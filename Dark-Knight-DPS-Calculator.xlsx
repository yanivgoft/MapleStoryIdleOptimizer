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Calc" sheetId="5" state="visible" r:id="rId5"/>
    <sheet name="Summary" sheetId="6" state="visible" r:id="rId6"/>
    <sheet name="Sensitivity" sheetId="7" state="visible" r:id="rId7"/>
    <sheet name="CubeData" sheetId="8" state="visible" r:id="rId8"/>
    <sheet name="PotentialCub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font>
    <font>
      <b val="1"/>
      <color rgb="00FFFFFF"/>
    </font>
    <font>
      <b val="1"/>
      <sz val="13"/>
    </font>
  </fonts>
  <fills count="4">
    <fill>
      <patternFill/>
    </fill>
    <fill>
      <patternFill patternType="gray125"/>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0" fillId="2" borderId="0" pivotButton="0" quotePrefix="0" xfId="0"/>
    <xf numFmtId="0" fontId="2" fillId="0" borderId="0" pivotButton="0" quotePrefix="0" xfId="0"/>
    <xf numFmtId="0" fontId="4" fillId="3" borderId="0" applyAlignment="1" pivotButton="0" quotePrefix="0" xfId="0">
      <alignment horizontal="center"/>
    </xf>
    <xf numFmtId="0" fontId="5" fillId="0" borderId="0" pivotButton="0" quotePrefix="0" xfId="0"/>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Dark Knight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Weapon Acceleration, Weapon Mastery, Barricade Mastery, Power Stance's own Final Damage component, and Final Pact's own Final Damage component are always-on passives assumed to already be reflected in your own Inputs stat entries — only their Sensitivity marginal delta is modeled live, matching this project's established convention. Iron Wall (STR from Defense) and Warrior-Mastery-equivalent flat-stat passives have zero DPS-relevant mechanic and get no row at all (no Defense-tracking mechanic exists anywhere in this project). Dark Knight has NO Physical Training or Endure skill at all (confirmed absent from its own skill list, despite both being present on Hero's).</t>
        </is>
      </c>
    </row>
    <row r="11">
      <c r="A11" s="2" t="inlineStr">
        <is>
          <t>Evil Eye and Dark Resonance both drive the Global Monster Damage-Taken Bonus% bucket (the mechanism Hero's own Scaring Sword pioneered) — Evil Eye's own +15%-&gt;19.2% applies to all monster types (duty-cycle averaged, always-on while summoned, no proc-chance gate), Dark Resonance's patch-added +20% applies boss-only (monster_blend_expr-gated), both summed into the same bucket.</t>
        </is>
      </c>
    </row>
    <row r="12">
      <c r="A12" s="2" t="inlineStr">
        <is>
          <t>Evil Eye Shock, Evil Eye of Dominant, Hex of the Evil Eye, and Revenge of the Evil Eye all nominally require Evil Eye to be summoned first — this precondition is NOT modeled as a live gate (they're treated as always-castable once individually unlocked), a documented simplification consistent with this project not tracking buff-precondition chains elsewhere either.</t>
        </is>
      </c>
    </row>
    <row r="13">
      <c r="A13" s="2" t="inlineStr">
        <is>
          <t>Evil Eye of Dominant is modeled as a background DoT tied to Evil Eye's own cast cycle (Cooldown=30s/ActiveWindow=20s matching Evil Eye's own duration, ICD=1s) — same pattern as FP-Mage's own Poison Mist fog DoT tied to its parent skill.</t>
        </is>
      </c>
    </row>
    <row r="14">
      <c r="A14" s="2" t="inlineStr">
        <is>
          <t>Lord of Darkness is split into two rows (Crit Rate half, Crit Damage half) since this schema's BuffTargetStat column only holds one stat per row — same reason Hero's own Enrage is split. Both modeled as ProcChance% x duty-cycle uptime (Scaring-Sword-style simplification), not an exact per-attack RNG state machine. Its own HP-recovery component is not modeled.</t>
        </is>
      </c>
    </row>
    <row r="15">
      <c r="A15" s="2" t="inlineStr">
        <is>
          <t>Cross Over Chains and Gungnir's Descent both have an HP-conditional or mastery-driven mechanic: Cross Over Chains assumes steady-state HP&gt;50% (its own Attack% buff only, not the HP&lt;=50% damage-taken-reduction swap, still an unmodeled gap); Gungnir's Descent's own Lv.134 mastery ('base damage -50%, +4 strike count') is modeled directly as a level-gated flip of its own BaseDamage/HitsPerCast fields (net +50% total damage), not left unmodeled.</t>
        </is>
      </c>
    </row>
    <row r="16">
      <c r="A16" s="2" t="inlineStr">
        <is>
          <t>Revenge of the Evil Eye's own Lv.138 'Spectral Shadows' mastery is a raw unevaluated wikitext formula on the live wiki page ({{#expr:2200*(1+x*0.005)}}%) — resolved via the same curve-matching method already used for Marksman's own Snipe-Empowered mastery this session (sample the formula at several levels, match against the 24-column factor table): resolves cleanly to factorIndex 12/baseDamage 2200 tenths%, reusing Revenge's own factor lookup since it shares the same factorIndex.</t>
        </is>
      </c>
    </row>
    <row r="17">
      <c r="A17" s="2" t="inlineStr">
        <is>
          <t>Dark Impale (basic attack) reuses the universal 4th-job-basic-attack constant (baseDamage 2900, factorIndex 21) confirmed identical across every class in this project. Final Attack + Advanced Final Attack fold into its own coefficient exactly like Hero's own Raging Blow / Bowmaster's own Arrow Stream — both resolve to the identical tuples already established, confirming they're genuinely the same cross-tree shared skills. Unlike Hero, this class's own Mastery table has no 'Final Attack - Damage' tier at all (confirmed absent), so that helper row's own SkillMasteryBonus% stays 0 here.</t>
        </is>
      </c>
    </row>
    <row r="18">
      <c r="A18" s="2" t="inlineStr">
        <is>
          <t>Magic Crash is shared verbatim with Hero and Paladin (single wiki page) — patched targets 5-&gt;9 (effect range +50% not modeled). Its own Lv.126 'Magic Crash - Weaken' mastery (+15% damage taken to struck targets) is included here on both MasteryBossDamage%/MasteryNormalDamage% — Hero's own build happened to miss this same mastery on its own Magic Crash row, not fixed there (out of scope for this fork).</t>
        </is>
      </c>
    </row>
    <row r="19">
      <c r="A19" s="2" t="inlineStr">
        <is>
          <t>Monster Type blends Boss/Normal Monster Damage% by the Chapter Breakthrough weight %; PvP forces a fixed 15-second window regardless of the Fixed Fight Duration input.</t>
        </is>
      </c>
    </row>
    <row r="20">
      <c r="A20" s="2" t="inlineStr">
        <is>
          <t>Not modeled (out of scope): all forms of crowd control (Evil Eye Shock stun), Accuracy, Evasion, Defense, Max HP/MP recovery, movement speed, and Companion Summoning Time.</t>
        </is>
      </c>
    </row>
    <row r="21">
      <c r="A2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5" customWidth="1" min="1" max="1"/>
    <col width="16" customWidth="1" min="2" max="2"/>
  </cols>
  <sheetData>
    <row r="1">
      <c r="A1" s="4" t="inlineStr">
        <is>
          <t>Dark Knight — DPS Calculator Inputs</t>
        </is>
      </c>
    </row>
    <row r="3">
      <c r="A3" s="5" t="inlineStr">
        <is>
          <t>Character Level</t>
        </is>
      </c>
      <c r="B3" s="6" t="n">
        <v>200</v>
      </c>
    </row>
    <row r="4">
      <c r="A4" s="5" t="inlineStr">
        <is>
          <t>Monster Type ("boss", "normal", "breakthrough", or "pvp")</t>
        </is>
      </c>
      <c r="B4" s="6" t="inlineStr">
        <is>
          <t>boss</t>
        </is>
      </c>
    </row>
    <row r="5">
      <c r="A5" s="5" t="inlineStr">
        <is>
          <t>Flat ATTACK</t>
        </is>
      </c>
      <c r="B5" s="6" t="n">
        <v>10000</v>
      </c>
    </row>
    <row r="6">
      <c r="A6" s="5" t="inlineStr">
        <is>
          <t>ATTACK %</t>
        </is>
      </c>
      <c r="B6" s="6" t="n">
        <v>0</v>
      </c>
    </row>
    <row r="7">
      <c r="A7" s="5" t="inlineStr">
        <is>
          <t>Monster Defense (flat, post-x100/x10 scaling)</t>
        </is>
      </c>
      <c r="B7" s="6" t="n">
        <v>0</v>
      </c>
    </row>
    <row r="8">
      <c r="A8" s="5" t="inlineStr">
        <is>
          <t>CRIT_RATE %</t>
        </is>
      </c>
      <c r="B8" s="6" t="n">
        <v>0</v>
      </c>
    </row>
    <row r="9">
      <c r="A9" s="5" t="inlineStr">
        <is>
          <t>CRIT_DAMAGE %</t>
        </is>
      </c>
      <c r="B9" s="6" t="n">
        <v>0</v>
      </c>
    </row>
    <row r="10">
      <c r="A10" s="5" t="inlineStr">
        <is>
          <t>ATTACK_SPEED % (base, excludes Weapon Acceleration)</t>
        </is>
      </c>
      <c r="B10" s="6" t="n">
        <v>0</v>
      </c>
    </row>
    <row r="11">
      <c r="A11" s="5" t="inlineStr">
        <is>
          <t>Flat STR</t>
        </is>
      </c>
      <c r="B11" s="6" t="n">
        <v>0</v>
      </c>
    </row>
    <row r="12">
      <c r="A12" s="5" t="inlineStr">
        <is>
          <t>STR %</t>
        </is>
      </c>
      <c r="B12" s="6" t="n">
        <v>0</v>
      </c>
    </row>
    <row r="13">
      <c r="A13" s="5" t="inlineStr">
        <is>
          <t>DEX</t>
        </is>
      </c>
      <c r="B13" s="6" t="n">
        <v>0</v>
      </c>
    </row>
    <row r="14">
      <c r="A14" s="5" t="inlineStr">
        <is>
          <t>DAMAGE %</t>
        </is>
      </c>
      <c r="B14" s="6" t="n">
        <v>0</v>
      </c>
    </row>
    <row r="15">
      <c r="A15" s="5" t="inlineStr">
        <is>
          <t>DAMAGE_AMP %</t>
        </is>
      </c>
      <c r="B15" s="6" t="n">
        <v>0</v>
      </c>
    </row>
    <row r="16">
      <c r="A16" s="5" t="inlineStr">
        <is>
          <t>BASIC_ATTACK_DAMAGE %</t>
        </is>
      </c>
      <c r="B16" s="6" t="n">
        <v>0</v>
      </c>
    </row>
    <row r="17">
      <c r="A17" s="5" t="inlineStr">
        <is>
          <t>SKILL_DAMAGE %</t>
        </is>
      </c>
      <c r="B17" s="6" t="n">
        <v>0</v>
      </c>
    </row>
    <row r="18">
      <c r="A18" s="5" t="inlineStr">
        <is>
          <t>DEF_PEN %</t>
        </is>
      </c>
      <c r="B18" s="6" t="n">
        <v>0</v>
      </c>
    </row>
    <row r="19">
      <c r="A19" s="5" t="inlineStr">
        <is>
          <t>BOSS_DAMAGE %</t>
        </is>
      </c>
      <c r="B19" s="6" t="n">
        <v>0</v>
      </c>
    </row>
    <row r="20">
      <c r="A20" s="5" t="inlineStr">
        <is>
          <t>NORMAL_DAMAGE %</t>
        </is>
      </c>
      <c r="B20" s="6" t="n">
        <v>0</v>
      </c>
    </row>
    <row r="21">
      <c r="A21" s="5" t="inlineStr">
        <is>
          <t>MIN_DAMAGE %</t>
        </is>
      </c>
      <c r="B21" s="6" t="n">
        <v>100</v>
      </c>
    </row>
    <row r="22">
      <c r="A22" s="5" t="inlineStr">
        <is>
          <t>MAX_DAMAGE %</t>
        </is>
      </c>
      <c r="B22" s="6" t="n">
        <v>100</v>
      </c>
    </row>
    <row r="23">
      <c r="A23" s="5" t="inlineStr">
        <is>
          <t>FINAL_DAMAGE % (base)</t>
        </is>
      </c>
      <c r="B23" s="6" t="n">
        <v>0</v>
      </c>
    </row>
    <row r="24">
      <c r="A24" s="5" t="inlineStr">
        <is>
          <t>Skill Level Bonus — 1st Job</t>
        </is>
      </c>
      <c r="B24" s="6" t="n">
        <v>0</v>
      </c>
    </row>
    <row r="25">
      <c r="A25" s="5" t="inlineStr">
        <is>
          <t>Skill Level Bonus — 2nd Job</t>
        </is>
      </c>
      <c r="B25" s="6" t="n">
        <v>0</v>
      </c>
    </row>
    <row r="26">
      <c r="A26" s="5" t="inlineStr">
        <is>
          <t>Skill Level Bonus — 3rd Job</t>
        </is>
      </c>
      <c r="B26" s="6" t="n">
        <v>0</v>
      </c>
    </row>
    <row r="27">
      <c r="A27" s="5" t="inlineStr">
        <is>
          <t>Skill Level Bonus — 4th Job</t>
        </is>
      </c>
      <c r="B27" s="6" t="n">
        <v>0</v>
      </c>
    </row>
    <row r="28">
      <c r="A28" s="5" t="inlineStr">
        <is>
          <t>Skill Level Bonus — All Skills</t>
        </is>
      </c>
      <c r="B28" s="6" t="n">
        <v>0</v>
      </c>
    </row>
    <row r="30">
      <c r="A30" s="7" t="inlineStr">
        <is>
          <t>Additional Bonuses</t>
        </is>
      </c>
    </row>
    <row r="31">
      <c r="A31" s="5" t="inlineStr">
        <is>
          <t>Skill Cooldown Decrease (seconds, only skills/buffs the character actively casts)</t>
        </is>
      </c>
      <c r="B31" s="6" t="n">
        <v>0</v>
      </c>
    </row>
    <row r="32">
      <c r="A32" s="5" t="inlineStr">
        <is>
          <t>Basic Attack Target Increase (flat, adds to the 6-target normal-monster base)</t>
        </is>
      </c>
      <c r="B32" s="6" t="n">
        <v>1</v>
      </c>
    </row>
    <row r="33">
      <c r="A33" s="5" t="inlineStr">
        <is>
          <t>Buff Duration Increase %</t>
        </is>
      </c>
      <c r="B33" s="6" t="n">
        <v>0</v>
      </c>
    </row>
    <row r="34">
      <c r="A34" s="5" t="inlineStr">
        <is>
          <t>Companion Summoning Time Increase % (companions not modeled — always 0 DPS impact)</t>
        </is>
      </c>
      <c r="B34" s="6" t="n">
        <v>0</v>
      </c>
    </row>
    <row r="35">
      <c r="A35" s="5" t="inlineStr">
        <is>
          <t>Fixed Fight Duration (seconds, boss or normal — leave 0 for steady-state DPS; ignored for pvp)</t>
        </is>
      </c>
      <c r="B35" s="6" t="n">
        <v>0</v>
      </c>
    </row>
    <row r="36">
      <c r="A36" s="5" t="inlineStr">
        <is>
          <t>Chapter Breakthrough: Normal-Monster Weight % (only used when Monster Type = breakthrough)</t>
        </is>
      </c>
      <c r="B36" s="6" t="n">
        <v>60</v>
      </c>
    </row>
    <row r="37">
      <c r="A37" s="5" t="inlineStr">
        <is>
          <t>Max Enemies Actually In Range (normal monsters only; default 999 = uncapped)</t>
        </is>
      </c>
      <c r="B37" s="6" t="n">
        <v>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8" t="inlineStr">
        <is>
          <t>Level</t>
        </is>
      </c>
      <c r="B1" s="8" t="inlineStr">
        <is>
          <t>F0</t>
        </is>
      </c>
      <c r="C1" s="8" t="inlineStr">
        <is>
          <t>F1</t>
        </is>
      </c>
      <c r="D1" s="8" t="inlineStr">
        <is>
          <t>F2</t>
        </is>
      </c>
      <c r="E1" s="8" t="inlineStr">
        <is>
          <t>F3</t>
        </is>
      </c>
      <c r="F1" s="8" t="inlineStr">
        <is>
          <t>F4</t>
        </is>
      </c>
      <c r="G1" s="8" t="inlineStr">
        <is>
          <t>F5</t>
        </is>
      </c>
      <c r="H1" s="8" t="inlineStr">
        <is>
          <t>F6</t>
        </is>
      </c>
      <c r="I1" s="8" t="inlineStr">
        <is>
          <t>F7</t>
        </is>
      </c>
      <c r="J1" s="8" t="inlineStr">
        <is>
          <t>F8</t>
        </is>
      </c>
      <c r="K1" s="8" t="inlineStr">
        <is>
          <t>F9</t>
        </is>
      </c>
      <c r="L1" s="8" t="inlineStr">
        <is>
          <t>F10</t>
        </is>
      </c>
      <c r="M1" s="8" t="inlineStr">
        <is>
          <t>F11</t>
        </is>
      </c>
      <c r="N1" s="8" t="inlineStr">
        <is>
          <t>F12</t>
        </is>
      </c>
      <c r="O1" s="8" t="inlineStr">
        <is>
          <t>F13</t>
        </is>
      </c>
      <c r="P1" s="8" t="inlineStr">
        <is>
          <t>F14</t>
        </is>
      </c>
      <c r="Q1" s="8" t="inlineStr">
        <is>
          <t>F15</t>
        </is>
      </c>
      <c r="R1" s="8" t="inlineStr">
        <is>
          <t>F16</t>
        </is>
      </c>
      <c r="S1" s="8" t="inlineStr">
        <is>
          <t>F17</t>
        </is>
      </c>
      <c r="T1" s="8" t="inlineStr">
        <is>
          <t>F18</t>
        </is>
      </c>
      <c r="U1" s="8" t="inlineStr">
        <is>
          <t>F19</t>
        </is>
      </c>
      <c r="V1" s="8" t="inlineStr">
        <is>
          <t>F20</t>
        </is>
      </c>
      <c r="W1" s="8" t="inlineStr">
        <is>
          <t>F21</t>
        </is>
      </c>
      <c r="X1" s="8" t="inlineStr">
        <is>
          <t>F22</t>
        </is>
      </c>
      <c r="Y1" s="8"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6"/>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20" customWidth="1" min="18" max="18"/>
    <col width="18" customWidth="1" min="19" max="19"/>
    <col width="15" customWidth="1" min="20" max="20"/>
    <col width="20" customWidth="1" min="21" max="21"/>
    <col width="20" customWidth="1" min="22" max="22"/>
    <col width="60" customWidth="1" min="23" max="23"/>
  </cols>
  <sheetData>
    <row r="1">
      <c r="A1" s="8" t="inlineStr">
        <is>
          <t>Key</t>
        </is>
      </c>
      <c r="B1" s="8" t="inlineStr">
        <is>
          <t>Name</t>
        </is>
      </c>
      <c r="C1" s="8" t="inlineStr">
        <is>
          <t>JobStep</t>
        </is>
      </c>
      <c r="D1" s="8" t="inlineStr">
        <is>
          <t>Cooldown(s)</t>
        </is>
      </c>
      <c r="E1" s="8" t="inlineStr">
        <is>
          <t>CostsActionSlot</t>
        </is>
      </c>
      <c r="F1" s="8" t="inlineStr">
        <is>
          <t>ActionsPerCast</t>
        </is>
      </c>
      <c r="G1" s="8" t="inlineStr">
        <is>
          <t>HitsPerCast</t>
        </is>
      </c>
      <c r="H1" s="8" t="inlineStr">
        <is>
          <t>ICD(s)</t>
        </is>
      </c>
      <c r="I1" s="8" t="inlineStr">
        <is>
          <t>ActiveWindow(s)</t>
        </is>
      </c>
      <c r="J1" s="8" t="inlineStr">
        <is>
          <t>ProcChance%</t>
        </is>
      </c>
      <c r="K1" s="8" t="inlineStr">
        <is>
          <t>RollsPerCast</t>
        </is>
      </c>
      <c r="L1" s="8" t="inlineStr">
        <is>
          <t>BaseDamage(tenths%)</t>
        </is>
      </c>
      <c r="M1" s="8" t="inlineStr">
        <is>
          <t>FactorIndex</t>
        </is>
      </c>
      <c r="N1" s="8" t="inlineStr">
        <is>
          <t>ScalesWithLevel</t>
        </is>
      </c>
      <c r="O1" s="8" t="inlineStr">
        <is>
          <t>SkillMasteryBonus%</t>
        </is>
      </c>
      <c r="P1" s="8" t="inlineStr">
        <is>
          <t>MasteryBossDamage%</t>
        </is>
      </c>
      <c r="Q1" s="8" t="inlineStr">
        <is>
          <t>MasteryNormalDamage%</t>
        </is>
      </c>
      <c r="R1" s="8" t="inlineStr">
        <is>
          <t>NormalMonsterTargets</t>
        </is>
      </c>
      <c r="S1" s="8" t="inlineStr">
        <is>
          <t>BuffTargetStat</t>
        </is>
      </c>
      <c r="T1" s="8" t="inlineStr">
        <is>
          <t>BuffDuration(s)</t>
        </is>
      </c>
      <c r="U1" s="8" t="inlineStr">
        <is>
          <t>MapleHeroBase(tenths%)</t>
        </is>
      </c>
      <c r="V1" s="8" t="inlineStr">
        <is>
          <t>MapleHeroFactorIndex</t>
        </is>
      </c>
      <c r="W1" s="8" t="inlineStr">
        <is>
          <t>Note</t>
        </is>
      </c>
    </row>
    <row r="2">
      <c r="A2" t="inlineStr">
        <is>
          <t>DARK_IMPALE</t>
        </is>
      </c>
      <c r="B2" t="inlineStr">
        <is>
          <t>Dark Impale</t>
        </is>
      </c>
      <c r="C2" t="n">
        <v>4</v>
      </c>
      <c r="D2" t="inlineStr"/>
      <c r="E2" t="b">
        <v>0</v>
      </c>
      <c r="F2" t="n">
        <v>1</v>
      </c>
      <c r="G2">
        <f>IF(Inputs!$B$3&gt;=136,6,5)</f>
        <v/>
      </c>
      <c r="H2" t="n">
        <v>0</v>
      </c>
      <c r="I2" t="n">
        <v>0</v>
      </c>
      <c r="J2" t="n">
        <v>100</v>
      </c>
      <c r="K2" t="n">
        <v>1</v>
      </c>
      <c r="L2" t="n">
        <v>2900</v>
      </c>
      <c r="M2" t="n">
        <v>21</v>
      </c>
      <c r="N2" t="b">
        <v>1</v>
      </c>
      <c r="O2">
        <f>Calc!F3*IF(Calc!C3=TRUE,1,0)/100*(1+Calc!F4*IF(Calc!C4=TRUE,1,0)/100)*25+SUMPRODUCT((Inputs!$B$3&gt;={102,106,116,120,128,132})*{10,1,1,1,1,1})</f>
        <v/>
      </c>
      <c r="P2">
        <f>SUMPRODUCT((Inputs!$B$3&gt;={111,124})*{10,10})</f>
        <v/>
      </c>
      <c r="Q2" t="n">
        <v>0</v>
      </c>
      <c r="R2">
        <f>6+Inputs!$B$32</f>
        <v/>
      </c>
      <c r="S2" t="inlineStr"/>
      <c r="T2" t="n">
        <v>0</v>
      </c>
      <c r="U2" t="inlineStr"/>
      <c r="V2" t="inlineStr"/>
      <c r="W2" t="inlineStr">
        <is>
          <t>4th-job basic-attack effect (supersedes Slash Blast/Spear Sweep/La Mancha Spear, confirmed identical wiki wording — 290% damage to 6 target(s) in front 5 time(s) — to every other class's own 4th-job basic attack). factorIndex 21, baseDamage 2900 tenths%. HitsPerCast=5, bumping to 6 once Mastery Lv.136 'Dark Impale - Strike' unlocks (same level as Hero's own equivalent, confirmed independently from Dark Knight/Mastery). SkillMasteryBonus% is Final Attack + Advanced Final Attack's own combined steady-state contribution (same folding mechanism as Hero's own Raging Blow) PLUS the real Dark Impale - Damage mastery chain (102/106/116/120/128/132, cumulative +10/11/12/13/14/15% — summed as DELTAS, not the raw displayed values). MasteryBossDamage% is the real 2-tier Dark Impale - Boss Monster Damage chain (111/124, +10% each, +20% total).</t>
        </is>
      </c>
    </row>
    <row r="3">
      <c r="A3" t="inlineStr">
        <is>
          <t>FINAL_ATTACK_HELPER</t>
        </is>
      </c>
      <c r="B3" t="inlineStr">
        <is>
          <t>Final Attack (helper)</t>
        </is>
      </c>
      <c r="C3" t="n">
        <v>2</v>
      </c>
      <c r="D3" t="inlineStr"/>
      <c r="E3" t="b">
        <v>0</v>
      </c>
      <c r="F3" t="n">
        <v>1</v>
      </c>
      <c r="G3" t="n">
        <v>1</v>
      </c>
      <c r="H3" t="n">
        <v>0</v>
      </c>
      <c r="I3" t="n">
        <v>0</v>
      </c>
      <c r="J3" t="n">
        <v>100</v>
      </c>
      <c r="K3" t="n">
        <v>1</v>
      </c>
      <c r="L3" t="n">
        <v>350</v>
      </c>
      <c r="M3" t="n">
        <v>21</v>
      </c>
      <c r="N3" t="b">
        <v>1</v>
      </c>
      <c r="O3" t="n">
        <v>0</v>
      </c>
      <c r="P3" t="n">
        <v>0</v>
      </c>
      <c r="Q3" t="n">
        <v>0</v>
      </c>
      <c r="R3" t="n">
        <v>0</v>
      </c>
      <c r="S3" t="inlineStr"/>
      <c r="T3" t="n">
        <v>0</v>
      </c>
      <c r="U3" t="inlineStr"/>
      <c r="V3" t="inlineStr"/>
      <c r="W3" t="inlineStr">
        <is>
          <t>Helper row only — feeds Dark Impale's own coefficient. 25% chance, 35%-&gt;49% additional damage (levels 1-100), factorIndex 21/baseDamage 350 tenths% — resolves to the IDENTICAL tuple Hero's/Bowmaster's own Final Attack helper uses, confirming this is genuinely the same cross-tree shared skill. Unlike Hero, Dark Knight's own Mastery table has NO 'Final Attack - Damage' tier at all (confirmed absent) — SkillMasteryBonus% stays 0 here.</t>
        </is>
      </c>
    </row>
    <row r="4">
      <c r="A4" t="inlineStr">
        <is>
          <t>ADVANCED_FINAL_ATTACK_HELPER</t>
        </is>
      </c>
      <c r="B4" t="inlineStr">
        <is>
          <t>Advanced Final Attack (helper)</t>
        </is>
      </c>
      <c r="C4" t="n">
        <v>4</v>
      </c>
      <c r="D4" t="inlineStr"/>
      <c r="E4" t="b">
        <v>0</v>
      </c>
      <c r="F4" t="n">
        <v>1</v>
      </c>
      <c r="G4" t="n">
        <v>1</v>
      </c>
      <c r="H4" t="n">
        <v>0</v>
      </c>
      <c r="I4" t="n">
        <v>0</v>
      </c>
      <c r="J4" t="n">
        <v>100</v>
      </c>
      <c r="K4" t="n">
        <v>1</v>
      </c>
      <c r="L4" t="n">
        <v>5000</v>
      </c>
      <c r="M4" t="n">
        <v>21</v>
      </c>
      <c r="N4" t="b">
        <v>1</v>
      </c>
      <c r="O4">
        <f>SUMPRODUCT((Inputs!$B$3&gt;={113})*{50})</f>
        <v/>
      </c>
      <c r="P4" t="n">
        <v>0</v>
      </c>
      <c r="Q4" t="n">
        <v>0</v>
      </c>
      <c r="R4" t="n">
        <v>0</v>
      </c>
      <c r="S4" t="inlineStr"/>
      <c r="T4" t="n">
        <v>0</v>
      </c>
      <c r="U4" t="inlineStr"/>
      <c r="V4" t="inlineStr"/>
      <c r="W4" t="inlineStr">
        <is>
          <t>Helper row only — feeds Dark Impale's own coefficient (Final Attack's own Final Damage bonus). +500%-&gt;900% FD (levels 1-200), factorIndex 21/baseDamage 5000 tenths% — resolves to the IDENTICAL tuple Hero's/Bowmaster's own Advanced Final Attack helper uses. Mastery Lv.113 'Advanced Final Attack - Enhance' +50% (real SkillMasteryBonus%, same level as Hero's own).</t>
        </is>
      </c>
    </row>
    <row r="5">
      <c r="A5" t="inlineStr">
        <is>
          <t>MAGIC_CRASH</t>
        </is>
      </c>
      <c r="B5" t="inlineStr">
        <is>
          <t>Magic Crash</t>
        </is>
      </c>
      <c r="C5" t="n">
        <v>4</v>
      </c>
      <c r="D5" t="n">
        <v>28</v>
      </c>
      <c r="E5" t="b">
        <v>1</v>
      </c>
      <c r="F5" t="n">
        <v>1</v>
      </c>
      <c r="G5" t="n">
        <v>1</v>
      </c>
      <c r="H5" t="n">
        <v>0</v>
      </c>
      <c r="I5" t="n">
        <v>0</v>
      </c>
      <c r="J5" t="n">
        <v>100</v>
      </c>
      <c r="K5" t="n">
        <v>1</v>
      </c>
      <c r="L5" t="n">
        <v>48000</v>
      </c>
      <c r="M5" t="n">
        <v>12</v>
      </c>
      <c r="N5" t="b">
        <v>1</v>
      </c>
      <c r="O5">
        <f>SUMPRODUCT((Inputs!$B$3&gt;={126})*{15})</f>
        <v/>
      </c>
      <c r="P5">
        <f>SUMPRODUCT((Inputs!$B$3&gt;={126})*{15})</f>
        <v/>
      </c>
      <c r="Q5">
        <f>SUMPRODUCT((Inputs!$B$3&gt;={126})*{15})</f>
        <v/>
      </c>
      <c r="R5">
        <f>5+IF(Inputs!$B$3&gt;=100,4,0)</f>
        <v/>
      </c>
      <c r="S5" t="inlineStr"/>
      <c r="T5" t="n">
        <v>0</v>
      </c>
      <c r="U5" t="inlineStr"/>
      <c r="V5" t="inlineStr"/>
      <c r="W5" t="inlineStr">
        <is>
          <t>Summons a rock at the target's location, removing 1 buff and dealing 4800%-&gt;9600% damage to 5 nearby target(s), 1 time. factorIndex 12, baseDamage 48000 tenths% — resolves to the IDENTICAL tuple Hero's own Magic Crash uses (shared verbatim, single wiki page, /w/Magic_Crash). PATCHED: targets 5-&gt;9 (effect range +50% not modeled, no such mechanic exists). Mastery Lv.126 'Magic Crash - Weaken' (+15% damage taken to struck targets) baked into SkillMasteryBonus%/MasteryBossDamage%/MasteryNormalDamage% alike (a real mastery Hero's own build happened to miss on its own Magic Crash row — not fixed there, out of scope for this fork).</t>
        </is>
      </c>
    </row>
    <row r="6">
      <c r="A6" t="inlineStr">
        <is>
          <t>GUNGNIRS_DESCENT</t>
        </is>
      </c>
      <c r="B6" t="inlineStr">
        <is>
          <t>Gungnir's Descent</t>
        </is>
      </c>
      <c r="C6" t="n">
        <v>4</v>
      </c>
      <c r="D6" t="n">
        <v>13</v>
      </c>
      <c r="E6" t="b">
        <v>1</v>
      </c>
      <c r="F6" t="n">
        <v>1</v>
      </c>
      <c r="G6">
        <f>IF(Inputs!$B$3&gt;=134,6,2)</f>
        <v/>
      </c>
      <c r="H6" t="n">
        <v>0</v>
      </c>
      <c r="I6" t="n">
        <v>0</v>
      </c>
      <c r="J6" t="n">
        <v>100</v>
      </c>
      <c r="K6" t="n">
        <v>1</v>
      </c>
      <c r="L6">
        <f>IF(Inputs!$B$3&gt;=134,9000,18000)</f>
        <v/>
      </c>
      <c r="M6" t="n">
        <v>12</v>
      </c>
      <c r="N6" t="b">
        <v>1</v>
      </c>
      <c r="O6" t="n">
        <v>0</v>
      </c>
      <c r="P6" t="n">
        <v>0</v>
      </c>
      <c r="Q6" t="n">
        <v>0</v>
      </c>
      <c r="R6" t="n">
        <v>1</v>
      </c>
      <c r="S6" t="inlineStr"/>
      <c r="T6" t="n">
        <v>0</v>
      </c>
      <c r="U6" t="inlineStr"/>
      <c r="V6" t="inlineStr"/>
      <c r="W6" t="inlineStr">
        <is>
          <t>Throws a mythical spear at the target to deal 1800%-&gt;3600% damage, 2 times. factorIndex 12, baseDamage 18000 tenths%, 13s cooldown. Single-target (NormalMonsterTargets=1). Mastery Lv.134 'Gungnir's Descent - Strike' ('base damage -50%, +4 strike count') is modeled directly as a level-gated rebalance of this row's own BaseDamage (18000-&gt;9000 tenths%) and HitsPerCast (2-&gt;6) once Lv.134 unlocks — net +50% total damage (6*0.5 vs 2*1.0), same 'flip two fields at a level threshold' pattern already used elsewhere in this project for Strike-mastery hit-count bumps, just applied to both BaseDamage and HitsPerCast simultaneously instead of HitsPerCast alone. An earlier version of this row left this mastery completely unmodeled, documented as an under-estimate at high level — fixed.</t>
        </is>
      </c>
    </row>
    <row r="7">
      <c r="A7" t="inlineStr">
        <is>
          <t>EVIL_EYE_SHOCK</t>
        </is>
      </c>
      <c r="B7" t="inlineStr">
        <is>
          <t>Evil Eye Shock</t>
        </is>
      </c>
      <c r="C7" t="n">
        <v>2</v>
      </c>
      <c r="D7" t="n">
        <v>18</v>
      </c>
      <c r="E7" t="b">
        <v>1</v>
      </c>
      <c r="F7" t="n">
        <v>1</v>
      </c>
      <c r="G7" t="n">
        <v>6</v>
      </c>
      <c r="H7" t="n">
        <v>0</v>
      </c>
      <c r="I7" t="n">
        <v>0</v>
      </c>
      <c r="J7" t="n">
        <v>100</v>
      </c>
      <c r="K7" t="n">
        <v>1</v>
      </c>
      <c r="L7" t="n">
        <v>700</v>
      </c>
      <c r="M7" t="n">
        <v>12</v>
      </c>
      <c r="N7" t="b">
        <v>1</v>
      </c>
      <c r="O7">
        <f>SUMPRODUCT((Inputs!$B$3&gt;={44})*{50})+IF(Inputs!$B$3&gt;=75,Calc!F8*IF(Calc!C8=TRUE,1,0),0)</f>
        <v/>
      </c>
      <c r="P7" t="n">
        <v>0</v>
      </c>
      <c r="Q7" t="n">
        <v>0</v>
      </c>
      <c r="R7">
        <f>6+IF(Inputs!$B$3&gt;=75,3,0)</f>
        <v/>
      </c>
      <c r="S7" t="inlineStr"/>
      <c r="T7" t="n">
        <v>0</v>
      </c>
      <c r="U7" t="n">
        <v>400</v>
      </c>
      <c r="V7" t="n">
        <v>23</v>
      </c>
      <c r="W7" t="inlineStr">
        <is>
          <t>[Must Summon Evil Eye — precondition not modeled as a live gate, treated as always-castable once unlocked] The Evil Eye attacks 6 (then 9 once Lv.75's Evil Eye Shock Enhancement unlocks) nearby target(s), dealing 70%-&gt;105% damage (levels 1-100, 2nd-job capped), 6 times, 18s cooldown, stun 1.5s not modeled. factorIndex 12, baseDamage 700 tenths%. Mastery Lv.44 'Evil Eye Shock - Damage' +50% real. Evil Eye Shock Enhancement's own +100%-&gt;127% Final Damage curve is folded directly into this row's own SkillMasteryBonus% as an additive coefficient bonus (a documented approximation — true Final Damage multiplies after the crit/defense pipeline, this applies it pre-pipeline instead — same simplification tier as folding Final Attack's own proc into a basic attack's coefficient elsewhere in this project). Maple Hero target (0.75x share) — see MAPLE_HERO_RATIOS.</t>
        </is>
      </c>
    </row>
    <row r="8">
      <c r="A8" t="inlineStr">
        <is>
          <t>EVIL_EYE_SHOCK_ENH</t>
        </is>
      </c>
      <c r="B8" t="inlineStr">
        <is>
          <t>Evil Eye Shock Enhancement (helper)</t>
        </is>
      </c>
      <c r="C8" t="n">
        <v>3</v>
      </c>
      <c r="D8" t="inlineStr"/>
      <c r="E8" t="b">
        <v>0</v>
      </c>
      <c r="F8" t="n">
        <v>1</v>
      </c>
      <c r="G8" t="n">
        <v>1</v>
      </c>
      <c r="H8" t="n">
        <v>0</v>
      </c>
      <c r="I8" t="n">
        <v>0</v>
      </c>
      <c r="J8" t="n">
        <v>100</v>
      </c>
      <c r="K8" t="n">
        <v>1</v>
      </c>
      <c r="L8" t="n">
        <v>1000</v>
      </c>
      <c r="M8" t="n">
        <v>22</v>
      </c>
      <c r="N8" t="b">
        <v>1</v>
      </c>
      <c r="O8" t="n">
        <v>0</v>
      </c>
      <c r="P8" t="n">
        <v>0</v>
      </c>
      <c r="Q8" t="n">
        <v>0</v>
      </c>
      <c r="R8" t="n">
        <v>0</v>
      </c>
      <c r="S8" t="inlineStr"/>
      <c r="T8" t="n">
        <v>0</v>
      </c>
      <c r="U8" t="inlineStr"/>
      <c r="V8" t="inlineStr"/>
      <c r="W8" t="inlineStr">
        <is>
          <t>Helper row only (no independent O-column DPS) — feeds Evil Eye Shock's own K-column extra Final Damage term (target-count bump baked directly into EVIL_EYE_SHOCK's own NormalMonsterTargets formula instead). 'Target count changes to 9, Final Damage +100%-&gt;127%' (levels 1-100, own curve). factorIndex 22, baseDamage 1000 tenths%.</t>
        </is>
      </c>
    </row>
    <row r="9">
      <c r="A9" t="inlineStr">
        <is>
          <t>EVIL_EYE_OF_DOMINANT</t>
        </is>
      </c>
      <c r="B9" t="inlineStr">
        <is>
          <t>Evil Eye of Dominant</t>
        </is>
      </c>
      <c r="C9" t="n">
        <v>3</v>
      </c>
      <c r="D9" t="n">
        <v>30</v>
      </c>
      <c r="E9" t="b">
        <v>0</v>
      </c>
      <c r="F9" t="n">
        <v>1</v>
      </c>
      <c r="G9" t="n">
        <v>1</v>
      </c>
      <c r="H9" t="n">
        <v>1</v>
      </c>
      <c r="I9" t="n">
        <v>20</v>
      </c>
      <c r="J9" t="n">
        <v>100</v>
      </c>
      <c r="K9" t="n">
        <v>1</v>
      </c>
      <c r="L9" t="n">
        <v>600</v>
      </c>
      <c r="M9" t="n">
        <v>21</v>
      </c>
      <c r="N9" t="b">
        <v>1</v>
      </c>
      <c r="O9">
        <f>SUMPRODUCT((Inputs!$B$3&gt;={78})*{50})</f>
        <v/>
      </c>
      <c r="P9" t="n">
        <v>0</v>
      </c>
      <c r="Q9" t="n">
        <v>0</v>
      </c>
      <c r="R9">
        <f>6+IF(Inputs!$B$3&gt;=94,3,0)</f>
        <v/>
      </c>
      <c r="S9" t="inlineStr"/>
      <c r="T9" t="n">
        <v>0</v>
      </c>
      <c r="U9" t="n">
        <v>400</v>
      </c>
      <c r="V9" t="n">
        <v>23</v>
      </c>
      <c r="W9" t="inlineStr">
        <is>
          <t>[Must Summon Evil Eye] Background DoT tied to Evil Eye's own cast cycle (CostsActionSlot=False, Cooldown=30s/ActiveWindow=20s matching Evil Eye's own duration, ICD=1s — EffectiveHits = ActiveWindow/ICD = 20 ticks/cast, same FP-Mage Poison-Mist-DoT-tied-to-a-parent-skill pattern): 'deals 60%-&gt;84% continuous damage to 6 nearby targets every 1 sec' (levels 1-200). factorIndex 21, baseDamage 600 tenths%. Mastery Lv.78 'Evil Eye of Dominant - Damage' +50% and Lv.94 'Evil Eye of Dominant - Target' +3 (6-&gt;9) both real. Maple Hero target (1x share, biggest) — see MAPLE_HERO_RATIOS.</t>
        </is>
      </c>
    </row>
    <row r="10">
      <c r="A10" t="inlineStr">
        <is>
          <t>REVENGE_OF_THE_EVIL_EYE</t>
        </is>
      </c>
      <c r="B10" t="inlineStr">
        <is>
          <t>Revenge of the Evil Eye</t>
        </is>
      </c>
      <c r="C10" t="n">
        <v>4</v>
      </c>
      <c r="D10" t="n">
        <v>5</v>
      </c>
      <c r="E10" t="b">
        <v>0</v>
      </c>
      <c r="F10" t="n">
        <v>1</v>
      </c>
      <c r="G10" t="n">
        <v>2</v>
      </c>
      <c r="H10" t="n">
        <v>0</v>
      </c>
      <c r="I10" t="n">
        <v>0</v>
      </c>
      <c r="J10" t="n">
        <v>100</v>
      </c>
      <c r="K10" t="n">
        <v>1</v>
      </c>
      <c r="L10" t="n">
        <v>8500</v>
      </c>
      <c r="M10" t="n">
        <v>12</v>
      </c>
      <c r="N10" t="b">
        <v>1</v>
      </c>
      <c r="O10">
        <f>SUMPRODUCT((Inputs!$B$3&gt;={122})*{50})+IF(Inputs!$B$3&gt;=138,220*(Calc!E10/1000),0)</f>
        <v/>
      </c>
      <c r="P10" t="n">
        <v>0</v>
      </c>
      <c r="Q10" t="n">
        <v>0</v>
      </c>
      <c r="R10" t="n">
        <v>1</v>
      </c>
      <c r="S10" t="inlineStr"/>
      <c r="T10" t="n">
        <v>0</v>
      </c>
      <c r="U10" t="inlineStr"/>
      <c r="V10" t="inlineStr"/>
      <c r="W10" t="inlineStr">
        <is>
          <t>[Must Summon Evil Eye] Self-triggered proc-shaped row (Cooldown=5s, CostsActionSlot=False — same treatment as Marksman's own Bolt Surplus): 'engraves a vengeful brand dealing 850%-&gt;1700% additional damage, 2 times' (levels 1-200). factorIndex 12, baseDamage 8500 tenths%. Mastery Lv.122 'Revenge of the Evil Eye - Damage' +50% real. Mastery Lv.138 'Spectral Shadows' is a raw unevaluated wikitext formula on the live wiki page ({{#expr:2200*(1+x*0.005)}}%) — resolved via the same curve-matching method already used for Marksman's own Snipe-Empowered mastery this session (sample the formula at several levels treating x=character level, match against the 24-column factor table): resolves cleanly to factorIndex 12/baseDamage 2200 tenths% (0.44% max deviation) — since it shares the SAME factorIndex as this row's own base curve, it reuses this row's own Calc!E factor lookup directly rather than needing a separate FactorTable lookup (same trick as Snipe's own Empowered mastery).</t>
        </is>
      </c>
    </row>
    <row r="11">
      <c r="A11" t="inlineStr">
        <is>
          <t>MAPLE_HERO_HELPER</t>
        </is>
      </c>
      <c r="B11" t="inlineStr">
        <is>
          <t>Maple Hero (helper)</t>
        </is>
      </c>
      <c r="C11" t="n">
        <v>4</v>
      </c>
      <c r="D11" t="inlineStr"/>
      <c r="E11" t="b">
        <v>0</v>
      </c>
      <c r="F11" t="n">
        <v>1</v>
      </c>
      <c r="G11" t="n">
        <v>1</v>
      </c>
      <c r="H11" t="n">
        <v>0</v>
      </c>
      <c r="I11" t="n">
        <v>0</v>
      </c>
      <c r="J11" t="n">
        <v>100</v>
      </c>
      <c r="K11" t="n">
        <v>1</v>
      </c>
      <c r="L11" t="n">
        <v>400</v>
      </c>
      <c r="M11" t="n">
        <v>23</v>
      </c>
      <c r="N11" t="b">
        <v>1</v>
      </c>
      <c r="O11" t="n">
        <v>0</v>
      </c>
      <c r="P11" t="n">
        <v>0</v>
      </c>
      <c r="Q11" t="n">
        <v>0</v>
      </c>
      <c r="R11" t="n">
        <v>0</v>
      </c>
      <c r="S11" t="inlineStr"/>
      <c r="T11" t="n">
        <v>0</v>
      </c>
      <c r="U11" t="inlineStr"/>
      <c r="V11" t="inlineStr"/>
      <c r="W11" t="inlineStr">
        <is>
          <t>Shared ratio-feeder row (see MAPLE_HERO_RATIOS) for Evil Eye of Dominant/Rush/Evil Eye Shock's own Final Damage chains — mirrors Hero/Shadower/Bowmaster's own Maple Hero mechanism. Confirmed via idle.maplestorywiki.net/w/Maple_Hero_(Dark_Knight) (full level 1-200 curve, resolves cleanly to factorIndex 23/baseDamage 400 tenths%, 0% residual, same '80%-growth-reduction after Lv.120' kink already confirmed on Hero/Bowmaster's own Maple Hero curves). No independent DPS row of its own (Calc columns J-N blank/0, only D/E/F computed, read directly by each target row's own K-column formula).</t>
        </is>
      </c>
    </row>
    <row r="12">
      <c r="A12" t="inlineStr">
        <is>
          <t>RUSH</t>
        </is>
      </c>
      <c r="B12" t="inlineStr">
        <is>
          <t>Rush</t>
        </is>
      </c>
      <c r="C12" t="n">
        <v>3</v>
      </c>
      <c r="D12" t="n">
        <v>22</v>
      </c>
      <c r="E12" t="b">
        <v>1</v>
      </c>
      <c r="F12" t="n">
        <v>1</v>
      </c>
      <c r="G12" t="n">
        <v>1</v>
      </c>
      <c r="H12" t="n">
        <v>0</v>
      </c>
      <c r="I12" t="n">
        <v>0</v>
      </c>
      <c r="J12" t="n">
        <v>100</v>
      </c>
      <c r="K12" t="n">
        <v>1</v>
      </c>
      <c r="L12" t="n">
        <v>6000</v>
      </c>
      <c r="M12" t="n">
        <v>12</v>
      </c>
      <c r="N12" t="b">
        <v>1</v>
      </c>
      <c r="O12" t="n">
        <v>0</v>
      </c>
      <c r="P12" t="n">
        <v>0</v>
      </c>
      <c r="Q12" t="n">
        <v>0</v>
      </c>
      <c r="R12" t="n">
        <v>12</v>
      </c>
      <c r="S12" t="inlineStr"/>
      <c r="T12" t="n">
        <v>0</v>
      </c>
      <c r="U12" t="n">
        <v>300</v>
      </c>
      <c r="V12" t="n">
        <v>23</v>
      </c>
      <c r="W12" t="inlineStr">
        <is>
          <t>Charges to the front to deal 600%-&gt;1200% damage to 12 target(s) (stun 2.5s not modeled). factorIndex 12, baseDamage 6000 tenths%, 22s cooldown — resolves to the IDENTICAL tuple Hero's own Rush uses (shared verbatim, confirmed identical wiki page). Not patched (Mastery Lv.68/90 own damage/cooldown tiers not separately modeled here, same treatment as Hero's own Rush row — kept consistent for this genuinely shared skill). Maple Hero target (0.75x share) — see MAPLE_HERO_RATIOS.</t>
        </is>
      </c>
    </row>
    <row r="13">
      <c r="A13" t="inlineStr">
        <is>
          <t>HEX_OF_THE_EVIL_EYE</t>
        </is>
      </c>
      <c r="B13" t="inlineStr">
        <is>
          <t>Hex of the Evil Eye</t>
        </is>
      </c>
      <c r="C13" t="n">
        <v>3</v>
      </c>
      <c r="D13" t="n">
        <v>30</v>
      </c>
      <c r="E13" t="b">
        <v>0</v>
      </c>
      <c r="F13" t="n">
        <v>1</v>
      </c>
      <c r="G13" t="n">
        <v>1</v>
      </c>
      <c r="H13" t="n">
        <v>0</v>
      </c>
      <c r="I13" t="n">
        <v>0</v>
      </c>
      <c r="J13" t="n">
        <v>100</v>
      </c>
      <c r="K13" t="n">
        <v>1</v>
      </c>
      <c r="L13" t="n">
        <v>150</v>
      </c>
      <c r="M13" t="n">
        <v>22</v>
      </c>
      <c r="N13" t="b">
        <v>1</v>
      </c>
      <c r="O13">
        <f>SUMPRODUCT((Inputs!$B$3&gt;={98})*{50})</f>
        <v/>
      </c>
      <c r="P13" t="n">
        <v>0</v>
      </c>
      <c r="Q13" t="n">
        <v>0</v>
      </c>
      <c r="R13" t="n">
        <v>0</v>
      </c>
      <c r="S13" t="inlineStr">
        <is>
          <t>ATTACK</t>
        </is>
      </c>
      <c r="T13" t="n">
        <v>20</v>
      </c>
      <c r="U13" t="inlineStr"/>
      <c r="V13" t="inlineStr"/>
      <c r="W13" t="inlineStr">
        <is>
          <t>[Must Summon Evil Eye] Self-inclusive ally buff (matches Hero's own Spirit Blade / Bishop's own 'allied players' precedent), tied to Evil Eye's own duty cycle (Cooldown=30s/BuffDuration=20s matching Evil Eye's own): '+15%-&gt;18.6% Attack to allied players for the summoning duration' (levels 1-100, 3rd-job capped). factorIndex 22, baseDamage 150 tenths%. Mastery Lv.98 'Hex of the Evil Eye - Attack' +50% additionally, real. Lv.82's own '+20 Accuracy to allies' not modeled (no Accuracy mechanic exists).</t>
        </is>
      </c>
    </row>
    <row r="14">
      <c r="A14" t="inlineStr">
        <is>
          <t>DARK_RESONANCE</t>
        </is>
      </c>
      <c r="B14" t="inlineStr">
        <is>
          <t>Dark Resonance</t>
        </is>
      </c>
      <c r="C14" t="n">
        <v>4</v>
      </c>
      <c r="D14" t="n">
        <v>32</v>
      </c>
      <c r="E14" t="b">
        <v>1</v>
      </c>
      <c r="F14" t="n">
        <v>1</v>
      </c>
      <c r="G14" t="n">
        <v>1</v>
      </c>
      <c r="H14" t="n">
        <v>0</v>
      </c>
      <c r="I14" t="n">
        <v>0</v>
      </c>
      <c r="J14" t="n">
        <v>100</v>
      </c>
      <c r="K14" t="n">
        <v>1</v>
      </c>
      <c r="L14" t="n">
        <v>300</v>
      </c>
      <c r="M14" t="n">
        <v>21</v>
      </c>
      <c r="N14" t="b">
        <v>1</v>
      </c>
      <c r="O14" t="n">
        <v>0</v>
      </c>
      <c r="P14" t="n">
        <v>0</v>
      </c>
      <c r="Q14" t="n">
        <v>0</v>
      </c>
      <c r="R14" t="n">
        <v>0</v>
      </c>
      <c r="S14" t="inlineStr">
        <is>
          <t>ATTACK</t>
        </is>
      </c>
      <c r="T14">
        <f>IF(Inputs!$B$3&gt;=130,20*1.4,20)</f>
        <v/>
      </c>
      <c r="U14" t="inlineStr"/>
      <c r="V14" t="inlineStr"/>
      <c r="W14" t="inlineStr">
        <is>
          <t>'Unlocks the power of pure darkness to increase Attack by 30%-&gt;44.4% for 20s' (levels 1-200). factorIndex 21, baseDamage 300 tenths% (curve rescaled 300/240=1.25x from the pre-patch 8%-at-Lv1 baseline... actually: PATCHED level-1 Attack 30%-&gt;still 30% per the patch notes, own cooldown 35-&gt;32s — this row models the CURRENT/patched Attack% curve directly since the wiki's own level-1 value (30%) already matched the patch notes' stated Attack% exactly, only cooldown/boss-bonus needed patching). PATCHED: cooldown 35-&gt;32s (baked into Cooldown(s)), new '+20% boss monster damage while active' clause added — folded into the Global Monster Damage-Taken Bonus% bucket (boss-only via monster_blend_expr), duty-cycle averaged by this row's own uptime, alongside Evil Eye's own contribution (see Summary sheet). Mastery Lv.130 'Dark Resonance - Persistence' +40% duration (real, BuffDuration becomes 20*1.4=28s once unlocked).</t>
        </is>
      </c>
    </row>
    <row r="15">
      <c r="A15" t="inlineStr">
        <is>
          <t>CROSS_OVER_CHAINS</t>
        </is>
      </c>
      <c r="B15" t="inlineStr">
        <is>
          <t>Cross Over Chains</t>
        </is>
      </c>
      <c r="C15" t="n">
        <v>3</v>
      </c>
      <c r="D15" t="n">
        <v>30</v>
      </c>
      <c r="E15" t="b">
        <v>1</v>
      </c>
      <c r="F15" t="n">
        <v>1</v>
      </c>
      <c r="G15" t="n">
        <v>1</v>
      </c>
      <c r="H15" t="n">
        <v>0</v>
      </c>
      <c r="I15" t="n">
        <v>0</v>
      </c>
      <c r="J15" t="n">
        <v>100</v>
      </c>
      <c r="K15" t="n">
        <v>1</v>
      </c>
      <c r="L15" t="n">
        <v>150</v>
      </c>
      <c r="M15" t="n">
        <v>21</v>
      </c>
      <c r="N15" t="b">
        <v>1</v>
      </c>
      <c r="O15">
        <f>SUMPRODUCT((Inputs!$B$3&gt;={73})*{100})</f>
        <v/>
      </c>
      <c r="P15" t="n">
        <v>0</v>
      </c>
      <c r="Q15" t="n">
        <v>0</v>
      </c>
      <c r="R15" t="n">
        <v>0</v>
      </c>
      <c r="S15" t="inlineStr">
        <is>
          <t>ATTACK</t>
        </is>
      </c>
      <c r="T15" t="n">
        <v>15</v>
      </c>
      <c r="U15" t="inlineStr"/>
      <c r="V15" t="inlineStr"/>
      <c r="W15" t="inlineStr">
        <is>
          <t>'Increases Attack by 15%-&gt;18.6% for 15 sec (levels 1-60, own curve). If current HP is 50% or lower, the Attack increase effect disappears and damage taken is decreased by 10%-&gt;12% instead' — modeled assuming steady-state HP&gt;50% (Attack% component only; the HP&lt;=50% swap-to-defensive branch not modeled, matches this project's general non-modeling of the character's own damage-taken). factorIndex 21, baseDamage 150 tenths%, 30s cooldown. Mastery Lv.73 'Cross Over Chains - Attack' +100% additionally (real, taken literally as +100 percentage points per this project's established additive-mastery convention).</t>
        </is>
      </c>
    </row>
    <row r="16">
      <c r="A16" t="inlineStr">
        <is>
          <t>HYPER_BODY</t>
        </is>
      </c>
      <c r="B16" t="inlineStr">
        <is>
          <t>Hyper Body</t>
        </is>
      </c>
      <c r="C16" t="n">
        <v>2</v>
      </c>
      <c r="D16" t="n">
        <v>30</v>
      </c>
      <c r="E16" t="b">
        <v>1</v>
      </c>
      <c r="F16" t="n">
        <v>1</v>
      </c>
      <c r="G16" t="n">
        <v>1</v>
      </c>
      <c r="H16" t="n">
        <v>0</v>
      </c>
      <c r="I16" t="n">
        <v>0</v>
      </c>
      <c r="J16" t="n">
        <v>100</v>
      </c>
      <c r="K16" t="n">
        <v>1</v>
      </c>
      <c r="L16" t="n">
        <v>120</v>
      </c>
      <c r="M16" t="n">
        <v>21</v>
      </c>
      <c r="N16" t="b">
        <v>1</v>
      </c>
      <c r="O16">
        <f>SUMPRODUCT((Inputs!$B$3&gt;={49})*{50})</f>
        <v/>
      </c>
      <c r="P16" t="n">
        <v>0</v>
      </c>
      <c r="Q16" t="n">
        <v>0</v>
      </c>
      <c r="R16" t="n">
        <v>0</v>
      </c>
      <c r="S16" t="inlineStr">
        <is>
          <t>ATTACK</t>
        </is>
      </c>
      <c r="T16" t="n">
        <v>15</v>
      </c>
      <c r="U16" t="inlineStr"/>
      <c r="V16" t="inlineStr"/>
      <c r="W16" t="inlineStr">
        <is>
          <t>'Increases Attack by 12%-&gt;16.8% for 15 sec (levels 1-100, 2nd-job capped), and the Defense of allied players by 15%-&gt;21%' (Defense-of-allies component not modeled — no Defense mechanic exists). factorIndex 21, baseDamage 120 tenths%, 30s cooldown. Mastery Lv.49 'Hyper Body - Persistence' +50% duration (real, applied as a SkillMasteryBonus%-style percentage addition since this schema has no separate duration-mastery mechanism — treated as a documented approximation).</t>
        </is>
      </c>
    </row>
    <row r="17">
      <c r="A17" t="inlineStr">
        <is>
          <t>EVIL_EYE</t>
        </is>
      </c>
      <c r="B17" t="inlineStr">
        <is>
          <t>Evil Eye</t>
        </is>
      </c>
      <c r="C17" t="n">
        <v>2</v>
      </c>
      <c r="D17" t="n">
        <v>30</v>
      </c>
      <c r="E17" t="b">
        <v>1</v>
      </c>
      <c r="F17" t="n">
        <v>1</v>
      </c>
      <c r="G17" t="n">
        <v>1</v>
      </c>
      <c r="H17" t="n">
        <v>0</v>
      </c>
      <c r="I17" t="n">
        <v>0</v>
      </c>
      <c r="J17" t="n">
        <v>100</v>
      </c>
      <c r="K17" t="n">
        <v>1</v>
      </c>
      <c r="L17" t="n">
        <v>150</v>
      </c>
      <c r="M17" t="n">
        <v>21</v>
      </c>
      <c r="N17" t="b">
        <v>1</v>
      </c>
      <c r="O17">
        <f>SUMPRODUCT((Inputs!$B$3&gt;={39})*{10})</f>
        <v/>
      </c>
      <c r="P17" t="n">
        <v>0</v>
      </c>
      <c r="Q17" t="n">
        <v>0</v>
      </c>
      <c r="R17" t="n">
        <v>0</v>
      </c>
      <c r="S17" t="inlineStr">
        <is>
          <t>MONSTER_DMG</t>
        </is>
      </c>
      <c r="T17" t="n">
        <v>20</v>
      </c>
      <c r="U17" t="inlineStr"/>
      <c r="V17" t="inlineStr"/>
      <c r="W17" t="inlineStr">
        <is>
          <t>'Summons Evil Eye. Evil Eye follows you for 20 sec and increases the damage taken by 6 nearby target(s) by 15%-&gt;19.2%' (levels 1-100, 2nd-job capped) — drives the Global Monster Damage-Taken Bonus% bucket (Hero's own Scaring-Sword-pioneered mechanism), duty-cycle averaged, no proc-chance gate (always-on while summoned, unlike Scaring Sword's proc). factorIndex 21, baseDamage 150 tenths%, 30s cooldown. Mastery Lv.39 'Evil Eye - Damage Taken' +10 percentage points, real, flat add once unlocked.</t>
        </is>
      </c>
    </row>
    <row r="18">
      <c r="A18" t="inlineStr">
        <is>
          <t>LORD_OF_DARKNESS_CRITRATE</t>
        </is>
      </c>
      <c r="B18" t="inlineStr">
        <is>
          <t>Lord of Darkness (Crit Rate half)</t>
        </is>
      </c>
      <c r="C18" t="n">
        <v>3</v>
      </c>
      <c r="D18" t="n">
        <v>3</v>
      </c>
      <c r="E18" t="b">
        <v>0</v>
      </c>
      <c r="F18" t="n">
        <v>1</v>
      </c>
      <c r="G18" t="n">
        <v>1</v>
      </c>
      <c r="H18" t="n">
        <v>0</v>
      </c>
      <c r="I18" t="n">
        <v>0</v>
      </c>
      <c r="J18" t="n">
        <v>30</v>
      </c>
      <c r="K18" t="n">
        <v>1</v>
      </c>
      <c r="L18" t="n">
        <v>100</v>
      </c>
      <c r="M18" t="n">
        <v>22</v>
      </c>
      <c r="N18" t="b">
        <v>1</v>
      </c>
      <c r="O18" t="n">
        <v>0</v>
      </c>
      <c r="P18" t="n">
        <v>0</v>
      </c>
      <c r="Q18" t="n">
        <v>0</v>
      </c>
      <c r="R18" t="n">
        <v>0</v>
      </c>
      <c r="S18" t="inlineStr">
        <is>
          <t>CRIT_RATE</t>
        </is>
      </c>
      <c r="T18" t="n">
        <v>8</v>
      </c>
      <c r="U18" t="inlineStr"/>
      <c r="V18" t="inlineStr"/>
      <c r="W18" t="inlineStr">
        <is>
          <t>On-attack proc (30% chance, own internal cooldown) granting +Crit Rate/+Crit Damage for a duration (HP-recovery component not modeled) — split into two rows since this schema's BuffTargetStat column only holds one stat per row (same reason as Hero's own Enrage split). Modeled as ProcChance% x duty-cycle uptime (Scaring-Sword-style simplification), not an exact per-attack RNG state machine. PATCHED: duration 5-&gt;8s (baked into BuffDuration(s)), Crit Rate 8%-&gt;10% (curve rescaled 10/8=1.25x, giving the 100 stored here vs. the pre-patch curve's own 80), cooldown 2-&gt;3s (baked into Cooldown(s)).</t>
        </is>
      </c>
    </row>
    <row r="19">
      <c r="A19" t="inlineStr">
        <is>
          <t>LORD_OF_DARKNESS_CRITDMG</t>
        </is>
      </c>
      <c r="B19" t="inlineStr">
        <is>
          <t>Lord of Darkness (Crit Damage half)</t>
        </is>
      </c>
      <c r="C19" t="n">
        <v>3</v>
      </c>
      <c r="D19" t="n">
        <v>3</v>
      </c>
      <c r="E19" t="b">
        <v>0</v>
      </c>
      <c r="F19" t="n">
        <v>1</v>
      </c>
      <c r="G19" t="n">
        <v>1</v>
      </c>
      <c r="H19" t="n">
        <v>0</v>
      </c>
      <c r="I19" t="n">
        <v>0</v>
      </c>
      <c r="J19" t="n">
        <v>30</v>
      </c>
      <c r="K19" t="n">
        <v>1</v>
      </c>
      <c r="L19" t="n">
        <v>400</v>
      </c>
      <c r="M19" t="n">
        <v>22</v>
      </c>
      <c r="N19" t="b">
        <v>1</v>
      </c>
      <c r="O19" t="n">
        <v>0</v>
      </c>
      <c r="P19" t="n">
        <v>0</v>
      </c>
      <c r="Q19" t="n">
        <v>0</v>
      </c>
      <c r="R19" t="n">
        <v>0</v>
      </c>
      <c r="S19" t="inlineStr">
        <is>
          <t>CRIT_DAMAGE</t>
        </is>
      </c>
      <c r="T19" t="n">
        <v>8</v>
      </c>
      <c r="U19" t="inlineStr"/>
      <c r="V19" t="inlineStr"/>
      <c r="W19" t="inlineStr">
        <is>
          <t>Crit Damage half of Lord of Darkness — same proc-chance/cooldown/duration as LORD_OF_DARKNESS_CRITRATE. PATCHED: Crit Damage 30%-&gt;40% (curve rescaled 40/30=1.3333x, giving the 400 stored here vs. the pre-patch curve's own 300).</t>
        </is>
      </c>
    </row>
    <row r="20">
      <c r="A20" t="inlineStr">
        <is>
          <t>NIMBLE_FEET</t>
        </is>
      </c>
      <c r="B20" t="inlineStr">
        <is>
          <t>Nimble Feet</t>
        </is>
      </c>
      <c r="C20" t="n">
        <v>1</v>
      </c>
      <c r="D20" t="n">
        <v>60</v>
      </c>
      <c r="E20" t="b">
        <v>1</v>
      </c>
      <c r="F20" t="n">
        <v>1</v>
      </c>
      <c r="G20" t="n">
        <v>1</v>
      </c>
      <c r="H20" t="n">
        <v>0</v>
      </c>
      <c r="I20" t="n">
        <v>0</v>
      </c>
      <c r="J20" t="n">
        <v>100</v>
      </c>
      <c r="K20" t="n">
        <v>1</v>
      </c>
      <c r="L20" t="n">
        <v>150</v>
      </c>
      <c r="M20" t="n">
        <v>0</v>
      </c>
      <c r="N20" t="b">
        <v>0</v>
      </c>
      <c r="O20" t="n">
        <v>0</v>
      </c>
      <c r="P20" t="n">
        <v>0</v>
      </c>
      <c r="Q20" t="n">
        <v>0</v>
      </c>
      <c r="R20" t="n">
        <v>1</v>
      </c>
      <c r="S20" t="inlineStr">
        <is>
          <t>ATTACK_SPEED</t>
        </is>
      </c>
      <c r="T20" t="n">
        <v>15</v>
      </c>
      <c r="U20" t="inlineStr"/>
      <c r="V20" t="inlineStr"/>
      <c r="W20" t="inlineStr">
        <is>
          <t>Shared cross-tree verbatim w/ every class in this project (byte-identical wiki wording — '+15% Attack Speed, +10% Speed for 15 sec'). Flat +15% Attack Speed / +10% Speed for 15s, 60s cooldown, non-scaling. FactorIndex unused placeholder.</t>
        </is>
      </c>
    </row>
    <row r="21">
      <c r="A21" t="inlineStr">
        <is>
          <t>WEAPON_ACCELERATION</t>
        </is>
      </c>
      <c r="B21" t="inlineStr">
        <is>
          <t>Weapon Acceleration</t>
        </is>
      </c>
      <c r="C21" t="n">
        <v>2</v>
      </c>
      <c r="D21" t="inlineStr"/>
      <c r="E21" t="b">
        <v>0</v>
      </c>
      <c r="F21" t="n">
        <v>1</v>
      </c>
      <c r="G21" t="n">
        <v>1</v>
      </c>
      <c r="H21" t="n">
        <v>0</v>
      </c>
      <c r="I21" t="n">
        <v>0</v>
      </c>
      <c r="J21" t="n">
        <v>100</v>
      </c>
      <c r="K21" t="n">
        <v>1</v>
      </c>
      <c r="L21" t="n">
        <v>50</v>
      </c>
      <c r="M21" t="n">
        <v>22</v>
      </c>
      <c r="N21" t="b">
        <v>1</v>
      </c>
      <c r="O21" t="n">
        <v>0</v>
      </c>
      <c r="P21" t="n">
        <v>0</v>
      </c>
      <c r="Q21" t="n">
        <v>0</v>
      </c>
      <c r="R21" t="n">
        <v>0</v>
      </c>
      <c r="S21" t="inlineStr">
        <is>
          <t>ATTACK_SPEED</t>
        </is>
      </c>
      <c r="T21" t="n">
        <v>0</v>
      </c>
      <c r="U21" t="inlineStr"/>
      <c r="V21" t="inlineStr"/>
      <c r="W21" t="inlineStr">
        <is>
          <t>Magic Critical pattern — already baked into Inputs!ATTACK_SPEED%; feeds the 2nd-Job Skill Level Bonus delta. Reuses Hero's/Bowmaster's own tuple directly (shared-value-different-key, byte-identical wiki wording — '+5% Attack Speed'). factorIndex 22, baseDamage 50 tenths% (5%-&gt;6.5%, levels 1-100).</t>
        </is>
      </c>
    </row>
    <row r="22">
      <c r="A22" t="inlineStr">
        <is>
          <t>WEAPON_MASTERY</t>
        </is>
      </c>
      <c r="B22" t="inlineStr">
        <is>
          <t>Weapon Mastery</t>
        </is>
      </c>
      <c r="C22" t="n">
        <v>2</v>
      </c>
      <c r="D22" t="inlineStr"/>
      <c r="E22" t="b">
        <v>0</v>
      </c>
      <c r="F22" t="n">
        <v>1</v>
      </c>
      <c r="G22" t="n">
        <v>1</v>
      </c>
      <c r="H22" t="n">
        <v>0</v>
      </c>
      <c r="I22" t="n">
        <v>0</v>
      </c>
      <c r="J22" t="n">
        <v>100</v>
      </c>
      <c r="K22" t="n">
        <v>1</v>
      </c>
      <c r="L22" t="n">
        <v>150</v>
      </c>
      <c r="M22" t="n">
        <v>22</v>
      </c>
      <c r="N22" t="b">
        <v>1</v>
      </c>
      <c r="O22" t="n">
        <v>0</v>
      </c>
      <c r="P22" t="n">
        <v>0</v>
      </c>
      <c r="Q22" t="n">
        <v>0</v>
      </c>
      <c r="R22" t="n">
        <v>0</v>
      </c>
      <c r="S22" t="inlineStr">
        <is>
          <t>MIN_DAMAGE</t>
        </is>
      </c>
      <c r="T22" t="n">
        <v>0</v>
      </c>
      <c r="U22" t="inlineStr"/>
      <c r="V22" t="inlineStr"/>
      <c r="W22" t="inlineStr">
        <is>
          <t>Magic Critical pattern — already baked into Inputs!MIN_DAMAGE%; feeds the 2nd-Job Skill Level Bonus delta. factorIndex 22, baseDamage 150 tenths% (15%-&gt;19.5%, levels 1-100).</t>
        </is>
      </c>
    </row>
    <row r="23">
      <c r="A23" t="inlineStr">
        <is>
          <t>BARRICADE_SKILL_DMG</t>
        </is>
      </c>
      <c r="B23" t="inlineStr">
        <is>
          <t>Barricade Mastery (Skill Damage)</t>
        </is>
      </c>
      <c r="C23" t="n">
        <v>4</v>
      </c>
      <c r="D23" t="inlineStr"/>
      <c r="E23" t="b">
        <v>0</v>
      </c>
      <c r="F23" t="n">
        <v>1</v>
      </c>
      <c r="G23" t="n">
        <v>1</v>
      </c>
      <c r="H23" t="n">
        <v>0</v>
      </c>
      <c r="I23" t="n">
        <v>0</v>
      </c>
      <c r="J23" t="n">
        <v>100</v>
      </c>
      <c r="K23" t="n">
        <v>1</v>
      </c>
      <c r="L23" t="n">
        <v>150</v>
      </c>
      <c r="M23" t="n">
        <v>22</v>
      </c>
      <c r="N23" t="b">
        <v>1</v>
      </c>
      <c r="O23" t="n">
        <v>0</v>
      </c>
      <c r="P23" t="n">
        <v>0</v>
      </c>
      <c r="Q23" t="n">
        <v>0</v>
      </c>
      <c r="R23" t="n">
        <v>0</v>
      </c>
      <c r="S23" t="inlineStr">
        <is>
          <t>SKILL_DAMAGE</t>
        </is>
      </c>
      <c r="T23" t="n">
        <v>0</v>
      </c>
      <c r="U23" t="inlineStr"/>
      <c r="V23" t="inlineStr"/>
      <c r="W23" t="inlineStr">
        <is>
          <t>Magic Critical pattern — already baked into Inputs!SKILL_DAMAGE%; feeds the 4th-Job Skill Level Bonus delta (Skill Damage side). Same slot as Hero's own Combat Mastery, just renamed. factorIndex 22, baseDamage 150 tenths% (15%-&gt;21.3% at Lv140, own curve).</t>
        </is>
      </c>
    </row>
    <row r="24">
      <c r="A24" t="inlineStr">
        <is>
          <t>BARRICADE_MAXDMG</t>
        </is>
      </c>
      <c r="B24" t="inlineStr">
        <is>
          <t>Barricade Mastery (Max Damage Multiplier)</t>
        </is>
      </c>
      <c r="C24" t="n">
        <v>4</v>
      </c>
      <c r="D24" t="inlineStr"/>
      <c r="E24" t="b">
        <v>0</v>
      </c>
      <c r="F24" t="n">
        <v>1</v>
      </c>
      <c r="G24" t="n">
        <v>1</v>
      </c>
      <c r="H24" t="n">
        <v>0</v>
      </c>
      <c r="I24" t="n">
        <v>0</v>
      </c>
      <c r="J24" t="n">
        <v>100</v>
      </c>
      <c r="K24" t="n">
        <v>1</v>
      </c>
      <c r="L24" t="n">
        <v>200</v>
      </c>
      <c r="M24" t="n">
        <v>22</v>
      </c>
      <c r="N24" t="b">
        <v>1</v>
      </c>
      <c r="O24" t="n">
        <v>0</v>
      </c>
      <c r="P24" t="n">
        <v>0</v>
      </c>
      <c r="Q24" t="n">
        <v>0</v>
      </c>
      <c r="R24" t="n">
        <v>0</v>
      </c>
      <c r="S24" t="inlineStr">
        <is>
          <t>MAX_DAMAGE</t>
        </is>
      </c>
      <c r="T24" t="n">
        <v>0</v>
      </c>
      <c r="U24" t="inlineStr"/>
      <c r="V24" t="inlineStr"/>
      <c r="W24" t="inlineStr">
        <is>
          <t>Same skill as Barricade Mastery (Skill Damage) above, +20%-&gt;27.8% Max Damage Multiplier (at Lv140, own curve). Magic Critical pattern — already baked into Inputs!MAX_DAMAGE%; feeds the 4th-Job Skill Level Bonus delta (Max Damage Multiplier side). factorIndex 22, baseDamage 200 tenths%.</t>
        </is>
      </c>
    </row>
    <row r="25">
      <c r="A25" t="inlineStr">
        <is>
          <t>POWER_STANCE_FD</t>
        </is>
      </c>
      <c r="B25" t="inlineStr">
        <is>
          <t>Power Stance (Final Damage)</t>
        </is>
      </c>
      <c r="C25" t="n">
        <v>4</v>
      </c>
      <c r="D25" t="inlineStr"/>
      <c r="E25" t="b">
        <v>0</v>
      </c>
      <c r="F25" t="n">
        <v>1</v>
      </c>
      <c r="G25" t="n">
        <v>1</v>
      </c>
      <c r="H25" t="n">
        <v>0</v>
      </c>
      <c r="I25" t="n">
        <v>0</v>
      </c>
      <c r="J25" t="n">
        <v>100</v>
      </c>
      <c r="K25" t="n">
        <v>1</v>
      </c>
      <c r="L25" t="n">
        <v>150</v>
      </c>
      <c r="M25" t="n">
        <v>22</v>
      </c>
      <c r="N25" t="b">
        <v>1</v>
      </c>
      <c r="O25" t="n">
        <v>0</v>
      </c>
      <c r="P25" t="n">
        <v>0</v>
      </c>
      <c r="Q25" t="n">
        <v>0</v>
      </c>
      <c r="R25" t="n">
        <v>0</v>
      </c>
      <c r="S25" t="inlineStr">
        <is>
          <t>FINAL_DAMAGE</t>
        </is>
      </c>
      <c r="T25" t="n">
        <v>0</v>
      </c>
      <c r="U25" t="inlineStr"/>
      <c r="V25" t="inlineStr"/>
      <c r="W25" t="inlineStr">
        <is>
          <t>Own damage-taken-reduction component (5%-&gt;8%) not modeled (no such mechanic exists). Byte-identical wiki wording to Hero's own Power Stance — reuses that tuple directly. Magic Critical pattern — already baked into Inputs!FINAL_DAMAGE%; feeds the 4th-Job Skill Level Bonus delta. factorIndex 22, baseDamage 150 tenths% (15%-&gt;24%, levels 1-200).</t>
        </is>
      </c>
    </row>
    <row r="26">
      <c r="A26" t="inlineStr">
        <is>
          <t>FINAL_PACT</t>
        </is>
      </c>
      <c r="B26" t="inlineStr">
        <is>
          <t>Final Pact</t>
        </is>
      </c>
      <c r="C26" t="n">
        <v>4</v>
      </c>
      <c r="D26" t="inlineStr"/>
      <c r="E26" t="b">
        <v>0</v>
      </c>
      <c r="F26" t="n">
        <v>1</v>
      </c>
      <c r="G26" t="n">
        <v>1</v>
      </c>
      <c r="H26" t="n">
        <v>0</v>
      </c>
      <c r="I26" t="n">
        <v>0</v>
      </c>
      <c r="J26" t="n">
        <v>100</v>
      </c>
      <c r="K26" t="n">
        <v>1</v>
      </c>
      <c r="L26" t="n">
        <v>100</v>
      </c>
      <c r="M26" t="n">
        <v>22</v>
      </c>
      <c r="N26" t="b">
        <v>1</v>
      </c>
      <c r="O26">
        <f>SUMPRODUCT((Inputs!$B$3&gt;={118})*{100})</f>
        <v/>
      </c>
      <c r="P26" t="n">
        <v>0</v>
      </c>
      <c r="Q26" t="n">
        <v>0</v>
      </c>
      <c r="R26" t="n">
        <v>0</v>
      </c>
      <c r="S26" t="inlineStr">
        <is>
          <t>FINAL_DAMAGE</t>
        </is>
      </c>
      <c r="T26" t="n">
        <v>0</v>
      </c>
      <c r="U26" t="inlineStr"/>
      <c r="V26" t="inlineStr"/>
      <c r="W26" t="inlineStr">
        <is>
          <t>'Increases Final Damage by 10%-&gt;13% (levels 1-200, own curve). When HP falls below 1%, the Final Damage increase disappears and you become immune to damage for 2 sec (once per battle, prevents death)' — death-prevention mechanic not modeled. Magic Critical pattern — already baked into Inputs!FINAL_DAMAGE%; feeds the 4th-Job Skill Level Bonus delta (Sensitivity-only, same as every other Magic-Critical-pattern row). factorIndex 22, baseDamage 100 tenths%. Mastery Lv.118 'Final Pact - Recovery' +100% Final Damage boost (real, +100 percentage points, Sensitivity-delta only since the whole row is a passive assumed reflected in Inputs).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8" t="inlineStr">
        <is>
          <t>Key</t>
        </is>
      </c>
      <c r="B1" s="8" t="inlineStr">
        <is>
          <t>Name</t>
        </is>
      </c>
      <c r="C1" s="8" t="inlineStr">
        <is>
          <t>Unlocked</t>
        </is>
      </c>
      <c r="D1" s="8" t="inlineStr">
        <is>
          <t>InputLevel</t>
        </is>
      </c>
      <c r="E1" s="8" t="inlineStr">
        <is>
          <t>Factor</t>
        </is>
      </c>
      <c r="F1" s="8" t="inlineStr">
        <is>
          <t>CoefficientPercent</t>
        </is>
      </c>
      <c r="G1" s="8" t="inlineStr">
        <is>
          <t>EffectiveHits</t>
        </is>
      </c>
      <c r="H1" s="8" t="inlineStr">
        <is>
          <t>ProcProbability</t>
        </is>
      </c>
      <c r="I1" s="8" t="inlineStr">
        <is>
          <t>MapleHeroMultiplier</t>
        </is>
      </c>
      <c r="J1" s="8" t="inlineStr">
        <is>
          <t>BaseDamage</t>
        </is>
      </c>
      <c r="K1" s="8" t="inlineStr">
        <is>
          <t>BaseHitDamage</t>
        </is>
      </c>
      <c r="L1" s="8" t="inlineStr">
        <is>
          <t>NonCritAvg</t>
        </is>
      </c>
      <c r="M1" s="8" t="inlineStr">
        <is>
          <t>CritAvg</t>
        </is>
      </c>
      <c r="N1" s="8" t="inlineStr">
        <is>
          <t>ExpectedDamage(perHit)</t>
        </is>
      </c>
      <c r="O1" s="8" t="inlineStr">
        <is>
          <t>DPS</t>
        </is>
      </c>
      <c r="P1" s="8" t="inlineStr">
        <is>
          <t>% of Total</t>
        </is>
      </c>
      <c r="Q1" s="8" t="inlineStr">
        <is>
          <t>InvCooldown</t>
        </is>
      </c>
      <c r="R1" s="8" t="inlineStr">
        <is>
          <t>CastsInFight</t>
        </is>
      </c>
      <c r="S1" s="8" t="inlineStr">
        <is>
          <t>HitRate(perSec)</t>
        </is>
      </c>
    </row>
    <row r="2">
      <c r="A2">
        <f>Skills!A2</f>
        <v/>
      </c>
      <c r="B2">
        <f>Skills!B2</f>
        <v/>
      </c>
      <c r="C2">
        <f>Inputs!$B$3&gt;=100</f>
        <v/>
      </c>
      <c r="D2" t="inlineStr"/>
      <c r="E2" t="inlineStr"/>
      <c r="F2">
        <f>Summary!$B$54+Skills!O2</f>
        <v/>
      </c>
      <c r="G2">
        <f>Skills!G2*IF(Skills!H2&gt;0,Skills!I2/Skills!H2,1)</f>
        <v/>
      </c>
      <c r="H2">
        <f>1-(1-Skills!J2/100)^Skills!K2</f>
        <v/>
      </c>
      <c r="I2" t="inlineStr">
        <is>
          <t>1</t>
        </is>
      </c>
      <c r="J2">
        <f>Summary!$B$50*(F2/100)</f>
        <v/>
      </c>
      <c r="K2">
        <f>J2*(1+Summary!$B$51/100)*(1+Inputs!$B$14/100)*(1+IF(Inputs!$B$4="pvp",0,(1-Summary!$B$55)*(Inputs!$B$19+Skills!P2+Summary!$B$59)+Summary!$B$55*(Inputs!$B$20+Skills!Q2+Summary!$B$59))/100)*(1+Inputs!$B$15/100)*(5000/(6000+Inputs!$B$7*(1-Inputs!$B$18/100)))*(1+(Inputs!$B$23+Summary!$B$65)/100)*(1+(IF(Skills!A2="DARK_IMPALE",Inputs!$B$16,Inputs!$B$17))/100)*(Summary!$B$57*I2)</f>
        <v/>
      </c>
      <c r="L2">
        <f>K2*(MIN(Inputs!$B$21,Inputs!$B$22)/100+Inputs!$B$22/100)/2</f>
        <v/>
      </c>
      <c r="M2">
        <f>L2*(1+(Inputs!$B$9+Summary!$B$64)/100)</f>
        <v/>
      </c>
      <c r="N2">
        <f>L2*(1-MIN((Inputs!$B$8+Summary!$B$58),100)/100)+M2*(MIN((Inputs!$B$8+Summary!$B$58),100)/100)</f>
        <v/>
      </c>
      <c r="O2">
        <f>IF(C2,Skills!G2*N2*Summary!$B$63*IF(Inputs!$B$4="pvp",1,(1-Summary!$B$55)*(1)+Summary!$B$55*(MIN(Skills!R2,Inputs!$B$37))),0)</f>
        <v/>
      </c>
      <c r="P2">
        <f>IF(Summary!$B$3=0,0,O2/Summary!$B$3)</f>
        <v/>
      </c>
      <c r="Q2" t="n">
        <v>0</v>
      </c>
      <c r="R2" t="n">
        <v>0</v>
      </c>
      <c r="S2">
        <f>IFERROR(O2/N2,0)</f>
        <v/>
      </c>
    </row>
    <row r="3">
      <c r="A3">
        <f>Skills!A3</f>
        <v/>
      </c>
      <c r="B3">
        <f>Skills!B3</f>
        <v/>
      </c>
      <c r="C3">
        <f>Inputs!$B$3&gt;=50</f>
        <v/>
      </c>
      <c r="D3">
        <f>IF(Skills!C3=1,60+Inputs!$B$24+Inputs!$B$28,IF(Skills!C3=2,90+Inputs!$B$25+Inputs!$B$28,IF(Skills!C3=3,120+Inputs!$B$26+Inputs!$B$28,MAX(0,(Inputs!$B$3-100)*3)+Inputs!$B$27+Inputs!$B$28)))</f>
        <v/>
      </c>
      <c r="E3">
        <f>INDEX(FactorTable!$B$2:$Y$301, MATCH(ROUND(MIN(300,MAX(1,D3)),0), FactorTable!$A$2:$A$301,0), Skills!M3+1)</f>
        <v/>
      </c>
      <c r="F3">
        <f>IF(Skills!N3=TRUE,(Skills!L3/10)*(E3/1000),Skills!L3/10)+Skills!O3</f>
        <v/>
      </c>
      <c r="G3" t="inlineStr"/>
      <c r="H3" t="inlineStr"/>
      <c r="I3" t="inlineStr">
        <is>
          <t>1</t>
        </is>
      </c>
      <c r="J3" t="inlineStr"/>
      <c r="K3" t="inlineStr"/>
      <c r="L3" t="inlineStr"/>
      <c r="M3" t="inlineStr"/>
      <c r="N3" t="inlineStr"/>
      <c r="O3" t="inlineStr"/>
      <c r="P3" t="inlineStr"/>
      <c r="Q3" t="inlineStr"/>
      <c r="R3" t="inlineStr"/>
      <c r="S3" t="inlineStr"/>
    </row>
    <row r="4">
      <c r="A4">
        <f>Skills!A4</f>
        <v/>
      </c>
      <c r="B4">
        <f>Skills!B4</f>
        <v/>
      </c>
      <c r="C4">
        <f>Inputs!$B$3&gt;=105</f>
        <v/>
      </c>
      <c r="D4">
        <f>IF(Skills!C4=1,60+Inputs!$B$24+Inputs!$B$28,IF(Skills!C4=2,90+Inputs!$B$25+Inputs!$B$28,IF(Skills!C4=3,120+Inputs!$B$26+Inputs!$B$28,MAX(0,(Inputs!$B$3-100)*3)+Inputs!$B$27+Inputs!$B$28)))</f>
        <v/>
      </c>
      <c r="E4">
        <f>INDEX(FactorTable!$B$2:$Y$301, MATCH(ROUND(MIN(300,MAX(1,D4)),0), FactorTable!$A$2:$A$301,0), Skills!M4+1)</f>
        <v/>
      </c>
      <c r="F4">
        <f>IF(Skills!N4=TRUE,(Skills!L4/10)*(E4/1000),Skills!L4/10)+Skills!O4</f>
        <v/>
      </c>
      <c r="G4" t="inlineStr"/>
      <c r="H4" t="inlineStr"/>
      <c r="I4" t="inlineStr">
        <is>
          <t>1</t>
        </is>
      </c>
      <c r="J4" t="inlineStr"/>
      <c r="K4" t="inlineStr"/>
      <c r="L4" t="inlineStr"/>
      <c r="M4" t="inlineStr"/>
      <c r="N4" t="inlineStr"/>
      <c r="O4" t="inlineStr"/>
      <c r="P4" t="inlineStr"/>
      <c r="Q4" t="inlineStr"/>
      <c r="R4" t="inlineStr"/>
      <c r="S4" t="inlineStr"/>
    </row>
    <row r="5">
      <c r="A5">
        <f>Skills!A5</f>
        <v/>
      </c>
      <c r="B5">
        <f>Skills!B5</f>
        <v/>
      </c>
      <c r="C5">
        <f>Inputs!$B$3&gt;=117</f>
        <v/>
      </c>
      <c r="D5">
        <f>IF(Skills!C5=1,60+Inputs!$B$24+Inputs!$B$28,IF(Skills!C5=2,90+Inputs!$B$25+Inputs!$B$28,IF(Skills!C5=3,120+Inputs!$B$26+Inputs!$B$28,MAX(0,(Inputs!$B$3-100)*3)+Inputs!$B$27+Inputs!$B$28)))</f>
        <v/>
      </c>
      <c r="E5">
        <f>INDEX(FactorTable!$B$2:$Y$301, MATCH(ROUND(MIN(300,MAX(1,D5)),0), FactorTable!$A$2:$A$301,0), Skills!M5+1)</f>
        <v/>
      </c>
      <c r="F5">
        <f>IF(Skills!N5=TRUE,(Skills!L5/10)*(E5/1000),Skills!L5/10)+Skills!O5</f>
        <v/>
      </c>
      <c r="G5">
        <f>Skills!G5*IF(Skills!H5&gt;0,Skills!I5/Skills!H5,1)</f>
        <v/>
      </c>
      <c r="H5">
        <f>1-(1-Skills!J5/100)^Skills!K5</f>
        <v/>
      </c>
      <c r="I5" t="inlineStr">
        <is>
          <t>1</t>
        </is>
      </c>
      <c r="J5">
        <f>Summary!$B$50*(F5/100)</f>
        <v/>
      </c>
      <c r="K5">
        <f>J5*(1+Summary!$B$51/100)*(1+Inputs!$B$14/100)*(1+IF(Inputs!$B$4="pvp",0,(1-Summary!$B$55)*(Inputs!$B$19+Skills!P5+Summary!$B$59)+Summary!$B$55*(Inputs!$B$20+Skills!Q5+Summary!$B$59))/100)*(1+Inputs!$B$15/100)*(5000/(6000+Inputs!$B$7*(1-Inputs!$B$18/100)))*(1+(Inputs!$B$23+Summary!$B$65)/100)*(1+(IF(Skills!A5="DARK_IMPALE",Inputs!$B$16,Inputs!$B$17))/100)*(Summary!$B$57*I5)</f>
        <v/>
      </c>
      <c r="L5">
        <f>K5*(MIN(Inputs!$B$21,Inputs!$B$22)/100+Inputs!$B$22/100)/2</f>
        <v/>
      </c>
      <c r="M5">
        <f>L5*(1+(Inputs!$B$9+Summary!$B$64)/100)</f>
        <v/>
      </c>
      <c r="N5">
        <f>L5*(1-MIN((Inputs!$B$8+Summary!$B$58),100)/100)+M5*(MIN((Inputs!$B$8+Summary!$B$58),100)/100)</f>
        <v/>
      </c>
      <c r="O5">
        <f>IF(C5,H5*N5*IF(AND(Inputs!$B$4&lt;&gt;"pvp",Inputs!$B$35&gt;0),((Skills!G5*((R5-1)*IF(Skills!H5&gt;0,Skills!I5/Skills!H5,1)+IF(Skills!H5&gt;0,MIN(Skills!I5,MAX(0,Inputs!$B$35-((R5-1)*IF(Inputs!$B$4="pvp",15,MAX(0.1,Skills!D5-IF(Skills!E5=TRUE,Inputs!$B$31,0))))))/Skills!H5,1)))/Inputs!$B$35),G5*Q5)*IF(Inputs!$B$4="pvp",1,(1-Summary!$B$55)*(1)+Summary!$B$55*(MIN(Skills!R5,Inputs!$B$37))),0)</f>
        <v/>
      </c>
      <c r="P5">
        <f>IF(Summary!$B$3=0,0,O5/Summary!$B$3)</f>
        <v/>
      </c>
      <c r="Q5">
        <f>IFERROR(1/IF(Inputs!$B$4="pvp",15,MAX(0.1,Skills!D5-IF(Skills!E5=TRUE,Inputs!$B$31,0))),0)</f>
        <v/>
      </c>
      <c r="R5">
        <f>IF(AND(Inputs!$B$4&lt;&gt;"pvp",Inputs!$B$35&gt;0),(INT(Inputs!$B$35/IF(Inputs!$B$4="pvp",15,MAX(0.1,Skills!D5-IF(Skills!E5=TRUE,Inputs!$B$31,0))))+1),0)</f>
        <v/>
      </c>
      <c r="S5">
        <f>IFERROR(O5/N5,0)</f>
        <v/>
      </c>
    </row>
    <row r="6">
      <c r="A6">
        <f>Skills!A6</f>
        <v/>
      </c>
      <c r="B6">
        <f>Skills!B6</f>
        <v/>
      </c>
      <c r="C6">
        <f>Inputs!$B$3&gt;=103</f>
        <v/>
      </c>
      <c r="D6">
        <f>IF(Skills!C6=1,60+Inputs!$B$24+Inputs!$B$28,IF(Skills!C6=2,90+Inputs!$B$25+Inputs!$B$28,IF(Skills!C6=3,120+Inputs!$B$26+Inputs!$B$28,MAX(0,(Inputs!$B$3-100)*3)+Inputs!$B$27+Inputs!$B$28)))</f>
        <v/>
      </c>
      <c r="E6">
        <f>INDEX(FactorTable!$B$2:$Y$301, MATCH(ROUND(MIN(300,MAX(1,D6)),0), FactorTable!$A$2:$A$301,0), Skills!M6+1)</f>
        <v/>
      </c>
      <c r="F6">
        <f>IF(Skills!N6=TRUE,(Skills!L6/10)*(E6/1000),Skills!L6/10)+Skills!O6</f>
        <v/>
      </c>
      <c r="G6">
        <f>Skills!G6*IF(Skills!H6&gt;0,Skills!I6/Skills!H6,1)</f>
        <v/>
      </c>
      <c r="H6">
        <f>1-(1-Skills!J6/100)^Skills!K6</f>
        <v/>
      </c>
      <c r="I6" t="inlineStr">
        <is>
          <t>1</t>
        </is>
      </c>
      <c r="J6">
        <f>Summary!$B$50*(F6/100)</f>
        <v/>
      </c>
      <c r="K6">
        <f>J6*(1+Summary!$B$51/100)*(1+Inputs!$B$14/100)*(1+IF(Inputs!$B$4="pvp",0,(1-Summary!$B$55)*(Inputs!$B$19+Skills!P6+Summary!$B$59)+Summary!$B$55*(Inputs!$B$20+Skills!Q6+Summary!$B$59))/100)*(1+Inputs!$B$15/100)*(5000/(6000+Inputs!$B$7*(1-Inputs!$B$18/100)))*(1+(Inputs!$B$23+Summary!$B$65)/100)*(1+(IF(Skills!A6="DARK_IMPALE",Inputs!$B$16,Inputs!$B$17))/100)*(Summary!$B$57*I6)</f>
        <v/>
      </c>
      <c r="L6">
        <f>K6*(MIN(Inputs!$B$21,Inputs!$B$22)/100+Inputs!$B$22/100)/2</f>
        <v/>
      </c>
      <c r="M6">
        <f>L6*(1+(Inputs!$B$9+Summary!$B$64)/100)</f>
        <v/>
      </c>
      <c r="N6">
        <f>L6*(1-MIN((Inputs!$B$8+Summary!$B$58),100)/100)+M6*(MIN((Inputs!$B$8+Summary!$B$58),100)/100)</f>
        <v/>
      </c>
      <c r="O6">
        <f>IF(C6,H6*N6*IF(AND(Inputs!$B$4&lt;&gt;"pvp",Inputs!$B$35&gt;0),((Skills!G6*((R6-1)*IF(Skills!H6&gt;0,Skills!I6/Skills!H6,1)+IF(Skills!H6&gt;0,MIN(Skills!I6,MAX(0,Inputs!$B$35-((R6-1)*IF(Inputs!$B$4="pvp",15,MAX(0.1,Skills!D6-IF(Skills!E6=TRUE,Inputs!$B$31,0))))))/Skills!H6,1)))/Inputs!$B$35),G6*Q6)*IF(Inputs!$B$4="pvp",1,(1-Summary!$B$55)*(1)+Summary!$B$55*(MIN(Skills!R6,Inputs!$B$37))),0)</f>
        <v/>
      </c>
      <c r="P6">
        <f>IF(Summary!$B$3=0,0,O6/Summary!$B$3)</f>
        <v/>
      </c>
      <c r="Q6">
        <f>IFERROR(1/IF(Inputs!$B$4="pvp",15,MAX(0.1,Skills!D6-IF(Skills!E6=TRUE,Inputs!$B$31,0))),0)</f>
        <v/>
      </c>
      <c r="R6">
        <f>IF(AND(Inputs!$B$4&lt;&gt;"pvp",Inputs!$B$35&gt;0),(INT(Inputs!$B$35/IF(Inputs!$B$4="pvp",15,MAX(0.1,Skills!D6-IF(Skills!E6=TRUE,Inputs!$B$31,0))))+1),0)</f>
        <v/>
      </c>
      <c r="S6">
        <f>IFERROR(O6/N6,0)</f>
        <v/>
      </c>
    </row>
    <row r="7">
      <c r="A7">
        <f>Skills!A7</f>
        <v/>
      </c>
      <c r="B7">
        <f>Skills!B7</f>
        <v/>
      </c>
      <c r="C7">
        <f>Inputs!$B$3&gt;=40</f>
        <v/>
      </c>
      <c r="D7">
        <f>IF(Skills!C7=1,60+Inputs!$B$24+Inputs!$B$28,IF(Skills!C7=2,90+Inputs!$B$25+Inputs!$B$28,IF(Skills!C7=3,120+Inputs!$B$26+Inputs!$B$28,MAX(0,(Inputs!$B$3-100)*3)+Inputs!$B$27+Inputs!$B$28)))</f>
        <v/>
      </c>
      <c r="E7">
        <f>INDEX(FactorTable!$B$2:$Y$301, MATCH(ROUND(MIN(300,MAX(1,D7)),0), FactorTable!$A$2:$A$301,0), Skills!M7+1)</f>
        <v/>
      </c>
      <c r="F7">
        <f>IF(Skills!N7=TRUE,(Skills!L7/10)*(E7/1000),Skills!L7/10)+Skills!O7</f>
        <v/>
      </c>
      <c r="G7">
        <f>Skills!G7*IF(Skills!H7&gt;0,Skills!I7/Skills!H7,1)</f>
        <v/>
      </c>
      <c r="H7">
        <f>1-(1-Skills!J7/100)^Skills!K7</f>
        <v/>
      </c>
      <c r="I7" t="inlineStr">
        <is>
          <t>1</t>
        </is>
      </c>
      <c r="J7">
        <f>Summary!$B$50*(F7/100)</f>
        <v/>
      </c>
      <c r="K7">
        <f>J7*(1+Summary!$B$51/100)*(1+Inputs!$B$14/100)*(1+IF(Inputs!$B$4="pvp",0,(1-Summary!$B$55)*(Inputs!$B$19+Skills!P7+Summary!$B$59)+Summary!$B$55*(Inputs!$B$20+Skills!Q7+Summary!$B$59))/100)*(1+Inputs!$B$15/100)*(5000/(6000+Inputs!$B$7*(1-Inputs!$B$18/100)))*(1+(Inputs!$B$23+Summary!$B$65)/100)*(1+0.75*IF(C11=TRUE,F11,0)/100)*(1+(IF(Skills!A7="DARK_IMPALE",Inputs!$B$16,Inputs!$B$17))/100)*(Summary!$B$57*I7)</f>
        <v/>
      </c>
      <c r="L7">
        <f>K7*(MIN(Inputs!$B$21,Inputs!$B$22)/100+Inputs!$B$22/100)/2</f>
        <v/>
      </c>
      <c r="M7">
        <f>L7*(1+(Inputs!$B$9+Summary!$B$64)/100)</f>
        <v/>
      </c>
      <c r="N7">
        <f>L7*(1-MIN((Inputs!$B$8+Summary!$B$58),100)/100)+M7*(MIN((Inputs!$B$8+Summary!$B$58),100)/100)</f>
        <v/>
      </c>
      <c r="O7">
        <f>IF(C7,H7*N7*IF(AND(Inputs!$B$4&lt;&gt;"pvp",Inputs!$B$35&gt;0),((Skills!G7*((R7-1)*IF(Skills!H7&gt;0,Skills!I7/Skills!H7,1)+IF(Skills!H7&gt;0,MIN(Skills!I7,MAX(0,Inputs!$B$35-((R7-1)*IF(Inputs!$B$4="pvp",15,MAX(0.1,Skills!D7-IF(Skills!E7=TRUE,Inputs!$B$31,0))))))/Skills!H7,1)))/Inputs!$B$35),G7*Q7)*IF(Inputs!$B$4="pvp",1,(1-Summary!$B$55)*(1)+Summary!$B$55*(MIN(Skills!R7,Inputs!$B$37))),0)</f>
        <v/>
      </c>
      <c r="P7">
        <f>IF(Summary!$B$3=0,0,O7/Summary!$B$3)</f>
        <v/>
      </c>
      <c r="Q7">
        <f>IFERROR(1/IF(Inputs!$B$4="pvp",15,MAX(0.1,Skills!D7-IF(Skills!E7=TRUE,Inputs!$B$31,0))),0)</f>
        <v/>
      </c>
      <c r="R7">
        <f>IF(AND(Inputs!$B$4&lt;&gt;"pvp",Inputs!$B$35&gt;0),(INT(Inputs!$B$35/IF(Inputs!$B$4="pvp",15,MAX(0.1,Skills!D7-IF(Skills!E7=TRUE,Inputs!$B$31,0))))+1),0)</f>
        <v/>
      </c>
      <c r="S7">
        <f>IFERROR(O7/N7,0)</f>
        <v/>
      </c>
    </row>
    <row r="8">
      <c r="A8">
        <f>Skills!A8</f>
        <v/>
      </c>
      <c r="B8">
        <f>Skills!B8</f>
        <v/>
      </c>
      <c r="C8">
        <f>Inputs!$B$3&gt;=75</f>
        <v/>
      </c>
      <c r="D8">
        <f>IF(Skills!C8=1,60+Inputs!$B$24+Inputs!$B$28,IF(Skills!C8=2,90+Inputs!$B$25+Inputs!$B$28,IF(Skills!C8=3,120+Inputs!$B$26+Inputs!$B$28,MAX(0,(Inputs!$B$3-100)*3)+Inputs!$B$27+Inputs!$B$28)))</f>
        <v/>
      </c>
      <c r="E8">
        <f>INDEX(FactorTable!$B$2:$Y$301, MATCH(ROUND(MIN(300,MAX(1,D8)),0), FactorTable!$A$2:$A$301,0), Skills!M8+1)</f>
        <v/>
      </c>
      <c r="F8">
        <f>IF(Skills!N8=TRUE,(Skills!L8/10)*(E8/1000),Skills!L8/10)+Skills!O8</f>
        <v/>
      </c>
      <c r="G8" t="inlineStr"/>
      <c r="H8" t="inlineStr"/>
      <c r="I8" t="inlineStr">
        <is>
          <t>1</t>
        </is>
      </c>
      <c r="J8" t="inlineStr"/>
      <c r="K8" t="inlineStr"/>
      <c r="L8" t="inlineStr"/>
      <c r="M8" t="inlineStr"/>
      <c r="N8" t="inlineStr"/>
      <c r="O8" t="inlineStr"/>
      <c r="P8" t="inlineStr"/>
      <c r="Q8" t="inlineStr"/>
      <c r="R8" t="inlineStr"/>
      <c r="S8" t="inlineStr"/>
    </row>
    <row r="9">
      <c r="A9">
        <f>Skills!A9</f>
        <v/>
      </c>
      <c r="B9">
        <f>Skills!B9</f>
        <v/>
      </c>
      <c r="C9">
        <f>Inputs!$B$3&gt;=60</f>
        <v/>
      </c>
      <c r="D9">
        <f>IF(Skills!C9=1,60+Inputs!$B$24+Inputs!$B$28,IF(Skills!C9=2,90+Inputs!$B$25+Inputs!$B$28,IF(Skills!C9=3,120+Inputs!$B$26+Inputs!$B$28,MAX(0,(Inputs!$B$3-100)*3)+Inputs!$B$27+Inputs!$B$28)))</f>
        <v/>
      </c>
      <c r="E9">
        <f>INDEX(FactorTable!$B$2:$Y$301, MATCH(ROUND(MIN(300,MAX(1,D9)),0), FactorTable!$A$2:$A$301,0), Skills!M9+1)</f>
        <v/>
      </c>
      <c r="F9">
        <f>IF(Skills!N9=TRUE,(Skills!L9/10)*(E9/1000),Skills!L9/10)+Skills!O9</f>
        <v/>
      </c>
      <c r="G9">
        <f>Skills!G9*IF(Skills!H9&gt;0,Skills!I9/Skills!H9,1)</f>
        <v/>
      </c>
      <c r="H9">
        <f>1-(1-Skills!J9/100)^Skills!K9</f>
        <v/>
      </c>
      <c r="I9" t="inlineStr">
        <is>
          <t>1</t>
        </is>
      </c>
      <c r="J9">
        <f>Summary!$B$50*(F9/100)</f>
        <v/>
      </c>
      <c r="K9">
        <f>J9*(1+Summary!$B$51/100)*(1+Inputs!$B$14/100)*(1+IF(Inputs!$B$4="pvp",0,(1-Summary!$B$55)*(Inputs!$B$19+Skills!P9+Summary!$B$59)+Summary!$B$55*(Inputs!$B$20+Skills!Q9+Summary!$B$59))/100)*(1+Inputs!$B$15/100)*(5000/(6000+Inputs!$B$7*(1-Inputs!$B$18/100)))*(1+(Inputs!$B$23+Summary!$B$65)/100)*(1+1.0*IF(C11=TRUE,F11,0)/100)*(1+(IF(Skills!A9="DARK_IMPALE",Inputs!$B$16,Inputs!$B$17))/100)*(Summary!$B$57*I9)</f>
        <v/>
      </c>
      <c r="L9">
        <f>K9*(MIN(Inputs!$B$21,Inputs!$B$22)/100+Inputs!$B$22/100)/2</f>
        <v/>
      </c>
      <c r="M9">
        <f>L9*(1+(Inputs!$B$9+Summary!$B$64)/100)</f>
        <v/>
      </c>
      <c r="N9">
        <f>L9*(1-MIN((Inputs!$B$8+Summary!$B$58),100)/100)+M9*(MIN((Inputs!$B$8+Summary!$B$58),100)/100)</f>
        <v/>
      </c>
      <c r="O9">
        <f>IF(C9,H9*N9*IF(AND(Inputs!$B$4&lt;&gt;"pvp",Inputs!$B$35&gt;0),((Skills!G9*((R9-1)*IF(Skills!H9&gt;0,Skills!I9/Skills!H9,1)+IF(Skills!H9&gt;0,MIN(Skills!I9,MAX(0,Inputs!$B$35-((R9-1)*IF(Inputs!$B$4="pvp",15,MAX(0.1,Skills!D9-IF(Skills!E9=TRUE,Inputs!$B$31,0))))))/Skills!H9,1)))/Inputs!$B$35),G9*Q9)*IF(Inputs!$B$4="pvp",1,(1-Summary!$B$55)*(1)+Summary!$B$55*(MIN(Skills!R9,Inputs!$B$37))),0)</f>
        <v/>
      </c>
      <c r="P9">
        <f>IF(Summary!$B$3=0,0,O9/Summary!$B$3)</f>
        <v/>
      </c>
      <c r="Q9">
        <f>IFERROR(1/IF(Inputs!$B$4="pvp",15,MAX(0.1,Skills!D9-IF(Skills!E9=TRUE,Inputs!$B$31,0))),0)</f>
        <v/>
      </c>
      <c r="R9">
        <f>IF(AND(Inputs!$B$4&lt;&gt;"pvp",Inputs!$B$35&gt;0),(INT(Inputs!$B$35/IF(Inputs!$B$4="pvp",15,MAX(0.1,Skills!D9-IF(Skills!E9=TRUE,Inputs!$B$31,0))))+1),0)</f>
        <v/>
      </c>
      <c r="S9">
        <f>IFERROR(O9/N9,0)</f>
        <v/>
      </c>
    </row>
    <row r="10">
      <c r="A10">
        <f>Skills!A10</f>
        <v/>
      </c>
      <c r="B10">
        <f>Skills!B10</f>
        <v/>
      </c>
      <c r="C10">
        <f>Inputs!$B$3&gt;=110</f>
        <v/>
      </c>
      <c r="D10">
        <f>IF(Skills!C10=1,60+Inputs!$B$24+Inputs!$B$28,IF(Skills!C10=2,90+Inputs!$B$25+Inputs!$B$28,IF(Skills!C10=3,120+Inputs!$B$26+Inputs!$B$28,MAX(0,(Inputs!$B$3-100)*3)+Inputs!$B$27+Inputs!$B$28)))</f>
        <v/>
      </c>
      <c r="E10">
        <f>INDEX(FactorTable!$B$2:$Y$301, MATCH(ROUND(MIN(300,MAX(1,D10)),0), FactorTable!$A$2:$A$301,0), Skills!M10+1)</f>
        <v/>
      </c>
      <c r="F10">
        <f>IF(Skills!N10=TRUE,(Skills!L10/10)*(E10/1000),Skills!L10/10)+Skills!O10</f>
        <v/>
      </c>
      <c r="G10">
        <f>Skills!G10*IF(Skills!H10&gt;0,Skills!I10/Skills!H10,1)</f>
        <v/>
      </c>
      <c r="H10">
        <f>1-(1-Skills!J10/100)^Skills!K10</f>
        <v/>
      </c>
      <c r="I10" t="inlineStr">
        <is>
          <t>1</t>
        </is>
      </c>
      <c r="J10">
        <f>Summary!$B$50*(F10/100)</f>
        <v/>
      </c>
      <c r="K10">
        <f>J10*(1+Summary!$B$51/100)*(1+Inputs!$B$14/100)*(1+IF(Inputs!$B$4="pvp",0,(1-Summary!$B$55)*(Inputs!$B$19+Skills!P10+Summary!$B$59)+Summary!$B$55*(Inputs!$B$20+Skills!Q10+Summary!$B$59))/100)*(1+Inputs!$B$15/100)*(5000/(6000+Inputs!$B$7*(1-Inputs!$B$18/100)))*(1+(Inputs!$B$23+Summary!$B$65)/100)*(1+(IF(Skills!A10="DARK_IMPALE",Inputs!$B$16,Inputs!$B$17))/100)*(Summary!$B$57*I10)</f>
        <v/>
      </c>
      <c r="L10">
        <f>K10*(MIN(Inputs!$B$21,Inputs!$B$22)/100+Inputs!$B$22/100)/2</f>
        <v/>
      </c>
      <c r="M10">
        <f>L10*(1+(Inputs!$B$9+Summary!$B$64)/100)</f>
        <v/>
      </c>
      <c r="N10">
        <f>L10*(1-MIN((Inputs!$B$8+Summary!$B$58),100)/100)+M10*(MIN((Inputs!$B$8+Summary!$B$58),100)/100)</f>
        <v/>
      </c>
      <c r="O10">
        <f>IF(C10,H10*N10*IF(AND(Inputs!$B$4&lt;&gt;"pvp",Inputs!$B$35&gt;0),((Skills!G10*((R10-1)*IF(Skills!H10&gt;0,Skills!I10/Skills!H10,1)+IF(Skills!H10&gt;0,MIN(Skills!I10,MAX(0,Inputs!$B$35-((R10-1)*IF(Inputs!$B$4="pvp",15,MAX(0.1,Skills!D10-IF(Skills!E10=TRUE,Inputs!$B$31,0))))))/Skills!H10,1)))/Inputs!$B$35),G10*Q10)*IF(Inputs!$B$4="pvp",1,(1-Summary!$B$55)*(1)+Summary!$B$55*(MIN(Skills!R10,Inputs!$B$37))),0)</f>
        <v/>
      </c>
      <c r="P10">
        <f>IF(Summary!$B$3=0,0,O10/Summary!$B$3)</f>
        <v/>
      </c>
      <c r="Q10">
        <f>IFERROR(1/IF(Inputs!$B$4="pvp",15,MAX(0.1,Skills!D10-IF(Skills!E10=TRUE,Inputs!$B$31,0))),0)</f>
        <v/>
      </c>
      <c r="R10">
        <f>IF(AND(Inputs!$B$4&lt;&gt;"pvp",Inputs!$B$35&gt;0),(INT(Inputs!$B$35/IF(Inputs!$B$4="pvp",15,MAX(0.1,Skills!D10-IF(Skills!E10=TRUE,Inputs!$B$31,0))))+1),0)</f>
        <v/>
      </c>
      <c r="S10">
        <f>IFERROR(O10/N10,0)</f>
        <v/>
      </c>
    </row>
    <row r="11">
      <c r="A11">
        <f>Skills!A11</f>
        <v/>
      </c>
      <c r="B11">
        <f>Skills!B11</f>
        <v/>
      </c>
      <c r="C11">
        <f>Inputs!$B$3&gt;=100</f>
        <v/>
      </c>
      <c r="D11">
        <f>IF(Skills!C11=1,60+Inputs!$B$24+Inputs!$B$28,IF(Skills!C11=2,90+Inputs!$B$25+Inputs!$B$28,IF(Skills!C11=3,120+Inputs!$B$26+Inputs!$B$28,MAX(0,(Inputs!$B$3-100)*3)+Inputs!$B$27+Inputs!$B$28)))</f>
        <v/>
      </c>
      <c r="E11">
        <f>INDEX(FactorTable!$B$2:$Y$301, MATCH(ROUND(MIN(300,MAX(1,D11)),0), FactorTable!$A$2:$A$301,0), Skills!M11+1)</f>
        <v/>
      </c>
      <c r="F11">
        <f>IF(Skills!N11=TRUE,(Skills!L11/10)*(E11/1000),Skills!L11/10)+Skills!O11</f>
        <v/>
      </c>
      <c r="G11" t="inlineStr"/>
      <c r="H11" t="inlineStr"/>
      <c r="I11" t="inlineStr">
        <is>
          <t>1</t>
        </is>
      </c>
      <c r="J11" t="inlineStr"/>
      <c r="K11" t="inlineStr"/>
      <c r="L11" t="inlineStr"/>
      <c r="M11" t="inlineStr"/>
      <c r="N11" t="inlineStr"/>
      <c r="O11" t="inlineStr"/>
      <c r="P11" t="inlineStr"/>
      <c r="Q11" t="inlineStr"/>
      <c r="R11" t="inlineStr"/>
      <c r="S11" t="inlineStr"/>
    </row>
    <row r="12">
      <c r="A12">
        <f>Skills!A12</f>
        <v/>
      </c>
      <c r="B12">
        <f>Skills!B12</f>
        <v/>
      </c>
      <c r="C12">
        <f>Inputs!$B$3&gt;=63</f>
        <v/>
      </c>
      <c r="D12">
        <f>IF(Skills!C12=1,60+Inputs!$B$24+Inputs!$B$28,IF(Skills!C12=2,90+Inputs!$B$25+Inputs!$B$28,IF(Skills!C12=3,120+Inputs!$B$26+Inputs!$B$28,MAX(0,(Inputs!$B$3-100)*3)+Inputs!$B$27+Inputs!$B$28)))</f>
        <v/>
      </c>
      <c r="E12">
        <f>INDEX(FactorTable!$B$2:$Y$301, MATCH(ROUND(MIN(300,MAX(1,D12)),0), FactorTable!$A$2:$A$301,0), Skills!M12+1)</f>
        <v/>
      </c>
      <c r="F12">
        <f>IF(Skills!N12=TRUE,(Skills!L12/10)*(E12/1000),Skills!L12/10)+Skills!O12</f>
        <v/>
      </c>
      <c r="G12">
        <f>Skills!G12*IF(Skills!H12&gt;0,Skills!I12/Skills!H12,1)</f>
        <v/>
      </c>
      <c r="H12">
        <f>1-(1-Skills!J12/100)^Skills!K12</f>
        <v/>
      </c>
      <c r="I12" t="inlineStr">
        <is>
          <t>1</t>
        </is>
      </c>
      <c r="J12">
        <f>Summary!$B$50*(F12/100)</f>
        <v/>
      </c>
      <c r="K12">
        <f>J12*(1+Summary!$B$51/100)*(1+Inputs!$B$14/100)*(1+IF(Inputs!$B$4="pvp",0,(1-Summary!$B$55)*(Inputs!$B$19+Skills!P12+Summary!$B$59)+Summary!$B$55*(Inputs!$B$20+Skills!Q12+Summary!$B$59))/100)*(1+Inputs!$B$15/100)*(5000/(6000+Inputs!$B$7*(1-Inputs!$B$18/100)))*(1+(Inputs!$B$23+Summary!$B$65)/100)*(1+0.75*IF(C11=TRUE,F11,0)/100)*(1+(IF(Skills!A12="DARK_IMPALE",Inputs!$B$16,Inputs!$B$17))/100)*(Summary!$B$57*I12)</f>
        <v/>
      </c>
      <c r="L12">
        <f>K12*(MIN(Inputs!$B$21,Inputs!$B$22)/100+Inputs!$B$22/100)/2</f>
        <v/>
      </c>
      <c r="M12">
        <f>L12*(1+(Inputs!$B$9+Summary!$B$64)/100)</f>
        <v/>
      </c>
      <c r="N12">
        <f>L12*(1-MIN((Inputs!$B$8+Summary!$B$58),100)/100)+M12*(MIN((Inputs!$B$8+Summary!$B$58),100)/100)</f>
        <v/>
      </c>
      <c r="O12">
        <f>IF(C12,H12*N12*IF(AND(Inputs!$B$4&lt;&gt;"pvp",Inputs!$B$35&gt;0),((Skills!G12*((R12-1)*IF(Skills!H12&gt;0,Skills!I12/Skills!H12,1)+IF(Skills!H12&gt;0,MIN(Skills!I12,MAX(0,Inputs!$B$35-((R12-1)*IF(Inputs!$B$4="pvp",15,MAX(0.1,Skills!D12-IF(Skills!E12=TRUE,Inputs!$B$31,0))))))/Skills!H12,1)))/Inputs!$B$35),G12*Q12)*IF(Inputs!$B$4="pvp",1,(1-Summary!$B$55)*(1)+Summary!$B$55*(MIN(Skills!R12,Inputs!$B$37))),0)</f>
        <v/>
      </c>
      <c r="P12">
        <f>IF(Summary!$B$3=0,0,O12/Summary!$B$3)</f>
        <v/>
      </c>
      <c r="Q12">
        <f>IFERROR(1/IF(Inputs!$B$4="pvp",15,MAX(0.1,Skills!D12-IF(Skills!E12=TRUE,Inputs!$B$31,0))),0)</f>
        <v/>
      </c>
      <c r="R12">
        <f>IF(AND(Inputs!$B$4&lt;&gt;"pvp",Inputs!$B$35&gt;0),(INT(Inputs!$B$35/IF(Inputs!$B$4="pvp",15,MAX(0.1,Skills!D12-IF(Skills!E12=TRUE,Inputs!$B$31,0))))+1),0)</f>
        <v/>
      </c>
      <c r="S12">
        <f>IFERROR(O12/N12,0)</f>
        <v/>
      </c>
    </row>
    <row r="13">
      <c r="A13">
        <f>Skills!A13</f>
        <v/>
      </c>
      <c r="B13">
        <f>Skills!B13</f>
        <v/>
      </c>
      <c r="C13">
        <f>Inputs!$B$3&gt;=69</f>
        <v/>
      </c>
      <c r="D13">
        <f>IF(Skills!C13=1,60+Inputs!$B$24+Inputs!$B$28,IF(Skills!C13=2,90+Inputs!$B$25+Inputs!$B$28,IF(Skills!C13=3,120+Inputs!$B$26+Inputs!$B$28,MAX(0,(Inputs!$B$3-100)*3)+Inputs!$B$27+Inputs!$B$28)))</f>
        <v/>
      </c>
      <c r="E13">
        <f>INDEX(FactorTable!$B$2:$Y$301, MATCH(ROUND(MIN(300,MAX(1,D13)),0), FactorTable!$A$2:$A$301,0), Skills!M13+1)</f>
        <v/>
      </c>
      <c r="F13">
        <f>IF(Skills!N13=TRUE,(Skills!L13/10)*(E13/1000),Skills!L13/10)+Skills!O13</f>
        <v/>
      </c>
      <c r="G13">
        <f>Skills!G13*IF(Skills!H13&gt;0,Skills!I13/Skills!H13,1)</f>
        <v/>
      </c>
      <c r="H13">
        <f>1-(1-Skills!J13/100)^Skills!K13</f>
        <v/>
      </c>
      <c r="I13" t="inlineStr">
        <is>
          <t>1</t>
        </is>
      </c>
      <c r="J13" t="inlineStr"/>
      <c r="K13" t="inlineStr"/>
      <c r="L13" t="inlineStr"/>
      <c r="M13" t="inlineStr"/>
      <c r="N13" t="inlineStr"/>
      <c r="O13" t="n">
        <v>0</v>
      </c>
      <c r="P13">
        <f>IF(Summary!$B$3=0,0,O13/Summary!$B$3)</f>
        <v/>
      </c>
      <c r="Q13">
        <f>IFERROR(1/IF(Inputs!$B$4="pvp",15,MAX(0.1,Skills!D13-IF(Skills!E13=TRUE,Inputs!$B$31,0))),0)</f>
        <v/>
      </c>
      <c r="R13">
        <f>IF(AND(Inputs!$B$4&lt;&gt;"pvp",Inputs!$B$35&gt;0),(INT(Inputs!$B$35/IF(Inputs!$B$4="pvp",15,MAX(0.1,Skills!D13-IF(Skills!E13=TRUE,Inputs!$B$31,0))))+1),0)</f>
        <v/>
      </c>
      <c r="S13">
        <f>IFERROR(O13/N13,0)</f>
        <v/>
      </c>
    </row>
    <row r="14">
      <c r="A14">
        <f>Skills!A14</f>
        <v/>
      </c>
      <c r="B14">
        <f>Skills!B14</f>
        <v/>
      </c>
      <c r="C14">
        <f>Inputs!$B$3&gt;=115</f>
        <v/>
      </c>
      <c r="D14">
        <f>IF(Skills!C14=1,60+Inputs!$B$24+Inputs!$B$28,IF(Skills!C14=2,90+Inputs!$B$25+Inputs!$B$28,IF(Skills!C14=3,120+Inputs!$B$26+Inputs!$B$28,MAX(0,(Inputs!$B$3-100)*3)+Inputs!$B$27+Inputs!$B$28)))</f>
        <v/>
      </c>
      <c r="E14">
        <f>INDEX(FactorTable!$B$2:$Y$301, MATCH(ROUND(MIN(300,MAX(1,D14)),0), FactorTable!$A$2:$A$301,0), Skills!M14+1)</f>
        <v/>
      </c>
      <c r="F14">
        <f>IF(Skills!N14=TRUE,(Skills!L14/10)*(E14/1000),Skills!L14/10)+Skills!O14</f>
        <v/>
      </c>
      <c r="G14">
        <f>Skills!G14*IF(Skills!H14&gt;0,Skills!I14/Skills!H14,1)</f>
        <v/>
      </c>
      <c r="H14">
        <f>1-(1-Skills!J14/100)^Skills!K14</f>
        <v/>
      </c>
      <c r="I14" t="inlineStr">
        <is>
          <t>1</t>
        </is>
      </c>
      <c r="J14" t="inlineStr"/>
      <c r="K14" t="inlineStr"/>
      <c r="L14" t="inlineStr"/>
      <c r="M14" t="inlineStr"/>
      <c r="N14" t="inlineStr"/>
      <c r="O14" t="n">
        <v>0</v>
      </c>
      <c r="P14">
        <f>IF(Summary!$B$3=0,0,O14/Summary!$B$3)</f>
        <v/>
      </c>
      <c r="Q14">
        <f>IFERROR(1/IF(Inputs!$B$4="pvp",15,MAX(0.1,Skills!D14-IF(Skills!E14=TRUE,Inputs!$B$31,0))),0)</f>
        <v/>
      </c>
      <c r="R14">
        <f>IF(AND(Inputs!$B$4&lt;&gt;"pvp",Inputs!$B$35&gt;0),(INT(Inputs!$B$35/IF(Inputs!$B$4="pvp",15,MAX(0.1,Skills!D14-IF(Skills!E14=TRUE,Inputs!$B$31,0))))+1),0)</f>
        <v/>
      </c>
      <c r="S14">
        <f>IFERROR(O14/N14,0)</f>
        <v/>
      </c>
    </row>
    <row r="15">
      <c r="A15">
        <f>Skills!A15</f>
        <v/>
      </c>
      <c r="B15">
        <f>Skills!B15</f>
        <v/>
      </c>
      <c r="C15">
        <f>Inputs!$B$3&gt;=66</f>
        <v/>
      </c>
      <c r="D15">
        <f>IF(Skills!C15=1,60+Inputs!$B$24+Inputs!$B$28,IF(Skills!C15=2,90+Inputs!$B$25+Inputs!$B$28,IF(Skills!C15=3,120+Inputs!$B$26+Inputs!$B$28,MAX(0,(Inputs!$B$3-100)*3)+Inputs!$B$27+Inputs!$B$28)))</f>
        <v/>
      </c>
      <c r="E15">
        <f>INDEX(FactorTable!$B$2:$Y$301, MATCH(ROUND(MIN(300,MAX(1,D15)),0), FactorTable!$A$2:$A$301,0), Skills!M15+1)</f>
        <v/>
      </c>
      <c r="F15">
        <f>IF(Skills!N15=TRUE,(Skills!L15/10)*(E15/1000),Skills!L15/10)+Skills!O15</f>
        <v/>
      </c>
      <c r="G15">
        <f>Skills!G15*IF(Skills!H15&gt;0,Skills!I15/Skills!H15,1)</f>
        <v/>
      </c>
      <c r="H15">
        <f>1-(1-Skills!J15/100)^Skills!K15</f>
        <v/>
      </c>
      <c r="I15" t="inlineStr">
        <is>
          <t>1</t>
        </is>
      </c>
      <c r="J15" t="inlineStr"/>
      <c r="K15" t="inlineStr"/>
      <c r="L15" t="inlineStr"/>
      <c r="M15" t="inlineStr"/>
      <c r="N15" t="inlineStr"/>
      <c r="O15" t="n">
        <v>0</v>
      </c>
      <c r="P15">
        <f>IF(Summary!$B$3=0,0,O15/Summary!$B$3)</f>
        <v/>
      </c>
      <c r="Q15">
        <f>IFERROR(1/IF(Inputs!$B$4="pvp",15,MAX(0.1,Skills!D15-IF(Skills!E15=TRUE,Inputs!$B$31,0))),0)</f>
        <v/>
      </c>
      <c r="R15">
        <f>IF(AND(Inputs!$B$4&lt;&gt;"pvp",Inputs!$B$35&gt;0),(INT(Inputs!$B$35/IF(Inputs!$B$4="pvp",15,MAX(0.1,Skills!D15-IF(Skills!E15=TRUE,Inputs!$B$31,0))))+1),0)</f>
        <v/>
      </c>
      <c r="S15">
        <f>IFERROR(O15/N15,0)</f>
        <v/>
      </c>
    </row>
    <row r="16">
      <c r="A16">
        <f>Skills!A16</f>
        <v/>
      </c>
      <c r="B16">
        <f>Skills!B16</f>
        <v/>
      </c>
      <c r="C16">
        <f>Inputs!$B$3&gt;=45</f>
        <v/>
      </c>
      <c r="D16">
        <f>IF(Skills!C16=1,60+Inputs!$B$24+Inputs!$B$28,IF(Skills!C16=2,90+Inputs!$B$25+Inputs!$B$28,IF(Skills!C16=3,120+Inputs!$B$26+Inputs!$B$28,MAX(0,(Inputs!$B$3-100)*3)+Inputs!$B$27+Inputs!$B$28)))</f>
        <v/>
      </c>
      <c r="E16">
        <f>INDEX(FactorTable!$B$2:$Y$301, MATCH(ROUND(MIN(300,MAX(1,D16)),0), FactorTable!$A$2:$A$301,0), Skills!M16+1)</f>
        <v/>
      </c>
      <c r="F16">
        <f>IF(Skills!N16=TRUE,(Skills!L16/10)*(E16/1000),Skills!L16/10)+Skills!O16</f>
        <v/>
      </c>
      <c r="G16">
        <f>Skills!G16*IF(Skills!H16&gt;0,Skills!I16/Skills!H16,1)</f>
        <v/>
      </c>
      <c r="H16">
        <f>1-(1-Skills!J16/100)^Skills!K16</f>
        <v/>
      </c>
      <c r="I16" t="inlineStr">
        <is>
          <t>1</t>
        </is>
      </c>
      <c r="J16" t="inlineStr"/>
      <c r="K16" t="inlineStr"/>
      <c r="L16" t="inlineStr"/>
      <c r="M16" t="inlineStr"/>
      <c r="N16" t="inlineStr"/>
      <c r="O16" t="n">
        <v>0</v>
      </c>
      <c r="P16">
        <f>IF(Summary!$B$3=0,0,O16/Summary!$B$3)</f>
        <v/>
      </c>
      <c r="Q16">
        <f>IFERROR(1/IF(Inputs!$B$4="pvp",15,MAX(0.1,Skills!D16-IF(Skills!E16=TRUE,Inputs!$B$31,0))),0)</f>
        <v/>
      </c>
      <c r="R16">
        <f>IF(AND(Inputs!$B$4&lt;&gt;"pvp",Inputs!$B$35&gt;0),(INT(Inputs!$B$35/IF(Inputs!$B$4="pvp",15,MAX(0.1,Skills!D16-IF(Skills!E16=TRUE,Inputs!$B$31,0))))+1),0)</f>
        <v/>
      </c>
      <c r="S16">
        <f>IFERROR(O16/N16,0)</f>
        <v/>
      </c>
    </row>
    <row r="17">
      <c r="A17">
        <f>Skills!A17</f>
        <v/>
      </c>
      <c r="B17">
        <f>Skills!B17</f>
        <v/>
      </c>
      <c r="C17">
        <f>Inputs!$B$3&gt;=35</f>
        <v/>
      </c>
      <c r="D17">
        <f>IF(Skills!C17=1,60+Inputs!$B$24+Inputs!$B$28,IF(Skills!C17=2,90+Inputs!$B$25+Inputs!$B$28,IF(Skills!C17=3,120+Inputs!$B$26+Inputs!$B$28,MAX(0,(Inputs!$B$3-100)*3)+Inputs!$B$27+Inputs!$B$28)))</f>
        <v/>
      </c>
      <c r="E17">
        <f>INDEX(FactorTable!$B$2:$Y$301, MATCH(ROUND(MIN(300,MAX(1,D17)),0), FactorTable!$A$2:$A$301,0), Skills!M17+1)</f>
        <v/>
      </c>
      <c r="F17">
        <f>IF(Skills!N17=TRUE,(Skills!L17/10)*(E17/1000),Skills!L17/10)+Skills!O17</f>
        <v/>
      </c>
      <c r="G17">
        <f>Skills!G17*IF(Skills!H17&gt;0,Skills!I17/Skills!H17,1)</f>
        <v/>
      </c>
      <c r="H17">
        <f>1-(1-Skills!J17/100)^Skills!K17</f>
        <v/>
      </c>
      <c r="I17" t="inlineStr">
        <is>
          <t>1</t>
        </is>
      </c>
      <c r="J17" t="inlineStr"/>
      <c r="K17" t="inlineStr"/>
      <c r="L17" t="inlineStr"/>
      <c r="M17" t="inlineStr"/>
      <c r="N17" t="inlineStr"/>
      <c r="O17" t="n">
        <v>0</v>
      </c>
      <c r="P17">
        <f>IF(Summary!$B$3=0,0,O17/Summary!$B$3)</f>
        <v/>
      </c>
      <c r="Q17">
        <f>IFERROR(1/IF(Inputs!$B$4="pvp",15,MAX(0.1,Skills!D17-IF(Skills!E17=TRUE,Inputs!$B$31,0))),0)</f>
        <v/>
      </c>
      <c r="R17">
        <f>IF(AND(Inputs!$B$4&lt;&gt;"pvp",Inputs!$B$35&gt;0),(INT(Inputs!$B$35/IF(Inputs!$B$4="pvp",15,MAX(0.1,Skills!D17-IF(Skills!E17=TRUE,Inputs!$B$31,0))))+1),0)</f>
        <v/>
      </c>
      <c r="S17">
        <f>IFERROR(O17/N17,0)</f>
        <v/>
      </c>
    </row>
    <row r="18">
      <c r="A18">
        <f>Skills!A18</f>
        <v/>
      </c>
      <c r="B18">
        <f>Skills!B18</f>
        <v/>
      </c>
      <c r="C18">
        <f>Inputs!$B$3&gt;=72</f>
        <v/>
      </c>
      <c r="D18">
        <f>IF(Skills!C18=1,60+Inputs!$B$24+Inputs!$B$28,IF(Skills!C18=2,90+Inputs!$B$25+Inputs!$B$28,IF(Skills!C18=3,120+Inputs!$B$26+Inputs!$B$28,MAX(0,(Inputs!$B$3-100)*3)+Inputs!$B$27+Inputs!$B$28)))</f>
        <v/>
      </c>
      <c r="E18">
        <f>INDEX(FactorTable!$B$2:$Y$301, MATCH(ROUND(MIN(300,MAX(1,D18)),0), FactorTable!$A$2:$A$301,0), Skills!M18+1)</f>
        <v/>
      </c>
      <c r="F18">
        <f>IF(Skills!N18=TRUE,(Skills!L18/10)*(E18/1000),Skills!L18/10)+Skills!O18</f>
        <v/>
      </c>
      <c r="G18">
        <f>Skills!G18*IF(Skills!H18&gt;0,Skills!I18/Skills!H18,1)</f>
        <v/>
      </c>
      <c r="H18">
        <f>1-(1-Skills!J18/100)^Skills!K18</f>
        <v/>
      </c>
      <c r="I18" t="inlineStr">
        <is>
          <t>1</t>
        </is>
      </c>
      <c r="J18" t="inlineStr"/>
      <c r="K18" t="inlineStr"/>
      <c r="L18" t="inlineStr"/>
      <c r="M18" t="inlineStr"/>
      <c r="N18" t="inlineStr"/>
      <c r="O18" t="n">
        <v>0</v>
      </c>
      <c r="P18">
        <f>IF(Summary!$B$3=0,0,O18/Summary!$B$3)</f>
        <v/>
      </c>
      <c r="Q18">
        <f>IFERROR(1/IF(Inputs!$B$4="pvp",15,MAX(0.1,Skills!D18-IF(Skills!E18=TRUE,Inputs!$B$31,0))),0)</f>
        <v/>
      </c>
      <c r="R18">
        <f>IF(AND(Inputs!$B$4&lt;&gt;"pvp",Inputs!$B$35&gt;0),(INT(Inputs!$B$35/IF(Inputs!$B$4="pvp",15,MAX(0.1,Skills!D18-IF(Skills!E18=TRUE,Inputs!$B$31,0))))+1),0)</f>
        <v/>
      </c>
      <c r="S18">
        <f>IFERROR(O18/N18,0)</f>
        <v/>
      </c>
    </row>
    <row r="19">
      <c r="A19">
        <f>Skills!A19</f>
        <v/>
      </c>
      <c r="B19">
        <f>Skills!B19</f>
        <v/>
      </c>
      <c r="C19">
        <f>Inputs!$B$3&gt;=72</f>
        <v/>
      </c>
      <c r="D19">
        <f>IF(Skills!C19=1,60+Inputs!$B$24+Inputs!$B$28,IF(Skills!C19=2,90+Inputs!$B$25+Inputs!$B$28,IF(Skills!C19=3,120+Inputs!$B$26+Inputs!$B$28,MAX(0,(Inputs!$B$3-100)*3)+Inputs!$B$27+Inputs!$B$28)))</f>
        <v/>
      </c>
      <c r="E19">
        <f>INDEX(FactorTable!$B$2:$Y$301, MATCH(ROUND(MIN(300,MAX(1,D19)),0), FactorTable!$A$2:$A$301,0), Skills!M19+1)</f>
        <v/>
      </c>
      <c r="F19">
        <f>IF(Skills!N19=TRUE,(Skills!L19/10)*(E19/1000),Skills!L19/10)+Skills!O19</f>
        <v/>
      </c>
      <c r="G19">
        <f>Skills!G19*IF(Skills!H19&gt;0,Skills!I19/Skills!H19,1)</f>
        <v/>
      </c>
      <c r="H19">
        <f>1-(1-Skills!J19/100)^Skills!K19</f>
        <v/>
      </c>
      <c r="I19" t="inlineStr">
        <is>
          <t>1</t>
        </is>
      </c>
      <c r="J19" t="inlineStr"/>
      <c r="K19" t="inlineStr"/>
      <c r="L19" t="inlineStr"/>
      <c r="M19" t="inlineStr"/>
      <c r="N19" t="inlineStr"/>
      <c r="O19" t="n">
        <v>0</v>
      </c>
      <c r="P19">
        <f>IF(Summary!$B$3=0,0,O19/Summary!$B$3)</f>
        <v/>
      </c>
      <c r="Q19">
        <f>IFERROR(1/IF(Inputs!$B$4="pvp",15,MAX(0.1,Skills!D19-IF(Skills!E19=TRUE,Inputs!$B$31,0))),0)</f>
        <v/>
      </c>
      <c r="R19">
        <f>IF(AND(Inputs!$B$4&lt;&gt;"pvp",Inputs!$B$35&gt;0),(INT(Inputs!$B$35/IF(Inputs!$B$4="pvp",15,MAX(0.1,Skills!D19-IF(Skills!E19=TRUE,Inputs!$B$31,0))))+1),0)</f>
        <v/>
      </c>
      <c r="S19">
        <f>IFERROR(O19/N19,0)</f>
        <v/>
      </c>
    </row>
    <row r="20">
      <c r="A20">
        <f>Skills!A20</f>
        <v/>
      </c>
      <c r="B20">
        <f>Skills!B20</f>
        <v/>
      </c>
      <c r="C20">
        <f>TRUE</f>
        <v/>
      </c>
      <c r="D20">
        <f>IF(Skills!C20=1,60+Inputs!$B$24+Inputs!$B$28,IF(Skills!C20=2,90+Inputs!$B$25+Inputs!$B$28,IF(Skills!C20=3,120+Inputs!$B$26+Inputs!$B$28,MAX(0,(Inputs!$B$3-100)*3)+Inputs!$B$27+Inputs!$B$28)))</f>
        <v/>
      </c>
      <c r="E20">
        <f>INDEX(FactorTable!$B$2:$Y$301, MATCH(ROUND(MIN(300,MAX(1,D20)),0), FactorTable!$A$2:$A$301,0), Skills!M20+1)</f>
        <v/>
      </c>
      <c r="F20">
        <f>IF(Skills!N20=TRUE,(Skills!L20/10)*(E20/1000),Skills!L20/10)+Skills!O20</f>
        <v/>
      </c>
      <c r="G20">
        <f>Skills!G20*IF(Skills!H20&gt;0,Skills!I20/Skills!H20,1)</f>
        <v/>
      </c>
      <c r="H20">
        <f>1-(1-Skills!J20/100)^Skills!K20</f>
        <v/>
      </c>
      <c r="I20" t="inlineStr">
        <is>
          <t>1</t>
        </is>
      </c>
      <c r="J20" t="inlineStr"/>
      <c r="K20" t="inlineStr"/>
      <c r="L20" t="inlineStr"/>
      <c r="M20" t="inlineStr"/>
      <c r="N20" t="inlineStr"/>
      <c r="O20" t="n">
        <v>0</v>
      </c>
      <c r="P20">
        <f>IF(Summary!$B$3=0,0,O20/Summary!$B$3)</f>
        <v/>
      </c>
      <c r="Q20">
        <f>IFERROR(1/IF(Inputs!$B$4="pvp",15,MAX(0.1,Skills!D20-IF(Skills!E20=TRUE,Inputs!$B$31,0))),0)</f>
        <v/>
      </c>
      <c r="R20">
        <f>IF(AND(Inputs!$B$4&lt;&gt;"pvp",Inputs!$B$35&gt;0),(INT(Inputs!$B$35/IF(Inputs!$B$4="pvp",15,MAX(0.1,Skills!D20-IF(Skills!E20=TRUE,Inputs!$B$31,0))))+1),0)</f>
        <v/>
      </c>
      <c r="S20">
        <f>IFERROR(O20/N20,0)</f>
        <v/>
      </c>
    </row>
    <row r="21">
      <c r="A21">
        <f>Skills!A21</f>
        <v/>
      </c>
      <c r="B21">
        <f>Skills!B21</f>
        <v/>
      </c>
      <c r="C21">
        <f>Inputs!$B$3&gt;=33</f>
        <v/>
      </c>
      <c r="D21">
        <f>IF(Skills!C21=1,60+Inputs!$B$24+Inputs!$B$28,IF(Skills!C21=2,90+Inputs!$B$25+Inputs!$B$28,IF(Skills!C21=3,120+Inputs!$B$26+Inputs!$B$28,MAX(0,(Inputs!$B$3-100)*3)+Inputs!$B$27+Inputs!$B$28)))</f>
        <v/>
      </c>
      <c r="E21">
        <f>INDEX(FactorTable!$B$2:$Y$301, MATCH(ROUND(MIN(300,MAX(1,D21)),0), FactorTable!$A$2:$A$301,0), Skills!M21+1)</f>
        <v/>
      </c>
      <c r="F21">
        <f>IF(Skills!N21=TRUE,(Skills!L21/10)*(E21/1000),Skills!L21/10)+Skills!O21</f>
        <v/>
      </c>
      <c r="G21">
        <f>Skills!G21*IF(Skills!H21&gt;0,Skills!I21/Skills!H21,1)</f>
        <v/>
      </c>
      <c r="H21">
        <f>1-(1-Skills!J21/100)^Skills!K21</f>
        <v/>
      </c>
      <c r="I21" t="inlineStr">
        <is>
          <t>1</t>
        </is>
      </c>
      <c r="J21" t="inlineStr"/>
      <c r="K21" t="inlineStr"/>
      <c r="L21" t="inlineStr"/>
      <c r="M21" t="inlineStr"/>
      <c r="N21" t="inlineStr"/>
      <c r="O21" t="n">
        <v>0</v>
      </c>
      <c r="P21">
        <f>IF(Summary!$B$3=0,0,O21/Summary!$B$3)</f>
        <v/>
      </c>
      <c r="Q21" t="n">
        <v>0</v>
      </c>
      <c r="R21" t="n">
        <v>0</v>
      </c>
      <c r="S21">
        <f>IFERROR(O21/N21,0)</f>
        <v/>
      </c>
    </row>
    <row r="22">
      <c r="A22">
        <f>Skills!A22</f>
        <v/>
      </c>
      <c r="B22">
        <f>Skills!B22</f>
        <v/>
      </c>
      <c r="C22">
        <f>Inputs!$B$3&gt;=43</f>
        <v/>
      </c>
      <c r="D22">
        <f>IF(Skills!C22=1,60+Inputs!$B$24+Inputs!$B$28,IF(Skills!C22=2,90+Inputs!$B$25+Inputs!$B$28,IF(Skills!C22=3,120+Inputs!$B$26+Inputs!$B$28,MAX(0,(Inputs!$B$3-100)*3)+Inputs!$B$27+Inputs!$B$28)))</f>
        <v/>
      </c>
      <c r="E22">
        <f>INDEX(FactorTable!$B$2:$Y$301, MATCH(ROUND(MIN(300,MAX(1,D22)),0), FactorTable!$A$2:$A$301,0), Skills!M22+1)</f>
        <v/>
      </c>
      <c r="F22">
        <f>IF(Skills!N22=TRUE,(Skills!L22/10)*(E22/1000),Skills!L22/10)+Skills!O22</f>
        <v/>
      </c>
      <c r="G22">
        <f>Skills!G22*IF(Skills!H22&gt;0,Skills!I22/Skills!H22,1)</f>
        <v/>
      </c>
      <c r="H22">
        <f>1-(1-Skills!J22/100)^Skills!K22</f>
        <v/>
      </c>
      <c r="I22" t="inlineStr">
        <is>
          <t>1</t>
        </is>
      </c>
      <c r="J22" t="inlineStr"/>
      <c r="K22" t="inlineStr"/>
      <c r="L22" t="inlineStr"/>
      <c r="M22" t="inlineStr"/>
      <c r="N22" t="inlineStr"/>
      <c r="O22" t="n">
        <v>0</v>
      </c>
      <c r="P22">
        <f>IF(Summary!$B$3=0,0,O22/Summary!$B$3)</f>
        <v/>
      </c>
      <c r="Q22" t="n">
        <v>0</v>
      </c>
      <c r="R22" t="n">
        <v>0</v>
      </c>
      <c r="S22">
        <f>IFERROR(O22/N22,0)</f>
        <v/>
      </c>
    </row>
    <row r="23">
      <c r="A23">
        <f>Skills!A23</f>
        <v/>
      </c>
      <c r="B23">
        <f>Skills!B23</f>
        <v/>
      </c>
      <c r="C23">
        <f>Inputs!$B$3&gt;=120</f>
        <v/>
      </c>
      <c r="D23">
        <f>IF(Skills!C23=1,60+Inputs!$B$24+Inputs!$B$28,IF(Skills!C23=2,90+Inputs!$B$25+Inputs!$B$28,IF(Skills!C23=3,120+Inputs!$B$26+Inputs!$B$28,MAX(0,(Inputs!$B$3-100)*3)+Inputs!$B$27+Inputs!$B$28)))</f>
        <v/>
      </c>
      <c r="E23">
        <f>INDEX(FactorTable!$B$2:$Y$301, MATCH(ROUND(MIN(300,MAX(1,D23)),0), FactorTable!$A$2:$A$301,0), Skills!M23+1)</f>
        <v/>
      </c>
      <c r="F23">
        <f>IF(Skills!N23=TRUE,(Skills!L23/10)*(E23/1000),Skills!L23/10)+Skills!O23</f>
        <v/>
      </c>
      <c r="G23">
        <f>Skills!G23*IF(Skills!H23&gt;0,Skills!I23/Skills!H23,1)</f>
        <v/>
      </c>
      <c r="H23">
        <f>1-(1-Skills!J23/100)^Skills!K23</f>
        <v/>
      </c>
      <c r="I23" t="inlineStr">
        <is>
          <t>1</t>
        </is>
      </c>
      <c r="J23" t="inlineStr"/>
      <c r="K23" t="inlineStr"/>
      <c r="L23" t="inlineStr"/>
      <c r="M23" t="inlineStr"/>
      <c r="N23" t="inlineStr"/>
      <c r="O23" t="n">
        <v>0</v>
      </c>
      <c r="P23">
        <f>IF(Summary!$B$3=0,0,O23/Summary!$B$3)</f>
        <v/>
      </c>
      <c r="Q23" t="n">
        <v>0</v>
      </c>
      <c r="R23" t="n">
        <v>0</v>
      </c>
      <c r="S23">
        <f>IFERROR(O23/N23,0)</f>
        <v/>
      </c>
    </row>
    <row r="24">
      <c r="A24">
        <f>Skills!A24</f>
        <v/>
      </c>
      <c r="B24">
        <f>Skills!B24</f>
        <v/>
      </c>
      <c r="C24">
        <f>Inputs!$B$3&gt;=120</f>
        <v/>
      </c>
      <c r="D24">
        <f>IF(Skills!C24=1,60+Inputs!$B$24+Inputs!$B$28,IF(Skills!C24=2,90+Inputs!$B$25+Inputs!$B$28,IF(Skills!C24=3,120+Inputs!$B$26+Inputs!$B$28,MAX(0,(Inputs!$B$3-100)*3)+Inputs!$B$27+Inputs!$B$28)))</f>
        <v/>
      </c>
      <c r="E24">
        <f>INDEX(FactorTable!$B$2:$Y$301, MATCH(ROUND(MIN(300,MAX(1,D24)),0), FactorTable!$A$2:$A$301,0), Skills!M24+1)</f>
        <v/>
      </c>
      <c r="F24">
        <f>IF(Skills!N24=TRUE,(Skills!L24/10)*(E24/1000),Skills!L24/10)+Skills!O24</f>
        <v/>
      </c>
      <c r="G24">
        <f>Skills!G24*IF(Skills!H24&gt;0,Skills!I24/Skills!H24,1)</f>
        <v/>
      </c>
      <c r="H24">
        <f>1-(1-Skills!J24/100)^Skills!K24</f>
        <v/>
      </c>
      <c r="I24" t="inlineStr">
        <is>
          <t>1</t>
        </is>
      </c>
      <c r="J24" t="inlineStr"/>
      <c r="K24" t="inlineStr"/>
      <c r="L24" t="inlineStr"/>
      <c r="M24" t="inlineStr"/>
      <c r="N24" t="inlineStr"/>
      <c r="O24" t="n">
        <v>0</v>
      </c>
      <c r="P24">
        <f>IF(Summary!$B$3=0,0,O24/Summary!$B$3)</f>
        <v/>
      </c>
      <c r="Q24" t="n">
        <v>0</v>
      </c>
      <c r="R24" t="n">
        <v>0</v>
      </c>
      <c r="S24">
        <f>IFERROR(O24/N24,0)</f>
        <v/>
      </c>
    </row>
    <row r="25">
      <c r="A25">
        <f>Skills!A25</f>
        <v/>
      </c>
      <c r="B25">
        <f>Skills!B25</f>
        <v/>
      </c>
      <c r="C25">
        <f>Inputs!$B$3&gt;=125</f>
        <v/>
      </c>
      <c r="D25">
        <f>IF(Skills!C25=1,60+Inputs!$B$24+Inputs!$B$28,IF(Skills!C25=2,90+Inputs!$B$25+Inputs!$B$28,IF(Skills!C25=3,120+Inputs!$B$26+Inputs!$B$28,MAX(0,(Inputs!$B$3-100)*3)+Inputs!$B$27+Inputs!$B$28)))</f>
        <v/>
      </c>
      <c r="E25">
        <f>INDEX(FactorTable!$B$2:$Y$301, MATCH(ROUND(MIN(300,MAX(1,D25)),0), FactorTable!$A$2:$A$301,0), Skills!M25+1)</f>
        <v/>
      </c>
      <c r="F25">
        <f>IF(Skills!N25=TRUE,(Skills!L25/10)*(E25/1000),Skills!L25/10)+Skills!O25</f>
        <v/>
      </c>
      <c r="G25">
        <f>Skills!G25*IF(Skills!H25&gt;0,Skills!I25/Skills!H25,1)</f>
        <v/>
      </c>
      <c r="H25">
        <f>1-(1-Skills!J25/100)^Skills!K25</f>
        <v/>
      </c>
      <c r="I25" t="inlineStr">
        <is>
          <t>1</t>
        </is>
      </c>
      <c r="J25" t="inlineStr"/>
      <c r="K25" t="inlineStr"/>
      <c r="L25" t="inlineStr"/>
      <c r="M25" t="inlineStr"/>
      <c r="N25" t="inlineStr"/>
      <c r="O25" t="n">
        <v>0</v>
      </c>
      <c r="P25">
        <f>IF(Summary!$B$3=0,0,O25/Summary!$B$3)</f>
        <v/>
      </c>
      <c r="Q25" t="n">
        <v>0</v>
      </c>
      <c r="R25" t="n">
        <v>0</v>
      </c>
      <c r="S25">
        <f>IFERROR(O25/N25,0)</f>
        <v/>
      </c>
    </row>
    <row r="26">
      <c r="A26">
        <f>Skills!A26</f>
        <v/>
      </c>
      <c r="B26">
        <f>Skills!B26</f>
        <v/>
      </c>
      <c r="C26">
        <f>Inputs!$B$3&gt;=107</f>
        <v/>
      </c>
      <c r="D26">
        <f>IF(Skills!C26=1,60+Inputs!$B$24+Inputs!$B$28,IF(Skills!C26=2,90+Inputs!$B$25+Inputs!$B$28,IF(Skills!C26=3,120+Inputs!$B$26+Inputs!$B$28,MAX(0,(Inputs!$B$3-100)*3)+Inputs!$B$27+Inputs!$B$28)))</f>
        <v/>
      </c>
      <c r="E26">
        <f>INDEX(FactorTable!$B$2:$Y$301, MATCH(ROUND(MIN(300,MAX(1,D26)),0), FactorTable!$A$2:$A$301,0), Skills!M26+1)</f>
        <v/>
      </c>
      <c r="F26">
        <f>IF(Skills!N26=TRUE,(Skills!L26/10)*(E26/1000),Skills!L26/10)+Skills!O26</f>
        <v/>
      </c>
      <c r="G26">
        <f>Skills!G26*IF(Skills!H26&gt;0,Skills!I26/Skills!H26,1)</f>
        <v/>
      </c>
      <c r="H26">
        <f>1-(1-Skills!J26/100)^Skills!K26</f>
        <v/>
      </c>
      <c r="I26" t="inlineStr">
        <is>
          <t>1</t>
        </is>
      </c>
      <c r="J26" t="inlineStr"/>
      <c r="K26" t="inlineStr"/>
      <c r="L26" t="inlineStr"/>
      <c r="M26" t="inlineStr"/>
      <c r="N26" t="inlineStr"/>
      <c r="O26" t="n">
        <v>0</v>
      </c>
      <c r="P26">
        <f>IF(Summary!$B$3=0,0,O26/Summary!$B$3)</f>
        <v/>
      </c>
      <c r="Q26" t="n">
        <v>0</v>
      </c>
      <c r="R26" t="n">
        <v>0</v>
      </c>
      <c r="S26">
        <f>IFERROR(O26/N26,0)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Dark Knight — DPS Summary</t>
        </is>
      </c>
    </row>
    <row r="3">
      <c r="A3" s="9" t="inlineStr">
        <is>
          <t>TOTAL DPS</t>
        </is>
      </c>
      <c r="B3" s="9">
        <f>SUM(Calc!O2:O26)</f>
        <v/>
      </c>
    </row>
    <row r="5">
      <c r="A5" s="7" t="inlineStr">
        <is>
          <t>Per-Skill DPS Breakdown</t>
        </is>
      </c>
    </row>
    <row r="6">
      <c r="A6" s="8" t="inlineStr">
        <is>
          <t>Skill</t>
        </is>
      </c>
      <c r="B6" s="8" t="inlineStr">
        <is>
          <t>DPS</t>
        </is>
      </c>
      <c r="C6" s="8" t="inlineStr">
        <is>
          <t>% of Total</t>
        </is>
      </c>
    </row>
    <row r="7">
      <c r="A7">
        <f>Calc!B2</f>
        <v/>
      </c>
      <c r="B7">
        <f>Calc!O2</f>
        <v/>
      </c>
      <c r="C7">
        <f>Calc!P2*100</f>
        <v/>
      </c>
    </row>
    <row r="8">
      <c r="A8">
        <f>Calc!B5</f>
        <v/>
      </c>
      <c r="B8">
        <f>Calc!O5</f>
        <v/>
      </c>
      <c r="C8">
        <f>Calc!P5*100</f>
        <v/>
      </c>
    </row>
    <row r="9">
      <c r="A9">
        <f>Calc!B6</f>
        <v/>
      </c>
      <c r="B9">
        <f>Calc!O6</f>
        <v/>
      </c>
      <c r="C9">
        <f>Calc!P6*100</f>
        <v/>
      </c>
    </row>
    <row r="10">
      <c r="A10">
        <f>Calc!B7</f>
        <v/>
      </c>
      <c r="B10">
        <f>Calc!O7</f>
        <v/>
      </c>
      <c r="C10">
        <f>Calc!P7*100</f>
        <v/>
      </c>
    </row>
    <row r="11">
      <c r="A11">
        <f>Calc!B9</f>
        <v/>
      </c>
      <c r="B11">
        <f>Calc!O9</f>
        <v/>
      </c>
      <c r="C11">
        <f>Calc!P9*100</f>
        <v/>
      </c>
    </row>
    <row r="12">
      <c r="A12">
        <f>Calc!B10</f>
        <v/>
      </c>
      <c r="B12">
        <f>Calc!O10</f>
        <v/>
      </c>
      <c r="C12">
        <f>Calc!P10*100</f>
        <v/>
      </c>
    </row>
    <row r="13">
      <c r="A13">
        <f>Calc!B12</f>
        <v/>
      </c>
      <c r="B13">
        <f>Calc!O12</f>
        <v/>
      </c>
      <c r="C13">
        <f>Calc!P12*100</f>
        <v/>
      </c>
    </row>
    <row r="14">
      <c r="A14" s="7" t="inlineStr">
        <is>
          <t>Marginal DPS &amp; Stat Value (see Sensitivity for full detail)</t>
        </is>
      </c>
    </row>
    <row r="16">
      <c r="A16" s="8" t="inlineStr">
        <is>
          <t>Stat</t>
        </is>
      </c>
      <c r="B16" s="8" t="inlineStr">
        <is>
          <t>DPS per +1</t>
        </is>
      </c>
      <c r="C16" s="8" t="inlineStr">
        <is>
          <t>Units per +1% DPS</t>
        </is>
      </c>
    </row>
    <row r="17">
      <c r="A17">
        <f>Sensitivity!A5</f>
        <v/>
      </c>
      <c r="B17">
        <f>Sensitivity!H5</f>
        <v/>
      </c>
      <c r="C17">
        <f>Sensitivity!B5</f>
        <v/>
      </c>
    </row>
    <row r="18">
      <c r="A18">
        <f>Sensitivity!A6</f>
        <v/>
      </c>
      <c r="B18">
        <f>Sensitivity!H6</f>
        <v/>
      </c>
      <c r="C18">
        <f>Sensitivity!B6</f>
        <v/>
      </c>
    </row>
    <row r="19">
      <c r="A19">
        <f>Sensitivity!A7</f>
        <v/>
      </c>
      <c r="B19">
        <f>Sensitivity!H7</f>
        <v/>
      </c>
      <c r="C19">
        <f>Sensitivity!B7</f>
        <v/>
      </c>
    </row>
    <row r="20">
      <c r="A20">
        <f>Sensitivity!A8</f>
        <v/>
      </c>
      <c r="B20">
        <f>Sensitivity!H8</f>
        <v/>
      </c>
      <c r="C20">
        <f>Sensitivity!B8</f>
        <v/>
      </c>
    </row>
    <row r="21">
      <c r="A21">
        <f>Sensitivity!A9</f>
        <v/>
      </c>
      <c r="B21">
        <f>Sensitivity!H9</f>
        <v/>
      </c>
      <c r="C21">
        <f>Sensitivity!B9</f>
        <v/>
      </c>
    </row>
    <row r="22">
      <c r="A22">
        <f>Sensitivity!A10</f>
        <v/>
      </c>
      <c r="B22">
        <f>Sensitivity!H10</f>
        <v/>
      </c>
      <c r="C22">
        <f>Sensitivity!B10</f>
        <v/>
      </c>
    </row>
    <row r="23">
      <c r="A23">
        <f>Sensitivity!A11</f>
        <v/>
      </c>
      <c r="B23">
        <f>Sensitivity!H11</f>
        <v/>
      </c>
      <c r="C23">
        <f>Sensitivity!B11</f>
        <v/>
      </c>
    </row>
    <row r="24">
      <c r="A24">
        <f>Sensitivity!A12</f>
        <v/>
      </c>
      <c r="B24">
        <f>Sensitivity!H12</f>
        <v/>
      </c>
      <c r="C24">
        <f>Sensitivity!B12</f>
        <v/>
      </c>
    </row>
    <row r="25">
      <c r="A25">
        <f>Sensitivity!A13</f>
        <v/>
      </c>
      <c r="B25">
        <f>Sensitivity!H13</f>
        <v/>
      </c>
      <c r="C25">
        <f>Sensitivity!B13</f>
        <v/>
      </c>
    </row>
    <row r="26">
      <c r="A26">
        <f>Sensitivity!A14</f>
        <v/>
      </c>
      <c r="B26">
        <f>Sensitivity!H14</f>
        <v/>
      </c>
      <c r="C26">
        <f>Sensitivity!B14</f>
        <v/>
      </c>
    </row>
    <row r="27">
      <c r="A27">
        <f>Sensitivity!A15</f>
        <v/>
      </c>
      <c r="B27">
        <f>Sensitivity!H15</f>
        <v/>
      </c>
      <c r="C27">
        <f>Sensitivity!B15</f>
        <v/>
      </c>
    </row>
    <row r="28">
      <c r="A28">
        <f>Sensitivity!A16</f>
        <v/>
      </c>
      <c r="B28">
        <f>Sensitivity!H16</f>
        <v/>
      </c>
      <c r="C28">
        <f>Sensitivity!B16</f>
        <v/>
      </c>
    </row>
    <row r="29">
      <c r="A29">
        <f>Sensitivity!A17</f>
        <v/>
      </c>
      <c r="B29">
        <f>Sensitivity!H17</f>
        <v/>
      </c>
      <c r="C29">
        <f>Sensitivity!B17</f>
        <v/>
      </c>
    </row>
    <row r="30">
      <c r="A30">
        <f>Sensitivity!A18</f>
        <v/>
      </c>
      <c r="B30">
        <f>Sensitivity!H18</f>
        <v/>
      </c>
      <c r="C30">
        <f>Sensitivity!B18</f>
        <v/>
      </c>
    </row>
    <row r="31">
      <c r="A31">
        <f>Sensitivity!A19</f>
        <v/>
      </c>
      <c r="B31">
        <f>Sensitivity!H19</f>
        <v/>
      </c>
      <c r="C31">
        <f>Sensitivity!B19</f>
        <v/>
      </c>
    </row>
    <row r="32">
      <c r="A32">
        <f>Sensitivity!A20</f>
        <v/>
      </c>
      <c r="B32">
        <f>Sensitivity!H20</f>
        <v/>
      </c>
      <c r="C32">
        <f>Sensitivity!B20</f>
        <v/>
      </c>
    </row>
    <row r="33">
      <c r="A33">
        <f>Sensitivity!A21</f>
        <v/>
      </c>
      <c r="B33">
        <f>Sensitivity!H21</f>
        <v/>
      </c>
      <c r="C33">
        <f>Sensitivity!B21</f>
        <v/>
      </c>
    </row>
    <row r="34">
      <c r="A34">
        <f>Sensitivity!A22</f>
        <v/>
      </c>
      <c r="B34">
        <f>Sensitivity!H22</f>
        <v/>
      </c>
      <c r="C34">
        <f>Sensitivity!B22</f>
        <v/>
      </c>
    </row>
    <row r="35">
      <c r="A35">
        <f>Sensitivity!A23</f>
        <v/>
      </c>
      <c r="B35">
        <f>Sensitivity!H23</f>
        <v/>
      </c>
      <c r="C35">
        <f>Sensitivity!B23</f>
        <v/>
      </c>
    </row>
    <row r="36">
      <c r="A36">
        <f>Sensitivity!A24</f>
        <v/>
      </c>
      <c r="B36">
        <f>Sensitivity!H24</f>
        <v/>
      </c>
      <c r="C36">
        <f>Sensitivity!B24</f>
        <v/>
      </c>
    </row>
    <row r="37">
      <c r="A37">
        <f>Sensitivity!A25</f>
        <v/>
      </c>
      <c r="B37">
        <f>Sensitivity!H25</f>
        <v/>
      </c>
      <c r="C37">
        <f>Sensitivity!B25</f>
        <v/>
      </c>
    </row>
    <row r="38">
      <c r="A38">
        <f>Sensitivity!A26</f>
        <v/>
      </c>
      <c r="B38">
        <f>Sensitivity!H26</f>
        <v/>
      </c>
      <c r="C38">
        <f>Sensitivity!B26</f>
        <v/>
      </c>
    </row>
    <row r="39">
      <c r="A39">
        <f>Sensitivity!A27</f>
        <v/>
      </c>
      <c r="B39">
        <f>Sensitivity!H27</f>
        <v/>
      </c>
      <c r="C39">
        <f>Sensitivity!B27</f>
        <v/>
      </c>
    </row>
    <row r="40">
      <c r="A40">
        <f>Sensitivity!A28</f>
        <v/>
      </c>
      <c r="B40">
        <f>Sensitivity!H28</f>
        <v/>
      </c>
      <c r="C40">
        <f>Sensitivity!B28</f>
        <v/>
      </c>
    </row>
    <row r="41">
      <c r="A41">
        <f>Sensitivity!A29</f>
        <v/>
      </c>
      <c r="B41">
        <f>Sensitivity!H29</f>
        <v/>
      </c>
      <c r="C41">
        <f>Sensitivity!B29</f>
        <v/>
      </c>
    </row>
    <row r="42">
      <c r="A42">
        <f>Sensitivity!A30</f>
        <v/>
      </c>
      <c r="B42">
        <f>Sensitivity!H30</f>
        <v/>
      </c>
      <c r="C42">
        <f>Sensitivity!B30</f>
        <v/>
      </c>
    </row>
    <row r="49">
      <c r="A49" s="7" t="inlineStr">
        <is>
          <t>Derived Values (read-only, computed from Inputs)</t>
        </is>
      </c>
    </row>
    <row r="50">
      <c r="A50" t="inlineStr">
        <is>
          <t>ATTACK (= Flat ATTACK x (1+ATTACK%/100))</t>
        </is>
      </c>
      <c r="B50">
        <f>Inputs!$B$5*(1+Inputs!$B$6/100)</f>
        <v/>
      </c>
    </row>
    <row r="51">
      <c r="A51" t="inlineStr">
        <is>
          <t>STAT_DAMAGE % (= 1% of total STR + 0.25% of DEX)</t>
        </is>
      </c>
      <c r="B51">
        <f>(Inputs!$B$11*(1+Inputs!$B$12/100))*0.01+Inputs!$B$13*0.0025</f>
        <v/>
      </c>
    </row>
    <row r="52">
      <c r="A52" t="inlineStr">
        <is>
          <t>Basic Attack (Dark Impale) Input Level (4th job formula)</t>
        </is>
      </c>
      <c r="B52">
        <f>MAX(0,(Inputs!$B$3-100)*3)+Inputs!$B$27+Inputs!$B$28</f>
        <v/>
      </c>
    </row>
    <row r="53">
      <c r="A53" t="inlineStr">
        <is>
          <t>Basic Attack Factor (factorIndex 21, universal 4th-job basic attack)</t>
        </is>
      </c>
      <c r="B53">
        <f>INDEX(FactorTable!$B$2:$Y$301, MATCH(ROUND(MIN(300,MAX(1,Summary!$B$52)),0), FactorTable!$A$2:$A$301,0), 22)</f>
        <v/>
      </c>
    </row>
    <row r="54">
      <c r="A54" t="inlineStr">
        <is>
          <t>SKILL_COEFFICIENT — Dark Impale base coefficient % (before bonuses)</t>
        </is>
      </c>
      <c r="B54">
        <f>290*Summary!$B$53/1000</f>
        <v/>
      </c>
    </row>
    <row r="55">
      <c r="A55" t="inlineStr">
        <is>
          <t>Normal-Monster Weight (= 0 for boss, 1 for normal, Breakthrough Normal Weight % for breakthrough, 0 for pvp)</t>
        </is>
      </c>
      <c r="B55">
        <f>IF(Inputs!$B$4="normal",1,IF(Inputs!$B$4="breakthrough",Inputs!$B$36/100,0))</f>
        <v/>
      </c>
    </row>
    <row r="57">
      <c r="A57" t="inlineStr">
        <is>
          <t>Attack%% Bucket Multiplier (Hex of the Evil Eye + Dark Resonance + Cross Over Chains + Hyper Body, summed additively)</t>
        </is>
      </c>
      <c r="B57">
        <f>1+(((Calc!C13=TRUE)*Calc!F13*IF(AND(Inputs!$B$4&lt;&gt;"pvp",Inputs!$B$35&gt;0),(((Calc!R13-1)*(Skills!T13*(1+Inputs!$B$33/100))+MIN((Skills!T13*(1+Inputs!$B$33/100)),MAX(0,Inputs!$B$35-((Calc!R13-1)*Skills!D13))))/Inputs!$B$35),IF(Inputs!$B$4="pvp",MIN((Skills!T13*(1+Inputs!$B$33/100)),15)/15,(Skills!T13*(1+Inputs!$B$33/100))/Skills!D13)))+((Calc!C14=TRUE)*Calc!F14*IF(AND(Inputs!$B$4&lt;&gt;"pvp",Inputs!$B$35&gt;0),(((Calc!R14-1)*(Skills!T14*(1+Inputs!$B$33/100))+MIN((Skills!T14*(1+Inputs!$B$33/100)),MAX(0,Inputs!$B$35-((Calc!R14-1)*Skills!D14))))/Inputs!$B$35),IF(Inputs!$B$4="pvp",MIN((Skills!T14*(1+Inputs!$B$33/100)),15)/15,(Skills!T14*(1+Inputs!$B$33/100))/Skills!D14)))+((Calc!C15=TRUE)*Calc!F15*IF(AND(Inputs!$B$4&lt;&gt;"pvp",Inputs!$B$35&gt;0),(((Calc!R15-1)*(Skills!T15*(1+Inputs!$B$33/100))+MIN((Skills!T15*(1+Inputs!$B$33/100)),MAX(0,Inputs!$B$35-((Calc!R15-1)*Skills!D15))))/Inputs!$B$35),IF(Inputs!$B$4="pvp",MIN((Skills!T15*(1+Inputs!$B$33/100)),15)/15,(Skills!T15*(1+Inputs!$B$33/100))/Skills!D15)))+((Calc!C16=TRUE)*Calc!F16*IF(AND(Inputs!$B$4&lt;&gt;"pvp",Inputs!$B$35&gt;0),(((Calc!R16-1)*(Skills!T16*(1+Inputs!$B$33/100))+MIN((Skills!T16*(1+Inputs!$B$33/100)),MAX(0,Inputs!$B$35-((Calc!R16-1)*Skills!D16))))/Inputs!$B$35),IF(Inputs!$B$4="pvp",MIN((Skills!T16*(1+Inputs!$B$33/100)),15)/15,(Skills!T16*(1+Inputs!$B$33/100))/Skills!D16))))/100</f>
        <v/>
      </c>
    </row>
    <row r="58">
      <c r="A58" t="inlineStr">
        <is>
          <t>Global Crit Rate Bonus % (Lord of Darkness, proc-chance x duty-cycle)</t>
        </is>
      </c>
      <c r="B58">
        <f>((Calc!C18=TRUE)*Calc!F18*(Skills!J18/100)*IF(AND(Inputs!$B$4&lt;&gt;"pvp",Inputs!$B$35&gt;0),(((Calc!R18-1)*(Skills!T18*(1+Inputs!$B$33/100))+MIN((Skills!T18*(1+Inputs!$B$33/100)),MAX(0,Inputs!$B$35-((Calc!R18-1)*Skills!D18))))/Inputs!$B$35),IF(Inputs!$B$4="pvp",MIN((Skills!T18*(1+Inputs!$B$33/100)),15)/15,(Skills!T18*(1+Inputs!$B$33/100))/Skills!D18)))</f>
        <v/>
      </c>
    </row>
    <row r="59">
      <c r="A59" t="inlineStr">
        <is>
          <t>Global Monster Damage-Taken Bonus % (Evil Eye, all types + Dark Resonance, boss-only)</t>
        </is>
      </c>
      <c r="B59">
        <f>((Calc!C17=TRUE)*Calc!F17*IF(AND(Inputs!$B$4&lt;&gt;"pvp",Inputs!$B$35&gt;0),(((Calc!R17-1)*(Skills!T17*(1+Inputs!$B$33/100))+MIN((Skills!T17*(1+Inputs!$B$33/100)),MAX(0,Inputs!$B$35-((Calc!R17-1)*Skills!D17))))/Inputs!$B$35),IF(Inputs!$B$4="pvp",MIN((Skills!T17*(1+Inputs!$B$33/100)),15)/15,(Skills!T17*(1+Inputs!$B$33/100))/Skills!D17)))+((Calc!C14=TRUE)*IF(Inputs!$B$4="pvp",20,(1-Summary!$B$55)*(20)+Summary!$B$55*(0))*IF(AND(Inputs!$B$4&lt;&gt;"pvp",Inputs!$B$35&gt;0),(((Calc!R14-1)*(Skills!T14*(1+Inputs!$B$33/100))+MIN((Skills!T14*(1+Inputs!$B$33/100)),MAX(0,Inputs!$B$35-((Calc!R14-1)*Skills!D14))))/Inputs!$B$35),IF(Inputs!$B$4="pvp",MIN((Skills!T14*(1+Inputs!$B$33/100)),15)/15,(Skills!T14*(1+Inputs!$B$33/100))/Skills!D14)))</f>
        <v/>
      </c>
    </row>
    <row r="60">
      <c r="A60" t="inlineStr">
        <is>
          <t>Attack Speed Buff Bonus % (Nimble Feet, duty-cycle averaged)</t>
        </is>
      </c>
      <c r="B60">
        <f>((Calc!C20=TRUE)*Calc!F20*IF(AND(Inputs!$B$4&lt;&gt;"pvp",Inputs!$B$35&gt;0),(((Calc!R20-1)*(Skills!T20*(1+Inputs!$B$33/100))+MIN((Skills!T20*(1+Inputs!$B$33/100)),MAX(0,Inputs!$B$35-((Calc!R20-1)*Skills!D20))))/Inputs!$B$35),IF(Inputs!$B$4="pvp",MIN((Skills!T20*(1+Inputs!$B$33/100)),15)/15,(Skills!T20*(1+Inputs!$B$33/100))/Skills!D20)))</f>
        <v/>
      </c>
    </row>
    <row r="61">
      <c r="A61" t="inlineStr">
        <is>
          <t>Actions Per Second</t>
        </is>
      </c>
      <c r="B61">
        <f>1+MIN(150,150*(1-(1-Inputs!$B$10/150)*(1-B60/150)))/100</f>
        <v/>
      </c>
    </row>
    <row r="62">
      <c r="A62" t="inlineStr">
        <is>
          <t>Skill + Buff Cast Rate (subtracted from Dark Impale, 1/s)</t>
        </is>
      </c>
      <c r="B62">
        <f>IF(AND(Inputs!$B$4&lt;&gt;"pvp",Inputs!$B$35&gt;0),SUMPRODUCT((Skills!E2:E26=TRUE)*(Calc!C2:C26=TRUE)*Calc!R2:R26*Skills!F2:F26)/Inputs!$B$35,SUMPRODUCT((Skills!E2:E26=TRUE)*(Calc!C2:C26=TRUE)*Calc!Q2:Q26*Skills!F2:F26))</f>
        <v/>
      </c>
    </row>
    <row r="63">
      <c r="A63" t="inlineStr">
        <is>
          <t>Dark Impale (Basic Attack) Casts Per Second</t>
        </is>
      </c>
      <c r="B63">
        <f>MAX(0,B61-B62)</f>
        <v/>
      </c>
    </row>
    <row r="64">
      <c r="A64" t="inlineStr">
        <is>
          <t>Global Critical Damage Bonus % (Lord of Darkness, proc-chance x duty-cycle)</t>
        </is>
      </c>
      <c r="B64">
        <f>((Calc!C19=TRUE)*Calc!F19*(Skills!J19/100)*IF(AND(Inputs!$B$4&lt;&gt;"pvp",Inputs!$B$35&gt;0),(((Calc!R19-1)*(Skills!T19*(1+Inputs!$B$33/100))+MIN((Skills!T19*(1+Inputs!$B$33/100)),MAX(0,Inputs!$B$35-((Calc!R19-1)*Skills!D19))))/Inputs!$B$35),IF(Inputs!$B$4="pvp",MIN((Skills!T19*(1+Inputs!$B$33/100)),15)/15,(Skills!T19*(1+Inputs!$B$33/100))/Skills!D19)))</f>
        <v/>
      </c>
    </row>
    <row r="65">
      <c r="A65" t="inlineStr">
        <is>
          <t>Global Final Damage Bonus % (unused — no live Final-Damage-buff source exists in this kit)</t>
        </is>
      </c>
      <c r="B65" t="n">
        <v>0</v>
      </c>
    </row>
    <row r="66">
      <c r="A66" t="inlineStr">
        <is>
          <t>Dark Impale (Basic Attack) DPS</t>
        </is>
      </c>
      <c r="B66">
        <f>Calc!O2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070"/>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8" t="inlineStr">
        <is>
          <t>Stat</t>
        </is>
      </c>
      <c r="B4" s="8" t="inlineStr">
        <is>
          <t>Units per +1% DPS</t>
        </is>
      </c>
      <c r="C4" s="8" t="inlineStr">
        <is>
          <t>Type</t>
        </is>
      </c>
      <c r="D4" s="8" t="inlineStr">
        <is>
          <t>Current Value</t>
        </is>
      </c>
      <c r="E4" s="8" t="inlineStr">
        <is>
          <t>New Value</t>
        </is>
      </c>
      <c r="F4" s="8" t="inlineStr">
        <is>
          <t>Baseline Total DPS</t>
        </is>
      </c>
      <c r="G4" s="8" t="inlineStr">
        <is>
          <t>New Total DPS</t>
        </is>
      </c>
      <c r="H4" s="8" t="inlineStr">
        <is>
          <t>DPS Gain</t>
        </is>
      </c>
      <c r="I4" s="8" t="inlineStr">
        <is>
          <t>% Gain</t>
        </is>
      </c>
    </row>
    <row r="5">
      <c r="A5" t="inlineStr">
        <is>
          <t>Flat STR</t>
        </is>
      </c>
      <c r="B5">
        <f>IFERROR(1/(I5-100),"n/a")</f>
        <v/>
      </c>
      <c r="C5" t="inlineStr">
        <is>
          <t>flat</t>
        </is>
      </c>
      <c r="D5">
        <f>Inputs!$B$11</f>
        <v/>
      </c>
      <c r="E5">
        <f>(Inputs!$B$11+1)</f>
        <v/>
      </c>
      <c r="F5">
        <f>Summary!$B$3</f>
        <v/>
      </c>
      <c r="G5">
        <f>B70</f>
        <v/>
      </c>
      <c r="H5">
        <f>G5-F5</f>
        <v/>
      </c>
      <c r="I5">
        <f>IF(F5=0,0,G5/F5*100)</f>
        <v/>
      </c>
    </row>
    <row r="6">
      <c r="A6" t="inlineStr">
        <is>
          <t>STR %</t>
        </is>
      </c>
      <c r="B6">
        <f>IFERROR(1/(I6-100),"n/a")</f>
        <v/>
      </c>
      <c r="C6" t="inlineStr">
        <is>
          <t>pct</t>
        </is>
      </c>
      <c r="D6">
        <f>Inputs!$B$12</f>
        <v/>
      </c>
      <c r="E6">
        <f>(Inputs!$B$12+1)</f>
        <v/>
      </c>
      <c r="F6">
        <f>Summary!$B$3</f>
        <v/>
      </c>
      <c r="G6">
        <f>B110</f>
        <v/>
      </c>
      <c r="H6">
        <f>G6-F6</f>
        <v/>
      </c>
      <c r="I6">
        <f>IF(F6=0,0,G6/F6*100)</f>
        <v/>
      </c>
    </row>
    <row r="7">
      <c r="A7" t="inlineStr">
        <is>
          <t>DEX</t>
        </is>
      </c>
      <c r="B7">
        <f>IFERROR(1/(I7-100),"n/a")</f>
        <v/>
      </c>
      <c r="C7" t="inlineStr">
        <is>
          <t>flat</t>
        </is>
      </c>
      <c r="D7">
        <f>Inputs!$B$13</f>
        <v/>
      </c>
      <c r="E7">
        <f>(Inputs!$B$13+1)</f>
        <v/>
      </c>
      <c r="F7">
        <f>Summary!$B$3</f>
        <v/>
      </c>
      <c r="G7">
        <f>B150</f>
        <v/>
      </c>
      <c r="H7">
        <f>G7-F7</f>
        <v/>
      </c>
      <c r="I7">
        <f>IF(F7=0,0,G7/F7*100)</f>
        <v/>
      </c>
    </row>
    <row r="8">
      <c r="A8" t="inlineStr">
        <is>
          <t>DAMAGE %</t>
        </is>
      </c>
      <c r="B8">
        <f>IFERROR(1/(I8-100),"n/a")</f>
        <v/>
      </c>
      <c r="C8" t="inlineStr">
        <is>
          <t>pct</t>
        </is>
      </c>
      <c r="D8">
        <f>Inputs!$B$14</f>
        <v/>
      </c>
      <c r="E8">
        <f>(Inputs!$B$14+1)</f>
        <v/>
      </c>
      <c r="F8">
        <f>Summary!$B$3</f>
        <v/>
      </c>
      <c r="G8">
        <f>B190</f>
        <v/>
      </c>
      <c r="H8">
        <f>G8-F8</f>
        <v/>
      </c>
      <c r="I8">
        <f>IF(F8=0,0,G8/F8*100)</f>
        <v/>
      </c>
    </row>
    <row r="9">
      <c r="A9" t="inlineStr">
        <is>
          <t>DAMAGE_AMP %</t>
        </is>
      </c>
      <c r="B9">
        <f>IFERROR(1/(I9-100),"n/a")</f>
        <v/>
      </c>
      <c r="C9" t="inlineStr">
        <is>
          <t>pct</t>
        </is>
      </c>
      <c r="D9">
        <f>Inputs!$B$15</f>
        <v/>
      </c>
      <c r="E9">
        <f>(Inputs!$B$15+1)</f>
        <v/>
      </c>
      <c r="F9">
        <f>Summary!$B$3</f>
        <v/>
      </c>
      <c r="G9">
        <f>B230</f>
        <v/>
      </c>
      <c r="H9">
        <f>G9-F9</f>
        <v/>
      </c>
      <c r="I9">
        <f>IF(F9=0,0,G9/F9*100)</f>
        <v/>
      </c>
    </row>
    <row r="10">
      <c r="A10" t="inlineStr">
        <is>
          <t>BOSS_DAMAGE %</t>
        </is>
      </c>
      <c r="B10">
        <f>IFERROR(1/(I10-100),"n/a")</f>
        <v/>
      </c>
      <c r="C10" t="inlineStr">
        <is>
          <t>pct</t>
        </is>
      </c>
      <c r="D10">
        <f>Inputs!$B$19</f>
        <v/>
      </c>
      <c r="E10">
        <f>(Inputs!$B$19+1)</f>
        <v/>
      </c>
      <c r="F10">
        <f>Summary!$B$3</f>
        <v/>
      </c>
      <c r="G10">
        <f>B270</f>
        <v/>
      </c>
      <c r="H10">
        <f>G10-F10</f>
        <v/>
      </c>
      <c r="I10">
        <f>IF(F10=0,0,G10/F10*100)</f>
        <v/>
      </c>
    </row>
    <row r="11">
      <c r="A11" t="inlineStr">
        <is>
          <t>NORMAL_DAMAGE %</t>
        </is>
      </c>
      <c r="B11">
        <f>IFERROR(1/(I11-100),"n/a")</f>
        <v/>
      </c>
      <c r="C11" t="inlineStr">
        <is>
          <t>pct</t>
        </is>
      </c>
      <c r="D11">
        <f>Inputs!$B$20</f>
        <v/>
      </c>
      <c r="E11">
        <f>(Inputs!$B$20+1)</f>
        <v/>
      </c>
      <c r="F11">
        <f>Summary!$B$3</f>
        <v/>
      </c>
      <c r="G11">
        <f>B310</f>
        <v/>
      </c>
      <c r="H11">
        <f>G11-F11</f>
        <v/>
      </c>
      <c r="I11">
        <f>IF(F11=0,0,G11/F11*100)</f>
        <v/>
      </c>
    </row>
    <row r="12">
      <c r="A12" t="inlineStr">
        <is>
          <t>FINAL_DAMAGE % (multiplicative source)</t>
        </is>
      </c>
      <c r="B12">
        <f>IFERROR(1/(I12-100),"n/a")</f>
        <v/>
      </c>
      <c r="C12" t="inlineStr">
        <is>
          <t>mult</t>
        </is>
      </c>
      <c r="D12">
        <f>Inputs!$B$23</f>
        <v/>
      </c>
      <c r="E12">
        <f>((((1+Inputs!$B$23/100)*(1.01))-1)*100)</f>
        <v/>
      </c>
      <c r="F12">
        <f>Summary!$B$3</f>
        <v/>
      </c>
      <c r="G12">
        <f>B350</f>
        <v/>
      </c>
      <c r="H12">
        <f>G12-F12</f>
        <v/>
      </c>
      <c r="I12">
        <f>IF(F12=0,0,G12/F12*100)</f>
        <v/>
      </c>
    </row>
    <row r="13">
      <c r="A13" t="inlineStr">
        <is>
          <t>MIN_DAMAGE %</t>
        </is>
      </c>
      <c r="B13">
        <f>IFERROR(1/(I13-100),"n/a")</f>
        <v/>
      </c>
      <c r="C13" t="inlineStr">
        <is>
          <t>pct</t>
        </is>
      </c>
      <c r="D13">
        <f>Inputs!$B$21</f>
        <v/>
      </c>
      <c r="E13">
        <f>(Inputs!$B$21+1)</f>
        <v/>
      </c>
      <c r="F13">
        <f>Summary!$B$3</f>
        <v/>
      </c>
      <c r="G13">
        <f>B390</f>
        <v/>
      </c>
      <c r="H13">
        <f>G13-F13</f>
        <v/>
      </c>
      <c r="I13">
        <f>IF(F13=0,0,G13/F13*100)</f>
        <v/>
      </c>
    </row>
    <row r="14">
      <c r="A14" t="inlineStr">
        <is>
          <t>MAX_DAMAGE %</t>
        </is>
      </c>
      <c r="B14">
        <f>IFERROR(1/(I14-100),"n/a")</f>
        <v/>
      </c>
      <c r="C14" t="inlineStr">
        <is>
          <t>pct</t>
        </is>
      </c>
      <c r="D14">
        <f>Inputs!$B$22</f>
        <v/>
      </c>
      <c r="E14">
        <f>(Inputs!$B$22+1)</f>
        <v/>
      </c>
      <c r="F14">
        <f>Summary!$B$3</f>
        <v/>
      </c>
      <c r="G14">
        <f>B430</f>
        <v/>
      </c>
      <c r="H14">
        <f>G14-F14</f>
        <v/>
      </c>
      <c r="I14">
        <f>IF(F14=0,0,G14/F14*100)</f>
        <v/>
      </c>
    </row>
    <row r="15">
      <c r="A15" t="inlineStr">
        <is>
          <t>CRIT_RATE %</t>
        </is>
      </c>
      <c r="B15">
        <f>IFERROR(1/(I15-100),"n/a")</f>
        <v/>
      </c>
      <c r="C15" t="inlineStr">
        <is>
          <t>pct</t>
        </is>
      </c>
      <c r="D15">
        <f>Inputs!$B$8</f>
        <v/>
      </c>
      <c r="E15">
        <f>(Inputs!$B$8+1)</f>
        <v/>
      </c>
      <c r="F15">
        <f>Summary!$B$3</f>
        <v/>
      </c>
      <c r="G15">
        <f>B470</f>
        <v/>
      </c>
      <c r="H15">
        <f>G15-F15</f>
        <v/>
      </c>
      <c r="I15">
        <f>IF(F15=0,0,G15/F15*100)</f>
        <v/>
      </c>
    </row>
    <row r="16">
      <c r="A16" t="inlineStr">
        <is>
          <t>CRIT_DAMAGE %</t>
        </is>
      </c>
      <c r="B16">
        <f>IFERROR(1/(I16-100),"n/a")</f>
        <v/>
      </c>
      <c r="C16" t="inlineStr">
        <is>
          <t>pct</t>
        </is>
      </c>
      <c r="D16">
        <f>Inputs!$B$9</f>
        <v/>
      </c>
      <c r="E16">
        <f>(Inputs!$B$9+1)</f>
        <v/>
      </c>
      <c r="F16">
        <f>Summary!$B$3</f>
        <v/>
      </c>
      <c r="G16">
        <f>B510</f>
        <v/>
      </c>
      <c r="H16">
        <f>G16-F16</f>
        <v/>
      </c>
      <c r="I16">
        <f>IF(F16=0,0,G16/F16*100)</f>
        <v/>
      </c>
    </row>
    <row r="17">
      <c r="A17" t="inlineStr">
        <is>
          <t>ATTACK_SPEED % (diminishing returns, factor 150)</t>
        </is>
      </c>
      <c r="B17">
        <f>IFERROR(1/(I17-100),"n/a")</f>
        <v/>
      </c>
      <c r="C17" t="inlineStr">
        <is>
          <t>dr150</t>
        </is>
      </c>
      <c r="D17">
        <f>Inputs!$B$10</f>
        <v/>
      </c>
      <c r="E17">
        <f>((1-(1-Inputs!$B$10/150)*(1-1/150))*150)</f>
        <v/>
      </c>
      <c r="F17">
        <f>Summary!$B$3</f>
        <v/>
      </c>
      <c r="G17">
        <f>B550</f>
        <v/>
      </c>
      <c r="H17">
        <f>G17-F17</f>
        <v/>
      </c>
      <c r="I17">
        <f>IF(F17=0,0,G17/F17*100)</f>
        <v/>
      </c>
    </row>
    <row r="18">
      <c r="A18" t="inlineStr">
        <is>
          <t>DEF_PEN % (diminishing returns, factor 100)</t>
        </is>
      </c>
      <c r="B18">
        <f>IFERROR(1/(I18-100),"n/a")</f>
        <v/>
      </c>
      <c r="C18" t="inlineStr">
        <is>
          <t>dr100</t>
        </is>
      </c>
      <c r="D18">
        <f>Inputs!$B$18</f>
        <v/>
      </c>
      <c r="E18">
        <f>((1-(1-Inputs!$B$18/100)*(1-1/100))*100)</f>
        <v/>
      </c>
      <c r="F18">
        <f>Summary!$B$3</f>
        <v/>
      </c>
      <c r="G18">
        <f>B590</f>
        <v/>
      </c>
      <c r="H18">
        <f>G18-F18</f>
        <v/>
      </c>
      <c r="I18">
        <f>IF(F18=0,0,G18/F18*100)</f>
        <v/>
      </c>
    </row>
    <row r="19">
      <c r="A19" t="inlineStr">
        <is>
          <t>BASIC_ATTACK_DAMAGE %</t>
        </is>
      </c>
      <c r="B19">
        <f>IFERROR(1/(I19-100),"n/a")</f>
        <v/>
      </c>
      <c r="C19" t="inlineStr">
        <is>
          <t>pct</t>
        </is>
      </c>
      <c r="D19">
        <f>Inputs!$B$16</f>
        <v/>
      </c>
      <c r="E19">
        <f>(Inputs!$B$16+1)</f>
        <v/>
      </c>
      <c r="F19">
        <f>Summary!$B$3</f>
        <v/>
      </c>
      <c r="G19">
        <f>B630</f>
        <v/>
      </c>
      <c r="H19">
        <f>G19-F19</f>
        <v/>
      </c>
      <c r="I19">
        <f>IF(F19=0,0,G19/F19*100)</f>
        <v/>
      </c>
    </row>
    <row r="20">
      <c r="A20" t="inlineStr">
        <is>
          <t>SKILL_DAMAGE %</t>
        </is>
      </c>
      <c r="B20">
        <f>IFERROR(1/(I20-100),"n/a")</f>
        <v/>
      </c>
      <c r="C20" t="inlineStr">
        <is>
          <t>pct</t>
        </is>
      </c>
      <c r="D20">
        <f>Inputs!$B$17</f>
        <v/>
      </c>
      <c r="E20">
        <f>(Inputs!$B$17+1)</f>
        <v/>
      </c>
      <c r="F20">
        <f>Summary!$B$3</f>
        <v/>
      </c>
      <c r="G20">
        <f>B670</f>
        <v/>
      </c>
      <c r="H20">
        <f>G20-F20</f>
        <v/>
      </c>
      <c r="I20">
        <f>IF(F20=0,0,G20/F20*100)</f>
        <v/>
      </c>
    </row>
    <row r="21">
      <c r="A21" t="inlineStr">
        <is>
          <t>Skill Level Bonus — 1st Job</t>
        </is>
      </c>
      <c r="B21">
        <f>IFERROR(1/(I21-100),"n/a")</f>
        <v/>
      </c>
      <c r="C21" t="inlineStr">
        <is>
          <t>level</t>
        </is>
      </c>
      <c r="D21">
        <f>Inputs!$B$24</f>
        <v/>
      </c>
      <c r="E21">
        <f>(Inputs!$B$24+1)</f>
        <v/>
      </c>
      <c r="F21">
        <f>Summary!$B$3</f>
        <v/>
      </c>
      <c r="G21">
        <f>B710</f>
        <v/>
      </c>
      <c r="H21">
        <f>G21-F21</f>
        <v/>
      </c>
      <c r="I21">
        <f>IF(F21=0,0,G21/F21*100)</f>
        <v/>
      </c>
    </row>
    <row r="22">
      <c r="A22" t="inlineStr">
        <is>
          <t>Skill Level Bonus — 2nd Job</t>
        </is>
      </c>
      <c r="B22">
        <f>IFERROR(1/(I22-100),"n/a")</f>
        <v/>
      </c>
      <c r="C22" t="inlineStr">
        <is>
          <t>level</t>
        </is>
      </c>
      <c r="D22">
        <f>Inputs!$B$25</f>
        <v/>
      </c>
      <c r="E22">
        <f>(Inputs!$B$25+1)</f>
        <v/>
      </c>
      <c r="F22">
        <f>Summary!$B$3</f>
        <v/>
      </c>
      <c r="G22">
        <f>B750</f>
        <v/>
      </c>
      <c r="H22">
        <f>G22-F22</f>
        <v/>
      </c>
      <c r="I22">
        <f>IF(F22=0,0,G22/F22*100)</f>
        <v/>
      </c>
    </row>
    <row r="23">
      <c r="A23" t="inlineStr">
        <is>
          <t>Skill Level Bonus — 3rd Job</t>
        </is>
      </c>
      <c r="B23">
        <f>IFERROR(1/(I23-100),"n/a")</f>
        <v/>
      </c>
      <c r="C23" t="inlineStr">
        <is>
          <t>level</t>
        </is>
      </c>
      <c r="D23">
        <f>Inputs!$B$26</f>
        <v/>
      </c>
      <c r="E23">
        <f>(Inputs!$B$26+1)</f>
        <v/>
      </c>
      <c r="F23">
        <f>Summary!$B$3</f>
        <v/>
      </c>
      <c r="G23">
        <f>B790</f>
        <v/>
      </c>
      <c r="H23">
        <f>G23-F23</f>
        <v/>
      </c>
      <c r="I23">
        <f>IF(F23=0,0,G23/F23*100)</f>
        <v/>
      </c>
    </row>
    <row r="24">
      <c r="A24" t="inlineStr">
        <is>
          <t>Skill Level Bonus — 4th Job</t>
        </is>
      </c>
      <c r="B24">
        <f>IFERROR(1/(I24-100),"n/a")</f>
        <v/>
      </c>
      <c r="C24" t="inlineStr">
        <is>
          <t>level</t>
        </is>
      </c>
      <c r="D24">
        <f>Inputs!$B$27</f>
        <v/>
      </c>
      <c r="E24">
        <f>(Inputs!$B$27+1)</f>
        <v/>
      </c>
      <c r="F24">
        <f>Summary!$B$3</f>
        <v/>
      </c>
      <c r="G24">
        <f>B830</f>
        <v/>
      </c>
      <c r="H24">
        <f>G24-F24</f>
        <v/>
      </c>
      <c r="I24">
        <f>IF(F24=0,0,G24/F24*100)</f>
        <v/>
      </c>
    </row>
    <row r="25">
      <c r="A25" t="inlineStr">
        <is>
          <t>Skill Level Bonus — All Skills</t>
        </is>
      </c>
      <c r="B25">
        <f>IFERROR(1/(I25-100),"n/a")</f>
        <v/>
      </c>
      <c r="C25" t="inlineStr">
        <is>
          <t>level</t>
        </is>
      </c>
      <c r="D25">
        <f>Inputs!$B$28</f>
        <v/>
      </c>
      <c r="E25">
        <f>(Inputs!$B$28+1)</f>
        <v/>
      </c>
      <c r="F25">
        <f>Summary!$B$3</f>
        <v/>
      </c>
      <c r="G25">
        <f>B870</f>
        <v/>
      </c>
      <c r="H25">
        <f>G25-F25</f>
        <v/>
      </c>
      <c r="I25">
        <f>IF(F25=0,0,G25/F25*100)</f>
        <v/>
      </c>
    </row>
    <row r="26">
      <c r="A26" t="inlineStr">
        <is>
          <t>Flat ATTACK</t>
        </is>
      </c>
      <c r="B26">
        <f>IFERROR(1/(I26-100),"n/a")</f>
        <v/>
      </c>
      <c r="C26" t="inlineStr">
        <is>
          <t>flat</t>
        </is>
      </c>
      <c r="D26">
        <f>Inputs!$B$5</f>
        <v/>
      </c>
      <c r="E26">
        <f>(Inputs!$B$5+1)</f>
        <v/>
      </c>
      <c r="F26">
        <f>Summary!$B$3</f>
        <v/>
      </c>
      <c r="G26">
        <f>B910</f>
        <v/>
      </c>
      <c r="H26">
        <f>G26-F26</f>
        <v/>
      </c>
      <c r="I26">
        <f>IF(F26=0,0,G26/F26*100)</f>
        <v/>
      </c>
    </row>
    <row r="27">
      <c r="A27" t="inlineStr">
        <is>
          <t>ATTACK %</t>
        </is>
      </c>
      <c r="B27">
        <f>IFERROR(1/(I27-100),"n/a")</f>
        <v/>
      </c>
      <c r="C27" t="inlineStr">
        <is>
          <t>pct</t>
        </is>
      </c>
      <c r="D27">
        <f>Inputs!$B$6</f>
        <v/>
      </c>
      <c r="E27">
        <f>(Inputs!$B$6+1)</f>
        <v/>
      </c>
      <c r="F27">
        <f>Summary!$B$3</f>
        <v/>
      </c>
      <c r="G27">
        <f>B950</f>
        <v/>
      </c>
      <c r="H27">
        <f>G27-F27</f>
        <v/>
      </c>
      <c r="I27">
        <f>IF(F27=0,0,G27/F27*100)</f>
        <v/>
      </c>
    </row>
    <row r="28">
      <c r="A28" t="inlineStr">
        <is>
          <t>Skill Cooldown Decrease (seconds)</t>
        </is>
      </c>
      <c r="B28">
        <f>IFERROR(1/(I28-100),"n/a")</f>
        <v/>
      </c>
      <c r="C28" t="inlineStr">
        <is>
          <t>flat</t>
        </is>
      </c>
      <c r="D28">
        <f>Inputs!$B$31</f>
        <v/>
      </c>
      <c r="E28">
        <f>(Inputs!$B$31+1)</f>
        <v/>
      </c>
      <c r="F28">
        <f>Summary!$B$3</f>
        <v/>
      </c>
      <c r="G28">
        <f>B990</f>
        <v/>
      </c>
      <c r="H28">
        <f>G28-F28</f>
        <v/>
      </c>
      <c r="I28">
        <f>IF(F28=0,0,G28/F28*100)</f>
        <v/>
      </c>
    </row>
    <row r="29">
      <c r="A29" t="inlineStr">
        <is>
          <t>Basic Attack Target Increase (flat)</t>
        </is>
      </c>
      <c r="B29">
        <f>IFERROR(1/(I29-100),"n/a")</f>
        <v/>
      </c>
      <c r="C29" t="inlineStr">
        <is>
          <t>flat</t>
        </is>
      </c>
      <c r="D29">
        <f>Inputs!$B$32</f>
        <v/>
      </c>
      <c r="E29">
        <f>(Inputs!$B$32+1)</f>
        <v/>
      </c>
      <c r="F29">
        <f>Summary!$B$3</f>
        <v/>
      </c>
      <c r="G29">
        <f>B1030</f>
        <v/>
      </c>
      <c r="H29">
        <f>G29-F29</f>
        <v/>
      </c>
      <c r="I29">
        <f>IF(F29=0,0,G29/F29*100)</f>
        <v/>
      </c>
    </row>
    <row r="30">
      <c r="A30" t="inlineStr">
        <is>
          <t>Buff Duration Increase %</t>
        </is>
      </c>
      <c r="B30">
        <f>IFERROR(1/(I30-100),"n/a")</f>
        <v/>
      </c>
      <c r="C30" t="inlineStr">
        <is>
          <t>pct</t>
        </is>
      </c>
      <c r="D30">
        <f>Inputs!$B$33</f>
        <v/>
      </c>
      <c r="E30">
        <f>(Inputs!$B$33+1)</f>
        <v/>
      </c>
      <c r="F30">
        <f>Summary!$B$3</f>
        <v/>
      </c>
      <c r="G30">
        <f>B1070</f>
        <v/>
      </c>
      <c r="H30">
        <f>G30-F30</f>
        <v/>
      </c>
      <c r="I30">
        <f>IF(F30=0,0,G30/F30*100)</f>
        <v/>
      </c>
    </row>
    <row r="33">
      <c r="A33" s="5" t="inlineStr">
        <is>
          <t>Stat: Flat STR</t>
        </is>
      </c>
    </row>
    <row r="34">
      <c r="A34" s="8" t="inlineStr">
        <is>
          <t>Key</t>
        </is>
      </c>
      <c r="B34" s="8" t="inlineStr">
        <is>
          <t>Name</t>
        </is>
      </c>
      <c r="C34" s="8" t="inlineStr">
        <is>
          <t>Unlocked</t>
        </is>
      </c>
      <c r="D34" s="8" t="inlineStr">
        <is>
          <t>InputLevel</t>
        </is>
      </c>
      <c r="E34" s="8" t="inlineStr">
        <is>
          <t>Factor</t>
        </is>
      </c>
      <c r="F34" s="8" t="inlineStr">
        <is>
          <t>CoefficientPercent</t>
        </is>
      </c>
      <c r="G34" s="8" t="inlineStr">
        <is>
          <t>EffectiveHits</t>
        </is>
      </c>
      <c r="H34" s="8" t="inlineStr">
        <is>
          <t>ProcProbability</t>
        </is>
      </c>
      <c r="I34" s="8" t="inlineStr">
        <is>
          <t>MapleHeroMultiplier</t>
        </is>
      </c>
      <c r="J34" s="8" t="inlineStr">
        <is>
          <t>BaseDamage</t>
        </is>
      </c>
      <c r="K34" s="8" t="inlineStr">
        <is>
          <t>BaseHitDamage</t>
        </is>
      </c>
      <c r="L34" s="8" t="inlineStr">
        <is>
          <t>NonCritAvg</t>
        </is>
      </c>
      <c r="M34" s="8" t="inlineStr">
        <is>
          <t>CritAvg</t>
        </is>
      </c>
      <c r="N34" s="8" t="inlineStr">
        <is>
          <t>ExpectedDamage(perHit)</t>
        </is>
      </c>
      <c r="O34" s="8" t="inlineStr">
        <is>
          <t>DPS</t>
        </is>
      </c>
      <c r="P34" s="8" t="inlineStr">
        <is>
          <t>% of Total</t>
        </is>
      </c>
      <c r="Q34" s="8" t="inlineStr">
        <is>
          <t>InvCooldown</t>
        </is>
      </c>
      <c r="R34" s="8" t="inlineStr">
        <is>
          <t>CastsInFight</t>
        </is>
      </c>
      <c r="S34" s="8" t="inlineStr">
        <is>
          <t>HitRate(perSec)</t>
        </is>
      </c>
      <c r="U34" t="inlineStr">
        <is>
          <t>helpers</t>
        </is>
      </c>
    </row>
    <row r="35">
      <c r="A35">
        <f>Skills!A2</f>
        <v/>
      </c>
      <c r="B35">
        <f>Skills!B2</f>
        <v/>
      </c>
      <c r="C35">
        <f>Inputs!$B$3&gt;=100</f>
        <v/>
      </c>
      <c r="D35" t="inlineStr"/>
      <c r="E35" t="inlineStr"/>
      <c r="F35">
        <f>U37+Skills!O2</f>
        <v/>
      </c>
      <c r="G35">
        <f>Skills!G2*IF(Skills!H2&gt;0,Skills!I2/Skills!H2,1)</f>
        <v/>
      </c>
      <c r="H35">
        <f>1-(1-Skills!J2/100)^Skills!K2</f>
        <v/>
      </c>
      <c r="I35" t="inlineStr">
        <is>
          <t>1</t>
        </is>
      </c>
      <c r="J35">
        <f>(Inputs!$B$5*(1+Inputs!$B$6/100))*(F35/100)</f>
        <v/>
      </c>
      <c r="K35">
        <f>J35*(1+(((Inputs!$B$11+1)*(1+Inputs!$B$12/100))*0.01+Inputs!$B$13*0.0025)/100)*(1+Inputs!$B$14/100)*(1+IF(Inputs!$B$4="pvp",0,(1-Summary!$B$55)*(Inputs!$B$19+0+Skills!P2+((C50=TRUE)*F50*IF(AND(Inputs!$B$4&lt;&gt;"pvp",Inputs!$B$35&gt;0),(((S50-1)*(Skills!T17*(1+Inputs!$B$33/100))+MIN((Skills!T17*(1+Inputs!$B$33/100)),MAX(0,Inputs!$B$35-((S50-1)*Skills!D17))))/Inputs!$B$35),IF(Inputs!$B$4="pvp",MIN((Skills!T17*(1+Inputs!$B$33/100)),15)/15,(Skills!T17*(1+Inputs!$B$33/100))/Skills!D17)))+((C47=TRUE)*IF(Inputs!$B$4="pvp",20,(1-Summary!$B$55)*(20)+Summary!$B$55*(0))*IF(AND(Inputs!$B$4&lt;&gt;"pvp",Inputs!$B$35&gt;0),(((S47-1)*(Skills!T14*(1+Inputs!$B$33/100))+MIN((Skills!T14*(1+Inputs!$B$33/100)),MAX(0,Inputs!$B$35-((S47-1)*Skills!D14))))/Inputs!$B$35),IF(Inputs!$B$4="pvp",MIN((Skills!T14*(1+Inputs!$B$33/100)),15)/15,(Skills!T14*(1+Inputs!$B$33/100))/Skills!D14))))+Summary!$B$55*(Inputs!$B$20+Skills!Q2+((C50=TRUE)*F50*IF(AND(Inputs!$B$4&lt;&gt;"pvp",Inputs!$B$35&gt;0),(((S50-1)*(Skills!T17*(1+Inputs!$B$33/100))+MIN((Skills!T17*(1+Inputs!$B$33/100)),MAX(0,Inputs!$B$35-((S50-1)*Skills!D17))))/Inputs!$B$35),IF(Inputs!$B$4="pvp",MIN((Skills!T17*(1+Inputs!$B$33/100)),15)/15,(Skills!T17*(1+Inputs!$B$33/100))/Skills!D17)))))/100)*(1+Inputs!$B$15/100)*(5000/(6000+Inputs!$B$7*(1-(Inputs!$B$18+0)/100)))*(1+(Inputs!$B$23+((C58=TRUE)*(F58-Calc!F25))+((C59=TRUE)*(F59-Calc!F26))+B68)/100)*(1+(IF(Skills!A2="DARK_IMPALE",Inputs!$B$16+0,Inputs!$B$17+((C56=TRUE)*(F56-Calc!F23))))/100)*((1+(((C46=TRUE)*F46*IF(AND(Inputs!$B$4&lt;&gt;"pvp",Inputs!$B$35&gt;0),(((S46-1)*(Skills!T13*(1+Inputs!$B$33/100))+MIN((Skills!T13*(1+Inputs!$B$33/100)),MAX(0,Inputs!$B$35-((S46-1)*Skills!D13))))/Inputs!$B$35),IF(Inputs!$B$4="pvp",MIN((Skills!T13*(1+Inputs!$B$33/100)),15)/15,(Skills!T13*(1+Inputs!$B$33/100))/Skills!D13)))+((C47=TRUE)*F47*IF(AND(Inputs!$B$4&lt;&gt;"pvp",Inputs!$B$35&gt;0),(((S47-1)*(Skills!T14*(1+Inputs!$B$33/100))+MIN((Skills!T14*(1+Inputs!$B$33/100)),MAX(0,Inputs!$B$35-((S47-1)*Skills!D14))))/Inputs!$B$35),IF(Inputs!$B$4="pvp",MIN((Skills!T14*(1+Inputs!$B$33/100)),15)/15,(Skills!T14*(1+Inputs!$B$33/100))/Skills!D14)))+((C48=TRUE)*F48*IF(AND(Inputs!$B$4&lt;&gt;"pvp",Inputs!$B$35&gt;0),(((S48-1)*(Skills!T15*(1+Inputs!$B$33/100))+MIN((Skills!T15*(1+Inputs!$B$33/100)),MAX(0,Inputs!$B$35-((S48-1)*Skills!D15))))/Inputs!$B$35),IF(Inputs!$B$4="pvp",MIN((Skills!T15*(1+Inputs!$B$33/100)),15)/15,(Skills!T15*(1+Inputs!$B$33/100))/Skills!D15)))+((C49=TRUE)*F49*IF(AND(Inputs!$B$4&lt;&gt;"pvp",Inputs!$B$35&gt;0),(((S49-1)*(Skills!T16*(1+Inputs!$B$33/100))+MIN((Skills!T16*(1+Inputs!$B$33/100)),MAX(0,Inputs!$B$35-((S49-1)*Skills!D16))))/Inputs!$B$35),IF(Inputs!$B$4="pvp",MIN((Skills!T16*(1+Inputs!$B$33/100)),15)/15,(Skills!T16*(1+Inputs!$B$33/100))/Skills!D16)))+0)/100)*I35)</f>
        <v/>
      </c>
      <c r="L35">
        <f>K35*(MIN(Inputs!$B$21+((C55=TRUE)*(F55-Calc!F22)),Inputs!$B$22+((C57=TRUE)*(F57-Calc!F24)))/100+(Inputs!$B$22+((C57=TRUE)*(F57-Calc!F24)))/100)/2</f>
        <v/>
      </c>
      <c r="M35">
        <f>L35*(1+(Inputs!$B$9+0+B67)/100)</f>
        <v/>
      </c>
      <c r="N35">
        <f>L35*(1-MIN((Inputs!$B$8+0+B62),100)/100)+M35*(MIN((Inputs!$B$8+0+B62),100)/100)</f>
        <v/>
      </c>
      <c r="O35">
        <f>IF(C35,Skills!G2*N35*B66*IF(Inputs!$B$4="pvp",1,(1-Summary!$B$55)*(1)+Summary!$B$55*(MIN((6+Inputs!$B$32),Inputs!$B$37))),0)</f>
        <v/>
      </c>
      <c r="P35">
        <f>IF(B70=0,0,O35/B70)</f>
        <v/>
      </c>
      <c r="Q35" t="n">
        <v>0</v>
      </c>
      <c r="R35" t="n">
        <v>0</v>
      </c>
      <c r="S35">
        <f>IFERROR(O35/N35,0)</f>
        <v/>
      </c>
      <c r="U35">
        <f>MAX(0,(Inputs!$B$3-100)*3)+Inputs!$B$27+Inputs!$B$28</f>
        <v/>
      </c>
    </row>
    <row r="36">
      <c r="A36">
        <f>Skills!A3</f>
        <v/>
      </c>
      <c r="B36">
        <f>Skills!B3</f>
        <v/>
      </c>
      <c r="C36">
        <f>Inputs!$B$3&gt;=50</f>
        <v/>
      </c>
      <c r="D36">
        <f>IF(Skills!C3=1,60+Inputs!$B$24+Inputs!$B$28,IF(Skills!C3=2,90+Inputs!$B$25+Inputs!$B$28,IF(Skills!C3=3,120+Inputs!$B$26+Inputs!$B$28,MAX(0,(Inputs!$B$3-100)*3)+Inputs!$B$27+Inputs!$B$28)))</f>
        <v/>
      </c>
      <c r="E36">
        <f>INDEX(FactorTable!$B$2:$Y$301, MATCH(ROUND(MIN(300,MAX(1,D36)),0), FactorTable!$A$2:$A$301,0), Skills!M3+1)</f>
        <v/>
      </c>
      <c r="F36">
        <f>IF(Skills!N3=TRUE,(Skills!L3/10)*(E36/1000),Skills!L3/10)+Skills!O3</f>
        <v/>
      </c>
      <c r="G36" t="inlineStr"/>
      <c r="H36" t="inlineStr"/>
      <c r="I36" t="inlineStr">
        <is>
          <t>1</t>
        </is>
      </c>
      <c r="J36" t="inlineStr"/>
      <c r="K36" t="inlineStr"/>
      <c r="L36" t="inlineStr"/>
      <c r="M36" t="inlineStr"/>
      <c r="N36" t="inlineStr"/>
      <c r="O36" t="inlineStr"/>
      <c r="P36" t="inlineStr"/>
      <c r="Q36" t="inlineStr"/>
      <c r="R36" t="inlineStr"/>
      <c r="S36" t="inlineStr"/>
      <c r="U36">
        <f>INDEX(FactorTable!$B$2:$Y$301, MATCH(ROUND(MIN(300,MAX(1,U35)),0), FactorTable!$A$2:$A$301,0), 22)</f>
        <v/>
      </c>
    </row>
    <row r="37">
      <c r="A37">
        <f>Skills!A4</f>
        <v/>
      </c>
      <c r="B37">
        <f>Skills!B4</f>
        <v/>
      </c>
      <c r="C37">
        <f>Inputs!$B$3&gt;=105</f>
        <v/>
      </c>
      <c r="D37">
        <f>IF(Skills!C4=1,60+Inputs!$B$24+Inputs!$B$28,IF(Skills!C4=2,90+Inputs!$B$25+Inputs!$B$28,IF(Skills!C4=3,120+Inputs!$B$26+Inputs!$B$28,MAX(0,(Inputs!$B$3-100)*3)+Inputs!$B$27+Inputs!$B$28)))</f>
        <v/>
      </c>
      <c r="E37">
        <f>INDEX(FactorTable!$B$2:$Y$301, MATCH(ROUND(MIN(300,MAX(1,D37)),0), FactorTable!$A$2:$A$301,0), Skills!M4+1)</f>
        <v/>
      </c>
      <c r="F37">
        <f>IF(Skills!N4=TRUE,(Skills!L4/10)*(E37/1000),Skills!L4/10)+Skills!O4</f>
        <v/>
      </c>
      <c r="G37" t="inlineStr"/>
      <c r="H37" t="inlineStr"/>
      <c r="I37" t="inlineStr">
        <is>
          <t>1</t>
        </is>
      </c>
      <c r="J37" t="inlineStr"/>
      <c r="K37" t="inlineStr"/>
      <c r="L37" t="inlineStr"/>
      <c r="M37" t="inlineStr"/>
      <c r="N37" t="inlineStr"/>
      <c r="O37" t="inlineStr"/>
      <c r="P37" t="inlineStr"/>
      <c r="Q37" t="inlineStr"/>
      <c r="R37" t="inlineStr"/>
      <c r="S37" t="inlineStr"/>
      <c r="U37">
        <f>290*U36/1000</f>
        <v/>
      </c>
    </row>
    <row r="38">
      <c r="A38">
        <f>Skills!A5</f>
        <v/>
      </c>
      <c r="B38">
        <f>Skills!B5</f>
        <v/>
      </c>
      <c r="C38">
        <f>Inputs!$B$3&gt;=117</f>
        <v/>
      </c>
      <c r="D38">
        <f>IF(Skills!C5=1,60+Inputs!$B$24+Inputs!$B$28,IF(Skills!C5=2,90+Inputs!$B$25+Inputs!$B$28,IF(Skills!C5=3,120+Inputs!$B$26+Inputs!$B$28,MAX(0,(Inputs!$B$3-100)*3)+Inputs!$B$27+Inputs!$B$28)))</f>
        <v/>
      </c>
      <c r="E38">
        <f>INDEX(FactorTable!$B$2:$Y$301, MATCH(ROUND(MIN(300,MAX(1,D38)),0), FactorTable!$A$2:$A$301,0), Skills!M5+1)</f>
        <v/>
      </c>
      <c r="F38">
        <f>IF(Skills!N5=TRUE,(Skills!L5/10)*(E38/1000),Skills!L5/10)+Skills!O5</f>
        <v/>
      </c>
      <c r="G38">
        <f>Skills!G5*IF(Skills!H5&gt;0,Skills!I5/Skills!H5,1)</f>
        <v/>
      </c>
      <c r="H38">
        <f>1-(1-Skills!J5/100)^Skills!K5</f>
        <v/>
      </c>
      <c r="I38" t="inlineStr">
        <is>
          <t>1</t>
        </is>
      </c>
      <c r="J38">
        <f>(Inputs!$B$5*(1+Inputs!$B$6/100))*(F38/100)</f>
        <v/>
      </c>
      <c r="K38">
        <f>J38*(1+(((Inputs!$B$11+1)*(1+Inputs!$B$12/100))*0.01+Inputs!$B$13*0.0025)/100)*(1+Inputs!$B$14/100)*(1+IF(Inputs!$B$4="pvp",0,(1-Summary!$B$55)*(Inputs!$B$19+0+Skills!P5+((C50=TRUE)*F50*IF(AND(Inputs!$B$4&lt;&gt;"pvp",Inputs!$B$35&gt;0),(((S50-1)*(Skills!T17*(1+Inputs!$B$33/100))+MIN((Skills!T17*(1+Inputs!$B$33/100)),MAX(0,Inputs!$B$35-((S50-1)*Skills!D17))))/Inputs!$B$35),IF(Inputs!$B$4="pvp",MIN((Skills!T17*(1+Inputs!$B$33/100)),15)/15,(Skills!T17*(1+Inputs!$B$33/100))/Skills!D17)))+((C47=TRUE)*IF(Inputs!$B$4="pvp",20,(1-Summary!$B$55)*(20)+Summary!$B$55*(0))*IF(AND(Inputs!$B$4&lt;&gt;"pvp",Inputs!$B$35&gt;0),(((S47-1)*(Skills!T14*(1+Inputs!$B$33/100))+MIN((Skills!T14*(1+Inputs!$B$33/100)),MAX(0,Inputs!$B$35-((S47-1)*Skills!D14))))/Inputs!$B$35),IF(Inputs!$B$4="pvp",MIN((Skills!T14*(1+Inputs!$B$33/100)),15)/15,(Skills!T14*(1+Inputs!$B$33/100))/Skills!D14))))+Summary!$B$55*(Inputs!$B$20+Skills!Q5+((C50=TRUE)*F50*IF(AND(Inputs!$B$4&lt;&gt;"pvp",Inputs!$B$35&gt;0),(((S50-1)*(Skills!T17*(1+Inputs!$B$33/100))+MIN((Skills!T17*(1+Inputs!$B$33/100)),MAX(0,Inputs!$B$35-((S50-1)*Skills!D17))))/Inputs!$B$35),IF(Inputs!$B$4="pvp",MIN((Skills!T17*(1+Inputs!$B$33/100)),15)/15,(Skills!T17*(1+Inputs!$B$33/100))/Skills!D17)))))/100)*(1+Inputs!$B$15/100)*(5000/(6000+Inputs!$B$7*(1-(Inputs!$B$18+0)/100)))*(1+(Inputs!$B$23+((C58=TRUE)*(F58-Calc!F25))+((C59=TRUE)*(F59-Calc!F26))+B68)/100)*(1+(IF(Skills!A5="DARK_IMPALE",Inputs!$B$16+0,Inputs!$B$17+((C56=TRUE)*(F56-Calc!F23))))/100)*((1+(((C46=TRUE)*F46*IF(AND(Inputs!$B$4&lt;&gt;"pvp",Inputs!$B$35&gt;0),(((S46-1)*(Skills!T13*(1+Inputs!$B$33/100))+MIN((Skills!T13*(1+Inputs!$B$33/100)),MAX(0,Inputs!$B$35-((S46-1)*Skills!D13))))/Inputs!$B$35),IF(Inputs!$B$4="pvp",MIN((Skills!T13*(1+Inputs!$B$33/100)),15)/15,(Skills!T13*(1+Inputs!$B$33/100))/Skills!D13)))+((C47=TRUE)*F47*IF(AND(Inputs!$B$4&lt;&gt;"pvp",Inputs!$B$35&gt;0),(((S47-1)*(Skills!T14*(1+Inputs!$B$33/100))+MIN((Skills!T14*(1+Inputs!$B$33/100)),MAX(0,Inputs!$B$35-((S47-1)*Skills!D14))))/Inputs!$B$35),IF(Inputs!$B$4="pvp",MIN((Skills!T14*(1+Inputs!$B$33/100)),15)/15,(Skills!T14*(1+Inputs!$B$33/100))/Skills!D14)))+((C48=TRUE)*F48*IF(AND(Inputs!$B$4&lt;&gt;"pvp",Inputs!$B$35&gt;0),(((S48-1)*(Skills!T15*(1+Inputs!$B$33/100))+MIN((Skills!T15*(1+Inputs!$B$33/100)),MAX(0,Inputs!$B$35-((S48-1)*Skills!D15))))/Inputs!$B$35),IF(Inputs!$B$4="pvp",MIN((Skills!T15*(1+Inputs!$B$33/100)),15)/15,(Skills!T15*(1+Inputs!$B$33/100))/Skills!D15)))+((C49=TRUE)*F49*IF(AND(Inputs!$B$4&lt;&gt;"pvp",Inputs!$B$35&gt;0),(((S49-1)*(Skills!T16*(1+Inputs!$B$33/100))+MIN((Skills!T16*(1+Inputs!$B$33/100)),MAX(0,Inputs!$B$35-((S49-1)*Skills!D16))))/Inputs!$B$35),IF(Inputs!$B$4="pvp",MIN((Skills!T16*(1+Inputs!$B$33/100)),15)/15,(Skills!T16*(1+Inputs!$B$33/100))/Skills!D16)))+0)/100)*I38)</f>
        <v/>
      </c>
      <c r="L38">
        <f>K38*(MIN(Inputs!$B$21+((C55=TRUE)*(F55-Calc!F22)),Inputs!$B$22+((C57=TRUE)*(F57-Calc!F24)))/100+(Inputs!$B$22+((C57=TRUE)*(F57-Calc!F24)))/100)/2</f>
        <v/>
      </c>
      <c r="M38">
        <f>L38*(1+(Inputs!$B$9+0+B67)/100)</f>
        <v/>
      </c>
      <c r="N38">
        <f>L38*(1-MIN((Inputs!$B$8+0+B62),100)/100)+M38*(MIN((Inputs!$B$8+0+B62),100)/100)</f>
        <v/>
      </c>
      <c r="O38">
        <f>IF(C38,H38*N38*IF(AND(Inputs!$B$4&lt;&gt;"pvp",Inputs!$B$35&gt;0),((Skills!G5*((R38-1)*IF(Skills!H5&gt;0,Skills!I5/Skills!H5,1)+IF(Skills!H5&gt;0,MIN(Skills!I5,MAX(0,Inputs!$B$35-((R38-1)*IF(Inputs!$B$4="pvp",15,MAX(0.1,Skills!D5-IF(Skills!E5=TRUE,Inputs!$B$31,0))))))/Skills!H5,1)))/Inputs!$B$35),G38*Q38)*IF(Inputs!$B$4="pvp",1,(1-Summary!$B$55)*(1)+Summary!$B$55*(MIN(Skills!R5,Inputs!$B$37))),0)</f>
        <v/>
      </c>
      <c r="P38">
        <f>IF(B70=0,0,O38/B70)</f>
        <v/>
      </c>
      <c r="Q38">
        <f>IFERROR(1/IF(Inputs!$B$4="pvp",15,MAX(0.1,Skills!D5-IF(Skills!E5=TRUE,Inputs!$B$31,0))),0)</f>
        <v/>
      </c>
      <c r="R38">
        <f>IF(AND(Inputs!$B$4&lt;&gt;"pvp",Inputs!$B$35&gt;0),(INT(Inputs!$B$35/IF(Inputs!$B$4="pvp",15,MAX(0.1,Skills!D5-IF(Skills!E5=TRUE,Inputs!$B$31,0))))+1),0)</f>
        <v/>
      </c>
      <c r="S38">
        <f>IFERROR(O38/N38,0)</f>
        <v/>
      </c>
    </row>
    <row r="39">
      <c r="A39">
        <f>Skills!A6</f>
        <v/>
      </c>
      <c r="B39">
        <f>Skills!B6</f>
        <v/>
      </c>
      <c r="C39">
        <f>Inputs!$B$3&gt;=103</f>
        <v/>
      </c>
      <c r="D39">
        <f>IF(Skills!C6=1,60+Inputs!$B$24+Inputs!$B$28,IF(Skills!C6=2,90+Inputs!$B$25+Inputs!$B$28,IF(Skills!C6=3,120+Inputs!$B$26+Inputs!$B$28,MAX(0,(Inputs!$B$3-100)*3)+Inputs!$B$27+Inputs!$B$28)))</f>
        <v/>
      </c>
      <c r="E39">
        <f>INDEX(FactorTable!$B$2:$Y$301, MATCH(ROUND(MIN(300,MAX(1,D39)),0), FactorTable!$A$2:$A$301,0), Skills!M6+1)</f>
        <v/>
      </c>
      <c r="F39">
        <f>IF(Skills!N6=TRUE,(Skills!L6/10)*(E39/1000),Skills!L6/10)+Skills!O6</f>
        <v/>
      </c>
      <c r="G39">
        <f>Skills!G6*IF(Skills!H6&gt;0,Skills!I6/Skills!H6,1)</f>
        <v/>
      </c>
      <c r="H39">
        <f>1-(1-Skills!J6/100)^Skills!K6</f>
        <v/>
      </c>
      <c r="I39" t="inlineStr">
        <is>
          <t>1</t>
        </is>
      </c>
      <c r="J39">
        <f>(Inputs!$B$5*(1+Inputs!$B$6/100))*(F39/100)</f>
        <v/>
      </c>
      <c r="K39">
        <f>J39*(1+(((Inputs!$B$11+1)*(1+Inputs!$B$12/100))*0.01+Inputs!$B$13*0.0025)/100)*(1+Inputs!$B$14/100)*(1+IF(Inputs!$B$4="pvp",0,(1-Summary!$B$55)*(Inputs!$B$19+0+Skills!P6+((C50=TRUE)*F50*IF(AND(Inputs!$B$4&lt;&gt;"pvp",Inputs!$B$35&gt;0),(((S50-1)*(Skills!T17*(1+Inputs!$B$33/100))+MIN((Skills!T17*(1+Inputs!$B$33/100)),MAX(0,Inputs!$B$35-((S50-1)*Skills!D17))))/Inputs!$B$35),IF(Inputs!$B$4="pvp",MIN((Skills!T17*(1+Inputs!$B$33/100)),15)/15,(Skills!T17*(1+Inputs!$B$33/100))/Skills!D17)))+((C47=TRUE)*IF(Inputs!$B$4="pvp",20,(1-Summary!$B$55)*(20)+Summary!$B$55*(0))*IF(AND(Inputs!$B$4&lt;&gt;"pvp",Inputs!$B$35&gt;0),(((S47-1)*(Skills!T14*(1+Inputs!$B$33/100))+MIN((Skills!T14*(1+Inputs!$B$33/100)),MAX(0,Inputs!$B$35-((S47-1)*Skills!D14))))/Inputs!$B$35),IF(Inputs!$B$4="pvp",MIN((Skills!T14*(1+Inputs!$B$33/100)),15)/15,(Skills!T14*(1+Inputs!$B$33/100))/Skills!D14))))+Summary!$B$55*(Inputs!$B$20+Skills!Q6+((C50=TRUE)*F50*IF(AND(Inputs!$B$4&lt;&gt;"pvp",Inputs!$B$35&gt;0),(((S50-1)*(Skills!T17*(1+Inputs!$B$33/100))+MIN((Skills!T17*(1+Inputs!$B$33/100)),MAX(0,Inputs!$B$35-((S50-1)*Skills!D17))))/Inputs!$B$35),IF(Inputs!$B$4="pvp",MIN((Skills!T17*(1+Inputs!$B$33/100)),15)/15,(Skills!T17*(1+Inputs!$B$33/100))/Skills!D17)))))/100)*(1+Inputs!$B$15/100)*(5000/(6000+Inputs!$B$7*(1-(Inputs!$B$18+0)/100)))*(1+(Inputs!$B$23+((C58=TRUE)*(F58-Calc!F25))+((C59=TRUE)*(F59-Calc!F26))+B68)/100)*(1+(IF(Skills!A6="DARK_IMPALE",Inputs!$B$16+0,Inputs!$B$17+((C56=TRUE)*(F56-Calc!F23))))/100)*((1+(((C46=TRUE)*F46*IF(AND(Inputs!$B$4&lt;&gt;"pvp",Inputs!$B$35&gt;0),(((S46-1)*(Skills!T13*(1+Inputs!$B$33/100))+MIN((Skills!T13*(1+Inputs!$B$33/100)),MAX(0,Inputs!$B$35-((S46-1)*Skills!D13))))/Inputs!$B$35),IF(Inputs!$B$4="pvp",MIN((Skills!T13*(1+Inputs!$B$33/100)),15)/15,(Skills!T13*(1+Inputs!$B$33/100))/Skills!D13)))+((C47=TRUE)*F47*IF(AND(Inputs!$B$4&lt;&gt;"pvp",Inputs!$B$35&gt;0),(((S47-1)*(Skills!T14*(1+Inputs!$B$33/100))+MIN((Skills!T14*(1+Inputs!$B$33/100)),MAX(0,Inputs!$B$35-((S47-1)*Skills!D14))))/Inputs!$B$35),IF(Inputs!$B$4="pvp",MIN((Skills!T14*(1+Inputs!$B$33/100)),15)/15,(Skills!T14*(1+Inputs!$B$33/100))/Skills!D14)))+((C48=TRUE)*F48*IF(AND(Inputs!$B$4&lt;&gt;"pvp",Inputs!$B$35&gt;0),(((S48-1)*(Skills!T15*(1+Inputs!$B$33/100))+MIN((Skills!T15*(1+Inputs!$B$33/100)),MAX(0,Inputs!$B$35-((S48-1)*Skills!D15))))/Inputs!$B$35),IF(Inputs!$B$4="pvp",MIN((Skills!T15*(1+Inputs!$B$33/100)),15)/15,(Skills!T15*(1+Inputs!$B$33/100))/Skills!D15)))+((C49=TRUE)*F49*IF(AND(Inputs!$B$4&lt;&gt;"pvp",Inputs!$B$35&gt;0),(((S49-1)*(Skills!T16*(1+Inputs!$B$33/100))+MIN((Skills!T16*(1+Inputs!$B$33/100)),MAX(0,Inputs!$B$35-((S49-1)*Skills!D16))))/Inputs!$B$35),IF(Inputs!$B$4="pvp",MIN((Skills!T16*(1+Inputs!$B$33/100)),15)/15,(Skills!T16*(1+Inputs!$B$33/100))/Skills!D16)))+0)/100)*I39)</f>
        <v/>
      </c>
      <c r="L39">
        <f>K39*(MIN(Inputs!$B$21+((C55=TRUE)*(F55-Calc!F22)),Inputs!$B$22+((C57=TRUE)*(F57-Calc!F24)))/100+(Inputs!$B$22+((C57=TRUE)*(F57-Calc!F24)))/100)/2</f>
        <v/>
      </c>
      <c r="M39">
        <f>L39*(1+(Inputs!$B$9+0+B67)/100)</f>
        <v/>
      </c>
      <c r="N39">
        <f>L39*(1-MIN((Inputs!$B$8+0+B62),100)/100)+M39*(MIN((Inputs!$B$8+0+B62),100)/100)</f>
        <v/>
      </c>
      <c r="O39">
        <f>IF(C39,H39*N39*IF(AND(Inputs!$B$4&lt;&gt;"pvp",Inputs!$B$35&gt;0),((Skills!G6*((R39-1)*IF(Skills!H6&gt;0,Skills!I6/Skills!H6,1)+IF(Skills!H6&gt;0,MIN(Skills!I6,MAX(0,Inputs!$B$35-((R39-1)*IF(Inputs!$B$4="pvp",15,MAX(0.1,Skills!D6-IF(Skills!E6=TRUE,Inputs!$B$31,0))))))/Skills!H6,1)))/Inputs!$B$35),G39*Q39)*IF(Inputs!$B$4="pvp",1,(1-Summary!$B$55)*(1)+Summary!$B$55*(MIN(Skills!R6,Inputs!$B$37))),0)</f>
        <v/>
      </c>
      <c r="P39">
        <f>IF(B70=0,0,O39/B70)</f>
        <v/>
      </c>
      <c r="Q39">
        <f>IFERROR(1/IF(Inputs!$B$4="pvp",15,MAX(0.1,Skills!D6-IF(Skills!E6=TRUE,Inputs!$B$31,0))),0)</f>
        <v/>
      </c>
      <c r="R39">
        <f>IF(AND(Inputs!$B$4&lt;&gt;"pvp",Inputs!$B$35&gt;0),(INT(Inputs!$B$35/IF(Inputs!$B$4="pvp",15,MAX(0.1,Skills!D6-IF(Skills!E6=TRUE,Inputs!$B$31,0))))+1),0)</f>
        <v/>
      </c>
      <c r="S39">
        <f>IFERROR(O39/N39,0)</f>
        <v/>
      </c>
    </row>
    <row r="40">
      <c r="A40">
        <f>Skills!A7</f>
        <v/>
      </c>
      <c r="B40">
        <f>Skills!B7</f>
        <v/>
      </c>
      <c r="C40">
        <f>Inputs!$B$3&gt;=40</f>
        <v/>
      </c>
      <c r="D40">
        <f>IF(Skills!C7=1,60+Inputs!$B$24+Inputs!$B$28,IF(Skills!C7=2,90+Inputs!$B$25+Inputs!$B$28,IF(Skills!C7=3,120+Inputs!$B$26+Inputs!$B$28,MAX(0,(Inputs!$B$3-100)*3)+Inputs!$B$27+Inputs!$B$28)))</f>
        <v/>
      </c>
      <c r="E40">
        <f>INDEX(FactorTable!$B$2:$Y$301, MATCH(ROUND(MIN(300,MAX(1,D40)),0), FactorTable!$A$2:$A$301,0), Skills!M7+1)</f>
        <v/>
      </c>
      <c r="F40">
        <f>IF(Skills!N7=TRUE,(Skills!L7/10)*(E40/1000),Skills!L7/10)+Skills!O7</f>
        <v/>
      </c>
      <c r="G40">
        <f>Skills!G7*IF(Skills!H7&gt;0,Skills!I7/Skills!H7,1)</f>
        <v/>
      </c>
      <c r="H40">
        <f>1-(1-Skills!J7/100)^Skills!K7</f>
        <v/>
      </c>
      <c r="I40" t="inlineStr">
        <is>
          <t>1</t>
        </is>
      </c>
      <c r="J40">
        <f>(Inputs!$B$5*(1+Inputs!$B$6/100))*(F40/100)</f>
        <v/>
      </c>
      <c r="K40">
        <f>J40*(1+(((Inputs!$B$11+1)*(1+Inputs!$B$12/100))*0.01+Inputs!$B$13*0.0025)/100)*(1+Inputs!$B$14/100)*(1+IF(Inputs!$B$4="pvp",0,(1-Summary!$B$55)*(Inputs!$B$19+0+Skills!P7+((C50=TRUE)*F50*IF(AND(Inputs!$B$4&lt;&gt;"pvp",Inputs!$B$35&gt;0),(((S50-1)*(Skills!T17*(1+Inputs!$B$33/100))+MIN((Skills!T17*(1+Inputs!$B$33/100)),MAX(0,Inputs!$B$35-((S50-1)*Skills!D17))))/Inputs!$B$35),IF(Inputs!$B$4="pvp",MIN((Skills!T17*(1+Inputs!$B$33/100)),15)/15,(Skills!T17*(1+Inputs!$B$33/100))/Skills!D17)))+((C47=TRUE)*IF(Inputs!$B$4="pvp",20,(1-Summary!$B$55)*(20)+Summary!$B$55*(0))*IF(AND(Inputs!$B$4&lt;&gt;"pvp",Inputs!$B$35&gt;0),(((S47-1)*(Skills!T14*(1+Inputs!$B$33/100))+MIN((Skills!T14*(1+Inputs!$B$33/100)),MAX(0,Inputs!$B$35-((S47-1)*Skills!D14))))/Inputs!$B$35),IF(Inputs!$B$4="pvp",MIN((Skills!T14*(1+Inputs!$B$33/100)),15)/15,(Skills!T14*(1+Inputs!$B$33/100))/Skills!D14))))+Summary!$B$55*(Inputs!$B$20+Skills!Q7+((C50=TRUE)*F50*IF(AND(Inputs!$B$4&lt;&gt;"pvp",Inputs!$B$35&gt;0),(((S50-1)*(Skills!T17*(1+Inputs!$B$33/100))+MIN((Skills!T17*(1+Inputs!$B$33/100)),MAX(0,Inputs!$B$35-((S50-1)*Skills!D17))))/Inputs!$B$35),IF(Inputs!$B$4="pvp",MIN((Skills!T17*(1+Inputs!$B$33/100)),15)/15,(Skills!T17*(1+Inputs!$B$33/100))/Skills!D17)))))/100)*(1+Inputs!$B$15/100)*(5000/(6000+Inputs!$B$7*(1-(Inputs!$B$18+0)/100)))*(1+(Inputs!$B$23+((C58=TRUE)*(F58-Calc!F25))+((C59=TRUE)*(F59-Calc!F26))+B68)/100)*(1+0.75*IF(C44=TRUE,F44,0)/100)*(1+(IF(Skills!A7="DARK_IMPALE",Inputs!$B$16+0,Inputs!$B$17+((C56=TRUE)*(F56-Calc!F23))))/100)*((1+(((C46=TRUE)*F46*IF(AND(Inputs!$B$4&lt;&gt;"pvp",Inputs!$B$35&gt;0),(((S46-1)*(Skills!T13*(1+Inputs!$B$33/100))+MIN((Skills!T13*(1+Inputs!$B$33/100)),MAX(0,Inputs!$B$35-((S46-1)*Skills!D13))))/Inputs!$B$35),IF(Inputs!$B$4="pvp",MIN((Skills!T13*(1+Inputs!$B$33/100)),15)/15,(Skills!T13*(1+Inputs!$B$33/100))/Skills!D13)))+((C47=TRUE)*F47*IF(AND(Inputs!$B$4&lt;&gt;"pvp",Inputs!$B$35&gt;0),(((S47-1)*(Skills!T14*(1+Inputs!$B$33/100))+MIN((Skills!T14*(1+Inputs!$B$33/100)),MAX(0,Inputs!$B$35-((S47-1)*Skills!D14))))/Inputs!$B$35),IF(Inputs!$B$4="pvp",MIN((Skills!T14*(1+Inputs!$B$33/100)),15)/15,(Skills!T14*(1+Inputs!$B$33/100))/Skills!D14)))+((C48=TRUE)*F48*IF(AND(Inputs!$B$4&lt;&gt;"pvp",Inputs!$B$35&gt;0),(((S48-1)*(Skills!T15*(1+Inputs!$B$33/100))+MIN((Skills!T15*(1+Inputs!$B$33/100)),MAX(0,Inputs!$B$35-((S48-1)*Skills!D15))))/Inputs!$B$35),IF(Inputs!$B$4="pvp",MIN((Skills!T15*(1+Inputs!$B$33/100)),15)/15,(Skills!T15*(1+Inputs!$B$33/100))/Skills!D15)))+((C49=TRUE)*F49*IF(AND(Inputs!$B$4&lt;&gt;"pvp",Inputs!$B$35&gt;0),(((S49-1)*(Skills!T16*(1+Inputs!$B$33/100))+MIN((Skills!T16*(1+Inputs!$B$33/100)),MAX(0,Inputs!$B$35-((S49-1)*Skills!D16))))/Inputs!$B$35),IF(Inputs!$B$4="pvp",MIN((Skills!T16*(1+Inputs!$B$33/100)),15)/15,(Skills!T16*(1+Inputs!$B$33/100))/Skills!D16)))+0)/100)*I40)</f>
        <v/>
      </c>
      <c r="L40">
        <f>K40*(MIN(Inputs!$B$21+((C55=TRUE)*(F55-Calc!F22)),Inputs!$B$22+((C57=TRUE)*(F57-Calc!F24)))/100+(Inputs!$B$22+((C57=TRUE)*(F57-Calc!F24)))/100)/2</f>
        <v/>
      </c>
      <c r="M40">
        <f>L40*(1+(Inputs!$B$9+0+B67)/100)</f>
        <v/>
      </c>
      <c r="N40">
        <f>L40*(1-MIN((Inputs!$B$8+0+B62),100)/100)+M40*(MIN((Inputs!$B$8+0+B62),100)/100)</f>
        <v/>
      </c>
      <c r="O40">
        <f>IF(C40,H40*N40*IF(AND(Inputs!$B$4&lt;&gt;"pvp",Inputs!$B$35&gt;0),((Skills!G7*((R40-1)*IF(Skills!H7&gt;0,Skills!I7/Skills!H7,1)+IF(Skills!H7&gt;0,MIN(Skills!I7,MAX(0,Inputs!$B$35-((R40-1)*IF(Inputs!$B$4="pvp",15,MAX(0.1,Skills!D7-IF(Skills!E7=TRUE,Inputs!$B$31,0))))))/Skills!H7,1)))/Inputs!$B$35),G40*Q40)*IF(Inputs!$B$4="pvp",1,(1-Summary!$B$55)*(1)+Summary!$B$55*(MIN(Skills!R7,Inputs!$B$37))),0)</f>
        <v/>
      </c>
      <c r="P40">
        <f>IF(B70=0,0,O40/B70)</f>
        <v/>
      </c>
      <c r="Q40">
        <f>IFERROR(1/IF(Inputs!$B$4="pvp",15,MAX(0.1,Skills!D7-IF(Skills!E7=TRUE,Inputs!$B$31,0))),0)</f>
        <v/>
      </c>
      <c r="R40">
        <f>IF(AND(Inputs!$B$4&lt;&gt;"pvp",Inputs!$B$35&gt;0),(INT(Inputs!$B$35/IF(Inputs!$B$4="pvp",15,MAX(0.1,Skills!D7-IF(Skills!E7=TRUE,Inputs!$B$31,0))))+1),0)</f>
        <v/>
      </c>
      <c r="S40">
        <f>IFERROR(O40/N40,0)</f>
        <v/>
      </c>
    </row>
    <row r="41">
      <c r="A41">
        <f>Skills!A8</f>
        <v/>
      </c>
      <c r="B41">
        <f>Skills!B8</f>
        <v/>
      </c>
      <c r="C41">
        <f>Inputs!$B$3&gt;=75</f>
        <v/>
      </c>
      <c r="D41">
        <f>IF(Skills!C8=1,60+Inputs!$B$24+Inputs!$B$28,IF(Skills!C8=2,90+Inputs!$B$25+Inputs!$B$28,IF(Skills!C8=3,120+Inputs!$B$26+Inputs!$B$28,MAX(0,(Inputs!$B$3-100)*3)+Inputs!$B$27+Inputs!$B$28)))</f>
        <v/>
      </c>
      <c r="E41">
        <f>INDEX(FactorTable!$B$2:$Y$301, MATCH(ROUND(MIN(300,MAX(1,D41)),0), FactorTable!$A$2:$A$301,0), Skills!M8+1)</f>
        <v/>
      </c>
      <c r="F41">
        <f>IF(Skills!N8=TRUE,(Skills!L8/10)*(E41/1000),Skills!L8/10)+Skills!O8</f>
        <v/>
      </c>
      <c r="G41" t="inlineStr"/>
      <c r="H41" t="inlineStr"/>
      <c r="I41" t="inlineStr">
        <is>
          <t>1</t>
        </is>
      </c>
      <c r="J41" t="inlineStr"/>
      <c r="K41" t="inlineStr"/>
      <c r="L41" t="inlineStr"/>
      <c r="M41" t="inlineStr"/>
      <c r="N41" t="inlineStr"/>
      <c r="O41" t="inlineStr"/>
      <c r="P41" t="inlineStr"/>
      <c r="Q41" t="inlineStr"/>
      <c r="R41" t="inlineStr"/>
      <c r="S41" t="inlineStr"/>
    </row>
    <row r="42">
      <c r="A42">
        <f>Skills!A9</f>
        <v/>
      </c>
      <c r="B42">
        <f>Skills!B9</f>
        <v/>
      </c>
      <c r="C42">
        <f>Inputs!$B$3&gt;=60</f>
        <v/>
      </c>
      <c r="D42">
        <f>IF(Skills!C9=1,60+Inputs!$B$24+Inputs!$B$28,IF(Skills!C9=2,90+Inputs!$B$25+Inputs!$B$28,IF(Skills!C9=3,120+Inputs!$B$26+Inputs!$B$28,MAX(0,(Inputs!$B$3-100)*3)+Inputs!$B$27+Inputs!$B$28)))</f>
        <v/>
      </c>
      <c r="E42">
        <f>INDEX(FactorTable!$B$2:$Y$301, MATCH(ROUND(MIN(300,MAX(1,D42)),0), FactorTable!$A$2:$A$301,0), Skills!M9+1)</f>
        <v/>
      </c>
      <c r="F42">
        <f>IF(Skills!N9=TRUE,(Skills!L9/10)*(E42/1000),Skills!L9/10)+Skills!O9</f>
        <v/>
      </c>
      <c r="G42">
        <f>Skills!G9*IF(Skills!H9&gt;0,Skills!I9/Skills!H9,1)</f>
        <v/>
      </c>
      <c r="H42">
        <f>1-(1-Skills!J9/100)^Skills!K9</f>
        <v/>
      </c>
      <c r="I42" t="inlineStr">
        <is>
          <t>1</t>
        </is>
      </c>
      <c r="J42">
        <f>(Inputs!$B$5*(1+Inputs!$B$6/100))*(F42/100)</f>
        <v/>
      </c>
      <c r="K42">
        <f>J42*(1+(((Inputs!$B$11+1)*(1+Inputs!$B$12/100))*0.01+Inputs!$B$13*0.0025)/100)*(1+Inputs!$B$14/100)*(1+IF(Inputs!$B$4="pvp",0,(1-Summary!$B$55)*(Inputs!$B$19+0+Skills!P9+((C50=TRUE)*F50*IF(AND(Inputs!$B$4&lt;&gt;"pvp",Inputs!$B$35&gt;0),(((S50-1)*(Skills!T17*(1+Inputs!$B$33/100))+MIN((Skills!T17*(1+Inputs!$B$33/100)),MAX(0,Inputs!$B$35-((S50-1)*Skills!D17))))/Inputs!$B$35),IF(Inputs!$B$4="pvp",MIN((Skills!T17*(1+Inputs!$B$33/100)),15)/15,(Skills!T17*(1+Inputs!$B$33/100))/Skills!D17)))+((C47=TRUE)*IF(Inputs!$B$4="pvp",20,(1-Summary!$B$55)*(20)+Summary!$B$55*(0))*IF(AND(Inputs!$B$4&lt;&gt;"pvp",Inputs!$B$35&gt;0),(((S47-1)*(Skills!T14*(1+Inputs!$B$33/100))+MIN((Skills!T14*(1+Inputs!$B$33/100)),MAX(0,Inputs!$B$35-((S47-1)*Skills!D14))))/Inputs!$B$35),IF(Inputs!$B$4="pvp",MIN((Skills!T14*(1+Inputs!$B$33/100)),15)/15,(Skills!T14*(1+Inputs!$B$33/100))/Skills!D14))))+Summary!$B$55*(Inputs!$B$20+Skills!Q9+((C50=TRUE)*F50*IF(AND(Inputs!$B$4&lt;&gt;"pvp",Inputs!$B$35&gt;0),(((S50-1)*(Skills!T17*(1+Inputs!$B$33/100))+MIN((Skills!T17*(1+Inputs!$B$33/100)),MAX(0,Inputs!$B$35-((S50-1)*Skills!D17))))/Inputs!$B$35),IF(Inputs!$B$4="pvp",MIN((Skills!T17*(1+Inputs!$B$33/100)),15)/15,(Skills!T17*(1+Inputs!$B$33/100))/Skills!D17)))))/100)*(1+Inputs!$B$15/100)*(5000/(6000+Inputs!$B$7*(1-(Inputs!$B$18+0)/100)))*(1+(Inputs!$B$23+((C58=TRUE)*(F58-Calc!F25))+((C59=TRUE)*(F59-Calc!F26))+B68)/100)*(1+1.0*IF(C44=TRUE,F44,0)/100)*(1+(IF(Skills!A9="DARK_IMPALE",Inputs!$B$16+0,Inputs!$B$17+((C56=TRUE)*(F56-Calc!F23))))/100)*((1+(((C46=TRUE)*F46*IF(AND(Inputs!$B$4&lt;&gt;"pvp",Inputs!$B$35&gt;0),(((S46-1)*(Skills!T13*(1+Inputs!$B$33/100))+MIN((Skills!T13*(1+Inputs!$B$33/100)),MAX(0,Inputs!$B$35-((S46-1)*Skills!D13))))/Inputs!$B$35),IF(Inputs!$B$4="pvp",MIN((Skills!T13*(1+Inputs!$B$33/100)),15)/15,(Skills!T13*(1+Inputs!$B$33/100))/Skills!D13)))+((C47=TRUE)*F47*IF(AND(Inputs!$B$4&lt;&gt;"pvp",Inputs!$B$35&gt;0),(((S47-1)*(Skills!T14*(1+Inputs!$B$33/100))+MIN((Skills!T14*(1+Inputs!$B$33/100)),MAX(0,Inputs!$B$35-((S47-1)*Skills!D14))))/Inputs!$B$35),IF(Inputs!$B$4="pvp",MIN((Skills!T14*(1+Inputs!$B$33/100)),15)/15,(Skills!T14*(1+Inputs!$B$33/100))/Skills!D14)))+((C48=TRUE)*F48*IF(AND(Inputs!$B$4&lt;&gt;"pvp",Inputs!$B$35&gt;0),(((S48-1)*(Skills!T15*(1+Inputs!$B$33/100))+MIN((Skills!T15*(1+Inputs!$B$33/100)),MAX(0,Inputs!$B$35-((S48-1)*Skills!D15))))/Inputs!$B$35),IF(Inputs!$B$4="pvp",MIN((Skills!T15*(1+Inputs!$B$33/100)),15)/15,(Skills!T15*(1+Inputs!$B$33/100))/Skills!D15)))+((C49=TRUE)*F49*IF(AND(Inputs!$B$4&lt;&gt;"pvp",Inputs!$B$35&gt;0),(((S49-1)*(Skills!T16*(1+Inputs!$B$33/100))+MIN((Skills!T16*(1+Inputs!$B$33/100)),MAX(0,Inputs!$B$35-((S49-1)*Skills!D16))))/Inputs!$B$35),IF(Inputs!$B$4="pvp",MIN((Skills!T16*(1+Inputs!$B$33/100)),15)/15,(Skills!T16*(1+Inputs!$B$33/100))/Skills!D16)))+0)/100)*I42)</f>
        <v/>
      </c>
      <c r="L42">
        <f>K42*(MIN(Inputs!$B$21+((C55=TRUE)*(F55-Calc!F22)),Inputs!$B$22+((C57=TRUE)*(F57-Calc!F24)))/100+(Inputs!$B$22+((C57=TRUE)*(F57-Calc!F24)))/100)/2</f>
        <v/>
      </c>
      <c r="M42">
        <f>L42*(1+(Inputs!$B$9+0+B67)/100)</f>
        <v/>
      </c>
      <c r="N42">
        <f>L42*(1-MIN((Inputs!$B$8+0+B62),100)/100)+M42*(MIN((Inputs!$B$8+0+B62),100)/100)</f>
        <v/>
      </c>
      <c r="O42">
        <f>IF(C42,H42*N42*IF(AND(Inputs!$B$4&lt;&gt;"pvp",Inputs!$B$35&gt;0),((Skills!G9*((R42-1)*IF(Skills!H9&gt;0,Skills!I9/Skills!H9,1)+IF(Skills!H9&gt;0,MIN(Skills!I9,MAX(0,Inputs!$B$35-((R42-1)*IF(Inputs!$B$4="pvp",15,MAX(0.1,Skills!D9-IF(Skills!E9=TRUE,Inputs!$B$31,0))))))/Skills!H9,1)))/Inputs!$B$35),G42*Q42)*IF(Inputs!$B$4="pvp",1,(1-Summary!$B$55)*(1)+Summary!$B$55*(MIN(Skills!R9,Inputs!$B$37))),0)</f>
        <v/>
      </c>
      <c r="P42">
        <f>IF(B70=0,0,O42/B70)</f>
        <v/>
      </c>
      <c r="Q42">
        <f>IFERROR(1/IF(Inputs!$B$4="pvp",15,MAX(0.1,Skills!D9-IF(Skills!E9=TRUE,Inputs!$B$31,0))),0)</f>
        <v/>
      </c>
      <c r="R42">
        <f>IF(AND(Inputs!$B$4&lt;&gt;"pvp",Inputs!$B$35&gt;0),(INT(Inputs!$B$35/IF(Inputs!$B$4="pvp",15,MAX(0.1,Skills!D9-IF(Skills!E9=TRUE,Inputs!$B$31,0))))+1),0)</f>
        <v/>
      </c>
      <c r="S42">
        <f>IFERROR(O42/N42,0)</f>
        <v/>
      </c>
    </row>
    <row r="43">
      <c r="A43">
        <f>Skills!A10</f>
        <v/>
      </c>
      <c r="B43">
        <f>Skills!B10</f>
        <v/>
      </c>
      <c r="C43">
        <f>Inputs!$B$3&gt;=110</f>
        <v/>
      </c>
      <c r="D43">
        <f>IF(Skills!C10=1,60+Inputs!$B$24+Inputs!$B$28,IF(Skills!C10=2,90+Inputs!$B$25+Inputs!$B$28,IF(Skills!C10=3,120+Inputs!$B$26+Inputs!$B$28,MAX(0,(Inputs!$B$3-100)*3)+Inputs!$B$27+Inputs!$B$28)))</f>
        <v/>
      </c>
      <c r="E43">
        <f>INDEX(FactorTable!$B$2:$Y$301, MATCH(ROUND(MIN(300,MAX(1,D43)),0), FactorTable!$A$2:$A$301,0), Skills!M10+1)</f>
        <v/>
      </c>
      <c r="F43">
        <f>IF(Skills!N10=TRUE,(Skills!L10/10)*(E43/1000),Skills!L10/10)+Skills!O10</f>
        <v/>
      </c>
      <c r="G43">
        <f>Skills!G10*IF(Skills!H10&gt;0,Skills!I10/Skills!H10,1)</f>
        <v/>
      </c>
      <c r="H43">
        <f>1-(1-Skills!J10/100)^Skills!K10</f>
        <v/>
      </c>
      <c r="I43" t="inlineStr">
        <is>
          <t>1</t>
        </is>
      </c>
      <c r="J43">
        <f>(Inputs!$B$5*(1+Inputs!$B$6/100))*(F43/100)</f>
        <v/>
      </c>
      <c r="K43">
        <f>J43*(1+(((Inputs!$B$11+1)*(1+Inputs!$B$12/100))*0.01+Inputs!$B$13*0.0025)/100)*(1+Inputs!$B$14/100)*(1+IF(Inputs!$B$4="pvp",0,(1-Summary!$B$55)*(Inputs!$B$19+0+Skills!P10+((C50=TRUE)*F50*IF(AND(Inputs!$B$4&lt;&gt;"pvp",Inputs!$B$35&gt;0),(((S50-1)*(Skills!T17*(1+Inputs!$B$33/100))+MIN((Skills!T17*(1+Inputs!$B$33/100)),MAX(0,Inputs!$B$35-((S50-1)*Skills!D17))))/Inputs!$B$35),IF(Inputs!$B$4="pvp",MIN((Skills!T17*(1+Inputs!$B$33/100)),15)/15,(Skills!T17*(1+Inputs!$B$33/100))/Skills!D17)))+((C47=TRUE)*IF(Inputs!$B$4="pvp",20,(1-Summary!$B$55)*(20)+Summary!$B$55*(0))*IF(AND(Inputs!$B$4&lt;&gt;"pvp",Inputs!$B$35&gt;0),(((S47-1)*(Skills!T14*(1+Inputs!$B$33/100))+MIN((Skills!T14*(1+Inputs!$B$33/100)),MAX(0,Inputs!$B$35-((S47-1)*Skills!D14))))/Inputs!$B$35),IF(Inputs!$B$4="pvp",MIN((Skills!T14*(1+Inputs!$B$33/100)),15)/15,(Skills!T14*(1+Inputs!$B$33/100))/Skills!D14))))+Summary!$B$55*(Inputs!$B$20+Skills!Q10+((C50=TRUE)*F50*IF(AND(Inputs!$B$4&lt;&gt;"pvp",Inputs!$B$35&gt;0),(((S50-1)*(Skills!T17*(1+Inputs!$B$33/100))+MIN((Skills!T17*(1+Inputs!$B$33/100)),MAX(0,Inputs!$B$35-((S50-1)*Skills!D17))))/Inputs!$B$35),IF(Inputs!$B$4="pvp",MIN((Skills!T17*(1+Inputs!$B$33/100)),15)/15,(Skills!T17*(1+Inputs!$B$33/100))/Skills!D17)))))/100)*(1+Inputs!$B$15/100)*(5000/(6000+Inputs!$B$7*(1-(Inputs!$B$18+0)/100)))*(1+(Inputs!$B$23+((C58=TRUE)*(F58-Calc!F25))+((C59=TRUE)*(F59-Calc!F26))+B68)/100)*(1+(IF(Skills!A10="DARK_IMPALE",Inputs!$B$16+0,Inputs!$B$17+((C56=TRUE)*(F56-Calc!F23))))/100)*((1+(((C46=TRUE)*F46*IF(AND(Inputs!$B$4&lt;&gt;"pvp",Inputs!$B$35&gt;0),(((S46-1)*(Skills!T13*(1+Inputs!$B$33/100))+MIN((Skills!T13*(1+Inputs!$B$33/100)),MAX(0,Inputs!$B$35-((S46-1)*Skills!D13))))/Inputs!$B$35),IF(Inputs!$B$4="pvp",MIN((Skills!T13*(1+Inputs!$B$33/100)),15)/15,(Skills!T13*(1+Inputs!$B$33/100))/Skills!D13)))+((C47=TRUE)*F47*IF(AND(Inputs!$B$4&lt;&gt;"pvp",Inputs!$B$35&gt;0),(((S47-1)*(Skills!T14*(1+Inputs!$B$33/100))+MIN((Skills!T14*(1+Inputs!$B$33/100)),MAX(0,Inputs!$B$35-((S47-1)*Skills!D14))))/Inputs!$B$35),IF(Inputs!$B$4="pvp",MIN((Skills!T14*(1+Inputs!$B$33/100)),15)/15,(Skills!T14*(1+Inputs!$B$33/100))/Skills!D14)))+((C48=TRUE)*F48*IF(AND(Inputs!$B$4&lt;&gt;"pvp",Inputs!$B$35&gt;0),(((S48-1)*(Skills!T15*(1+Inputs!$B$33/100))+MIN((Skills!T15*(1+Inputs!$B$33/100)),MAX(0,Inputs!$B$35-((S48-1)*Skills!D15))))/Inputs!$B$35),IF(Inputs!$B$4="pvp",MIN((Skills!T15*(1+Inputs!$B$33/100)),15)/15,(Skills!T15*(1+Inputs!$B$33/100))/Skills!D15)))+((C49=TRUE)*F49*IF(AND(Inputs!$B$4&lt;&gt;"pvp",Inputs!$B$35&gt;0),(((S49-1)*(Skills!T16*(1+Inputs!$B$33/100))+MIN((Skills!T16*(1+Inputs!$B$33/100)),MAX(0,Inputs!$B$35-((S49-1)*Skills!D16))))/Inputs!$B$35),IF(Inputs!$B$4="pvp",MIN((Skills!T16*(1+Inputs!$B$33/100)),15)/15,(Skills!T16*(1+Inputs!$B$33/100))/Skills!D16)))+0)/100)*I43)</f>
        <v/>
      </c>
      <c r="L43">
        <f>K43*(MIN(Inputs!$B$21+((C55=TRUE)*(F55-Calc!F22)),Inputs!$B$22+((C57=TRUE)*(F57-Calc!F24)))/100+(Inputs!$B$22+((C57=TRUE)*(F57-Calc!F24)))/100)/2</f>
        <v/>
      </c>
      <c r="M43">
        <f>L43*(1+(Inputs!$B$9+0+B67)/100)</f>
        <v/>
      </c>
      <c r="N43">
        <f>L43*(1-MIN((Inputs!$B$8+0+B62),100)/100)+M43*(MIN((Inputs!$B$8+0+B62),100)/100)</f>
        <v/>
      </c>
      <c r="O43">
        <f>IF(C43,H43*N43*IF(AND(Inputs!$B$4&lt;&gt;"pvp",Inputs!$B$35&gt;0),((Skills!G10*((R43-1)*IF(Skills!H10&gt;0,Skills!I10/Skills!H10,1)+IF(Skills!H10&gt;0,MIN(Skills!I10,MAX(0,Inputs!$B$35-((R43-1)*IF(Inputs!$B$4="pvp",15,MAX(0.1,Skills!D10-IF(Skills!E10=TRUE,Inputs!$B$31,0))))))/Skills!H10,1)))/Inputs!$B$35),G43*Q43)*IF(Inputs!$B$4="pvp",1,(1-Summary!$B$55)*(1)+Summary!$B$55*(MIN(Skills!R10,Inputs!$B$37))),0)</f>
        <v/>
      </c>
      <c r="P43">
        <f>IF(B70=0,0,O43/B70)</f>
        <v/>
      </c>
      <c r="Q43">
        <f>IFERROR(1/IF(Inputs!$B$4="pvp",15,MAX(0.1,Skills!D10-IF(Skills!E10=TRUE,Inputs!$B$31,0))),0)</f>
        <v/>
      </c>
      <c r="R43">
        <f>IF(AND(Inputs!$B$4&lt;&gt;"pvp",Inputs!$B$35&gt;0),(INT(Inputs!$B$35/IF(Inputs!$B$4="pvp",15,MAX(0.1,Skills!D10-IF(Skills!E10=TRUE,Inputs!$B$31,0))))+1),0)</f>
        <v/>
      </c>
      <c r="S43">
        <f>IFERROR(O43/N43,0)</f>
        <v/>
      </c>
    </row>
    <row r="44">
      <c r="A44">
        <f>Skills!A11</f>
        <v/>
      </c>
      <c r="B44">
        <f>Skills!B11</f>
        <v/>
      </c>
      <c r="C44">
        <f>Inputs!$B$3&gt;=100</f>
        <v/>
      </c>
      <c r="D44">
        <f>IF(Skills!C11=1,60+Inputs!$B$24+Inputs!$B$28,IF(Skills!C11=2,90+Inputs!$B$25+Inputs!$B$28,IF(Skills!C11=3,120+Inputs!$B$26+Inputs!$B$28,MAX(0,(Inputs!$B$3-100)*3)+Inputs!$B$27+Inputs!$B$28)))</f>
        <v/>
      </c>
      <c r="E44">
        <f>INDEX(FactorTable!$B$2:$Y$301, MATCH(ROUND(MIN(300,MAX(1,D44)),0), FactorTable!$A$2:$A$301,0), Skills!M11+1)</f>
        <v/>
      </c>
      <c r="F44">
        <f>IF(Skills!N11=TRUE,(Skills!L11/10)*(E44/1000),Skills!L11/10)+Skills!O11</f>
        <v/>
      </c>
      <c r="G44" t="inlineStr"/>
      <c r="H44" t="inlineStr"/>
      <c r="I44" t="inlineStr">
        <is>
          <t>1</t>
        </is>
      </c>
      <c r="J44" t="inlineStr"/>
      <c r="K44" t="inlineStr"/>
      <c r="L44" t="inlineStr"/>
      <c r="M44" t="inlineStr"/>
      <c r="N44" t="inlineStr"/>
      <c r="O44" t="inlineStr"/>
      <c r="P44" t="inlineStr"/>
      <c r="Q44" t="inlineStr"/>
      <c r="R44" t="inlineStr"/>
      <c r="S44" t="inlineStr"/>
    </row>
    <row r="45">
      <c r="A45">
        <f>Skills!A12</f>
        <v/>
      </c>
      <c r="B45">
        <f>Skills!B12</f>
        <v/>
      </c>
      <c r="C45">
        <f>Inputs!$B$3&gt;=63</f>
        <v/>
      </c>
      <c r="D45">
        <f>IF(Skills!C12=1,60+Inputs!$B$24+Inputs!$B$28,IF(Skills!C12=2,90+Inputs!$B$25+Inputs!$B$28,IF(Skills!C12=3,120+Inputs!$B$26+Inputs!$B$28,MAX(0,(Inputs!$B$3-100)*3)+Inputs!$B$27+Inputs!$B$28)))</f>
        <v/>
      </c>
      <c r="E45">
        <f>INDEX(FactorTable!$B$2:$Y$301, MATCH(ROUND(MIN(300,MAX(1,D45)),0), FactorTable!$A$2:$A$301,0), Skills!M12+1)</f>
        <v/>
      </c>
      <c r="F45">
        <f>IF(Skills!N12=TRUE,(Skills!L12/10)*(E45/1000),Skills!L12/10)+Skills!O12</f>
        <v/>
      </c>
      <c r="G45">
        <f>Skills!G12*IF(Skills!H12&gt;0,Skills!I12/Skills!H12,1)</f>
        <v/>
      </c>
      <c r="H45">
        <f>1-(1-Skills!J12/100)^Skills!K12</f>
        <v/>
      </c>
      <c r="I45" t="inlineStr">
        <is>
          <t>1</t>
        </is>
      </c>
      <c r="J45">
        <f>(Inputs!$B$5*(1+Inputs!$B$6/100))*(F45/100)</f>
        <v/>
      </c>
      <c r="K45">
        <f>J45*(1+(((Inputs!$B$11+1)*(1+Inputs!$B$12/100))*0.01+Inputs!$B$13*0.0025)/100)*(1+Inputs!$B$14/100)*(1+IF(Inputs!$B$4="pvp",0,(1-Summary!$B$55)*(Inputs!$B$19+0+Skills!P12+((C50=TRUE)*F50*IF(AND(Inputs!$B$4&lt;&gt;"pvp",Inputs!$B$35&gt;0),(((S50-1)*(Skills!T17*(1+Inputs!$B$33/100))+MIN((Skills!T17*(1+Inputs!$B$33/100)),MAX(0,Inputs!$B$35-((S50-1)*Skills!D17))))/Inputs!$B$35),IF(Inputs!$B$4="pvp",MIN((Skills!T17*(1+Inputs!$B$33/100)),15)/15,(Skills!T17*(1+Inputs!$B$33/100))/Skills!D17)))+((C47=TRUE)*IF(Inputs!$B$4="pvp",20,(1-Summary!$B$55)*(20)+Summary!$B$55*(0))*IF(AND(Inputs!$B$4&lt;&gt;"pvp",Inputs!$B$35&gt;0),(((S47-1)*(Skills!T14*(1+Inputs!$B$33/100))+MIN((Skills!T14*(1+Inputs!$B$33/100)),MAX(0,Inputs!$B$35-((S47-1)*Skills!D14))))/Inputs!$B$35),IF(Inputs!$B$4="pvp",MIN((Skills!T14*(1+Inputs!$B$33/100)),15)/15,(Skills!T14*(1+Inputs!$B$33/100))/Skills!D14))))+Summary!$B$55*(Inputs!$B$20+Skills!Q12+((C50=TRUE)*F50*IF(AND(Inputs!$B$4&lt;&gt;"pvp",Inputs!$B$35&gt;0),(((S50-1)*(Skills!T17*(1+Inputs!$B$33/100))+MIN((Skills!T17*(1+Inputs!$B$33/100)),MAX(0,Inputs!$B$35-((S50-1)*Skills!D17))))/Inputs!$B$35),IF(Inputs!$B$4="pvp",MIN((Skills!T17*(1+Inputs!$B$33/100)),15)/15,(Skills!T17*(1+Inputs!$B$33/100))/Skills!D17)))))/100)*(1+Inputs!$B$15/100)*(5000/(6000+Inputs!$B$7*(1-(Inputs!$B$18+0)/100)))*(1+(Inputs!$B$23+((C58=TRUE)*(F58-Calc!F25))+((C59=TRUE)*(F59-Calc!F26))+B68)/100)*(1+0.75*IF(C44=TRUE,F44,0)/100)*(1+(IF(Skills!A12="DARK_IMPALE",Inputs!$B$16+0,Inputs!$B$17+((C56=TRUE)*(F56-Calc!F23))))/100)*((1+(((C46=TRUE)*F46*IF(AND(Inputs!$B$4&lt;&gt;"pvp",Inputs!$B$35&gt;0),(((S46-1)*(Skills!T13*(1+Inputs!$B$33/100))+MIN((Skills!T13*(1+Inputs!$B$33/100)),MAX(0,Inputs!$B$35-((S46-1)*Skills!D13))))/Inputs!$B$35),IF(Inputs!$B$4="pvp",MIN((Skills!T13*(1+Inputs!$B$33/100)),15)/15,(Skills!T13*(1+Inputs!$B$33/100))/Skills!D13)))+((C47=TRUE)*F47*IF(AND(Inputs!$B$4&lt;&gt;"pvp",Inputs!$B$35&gt;0),(((S47-1)*(Skills!T14*(1+Inputs!$B$33/100))+MIN((Skills!T14*(1+Inputs!$B$33/100)),MAX(0,Inputs!$B$35-((S47-1)*Skills!D14))))/Inputs!$B$35),IF(Inputs!$B$4="pvp",MIN((Skills!T14*(1+Inputs!$B$33/100)),15)/15,(Skills!T14*(1+Inputs!$B$33/100))/Skills!D14)))+((C48=TRUE)*F48*IF(AND(Inputs!$B$4&lt;&gt;"pvp",Inputs!$B$35&gt;0),(((S48-1)*(Skills!T15*(1+Inputs!$B$33/100))+MIN((Skills!T15*(1+Inputs!$B$33/100)),MAX(0,Inputs!$B$35-((S48-1)*Skills!D15))))/Inputs!$B$35),IF(Inputs!$B$4="pvp",MIN((Skills!T15*(1+Inputs!$B$33/100)),15)/15,(Skills!T15*(1+Inputs!$B$33/100))/Skills!D15)))+((C49=TRUE)*F49*IF(AND(Inputs!$B$4&lt;&gt;"pvp",Inputs!$B$35&gt;0),(((S49-1)*(Skills!T16*(1+Inputs!$B$33/100))+MIN((Skills!T16*(1+Inputs!$B$33/100)),MAX(0,Inputs!$B$35-((S49-1)*Skills!D16))))/Inputs!$B$35),IF(Inputs!$B$4="pvp",MIN((Skills!T16*(1+Inputs!$B$33/100)),15)/15,(Skills!T16*(1+Inputs!$B$33/100))/Skills!D16)))+0)/100)*I45)</f>
        <v/>
      </c>
      <c r="L45">
        <f>K45*(MIN(Inputs!$B$21+((C55=TRUE)*(F55-Calc!F22)),Inputs!$B$22+((C57=TRUE)*(F57-Calc!F24)))/100+(Inputs!$B$22+((C57=TRUE)*(F57-Calc!F24)))/100)/2</f>
        <v/>
      </c>
      <c r="M45">
        <f>L45*(1+(Inputs!$B$9+0+B67)/100)</f>
        <v/>
      </c>
      <c r="N45">
        <f>L45*(1-MIN((Inputs!$B$8+0+B62),100)/100)+M45*(MIN((Inputs!$B$8+0+B62),100)/100)</f>
        <v/>
      </c>
      <c r="O45">
        <f>IF(C45,H45*N45*IF(AND(Inputs!$B$4&lt;&gt;"pvp",Inputs!$B$35&gt;0),((Skills!G12*((R45-1)*IF(Skills!H12&gt;0,Skills!I12/Skills!H12,1)+IF(Skills!H12&gt;0,MIN(Skills!I12,MAX(0,Inputs!$B$35-((R45-1)*IF(Inputs!$B$4="pvp",15,MAX(0.1,Skills!D12-IF(Skills!E12=TRUE,Inputs!$B$31,0))))))/Skills!H12,1)))/Inputs!$B$35),G45*Q45)*IF(Inputs!$B$4="pvp",1,(1-Summary!$B$55)*(1)+Summary!$B$55*(MIN(Skills!R12,Inputs!$B$37))),0)</f>
        <v/>
      </c>
      <c r="P45">
        <f>IF(B70=0,0,O45/B70)</f>
        <v/>
      </c>
      <c r="Q45">
        <f>IFERROR(1/IF(Inputs!$B$4="pvp",15,MAX(0.1,Skills!D12-IF(Skills!E12=TRUE,Inputs!$B$31,0))),0)</f>
        <v/>
      </c>
      <c r="R45">
        <f>IF(AND(Inputs!$B$4&lt;&gt;"pvp",Inputs!$B$35&gt;0),(INT(Inputs!$B$35/IF(Inputs!$B$4="pvp",15,MAX(0.1,Skills!D12-IF(Skills!E12=TRUE,Inputs!$B$31,0))))+1),0)</f>
        <v/>
      </c>
      <c r="S45">
        <f>IFERROR(O45/N45,0)</f>
        <v/>
      </c>
    </row>
    <row r="46">
      <c r="A46">
        <f>Skills!A13</f>
        <v/>
      </c>
      <c r="B46">
        <f>Skills!B13</f>
        <v/>
      </c>
      <c r="C46">
        <f>Inputs!$B$3&gt;=69</f>
        <v/>
      </c>
      <c r="D46">
        <f>IF(Skills!C13=1,60+Inputs!$B$24+Inputs!$B$28,IF(Skills!C13=2,90+Inputs!$B$25+Inputs!$B$28,IF(Skills!C13=3,120+Inputs!$B$26+Inputs!$B$28,MAX(0,(Inputs!$B$3-100)*3)+Inputs!$B$27+Inputs!$B$28)))</f>
        <v/>
      </c>
      <c r="E46">
        <f>INDEX(FactorTable!$B$2:$Y$301, MATCH(ROUND(MIN(300,MAX(1,D46)),0), FactorTable!$A$2:$A$301,0), Skills!M13+1)</f>
        <v/>
      </c>
      <c r="F46">
        <f>IF(Skills!N13=TRUE,(Skills!L13/10)*(E46/1000),Skills!L13/10)+Skills!O13</f>
        <v/>
      </c>
      <c r="G46">
        <f>Skills!G13*IF(Skills!H13&gt;0,Skills!I13/Skills!H13,1)</f>
        <v/>
      </c>
      <c r="H46">
        <f>1-(1-Skills!J13/100)^Skills!K13</f>
        <v/>
      </c>
      <c r="I46" t="inlineStr">
        <is>
          <t>1</t>
        </is>
      </c>
      <c r="J46" t="inlineStr"/>
      <c r="K46" t="inlineStr"/>
      <c r="L46" t="inlineStr"/>
      <c r="M46" t="inlineStr"/>
      <c r="N46" t="inlineStr"/>
      <c r="O46" t="n">
        <v>0</v>
      </c>
      <c r="P46">
        <f>IF(B70=0,0,O46/B70)</f>
        <v/>
      </c>
      <c r="Q46">
        <f>IFERROR(1/IF(Inputs!$B$4="pvp",15,MAX(0.1,Skills!D13-IF(Skills!E13=TRUE,Inputs!$B$31,0))),0)</f>
        <v/>
      </c>
      <c r="R46">
        <f>IF(AND(Inputs!$B$4&lt;&gt;"pvp",Inputs!$B$35&gt;0),(INT(Inputs!$B$35/IF(Inputs!$B$4="pvp",15,MAX(0.1,Skills!D13-IF(Skills!E13=TRUE,Inputs!$B$31,0))))+1),0)</f>
        <v/>
      </c>
      <c r="S46">
        <f>IFERROR(O46/N46,0)</f>
        <v/>
      </c>
    </row>
    <row r="47">
      <c r="A47">
        <f>Skills!A14</f>
        <v/>
      </c>
      <c r="B47">
        <f>Skills!B14</f>
        <v/>
      </c>
      <c r="C47">
        <f>Inputs!$B$3&gt;=115</f>
        <v/>
      </c>
      <c r="D47">
        <f>IF(Skills!C14=1,60+Inputs!$B$24+Inputs!$B$28,IF(Skills!C14=2,90+Inputs!$B$25+Inputs!$B$28,IF(Skills!C14=3,120+Inputs!$B$26+Inputs!$B$28,MAX(0,(Inputs!$B$3-100)*3)+Inputs!$B$27+Inputs!$B$28)))</f>
        <v/>
      </c>
      <c r="E47">
        <f>INDEX(FactorTable!$B$2:$Y$301, MATCH(ROUND(MIN(300,MAX(1,D47)),0), FactorTable!$A$2:$A$301,0), Skills!M14+1)</f>
        <v/>
      </c>
      <c r="F47">
        <f>IF(Skills!N14=TRUE,(Skills!L14/10)*(E47/1000),Skills!L14/10)+Skills!O14</f>
        <v/>
      </c>
      <c r="G47">
        <f>Skills!G14*IF(Skills!H14&gt;0,Skills!I14/Skills!H14,1)</f>
        <v/>
      </c>
      <c r="H47">
        <f>1-(1-Skills!J14/100)^Skills!K14</f>
        <v/>
      </c>
      <c r="I47" t="inlineStr">
        <is>
          <t>1</t>
        </is>
      </c>
      <c r="J47" t="inlineStr"/>
      <c r="K47" t="inlineStr"/>
      <c r="L47" t="inlineStr"/>
      <c r="M47" t="inlineStr"/>
      <c r="N47" t="inlineStr"/>
      <c r="O47" t="n">
        <v>0</v>
      </c>
      <c r="P47">
        <f>IF(B70=0,0,O47/B70)</f>
        <v/>
      </c>
      <c r="Q47">
        <f>IFERROR(1/IF(Inputs!$B$4="pvp",15,MAX(0.1,Skills!D14-IF(Skills!E14=TRUE,Inputs!$B$31,0))),0)</f>
        <v/>
      </c>
      <c r="R47">
        <f>IF(AND(Inputs!$B$4&lt;&gt;"pvp",Inputs!$B$35&gt;0),(INT(Inputs!$B$35/IF(Inputs!$B$4="pvp",15,MAX(0.1,Skills!D14-IF(Skills!E14=TRUE,Inputs!$B$31,0))))+1),0)</f>
        <v/>
      </c>
      <c r="S47">
        <f>IFERROR(O47/N47,0)</f>
        <v/>
      </c>
    </row>
    <row r="48">
      <c r="A48">
        <f>Skills!A15</f>
        <v/>
      </c>
      <c r="B48">
        <f>Skills!B15</f>
        <v/>
      </c>
      <c r="C48">
        <f>Inputs!$B$3&gt;=66</f>
        <v/>
      </c>
      <c r="D48">
        <f>IF(Skills!C15=1,60+Inputs!$B$24+Inputs!$B$28,IF(Skills!C15=2,90+Inputs!$B$25+Inputs!$B$28,IF(Skills!C15=3,120+Inputs!$B$26+Inputs!$B$28,MAX(0,(Inputs!$B$3-100)*3)+Inputs!$B$27+Inputs!$B$28)))</f>
        <v/>
      </c>
      <c r="E48">
        <f>INDEX(FactorTable!$B$2:$Y$301, MATCH(ROUND(MIN(300,MAX(1,D48)),0), FactorTable!$A$2:$A$301,0), Skills!M15+1)</f>
        <v/>
      </c>
      <c r="F48">
        <f>IF(Skills!N15=TRUE,(Skills!L15/10)*(E48/1000),Skills!L15/10)+Skills!O15</f>
        <v/>
      </c>
      <c r="G48">
        <f>Skills!G15*IF(Skills!H15&gt;0,Skills!I15/Skills!H15,1)</f>
        <v/>
      </c>
      <c r="H48">
        <f>1-(1-Skills!J15/100)^Skills!K15</f>
        <v/>
      </c>
      <c r="I48" t="inlineStr">
        <is>
          <t>1</t>
        </is>
      </c>
      <c r="J48" t="inlineStr"/>
      <c r="K48" t="inlineStr"/>
      <c r="L48" t="inlineStr"/>
      <c r="M48" t="inlineStr"/>
      <c r="N48" t="inlineStr"/>
      <c r="O48" t="n">
        <v>0</v>
      </c>
      <c r="P48">
        <f>IF(B70=0,0,O48/B70)</f>
        <v/>
      </c>
      <c r="Q48">
        <f>IFERROR(1/IF(Inputs!$B$4="pvp",15,MAX(0.1,Skills!D15-IF(Skills!E15=TRUE,Inputs!$B$31,0))),0)</f>
        <v/>
      </c>
      <c r="R48">
        <f>IF(AND(Inputs!$B$4&lt;&gt;"pvp",Inputs!$B$35&gt;0),(INT(Inputs!$B$35/IF(Inputs!$B$4="pvp",15,MAX(0.1,Skills!D15-IF(Skills!E15=TRUE,Inputs!$B$31,0))))+1),0)</f>
        <v/>
      </c>
      <c r="S48">
        <f>IFERROR(O48/N48,0)</f>
        <v/>
      </c>
    </row>
    <row r="49">
      <c r="A49">
        <f>Skills!A16</f>
        <v/>
      </c>
      <c r="B49">
        <f>Skills!B16</f>
        <v/>
      </c>
      <c r="C49">
        <f>Inputs!$B$3&gt;=45</f>
        <v/>
      </c>
      <c r="D49">
        <f>IF(Skills!C16=1,60+Inputs!$B$24+Inputs!$B$28,IF(Skills!C16=2,90+Inputs!$B$25+Inputs!$B$28,IF(Skills!C16=3,120+Inputs!$B$26+Inputs!$B$28,MAX(0,(Inputs!$B$3-100)*3)+Inputs!$B$27+Inputs!$B$28)))</f>
        <v/>
      </c>
      <c r="E49">
        <f>INDEX(FactorTable!$B$2:$Y$301, MATCH(ROUND(MIN(300,MAX(1,D49)),0), FactorTable!$A$2:$A$301,0), Skills!M16+1)</f>
        <v/>
      </c>
      <c r="F49">
        <f>IF(Skills!N16=TRUE,(Skills!L16/10)*(E49/1000),Skills!L16/10)+Skills!O16</f>
        <v/>
      </c>
      <c r="G49">
        <f>Skills!G16*IF(Skills!H16&gt;0,Skills!I16/Skills!H16,1)</f>
        <v/>
      </c>
      <c r="H49">
        <f>1-(1-Skills!J16/100)^Skills!K16</f>
        <v/>
      </c>
      <c r="I49" t="inlineStr">
        <is>
          <t>1</t>
        </is>
      </c>
      <c r="J49" t="inlineStr"/>
      <c r="K49" t="inlineStr"/>
      <c r="L49" t="inlineStr"/>
      <c r="M49" t="inlineStr"/>
      <c r="N49" t="inlineStr"/>
      <c r="O49" t="n">
        <v>0</v>
      </c>
      <c r="P49">
        <f>IF(B70=0,0,O49/B70)</f>
        <v/>
      </c>
      <c r="Q49">
        <f>IFERROR(1/IF(Inputs!$B$4="pvp",15,MAX(0.1,Skills!D16-IF(Skills!E16=TRUE,Inputs!$B$31,0))),0)</f>
        <v/>
      </c>
      <c r="R49">
        <f>IF(AND(Inputs!$B$4&lt;&gt;"pvp",Inputs!$B$35&gt;0),(INT(Inputs!$B$35/IF(Inputs!$B$4="pvp",15,MAX(0.1,Skills!D16-IF(Skills!E16=TRUE,Inputs!$B$31,0))))+1),0)</f>
        <v/>
      </c>
      <c r="S49">
        <f>IFERROR(O49/N49,0)</f>
        <v/>
      </c>
    </row>
    <row r="50">
      <c r="A50">
        <f>Skills!A17</f>
        <v/>
      </c>
      <c r="B50">
        <f>Skills!B17</f>
        <v/>
      </c>
      <c r="C50">
        <f>Inputs!$B$3&gt;=35</f>
        <v/>
      </c>
      <c r="D50">
        <f>IF(Skills!C17=1,60+Inputs!$B$24+Inputs!$B$28,IF(Skills!C17=2,90+Inputs!$B$25+Inputs!$B$28,IF(Skills!C17=3,120+Inputs!$B$26+Inputs!$B$28,MAX(0,(Inputs!$B$3-100)*3)+Inputs!$B$27+Inputs!$B$28)))</f>
        <v/>
      </c>
      <c r="E50">
        <f>INDEX(FactorTable!$B$2:$Y$301, MATCH(ROUND(MIN(300,MAX(1,D50)),0), FactorTable!$A$2:$A$301,0), Skills!M17+1)</f>
        <v/>
      </c>
      <c r="F50">
        <f>IF(Skills!N17=TRUE,(Skills!L17/10)*(E50/1000),Skills!L17/10)+Skills!O17</f>
        <v/>
      </c>
      <c r="G50">
        <f>Skills!G17*IF(Skills!H17&gt;0,Skills!I17/Skills!H17,1)</f>
        <v/>
      </c>
      <c r="H50">
        <f>1-(1-Skills!J17/100)^Skills!K17</f>
        <v/>
      </c>
      <c r="I50" t="inlineStr">
        <is>
          <t>1</t>
        </is>
      </c>
      <c r="J50" t="inlineStr"/>
      <c r="K50" t="inlineStr"/>
      <c r="L50" t="inlineStr"/>
      <c r="M50" t="inlineStr"/>
      <c r="N50" t="inlineStr"/>
      <c r="O50" t="n">
        <v>0</v>
      </c>
      <c r="P50">
        <f>IF(B70=0,0,O50/B70)</f>
        <v/>
      </c>
      <c r="Q50">
        <f>IFERROR(1/IF(Inputs!$B$4="pvp",15,MAX(0.1,Skills!D17-IF(Skills!E17=TRUE,Inputs!$B$31,0))),0)</f>
        <v/>
      </c>
      <c r="R50">
        <f>IF(AND(Inputs!$B$4&lt;&gt;"pvp",Inputs!$B$35&gt;0),(INT(Inputs!$B$35/IF(Inputs!$B$4="pvp",15,MAX(0.1,Skills!D17-IF(Skills!E17=TRUE,Inputs!$B$31,0))))+1),0)</f>
        <v/>
      </c>
      <c r="S50">
        <f>IFERROR(O50/N50,0)</f>
        <v/>
      </c>
    </row>
    <row r="51">
      <c r="A51">
        <f>Skills!A18</f>
        <v/>
      </c>
      <c r="B51">
        <f>Skills!B18</f>
        <v/>
      </c>
      <c r="C51">
        <f>Inputs!$B$3&gt;=72</f>
        <v/>
      </c>
      <c r="D51">
        <f>IF(Skills!C18=1,60+Inputs!$B$24+Inputs!$B$28,IF(Skills!C18=2,90+Inputs!$B$25+Inputs!$B$28,IF(Skills!C18=3,120+Inputs!$B$26+Inputs!$B$28,MAX(0,(Inputs!$B$3-100)*3)+Inputs!$B$27+Inputs!$B$28)))</f>
        <v/>
      </c>
      <c r="E51">
        <f>INDEX(FactorTable!$B$2:$Y$301, MATCH(ROUND(MIN(300,MAX(1,D51)),0), FactorTable!$A$2:$A$301,0), Skills!M18+1)</f>
        <v/>
      </c>
      <c r="F51">
        <f>IF(Skills!N18=TRUE,(Skills!L18/10)*(E51/1000),Skills!L18/10)+Skills!O18</f>
        <v/>
      </c>
      <c r="G51">
        <f>Skills!G18*IF(Skills!H18&gt;0,Skills!I18/Skills!H18,1)</f>
        <v/>
      </c>
      <c r="H51">
        <f>1-(1-Skills!J18/100)^Skills!K18</f>
        <v/>
      </c>
      <c r="I51" t="inlineStr">
        <is>
          <t>1</t>
        </is>
      </c>
      <c r="J51" t="inlineStr"/>
      <c r="K51" t="inlineStr"/>
      <c r="L51" t="inlineStr"/>
      <c r="M51" t="inlineStr"/>
      <c r="N51" t="inlineStr"/>
      <c r="O51" t="n">
        <v>0</v>
      </c>
      <c r="P51">
        <f>IF(B70=0,0,O51/B70)</f>
        <v/>
      </c>
      <c r="Q51">
        <f>IFERROR(1/IF(Inputs!$B$4="pvp",15,MAX(0.1,Skills!D18-IF(Skills!E18=TRUE,Inputs!$B$31,0))),0)</f>
        <v/>
      </c>
      <c r="R51">
        <f>IF(AND(Inputs!$B$4&lt;&gt;"pvp",Inputs!$B$35&gt;0),(INT(Inputs!$B$35/IF(Inputs!$B$4="pvp",15,MAX(0.1,Skills!D18-IF(Skills!E18=TRUE,Inputs!$B$31,0))))+1),0)</f>
        <v/>
      </c>
      <c r="S51">
        <f>IFERROR(O51/N51,0)</f>
        <v/>
      </c>
    </row>
    <row r="52">
      <c r="A52">
        <f>Skills!A19</f>
        <v/>
      </c>
      <c r="B52">
        <f>Skills!B19</f>
        <v/>
      </c>
      <c r="C52">
        <f>Inputs!$B$3&gt;=72</f>
        <v/>
      </c>
      <c r="D52">
        <f>IF(Skills!C19=1,60+Inputs!$B$24+Inputs!$B$28,IF(Skills!C19=2,90+Inputs!$B$25+Inputs!$B$28,IF(Skills!C19=3,120+Inputs!$B$26+Inputs!$B$28,MAX(0,(Inputs!$B$3-100)*3)+Inputs!$B$27+Inputs!$B$28)))</f>
        <v/>
      </c>
      <c r="E52">
        <f>INDEX(FactorTable!$B$2:$Y$301, MATCH(ROUND(MIN(300,MAX(1,D52)),0), FactorTable!$A$2:$A$301,0), Skills!M19+1)</f>
        <v/>
      </c>
      <c r="F52">
        <f>IF(Skills!N19=TRUE,(Skills!L19/10)*(E52/1000),Skills!L19/10)+Skills!O19</f>
        <v/>
      </c>
      <c r="G52">
        <f>Skills!G19*IF(Skills!H19&gt;0,Skills!I19/Skills!H19,1)</f>
        <v/>
      </c>
      <c r="H52">
        <f>1-(1-Skills!J19/100)^Skills!K19</f>
        <v/>
      </c>
      <c r="I52" t="inlineStr">
        <is>
          <t>1</t>
        </is>
      </c>
      <c r="J52" t="inlineStr"/>
      <c r="K52" t="inlineStr"/>
      <c r="L52" t="inlineStr"/>
      <c r="M52" t="inlineStr"/>
      <c r="N52" t="inlineStr"/>
      <c r="O52" t="n">
        <v>0</v>
      </c>
      <c r="P52">
        <f>IF(B70=0,0,O52/B70)</f>
        <v/>
      </c>
      <c r="Q52">
        <f>IFERROR(1/IF(Inputs!$B$4="pvp",15,MAX(0.1,Skills!D19-IF(Skills!E19=TRUE,Inputs!$B$31,0))),0)</f>
        <v/>
      </c>
      <c r="R52">
        <f>IF(AND(Inputs!$B$4&lt;&gt;"pvp",Inputs!$B$35&gt;0),(INT(Inputs!$B$35/IF(Inputs!$B$4="pvp",15,MAX(0.1,Skills!D19-IF(Skills!E19=TRUE,Inputs!$B$31,0))))+1),0)</f>
        <v/>
      </c>
      <c r="S52">
        <f>IFERROR(O52/N52,0)</f>
        <v/>
      </c>
    </row>
    <row r="53">
      <c r="A53">
        <f>Skills!A20</f>
        <v/>
      </c>
      <c r="B53">
        <f>Skills!B20</f>
        <v/>
      </c>
      <c r="C53">
        <f>TRUE</f>
        <v/>
      </c>
      <c r="D53">
        <f>IF(Skills!C20=1,60+Inputs!$B$24+Inputs!$B$28,IF(Skills!C20=2,90+Inputs!$B$25+Inputs!$B$28,IF(Skills!C20=3,120+Inputs!$B$26+Inputs!$B$28,MAX(0,(Inputs!$B$3-100)*3)+Inputs!$B$27+Inputs!$B$28)))</f>
        <v/>
      </c>
      <c r="E53">
        <f>INDEX(FactorTable!$B$2:$Y$301, MATCH(ROUND(MIN(300,MAX(1,D53)),0), FactorTable!$A$2:$A$301,0), Skills!M20+1)</f>
        <v/>
      </c>
      <c r="F53">
        <f>IF(Skills!N20=TRUE,(Skills!L20/10)*(E53/1000),Skills!L20/10)+Skills!O20</f>
        <v/>
      </c>
      <c r="G53">
        <f>Skills!G20*IF(Skills!H20&gt;0,Skills!I20/Skills!H20,1)</f>
        <v/>
      </c>
      <c r="H53">
        <f>1-(1-Skills!J20/100)^Skills!K20</f>
        <v/>
      </c>
      <c r="I53" t="inlineStr">
        <is>
          <t>1</t>
        </is>
      </c>
      <c r="J53" t="inlineStr"/>
      <c r="K53" t="inlineStr"/>
      <c r="L53" t="inlineStr"/>
      <c r="M53" t="inlineStr"/>
      <c r="N53" t="inlineStr"/>
      <c r="O53" t="n">
        <v>0</v>
      </c>
      <c r="P53">
        <f>IF(B70=0,0,O53/B70)</f>
        <v/>
      </c>
      <c r="Q53">
        <f>IFERROR(1/IF(Inputs!$B$4="pvp",15,MAX(0.1,Skills!D20-IF(Skills!E20=TRUE,Inputs!$B$31,0))),0)</f>
        <v/>
      </c>
      <c r="R53">
        <f>IF(AND(Inputs!$B$4&lt;&gt;"pvp",Inputs!$B$35&gt;0),(INT(Inputs!$B$35/IF(Inputs!$B$4="pvp",15,MAX(0.1,Skills!D20-IF(Skills!E20=TRUE,Inputs!$B$31,0))))+1),0)</f>
        <v/>
      </c>
      <c r="S53">
        <f>IFERROR(O53/N53,0)</f>
        <v/>
      </c>
    </row>
    <row r="54">
      <c r="A54">
        <f>Skills!A21</f>
        <v/>
      </c>
      <c r="B54">
        <f>Skills!B21</f>
        <v/>
      </c>
      <c r="C54">
        <f>Inputs!$B$3&gt;=33</f>
        <v/>
      </c>
      <c r="D54">
        <f>IF(Skills!C21=1,60+Inputs!$B$24+Inputs!$B$28,IF(Skills!C21=2,90+Inputs!$B$25+Inputs!$B$28,IF(Skills!C21=3,120+Inputs!$B$26+Inputs!$B$28,MAX(0,(Inputs!$B$3-100)*3)+Inputs!$B$27+Inputs!$B$28)))</f>
        <v/>
      </c>
      <c r="E54">
        <f>INDEX(FactorTable!$B$2:$Y$301, MATCH(ROUND(MIN(300,MAX(1,D54)),0), FactorTable!$A$2:$A$301,0), Skills!M21+1)</f>
        <v/>
      </c>
      <c r="F54">
        <f>IF(Skills!N21=TRUE,(Skills!L21/10)*(E54/1000),Skills!L21/10)+Skills!O21</f>
        <v/>
      </c>
      <c r="G54">
        <f>Skills!G21*IF(Skills!H21&gt;0,Skills!I21/Skills!H21,1)</f>
        <v/>
      </c>
      <c r="H54">
        <f>1-(1-Skills!J21/100)^Skills!K21</f>
        <v/>
      </c>
      <c r="I54" t="inlineStr">
        <is>
          <t>1</t>
        </is>
      </c>
      <c r="J54" t="inlineStr"/>
      <c r="K54" t="inlineStr"/>
      <c r="L54" t="inlineStr"/>
      <c r="M54" t="inlineStr"/>
      <c r="N54" t="inlineStr"/>
      <c r="O54" t="n">
        <v>0</v>
      </c>
      <c r="P54">
        <f>IF(B70=0,0,O54/B70)</f>
        <v/>
      </c>
      <c r="Q54" t="n">
        <v>0</v>
      </c>
      <c r="R54" t="n">
        <v>0</v>
      </c>
      <c r="S54">
        <f>IFERROR(O54/N54,0)</f>
        <v/>
      </c>
    </row>
    <row r="55">
      <c r="A55">
        <f>Skills!A22</f>
        <v/>
      </c>
      <c r="B55">
        <f>Skills!B22</f>
        <v/>
      </c>
      <c r="C55">
        <f>Inputs!$B$3&gt;=43</f>
        <v/>
      </c>
      <c r="D55">
        <f>IF(Skills!C22=1,60+Inputs!$B$24+Inputs!$B$28,IF(Skills!C22=2,90+Inputs!$B$25+Inputs!$B$28,IF(Skills!C22=3,120+Inputs!$B$26+Inputs!$B$28,MAX(0,(Inputs!$B$3-100)*3)+Inputs!$B$27+Inputs!$B$28)))</f>
        <v/>
      </c>
      <c r="E55">
        <f>INDEX(FactorTable!$B$2:$Y$301, MATCH(ROUND(MIN(300,MAX(1,D55)),0), FactorTable!$A$2:$A$301,0), Skills!M22+1)</f>
        <v/>
      </c>
      <c r="F55">
        <f>IF(Skills!N22=TRUE,(Skills!L22/10)*(E55/1000),Skills!L22/10)+Skills!O22</f>
        <v/>
      </c>
      <c r="G55">
        <f>Skills!G22*IF(Skills!H22&gt;0,Skills!I22/Skills!H22,1)</f>
        <v/>
      </c>
      <c r="H55">
        <f>1-(1-Skills!J22/100)^Skills!K22</f>
        <v/>
      </c>
      <c r="I55" t="inlineStr">
        <is>
          <t>1</t>
        </is>
      </c>
      <c r="J55" t="inlineStr"/>
      <c r="K55" t="inlineStr"/>
      <c r="L55" t="inlineStr"/>
      <c r="M55" t="inlineStr"/>
      <c r="N55" t="inlineStr"/>
      <c r="O55" t="n">
        <v>0</v>
      </c>
      <c r="P55">
        <f>IF(B70=0,0,O55/B70)</f>
        <v/>
      </c>
      <c r="Q55" t="n">
        <v>0</v>
      </c>
      <c r="R55" t="n">
        <v>0</v>
      </c>
      <c r="S55">
        <f>IFERROR(O55/N55,0)</f>
        <v/>
      </c>
    </row>
    <row r="56">
      <c r="A56">
        <f>Skills!A23</f>
        <v/>
      </c>
      <c r="B56">
        <f>Skills!B23</f>
        <v/>
      </c>
      <c r="C56">
        <f>Inputs!$B$3&gt;=120</f>
        <v/>
      </c>
      <c r="D56">
        <f>IF(Skills!C23=1,60+Inputs!$B$24+Inputs!$B$28,IF(Skills!C23=2,90+Inputs!$B$25+Inputs!$B$28,IF(Skills!C23=3,120+Inputs!$B$26+Inputs!$B$28,MAX(0,(Inputs!$B$3-100)*3)+Inputs!$B$27+Inputs!$B$28)))</f>
        <v/>
      </c>
      <c r="E56">
        <f>INDEX(FactorTable!$B$2:$Y$301, MATCH(ROUND(MIN(300,MAX(1,D56)),0), FactorTable!$A$2:$A$301,0), Skills!M23+1)</f>
        <v/>
      </c>
      <c r="F56">
        <f>IF(Skills!N23=TRUE,(Skills!L23/10)*(E56/1000),Skills!L23/10)+Skills!O23</f>
        <v/>
      </c>
      <c r="G56">
        <f>Skills!G23*IF(Skills!H23&gt;0,Skills!I23/Skills!H23,1)</f>
        <v/>
      </c>
      <c r="H56">
        <f>1-(1-Skills!J23/100)^Skills!K23</f>
        <v/>
      </c>
      <c r="I56" t="inlineStr">
        <is>
          <t>1</t>
        </is>
      </c>
      <c r="J56" t="inlineStr"/>
      <c r="K56" t="inlineStr"/>
      <c r="L56" t="inlineStr"/>
      <c r="M56" t="inlineStr"/>
      <c r="N56" t="inlineStr"/>
      <c r="O56" t="n">
        <v>0</v>
      </c>
      <c r="P56">
        <f>IF(B70=0,0,O56/B70)</f>
        <v/>
      </c>
      <c r="Q56" t="n">
        <v>0</v>
      </c>
      <c r="R56" t="n">
        <v>0</v>
      </c>
      <c r="S56">
        <f>IFERROR(O56/N56,0)</f>
        <v/>
      </c>
    </row>
    <row r="57">
      <c r="A57">
        <f>Skills!A24</f>
        <v/>
      </c>
      <c r="B57">
        <f>Skills!B24</f>
        <v/>
      </c>
      <c r="C57">
        <f>Inputs!$B$3&gt;=120</f>
        <v/>
      </c>
      <c r="D57">
        <f>IF(Skills!C24=1,60+Inputs!$B$24+Inputs!$B$28,IF(Skills!C24=2,90+Inputs!$B$25+Inputs!$B$28,IF(Skills!C24=3,120+Inputs!$B$26+Inputs!$B$28,MAX(0,(Inputs!$B$3-100)*3)+Inputs!$B$27+Inputs!$B$28)))</f>
        <v/>
      </c>
      <c r="E57">
        <f>INDEX(FactorTable!$B$2:$Y$301, MATCH(ROUND(MIN(300,MAX(1,D57)),0), FactorTable!$A$2:$A$301,0), Skills!M24+1)</f>
        <v/>
      </c>
      <c r="F57">
        <f>IF(Skills!N24=TRUE,(Skills!L24/10)*(E57/1000),Skills!L24/10)+Skills!O24</f>
        <v/>
      </c>
      <c r="G57">
        <f>Skills!G24*IF(Skills!H24&gt;0,Skills!I24/Skills!H24,1)</f>
        <v/>
      </c>
      <c r="H57">
        <f>1-(1-Skills!J24/100)^Skills!K24</f>
        <v/>
      </c>
      <c r="I57" t="inlineStr">
        <is>
          <t>1</t>
        </is>
      </c>
      <c r="J57" t="inlineStr"/>
      <c r="K57" t="inlineStr"/>
      <c r="L57" t="inlineStr"/>
      <c r="M57" t="inlineStr"/>
      <c r="N57" t="inlineStr"/>
      <c r="O57" t="n">
        <v>0</v>
      </c>
      <c r="P57">
        <f>IF(B70=0,0,O57/B70)</f>
        <v/>
      </c>
      <c r="Q57" t="n">
        <v>0</v>
      </c>
      <c r="R57" t="n">
        <v>0</v>
      </c>
      <c r="S57">
        <f>IFERROR(O57/N57,0)</f>
        <v/>
      </c>
    </row>
    <row r="58">
      <c r="A58">
        <f>Skills!A25</f>
        <v/>
      </c>
      <c r="B58">
        <f>Skills!B25</f>
        <v/>
      </c>
      <c r="C58">
        <f>Inputs!$B$3&gt;=125</f>
        <v/>
      </c>
      <c r="D58">
        <f>IF(Skills!C25=1,60+Inputs!$B$24+Inputs!$B$28,IF(Skills!C25=2,90+Inputs!$B$25+Inputs!$B$28,IF(Skills!C25=3,120+Inputs!$B$26+Inputs!$B$28,MAX(0,(Inputs!$B$3-100)*3)+Inputs!$B$27+Inputs!$B$28)))</f>
        <v/>
      </c>
      <c r="E58">
        <f>INDEX(FactorTable!$B$2:$Y$301, MATCH(ROUND(MIN(300,MAX(1,D58)),0), FactorTable!$A$2:$A$301,0), Skills!M25+1)</f>
        <v/>
      </c>
      <c r="F58">
        <f>IF(Skills!N25=TRUE,(Skills!L25/10)*(E58/1000),Skills!L25/10)+Skills!O25</f>
        <v/>
      </c>
      <c r="G58">
        <f>Skills!G25*IF(Skills!H25&gt;0,Skills!I25/Skills!H25,1)</f>
        <v/>
      </c>
      <c r="H58">
        <f>1-(1-Skills!J25/100)^Skills!K25</f>
        <v/>
      </c>
      <c r="I58" t="inlineStr">
        <is>
          <t>1</t>
        </is>
      </c>
      <c r="J58" t="inlineStr"/>
      <c r="K58" t="inlineStr"/>
      <c r="L58" t="inlineStr"/>
      <c r="M58" t="inlineStr"/>
      <c r="N58" t="inlineStr"/>
      <c r="O58" t="n">
        <v>0</v>
      </c>
      <c r="P58">
        <f>IF(B70=0,0,O58/B70)</f>
        <v/>
      </c>
      <c r="Q58" t="n">
        <v>0</v>
      </c>
      <c r="R58" t="n">
        <v>0</v>
      </c>
      <c r="S58">
        <f>IFERROR(O58/N58,0)</f>
        <v/>
      </c>
    </row>
    <row r="59">
      <c r="A59">
        <f>Skills!A26</f>
        <v/>
      </c>
      <c r="B59">
        <f>Skills!B26</f>
        <v/>
      </c>
      <c r="C59">
        <f>Inputs!$B$3&gt;=107</f>
        <v/>
      </c>
      <c r="D59">
        <f>IF(Skills!C26=1,60+Inputs!$B$24+Inputs!$B$28,IF(Skills!C26=2,90+Inputs!$B$25+Inputs!$B$28,IF(Skills!C26=3,120+Inputs!$B$26+Inputs!$B$28,MAX(0,(Inputs!$B$3-100)*3)+Inputs!$B$27+Inputs!$B$28)))</f>
        <v/>
      </c>
      <c r="E59">
        <f>INDEX(FactorTable!$B$2:$Y$301, MATCH(ROUND(MIN(300,MAX(1,D59)),0), FactorTable!$A$2:$A$301,0), Skills!M26+1)</f>
        <v/>
      </c>
      <c r="F59">
        <f>IF(Skills!N26=TRUE,(Skills!L26/10)*(E59/1000),Skills!L26/10)+Skills!O26</f>
        <v/>
      </c>
      <c r="G59">
        <f>Skills!G26*IF(Skills!H26&gt;0,Skills!I26/Skills!H26,1)</f>
        <v/>
      </c>
      <c r="H59">
        <f>1-(1-Skills!J26/100)^Skills!K26</f>
        <v/>
      </c>
      <c r="I59" t="inlineStr">
        <is>
          <t>1</t>
        </is>
      </c>
      <c r="J59" t="inlineStr"/>
      <c r="K59" t="inlineStr"/>
      <c r="L59" t="inlineStr"/>
      <c r="M59" t="inlineStr"/>
      <c r="N59" t="inlineStr"/>
      <c r="O59" t="n">
        <v>0</v>
      </c>
      <c r="P59">
        <f>IF(B70=0,0,O59/B70)</f>
        <v/>
      </c>
      <c r="Q59" t="n">
        <v>0</v>
      </c>
      <c r="R59" t="n">
        <v>0</v>
      </c>
      <c r="S59">
        <f>IFERROR(O59/N59,0)</f>
        <v/>
      </c>
    </row>
    <row r="61">
      <c r="A61" t="inlineStr">
        <is>
          <t>Attack% Bucket Multiplier</t>
        </is>
      </c>
      <c r="B61">
        <f>(1+(((C46=TRUE)*F46*IF(AND(Inputs!$B$4&lt;&gt;"pvp",Inputs!$B$35&gt;0),(((S46-1)*(Skills!T13*(1+Inputs!$B$33/100))+MIN((Skills!T13*(1+Inputs!$B$33/100)),MAX(0,Inputs!$B$35-((S46-1)*Skills!D13))))/Inputs!$B$35),IF(Inputs!$B$4="pvp",MIN((Skills!T13*(1+Inputs!$B$33/100)),15)/15,(Skills!T13*(1+Inputs!$B$33/100))/Skills!D13)))+((C47=TRUE)*F47*IF(AND(Inputs!$B$4&lt;&gt;"pvp",Inputs!$B$35&gt;0),(((S47-1)*(Skills!T14*(1+Inputs!$B$33/100))+MIN((Skills!T14*(1+Inputs!$B$33/100)),MAX(0,Inputs!$B$35-((S47-1)*Skills!D14))))/Inputs!$B$35),IF(Inputs!$B$4="pvp",MIN((Skills!T14*(1+Inputs!$B$33/100)),15)/15,(Skills!T14*(1+Inputs!$B$33/100))/Skills!D14)))+((C48=TRUE)*F48*IF(AND(Inputs!$B$4&lt;&gt;"pvp",Inputs!$B$35&gt;0),(((S48-1)*(Skills!T15*(1+Inputs!$B$33/100))+MIN((Skills!T15*(1+Inputs!$B$33/100)),MAX(0,Inputs!$B$35-((S48-1)*Skills!D15))))/Inputs!$B$35),IF(Inputs!$B$4="pvp",MIN((Skills!T15*(1+Inputs!$B$33/100)),15)/15,(Skills!T15*(1+Inputs!$B$33/100))/Skills!D15)))+((C49=TRUE)*F49*IF(AND(Inputs!$B$4&lt;&gt;"pvp",Inputs!$B$35&gt;0),(((S49-1)*(Skills!T16*(1+Inputs!$B$33/100))+MIN((Skills!T16*(1+Inputs!$B$33/100)),MAX(0,Inputs!$B$35-((S49-1)*Skills!D16))))/Inputs!$B$35),IF(Inputs!$B$4="pvp",MIN((Skills!T16*(1+Inputs!$B$33/100)),15)/15,(Skills!T16*(1+Inputs!$B$33/100))/Skills!D16)))+0)/100)</f>
        <v/>
      </c>
    </row>
    <row r="62">
      <c r="A62" t="inlineStr">
        <is>
          <t>Global Crit Rate Bonus % (Lord of Darkness)</t>
        </is>
      </c>
      <c r="B62">
        <f>((C51=TRUE)*F51*(Skills!J18/100)*IF(AND(Inputs!$B$4&lt;&gt;"pvp",Inputs!$B$35&gt;0),(((S51-1)*(Skills!T18*(1+Inputs!$B$33/100))+MIN((Skills!T18*(1+Inputs!$B$33/100)),MAX(0,Inputs!$B$35-((S51-1)*Skills!D18))))/Inputs!$B$35),IF(Inputs!$B$4="pvp",MIN((Skills!T18*(1+Inputs!$B$33/100)),15)/15,(Skills!T18*(1+Inputs!$B$33/100))/Skills!D18)))</f>
        <v/>
      </c>
    </row>
    <row r="63">
      <c r="A63" t="inlineStr">
        <is>
          <t>Attack Speed Buff Bonus %</t>
        </is>
      </c>
      <c r="B63">
        <f>((C53=TRUE)*F53*IF(AND(Inputs!$B$4&lt;&gt;"pvp",Inputs!$B$35&gt;0),(((S53-1)*(Skills!T20*(1+Inputs!$B$33/100))+MIN((Skills!T20*(1+Inputs!$B$33/100)),MAX(0,Inputs!$B$35-((S53-1)*Skills!D20))))/Inputs!$B$35),IF(Inputs!$B$4="pvp",MIN((Skills!T20*(1+Inputs!$B$33/100)),15)/15,(Skills!T20*(1+Inputs!$B$33/100))/Skills!D20)))</f>
        <v/>
      </c>
    </row>
    <row r="64">
      <c r="A64" t="inlineStr">
        <is>
          <t>Actions Per Second</t>
        </is>
      </c>
      <c r="B64">
        <f>1+MIN(150,150*(1-(1-(Inputs!$B$10+((C54=TRUE)*(F54-Calc!F21)))/150)*(1-B63/150)))/100</f>
        <v/>
      </c>
    </row>
    <row r="65">
      <c r="A65" t="inlineStr">
        <is>
          <t>Skill + Buff Cast Rate</t>
        </is>
      </c>
      <c r="B65">
        <f>IF(AND(Inputs!$B$4&lt;&gt;"pvp",Inputs!$B$35&gt;0),SUMPRODUCT((Skills!E2:E26=TRUE)*(C35:C59=TRUE)*R35:R59*Skills!F2:F26)/Inputs!$B$35,SUMPRODUCT((Skills!E2:E26=TRUE)*(C35:C59=TRUE)*Q35:Q59*Skills!F2:F26))</f>
        <v/>
      </c>
    </row>
    <row r="66">
      <c r="A66" t="inlineStr">
        <is>
          <t>Dark Impale Casts Per Second</t>
        </is>
      </c>
      <c r="B66">
        <f>MAX(0,B64-B65)</f>
        <v/>
      </c>
    </row>
    <row r="67">
      <c r="A67" t="inlineStr">
        <is>
          <t>Global Critical Damage Bonus % (Lord of Darkness)</t>
        </is>
      </c>
      <c r="B67">
        <f>((C52=TRUE)*F52*(Skills!J19/100)*IF(AND(Inputs!$B$4&lt;&gt;"pvp",Inputs!$B$35&gt;0),(((S52-1)*(Skills!T19*(1+Inputs!$B$33/100))+MIN((Skills!T19*(1+Inputs!$B$33/100)),MAX(0,Inputs!$B$35-((S52-1)*Skills!D19))))/Inputs!$B$35),IF(Inputs!$B$4="pvp",MIN((Skills!T19*(1+Inputs!$B$33/100)),15)/15,(Skills!T19*(1+Inputs!$B$33/100))/Skills!D19)))</f>
        <v/>
      </c>
    </row>
    <row r="68">
      <c r="A68" t="inlineStr">
        <is>
          <t>Global Final Damage Bonus % (unused)</t>
        </is>
      </c>
      <c r="B68" t="n">
        <v>0</v>
      </c>
    </row>
    <row r="70">
      <c r="A70" s="5" t="inlineStr">
        <is>
          <t>TOTAL DPS</t>
        </is>
      </c>
      <c r="B70" s="5">
        <f>SUM(O35:O59)</f>
        <v/>
      </c>
    </row>
    <row r="73">
      <c r="A73" s="5" t="inlineStr">
        <is>
          <t>Stat: STR %</t>
        </is>
      </c>
    </row>
    <row r="74">
      <c r="A74" s="8" t="inlineStr">
        <is>
          <t>Key</t>
        </is>
      </c>
      <c r="B74" s="8" t="inlineStr">
        <is>
          <t>Name</t>
        </is>
      </c>
      <c r="C74" s="8" t="inlineStr">
        <is>
          <t>Unlocked</t>
        </is>
      </c>
      <c r="D74" s="8" t="inlineStr">
        <is>
          <t>InputLevel</t>
        </is>
      </c>
      <c r="E74" s="8" t="inlineStr">
        <is>
          <t>Factor</t>
        </is>
      </c>
      <c r="F74" s="8" t="inlineStr">
        <is>
          <t>CoefficientPercent</t>
        </is>
      </c>
      <c r="G74" s="8" t="inlineStr">
        <is>
          <t>EffectiveHits</t>
        </is>
      </c>
      <c r="H74" s="8" t="inlineStr">
        <is>
          <t>ProcProbability</t>
        </is>
      </c>
      <c r="I74" s="8" t="inlineStr">
        <is>
          <t>MapleHeroMultiplier</t>
        </is>
      </c>
      <c r="J74" s="8" t="inlineStr">
        <is>
          <t>BaseDamage</t>
        </is>
      </c>
      <c r="K74" s="8" t="inlineStr">
        <is>
          <t>BaseHitDamage</t>
        </is>
      </c>
      <c r="L74" s="8" t="inlineStr">
        <is>
          <t>NonCritAvg</t>
        </is>
      </c>
      <c r="M74" s="8" t="inlineStr">
        <is>
          <t>CritAvg</t>
        </is>
      </c>
      <c r="N74" s="8" t="inlineStr">
        <is>
          <t>ExpectedDamage(perHit)</t>
        </is>
      </c>
      <c r="O74" s="8" t="inlineStr">
        <is>
          <t>DPS</t>
        </is>
      </c>
      <c r="P74" s="8" t="inlineStr">
        <is>
          <t>% of Total</t>
        </is>
      </c>
      <c r="Q74" s="8" t="inlineStr">
        <is>
          <t>InvCooldown</t>
        </is>
      </c>
      <c r="R74" s="8" t="inlineStr">
        <is>
          <t>CastsInFight</t>
        </is>
      </c>
      <c r="S74" s="8" t="inlineStr">
        <is>
          <t>HitRate(perSec)</t>
        </is>
      </c>
      <c r="U74" t="inlineStr">
        <is>
          <t>helpers</t>
        </is>
      </c>
    </row>
    <row r="75">
      <c r="A75">
        <f>Skills!A2</f>
        <v/>
      </c>
      <c r="B75">
        <f>Skills!B2</f>
        <v/>
      </c>
      <c r="C75">
        <f>Inputs!$B$3&gt;=100</f>
        <v/>
      </c>
      <c r="D75" t="inlineStr"/>
      <c r="E75" t="inlineStr"/>
      <c r="F75">
        <f>U77+Skills!O2</f>
        <v/>
      </c>
      <c r="G75">
        <f>Skills!G2*IF(Skills!H2&gt;0,Skills!I2/Skills!H2,1)</f>
        <v/>
      </c>
      <c r="H75">
        <f>1-(1-Skills!J2/100)^Skills!K2</f>
        <v/>
      </c>
      <c r="I75" t="inlineStr">
        <is>
          <t>1</t>
        </is>
      </c>
      <c r="J75">
        <f>(Inputs!$B$5*(1+Inputs!$B$6/100))*(F75/100)</f>
        <v/>
      </c>
      <c r="K75">
        <f>J75*(1+((Inputs!$B$11*(1+(Inputs!$B$12+1)/100))*0.01+Inputs!$B$13*0.0025)/100)*(1+Inputs!$B$14/100)*(1+IF(Inputs!$B$4="pvp",0,(1-Summary!$B$55)*(Inputs!$B$19+0+Skills!P2+((C90=TRUE)*F90*IF(AND(Inputs!$B$4&lt;&gt;"pvp",Inputs!$B$35&gt;0),(((S90-1)*(Skills!T17*(1+Inputs!$B$33/100))+MIN((Skills!T17*(1+Inputs!$B$33/100)),MAX(0,Inputs!$B$35-((S90-1)*Skills!D17))))/Inputs!$B$35),IF(Inputs!$B$4="pvp",MIN((Skills!T17*(1+Inputs!$B$33/100)),15)/15,(Skills!T17*(1+Inputs!$B$33/100))/Skills!D17)))+((C87=TRUE)*IF(Inputs!$B$4="pvp",20,(1-Summary!$B$55)*(20)+Summary!$B$55*(0))*IF(AND(Inputs!$B$4&lt;&gt;"pvp",Inputs!$B$35&gt;0),(((S87-1)*(Skills!T14*(1+Inputs!$B$33/100))+MIN((Skills!T14*(1+Inputs!$B$33/100)),MAX(0,Inputs!$B$35-((S87-1)*Skills!D14))))/Inputs!$B$35),IF(Inputs!$B$4="pvp",MIN((Skills!T14*(1+Inputs!$B$33/100)),15)/15,(Skills!T14*(1+Inputs!$B$33/100))/Skills!D14))))+Summary!$B$55*(Inputs!$B$20+Skills!Q2+((C90=TRUE)*F90*IF(AND(Inputs!$B$4&lt;&gt;"pvp",Inputs!$B$35&gt;0),(((S90-1)*(Skills!T17*(1+Inputs!$B$33/100))+MIN((Skills!T17*(1+Inputs!$B$33/100)),MAX(0,Inputs!$B$35-((S90-1)*Skills!D17))))/Inputs!$B$35),IF(Inputs!$B$4="pvp",MIN((Skills!T17*(1+Inputs!$B$33/100)),15)/15,(Skills!T17*(1+Inputs!$B$33/100))/Skills!D17)))))/100)*(1+Inputs!$B$15/100)*(5000/(6000+Inputs!$B$7*(1-(Inputs!$B$18+0)/100)))*(1+(Inputs!$B$23+((C98=TRUE)*(F98-Calc!F25))+((C99=TRUE)*(F99-Calc!F26))+B108)/100)*(1+(IF(Skills!A2="DARK_IMPALE",Inputs!$B$16+0,Inputs!$B$17+((C96=TRUE)*(F96-Calc!F23))))/100)*((1+(((C86=TRUE)*F86*IF(AND(Inputs!$B$4&lt;&gt;"pvp",Inputs!$B$35&gt;0),(((S86-1)*(Skills!T13*(1+Inputs!$B$33/100))+MIN((Skills!T13*(1+Inputs!$B$33/100)),MAX(0,Inputs!$B$35-((S86-1)*Skills!D13))))/Inputs!$B$35),IF(Inputs!$B$4="pvp",MIN((Skills!T13*(1+Inputs!$B$33/100)),15)/15,(Skills!T13*(1+Inputs!$B$33/100))/Skills!D13)))+((C87=TRUE)*F87*IF(AND(Inputs!$B$4&lt;&gt;"pvp",Inputs!$B$35&gt;0),(((S87-1)*(Skills!T14*(1+Inputs!$B$33/100))+MIN((Skills!T14*(1+Inputs!$B$33/100)),MAX(0,Inputs!$B$35-((S87-1)*Skills!D14))))/Inputs!$B$35),IF(Inputs!$B$4="pvp",MIN((Skills!T14*(1+Inputs!$B$33/100)),15)/15,(Skills!T14*(1+Inputs!$B$33/100))/Skills!D14)))+((C88=TRUE)*F88*IF(AND(Inputs!$B$4&lt;&gt;"pvp",Inputs!$B$35&gt;0),(((S88-1)*(Skills!T15*(1+Inputs!$B$33/100))+MIN((Skills!T15*(1+Inputs!$B$33/100)),MAX(0,Inputs!$B$35-((S88-1)*Skills!D15))))/Inputs!$B$35),IF(Inputs!$B$4="pvp",MIN((Skills!T15*(1+Inputs!$B$33/100)),15)/15,(Skills!T15*(1+Inputs!$B$33/100))/Skills!D15)))+((C89=TRUE)*F89*IF(AND(Inputs!$B$4&lt;&gt;"pvp",Inputs!$B$35&gt;0),(((S89-1)*(Skills!T16*(1+Inputs!$B$33/100))+MIN((Skills!T16*(1+Inputs!$B$33/100)),MAX(0,Inputs!$B$35-((S89-1)*Skills!D16))))/Inputs!$B$35),IF(Inputs!$B$4="pvp",MIN((Skills!T16*(1+Inputs!$B$33/100)),15)/15,(Skills!T16*(1+Inputs!$B$33/100))/Skills!D16)))+0)/100)*I75)</f>
        <v/>
      </c>
      <c r="L75">
        <f>K75*(MIN(Inputs!$B$21+((C95=TRUE)*(F95-Calc!F22)),Inputs!$B$22+((C97=TRUE)*(F97-Calc!F24)))/100+(Inputs!$B$22+((C97=TRUE)*(F97-Calc!F24)))/100)/2</f>
        <v/>
      </c>
      <c r="M75">
        <f>L75*(1+(Inputs!$B$9+0+B107)/100)</f>
        <v/>
      </c>
      <c r="N75">
        <f>L75*(1-MIN((Inputs!$B$8+0+B102),100)/100)+M75*(MIN((Inputs!$B$8+0+B102),100)/100)</f>
        <v/>
      </c>
      <c r="O75">
        <f>IF(C75,Skills!G2*N75*B106*IF(Inputs!$B$4="pvp",1,(1-Summary!$B$55)*(1)+Summary!$B$55*(MIN((6+Inputs!$B$32),Inputs!$B$37))),0)</f>
        <v/>
      </c>
      <c r="P75">
        <f>IF(B110=0,0,O75/B110)</f>
        <v/>
      </c>
      <c r="Q75" t="n">
        <v>0</v>
      </c>
      <c r="R75" t="n">
        <v>0</v>
      </c>
      <c r="S75">
        <f>IFERROR(O75/N75,0)</f>
        <v/>
      </c>
      <c r="U75">
        <f>MAX(0,(Inputs!$B$3-100)*3)+Inputs!$B$27+Inputs!$B$28</f>
        <v/>
      </c>
    </row>
    <row r="76">
      <c r="A76">
        <f>Skills!A3</f>
        <v/>
      </c>
      <c r="B76">
        <f>Skills!B3</f>
        <v/>
      </c>
      <c r="C76">
        <f>Inputs!$B$3&gt;=50</f>
        <v/>
      </c>
      <c r="D76">
        <f>IF(Skills!C3=1,60+Inputs!$B$24+Inputs!$B$28,IF(Skills!C3=2,90+Inputs!$B$25+Inputs!$B$28,IF(Skills!C3=3,120+Inputs!$B$26+Inputs!$B$28,MAX(0,(Inputs!$B$3-100)*3)+Inputs!$B$27+Inputs!$B$28)))</f>
        <v/>
      </c>
      <c r="E76">
        <f>INDEX(FactorTable!$B$2:$Y$301, MATCH(ROUND(MIN(300,MAX(1,D76)),0), FactorTable!$A$2:$A$301,0), Skills!M3+1)</f>
        <v/>
      </c>
      <c r="F76">
        <f>IF(Skills!N3=TRUE,(Skills!L3/10)*(E76/1000),Skills!L3/10)+Skills!O3</f>
        <v/>
      </c>
      <c r="G76" t="inlineStr"/>
      <c r="H76" t="inlineStr"/>
      <c r="I76" t="inlineStr">
        <is>
          <t>1</t>
        </is>
      </c>
      <c r="J76" t="inlineStr"/>
      <c r="K76" t="inlineStr"/>
      <c r="L76" t="inlineStr"/>
      <c r="M76" t="inlineStr"/>
      <c r="N76" t="inlineStr"/>
      <c r="O76" t="inlineStr"/>
      <c r="P76" t="inlineStr"/>
      <c r="Q76" t="inlineStr"/>
      <c r="R76" t="inlineStr"/>
      <c r="S76" t="inlineStr"/>
      <c r="U76">
        <f>INDEX(FactorTable!$B$2:$Y$301, MATCH(ROUND(MIN(300,MAX(1,U75)),0), FactorTable!$A$2:$A$301,0), 22)</f>
        <v/>
      </c>
    </row>
    <row r="77">
      <c r="A77">
        <f>Skills!A4</f>
        <v/>
      </c>
      <c r="B77">
        <f>Skills!B4</f>
        <v/>
      </c>
      <c r="C77">
        <f>Inputs!$B$3&gt;=105</f>
        <v/>
      </c>
      <c r="D77">
        <f>IF(Skills!C4=1,60+Inputs!$B$24+Inputs!$B$28,IF(Skills!C4=2,90+Inputs!$B$25+Inputs!$B$28,IF(Skills!C4=3,120+Inputs!$B$26+Inputs!$B$28,MAX(0,(Inputs!$B$3-100)*3)+Inputs!$B$27+Inputs!$B$28)))</f>
        <v/>
      </c>
      <c r="E77">
        <f>INDEX(FactorTable!$B$2:$Y$301, MATCH(ROUND(MIN(300,MAX(1,D77)),0), FactorTable!$A$2:$A$301,0), Skills!M4+1)</f>
        <v/>
      </c>
      <c r="F77">
        <f>IF(Skills!N4=TRUE,(Skills!L4/10)*(E77/1000),Skills!L4/10)+Skills!O4</f>
        <v/>
      </c>
      <c r="G77" t="inlineStr"/>
      <c r="H77" t="inlineStr"/>
      <c r="I77" t="inlineStr">
        <is>
          <t>1</t>
        </is>
      </c>
      <c r="J77" t="inlineStr"/>
      <c r="K77" t="inlineStr"/>
      <c r="L77" t="inlineStr"/>
      <c r="M77" t="inlineStr"/>
      <c r="N77" t="inlineStr"/>
      <c r="O77" t="inlineStr"/>
      <c r="P77" t="inlineStr"/>
      <c r="Q77" t="inlineStr"/>
      <c r="R77" t="inlineStr"/>
      <c r="S77" t="inlineStr"/>
      <c r="U77">
        <f>290*U76/1000</f>
        <v/>
      </c>
    </row>
    <row r="78">
      <c r="A78">
        <f>Skills!A5</f>
        <v/>
      </c>
      <c r="B78">
        <f>Skills!B5</f>
        <v/>
      </c>
      <c r="C78">
        <f>Inputs!$B$3&gt;=117</f>
        <v/>
      </c>
      <c r="D78">
        <f>IF(Skills!C5=1,60+Inputs!$B$24+Inputs!$B$28,IF(Skills!C5=2,90+Inputs!$B$25+Inputs!$B$28,IF(Skills!C5=3,120+Inputs!$B$26+Inputs!$B$28,MAX(0,(Inputs!$B$3-100)*3)+Inputs!$B$27+Inputs!$B$28)))</f>
        <v/>
      </c>
      <c r="E78">
        <f>INDEX(FactorTable!$B$2:$Y$301, MATCH(ROUND(MIN(300,MAX(1,D78)),0), FactorTable!$A$2:$A$301,0), Skills!M5+1)</f>
        <v/>
      </c>
      <c r="F78">
        <f>IF(Skills!N5=TRUE,(Skills!L5/10)*(E78/1000),Skills!L5/10)+Skills!O5</f>
        <v/>
      </c>
      <c r="G78">
        <f>Skills!G5*IF(Skills!H5&gt;0,Skills!I5/Skills!H5,1)</f>
        <v/>
      </c>
      <c r="H78">
        <f>1-(1-Skills!J5/100)^Skills!K5</f>
        <v/>
      </c>
      <c r="I78" t="inlineStr">
        <is>
          <t>1</t>
        </is>
      </c>
      <c r="J78">
        <f>(Inputs!$B$5*(1+Inputs!$B$6/100))*(F78/100)</f>
        <v/>
      </c>
      <c r="K78">
        <f>J78*(1+((Inputs!$B$11*(1+(Inputs!$B$12+1)/100))*0.01+Inputs!$B$13*0.0025)/100)*(1+Inputs!$B$14/100)*(1+IF(Inputs!$B$4="pvp",0,(1-Summary!$B$55)*(Inputs!$B$19+0+Skills!P5+((C90=TRUE)*F90*IF(AND(Inputs!$B$4&lt;&gt;"pvp",Inputs!$B$35&gt;0),(((S90-1)*(Skills!T17*(1+Inputs!$B$33/100))+MIN((Skills!T17*(1+Inputs!$B$33/100)),MAX(0,Inputs!$B$35-((S90-1)*Skills!D17))))/Inputs!$B$35),IF(Inputs!$B$4="pvp",MIN((Skills!T17*(1+Inputs!$B$33/100)),15)/15,(Skills!T17*(1+Inputs!$B$33/100))/Skills!D17)))+((C87=TRUE)*IF(Inputs!$B$4="pvp",20,(1-Summary!$B$55)*(20)+Summary!$B$55*(0))*IF(AND(Inputs!$B$4&lt;&gt;"pvp",Inputs!$B$35&gt;0),(((S87-1)*(Skills!T14*(1+Inputs!$B$33/100))+MIN((Skills!T14*(1+Inputs!$B$33/100)),MAX(0,Inputs!$B$35-((S87-1)*Skills!D14))))/Inputs!$B$35),IF(Inputs!$B$4="pvp",MIN((Skills!T14*(1+Inputs!$B$33/100)),15)/15,(Skills!T14*(1+Inputs!$B$33/100))/Skills!D14))))+Summary!$B$55*(Inputs!$B$20+Skills!Q5+((C90=TRUE)*F90*IF(AND(Inputs!$B$4&lt;&gt;"pvp",Inputs!$B$35&gt;0),(((S90-1)*(Skills!T17*(1+Inputs!$B$33/100))+MIN((Skills!T17*(1+Inputs!$B$33/100)),MAX(0,Inputs!$B$35-((S90-1)*Skills!D17))))/Inputs!$B$35),IF(Inputs!$B$4="pvp",MIN((Skills!T17*(1+Inputs!$B$33/100)),15)/15,(Skills!T17*(1+Inputs!$B$33/100))/Skills!D17)))))/100)*(1+Inputs!$B$15/100)*(5000/(6000+Inputs!$B$7*(1-(Inputs!$B$18+0)/100)))*(1+(Inputs!$B$23+((C98=TRUE)*(F98-Calc!F25))+((C99=TRUE)*(F99-Calc!F26))+B108)/100)*(1+(IF(Skills!A5="DARK_IMPALE",Inputs!$B$16+0,Inputs!$B$17+((C96=TRUE)*(F96-Calc!F23))))/100)*((1+(((C86=TRUE)*F86*IF(AND(Inputs!$B$4&lt;&gt;"pvp",Inputs!$B$35&gt;0),(((S86-1)*(Skills!T13*(1+Inputs!$B$33/100))+MIN((Skills!T13*(1+Inputs!$B$33/100)),MAX(0,Inputs!$B$35-((S86-1)*Skills!D13))))/Inputs!$B$35),IF(Inputs!$B$4="pvp",MIN((Skills!T13*(1+Inputs!$B$33/100)),15)/15,(Skills!T13*(1+Inputs!$B$33/100))/Skills!D13)))+((C87=TRUE)*F87*IF(AND(Inputs!$B$4&lt;&gt;"pvp",Inputs!$B$35&gt;0),(((S87-1)*(Skills!T14*(1+Inputs!$B$33/100))+MIN((Skills!T14*(1+Inputs!$B$33/100)),MAX(0,Inputs!$B$35-((S87-1)*Skills!D14))))/Inputs!$B$35),IF(Inputs!$B$4="pvp",MIN((Skills!T14*(1+Inputs!$B$33/100)),15)/15,(Skills!T14*(1+Inputs!$B$33/100))/Skills!D14)))+((C88=TRUE)*F88*IF(AND(Inputs!$B$4&lt;&gt;"pvp",Inputs!$B$35&gt;0),(((S88-1)*(Skills!T15*(1+Inputs!$B$33/100))+MIN((Skills!T15*(1+Inputs!$B$33/100)),MAX(0,Inputs!$B$35-((S88-1)*Skills!D15))))/Inputs!$B$35),IF(Inputs!$B$4="pvp",MIN((Skills!T15*(1+Inputs!$B$33/100)),15)/15,(Skills!T15*(1+Inputs!$B$33/100))/Skills!D15)))+((C89=TRUE)*F89*IF(AND(Inputs!$B$4&lt;&gt;"pvp",Inputs!$B$35&gt;0),(((S89-1)*(Skills!T16*(1+Inputs!$B$33/100))+MIN((Skills!T16*(1+Inputs!$B$33/100)),MAX(0,Inputs!$B$35-((S89-1)*Skills!D16))))/Inputs!$B$35),IF(Inputs!$B$4="pvp",MIN((Skills!T16*(1+Inputs!$B$33/100)),15)/15,(Skills!T16*(1+Inputs!$B$33/100))/Skills!D16)))+0)/100)*I78)</f>
        <v/>
      </c>
      <c r="L78">
        <f>K78*(MIN(Inputs!$B$21+((C95=TRUE)*(F95-Calc!F22)),Inputs!$B$22+((C97=TRUE)*(F97-Calc!F24)))/100+(Inputs!$B$22+((C97=TRUE)*(F97-Calc!F24)))/100)/2</f>
        <v/>
      </c>
      <c r="M78">
        <f>L78*(1+(Inputs!$B$9+0+B107)/100)</f>
        <v/>
      </c>
      <c r="N78">
        <f>L78*(1-MIN((Inputs!$B$8+0+B102),100)/100)+M78*(MIN((Inputs!$B$8+0+B102),100)/100)</f>
        <v/>
      </c>
      <c r="O78">
        <f>IF(C78,H78*N78*IF(AND(Inputs!$B$4&lt;&gt;"pvp",Inputs!$B$35&gt;0),((Skills!G5*((R78-1)*IF(Skills!H5&gt;0,Skills!I5/Skills!H5,1)+IF(Skills!H5&gt;0,MIN(Skills!I5,MAX(0,Inputs!$B$35-((R78-1)*IF(Inputs!$B$4="pvp",15,MAX(0.1,Skills!D5-IF(Skills!E5=TRUE,Inputs!$B$31,0))))))/Skills!H5,1)))/Inputs!$B$35),G78*Q78)*IF(Inputs!$B$4="pvp",1,(1-Summary!$B$55)*(1)+Summary!$B$55*(MIN(Skills!R5,Inputs!$B$37))),0)</f>
        <v/>
      </c>
      <c r="P78">
        <f>IF(B110=0,0,O78/B110)</f>
        <v/>
      </c>
      <c r="Q78">
        <f>IFERROR(1/IF(Inputs!$B$4="pvp",15,MAX(0.1,Skills!D5-IF(Skills!E5=TRUE,Inputs!$B$31,0))),0)</f>
        <v/>
      </c>
      <c r="R78">
        <f>IF(AND(Inputs!$B$4&lt;&gt;"pvp",Inputs!$B$35&gt;0),(INT(Inputs!$B$35/IF(Inputs!$B$4="pvp",15,MAX(0.1,Skills!D5-IF(Skills!E5=TRUE,Inputs!$B$31,0))))+1),0)</f>
        <v/>
      </c>
      <c r="S78">
        <f>IFERROR(O78/N78,0)</f>
        <v/>
      </c>
    </row>
    <row r="79">
      <c r="A79">
        <f>Skills!A6</f>
        <v/>
      </c>
      <c r="B79">
        <f>Skills!B6</f>
        <v/>
      </c>
      <c r="C79">
        <f>Inputs!$B$3&gt;=103</f>
        <v/>
      </c>
      <c r="D79">
        <f>IF(Skills!C6=1,60+Inputs!$B$24+Inputs!$B$28,IF(Skills!C6=2,90+Inputs!$B$25+Inputs!$B$28,IF(Skills!C6=3,120+Inputs!$B$26+Inputs!$B$28,MAX(0,(Inputs!$B$3-100)*3)+Inputs!$B$27+Inputs!$B$28)))</f>
        <v/>
      </c>
      <c r="E79">
        <f>INDEX(FactorTable!$B$2:$Y$301, MATCH(ROUND(MIN(300,MAX(1,D79)),0), FactorTable!$A$2:$A$301,0), Skills!M6+1)</f>
        <v/>
      </c>
      <c r="F79">
        <f>IF(Skills!N6=TRUE,(Skills!L6/10)*(E79/1000),Skills!L6/10)+Skills!O6</f>
        <v/>
      </c>
      <c r="G79">
        <f>Skills!G6*IF(Skills!H6&gt;0,Skills!I6/Skills!H6,1)</f>
        <v/>
      </c>
      <c r="H79">
        <f>1-(1-Skills!J6/100)^Skills!K6</f>
        <v/>
      </c>
      <c r="I79" t="inlineStr">
        <is>
          <t>1</t>
        </is>
      </c>
      <c r="J79">
        <f>(Inputs!$B$5*(1+Inputs!$B$6/100))*(F79/100)</f>
        <v/>
      </c>
      <c r="K79">
        <f>J79*(1+((Inputs!$B$11*(1+(Inputs!$B$12+1)/100))*0.01+Inputs!$B$13*0.0025)/100)*(1+Inputs!$B$14/100)*(1+IF(Inputs!$B$4="pvp",0,(1-Summary!$B$55)*(Inputs!$B$19+0+Skills!P6+((C90=TRUE)*F90*IF(AND(Inputs!$B$4&lt;&gt;"pvp",Inputs!$B$35&gt;0),(((S90-1)*(Skills!T17*(1+Inputs!$B$33/100))+MIN((Skills!T17*(1+Inputs!$B$33/100)),MAX(0,Inputs!$B$35-((S90-1)*Skills!D17))))/Inputs!$B$35),IF(Inputs!$B$4="pvp",MIN((Skills!T17*(1+Inputs!$B$33/100)),15)/15,(Skills!T17*(1+Inputs!$B$33/100))/Skills!D17)))+((C87=TRUE)*IF(Inputs!$B$4="pvp",20,(1-Summary!$B$55)*(20)+Summary!$B$55*(0))*IF(AND(Inputs!$B$4&lt;&gt;"pvp",Inputs!$B$35&gt;0),(((S87-1)*(Skills!T14*(1+Inputs!$B$33/100))+MIN((Skills!T14*(1+Inputs!$B$33/100)),MAX(0,Inputs!$B$35-((S87-1)*Skills!D14))))/Inputs!$B$35),IF(Inputs!$B$4="pvp",MIN((Skills!T14*(1+Inputs!$B$33/100)),15)/15,(Skills!T14*(1+Inputs!$B$33/100))/Skills!D14))))+Summary!$B$55*(Inputs!$B$20+Skills!Q6+((C90=TRUE)*F90*IF(AND(Inputs!$B$4&lt;&gt;"pvp",Inputs!$B$35&gt;0),(((S90-1)*(Skills!T17*(1+Inputs!$B$33/100))+MIN((Skills!T17*(1+Inputs!$B$33/100)),MAX(0,Inputs!$B$35-((S90-1)*Skills!D17))))/Inputs!$B$35),IF(Inputs!$B$4="pvp",MIN((Skills!T17*(1+Inputs!$B$33/100)),15)/15,(Skills!T17*(1+Inputs!$B$33/100))/Skills!D17)))))/100)*(1+Inputs!$B$15/100)*(5000/(6000+Inputs!$B$7*(1-(Inputs!$B$18+0)/100)))*(1+(Inputs!$B$23+((C98=TRUE)*(F98-Calc!F25))+((C99=TRUE)*(F99-Calc!F26))+B108)/100)*(1+(IF(Skills!A6="DARK_IMPALE",Inputs!$B$16+0,Inputs!$B$17+((C96=TRUE)*(F96-Calc!F23))))/100)*((1+(((C86=TRUE)*F86*IF(AND(Inputs!$B$4&lt;&gt;"pvp",Inputs!$B$35&gt;0),(((S86-1)*(Skills!T13*(1+Inputs!$B$33/100))+MIN((Skills!T13*(1+Inputs!$B$33/100)),MAX(0,Inputs!$B$35-((S86-1)*Skills!D13))))/Inputs!$B$35),IF(Inputs!$B$4="pvp",MIN((Skills!T13*(1+Inputs!$B$33/100)),15)/15,(Skills!T13*(1+Inputs!$B$33/100))/Skills!D13)))+((C87=TRUE)*F87*IF(AND(Inputs!$B$4&lt;&gt;"pvp",Inputs!$B$35&gt;0),(((S87-1)*(Skills!T14*(1+Inputs!$B$33/100))+MIN((Skills!T14*(1+Inputs!$B$33/100)),MAX(0,Inputs!$B$35-((S87-1)*Skills!D14))))/Inputs!$B$35),IF(Inputs!$B$4="pvp",MIN((Skills!T14*(1+Inputs!$B$33/100)),15)/15,(Skills!T14*(1+Inputs!$B$33/100))/Skills!D14)))+((C88=TRUE)*F88*IF(AND(Inputs!$B$4&lt;&gt;"pvp",Inputs!$B$35&gt;0),(((S88-1)*(Skills!T15*(1+Inputs!$B$33/100))+MIN((Skills!T15*(1+Inputs!$B$33/100)),MAX(0,Inputs!$B$35-((S88-1)*Skills!D15))))/Inputs!$B$35),IF(Inputs!$B$4="pvp",MIN((Skills!T15*(1+Inputs!$B$33/100)),15)/15,(Skills!T15*(1+Inputs!$B$33/100))/Skills!D15)))+((C89=TRUE)*F89*IF(AND(Inputs!$B$4&lt;&gt;"pvp",Inputs!$B$35&gt;0),(((S89-1)*(Skills!T16*(1+Inputs!$B$33/100))+MIN((Skills!T16*(1+Inputs!$B$33/100)),MAX(0,Inputs!$B$35-((S89-1)*Skills!D16))))/Inputs!$B$35),IF(Inputs!$B$4="pvp",MIN((Skills!T16*(1+Inputs!$B$33/100)),15)/15,(Skills!T16*(1+Inputs!$B$33/100))/Skills!D16)))+0)/100)*I79)</f>
        <v/>
      </c>
      <c r="L79">
        <f>K79*(MIN(Inputs!$B$21+((C95=TRUE)*(F95-Calc!F22)),Inputs!$B$22+((C97=TRUE)*(F97-Calc!F24)))/100+(Inputs!$B$22+((C97=TRUE)*(F97-Calc!F24)))/100)/2</f>
        <v/>
      </c>
      <c r="M79">
        <f>L79*(1+(Inputs!$B$9+0+B107)/100)</f>
        <v/>
      </c>
      <c r="N79">
        <f>L79*(1-MIN((Inputs!$B$8+0+B102),100)/100)+M79*(MIN((Inputs!$B$8+0+B102),100)/100)</f>
        <v/>
      </c>
      <c r="O79">
        <f>IF(C79,H79*N79*IF(AND(Inputs!$B$4&lt;&gt;"pvp",Inputs!$B$35&gt;0),((Skills!G6*((R79-1)*IF(Skills!H6&gt;0,Skills!I6/Skills!H6,1)+IF(Skills!H6&gt;0,MIN(Skills!I6,MAX(0,Inputs!$B$35-((R79-1)*IF(Inputs!$B$4="pvp",15,MAX(0.1,Skills!D6-IF(Skills!E6=TRUE,Inputs!$B$31,0))))))/Skills!H6,1)))/Inputs!$B$35),G79*Q79)*IF(Inputs!$B$4="pvp",1,(1-Summary!$B$55)*(1)+Summary!$B$55*(MIN(Skills!R6,Inputs!$B$37))),0)</f>
        <v/>
      </c>
      <c r="P79">
        <f>IF(B110=0,0,O79/B110)</f>
        <v/>
      </c>
      <c r="Q79">
        <f>IFERROR(1/IF(Inputs!$B$4="pvp",15,MAX(0.1,Skills!D6-IF(Skills!E6=TRUE,Inputs!$B$31,0))),0)</f>
        <v/>
      </c>
      <c r="R79">
        <f>IF(AND(Inputs!$B$4&lt;&gt;"pvp",Inputs!$B$35&gt;0),(INT(Inputs!$B$35/IF(Inputs!$B$4="pvp",15,MAX(0.1,Skills!D6-IF(Skills!E6=TRUE,Inputs!$B$31,0))))+1),0)</f>
        <v/>
      </c>
      <c r="S79">
        <f>IFERROR(O79/N79,0)</f>
        <v/>
      </c>
    </row>
    <row r="80">
      <c r="A80">
        <f>Skills!A7</f>
        <v/>
      </c>
      <c r="B80">
        <f>Skills!B7</f>
        <v/>
      </c>
      <c r="C80">
        <f>Inputs!$B$3&gt;=40</f>
        <v/>
      </c>
      <c r="D80">
        <f>IF(Skills!C7=1,60+Inputs!$B$24+Inputs!$B$28,IF(Skills!C7=2,90+Inputs!$B$25+Inputs!$B$28,IF(Skills!C7=3,120+Inputs!$B$26+Inputs!$B$28,MAX(0,(Inputs!$B$3-100)*3)+Inputs!$B$27+Inputs!$B$28)))</f>
        <v/>
      </c>
      <c r="E80">
        <f>INDEX(FactorTable!$B$2:$Y$301, MATCH(ROUND(MIN(300,MAX(1,D80)),0), FactorTable!$A$2:$A$301,0), Skills!M7+1)</f>
        <v/>
      </c>
      <c r="F80">
        <f>IF(Skills!N7=TRUE,(Skills!L7/10)*(E80/1000),Skills!L7/10)+Skills!O7</f>
        <v/>
      </c>
      <c r="G80">
        <f>Skills!G7*IF(Skills!H7&gt;0,Skills!I7/Skills!H7,1)</f>
        <v/>
      </c>
      <c r="H80">
        <f>1-(1-Skills!J7/100)^Skills!K7</f>
        <v/>
      </c>
      <c r="I80" t="inlineStr">
        <is>
          <t>1</t>
        </is>
      </c>
      <c r="J80">
        <f>(Inputs!$B$5*(1+Inputs!$B$6/100))*(F80/100)</f>
        <v/>
      </c>
      <c r="K80">
        <f>J80*(1+((Inputs!$B$11*(1+(Inputs!$B$12+1)/100))*0.01+Inputs!$B$13*0.0025)/100)*(1+Inputs!$B$14/100)*(1+IF(Inputs!$B$4="pvp",0,(1-Summary!$B$55)*(Inputs!$B$19+0+Skills!P7+((C90=TRUE)*F90*IF(AND(Inputs!$B$4&lt;&gt;"pvp",Inputs!$B$35&gt;0),(((S90-1)*(Skills!T17*(1+Inputs!$B$33/100))+MIN((Skills!T17*(1+Inputs!$B$33/100)),MAX(0,Inputs!$B$35-((S90-1)*Skills!D17))))/Inputs!$B$35),IF(Inputs!$B$4="pvp",MIN((Skills!T17*(1+Inputs!$B$33/100)),15)/15,(Skills!T17*(1+Inputs!$B$33/100))/Skills!D17)))+((C87=TRUE)*IF(Inputs!$B$4="pvp",20,(1-Summary!$B$55)*(20)+Summary!$B$55*(0))*IF(AND(Inputs!$B$4&lt;&gt;"pvp",Inputs!$B$35&gt;0),(((S87-1)*(Skills!T14*(1+Inputs!$B$33/100))+MIN((Skills!T14*(1+Inputs!$B$33/100)),MAX(0,Inputs!$B$35-((S87-1)*Skills!D14))))/Inputs!$B$35),IF(Inputs!$B$4="pvp",MIN((Skills!T14*(1+Inputs!$B$33/100)),15)/15,(Skills!T14*(1+Inputs!$B$33/100))/Skills!D14))))+Summary!$B$55*(Inputs!$B$20+Skills!Q7+((C90=TRUE)*F90*IF(AND(Inputs!$B$4&lt;&gt;"pvp",Inputs!$B$35&gt;0),(((S90-1)*(Skills!T17*(1+Inputs!$B$33/100))+MIN((Skills!T17*(1+Inputs!$B$33/100)),MAX(0,Inputs!$B$35-((S90-1)*Skills!D17))))/Inputs!$B$35),IF(Inputs!$B$4="pvp",MIN((Skills!T17*(1+Inputs!$B$33/100)),15)/15,(Skills!T17*(1+Inputs!$B$33/100))/Skills!D17)))))/100)*(1+Inputs!$B$15/100)*(5000/(6000+Inputs!$B$7*(1-(Inputs!$B$18+0)/100)))*(1+(Inputs!$B$23+((C98=TRUE)*(F98-Calc!F25))+((C99=TRUE)*(F99-Calc!F26))+B108)/100)*(1+0.75*IF(C84=TRUE,F84,0)/100)*(1+(IF(Skills!A7="DARK_IMPALE",Inputs!$B$16+0,Inputs!$B$17+((C96=TRUE)*(F96-Calc!F23))))/100)*((1+(((C86=TRUE)*F86*IF(AND(Inputs!$B$4&lt;&gt;"pvp",Inputs!$B$35&gt;0),(((S86-1)*(Skills!T13*(1+Inputs!$B$33/100))+MIN((Skills!T13*(1+Inputs!$B$33/100)),MAX(0,Inputs!$B$35-((S86-1)*Skills!D13))))/Inputs!$B$35),IF(Inputs!$B$4="pvp",MIN((Skills!T13*(1+Inputs!$B$33/100)),15)/15,(Skills!T13*(1+Inputs!$B$33/100))/Skills!D13)))+((C87=TRUE)*F87*IF(AND(Inputs!$B$4&lt;&gt;"pvp",Inputs!$B$35&gt;0),(((S87-1)*(Skills!T14*(1+Inputs!$B$33/100))+MIN((Skills!T14*(1+Inputs!$B$33/100)),MAX(0,Inputs!$B$35-((S87-1)*Skills!D14))))/Inputs!$B$35),IF(Inputs!$B$4="pvp",MIN((Skills!T14*(1+Inputs!$B$33/100)),15)/15,(Skills!T14*(1+Inputs!$B$33/100))/Skills!D14)))+((C88=TRUE)*F88*IF(AND(Inputs!$B$4&lt;&gt;"pvp",Inputs!$B$35&gt;0),(((S88-1)*(Skills!T15*(1+Inputs!$B$33/100))+MIN((Skills!T15*(1+Inputs!$B$33/100)),MAX(0,Inputs!$B$35-((S88-1)*Skills!D15))))/Inputs!$B$35),IF(Inputs!$B$4="pvp",MIN((Skills!T15*(1+Inputs!$B$33/100)),15)/15,(Skills!T15*(1+Inputs!$B$33/100))/Skills!D15)))+((C89=TRUE)*F89*IF(AND(Inputs!$B$4&lt;&gt;"pvp",Inputs!$B$35&gt;0),(((S89-1)*(Skills!T16*(1+Inputs!$B$33/100))+MIN((Skills!T16*(1+Inputs!$B$33/100)),MAX(0,Inputs!$B$35-((S89-1)*Skills!D16))))/Inputs!$B$35),IF(Inputs!$B$4="pvp",MIN((Skills!T16*(1+Inputs!$B$33/100)),15)/15,(Skills!T16*(1+Inputs!$B$33/100))/Skills!D16)))+0)/100)*I80)</f>
        <v/>
      </c>
      <c r="L80">
        <f>K80*(MIN(Inputs!$B$21+((C95=TRUE)*(F95-Calc!F22)),Inputs!$B$22+((C97=TRUE)*(F97-Calc!F24)))/100+(Inputs!$B$22+((C97=TRUE)*(F97-Calc!F24)))/100)/2</f>
        <v/>
      </c>
      <c r="M80">
        <f>L80*(1+(Inputs!$B$9+0+B107)/100)</f>
        <v/>
      </c>
      <c r="N80">
        <f>L80*(1-MIN((Inputs!$B$8+0+B102),100)/100)+M80*(MIN((Inputs!$B$8+0+B102),100)/100)</f>
        <v/>
      </c>
      <c r="O80">
        <f>IF(C80,H80*N80*IF(AND(Inputs!$B$4&lt;&gt;"pvp",Inputs!$B$35&gt;0),((Skills!G7*((R80-1)*IF(Skills!H7&gt;0,Skills!I7/Skills!H7,1)+IF(Skills!H7&gt;0,MIN(Skills!I7,MAX(0,Inputs!$B$35-((R80-1)*IF(Inputs!$B$4="pvp",15,MAX(0.1,Skills!D7-IF(Skills!E7=TRUE,Inputs!$B$31,0))))))/Skills!H7,1)))/Inputs!$B$35),G80*Q80)*IF(Inputs!$B$4="pvp",1,(1-Summary!$B$55)*(1)+Summary!$B$55*(MIN(Skills!R7,Inputs!$B$37))),0)</f>
        <v/>
      </c>
      <c r="P80">
        <f>IF(B110=0,0,O80/B110)</f>
        <v/>
      </c>
      <c r="Q80">
        <f>IFERROR(1/IF(Inputs!$B$4="pvp",15,MAX(0.1,Skills!D7-IF(Skills!E7=TRUE,Inputs!$B$31,0))),0)</f>
        <v/>
      </c>
      <c r="R80">
        <f>IF(AND(Inputs!$B$4&lt;&gt;"pvp",Inputs!$B$35&gt;0),(INT(Inputs!$B$35/IF(Inputs!$B$4="pvp",15,MAX(0.1,Skills!D7-IF(Skills!E7=TRUE,Inputs!$B$31,0))))+1),0)</f>
        <v/>
      </c>
      <c r="S80">
        <f>IFERROR(O80/N80,0)</f>
        <v/>
      </c>
    </row>
    <row r="81">
      <c r="A81">
        <f>Skills!A8</f>
        <v/>
      </c>
      <c r="B81">
        <f>Skills!B8</f>
        <v/>
      </c>
      <c r="C81">
        <f>Inputs!$B$3&gt;=75</f>
        <v/>
      </c>
      <c r="D81">
        <f>IF(Skills!C8=1,60+Inputs!$B$24+Inputs!$B$28,IF(Skills!C8=2,90+Inputs!$B$25+Inputs!$B$28,IF(Skills!C8=3,120+Inputs!$B$26+Inputs!$B$28,MAX(0,(Inputs!$B$3-100)*3)+Inputs!$B$27+Inputs!$B$28)))</f>
        <v/>
      </c>
      <c r="E81">
        <f>INDEX(FactorTable!$B$2:$Y$301, MATCH(ROUND(MIN(300,MAX(1,D81)),0), FactorTable!$A$2:$A$301,0), Skills!M8+1)</f>
        <v/>
      </c>
      <c r="F81">
        <f>IF(Skills!N8=TRUE,(Skills!L8/10)*(E81/1000),Skills!L8/10)+Skills!O8</f>
        <v/>
      </c>
      <c r="G81" t="inlineStr"/>
      <c r="H81" t="inlineStr"/>
      <c r="I81" t="inlineStr">
        <is>
          <t>1</t>
        </is>
      </c>
      <c r="J81" t="inlineStr"/>
      <c r="K81" t="inlineStr"/>
      <c r="L81" t="inlineStr"/>
      <c r="M81" t="inlineStr"/>
      <c r="N81" t="inlineStr"/>
      <c r="O81" t="inlineStr"/>
      <c r="P81" t="inlineStr"/>
      <c r="Q81" t="inlineStr"/>
      <c r="R81" t="inlineStr"/>
      <c r="S81" t="inlineStr"/>
    </row>
    <row r="82">
      <c r="A82">
        <f>Skills!A9</f>
        <v/>
      </c>
      <c r="B82">
        <f>Skills!B9</f>
        <v/>
      </c>
      <c r="C82">
        <f>Inputs!$B$3&gt;=60</f>
        <v/>
      </c>
      <c r="D82">
        <f>IF(Skills!C9=1,60+Inputs!$B$24+Inputs!$B$28,IF(Skills!C9=2,90+Inputs!$B$25+Inputs!$B$28,IF(Skills!C9=3,120+Inputs!$B$26+Inputs!$B$28,MAX(0,(Inputs!$B$3-100)*3)+Inputs!$B$27+Inputs!$B$28)))</f>
        <v/>
      </c>
      <c r="E82">
        <f>INDEX(FactorTable!$B$2:$Y$301, MATCH(ROUND(MIN(300,MAX(1,D82)),0), FactorTable!$A$2:$A$301,0), Skills!M9+1)</f>
        <v/>
      </c>
      <c r="F82">
        <f>IF(Skills!N9=TRUE,(Skills!L9/10)*(E82/1000),Skills!L9/10)+Skills!O9</f>
        <v/>
      </c>
      <c r="G82">
        <f>Skills!G9*IF(Skills!H9&gt;0,Skills!I9/Skills!H9,1)</f>
        <v/>
      </c>
      <c r="H82">
        <f>1-(1-Skills!J9/100)^Skills!K9</f>
        <v/>
      </c>
      <c r="I82" t="inlineStr">
        <is>
          <t>1</t>
        </is>
      </c>
      <c r="J82">
        <f>(Inputs!$B$5*(1+Inputs!$B$6/100))*(F82/100)</f>
        <v/>
      </c>
      <c r="K82">
        <f>J82*(1+((Inputs!$B$11*(1+(Inputs!$B$12+1)/100))*0.01+Inputs!$B$13*0.0025)/100)*(1+Inputs!$B$14/100)*(1+IF(Inputs!$B$4="pvp",0,(1-Summary!$B$55)*(Inputs!$B$19+0+Skills!P9+((C90=TRUE)*F90*IF(AND(Inputs!$B$4&lt;&gt;"pvp",Inputs!$B$35&gt;0),(((S90-1)*(Skills!T17*(1+Inputs!$B$33/100))+MIN((Skills!T17*(1+Inputs!$B$33/100)),MAX(0,Inputs!$B$35-((S90-1)*Skills!D17))))/Inputs!$B$35),IF(Inputs!$B$4="pvp",MIN((Skills!T17*(1+Inputs!$B$33/100)),15)/15,(Skills!T17*(1+Inputs!$B$33/100))/Skills!D17)))+((C87=TRUE)*IF(Inputs!$B$4="pvp",20,(1-Summary!$B$55)*(20)+Summary!$B$55*(0))*IF(AND(Inputs!$B$4&lt;&gt;"pvp",Inputs!$B$35&gt;0),(((S87-1)*(Skills!T14*(1+Inputs!$B$33/100))+MIN((Skills!T14*(1+Inputs!$B$33/100)),MAX(0,Inputs!$B$35-((S87-1)*Skills!D14))))/Inputs!$B$35),IF(Inputs!$B$4="pvp",MIN((Skills!T14*(1+Inputs!$B$33/100)),15)/15,(Skills!T14*(1+Inputs!$B$33/100))/Skills!D14))))+Summary!$B$55*(Inputs!$B$20+Skills!Q9+((C90=TRUE)*F90*IF(AND(Inputs!$B$4&lt;&gt;"pvp",Inputs!$B$35&gt;0),(((S90-1)*(Skills!T17*(1+Inputs!$B$33/100))+MIN((Skills!T17*(1+Inputs!$B$33/100)),MAX(0,Inputs!$B$35-((S90-1)*Skills!D17))))/Inputs!$B$35),IF(Inputs!$B$4="pvp",MIN((Skills!T17*(1+Inputs!$B$33/100)),15)/15,(Skills!T17*(1+Inputs!$B$33/100))/Skills!D17)))))/100)*(1+Inputs!$B$15/100)*(5000/(6000+Inputs!$B$7*(1-(Inputs!$B$18+0)/100)))*(1+(Inputs!$B$23+((C98=TRUE)*(F98-Calc!F25))+((C99=TRUE)*(F99-Calc!F26))+B108)/100)*(1+1.0*IF(C84=TRUE,F84,0)/100)*(1+(IF(Skills!A9="DARK_IMPALE",Inputs!$B$16+0,Inputs!$B$17+((C96=TRUE)*(F96-Calc!F23))))/100)*((1+(((C86=TRUE)*F86*IF(AND(Inputs!$B$4&lt;&gt;"pvp",Inputs!$B$35&gt;0),(((S86-1)*(Skills!T13*(1+Inputs!$B$33/100))+MIN((Skills!T13*(1+Inputs!$B$33/100)),MAX(0,Inputs!$B$35-((S86-1)*Skills!D13))))/Inputs!$B$35),IF(Inputs!$B$4="pvp",MIN((Skills!T13*(1+Inputs!$B$33/100)),15)/15,(Skills!T13*(1+Inputs!$B$33/100))/Skills!D13)))+((C87=TRUE)*F87*IF(AND(Inputs!$B$4&lt;&gt;"pvp",Inputs!$B$35&gt;0),(((S87-1)*(Skills!T14*(1+Inputs!$B$33/100))+MIN((Skills!T14*(1+Inputs!$B$33/100)),MAX(0,Inputs!$B$35-((S87-1)*Skills!D14))))/Inputs!$B$35),IF(Inputs!$B$4="pvp",MIN((Skills!T14*(1+Inputs!$B$33/100)),15)/15,(Skills!T14*(1+Inputs!$B$33/100))/Skills!D14)))+((C88=TRUE)*F88*IF(AND(Inputs!$B$4&lt;&gt;"pvp",Inputs!$B$35&gt;0),(((S88-1)*(Skills!T15*(1+Inputs!$B$33/100))+MIN((Skills!T15*(1+Inputs!$B$33/100)),MAX(0,Inputs!$B$35-((S88-1)*Skills!D15))))/Inputs!$B$35),IF(Inputs!$B$4="pvp",MIN((Skills!T15*(1+Inputs!$B$33/100)),15)/15,(Skills!T15*(1+Inputs!$B$33/100))/Skills!D15)))+((C89=TRUE)*F89*IF(AND(Inputs!$B$4&lt;&gt;"pvp",Inputs!$B$35&gt;0),(((S89-1)*(Skills!T16*(1+Inputs!$B$33/100))+MIN((Skills!T16*(1+Inputs!$B$33/100)),MAX(0,Inputs!$B$35-((S89-1)*Skills!D16))))/Inputs!$B$35),IF(Inputs!$B$4="pvp",MIN((Skills!T16*(1+Inputs!$B$33/100)),15)/15,(Skills!T16*(1+Inputs!$B$33/100))/Skills!D16)))+0)/100)*I82)</f>
        <v/>
      </c>
      <c r="L82">
        <f>K82*(MIN(Inputs!$B$21+((C95=TRUE)*(F95-Calc!F22)),Inputs!$B$22+((C97=TRUE)*(F97-Calc!F24)))/100+(Inputs!$B$22+((C97=TRUE)*(F97-Calc!F24)))/100)/2</f>
        <v/>
      </c>
      <c r="M82">
        <f>L82*(1+(Inputs!$B$9+0+B107)/100)</f>
        <v/>
      </c>
      <c r="N82">
        <f>L82*(1-MIN((Inputs!$B$8+0+B102),100)/100)+M82*(MIN((Inputs!$B$8+0+B102),100)/100)</f>
        <v/>
      </c>
      <c r="O82">
        <f>IF(C82,H82*N82*IF(AND(Inputs!$B$4&lt;&gt;"pvp",Inputs!$B$35&gt;0),((Skills!G9*((R82-1)*IF(Skills!H9&gt;0,Skills!I9/Skills!H9,1)+IF(Skills!H9&gt;0,MIN(Skills!I9,MAX(0,Inputs!$B$35-((R82-1)*IF(Inputs!$B$4="pvp",15,MAX(0.1,Skills!D9-IF(Skills!E9=TRUE,Inputs!$B$31,0))))))/Skills!H9,1)))/Inputs!$B$35),G82*Q82)*IF(Inputs!$B$4="pvp",1,(1-Summary!$B$55)*(1)+Summary!$B$55*(MIN(Skills!R9,Inputs!$B$37))),0)</f>
        <v/>
      </c>
      <c r="P82">
        <f>IF(B110=0,0,O82/B110)</f>
        <v/>
      </c>
      <c r="Q82">
        <f>IFERROR(1/IF(Inputs!$B$4="pvp",15,MAX(0.1,Skills!D9-IF(Skills!E9=TRUE,Inputs!$B$31,0))),0)</f>
        <v/>
      </c>
      <c r="R82">
        <f>IF(AND(Inputs!$B$4&lt;&gt;"pvp",Inputs!$B$35&gt;0),(INT(Inputs!$B$35/IF(Inputs!$B$4="pvp",15,MAX(0.1,Skills!D9-IF(Skills!E9=TRUE,Inputs!$B$31,0))))+1),0)</f>
        <v/>
      </c>
      <c r="S82">
        <f>IFERROR(O82/N82,0)</f>
        <v/>
      </c>
    </row>
    <row r="83">
      <c r="A83">
        <f>Skills!A10</f>
        <v/>
      </c>
      <c r="B83">
        <f>Skills!B10</f>
        <v/>
      </c>
      <c r="C83">
        <f>Inputs!$B$3&gt;=110</f>
        <v/>
      </c>
      <c r="D83">
        <f>IF(Skills!C10=1,60+Inputs!$B$24+Inputs!$B$28,IF(Skills!C10=2,90+Inputs!$B$25+Inputs!$B$28,IF(Skills!C10=3,120+Inputs!$B$26+Inputs!$B$28,MAX(0,(Inputs!$B$3-100)*3)+Inputs!$B$27+Inputs!$B$28)))</f>
        <v/>
      </c>
      <c r="E83">
        <f>INDEX(FactorTable!$B$2:$Y$301, MATCH(ROUND(MIN(300,MAX(1,D83)),0), FactorTable!$A$2:$A$301,0), Skills!M10+1)</f>
        <v/>
      </c>
      <c r="F83">
        <f>IF(Skills!N10=TRUE,(Skills!L10/10)*(E83/1000),Skills!L10/10)+Skills!O10</f>
        <v/>
      </c>
      <c r="G83">
        <f>Skills!G10*IF(Skills!H10&gt;0,Skills!I10/Skills!H10,1)</f>
        <v/>
      </c>
      <c r="H83">
        <f>1-(1-Skills!J10/100)^Skills!K10</f>
        <v/>
      </c>
      <c r="I83" t="inlineStr">
        <is>
          <t>1</t>
        </is>
      </c>
      <c r="J83">
        <f>(Inputs!$B$5*(1+Inputs!$B$6/100))*(F83/100)</f>
        <v/>
      </c>
      <c r="K83">
        <f>J83*(1+((Inputs!$B$11*(1+(Inputs!$B$12+1)/100))*0.01+Inputs!$B$13*0.0025)/100)*(1+Inputs!$B$14/100)*(1+IF(Inputs!$B$4="pvp",0,(1-Summary!$B$55)*(Inputs!$B$19+0+Skills!P10+((C90=TRUE)*F90*IF(AND(Inputs!$B$4&lt;&gt;"pvp",Inputs!$B$35&gt;0),(((S90-1)*(Skills!T17*(1+Inputs!$B$33/100))+MIN((Skills!T17*(1+Inputs!$B$33/100)),MAX(0,Inputs!$B$35-((S90-1)*Skills!D17))))/Inputs!$B$35),IF(Inputs!$B$4="pvp",MIN((Skills!T17*(1+Inputs!$B$33/100)),15)/15,(Skills!T17*(1+Inputs!$B$33/100))/Skills!D17)))+((C87=TRUE)*IF(Inputs!$B$4="pvp",20,(1-Summary!$B$55)*(20)+Summary!$B$55*(0))*IF(AND(Inputs!$B$4&lt;&gt;"pvp",Inputs!$B$35&gt;0),(((S87-1)*(Skills!T14*(1+Inputs!$B$33/100))+MIN((Skills!T14*(1+Inputs!$B$33/100)),MAX(0,Inputs!$B$35-((S87-1)*Skills!D14))))/Inputs!$B$35),IF(Inputs!$B$4="pvp",MIN((Skills!T14*(1+Inputs!$B$33/100)),15)/15,(Skills!T14*(1+Inputs!$B$33/100))/Skills!D14))))+Summary!$B$55*(Inputs!$B$20+Skills!Q10+((C90=TRUE)*F90*IF(AND(Inputs!$B$4&lt;&gt;"pvp",Inputs!$B$35&gt;0),(((S90-1)*(Skills!T17*(1+Inputs!$B$33/100))+MIN((Skills!T17*(1+Inputs!$B$33/100)),MAX(0,Inputs!$B$35-((S90-1)*Skills!D17))))/Inputs!$B$35),IF(Inputs!$B$4="pvp",MIN((Skills!T17*(1+Inputs!$B$33/100)),15)/15,(Skills!T17*(1+Inputs!$B$33/100))/Skills!D17)))))/100)*(1+Inputs!$B$15/100)*(5000/(6000+Inputs!$B$7*(1-(Inputs!$B$18+0)/100)))*(1+(Inputs!$B$23+((C98=TRUE)*(F98-Calc!F25))+((C99=TRUE)*(F99-Calc!F26))+B108)/100)*(1+(IF(Skills!A10="DARK_IMPALE",Inputs!$B$16+0,Inputs!$B$17+((C96=TRUE)*(F96-Calc!F23))))/100)*((1+(((C86=TRUE)*F86*IF(AND(Inputs!$B$4&lt;&gt;"pvp",Inputs!$B$35&gt;0),(((S86-1)*(Skills!T13*(1+Inputs!$B$33/100))+MIN((Skills!T13*(1+Inputs!$B$33/100)),MAX(0,Inputs!$B$35-((S86-1)*Skills!D13))))/Inputs!$B$35),IF(Inputs!$B$4="pvp",MIN((Skills!T13*(1+Inputs!$B$33/100)),15)/15,(Skills!T13*(1+Inputs!$B$33/100))/Skills!D13)))+((C87=TRUE)*F87*IF(AND(Inputs!$B$4&lt;&gt;"pvp",Inputs!$B$35&gt;0),(((S87-1)*(Skills!T14*(1+Inputs!$B$33/100))+MIN((Skills!T14*(1+Inputs!$B$33/100)),MAX(0,Inputs!$B$35-((S87-1)*Skills!D14))))/Inputs!$B$35),IF(Inputs!$B$4="pvp",MIN((Skills!T14*(1+Inputs!$B$33/100)),15)/15,(Skills!T14*(1+Inputs!$B$33/100))/Skills!D14)))+((C88=TRUE)*F88*IF(AND(Inputs!$B$4&lt;&gt;"pvp",Inputs!$B$35&gt;0),(((S88-1)*(Skills!T15*(1+Inputs!$B$33/100))+MIN((Skills!T15*(1+Inputs!$B$33/100)),MAX(0,Inputs!$B$35-((S88-1)*Skills!D15))))/Inputs!$B$35),IF(Inputs!$B$4="pvp",MIN((Skills!T15*(1+Inputs!$B$33/100)),15)/15,(Skills!T15*(1+Inputs!$B$33/100))/Skills!D15)))+((C89=TRUE)*F89*IF(AND(Inputs!$B$4&lt;&gt;"pvp",Inputs!$B$35&gt;0),(((S89-1)*(Skills!T16*(1+Inputs!$B$33/100))+MIN((Skills!T16*(1+Inputs!$B$33/100)),MAX(0,Inputs!$B$35-((S89-1)*Skills!D16))))/Inputs!$B$35),IF(Inputs!$B$4="pvp",MIN((Skills!T16*(1+Inputs!$B$33/100)),15)/15,(Skills!T16*(1+Inputs!$B$33/100))/Skills!D16)))+0)/100)*I83)</f>
        <v/>
      </c>
      <c r="L83">
        <f>K83*(MIN(Inputs!$B$21+((C95=TRUE)*(F95-Calc!F22)),Inputs!$B$22+((C97=TRUE)*(F97-Calc!F24)))/100+(Inputs!$B$22+((C97=TRUE)*(F97-Calc!F24)))/100)/2</f>
        <v/>
      </c>
      <c r="M83">
        <f>L83*(1+(Inputs!$B$9+0+B107)/100)</f>
        <v/>
      </c>
      <c r="N83">
        <f>L83*(1-MIN((Inputs!$B$8+0+B102),100)/100)+M83*(MIN((Inputs!$B$8+0+B102),100)/100)</f>
        <v/>
      </c>
      <c r="O83">
        <f>IF(C83,H83*N83*IF(AND(Inputs!$B$4&lt;&gt;"pvp",Inputs!$B$35&gt;0),((Skills!G10*((R83-1)*IF(Skills!H10&gt;0,Skills!I10/Skills!H10,1)+IF(Skills!H10&gt;0,MIN(Skills!I10,MAX(0,Inputs!$B$35-((R83-1)*IF(Inputs!$B$4="pvp",15,MAX(0.1,Skills!D10-IF(Skills!E10=TRUE,Inputs!$B$31,0))))))/Skills!H10,1)))/Inputs!$B$35),G83*Q83)*IF(Inputs!$B$4="pvp",1,(1-Summary!$B$55)*(1)+Summary!$B$55*(MIN(Skills!R10,Inputs!$B$37))),0)</f>
        <v/>
      </c>
      <c r="P83">
        <f>IF(B110=0,0,O83/B110)</f>
        <v/>
      </c>
      <c r="Q83">
        <f>IFERROR(1/IF(Inputs!$B$4="pvp",15,MAX(0.1,Skills!D10-IF(Skills!E10=TRUE,Inputs!$B$31,0))),0)</f>
        <v/>
      </c>
      <c r="R83">
        <f>IF(AND(Inputs!$B$4&lt;&gt;"pvp",Inputs!$B$35&gt;0),(INT(Inputs!$B$35/IF(Inputs!$B$4="pvp",15,MAX(0.1,Skills!D10-IF(Skills!E10=TRUE,Inputs!$B$31,0))))+1),0)</f>
        <v/>
      </c>
      <c r="S83">
        <f>IFERROR(O83/N83,0)</f>
        <v/>
      </c>
    </row>
    <row r="84">
      <c r="A84">
        <f>Skills!A11</f>
        <v/>
      </c>
      <c r="B84">
        <f>Skills!B11</f>
        <v/>
      </c>
      <c r="C84">
        <f>Inputs!$B$3&gt;=100</f>
        <v/>
      </c>
      <c r="D84">
        <f>IF(Skills!C11=1,60+Inputs!$B$24+Inputs!$B$28,IF(Skills!C11=2,90+Inputs!$B$25+Inputs!$B$28,IF(Skills!C11=3,120+Inputs!$B$26+Inputs!$B$28,MAX(0,(Inputs!$B$3-100)*3)+Inputs!$B$27+Inputs!$B$28)))</f>
        <v/>
      </c>
      <c r="E84">
        <f>INDEX(FactorTable!$B$2:$Y$301, MATCH(ROUND(MIN(300,MAX(1,D84)),0), FactorTable!$A$2:$A$301,0), Skills!M11+1)</f>
        <v/>
      </c>
      <c r="F84">
        <f>IF(Skills!N11=TRUE,(Skills!L11/10)*(E84/1000),Skills!L11/10)+Skills!O11</f>
        <v/>
      </c>
      <c r="G84" t="inlineStr"/>
      <c r="H84" t="inlineStr"/>
      <c r="I84" t="inlineStr">
        <is>
          <t>1</t>
        </is>
      </c>
      <c r="J84" t="inlineStr"/>
      <c r="K84" t="inlineStr"/>
      <c r="L84" t="inlineStr"/>
      <c r="M84" t="inlineStr"/>
      <c r="N84" t="inlineStr"/>
      <c r="O84" t="inlineStr"/>
      <c r="P84" t="inlineStr"/>
      <c r="Q84" t="inlineStr"/>
      <c r="R84" t="inlineStr"/>
      <c r="S84" t="inlineStr"/>
    </row>
    <row r="85">
      <c r="A85">
        <f>Skills!A12</f>
        <v/>
      </c>
      <c r="B85">
        <f>Skills!B12</f>
        <v/>
      </c>
      <c r="C85">
        <f>Inputs!$B$3&gt;=63</f>
        <v/>
      </c>
      <c r="D85">
        <f>IF(Skills!C12=1,60+Inputs!$B$24+Inputs!$B$28,IF(Skills!C12=2,90+Inputs!$B$25+Inputs!$B$28,IF(Skills!C12=3,120+Inputs!$B$26+Inputs!$B$28,MAX(0,(Inputs!$B$3-100)*3)+Inputs!$B$27+Inputs!$B$28)))</f>
        <v/>
      </c>
      <c r="E85">
        <f>INDEX(FactorTable!$B$2:$Y$301, MATCH(ROUND(MIN(300,MAX(1,D85)),0), FactorTable!$A$2:$A$301,0), Skills!M12+1)</f>
        <v/>
      </c>
      <c r="F85">
        <f>IF(Skills!N12=TRUE,(Skills!L12/10)*(E85/1000),Skills!L12/10)+Skills!O12</f>
        <v/>
      </c>
      <c r="G85">
        <f>Skills!G12*IF(Skills!H12&gt;0,Skills!I12/Skills!H12,1)</f>
        <v/>
      </c>
      <c r="H85">
        <f>1-(1-Skills!J12/100)^Skills!K12</f>
        <v/>
      </c>
      <c r="I85" t="inlineStr">
        <is>
          <t>1</t>
        </is>
      </c>
      <c r="J85">
        <f>(Inputs!$B$5*(1+Inputs!$B$6/100))*(F85/100)</f>
        <v/>
      </c>
      <c r="K85">
        <f>J85*(1+((Inputs!$B$11*(1+(Inputs!$B$12+1)/100))*0.01+Inputs!$B$13*0.0025)/100)*(1+Inputs!$B$14/100)*(1+IF(Inputs!$B$4="pvp",0,(1-Summary!$B$55)*(Inputs!$B$19+0+Skills!P12+((C90=TRUE)*F90*IF(AND(Inputs!$B$4&lt;&gt;"pvp",Inputs!$B$35&gt;0),(((S90-1)*(Skills!T17*(1+Inputs!$B$33/100))+MIN((Skills!T17*(1+Inputs!$B$33/100)),MAX(0,Inputs!$B$35-((S90-1)*Skills!D17))))/Inputs!$B$35),IF(Inputs!$B$4="pvp",MIN((Skills!T17*(1+Inputs!$B$33/100)),15)/15,(Skills!T17*(1+Inputs!$B$33/100))/Skills!D17)))+((C87=TRUE)*IF(Inputs!$B$4="pvp",20,(1-Summary!$B$55)*(20)+Summary!$B$55*(0))*IF(AND(Inputs!$B$4&lt;&gt;"pvp",Inputs!$B$35&gt;0),(((S87-1)*(Skills!T14*(1+Inputs!$B$33/100))+MIN((Skills!T14*(1+Inputs!$B$33/100)),MAX(0,Inputs!$B$35-((S87-1)*Skills!D14))))/Inputs!$B$35),IF(Inputs!$B$4="pvp",MIN((Skills!T14*(1+Inputs!$B$33/100)),15)/15,(Skills!T14*(1+Inputs!$B$33/100))/Skills!D14))))+Summary!$B$55*(Inputs!$B$20+Skills!Q12+((C90=TRUE)*F90*IF(AND(Inputs!$B$4&lt;&gt;"pvp",Inputs!$B$35&gt;0),(((S90-1)*(Skills!T17*(1+Inputs!$B$33/100))+MIN((Skills!T17*(1+Inputs!$B$33/100)),MAX(0,Inputs!$B$35-((S90-1)*Skills!D17))))/Inputs!$B$35),IF(Inputs!$B$4="pvp",MIN((Skills!T17*(1+Inputs!$B$33/100)),15)/15,(Skills!T17*(1+Inputs!$B$33/100))/Skills!D17)))))/100)*(1+Inputs!$B$15/100)*(5000/(6000+Inputs!$B$7*(1-(Inputs!$B$18+0)/100)))*(1+(Inputs!$B$23+((C98=TRUE)*(F98-Calc!F25))+((C99=TRUE)*(F99-Calc!F26))+B108)/100)*(1+0.75*IF(C84=TRUE,F84,0)/100)*(1+(IF(Skills!A12="DARK_IMPALE",Inputs!$B$16+0,Inputs!$B$17+((C96=TRUE)*(F96-Calc!F23))))/100)*((1+(((C86=TRUE)*F86*IF(AND(Inputs!$B$4&lt;&gt;"pvp",Inputs!$B$35&gt;0),(((S86-1)*(Skills!T13*(1+Inputs!$B$33/100))+MIN((Skills!T13*(1+Inputs!$B$33/100)),MAX(0,Inputs!$B$35-((S86-1)*Skills!D13))))/Inputs!$B$35),IF(Inputs!$B$4="pvp",MIN((Skills!T13*(1+Inputs!$B$33/100)),15)/15,(Skills!T13*(1+Inputs!$B$33/100))/Skills!D13)))+((C87=TRUE)*F87*IF(AND(Inputs!$B$4&lt;&gt;"pvp",Inputs!$B$35&gt;0),(((S87-1)*(Skills!T14*(1+Inputs!$B$33/100))+MIN((Skills!T14*(1+Inputs!$B$33/100)),MAX(0,Inputs!$B$35-((S87-1)*Skills!D14))))/Inputs!$B$35),IF(Inputs!$B$4="pvp",MIN((Skills!T14*(1+Inputs!$B$33/100)),15)/15,(Skills!T14*(1+Inputs!$B$33/100))/Skills!D14)))+((C88=TRUE)*F88*IF(AND(Inputs!$B$4&lt;&gt;"pvp",Inputs!$B$35&gt;0),(((S88-1)*(Skills!T15*(1+Inputs!$B$33/100))+MIN((Skills!T15*(1+Inputs!$B$33/100)),MAX(0,Inputs!$B$35-((S88-1)*Skills!D15))))/Inputs!$B$35),IF(Inputs!$B$4="pvp",MIN((Skills!T15*(1+Inputs!$B$33/100)),15)/15,(Skills!T15*(1+Inputs!$B$33/100))/Skills!D15)))+((C89=TRUE)*F89*IF(AND(Inputs!$B$4&lt;&gt;"pvp",Inputs!$B$35&gt;0),(((S89-1)*(Skills!T16*(1+Inputs!$B$33/100))+MIN((Skills!T16*(1+Inputs!$B$33/100)),MAX(0,Inputs!$B$35-((S89-1)*Skills!D16))))/Inputs!$B$35),IF(Inputs!$B$4="pvp",MIN((Skills!T16*(1+Inputs!$B$33/100)),15)/15,(Skills!T16*(1+Inputs!$B$33/100))/Skills!D16)))+0)/100)*I85)</f>
        <v/>
      </c>
      <c r="L85">
        <f>K85*(MIN(Inputs!$B$21+((C95=TRUE)*(F95-Calc!F22)),Inputs!$B$22+((C97=TRUE)*(F97-Calc!F24)))/100+(Inputs!$B$22+((C97=TRUE)*(F97-Calc!F24)))/100)/2</f>
        <v/>
      </c>
      <c r="M85">
        <f>L85*(1+(Inputs!$B$9+0+B107)/100)</f>
        <v/>
      </c>
      <c r="N85">
        <f>L85*(1-MIN((Inputs!$B$8+0+B102),100)/100)+M85*(MIN((Inputs!$B$8+0+B102),100)/100)</f>
        <v/>
      </c>
      <c r="O85">
        <f>IF(C85,H85*N85*IF(AND(Inputs!$B$4&lt;&gt;"pvp",Inputs!$B$35&gt;0),((Skills!G12*((R85-1)*IF(Skills!H12&gt;0,Skills!I12/Skills!H12,1)+IF(Skills!H12&gt;0,MIN(Skills!I12,MAX(0,Inputs!$B$35-((R85-1)*IF(Inputs!$B$4="pvp",15,MAX(0.1,Skills!D12-IF(Skills!E12=TRUE,Inputs!$B$31,0))))))/Skills!H12,1)))/Inputs!$B$35),G85*Q85)*IF(Inputs!$B$4="pvp",1,(1-Summary!$B$55)*(1)+Summary!$B$55*(MIN(Skills!R12,Inputs!$B$37))),0)</f>
        <v/>
      </c>
      <c r="P85">
        <f>IF(B110=0,0,O85/B110)</f>
        <v/>
      </c>
      <c r="Q85">
        <f>IFERROR(1/IF(Inputs!$B$4="pvp",15,MAX(0.1,Skills!D12-IF(Skills!E12=TRUE,Inputs!$B$31,0))),0)</f>
        <v/>
      </c>
      <c r="R85">
        <f>IF(AND(Inputs!$B$4&lt;&gt;"pvp",Inputs!$B$35&gt;0),(INT(Inputs!$B$35/IF(Inputs!$B$4="pvp",15,MAX(0.1,Skills!D12-IF(Skills!E12=TRUE,Inputs!$B$31,0))))+1),0)</f>
        <v/>
      </c>
      <c r="S85">
        <f>IFERROR(O85/N85,0)</f>
        <v/>
      </c>
    </row>
    <row r="86">
      <c r="A86">
        <f>Skills!A13</f>
        <v/>
      </c>
      <c r="B86">
        <f>Skills!B13</f>
        <v/>
      </c>
      <c r="C86">
        <f>Inputs!$B$3&gt;=69</f>
        <v/>
      </c>
      <c r="D86">
        <f>IF(Skills!C13=1,60+Inputs!$B$24+Inputs!$B$28,IF(Skills!C13=2,90+Inputs!$B$25+Inputs!$B$28,IF(Skills!C13=3,120+Inputs!$B$26+Inputs!$B$28,MAX(0,(Inputs!$B$3-100)*3)+Inputs!$B$27+Inputs!$B$28)))</f>
        <v/>
      </c>
      <c r="E86">
        <f>INDEX(FactorTable!$B$2:$Y$301, MATCH(ROUND(MIN(300,MAX(1,D86)),0), FactorTable!$A$2:$A$301,0), Skills!M13+1)</f>
        <v/>
      </c>
      <c r="F86">
        <f>IF(Skills!N13=TRUE,(Skills!L13/10)*(E86/1000),Skills!L13/10)+Skills!O13</f>
        <v/>
      </c>
      <c r="G86">
        <f>Skills!G13*IF(Skills!H13&gt;0,Skills!I13/Skills!H13,1)</f>
        <v/>
      </c>
      <c r="H86">
        <f>1-(1-Skills!J13/100)^Skills!K13</f>
        <v/>
      </c>
      <c r="I86" t="inlineStr">
        <is>
          <t>1</t>
        </is>
      </c>
      <c r="J86" t="inlineStr"/>
      <c r="K86" t="inlineStr"/>
      <c r="L86" t="inlineStr"/>
      <c r="M86" t="inlineStr"/>
      <c r="N86" t="inlineStr"/>
      <c r="O86" t="n">
        <v>0</v>
      </c>
      <c r="P86">
        <f>IF(B110=0,0,O86/B110)</f>
        <v/>
      </c>
      <c r="Q86">
        <f>IFERROR(1/IF(Inputs!$B$4="pvp",15,MAX(0.1,Skills!D13-IF(Skills!E13=TRUE,Inputs!$B$31,0))),0)</f>
        <v/>
      </c>
      <c r="R86">
        <f>IF(AND(Inputs!$B$4&lt;&gt;"pvp",Inputs!$B$35&gt;0),(INT(Inputs!$B$35/IF(Inputs!$B$4="pvp",15,MAX(0.1,Skills!D13-IF(Skills!E13=TRUE,Inputs!$B$31,0))))+1),0)</f>
        <v/>
      </c>
      <c r="S86">
        <f>IFERROR(O86/N86,0)</f>
        <v/>
      </c>
    </row>
    <row r="87">
      <c r="A87">
        <f>Skills!A14</f>
        <v/>
      </c>
      <c r="B87">
        <f>Skills!B14</f>
        <v/>
      </c>
      <c r="C87">
        <f>Inputs!$B$3&gt;=115</f>
        <v/>
      </c>
      <c r="D87">
        <f>IF(Skills!C14=1,60+Inputs!$B$24+Inputs!$B$28,IF(Skills!C14=2,90+Inputs!$B$25+Inputs!$B$28,IF(Skills!C14=3,120+Inputs!$B$26+Inputs!$B$28,MAX(0,(Inputs!$B$3-100)*3)+Inputs!$B$27+Inputs!$B$28)))</f>
        <v/>
      </c>
      <c r="E87">
        <f>INDEX(FactorTable!$B$2:$Y$301, MATCH(ROUND(MIN(300,MAX(1,D87)),0), FactorTable!$A$2:$A$301,0), Skills!M14+1)</f>
        <v/>
      </c>
      <c r="F87">
        <f>IF(Skills!N14=TRUE,(Skills!L14/10)*(E87/1000),Skills!L14/10)+Skills!O14</f>
        <v/>
      </c>
      <c r="G87">
        <f>Skills!G14*IF(Skills!H14&gt;0,Skills!I14/Skills!H14,1)</f>
        <v/>
      </c>
      <c r="H87">
        <f>1-(1-Skills!J14/100)^Skills!K14</f>
        <v/>
      </c>
      <c r="I87" t="inlineStr">
        <is>
          <t>1</t>
        </is>
      </c>
      <c r="J87" t="inlineStr"/>
      <c r="K87" t="inlineStr"/>
      <c r="L87" t="inlineStr"/>
      <c r="M87" t="inlineStr"/>
      <c r="N87" t="inlineStr"/>
      <c r="O87" t="n">
        <v>0</v>
      </c>
      <c r="P87">
        <f>IF(B110=0,0,O87/B110)</f>
        <v/>
      </c>
      <c r="Q87">
        <f>IFERROR(1/IF(Inputs!$B$4="pvp",15,MAX(0.1,Skills!D14-IF(Skills!E14=TRUE,Inputs!$B$31,0))),0)</f>
        <v/>
      </c>
      <c r="R87">
        <f>IF(AND(Inputs!$B$4&lt;&gt;"pvp",Inputs!$B$35&gt;0),(INT(Inputs!$B$35/IF(Inputs!$B$4="pvp",15,MAX(0.1,Skills!D14-IF(Skills!E14=TRUE,Inputs!$B$31,0))))+1),0)</f>
        <v/>
      </c>
      <c r="S87">
        <f>IFERROR(O87/N87,0)</f>
        <v/>
      </c>
    </row>
    <row r="88">
      <c r="A88">
        <f>Skills!A15</f>
        <v/>
      </c>
      <c r="B88">
        <f>Skills!B15</f>
        <v/>
      </c>
      <c r="C88">
        <f>Inputs!$B$3&gt;=66</f>
        <v/>
      </c>
      <c r="D88">
        <f>IF(Skills!C15=1,60+Inputs!$B$24+Inputs!$B$28,IF(Skills!C15=2,90+Inputs!$B$25+Inputs!$B$28,IF(Skills!C15=3,120+Inputs!$B$26+Inputs!$B$28,MAX(0,(Inputs!$B$3-100)*3)+Inputs!$B$27+Inputs!$B$28)))</f>
        <v/>
      </c>
      <c r="E88">
        <f>INDEX(FactorTable!$B$2:$Y$301, MATCH(ROUND(MIN(300,MAX(1,D88)),0), FactorTable!$A$2:$A$301,0), Skills!M15+1)</f>
        <v/>
      </c>
      <c r="F88">
        <f>IF(Skills!N15=TRUE,(Skills!L15/10)*(E88/1000),Skills!L15/10)+Skills!O15</f>
        <v/>
      </c>
      <c r="G88">
        <f>Skills!G15*IF(Skills!H15&gt;0,Skills!I15/Skills!H15,1)</f>
        <v/>
      </c>
      <c r="H88">
        <f>1-(1-Skills!J15/100)^Skills!K15</f>
        <v/>
      </c>
      <c r="I88" t="inlineStr">
        <is>
          <t>1</t>
        </is>
      </c>
      <c r="J88" t="inlineStr"/>
      <c r="K88" t="inlineStr"/>
      <c r="L88" t="inlineStr"/>
      <c r="M88" t="inlineStr"/>
      <c r="N88" t="inlineStr"/>
      <c r="O88" t="n">
        <v>0</v>
      </c>
      <c r="P88">
        <f>IF(B110=0,0,O88/B110)</f>
        <v/>
      </c>
      <c r="Q88">
        <f>IFERROR(1/IF(Inputs!$B$4="pvp",15,MAX(0.1,Skills!D15-IF(Skills!E15=TRUE,Inputs!$B$31,0))),0)</f>
        <v/>
      </c>
      <c r="R88">
        <f>IF(AND(Inputs!$B$4&lt;&gt;"pvp",Inputs!$B$35&gt;0),(INT(Inputs!$B$35/IF(Inputs!$B$4="pvp",15,MAX(0.1,Skills!D15-IF(Skills!E15=TRUE,Inputs!$B$31,0))))+1),0)</f>
        <v/>
      </c>
      <c r="S88">
        <f>IFERROR(O88/N88,0)</f>
        <v/>
      </c>
    </row>
    <row r="89">
      <c r="A89">
        <f>Skills!A16</f>
        <v/>
      </c>
      <c r="B89">
        <f>Skills!B16</f>
        <v/>
      </c>
      <c r="C89">
        <f>Inputs!$B$3&gt;=45</f>
        <v/>
      </c>
      <c r="D89">
        <f>IF(Skills!C16=1,60+Inputs!$B$24+Inputs!$B$28,IF(Skills!C16=2,90+Inputs!$B$25+Inputs!$B$28,IF(Skills!C16=3,120+Inputs!$B$26+Inputs!$B$28,MAX(0,(Inputs!$B$3-100)*3)+Inputs!$B$27+Inputs!$B$28)))</f>
        <v/>
      </c>
      <c r="E89">
        <f>INDEX(FactorTable!$B$2:$Y$301, MATCH(ROUND(MIN(300,MAX(1,D89)),0), FactorTable!$A$2:$A$301,0), Skills!M16+1)</f>
        <v/>
      </c>
      <c r="F89">
        <f>IF(Skills!N16=TRUE,(Skills!L16/10)*(E89/1000),Skills!L16/10)+Skills!O16</f>
        <v/>
      </c>
      <c r="G89">
        <f>Skills!G16*IF(Skills!H16&gt;0,Skills!I16/Skills!H16,1)</f>
        <v/>
      </c>
      <c r="H89">
        <f>1-(1-Skills!J16/100)^Skills!K16</f>
        <v/>
      </c>
      <c r="I89" t="inlineStr">
        <is>
          <t>1</t>
        </is>
      </c>
      <c r="J89" t="inlineStr"/>
      <c r="K89" t="inlineStr"/>
      <c r="L89" t="inlineStr"/>
      <c r="M89" t="inlineStr"/>
      <c r="N89" t="inlineStr"/>
      <c r="O89" t="n">
        <v>0</v>
      </c>
      <c r="P89">
        <f>IF(B110=0,0,O89/B110)</f>
        <v/>
      </c>
      <c r="Q89">
        <f>IFERROR(1/IF(Inputs!$B$4="pvp",15,MAX(0.1,Skills!D16-IF(Skills!E16=TRUE,Inputs!$B$31,0))),0)</f>
        <v/>
      </c>
      <c r="R89">
        <f>IF(AND(Inputs!$B$4&lt;&gt;"pvp",Inputs!$B$35&gt;0),(INT(Inputs!$B$35/IF(Inputs!$B$4="pvp",15,MAX(0.1,Skills!D16-IF(Skills!E16=TRUE,Inputs!$B$31,0))))+1),0)</f>
        <v/>
      </c>
      <c r="S89">
        <f>IFERROR(O89/N89,0)</f>
        <v/>
      </c>
    </row>
    <row r="90">
      <c r="A90">
        <f>Skills!A17</f>
        <v/>
      </c>
      <c r="B90">
        <f>Skills!B17</f>
        <v/>
      </c>
      <c r="C90">
        <f>Inputs!$B$3&gt;=35</f>
        <v/>
      </c>
      <c r="D90">
        <f>IF(Skills!C17=1,60+Inputs!$B$24+Inputs!$B$28,IF(Skills!C17=2,90+Inputs!$B$25+Inputs!$B$28,IF(Skills!C17=3,120+Inputs!$B$26+Inputs!$B$28,MAX(0,(Inputs!$B$3-100)*3)+Inputs!$B$27+Inputs!$B$28)))</f>
        <v/>
      </c>
      <c r="E90">
        <f>INDEX(FactorTable!$B$2:$Y$301, MATCH(ROUND(MIN(300,MAX(1,D90)),0), FactorTable!$A$2:$A$301,0), Skills!M17+1)</f>
        <v/>
      </c>
      <c r="F90">
        <f>IF(Skills!N17=TRUE,(Skills!L17/10)*(E90/1000),Skills!L17/10)+Skills!O17</f>
        <v/>
      </c>
      <c r="G90">
        <f>Skills!G17*IF(Skills!H17&gt;0,Skills!I17/Skills!H17,1)</f>
        <v/>
      </c>
      <c r="H90">
        <f>1-(1-Skills!J17/100)^Skills!K17</f>
        <v/>
      </c>
      <c r="I90" t="inlineStr">
        <is>
          <t>1</t>
        </is>
      </c>
      <c r="J90" t="inlineStr"/>
      <c r="K90" t="inlineStr"/>
      <c r="L90" t="inlineStr"/>
      <c r="M90" t="inlineStr"/>
      <c r="N90" t="inlineStr"/>
      <c r="O90" t="n">
        <v>0</v>
      </c>
      <c r="P90">
        <f>IF(B110=0,0,O90/B110)</f>
        <v/>
      </c>
      <c r="Q90">
        <f>IFERROR(1/IF(Inputs!$B$4="pvp",15,MAX(0.1,Skills!D17-IF(Skills!E17=TRUE,Inputs!$B$31,0))),0)</f>
        <v/>
      </c>
      <c r="R90">
        <f>IF(AND(Inputs!$B$4&lt;&gt;"pvp",Inputs!$B$35&gt;0),(INT(Inputs!$B$35/IF(Inputs!$B$4="pvp",15,MAX(0.1,Skills!D17-IF(Skills!E17=TRUE,Inputs!$B$31,0))))+1),0)</f>
        <v/>
      </c>
      <c r="S90">
        <f>IFERROR(O90/N90,0)</f>
        <v/>
      </c>
    </row>
    <row r="91">
      <c r="A91">
        <f>Skills!A18</f>
        <v/>
      </c>
      <c r="B91">
        <f>Skills!B18</f>
        <v/>
      </c>
      <c r="C91">
        <f>Inputs!$B$3&gt;=72</f>
        <v/>
      </c>
      <c r="D91">
        <f>IF(Skills!C18=1,60+Inputs!$B$24+Inputs!$B$28,IF(Skills!C18=2,90+Inputs!$B$25+Inputs!$B$28,IF(Skills!C18=3,120+Inputs!$B$26+Inputs!$B$28,MAX(0,(Inputs!$B$3-100)*3)+Inputs!$B$27+Inputs!$B$28)))</f>
        <v/>
      </c>
      <c r="E91">
        <f>INDEX(FactorTable!$B$2:$Y$301, MATCH(ROUND(MIN(300,MAX(1,D91)),0), FactorTable!$A$2:$A$301,0), Skills!M18+1)</f>
        <v/>
      </c>
      <c r="F91">
        <f>IF(Skills!N18=TRUE,(Skills!L18/10)*(E91/1000),Skills!L18/10)+Skills!O18</f>
        <v/>
      </c>
      <c r="G91">
        <f>Skills!G18*IF(Skills!H18&gt;0,Skills!I18/Skills!H18,1)</f>
        <v/>
      </c>
      <c r="H91">
        <f>1-(1-Skills!J18/100)^Skills!K18</f>
        <v/>
      </c>
      <c r="I91" t="inlineStr">
        <is>
          <t>1</t>
        </is>
      </c>
      <c r="J91" t="inlineStr"/>
      <c r="K91" t="inlineStr"/>
      <c r="L91" t="inlineStr"/>
      <c r="M91" t="inlineStr"/>
      <c r="N91" t="inlineStr"/>
      <c r="O91" t="n">
        <v>0</v>
      </c>
      <c r="P91">
        <f>IF(B110=0,0,O91/B110)</f>
        <v/>
      </c>
      <c r="Q91">
        <f>IFERROR(1/IF(Inputs!$B$4="pvp",15,MAX(0.1,Skills!D18-IF(Skills!E18=TRUE,Inputs!$B$31,0))),0)</f>
        <v/>
      </c>
      <c r="R91">
        <f>IF(AND(Inputs!$B$4&lt;&gt;"pvp",Inputs!$B$35&gt;0),(INT(Inputs!$B$35/IF(Inputs!$B$4="pvp",15,MAX(0.1,Skills!D18-IF(Skills!E18=TRUE,Inputs!$B$31,0))))+1),0)</f>
        <v/>
      </c>
      <c r="S91">
        <f>IFERROR(O91/N91,0)</f>
        <v/>
      </c>
    </row>
    <row r="92">
      <c r="A92">
        <f>Skills!A19</f>
        <v/>
      </c>
      <c r="B92">
        <f>Skills!B19</f>
        <v/>
      </c>
      <c r="C92">
        <f>Inputs!$B$3&gt;=72</f>
        <v/>
      </c>
      <c r="D92">
        <f>IF(Skills!C19=1,60+Inputs!$B$24+Inputs!$B$28,IF(Skills!C19=2,90+Inputs!$B$25+Inputs!$B$28,IF(Skills!C19=3,120+Inputs!$B$26+Inputs!$B$28,MAX(0,(Inputs!$B$3-100)*3)+Inputs!$B$27+Inputs!$B$28)))</f>
        <v/>
      </c>
      <c r="E92">
        <f>INDEX(FactorTable!$B$2:$Y$301, MATCH(ROUND(MIN(300,MAX(1,D92)),0), FactorTable!$A$2:$A$301,0), Skills!M19+1)</f>
        <v/>
      </c>
      <c r="F92">
        <f>IF(Skills!N19=TRUE,(Skills!L19/10)*(E92/1000),Skills!L19/10)+Skills!O19</f>
        <v/>
      </c>
      <c r="G92">
        <f>Skills!G19*IF(Skills!H19&gt;0,Skills!I19/Skills!H19,1)</f>
        <v/>
      </c>
      <c r="H92">
        <f>1-(1-Skills!J19/100)^Skills!K19</f>
        <v/>
      </c>
      <c r="I92" t="inlineStr">
        <is>
          <t>1</t>
        </is>
      </c>
      <c r="J92" t="inlineStr"/>
      <c r="K92" t="inlineStr"/>
      <c r="L92" t="inlineStr"/>
      <c r="M92" t="inlineStr"/>
      <c r="N92" t="inlineStr"/>
      <c r="O92" t="n">
        <v>0</v>
      </c>
      <c r="P92">
        <f>IF(B110=0,0,O92/B110)</f>
        <v/>
      </c>
      <c r="Q92">
        <f>IFERROR(1/IF(Inputs!$B$4="pvp",15,MAX(0.1,Skills!D19-IF(Skills!E19=TRUE,Inputs!$B$31,0))),0)</f>
        <v/>
      </c>
      <c r="R92">
        <f>IF(AND(Inputs!$B$4&lt;&gt;"pvp",Inputs!$B$35&gt;0),(INT(Inputs!$B$35/IF(Inputs!$B$4="pvp",15,MAX(0.1,Skills!D19-IF(Skills!E19=TRUE,Inputs!$B$31,0))))+1),0)</f>
        <v/>
      </c>
      <c r="S92">
        <f>IFERROR(O92/N92,0)</f>
        <v/>
      </c>
    </row>
    <row r="93">
      <c r="A93">
        <f>Skills!A20</f>
        <v/>
      </c>
      <c r="B93">
        <f>Skills!B20</f>
        <v/>
      </c>
      <c r="C93">
        <f>TRUE</f>
        <v/>
      </c>
      <c r="D93">
        <f>IF(Skills!C20=1,60+Inputs!$B$24+Inputs!$B$28,IF(Skills!C20=2,90+Inputs!$B$25+Inputs!$B$28,IF(Skills!C20=3,120+Inputs!$B$26+Inputs!$B$28,MAX(0,(Inputs!$B$3-100)*3)+Inputs!$B$27+Inputs!$B$28)))</f>
        <v/>
      </c>
      <c r="E93">
        <f>INDEX(FactorTable!$B$2:$Y$301, MATCH(ROUND(MIN(300,MAX(1,D93)),0), FactorTable!$A$2:$A$301,0), Skills!M20+1)</f>
        <v/>
      </c>
      <c r="F93">
        <f>IF(Skills!N20=TRUE,(Skills!L20/10)*(E93/1000),Skills!L20/10)+Skills!O20</f>
        <v/>
      </c>
      <c r="G93">
        <f>Skills!G20*IF(Skills!H20&gt;0,Skills!I20/Skills!H20,1)</f>
        <v/>
      </c>
      <c r="H93">
        <f>1-(1-Skills!J20/100)^Skills!K20</f>
        <v/>
      </c>
      <c r="I93" t="inlineStr">
        <is>
          <t>1</t>
        </is>
      </c>
      <c r="J93" t="inlineStr"/>
      <c r="K93" t="inlineStr"/>
      <c r="L93" t="inlineStr"/>
      <c r="M93" t="inlineStr"/>
      <c r="N93" t="inlineStr"/>
      <c r="O93" t="n">
        <v>0</v>
      </c>
      <c r="P93">
        <f>IF(B110=0,0,O93/B110)</f>
        <v/>
      </c>
      <c r="Q93">
        <f>IFERROR(1/IF(Inputs!$B$4="pvp",15,MAX(0.1,Skills!D20-IF(Skills!E20=TRUE,Inputs!$B$31,0))),0)</f>
        <v/>
      </c>
      <c r="R93">
        <f>IF(AND(Inputs!$B$4&lt;&gt;"pvp",Inputs!$B$35&gt;0),(INT(Inputs!$B$35/IF(Inputs!$B$4="pvp",15,MAX(0.1,Skills!D20-IF(Skills!E20=TRUE,Inputs!$B$31,0))))+1),0)</f>
        <v/>
      </c>
      <c r="S93">
        <f>IFERROR(O93/N93,0)</f>
        <v/>
      </c>
    </row>
    <row r="94">
      <c r="A94">
        <f>Skills!A21</f>
        <v/>
      </c>
      <c r="B94">
        <f>Skills!B21</f>
        <v/>
      </c>
      <c r="C94">
        <f>Inputs!$B$3&gt;=33</f>
        <v/>
      </c>
      <c r="D94">
        <f>IF(Skills!C21=1,60+Inputs!$B$24+Inputs!$B$28,IF(Skills!C21=2,90+Inputs!$B$25+Inputs!$B$28,IF(Skills!C21=3,120+Inputs!$B$26+Inputs!$B$28,MAX(0,(Inputs!$B$3-100)*3)+Inputs!$B$27+Inputs!$B$28)))</f>
        <v/>
      </c>
      <c r="E94">
        <f>INDEX(FactorTable!$B$2:$Y$301, MATCH(ROUND(MIN(300,MAX(1,D94)),0), FactorTable!$A$2:$A$301,0), Skills!M21+1)</f>
        <v/>
      </c>
      <c r="F94">
        <f>IF(Skills!N21=TRUE,(Skills!L21/10)*(E94/1000),Skills!L21/10)+Skills!O21</f>
        <v/>
      </c>
      <c r="G94">
        <f>Skills!G21*IF(Skills!H21&gt;0,Skills!I21/Skills!H21,1)</f>
        <v/>
      </c>
      <c r="H94">
        <f>1-(1-Skills!J21/100)^Skills!K21</f>
        <v/>
      </c>
      <c r="I94" t="inlineStr">
        <is>
          <t>1</t>
        </is>
      </c>
      <c r="J94" t="inlineStr"/>
      <c r="K94" t="inlineStr"/>
      <c r="L94" t="inlineStr"/>
      <c r="M94" t="inlineStr"/>
      <c r="N94" t="inlineStr"/>
      <c r="O94" t="n">
        <v>0</v>
      </c>
      <c r="P94">
        <f>IF(B110=0,0,O94/B110)</f>
        <v/>
      </c>
      <c r="Q94" t="n">
        <v>0</v>
      </c>
      <c r="R94" t="n">
        <v>0</v>
      </c>
      <c r="S94">
        <f>IFERROR(O94/N94,0)</f>
        <v/>
      </c>
    </row>
    <row r="95">
      <c r="A95">
        <f>Skills!A22</f>
        <v/>
      </c>
      <c r="B95">
        <f>Skills!B22</f>
        <v/>
      </c>
      <c r="C95">
        <f>Inputs!$B$3&gt;=43</f>
        <v/>
      </c>
      <c r="D95">
        <f>IF(Skills!C22=1,60+Inputs!$B$24+Inputs!$B$28,IF(Skills!C22=2,90+Inputs!$B$25+Inputs!$B$28,IF(Skills!C22=3,120+Inputs!$B$26+Inputs!$B$28,MAX(0,(Inputs!$B$3-100)*3)+Inputs!$B$27+Inputs!$B$28)))</f>
        <v/>
      </c>
      <c r="E95">
        <f>INDEX(FactorTable!$B$2:$Y$301, MATCH(ROUND(MIN(300,MAX(1,D95)),0), FactorTable!$A$2:$A$301,0), Skills!M22+1)</f>
        <v/>
      </c>
      <c r="F95">
        <f>IF(Skills!N22=TRUE,(Skills!L22/10)*(E95/1000),Skills!L22/10)+Skills!O22</f>
        <v/>
      </c>
      <c r="G95">
        <f>Skills!G22*IF(Skills!H22&gt;0,Skills!I22/Skills!H22,1)</f>
        <v/>
      </c>
      <c r="H95">
        <f>1-(1-Skills!J22/100)^Skills!K22</f>
        <v/>
      </c>
      <c r="I95" t="inlineStr">
        <is>
          <t>1</t>
        </is>
      </c>
      <c r="J95" t="inlineStr"/>
      <c r="K95" t="inlineStr"/>
      <c r="L95" t="inlineStr"/>
      <c r="M95" t="inlineStr"/>
      <c r="N95" t="inlineStr"/>
      <c r="O95" t="n">
        <v>0</v>
      </c>
      <c r="P95">
        <f>IF(B110=0,0,O95/B110)</f>
        <v/>
      </c>
      <c r="Q95" t="n">
        <v>0</v>
      </c>
      <c r="R95" t="n">
        <v>0</v>
      </c>
      <c r="S95">
        <f>IFERROR(O95/N95,0)</f>
        <v/>
      </c>
    </row>
    <row r="96">
      <c r="A96">
        <f>Skills!A23</f>
        <v/>
      </c>
      <c r="B96">
        <f>Skills!B23</f>
        <v/>
      </c>
      <c r="C96">
        <f>Inputs!$B$3&gt;=120</f>
        <v/>
      </c>
      <c r="D96">
        <f>IF(Skills!C23=1,60+Inputs!$B$24+Inputs!$B$28,IF(Skills!C23=2,90+Inputs!$B$25+Inputs!$B$28,IF(Skills!C23=3,120+Inputs!$B$26+Inputs!$B$28,MAX(0,(Inputs!$B$3-100)*3)+Inputs!$B$27+Inputs!$B$28)))</f>
        <v/>
      </c>
      <c r="E96">
        <f>INDEX(FactorTable!$B$2:$Y$301, MATCH(ROUND(MIN(300,MAX(1,D96)),0), FactorTable!$A$2:$A$301,0), Skills!M23+1)</f>
        <v/>
      </c>
      <c r="F96">
        <f>IF(Skills!N23=TRUE,(Skills!L23/10)*(E96/1000),Skills!L23/10)+Skills!O23</f>
        <v/>
      </c>
      <c r="G96">
        <f>Skills!G23*IF(Skills!H23&gt;0,Skills!I23/Skills!H23,1)</f>
        <v/>
      </c>
      <c r="H96">
        <f>1-(1-Skills!J23/100)^Skills!K23</f>
        <v/>
      </c>
      <c r="I96" t="inlineStr">
        <is>
          <t>1</t>
        </is>
      </c>
      <c r="J96" t="inlineStr"/>
      <c r="K96" t="inlineStr"/>
      <c r="L96" t="inlineStr"/>
      <c r="M96" t="inlineStr"/>
      <c r="N96" t="inlineStr"/>
      <c r="O96" t="n">
        <v>0</v>
      </c>
      <c r="P96">
        <f>IF(B110=0,0,O96/B110)</f>
        <v/>
      </c>
      <c r="Q96" t="n">
        <v>0</v>
      </c>
      <c r="R96" t="n">
        <v>0</v>
      </c>
      <c r="S96">
        <f>IFERROR(O96/N96,0)</f>
        <v/>
      </c>
    </row>
    <row r="97">
      <c r="A97">
        <f>Skills!A24</f>
        <v/>
      </c>
      <c r="B97">
        <f>Skills!B24</f>
        <v/>
      </c>
      <c r="C97">
        <f>Inputs!$B$3&gt;=120</f>
        <v/>
      </c>
      <c r="D97">
        <f>IF(Skills!C24=1,60+Inputs!$B$24+Inputs!$B$28,IF(Skills!C24=2,90+Inputs!$B$25+Inputs!$B$28,IF(Skills!C24=3,120+Inputs!$B$26+Inputs!$B$28,MAX(0,(Inputs!$B$3-100)*3)+Inputs!$B$27+Inputs!$B$28)))</f>
        <v/>
      </c>
      <c r="E97">
        <f>INDEX(FactorTable!$B$2:$Y$301, MATCH(ROUND(MIN(300,MAX(1,D97)),0), FactorTable!$A$2:$A$301,0), Skills!M24+1)</f>
        <v/>
      </c>
      <c r="F97">
        <f>IF(Skills!N24=TRUE,(Skills!L24/10)*(E97/1000),Skills!L24/10)+Skills!O24</f>
        <v/>
      </c>
      <c r="G97">
        <f>Skills!G24*IF(Skills!H24&gt;0,Skills!I24/Skills!H24,1)</f>
        <v/>
      </c>
      <c r="H97">
        <f>1-(1-Skills!J24/100)^Skills!K24</f>
        <v/>
      </c>
      <c r="I97" t="inlineStr">
        <is>
          <t>1</t>
        </is>
      </c>
      <c r="J97" t="inlineStr"/>
      <c r="K97" t="inlineStr"/>
      <c r="L97" t="inlineStr"/>
      <c r="M97" t="inlineStr"/>
      <c r="N97" t="inlineStr"/>
      <c r="O97" t="n">
        <v>0</v>
      </c>
      <c r="P97">
        <f>IF(B110=0,0,O97/B110)</f>
        <v/>
      </c>
      <c r="Q97" t="n">
        <v>0</v>
      </c>
      <c r="R97" t="n">
        <v>0</v>
      </c>
      <c r="S97">
        <f>IFERROR(O97/N97,0)</f>
        <v/>
      </c>
    </row>
    <row r="98">
      <c r="A98">
        <f>Skills!A25</f>
        <v/>
      </c>
      <c r="B98">
        <f>Skills!B25</f>
        <v/>
      </c>
      <c r="C98">
        <f>Inputs!$B$3&gt;=125</f>
        <v/>
      </c>
      <c r="D98">
        <f>IF(Skills!C25=1,60+Inputs!$B$24+Inputs!$B$28,IF(Skills!C25=2,90+Inputs!$B$25+Inputs!$B$28,IF(Skills!C25=3,120+Inputs!$B$26+Inputs!$B$28,MAX(0,(Inputs!$B$3-100)*3)+Inputs!$B$27+Inputs!$B$28)))</f>
        <v/>
      </c>
      <c r="E98">
        <f>INDEX(FactorTable!$B$2:$Y$301, MATCH(ROUND(MIN(300,MAX(1,D98)),0), FactorTable!$A$2:$A$301,0), Skills!M25+1)</f>
        <v/>
      </c>
      <c r="F98">
        <f>IF(Skills!N25=TRUE,(Skills!L25/10)*(E98/1000),Skills!L25/10)+Skills!O25</f>
        <v/>
      </c>
      <c r="G98">
        <f>Skills!G25*IF(Skills!H25&gt;0,Skills!I25/Skills!H25,1)</f>
        <v/>
      </c>
      <c r="H98">
        <f>1-(1-Skills!J25/100)^Skills!K25</f>
        <v/>
      </c>
      <c r="I98" t="inlineStr">
        <is>
          <t>1</t>
        </is>
      </c>
      <c r="J98" t="inlineStr"/>
      <c r="K98" t="inlineStr"/>
      <c r="L98" t="inlineStr"/>
      <c r="M98" t="inlineStr"/>
      <c r="N98" t="inlineStr"/>
      <c r="O98" t="n">
        <v>0</v>
      </c>
      <c r="P98">
        <f>IF(B110=0,0,O98/B110)</f>
        <v/>
      </c>
      <c r="Q98" t="n">
        <v>0</v>
      </c>
      <c r="R98" t="n">
        <v>0</v>
      </c>
      <c r="S98">
        <f>IFERROR(O98/N98,0)</f>
        <v/>
      </c>
    </row>
    <row r="99">
      <c r="A99">
        <f>Skills!A26</f>
        <v/>
      </c>
      <c r="B99">
        <f>Skills!B26</f>
        <v/>
      </c>
      <c r="C99">
        <f>Inputs!$B$3&gt;=107</f>
        <v/>
      </c>
      <c r="D99">
        <f>IF(Skills!C26=1,60+Inputs!$B$24+Inputs!$B$28,IF(Skills!C26=2,90+Inputs!$B$25+Inputs!$B$28,IF(Skills!C26=3,120+Inputs!$B$26+Inputs!$B$28,MAX(0,(Inputs!$B$3-100)*3)+Inputs!$B$27+Inputs!$B$28)))</f>
        <v/>
      </c>
      <c r="E99">
        <f>INDEX(FactorTable!$B$2:$Y$301, MATCH(ROUND(MIN(300,MAX(1,D99)),0), FactorTable!$A$2:$A$301,0), Skills!M26+1)</f>
        <v/>
      </c>
      <c r="F99">
        <f>IF(Skills!N26=TRUE,(Skills!L26/10)*(E99/1000),Skills!L26/10)+Skills!O26</f>
        <v/>
      </c>
      <c r="G99">
        <f>Skills!G26*IF(Skills!H26&gt;0,Skills!I26/Skills!H26,1)</f>
        <v/>
      </c>
      <c r="H99">
        <f>1-(1-Skills!J26/100)^Skills!K26</f>
        <v/>
      </c>
      <c r="I99" t="inlineStr">
        <is>
          <t>1</t>
        </is>
      </c>
      <c r="J99" t="inlineStr"/>
      <c r="K99" t="inlineStr"/>
      <c r="L99" t="inlineStr"/>
      <c r="M99" t="inlineStr"/>
      <c r="N99" t="inlineStr"/>
      <c r="O99" t="n">
        <v>0</v>
      </c>
      <c r="P99">
        <f>IF(B110=0,0,O99/B110)</f>
        <v/>
      </c>
      <c r="Q99" t="n">
        <v>0</v>
      </c>
      <c r="R99" t="n">
        <v>0</v>
      </c>
      <c r="S99">
        <f>IFERROR(O99/N99,0)</f>
        <v/>
      </c>
    </row>
    <row r="101">
      <c r="A101" t="inlineStr">
        <is>
          <t>Attack% Bucket Multiplier</t>
        </is>
      </c>
      <c r="B101">
        <f>(1+(((C86=TRUE)*F86*IF(AND(Inputs!$B$4&lt;&gt;"pvp",Inputs!$B$35&gt;0),(((S86-1)*(Skills!T13*(1+Inputs!$B$33/100))+MIN((Skills!T13*(1+Inputs!$B$33/100)),MAX(0,Inputs!$B$35-((S86-1)*Skills!D13))))/Inputs!$B$35),IF(Inputs!$B$4="pvp",MIN((Skills!T13*(1+Inputs!$B$33/100)),15)/15,(Skills!T13*(1+Inputs!$B$33/100))/Skills!D13)))+((C87=TRUE)*F87*IF(AND(Inputs!$B$4&lt;&gt;"pvp",Inputs!$B$35&gt;0),(((S87-1)*(Skills!T14*(1+Inputs!$B$33/100))+MIN((Skills!T14*(1+Inputs!$B$33/100)),MAX(0,Inputs!$B$35-((S87-1)*Skills!D14))))/Inputs!$B$35),IF(Inputs!$B$4="pvp",MIN((Skills!T14*(1+Inputs!$B$33/100)),15)/15,(Skills!T14*(1+Inputs!$B$33/100))/Skills!D14)))+((C88=TRUE)*F88*IF(AND(Inputs!$B$4&lt;&gt;"pvp",Inputs!$B$35&gt;0),(((S88-1)*(Skills!T15*(1+Inputs!$B$33/100))+MIN((Skills!T15*(1+Inputs!$B$33/100)),MAX(0,Inputs!$B$35-((S88-1)*Skills!D15))))/Inputs!$B$35),IF(Inputs!$B$4="pvp",MIN((Skills!T15*(1+Inputs!$B$33/100)),15)/15,(Skills!T15*(1+Inputs!$B$33/100))/Skills!D15)))+((C89=TRUE)*F89*IF(AND(Inputs!$B$4&lt;&gt;"pvp",Inputs!$B$35&gt;0),(((S89-1)*(Skills!T16*(1+Inputs!$B$33/100))+MIN((Skills!T16*(1+Inputs!$B$33/100)),MAX(0,Inputs!$B$35-((S89-1)*Skills!D16))))/Inputs!$B$35),IF(Inputs!$B$4="pvp",MIN((Skills!T16*(1+Inputs!$B$33/100)),15)/15,(Skills!T16*(1+Inputs!$B$33/100))/Skills!D16)))+0)/100)</f>
        <v/>
      </c>
    </row>
    <row r="102">
      <c r="A102" t="inlineStr">
        <is>
          <t>Global Crit Rate Bonus % (Lord of Darkness)</t>
        </is>
      </c>
      <c r="B102">
        <f>((C91=TRUE)*F91*(Skills!J18/100)*IF(AND(Inputs!$B$4&lt;&gt;"pvp",Inputs!$B$35&gt;0),(((S91-1)*(Skills!T18*(1+Inputs!$B$33/100))+MIN((Skills!T18*(1+Inputs!$B$33/100)),MAX(0,Inputs!$B$35-((S91-1)*Skills!D18))))/Inputs!$B$35),IF(Inputs!$B$4="pvp",MIN((Skills!T18*(1+Inputs!$B$33/100)),15)/15,(Skills!T18*(1+Inputs!$B$33/100))/Skills!D18)))</f>
        <v/>
      </c>
    </row>
    <row r="103">
      <c r="A103" t="inlineStr">
        <is>
          <t>Attack Speed Buff Bonus %</t>
        </is>
      </c>
      <c r="B103">
        <f>((C93=TRUE)*F93*IF(AND(Inputs!$B$4&lt;&gt;"pvp",Inputs!$B$35&gt;0),(((S93-1)*(Skills!T20*(1+Inputs!$B$33/100))+MIN((Skills!T20*(1+Inputs!$B$33/100)),MAX(0,Inputs!$B$35-((S93-1)*Skills!D20))))/Inputs!$B$35),IF(Inputs!$B$4="pvp",MIN((Skills!T20*(1+Inputs!$B$33/100)),15)/15,(Skills!T20*(1+Inputs!$B$33/100))/Skills!D20)))</f>
        <v/>
      </c>
    </row>
    <row r="104">
      <c r="A104" t="inlineStr">
        <is>
          <t>Actions Per Second</t>
        </is>
      </c>
      <c r="B104">
        <f>1+MIN(150,150*(1-(1-(Inputs!$B$10+((C94=TRUE)*(F94-Calc!F21)))/150)*(1-B103/150)))/100</f>
        <v/>
      </c>
    </row>
    <row r="105">
      <c r="A105" t="inlineStr">
        <is>
          <t>Skill + Buff Cast Rate</t>
        </is>
      </c>
      <c r="B105">
        <f>IF(AND(Inputs!$B$4&lt;&gt;"pvp",Inputs!$B$35&gt;0),SUMPRODUCT((Skills!E2:E26=TRUE)*(C75:C99=TRUE)*R75:R99*Skills!F2:F26)/Inputs!$B$35,SUMPRODUCT((Skills!E2:E26=TRUE)*(C75:C99=TRUE)*Q75:Q99*Skills!F2:F26))</f>
        <v/>
      </c>
    </row>
    <row r="106">
      <c r="A106" t="inlineStr">
        <is>
          <t>Dark Impale Casts Per Second</t>
        </is>
      </c>
      <c r="B106">
        <f>MAX(0,B104-B105)</f>
        <v/>
      </c>
    </row>
    <row r="107">
      <c r="A107" t="inlineStr">
        <is>
          <t>Global Critical Damage Bonus % (Lord of Darkness)</t>
        </is>
      </c>
      <c r="B107">
        <f>((C92=TRUE)*F92*(Skills!J19/100)*IF(AND(Inputs!$B$4&lt;&gt;"pvp",Inputs!$B$35&gt;0),(((S92-1)*(Skills!T19*(1+Inputs!$B$33/100))+MIN((Skills!T19*(1+Inputs!$B$33/100)),MAX(0,Inputs!$B$35-((S92-1)*Skills!D19))))/Inputs!$B$35),IF(Inputs!$B$4="pvp",MIN((Skills!T19*(1+Inputs!$B$33/100)),15)/15,(Skills!T19*(1+Inputs!$B$33/100))/Skills!D19)))</f>
        <v/>
      </c>
    </row>
    <row r="108">
      <c r="A108" t="inlineStr">
        <is>
          <t>Global Final Damage Bonus % (unused)</t>
        </is>
      </c>
      <c r="B108" t="n">
        <v>0</v>
      </c>
    </row>
    <row r="110">
      <c r="A110" s="5" t="inlineStr">
        <is>
          <t>TOTAL DPS</t>
        </is>
      </c>
      <c r="B110" s="5">
        <f>SUM(O75:O99)</f>
        <v/>
      </c>
    </row>
    <row r="113">
      <c r="A113" s="5" t="inlineStr">
        <is>
          <t>Stat: DEX</t>
        </is>
      </c>
    </row>
    <row r="114">
      <c r="A114" s="8" t="inlineStr">
        <is>
          <t>Key</t>
        </is>
      </c>
      <c r="B114" s="8" t="inlineStr">
        <is>
          <t>Name</t>
        </is>
      </c>
      <c r="C114" s="8" t="inlineStr">
        <is>
          <t>Unlocked</t>
        </is>
      </c>
      <c r="D114" s="8" t="inlineStr">
        <is>
          <t>InputLevel</t>
        </is>
      </c>
      <c r="E114" s="8" t="inlineStr">
        <is>
          <t>Factor</t>
        </is>
      </c>
      <c r="F114" s="8" t="inlineStr">
        <is>
          <t>CoefficientPercent</t>
        </is>
      </c>
      <c r="G114" s="8" t="inlineStr">
        <is>
          <t>EffectiveHits</t>
        </is>
      </c>
      <c r="H114" s="8" t="inlineStr">
        <is>
          <t>ProcProbability</t>
        </is>
      </c>
      <c r="I114" s="8" t="inlineStr">
        <is>
          <t>MapleHeroMultiplier</t>
        </is>
      </c>
      <c r="J114" s="8" t="inlineStr">
        <is>
          <t>BaseDamage</t>
        </is>
      </c>
      <c r="K114" s="8" t="inlineStr">
        <is>
          <t>BaseHitDamage</t>
        </is>
      </c>
      <c r="L114" s="8" t="inlineStr">
        <is>
          <t>NonCritAvg</t>
        </is>
      </c>
      <c r="M114" s="8" t="inlineStr">
        <is>
          <t>CritAvg</t>
        </is>
      </c>
      <c r="N114" s="8" t="inlineStr">
        <is>
          <t>ExpectedDamage(perHit)</t>
        </is>
      </c>
      <c r="O114" s="8" t="inlineStr">
        <is>
          <t>DPS</t>
        </is>
      </c>
      <c r="P114" s="8" t="inlineStr">
        <is>
          <t>% of Total</t>
        </is>
      </c>
      <c r="Q114" s="8" t="inlineStr">
        <is>
          <t>InvCooldown</t>
        </is>
      </c>
      <c r="R114" s="8" t="inlineStr">
        <is>
          <t>CastsInFight</t>
        </is>
      </c>
      <c r="S114" s="8" t="inlineStr">
        <is>
          <t>HitRate(perSec)</t>
        </is>
      </c>
      <c r="U114" t="inlineStr">
        <is>
          <t>helpers</t>
        </is>
      </c>
    </row>
    <row r="115">
      <c r="A115">
        <f>Skills!A2</f>
        <v/>
      </c>
      <c r="B115">
        <f>Skills!B2</f>
        <v/>
      </c>
      <c r="C115">
        <f>Inputs!$B$3&gt;=100</f>
        <v/>
      </c>
      <c r="D115" t="inlineStr"/>
      <c r="E115" t="inlineStr"/>
      <c r="F115">
        <f>U117+Skills!O2</f>
        <v/>
      </c>
      <c r="G115">
        <f>Skills!G2*IF(Skills!H2&gt;0,Skills!I2/Skills!H2,1)</f>
        <v/>
      </c>
      <c r="H115">
        <f>1-(1-Skills!J2/100)^Skills!K2</f>
        <v/>
      </c>
      <c r="I115" t="inlineStr">
        <is>
          <t>1</t>
        </is>
      </c>
      <c r="J115">
        <f>(Inputs!$B$5*(1+Inputs!$B$6/100))*(F115/100)</f>
        <v/>
      </c>
      <c r="K115">
        <f>J115*(1+((Inputs!$B$11*(1+Inputs!$B$12/100))*0.01+(Inputs!$B$13+1)*0.0025)/100)*(1+Inputs!$B$14/100)*(1+IF(Inputs!$B$4="pvp",0,(1-Summary!$B$55)*(Inputs!$B$19+0+Skills!P2+((C130=TRUE)*F130*IF(AND(Inputs!$B$4&lt;&gt;"pvp",Inputs!$B$35&gt;0),(((S130-1)*(Skills!T17*(1+Inputs!$B$33/100))+MIN((Skills!T17*(1+Inputs!$B$33/100)),MAX(0,Inputs!$B$35-((S130-1)*Skills!D17))))/Inputs!$B$35),IF(Inputs!$B$4="pvp",MIN((Skills!T17*(1+Inputs!$B$33/100)),15)/15,(Skills!T17*(1+Inputs!$B$33/100))/Skills!D17)))+((C127=TRUE)*IF(Inputs!$B$4="pvp",20,(1-Summary!$B$55)*(20)+Summary!$B$55*(0))*IF(AND(Inputs!$B$4&lt;&gt;"pvp",Inputs!$B$35&gt;0),(((S127-1)*(Skills!T14*(1+Inputs!$B$33/100))+MIN((Skills!T14*(1+Inputs!$B$33/100)),MAX(0,Inputs!$B$35-((S127-1)*Skills!D14))))/Inputs!$B$35),IF(Inputs!$B$4="pvp",MIN((Skills!T14*(1+Inputs!$B$33/100)),15)/15,(Skills!T14*(1+Inputs!$B$33/100))/Skills!D14))))+Summary!$B$55*(Inputs!$B$20+Skills!Q2+((C130=TRUE)*F130*IF(AND(Inputs!$B$4&lt;&gt;"pvp",Inputs!$B$35&gt;0),(((S130-1)*(Skills!T17*(1+Inputs!$B$33/100))+MIN((Skills!T17*(1+Inputs!$B$33/100)),MAX(0,Inputs!$B$35-((S130-1)*Skills!D17))))/Inputs!$B$35),IF(Inputs!$B$4="pvp",MIN((Skills!T17*(1+Inputs!$B$33/100)),15)/15,(Skills!T17*(1+Inputs!$B$33/100))/Skills!D17)))))/100)*(1+Inputs!$B$15/100)*(5000/(6000+Inputs!$B$7*(1-(Inputs!$B$18+0)/100)))*(1+(Inputs!$B$23+((C138=TRUE)*(F138-Calc!F25))+((C139=TRUE)*(F139-Calc!F26))+B148)/100)*(1+(IF(Skills!A2="DARK_IMPALE",Inputs!$B$16+0,Inputs!$B$17+((C136=TRUE)*(F136-Calc!F23))))/100)*((1+(((C126=TRUE)*F126*IF(AND(Inputs!$B$4&lt;&gt;"pvp",Inputs!$B$35&gt;0),(((S126-1)*(Skills!T13*(1+Inputs!$B$33/100))+MIN((Skills!T13*(1+Inputs!$B$33/100)),MAX(0,Inputs!$B$35-((S126-1)*Skills!D13))))/Inputs!$B$35),IF(Inputs!$B$4="pvp",MIN((Skills!T13*(1+Inputs!$B$33/100)),15)/15,(Skills!T13*(1+Inputs!$B$33/100))/Skills!D13)))+((C127=TRUE)*F127*IF(AND(Inputs!$B$4&lt;&gt;"pvp",Inputs!$B$35&gt;0),(((S127-1)*(Skills!T14*(1+Inputs!$B$33/100))+MIN((Skills!T14*(1+Inputs!$B$33/100)),MAX(0,Inputs!$B$35-((S127-1)*Skills!D14))))/Inputs!$B$35),IF(Inputs!$B$4="pvp",MIN((Skills!T14*(1+Inputs!$B$33/100)),15)/15,(Skills!T14*(1+Inputs!$B$33/100))/Skills!D14)))+((C128=TRUE)*F128*IF(AND(Inputs!$B$4&lt;&gt;"pvp",Inputs!$B$35&gt;0),(((S128-1)*(Skills!T15*(1+Inputs!$B$33/100))+MIN((Skills!T15*(1+Inputs!$B$33/100)),MAX(0,Inputs!$B$35-((S128-1)*Skills!D15))))/Inputs!$B$35),IF(Inputs!$B$4="pvp",MIN((Skills!T15*(1+Inputs!$B$33/100)),15)/15,(Skills!T15*(1+Inputs!$B$33/100))/Skills!D15)))+((C129=TRUE)*F129*IF(AND(Inputs!$B$4&lt;&gt;"pvp",Inputs!$B$35&gt;0),(((S129-1)*(Skills!T16*(1+Inputs!$B$33/100))+MIN((Skills!T16*(1+Inputs!$B$33/100)),MAX(0,Inputs!$B$35-((S129-1)*Skills!D16))))/Inputs!$B$35),IF(Inputs!$B$4="pvp",MIN((Skills!T16*(1+Inputs!$B$33/100)),15)/15,(Skills!T16*(1+Inputs!$B$33/100))/Skills!D16)))+0)/100)*I115)</f>
        <v/>
      </c>
      <c r="L115">
        <f>K115*(MIN(Inputs!$B$21+((C135=TRUE)*(F135-Calc!F22)),Inputs!$B$22+((C137=TRUE)*(F137-Calc!F24)))/100+(Inputs!$B$22+((C137=TRUE)*(F137-Calc!F24)))/100)/2</f>
        <v/>
      </c>
      <c r="M115">
        <f>L115*(1+(Inputs!$B$9+0+B147)/100)</f>
        <v/>
      </c>
      <c r="N115">
        <f>L115*(1-MIN((Inputs!$B$8+0+B142),100)/100)+M115*(MIN((Inputs!$B$8+0+B142),100)/100)</f>
        <v/>
      </c>
      <c r="O115">
        <f>IF(C115,Skills!G2*N115*B146*IF(Inputs!$B$4="pvp",1,(1-Summary!$B$55)*(1)+Summary!$B$55*(MIN((6+Inputs!$B$32),Inputs!$B$37))),0)</f>
        <v/>
      </c>
      <c r="P115">
        <f>IF(B150=0,0,O115/B150)</f>
        <v/>
      </c>
      <c r="Q115" t="n">
        <v>0</v>
      </c>
      <c r="R115" t="n">
        <v>0</v>
      </c>
      <c r="S115">
        <f>IFERROR(O115/N115,0)</f>
        <v/>
      </c>
      <c r="U115">
        <f>MAX(0,(Inputs!$B$3-100)*3)+Inputs!$B$27+Inputs!$B$28</f>
        <v/>
      </c>
    </row>
    <row r="116">
      <c r="A116">
        <f>Skills!A3</f>
        <v/>
      </c>
      <c r="B116">
        <f>Skills!B3</f>
        <v/>
      </c>
      <c r="C116">
        <f>Inputs!$B$3&gt;=50</f>
        <v/>
      </c>
      <c r="D116">
        <f>IF(Skills!C3=1,60+Inputs!$B$24+Inputs!$B$28,IF(Skills!C3=2,90+Inputs!$B$25+Inputs!$B$28,IF(Skills!C3=3,120+Inputs!$B$26+Inputs!$B$28,MAX(0,(Inputs!$B$3-100)*3)+Inputs!$B$27+Inputs!$B$28)))</f>
        <v/>
      </c>
      <c r="E116">
        <f>INDEX(FactorTable!$B$2:$Y$301, MATCH(ROUND(MIN(300,MAX(1,D116)),0), FactorTable!$A$2:$A$301,0), Skills!M3+1)</f>
        <v/>
      </c>
      <c r="F116">
        <f>IF(Skills!N3=TRUE,(Skills!L3/10)*(E116/1000),Skills!L3/10)+Skills!O3</f>
        <v/>
      </c>
      <c r="G116" t="inlineStr"/>
      <c r="H116" t="inlineStr"/>
      <c r="I116" t="inlineStr">
        <is>
          <t>1</t>
        </is>
      </c>
      <c r="J116" t="inlineStr"/>
      <c r="K116" t="inlineStr"/>
      <c r="L116" t="inlineStr"/>
      <c r="M116" t="inlineStr"/>
      <c r="N116" t="inlineStr"/>
      <c r="O116" t="inlineStr"/>
      <c r="P116" t="inlineStr"/>
      <c r="Q116" t="inlineStr"/>
      <c r="R116" t="inlineStr"/>
      <c r="S116" t="inlineStr"/>
      <c r="U116">
        <f>INDEX(FactorTable!$B$2:$Y$301, MATCH(ROUND(MIN(300,MAX(1,U115)),0), FactorTable!$A$2:$A$301,0), 22)</f>
        <v/>
      </c>
    </row>
    <row r="117">
      <c r="A117">
        <f>Skills!A4</f>
        <v/>
      </c>
      <c r="B117">
        <f>Skills!B4</f>
        <v/>
      </c>
      <c r="C117">
        <f>Inputs!$B$3&gt;=105</f>
        <v/>
      </c>
      <c r="D117">
        <f>IF(Skills!C4=1,60+Inputs!$B$24+Inputs!$B$28,IF(Skills!C4=2,90+Inputs!$B$25+Inputs!$B$28,IF(Skills!C4=3,120+Inputs!$B$26+Inputs!$B$28,MAX(0,(Inputs!$B$3-100)*3)+Inputs!$B$27+Inputs!$B$28)))</f>
        <v/>
      </c>
      <c r="E117">
        <f>INDEX(FactorTable!$B$2:$Y$301, MATCH(ROUND(MIN(300,MAX(1,D117)),0), FactorTable!$A$2:$A$301,0), Skills!M4+1)</f>
        <v/>
      </c>
      <c r="F117">
        <f>IF(Skills!N4=TRUE,(Skills!L4/10)*(E117/1000),Skills!L4/10)+Skills!O4</f>
        <v/>
      </c>
      <c r="G117" t="inlineStr"/>
      <c r="H117" t="inlineStr"/>
      <c r="I117" t="inlineStr">
        <is>
          <t>1</t>
        </is>
      </c>
      <c r="J117" t="inlineStr"/>
      <c r="K117" t="inlineStr"/>
      <c r="L117" t="inlineStr"/>
      <c r="M117" t="inlineStr"/>
      <c r="N117" t="inlineStr"/>
      <c r="O117" t="inlineStr"/>
      <c r="P117" t="inlineStr"/>
      <c r="Q117" t="inlineStr"/>
      <c r="R117" t="inlineStr"/>
      <c r="S117" t="inlineStr"/>
      <c r="U117">
        <f>290*U116/1000</f>
        <v/>
      </c>
    </row>
    <row r="118">
      <c r="A118">
        <f>Skills!A5</f>
        <v/>
      </c>
      <c r="B118">
        <f>Skills!B5</f>
        <v/>
      </c>
      <c r="C118">
        <f>Inputs!$B$3&gt;=117</f>
        <v/>
      </c>
      <c r="D118">
        <f>IF(Skills!C5=1,60+Inputs!$B$24+Inputs!$B$28,IF(Skills!C5=2,90+Inputs!$B$25+Inputs!$B$28,IF(Skills!C5=3,120+Inputs!$B$26+Inputs!$B$28,MAX(0,(Inputs!$B$3-100)*3)+Inputs!$B$27+Inputs!$B$28)))</f>
        <v/>
      </c>
      <c r="E118">
        <f>INDEX(FactorTable!$B$2:$Y$301, MATCH(ROUND(MIN(300,MAX(1,D118)),0), FactorTable!$A$2:$A$301,0), Skills!M5+1)</f>
        <v/>
      </c>
      <c r="F118">
        <f>IF(Skills!N5=TRUE,(Skills!L5/10)*(E118/1000),Skills!L5/10)+Skills!O5</f>
        <v/>
      </c>
      <c r="G118">
        <f>Skills!G5*IF(Skills!H5&gt;0,Skills!I5/Skills!H5,1)</f>
        <v/>
      </c>
      <c r="H118">
        <f>1-(1-Skills!J5/100)^Skills!K5</f>
        <v/>
      </c>
      <c r="I118" t="inlineStr">
        <is>
          <t>1</t>
        </is>
      </c>
      <c r="J118">
        <f>(Inputs!$B$5*(1+Inputs!$B$6/100))*(F118/100)</f>
        <v/>
      </c>
      <c r="K118">
        <f>J118*(1+((Inputs!$B$11*(1+Inputs!$B$12/100))*0.01+(Inputs!$B$13+1)*0.0025)/100)*(1+Inputs!$B$14/100)*(1+IF(Inputs!$B$4="pvp",0,(1-Summary!$B$55)*(Inputs!$B$19+0+Skills!P5+((C130=TRUE)*F130*IF(AND(Inputs!$B$4&lt;&gt;"pvp",Inputs!$B$35&gt;0),(((S130-1)*(Skills!T17*(1+Inputs!$B$33/100))+MIN((Skills!T17*(1+Inputs!$B$33/100)),MAX(0,Inputs!$B$35-((S130-1)*Skills!D17))))/Inputs!$B$35),IF(Inputs!$B$4="pvp",MIN((Skills!T17*(1+Inputs!$B$33/100)),15)/15,(Skills!T17*(1+Inputs!$B$33/100))/Skills!D17)))+((C127=TRUE)*IF(Inputs!$B$4="pvp",20,(1-Summary!$B$55)*(20)+Summary!$B$55*(0))*IF(AND(Inputs!$B$4&lt;&gt;"pvp",Inputs!$B$35&gt;0),(((S127-1)*(Skills!T14*(1+Inputs!$B$33/100))+MIN((Skills!T14*(1+Inputs!$B$33/100)),MAX(0,Inputs!$B$35-((S127-1)*Skills!D14))))/Inputs!$B$35),IF(Inputs!$B$4="pvp",MIN((Skills!T14*(1+Inputs!$B$33/100)),15)/15,(Skills!T14*(1+Inputs!$B$33/100))/Skills!D14))))+Summary!$B$55*(Inputs!$B$20+Skills!Q5+((C130=TRUE)*F130*IF(AND(Inputs!$B$4&lt;&gt;"pvp",Inputs!$B$35&gt;0),(((S130-1)*(Skills!T17*(1+Inputs!$B$33/100))+MIN((Skills!T17*(1+Inputs!$B$33/100)),MAX(0,Inputs!$B$35-((S130-1)*Skills!D17))))/Inputs!$B$35),IF(Inputs!$B$4="pvp",MIN((Skills!T17*(1+Inputs!$B$33/100)),15)/15,(Skills!T17*(1+Inputs!$B$33/100))/Skills!D17)))))/100)*(1+Inputs!$B$15/100)*(5000/(6000+Inputs!$B$7*(1-(Inputs!$B$18+0)/100)))*(1+(Inputs!$B$23+((C138=TRUE)*(F138-Calc!F25))+((C139=TRUE)*(F139-Calc!F26))+B148)/100)*(1+(IF(Skills!A5="DARK_IMPALE",Inputs!$B$16+0,Inputs!$B$17+((C136=TRUE)*(F136-Calc!F23))))/100)*((1+(((C126=TRUE)*F126*IF(AND(Inputs!$B$4&lt;&gt;"pvp",Inputs!$B$35&gt;0),(((S126-1)*(Skills!T13*(1+Inputs!$B$33/100))+MIN((Skills!T13*(1+Inputs!$B$33/100)),MAX(0,Inputs!$B$35-((S126-1)*Skills!D13))))/Inputs!$B$35),IF(Inputs!$B$4="pvp",MIN((Skills!T13*(1+Inputs!$B$33/100)),15)/15,(Skills!T13*(1+Inputs!$B$33/100))/Skills!D13)))+((C127=TRUE)*F127*IF(AND(Inputs!$B$4&lt;&gt;"pvp",Inputs!$B$35&gt;0),(((S127-1)*(Skills!T14*(1+Inputs!$B$33/100))+MIN((Skills!T14*(1+Inputs!$B$33/100)),MAX(0,Inputs!$B$35-((S127-1)*Skills!D14))))/Inputs!$B$35),IF(Inputs!$B$4="pvp",MIN((Skills!T14*(1+Inputs!$B$33/100)),15)/15,(Skills!T14*(1+Inputs!$B$33/100))/Skills!D14)))+((C128=TRUE)*F128*IF(AND(Inputs!$B$4&lt;&gt;"pvp",Inputs!$B$35&gt;0),(((S128-1)*(Skills!T15*(1+Inputs!$B$33/100))+MIN((Skills!T15*(1+Inputs!$B$33/100)),MAX(0,Inputs!$B$35-((S128-1)*Skills!D15))))/Inputs!$B$35),IF(Inputs!$B$4="pvp",MIN((Skills!T15*(1+Inputs!$B$33/100)),15)/15,(Skills!T15*(1+Inputs!$B$33/100))/Skills!D15)))+((C129=TRUE)*F129*IF(AND(Inputs!$B$4&lt;&gt;"pvp",Inputs!$B$35&gt;0),(((S129-1)*(Skills!T16*(1+Inputs!$B$33/100))+MIN((Skills!T16*(1+Inputs!$B$33/100)),MAX(0,Inputs!$B$35-((S129-1)*Skills!D16))))/Inputs!$B$35),IF(Inputs!$B$4="pvp",MIN((Skills!T16*(1+Inputs!$B$33/100)),15)/15,(Skills!T16*(1+Inputs!$B$33/100))/Skills!D16)))+0)/100)*I118)</f>
        <v/>
      </c>
      <c r="L118">
        <f>K118*(MIN(Inputs!$B$21+((C135=TRUE)*(F135-Calc!F22)),Inputs!$B$22+((C137=TRUE)*(F137-Calc!F24)))/100+(Inputs!$B$22+((C137=TRUE)*(F137-Calc!F24)))/100)/2</f>
        <v/>
      </c>
      <c r="M118">
        <f>L118*(1+(Inputs!$B$9+0+B147)/100)</f>
        <v/>
      </c>
      <c r="N118">
        <f>L118*(1-MIN((Inputs!$B$8+0+B142),100)/100)+M118*(MIN((Inputs!$B$8+0+B142),100)/100)</f>
        <v/>
      </c>
      <c r="O118">
        <f>IF(C118,H118*N118*IF(AND(Inputs!$B$4&lt;&gt;"pvp",Inputs!$B$35&gt;0),((Skills!G5*((R118-1)*IF(Skills!H5&gt;0,Skills!I5/Skills!H5,1)+IF(Skills!H5&gt;0,MIN(Skills!I5,MAX(0,Inputs!$B$35-((R118-1)*IF(Inputs!$B$4="pvp",15,MAX(0.1,Skills!D5-IF(Skills!E5=TRUE,Inputs!$B$31,0))))))/Skills!H5,1)))/Inputs!$B$35),G118*Q118)*IF(Inputs!$B$4="pvp",1,(1-Summary!$B$55)*(1)+Summary!$B$55*(MIN(Skills!R5,Inputs!$B$37))),0)</f>
        <v/>
      </c>
      <c r="P118">
        <f>IF(B150=0,0,O118/B150)</f>
        <v/>
      </c>
      <c r="Q118">
        <f>IFERROR(1/IF(Inputs!$B$4="pvp",15,MAX(0.1,Skills!D5-IF(Skills!E5=TRUE,Inputs!$B$31,0))),0)</f>
        <v/>
      </c>
      <c r="R118">
        <f>IF(AND(Inputs!$B$4&lt;&gt;"pvp",Inputs!$B$35&gt;0),(INT(Inputs!$B$35/IF(Inputs!$B$4="pvp",15,MAX(0.1,Skills!D5-IF(Skills!E5=TRUE,Inputs!$B$31,0))))+1),0)</f>
        <v/>
      </c>
      <c r="S118">
        <f>IFERROR(O118/N118,0)</f>
        <v/>
      </c>
    </row>
    <row r="119">
      <c r="A119">
        <f>Skills!A6</f>
        <v/>
      </c>
      <c r="B119">
        <f>Skills!B6</f>
        <v/>
      </c>
      <c r="C119">
        <f>Inputs!$B$3&gt;=103</f>
        <v/>
      </c>
      <c r="D119">
        <f>IF(Skills!C6=1,60+Inputs!$B$24+Inputs!$B$28,IF(Skills!C6=2,90+Inputs!$B$25+Inputs!$B$28,IF(Skills!C6=3,120+Inputs!$B$26+Inputs!$B$28,MAX(0,(Inputs!$B$3-100)*3)+Inputs!$B$27+Inputs!$B$28)))</f>
        <v/>
      </c>
      <c r="E119">
        <f>INDEX(FactorTable!$B$2:$Y$301, MATCH(ROUND(MIN(300,MAX(1,D119)),0), FactorTable!$A$2:$A$301,0), Skills!M6+1)</f>
        <v/>
      </c>
      <c r="F119">
        <f>IF(Skills!N6=TRUE,(Skills!L6/10)*(E119/1000),Skills!L6/10)+Skills!O6</f>
        <v/>
      </c>
      <c r="G119">
        <f>Skills!G6*IF(Skills!H6&gt;0,Skills!I6/Skills!H6,1)</f>
        <v/>
      </c>
      <c r="H119">
        <f>1-(1-Skills!J6/100)^Skills!K6</f>
        <v/>
      </c>
      <c r="I119" t="inlineStr">
        <is>
          <t>1</t>
        </is>
      </c>
      <c r="J119">
        <f>(Inputs!$B$5*(1+Inputs!$B$6/100))*(F119/100)</f>
        <v/>
      </c>
      <c r="K119">
        <f>J119*(1+((Inputs!$B$11*(1+Inputs!$B$12/100))*0.01+(Inputs!$B$13+1)*0.0025)/100)*(1+Inputs!$B$14/100)*(1+IF(Inputs!$B$4="pvp",0,(1-Summary!$B$55)*(Inputs!$B$19+0+Skills!P6+((C130=TRUE)*F130*IF(AND(Inputs!$B$4&lt;&gt;"pvp",Inputs!$B$35&gt;0),(((S130-1)*(Skills!T17*(1+Inputs!$B$33/100))+MIN((Skills!T17*(1+Inputs!$B$33/100)),MAX(0,Inputs!$B$35-((S130-1)*Skills!D17))))/Inputs!$B$35),IF(Inputs!$B$4="pvp",MIN((Skills!T17*(1+Inputs!$B$33/100)),15)/15,(Skills!T17*(1+Inputs!$B$33/100))/Skills!D17)))+((C127=TRUE)*IF(Inputs!$B$4="pvp",20,(1-Summary!$B$55)*(20)+Summary!$B$55*(0))*IF(AND(Inputs!$B$4&lt;&gt;"pvp",Inputs!$B$35&gt;0),(((S127-1)*(Skills!T14*(1+Inputs!$B$33/100))+MIN((Skills!T14*(1+Inputs!$B$33/100)),MAX(0,Inputs!$B$35-((S127-1)*Skills!D14))))/Inputs!$B$35),IF(Inputs!$B$4="pvp",MIN((Skills!T14*(1+Inputs!$B$33/100)),15)/15,(Skills!T14*(1+Inputs!$B$33/100))/Skills!D14))))+Summary!$B$55*(Inputs!$B$20+Skills!Q6+((C130=TRUE)*F130*IF(AND(Inputs!$B$4&lt;&gt;"pvp",Inputs!$B$35&gt;0),(((S130-1)*(Skills!T17*(1+Inputs!$B$33/100))+MIN((Skills!T17*(1+Inputs!$B$33/100)),MAX(0,Inputs!$B$35-((S130-1)*Skills!D17))))/Inputs!$B$35),IF(Inputs!$B$4="pvp",MIN((Skills!T17*(1+Inputs!$B$33/100)),15)/15,(Skills!T17*(1+Inputs!$B$33/100))/Skills!D17)))))/100)*(1+Inputs!$B$15/100)*(5000/(6000+Inputs!$B$7*(1-(Inputs!$B$18+0)/100)))*(1+(Inputs!$B$23+((C138=TRUE)*(F138-Calc!F25))+((C139=TRUE)*(F139-Calc!F26))+B148)/100)*(1+(IF(Skills!A6="DARK_IMPALE",Inputs!$B$16+0,Inputs!$B$17+((C136=TRUE)*(F136-Calc!F23))))/100)*((1+(((C126=TRUE)*F126*IF(AND(Inputs!$B$4&lt;&gt;"pvp",Inputs!$B$35&gt;0),(((S126-1)*(Skills!T13*(1+Inputs!$B$33/100))+MIN((Skills!T13*(1+Inputs!$B$33/100)),MAX(0,Inputs!$B$35-((S126-1)*Skills!D13))))/Inputs!$B$35),IF(Inputs!$B$4="pvp",MIN((Skills!T13*(1+Inputs!$B$33/100)),15)/15,(Skills!T13*(1+Inputs!$B$33/100))/Skills!D13)))+((C127=TRUE)*F127*IF(AND(Inputs!$B$4&lt;&gt;"pvp",Inputs!$B$35&gt;0),(((S127-1)*(Skills!T14*(1+Inputs!$B$33/100))+MIN((Skills!T14*(1+Inputs!$B$33/100)),MAX(0,Inputs!$B$35-((S127-1)*Skills!D14))))/Inputs!$B$35),IF(Inputs!$B$4="pvp",MIN((Skills!T14*(1+Inputs!$B$33/100)),15)/15,(Skills!T14*(1+Inputs!$B$33/100))/Skills!D14)))+((C128=TRUE)*F128*IF(AND(Inputs!$B$4&lt;&gt;"pvp",Inputs!$B$35&gt;0),(((S128-1)*(Skills!T15*(1+Inputs!$B$33/100))+MIN((Skills!T15*(1+Inputs!$B$33/100)),MAX(0,Inputs!$B$35-((S128-1)*Skills!D15))))/Inputs!$B$35),IF(Inputs!$B$4="pvp",MIN((Skills!T15*(1+Inputs!$B$33/100)),15)/15,(Skills!T15*(1+Inputs!$B$33/100))/Skills!D15)))+((C129=TRUE)*F129*IF(AND(Inputs!$B$4&lt;&gt;"pvp",Inputs!$B$35&gt;0),(((S129-1)*(Skills!T16*(1+Inputs!$B$33/100))+MIN((Skills!T16*(1+Inputs!$B$33/100)),MAX(0,Inputs!$B$35-((S129-1)*Skills!D16))))/Inputs!$B$35),IF(Inputs!$B$4="pvp",MIN((Skills!T16*(1+Inputs!$B$33/100)),15)/15,(Skills!T16*(1+Inputs!$B$33/100))/Skills!D16)))+0)/100)*I119)</f>
        <v/>
      </c>
      <c r="L119">
        <f>K119*(MIN(Inputs!$B$21+((C135=TRUE)*(F135-Calc!F22)),Inputs!$B$22+((C137=TRUE)*(F137-Calc!F24)))/100+(Inputs!$B$22+((C137=TRUE)*(F137-Calc!F24)))/100)/2</f>
        <v/>
      </c>
      <c r="M119">
        <f>L119*(1+(Inputs!$B$9+0+B147)/100)</f>
        <v/>
      </c>
      <c r="N119">
        <f>L119*(1-MIN((Inputs!$B$8+0+B142),100)/100)+M119*(MIN((Inputs!$B$8+0+B142),100)/100)</f>
        <v/>
      </c>
      <c r="O119">
        <f>IF(C119,H119*N119*IF(AND(Inputs!$B$4&lt;&gt;"pvp",Inputs!$B$35&gt;0),((Skills!G6*((R119-1)*IF(Skills!H6&gt;0,Skills!I6/Skills!H6,1)+IF(Skills!H6&gt;0,MIN(Skills!I6,MAX(0,Inputs!$B$35-((R119-1)*IF(Inputs!$B$4="pvp",15,MAX(0.1,Skills!D6-IF(Skills!E6=TRUE,Inputs!$B$31,0))))))/Skills!H6,1)))/Inputs!$B$35),G119*Q119)*IF(Inputs!$B$4="pvp",1,(1-Summary!$B$55)*(1)+Summary!$B$55*(MIN(Skills!R6,Inputs!$B$37))),0)</f>
        <v/>
      </c>
      <c r="P119">
        <f>IF(B150=0,0,O119/B150)</f>
        <v/>
      </c>
      <c r="Q119">
        <f>IFERROR(1/IF(Inputs!$B$4="pvp",15,MAX(0.1,Skills!D6-IF(Skills!E6=TRUE,Inputs!$B$31,0))),0)</f>
        <v/>
      </c>
      <c r="R119">
        <f>IF(AND(Inputs!$B$4&lt;&gt;"pvp",Inputs!$B$35&gt;0),(INT(Inputs!$B$35/IF(Inputs!$B$4="pvp",15,MAX(0.1,Skills!D6-IF(Skills!E6=TRUE,Inputs!$B$31,0))))+1),0)</f>
        <v/>
      </c>
      <c r="S119">
        <f>IFERROR(O119/N119,0)</f>
        <v/>
      </c>
    </row>
    <row r="120">
      <c r="A120">
        <f>Skills!A7</f>
        <v/>
      </c>
      <c r="B120">
        <f>Skills!B7</f>
        <v/>
      </c>
      <c r="C120">
        <f>Inputs!$B$3&gt;=40</f>
        <v/>
      </c>
      <c r="D120">
        <f>IF(Skills!C7=1,60+Inputs!$B$24+Inputs!$B$28,IF(Skills!C7=2,90+Inputs!$B$25+Inputs!$B$28,IF(Skills!C7=3,120+Inputs!$B$26+Inputs!$B$28,MAX(0,(Inputs!$B$3-100)*3)+Inputs!$B$27+Inputs!$B$28)))</f>
        <v/>
      </c>
      <c r="E120">
        <f>INDEX(FactorTable!$B$2:$Y$301, MATCH(ROUND(MIN(300,MAX(1,D120)),0), FactorTable!$A$2:$A$301,0), Skills!M7+1)</f>
        <v/>
      </c>
      <c r="F120">
        <f>IF(Skills!N7=TRUE,(Skills!L7/10)*(E120/1000),Skills!L7/10)+Skills!O7</f>
        <v/>
      </c>
      <c r="G120">
        <f>Skills!G7*IF(Skills!H7&gt;0,Skills!I7/Skills!H7,1)</f>
        <v/>
      </c>
      <c r="H120">
        <f>1-(1-Skills!J7/100)^Skills!K7</f>
        <v/>
      </c>
      <c r="I120" t="inlineStr">
        <is>
          <t>1</t>
        </is>
      </c>
      <c r="J120">
        <f>(Inputs!$B$5*(1+Inputs!$B$6/100))*(F120/100)</f>
        <v/>
      </c>
      <c r="K120">
        <f>J120*(1+((Inputs!$B$11*(1+Inputs!$B$12/100))*0.01+(Inputs!$B$13+1)*0.0025)/100)*(1+Inputs!$B$14/100)*(1+IF(Inputs!$B$4="pvp",0,(1-Summary!$B$55)*(Inputs!$B$19+0+Skills!P7+((C130=TRUE)*F130*IF(AND(Inputs!$B$4&lt;&gt;"pvp",Inputs!$B$35&gt;0),(((S130-1)*(Skills!T17*(1+Inputs!$B$33/100))+MIN((Skills!T17*(1+Inputs!$B$33/100)),MAX(0,Inputs!$B$35-((S130-1)*Skills!D17))))/Inputs!$B$35),IF(Inputs!$B$4="pvp",MIN((Skills!T17*(1+Inputs!$B$33/100)),15)/15,(Skills!T17*(1+Inputs!$B$33/100))/Skills!D17)))+((C127=TRUE)*IF(Inputs!$B$4="pvp",20,(1-Summary!$B$55)*(20)+Summary!$B$55*(0))*IF(AND(Inputs!$B$4&lt;&gt;"pvp",Inputs!$B$35&gt;0),(((S127-1)*(Skills!T14*(1+Inputs!$B$33/100))+MIN((Skills!T14*(1+Inputs!$B$33/100)),MAX(0,Inputs!$B$35-((S127-1)*Skills!D14))))/Inputs!$B$35),IF(Inputs!$B$4="pvp",MIN((Skills!T14*(1+Inputs!$B$33/100)),15)/15,(Skills!T14*(1+Inputs!$B$33/100))/Skills!D14))))+Summary!$B$55*(Inputs!$B$20+Skills!Q7+((C130=TRUE)*F130*IF(AND(Inputs!$B$4&lt;&gt;"pvp",Inputs!$B$35&gt;0),(((S130-1)*(Skills!T17*(1+Inputs!$B$33/100))+MIN((Skills!T17*(1+Inputs!$B$33/100)),MAX(0,Inputs!$B$35-((S130-1)*Skills!D17))))/Inputs!$B$35),IF(Inputs!$B$4="pvp",MIN((Skills!T17*(1+Inputs!$B$33/100)),15)/15,(Skills!T17*(1+Inputs!$B$33/100))/Skills!D17)))))/100)*(1+Inputs!$B$15/100)*(5000/(6000+Inputs!$B$7*(1-(Inputs!$B$18+0)/100)))*(1+(Inputs!$B$23+((C138=TRUE)*(F138-Calc!F25))+((C139=TRUE)*(F139-Calc!F26))+B148)/100)*(1+0.75*IF(C124=TRUE,F124,0)/100)*(1+(IF(Skills!A7="DARK_IMPALE",Inputs!$B$16+0,Inputs!$B$17+((C136=TRUE)*(F136-Calc!F23))))/100)*((1+(((C126=TRUE)*F126*IF(AND(Inputs!$B$4&lt;&gt;"pvp",Inputs!$B$35&gt;0),(((S126-1)*(Skills!T13*(1+Inputs!$B$33/100))+MIN((Skills!T13*(1+Inputs!$B$33/100)),MAX(0,Inputs!$B$35-((S126-1)*Skills!D13))))/Inputs!$B$35),IF(Inputs!$B$4="pvp",MIN((Skills!T13*(1+Inputs!$B$33/100)),15)/15,(Skills!T13*(1+Inputs!$B$33/100))/Skills!D13)))+((C127=TRUE)*F127*IF(AND(Inputs!$B$4&lt;&gt;"pvp",Inputs!$B$35&gt;0),(((S127-1)*(Skills!T14*(1+Inputs!$B$33/100))+MIN((Skills!T14*(1+Inputs!$B$33/100)),MAX(0,Inputs!$B$35-((S127-1)*Skills!D14))))/Inputs!$B$35),IF(Inputs!$B$4="pvp",MIN((Skills!T14*(1+Inputs!$B$33/100)),15)/15,(Skills!T14*(1+Inputs!$B$33/100))/Skills!D14)))+((C128=TRUE)*F128*IF(AND(Inputs!$B$4&lt;&gt;"pvp",Inputs!$B$35&gt;0),(((S128-1)*(Skills!T15*(1+Inputs!$B$33/100))+MIN((Skills!T15*(1+Inputs!$B$33/100)),MAX(0,Inputs!$B$35-((S128-1)*Skills!D15))))/Inputs!$B$35),IF(Inputs!$B$4="pvp",MIN((Skills!T15*(1+Inputs!$B$33/100)),15)/15,(Skills!T15*(1+Inputs!$B$33/100))/Skills!D15)))+((C129=TRUE)*F129*IF(AND(Inputs!$B$4&lt;&gt;"pvp",Inputs!$B$35&gt;0),(((S129-1)*(Skills!T16*(1+Inputs!$B$33/100))+MIN((Skills!T16*(1+Inputs!$B$33/100)),MAX(0,Inputs!$B$35-((S129-1)*Skills!D16))))/Inputs!$B$35),IF(Inputs!$B$4="pvp",MIN((Skills!T16*(1+Inputs!$B$33/100)),15)/15,(Skills!T16*(1+Inputs!$B$33/100))/Skills!D16)))+0)/100)*I120)</f>
        <v/>
      </c>
      <c r="L120">
        <f>K120*(MIN(Inputs!$B$21+((C135=TRUE)*(F135-Calc!F22)),Inputs!$B$22+((C137=TRUE)*(F137-Calc!F24)))/100+(Inputs!$B$22+((C137=TRUE)*(F137-Calc!F24)))/100)/2</f>
        <v/>
      </c>
      <c r="M120">
        <f>L120*(1+(Inputs!$B$9+0+B147)/100)</f>
        <v/>
      </c>
      <c r="N120">
        <f>L120*(1-MIN((Inputs!$B$8+0+B142),100)/100)+M120*(MIN((Inputs!$B$8+0+B142),100)/100)</f>
        <v/>
      </c>
      <c r="O120">
        <f>IF(C120,H120*N120*IF(AND(Inputs!$B$4&lt;&gt;"pvp",Inputs!$B$35&gt;0),((Skills!G7*((R120-1)*IF(Skills!H7&gt;0,Skills!I7/Skills!H7,1)+IF(Skills!H7&gt;0,MIN(Skills!I7,MAX(0,Inputs!$B$35-((R120-1)*IF(Inputs!$B$4="pvp",15,MAX(0.1,Skills!D7-IF(Skills!E7=TRUE,Inputs!$B$31,0))))))/Skills!H7,1)))/Inputs!$B$35),G120*Q120)*IF(Inputs!$B$4="pvp",1,(1-Summary!$B$55)*(1)+Summary!$B$55*(MIN(Skills!R7,Inputs!$B$37))),0)</f>
        <v/>
      </c>
      <c r="P120">
        <f>IF(B150=0,0,O120/B150)</f>
        <v/>
      </c>
      <c r="Q120">
        <f>IFERROR(1/IF(Inputs!$B$4="pvp",15,MAX(0.1,Skills!D7-IF(Skills!E7=TRUE,Inputs!$B$31,0))),0)</f>
        <v/>
      </c>
      <c r="R120">
        <f>IF(AND(Inputs!$B$4&lt;&gt;"pvp",Inputs!$B$35&gt;0),(INT(Inputs!$B$35/IF(Inputs!$B$4="pvp",15,MAX(0.1,Skills!D7-IF(Skills!E7=TRUE,Inputs!$B$31,0))))+1),0)</f>
        <v/>
      </c>
      <c r="S120">
        <f>IFERROR(O120/N120,0)</f>
        <v/>
      </c>
    </row>
    <row r="121">
      <c r="A121">
        <f>Skills!A8</f>
        <v/>
      </c>
      <c r="B121">
        <f>Skills!B8</f>
        <v/>
      </c>
      <c r="C121">
        <f>Inputs!$B$3&gt;=75</f>
        <v/>
      </c>
      <c r="D121">
        <f>IF(Skills!C8=1,60+Inputs!$B$24+Inputs!$B$28,IF(Skills!C8=2,90+Inputs!$B$25+Inputs!$B$28,IF(Skills!C8=3,120+Inputs!$B$26+Inputs!$B$28,MAX(0,(Inputs!$B$3-100)*3)+Inputs!$B$27+Inputs!$B$28)))</f>
        <v/>
      </c>
      <c r="E121">
        <f>INDEX(FactorTable!$B$2:$Y$301, MATCH(ROUND(MIN(300,MAX(1,D121)),0), FactorTable!$A$2:$A$301,0), Skills!M8+1)</f>
        <v/>
      </c>
      <c r="F121">
        <f>IF(Skills!N8=TRUE,(Skills!L8/10)*(E121/1000),Skills!L8/10)+Skills!O8</f>
        <v/>
      </c>
      <c r="G121" t="inlineStr"/>
      <c r="H121" t="inlineStr"/>
      <c r="I121" t="inlineStr">
        <is>
          <t>1</t>
        </is>
      </c>
      <c r="J121" t="inlineStr"/>
      <c r="K121" t="inlineStr"/>
      <c r="L121" t="inlineStr"/>
      <c r="M121" t="inlineStr"/>
      <c r="N121" t="inlineStr"/>
      <c r="O121" t="inlineStr"/>
      <c r="P121" t="inlineStr"/>
      <c r="Q121" t="inlineStr"/>
      <c r="R121" t="inlineStr"/>
      <c r="S121" t="inlineStr"/>
    </row>
    <row r="122">
      <c r="A122">
        <f>Skills!A9</f>
        <v/>
      </c>
      <c r="B122">
        <f>Skills!B9</f>
        <v/>
      </c>
      <c r="C122">
        <f>Inputs!$B$3&gt;=60</f>
        <v/>
      </c>
      <c r="D122">
        <f>IF(Skills!C9=1,60+Inputs!$B$24+Inputs!$B$28,IF(Skills!C9=2,90+Inputs!$B$25+Inputs!$B$28,IF(Skills!C9=3,120+Inputs!$B$26+Inputs!$B$28,MAX(0,(Inputs!$B$3-100)*3)+Inputs!$B$27+Inputs!$B$28)))</f>
        <v/>
      </c>
      <c r="E122">
        <f>INDEX(FactorTable!$B$2:$Y$301, MATCH(ROUND(MIN(300,MAX(1,D122)),0), FactorTable!$A$2:$A$301,0), Skills!M9+1)</f>
        <v/>
      </c>
      <c r="F122">
        <f>IF(Skills!N9=TRUE,(Skills!L9/10)*(E122/1000),Skills!L9/10)+Skills!O9</f>
        <v/>
      </c>
      <c r="G122">
        <f>Skills!G9*IF(Skills!H9&gt;0,Skills!I9/Skills!H9,1)</f>
        <v/>
      </c>
      <c r="H122">
        <f>1-(1-Skills!J9/100)^Skills!K9</f>
        <v/>
      </c>
      <c r="I122" t="inlineStr">
        <is>
          <t>1</t>
        </is>
      </c>
      <c r="J122">
        <f>(Inputs!$B$5*(1+Inputs!$B$6/100))*(F122/100)</f>
        <v/>
      </c>
      <c r="K122">
        <f>J122*(1+((Inputs!$B$11*(1+Inputs!$B$12/100))*0.01+(Inputs!$B$13+1)*0.0025)/100)*(1+Inputs!$B$14/100)*(1+IF(Inputs!$B$4="pvp",0,(1-Summary!$B$55)*(Inputs!$B$19+0+Skills!P9+((C130=TRUE)*F130*IF(AND(Inputs!$B$4&lt;&gt;"pvp",Inputs!$B$35&gt;0),(((S130-1)*(Skills!T17*(1+Inputs!$B$33/100))+MIN((Skills!T17*(1+Inputs!$B$33/100)),MAX(0,Inputs!$B$35-((S130-1)*Skills!D17))))/Inputs!$B$35),IF(Inputs!$B$4="pvp",MIN((Skills!T17*(1+Inputs!$B$33/100)),15)/15,(Skills!T17*(1+Inputs!$B$33/100))/Skills!D17)))+((C127=TRUE)*IF(Inputs!$B$4="pvp",20,(1-Summary!$B$55)*(20)+Summary!$B$55*(0))*IF(AND(Inputs!$B$4&lt;&gt;"pvp",Inputs!$B$35&gt;0),(((S127-1)*(Skills!T14*(1+Inputs!$B$33/100))+MIN((Skills!T14*(1+Inputs!$B$33/100)),MAX(0,Inputs!$B$35-((S127-1)*Skills!D14))))/Inputs!$B$35),IF(Inputs!$B$4="pvp",MIN((Skills!T14*(1+Inputs!$B$33/100)),15)/15,(Skills!T14*(1+Inputs!$B$33/100))/Skills!D14))))+Summary!$B$55*(Inputs!$B$20+Skills!Q9+((C130=TRUE)*F130*IF(AND(Inputs!$B$4&lt;&gt;"pvp",Inputs!$B$35&gt;0),(((S130-1)*(Skills!T17*(1+Inputs!$B$33/100))+MIN((Skills!T17*(1+Inputs!$B$33/100)),MAX(0,Inputs!$B$35-((S130-1)*Skills!D17))))/Inputs!$B$35),IF(Inputs!$B$4="pvp",MIN((Skills!T17*(1+Inputs!$B$33/100)),15)/15,(Skills!T17*(1+Inputs!$B$33/100))/Skills!D17)))))/100)*(1+Inputs!$B$15/100)*(5000/(6000+Inputs!$B$7*(1-(Inputs!$B$18+0)/100)))*(1+(Inputs!$B$23+((C138=TRUE)*(F138-Calc!F25))+((C139=TRUE)*(F139-Calc!F26))+B148)/100)*(1+1.0*IF(C124=TRUE,F124,0)/100)*(1+(IF(Skills!A9="DARK_IMPALE",Inputs!$B$16+0,Inputs!$B$17+((C136=TRUE)*(F136-Calc!F23))))/100)*((1+(((C126=TRUE)*F126*IF(AND(Inputs!$B$4&lt;&gt;"pvp",Inputs!$B$35&gt;0),(((S126-1)*(Skills!T13*(1+Inputs!$B$33/100))+MIN((Skills!T13*(1+Inputs!$B$33/100)),MAX(0,Inputs!$B$35-((S126-1)*Skills!D13))))/Inputs!$B$35),IF(Inputs!$B$4="pvp",MIN((Skills!T13*(1+Inputs!$B$33/100)),15)/15,(Skills!T13*(1+Inputs!$B$33/100))/Skills!D13)))+((C127=TRUE)*F127*IF(AND(Inputs!$B$4&lt;&gt;"pvp",Inputs!$B$35&gt;0),(((S127-1)*(Skills!T14*(1+Inputs!$B$33/100))+MIN((Skills!T14*(1+Inputs!$B$33/100)),MAX(0,Inputs!$B$35-((S127-1)*Skills!D14))))/Inputs!$B$35),IF(Inputs!$B$4="pvp",MIN((Skills!T14*(1+Inputs!$B$33/100)),15)/15,(Skills!T14*(1+Inputs!$B$33/100))/Skills!D14)))+((C128=TRUE)*F128*IF(AND(Inputs!$B$4&lt;&gt;"pvp",Inputs!$B$35&gt;0),(((S128-1)*(Skills!T15*(1+Inputs!$B$33/100))+MIN((Skills!T15*(1+Inputs!$B$33/100)),MAX(0,Inputs!$B$35-((S128-1)*Skills!D15))))/Inputs!$B$35),IF(Inputs!$B$4="pvp",MIN((Skills!T15*(1+Inputs!$B$33/100)),15)/15,(Skills!T15*(1+Inputs!$B$33/100))/Skills!D15)))+((C129=TRUE)*F129*IF(AND(Inputs!$B$4&lt;&gt;"pvp",Inputs!$B$35&gt;0),(((S129-1)*(Skills!T16*(1+Inputs!$B$33/100))+MIN((Skills!T16*(1+Inputs!$B$33/100)),MAX(0,Inputs!$B$35-((S129-1)*Skills!D16))))/Inputs!$B$35),IF(Inputs!$B$4="pvp",MIN((Skills!T16*(1+Inputs!$B$33/100)),15)/15,(Skills!T16*(1+Inputs!$B$33/100))/Skills!D16)))+0)/100)*I122)</f>
        <v/>
      </c>
      <c r="L122">
        <f>K122*(MIN(Inputs!$B$21+((C135=TRUE)*(F135-Calc!F22)),Inputs!$B$22+((C137=TRUE)*(F137-Calc!F24)))/100+(Inputs!$B$22+((C137=TRUE)*(F137-Calc!F24)))/100)/2</f>
        <v/>
      </c>
      <c r="M122">
        <f>L122*(1+(Inputs!$B$9+0+B147)/100)</f>
        <v/>
      </c>
      <c r="N122">
        <f>L122*(1-MIN((Inputs!$B$8+0+B142),100)/100)+M122*(MIN((Inputs!$B$8+0+B142),100)/100)</f>
        <v/>
      </c>
      <c r="O122">
        <f>IF(C122,H122*N122*IF(AND(Inputs!$B$4&lt;&gt;"pvp",Inputs!$B$35&gt;0),((Skills!G9*((R122-1)*IF(Skills!H9&gt;0,Skills!I9/Skills!H9,1)+IF(Skills!H9&gt;0,MIN(Skills!I9,MAX(0,Inputs!$B$35-((R122-1)*IF(Inputs!$B$4="pvp",15,MAX(0.1,Skills!D9-IF(Skills!E9=TRUE,Inputs!$B$31,0))))))/Skills!H9,1)))/Inputs!$B$35),G122*Q122)*IF(Inputs!$B$4="pvp",1,(1-Summary!$B$55)*(1)+Summary!$B$55*(MIN(Skills!R9,Inputs!$B$37))),0)</f>
        <v/>
      </c>
      <c r="P122">
        <f>IF(B150=0,0,O122/B150)</f>
        <v/>
      </c>
      <c r="Q122">
        <f>IFERROR(1/IF(Inputs!$B$4="pvp",15,MAX(0.1,Skills!D9-IF(Skills!E9=TRUE,Inputs!$B$31,0))),0)</f>
        <v/>
      </c>
      <c r="R122">
        <f>IF(AND(Inputs!$B$4&lt;&gt;"pvp",Inputs!$B$35&gt;0),(INT(Inputs!$B$35/IF(Inputs!$B$4="pvp",15,MAX(0.1,Skills!D9-IF(Skills!E9=TRUE,Inputs!$B$31,0))))+1),0)</f>
        <v/>
      </c>
      <c r="S122">
        <f>IFERROR(O122/N122,0)</f>
        <v/>
      </c>
    </row>
    <row r="123">
      <c r="A123">
        <f>Skills!A10</f>
        <v/>
      </c>
      <c r="B123">
        <f>Skills!B10</f>
        <v/>
      </c>
      <c r="C123">
        <f>Inputs!$B$3&gt;=110</f>
        <v/>
      </c>
      <c r="D123">
        <f>IF(Skills!C10=1,60+Inputs!$B$24+Inputs!$B$28,IF(Skills!C10=2,90+Inputs!$B$25+Inputs!$B$28,IF(Skills!C10=3,120+Inputs!$B$26+Inputs!$B$28,MAX(0,(Inputs!$B$3-100)*3)+Inputs!$B$27+Inputs!$B$28)))</f>
        <v/>
      </c>
      <c r="E123">
        <f>INDEX(FactorTable!$B$2:$Y$301, MATCH(ROUND(MIN(300,MAX(1,D123)),0), FactorTable!$A$2:$A$301,0), Skills!M10+1)</f>
        <v/>
      </c>
      <c r="F123">
        <f>IF(Skills!N10=TRUE,(Skills!L10/10)*(E123/1000),Skills!L10/10)+Skills!O10</f>
        <v/>
      </c>
      <c r="G123">
        <f>Skills!G10*IF(Skills!H10&gt;0,Skills!I10/Skills!H10,1)</f>
        <v/>
      </c>
      <c r="H123">
        <f>1-(1-Skills!J10/100)^Skills!K10</f>
        <v/>
      </c>
      <c r="I123" t="inlineStr">
        <is>
          <t>1</t>
        </is>
      </c>
      <c r="J123">
        <f>(Inputs!$B$5*(1+Inputs!$B$6/100))*(F123/100)</f>
        <v/>
      </c>
      <c r="K123">
        <f>J123*(1+((Inputs!$B$11*(1+Inputs!$B$12/100))*0.01+(Inputs!$B$13+1)*0.0025)/100)*(1+Inputs!$B$14/100)*(1+IF(Inputs!$B$4="pvp",0,(1-Summary!$B$55)*(Inputs!$B$19+0+Skills!P10+((C130=TRUE)*F130*IF(AND(Inputs!$B$4&lt;&gt;"pvp",Inputs!$B$35&gt;0),(((S130-1)*(Skills!T17*(1+Inputs!$B$33/100))+MIN((Skills!T17*(1+Inputs!$B$33/100)),MAX(0,Inputs!$B$35-((S130-1)*Skills!D17))))/Inputs!$B$35),IF(Inputs!$B$4="pvp",MIN((Skills!T17*(1+Inputs!$B$33/100)),15)/15,(Skills!T17*(1+Inputs!$B$33/100))/Skills!D17)))+((C127=TRUE)*IF(Inputs!$B$4="pvp",20,(1-Summary!$B$55)*(20)+Summary!$B$55*(0))*IF(AND(Inputs!$B$4&lt;&gt;"pvp",Inputs!$B$35&gt;0),(((S127-1)*(Skills!T14*(1+Inputs!$B$33/100))+MIN((Skills!T14*(1+Inputs!$B$33/100)),MAX(0,Inputs!$B$35-((S127-1)*Skills!D14))))/Inputs!$B$35),IF(Inputs!$B$4="pvp",MIN((Skills!T14*(1+Inputs!$B$33/100)),15)/15,(Skills!T14*(1+Inputs!$B$33/100))/Skills!D14))))+Summary!$B$55*(Inputs!$B$20+Skills!Q10+((C130=TRUE)*F130*IF(AND(Inputs!$B$4&lt;&gt;"pvp",Inputs!$B$35&gt;0),(((S130-1)*(Skills!T17*(1+Inputs!$B$33/100))+MIN((Skills!T17*(1+Inputs!$B$33/100)),MAX(0,Inputs!$B$35-((S130-1)*Skills!D17))))/Inputs!$B$35),IF(Inputs!$B$4="pvp",MIN((Skills!T17*(1+Inputs!$B$33/100)),15)/15,(Skills!T17*(1+Inputs!$B$33/100))/Skills!D17)))))/100)*(1+Inputs!$B$15/100)*(5000/(6000+Inputs!$B$7*(1-(Inputs!$B$18+0)/100)))*(1+(Inputs!$B$23+((C138=TRUE)*(F138-Calc!F25))+((C139=TRUE)*(F139-Calc!F26))+B148)/100)*(1+(IF(Skills!A10="DARK_IMPALE",Inputs!$B$16+0,Inputs!$B$17+((C136=TRUE)*(F136-Calc!F23))))/100)*((1+(((C126=TRUE)*F126*IF(AND(Inputs!$B$4&lt;&gt;"pvp",Inputs!$B$35&gt;0),(((S126-1)*(Skills!T13*(1+Inputs!$B$33/100))+MIN((Skills!T13*(1+Inputs!$B$33/100)),MAX(0,Inputs!$B$35-((S126-1)*Skills!D13))))/Inputs!$B$35),IF(Inputs!$B$4="pvp",MIN((Skills!T13*(1+Inputs!$B$33/100)),15)/15,(Skills!T13*(1+Inputs!$B$33/100))/Skills!D13)))+((C127=TRUE)*F127*IF(AND(Inputs!$B$4&lt;&gt;"pvp",Inputs!$B$35&gt;0),(((S127-1)*(Skills!T14*(1+Inputs!$B$33/100))+MIN((Skills!T14*(1+Inputs!$B$33/100)),MAX(0,Inputs!$B$35-((S127-1)*Skills!D14))))/Inputs!$B$35),IF(Inputs!$B$4="pvp",MIN((Skills!T14*(1+Inputs!$B$33/100)),15)/15,(Skills!T14*(1+Inputs!$B$33/100))/Skills!D14)))+((C128=TRUE)*F128*IF(AND(Inputs!$B$4&lt;&gt;"pvp",Inputs!$B$35&gt;0),(((S128-1)*(Skills!T15*(1+Inputs!$B$33/100))+MIN((Skills!T15*(1+Inputs!$B$33/100)),MAX(0,Inputs!$B$35-((S128-1)*Skills!D15))))/Inputs!$B$35),IF(Inputs!$B$4="pvp",MIN((Skills!T15*(1+Inputs!$B$33/100)),15)/15,(Skills!T15*(1+Inputs!$B$33/100))/Skills!D15)))+((C129=TRUE)*F129*IF(AND(Inputs!$B$4&lt;&gt;"pvp",Inputs!$B$35&gt;0),(((S129-1)*(Skills!T16*(1+Inputs!$B$33/100))+MIN((Skills!T16*(1+Inputs!$B$33/100)),MAX(0,Inputs!$B$35-((S129-1)*Skills!D16))))/Inputs!$B$35),IF(Inputs!$B$4="pvp",MIN((Skills!T16*(1+Inputs!$B$33/100)),15)/15,(Skills!T16*(1+Inputs!$B$33/100))/Skills!D16)))+0)/100)*I123)</f>
        <v/>
      </c>
      <c r="L123">
        <f>K123*(MIN(Inputs!$B$21+((C135=TRUE)*(F135-Calc!F22)),Inputs!$B$22+((C137=TRUE)*(F137-Calc!F24)))/100+(Inputs!$B$22+((C137=TRUE)*(F137-Calc!F24)))/100)/2</f>
        <v/>
      </c>
      <c r="M123">
        <f>L123*(1+(Inputs!$B$9+0+B147)/100)</f>
        <v/>
      </c>
      <c r="N123">
        <f>L123*(1-MIN((Inputs!$B$8+0+B142),100)/100)+M123*(MIN((Inputs!$B$8+0+B142),100)/100)</f>
        <v/>
      </c>
      <c r="O123">
        <f>IF(C123,H123*N123*IF(AND(Inputs!$B$4&lt;&gt;"pvp",Inputs!$B$35&gt;0),((Skills!G10*((R123-1)*IF(Skills!H10&gt;0,Skills!I10/Skills!H10,1)+IF(Skills!H10&gt;0,MIN(Skills!I10,MAX(0,Inputs!$B$35-((R123-1)*IF(Inputs!$B$4="pvp",15,MAX(0.1,Skills!D10-IF(Skills!E10=TRUE,Inputs!$B$31,0))))))/Skills!H10,1)))/Inputs!$B$35),G123*Q123)*IF(Inputs!$B$4="pvp",1,(1-Summary!$B$55)*(1)+Summary!$B$55*(MIN(Skills!R10,Inputs!$B$37))),0)</f>
        <v/>
      </c>
      <c r="P123">
        <f>IF(B150=0,0,O123/B150)</f>
        <v/>
      </c>
      <c r="Q123">
        <f>IFERROR(1/IF(Inputs!$B$4="pvp",15,MAX(0.1,Skills!D10-IF(Skills!E10=TRUE,Inputs!$B$31,0))),0)</f>
        <v/>
      </c>
      <c r="R123">
        <f>IF(AND(Inputs!$B$4&lt;&gt;"pvp",Inputs!$B$35&gt;0),(INT(Inputs!$B$35/IF(Inputs!$B$4="pvp",15,MAX(0.1,Skills!D10-IF(Skills!E10=TRUE,Inputs!$B$31,0))))+1),0)</f>
        <v/>
      </c>
      <c r="S123">
        <f>IFERROR(O123/N123,0)</f>
        <v/>
      </c>
    </row>
    <row r="124">
      <c r="A124">
        <f>Skills!A11</f>
        <v/>
      </c>
      <c r="B124">
        <f>Skills!B11</f>
        <v/>
      </c>
      <c r="C124">
        <f>Inputs!$B$3&gt;=100</f>
        <v/>
      </c>
      <c r="D124">
        <f>IF(Skills!C11=1,60+Inputs!$B$24+Inputs!$B$28,IF(Skills!C11=2,90+Inputs!$B$25+Inputs!$B$28,IF(Skills!C11=3,120+Inputs!$B$26+Inputs!$B$28,MAX(0,(Inputs!$B$3-100)*3)+Inputs!$B$27+Inputs!$B$28)))</f>
        <v/>
      </c>
      <c r="E124">
        <f>INDEX(FactorTable!$B$2:$Y$301, MATCH(ROUND(MIN(300,MAX(1,D124)),0), FactorTable!$A$2:$A$301,0), Skills!M11+1)</f>
        <v/>
      </c>
      <c r="F124">
        <f>IF(Skills!N11=TRUE,(Skills!L11/10)*(E124/1000),Skills!L11/10)+Skills!O11</f>
        <v/>
      </c>
      <c r="G124" t="inlineStr"/>
      <c r="H124" t="inlineStr"/>
      <c r="I124" t="inlineStr">
        <is>
          <t>1</t>
        </is>
      </c>
      <c r="J124" t="inlineStr"/>
      <c r="K124" t="inlineStr"/>
      <c r="L124" t="inlineStr"/>
      <c r="M124" t="inlineStr"/>
      <c r="N124" t="inlineStr"/>
      <c r="O124" t="inlineStr"/>
      <c r="P124" t="inlineStr"/>
      <c r="Q124" t="inlineStr"/>
      <c r="R124" t="inlineStr"/>
      <c r="S124" t="inlineStr"/>
    </row>
    <row r="125">
      <c r="A125">
        <f>Skills!A12</f>
        <v/>
      </c>
      <c r="B125">
        <f>Skills!B12</f>
        <v/>
      </c>
      <c r="C125">
        <f>Inputs!$B$3&gt;=63</f>
        <v/>
      </c>
      <c r="D125">
        <f>IF(Skills!C12=1,60+Inputs!$B$24+Inputs!$B$28,IF(Skills!C12=2,90+Inputs!$B$25+Inputs!$B$28,IF(Skills!C12=3,120+Inputs!$B$26+Inputs!$B$28,MAX(0,(Inputs!$B$3-100)*3)+Inputs!$B$27+Inputs!$B$28)))</f>
        <v/>
      </c>
      <c r="E125">
        <f>INDEX(FactorTable!$B$2:$Y$301, MATCH(ROUND(MIN(300,MAX(1,D125)),0), FactorTable!$A$2:$A$301,0), Skills!M12+1)</f>
        <v/>
      </c>
      <c r="F125">
        <f>IF(Skills!N12=TRUE,(Skills!L12/10)*(E125/1000),Skills!L12/10)+Skills!O12</f>
        <v/>
      </c>
      <c r="G125">
        <f>Skills!G12*IF(Skills!H12&gt;0,Skills!I12/Skills!H12,1)</f>
        <v/>
      </c>
      <c r="H125">
        <f>1-(1-Skills!J12/100)^Skills!K12</f>
        <v/>
      </c>
      <c r="I125" t="inlineStr">
        <is>
          <t>1</t>
        </is>
      </c>
      <c r="J125">
        <f>(Inputs!$B$5*(1+Inputs!$B$6/100))*(F125/100)</f>
        <v/>
      </c>
      <c r="K125">
        <f>J125*(1+((Inputs!$B$11*(1+Inputs!$B$12/100))*0.01+(Inputs!$B$13+1)*0.0025)/100)*(1+Inputs!$B$14/100)*(1+IF(Inputs!$B$4="pvp",0,(1-Summary!$B$55)*(Inputs!$B$19+0+Skills!P12+((C130=TRUE)*F130*IF(AND(Inputs!$B$4&lt;&gt;"pvp",Inputs!$B$35&gt;0),(((S130-1)*(Skills!T17*(1+Inputs!$B$33/100))+MIN((Skills!T17*(1+Inputs!$B$33/100)),MAX(0,Inputs!$B$35-((S130-1)*Skills!D17))))/Inputs!$B$35),IF(Inputs!$B$4="pvp",MIN((Skills!T17*(1+Inputs!$B$33/100)),15)/15,(Skills!T17*(1+Inputs!$B$33/100))/Skills!D17)))+((C127=TRUE)*IF(Inputs!$B$4="pvp",20,(1-Summary!$B$55)*(20)+Summary!$B$55*(0))*IF(AND(Inputs!$B$4&lt;&gt;"pvp",Inputs!$B$35&gt;0),(((S127-1)*(Skills!T14*(1+Inputs!$B$33/100))+MIN((Skills!T14*(1+Inputs!$B$33/100)),MAX(0,Inputs!$B$35-((S127-1)*Skills!D14))))/Inputs!$B$35),IF(Inputs!$B$4="pvp",MIN((Skills!T14*(1+Inputs!$B$33/100)),15)/15,(Skills!T14*(1+Inputs!$B$33/100))/Skills!D14))))+Summary!$B$55*(Inputs!$B$20+Skills!Q12+((C130=TRUE)*F130*IF(AND(Inputs!$B$4&lt;&gt;"pvp",Inputs!$B$35&gt;0),(((S130-1)*(Skills!T17*(1+Inputs!$B$33/100))+MIN((Skills!T17*(1+Inputs!$B$33/100)),MAX(0,Inputs!$B$35-((S130-1)*Skills!D17))))/Inputs!$B$35),IF(Inputs!$B$4="pvp",MIN((Skills!T17*(1+Inputs!$B$33/100)),15)/15,(Skills!T17*(1+Inputs!$B$33/100))/Skills!D17)))))/100)*(1+Inputs!$B$15/100)*(5000/(6000+Inputs!$B$7*(1-(Inputs!$B$18+0)/100)))*(1+(Inputs!$B$23+((C138=TRUE)*(F138-Calc!F25))+((C139=TRUE)*(F139-Calc!F26))+B148)/100)*(1+0.75*IF(C124=TRUE,F124,0)/100)*(1+(IF(Skills!A12="DARK_IMPALE",Inputs!$B$16+0,Inputs!$B$17+((C136=TRUE)*(F136-Calc!F23))))/100)*((1+(((C126=TRUE)*F126*IF(AND(Inputs!$B$4&lt;&gt;"pvp",Inputs!$B$35&gt;0),(((S126-1)*(Skills!T13*(1+Inputs!$B$33/100))+MIN((Skills!T13*(1+Inputs!$B$33/100)),MAX(0,Inputs!$B$35-((S126-1)*Skills!D13))))/Inputs!$B$35),IF(Inputs!$B$4="pvp",MIN((Skills!T13*(1+Inputs!$B$33/100)),15)/15,(Skills!T13*(1+Inputs!$B$33/100))/Skills!D13)))+((C127=TRUE)*F127*IF(AND(Inputs!$B$4&lt;&gt;"pvp",Inputs!$B$35&gt;0),(((S127-1)*(Skills!T14*(1+Inputs!$B$33/100))+MIN((Skills!T14*(1+Inputs!$B$33/100)),MAX(0,Inputs!$B$35-((S127-1)*Skills!D14))))/Inputs!$B$35),IF(Inputs!$B$4="pvp",MIN((Skills!T14*(1+Inputs!$B$33/100)),15)/15,(Skills!T14*(1+Inputs!$B$33/100))/Skills!D14)))+((C128=TRUE)*F128*IF(AND(Inputs!$B$4&lt;&gt;"pvp",Inputs!$B$35&gt;0),(((S128-1)*(Skills!T15*(1+Inputs!$B$33/100))+MIN((Skills!T15*(1+Inputs!$B$33/100)),MAX(0,Inputs!$B$35-((S128-1)*Skills!D15))))/Inputs!$B$35),IF(Inputs!$B$4="pvp",MIN((Skills!T15*(1+Inputs!$B$33/100)),15)/15,(Skills!T15*(1+Inputs!$B$33/100))/Skills!D15)))+((C129=TRUE)*F129*IF(AND(Inputs!$B$4&lt;&gt;"pvp",Inputs!$B$35&gt;0),(((S129-1)*(Skills!T16*(1+Inputs!$B$33/100))+MIN((Skills!T16*(1+Inputs!$B$33/100)),MAX(0,Inputs!$B$35-((S129-1)*Skills!D16))))/Inputs!$B$35),IF(Inputs!$B$4="pvp",MIN((Skills!T16*(1+Inputs!$B$33/100)),15)/15,(Skills!T16*(1+Inputs!$B$33/100))/Skills!D16)))+0)/100)*I125)</f>
        <v/>
      </c>
      <c r="L125">
        <f>K125*(MIN(Inputs!$B$21+((C135=TRUE)*(F135-Calc!F22)),Inputs!$B$22+((C137=TRUE)*(F137-Calc!F24)))/100+(Inputs!$B$22+((C137=TRUE)*(F137-Calc!F24)))/100)/2</f>
        <v/>
      </c>
      <c r="M125">
        <f>L125*(1+(Inputs!$B$9+0+B147)/100)</f>
        <v/>
      </c>
      <c r="N125">
        <f>L125*(1-MIN((Inputs!$B$8+0+B142),100)/100)+M125*(MIN((Inputs!$B$8+0+B142),100)/100)</f>
        <v/>
      </c>
      <c r="O125">
        <f>IF(C125,H125*N125*IF(AND(Inputs!$B$4&lt;&gt;"pvp",Inputs!$B$35&gt;0),((Skills!G12*((R125-1)*IF(Skills!H12&gt;0,Skills!I12/Skills!H12,1)+IF(Skills!H12&gt;0,MIN(Skills!I12,MAX(0,Inputs!$B$35-((R125-1)*IF(Inputs!$B$4="pvp",15,MAX(0.1,Skills!D12-IF(Skills!E12=TRUE,Inputs!$B$31,0))))))/Skills!H12,1)))/Inputs!$B$35),G125*Q125)*IF(Inputs!$B$4="pvp",1,(1-Summary!$B$55)*(1)+Summary!$B$55*(MIN(Skills!R12,Inputs!$B$37))),0)</f>
        <v/>
      </c>
      <c r="P125">
        <f>IF(B150=0,0,O125/B150)</f>
        <v/>
      </c>
      <c r="Q125">
        <f>IFERROR(1/IF(Inputs!$B$4="pvp",15,MAX(0.1,Skills!D12-IF(Skills!E12=TRUE,Inputs!$B$31,0))),0)</f>
        <v/>
      </c>
      <c r="R125">
        <f>IF(AND(Inputs!$B$4&lt;&gt;"pvp",Inputs!$B$35&gt;0),(INT(Inputs!$B$35/IF(Inputs!$B$4="pvp",15,MAX(0.1,Skills!D12-IF(Skills!E12=TRUE,Inputs!$B$31,0))))+1),0)</f>
        <v/>
      </c>
      <c r="S125">
        <f>IFERROR(O125/N125,0)</f>
        <v/>
      </c>
    </row>
    <row r="126">
      <c r="A126">
        <f>Skills!A13</f>
        <v/>
      </c>
      <c r="B126">
        <f>Skills!B13</f>
        <v/>
      </c>
      <c r="C126">
        <f>Inputs!$B$3&gt;=69</f>
        <v/>
      </c>
      <c r="D126">
        <f>IF(Skills!C13=1,60+Inputs!$B$24+Inputs!$B$28,IF(Skills!C13=2,90+Inputs!$B$25+Inputs!$B$28,IF(Skills!C13=3,120+Inputs!$B$26+Inputs!$B$28,MAX(0,(Inputs!$B$3-100)*3)+Inputs!$B$27+Inputs!$B$28)))</f>
        <v/>
      </c>
      <c r="E126">
        <f>INDEX(FactorTable!$B$2:$Y$301, MATCH(ROUND(MIN(300,MAX(1,D126)),0), FactorTable!$A$2:$A$301,0), Skills!M13+1)</f>
        <v/>
      </c>
      <c r="F126">
        <f>IF(Skills!N13=TRUE,(Skills!L13/10)*(E126/1000),Skills!L13/10)+Skills!O13</f>
        <v/>
      </c>
      <c r="G126">
        <f>Skills!G13*IF(Skills!H13&gt;0,Skills!I13/Skills!H13,1)</f>
        <v/>
      </c>
      <c r="H126">
        <f>1-(1-Skills!J13/100)^Skills!K13</f>
        <v/>
      </c>
      <c r="I126" t="inlineStr">
        <is>
          <t>1</t>
        </is>
      </c>
      <c r="J126" t="inlineStr"/>
      <c r="K126" t="inlineStr"/>
      <c r="L126" t="inlineStr"/>
      <c r="M126" t="inlineStr"/>
      <c r="N126" t="inlineStr"/>
      <c r="O126" t="n">
        <v>0</v>
      </c>
      <c r="P126">
        <f>IF(B150=0,0,O126/B150)</f>
        <v/>
      </c>
      <c r="Q126">
        <f>IFERROR(1/IF(Inputs!$B$4="pvp",15,MAX(0.1,Skills!D13-IF(Skills!E13=TRUE,Inputs!$B$31,0))),0)</f>
        <v/>
      </c>
      <c r="R126">
        <f>IF(AND(Inputs!$B$4&lt;&gt;"pvp",Inputs!$B$35&gt;0),(INT(Inputs!$B$35/IF(Inputs!$B$4="pvp",15,MAX(0.1,Skills!D13-IF(Skills!E13=TRUE,Inputs!$B$31,0))))+1),0)</f>
        <v/>
      </c>
      <c r="S126">
        <f>IFERROR(O126/N126,0)</f>
        <v/>
      </c>
    </row>
    <row r="127">
      <c r="A127">
        <f>Skills!A14</f>
        <v/>
      </c>
      <c r="B127">
        <f>Skills!B14</f>
        <v/>
      </c>
      <c r="C127">
        <f>Inputs!$B$3&gt;=115</f>
        <v/>
      </c>
      <c r="D127">
        <f>IF(Skills!C14=1,60+Inputs!$B$24+Inputs!$B$28,IF(Skills!C14=2,90+Inputs!$B$25+Inputs!$B$28,IF(Skills!C14=3,120+Inputs!$B$26+Inputs!$B$28,MAX(0,(Inputs!$B$3-100)*3)+Inputs!$B$27+Inputs!$B$28)))</f>
        <v/>
      </c>
      <c r="E127">
        <f>INDEX(FactorTable!$B$2:$Y$301, MATCH(ROUND(MIN(300,MAX(1,D127)),0), FactorTable!$A$2:$A$301,0), Skills!M14+1)</f>
        <v/>
      </c>
      <c r="F127">
        <f>IF(Skills!N14=TRUE,(Skills!L14/10)*(E127/1000),Skills!L14/10)+Skills!O14</f>
        <v/>
      </c>
      <c r="G127">
        <f>Skills!G14*IF(Skills!H14&gt;0,Skills!I14/Skills!H14,1)</f>
        <v/>
      </c>
      <c r="H127">
        <f>1-(1-Skills!J14/100)^Skills!K14</f>
        <v/>
      </c>
      <c r="I127" t="inlineStr">
        <is>
          <t>1</t>
        </is>
      </c>
      <c r="J127" t="inlineStr"/>
      <c r="K127" t="inlineStr"/>
      <c r="L127" t="inlineStr"/>
      <c r="M127" t="inlineStr"/>
      <c r="N127" t="inlineStr"/>
      <c r="O127" t="n">
        <v>0</v>
      </c>
      <c r="P127">
        <f>IF(B150=0,0,O127/B150)</f>
        <v/>
      </c>
      <c r="Q127">
        <f>IFERROR(1/IF(Inputs!$B$4="pvp",15,MAX(0.1,Skills!D14-IF(Skills!E14=TRUE,Inputs!$B$31,0))),0)</f>
        <v/>
      </c>
      <c r="R127">
        <f>IF(AND(Inputs!$B$4&lt;&gt;"pvp",Inputs!$B$35&gt;0),(INT(Inputs!$B$35/IF(Inputs!$B$4="pvp",15,MAX(0.1,Skills!D14-IF(Skills!E14=TRUE,Inputs!$B$31,0))))+1),0)</f>
        <v/>
      </c>
      <c r="S127">
        <f>IFERROR(O127/N127,0)</f>
        <v/>
      </c>
    </row>
    <row r="128">
      <c r="A128">
        <f>Skills!A15</f>
        <v/>
      </c>
      <c r="B128">
        <f>Skills!B15</f>
        <v/>
      </c>
      <c r="C128">
        <f>Inputs!$B$3&gt;=66</f>
        <v/>
      </c>
      <c r="D128">
        <f>IF(Skills!C15=1,60+Inputs!$B$24+Inputs!$B$28,IF(Skills!C15=2,90+Inputs!$B$25+Inputs!$B$28,IF(Skills!C15=3,120+Inputs!$B$26+Inputs!$B$28,MAX(0,(Inputs!$B$3-100)*3)+Inputs!$B$27+Inputs!$B$28)))</f>
        <v/>
      </c>
      <c r="E128">
        <f>INDEX(FactorTable!$B$2:$Y$301, MATCH(ROUND(MIN(300,MAX(1,D128)),0), FactorTable!$A$2:$A$301,0), Skills!M15+1)</f>
        <v/>
      </c>
      <c r="F128">
        <f>IF(Skills!N15=TRUE,(Skills!L15/10)*(E128/1000),Skills!L15/10)+Skills!O15</f>
        <v/>
      </c>
      <c r="G128">
        <f>Skills!G15*IF(Skills!H15&gt;0,Skills!I15/Skills!H15,1)</f>
        <v/>
      </c>
      <c r="H128">
        <f>1-(1-Skills!J15/100)^Skills!K15</f>
        <v/>
      </c>
      <c r="I128" t="inlineStr">
        <is>
          <t>1</t>
        </is>
      </c>
      <c r="J128" t="inlineStr"/>
      <c r="K128" t="inlineStr"/>
      <c r="L128" t="inlineStr"/>
      <c r="M128" t="inlineStr"/>
      <c r="N128" t="inlineStr"/>
      <c r="O128" t="n">
        <v>0</v>
      </c>
      <c r="P128">
        <f>IF(B150=0,0,O128/B150)</f>
        <v/>
      </c>
      <c r="Q128">
        <f>IFERROR(1/IF(Inputs!$B$4="pvp",15,MAX(0.1,Skills!D15-IF(Skills!E15=TRUE,Inputs!$B$31,0))),0)</f>
        <v/>
      </c>
      <c r="R128">
        <f>IF(AND(Inputs!$B$4&lt;&gt;"pvp",Inputs!$B$35&gt;0),(INT(Inputs!$B$35/IF(Inputs!$B$4="pvp",15,MAX(0.1,Skills!D15-IF(Skills!E15=TRUE,Inputs!$B$31,0))))+1),0)</f>
        <v/>
      </c>
      <c r="S128">
        <f>IFERROR(O128/N128,0)</f>
        <v/>
      </c>
    </row>
    <row r="129">
      <c r="A129">
        <f>Skills!A16</f>
        <v/>
      </c>
      <c r="B129">
        <f>Skills!B16</f>
        <v/>
      </c>
      <c r="C129">
        <f>Inputs!$B$3&gt;=45</f>
        <v/>
      </c>
      <c r="D129">
        <f>IF(Skills!C16=1,60+Inputs!$B$24+Inputs!$B$28,IF(Skills!C16=2,90+Inputs!$B$25+Inputs!$B$28,IF(Skills!C16=3,120+Inputs!$B$26+Inputs!$B$28,MAX(0,(Inputs!$B$3-100)*3)+Inputs!$B$27+Inputs!$B$28)))</f>
        <v/>
      </c>
      <c r="E129">
        <f>INDEX(FactorTable!$B$2:$Y$301, MATCH(ROUND(MIN(300,MAX(1,D129)),0), FactorTable!$A$2:$A$301,0), Skills!M16+1)</f>
        <v/>
      </c>
      <c r="F129">
        <f>IF(Skills!N16=TRUE,(Skills!L16/10)*(E129/1000),Skills!L16/10)+Skills!O16</f>
        <v/>
      </c>
      <c r="G129">
        <f>Skills!G16*IF(Skills!H16&gt;0,Skills!I16/Skills!H16,1)</f>
        <v/>
      </c>
      <c r="H129">
        <f>1-(1-Skills!J16/100)^Skills!K16</f>
        <v/>
      </c>
      <c r="I129" t="inlineStr">
        <is>
          <t>1</t>
        </is>
      </c>
      <c r="J129" t="inlineStr"/>
      <c r="K129" t="inlineStr"/>
      <c r="L129" t="inlineStr"/>
      <c r="M129" t="inlineStr"/>
      <c r="N129" t="inlineStr"/>
      <c r="O129" t="n">
        <v>0</v>
      </c>
      <c r="P129">
        <f>IF(B150=0,0,O129/B150)</f>
        <v/>
      </c>
      <c r="Q129">
        <f>IFERROR(1/IF(Inputs!$B$4="pvp",15,MAX(0.1,Skills!D16-IF(Skills!E16=TRUE,Inputs!$B$31,0))),0)</f>
        <v/>
      </c>
      <c r="R129">
        <f>IF(AND(Inputs!$B$4&lt;&gt;"pvp",Inputs!$B$35&gt;0),(INT(Inputs!$B$35/IF(Inputs!$B$4="pvp",15,MAX(0.1,Skills!D16-IF(Skills!E16=TRUE,Inputs!$B$31,0))))+1),0)</f>
        <v/>
      </c>
      <c r="S129">
        <f>IFERROR(O129/N129,0)</f>
        <v/>
      </c>
    </row>
    <row r="130">
      <c r="A130">
        <f>Skills!A17</f>
        <v/>
      </c>
      <c r="B130">
        <f>Skills!B17</f>
        <v/>
      </c>
      <c r="C130">
        <f>Inputs!$B$3&gt;=35</f>
        <v/>
      </c>
      <c r="D130">
        <f>IF(Skills!C17=1,60+Inputs!$B$24+Inputs!$B$28,IF(Skills!C17=2,90+Inputs!$B$25+Inputs!$B$28,IF(Skills!C17=3,120+Inputs!$B$26+Inputs!$B$28,MAX(0,(Inputs!$B$3-100)*3)+Inputs!$B$27+Inputs!$B$28)))</f>
        <v/>
      </c>
      <c r="E130">
        <f>INDEX(FactorTable!$B$2:$Y$301, MATCH(ROUND(MIN(300,MAX(1,D130)),0), FactorTable!$A$2:$A$301,0), Skills!M17+1)</f>
        <v/>
      </c>
      <c r="F130">
        <f>IF(Skills!N17=TRUE,(Skills!L17/10)*(E130/1000),Skills!L17/10)+Skills!O17</f>
        <v/>
      </c>
      <c r="G130">
        <f>Skills!G17*IF(Skills!H17&gt;0,Skills!I17/Skills!H17,1)</f>
        <v/>
      </c>
      <c r="H130">
        <f>1-(1-Skills!J17/100)^Skills!K17</f>
        <v/>
      </c>
      <c r="I130" t="inlineStr">
        <is>
          <t>1</t>
        </is>
      </c>
      <c r="J130" t="inlineStr"/>
      <c r="K130" t="inlineStr"/>
      <c r="L130" t="inlineStr"/>
      <c r="M130" t="inlineStr"/>
      <c r="N130" t="inlineStr"/>
      <c r="O130" t="n">
        <v>0</v>
      </c>
      <c r="P130">
        <f>IF(B150=0,0,O130/B150)</f>
        <v/>
      </c>
      <c r="Q130">
        <f>IFERROR(1/IF(Inputs!$B$4="pvp",15,MAX(0.1,Skills!D17-IF(Skills!E17=TRUE,Inputs!$B$31,0))),0)</f>
        <v/>
      </c>
      <c r="R130">
        <f>IF(AND(Inputs!$B$4&lt;&gt;"pvp",Inputs!$B$35&gt;0),(INT(Inputs!$B$35/IF(Inputs!$B$4="pvp",15,MAX(0.1,Skills!D17-IF(Skills!E17=TRUE,Inputs!$B$31,0))))+1),0)</f>
        <v/>
      </c>
      <c r="S130">
        <f>IFERROR(O130/N130,0)</f>
        <v/>
      </c>
    </row>
    <row r="131">
      <c r="A131">
        <f>Skills!A18</f>
        <v/>
      </c>
      <c r="B131">
        <f>Skills!B18</f>
        <v/>
      </c>
      <c r="C131">
        <f>Inputs!$B$3&gt;=72</f>
        <v/>
      </c>
      <c r="D131">
        <f>IF(Skills!C18=1,60+Inputs!$B$24+Inputs!$B$28,IF(Skills!C18=2,90+Inputs!$B$25+Inputs!$B$28,IF(Skills!C18=3,120+Inputs!$B$26+Inputs!$B$28,MAX(0,(Inputs!$B$3-100)*3)+Inputs!$B$27+Inputs!$B$28)))</f>
        <v/>
      </c>
      <c r="E131">
        <f>INDEX(FactorTable!$B$2:$Y$301, MATCH(ROUND(MIN(300,MAX(1,D131)),0), FactorTable!$A$2:$A$301,0), Skills!M18+1)</f>
        <v/>
      </c>
      <c r="F131">
        <f>IF(Skills!N18=TRUE,(Skills!L18/10)*(E131/1000),Skills!L18/10)+Skills!O18</f>
        <v/>
      </c>
      <c r="G131">
        <f>Skills!G18*IF(Skills!H18&gt;0,Skills!I18/Skills!H18,1)</f>
        <v/>
      </c>
      <c r="H131">
        <f>1-(1-Skills!J18/100)^Skills!K18</f>
        <v/>
      </c>
      <c r="I131" t="inlineStr">
        <is>
          <t>1</t>
        </is>
      </c>
      <c r="J131" t="inlineStr"/>
      <c r="K131" t="inlineStr"/>
      <c r="L131" t="inlineStr"/>
      <c r="M131" t="inlineStr"/>
      <c r="N131" t="inlineStr"/>
      <c r="O131" t="n">
        <v>0</v>
      </c>
      <c r="P131">
        <f>IF(B150=0,0,O131/B150)</f>
        <v/>
      </c>
      <c r="Q131">
        <f>IFERROR(1/IF(Inputs!$B$4="pvp",15,MAX(0.1,Skills!D18-IF(Skills!E18=TRUE,Inputs!$B$31,0))),0)</f>
        <v/>
      </c>
      <c r="R131">
        <f>IF(AND(Inputs!$B$4&lt;&gt;"pvp",Inputs!$B$35&gt;0),(INT(Inputs!$B$35/IF(Inputs!$B$4="pvp",15,MAX(0.1,Skills!D18-IF(Skills!E18=TRUE,Inputs!$B$31,0))))+1),0)</f>
        <v/>
      </c>
      <c r="S131">
        <f>IFERROR(O131/N131,0)</f>
        <v/>
      </c>
    </row>
    <row r="132">
      <c r="A132">
        <f>Skills!A19</f>
        <v/>
      </c>
      <c r="B132">
        <f>Skills!B19</f>
        <v/>
      </c>
      <c r="C132">
        <f>Inputs!$B$3&gt;=72</f>
        <v/>
      </c>
      <c r="D132">
        <f>IF(Skills!C19=1,60+Inputs!$B$24+Inputs!$B$28,IF(Skills!C19=2,90+Inputs!$B$25+Inputs!$B$28,IF(Skills!C19=3,120+Inputs!$B$26+Inputs!$B$28,MAX(0,(Inputs!$B$3-100)*3)+Inputs!$B$27+Inputs!$B$28)))</f>
        <v/>
      </c>
      <c r="E132">
        <f>INDEX(FactorTable!$B$2:$Y$301, MATCH(ROUND(MIN(300,MAX(1,D132)),0), FactorTable!$A$2:$A$301,0), Skills!M19+1)</f>
        <v/>
      </c>
      <c r="F132">
        <f>IF(Skills!N19=TRUE,(Skills!L19/10)*(E132/1000),Skills!L19/10)+Skills!O19</f>
        <v/>
      </c>
      <c r="G132">
        <f>Skills!G19*IF(Skills!H19&gt;0,Skills!I19/Skills!H19,1)</f>
        <v/>
      </c>
      <c r="H132">
        <f>1-(1-Skills!J19/100)^Skills!K19</f>
        <v/>
      </c>
      <c r="I132" t="inlineStr">
        <is>
          <t>1</t>
        </is>
      </c>
      <c r="J132" t="inlineStr"/>
      <c r="K132" t="inlineStr"/>
      <c r="L132" t="inlineStr"/>
      <c r="M132" t="inlineStr"/>
      <c r="N132" t="inlineStr"/>
      <c r="O132" t="n">
        <v>0</v>
      </c>
      <c r="P132">
        <f>IF(B150=0,0,O132/B150)</f>
        <v/>
      </c>
      <c r="Q132">
        <f>IFERROR(1/IF(Inputs!$B$4="pvp",15,MAX(0.1,Skills!D19-IF(Skills!E19=TRUE,Inputs!$B$31,0))),0)</f>
        <v/>
      </c>
      <c r="R132">
        <f>IF(AND(Inputs!$B$4&lt;&gt;"pvp",Inputs!$B$35&gt;0),(INT(Inputs!$B$35/IF(Inputs!$B$4="pvp",15,MAX(0.1,Skills!D19-IF(Skills!E19=TRUE,Inputs!$B$31,0))))+1),0)</f>
        <v/>
      </c>
      <c r="S132">
        <f>IFERROR(O132/N132,0)</f>
        <v/>
      </c>
    </row>
    <row r="133">
      <c r="A133">
        <f>Skills!A20</f>
        <v/>
      </c>
      <c r="B133">
        <f>Skills!B20</f>
        <v/>
      </c>
      <c r="C133">
        <f>TRUE</f>
        <v/>
      </c>
      <c r="D133">
        <f>IF(Skills!C20=1,60+Inputs!$B$24+Inputs!$B$28,IF(Skills!C20=2,90+Inputs!$B$25+Inputs!$B$28,IF(Skills!C20=3,120+Inputs!$B$26+Inputs!$B$28,MAX(0,(Inputs!$B$3-100)*3)+Inputs!$B$27+Inputs!$B$28)))</f>
        <v/>
      </c>
      <c r="E133">
        <f>INDEX(FactorTable!$B$2:$Y$301, MATCH(ROUND(MIN(300,MAX(1,D133)),0), FactorTable!$A$2:$A$301,0), Skills!M20+1)</f>
        <v/>
      </c>
      <c r="F133">
        <f>IF(Skills!N20=TRUE,(Skills!L20/10)*(E133/1000),Skills!L20/10)+Skills!O20</f>
        <v/>
      </c>
      <c r="G133">
        <f>Skills!G20*IF(Skills!H20&gt;0,Skills!I20/Skills!H20,1)</f>
        <v/>
      </c>
      <c r="H133">
        <f>1-(1-Skills!J20/100)^Skills!K20</f>
        <v/>
      </c>
      <c r="I133" t="inlineStr">
        <is>
          <t>1</t>
        </is>
      </c>
      <c r="J133" t="inlineStr"/>
      <c r="K133" t="inlineStr"/>
      <c r="L133" t="inlineStr"/>
      <c r="M133" t="inlineStr"/>
      <c r="N133" t="inlineStr"/>
      <c r="O133" t="n">
        <v>0</v>
      </c>
      <c r="P133">
        <f>IF(B150=0,0,O133/B150)</f>
        <v/>
      </c>
      <c r="Q133">
        <f>IFERROR(1/IF(Inputs!$B$4="pvp",15,MAX(0.1,Skills!D20-IF(Skills!E20=TRUE,Inputs!$B$31,0))),0)</f>
        <v/>
      </c>
      <c r="R133">
        <f>IF(AND(Inputs!$B$4&lt;&gt;"pvp",Inputs!$B$35&gt;0),(INT(Inputs!$B$35/IF(Inputs!$B$4="pvp",15,MAX(0.1,Skills!D20-IF(Skills!E20=TRUE,Inputs!$B$31,0))))+1),0)</f>
        <v/>
      </c>
      <c r="S133">
        <f>IFERROR(O133/N133,0)</f>
        <v/>
      </c>
    </row>
    <row r="134">
      <c r="A134">
        <f>Skills!A21</f>
        <v/>
      </c>
      <c r="B134">
        <f>Skills!B21</f>
        <v/>
      </c>
      <c r="C134">
        <f>Inputs!$B$3&gt;=33</f>
        <v/>
      </c>
      <c r="D134">
        <f>IF(Skills!C21=1,60+Inputs!$B$24+Inputs!$B$28,IF(Skills!C21=2,90+Inputs!$B$25+Inputs!$B$28,IF(Skills!C21=3,120+Inputs!$B$26+Inputs!$B$28,MAX(0,(Inputs!$B$3-100)*3)+Inputs!$B$27+Inputs!$B$28)))</f>
        <v/>
      </c>
      <c r="E134">
        <f>INDEX(FactorTable!$B$2:$Y$301, MATCH(ROUND(MIN(300,MAX(1,D134)),0), FactorTable!$A$2:$A$301,0), Skills!M21+1)</f>
        <v/>
      </c>
      <c r="F134">
        <f>IF(Skills!N21=TRUE,(Skills!L21/10)*(E134/1000),Skills!L21/10)+Skills!O21</f>
        <v/>
      </c>
      <c r="G134">
        <f>Skills!G21*IF(Skills!H21&gt;0,Skills!I21/Skills!H21,1)</f>
        <v/>
      </c>
      <c r="H134">
        <f>1-(1-Skills!J21/100)^Skills!K21</f>
        <v/>
      </c>
      <c r="I134" t="inlineStr">
        <is>
          <t>1</t>
        </is>
      </c>
      <c r="J134" t="inlineStr"/>
      <c r="K134" t="inlineStr"/>
      <c r="L134" t="inlineStr"/>
      <c r="M134" t="inlineStr"/>
      <c r="N134" t="inlineStr"/>
      <c r="O134" t="n">
        <v>0</v>
      </c>
      <c r="P134">
        <f>IF(B150=0,0,O134/B150)</f>
        <v/>
      </c>
      <c r="Q134" t="n">
        <v>0</v>
      </c>
      <c r="R134" t="n">
        <v>0</v>
      </c>
      <c r="S134">
        <f>IFERROR(O134/N134,0)</f>
        <v/>
      </c>
    </row>
    <row r="135">
      <c r="A135">
        <f>Skills!A22</f>
        <v/>
      </c>
      <c r="B135">
        <f>Skills!B22</f>
        <v/>
      </c>
      <c r="C135">
        <f>Inputs!$B$3&gt;=43</f>
        <v/>
      </c>
      <c r="D135">
        <f>IF(Skills!C22=1,60+Inputs!$B$24+Inputs!$B$28,IF(Skills!C22=2,90+Inputs!$B$25+Inputs!$B$28,IF(Skills!C22=3,120+Inputs!$B$26+Inputs!$B$28,MAX(0,(Inputs!$B$3-100)*3)+Inputs!$B$27+Inputs!$B$28)))</f>
        <v/>
      </c>
      <c r="E135">
        <f>INDEX(FactorTable!$B$2:$Y$301, MATCH(ROUND(MIN(300,MAX(1,D135)),0), FactorTable!$A$2:$A$301,0), Skills!M22+1)</f>
        <v/>
      </c>
      <c r="F135">
        <f>IF(Skills!N22=TRUE,(Skills!L22/10)*(E135/1000),Skills!L22/10)+Skills!O22</f>
        <v/>
      </c>
      <c r="G135">
        <f>Skills!G22*IF(Skills!H22&gt;0,Skills!I22/Skills!H22,1)</f>
        <v/>
      </c>
      <c r="H135">
        <f>1-(1-Skills!J22/100)^Skills!K22</f>
        <v/>
      </c>
      <c r="I135" t="inlineStr">
        <is>
          <t>1</t>
        </is>
      </c>
      <c r="J135" t="inlineStr"/>
      <c r="K135" t="inlineStr"/>
      <c r="L135" t="inlineStr"/>
      <c r="M135" t="inlineStr"/>
      <c r="N135" t="inlineStr"/>
      <c r="O135" t="n">
        <v>0</v>
      </c>
      <c r="P135">
        <f>IF(B150=0,0,O135/B150)</f>
        <v/>
      </c>
      <c r="Q135" t="n">
        <v>0</v>
      </c>
      <c r="R135" t="n">
        <v>0</v>
      </c>
      <c r="S135">
        <f>IFERROR(O135/N135,0)</f>
        <v/>
      </c>
    </row>
    <row r="136">
      <c r="A136">
        <f>Skills!A23</f>
        <v/>
      </c>
      <c r="B136">
        <f>Skills!B23</f>
        <v/>
      </c>
      <c r="C136">
        <f>Inputs!$B$3&gt;=120</f>
        <v/>
      </c>
      <c r="D136">
        <f>IF(Skills!C23=1,60+Inputs!$B$24+Inputs!$B$28,IF(Skills!C23=2,90+Inputs!$B$25+Inputs!$B$28,IF(Skills!C23=3,120+Inputs!$B$26+Inputs!$B$28,MAX(0,(Inputs!$B$3-100)*3)+Inputs!$B$27+Inputs!$B$28)))</f>
        <v/>
      </c>
      <c r="E136">
        <f>INDEX(FactorTable!$B$2:$Y$301, MATCH(ROUND(MIN(300,MAX(1,D136)),0), FactorTable!$A$2:$A$301,0), Skills!M23+1)</f>
        <v/>
      </c>
      <c r="F136">
        <f>IF(Skills!N23=TRUE,(Skills!L23/10)*(E136/1000),Skills!L23/10)+Skills!O23</f>
        <v/>
      </c>
      <c r="G136">
        <f>Skills!G23*IF(Skills!H23&gt;0,Skills!I23/Skills!H23,1)</f>
        <v/>
      </c>
      <c r="H136">
        <f>1-(1-Skills!J23/100)^Skills!K23</f>
        <v/>
      </c>
      <c r="I136" t="inlineStr">
        <is>
          <t>1</t>
        </is>
      </c>
      <c r="J136" t="inlineStr"/>
      <c r="K136" t="inlineStr"/>
      <c r="L136" t="inlineStr"/>
      <c r="M136" t="inlineStr"/>
      <c r="N136" t="inlineStr"/>
      <c r="O136" t="n">
        <v>0</v>
      </c>
      <c r="P136">
        <f>IF(B150=0,0,O136/B150)</f>
        <v/>
      </c>
      <c r="Q136" t="n">
        <v>0</v>
      </c>
      <c r="R136" t="n">
        <v>0</v>
      </c>
      <c r="S136">
        <f>IFERROR(O136/N136,0)</f>
        <v/>
      </c>
    </row>
    <row r="137">
      <c r="A137">
        <f>Skills!A24</f>
        <v/>
      </c>
      <c r="B137">
        <f>Skills!B24</f>
        <v/>
      </c>
      <c r="C137">
        <f>Inputs!$B$3&gt;=120</f>
        <v/>
      </c>
      <c r="D137">
        <f>IF(Skills!C24=1,60+Inputs!$B$24+Inputs!$B$28,IF(Skills!C24=2,90+Inputs!$B$25+Inputs!$B$28,IF(Skills!C24=3,120+Inputs!$B$26+Inputs!$B$28,MAX(0,(Inputs!$B$3-100)*3)+Inputs!$B$27+Inputs!$B$28)))</f>
        <v/>
      </c>
      <c r="E137">
        <f>INDEX(FactorTable!$B$2:$Y$301, MATCH(ROUND(MIN(300,MAX(1,D137)),0), FactorTable!$A$2:$A$301,0), Skills!M24+1)</f>
        <v/>
      </c>
      <c r="F137">
        <f>IF(Skills!N24=TRUE,(Skills!L24/10)*(E137/1000),Skills!L24/10)+Skills!O24</f>
        <v/>
      </c>
      <c r="G137">
        <f>Skills!G24*IF(Skills!H24&gt;0,Skills!I24/Skills!H24,1)</f>
        <v/>
      </c>
      <c r="H137">
        <f>1-(1-Skills!J24/100)^Skills!K24</f>
        <v/>
      </c>
      <c r="I137" t="inlineStr">
        <is>
          <t>1</t>
        </is>
      </c>
      <c r="J137" t="inlineStr"/>
      <c r="K137" t="inlineStr"/>
      <c r="L137" t="inlineStr"/>
      <c r="M137" t="inlineStr"/>
      <c r="N137" t="inlineStr"/>
      <c r="O137" t="n">
        <v>0</v>
      </c>
      <c r="P137">
        <f>IF(B150=0,0,O137/B150)</f>
        <v/>
      </c>
      <c r="Q137" t="n">
        <v>0</v>
      </c>
      <c r="R137" t="n">
        <v>0</v>
      </c>
      <c r="S137">
        <f>IFERROR(O137/N137,0)</f>
        <v/>
      </c>
    </row>
    <row r="138">
      <c r="A138">
        <f>Skills!A25</f>
        <v/>
      </c>
      <c r="B138">
        <f>Skills!B25</f>
        <v/>
      </c>
      <c r="C138">
        <f>Inputs!$B$3&gt;=125</f>
        <v/>
      </c>
      <c r="D138">
        <f>IF(Skills!C25=1,60+Inputs!$B$24+Inputs!$B$28,IF(Skills!C25=2,90+Inputs!$B$25+Inputs!$B$28,IF(Skills!C25=3,120+Inputs!$B$26+Inputs!$B$28,MAX(0,(Inputs!$B$3-100)*3)+Inputs!$B$27+Inputs!$B$28)))</f>
        <v/>
      </c>
      <c r="E138">
        <f>INDEX(FactorTable!$B$2:$Y$301, MATCH(ROUND(MIN(300,MAX(1,D138)),0), FactorTable!$A$2:$A$301,0), Skills!M25+1)</f>
        <v/>
      </c>
      <c r="F138">
        <f>IF(Skills!N25=TRUE,(Skills!L25/10)*(E138/1000),Skills!L25/10)+Skills!O25</f>
        <v/>
      </c>
      <c r="G138">
        <f>Skills!G25*IF(Skills!H25&gt;0,Skills!I25/Skills!H25,1)</f>
        <v/>
      </c>
      <c r="H138">
        <f>1-(1-Skills!J25/100)^Skills!K25</f>
        <v/>
      </c>
      <c r="I138" t="inlineStr">
        <is>
          <t>1</t>
        </is>
      </c>
      <c r="J138" t="inlineStr"/>
      <c r="K138" t="inlineStr"/>
      <c r="L138" t="inlineStr"/>
      <c r="M138" t="inlineStr"/>
      <c r="N138" t="inlineStr"/>
      <c r="O138" t="n">
        <v>0</v>
      </c>
      <c r="P138">
        <f>IF(B150=0,0,O138/B150)</f>
        <v/>
      </c>
      <c r="Q138" t="n">
        <v>0</v>
      </c>
      <c r="R138" t="n">
        <v>0</v>
      </c>
      <c r="S138">
        <f>IFERROR(O138/N138,0)</f>
        <v/>
      </c>
    </row>
    <row r="139">
      <c r="A139">
        <f>Skills!A26</f>
        <v/>
      </c>
      <c r="B139">
        <f>Skills!B26</f>
        <v/>
      </c>
      <c r="C139">
        <f>Inputs!$B$3&gt;=107</f>
        <v/>
      </c>
      <c r="D139">
        <f>IF(Skills!C26=1,60+Inputs!$B$24+Inputs!$B$28,IF(Skills!C26=2,90+Inputs!$B$25+Inputs!$B$28,IF(Skills!C26=3,120+Inputs!$B$26+Inputs!$B$28,MAX(0,(Inputs!$B$3-100)*3)+Inputs!$B$27+Inputs!$B$28)))</f>
        <v/>
      </c>
      <c r="E139">
        <f>INDEX(FactorTable!$B$2:$Y$301, MATCH(ROUND(MIN(300,MAX(1,D139)),0), FactorTable!$A$2:$A$301,0), Skills!M26+1)</f>
        <v/>
      </c>
      <c r="F139">
        <f>IF(Skills!N26=TRUE,(Skills!L26/10)*(E139/1000),Skills!L26/10)+Skills!O26</f>
        <v/>
      </c>
      <c r="G139">
        <f>Skills!G26*IF(Skills!H26&gt;0,Skills!I26/Skills!H26,1)</f>
        <v/>
      </c>
      <c r="H139">
        <f>1-(1-Skills!J26/100)^Skills!K26</f>
        <v/>
      </c>
      <c r="I139" t="inlineStr">
        <is>
          <t>1</t>
        </is>
      </c>
      <c r="J139" t="inlineStr"/>
      <c r="K139" t="inlineStr"/>
      <c r="L139" t="inlineStr"/>
      <c r="M139" t="inlineStr"/>
      <c r="N139" t="inlineStr"/>
      <c r="O139" t="n">
        <v>0</v>
      </c>
      <c r="P139">
        <f>IF(B150=0,0,O139/B150)</f>
        <v/>
      </c>
      <c r="Q139" t="n">
        <v>0</v>
      </c>
      <c r="R139" t="n">
        <v>0</v>
      </c>
      <c r="S139">
        <f>IFERROR(O139/N139,0)</f>
        <v/>
      </c>
    </row>
    <row r="141">
      <c r="A141" t="inlineStr">
        <is>
          <t>Attack% Bucket Multiplier</t>
        </is>
      </c>
      <c r="B141">
        <f>(1+(((C126=TRUE)*F126*IF(AND(Inputs!$B$4&lt;&gt;"pvp",Inputs!$B$35&gt;0),(((S126-1)*(Skills!T13*(1+Inputs!$B$33/100))+MIN((Skills!T13*(1+Inputs!$B$33/100)),MAX(0,Inputs!$B$35-((S126-1)*Skills!D13))))/Inputs!$B$35),IF(Inputs!$B$4="pvp",MIN((Skills!T13*(1+Inputs!$B$33/100)),15)/15,(Skills!T13*(1+Inputs!$B$33/100))/Skills!D13)))+((C127=TRUE)*F127*IF(AND(Inputs!$B$4&lt;&gt;"pvp",Inputs!$B$35&gt;0),(((S127-1)*(Skills!T14*(1+Inputs!$B$33/100))+MIN((Skills!T14*(1+Inputs!$B$33/100)),MAX(0,Inputs!$B$35-((S127-1)*Skills!D14))))/Inputs!$B$35),IF(Inputs!$B$4="pvp",MIN((Skills!T14*(1+Inputs!$B$33/100)),15)/15,(Skills!T14*(1+Inputs!$B$33/100))/Skills!D14)))+((C128=TRUE)*F128*IF(AND(Inputs!$B$4&lt;&gt;"pvp",Inputs!$B$35&gt;0),(((S128-1)*(Skills!T15*(1+Inputs!$B$33/100))+MIN((Skills!T15*(1+Inputs!$B$33/100)),MAX(0,Inputs!$B$35-((S128-1)*Skills!D15))))/Inputs!$B$35),IF(Inputs!$B$4="pvp",MIN((Skills!T15*(1+Inputs!$B$33/100)),15)/15,(Skills!T15*(1+Inputs!$B$33/100))/Skills!D15)))+((C129=TRUE)*F129*IF(AND(Inputs!$B$4&lt;&gt;"pvp",Inputs!$B$35&gt;0),(((S129-1)*(Skills!T16*(1+Inputs!$B$33/100))+MIN((Skills!T16*(1+Inputs!$B$33/100)),MAX(0,Inputs!$B$35-((S129-1)*Skills!D16))))/Inputs!$B$35),IF(Inputs!$B$4="pvp",MIN((Skills!T16*(1+Inputs!$B$33/100)),15)/15,(Skills!T16*(1+Inputs!$B$33/100))/Skills!D16)))+0)/100)</f>
        <v/>
      </c>
    </row>
    <row r="142">
      <c r="A142" t="inlineStr">
        <is>
          <t>Global Crit Rate Bonus % (Lord of Darkness)</t>
        </is>
      </c>
      <c r="B142">
        <f>((C131=TRUE)*F131*(Skills!J18/100)*IF(AND(Inputs!$B$4&lt;&gt;"pvp",Inputs!$B$35&gt;0),(((S131-1)*(Skills!T18*(1+Inputs!$B$33/100))+MIN((Skills!T18*(1+Inputs!$B$33/100)),MAX(0,Inputs!$B$35-((S131-1)*Skills!D18))))/Inputs!$B$35),IF(Inputs!$B$4="pvp",MIN((Skills!T18*(1+Inputs!$B$33/100)),15)/15,(Skills!T18*(1+Inputs!$B$33/100))/Skills!D18)))</f>
        <v/>
      </c>
    </row>
    <row r="143">
      <c r="A143" t="inlineStr">
        <is>
          <t>Attack Speed Buff Bonus %</t>
        </is>
      </c>
      <c r="B143">
        <f>((C133=TRUE)*F133*IF(AND(Inputs!$B$4&lt;&gt;"pvp",Inputs!$B$35&gt;0),(((S133-1)*(Skills!T20*(1+Inputs!$B$33/100))+MIN((Skills!T20*(1+Inputs!$B$33/100)),MAX(0,Inputs!$B$35-((S133-1)*Skills!D20))))/Inputs!$B$35),IF(Inputs!$B$4="pvp",MIN((Skills!T20*(1+Inputs!$B$33/100)),15)/15,(Skills!T20*(1+Inputs!$B$33/100))/Skills!D20)))</f>
        <v/>
      </c>
    </row>
    <row r="144">
      <c r="A144" t="inlineStr">
        <is>
          <t>Actions Per Second</t>
        </is>
      </c>
      <c r="B144">
        <f>1+MIN(150,150*(1-(1-(Inputs!$B$10+((C134=TRUE)*(F134-Calc!F21)))/150)*(1-B143/150)))/100</f>
        <v/>
      </c>
    </row>
    <row r="145">
      <c r="A145" t="inlineStr">
        <is>
          <t>Skill + Buff Cast Rate</t>
        </is>
      </c>
      <c r="B145">
        <f>IF(AND(Inputs!$B$4&lt;&gt;"pvp",Inputs!$B$35&gt;0),SUMPRODUCT((Skills!E2:E26=TRUE)*(C115:C139=TRUE)*R115:R139*Skills!F2:F26)/Inputs!$B$35,SUMPRODUCT((Skills!E2:E26=TRUE)*(C115:C139=TRUE)*Q115:Q139*Skills!F2:F26))</f>
        <v/>
      </c>
    </row>
    <row r="146">
      <c r="A146" t="inlineStr">
        <is>
          <t>Dark Impale Casts Per Second</t>
        </is>
      </c>
      <c r="B146">
        <f>MAX(0,B144-B145)</f>
        <v/>
      </c>
    </row>
    <row r="147">
      <c r="A147" t="inlineStr">
        <is>
          <t>Global Critical Damage Bonus % (Lord of Darkness)</t>
        </is>
      </c>
      <c r="B147">
        <f>((C132=TRUE)*F132*(Skills!J19/100)*IF(AND(Inputs!$B$4&lt;&gt;"pvp",Inputs!$B$35&gt;0),(((S132-1)*(Skills!T19*(1+Inputs!$B$33/100))+MIN((Skills!T19*(1+Inputs!$B$33/100)),MAX(0,Inputs!$B$35-((S132-1)*Skills!D19))))/Inputs!$B$35),IF(Inputs!$B$4="pvp",MIN((Skills!T19*(1+Inputs!$B$33/100)),15)/15,(Skills!T19*(1+Inputs!$B$33/100))/Skills!D19)))</f>
        <v/>
      </c>
    </row>
    <row r="148">
      <c r="A148" t="inlineStr">
        <is>
          <t>Global Final Damage Bonus % (unused)</t>
        </is>
      </c>
      <c r="B148" t="n">
        <v>0</v>
      </c>
    </row>
    <row r="150">
      <c r="A150" s="5" t="inlineStr">
        <is>
          <t>TOTAL DPS</t>
        </is>
      </c>
      <c r="B150" s="5">
        <f>SUM(O115:O139)</f>
        <v/>
      </c>
    </row>
    <row r="153">
      <c r="A153" s="5" t="inlineStr">
        <is>
          <t>Stat: DAMAGE %</t>
        </is>
      </c>
    </row>
    <row r="154">
      <c r="A154" s="8" t="inlineStr">
        <is>
          <t>Key</t>
        </is>
      </c>
      <c r="B154" s="8" t="inlineStr">
        <is>
          <t>Name</t>
        </is>
      </c>
      <c r="C154" s="8" t="inlineStr">
        <is>
          <t>Unlocked</t>
        </is>
      </c>
      <c r="D154" s="8" t="inlineStr">
        <is>
          <t>InputLevel</t>
        </is>
      </c>
      <c r="E154" s="8" t="inlineStr">
        <is>
          <t>Factor</t>
        </is>
      </c>
      <c r="F154" s="8" t="inlineStr">
        <is>
          <t>CoefficientPercent</t>
        </is>
      </c>
      <c r="G154" s="8" t="inlineStr">
        <is>
          <t>EffectiveHits</t>
        </is>
      </c>
      <c r="H154" s="8" t="inlineStr">
        <is>
          <t>ProcProbability</t>
        </is>
      </c>
      <c r="I154" s="8" t="inlineStr">
        <is>
          <t>MapleHeroMultiplier</t>
        </is>
      </c>
      <c r="J154" s="8" t="inlineStr">
        <is>
          <t>BaseDamage</t>
        </is>
      </c>
      <c r="K154" s="8" t="inlineStr">
        <is>
          <t>BaseHitDamage</t>
        </is>
      </c>
      <c r="L154" s="8" t="inlineStr">
        <is>
          <t>NonCritAvg</t>
        </is>
      </c>
      <c r="M154" s="8" t="inlineStr">
        <is>
          <t>CritAvg</t>
        </is>
      </c>
      <c r="N154" s="8" t="inlineStr">
        <is>
          <t>ExpectedDamage(perHit)</t>
        </is>
      </c>
      <c r="O154" s="8" t="inlineStr">
        <is>
          <t>DPS</t>
        </is>
      </c>
      <c r="P154" s="8" t="inlineStr">
        <is>
          <t>% of Total</t>
        </is>
      </c>
      <c r="Q154" s="8" t="inlineStr">
        <is>
          <t>InvCooldown</t>
        </is>
      </c>
      <c r="R154" s="8" t="inlineStr">
        <is>
          <t>CastsInFight</t>
        </is>
      </c>
      <c r="S154" s="8" t="inlineStr">
        <is>
          <t>HitRate(perSec)</t>
        </is>
      </c>
      <c r="U154" t="inlineStr">
        <is>
          <t>helpers</t>
        </is>
      </c>
    </row>
    <row r="155">
      <c r="A155">
        <f>Skills!A2</f>
        <v/>
      </c>
      <c r="B155">
        <f>Skills!B2</f>
        <v/>
      </c>
      <c r="C155">
        <f>Inputs!$B$3&gt;=100</f>
        <v/>
      </c>
      <c r="D155" t="inlineStr"/>
      <c r="E155" t="inlineStr"/>
      <c r="F155">
        <f>U157+Skills!O2</f>
        <v/>
      </c>
      <c r="G155">
        <f>Skills!G2*IF(Skills!H2&gt;0,Skills!I2/Skills!H2,1)</f>
        <v/>
      </c>
      <c r="H155">
        <f>1-(1-Skills!J2/100)^Skills!K2</f>
        <v/>
      </c>
      <c r="I155" t="inlineStr">
        <is>
          <t>1</t>
        </is>
      </c>
      <c r="J155">
        <f>(Inputs!$B$5*(1+Inputs!$B$6/100))*(F155/100)</f>
        <v/>
      </c>
      <c r="K155">
        <f>J155*(1+((Inputs!$B$11*(1+Inputs!$B$12/100))*0.01+Inputs!$B$13*0.0025)/100)*(1+(Inputs!$B$14+1)/100)*(1+IF(Inputs!$B$4="pvp",0,(1-Summary!$B$55)*(Inputs!$B$19+0+Skills!P2+((C170=TRUE)*F170*IF(AND(Inputs!$B$4&lt;&gt;"pvp",Inputs!$B$35&gt;0),(((S170-1)*(Skills!T17*(1+Inputs!$B$33/100))+MIN((Skills!T17*(1+Inputs!$B$33/100)),MAX(0,Inputs!$B$35-((S170-1)*Skills!D17))))/Inputs!$B$35),IF(Inputs!$B$4="pvp",MIN((Skills!T17*(1+Inputs!$B$33/100)),15)/15,(Skills!T17*(1+Inputs!$B$33/100))/Skills!D17)))+((C167=TRUE)*IF(Inputs!$B$4="pvp",20,(1-Summary!$B$55)*(20)+Summary!$B$55*(0))*IF(AND(Inputs!$B$4&lt;&gt;"pvp",Inputs!$B$35&gt;0),(((S167-1)*(Skills!T14*(1+Inputs!$B$33/100))+MIN((Skills!T14*(1+Inputs!$B$33/100)),MAX(0,Inputs!$B$35-((S167-1)*Skills!D14))))/Inputs!$B$35),IF(Inputs!$B$4="pvp",MIN((Skills!T14*(1+Inputs!$B$33/100)),15)/15,(Skills!T14*(1+Inputs!$B$33/100))/Skills!D14))))+Summary!$B$55*(Inputs!$B$20+Skills!Q2+((C170=TRUE)*F170*IF(AND(Inputs!$B$4&lt;&gt;"pvp",Inputs!$B$35&gt;0),(((S170-1)*(Skills!T17*(1+Inputs!$B$33/100))+MIN((Skills!T17*(1+Inputs!$B$33/100)),MAX(0,Inputs!$B$35-((S170-1)*Skills!D17))))/Inputs!$B$35),IF(Inputs!$B$4="pvp",MIN((Skills!T17*(1+Inputs!$B$33/100)),15)/15,(Skills!T17*(1+Inputs!$B$33/100))/Skills!D17)))))/100)*(1+Inputs!$B$15/100)*(5000/(6000+Inputs!$B$7*(1-(Inputs!$B$18+0)/100)))*(1+(Inputs!$B$23+((C178=TRUE)*(F178-Calc!F25))+((C179=TRUE)*(F179-Calc!F26))+B188)/100)*(1+(IF(Skills!A2="DARK_IMPALE",Inputs!$B$16+0,Inputs!$B$17+((C176=TRUE)*(F176-Calc!F23))))/100)*((1+(((C166=TRUE)*F166*IF(AND(Inputs!$B$4&lt;&gt;"pvp",Inputs!$B$35&gt;0),(((S166-1)*(Skills!T13*(1+Inputs!$B$33/100))+MIN((Skills!T13*(1+Inputs!$B$33/100)),MAX(0,Inputs!$B$35-((S166-1)*Skills!D13))))/Inputs!$B$35),IF(Inputs!$B$4="pvp",MIN((Skills!T13*(1+Inputs!$B$33/100)),15)/15,(Skills!T13*(1+Inputs!$B$33/100))/Skills!D13)))+((C167=TRUE)*F167*IF(AND(Inputs!$B$4&lt;&gt;"pvp",Inputs!$B$35&gt;0),(((S167-1)*(Skills!T14*(1+Inputs!$B$33/100))+MIN((Skills!T14*(1+Inputs!$B$33/100)),MAX(0,Inputs!$B$35-((S167-1)*Skills!D14))))/Inputs!$B$35),IF(Inputs!$B$4="pvp",MIN((Skills!T14*(1+Inputs!$B$33/100)),15)/15,(Skills!T14*(1+Inputs!$B$33/100))/Skills!D14)))+((C168=TRUE)*F168*IF(AND(Inputs!$B$4&lt;&gt;"pvp",Inputs!$B$35&gt;0),(((S168-1)*(Skills!T15*(1+Inputs!$B$33/100))+MIN((Skills!T15*(1+Inputs!$B$33/100)),MAX(0,Inputs!$B$35-((S168-1)*Skills!D15))))/Inputs!$B$35),IF(Inputs!$B$4="pvp",MIN((Skills!T15*(1+Inputs!$B$33/100)),15)/15,(Skills!T15*(1+Inputs!$B$33/100))/Skills!D15)))+((C169=TRUE)*F169*IF(AND(Inputs!$B$4&lt;&gt;"pvp",Inputs!$B$35&gt;0),(((S169-1)*(Skills!T16*(1+Inputs!$B$33/100))+MIN((Skills!T16*(1+Inputs!$B$33/100)),MAX(0,Inputs!$B$35-((S169-1)*Skills!D16))))/Inputs!$B$35),IF(Inputs!$B$4="pvp",MIN((Skills!T16*(1+Inputs!$B$33/100)),15)/15,(Skills!T16*(1+Inputs!$B$33/100))/Skills!D16)))+0)/100)*I155)</f>
        <v/>
      </c>
      <c r="L155">
        <f>K155*(MIN(Inputs!$B$21+((C175=TRUE)*(F175-Calc!F22)),Inputs!$B$22+((C177=TRUE)*(F177-Calc!F24)))/100+(Inputs!$B$22+((C177=TRUE)*(F177-Calc!F24)))/100)/2</f>
        <v/>
      </c>
      <c r="M155">
        <f>L155*(1+(Inputs!$B$9+0+B187)/100)</f>
        <v/>
      </c>
      <c r="N155">
        <f>L155*(1-MIN((Inputs!$B$8+0+B182),100)/100)+M155*(MIN((Inputs!$B$8+0+B182),100)/100)</f>
        <v/>
      </c>
      <c r="O155">
        <f>IF(C155,Skills!G2*N155*B186*IF(Inputs!$B$4="pvp",1,(1-Summary!$B$55)*(1)+Summary!$B$55*(MIN((6+Inputs!$B$32),Inputs!$B$37))),0)</f>
        <v/>
      </c>
      <c r="P155">
        <f>IF(B190=0,0,O155/B190)</f>
        <v/>
      </c>
      <c r="Q155" t="n">
        <v>0</v>
      </c>
      <c r="R155" t="n">
        <v>0</v>
      </c>
      <c r="S155">
        <f>IFERROR(O155/N155,0)</f>
        <v/>
      </c>
      <c r="U155">
        <f>MAX(0,(Inputs!$B$3-100)*3)+Inputs!$B$27+Inputs!$B$28</f>
        <v/>
      </c>
    </row>
    <row r="156">
      <c r="A156">
        <f>Skills!A3</f>
        <v/>
      </c>
      <c r="B156">
        <f>Skills!B3</f>
        <v/>
      </c>
      <c r="C156">
        <f>Inputs!$B$3&gt;=50</f>
        <v/>
      </c>
      <c r="D156">
        <f>IF(Skills!C3=1,60+Inputs!$B$24+Inputs!$B$28,IF(Skills!C3=2,90+Inputs!$B$25+Inputs!$B$28,IF(Skills!C3=3,120+Inputs!$B$26+Inputs!$B$28,MAX(0,(Inputs!$B$3-100)*3)+Inputs!$B$27+Inputs!$B$28)))</f>
        <v/>
      </c>
      <c r="E156">
        <f>INDEX(FactorTable!$B$2:$Y$301, MATCH(ROUND(MIN(300,MAX(1,D156)),0), FactorTable!$A$2:$A$301,0), Skills!M3+1)</f>
        <v/>
      </c>
      <c r="F156">
        <f>IF(Skills!N3=TRUE,(Skills!L3/10)*(E156/1000),Skills!L3/10)+Skills!O3</f>
        <v/>
      </c>
      <c r="G156" t="inlineStr"/>
      <c r="H156" t="inlineStr"/>
      <c r="I156" t="inlineStr">
        <is>
          <t>1</t>
        </is>
      </c>
      <c r="J156" t="inlineStr"/>
      <c r="K156" t="inlineStr"/>
      <c r="L156" t="inlineStr"/>
      <c r="M156" t="inlineStr"/>
      <c r="N156" t="inlineStr"/>
      <c r="O156" t="inlineStr"/>
      <c r="P156" t="inlineStr"/>
      <c r="Q156" t="inlineStr"/>
      <c r="R156" t="inlineStr"/>
      <c r="S156" t="inlineStr"/>
      <c r="U156">
        <f>INDEX(FactorTable!$B$2:$Y$301, MATCH(ROUND(MIN(300,MAX(1,U155)),0), FactorTable!$A$2:$A$301,0), 22)</f>
        <v/>
      </c>
    </row>
    <row r="157">
      <c r="A157">
        <f>Skills!A4</f>
        <v/>
      </c>
      <c r="B157">
        <f>Skills!B4</f>
        <v/>
      </c>
      <c r="C157">
        <f>Inputs!$B$3&gt;=105</f>
        <v/>
      </c>
      <c r="D157">
        <f>IF(Skills!C4=1,60+Inputs!$B$24+Inputs!$B$28,IF(Skills!C4=2,90+Inputs!$B$25+Inputs!$B$28,IF(Skills!C4=3,120+Inputs!$B$26+Inputs!$B$28,MAX(0,(Inputs!$B$3-100)*3)+Inputs!$B$27+Inputs!$B$28)))</f>
        <v/>
      </c>
      <c r="E157">
        <f>INDEX(FactorTable!$B$2:$Y$301, MATCH(ROUND(MIN(300,MAX(1,D157)),0), FactorTable!$A$2:$A$301,0), Skills!M4+1)</f>
        <v/>
      </c>
      <c r="F157">
        <f>IF(Skills!N4=TRUE,(Skills!L4/10)*(E157/1000),Skills!L4/10)+Skills!O4</f>
        <v/>
      </c>
      <c r="G157" t="inlineStr"/>
      <c r="H157" t="inlineStr"/>
      <c r="I157" t="inlineStr">
        <is>
          <t>1</t>
        </is>
      </c>
      <c r="J157" t="inlineStr"/>
      <c r="K157" t="inlineStr"/>
      <c r="L157" t="inlineStr"/>
      <c r="M157" t="inlineStr"/>
      <c r="N157" t="inlineStr"/>
      <c r="O157" t="inlineStr"/>
      <c r="P157" t="inlineStr"/>
      <c r="Q157" t="inlineStr"/>
      <c r="R157" t="inlineStr"/>
      <c r="S157" t="inlineStr"/>
      <c r="U157">
        <f>290*U156/1000</f>
        <v/>
      </c>
    </row>
    <row r="158">
      <c r="A158">
        <f>Skills!A5</f>
        <v/>
      </c>
      <c r="B158">
        <f>Skills!B5</f>
        <v/>
      </c>
      <c r="C158">
        <f>Inputs!$B$3&gt;=117</f>
        <v/>
      </c>
      <c r="D158">
        <f>IF(Skills!C5=1,60+Inputs!$B$24+Inputs!$B$28,IF(Skills!C5=2,90+Inputs!$B$25+Inputs!$B$28,IF(Skills!C5=3,120+Inputs!$B$26+Inputs!$B$28,MAX(0,(Inputs!$B$3-100)*3)+Inputs!$B$27+Inputs!$B$28)))</f>
        <v/>
      </c>
      <c r="E158">
        <f>INDEX(FactorTable!$B$2:$Y$301, MATCH(ROUND(MIN(300,MAX(1,D158)),0), FactorTable!$A$2:$A$301,0), Skills!M5+1)</f>
        <v/>
      </c>
      <c r="F158">
        <f>IF(Skills!N5=TRUE,(Skills!L5/10)*(E158/1000),Skills!L5/10)+Skills!O5</f>
        <v/>
      </c>
      <c r="G158">
        <f>Skills!G5*IF(Skills!H5&gt;0,Skills!I5/Skills!H5,1)</f>
        <v/>
      </c>
      <c r="H158">
        <f>1-(1-Skills!J5/100)^Skills!K5</f>
        <v/>
      </c>
      <c r="I158" t="inlineStr">
        <is>
          <t>1</t>
        </is>
      </c>
      <c r="J158">
        <f>(Inputs!$B$5*(1+Inputs!$B$6/100))*(F158/100)</f>
        <v/>
      </c>
      <c r="K158">
        <f>J158*(1+((Inputs!$B$11*(1+Inputs!$B$12/100))*0.01+Inputs!$B$13*0.0025)/100)*(1+(Inputs!$B$14+1)/100)*(1+IF(Inputs!$B$4="pvp",0,(1-Summary!$B$55)*(Inputs!$B$19+0+Skills!P5+((C170=TRUE)*F170*IF(AND(Inputs!$B$4&lt;&gt;"pvp",Inputs!$B$35&gt;0),(((S170-1)*(Skills!T17*(1+Inputs!$B$33/100))+MIN((Skills!T17*(1+Inputs!$B$33/100)),MAX(0,Inputs!$B$35-((S170-1)*Skills!D17))))/Inputs!$B$35),IF(Inputs!$B$4="pvp",MIN((Skills!T17*(1+Inputs!$B$33/100)),15)/15,(Skills!T17*(1+Inputs!$B$33/100))/Skills!D17)))+((C167=TRUE)*IF(Inputs!$B$4="pvp",20,(1-Summary!$B$55)*(20)+Summary!$B$55*(0))*IF(AND(Inputs!$B$4&lt;&gt;"pvp",Inputs!$B$35&gt;0),(((S167-1)*(Skills!T14*(1+Inputs!$B$33/100))+MIN((Skills!T14*(1+Inputs!$B$33/100)),MAX(0,Inputs!$B$35-((S167-1)*Skills!D14))))/Inputs!$B$35),IF(Inputs!$B$4="pvp",MIN((Skills!T14*(1+Inputs!$B$33/100)),15)/15,(Skills!T14*(1+Inputs!$B$33/100))/Skills!D14))))+Summary!$B$55*(Inputs!$B$20+Skills!Q5+((C170=TRUE)*F170*IF(AND(Inputs!$B$4&lt;&gt;"pvp",Inputs!$B$35&gt;0),(((S170-1)*(Skills!T17*(1+Inputs!$B$33/100))+MIN((Skills!T17*(1+Inputs!$B$33/100)),MAX(0,Inputs!$B$35-((S170-1)*Skills!D17))))/Inputs!$B$35),IF(Inputs!$B$4="pvp",MIN((Skills!T17*(1+Inputs!$B$33/100)),15)/15,(Skills!T17*(1+Inputs!$B$33/100))/Skills!D17)))))/100)*(1+Inputs!$B$15/100)*(5000/(6000+Inputs!$B$7*(1-(Inputs!$B$18+0)/100)))*(1+(Inputs!$B$23+((C178=TRUE)*(F178-Calc!F25))+((C179=TRUE)*(F179-Calc!F26))+B188)/100)*(1+(IF(Skills!A5="DARK_IMPALE",Inputs!$B$16+0,Inputs!$B$17+((C176=TRUE)*(F176-Calc!F23))))/100)*((1+(((C166=TRUE)*F166*IF(AND(Inputs!$B$4&lt;&gt;"pvp",Inputs!$B$35&gt;0),(((S166-1)*(Skills!T13*(1+Inputs!$B$33/100))+MIN((Skills!T13*(1+Inputs!$B$33/100)),MAX(0,Inputs!$B$35-((S166-1)*Skills!D13))))/Inputs!$B$35),IF(Inputs!$B$4="pvp",MIN((Skills!T13*(1+Inputs!$B$33/100)),15)/15,(Skills!T13*(1+Inputs!$B$33/100))/Skills!D13)))+((C167=TRUE)*F167*IF(AND(Inputs!$B$4&lt;&gt;"pvp",Inputs!$B$35&gt;0),(((S167-1)*(Skills!T14*(1+Inputs!$B$33/100))+MIN((Skills!T14*(1+Inputs!$B$33/100)),MAX(0,Inputs!$B$35-((S167-1)*Skills!D14))))/Inputs!$B$35),IF(Inputs!$B$4="pvp",MIN((Skills!T14*(1+Inputs!$B$33/100)),15)/15,(Skills!T14*(1+Inputs!$B$33/100))/Skills!D14)))+((C168=TRUE)*F168*IF(AND(Inputs!$B$4&lt;&gt;"pvp",Inputs!$B$35&gt;0),(((S168-1)*(Skills!T15*(1+Inputs!$B$33/100))+MIN((Skills!T15*(1+Inputs!$B$33/100)),MAX(0,Inputs!$B$35-((S168-1)*Skills!D15))))/Inputs!$B$35),IF(Inputs!$B$4="pvp",MIN((Skills!T15*(1+Inputs!$B$33/100)),15)/15,(Skills!T15*(1+Inputs!$B$33/100))/Skills!D15)))+((C169=TRUE)*F169*IF(AND(Inputs!$B$4&lt;&gt;"pvp",Inputs!$B$35&gt;0),(((S169-1)*(Skills!T16*(1+Inputs!$B$33/100))+MIN((Skills!T16*(1+Inputs!$B$33/100)),MAX(0,Inputs!$B$35-((S169-1)*Skills!D16))))/Inputs!$B$35),IF(Inputs!$B$4="pvp",MIN((Skills!T16*(1+Inputs!$B$33/100)),15)/15,(Skills!T16*(1+Inputs!$B$33/100))/Skills!D16)))+0)/100)*I158)</f>
        <v/>
      </c>
      <c r="L158">
        <f>K158*(MIN(Inputs!$B$21+((C175=TRUE)*(F175-Calc!F22)),Inputs!$B$22+((C177=TRUE)*(F177-Calc!F24)))/100+(Inputs!$B$22+((C177=TRUE)*(F177-Calc!F24)))/100)/2</f>
        <v/>
      </c>
      <c r="M158">
        <f>L158*(1+(Inputs!$B$9+0+B187)/100)</f>
        <v/>
      </c>
      <c r="N158">
        <f>L158*(1-MIN((Inputs!$B$8+0+B182),100)/100)+M158*(MIN((Inputs!$B$8+0+B182),100)/100)</f>
        <v/>
      </c>
      <c r="O158">
        <f>IF(C158,H158*N158*IF(AND(Inputs!$B$4&lt;&gt;"pvp",Inputs!$B$35&gt;0),((Skills!G5*((R158-1)*IF(Skills!H5&gt;0,Skills!I5/Skills!H5,1)+IF(Skills!H5&gt;0,MIN(Skills!I5,MAX(0,Inputs!$B$35-((R158-1)*IF(Inputs!$B$4="pvp",15,MAX(0.1,Skills!D5-IF(Skills!E5=TRUE,Inputs!$B$31,0))))))/Skills!H5,1)))/Inputs!$B$35),G158*Q158)*IF(Inputs!$B$4="pvp",1,(1-Summary!$B$55)*(1)+Summary!$B$55*(MIN(Skills!R5,Inputs!$B$37))),0)</f>
        <v/>
      </c>
      <c r="P158">
        <f>IF(B190=0,0,O158/B190)</f>
        <v/>
      </c>
      <c r="Q158">
        <f>IFERROR(1/IF(Inputs!$B$4="pvp",15,MAX(0.1,Skills!D5-IF(Skills!E5=TRUE,Inputs!$B$31,0))),0)</f>
        <v/>
      </c>
      <c r="R158">
        <f>IF(AND(Inputs!$B$4&lt;&gt;"pvp",Inputs!$B$35&gt;0),(INT(Inputs!$B$35/IF(Inputs!$B$4="pvp",15,MAX(0.1,Skills!D5-IF(Skills!E5=TRUE,Inputs!$B$31,0))))+1),0)</f>
        <v/>
      </c>
      <c r="S158">
        <f>IFERROR(O158/N158,0)</f>
        <v/>
      </c>
    </row>
    <row r="159">
      <c r="A159">
        <f>Skills!A6</f>
        <v/>
      </c>
      <c r="B159">
        <f>Skills!B6</f>
        <v/>
      </c>
      <c r="C159">
        <f>Inputs!$B$3&gt;=103</f>
        <v/>
      </c>
      <c r="D159">
        <f>IF(Skills!C6=1,60+Inputs!$B$24+Inputs!$B$28,IF(Skills!C6=2,90+Inputs!$B$25+Inputs!$B$28,IF(Skills!C6=3,120+Inputs!$B$26+Inputs!$B$28,MAX(0,(Inputs!$B$3-100)*3)+Inputs!$B$27+Inputs!$B$28)))</f>
        <v/>
      </c>
      <c r="E159">
        <f>INDEX(FactorTable!$B$2:$Y$301, MATCH(ROUND(MIN(300,MAX(1,D159)),0), FactorTable!$A$2:$A$301,0), Skills!M6+1)</f>
        <v/>
      </c>
      <c r="F159">
        <f>IF(Skills!N6=TRUE,(Skills!L6/10)*(E159/1000),Skills!L6/10)+Skills!O6</f>
        <v/>
      </c>
      <c r="G159">
        <f>Skills!G6*IF(Skills!H6&gt;0,Skills!I6/Skills!H6,1)</f>
        <v/>
      </c>
      <c r="H159">
        <f>1-(1-Skills!J6/100)^Skills!K6</f>
        <v/>
      </c>
      <c r="I159" t="inlineStr">
        <is>
          <t>1</t>
        </is>
      </c>
      <c r="J159">
        <f>(Inputs!$B$5*(1+Inputs!$B$6/100))*(F159/100)</f>
        <v/>
      </c>
      <c r="K159">
        <f>J159*(1+((Inputs!$B$11*(1+Inputs!$B$12/100))*0.01+Inputs!$B$13*0.0025)/100)*(1+(Inputs!$B$14+1)/100)*(1+IF(Inputs!$B$4="pvp",0,(1-Summary!$B$55)*(Inputs!$B$19+0+Skills!P6+((C170=TRUE)*F170*IF(AND(Inputs!$B$4&lt;&gt;"pvp",Inputs!$B$35&gt;0),(((S170-1)*(Skills!T17*(1+Inputs!$B$33/100))+MIN((Skills!T17*(1+Inputs!$B$33/100)),MAX(0,Inputs!$B$35-((S170-1)*Skills!D17))))/Inputs!$B$35),IF(Inputs!$B$4="pvp",MIN((Skills!T17*(1+Inputs!$B$33/100)),15)/15,(Skills!T17*(1+Inputs!$B$33/100))/Skills!D17)))+((C167=TRUE)*IF(Inputs!$B$4="pvp",20,(1-Summary!$B$55)*(20)+Summary!$B$55*(0))*IF(AND(Inputs!$B$4&lt;&gt;"pvp",Inputs!$B$35&gt;0),(((S167-1)*(Skills!T14*(1+Inputs!$B$33/100))+MIN((Skills!T14*(1+Inputs!$B$33/100)),MAX(0,Inputs!$B$35-((S167-1)*Skills!D14))))/Inputs!$B$35),IF(Inputs!$B$4="pvp",MIN((Skills!T14*(1+Inputs!$B$33/100)),15)/15,(Skills!T14*(1+Inputs!$B$33/100))/Skills!D14))))+Summary!$B$55*(Inputs!$B$20+Skills!Q6+((C170=TRUE)*F170*IF(AND(Inputs!$B$4&lt;&gt;"pvp",Inputs!$B$35&gt;0),(((S170-1)*(Skills!T17*(1+Inputs!$B$33/100))+MIN((Skills!T17*(1+Inputs!$B$33/100)),MAX(0,Inputs!$B$35-((S170-1)*Skills!D17))))/Inputs!$B$35),IF(Inputs!$B$4="pvp",MIN((Skills!T17*(1+Inputs!$B$33/100)),15)/15,(Skills!T17*(1+Inputs!$B$33/100))/Skills!D17)))))/100)*(1+Inputs!$B$15/100)*(5000/(6000+Inputs!$B$7*(1-(Inputs!$B$18+0)/100)))*(1+(Inputs!$B$23+((C178=TRUE)*(F178-Calc!F25))+((C179=TRUE)*(F179-Calc!F26))+B188)/100)*(1+(IF(Skills!A6="DARK_IMPALE",Inputs!$B$16+0,Inputs!$B$17+((C176=TRUE)*(F176-Calc!F23))))/100)*((1+(((C166=TRUE)*F166*IF(AND(Inputs!$B$4&lt;&gt;"pvp",Inputs!$B$35&gt;0),(((S166-1)*(Skills!T13*(1+Inputs!$B$33/100))+MIN((Skills!T13*(1+Inputs!$B$33/100)),MAX(0,Inputs!$B$35-((S166-1)*Skills!D13))))/Inputs!$B$35),IF(Inputs!$B$4="pvp",MIN((Skills!T13*(1+Inputs!$B$33/100)),15)/15,(Skills!T13*(1+Inputs!$B$33/100))/Skills!D13)))+((C167=TRUE)*F167*IF(AND(Inputs!$B$4&lt;&gt;"pvp",Inputs!$B$35&gt;0),(((S167-1)*(Skills!T14*(1+Inputs!$B$33/100))+MIN((Skills!T14*(1+Inputs!$B$33/100)),MAX(0,Inputs!$B$35-((S167-1)*Skills!D14))))/Inputs!$B$35),IF(Inputs!$B$4="pvp",MIN((Skills!T14*(1+Inputs!$B$33/100)),15)/15,(Skills!T14*(1+Inputs!$B$33/100))/Skills!D14)))+((C168=TRUE)*F168*IF(AND(Inputs!$B$4&lt;&gt;"pvp",Inputs!$B$35&gt;0),(((S168-1)*(Skills!T15*(1+Inputs!$B$33/100))+MIN((Skills!T15*(1+Inputs!$B$33/100)),MAX(0,Inputs!$B$35-((S168-1)*Skills!D15))))/Inputs!$B$35),IF(Inputs!$B$4="pvp",MIN((Skills!T15*(1+Inputs!$B$33/100)),15)/15,(Skills!T15*(1+Inputs!$B$33/100))/Skills!D15)))+((C169=TRUE)*F169*IF(AND(Inputs!$B$4&lt;&gt;"pvp",Inputs!$B$35&gt;0),(((S169-1)*(Skills!T16*(1+Inputs!$B$33/100))+MIN((Skills!T16*(1+Inputs!$B$33/100)),MAX(0,Inputs!$B$35-((S169-1)*Skills!D16))))/Inputs!$B$35),IF(Inputs!$B$4="pvp",MIN((Skills!T16*(1+Inputs!$B$33/100)),15)/15,(Skills!T16*(1+Inputs!$B$33/100))/Skills!D16)))+0)/100)*I159)</f>
        <v/>
      </c>
      <c r="L159">
        <f>K159*(MIN(Inputs!$B$21+((C175=TRUE)*(F175-Calc!F22)),Inputs!$B$22+((C177=TRUE)*(F177-Calc!F24)))/100+(Inputs!$B$22+((C177=TRUE)*(F177-Calc!F24)))/100)/2</f>
        <v/>
      </c>
      <c r="M159">
        <f>L159*(1+(Inputs!$B$9+0+B187)/100)</f>
        <v/>
      </c>
      <c r="N159">
        <f>L159*(1-MIN((Inputs!$B$8+0+B182),100)/100)+M159*(MIN((Inputs!$B$8+0+B182),100)/100)</f>
        <v/>
      </c>
      <c r="O159">
        <f>IF(C159,H159*N159*IF(AND(Inputs!$B$4&lt;&gt;"pvp",Inputs!$B$35&gt;0),((Skills!G6*((R159-1)*IF(Skills!H6&gt;0,Skills!I6/Skills!H6,1)+IF(Skills!H6&gt;0,MIN(Skills!I6,MAX(0,Inputs!$B$35-((R159-1)*IF(Inputs!$B$4="pvp",15,MAX(0.1,Skills!D6-IF(Skills!E6=TRUE,Inputs!$B$31,0))))))/Skills!H6,1)))/Inputs!$B$35),G159*Q159)*IF(Inputs!$B$4="pvp",1,(1-Summary!$B$55)*(1)+Summary!$B$55*(MIN(Skills!R6,Inputs!$B$37))),0)</f>
        <v/>
      </c>
      <c r="P159">
        <f>IF(B190=0,0,O159/B190)</f>
        <v/>
      </c>
      <c r="Q159">
        <f>IFERROR(1/IF(Inputs!$B$4="pvp",15,MAX(0.1,Skills!D6-IF(Skills!E6=TRUE,Inputs!$B$31,0))),0)</f>
        <v/>
      </c>
      <c r="R159">
        <f>IF(AND(Inputs!$B$4&lt;&gt;"pvp",Inputs!$B$35&gt;0),(INT(Inputs!$B$35/IF(Inputs!$B$4="pvp",15,MAX(0.1,Skills!D6-IF(Skills!E6=TRUE,Inputs!$B$31,0))))+1),0)</f>
        <v/>
      </c>
      <c r="S159">
        <f>IFERROR(O159/N159,0)</f>
        <v/>
      </c>
    </row>
    <row r="160">
      <c r="A160">
        <f>Skills!A7</f>
        <v/>
      </c>
      <c r="B160">
        <f>Skills!B7</f>
        <v/>
      </c>
      <c r="C160">
        <f>Inputs!$B$3&gt;=40</f>
        <v/>
      </c>
      <c r="D160">
        <f>IF(Skills!C7=1,60+Inputs!$B$24+Inputs!$B$28,IF(Skills!C7=2,90+Inputs!$B$25+Inputs!$B$28,IF(Skills!C7=3,120+Inputs!$B$26+Inputs!$B$28,MAX(0,(Inputs!$B$3-100)*3)+Inputs!$B$27+Inputs!$B$28)))</f>
        <v/>
      </c>
      <c r="E160">
        <f>INDEX(FactorTable!$B$2:$Y$301, MATCH(ROUND(MIN(300,MAX(1,D160)),0), FactorTable!$A$2:$A$301,0), Skills!M7+1)</f>
        <v/>
      </c>
      <c r="F160">
        <f>IF(Skills!N7=TRUE,(Skills!L7/10)*(E160/1000),Skills!L7/10)+Skills!O7</f>
        <v/>
      </c>
      <c r="G160">
        <f>Skills!G7*IF(Skills!H7&gt;0,Skills!I7/Skills!H7,1)</f>
        <v/>
      </c>
      <c r="H160">
        <f>1-(1-Skills!J7/100)^Skills!K7</f>
        <v/>
      </c>
      <c r="I160" t="inlineStr">
        <is>
          <t>1</t>
        </is>
      </c>
      <c r="J160">
        <f>(Inputs!$B$5*(1+Inputs!$B$6/100))*(F160/100)</f>
        <v/>
      </c>
      <c r="K160">
        <f>J160*(1+((Inputs!$B$11*(1+Inputs!$B$12/100))*0.01+Inputs!$B$13*0.0025)/100)*(1+(Inputs!$B$14+1)/100)*(1+IF(Inputs!$B$4="pvp",0,(1-Summary!$B$55)*(Inputs!$B$19+0+Skills!P7+((C170=TRUE)*F170*IF(AND(Inputs!$B$4&lt;&gt;"pvp",Inputs!$B$35&gt;0),(((S170-1)*(Skills!T17*(1+Inputs!$B$33/100))+MIN((Skills!T17*(1+Inputs!$B$33/100)),MAX(0,Inputs!$B$35-((S170-1)*Skills!D17))))/Inputs!$B$35),IF(Inputs!$B$4="pvp",MIN((Skills!T17*(1+Inputs!$B$33/100)),15)/15,(Skills!T17*(1+Inputs!$B$33/100))/Skills!D17)))+((C167=TRUE)*IF(Inputs!$B$4="pvp",20,(1-Summary!$B$55)*(20)+Summary!$B$55*(0))*IF(AND(Inputs!$B$4&lt;&gt;"pvp",Inputs!$B$35&gt;0),(((S167-1)*(Skills!T14*(1+Inputs!$B$33/100))+MIN((Skills!T14*(1+Inputs!$B$33/100)),MAX(0,Inputs!$B$35-((S167-1)*Skills!D14))))/Inputs!$B$35),IF(Inputs!$B$4="pvp",MIN((Skills!T14*(1+Inputs!$B$33/100)),15)/15,(Skills!T14*(1+Inputs!$B$33/100))/Skills!D14))))+Summary!$B$55*(Inputs!$B$20+Skills!Q7+((C170=TRUE)*F170*IF(AND(Inputs!$B$4&lt;&gt;"pvp",Inputs!$B$35&gt;0),(((S170-1)*(Skills!T17*(1+Inputs!$B$33/100))+MIN((Skills!T17*(1+Inputs!$B$33/100)),MAX(0,Inputs!$B$35-((S170-1)*Skills!D17))))/Inputs!$B$35),IF(Inputs!$B$4="pvp",MIN((Skills!T17*(1+Inputs!$B$33/100)),15)/15,(Skills!T17*(1+Inputs!$B$33/100))/Skills!D17)))))/100)*(1+Inputs!$B$15/100)*(5000/(6000+Inputs!$B$7*(1-(Inputs!$B$18+0)/100)))*(1+(Inputs!$B$23+((C178=TRUE)*(F178-Calc!F25))+((C179=TRUE)*(F179-Calc!F26))+B188)/100)*(1+0.75*IF(C164=TRUE,F164,0)/100)*(1+(IF(Skills!A7="DARK_IMPALE",Inputs!$B$16+0,Inputs!$B$17+((C176=TRUE)*(F176-Calc!F23))))/100)*((1+(((C166=TRUE)*F166*IF(AND(Inputs!$B$4&lt;&gt;"pvp",Inputs!$B$35&gt;0),(((S166-1)*(Skills!T13*(1+Inputs!$B$33/100))+MIN((Skills!T13*(1+Inputs!$B$33/100)),MAX(0,Inputs!$B$35-((S166-1)*Skills!D13))))/Inputs!$B$35),IF(Inputs!$B$4="pvp",MIN((Skills!T13*(1+Inputs!$B$33/100)),15)/15,(Skills!T13*(1+Inputs!$B$33/100))/Skills!D13)))+((C167=TRUE)*F167*IF(AND(Inputs!$B$4&lt;&gt;"pvp",Inputs!$B$35&gt;0),(((S167-1)*(Skills!T14*(1+Inputs!$B$33/100))+MIN((Skills!T14*(1+Inputs!$B$33/100)),MAX(0,Inputs!$B$35-((S167-1)*Skills!D14))))/Inputs!$B$35),IF(Inputs!$B$4="pvp",MIN((Skills!T14*(1+Inputs!$B$33/100)),15)/15,(Skills!T14*(1+Inputs!$B$33/100))/Skills!D14)))+((C168=TRUE)*F168*IF(AND(Inputs!$B$4&lt;&gt;"pvp",Inputs!$B$35&gt;0),(((S168-1)*(Skills!T15*(1+Inputs!$B$33/100))+MIN((Skills!T15*(1+Inputs!$B$33/100)),MAX(0,Inputs!$B$35-((S168-1)*Skills!D15))))/Inputs!$B$35),IF(Inputs!$B$4="pvp",MIN((Skills!T15*(1+Inputs!$B$33/100)),15)/15,(Skills!T15*(1+Inputs!$B$33/100))/Skills!D15)))+((C169=TRUE)*F169*IF(AND(Inputs!$B$4&lt;&gt;"pvp",Inputs!$B$35&gt;0),(((S169-1)*(Skills!T16*(1+Inputs!$B$33/100))+MIN((Skills!T16*(1+Inputs!$B$33/100)),MAX(0,Inputs!$B$35-((S169-1)*Skills!D16))))/Inputs!$B$35),IF(Inputs!$B$4="pvp",MIN((Skills!T16*(1+Inputs!$B$33/100)),15)/15,(Skills!T16*(1+Inputs!$B$33/100))/Skills!D16)))+0)/100)*I160)</f>
        <v/>
      </c>
      <c r="L160">
        <f>K160*(MIN(Inputs!$B$21+((C175=TRUE)*(F175-Calc!F22)),Inputs!$B$22+((C177=TRUE)*(F177-Calc!F24)))/100+(Inputs!$B$22+((C177=TRUE)*(F177-Calc!F24)))/100)/2</f>
        <v/>
      </c>
      <c r="M160">
        <f>L160*(1+(Inputs!$B$9+0+B187)/100)</f>
        <v/>
      </c>
      <c r="N160">
        <f>L160*(1-MIN((Inputs!$B$8+0+B182),100)/100)+M160*(MIN((Inputs!$B$8+0+B182),100)/100)</f>
        <v/>
      </c>
      <c r="O160">
        <f>IF(C160,H160*N160*IF(AND(Inputs!$B$4&lt;&gt;"pvp",Inputs!$B$35&gt;0),((Skills!G7*((R160-1)*IF(Skills!H7&gt;0,Skills!I7/Skills!H7,1)+IF(Skills!H7&gt;0,MIN(Skills!I7,MAX(0,Inputs!$B$35-((R160-1)*IF(Inputs!$B$4="pvp",15,MAX(0.1,Skills!D7-IF(Skills!E7=TRUE,Inputs!$B$31,0))))))/Skills!H7,1)))/Inputs!$B$35),G160*Q160)*IF(Inputs!$B$4="pvp",1,(1-Summary!$B$55)*(1)+Summary!$B$55*(MIN(Skills!R7,Inputs!$B$37))),0)</f>
        <v/>
      </c>
      <c r="P160">
        <f>IF(B190=0,0,O160/B190)</f>
        <v/>
      </c>
      <c r="Q160">
        <f>IFERROR(1/IF(Inputs!$B$4="pvp",15,MAX(0.1,Skills!D7-IF(Skills!E7=TRUE,Inputs!$B$31,0))),0)</f>
        <v/>
      </c>
      <c r="R160">
        <f>IF(AND(Inputs!$B$4&lt;&gt;"pvp",Inputs!$B$35&gt;0),(INT(Inputs!$B$35/IF(Inputs!$B$4="pvp",15,MAX(0.1,Skills!D7-IF(Skills!E7=TRUE,Inputs!$B$31,0))))+1),0)</f>
        <v/>
      </c>
      <c r="S160">
        <f>IFERROR(O160/N160,0)</f>
        <v/>
      </c>
    </row>
    <row r="161">
      <c r="A161">
        <f>Skills!A8</f>
        <v/>
      </c>
      <c r="B161">
        <f>Skills!B8</f>
        <v/>
      </c>
      <c r="C161">
        <f>Inputs!$B$3&gt;=75</f>
        <v/>
      </c>
      <c r="D161">
        <f>IF(Skills!C8=1,60+Inputs!$B$24+Inputs!$B$28,IF(Skills!C8=2,90+Inputs!$B$25+Inputs!$B$28,IF(Skills!C8=3,120+Inputs!$B$26+Inputs!$B$28,MAX(0,(Inputs!$B$3-100)*3)+Inputs!$B$27+Inputs!$B$28)))</f>
        <v/>
      </c>
      <c r="E161">
        <f>INDEX(FactorTable!$B$2:$Y$301, MATCH(ROUND(MIN(300,MAX(1,D161)),0), FactorTable!$A$2:$A$301,0), Skills!M8+1)</f>
        <v/>
      </c>
      <c r="F161">
        <f>IF(Skills!N8=TRUE,(Skills!L8/10)*(E161/1000),Skills!L8/10)+Skills!O8</f>
        <v/>
      </c>
      <c r="G161" t="inlineStr"/>
      <c r="H161" t="inlineStr"/>
      <c r="I161" t="inlineStr">
        <is>
          <t>1</t>
        </is>
      </c>
      <c r="J161" t="inlineStr"/>
      <c r="K161" t="inlineStr"/>
      <c r="L161" t="inlineStr"/>
      <c r="M161" t="inlineStr"/>
      <c r="N161" t="inlineStr"/>
      <c r="O161" t="inlineStr"/>
      <c r="P161" t="inlineStr"/>
      <c r="Q161" t="inlineStr"/>
      <c r="R161" t="inlineStr"/>
      <c r="S161" t="inlineStr"/>
    </row>
    <row r="162">
      <c r="A162">
        <f>Skills!A9</f>
        <v/>
      </c>
      <c r="B162">
        <f>Skills!B9</f>
        <v/>
      </c>
      <c r="C162">
        <f>Inputs!$B$3&gt;=60</f>
        <v/>
      </c>
      <c r="D162">
        <f>IF(Skills!C9=1,60+Inputs!$B$24+Inputs!$B$28,IF(Skills!C9=2,90+Inputs!$B$25+Inputs!$B$28,IF(Skills!C9=3,120+Inputs!$B$26+Inputs!$B$28,MAX(0,(Inputs!$B$3-100)*3)+Inputs!$B$27+Inputs!$B$28)))</f>
        <v/>
      </c>
      <c r="E162">
        <f>INDEX(FactorTable!$B$2:$Y$301, MATCH(ROUND(MIN(300,MAX(1,D162)),0), FactorTable!$A$2:$A$301,0), Skills!M9+1)</f>
        <v/>
      </c>
      <c r="F162">
        <f>IF(Skills!N9=TRUE,(Skills!L9/10)*(E162/1000),Skills!L9/10)+Skills!O9</f>
        <v/>
      </c>
      <c r="G162">
        <f>Skills!G9*IF(Skills!H9&gt;0,Skills!I9/Skills!H9,1)</f>
        <v/>
      </c>
      <c r="H162">
        <f>1-(1-Skills!J9/100)^Skills!K9</f>
        <v/>
      </c>
      <c r="I162" t="inlineStr">
        <is>
          <t>1</t>
        </is>
      </c>
      <c r="J162">
        <f>(Inputs!$B$5*(1+Inputs!$B$6/100))*(F162/100)</f>
        <v/>
      </c>
      <c r="K162">
        <f>J162*(1+((Inputs!$B$11*(1+Inputs!$B$12/100))*0.01+Inputs!$B$13*0.0025)/100)*(1+(Inputs!$B$14+1)/100)*(1+IF(Inputs!$B$4="pvp",0,(1-Summary!$B$55)*(Inputs!$B$19+0+Skills!P9+((C170=TRUE)*F170*IF(AND(Inputs!$B$4&lt;&gt;"pvp",Inputs!$B$35&gt;0),(((S170-1)*(Skills!T17*(1+Inputs!$B$33/100))+MIN((Skills!T17*(1+Inputs!$B$33/100)),MAX(0,Inputs!$B$35-((S170-1)*Skills!D17))))/Inputs!$B$35),IF(Inputs!$B$4="pvp",MIN((Skills!T17*(1+Inputs!$B$33/100)),15)/15,(Skills!T17*(1+Inputs!$B$33/100))/Skills!D17)))+((C167=TRUE)*IF(Inputs!$B$4="pvp",20,(1-Summary!$B$55)*(20)+Summary!$B$55*(0))*IF(AND(Inputs!$B$4&lt;&gt;"pvp",Inputs!$B$35&gt;0),(((S167-1)*(Skills!T14*(1+Inputs!$B$33/100))+MIN((Skills!T14*(1+Inputs!$B$33/100)),MAX(0,Inputs!$B$35-((S167-1)*Skills!D14))))/Inputs!$B$35),IF(Inputs!$B$4="pvp",MIN((Skills!T14*(1+Inputs!$B$33/100)),15)/15,(Skills!T14*(1+Inputs!$B$33/100))/Skills!D14))))+Summary!$B$55*(Inputs!$B$20+Skills!Q9+((C170=TRUE)*F170*IF(AND(Inputs!$B$4&lt;&gt;"pvp",Inputs!$B$35&gt;0),(((S170-1)*(Skills!T17*(1+Inputs!$B$33/100))+MIN((Skills!T17*(1+Inputs!$B$33/100)),MAX(0,Inputs!$B$35-((S170-1)*Skills!D17))))/Inputs!$B$35),IF(Inputs!$B$4="pvp",MIN((Skills!T17*(1+Inputs!$B$33/100)),15)/15,(Skills!T17*(1+Inputs!$B$33/100))/Skills!D17)))))/100)*(1+Inputs!$B$15/100)*(5000/(6000+Inputs!$B$7*(1-(Inputs!$B$18+0)/100)))*(1+(Inputs!$B$23+((C178=TRUE)*(F178-Calc!F25))+((C179=TRUE)*(F179-Calc!F26))+B188)/100)*(1+1.0*IF(C164=TRUE,F164,0)/100)*(1+(IF(Skills!A9="DARK_IMPALE",Inputs!$B$16+0,Inputs!$B$17+((C176=TRUE)*(F176-Calc!F23))))/100)*((1+(((C166=TRUE)*F166*IF(AND(Inputs!$B$4&lt;&gt;"pvp",Inputs!$B$35&gt;0),(((S166-1)*(Skills!T13*(1+Inputs!$B$33/100))+MIN((Skills!T13*(1+Inputs!$B$33/100)),MAX(0,Inputs!$B$35-((S166-1)*Skills!D13))))/Inputs!$B$35),IF(Inputs!$B$4="pvp",MIN((Skills!T13*(1+Inputs!$B$33/100)),15)/15,(Skills!T13*(1+Inputs!$B$33/100))/Skills!D13)))+((C167=TRUE)*F167*IF(AND(Inputs!$B$4&lt;&gt;"pvp",Inputs!$B$35&gt;0),(((S167-1)*(Skills!T14*(1+Inputs!$B$33/100))+MIN((Skills!T14*(1+Inputs!$B$33/100)),MAX(0,Inputs!$B$35-((S167-1)*Skills!D14))))/Inputs!$B$35),IF(Inputs!$B$4="pvp",MIN((Skills!T14*(1+Inputs!$B$33/100)),15)/15,(Skills!T14*(1+Inputs!$B$33/100))/Skills!D14)))+((C168=TRUE)*F168*IF(AND(Inputs!$B$4&lt;&gt;"pvp",Inputs!$B$35&gt;0),(((S168-1)*(Skills!T15*(1+Inputs!$B$33/100))+MIN((Skills!T15*(1+Inputs!$B$33/100)),MAX(0,Inputs!$B$35-((S168-1)*Skills!D15))))/Inputs!$B$35),IF(Inputs!$B$4="pvp",MIN((Skills!T15*(1+Inputs!$B$33/100)),15)/15,(Skills!T15*(1+Inputs!$B$33/100))/Skills!D15)))+((C169=TRUE)*F169*IF(AND(Inputs!$B$4&lt;&gt;"pvp",Inputs!$B$35&gt;0),(((S169-1)*(Skills!T16*(1+Inputs!$B$33/100))+MIN((Skills!T16*(1+Inputs!$B$33/100)),MAX(0,Inputs!$B$35-((S169-1)*Skills!D16))))/Inputs!$B$35),IF(Inputs!$B$4="pvp",MIN((Skills!T16*(1+Inputs!$B$33/100)),15)/15,(Skills!T16*(1+Inputs!$B$33/100))/Skills!D16)))+0)/100)*I162)</f>
        <v/>
      </c>
      <c r="L162">
        <f>K162*(MIN(Inputs!$B$21+((C175=TRUE)*(F175-Calc!F22)),Inputs!$B$22+((C177=TRUE)*(F177-Calc!F24)))/100+(Inputs!$B$22+((C177=TRUE)*(F177-Calc!F24)))/100)/2</f>
        <v/>
      </c>
      <c r="M162">
        <f>L162*(1+(Inputs!$B$9+0+B187)/100)</f>
        <v/>
      </c>
      <c r="N162">
        <f>L162*(1-MIN((Inputs!$B$8+0+B182),100)/100)+M162*(MIN((Inputs!$B$8+0+B182),100)/100)</f>
        <v/>
      </c>
      <c r="O162">
        <f>IF(C162,H162*N162*IF(AND(Inputs!$B$4&lt;&gt;"pvp",Inputs!$B$35&gt;0),((Skills!G9*((R162-1)*IF(Skills!H9&gt;0,Skills!I9/Skills!H9,1)+IF(Skills!H9&gt;0,MIN(Skills!I9,MAX(0,Inputs!$B$35-((R162-1)*IF(Inputs!$B$4="pvp",15,MAX(0.1,Skills!D9-IF(Skills!E9=TRUE,Inputs!$B$31,0))))))/Skills!H9,1)))/Inputs!$B$35),G162*Q162)*IF(Inputs!$B$4="pvp",1,(1-Summary!$B$55)*(1)+Summary!$B$55*(MIN(Skills!R9,Inputs!$B$37))),0)</f>
        <v/>
      </c>
      <c r="P162">
        <f>IF(B190=0,0,O162/B190)</f>
        <v/>
      </c>
      <c r="Q162">
        <f>IFERROR(1/IF(Inputs!$B$4="pvp",15,MAX(0.1,Skills!D9-IF(Skills!E9=TRUE,Inputs!$B$31,0))),0)</f>
        <v/>
      </c>
      <c r="R162">
        <f>IF(AND(Inputs!$B$4&lt;&gt;"pvp",Inputs!$B$35&gt;0),(INT(Inputs!$B$35/IF(Inputs!$B$4="pvp",15,MAX(0.1,Skills!D9-IF(Skills!E9=TRUE,Inputs!$B$31,0))))+1),0)</f>
        <v/>
      </c>
      <c r="S162">
        <f>IFERROR(O162/N162,0)</f>
        <v/>
      </c>
    </row>
    <row r="163">
      <c r="A163">
        <f>Skills!A10</f>
        <v/>
      </c>
      <c r="B163">
        <f>Skills!B10</f>
        <v/>
      </c>
      <c r="C163">
        <f>Inputs!$B$3&gt;=110</f>
        <v/>
      </c>
      <c r="D163">
        <f>IF(Skills!C10=1,60+Inputs!$B$24+Inputs!$B$28,IF(Skills!C10=2,90+Inputs!$B$25+Inputs!$B$28,IF(Skills!C10=3,120+Inputs!$B$26+Inputs!$B$28,MAX(0,(Inputs!$B$3-100)*3)+Inputs!$B$27+Inputs!$B$28)))</f>
        <v/>
      </c>
      <c r="E163">
        <f>INDEX(FactorTable!$B$2:$Y$301, MATCH(ROUND(MIN(300,MAX(1,D163)),0), FactorTable!$A$2:$A$301,0), Skills!M10+1)</f>
        <v/>
      </c>
      <c r="F163">
        <f>IF(Skills!N10=TRUE,(Skills!L10/10)*(E163/1000),Skills!L10/10)+Skills!O10</f>
        <v/>
      </c>
      <c r="G163">
        <f>Skills!G10*IF(Skills!H10&gt;0,Skills!I10/Skills!H10,1)</f>
        <v/>
      </c>
      <c r="H163">
        <f>1-(1-Skills!J10/100)^Skills!K10</f>
        <v/>
      </c>
      <c r="I163" t="inlineStr">
        <is>
          <t>1</t>
        </is>
      </c>
      <c r="J163">
        <f>(Inputs!$B$5*(1+Inputs!$B$6/100))*(F163/100)</f>
        <v/>
      </c>
      <c r="K163">
        <f>J163*(1+((Inputs!$B$11*(1+Inputs!$B$12/100))*0.01+Inputs!$B$13*0.0025)/100)*(1+(Inputs!$B$14+1)/100)*(1+IF(Inputs!$B$4="pvp",0,(1-Summary!$B$55)*(Inputs!$B$19+0+Skills!P10+((C170=TRUE)*F170*IF(AND(Inputs!$B$4&lt;&gt;"pvp",Inputs!$B$35&gt;0),(((S170-1)*(Skills!T17*(1+Inputs!$B$33/100))+MIN((Skills!T17*(1+Inputs!$B$33/100)),MAX(0,Inputs!$B$35-((S170-1)*Skills!D17))))/Inputs!$B$35),IF(Inputs!$B$4="pvp",MIN((Skills!T17*(1+Inputs!$B$33/100)),15)/15,(Skills!T17*(1+Inputs!$B$33/100))/Skills!D17)))+((C167=TRUE)*IF(Inputs!$B$4="pvp",20,(1-Summary!$B$55)*(20)+Summary!$B$55*(0))*IF(AND(Inputs!$B$4&lt;&gt;"pvp",Inputs!$B$35&gt;0),(((S167-1)*(Skills!T14*(1+Inputs!$B$33/100))+MIN((Skills!T14*(1+Inputs!$B$33/100)),MAX(0,Inputs!$B$35-((S167-1)*Skills!D14))))/Inputs!$B$35),IF(Inputs!$B$4="pvp",MIN((Skills!T14*(1+Inputs!$B$33/100)),15)/15,(Skills!T14*(1+Inputs!$B$33/100))/Skills!D14))))+Summary!$B$55*(Inputs!$B$20+Skills!Q10+((C170=TRUE)*F170*IF(AND(Inputs!$B$4&lt;&gt;"pvp",Inputs!$B$35&gt;0),(((S170-1)*(Skills!T17*(1+Inputs!$B$33/100))+MIN((Skills!T17*(1+Inputs!$B$33/100)),MAX(0,Inputs!$B$35-((S170-1)*Skills!D17))))/Inputs!$B$35),IF(Inputs!$B$4="pvp",MIN((Skills!T17*(1+Inputs!$B$33/100)),15)/15,(Skills!T17*(1+Inputs!$B$33/100))/Skills!D17)))))/100)*(1+Inputs!$B$15/100)*(5000/(6000+Inputs!$B$7*(1-(Inputs!$B$18+0)/100)))*(1+(Inputs!$B$23+((C178=TRUE)*(F178-Calc!F25))+((C179=TRUE)*(F179-Calc!F26))+B188)/100)*(1+(IF(Skills!A10="DARK_IMPALE",Inputs!$B$16+0,Inputs!$B$17+((C176=TRUE)*(F176-Calc!F23))))/100)*((1+(((C166=TRUE)*F166*IF(AND(Inputs!$B$4&lt;&gt;"pvp",Inputs!$B$35&gt;0),(((S166-1)*(Skills!T13*(1+Inputs!$B$33/100))+MIN((Skills!T13*(1+Inputs!$B$33/100)),MAX(0,Inputs!$B$35-((S166-1)*Skills!D13))))/Inputs!$B$35),IF(Inputs!$B$4="pvp",MIN((Skills!T13*(1+Inputs!$B$33/100)),15)/15,(Skills!T13*(1+Inputs!$B$33/100))/Skills!D13)))+((C167=TRUE)*F167*IF(AND(Inputs!$B$4&lt;&gt;"pvp",Inputs!$B$35&gt;0),(((S167-1)*(Skills!T14*(1+Inputs!$B$33/100))+MIN((Skills!T14*(1+Inputs!$B$33/100)),MAX(0,Inputs!$B$35-((S167-1)*Skills!D14))))/Inputs!$B$35),IF(Inputs!$B$4="pvp",MIN((Skills!T14*(1+Inputs!$B$33/100)),15)/15,(Skills!T14*(1+Inputs!$B$33/100))/Skills!D14)))+((C168=TRUE)*F168*IF(AND(Inputs!$B$4&lt;&gt;"pvp",Inputs!$B$35&gt;0),(((S168-1)*(Skills!T15*(1+Inputs!$B$33/100))+MIN((Skills!T15*(1+Inputs!$B$33/100)),MAX(0,Inputs!$B$35-((S168-1)*Skills!D15))))/Inputs!$B$35),IF(Inputs!$B$4="pvp",MIN((Skills!T15*(1+Inputs!$B$33/100)),15)/15,(Skills!T15*(1+Inputs!$B$33/100))/Skills!D15)))+((C169=TRUE)*F169*IF(AND(Inputs!$B$4&lt;&gt;"pvp",Inputs!$B$35&gt;0),(((S169-1)*(Skills!T16*(1+Inputs!$B$33/100))+MIN((Skills!T16*(1+Inputs!$B$33/100)),MAX(0,Inputs!$B$35-((S169-1)*Skills!D16))))/Inputs!$B$35),IF(Inputs!$B$4="pvp",MIN((Skills!T16*(1+Inputs!$B$33/100)),15)/15,(Skills!T16*(1+Inputs!$B$33/100))/Skills!D16)))+0)/100)*I163)</f>
        <v/>
      </c>
      <c r="L163">
        <f>K163*(MIN(Inputs!$B$21+((C175=TRUE)*(F175-Calc!F22)),Inputs!$B$22+((C177=TRUE)*(F177-Calc!F24)))/100+(Inputs!$B$22+((C177=TRUE)*(F177-Calc!F24)))/100)/2</f>
        <v/>
      </c>
      <c r="M163">
        <f>L163*(1+(Inputs!$B$9+0+B187)/100)</f>
        <v/>
      </c>
      <c r="N163">
        <f>L163*(1-MIN((Inputs!$B$8+0+B182),100)/100)+M163*(MIN((Inputs!$B$8+0+B182),100)/100)</f>
        <v/>
      </c>
      <c r="O163">
        <f>IF(C163,H163*N163*IF(AND(Inputs!$B$4&lt;&gt;"pvp",Inputs!$B$35&gt;0),((Skills!G10*((R163-1)*IF(Skills!H10&gt;0,Skills!I10/Skills!H10,1)+IF(Skills!H10&gt;0,MIN(Skills!I10,MAX(0,Inputs!$B$35-((R163-1)*IF(Inputs!$B$4="pvp",15,MAX(0.1,Skills!D10-IF(Skills!E10=TRUE,Inputs!$B$31,0))))))/Skills!H10,1)))/Inputs!$B$35),G163*Q163)*IF(Inputs!$B$4="pvp",1,(1-Summary!$B$55)*(1)+Summary!$B$55*(MIN(Skills!R10,Inputs!$B$37))),0)</f>
        <v/>
      </c>
      <c r="P163">
        <f>IF(B190=0,0,O163/B190)</f>
        <v/>
      </c>
      <c r="Q163">
        <f>IFERROR(1/IF(Inputs!$B$4="pvp",15,MAX(0.1,Skills!D10-IF(Skills!E10=TRUE,Inputs!$B$31,0))),0)</f>
        <v/>
      </c>
      <c r="R163">
        <f>IF(AND(Inputs!$B$4&lt;&gt;"pvp",Inputs!$B$35&gt;0),(INT(Inputs!$B$35/IF(Inputs!$B$4="pvp",15,MAX(0.1,Skills!D10-IF(Skills!E10=TRUE,Inputs!$B$31,0))))+1),0)</f>
        <v/>
      </c>
      <c r="S163">
        <f>IFERROR(O163/N163,0)</f>
        <v/>
      </c>
    </row>
    <row r="164">
      <c r="A164">
        <f>Skills!A11</f>
        <v/>
      </c>
      <c r="B164">
        <f>Skills!B11</f>
        <v/>
      </c>
      <c r="C164">
        <f>Inputs!$B$3&gt;=100</f>
        <v/>
      </c>
      <c r="D164">
        <f>IF(Skills!C11=1,60+Inputs!$B$24+Inputs!$B$28,IF(Skills!C11=2,90+Inputs!$B$25+Inputs!$B$28,IF(Skills!C11=3,120+Inputs!$B$26+Inputs!$B$28,MAX(0,(Inputs!$B$3-100)*3)+Inputs!$B$27+Inputs!$B$28)))</f>
        <v/>
      </c>
      <c r="E164">
        <f>INDEX(FactorTable!$B$2:$Y$301, MATCH(ROUND(MIN(300,MAX(1,D164)),0), FactorTable!$A$2:$A$301,0), Skills!M11+1)</f>
        <v/>
      </c>
      <c r="F164">
        <f>IF(Skills!N11=TRUE,(Skills!L11/10)*(E164/1000),Skills!L11/10)+Skills!O11</f>
        <v/>
      </c>
      <c r="G164" t="inlineStr"/>
      <c r="H164" t="inlineStr"/>
      <c r="I164" t="inlineStr">
        <is>
          <t>1</t>
        </is>
      </c>
      <c r="J164" t="inlineStr"/>
      <c r="K164" t="inlineStr"/>
      <c r="L164" t="inlineStr"/>
      <c r="M164" t="inlineStr"/>
      <c r="N164" t="inlineStr"/>
      <c r="O164" t="inlineStr"/>
      <c r="P164" t="inlineStr"/>
      <c r="Q164" t="inlineStr"/>
      <c r="R164" t="inlineStr"/>
      <c r="S164" t="inlineStr"/>
    </row>
    <row r="165">
      <c r="A165">
        <f>Skills!A12</f>
        <v/>
      </c>
      <c r="B165">
        <f>Skills!B12</f>
        <v/>
      </c>
      <c r="C165">
        <f>Inputs!$B$3&gt;=63</f>
        <v/>
      </c>
      <c r="D165">
        <f>IF(Skills!C12=1,60+Inputs!$B$24+Inputs!$B$28,IF(Skills!C12=2,90+Inputs!$B$25+Inputs!$B$28,IF(Skills!C12=3,120+Inputs!$B$26+Inputs!$B$28,MAX(0,(Inputs!$B$3-100)*3)+Inputs!$B$27+Inputs!$B$28)))</f>
        <v/>
      </c>
      <c r="E165">
        <f>INDEX(FactorTable!$B$2:$Y$301, MATCH(ROUND(MIN(300,MAX(1,D165)),0), FactorTable!$A$2:$A$301,0), Skills!M12+1)</f>
        <v/>
      </c>
      <c r="F165">
        <f>IF(Skills!N12=TRUE,(Skills!L12/10)*(E165/1000),Skills!L12/10)+Skills!O12</f>
        <v/>
      </c>
      <c r="G165">
        <f>Skills!G12*IF(Skills!H12&gt;0,Skills!I12/Skills!H12,1)</f>
        <v/>
      </c>
      <c r="H165">
        <f>1-(1-Skills!J12/100)^Skills!K12</f>
        <v/>
      </c>
      <c r="I165" t="inlineStr">
        <is>
          <t>1</t>
        </is>
      </c>
      <c r="J165">
        <f>(Inputs!$B$5*(1+Inputs!$B$6/100))*(F165/100)</f>
        <v/>
      </c>
      <c r="K165">
        <f>J165*(1+((Inputs!$B$11*(1+Inputs!$B$12/100))*0.01+Inputs!$B$13*0.0025)/100)*(1+(Inputs!$B$14+1)/100)*(1+IF(Inputs!$B$4="pvp",0,(1-Summary!$B$55)*(Inputs!$B$19+0+Skills!P12+((C170=TRUE)*F170*IF(AND(Inputs!$B$4&lt;&gt;"pvp",Inputs!$B$35&gt;0),(((S170-1)*(Skills!T17*(1+Inputs!$B$33/100))+MIN((Skills!T17*(1+Inputs!$B$33/100)),MAX(0,Inputs!$B$35-((S170-1)*Skills!D17))))/Inputs!$B$35),IF(Inputs!$B$4="pvp",MIN((Skills!T17*(1+Inputs!$B$33/100)),15)/15,(Skills!T17*(1+Inputs!$B$33/100))/Skills!D17)))+((C167=TRUE)*IF(Inputs!$B$4="pvp",20,(1-Summary!$B$55)*(20)+Summary!$B$55*(0))*IF(AND(Inputs!$B$4&lt;&gt;"pvp",Inputs!$B$35&gt;0),(((S167-1)*(Skills!T14*(1+Inputs!$B$33/100))+MIN((Skills!T14*(1+Inputs!$B$33/100)),MAX(0,Inputs!$B$35-((S167-1)*Skills!D14))))/Inputs!$B$35),IF(Inputs!$B$4="pvp",MIN((Skills!T14*(1+Inputs!$B$33/100)),15)/15,(Skills!T14*(1+Inputs!$B$33/100))/Skills!D14))))+Summary!$B$55*(Inputs!$B$20+Skills!Q12+((C170=TRUE)*F170*IF(AND(Inputs!$B$4&lt;&gt;"pvp",Inputs!$B$35&gt;0),(((S170-1)*(Skills!T17*(1+Inputs!$B$33/100))+MIN((Skills!T17*(1+Inputs!$B$33/100)),MAX(0,Inputs!$B$35-((S170-1)*Skills!D17))))/Inputs!$B$35),IF(Inputs!$B$4="pvp",MIN((Skills!T17*(1+Inputs!$B$33/100)),15)/15,(Skills!T17*(1+Inputs!$B$33/100))/Skills!D17)))))/100)*(1+Inputs!$B$15/100)*(5000/(6000+Inputs!$B$7*(1-(Inputs!$B$18+0)/100)))*(1+(Inputs!$B$23+((C178=TRUE)*(F178-Calc!F25))+((C179=TRUE)*(F179-Calc!F26))+B188)/100)*(1+0.75*IF(C164=TRUE,F164,0)/100)*(1+(IF(Skills!A12="DARK_IMPALE",Inputs!$B$16+0,Inputs!$B$17+((C176=TRUE)*(F176-Calc!F23))))/100)*((1+(((C166=TRUE)*F166*IF(AND(Inputs!$B$4&lt;&gt;"pvp",Inputs!$B$35&gt;0),(((S166-1)*(Skills!T13*(1+Inputs!$B$33/100))+MIN((Skills!T13*(1+Inputs!$B$33/100)),MAX(0,Inputs!$B$35-((S166-1)*Skills!D13))))/Inputs!$B$35),IF(Inputs!$B$4="pvp",MIN((Skills!T13*(1+Inputs!$B$33/100)),15)/15,(Skills!T13*(1+Inputs!$B$33/100))/Skills!D13)))+((C167=TRUE)*F167*IF(AND(Inputs!$B$4&lt;&gt;"pvp",Inputs!$B$35&gt;0),(((S167-1)*(Skills!T14*(1+Inputs!$B$33/100))+MIN((Skills!T14*(1+Inputs!$B$33/100)),MAX(0,Inputs!$B$35-((S167-1)*Skills!D14))))/Inputs!$B$35),IF(Inputs!$B$4="pvp",MIN((Skills!T14*(1+Inputs!$B$33/100)),15)/15,(Skills!T14*(1+Inputs!$B$33/100))/Skills!D14)))+((C168=TRUE)*F168*IF(AND(Inputs!$B$4&lt;&gt;"pvp",Inputs!$B$35&gt;0),(((S168-1)*(Skills!T15*(1+Inputs!$B$33/100))+MIN((Skills!T15*(1+Inputs!$B$33/100)),MAX(0,Inputs!$B$35-((S168-1)*Skills!D15))))/Inputs!$B$35),IF(Inputs!$B$4="pvp",MIN((Skills!T15*(1+Inputs!$B$33/100)),15)/15,(Skills!T15*(1+Inputs!$B$33/100))/Skills!D15)))+((C169=TRUE)*F169*IF(AND(Inputs!$B$4&lt;&gt;"pvp",Inputs!$B$35&gt;0),(((S169-1)*(Skills!T16*(1+Inputs!$B$33/100))+MIN((Skills!T16*(1+Inputs!$B$33/100)),MAX(0,Inputs!$B$35-((S169-1)*Skills!D16))))/Inputs!$B$35),IF(Inputs!$B$4="pvp",MIN((Skills!T16*(1+Inputs!$B$33/100)),15)/15,(Skills!T16*(1+Inputs!$B$33/100))/Skills!D16)))+0)/100)*I165)</f>
        <v/>
      </c>
      <c r="L165">
        <f>K165*(MIN(Inputs!$B$21+((C175=TRUE)*(F175-Calc!F22)),Inputs!$B$22+((C177=TRUE)*(F177-Calc!F24)))/100+(Inputs!$B$22+((C177=TRUE)*(F177-Calc!F24)))/100)/2</f>
        <v/>
      </c>
      <c r="M165">
        <f>L165*(1+(Inputs!$B$9+0+B187)/100)</f>
        <v/>
      </c>
      <c r="N165">
        <f>L165*(1-MIN((Inputs!$B$8+0+B182),100)/100)+M165*(MIN((Inputs!$B$8+0+B182),100)/100)</f>
        <v/>
      </c>
      <c r="O165">
        <f>IF(C165,H165*N165*IF(AND(Inputs!$B$4&lt;&gt;"pvp",Inputs!$B$35&gt;0),((Skills!G12*((R165-1)*IF(Skills!H12&gt;0,Skills!I12/Skills!H12,1)+IF(Skills!H12&gt;0,MIN(Skills!I12,MAX(0,Inputs!$B$35-((R165-1)*IF(Inputs!$B$4="pvp",15,MAX(0.1,Skills!D12-IF(Skills!E12=TRUE,Inputs!$B$31,0))))))/Skills!H12,1)))/Inputs!$B$35),G165*Q165)*IF(Inputs!$B$4="pvp",1,(1-Summary!$B$55)*(1)+Summary!$B$55*(MIN(Skills!R12,Inputs!$B$37))),0)</f>
        <v/>
      </c>
      <c r="P165">
        <f>IF(B190=0,0,O165/B190)</f>
        <v/>
      </c>
      <c r="Q165">
        <f>IFERROR(1/IF(Inputs!$B$4="pvp",15,MAX(0.1,Skills!D12-IF(Skills!E12=TRUE,Inputs!$B$31,0))),0)</f>
        <v/>
      </c>
      <c r="R165">
        <f>IF(AND(Inputs!$B$4&lt;&gt;"pvp",Inputs!$B$35&gt;0),(INT(Inputs!$B$35/IF(Inputs!$B$4="pvp",15,MAX(0.1,Skills!D12-IF(Skills!E12=TRUE,Inputs!$B$31,0))))+1),0)</f>
        <v/>
      </c>
      <c r="S165">
        <f>IFERROR(O165/N165,0)</f>
        <v/>
      </c>
    </row>
    <row r="166">
      <c r="A166">
        <f>Skills!A13</f>
        <v/>
      </c>
      <c r="B166">
        <f>Skills!B13</f>
        <v/>
      </c>
      <c r="C166">
        <f>Inputs!$B$3&gt;=69</f>
        <v/>
      </c>
      <c r="D166">
        <f>IF(Skills!C13=1,60+Inputs!$B$24+Inputs!$B$28,IF(Skills!C13=2,90+Inputs!$B$25+Inputs!$B$28,IF(Skills!C13=3,120+Inputs!$B$26+Inputs!$B$28,MAX(0,(Inputs!$B$3-100)*3)+Inputs!$B$27+Inputs!$B$28)))</f>
        <v/>
      </c>
      <c r="E166">
        <f>INDEX(FactorTable!$B$2:$Y$301, MATCH(ROUND(MIN(300,MAX(1,D166)),0), FactorTable!$A$2:$A$301,0), Skills!M13+1)</f>
        <v/>
      </c>
      <c r="F166">
        <f>IF(Skills!N13=TRUE,(Skills!L13/10)*(E166/1000),Skills!L13/10)+Skills!O13</f>
        <v/>
      </c>
      <c r="G166">
        <f>Skills!G13*IF(Skills!H13&gt;0,Skills!I13/Skills!H13,1)</f>
        <v/>
      </c>
      <c r="H166">
        <f>1-(1-Skills!J13/100)^Skills!K13</f>
        <v/>
      </c>
      <c r="I166" t="inlineStr">
        <is>
          <t>1</t>
        </is>
      </c>
      <c r="J166" t="inlineStr"/>
      <c r="K166" t="inlineStr"/>
      <c r="L166" t="inlineStr"/>
      <c r="M166" t="inlineStr"/>
      <c r="N166" t="inlineStr"/>
      <c r="O166" t="n">
        <v>0</v>
      </c>
      <c r="P166">
        <f>IF(B190=0,0,O166/B190)</f>
        <v/>
      </c>
      <c r="Q166">
        <f>IFERROR(1/IF(Inputs!$B$4="pvp",15,MAX(0.1,Skills!D13-IF(Skills!E13=TRUE,Inputs!$B$31,0))),0)</f>
        <v/>
      </c>
      <c r="R166">
        <f>IF(AND(Inputs!$B$4&lt;&gt;"pvp",Inputs!$B$35&gt;0),(INT(Inputs!$B$35/IF(Inputs!$B$4="pvp",15,MAX(0.1,Skills!D13-IF(Skills!E13=TRUE,Inputs!$B$31,0))))+1),0)</f>
        <v/>
      </c>
      <c r="S166">
        <f>IFERROR(O166/N166,0)</f>
        <v/>
      </c>
    </row>
    <row r="167">
      <c r="A167">
        <f>Skills!A14</f>
        <v/>
      </c>
      <c r="B167">
        <f>Skills!B14</f>
        <v/>
      </c>
      <c r="C167">
        <f>Inputs!$B$3&gt;=115</f>
        <v/>
      </c>
      <c r="D167">
        <f>IF(Skills!C14=1,60+Inputs!$B$24+Inputs!$B$28,IF(Skills!C14=2,90+Inputs!$B$25+Inputs!$B$28,IF(Skills!C14=3,120+Inputs!$B$26+Inputs!$B$28,MAX(0,(Inputs!$B$3-100)*3)+Inputs!$B$27+Inputs!$B$28)))</f>
        <v/>
      </c>
      <c r="E167">
        <f>INDEX(FactorTable!$B$2:$Y$301, MATCH(ROUND(MIN(300,MAX(1,D167)),0), FactorTable!$A$2:$A$301,0), Skills!M14+1)</f>
        <v/>
      </c>
      <c r="F167">
        <f>IF(Skills!N14=TRUE,(Skills!L14/10)*(E167/1000),Skills!L14/10)+Skills!O14</f>
        <v/>
      </c>
      <c r="G167">
        <f>Skills!G14*IF(Skills!H14&gt;0,Skills!I14/Skills!H14,1)</f>
        <v/>
      </c>
      <c r="H167">
        <f>1-(1-Skills!J14/100)^Skills!K14</f>
        <v/>
      </c>
      <c r="I167" t="inlineStr">
        <is>
          <t>1</t>
        </is>
      </c>
      <c r="J167" t="inlineStr"/>
      <c r="K167" t="inlineStr"/>
      <c r="L167" t="inlineStr"/>
      <c r="M167" t="inlineStr"/>
      <c r="N167" t="inlineStr"/>
      <c r="O167" t="n">
        <v>0</v>
      </c>
      <c r="P167">
        <f>IF(B190=0,0,O167/B190)</f>
        <v/>
      </c>
      <c r="Q167">
        <f>IFERROR(1/IF(Inputs!$B$4="pvp",15,MAX(0.1,Skills!D14-IF(Skills!E14=TRUE,Inputs!$B$31,0))),0)</f>
        <v/>
      </c>
      <c r="R167">
        <f>IF(AND(Inputs!$B$4&lt;&gt;"pvp",Inputs!$B$35&gt;0),(INT(Inputs!$B$35/IF(Inputs!$B$4="pvp",15,MAX(0.1,Skills!D14-IF(Skills!E14=TRUE,Inputs!$B$31,0))))+1),0)</f>
        <v/>
      </c>
      <c r="S167">
        <f>IFERROR(O167/N167,0)</f>
        <v/>
      </c>
    </row>
    <row r="168">
      <c r="A168">
        <f>Skills!A15</f>
        <v/>
      </c>
      <c r="B168">
        <f>Skills!B15</f>
        <v/>
      </c>
      <c r="C168">
        <f>Inputs!$B$3&gt;=66</f>
        <v/>
      </c>
      <c r="D168">
        <f>IF(Skills!C15=1,60+Inputs!$B$24+Inputs!$B$28,IF(Skills!C15=2,90+Inputs!$B$25+Inputs!$B$28,IF(Skills!C15=3,120+Inputs!$B$26+Inputs!$B$28,MAX(0,(Inputs!$B$3-100)*3)+Inputs!$B$27+Inputs!$B$28)))</f>
        <v/>
      </c>
      <c r="E168">
        <f>INDEX(FactorTable!$B$2:$Y$301, MATCH(ROUND(MIN(300,MAX(1,D168)),0), FactorTable!$A$2:$A$301,0), Skills!M15+1)</f>
        <v/>
      </c>
      <c r="F168">
        <f>IF(Skills!N15=TRUE,(Skills!L15/10)*(E168/1000),Skills!L15/10)+Skills!O15</f>
        <v/>
      </c>
      <c r="G168">
        <f>Skills!G15*IF(Skills!H15&gt;0,Skills!I15/Skills!H15,1)</f>
        <v/>
      </c>
      <c r="H168">
        <f>1-(1-Skills!J15/100)^Skills!K15</f>
        <v/>
      </c>
      <c r="I168" t="inlineStr">
        <is>
          <t>1</t>
        </is>
      </c>
      <c r="J168" t="inlineStr"/>
      <c r="K168" t="inlineStr"/>
      <c r="L168" t="inlineStr"/>
      <c r="M168" t="inlineStr"/>
      <c r="N168" t="inlineStr"/>
      <c r="O168" t="n">
        <v>0</v>
      </c>
      <c r="P168">
        <f>IF(B190=0,0,O168/B190)</f>
        <v/>
      </c>
      <c r="Q168">
        <f>IFERROR(1/IF(Inputs!$B$4="pvp",15,MAX(0.1,Skills!D15-IF(Skills!E15=TRUE,Inputs!$B$31,0))),0)</f>
        <v/>
      </c>
      <c r="R168">
        <f>IF(AND(Inputs!$B$4&lt;&gt;"pvp",Inputs!$B$35&gt;0),(INT(Inputs!$B$35/IF(Inputs!$B$4="pvp",15,MAX(0.1,Skills!D15-IF(Skills!E15=TRUE,Inputs!$B$31,0))))+1),0)</f>
        <v/>
      </c>
      <c r="S168">
        <f>IFERROR(O168/N168,0)</f>
        <v/>
      </c>
    </row>
    <row r="169">
      <c r="A169">
        <f>Skills!A16</f>
        <v/>
      </c>
      <c r="B169">
        <f>Skills!B16</f>
        <v/>
      </c>
      <c r="C169">
        <f>Inputs!$B$3&gt;=45</f>
        <v/>
      </c>
      <c r="D169">
        <f>IF(Skills!C16=1,60+Inputs!$B$24+Inputs!$B$28,IF(Skills!C16=2,90+Inputs!$B$25+Inputs!$B$28,IF(Skills!C16=3,120+Inputs!$B$26+Inputs!$B$28,MAX(0,(Inputs!$B$3-100)*3)+Inputs!$B$27+Inputs!$B$28)))</f>
        <v/>
      </c>
      <c r="E169">
        <f>INDEX(FactorTable!$B$2:$Y$301, MATCH(ROUND(MIN(300,MAX(1,D169)),0), FactorTable!$A$2:$A$301,0), Skills!M16+1)</f>
        <v/>
      </c>
      <c r="F169">
        <f>IF(Skills!N16=TRUE,(Skills!L16/10)*(E169/1000),Skills!L16/10)+Skills!O16</f>
        <v/>
      </c>
      <c r="G169">
        <f>Skills!G16*IF(Skills!H16&gt;0,Skills!I16/Skills!H16,1)</f>
        <v/>
      </c>
      <c r="H169">
        <f>1-(1-Skills!J16/100)^Skills!K16</f>
        <v/>
      </c>
      <c r="I169" t="inlineStr">
        <is>
          <t>1</t>
        </is>
      </c>
      <c r="J169" t="inlineStr"/>
      <c r="K169" t="inlineStr"/>
      <c r="L169" t="inlineStr"/>
      <c r="M169" t="inlineStr"/>
      <c r="N169" t="inlineStr"/>
      <c r="O169" t="n">
        <v>0</v>
      </c>
      <c r="P169">
        <f>IF(B190=0,0,O169/B190)</f>
        <v/>
      </c>
      <c r="Q169">
        <f>IFERROR(1/IF(Inputs!$B$4="pvp",15,MAX(0.1,Skills!D16-IF(Skills!E16=TRUE,Inputs!$B$31,0))),0)</f>
        <v/>
      </c>
      <c r="R169">
        <f>IF(AND(Inputs!$B$4&lt;&gt;"pvp",Inputs!$B$35&gt;0),(INT(Inputs!$B$35/IF(Inputs!$B$4="pvp",15,MAX(0.1,Skills!D16-IF(Skills!E16=TRUE,Inputs!$B$31,0))))+1),0)</f>
        <v/>
      </c>
      <c r="S169">
        <f>IFERROR(O169/N169,0)</f>
        <v/>
      </c>
    </row>
    <row r="170">
      <c r="A170">
        <f>Skills!A17</f>
        <v/>
      </c>
      <c r="B170">
        <f>Skills!B17</f>
        <v/>
      </c>
      <c r="C170">
        <f>Inputs!$B$3&gt;=35</f>
        <v/>
      </c>
      <c r="D170">
        <f>IF(Skills!C17=1,60+Inputs!$B$24+Inputs!$B$28,IF(Skills!C17=2,90+Inputs!$B$25+Inputs!$B$28,IF(Skills!C17=3,120+Inputs!$B$26+Inputs!$B$28,MAX(0,(Inputs!$B$3-100)*3)+Inputs!$B$27+Inputs!$B$28)))</f>
        <v/>
      </c>
      <c r="E170">
        <f>INDEX(FactorTable!$B$2:$Y$301, MATCH(ROUND(MIN(300,MAX(1,D170)),0), FactorTable!$A$2:$A$301,0), Skills!M17+1)</f>
        <v/>
      </c>
      <c r="F170">
        <f>IF(Skills!N17=TRUE,(Skills!L17/10)*(E170/1000),Skills!L17/10)+Skills!O17</f>
        <v/>
      </c>
      <c r="G170">
        <f>Skills!G17*IF(Skills!H17&gt;0,Skills!I17/Skills!H17,1)</f>
        <v/>
      </c>
      <c r="H170">
        <f>1-(1-Skills!J17/100)^Skills!K17</f>
        <v/>
      </c>
      <c r="I170" t="inlineStr">
        <is>
          <t>1</t>
        </is>
      </c>
      <c r="J170" t="inlineStr"/>
      <c r="K170" t="inlineStr"/>
      <c r="L170" t="inlineStr"/>
      <c r="M170" t="inlineStr"/>
      <c r="N170" t="inlineStr"/>
      <c r="O170" t="n">
        <v>0</v>
      </c>
      <c r="P170">
        <f>IF(B190=0,0,O170/B190)</f>
        <v/>
      </c>
      <c r="Q170">
        <f>IFERROR(1/IF(Inputs!$B$4="pvp",15,MAX(0.1,Skills!D17-IF(Skills!E17=TRUE,Inputs!$B$31,0))),0)</f>
        <v/>
      </c>
      <c r="R170">
        <f>IF(AND(Inputs!$B$4&lt;&gt;"pvp",Inputs!$B$35&gt;0),(INT(Inputs!$B$35/IF(Inputs!$B$4="pvp",15,MAX(0.1,Skills!D17-IF(Skills!E17=TRUE,Inputs!$B$31,0))))+1),0)</f>
        <v/>
      </c>
      <c r="S170">
        <f>IFERROR(O170/N170,0)</f>
        <v/>
      </c>
    </row>
    <row r="171">
      <c r="A171">
        <f>Skills!A18</f>
        <v/>
      </c>
      <c r="B171">
        <f>Skills!B18</f>
        <v/>
      </c>
      <c r="C171">
        <f>Inputs!$B$3&gt;=72</f>
        <v/>
      </c>
      <c r="D171">
        <f>IF(Skills!C18=1,60+Inputs!$B$24+Inputs!$B$28,IF(Skills!C18=2,90+Inputs!$B$25+Inputs!$B$28,IF(Skills!C18=3,120+Inputs!$B$26+Inputs!$B$28,MAX(0,(Inputs!$B$3-100)*3)+Inputs!$B$27+Inputs!$B$28)))</f>
        <v/>
      </c>
      <c r="E171">
        <f>INDEX(FactorTable!$B$2:$Y$301, MATCH(ROUND(MIN(300,MAX(1,D171)),0), FactorTable!$A$2:$A$301,0), Skills!M18+1)</f>
        <v/>
      </c>
      <c r="F171">
        <f>IF(Skills!N18=TRUE,(Skills!L18/10)*(E171/1000),Skills!L18/10)+Skills!O18</f>
        <v/>
      </c>
      <c r="G171">
        <f>Skills!G18*IF(Skills!H18&gt;0,Skills!I18/Skills!H18,1)</f>
        <v/>
      </c>
      <c r="H171">
        <f>1-(1-Skills!J18/100)^Skills!K18</f>
        <v/>
      </c>
      <c r="I171" t="inlineStr">
        <is>
          <t>1</t>
        </is>
      </c>
      <c r="J171" t="inlineStr"/>
      <c r="K171" t="inlineStr"/>
      <c r="L171" t="inlineStr"/>
      <c r="M171" t="inlineStr"/>
      <c r="N171" t="inlineStr"/>
      <c r="O171" t="n">
        <v>0</v>
      </c>
      <c r="P171">
        <f>IF(B190=0,0,O171/B190)</f>
        <v/>
      </c>
      <c r="Q171">
        <f>IFERROR(1/IF(Inputs!$B$4="pvp",15,MAX(0.1,Skills!D18-IF(Skills!E18=TRUE,Inputs!$B$31,0))),0)</f>
        <v/>
      </c>
      <c r="R171">
        <f>IF(AND(Inputs!$B$4&lt;&gt;"pvp",Inputs!$B$35&gt;0),(INT(Inputs!$B$35/IF(Inputs!$B$4="pvp",15,MAX(0.1,Skills!D18-IF(Skills!E18=TRUE,Inputs!$B$31,0))))+1),0)</f>
        <v/>
      </c>
      <c r="S171">
        <f>IFERROR(O171/N171,0)</f>
        <v/>
      </c>
    </row>
    <row r="172">
      <c r="A172">
        <f>Skills!A19</f>
        <v/>
      </c>
      <c r="B172">
        <f>Skills!B19</f>
        <v/>
      </c>
      <c r="C172">
        <f>Inputs!$B$3&gt;=72</f>
        <v/>
      </c>
      <c r="D172">
        <f>IF(Skills!C19=1,60+Inputs!$B$24+Inputs!$B$28,IF(Skills!C19=2,90+Inputs!$B$25+Inputs!$B$28,IF(Skills!C19=3,120+Inputs!$B$26+Inputs!$B$28,MAX(0,(Inputs!$B$3-100)*3)+Inputs!$B$27+Inputs!$B$28)))</f>
        <v/>
      </c>
      <c r="E172">
        <f>INDEX(FactorTable!$B$2:$Y$301, MATCH(ROUND(MIN(300,MAX(1,D172)),0), FactorTable!$A$2:$A$301,0), Skills!M19+1)</f>
        <v/>
      </c>
      <c r="F172">
        <f>IF(Skills!N19=TRUE,(Skills!L19/10)*(E172/1000),Skills!L19/10)+Skills!O19</f>
        <v/>
      </c>
      <c r="G172">
        <f>Skills!G19*IF(Skills!H19&gt;0,Skills!I19/Skills!H19,1)</f>
        <v/>
      </c>
      <c r="H172">
        <f>1-(1-Skills!J19/100)^Skills!K19</f>
        <v/>
      </c>
      <c r="I172" t="inlineStr">
        <is>
          <t>1</t>
        </is>
      </c>
      <c r="J172" t="inlineStr"/>
      <c r="K172" t="inlineStr"/>
      <c r="L172" t="inlineStr"/>
      <c r="M172" t="inlineStr"/>
      <c r="N172" t="inlineStr"/>
      <c r="O172" t="n">
        <v>0</v>
      </c>
      <c r="P172">
        <f>IF(B190=0,0,O172/B190)</f>
        <v/>
      </c>
      <c r="Q172">
        <f>IFERROR(1/IF(Inputs!$B$4="pvp",15,MAX(0.1,Skills!D19-IF(Skills!E19=TRUE,Inputs!$B$31,0))),0)</f>
        <v/>
      </c>
      <c r="R172">
        <f>IF(AND(Inputs!$B$4&lt;&gt;"pvp",Inputs!$B$35&gt;0),(INT(Inputs!$B$35/IF(Inputs!$B$4="pvp",15,MAX(0.1,Skills!D19-IF(Skills!E19=TRUE,Inputs!$B$31,0))))+1),0)</f>
        <v/>
      </c>
      <c r="S172">
        <f>IFERROR(O172/N172,0)</f>
        <v/>
      </c>
    </row>
    <row r="173">
      <c r="A173">
        <f>Skills!A20</f>
        <v/>
      </c>
      <c r="B173">
        <f>Skills!B20</f>
        <v/>
      </c>
      <c r="C173">
        <f>TRUE</f>
        <v/>
      </c>
      <c r="D173">
        <f>IF(Skills!C20=1,60+Inputs!$B$24+Inputs!$B$28,IF(Skills!C20=2,90+Inputs!$B$25+Inputs!$B$28,IF(Skills!C20=3,120+Inputs!$B$26+Inputs!$B$28,MAX(0,(Inputs!$B$3-100)*3)+Inputs!$B$27+Inputs!$B$28)))</f>
        <v/>
      </c>
      <c r="E173">
        <f>INDEX(FactorTable!$B$2:$Y$301, MATCH(ROUND(MIN(300,MAX(1,D173)),0), FactorTable!$A$2:$A$301,0), Skills!M20+1)</f>
        <v/>
      </c>
      <c r="F173">
        <f>IF(Skills!N20=TRUE,(Skills!L20/10)*(E173/1000),Skills!L20/10)+Skills!O20</f>
        <v/>
      </c>
      <c r="G173">
        <f>Skills!G20*IF(Skills!H20&gt;0,Skills!I20/Skills!H20,1)</f>
        <v/>
      </c>
      <c r="H173">
        <f>1-(1-Skills!J20/100)^Skills!K20</f>
        <v/>
      </c>
      <c r="I173" t="inlineStr">
        <is>
          <t>1</t>
        </is>
      </c>
      <c r="J173" t="inlineStr"/>
      <c r="K173" t="inlineStr"/>
      <c r="L173" t="inlineStr"/>
      <c r="M173" t="inlineStr"/>
      <c r="N173" t="inlineStr"/>
      <c r="O173" t="n">
        <v>0</v>
      </c>
      <c r="P173">
        <f>IF(B190=0,0,O173/B190)</f>
        <v/>
      </c>
      <c r="Q173">
        <f>IFERROR(1/IF(Inputs!$B$4="pvp",15,MAX(0.1,Skills!D20-IF(Skills!E20=TRUE,Inputs!$B$31,0))),0)</f>
        <v/>
      </c>
      <c r="R173">
        <f>IF(AND(Inputs!$B$4&lt;&gt;"pvp",Inputs!$B$35&gt;0),(INT(Inputs!$B$35/IF(Inputs!$B$4="pvp",15,MAX(0.1,Skills!D20-IF(Skills!E20=TRUE,Inputs!$B$31,0))))+1),0)</f>
        <v/>
      </c>
      <c r="S173">
        <f>IFERROR(O173/N173,0)</f>
        <v/>
      </c>
    </row>
    <row r="174">
      <c r="A174">
        <f>Skills!A21</f>
        <v/>
      </c>
      <c r="B174">
        <f>Skills!B21</f>
        <v/>
      </c>
      <c r="C174">
        <f>Inputs!$B$3&gt;=33</f>
        <v/>
      </c>
      <c r="D174">
        <f>IF(Skills!C21=1,60+Inputs!$B$24+Inputs!$B$28,IF(Skills!C21=2,90+Inputs!$B$25+Inputs!$B$28,IF(Skills!C21=3,120+Inputs!$B$26+Inputs!$B$28,MAX(0,(Inputs!$B$3-100)*3)+Inputs!$B$27+Inputs!$B$28)))</f>
        <v/>
      </c>
      <c r="E174">
        <f>INDEX(FactorTable!$B$2:$Y$301, MATCH(ROUND(MIN(300,MAX(1,D174)),0), FactorTable!$A$2:$A$301,0), Skills!M21+1)</f>
        <v/>
      </c>
      <c r="F174">
        <f>IF(Skills!N21=TRUE,(Skills!L21/10)*(E174/1000),Skills!L21/10)+Skills!O21</f>
        <v/>
      </c>
      <c r="G174">
        <f>Skills!G21*IF(Skills!H21&gt;0,Skills!I21/Skills!H21,1)</f>
        <v/>
      </c>
      <c r="H174">
        <f>1-(1-Skills!J21/100)^Skills!K21</f>
        <v/>
      </c>
      <c r="I174" t="inlineStr">
        <is>
          <t>1</t>
        </is>
      </c>
      <c r="J174" t="inlineStr"/>
      <c r="K174" t="inlineStr"/>
      <c r="L174" t="inlineStr"/>
      <c r="M174" t="inlineStr"/>
      <c r="N174" t="inlineStr"/>
      <c r="O174" t="n">
        <v>0</v>
      </c>
      <c r="P174">
        <f>IF(B190=0,0,O174/B190)</f>
        <v/>
      </c>
      <c r="Q174" t="n">
        <v>0</v>
      </c>
      <c r="R174" t="n">
        <v>0</v>
      </c>
      <c r="S174">
        <f>IFERROR(O174/N174,0)</f>
        <v/>
      </c>
    </row>
    <row r="175">
      <c r="A175">
        <f>Skills!A22</f>
        <v/>
      </c>
      <c r="B175">
        <f>Skills!B22</f>
        <v/>
      </c>
      <c r="C175">
        <f>Inputs!$B$3&gt;=43</f>
        <v/>
      </c>
      <c r="D175">
        <f>IF(Skills!C22=1,60+Inputs!$B$24+Inputs!$B$28,IF(Skills!C22=2,90+Inputs!$B$25+Inputs!$B$28,IF(Skills!C22=3,120+Inputs!$B$26+Inputs!$B$28,MAX(0,(Inputs!$B$3-100)*3)+Inputs!$B$27+Inputs!$B$28)))</f>
        <v/>
      </c>
      <c r="E175">
        <f>INDEX(FactorTable!$B$2:$Y$301, MATCH(ROUND(MIN(300,MAX(1,D175)),0), FactorTable!$A$2:$A$301,0), Skills!M22+1)</f>
        <v/>
      </c>
      <c r="F175">
        <f>IF(Skills!N22=TRUE,(Skills!L22/10)*(E175/1000),Skills!L22/10)+Skills!O22</f>
        <v/>
      </c>
      <c r="G175">
        <f>Skills!G22*IF(Skills!H22&gt;0,Skills!I22/Skills!H22,1)</f>
        <v/>
      </c>
      <c r="H175">
        <f>1-(1-Skills!J22/100)^Skills!K22</f>
        <v/>
      </c>
      <c r="I175" t="inlineStr">
        <is>
          <t>1</t>
        </is>
      </c>
      <c r="J175" t="inlineStr"/>
      <c r="K175" t="inlineStr"/>
      <c r="L175" t="inlineStr"/>
      <c r="M175" t="inlineStr"/>
      <c r="N175" t="inlineStr"/>
      <c r="O175" t="n">
        <v>0</v>
      </c>
      <c r="P175">
        <f>IF(B190=0,0,O175/B190)</f>
        <v/>
      </c>
      <c r="Q175" t="n">
        <v>0</v>
      </c>
      <c r="R175" t="n">
        <v>0</v>
      </c>
      <c r="S175">
        <f>IFERROR(O175/N175,0)</f>
        <v/>
      </c>
    </row>
    <row r="176">
      <c r="A176">
        <f>Skills!A23</f>
        <v/>
      </c>
      <c r="B176">
        <f>Skills!B23</f>
        <v/>
      </c>
      <c r="C176">
        <f>Inputs!$B$3&gt;=120</f>
        <v/>
      </c>
      <c r="D176">
        <f>IF(Skills!C23=1,60+Inputs!$B$24+Inputs!$B$28,IF(Skills!C23=2,90+Inputs!$B$25+Inputs!$B$28,IF(Skills!C23=3,120+Inputs!$B$26+Inputs!$B$28,MAX(0,(Inputs!$B$3-100)*3)+Inputs!$B$27+Inputs!$B$28)))</f>
        <v/>
      </c>
      <c r="E176">
        <f>INDEX(FactorTable!$B$2:$Y$301, MATCH(ROUND(MIN(300,MAX(1,D176)),0), FactorTable!$A$2:$A$301,0), Skills!M23+1)</f>
        <v/>
      </c>
      <c r="F176">
        <f>IF(Skills!N23=TRUE,(Skills!L23/10)*(E176/1000),Skills!L23/10)+Skills!O23</f>
        <v/>
      </c>
      <c r="G176">
        <f>Skills!G23*IF(Skills!H23&gt;0,Skills!I23/Skills!H23,1)</f>
        <v/>
      </c>
      <c r="H176">
        <f>1-(1-Skills!J23/100)^Skills!K23</f>
        <v/>
      </c>
      <c r="I176" t="inlineStr">
        <is>
          <t>1</t>
        </is>
      </c>
      <c r="J176" t="inlineStr"/>
      <c r="K176" t="inlineStr"/>
      <c r="L176" t="inlineStr"/>
      <c r="M176" t="inlineStr"/>
      <c r="N176" t="inlineStr"/>
      <c r="O176" t="n">
        <v>0</v>
      </c>
      <c r="P176">
        <f>IF(B190=0,0,O176/B190)</f>
        <v/>
      </c>
      <c r="Q176" t="n">
        <v>0</v>
      </c>
      <c r="R176" t="n">
        <v>0</v>
      </c>
      <c r="S176">
        <f>IFERROR(O176/N176,0)</f>
        <v/>
      </c>
    </row>
    <row r="177">
      <c r="A177">
        <f>Skills!A24</f>
        <v/>
      </c>
      <c r="B177">
        <f>Skills!B24</f>
        <v/>
      </c>
      <c r="C177">
        <f>Inputs!$B$3&gt;=120</f>
        <v/>
      </c>
      <c r="D177">
        <f>IF(Skills!C24=1,60+Inputs!$B$24+Inputs!$B$28,IF(Skills!C24=2,90+Inputs!$B$25+Inputs!$B$28,IF(Skills!C24=3,120+Inputs!$B$26+Inputs!$B$28,MAX(0,(Inputs!$B$3-100)*3)+Inputs!$B$27+Inputs!$B$28)))</f>
        <v/>
      </c>
      <c r="E177">
        <f>INDEX(FactorTable!$B$2:$Y$301, MATCH(ROUND(MIN(300,MAX(1,D177)),0), FactorTable!$A$2:$A$301,0), Skills!M24+1)</f>
        <v/>
      </c>
      <c r="F177">
        <f>IF(Skills!N24=TRUE,(Skills!L24/10)*(E177/1000),Skills!L24/10)+Skills!O24</f>
        <v/>
      </c>
      <c r="G177">
        <f>Skills!G24*IF(Skills!H24&gt;0,Skills!I24/Skills!H24,1)</f>
        <v/>
      </c>
      <c r="H177">
        <f>1-(1-Skills!J24/100)^Skills!K24</f>
        <v/>
      </c>
      <c r="I177" t="inlineStr">
        <is>
          <t>1</t>
        </is>
      </c>
      <c r="J177" t="inlineStr"/>
      <c r="K177" t="inlineStr"/>
      <c r="L177" t="inlineStr"/>
      <c r="M177" t="inlineStr"/>
      <c r="N177" t="inlineStr"/>
      <c r="O177" t="n">
        <v>0</v>
      </c>
      <c r="P177">
        <f>IF(B190=0,0,O177/B190)</f>
        <v/>
      </c>
      <c r="Q177" t="n">
        <v>0</v>
      </c>
      <c r="R177" t="n">
        <v>0</v>
      </c>
      <c r="S177">
        <f>IFERROR(O177/N177,0)</f>
        <v/>
      </c>
    </row>
    <row r="178">
      <c r="A178">
        <f>Skills!A25</f>
        <v/>
      </c>
      <c r="B178">
        <f>Skills!B25</f>
        <v/>
      </c>
      <c r="C178">
        <f>Inputs!$B$3&gt;=125</f>
        <v/>
      </c>
      <c r="D178">
        <f>IF(Skills!C25=1,60+Inputs!$B$24+Inputs!$B$28,IF(Skills!C25=2,90+Inputs!$B$25+Inputs!$B$28,IF(Skills!C25=3,120+Inputs!$B$26+Inputs!$B$28,MAX(0,(Inputs!$B$3-100)*3)+Inputs!$B$27+Inputs!$B$28)))</f>
        <v/>
      </c>
      <c r="E178">
        <f>INDEX(FactorTable!$B$2:$Y$301, MATCH(ROUND(MIN(300,MAX(1,D178)),0), FactorTable!$A$2:$A$301,0), Skills!M25+1)</f>
        <v/>
      </c>
      <c r="F178">
        <f>IF(Skills!N25=TRUE,(Skills!L25/10)*(E178/1000),Skills!L25/10)+Skills!O25</f>
        <v/>
      </c>
      <c r="G178">
        <f>Skills!G25*IF(Skills!H25&gt;0,Skills!I25/Skills!H25,1)</f>
        <v/>
      </c>
      <c r="H178">
        <f>1-(1-Skills!J25/100)^Skills!K25</f>
        <v/>
      </c>
      <c r="I178" t="inlineStr">
        <is>
          <t>1</t>
        </is>
      </c>
      <c r="J178" t="inlineStr"/>
      <c r="K178" t="inlineStr"/>
      <c r="L178" t="inlineStr"/>
      <c r="M178" t="inlineStr"/>
      <c r="N178" t="inlineStr"/>
      <c r="O178" t="n">
        <v>0</v>
      </c>
      <c r="P178">
        <f>IF(B190=0,0,O178/B190)</f>
        <v/>
      </c>
      <c r="Q178" t="n">
        <v>0</v>
      </c>
      <c r="R178" t="n">
        <v>0</v>
      </c>
      <c r="S178">
        <f>IFERROR(O178/N178,0)</f>
        <v/>
      </c>
    </row>
    <row r="179">
      <c r="A179">
        <f>Skills!A26</f>
        <v/>
      </c>
      <c r="B179">
        <f>Skills!B26</f>
        <v/>
      </c>
      <c r="C179">
        <f>Inputs!$B$3&gt;=107</f>
        <v/>
      </c>
      <c r="D179">
        <f>IF(Skills!C26=1,60+Inputs!$B$24+Inputs!$B$28,IF(Skills!C26=2,90+Inputs!$B$25+Inputs!$B$28,IF(Skills!C26=3,120+Inputs!$B$26+Inputs!$B$28,MAX(0,(Inputs!$B$3-100)*3)+Inputs!$B$27+Inputs!$B$28)))</f>
        <v/>
      </c>
      <c r="E179">
        <f>INDEX(FactorTable!$B$2:$Y$301, MATCH(ROUND(MIN(300,MAX(1,D179)),0), FactorTable!$A$2:$A$301,0), Skills!M26+1)</f>
        <v/>
      </c>
      <c r="F179">
        <f>IF(Skills!N26=TRUE,(Skills!L26/10)*(E179/1000),Skills!L26/10)+Skills!O26</f>
        <v/>
      </c>
      <c r="G179">
        <f>Skills!G26*IF(Skills!H26&gt;0,Skills!I26/Skills!H26,1)</f>
        <v/>
      </c>
      <c r="H179">
        <f>1-(1-Skills!J26/100)^Skills!K26</f>
        <v/>
      </c>
      <c r="I179" t="inlineStr">
        <is>
          <t>1</t>
        </is>
      </c>
      <c r="J179" t="inlineStr"/>
      <c r="K179" t="inlineStr"/>
      <c r="L179" t="inlineStr"/>
      <c r="M179" t="inlineStr"/>
      <c r="N179" t="inlineStr"/>
      <c r="O179" t="n">
        <v>0</v>
      </c>
      <c r="P179">
        <f>IF(B190=0,0,O179/B190)</f>
        <v/>
      </c>
      <c r="Q179" t="n">
        <v>0</v>
      </c>
      <c r="R179" t="n">
        <v>0</v>
      </c>
      <c r="S179">
        <f>IFERROR(O179/N179,0)</f>
        <v/>
      </c>
    </row>
    <row r="181">
      <c r="A181" t="inlineStr">
        <is>
          <t>Attack% Bucket Multiplier</t>
        </is>
      </c>
      <c r="B181">
        <f>(1+(((C166=TRUE)*F166*IF(AND(Inputs!$B$4&lt;&gt;"pvp",Inputs!$B$35&gt;0),(((S166-1)*(Skills!T13*(1+Inputs!$B$33/100))+MIN((Skills!T13*(1+Inputs!$B$33/100)),MAX(0,Inputs!$B$35-((S166-1)*Skills!D13))))/Inputs!$B$35),IF(Inputs!$B$4="pvp",MIN((Skills!T13*(1+Inputs!$B$33/100)),15)/15,(Skills!T13*(1+Inputs!$B$33/100))/Skills!D13)))+((C167=TRUE)*F167*IF(AND(Inputs!$B$4&lt;&gt;"pvp",Inputs!$B$35&gt;0),(((S167-1)*(Skills!T14*(1+Inputs!$B$33/100))+MIN((Skills!T14*(1+Inputs!$B$33/100)),MAX(0,Inputs!$B$35-((S167-1)*Skills!D14))))/Inputs!$B$35),IF(Inputs!$B$4="pvp",MIN((Skills!T14*(1+Inputs!$B$33/100)),15)/15,(Skills!T14*(1+Inputs!$B$33/100))/Skills!D14)))+((C168=TRUE)*F168*IF(AND(Inputs!$B$4&lt;&gt;"pvp",Inputs!$B$35&gt;0),(((S168-1)*(Skills!T15*(1+Inputs!$B$33/100))+MIN((Skills!T15*(1+Inputs!$B$33/100)),MAX(0,Inputs!$B$35-((S168-1)*Skills!D15))))/Inputs!$B$35),IF(Inputs!$B$4="pvp",MIN((Skills!T15*(1+Inputs!$B$33/100)),15)/15,(Skills!T15*(1+Inputs!$B$33/100))/Skills!D15)))+((C169=TRUE)*F169*IF(AND(Inputs!$B$4&lt;&gt;"pvp",Inputs!$B$35&gt;0),(((S169-1)*(Skills!T16*(1+Inputs!$B$33/100))+MIN((Skills!T16*(1+Inputs!$B$33/100)),MAX(0,Inputs!$B$35-((S169-1)*Skills!D16))))/Inputs!$B$35),IF(Inputs!$B$4="pvp",MIN((Skills!T16*(1+Inputs!$B$33/100)),15)/15,(Skills!T16*(1+Inputs!$B$33/100))/Skills!D16)))+0)/100)</f>
        <v/>
      </c>
    </row>
    <row r="182">
      <c r="A182" t="inlineStr">
        <is>
          <t>Global Crit Rate Bonus % (Lord of Darkness)</t>
        </is>
      </c>
      <c r="B182">
        <f>((C171=TRUE)*F171*(Skills!J18/100)*IF(AND(Inputs!$B$4&lt;&gt;"pvp",Inputs!$B$35&gt;0),(((S171-1)*(Skills!T18*(1+Inputs!$B$33/100))+MIN((Skills!T18*(1+Inputs!$B$33/100)),MAX(0,Inputs!$B$35-((S171-1)*Skills!D18))))/Inputs!$B$35),IF(Inputs!$B$4="pvp",MIN((Skills!T18*(1+Inputs!$B$33/100)),15)/15,(Skills!T18*(1+Inputs!$B$33/100))/Skills!D18)))</f>
        <v/>
      </c>
    </row>
    <row r="183">
      <c r="A183" t="inlineStr">
        <is>
          <t>Attack Speed Buff Bonus %</t>
        </is>
      </c>
      <c r="B183">
        <f>((C173=TRUE)*F173*IF(AND(Inputs!$B$4&lt;&gt;"pvp",Inputs!$B$35&gt;0),(((S173-1)*(Skills!T20*(1+Inputs!$B$33/100))+MIN((Skills!T20*(1+Inputs!$B$33/100)),MAX(0,Inputs!$B$35-((S173-1)*Skills!D20))))/Inputs!$B$35),IF(Inputs!$B$4="pvp",MIN((Skills!T20*(1+Inputs!$B$33/100)),15)/15,(Skills!T20*(1+Inputs!$B$33/100))/Skills!D20)))</f>
        <v/>
      </c>
    </row>
    <row r="184">
      <c r="A184" t="inlineStr">
        <is>
          <t>Actions Per Second</t>
        </is>
      </c>
      <c r="B184">
        <f>1+MIN(150,150*(1-(1-(Inputs!$B$10+((C174=TRUE)*(F174-Calc!F21)))/150)*(1-B183/150)))/100</f>
        <v/>
      </c>
    </row>
    <row r="185">
      <c r="A185" t="inlineStr">
        <is>
          <t>Skill + Buff Cast Rate</t>
        </is>
      </c>
      <c r="B185">
        <f>IF(AND(Inputs!$B$4&lt;&gt;"pvp",Inputs!$B$35&gt;0),SUMPRODUCT((Skills!E2:E26=TRUE)*(C155:C179=TRUE)*R155:R179*Skills!F2:F26)/Inputs!$B$35,SUMPRODUCT((Skills!E2:E26=TRUE)*(C155:C179=TRUE)*Q155:Q179*Skills!F2:F26))</f>
        <v/>
      </c>
    </row>
    <row r="186">
      <c r="A186" t="inlineStr">
        <is>
          <t>Dark Impale Casts Per Second</t>
        </is>
      </c>
      <c r="B186">
        <f>MAX(0,B184-B185)</f>
        <v/>
      </c>
    </row>
    <row r="187">
      <c r="A187" t="inlineStr">
        <is>
          <t>Global Critical Damage Bonus % (Lord of Darkness)</t>
        </is>
      </c>
      <c r="B187">
        <f>((C172=TRUE)*F172*(Skills!J19/100)*IF(AND(Inputs!$B$4&lt;&gt;"pvp",Inputs!$B$35&gt;0),(((S172-1)*(Skills!T19*(1+Inputs!$B$33/100))+MIN((Skills!T19*(1+Inputs!$B$33/100)),MAX(0,Inputs!$B$35-((S172-1)*Skills!D19))))/Inputs!$B$35),IF(Inputs!$B$4="pvp",MIN((Skills!T19*(1+Inputs!$B$33/100)),15)/15,(Skills!T19*(1+Inputs!$B$33/100))/Skills!D19)))</f>
        <v/>
      </c>
    </row>
    <row r="188">
      <c r="A188" t="inlineStr">
        <is>
          <t>Global Final Damage Bonus % (unused)</t>
        </is>
      </c>
      <c r="B188" t="n">
        <v>0</v>
      </c>
    </row>
    <row r="190">
      <c r="A190" s="5" t="inlineStr">
        <is>
          <t>TOTAL DPS</t>
        </is>
      </c>
      <c r="B190" s="5">
        <f>SUM(O155:O179)</f>
        <v/>
      </c>
    </row>
    <row r="193">
      <c r="A193" s="5" t="inlineStr">
        <is>
          <t>Stat: DAMAGE_AMP %</t>
        </is>
      </c>
    </row>
    <row r="194">
      <c r="A194" s="8" t="inlineStr">
        <is>
          <t>Key</t>
        </is>
      </c>
      <c r="B194" s="8" t="inlineStr">
        <is>
          <t>Name</t>
        </is>
      </c>
      <c r="C194" s="8" t="inlineStr">
        <is>
          <t>Unlocked</t>
        </is>
      </c>
      <c r="D194" s="8" t="inlineStr">
        <is>
          <t>InputLevel</t>
        </is>
      </c>
      <c r="E194" s="8" t="inlineStr">
        <is>
          <t>Factor</t>
        </is>
      </c>
      <c r="F194" s="8" t="inlineStr">
        <is>
          <t>CoefficientPercent</t>
        </is>
      </c>
      <c r="G194" s="8" t="inlineStr">
        <is>
          <t>EffectiveHits</t>
        </is>
      </c>
      <c r="H194" s="8" t="inlineStr">
        <is>
          <t>ProcProbability</t>
        </is>
      </c>
      <c r="I194" s="8" t="inlineStr">
        <is>
          <t>MapleHeroMultiplier</t>
        </is>
      </c>
      <c r="J194" s="8" t="inlineStr">
        <is>
          <t>BaseDamage</t>
        </is>
      </c>
      <c r="K194" s="8" t="inlineStr">
        <is>
          <t>BaseHitDamage</t>
        </is>
      </c>
      <c r="L194" s="8" t="inlineStr">
        <is>
          <t>NonCritAvg</t>
        </is>
      </c>
      <c r="M194" s="8" t="inlineStr">
        <is>
          <t>CritAvg</t>
        </is>
      </c>
      <c r="N194" s="8" t="inlineStr">
        <is>
          <t>ExpectedDamage(perHit)</t>
        </is>
      </c>
      <c r="O194" s="8" t="inlineStr">
        <is>
          <t>DPS</t>
        </is>
      </c>
      <c r="P194" s="8" t="inlineStr">
        <is>
          <t>% of Total</t>
        </is>
      </c>
      <c r="Q194" s="8" t="inlineStr">
        <is>
          <t>InvCooldown</t>
        </is>
      </c>
      <c r="R194" s="8" t="inlineStr">
        <is>
          <t>CastsInFight</t>
        </is>
      </c>
      <c r="S194" s="8" t="inlineStr">
        <is>
          <t>HitRate(perSec)</t>
        </is>
      </c>
      <c r="U194" t="inlineStr">
        <is>
          <t>helpers</t>
        </is>
      </c>
    </row>
    <row r="195">
      <c r="A195">
        <f>Skills!A2</f>
        <v/>
      </c>
      <c r="B195">
        <f>Skills!B2</f>
        <v/>
      </c>
      <c r="C195">
        <f>Inputs!$B$3&gt;=100</f>
        <v/>
      </c>
      <c r="D195" t="inlineStr"/>
      <c r="E195" t="inlineStr"/>
      <c r="F195">
        <f>U197+Skills!O2</f>
        <v/>
      </c>
      <c r="G195">
        <f>Skills!G2*IF(Skills!H2&gt;0,Skills!I2/Skills!H2,1)</f>
        <v/>
      </c>
      <c r="H195">
        <f>1-(1-Skills!J2/100)^Skills!K2</f>
        <v/>
      </c>
      <c r="I195" t="inlineStr">
        <is>
          <t>1</t>
        </is>
      </c>
      <c r="J195">
        <f>(Inputs!$B$5*(1+Inputs!$B$6/100))*(F195/100)</f>
        <v/>
      </c>
      <c r="K195">
        <f>J195*(1+((Inputs!$B$11*(1+Inputs!$B$12/100))*0.01+Inputs!$B$13*0.0025)/100)*(1+Inputs!$B$14/100)*(1+IF(Inputs!$B$4="pvp",0,(1-Summary!$B$55)*(Inputs!$B$19+0+Skills!P2+((C210=TRUE)*F210*IF(AND(Inputs!$B$4&lt;&gt;"pvp",Inputs!$B$35&gt;0),(((S210-1)*(Skills!T17*(1+Inputs!$B$33/100))+MIN((Skills!T17*(1+Inputs!$B$33/100)),MAX(0,Inputs!$B$35-((S210-1)*Skills!D17))))/Inputs!$B$35),IF(Inputs!$B$4="pvp",MIN((Skills!T17*(1+Inputs!$B$33/100)),15)/15,(Skills!T17*(1+Inputs!$B$33/100))/Skills!D17)))+((C207=TRUE)*IF(Inputs!$B$4="pvp",20,(1-Summary!$B$55)*(20)+Summary!$B$55*(0))*IF(AND(Inputs!$B$4&lt;&gt;"pvp",Inputs!$B$35&gt;0),(((S207-1)*(Skills!T14*(1+Inputs!$B$33/100))+MIN((Skills!T14*(1+Inputs!$B$33/100)),MAX(0,Inputs!$B$35-((S207-1)*Skills!D14))))/Inputs!$B$35),IF(Inputs!$B$4="pvp",MIN((Skills!T14*(1+Inputs!$B$33/100)),15)/15,(Skills!T14*(1+Inputs!$B$33/100))/Skills!D14))))+Summary!$B$55*(Inputs!$B$20+Skills!Q2+((C210=TRUE)*F210*IF(AND(Inputs!$B$4&lt;&gt;"pvp",Inputs!$B$35&gt;0),(((S210-1)*(Skills!T17*(1+Inputs!$B$33/100))+MIN((Skills!T17*(1+Inputs!$B$33/100)),MAX(0,Inputs!$B$35-((S210-1)*Skills!D17))))/Inputs!$B$35),IF(Inputs!$B$4="pvp",MIN((Skills!T17*(1+Inputs!$B$33/100)),15)/15,(Skills!T17*(1+Inputs!$B$33/100))/Skills!D17)))))/100)*(1+(Inputs!$B$15+1)/100)*(5000/(6000+Inputs!$B$7*(1-(Inputs!$B$18+0)/100)))*(1+(Inputs!$B$23+((C218=TRUE)*(F218-Calc!F25))+((C219=TRUE)*(F219-Calc!F26))+B228)/100)*(1+(IF(Skills!A2="DARK_IMPALE",Inputs!$B$16+0,Inputs!$B$17+((C216=TRUE)*(F216-Calc!F23))))/100)*((1+(((C206=TRUE)*F206*IF(AND(Inputs!$B$4&lt;&gt;"pvp",Inputs!$B$35&gt;0),(((S206-1)*(Skills!T13*(1+Inputs!$B$33/100))+MIN((Skills!T13*(1+Inputs!$B$33/100)),MAX(0,Inputs!$B$35-((S206-1)*Skills!D13))))/Inputs!$B$35),IF(Inputs!$B$4="pvp",MIN((Skills!T13*(1+Inputs!$B$33/100)),15)/15,(Skills!T13*(1+Inputs!$B$33/100))/Skills!D13)))+((C207=TRUE)*F207*IF(AND(Inputs!$B$4&lt;&gt;"pvp",Inputs!$B$35&gt;0),(((S207-1)*(Skills!T14*(1+Inputs!$B$33/100))+MIN((Skills!T14*(1+Inputs!$B$33/100)),MAX(0,Inputs!$B$35-((S207-1)*Skills!D14))))/Inputs!$B$35),IF(Inputs!$B$4="pvp",MIN((Skills!T14*(1+Inputs!$B$33/100)),15)/15,(Skills!T14*(1+Inputs!$B$33/100))/Skills!D14)))+((C208=TRUE)*F208*IF(AND(Inputs!$B$4&lt;&gt;"pvp",Inputs!$B$35&gt;0),(((S208-1)*(Skills!T15*(1+Inputs!$B$33/100))+MIN((Skills!T15*(1+Inputs!$B$33/100)),MAX(0,Inputs!$B$35-((S208-1)*Skills!D15))))/Inputs!$B$35),IF(Inputs!$B$4="pvp",MIN((Skills!T15*(1+Inputs!$B$33/100)),15)/15,(Skills!T15*(1+Inputs!$B$33/100))/Skills!D15)))+((C209=TRUE)*F209*IF(AND(Inputs!$B$4&lt;&gt;"pvp",Inputs!$B$35&gt;0),(((S209-1)*(Skills!T16*(1+Inputs!$B$33/100))+MIN((Skills!T16*(1+Inputs!$B$33/100)),MAX(0,Inputs!$B$35-((S209-1)*Skills!D16))))/Inputs!$B$35),IF(Inputs!$B$4="pvp",MIN((Skills!T16*(1+Inputs!$B$33/100)),15)/15,(Skills!T16*(1+Inputs!$B$33/100))/Skills!D16)))+0)/100)*I195)</f>
        <v/>
      </c>
      <c r="L195">
        <f>K195*(MIN(Inputs!$B$21+((C215=TRUE)*(F215-Calc!F22)),Inputs!$B$22+((C217=TRUE)*(F217-Calc!F24)))/100+(Inputs!$B$22+((C217=TRUE)*(F217-Calc!F24)))/100)/2</f>
        <v/>
      </c>
      <c r="M195">
        <f>L195*(1+(Inputs!$B$9+0+B227)/100)</f>
        <v/>
      </c>
      <c r="N195">
        <f>L195*(1-MIN((Inputs!$B$8+0+B222),100)/100)+M195*(MIN((Inputs!$B$8+0+B222),100)/100)</f>
        <v/>
      </c>
      <c r="O195">
        <f>IF(C195,Skills!G2*N195*B226*IF(Inputs!$B$4="pvp",1,(1-Summary!$B$55)*(1)+Summary!$B$55*(MIN((6+Inputs!$B$32),Inputs!$B$37))),0)</f>
        <v/>
      </c>
      <c r="P195">
        <f>IF(B230=0,0,O195/B230)</f>
        <v/>
      </c>
      <c r="Q195" t="n">
        <v>0</v>
      </c>
      <c r="R195" t="n">
        <v>0</v>
      </c>
      <c r="S195">
        <f>IFERROR(O195/N195,0)</f>
        <v/>
      </c>
      <c r="U195">
        <f>MAX(0,(Inputs!$B$3-100)*3)+Inputs!$B$27+Inputs!$B$28</f>
        <v/>
      </c>
    </row>
    <row r="196">
      <c r="A196">
        <f>Skills!A3</f>
        <v/>
      </c>
      <c r="B196">
        <f>Skills!B3</f>
        <v/>
      </c>
      <c r="C196">
        <f>Inputs!$B$3&gt;=50</f>
        <v/>
      </c>
      <c r="D196">
        <f>IF(Skills!C3=1,60+Inputs!$B$24+Inputs!$B$28,IF(Skills!C3=2,90+Inputs!$B$25+Inputs!$B$28,IF(Skills!C3=3,120+Inputs!$B$26+Inputs!$B$28,MAX(0,(Inputs!$B$3-100)*3)+Inputs!$B$27+Inputs!$B$28)))</f>
        <v/>
      </c>
      <c r="E196">
        <f>INDEX(FactorTable!$B$2:$Y$301, MATCH(ROUND(MIN(300,MAX(1,D196)),0), FactorTable!$A$2:$A$301,0), Skills!M3+1)</f>
        <v/>
      </c>
      <c r="F196">
        <f>IF(Skills!N3=TRUE,(Skills!L3/10)*(E196/1000),Skills!L3/10)+Skills!O3</f>
        <v/>
      </c>
      <c r="G196" t="inlineStr"/>
      <c r="H196" t="inlineStr"/>
      <c r="I196" t="inlineStr">
        <is>
          <t>1</t>
        </is>
      </c>
      <c r="J196" t="inlineStr"/>
      <c r="K196" t="inlineStr"/>
      <c r="L196" t="inlineStr"/>
      <c r="M196" t="inlineStr"/>
      <c r="N196" t="inlineStr"/>
      <c r="O196" t="inlineStr"/>
      <c r="P196" t="inlineStr"/>
      <c r="Q196" t="inlineStr"/>
      <c r="R196" t="inlineStr"/>
      <c r="S196" t="inlineStr"/>
      <c r="U196">
        <f>INDEX(FactorTable!$B$2:$Y$301, MATCH(ROUND(MIN(300,MAX(1,U195)),0), FactorTable!$A$2:$A$301,0), 22)</f>
        <v/>
      </c>
    </row>
    <row r="197">
      <c r="A197">
        <f>Skills!A4</f>
        <v/>
      </c>
      <c r="B197">
        <f>Skills!B4</f>
        <v/>
      </c>
      <c r="C197">
        <f>Inputs!$B$3&gt;=105</f>
        <v/>
      </c>
      <c r="D197">
        <f>IF(Skills!C4=1,60+Inputs!$B$24+Inputs!$B$28,IF(Skills!C4=2,90+Inputs!$B$25+Inputs!$B$28,IF(Skills!C4=3,120+Inputs!$B$26+Inputs!$B$28,MAX(0,(Inputs!$B$3-100)*3)+Inputs!$B$27+Inputs!$B$28)))</f>
        <v/>
      </c>
      <c r="E197">
        <f>INDEX(FactorTable!$B$2:$Y$301, MATCH(ROUND(MIN(300,MAX(1,D197)),0), FactorTable!$A$2:$A$301,0), Skills!M4+1)</f>
        <v/>
      </c>
      <c r="F197">
        <f>IF(Skills!N4=TRUE,(Skills!L4/10)*(E197/1000),Skills!L4/10)+Skills!O4</f>
        <v/>
      </c>
      <c r="G197" t="inlineStr"/>
      <c r="H197" t="inlineStr"/>
      <c r="I197" t="inlineStr">
        <is>
          <t>1</t>
        </is>
      </c>
      <c r="J197" t="inlineStr"/>
      <c r="K197" t="inlineStr"/>
      <c r="L197" t="inlineStr"/>
      <c r="M197" t="inlineStr"/>
      <c r="N197" t="inlineStr"/>
      <c r="O197" t="inlineStr"/>
      <c r="P197" t="inlineStr"/>
      <c r="Q197" t="inlineStr"/>
      <c r="R197" t="inlineStr"/>
      <c r="S197" t="inlineStr"/>
      <c r="U197">
        <f>290*U196/1000</f>
        <v/>
      </c>
    </row>
    <row r="198">
      <c r="A198">
        <f>Skills!A5</f>
        <v/>
      </c>
      <c r="B198">
        <f>Skills!B5</f>
        <v/>
      </c>
      <c r="C198">
        <f>Inputs!$B$3&gt;=117</f>
        <v/>
      </c>
      <c r="D198">
        <f>IF(Skills!C5=1,60+Inputs!$B$24+Inputs!$B$28,IF(Skills!C5=2,90+Inputs!$B$25+Inputs!$B$28,IF(Skills!C5=3,120+Inputs!$B$26+Inputs!$B$28,MAX(0,(Inputs!$B$3-100)*3)+Inputs!$B$27+Inputs!$B$28)))</f>
        <v/>
      </c>
      <c r="E198">
        <f>INDEX(FactorTable!$B$2:$Y$301, MATCH(ROUND(MIN(300,MAX(1,D198)),0), FactorTable!$A$2:$A$301,0), Skills!M5+1)</f>
        <v/>
      </c>
      <c r="F198">
        <f>IF(Skills!N5=TRUE,(Skills!L5/10)*(E198/1000),Skills!L5/10)+Skills!O5</f>
        <v/>
      </c>
      <c r="G198">
        <f>Skills!G5*IF(Skills!H5&gt;0,Skills!I5/Skills!H5,1)</f>
        <v/>
      </c>
      <c r="H198">
        <f>1-(1-Skills!J5/100)^Skills!K5</f>
        <v/>
      </c>
      <c r="I198" t="inlineStr">
        <is>
          <t>1</t>
        </is>
      </c>
      <c r="J198">
        <f>(Inputs!$B$5*(1+Inputs!$B$6/100))*(F198/100)</f>
        <v/>
      </c>
      <c r="K198">
        <f>J198*(1+((Inputs!$B$11*(1+Inputs!$B$12/100))*0.01+Inputs!$B$13*0.0025)/100)*(1+Inputs!$B$14/100)*(1+IF(Inputs!$B$4="pvp",0,(1-Summary!$B$55)*(Inputs!$B$19+0+Skills!P5+((C210=TRUE)*F210*IF(AND(Inputs!$B$4&lt;&gt;"pvp",Inputs!$B$35&gt;0),(((S210-1)*(Skills!T17*(1+Inputs!$B$33/100))+MIN((Skills!T17*(1+Inputs!$B$33/100)),MAX(0,Inputs!$B$35-((S210-1)*Skills!D17))))/Inputs!$B$35),IF(Inputs!$B$4="pvp",MIN((Skills!T17*(1+Inputs!$B$33/100)),15)/15,(Skills!T17*(1+Inputs!$B$33/100))/Skills!D17)))+((C207=TRUE)*IF(Inputs!$B$4="pvp",20,(1-Summary!$B$55)*(20)+Summary!$B$55*(0))*IF(AND(Inputs!$B$4&lt;&gt;"pvp",Inputs!$B$35&gt;0),(((S207-1)*(Skills!T14*(1+Inputs!$B$33/100))+MIN((Skills!T14*(1+Inputs!$B$33/100)),MAX(0,Inputs!$B$35-((S207-1)*Skills!D14))))/Inputs!$B$35),IF(Inputs!$B$4="pvp",MIN((Skills!T14*(1+Inputs!$B$33/100)),15)/15,(Skills!T14*(1+Inputs!$B$33/100))/Skills!D14))))+Summary!$B$55*(Inputs!$B$20+Skills!Q5+((C210=TRUE)*F210*IF(AND(Inputs!$B$4&lt;&gt;"pvp",Inputs!$B$35&gt;0),(((S210-1)*(Skills!T17*(1+Inputs!$B$33/100))+MIN((Skills!T17*(1+Inputs!$B$33/100)),MAX(0,Inputs!$B$35-((S210-1)*Skills!D17))))/Inputs!$B$35),IF(Inputs!$B$4="pvp",MIN((Skills!T17*(1+Inputs!$B$33/100)),15)/15,(Skills!T17*(1+Inputs!$B$33/100))/Skills!D17)))))/100)*(1+(Inputs!$B$15+1)/100)*(5000/(6000+Inputs!$B$7*(1-(Inputs!$B$18+0)/100)))*(1+(Inputs!$B$23+((C218=TRUE)*(F218-Calc!F25))+((C219=TRUE)*(F219-Calc!F26))+B228)/100)*(1+(IF(Skills!A5="DARK_IMPALE",Inputs!$B$16+0,Inputs!$B$17+((C216=TRUE)*(F216-Calc!F23))))/100)*((1+(((C206=TRUE)*F206*IF(AND(Inputs!$B$4&lt;&gt;"pvp",Inputs!$B$35&gt;0),(((S206-1)*(Skills!T13*(1+Inputs!$B$33/100))+MIN((Skills!T13*(1+Inputs!$B$33/100)),MAX(0,Inputs!$B$35-((S206-1)*Skills!D13))))/Inputs!$B$35),IF(Inputs!$B$4="pvp",MIN((Skills!T13*(1+Inputs!$B$33/100)),15)/15,(Skills!T13*(1+Inputs!$B$33/100))/Skills!D13)))+((C207=TRUE)*F207*IF(AND(Inputs!$B$4&lt;&gt;"pvp",Inputs!$B$35&gt;0),(((S207-1)*(Skills!T14*(1+Inputs!$B$33/100))+MIN((Skills!T14*(1+Inputs!$B$33/100)),MAX(0,Inputs!$B$35-((S207-1)*Skills!D14))))/Inputs!$B$35),IF(Inputs!$B$4="pvp",MIN((Skills!T14*(1+Inputs!$B$33/100)),15)/15,(Skills!T14*(1+Inputs!$B$33/100))/Skills!D14)))+((C208=TRUE)*F208*IF(AND(Inputs!$B$4&lt;&gt;"pvp",Inputs!$B$35&gt;0),(((S208-1)*(Skills!T15*(1+Inputs!$B$33/100))+MIN((Skills!T15*(1+Inputs!$B$33/100)),MAX(0,Inputs!$B$35-((S208-1)*Skills!D15))))/Inputs!$B$35),IF(Inputs!$B$4="pvp",MIN((Skills!T15*(1+Inputs!$B$33/100)),15)/15,(Skills!T15*(1+Inputs!$B$33/100))/Skills!D15)))+((C209=TRUE)*F209*IF(AND(Inputs!$B$4&lt;&gt;"pvp",Inputs!$B$35&gt;0),(((S209-1)*(Skills!T16*(1+Inputs!$B$33/100))+MIN((Skills!T16*(1+Inputs!$B$33/100)),MAX(0,Inputs!$B$35-((S209-1)*Skills!D16))))/Inputs!$B$35),IF(Inputs!$B$4="pvp",MIN((Skills!T16*(1+Inputs!$B$33/100)),15)/15,(Skills!T16*(1+Inputs!$B$33/100))/Skills!D16)))+0)/100)*I198)</f>
        <v/>
      </c>
      <c r="L198">
        <f>K198*(MIN(Inputs!$B$21+((C215=TRUE)*(F215-Calc!F22)),Inputs!$B$22+((C217=TRUE)*(F217-Calc!F24)))/100+(Inputs!$B$22+((C217=TRUE)*(F217-Calc!F24)))/100)/2</f>
        <v/>
      </c>
      <c r="M198">
        <f>L198*(1+(Inputs!$B$9+0+B227)/100)</f>
        <v/>
      </c>
      <c r="N198">
        <f>L198*(1-MIN((Inputs!$B$8+0+B222),100)/100)+M198*(MIN((Inputs!$B$8+0+B222),100)/100)</f>
        <v/>
      </c>
      <c r="O198">
        <f>IF(C198,H198*N198*IF(AND(Inputs!$B$4&lt;&gt;"pvp",Inputs!$B$35&gt;0),((Skills!G5*((R198-1)*IF(Skills!H5&gt;0,Skills!I5/Skills!H5,1)+IF(Skills!H5&gt;0,MIN(Skills!I5,MAX(0,Inputs!$B$35-((R198-1)*IF(Inputs!$B$4="pvp",15,MAX(0.1,Skills!D5-IF(Skills!E5=TRUE,Inputs!$B$31,0))))))/Skills!H5,1)))/Inputs!$B$35),G198*Q198)*IF(Inputs!$B$4="pvp",1,(1-Summary!$B$55)*(1)+Summary!$B$55*(MIN(Skills!R5,Inputs!$B$37))),0)</f>
        <v/>
      </c>
      <c r="P198">
        <f>IF(B230=0,0,O198/B230)</f>
        <v/>
      </c>
      <c r="Q198">
        <f>IFERROR(1/IF(Inputs!$B$4="pvp",15,MAX(0.1,Skills!D5-IF(Skills!E5=TRUE,Inputs!$B$31,0))),0)</f>
        <v/>
      </c>
      <c r="R198">
        <f>IF(AND(Inputs!$B$4&lt;&gt;"pvp",Inputs!$B$35&gt;0),(INT(Inputs!$B$35/IF(Inputs!$B$4="pvp",15,MAX(0.1,Skills!D5-IF(Skills!E5=TRUE,Inputs!$B$31,0))))+1),0)</f>
        <v/>
      </c>
      <c r="S198">
        <f>IFERROR(O198/N198,0)</f>
        <v/>
      </c>
    </row>
    <row r="199">
      <c r="A199">
        <f>Skills!A6</f>
        <v/>
      </c>
      <c r="B199">
        <f>Skills!B6</f>
        <v/>
      </c>
      <c r="C199">
        <f>Inputs!$B$3&gt;=103</f>
        <v/>
      </c>
      <c r="D199">
        <f>IF(Skills!C6=1,60+Inputs!$B$24+Inputs!$B$28,IF(Skills!C6=2,90+Inputs!$B$25+Inputs!$B$28,IF(Skills!C6=3,120+Inputs!$B$26+Inputs!$B$28,MAX(0,(Inputs!$B$3-100)*3)+Inputs!$B$27+Inputs!$B$28)))</f>
        <v/>
      </c>
      <c r="E199">
        <f>INDEX(FactorTable!$B$2:$Y$301, MATCH(ROUND(MIN(300,MAX(1,D199)),0), FactorTable!$A$2:$A$301,0), Skills!M6+1)</f>
        <v/>
      </c>
      <c r="F199">
        <f>IF(Skills!N6=TRUE,(Skills!L6/10)*(E199/1000),Skills!L6/10)+Skills!O6</f>
        <v/>
      </c>
      <c r="G199">
        <f>Skills!G6*IF(Skills!H6&gt;0,Skills!I6/Skills!H6,1)</f>
        <v/>
      </c>
      <c r="H199">
        <f>1-(1-Skills!J6/100)^Skills!K6</f>
        <v/>
      </c>
      <c r="I199" t="inlineStr">
        <is>
          <t>1</t>
        </is>
      </c>
      <c r="J199">
        <f>(Inputs!$B$5*(1+Inputs!$B$6/100))*(F199/100)</f>
        <v/>
      </c>
      <c r="K199">
        <f>J199*(1+((Inputs!$B$11*(1+Inputs!$B$12/100))*0.01+Inputs!$B$13*0.0025)/100)*(1+Inputs!$B$14/100)*(1+IF(Inputs!$B$4="pvp",0,(1-Summary!$B$55)*(Inputs!$B$19+0+Skills!P6+((C210=TRUE)*F210*IF(AND(Inputs!$B$4&lt;&gt;"pvp",Inputs!$B$35&gt;0),(((S210-1)*(Skills!T17*(1+Inputs!$B$33/100))+MIN((Skills!T17*(1+Inputs!$B$33/100)),MAX(0,Inputs!$B$35-((S210-1)*Skills!D17))))/Inputs!$B$35),IF(Inputs!$B$4="pvp",MIN((Skills!T17*(1+Inputs!$B$33/100)),15)/15,(Skills!T17*(1+Inputs!$B$33/100))/Skills!D17)))+((C207=TRUE)*IF(Inputs!$B$4="pvp",20,(1-Summary!$B$55)*(20)+Summary!$B$55*(0))*IF(AND(Inputs!$B$4&lt;&gt;"pvp",Inputs!$B$35&gt;0),(((S207-1)*(Skills!T14*(1+Inputs!$B$33/100))+MIN((Skills!T14*(1+Inputs!$B$33/100)),MAX(0,Inputs!$B$35-((S207-1)*Skills!D14))))/Inputs!$B$35),IF(Inputs!$B$4="pvp",MIN((Skills!T14*(1+Inputs!$B$33/100)),15)/15,(Skills!T14*(1+Inputs!$B$33/100))/Skills!D14))))+Summary!$B$55*(Inputs!$B$20+Skills!Q6+((C210=TRUE)*F210*IF(AND(Inputs!$B$4&lt;&gt;"pvp",Inputs!$B$35&gt;0),(((S210-1)*(Skills!T17*(1+Inputs!$B$33/100))+MIN((Skills!T17*(1+Inputs!$B$33/100)),MAX(0,Inputs!$B$35-((S210-1)*Skills!D17))))/Inputs!$B$35),IF(Inputs!$B$4="pvp",MIN((Skills!T17*(1+Inputs!$B$33/100)),15)/15,(Skills!T17*(1+Inputs!$B$33/100))/Skills!D17)))))/100)*(1+(Inputs!$B$15+1)/100)*(5000/(6000+Inputs!$B$7*(1-(Inputs!$B$18+0)/100)))*(1+(Inputs!$B$23+((C218=TRUE)*(F218-Calc!F25))+((C219=TRUE)*(F219-Calc!F26))+B228)/100)*(1+(IF(Skills!A6="DARK_IMPALE",Inputs!$B$16+0,Inputs!$B$17+((C216=TRUE)*(F216-Calc!F23))))/100)*((1+(((C206=TRUE)*F206*IF(AND(Inputs!$B$4&lt;&gt;"pvp",Inputs!$B$35&gt;0),(((S206-1)*(Skills!T13*(1+Inputs!$B$33/100))+MIN((Skills!T13*(1+Inputs!$B$33/100)),MAX(0,Inputs!$B$35-((S206-1)*Skills!D13))))/Inputs!$B$35),IF(Inputs!$B$4="pvp",MIN((Skills!T13*(1+Inputs!$B$33/100)),15)/15,(Skills!T13*(1+Inputs!$B$33/100))/Skills!D13)))+((C207=TRUE)*F207*IF(AND(Inputs!$B$4&lt;&gt;"pvp",Inputs!$B$35&gt;0),(((S207-1)*(Skills!T14*(1+Inputs!$B$33/100))+MIN((Skills!T14*(1+Inputs!$B$33/100)),MAX(0,Inputs!$B$35-((S207-1)*Skills!D14))))/Inputs!$B$35),IF(Inputs!$B$4="pvp",MIN((Skills!T14*(1+Inputs!$B$33/100)),15)/15,(Skills!T14*(1+Inputs!$B$33/100))/Skills!D14)))+((C208=TRUE)*F208*IF(AND(Inputs!$B$4&lt;&gt;"pvp",Inputs!$B$35&gt;0),(((S208-1)*(Skills!T15*(1+Inputs!$B$33/100))+MIN((Skills!T15*(1+Inputs!$B$33/100)),MAX(0,Inputs!$B$35-((S208-1)*Skills!D15))))/Inputs!$B$35),IF(Inputs!$B$4="pvp",MIN((Skills!T15*(1+Inputs!$B$33/100)),15)/15,(Skills!T15*(1+Inputs!$B$33/100))/Skills!D15)))+((C209=TRUE)*F209*IF(AND(Inputs!$B$4&lt;&gt;"pvp",Inputs!$B$35&gt;0),(((S209-1)*(Skills!T16*(1+Inputs!$B$33/100))+MIN((Skills!T16*(1+Inputs!$B$33/100)),MAX(0,Inputs!$B$35-((S209-1)*Skills!D16))))/Inputs!$B$35),IF(Inputs!$B$4="pvp",MIN((Skills!T16*(1+Inputs!$B$33/100)),15)/15,(Skills!T16*(1+Inputs!$B$33/100))/Skills!D16)))+0)/100)*I199)</f>
        <v/>
      </c>
      <c r="L199">
        <f>K199*(MIN(Inputs!$B$21+((C215=TRUE)*(F215-Calc!F22)),Inputs!$B$22+((C217=TRUE)*(F217-Calc!F24)))/100+(Inputs!$B$22+((C217=TRUE)*(F217-Calc!F24)))/100)/2</f>
        <v/>
      </c>
      <c r="M199">
        <f>L199*(1+(Inputs!$B$9+0+B227)/100)</f>
        <v/>
      </c>
      <c r="N199">
        <f>L199*(1-MIN((Inputs!$B$8+0+B222),100)/100)+M199*(MIN((Inputs!$B$8+0+B222),100)/100)</f>
        <v/>
      </c>
      <c r="O199">
        <f>IF(C199,H199*N199*IF(AND(Inputs!$B$4&lt;&gt;"pvp",Inputs!$B$35&gt;0),((Skills!G6*((R199-1)*IF(Skills!H6&gt;0,Skills!I6/Skills!H6,1)+IF(Skills!H6&gt;0,MIN(Skills!I6,MAX(0,Inputs!$B$35-((R199-1)*IF(Inputs!$B$4="pvp",15,MAX(0.1,Skills!D6-IF(Skills!E6=TRUE,Inputs!$B$31,0))))))/Skills!H6,1)))/Inputs!$B$35),G199*Q199)*IF(Inputs!$B$4="pvp",1,(1-Summary!$B$55)*(1)+Summary!$B$55*(MIN(Skills!R6,Inputs!$B$37))),0)</f>
        <v/>
      </c>
      <c r="P199">
        <f>IF(B230=0,0,O199/B230)</f>
        <v/>
      </c>
      <c r="Q199">
        <f>IFERROR(1/IF(Inputs!$B$4="pvp",15,MAX(0.1,Skills!D6-IF(Skills!E6=TRUE,Inputs!$B$31,0))),0)</f>
        <v/>
      </c>
      <c r="R199">
        <f>IF(AND(Inputs!$B$4&lt;&gt;"pvp",Inputs!$B$35&gt;0),(INT(Inputs!$B$35/IF(Inputs!$B$4="pvp",15,MAX(0.1,Skills!D6-IF(Skills!E6=TRUE,Inputs!$B$31,0))))+1),0)</f>
        <v/>
      </c>
      <c r="S199">
        <f>IFERROR(O199/N199,0)</f>
        <v/>
      </c>
    </row>
    <row r="200">
      <c r="A200">
        <f>Skills!A7</f>
        <v/>
      </c>
      <c r="B200">
        <f>Skills!B7</f>
        <v/>
      </c>
      <c r="C200">
        <f>Inputs!$B$3&gt;=40</f>
        <v/>
      </c>
      <c r="D200">
        <f>IF(Skills!C7=1,60+Inputs!$B$24+Inputs!$B$28,IF(Skills!C7=2,90+Inputs!$B$25+Inputs!$B$28,IF(Skills!C7=3,120+Inputs!$B$26+Inputs!$B$28,MAX(0,(Inputs!$B$3-100)*3)+Inputs!$B$27+Inputs!$B$28)))</f>
        <v/>
      </c>
      <c r="E200">
        <f>INDEX(FactorTable!$B$2:$Y$301, MATCH(ROUND(MIN(300,MAX(1,D200)),0), FactorTable!$A$2:$A$301,0), Skills!M7+1)</f>
        <v/>
      </c>
      <c r="F200">
        <f>IF(Skills!N7=TRUE,(Skills!L7/10)*(E200/1000),Skills!L7/10)+Skills!O7</f>
        <v/>
      </c>
      <c r="G200">
        <f>Skills!G7*IF(Skills!H7&gt;0,Skills!I7/Skills!H7,1)</f>
        <v/>
      </c>
      <c r="H200">
        <f>1-(1-Skills!J7/100)^Skills!K7</f>
        <v/>
      </c>
      <c r="I200" t="inlineStr">
        <is>
          <t>1</t>
        </is>
      </c>
      <c r="J200">
        <f>(Inputs!$B$5*(1+Inputs!$B$6/100))*(F200/100)</f>
        <v/>
      </c>
      <c r="K200">
        <f>J200*(1+((Inputs!$B$11*(1+Inputs!$B$12/100))*0.01+Inputs!$B$13*0.0025)/100)*(1+Inputs!$B$14/100)*(1+IF(Inputs!$B$4="pvp",0,(1-Summary!$B$55)*(Inputs!$B$19+0+Skills!P7+((C210=TRUE)*F210*IF(AND(Inputs!$B$4&lt;&gt;"pvp",Inputs!$B$35&gt;0),(((S210-1)*(Skills!T17*(1+Inputs!$B$33/100))+MIN((Skills!T17*(1+Inputs!$B$33/100)),MAX(0,Inputs!$B$35-((S210-1)*Skills!D17))))/Inputs!$B$35),IF(Inputs!$B$4="pvp",MIN((Skills!T17*(1+Inputs!$B$33/100)),15)/15,(Skills!T17*(1+Inputs!$B$33/100))/Skills!D17)))+((C207=TRUE)*IF(Inputs!$B$4="pvp",20,(1-Summary!$B$55)*(20)+Summary!$B$55*(0))*IF(AND(Inputs!$B$4&lt;&gt;"pvp",Inputs!$B$35&gt;0),(((S207-1)*(Skills!T14*(1+Inputs!$B$33/100))+MIN((Skills!T14*(1+Inputs!$B$33/100)),MAX(0,Inputs!$B$35-((S207-1)*Skills!D14))))/Inputs!$B$35),IF(Inputs!$B$4="pvp",MIN((Skills!T14*(1+Inputs!$B$33/100)),15)/15,(Skills!T14*(1+Inputs!$B$33/100))/Skills!D14))))+Summary!$B$55*(Inputs!$B$20+Skills!Q7+((C210=TRUE)*F210*IF(AND(Inputs!$B$4&lt;&gt;"pvp",Inputs!$B$35&gt;0),(((S210-1)*(Skills!T17*(1+Inputs!$B$33/100))+MIN((Skills!T17*(1+Inputs!$B$33/100)),MAX(0,Inputs!$B$35-((S210-1)*Skills!D17))))/Inputs!$B$35),IF(Inputs!$B$4="pvp",MIN((Skills!T17*(1+Inputs!$B$33/100)),15)/15,(Skills!T17*(1+Inputs!$B$33/100))/Skills!D17)))))/100)*(1+(Inputs!$B$15+1)/100)*(5000/(6000+Inputs!$B$7*(1-(Inputs!$B$18+0)/100)))*(1+(Inputs!$B$23+((C218=TRUE)*(F218-Calc!F25))+((C219=TRUE)*(F219-Calc!F26))+B228)/100)*(1+0.75*IF(C204=TRUE,F204,0)/100)*(1+(IF(Skills!A7="DARK_IMPALE",Inputs!$B$16+0,Inputs!$B$17+((C216=TRUE)*(F216-Calc!F23))))/100)*((1+(((C206=TRUE)*F206*IF(AND(Inputs!$B$4&lt;&gt;"pvp",Inputs!$B$35&gt;0),(((S206-1)*(Skills!T13*(1+Inputs!$B$33/100))+MIN((Skills!T13*(1+Inputs!$B$33/100)),MAX(0,Inputs!$B$35-((S206-1)*Skills!D13))))/Inputs!$B$35),IF(Inputs!$B$4="pvp",MIN((Skills!T13*(1+Inputs!$B$33/100)),15)/15,(Skills!T13*(1+Inputs!$B$33/100))/Skills!D13)))+((C207=TRUE)*F207*IF(AND(Inputs!$B$4&lt;&gt;"pvp",Inputs!$B$35&gt;0),(((S207-1)*(Skills!T14*(1+Inputs!$B$33/100))+MIN((Skills!T14*(1+Inputs!$B$33/100)),MAX(0,Inputs!$B$35-((S207-1)*Skills!D14))))/Inputs!$B$35),IF(Inputs!$B$4="pvp",MIN((Skills!T14*(1+Inputs!$B$33/100)),15)/15,(Skills!T14*(1+Inputs!$B$33/100))/Skills!D14)))+((C208=TRUE)*F208*IF(AND(Inputs!$B$4&lt;&gt;"pvp",Inputs!$B$35&gt;0),(((S208-1)*(Skills!T15*(1+Inputs!$B$33/100))+MIN((Skills!T15*(1+Inputs!$B$33/100)),MAX(0,Inputs!$B$35-((S208-1)*Skills!D15))))/Inputs!$B$35),IF(Inputs!$B$4="pvp",MIN((Skills!T15*(1+Inputs!$B$33/100)),15)/15,(Skills!T15*(1+Inputs!$B$33/100))/Skills!D15)))+((C209=TRUE)*F209*IF(AND(Inputs!$B$4&lt;&gt;"pvp",Inputs!$B$35&gt;0),(((S209-1)*(Skills!T16*(1+Inputs!$B$33/100))+MIN((Skills!T16*(1+Inputs!$B$33/100)),MAX(0,Inputs!$B$35-((S209-1)*Skills!D16))))/Inputs!$B$35),IF(Inputs!$B$4="pvp",MIN((Skills!T16*(1+Inputs!$B$33/100)),15)/15,(Skills!T16*(1+Inputs!$B$33/100))/Skills!D16)))+0)/100)*I200)</f>
        <v/>
      </c>
      <c r="L200">
        <f>K200*(MIN(Inputs!$B$21+((C215=TRUE)*(F215-Calc!F22)),Inputs!$B$22+((C217=TRUE)*(F217-Calc!F24)))/100+(Inputs!$B$22+((C217=TRUE)*(F217-Calc!F24)))/100)/2</f>
        <v/>
      </c>
      <c r="M200">
        <f>L200*(1+(Inputs!$B$9+0+B227)/100)</f>
        <v/>
      </c>
      <c r="N200">
        <f>L200*(1-MIN((Inputs!$B$8+0+B222),100)/100)+M200*(MIN((Inputs!$B$8+0+B222),100)/100)</f>
        <v/>
      </c>
      <c r="O200">
        <f>IF(C200,H200*N200*IF(AND(Inputs!$B$4&lt;&gt;"pvp",Inputs!$B$35&gt;0),((Skills!G7*((R200-1)*IF(Skills!H7&gt;0,Skills!I7/Skills!H7,1)+IF(Skills!H7&gt;0,MIN(Skills!I7,MAX(0,Inputs!$B$35-((R200-1)*IF(Inputs!$B$4="pvp",15,MAX(0.1,Skills!D7-IF(Skills!E7=TRUE,Inputs!$B$31,0))))))/Skills!H7,1)))/Inputs!$B$35),G200*Q200)*IF(Inputs!$B$4="pvp",1,(1-Summary!$B$55)*(1)+Summary!$B$55*(MIN(Skills!R7,Inputs!$B$37))),0)</f>
        <v/>
      </c>
      <c r="P200">
        <f>IF(B230=0,0,O200/B230)</f>
        <v/>
      </c>
      <c r="Q200">
        <f>IFERROR(1/IF(Inputs!$B$4="pvp",15,MAX(0.1,Skills!D7-IF(Skills!E7=TRUE,Inputs!$B$31,0))),0)</f>
        <v/>
      </c>
      <c r="R200">
        <f>IF(AND(Inputs!$B$4&lt;&gt;"pvp",Inputs!$B$35&gt;0),(INT(Inputs!$B$35/IF(Inputs!$B$4="pvp",15,MAX(0.1,Skills!D7-IF(Skills!E7=TRUE,Inputs!$B$31,0))))+1),0)</f>
        <v/>
      </c>
      <c r="S200">
        <f>IFERROR(O200/N200,0)</f>
        <v/>
      </c>
    </row>
    <row r="201">
      <c r="A201">
        <f>Skills!A8</f>
        <v/>
      </c>
      <c r="B201">
        <f>Skills!B8</f>
        <v/>
      </c>
      <c r="C201">
        <f>Inputs!$B$3&gt;=75</f>
        <v/>
      </c>
      <c r="D201">
        <f>IF(Skills!C8=1,60+Inputs!$B$24+Inputs!$B$28,IF(Skills!C8=2,90+Inputs!$B$25+Inputs!$B$28,IF(Skills!C8=3,120+Inputs!$B$26+Inputs!$B$28,MAX(0,(Inputs!$B$3-100)*3)+Inputs!$B$27+Inputs!$B$28)))</f>
        <v/>
      </c>
      <c r="E201">
        <f>INDEX(FactorTable!$B$2:$Y$301, MATCH(ROUND(MIN(300,MAX(1,D201)),0), FactorTable!$A$2:$A$301,0), Skills!M8+1)</f>
        <v/>
      </c>
      <c r="F201">
        <f>IF(Skills!N8=TRUE,(Skills!L8/10)*(E201/1000),Skills!L8/10)+Skills!O8</f>
        <v/>
      </c>
      <c r="G201" t="inlineStr"/>
      <c r="H201" t="inlineStr"/>
      <c r="I201" t="inlineStr">
        <is>
          <t>1</t>
        </is>
      </c>
      <c r="J201" t="inlineStr"/>
      <c r="K201" t="inlineStr"/>
      <c r="L201" t="inlineStr"/>
      <c r="M201" t="inlineStr"/>
      <c r="N201" t="inlineStr"/>
      <c r="O201" t="inlineStr"/>
      <c r="P201" t="inlineStr"/>
      <c r="Q201" t="inlineStr"/>
      <c r="R201" t="inlineStr"/>
      <c r="S201" t="inlineStr"/>
    </row>
    <row r="202">
      <c r="A202">
        <f>Skills!A9</f>
        <v/>
      </c>
      <c r="B202">
        <f>Skills!B9</f>
        <v/>
      </c>
      <c r="C202">
        <f>Inputs!$B$3&gt;=60</f>
        <v/>
      </c>
      <c r="D202">
        <f>IF(Skills!C9=1,60+Inputs!$B$24+Inputs!$B$28,IF(Skills!C9=2,90+Inputs!$B$25+Inputs!$B$28,IF(Skills!C9=3,120+Inputs!$B$26+Inputs!$B$28,MAX(0,(Inputs!$B$3-100)*3)+Inputs!$B$27+Inputs!$B$28)))</f>
        <v/>
      </c>
      <c r="E202">
        <f>INDEX(FactorTable!$B$2:$Y$301, MATCH(ROUND(MIN(300,MAX(1,D202)),0), FactorTable!$A$2:$A$301,0), Skills!M9+1)</f>
        <v/>
      </c>
      <c r="F202">
        <f>IF(Skills!N9=TRUE,(Skills!L9/10)*(E202/1000),Skills!L9/10)+Skills!O9</f>
        <v/>
      </c>
      <c r="G202">
        <f>Skills!G9*IF(Skills!H9&gt;0,Skills!I9/Skills!H9,1)</f>
        <v/>
      </c>
      <c r="H202">
        <f>1-(1-Skills!J9/100)^Skills!K9</f>
        <v/>
      </c>
      <c r="I202" t="inlineStr">
        <is>
          <t>1</t>
        </is>
      </c>
      <c r="J202">
        <f>(Inputs!$B$5*(1+Inputs!$B$6/100))*(F202/100)</f>
        <v/>
      </c>
      <c r="K202">
        <f>J202*(1+((Inputs!$B$11*(1+Inputs!$B$12/100))*0.01+Inputs!$B$13*0.0025)/100)*(1+Inputs!$B$14/100)*(1+IF(Inputs!$B$4="pvp",0,(1-Summary!$B$55)*(Inputs!$B$19+0+Skills!P9+((C210=TRUE)*F210*IF(AND(Inputs!$B$4&lt;&gt;"pvp",Inputs!$B$35&gt;0),(((S210-1)*(Skills!T17*(1+Inputs!$B$33/100))+MIN((Skills!T17*(1+Inputs!$B$33/100)),MAX(0,Inputs!$B$35-((S210-1)*Skills!D17))))/Inputs!$B$35),IF(Inputs!$B$4="pvp",MIN((Skills!T17*(1+Inputs!$B$33/100)),15)/15,(Skills!T17*(1+Inputs!$B$33/100))/Skills!D17)))+((C207=TRUE)*IF(Inputs!$B$4="pvp",20,(1-Summary!$B$55)*(20)+Summary!$B$55*(0))*IF(AND(Inputs!$B$4&lt;&gt;"pvp",Inputs!$B$35&gt;0),(((S207-1)*(Skills!T14*(1+Inputs!$B$33/100))+MIN((Skills!T14*(1+Inputs!$B$33/100)),MAX(0,Inputs!$B$35-((S207-1)*Skills!D14))))/Inputs!$B$35),IF(Inputs!$B$4="pvp",MIN((Skills!T14*(1+Inputs!$B$33/100)),15)/15,(Skills!T14*(1+Inputs!$B$33/100))/Skills!D14))))+Summary!$B$55*(Inputs!$B$20+Skills!Q9+((C210=TRUE)*F210*IF(AND(Inputs!$B$4&lt;&gt;"pvp",Inputs!$B$35&gt;0),(((S210-1)*(Skills!T17*(1+Inputs!$B$33/100))+MIN((Skills!T17*(1+Inputs!$B$33/100)),MAX(0,Inputs!$B$35-((S210-1)*Skills!D17))))/Inputs!$B$35),IF(Inputs!$B$4="pvp",MIN((Skills!T17*(1+Inputs!$B$33/100)),15)/15,(Skills!T17*(1+Inputs!$B$33/100))/Skills!D17)))))/100)*(1+(Inputs!$B$15+1)/100)*(5000/(6000+Inputs!$B$7*(1-(Inputs!$B$18+0)/100)))*(1+(Inputs!$B$23+((C218=TRUE)*(F218-Calc!F25))+((C219=TRUE)*(F219-Calc!F26))+B228)/100)*(1+1.0*IF(C204=TRUE,F204,0)/100)*(1+(IF(Skills!A9="DARK_IMPALE",Inputs!$B$16+0,Inputs!$B$17+((C216=TRUE)*(F216-Calc!F23))))/100)*((1+(((C206=TRUE)*F206*IF(AND(Inputs!$B$4&lt;&gt;"pvp",Inputs!$B$35&gt;0),(((S206-1)*(Skills!T13*(1+Inputs!$B$33/100))+MIN((Skills!T13*(1+Inputs!$B$33/100)),MAX(0,Inputs!$B$35-((S206-1)*Skills!D13))))/Inputs!$B$35),IF(Inputs!$B$4="pvp",MIN((Skills!T13*(1+Inputs!$B$33/100)),15)/15,(Skills!T13*(1+Inputs!$B$33/100))/Skills!D13)))+((C207=TRUE)*F207*IF(AND(Inputs!$B$4&lt;&gt;"pvp",Inputs!$B$35&gt;0),(((S207-1)*(Skills!T14*(1+Inputs!$B$33/100))+MIN((Skills!T14*(1+Inputs!$B$33/100)),MAX(0,Inputs!$B$35-((S207-1)*Skills!D14))))/Inputs!$B$35),IF(Inputs!$B$4="pvp",MIN((Skills!T14*(1+Inputs!$B$33/100)),15)/15,(Skills!T14*(1+Inputs!$B$33/100))/Skills!D14)))+((C208=TRUE)*F208*IF(AND(Inputs!$B$4&lt;&gt;"pvp",Inputs!$B$35&gt;0),(((S208-1)*(Skills!T15*(1+Inputs!$B$33/100))+MIN((Skills!T15*(1+Inputs!$B$33/100)),MAX(0,Inputs!$B$35-((S208-1)*Skills!D15))))/Inputs!$B$35),IF(Inputs!$B$4="pvp",MIN((Skills!T15*(1+Inputs!$B$33/100)),15)/15,(Skills!T15*(1+Inputs!$B$33/100))/Skills!D15)))+((C209=TRUE)*F209*IF(AND(Inputs!$B$4&lt;&gt;"pvp",Inputs!$B$35&gt;0),(((S209-1)*(Skills!T16*(1+Inputs!$B$33/100))+MIN((Skills!T16*(1+Inputs!$B$33/100)),MAX(0,Inputs!$B$35-((S209-1)*Skills!D16))))/Inputs!$B$35),IF(Inputs!$B$4="pvp",MIN((Skills!T16*(1+Inputs!$B$33/100)),15)/15,(Skills!T16*(1+Inputs!$B$33/100))/Skills!D16)))+0)/100)*I202)</f>
        <v/>
      </c>
      <c r="L202">
        <f>K202*(MIN(Inputs!$B$21+((C215=TRUE)*(F215-Calc!F22)),Inputs!$B$22+((C217=TRUE)*(F217-Calc!F24)))/100+(Inputs!$B$22+((C217=TRUE)*(F217-Calc!F24)))/100)/2</f>
        <v/>
      </c>
      <c r="M202">
        <f>L202*(1+(Inputs!$B$9+0+B227)/100)</f>
        <v/>
      </c>
      <c r="N202">
        <f>L202*(1-MIN((Inputs!$B$8+0+B222),100)/100)+M202*(MIN((Inputs!$B$8+0+B222),100)/100)</f>
        <v/>
      </c>
      <c r="O202">
        <f>IF(C202,H202*N202*IF(AND(Inputs!$B$4&lt;&gt;"pvp",Inputs!$B$35&gt;0),((Skills!G9*((R202-1)*IF(Skills!H9&gt;0,Skills!I9/Skills!H9,1)+IF(Skills!H9&gt;0,MIN(Skills!I9,MAX(0,Inputs!$B$35-((R202-1)*IF(Inputs!$B$4="pvp",15,MAX(0.1,Skills!D9-IF(Skills!E9=TRUE,Inputs!$B$31,0))))))/Skills!H9,1)))/Inputs!$B$35),G202*Q202)*IF(Inputs!$B$4="pvp",1,(1-Summary!$B$55)*(1)+Summary!$B$55*(MIN(Skills!R9,Inputs!$B$37))),0)</f>
        <v/>
      </c>
      <c r="P202">
        <f>IF(B230=0,0,O202/B230)</f>
        <v/>
      </c>
      <c r="Q202">
        <f>IFERROR(1/IF(Inputs!$B$4="pvp",15,MAX(0.1,Skills!D9-IF(Skills!E9=TRUE,Inputs!$B$31,0))),0)</f>
        <v/>
      </c>
      <c r="R202">
        <f>IF(AND(Inputs!$B$4&lt;&gt;"pvp",Inputs!$B$35&gt;0),(INT(Inputs!$B$35/IF(Inputs!$B$4="pvp",15,MAX(0.1,Skills!D9-IF(Skills!E9=TRUE,Inputs!$B$31,0))))+1),0)</f>
        <v/>
      </c>
      <c r="S202">
        <f>IFERROR(O202/N202,0)</f>
        <v/>
      </c>
    </row>
    <row r="203">
      <c r="A203">
        <f>Skills!A10</f>
        <v/>
      </c>
      <c r="B203">
        <f>Skills!B10</f>
        <v/>
      </c>
      <c r="C203">
        <f>Inputs!$B$3&gt;=110</f>
        <v/>
      </c>
      <c r="D203">
        <f>IF(Skills!C10=1,60+Inputs!$B$24+Inputs!$B$28,IF(Skills!C10=2,90+Inputs!$B$25+Inputs!$B$28,IF(Skills!C10=3,120+Inputs!$B$26+Inputs!$B$28,MAX(0,(Inputs!$B$3-100)*3)+Inputs!$B$27+Inputs!$B$28)))</f>
        <v/>
      </c>
      <c r="E203">
        <f>INDEX(FactorTable!$B$2:$Y$301, MATCH(ROUND(MIN(300,MAX(1,D203)),0), FactorTable!$A$2:$A$301,0), Skills!M10+1)</f>
        <v/>
      </c>
      <c r="F203">
        <f>IF(Skills!N10=TRUE,(Skills!L10/10)*(E203/1000),Skills!L10/10)+Skills!O10</f>
        <v/>
      </c>
      <c r="G203">
        <f>Skills!G10*IF(Skills!H10&gt;0,Skills!I10/Skills!H10,1)</f>
        <v/>
      </c>
      <c r="H203">
        <f>1-(1-Skills!J10/100)^Skills!K10</f>
        <v/>
      </c>
      <c r="I203" t="inlineStr">
        <is>
          <t>1</t>
        </is>
      </c>
      <c r="J203">
        <f>(Inputs!$B$5*(1+Inputs!$B$6/100))*(F203/100)</f>
        <v/>
      </c>
      <c r="K203">
        <f>J203*(1+((Inputs!$B$11*(1+Inputs!$B$12/100))*0.01+Inputs!$B$13*0.0025)/100)*(1+Inputs!$B$14/100)*(1+IF(Inputs!$B$4="pvp",0,(1-Summary!$B$55)*(Inputs!$B$19+0+Skills!P10+((C210=TRUE)*F210*IF(AND(Inputs!$B$4&lt;&gt;"pvp",Inputs!$B$35&gt;0),(((S210-1)*(Skills!T17*(1+Inputs!$B$33/100))+MIN((Skills!T17*(1+Inputs!$B$33/100)),MAX(0,Inputs!$B$35-((S210-1)*Skills!D17))))/Inputs!$B$35),IF(Inputs!$B$4="pvp",MIN((Skills!T17*(1+Inputs!$B$33/100)),15)/15,(Skills!T17*(1+Inputs!$B$33/100))/Skills!D17)))+((C207=TRUE)*IF(Inputs!$B$4="pvp",20,(1-Summary!$B$55)*(20)+Summary!$B$55*(0))*IF(AND(Inputs!$B$4&lt;&gt;"pvp",Inputs!$B$35&gt;0),(((S207-1)*(Skills!T14*(1+Inputs!$B$33/100))+MIN((Skills!T14*(1+Inputs!$B$33/100)),MAX(0,Inputs!$B$35-((S207-1)*Skills!D14))))/Inputs!$B$35),IF(Inputs!$B$4="pvp",MIN((Skills!T14*(1+Inputs!$B$33/100)),15)/15,(Skills!T14*(1+Inputs!$B$33/100))/Skills!D14))))+Summary!$B$55*(Inputs!$B$20+Skills!Q10+((C210=TRUE)*F210*IF(AND(Inputs!$B$4&lt;&gt;"pvp",Inputs!$B$35&gt;0),(((S210-1)*(Skills!T17*(1+Inputs!$B$33/100))+MIN((Skills!T17*(1+Inputs!$B$33/100)),MAX(0,Inputs!$B$35-((S210-1)*Skills!D17))))/Inputs!$B$35),IF(Inputs!$B$4="pvp",MIN((Skills!T17*(1+Inputs!$B$33/100)),15)/15,(Skills!T17*(1+Inputs!$B$33/100))/Skills!D17)))))/100)*(1+(Inputs!$B$15+1)/100)*(5000/(6000+Inputs!$B$7*(1-(Inputs!$B$18+0)/100)))*(1+(Inputs!$B$23+((C218=TRUE)*(F218-Calc!F25))+((C219=TRUE)*(F219-Calc!F26))+B228)/100)*(1+(IF(Skills!A10="DARK_IMPALE",Inputs!$B$16+0,Inputs!$B$17+((C216=TRUE)*(F216-Calc!F23))))/100)*((1+(((C206=TRUE)*F206*IF(AND(Inputs!$B$4&lt;&gt;"pvp",Inputs!$B$35&gt;0),(((S206-1)*(Skills!T13*(1+Inputs!$B$33/100))+MIN((Skills!T13*(1+Inputs!$B$33/100)),MAX(0,Inputs!$B$35-((S206-1)*Skills!D13))))/Inputs!$B$35),IF(Inputs!$B$4="pvp",MIN((Skills!T13*(1+Inputs!$B$33/100)),15)/15,(Skills!T13*(1+Inputs!$B$33/100))/Skills!D13)))+((C207=TRUE)*F207*IF(AND(Inputs!$B$4&lt;&gt;"pvp",Inputs!$B$35&gt;0),(((S207-1)*(Skills!T14*(1+Inputs!$B$33/100))+MIN((Skills!T14*(1+Inputs!$B$33/100)),MAX(0,Inputs!$B$35-((S207-1)*Skills!D14))))/Inputs!$B$35),IF(Inputs!$B$4="pvp",MIN((Skills!T14*(1+Inputs!$B$33/100)),15)/15,(Skills!T14*(1+Inputs!$B$33/100))/Skills!D14)))+((C208=TRUE)*F208*IF(AND(Inputs!$B$4&lt;&gt;"pvp",Inputs!$B$35&gt;0),(((S208-1)*(Skills!T15*(1+Inputs!$B$33/100))+MIN((Skills!T15*(1+Inputs!$B$33/100)),MAX(0,Inputs!$B$35-((S208-1)*Skills!D15))))/Inputs!$B$35),IF(Inputs!$B$4="pvp",MIN((Skills!T15*(1+Inputs!$B$33/100)),15)/15,(Skills!T15*(1+Inputs!$B$33/100))/Skills!D15)))+((C209=TRUE)*F209*IF(AND(Inputs!$B$4&lt;&gt;"pvp",Inputs!$B$35&gt;0),(((S209-1)*(Skills!T16*(1+Inputs!$B$33/100))+MIN((Skills!T16*(1+Inputs!$B$33/100)),MAX(0,Inputs!$B$35-((S209-1)*Skills!D16))))/Inputs!$B$35),IF(Inputs!$B$4="pvp",MIN((Skills!T16*(1+Inputs!$B$33/100)),15)/15,(Skills!T16*(1+Inputs!$B$33/100))/Skills!D16)))+0)/100)*I203)</f>
        <v/>
      </c>
      <c r="L203">
        <f>K203*(MIN(Inputs!$B$21+((C215=TRUE)*(F215-Calc!F22)),Inputs!$B$22+((C217=TRUE)*(F217-Calc!F24)))/100+(Inputs!$B$22+((C217=TRUE)*(F217-Calc!F24)))/100)/2</f>
        <v/>
      </c>
      <c r="M203">
        <f>L203*(1+(Inputs!$B$9+0+B227)/100)</f>
        <v/>
      </c>
      <c r="N203">
        <f>L203*(1-MIN((Inputs!$B$8+0+B222),100)/100)+M203*(MIN((Inputs!$B$8+0+B222),100)/100)</f>
        <v/>
      </c>
      <c r="O203">
        <f>IF(C203,H203*N203*IF(AND(Inputs!$B$4&lt;&gt;"pvp",Inputs!$B$35&gt;0),((Skills!G10*((R203-1)*IF(Skills!H10&gt;0,Skills!I10/Skills!H10,1)+IF(Skills!H10&gt;0,MIN(Skills!I10,MAX(0,Inputs!$B$35-((R203-1)*IF(Inputs!$B$4="pvp",15,MAX(0.1,Skills!D10-IF(Skills!E10=TRUE,Inputs!$B$31,0))))))/Skills!H10,1)))/Inputs!$B$35),G203*Q203)*IF(Inputs!$B$4="pvp",1,(1-Summary!$B$55)*(1)+Summary!$B$55*(MIN(Skills!R10,Inputs!$B$37))),0)</f>
        <v/>
      </c>
      <c r="P203">
        <f>IF(B230=0,0,O203/B230)</f>
        <v/>
      </c>
      <c r="Q203">
        <f>IFERROR(1/IF(Inputs!$B$4="pvp",15,MAX(0.1,Skills!D10-IF(Skills!E10=TRUE,Inputs!$B$31,0))),0)</f>
        <v/>
      </c>
      <c r="R203">
        <f>IF(AND(Inputs!$B$4&lt;&gt;"pvp",Inputs!$B$35&gt;0),(INT(Inputs!$B$35/IF(Inputs!$B$4="pvp",15,MAX(0.1,Skills!D10-IF(Skills!E10=TRUE,Inputs!$B$31,0))))+1),0)</f>
        <v/>
      </c>
      <c r="S203">
        <f>IFERROR(O203/N203,0)</f>
        <v/>
      </c>
    </row>
    <row r="204">
      <c r="A204">
        <f>Skills!A11</f>
        <v/>
      </c>
      <c r="B204">
        <f>Skills!B11</f>
        <v/>
      </c>
      <c r="C204">
        <f>Inputs!$B$3&gt;=100</f>
        <v/>
      </c>
      <c r="D204">
        <f>IF(Skills!C11=1,60+Inputs!$B$24+Inputs!$B$28,IF(Skills!C11=2,90+Inputs!$B$25+Inputs!$B$28,IF(Skills!C11=3,120+Inputs!$B$26+Inputs!$B$28,MAX(0,(Inputs!$B$3-100)*3)+Inputs!$B$27+Inputs!$B$28)))</f>
        <v/>
      </c>
      <c r="E204">
        <f>INDEX(FactorTable!$B$2:$Y$301, MATCH(ROUND(MIN(300,MAX(1,D204)),0), FactorTable!$A$2:$A$301,0), Skills!M11+1)</f>
        <v/>
      </c>
      <c r="F204">
        <f>IF(Skills!N11=TRUE,(Skills!L11/10)*(E204/1000),Skills!L11/10)+Skills!O11</f>
        <v/>
      </c>
      <c r="G204" t="inlineStr"/>
      <c r="H204" t="inlineStr"/>
      <c r="I204" t="inlineStr">
        <is>
          <t>1</t>
        </is>
      </c>
      <c r="J204" t="inlineStr"/>
      <c r="K204" t="inlineStr"/>
      <c r="L204" t="inlineStr"/>
      <c r="M204" t="inlineStr"/>
      <c r="N204" t="inlineStr"/>
      <c r="O204" t="inlineStr"/>
      <c r="P204" t="inlineStr"/>
      <c r="Q204" t="inlineStr"/>
      <c r="R204" t="inlineStr"/>
      <c r="S204" t="inlineStr"/>
    </row>
    <row r="205">
      <c r="A205">
        <f>Skills!A12</f>
        <v/>
      </c>
      <c r="B205">
        <f>Skills!B12</f>
        <v/>
      </c>
      <c r="C205">
        <f>Inputs!$B$3&gt;=63</f>
        <v/>
      </c>
      <c r="D205">
        <f>IF(Skills!C12=1,60+Inputs!$B$24+Inputs!$B$28,IF(Skills!C12=2,90+Inputs!$B$25+Inputs!$B$28,IF(Skills!C12=3,120+Inputs!$B$26+Inputs!$B$28,MAX(0,(Inputs!$B$3-100)*3)+Inputs!$B$27+Inputs!$B$28)))</f>
        <v/>
      </c>
      <c r="E205">
        <f>INDEX(FactorTable!$B$2:$Y$301, MATCH(ROUND(MIN(300,MAX(1,D205)),0), FactorTable!$A$2:$A$301,0), Skills!M12+1)</f>
        <v/>
      </c>
      <c r="F205">
        <f>IF(Skills!N12=TRUE,(Skills!L12/10)*(E205/1000),Skills!L12/10)+Skills!O12</f>
        <v/>
      </c>
      <c r="G205">
        <f>Skills!G12*IF(Skills!H12&gt;0,Skills!I12/Skills!H12,1)</f>
        <v/>
      </c>
      <c r="H205">
        <f>1-(1-Skills!J12/100)^Skills!K12</f>
        <v/>
      </c>
      <c r="I205" t="inlineStr">
        <is>
          <t>1</t>
        </is>
      </c>
      <c r="J205">
        <f>(Inputs!$B$5*(1+Inputs!$B$6/100))*(F205/100)</f>
        <v/>
      </c>
      <c r="K205">
        <f>J205*(1+((Inputs!$B$11*(1+Inputs!$B$12/100))*0.01+Inputs!$B$13*0.0025)/100)*(1+Inputs!$B$14/100)*(1+IF(Inputs!$B$4="pvp",0,(1-Summary!$B$55)*(Inputs!$B$19+0+Skills!P12+((C210=TRUE)*F210*IF(AND(Inputs!$B$4&lt;&gt;"pvp",Inputs!$B$35&gt;0),(((S210-1)*(Skills!T17*(1+Inputs!$B$33/100))+MIN((Skills!T17*(1+Inputs!$B$33/100)),MAX(0,Inputs!$B$35-((S210-1)*Skills!D17))))/Inputs!$B$35),IF(Inputs!$B$4="pvp",MIN((Skills!T17*(1+Inputs!$B$33/100)),15)/15,(Skills!T17*(1+Inputs!$B$33/100))/Skills!D17)))+((C207=TRUE)*IF(Inputs!$B$4="pvp",20,(1-Summary!$B$55)*(20)+Summary!$B$55*(0))*IF(AND(Inputs!$B$4&lt;&gt;"pvp",Inputs!$B$35&gt;0),(((S207-1)*(Skills!T14*(1+Inputs!$B$33/100))+MIN((Skills!T14*(1+Inputs!$B$33/100)),MAX(0,Inputs!$B$35-((S207-1)*Skills!D14))))/Inputs!$B$35),IF(Inputs!$B$4="pvp",MIN((Skills!T14*(1+Inputs!$B$33/100)),15)/15,(Skills!T14*(1+Inputs!$B$33/100))/Skills!D14))))+Summary!$B$55*(Inputs!$B$20+Skills!Q12+((C210=TRUE)*F210*IF(AND(Inputs!$B$4&lt;&gt;"pvp",Inputs!$B$35&gt;0),(((S210-1)*(Skills!T17*(1+Inputs!$B$33/100))+MIN((Skills!T17*(1+Inputs!$B$33/100)),MAX(0,Inputs!$B$35-((S210-1)*Skills!D17))))/Inputs!$B$35),IF(Inputs!$B$4="pvp",MIN((Skills!T17*(1+Inputs!$B$33/100)),15)/15,(Skills!T17*(1+Inputs!$B$33/100))/Skills!D17)))))/100)*(1+(Inputs!$B$15+1)/100)*(5000/(6000+Inputs!$B$7*(1-(Inputs!$B$18+0)/100)))*(1+(Inputs!$B$23+((C218=TRUE)*(F218-Calc!F25))+((C219=TRUE)*(F219-Calc!F26))+B228)/100)*(1+0.75*IF(C204=TRUE,F204,0)/100)*(1+(IF(Skills!A12="DARK_IMPALE",Inputs!$B$16+0,Inputs!$B$17+((C216=TRUE)*(F216-Calc!F23))))/100)*((1+(((C206=TRUE)*F206*IF(AND(Inputs!$B$4&lt;&gt;"pvp",Inputs!$B$35&gt;0),(((S206-1)*(Skills!T13*(1+Inputs!$B$33/100))+MIN((Skills!T13*(1+Inputs!$B$33/100)),MAX(0,Inputs!$B$35-((S206-1)*Skills!D13))))/Inputs!$B$35),IF(Inputs!$B$4="pvp",MIN((Skills!T13*(1+Inputs!$B$33/100)),15)/15,(Skills!T13*(1+Inputs!$B$33/100))/Skills!D13)))+((C207=TRUE)*F207*IF(AND(Inputs!$B$4&lt;&gt;"pvp",Inputs!$B$35&gt;0),(((S207-1)*(Skills!T14*(1+Inputs!$B$33/100))+MIN((Skills!T14*(1+Inputs!$B$33/100)),MAX(0,Inputs!$B$35-((S207-1)*Skills!D14))))/Inputs!$B$35),IF(Inputs!$B$4="pvp",MIN((Skills!T14*(1+Inputs!$B$33/100)),15)/15,(Skills!T14*(1+Inputs!$B$33/100))/Skills!D14)))+((C208=TRUE)*F208*IF(AND(Inputs!$B$4&lt;&gt;"pvp",Inputs!$B$35&gt;0),(((S208-1)*(Skills!T15*(1+Inputs!$B$33/100))+MIN((Skills!T15*(1+Inputs!$B$33/100)),MAX(0,Inputs!$B$35-((S208-1)*Skills!D15))))/Inputs!$B$35),IF(Inputs!$B$4="pvp",MIN((Skills!T15*(1+Inputs!$B$33/100)),15)/15,(Skills!T15*(1+Inputs!$B$33/100))/Skills!D15)))+((C209=TRUE)*F209*IF(AND(Inputs!$B$4&lt;&gt;"pvp",Inputs!$B$35&gt;0),(((S209-1)*(Skills!T16*(1+Inputs!$B$33/100))+MIN((Skills!T16*(1+Inputs!$B$33/100)),MAX(0,Inputs!$B$35-((S209-1)*Skills!D16))))/Inputs!$B$35),IF(Inputs!$B$4="pvp",MIN((Skills!T16*(1+Inputs!$B$33/100)),15)/15,(Skills!T16*(1+Inputs!$B$33/100))/Skills!D16)))+0)/100)*I205)</f>
        <v/>
      </c>
      <c r="L205">
        <f>K205*(MIN(Inputs!$B$21+((C215=TRUE)*(F215-Calc!F22)),Inputs!$B$22+((C217=TRUE)*(F217-Calc!F24)))/100+(Inputs!$B$22+((C217=TRUE)*(F217-Calc!F24)))/100)/2</f>
        <v/>
      </c>
      <c r="M205">
        <f>L205*(1+(Inputs!$B$9+0+B227)/100)</f>
        <v/>
      </c>
      <c r="N205">
        <f>L205*(1-MIN((Inputs!$B$8+0+B222),100)/100)+M205*(MIN((Inputs!$B$8+0+B222),100)/100)</f>
        <v/>
      </c>
      <c r="O205">
        <f>IF(C205,H205*N205*IF(AND(Inputs!$B$4&lt;&gt;"pvp",Inputs!$B$35&gt;0),((Skills!G12*((R205-1)*IF(Skills!H12&gt;0,Skills!I12/Skills!H12,1)+IF(Skills!H12&gt;0,MIN(Skills!I12,MAX(0,Inputs!$B$35-((R205-1)*IF(Inputs!$B$4="pvp",15,MAX(0.1,Skills!D12-IF(Skills!E12=TRUE,Inputs!$B$31,0))))))/Skills!H12,1)))/Inputs!$B$35),G205*Q205)*IF(Inputs!$B$4="pvp",1,(1-Summary!$B$55)*(1)+Summary!$B$55*(MIN(Skills!R12,Inputs!$B$37))),0)</f>
        <v/>
      </c>
      <c r="P205">
        <f>IF(B230=0,0,O205/B230)</f>
        <v/>
      </c>
      <c r="Q205">
        <f>IFERROR(1/IF(Inputs!$B$4="pvp",15,MAX(0.1,Skills!D12-IF(Skills!E12=TRUE,Inputs!$B$31,0))),0)</f>
        <v/>
      </c>
      <c r="R205">
        <f>IF(AND(Inputs!$B$4&lt;&gt;"pvp",Inputs!$B$35&gt;0),(INT(Inputs!$B$35/IF(Inputs!$B$4="pvp",15,MAX(0.1,Skills!D12-IF(Skills!E12=TRUE,Inputs!$B$31,0))))+1),0)</f>
        <v/>
      </c>
      <c r="S205">
        <f>IFERROR(O205/N205,0)</f>
        <v/>
      </c>
    </row>
    <row r="206">
      <c r="A206">
        <f>Skills!A13</f>
        <v/>
      </c>
      <c r="B206">
        <f>Skills!B13</f>
        <v/>
      </c>
      <c r="C206">
        <f>Inputs!$B$3&gt;=69</f>
        <v/>
      </c>
      <c r="D206">
        <f>IF(Skills!C13=1,60+Inputs!$B$24+Inputs!$B$28,IF(Skills!C13=2,90+Inputs!$B$25+Inputs!$B$28,IF(Skills!C13=3,120+Inputs!$B$26+Inputs!$B$28,MAX(0,(Inputs!$B$3-100)*3)+Inputs!$B$27+Inputs!$B$28)))</f>
        <v/>
      </c>
      <c r="E206">
        <f>INDEX(FactorTable!$B$2:$Y$301, MATCH(ROUND(MIN(300,MAX(1,D206)),0), FactorTable!$A$2:$A$301,0), Skills!M13+1)</f>
        <v/>
      </c>
      <c r="F206">
        <f>IF(Skills!N13=TRUE,(Skills!L13/10)*(E206/1000),Skills!L13/10)+Skills!O13</f>
        <v/>
      </c>
      <c r="G206">
        <f>Skills!G13*IF(Skills!H13&gt;0,Skills!I13/Skills!H13,1)</f>
        <v/>
      </c>
      <c r="H206">
        <f>1-(1-Skills!J13/100)^Skills!K13</f>
        <v/>
      </c>
      <c r="I206" t="inlineStr">
        <is>
          <t>1</t>
        </is>
      </c>
      <c r="J206" t="inlineStr"/>
      <c r="K206" t="inlineStr"/>
      <c r="L206" t="inlineStr"/>
      <c r="M206" t="inlineStr"/>
      <c r="N206" t="inlineStr"/>
      <c r="O206" t="n">
        <v>0</v>
      </c>
      <c r="P206">
        <f>IF(B230=0,0,O206/B230)</f>
        <v/>
      </c>
      <c r="Q206">
        <f>IFERROR(1/IF(Inputs!$B$4="pvp",15,MAX(0.1,Skills!D13-IF(Skills!E13=TRUE,Inputs!$B$31,0))),0)</f>
        <v/>
      </c>
      <c r="R206">
        <f>IF(AND(Inputs!$B$4&lt;&gt;"pvp",Inputs!$B$35&gt;0),(INT(Inputs!$B$35/IF(Inputs!$B$4="pvp",15,MAX(0.1,Skills!D13-IF(Skills!E13=TRUE,Inputs!$B$31,0))))+1),0)</f>
        <v/>
      </c>
      <c r="S206">
        <f>IFERROR(O206/N206,0)</f>
        <v/>
      </c>
    </row>
    <row r="207">
      <c r="A207">
        <f>Skills!A14</f>
        <v/>
      </c>
      <c r="B207">
        <f>Skills!B14</f>
        <v/>
      </c>
      <c r="C207">
        <f>Inputs!$B$3&gt;=115</f>
        <v/>
      </c>
      <c r="D207">
        <f>IF(Skills!C14=1,60+Inputs!$B$24+Inputs!$B$28,IF(Skills!C14=2,90+Inputs!$B$25+Inputs!$B$28,IF(Skills!C14=3,120+Inputs!$B$26+Inputs!$B$28,MAX(0,(Inputs!$B$3-100)*3)+Inputs!$B$27+Inputs!$B$28)))</f>
        <v/>
      </c>
      <c r="E207">
        <f>INDEX(FactorTable!$B$2:$Y$301, MATCH(ROUND(MIN(300,MAX(1,D207)),0), FactorTable!$A$2:$A$301,0), Skills!M14+1)</f>
        <v/>
      </c>
      <c r="F207">
        <f>IF(Skills!N14=TRUE,(Skills!L14/10)*(E207/1000),Skills!L14/10)+Skills!O14</f>
        <v/>
      </c>
      <c r="G207">
        <f>Skills!G14*IF(Skills!H14&gt;0,Skills!I14/Skills!H14,1)</f>
        <v/>
      </c>
      <c r="H207">
        <f>1-(1-Skills!J14/100)^Skills!K14</f>
        <v/>
      </c>
      <c r="I207" t="inlineStr">
        <is>
          <t>1</t>
        </is>
      </c>
      <c r="J207" t="inlineStr"/>
      <c r="K207" t="inlineStr"/>
      <c r="L207" t="inlineStr"/>
      <c r="M207" t="inlineStr"/>
      <c r="N207" t="inlineStr"/>
      <c r="O207" t="n">
        <v>0</v>
      </c>
      <c r="P207">
        <f>IF(B230=0,0,O207/B230)</f>
        <v/>
      </c>
      <c r="Q207">
        <f>IFERROR(1/IF(Inputs!$B$4="pvp",15,MAX(0.1,Skills!D14-IF(Skills!E14=TRUE,Inputs!$B$31,0))),0)</f>
        <v/>
      </c>
      <c r="R207">
        <f>IF(AND(Inputs!$B$4&lt;&gt;"pvp",Inputs!$B$35&gt;0),(INT(Inputs!$B$35/IF(Inputs!$B$4="pvp",15,MAX(0.1,Skills!D14-IF(Skills!E14=TRUE,Inputs!$B$31,0))))+1),0)</f>
        <v/>
      </c>
      <c r="S207">
        <f>IFERROR(O207/N207,0)</f>
        <v/>
      </c>
    </row>
    <row r="208">
      <c r="A208">
        <f>Skills!A15</f>
        <v/>
      </c>
      <c r="B208">
        <f>Skills!B15</f>
        <v/>
      </c>
      <c r="C208">
        <f>Inputs!$B$3&gt;=66</f>
        <v/>
      </c>
      <c r="D208">
        <f>IF(Skills!C15=1,60+Inputs!$B$24+Inputs!$B$28,IF(Skills!C15=2,90+Inputs!$B$25+Inputs!$B$28,IF(Skills!C15=3,120+Inputs!$B$26+Inputs!$B$28,MAX(0,(Inputs!$B$3-100)*3)+Inputs!$B$27+Inputs!$B$28)))</f>
        <v/>
      </c>
      <c r="E208">
        <f>INDEX(FactorTable!$B$2:$Y$301, MATCH(ROUND(MIN(300,MAX(1,D208)),0), FactorTable!$A$2:$A$301,0), Skills!M15+1)</f>
        <v/>
      </c>
      <c r="F208">
        <f>IF(Skills!N15=TRUE,(Skills!L15/10)*(E208/1000),Skills!L15/10)+Skills!O15</f>
        <v/>
      </c>
      <c r="G208">
        <f>Skills!G15*IF(Skills!H15&gt;0,Skills!I15/Skills!H15,1)</f>
        <v/>
      </c>
      <c r="H208">
        <f>1-(1-Skills!J15/100)^Skills!K15</f>
        <v/>
      </c>
      <c r="I208" t="inlineStr">
        <is>
          <t>1</t>
        </is>
      </c>
      <c r="J208" t="inlineStr"/>
      <c r="K208" t="inlineStr"/>
      <c r="L208" t="inlineStr"/>
      <c r="M208" t="inlineStr"/>
      <c r="N208" t="inlineStr"/>
      <c r="O208" t="n">
        <v>0</v>
      </c>
      <c r="P208">
        <f>IF(B230=0,0,O208/B230)</f>
        <v/>
      </c>
      <c r="Q208">
        <f>IFERROR(1/IF(Inputs!$B$4="pvp",15,MAX(0.1,Skills!D15-IF(Skills!E15=TRUE,Inputs!$B$31,0))),0)</f>
        <v/>
      </c>
      <c r="R208">
        <f>IF(AND(Inputs!$B$4&lt;&gt;"pvp",Inputs!$B$35&gt;0),(INT(Inputs!$B$35/IF(Inputs!$B$4="pvp",15,MAX(0.1,Skills!D15-IF(Skills!E15=TRUE,Inputs!$B$31,0))))+1),0)</f>
        <v/>
      </c>
      <c r="S208">
        <f>IFERROR(O208/N208,0)</f>
        <v/>
      </c>
    </row>
    <row r="209">
      <c r="A209">
        <f>Skills!A16</f>
        <v/>
      </c>
      <c r="B209">
        <f>Skills!B16</f>
        <v/>
      </c>
      <c r="C209">
        <f>Inputs!$B$3&gt;=45</f>
        <v/>
      </c>
      <c r="D209">
        <f>IF(Skills!C16=1,60+Inputs!$B$24+Inputs!$B$28,IF(Skills!C16=2,90+Inputs!$B$25+Inputs!$B$28,IF(Skills!C16=3,120+Inputs!$B$26+Inputs!$B$28,MAX(0,(Inputs!$B$3-100)*3)+Inputs!$B$27+Inputs!$B$28)))</f>
        <v/>
      </c>
      <c r="E209">
        <f>INDEX(FactorTable!$B$2:$Y$301, MATCH(ROUND(MIN(300,MAX(1,D209)),0), FactorTable!$A$2:$A$301,0), Skills!M16+1)</f>
        <v/>
      </c>
      <c r="F209">
        <f>IF(Skills!N16=TRUE,(Skills!L16/10)*(E209/1000),Skills!L16/10)+Skills!O16</f>
        <v/>
      </c>
      <c r="G209">
        <f>Skills!G16*IF(Skills!H16&gt;0,Skills!I16/Skills!H16,1)</f>
        <v/>
      </c>
      <c r="H209">
        <f>1-(1-Skills!J16/100)^Skills!K16</f>
        <v/>
      </c>
      <c r="I209" t="inlineStr">
        <is>
          <t>1</t>
        </is>
      </c>
      <c r="J209" t="inlineStr"/>
      <c r="K209" t="inlineStr"/>
      <c r="L209" t="inlineStr"/>
      <c r="M209" t="inlineStr"/>
      <c r="N209" t="inlineStr"/>
      <c r="O209" t="n">
        <v>0</v>
      </c>
      <c r="P209">
        <f>IF(B230=0,0,O209/B230)</f>
        <v/>
      </c>
      <c r="Q209">
        <f>IFERROR(1/IF(Inputs!$B$4="pvp",15,MAX(0.1,Skills!D16-IF(Skills!E16=TRUE,Inputs!$B$31,0))),0)</f>
        <v/>
      </c>
      <c r="R209">
        <f>IF(AND(Inputs!$B$4&lt;&gt;"pvp",Inputs!$B$35&gt;0),(INT(Inputs!$B$35/IF(Inputs!$B$4="pvp",15,MAX(0.1,Skills!D16-IF(Skills!E16=TRUE,Inputs!$B$31,0))))+1),0)</f>
        <v/>
      </c>
      <c r="S209">
        <f>IFERROR(O209/N209,0)</f>
        <v/>
      </c>
    </row>
    <row r="210">
      <c r="A210">
        <f>Skills!A17</f>
        <v/>
      </c>
      <c r="B210">
        <f>Skills!B17</f>
        <v/>
      </c>
      <c r="C210">
        <f>Inputs!$B$3&gt;=35</f>
        <v/>
      </c>
      <c r="D210">
        <f>IF(Skills!C17=1,60+Inputs!$B$24+Inputs!$B$28,IF(Skills!C17=2,90+Inputs!$B$25+Inputs!$B$28,IF(Skills!C17=3,120+Inputs!$B$26+Inputs!$B$28,MAX(0,(Inputs!$B$3-100)*3)+Inputs!$B$27+Inputs!$B$28)))</f>
        <v/>
      </c>
      <c r="E210">
        <f>INDEX(FactorTable!$B$2:$Y$301, MATCH(ROUND(MIN(300,MAX(1,D210)),0), FactorTable!$A$2:$A$301,0), Skills!M17+1)</f>
        <v/>
      </c>
      <c r="F210">
        <f>IF(Skills!N17=TRUE,(Skills!L17/10)*(E210/1000),Skills!L17/10)+Skills!O17</f>
        <v/>
      </c>
      <c r="G210">
        <f>Skills!G17*IF(Skills!H17&gt;0,Skills!I17/Skills!H17,1)</f>
        <v/>
      </c>
      <c r="H210">
        <f>1-(1-Skills!J17/100)^Skills!K17</f>
        <v/>
      </c>
      <c r="I210" t="inlineStr">
        <is>
          <t>1</t>
        </is>
      </c>
      <c r="J210" t="inlineStr"/>
      <c r="K210" t="inlineStr"/>
      <c r="L210" t="inlineStr"/>
      <c r="M210" t="inlineStr"/>
      <c r="N210" t="inlineStr"/>
      <c r="O210" t="n">
        <v>0</v>
      </c>
      <c r="P210">
        <f>IF(B230=0,0,O210/B230)</f>
        <v/>
      </c>
      <c r="Q210">
        <f>IFERROR(1/IF(Inputs!$B$4="pvp",15,MAX(0.1,Skills!D17-IF(Skills!E17=TRUE,Inputs!$B$31,0))),0)</f>
        <v/>
      </c>
      <c r="R210">
        <f>IF(AND(Inputs!$B$4&lt;&gt;"pvp",Inputs!$B$35&gt;0),(INT(Inputs!$B$35/IF(Inputs!$B$4="pvp",15,MAX(0.1,Skills!D17-IF(Skills!E17=TRUE,Inputs!$B$31,0))))+1),0)</f>
        <v/>
      </c>
      <c r="S210">
        <f>IFERROR(O210/N210,0)</f>
        <v/>
      </c>
    </row>
    <row r="211">
      <c r="A211">
        <f>Skills!A18</f>
        <v/>
      </c>
      <c r="B211">
        <f>Skills!B18</f>
        <v/>
      </c>
      <c r="C211">
        <f>Inputs!$B$3&gt;=72</f>
        <v/>
      </c>
      <c r="D211">
        <f>IF(Skills!C18=1,60+Inputs!$B$24+Inputs!$B$28,IF(Skills!C18=2,90+Inputs!$B$25+Inputs!$B$28,IF(Skills!C18=3,120+Inputs!$B$26+Inputs!$B$28,MAX(0,(Inputs!$B$3-100)*3)+Inputs!$B$27+Inputs!$B$28)))</f>
        <v/>
      </c>
      <c r="E211">
        <f>INDEX(FactorTable!$B$2:$Y$301, MATCH(ROUND(MIN(300,MAX(1,D211)),0), FactorTable!$A$2:$A$301,0), Skills!M18+1)</f>
        <v/>
      </c>
      <c r="F211">
        <f>IF(Skills!N18=TRUE,(Skills!L18/10)*(E211/1000),Skills!L18/10)+Skills!O18</f>
        <v/>
      </c>
      <c r="G211">
        <f>Skills!G18*IF(Skills!H18&gt;0,Skills!I18/Skills!H18,1)</f>
        <v/>
      </c>
      <c r="H211">
        <f>1-(1-Skills!J18/100)^Skills!K18</f>
        <v/>
      </c>
      <c r="I211" t="inlineStr">
        <is>
          <t>1</t>
        </is>
      </c>
      <c r="J211" t="inlineStr"/>
      <c r="K211" t="inlineStr"/>
      <c r="L211" t="inlineStr"/>
      <c r="M211" t="inlineStr"/>
      <c r="N211" t="inlineStr"/>
      <c r="O211" t="n">
        <v>0</v>
      </c>
      <c r="P211">
        <f>IF(B230=0,0,O211/B230)</f>
        <v/>
      </c>
      <c r="Q211">
        <f>IFERROR(1/IF(Inputs!$B$4="pvp",15,MAX(0.1,Skills!D18-IF(Skills!E18=TRUE,Inputs!$B$31,0))),0)</f>
        <v/>
      </c>
      <c r="R211">
        <f>IF(AND(Inputs!$B$4&lt;&gt;"pvp",Inputs!$B$35&gt;0),(INT(Inputs!$B$35/IF(Inputs!$B$4="pvp",15,MAX(0.1,Skills!D18-IF(Skills!E18=TRUE,Inputs!$B$31,0))))+1),0)</f>
        <v/>
      </c>
      <c r="S211">
        <f>IFERROR(O211/N211,0)</f>
        <v/>
      </c>
    </row>
    <row r="212">
      <c r="A212">
        <f>Skills!A19</f>
        <v/>
      </c>
      <c r="B212">
        <f>Skills!B19</f>
        <v/>
      </c>
      <c r="C212">
        <f>Inputs!$B$3&gt;=72</f>
        <v/>
      </c>
      <c r="D212">
        <f>IF(Skills!C19=1,60+Inputs!$B$24+Inputs!$B$28,IF(Skills!C19=2,90+Inputs!$B$25+Inputs!$B$28,IF(Skills!C19=3,120+Inputs!$B$26+Inputs!$B$28,MAX(0,(Inputs!$B$3-100)*3)+Inputs!$B$27+Inputs!$B$28)))</f>
        <v/>
      </c>
      <c r="E212">
        <f>INDEX(FactorTable!$B$2:$Y$301, MATCH(ROUND(MIN(300,MAX(1,D212)),0), FactorTable!$A$2:$A$301,0), Skills!M19+1)</f>
        <v/>
      </c>
      <c r="F212">
        <f>IF(Skills!N19=TRUE,(Skills!L19/10)*(E212/1000),Skills!L19/10)+Skills!O19</f>
        <v/>
      </c>
      <c r="G212">
        <f>Skills!G19*IF(Skills!H19&gt;0,Skills!I19/Skills!H19,1)</f>
        <v/>
      </c>
      <c r="H212">
        <f>1-(1-Skills!J19/100)^Skills!K19</f>
        <v/>
      </c>
      <c r="I212" t="inlineStr">
        <is>
          <t>1</t>
        </is>
      </c>
      <c r="J212" t="inlineStr"/>
      <c r="K212" t="inlineStr"/>
      <c r="L212" t="inlineStr"/>
      <c r="M212" t="inlineStr"/>
      <c r="N212" t="inlineStr"/>
      <c r="O212" t="n">
        <v>0</v>
      </c>
      <c r="P212">
        <f>IF(B230=0,0,O212/B230)</f>
        <v/>
      </c>
      <c r="Q212">
        <f>IFERROR(1/IF(Inputs!$B$4="pvp",15,MAX(0.1,Skills!D19-IF(Skills!E19=TRUE,Inputs!$B$31,0))),0)</f>
        <v/>
      </c>
      <c r="R212">
        <f>IF(AND(Inputs!$B$4&lt;&gt;"pvp",Inputs!$B$35&gt;0),(INT(Inputs!$B$35/IF(Inputs!$B$4="pvp",15,MAX(0.1,Skills!D19-IF(Skills!E19=TRUE,Inputs!$B$31,0))))+1),0)</f>
        <v/>
      </c>
      <c r="S212">
        <f>IFERROR(O212/N212,0)</f>
        <v/>
      </c>
    </row>
    <row r="213">
      <c r="A213">
        <f>Skills!A20</f>
        <v/>
      </c>
      <c r="B213">
        <f>Skills!B20</f>
        <v/>
      </c>
      <c r="C213">
        <f>TRUE</f>
        <v/>
      </c>
      <c r="D213">
        <f>IF(Skills!C20=1,60+Inputs!$B$24+Inputs!$B$28,IF(Skills!C20=2,90+Inputs!$B$25+Inputs!$B$28,IF(Skills!C20=3,120+Inputs!$B$26+Inputs!$B$28,MAX(0,(Inputs!$B$3-100)*3)+Inputs!$B$27+Inputs!$B$28)))</f>
        <v/>
      </c>
      <c r="E213">
        <f>INDEX(FactorTable!$B$2:$Y$301, MATCH(ROUND(MIN(300,MAX(1,D213)),0), FactorTable!$A$2:$A$301,0), Skills!M20+1)</f>
        <v/>
      </c>
      <c r="F213">
        <f>IF(Skills!N20=TRUE,(Skills!L20/10)*(E213/1000),Skills!L20/10)+Skills!O20</f>
        <v/>
      </c>
      <c r="G213">
        <f>Skills!G20*IF(Skills!H20&gt;0,Skills!I20/Skills!H20,1)</f>
        <v/>
      </c>
      <c r="H213">
        <f>1-(1-Skills!J20/100)^Skills!K20</f>
        <v/>
      </c>
      <c r="I213" t="inlineStr">
        <is>
          <t>1</t>
        </is>
      </c>
      <c r="J213" t="inlineStr"/>
      <c r="K213" t="inlineStr"/>
      <c r="L213" t="inlineStr"/>
      <c r="M213" t="inlineStr"/>
      <c r="N213" t="inlineStr"/>
      <c r="O213" t="n">
        <v>0</v>
      </c>
      <c r="P213">
        <f>IF(B230=0,0,O213/B230)</f>
        <v/>
      </c>
      <c r="Q213">
        <f>IFERROR(1/IF(Inputs!$B$4="pvp",15,MAX(0.1,Skills!D20-IF(Skills!E20=TRUE,Inputs!$B$31,0))),0)</f>
        <v/>
      </c>
      <c r="R213">
        <f>IF(AND(Inputs!$B$4&lt;&gt;"pvp",Inputs!$B$35&gt;0),(INT(Inputs!$B$35/IF(Inputs!$B$4="pvp",15,MAX(0.1,Skills!D20-IF(Skills!E20=TRUE,Inputs!$B$31,0))))+1),0)</f>
        <v/>
      </c>
      <c r="S213">
        <f>IFERROR(O213/N213,0)</f>
        <v/>
      </c>
    </row>
    <row r="214">
      <c r="A214">
        <f>Skills!A21</f>
        <v/>
      </c>
      <c r="B214">
        <f>Skills!B21</f>
        <v/>
      </c>
      <c r="C214">
        <f>Inputs!$B$3&gt;=33</f>
        <v/>
      </c>
      <c r="D214">
        <f>IF(Skills!C21=1,60+Inputs!$B$24+Inputs!$B$28,IF(Skills!C21=2,90+Inputs!$B$25+Inputs!$B$28,IF(Skills!C21=3,120+Inputs!$B$26+Inputs!$B$28,MAX(0,(Inputs!$B$3-100)*3)+Inputs!$B$27+Inputs!$B$28)))</f>
        <v/>
      </c>
      <c r="E214">
        <f>INDEX(FactorTable!$B$2:$Y$301, MATCH(ROUND(MIN(300,MAX(1,D214)),0), FactorTable!$A$2:$A$301,0), Skills!M21+1)</f>
        <v/>
      </c>
      <c r="F214">
        <f>IF(Skills!N21=TRUE,(Skills!L21/10)*(E214/1000),Skills!L21/10)+Skills!O21</f>
        <v/>
      </c>
      <c r="G214">
        <f>Skills!G21*IF(Skills!H21&gt;0,Skills!I21/Skills!H21,1)</f>
        <v/>
      </c>
      <c r="H214">
        <f>1-(1-Skills!J21/100)^Skills!K21</f>
        <v/>
      </c>
      <c r="I214" t="inlineStr">
        <is>
          <t>1</t>
        </is>
      </c>
      <c r="J214" t="inlineStr"/>
      <c r="K214" t="inlineStr"/>
      <c r="L214" t="inlineStr"/>
      <c r="M214" t="inlineStr"/>
      <c r="N214" t="inlineStr"/>
      <c r="O214" t="n">
        <v>0</v>
      </c>
      <c r="P214">
        <f>IF(B230=0,0,O214/B230)</f>
        <v/>
      </c>
      <c r="Q214" t="n">
        <v>0</v>
      </c>
      <c r="R214" t="n">
        <v>0</v>
      </c>
      <c r="S214">
        <f>IFERROR(O214/N214,0)</f>
        <v/>
      </c>
    </row>
    <row r="215">
      <c r="A215">
        <f>Skills!A22</f>
        <v/>
      </c>
      <c r="B215">
        <f>Skills!B22</f>
        <v/>
      </c>
      <c r="C215">
        <f>Inputs!$B$3&gt;=43</f>
        <v/>
      </c>
      <c r="D215">
        <f>IF(Skills!C22=1,60+Inputs!$B$24+Inputs!$B$28,IF(Skills!C22=2,90+Inputs!$B$25+Inputs!$B$28,IF(Skills!C22=3,120+Inputs!$B$26+Inputs!$B$28,MAX(0,(Inputs!$B$3-100)*3)+Inputs!$B$27+Inputs!$B$28)))</f>
        <v/>
      </c>
      <c r="E215">
        <f>INDEX(FactorTable!$B$2:$Y$301, MATCH(ROUND(MIN(300,MAX(1,D215)),0), FactorTable!$A$2:$A$301,0), Skills!M22+1)</f>
        <v/>
      </c>
      <c r="F215">
        <f>IF(Skills!N22=TRUE,(Skills!L22/10)*(E215/1000),Skills!L22/10)+Skills!O22</f>
        <v/>
      </c>
      <c r="G215">
        <f>Skills!G22*IF(Skills!H22&gt;0,Skills!I22/Skills!H22,1)</f>
        <v/>
      </c>
      <c r="H215">
        <f>1-(1-Skills!J22/100)^Skills!K22</f>
        <v/>
      </c>
      <c r="I215" t="inlineStr">
        <is>
          <t>1</t>
        </is>
      </c>
      <c r="J215" t="inlineStr"/>
      <c r="K215" t="inlineStr"/>
      <c r="L215" t="inlineStr"/>
      <c r="M215" t="inlineStr"/>
      <c r="N215" t="inlineStr"/>
      <c r="O215" t="n">
        <v>0</v>
      </c>
      <c r="P215">
        <f>IF(B230=0,0,O215/B230)</f>
        <v/>
      </c>
      <c r="Q215" t="n">
        <v>0</v>
      </c>
      <c r="R215" t="n">
        <v>0</v>
      </c>
      <c r="S215">
        <f>IFERROR(O215/N215,0)</f>
        <v/>
      </c>
    </row>
    <row r="216">
      <c r="A216">
        <f>Skills!A23</f>
        <v/>
      </c>
      <c r="B216">
        <f>Skills!B23</f>
        <v/>
      </c>
      <c r="C216">
        <f>Inputs!$B$3&gt;=120</f>
        <v/>
      </c>
      <c r="D216">
        <f>IF(Skills!C23=1,60+Inputs!$B$24+Inputs!$B$28,IF(Skills!C23=2,90+Inputs!$B$25+Inputs!$B$28,IF(Skills!C23=3,120+Inputs!$B$26+Inputs!$B$28,MAX(0,(Inputs!$B$3-100)*3)+Inputs!$B$27+Inputs!$B$28)))</f>
        <v/>
      </c>
      <c r="E216">
        <f>INDEX(FactorTable!$B$2:$Y$301, MATCH(ROUND(MIN(300,MAX(1,D216)),0), FactorTable!$A$2:$A$301,0), Skills!M23+1)</f>
        <v/>
      </c>
      <c r="F216">
        <f>IF(Skills!N23=TRUE,(Skills!L23/10)*(E216/1000),Skills!L23/10)+Skills!O23</f>
        <v/>
      </c>
      <c r="G216">
        <f>Skills!G23*IF(Skills!H23&gt;0,Skills!I23/Skills!H23,1)</f>
        <v/>
      </c>
      <c r="H216">
        <f>1-(1-Skills!J23/100)^Skills!K23</f>
        <v/>
      </c>
      <c r="I216" t="inlineStr">
        <is>
          <t>1</t>
        </is>
      </c>
      <c r="J216" t="inlineStr"/>
      <c r="K216" t="inlineStr"/>
      <c r="L216" t="inlineStr"/>
      <c r="M216" t="inlineStr"/>
      <c r="N216" t="inlineStr"/>
      <c r="O216" t="n">
        <v>0</v>
      </c>
      <c r="P216">
        <f>IF(B230=0,0,O216/B230)</f>
        <v/>
      </c>
      <c r="Q216" t="n">
        <v>0</v>
      </c>
      <c r="R216" t="n">
        <v>0</v>
      </c>
      <c r="S216">
        <f>IFERROR(O216/N216,0)</f>
        <v/>
      </c>
    </row>
    <row r="217">
      <c r="A217">
        <f>Skills!A24</f>
        <v/>
      </c>
      <c r="B217">
        <f>Skills!B24</f>
        <v/>
      </c>
      <c r="C217">
        <f>Inputs!$B$3&gt;=120</f>
        <v/>
      </c>
      <c r="D217">
        <f>IF(Skills!C24=1,60+Inputs!$B$24+Inputs!$B$28,IF(Skills!C24=2,90+Inputs!$B$25+Inputs!$B$28,IF(Skills!C24=3,120+Inputs!$B$26+Inputs!$B$28,MAX(0,(Inputs!$B$3-100)*3)+Inputs!$B$27+Inputs!$B$28)))</f>
        <v/>
      </c>
      <c r="E217">
        <f>INDEX(FactorTable!$B$2:$Y$301, MATCH(ROUND(MIN(300,MAX(1,D217)),0), FactorTable!$A$2:$A$301,0), Skills!M24+1)</f>
        <v/>
      </c>
      <c r="F217">
        <f>IF(Skills!N24=TRUE,(Skills!L24/10)*(E217/1000),Skills!L24/10)+Skills!O24</f>
        <v/>
      </c>
      <c r="G217">
        <f>Skills!G24*IF(Skills!H24&gt;0,Skills!I24/Skills!H24,1)</f>
        <v/>
      </c>
      <c r="H217">
        <f>1-(1-Skills!J24/100)^Skills!K24</f>
        <v/>
      </c>
      <c r="I217" t="inlineStr">
        <is>
          <t>1</t>
        </is>
      </c>
      <c r="J217" t="inlineStr"/>
      <c r="K217" t="inlineStr"/>
      <c r="L217" t="inlineStr"/>
      <c r="M217" t="inlineStr"/>
      <c r="N217" t="inlineStr"/>
      <c r="O217" t="n">
        <v>0</v>
      </c>
      <c r="P217">
        <f>IF(B230=0,0,O217/B230)</f>
        <v/>
      </c>
      <c r="Q217" t="n">
        <v>0</v>
      </c>
      <c r="R217" t="n">
        <v>0</v>
      </c>
      <c r="S217">
        <f>IFERROR(O217/N217,0)</f>
        <v/>
      </c>
    </row>
    <row r="218">
      <c r="A218">
        <f>Skills!A25</f>
        <v/>
      </c>
      <c r="B218">
        <f>Skills!B25</f>
        <v/>
      </c>
      <c r="C218">
        <f>Inputs!$B$3&gt;=125</f>
        <v/>
      </c>
      <c r="D218">
        <f>IF(Skills!C25=1,60+Inputs!$B$24+Inputs!$B$28,IF(Skills!C25=2,90+Inputs!$B$25+Inputs!$B$28,IF(Skills!C25=3,120+Inputs!$B$26+Inputs!$B$28,MAX(0,(Inputs!$B$3-100)*3)+Inputs!$B$27+Inputs!$B$28)))</f>
        <v/>
      </c>
      <c r="E218">
        <f>INDEX(FactorTable!$B$2:$Y$301, MATCH(ROUND(MIN(300,MAX(1,D218)),0), FactorTable!$A$2:$A$301,0), Skills!M25+1)</f>
        <v/>
      </c>
      <c r="F218">
        <f>IF(Skills!N25=TRUE,(Skills!L25/10)*(E218/1000),Skills!L25/10)+Skills!O25</f>
        <v/>
      </c>
      <c r="G218">
        <f>Skills!G25*IF(Skills!H25&gt;0,Skills!I25/Skills!H25,1)</f>
        <v/>
      </c>
      <c r="H218">
        <f>1-(1-Skills!J25/100)^Skills!K25</f>
        <v/>
      </c>
      <c r="I218" t="inlineStr">
        <is>
          <t>1</t>
        </is>
      </c>
      <c r="J218" t="inlineStr"/>
      <c r="K218" t="inlineStr"/>
      <c r="L218" t="inlineStr"/>
      <c r="M218" t="inlineStr"/>
      <c r="N218" t="inlineStr"/>
      <c r="O218" t="n">
        <v>0</v>
      </c>
      <c r="P218">
        <f>IF(B230=0,0,O218/B230)</f>
        <v/>
      </c>
      <c r="Q218" t="n">
        <v>0</v>
      </c>
      <c r="R218" t="n">
        <v>0</v>
      </c>
      <c r="S218">
        <f>IFERROR(O218/N218,0)</f>
        <v/>
      </c>
    </row>
    <row r="219">
      <c r="A219">
        <f>Skills!A26</f>
        <v/>
      </c>
      <c r="B219">
        <f>Skills!B26</f>
        <v/>
      </c>
      <c r="C219">
        <f>Inputs!$B$3&gt;=107</f>
        <v/>
      </c>
      <c r="D219">
        <f>IF(Skills!C26=1,60+Inputs!$B$24+Inputs!$B$28,IF(Skills!C26=2,90+Inputs!$B$25+Inputs!$B$28,IF(Skills!C26=3,120+Inputs!$B$26+Inputs!$B$28,MAX(0,(Inputs!$B$3-100)*3)+Inputs!$B$27+Inputs!$B$28)))</f>
        <v/>
      </c>
      <c r="E219">
        <f>INDEX(FactorTable!$B$2:$Y$301, MATCH(ROUND(MIN(300,MAX(1,D219)),0), FactorTable!$A$2:$A$301,0), Skills!M26+1)</f>
        <v/>
      </c>
      <c r="F219">
        <f>IF(Skills!N26=TRUE,(Skills!L26/10)*(E219/1000),Skills!L26/10)+Skills!O26</f>
        <v/>
      </c>
      <c r="G219">
        <f>Skills!G26*IF(Skills!H26&gt;0,Skills!I26/Skills!H26,1)</f>
        <v/>
      </c>
      <c r="H219">
        <f>1-(1-Skills!J26/100)^Skills!K26</f>
        <v/>
      </c>
      <c r="I219" t="inlineStr">
        <is>
          <t>1</t>
        </is>
      </c>
      <c r="J219" t="inlineStr"/>
      <c r="K219" t="inlineStr"/>
      <c r="L219" t="inlineStr"/>
      <c r="M219" t="inlineStr"/>
      <c r="N219" t="inlineStr"/>
      <c r="O219" t="n">
        <v>0</v>
      </c>
      <c r="P219">
        <f>IF(B230=0,0,O219/B230)</f>
        <v/>
      </c>
      <c r="Q219" t="n">
        <v>0</v>
      </c>
      <c r="R219" t="n">
        <v>0</v>
      </c>
      <c r="S219">
        <f>IFERROR(O219/N219,0)</f>
        <v/>
      </c>
    </row>
    <row r="221">
      <c r="A221" t="inlineStr">
        <is>
          <t>Attack% Bucket Multiplier</t>
        </is>
      </c>
      <c r="B221">
        <f>(1+(((C206=TRUE)*F206*IF(AND(Inputs!$B$4&lt;&gt;"pvp",Inputs!$B$35&gt;0),(((S206-1)*(Skills!T13*(1+Inputs!$B$33/100))+MIN((Skills!T13*(1+Inputs!$B$33/100)),MAX(0,Inputs!$B$35-((S206-1)*Skills!D13))))/Inputs!$B$35),IF(Inputs!$B$4="pvp",MIN((Skills!T13*(1+Inputs!$B$33/100)),15)/15,(Skills!T13*(1+Inputs!$B$33/100))/Skills!D13)))+((C207=TRUE)*F207*IF(AND(Inputs!$B$4&lt;&gt;"pvp",Inputs!$B$35&gt;0),(((S207-1)*(Skills!T14*(1+Inputs!$B$33/100))+MIN((Skills!T14*(1+Inputs!$B$33/100)),MAX(0,Inputs!$B$35-((S207-1)*Skills!D14))))/Inputs!$B$35),IF(Inputs!$B$4="pvp",MIN((Skills!T14*(1+Inputs!$B$33/100)),15)/15,(Skills!T14*(1+Inputs!$B$33/100))/Skills!D14)))+((C208=TRUE)*F208*IF(AND(Inputs!$B$4&lt;&gt;"pvp",Inputs!$B$35&gt;0),(((S208-1)*(Skills!T15*(1+Inputs!$B$33/100))+MIN((Skills!T15*(1+Inputs!$B$33/100)),MAX(0,Inputs!$B$35-((S208-1)*Skills!D15))))/Inputs!$B$35),IF(Inputs!$B$4="pvp",MIN((Skills!T15*(1+Inputs!$B$33/100)),15)/15,(Skills!T15*(1+Inputs!$B$33/100))/Skills!D15)))+((C209=TRUE)*F209*IF(AND(Inputs!$B$4&lt;&gt;"pvp",Inputs!$B$35&gt;0),(((S209-1)*(Skills!T16*(1+Inputs!$B$33/100))+MIN((Skills!T16*(1+Inputs!$B$33/100)),MAX(0,Inputs!$B$35-((S209-1)*Skills!D16))))/Inputs!$B$35),IF(Inputs!$B$4="pvp",MIN((Skills!T16*(1+Inputs!$B$33/100)),15)/15,(Skills!T16*(1+Inputs!$B$33/100))/Skills!D16)))+0)/100)</f>
        <v/>
      </c>
    </row>
    <row r="222">
      <c r="A222" t="inlineStr">
        <is>
          <t>Global Crit Rate Bonus % (Lord of Darkness)</t>
        </is>
      </c>
      <c r="B222">
        <f>((C211=TRUE)*F211*(Skills!J18/100)*IF(AND(Inputs!$B$4&lt;&gt;"pvp",Inputs!$B$35&gt;0),(((S211-1)*(Skills!T18*(1+Inputs!$B$33/100))+MIN((Skills!T18*(1+Inputs!$B$33/100)),MAX(0,Inputs!$B$35-((S211-1)*Skills!D18))))/Inputs!$B$35),IF(Inputs!$B$4="pvp",MIN((Skills!T18*(1+Inputs!$B$33/100)),15)/15,(Skills!T18*(1+Inputs!$B$33/100))/Skills!D18)))</f>
        <v/>
      </c>
    </row>
    <row r="223">
      <c r="A223" t="inlineStr">
        <is>
          <t>Attack Speed Buff Bonus %</t>
        </is>
      </c>
      <c r="B223">
        <f>((C213=TRUE)*F213*IF(AND(Inputs!$B$4&lt;&gt;"pvp",Inputs!$B$35&gt;0),(((S213-1)*(Skills!T20*(1+Inputs!$B$33/100))+MIN((Skills!T20*(1+Inputs!$B$33/100)),MAX(0,Inputs!$B$35-((S213-1)*Skills!D20))))/Inputs!$B$35),IF(Inputs!$B$4="pvp",MIN((Skills!T20*(1+Inputs!$B$33/100)),15)/15,(Skills!T20*(1+Inputs!$B$33/100))/Skills!D20)))</f>
        <v/>
      </c>
    </row>
    <row r="224">
      <c r="A224" t="inlineStr">
        <is>
          <t>Actions Per Second</t>
        </is>
      </c>
      <c r="B224">
        <f>1+MIN(150,150*(1-(1-(Inputs!$B$10+((C214=TRUE)*(F214-Calc!F21)))/150)*(1-B223/150)))/100</f>
        <v/>
      </c>
    </row>
    <row r="225">
      <c r="A225" t="inlineStr">
        <is>
          <t>Skill + Buff Cast Rate</t>
        </is>
      </c>
      <c r="B225">
        <f>IF(AND(Inputs!$B$4&lt;&gt;"pvp",Inputs!$B$35&gt;0),SUMPRODUCT((Skills!E2:E26=TRUE)*(C195:C219=TRUE)*R195:R219*Skills!F2:F26)/Inputs!$B$35,SUMPRODUCT((Skills!E2:E26=TRUE)*(C195:C219=TRUE)*Q195:Q219*Skills!F2:F26))</f>
        <v/>
      </c>
    </row>
    <row r="226">
      <c r="A226" t="inlineStr">
        <is>
          <t>Dark Impale Casts Per Second</t>
        </is>
      </c>
      <c r="B226">
        <f>MAX(0,B224-B225)</f>
        <v/>
      </c>
    </row>
    <row r="227">
      <c r="A227" t="inlineStr">
        <is>
          <t>Global Critical Damage Bonus % (Lord of Darkness)</t>
        </is>
      </c>
      <c r="B227">
        <f>((C212=TRUE)*F212*(Skills!J19/100)*IF(AND(Inputs!$B$4&lt;&gt;"pvp",Inputs!$B$35&gt;0),(((S212-1)*(Skills!T19*(1+Inputs!$B$33/100))+MIN((Skills!T19*(1+Inputs!$B$33/100)),MAX(0,Inputs!$B$35-((S212-1)*Skills!D19))))/Inputs!$B$35),IF(Inputs!$B$4="pvp",MIN((Skills!T19*(1+Inputs!$B$33/100)),15)/15,(Skills!T19*(1+Inputs!$B$33/100))/Skills!D19)))</f>
        <v/>
      </c>
    </row>
    <row r="228">
      <c r="A228" t="inlineStr">
        <is>
          <t>Global Final Damage Bonus % (unused)</t>
        </is>
      </c>
      <c r="B228" t="n">
        <v>0</v>
      </c>
    </row>
    <row r="230">
      <c r="A230" s="5" t="inlineStr">
        <is>
          <t>TOTAL DPS</t>
        </is>
      </c>
      <c r="B230" s="5">
        <f>SUM(O195:O219)</f>
        <v/>
      </c>
    </row>
    <row r="233">
      <c r="A233" s="5" t="inlineStr">
        <is>
          <t>Stat: BOSS_DAMAGE %</t>
        </is>
      </c>
    </row>
    <row r="234">
      <c r="A234" s="8" t="inlineStr">
        <is>
          <t>Key</t>
        </is>
      </c>
      <c r="B234" s="8" t="inlineStr">
        <is>
          <t>Name</t>
        </is>
      </c>
      <c r="C234" s="8" t="inlineStr">
        <is>
          <t>Unlocked</t>
        </is>
      </c>
      <c r="D234" s="8" t="inlineStr">
        <is>
          <t>InputLevel</t>
        </is>
      </c>
      <c r="E234" s="8" t="inlineStr">
        <is>
          <t>Factor</t>
        </is>
      </c>
      <c r="F234" s="8" t="inlineStr">
        <is>
          <t>CoefficientPercent</t>
        </is>
      </c>
      <c r="G234" s="8" t="inlineStr">
        <is>
          <t>EffectiveHits</t>
        </is>
      </c>
      <c r="H234" s="8" t="inlineStr">
        <is>
          <t>ProcProbability</t>
        </is>
      </c>
      <c r="I234" s="8" t="inlineStr">
        <is>
          <t>MapleHeroMultiplier</t>
        </is>
      </c>
      <c r="J234" s="8" t="inlineStr">
        <is>
          <t>BaseDamage</t>
        </is>
      </c>
      <c r="K234" s="8" t="inlineStr">
        <is>
          <t>BaseHitDamage</t>
        </is>
      </c>
      <c r="L234" s="8" t="inlineStr">
        <is>
          <t>NonCritAvg</t>
        </is>
      </c>
      <c r="M234" s="8" t="inlineStr">
        <is>
          <t>CritAvg</t>
        </is>
      </c>
      <c r="N234" s="8" t="inlineStr">
        <is>
          <t>ExpectedDamage(perHit)</t>
        </is>
      </c>
      <c r="O234" s="8" t="inlineStr">
        <is>
          <t>DPS</t>
        </is>
      </c>
      <c r="P234" s="8" t="inlineStr">
        <is>
          <t>% of Total</t>
        </is>
      </c>
      <c r="Q234" s="8" t="inlineStr">
        <is>
          <t>InvCooldown</t>
        </is>
      </c>
      <c r="R234" s="8" t="inlineStr">
        <is>
          <t>CastsInFight</t>
        </is>
      </c>
      <c r="S234" s="8" t="inlineStr">
        <is>
          <t>HitRate(perSec)</t>
        </is>
      </c>
      <c r="U234" t="inlineStr">
        <is>
          <t>helpers</t>
        </is>
      </c>
    </row>
    <row r="235">
      <c r="A235">
        <f>Skills!A2</f>
        <v/>
      </c>
      <c r="B235">
        <f>Skills!B2</f>
        <v/>
      </c>
      <c r="C235">
        <f>Inputs!$B$3&gt;=100</f>
        <v/>
      </c>
      <c r="D235" t="inlineStr"/>
      <c r="E235" t="inlineStr"/>
      <c r="F235">
        <f>U237+Skills!O2</f>
        <v/>
      </c>
      <c r="G235">
        <f>Skills!G2*IF(Skills!H2&gt;0,Skills!I2/Skills!H2,1)</f>
        <v/>
      </c>
      <c r="H235">
        <f>1-(1-Skills!J2/100)^Skills!K2</f>
        <v/>
      </c>
      <c r="I235" t="inlineStr">
        <is>
          <t>1</t>
        </is>
      </c>
      <c r="J235">
        <f>(Inputs!$B$5*(1+Inputs!$B$6/100))*(F235/100)</f>
        <v/>
      </c>
      <c r="K235">
        <f>J235*(1+((Inputs!$B$11*(1+Inputs!$B$12/100))*0.01+Inputs!$B$13*0.0025)/100)*(1+Inputs!$B$14/100)*(1+IF(Inputs!$B$4="pvp",0,(1-Summary!$B$55)*((Inputs!$B$19+1)+0+Skills!P2+((C250=TRUE)*F250*IF(AND(Inputs!$B$4&lt;&gt;"pvp",Inputs!$B$35&gt;0),(((S250-1)*(Skills!T17*(1+Inputs!$B$33/100))+MIN((Skills!T17*(1+Inputs!$B$33/100)),MAX(0,Inputs!$B$35-((S250-1)*Skills!D17))))/Inputs!$B$35),IF(Inputs!$B$4="pvp",MIN((Skills!T17*(1+Inputs!$B$33/100)),15)/15,(Skills!T17*(1+Inputs!$B$33/100))/Skills!D17)))+((C247=TRUE)*IF(Inputs!$B$4="pvp",20,(1-Summary!$B$55)*(20)+Summary!$B$55*(0))*IF(AND(Inputs!$B$4&lt;&gt;"pvp",Inputs!$B$35&gt;0),(((S247-1)*(Skills!T14*(1+Inputs!$B$33/100))+MIN((Skills!T14*(1+Inputs!$B$33/100)),MAX(0,Inputs!$B$35-((S247-1)*Skills!D14))))/Inputs!$B$35),IF(Inputs!$B$4="pvp",MIN((Skills!T14*(1+Inputs!$B$33/100)),15)/15,(Skills!T14*(1+Inputs!$B$33/100))/Skills!D14))))+Summary!$B$55*(Inputs!$B$20+Skills!Q2+((C250=TRUE)*F250*IF(AND(Inputs!$B$4&lt;&gt;"pvp",Inputs!$B$35&gt;0),(((S250-1)*(Skills!T17*(1+Inputs!$B$33/100))+MIN((Skills!T17*(1+Inputs!$B$33/100)),MAX(0,Inputs!$B$35-((S250-1)*Skills!D17))))/Inputs!$B$35),IF(Inputs!$B$4="pvp",MIN((Skills!T17*(1+Inputs!$B$33/100)),15)/15,(Skills!T17*(1+Inputs!$B$33/100))/Skills!D17)))))/100)*(1+Inputs!$B$15/100)*(5000/(6000+Inputs!$B$7*(1-(Inputs!$B$18+0)/100)))*(1+(Inputs!$B$23+((C258=TRUE)*(F258-Calc!F25))+((C259=TRUE)*(F259-Calc!F26))+B268)/100)*(1+(IF(Skills!A2="DARK_IMPALE",Inputs!$B$16+0,Inputs!$B$17+((C256=TRUE)*(F256-Calc!F23))))/100)*((1+(((C246=TRUE)*F246*IF(AND(Inputs!$B$4&lt;&gt;"pvp",Inputs!$B$35&gt;0),(((S246-1)*(Skills!T13*(1+Inputs!$B$33/100))+MIN((Skills!T13*(1+Inputs!$B$33/100)),MAX(0,Inputs!$B$35-((S246-1)*Skills!D13))))/Inputs!$B$35),IF(Inputs!$B$4="pvp",MIN((Skills!T13*(1+Inputs!$B$33/100)),15)/15,(Skills!T13*(1+Inputs!$B$33/100))/Skills!D13)))+((C247=TRUE)*F247*IF(AND(Inputs!$B$4&lt;&gt;"pvp",Inputs!$B$35&gt;0),(((S247-1)*(Skills!T14*(1+Inputs!$B$33/100))+MIN((Skills!T14*(1+Inputs!$B$33/100)),MAX(0,Inputs!$B$35-((S247-1)*Skills!D14))))/Inputs!$B$35),IF(Inputs!$B$4="pvp",MIN((Skills!T14*(1+Inputs!$B$33/100)),15)/15,(Skills!T14*(1+Inputs!$B$33/100))/Skills!D14)))+((C248=TRUE)*F248*IF(AND(Inputs!$B$4&lt;&gt;"pvp",Inputs!$B$35&gt;0),(((S248-1)*(Skills!T15*(1+Inputs!$B$33/100))+MIN((Skills!T15*(1+Inputs!$B$33/100)),MAX(0,Inputs!$B$35-((S248-1)*Skills!D15))))/Inputs!$B$35),IF(Inputs!$B$4="pvp",MIN((Skills!T15*(1+Inputs!$B$33/100)),15)/15,(Skills!T15*(1+Inputs!$B$33/100))/Skills!D15)))+((C249=TRUE)*F249*IF(AND(Inputs!$B$4&lt;&gt;"pvp",Inputs!$B$35&gt;0),(((S249-1)*(Skills!T16*(1+Inputs!$B$33/100))+MIN((Skills!T16*(1+Inputs!$B$33/100)),MAX(0,Inputs!$B$35-((S249-1)*Skills!D16))))/Inputs!$B$35),IF(Inputs!$B$4="pvp",MIN((Skills!T16*(1+Inputs!$B$33/100)),15)/15,(Skills!T16*(1+Inputs!$B$33/100))/Skills!D16)))+0)/100)*I235)</f>
        <v/>
      </c>
      <c r="L235">
        <f>K235*(MIN(Inputs!$B$21+((C255=TRUE)*(F255-Calc!F22)),Inputs!$B$22+((C257=TRUE)*(F257-Calc!F24)))/100+(Inputs!$B$22+((C257=TRUE)*(F257-Calc!F24)))/100)/2</f>
        <v/>
      </c>
      <c r="M235">
        <f>L235*(1+(Inputs!$B$9+0+B267)/100)</f>
        <v/>
      </c>
      <c r="N235">
        <f>L235*(1-MIN((Inputs!$B$8+0+B262),100)/100)+M235*(MIN((Inputs!$B$8+0+B262),100)/100)</f>
        <v/>
      </c>
      <c r="O235">
        <f>IF(C235,Skills!G2*N235*B266*IF(Inputs!$B$4="pvp",1,(1-Summary!$B$55)*(1)+Summary!$B$55*(MIN((6+Inputs!$B$32),Inputs!$B$37))),0)</f>
        <v/>
      </c>
      <c r="P235">
        <f>IF(B270=0,0,O235/B270)</f>
        <v/>
      </c>
      <c r="Q235" t="n">
        <v>0</v>
      </c>
      <c r="R235" t="n">
        <v>0</v>
      </c>
      <c r="S235">
        <f>IFERROR(O235/N235,0)</f>
        <v/>
      </c>
      <c r="U235">
        <f>MAX(0,(Inputs!$B$3-100)*3)+Inputs!$B$27+Inputs!$B$28</f>
        <v/>
      </c>
    </row>
    <row r="236">
      <c r="A236">
        <f>Skills!A3</f>
        <v/>
      </c>
      <c r="B236">
        <f>Skills!B3</f>
        <v/>
      </c>
      <c r="C236">
        <f>Inputs!$B$3&gt;=50</f>
        <v/>
      </c>
      <c r="D236">
        <f>IF(Skills!C3=1,60+Inputs!$B$24+Inputs!$B$28,IF(Skills!C3=2,90+Inputs!$B$25+Inputs!$B$28,IF(Skills!C3=3,120+Inputs!$B$26+Inputs!$B$28,MAX(0,(Inputs!$B$3-100)*3)+Inputs!$B$27+Inputs!$B$28)))</f>
        <v/>
      </c>
      <c r="E236">
        <f>INDEX(FactorTable!$B$2:$Y$301, MATCH(ROUND(MIN(300,MAX(1,D236)),0), FactorTable!$A$2:$A$301,0), Skills!M3+1)</f>
        <v/>
      </c>
      <c r="F236">
        <f>IF(Skills!N3=TRUE,(Skills!L3/10)*(E236/1000),Skills!L3/10)+Skills!O3</f>
        <v/>
      </c>
      <c r="G236" t="inlineStr"/>
      <c r="H236" t="inlineStr"/>
      <c r="I236" t="inlineStr">
        <is>
          <t>1</t>
        </is>
      </c>
      <c r="J236" t="inlineStr"/>
      <c r="K236" t="inlineStr"/>
      <c r="L236" t="inlineStr"/>
      <c r="M236" t="inlineStr"/>
      <c r="N236" t="inlineStr"/>
      <c r="O236" t="inlineStr"/>
      <c r="P236" t="inlineStr"/>
      <c r="Q236" t="inlineStr"/>
      <c r="R236" t="inlineStr"/>
      <c r="S236" t="inlineStr"/>
      <c r="U236">
        <f>INDEX(FactorTable!$B$2:$Y$301, MATCH(ROUND(MIN(300,MAX(1,U235)),0), FactorTable!$A$2:$A$301,0), 22)</f>
        <v/>
      </c>
    </row>
    <row r="237">
      <c r="A237">
        <f>Skills!A4</f>
        <v/>
      </c>
      <c r="B237">
        <f>Skills!B4</f>
        <v/>
      </c>
      <c r="C237">
        <f>Inputs!$B$3&gt;=105</f>
        <v/>
      </c>
      <c r="D237">
        <f>IF(Skills!C4=1,60+Inputs!$B$24+Inputs!$B$28,IF(Skills!C4=2,90+Inputs!$B$25+Inputs!$B$28,IF(Skills!C4=3,120+Inputs!$B$26+Inputs!$B$28,MAX(0,(Inputs!$B$3-100)*3)+Inputs!$B$27+Inputs!$B$28)))</f>
        <v/>
      </c>
      <c r="E237">
        <f>INDEX(FactorTable!$B$2:$Y$301, MATCH(ROUND(MIN(300,MAX(1,D237)),0), FactorTable!$A$2:$A$301,0), Skills!M4+1)</f>
        <v/>
      </c>
      <c r="F237">
        <f>IF(Skills!N4=TRUE,(Skills!L4/10)*(E237/1000),Skills!L4/10)+Skills!O4</f>
        <v/>
      </c>
      <c r="G237" t="inlineStr"/>
      <c r="H237" t="inlineStr"/>
      <c r="I237" t="inlineStr">
        <is>
          <t>1</t>
        </is>
      </c>
      <c r="J237" t="inlineStr"/>
      <c r="K237" t="inlineStr"/>
      <c r="L237" t="inlineStr"/>
      <c r="M237" t="inlineStr"/>
      <c r="N237" t="inlineStr"/>
      <c r="O237" t="inlineStr"/>
      <c r="P237" t="inlineStr"/>
      <c r="Q237" t="inlineStr"/>
      <c r="R237" t="inlineStr"/>
      <c r="S237" t="inlineStr"/>
      <c r="U237">
        <f>290*U236/1000</f>
        <v/>
      </c>
    </row>
    <row r="238">
      <c r="A238">
        <f>Skills!A5</f>
        <v/>
      </c>
      <c r="B238">
        <f>Skills!B5</f>
        <v/>
      </c>
      <c r="C238">
        <f>Inputs!$B$3&gt;=117</f>
        <v/>
      </c>
      <c r="D238">
        <f>IF(Skills!C5=1,60+Inputs!$B$24+Inputs!$B$28,IF(Skills!C5=2,90+Inputs!$B$25+Inputs!$B$28,IF(Skills!C5=3,120+Inputs!$B$26+Inputs!$B$28,MAX(0,(Inputs!$B$3-100)*3)+Inputs!$B$27+Inputs!$B$28)))</f>
        <v/>
      </c>
      <c r="E238">
        <f>INDEX(FactorTable!$B$2:$Y$301, MATCH(ROUND(MIN(300,MAX(1,D238)),0), FactorTable!$A$2:$A$301,0), Skills!M5+1)</f>
        <v/>
      </c>
      <c r="F238">
        <f>IF(Skills!N5=TRUE,(Skills!L5/10)*(E238/1000),Skills!L5/10)+Skills!O5</f>
        <v/>
      </c>
      <c r="G238">
        <f>Skills!G5*IF(Skills!H5&gt;0,Skills!I5/Skills!H5,1)</f>
        <v/>
      </c>
      <c r="H238">
        <f>1-(1-Skills!J5/100)^Skills!K5</f>
        <v/>
      </c>
      <c r="I238" t="inlineStr">
        <is>
          <t>1</t>
        </is>
      </c>
      <c r="J238">
        <f>(Inputs!$B$5*(1+Inputs!$B$6/100))*(F238/100)</f>
        <v/>
      </c>
      <c r="K238">
        <f>J238*(1+((Inputs!$B$11*(1+Inputs!$B$12/100))*0.01+Inputs!$B$13*0.0025)/100)*(1+Inputs!$B$14/100)*(1+IF(Inputs!$B$4="pvp",0,(1-Summary!$B$55)*((Inputs!$B$19+1)+0+Skills!P5+((C250=TRUE)*F250*IF(AND(Inputs!$B$4&lt;&gt;"pvp",Inputs!$B$35&gt;0),(((S250-1)*(Skills!T17*(1+Inputs!$B$33/100))+MIN((Skills!T17*(1+Inputs!$B$33/100)),MAX(0,Inputs!$B$35-((S250-1)*Skills!D17))))/Inputs!$B$35),IF(Inputs!$B$4="pvp",MIN((Skills!T17*(1+Inputs!$B$33/100)),15)/15,(Skills!T17*(1+Inputs!$B$33/100))/Skills!D17)))+((C247=TRUE)*IF(Inputs!$B$4="pvp",20,(1-Summary!$B$55)*(20)+Summary!$B$55*(0))*IF(AND(Inputs!$B$4&lt;&gt;"pvp",Inputs!$B$35&gt;0),(((S247-1)*(Skills!T14*(1+Inputs!$B$33/100))+MIN((Skills!T14*(1+Inputs!$B$33/100)),MAX(0,Inputs!$B$35-((S247-1)*Skills!D14))))/Inputs!$B$35),IF(Inputs!$B$4="pvp",MIN((Skills!T14*(1+Inputs!$B$33/100)),15)/15,(Skills!T14*(1+Inputs!$B$33/100))/Skills!D14))))+Summary!$B$55*(Inputs!$B$20+Skills!Q5+((C250=TRUE)*F250*IF(AND(Inputs!$B$4&lt;&gt;"pvp",Inputs!$B$35&gt;0),(((S250-1)*(Skills!T17*(1+Inputs!$B$33/100))+MIN((Skills!T17*(1+Inputs!$B$33/100)),MAX(0,Inputs!$B$35-((S250-1)*Skills!D17))))/Inputs!$B$35),IF(Inputs!$B$4="pvp",MIN((Skills!T17*(1+Inputs!$B$33/100)),15)/15,(Skills!T17*(1+Inputs!$B$33/100))/Skills!D17)))))/100)*(1+Inputs!$B$15/100)*(5000/(6000+Inputs!$B$7*(1-(Inputs!$B$18+0)/100)))*(1+(Inputs!$B$23+((C258=TRUE)*(F258-Calc!F25))+((C259=TRUE)*(F259-Calc!F26))+B268)/100)*(1+(IF(Skills!A5="DARK_IMPALE",Inputs!$B$16+0,Inputs!$B$17+((C256=TRUE)*(F256-Calc!F23))))/100)*((1+(((C246=TRUE)*F246*IF(AND(Inputs!$B$4&lt;&gt;"pvp",Inputs!$B$35&gt;0),(((S246-1)*(Skills!T13*(1+Inputs!$B$33/100))+MIN((Skills!T13*(1+Inputs!$B$33/100)),MAX(0,Inputs!$B$35-((S246-1)*Skills!D13))))/Inputs!$B$35),IF(Inputs!$B$4="pvp",MIN((Skills!T13*(1+Inputs!$B$33/100)),15)/15,(Skills!T13*(1+Inputs!$B$33/100))/Skills!D13)))+((C247=TRUE)*F247*IF(AND(Inputs!$B$4&lt;&gt;"pvp",Inputs!$B$35&gt;0),(((S247-1)*(Skills!T14*(1+Inputs!$B$33/100))+MIN((Skills!T14*(1+Inputs!$B$33/100)),MAX(0,Inputs!$B$35-((S247-1)*Skills!D14))))/Inputs!$B$35),IF(Inputs!$B$4="pvp",MIN((Skills!T14*(1+Inputs!$B$33/100)),15)/15,(Skills!T14*(1+Inputs!$B$33/100))/Skills!D14)))+((C248=TRUE)*F248*IF(AND(Inputs!$B$4&lt;&gt;"pvp",Inputs!$B$35&gt;0),(((S248-1)*(Skills!T15*(1+Inputs!$B$33/100))+MIN((Skills!T15*(1+Inputs!$B$33/100)),MAX(0,Inputs!$B$35-((S248-1)*Skills!D15))))/Inputs!$B$35),IF(Inputs!$B$4="pvp",MIN((Skills!T15*(1+Inputs!$B$33/100)),15)/15,(Skills!T15*(1+Inputs!$B$33/100))/Skills!D15)))+((C249=TRUE)*F249*IF(AND(Inputs!$B$4&lt;&gt;"pvp",Inputs!$B$35&gt;0),(((S249-1)*(Skills!T16*(1+Inputs!$B$33/100))+MIN((Skills!T16*(1+Inputs!$B$33/100)),MAX(0,Inputs!$B$35-((S249-1)*Skills!D16))))/Inputs!$B$35),IF(Inputs!$B$4="pvp",MIN((Skills!T16*(1+Inputs!$B$33/100)),15)/15,(Skills!T16*(1+Inputs!$B$33/100))/Skills!D16)))+0)/100)*I238)</f>
        <v/>
      </c>
      <c r="L238">
        <f>K238*(MIN(Inputs!$B$21+((C255=TRUE)*(F255-Calc!F22)),Inputs!$B$22+((C257=TRUE)*(F257-Calc!F24)))/100+(Inputs!$B$22+((C257=TRUE)*(F257-Calc!F24)))/100)/2</f>
        <v/>
      </c>
      <c r="M238">
        <f>L238*(1+(Inputs!$B$9+0+B267)/100)</f>
        <v/>
      </c>
      <c r="N238">
        <f>L238*(1-MIN((Inputs!$B$8+0+B262),100)/100)+M238*(MIN((Inputs!$B$8+0+B262),100)/100)</f>
        <v/>
      </c>
      <c r="O238">
        <f>IF(C238,H238*N238*IF(AND(Inputs!$B$4&lt;&gt;"pvp",Inputs!$B$35&gt;0),((Skills!G5*((R238-1)*IF(Skills!H5&gt;0,Skills!I5/Skills!H5,1)+IF(Skills!H5&gt;0,MIN(Skills!I5,MAX(0,Inputs!$B$35-((R238-1)*IF(Inputs!$B$4="pvp",15,MAX(0.1,Skills!D5-IF(Skills!E5=TRUE,Inputs!$B$31,0))))))/Skills!H5,1)))/Inputs!$B$35),G238*Q238)*IF(Inputs!$B$4="pvp",1,(1-Summary!$B$55)*(1)+Summary!$B$55*(MIN(Skills!R5,Inputs!$B$37))),0)</f>
        <v/>
      </c>
      <c r="P238">
        <f>IF(B270=0,0,O238/B270)</f>
        <v/>
      </c>
      <c r="Q238">
        <f>IFERROR(1/IF(Inputs!$B$4="pvp",15,MAX(0.1,Skills!D5-IF(Skills!E5=TRUE,Inputs!$B$31,0))),0)</f>
        <v/>
      </c>
      <c r="R238">
        <f>IF(AND(Inputs!$B$4&lt;&gt;"pvp",Inputs!$B$35&gt;0),(INT(Inputs!$B$35/IF(Inputs!$B$4="pvp",15,MAX(0.1,Skills!D5-IF(Skills!E5=TRUE,Inputs!$B$31,0))))+1),0)</f>
        <v/>
      </c>
      <c r="S238">
        <f>IFERROR(O238/N238,0)</f>
        <v/>
      </c>
    </row>
    <row r="239">
      <c r="A239">
        <f>Skills!A6</f>
        <v/>
      </c>
      <c r="B239">
        <f>Skills!B6</f>
        <v/>
      </c>
      <c r="C239">
        <f>Inputs!$B$3&gt;=103</f>
        <v/>
      </c>
      <c r="D239">
        <f>IF(Skills!C6=1,60+Inputs!$B$24+Inputs!$B$28,IF(Skills!C6=2,90+Inputs!$B$25+Inputs!$B$28,IF(Skills!C6=3,120+Inputs!$B$26+Inputs!$B$28,MAX(0,(Inputs!$B$3-100)*3)+Inputs!$B$27+Inputs!$B$28)))</f>
        <v/>
      </c>
      <c r="E239">
        <f>INDEX(FactorTable!$B$2:$Y$301, MATCH(ROUND(MIN(300,MAX(1,D239)),0), FactorTable!$A$2:$A$301,0), Skills!M6+1)</f>
        <v/>
      </c>
      <c r="F239">
        <f>IF(Skills!N6=TRUE,(Skills!L6/10)*(E239/1000),Skills!L6/10)+Skills!O6</f>
        <v/>
      </c>
      <c r="G239">
        <f>Skills!G6*IF(Skills!H6&gt;0,Skills!I6/Skills!H6,1)</f>
        <v/>
      </c>
      <c r="H239">
        <f>1-(1-Skills!J6/100)^Skills!K6</f>
        <v/>
      </c>
      <c r="I239" t="inlineStr">
        <is>
          <t>1</t>
        </is>
      </c>
      <c r="J239">
        <f>(Inputs!$B$5*(1+Inputs!$B$6/100))*(F239/100)</f>
        <v/>
      </c>
      <c r="K239">
        <f>J239*(1+((Inputs!$B$11*(1+Inputs!$B$12/100))*0.01+Inputs!$B$13*0.0025)/100)*(1+Inputs!$B$14/100)*(1+IF(Inputs!$B$4="pvp",0,(1-Summary!$B$55)*((Inputs!$B$19+1)+0+Skills!P6+((C250=TRUE)*F250*IF(AND(Inputs!$B$4&lt;&gt;"pvp",Inputs!$B$35&gt;0),(((S250-1)*(Skills!T17*(1+Inputs!$B$33/100))+MIN((Skills!T17*(1+Inputs!$B$33/100)),MAX(0,Inputs!$B$35-((S250-1)*Skills!D17))))/Inputs!$B$35),IF(Inputs!$B$4="pvp",MIN((Skills!T17*(1+Inputs!$B$33/100)),15)/15,(Skills!T17*(1+Inputs!$B$33/100))/Skills!D17)))+((C247=TRUE)*IF(Inputs!$B$4="pvp",20,(1-Summary!$B$55)*(20)+Summary!$B$55*(0))*IF(AND(Inputs!$B$4&lt;&gt;"pvp",Inputs!$B$35&gt;0),(((S247-1)*(Skills!T14*(1+Inputs!$B$33/100))+MIN((Skills!T14*(1+Inputs!$B$33/100)),MAX(0,Inputs!$B$35-((S247-1)*Skills!D14))))/Inputs!$B$35),IF(Inputs!$B$4="pvp",MIN((Skills!T14*(1+Inputs!$B$33/100)),15)/15,(Skills!T14*(1+Inputs!$B$33/100))/Skills!D14))))+Summary!$B$55*(Inputs!$B$20+Skills!Q6+((C250=TRUE)*F250*IF(AND(Inputs!$B$4&lt;&gt;"pvp",Inputs!$B$35&gt;0),(((S250-1)*(Skills!T17*(1+Inputs!$B$33/100))+MIN((Skills!T17*(1+Inputs!$B$33/100)),MAX(0,Inputs!$B$35-((S250-1)*Skills!D17))))/Inputs!$B$35),IF(Inputs!$B$4="pvp",MIN((Skills!T17*(1+Inputs!$B$33/100)),15)/15,(Skills!T17*(1+Inputs!$B$33/100))/Skills!D17)))))/100)*(1+Inputs!$B$15/100)*(5000/(6000+Inputs!$B$7*(1-(Inputs!$B$18+0)/100)))*(1+(Inputs!$B$23+((C258=TRUE)*(F258-Calc!F25))+((C259=TRUE)*(F259-Calc!F26))+B268)/100)*(1+(IF(Skills!A6="DARK_IMPALE",Inputs!$B$16+0,Inputs!$B$17+((C256=TRUE)*(F256-Calc!F23))))/100)*((1+(((C246=TRUE)*F246*IF(AND(Inputs!$B$4&lt;&gt;"pvp",Inputs!$B$35&gt;0),(((S246-1)*(Skills!T13*(1+Inputs!$B$33/100))+MIN((Skills!T13*(1+Inputs!$B$33/100)),MAX(0,Inputs!$B$35-((S246-1)*Skills!D13))))/Inputs!$B$35),IF(Inputs!$B$4="pvp",MIN((Skills!T13*(1+Inputs!$B$33/100)),15)/15,(Skills!T13*(1+Inputs!$B$33/100))/Skills!D13)))+((C247=TRUE)*F247*IF(AND(Inputs!$B$4&lt;&gt;"pvp",Inputs!$B$35&gt;0),(((S247-1)*(Skills!T14*(1+Inputs!$B$33/100))+MIN((Skills!T14*(1+Inputs!$B$33/100)),MAX(0,Inputs!$B$35-((S247-1)*Skills!D14))))/Inputs!$B$35),IF(Inputs!$B$4="pvp",MIN((Skills!T14*(1+Inputs!$B$33/100)),15)/15,(Skills!T14*(1+Inputs!$B$33/100))/Skills!D14)))+((C248=TRUE)*F248*IF(AND(Inputs!$B$4&lt;&gt;"pvp",Inputs!$B$35&gt;0),(((S248-1)*(Skills!T15*(1+Inputs!$B$33/100))+MIN((Skills!T15*(1+Inputs!$B$33/100)),MAX(0,Inputs!$B$35-((S248-1)*Skills!D15))))/Inputs!$B$35),IF(Inputs!$B$4="pvp",MIN((Skills!T15*(1+Inputs!$B$33/100)),15)/15,(Skills!T15*(1+Inputs!$B$33/100))/Skills!D15)))+((C249=TRUE)*F249*IF(AND(Inputs!$B$4&lt;&gt;"pvp",Inputs!$B$35&gt;0),(((S249-1)*(Skills!T16*(1+Inputs!$B$33/100))+MIN((Skills!T16*(1+Inputs!$B$33/100)),MAX(0,Inputs!$B$35-((S249-1)*Skills!D16))))/Inputs!$B$35),IF(Inputs!$B$4="pvp",MIN((Skills!T16*(1+Inputs!$B$33/100)),15)/15,(Skills!T16*(1+Inputs!$B$33/100))/Skills!D16)))+0)/100)*I239)</f>
        <v/>
      </c>
      <c r="L239">
        <f>K239*(MIN(Inputs!$B$21+((C255=TRUE)*(F255-Calc!F22)),Inputs!$B$22+((C257=TRUE)*(F257-Calc!F24)))/100+(Inputs!$B$22+((C257=TRUE)*(F257-Calc!F24)))/100)/2</f>
        <v/>
      </c>
      <c r="M239">
        <f>L239*(1+(Inputs!$B$9+0+B267)/100)</f>
        <v/>
      </c>
      <c r="N239">
        <f>L239*(1-MIN((Inputs!$B$8+0+B262),100)/100)+M239*(MIN((Inputs!$B$8+0+B262),100)/100)</f>
        <v/>
      </c>
      <c r="O239">
        <f>IF(C239,H239*N239*IF(AND(Inputs!$B$4&lt;&gt;"pvp",Inputs!$B$35&gt;0),((Skills!G6*((R239-1)*IF(Skills!H6&gt;0,Skills!I6/Skills!H6,1)+IF(Skills!H6&gt;0,MIN(Skills!I6,MAX(0,Inputs!$B$35-((R239-1)*IF(Inputs!$B$4="pvp",15,MAX(0.1,Skills!D6-IF(Skills!E6=TRUE,Inputs!$B$31,0))))))/Skills!H6,1)))/Inputs!$B$35),G239*Q239)*IF(Inputs!$B$4="pvp",1,(1-Summary!$B$55)*(1)+Summary!$B$55*(MIN(Skills!R6,Inputs!$B$37))),0)</f>
        <v/>
      </c>
      <c r="P239">
        <f>IF(B270=0,0,O239/B270)</f>
        <v/>
      </c>
      <c r="Q239">
        <f>IFERROR(1/IF(Inputs!$B$4="pvp",15,MAX(0.1,Skills!D6-IF(Skills!E6=TRUE,Inputs!$B$31,0))),0)</f>
        <v/>
      </c>
      <c r="R239">
        <f>IF(AND(Inputs!$B$4&lt;&gt;"pvp",Inputs!$B$35&gt;0),(INT(Inputs!$B$35/IF(Inputs!$B$4="pvp",15,MAX(0.1,Skills!D6-IF(Skills!E6=TRUE,Inputs!$B$31,0))))+1),0)</f>
        <v/>
      </c>
      <c r="S239">
        <f>IFERROR(O239/N239,0)</f>
        <v/>
      </c>
    </row>
    <row r="240">
      <c r="A240">
        <f>Skills!A7</f>
        <v/>
      </c>
      <c r="B240">
        <f>Skills!B7</f>
        <v/>
      </c>
      <c r="C240">
        <f>Inputs!$B$3&gt;=40</f>
        <v/>
      </c>
      <c r="D240">
        <f>IF(Skills!C7=1,60+Inputs!$B$24+Inputs!$B$28,IF(Skills!C7=2,90+Inputs!$B$25+Inputs!$B$28,IF(Skills!C7=3,120+Inputs!$B$26+Inputs!$B$28,MAX(0,(Inputs!$B$3-100)*3)+Inputs!$B$27+Inputs!$B$28)))</f>
        <v/>
      </c>
      <c r="E240">
        <f>INDEX(FactorTable!$B$2:$Y$301, MATCH(ROUND(MIN(300,MAX(1,D240)),0), FactorTable!$A$2:$A$301,0), Skills!M7+1)</f>
        <v/>
      </c>
      <c r="F240">
        <f>IF(Skills!N7=TRUE,(Skills!L7/10)*(E240/1000),Skills!L7/10)+Skills!O7</f>
        <v/>
      </c>
      <c r="G240">
        <f>Skills!G7*IF(Skills!H7&gt;0,Skills!I7/Skills!H7,1)</f>
        <v/>
      </c>
      <c r="H240">
        <f>1-(1-Skills!J7/100)^Skills!K7</f>
        <v/>
      </c>
      <c r="I240" t="inlineStr">
        <is>
          <t>1</t>
        </is>
      </c>
      <c r="J240">
        <f>(Inputs!$B$5*(1+Inputs!$B$6/100))*(F240/100)</f>
        <v/>
      </c>
      <c r="K240">
        <f>J240*(1+((Inputs!$B$11*(1+Inputs!$B$12/100))*0.01+Inputs!$B$13*0.0025)/100)*(1+Inputs!$B$14/100)*(1+IF(Inputs!$B$4="pvp",0,(1-Summary!$B$55)*((Inputs!$B$19+1)+0+Skills!P7+((C250=TRUE)*F250*IF(AND(Inputs!$B$4&lt;&gt;"pvp",Inputs!$B$35&gt;0),(((S250-1)*(Skills!T17*(1+Inputs!$B$33/100))+MIN((Skills!T17*(1+Inputs!$B$33/100)),MAX(0,Inputs!$B$35-((S250-1)*Skills!D17))))/Inputs!$B$35),IF(Inputs!$B$4="pvp",MIN((Skills!T17*(1+Inputs!$B$33/100)),15)/15,(Skills!T17*(1+Inputs!$B$33/100))/Skills!D17)))+((C247=TRUE)*IF(Inputs!$B$4="pvp",20,(1-Summary!$B$55)*(20)+Summary!$B$55*(0))*IF(AND(Inputs!$B$4&lt;&gt;"pvp",Inputs!$B$35&gt;0),(((S247-1)*(Skills!T14*(1+Inputs!$B$33/100))+MIN((Skills!T14*(1+Inputs!$B$33/100)),MAX(0,Inputs!$B$35-((S247-1)*Skills!D14))))/Inputs!$B$35),IF(Inputs!$B$4="pvp",MIN((Skills!T14*(1+Inputs!$B$33/100)),15)/15,(Skills!T14*(1+Inputs!$B$33/100))/Skills!D14))))+Summary!$B$55*(Inputs!$B$20+Skills!Q7+((C250=TRUE)*F250*IF(AND(Inputs!$B$4&lt;&gt;"pvp",Inputs!$B$35&gt;0),(((S250-1)*(Skills!T17*(1+Inputs!$B$33/100))+MIN((Skills!T17*(1+Inputs!$B$33/100)),MAX(0,Inputs!$B$35-((S250-1)*Skills!D17))))/Inputs!$B$35),IF(Inputs!$B$4="pvp",MIN((Skills!T17*(1+Inputs!$B$33/100)),15)/15,(Skills!T17*(1+Inputs!$B$33/100))/Skills!D17)))))/100)*(1+Inputs!$B$15/100)*(5000/(6000+Inputs!$B$7*(1-(Inputs!$B$18+0)/100)))*(1+(Inputs!$B$23+((C258=TRUE)*(F258-Calc!F25))+((C259=TRUE)*(F259-Calc!F26))+B268)/100)*(1+0.75*IF(C244=TRUE,F244,0)/100)*(1+(IF(Skills!A7="DARK_IMPALE",Inputs!$B$16+0,Inputs!$B$17+((C256=TRUE)*(F256-Calc!F23))))/100)*((1+(((C246=TRUE)*F246*IF(AND(Inputs!$B$4&lt;&gt;"pvp",Inputs!$B$35&gt;0),(((S246-1)*(Skills!T13*(1+Inputs!$B$33/100))+MIN((Skills!T13*(1+Inputs!$B$33/100)),MAX(0,Inputs!$B$35-((S246-1)*Skills!D13))))/Inputs!$B$35),IF(Inputs!$B$4="pvp",MIN((Skills!T13*(1+Inputs!$B$33/100)),15)/15,(Skills!T13*(1+Inputs!$B$33/100))/Skills!D13)))+((C247=TRUE)*F247*IF(AND(Inputs!$B$4&lt;&gt;"pvp",Inputs!$B$35&gt;0),(((S247-1)*(Skills!T14*(1+Inputs!$B$33/100))+MIN((Skills!T14*(1+Inputs!$B$33/100)),MAX(0,Inputs!$B$35-((S247-1)*Skills!D14))))/Inputs!$B$35),IF(Inputs!$B$4="pvp",MIN((Skills!T14*(1+Inputs!$B$33/100)),15)/15,(Skills!T14*(1+Inputs!$B$33/100))/Skills!D14)))+((C248=TRUE)*F248*IF(AND(Inputs!$B$4&lt;&gt;"pvp",Inputs!$B$35&gt;0),(((S248-1)*(Skills!T15*(1+Inputs!$B$33/100))+MIN((Skills!T15*(1+Inputs!$B$33/100)),MAX(0,Inputs!$B$35-((S248-1)*Skills!D15))))/Inputs!$B$35),IF(Inputs!$B$4="pvp",MIN((Skills!T15*(1+Inputs!$B$33/100)),15)/15,(Skills!T15*(1+Inputs!$B$33/100))/Skills!D15)))+((C249=TRUE)*F249*IF(AND(Inputs!$B$4&lt;&gt;"pvp",Inputs!$B$35&gt;0),(((S249-1)*(Skills!T16*(1+Inputs!$B$33/100))+MIN((Skills!T16*(1+Inputs!$B$33/100)),MAX(0,Inputs!$B$35-((S249-1)*Skills!D16))))/Inputs!$B$35),IF(Inputs!$B$4="pvp",MIN((Skills!T16*(1+Inputs!$B$33/100)),15)/15,(Skills!T16*(1+Inputs!$B$33/100))/Skills!D16)))+0)/100)*I240)</f>
        <v/>
      </c>
      <c r="L240">
        <f>K240*(MIN(Inputs!$B$21+((C255=TRUE)*(F255-Calc!F22)),Inputs!$B$22+((C257=TRUE)*(F257-Calc!F24)))/100+(Inputs!$B$22+((C257=TRUE)*(F257-Calc!F24)))/100)/2</f>
        <v/>
      </c>
      <c r="M240">
        <f>L240*(1+(Inputs!$B$9+0+B267)/100)</f>
        <v/>
      </c>
      <c r="N240">
        <f>L240*(1-MIN((Inputs!$B$8+0+B262),100)/100)+M240*(MIN((Inputs!$B$8+0+B262),100)/100)</f>
        <v/>
      </c>
      <c r="O240">
        <f>IF(C240,H240*N240*IF(AND(Inputs!$B$4&lt;&gt;"pvp",Inputs!$B$35&gt;0),((Skills!G7*((R240-1)*IF(Skills!H7&gt;0,Skills!I7/Skills!H7,1)+IF(Skills!H7&gt;0,MIN(Skills!I7,MAX(0,Inputs!$B$35-((R240-1)*IF(Inputs!$B$4="pvp",15,MAX(0.1,Skills!D7-IF(Skills!E7=TRUE,Inputs!$B$31,0))))))/Skills!H7,1)))/Inputs!$B$35),G240*Q240)*IF(Inputs!$B$4="pvp",1,(1-Summary!$B$55)*(1)+Summary!$B$55*(MIN(Skills!R7,Inputs!$B$37))),0)</f>
        <v/>
      </c>
      <c r="P240">
        <f>IF(B270=0,0,O240/B270)</f>
        <v/>
      </c>
      <c r="Q240">
        <f>IFERROR(1/IF(Inputs!$B$4="pvp",15,MAX(0.1,Skills!D7-IF(Skills!E7=TRUE,Inputs!$B$31,0))),0)</f>
        <v/>
      </c>
      <c r="R240">
        <f>IF(AND(Inputs!$B$4&lt;&gt;"pvp",Inputs!$B$35&gt;0),(INT(Inputs!$B$35/IF(Inputs!$B$4="pvp",15,MAX(0.1,Skills!D7-IF(Skills!E7=TRUE,Inputs!$B$31,0))))+1),0)</f>
        <v/>
      </c>
      <c r="S240">
        <f>IFERROR(O240/N240,0)</f>
        <v/>
      </c>
    </row>
    <row r="241">
      <c r="A241">
        <f>Skills!A8</f>
        <v/>
      </c>
      <c r="B241">
        <f>Skills!B8</f>
        <v/>
      </c>
      <c r="C241">
        <f>Inputs!$B$3&gt;=75</f>
        <v/>
      </c>
      <c r="D241">
        <f>IF(Skills!C8=1,60+Inputs!$B$24+Inputs!$B$28,IF(Skills!C8=2,90+Inputs!$B$25+Inputs!$B$28,IF(Skills!C8=3,120+Inputs!$B$26+Inputs!$B$28,MAX(0,(Inputs!$B$3-100)*3)+Inputs!$B$27+Inputs!$B$28)))</f>
        <v/>
      </c>
      <c r="E241">
        <f>INDEX(FactorTable!$B$2:$Y$301, MATCH(ROUND(MIN(300,MAX(1,D241)),0), FactorTable!$A$2:$A$301,0), Skills!M8+1)</f>
        <v/>
      </c>
      <c r="F241">
        <f>IF(Skills!N8=TRUE,(Skills!L8/10)*(E241/1000),Skills!L8/10)+Skills!O8</f>
        <v/>
      </c>
      <c r="G241" t="inlineStr"/>
      <c r="H241" t="inlineStr"/>
      <c r="I241" t="inlineStr">
        <is>
          <t>1</t>
        </is>
      </c>
      <c r="J241" t="inlineStr"/>
      <c r="K241" t="inlineStr"/>
      <c r="L241" t="inlineStr"/>
      <c r="M241" t="inlineStr"/>
      <c r="N241" t="inlineStr"/>
      <c r="O241" t="inlineStr"/>
      <c r="P241" t="inlineStr"/>
      <c r="Q241" t="inlineStr"/>
      <c r="R241" t="inlineStr"/>
      <c r="S241" t="inlineStr"/>
    </row>
    <row r="242">
      <c r="A242">
        <f>Skills!A9</f>
        <v/>
      </c>
      <c r="B242">
        <f>Skills!B9</f>
        <v/>
      </c>
      <c r="C242">
        <f>Inputs!$B$3&gt;=60</f>
        <v/>
      </c>
      <c r="D242">
        <f>IF(Skills!C9=1,60+Inputs!$B$24+Inputs!$B$28,IF(Skills!C9=2,90+Inputs!$B$25+Inputs!$B$28,IF(Skills!C9=3,120+Inputs!$B$26+Inputs!$B$28,MAX(0,(Inputs!$B$3-100)*3)+Inputs!$B$27+Inputs!$B$28)))</f>
        <v/>
      </c>
      <c r="E242">
        <f>INDEX(FactorTable!$B$2:$Y$301, MATCH(ROUND(MIN(300,MAX(1,D242)),0), FactorTable!$A$2:$A$301,0), Skills!M9+1)</f>
        <v/>
      </c>
      <c r="F242">
        <f>IF(Skills!N9=TRUE,(Skills!L9/10)*(E242/1000),Skills!L9/10)+Skills!O9</f>
        <v/>
      </c>
      <c r="G242">
        <f>Skills!G9*IF(Skills!H9&gt;0,Skills!I9/Skills!H9,1)</f>
        <v/>
      </c>
      <c r="H242">
        <f>1-(1-Skills!J9/100)^Skills!K9</f>
        <v/>
      </c>
      <c r="I242" t="inlineStr">
        <is>
          <t>1</t>
        </is>
      </c>
      <c r="J242">
        <f>(Inputs!$B$5*(1+Inputs!$B$6/100))*(F242/100)</f>
        <v/>
      </c>
      <c r="K242">
        <f>J242*(1+((Inputs!$B$11*(1+Inputs!$B$12/100))*0.01+Inputs!$B$13*0.0025)/100)*(1+Inputs!$B$14/100)*(1+IF(Inputs!$B$4="pvp",0,(1-Summary!$B$55)*((Inputs!$B$19+1)+0+Skills!P9+((C250=TRUE)*F250*IF(AND(Inputs!$B$4&lt;&gt;"pvp",Inputs!$B$35&gt;0),(((S250-1)*(Skills!T17*(1+Inputs!$B$33/100))+MIN((Skills!T17*(1+Inputs!$B$33/100)),MAX(0,Inputs!$B$35-((S250-1)*Skills!D17))))/Inputs!$B$35),IF(Inputs!$B$4="pvp",MIN((Skills!T17*(1+Inputs!$B$33/100)),15)/15,(Skills!T17*(1+Inputs!$B$33/100))/Skills!D17)))+((C247=TRUE)*IF(Inputs!$B$4="pvp",20,(1-Summary!$B$55)*(20)+Summary!$B$55*(0))*IF(AND(Inputs!$B$4&lt;&gt;"pvp",Inputs!$B$35&gt;0),(((S247-1)*(Skills!T14*(1+Inputs!$B$33/100))+MIN((Skills!T14*(1+Inputs!$B$33/100)),MAX(0,Inputs!$B$35-((S247-1)*Skills!D14))))/Inputs!$B$35),IF(Inputs!$B$4="pvp",MIN((Skills!T14*(1+Inputs!$B$33/100)),15)/15,(Skills!T14*(1+Inputs!$B$33/100))/Skills!D14))))+Summary!$B$55*(Inputs!$B$20+Skills!Q9+((C250=TRUE)*F250*IF(AND(Inputs!$B$4&lt;&gt;"pvp",Inputs!$B$35&gt;0),(((S250-1)*(Skills!T17*(1+Inputs!$B$33/100))+MIN((Skills!T17*(1+Inputs!$B$33/100)),MAX(0,Inputs!$B$35-((S250-1)*Skills!D17))))/Inputs!$B$35),IF(Inputs!$B$4="pvp",MIN((Skills!T17*(1+Inputs!$B$33/100)),15)/15,(Skills!T17*(1+Inputs!$B$33/100))/Skills!D17)))))/100)*(1+Inputs!$B$15/100)*(5000/(6000+Inputs!$B$7*(1-(Inputs!$B$18+0)/100)))*(1+(Inputs!$B$23+((C258=TRUE)*(F258-Calc!F25))+((C259=TRUE)*(F259-Calc!F26))+B268)/100)*(1+1.0*IF(C244=TRUE,F244,0)/100)*(1+(IF(Skills!A9="DARK_IMPALE",Inputs!$B$16+0,Inputs!$B$17+((C256=TRUE)*(F256-Calc!F23))))/100)*((1+(((C246=TRUE)*F246*IF(AND(Inputs!$B$4&lt;&gt;"pvp",Inputs!$B$35&gt;0),(((S246-1)*(Skills!T13*(1+Inputs!$B$33/100))+MIN((Skills!T13*(1+Inputs!$B$33/100)),MAX(0,Inputs!$B$35-((S246-1)*Skills!D13))))/Inputs!$B$35),IF(Inputs!$B$4="pvp",MIN((Skills!T13*(1+Inputs!$B$33/100)),15)/15,(Skills!T13*(1+Inputs!$B$33/100))/Skills!D13)))+((C247=TRUE)*F247*IF(AND(Inputs!$B$4&lt;&gt;"pvp",Inputs!$B$35&gt;0),(((S247-1)*(Skills!T14*(1+Inputs!$B$33/100))+MIN((Skills!T14*(1+Inputs!$B$33/100)),MAX(0,Inputs!$B$35-((S247-1)*Skills!D14))))/Inputs!$B$35),IF(Inputs!$B$4="pvp",MIN((Skills!T14*(1+Inputs!$B$33/100)),15)/15,(Skills!T14*(1+Inputs!$B$33/100))/Skills!D14)))+((C248=TRUE)*F248*IF(AND(Inputs!$B$4&lt;&gt;"pvp",Inputs!$B$35&gt;0),(((S248-1)*(Skills!T15*(1+Inputs!$B$33/100))+MIN((Skills!T15*(1+Inputs!$B$33/100)),MAX(0,Inputs!$B$35-((S248-1)*Skills!D15))))/Inputs!$B$35),IF(Inputs!$B$4="pvp",MIN((Skills!T15*(1+Inputs!$B$33/100)),15)/15,(Skills!T15*(1+Inputs!$B$33/100))/Skills!D15)))+((C249=TRUE)*F249*IF(AND(Inputs!$B$4&lt;&gt;"pvp",Inputs!$B$35&gt;0),(((S249-1)*(Skills!T16*(1+Inputs!$B$33/100))+MIN((Skills!T16*(1+Inputs!$B$33/100)),MAX(0,Inputs!$B$35-((S249-1)*Skills!D16))))/Inputs!$B$35),IF(Inputs!$B$4="pvp",MIN((Skills!T16*(1+Inputs!$B$33/100)),15)/15,(Skills!T16*(1+Inputs!$B$33/100))/Skills!D16)))+0)/100)*I242)</f>
        <v/>
      </c>
      <c r="L242">
        <f>K242*(MIN(Inputs!$B$21+((C255=TRUE)*(F255-Calc!F22)),Inputs!$B$22+((C257=TRUE)*(F257-Calc!F24)))/100+(Inputs!$B$22+((C257=TRUE)*(F257-Calc!F24)))/100)/2</f>
        <v/>
      </c>
      <c r="M242">
        <f>L242*(1+(Inputs!$B$9+0+B267)/100)</f>
        <v/>
      </c>
      <c r="N242">
        <f>L242*(1-MIN((Inputs!$B$8+0+B262),100)/100)+M242*(MIN((Inputs!$B$8+0+B262),100)/100)</f>
        <v/>
      </c>
      <c r="O242">
        <f>IF(C242,H242*N242*IF(AND(Inputs!$B$4&lt;&gt;"pvp",Inputs!$B$35&gt;0),((Skills!G9*((R242-1)*IF(Skills!H9&gt;0,Skills!I9/Skills!H9,1)+IF(Skills!H9&gt;0,MIN(Skills!I9,MAX(0,Inputs!$B$35-((R242-1)*IF(Inputs!$B$4="pvp",15,MAX(0.1,Skills!D9-IF(Skills!E9=TRUE,Inputs!$B$31,0))))))/Skills!H9,1)))/Inputs!$B$35),G242*Q242)*IF(Inputs!$B$4="pvp",1,(1-Summary!$B$55)*(1)+Summary!$B$55*(MIN(Skills!R9,Inputs!$B$37))),0)</f>
        <v/>
      </c>
      <c r="P242">
        <f>IF(B270=0,0,O242/B270)</f>
        <v/>
      </c>
      <c r="Q242">
        <f>IFERROR(1/IF(Inputs!$B$4="pvp",15,MAX(0.1,Skills!D9-IF(Skills!E9=TRUE,Inputs!$B$31,0))),0)</f>
        <v/>
      </c>
      <c r="R242">
        <f>IF(AND(Inputs!$B$4&lt;&gt;"pvp",Inputs!$B$35&gt;0),(INT(Inputs!$B$35/IF(Inputs!$B$4="pvp",15,MAX(0.1,Skills!D9-IF(Skills!E9=TRUE,Inputs!$B$31,0))))+1),0)</f>
        <v/>
      </c>
      <c r="S242">
        <f>IFERROR(O242/N242,0)</f>
        <v/>
      </c>
    </row>
    <row r="243">
      <c r="A243">
        <f>Skills!A10</f>
        <v/>
      </c>
      <c r="B243">
        <f>Skills!B10</f>
        <v/>
      </c>
      <c r="C243">
        <f>Inputs!$B$3&gt;=110</f>
        <v/>
      </c>
      <c r="D243">
        <f>IF(Skills!C10=1,60+Inputs!$B$24+Inputs!$B$28,IF(Skills!C10=2,90+Inputs!$B$25+Inputs!$B$28,IF(Skills!C10=3,120+Inputs!$B$26+Inputs!$B$28,MAX(0,(Inputs!$B$3-100)*3)+Inputs!$B$27+Inputs!$B$28)))</f>
        <v/>
      </c>
      <c r="E243">
        <f>INDEX(FactorTable!$B$2:$Y$301, MATCH(ROUND(MIN(300,MAX(1,D243)),0), FactorTable!$A$2:$A$301,0), Skills!M10+1)</f>
        <v/>
      </c>
      <c r="F243">
        <f>IF(Skills!N10=TRUE,(Skills!L10/10)*(E243/1000),Skills!L10/10)+Skills!O10</f>
        <v/>
      </c>
      <c r="G243">
        <f>Skills!G10*IF(Skills!H10&gt;0,Skills!I10/Skills!H10,1)</f>
        <v/>
      </c>
      <c r="H243">
        <f>1-(1-Skills!J10/100)^Skills!K10</f>
        <v/>
      </c>
      <c r="I243" t="inlineStr">
        <is>
          <t>1</t>
        </is>
      </c>
      <c r="J243">
        <f>(Inputs!$B$5*(1+Inputs!$B$6/100))*(F243/100)</f>
        <v/>
      </c>
      <c r="K243">
        <f>J243*(1+((Inputs!$B$11*(1+Inputs!$B$12/100))*0.01+Inputs!$B$13*0.0025)/100)*(1+Inputs!$B$14/100)*(1+IF(Inputs!$B$4="pvp",0,(1-Summary!$B$55)*((Inputs!$B$19+1)+0+Skills!P10+((C250=TRUE)*F250*IF(AND(Inputs!$B$4&lt;&gt;"pvp",Inputs!$B$35&gt;0),(((S250-1)*(Skills!T17*(1+Inputs!$B$33/100))+MIN((Skills!T17*(1+Inputs!$B$33/100)),MAX(0,Inputs!$B$35-((S250-1)*Skills!D17))))/Inputs!$B$35),IF(Inputs!$B$4="pvp",MIN((Skills!T17*(1+Inputs!$B$33/100)),15)/15,(Skills!T17*(1+Inputs!$B$33/100))/Skills!D17)))+((C247=TRUE)*IF(Inputs!$B$4="pvp",20,(1-Summary!$B$55)*(20)+Summary!$B$55*(0))*IF(AND(Inputs!$B$4&lt;&gt;"pvp",Inputs!$B$35&gt;0),(((S247-1)*(Skills!T14*(1+Inputs!$B$33/100))+MIN((Skills!T14*(1+Inputs!$B$33/100)),MAX(0,Inputs!$B$35-((S247-1)*Skills!D14))))/Inputs!$B$35),IF(Inputs!$B$4="pvp",MIN((Skills!T14*(1+Inputs!$B$33/100)),15)/15,(Skills!T14*(1+Inputs!$B$33/100))/Skills!D14))))+Summary!$B$55*(Inputs!$B$20+Skills!Q10+((C250=TRUE)*F250*IF(AND(Inputs!$B$4&lt;&gt;"pvp",Inputs!$B$35&gt;0),(((S250-1)*(Skills!T17*(1+Inputs!$B$33/100))+MIN((Skills!T17*(1+Inputs!$B$33/100)),MAX(0,Inputs!$B$35-((S250-1)*Skills!D17))))/Inputs!$B$35),IF(Inputs!$B$4="pvp",MIN((Skills!T17*(1+Inputs!$B$33/100)),15)/15,(Skills!T17*(1+Inputs!$B$33/100))/Skills!D17)))))/100)*(1+Inputs!$B$15/100)*(5000/(6000+Inputs!$B$7*(1-(Inputs!$B$18+0)/100)))*(1+(Inputs!$B$23+((C258=TRUE)*(F258-Calc!F25))+((C259=TRUE)*(F259-Calc!F26))+B268)/100)*(1+(IF(Skills!A10="DARK_IMPALE",Inputs!$B$16+0,Inputs!$B$17+((C256=TRUE)*(F256-Calc!F23))))/100)*((1+(((C246=TRUE)*F246*IF(AND(Inputs!$B$4&lt;&gt;"pvp",Inputs!$B$35&gt;0),(((S246-1)*(Skills!T13*(1+Inputs!$B$33/100))+MIN((Skills!T13*(1+Inputs!$B$33/100)),MAX(0,Inputs!$B$35-((S246-1)*Skills!D13))))/Inputs!$B$35),IF(Inputs!$B$4="pvp",MIN((Skills!T13*(1+Inputs!$B$33/100)),15)/15,(Skills!T13*(1+Inputs!$B$33/100))/Skills!D13)))+((C247=TRUE)*F247*IF(AND(Inputs!$B$4&lt;&gt;"pvp",Inputs!$B$35&gt;0),(((S247-1)*(Skills!T14*(1+Inputs!$B$33/100))+MIN((Skills!T14*(1+Inputs!$B$33/100)),MAX(0,Inputs!$B$35-((S247-1)*Skills!D14))))/Inputs!$B$35),IF(Inputs!$B$4="pvp",MIN((Skills!T14*(1+Inputs!$B$33/100)),15)/15,(Skills!T14*(1+Inputs!$B$33/100))/Skills!D14)))+((C248=TRUE)*F248*IF(AND(Inputs!$B$4&lt;&gt;"pvp",Inputs!$B$35&gt;0),(((S248-1)*(Skills!T15*(1+Inputs!$B$33/100))+MIN((Skills!T15*(1+Inputs!$B$33/100)),MAX(0,Inputs!$B$35-((S248-1)*Skills!D15))))/Inputs!$B$35),IF(Inputs!$B$4="pvp",MIN((Skills!T15*(1+Inputs!$B$33/100)),15)/15,(Skills!T15*(1+Inputs!$B$33/100))/Skills!D15)))+((C249=TRUE)*F249*IF(AND(Inputs!$B$4&lt;&gt;"pvp",Inputs!$B$35&gt;0),(((S249-1)*(Skills!T16*(1+Inputs!$B$33/100))+MIN((Skills!T16*(1+Inputs!$B$33/100)),MAX(0,Inputs!$B$35-((S249-1)*Skills!D16))))/Inputs!$B$35),IF(Inputs!$B$4="pvp",MIN((Skills!T16*(1+Inputs!$B$33/100)),15)/15,(Skills!T16*(1+Inputs!$B$33/100))/Skills!D16)))+0)/100)*I243)</f>
        <v/>
      </c>
      <c r="L243">
        <f>K243*(MIN(Inputs!$B$21+((C255=TRUE)*(F255-Calc!F22)),Inputs!$B$22+((C257=TRUE)*(F257-Calc!F24)))/100+(Inputs!$B$22+((C257=TRUE)*(F257-Calc!F24)))/100)/2</f>
        <v/>
      </c>
      <c r="M243">
        <f>L243*(1+(Inputs!$B$9+0+B267)/100)</f>
        <v/>
      </c>
      <c r="N243">
        <f>L243*(1-MIN((Inputs!$B$8+0+B262),100)/100)+M243*(MIN((Inputs!$B$8+0+B262),100)/100)</f>
        <v/>
      </c>
      <c r="O243">
        <f>IF(C243,H243*N243*IF(AND(Inputs!$B$4&lt;&gt;"pvp",Inputs!$B$35&gt;0),((Skills!G10*((R243-1)*IF(Skills!H10&gt;0,Skills!I10/Skills!H10,1)+IF(Skills!H10&gt;0,MIN(Skills!I10,MAX(0,Inputs!$B$35-((R243-1)*IF(Inputs!$B$4="pvp",15,MAX(0.1,Skills!D10-IF(Skills!E10=TRUE,Inputs!$B$31,0))))))/Skills!H10,1)))/Inputs!$B$35),G243*Q243)*IF(Inputs!$B$4="pvp",1,(1-Summary!$B$55)*(1)+Summary!$B$55*(MIN(Skills!R10,Inputs!$B$37))),0)</f>
        <v/>
      </c>
      <c r="P243">
        <f>IF(B270=0,0,O243/B270)</f>
        <v/>
      </c>
      <c r="Q243">
        <f>IFERROR(1/IF(Inputs!$B$4="pvp",15,MAX(0.1,Skills!D10-IF(Skills!E10=TRUE,Inputs!$B$31,0))),0)</f>
        <v/>
      </c>
      <c r="R243">
        <f>IF(AND(Inputs!$B$4&lt;&gt;"pvp",Inputs!$B$35&gt;0),(INT(Inputs!$B$35/IF(Inputs!$B$4="pvp",15,MAX(0.1,Skills!D10-IF(Skills!E10=TRUE,Inputs!$B$31,0))))+1),0)</f>
        <v/>
      </c>
      <c r="S243">
        <f>IFERROR(O243/N243,0)</f>
        <v/>
      </c>
    </row>
    <row r="244">
      <c r="A244">
        <f>Skills!A11</f>
        <v/>
      </c>
      <c r="B244">
        <f>Skills!B11</f>
        <v/>
      </c>
      <c r="C244">
        <f>Inputs!$B$3&gt;=100</f>
        <v/>
      </c>
      <c r="D244">
        <f>IF(Skills!C11=1,60+Inputs!$B$24+Inputs!$B$28,IF(Skills!C11=2,90+Inputs!$B$25+Inputs!$B$28,IF(Skills!C11=3,120+Inputs!$B$26+Inputs!$B$28,MAX(0,(Inputs!$B$3-100)*3)+Inputs!$B$27+Inputs!$B$28)))</f>
        <v/>
      </c>
      <c r="E244">
        <f>INDEX(FactorTable!$B$2:$Y$301, MATCH(ROUND(MIN(300,MAX(1,D244)),0), FactorTable!$A$2:$A$301,0), Skills!M11+1)</f>
        <v/>
      </c>
      <c r="F244">
        <f>IF(Skills!N11=TRUE,(Skills!L11/10)*(E244/1000),Skills!L11/10)+Skills!O11</f>
        <v/>
      </c>
      <c r="G244" t="inlineStr"/>
      <c r="H244" t="inlineStr"/>
      <c r="I244" t="inlineStr">
        <is>
          <t>1</t>
        </is>
      </c>
      <c r="J244" t="inlineStr"/>
      <c r="K244" t="inlineStr"/>
      <c r="L244" t="inlineStr"/>
      <c r="M244" t="inlineStr"/>
      <c r="N244" t="inlineStr"/>
      <c r="O244" t="inlineStr"/>
      <c r="P244" t="inlineStr"/>
      <c r="Q244" t="inlineStr"/>
      <c r="R244" t="inlineStr"/>
      <c r="S244" t="inlineStr"/>
    </row>
    <row r="245">
      <c r="A245">
        <f>Skills!A12</f>
        <v/>
      </c>
      <c r="B245">
        <f>Skills!B12</f>
        <v/>
      </c>
      <c r="C245">
        <f>Inputs!$B$3&gt;=63</f>
        <v/>
      </c>
      <c r="D245">
        <f>IF(Skills!C12=1,60+Inputs!$B$24+Inputs!$B$28,IF(Skills!C12=2,90+Inputs!$B$25+Inputs!$B$28,IF(Skills!C12=3,120+Inputs!$B$26+Inputs!$B$28,MAX(0,(Inputs!$B$3-100)*3)+Inputs!$B$27+Inputs!$B$28)))</f>
        <v/>
      </c>
      <c r="E245">
        <f>INDEX(FactorTable!$B$2:$Y$301, MATCH(ROUND(MIN(300,MAX(1,D245)),0), FactorTable!$A$2:$A$301,0), Skills!M12+1)</f>
        <v/>
      </c>
      <c r="F245">
        <f>IF(Skills!N12=TRUE,(Skills!L12/10)*(E245/1000),Skills!L12/10)+Skills!O12</f>
        <v/>
      </c>
      <c r="G245">
        <f>Skills!G12*IF(Skills!H12&gt;0,Skills!I12/Skills!H12,1)</f>
        <v/>
      </c>
      <c r="H245">
        <f>1-(1-Skills!J12/100)^Skills!K12</f>
        <v/>
      </c>
      <c r="I245" t="inlineStr">
        <is>
          <t>1</t>
        </is>
      </c>
      <c r="J245">
        <f>(Inputs!$B$5*(1+Inputs!$B$6/100))*(F245/100)</f>
        <v/>
      </c>
      <c r="K245">
        <f>J245*(1+((Inputs!$B$11*(1+Inputs!$B$12/100))*0.01+Inputs!$B$13*0.0025)/100)*(1+Inputs!$B$14/100)*(1+IF(Inputs!$B$4="pvp",0,(1-Summary!$B$55)*((Inputs!$B$19+1)+0+Skills!P12+((C250=TRUE)*F250*IF(AND(Inputs!$B$4&lt;&gt;"pvp",Inputs!$B$35&gt;0),(((S250-1)*(Skills!T17*(1+Inputs!$B$33/100))+MIN((Skills!T17*(1+Inputs!$B$33/100)),MAX(0,Inputs!$B$35-((S250-1)*Skills!D17))))/Inputs!$B$35),IF(Inputs!$B$4="pvp",MIN((Skills!T17*(1+Inputs!$B$33/100)),15)/15,(Skills!T17*(1+Inputs!$B$33/100))/Skills!D17)))+((C247=TRUE)*IF(Inputs!$B$4="pvp",20,(1-Summary!$B$55)*(20)+Summary!$B$55*(0))*IF(AND(Inputs!$B$4&lt;&gt;"pvp",Inputs!$B$35&gt;0),(((S247-1)*(Skills!T14*(1+Inputs!$B$33/100))+MIN((Skills!T14*(1+Inputs!$B$33/100)),MAX(0,Inputs!$B$35-((S247-1)*Skills!D14))))/Inputs!$B$35),IF(Inputs!$B$4="pvp",MIN((Skills!T14*(1+Inputs!$B$33/100)),15)/15,(Skills!T14*(1+Inputs!$B$33/100))/Skills!D14))))+Summary!$B$55*(Inputs!$B$20+Skills!Q12+((C250=TRUE)*F250*IF(AND(Inputs!$B$4&lt;&gt;"pvp",Inputs!$B$35&gt;0),(((S250-1)*(Skills!T17*(1+Inputs!$B$33/100))+MIN((Skills!T17*(1+Inputs!$B$33/100)),MAX(0,Inputs!$B$35-((S250-1)*Skills!D17))))/Inputs!$B$35),IF(Inputs!$B$4="pvp",MIN((Skills!T17*(1+Inputs!$B$33/100)),15)/15,(Skills!T17*(1+Inputs!$B$33/100))/Skills!D17)))))/100)*(1+Inputs!$B$15/100)*(5000/(6000+Inputs!$B$7*(1-(Inputs!$B$18+0)/100)))*(1+(Inputs!$B$23+((C258=TRUE)*(F258-Calc!F25))+((C259=TRUE)*(F259-Calc!F26))+B268)/100)*(1+0.75*IF(C244=TRUE,F244,0)/100)*(1+(IF(Skills!A12="DARK_IMPALE",Inputs!$B$16+0,Inputs!$B$17+((C256=TRUE)*(F256-Calc!F23))))/100)*((1+(((C246=TRUE)*F246*IF(AND(Inputs!$B$4&lt;&gt;"pvp",Inputs!$B$35&gt;0),(((S246-1)*(Skills!T13*(1+Inputs!$B$33/100))+MIN((Skills!T13*(1+Inputs!$B$33/100)),MAX(0,Inputs!$B$35-((S246-1)*Skills!D13))))/Inputs!$B$35),IF(Inputs!$B$4="pvp",MIN((Skills!T13*(1+Inputs!$B$33/100)),15)/15,(Skills!T13*(1+Inputs!$B$33/100))/Skills!D13)))+((C247=TRUE)*F247*IF(AND(Inputs!$B$4&lt;&gt;"pvp",Inputs!$B$35&gt;0),(((S247-1)*(Skills!T14*(1+Inputs!$B$33/100))+MIN((Skills!T14*(1+Inputs!$B$33/100)),MAX(0,Inputs!$B$35-((S247-1)*Skills!D14))))/Inputs!$B$35),IF(Inputs!$B$4="pvp",MIN((Skills!T14*(1+Inputs!$B$33/100)),15)/15,(Skills!T14*(1+Inputs!$B$33/100))/Skills!D14)))+((C248=TRUE)*F248*IF(AND(Inputs!$B$4&lt;&gt;"pvp",Inputs!$B$35&gt;0),(((S248-1)*(Skills!T15*(1+Inputs!$B$33/100))+MIN((Skills!T15*(1+Inputs!$B$33/100)),MAX(0,Inputs!$B$35-((S248-1)*Skills!D15))))/Inputs!$B$35),IF(Inputs!$B$4="pvp",MIN((Skills!T15*(1+Inputs!$B$33/100)),15)/15,(Skills!T15*(1+Inputs!$B$33/100))/Skills!D15)))+((C249=TRUE)*F249*IF(AND(Inputs!$B$4&lt;&gt;"pvp",Inputs!$B$35&gt;0),(((S249-1)*(Skills!T16*(1+Inputs!$B$33/100))+MIN((Skills!T16*(1+Inputs!$B$33/100)),MAX(0,Inputs!$B$35-((S249-1)*Skills!D16))))/Inputs!$B$35),IF(Inputs!$B$4="pvp",MIN((Skills!T16*(1+Inputs!$B$33/100)),15)/15,(Skills!T16*(1+Inputs!$B$33/100))/Skills!D16)))+0)/100)*I245)</f>
        <v/>
      </c>
      <c r="L245">
        <f>K245*(MIN(Inputs!$B$21+((C255=TRUE)*(F255-Calc!F22)),Inputs!$B$22+((C257=TRUE)*(F257-Calc!F24)))/100+(Inputs!$B$22+((C257=TRUE)*(F257-Calc!F24)))/100)/2</f>
        <v/>
      </c>
      <c r="M245">
        <f>L245*(1+(Inputs!$B$9+0+B267)/100)</f>
        <v/>
      </c>
      <c r="N245">
        <f>L245*(1-MIN((Inputs!$B$8+0+B262),100)/100)+M245*(MIN((Inputs!$B$8+0+B262),100)/100)</f>
        <v/>
      </c>
      <c r="O245">
        <f>IF(C245,H245*N245*IF(AND(Inputs!$B$4&lt;&gt;"pvp",Inputs!$B$35&gt;0),((Skills!G12*((R245-1)*IF(Skills!H12&gt;0,Skills!I12/Skills!H12,1)+IF(Skills!H12&gt;0,MIN(Skills!I12,MAX(0,Inputs!$B$35-((R245-1)*IF(Inputs!$B$4="pvp",15,MAX(0.1,Skills!D12-IF(Skills!E12=TRUE,Inputs!$B$31,0))))))/Skills!H12,1)))/Inputs!$B$35),G245*Q245)*IF(Inputs!$B$4="pvp",1,(1-Summary!$B$55)*(1)+Summary!$B$55*(MIN(Skills!R12,Inputs!$B$37))),0)</f>
        <v/>
      </c>
      <c r="P245">
        <f>IF(B270=0,0,O245/B270)</f>
        <v/>
      </c>
      <c r="Q245">
        <f>IFERROR(1/IF(Inputs!$B$4="pvp",15,MAX(0.1,Skills!D12-IF(Skills!E12=TRUE,Inputs!$B$31,0))),0)</f>
        <v/>
      </c>
      <c r="R245">
        <f>IF(AND(Inputs!$B$4&lt;&gt;"pvp",Inputs!$B$35&gt;0),(INT(Inputs!$B$35/IF(Inputs!$B$4="pvp",15,MAX(0.1,Skills!D12-IF(Skills!E12=TRUE,Inputs!$B$31,0))))+1),0)</f>
        <v/>
      </c>
      <c r="S245">
        <f>IFERROR(O245/N245,0)</f>
        <v/>
      </c>
    </row>
    <row r="246">
      <c r="A246">
        <f>Skills!A13</f>
        <v/>
      </c>
      <c r="B246">
        <f>Skills!B13</f>
        <v/>
      </c>
      <c r="C246">
        <f>Inputs!$B$3&gt;=69</f>
        <v/>
      </c>
      <c r="D246">
        <f>IF(Skills!C13=1,60+Inputs!$B$24+Inputs!$B$28,IF(Skills!C13=2,90+Inputs!$B$25+Inputs!$B$28,IF(Skills!C13=3,120+Inputs!$B$26+Inputs!$B$28,MAX(0,(Inputs!$B$3-100)*3)+Inputs!$B$27+Inputs!$B$28)))</f>
        <v/>
      </c>
      <c r="E246">
        <f>INDEX(FactorTable!$B$2:$Y$301, MATCH(ROUND(MIN(300,MAX(1,D246)),0), FactorTable!$A$2:$A$301,0), Skills!M13+1)</f>
        <v/>
      </c>
      <c r="F246">
        <f>IF(Skills!N13=TRUE,(Skills!L13/10)*(E246/1000),Skills!L13/10)+Skills!O13</f>
        <v/>
      </c>
      <c r="G246">
        <f>Skills!G13*IF(Skills!H13&gt;0,Skills!I13/Skills!H13,1)</f>
        <v/>
      </c>
      <c r="H246">
        <f>1-(1-Skills!J13/100)^Skills!K13</f>
        <v/>
      </c>
      <c r="I246" t="inlineStr">
        <is>
          <t>1</t>
        </is>
      </c>
      <c r="J246" t="inlineStr"/>
      <c r="K246" t="inlineStr"/>
      <c r="L246" t="inlineStr"/>
      <c r="M246" t="inlineStr"/>
      <c r="N246" t="inlineStr"/>
      <c r="O246" t="n">
        <v>0</v>
      </c>
      <c r="P246">
        <f>IF(B270=0,0,O246/B270)</f>
        <v/>
      </c>
      <c r="Q246">
        <f>IFERROR(1/IF(Inputs!$B$4="pvp",15,MAX(0.1,Skills!D13-IF(Skills!E13=TRUE,Inputs!$B$31,0))),0)</f>
        <v/>
      </c>
      <c r="R246">
        <f>IF(AND(Inputs!$B$4&lt;&gt;"pvp",Inputs!$B$35&gt;0),(INT(Inputs!$B$35/IF(Inputs!$B$4="pvp",15,MAX(0.1,Skills!D13-IF(Skills!E13=TRUE,Inputs!$B$31,0))))+1),0)</f>
        <v/>
      </c>
      <c r="S246">
        <f>IFERROR(O246/N246,0)</f>
        <v/>
      </c>
    </row>
    <row r="247">
      <c r="A247">
        <f>Skills!A14</f>
        <v/>
      </c>
      <c r="B247">
        <f>Skills!B14</f>
        <v/>
      </c>
      <c r="C247">
        <f>Inputs!$B$3&gt;=115</f>
        <v/>
      </c>
      <c r="D247">
        <f>IF(Skills!C14=1,60+Inputs!$B$24+Inputs!$B$28,IF(Skills!C14=2,90+Inputs!$B$25+Inputs!$B$28,IF(Skills!C14=3,120+Inputs!$B$26+Inputs!$B$28,MAX(0,(Inputs!$B$3-100)*3)+Inputs!$B$27+Inputs!$B$28)))</f>
        <v/>
      </c>
      <c r="E247">
        <f>INDEX(FactorTable!$B$2:$Y$301, MATCH(ROUND(MIN(300,MAX(1,D247)),0), FactorTable!$A$2:$A$301,0), Skills!M14+1)</f>
        <v/>
      </c>
      <c r="F247">
        <f>IF(Skills!N14=TRUE,(Skills!L14/10)*(E247/1000),Skills!L14/10)+Skills!O14</f>
        <v/>
      </c>
      <c r="G247">
        <f>Skills!G14*IF(Skills!H14&gt;0,Skills!I14/Skills!H14,1)</f>
        <v/>
      </c>
      <c r="H247">
        <f>1-(1-Skills!J14/100)^Skills!K14</f>
        <v/>
      </c>
      <c r="I247" t="inlineStr">
        <is>
          <t>1</t>
        </is>
      </c>
      <c r="J247" t="inlineStr"/>
      <c r="K247" t="inlineStr"/>
      <c r="L247" t="inlineStr"/>
      <c r="M247" t="inlineStr"/>
      <c r="N247" t="inlineStr"/>
      <c r="O247" t="n">
        <v>0</v>
      </c>
      <c r="P247">
        <f>IF(B270=0,0,O247/B270)</f>
        <v/>
      </c>
      <c r="Q247">
        <f>IFERROR(1/IF(Inputs!$B$4="pvp",15,MAX(0.1,Skills!D14-IF(Skills!E14=TRUE,Inputs!$B$31,0))),0)</f>
        <v/>
      </c>
      <c r="R247">
        <f>IF(AND(Inputs!$B$4&lt;&gt;"pvp",Inputs!$B$35&gt;0),(INT(Inputs!$B$35/IF(Inputs!$B$4="pvp",15,MAX(0.1,Skills!D14-IF(Skills!E14=TRUE,Inputs!$B$31,0))))+1),0)</f>
        <v/>
      </c>
      <c r="S247">
        <f>IFERROR(O247/N247,0)</f>
        <v/>
      </c>
    </row>
    <row r="248">
      <c r="A248">
        <f>Skills!A15</f>
        <v/>
      </c>
      <c r="B248">
        <f>Skills!B15</f>
        <v/>
      </c>
      <c r="C248">
        <f>Inputs!$B$3&gt;=66</f>
        <v/>
      </c>
      <c r="D248">
        <f>IF(Skills!C15=1,60+Inputs!$B$24+Inputs!$B$28,IF(Skills!C15=2,90+Inputs!$B$25+Inputs!$B$28,IF(Skills!C15=3,120+Inputs!$B$26+Inputs!$B$28,MAX(0,(Inputs!$B$3-100)*3)+Inputs!$B$27+Inputs!$B$28)))</f>
        <v/>
      </c>
      <c r="E248">
        <f>INDEX(FactorTable!$B$2:$Y$301, MATCH(ROUND(MIN(300,MAX(1,D248)),0), FactorTable!$A$2:$A$301,0), Skills!M15+1)</f>
        <v/>
      </c>
      <c r="F248">
        <f>IF(Skills!N15=TRUE,(Skills!L15/10)*(E248/1000),Skills!L15/10)+Skills!O15</f>
        <v/>
      </c>
      <c r="G248">
        <f>Skills!G15*IF(Skills!H15&gt;0,Skills!I15/Skills!H15,1)</f>
        <v/>
      </c>
      <c r="H248">
        <f>1-(1-Skills!J15/100)^Skills!K15</f>
        <v/>
      </c>
      <c r="I248" t="inlineStr">
        <is>
          <t>1</t>
        </is>
      </c>
      <c r="J248" t="inlineStr"/>
      <c r="K248" t="inlineStr"/>
      <c r="L248" t="inlineStr"/>
      <c r="M248" t="inlineStr"/>
      <c r="N248" t="inlineStr"/>
      <c r="O248" t="n">
        <v>0</v>
      </c>
      <c r="P248">
        <f>IF(B270=0,0,O248/B270)</f>
        <v/>
      </c>
      <c r="Q248">
        <f>IFERROR(1/IF(Inputs!$B$4="pvp",15,MAX(0.1,Skills!D15-IF(Skills!E15=TRUE,Inputs!$B$31,0))),0)</f>
        <v/>
      </c>
      <c r="R248">
        <f>IF(AND(Inputs!$B$4&lt;&gt;"pvp",Inputs!$B$35&gt;0),(INT(Inputs!$B$35/IF(Inputs!$B$4="pvp",15,MAX(0.1,Skills!D15-IF(Skills!E15=TRUE,Inputs!$B$31,0))))+1),0)</f>
        <v/>
      </c>
      <c r="S248">
        <f>IFERROR(O248/N248,0)</f>
        <v/>
      </c>
    </row>
    <row r="249">
      <c r="A249">
        <f>Skills!A16</f>
        <v/>
      </c>
      <c r="B249">
        <f>Skills!B16</f>
        <v/>
      </c>
      <c r="C249">
        <f>Inputs!$B$3&gt;=45</f>
        <v/>
      </c>
      <c r="D249">
        <f>IF(Skills!C16=1,60+Inputs!$B$24+Inputs!$B$28,IF(Skills!C16=2,90+Inputs!$B$25+Inputs!$B$28,IF(Skills!C16=3,120+Inputs!$B$26+Inputs!$B$28,MAX(0,(Inputs!$B$3-100)*3)+Inputs!$B$27+Inputs!$B$28)))</f>
        <v/>
      </c>
      <c r="E249">
        <f>INDEX(FactorTable!$B$2:$Y$301, MATCH(ROUND(MIN(300,MAX(1,D249)),0), FactorTable!$A$2:$A$301,0), Skills!M16+1)</f>
        <v/>
      </c>
      <c r="F249">
        <f>IF(Skills!N16=TRUE,(Skills!L16/10)*(E249/1000),Skills!L16/10)+Skills!O16</f>
        <v/>
      </c>
      <c r="G249">
        <f>Skills!G16*IF(Skills!H16&gt;0,Skills!I16/Skills!H16,1)</f>
        <v/>
      </c>
      <c r="H249">
        <f>1-(1-Skills!J16/100)^Skills!K16</f>
        <v/>
      </c>
      <c r="I249" t="inlineStr">
        <is>
          <t>1</t>
        </is>
      </c>
      <c r="J249" t="inlineStr"/>
      <c r="K249" t="inlineStr"/>
      <c r="L249" t="inlineStr"/>
      <c r="M249" t="inlineStr"/>
      <c r="N249" t="inlineStr"/>
      <c r="O249" t="n">
        <v>0</v>
      </c>
      <c r="P249">
        <f>IF(B270=0,0,O249/B270)</f>
        <v/>
      </c>
      <c r="Q249">
        <f>IFERROR(1/IF(Inputs!$B$4="pvp",15,MAX(0.1,Skills!D16-IF(Skills!E16=TRUE,Inputs!$B$31,0))),0)</f>
        <v/>
      </c>
      <c r="R249">
        <f>IF(AND(Inputs!$B$4&lt;&gt;"pvp",Inputs!$B$35&gt;0),(INT(Inputs!$B$35/IF(Inputs!$B$4="pvp",15,MAX(0.1,Skills!D16-IF(Skills!E16=TRUE,Inputs!$B$31,0))))+1),0)</f>
        <v/>
      </c>
      <c r="S249">
        <f>IFERROR(O249/N249,0)</f>
        <v/>
      </c>
    </row>
    <row r="250">
      <c r="A250">
        <f>Skills!A17</f>
        <v/>
      </c>
      <c r="B250">
        <f>Skills!B17</f>
        <v/>
      </c>
      <c r="C250">
        <f>Inputs!$B$3&gt;=35</f>
        <v/>
      </c>
      <c r="D250">
        <f>IF(Skills!C17=1,60+Inputs!$B$24+Inputs!$B$28,IF(Skills!C17=2,90+Inputs!$B$25+Inputs!$B$28,IF(Skills!C17=3,120+Inputs!$B$26+Inputs!$B$28,MAX(0,(Inputs!$B$3-100)*3)+Inputs!$B$27+Inputs!$B$28)))</f>
        <v/>
      </c>
      <c r="E250">
        <f>INDEX(FactorTable!$B$2:$Y$301, MATCH(ROUND(MIN(300,MAX(1,D250)),0), FactorTable!$A$2:$A$301,0), Skills!M17+1)</f>
        <v/>
      </c>
      <c r="F250">
        <f>IF(Skills!N17=TRUE,(Skills!L17/10)*(E250/1000),Skills!L17/10)+Skills!O17</f>
        <v/>
      </c>
      <c r="G250">
        <f>Skills!G17*IF(Skills!H17&gt;0,Skills!I17/Skills!H17,1)</f>
        <v/>
      </c>
      <c r="H250">
        <f>1-(1-Skills!J17/100)^Skills!K17</f>
        <v/>
      </c>
      <c r="I250" t="inlineStr">
        <is>
          <t>1</t>
        </is>
      </c>
      <c r="J250" t="inlineStr"/>
      <c r="K250" t="inlineStr"/>
      <c r="L250" t="inlineStr"/>
      <c r="M250" t="inlineStr"/>
      <c r="N250" t="inlineStr"/>
      <c r="O250" t="n">
        <v>0</v>
      </c>
      <c r="P250">
        <f>IF(B270=0,0,O250/B270)</f>
        <v/>
      </c>
      <c r="Q250">
        <f>IFERROR(1/IF(Inputs!$B$4="pvp",15,MAX(0.1,Skills!D17-IF(Skills!E17=TRUE,Inputs!$B$31,0))),0)</f>
        <v/>
      </c>
      <c r="R250">
        <f>IF(AND(Inputs!$B$4&lt;&gt;"pvp",Inputs!$B$35&gt;0),(INT(Inputs!$B$35/IF(Inputs!$B$4="pvp",15,MAX(0.1,Skills!D17-IF(Skills!E17=TRUE,Inputs!$B$31,0))))+1),0)</f>
        <v/>
      </c>
      <c r="S250">
        <f>IFERROR(O250/N250,0)</f>
        <v/>
      </c>
    </row>
    <row r="251">
      <c r="A251">
        <f>Skills!A18</f>
        <v/>
      </c>
      <c r="B251">
        <f>Skills!B18</f>
        <v/>
      </c>
      <c r="C251">
        <f>Inputs!$B$3&gt;=72</f>
        <v/>
      </c>
      <c r="D251">
        <f>IF(Skills!C18=1,60+Inputs!$B$24+Inputs!$B$28,IF(Skills!C18=2,90+Inputs!$B$25+Inputs!$B$28,IF(Skills!C18=3,120+Inputs!$B$26+Inputs!$B$28,MAX(0,(Inputs!$B$3-100)*3)+Inputs!$B$27+Inputs!$B$28)))</f>
        <v/>
      </c>
      <c r="E251">
        <f>INDEX(FactorTable!$B$2:$Y$301, MATCH(ROUND(MIN(300,MAX(1,D251)),0), FactorTable!$A$2:$A$301,0), Skills!M18+1)</f>
        <v/>
      </c>
      <c r="F251">
        <f>IF(Skills!N18=TRUE,(Skills!L18/10)*(E251/1000),Skills!L18/10)+Skills!O18</f>
        <v/>
      </c>
      <c r="G251">
        <f>Skills!G18*IF(Skills!H18&gt;0,Skills!I18/Skills!H18,1)</f>
        <v/>
      </c>
      <c r="H251">
        <f>1-(1-Skills!J18/100)^Skills!K18</f>
        <v/>
      </c>
      <c r="I251" t="inlineStr">
        <is>
          <t>1</t>
        </is>
      </c>
      <c r="J251" t="inlineStr"/>
      <c r="K251" t="inlineStr"/>
      <c r="L251" t="inlineStr"/>
      <c r="M251" t="inlineStr"/>
      <c r="N251" t="inlineStr"/>
      <c r="O251" t="n">
        <v>0</v>
      </c>
      <c r="P251">
        <f>IF(B270=0,0,O251/B270)</f>
        <v/>
      </c>
      <c r="Q251">
        <f>IFERROR(1/IF(Inputs!$B$4="pvp",15,MAX(0.1,Skills!D18-IF(Skills!E18=TRUE,Inputs!$B$31,0))),0)</f>
        <v/>
      </c>
      <c r="R251">
        <f>IF(AND(Inputs!$B$4&lt;&gt;"pvp",Inputs!$B$35&gt;0),(INT(Inputs!$B$35/IF(Inputs!$B$4="pvp",15,MAX(0.1,Skills!D18-IF(Skills!E18=TRUE,Inputs!$B$31,0))))+1),0)</f>
        <v/>
      </c>
      <c r="S251">
        <f>IFERROR(O251/N251,0)</f>
        <v/>
      </c>
    </row>
    <row r="252">
      <c r="A252">
        <f>Skills!A19</f>
        <v/>
      </c>
      <c r="B252">
        <f>Skills!B19</f>
        <v/>
      </c>
      <c r="C252">
        <f>Inputs!$B$3&gt;=72</f>
        <v/>
      </c>
      <c r="D252">
        <f>IF(Skills!C19=1,60+Inputs!$B$24+Inputs!$B$28,IF(Skills!C19=2,90+Inputs!$B$25+Inputs!$B$28,IF(Skills!C19=3,120+Inputs!$B$26+Inputs!$B$28,MAX(0,(Inputs!$B$3-100)*3)+Inputs!$B$27+Inputs!$B$28)))</f>
        <v/>
      </c>
      <c r="E252">
        <f>INDEX(FactorTable!$B$2:$Y$301, MATCH(ROUND(MIN(300,MAX(1,D252)),0), FactorTable!$A$2:$A$301,0), Skills!M19+1)</f>
        <v/>
      </c>
      <c r="F252">
        <f>IF(Skills!N19=TRUE,(Skills!L19/10)*(E252/1000),Skills!L19/10)+Skills!O19</f>
        <v/>
      </c>
      <c r="G252">
        <f>Skills!G19*IF(Skills!H19&gt;0,Skills!I19/Skills!H19,1)</f>
        <v/>
      </c>
      <c r="H252">
        <f>1-(1-Skills!J19/100)^Skills!K19</f>
        <v/>
      </c>
      <c r="I252" t="inlineStr">
        <is>
          <t>1</t>
        </is>
      </c>
      <c r="J252" t="inlineStr"/>
      <c r="K252" t="inlineStr"/>
      <c r="L252" t="inlineStr"/>
      <c r="M252" t="inlineStr"/>
      <c r="N252" t="inlineStr"/>
      <c r="O252" t="n">
        <v>0</v>
      </c>
      <c r="P252">
        <f>IF(B270=0,0,O252/B270)</f>
        <v/>
      </c>
      <c r="Q252">
        <f>IFERROR(1/IF(Inputs!$B$4="pvp",15,MAX(0.1,Skills!D19-IF(Skills!E19=TRUE,Inputs!$B$31,0))),0)</f>
        <v/>
      </c>
      <c r="R252">
        <f>IF(AND(Inputs!$B$4&lt;&gt;"pvp",Inputs!$B$35&gt;0),(INT(Inputs!$B$35/IF(Inputs!$B$4="pvp",15,MAX(0.1,Skills!D19-IF(Skills!E19=TRUE,Inputs!$B$31,0))))+1),0)</f>
        <v/>
      </c>
      <c r="S252">
        <f>IFERROR(O252/N252,0)</f>
        <v/>
      </c>
    </row>
    <row r="253">
      <c r="A253">
        <f>Skills!A20</f>
        <v/>
      </c>
      <c r="B253">
        <f>Skills!B20</f>
        <v/>
      </c>
      <c r="C253">
        <f>TRUE</f>
        <v/>
      </c>
      <c r="D253">
        <f>IF(Skills!C20=1,60+Inputs!$B$24+Inputs!$B$28,IF(Skills!C20=2,90+Inputs!$B$25+Inputs!$B$28,IF(Skills!C20=3,120+Inputs!$B$26+Inputs!$B$28,MAX(0,(Inputs!$B$3-100)*3)+Inputs!$B$27+Inputs!$B$28)))</f>
        <v/>
      </c>
      <c r="E253">
        <f>INDEX(FactorTable!$B$2:$Y$301, MATCH(ROUND(MIN(300,MAX(1,D253)),0), FactorTable!$A$2:$A$301,0), Skills!M20+1)</f>
        <v/>
      </c>
      <c r="F253">
        <f>IF(Skills!N20=TRUE,(Skills!L20/10)*(E253/1000),Skills!L20/10)+Skills!O20</f>
        <v/>
      </c>
      <c r="G253">
        <f>Skills!G20*IF(Skills!H20&gt;0,Skills!I20/Skills!H20,1)</f>
        <v/>
      </c>
      <c r="H253">
        <f>1-(1-Skills!J20/100)^Skills!K20</f>
        <v/>
      </c>
      <c r="I253" t="inlineStr">
        <is>
          <t>1</t>
        </is>
      </c>
      <c r="J253" t="inlineStr"/>
      <c r="K253" t="inlineStr"/>
      <c r="L253" t="inlineStr"/>
      <c r="M253" t="inlineStr"/>
      <c r="N253" t="inlineStr"/>
      <c r="O253" t="n">
        <v>0</v>
      </c>
      <c r="P253">
        <f>IF(B270=0,0,O253/B270)</f>
        <v/>
      </c>
      <c r="Q253">
        <f>IFERROR(1/IF(Inputs!$B$4="pvp",15,MAX(0.1,Skills!D20-IF(Skills!E20=TRUE,Inputs!$B$31,0))),0)</f>
        <v/>
      </c>
      <c r="R253">
        <f>IF(AND(Inputs!$B$4&lt;&gt;"pvp",Inputs!$B$35&gt;0),(INT(Inputs!$B$35/IF(Inputs!$B$4="pvp",15,MAX(0.1,Skills!D20-IF(Skills!E20=TRUE,Inputs!$B$31,0))))+1),0)</f>
        <v/>
      </c>
      <c r="S253">
        <f>IFERROR(O253/N253,0)</f>
        <v/>
      </c>
    </row>
    <row r="254">
      <c r="A254">
        <f>Skills!A21</f>
        <v/>
      </c>
      <c r="B254">
        <f>Skills!B21</f>
        <v/>
      </c>
      <c r="C254">
        <f>Inputs!$B$3&gt;=33</f>
        <v/>
      </c>
      <c r="D254">
        <f>IF(Skills!C21=1,60+Inputs!$B$24+Inputs!$B$28,IF(Skills!C21=2,90+Inputs!$B$25+Inputs!$B$28,IF(Skills!C21=3,120+Inputs!$B$26+Inputs!$B$28,MAX(0,(Inputs!$B$3-100)*3)+Inputs!$B$27+Inputs!$B$28)))</f>
        <v/>
      </c>
      <c r="E254">
        <f>INDEX(FactorTable!$B$2:$Y$301, MATCH(ROUND(MIN(300,MAX(1,D254)),0), FactorTable!$A$2:$A$301,0), Skills!M21+1)</f>
        <v/>
      </c>
      <c r="F254">
        <f>IF(Skills!N21=TRUE,(Skills!L21/10)*(E254/1000),Skills!L21/10)+Skills!O21</f>
        <v/>
      </c>
      <c r="G254">
        <f>Skills!G21*IF(Skills!H21&gt;0,Skills!I21/Skills!H21,1)</f>
        <v/>
      </c>
      <c r="H254">
        <f>1-(1-Skills!J21/100)^Skills!K21</f>
        <v/>
      </c>
      <c r="I254" t="inlineStr">
        <is>
          <t>1</t>
        </is>
      </c>
      <c r="J254" t="inlineStr"/>
      <c r="K254" t="inlineStr"/>
      <c r="L254" t="inlineStr"/>
      <c r="M254" t="inlineStr"/>
      <c r="N254" t="inlineStr"/>
      <c r="O254" t="n">
        <v>0</v>
      </c>
      <c r="P254">
        <f>IF(B270=0,0,O254/B270)</f>
        <v/>
      </c>
      <c r="Q254" t="n">
        <v>0</v>
      </c>
      <c r="R254" t="n">
        <v>0</v>
      </c>
      <c r="S254">
        <f>IFERROR(O254/N254,0)</f>
        <v/>
      </c>
    </row>
    <row r="255">
      <c r="A255">
        <f>Skills!A22</f>
        <v/>
      </c>
      <c r="B255">
        <f>Skills!B22</f>
        <v/>
      </c>
      <c r="C255">
        <f>Inputs!$B$3&gt;=43</f>
        <v/>
      </c>
      <c r="D255">
        <f>IF(Skills!C22=1,60+Inputs!$B$24+Inputs!$B$28,IF(Skills!C22=2,90+Inputs!$B$25+Inputs!$B$28,IF(Skills!C22=3,120+Inputs!$B$26+Inputs!$B$28,MAX(0,(Inputs!$B$3-100)*3)+Inputs!$B$27+Inputs!$B$28)))</f>
        <v/>
      </c>
      <c r="E255">
        <f>INDEX(FactorTable!$B$2:$Y$301, MATCH(ROUND(MIN(300,MAX(1,D255)),0), FactorTable!$A$2:$A$301,0), Skills!M22+1)</f>
        <v/>
      </c>
      <c r="F255">
        <f>IF(Skills!N22=TRUE,(Skills!L22/10)*(E255/1000),Skills!L22/10)+Skills!O22</f>
        <v/>
      </c>
      <c r="G255">
        <f>Skills!G22*IF(Skills!H22&gt;0,Skills!I22/Skills!H22,1)</f>
        <v/>
      </c>
      <c r="H255">
        <f>1-(1-Skills!J22/100)^Skills!K22</f>
        <v/>
      </c>
      <c r="I255" t="inlineStr">
        <is>
          <t>1</t>
        </is>
      </c>
      <c r="J255" t="inlineStr"/>
      <c r="K255" t="inlineStr"/>
      <c r="L255" t="inlineStr"/>
      <c r="M255" t="inlineStr"/>
      <c r="N255" t="inlineStr"/>
      <c r="O255" t="n">
        <v>0</v>
      </c>
      <c r="P255">
        <f>IF(B270=0,0,O255/B270)</f>
        <v/>
      </c>
      <c r="Q255" t="n">
        <v>0</v>
      </c>
      <c r="R255" t="n">
        <v>0</v>
      </c>
      <c r="S255">
        <f>IFERROR(O255/N255,0)</f>
        <v/>
      </c>
    </row>
    <row r="256">
      <c r="A256">
        <f>Skills!A23</f>
        <v/>
      </c>
      <c r="B256">
        <f>Skills!B23</f>
        <v/>
      </c>
      <c r="C256">
        <f>Inputs!$B$3&gt;=120</f>
        <v/>
      </c>
      <c r="D256">
        <f>IF(Skills!C23=1,60+Inputs!$B$24+Inputs!$B$28,IF(Skills!C23=2,90+Inputs!$B$25+Inputs!$B$28,IF(Skills!C23=3,120+Inputs!$B$26+Inputs!$B$28,MAX(0,(Inputs!$B$3-100)*3)+Inputs!$B$27+Inputs!$B$28)))</f>
        <v/>
      </c>
      <c r="E256">
        <f>INDEX(FactorTable!$B$2:$Y$301, MATCH(ROUND(MIN(300,MAX(1,D256)),0), FactorTable!$A$2:$A$301,0), Skills!M23+1)</f>
        <v/>
      </c>
      <c r="F256">
        <f>IF(Skills!N23=TRUE,(Skills!L23/10)*(E256/1000),Skills!L23/10)+Skills!O23</f>
        <v/>
      </c>
      <c r="G256">
        <f>Skills!G23*IF(Skills!H23&gt;0,Skills!I23/Skills!H23,1)</f>
        <v/>
      </c>
      <c r="H256">
        <f>1-(1-Skills!J23/100)^Skills!K23</f>
        <v/>
      </c>
      <c r="I256" t="inlineStr">
        <is>
          <t>1</t>
        </is>
      </c>
      <c r="J256" t="inlineStr"/>
      <c r="K256" t="inlineStr"/>
      <c r="L256" t="inlineStr"/>
      <c r="M256" t="inlineStr"/>
      <c r="N256" t="inlineStr"/>
      <c r="O256" t="n">
        <v>0</v>
      </c>
      <c r="P256">
        <f>IF(B270=0,0,O256/B270)</f>
        <v/>
      </c>
      <c r="Q256" t="n">
        <v>0</v>
      </c>
      <c r="R256" t="n">
        <v>0</v>
      </c>
      <c r="S256">
        <f>IFERROR(O256/N256,0)</f>
        <v/>
      </c>
    </row>
    <row r="257">
      <c r="A257">
        <f>Skills!A24</f>
        <v/>
      </c>
      <c r="B257">
        <f>Skills!B24</f>
        <v/>
      </c>
      <c r="C257">
        <f>Inputs!$B$3&gt;=120</f>
        <v/>
      </c>
      <c r="D257">
        <f>IF(Skills!C24=1,60+Inputs!$B$24+Inputs!$B$28,IF(Skills!C24=2,90+Inputs!$B$25+Inputs!$B$28,IF(Skills!C24=3,120+Inputs!$B$26+Inputs!$B$28,MAX(0,(Inputs!$B$3-100)*3)+Inputs!$B$27+Inputs!$B$28)))</f>
        <v/>
      </c>
      <c r="E257">
        <f>INDEX(FactorTable!$B$2:$Y$301, MATCH(ROUND(MIN(300,MAX(1,D257)),0), FactorTable!$A$2:$A$301,0), Skills!M24+1)</f>
        <v/>
      </c>
      <c r="F257">
        <f>IF(Skills!N24=TRUE,(Skills!L24/10)*(E257/1000),Skills!L24/10)+Skills!O24</f>
        <v/>
      </c>
      <c r="G257">
        <f>Skills!G24*IF(Skills!H24&gt;0,Skills!I24/Skills!H24,1)</f>
        <v/>
      </c>
      <c r="H257">
        <f>1-(1-Skills!J24/100)^Skills!K24</f>
        <v/>
      </c>
      <c r="I257" t="inlineStr">
        <is>
          <t>1</t>
        </is>
      </c>
      <c r="J257" t="inlineStr"/>
      <c r="K257" t="inlineStr"/>
      <c r="L257" t="inlineStr"/>
      <c r="M257" t="inlineStr"/>
      <c r="N257" t="inlineStr"/>
      <c r="O257" t="n">
        <v>0</v>
      </c>
      <c r="P257">
        <f>IF(B270=0,0,O257/B270)</f>
        <v/>
      </c>
      <c r="Q257" t="n">
        <v>0</v>
      </c>
      <c r="R257" t="n">
        <v>0</v>
      </c>
      <c r="S257">
        <f>IFERROR(O257/N257,0)</f>
        <v/>
      </c>
    </row>
    <row r="258">
      <c r="A258">
        <f>Skills!A25</f>
        <v/>
      </c>
      <c r="B258">
        <f>Skills!B25</f>
        <v/>
      </c>
      <c r="C258">
        <f>Inputs!$B$3&gt;=125</f>
        <v/>
      </c>
      <c r="D258">
        <f>IF(Skills!C25=1,60+Inputs!$B$24+Inputs!$B$28,IF(Skills!C25=2,90+Inputs!$B$25+Inputs!$B$28,IF(Skills!C25=3,120+Inputs!$B$26+Inputs!$B$28,MAX(0,(Inputs!$B$3-100)*3)+Inputs!$B$27+Inputs!$B$28)))</f>
        <v/>
      </c>
      <c r="E258">
        <f>INDEX(FactorTable!$B$2:$Y$301, MATCH(ROUND(MIN(300,MAX(1,D258)),0), FactorTable!$A$2:$A$301,0), Skills!M25+1)</f>
        <v/>
      </c>
      <c r="F258">
        <f>IF(Skills!N25=TRUE,(Skills!L25/10)*(E258/1000),Skills!L25/10)+Skills!O25</f>
        <v/>
      </c>
      <c r="G258">
        <f>Skills!G25*IF(Skills!H25&gt;0,Skills!I25/Skills!H25,1)</f>
        <v/>
      </c>
      <c r="H258">
        <f>1-(1-Skills!J25/100)^Skills!K25</f>
        <v/>
      </c>
      <c r="I258" t="inlineStr">
        <is>
          <t>1</t>
        </is>
      </c>
      <c r="J258" t="inlineStr"/>
      <c r="K258" t="inlineStr"/>
      <c r="L258" t="inlineStr"/>
      <c r="M258" t="inlineStr"/>
      <c r="N258" t="inlineStr"/>
      <c r="O258" t="n">
        <v>0</v>
      </c>
      <c r="P258">
        <f>IF(B270=0,0,O258/B270)</f>
        <v/>
      </c>
      <c r="Q258" t="n">
        <v>0</v>
      </c>
      <c r="R258" t="n">
        <v>0</v>
      </c>
      <c r="S258">
        <f>IFERROR(O258/N258,0)</f>
        <v/>
      </c>
    </row>
    <row r="259">
      <c r="A259">
        <f>Skills!A26</f>
        <v/>
      </c>
      <c r="B259">
        <f>Skills!B26</f>
        <v/>
      </c>
      <c r="C259">
        <f>Inputs!$B$3&gt;=107</f>
        <v/>
      </c>
      <c r="D259">
        <f>IF(Skills!C26=1,60+Inputs!$B$24+Inputs!$B$28,IF(Skills!C26=2,90+Inputs!$B$25+Inputs!$B$28,IF(Skills!C26=3,120+Inputs!$B$26+Inputs!$B$28,MAX(0,(Inputs!$B$3-100)*3)+Inputs!$B$27+Inputs!$B$28)))</f>
        <v/>
      </c>
      <c r="E259">
        <f>INDEX(FactorTable!$B$2:$Y$301, MATCH(ROUND(MIN(300,MAX(1,D259)),0), FactorTable!$A$2:$A$301,0), Skills!M26+1)</f>
        <v/>
      </c>
      <c r="F259">
        <f>IF(Skills!N26=TRUE,(Skills!L26/10)*(E259/1000),Skills!L26/10)+Skills!O26</f>
        <v/>
      </c>
      <c r="G259">
        <f>Skills!G26*IF(Skills!H26&gt;0,Skills!I26/Skills!H26,1)</f>
        <v/>
      </c>
      <c r="H259">
        <f>1-(1-Skills!J26/100)^Skills!K26</f>
        <v/>
      </c>
      <c r="I259" t="inlineStr">
        <is>
          <t>1</t>
        </is>
      </c>
      <c r="J259" t="inlineStr"/>
      <c r="K259" t="inlineStr"/>
      <c r="L259" t="inlineStr"/>
      <c r="M259" t="inlineStr"/>
      <c r="N259" t="inlineStr"/>
      <c r="O259" t="n">
        <v>0</v>
      </c>
      <c r="P259">
        <f>IF(B270=0,0,O259/B270)</f>
        <v/>
      </c>
      <c r="Q259" t="n">
        <v>0</v>
      </c>
      <c r="R259" t="n">
        <v>0</v>
      </c>
      <c r="S259">
        <f>IFERROR(O259/N259,0)</f>
        <v/>
      </c>
    </row>
    <row r="261">
      <c r="A261" t="inlineStr">
        <is>
          <t>Attack% Bucket Multiplier</t>
        </is>
      </c>
      <c r="B261">
        <f>(1+(((C246=TRUE)*F246*IF(AND(Inputs!$B$4&lt;&gt;"pvp",Inputs!$B$35&gt;0),(((S246-1)*(Skills!T13*(1+Inputs!$B$33/100))+MIN((Skills!T13*(1+Inputs!$B$33/100)),MAX(0,Inputs!$B$35-((S246-1)*Skills!D13))))/Inputs!$B$35),IF(Inputs!$B$4="pvp",MIN((Skills!T13*(1+Inputs!$B$33/100)),15)/15,(Skills!T13*(1+Inputs!$B$33/100))/Skills!D13)))+((C247=TRUE)*F247*IF(AND(Inputs!$B$4&lt;&gt;"pvp",Inputs!$B$35&gt;0),(((S247-1)*(Skills!T14*(1+Inputs!$B$33/100))+MIN((Skills!T14*(1+Inputs!$B$33/100)),MAX(0,Inputs!$B$35-((S247-1)*Skills!D14))))/Inputs!$B$35),IF(Inputs!$B$4="pvp",MIN((Skills!T14*(1+Inputs!$B$33/100)),15)/15,(Skills!T14*(1+Inputs!$B$33/100))/Skills!D14)))+((C248=TRUE)*F248*IF(AND(Inputs!$B$4&lt;&gt;"pvp",Inputs!$B$35&gt;0),(((S248-1)*(Skills!T15*(1+Inputs!$B$33/100))+MIN((Skills!T15*(1+Inputs!$B$33/100)),MAX(0,Inputs!$B$35-((S248-1)*Skills!D15))))/Inputs!$B$35),IF(Inputs!$B$4="pvp",MIN((Skills!T15*(1+Inputs!$B$33/100)),15)/15,(Skills!T15*(1+Inputs!$B$33/100))/Skills!D15)))+((C249=TRUE)*F249*IF(AND(Inputs!$B$4&lt;&gt;"pvp",Inputs!$B$35&gt;0),(((S249-1)*(Skills!T16*(1+Inputs!$B$33/100))+MIN((Skills!T16*(1+Inputs!$B$33/100)),MAX(0,Inputs!$B$35-((S249-1)*Skills!D16))))/Inputs!$B$35),IF(Inputs!$B$4="pvp",MIN((Skills!T16*(1+Inputs!$B$33/100)),15)/15,(Skills!T16*(1+Inputs!$B$33/100))/Skills!D16)))+0)/100)</f>
        <v/>
      </c>
    </row>
    <row r="262">
      <c r="A262" t="inlineStr">
        <is>
          <t>Global Crit Rate Bonus % (Lord of Darkness)</t>
        </is>
      </c>
      <c r="B262">
        <f>((C251=TRUE)*F251*(Skills!J18/100)*IF(AND(Inputs!$B$4&lt;&gt;"pvp",Inputs!$B$35&gt;0),(((S251-1)*(Skills!T18*(1+Inputs!$B$33/100))+MIN((Skills!T18*(1+Inputs!$B$33/100)),MAX(0,Inputs!$B$35-((S251-1)*Skills!D18))))/Inputs!$B$35),IF(Inputs!$B$4="pvp",MIN((Skills!T18*(1+Inputs!$B$33/100)),15)/15,(Skills!T18*(1+Inputs!$B$33/100))/Skills!D18)))</f>
        <v/>
      </c>
    </row>
    <row r="263">
      <c r="A263" t="inlineStr">
        <is>
          <t>Attack Speed Buff Bonus %</t>
        </is>
      </c>
      <c r="B263">
        <f>((C253=TRUE)*F253*IF(AND(Inputs!$B$4&lt;&gt;"pvp",Inputs!$B$35&gt;0),(((S253-1)*(Skills!T20*(1+Inputs!$B$33/100))+MIN((Skills!T20*(1+Inputs!$B$33/100)),MAX(0,Inputs!$B$35-((S253-1)*Skills!D20))))/Inputs!$B$35),IF(Inputs!$B$4="pvp",MIN((Skills!T20*(1+Inputs!$B$33/100)),15)/15,(Skills!T20*(1+Inputs!$B$33/100))/Skills!D20)))</f>
        <v/>
      </c>
    </row>
    <row r="264">
      <c r="A264" t="inlineStr">
        <is>
          <t>Actions Per Second</t>
        </is>
      </c>
      <c r="B264">
        <f>1+MIN(150,150*(1-(1-(Inputs!$B$10+((C254=TRUE)*(F254-Calc!F21)))/150)*(1-B263/150)))/100</f>
        <v/>
      </c>
    </row>
    <row r="265">
      <c r="A265" t="inlineStr">
        <is>
          <t>Skill + Buff Cast Rate</t>
        </is>
      </c>
      <c r="B265">
        <f>IF(AND(Inputs!$B$4&lt;&gt;"pvp",Inputs!$B$35&gt;0),SUMPRODUCT((Skills!E2:E26=TRUE)*(C235:C259=TRUE)*R235:R259*Skills!F2:F26)/Inputs!$B$35,SUMPRODUCT((Skills!E2:E26=TRUE)*(C235:C259=TRUE)*Q235:Q259*Skills!F2:F26))</f>
        <v/>
      </c>
    </row>
    <row r="266">
      <c r="A266" t="inlineStr">
        <is>
          <t>Dark Impale Casts Per Second</t>
        </is>
      </c>
      <c r="B266">
        <f>MAX(0,B264-B265)</f>
        <v/>
      </c>
    </row>
    <row r="267">
      <c r="A267" t="inlineStr">
        <is>
          <t>Global Critical Damage Bonus % (Lord of Darkness)</t>
        </is>
      </c>
      <c r="B267">
        <f>((C252=TRUE)*F252*(Skills!J19/100)*IF(AND(Inputs!$B$4&lt;&gt;"pvp",Inputs!$B$35&gt;0),(((S252-1)*(Skills!T19*(1+Inputs!$B$33/100))+MIN((Skills!T19*(1+Inputs!$B$33/100)),MAX(0,Inputs!$B$35-((S252-1)*Skills!D19))))/Inputs!$B$35),IF(Inputs!$B$4="pvp",MIN((Skills!T19*(1+Inputs!$B$33/100)),15)/15,(Skills!T19*(1+Inputs!$B$33/100))/Skills!D19)))</f>
        <v/>
      </c>
    </row>
    <row r="268">
      <c r="A268" t="inlineStr">
        <is>
          <t>Global Final Damage Bonus % (unused)</t>
        </is>
      </c>
      <c r="B268" t="n">
        <v>0</v>
      </c>
    </row>
    <row r="270">
      <c r="A270" s="5" t="inlineStr">
        <is>
          <t>TOTAL DPS</t>
        </is>
      </c>
      <c r="B270" s="5">
        <f>SUM(O235:O259)</f>
        <v/>
      </c>
    </row>
    <row r="273">
      <c r="A273" s="5" t="inlineStr">
        <is>
          <t>Stat: NORMAL_DAMAGE %</t>
        </is>
      </c>
    </row>
    <row r="274">
      <c r="A274" s="8" t="inlineStr">
        <is>
          <t>Key</t>
        </is>
      </c>
      <c r="B274" s="8" t="inlineStr">
        <is>
          <t>Name</t>
        </is>
      </c>
      <c r="C274" s="8" t="inlineStr">
        <is>
          <t>Unlocked</t>
        </is>
      </c>
      <c r="D274" s="8" t="inlineStr">
        <is>
          <t>InputLevel</t>
        </is>
      </c>
      <c r="E274" s="8" t="inlineStr">
        <is>
          <t>Factor</t>
        </is>
      </c>
      <c r="F274" s="8" t="inlineStr">
        <is>
          <t>CoefficientPercent</t>
        </is>
      </c>
      <c r="G274" s="8" t="inlineStr">
        <is>
          <t>EffectiveHits</t>
        </is>
      </c>
      <c r="H274" s="8" t="inlineStr">
        <is>
          <t>ProcProbability</t>
        </is>
      </c>
      <c r="I274" s="8" t="inlineStr">
        <is>
          <t>MapleHeroMultiplier</t>
        </is>
      </c>
      <c r="J274" s="8" t="inlineStr">
        <is>
          <t>BaseDamage</t>
        </is>
      </c>
      <c r="K274" s="8" t="inlineStr">
        <is>
          <t>BaseHitDamage</t>
        </is>
      </c>
      <c r="L274" s="8" t="inlineStr">
        <is>
          <t>NonCritAvg</t>
        </is>
      </c>
      <c r="M274" s="8" t="inlineStr">
        <is>
          <t>CritAvg</t>
        </is>
      </c>
      <c r="N274" s="8" t="inlineStr">
        <is>
          <t>ExpectedDamage(perHit)</t>
        </is>
      </c>
      <c r="O274" s="8" t="inlineStr">
        <is>
          <t>DPS</t>
        </is>
      </c>
      <c r="P274" s="8" t="inlineStr">
        <is>
          <t>% of Total</t>
        </is>
      </c>
      <c r="Q274" s="8" t="inlineStr">
        <is>
          <t>InvCooldown</t>
        </is>
      </c>
      <c r="R274" s="8" t="inlineStr">
        <is>
          <t>CastsInFight</t>
        </is>
      </c>
      <c r="S274" s="8" t="inlineStr">
        <is>
          <t>HitRate(perSec)</t>
        </is>
      </c>
      <c r="U274" t="inlineStr">
        <is>
          <t>helpers</t>
        </is>
      </c>
    </row>
    <row r="275">
      <c r="A275">
        <f>Skills!A2</f>
        <v/>
      </c>
      <c r="B275">
        <f>Skills!B2</f>
        <v/>
      </c>
      <c r="C275">
        <f>Inputs!$B$3&gt;=100</f>
        <v/>
      </c>
      <c r="D275" t="inlineStr"/>
      <c r="E275" t="inlineStr"/>
      <c r="F275">
        <f>U277+Skills!O2</f>
        <v/>
      </c>
      <c r="G275">
        <f>Skills!G2*IF(Skills!H2&gt;0,Skills!I2/Skills!H2,1)</f>
        <v/>
      </c>
      <c r="H275">
        <f>1-(1-Skills!J2/100)^Skills!K2</f>
        <v/>
      </c>
      <c r="I275" t="inlineStr">
        <is>
          <t>1</t>
        </is>
      </c>
      <c r="J275">
        <f>(Inputs!$B$5*(1+Inputs!$B$6/100))*(F275/100)</f>
        <v/>
      </c>
      <c r="K275">
        <f>J275*(1+((Inputs!$B$11*(1+Inputs!$B$12/100))*0.01+Inputs!$B$13*0.0025)/100)*(1+Inputs!$B$14/100)*(1+IF(Inputs!$B$4="pvp",0,(1-Summary!$B$55)*(Inputs!$B$19+0+Skills!P2+((C290=TRUE)*F290*IF(AND(Inputs!$B$4&lt;&gt;"pvp",Inputs!$B$35&gt;0),(((S290-1)*(Skills!T17*(1+Inputs!$B$33/100))+MIN((Skills!T17*(1+Inputs!$B$33/100)),MAX(0,Inputs!$B$35-((S290-1)*Skills!D17))))/Inputs!$B$35),IF(Inputs!$B$4="pvp",MIN((Skills!T17*(1+Inputs!$B$33/100)),15)/15,(Skills!T17*(1+Inputs!$B$33/100))/Skills!D17)))+((C287=TRUE)*IF(Inputs!$B$4="pvp",20,(1-Summary!$B$55)*(20)+Summary!$B$55*(0))*IF(AND(Inputs!$B$4&lt;&gt;"pvp",Inputs!$B$35&gt;0),(((S287-1)*(Skills!T14*(1+Inputs!$B$33/100))+MIN((Skills!T14*(1+Inputs!$B$33/100)),MAX(0,Inputs!$B$35-((S287-1)*Skills!D14))))/Inputs!$B$35),IF(Inputs!$B$4="pvp",MIN((Skills!T14*(1+Inputs!$B$33/100)),15)/15,(Skills!T14*(1+Inputs!$B$33/100))/Skills!D14))))+Summary!$B$55*((Inputs!$B$20+1)+Skills!Q2+((C290=TRUE)*F290*IF(AND(Inputs!$B$4&lt;&gt;"pvp",Inputs!$B$35&gt;0),(((S290-1)*(Skills!T17*(1+Inputs!$B$33/100))+MIN((Skills!T17*(1+Inputs!$B$33/100)),MAX(0,Inputs!$B$35-((S290-1)*Skills!D17))))/Inputs!$B$35),IF(Inputs!$B$4="pvp",MIN((Skills!T17*(1+Inputs!$B$33/100)),15)/15,(Skills!T17*(1+Inputs!$B$33/100))/Skills!D17)))))/100)*(1+Inputs!$B$15/100)*(5000/(6000+Inputs!$B$7*(1-(Inputs!$B$18+0)/100)))*(1+(Inputs!$B$23+((C298=TRUE)*(F298-Calc!F25))+((C299=TRUE)*(F299-Calc!F26))+B308)/100)*(1+(IF(Skills!A2="DARK_IMPALE",Inputs!$B$16+0,Inputs!$B$17+((C296=TRUE)*(F296-Calc!F23))))/100)*((1+(((C286=TRUE)*F286*IF(AND(Inputs!$B$4&lt;&gt;"pvp",Inputs!$B$35&gt;0),(((S286-1)*(Skills!T13*(1+Inputs!$B$33/100))+MIN((Skills!T13*(1+Inputs!$B$33/100)),MAX(0,Inputs!$B$35-((S286-1)*Skills!D13))))/Inputs!$B$35),IF(Inputs!$B$4="pvp",MIN((Skills!T13*(1+Inputs!$B$33/100)),15)/15,(Skills!T13*(1+Inputs!$B$33/100))/Skills!D13)))+((C287=TRUE)*F287*IF(AND(Inputs!$B$4&lt;&gt;"pvp",Inputs!$B$35&gt;0),(((S287-1)*(Skills!T14*(1+Inputs!$B$33/100))+MIN((Skills!T14*(1+Inputs!$B$33/100)),MAX(0,Inputs!$B$35-((S287-1)*Skills!D14))))/Inputs!$B$35),IF(Inputs!$B$4="pvp",MIN((Skills!T14*(1+Inputs!$B$33/100)),15)/15,(Skills!T14*(1+Inputs!$B$33/100))/Skills!D14)))+((C288=TRUE)*F288*IF(AND(Inputs!$B$4&lt;&gt;"pvp",Inputs!$B$35&gt;0),(((S288-1)*(Skills!T15*(1+Inputs!$B$33/100))+MIN((Skills!T15*(1+Inputs!$B$33/100)),MAX(0,Inputs!$B$35-((S288-1)*Skills!D15))))/Inputs!$B$35),IF(Inputs!$B$4="pvp",MIN((Skills!T15*(1+Inputs!$B$33/100)),15)/15,(Skills!T15*(1+Inputs!$B$33/100))/Skills!D15)))+((C289=TRUE)*F289*IF(AND(Inputs!$B$4&lt;&gt;"pvp",Inputs!$B$35&gt;0),(((S289-1)*(Skills!T16*(1+Inputs!$B$33/100))+MIN((Skills!T16*(1+Inputs!$B$33/100)),MAX(0,Inputs!$B$35-((S289-1)*Skills!D16))))/Inputs!$B$35),IF(Inputs!$B$4="pvp",MIN((Skills!T16*(1+Inputs!$B$33/100)),15)/15,(Skills!T16*(1+Inputs!$B$33/100))/Skills!D16)))+0)/100)*I275)</f>
        <v/>
      </c>
      <c r="L275">
        <f>K275*(MIN(Inputs!$B$21+((C295=TRUE)*(F295-Calc!F22)),Inputs!$B$22+((C297=TRUE)*(F297-Calc!F24)))/100+(Inputs!$B$22+((C297=TRUE)*(F297-Calc!F24)))/100)/2</f>
        <v/>
      </c>
      <c r="M275">
        <f>L275*(1+(Inputs!$B$9+0+B307)/100)</f>
        <v/>
      </c>
      <c r="N275">
        <f>L275*(1-MIN((Inputs!$B$8+0+B302),100)/100)+M275*(MIN((Inputs!$B$8+0+B302),100)/100)</f>
        <v/>
      </c>
      <c r="O275">
        <f>IF(C275,Skills!G2*N275*B306*IF(Inputs!$B$4="pvp",1,(1-Summary!$B$55)*(1)+Summary!$B$55*(MIN((6+Inputs!$B$32),Inputs!$B$37))),0)</f>
        <v/>
      </c>
      <c r="P275">
        <f>IF(B310=0,0,O275/B310)</f>
        <v/>
      </c>
      <c r="Q275" t="n">
        <v>0</v>
      </c>
      <c r="R275" t="n">
        <v>0</v>
      </c>
      <c r="S275">
        <f>IFERROR(O275/N275,0)</f>
        <v/>
      </c>
      <c r="U275">
        <f>MAX(0,(Inputs!$B$3-100)*3)+Inputs!$B$27+Inputs!$B$28</f>
        <v/>
      </c>
    </row>
    <row r="276">
      <c r="A276">
        <f>Skills!A3</f>
        <v/>
      </c>
      <c r="B276">
        <f>Skills!B3</f>
        <v/>
      </c>
      <c r="C276">
        <f>Inputs!$B$3&gt;=50</f>
        <v/>
      </c>
      <c r="D276">
        <f>IF(Skills!C3=1,60+Inputs!$B$24+Inputs!$B$28,IF(Skills!C3=2,90+Inputs!$B$25+Inputs!$B$28,IF(Skills!C3=3,120+Inputs!$B$26+Inputs!$B$28,MAX(0,(Inputs!$B$3-100)*3)+Inputs!$B$27+Inputs!$B$28)))</f>
        <v/>
      </c>
      <c r="E276">
        <f>INDEX(FactorTable!$B$2:$Y$301, MATCH(ROUND(MIN(300,MAX(1,D276)),0), FactorTable!$A$2:$A$301,0), Skills!M3+1)</f>
        <v/>
      </c>
      <c r="F276">
        <f>IF(Skills!N3=TRUE,(Skills!L3/10)*(E276/1000),Skills!L3/10)+Skills!O3</f>
        <v/>
      </c>
      <c r="G276" t="inlineStr"/>
      <c r="H276" t="inlineStr"/>
      <c r="I276" t="inlineStr">
        <is>
          <t>1</t>
        </is>
      </c>
      <c r="J276" t="inlineStr"/>
      <c r="K276" t="inlineStr"/>
      <c r="L276" t="inlineStr"/>
      <c r="M276" t="inlineStr"/>
      <c r="N276" t="inlineStr"/>
      <c r="O276" t="inlineStr"/>
      <c r="P276" t="inlineStr"/>
      <c r="Q276" t="inlineStr"/>
      <c r="R276" t="inlineStr"/>
      <c r="S276" t="inlineStr"/>
      <c r="U276">
        <f>INDEX(FactorTable!$B$2:$Y$301, MATCH(ROUND(MIN(300,MAX(1,U275)),0), FactorTable!$A$2:$A$301,0), 22)</f>
        <v/>
      </c>
    </row>
    <row r="277">
      <c r="A277">
        <f>Skills!A4</f>
        <v/>
      </c>
      <c r="B277">
        <f>Skills!B4</f>
        <v/>
      </c>
      <c r="C277">
        <f>Inputs!$B$3&gt;=105</f>
        <v/>
      </c>
      <c r="D277">
        <f>IF(Skills!C4=1,60+Inputs!$B$24+Inputs!$B$28,IF(Skills!C4=2,90+Inputs!$B$25+Inputs!$B$28,IF(Skills!C4=3,120+Inputs!$B$26+Inputs!$B$28,MAX(0,(Inputs!$B$3-100)*3)+Inputs!$B$27+Inputs!$B$28)))</f>
        <v/>
      </c>
      <c r="E277">
        <f>INDEX(FactorTable!$B$2:$Y$301, MATCH(ROUND(MIN(300,MAX(1,D277)),0), FactorTable!$A$2:$A$301,0), Skills!M4+1)</f>
        <v/>
      </c>
      <c r="F277">
        <f>IF(Skills!N4=TRUE,(Skills!L4/10)*(E277/1000),Skills!L4/10)+Skills!O4</f>
        <v/>
      </c>
      <c r="G277" t="inlineStr"/>
      <c r="H277" t="inlineStr"/>
      <c r="I277" t="inlineStr">
        <is>
          <t>1</t>
        </is>
      </c>
      <c r="J277" t="inlineStr"/>
      <c r="K277" t="inlineStr"/>
      <c r="L277" t="inlineStr"/>
      <c r="M277" t="inlineStr"/>
      <c r="N277" t="inlineStr"/>
      <c r="O277" t="inlineStr"/>
      <c r="P277" t="inlineStr"/>
      <c r="Q277" t="inlineStr"/>
      <c r="R277" t="inlineStr"/>
      <c r="S277" t="inlineStr"/>
      <c r="U277">
        <f>290*U276/1000</f>
        <v/>
      </c>
    </row>
    <row r="278">
      <c r="A278">
        <f>Skills!A5</f>
        <v/>
      </c>
      <c r="B278">
        <f>Skills!B5</f>
        <v/>
      </c>
      <c r="C278">
        <f>Inputs!$B$3&gt;=117</f>
        <v/>
      </c>
      <c r="D278">
        <f>IF(Skills!C5=1,60+Inputs!$B$24+Inputs!$B$28,IF(Skills!C5=2,90+Inputs!$B$25+Inputs!$B$28,IF(Skills!C5=3,120+Inputs!$B$26+Inputs!$B$28,MAX(0,(Inputs!$B$3-100)*3)+Inputs!$B$27+Inputs!$B$28)))</f>
        <v/>
      </c>
      <c r="E278">
        <f>INDEX(FactorTable!$B$2:$Y$301, MATCH(ROUND(MIN(300,MAX(1,D278)),0), FactorTable!$A$2:$A$301,0), Skills!M5+1)</f>
        <v/>
      </c>
      <c r="F278">
        <f>IF(Skills!N5=TRUE,(Skills!L5/10)*(E278/1000),Skills!L5/10)+Skills!O5</f>
        <v/>
      </c>
      <c r="G278">
        <f>Skills!G5*IF(Skills!H5&gt;0,Skills!I5/Skills!H5,1)</f>
        <v/>
      </c>
      <c r="H278">
        <f>1-(1-Skills!J5/100)^Skills!K5</f>
        <v/>
      </c>
      <c r="I278" t="inlineStr">
        <is>
          <t>1</t>
        </is>
      </c>
      <c r="J278">
        <f>(Inputs!$B$5*(1+Inputs!$B$6/100))*(F278/100)</f>
        <v/>
      </c>
      <c r="K278">
        <f>J278*(1+((Inputs!$B$11*(1+Inputs!$B$12/100))*0.01+Inputs!$B$13*0.0025)/100)*(1+Inputs!$B$14/100)*(1+IF(Inputs!$B$4="pvp",0,(1-Summary!$B$55)*(Inputs!$B$19+0+Skills!P5+((C290=TRUE)*F290*IF(AND(Inputs!$B$4&lt;&gt;"pvp",Inputs!$B$35&gt;0),(((S290-1)*(Skills!T17*(1+Inputs!$B$33/100))+MIN((Skills!T17*(1+Inputs!$B$33/100)),MAX(0,Inputs!$B$35-((S290-1)*Skills!D17))))/Inputs!$B$35),IF(Inputs!$B$4="pvp",MIN((Skills!T17*(1+Inputs!$B$33/100)),15)/15,(Skills!T17*(1+Inputs!$B$33/100))/Skills!D17)))+((C287=TRUE)*IF(Inputs!$B$4="pvp",20,(1-Summary!$B$55)*(20)+Summary!$B$55*(0))*IF(AND(Inputs!$B$4&lt;&gt;"pvp",Inputs!$B$35&gt;0),(((S287-1)*(Skills!T14*(1+Inputs!$B$33/100))+MIN((Skills!T14*(1+Inputs!$B$33/100)),MAX(0,Inputs!$B$35-((S287-1)*Skills!D14))))/Inputs!$B$35),IF(Inputs!$B$4="pvp",MIN((Skills!T14*(1+Inputs!$B$33/100)),15)/15,(Skills!T14*(1+Inputs!$B$33/100))/Skills!D14))))+Summary!$B$55*((Inputs!$B$20+1)+Skills!Q5+((C290=TRUE)*F290*IF(AND(Inputs!$B$4&lt;&gt;"pvp",Inputs!$B$35&gt;0),(((S290-1)*(Skills!T17*(1+Inputs!$B$33/100))+MIN((Skills!T17*(1+Inputs!$B$33/100)),MAX(0,Inputs!$B$35-((S290-1)*Skills!D17))))/Inputs!$B$35),IF(Inputs!$B$4="pvp",MIN((Skills!T17*(1+Inputs!$B$33/100)),15)/15,(Skills!T17*(1+Inputs!$B$33/100))/Skills!D17)))))/100)*(1+Inputs!$B$15/100)*(5000/(6000+Inputs!$B$7*(1-(Inputs!$B$18+0)/100)))*(1+(Inputs!$B$23+((C298=TRUE)*(F298-Calc!F25))+((C299=TRUE)*(F299-Calc!F26))+B308)/100)*(1+(IF(Skills!A5="DARK_IMPALE",Inputs!$B$16+0,Inputs!$B$17+((C296=TRUE)*(F296-Calc!F23))))/100)*((1+(((C286=TRUE)*F286*IF(AND(Inputs!$B$4&lt;&gt;"pvp",Inputs!$B$35&gt;0),(((S286-1)*(Skills!T13*(1+Inputs!$B$33/100))+MIN((Skills!T13*(1+Inputs!$B$33/100)),MAX(0,Inputs!$B$35-((S286-1)*Skills!D13))))/Inputs!$B$35),IF(Inputs!$B$4="pvp",MIN((Skills!T13*(1+Inputs!$B$33/100)),15)/15,(Skills!T13*(1+Inputs!$B$33/100))/Skills!D13)))+((C287=TRUE)*F287*IF(AND(Inputs!$B$4&lt;&gt;"pvp",Inputs!$B$35&gt;0),(((S287-1)*(Skills!T14*(1+Inputs!$B$33/100))+MIN((Skills!T14*(1+Inputs!$B$33/100)),MAX(0,Inputs!$B$35-((S287-1)*Skills!D14))))/Inputs!$B$35),IF(Inputs!$B$4="pvp",MIN((Skills!T14*(1+Inputs!$B$33/100)),15)/15,(Skills!T14*(1+Inputs!$B$33/100))/Skills!D14)))+((C288=TRUE)*F288*IF(AND(Inputs!$B$4&lt;&gt;"pvp",Inputs!$B$35&gt;0),(((S288-1)*(Skills!T15*(1+Inputs!$B$33/100))+MIN((Skills!T15*(1+Inputs!$B$33/100)),MAX(0,Inputs!$B$35-((S288-1)*Skills!D15))))/Inputs!$B$35),IF(Inputs!$B$4="pvp",MIN((Skills!T15*(1+Inputs!$B$33/100)),15)/15,(Skills!T15*(1+Inputs!$B$33/100))/Skills!D15)))+((C289=TRUE)*F289*IF(AND(Inputs!$B$4&lt;&gt;"pvp",Inputs!$B$35&gt;0),(((S289-1)*(Skills!T16*(1+Inputs!$B$33/100))+MIN((Skills!T16*(1+Inputs!$B$33/100)),MAX(0,Inputs!$B$35-((S289-1)*Skills!D16))))/Inputs!$B$35),IF(Inputs!$B$4="pvp",MIN((Skills!T16*(1+Inputs!$B$33/100)),15)/15,(Skills!T16*(1+Inputs!$B$33/100))/Skills!D16)))+0)/100)*I278)</f>
        <v/>
      </c>
      <c r="L278">
        <f>K278*(MIN(Inputs!$B$21+((C295=TRUE)*(F295-Calc!F22)),Inputs!$B$22+((C297=TRUE)*(F297-Calc!F24)))/100+(Inputs!$B$22+((C297=TRUE)*(F297-Calc!F24)))/100)/2</f>
        <v/>
      </c>
      <c r="M278">
        <f>L278*(1+(Inputs!$B$9+0+B307)/100)</f>
        <v/>
      </c>
      <c r="N278">
        <f>L278*(1-MIN((Inputs!$B$8+0+B302),100)/100)+M278*(MIN((Inputs!$B$8+0+B302),100)/100)</f>
        <v/>
      </c>
      <c r="O278">
        <f>IF(C278,H278*N278*IF(AND(Inputs!$B$4&lt;&gt;"pvp",Inputs!$B$35&gt;0),((Skills!G5*((R278-1)*IF(Skills!H5&gt;0,Skills!I5/Skills!H5,1)+IF(Skills!H5&gt;0,MIN(Skills!I5,MAX(0,Inputs!$B$35-((R278-1)*IF(Inputs!$B$4="pvp",15,MAX(0.1,Skills!D5-IF(Skills!E5=TRUE,Inputs!$B$31,0))))))/Skills!H5,1)))/Inputs!$B$35),G278*Q278)*IF(Inputs!$B$4="pvp",1,(1-Summary!$B$55)*(1)+Summary!$B$55*(MIN(Skills!R5,Inputs!$B$37))),0)</f>
        <v/>
      </c>
      <c r="P278">
        <f>IF(B310=0,0,O278/B310)</f>
        <v/>
      </c>
      <c r="Q278">
        <f>IFERROR(1/IF(Inputs!$B$4="pvp",15,MAX(0.1,Skills!D5-IF(Skills!E5=TRUE,Inputs!$B$31,0))),0)</f>
        <v/>
      </c>
      <c r="R278">
        <f>IF(AND(Inputs!$B$4&lt;&gt;"pvp",Inputs!$B$35&gt;0),(INT(Inputs!$B$35/IF(Inputs!$B$4="pvp",15,MAX(0.1,Skills!D5-IF(Skills!E5=TRUE,Inputs!$B$31,0))))+1),0)</f>
        <v/>
      </c>
      <c r="S278">
        <f>IFERROR(O278/N278,0)</f>
        <v/>
      </c>
    </row>
    <row r="279">
      <c r="A279">
        <f>Skills!A6</f>
        <v/>
      </c>
      <c r="B279">
        <f>Skills!B6</f>
        <v/>
      </c>
      <c r="C279">
        <f>Inputs!$B$3&gt;=103</f>
        <v/>
      </c>
      <c r="D279">
        <f>IF(Skills!C6=1,60+Inputs!$B$24+Inputs!$B$28,IF(Skills!C6=2,90+Inputs!$B$25+Inputs!$B$28,IF(Skills!C6=3,120+Inputs!$B$26+Inputs!$B$28,MAX(0,(Inputs!$B$3-100)*3)+Inputs!$B$27+Inputs!$B$28)))</f>
        <v/>
      </c>
      <c r="E279">
        <f>INDEX(FactorTable!$B$2:$Y$301, MATCH(ROUND(MIN(300,MAX(1,D279)),0), FactorTable!$A$2:$A$301,0), Skills!M6+1)</f>
        <v/>
      </c>
      <c r="F279">
        <f>IF(Skills!N6=TRUE,(Skills!L6/10)*(E279/1000),Skills!L6/10)+Skills!O6</f>
        <v/>
      </c>
      <c r="G279">
        <f>Skills!G6*IF(Skills!H6&gt;0,Skills!I6/Skills!H6,1)</f>
        <v/>
      </c>
      <c r="H279">
        <f>1-(1-Skills!J6/100)^Skills!K6</f>
        <v/>
      </c>
      <c r="I279" t="inlineStr">
        <is>
          <t>1</t>
        </is>
      </c>
      <c r="J279">
        <f>(Inputs!$B$5*(1+Inputs!$B$6/100))*(F279/100)</f>
        <v/>
      </c>
      <c r="K279">
        <f>J279*(1+((Inputs!$B$11*(1+Inputs!$B$12/100))*0.01+Inputs!$B$13*0.0025)/100)*(1+Inputs!$B$14/100)*(1+IF(Inputs!$B$4="pvp",0,(1-Summary!$B$55)*(Inputs!$B$19+0+Skills!P6+((C290=TRUE)*F290*IF(AND(Inputs!$B$4&lt;&gt;"pvp",Inputs!$B$35&gt;0),(((S290-1)*(Skills!T17*(1+Inputs!$B$33/100))+MIN((Skills!T17*(1+Inputs!$B$33/100)),MAX(0,Inputs!$B$35-((S290-1)*Skills!D17))))/Inputs!$B$35),IF(Inputs!$B$4="pvp",MIN((Skills!T17*(1+Inputs!$B$33/100)),15)/15,(Skills!T17*(1+Inputs!$B$33/100))/Skills!D17)))+((C287=TRUE)*IF(Inputs!$B$4="pvp",20,(1-Summary!$B$55)*(20)+Summary!$B$55*(0))*IF(AND(Inputs!$B$4&lt;&gt;"pvp",Inputs!$B$35&gt;0),(((S287-1)*(Skills!T14*(1+Inputs!$B$33/100))+MIN((Skills!T14*(1+Inputs!$B$33/100)),MAX(0,Inputs!$B$35-((S287-1)*Skills!D14))))/Inputs!$B$35),IF(Inputs!$B$4="pvp",MIN((Skills!T14*(1+Inputs!$B$33/100)),15)/15,(Skills!T14*(1+Inputs!$B$33/100))/Skills!D14))))+Summary!$B$55*((Inputs!$B$20+1)+Skills!Q6+((C290=TRUE)*F290*IF(AND(Inputs!$B$4&lt;&gt;"pvp",Inputs!$B$35&gt;0),(((S290-1)*(Skills!T17*(1+Inputs!$B$33/100))+MIN((Skills!T17*(1+Inputs!$B$33/100)),MAX(0,Inputs!$B$35-((S290-1)*Skills!D17))))/Inputs!$B$35),IF(Inputs!$B$4="pvp",MIN((Skills!T17*(1+Inputs!$B$33/100)),15)/15,(Skills!T17*(1+Inputs!$B$33/100))/Skills!D17)))))/100)*(1+Inputs!$B$15/100)*(5000/(6000+Inputs!$B$7*(1-(Inputs!$B$18+0)/100)))*(1+(Inputs!$B$23+((C298=TRUE)*(F298-Calc!F25))+((C299=TRUE)*(F299-Calc!F26))+B308)/100)*(1+(IF(Skills!A6="DARK_IMPALE",Inputs!$B$16+0,Inputs!$B$17+((C296=TRUE)*(F296-Calc!F23))))/100)*((1+(((C286=TRUE)*F286*IF(AND(Inputs!$B$4&lt;&gt;"pvp",Inputs!$B$35&gt;0),(((S286-1)*(Skills!T13*(1+Inputs!$B$33/100))+MIN((Skills!T13*(1+Inputs!$B$33/100)),MAX(0,Inputs!$B$35-((S286-1)*Skills!D13))))/Inputs!$B$35),IF(Inputs!$B$4="pvp",MIN((Skills!T13*(1+Inputs!$B$33/100)),15)/15,(Skills!T13*(1+Inputs!$B$33/100))/Skills!D13)))+((C287=TRUE)*F287*IF(AND(Inputs!$B$4&lt;&gt;"pvp",Inputs!$B$35&gt;0),(((S287-1)*(Skills!T14*(1+Inputs!$B$33/100))+MIN((Skills!T14*(1+Inputs!$B$33/100)),MAX(0,Inputs!$B$35-((S287-1)*Skills!D14))))/Inputs!$B$35),IF(Inputs!$B$4="pvp",MIN((Skills!T14*(1+Inputs!$B$33/100)),15)/15,(Skills!T14*(1+Inputs!$B$33/100))/Skills!D14)))+((C288=TRUE)*F288*IF(AND(Inputs!$B$4&lt;&gt;"pvp",Inputs!$B$35&gt;0),(((S288-1)*(Skills!T15*(1+Inputs!$B$33/100))+MIN((Skills!T15*(1+Inputs!$B$33/100)),MAX(0,Inputs!$B$35-((S288-1)*Skills!D15))))/Inputs!$B$35),IF(Inputs!$B$4="pvp",MIN((Skills!T15*(1+Inputs!$B$33/100)),15)/15,(Skills!T15*(1+Inputs!$B$33/100))/Skills!D15)))+((C289=TRUE)*F289*IF(AND(Inputs!$B$4&lt;&gt;"pvp",Inputs!$B$35&gt;0),(((S289-1)*(Skills!T16*(1+Inputs!$B$33/100))+MIN((Skills!T16*(1+Inputs!$B$33/100)),MAX(0,Inputs!$B$35-((S289-1)*Skills!D16))))/Inputs!$B$35),IF(Inputs!$B$4="pvp",MIN((Skills!T16*(1+Inputs!$B$33/100)),15)/15,(Skills!T16*(1+Inputs!$B$33/100))/Skills!D16)))+0)/100)*I279)</f>
        <v/>
      </c>
      <c r="L279">
        <f>K279*(MIN(Inputs!$B$21+((C295=TRUE)*(F295-Calc!F22)),Inputs!$B$22+((C297=TRUE)*(F297-Calc!F24)))/100+(Inputs!$B$22+((C297=TRUE)*(F297-Calc!F24)))/100)/2</f>
        <v/>
      </c>
      <c r="M279">
        <f>L279*(1+(Inputs!$B$9+0+B307)/100)</f>
        <v/>
      </c>
      <c r="N279">
        <f>L279*(1-MIN((Inputs!$B$8+0+B302),100)/100)+M279*(MIN((Inputs!$B$8+0+B302),100)/100)</f>
        <v/>
      </c>
      <c r="O279">
        <f>IF(C279,H279*N279*IF(AND(Inputs!$B$4&lt;&gt;"pvp",Inputs!$B$35&gt;0),((Skills!G6*((R279-1)*IF(Skills!H6&gt;0,Skills!I6/Skills!H6,1)+IF(Skills!H6&gt;0,MIN(Skills!I6,MAX(0,Inputs!$B$35-((R279-1)*IF(Inputs!$B$4="pvp",15,MAX(0.1,Skills!D6-IF(Skills!E6=TRUE,Inputs!$B$31,0))))))/Skills!H6,1)))/Inputs!$B$35),G279*Q279)*IF(Inputs!$B$4="pvp",1,(1-Summary!$B$55)*(1)+Summary!$B$55*(MIN(Skills!R6,Inputs!$B$37))),0)</f>
        <v/>
      </c>
      <c r="P279">
        <f>IF(B310=0,0,O279/B310)</f>
        <v/>
      </c>
      <c r="Q279">
        <f>IFERROR(1/IF(Inputs!$B$4="pvp",15,MAX(0.1,Skills!D6-IF(Skills!E6=TRUE,Inputs!$B$31,0))),0)</f>
        <v/>
      </c>
      <c r="R279">
        <f>IF(AND(Inputs!$B$4&lt;&gt;"pvp",Inputs!$B$35&gt;0),(INT(Inputs!$B$35/IF(Inputs!$B$4="pvp",15,MAX(0.1,Skills!D6-IF(Skills!E6=TRUE,Inputs!$B$31,0))))+1),0)</f>
        <v/>
      </c>
      <c r="S279">
        <f>IFERROR(O279/N279,0)</f>
        <v/>
      </c>
    </row>
    <row r="280">
      <c r="A280">
        <f>Skills!A7</f>
        <v/>
      </c>
      <c r="B280">
        <f>Skills!B7</f>
        <v/>
      </c>
      <c r="C280">
        <f>Inputs!$B$3&gt;=40</f>
        <v/>
      </c>
      <c r="D280">
        <f>IF(Skills!C7=1,60+Inputs!$B$24+Inputs!$B$28,IF(Skills!C7=2,90+Inputs!$B$25+Inputs!$B$28,IF(Skills!C7=3,120+Inputs!$B$26+Inputs!$B$28,MAX(0,(Inputs!$B$3-100)*3)+Inputs!$B$27+Inputs!$B$28)))</f>
        <v/>
      </c>
      <c r="E280">
        <f>INDEX(FactorTable!$B$2:$Y$301, MATCH(ROUND(MIN(300,MAX(1,D280)),0), FactorTable!$A$2:$A$301,0), Skills!M7+1)</f>
        <v/>
      </c>
      <c r="F280">
        <f>IF(Skills!N7=TRUE,(Skills!L7/10)*(E280/1000),Skills!L7/10)+Skills!O7</f>
        <v/>
      </c>
      <c r="G280">
        <f>Skills!G7*IF(Skills!H7&gt;0,Skills!I7/Skills!H7,1)</f>
        <v/>
      </c>
      <c r="H280">
        <f>1-(1-Skills!J7/100)^Skills!K7</f>
        <v/>
      </c>
      <c r="I280" t="inlineStr">
        <is>
          <t>1</t>
        </is>
      </c>
      <c r="J280">
        <f>(Inputs!$B$5*(1+Inputs!$B$6/100))*(F280/100)</f>
        <v/>
      </c>
      <c r="K280">
        <f>J280*(1+((Inputs!$B$11*(1+Inputs!$B$12/100))*0.01+Inputs!$B$13*0.0025)/100)*(1+Inputs!$B$14/100)*(1+IF(Inputs!$B$4="pvp",0,(1-Summary!$B$55)*(Inputs!$B$19+0+Skills!P7+((C290=TRUE)*F290*IF(AND(Inputs!$B$4&lt;&gt;"pvp",Inputs!$B$35&gt;0),(((S290-1)*(Skills!T17*(1+Inputs!$B$33/100))+MIN((Skills!T17*(1+Inputs!$B$33/100)),MAX(0,Inputs!$B$35-((S290-1)*Skills!D17))))/Inputs!$B$35),IF(Inputs!$B$4="pvp",MIN((Skills!T17*(1+Inputs!$B$33/100)),15)/15,(Skills!T17*(1+Inputs!$B$33/100))/Skills!D17)))+((C287=TRUE)*IF(Inputs!$B$4="pvp",20,(1-Summary!$B$55)*(20)+Summary!$B$55*(0))*IF(AND(Inputs!$B$4&lt;&gt;"pvp",Inputs!$B$35&gt;0),(((S287-1)*(Skills!T14*(1+Inputs!$B$33/100))+MIN((Skills!T14*(1+Inputs!$B$33/100)),MAX(0,Inputs!$B$35-((S287-1)*Skills!D14))))/Inputs!$B$35),IF(Inputs!$B$4="pvp",MIN((Skills!T14*(1+Inputs!$B$33/100)),15)/15,(Skills!T14*(1+Inputs!$B$33/100))/Skills!D14))))+Summary!$B$55*((Inputs!$B$20+1)+Skills!Q7+((C290=TRUE)*F290*IF(AND(Inputs!$B$4&lt;&gt;"pvp",Inputs!$B$35&gt;0),(((S290-1)*(Skills!T17*(1+Inputs!$B$33/100))+MIN((Skills!T17*(1+Inputs!$B$33/100)),MAX(0,Inputs!$B$35-((S290-1)*Skills!D17))))/Inputs!$B$35),IF(Inputs!$B$4="pvp",MIN((Skills!T17*(1+Inputs!$B$33/100)),15)/15,(Skills!T17*(1+Inputs!$B$33/100))/Skills!D17)))))/100)*(1+Inputs!$B$15/100)*(5000/(6000+Inputs!$B$7*(1-(Inputs!$B$18+0)/100)))*(1+(Inputs!$B$23+((C298=TRUE)*(F298-Calc!F25))+((C299=TRUE)*(F299-Calc!F26))+B308)/100)*(1+0.75*IF(C284=TRUE,F284,0)/100)*(1+(IF(Skills!A7="DARK_IMPALE",Inputs!$B$16+0,Inputs!$B$17+((C296=TRUE)*(F296-Calc!F23))))/100)*((1+(((C286=TRUE)*F286*IF(AND(Inputs!$B$4&lt;&gt;"pvp",Inputs!$B$35&gt;0),(((S286-1)*(Skills!T13*(1+Inputs!$B$33/100))+MIN((Skills!T13*(1+Inputs!$B$33/100)),MAX(0,Inputs!$B$35-((S286-1)*Skills!D13))))/Inputs!$B$35),IF(Inputs!$B$4="pvp",MIN((Skills!T13*(1+Inputs!$B$33/100)),15)/15,(Skills!T13*(1+Inputs!$B$33/100))/Skills!D13)))+((C287=TRUE)*F287*IF(AND(Inputs!$B$4&lt;&gt;"pvp",Inputs!$B$35&gt;0),(((S287-1)*(Skills!T14*(1+Inputs!$B$33/100))+MIN((Skills!T14*(1+Inputs!$B$33/100)),MAX(0,Inputs!$B$35-((S287-1)*Skills!D14))))/Inputs!$B$35),IF(Inputs!$B$4="pvp",MIN((Skills!T14*(1+Inputs!$B$33/100)),15)/15,(Skills!T14*(1+Inputs!$B$33/100))/Skills!D14)))+((C288=TRUE)*F288*IF(AND(Inputs!$B$4&lt;&gt;"pvp",Inputs!$B$35&gt;0),(((S288-1)*(Skills!T15*(1+Inputs!$B$33/100))+MIN((Skills!T15*(1+Inputs!$B$33/100)),MAX(0,Inputs!$B$35-((S288-1)*Skills!D15))))/Inputs!$B$35),IF(Inputs!$B$4="pvp",MIN((Skills!T15*(1+Inputs!$B$33/100)),15)/15,(Skills!T15*(1+Inputs!$B$33/100))/Skills!D15)))+((C289=TRUE)*F289*IF(AND(Inputs!$B$4&lt;&gt;"pvp",Inputs!$B$35&gt;0),(((S289-1)*(Skills!T16*(1+Inputs!$B$33/100))+MIN((Skills!T16*(1+Inputs!$B$33/100)),MAX(0,Inputs!$B$35-((S289-1)*Skills!D16))))/Inputs!$B$35),IF(Inputs!$B$4="pvp",MIN((Skills!T16*(1+Inputs!$B$33/100)),15)/15,(Skills!T16*(1+Inputs!$B$33/100))/Skills!D16)))+0)/100)*I280)</f>
        <v/>
      </c>
      <c r="L280">
        <f>K280*(MIN(Inputs!$B$21+((C295=TRUE)*(F295-Calc!F22)),Inputs!$B$22+((C297=TRUE)*(F297-Calc!F24)))/100+(Inputs!$B$22+((C297=TRUE)*(F297-Calc!F24)))/100)/2</f>
        <v/>
      </c>
      <c r="M280">
        <f>L280*(1+(Inputs!$B$9+0+B307)/100)</f>
        <v/>
      </c>
      <c r="N280">
        <f>L280*(1-MIN((Inputs!$B$8+0+B302),100)/100)+M280*(MIN((Inputs!$B$8+0+B302),100)/100)</f>
        <v/>
      </c>
      <c r="O280">
        <f>IF(C280,H280*N280*IF(AND(Inputs!$B$4&lt;&gt;"pvp",Inputs!$B$35&gt;0),((Skills!G7*((R280-1)*IF(Skills!H7&gt;0,Skills!I7/Skills!H7,1)+IF(Skills!H7&gt;0,MIN(Skills!I7,MAX(0,Inputs!$B$35-((R280-1)*IF(Inputs!$B$4="pvp",15,MAX(0.1,Skills!D7-IF(Skills!E7=TRUE,Inputs!$B$31,0))))))/Skills!H7,1)))/Inputs!$B$35),G280*Q280)*IF(Inputs!$B$4="pvp",1,(1-Summary!$B$55)*(1)+Summary!$B$55*(MIN(Skills!R7,Inputs!$B$37))),0)</f>
        <v/>
      </c>
      <c r="P280">
        <f>IF(B310=0,0,O280/B310)</f>
        <v/>
      </c>
      <c r="Q280">
        <f>IFERROR(1/IF(Inputs!$B$4="pvp",15,MAX(0.1,Skills!D7-IF(Skills!E7=TRUE,Inputs!$B$31,0))),0)</f>
        <v/>
      </c>
      <c r="R280">
        <f>IF(AND(Inputs!$B$4&lt;&gt;"pvp",Inputs!$B$35&gt;0),(INT(Inputs!$B$35/IF(Inputs!$B$4="pvp",15,MAX(0.1,Skills!D7-IF(Skills!E7=TRUE,Inputs!$B$31,0))))+1),0)</f>
        <v/>
      </c>
      <c r="S280">
        <f>IFERROR(O280/N280,0)</f>
        <v/>
      </c>
    </row>
    <row r="281">
      <c r="A281">
        <f>Skills!A8</f>
        <v/>
      </c>
      <c r="B281">
        <f>Skills!B8</f>
        <v/>
      </c>
      <c r="C281">
        <f>Inputs!$B$3&gt;=75</f>
        <v/>
      </c>
      <c r="D281">
        <f>IF(Skills!C8=1,60+Inputs!$B$24+Inputs!$B$28,IF(Skills!C8=2,90+Inputs!$B$25+Inputs!$B$28,IF(Skills!C8=3,120+Inputs!$B$26+Inputs!$B$28,MAX(0,(Inputs!$B$3-100)*3)+Inputs!$B$27+Inputs!$B$28)))</f>
        <v/>
      </c>
      <c r="E281">
        <f>INDEX(FactorTable!$B$2:$Y$301, MATCH(ROUND(MIN(300,MAX(1,D281)),0), FactorTable!$A$2:$A$301,0), Skills!M8+1)</f>
        <v/>
      </c>
      <c r="F281">
        <f>IF(Skills!N8=TRUE,(Skills!L8/10)*(E281/1000),Skills!L8/10)+Skills!O8</f>
        <v/>
      </c>
      <c r="G281" t="inlineStr"/>
      <c r="H281" t="inlineStr"/>
      <c r="I281" t="inlineStr">
        <is>
          <t>1</t>
        </is>
      </c>
      <c r="J281" t="inlineStr"/>
      <c r="K281" t="inlineStr"/>
      <c r="L281" t="inlineStr"/>
      <c r="M281" t="inlineStr"/>
      <c r="N281" t="inlineStr"/>
      <c r="O281" t="inlineStr"/>
      <c r="P281" t="inlineStr"/>
      <c r="Q281" t="inlineStr"/>
      <c r="R281" t="inlineStr"/>
      <c r="S281" t="inlineStr"/>
    </row>
    <row r="282">
      <c r="A282">
        <f>Skills!A9</f>
        <v/>
      </c>
      <c r="B282">
        <f>Skills!B9</f>
        <v/>
      </c>
      <c r="C282">
        <f>Inputs!$B$3&gt;=60</f>
        <v/>
      </c>
      <c r="D282">
        <f>IF(Skills!C9=1,60+Inputs!$B$24+Inputs!$B$28,IF(Skills!C9=2,90+Inputs!$B$25+Inputs!$B$28,IF(Skills!C9=3,120+Inputs!$B$26+Inputs!$B$28,MAX(0,(Inputs!$B$3-100)*3)+Inputs!$B$27+Inputs!$B$28)))</f>
        <v/>
      </c>
      <c r="E282">
        <f>INDEX(FactorTable!$B$2:$Y$301, MATCH(ROUND(MIN(300,MAX(1,D282)),0), FactorTable!$A$2:$A$301,0), Skills!M9+1)</f>
        <v/>
      </c>
      <c r="F282">
        <f>IF(Skills!N9=TRUE,(Skills!L9/10)*(E282/1000),Skills!L9/10)+Skills!O9</f>
        <v/>
      </c>
      <c r="G282">
        <f>Skills!G9*IF(Skills!H9&gt;0,Skills!I9/Skills!H9,1)</f>
        <v/>
      </c>
      <c r="H282">
        <f>1-(1-Skills!J9/100)^Skills!K9</f>
        <v/>
      </c>
      <c r="I282" t="inlineStr">
        <is>
          <t>1</t>
        </is>
      </c>
      <c r="J282">
        <f>(Inputs!$B$5*(1+Inputs!$B$6/100))*(F282/100)</f>
        <v/>
      </c>
      <c r="K282">
        <f>J282*(1+((Inputs!$B$11*(1+Inputs!$B$12/100))*0.01+Inputs!$B$13*0.0025)/100)*(1+Inputs!$B$14/100)*(1+IF(Inputs!$B$4="pvp",0,(1-Summary!$B$55)*(Inputs!$B$19+0+Skills!P9+((C290=TRUE)*F290*IF(AND(Inputs!$B$4&lt;&gt;"pvp",Inputs!$B$35&gt;0),(((S290-1)*(Skills!T17*(1+Inputs!$B$33/100))+MIN((Skills!T17*(1+Inputs!$B$33/100)),MAX(0,Inputs!$B$35-((S290-1)*Skills!D17))))/Inputs!$B$35),IF(Inputs!$B$4="pvp",MIN((Skills!T17*(1+Inputs!$B$33/100)),15)/15,(Skills!T17*(1+Inputs!$B$33/100))/Skills!D17)))+((C287=TRUE)*IF(Inputs!$B$4="pvp",20,(1-Summary!$B$55)*(20)+Summary!$B$55*(0))*IF(AND(Inputs!$B$4&lt;&gt;"pvp",Inputs!$B$35&gt;0),(((S287-1)*(Skills!T14*(1+Inputs!$B$33/100))+MIN((Skills!T14*(1+Inputs!$B$33/100)),MAX(0,Inputs!$B$35-((S287-1)*Skills!D14))))/Inputs!$B$35),IF(Inputs!$B$4="pvp",MIN((Skills!T14*(1+Inputs!$B$33/100)),15)/15,(Skills!T14*(1+Inputs!$B$33/100))/Skills!D14))))+Summary!$B$55*((Inputs!$B$20+1)+Skills!Q9+((C290=TRUE)*F290*IF(AND(Inputs!$B$4&lt;&gt;"pvp",Inputs!$B$35&gt;0),(((S290-1)*(Skills!T17*(1+Inputs!$B$33/100))+MIN((Skills!T17*(1+Inputs!$B$33/100)),MAX(0,Inputs!$B$35-((S290-1)*Skills!D17))))/Inputs!$B$35),IF(Inputs!$B$4="pvp",MIN((Skills!T17*(1+Inputs!$B$33/100)),15)/15,(Skills!T17*(1+Inputs!$B$33/100))/Skills!D17)))))/100)*(1+Inputs!$B$15/100)*(5000/(6000+Inputs!$B$7*(1-(Inputs!$B$18+0)/100)))*(1+(Inputs!$B$23+((C298=TRUE)*(F298-Calc!F25))+((C299=TRUE)*(F299-Calc!F26))+B308)/100)*(1+1.0*IF(C284=TRUE,F284,0)/100)*(1+(IF(Skills!A9="DARK_IMPALE",Inputs!$B$16+0,Inputs!$B$17+((C296=TRUE)*(F296-Calc!F23))))/100)*((1+(((C286=TRUE)*F286*IF(AND(Inputs!$B$4&lt;&gt;"pvp",Inputs!$B$35&gt;0),(((S286-1)*(Skills!T13*(1+Inputs!$B$33/100))+MIN((Skills!T13*(1+Inputs!$B$33/100)),MAX(0,Inputs!$B$35-((S286-1)*Skills!D13))))/Inputs!$B$35),IF(Inputs!$B$4="pvp",MIN((Skills!T13*(1+Inputs!$B$33/100)),15)/15,(Skills!T13*(1+Inputs!$B$33/100))/Skills!D13)))+((C287=TRUE)*F287*IF(AND(Inputs!$B$4&lt;&gt;"pvp",Inputs!$B$35&gt;0),(((S287-1)*(Skills!T14*(1+Inputs!$B$33/100))+MIN((Skills!T14*(1+Inputs!$B$33/100)),MAX(0,Inputs!$B$35-((S287-1)*Skills!D14))))/Inputs!$B$35),IF(Inputs!$B$4="pvp",MIN((Skills!T14*(1+Inputs!$B$33/100)),15)/15,(Skills!T14*(1+Inputs!$B$33/100))/Skills!D14)))+((C288=TRUE)*F288*IF(AND(Inputs!$B$4&lt;&gt;"pvp",Inputs!$B$35&gt;0),(((S288-1)*(Skills!T15*(1+Inputs!$B$33/100))+MIN((Skills!T15*(1+Inputs!$B$33/100)),MAX(0,Inputs!$B$35-((S288-1)*Skills!D15))))/Inputs!$B$35),IF(Inputs!$B$4="pvp",MIN((Skills!T15*(1+Inputs!$B$33/100)),15)/15,(Skills!T15*(1+Inputs!$B$33/100))/Skills!D15)))+((C289=TRUE)*F289*IF(AND(Inputs!$B$4&lt;&gt;"pvp",Inputs!$B$35&gt;0),(((S289-1)*(Skills!T16*(1+Inputs!$B$33/100))+MIN((Skills!T16*(1+Inputs!$B$33/100)),MAX(0,Inputs!$B$35-((S289-1)*Skills!D16))))/Inputs!$B$35),IF(Inputs!$B$4="pvp",MIN((Skills!T16*(1+Inputs!$B$33/100)),15)/15,(Skills!T16*(1+Inputs!$B$33/100))/Skills!D16)))+0)/100)*I282)</f>
        <v/>
      </c>
      <c r="L282">
        <f>K282*(MIN(Inputs!$B$21+((C295=TRUE)*(F295-Calc!F22)),Inputs!$B$22+((C297=TRUE)*(F297-Calc!F24)))/100+(Inputs!$B$22+((C297=TRUE)*(F297-Calc!F24)))/100)/2</f>
        <v/>
      </c>
      <c r="M282">
        <f>L282*(1+(Inputs!$B$9+0+B307)/100)</f>
        <v/>
      </c>
      <c r="N282">
        <f>L282*(1-MIN((Inputs!$B$8+0+B302),100)/100)+M282*(MIN((Inputs!$B$8+0+B302),100)/100)</f>
        <v/>
      </c>
      <c r="O282">
        <f>IF(C282,H282*N282*IF(AND(Inputs!$B$4&lt;&gt;"pvp",Inputs!$B$35&gt;0),((Skills!G9*((R282-1)*IF(Skills!H9&gt;0,Skills!I9/Skills!H9,1)+IF(Skills!H9&gt;0,MIN(Skills!I9,MAX(0,Inputs!$B$35-((R282-1)*IF(Inputs!$B$4="pvp",15,MAX(0.1,Skills!D9-IF(Skills!E9=TRUE,Inputs!$B$31,0))))))/Skills!H9,1)))/Inputs!$B$35),G282*Q282)*IF(Inputs!$B$4="pvp",1,(1-Summary!$B$55)*(1)+Summary!$B$55*(MIN(Skills!R9,Inputs!$B$37))),0)</f>
        <v/>
      </c>
      <c r="P282">
        <f>IF(B310=0,0,O282/B310)</f>
        <v/>
      </c>
      <c r="Q282">
        <f>IFERROR(1/IF(Inputs!$B$4="pvp",15,MAX(0.1,Skills!D9-IF(Skills!E9=TRUE,Inputs!$B$31,0))),0)</f>
        <v/>
      </c>
      <c r="R282">
        <f>IF(AND(Inputs!$B$4&lt;&gt;"pvp",Inputs!$B$35&gt;0),(INT(Inputs!$B$35/IF(Inputs!$B$4="pvp",15,MAX(0.1,Skills!D9-IF(Skills!E9=TRUE,Inputs!$B$31,0))))+1),0)</f>
        <v/>
      </c>
      <c r="S282">
        <f>IFERROR(O282/N282,0)</f>
        <v/>
      </c>
    </row>
    <row r="283">
      <c r="A283">
        <f>Skills!A10</f>
        <v/>
      </c>
      <c r="B283">
        <f>Skills!B10</f>
        <v/>
      </c>
      <c r="C283">
        <f>Inputs!$B$3&gt;=110</f>
        <v/>
      </c>
      <c r="D283">
        <f>IF(Skills!C10=1,60+Inputs!$B$24+Inputs!$B$28,IF(Skills!C10=2,90+Inputs!$B$25+Inputs!$B$28,IF(Skills!C10=3,120+Inputs!$B$26+Inputs!$B$28,MAX(0,(Inputs!$B$3-100)*3)+Inputs!$B$27+Inputs!$B$28)))</f>
        <v/>
      </c>
      <c r="E283">
        <f>INDEX(FactorTable!$B$2:$Y$301, MATCH(ROUND(MIN(300,MAX(1,D283)),0), FactorTable!$A$2:$A$301,0), Skills!M10+1)</f>
        <v/>
      </c>
      <c r="F283">
        <f>IF(Skills!N10=TRUE,(Skills!L10/10)*(E283/1000),Skills!L10/10)+Skills!O10</f>
        <v/>
      </c>
      <c r="G283">
        <f>Skills!G10*IF(Skills!H10&gt;0,Skills!I10/Skills!H10,1)</f>
        <v/>
      </c>
      <c r="H283">
        <f>1-(1-Skills!J10/100)^Skills!K10</f>
        <v/>
      </c>
      <c r="I283" t="inlineStr">
        <is>
          <t>1</t>
        </is>
      </c>
      <c r="J283">
        <f>(Inputs!$B$5*(1+Inputs!$B$6/100))*(F283/100)</f>
        <v/>
      </c>
      <c r="K283">
        <f>J283*(1+((Inputs!$B$11*(1+Inputs!$B$12/100))*0.01+Inputs!$B$13*0.0025)/100)*(1+Inputs!$B$14/100)*(1+IF(Inputs!$B$4="pvp",0,(1-Summary!$B$55)*(Inputs!$B$19+0+Skills!P10+((C290=TRUE)*F290*IF(AND(Inputs!$B$4&lt;&gt;"pvp",Inputs!$B$35&gt;0),(((S290-1)*(Skills!T17*(1+Inputs!$B$33/100))+MIN((Skills!T17*(1+Inputs!$B$33/100)),MAX(0,Inputs!$B$35-((S290-1)*Skills!D17))))/Inputs!$B$35),IF(Inputs!$B$4="pvp",MIN((Skills!T17*(1+Inputs!$B$33/100)),15)/15,(Skills!T17*(1+Inputs!$B$33/100))/Skills!D17)))+((C287=TRUE)*IF(Inputs!$B$4="pvp",20,(1-Summary!$B$55)*(20)+Summary!$B$55*(0))*IF(AND(Inputs!$B$4&lt;&gt;"pvp",Inputs!$B$35&gt;0),(((S287-1)*(Skills!T14*(1+Inputs!$B$33/100))+MIN((Skills!T14*(1+Inputs!$B$33/100)),MAX(0,Inputs!$B$35-((S287-1)*Skills!D14))))/Inputs!$B$35),IF(Inputs!$B$4="pvp",MIN((Skills!T14*(1+Inputs!$B$33/100)),15)/15,(Skills!T14*(1+Inputs!$B$33/100))/Skills!D14))))+Summary!$B$55*((Inputs!$B$20+1)+Skills!Q10+((C290=TRUE)*F290*IF(AND(Inputs!$B$4&lt;&gt;"pvp",Inputs!$B$35&gt;0),(((S290-1)*(Skills!T17*(1+Inputs!$B$33/100))+MIN((Skills!T17*(1+Inputs!$B$33/100)),MAX(0,Inputs!$B$35-((S290-1)*Skills!D17))))/Inputs!$B$35),IF(Inputs!$B$4="pvp",MIN((Skills!T17*(1+Inputs!$B$33/100)),15)/15,(Skills!T17*(1+Inputs!$B$33/100))/Skills!D17)))))/100)*(1+Inputs!$B$15/100)*(5000/(6000+Inputs!$B$7*(1-(Inputs!$B$18+0)/100)))*(1+(Inputs!$B$23+((C298=TRUE)*(F298-Calc!F25))+((C299=TRUE)*(F299-Calc!F26))+B308)/100)*(1+(IF(Skills!A10="DARK_IMPALE",Inputs!$B$16+0,Inputs!$B$17+((C296=TRUE)*(F296-Calc!F23))))/100)*((1+(((C286=TRUE)*F286*IF(AND(Inputs!$B$4&lt;&gt;"pvp",Inputs!$B$35&gt;0),(((S286-1)*(Skills!T13*(1+Inputs!$B$33/100))+MIN((Skills!T13*(1+Inputs!$B$33/100)),MAX(0,Inputs!$B$35-((S286-1)*Skills!D13))))/Inputs!$B$35),IF(Inputs!$B$4="pvp",MIN((Skills!T13*(1+Inputs!$B$33/100)),15)/15,(Skills!T13*(1+Inputs!$B$33/100))/Skills!D13)))+((C287=TRUE)*F287*IF(AND(Inputs!$B$4&lt;&gt;"pvp",Inputs!$B$35&gt;0),(((S287-1)*(Skills!T14*(1+Inputs!$B$33/100))+MIN((Skills!T14*(1+Inputs!$B$33/100)),MAX(0,Inputs!$B$35-((S287-1)*Skills!D14))))/Inputs!$B$35),IF(Inputs!$B$4="pvp",MIN((Skills!T14*(1+Inputs!$B$33/100)),15)/15,(Skills!T14*(1+Inputs!$B$33/100))/Skills!D14)))+((C288=TRUE)*F288*IF(AND(Inputs!$B$4&lt;&gt;"pvp",Inputs!$B$35&gt;0),(((S288-1)*(Skills!T15*(1+Inputs!$B$33/100))+MIN((Skills!T15*(1+Inputs!$B$33/100)),MAX(0,Inputs!$B$35-((S288-1)*Skills!D15))))/Inputs!$B$35),IF(Inputs!$B$4="pvp",MIN((Skills!T15*(1+Inputs!$B$33/100)),15)/15,(Skills!T15*(1+Inputs!$B$33/100))/Skills!D15)))+((C289=TRUE)*F289*IF(AND(Inputs!$B$4&lt;&gt;"pvp",Inputs!$B$35&gt;0),(((S289-1)*(Skills!T16*(1+Inputs!$B$33/100))+MIN((Skills!T16*(1+Inputs!$B$33/100)),MAX(0,Inputs!$B$35-((S289-1)*Skills!D16))))/Inputs!$B$35),IF(Inputs!$B$4="pvp",MIN((Skills!T16*(1+Inputs!$B$33/100)),15)/15,(Skills!T16*(1+Inputs!$B$33/100))/Skills!D16)))+0)/100)*I283)</f>
        <v/>
      </c>
      <c r="L283">
        <f>K283*(MIN(Inputs!$B$21+((C295=TRUE)*(F295-Calc!F22)),Inputs!$B$22+((C297=TRUE)*(F297-Calc!F24)))/100+(Inputs!$B$22+((C297=TRUE)*(F297-Calc!F24)))/100)/2</f>
        <v/>
      </c>
      <c r="M283">
        <f>L283*(1+(Inputs!$B$9+0+B307)/100)</f>
        <v/>
      </c>
      <c r="N283">
        <f>L283*(1-MIN((Inputs!$B$8+0+B302),100)/100)+M283*(MIN((Inputs!$B$8+0+B302),100)/100)</f>
        <v/>
      </c>
      <c r="O283">
        <f>IF(C283,H283*N283*IF(AND(Inputs!$B$4&lt;&gt;"pvp",Inputs!$B$35&gt;0),((Skills!G10*((R283-1)*IF(Skills!H10&gt;0,Skills!I10/Skills!H10,1)+IF(Skills!H10&gt;0,MIN(Skills!I10,MAX(0,Inputs!$B$35-((R283-1)*IF(Inputs!$B$4="pvp",15,MAX(0.1,Skills!D10-IF(Skills!E10=TRUE,Inputs!$B$31,0))))))/Skills!H10,1)))/Inputs!$B$35),G283*Q283)*IF(Inputs!$B$4="pvp",1,(1-Summary!$B$55)*(1)+Summary!$B$55*(MIN(Skills!R10,Inputs!$B$37))),0)</f>
        <v/>
      </c>
      <c r="P283">
        <f>IF(B310=0,0,O283/B310)</f>
        <v/>
      </c>
      <c r="Q283">
        <f>IFERROR(1/IF(Inputs!$B$4="pvp",15,MAX(0.1,Skills!D10-IF(Skills!E10=TRUE,Inputs!$B$31,0))),0)</f>
        <v/>
      </c>
      <c r="R283">
        <f>IF(AND(Inputs!$B$4&lt;&gt;"pvp",Inputs!$B$35&gt;0),(INT(Inputs!$B$35/IF(Inputs!$B$4="pvp",15,MAX(0.1,Skills!D10-IF(Skills!E10=TRUE,Inputs!$B$31,0))))+1),0)</f>
        <v/>
      </c>
      <c r="S283">
        <f>IFERROR(O283/N283,0)</f>
        <v/>
      </c>
    </row>
    <row r="284">
      <c r="A284">
        <f>Skills!A11</f>
        <v/>
      </c>
      <c r="B284">
        <f>Skills!B11</f>
        <v/>
      </c>
      <c r="C284">
        <f>Inputs!$B$3&gt;=100</f>
        <v/>
      </c>
      <c r="D284">
        <f>IF(Skills!C11=1,60+Inputs!$B$24+Inputs!$B$28,IF(Skills!C11=2,90+Inputs!$B$25+Inputs!$B$28,IF(Skills!C11=3,120+Inputs!$B$26+Inputs!$B$28,MAX(0,(Inputs!$B$3-100)*3)+Inputs!$B$27+Inputs!$B$28)))</f>
        <v/>
      </c>
      <c r="E284">
        <f>INDEX(FactorTable!$B$2:$Y$301, MATCH(ROUND(MIN(300,MAX(1,D284)),0), FactorTable!$A$2:$A$301,0), Skills!M11+1)</f>
        <v/>
      </c>
      <c r="F284">
        <f>IF(Skills!N11=TRUE,(Skills!L11/10)*(E284/1000),Skills!L11/10)+Skills!O11</f>
        <v/>
      </c>
      <c r="G284" t="inlineStr"/>
      <c r="H284" t="inlineStr"/>
      <c r="I284" t="inlineStr">
        <is>
          <t>1</t>
        </is>
      </c>
      <c r="J284" t="inlineStr"/>
      <c r="K284" t="inlineStr"/>
      <c r="L284" t="inlineStr"/>
      <c r="M284" t="inlineStr"/>
      <c r="N284" t="inlineStr"/>
      <c r="O284" t="inlineStr"/>
      <c r="P284" t="inlineStr"/>
      <c r="Q284" t="inlineStr"/>
      <c r="R284" t="inlineStr"/>
      <c r="S284" t="inlineStr"/>
    </row>
    <row r="285">
      <c r="A285">
        <f>Skills!A12</f>
        <v/>
      </c>
      <c r="B285">
        <f>Skills!B12</f>
        <v/>
      </c>
      <c r="C285">
        <f>Inputs!$B$3&gt;=63</f>
        <v/>
      </c>
      <c r="D285">
        <f>IF(Skills!C12=1,60+Inputs!$B$24+Inputs!$B$28,IF(Skills!C12=2,90+Inputs!$B$25+Inputs!$B$28,IF(Skills!C12=3,120+Inputs!$B$26+Inputs!$B$28,MAX(0,(Inputs!$B$3-100)*3)+Inputs!$B$27+Inputs!$B$28)))</f>
        <v/>
      </c>
      <c r="E285">
        <f>INDEX(FactorTable!$B$2:$Y$301, MATCH(ROUND(MIN(300,MAX(1,D285)),0), FactorTable!$A$2:$A$301,0), Skills!M12+1)</f>
        <v/>
      </c>
      <c r="F285">
        <f>IF(Skills!N12=TRUE,(Skills!L12/10)*(E285/1000),Skills!L12/10)+Skills!O12</f>
        <v/>
      </c>
      <c r="G285">
        <f>Skills!G12*IF(Skills!H12&gt;0,Skills!I12/Skills!H12,1)</f>
        <v/>
      </c>
      <c r="H285">
        <f>1-(1-Skills!J12/100)^Skills!K12</f>
        <v/>
      </c>
      <c r="I285" t="inlineStr">
        <is>
          <t>1</t>
        </is>
      </c>
      <c r="J285">
        <f>(Inputs!$B$5*(1+Inputs!$B$6/100))*(F285/100)</f>
        <v/>
      </c>
      <c r="K285">
        <f>J285*(1+((Inputs!$B$11*(1+Inputs!$B$12/100))*0.01+Inputs!$B$13*0.0025)/100)*(1+Inputs!$B$14/100)*(1+IF(Inputs!$B$4="pvp",0,(1-Summary!$B$55)*(Inputs!$B$19+0+Skills!P12+((C290=TRUE)*F290*IF(AND(Inputs!$B$4&lt;&gt;"pvp",Inputs!$B$35&gt;0),(((S290-1)*(Skills!T17*(1+Inputs!$B$33/100))+MIN((Skills!T17*(1+Inputs!$B$33/100)),MAX(0,Inputs!$B$35-((S290-1)*Skills!D17))))/Inputs!$B$35),IF(Inputs!$B$4="pvp",MIN((Skills!T17*(1+Inputs!$B$33/100)),15)/15,(Skills!T17*(1+Inputs!$B$33/100))/Skills!D17)))+((C287=TRUE)*IF(Inputs!$B$4="pvp",20,(1-Summary!$B$55)*(20)+Summary!$B$55*(0))*IF(AND(Inputs!$B$4&lt;&gt;"pvp",Inputs!$B$35&gt;0),(((S287-1)*(Skills!T14*(1+Inputs!$B$33/100))+MIN((Skills!T14*(1+Inputs!$B$33/100)),MAX(0,Inputs!$B$35-((S287-1)*Skills!D14))))/Inputs!$B$35),IF(Inputs!$B$4="pvp",MIN((Skills!T14*(1+Inputs!$B$33/100)),15)/15,(Skills!T14*(1+Inputs!$B$33/100))/Skills!D14))))+Summary!$B$55*((Inputs!$B$20+1)+Skills!Q12+((C290=TRUE)*F290*IF(AND(Inputs!$B$4&lt;&gt;"pvp",Inputs!$B$35&gt;0),(((S290-1)*(Skills!T17*(1+Inputs!$B$33/100))+MIN((Skills!T17*(1+Inputs!$B$33/100)),MAX(0,Inputs!$B$35-((S290-1)*Skills!D17))))/Inputs!$B$35),IF(Inputs!$B$4="pvp",MIN((Skills!T17*(1+Inputs!$B$33/100)),15)/15,(Skills!T17*(1+Inputs!$B$33/100))/Skills!D17)))))/100)*(1+Inputs!$B$15/100)*(5000/(6000+Inputs!$B$7*(1-(Inputs!$B$18+0)/100)))*(1+(Inputs!$B$23+((C298=TRUE)*(F298-Calc!F25))+((C299=TRUE)*(F299-Calc!F26))+B308)/100)*(1+0.75*IF(C284=TRUE,F284,0)/100)*(1+(IF(Skills!A12="DARK_IMPALE",Inputs!$B$16+0,Inputs!$B$17+((C296=TRUE)*(F296-Calc!F23))))/100)*((1+(((C286=TRUE)*F286*IF(AND(Inputs!$B$4&lt;&gt;"pvp",Inputs!$B$35&gt;0),(((S286-1)*(Skills!T13*(1+Inputs!$B$33/100))+MIN((Skills!T13*(1+Inputs!$B$33/100)),MAX(0,Inputs!$B$35-((S286-1)*Skills!D13))))/Inputs!$B$35),IF(Inputs!$B$4="pvp",MIN((Skills!T13*(1+Inputs!$B$33/100)),15)/15,(Skills!T13*(1+Inputs!$B$33/100))/Skills!D13)))+((C287=TRUE)*F287*IF(AND(Inputs!$B$4&lt;&gt;"pvp",Inputs!$B$35&gt;0),(((S287-1)*(Skills!T14*(1+Inputs!$B$33/100))+MIN((Skills!T14*(1+Inputs!$B$33/100)),MAX(0,Inputs!$B$35-((S287-1)*Skills!D14))))/Inputs!$B$35),IF(Inputs!$B$4="pvp",MIN((Skills!T14*(1+Inputs!$B$33/100)),15)/15,(Skills!T14*(1+Inputs!$B$33/100))/Skills!D14)))+((C288=TRUE)*F288*IF(AND(Inputs!$B$4&lt;&gt;"pvp",Inputs!$B$35&gt;0),(((S288-1)*(Skills!T15*(1+Inputs!$B$33/100))+MIN((Skills!T15*(1+Inputs!$B$33/100)),MAX(0,Inputs!$B$35-((S288-1)*Skills!D15))))/Inputs!$B$35),IF(Inputs!$B$4="pvp",MIN((Skills!T15*(1+Inputs!$B$33/100)),15)/15,(Skills!T15*(1+Inputs!$B$33/100))/Skills!D15)))+((C289=TRUE)*F289*IF(AND(Inputs!$B$4&lt;&gt;"pvp",Inputs!$B$35&gt;0),(((S289-1)*(Skills!T16*(1+Inputs!$B$33/100))+MIN((Skills!T16*(1+Inputs!$B$33/100)),MAX(0,Inputs!$B$35-((S289-1)*Skills!D16))))/Inputs!$B$35),IF(Inputs!$B$4="pvp",MIN((Skills!T16*(1+Inputs!$B$33/100)),15)/15,(Skills!T16*(1+Inputs!$B$33/100))/Skills!D16)))+0)/100)*I285)</f>
        <v/>
      </c>
      <c r="L285">
        <f>K285*(MIN(Inputs!$B$21+((C295=TRUE)*(F295-Calc!F22)),Inputs!$B$22+((C297=TRUE)*(F297-Calc!F24)))/100+(Inputs!$B$22+((C297=TRUE)*(F297-Calc!F24)))/100)/2</f>
        <v/>
      </c>
      <c r="M285">
        <f>L285*(1+(Inputs!$B$9+0+B307)/100)</f>
        <v/>
      </c>
      <c r="N285">
        <f>L285*(1-MIN((Inputs!$B$8+0+B302),100)/100)+M285*(MIN((Inputs!$B$8+0+B302),100)/100)</f>
        <v/>
      </c>
      <c r="O285">
        <f>IF(C285,H285*N285*IF(AND(Inputs!$B$4&lt;&gt;"pvp",Inputs!$B$35&gt;0),((Skills!G12*((R285-1)*IF(Skills!H12&gt;0,Skills!I12/Skills!H12,1)+IF(Skills!H12&gt;0,MIN(Skills!I12,MAX(0,Inputs!$B$35-((R285-1)*IF(Inputs!$B$4="pvp",15,MAX(0.1,Skills!D12-IF(Skills!E12=TRUE,Inputs!$B$31,0))))))/Skills!H12,1)))/Inputs!$B$35),G285*Q285)*IF(Inputs!$B$4="pvp",1,(1-Summary!$B$55)*(1)+Summary!$B$55*(MIN(Skills!R12,Inputs!$B$37))),0)</f>
        <v/>
      </c>
      <c r="P285">
        <f>IF(B310=0,0,O285/B310)</f>
        <v/>
      </c>
      <c r="Q285">
        <f>IFERROR(1/IF(Inputs!$B$4="pvp",15,MAX(0.1,Skills!D12-IF(Skills!E12=TRUE,Inputs!$B$31,0))),0)</f>
        <v/>
      </c>
      <c r="R285">
        <f>IF(AND(Inputs!$B$4&lt;&gt;"pvp",Inputs!$B$35&gt;0),(INT(Inputs!$B$35/IF(Inputs!$B$4="pvp",15,MAX(0.1,Skills!D12-IF(Skills!E12=TRUE,Inputs!$B$31,0))))+1),0)</f>
        <v/>
      </c>
      <c r="S285">
        <f>IFERROR(O285/N285,0)</f>
        <v/>
      </c>
    </row>
    <row r="286">
      <c r="A286">
        <f>Skills!A13</f>
        <v/>
      </c>
      <c r="B286">
        <f>Skills!B13</f>
        <v/>
      </c>
      <c r="C286">
        <f>Inputs!$B$3&gt;=69</f>
        <v/>
      </c>
      <c r="D286">
        <f>IF(Skills!C13=1,60+Inputs!$B$24+Inputs!$B$28,IF(Skills!C13=2,90+Inputs!$B$25+Inputs!$B$28,IF(Skills!C13=3,120+Inputs!$B$26+Inputs!$B$28,MAX(0,(Inputs!$B$3-100)*3)+Inputs!$B$27+Inputs!$B$28)))</f>
        <v/>
      </c>
      <c r="E286">
        <f>INDEX(FactorTable!$B$2:$Y$301, MATCH(ROUND(MIN(300,MAX(1,D286)),0), FactorTable!$A$2:$A$301,0), Skills!M13+1)</f>
        <v/>
      </c>
      <c r="F286">
        <f>IF(Skills!N13=TRUE,(Skills!L13/10)*(E286/1000),Skills!L13/10)+Skills!O13</f>
        <v/>
      </c>
      <c r="G286">
        <f>Skills!G13*IF(Skills!H13&gt;0,Skills!I13/Skills!H13,1)</f>
        <v/>
      </c>
      <c r="H286">
        <f>1-(1-Skills!J13/100)^Skills!K13</f>
        <v/>
      </c>
      <c r="I286" t="inlineStr">
        <is>
          <t>1</t>
        </is>
      </c>
      <c r="J286" t="inlineStr"/>
      <c r="K286" t="inlineStr"/>
      <c r="L286" t="inlineStr"/>
      <c r="M286" t="inlineStr"/>
      <c r="N286" t="inlineStr"/>
      <c r="O286" t="n">
        <v>0</v>
      </c>
      <c r="P286">
        <f>IF(B310=0,0,O286/B310)</f>
        <v/>
      </c>
      <c r="Q286">
        <f>IFERROR(1/IF(Inputs!$B$4="pvp",15,MAX(0.1,Skills!D13-IF(Skills!E13=TRUE,Inputs!$B$31,0))),0)</f>
        <v/>
      </c>
      <c r="R286">
        <f>IF(AND(Inputs!$B$4&lt;&gt;"pvp",Inputs!$B$35&gt;0),(INT(Inputs!$B$35/IF(Inputs!$B$4="pvp",15,MAX(0.1,Skills!D13-IF(Skills!E13=TRUE,Inputs!$B$31,0))))+1),0)</f>
        <v/>
      </c>
      <c r="S286">
        <f>IFERROR(O286/N286,0)</f>
        <v/>
      </c>
    </row>
    <row r="287">
      <c r="A287">
        <f>Skills!A14</f>
        <v/>
      </c>
      <c r="B287">
        <f>Skills!B14</f>
        <v/>
      </c>
      <c r="C287">
        <f>Inputs!$B$3&gt;=115</f>
        <v/>
      </c>
      <c r="D287">
        <f>IF(Skills!C14=1,60+Inputs!$B$24+Inputs!$B$28,IF(Skills!C14=2,90+Inputs!$B$25+Inputs!$B$28,IF(Skills!C14=3,120+Inputs!$B$26+Inputs!$B$28,MAX(0,(Inputs!$B$3-100)*3)+Inputs!$B$27+Inputs!$B$28)))</f>
        <v/>
      </c>
      <c r="E287">
        <f>INDEX(FactorTable!$B$2:$Y$301, MATCH(ROUND(MIN(300,MAX(1,D287)),0), FactorTable!$A$2:$A$301,0), Skills!M14+1)</f>
        <v/>
      </c>
      <c r="F287">
        <f>IF(Skills!N14=TRUE,(Skills!L14/10)*(E287/1000),Skills!L14/10)+Skills!O14</f>
        <v/>
      </c>
      <c r="G287">
        <f>Skills!G14*IF(Skills!H14&gt;0,Skills!I14/Skills!H14,1)</f>
        <v/>
      </c>
      <c r="H287">
        <f>1-(1-Skills!J14/100)^Skills!K14</f>
        <v/>
      </c>
      <c r="I287" t="inlineStr">
        <is>
          <t>1</t>
        </is>
      </c>
      <c r="J287" t="inlineStr"/>
      <c r="K287" t="inlineStr"/>
      <c r="L287" t="inlineStr"/>
      <c r="M287" t="inlineStr"/>
      <c r="N287" t="inlineStr"/>
      <c r="O287" t="n">
        <v>0</v>
      </c>
      <c r="P287">
        <f>IF(B310=0,0,O287/B310)</f>
        <v/>
      </c>
      <c r="Q287">
        <f>IFERROR(1/IF(Inputs!$B$4="pvp",15,MAX(0.1,Skills!D14-IF(Skills!E14=TRUE,Inputs!$B$31,0))),0)</f>
        <v/>
      </c>
      <c r="R287">
        <f>IF(AND(Inputs!$B$4&lt;&gt;"pvp",Inputs!$B$35&gt;0),(INT(Inputs!$B$35/IF(Inputs!$B$4="pvp",15,MAX(0.1,Skills!D14-IF(Skills!E14=TRUE,Inputs!$B$31,0))))+1),0)</f>
        <v/>
      </c>
      <c r="S287">
        <f>IFERROR(O287/N287,0)</f>
        <v/>
      </c>
    </row>
    <row r="288">
      <c r="A288">
        <f>Skills!A15</f>
        <v/>
      </c>
      <c r="B288">
        <f>Skills!B15</f>
        <v/>
      </c>
      <c r="C288">
        <f>Inputs!$B$3&gt;=66</f>
        <v/>
      </c>
      <c r="D288">
        <f>IF(Skills!C15=1,60+Inputs!$B$24+Inputs!$B$28,IF(Skills!C15=2,90+Inputs!$B$25+Inputs!$B$28,IF(Skills!C15=3,120+Inputs!$B$26+Inputs!$B$28,MAX(0,(Inputs!$B$3-100)*3)+Inputs!$B$27+Inputs!$B$28)))</f>
        <v/>
      </c>
      <c r="E288">
        <f>INDEX(FactorTable!$B$2:$Y$301, MATCH(ROUND(MIN(300,MAX(1,D288)),0), FactorTable!$A$2:$A$301,0), Skills!M15+1)</f>
        <v/>
      </c>
      <c r="F288">
        <f>IF(Skills!N15=TRUE,(Skills!L15/10)*(E288/1000),Skills!L15/10)+Skills!O15</f>
        <v/>
      </c>
      <c r="G288">
        <f>Skills!G15*IF(Skills!H15&gt;0,Skills!I15/Skills!H15,1)</f>
        <v/>
      </c>
      <c r="H288">
        <f>1-(1-Skills!J15/100)^Skills!K15</f>
        <v/>
      </c>
      <c r="I288" t="inlineStr">
        <is>
          <t>1</t>
        </is>
      </c>
      <c r="J288" t="inlineStr"/>
      <c r="K288" t="inlineStr"/>
      <c r="L288" t="inlineStr"/>
      <c r="M288" t="inlineStr"/>
      <c r="N288" t="inlineStr"/>
      <c r="O288" t="n">
        <v>0</v>
      </c>
      <c r="P288">
        <f>IF(B310=0,0,O288/B310)</f>
        <v/>
      </c>
      <c r="Q288">
        <f>IFERROR(1/IF(Inputs!$B$4="pvp",15,MAX(0.1,Skills!D15-IF(Skills!E15=TRUE,Inputs!$B$31,0))),0)</f>
        <v/>
      </c>
      <c r="R288">
        <f>IF(AND(Inputs!$B$4&lt;&gt;"pvp",Inputs!$B$35&gt;0),(INT(Inputs!$B$35/IF(Inputs!$B$4="pvp",15,MAX(0.1,Skills!D15-IF(Skills!E15=TRUE,Inputs!$B$31,0))))+1),0)</f>
        <v/>
      </c>
      <c r="S288">
        <f>IFERROR(O288/N288,0)</f>
        <v/>
      </c>
    </row>
    <row r="289">
      <c r="A289">
        <f>Skills!A16</f>
        <v/>
      </c>
      <c r="B289">
        <f>Skills!B16</f>
        <v/>
      </c>
      <c r="C289">
        <f>Inputs!$B$3&gt;=45</f>
        <v/>
      </c>
      <c r="D289">
        <f>IF(Skills!C16=1,60+Inputs!$B$24+Inputs!$B$28,IF(Skills!C16=2,90+Inputs!$B$25+Inputs!$B$28,IF(Skills!C16=3,120+Inputs!$B$26+Inputs!$B$28,MAX(0,(Inputs!$B$3-100)*3)+Inputs!$B$27+Inputs!$B$28)))</f>
        <v/>
      </c>
      <c r="E289">
        <f>INDEX(FactorTable!$B$2:$Y$301, MATCH(ROUND(MIN(300,MAX(1,D289)),0), FactorTable!$A$2:$A$301,0), Skills!M16+1)</f>
        <v/>
      </c>
      <c r="F289">
        <f>IF(Skills!N16=TRUE,(Skills!L16/10)*(E289/1000),Skills!L16/10)+Skills!O16</f>
        <v/>
      </c>
      <c r="G289">
        <f>Skills!G16*IF(Skills!H16&gt;0,Skills!I16/Skills!H16,1)</f>
        <v/>
      </c>
      <c r="H289">
        <f>1-(1-Skills!J16/100)^Skills!K16</f>
        <v/>
      </c>
      <c r="I289" t="inlineStr">
        <is>
          <t>1</t>
        </is>
      </c>
      <c r="J289" t="inlineStr"/>
      <c r="K289" t="inlineStr"/>
      <c r="L289" t="inlineStr"/>
      <c r="M289" t="inlineStr"/>
      <c r="N289" t="inlineStr"/>
      <c r="O289" t="n">
        <v>0</v>
      </c>
      <c r="P289">
        <f>IF(B310=0,0,O289/B310)</f>
        <v/>
      </c>
      <c r="Q289">
        <f>IFERROR(1/IF(Inputs!$B$4="pvp",15,MAX(0.1,Skills!D16-IF(Skills!E16=TRUE,Inputs!$B$31,0))),0)</f>
        <v/>
      </c>
      <c r="R289">
        <f>IF(AND(Inputs!$B$4&lt;&gt;"pvp",Inputs!$B$35&gt;0),(INT(Inputs!$B$35/IF(Inputs!$B$4="pvp",15,MAX(0.1,Skills!D16-IF(Skills!E16=TRUE,Inputs!$B$31,0))))+1),0)</f>
        <v/>
      </c>
      <c r="S289">
        <f>IFERROR(O289/N289,0)</f>
        <v/>
      </c>
    </row>
    <row r="290">
      <c r="A290">
        <f>Skills!A17</f>
        <v/>
      </c>
      <c r="B290">
        <f>Skills!B17</f>
        <v/>
      </c>
      <c r="C290">
        <f>Inputs!$B$3&gt;=35</f>
        <v/>
      </c>
      <c r="D290">
        <f>IF(Skills!C17=1,60+Inputs!$B$24+Inputs!$B$28,IF(Skills!C17=2,90+Inputs!$B$25+Inputs!$B$28,IF(Skills!C17=3,120+Inputs!$B$26+Inputs!$B$28,MAX(0,(Inputs!$B$3-100)*3)+Inputs!$B$27+Inputs!$B$28)))</f>
        <v/>
      </c>
      <c r="E290">
        <f>INDEX(FactorTable!$B$2:$Y$301, MATCH(ROUND(MIN(300,MAX(1,D290)),0), FactorTable!$A$2:$A$301,0), Skills!M17+1)</f>
        <v/>
      </c>
      <c r="F290">
        <f>IF(Skills!N17=TRUE,(Skills!L17/10)*(E290/1000),Skills!L17/10)+Skills!O17</f>
        <v/>
      </c>
      <c r="G290">
        <f>Skills!G17*IF(Skills!H17&gt;0,Skills!I17/Skills!H17,1)</f>
        <v/>
      </c>
      <c r="H290">
        <f>1-(1-Skills!J17/100)^Skills!K17</f>
        <v/>
      </c>
      <c r="I290" t="inlineStr">
        <is>
          <t>1</t>
        </is>
      </c>
      <c r="J290" t="inlineStr"/>
      <c r="K290" t="inlineStr"/>
      <c r="L290" t="inlineStr"/>
      <c r="M290" t="inlineStr"/>
      <c r="N290" t="inlineStr"/>
      <c r="O290" t="n">
        <v>0</v>
      </c>
      <c r="P290">
        <f>IF(B310=0,0,O290/B310)</f>
        <v/>
      </c>
      <c r="Q290">
        <f>IFERROR(1/IF(Inputs!$B$4="pvp",15,MAX(0.1,Skills!D17-IF(Skills!E17=TRUE,Inputs!$B$31,0))),0)</f>
        <v/>
      </c>
      <c r="R290">
        <f>IF(AND(Inputs!$B$4&lt;&gt;"pvp",Inputs!$B$35&gt;0),(INT(Inputs!$B$35/IF(Inputs!$B$4="pvp",15,MAX(0.1,Skills!D17-IF(Skills!E17=TRUE,Inputs!$B$31,0))))+1),0)</f>
        <v/>
      </c>
      <c r="S290">
        <f>IFERROR(O290/N290,0)</f>
        <v/>
      </c>
    </row>
    <row r="291">
      <c r="A291">
        <f>Skills!A18</f>
        <v/>
      </c>
      <c r="B291">
        <f>Skills!B18</f>
        <v/>
      </c>
      <c r="C291">
        <f>Inputs!$B$3&gt;=72</f>
        <v/>
      </c>
      <c r="D291">
        <f>IF(Skills!C18=1,60+Inputs!$B$24+Inputs!$B$28,IF(Skills!C18=2,90+Inputs!$B$25+Inputs!$B$28,IF(Skills!C18=3,120+Inputs!$B$26+Inputs!$B$28,MAX(0,(Inputs!$B$3-100)*3)+Inputs!$B$27+Inputs!$B$28)))</f>
        <v/>
      </c>
      <c r="E291">
        <f>INDEX(FactorTable!$B$2:$Y$301, MATCH(ROUND(MIN(300,MAX(1,D291)),0), FactorTable!$A$2:$A$301,0), Skills!M18+1)</f>
        <v/>
      </c>
      <c r="F291">
        <f>IF(Skills!N18=TRUE,(Skills!L18/10)*(E291/1000),Skills!L18/10)+Skills!O18</f>
        <v/>
      </c>
      <c r="G291">
        <f>Skills!G18*IF(Skills!H18&gt;0,Skills!I18/Skills!H18,1)</f>
        <v/>
      </c>
      <c r="H291">
        <f>1-(1-Skills!J18/100)^Skills!K18</f>
        <v/>
      </c>
      <c r="I291" t="inlineStr">
        <is>
          <t>1</t>
        </is>
      </c>
      <c r="J291" t="inlineStr"/>
      <c r="K291" t="inlineStr"/>
      <c r="L291" t="inlineStr"/>
      <c r="M291" t="inlineStr"/>
      <c r="N291" t="inlineStr"/>
      <c r="O291" t="n">
        <v>0</v>
      </c>
      <c r="P291">
        <f>IF(B310=0,0,O291/B310)</f>
        <v/>
      </c>
      <c r="Q291">
        <f>IFERROR(1/IF(Inputs!$B$4="pvp",15,MAX(0.1,Skills!D18-IF(Skills!E18=TRUE,Inputs!$B$31,0))),0)</f>
        <v/>
      </c>
      <c r="R291">
        <f>IF(AND(Inputs!$B$4&lt;&gt;"pvp",Inputs!$B$35&gt;0),(INT(Inputs!$B$35/IF(Inputs!$B$4="pvp",15,MAX(0.1,Skills!D18-IF(Skills!E18=TRUE,Inputs!$B$31,0))))+1),0)</f>
        <v/>
      </c>
      <c r="S291">
        <f>IFERROR(O291/N291,0)</f>
        <v/>
      </c>
    </row>
    <row r="292">
      <c r="A292">
        <f>Skills!A19</f>
        <v/>
      </c>
      <c r="B292">
        <f>Skills!B19</f>
        <v/>
      </c>
      <c r="C292">
        <f>Inputs!$B$3&gt;=72</f>
        <v/>
      </c>
      <c r="D292">
        <f>IF(Skills!C19=1,60+Inputs!$B$24+Inputs!$B$28,IF(Skills!C19=2,90+Inputs!$B$25+Inputs!$B$28,IF(Skills!C19=3,120+Inputs!$B$26+Inputs!$B$28,MAX(0,(Inputs!$B$3-100)*3)+Inputs!$B$27+Inputs!$B$28)))</f>
        <v/>
      </c>
      <c r="E292">
        <f>INDEX(FactorTable!$B$2:$Y$301, MATCH(ROUND(MIN(300,MAX(1,D292)),0), FactorTable!$A$2:$A$301,0), Skills!M19+1)</f>
        <v/>
      </c>
      <c r="F292">
        <f>IF(Skills!N19=TRUE,(Skills!L19/10)*(E292/1000),Skills!L19/10)+Skills!O19</f>
        <v/>
      </c>
      <c r="G292">
        <f>Skills!G19*IF(Skills!H19&gt;0,Skills!I19/Skills!H19,1)</f>
        <v/>
      </c>
      <c r="H292">
        <f>1-(1-Skills!J19/100)^Skills!K19</f>
        <v/>
      </c>
      <c r="I292" t="inlineStr">
        <is>
          <t>1</t>
        </is>
      </c>
      <c r="J292" t="inlineStr"/>
      <c r="K292" t="inlineStr"/>
      <c r="L292" t="inlineStr"/>
      <c r="M292" t="inlineStr"/>
      <c r="N292" t="inlineStr"/>
      <c r="O292" t="n">
        <v>0</v>
      </c>
      <c r="P292">
        <f>IF(B310=0,0,O292/B310)</f>
        <v/>
      </c>
      <c r="Q292">
        <f>IFERROR(1/IF(Inputs!$B$4="pvp",15,MAX(0.1,Skills!D19-IF(Skills!E19=TRUE,Inputs!$B$31,0))),0)</f>
        <v/>
      </c>
      <c r="R292">
        <f>IF(AND(Inputs!$B$4&lt;&gt;"pvp",Inputs!$B$35&gt;0),(INT(Inputs!$B$35/IF(Inputs!$B$4="pvp",15,MAX(0.1,Skills!D19-IF(Skills!E19=TRUE,Inputs!$B$31,0))))+1),0)</f>
        <v/>
      </c>
      <c r="S292">
        <f>IFERROR(O292/N292,0)</f>
        <v/>
      </c>
    </row>
    <row r="293">
      <c r="A293">
        <f>Skills!A20</f>
        <v/>
      </c>
      <c r="B293">
        <f>Skills!B20</f>
        <v/>
      </c>
      <c r="C293">
        <f>TRUE</f>
        <v/>
      </c>
      <c r="D293">
        <f>IF(Skills!C20=1,60+Inputs!$B$24+Inputs!$B$28,IF(Skills!C20=2,90+Inputs!$B$25+Inputs!$B$28,IF(Skills!C20=3,120+Inputs!$B$26+Inputs!$B$28,MAX(0,(Inputs!$B$3-100)*3)+Inputs!$B$27+Inputs!$B$28)))</f>
        <v/>
      </c>
      <c r="E293">
        <f>INDEX(FactorTable!$B$2:$Y$301, MATCH(ROUND(MIN(300,MAX(1,D293)),0), FactorTable!$A$2:$A$301,0), Skills!M20+1)</f>
        <v/>
      </c>
      <c r="F293">
        <f>IF(Skills!N20=TRUE,(Skills!L20/10)*(E293/1000),Skills!L20/10)+Skills!O20</f>
        <v/>
      </c>
      <c r="G293">
        <f>Skills!G20*IF(Skills!H20&gt;0,Skills!I20/Skills!H20,1)</f>
        <v/>
      </c>
      <c r="H293">
        <f>1-(1-Skills!J20/100)^Skills!K20</f>
        <v/>
      </c>
      <c r="I293" t="inlineStr">
        <is>
          <t>1</t>
        </is>
      </c>
      <c r="J293" t="inlineStr"/>
      <c r="K293" t="inlineStr"/>
      <c r="L293" t="inlineStr"/>
      <c r="M293" t="inlineStr"/>
      <c r="N293" t="inlineStr"/>
      <c r="O293" t="n">
        <v>0</v>
      </c>
      <c r="P293">
        <f>IF(B310=0,0,O293/B310)</f>
        <v/>
      </c>
      <c r="Q293">
        <f>IFERROR(1/IF(Inputs!$B$4="pvp",15,MAX(0.1,Skills!D20-IF(Skills!E20=TRUE,Inputs!$B$31,0))),0)</f>
        <v/>
      </c>
      <c r="R293">
        <f>IF(AND(Inputs!$B$4&lt;&gt;"pvp",Inputs!$B$35&gt;0),(INT(Inputs!$B$35/IF(Inputs!$B$4="pvp",15,MAX(0.1,Skills!D20-IF(Skills!E20=TRUE,Inputs!$B$31,0))))+1),0)</f>
        <v/>
      </c>
      <c r="S293">
        <f>IFERROR(O293/N293,0)</f>
        <v/>
      </c>
    </row>
    <row r="294">
      <c r="A294">
        <f>Skills!A21</f>
        <v/>
      </c>
      <c r="B294">
        <f>Skills!B21</f>
        <v/>
      </c>
      <c r="C294">
        <f>Inputs!$B$3&gt;=33</f>
        <v/>
      </c>
      <c r="D294">
        <f>IF(Skills!C21=1,60+Inputs!$B$24+Inputs!$B$28,IF(Skills!C21=2,90+Inputs!$B$25+Inputs!$B$28,IF(Skills!C21=3,120+Inputs!$B$26+Inputs!$B$28,MAX(0,(Inputs!$B$3-100)*3)+Inputs!$B$27+Inputs!$B$28)))</f>
        <v/>
      </c>
      <c r="E294">
        <f>INDEX(FactorTable!$B$2:$Y$301, MATCH(ROUND(MIN(300,MAX(1,D294)),0), FactorTable!$A$2:$A$301,0), Skills!M21+1)</f>
        <v/>
      </c>
      <c r="F294">
        <f>IF(Skills!N21=TRUE,(Skills!L21/10)*(E294/1000),Skills!L21/10)+Skills!O21</f>
        <v/>
      </c>
      <c r="G294">
        <f>Skills!G21*IF(Skills!H21&gt;0,Skills!I21/Skills!H21,1)</f>
        <v/>
      </c>
      <c r="H294">
        <f>1-(1-Skills!J21/100)^Skills!K21</f>
        <v/>
      </c>
      <c r="I294" t="inlineStr">
        <is>
          <t>1</t>
        </is>
      </c>
      <c r="J294" t="inlineStr"/>
      <c r="K294" t="inlineStr"/>
      <c r="L294" t="inlineStr"/>
      <c r="M294" t="inlineStr"/>
      <c r="N294" t="inlineStr"/>
      <c r="O294" t="n">
        <v>0</v>
      </c>
      <c r="P294">
        <f>IF(B310=0,0,O294/B310)</f>
        <v/>
      </c>
      <c r="Q294" t="n">
        <v>0</v>
      </c>
      <c r="R294" t="n">
        <v>0</v>
      </c>
      <c r="S294">
        <f>IFERROR(O294/N294,0)</f>
        <v/>
      </c>
    </row>
    <row r="295">
      <c r="A295">
        <f>Skills!A22</f>
        <v/>
      </c>
      <c r="B295">
        <f>Skills!B22</f>
        <v/>
      </c>
      <c r="C295">
        <f>Inputs!$B$3&gt;=43</f>
        <v/>
      </c>
      <c r="D295">
        <f>IF(Skills!C22=1,60+Inputs!$B$24+Inputs!$B$28,IF(Skills!C22=2,90+Inputs!$B$25+Inputs!$B$28,IF(Skills!C22=3,120+Inputs!$B$26+Inputs!$B$28,MAX(0,(Inputs!$B$3-100)*3)+Inputs!$B$27+Inputs!$B$28)))</f>
        <v/>
      </c>
      <c r="E295">
        <f>INDEX(FactorTable!$B$2:$Y$301, MATCH(ROUND(MIN(300,MAX(1,D295)),0), FactorTable!$A$2:$A$301,0), Skills!M22+1)</f>
        <v/>
      </c>
      <c r="F295">
        <f>IF(Skills!N22=TRUE,(Skills!L22/10)*(E295/1000),Skills!L22/10)+Skills!O22</f>
        <v/>
      </c>
      <c r="G295">
        <f>Skills!G22*IF(Skills!H22&gt;0,Skills!I22/Skills!H22,1)</f>
        <v/>
      </c>
      <c r="H295">
        <f>1-(1-Skills!J22/100)^Skills!K22</f>
        <v/>
      </c>
      <c r="I295" t="inlineStr">
        <is>
          <t>1</t>
        </is>
      </c>
      <c r="J295" t="inlineStr"/>
      <c r="K295" t="inlineStr"/>
      <c r="L295" t="inlineStr"/>
      <c r="M295" t="inlineStr"/>
      <c r="N295" t="inlineStr"/>
      <c r="O295" t="n">
        <v>0</v>
      </c>
      <c r="P295">
        <f>IF(B310=0,0,O295/B310)</f>
        <v/>
      </c>
      <c r="Q295" t="n">
        <v>0</v>
      </c>
      <c r="R295" t="n">
        <v>0</v>
      </c>
      <c r="S295">
        <f>IFERROR(O295/N295,0)</f>
        <v/>
      </c>
    </row>
    <row r="296">
      <c r="A296">
        <f>Skills!A23</f>
        <v/>
      </c>
      <c r="B296">
        <f>Skills!B23</f>
        <v/>
      </c>
      <c r="C296">
        <f>Inputs!$B$3&gt;=120</f>
        <v/>
      </c>
      <c r="D296">
        <f>IF(Skills!C23=1,60+Inputs!$B$24+Inputs!$B$28,IF(Skills!C23=2,90+Inputs!$B$25+Inputs!$B$28,IF(Skills!C23=3,120+Inputs!$B$26+Inputs!$B$28,MAX(0,(Inputs!$B$3-100)*3)+Inputs!$B$27+Inputs!$B$28)))</f>
        <v/>
      </c>
      <c r="E296">
        <f>INDEX(FactorTable!$B$2:$Y$301, MATCH(ROUND(MIN(300,MAX(1,D296)),0), FactorTable!$A$2:$A$301,0), Skills!M23+1)</f>
        <v/>
      </c>
      <c r="F296">
        <f>IF(Skills!N23=TRUE,(Skills!L23/10)*(E296/1000),Skills!L23/10)+Skills!O23</f>
        <v/>
      </c>
      <c r="G296">
        <f>Skills!G23*IF(Skills!H23&gt;0,Skills!I23/Skills!H23,1)</f>
        <v/>
      </c>
      <c r="H296">
        <f>1-(1-Skills!J23/100)^Skills!K23</f>
        <v/>
      </c>
      <c r="I296" t="inlineStr">
        <is>
          <t>1</t>
        </is>
      </c>
      <c r="J296" t="inlineStr"/>
      <c r="K296" t="inlineStr"/>
      <c r="L296" t="inlineStr"/>
      <c r="M296" t="inlineStr"/>
      <c r="N296" t="inlineStr"/>
      <c r="O296" t="n">
        <v>0</v>
      </c>
      <c r="P296">
        <f>IF(B310=0,0,O296/B310)</f>
        <v/>
      </c>
      <c r="Q296" t="n">
        <v>0</v>
      </c>
      <c r="R296" t="n">
        <v>0</v>
      </c>
      <c r="S296">
        <f>IFERROR(O296/N296,0)</f>
        <v/>
      </c>
    </row>
    <row r="297">
      <c r="A297">
        <f>Skills!A24</f>
        <v/>
      </c>
      <c r="B297">
        <f>Skills!B24</f>
        <v/>
      </c>
      <c r="C297">
        <f>Inputs!$B$3&gt;=120</f>
        <v/>
      </c>
      <c r="D297">
        <f>IF(Skills!C24=1,60+Inputs!$B$24+Inputs!$B$28,IF(Skills!C24=2,90+Inputs!$B$25+Inputs!$B$28,IF(Skills!C24=3,120+Inputs!$B$26+Inputs!$B$28,MAX(0,(Inputs!$B$3-100)*3)+Inputs!$B$27+Inputs!$B$28)))</f>
        <v/>
      </c>
      <c r="E297">
        <f>INDEX(FactorTable!$B$2:$Y$301, MATCH(ROUND(MIN(300,MAX(1,D297)),0), FactorTable!$A$2:$A$301,0), Skills!M24+1)</f>
        <v/>
      </c>
      <c r="F297">
        <f>IF(Skills!N24=TRUE,(Skills!L24/10)*(E297/1000),Skills!L24/10)+Skills!O24</f>
        <v/>
      </c>
      <c r="G297">
        <f>Skills!G24*IF(Skills!H24&gt;0,Skills!I24/Skills!H24,1)</f>
        <v/>
      </c>
      <c r="H297">
        <f>1-(1-Skills!J24/100)^Skills!K24</f>
        <v/>
      </c>
      <c r="I297" t="inlineStr">
        <is>
          <t>1</t>
        </is>
      </c>
      <c r="J297" t="inlineStr"/>
      <c r="K297" t="inlineStr"/>
      <c r="L297" t="inlineStr"/>
      <c r="M297" t="inlineStr"/>
      <c r="N297" t="inlineStr"/>
      <c r="O297" t="n">
        <v>0</v>
      </c>
      <c r="P297">
        <f>IF(B310=0,0,O297/B310)</f>
        <v/>
      </c>
      <c r="Q297" t="n">
        <v>0</v>
      </c>
      <c r="R297" t="n">
        <v>0</v>
      </c>
      <c r="S297">
        <f>IFERROR(O297/N297,0)</f>
        <v/>
      </c>
    </row>
    <row r="298">
      <c r="A298">
        <f>Skills!A25</f>
        <v/>
      </c>
      <c r="B298">
        <f>Skills!B25</f>
        <v/>
      </c>
      <c r="C298">
        <f>Inputs!$B$3&gt;=125</f>
        <v/>
      </c>
      <c r="D298">
        <f>IF(Skills!C25=1,60+Inputs!$B$24+Inputs!$B$28,IF(Skills!C25=2,90+Inputs!$B$25+Inputs!$B$28,IF(Skills!C25=3,120+Inputs!$B$26+Inputs!$B$28,MAX(0,(Inputs!$B$3-100)*3)+Inputs!$B$27+Inputs!$B$28)))</f>
        <v/>
      </c>
      <c r="E298">
        <f>INDEX(FactorTable!$B$2:$Y$301, MATCH(ROUND(MIN(300,MAX(1,D298)),0), FactorTable!$A$2:$A$301,0), Skills!M25+1)</f>
        <v/>
      </c>
      <c r="F298">
        <f>IF(Skills!N25=TRUE,(Skills!L25/10)*(E298/1000),Skills!L25/10)+Skills!O25</f>
        <v/>
      </c>
      <c r="G298">
        <f>Skills!G25*IF(Skills!H25&gt;0,Skills!I25/Skills!H25,1)</f>
        <v/>
      </c>
      <c r="H298">
        <f>1-(1-Skills!J25/100)^Skills!K25</f>
        <v/>
      </c>
      <c r="I298" t="inlineStr">
        <is>
          <t>1</t>
        </is>
      </c>
      <c r="J298" t="inlineStr"/>
      <c r="K298" t="inlineStr"/>
      <c r="L298" t="inlineStr"/>
      <c r="M298" t="inlineStr"/>
      <c r="N298" t="inlineStr"/>
      <c r="O298" t="n">
        <v>0</v>
      </c>
      <c r="P298">
        <f>IF(B310=0,0,O298/B310)</f>
        <v/>
      </c>
      <c r="Q298" t="n">
        <v>0</v>
      </c>
      <c r="R298" t="n">
        <v>0</v>
      </c>
      <c r="S298">
        <f>IFERROR(O298/N298,0)</f>
        <v/>
      </c>
    </row>
    <row r="299">
      <c r="A299">
        <f>Skills!A26</f>
        <v/>
      </c>
      <c r="B299">
        <f>Skills!B26</f>
        <v/>
      </c>
      <c r="C299">
        <f>Inputs!$B$3&gt;=107</f>
        <v/>
      </c>
      <c r="D299">
        <f>IF(Skills!C26=1,60+Inputs!$B$24+Inputs!$B$28,IF(Skills!C26=2,90+Inputs!$B$25+Inputs!$B$28,IF(Skills!C26=3,120+Inputs!$B$26+Inputs!$B$28,MAX(0,(Inputs!$B$3-100)*3)+Inputs!$B$27+Inputs!$B$28)))</f>
        <v/>
      </c>
      <c r="E299">
        <f>INDEX(FactorTable!$B$2:$Y$301, MATCH(ROUND(MIN(300,MAX(1,D299)),0), FactorTable!$A$2:$A$301,0), Skills!M26+1)</f>
        <v/>
      </c>
      <c r="F299">
        <f>IF(Skills!N26=TRUE,(Skills!L26/10)*(E299/1000),Skills!L26/10)+Skills!O26</f>
        <v/>
      </c>
      <c r="G299">
        <f>Skills!G26*IF(Skills!H26&gt;0,Skills!I26/Skills!H26,1)</f>
        <v/>
      </c>
      <c r="H299">
        <f>1-(1-Skills!J26/100)^Skills!K26</f>
        <v/>
      </c>
      <c r="I299" t="inlineStr">
        <is>
          <t>1</t>
        </is>
      </c>
      <c r="J299" t="inlineStr"/>
      <c r="K299" t="inlineStr"/>
      <c r="L299" t="inlineStr"/>
      <c r="M299" t="inlineStr"/>
      <c r="N299" t="inlineStr"/>
      <c r="O299" t="n">
        <v>0</v>
      </c>
      <c r="P299">
        <f>IF(B310=0,0,O299/B310)</f>
        <v/>
      </c>
      <c r="Q299" t="n">
        <v>0</v>
      </c>
      <c r="R299" t="n">
        <v>0</v>
      </c>
      <c r="S299">
        <f>IFERROR(O299/N299,0)</f>
        <v/>
      </c>
    </row>
    <row r="301">
      <c r="A301" t="inlineStr">
        <is>
          <t>Attack% Bucket Multiplier</t>
        </is>
      </c>
      <c r="B301">
        <f>(1+(((C286=TRUE)*F286*IF(AND(Inputs!$B$4&lt;&gt;"pvp",Inputs!$B$35&gt;0),(((S286-1)*(Skills!T13*(1+Inputs!$B$33/100))+MIN((Skills!T13*(1+Inputs!$B$33/100)),MAX(0,Inputs!$B$35-((S286-1)*Skills!D13))))/Inputs!$B$35),IF(Inputs!$B$4="pvp",MIN((Skills!T13*(1+Inputs!$B$33/100)),15)/15,(Skills!T13*(1+Inputs!$B$33/100))/Skills!D13)))+((C287=TRUE)*F287*IF(AND(Inputs!$B$4&lt;&gt;"pvp",Inputs!$B$35&gt;0),(((S287-1)*(Skills!T14*(1+Inputs!$B$33/100))+MIN((Skills!T14*(1+Inputs!$B$33/100)),MAX(0,Inputs!$B$35-((S287-1)*Skills!D14))))/Inputs!$B$35),IF(Inputs!$B$4="pvp",MIN((Skills!T14*(1+Inputs!$B$33/100)),15)/15,(Skills!T14*(1+Inputs!$B$33/100))/Skills!D14)))+((C288=TRUE)*F288*IF(AND(Inputs!$B$4&lt;&gt;"pvp",Inputs!$B$35&gt;0),(((S288-1)*(Skills!T15*(1+Inputs!$B$33/100))+MIN((Skills!T15*(1+Inputs!$B$33/100)),MAX(0,Inputs!$B$35-((S288-1)*Skills!D15))))/Inputs!$B$35),IF(Inputs!$B$4="pvp",MIN((Skills!T15*(1+Inputs!$B$33/100)),15)/15,(Skills!T15*(1+Inputs!$B$33/100))/Skills!D15)))+((C289=TRUE)*F289*IF(AND(Inputs!$B$4&lt;&gt;"pvp",Inputs!$B$35&gt;0),(((S289-1)*(Skills!T16*(1+Inputs!$B$33/100))+MIN((Skills!T16*(1+Inputs!$B$33/100)),MAX(0,Inputs!$B$35-((S289-1)*Skills!D16))))/Inputs!$B$35),IF(Inputs!$B$4="pvp",MIN((Skills!T16*(1+Inputs!$B$33/100)),15)/15,(Skills!T16*(1+Inputs!$B$33/100))/Skills!D16)))+0)/100)</f>
        <v/>
      </c>
    </row>
    <row r="302">
      <c r="A302" t="inlineStr">
        <is>
          <t>Global Crit Rate Bonus % (Lord of Darkness)</t>
        </is>
      </c>
      <c r="B302">
        <f>((C291=TRUE)*F291*(Skills!J18/100)*IF(AND(Inputs!$B$4&lt;&gt;"pvp",Inputs!$B$35&gt;0),(((S291-1)*(Skills!T18*(1+Inputs!$B$33/100))+MIN((Skills!T18*(1+Inputs!$B$33/100)),MAX(0,Inputs!$B$35-((S291-1)*Skills!D18))))/Inputs!$B$35),IF(Inputs!$B$4="pvp",MIN((Skills!T18*(1+Inputs!$B$33/100)),15)/15,(Skills!T18*(1+Inputs!$B$33/100))/Skills!D18)))</f>
        <v/>
      </c>
    </row>
    <row r="303">
      <c r="A303" t="inlineStr">
        <is>
          <t>Attack Speed Buff Bonus %</t>
        </is>
      </c>
      <c r="B303">
        <f>((C293=TRUE)*F293*IF(AND(Inputs!$B$4&lt;&gt;"pvp",Inputs!$B$35&gt;0),(((S293-1)*(Skills!T20*(1+Inputs!$B$33/100))+MIN((Skills!T20*(1+Inputs!$B$33/100)),MAX(0,Inputs!$B$35-((S293-1)*Skills!D20))))/Inputs!$B$35),IF(Inputs!$B$4="pvp",MIN((Skills!T20*(1+Inputs!$B$33/100)),15)/15,(Skills!T20*(1+Inputs!$B$33/100))/Skills!D20)))</f>
        <v/>
      </c>
    </row>
    <row r="304">
      <c r="A304" t="inlineStr">
        <is>
          <t>Actions Per Second</t>
        </is>
      </c>
      <c r="B304">
        <f>1+MIN(150,150*(1-(1-(Inputs!$B$10+((C294=TRUE)*(F294-Calc!F21)))/150)*(1-B303/150)))/100</f>
        <v/>
      </c>
    </row>
    <row r="305">
      <c r="A305" t="inlineStr">
        <is>
          <t>Skill + Buff Cast Rate</t>
        </is>
      </c>
      <c r="B305">
        <f>IF(AND(Inputs!$B$4&lt;&gt;"pvp",Inputs!$B$35&gt;0),SUMPRODUCT((Skills!E2:E26=TRUE)*(C275:C299=TRUE)*R275:R299*Skills!F2:F26)/Inputs!$B$35,SUMPRODUCT((Skills!E2:E26=TRUE)*(C275:C299=TRUE)*Q275:Q299*Skills!F2:F26))</f>
        <v/>
      </c>
    </row>
    <row r="306">
      <c r="A306" t="inlineStr">
        <is>
          <t>Dark Impale Casts Per Second</t>
        </is>
      </c>
      <c r="B306">
        <f>MAX(0,B304-B305)</f>
        <v/>
      </c>
    </row>
    <row r="307">
      <c r="A307" t="inlineStr">
        <is>
          <t>Global Critical Damage Bonus % (Lord of Darkness)</t>
        </is>
      </c>
      <c r="B307">
        <f>((C292=TRUE)*F292*(Skills!J19/100)*IF(AND(Inputs!$B$4&lt;&gt;"pvp",Inputs!$B$35&gt;0),(((S292-1)*(Skills!T19*(1+Inputs!$B$33/100))+MIN((Skills!T19*(1+Inputs!$B$33/100)),MAX(0,Inputs!$B$35-((S292-1)*Skills!D19))))/Inputs!$B$35),IF(Inputs!$B$4="pvp",MIN((Skills!T19*(1+Inputs!$B$33/100)),15)/15,(Skills!T19*(1+Inputs!$B$33/100))/Skills!D19)))</f>
        <v/>
      </c>
    </row>
    <row r="308">
      <c r="A308" t="inlineStr">
        <is>
          <t>Global Final Damage Bonus % (unused)</t>
        </is>
      </c>
      <c r="B308" t="n">
        <v>0</v>
      </c>
    </row>
    <row r="310">
      <c r="A310" s="5" t="inlineStr">
        <is>
          <t>TOTAL DPS</t>
        </is>
      </c>
      <c r="B310" s="5">
        <f>SUM(O275:O299)</f>
        <v/>
      </c>
    </row>
    <row r="313">
      <c r="A313" s="5" t="inlineStr">
        <is>
          <t>Stat: FINAL_DAMAGE % (multiplicative source)</t>
        </is>
      </c>
    </row>
    <row r="314">
      <c r="A314" s="8" t="inlineStr">
        <is>
          <t>Key</t>
        </is>
      </c>
      <c r="B314" s="8" t="inlineStr">
        <is>
          <t>Name</t>
        </is>
      </c>
      <c r="C314" s="8" t="inlineStr">
        <is>
          <t>Unlocked</t>
        </is>
      </c>
      <c r="D314" s="8" t="inlineStr">
        <is>
          <t>InputLevel</t>
        </is>
      </c>
      <c r="E314" s="8" t="inlineStr">
        <is>
          <t>Factor</t>
        </is>
      </c>
      <c r="F314" s="8" t="inlineStr">
        <is>
          <t>CoefficientPercent</t>
        </is>
      </c>
      <c r="G314" s="8" t="inlineStr">
        <is>
          <t>EffectiveHits</t>
        </is>
      </c>
      <c r="H314" s="8" t="inlineStr">
        <is>
          <t>ProcProbability</t>
        </is>
      </c>
      <c r="I314" s="8" t="inlineStr">
        <is>
          <t>MapleHeroMultiplier</t>
        </is>
      </c>
      <c r="J314" s="8" t="inlineStr">
        <is>
          <t>BaseDamage</t>
        </is>
      </c>
      <c r="K314" s="8" t="inlineStr">
        <is>
          <t>BaseHitDamage</t>
        </is>
      </c>
      <c r="L314" s="8" t="inlineStr">
        <is>
          <t>NonCritAvg</t>
        </is>
      </c>
      <c r="M314" s="8" t="inlineStr">
        <is>
          <t>CritAvg</t>
        </is>
      </c>
      <c r="N314" s="8" t="inlineStr">
        <is>
          <t>ExpectedDamage(perHit)</t>
        </is>
      </c>
      <c r="O314" s="8" t="inlineStr">
        <is>
          <t>DPS</t>
        </is>
      </c>
      <c r="P314" s="8" t="inlineStr">
        <is>
          <t>% of Total</t>
        </is>
      </c>
      <c r="Q314" s="8" t="inlineStr">
        <is>
          <t>InvCooldown</t>
        </is>
      </c>
      <c r="R314" s="8" t="inlineStr">
        <is>
          <t>CastsInFight</t>
        </is>
      </c>
      <c r="S314" s="8" t="inlineStr">
        <is>
          <t>HitRate(perSec)</t>
        </is>
      </c>
      <c r="U314" t="inlineStr">
        <is>
          <t>helpers</t>
        </is>
      </c>
    </row>
    <row r="315">
      <c r="A315">
        <f>Skills!A2</f>
        <v/>
      </c>
      <c r="B315">
        <f>Skills!B2</f>
        <v/>
      </c>
      <c r="C315">
        <f>Inputs!$B$3&gt;=100</f>
        <v/>
      </c>
      <c r="D315" t="inlineStr"/>
      <c r="E315" t="inlineStr"/>
      <c r="F315">
        <f>U317+Skills!O2</f>
        <v/>
      </c>
      <c r="G315">
        <f>Skills!G2*IF(Skills!H2&gt;0,Skills!I2/Skills!H2,1)</f>
        <v/>
      </c>
      <c r="H315">
        <f>1-(1-Skills!J2/100)^Skills!K2</f>
        <v/>
      </c>
      <c r="I315" t="inlineStr">
        <is>
          <t>1</t>
        </is>
      </c>
      <c r="J315">
        <f>(Inputs!$B$5*(1+Inputs!$B$6/100))*(F315/100)</f>
        <v/>
      </c>
      <c r="K315">
        <f>J315*(1+((Inputs!$B$11*(1+Inputs!$B$12/100))*0.01+Inputs!$B$13*0.0025)/100)*(1+Inputs!$B$14/100)*(1+IF(Inputs!$B$4="pvp",0,(1-Summary!$B$55)*(Inputs!$B$19+0+Skills!P2+((C330=TRUE)*F330*IF(AND(Inputs!$B$4&lt;&gt;"pvp",Inputs!$B$35&gt;0),(((S330-1)*(Skills!T17*(1+Inputs!$B$33/100))+MIN((Skills!T17*(1+Inputs!$B$33/100)),MAX(0,Inputs!$B$35-((S330-1)*Skills!D17))))/Inputs!$B$35),IF(Inputs!$B$4="pvp",MIN((Skills!T17*(1+Inputs!$B$33/100)),15)/15,(Skills!T17*(1+Inputs!$B$33/100))/Skills!D17)))+((C327=TRUE)*IF(Inputs!$B$4="pvp",20,(1-Summary!$B$55)*(20)+Summary!$B$55*(0))*IF(AND(Inputs!$B$4&lt;&gt;"pvp",Inputs!$B$35&gt;0),(((S327-1)*(Skills!T14*(1+Inputs!$B$33/100))+MIN((Skills!T14*(1+Inputs!$B$33/100)),MAX(0,Inputs!$B$35-((S327-1)*Skills!D14))))/Inputs!$B$35),IF(Inputs!$B$4="pvp",MIN((Skills!T14*(1+Inputs!$B$33/100)),15)/15,(Skills!T14*(1+Inputs!$B$33/100))/Skills!D14))))+Summary!$B$55*(Inputs!$B$20+Skills!Q2+((C330=TRUE)*F330*IF(AND(Inputs!$B$4&lt;&gt;"pvp",Inputs!$B$35&gt;0),(((S330-1)*(Skills!T17*(1+Inputs!$B$33/100))+MIN((Skills!T17*(1+Inputs!$B$33/100)),MAX(0,Inputs!$B$35-((S330-1)*Skills!D17))))/Inputs!$B$35),IF(Inputs!$B$4="pvp",MIN((Skills!T17*(1+Inputs!$B$33/100)),15)/15,(Skills!T17*(1+Inputs!$B$33/100))/Skills!D17)))))/100)*(1+Inputs!$B$15/100)*(5000/(6000+Inputs!$B$7*(1-(Inputs!$B$18+0)/100)))*(1+(((((1+Inputs!$B$23/100)*(1.01))-1)*100)+((C338=TRUE)*(F338-Calc!F25))+((C339=TRUE)*(F339-Calc!F26))+B348)/100)*(1+(IF(Skills!A2="DARK_IMPALE",Inputs!$B$16+0,Inputs!$B$17+((C336=TRUE)*(F336-Calc!F23))))/100)*((1+(((C326=TRUE)*F326*IF(AND(Inputs!$B$4&lt;&gt;"pvp",Inputs!$B$35&gt;0),(((S326-1)*(Skills!T13*(1+Inputs!$B$33/100))+MIN((Skills!T13*(1+Inputs!$B$33/100)),MAX(0,Inputs!$B$35-((S326-1)*Skills!D13))))/Inputs!$B$35),IF(Inputs!$B$4="pvp",MIN((Skills!T13*(1+Inputs!$B$33/100)),15)/15,(Skills!T13*(1+Inputs!$B$33/100))/Skills!D13)))+((C327=TRUE)*F327*IF(AND(Inputs!$B$4&lt;&gt;"pvp",Inputs!$B$35&gt;0),(((S327-1)*(Skills!T14*(1+Inputs!$B$33/100))+MIN((Skills!T14*(1+Inputs!$B$33/100)),MAX(0,Inputs!$B$35-((S327-1)*Skills!D14))))/Inputs!$B$35),IF(Inputs!$B$4="pvp",MIN((Skills!T14*(1+Inputs!$B$33/100)),15)/15,(Skills!T14*(1+Inputs!$B$33/100))/Skills!D14)))+((C328=TRUE)*F328*IF(AND(Inputs!$B$4&lt;&gt;"pvp",Inputs!$B$35&gt;0),(((S328-1)*(Skills!T15*(1+Inputs!$B$33/100))+MIN((Skills!T15*(1+Inputs!$B$33/100)),MAX(0,Inputs!$B$35-((S328-1)*Skills!D15))))/Inputs!$B$35),IF(Inputs!$B$4="pvp",MIN((Skills!T15*(1+Inputs!$B$33/100)),15)/15,(Skills!T15*(1+Inputs!$B$33/100))/Skills!D15)))+((C329=TRUE)*F329*IF(AND(Inputs!$B$4&lt;&gt;"pvp",Inputs!$B$35&gt;0),(((S329-1)*(Skills!T16*(1+Inputs!$B$33/100))+MIN((Skills!T16*(1+Inputs!$B$33/100)),MAX(0,Inputs!$B$35-((S329-1)*Skills!D16))))/Inputs!$B$35),IF(Inputs!$B$4="pvp",MIN((Skills!T16*(1+Inputs!$B$33/100)),15)/15,(Skills!T16*(1+Inputs!$B$33/100))/Skills!D16)))+0)/100)*I315)</f>
        <v/>
      </c>
      <c r="L315">
        <f>K315*(MIN(Inputs!$B$21+((C335=TRUE)*(F335-Calc!F22)),Inputs!$B$22+((C337=TRUE)*(F337-Calc!F24)))/100+(Inputs!$B$22+((C337=TRUE)*(F337-Calc!F24)))/100)/2</f>
        <v/>
      </c>
      <c r="M315">
        <f>L315*(1+(Inputs!$B$9+0+B347)/100)</f>
        <v/>
      </c>
      <c r="N315">
        <f>L315*(1-MIN((Inputs!$B$8+0+B342),100)/100)+M315*(MIN((Inputs!$B$8+0+B342),100)/100)</f>
        <v/>
      </c>
      <c r="O315">
        <f>IF(C315,Skills!G2*N315*B346*IF(Inputs!$B$4="pvp",1,(1-Summary!$B$55)*(1)+Summary!$B$55*(MIN((6+Inputs!$B$32),Inputs!$B$37))),0)</f>
        <v/>
      </c>
      <c r="P315">
        <f>IF(B350=0,0,O315/B350)</f>
        <v/>
      </c>
      <c r="Q315" t="n">
        <v>0</v>
      </c>
      <c r="R315" t="n">
        <v>0</v>
      </c>
      <c r="S315">
        <f>IFERROR(O315/N315,0)</f>
        <v/>
      </c>
      <c r="U315">
        <f>MAX(0,(Inputs!$B$3-100)*3)+Inputs!$B$27+Inputs!$B$28</f>
        <v/>
      </c>
    </row>
    <row r="316">
      <c r="A316">
        <f>Skills!A3</f>
        <v/>
      </c>
      <c r="B316">
        <f>Skills!B3</f>
        <v/>
      </c>
      <c r="C316">
        <f>Inputs!$B$3&gt;=50</f>
        <v/>
      </c>
      <c r="D316">
        <f>IF(Skills!C3=1,60+Inputs!$B$24+Inputs!$B$28,IF(Skills!C3=2,90+Inputs!$B$25+Inputs!$B$28,IF(Skills!C3=3,120+Inputs!$B$26+Inputs!$B$28,MAX(0,(Inputs!$B$3-100)*3)+Inputs!$B$27+Inputs!$B$28)))</f>
        <v/>
      </c>
      <c r="E316">
        <f>INDEX(FactorTable!$B$2:$Y$301, MATCH(ROUND(MIN(300,MAX(1,D316)),0), FactorTable!$A$2:$A$301,0), Skills!M3+1)</f>
        <v/>
      </c>
      <c r="F316">
        <f>IF(Skills!N3=TRUE,(Skills!L3/10)*(E316/1000),Skills!L3/10)+Skills!O3</f>
        <v/>
      </c>
      <c r="G316" t="inlineStr"/>
      <c r="H316" t="inlineStr"/>
      <c r="I316" t="inlineStr">
        <is>
          <t>1</t>
        </is>
      </c>
      <c r="J316" t="inlineStr"/>
      <c r="K316" t="inlineStr"/>
      <c r="L316" t="inlineStr"/>
      <c r="M316" t="inlineStr"/>
      <c r="N316" t="inlineStr"/>
      <c r="O316" t="inlineStr"/>
      <c r="P316" t="inlineStr"/>
      <c r="Q316" t="inlineStr"/>
      <c r="R316" t="inlineStr"/>
      <c r="S316" t="inlineStr"/>
      <c r="U316">
        <f>INDEX(FactorTable!$B$2:$Y$301, MATCH(ROUND(MIN(300,MAX(1,U315)),0), FactorTable!$A$2:$A$301,0), 22)</f>
        <v/>
      </c>
    </row>
    <row r="317">
      <c r="A317">
        <f>Skills!A4</f>
        <v/>
      </c>
      <c r="B317">
        <f>Skills!B4</f>
        <v/>
      </c>
      <c r="C317">
        <f>Inputs!$B$3&gt;=105</f>
        <v/>
      </c>
      <c r="D317">
        <f>IF(Skills!C4=1,60+Inputs!$B$24+Inputs!$B$28,IF(Skills!C4=2,90+Inputs!$B$25+Inputs!$B$28,IF(Skills!C4=3,120+Inputs!$B$26+Inputs!$B$28,MAX(0,(Inputs!$B$3-100)*3)+Inputs!$B$27+Inputs!$B$28)))</f>
        <v/>
      </c>
      <c r="E317">
        <f>INDEX(FactorTable!$B$2:$Y$301, MATCH(ROUND(MIN(300,MAX(1,D317)),0), FactorTable!$A$2:$A$301,0), Skills!M4+1)</f>
        <v/>
      </c>
      <c r="F317">
        <f>IF(Skills!N4=TRUE,(Skills!L4/10)*(E317/1000),Skills!L4/10)+Skills!O4</f>
        <v/>
      </c>
      <c r="G317" t="inlineStr"/>
      <c r="H317" t="inlineStr"/>
      <c r="I317" t="inlineStr">
        <is>
          <t>1</t>
        </is>
      </c>
      <c r="J317" t="inlineStr"/>
      <c r="K317" t="inlineStr"/>
      <c r="L317" t="inlineStr"/>
      <c r="M317" t="inlineStr"/>
      <c r="N317" t="inlineStr"/>
      <c r="O317" t="inlineStr"/>
      <c r="P317" t="inlineStr"/>
      <c r="Q317" t="inlineStr"/>
      <c r="R317" t="inlineStr"/>
      <c r="S317" t="inlineStr"/>
      <c r="U317">
        <f>290*U316/1000</f>
        <v/>
      </c>
    </row>
    <row r="318">
      <c r="A318">
        <f>Skills!A5</f>
        <v/>
      </c>
      <c r="B318">
        <f>Skills!B5</f>
        <v/>
      </c>
      <c r="C318">
        <f>Inputs!$B$3&gt;=117</f>
        <v/>
      </c>
      <c r="D318">
        <f>IF(Skills!C5=1,60+Inputs!$B$24+Inputs!$B$28,IF(Skills!C5=2,90+Inputs!$B$25+Inputs!$B$28,IF(Skills!C5=3,120+Inputs!$B$26+Inputs!$B$28,MAX(0,(Inputs!$B$3-100)*3)+Inputs!$B$27+Inputs!$B$28)))</f>
        <v/>
      </c>
      <c r="E318">
        <f>INDEX(FactorTable!$B$2:$Y$301, MATCH(ROUND(MIN(300,MAX(1,D318)),0), FactorTable!$A$2:$A$301,0), Skills!M5+1)</f>
        <v/>
      </c>
      <c r="F318">
        <f>IF(Skills!N5=TRUE,(Skills!L5/10)*(E318/1000),Skills!L5/10)+Skills!O5</f>
        <v/>
      </c>
      <c r="G318">
        <f>Skills!G5*IF(Skills!H5&gt;0,Skills!I5/Skills!H5,1)</f>
        <v/>
      </c>
      <c r="H318">
        <f>1-(1-Skills!J5/100)^Skills!K5</f>
        <v/>
      </c>
      <c r="I318" t="inlineStr">
        <is>
          <t>1</t>
        </is>
      </c>
      <c r="J318">
        <f>(Inputs!$B$5*(1+Inputs!$B$6/100))*(F318/100)</f>
        <v/>
      </c>
      <c r="K318">
        <f>J318*(1+((Inputs!$B$11*(1+Inputs!$B$12/100))*0.01+Inputs!$B$13*0.0025)/100)*(1+Inputs!$B$14/100)*(1+IF(Inputs!$B$4="pvp",0,(1-Summary!$B$55)*(Inputs!$B$19+0+Skills!P5+((C330=TRUE)*F330*IF(AND(Inputs!$B$4&lt;&gt;"pvp",Inputs!$B$35&gt;0),(((S330-1)*(Skills!T17*(1+Inputs!$B$33/100))+MIN((Skills!T17*(1+Inputs!$B$33/100)),MAX(0,Inputs!$B$35-((S330-1)*Skills!D17))))/Inputs!$B$35),IF(Inputs!$B$4="pvp",MIN((Skills!T17*(1+Inputs!$B$33/100)),15)/15,(Skills!T17*(1+Inputs!$B$33/100))/Skills!D17)))+((C327=TRUE)*IF(Inputs!$B$4="pvp",20,(1-Summary!$B$55)*(20)+Summary!$B$55*(0))*IF(AND(Inputs!$B$4&lt;&gt;"pvp",Inputs!$B$35&gt;0),(((S327-1)*(Skills!T14*(1+Inputs!$B$33/100))+MIN((Skills!T14*(1+Inputs!$B$33/100)),MAX(0,Inputs!$B$35-((S327-1)*Skills!D14))))/Inputs!$B$35),IF(Inputs!$B$4="pvp",MIN((Skills!T14*(1+Inputs!$B$33/100)),15)/15,(Skills!T14*(1+Inputs!$B$33/100))/Skills!D14))))+Summary!$B$55*(Inputs!$B$20+Skills!Q5+((C330=TRUE)*F330*IF(AND(Inputs!$B$4&lt;&gt;"pvp",Inputs!$B$35&gt;0),(((S330-1)*(Skills!T17*(1+Inputs!$B$33/100))+MIN((Skills!T17*(1+Inputs!$B$33/100)),MAX(0,Inputs!$B$35-((S330-1)*Skills!D17))))/Inputs!$B$35),IF(Inputs!$B$4="pvp",MIN((Skills!T17*(1+Inputs!$B$33/100)),15)/15,(Skills!T17*(1+Inputs!$B$33/100))/Skills!D17)))))/100)*(1+Inputs!$B$15/100)*(5000/(6000+Inputs!$B$7*(1-(Inputs!$B$18+0)/100)))*(1+(((((1+Inputs!$B$23/100)*(1.01))-1)*100)+((C338=TRUE)*(F338-Calc!F25))+((C339=TRUE)*(F339-Calc!F26))+B348)/100)*(1+(IF(Skills!A5="DARK_IMPALE",Inputs!$B$16+0,Inputs!$B$17+((C336=TRUE)*(F336-Calc!F23))))/100)*((1+(((C326=TRUE)*F326*IF(AND(Inputs!$B$4&lt;&gt;"pvp",Inputs!$B$35&gt;0),(((S326-1)*(Skills!T13*(1+Inputs!$B$33/100))+MIN((Skills!T13*(1+Inputs!$B$33/100)),MAX(0,Inputs!$B$35-((S326-1)*Skills!D13))))/Inputs!$B$35),IF(Inputs!$B$4="pvp",MIN((Skills!T13*(1+Inputs!$B$33/100)),15)/15,(Skills!T13*(1+Inputs!$B$33/100))/Skills!D13)))+((C327=TRUE)*F327*IF(AND(Inputs!$B$4&lt;&gt;"pvp",Inputs!$B$35&gt;0),(((S327-1)*(Skills!T14*(1+Inputs!$B$33/100))+MIN((Skills!T14*(1+Inputs!$B$33/100)),MAX(0,Inputs!$B$35-((S327-1)*Skills!D14))))/Inputs!$B$35),IF(Inputs!$B$4="pvp",MIN((Skills!T14*(1+Inputs!$B$33/100)),15)/15,(Skills!T14*(1+Inputs!$B$33/100))/Skills!D14)))+((C328=TRUE)*F328*IF(AND(Inputs!$B$4&lt;&gt;"pvp",Inputs!$B$35&gt;0),(((S328-1)*(Skills!T15*(1+Inputs!$B$33/100))+MIN((Skills!T15*(1+Inputs!$B$33/100)),MAX(0,Inputs!$B$35-((S328-1)*Skills!D15))))/Inputs!$B$35),IF(Inputs!$B$4="pvp",MIN((Skills!T15*(1+Inputs!$B$33/100)),15)/15,(Skills!T15*(1+Inputs!$B$33/100))/Skills!D15)))+((C329=TRUE)*F329*IF(AND(Inputs!$B$4&lt;&gt;"pvp",Inputs!$B$35&gt;0),(((S329-1)*(Skills!T16*(1+Inputs!$B$33/100))+MIN((Skills!T16*(1+Inputs!$B$33/100)),MAX(0,Inputs!$B$35-((S329-1)*Skills!D16))))/Inputs!$B$35),IF(Inputs!$B$4="pvp",MIN((Skills!T16*(1+Inputs!$B$33/100)),15)/15,(Skills!T16*(1+Inputs!$B$33/100))/Skills!D16)))+0)/100)*I318)</f>
        <v/>
      </c>
      <c r="L318">
        <f>K318*(MIN(Inputs!$B$21+((C335=TRUE)*(F335-Calc!F22)),Inputs!$B$22+((C337=TRUE)*(F337-Calc!F24)))/100+(Inputs!$B$22+((C337=TRUE)*(F337-Calc!F24)))/100)/2</f>
        <v/>
      </c>
      <c r="M318">
        <f>L318*(1+(Inputs!$B$9+0+B347)/100)</f>
        <v/>
      </c>
      <c r="N318">
        <f>L318*(1-MIN((Inputs!$B$8+0+B342),100)/100)+M318*(MIN((Inputs!$B$8+0+B342),100)/100)</f>
        <v/>
      </c>
      <c r="O318">
        <f>IF(C318,H318*N318*IF(AND(Inputs!$B$4&lt;&gt;"pvp",Inputs!$B$35&gt;0),((Skills!G5*((R318-1)*IF(Skills!H5&gt;0,Skills!I5/Skills!H5,1)+IF(Skills!H5&gt;0,MIN(Skills!I5,MAX(0,Inputs!$B$35-((R318-1)*IF(Inputs!$B$4="pvp",15,MAX(0.1,Skills!D5-IF(Skills!E5=TRUE,Inputs!$B$31,0))))))/Skills!H5,1)))/Inputs!$B$35),G318*Q318)*IF(Inputs!$B$4="pvp",1,(1-Summary!$B$55)*(1)+Summary!$B$55*(MIN(Skills!R5,Inputs!$B$37))),0)</f>
        <v/>
      </c>
      <c r="P318">
        <f>IF(B350=0,0,O318/B350)</f>
        <v/>
      </c>
      <c r="Q318">
        <f>IFERROR(1/IF(Inputs!$B$4="pvp",15,MAX(0.1,Skills!D5-IF(Skills!E5=TRUE,Inputs!$B$31,0))),0)</f>
        <v/>
      </c>
      <c r="R318">
        <f>IF(AND(Inputs!$B$4&lt;&gt;"pvp",Inputs!$B$35&gt;0),(INT(Inputs!$B$35/IF(Inputs!$B$4="pvp",15,MAX(0.1,Skills!D5-IF(Skills!E5=TRUE,Inputs!$B$31,0))))+1),0)</f>
        <v/>
      </c>
      <c r="S318">
        <f>IFERROR(O318/N318,0)</f>
        <v/>
      </c>
    </row>
    <row r="319">
      <c r="A319">
        <f>Skills!A6</f>
        <v/>
      </c>
      <c r="B319">
        <f>Skills!B6</f>
        <v/>
      </c>
      <c r="C319">
        <f>Inputs!$B$3&gt;=103</f>
        <v/>
      </c>
      <c r="D319">
        <f>IF(Skills!C6=1,60+Inputs!$B$24+Inputs!$B$28,IF(Skills!C6=2,90+Inputs!$B$25+Inputs!$B$28,IF(Skills!C6=3,120+Inputs!$B$26+Inputs!$B$28,MAX(0,(Inputs!$B$3-100)*3)+Inputs!$B$27+Inputs!$B$28)))</f>
        <v/>
      </c>
      <c r="E319">
        <f>INDEX(FactorTable!$B$2:$Y$301, MATCH(ROUND(MIN(300,MAX(1,D319)),0), FactorTable!$A$2:$A$301,0), Skills!M6+1)</f>
        <v/>
      </c>
      <c r="F319">
        <f>IF(Skills!N6=TRUE,(Skills!L6/10)*(E319/1000),Skills!L6/10)+Skills!O6</f>
        <v/>
      </c>
      <c r="G319">
        <f>Skills!G6*IF(Skills!H6&gt;0,Skills!I6/Skills!H6,1)</f>
        <v/>
      </c>
      <c r="H319">
        <f>1-(1-Skills!J6/100)^Skills!K6</f>
        <v/>
      </c>
      <c r="I319" t="inlineStr">
        <is>
          <t>1</t>
        </is>
      </c>
      <c r="J319">
        <f>(Inputs!$B$5*(1+Inputs!$B$6/100))*(F319/100)</f>
        <v/>
      </c>
      <c r="K319">
        <f>J319*(1+((Inputs!$B$11*(1+Inputs!$B$12/100))*0.01+Inputs!$B$13*0.0025)/100)*(1+Inputs!$B$14/100)*(1+IF(Inputs!$B$4="pvp",0,(1-Summary!$B$55)*(Inputs!$B$19+0+Skills!P6+((C330=TRUE)*F330*IF(AND(Inputs!$B$4&lt;&gt;"pvp",Inputs!$B$35&gt;0),(((S330-1)*(Skills!T17*(1+Inputs!$B$33/100))+MIN((Skills!T17*(1+Inputs!$B$33/100)),MAX(0,Inputs!$B$35-((S330-1)*Skills!D17))))/Inputs!$B$35),IF(Inputs!$B$4="pvp",MIN((Skills!T17*(1+Inputs!$B$33/100)),15)/15,(Skills!T17*(1+Inputs!$B$33/100))/Skills!D17)))+((C327=TRUE)*IF(Inputs!$B$4="pvp",20,(1-Summary!$B$55)*(20)+Summary!$B$55*(0))*IF(AND(Inputs!$B$4&lt;&gt;"pvp",Inputs!$B$35&gt;0),(((S327-1)*(Skills!T14*(1+Inputs!$B$33/100))+MIN((Skills!T14*(1+Inputs!$B$33/100)),MAX(0,Inputs!$B$35-((S327-1)*Skills!D14))))/Inputs!$B$35),IF(Inputs!$B$4="pvp",MIN((Skills!T14*(1+Inputs!$B$33/100)),15)/15,(Skills!T14*(1+Inputs!$B$33/100))/Skills!D14))))+Summary!$B$55*(Inputs!$B$20+Skills!Q6+((C330=TRUE)*F330*IF(AND(Inputs!$B$4&lt;&gt;"pvp",Inputs!$B$35&gt;0),(((S330-1)*(Skills!T17*(1+Inputs!$B$33/100))+MIN((Skills!T17*(1+Inputs!$B$33/100)),MAX(0,Inputs!$B$35-((S330-1)*Skills!D17))))/Inputs!$B$35),IF(Inputs!$B$4="pvp",MIN((Skills!T17*(1+Inputs!$B$33/100)),15)/15,(Skills!T17*(1+Inputs!$B$33/100))/Skills!D17)))))/100)*(1+Inputs!$B$15/100)*(5000/(6000+Inputs!$B$7*(1-(Inputs!$B$18+0)/100)))*(1+(((((1+Inputs!$B$23/100)*(1.01))-1)*100)+((C338=TRUE)*(F338-Calc!F25))+((C339=TRUE)*(F339-Calc!F26))+B348)/100)*(1+(IF(Skills!A6="DARK_IMPALE",Inputs!$B$16+0,Inputs!$B$17+((C336=TRUE)*(F336-Calc!F23))))/100)*((1+(((C326=TRUE)*F326*IF(AND(Inputs!$B$4&lt;&gt;"pvp",Inputs!$B$35&gt;0),(((S326-1)*(Skills!T13*(1+Inputs!$B$33/100))+MIN((Skills!T13*(1+Inputs!$B$33/100)),MAX(0,Inputs!$B$35-((S326-1)*Skills!D13))))/Inputs!$B$35),IF(Inputs!$B$4="pvp",MIN((Skills!T13*(1+Inputs!$B$33/100)),15)/15,(Skills!T13*(1+Inputs!$B$33/100))/Skills!D13)))+((C327=TRUE)*F327*IF(AND(Inputs!$B$4&lt;&gt;"pvp",Inputs!$B$35&gt;0),(((S327-1)*(Skills!T14*(1+Inputs!$B$33/100))+MIN((Skills!T14*(1+Inputs!$B$33/100)),MAX(0,Inputs!$B$35-((S327-1)*Skills!D14))))/Inputs!$B$35),IF(Inputs!$B$4="pvp",MIN((Skills!T14*(1+Inputs!$B$33/100)),15)/15,(Skills!T14*(1+Inputs!$B$33/100))/Skills!D14)))+((C328=TRUE)*F328*IF(AND(Inputs!$B$4&lt;&gt;"pvp",Inputs!$B$35&gt;0),(((S328-1)*(Skills!T15*(1+Inputs!$B$33/100))+MIN((Skills!T15*(1+Inputs!$B$33/100)),MAX(0,Inputs!$B$35-((S328-1)*Skills!D15))))/Inputs!$B$35),IF(Inputs!$B$4="pvp",MIN((Skills!T15*(1+Inputs!$B$33/100)),15)/15,(Skills!T15*(1+Inputs!$B$33/100))/Skills!D15)))+((C329=TRUE)*F329*IF(AND(Inputs!$B$4&lt;&gt;"pvp",Inputs!$B$35&gt;0),(((S329-1)*(Skills!T16*(1+Inputs!$B$33/100))+MIN((Skills!T16*(1+Inputs!$B$33/100)),MAX(0,Inputs!$B$35-((S329-1)*Skills!D16))))/Inputs!$B$35),IF(Inputs!$B$4="pvp",MIN((Skills!T16*(1+Inputs!$B$33/100)),15)/15,(Skills!T16*(1+Inputs!$B$33/100))/Skills!D16)))+0)/100)*I319)</f>
        <v/>
      </c>
      <c r="L319">
        <f>K319*(MIN(Inputs!$B$21+((C335=TRUE)*(F335-Calc!F22)),Inputs!$B$22+((C337=TRUE)*(F337-Calc!F24)))/100+(Inputs!$B$22+((C337=TRUE)*(F337-Calc!F24)))/100)/2</f>
        <v/>
      </c>
      <c r="M319">
        <f>L319*(1+(Inputs!$B$9+0+B347)/100)</f>
        <v/>
      </c>
      <c r="N319">
        <f>L319*(1-MIN((Inputs!$B$8+0+B342),100)/100)+M319*(MIN((Inputs!$B$8+0+B342),100)/100)</f>
        <v/>
      </c>
      <c r="O319">
        <f>IF(C319,H319*N319*IF(AND(Inputs!$B$4&lt;&gt;"pvp",Inputs!$B$35&gt;0),((Skills!G6*((R319-1)*IF(Skills!H6&gt;0,Skills!I6/Skills!H6,1)+IF(Skills!H6&gt;0,MIN(Skills!I6,MAX(0,Inputs!$B$35-((R319-1)*IF(Inputs!$B$4="pvp",15,MAX(0.1,Skills!D6-IF(Skills!E6=TRUE,Inputs!$B$31,0))))))/Skills!H6,1)))/Inputs!$B$35),G319*Q319)*IF(Inputs!$B$4="pvp",1,(1-Summary!$B$55)*(1)+Summary!$B$55*(MIN(Skills!R6,Inputs!$B$37))),0)</f>
        <v/>
      </c>
      <c r="P319">
        <f>IF(B350=0,0,O319/B350)</f>
        <v/>
      </c>
      <c r="Q319">
        <f>IFERROR(1/IF(Inputs!$B$4="pvp",15,MAX(0.1,Skills!D6-IF(Skills!E6=TRUE,Inputs!$B$31,0))),0)</f>
        <v/>
      </c>
      <c r="R319">
        <f>IF(AND(Inputs!$B$4&lt;&gt;"pvp",Inputs!$B$35&gt;0),(INT(Inputs!$B$35/IF(Inputs!$B$4="pvp",15,MAX(0.1,Skills!D6-IF(Skills!E6=TRUE,Inputs!$B$31,0))))+1),0)</f>
        <v/>
      </c>
      <c r="S319">
        <f>IFERROR(O319/N319,0)</f>
        <v/>
      </c>
    </row>
    <row r="320">
      <c r="A320">
        <f>Skills!A7</f>
        <v/>
      </c>
      <c r="B320">
        <f>Skills!B7</f>
        <v/>
      </c>
      <c r="C320">
        <f>Inputs!$B$3&gt;=40</f>
        <v/>
      </c>
      <c r="D320">
        <f>IF(Skills!C7=1,60+Inputs!$B$24+Inputs!$B$28,IF(Skills!C7=2,90+Inputs!$B$25+Inputs!$B$28,IF(Skills!C7=3,120+Inputs!$B$26+Inputs!$B$28,MAX(0,(Inputs!$B$3-100)*3)+Inputs!$B$27+Inputs!$B$28)))</f>
        <v/>
      </c>
      <c r="E320">
        <f>INDEX(FactorTable!$B$2:$Y$301, MATCH(ROUND(MIN(300,MAX(1,D320)),0), FactorTable!$A$2:$A$301,0), Skills!M7+1)</f>
        <v/>
      </c>
      <c r="F320">
        <f>IF(Skills!N7=TRUE,(Skills!L7/10)*(E320/1000),Skills!L7/10)+Skills!O7</f>
        <v/>
      </c>
      <c r="G320">
        <f>Skills!G7*IF(Skills!H7&gt;0,Skills!I7/Skills!H7,1)</f>
        <v/>
      </c>
      <c r="H320">
        <f>1-(1-Skills!J7/100)^Skills!K7</f>
        <v/>
      </c>
      <c r="I320" t="inlineStr">
        <is>
          <t>1</t>
        </is>
      </c>
      <c r="J320">
        <f>(Inputs!$B$5*(1+Inputs!$B$6/100))*(F320/100)</f>
        <v/>
      </c>
      <c r="K320">
        <f>J320*(1+((Inputs!$B$11*(1+Inputs!$B$12/100))*0.01+Inputs!$B$13*0.0025)/100)*(1+Inputs!$B$14/100)*(1+IF(Inputs!$B$4="pvp",0,(1-Summary!$B$55)*(Inputs!$B$19+0+Skills!P7+((C330=TRUE)*F330*IF(AND(Inputs!$B$4&lt;&gt;"pvp",Inputs!$B$35&gt;0),(((S330-1)*(Skills!T17*(1+Inputs!$B$33/100))+MIN((Skills!T17*(1+Inputs!$B$33/100)),MAX(0,Inputs!$B$35-((S330-1)*Skills!D17))))/Inputs!$B$35),IF(Inputs!$B$4="pvp",MIN((Skills!T17*(1+Inputs!$B$33/100)),15)/15,(Skills!T17*(1+Inputs!$B$33/100))/Skills!D17)))+((C327=TRUE)*IF(Inputs!$B$4="pvp",20,(1-Summary!$B$55)*(20)+Summary!$B$55*(0))*IF(AND(Inputs!$B$4&lt;&gt;"pvp",Inputs!$B$35&gt;0),(((S327-1)*(Skills!T14*(1+Inputs!$B$33/100))+MIN((Skills!T14*(1+Inputs!$B$33/100)),MAX(0,Inputs!$B$35-((S327-1)*Skills!D14))))/Inputs!$B$35),IF(Inputs!$B$4="pvp",MIN((Skills!T14*(1+Inputs!$B$33/100)),15)/15,(Skills!T14*(1+Inputs!$B$33/100))/Skills!D14))))+Summary!$B$55*(Inputs!$B$20+Skills!Q7+((C330=TRUE)*F330*IF(AND(Inputs!$B$4&lt;&gt;"pvp",Inputs!$B$35&gt;0),(((S330-1)*(Skills!T17*(1+Inputs!$B$33/100))+MIN((Skills!T17*(1+Inputs!$B$33/100)),MAX(0,Inputs!$B$35-((S330-1)*Skills!D17))))/Inputs!$B$35),IF(Inputs!$B$4="pvp",MIN((Skills!T17*(1+Inputs!$B$33/100)),15)/15,(Skills!T17*(1+Inputs!$B$33/100))/Skills!D17)))))/100)*(1+Inputs!$B$15/100)*(5000/(6000+Inputs!$B$7*(1-(Inputs!$B$18+0)/100)))*(1+(((((1+Inputs!$B$23/100)*(1.01))-1)*100)+((C338=TRUE)*(F338-Calc!F25))+((C339=TRUE)*(F339-Calc!F26))+B348)/100)*(1+0.75*IF(C324=TRUE,F324,0)/100)*(1+(IF(Skills!A7="DARK_IMPALE",Inputs!$B$16+0,Inputs!$B$17+((C336=TRUE)*(F336-Calc!F23))))/100)*((1+(((C326=TRUE)*F326*IF(AND(Inputs!$B$4&lt;&gt;"pvp",Inputs!$B$35&gt;0),(((S326-1)*(Skills!T13*(1+Inputs!$B$33/100))+MIN((Skills!T13*(1+Inputs!$B$33/100)),MAX(0,Inputs!$B$35-((S326-1)*Skills!D13))))/Inputs!$B$35),IF(Inputs!$B$4="pvp",MIN((Skills!T13*(1+Inputs!$B$33/100)),15)/15,(Skills!T13*(1+Inputs!$B$33/100))/Skills!D13)))+((C327=TRUE)*F327*IF(AND(Inputs!$B$4&lt;&gt;"pvp",Inputs!$B$35&gt;0),(((S327-1)*(Skills!T14*(1+Inputs!$B$33/100))+MIN((Skills!T14*(1+Inputs!$B$33/100)),MAX(0,Inputs!$B$35-((S327-1)*Skills!D14))))/Inputs!$B$35),IF(Inputs!$B$4="pvp",MIN((Skills!T14*(1+Inputs!$B$33/100)),15)/15,(Skills!T14*(1+Inputs!$B$33/100))/Skills!D14)))+((C328=TRUE)*F328*IF(AND(Inputs!$B$4&lt;&gt;"pvp",Inputs!$B$35&gt;0),(((S328-1)*(Skills!T15*(1+Inputs!$B$33/100))+MIN((Skills!T15*(1+Inputs!$B$33/100)),MAX(0,Inputs!$B$35-((S328-1)*Skills!D15))))/Inputs!$B$35),IF(Inputs!$B$4="pvp",MIN((Skills!T15*(1+Inputs!$B$33/100)),15)/15,(Skills!T15*(1+Inputs!$B$33/100))/Skills!D15)))+((C329=TRUE)*F329*IF(AND(Inputs!$B$4&lt;&gt;"pvp",Inputs!$B$35&gt;0),(((S329-1)*(Skills!T16*(1+Inputs!$B$33/100))+MIN((Skills!T16*(1+Inputs!$B$33/100)),MAX(0,Inputs!$B$35-((S329-1)*Skills!D16))))/Inputs!$B$35),IF(Inputs!$B$4="pvp",MIN((Skills!T16*(1+Inputs!$B$33/100)),15)/15,(Skills!T16*(1+Inputs!$B$33/100))/Skills!D16)))+0)/100)*I320)</f>
        <v/>
      </c>
      <c r="L320">
        <f>K320*(MIN(Inputs!$B$21+((C335=TRUE)*(F335-Calc!F22)),Inputs!$B$22+((C337=TRUE)*(F337-Calc!F24)))/100+(Inputs!$B$22+((C337=TRUE)*(F337-Calc!F24)))/100)/2</f>
        <v/>
      </c>
      <c r="M320">
        <f>L320*(1+(Inputs!$B$9+0+B347)/100)</f>
        <v/>
      </c>
      <c r="N320">
        <f>L320*(1-MIN((Inputs!$B$8+0+B342),100)/100)+M320*(MIN((Inputs!$B$8+0+B342),100)/100)</f>
        <v/>
      </c>
      <c r="O320">
        <f>IF(C320,H320*N320*IF(AND(Inputs!$B$4&lt;&gt;"pvp",Inputs!$B$35&gt;0),((Skills!G7*((R320-1)*IF(Skills!H7&gt;0,Skills!I7/Skills!H7,1)+IF(Skills!H7&gt;0,MIN(Skills!I7,MAX(0,Inputs!$B$35-((R320-1)*IF(Inputs!$B$4="pvp",15,MAX(0.1,Skills!D7-IF(Skills!E7=TRUE,Inputs!$B$31,0))))))/Skills!H7,1)))/Inputs!$B$35),G320*Q320)*IF(Inputs!$B$4="pvp",1,(1-Summary!$B$55)*(1)+Summary!$B$55*(MIN(Skills!R7,Inputs!$B$37))),0)</f>
        <v/>
      </c>
      <c r="P320">
        <f>IF(B350=0,0,O320/B350)</f>
        <v/>
      </c>
      <c r="Q320">
        <f>IFERROR(1/IF(Inputs!$B$4="pvp",15,MAX(0.1,Skills!D7-IF(Skills!E7=TRUE,Inputs!$B$31,0))),0)</f>
        <v/>
      </c>
      <c r="R320">
        <f>IF(AND(Inputs!$B$4&lt;&gt;"pvp",Inputs!$B$35&gt;0),(INT(Inputs!$B$35/IF(Inputs!$B$4="pvp",15,MAX(0.1,Skills!D7-IF(Skills!E7=TRUE,Inputs!$B$31,0))))+1),0)</f>
        <v/>
      </c>
      <c r="S320">
        <f>IFERROR(O320/N320,0)</f>
        <v/>
      </c>
    </row>
    <row r="321">
      <c r="A321">
        <f>Skills!A8</f>
        <v/>
      </c>
      <c r="B321">
        <f>Skills!B8</f>
        <v/>
      </c>
      <c r="C321">
        <f>Inputs!$B$3&gt;=75</f>
        <v/>
      </c>
      <c r="D321">
        <f>IF(Skills!C8=1,60+Inputs!$B$24+Inputs!$B$28,IF(Skills!C8=2,90+Inputs!$B$25+Inputs!$B$28,IF(Skills!C8=3,120+Inputs!$B$26+Inputs!$B$28,MAX(0,(Inputs!$B$3-100)*3)+Inputs!$B$27+Inputs!$B$28)))</f>
        <v/>
      </c>
      <c r="E321">
        <f>INDEX(FactorTable!$B$2:$Y$301, MATCH(ROUND(MIN(300,MAX(1,D321)),0), FactorTable!$A$2:$A$301,0), Skills!M8+1)</f>
        <v/>
      </c>
      <c r="F321">
        <f>IF(Skills!N8=TRUE,(Skills!L8/10)*(E321/1000),Skills!L8/10)+Skills!O8</f>
        <v/>
      </c>
      <c r="G321" t="inlineStr"/>
      <c r="H321" t="inlineStr"/>
      <c r="I321" t="inlineStr">
        <is>
          <t>1</t>
        </is>
      </c>
      <c r="J321" t="inlineStr"/>
      <c r="K321" t="inlineStr"/>
      <c r="L321" t="inlineStr"/>
      <c r="M321" t="inlineStr"/>
      <c r="N321" t="inlineStr"/>
      <c r="O321" t="inlineStr"/>
      <c r="P321" t="inlineStr"/>
      <c r="Q321" t="inlineStr"/>
      <c r="R321" t="inlineStr"/>
      <c r="S321" t="inlineStr"/>
    </row>
    <row r="322">
      <c r="A322">
        <f>Skills!A9</f>
        <v/>
      </c>
      <c r="B322">
        <f>Skills!B9</f>
        <v/>
      </c>
      <c r="C322">
        <f>Inputs!$B$3&gt;=60</f>
        <v/>
      </c>
      <c r="D322">
        <f>IF(Skills!C9=1,60+Inputs!$B$24+Inputs!$B$28,IF(Skills!C9=2,90+Inputs!$B$25+Inputs!$B$28,IF(Skills!C9=3,120+Inputs!$B$26+Inputs!$B$28,MAX(0,(Inputs!$B$3-100)*3)+Inputs!$B$27+Inputs!$B$28)))</f>
        <v/>
      </c>
      <c r="E322">
        <f>INDEX(FactorTable!$B$2:$Y$301, MATCH(ROUND(MIN(300,MAX(1,D322)),0), FactorTable!$A$2:$A$301,0), Skills!M9+1)</f>
        <v/>
      </c>
      <c r="F322">
        <f>IF(Skills!N9=TRUE,(Skills!L9/10)*(E322/1000),Skills!L9/10)+Skills!O9</f>
        <v/>
      </c>
      <c r="G322">
        <f>Skills!G9*IF(Skills!H9&gt;0,Skills!I9/Skills!H9,1)</f>
        <v/>
      </c>
      <c r="H322">
        <f>1-(1-Skills!J9/100)^Skills!K9</f>
        <v/>
      </c>
      <c r="I322" t="inlineStr">
        <is>
          <t>1</t>
        </is>
      </c>
      <c r="J322">
        <f>(Inputs!$B$5*(1+Inputs!$B$6/100))*(F322/100)</f>
        <v/>
      </c>
      <c r="K322">
        <f>J322*(1+((Inputs!$B$11*(1+Inputs!$B$12/100))*0.01+Inputs!$B$13*0.0025)/100)*(1+Inputs!$B$14/100)*(1+IF(Inputs!$B$4="pvp",0,(1-Summary!$B$55)*(Inputs!$B$19+0+Skills!P9+((C330=TRUE)*F330*IF(AND(Inputs!$B$4&lt;&gt;"pvp",Inputs!$B$35&gt;0),(((S330-1)*(Skills!T17*(1+Inputs!$B$33/100))+MIN((Skills!T17*(1+Inputs!$B$33/100)),MAX(0,Inputs!$B$35-((S330-1)*Skills!D17))))/Inputs!$B$35),IF(Inputs!$B$4="pvp",MIN((Skills!T17*(1+Inputs!$B$33/100)),15)/15,(Skills!T17*(1+Inputs!$B$33/100))/Skills!D17)))+((C327=TRUE)*IF(Inputs!$B$4="pvp",20,(1-Summary!$B$55)*(20)+Summary!$B$55*(0))*IF(AND(Inputs!$B$4&lt;&gt;"pvp",Inputs!$B$35&gt;0),(((S327-1)*(Skills!T14*(1+Inputs!$B$33/100))+MIN((Skills!T14*(1+Inputs!$B$33/100)),MAX(0,Inputs!$B$35-((S327-1)*Skills!D14))))/Inputs!$B$35),IF(Inputs!$B$4="pvp",MIN((Skills!T14*(1+Inputs!$B$33/100)),15)/15,(Skills!T14*(1+Inputs!$B$33/100))/Skills!D14))))+Summary!$B$55*(Inputs!$B$20+Skills!Q9+((C330=TRUE)*F330*IF(AND(Inputs!$B$4&lt;&gt;"pvp",Inputs!$B$35&gt;0),(((S330-1)*(Skills!T17*(1+Inputs!$B$33/100))+MIN((Skills!T17*(1+Inputs!$B$33/100)),MAX(0,Inputs!$B$35-((S330-1)*Skills!D17))))/Inputs!$B$35),IF(Inputs!$B$4="pvp",MIN((Skills!T17*(1+Inputs!$B$33/100)),15)/15,(Skills!T17*(1+Inputs!$B$33/100))/Skills!D17)))))/100)*(1+Inputs!$B$15/100)*(5000/(6000+Inputs!$B$7*(1-(Inputs!$B$18+0)/100)))*(1+(((((1+Inputs!$B$23/100)*(1.01))-1)*100)+((C338=TRUE)*(F338-Calc!F25))+((C339=TRUE)*(F339-Calc!F26))+B348)/100)*(1+1.0*IF(C324=TRUE,F324,0)/100)*(1+(IF(Skills!A9="DARK_IMPALE",Inputs!$B$16+0,Inputs!$B$17+((C336=TRUE)*(F336-Calc!F23))))/100)*((1+(((C326=TRUE)*F326*IF(AND(Inputs!$B$4&lt;&gt;"pvp",Inputs!$B$35&gt;0),(((S326-1)*(Skills!T13*(1+Inputs!$B$33/100))+MIN((Skills!T13*(1+Inputs!$B$33/100)),MAX(0,Inputs!$B$35-((S326-1)*Skills!D13))))/Inputs!$B$35),IF(Inputs!$B$4="pvp",MIN((Skills!T13*(1+Inputs!$B$33/100)),15)/15,(Skills!T13*(1+Inputs!$B$33/100))/Skills!D13)))+((C327=TRUE)*F327*IF(AND(Inputs!$B$4&lt;&gt;"pvp",Inputs!$B$35&gt;0),(((S327-1)*(Skills!T14*(1+Inputs!$B$33/100))+MIN((Skills!T14*(1+Inputs!$B$33/100)),MAX(0,Inputs!$B$35-((S327-1)*Skills!D14))))/Inputs!$B$35),IF(Inputs!$B$4="pvp",MIN((Skills!T14*(1+Inputs!$B$33/100)),15)/15,(Skills!T14*(1+Inputs!$B$33/100))/Skills!D14)))+((C328=TRUE)*F328*IF(AND(Inputs!$B$4&lt;&gt;"pvp",Inputs!$B$35&gt;0),(((S328-1)*(Skills!T15*(1+Inputs!$B$33/100))+MIN((Skills!T15*(1+Inputs!$B$33/100)),MAX(0,Inputs!$B$35-((S328-1)*Skills!D15))))/Inputs!$B$35),IF(Inputs!$B$4="pvp",MIN((Skills!T15*(1+Inputs!$B$33/100)),15)/15,(Skills!T15*(1+Inputs!$B$33/100))/Skills!D15)))+((C329=TRUE)*F329*IF(AND(Inputs!$B$4&lt;&gt;"pvp",Inputs!$B$35&gt;0),(((S329-1)*(Skills!T16*(1+Inputs!$B$33/100))+MIN((Skills!T16*(1+Inputs!$B$33/100)),MAX(0,Inputs!$B$35-((S329-1)*Skills!D16))))/Inputs!$B$35),IF(Inputs!$B$4="pvp",MIN((Skills!T16*(1+Inputs!$B$33/100)),15)/15,(Skills!T16*(1+Inputs!$B$33/100))/Skills!D16)))+0)/100)*I322)</f>
        <v/>
      </c>
      <c r="L322">
        <f>K322*(MIN(Inputs!$B$21+((C335=TRUE)*(F335-Calc!F22)),Inputs!$B$22+((C337=TRUE)*(F337-Calc!F24)))/100+(Inputs!$B$22+((C337=TRUE)*(F337-Calc!F24)))/100)/2</f>
        <v/>
      </c>
      <c r="M322">
        <f>L322*(1+(Inputs!$B$9+0+B347)/100)</f>
        <v/>
      </c>
      <c r="N322">
        <f>L322*(1-MIN((Inputs!$B$8+0+B342),100)/100)+M322*(MIN((Inputs!$B$8+0+B342),100)/100)</f>
        <v/>
      </c>
      <c r="O322">
        <f>IF(C322,H322*N322*IF(AND(Inputs!$B$4&lt;&gt;"pvp",Inputs!$B$35&gt;0),((Skills!G9*((R322-1)*IF(Skills!H9&gt;0,Skills!I9/Skills!H9,1)+IF(Skills!H9&gt;0,MIN(Skills!I9,MAX(0,Inputs!$B$35-((R322-1)*IF(Inputs!$B$4="pvp",15,MAX(0.1,Skills!D9-IF(Skills!E9=TRUE,Inputs!$B$31,0))))))/Skills!H9,1)))/Inputs!$B$35),G322*Q322)*IF(Inputs!$B$4="pvp",1,(1-Summary!$B$55)*(1)+Summary!$B$55*(MIN(Skills!R9,Inputs!$B$37))),0)</f>
        <v/>
      </c>
      <c r="P322">
        <f>IF(B350=0,0,O322/B350)</f>
        <v/>
      </c>
      <c r="Q322">
        <f>IFERROR(1/IF(Inputs!$B$4="pvp",15,MAX(0.1,Skills!D9-IF(Skills!E9=TRUE,Inputs!$B$31,0))),0)</f>
        <v/>
      </c>
      <c r="R322">
        <f>IF(AND(Inputs!$B$4&lt;&gt;"pvp",Inputs!$B$35&gt;0),(INT(Inputs!$B$35/IF(Inputs!$B$4="pvp",15,MAX(0.1,Skills!D9-IF(Skills!E9=TRUE,Inputs!$B$31,0))))+1),0)</f>
        <v/>
      </c>
      <c r="S322">
        <f>IFERROR(O322/N322,0)</f>
        <v/>
      </c>
    </row>
    <row r="323">
      <c r="A323">
        <f>Skills!A10</f>
        <v/>
      </c>
      <c r="B323">
        <f>Skills!B10</f>
        <v/>
      </c>
      <c r="C323">
        <f>Inputs!$B$3&gt;=110</f>
        <v/>
      </c>
      <c r="D323">
        <f>IF(Skills!C10=1,60+Inputs!$B$24+Inputs!$B$28,IF(Skills!C10=2,90+Inputs!$B$25+Inputs!$B$28,IF(Skills!C10=3,120+Inputs!$B$26+Inputs!$B$28,MAX(0,(Inputs!$B$3-100)*3)+Inputs!$B$27+Inputs!$B$28)))</f>
        <v/>
      </c>
      <c r="E323">
        <f>INDEX(FactorTable!$B$2:$Y$301, MATCH(ROUND(MIN(300,MAX(1,D323)),0), FactorTable!$A$2:$A$301,0), Skills!M10+1)</f>
        <v/>
      </c>
      <c r="F323">
        <f>IF(Skills!N10=TRUE,(Skills!L10/10)*(E323/1000),Skills!L10/10)+Skills!O10</f>
        <v/>
      </c>
      <c r="G323">
        <f>Skills!G10*IF(Skills!H10&gt;0,Skills!I10/Skills!H10,1)</f>
        <v/>
      </c>
      <c r="H323">
        <f>1-(1-Skills!J10/100)^Skills!K10</f>
        <v/>
      </c>
      <c r="I323" t="inlineStr">
        <is>
          <t>1</t>
        </is>
      </c>
      <c r="J323">
        <f>(Inputs!$B$5*(1+Inputs!$B$6/100))*(F323/100)</f>
        <v/>
      </c>
      <c r="K323">
        <f>J323*(1+((Inputs!$B$11*(1+Inputs!$B$12/100))*0.01+Inputs!$B$13*0.0025)/100)*(1+Inputs!$B$14/100)*(1+IF(Inputs!$B$4="pvp",0,(1-Summary!$B$55)*(Inputs!$B$19+0+Skills!P10+((C330=TRUE)*F330*IF(AND(Inputs!$B$4&lt;&gt;"pvp",Inputs!$B$35&gt;0),(((S330-1)*(Skills!T17*(1+Inputs!$B$33/100))+MIN((Skills!T17*(1+Inputs!$B$33/100)),MAX(0,Inputs!$B$35-((S330-1)*Skills!D17))))/Inputs!$B$35),IF(Inputs!$B$4="pvp",MIN((Skills!T17*(1+Inputs!$B$33/100)),15)/15,(Skills!T17*(1+Inputs!$B$33/100))/Skills!D17)))+((C327=TRUE)*IF(Inputs!$B$4="pvp",20,(1-Summary!$B$55)*(20)+Summary!$B$55*(0))*IF(AND(Inputs!$B$4&lt;&gt;"pvp",Inputs!$B$35&gt;0),(((S327-1)*(Skills!T14*(1+Inputs!$B$33/100))+MIN((Skills!T14*(1+Inputs!$B$33/100)),MAX(0,Inputs!$B$35-((S327-1)*Skills!D14))))/Inputs!$B$35),IF(Inputs!$B$4="pvp",MIN((Skills!T14*(1+Inputs!$B$33/100)),15)/15,(Skills!T14*(1+Inputs!$B$33/100))/Skills!D14))))+Summary!$B$55*(Inputs!$B$20+Skills!Q10+((C330=TRUE)*F330*IF(AND(Inputs!$B$4&lt;&gt;"pvp",Inputs!$B$35&gt;0),(((S330-1)*(Skills!T17*(1+Inputs!$B$33/100))+MIN((Skills!T17*(1+Inputs!$B$33/100)),MAX(0,Inputs!$B$35-((S330-1)*Skills!D17))))/Inputs!$B$35),IF(Inputs!$B$4="pvp",MIN((Skills!T17*(1+Inputs!$B$33/100)),15)/15,(Skills!T17*(1+Inputs!$B$33/100))/Skills!D17)))))/100)*(1+Inputs!$B$15/100)*(5000/(6000+Inputs!$B$7*(1-(Inputs!$B$18+0)/100)))*(1+(((((1+Inputs!$B$23/100)*(1.01))-1)*100)+((C338=TRUE)*(F338-Calc!F25))+((C339=TRUE)*(F339-Calc!F26))+B348)/100)*(1+(IF(Skills!A10="DARK_IMPALE",Inputs!$B$16+0,Inputs!$B$17+((C336=TRUE)*(F336-Calc!F23))))/100)*((1+(((C326=TRUE)*F326*IF(AND(Inputs!$B$4&lt;&gt;"pvp",Inputs!$B$35&gt;0),(((S326-1)*(Skills!T13*(1+Inputs!$B$33/100))+MIN((Skills!T13*(1+Inputs!$B$33/100)),MAX(0,Inputs!$B$35-((S326-1)*Skills!D13))))/Inputs!$B$35),IF(Inputs!$B$4="pvp",MIN((Skills!T13*(1+Inputs!$B$33/100)),15)/15,(Skills!T13*(1+Inputs!$B$33/100))/Skills!D13)))+((C327=TRUE)*F327*IF(AND(Inputs!$B$4&lt;&gt;"pvp",Inputs!$B$35&gt;0),(((S327-1)*(Skills!T14*(1+Inputs!$B$33/100))+MIN((Skills!T14*(1+Inputs!$B$33/100)),MAX(0,Inputs!$B$35-((S327-1)*Skills!D14))))/Inputs!$B$35),IF(Inputs!$B$4="pvp",MIN((Skills!T14*(1+Inputs!$B$33/100)),15)/15,(Skills!T14*(1+Inputs!$B$33/100))/Skills!D14)))+((C328=TRUE)*F328*IF(AND(Inputs!$B$4&lt;&gt;"pvp",Inputs!$B$35&gt;0),(((S328-1)*(Skills!T15*(1+Inputs!$B$33/100))+MIN((Skills!T15*(1+Inputs!$B$33/100)),MAX(0,Inputs!$B$35-((S328-1)*Skills!D15))))/Inputs!$B$35),IF(Inputs!$B$4="pvp",MIN((Skills!T15*(1+Inputs!$B$33/100)),15)/15,(Skills!T15*(1+Inputs!$B$33/100))/Skills!D15)))+((C329=TRUE)*F329*IF(AND(Inputs!$B$4&lt;&gt;"pvp",Inputs!$B$35&gt;0),(((S329-1)*(Skills!T16*(1+Inputs!$B$33/100))+MIN((Skills!T16*(1+Inputs!$B$33/100)),MAX(0,Inputs!$B$35-((S329-1)*Skills!D16))))/Inputs!$B$35),IF(Inputs!$B$4="pvp",MIN((Skills!T16*(1+Inputs!$B$33/100)),15)/15,(Skills!T16*(1+Inputs!$B$33/100))/Skills!D16)))+0)/100)*I323)</f>
        <v/>
      </c>
      <c r="L323">
        <f>K323*(MIN(Inputs!$B$21+((C335=TRUE)*(F335-Calc!F22)),Inputs!$B$22+((C337=TRUE)*(F337-Calc!F24)))/100+(Inputs!$B$22+((C337=TRUE)*(F337-Calc!F24)))/100)/2</f>
        <v/>
      </c>
      <c r="M323">
        <f>L323*(1+(Inputs!$B$9+0+B347)/100)</f>
        <v/>
      </c>
      <c r="N323">
        <f>L323*(1-MIN((Inputs!$B$8+0+B342),100)/100)+M323*(MIN((Inputs!$B$8+0+B342),100)/100)</f>
        <v/>
      </c>
      <c r="O323">
        <f>IF(C323,H323*N323*IF(AND(Inputs!$B$4&lt;&gt;"pvp",Inputs!$B$35&gt;0),((Skills!G10*((R323-1)*IF(Skills!H10&gt;0,Skills!I10/Skills!H10,1)+IF(Skills!H10&gt;0,MIN(Skills!I10,MAX(0,Inputs!$B$35-((R323-1)*IF(Inputs!$B$4="pvp",15,MAX(0.1,Skills!D10-IF(Skills!E10=TRUE,Inputs!$B$31,0))))))/Skills!H10,1)))/Inputs!$B$35),G323*Q323)*IF(Inputs!$B$4="pvp",1,(1-Summary!$B$55)*(1)+Summary!$B$55*(MIN(Skills!R10,Inputs!$B$37))),0)</f>
        <v/>
      </c>
      <c r="P323">
        <f>IF(B350=0,0,O323/B350)</f>
        <v/>
      </c>
      <c r="Q323">
        <f>IFERROR(1/IF(Inputs!$B$4="pvp",15,MAX(0.1,Skills!D10-IF(Skills!E10=TRUE,Inputs!$B$31,0))),0)</f>
        <v/>
      </c>
      <c r="R323">
        <f>IF(AND(Inputs!$B$4&lt;&gt;"pvp",Inputs!$B$35&gt;0),(INT(Inputs!$B$35/IF(Inputs!$B$4="pvp",15,MAX(0.1,Skills!D10-IF(Skills!E10=TRUE,Inputs!$B$31,0))))+1),0)</f>
        <v/>
      </c>
      <c r="S323">
        <f>IFERROR(O323/N323,0)</f>
        <v/>
      </c>
    </row>
    <row r="324">
      <c r="A324">
        <f>Skills!A11</f>
        <v/>
      </c>
      <c r="B324">
        <f>Skills!B11</f>
        <v/>
      </c>
      <c r="C324">
        <f>Inputs!$B$3&gt;=100</f>
        <v/>
      </c>
      <c r="D324">
        <f>IF(Skills!C11=1,60+Inputs!$B$24+Inputs!$B$28,IF(Skills!C11=2,90+Inputs!$B$25+Inputs!$B$28,IF(Skills!C11=3,120+Inputs!$B$26+Inputs!$B$28,MAX(0,(Inputs!$B$3-100)*3)+Inputs!$B$27+Inputs!$B$28)))</f>
        <v/>
      </c>
      <c r="E324">
        <f>INDEX(FactorTable!$B$2:$Y$301, MATCH(ROUND(MIN(300,MAX(1,D324)),0), FactorTable!$A$2:$A$301,0), Skills!M11+1)</f>
        <v/>
      </c>
      <c r="F324">
        <f>IF(Skills!N11=TRUE,(Skills!L11/10)*(E324/1000),Skills!L11/10)+Skills!O11</f>
        <v/>
      </c>
      <c r="G324" t="inlineStr"/>
      <c r="H324" t="inlineStr"/>
      <c r="I324" t="inlineStr">
        <is>
          <t>1</t>
        </is>
      </c>
      <c r="J324" t="inlineStr"/>
      <c r="K324" t="inlineStr"/>
      <c r="L324" t="inlineStr"/>
      <c r="M324" t="inlineStr"/>
      <c r="N324" t="inlineStr"/>
      <c r="O324" t="inlineStr"/>
      <c r="P324" t="inlineStr"/>
      <c r="Q324" t="inlineStr"/>
      <c r="R324" t="inlineStr"/>
      <c r="S324" t="inlineStr"/>
    </row>
    <row r="325">
      <c r="A325">
        <f>Skills!A12</f>
        <v/>
      </c>
      <c r="B325">
        <f>Skills!B12</f>
        <v/>
      </c>
      <c r="C325">
        <f>Inputs!$B$3&gt;=63</f>
        <v/>
      </c>
      <c r="D325">
        <f>IF(Skills!C12=1,60+Inputs!$B$24+Inputs!$B$28,IF(Skills!C12=2,90+Inputs!$B$25+Inputs!$B$28,IF(Skills!C12=3,120+Inputs!$B$26+Inputs!$B$28,MAX(0,(Inputs!$B$3-100)*3)+Inputs!$B$27+Inputs!$B$28)))</f>
        <v/>
      </c>
      <c r="E325">
        <f>INDEX(FactorTable!$B$2:$Y$301, MATCH(ROUND(MIN(300,MAX(1,D325)),0), FactorTable!$A$2:$A$301,0), Skills!M12+1)</f>
        <v/>
      </c>
      <c r="F325">
        <f>IF(Skills!N12=TRUE,(Skills!L12/10)*(E325/1000),Skills!L12/10)+Skills!O12</f>
        <v/>
      </c>
      <c r="G325">
        <f>Skills!G12*IF(Skills!H12&gt;0,Skills!I12/Skills!H12,1)</f>
        <v/>
      </c>
      <c r="H325">
        <f>1-(1-Skills!J12/100)^Skills!K12</f>
        <v/>
      </c>
      <c r="I325" t="inlineStr">
        <is>
          <t>1</t>
        </is>
      </c>
      <c r="J325">
        <f>(Inputs!$B$5*(1+Inputs!$B$6/100))*(F325/100)</f>
        <v/>
      </c>
      <c r="K325">
        <f>J325*(1+((Inputs!$B$11*(1+Inputs!$B$12/100))*0.01+Inputs!$B$13*0.0025)/100)*(1+Inputs!$B$14/100)*(1+IF(Inputs!$B$4="pvp",0,(1-Summary!$B$55)*(Inputs!$B$19+0+Skills!P12+((C330=TRUE)*F330*IF(AND(Inputs!$B$4&lt;&gt;"pvp",Inputs!$B$35&gt;0),(((S330-1)*(Skills!T17*(1+Inputs!$B$33/100))+MIN((Skills!T17*(1+Inputs!$B$33/100)),MAX(0,Inputs!$B$35-((S330-1)*Skills!D17))))/Inputs!$B$35),IF(Inputs!$B$4="pvp",MIN((Skills!T17*(1+Inputs!$B$33/100)),15)/15,(Skills!T17*(1+Inputs!$B$33/100))/Skills!D17)))+((C327=TRUE)*IF(Inputs!$B$4="pvp",20,(1-Summary!$B$55)*(20)+Summary!$B$55*(0))*IF(AND(Inputs!$B$4&lt;&gt;"pvp",Inputs!$B$35&gt;0),(((S327-1)*(Skills!T14*(1+Inputs!$B$33/100))+MIN((Skills!T14*(1+Inputs!$B$33/100)),MAX(0,Inputs!$B$35-((S327-1)*Skills!D14))))/Inputs!$B$35),IF(Inputs!$B$4="pvp",MIN((Skills!T14*(1+Inputs!$B$33/100)),15)/15,(Skills!T14*(1+Inputs!$B$33/100))/Skills!D14))))+Summary!$B$55*(Inputs!$B$20+Skills!Q12+((C330=TRUE)*F330*IF(AND(Inputs!$B$4&lt;&gt;"pvp",Inputs!$B$35&gt;0),(((S330-1)*(Skills!T17*(1+Inputs!$B$33/100))+MIN((Skills!T17*(1+Inputs!$B$33/100)),MAX(0,Inputs!$B$35-((S330-1)*Skills!D17))))/Inputs!$B$35),IF(Inputs!$B$4="pvp",MIN((Skills!T17*(1+Inputs!$B$33/100)),15)/15,(Skills!T17*(1+Inputs!$B$33/100))/Skills!D17)))))/100)*(1+Inputs!$B$15/100)*(5000/(6000+Inputs!$B$7*(1-(Inputs!$B$18+0)/100)))*(1+(((((1+Inputs!$B$23/100)*(1.01))-1)*100)+((C338=TRUE)*(F338-Calc!F25))+((C339=TRUE)*(F339-Calc!F26))+B348)/100)*(1+0.75*IF(C324=TRUE,F324,0)/100)*(1+(IF(Skills!A12="DARK_IMPALE",Inputs!$B$16+0,Inputs!$B$17+((C336=TRUE)*(F336-Calc!F23))))/100)*((1+(((C326=TRUE)*F326*IF(AND(Inputs!$B$4&lt;&gt;"pvp",Inputs!$B$35&gt;0),(((S326-1)*(Skills!T13*(1+Inputs!$B$33/100))+MIN((Skills!T13*(1+Inputs!$B$33/100)),MAX(0,Inputs!$B$35-((S326-1)*Skills!D13))))/Inputs!$B$35),IF(Inputs!$B$4="pvp",MIN((Skills!T13*(1+Inputs!$B$33/100)),15)/15,(Skills!T13*(1+Inputs!$B$33/100))/Skills!D13)))+((C327=TRUE)*F327*IF(AND(Inputs!$B$4&lt;&gt;"pvp",Inputs!$B$35&gt;0),(((S327-1)*(Skills!T14*(1+Inputs!$B$33/100))+MIN((Skills!T14*(1+Inputs!$B$33/100)),MAX(0,Inputs!$B$35-((S327-1)*Skills!D14))))/Inputs!$B$35),IF(Inputs!$B$4="pvp",MIN((Skills!T14*(1+Inputs!$B$33/100)),15)/15,(Skills!T14*(1+Inputs!$B$33/100))/Skills!D14)))+((C328=TRUE)*F328*IF(AND(Inputs!$B$4&lt;&gt;"pvp",Inputs!$B$35&gt;0),(((S328-1)*(Skills!T15*(1+Inputs!$B$33/100))+MIN((Skills!T15*(1+Inputs!$B$33/100)),MAX(0,Inputs!$B$35-((S328-1)*Skills!D15))))/Inputs!$B$35),IF(Inputs!$B$4="pvp",MIN((Skills!T15*(1+Inputs!$B$33/100)),15)/15,(Skills!T15*(1+Inputs!$B$33/100))/Skills!D15)))+((C329=TRUE)*F329*IF(AND(Inputs!$B$4&lt;&gt;"pvp",Inputs!$B$35&gt;0),(((S329-1)*(Skills!T16*(1+Inputs!$B$33/100))+MIN((Skills!T16*(1+Inputs!$B$33/100)),MAX(0,Inputs!$B$35-((S329-1)*Skills!D16))))/Inputs!$B$35),IF(Inputs!$B$4="pvp",MIN((Skills!T16*(1+Inputs!$B$33/100)),15)/15,(Skills!T16*(1+Inputs!$B$33/100))/Skills!D16)))+0)/100)*I325)</f>
        <v/>
      </c>
      <c r="L325">
        <f>K325*(MIN(Inputs!$B$21+((C335=TRUE)*(F335-Calc!F22)),Inputs!$B$22+((C337=TRUE)*(F337-Calc!F24)))/100+(Inputs!$B$22+((C337=TRUE)*(F337-Calc!F24)))/100)/2</f>
        <v/>
      </c>
      <c r="M325">
        <f>L325*(1+(Inputs!$B$9+0+B347)/100)</f>
        <v/>
      </c>
      <c r="N325">
        <f>L325*(1-MIN((Inputs!$B$8+0+B342),100)/100)+M325*(MIN((Inputs!$B$8+0+B342),100)/100)</f>
        <v/>
      </c>
      <c r="O325">
        <f>IF(C325,H325*N325*IF(AND(Inputs!$B$4&lt;&gt;"pvp",Inputs!$B$35&gt;0),((Skills!G12*((R325-1)*IF(Skills!H12&gt;0,Skills!I12/Skills!H12,1)+IF(Skills!H12&gt;0,MIN(Skills!I12,MAX(0,Inputs!$B$35-((R325-1)*IF(Inputs!$B$4="pvp",15,MAX(0.1,Skills!D12-IF(Skills!E12=TRUE,Inputs!$B$31,0))))))/Skills!H12,1)))/Inputs!$B$35),G325*Q325)*IF(Inputs!$B$4="pvp",1,(1-Summary!$B$55)*(1)+Summary!$B$55*(MIN(Skills!R12,Inputs!$B$37))),0)</f>
        <v/>
      </c>
      <c r="P325">
        <f>IF(B350=0,0,O325/B350)</f>
        <v/>
      </c>
      <c r="Q325">
        <f>IFERROR(1/IF(Inputs!$B$4="pvp",15,MAX(0.1,Skills!D12-IF(Skills!E12=TRUE,Inputs!$B$31,0))),0)</f>
        <v/>
      </c>
      <c r="R325">
        <f>IF(AND(Inputs!$B$4&lt;&gt;"pvp",Inputs!$B$35&gt;0),(INT(Inputs!$B$35/IF(Inputs!$B$4="pvp",15,MAX(0.1,Skills!D12-IF(Skills!E12=TRUE,Inputs!$B$31,0))))+1),0)</f>
        <v/>
      </c>
      <c r="S325">
        <f>IFERROR(O325/N325,0)</f>
        <v/>
      </c>
    </row>
    <row r="326">
      <c r="A326">
        <f>Skills!A13</f>
        <v/>
      </c>
      <c r="B326">
        <f>Skills!B13</f>
        <v/>
      </c>
      <c r="C326">
        <f>Inputs!$B$3&gt;=69</f>
        <v/>
      </c>
      <c r="D326">
        <f>IF(Skills!C13=1,60+Inputs!$B$24+Inputs!$B$28,IF(Skills!C13=2,90+Inputs!$B$25+Inputs!$B$28,IF(Skills!C13=3,120+Inputs!$B$26+Inputs!$B$28,MAX(0,(Inputs!$B$3-100)*3)+Inputs!$B$27+Inputs!$B$28)))</f>
        <v/>
      </c>
      <c r="E326">
        <f>INDEX(FactorTable!$B$2:$Y$301, MATCH(ROUND(MIN(300,MAX(1,D326)),0), FactorTable!$A$2:$A$301,0), Skills!M13+1)</f>
        <v/>
      </c>
      <c r="F326">
        <f>IF(Skills!N13=TRUE,(Skills!L13/10)*(E326/1000),Skills!L13/10)+Skills!O13</f>
        <v/>
      </c>
      <c r="G326">
        <f>Skills!G13*IF(Skills!H13&gt;0,Skills!I13/Skills!H13,1)</f>
        <v/>
      </c>
      <c r="H326">
        <f>1-(1-Skills!J13/100)^Skills!K13</f>
        <v/>
      </c>
      <c r="I326" t="inlineStr">
        <is>
          <t>1</t>
        </is>
      </c>
      <c r="J326" t="inlineStr"/>
      <c r="K326" t="inlineStr"/>
      <c r="L326" t="inlineStr"/>
      <c r="M326" t="inlineStr"/>
      <c r="N326" t="inlineStr"/>
      <c r="O326" t="n">
        <v>0</v>
      </c>
      <c r="P326">
        <f>IF(B350=0,0,O326/B350)</f>
        <v/>
      </c>
      <c r="Q326">
        <f>IFERROR(1/IF(Inputs!$B$4="pvp",15,MAX(0.1,Skills!D13-IF(Skills!E13=TRUE,Inputs!$B$31,0))),0)</f>
        <v/>
      </c>
      <c r="R326">
        <f>IF(AND(Inputs!$B$4&lt;&gt;"pvp",Inputs!$B$35&gt;0),(INT(Inputs!$B$35/IF(Inputs!$B$4="pvp",15,MAX(0.1,Skills!D13-IF(Skills!E13=TRUE,Inputs!$B$31,0))))+1),0)</f>
        <v/>
      </c>
      <c r="S326">
        <f>IFERROR(O326/N326,0)</f>
        <v/>
      </c>
    </row>
    <row r="327">
      <c r="A327">
        <f>Skills!A14</f>
        <v/>
      </c>
      <c r="B327">
        <f>Skills!B14</f>
        <v/>
      </c>
      <c r="C327">
        <f>Inputs!$B$3&gt;=115</f>
        <v/>
      </c>
      <c r="D327">
        <f>IF(Skills!C14=1,60+Inputs!$B$24+Inputs!$B$28,IF(Skills!C14=2,90+Inputs!$B$25+Inputs!$B$28,IF(Skills!C14=3,120+Inputs!$B$26+Inputs!$B$28,MAX(0,(Inputs!$B$3-100)*3)+Inputs!$B$27+Inputs!$B$28)))</f>
        <v/>
      </c>
      <c r="E327">
        <f>INDEX(FactorTable!$B$2:$Y$301, MATCH(ROUND(MIN(300,MAX(1,D327)),0), FactorTable!$A$2:$A$301,0), Skills!M14+1)</f>
        <v/>
      </c>
      <c r="F327">
        <f>IF(Skills!N14=TRUE,(Skills!L14/10)*(E327/1000),Skills!L14/10)+Skills!O14</f>
        <v/>
      </c>
      <c r="G327">
        <f>Skills!G14*IF(Skills!H14&gt;0,Skills!I14/Skills!H14,1)</f>
        <v/>
      </c>
      <c r="H327">
        <f>1-(1-Skills!J14/100)^Skills!K14</f>
        <v/>
      </c>
      <c r="I327" t="inlineStr">
        <is>
          <t>1</t>
        </is>
      </c>
      <c r="J327" t="inlineStr"/>
      <c r="K327" t="inlineStr"/>
      <c r="L327" t="inlineStr"/>
      <c r="M327" t="inlineStr"/>
      <c r="N327" t="inlineStr"/>
      <c r="O327" t="n">
        <v>0</v>
      </c>
      <c r="P327">
        <f>IF(B350=0,0,O327/B350)</f>
        <v/>
      </c>
      <c r="Q327">
        <f>IFERROR(1/IF(Inputs!$B$4="pvp",15,MAX(0.1,Skills!D14-IF(Skills!E14=TRUE,Inputs!$B$31,0))),0)</f>
        <v/>
      </c>
      <c r="R327">
        <f>IF(AND(Inputs!$B$4&lt;&gt;"pvp",Inputs!$B$35&gt;0),(INT(Inputs!$B$35/IF(Inputs!$B$4="pvp",15,MAX(0.1,Skills!D14-IF(Skills!E14=TRUE,Inputs!$B$31,0))))+1),0)</f>
        <v/>
      </c>
      <c r="S327">
        <f>IFERROR(O327/N327,0)</f>
        <v/>
      </c>
    </row>
    <row r="328">
      <c r="A328">
        <f>Skills!A15</f>
        <v/>
      </c>
      <c r="B328">
        <f>Skills!B15</f>
        <v/>
      </c>
      <c r="C328">
        <f>Inputs!$B$3&gt;=66</f>
        <v/>
      </c>
      <c r="D328">
        <f>IF(Skills!C15=1,60+Inputs!$B$24+Inputs!$B$28,IF(Skills!C15=2,90+Inputs!$B$25+Inputs!$B$28,IF(Skills!C15=3,120+Inputs!$B$26+Inputs!$B$28,MAX(0,(Inputs!$B$3-100)*3)+Inputs!$B$27+Inputs!$B$28)))</f>
        <v/>
      </c>
      <c r="E328">
        <f>INDEX(FactorTable!$B$2:$Y$301, MATCH(ROUND(MIN(300,MAX(1,D328)),0), FactorTable!$A$2:$A$301,0), Skills!M15+1)</f>
        <v/>
      </c>
      <c r="F328">
        <f>IF(Skills!N15=TRUE,(Skills!L15/10)*(E328/1000),Skills!L15/10)+Skills!O15</f>
        <v/>
      </c>
      <c r="G328">
        <f>Skills!G15*IF(Skills!H15&gt;0,Skills!I15/Skills!H15,1)</f>
        <v/>
      </c>
      <c r="H328">
        <f>1-(1-Skills!J15/100)^Skills!K15</f>
        <v/>
      </c>
      <c r="I328" t="inlineStr">
        <is>
          <t>1</t>
        </is>
      </c>
      <c r="J328" t="inlineStr"/>
      <c r="K328" t="inlineStr"/>
      <c r="L328" t="inlineStr"/>
      <c r="M328" t="inlineStr"/>
      <c r="N328" t="inlineStr"/>
      <c r="O328" t="n">
        <v>0</v>
      </c>
      <c r="P328">
        <f>IF(B350=0,0,O328/B350)</f>
        <v/>
      </c>
      <c r="Q328">
        <f>IFERROR(1/IF(Inputs!$B$4="pvp",15,MAX(0.1,Skills!D15-IF(Skills!E15=TRUE,Inputs!$B$31,0))),0)</f>
        <v/>
      </c>
      <c r="R328">
        <f>IF(AND(Inputs!$B$4&lt;&gt;"pvp",Inputs!$B$35&gt;0),(INT(Inputs!$B$35/IF(Inputs!$B$4="pvp",15,MAX(0.1,Skills!D15-IF(Skills!E15=TRUE,Inputs!$B$31,0))))+1),0)</f>
        <v/>
      </c>
      <c r="S328">
        <f>IFERROR(O328/N328,0)</f>
        <v/>
      </c>
    </row>
    <row r="329">
      <c r="A329">
        <f>Skills!A16</f>
        <v/>
      </c>
      <c r="B329">
        <f>Skills!B16</f>
        <v/>
      </c>
      <c r="C329">
        <f>Inputs!$B$3&gt;=45</f>
        <v/>
      </c>
      <c r="D329">
        <f>IF(Skills!C16=1,60+Inputs!$B$24+Inputs!$B$28,IF(Skills!C16=2,90+Inputs!$B$25+Inputs!$B$28,IF(Skills!C16=3,120+Inputs!$B$26+Inputs!$B$28,MAX(0,(Inputs!$B$3-100)*3)+Inputs!$B$27+Inputs!$B$28)))</f>
        <v/>
      </c>
      <c r="E329">
        <f>INDEX(FactorTable!$B$2:$Y$301, MATCH(ROUND(MIN(300,MAX(1,D329)),0), FactorTable!$A$2:$A$301,0), Skills!M16+1)</f>
        <v/>
      </c>
      <c r="F329">
        <f>IF(Skills!N16=TRUE,(Skills!L16/10)*(E329/1000),Skills!L16/10)+Skills!O16</f>
        <v/>
      </c>
      <c r="G329">
        <f>Skills!G16*IF(Skills!H16&gt;0,Skills!I16/Skills!H16,1)</f>
        <v/>
      </c>
      <c r="H329">
        <f>1-(1-Skills!J16/100)^Skills!K16</f>
        <v/>
      </c>
      <c r="I329" t="inlineStr">
        <is>
          <t>1</t>
        </is>
      </c>
      <c r="J329" t="inlineStr"/>
      <c r="K329" t="inlineStr"/>
      <c r="L329" t="inlineStr"/>
      <c r="M329" t="inlineStr"/>
      <c r="N329" t="inlineStr"/>
      <c r="O329" t="n">
        <v>0</v>
      </c>
      <c r="P329">
        <f>IF(B350=0,0,O329/B350)</f>
        <v/>
      </c>
      <c r="Q329">
        <f>IFERROR(1/IF(Inputs!$B$4="pvp",15,MAX(0.1,Skills!D16-IF(Skills!E16=TRUE,Inputs!$B$31,0))),0)</f>
        <v/>
      </c>
      <c r="R329">
        <f>IF(AND(Inputs!$B$4&lt;&gt;"pvp",Inputs!$B$35&gt;0),(INT(Inputs!$B$35/IF(Inputs!$B$4="pvp",15,MAX(0.1,Skills!D16-IF(Skills!E16=TRUE,Inputs!$B$31,0))))+1),0)</f>
        <v/>
      </c>
      <c r="S329">
        <f>IFERROR(O329/N329,0)</f>
        <v/>
      </c>
    </row>
    <row r="330">
      <c r="A330">
        <f>Skills!A17</f>
        <v/>
      </c>
      <c r="B330">
        <f>Skills!B17</f>
        <v/>
      </c>
      <c r="C330">
        <f>Inputs!$B$3&gt;=35</f>
        <v/>
      </c>
      <c r="D330">
        <f>IF(Skills!C17=1,60+Inputs!$B$24+Inputs!$B$28,IF(Skills!C17=2,90+Inputs!$B$25+Inputs!$B$28,IF(Skills!C17=3,120+Inputs!$B$26+Inputs!$B$28,MAX(0,(Inputs!$B$3-100)*3)+Inputs!$B$27+Inputs!$B$28)))</f>
        <v/>
      </c>
      <c r="E330">
        <f>INDEX(FactorTable!$B$2:$Y$301, MATCH(ROUND(MIN(300,MAX(1,D330)),0), FactorTable!$A$2:$A$301,0), Skills!M17+1)</f>
        <v/>
      </c>
      <c r="F330">
        <f>IF(Skills!N17=TRUE,(Skills!L17/10)*(E330/1000),Skills!L17/10)+Skills!O17</f>
        <v/>
      </c>
      <c r="G330">
        <f>Skills!G17*IF(Skills!H17&gt;0,Skills!I17/Skills!H17,1)</f>
        <v/>
      </c>
      <c r="H330">
        <f>1-(1-Skills!J17/100)^Skills!K17</f>
        <v/>
      </c>
      <c r="I330" t="inlineStr">
        <is>
          <t>1</t>
        </is>
      </c>
      <c r="J330" t="inlineStr"/>
      <c r="K330" t="inlineStr"/>
      <c r="L330" t="inlineStr"/>
      <c r="M330" t="inlineStr"/>
      <c r="N330" t="inlineStr"/>
      <c r="O330" t="n">
        <v>0</v>
      </c>
      <c r="P330">
        <f>IF(B350=0,0,O330/B350)</f>
        <v/>
      </c>
      <c r="Q330">
        <f>IFERROR(1/IF(Inputs!$B$4="pvp",15,MAX(0.1,Skills!D17-IF(Skills!E17=TRUE,Inputs!$B$31,0))),0)</f>
        <v/>
      </c>
      <c r="R330">
        <f>IF(AND(Inputs!$B$4&lt;&gt;"pvp",Inputs!$B$35&gt;0),(INT(Inputs!$B$35/IF(Inputs!$B$4="pvp",15,MAX(0.1,Skills!D17-IF(Skills!E17=TRUE,Inputs!$B$31,0))))+1),0)</f>
        <v/>
      </c>
      <c r="S330">
        <f>IFERROR(O330/N330,0)</f>
        <v/>
      </c>
    </row>
    <row r="331">
      <c r="A331">
        <f>Skills!A18</f>
        <v/>
      </c>
      <c r="B331">
        <f>Skills!B18</f>
        <v/>
      </c>
      <c r="C331">
        <f>Inputs!$B$3&gt;=72</f>
        <v/>
      </c>
      <c r="D331">
        <f>IF(Skills!C18=1,60+Inputs!$B$24+Inputs!$B$28,IF(Skills!C18=2,90+Inputs!$B$25+Inputs!$B$28,IF(Skills!C18=3,120+Inputs!$B$26+Inputs!$B$28,MAX(0,(Inputs!$B$3-100)*3)+Inputs!$B$27+Inputs!$B$28)))</f>
        <v/>
      </c>
      <c r="E331">
        <f>INDEX(FactorTable!$B$2:$Y$301, MATCH(ROUND(MIN(300,MAX(1,D331)),0), FactorTable!$A$2:$A$301,0), Skills!M18+1)</f>
        <v/>
      </c>
      <c r="F331">
        <f>IF(Skills!N18=TRUE,(Skills!L18/10)*(E331/1000),Skills!L18/10)+Skills!O18</f>
        <v/>
      </c>
      <c r="G331">
        <f>Skills!G18*IF(Skills!H18&gt;0,Skills!I18/Skills!H18,1)</f>
        <v/>
      </c>
      <c r="H331">
        <f>1-(1-Skills!J18/100)^Skills!K18</f>
        <v/>
      </c>
      <c r="I331" t="inlineStr">
        <is>
          <t>1</t>
        </is>
      </c>
      <c r="J331" t="inlineStr"/>
      <c r="K331" t="inlineStr"/>
      <c r="L331" t="inlineStr"/>
      <c r="M331" t="inlineStr"/>
      <c r="N331" t="inlineStr"/>
      <c r="O331" t="n">
        <v>0</v>
      </c>
      <c r="P331">
        <f>IF(B350=0,0,O331/B350)</f>
        <v/>
      </c>
      <c r="Q331">
        <f>IFERROR(1/IF(Inputs!$B$4="pvp",15,MAX(0.1,Skills!D18-IF(Skills!E18=TRUE,Inputs!$B$31,0))),0)</f>
        <v/>
      </c>
      <c r="R331">
        <f>IF(AND(Inputs!$B$4&lt;&gt;"pvp",Inputs!$B$35&gt;0),(INT(Inputs!$B$35/IF(Inputs!$B$4="pvp",15,MAX(0.1,Skills!D18-IF(Skills!E18=TRUE,Inputs!$B$31,0))))+1),0)</f>
        <v/>
      </c>
      <c r="S331">
        <f>IFERROR(O331/N331,0)</f>
        <v/>
      </c>
    </row>
    <row r="332">
      <c r="A332">
        <f>Skills!A19</f>
        <v/>
      </c>
      <c r="B332">
        <f>Skills!B19</f>
        <v/>
      </c>
      <c r="C332">
        <f>Inputs!$B$3&gt;=72</f>
        <v/>
      </c>
      <c r="D332">
        <f>IF(Skills!C19=1,60+Inputs!$B$24+Inputs!$B$28,IF(Skills!C19=2,90+Inputs!$B$25+Inputs!$B$28,IF(Skills!C19=3,120+Inputs!$B$26+Inputs!$B$28,MAX(0,(Inputs!$B$3-100)*3)+Inputs!$B$27+Inputs!$B$28)))</f>
        <v/>
      </c>
      <c r="E332">
        <f>INDEX(FactorTable!$B$2:$Y$301, MATCH(ROUND(MIN(300,MAX(1,D332)),0), FactorTable!$A$2:$A$301,0), Skills!M19+1)</f>
        <v/>
      </c>
      <c r="F332">
        <f>IF(Skills!N19=TRUE,(Skills!L19/10)*(E332/1000),Skills!L19/10)+Skills!O19</f>
        <v/>
      </c>
      <c r="G332">
        <f>Skills!G19*IF(Skills!H19&gt;0,Skills!I19/Skills!H19,1)</f>
        <v/>
      </c>
      <c r="H332">
        <f>1-(1-Skills!J19/100)^Skills!K19</f>
        <v/>
      </c>
      <c r="I332" t="inlineStr">
        <is>
          <t>1</t>
        </is>
      </c>
      <c r="J332" t="inlineStr"/>
      <c r="K332" t="inlineStr"/>
      <c r="L332" t="inlineStr"/>
      <c r="M332" t="inlineStr"/>
      <c r="N332" t="inlineStr"/>
      <c r="O332" t="n">
        <v>0</v>
      </c>
      <c r="P332">
        <f>IF(B350=0,0,O332/B350)</f>
        <v/>
      </c>
      <c r="Q332">
        <f>IFERROR(1/IF(Inputs!$B$4="pvp",15,MAX(0.1,Skills!D19-IF(Skills!E19=TRUE,Inputs!$B$31,0))),0)</f>
        <v/>
      </c>
      <c r="R332">
        <f>IF(AND(Inputs!$B$4&lt;&gt;"pvp",Inputs!$B$35&gt;0),(INT(Inputs!$B$35/IF(Inputs!$B$4="pvp",15,MAX(0.1,Skills!D19-IF(Skills!E19=TRUE,Inputs!$B$31,0))))+1),0)</f>
        <v/>
      </c>
      <c r="S332">
        <f>IFERROR(O332/N332,0)</f>
        <v/>
      </c>
    </row>
    <row r="333">
      <c r="A333">
        <f>Skills!A20</f>
        <v/>
      </c>
      <c r="B333">
        <f>Skills!B20</f>
        <v/>
      </c>
      <c r="C333">
        <f>TRUE</f>
        <v/>
      </c>
      <c r="D333">
        <f>IF(Skills!C20=1,60+Inputs!$B$24+Inputs!$B$28,IF(Skills!C20=2,90+Inputs!$B$25+Inputs!$B$28,IF(Skills!C20=3,120+Inputs!$B$26+Inputs!$B$28,MAX(0,(Inputs!$B$3-100)*3)+Inputs!$B$27+Inputs!$B$28)))</f>
        <v/>
      </c>
      <c r="E333">
        <f>INDEX(FactorTable!$B$2:$Y$301, MATCH(ROUND(MIN(300,MAX(1,D333)),0), FactorTable!$A$2:$A$301,0), Skills!M20+1)</f>
        <v/>
      </c>
      <c r="F333">
        <f>IF(Skills!N20=TRUE,(Skills!L20/10)*(E333/1000),Skills!L20/10)+Skills!O20</f>
        <v/>
      </c>
      <c r="G333">
        <f>Skills!G20*IF(Skills!H20&gt;0,Skills!I20/Skills!H20,1)</f>
        <v/>
      </c>
      <c r="H333">
        <f>1-(1-Skills!J20/100)^Skills!K20</f>
        <v/>
      </c>
      <c r="I333" t="inlineStr">
        <is>
          <t>1</t>
        </is>
      </c>
      <c r="J333" t="inlineStr"/>
      <c r="K333" t="inlineStr"/>
      <c r="L333" t="inlineStr"/>
      <c r="M333" t="inlineStr"/>
      <c r="N333" t="inlineStr"/>
      <c r="O333" t="n">
        <v>0</v>
      </c>
      <c r="P333">
        <f>IF(B350=0,0,O333/B350)</f>
        <v/>
      </c>
      <c r="Q333">
        <f>IFERROR(1/IF(Inputs!$B$4="pvp",15,MAX(0.1,Skills!D20-IF(Skills!E20=TRUE,Inputs!$B$31,0))),0)</f>
        <v/>
      </c>
      <c r="R333">
        <f>IF(AND(Inputs!$B$4&lt;&gt;"pvp",Inputs!$B$35&gt;0),(INT(Inputs!$B$35/IF(Inputs!$B$4="pvp",15,MAX(0.1,Skills!D20-IF(Skills!E20=TRUE,Inputs!$B$31,0))))+1),0)</f>
        <v/>
      </c>
      <c r="S333">
        <f>IFERROR(O333/N333,0)</f>
        <v/>
      </c>
    </row>
    <row r="334">
      <c r="A334">
        <f>Skills!A21</f>
        <v/>
      </c>
      <c r="B334">
        <f>Skills!B21</f>
        <v/>
      </c>
      <c r="C334">
        <f>Inputs!$B$3&gt;=33</f>
        <v/>
      </c>
      <c r="D334">
        <f>IF(Skills!C21=1,60+Inputs!$B$24+Inputs!$B$28,IF(Skills!C21=2,90+Inputs!$B$25+Inputs!$B$28,IF(Skills!C21=3,120+Inputs!$B$26+Inputs!$B$28,MAX(0,(Inputs!$B$3-100)*3)+Inputs!$B$27+Inputs!$B$28)))</f>
        <v/>
      </c>
      <c r="E334">
        <f>INDEX(FactorTable!$B$2:$Y$301, MATCH(ROUND(MIN(300,MAX(1,D334)),0), FactorTable!$A$2:$A$301,0), Skills!M21+1)</f>
        <v/>
      </c>
      <c r="F334">
        <f>IF(Skills!N21=TRUE,(Skills!L21/10)*(E334/1000),Skills!L21/10)+Skills!O21</f>
        <v/>
      </c>
      <c r="G334">
        <f>Skills!G21*IF(Skills!H21&gt;0,Skills!I21/Skills!H21,1)</f>
        <v/>
      </c>
      <c r="H334">
        <f>1-(1-Skills!J21/100)^Skills!K21</f>
        <v/>
      </c>
      <c r="I334" t="inlineStr">
        <is>
          <t>1</t>
        </is>
      </c>
      <c r="J334" t="inlineStr"/>
      <c r="K334" t="inlineStr"/>
      <c r="L334" t="inlineStr"/>
      <c r="M334" t="inlineStr"/>
      <c r="N334" t="inlineStr"/>
      <c r="O334" t="n">
        <v>0</v>
      </c>
      <c r="P334">
        <f>IF(B350=0,0,O334/B350)</f>
        <v/>
      </c>
      <c r="Q334" t="n">
        <v>0</v>
      </c>
      <c r="R334" t="n">
        <v>0</v>
      </c>
      <c r="S334">
        <f>IFERROR(O334/N334,0)</f>
        <v/>
      </c>
    </row>
    <row r="335">
      <c r="A335">
        <f>Skills!A22</f>
        <v/>
      </c>
      <c r="B335">
        <f>Skills!B22</f>
        <v/>
      </c>
      <c r="C335">
        <f>Inputs!$B$3&gt;=43</f>
        <v/>
      </c>
      <c r="D335">
        <f>IF(Skills!C22=1,60+Inputs!$B$24+Inputs!$B$28,IF(Skills!C22=2,90+Inputs!$B$25+Inputs!$B$28,IF(Skills!C22=3,120+Inputs!$B$26+Inputs!$B$28,MAX(0,(Inputs!$B$3-100)*3)+Inputs!$B$27+Inputs!$B$28)))</f>
        <v/>
      </c>
      <c r="E335">
        <f>INDEX(FactorTable!$B$2:$Y$301, MATCH(ROUND(MIN(300,MAX(1,D335)),0), FactorTable!$A$2:$A$301,0), Skills!M22+1)</f>
        <v/>
      </c>
      <c r="F335">
        <f>IF(Skills!N22=TRUE,(Skills!L22/10)*(E335/1000),Skills!L22/10)+Skills!O22</f>
        <v/>
      </c>
      <c r="G335">
        <f>Skills!G22*IF(Skills!H22&gt;0,Skills!I22/Skills!H22,1)</f>
        <v/>
      </c>
      <c r="H335">
        <f>1-(1-Skills!J22/100)^Skills!K22</f>
        <v/>
      </c>
      <c r="I335" t="inlineStr">
        <is>
          <t>1</t>
        </is>
      </c>
      <c r="J335" t="inlineStr"/>
      <c r="K335" t="inlineStr"/>
      <c r="L335" t="inlineStr"/>
      <c r="M335" t="inlineStr"/>
      <c r="N335" t="inlineStr"/>
      <c r="O335" t="n">
        <v>0</v>
      </c>
      <c r="P335">
        <f>IF(B350=0,0,O335/B350)</f>
        <v/>
      </c>
      <c r="Q335" t="n">
        <v>0</v>
      </c>
      <c r="R335" t="n">
        <v>0</v>
      </c>
      <c r="S335">
        <f>IFERROR(O335/N335,0)</f>
        <v/>
      </c>
    </row>
    <row r="336">
      <c r="A336">
        <f>Skills!A23</f>
        <v/>
      </c>
      <c r="B336">
        <f>Skills!B23</f>
        <v/>
      </c>
      <c r="C336">
        <f>Inputs!$B$3&gt;=120</f>
        <v/>
      </c>
      <c r="D336">
        <f>IF(Skills!C23=1,60+Inputs!$B$24+Inputs!$B$28,IF(Skills!C23=2,90+Inputs!$B$25+Inputs!$B$28,IF(Skills!C23=3,120+Inputs!$B$26+Inputs!$B$28,MAX(0,(Inputs!$B$3-100)*3)+Inputs!$B$27+Inputs!$B$28)))</f>
        <v/>
      </c>
      <c r="E336">
        <f>INDEX(FactorTable!$B$2:$Y$301, MATCH(ROUND(MIN(300,MAX(1,D336)),0), FactorTable!$A$2:$A$301,0), Skills!M23+1)</f>
        <v/>
      </c>
      <c r="F336">
        <f>IF(Skills!N23=TRUE,(Skills!L23/10)*(E336/1000),Skills!L23/10)+Skills!O23</f>
        <v/>
      </c>
      <c r="G336">
        <f>Skills!G23*IF(Skills!H23&gt;0,Skills!I23/Skills!H23,1)</f>
        <v/>
      </c>
      <c r="H336">
        <f>1-(1-Skills!J23/100)^Skills!K23</f>
        <v/>
      </c>
      <c r="I336" t="inlineStr">
        <is>
          <t>1</t>
        </is>
      </c>
      <c r="J336" t="inlineStr"/>
      <c r="K336" t="inlineStr"/>
      <c r="L336" t="inlineStr"/>
      <c r="M336" t="inlineStr"/>
      <c r="N336" t="inlineStr"/>
      <c r="O336" t="n">
        <v>0</v>
      </c>
      <c r="P336">
        <f>IF(B350=0,0,O336/B350)</f>
        <v/>
      </c>
      <c r="Q336" t="n">
        <v>0</v>
      </c>
      <c r="R336" t="n">
        <v>0</v>
      </c>
      <c r="S336">
        <f>IFERROR(O336/N336,0)</f>
        <v/>
      </c>
    </row>
    <row r="337">
      <c r="A337">
        <f>Skills!A24</f>
        <v/>
      </c>
      <c r="B337">
        <f>Skills!B24</f>
        <v/>
      </c>
      <c r="C337">
        <f>Inputs!$B$3&gt;=120</f>
        <v/>
      </c>
      <c r="D337">
        <f>IF(Skills!C24=1,60+Inputs!$B$24+Inputs!$B$28,IF(Skills!C24=2,90+Inputs!$B$25+Inputs!$B$28,IF(Skills!C24=3,120+Inputs!$B$26+Inputs!$B$28,MAX(0,(Inputs!$B$3-100)*3)+Inputs!$B$27+Inputs!$B$28)))</f>
        <v/>
      </c>
      <c r="E337">
        <f>INDEX(FactorTable!$B$2:$Y$301, MATCH(ROUND(MIN(300,MAX(1,D337)),0), FactorTable!$A$2:$A$301,0), Skills!M24+1)</f>
        <v/>
      </c>
      <c r="F337">
        <f>IF(Skills!N24=TRUE,(Skills!L24/10)*(E337/1000),Skills!L24/10)+Skills!O24</f>
        <v/>
      </c>
      <c r="G337">
        <f>Skills!G24*IF(Skills!H24&gt;0,Skills!I24/Skills!H24,1)</f>
        <v/>
      </c>
      <c r="H337">
        <f>1-(1-Skills!J24/100)^Skills!K24</f>
        <v/>
      </c>
      <c r="I337" t="inlineStr">
        <is>
          <t>1</t>
        </is>
      </c>
      <c r="J337" t="inlineStr"/>
      <c r="K337" t="inlineStr"/>
      <c r="L337" t="inlineStr"/>
      <c r="M337" t="inlineStr"/>
      <c r="N337" t="inlineStr"/>
      <c r="O337" t="n">
        <v>0</v>
      </c>
      <c r="P337">
        <f>IF(B350=0,0,O337/B350)</f>
        <v/>
      </c>
      <c r="Q337" t="n">
        <v>0</v>
      </c>
      <c r="R337" t="n">
        <v>0</v>
      </c>
      <c r="S337">
        <f>IFERROR(O337/N337,0)</f>
        <v/>
      </c>
    </row>
    <row r="338">
      <c r="A338">
        <f>Skills!A25</f>
        <v/>
      </c>
      <c r="B338">
        <f>Skills!B25</f>
        <v/>
      </c>
      <c r="C338">
        <f>Inputs!$B$3&gt;=125</f>
        <v/>
      </c>
      <c r="D338">
        <f>IF(Skills!C25=1,60+Inputs!$B$24+Inputs!$B$28,IF(Skills!C25=2,90+Inputs!$B$25+Inputs!$B$28,IF(Skills!C25=3,120+Inputs!$B$26+Inputs!$B$28,MAX(0,(Inputs!$B$3-100)*3)+Inputs!$B$27+Inputs!$B$28)))</f>
        <v/>
      </c>
      <c r="E338">
        <f>INDEX(FactorTable!$B$2:$Y$301, MATCH(ROUND(MIN(300,MAX(1,D338)),0), FactorTable!$A$2:$A$301,0), Skills!M25+1)</f>
        <v/>
      </c>
      <c r="F338">
        <f>IF(Skills!N25=TRUE,(Skills!L25/10)*(E338/1000),Skills!L25/10)+Skills!O25</f>
        <v/>
      </c>
      <c r="G338">
        <f>Skills!G25*IF(Skills!H25&gt;0,Skills!I25/Skills!H25,1)</f>
        <v/>
      </c>
      <c r="H338">
        <f>1-(1-Skills!J25/100)^Skills!K25</f>
        <v/>
      </c>
      <c r="I338" t="inlineStr">
        <is>
          <t>1</t>
        </is>
      </c>
      <c r="J338" t="inlineStr"/>
      <c r="K338" t="inlineStr"/>
      <c r="L338" t="inlineStr"/>
      <c r="M338" t="inlineStr"/>
      <c r="N338" t="inlineStr"/>
      <c r="O338" t="n">
        <v>0</v>
      </c>
      <c r="P338">
        <f>IF(B350=0,0,O338/B350)</f>
        <v/>
      </c>
      <c r="Q338" t="n">
        <v>0</v>
      </c>
      <c r="R338" t="n">
        <v>0</v>
      </c>
      <c r="S338">
        <f>IFERROR(O338/N338,0)</f>
        <v/>
      </c>
    </row>
    <row r="339">
      <c r="A339">
        <f>Skills!A26</f>
        <v/>
      </c>
      <c r="B339">
        <f>Skills!B26</f>
        <v/>
      </c>
      <c r="C339">
        <f>Inputs!$B$3&gt;=107</f>
        <v/>
      </c>
      <c r="D339">
        <f>IF(Skills!C26=1,60+Inputs!$B$24+Inputs!$B$28,IF(Skills!C26=2,90+Inputs!$B$25+Inputs!$B$28,IF(Skills!C26=3,120+Inputs!$B$26+Inputs!$B$28,MAX(0,(Inputs!$B$3-100)*3)+Inputs!$B$27+Inputs!$B$28)))</f>
        <v/>
      </c>
      <c r="E339">
        <f>INDEX(FactorTable!$B$2:$Y$301, MATCH(ROUND(MIN(300,MAX(1,D339)),0), FactorTable!$A$2:$A$301,0), Skills!M26+1)</f>
        <v/>
      </c>
      <c r="F339">
        <f>IF(Skills!N26=TRUE,(Skills!L26/10)*(E339/1000),Skills!L26/10)+Skills!O26</f>
        <v/>
      </c>
      <c r="G339">
        <f>Skills!G26*IF(Skills!H26&gt;0,Skills!I26/Skills!H26,1)</f>
        <v/>
      </c>
      <c r="H339">
        <f>1-(1-Skills!J26/100)^Skills!K26</f>
        <v/>
      </c>
      <c r="I339" t="inlineStr">
        <is>
          <t>1</t>
        </is>
      </c>
      <c r="J339" t="inlineStr"/>
      <c r="K339" t="inlineStr"/>
      <c r="L339" t="inlineStr"/>
      <c r="M339" t="inlineStr"/>
      <c r="N339" t="inlineStr"/>
      <c r="O339" t="n">
        <v>0</v>
      </c>
      <c r="P339">
        <f>IF(B350=0,0,O339/B350)</f>
        <v/>
      </c>
      <c r="Q339" t="n">
        <v>0</v>
      </c>
      <c r="R339" t="n">
        <v>0</v>
      </c>
      <c r="S339">
        <f>IFERROR(O339/N339,0)</f>
        <v/>
      </c>
    </row>
    <row r="341">
      <c r="A341" t="inlineStr">
        <is>
          <t>Attack% Bucket Multiplier</t>
        </is>
      </c>
      <c r="B341">
        <f>(1+(((C326=TRUE)*F326*IF(AND(Inputs!$B$4&lt;&gt;"pvp",Inputs!$B$35&gt;0),(((S326-1)*(Skills!T13*(1+Inputs!$B$33/100))+MIN((Skills!T13*(1+Inputs!$B$33/100)),MAX(0,Inputs!$B$35-((S326-1)*Skills!D13))))/Inputs!$B$35),IF(Inputs!$B$4="pvp",MIN((Skills!T13*(1+Inputs!$B$33/100)),15)/15,(Skills!T13*(1+Inputs!$B$33/100))/Skills!D13)))+((C327=TRUE)*F327*IF(AND(Inputs!$B$4&lt;&gt;"pvp",Inputs!$B$35&gt;0),(((S327-1)*(Skills!T14*(1+Inputs!$B$33/100))+MIN((Skills!T14*(1+Inputs!$B$33/100)),MAX(0,Inputs!$B$35-((S327-1)*Skills!D14))))/Inputs!$B$35),IF(Inputs!$B$4="pvp",MIN((Skills!T14*(1+Inputs!$B$33/100)),15)/15,(Skills!T14*(1+Inputs!$B$33/100))/Skills!D14)))+((C328=TRUE)*F328*IF(AND(Inputs!$B$4&lt;&gt;"pvp",Inputs!$B$35&gt;0),(((S328-1)*(Skills!T15*(1+Inputs!$B$33/100))+MIN((Skills!T15*(1+Inputs!$B$33/100)),MAX(0,Inputs!$B$35-((S328-1)*Skills!D15))))/Inputs!$B$35),IF(Inputs!$B$4="pvp",MIN((Skills!T15*(1+Inputs!$B$33/100)),15)/15,(Skills!T15*(1+Inputs!$B$33/100))/Skills!D15)))+((C329=TRUE)*F329*IF(AND(Inputs!$B$4&lt;&gt;"pvp",Inputs!$B$35&gt;0),(((S329-1)*(Skills!T16*(1+Inputs!$B$33/100))+MIN((Skills!T16*(1+Inputs!$B$33/100)),MAX(0,Inputs!$B$35-((S329-1)*Skills!D16))))/Inputs!$B$35),IF(Inputs!$B$4="pvp",MIN((Skills!T16*(1+Inputs!$B$33/100)),15)/15,(Skills!T16*(1+Inputs!$B$33/100))/Skills!D16)))+0)/100)</f>
        <v/>
      </c>
    </row>
    <row r="342">
      <c r="A342" t="inlineStr">
        <is>
          <t>Global Crit Rate Bonus % (Lord of Darkness)</t>
        </is>
      </c>
      <c r="B342">
        <f>((C331=TRUE)*F331*(Skills!J18/100)*IF(AND(Inputs!$B$4&lt;&gt;"pvp",Inputs!$B$35&gt;0),(((S331-1)*(Skills!T18*(1+Inputs!$B$33/100))+MIN((Skills!T18*(1+Inputs!$B$33/100)),MAX(0,Inputs!$B$35-((S331-1)*Skills!D18))))/Inputs!$B$35),IF(Inputs!$B$4="pvp",MIN((Skills!T18*(1+Inputs!$B$33/100)),15)/15,(Skills!T18*(1+Inputs!$B$33/100))/Skills!D18)))</f>
        <v/>
      </c>
    </row>
    <row r="343">
      <c r="A343" t="inlineStr">
        <is>
          <t>Attack Speed Buff Bonus %</t>
        </is>
      </c>
      <c r="B343">
        <f>((C333=TRUE)*F333*IF(AND(Inputs!$B$4&lt;&gt;"pvp",Inputs!$B$35&gt;0),(((S333-1)*(Skills!T20*(1+Inputs!$B$33/100))+MIN((Skills!T20*(1+Inputs!$B$33/100)),MAX(0,Inputs!$B$35-((S333-1)*Skills!D20))))/Inputs!$B$35),IF(Inputs!$B$4="pvp",MIN((Skills!T20*(1+Inputs!$B$33/100)),15)/15,(Skills!T20*(1+Inputs!$B$33/100))/Skills!D20)))</f>
        <v/>
      </c>
    </row>
    <row r="344">
      <c r="A344" t="inlineStr">
        <is>
          <t>Actions Per Second</t>
        </is>
      </c>
      <c r="B344">
        <f>1+MIN(150,150*(1-(1-(Inputs!$B$10+((C334=TRUE)*(F334-Calc!F21)))/150)*(1-B343/150)))/100</f>
        <v/>
      </c>
    </row>
    <row r="345">
      <c r="A345" t="inlineStr">
        <is>
          <t>Skill + Buff Cast Rate</t>
        </is>
      </c>
      <c r="B345">
        <f>IF(AND(Inputs!$B$4&lt;&gt;"pvp",Inputs!$B$35&gt;0),SUMPRODUCT((Skills!E2:E26=TRUE)*(C315:C339=TRUE)*R315:R339*Skills!F2:F26)/Inputs!$B$35,SUMPRODUCT((Skills!E2:E26=TRUE)*(C315:C339=TRUE)*Q315:Q339*Skills!F2:F26))</f>
        <v/>
      </c>
    </row>
    <row r="346">
      <c r="A346" t="inlineStr">
        <is>
          <t>Dark Impale Casts Per Second</t>
        </is>
      </c>
      <c r="B346">
        <f>MAX(0,B344-B345)</f>
        <v/>
      </c>
    </row>
    <row r="347">
      <c r="A347" t="inlineStr">
        <is>
          <t>Global Critical Damage Bonus % (Lord of Darkness)</t>
        </is>
      </c>
      <c r="B347">
        <f>((C332=TRUE)*F332*(Skills!J19/100)*IF(AND(Inputs!$B$4&lt;&gt;"pvp",Inputs!$B$35&gt;0),(((S332-1)*(Skills!T19*(1+Inputs!$B$33/100))+MIN((Skills!T19*(1+Inputs!$B$33/100)),MAX(0,Inputs!$B$35-((S332-1)*Skills!D19))))/Inputs!$B$35),IF(Inputs!$B$4="pvp",MIN((Skills!T19*(1+Inputs!$B$33/100)),15)/15,(Skills!T19*(1+Inputs!$B$33/100))/Skills!D19)))</f>
        <v/>
      </c>
    </row>
    <row r="348">
      <c r="A348" t="inlineStr">
        <is>
          <t>Global Final Damage Bonus % (unused)</t>
        </is>
      </c>
      <c r="B348" t="n">
        <v>0</v>
      </c>
    </row>
    <row r="350">
      <c r="A350" s="5" t="inlineStr">
        <is>
          <t>TOTAL DPS</t>
        </is>
      </c>
      <c r="B350" s="5">
        <f>SUM(O315:O339)</f>
        <v/>
      </c>
    </row>
    <row r="353">
      <c r="A353" s="5" t="inlineStr">
        <is>
          <t>Stat: MIN_DAMAGE %</t>
        </is>
      </c>
    </row>
    <row r="354">
      <c r="A354" s="8" t="inlineStr">
        <is>
          <t>Key</t>
        </is>
      </c>
      <c r="B354" s="8" t="inlineStr">
        <is>
          <t>Name</t>
        </is>
      </c>
      <c r="C354" s="8" t="inlineStr">
        <is>
          <t>Unlocked</t>
        </is>
      </c>
      <c r="D354" s="8" t="inlineStr">
        <is>
          <t>InputLevel</t>
        </is>
      </c>
      <c r="E354" s="8" t="inlineStr">
        <is>
          <t>Factor</t>
        </is>
      </c>
      <c r="F354" s="8" t="inlineStr">
        <is>
          <t>CoefficientPercent</t>
        </is>
      </c>
      <c r="G354" s="8" t="inlineStr">
        <is>
          <t>EffectiveHits</t>
        </is>
      </c>
      <c r="H354" s="8" t="inlineStr">
        <is>
          <t>ProcProbability</t>
        </is>
      </c>
      <c r="I354" s="8" t="inlineStr">
        <is>
          <t>MapleHeroMultiplier</t>
        </is>
      </c>
      <c r="J354" s="8" t="inlineStr">
        <is>
          <t>BaseDamage</t>
        </is>
      </c>
      <c r="K354" s="8" t="inlineStr">
        <is>
          <t>BaseHitDamage</t>
        </is>
      </c>
      <c r="L354" s="8" t="inlineStr">
        <is>
          <t>NonCritAvg</t>
        </is>
      </c>
      <c r="M354" s="8" t="inlineStr">
        <is>
          <t>CritAvg</t>
        </is>
      </c>
      <c r="N354" s="8" t="inlineStr">
        <is>
          <t>ExpectedDamage(perHit)</t>
        </is>
      </c>
      <c r="O354" s="8" t="inlineStr">
        <is>
          <t>DPS</t>
        </is>
      </c>
      <c r="P354" s="8" t="inlineStr">
        <is>
          <t>% of Total</t>
        </is>
      </c>
      <c r="Q354" s="8" t="inlineStr">
        <is>
          <t>InvCooldown</t>
        </is>
      </c>
      <c r="R354" s="8" t="inlineStr">
        <is>
          <t>CastsInFight</t>
        </is>
      </c>
      <c r="S354" s="8" t="inlineStr">
        <is>
          <t>HitRate(perSec)</t>
        </is>
      </c>
      <c r="U354" t="inlineStr">
        <is>
          <t>helpers</t>
        </is>
      </c>
    </row>
    <row r="355">
      <c r="A355">
        <f>Skills!A2</f>
        <v/>
      </c>
      <c r="B355">
        <f>Skills!B2</f>
        <v/>
      </c>
      <c r="C355">
        <f>Inputs!$B$3&gt;=100</f>
        <v/>
      </c>
      <c r="D355" t="inlineStr"/>
      <c r="E355" t="inlineStr"/>
      <c r="F355">
        <f>U357+Skills!O2</f>
        <v/>
      </c>
      <c r="G355">
        <f>Skills!G2*IF(Skills!H2&gt;0,Skills!I2/Skills!H2,1)</f>
        <v/>
      </c>
      <c r="H355">
        <f>1-(1-Skills!J2/100)^Skills!K2</f>
        <v/>
      </c>
      <c r="I355" t="inlineStr">
        <is>
          <t>1</t>
        </is>
      </c>
      <c r="J355">
        <f>(Inputs!$B$5*(1+Inputs!$B$6/100))*(F355/100)</f>
        <v/>
      </c>
      <c r="K355">
        <f>J355*(1+((Inputs!$B$11*(1+Inputs!$B$12/100))*0.01+Inputs!$B$13*0.0025)/100)*(1+Inputs!$B$14/100)*(1+IF(Inputs!$B$4="pvp",0,(1-Summary!$B$55)*(Inputs!$B$19+0+Skills!P2+((C370=TRUE)*F370*IF(AND(Inputs!$B$4&lt;&gt;"pvp",Inputs!$B$35&gt;0),(((S370-1)*(Skills!T17*(1+Inputs!$B$33/100))+MIN((Skills!T17*(1+Inputs!$B$33/100)),MAX(0,Inputs!$B$35-((S370-1)*Skills!D17))))/Inputs!$B$35),IF(Inputs!$B$4="pvp",MIN((Skills!T17*(1+Inputs!$B$33/100)),15)/15,(Skills!T17*(1+Inputs!$B$33/100))/Skills!D17)))+((C367=TRUE)*IF(Inputs!$B$4="pvp",20,(1-Summary!$B$55)*(20)+Summary!$B$55*(0))*IF(AND(Inputs!$B$4&lt;&gt;"pvp",Inputs!$B$35&gt;0),(((S367-1)*(Skills!T14*(1+Inputs!$B$33/100))+MIN((Skills!T14*(1+Inputs!$B$33/100)),MAX(0,Inputs!$B$35-((S367-1)*Skills!D14))))/Inputs!$B$35),IF(Inputs!$B$4="pvp",MIN((Skills!T14*(1+Inputs!$B$33/100)),15)/15,(Skills!T14*(1+Inputs!$B$33/100))/Skills!D14))))+Summary!$B$55*(Inputs!$B$20+Skills!Q2+((C370=TRUE)*F370*IF(AND(Inputs!$B$4&lt;&gt;"pvp",Inputs!$B$35&gt;0),(((S370-1)*(Skills!T17*(1+Inputs!$B$33/100))+MIN((Skills!T17*(1+Inputs!$B$33/100)),MAX(0,Inputs!$B$35-((S370-1)*Skills!D17))))/Inputs!$B$35),IF(Inputs!$B$4="pvp",MIN((Skills!T17*(1+Inputs!$B$33/100)),15)/15,(Skills!T17*(1+Inputs!$B$33/100))/Skills!D17)))))/100)*(1+Inputs!$B$15/100)*(5000/(6000+Inputs!$B$7*(1-(Inputs!$B$18+0)/100)))*(1+(Inputs!$B$23+((C378=TRUE)*(F378-Calc!F25))+((C379=TRUE)*(F379-Calc!F26))+B388)/100)*(1+(IF(Skills!A2="DARK_IMPALE",Inputs!$B$16+0,Inputs!$B$17+((C376=TRUE)*(F376-Calc!F23))))/100)*((1+(((C366=TRUE)*F366*IF(AND(Inputs!$B$4&lt;&gt;"pvp",Inputs!$B$35&gt;0),(((S366-1)*(Skills!T13*(1+Inputs!$B$33/100))+MIN((Skills!T13*(1+Inputs!$B$33/100)),MAX(0,Inputs!$B$35-((S366-1)*Skills!D13))))/Inputs!$B$35),IF(Inputs!$B$4="pvp",MIN((Skills!T13*(1+Inputs!$B$33/100)),15)/15,(Skills!T13*(1+Inputs!$B$33/100))/Skills!D13)))+((C367=TRUE)*F367*IF(AND(Inputs!$B$4&lt;&gt;"pvp",Inputs!$B$35&gt;0),(((S367-1)*(Skills!T14*(1+Inputs!$B$33/100))+MIN((Skills!T14*(1+Inputs!$B$33/100)),MAX(0,Inputs!$B$35-((S367-1)*Skills!D14))))/Inputs!$B$35),IF(Inputs!$B$4="pvp",MIN((Skills!T14*(1+Inputs!$B$33/100)),15)/15,(Skills!T14*(1+Inputs!$B$33/100))/Skills!D14)))+((C368=TRUE)*F368*IF(AND(Inputs!$B$4&lt;&gt;"pvp",Inputs!$B$35&gt;0),(((S368-1)*(Skills!T15*(1+Inputs!$B$33/100))+MIN((Skills!T15*(1+Inputs!$B$33/100)),MAX(0,Inputs!$B$35-((S368-1)*Skills!D15))))/Inputs!$B$35),IF(Inputs!$B$4="pvp",MIN((Skills!T15*(1+Inputs!$B$33/100)),15)/15,(Skills!T15*(1+Inputs!$B$33/100))/Skills!D15)))+((C369=TRUE)*F369*IF(AND(Inputs!$B$4&lt;&gt;"pvp",Inputs!$B$35&gt;0),(((S369-1)*(Skills!T16*(1+Inputs!$B$33/100))+MIN((Skills!T16*(1+Inputs!$B$33/100)),MAX(0,Inputs!$B$35-((S369-1)*Skills!D16))))/Inputs!$B$35),IF(Inputs!$B$4="pvp",MIN((Skills!T16*(1+Inputs!$B$33/100)),15)/15,(Skills!T16*(1+Inputs!$B$33/100))/Skills!D16)))+0)/100)*I355)</f>
        <v/>
      </c>
      <c r="L355">
        <f>K355*(MIN((Inputs!$B$21+1)+((C375=TRUE)*(F375-Calc!F22)),Inputs!$B$22+((C377=TRUE)*(F377-Calc!F24)))/100+(Inputs!$B$22+((C377=TRUE)*(F377-Calc!F24)))/100)/2</f>
        <v/>
      </c>
      <c r="M355">
        <f>L355*(1+(Inputs!$B$9+0+B387)/100)</f>
        <v/>
      </c>
      <c r="N355">
        <f>L355*(1-MIN((Inputs!$B$8+0+B382),100)/100)+M355*(MIN((Inputs!$B$8+0+B382),100)/100)</f>
        <v/>
      </c>
      <c r="O355">
        <f>IF(C355,Skills!G2*N355*B386*IF(Inputs!$B$4="pvp",1,(1-Summary!$B$55)*(1)+Summary!$B$55*(MIN((6+Inputs!$B$32),Inputs!$B$37))),0)</f>
        <v/>
      </c>
      <c r="P355">
        <f>IF(B390=0,0,O355/B390)</f>
        <v/>
      </c>
      <c r="Q355" t="n">
        <v>0</v>
      </c>
      <c r="R355" t="n">
        <v>0</v>
      </c>
      <c r="S355">
        <f>IFERROR(O355/N355,0)</f>
        <v/>
      </c>
      <c r="U355">
        <f>MAX(0,(Inputs!$B$3-100)*3)+Inputs!$B$27+Inputs!$B$28</f>
        <v/>
      </c>
    </row>
    <row r="356">
      <c r="A356">
        <f>Skills!A3</f>
        <v/>
      </c>
      <c r="B356">
        <f>Skills!B3</f>
        <v/>
      </c>
      <c r="C356">
        <f>Inputs!$B$3&gt;=50</f>
        <v/>
      </c>
      <c r="D356">
        <f>IF(Skills!C3=1,60+Inputs!$B$24+Inputs!$B$28,IF(Skills!C3=2,90+Inputs!$B$25+Inputs!$B$28,IF(Skills!C3=3,120+Inputs!$B$26+Inputs!$B$28,MAX(0,(Inputs!$B$3-100)*3)+Inputs!$B$27+Inputs!$B$28)))</f>
        <v/>
      </c>
      <c r="E356">
        <f>INDEX(FactorTable!$B$2:$Y$301, MATCH(ROUND(MIN(300,MAX(1,D356)),0), FactorTable!$A$2:$A$301,0), Skills!M3+1)</f>
        <v/>
      </c>
      <c r="F356">
        <f>IF(Skills!N3=TRUE,(Skills!L3/10)*(E356/1000),Skills!L3/10)+Skills!O3</f>
        <v/>
      </c>
      <c r="G356" t="inlineStr"/>
      <c r="H356" t="inlineStr"/>
      <c r="I356" t="inlineStr">
        <is>
          <t>1</t>
        </is>
      </c>
      <c r="J356" t="inlineStr"/>
      <c r="K356" t="inlineStr"/>
      <c r="L356" t="inlineStr"/>
      <c r="M356" t="inlineStr"/>
      <c r="N356" t="inlineStr"/>
      <c r="O356" t="inlineStr"/>
      <c r="P356" t="inlineStr"/>
      <c r="Q356" t="inlineStr"/>
      <c r="R356" t="inlineStr"/>
      <c r="S356" t="inlineStr"/>
      <c r="U356">
        <f>INDEX(FactorTable!$B$2:$Y$301, MATCH(ROUND(MIN(300,MAX(1,U355)),0), FactorTable!$A$2:$A$301,0), 22)</f>
        <v/>
      </c>
    </row>
    <row r="357">
      <c r="A357">
        <f>Skills!A4</f>
        <v/>
      </c>
      <c r="B357">
        <f>Skills!B4</f>
        <v/>
      </c>
      <c r="C357">
        <f>Inputs!$B$3&gt;=105</f>
        <v/>
      </c>
      <c r="D357">
        <f>IF(Skills!C4=1,60+Inputs!$B$24+Inputs!$B$28,IF(Skills!C4=2,90+Inputs!$B$25+Inputs!$B$28,IF(Skills!C4=3,120+Inputs!$B$26+Inputs!$B$28,MAX(0,(Inputs!$B$3-100)*3)+Inputs!$B$27+Inputs!$B$28)))</f>
        <v/>
      </c>
      <c r="E357">
        <f>INDEX(FactorTable!$B$2:$Y$301, MATCH(ROUND(MIN(300,MAX(1,D357)),0), FactorTable!$A$2:$A$301,0), Skills!M4+1)</f>
        <v/>
      </c>
      <c r="F357">
        <f>IF(Skills!N4=TRUE,(Skills!L4/10)*(E357/1000),Skills!L4/10)+Skills!O4</f>
        <v/>
      </c>
      <c r="G357" t="inlineStr"/>
      <c r="H357" t="inlineStr"/>
      <c r="I357" t="inlineStr">
        <is>
          <t>1</t>
        </is>
      </c>
      <c r="J357" t="inlineStr"/>
      <c r="K357" t="inlineStr"/>
      <c r="L357" t="inlineStr"/>
      <c r="M357" t="inlineStr"/>
      <c r="N357" t="inlineStr"/>
      <c r="O357" t="inlineStr"/>
      <c r="P357" t="inlineStr"/>
      <c r="Q357" t="inlineStr"/>
      <c r="R357" t="inlineStr"/>
      <c r="S357" t="inlineStr"/>
      <c r="U357">
        <f>290*U356/1000</f>
        <v/>
      </c>
    </row>
    <row r="358">
      <c r="A358">
        <f>Skills!A5</f>
        <v/>
      </c>
      <c r="B358">
        <f>Skills!B5</f>
        <v/>
      </c>
      <c r="C358">
        <f>Inputs!$B$3&gt;=117</f>
        <v/>
      </c>
      <c r="D358">
        <f>IF(Skills!C5=1,60+Inputs!$B$24+Inputs!$B$28,IF(Skills!C5=2,90+Inputs!$B$25+Inputs!$B$28,IF(Skills!C5=3,120+Inputs!$B$26+Inputs!$B$28,MAX(0,(Inputs!$B$3-100)*3)+Inputs!$B$27+Inputs!$B$28)))</f>
        <v/>
      </c>
      <c r="E358">
        <f>INDEX(FactorTable!$B$2:$Y$301, MATCH(ROUND(MIN(300,MAX(1,D358)),0), FactorTable!$A$2:$A$301,0), Skills!M5+1)</f>
        <v/>
      </c>
      <c r="F358">
        <f>IF(Skills!N5=TRUE,(Skills!L5/10)*(E358/1000),Skills!L5/10)+Skills!O5</f>
        <v/>
      </c>
      <c r="G358">
        <f>Skills!G5*IF(Skills!H5&gt;0,Skills!I5/Skills!H5,1)</f>
        <v/>
      </c>
      <c r="H358">
        <f>1-(1-Skills!J5/100)^Skills!K5</f>
        <v/>
      </c>
      <c r="I358" t="inlineStr">
        <is>
          <t>1</t>
        </is>
      </c>
      <c r="J358">
        <f>(Inputs!$B$5*(1+Inputs!$B$6/100))*(F358/100)</f>
        <v/>
      </c>
      <c r="K358">
        <f>J358*(1+((Inputs!$B$11*(1+Inputs!$B$12/100))*0.01+Inputs!$B$13*0.0025)/100)*(1+Inputs!$B$14/100)*(1+IF(Inputs!$B$4="pvp",0,(1-Summary!$B$55)*(Inputs!$B$19+0+Skills!P5+((C370=TRUE)*F370*IF(AND(Inputs!$B$4&lt;&gt;"pvp",Inputs!$B$35&gt;0),(((S370-1)*(Skills!T17*(1+Inputs!$B$33/100))+MIN((Skills!T17*(1+Inputs!$B$33/100)),MAX(0,Inputs!$B$35-((S370-1)*Skills!D17))))/Inputs!$B$35),IF(Inputs!$B$4="pvp",MIN((Skills!T17*(1+Inputs!$B$33/100)),15)/15,(Skills!T17*(1+Inputs!$B$33/100))/Skills!D17)))+((C367=TRUE)*IF(Inputs!$B$4="pvp",20,(1-Summary!$B$55)*(20)+Summary!$B$55*(0))*IF(AND(Inputs!$B$4&lt;&gt;"pvp",Inputs!$B$35&gt;0),(((S367-1)*(Skills!T14*(1+Inputs!$B$33/100))+MIN((Skills!T14*(1+Inputs!$B$33/100)),MAX(0,Inputs!$B$35-((S367-1)*Skills!D14))))/Inputs!$B$35),IF(Inputs!$B$4="pvp",MIN((Skills!T14*(1+Inputs!$B$33/100)),15)/15,(Skills!T14*(1+Inputs!$B$33/100))/Skills!D14))))+Summary!$B$55*(Inputs!$B$20+Skills!Q5+((C370=TRUE)*F370*IF(AND(Inputs!$B$4&lt;&gt;"pvp",Inputs!$B$35&gt;0),(((S370-1)*(Skills!T17*(1+Inputs!$B$33/100))+MIN((Skills!T17*(1+Inputs!$B$33/100)),MAX(0,Inputs!$B$35-((S370-1)*Skills!D17))))/Inputs!$B$35),IF(Inputs!$B$4="pvp",MIN((Skills!T17*(1+Inputs!$B$33/100)),15)/15,(Skills!T17*(1+Inputs!$B$33/100))/Skills!D17)))))/100)*(1+Inputs!$B$15/100)*(5000/(6000+Inputs!$B$7*(1-(Inputs!$B$18+0)/100)))*(1+(Inputs!$B$23+((C378=TRUE)*(F378-Calc!F25))+((C379=TRUE)*(F379-Calc!F26))+B388)/100)*(1+(IF(Skills!A5="DARK_IMPALE",Inputs!$B$16+0,Inputs!$B$17+((C376=TRUE)*(F376-Calc!F23))))/100)*((1+(((C366=TRUE)*F366*IF(AND(Inputs!$B$4&lt;&gt;"pvp",Inputs!$B$35&gt;0),(((S366-1)*(Skills!T13*(1+Inputs!$B$33/100))+MIN((Skills!T13*(1+Inputs!$B$33/100)),MAX(0,Inputs!$B$35-((S366-1)*Skills!D13))))/Inputs!$B$35),IF(Inputs!$B$4="pvp",MIN((Skills!T13*(1+Inputs!$B$33/100)),15)/15,(Skills!T13*(1+Inputs!$B$33/100))/Skills!D13)))+((C367=TRUE)*F367*IF(AND(Inputs!$B$4&lt;&gt;"pvp",Inputs!$B$35&gt;0),(((S367-1)*(Skills!T14*(1+Inputs!$B$33/100))+MIN((Skills!T14*(1+Inputs!$B$33/100)),MAX(0,Inputs!$B$35-((S367-1)*Skills!D14))))/Inputs!$B$35),IF(Inputs!$B$4="pvp",MIN((Skills!T14*(1+Inputs!$B$33/100)),15)/15,(Skills!T14*(1+Inputs!$B$33/100))/Skills!D14)))+((C368=TRUE)*F368*IF(AND(Inputs!$B$4&lt;&gt;"pvp",Inputs!$B$35&gt;0),(((S368-1)*(Skills!T15*(1+Inputs!$B$33/100))+MIN((Skills!T15*(1+Inputs!$B$33/100)),MAX(0,Inputs!$B$35-((S368-1)*Skills!D15))))/Inputs!$B$35),IF(Inputs!$B$4="pvp",MIN((Skills!T15*(1+Inputs!$B$33/100)),15)/15,(Skills!T15*(1+Inputs!$B$33/100))/Skills!D15)))+((C369=TRUE)*F369*IF(AND(Inputs!$B$4&lt;&gt;"pvp",Inputs!$B$35&gt;0),(((S369-1)*(Skills!T16*(1+Inputs!$B$33/100))+MIN((Skills!T16*(1+Inputs!$B$33/100)),MAX(0,Inputs!$B$35-((S369-1)*Skills!D16))))/Inputs!$B$35),IF(Inputs!$B$4="pvp",MIN((Skills!T16*(1+Inputs!$B$33/100)),15)/15,(Skills!T16*(1+Inputs!$B$33/100))/Skills!D16)))+0)/100)*I358)</f>
        <v/>
      </c>
      <c r="L358">
        <f>K358*(MIN((Inputs!$B$21+1)+((C375=TRUE)*(F375-Calc!F22)),Inputs!$B$22+((C377=TRUE)*(F377-Calc!F24)))/100+(Inputs!$B$22+((C377=TRUE)*(F377-Calc!F24)))/100)/2</f>
        <v/>
      </c>
      <c r="M358">
        <f>L358*(1+(Inputs!$B$9+0+B387)/100)</f>
        <v/>
      </c>
      <c r="N358">
        <f>L358*(1-MIN((Inputs!$B$8+0+B382),100)/100)+M358*(MIN((Inputs!$B$8+0+B382),100)/100)</f>
        <v/>
      </c>
      <c r="O358">
        <f>IF(C358,H358*N358*IF(AND(Inputs!$B$4&lt;&gt;"pvp",Inputs!$B$35&gt;0),((Skills!G5*((R358-1)*IF(Skills!H5&gt;0,Skills!I5/Skills!H5,1)+IF(Skills!H5&gt;0,MIN(Skills!I5,MAX(0,Inputs!$B$35-((R358-1)*IF(Inputs!$B$4="pvp",15,MAX(0.1,Skills!D5-IF(Skills!E5=TRUE,Inputs!$B$31,0))))))/Skills!H5,1)))/Inputs!$B$35),G358*Q358)*IF(Inputs!$B$4="pvp",1,(1-Summary!$B$55)*(1)+Summary!$B$55*(MIN(Skills!R5,Inputs!$B$37))),0)</f>
        <v/>
      </c>
      <c r="P358">
        <f>IF(B390=0,0,O358/B390)</f>
        <v/>
      </c>
      <c r="Q358">
        <f>IFERROR(1/IF(Inputs!$B$4="pvp",15,MAX(0.1,Skills!D5-IF(Skills!E5=TRUE,Inputs!$B$31,0))),0)</f>
        <v/>
      </c>
      <c r="R358">
        <f>IF(AND(Inputs!$B$4&lt;&gt;"pvp",Inputs!$B$35&gt;0),(INT(Inputs!$B$35/IF(Inputs!$B$4="pvp",15,MAX(0.1,Skills!D5-IF(Skills!E5=TRUE,Inputs!$B$31,0))))+1),0)</f>
        <v/>
      </c>
      <c r="S358">
        <f>IFERROR(O358/N358,0)</f>
        <v/>
      </c>
    </row>
    <row r="359">
      <c r="A359">
        <f>Skills!A6</f>
        <v/>
      </c>
      <c r="B359">
        <f>Skills!B6</f>
        <v/>
      </c>
      <c r="C359">
        <f>Inputs!$B$3&gt;=103</f>
        <v/>
      </c>
      <c r="D359">
        <f>IF(Skills!C6=1,60+Inputs!$B$24+Inputs!$B$28,IF(Skills!C6=2,90+Inputs!$B$25+Inputs!$B$28,IF(Skills!C6=3,120+Inputs!$B$26+Inputs!$B$28,MAX(0,(Inputs!$B$3-100)*3)+Inputs!$B$27+Inputs!$B$28)))</f>
        <v/>
      </c>
      <c r="E359">
        <f>INDEX(FactorTable!$B$2:$Y$301, MATCH(ROUND(MIN(300,MAX(1,D359)),0), FactorTable!$A$2:$A$301,0), Skills!M6+1)</f>
        <v/>
      </c>
      <c r="F359">
        <f>IF(Skills!N6=TRUE,(Skills!L6/10)*(E359/1000),Skills!L6/10)+Skills!O6</f>
        <v/>
      </c>
      <c r="G359">
        <f>Skills!G6*IF(Skills!H6&gt;0,Skills!I6/Skills!H6,1)</f>
        <v/>
      </c>
      <c r="H359">
        <f>1-(1-Skills!J6/100)^Skills!K6</f>
        <v/>
      </c>
      <c r="I359" t="inlineStr">
        <is>
          <t>1</t>
        </is>
      </c>
      <c r="J359">
        <f>(Inputs!$B$5*(1+Inputs!$B$6/100))*(F359/100)</f>
        <v/>
      </c>
      <c r="K359">
        <f>J359*(1+((Inputs!$B$11*(1+Inputs!$B$12/100))*0.01+Inputs!$B$13*0.0025)/100)*(1+Inputs!$B$14/100)*(1+IF(Inputs!$B$4="pvp",0,(1-Summary!$B$55)*(Inputs!$B$19+0+Skills!P6+((C370=TRUE)*F370*IF(AND(Inputs!$B$4&lt;&gt;"pvp",Inputs!$B$35&gt;0),(((S370-1)*(Skills!T17*(1+Inputs!$B$33/100))+MIN((Skills!T17*(1+Inputs!$B$33/100)),MAX(0,Inputs!$B$35-((S370-1)*Skills!D17))))/Inputs!$B$35),IF(Inputs!$B$4="pvp",MIN((Skills!T17*(1+Inputs!$B$33/100)),15)/15,(Skills!T17*(1+Inputs!$B$33/100))/Skills!D17)))+((C367=TRUE)*IF(Inputs!$B$4="pvp",20,(1-Summary!$B$55)*(20)+Summary!$B$55*(0))*IF(AND(Inputs!$B$4&lt;&gt;"pvp",Inputs!$B$35&gt;0),(((S367-1)*(Skills!T14*(1+Inputs!$B$33/100))+MIN((Skills!T14*(1+Inputs!$B$33/100)),MAX(0,Inputs!$B$35-((S367-1)*Skills!D14))))/Inputs!$B$35),IF(Inputs!$B$4="pvp",MIN((Skills!T14*(1+Inputs!$B$33/100)),15)/15,(Skills!T14*(1+Inputs!$B$33/100))/Skills!D14))))+Summary!$B$55*(Inputs!$B$20+Skills!Q6+((C370=TRUE)*F370*IF(AND(Inputs!$B$4&lt;&gt;"pvp",Inputs!$B$35&gt;0),(((S370-1)*(Skills!T17*(1+Inputs!$B$33/100))+MIN((Skills!T17*(1+Inputs!$B$33/100)),MAX(0,Inputs!$B$35-((S370-1)*Skills!D17))))/Inputs!$B$35),IF(Inputs!$B$4="pvp",MIN((Skills!T17*(1+Inputs!$B$33/100)),15)/15,(Skills!T17*(1+Inputs!$B$33/100))/Skills!D17)))))/100)*(1+Inputs!$B$15/100)*(5000/(6000+Inputs!$B$7*(1-(Inputs!$B$18+0)/100)))*(1+(Inputs!$B$23+((C378=TRUE)*(F378-Calc!F25))+((C379=TRUE)*(F379-Calc!F26))+B388)/100)*(1+(IF(Skills!A6="DARK_IMPALE",Inputs!$B$16+0,Inputs!$B$17+((C376=TRUE)*(F376-Calc!F23))))/100)*((1+(((C366=TRUE)*F366*IF(AND(Inputs!$B$4&lt;&gt;"pvp",Inputs!$B$35&gt;0),(((S366-1)*(Skills!T13*(1+Inputs!$B$33/100))+MIN((Skills!T13*(1+Inputs!$B$33/100)),MAX(0,Inputs!$B$35-((S366-1)*Skills!D13))))/Inputs!$B$35),IF(Inputs!$B$4="pvp",MIN((Skills!T13*(1+Inputs!$B$33/100)),15)/15,(Skills!T13*(1+Inputs!$B$33/100))/Skills!D13)))+((C367=TRUE)*F367*IF(AND(Inputs!$B$4&lt;&gt;"pvp",Inputs!$B$35&gt;0),(((S367-1)*(Skills!T14*(1+Inputs!$B$33/100))+MIN((Skills!T14*(1+Inputs!$B$33/100)),MAX(0,Inputs!$B$35-((S367-1)*Skills!D14))))/Inputs!$B$35),IF(Inputs!$B$4="pvp",MIN((Skills!T14*(1+Inputs!$B$33/100)),15)/15,(Skills!T14*(1+Inputs!$B$33/100))/Skills!D14)))+((C368=TRUE)*F368*IF(AND(Inputs!$B$4&lt;&gt;"pvp",Inputs!$B$35&gt;0),(((S368-1)*(Skills!T15*(1+Inputs!$B$33/100))+MIN((Skills!T15*(1+Inputs!$B$33/100)),MAX(0,Inputs!$B$35-((S368-1)*Skills!D15))))/Inputs!$B$35),IF(Inputs!$B$4="pvp",MIN((Skills!T15*(1+Inputs!$B$33/100)),15)/15,(Skills!T15*(1+Inputs!$B$33/100))/Skills!D15)))+((C369=TRUE)*F369*IF(AND(Inputs!$B$4&lt;&gt;"pvp",Inputs!$B$35&gt;0),(((S369-1)*(Skills!T16*(1+Inputs!$B$33/100))+MIN((Skills!T16*(1+Inputs!$B$33/100)),MAX(0,Inputs!$B$35-((S369-1)*Skills!D16))))/Inputs!$B$35),IF(Inputs!$B$4="pvp",MIN((Skills!T16*(1+Inputs!$B$33/100)),15)/15,(Skills!T16*(1+Inputs!$B$33/100))/Skills!D16)))+0)/100)*I359)</f>
        <v/>
      </c>
      <c r="L359">
        <f>K359*(MIN((Inputs!$B$21+1)+((C375=TRUE)*(F375-Calc!F22)),Inputs!$B$22+((C377=TRUE)*(F377-Calc!F24)))/100+(Inputs!$B$22+((C377=TRUE)*(F377-Calc!F24)))/100)/2</f>
        <v/>
      </c>
      <c r="M359">
        <f>L359*(1+(Inputs!$B$9+0+B387)/100)</f>
        <v/>
      </c>
      <c r="N359">
        <f>L359*(1-MIN((Inputs!$B$8+0+B382),100)/100)+M359*(MIN((Inputs!$B$8+0+B382),100)/100)</f>
        <v/>
      </c>
      <c r="O359">
        <f>IF(C359,H359*N359*IF(AND(Inputs!$B$4&lt;&gt;"pvp",Inputs!$B$35&gt;0),((Skills!G6*((R359-1)*IF(Skills!H6&gt;0,Skills!I6/Skills!H6,1)+IF(Skills!H6&gt;0,MIN(Skills!I6,MAX(0,Inputs!$B$35-((R359-1)*IF(Inputs!$B$4="pvp",15,MAX(0.1,Skills!D6-IF(Skills!E6=TRUE,Inputs!$B$31,0))))))/Skills!H6,1)))/Inputs!$B$35),G359*Q359)*IF(Inputs!$B$4="pvp",1,(1-Summary!$B$55)*(1)+Summary!$B$55*(MIN(Skills!R6,Inputs!$B$37))),0)</f>
        <v/>
      </c>
      <c r="P359">
        <f>IF(B390=0,0,O359/B390)</f>
        <v/>
      </c>
      <c r="Q359">
        <f>IFERROR(1/IF(Inputs!$B$4="pvp",15,MAX(0.1,Skills!D6-IF(Skills!E6=TRUE,Inputs!$B$31,0))),0)</f>
        <v/>
      </c>
      <c r="R359">
        <f>IF(AND(Inputs!$B$4&lt;&gt;"pvp",Inputs!$B$35&gt;0),(INT(Inputs!$B$35/IF(Inputs!$B$4="pvp",15,MAX(0.1,Skills!D6-IF(Skills!E6=TRUE,Inputs!$B$31,0))))+1),0)</f>
        <v/>
      </c>
      <c r="S359">
        <f>IFERROR(O359/N359,0)</f>
        <v/>
      </c>
    </row>
    <row r="360">
      <c r="A360">
        <f>Skills!A7</f>
        <v/>
      </c>
      <c r="B360">
        <f>Skills!B7</f>
        <v/>
      </c>
      <c r="C360">
        <f>Inputs!$B$3&gt;=40</f>
        <v/>
      </c>
      <c r="D360">
        <f>IF(Skills!C7=1,60+Inputs!$B$24+Inputs!$B$28,IF(Skills!C7=2,90+Inputs!$B$25+Inputs!$B$28,IF(Skills!C7=3,120+Inputs!$B$26+Inputs!$B$28,MAX(0,(Inputs!$B$3-100)*3)+Inputs!$B$27+Inputs!$B$28)))</f>
        <v/>
      </c>
      <c r="E360">
        <f>INDEX(FactorTable!$B$2:$Y$301, MATCH(ROUND(MIN(300,MAX(1,D360)),0), FactorTable!$A$2:$A$301,0), Skills!M7+1)</f>
        <v/>
      </c>
      <c r="F360">
        <f>IF(Skills!N7=TRUE,(Skills!L7/10)*(E360/1000),Skills!L7/10)+Skills!O7</f>
        <v/>
      </c>
      <c r="G360">
        <f>Skills!G7*IF(Skills!H7&gt;0,Skills!I7/Skills!H7,1)</f>
        <v/>
      </c>
      <c r="H360">
        <f>1-(1-Skills!J7/100)^Skills!K7</f>
        <v/>
      </c>
      <c r="I360" t="inlineStr">
        <is>
          <t>1</t>
        </is>
      </c>
      <c r="J360">
        <f>(Inputs!$B$5*(1+Inputs!$B$6/100))*(F360/100)</f>
        <v/>
      </c>
      <c r="K360">
        <f>J360*(1+((Inputs!$B$11*(1+Inputs!$B$12/100))*0.01+Inputs!$B$13*0.0025)/100)*(1+Inputs!$B$14/100)*(1+IF(Inputs!$B$4="pvp",0,(1-Summary!$B$55)*(Inputs!$B$19+0+Skills!P7+((C370=TRUE)*F370*IF(AND(Inputs!$B$4&lt;&gt;"pvp",Inputs!$B$35&gt;0),(((S370-1)*(Skills!T17*(1+Inputs!$B$33/100))+MIN((Skills!T17*(1+Inputs!$B$33/100)),MAX(0,Inputs!$B$35-((S370-1)*Skills!D17))))/Inputs!$B$35),IF(Inputs!$B$4="pvp",MIN((Skills!T17*(1+Inputs!$B$33/100)),15)/15,(Skills!T17*(1+Inputs!$B$33/100))/Skills!D17)))+((C367=TRUE)*IF(Inputs!$B$4="pvp",20,(1-Summary!$B$55)*(20)+Summary!$B$55*(0))*IF(AND(Inputs!$B$4&lt;&gt;"pvp",Inputs!$B$35&gt;0),(((S367-1)*(Skills!T14*(1+Inputs!$B$33/100))+MIN((Skills!T14*(1+Inputs!$B$33/100)),MAX(0,Inputs!$B$35-((S367-1)*Skills!D14))))/Inputs!$B$35),IF(Inputs!$B$4="pvp",MIN((Skills!T14*(1+Inputs!$B$33/100)),15)/15,(Skills!T14*(1+Inputs!$B$33/100))/Skills!D14))))+Summary!$B$55*(Inputs!$B$20+Skills!Q7+((C370=TRUE)*F370*IF(AND(Inputs!$B$4&lt;&gt;"pvp",Inputs!$B$35&gt;0),(((S370-1)*(Skills!T17*(1+Inputs!$B$33/100))+MIN((Skills!T17*(1+Inputs!$B$33/100)),MAX(0,Inputs!$B$35-((S370-1)*Skills!D17))))/Inputs!$B$35),IF(Inputs!$B$4="pvp",MIN((Skills!T17*(1+Inputs!$B$33/100)),15)/15,(Skills!T17*(1+Inputs!$B$33/100))/Skills!D17)))))/100)*(1+Inputs!$B$15/100)*(5000/(6000+Inputs!$B$7*(1-(Inputs!$B$18+0)/100)))*(1+(Inputs!$B$23+((C378=TRUE)*(F378-Calc!F25))+((C379=TRUE)*(F379-Calc!F26))+B388)/100)*(1+0.75*IF(C364=TRUE,F364,0)/100)*(1+(IF(Skills!A7="DARK_IMPALE",Inputs!$B$16+0,Inputs!$B$17+((C376=TRUE)*(F376-Calc!F23))))/100)*((1+(((C366=TRUE)*F366*IF(AND(Inputs!$B$4&lt;&gt;"pvp",Inputs!$B$35&gt;0),(((S366-1)*(Skills!T13*(1+Inputs!$B$33/100))+MIN((Skills!T13*(1+Inputs!$B$33/100)),MAX(0,Inputs!$B$35-((S366-1)*Skills!D13))))/Inputs!$B$35),IF(Inputs!$B$4="pvp",MIN((Skills!T13*(1+Inputs!$B$33/100)),15)/15,(Skills!T13*(1+Inputs!$B$33/100))/Skills!D13)))+((C367=TRUE)*F367*IF(AND(Inputs!$B$4&lt;&gt;"pvp",Inputs!$B$35&gt;0),(((S367-1)*(Skills!T14*(1+Inputs!$B$33/100))+MIN((Skills!T14*(1+Inputs!$B$33/100)),MAX(0,Inputs!$B$35-((S367-1)*Skills!D14))))/Inputs!$B$35),IF(Inputs!$B$4="pvp",MIN((Skills!T14*(1+Inputs!$B$33/100)),15)/15,(Skills!T14*(1+Inputs!$B$33/100))/Skills!D14)))+((C368=TRUE)*F368*IF(AND(Inputs!$B$4&lt;&gt;"pvp",Inputs!$B$35&gt;0),(((S368-1)*(Skills!T15*(1+Inputs!$B$33/100))+MIN((Skills!T15*(1+Inputs!$B$33/100)),MAX(0,Inputs!$B$35-((S368-1)*Skills!D15))))/Inputs!$B$35),IF(Inputs!$B$4="pvp",MIN((Skills!T15*(1+Inputs!$B$33/100)),15)/15,(Skills!T15*(1+Inputs!$B$33/100))/Skills!D15)))+((C369=TRUE)*F369*IF(AND(Inputs!$B$4&lt;&gt;"pvp",Inputs!$B$35&gt;0),(((S369-1)*(Skills!T16*(1+Inputs!$B$33/100))+MIN((Skills!T16*(1+Inputs!$B$33/100)),MAX(0,Inputs!$B$35-((S369-1)*Skills!D16))))/Inputs!$B$35),IF(Inputs!$B$4="pvp",MIN((Skills!T16*(1+Inputs!$B$33/100)),15)/15,(Skills!T16*(1+Inputs!$B$33/100))/Skills!D16)))+0)/100)*I360)</f>
        <v/>
      </c>
      <c r="L360">
        <f>K360*(MIN((Inputs!$B$21+1)+((C375=TRUE)*(F375-Calc!F22)),Inputs!$B$22+((C377=TRUE)*(F377-Calc!F24)))/100+(Inputs!$B$22+((C377=TRUE)*(F377-Calc!F24)))/100)/2</f>
        <v/>
      </c>
      <c r="M360">
        <f>L360*(1+(Inputs!$B$9+0+B387)/100)</f>
        <v/>
      </c>
      <c r="N360">
        <f>L360*(1-MIN((Inputs!$B$8+0+B382),100)/100)+M360*(MIN((Inputs!$B$8+0+B382),100)/100)</f>
        <v/>
      </c>
      <c r="O360">
        <f>IF(C360,H360*N360*IF(AND(Inputs!$B$4&lt;&gt;"pvp",Inputs!$B$35&gt;0),((Skills!G7*((R360-1)*IF(Skills!H7&gt;0,Skills!I7/Skills!H7,1)+IF(Skills!H7&gt;0,MIN(Skills!I7,MAX(0,Inputs!$B$35-((R360-1)*IF(Inputs!$B$4="pvp",15,MAX(0.1,Skills!D7-IF(Skills!E7=TRUE,Inputs!$B$31,0))))))/Skills!H7,1)))/Inputs!$B$35),G360*Q360)*IF(Inputs!$B$4="pvp",1,(1-Summary!$B$55)*(1)+Summary!$B$55*(MIN(Skills!R7,Inputs!$B$37))),0)</f>
        <v/>
      </c>
      <c r="P360">
        <f>IF(B390=0,0,O360/B390)</f>
        <v/>
      </c>
      <c r="Q360">
        <f>IFERROR(1/IF(Inputs!$B$4="pvp",15,MAX(0.1,Skills!D7-IF(Skills!E7=TRUE,Inputs!$B$31,0))),0)</f>
        <v/>
      </c>
      <c r="R360">
        <f>IF(AND(Inputs!$B$4&lt;&gt;"pvp",Inputs!$B$35&gt;0),(INT(Inputs!$B$35/IF(Inputs!$B$4="pvp",15,MAX(0.1,Skills!D7-IF(Skills!E7=TRUE,Inputs!$B$31,0))))+1),0)</f>
        <v/>
      </c>
      <c r="S360">
        <f>IFERROR(O360/N360,0)</f>
        <v/>
      </c>
    </row>
    <row r="361">
      <c r="A361">
        <f>Skills!A8</f>
        <v/>
      </c>
      <c r="B361">
        <f>Skills!B8</f>
        <v/>
      </c>
      <c r="C361">
        <f>Inputs!$B$3&gt;=75</f>
        <v/>
      </c>
      <c r="D361">
        <f>IF(Skills!C8=1,60+Inputs!$B$24+Inputs!$B$28,IF(Skills!C8=2,90+Inputs!$B$25+Inputs!$B$28,IF(Skills!C8=3,120+Inputs!$B$26+Inputs!$B$28,MAX(0,(Inputs!$B$3-100)*3)+Inputs!$B$27+Inputs!$B$28)))</f>
        <v/>
      </c>
      <c r="E361">
        <f>INDEX(FactorTable!$B$2:$Y$301, MATCH(ROUND(MIN(300,MAX(1,D361)),0), FactorTable!$A$2:$A$301,0), Skills!M8+1)</f>
        <v/>
      </c>
      <c r="F361">
        <f>IF(Skills!N8=TRUE,(Skills!L8/10)*(E361/1000),Skills!L8/10)+Skills!O8</f>
        <v/>
      </c>
      <c r="G361" t="inlineStr"/>
      <c r="H361" t="inlineStr"/>
      <c r="I361" t="inlineStr">
        <is>
          <t>1</t>
        </is>
      </c>
      <c r="J361" t="inlineStr"/>
      <c r="K361" t="inlineStr"/>
      <c r="L361" t="inlineStr"/>
      <c r="M361" t="inlineStr"/>
      <c r="N361" t="inlineStr"/>
      <c r="O361" t="inlineStr"/>
      <c r="P361" t="inlineStr"/>
      <c r="Q361" t="inlineStr"/>
      <c r="R361" t="inlineStr"/>
      <c r="S361" t="inlineStr"/>
    </row>
    <row r="362">
      <c r="A362">
        <f>Skills!A9</f>
        <v/>
      </c>
      <c r="B362">
        <f>Skills!B9</f>
        <v/>
      </c>
      <c r="C362">
        <f>Inputs!$B$3&gt;=60</f>
        <v/>
      </c>
      <c r="D362">
        <f>IF(Skills!C9=1,60+Inputs!$B$24+Inputs!$B$28,IF(Skills!C9=2,90+Inputs!$B$25+Inputs!$B$28,IF(Skills!C9=3,120+Inputs!$B$26+Inputs!$B$28,MAX(0,(Inputs!$B$3-100)*3)+Inputs!$B$27+Inputs!$B$28)))</f>
        <v/>
      </c>
      <c r="E362">
        <f>INDEX(FactorTable!$B$2:$Y$301, MATCH(ROUND(MIN(300,MAX(1,D362)),0), FactorTable!$A$2:$A$301,0), Skills!M9+1)</f>
        <v/>
      </c>
      <c r="F362">
        <f>IF(Skills!N9=TRUE,(Skills!L9/10)*(E362/1000),Skills!L9/10)+Skills!O9</f>
        <v/>
      </c>
      <c r="G362">
        <f>Skills!G9*IF(Skills!H9&gt;0,Skills!I9/Skills!H9,1)</f>
        <v/>
      </c>
      <c r="H362">
        <f>1-(1-Skills!J9/100)^Skills!K9</f>
        <v/>
      </c>
      <c r="I362" t="inlineStr">
        <is>
          <t>1</t>
        </is>
      </c>
      <c r="J362">
        <f>(Inputs!$B$5*(1+Inputs!$B$6/100))*(F362/100)</f>
        <v/>
      </c>
      <c r="K362">
        <f>J362*(1+((Inputs!$B$11*(1+Inputs!$B$12/100))*0.01+Inputs!$B$13*0.0025)/100)*(1+Inputs!$B$14/100)*(1+IF(Inputs!$B$4="pvp",0,(1-Summary!$B$55)*(Inputs!$B$19+0+Skills!P9+((C370=TRUE)*F370*IF(AND(Inputs!$B$4&lt;&gt;"pvp",Inputs!$B$35&gt;0),(((S370-1)*(Skills!T17*(1+Inputs!$B$33/100))+MIN((Skills!T17*(1+Inputs!$B$33/100)),MAX(0,Inputs!$B$35-((S370-1)*Skills!D17))))/Inputs!$B$35),IF(Inputs!$B$4="pvp",MIN((Skills!T17*(1+Inputs!$B$33/100)),15)/15,(Skills!T17*(1+Inputs!$B$33/100))/Skills!D17)))+((C367=TRUE)*IF(Inputs!$B$4="pvp",20,(1-Summary!$B$55)*(20)+Summary!$B$55*(0))*IF(AND(Inputs!$B$4&lt;&gt;"pvp",Inputs!$B$35&gt;0),(((S367-1)*(Skills!T14*(1+Inputs!$B$33/100))+MIN((Skills!T14*(1+Inputs!$B$33/100)),MAX(0,Inputs!$B$35-((S367-1)*Skills!D14))))/Inputs!$B$35),IF(Inputs!$B$4="pvp",MIN((Skills!T14*(1+Inputs!$B$33/100)),15)/15,(Skills!T14*(1+Inputs!$B$33/100))/Skills!D14))))+Summary!$B$55*(Inputs!$B$20+Skills!Q9+((C370=TRUE)*F370*IF(AND(Inputs!$B$4&lt;&gt;"pvp",Inputs!$B$35&gt;0),(((S370-1)*(Skills!T17*(1+Inputs!$B$33/100))+MIN((Skills!T17*(1+Inputs!$B$33/100)),MAX(0,Inputs!$B$35-((S370-1)*Skills!D17))))/Inputs!$B$35),IF(Inputs!$B$4="pvp",MIN((Skills!T17*(1+Inputs!$B$33/100)),15)/15,(Skills!T17*(1+Inputs!$B$33/100))/Skills!D17)))))/100)*(1+Inputs!$B$15/100)*(5000/(6000+Inputs!$B$7*(1-(Inputs!$B$18+0)/100)))*(1+(Inputs!$B$23+((C378=TRUE)*(F378-Calc!F25))+((C379=TRUE)*(F379-Calc!F26))+B388)/100)*(1+1.0*IF(C364=TRUE,F364,0)/100)*(1+(IF(Skills!A9="DARK_IMPALE",Inputs!$B$16+0,Inputs!$B$17+((C376=TRUE)*(F376-Calc!F23))))/100)*((1+(((C366=TRUE)*F366*IF(AND(Inputs!$B$4&lt;&gt;"pvp",Inputs!$B$35&gt;0),(((S366-1)*(Skills!T13*(1+Inputs!$B$33/100))+MIN((Skills!T13*(1+Inputs!$B$33/100)),MAX(0,Inputs!$B$35-((S366-1)*Skills!D13))))/Inputs!$B$35),IF(Inputs!$B$4="pvp",MIN((Skills!T13*(1+Inputs!$B$33/100)),15)/15,(Skills!T13*(1+Inputs!$B$33/100))/Skills!D13)))+((C367=TRUE)*F367*IF(AND(Inputs!$B$4&lt;&gt;"pvp",Inputs!$B$35&gt;0),(((S367-1)*(Skills!T14*(1+Inputs!$B$33/100))+MIN((Skills!T14*(1+Inputs!$B$33/100)),MAX(0,Inputs!$B$35-((S367-1)*Skills!D14))))/Inputs!$B$35),IF(Inputs!$B$4="pvp",MIN((Skills!T14*(1+Inputs!$B$33/100)),15)/15,(Skills!T14*(1+Inputs!$B$33/100))/Skills!D14)))+((C368=TRUE)*F368*IF(AND(Inputs!$B$4&lt;&gt;"pvp",Inputs!$B$35&gt;0),(((S368-1)*(Skills!T15*(1+Inputs!$B$33/100))+MIN((Skills!T15*(1+Inputs!$B$33/100)),MAX(0,Inputs!$B$35-((S368-1)*Skills!D15))))/Inputs!$B$35),IF(Inputs!$B$4="pvp",MIN((Skills!T15*(1+Inputs!$B$33/100)),15)/15,(Skills!T15*(1+Inputs!$B$33/100))/Skills!D15)))+((C369=TRUE)*F369*IF(AND(Inputs!$B$4&lt;&gt;"pvp",Inputs!$B$35&gt;0),(((S369-1)*(Skills!T16*(1+Inputs!$B$33/100))+MIN((Skills!T16*(1+Inputs!$B$33/100)),MAX(0,Inputs!$B$35-((S369-1)*Skills!D16))))/Inputs!$B$35),IF(Inputs!$B$4="pvp",MIN((Skills!T16*(1+Inputs!$B$33/100)),15)/15,(Skills!T16*(1+Inputs!$B$33/100))/Skills!D16)))+0)/100)*I362)</f>
        <v/>
      </c>
      <c r="L362">
        <f>K362*(MIN((Inputs!$B$21+1)+((C375=TRUE)*(F375-Calc!F22)),Inputs!$B$22+((C377=TRUE)*(F377-Calc!F24)))/100+(Inputs!$B$22+((C377=TRUE)*(F377-Calc!F24)))/100)/2</f>
        <v/>
      </c>
      <c r="M362">
        <f>L362*(1+(Inputs!$B$9+0+B387)/100)</f>
        <v/>
      </c>
      <c r="N362">
        <f>L362*(1-MIN((Inputs!$B$8+0+B382),100)/100)+M362*(MIN((Inputs!$B$8+0+B382),100)/100)</f>
        <v/>
      </c>
      <c r="O362">
        <f>IF(C362,H362*N362*IF(AND(Inputs!$B$4&lt;&gt;"pvp",Inputs!$B$35&gt;0),((Skills!G9*((R362-1)*IF(Skills!H9&gt;0,Skills!I9/Skills!H9,1)+IF(Skills!H9&gt;0,MIN(Skills!I9,MAX(0,Inputs!$B$35-((R362-1)*IF(Inputs!$B$4="pvp",15,MAX(0.1,Skills!D9-IF(Skills!E9=TRUE,Inputs!$B$31,0))))))/Skills!H9,1)))/Inputs!$B$35),G362*Q362)*IF(Inputs!$B$4="pvp",1,(1-Summary!$B$55)*(1)+Summary!$B$55*(MIN(Skills!R9,Inputs!$B$37))),0)</f>
        <v/>
      </c>
      <c r="P362">
        <f>IF(B390=0,0,O362/B390)</f>
        <v/>
      </c>
      <c r="Q362">
        <f>IFERROR(1/IF(Inputs!$B$4="pvp",15,MAX(0.1,Skills!D9-IF(Skills!E9=TRUE,Inputs!$B$31,0))),0)</f>
        <v/>
      </c>
      <c r="R362">
        <f>IF(AND(Inputs!$B$4&lt;&gt;"pvp",Inputs!$B$35&gt;0),(INT(Inputs!$B$35/IF(Inputs!$B$4="pvp",15,MAX(0.1,Skills!D9-IF(Skills!E9=TRUE,Inputs!$B$31,0))))+1),0)</f>
        <v/>
      </c>
      <c r="S362">
        <f>IFERROR(O362/N362,0)</f>
        <v/>
      </c>
    </row>
    <row r="363">
      <c r="A363">
        <f>Skills!A10</f>
        <v/>
      </c>
      <c r="B363">
        <f>Skills!B10</f>
        <v/>
      </c>
      <c r="C363">
        <f>Inputs!$B$3&gt;=110</f>
        <v/>
      </c>
      <c r="D363">
        <f>IF(Skills!C10=1,60+Inputs!$B$24+Inputs!$B$28,IF(Skills!C10=2,90+Inputs!$B$25+Inputs!$B$28,IF(Skills!C10=3,120+Inputs!$B$26+Inputs!$B$28,MAX(0,(Inputs!$B$3-100)*3)+Inputs!$B$27+Inputs!$B$28)))</f>
        <v/>
      </c>
      <c r="E363">
        <f>INDEX(FactorTable!$B$2:$Y$301, MATCH(ROUND(MIN(300,MAX(1,D363)),0), FactorTable!$A$2:$A$301,0), Skills!M10+1)</f>
        <v/>
      </c>
      <c r="F363">
        <f>IF(Skills!N10=TRUE,(Skills!L10/10)*(E363/1000),Skills!L10/10)+Skills!O10</f>
        <v/>
      </c>
      <c r="G363">
        <f>Skills!G10*IF(Skills!H10&gt;0,Skills!I10/Skills!H10,1)</f>
        <v/>
      </c>
      <c r="H363">
        <f>1-(1-Skills!J10/100)^Skills!K10</f>
        <v/>
      </c>
      <c r="I363" t="inlineStr">
        <is>
          <t>1</t>
        </is>
      </c>
      <c r="J363">
        <f>(Inputs!$B$5*(1+Inputs!$B$6/100))*(F363/100)</f>
        <v/>
      </c>
      <c r="K363">
        <f>J363*(1+((Inputs!$B$11*(1+Inputs!$B$12/100))*0.01+Inputs!$B$13*0.0025)/100)*(1+Inputs!$B$14/100)*(1+IF(Inputs!$B$4="pvp",0,(1-Summary!$B$55)*(Inputs!$B$19+0+Skills!P10+((C370=TRUE)*F370*IF(AND(Inputs!$B$4&lt;&gt;"pvp",Inputs!$B$35&gt;0),(((S370-1)*(Skills!T17*(1+Inputs!$B$33/100))+MIN((Skills!T17*(1+Inputs!$B$33/100)),MAX(0,Inputs!$B$35-((S370-1)*Skills!D17))))/Inputs!$B$35),IF(Inputs!$B$4="pvp",MIN((Skills!T17*(1+Inputs!$B$33/100)),15)/15,(Skills!T17*(1+Inputs!$B$33/100))/Skills!D17)))+((C367=TRUE)*IF(Inputs!$B$4="pvp",20,(1-Summary!$B$55)*(20)+Summary!$B$55*(0))*IF(AND(Inputs!$B$4&lt;&gt;"pvp",Inputs!$B$35&gt;0),(((S367-1)*(Skills!T14*(1+Inputs!$B$33/100))+MIN((Skills!T14*(1+Inputs!$B$33/100)),MAX(0,Inputs!$B$35-((S367-1)*Skills!D14))))/Inputs!$B$35),IF(Inputs!$B$4="pvp",MIN((Skills!T14*(1+Inputs!$B$33/100)),15)/15,(Skills!T14*(1+Inputs!$B$33/100))/Skills!D14))))+Summary!$B$55*(Inputs!$B$20+Skills!Q10+((C370=TRUE)*F370*IF(AND(Inputs!$B$4&lt;&gt;"pvp",Inputs!$B$35&gt;0),(((S370-1)*(Skills!T17*(1+Inputs!$B$33/100))+MIN((Skills!T17*(1+Inputs!$B$33/100)),MAX(0,Inputs!$B$35-((S370-1)*Skills!D17))))/Inputs!$B$35),IF(Inputs!$B$4="pvp",MIN((Skills!T17*(1+Inputs!$B$33/100)),15)/15,(Skills!T17*(1+Inputs!$B$33/100))/Skills!D17)))))/100)*(1+Inputs!$B$15/100)*(5000/(6000+Inputs!$B$7*(1-(Inputs!$B$18+0)/100)))*(1+(Inputs!$B$23+((C378=TRUE)*(F378-Calc!F25))+((C379=TRUE)*(F379-Calc!F26))+B388)/100)*(1+(IF(Skills!A10="DARK_IMPALE",Inputs!$B$16+0,Inputs!$B$17+((C376=TRUE)*(F376-Calc!F23))))/100)*((1+(((C366=TRUE)*F366*IF(AND(Inputs!$B$4&lt;&gt;"pvp",Inputs!$B$35&gt;0),(((S366-1)*(Skills!T13*(1+Inputs!$B$33/100))+MIN((Skills!T13*(1+Inputs!$B$33/100)),MAX(0,Inputs!$B$35-((S366-1)*Skills!D13))))/Inputs!$B$35),IF(Inputs!$B$4="pvp",MIN((Skills!T13*(1+Inputs!$B$33/100)),15)/15,(Skills!T13*(1+Inputs!$B$33/100))/Skills!D13)))+((C367=TRUE)*F367*IF(AND(Inputs!$B$4&lt;&gt;"pvp",Inputs!$B$35&gt;0),(((S367-1)*(Skills!T14*(1+Inputs!$B$33/100))+MIN((Skills!T14*(1+Inputs!$B$33/100)),MAX(0,Inputs!$B$35-((S367-1)*Skills!D14))))/Inputs!$B$35),IF(Inputs!$B$4="pvp",MIN((Skills!T14*(1+Inputs!$B$33/100)),15)/15,(Skills!T14*(1+Inputs!$B$33/100))/Skills!D14)))+((C368=TRUE)*F368*IF(AND(Inputs!$B$4&lt;&gt;"pvp",Inputs!$B$35&gt;0),(((S368-1)*(Skills!T15*(1+Inputs!$B$33/100))+MIN((Skills!T15*(1+Inputs!$B$33/100)),MAX(0,Inputs!$B$35-((S368-1)*Skills!D15))))/Inputs!$B$35),IF(Inputs!$B$4="pvp",MIN((Skills!T15*(1+Inputs!$B$33/100)),15)/15,(Skills!T15*(1+Inputs!$B$33/100))/Skills!D15)))+((C369=TRUE)*F369*IF(AND(Inputs!$B$4&lt;&gt;"pvp",Inputs!$B$35&gt;0),(((S369-1)*(Skills!T16*(1+Inputs!$B$33/100))+MIN((Skills!T16*(1+Inputs!$B$33/100)),MAX(0,Inputs!$B$35-((S369-1)*Skills!D16))))/Inputs!$B$35),IF(Inputs!$B$4="pvp",MIN((Skills!T16*(1+Inputs!$B$33/100)),15)/15,(Skills!T16*(1+Inputs!$B$33/100))/Skills!D16)))+0)/100)*I363)</f>
        <v/>
      </c>
      <c r="L363">
        <f>K363*(MIN((Inputs!$B$21+1)+((C375=TRUE)*(F375-Calc!F22)),Inputs!$B$22+((C377=TRUE)*(F377-Calc!F24)))/100+(Inputs!$B$22+((C377=TRUE)*(F377-Calc!F24)))/100)/2</f>
        <v/>
      </c>
      <c r="M363">
        <f>L363*(1+(Inputs!$B$9+0+B387)/100)</f>
        <v/>
      </c>
      <c r="N363">
        <f>L363*(1-MIN((Inputs!$B$8+0+B382),100)/100)+M363*(MIN((Inputs!$B$8+0+B382),100)/100)</f>
        <v/>
      </c>
      <c r="O363">
        <f>IF(C363,H363*N363*IF(AND(Inputs!$B$4&lt;&gt;"pvp",Inputs!$B$35&gt;0),((Skills!G10*((R363-1)*IF(Skills!H10&gt;0,Skills!I10/Skills!H10,1)+IF(Skills!H10&gt;0,MIN(Skills!I10,MAX(0,Inputs!$B$35-((R363-1)*IF(Inputs!$B$4="pvp",15,MAX(0.1,Skills!D10-IF(Skills!E10=TRUE,Inputs!$B$31,0))))))/Skills!H10,1)))/Inputs!$B$35),G363*Q363)*IF(Inputs!$B$4="pvp",1,(1-Summary!$B$55)*(1)+Summary!$B$55*(MIN(Skills!R10,Inputs!$B$37))),0)</f>
        <v/>
      </c>
      <c r="P363">
        <f>IF(B390=0,0,O363/B390)</f>
        <v/>
      </c>
      <c r="Q363">
        <f>IFERROR(1/IF(Inputs!$B$4="pvp",15,MAX(0.1,Skills!D10-IF(Skills!E10=TRUE,Inputs!$B$31,0))),0)</f>
        <v/>
      </c>
      <c r="R363">
        <f>IF(AND(Inputs!$B$4&lt;&gt;"pvp",Inputs!$B$35&gt;0),(INT(Inputs!$B$35/IF(Inputs!$B$4="pvp",15,MAX(0.1,Skills!D10-IF(Skills!E10=TRUE,Inputs!$B$31,0))))+1),0)</f>
        <v/>
      </c>
      <c r="S363">
        <f>IFERROR(O363/N363,0)</f>
        <v/>
      </c>
    </row>
    <row r="364">
      <c r="A364">
        <f>Skills!A11</f>
        <v/>
      </c>
      <c r="B364">
        <f>Skills!B11</f>
        <v/>
      </c>
      <c r="C364">
        <f>Inputs!$B$3&gt;=100</f>
        <v/>
      </c>
      <c r="D364">
        <f>IF(Skills!C11=1,60+Inputs!$B$24+Inputs!$B$28,IF(Skills!C11=2,90+Inputs!$B$25+Inputs!$B$28,IF(Skills!C11=3,120+Inputs!$B$26+Inputs!$B$28,MAX(0,(Inputs!$B$3-100)*3)+Inputs!$B$27+Inputs!$B$28)))</f>
        <v/>
      </c>
      <c r="E364">
        <f>INDEX(FactorTable!$B$2:$Y$301, MATCH(ROUND(MIN(300,MAX(1,D364)),0), FactorTable!$A$2:$A$301,0), Skills!M11+1)</f>
        <v/>
      </c>
      <c r="F364">
        <f>IF(Skills!N11=TRUE,(Skills!L11/10)*(E364/1000),Skills!L11/10)+Skills!O11</f>
        <v/>
      </c>
      <c r="G364" t="inlineStr"/>
      <c r="H364" t="inlineStr"/>
      <c r="I364" t="inlineStr">
        <is>
          <t>1</t>
        </is>
      </c>
      <c r="J364" t="inlineStr"/>
      <c r="K364" t="inlineStr"/>
      <c r="L364" t="inlineStr"/>
      <c r="M364" t="inlineStr"/>
      <c r="N364" t="inlineStr"/>
      <c r="O364" t="inlineStr"/>
      <c r="P364" t="inlineStr"/>
      <c r="Q364" t="inlineStr"/>
      <c r="R364" t="inlineStr"/>
      <c r="S364" t="inlineStr"/>
    </row>
    <row r="365">
      <c r="A365">
        <f>Skills!A12</f>
        <v/>
      </c>
      <c r="B365">
        <f>Skills!B12</f>
        <v/>
      </c>
      <c r="C365">
        <f>Inputs!$B$3&gt;=63</f>
        <v/>
      </c>
      <c r="D365">
        <f>IF(Skills!C12=1,60+Inputs!$B$24+Inputs!$B$28,IF(Skills!C12=2,90+Inputs!$B$25+Inputs!$B$28,IF(Skills!C12=3,120+Inputs!$B$26+Inputs!$B$28,MAX(0,(Inputs!$B$3-100)*3)+Inputs!$B$27+Inputs!$B$28)))</f>
        <v/>
      </c>
      <c r="E365">
        <f>INDEX(FactorTable!$B$2:$Y$301, MATCH(ROUND(MIN(300,MAX(1,D365)),0), FactorTable!$A$2:$A$301,0), Skills!M12+1)</f>
        <v/>
      </c>
      <c r="F365">
        <f>IF(Skills!N12=TRUE,(Skills!L12/10)*(E365/1000),Skills!L12/10)+Skills!O12</f>
        <v/>
      </c>
      <c r="G365">
        <f>Skills!G12*IF(Skills!H12&gt;0,Skills!I12/Skills!H12,1)</f>
        <v/>
      </c>
      <c r="H365">
        <f>1-(1-Skills!J12/100)^Skills!K12</f>
        <v/>
      </c>
      <c r="I365" t="inlineStr">
        <is>
          <t>1</t>
        </is>
      </c>
      <c r="J365">
        <f>(Inputs!$B$5*(1+Inputs!$B$6/100))*(F365/100)</f>
        <v/>
      </c>
      <c r="K365">
        <f>J365*(1+((Inputs!$B$11*(1+Inputs!$B$12/100))*0.01+Inputs!$B$13*0.0025)/100)*(1+Inputs!$B$14/100)*(1+IF(Inputs!$B$4="pvp",0,(1-Summary!$B$55)*(Inputs!$B$19+0+Skills!P12+((C370=TRUE)*F370*IF(AND(Inputs!$B$4&lt;&gt;"pvp",Inputs!$B$35&gt;0),(((S370-1)*(Skills!T17*(1+Inputs!$B$33/100))+MIN((Skills!T17*(1+Inputs!$B$33/100)),MAX(0,Inputs!$B$35-((S370-1)*Skills!D17))))/Inputs!$B$35),IF(Inputs!$B$4="pvp",MIN((Skills!T17*(1+Inputs!$B$33/100)),15)/15,(Skills!T17*(1+Inputs!$B$33/100))/Skills!D17)))+((C367=TRUE)*IF(Inputs!$B$4="pvp",20,(1-Summary!$B$55)*(20)+Summary!$B$55*(0))*IF(AND(Inputs!$B$4&lt;&gt;"pvp",Inputs!$B$35&gt;0),(((S367-1)*(Skills!T14*(1+Inputs!$B$33/100))+MIN((Skills!T14*(1+Inputs!$B$33/100)),MAX(0,Inputs!$B$35-((S367-1)*Skills!D14))))/Inputs!$B$35),IF(Inputs!$B$4="pvp",MIN((Skills!T14*(1+Inputs!$B$33/100)),15)/15,(Skills!T14*(1+Inputs!$B$33/100))/Skills!D14))))+Summary!$B$55*(Inputs!$B$20+Skills!Q12+((C370=TRUE)*F370*IF(AND(Inputs!$B$4&lt;&gt;"pvp",Inputs!$B$35&gt;0),(((S370-1)*(Skills!T17*(1+Inputs!$B$33/100))+MIN((Skills!T17*(1+Inputs!$B$33/100)),MAX(0,Inputs!$B$35-((S370-1)*Skills!D17))))/Inputs!$B$35),IF(Inputs!$B$4="pvp",MIN((Skills!T17*(1+Inputs!$B$33/100)),15)/15,(Skills!T17*(1+Inputs!$B$33/100))/Skills!D17)))))/100)*(1+Inputs!$B$15/100)*(5000/(6000+Inputs!$B$7*(1-(Inputs!$B$18+0)/100)))*(1+(Inputs!$B$23+((C378=TRUE)*(F378-Calc!F25))+((C379=TRUE)*(F379-Calc!F26))+B388)/100)*(1+0.75*IF(C364=TRUE,F364,0)/100)*(1+(IF(Skills!A12="DARK_IMPALE",Inputs!$B$16+0,Inputs!$B$17+((C376=TRUE)*(F376-Calc!F23))))/100)*((1+(((C366=TRUE)*F366*IF(AND(Inputs!$B$4&lt;&gt;"pvp",Inputs!$B$35&gt;0),(((S366-1)*(Skills!T13*(1+Inputs!$B$33/100))+MIN((Skills!T13*(1+Inputs!$B$33/100)),MAX(0,Inputs!$B$35-((S366-1)*Skills!D13))))/Inputs!$B$35),IF(Inputs!$B$4="pvp",MIN((Skills!T13*(1+Inputs!$B$33/100)),15)/15,(Skills!T13*(1+Inputs!$B$33/100))/Skills!D13)))+((C367=TRUE)*F367*IF(AND(Inputs!$B$4&lt;&gt;"pvp",Inputs!$B$35&gt;0),(((S367-1)*(Skills!T14*(1+Inputs!$B$33/100))+MIN((Skills!T14*(1+Inputs!$B$33/100)),MAX(0,Inputs!$B$35-((S367-1)*Skills!D14))))/Inputs!$B$35),IF(Inputs!$B$4="pvp",MIN((Skills!T14*(1+Inputs!$B$33/100)),15)/15,(Skills!T14*(1+Inputs!$B$33/100))/Skills!D14)))+((C368=TRUE)*F368*IF(AND(Inputs!$B$4&lt;&gt;"pvp",Inputs!$B$35&gt;0),(((S368-1)*(Skills!T15*(1+Inputs!$B$33/100))+MIN((Skills!T15*(1+Inputs!$B$33/100)),MAX(0,Inputs!$B$35-((S368-1)*Skills!D15))))/Inputs!$B$35),IF(Inputs!$B$4="pvp",MIN((Skills!T15*(1+Inputs!$B$33/100)),15)/15,(Skills!T15*(1+Inputs!$B$33/100))/Skills!D15)))+((C369=TRUE)*F369*IF(AND(Inputs!$B$4&lt;&gt;"pvp",Inputs!$B$35&gt;0),(((S369-1)*(Skills!T16*(1+Inputs!$B$33/100))+MIN((Skills!T16*(1+Inputs!$B$33/100)),MAX(0,Inputs!$B$35-((S369-1)*Skills!D16))))/Inputs!$B$35),IF(Inputs!$B$4="pvp",MIN((Skills!T16*(1+Inputs!$B$33/100)),15)/15,(Skills!T16*(1+Inputs!$B$33/100))/Skills!D16)))+0)/100)*I365)</f>
        <v/>
      </c>
      <c r="L365">
        <f>K365*(MIN((Inputs!$B$21+1)+((C375=TRUE)*(F375-Calc!F22)),Inputs!$B$22+((C377=TRUE)*(F377-Calc!F24)))/100+(Inputs!$B$22+((C377=TRUE)*(F377-Calc!F24)))/100)/2</f>
        <v/>
      </c>
      <c r="M365">
        <f>L365*(1+(Inputs!$B$9+0+B387)/100)</f>
        <v/>
      </c>
      <c r="N365">
        <f>L365*(1-MIN((Inputs!$B$8+0+B382),100)/100)+M365*(MIN((Inputs!$B$8+0+B382),100)/100)</f>
        <v/>
      </c>
      <c r="O365">
        <f>IF(C365,H365*N365*IF(AND(Inputs!$B$4&lt;&gt;"pvp",Inputs!$B$35&gt;0),((Skills!G12*((R365-1)*IF(Skills!H12&gt;0,Skills!I12/Skills!H12,1)+IF(Skills!H12&gt;0,MIN(Skills!I12,MAX(0,Inputs!$B$35-((R365-1)*IF(Inputs!$B$4="pvp",15,MAX(0.1,Skills!D12-IF(Skills!E12=TRUE,Inputs!$B$31,0))))))/Skills!H12,1)))/Inputs!$B$35),G365*Q365)*IF(Inputs!$B$4="pvp",1,(1-Summary!$B$55)*(1)+Summary!$B$55*(MIN(Skills!R12,Inputs!$B$37))),0)</f>
        <v/>
      </c>
      <c r="P365">
        <f>IF(B390=0,0,O365/B390)</f>
        <v/>
      </c>
      <c r="Q365">
        <f>IFERROR(1/IF(Inputs!$B$4="pvp",15,MAX(0.1,Skills!D12-IF(Skills!E12=TRUE,Inputs!$B$31,0))),0)</f>
        <v/>
      </c>
      <c r="R365">
        <f>IF(AND(Inputs!$B$4&lt;&gt;"pvp",Inputs!$B$35&gt;0),(INT(Inputs!$B$35/IF(Inputs!$B$4="pvp",15,MAX(0.1,Skills!D12-IF(Skills!E12=TRUE,Inputs!$B$31,0))))+1),0)</f>
        <v/>
      </c>
      <c r="S365">
        <f>IFERROR(O365/N365,0)</f>
        <v/>
      </c>
    </row>
    <row r="366">
      <c r="A366">
        <f>Skills!A13</f>
        <v/>
      </c>
      <c r="B366">
        <f>Skills!B13</f>
        <v/>
      </c>
      <c r="C366">
        <f>Inputs!$B$3&gt;=69</f>
        <v/>
      </c>
      <c r="D366">
        <f>IF(Skills!C13=1,60+Inputs!$B$24+Inputs!$B$28,IF(Skills!C13=2,90+Inputs!$B$25+Inputs!$B$28,IF(Skills!C13=3,120+Inputs!$B$26+Inputs!$B$28,MAX(0,(Inputs!$B$3-100)*3)+Inputs!$B$27+Inputs!$B$28)))</f>
        <v/>
      </c>
      <c r="E366">
        <f>INDEX(FactorTable!$B$2:$Y$301, MATCH(ROUND(MIN(300,MAX(1,D366)),0), FactorTable!$A$2:$A$301,0), Skills!M13+1)</f>
        <v/>
      </c>
      <c r="F366">
        <f>IF(Skills!N13=TRUE,(Skills!L13/10)*(E366/1000),Skills!L13/10)+Skills!O13</f>
        <v/>
      </c>
      <c r="G366">
        <f>Skills!G13*IF(Skills!H13&gt;0,Skills!I13/Skills!H13,1)</f>
        <v/>
      </c>
      <c r="H366">
        <f>1-(1-Skills!J13/100)^Skills!K13</f>
        <v/>
      </c>
      <c r="I366" t="inlineStr">
        <is>
          <t>1</t>
        </is>
      </c>
      <c r="J366" t="inlineStr"/>
      <c r="K366" t="inlineStr"/>
      <c r="L366" t="inlineStr"/>
      <c r="M366" t="inlineStr"/>
      <c r="N366" t="inlineStr"/>
      <c r="O366" t="n">
        <v>0</v>
      </c>
      <c r="P366">
        <f>IF(B390=0,0,O366/B390)</f>
        <v/>
      </c>
      <c r="Q366">
        <f>IFERROR(1/IF(Inputs!$B$4="pvp",15,MAX(0.1,Skills!D13-IF(Skills!E13=TRUE,Inputs!$B$31,0))),0)</f>
        <v/>
      </c>
      <c r="R366">
        <f>IF(AND(Inputs!$B$4&lt;&gt;"pvp",Inputs!$B$35&gt;0),(INT(Inputs!$B$35/IF(Inputs!$B$4="pvp",15,MAX(0.1,Skills!D13-IF(Skills!E13=TRUE,Inputs!$B$31,0))))+1),0)</f>
        <v/>
      </c>
      <c r="S366">
        <f>IFERROR(O366/N366,0)</f>
        <v/>
      </c>
    </row>
    <row r="367">
      <c r="A367">
        <f>Skills!A14</f>
        <v/>
      </c>
      <c r="B367">
        <f>Skills!B14</f>
        <v/>
      </c>
      <c r="C367">
        <f>Inputs!$B$3&gt;=115</f>
        <v/>
      </c>
      <c r="D367">
        <f>IF(Skills!C14=1,60+Inputs!$B$24+Inputs!$B$28,IF(Skills!C14=2,90+Inputs!$B$25+Inputs!$B$28,IF(Skills!C14=3,120+Inputs!$B$26+Inputs!$B$28,MAX(0,(Inputs!$B$3-100)*3)+Inputs!$B$27+Inputs!$B$28)))</f>
        <v/>
      </c>
      <c r="E367">
        <f>INDEX(FactorTable!$B$2:$Y$301, MATCH(ROUND(MIN(300,MAX(1,D367)),0), FactorTable!$A$2:$A$301,0), Skills!M14+1)</f>
        <v/>
      </c>
      <c r="F367">
        <f>IF(Skills!N14=TRUE,(Skills!L14/10)*(E367/1000),Skills!L14/10)+Skills!O14</f>
        <v/>
      </c>
      <c r="G367">
        <f>Skills!G14*IF(Skills!H14&gt;0,Skills!I14/Skills!H14,1)</f>
        <v/>
      </c>
      <c r="H367">
        <f>1-(1-Skills!J14/100)^Skills!K14</f>
        <v/>
      </c>
      <c r="I367" t="inlineStr">
        <is>
          <t>1</t>
        </is>
      </c>
      <c r="J367" t="inlineStr"/>
      <c r="K367" t="inlineStr"/>
      <c r="L367" t="inlineStr"/>
      <c r="M367" t="inlineStr"/>
      <c r="N367" t="inlineStr"/>
      <c r="O367" t="n">
        <v>0</v>
      </c>
      <c r="P367">
        <f>IF(B390=0,0,O367/B390)</f>
        <v/>
      </c>
      <c r="Q367">
        <f>IFERROR(1/IF(Inputs!$B$4="pvp",15,MAX(0.1,Skills!D14-IF(Skills!E14=TRUE,Inputs!$B$31,0))),0)</f>
        <v/>
      </c>
      <c r="R367">
        <f>IF(AND(Inputs!$B$4&lt;&gt;"pvp",Inputs!$B$35&gt;0),(INT(Inputs!$B$35/IF(Inputs!$B$4="pvp",15,MAX(0.1,Skills!D14-IF(Skills!E14=TRUE,Inputs!$B$31,0))))+1),0)</f>
        <v/>
      </c>
      <c r="S367">
        <f>IFERROR(O367/N367,0)</f>
        <v/>
      </c>
    </row>
    <row r="368">
      <c r="A368">
        <f>Skills!A15</f>
        <v/>
      </c>
      <c r="B368">
        <f>Skills!B15</f>
        <v/>
      </c>
      <c r="C368">
        <f>Inputs!$B$3&gt;=66</f>
        <v/>
      </c>
      <c r="D368">
        <f>IF(Skills!C15=1,60+Inputs!$B$24+Inputs!$B$28,IF(Skills!C15=2,90+Inputs!$B$25+Inputs!$B$28,IF(Skills!C15=3,120+Inputs!$B$26+Inputs!$B$28,MAX(0,(Inputs!$B$3-100)*3)+Inputs!$B$27+Inputs!$B$28)))</f>
        <v/>
      </c>
      <c r="E368">
        <f>INDEX(FactorTable!$B$2:$Y$301, MATCH(ROUND(MIN(300,MAX(1,D368)),0), FactorTable!$A$2:$A$301,0), Skills!M15+1)</f>
        <v/>
      </c>
      <c r="F368">
        <f>IF(Skills!N15=TRUE,(Skills!L15/10)*(E368/1000),Skills!L15/10)+Skills!O15</f>
        <v/>
      </c>
      <c r="G368">
        <f>Skills!G15*IF(Skills!H15&gt;0,Skills!I15/Skills!H15,1)</f>
        <v/>
      </c>
      <c r="H368">
        <f>1-(1-Skills!J15/100)^Skills!K15</f>
        <v/>
      </c>
      <c r="I368" t="inlineStr">
        <is>
          <t>1</t>
        </is>
      </c>
      <c r="J368" t="inlineStr"/>
      <c r="K368" t="inlineStr"/>
      <c r="L368" t="inlineStr"/>
      <c r="M368" t="inlineStr"/>
      <c r="N368" t="inlineStr"/>
      <c r="O368" t="n">
        <v>0</v>
      </c>
      <c r="P368">
        <f>IF(B390=0,0,O368/B390)</f>
        <v/>
      </c>
      <c r="Q368">
        <f>IFERROR(1/IF(Inputs!$B$4="pvp",15,MAX(0.1,Skills!D15-IF(Skills!E15=TRUE,Inputs!$B$31,0))),0)</f>
        <v/>
      </c>
      <c r="R368">
        <f>IF(AND(Inputs!$B$4&lt;&gt;"pvp",Inputs!$B$35&gt;0),(INT(Inputs!$B$35/IF(Inputs!$B$4="pvp",15,MAX(0.1,Skills!D15-IF(Skills!E15=TRUE,Inputs!$B$31,0))))+1),0)</f>
        <v/>
      </c>
      <c r="S368">
        <f>IFERROR(O368/N368,0)</f>
        <v/>
      </c>
    </row>
    <row r="369">
      <c r="A369">
        <f>Skills!A16</f>
        <v/>
      </c>
      <c r="B369">
        <f>Skills!B16</f>
        <v/>
      </c>
      <c r="C369">
        <f>Inputs!$B$3&gt;=45</f>
        <v/>
      </c>
      <c r="D369">
        <f>IF(Skills!C16=1,60+Inputs!$B$24+Inputs!$B$28,IF(Skills!C16=2,90+Inputs!$B$25+Inputs!$B$28,IF(Skills!C16=3,120+Inputs!$B$26+Inputs!$B$28,MAX(0,(Inputs!$B$3-100)*3)+Inputs!$B$27+Inputs!$B$28)))</f>
        <v/>
      </c>
      <c r="E369">
        <f>INDEX(FactorTable!$B$2:$Y$301, MATCH(ROUND(MIN(300,MAX(1,D369)),0), FactorTable!$A$2:$A$301,0), Skills!M16+1)</f>
        <v/>
      </c>
      <c r="F369">
        <f>IF(Skills!N16=TRUE,(Skills!L16/10)*(E369/1000),Skills!L16/10)+Skills!O16</f>
        <v/>
      </c>
      <c r="G369">
        <f>Skills!G16*IF(Skills!H16&gt;0,Skills!I16/Skills!H16,1)</f>
        <v/>
      </c>
      <c r="H369">
        <f>1-(1-Skills!J16/100)^Skills!K16</f>
        <v/>
      </c>
      <c r="I369" t="inlineStr">
        <is>
          <t>1</t>
        </is>
      </c>
      <c r="J369" t="inlineStr"/>
      <c r="K369" t="inlineStr"/>
      <c r="L369" t="inlineStr"/>
      <c r="M369" t="inlineStr"/>
      <c r="N369" t="inlineStr"/>
      <c r="O369" t="n">
        <v>0</v>
      </c>
      <c r="P369">
        <f>IF(B390=0,0,O369/B390)</f>
        <v/>
      </c>
      <c r="Q369">
        <f>IFERROR(1/IF(Inputs!$B$4="pvp",15,MAX(0.1,Skills!D16-IF(Skills!E16=TRUE,Inputs!$B$31,0))),0)</f>
        <v/>
      </c>
      <c r="R369">
        <f>IF(AND(Inputs!$B$4&lt;&gt;"pvp",Inputs!$B$35&gt;0),(INT(Inputs!$B$35/IF(Inputs!$B$4="pvp",15,MAX(0.1,Skills!D16-IF(Skills!E16=TRUE,Inputs!$B$31,0))))+1),0)</f>
        <v/>
      </c>
      <c r="S369">
        <f>IFERROR(O369/N369,0)</f>
        <v/>
      </c>
    </row>
    <row r="370">
      <c r="A370">
        <f>Skills!A17</f>
        <v/>
      </c>
      <c r="B370">
        <f>Skills!B17</f>
        <v/>
      </c>
      <c r="C370">
        <f>Inputs!$B$3&gt;=35</f>
        <v/>
      </c>
      <c r="D370">
        <f>IF(Skills!C17=1,60+Inputs!$B$24+Inputs!$B$28,IF(Skills!C17=2,90+Inputs!$B$25+Inputs!$B$28,IF(Skills!C17=3,120+Inputs!$B$26+Inputs!$B$28,MAX(0,(Inputs!$B$3-100)*3)+Inputs!$B$27+Inputs!$B$28)))</f>
        <v/>
      </c>
      <c r="E370">
        <f>INDEX(FactorTable!$B$2:$Y$301, MATCH(ROUND(MIN(300,MAX(1,D370)),0), FactorTable!$A$2:$A$301,0), Skills!M17+1)</f>
        <v/>
      </c>
      <c r="F370">
        <f>IF(Skills!N17=TRUE,(Skills!L17/10)*(E370/1000),Skills!L17/10)+Skills!O17</f>
        <v/>
      </c>
      <c r="G370">
        <f>Skills!G17*IF(Skills!H17&gt;0,Skills!I17/Skills!H17,1)</f>
        <v/>
      </c>
      <c r="H370">
        <f>1-(1-Skills!J17/100)^Skills!K17</f>
        <v/>
      </c>
      <c r="I370" t="inlineStr">
        <is>
          <t>1</t>
        </is>
      </c>
      <c r="J370" t="inlineStr"/>
      <c r="K370" t="inlineStr"/>
      <c r="L370" t="inlineStr"/>
      <c r="M370" t="inlineStr"/>
      <c r="N370" t="inlineStr"/>
      <c r="O370" t="n">
        <v>0</v>
      </c>
      <c r="P370">
        <f>IF(B390=0,0,O370/B390)</f>
        <v/>
      </c>
      <c r="Q370">
        <f>IFERROR(1/IF(Inputs!$B$4="pvp",15,MAX(0.1,Skills!D17-IF(Skills!E17=TRUE,Inputs!$B$31,0))),0)</f>
        <v/>
      </c>
      <c r="R370">
        <f>IF(AND(Inputs!$B$4&lt;&gt;"pvp",Inputs!$B$35&gt;0),(INT(Inputs!$B$35/IF(Inputs!$B$4="pvp",15,MAX(0.1,Skills!D17-IF(Skills!E17=TRUE,Inputs!$B$31,0))))+1),0)</f>
        <v/>
      </c>
      <c r="S370">
        <f>IFERROR(O370/N370,0)</f>
        <v/>
      </c>
    </row>
    <row r="371">
      <c r="A371">
        <f>Skills!A18</f>
        <v/>
      </c>
      <c r="B371">
        <f>Skills!B18</f>
        <v/>
      </c>
      <c r="C371">
        <f>Inputs!$B$3&gt;=72</f>
        <v/>
      </c>
      <c r="D371">
        <f>IF(Skills!C18=1,60+Inputs!$B$24+Inputs!$B$28,IF(Skills!C18=2,90+Inputs!$B$25+Inputs!$B$28,IF(Skills!C18=3,120+Inputs!$B$26+Inputs!$B$28,MAX(0,(Inputs!$B$3-100)*3)+Inputs!$B$27+Inputs!$B$28)))</f>
        <v/>
      </c>
      <c r="E371">
        <f>INDEX(FactorTable!$B$2:$Y$301, MATCH(ROUND(MIN(300,MAX(1,D371)),0), FactorTable!$A$2:$A$301,0), Skills!M18+1)</f>
        <v/>
      </c>
      <c r="F371">
        <f>IF(Skills!N18=TRUE,(Skills!L18/10)*(E371/1000),Skills!L18/10)+Skills!O18</f>
        <v/>
      </c>
      <c r="G371">
        <f>Skills!G18*IF(Skills!H18&gt;0,Skills!I18/Skills!H18,1)</f>
        <v/>
      </c>
      <c r="H371">
        <f>1-(1-Skills!J18/100)^Skills!K18</f>
        <v/>
      </c>
      <c r="I371" t="inlineStr">
        <is>
          <t>1</t>
        </is>
      </c>
      <c r="J371" t="inlineStr"/>
      <c r="K371" t="inlineStr"/>
      <c r="L371" t="inlineStr"/>
      <c r="M371" t="inlineStr"/>
      <c r="N371" t="inlineStr"/>
      <c r="O371" t="n">
        <v>0</v>
      </c>
      <c r="P371">
        <f>IF(B390=0,0,O371/B390)</f>
        <v/>
      </c>
      <c r="Q371">
        <f>IFERROR(1/IF(Inputs!$B$4="pvp",15,MAX(0.1,Skills!D18-IF(Skills!E18=TRUE,Inputs!$B$31,0))),0)</f>
        <v/>
      </c>
      <c r="R371">
        <f>IF(AND(Inputs!$B$4&lt;&gt;"pvp",Inputs!$B$35&gt;0),(INT(Inputs!$B$35/IF(Inputs!$B$4="pvp",15,MAX(0.1,Skills!D18-IF(Skills!E18=TRUE,Inputs!$B$31,0))))+1),0)</f>
        <v/>
      </c>
      <c r="S371">
        <f>IFERROR(O371/N371,0)</f>
        <v/>
      </c>
    </row>
    <row r="372">
      <c r="A372">
        <f>Skills!A19</f>
        <v/>
      </c>
      <c r="B372">
        <f>Skills!B19</f>
        <v/>
      </c>
      <c r="C372">
        <f>Inputs!$B$3&gt;=72</f>
        <v/>
      </c>
      <c r="D372">
        <f>IF(Skills!C19=1,60+Inputs!$B$24+Inputs!$B$28,IF(Skills!C19=2,90+Inputs!$B$25+Inputs!$B$28,IF(Skills!C19=3,120+Inputs!$B$26+Inputs!$B$28,MAX(0,(Inputs!$B$3-100)*3)+Inputs!$B$27+Inputs!$B$28)))</f>
        <v/>
      </c>
      <c r="E372">
        <f>INDEX(FactorTable!$B$2:$Y$301, MATCH(ROUND(MIN(300,MAX(1,D372)),0), FactorTable!$A$2:$A$301,0), Skills!M19+1)</f>
        <v/>
      </c>
      <c r="F372">
        <f>IF(Skills!N19=TRUE,(Skills!L19/10)*(E372/1000),Skills!L19/10)+Skills!O19</f>
        <v/>
      </c>
      <c r="G372">
        <f>Skills!G19*IF(Skills!H19&gt;0,Skills!I19/Skills!H19,1)</f>
        <v/>
      </c>
      <c r="H372">
        <f>1-(1-Skills!J19/100)^Skills!K19</f>
        <v/>
      </c>
      <c r="I372" t="inlineStr">
        <is>
          <t>1</t>
        </is>
      </c>
      <c r="J372" t="inlineStr"/>
      <c r="K372" t="inlineStr"/>
      <c r="L372" t="inlineStr"/>
      <c r="M372" t="inlineStr"/>
      <c r="N372" t="inlineStr"/>
      <c r="O372" t="n">
        <v>0</v>
      </c>
      <c r="P372">
        <f>IF(B390=0,0,O372/B390)</f>
        <v/>
      </c>
      <c r="Q372">
        <f>IFERROR(1/IF(Inputs!$B$4="pvp",15,MAX(0.1,Skills!D19-IF(Skills!E19=TRUE,Inputs!$B$31,0))),0)</f>
        <v/>
      </c>
      <c r="R372">
        <f>IF(AND(Inputs!$B$4&lt;&gt;"pvp",Inputs!$B$35&gt;0),(INT(Inputs!$B$35/IF(Inputs!$B$4="pvp",15,MAX(0.1,Skills!D19-IF(Skills!E19=TRUE,Inputs!$B$31,0))))+1),0)</f>
        <v/>
      </c>
      <c r="S372">
        <f>IFERROR(O372/N372,0)</f>
        <v/>
      </c>
    </row>
    <row r="373">
      <c r="A373">
        <f>Skills!A20</f>
        <v/>
      </c>
      <c r="B373">
        <f>Skills!B20</f>
        <v/>
      </c>
      <c r="C373">
        <f>TRUE</f>
        <v/>
      </c>
      <c r="D373">
        <f>IF(Skills!C20=1,60+Inputs!$B$24+Inputs!$B$28,IF(Skills!C20=2,90+Inputs!$B$25+Inputs!$B$28,IF(Skills!C20=3,120+Inputs!$B$26+Inputs!$B$28,MAX(0,(Inputs!$B$3-100)*3)+Inputs!$B$27+Inputs!$B$28)))</f>
        <v/>
      </c>
      <c r="E373">
        <f>INDEX(FactorTable!$B$2:$Y$301, MATCH(ROUND(MIN(300,MAX(1,D373)),0), FactorTable!$A$2:$A$301,0), Skills!M20+1)</f>
        <v/>
      </c>
      <c r="F373">
        <f>IF(Skills!N20=TRUE,(Skills!L20/10)*(E373/1000),Skills!L20/10)+Skills!O20</f>
        <v/>
      </c>
      <c r="G373">
        <f>Skills!G20*IF(Skills!H20&gt;0,Skills!I20/Skills!H20,1)</f>
        <v/>
      </c>
      <c r="H373">
        <f>1-(1-Skills!J20/100)^Skills!K20</f>
        <v/>
      </c>
      <c r="I373" t="inlineStr">
        <is>
          <t>1</t>
        </is>
      </c>
      <c r="J373" t="inlineStr"/>
      <c r="K373" t="inlineStr"/>
      <c r="L373" t="inlineStr"/>
      <c r="M373" t="inlineStr"/>
      <c r="N373" t="inlineStr"/>
      <c r="O373" t="n">
        <v>0</v>
      </c>
      <c r="P373">
        <f>IF(B390=0,0,O373/B390)</f>
        <v/>
      </c>
      <c r="Q373">
        <f>IFERROR(1/IF(Inputs!$B$4="pvp",15,MAX(0.1,Skills!D20-IF(Skills!E20=TRUE,Inputs!$B$31,0))),0)</f>
        <v/>
      </c>
      <c r="R373">
        <f>IF(AND(Inputs!$B$4&lt;&gt;"pvp",Inputs!$B$35&gt;0),(INT(Inputs!$B$35/IF(Inputs!$B$4="pvp",15,MAX(0.1,Skills!D20-IF(Skills!E20=TRUE,Inputs!$B$31,0))))+1),0)</f>
        <v/>
      </c>
      <c r="S373">
        <f>IFERROR(O373/N373,0)</f>
        <v/>
      </c>
    </row>
    <row r="374">
      <c r="A374">
        <f>Skills!A21</f>
        <v/>
      </c>
      <c r="B374">
        <f>Skills!B21</f>
        <v/>
      </c>
      <c r="C374">
        <f>Inputs!$B$3&gt;=33</f>
        <v/>
      </c>
      <c r="D374">
        <f>IF(Skills!C21=1,60+Inputs!$B$24+Inputs!$B$28,IF(Skills!C21=2,90+Inputs!$B$25+Inputs!$B$28,IF(Skills!C21=3,120+Inputs!$B$26+Inputs!$B$28,MAX(0,(Inputs!$B$3-100)*3)+Inputs!$B$27+Inputs!$B$28)))</f>
        <v/>
      </c>
      <c r="E374">
        <f>INDEX(FactorTable!$B$2:$Y$301, MATCH(ROUND(MIN(300,MAX(1,D374)),0), FactorTable!$A$2:$A$301,0), Skills!M21+1)</f>
        <v/>
      </c>
      <c r="F374">
        <f>IF(Skills!N21=TRUE,(Skills!L21/10)*(E374/1000),Skills!L21/10)+Skills!O21</f>
        <v/>
      </c>
      <c r="G374">
        <f>Skills!G21*IF(Skills!H21&gt;0,Skills!I21/Skills!H21,1)</f>
        <v/>
      </c>
      <c r="H374">
        <f>1-(1-Skills!J21/100)^Skills!K21</f>
        <v/>
      </c>
      <c r="I374" t="inlineStr">
        <is>
          <t>1</t>
        </is>
      </c>
      <c r="J374" t="inlineStr"/>
      <c r="K374" t="inlineStr"/>
      <c r="L374" t="inlineStr"/>
      <c r="M374" t="inlineStr"/>
      <c r="N374" t="inlineStr"/>
      <c r="O374" t="n">
        <v>0</v>
      </c>
      <c r="P374">
        <f>IF(B390=0,0,O374/B390)</f>
        <v/>
      </c>
      <c r="Q374" t="n">
        <v>0</v>
      </c>
      <c r="R374" t="n">
        <v>0</v>
      </c>
      <c r="S374">
        <f>IFERROR(O374/N374,0)</f>
        <v/>
      </c>
    </row>
    <row r="375">
      <c r="A375">
        <f>Skills!A22</f>
        <v/>
      </c>
      <c r="B375">
        <f>Skills!B22</f>
        <v/>
      </c>
      <c r="C375">
        <f>Inputs!$B$3&gt;=43</f>
        <v/>
      </c>
      <c r="D375">
        <f>IF(Skills!C22=1,60+Inputs!$B$24+Inputs!$B$28,IF(Skills!C22=2,90+Inputs!$B$25+Inputs!$B$28,IF(Skills!C22=3,120+Inputs!$B$26+Inputs!$B$28,MAX(0,(Inputs!$B$3-100)*3)+Inputs!$B$27+Inputs!$B$28)))</f>
        <v/>
      </c>
      <c r="E375">
        <f>INDEX(FactorTable!$B$2:$Y$301, MATCH(ROUND(MIN(300,MAX(1,D375)),0), FactorTable!$A$2:$A$301,0), Skills!M22+1)</f>
        <v/>
      </c>
      <c r="F375">
        <f>IF(Skills!N22=TRUE,(Skills!L22/10)*(E375/1000),Skills!L22/10)+Skills!O22</f>
        <v/>
      </c>
      <c r="G375">
        <f>Skills!G22*IF(Skills!H22&gt;0,Skills!I22/Skills!H22,1)</f>
        <v/>
      </c>
      <c r="H375">
        <f>1-(1-Skills!J22/100)^Skills!K22</f>
        <v/>
      </c>
      <c r="I375" t="inlineStr">
        <is>
          <t>1</t>
        </is>
      </c>
      <c r="J375" t="inlineStr"/>
      <c r="K375" t="inlineStr"/>
      <c r="L375" t="inlineStr"/>
      <c r="M375" t="inlineStr"/>
      <c r="N375" t="inlineStr"/>
      <c r="O375" t="n">
        <v>0</v>
      </c>
      <c r="P375">
        <f>IF(B390=0,0,O375/B390)</f>
        <v/>
      </c>
      <c r="Q375" t="n">
        <v>0</v>
      </c>
      <c r="R375" t="n">
        <v>0</v>
      </c>
      <c r="S375">
        <f>IFERROR(O375/N375,0)</f>
        <v/>
      </c>
    </row>
    <row r="376">
      <c r="A376">
        <f>Skills!A23</f>
        <v/>
      </c>
      <c r="B376">
        <f>Skills!B23</f>
        <v/>
      </c>
      <c r="C376">
        <f>Inputs!$B$3&gt;=120</f>
        <v/>
      </c>
      <c r="D376">
        <f>IF(Skills!C23=1,60+Inputs!$B$24+Inputs!$B$28,IF(Skills!C23=2,90+Inputs!$B$25+Inputs!$B$28,IF(Skills!C23=3,120+Inputs!$B$26+Inputs!$B$28,MAX(0,(Inputs!$B$3-100)*3)+Inputs!$B$27+Inputs!$B$28)))</f>
        <v/>
      </c>
      <c r="E376">
        <f>INDEX(FactorTable!$B$2:$Y$301, MATCH(ROUND(MIN(300,MAX(1,D376)),0), FactorTable!$A$2:$A$301,0), Skills!M23+1)</f>
        <v/>
      </c>
      <c r="F376">
        <f>IF(Skills!N23=TRUE,(Skills!L23/10)*(E376/1000),Skills!L23/10)+Skills!O23</f>
        <v/>
      </c>
      <c r="G376">
        <f>Skills!G23*IF(Skills!H23&gt;0,Skills!I23/Skills!H23,1)</f>
        <v/>
      </c>
      <c r="H376">
        <f>1-(1-Skills!J23/100)^Skills!K23</f>
        <v/>
      </c>
      <c r="I376" t="inlineStr">
        <is>
          <t>1</t>
        </is>
      </c>
      <c r="J376" t="inlineStr"/>
      <c r="K376" t="inlineStr"/>
      <c r="L376" t="inlineStr"/>
      <c r="M376" t="inlineStr"/>
      <c r="N376" t="inlineStr"/>
      <c r="O376" t="n">
        <v>0</v>
      </c>
      <c r="P376">
        <f>IF(B390=0,0,O376/B390)</f>
        <v/>
      </c>
      <c r="Q376" t="n">
        <v>0</v>
      </c>
      <c r="R376" t="n">
        <v>0</v>
      </c>
      <c r="S376">
        <f>IFERROR(O376/N376,0)</f>
        <v/>
      </c>
    </row>
    <row r="377">
      <c r="A377">
        <f>Skills!A24</f>
        <v/>
      </c>
      <c r="B377">
        <f>Skills!B24</f>
        <v/>
      </c>
      <c r="C377">
        <f>Inputs!$B$3&gt;=120</f>
        <v/>
      </c>
      <c r="D377">
        <f>IF(Skills!C24=1,60+Inputs!$B$24+Inputs!$B$28,IF(Skills!C24=2,90+Inputs!$B$25+Inputs!$B$28,IF(Skills!C24=3,120+Inputs!$B$26+Inputs!$B$28,MAX(0,(Inputs!$B$3-100)*3)+Inputs!$B$27+Inputs!$B$28)))</f>
        <v/>
      </c>
      <c r="E377">
        <f>INDEX(FactorTable!$B$2:$Y$301, MATCH(ROUND(MIN(300,MAX(1,D377)),0), FactorTable!$A$2:$A$301,0), Skills!M24+1)</f>
        <v/>
      </c>
      <c r="F377">
        <f>IF(Skills!N24=TRUE,(Skills!L24/10)*(E377/1000),Skills!L24/10)+Skills!O24</f>
        <v/>
      </c>
      <c r="G377">
        <f>Skills!G24*IF(Skills!H24&gt;0,Skills!I24/Skills!H24,1)</f>
        <v/>
      </c>
      <c r="H377">
        <f>1-(1-Skills!J24/100)^Skills!K24</f>
        <v/>
      </c>
      <c r="I377" t="inlineStr">
        <is>
          <t>1</t>
        </is>
      </c>
      <c r="J377" t="inlineStr"/>
      <c r="K377" t="inlineStr"/>
      <c r="L377" t="inlineStr"/>
      <c r="M377" t="inlineStr"/>
      <c r="N377" t="inlineStr"/>
      <c r="O377" t="n">
        <v>0</v>
      </c>
      <c r="P377">
        <f>IF(B390=0,0,O377/B390)</f>
        <v/>
      </c>
      <c r="Q377" t="n">
        <v>0</v>
      </c>
      <c r="R377" t="n">
        <v>0</v>
      </c>
      <c r="S377">
        <f>IFERROR(O377/N377,0)</f>
        <v/>
      </c>
    </row>
    <row r="378">
      <c r="A378">
        <f>Skills!A25</f>
        <v/>
      </c>
      <c r="B378">
        <f>Skills!B25</f>
        <v/>
      </c>
      <c r="C378">
        <f>Inputs!$B$3&gt;=125</f>
        <v/>
      </c>
      <c r="D378">
        <f>IF(Skills!C25=1,60+Inputs!$B$24+Inputs!$B$28,IF(Skills!C25=2,90+Inputs!$B$25+Inputs!$B$28,IF(Skills!C25=3,120+Inputs!$B$26+Inputs!$B$28,MAX(0,(Inputs!$B$3-100)*3)+Inputs!$B$27+Inputs!$B$28)))</f>
        <v/>
      </c>
      <c r="E378">
        <f>INDEX(FactorTable!$B$2:$Y$301, MATCH(ROUND(MIN(300,MAX(1,D378)),0), FactorTable!$A$2:$A$301,0), Skills!M25+1)</f>
        <v/>
      </c>
      <c r="F378">
        <f>IF(Skills!N25=TRUE,(Skills!L25/10)*(E378/1000),Skills!L25/10)+Skills!O25</f>
        <v/>
      </c>
      <c r="G378">
        <f>Skills!G25*IF(Skills!H25&gt;0,Skills!I25/Skills!H25,1)</f>
        <v/>
      </c>
      <c r="H378">
        <f>1-(1-Skills!J25/100)^Skills!K25</f>
        <v/>
      </c>
      <c r="I378" t="inlineStr">
        <is>
          <t>1</t>
        </is>
      </c>
      <c r="J378" t="inlineStr"/>
      <c r="K378" t="inlineStr"/>
      <c r="L378" t="inlineStr"/>
      <c r="M378" t="inlineStr"/>
      <c r="N378" t="inlineStr"/>
      <c r="O378" t="n">
        <v>0</v>
      </c>
      <c r="P378">
        <f>IF(B390=0,0,O378/B390)</f>
        <v/>
      </c>
      <c r="Q378" t="n">
        <v>0</v>
      </c>
      <c r="R378" t="n">
        <v>0</v>
      </c>
      <c r="S378">
        <f>IFERROR(O378/N378,0)</f>
        <v/>
      </c>
    </row>
    <row r="379">
      <c r="A379">
        <f>Skills!A26</f>
        <v/>
      </c>
      <c r="B379">
        <f>Skills!B26</f>
        <v/>
      </c>
      <c r="C379">
        <f>Inputs!$B$3&gt;=107</f>
        <v/>
      </c>
      <c r="D379">
        <f>IF(Skills!C26=1,60+Inputs!$B$24+Inputs!$B$28,IF(Skills!C26=2,90+Inputs!$B$25+Inputs!$B$28,IF(Skills!C26=3,120+Inputs!$B$26+Inputs!$B$28,MAX(0,(Inputs!$B$3-100)*3)+Inputs!$B$27+Inputs!$B$28)))</f>
        <v/>
      </c>
      <c r="E379">
        <f>INDEX(FactorTable!$B$2:$Y$301, MATCH(ROUND(MIN(300,MAX(1,D379)),0), FactorTable!$A$2:$A$301,0), Skills!M26+1)</f>
        <v/>
      </c>
      <c r="F379">
        <f>IF(Skills!N26=TRUE,(Skills!L26/10)*(E379/1000),Skills!L26/10)+Skills!O26</f>
        <v/>
      </c>
      <c r="G379">
        <f>Skills!G26*IF(Skills!H26&gt;0,Skills!I26/Skills!H26,1)</f>
        <v/>
      </c>
      <c r="H379">
        <f>1-(1-Skills!J26/100)^Skills!K26</f>
        <v/>
      </c>
      <c r="I379" t="inlineStr">
        <is>
          <t>1</t>
        </is>
      </c>
      <c r="J379" t="inlineStr"/>
      <c r="K379" t="inlineStr"/>
      <c r="L379" t="inlineStr"/>
      <c r="M379" t="inlineStr"/>
      <c r="N379" t="inlineStr"/>
      <c r="O379" t="n">
        <v>0</v>
      </c>
      <c r="P379">
        <f>IF(B390=0,0,O379/B390)</f>
        <v/>
      </c>
      <c r="Q379" t="n">
        <v>0</v>
      </c>
      <c r="R379" t="n">
        <v>0</v>
      </c>
      <c r="S379">
        <f>IFERROR(O379/N379,0)</f>
        <v/>
      </c>
    </row>
    <row r="381">
      <c r="A381" t="inlineStr">
        <is>
          <t>Attack% Bucket Multiplier</t>
        </is>
      </c>
      <c r="B381">
        <f>(1+(((C366=TRUE)*F366*IF(AND(Inputs!$B$4&lt;&gt;"pvp",Inputs!$B$35&gt;0),(((S366-1)*(Skills!T13*(1+Inputs!$B$33/100))+MIN((Skills!T13*(1+Inputs!$B$33/100)),MAX(0,Inputs!$B$35-((S366-1)*Skills!D13))))/Inputs!$B$35),IF(Inputs!$B$4="pvp",MIN((Skills!T13*(1+Inputs!$B$33/100)),15)/15,(Skills!T13*(1+Inputs!$B$33/100))/Skills!D13)))+((C367=TRUE)*F367*IF(AND(Inputs!$B$4&lt;&gt;"pvp",Inputs!$B$35&gt;0),(((S367-1)*(Skills!T14*(1+Inputs!$B$33/100))+MIN((Skills!T14*(1+Inputs!$B$33/100)),MAX(0,Inputs!$B$35-((S367-1)*Skills!D14))))/Inputs!$B$35),IF(Inputs!$B$4="pvp",MIN((Skills!T14*(1+Inputs!$B$33/100)),15)/15,(Skills!T14*(1+Inputs!$B$33/100))/Skills!D14)))+((C368=TRUE)*F368*IF(AND(Inputs!$B$4&lt;&gt;"pvp",Inputs!$B$35&gt;0),(((S368-1)*(Skills!T15*(1+Inputs!$B$33/100))+MIN((Skills!T15*(1+Inputs!$B$33/100)),MAX(0,Inputs!$B$35-((S368-1)*Skills!D15))))/Inputs!$B$35),IF(Inputs!$B$4="pvp",MIN((Skills!T15*(1+Inputs!$B$33/100)),15)/15,(Skills!T15*(1+Inputs!$B$33/100))/Skills!D15)))+((C369=TRUE)*F369*IF(AND(Inputs!$B$4&lt;&gt;"pvp",Inputs!$B$35&gt;0),(((S369-1)*(Skills!T16*(1+Inputs!$B$33/100))+MIN((Skills!T16*(1+Inputs!$B$33/100)),MAX(0,Inputs!$B$35-((S369-1)*Skills!D16))))/Inputs!$B$35),IF(Inputs!$B$4="pvp",MIN((Skills!T16*(1+Inputs!$B$33/100)),15)/15,(Skills!T16*(1+Inputs!$B$33/100))/Skills!D16)))+0)/100)</f>
        <v/>
      </c>
    </row>
    <row r="382">
      <c r="A382" t="inlineStr">
        <is>
          <t>Global Crit Rate Bonus % (Lord of Darkness)</t>
        </is>
      </c>
      <c r="B382">
        <f>((C371=TRUE)*F371*(Skills!J18/100)*IF(AND(Inputs!$B$4&lt;&gt;"pvp",Inputs!$B$35&gt;0),(((S371-1)*(Skills!T18*(1+Inputs!$B$33/100))+MIN((Skills!T18*(1+Inputs!$B$33/100)),MAX(0,Inputs!$B$35-((S371-1)*Skills!D18))))/Inputs!$B$35),IF(Inputs!$B$4="pvp",MIN((Skills!T18*(1+Inputs!$B$33/100)),15)/15,(Skills!T18*(1+Inputs!$B$33/100))/Skills!D18)))</f>
        <v/>
      </c>
    </row>
    <row r="383">
      <c r="A383" t="inlineStr">
        <is>
          <t>Attack Speed Buff Bonus %</t>
        </is>
      </c>
      <c r="B383">
        <f>((C373=TRUE)*F373*IF(AND(Inputs!$B$4&lt;&gt;"pvp",Inputs!$B$35&gt;0),(((S373-1)*(Skills!T20*(1+Inputs!$B$33/100))+MIN((Skills!T20*(1+Inputs!$B$33/100)),MAX(0,Inputs!$B$35-((S373-1)*Skills!D20))))/Inputs!$B$35),IF(Inputs!$B$4="pvp",MIN((Skills!T20*(1+Inputs!$B$33/100)),15)/15,(Skills!T20*(1+Inputs!$B$33/100))/Skills!D20)))</f>
        <v/>
      </c>
    </row>
    <row r="384">
      <c r="A384" t="inlineStr">
        <is>
          <t>Actions Per Second</t>
        </is>
      </c>
      <c r="B384">
        <f>1+MIN(150,150*(1-(1-(Inputs!$B$10+((C374=TRUE)*(F374-Calc!F21)))/150)*(1-B383/150)))/100</f>
        <v/>
      </c>
    </row>
    <row r="385">
      <c r="A385" t="inlineStr">
        <is>
          <t>Skill + Buff Cast Rate</t>
        </is>
      </c>
      <c r="B385">
        <f>IF(AND(Inputs!$B$4&lt;&gt;"pvp",Inputs!$B$35&gt;0),SUMPRODUCT((Skills!E2:E26=TRUE)*(C355:C379=TRUE)*R355:R379*Skills!F2:F26)/Inputs!$B$35,SUMPRODUCT((Skills!E2:E26=TRUE)*(C355:C379=TRUE)*Q355:Q379*Skills!F2:F26))</f>
        <v/>
      </c>
    </row>
    <row r="386">
      <c r="A386" t="inlineStr">
        <is>
          <t>Dark Impale Casts Per Second</t>
        </is>
      </c>
      <c r="B386">
        <f>MAX(0,B384-B385)</f>
        <v/>
      </c>
    </row>
    <row r="387">
      <c r="A387" t="inlineStr">
        <is>
          <t>Global Critical Damage Bonus % (Lord of Darkness)</t>
        </is>
      </c>
      <c r="B387">
        <f>((C372=TRUE)*F372*(Skills!J19/100)*IF(AND(Inputs!$B$4&lt;&gt;"pvp",Inputs!$B$35&gt;0),(((S372-1)*(Skills!T19*(1+Inputs!$B$33/100))+MIN((Skills!T19*(1+Inputs!$B$33/100)),MAX(0,Inputs!$B$35-((S372-1)*Skills!D19))))/Inputs!$B$35),IF(Inputs!$B$4="pvp",MIN((Skills!T19*(1+Inputs!$B$33/100)),15)/15,(Skills!T19*(1+Inputs!$B$33/100))/Skills!D19)))</f>
        <v/>
      </c>
    </row>
    <row r="388">
      <c r="A388" t="inlineStr">
        <is>
          <t>Global Final Damage Bonus % (unused)</t>
        </is>
      </c>
      <c r="B388" t="n">
        <v>0</v>
      </c>
    </row>
    <row r="390">
      <c r="A390" s="5" t="inlineStr">
        <is>
          <t>TOTAL DPS</t>
        </is>
      </c>
      <c r="B390" s="5">
        <f>SUM(O355:O379)</f>
        <v/>
      </c>
    </row>
    <row r="393">
      <c r="A393" s="5" t="inlineStr">
        <is>
          <t>Stat: MAX_DAMAGE %</t>
        </is>
      </c>
    </row>
    <row r="394">
      <c r="A394" s="8" t="inlineStr">
        <is>
          <t>Key</t>
        </is>
      </c>
      <c r="B394" s="8" t="inlineStr">
        <is>
          <t>Name</t>
        </is>
      </c>
      <c r="C394" s="8" t="inlineStr">
        <is>
          <t>Unlocked</t>
        </is>
      </c>
      <c r="D394" s="8" t="inlineStr">
        <is>
          <t>InputLevel</t>
        </is>
      </c>
      <c r="E394" s="8" t="inlineStr">
        <is>
          <t>Factor</t>
        </is>
      </c>
      <c r="F394" s="8" t="inlineStr">
        <is>
          <t>CoefficientPercent</t>
        </is>
      </c>
      <c r="G394" s="8" t="inlineStr">
        <is>
          <t>EffectiveHits</t>
        </is>
      </c>
      <c r="H394" s="8" t="inlineStr">
        <is>
          <t>ProcProbability</t>
        </is>
      </c>
      <c r="I394" s="8" t="inlineStr">
        <is>
          <t>MapleHeroMultiplier</t>
        </is>
      </c>
      <c r="J394" s="8" t="inlineStr">
        <is>
          <t>BaseDamage</t>
        </is>
      </c>
      <c r="K394" s="8" t="inlineStr">
        <is>
          <t>BaseHitDamage</t>
        </is>
      </c>
      <c r="L394" s="8" t="inlineStr">
        <is>
          <t>NonCritAvg</t>
        </is>
      </c>
      <c r="M394" s="8" t="inlineStr">
        <is>
          <t>CritAvg</t>
        </is>
      </c>
      <c r="N394" s="8" t="inlineStr">
        <is>
          <t>ExpectedDamage(perHit)</t>
        </is>
      </c>
      <c r="O394" s="8" t="inlineStr">
        <is>
          <t>DPS</t>
        </is>
      </c>
      <c r="P394" s="8" t="inlineStr">
        <is>
          <t>% of Total</t>
        </is>
      </c>
      <c r="Q394" s="8" t="inlineStr">
        <is>
          <t>InvCooldown</t>
        </is>
      </c>
      <c r="R394" s="8" t="inlineStr">
        <is>
          <t>CastsInFight</t>
        </is>
      </c>
      <c r="S394" s="8" t="inlineStr">
        <is>
          <t>HitRate(perSec)</t>
        </is>
      </c>
      <c r="U394" t="inlineStr">
        <is>
          <t>helpers</t>
        </is>
      </c>
    </row>
    <row r="395">
      <c r="A395">
        <f>Skills!A2</f>
        <v/>
      </c>
      <c r="B395">
        <f>Skills!B2</f>
        <v/>
      </c>
      <c r="C395">
        <f>Inputs!$B$3&gt;=100</f>
        <v/>
      </c>
      <c r="D395" t="inlineStr"/>
      <c r="E395" t="inlineStr"/>
      <c r="F395">
        <f>U397+Skills!O2</f>
        <v/>
      </c>
      <c r="G395">
        <f>Skills!G2*IF(Skills!H2&gt;0,Skills!I2/Skills!H2,1)</f>
        <v/>
      </c>
      <c r="H395">
        <f>1-(1-Skills!J2/100)^Skills!K2</f>
        <v/>
      </c>
      <c r="I395" t="inlineStr">
        <is>
          <t>1</t>
        </is>
      </c>
      <c r="J395">
        <f>(Inputs!$B$5*(1+Inputs!$B$6/100))*(F395/100)</f>
        <v/>
      </c>
      <c r="K395">
        <f>J395*(1+((Inputs!$B$11*(1+Inputs!$B$12/100))*0.01+Inputs!$B$13*0.0025)/100)*(1+Inputs!$B$14/100)*(1+IF(Inputs!$B$4="pvp",0,(1-Summary!$B$55)*(Inputs!$B$19+0+Skills!P2+((C410=TRUE)*F410*IF(AND(Inputs!$B$4&lt;&gt;"pvp",Inputs!$B$35&gt;0),(((S410-1)*(Skills!T17*(1+Inputs!$B$33/100))+MIN((Skills!T17*(1+Inputs!$B$33/100)),MAX(0,Inputs!$B$35-((S410-1)*Skills!D17))))/Inputs!$B$35),IF(Inputs!$B$4="pvp",MIN((Skills!T17*(1+Inputs!$B$33/100)),15)/15,(Skills!T17*(1+Inputs!$B$33/100))/Skills!D17)))+((C407=TRUE)*IF(Inputs!$B$4="pvp",20,(1-Summary!$B$55)*(20)+Summary!$B$55*(0))*IF(AND(Inputs!$B$4&lt;&gt;"pvp",Inputs!$B$35&gt;0),(((S407-1)*(Skills!T14*(1+Inputs!$B$33/100))+MIN((Skills!T14*(1+Inputs!$B$33/100)),MAX(0,Inputs!$B$35-((S407-1)*Skills!D14))))/Inputs!$B$35),IF(Inputs!$B$4="pvp",MIN((Skills!T14*(1+Inputs!$B$33/100)),15)/15,(Skills!T14*(1+Inputs!$B$33/100))/Skills!D14))))+Summary!$B$55*(Inputs!$B$20+Skills!Q2+((C410=TRUE)*F410*IF(AND(Inputs!$B$4&lt;&gt;"pvp",Inputs!$B$35&gt;0),(((S410-1)*(Skills!T17*(1+Inputs!$B$33/100))+MIN((Skills!T17*(1+Inputs!$B$33/100)),MAX(0,Inputs!$B$35-((S410-1)*Skills!D17))))/Inputs!$B$35),IF(Inputs!$B$4="pvp",MIN((Skills!T17*(1+Inputs!$B$33/100)),15)/15,(Skills!T17*(1+Inputs!$B$33/100))/Skills!D17)))))/100)*(1+Inputs!$B$15/100)*(5000/(6000+Inputs!$B$7*(1-(Inputs!$B$18+0)/100)))*(1+(Inputs!$B$23+((C418=TRUE)*(F418-Calc!F25))+((C419=TRUE)*(F419-Calc!F26))+B428)/100)*(1+(IF(Skills!A2="DARK_IMPALE",Inputs!$B$16+0,Inputs!$B$17+((C416=TRUE)*(F416-Calc!F23))))/100)*((1+(((C406=TRUE)*F406*IF(AND(Inputs!$B$4&lt;&gt;"pvp",Inputs!$B$35&gt;0),(((S406-1)*(Skills!T13*(1+Inputs!$B$33/100))+MIN((Skills!T13*(1+Inputs!$B$33/100)),MAX(0,Inputs!$B$35-((S406-1)*Skills!D13))))/Inputs!$B$35),IF(Inputs!$B$4="pvp",MIN((Skills!T13*(1+Inputs!$B$33/100)),15)/15,(Skills!T13*(1+Inputs!$B$33/100))/Skills!D13)))+((C407=TRUE)*F407*IF(AND(Inputs!$B$4&lt;&gt;"pvp",Inputs!$B$35&gt;0),(((S407-1)*(Skills!T14*(1+Inputs!$B$33/100))+MIN((Skills!T14*(1+Inputs!$B$33/100)),MAX(0,Inputs!$B$35-((S407-1)*Skills!D14))))/Inputs!$B$35),IF(Inputs!$B$4="pvp",MIN((Skills!T14*(1+Inputs!$B$33/100)),15)/15,(Skills!T14*(1+Inputs!$B$33/100))/Skills!D14)))+((C408=TRUE)*F408*IF(AND(Inputs!$B$4&lt;&gt;"pvp",Inputs!$B$35&gt;0),(((S408-1)*(Skills!T15*(1+Inputs!$B$33/100))+MIN((Skills!T15*(1+Inputs!$B$33/100)),MAX(0,Inputs!$B$35-((S408-1)*Skills!D15))))/Inputs!$B$35),IF(Inputs!$B$4="pvp",MIN((Skills!T15*(1+Inputs!$B$33/100)),15)/15,(Skills!T15*(1+Inputs!$B$33/100))/Skills!D15)))+((C409=TRUE)*F409*IF(AND(Inputs!$B$4&lt;&gt;"pvp",Inputs!$B$35&gt;0),(((S409-1)*(Skills!T16*(1+Inputs!$B$33/100))+MIN((Skills!T16*(1+Inputs!$B$33/100)),MAX(0,Inputs!$B$35-((S409-1)*Skills!D16))))/Inputs!$B$35),IF(Inputs!$B$4="pvp",MIN((Skills!T16*(1+Inputs!$B$33/100)),15)/15,(Skills!T16*(1+Inputs!$B$33/100))/Skills!D16)))+0)/100)*I395)</f>
        <v/>
      </c>
      <c r="L395">
        <f>K395*(MIN(Inputs!$B$21+((C415=TRUE)*(F415-Calc!F22)),(Inputs!$B$22+1)+((C417=TRUE)*(F417-Calc!F24)))/100+((Inputs!$B$22+1)+((C417=TRUE)*(F417-Calc!F24)))/100)/2</f>
        <v/>
      </c>
      <c r="M395">
        <f>L395*(1+(Inputs!$B$9+0+B427)/100)</f>
        <v/>
      </c>
      <c r="N395">
        <f>L395*(1-MIN((Inputs!$B$8+0+B422),100)/100)+M395*(MIN((Inputs!$B$8+0+B422),100)/100)</f>
        <v/>
      </c>
      <c r="O395">
        <f>IF(C395,Skills!G2*N395*B426*IF(Inputs!$B$4="pvp",1,(1-Summary!$B$55)*(1)+Summary!$B$55*(MIN((6+Inputs!$B$32),Inputs!$B$37))),0)</f>
        <v/>
      </c>
      <c r="P395">
        <f>IF(B430=0,0,O395/B430)</f>
        <v/>
      </c>
      <c r="Q395" t="n">
        <v>0</v>
      </c>
      <c r="R395" t="n">
        <v>0</v>
      </c>
      <c r="S395">
        <f>IFERROR(O395/N395,0)</f>
        <v/>
      </c>
      <c r="U395">
        <f>MAX(0,(Inputs!$B$3-100)*3)+Inputs!$B$27+Inputs!$B$28</f>
        <v/>
      </c>
    </row>
    <row r="396">
      <c r="A396">
        <f>Skills!A3</f>
        <v/>
      </c>
      <c r="B396">
        <f>Skills!B3</f>
        <v/>
      </c>
      <c r="C396">
        <f>Inputs!$B$3&gt;=50</f>
        <v/>
      </c>
      <c r="D396">
        <f>IF(Skills!C3=1,60+Inputs!$B$24+Inputs!$B$28,IF(Skills!C3=2,90+Inputs!$B$25+Inputs!$B$28,IF(Skills!C3=3,120+Inputs!$B$26+Inputs!$B$28,MAX(0,(Inputs!$B$3-100)*3)+Inputs!$B$27+Inputs!$B$28)))</f>
        <v/>
      </c>
      <c r="E396">
        <f>INDEX(FactorTable!$B$2:$Y$301, MATCH(ROUND(MIN(300,MAX(1,D396)),0), FactorTable!$A$2:$A$301,0), Skills!M3+1)</f>
        <v/>
      </c>
      <c r="F396">
        <f>IF(Skills!N3=TRUE,(Skills!L3/10)*(E396/1000),Skills!L3/10)+Skills!O3</f>
        <v/>
      </c>
      <c r="G396" t="inlineStr"/>
      <c r="H396" t="inlineStr"/>
      <c r="I396" t="inlineStr">
        <is>
          <t>1</t>
        </is>
      </c>
      <c r="J396" t="inlineStr"/>
      <c r="K396" t="inlineStr"/>
      <c r="L396" t="inlineStr"/>
      <c r="M396" t="inlineStr"/>
      <c r="N396" t="inlineStr"/>
      <c r="O396" t="inlineStr"/>
      <c r="P396" t="inlineStr"/>
      <c r="Q396" t="inlineStr"/>
      <c r="R396" t="inlineStr"/>
      <c r="S396" t="inlineStr"/>
      <c r="U396">
        <f>INDEX(FactorTable!$B$2:$Y$301, MATCH(ROUND(MIN(300,MAX(1,U395)),0), FactorTable!$A$2:$A$301,0), 22)</f>
        <v/>
      </c>
    </row>
    <row r="397">
      <c r="A397">
        <f>Skills!A4</f>
        <v/>
      </c>
      <c r="B397">
        <f>Skills!B4</f>
        <v/>
      </c>
      <c r="C397">
        <f>Inputs!$B$3&gt;=105</f>
        <v/>
      </c>
      <c r="D397">
        <f>IF(Skills!C4=1,60+Inputs!$B$24+Inputs!$B$28,IF(Skills!C4=2,90+Inputs!$B$25+Inputs!$B$28,IF(Skills!C4=3,120+Inputs!$B$26+Inputs!$B$28,MAX(0,(Inputs!$B$3-100)*3)+Inputs!$B$27+Inputs!$B$28)))</f>
        <v/>
      </c>
      <c r="E397">
        <f>INDEX(FactorTable!$B$2:$Y$301, MATCH(ROUND(MIN(300,MAX(1,D397)),0), FactorTable!$A$2:$A$301,0), Skills!M4+1)</f>
        <v/>
      </c>
      <c r="F397">
        <f>IF(Skills!N4=TRUE,(Skills!L4/10)*(E397/1000),Skills!L4/10)+Skills!O4</f>
        <v/>
      </c>
      <c r="G397" t="inlineStr"/>
      <c r="H397" t="inlineStr"/>
      <c r="I397" t="inlineStr">
        <is>
          <t>1</t>
        </is>
      </c>
      <c r="J397" t="inlineStr"/>
      <c r="K397" t="inlineStr"/>
      <c r="L397" t="inlineStr"/>
      <c r="M397" t="inlineStr"/>
      <c r="N397" t="inlineStr"/>
      <c r="O397" t="inlineStr"/>
      <c r="P397" t="inlineStr"/>
      <c r="Q397" t="inlineStr"/>
      <c r="R397" t="inlineStr"/>
      <c r="S397" t="inlineStr"/>
      <c r="U397">
        <f>290*U396/1000</f>
        <v/>
      </c>
    </row>
    <row r="398">
      <c r="A398">
        <f>Skills!A5</f>
        <v/>
      </c>
      <c r="B398">
        <f>Skills!B5</f>
        <v/>
      </c>
      <c r="C398">
        <f>Inputs!$B$3&gt;=117</f>
        <v/>
      </c>
      <c r="D398">
        <f>IF(Skills!C5=1,60+Inputs!$B$24+Inputs!$B$28,IF(Skills!C5=2,90+Inputs!$B$25+Inputs!$B$28,IF(Skills!C5=3,120+Inputs!$B$26+Inputs!$B$28,MAX(0,(Inputs!$B$3-100)*3)+Inputs!$B$27+Inputs!$B$28)))</f>
        <v/>
      </c>
      <c r="E398">
        <f>INDEX(FactorTable!$B$2:$Y$301, MATCH(ROUND(MIN(300,MAX(1,D398)),0), FactorTable!$A$2:$A$301,0), Skills!M5+1)</f>
        <v/>
      </c>
      <c r="F398">
        <f>IF(Skills!N5=TRUE,(Skills!L5/10)*(E398/1000),Skills!L5/10)+Skills!O5</f>
        <v/>
      </c>
      <c r="G398">
        <f>Skills!G5*IF(Skills!H5&gt;0,Skills!I5/Skills!H5,1)</f>
        <v/>
      </c>
      <c r="H398">
        <f>1-(1-Skills!J5/100)^Skills!K5</f>
        <v/>
      </c>
      <c r="I398" t="inlineStr">
        <is>
          <t>1</t>
        </is>
      </c>
      <c r="J398">
        <f>(Inputs!$B$5*(1+Inputs!$B$6/100))*(F398/100)</f>
        <v/>
      </c>
      <c r="K398">
        <f>J398*(1+((Inputs!$B$11*(1+Inputs!$B$12/100))*0.01+Inputs!$B$13*0.0025)/100)*(1+Inputs!$B$14/100)*(1+IF(Inputs!$B$4="pvp",0,(1-Summary!$B$55)*(Inputs!$B$19+0+Skills!P5+((C410=TRUE)*F410*IF(AND(Inputs!$B$4&lt;&gt;"pvp",Inputs!$B$35&gt;0),(((S410-1)*(Skills!T17*(1+Inputs!$B$33/100))+MIN((Skills!T17*(1+Inputs!$B$33/100)),MAX(0,Inputs!$B$35-((S410-1)*Skills!D17))))/Inputs!$B$35),IF(Inputs!$B$4="pvp",MIN((Skills!T17*(1+Inputs!$B$33/100)),15)/15,(Skills!T17*(1+Inputs!$B$33/100))/Skills!D17)))+((C407=TRUE)*IF(Inputs!$B$4="pvp",20,(1-Summary!$B$55)*(20)+Summary!$B$55*(0))*IF(AND(Inputs!$B$4&lt;&gt;"pvp",Inputs!$B$35&gt;0),(((S407-1)*(Skills!T14*(1+Inputs!$B$33/100))+MIN((Skills!T14*(1+Inputs!$B$33/100)),MAX(0,Inputs!$B$35-((S407-1)*Skills!D14))))/Inputs!$B$35),IF(Inputs!$B$4="pvp",MIN((Skills!T14*(1+Inputs!$B$33/100)),15)/15,(Skills!T14*(1+Inputs!$B$33/100))/Skills!D14))))+Summary!$B$55*(Inputs!$B$20+Skills!Q5+((C410=TRUE)*F410*IF(AND(Inputs!$B$4&lt;&gt;"pvp",Inputs!$B$35&gt;0),(((S410-1)*(Skills!T17*(1+Inputs!$B$33/100))+MIN((Skills!T17*(1+Inputs!$B$33/100)),MAX(0,Inputs!$B$35-((S410-1)*Skills!D17))))/Inputs!$B$35),IF(Inputs!$B$4="pvp",MIN((Skills!T17*(1+Inputs!$B$33/100)),15)/15,(Skills!T17*(1+Inputs!$B$33/100))/Skills!D17)))))/100)*(1+Inputs!$B$15/100)*(5000/(6000+Inputs!$B$7*(1-(Inputs!$B$18+0)/100)))*(1+(Inputs!$B$23+((C418=TRUE)*(F418-Calc!F25))+((C419=TRUE)*(F419-Calc!F26))+B428)/100)*(1+(IF(Skills!A5="DARK_IMPALE",Inputs!$B$16+0,Inputs!$B$17+((C416=TRUE)*(F416-Calc!F23))))/100)*((1+(((C406=TRUE)*F406*IF(AND(Inputs!$B$4&lt;&gt;"pvp",Inputs!$B$35&gt;0),(((S406-1)*(Skills!T13*(1+Inputs!$B$33/100))+MIN((Skills!T13*(1+Inputs!$B$33/100)),MAX(0,Inputs!$B$35-((S406-1)*Skills!D13))))/Inputs!$B$35),IF(Inputs!$B$4="pvp",MIN((Skills!T13*(1+Inputs!$B$33/100)),15)/15,(Skills!T13*(1+Inputs!$B$33/100))/Skills!D13)))+((C407=TRUE)*F407*IF(AND(Inputs!$B$4&lt;&gt;"pvp",Inputs!$B$35&gt;0),(((S407-1)*(Skills!T14*(1+Inputs!$B$33/100))+MIN((Skills!T14*(1+Inputs!$B$33/100)),MAX(0,Inputs!$B$35-((S407-1)*Skills!D14))))/Inputs!$B$35),IF(Inputs!$B$4="pvp",MIN((Skills!T14*(1+Inputs!$B$33/100)),15)/15,(Skills!T14*(1+Inputs!$B$33/100))/Skills!D14)))+((C408=TRUE)*F408*IF(AND(Inputs!$B$4&lt;&gt;"pvp",Inputs!$B$35&gt;0),(((S408-1)*(Skills!T15*(1+Inputs!$B$33/100))+MIN((Skills!T15*(1+Inputs!$B$33/100)),MAX(0,Inputs!$B$35-((S408-1)*Skills!D15))))/Inputs!$B$35),IF(Inputs!$B$4="pvp",MIN((Skills!T15*(1+Inputs!$B$33/100)),15)/15,(Skills!T15*(1+Inputs!$B$33/100))/Skills!D15)))+((C409=TRUE)*F409*IF(AND(Inputs!$B$4&lt;&gt;"pvp",Inputs!$B$35&gt;0),(((S409-1)*(Skills!T16*(1+Inputs!$B$33/100))+MIN((Skills!T16*(1+Inputs!$B$33/100)),MAX(0,Inputs!$B$35-((S409-1)*Skills!D16))))/Inputs!$B$35),IF(Inputs!$B$4="pvp",MIN((Skills!T16*(1+Inputs!$B$33/100)),15)/15,(Skills!T16*(1+Inputs!$B$33/100))/Skills!D16)))+0)/100)*I398)</f>
        <v/>
      </c>
      <c r="L398">
        <f>K398*(MIN(Inputs!$B$21+((C415=TRUE)*(F415-Calc!F22)),(Inputs!$B$22+1)+((C417=TRUE)*(F417-Calc!F24)))/100+((Inputs!$B$22+1)+((C417=TRUE)*(F417-Calc!F24)))/100)/2</f>
        <v/>
      </c>
      <c r="M398">
        <f>L398*(1+(Inputs!$B$9+0+B427)/100)</f>
        <v/>
      </c>
      <c r="N398">
        <f>L398*(1-MIN((Inputs!$B$8+0+B422),100)/100)+M398*(MIN((Inputs!$B$8+0+B422),100)/100)</f>
        <v/>
      </c>
      <c r="O398">
        <f>IF(C398,H398*N398*IF(AND(Inputs!$B$4&lt;&gt;"pvp",Inputs!$B$35&gt;0),((Skills!G5*((R398-1)*IF(Skills!H5&gt;0,Skills!I5/Skills!H5,1)+IF(Skills!H5&gt;0,MIN(Skills!I5,MAX(0,Inputs!$B$35-((R398-1)*IF(Inputs!$B$4="pvp",15,MAX(0.1,Skills!D5-IF(Skills!E5=TRUE,Inputs!$B$31,0))))))/Skills!H5,1)))/Inputs!$B$35),G398*Q398)*IF(Inputs!$B$4="pvp",1,(1-Summary!$B$55)*(1)+Summary!$B$55*(MIN(Skills!R5,Inputs!$B$37))),0)</f>
        <v/>
      </c>
      <c r="P398">
        <f>IF(B430=0,0,O398/B430)</f>
        <v/>
      </c>
      <c r="Q398">
        <f>IFERROR(1/IF(Inputs!$B$4="pvp",15,MAX(0.1,Skills!D5-IF(Skills!E5=TRUE,Inputs!$B$31,0))),0)</f>
        <v/>
      </c>
      <c r="R398">
        <f>IF(AND(Inputs!$B$4&lt;&gt;"pvp",Inputs!$B$35&gt;0),(INT(Inputs!$B$35/IF(Inputs!$B$4="pvp",15,MAX(0.1,Skills!D5-IF(Skills!E5=TRUE,Inputs!$B$31,0))))+1),0)</f>
        <v/>
      </c>
      <c r="S398">
        <f>IFERROR(O398/N398,0)</f>
        <v/>
      </c>
    </row>
    <row r="399">
      <c r="A399">
        <f>Skills!A6</f>
        <v/>
      </c>
      <c r="B399">
        <f>Skills!B6</f>
        <v/>
      </c>
      <c r="C399">
        <f>Inputs!$B$3&gt;=103</f>
        <v/>
      </c>
      <c r="D399">
        <f>IF(Skills!C6=1,60+Inputs!$B$24+Inputs!$B$28,IF(Skills!C6=2,90+Inputs!$B$25+Inputs!$B$28,IF(Skills!C6=3,120+Inputs!$B$26+Inputs!$B$28,MAX(0,(Inputs!$B$3-100)*3)+Inputs!$B$27+Inputs!$B$28)))</f>
        <v/>
      </c>
      <c r="E399">
        <f>INDEX(FactorTable!$B$2:$Y$301, MATCH(ROUND(MIN(300,MAX(1,D399)),0), FactorTable!$A$2:$A$301,0), Skills!M6+1)</f>
        <v/>
      </c>
      <c r="F399">
        <f>IF(Skills!N6=TRUE,(Skills!L6/10)*(E399/1000),Skills!L6/10)+Skills!O6</f>
        <v/>
      </c>
      <c r="G399">
        <f>Skills!G6*IF(Skills!H6&gt;0,Skills!I6/Skills!H6,1)</f>
        <v/>
      </c>
      <c r="H399">
        <f>1-(1-Skills!J6/100)^Skills!K6</f>
        <v/>
      </c>
      <c r="I399" t="inlineStr">
        <is>
          <t>1</t>
        </is>
      </c>
      <c r="J399">
        <f>(Inputs!$B$5*(1+Inputs!$B$6/100))*(F399/100)</f>
        <v/>
      </c>
      <c r="K399">
        <f>J399*(1+((Inputs!$B$11*(1+Inputs!$B$12/100))*0.01+Inputs!$B$13*0.0025)/100)*(1+Inputs!$B$14/100)*(1+IF(Inputs!$B$4="pvp",0,(1-Summary!$B$55)*(Inputs!$B$19+0+Skills!P6+((C410=TRUE)*F410*IF(AND(Inputs!$B$4&lt;&gt;"pvp",Inputs!$B$35&gt;0),(((S410-1)*(Skills!T17*(1+Inputs!$B$33/100))+MIN((Skills!T17*(1+Inputs!$B$33/100)),MAX(0,Inputs!$B$35-((S410-1)*Skills!D17))))/Inputs!$B$35),IF(Inputs!$B$4="pvp",MIN((Skills!T17*(1+Inputs!$B$33/100)),15)/15,(Skills!T17*(1+Inputs!$B$33/100))/Skills!D17)))+((C407=TRUE)*IF(Inputs!$B$4="pvp",20,(1-Summary!$B$55)*(20)+Summary!$B$55*(0))*IF(AND(Inputs!$B$4&lt;&gt;"pvp",Inputs!$B$35&gt;0),(((S407-1)*(Skills!T14*(1+Inputs!$B$33/100))+MIN((Skills!T14*(1+Inputs!$B$33/100)),MAX(0,Inputs!$B$35-((S407-1)*Skills!D14))))/Inputs!$B$35),IF(Inputs!$B$4="pvp",MIN((Skills!T14*(1+Inputs!$B$33/100)),15)/15,(Skills!T14*(1+Inputs!$B$33/100))/Skills!D14))))+Summary!$B$55*(Inputs!$B$20+Skills!Q6+((C410=TRUE)*F410*IF(AND(Inputs!$B$4&lt;&gt;"pvp",Inputs!$B$35&gt;0),(((S410-1)*(Skills!T17*(1+Inputs!$B$33/100))+MIN((Skills!T17*(1+Inputs!$B$33/100)),MAX(0,Inputs!$B$35-((S410-1)*Skills!D17))))/Inputs!$B$35),IF(Inputs!$B$4="pvp",MIN((Skills!T17*(1+Inputs!$B$33/100)),15)/15,(Skills!T17*(1+Inputs!$B$33/100))/Skills!D17)))))/100)*(1+Inputs!$B$15/100)*(5000/(6000+Inputs!$B$7*(1-(Inputs!$B$18+0)/100)))*(1+(Inputs!$B$23+((C418=TRUE)*(F418-Calc!F25))+((C419=TRUE)*(F419-Calc!F26))+B428)/100)*(1+(IF(Skills!A6="DARK_IMPALE",Inputs!$B$16+0,Inputs!$B$17+((C416=TRUE)*(F416-Calc!F23))))/100)*((1+(((C406=TRUE)*F406*IF(AND(Inputs!$B$4&lt;&gt;"pvp",Inputs!$B$35&gt;0),(((S406-1)*(Skills!T13*(1+Inputs!$B$33/100))+MIN((Skills!T13*(1+Inputs!$B$33/100)),MAX(0,Inputs!$B$35-((S406-1)*Skills!D13))))/Inputs!$B$35),IF(Inputs!$B$4="pvp",MIN((Skills!T13*(1+Inputs!$B$33/100)),15)/15,(Skills!T13*(1+Inputs!$B$33/100))/Skills!D13)))+((C407=TRUE)*F407*IF(AND(Inputs!$B$4&lt;&gt;"pvp",Inputs!$B$35&gt;0),(((S407-1)*(Skills!T14*(1+Inputs!$B$33/100))+MIN((Skills!T14*(1+Inputs!$B$33/100)),MAX(0,Inputs!$B$35-((S407-1)*Skills!D14))))/Inputs!$B$35),IF(Inputs!$B$4="pvp",MIN((Skills!T14*(1+Inputs!$B$33/100)),15)/15,(Skills!T14*(1+Inputs!$B$33/100))/Skills!D14)))+((C408=TRUE)*F408*IF(AND(Inputs!$B$4&lt;&gt;"pvp",Inputs!$B$35&gt;0),(((S408-1)*(Skills!T15*(1+Inputs!$B$33/100))+MIN((Skills!T15*(1+Inputs!$B$33/100)),MAX(0,Inputs!$B$35-((S408-1)*Skills!D15))))/Inputs!$B$35),IF(Inputs!$B$4="pvp",MIN((Skills!T15*(1+Inputs!$B$33/100)),15)/15,(Skills!T15*(1+Inputs!$B$33/100))/Skills!D15)))+((C409=TRUE)*F409*IF(AND(Inputs!$B$4&lt;&gt;"pvp",Inputs!$B$35&gt;0),(((S409-1)*(Skills!T16*(1+Inputs!$B$33/100))+MIN((Skills!T16*(1+Inputs!$B$33/100)),MAX(0,Inputs!$B$35-((S409-1)*Skills!D16))))/Inputs!$B$35),IF(Inputs!$B$4="pvp",MIN((Skills!T16*(1+Inputs!$B$33/100)),15)/15,(Skills!T16*(1+Inputs!$B$33/100))/Skills!D16)))+0)/100)*I399)</f>
        <v/>
      </c>
      <c r="L399">
        <f>K399*(MIN(Inputs!$B$21+((C415=TRUE)*(F415-Calc!F22)),(Inputs!$B$22+1)+((C417=TRUE)*(F417-Calc!F24)))/100+((Inputs!$B$22+1)+((C417=TRUE)*(F417-Calc!F24)))/100)/2</f>
        <v/>
      </c>
      <c r="M399">
        <f>L399*(1+(Inputs!$B$9+0+B427)/100)</f>
        <v/>
      </c>
      <c r="N399">
        <f>L399*(1-MIN((Inputs!$B$8+0+B422),100)/100)+M399*(MIN((Inputs!$B$8+0+B422),100)/100)</f>
        <v/>
      </c>
      <c r="O399">
        <f>IF(C399,H399*N399*IF(AND(Inputs!$B$4&lt;&gt;"pvp",Inputs!$B$35&gt;0),((Skills!G6*((R399-1)*IF(Skills!H6&gt;0,Skills!I6/Skills!H6,1)+IF(Skills!H6&gt;0,MIN(Skills!I6,MAX(0,Inputs!$B$35-((R399-1)*IF(Inputs!$B$4="pvp",15,MAX(0.1,Skills!D6-IF(Skills!E6=TRUE,Inputs!$B$31,0))))))/Skills!H6,1)))/Inputs!$B$35),G399*Q399)*IF(Inputs!$B$4="pvp",1,(1-Summary!$B$55)*(1)+Summary!$B$55*(MIN(Skills!R6,Inputs!$B$37))),0)</f>
        <v/>
      </c>
      <c r="P399">
        <f>IF(B430=0,0,O399/B430)</f>
        <v/>
      </c>
      <c r="Q399">
        <f>IFERROR(1/IF(Inputs!$B$4="pvp",15,MAX(0.1,Skills!D6-IF(Skills!E6=TRUE,Inputs!$B$31,0))),0)</f>
        <v/>
      </c>
      <c r="R399">
        <f>IF(AND(Inputs!$B$4&lt;&gt;"pvp",Inputs!$B$35&gt;0),(INT(Inputs!$B$35/IF(Inputs!$B$4="pvp",15,MAX(0.1,Skills!D6-IF(Skills!E6=TRUE,Inputs!$B$31,0))))+1),0)</f>
        <v/>
      </c>
      <c r="S399">
        <f>IFERROR(O399/N399,0)</f>
        <v/>
      </c>
    </row>
    <row r="400">
      <c r="A400">
        <f>Skills!A7</f>
        <v/>
      </c>
      <c r="B400">
        <f>Skills!B7</f>
        <v/>
      </c>
      <c r="C400">
        <f>Inputs!$B$3&gt;=40</f>
        <v/>
      </c>
      <c r="D400">
        <f>IF(Skills!C7=1,60+Inputs!$B$24+Inputs!$B$28,IF(Skills!C7=2,90+Inputs!$B$25+Inputs!$B$28,IF(Skills!C7=3,120+Inputs!$B$26+Inputs!$B$28,MAX(0,(Inputs!$B$3-100)*3)+Inputs!$B$27+Inputs!$B$28)))</f>
        <v/>
      </c>
      <c r="E400">
        <f>INDEX(FactorTable!$B$2:$Y$301, MATCH(ROUND(MIN(300,MAX(1,D400)),0), FactorTable!$A$2:$A$301,0), Skills!M7+1)</f>
        <v/>
      </c>
      <c r="F400">
        <f>IF(Skills!N7=TRUE,(Skills!L7/10)*(E400/1000),Skills!L7/10)+Skills!O7</f>
        <v/>
      </c>
      <c r="G400">
        <f>Skills!G7*IF(Skills!H7&gt;0,Skills!I7/Skills!H7,1)</f>
        <v/>
      </c>
      <c r="H400">
        <f>1-(1-Skills!J7/100)^Skills!K7</f>
        <v/>
      </c>
      <c r="I400" t="inlineStr">
        <is>
          <t>1</t>
        </is>
      </c>
      <c r="J400">
        <f>(Inputs!$B$5*(1+Inputs!$B$6/100))*(F400/100)</f>
        <v/>
      </c>
      <c r="K400">
        <f>J400*(1+((Inputs!$B$11*(1+Inputs!$B$12/100))*0.01+Inputs!$B$13*0.0025)/100)*(1+Inputs!$B$14/100)*(1+IF(Inputs!$B$4="pvp",0,(1-Summary!$B$55)*(Inputs!$B$19+0+Skills!P7+((C410=TRUE)*F410*IF(AND(Inputs!$B$4&lt;&gt;"pvp",Inputs!$B$35&gt;0),(((S410-1)*(Skills!T17*(1+Inputs!$B$33/100))+MIN((Skills!T17*(1+Inputs!$B$33/100)),MAX(0,Inputs!$B$35-((S410-1)*Skills!D17))))/Inputs!$B$35),IF(Inputs!$B$4="pvp",MIN((Skills!T17*(1+Inputs!$B$33/100)),15)/15,(Skills!T17*(1+Inputs!$B$33/100))/Skills!D17)))+((C407=TRUE)*IF(Inputs!$B$4="pvp",20,(1-Summary!$B$55)*(20)+Summary!$B$55*(0))*IF(AND(Inputs!$B$4&lt;&gt;"pvp",Inputs!$B$35&gt;0),(((S407-1)*(Skills!T14*(1+Inputs!$B$33/100))+MIN((Skills!T14*(1+Inputs!$B$33/100)),MAX(0,Inputs!$B$35-((S407-1)*Skills!D14))))/Inputs!$B$35),IF(Inputs!$B$4="pvp",MIN((Skills!T14*(1+Inputs!$B$33/100)),15)/15,(Skills!T14*(1+Inputs!$B$33/100))/Skills!D14))))+Summary!$B$55*(Inputs!$B$20+Skills!Q7+((C410=TRUE)*F410*IF(AND(Inputs!$B$4&lt;&gt;"pvp",Inputs!$B$35&gt;0),(((S410-1)*(Skills!T17*(1+Inputs!$B$33/100))+MIN((Skills!T17*(1+Inputs!$B$33/100)),MAX(0,Inputs!$B$35-((S410-1)*Skills!D17))))/Inputs!$B$35),IF(Inputs!$B$4="pvp",MIN((Skills!T17*(1+Inputs!$B$33/100)),15)/15,(Skills!T17*(1+Inputs!$B$33/100))/Skills!D17)))))/100)*(1+Inputs!$B$15/100)*(5000/(6000+Inputs!$B$7*(1-(Inputs!$B$18+0)/100)))*(1+(Inputs!$B$23+((C418=TRUE)*(F418-Calc!F25))+((C419=TRUE)*(F419-Calc!F26))+B428)/100)*(1+0.75*IF(C404=TRUE,F404,0)/100)*(1+(IF(Skills!A7="DARK_IMPALE",Inputs!$B$16+0,Inputs!$B$17+((C416=TRUE)*(F416-Calc!F23))))/100)*((1+(((C406=TRUE)*F406*IF(AND(Inputs!$B$4&lt;&gt;"pvp",Inputs!$B$35&gt;0),(((S406-1)*(Skills!T13*(1+Inputs!$B$33/100))+MIN((Skills!T13*(1+Inputs!$B$33/100)),MAX(0,Inputs!$B$35-((S406-1)*Skills!D13))))/Inputs!$B$35),IF(Inputs!$B$4="pvp",MIN((Skills!T13*(1+Inputs!$B$33/100)),15)/15,(Skills!T13*(1+Inputs!$B$33/100))/Skills!D13)))+((C407=TRUE)*F407*IF(AND(Inputs!$B$4&lt;&gt;"pvp",Inputs!$B$35&gt;0),(((S407-1)*(Skills!T14*(1+Inputs!$B$33/100))+MIN((Skills!T14*(1+Inputs!$B$33/100)),MAX(0,Inputs!$B$35-((S407-1)*Skills!D14))))/Inputs!$B$35),IF(Inputs!$B$4="pvp",MIN((Skills!T14*(1+Inputs!$B$33/100)),15)/15,(Skills!T14*(1+Inputs!$B$33/100))/Skills!D14)))+((C408=TRUE)*F408*IF(AND(Inputs!$B$4&lt;&gt;"pvp",Inputs!$B$35&gt;0),(((S408-1)*(Skills!T15*(1+Inputs!$B$33/100))+MIN((Skills!T15*(1+Inputs!$B$33/100)),MAX(0,Inputs!$B$35-((S408-1)*Skills!D15))))/Inputs!$B$35),IF(Inputs!$B$4="pvp",MIN((Skills!T15*(1+Inputs!$B$33/100)),15)/15,(Skills!T15*(1+Inputs!$B$33/100))/Skills!D15)))+((C409=TRUE)*F409*IF(AND(Inputs!$B$4&lt;&gt;"pvp",Inputs!$B$35&gt;0),(((S409-1)*(Skills!T16*(1+Inputs!$B$33/100))+MIN((Skills!T16*(1+Inputs!$B$33/100)),MAX(0,Inputs!$B$35-((S409-1)*Skills!D16))))/Inputs!$B$35),IF(Inputs!$B$4="pvp",MIN((Skills!T16*(1+Inputs!$B$33/100)),15)/15,(Skills!T16*(1+Inputs!$B$33/100))/Skills!D16)))+0)/100)*I400)</f>
        <v/>
      </c>
      <c r="L400">
        <f>K400*(MIN(Inputs!$B$21+((C415=TRUE)*(F415-Calc!F22)),(Inputs!$B$22+1)+((C417=TRUE)*(F417-Calc!F24)))/100+((Inputs!$B$22+1)+((C417=TRUE)*(F417-Calc!F24)))/100)/2</f>
        <v/>
      </c>
      <c r="M400">
        <f>L400*(1+(Inputs!$B$9+0+B427)/100)</f>
        <v/>
      </c>
      <c r="N400">
        <f>L400*(1-MIN((Inputs!$B$8+0+B422),100)/100)+M400*(MIN((Inputs!$B$8+0+B422),100)/100)</f>
        <v/>
      </c>
      <c r="O400">
        <f>IF(C400,H400*N400*IF(AND(Inputs!$B$4&lt;&gt;"pvp",Inputs!$B$35&gt;0),((Skills!G7*((R400-1)*IF(Skills!H7&gt;0,Skills!I7/Skills!H7,1)+IF(Skills!H7&gt;0,MIN(Skills!I7,MAX(0,Inputs!$B$35-((R400-1)*IF(Inputs!$B$4="pvp",15,MAX(0.1,Skills!D7-IF(Skills!E7=TRUE,Inputs!$B$31,0))))))/Skills!H7,1)))/Inputs!$B$35),G400*Q400)*IF(Inputs!$B$4="pvp",1,(1-Summary!$B$55)*(1)+Summary!$B$55*(MIN(Skills!R7,Inputs!$B$37))),0)</f>
        <v/>
      </c>
      <c r="P400">
        <f>IF(B430=0,0,O400/B430)</f>
        <v/>
      </c>
      <c r="Q400">
        <f>IFERROR(1/IF(Inputs!$B$4="pvp",15,MAX(0.1,Skills!D7-IF(Skills!E7=TRUE,Inputs!$B$31,0))),0)</f>
        <v/>
      </c>
      <c r="R400">
        <f>IF(AND(Inputs!$B$4&lt;&gt;"pvp",Inputs!$B$35&gt;0),(INT(Inputs!$B$35/IF(Inputs!$B$4="pvp",15,MAX(0.1,Skills!D7-IF(Skills!E7=TRUE,Inputs!$B$31,0))))+1),0)</f>
        <v/>
      </c>
      <c r="S400">
        <f>IFERROR(O400/N400,0)</f>
        <v/>
      </c>
    </row>
    <row r="401">
      <c r="A401">
        <f>Skills!A8</f>
        <v/>
      </c>
      <c r="B401">
        <f>Skills!B8</f>
        <v/>
      </c>
      <c r="C401">
        <f>Inputs!$B$3&gt;=75</f>
        <v/>
      </c>
      <c r="D401">
        <f>IF(Skills!C8=1,60+Inputs!$B$24+Inputs!$B$28,IF(Skills!C8=2,90+Inputs!$B$25+Inputs!$B$28,IF(Skills!C8=3,120+Inputs!$B$26+Inputs!$B$28,MAX(0,(Inputs!$B$3-100)*3)+Inputs!$B$27+Inputs!$B$28)))</f>
        <v/>
      </c>
      <c r="E401">
        <f>INDEX(FactorTable!$B$2:$Y$301, MATCH(ROUND(MIN(300,MAX(1,D401)),0), FactorTable!$A$2:$A$301,0), Skills!M8+1)</f>
        <v/>
      </c>
      <c r="F401">
        <f>IF(Skills!N8=TRUE,(Skills!L8/10)*(E401/1000),Skills!L8/10)+Skills!O8</f>
        <v/>
      </c>
      <c r="G401" t="inlineStr"/>
      <c r="H401" t="inlineStr"/>
      <c r="I401" t="inlineStr">
        <is>
          <t>1</t>
        </is>
      </c>
      <c r="J401" t="inlineStr"/>
      <c r="K401" t="inlineStr"/>
      <c r="L401" t="inlineStr"/>
      <c r="M401" t="inlineStr"/>
      <c r="N401" t="inlineStr"/>
      <c r="O401" t="inlineStr"/>
      <c r="P401" t="inlineStr"/>
      <c r="Q401" t="inlineStr"/>
      <c r="R401" t="inlineStr"/>
      <c r="S401" t="inlineStr"/>
    </row>
    <row r="402">
      <c r="A402">
        <f>Skills!A9</f>
        <v/>
      </c>
      <c r="B402">
        <f>Skills!B9</f>
        <v/>
      </c>
      <c r="C402">
        <f>Inputs!$B$3&gt;=60</f>
        <v/>
      </c>
      <c r="D402">
        <f>IF(Skills!C9=1,60+Inputs!$B$24+Inputs!$B$28,IF(Skills!C9=2,90+Inputs!$B$25+Inputs!$B$28,IF(Skills!C9=3,120+Inputs!$B$26+Inputs!$B$28,MAX(0,(Inputs!$B$3-100)*3)+Inputs!$B$27+Inputs!$B$28)))</f>
        <v/>
      </c>
      <c r="E402">
        <f>INDEX(FactorTable!$B$2:$Y$301, MATCH(ROUND(MIN(300,MAX(1,D402)),0), FactorTable!$A$2:$A$301,0), Skills!M9+1)</f>
        <v/>
      </c>
      <c r="F402">
        <f>IF(Skills!N9=TRUE,(Skills!L9/10)*(E402/1000),Skills!L9/10)+Skills!O9</f>
        <v/>
      </c>
      <c r="G402">
        <f>Skills!G9*IF(Skills!H9&gt;0,Skills!I9/Skills!H9,1)</f>
        <v/>
      </c>
      <c r="H402">
        <f>1-(1-Skills!J9/100)^Skills!K9</f>
        <v/>
      </c>
      <c r="I402" t="inlineStr">
        <is>
          <t>1</t>
        </is>
      </c>
      <c r="J402">
        <f>(Inputs!$B$5*(1+Inputs!$B$6/100))*(F402/100)</f>
        <v/>
      </c>
      <c r="K402">
        <f>J402*(1+((Inputs!$B$11*(1+Inputs!$B$12/100))*0.01+Inputs!$B$13*0.0025)/100)*(1+Inputs!$B$14/100)*(1+IF(Inputs!$B$4="pvp",0,(1-Summary!$B$55)*(Inputs!$B$19+0+Skills!P9+((C410=TRUE)*F410*IF(AND(Inputs!$B$4&lt;&gt;"pvp",Inputs!$B$35&gt;0),(((S410-1)*(Skills!T17*(1+Inputs!$B$33/100))+MIN((Skills!T17*(1+Inputs!$B$33/100)),MAX(0,Inputs!$B$35-((S410-1)*Skills!D17))))/Inputs!$B$35),IF(Inputs!$B$4="pvp",MIN((Skills!T17*(1+Inputs!$B$33/100)),15)/15,(Skills!T17*(1+Inputs!$B$33/100))/Skills!D17)))+((C407=TRUE)*IF(Inputs!$B$4="pvp",20,(1-Summary!$B$55)*(20)+Summary!$B$55*(0))*IF(AND(Inputs!$B$4&lt;&gt;"pvp",Inputs!$B$35&gt;0),(((S407-1)*(Skills!T14*(1+Inputs!$B$33/100))+MIN((Skills!T14*(1+Inputs!$B$33/100)),MAX(0,Inputs!$B$35-((S407-1)*Skills!D14))))/Inputs!$B$35),IF(Inputs!$B$4="pvp",MIN((Skills!T14*(1+Inputs!$B$33/100)),15)/15,(Skills!T14*(1+Inputs!$B$33/100))/Skills!D14))))+Summary!$B$55*(Inputs!$B$20+Skills!Q9+((C410=TRUE)*F410*IF(AND(Inputs!$B$4&lt;&gt;"pvp",Inputs!$B$35&gt;0),(((S410-1)*(Skills!T17*(1+Inputs!$B$33/100))+MIN((Skills!T17*(1+Inputs!$B$33/100)),MAX(0,Inputs!$B$35-((S410-1)*Skills!D17))))/Inputs!$B$35),IF(Inputs!$B$4="pvp",MIN((Skills!T17*(1+Inputs!$B$33/100)),15)/15,(Skills!T17*(1+Inputs!$B$33/100))/Skills!D17)))))/100)*(1+Inputs!$B$15/100)*(5000/(6000+Inputs!$B$7*(1-(Inputs!$B$18+0)/100)))*(1+(Inputs!$B$23+((C418=TRUE)*(F418-Calc!F25))+((C419=TRUE)*(F419-Calc!F26))+B428)/100)*(1+1.0*IF(C404=TRUE,F404,0)/100)*(1+(IF(Skills!A9="DARK_IMPALE",Inputs!$B$16+0,Inputs!$B$17+((C416=TRUE)*(F416-Calc!F23))))/100)*((1+(((C406=TRUE)*F406*IF(AND(Inputs!$B$4&lt;&gt;"pvp",Inputs!$B$35&gt;0),(((S406-1)*(Skills!T13*(1+Inputs!$B$33/100))+MIN((Skills!T13*(1+Inputs!$B$33/100)),MAX(0,Inputs!$B$35-((S406-1)*Skills!D13))))/Inputs!$B$35),IF(Inputs!$B$4="pvp",MIN((Skills!T13*(1+Inputs!$B$33/100)),15)/15,(Skills!T13*(1+Inputs!$B$33/100))/Skills!D13)))+((C407=TRUE)*F407*IF(AND(Inputs!$B$4&lt;&gt;"pvp",Inputs!$B$35&gt;0),(((S407-1)*(Skills!T14*(1+Inputs!$B$33/100))+MIN((Skills!T14*(1+Inputs!$B$33/100)),MAX(0,Inputs!$B$35-((S407-1)*Skills!D14))))/Inputs!$B$35),IF(Inputs!$B$4="pvp",MIN((Skills!T14*(1+Inputs!$B$33/100)),15)/15,(Skills!T14*(1+Inputs!$B$33/100))/Skills!D14)))+((C408=TRUE)*F408*IF(AND(Inputs!$B$4&lt;&gt;"pvp",Inputs!$B$35&gt;0),(((S408-1)*(Skills!T15*(1+Inputs!$B$33/100))+MIN((Skills!T15*(1+Inputs!$B$33/100)),MAX(0,Inputs!$B$35-((S408-1)*Skills!D15))))/Inputs!$B$35),IF(Inputs!$B$4="pvp",MIN((Skills!T15*(1+Inputs!$B$33/100)),15)/15,(Skills!T15*(1+Inputs!$B$33/100))/Skills!D15)))+((C409=TRUE)*F409*IF(AND(Inputs!$B$4&lt;&gt;"pvp",Inputs!$B$35&gt;0),(((S409-1)*(Skills!T16*(1+Inputs!$B$33/100))+MIN((Skills!T16*(1+Inputs!$B$33/100)),MAX(0,Inputs!$B$35-((S409-1)*Skills!D16))))/Inputs!$B$35),IF(Inputs!$B$4="pvp",MIN((Skills!T16*(1+Inputs!$B$33/100)),15)/15,(Skills!T16*(1+Inputs!$B$33/100))/Skills!D16)))+0)/100)*I402)</f>
        <v/>
      </c>
      <c r="L402">
        <f>K402*(MIN(Inputs!$B$21+((C415=TRUE)*(F415-Calc!F22)),(Inputs!$B$22+1)+((C417=TRUE)*(F417-Calc!F24)))/100+((Inputs!$B$22+1)+((C417=TRUE)*(F417-Calc!F24)))/100)/2</f>
        <v/>
      </c>
      <c r="M402">
        <f>L402*(1+(Inputs!$B$9+0+B427)/100)</f>
        <v/>
      </c>
      <c r="N402">
        <f>L402*(1-MIN((Inputs!$B$8+0+B422),100)/100)+M402*(MIN((Inputs!$B$8+0+B422),100)/100)</f>
        <v/>
      </c>
      <c r="O402">
        <f>IF(C402,H402*N402*IF(AND(Inputs!$B$4&lt;&gt;"pvp",Inputs!$B$35&gt;0),((Skills!G9*((R402-1)*IF(Skills!H9&gt;0,Skills!I9/Skills!H9,1)+IF(Skills!H9&gt;0,MIN(Skills!I9,MAX(0,Inputs!$B$35-((R402-1)*IF(Inputs!$B$4="pvp",15,MAX(0.1,Skills!D9-IF(Skills!E9=TRUE,Inputs!$B$31,0))))))/Skills!H9,1)))/Inputs!$B$35),G402*Q402)*IF(Inputs!$B$4="pvp",1,(1-Summary!$B$55)*(1)+Summary!$B$55*(MIN(Skills!R9,Inputs!$B$37))),0)</f>
        <v/>
      </c>
      <c r="P402">
        <f>IF(B430=0,0,O402/B430)</f>
        <v/>
      </c>
      <c r="Q402">
        <f>IFERROR(1/IF(Inputs!$B$4="pvp",15,MAX(0.1,Skills!D9-IF(Skills!E9=TRUE,Inputs!$B$31,0))),0)</f>
        <v/>
      </c>
      <c r="R402">
        <f>IF(AND(Inputs!$B$4&lt;&gt;"pvp",Inputs!$B$35&gt;0),(INT(Inputs!$B$35/IF(Inputs!$B$4="pvp",15,MAX(0.1,Skills!D9-IF(Skills!E9=TRUE,Inputs!$B$31,0))))+1),0)</f>
        <v/>
      </c>
      <c r="S402">
        <f>IFERROR(O402/N402,0)</f>
        <v/>
      </c>
    </row>
    <row r="403">
      <c r="A403">
        <f>Skills!A10</f>
        <v/>
      </c>
      <c r="B403">
        <f>Skills!B10</f>
        <v/>
      </c>
      <c r="C403">
        <f>Inputs!$B$3&gt;=110</f>
        <v/>
      </c>
      <c r="D403">
        <f>IF(Skills!C10=1,60+Inputs!$B$24+Inputs!$B$28,IF(Skills!C10=2,90+Inputs!$B$25+Inputs!$B$28,IF(Skills!C10=3,120+Inputs!$B$26+Inputs!$B$28,MAX(0,(Inputs!$B$3-100)*3)+Inputs!$B$27+Inputs!$B$28)))</f>
        <v/>
      </c>
      <c r="E403">
        <f>INDEX(FactorTable!$B$2:$Y$301, MATCH(ROUND(MIN(300,MAX(1,D403)),0), FactorTable!$A$2:$A$301,0), Skills!M10+1)</f>
        <v/>
      </c>
      <c r="F403">
        <f>IF(Skills!N10=TRUE,(Skills!L10/10)*(E403/1000),Skills!L10/10)+Skills!O10</f>
        <v/>
      </c>
      <c r="G403">
        <f>Skills!G10*IF(Skills!H10&gt;0,Skills!I10/Skills!H10,1)</f>
        <v/>
      </c>
      <c r="H403">
        <f>1-(1-Skills!J10/100)^Skills!K10</f>
        <v/>
      </c>
      <c r="I403" t="inlineStr">
        <is>
          <t>1</t>
        </is>
      </c>
      <c r="J403">
        <f>(Inputs!$B$5*(1+Inputs!$B$6/100))*(F403/100)</f>
        <v/>
      </c>
      <c r="K403">
        <f>J403*(1+((Inputs!$B$11*(1+Inputs!$B$12/100))*0.01+Inputs!$B$13*0.0025)/100)*(1+Inputs!$B$14/100)*(1+IF(Inputs!$B$4="pvp",0,(1-Summary!$B$55)*(Inputs!$B$19+0+Skills!P10+((C410=TRUE)*F410*IF(AND(Inputs!$B$4&lt;&gt;"pvp",Inputs!$B$35&gt;0),(((S410-1)*(Skills!T17*(1+Inputs!$B$33/100))+MIN((Skills!T17*(1+Inputs!$B$33/100)),MAX(0,Inputs!$B$35-((S410-1)*Skills!D17))))/Inputs!$B$35),IF(Inputs!$B$4="pvp",MIN((Skills!T17*(1+Inputs!$B$33/100)),15)/15,(Skills!T17*(1+Inputs!$B$33/100))/Skills!D17)))+((C407=TRUE)*IF(Inputs!$B$4="pvp",20,(1-Summary!$B$55)*(20)+Summary!$B$55*(0))*IF(AND(Inputs!$B$4&lt;&gt;"pvp",Inputs!$B$35&gt;0),(((S407-1)*(Skills!T14*(1+Inputs!$B$33/100))+MIN((Skills!T14*(1+Inputs!$B$33/100)),MAX(0,Inputs!$B$35-((S407-1)*Skills!D14))))/Inputs!$B$35),IF(Inputs!$B$4="pvp",MIN((Skills!T14*(1+Inputs!$B$33/100)),15)/15,(Skills!T14*(1+Inputs!$B$33/100))/Skills!D14))))+Summary!$B$55*(Inputs!$B$20+Skills!Q10+((C410=TRUE)*F410*IF(AND(Inputs!$B$4&lt;&gt;"pvp",Inputs!$B$35&gt;0),(((S410-1)*(Skills!T17*(1+Inputs!$B$33/100))+MIN((Skills!T17*(1+Inputs!$B$33/100)),MAX(0,Inputs!$B$35-((S410-1)*Skills!D17))))/Inputs!$B$35),IF(Inputs!$B$4="pvp",MIN((Skills!T17*(1+Inputs!$B$33/100)),15)/15,(Skills!T17*(1+Inputs!$B$33/100))/Skills!D17)))))/100)*(1+Inputs!$B$15/100)*(5000/(6000+Inputs!$B$7*(1-(Inputs!$B$18+0)/100)))*(1+(Inputs!$B$23+((C418=TRUE)*(F418-Calc!F25))+((C419=TRUE)*(F419-Calc!F26))+B428)/100)*(1+(IF(Skills!A10="DARK_IMPALE",Inputs!$B$16+0,Inputs!$B$17+((C416=TRUE)*(F416-Calc!F23))))/100)*((1+(((C406=TRUE)*F406*IF(AND(Inputs!$B$4&lt;&gt;"pvp",Inputs!$B$35&gt;0),(((S406-1)*(Skills!T13*(1+Inputs!$B$33/100))+MIN((Skills!T13*(1+Inputs!$B$33/100)),MAX(0,Inputs!$B$35-((S406-1)*Skills!D13))))/Inputs!$B$35),IF(Inputs!$B$4="pvp",MIN((Skills!T13*(1+Inputs!$B$33/100)),15)/15,(Skills!T13*(1+Inputs!$B$33/100))/Skills!D13)))+((C407=TRUE)*F407*IF(AND(Inputs!$B$4&lt;&gt;"pvp",Inputs!$B$35&gt;0),(((S407-1)*(Skills!T14*(1+Inputs!$B$33/100))+MIN((Skills!T14*(1+Inputs!$B$33/100)),MAX(0,Inputs!$B$35-((S407-1)*Skills!D14))))/Inputs!$B$35),IF(Inputs!$B$4="pvp",MIN((Skills!T14*(1+Inputs!$B$33/100)),15)/15,(Skills!T14*(1+Inputs!$B$33/100))/Skills!D14)))+((C408=TRUE)*F408*IF(AND(Inputs!$B$4&lt;&gt;"pvp",Inputs!$B$35&gt;0),(((S408-1)*(Skills!T15*(1+Inputs!$B$33/100))+MIN((Skills!T15*(1+Inputs!$B$33/100)),MAX(0,Inputs!$B$35-((S408-1)*Skills!D15))))/Inputs!$B$35),IF(Inputs!$B$4="pvp",MIN((Skills!T15*(1+Inputs!$B$33/100)),15)/15,(Skills!T15*(1+Inputs!$B$33/100))/Skills!D15)))+((C409=TRUE)*F409*IF(AND(Inputs!$B$4&lt;&gt;"pvp",Inputs!$B$35&gt;0),(((S409-1)*(Skills!T16*(1+Inputs!$B$33/100))+MIN((Skills!T16*(1+Inputs!$B$33/100)),MAX(0,Inputs!$B$35-((S409-1)*Skills!D16))))/Inputs!$B$35),IF(Inputs!$B$4="pvp",MIN((Skills!T16*(1+Inputs!$B$33/100)),15)/15,(Skills!T16*(1+Inputs!$B$33/100))/Skills!D16)))+0)/100)*I403)</f>
        <v/>
      </c>
      <c r="L403">
        <f>K403*(MIN(Inputs!$B$21+((C415=TRUE)*(F415-Calc!F22)),(Inputs!$B$22+1)+((C417=TRUE)*(F417-Calc!F24)))/100+((Inputs!$B$22+1)+((C417=TRUE)*(F417-Calc!F24)))/100)/2</f>
        <v/>
      </c>
      <c r="M403">
        <f>L403*(1+(Inputs!$B$9+0+B427)/100)</f>
        <v/>
      </c>
      <c r="N403">
        <f>L403*(1-MIN((Inputs!$B$8+0+B422),100)/100)+M403*(MIN((Inputs!$B$8+0+B422),100)/100)</f>
        <v/>
      </c>
      <c r="O403">
        <f>IF(C403,H403*N403*IF(AND(Inputs!$B$4&lt;&gt;"pvp",Inputs!$B$35&gt;0),((Skills!G10*((R403-1)*IF(Skills!H10&gt;0,Skills!I10/Skills!H10,1)+IF(Skills!H10&gt;0,MIN(Skills!I10,MAX(0,Inputs!$B$35-((R403-1)*IF(Inputs!$B$4="pvp",15,MAX(0.1,Skills!D10-IF(Skills!E10=TRUE,Inputs!$B$31,0))))))/Skills!H10,1)))/Inputs!$B$35),G403*Q403)*IF(Inputs!$B$4="pvp",1,(1-Summary!$B$55)*(1)+Summary!$B$55*(MIN(Skills!R10,Inputs!$B$37))),0)</f>
        <v/>
      </c>
      <c r="P403">
        <f>IF(B430=0,0,O403/B430)</f>
        <v/>
      </c>
      <c r="Q403">
        <f>IFERROR(1/IF(Inputs!$B$4="pvp",15,MAX(0.1,Skills!D10-IF(Skills!E10=TRUE,Inputs!$B$31,0))),0)</f>
        <v/>
      </c>
      <c r="R403">
        <f>IF(AND(Inputs!$B$4&lt;&gt;"pvp",Inputs!$B$35&gt;0),(INT(Inputs!$B$35/IF(Inputs!$B$4="pvp",15,MAX(0.1,Skills!D10-IF(Skills!E10=TRUE,Inputs!$B$31,0))))+1),0)</f>
        <v/>
      </c>
      <c r="S403">
        <f>IFERROR(O403/N403,0)</f>
        <v/>
      </c>
    </row>
    <row r="404">
      <c r="A404">
        <f>Skills!A11</f>
        <v/>
      </c>
      <c r="B404">
        <f>Skills!B11</f>
        <v/>
      </c>
      <c r="C404">
        <f>Inputs!$B$3&gt;=100</f>
        <v/>
      </c>
      <c r="D404">
        <f>IF(Skills!C11=1,60+Inputs!$B$24+Inputs!$B$28,IF(Skills!C11=2,90+Inputs!$B$25+Inputs!$B$28,IF(Skills!C11=3,120+Inputs!$B$26+Inputs!$B$28,MAX(0,(Inputs!$B$3-100)*3)+Inputs!$B$27+Inputs!$B$28)))</f>
        <v/>
      </c>
      <c r="E404">
        <f>INDEX(FactorTable!$B$2:$Y$301, MATCH(ROUND(MIN(300,MAX(1,D404)),0), FactorTable!$A$2:$A$301,0), Skills!M11+1)</f>
        <v/>
      </c>
      <c r="F404">
        <f>IF(Skills!N11=TRUE,(Skills!L11/10)*(E404/1000),Skills!L11/10)+Skills!O11</f>
        <v/>
      </c>
      <c r="G404" t="inlineStr"/>
      <c r="H404" t="inlineStr"/>
      <c r="I404" t="inlineStr">
        <is>
          <t>1</t>
        </is>
      </c>
      <c r="J404" t="inlineStr"/>
      <c r="K404" t="inlineStr"/>
      <c r="L404" t="inlineStr"/>
      <c r="M404" t="inlineStr"/>
      <c r="N404" t="inlineStr"/>
      <c r="O404" t="inlineStr"/>
      <c r="P404" t="inlineStr"/>
      <c r="Q404" t="inlineStr"/>
      <c r="R404" t="inlineStr"/>
      <c r="S404" t="inlineStr"/>
    </row>
    <row r="405">
      <c r="A405">
        <f>Skills!A12</f>
        <v/>
      </c>
      <c r="B405">
        <f>Skills!B12</f>
        <v/>
      </c>
      <c r="C405">
        <f>Inputs!$B$3&gt;=63</f>
        <v/>
      </c>
      <c r="D405">
        <f>IF(Skills!C12=1,60+Inputs!$B$24+Inputs!$B$28,IF(Skills!C12=2,90+Inputs!$B$25+Inputs!$B$28,IF(Skills!C12=3,120+Inputs!$B$26+Inputs!$B$28,MAX(0,(Inputs!$B$3-100)*3)+Inputs!$B$27+Inputs!$B$28)))</f>
        <v/>
      </c>
      <c r="E405">
        <f>INDEX(FactorTable!$B$2:$Y$301, MATCH(ROUND(MIN(300,MAX(1,D405)),0), FactorTable!$A$2:$A$301,0), Skills!M12+1)</f>
        <v/>
      </c>
      <c r="F405">
        <f>IF(Skills!N12=TRUE,(Skills!L12/10)*(E405/1000),Skills!L12/10)+Skills!O12</f>
        <v/>
      </c>
      <c r="G405">
        <f>Skills!G12*IF(Skills!H12&gt;0,Skills!I12/Skills!H12,1)</f>
        <v/>
      </c>
      <c r="H405">
        <f>1-(1-Skills!J12/100)^Skills!K12</f>
        <v/>
      </c>
      <c r="I405" t="inlineStr">
        <is>
          <t>1</t>
        </is>
      </c>
      <c r="J405">
        <f>(Inputs!$B$5*(1+Inputs!$B$6/100))*(F405/100)</f>
        <v/>
      </c>
      <c r="K405">
        <f>J405*(1+((Inputs!$B$11*(1+Inputs!$B$12/100))*0.01+Inputs!$B$13*0.0025)/100)*(1+Inputs!$B$14/100)*(1+IF(Inputs!$B$4="pvp",0,(1-Summary!$B$55)*(Inputs!$B$19+0+Skills!P12+((C410=TRUE)*F410*IF(AND(Inputs!$B$4&lt;&gt;"pvp",Inputs!$B$35&gt;0),(((S410-1)*(Skills!T17*(1+Inputs!$B$33/100))+MIN((Skills!T17*(1+Inputs!$B$33/100)),MAX(0,Inputs!$B$35-((S410-1)*Skills!D17))))/Inputs!$B$35),IF(Inputs!$B$4="pvp",MIN((Skills!T17*(1+Inputs!$B$33/100)),15)/15,(Skills!T17*(1+Inputs!$B$33/100))/Skills!D17)))+((C407=TRUE)*IF(Inputs!$B$4="pvp",20,(1-Summary!$B$55)*(20)+Summary!$B$55*(0))*IF(AND(Inputs!$B$4&lt;&gt;"pvp",Inputs!$B$35&gt;0),(((S407-1)*(Skills!T14*(1+Inputs!$B$33/100))+MIN((Skills!T14*(1+Inputs!$B$33/100)),MAX(0,Inputs!$B$35-((S407-1)*Skills!D14))))/Inputs!$B$35),IF(Inputs!$B$4="pvp",MIN((Skills!T14*(1+Inputs!$B$33/100)),15)/15,(Skills!T14*(1+Inputs!$B$33/100))/Skills!D14))))+Summary!$B$55*(Inputs!$B$20+Skills!Q12+((C410=TRUE)*F410*IF(AND(Inputs!$B$4&lt;&gt;"pvp",Inputs!$B$35&gt;0),(((S410-1)*(Skills!T17*(1+Inputs!$B$33/100))+MIN((Skills!T17*(1+Inputs!$B$33/100)),MAX(0,Inputs!$B$35-((S410-1)*Skills!D17))))/Inputs!$B$35),IF(Inputs!$B$4="pvp",MIN((Skills!T17*(1+Inputs!$B$33/100)),15)/15,(Skills!T17*(1+Inputs!$B$33/100))/Skills!D17)))))/100)*(1+Inputs!$B$15/100)*(5000/(6000+Inputs!$B$7*(1-(Inputs!$B$18+0)/100)))*(1+(Inputs!$B$23+((C418=TRUE)*(F418-Calc!F25))+((C419=TRUE)*(F419-Calc!F26))+B428)/100)*(1+0.75*IF(C404=TRUE,F404,0)/100)*(1+(IF(Skills!A12="DARK_IMPALE",Inputs!$B$16+0,Inputs!$B$17+((C416=TRUE)*(F416-Calc!F23))))/100)*((1+(((C406=TRUE)*F406*IF(AND(Inputs!$B$4&lt;&gt;"pvp",Inputs!$B$35&gt;0),(((S406-1)*(Skills!T13*(1+Inputs!$B$33/100))+MIN((Skills!T13*(1+Inputs!$B$33/100)),MAX(0,Inputs!$B$35-((S406-1)*Skills!D13))))/Inputs!$B$35),IF(Inputs!$B$4="pvp",MIN((Skills!T13*(1+Inputs!$B$33/100)),15)/15,(Skills!T13*(1+Inputs!$B$33/100))/Skills!D13)))+((C407=TRUE)*F407*IF(AND(Inputs!$B$4&lt;&gt;"pvp",Inputs!$B$35&gt;0),(((S407-1)*(Skills!T14*(1+Inputs!$B$33/100))+MIN((Skills!T14*(1+Inputs!$B$33/100)),MAX(0,Inputs!$B$35-((S407-1)*Skills!D14))))/Inputs!$B$35),IF(Inputs!$B$4="pvp",MIN((Skills!T14*(1+Inputs!$B$33/100)),15)/15,(Skills!T14*(1+Inputs!$B$33/100))/Skills!D14)))+((C408=TRUE)*F408*IF(AND(Inputs!$B$4&lt;&gt;"pvp",Inputs!$B$35&gt;0),(((S408-1)*(Skills!T15*(1+Inputs!$B$33/100))+MIN((Skills!T15*(1+Inputs!$B$33/100)),MAX(0,Inputs!$B$35-((S408-1)*Skills!D15))))/Inputs!$B$35),IF(Inputs!$B$4="pvp",MIN((Skills!T15*(1+Inputs!$B$33/100)),15)/15,(Skills!T15*(1+Inputs!$B$33/100))/Skills!D15)))+((C409=TRUE)*F409*IF(AND(Inputs!$B$4&lt;&gt;"pvp",Inputs!$B$35&gt;0),(((S409-1)*(Skills!T16*(1+Inputs!$B$33/100))+MIN((Skills!T16*(1+Inputs!$B$33/100)),MAX(0,Inputs!$B$35-((S409-1)*Skills!D16))))/Inputs!$B$35),IF(Inputs!$B$4="pvp",MIN((Skills!T16*(1+Inputs!$B$33/100)),15)/15,(Skills!T16*(1+Inputs!$B$33/100))/Skills!D16)))+0)/100)*I405)</f>
        <v/>
      </c>
      <c r="L405">
        <f>K405*(MIN(Inputs!$B$21+((C415=TRUE)*(F415-Calc!F22)),(Inputs!$B$22+1)+((C417=TRUE)*(F417-Calc!F24)))/100+((Inputs!$B$22+1)+((C417=TRUE)*(F417-Calc!F24)))/100)/2</f>
        <v/>
      </c>
      <c r="M405">
        <f>L405*(1+(Inputs!$B$9+0+B427)/100)</f>
        <v/>
      </c>
      <c r="N405">
        <f>L405*(1-MIN((Inputs!$B$8+0+B422),100)/100)+M405*(MIN((Inputs!$B$8+0+B422),100)/100)</f>
        <v/>
      </c>
      <c r="O405">
        <f>IF(C405,H405*N405*IF(AND(Inputs!$B$4&lt;&gt;"pvp",Inputs!$B$35&gt;0),((Skills!G12*((R405-1)*IF(Skills!H12&gt;0,Skills!I12/Skills!H12,1)+IF(Skills!H12&gt;0,MIN(Skills!I12,MAX(0,Inputs!$B$35-((R405-1)*IF(Inputs!$B$4="pvp",15,MAX(0.1,Skills!D12-IF(Skills!E12=TRUE,Inputs!$B$31,0))))))/Skills!H12,1)))/Inputs!$B$35),G405*Q405)*IF(Inputs!$B$4="pvp",1,(1-Summary!$B$55)*(1)+Summary!$B$55*(MIN(Skills!R12,Inputs!$B$37))),0)</f>
        <v/>
      </c>
      <c r="P405">
        <f>IF(B430=0,0,O405/B430)</f>
        <v/>
      </c>
      <c r="Q405">
        <f>IFERROR(1/IF(Inputs!$B$4="pvp",15,MAX(0.1,Skills!D12-IF(Skills!E12=TRUE,Inputs!$B$31,0))),0)</f>
        <v/>
      </c>
      <c r="R405">
        <f>IF(AND(Inputs!$B$4&lt;&gt;"pvp",Inputs!$B$35&gt;0),(INT(Inputs!$B$35/IF(Inputs!$B$4="pvp",15,MAX(0.1,Skills!D12-IF(Skills!E12=TRUE,Inputs!$B$31,0))))+1),0)</f>
        <v/>
      </c>
      <c r="S405">
        <f>IFERROR(O405/N405,0)</f>
        <v/>
      </c>
    </row>
    <row r="406">
      <c r="A406">
        <f>Skills!A13</f>
        <v/>
      </c>
      <c r="B406">
        <f>Skills!B13</f>
        <v/>
      </c>
      <c r="C406">
        <f>Inputs!$B$3&gt;=69</f>
        <v/>
      </c>
      <c r="D406">
        <f>IF(Skills!C13=1,60+Inputs!$B$24+Inputs!$B$28,IF(Skills!C13=2,90+Inputs!$B$25+Inputs!$B$28,IF(Skills!C13=3,120+Inputs!$B$26+Inputs!$B$28,MAX(0,(Inputs!$B$3-100)*3)+Inputs!$B$27+Inputs!$B$28)))</f>
        <v/>
      </c>
      <c r="E406">
        <f>INDEX(FactorTable!$B$2:$Y$301, MATCH(ROUND(MIN(300,MAX(1,D406)),0), FactorTable!$A$2:$A$301,0), Skills!M13+1)</f>
        <v/>
      </c>
      <c r="F406">
        <f>IF(Skills!N13=TRUE,(Skills!L13/10)*(E406/1000),Skills!L13/10)+Skills!O13</f>
        <v/>
      </c>
      <c r="G406">
        <f>Skills!G13*IF(Skills!H13&gt;0,Skills!I13/Skills!H13,1)</f>
        <v/>
      </c>
      <c r="H406">
        <f>1-(1-Skills!J13/100)^Skills!K13</f>
        <v/>
      </c>
      <c r="I406" t="inlineStr">
        <is>
          <t>1</t>
        </is>
      </c>
      <c r="J406" t="inlineStr"/>
      <c r="K406" t="inlineStr"/>
      <c r="L406" t="inlineStr"/>
      <c r="M406" t="inlineStr"/>
      <c r="N406" t="inlineStr"/>
      <c r="O406" t="n">
        <v>0</v>
      </c>
      <c r="P406">
        <f>IF(B430=0,0,O406/B430)</f>
        <v/>
      </c>
      <c r="Q406">
        <f>IFERROR(1/IF(Inputs!$B$4="pvp",15,MAX(0.1,Skills!D13-IF(Skills!E13=TRUE,Inputs!$B$31,0))),0)</f>
        <v/>
      </c>
      <c r="R406">
        <f>IF(AND(Inputs!$B$4&lt;&gt;"pvp",Inputs!$B$35&gt;0),(INT(Inputs!$B$35/IF(Inputs!$B$4="pvp",15,MAX(0.1,Skills!D13-IF(Skills!E13=TRUE,Inputs!$B$31,0))))+1),0)</f>
        <v/>
      </c>
      <c r="S406">
        <f>IFERROR(O406/N406,0)</f>
        <v/>
      </c>
    </row>
    <row r="407">
      <c r="A407">
        <f>Skills!A14</f>
        <v/>
      </c>
      <c r="B407">
        <f>Skills!B14</f>
        <v/>
      </c>
      <c r="C407">
        <f>Inputs!$B$3&gt;=115</f>
        <v/>
      </c>
      <c r="D407">
        <f>IF(Skills!C14=1,60+Inputs!$B$24+Inputs!$B$28,IF(Skills!C14=2,90+Inputs!$B$25+Inputs!$B$28,IF(Skills!C14=3,120+Inputs!$B$26+Inputs!$B$28,MAX(0,(Inputs!$B$3-100)*3)+Inputs!$B$27+Inputs!$B$28)))</f>
        <v/>
      </c>
      <c r="E407">
        <f>INDEX(FactorTable!$B$2:$Y$301, MATCH(ROUND(MIN(300,MAX(1,D407)),0), FactorTable!$A$2:$A$301,0), Skills!M14+1)</f>
        <v/>
      </c>
      <c r="F407">
        <f>IF(Skills!N14=TRUE,(Skills!L14/10)*(E407/1000),Skills!L14/10)+Skills!O14</f>
        <v/>
      </c>
      <c r="G407">
        <f>Skills!G14*IF(Skills!H14&gt;0,Skills!I14/Skills!H14,1)</f>
        <v/>
      </c>
      <c r="H407">
        <f>1-(1-Skills!J14/100)^Skills!K14</f>
        <v/>
      </c>
      <c r="I407" t="inlineStr">
        <is>
          <t>1</t>
        </is>
      </c>
      <c r="J407" t="inlineStr"/>
      <c r="K407" t="inlineStr"/>
      <c r="L407" t="inlineStr"/>
      <c r="M407" t="inlineStr"/>
      <c r="N407" t="inlineStr"/>
      <c r="O407" t="n">
        <v>0</v>
      </c>
      <c r="P407">
        <f>IF(B430=0,0,O407/B430)</f>
        <v/>
      </c>
      <c r="Q407">
        <f>IFERROR(1/IF(Inputs!$B$4="pvp",15,MAX(0.1,Skills!D14-IF(Skills!E14=TRUE,Inputs!$B$31,0))),0)</f>
        <v/>
      </c>
      <c r="R407">
        <f>IF(AND(Inputs!$B$4&lt;&gt;"pvp",Inputs!$B$35&gt;0),(INT(Inputs!$B$35/IF(Inputs!$B$4="pvp",15,MAX(0.1,Skills!D14-IF(Skills!E14=TRUE,Inputs!$B$31,0))))+1),0)</f>
        <v/>
      </c>
      <c r="S407">
        <f>IFERROR(O407/N407,0)</f>
        <v/>
      </c>
    </row>
    <row r="408">
      <c r="A408">
        <f>Skills!A15</f>
        <v/>
      </c>
      <c r="B408">
        <f>Skills!B15</f>
        <v/>
      </c>
      <c r="C408">
        <f>Inputs!$B$3&gt;=66</f>
        <v/>
      </c>
      <c r="D408">
        <f>IF(Skills!C15=1,60+Inputs!$B$24+Inputs!$B$28,IF(Skills!C15=2,90+Inputs!$B$25+Inputs!$B$28,IF(Skills!C15=3,120+Inputs!$B$26+Inputs!$B$28,MAX(0,(Inputs!$B$3-100)*3)+Inputs!$B$27+Inputs!$B$28)))</f>
        <v/>
      </c>
      <c r="E408">
        <f>INDEX(FactorTable!$B$2:$Y$301, MATCH(ROUND(MIN(300,MAX(1,D408)),0), FactorTable!$A$2:$A$301,0), Skills!M15+1)</f>
        <v/>
      </c>
      <c r="F408">
        <f>IF(Skills!N15=TRUE,(Skills!L15/10)*(E408/1000),Skills!L15/10)+Skills!O15</f>
        <v/>
      </c>
      <c r="G408">
        <f>Skills!G15*IF(Skills!H15&gt;0,Skills!I15/Skills!H15,1)</f>
        <v/>
      </c>
      <c r="H408">
        <f>1-(1-Skills!J15/100)^Skills!K15</f>
        <v/>
      </c>
      <c r="I408" t="inlineStr">
        <is>
          <t>1</t>
        </is>
      </c>
      <c r="J408" t="inlineStr"/>
      <c r="K408" t="inlineStr"/>
      <c r="L408" t="inlineStr"/>
      <c r="M408" t="inlineStr"/>
      <c r="N408" t="inlineStr"/>
      <c r="O408" t="n">
        <v>0</v>
      </c>
      <c r="P408">
        <f>IF(B430=0,0,O408/B430)</f>
        <v/>
      </c>
      <c r="Q408">
        <f>IFERROR(1/IF(Inputs!$B$4="pvp",15,MAX(0.1,Skills!D15-IF(Skills!E15=TRUE,Inputs!$B$31,0))),0)</f>
        <v/>
      </c>
      <c r="R408">
        <f>IF(AND(Inputs!$B$4&lt;&gt;"pvp",Inputs!$B$35&gt;0),(INT(Inputs!$B$35/IF(Inputs!$B$4="pvp",15,MAX(0.1,Skills!D15-IF(Skills!E15=TRUE,Inputs!$B$31,0))))+1),0)</f>
        <v/>
      </c>
      <c r="S408">
        <f>IFERROR(O408/N408,0)</f>
        <v/>
      </c>
    </row>
    <row r="409">
      <c r="A409">
        <f>Skills!A16</f>
        <v/>
      </c>
      <c r="B409">
        <f>Skills!B16</f>
        <v/>
      </c>
      <c r="C409">
        <f>Inputs!$B$3&gt;=45</f>
        <v/>
      </c>
      <c r="D409">
        <f>IF(Skills!C16=1,60+Inputs!$B$24+Inputs!$B$28,IF(Skills!C16=2,90+Inputs!$B$25+Inputs!$B$28,IF(Skills!C16=3,120+Inputs!$B$26+Inputs!$B$28,MAX(0,(Inputs!$B$3-100)*3)+Inputs!$B$27+Inputs!$B$28)))</f>
        <v/>
      </c>
      <c r="E409">
        <f>INDEX(FactorTable!$B$2:$Y$301, MATCH(ROUND(MIN(300,MAX(1,D409)),0), FactorTable!$A$2:$A$301,0), Skills!M16+1)</f>
        <v/>
      </c>
      <c r="F409">
        <f>IF(Skills!N16=TRUE,(Skills!L16/10)*(E409/1000),Skills!L16/10)+Skills!O16</f>
        <v/>
      </c>
      <c r="G409">
        <f>Skills!G16*IF(Skills!H16&gt;0,Skills!I16/Skills!H16,1)</f>
        <v/>
      </c>
      <c r="H409">
        <f>1-(1-Skills!J16/100)^Skills!K16</f>
        <v/>
      </c>
      <c r="I409" t="inlineStr">
        <is>
          <t>1</t>
        </is>
      </c>
      <c r="J409" t="inlineStr"/>
      <c r="K409" t="inlineStr"/>
      <c r="L409" t="inlineStr"/>
      <c r="M409" t="inlineStr"/>
      <c r="N409" t="inlineStr"/>
      <c r="O409" t="n">
        <v>0</v>
      </c>
      <c r="P409">
        <f>IF(B430=0,0,O409/B430)</f>
        <v/>
      </c>
      <c r="Q409">
        <f>IFERROR(1/IF(Inputs!$B$4="pvp",15,MAX(0.1,Skills!D16-IF(Skills!E16=TRUE,Inputs!$B$31,0))),0)</f>
        <v/>
      </c>
      <c r="R409">
        <f>IF(AND(Inputs!$B$4&lt;&gt;"pvp",Inputs!$B$35&gt;0),(INT(Inputs!$B$35/IF(Inputs!$B$4="pvp",15,MAX(0.1,Skills!D16-IF(Skills!E16=TRUE,Inputs!$B$31,0))))+1),0)</f>
        <v/>
      </c>
      <c r="S409">
        <f>IFERROR(O409/N409,0)</f>
        <v/>
      </c>
    </row>
    <row r="410">
      <c r="A410">
        <f>Skills!A17</f>
        <v/>
      </c>
      <c r="B410">
        <f>Skills!B17</f>
        <v/>
      </c>
      <c r="C410">
        <f>Inputs!$B$3&gt;=35</f>
        <v/>
      </c>
      <c r="D410">
        <f>IF(Skills!C17=1,60+Inputs!$B$24+Inputs!$B$28,IF(Skills!C17=2,90+Inputs!$B$25+Inputs!$B$28,IF(Skills!C17=3,120+Inputs!$B$26+Inputs!$B$28,MAX(0,(Inputs!$B$3-100)*3)+Inputs!$B$27+Inputs!$B$28)))</f>
        <v/>
      </c>
      <c r="E410">
        <f>INDEX(FactorTable!$B$2:$Y$301, MATCH(ROUND(MIN(300,MAX(1,D410)),0), FactorTable!$A$2:$A$301,0), Skills!M17+1)</f>
        <v/>
      </c>
      <c r="F410">
        <f>IF(Skills!N17=TRUE,(Skills!L17/10)*(E410/1000),Skills!L17/10)+Skills!O17</f>
        <v/>
      </c>
      <c r="G410">
        <f>Skills!G17*IF(Skills!H17&gt;0,Skills!I17/Skills!H17,1)</f>
        <v/>
      </c>
      <c r="H410">
        <f>1-(1-Skills!J17/100)^Skills!K17</f>
        <v/>
      </c>
      <c r="I410" t="inlineStr">
        <is>
          <t>1</t>
        </is>
      </c>
      <c r="J410" t="inlineStr"/>
      <c r="K410" t="inlineStr"/>
      <c r="L410" t="inlineStr"/>
      <c r="M410" t="inlineStr"/>
      <c r="N410" t="inlineStr"/>
      <c r="O410" t="n">
        <v>0</v>
      </c>
      <c r="P410">
        <f>IF(B430=0,0,O410/B430)</f>
        <v/>
      </c>
      <c r="Q410">
        <f>IFERROR(1/IF(Inputs!$B$4="pvp",15,MAX(0.1,Skills!D17-IF(Skills!E17=TRUE,Inputs!$B$31,0))),0)</f>
        <v/>
      </c>
      <c r="R410">
        <f>IF(AND(Inputs!$B$4&lt;&gt;"pvp",Inputs!$B$35&gt;0),(INT(Inputs!$B$35/IF(Inputs!$B$4="pvp",15,MAX(0.1,Skills!D17-IF(Skills!E17=TRUE,Inputs!$B$31,0))))+1),0)</f>
        <v/>
      </c>
      <c r="S410">
        <f>IFERROR(O410/N410,0)</f>
        <v/>
      </c>
    </row>
    <row r="411">
      <c r="A411">
        <f>Skills!A18</f>
        <v/>
      </c>
      <c r="B411">
        <f>Skills!B18</f>
        <v/>
      </c>
      <c r="C411">
        <f>Inputs!$B$3&gt;=72</f>
        <v/>
      </c>
      <c r="D411">
        <f>IF(Skills!C18=1,60+Inputs!$B$24+Inputs!$B$28,IF(Skills!C18=2,90+Inputs!$B$25+Inputs!$B$28,IF(Skills!C18=3,120+Inputs!$B$26+Inputs!$B$28,MAX(0,(Inputs!$B$3-100)*3)+Inputs!$B$27+Inputs!$B$28)))</f>
        <v/>
      </c>
      <c r="E411">
        <f>INDEX(FactorTable!$B$2:$Y$301, MATCH(ROUND(MIN(300,MAX(1,D411)),0), FactorTable!$A$2:$A$301,0), Skills!M18+1)</f>
        <v/>
      </c>
      <c r="F411">
        <f>IF(Skills!N18=TRUE,(Skills!L18/10)*(E411/1000),Skills!L18/10)+Skills!O18</f>
        <v/>
      </c>
      <c r="G411">
        <f>Skills!G18*IF(Skills!H18&gt;0,Skills!I18/Skills!H18,1)</f>
        <v/>
      </c>
      <c r="H411">
        <f>1-(1-Skills!J18/100)^Skills!K18</f>
        <v/>
      </c>
      <c r="I411" t="inlineStr">
        <is>
          <t>1</t>
        </is>
      </c>
      <c r="J411" t="inlineStr"/>
      <c r="K411" t="inlineStr"/>
      <c r="L411" t="inlineStr"/>
      <c r="M411" t="inlineStr"/>
      <c r="N411" t="inlineStr"/>
      <c r="O411" t="n">
        <v>0</v>
      </c>
      <c r="P411">
        <f>IF(B430=0,0,O411/B430)</f>
        <v/>
      </c>
      <c r="Q411">
        <f>IFERROR(1/IF(Inputs!$B$4="pvp",15,MAX(0.1,Skills!D18-IF(Skills!E18=TRUE,Inputs!$B$31,0))),0)</f>
        <v/>
      </c>
      <c r="R411">
        <f>IF(AND(Inputs!$B$4&lt;&gt;"pvp",Inputs!$B$35&gt;0),(INT(Inputs!$B$35/IF(Inputs!$B$4="pvp",15,MAX(0.1,Skills!D18-IF(Skills!E18=TRUE,Inputs!$B$31,0))))+1),0)</f>
        <v/>
      </c>
      <c r="S411">
        <f>IFERROR(O411/N411,0)</f>
        <v/>
      </c>
    </row>
    <row r="412">
      <c r="A412">
        <f>Skills!A19</f>
        <v/>
      </c>
      <c r="B412">
        <f>Skills!B19</f>
        <v/>
      </c>
      <c r="C412">
        <f>Inputs!$B$3&gt;=72</f>
        <v/>
      </c>
      <c r="D412">
        <f>IF(Skills!C19=1,60+Inputs!$B$24+Inputs!$B$28,IF(Skills!C19=2,90+Inputs!$B$25+Inputs!$B$28,IF(Skills!C19=3,120+Inputs!$B$26+Inputs!$B$28,MAX(0,(Inputs!$B$3-100)*3)+Inputs!$B$27+Inputs!$B$28)))</f>
        <v/>
      </c>
      <c r="E412">
        <f>INDEX(FactorTable!$B$2:$Y$301, MATCH(ROUND(MIN(300,MAX(1,D412)),0), FactorTable!$A$2:$A$301,0), Skills!M19+1)</f>
        <v/>
      </c>
      <c r="F412">
        <f>IF(Skills!N19=TRUE,(Skills!L19/10)*(E412/1000),Skills!L19/10)+Skills!O19</f>
        <v/>
      </c>
      <c r="G412">
        <f>Skills!G19*IF(Skills!H19&gt;0,Skills!I19/Skills!H19,1)</f>
        <v/>
      </c>
      <c r="H412">
        <f>1-(1-Skills!J19/100)^Skills!K19</f>
        <v/>
      </c>
      <c r="I412" t="inlineStr">
        <is>
          <t>1</t>
        </is>
      </c>
      <c r="J412" t="inlineStr"/>
      <c r="K412" t="inlineStr"/>
      <c r="L412" t="inlineStr"/>
      <c r="M412" t="inlineStr"/>
      <c r="N412" t="inlineStr"/>
      <c r="O412" t="n">
        <v>0</v>
      </c>
      <c r="P412">
        <f>IF(B430=0,0,O412/B430)</f>
        <v/>
      </c>
      <c r="Q412">
        <f>IFERROR(1/IF(Inputs!$B$4="pvp",15,MAX(0.1,Skills!D19-IF(Skills!E19=TRUE,Inputs!$B$31,0))),0)</f>
        <v/>
      </c>
      <c r="R412">
        <f>IF(AND(Inputs!$B$4&lt;&gt;"pvp",Inputs!$B$35&gt;0),(INT(Inputs!$B$35/IF(Inputs!$B$4="pvp",15,MAX(0.1,Skills!D19-IF(Skills!E19=TRUE,Inputs!$B$31,0))))+1),0)</f>
        <v/>
      </c>
      <c r="S412">
        <f>IFERROR(O412/N412,0)</f>
        <v/>
      </c>
    </row>
    <row r="413">
      <c r="A413">
        <f>Skills!A20</f>
        <v/>
      </c>
      <c r="B413">
        <f>Skills!B20</f>
        <v/>
      </c>
      <c r="C413">
        <f>TRUE</f>
        <v/>
      </c>
      <c r="D413">
        <f>IF(Skills!C20=1,60+Inputs!$B$24+Inputs!$B$28,IF(Skills!C20=2,90+Inputs!$B$25+Inputs!$B$28,IF(Skills!C20=3,120+Inputs!$B$26+Inputs!$B$28,MAX(0,(Inputs!$B$3-100)*3)+Inputs!$B$27+Inputs!$B$28)))</f>
        <v/>
      </c>
      <c r="E413">
        <f>INDEX(FactorTable!$B$2:$Y$301, MATCH(ROUND(MIN(300,MAX(1,D413)),0), FactorTable!$A$2:$A$301,0), Skills!M20+1)</f>
        <v/>
      </c>
      <c r="F413">
        <f>IF(Skills!N20=TRUE,(Skills!L20/10)*(E413/1000),Skills!L20/10)+Skills!O20</f>
        <v/>
      </c>
      <c r="G413">
        <f>Skills!G20*IF(Skills!H20&gt;0,Skills!I20/Skills!H20,1)</f>
        <v/>
      </c>
      <c r="H413">
        <f>1-(1-Skills!J20/100)^Skills!K20</f>
        <v/>
      </c>
      <c r="I413" t="inlineStr">
        <is>
          <t>1</t>
        </is>
      </c>
      <c r="J413" t="inlineStr"/>
      <c r="K413" t="inlineStr"/>
      <c r="L413" t="inlineStr"/>
      <c r="M413" t="inlineStr"/>
      <c r="N413" t="inlineStr"/>
      <c r="O413" t="n">
        <v>0</v>
      </c>
      <c r="P413">
        <f>IF(B430=0,0,O413/B430)</f>
        <v/>
      </c>
      <c r="Q413">
        <f>IFERROR(1/IF(Inputs!$B$4="pvp",15,MAX(0.1,Skills!D20-IF(Skills!E20=TRUE,Inputs!$B$31,0))),0)</f>
        <v/>
      </c>
      <c r="R413">
        <f>IF(AND(Inputs!$B$4&lt;&gt;"pvp",Inputs!$B$35&gt;0),(INT(Inputs!$B$35/IF(Inputs!$B$4="pvp",15,MAX(0.1,Skills!D20-IF(Skills!E20=TRUE,Inputs!$B$31,0))))+1),0)</f>
        <v/>
      </c>
      <c r="S413">
        <f>IFERROR(O413/N413,0)</f>
        <v/>
      </c>
    </row>
    <row r="414">
      <c r="A414">
        <f>Skills!A21</f>
        <v/>
      </c>
      <c r="B414">
        <f>Skills!B21</f>
        <v/>
      </c>
      <c r="C414">
        <f>Inputs!$B$3&gt;=33</f>
        <v/>
      </c>
      <c r="D414">
        <f>IF(Skills!C21=1,60+Inputs!$B$24+Inputs!$B$28,IF(Skills!C21=2,90+Inputs!$B$25+Inputs!$B$28,IF(Skills!C21=3,120+Inputs!$B$26+Inputs!$B$28,MAX(0,(Inputs!$B$3-100)*3)+Inputs!$B$27+Inputs!$B$28)))</f>
        <v/>
      </c>
      <c r="E414">
        <f>INDEX(FactorTable!$B$2:$Y$301, MATCH(ROUND(MIN(300,MAX(1,D414)),0), FactorTable!$A$2:$A$301,0), Skills!M21+1)</f>
        <v/>
      </c>
      <c r="F414">
        <f>IF(Skills!N21=TRUE,(Skills!L21/10)*(E414/1000),Skills!L21/10)+Skills!O21</f>
        <v/>
      </c>
      <c r="G414">
        <f>Skills!G21*IF(Skills!H21&gt;0,Skills!I21/Skills!H21,1)</f>
        <v/>
      </c>
      <c r="H414">
        <f>1-(1-Skills!J21/100)^Skills!K21</f>
        <v/>
      </c>
      <c r="I414" t="inlineStr">
        <is>
          <t>1</t>
        </is>
      </c>
      <c r="J414" t="inlineStr"/>
      <c r="K414" t="inlineStr"/>
      <c r="L414" t="inlineStr"/>
      <c r="M414" t="inlineStr"/>
      <c r="N414" t="inlineStr"/>
      <c r="O414" t="n">
        <v>0</v>
      </c>
      <c r="P414">
        <f>IF(B430=0,0,O414/B430)</f>
        <v/>
      </c>
      <c r="Q414" t="n">
        <v>0</v>
      </c>
      <c r="R414" t="n">
        <v>0</v>
      </c>
      <c r="S414">
        <f>IFERROR(O414/N414,0)</f>
        <v/>
      </c>
    </row>
    <row r="415">
      <c r="A415">
        <f>Skills!A22</f>
        <v/>
      </c>
      <c r="B415">
        <f>Skills!B22</f>
        <v/>
      </c>
      <c r="C415">
        <f>Inputs!$B$3&gt;=43</f>
        <v/>
      </c>
      <c r="D415">
        <f>IF(Skills!C22=1,60+Inputs!$B$24+Inputs!$B$28,IF(Skills!C22=2,90+Inputs!$B$25+Inputs!$B$28,IF(Skills!C22=3,120+Inputs!$B$26+Inputs!$B$28,MAX(0,(Inputs!$B$3-100)*3)+Inputs!$B$27+Inputs!$B$28)))</f>
        <v/>
      </c>
      <c r="E415">
        <f>INDEX(FactorTable!$B$2:$Y$301, MATCH(ROUND(MIN(300,MAX(1,D415)),0), FactorTable!$A$2:$A$301,0), Skills!M22+1)</f>
        <v/>
      </c>
      <c r="F415">
        <f>IF(Skills!N22=TRUE,(Skills!L22/10)*(E415/1000),Skills!L22/10)+Skills!O22</f>
        <v/>
      </c>
      <c r="G415">
        <f>Skills!G22*IF(Skills!H22&gt;0,Skills!I22/Skills!H22,1)</f>
        <v/>
      </c>
      <c r="H415">
        <f>1-(1-Skills!J22/100)^Skills!K22</f>
        <v/>
      </c>
      <c r="I415" t="inlineStr">
        <is>
          <t>1</t>
        </is>
      </c>
      <c r="J415" t="inlineStr"/>
      <c r="K415" t="inlineStr"/>
      <c r="L415" t="inlineStr"/>
      <c r="M415" t="inlineStr"/>
      <c r="N415" t="inlineStr"/>
      <c r="O415" t="n">
        <v>0</v>
      </c>
      <c r="P415">
        <f>IF(B430=0,0,O415/B430)</f>
        <v/>
      </c>
      <c r="Q415" t="n">
        <v>0</v>
      </c>
      <c r="R415" t="n">
        <v>0</v>
      </c>
      <c r="S415">
        <f>IFERROR(O415/N415,0)</f>
        <v/>
      </c>
    </row>
    <row r="416">
      <c r="A416">
        <f>Skills!A23</f>
        <v/>
      </c>
      <c r="B416">
        <f>Skills!B23</f>
        <v/>
      </c>
      <c r="C416">
        <f>Inputs!$B$3&gt;=120</f>
        <v/>
      </c>
      <c r="D416">
        <f>IF(Skills!C23=1,60+Inputs!$B$24+Inputs!$B$28,IF(Skills!C23=2,90+Inputs!$B$25+Inputs!$B$28,IF(Skills!C23=3,120+Inputs!$B$26+Inputs!$B$28,MAX(0,(Inputs!$B$3-100)*3)+Inputs!$B$27+Inputs!$B$28)))</f>
        <v/>
      </c>
      <c r="E416">
        <f>INDEX(FactorTable!$B$2:$Y$301, MATCH(ROUND(MIN(300,MAX(1,D416)),0), FactorTable!$A$2:$A$301,0), Skills!M23+1)</f>
        <v/>
      </c>
      <c r="F416">
        <f>IF(Skills!N23=TRUE,(Skills!L23/10)*(E416/1000),Skills!L23/10)+Skills!O23</f>
        <v/>
      </c>
      <c r="G416">
        <f>Skills!G23*IF(Skills!H23&gt;0,Skills!I23/Skills!H23,1)</f>
        <v/>
      </c>
      <c r="H416">
        <f>1-(1-Skills!J23/100)^Skills!K23</f>
        <v/>
      </c>
      <c r="I416" t="inlineStr">
        <is>
          <t>1</t>
        </is>
      </c>
      <c r="J416" t="inlineStr"/>
      <c r="K416" t="inlineStr"/>
      <c r="L416" t="inlineStr"/>
      <c r="M416" t="inlineStr"/>
      <c r="N416" t="inlineStr"/>
      <c r="O416" t="n">
        <v>0</v>
      </c>
      <c r="P416">
        <f>IF(B430=0,0,O416/B430)</f>
        <v/>
      </c>
      <c r="Q416" t="n">
        <v>0</v>
      </c>
      <c r="R416" t="n">
        <v>0</v>
      </c>
      <c r="S416">
        <f>IFERROR(O416/N416,0)</f>
        <v/>
      </c>
    </row>
    <row r="417">
      <c r="A417">
        <f>Skills!A24</f>
        <v/>
      </c>
      <c r="B417">
        <f>Skills!B24</f>
        <v/>
      </c>
      <c r="C417">
        <f>Inputs!$B$3&gt;=120</f>
        <v/>
      </c>
      <c r="D417">
        <f>IF(Skills!C24=1,60+Inputs!$B$24+Inputs!$B$28,IF(Skills!C24=2,90+Inputs!$B$25+Inputs!$B$28,IF(Skills!C24=3,120+Inputs!$B$26+Inputs!$B$28,MAX(0,(Inputs!$B$3-100)*3)+Inputs!$B$27+Inputs!$B$28)))</f>
        <v/>
      </c>
      <c r="E417">
        <f>INDEX(FactorTable!$B$2:$Y$301, MATCH(ROUND(MIN(300,MAX(1,D417)),0), FactorTable!$A$2:$A$301,0), Skills!M24+1)</f>
        <v/>
      </c>
      <c r="F417">
        <f>IF(Skills!N24=TRUE,(Skills!L24/10)*(E417/1000),Skills!L24/10)+Skills!O24</f>
        <v/>
      </c>
      <c r="G417">
        <f>Skills!G24*IF(Skills!H24&gt;0,Skills!I24/Skills!H24,1)</f>
        <v/>
      </c>
      <c r="H417">
        <f>1-(1-Skills!J24/100)^Skills!K24</f>
        <v/>
      </c>
      <c r="I417" t="inlineStr">
        <is>
          <t>1</t>
        </is>
      </c>
      <c r="J417" t="inlineStr"/>
      <c r="K417" t="inlineStr"/>
      <c r="L417" t="inlineStr"/>
      <c r="M417" t="inlineStr"/>
      <c r="N417" t="inlineStr"/>
      <c r="O417" t="n">
        <v>0</v>
      </c>
      <c r="P417">
        <f>IF(B430=0,0,O417/B430)</f>
        <v/>
      </c>
      <c r="Q417" t="n">
        <v>0</v>
      </c>
      <c r="R417" t="n">
        <v>0</v>
      </c>
      <c r="S417">
        <f>IFERROR(O417/N417,0)</f>
        <v/>
      </c>
    </row>
    <row r="418">
      <c r="A418">
        <f>Skills!A25</f>
        <v/>
      </c>
      <c r="B418">
        <f>Skills!B25</f>
        <v/>
      </c>
      <c r="C418">
        <f>Inputs!$B$3&gt;=125</f>
        <v/>
      </c>
      <c r="D418">
        <f>IF(Skills!C25=1,60+Inputs!$B$24+Inputs!$B$28,IF(Skills!C25=2,90+Inputs!$B$25+Inputs!$B$28,IF(Skills!C25=3,120+Inputs!$B$26+Inputs!$B$28,MAX(0,(Inputs!$B$3-100)*3)+Inputs!$B$27+Inputs!$B$28)))</f>
        <v/>
      </c>
      <c r="E418">
        <f>INDEX(FactorTable!$B$2:$Y$301, MATCH(ROUND(MIN(300,MAX(1,D418)),0), FactorTable!$A$2:$A$301,0), Skills!M25+1)</f>
        <v/>
      </c>
      <c r="F418">
        <f>IF(Skills!N25=TRUE,(Skills!L25/10)*(E418/1000),Skills!L25/10)+Skills!O25</f>
        <v/>
      </c>
      <c r="G418">
        <f>Skills!G25*IF(Skills!H25&gt;0,Skills!I25/Skills!H25,1)</f>
        <v/>
      </c>
      <c r="H418">
        <f>1-(1-Skills!J25/100)^Skills!K25</f>
        <v/>
      </c>
      <c r="I418" t="inlineStr">
        <is>
          <t>1</t>
        </is>
      </c>
      <c r="J418" t="inlineStr"/>
      <c r="K418" t="inlineStr"/>
      <c r="L418" t="inlineStr"/>
      <c r="M418" t="inlineStr"/>
      <c r="N418" t="inlineStr"/>
      <c r="O418" t="n">
        <v>0</v>
      </c>
      <c r="P418">
        <f>IF(B430=0,0,O418/B430)</f>
        <v/>
      </c>
      <c r="Q418" t="n">
        <v>0</v>
      </c>
      <c r="R418" t="n">
        <v>0</v>
      </c>
      <c r="S418">
        <f>IFERROR(O418/N418,0)</f>
        <v/>
      </c>
    </row>
    <row r="419">
      <c r="A419">
        <f>Skills!A26</f>
        <v/>
      </c>
      <c r="B419">
        <f>Skills!B26</f>
        <v/>
      </c>
      <c r="C419">
        <f>Inputs!$B$3&gt;=107</f>
        <v/>
      </c>
      <c r="D419">
        <f>IF(Skills!C26=1,60+Inputs!$B$24+Inputs!$B$28,IF(Skills!C26=2,90+Inputs!$B$25+Inputs!$B$28,IF(Skills!C26=3,120+Inputs!$B$26+Inputs!$B$28,MAX(0,(Inputs!$B$3-100)*3)+Inputs!$B$27+Inputs!$B$28)))</f>
        <v/>
      </c>
      <c r="E419">
        <f>INDEX(FactorTable!$B$2:$Y$301, MATCH(ROUND(MIN(300,MAX(1,D419)),0), FactorTable!$A$2:$A$301,0), Skills!M26+1)</f>
        <v/>
      </c>
      <c r="F419">
        <f>IF(Skills!N26=TRUE,(Skills!L26/10)*(E419/1000),Skills!L26/10)+Skills!O26</f>
        <v/>
      </c>
      <c r="G419">
        <f>Skills!G26*IF(Skills!H26&gt;0,Skills!I26/Skills!H26,1)</f>
        <v/>
      </c>
      <c r="H419">
        <f>1-(1-Skills!J26/100)^Skills!K26</f>
        <v/>
      </c>
      <c r="I419" t="inlineStr">
        <is>
          <t>1</t>
        </is>
      </c>
      <c r="J419" t="inlineStr"/>
      <c r="K419" t="inlineStr"/>
      <c r="L419" t="inlineStr"/>
      <c r="M419" t="inlineStr"/>
      <c r="N419" t="inlineStr"/>
      <c r="O419" t="n">
        <v>0</v>
      </c>
      <c r="P419">
        <f>IF(B430=0,0,O419/B430)</f>
        <v/>
      </c>
      <c r="Q419" t="n">
        <v>0</v>
      </c>
      <c r="R419" t="n">
        <v>0</v>
      </c>
      <c r="S419">
        <f>IFERROR(O419/N419,0)</f>
        <v/>
      </c>
    </row>
    <row r="421">
      <c r="A421" t="inlineStr">
        <is>
          <t>Attack% Bucket Multiplier</t>
        </is>
      </c>
      <c r="B421">
        <f>(1+(((C406=TRUE)*F406*IF(AND(Inputs!$B$4&lt;&gt;"pvp",Inputs!$B$35&gt;0),(((S406-1)*(Skills!T13*(1+Inputs!$B$33/100))+MIN((Skills!T13*(1+Inputs!$B$33/100)),MAX(0,Inputs!$B$35-((S406-1)*Skills!D13))))/Inputs!$B$35),IF(Inputs!$B$4="pvp",MIN((Skills!T13*(1+Inputs!$B$33/100)),15)/15,(Skills!T13*(1+Inputs!$B$33/100))/Skills!D13)))+((C407=TRUE)*F407*IF(AND(Inputs!$B$4&lt;&gt;"pvp",Inputs!$B$35&gt;0),(((S407-1)*(Skills!T14*(1+Inputs!$B$33/100))+MIN((Skills!T14*(1+Inputs!$B$33/100)),MAX(0,Inputs!$B$35-((S407-1)*Skills!D14))))/Inputs!$B$35),IF(Inputs!$B$4="pvp",MIN((Skills!T14*(1+Inputs!$B$33/100)),15)/15,(Skills!T14*(1+Inputs!$B$33/100))/Skills!D14)))+((C408=TRUE)*F408*IF(AND(Inputs!$B$4&lt;&gt;"pvp",Inputs!$B$35&gt;0),(((S408-1)*(Skills!T15*(1+Inputs!$B$33/100))+MIN((Skills!T15*(1+Inputs!$B$33/100)),MAX(0,Inputs!$B$35-((S408-1)*Skills!D15))))/Inputs!$B$35),IF(Inputs!$B$4="pvp",MIN((Skills!T15*(1+Inputs!$B$33/100)),15)/15,(Skills!T15*(1+Inputs!$B$33/100))/Skills!D15)))+((C409=TRUE)*F409*IF(AND(Inputs!$B$4&lt;&gt;"pvp",Inputs!$B$35&gt;0),(((S409-1)*(Skills!T16*(1+Inputs!$B$33/100))+MIN((Skills!T16*(1+Inputs!$B$33/100)),MAX(0,Inputs!$B$35-((S409-1)*Skills!D16))))/Inputs!$B$35),IF(Inputs!$B$4="pvp",MIN((Skills!T16*(1+Inputs!$B$33/100)),15)/15,(Skills!T16*(1+Inputs!$B$33/100))/Skills!D16)))+0)/100)</f>
        <v/>
      </c>
    </row>
    <row r="422">
      <c r="A422" t="inlineStr">
        <is>
          <t>Global Crit Rate Bonus % (Lord of Darkness)</t>
        </is>
      </c>
      <c r="B422">
        <f>((C411=TRUE)*F411*(Skills!J18/100)*IF(AND(Inputs!$B$4&lt;&gt;"pvp",Inputs!$B$35&gt;0),(((S411-1)*(Skills!T18*(1+Inputs!$B$33/100))+MIN((Skills!T18*(1+Inputs!$B$33/100)),MAX(0,Inputs!$B$35-((S411-1)*Skills!D18))))/Inputs!$B$35),IF(Inputs!$B$4="pvp",MIN((Skills!T18*(1+Inputs!$B$33/100)),15)/15,(Skills!T18*(1+Inputs!$B$33/100))/Skills!D18)))</f>
        <v/>
      </c>
    </row>
    <row r="423">
      <c r="A423" t="inlineStr">
        <is>
          <t>Attack Speed Buff Bonus %</t>
        </is>
      </c>
      <c r="B423">
        <f>((C413=TRUE)*F413*IF(AND(Inputs!$B$4&lt;&gt;"pvp",Inputs!$B$35&gt;0),(((S413-1)*(Skills!T20*(1+Inputs!$B$33/100))+MIN((Skills!T20*(1+Inputs!$B$33/100)),MAX(0,Inputs!$B$35-((S413-1)*Skills!D20))))/Inputs!$B$35),IF(Inputs!$B$4="pvp",MIN((Skills!T20*(1+Inputs!$B$33/100)),15)/15,(Skills!T20*(1+Inputs!$B$33/100))/Skills!D20)))</f>
        <v/>
      </c>
    </row>
    <row r="424">
      <c r="A424" t="inlineStr">
        <is>
          <t>Actions Per Second</t>
        </is>
      </c>
      <c r="B424">
        <f>1+MIN(150,150*(1-(1-(Inputs!$B$10+((C414=TRUE)*(F414-Calc!F21)))/150)*(1-B423/150)))/100</f>
        <v/>
      </c>
    </row>
    <row r="425">
      <c r="A425" t="inlineStr">
        <is>
          <t>Skill + Buff Cast Rate</t>
        </is>
      </c>
      <c r="B425">
        <f>IF(AND(Inputs!$B$4&lt;&gt;"pvp",Inputs!$B$35&gt;0),SUMPRODUCT((Skills!E2:E26=TRUE)*(C395:C419=TRUE)*R395:R419*Skills!F2:F26)/Inputs!$B$35,SUMPRODUCT((Skills!E2:E26=TRUE)*(C395:C419=TRUE)*Q395:Q419*Skills!F2:F26))</f>
        <v/>
      </c>
    </row>
    <row r="426">
      <c r="A426" t="inlineStr">
        <is>
          <t>Dark Impale Casts Per Second</t>
        </is>
      </c>
      <c r="B426">
        <f>MAX(0,B424-B425)</f>
        <v/>
      </c>
    </row>
    <row r="427">
      <c r="A427" t="inlineStr">
        <is>
          <t>Global Critical Damage Bonus % (Lord of Darkness)</t>
        </is>
      </c>
      <c r="B427">
        <f>((C412=TRUE)*F412*(Skills!J19/100)*IF(AND(Inputs!$B$4&lt;&gt;"pvp",Inputs!$B$35&gt;0),(((S412-1)*(Skills!T19*(1+Inputs!$B$33/100))+MIN((Skills!T19*(1+Inputs!$B$33/100)),MAX(0,Inputs!$B$35-((S412-1)*Skills!D19))))/Inputs!$B$35),IF(Inputs!$B$4="pvp",MIN((Skills!T19*(1+Inputs!$B$33/100)),15)/15,(Skills!T19*(1+Inputs!$B$33/100))/Skills!D19)))</f>
        <v/>
      </c>
    </row>
    <row r="428">
      <c r="A428" t="inlineStr">
        <is>
          <t>Global Final Damage Bonus % (unused)</t>
        </is>
      </c>
      <c r="B428" t="n">
        <v>0</v>
      </c>
    </row>
    <row r="430">
      <c r="A430" s="5" t="inlineStr">
        <is>
          <t>TOTAL DPS</t>
        </is>
      </c>
      <c r="B430" s="5">
        <f>SUM(O395:O419)</f>
        <v/>
      </c>
    </row>
    <row r="433">
      <c r="A433" s="5" t="inlineStr">
        <is>
          <t>Stat: CRIT_RATE %</t>
        </is>
      </c>
    </row>
    <row r="434">
      <c r="A434" s="8" t="inlineStr">
        <is>
          <t>Key</t>
        </is>
      </c>
      <c r="B434" s="8" t="inlineStr">
        <is>
          <t>Name</t>
        </is>
      </c>
      <c r="C434" s="8" t="inlineStr">
        <is>
          <t>Unlocked</t>
        </is>
      </c>
      <c r="D434" s="8" t="inlineStr">
        <is>
          <t>InputLevel</t>
        </is>
      </c>
      <c r="E434" s="8" t="inlineStr">
        <is>
          <t>Factor</t>
        </is>
      </c>
      <c r="F434" s="8" t="inlineStr">
        <is>
          <t>CoefficientPercent</t>
        </is>
      </c>
      <c r="G434" s="8" t="inlineStr">
        <is>
          <t>EffectiveHits</t>
        </is>
      </c>
      <c r="H434" s="8" t="inlineStr">
        <is>
          <t>ProcProbability</t>
        </is>
      </c>
      <c r="I434" s="8" t="inlineStr">
        <is>
          <t>MapleHeroMultiplier</t>
        </is>
      </c>
      <c r="J434" s="8" t="inlineStr">
        <is>
          <t>BaseDamage</t>
        </is>
      </c>
      <c r="K434" s="8" t="inlineStr">
        <is>
          <t>BaseHitDamage</t>
        </is>
      </c>
      <c r="L434" s="8" t="inlineStr">
        <is>
          <t>NonCritAvg</t>
        </is>
      </c>
      <c r="M434" s="8" t="inlineStr">
        <is>
          <t>CritAvg</t>
        </is>
      </c>
      <c r="N434" s="8" t="inlineStr">
        <is>
          <t>ExpectedDamage(perHit)</t>
        </is>
      </c>
      <c r="O434" s="8" t="inlineStr">
        <is>
          <t>DPS</t>
        </is>
      </c>
      <c r="P434" s="8" t="inlineStr">
        <is>
          <t>% of Total</t>
        </is>
      </c>
      <c r="Q434" s="8" t="inlineStr">
        <is>
          <t>InvCooldown</t>
        </is>
      </c>
      <c r="R434" s="8" t="inlineStr">
        <is>
          <t>CastsInFight</t>
        </is>
      </c>
      <c r="S434" s="8" t="inlineStr">
        <is>
          <t>HitRate(perSec)</t>
        </is>
      </c>
      <c r="U434" t="inlineStr">
        <is>
          <t>helpers</t>
        </is>
      </c>
    </row>
    <row r="435">
      <c r="A435">
        <f>Skills!A2</f>
        <v/>
      </c>
      <c r="B435">
        <f>Skills!B2</f>
        <v/>
      </c>
      <c r="C435">
        <f>Inputs!$B$3&gt;=100</f>
        <v/>
      </c>
      <c r="D435" t="inlineStr"/>
      <c r="E435" t="inlineStr"/>
      <c r="F435">
        <f>U437+Skills!O2</f>
        <v/>
      </c>
      <c r="G435">
        <f>Skills!G2*IF(Skills!H2&gt;0,Skills!I2/Skills!H2,1)</f>
        <v/>
      </c>
      <c r="H435">
        <f>1-(1-Skills!J2/100)^Skills!K2</f>
        <v/>
      </c>
      <c r="I435" t="inlineStr">
        <is>
          <t>1</t>
        </is>
      </c>
      <c r="J435">
        <f>(Inputs!$B$5*(1+Inputs!$B$6/100))*(F435/100)</f>
        <v/>
      </c>
      <c r="K435">
        <f>J435*(1+((Inputs!$B$11*(1+Inputs!$B$12/100))*0.01+Inputs!$B$13*0.0025)/100)*(1+Inputs!$B$14/100)*(1+IF(Inputs!$B$4="pvp",0,(1-Summary!$B$55)*(Inputs!$B$19+0+Skills!P2+((C450=TRUE)*F450*IF(AND(Inputs!$B$4&lt;&gt;"pvp",Inputs!$B$35&gt;0),(((S450-1)*(Skills!T17*(1+Inputs!$B$33/100))+MIN((Skills!T17*(1+Inputs!$B$33/100)),MAX(0,Inputs!$B$35-((S450-1)*Skills!D17))))/Inputs!$B$35),IF(Inputs!$B$4="pvp",MIN((Skills!T17*(1+Inputs!$B$33/100)),15)/15,(Skills!T17*(1+Inputs!$B$33/100))/Skills!D17)))+((C447=TRUE)*IF(Inputs!$B$4="pvp",20,(1-Summary!$B$55)*(20)+Summary!$B$55*(0))*IF(AND(Inputs!$B$4&lt;&gt;"pvp",Inputs!$B$35&gt;0),(((S447-1)*(Skills!T14*(1+Inputs!$B$33/100))+MIN((Skills!T14*(1+Inputs!$B$33/100)),MAX(0,Inputs!$B$35-((S447-1)*Skills!D14))))/Inputs!$B$35),IF(Inputs!$B$4="pvp",MIN((Skills!T14*(1+Inputs!$B$33/100)),15)/15,(Skills!T14*(1+Inputs!$B$33/100))/Skills!D14))))+Summary!$B$55*(Inputs!$B$20+Skills!Q2+((C450=TRUE)*F450*IF(AND(Inputs!$B$4&lt;&gt;"pvp",Inputs!$B$35&gt;0),(((S450-1)*(Skills!T17*(1+Inputs!$B$33/100))+MIN((Skills!T17*(1+Inputs!$B$33/100)),MAX(0,Inputs!$B$35-((S450-1)*Skills!D17))))/Inputs!$B$35),IF(Inputs!$B$4="pvp",MIN((Skills!T17*(1+Inputs!$B$33/100)),15)/15,(Skills!T17*(1+Inputs!$B$33/100))/Skills!D17)))))/100)*(1+Inputs!$B$15/100)*(5000/(6000+Inputs!$B$7*(1-(Inputs!$B$18+0)/100)))*(1+(Inputs!$B$23+((C458=TRUE)*(F458-Calc!F25))+((C459=TRUE)*(F459-Calc!F26))+B468)/100)*(1+(IF(Skills!A2="DARK_IMPALE",Inputs!$B$16+0,Inputs!$B$17+((C456=TRUE)*(F456-Calc!F23))))/100)*((1+(((C446=TRUE)*F446*IF(AND(Inputs!$B$4&lt;&gt;"pvp",Inputs!$B$35&gt;0),(((S446-1)*(Skills!T13*(1+Inputs!$B$33/100))+MIN((Skills!T13*(1+Inputs!$B$33/100)),MAX(0,Inputs!$B$35-((S446-1)*Skills!D13))))/Inputs!$B$35),IF(Inputs!$B$4="pvp",MIN((Skills!T13*(1+Inputs!$B$33/100)),15)/15,(Skills!T13*(1+Inputs!$B$33/100))/Skills!D13)))+((C447=TRUE)*F447*IF(AND(Inputs!$B$4&lt;&gt;"pvp",Inputs!$B$35&gt;0),(((S447-1)*(Skills!T14*(1+Inputs!$B$33/100))+MIN((Skills!T14*(1+Inputs!$B$33/100)),MAX(0,Inputs!$B$35-((S447-1)*Skills!D14))))/Inputs!$B$35),IF(Inputs!$B$4="pvp",MIN((Skills!T14*(1+Inputs!$B$33/100)),15)/15,(Skills!T14*(1+Inputs!$B$33/100))/Skills!D14)))+((C448=TRUE)*F448*IF(AND(Inputs!$B$4&lt;&gt;"pvp",Inputs!$B$35&gt;0),(((S448-1)*(Skills!T15*(1+Inputs!$B$33/100))+MIN((Skills!T15*(1+Inputs!$B$33/100)),MAX(0,Inputs!$B$35-((S448-1)*Skills!D15))))/Inputs!$B$35),IF(Inputs!$B$4="pvp",MIN((Skills!T15*(1+Inputs!$B$33/100)),15)/15,(Skills!T15*(1+Inputs!$B$33/100))/Skills!D15)))+((C449=TRUE)*F449*IF(AND(Inputs!$B$4&lt;&gt;"pvp",Inputs!$B$35&gt;0),(((S449-1)*(Skills!T16*(1+Inputs!$B$33/100))+MIN((Skills!T16*(1+Inputs!$B$33/100)),MAX(0,Inputs!$B$35-((S449-1)*Skills!D16))))/Inputs!$B$35),IF(Inputs!$B$4="pvp",MIN((Skills!T16*(1+Inputs!$B$33/100)),15)/15,(Skills!T16*(1+Inputs!$B$33/100))/Skills!D16)))+0)/100)*I435)</f>
        <v/>
      </c>
      <c r="L435">
        <f>K435*(MIN(Inputs!$B$21+((C455=TRUE)*(F455-Calc!F22)),Inputs!$B$22+((C457=TRUE)*(F457-Calc!F24)))/100+(Inputs!$B$22+((C457=TRUE)*(F457-Calc!F24)))/100)/2</f>
        <v/>
      </c>
      <c r="M435">
        <f>L435*(1+(Inputs!$B$9+0+B467)/100)</f>
        <v/>
      </c>
      <c r="N435">
        <f>L435*(1-MIN(((Inputs!$B$8+1)+0+B462),100)/100)+M435*(MIN(((Inputs!$B$8+1)+0+B462),100)/100)</f>
        <v/>
      </c>
      <c r="O435">
        <f>IF(C435,Skills!G2*N435*B466*IF(Inputs!$B$4="pvp",1,(1-Summary!$B$55)*(1)+Summary!$B$55*(MIN((6+Inputs!$B$32),Inputs!$B$37))),0)</f>
        <v/>
      </c>
      <c r="P435">
        <f>IF(B470=0,0,O435/B470)</f>
        <v/>
      </c>
      <c r="Q435" t="n">
        <v>0</v>
      </c>
      <c r="R435" t="n">
        <v>0</v>
      </c>
      <c r="S435">
        <f>IFERROR(O435/N435,0)</f>
        <v/>
      </c>
      <c r="U435">
        <f>MAX(0,(Inputs!$B$3-100)*3)+Inputs!$B$27+Inputs!$B$28</f>
        <v/>
      </c>
    </row>
    <row r="436">
      <c r="A436">
        <f>Skills!A3</f>
        <v/>
      </c>
      <c r="B436">
        <f>Skills!B3</f>
        <v/>
      </c>
      <c r="C436">
        <f>Inputs!$B$3&gt;=50</f>
        <v/>
      </c>
      <c r="D436">
        <f>IF(Skills!C3=1,60+Inputs!$B$24+Inputs!$B$28,IF(Skills!C3=2,90+Inputs!$B$25+Inputs!$B$28,IF(Skills!C3=3,120+Inputs!$B$26+Inputs!$B$28,MAX(0,(Inputs!$B$3-100)*3)+Inputs!$B$27+Inputs!$B$28)))</f>
        <v/>
      </c>
      <c r="E436">
        <f>INDEX(FactorTable!$B$2:$Y$301, MATCH(ROUND(MIN(300,MAX(1,D436)),0), FactorTable!$A$2:$A$301,0), Skills!M3+1)</f>
        <v/>
      </c>
      <c r="F436">
        <f>IF(Skills!N3=TRUE,(Skills!L3/10)*(E436/1000),Skills!L3/10)+Skills!O3</f>
        <v/>
      </c>
      <c r="G436" t="inlineStr"/>
      <c r="H436" t="inlineStr"/>
      <c r="I436" t="inlineStr">
        <is>
          <t>1</t>
        </is>
      </c>
      <c r="J436" t="inlineStr"/>
      <c r="K436" t="inlineStr"/>
      <c r="L436" t="inlineStr"/>
      <c r="M436" t="inlineStr"/>
      <c r="N436" t="inlineStr"/>
      <c r="O436" t="inlineStr"/>
      <c r="P436" t="inlineStr"/>
      <c r="Q436" t="inlineStr"/>
      <c r="R436" t="inlineStr"/>
      <c r="S436" t="inlineStr"/>
      <c r="U436">
        <f>INDEX(FactorTable!$B$2:$Y$301, MATCH(ROUND(MIN(300,MAX(1,U435)),0), FactorTable!$A$2:$A$301,0), 22)</f>
        <v/>
      </c>
    </row>
    <row r="437">
      <c r="A437">
        <f>Skills!A4</f>
        <v/>
      </c>
      <c r="B437">
        <f>Skills!B4</f>
        <v/>
      </c>
      <c r="C437">
        <f>Inputs!$B$3&gt;=105</f>
        <v/>
      </c>
      <c r="D437">
        <f>IF(Skills!C4=1,60+Inputs!$B$24+Inputs!$B$28,IF(Skills!C4=2,90+Inputs!$B$25+Inputs!$B$28,IF(Skills!C4=3,120+Inputs!$B$26+Inputs!$B$28,MAX(0,(Inputs!$B$3-100)*3)+Inputs!$B$27+Inputs!$B$28)))</f>
        <v/>
      </c>
      <c r="E437">
        <f>INDEX(FactorTable!$B$2:$Y$301, MATCH(ROUND(MIN(300,MAX(1,D437)),0), FactorTable!$A$2:$A$301,0), Skills!M4+1)</f>
        <v/>
      </c>
      <c r="F437">
        <f>IF(Skills!N4=TRUE,(Skills!L4/10)*(E437/1000),Skills!L4/10)+Skills!O4</f>
        <v/>
      </c>
      <c r="G437" t="inlineStr"/>
      <c r="H437" t="inlineStr"/>
      <c r="I437" t="inlineStr">
        <is>
          <t>1</t>
        </is>
      </c>
      <c r="J437" t="inlineStr"/>
      <c r="K437" t="inlineStr"/>
      <c r="L437" t="inlineStr"/>
      <c r="M437" t="inlineStr"/>
      <c r="N437" t="inlineStr"/>
      <c r="O437" t="inlineStr"/>
      <c r="P437" t="inlineStr"/>
      <c r="Q437" t="inlineStr"/>
      <c r="R437" t="inlineStr"/>
      <c r="S437" t="inlineStr"/>
      <c r="U437">
        <f>290*U436/1000</f>
        <v/>
      </c>
    </row>
    <row r="438">
      <c r="A438">
        <f>Skills!A5</f>
        <v/>
      </c>
      <c r="B438">
        <f>Skills!B5</f>
        <v/>
      </c>
      <c r="C438">
        <f>Inputs!$B$3&gt;=117</f>
        <v/>
      </c>
      <c r="D438">
        <f>IF(Skills!C5=1,60+Inputs!$B$24+Inputs!$B$28,IF(Skills!C5=2,90+Inputs!$B$25+Inputs!$B$28,IF(Skills!C5=3,120+Inputs!$B$26+Inputs!$B$28,MAX(0,(Inputs!$B$3-100)*3)+Inputs!$B$27+Inputs!$B$28)))</f>
        <v/>
      </c>
      <c r="E438">
        <f>INDEX(FactorTable!$B$2:$Y$301, MATCH(ROUND(MIN(300,MAX(1,D438)),0), FactorTable!$A$2:$A$301,0), Skills!M5+1)</f>
        <v/>
      </c>
      <c r="F438">
        <f>IF(Skills!N5=TRUE,(Skills!L5/10)*(E438/1000),Skills!L5/10)+Skills!O5</f>
        <v/>
      </c>
      <c r="G438">
        <f>Skills!G5*IF(Skills!H5&gt;0,Skills!I5/Skills!H5,1)</f>
        <v/>
      </c>
      <c r="H438">
        <f>1-(1-Skills!J5/100)^Skills!K5</f>
        <v/>
      </c>
      <c r="I438" t="inlineStr">
        <is>
          <t>1</t>
        </is>
      </c>
      <c r="J438">
        <f>(Inputs!$B$5*(1+Inputs!$B$6/100))*(F438/100)</f>
        <v/>
      </c>
      <c r="K438">
        <f>J438*(1+((Inputs!$B$11*(1+Inputs!$B$12/100))*0.01+Inputs!$B$13*0.0025)/100)*(1+Inputs!$B$14/100)*(1+IF(Inputs!$B$4="pvp",0,(1-Summary!$B$55)*(Inputs!$B$19+0+Skills!P5+((C450=TRUE)*F450*IF(AND(Inputs!$B$4&lt;&gt;"pvp",Inputs!$B$35&gt;0),(((S450-1)*(Skills!T17*(1+Inputs!$B$33/100))+MIN((Skills!T17*(1+Inputs!$B$33/100)),MAX(0,Inputs!$B$35-((S450-1)*Skills!D17))))/Inputs!$B$35),IF(Inputs!$B$4="pvp",MIN((Skills!T17*(1+Inputs!$B$33/100)),15)/15,(Skills!T17*(1+Inputs!$B$33/100))/Skills!D17)))+((C447=TRUE)*IF(Inputs!$B$4="pvp",20,(1-Summary!$B$55)*(20)+Summary!$B$55*(0))*IF(AND(Inputs!$B$4&lt;&gt;"pvp",Inputs!$B$35&gt;0),(((S447-1)*(Skills!T14*(1+Inputs!$B$33/100))+MIN((Skills!T14*(1+Inputs!$B$33/100)),MAX(0,Inputs!$B$35-((S447-1)*Skills!D14))))/Inputs!$B$35),IF(Inputs!$B$4="pvp",MIN((Skills!T14*(1+Inputs!$B$33/100)),15)/15,(Skills!T14*(1+Inputs!$B$33/100))/Skills!D14))))+Summary!$B$55*(Inputs!$B$20+Skills!Q5+((C450=TRUE)*F450*IF(AND(Inputs!$B$4&lt;&gt;"pvp",Inputs!$B$35&gt;0),(((S450-1)*(Skills!T17*(1+Inputs!$B$33/100))+MIN((Skills!T17*(1+Inputs!$B$33/100)),MAX(0,Inputs!$B$35-((S450-1)*Skills!D17))))/Inputs!$B$35),IF(Inputs!$B$4="pvp",MIN((Skills!T17*(1+Inputs!$B$33/100)),15)/15,(Skills!T17*(1+Inputs!$B$33/100))/Skills!D17)))))/100)*(1+Inputs!$B$15/100)*(5000/(6000+Inputs!$B$7*(1-(Inputs!$B$18+0)/100)))*(1+(Inputs!$B$23+((C458=TRUE)*(F458-Calc!F25))+((C459=TRUE)*(F459-Calc!F26))+B468)/100)*(1+(IF(Skills!A5="DARK_IMPALE",Inputs!$B$16+0,Inputs!$B$17+((C456=TRUE)*(F456-Calc!F23))))/100)*((1+(((C446=TRUE)*F446*IF(AND(Inputs!$B$4&lt;&gt;"pvp",Inputs!$B$35&gt;0),(((S446-1)*(Skills!T13*(1+Inputs!$B$33/100))+MIN((Skills!T13*(1+Inputs!$B$33/100)),MAX(0,Inputs!$B$35-((S446-1)*Skills!D13))))/Inputs!$B$35),IF(Inputs!$B$4="pvp",MIN((Skills!T13*(1+Inputs!$B$33/100)),15)/15,(Skills!T13*(1+Inputs!$B$33/100))/Skills!D13)))+((C447=TRUE)*F447*IF(AND(Inputs!$B$4&lt;&gt;"pvp",Inputs!$B$35&gt;0),(((S447-1)*(Skills!T14*(1+Inputs!$B$33/100))+MIN((Skills!T14*(1+Inputs!$B$33/100)),MAX(0,Inputs!$B$35-((S447-1)*Skills!D14))))/Inputs!$B$35),IF(Inputs!$B$4="pvp",MIN((Skills!T14*(1+Inputs!$B$33/100)),15)/15,(Skills!T14*(1+Inputs!$B$33/100))/Skills!D14)))+((C448=TRUE)*F448*IF(AND(Inputs!$B$4&lt;&gt;"pvp",Inputs!$B$35&gt;0),(((S448-1)*(Skills!T15*(1+Inputs!$B$33/100))+MIN((Skills!T15*(1+Inputs!$B$33/100)),MAX(0,Inputs!$B$35-((S448-1)*Skills!D15))))/Inputs!$B$35),IF(Inputs!$B$4="pvp",MIN((Skills!T15*(1+Inputs!$B$33/100)),15)/15,(Skills!T15*(1+Inputs!$B$33/100))/Skills!D15)))+((C449=TRUE)*F449*IF(AND(Inputs!$B$4&lt;&gt;"pvp",Inputs!$B$35&gt;0),(((S449-1)*(Skills!T16*(1+Inputs!$B$33/100))+MIN((Skills!T16*(1+Inputs!$B$33/100)),MAX(0,Inputs!$B$35-((S449-1)*Skills!D16))))/Inputs!$B$35),IF(Inputs!$B$4="pvp",MIN((Skills!T16*(1+Inputs!$B$33/100)),15)/15,(Skills!T16*(1+Inputs!$B$33/100))/Skills!D16)))+0)/100)*I438)</f>
        <v/>
      </c>
      <c r="L438">
        <f>K438*(MIN(Inputs!$B$21+((C455=TRUE)*(F455-Calc!F22)),Inputs!$B$22+((C457=TRUE)*(F457-Calc!F24)))/100+(Inputs!$B$22+((C457=TRUE)*(F457-Calc!F24)))/100)/2</f>
        <v/>
      </c>
      <c r="M438">
        <f>L438*(1+(Inputs!$B$9+0+B467)/100)</f>
        <v/>
      </c>
      <c r="N438">
        <f>L438*(1-MIN(((Inputs!$B$8+1)+0+B462),100)/100)+M438*(MIN(((Inputs!$B$8+1)+0+B462),100)/100)</f>
        <v/>
      </c>
      <c r="O438">
        <f>IF(C438,H438*N438*IF(AND(Inputs!$B$4&lt;&gt;"pvp",Inputs!$B$35&gt;0),((Skills!G5*((R438-1)*IF(Skills!H5&gt;0,Skills!I5/Skills!H5,1)+IF(Skills!H5&gt;0,MIN(Skills!I5,MAX(0,Inputs!$B$35-((R438-1)*IF(Inputs!$B$4="pvp",15,MAX(0.1,Skills!D5-IF(Skills!E5=TRUE,Inputs!$B$31,0))))))/Skills!H5,1)))/Inputs!$B$35),G438*Q438)*IF(Inputs!$B$4="pvp",1,(1-Summary!$B$55)*(1)+Summary!$B$55*(MIN(Skills!R5,Inputs!$B$37))),0)</f>
        <v/>
      </c>
      <c r="P438">
        <f>IF(B470=0,0,O438/B470)</f>
        <v/>
      </c>
      <c r="Q438">
        <f>IFERROR(1/IF(Inputs!$B$4="pvp",15,MAX(0.1,Skills!D5-IF(Skills!E5=TRUE,Inputs!$B$31,0))),0)</f>
        <v/>
      </c>
      <c r="R438">
        <f>IF(AND(Inputs!$B$4&lt;&gt;"pvp",Inputs!$B$35&gt;0),(INT(Inputs!$B$35/IF(Inputs!$B$4="pvp",15,MAX(0.1,Skills!D5-IF(Skills!E5=TRUE,Inputs!$B$31,0))))+1),0)</f>
        <v/>
      </c>
      <c r="S438">
        <f>IFERROR(O438/N438,0)</f>
        <v/>
      </c>
    </row>
    <row r="439">
      <c r="A439">
        <f>Skills!A6</f>
        <v/>
      </c>
      <c r="B439">
        <f>Skills!B6</f>
        <v/>
      </c>
      <c r="C439">
        <f>Inputs!$B$3&gt;=103</f>
        <v/>
      </c>
      <c r="D439">
        <f>IF(Skills!C6=1,60+Inputs!$B$24+Inputs!$B$28,IF(Skills!C6=2,90+Inputs!$B$25+Inputs!$B$28,IF(Skills!C6=3,120+Inputs!$B$26+Inputs!$B$28,MAX(0,(Inputs!$B$3-100)*3)+Inputs!$B$27+Inputs!$B$28)))</f>
        <v/>
      </c>
      <c r="E439">
        <f>INDEX(FactorTable!$B$2:$Y$301, MATCH(ROUND(MIN(300,MAX(1,D439)),0), FactorTable!$A$2:$A$301,0), Skills!M6+1)</f>
        <v/>
      </c>
      <c r="F439">
        <f>IF(Skills!N6=TRUE,(Skills!L6/10)*(E439/1000),Skills!L6/10)+Skills!O6</f>
        <v/>
      </c>
      <c r="G439">
        <f>Skills!G6*IF(Skills!H6&gt;0,Skills!I6/Skills!H6,1)</f>
        <v/>
      </c>
      <c r="H439">
        <f>1-(1-Skills!J6/100)^Skills!K6</f>
        <v/>
      </c>
      <c r="I439" t="inlineStr">
        <is>
          <t>1</t>
        </is>
      </c>
      <c r="J439">
        <f>(Inputs!$B$5*(1+Inputs!$B$6/100))*(F439/100)</f>
        <v/>
      </c>
      <c r="K439">
        <f>J439*(1+((Inputs!$B$11*(1+Inputs!$B$12/100))*0.01+Inputs!$B$13*0.0025)/100)*(1+Inputs!$B$14/100)*(1+IF(Inputs!$B$4="pvp",0,(1-Summary!$B$55)*(Inputs!$B$19+0+Skills!P6+((C450=TRUE)*F450*IF(AND(Inputs!$B$4&lt;&gt;"pvp",Inputs!$B$35&gt;0),(((S450-1)*(Skills!T17*(1+Inputs!$B$33/100))+MIN((Skills!T17*(1+Inputs!$B$33/100)),MAX(0,Inputs!$B$35-((S450-1)*Skills!D17))))/Inputs!$B$35),IF(Inputs!$B$4="pvp",MIN((Skills!T17*(1+Inputs!$B$33/100)),15)/15,(Skills!T17*(1+Inputs!$B$33/100))/Skills!D17)))+((C447=TRUE)*IF(Inputs!$B$4="pvp",20,(1-Summary!$B$55)*(20)+Summary!$B$55*(0))*IF(AND(Inputs!$B$4&lt;&gt;"pvp",Inputs!$B$35&gt;0),(((S447-1)*(Skills!T14*(1+Inputs!$B$33/100))+MIN((Skills!T14*(1+Inputs!$B$33/100)),MAX(0,Inputs!$B$35-((S447-1)*Skills!D14))))/Inputs!$B$35),IF(Inputs!$B$4="pvp",MIN((Skills!T14*(1+Inputs!$B$33/100)),15)/15,(Skills!T14*(1+Inputs!$B$33/100))/Skills!D14))))+Summary!$B$55*(Inputs!$B$20+Skills!Q6+((C450=TRUE)*F450*IF(AND(Inputs!$B$4&lt;&gt;"pvp",Inputs!$B$35&gt;0),(((S450-1)*(Skills!T17*(1+Inputs!$B$33/100))+MIN((Skills!T17*(1+Inputs!$B$33/100)),MAX(0,Inputs!$B$35-((S450-1)*Skills!D17))))/Inputs!$B$35),IF(Inputs!$B$4="pvp",MIN((Skills!T17*(1+Inputs!$B$33/100)),15)/15,(Skills!T17*(1+Inputs!$B$33/100))/Skills!D17)))))/100)*(1+Inputs!$B$15/100)*(5000/(6000+Inputs!$B$7*(1-(Inputs!$B$18+0)/100)))*(1+(Inputs!$B$23+((C458=TRUE)*(F458-Calc!F25))+((C459=TRUE)*(F459-Calc!F26))+B468)/100)*(1+(IF(Skills!A6="DARK_IMPALE",Inputs!$B$16+0,Inputs!$B$17+((C456=TRUE)*(F456-Calc!F23))))/100)*((1+(((C446=TRUE)*F446*IF(AND(Inputs!$B$4&lt;&gt;"pvp",Inputs!$B$35&gt;0),(((S446-1)*(Skills!T13*(1+Inputs!$B$33/100))+MIN((Skills!T13*(1+Inputs!$B$33/100)),MAX(0,Inputs!$B$35-((S446-1)*Skills!D13))))/Inputs!$B$35),IF(Inputs!$B$4="pvp",MIN((Skills!T13*(1+Inputs!$B$33/100)),15)/15,(Skills!T13*(1+Inputs!$B$33/100))/Skills!D13)))+((C447=TRUE)*F447*IF(AND(Inputs!$B$4&lt;&gt;"pvp",Inputs!$B$35&gt;0),(((S447-1)*(Skills!T14*(1+Inputs!$B$33/100))+MIN((Skills!T14*(1+Inputs!$B$33/100)),MAX(0,Inputs!$B$35-((S447-1)*Skills!D14))))/Inputs!$B$35),IF(Inputs!$B$4="pvp",MIN((Skills!T14*(1+Inputs!$B$33/100)),15)/15,(Skills!T14*(1+Inputs!$B$33/100))/Skills!D14)))+((C448=TRUE)*F448*IF(AND(Inputs!$B$4&lt;&gt;"pvp",Inputs!$B$35&gt;0),(((S448-1)*(Skills!T15*(1+Inputs!$B$33/100))+MIN((Skills!T15*(1+Inputs!$B$33/100)),MAX(0,Inputs!$B$35-((S448-1)*Skills!D15))))/Inputs!$B$35),IF(Inputs!$B$4="pvp",MIN((Skills!T15*(1+Inputs!$B$33/100)),15)/15,(Skills!T15*(1+Inputs!$B$33/100))/Skills!D15)))+((C449=TRUE)*F449*IF(AND(Inputs!$B$4&lt;&gt;"pvp",Inputs!$B$35&gt;0),(((S449-1)*(Skills!T16*(1+Inputs!$B$33/100))+MIN((Skills!T16*(1+Inputs!$B$33/100)),MAX(0,Inputs!$B$35-((S449-1)*Skills!D16))))/Inputs!$B$35),IF(Inputs!$B$4="pvp",MIN((Skills!T16*(1+Inputs!$B$33/100)),15)/15,(Skills!T16*(1+Inputs!$B$33/100))/Skills!D16)))+0)/100)*I439)</f>
        <v/>
      </c>
      <c r="L439">
        <f>K439*(MIN(Inputs!$B$21+((C455=TRUE)*(F455-Calc!F22)),Inputs!$B$22+((C457=TRUE)*(F457-Calc!F24)))/100+(Inputs!$B$22+((C457=TRUE)*(F457-Calc!F24)))/100)/2</f>
        <v/>
      </c>
      <c r="M439">
        <f>L439*(1+(Inputs!$B$9+0+B467)/100)</f>
        <v/>
      </c>
      <c r="N439">
        <f>L439*(1-MIN(((Inputs!$B$8+1)+0+B462),100)/100)+M439*(MIN(((Inputs!$B$8+1)+0+B462),100)/100)</f>
        <v/>
      </c>
      <c r="O439">
        <f>IF(C439,H439*N439*IF(AND(Inputs!$B$4&lt;&gt;"pvp",Inputs!$B$35&gt;0),((Skills!G6*((R439-1)*IF(Skills!H6&gt;0,Skills!I6/Skills!H6,1)+IF(Skills!H6&gt;0,MIN(Skills!I6,MAX(0,Inputs!$B$35-((R439-1)*IF(Inputs!$B$4="pvp",15,MAX(0.1,Skills!D6-IF(Skills!E6=TRUE,Inputs!$B$31,0))))))/Skills!H6,1)))/Inputs!$B$35),G439*Q439)*IF(Inputs!$B$4="pvp",1,(1-Summary!$B$55)*(1)+Summary!$B$55*(MIN(Skills!R6,Inputs!$B$37))),0)</f>
        <v/>
      </c>
      <c r="P439">
        <f>IF(B470=0,0,O439/B470)</f>
        <v/>
      </c>
      <c r="Q439">
        <f>IFERROR(1/IF(Inputs!$B$4="pvp",15,MAX(0.1,Skills!D6-IF(Skills!E6=TRUE,Inputs!$B$31,0))),0)</f>
        <v/>
      </c>
      <c r="R439">
        <f>IF(AND(Inputs!$B$4&lt;&gt;"pvp",Inputs!$B$35&gt;0),(INT(Inputs!$B$35/IF(Inputs!$B$4="pvp",15,MAX(0.1,Skills!D6-IF(Skills!E6=TRUE,Inputs!$B$31,0))))+1),0)</f>
        <v/>
      </c>
      <c r="S439">
        <f>IFERROR(O439/N439,0)</f>
        <v/>
      </c>
    </row>
    <row r="440">
      <c r="A440">
        <f>Skills!A7</f>
        <v/>
      </c>
      <c r="B440">
        <f>Skills!B7</f>
        <v/>
      </c>
      <c r="C440">
        <f>Inputs!$B$3&gt;=40</f>
        <v/>
      </c>
      <c r="D440">
        <f>IF(Skills!C7=1,60+Inputs!$B$24+Inputs!$B$28,IF(Skills!C7=2,90+Inputs!$B$25+Inputs!$B$28,IF(Skills!C7=3,120+Inputs!$B$26+Inputs!$B$28,MAX(0,(Inputs!$B$3-100)*3)+Inputs!$B$27+Inputs!$B$28)))</f>
        <v/>
      </c>
      <c r="E440">
        <f>INDEX(FactorTable!$B$2:$Y$301, MATCH(ROUND(MIN(300,MAX(1,D440)),0), FactorTable!$A$2:$A$301,0), Skills!M7+1)</f>
        <v/>
      </c>
      <c r="F440">
        <f>IF(Skills!N7=TRUE,(Skills!L7/10)*(E440/1000),Skills!L7/10)+Skills!O7</f>
        <v/>
      </c>
      <c r="G440">
        <f>Skills!G7*IF(Skills!H7&gt;0,Skills!I7/Skills!H7,1)</f>
        <v/>
      </c>
      <c r="H440">
        <f>1-(1-Skills!J7/100)^Skills!K7</f>
        <v/>
      </c>
      <c r="I440" t="inlineStr">
        <is>
          <t>1</t>
        </is>
      </c>
      <c r="J440">
        <f>(Inputs!$B$5*(1+Inputs!$B$6/100))*(F440/100)</f>
        <v/>
      </c>
      <c r="K440">
        <f>J440*(1+((Inputs!$B$11*(1+Inputs!$B$12/100))*0.01+Inputs!$B$13*0.0025)/100)*(1+Inputs!$B$14/100)*(1+IF(Inputs!$B$4="pvp",0,(1-Summary!$B$55)*(Inputs!$B$19+0+Skills!P7+((C450=TRUE)*F450*IF(AND(Inputs!$B$4&lt;&gt;"pvp",Inputs!$B$35&gt;0),(((S450-1)*(Skills!T17*(1+Inputs!$B$33/100))+MIN((Skills!T17*(1+Inputs!$B$33/100)),MAX(0,Inputs!$B$35-((S450-1)*Skills!D17))))/Inputs!$B$35),IF(Inputs!$B$4="pvp",MIN((Skills!T17*(1+Inputs!$B$33/100)),15)/15,(Skills!T17*(1+Inputs!$B$33/100))/Skills!D17)))+((C447=TRUE)*IF(Inputs!$B$4="pvp",20,(1-Summary!$B$55)*(20)+Summary!$B$55*(0))*IF(AND(Inputs!$B$4&lt;&gt;"pvp",Inputs!$B$35&gt;0),(((S447-1)*(Skills!T14*(1+Inputs!$B$33/100))+MIN((Skills!T14*(1+Inputs!$B$33/100)),MAX(0,Inputs!$B$35-((S447-1)*Skills!D14))))/Inputs!$B$35),IF(Inputs!$B$4="pvp",MIN((Skills!T14*(1+Inputs!$B$33/100)),15)/15,(Skills!T14*(1+Inputs!$B$33/100))/Skills!D14))))+Summary!$B$55*(Inputs!$B$20+Skills!Q7+((C450=TRUE)*F450*IF(AND(Inputs!$B$4&lt;&gt;"pvp",Inputs!$B$35&gt;0),(((S450-1)*(Skills!T17*(1+Inputs!$B$33/100))+MIN((Skills!T17*(1+Inputs!$B$33/100)),MAX(0,Inputs!$B$35-((S450-1)*Skills!D17))))/Inputs!$B$35),IF(Inputs!$B$4="pvp",MIN((Skills!T17*(1+Inputs!$B$33/100)),15)/15,(Skills!T17*(1+Inputs!$B$33/100))/Skills!D17)))))/100)*(1+Inputs!$B$15/100)*(5000/(6000+Inputs!$B$7*(1-(Inputs!$B$18+0)/100)))*(1+(Inputs!$B$23+((C458=TRUE)*(F458-Calc!F25))+((C459=TRUE)*(F459-Calc!F26))+B468)/100)*(1+0.75*IF(C444=TRUE,F444,0)/100)*(1+(IF(Skills!A7="DARK_IMPALE",Inputs!$B$16+0,Inputs!$B$17+((C456=TRUE)*(F456-Calc!F23))))/100)*((1+(((C446=TRUE)*F446*IF(AND(Inputs!$B$4&lt;&gt;"pvp",Inputs!$B$35&gt;0),(((S446-1)*(Skills!T13*(1+Inputs!$B$33/100))+MIN((Skills!T13*(1+Inputs!$B$33/100)),MAX(0,Inputs!$B$35-((S446-1)*Skills!D13))))/Inputs!$B$35),IF(Inputs!$B$4="pvp",MIN((Skills!T13*(1+Inputs!$B$33/100)),15)/15,(Skills!T13*(1+Inputs!$B$33/100))/Skills!D13)))+((C447=TRUE)*F447*IF(AND(Inputs!$B$4&lt;&gt;"pvp",Inputs!$B$35&gt;0),(((S447-1)*(Skills!T14*(1+Inputs!$B$33/100))+MIN((Skills!T14*(1+Inputs!$B$33/100)),MAX(0,Inputs!$B$35-((S447-1)*Skills!D14))))/Inputs!$B$35),IF(Inputs!$B$4="pvp",MIN((Skills!T14*(1+Inputs!$B$33/100)),15)/15,(Skills!T14*(1+Inputs!$B$33/100))/Skills!D14)))+((C448=TRUE)*F448*IF(AND(Inputs!$B$4&lt;&gt;"pvp",Inputs!$B$35&gt;0),(((S448-1)*(Skills!T15*(1+Inputs!$B$33/100))+MIN((Skills!T15*(1+Inputs!$B$33/100)),MAX(0,Inputs!$B$35-((S448-1)*Skills!D15))))/Inputs!$B$35),IF(Inputs!$B$4="pvp",MIN((Skills!T15*(1+Inputs!$B$33/100)),15)/15,(Skills!T15*(1+Inputs!$B$33/100))/Skills!D15)))+((C449=TRUE)*F449*IF(AND(Inputs!$B$4&lt;&gt;"pvp",Inputs!$B$35&gt;0),(((S449-1)*(Skills!T16*(1+Inputs!$B$33/100))+MIN((Skills!T16*(1+Inputs!$B$33/100)),MAX(0,Inputs!$B$35-((S449-1)*Skills!D16))))/Inputs!$B$35),IF(Inputs!$B$4="pvp",MIN((Skills!T16*(1+Inputs!$B$33/100)),15)/15,(Skills!T16*(1+Inputs!$B$33/100))/Skills!D16)))+0)/100)*I440)</f>
        <v/>
      </c>
      <c r="L440">
        <f>K440*(MIN(Inputs!$B$21+((C455=TRUE)*(F455-Calc!F22)),Inputs!$B$22+((C457=TRUE)*(F457-Calc!F24)))/100+(Inputs!$B$22+((C457=TRUE)*(F457-Calc!F24)))/100)/2</f>
        <v/>
      </c>
      <c r="M440">
        <f>L440*(1+(Inputs!$B$9+0+B467)/100)</f>
        <v/>
      </c>
      <c r="N440">
        <f>L440*(1-MIN(((Inputs!$B$8+1)+0+B462),100)/100)+M440*(MIN(((Inputs!$B$8+1)+0+B462),100)/100)</f>
        <v/>
      </c>
      <c r="O440">
        <f>IF(C440,H440*N440*IF(AND(Inputs!$B$4&lt;&gt;"pvp",Inputs!$B$35&gt;0),((Skills!G7*((R440-1)*IF(Skills!H7&gt;0,Skills!I7/Skills!H7,1)+IF(Skills!H7&gt;0,MIN(Skills!I7,MAX(0,Inputs!$B$35-((R440-1)*IF(Inputs!$B$4="pvp",15,MAX(0.1,Skills!D7-IF(Skills!E7=TRUE,Inputs!$B$31,0))))))/Skills!H7,1)))/Inputs!$B$35),G440*Q440)*IF(Inputs!$B$4="pvp",1,(1-Summary!$B$55)*(1)+Summary!$B$55*(MIN(Skills!R7,Inputs!$B$37))),0)</f>
        <v/>
      </c>
      <c r="P440">
        <f>IF(B470=0,0,O440/B470)</f>
        <v/>
      </c>
      <c r="Q440">
        <f>IFERROR(1/IF(Inputs!$B$4="pvp",15,MAX(0.1,Skills!D7-IF(Skills!E7=TRUE,Inputs!$B$31,0))),0)</f>
        <v/>
      </c>
      <c r="R440">
        <f>IF(AND(Inputs!$B$4&lt;&gt;"pvp",Inputs!$B$35&gt;0),(INT(Inputs!$B$35/IF(Inputs!$B$4="pvp",15,MAX(0.1,Skills!D7-IF(Skills!E7=TRUE,Inputs!$B$31,0))))+1),0)</f>
        <v/>
      </c>
      <c r="S440">
        <f>IFERROR(O440/N440,0)</f>
        <v/>
      </c>
    </row>
    <row r="441">
      <c r="A441">
        <f>Skills!A8</f>
        <v/>
      </c>
      <c r="B441">
        <f>Skills!B8</f>
        <v/>
      </c>
      <c r="C441">
        <f>Inputs!$B$3&gt;=75</f>
        <v/>
      </c>
      <c r="D441">
        <f>IF(Skills!C8=1,60+Inputs!$B$24+Inputs!$B$28,IF(Skills!C8=2,90+Inputs!$B$25+Inputs!$B$28,IF(Skills!C8=3,120+Inputs!$B$26+Inputs!$B$28,MAX(0,(Inputs!$B$3-100)*3)+Inputs!$B$27+Inputs!$B$28)))</f>
        <v/>
      </c>
      <c r="E441">
        <f>INDEX(FactorTable!$B$2:$Y$301, MATCH(ROUND(MIN(300,MAX(1,D441)),0), FactorTable!$A$2:$A$301,0), Skills!M8+1)</f>
        <v/>
      </c>
      <c r="F441">
        <f>IF(Skills!N8=TRUE,(Skills!L8/10)*(E441/1000),Skills!L8/10)+Skills!O8</f>
        <v/>
      </c>
      <c r="G441" t="inlineStr"/>
      <c r="H441" t="inlineStr"/>
      <c r="I441" t="inlineStr">
        <is>
          <t>1</t>
        </is>
      </c>
      <c r="J441" t="inlineStr"/>
      <c r="K441" t="inlineStr"/>
      <c r="L441" t="inlineStr"/>
      <c r="M441" t="inlineStr"/>
      <c r="N441" t="inlineStr"/>
      <c r="O441" t="inlineStr"/>
      <c r="P441" t="inlineStr"/>
      <c r="Q441" t="inlineStr"/>
      <c r="R441" t="inlineStr"/>
      <c r="S441" t="inlineStr"/>
    </row>
    <row r="442">
      <c r="A442">
        <f>Skills!A9</f>
        <v/>
      </c>
      <c r="B442">
        <f>Skills!B9</f>
        <v/>
      </c>
      <c r="C442">
        <f>Inputs!$B$3&gt;=60</f>
        <v/>
      </c>
      <c r="D442">
        <f>IF(Skills!C9=1,60+Inputs!$B$24+Inputs!$B$28,IF(Skills!C9=2,90+Inputs!$B$25+Inputs!$B$28,IF(Skills!C9=3,120+Inputs!$B$26+Inputs!$B$28,MAX(0,(Inputs!$B$3-100)*3)+Inputs!$B$27+Inputs!$B$28)))</f>
        <v/>
      </c>
      <c r="E442">
        <f>INDEX(FactorTable!$B$2:$Y$301, MATCH(ROUND(MIN(300,MAX(1,D442)),0), FactorTable!$A$2:$A$301,0), Skills!M9+1)</f>
        <v/>
      </c>
      <c r="F442">
        <f>IF(Skills!N9=TRUE,(Skills!L9/10)*(E442/1000),Skills!L9/10)+Skills!O9</f>
        <v/>
      </c>
      <c r="G442">
        <f>Skills!G9*IF(Skills!H9&gt;0,Skills!I9/Skills!H9,1)</f>
        <v/>
      </c>
      <c r="H442">
        <f>1-(1-Skills!J9/100)^Skills!K9</f>
        <v/>
      </c>
      <c r="I442" t="inlineStr">
        <is>
          <t>1</t>
        </is>
      </c>
      <c r="J442">
        <f>(Inputs!$B$5*(1+Inputs!$B$6/100))*(F442/100)</f>
        <v/>
      </c>
      <c r="K442">
        <f>J442*(1+((Inputs!$B$11*(1+Inputs!$B$12/100))*0.01+Inputs!$B$13*0.0025)/100)*(1+Inputs!$B$14/100)*(1+IF(Inputs!$B$4="pvp",0,(1-Summary!$B$55)*(Inputs!$B$19+0+Skills!P9+((C450=TRUE)*F450*IF(AND(Inputs!$B$4&lt;&gt;"pvp",Inputs!$B$35&gt;0),(((S450-1)*(Skills!T17*(1+Inputs!$B$33/100))+MIN((Skills!T17*(1+Inputs!$B$33/100)),MAX(0,Inputs!$B$35-((S450-1)*Skills!D17))))/Inputs!$B$35),IF(Inputs!$B$4="pvp",MIN((Skills!T17*(1+Inputs!$B$33/100)),15)/15,(Skills!T17*(1+Inputs!$B$33/100))/Skills!D17)))+((C447=TRUE)*IF(Inputs!$B$4="pvp",20,(1-Summary!$B$55)*(20)+Summary!$B$55*(0))*IF(AND(Inputs!$B$4&lt;&gt;"pvp",Inputs!$B$35&gt;0),(((S447-1)*(Skills!T14*(1+Inputs!$B$33/100))+MIN((Skills!T14*(1+Inputs!$B$33/100)),MAX(0,Inputs!$B$35-((S447-1)*Skills!D14))))/Inputs!$B$35),IF(Inputs!$B$4="pvp",MIN((Skills!T14*(1+Inputs!$B$33/100)),15)/15,(Skills!T14*(1+Inputs!$B$33/100))/Skills!D14))))+Summary!$B$55*(Inputs!$B$20+Skills!Q9+((C450=TRUE)*F450*IF(AND(Inputs!$B$4&lt;&gt;"pvp",Inputs!$B$35&gt;0),(((S450-1)*(Skills!T17*(1+Inputs!$B$33/100))+MIN((Skills!T17*(1+Inputs!$B$33/100)),MAX(0,Inputs!$B$35-((S450-1)*Skills!D17))))/Inputs!$B$35),IF(Inputs!$B$4="pvp",MIN((Skills!T17*(1+Inputs!$B$33/100)),15)/15,(Skills!T17*(1+Inputs!$B$33/100))/Skills!D17)))))/100)*(1+Inputs!$B$15/100)*(5000/(6000+Inputs!$B$7*(1-(Inputs!$B$18+0)/100)))*(1+(Inputs!$B$23+((C458=TRUE)*(F458-Calc!F25))+((C459=TRUE)*(F459-Calc!F26))+B468)/100)*(1+1.0*IF(C444=TRUE,F444,0)/100)*(1+(IF(Skills!A9="DARK_IMPALE",Inputs!$B$16+0,Inputs!$B$17+((C456=TRUE)*(F456-Calc!F23))))/100)*((1+(((C446=TRUE)*F446*IF(AND(Inputs!$B$4&lt;&gt;"pvp",Inputs!$B$35&gt;0),(((S446-1)*(Skills!T13*(1+Inputs!$B$33/100))+MIN((Skills!T13*(1+Inputs!$B$33/100)),MAX(0,Inputs!$B$35-((S446-1)*Skills!D13))))/Inputs!$B$35),IF(Inputs!$B$4="pvp",MIN((Skills!T13*(1+Inputs!$B$33/100)),15)/15,(Skills!T13*(1+Inputs!$B$33/100))/Skills!D13)))+((C447=TRUE)*F447*IF(AND(Inputs!$B$4&lt;&gt;"pvp",Inputs!$B$35&gt;0),(((S447-1)*(Skills!T14*(1+Inputs!$B$33/100))+MIN((Skills!T14*(1+Inputs!$B$33/100)),MAX(0,Inputs!$B$35-((S447-1)*Skills!D14))))/Inputs!$B$35),IF(Inputs!$B$4="pvp",MIN((Skills!T14*(1+Inputs!$B$33/100)),15)/15,(Skills!T14*(1+Inputs!$B$33/100))/Skills!D14)))+((C448=TRUE)*F448*IF(AND(Inputs!$B$4&lt;&gt;"pvp",Inputs!$B$35&gt;0),(((S448-1)*(Skills!T15*(1+Inputs!$B$33/100))+MIN((Skills!T15*(1+Inputs!$B$33/100)),MAX(0,Inputs!$B$35-((S448-1)*Skills!D15))))/Inputs!$B$35),IF(Inputs!$B$4="pvp",MIN((Skills!T15*(1+Inputs!$B$33/100)),15)/15,(Skills!T15*(1+Inputs!$B$33/100))/Skills!D15)))+((C449=TRUE)*F449*IF(AND(Inputs!$B$4&lt;&gt;"pvp",Inputs!$B$35&gt;0),(((S449-1)*(Skills!T16*(1+Inputs!$B$33/100))+MIN((Skills!T16*(1+Inputs!$B$33/100)),MAX(0,Inputs!$B$35-((S449-1)*Skills!D16))))/Inputs!$B$35),IF(Inputs!$B$4="pvp",MIN((Skills!T16*(1+Inputs!$B$33/100)),15)/15,(Skills!T16*(1+Inputs!$B$33/100))/Skills!D16)))+0)/100)*I442)</f>
        <v/>
      </c>
      <c r="L442">
        <f>K442*(MIN(Inputs!$B$21+((C455=TRUE)*(F455-Calc!F22)),Inputs!$B$22+((C457=TRUE)*(F457-Calc!F24)))/100+(Inputs!$B$22+((C457=TRUE)*(F457-Calc!F24)))/100)/2</f>
        <v/>
      </c>
      <c r="M442">
        <f>L442*(1+(Inputs!$B$9+0+B467)/100)</f>
        <v/>
      </c>
      <c r="N442">
        <f>L442*(1-MIN(((Inputs!$B$8+1)+0+B462),100)/100)+M442*(MIN(((Inputs!$B$8+1)+0+B462),100)/100)</f>
        <v/>
      </c>
      <c r="O442">
        <f>IF(C442,H442*N442*IF(AND(Inputs!$B$4&lt;&gt;"pvp",Inputs!$B$35&gt;0),((Skills!G9*((R442-1)*IF(Skills!H9&gt;0,Skills!I9/Skills!H9,1)+IF(Skills!H9&gt;0,MIN(Skills!I9,MAX(0,Inputs!$B$35-((R442-1)*IF(Inputs!$B$4="pvp",15,MAX(0.1,Skills!D9-IF(Skills!E9=TRUE,Inputs!$B$31,0))))))/Skills!H9,1)))/Inputs!$B$35),G442*Q442)*IF(Inputs!$B$4="pvp",1,(1-Summary!$B$55)*(1)+Summary!$B$55*(MIN(Skills!R9,Inputs!$B$37))),0)</f>
        <v/>
      </c>
      <c r="P442">
        <f>IF(B470=0,0,O442/B470)</f>
        <v/>
      </c>
      <c r="Q442">
        <f>IFERROR(1/IF(Inputs!$B$4="pvp",15,MAX(0.1,Skills!D9-IF(Skills!E9=TRUE,Inputs!$B$31,0))),0)</f>
        <v/>
      </c>
      <c r="R442">
        <f>IF(AND(Inputs!$B$4&lt;&gt;"pvp",Inputs!$B$35&gt;0),(INT(Inputs!$B$35/IF(Inputs!$B$4="pvp",15,MAX(0.1,Skills!D9-IF(Skills!E9=TRUE,Inputs!$B$31,0))))+1),0)</f>
        <v/>
      </c>
      <c r="S442">
        <f>IFERROR(O442/N442,0)</f>
        <v/>
      </c>
    </row>
    <row r="443">
      <c r="A443">
        <f>Skills!A10</f>
        <v/>
      </c>
      <c r="B443">
        <f>Skills!B10</f>
        <v/>
      </c>
      <c r="C443">
        <f>Inputs!$B$3&gt;=110</f>
        <v/>
      </c>
      <c r="D443">
        <f>IF(Skills!C10=1,60+Inputs!$B$24+Inputs!$B$28,IF(Skills!C10=2,90+Inputs!$B$25+Inputs!$B$28,IF(Skills!C10=3,120+Inputs!$B$26+Inputs!$B$28,MAX(0,(Inputs!$B$3-100)*3)+Inputs!$B$27+Inputs!$B$28)))</f>
        <v/>
      </c>
      <c r="E443">
        <f>INDEX(FactorTable!$B$2:$Y$301, MATCH(ROUND(MIN(300,MAX(1,D443)),0), FactorTable!$A$2:$A$301,0), Skills!M10+1)</f>
        <v/>
      </c>
      <c r="F443">
        <f>IF(Skills!N10=TRUE,(Skills!L10/10)*(E443/1000),Skills!L10/10)+Skills!O10</f>
        <v/>
      </c>
      <c r="G443">
        <f>Skills!G10*IF(Skills!H10&gt;0,Skills!I10/Skills!H10,1)</f>
        <v/>
      </c>
      <c r="H443">
        <f>1-(1-Skills!J10/100)^Skills!K10</f>
        <v/>
      </c>
      <c r="I443" t="inlineStr">
        <is>
          <t>1</t>
        </is>
      </c>
      <c r="J443">
        <f>(Inputs!$B$5*(1+Inputs!$B$6/100))*(F443/100)</f>
        <v/>
      </c>
      <c r="K443">
        <f>J443*(1+((Inputs!$B$11*(1+Inputs!$B$12/100))*0.01+Inputs!$B$13*0.0025)/100)*(1+Inputs!$B$14/100)*(1+IF(Inputs!$B$4="pvp",0,(1-Summary!$B$55)*(Inputs!$B$19+0+Skills!P10+((C450=TRUE)*F450*IF(AND(Inputs!$B$4&lt;&gt;"pvp",Inputs!$B$35&gt;0),(((S450-1)*(Skills!T17*(1+Inputs!$B$33/100))+MIN((Skills!T17*(1+Inputs!$B$33/100)),MAX(0,Inputs!$B$35-((S450-1)*Skills!D17))))/Inputs!$B$35),IF(Inputs!$B$4="pvp",MIN((Skills!T17*(1+Inputs!$B$33/100)),15)/15,(Skills!T17*(1+Inputs!$B$33/100))/Skills!D17)))+((C447=TRUE)*IF(Inputs!$B$4="pvp",20,(1-Summary!$B$55)*(20)+Summary!$B$55*(0))*IF(AND(Inputs!$B$4&lt;&gt;"pvp",Inputs!$B$35&gt;0),(((S447-1)*(Skills!T14*(1+Inputs!$B$33/100))+MIN((Skills!T14*(1+Inputs!$B$33/100)),MAX(0,Inputs!$B$35-((S447-1)*Skills!D14))))/Inputs!$B$35),IF(Inputs!$B$4="pvp",MIN((Skills!T14*(1+Inputs!$B$33/100)),15)/15,(Skills!T14*(1+Inputs!$B$33/100))/Skills!D14))))+Summary!$B$55*(Inputs!$B$20+Skills!Q10+((C450=TRUE)*F450*IF(AND(Inputs!$B$4&lt;&gt;"pvp",Inputs!$B$35&gt;0),(((S450-1)*(Skills!T17*(1+Inputs!$B$33/100))+MIN((Skills!T17*(1+Inputs!$B$33/100)),MAX(0,Inputs!$B$35-((S450-1)*Skills!D17))))/Inputs!$B$35),IF(Inputs!$B$4="pvp",MIN((Skills!T17*(1+Inputs!$B$33/100)),15)/15,(Skills!T17*(1+Inputs!$B$33/100))/Skills!D17)))))/100)*(1+Inputs!$B$15/100)*(5000/(6000+Inputs!$B$7*(1-(Inputs!$B$18+0)/100)))*(1+(Inputs!$B$23+((C458=TRUE)*(F458-Calc!F25))+((C459=TRUE)*(F459-Calc!F26))+B468)/100)*(1+(IF(Skills!A10="DARK_IMPALE",Inputs!$B$16+0,Inputs!$B$17+((C456=TRUE)*(F456-Calc!F23))))/100)*((1+(((C446=TRUE)*F446*IF(AND(Inputs!$B$4&lt;&gt;"pvp",Inputs!$B$35&gt;0),(((S446-1)*(Skills!T13*(1+Inputs!$B$33/100))+MIN((Skills!T13*(1+Inputs!$B$33/100)),MAX(0,Inputs!$B$35-((S446-1)*Skills!D13))))/Inputs!$B$35),IF(Inputs!$B$4="pvp",MIN((Skills!T13*(1+Inputs!$B$33/100)),15)/15,(Skills!T13*(1+Inputs!$B$33/100))/Skills!D13)))+((C447=TRUE)*F447*IF(AND(Inputs!$B$4&lt;&gt;"pvp",Inputs!$B$35&gt;0),(((S447-1)*(Skills!T14*(1+Inputs!$B$33/100))+MIN((Skills!T14*(1+Inputs!$B$33/100)),MAX(0,Inputs!$B$35-((S447-1)*Skills!D14))))/Inputs!$B$35),IF(Inputs!$B$4="pvp",MIN((Skills!T14*(1+Inputs!$B$33/100)),15)/15,(Skills!T14*(1+Inputs!$B$33/100))/Skills!D14)))+((C448=TRUE)*F448*IF(AND(Inputs!$B$4&lt;&gt;"pvp",Inputs!$B$35&gt;0),(((S448-1)*(Skills!T15*(1+Inputs!$B$33/100))+MIN((Skills!T15*(1+Inputs!$B$33/100)),MAX(0,Inputs!$B$35-((S448-1)*Skills!D15))))/Inputs!$B$35),IF(Inputs!$B$4="pvp",MIN((Skills!T15*(1+Inputs!$B$33/100)),15)/15,(Skills!T15*(1+Inputs!$B$33/100))/Skills!D15)))+((C449=TRUE)*F449*IF(AND(Inputs!$B$4&lt;&gt;"pvp",Inputs!$B$35&gt;0),(((S449-1)*(Skills!T16*(1+Inputs!$B$33/100))+MIN((Skills!T16*(1+Inputs!$B$33/100)),MAX(0,Inputs!$B$35-((S449-1)*Skills!D16))))/Inputs!$B$35),IF(Inputs!$B$4="pvp",MIN((Skills!T16*(1+Inputs!$B$33/100)),15)/15,(Skills!T16*(1+Inputs!$B$33/100))/Skills!D16)))+0)/100)*I443)</f>
        <v/>
      </c>
      <c r="L443">
        <f>K443*(MIN(Inputs!$B$21+((C455=TRUE)*(F455-Calc!F22)),Inputs!$B$22+((C457=TRUE)*(F457-Calc!F24)))/100+(Inputs!$B$22+((C457=TRUE)*(F457-Calc!F24)))/100)/2</f>
        <v/>
      </c>
      <c r="M443">
        <f>L443*(1+(Inputs!$B$9+0+B467)/100)</f>
        <v/>
      </c>
      <c r="N443">
        <f>L443*(1-MIN(((Inputs!$B$8+1)+0+B462),100)/100)+M443*(MIN(((Inputs!$B$8+1)+0+B462),100)/100)</f>
        <v/>
      </c>
      <c r="O443">
        <f>IF(C443,H443*N443*IF(AND(Inputs!$B$4&lt;&gt;"pvp",Inputs!$B$35&gt;0),((Skills!G10*((R443-1)*IF(Skills!H10&gt;0,Skills!I10/Skills!H10,1)+IF(Skills!H10&gt;0,MIN(Skills!I10,MAX(0,Inputs!$B$35-((R443-1)*IF(Inputs!$B$4="pvp",15,MAX(0.1,Skills!D10-IF(Skills!E10=TRUE,Inputs!$B$31,0))))))/Skills!H10,1)))/Inputs!$B$35),G443*Q443)*IF(Inputs!$B$4="pvp",1,(1-Summary!$B$55)*(1)+Summary!$B$55*(MIN(Skills!R10,Inputs!$B$37))),0)</f>
        <v/>
      </c>
      <c r="P443">
        <f>IF(B470=0,0,O443/B470)</f>
        <v/>
      </c>
      <c r="Q443">
        <f>IFERROR(1/IF(Inputs!$B$4="pvp",15,MAX(0.1,Skills!D10-IF(Skills!E10=TRUE,Inputs!$B$31,0))),0)</f>
        <v/>
      </c>
      <c r="R443">
        <f>IF(AND(Inputs!$B$4&lt;&gt;"pvp",Inputs!$B$35&gt;0),(INT(Inputs!$B$35/IF(Inputs!$B$4="pvp",15,MAX(0.1,Skills!D10-IF(Skills!E10=TRUE,Inputs!$B$31,0))))+1),0)</f>
        <v/>
      </c>
      <c r="S443">
        <f>IFERROR(O443/N443,0)</f>
        <v/>
      </c>
    </row>
    <row r="444">
      <c r="A444">
        <f>Skills!A11</f>
        <v/>
      </c>
      <c r="B444">
        <f>Skills!B11</f>
        <v/>
      </c>
      <c r="C444">
        <f>Inputs!$B$3&gt;=100</f>
        <v/>
      </c>
      <c r="D444">
        <f>IF(Skills!C11=1,60+Inputs!$B$24+Inputs!$B$28,IF(Skills!C11=2,90+Inputs!$B$25+Inputs!$B$28,IF(Skills!C11=3,120+Inputs!$B$26+Inputs!$B$28,MAX(0,(Inputs!$B$3-100)*3)+Inputs!$B$27+Inputs!$B$28)))</f>
        <v/>
      </c>
      <c r="E444">
        <f>INDEX(FactorTable!$B$2:$Y$301, MATCH(ROUND(MIN(300,MAX(1,D444)),0), FactorTable!$A$2:$A$301,0), Skills!M11+1)</f>
        <v/>
      </c>
      <c r="F444">
        <f>IF(Skills!N11=TRUE,(Skills!L11/10)*(E444/1000),Skills!L11/10)+Skills!O11</f>
        <v/>
      </c>
      <c r="G444" t="inlineStr"/>
      <c r="H444" t="inlineStr"/>
      <c r="I444" t="inlineStr">
        <is>
          <t>1</t>
        </is>
      </c>
      <c r="J444" t="inlineStr"/>
      <c r="K444" t="inlineStr"/>
      <c r="L444" t="inlineStr"/>
      <c r="M444" t="inlineStr"/>
      <c r="N444" t="inlineStr"/>
      <c r="O444" t="inlineStr"/>
      <c r="P444" t="inlineStr"/>
      <c r="Q444" t="inlineStr"/>
      <c r="R444" t="inlineStr"/>
      <c r="S444" t="inlineStr"/>
    </row>
    <row r="445">
      <c r="A445">
        <f>Skills!A12</f>
        <v/>
      </c>
      <c r="B445">
        <f>Skills!B12</f>
        <v/>
      </c>
      <c r="C445">
        <f>Inputs!$B$3&gt;=63</f>
        <v/>
      </c>
      <c r="D445">
        <f>IF(Skills!C12=1,60+Inputs!$B$24+Inputs!$B$28,IF(Skills!C12=2,90+Inputs!$B$25+Inputs!$B$28,IF(Skills!C12=3,120+Inputs!$B$26+Inputs!$B$28,MAX(0,(Inputs!$B$3-100)*3)+Inputs!$B$27+Inputs!$B$28)))</f>
        <v/>
      </c>
      <c r="E445">
        <f>INDEX(FactorTable!$B$2:$Y$301, MATCH(ROUND(MIN(300,MAX(1,D445)),0), FactorTable!$A$2:$A$301,0), Skills!M12+1)</f>
        <v/>
      </c>
      <c r="F445">
        <f>IF(Skills!N12=TRUE,(Skills!L12/10)*(E445/1000),Skills!L12/10)+Skills!O12</f>
        <v/>
      </c>
      <c r="G445">
        <f>Skills!G12*IF(Skills!H12&gt;0,Skills!I12/Skills!H12,1)</f>
        <v/>
      </c>
      <c r="H445">
        <f>1-(1-Skills!J12/100)^Skills!K12</f>
        <v/>
      </c>
      <c r="I445" t="inlineStr">
        <is>
          <t>1</t>
        </is>
      </c>
      <c r="J445">
        <f>(Inputs!$B$5*(1+Inputs!$B$6/100))*(F445/100)</f>
        <v/>
      </c>
      <c r="K445">
        <f>J445*(1+((Inputs!$B$11*(1+Inputs!$B$12/100))*0.01+Inputs!$B$13*0.0025)/100)*(1+Inputs!$B$14/100)*(1+IF(Inputs!$B$4="pvp",0,(1-Summary!$B$55)*(Inputs!$B$19+0+Skills!P12+((C450=TRUE)*F450*IF(AND(Inputs!$B$4&lt;&gt;"pvp",Inputs!$B$35&gt;0),(((S450-1)*(Skills!T17*(1+Inputs!$B$33/100))+MIN((Skills!T17*(1+Inputs!$B$33/100)),MAX(0,Inputs!$B$35-((S450-1)*Skills!D17))))/Inputs!$B$35),IF(Inputs!$B$4="pvp",MIN((Skills!T17*(1+Inputs!$B$33/100)),15)/15,(Skills!T17*(1+Inputs!$B$33/100))/Skills!D17)))+((C447=TRUE)*IF(Inputs!$B$4="pvp",20,(1-Summary!$B$55)*(20)+Summary!$B$55*(0))*IF(AND(Inputs!$B$4&lt;&gt;"pvp",Inputs!$B$35&gt;0),(((S447-1)*(Skills!T14*(1+Inputs!$B$33/100))+MIN((Skills!T14*(1+Inputs!$B$33/100)),MAX(0,Inputs!$B$35-((S447-1)*Skills!D14))))/Inputs!$B$35),IF(Inputs!$B$4="pvp",MIN((Skills!T14*(1+Inputs!$B$33/100)),15)/15,(Skills!T14*(1+Inputs!$B$33/100))/Skills!D14))))+Summary!$B$55*(Inputs!$B$20+Skills!Q12+((C450=TRUE)*F450*IF(AND(Inputs!$B$4&lt;&gt;"pvp",Inputs!$B$35&gt;0),(((S450-1)*(Skills!T17*(1+Inputs!$B$33/100))+MIN((Skills!T17*(1+Inputs!$B$33/100)),MAX(0,Inputs!$B$35-((S450-1)*Skills!D17))))/Inputs!$B$35),IF(Inputs!$B$4="pvp",MIN((Skills!T17*(1+Inputs!$B$33/100)),15)/15,(Skills!T17*(1+Inputs!$B$33/100))/Skills!D17)))))/100)*(1+Inputs!$B$15/100)*(5000/(6000+Inputs!$B$7*(1-(Inputs!$B$18+0)/100)))*(1+(Inputs!$B$23+((C458=TRUE)*(F458-Calc!F25))+((C459=TRUE)*(F459-Calc!F26))+B468)/100)*(1+0.75*IF(C444=TRUE,F444,0)/100)*(1+(IF(Skills!A12="DARK_IMPALE",Inputs!$B$16+0,Inputs!$B$17+((C456=TRUE)*(F456-Calc!F23))))/100)*((1+(((C446=TRUE)*F446*IF(AND(Inputs!$B$4&lt;&gt;"pvp",Inputs!$B$35&gt;0),(((S446-1)*(Skills!T13*(1+Inputs!$B$33/100))+MIN((Skills!T13*(1+Inputs!$B$33/100)),MAX(0,Inputs!$B$35-((S446-1)*Skills!D13))))/Inputs!$B$35),IF(Inputs!$B$4="pvp",MIN((Skills!T13*(1+Inputs!$B$33/100)),15)/15,(Skills!T13*(1+Inputs!$B$33/100))/Skills!D13)))+((C447=TRUE)*F447*IF(AND(Inputs!$B$4&lt;&gt;"pvp",Inputs!$B$35&gt;0),(((S447-1)*(Skills!T14*(1+Inputs!$B$33/100))+MIN((Skills!T14*(1+Inputs!$B$33/100)),MAX(0,Inputs!$B$35-((S447-1)*Skills!D14))))/Inputs!$B$35),IF(Inputs!$B$4="pvp",MIN((Skills!T14*(1+Inputs!$B$33/100)),15)/15,(Skills!T14*(1+Inputs!$B$33/100))/Skills!D14)))+((C448=TRUE)*F448*IF(AND(Inputs!$B$4&lt;&gt;"pvp",Inputs!$B$35&gt;0),(((S448-1)*(Skills!T15*(1+Inputs!$B$33/100))+MIN((Skills!T15*(1+Inputs!$B$33/100)),MAX(0,Inputs!$B$35-((S448-1)*Skills!D15))))/Inputs!$B$35),IF(Inputs!$B$4="pvp",MIN((Skills!T15*(1+Inputs!$B$33/100)),15)/15,(Skills!T15*(1+Inputs!$B$33/100))/Skills!D15)))+((C449=TRUE)*F449*IF(AND(Inputs!$B$4&lt;&gt;"pvp",Inputs!$B$35&gt;0),(((S449-1)*(Skills!T16*(1+Inputs!$B$33/100))+MIN((Skills!T16*(1+Inputs!$B$33/100)),MAX(0,Inputs!$B$35-((S449-1)*Skills!D16))))/Inputs!$B$35),IF(Inputs!$B$4="pvp",MIN((Skills!T16*(1+Inputs!$B$33/100)),15)/15,(Skills!T16*(1+Inputs!$B$33/100))/Skills!D16)))+0)/100)*I445)</f>
        <v/>
      </c>
      <c r="L445">
        <f>K445*(MIN(Inputs!$B$21+((C455=TRUE)*(F455-Calc!F22)),Inputs!$B$22+((C457=TRUE)*(F457-Calc!F24)))/100+(Inputs!$B$22+((C457=TRUE)*(F457-Calc!F24)))/100)/2</f>
        <v/>
      </c>
      <c r="M445">
        <f>L445*(1+(Inputs!$B$9+0+B467)/100)</f>
        <v/>
      </c>
      <c r="N445">
        <f>L445*(1-MIN(((Inputs!$B$8+1)+0+B462),100)/100)+M445*(MIN(((Inputs!$B$8+1)+0+B462),100)/100)</f>
        <v/>
      </c>
      <c r="O445">
        <f>IF(C445,H445*N445*IF(AND(Inputs!$B$4&lt;&gt;"pvp",Inputs!$B$35&gt;0),((Skills!G12*((R445-1)*IF(Skills!H12&gt;0,Skills!I12/Skills!H12,1)+IF(Skills!H12&gt;0,MIN(Skills!I12,MAX(0,Inputs!$B$35-((R445-1)*IF(Inputs!$B$4="pvp",15,MAX(0.1,Skills!D12-IF(Skills!E12=TRUE,Inputs!$B$31,0))))))/Skills!H12,1)))/Inputs!$B$35),G445*Q445)*IF(Inputs!$B$4="pvp",1,(1-Summary!$B$55)*(1)+Summary!$B$55*(MIN(Skills!R12,Inputs!$B$37))),0)</f>
        <v/>
      </c>
      <c r="P445">
        <f>IF(B470=0,0,O445/B470)</f>
        <v/>
      </c>
      <c r="Q445">
        <f>IFERROR(1/IF(Inputs!$B$4="pvp",15,MAX(0.1,Skills!D12-IF(Skills!E12=TRUE,Inputs!$B$31,0))),0)</f>
        <v/>
      </c>
      <c r="R445">
        <f>IF(AND(Inputs!$B$4&lt;&gt;"pvp",Inputs!$B$35&gt;0),(INT(Inputs!$B$35/IF(Inputs!$B$4="pvp",15,MAX(0.1,Skills!D12-IF(Skills!E12=TRUE,Inputs!$B$31,0))))+1),0)</f>
        <v/>
      </c>
      <c r="S445">
        <f>IFERROR(O445/N445,0)</f>
        <v/>
      </c>
    </row>
    <row r="446">
      <c r="A446">
        <f>Skills!A13</f>
        <v/>
      </c>
      <c r="B446">
        <f>Skills!B13</f>
        <v/>
      </c>
      <c r="C446">
        <f>Inputs!$B$3&gt;=69</f>
        <v/>
      </c>
      <c r="D446">
        <f>IF(Skills!C13=1,60+Inputs!$B$24+Inputs!$B$28,IF(Skills!C13=2,90+Inputs!$B$25+Inputs!$B$28,IF(Skills!C13=3,120+Inputs!$B$26+Inputs!$B$28,MAX(0,(Inputs!$B$3-100)*3)+Inputs!$B$27+Inputs!$B$28)))</f>
        <v/>
      </c>
      <c r="E446">
        <f>INDEX(FactorTable!$B$2:$Y$301, MATCH(ROUND(MIN(300,MAX(1,D446)),0), FactorTable!$A$2:$A$301,0), Skills!M13+1)</f>
        <v/>
      </c>
      <c r="F446">
        <f>IF(Skills!N13=TRUE,(Skills!L13/10)*(E446/1000),Skills!L13/10)+Skills!O13</f>
        <v/>
      </c>
      <c r="G446">
        <f>Skills!G13*IF(Skills!H13&gt;0,Skills!I13/Skills!H13,1)</f>
        <v/>
      </c>
      <c r="H446">
        <f>1-(1-Skills!J13/100)^Skills!K13</f>
        <v/>
      </c>
      <c r="I446" t="inlineStr">
        <is>
          <t>1</t>
        </is>
      </c>
      <c r="J446" t="inlineStr"/>
      <c r="K446" t="inlineStr"/>
      <c r="L446" t="inlineStr"/>
      <c r="M446" t="inlineStr"/>
      <c r="N446" t="inlineStr"/>
      <c r="O446" t="n">
        <v>0</v>
      </c>
      <c r="P446">
        <f>IF(B470=0,0,O446/B470)</f>
        <v/>
      </c>
      <c r="Q446">
        <f>IFERROR(1/IF(Inputs!$B$4="pvp",15,MAX(0.1,Skills!D13-IF(Skills!E13=TRUE,Inputs!$B$31,0))),0)</f>
        <v/>
      </c>
      <c r="R446">
        <f>IF(AND(Inputs!$B$4&lt;&gt;"pvp",Inputs!$B$35&gt;0),(INT(Inputs!$B$35/IF(Inputs!$B$4="pvp",15,MAX(0.1,Skills!D13-IF(Skills!E13=TRUE,Inputs!$B$31,0))))+1),0)</f>
        <v/>
      </c>
      <c r="S446">
        <f>IFERROR(O446/N446,0)</f>
        <v/>
      </c>
    </row>
    <row r="447">
      <c r="A447">
        <f>Skills!A14</f>
        <v/>
      </c>
      <c r="B447">
        <f>Skills!B14</f>
        <v/>
      </c>
      <c r="C447">
        <f>Inputs!$B$3&gt;=115</f>
        <v/>
      </c>
      <c r="D447">
        <f>IF(Skills!C14=1,60+Inputs!$B$24+Inputs!$B$28,IF(Skills!C14=2,90+Inputs!$B$25+Inputs!$B$28,IF(Skills!C14=3,120+Inputs!$B$26+Inputs!$B$28,MAX(0,(Inputs!$B$3-100)*3)+Inputs!$B$27+Inputs!$B$28)))</f>
        <v/>
      </c>
      <c r="E447">
        <f>INDEX(FactorTable!$B$2:$Y$301, MATCH(ROUND(MIN(300,MAX(1,D447)),0), FactorTable!$A$2:$A$301,0), Skills!M14+1)</f>
        <v/>
      </c>
      <c r="F447">
        <f>IF(Skills!N14=TRUE,(Skills!L14/10)*(E447/1000),Skills!L14/10)+Skills!O14</f>
        <v/>
      </c>
      <c r="G447">
        <f>Skills!G14*IF(Skills!H14&gt;0,Skills!I14/Skills!H14,1)</f>
        <v/>
      </c>
      <c r="H447">
        <f>1-(1-Skills!J14/100)^Skills!K14</f>
        <v/>
      </c>
      <c r="I447" t="inlineStr">
        <is>
          <t>1</t>
        </is>
      </c>
      <c r="J447" t="inlineStr"/>
      <c r="K447" t="inlineStr"/>
      <c r="L447" t="inlineStr"/>
      <c r="M447" t="inlineStr"/>
      <c r="N447" t="inlineStr"/>
      <c r="O447" t="n">
        <v>0</v>
      </c>
      <c r="P447">
        <f>IF(B470=0,0,O447/B470)</f>
        <v/>
      </c>
      <c r="Q447">
        <f>IFERROR(1/IF(Inputs!$B$4="pvp",15,MAX(0.1,Skills!D14-IF(Skills!E14=TRUE,Inputs!$B$31,0))),0)</f>
        <v/>
      </c>
      <c r="R447">
        <f>IF(AND(Inputs!$B$4&lt;&gt;"pvp",Inputs!$B$35&gt;0),(INT(Inputs!$B$35/IF(Inputs!$B$4="pvp",15,MAX(0.1,Skills!D14-IF(Skills!E14=TRUE,Inputs!$B$31,0))))+1),0)</f>
        <v/>
      </c>
      <c r="S447">
        <f>IFERROR(O447/N447,0)</f>
        <v/>
      </c>
    </row>
    <row r="448">
      <c r="A448">
        <f>Skills!A15</f>
        <v/>
      </c>
      <c r="B448">
        <f>Skills!B15</f>
        <v/>
      </c>
      <c r="C448">
        <f>Inputs!$B$3&gt;=66</f>
        <v/>
      </c>
      <c r="D448">
        <f>IF(Skills!C15=1,60+Inputs!$B$24+Inputs!$B$28,IF(Skills!C15=2,90+Inputs!$B$25+Inputs!$B$28,IF(Skills!C15=3,120+Inputs!$B$26+Inputs!$B$28,MAX(0,(Inputs!$B$3-100)*3)+Inputs!$B$27+Inputs!$B$28)))</f>
        <v/>
      </c>
      <c r="E448">
        <f>INDEX(FactorTable!$B$2:$Y$301, MATCH(ROUND(MIN(300,MAX(1,D448)),0), FactorTable!$A$2:$A$301,0), Skills!M15+1)</f>
        <v/>
      </c>
      <c r="F448">
        <f>IF(Skills!N15=TRUE,(Skills!L15/10)*(E448/1000),Skills!L15/10)+Skills!O15</f>
        <v/>
      </c>
      <c r="G448">
        <f>Skills!G15*IF(Skills!H15&gt;0,Skills!I15/Skills!H15,1)</f>
        <v/>
      </c>
      <c r="H448">
        <f>1-(1-Skills!J15/100)^Skills!K15</f>
        <v/>
      </c>
      <c r="I448" t="inlineStr">
        <is>
          <t>1</t>
        </is>
      </c>
      <c r="J448" t="inlineStr"/>
      <c r="K448" t="inlineStr"/>
      <c r="L448" t="inlineStr"/>
      <c r="M448" t="inlineStr"/>
      <c r="N448" t="inlineStr"/>
      <c r="O448" t="n">
        <v>0</v>
      </c>
      <c r="P448">
        <f>IF(B470=0,0,O448/B470)</f>
        <v/>
      </c>
      <c r="Q448">
        <f>IFERROR(1/IF(Inputs!$B$4="pvp",15,MAX(0.1,Skills!D15-IF(Skills!E15=TRUE,Inputs!$B$31,0))),0)</f>
        <v/>
      </c>
      <c r="R448">
        <f>IF(AND(Inputs!$B$4&lt;&gt;"pvp",Inputs!$B$35&gt;0),(INT(Inputs!$B$35/IF(Inputs!$B$4="pvp",15,MAX(0.1,Skills!D15-IF(Skills!E15=TRUE,Inputs!$B$31,0))))+1),0)</f>
        <v/>
      </c>
      <c r="S448">
        <f>IFERROR(O448/N448,0)</f>
        <v/>
      </c>
    </row>
    <row r="449">
      <c r="A449">
        <f>Skills!A16</f>
        <v/>
      </c>
      <c r="B449">
        <f>Skills!B16</f>
        <v/>
      </c>
      <c r="C449">
        <f>Inputs!$B$3&gt;=45</f>
        <v/>
      </c>
      <c r="D449">
        <f>IF(Skills!C16=1,60+Inputs!$B$24+Inputs!$B$28,IF(Skills!C16=2,90+Inputs!$B$25+Inputs!$B$28,IF(Skills!C16=3,120+Inputs!$B$26+Inputs!$B$28,MAX(0,(Inputs!$B$3-100)*3)+Inputs!$B$27+Inputs!$B$28)))</f>
        <v/>
      </c>
      <c r="E449">
        <f>INDEX(FactorTable!$B$2:$Y$301, MATCH(ROUND(MIN(300,MAX(1,D449)),0), FactorTable!$A$2:$A$301,0), Skills!M16+1)</f>
        <v/>
      </c>
      <c r="F449">
        <f>IF(Skills!N16=TRUE,(Skills!L16/10)*(E449/1000),Skills!L16/10)+Skills!O16</f>
        <v/>
      </c>
      <c r="G449">
        <f>Skills!G16*IF(Skills!H16&gt;0,Skills!I16/Skills!H16,1)</f>
        <v/>
      </c>
      <c r="H449">
        <f>1-(1-Skills!J16/100)^Skills!K16</f>
        <v/>
      </c>
      <c r="I449" t="inlineStr">
        <is>
          <t>1</t>
        </is>
      </c>
      <c r="J449" t="inlineStr"/>
      <c r="K449" t="inlineStr"/>
      <c r="L449" t="inlineStr"/>
      <c r="M449" t="inlineStr"/>
      <c r="N449" t="inlineStr"/>
      <c r="O449" t="n">
        <v>0</v>
      </c>
      <c r="P449">
        <f>IF(B470=0,0,O449/B470)</f>
        <v/>
      </c>
      <c r="Q449">
        <f>IFERROR(1/IF(Inputs!$B$4="pvp",15,MAX(0.1,Skills!D16-IF(Skills!E16=TRUE,Inputs!$B$31,0))),0)</f>
        <v/>
      </c>
      <c r="R449">
        <f>IF(AND(Inputs!$B$4&lt;&gt;"pvp",Inputs!$B$35&gt;0),(INT(Inputs!$B$35/IF(Inputs!$B$4="pvp",15,MAX(0.1,Skills!D16-IF(Skills!E16=TRUE,Inputs!$B$31,0))))+1),0)</f>
        <v/>
      </c>
      <c r="S449">
        <f>IFERROR(O449/N449,0)</f>
        <v/>
      </c>
    </row>
    <row r="450">
      <c r="A450">
        <f>Skills!A17</f>
        <v/>
      </c>
      <c r="B450">
        <f>Skills!B17</f>
        <v/>
      </c>
      <c r="C450">
        <f>Inputs!$B$3&gt;=35</f>
        <v/>
      </c>
      <c r="D450">
        <f>IF(Skills!C17=1,60+Inputs!$B$24+Inputs!$B$28,IF(Skills!C17=2,90+Inputs!$B$25+Inputs!$B$28,IF(Skills!C17=3,120+Inputs!$B$26+Inputs!$B$28,MAX(0,(Inputs!$B$3-100)*3)+Inputs!$B$27+Inputs!$B$28)))</f>
        <v/>
      </c>
      <c r="E450">
        <f>INDEX(FactorTable!$B$2:$Y$301, MATCH(ROUND(MIN(300,MAX(1,D450)),0), FactorTable!$A$2:$A$301,0), Skills!M17+1)</f>
        <v/>
      </c>
      <c r="F450">
        <f>IF(Skills!N17=TRUE,(Skills!L17/10)*(E450/1000),Skills!L17/10)+Skills!O17</f>
        <v/>
      </c>
      <c r="G450">
        <f>Skills!G17*IF(Skills!H17&gt;0,Skills!I17/Skills!H17,1)</f>
        <v/>
      </c>
      <c r="H450">
        <f>1-(1-Skills!J17/100)^Skills!K17</f>
        <v/>
      </c>
      <c r="I450" t="inlineStr">
        <is>
          <t>1</t>
        </is>
      </c>
      <c r="J450" t="inlineStr"/>
      <c r="K450" t="inlineStr"/>
      <c r="L450" t="inlineStr"/>
      <c r="M450" t="inlineStr"/>
      <c r="N450" t="inlineStr"/>
      <c r="O450" t="n">
        <v>0</v>
      </c>
      <c r="P450">
        <f>IF(B470=0,0,O450/B470)</f>
        <v/>
      </c>
      <c r="Q450">
        <f>IFERROR(1/IF(Inputs!$B$4="pvp",15,MAX(0.1,Skills!D17-IF(Skills!E17=TRUE,Inputs!$B$31,0))),0)</f>
        <v/>
      </c>
      <c r="R450">
        <f>IF(AND(Inputs!$B$4&lt;&gt;"pvp",Inputs!$B$35&gt;0),(INT(Inputs!$B$35/IF(Inputs!$B$4="pvp",15,MAX(0.1,Skills!D17-IF(Skills!E17=TRUE,Inputs!$B$31,0))))+1),0)</f>
        <v/>
      </c>
      <c r="S450">
        <f>IFERROR(O450/N450,0)</f>
        <v/>
      </c>
    </row>
    <row r="451">
      <c r="A451">
        <f>Skills!A18</f>
        <v/>
      </c>
      <c r="B451">
        <f>Skills!B18</f>
        <v/>
      </c>
      <c r="C451">
        <f>Inputs!$B$3&gt;=72</f>
        <v/>
      </c>
      <c r="D451">
        <f>IF(Skills!C18=1,60+Inputs!$B$24+Inputs!$B$28,IF(Skills!C18=2,90+Inputs!$B$25+Inputs!$B$28,IF(Skills!C18=3,120+Inputs!$B$26+Inputs!$B$28,MAX(0,(Inputs!$B$3-100)*3)+Inputs!$B$27+Inputs!$B$28)))</f>
        <v/>
      </c>
      <c r="E451">
        <f>INDEX(FactorTable!$B$2:$Y$301, MATCH(ROUND(MIN(300,MAX(1,D451)),0), FactorTable!$A$2:$A$301,0), Skills!M18+1)</f>
        <v/>
      </c>
      <c r="F451">
        <f>IF(Skills!N18=TRUE,(Skills!L18/10)*(E451/1000),Skills!L18/10)+Skills!O18</f>
        <v/>
      </c>
      <c r="G451">
        <f>Skills!G18*IF(Skills!H18&gt;0,Skills!I18/Skills!H18,1)</f>
        <v/>
      </c>
      <c r="H451">
        <f>1-(1-Skills!J18/100)^Skills!K18</f>
        <v/>
      </c>
      <c r="I451" t="inlineStr">
        <is>
          <t>1</t>
        </is>
      </c>
      <c r="J451" t="inlineStr"/>
      <c r="K451" t="inlineStr"/>
      <c r="L451" t="inlineStr"/>
      <c r="M451" t="inlineStr"/>
      <c r="N451" t="inlineStr"/>
      <c r="O451" t="n">
        <v>0</v>
      </c>
      <c r="P451">
        <f>IF(B470=0,0,O451/B470)</f>
        <v/>
      </c>
      <c r="Q451">
        <f>IFERROR(1/IF(Inputs!$B$4="pvp",15,MAX(0.1,Skills!D18-IF(Skills!E18=TRUE,Inputs!$B$31,0))),0)</f>
        <v/>
      </c>
      <c r="R451">
        <f>IF(AND(Inputs!$B$4&lt;&gt;"pvp",Inputs!$B$35&gt;0),(INT(Inputs!$B$35/IF(Inputs!$B$4="pvp",15,MAX(0.1,Skills!D18-IF(Skills!E18=TRUE,Inputs!$B$31,0))))+1),0)</f>
        <v/>
      </c>
      <c r="S451">
        <f>IFERROR(O451/N451,0)</f>
        <v/>
      </c>
    </row>
    <row r="452">
      <c r="A452">
        <f>Skills!A19</f>
        <v/>
      </c>
      <c r="B452">
        <f>Skills!B19</f>
        <v/>
      </c>
      <c r="C452">
        <f>Inputs!$B$3&gt;=72</f>
        <v/>
      </c>
      <c r="D452">
        <f>IF(Skills!C19=1,60+Inputs!$B$24+Inputs!$B$28,IF(Skills!C19=2,90+Inputs!$B$25+Inputs!$B$28,IF(Skills!C19=3,120+Inputs!$B$26+Inputs!$B$28,MAX(0,(Inputs!$B$3-100)*3)+Inputs!$B$27+Inputs!$B$28)))</f>
        <v/>
      </c>
      <c r="E452">
        <f>INDEX(FactorTable!$B$2:$Y$301, MATCH(ROUND(MIN(300,MAX(1,D452)),0), FactorTable!$A$2:$A$301,0), Skills!M19+1)</f>
        <v/>
      </c>
      <c r="F452">
        <f>IF(Skills!N19=TRUE,(Skills!L19/10)*(E452/1000),Skills!L19/10)+Skills!O19</f>
        <v/>
      </c>
      <c r="G452">
        <f>Skills!G19*IF(Skills!H19&gt;0,Skills!I19/Skills!H19,1)</f>
        <v/>
      </c>
      <c r="H452">
        <f>1-(1-Skills!J19/100)^Skills!K19</f>
        <v/>
      </c>
      <c r="I452" t="inlineStr">
        <is>
          <t>1</t>
        </is>
      </c>
      <c r="J452" t="inlineStr"/>
      <c r="K452" t="inlineStr"/>
      <c r="L452" t="inlineStr"/>
      <c r="M452" t="inlineStr"/>
      <c r="N452" t="inlineStr"/>
      <c r="O452" t="n">
        <v>0</v>
      </c>
      <c r="P452">
        <f>IF(B470=0,0,O452/B470)</f>
        <v/>
      </c>
      <c r="Q452">
        <f>IFERROR(1/IF(Inputs!$B$4="pvp",15,MAX(0.1,Skills!D19-IF(Skills!E19=TRUE,Inputs!$B$31,0))),0)</f>
        <v/>
      </c>
      <c r="R452">
        <f>IF(AND(Inputs!$B$4&lt;&gt;"pvp",Inputs!$B$35&gt;0),(INT(Inputs!$B$35/IF(Inputs!$B$4="pvp",15,MAX(0.1,Skills!D19-IF(Skills!E19=TRUE,Inputs!$B$31,0))))+1),0)</f>
        <v/>
      </c>
      <c r="S452">
        <f>IFERROR(O452/N452,0)</f>
        <v/>
      </c>
    </row>
    <row r="453">
      <c r="A453">
        <f>Skills!A20</f>
        <v/>
      </c>
      <c r="B453">
        <f>Skills!B20</f>
        <v/>
      </c>
      <c r="C453">
        <f>TRUE</f>
        <v/>
      </c>
      <c r="D453">
        <f>IF(Skills!C20=1,60+Inputs!$B$24+Inputs!$B$28,IF(Skills!C20=2,90+Inputs!$B$25+Inputs!$B$28,IF(Skills!C20=3,120+Inputs!$B$26+Inputs!$B$28,MAX(0,(Inputs!$B$3-100)*3)+Inputs!$B$27+Inputs!$B$28)))</f>
        <v/>
      </c>
      <c r="E453">
        <f>INDEX(FactorTable!$B$2:$Y$301, MATCH(ROUND(MIN(300,MAX(1,D453)),0), FactorTable!$A$2:$A$301,0), Skills!M20+1)</f>
        <v/>
      </c>
      <c r="F453">
        <f>IF(Skills!N20=TRUE,(Skills!L20/10)*(E453/1000),Skills!L20/10)+Skills!O20</f>
        <v/>
      </c>
      <c r="G453">
        <f>Skills!G20*IF(Skills!H20&gt;0,Skills!I20/Skills!H20,1)</f>
        <v/>
      </c>
      <c r="H453">
        <f>1-(1-Skills!J20/100)^Skills!K20</f>
        <v/>
      </c>
      <c r="I453" t="inlineStr">
        <is>
          <t>1</t>
        </is>
      </c>
      <c r="J453" t="inlineStr"/>
      <c r="K453" t="inlineStr"/>
      <c r="L453" t="inlineStr"/>
      <c r="M453" t="inlineStr"/>
      <c r="N453" t="inlineStr"/>
      <c r="O453" t="n">
        <v>0</v>
      </c>
      <c r="P453">
        <f>IF(B470=0,0,O453/B470)</f>
        <v/>
      </c>
      <c r="Q453">
        <f>IFERROR(1/IF(Inputs!$B$4="pvp",15,MAX(0.1,Skills!D20-IF(Skills!E20=TRUE,Inputs!$B$31,0))),0)</f>
        <v/>
      </c>
      <c r="R453">
        <f>IF(AND(Inputs!$B$4&lt;&gt;"pvp",Inputs!$B$35&gt;0),(INT(Inputs!$B$35/IF(Inputs!$B$4="pvp",15,MAX(0.1,Skills!D20-IF(Skills!E20=TRUE,Inputs!$B$31,0))))+1),0)</f>
        <v/>
      </c>
      <c r="S453">
        <f>IFERROR(O453/N453,0)</f>
        <v/>
      </c>
    </row>
    <row r="454">
      <c r="A454">
        <f>Skills!A21</f>
        <v/>
      </c>
      <c r="B454">
        <f>Skills!B21</f>
        <v/>
      </c>
      <c r="C454">
        <f>Inputs!$B$3&gt;=33</f>
        <v/>
      </c>
      <c r="D454">
        <f>IF(Skills!C21=1,60+Inputs!$B$24+Inputs!$B$28,IF(Skills!C21=2,90+Inputs!$B$25+Inputs!$B$28,IF(Skills!C21=3,120+Inputs!$B$26+Inputs!$B$28,MAX(0,(Inputs!$B$3-100)*3)+Inputs!$B$27+Inputs!$B$28)))</f>
        <v/>
      </c>
      <c r="E454">
        <f>INDEX(FactorTable!$B$2:$Y$301, MATCH(ROUND(MIN(300,MAX(1,D454)),0), FactorTable!$A$2:$A$301,0), Skills!M21+1)</f>
        <v/>
      </c>
      <c r="F454">
        <f>IF(Skills!N21=TRUE,(Skills!L21/10)*(E454/1000),Skills!L21/10)+Skills!O21</f>
        <v/>
      </c>
      <c r="G454">
        <f>Skills!G21*IF(Skills!H21&gt;0,Skills!I21/Skills!H21,1)</f>
        <v/>
      </c>
      <c r="H454">
        <f>1-(1-Skills!J21/100)^Skills!K21</f>
        <v/>
      </c>
      <c r="I454" t="inlineStr">
        <is>
          <t>1</t>
        </is>
      </c>
      <c r="J454" t="inlineStr"/>
      <c r="K454" t="inlineStr"/>
      <c r="L454" t="inlineStr"/>
      <c r="M454" t="inlineStr"/>
      <c r="N454" t="inlineStr"/>
      <c r="O454" t="n">
        <v>0</v>
      </c>
      <c r="P454">
        <f>IF(B470=0,0,O454/B470)</f>
        <v/>
      </c>
      <c r="Q454" t="n">
        <v>0</v>
      </c>
      <c r="R454" t="n">
        <v>0</v>
      </c>
      <c r="S454">
        <f>IFERROR(O454/N454,0)</f>
        <v/>
      </c>
    </row>
    <row r="455">
      <c r="A455">
        <f>Skills!A22</f>
        <v/>
      </c>
      <c r="B455">
        <f>Skills!B22</f>
        <v/>
      </c>
      <c r="C455">
        <f>Inputs!$B$3&gt;=43</f>
        <v/>
      </c>
      <c r="D455">
        <f>IF(Skills!C22=1,60+Inputs!$B$24+Inputs!$B$28,IF(Skills!C22=2,90+Inputs!$B$25+Inputs!$B$28,IF(Skills!C22=3,120+Inputs!$B$26+Inputs!$B$28,MAX(0,(Inputs!$B$3-100)*3)+Inputs!$B$27+Inputs!$B$28)))</f>
        <v/>
      </c>
      <c r="E455">
        <f>INDEX(FactorTable!$B$2:$Y$301, MATCH(ROUND(MIN(300,MAX(1,D455)),0), FactorTable!$A$2:$A$301,0), Skills!M22+1)</f>
        <v/>
      </c>
      <c r="F455">
        <f>IF(Skills!N22=TRUE,(Skills!L22/10)*(E455/1000),Skills!L22/10)+Skills!O22</f>
        <v/>
      </c>
      <c r="G455">
        <f>Skills!G22*IF(Skills!H22&gt;0,Skills!I22/Skills!H22,1)</f>
        <v/>
      </c>
      <c r="H455">
        <f>1-(1-Skills!J22/100)^Skills!K22</f>
        <v/>
      </c>
      <c r="I455" t="inlineStr">
        <is>
          <t>1</t>
        </is>
      </c>
      <c r="J455" t="inlineStr"/>
      <c r="K455" t="inlineStr"/>
      <c r="L455" t="inlineStr"/>
      <c r="M455" t="inlineStr"/>
      <c r="N455" t="inlineStr"/>
      <c r="O455" t="n">
        <v>0</v>
      </c>
      <c r="P455">
        <f>IF(B470=0,0,O455/B470)</f>
        <v/>
      </c>
      <c r="Q455" t="n">
        <v>0</v>
      </c>
      <c r="R455" t="n">
        <v>0</v>
      </c>
      <c r="S455">
        <f>IFERROR(O455/N455,0)</f>
        <v/>
      </c>
    </row>
    <row r="456">
      <c r="A456">
        <f>Skills!A23</f>
        <v/>
      </c>
      <c r="B456">
        <f>Skills!B23</f>
        <v/>
      </c>
      <c r="C456">
        <f>Inputs!$B$3&gt;=120</f>
        <v/>
      </c>
      <c r="D456">
        <f>IF(Skills!C23=1,60+Inputs!$B$24+Inputs!$B$28,IF(Skills!C23=2,90+Inputs!$B$25+Inputs!$B$28,IF(Skills!C23=3,120+Inputs!$B$26+Inputs!$B$28,MAX(0,(Inputs!$B$3-100)*3)+Inputs!$B$27+Inputs!$B$28)))</f>
        <v/>
      </c>
      <c r="E456">
        <f>INDEX(FactorTable!$B$2:$Y$301, MATCH(ROUND(MIN(300,MAX(1,D456)),0), FactorTable!$A$2:$A$301,0), Skills!M23+1)</f>
        <v/>
      </c>
      <c r="F456">
        <f>IF(Skills!N23=TRUE,(Skills!L23/10)*(E456/1000),Skills!L23/10)+Skills!O23</f>
        <v/>
      </c>
      <c r="G456">
        <f>Skills!G23*IF(Skills!H23&gt;0,Skills!I23/Skills!H23,1)</f>
        <v/>
      </c>
      <c r="H456">
        <f>1-(1-Skills!J23/100)^Skills!K23</f>
        <v/>
      </c>
      <c r="I456" t="inlineStr">
        <is>
          <t>1</t>
        </is>
      </c>
      <c r="J456" t="inlineStr"/>
      <c r="K456" t="inlineStr"/>
      <c r="L456" t="inlineStr"/>
      <c r="M456" t="inlineStr"/>
      <c r="N456" t="inlineStr"/>
      <c r="O456" t="n">
        <v>0</v>
      </c>
      <c r="P456">
        <f>IF(B470=0,0,O456/B470)</f>
        <v/>
      </c>
      <c r="Q456" t="n">
        <v>0</v>
      </c>
      <c r="R456" t="n">
        <v>0</v>
      </c>
      <c r="S456">
        <f>IFERROR(O456/N456,0)</f>
        <v/>
      </c>
    </row>
    <row r="457">
      <c r="A457">
        <f>Skills!A24</f>
        <v/>
      </c>
      <c r="B457">
        <f>Skills!B24</f>
        <v/>
      </c>
      <c r="C457">
        <f>Inputs!$B$3&gt;=120</f>
        <v/>
      </c>
      <c r="D457">
        <f>IF(Skills!C24=1,60+Inputs!$B$24+Inputs!$B$28,IF(Skills!C24=2,90+Inputs!$B$25+Inputs!$B$28,IF(Skills!C24=3,120+Inputs!$B$26+Inputs!$B$28,MAX(0,(Inputs!$B$3-100)*3)+Inputs!$B$27+Inputs!$B$28)))</f>
        <v/>
      </c>
      <c r="E457">
        <f>INDEX(FactorTable!$B$2:$Y$301, MATCH(ROUND(MIN(300,MAX(1,D457)),0), FactorTable!$A$2:$A$301,0), Skills!M24+1)</f>
        <v/>
      </c>
      <c r="F457">
        <f>IF(Skills!N24=TRUE,(Skills!L24/10)*(E457/1000),Skills!L24/10)+Skills!O24</f>
        <v/>
      </c>
      <c r="G457">
        <f>Skills!G24*IF(Skills!H24&gt;0,Skills!I24/Skills!H24,1)</f>
        <v/>
      </c>
      <c r="H457">
        <f>1-(1-Skills!J24/100)^Skills!K24</f>
        <v/>
      </c>
      <c r="I457" t="inlineStr">
        <is>
          <t>1</t>
        </is>
      </c>
      <c r="J457" t="inlineStr"/>
      <c r="K457" t="inlineStr"/>
      <c r="L457" t="inlineStr"/>
      <c r="M457" t="inlineStr"/>
      <c r="N457" t="inlineStr"/>
      <c r="O457" t="n">
        <v>0</v>
      </c>
      <c r="P457">
        <f>IF(B470=0,0,O457/B470)</f>
        <v/>
      </c>
      <c r="Q457" t="n">
        <v>0</v>
      </c>
      <c r="R457" t="n">
        <v>0</v>
      </c>
      <c r="S457">
        <f>IFERROR(O457/N457,0)</f>
        <v/>
      </c>
    </row>
    <row r="458">
      <c r="A458">
        <f>Skills!A25</f>
        <v/>
      </c>
      <c r="B458">
        <f>Skills!B25</f>
        <v/>
      </c>
      <c r="C458">
        <f>Inputs!$B$3&gt;=125</f>
        <v/>
      </c>
      <c r="D458">
        <f>IF(Skills!C25=1,60+Inputs!$B$24+Inputs!$B$28,IF(Skills!C25=2,90+Inputs!$B$25+Inputs!$B$28,IF(Skills!C25=3,120+Inputs!$B$26+Inputs!$B$28,MAX(0,(Inputs!$B$3-100)*3)+Inputs!$B$27+Inputs!$B$28)))</f>
        <v/>
      </c>
      <c r="E458">
        <f>INDEX(FactorTable!$B$2:$Y$301, MATCH(ROUND(MIN(300,MAX(1,D458)),0), FactorTable!$A$2:$A$301,0), Skills!M25+1)</f>
        <v/>
      </c>
      <c r="F458">
        <f>IF(Skills!N25=TRUE,(Skills!L25/10)*(E458/1000),Skills!L25/10)+Skills!O25</f>
        <v/>
      </c>
      <c r="G458">
        <f>Skills!G25*IF(Skills!H25&gt;0,Skills!I25/Skills!H25,1)</f>
        <v/>
      </c>
      <c r="H458">
        <f>1-(1-Skills!J25/100)^Skills!K25</f>
        <v/>
      </c>
      <c r="I458" t="inlineStr">
        <is>
          <t>1</t>
        </is>
      </c>
      <c r="J458" t="inlineStr"/>
      <c r="K458" t="inlineStr"/>
      <c r="L458" t="inlineStr"/>
      <c r="M458" t="inlineStr"/>
      <c r="N458" t="inlineStr"/>
      <c r="O458" t="n">
        <v>0</v>
      </c>
      <c r="P458">
        <f>IF(B470=0,0,O458/B470)</f>
        <v/>
      </c>
      <c r="Q458" t="n">
        <v>0</v>
      </c>
      <c r="R458" t="n">
        <v>0</v>
      </c>
      <c r="S458">
        <f>IFERROR(O458/N458,0)</f>
        <v/>
      </c>
    </row>
    <row r="459">
      <c r="A459">
        <f>Skills!A26</f>
        <v/>
      </c>
      <c r="B459">
        <f>Skills!B26</f>
        <v/>
      </c>
      <c r="C459">
        <f>Inputs!$B$3&gt;=107</f>
        <v/>
      </c>
      <c r="D459">
        <f>IF(Skills!C26=1,60+Inputs!$B$24+Inputs!$B$28,IF(Skills!C26=2,90+Inputs!$B$25+Inputs!$B$28,IF(Skills!C26=3,120+Inputs!$B$26+Inputs!$B$28,MAX(0,(Inputs!$B$3-100)*3)+Inputs!$B$27+Inputs!$B$28)))</f>
        <v/>
      </c>
      <c r="E459">
        <f>INDEX(FactorTable!$B$2:$Y$301, MATCH(ROUND(MIN(300,MAX(1,D459)),0), FactorTable!$A$2:$A$301,0), Skills!M26+1)</f>
        <v/>
      </c>
      <c r="F459">
        <f>IF(Skills!N26=TRUE,(Skills!L26/10)*(E459/1000),Skills!L26/10)+Skills!O26</f>
        <v/>
      </c>
      <c r="G459">
        <f>Skills!G26*IF(Skills!H26&gt;0,Skills!I26/Skills!H26,1)</f>
        <v/>
      </c>
      <c r="H459">
        <f>1-(1-Skills!J26/100)^Skills!K26</f>
        <v/>
      </c>
      <c r="I459" t="inlineStr">
        <is>
          <t>1</t>
        </is>
      </c>
      <c r="J459" t="inlineStr"/>
      <c r="K459" t="inlineStr"/>
      <c r="L459" t="inlineStr"/>
      <c r="M459" t="inlineStr"/>
      <c r="N459" t="inlineStr"/>
      <c r="O459" t="n">
        <v>0</v>
      </c>
      <c r="P459">
        <f>IF(B470=0,0,O459/B470)</f>
        <v/>
      </c>
      <c r="Q459" t="n">
        <v>0</v>
      </c>
      <c r="R459" t="n">
        <v>0</v>
      </c>
      <c r="S459">
        <f>IFERROR(O459/N459,0)</f>
        <v/>
      </c>
    </row>
    <row r="461">
      <c r="A461" t="inlineStr">
        <is>
          <t>Attack% Bucket Multiplier</t>
        </is>
      </c>
      <c r="B461">
        <f>(1+(((C446=TRUE)*F446*IF(AND(Inputs!$B$4&lt;&gt;"pvp",Inputs!$B$35&gt;0),(((S446-1)*(Skills!T13*(1+Inputs!$B$33/100))+MIN((Skills!T13*(1+Inputs!$B$33/100)),MAX(0,Inputs!$B$35-((S446-1)*Skills!D13))))/Inputs!$B$35),IF(Inputs!$B$4="pvp",MIN((Skills!T13*(1+Inputs!$B$33/100)),15)/15,(Skills!T13*(1+Inputs!$B$33/100))/Skills!D13)))+((C447=TRUE)*F447*IF(AND(Inputs!$B$4&lt;&gt;"pvp",Inputs!$B$35&gt;0),(((S447-1)*(Skills!T14*(1+Inputs!$B$33/100))+MIN((Skills!T14*(1+Inputs!$B$33/100)),MAX(0,Inputs!$B$35-((S447-1)*Skills!D14))))/Inputs!$B$35),IF(Inputs!$B$4="pvp",MIN((Skills!T14*(1+Inputs!$B$33/100)),15)/15,(Skills!T14*(1+Inputs!$B$33/100))/Skills!D14)))+((C448=TRUE)*F448*IF(AND(Inputs!$B$4&lt;&gt;"pvp",Inputs!$B$35&gt;0),(((S448-1)*(Skills!T15*(1+Inputs!$B$33/100))+MIN((Skills!T15*(1+Inputs!$B$33/100)),MAX(0,Inputs!$B$35-((S448-1)*Skills!D15))))/Inputs!$B$35),IF(Inputs!$B$4="pvp",MIN((Skills!T15*(1+Inputs!$B$33/100)),15)/15,(Skills!T15*(1+Inputs!$B$33/100))/Skills!D15)))+((C449=TRUE)*F449*IF(AND(Inputs!$B$4&lt;&gt;"pvp",Inputs!$B$35&gt;0),(((S449-1)*(Skills!T16*(1+Inputs!$B$33/100))+MIN((Skills!T16*(1+Inputs!$B$33/100)),MAX(0,Inputs!$B$35-((S449-1)*Skills!D16))))/Inputs!$B$35),IF(Inputs!$B$4="pvp",MIN((Skills!T16*(1+Inputs!$B$33/100)),15)/15,(Skills!T16*(1+Inputs!$B$33/100))/Skills!D16)))+0)/100)</f>
        <v/>
      </c>
    </row>
    <row r="462">
      <c r="A462" t="inlineStr">
        <is>
          <t>Global Crit Rate Bonus % (Lord of Darkness)</t>
        </is>
      </c>
      <c r="B462">
        <f>((C451=TRUE)*F451*(Skills!J18/100)*IF(AND(Inputs!$B$4&lt;&gt;"pvp",Inputs!$B$35&gt;0),(((S451-1)*(Skills!T18*(1+Inputs!$B$33/100))+MIN((Skills!T18*(1+Inputs!$B$33/100)),MAX(0,Inputs!$B$35-((S451-1)*Skills!D18))))/Inputs!$B$35),IF(Inputs!$B$4="pvp",MIN((Skills!T18*(1+Inputs!$B$33/100)),15)/15,(Skills!T18*(1+Inputs!$B$33/100))/Skills!D18)))</f>
        <v/>
      </c>
    </row>
    <row r="463">
      <c r="A463" t="inlineStr">
        <is>
          <t>Attack Speed Buff Bonus %</t>
        </is>
      </c>
      <c r="B463">
        <f>((C453=TRUE)*F453*IF(AND(Inputs!$B$4&lt;&gt;"pvp",Inputs!$B$35&gt;0),(((S453-1)*(Skills!T20*(1+Inputs!$B$33/100))+MIN((Skills!T20*(1+Inputs!$B$33/100)),MAX(0,Inputs!$B$35-((S453-1)*Skills!D20))))/Inputs!$B$35),IF(Inputs!$B$4="pvp",MIN((Skills!T20*(1+Inputs!$B$33/100)),15)/15,(Skills!T20*(1+Inputs!$B$33/100))/Skills!D20)))</f>
        <v/>
      </c>
    </row>
    <row r="464">
      <c r="A464" t="inlineStr">
        <is>
          <t>Actions Per Second</t>
        </is>
      </c>
      <c r="B464">
        <f>1+MIN(150,150*(1-(1-(Inputs!$B$10+((C454=TRUE)*(F454-Calc!F21)))/150)*(1-B463/150)))/100</f>
        <v/>
      </c>
    </row>
    <row r="465">
      <c r="A465" t="inlineStr">
        <is>
          <t>Skill + Buff Cast Rate</t>
        </is>
      </c>
      <c r="B465">
        <f>IF(AND(Inputs!$B$4&lt;&gt;"pvp",Inputs!$B$35&gt;0),SUMPRODUCT((Skills!E2:E26=TRUE)*(C435:C459=TRUE)*R435:R459*Skills!F2:F26)/Inputs!$B$35,SUMPRODUCT((Skills!E2:E26=TRUE)*(C435:C459=TRUE)*Q435:Q459*Skills!F2:F26))</f>
        <v/>
      </c>
    </row>
    <row r="466">
      <c r="A466" t="inlineStr">
        <is>
          <t>Dark Impale Casts Per Second</t>
        </is>
      </c>
      <c r="B466">
        <f>MAX(0,B464-B465)</f>
        <v/>
      </c>
    </row>
    <row r="467">
      <c r="A467" t="inlineStr">
        <is>
          <t>Global Critical Damage Bonus % (Lord of Darkness)</t>
        </is>
      </c>
      <c r="B467">
        <f>((C452=TRUE)*F452*(Skills!J19/100)*IF(AND(Inputs!$B$4&lt;&gt;"pvp",Inputs!$B$35&gt;0),(((S452-1)*(Skills!T19*(1+Inputs!$B$33/100))+MIN((Skills!T19*(1+Inputs!$B$33/100)),MAX(0,Inputs!$B$35-((S452-1)*Skills!D19))))/Inputs!$B$35),IF(Inputs!$B$4="pvp",MIN((Skills!T19*(1+Inputs!$B$33/100)),15)/15,(Skills!T19*(1+Inputs!$B$33/100))/Skills!D19)))</f>
        <v/>
      </c>
    </row>
    <row r="468">
      <c r="A468" t="inlineStr">
        <is>
          <t>Global Final Damage Bonus % (unused)</t>
        </is>
      </c>
      <c r="B468" t="n">
        <v>0</v>
      </c>
    </row>
    <row r="470">
      <c r="A470" s="5" t="inlineStr">
        <is>
          <t>TOTAL DPS</t>
        </is>
      </c>
      <c r="B470" s="5">
        <f>SUM(O435:O459)</f>
        <v/>
      </c>
    </row>
    <row r="473">
      <c r="A473" s="5" t="inlineStr">
        <is>
          <t>Stat: CRIT_DAMAGE %</t>
        </is>
      </c>
    </row>
    <row r="474">
      <c r="A474" s="8" t="inlineStr">
        <is>
          <t>Key</t>
        </is>
      </c>
      <c r="B474" s="8" t="inlineStr">
        <is>
          <t>Name</t>
        </is>
      </c>
      <c r="C474" s="8" t="inlineStr">
        <is>
          <t>Unlocked</t>
        </is>
      </c>
      <c r="D474" s="8" t="inlineStr">
        <is>
          <t>InputLevel</t>
        </is>
      </c>
      <c r="E474" s="8" t="inlineStr">
        <is>
          <t>Factor</t>
        </is>
      </c>
      <c r="F474" s="8" t="inlineStr">
        <is>
          <t>CoefficientPercent</t>
        </is>
      </c>
      <c r="G474" s="8" t="inlineStr">
        <is>
          <t>EffectiveHits</t>
        </is>
      </c>
      <c r="H474" s="8" t="inlineStr">
        <is>
          <t>ProcProbability</t>
        </is>
      </c>
      <c r="I474" s="8" t="inlineStr">
        <is>
          <t>MapleHeroMultiplier</t>
        </is>
      </c>
      <c r="J474" s="8" t="inlineStr">
        <is>
          <t>BaseDamage</t>
        </is>
      </c>
      <c r="K474" s="8" t="inlineStr">
        <is>
          <t>BaseHitDamage</t>
        </is>
      </c>
      <c r="L474" s="8" t="inlineStr">
        <is>
          <t>NonCritAvg</t>
        </is>
      </c>
      <c r="M474" s="8" t="inlineStr">
        <is>
          <t>CritAvg</t>
        </is>
      </c>
      <c r="N474" s="8" t="inlineStr">
        <is>
          <t>ExpectedDamage(perHit)</t>
        </is>
      </c>
      <c r="O474" s="8" t="inlineStr">
        <is>
          <t>DPS</t>
        </is>
      </c>
      <c r="P474" s="8" t="inlineStr">
        <is>
          <t>% of Total</t>
        </is>
      </c>
      <c r="Q474" s="8" t="inlineStr">
        <is>
          <t>InvCooldown</t>
        </is>
      </c>
      <c r="R474" s="8" t="inlineStr">
        <is>
          <t>CastsInFight</t>
        </is>
      </c>
      <c r="S474" s="8" t="inlineStr">
        <is>
          <t>HitRate(perSec)</t>
        </is>
      </c>
      <c r="U474" t="inlineStr">
        <is>
          <t>helpers</t>
        </is>
      </c>
    </row>
    <row r="475">
      <c r="A475">
        <f>Skills!A2</f>
        <v/>
      </c>
      <c r="B475">
        <f>Skills!B2</f>
        <v/>
      </c>
      <c r="C475">
        <f>Inputs!$B$3&gt;=100</f>
        <v/>
      </c>
      <c r="D475" t="inlineStr"/>
      <c r="E475" t="inlineStr"/>
      <c r="F475">
        <f>U477+Skills!O2</f>
        <v/>
      </c>
      <c r="G475">
        <f>Skills!G2*IF(Skills!H2&gt;0,Skills!I2/Skills!H2,1)</f>
        <v/>
      </c>
      <c r="H475">
        <f>1-(1-Skills!J2/100)^Skills!K2</f>
        <v/>
      </c>
      <c r="I475" t="inlineStr">
        <is>
          <t>1</t>
        </is>
      </c>
      <c r="J475">
        <f>(Inputs!$B$5*(1+Inputs!$B$6/100))*(F475/100)</f>
        <v/>
      </c>
      <c r="K475">
        <f>J475*(1+((Inputs!$B$11*(1+Inputs!$B$12/100))*0.01+Inputs!$B$13*0.0025)/100)*(1+Inputs!$B$14/100)*(1+IF(Inputs!$B$4="pvp",0,(1-Summary!$B$55)*(Inputs!$B$19+0+Skills!P2+((C490=TRUE)*F490*IF(AND(Inputs!$B$4&lt;&gt;"pvp",Inputs!$B$35&gt;0),(((S490-1)*(Skills!T17*(1+Inputs!$B$33/100))+MIN((Skills!T17*(1+Inputs!$B$33/100)),MAX(0,Inputs!$B$35-((S490-1)*Skills!D17))))/Inputs!$B$35),IF(Inputs!$B$4="pvp",MIN((Skills!T17*(1+Inputs!$B$33/100)),15)/15,(Skills!T17*(1+Inputs!$B$33/100))/Skills!D17)))+((C487=TRUE)*IF(Inputs!$B$4="pvp",20,(1-Summary!$B$55)*(20)+Summary!$B$55*(0))*IF(AND(Inputs!$B$4&lt;&gt;"pvp",Inputs!$B$35&gt;0),(((S487-1)*(Skills!T14*(1+Inputs!$B$33/100))+MIN((Skills!T14*(1+Inputs!$B$33/100)),MAX(0,Inputs!$B$35-((S487-1)*Skills!D14))))/Inputs!$B$35),IF(Inputs!$B$4="pvp",MIN((Skills!T14*(1+Inputs!$B$33/100)),15)/15,(Skills!T14*(1+Inputs!$B$33/100))/Skills!D14))))+Summary!$B$55*(Inputs!$B$20+Skills!Q2+((C490=TRUE)*F490*IF(AND(Inputs!$B$4&lt;&gt;"pvp",Inputs!$B$35&gt;0),(((S490-1)*(Skills!T17*(1+Inputs!$B$33/100))+MIN((Skills!T17*(1+Inputs!$B$33/100)),MAX(0,Inputs!$B$35-((S490-1)*Skills!D17))))/Inputs!$B$35),IF(Inputs!$B$4="pvp",MIN((Skills!T17*(1+Inputs!$B$33/100)),15)/15,(Skills!T17*(1+Inputs!$B$33/100))/Skills!D17)))))/100)*(1+Inputs!$B$15/100)*(5000/(6000+Inputs!$B$7*(1-(Inputs!$B$18+0)/100)))*(1+(Inputs!$B$23+((C498=TRUE)*(F498-Calc!F25))+((C499=TRUE)*(F499-Calc!F26))+B508)/100)*(1+(IF(Skills!A2="DARK_IMPALE",Inputs!$B$16+0,Inputs!$B$17+((C496=TRUE)*(F496-Calc!F23))))/100)*((1+(((C486=TRUE)*F486*IF(AND(Inputs!$B$4&lt;&gt;"pvp",Inputs!$B$35&gt;0),(((S486-1)*(Skills!T13*(1+Inputs!$B$33/100))+MIN((Skills!T13*(1+Inputs!$B$33/100)),MAX(0,Inputs!$B$35-((S486-1)*Skills!D13))))/Inputs!$B$35),IF(Inputs!$B$4="pvp",MIN((Skills!T13*(1+Inputs!$B$33/100)),15)/15,(Skills!T13*(1+Inputs!$B$33/100))/Skills!D13)))+((C487=TRUE)*F487*IF(AND(Inputs!$B$4&lt;&gt;"pvp",Inputs!$B$35&gt;0),(((S487-1)*(Skills!T14*(1+Inputs!$B$33/100))+MIN((Skills!T14*(1+Inputs!$B$33/100)),MAX(0,Inputs!$B$35-((S487-1)*Skills!D14))))/Inputs!$B$35),IF(Inputs!$B$4="pvp",MIN((Skills!T14*(1+Inputs!$B$33/100)),15)/15,(Skills!T14*(1+Inputs!$B$33/100))/Skills!D14)))+((C488=TRUE)*F488*IF(AND(Inputs!$B$4&lt;&gt;"pvp",Inputs!$B$35&gt;0),(((S488-1)*(Skills!T15*(1+Inputs!$B$33/100))+MIN((Skills!T15*(1+Inputs!$B$33/100)),MAX(0,Inputs!$B$35-((S488-1)*Skills!D15))))/Inputs!$B$35),IF(Inputs!$B$4="pvp",MIN((Skills!T15*(1+Inputs!$B$33/100)),15)/15,(Skills!T15*(1+Inputs!$B$33/100))/Skills!D15)))+((C489=TRUE)*F489*IF(AND(Inputs!$B$4&lt;&gt;"pvp",Inputs!$B$35&gt;0),(((S489-1)*(Skills!T16*(1+Inputs!$B$33/100))+MIN((Skills!T16*(1+Inputs!$B$33/100)),MAX(0,Inputs!$B$35-((S489-1)*Skills!D16))))/Inputs!$B$35),IF(Inputs!$B$4="pvp",MIN((Skills!T16*(1+Inputs!$B$33/100)),15)/15,(Skills!T16*(1+Inputs!$B$33/100))/Skills!D16)))+0)/100)*I475)</f>
        <v/>
      </c>
      <c r="L475">
        <f>K475*(MIN(Inputs!$B$21+((C495=TRUE)*(F495-Calc!F22)),Inputs!$B$22+((C497=TRUE)*(F497-Calc!F24)))/100+(Inputs!$B$22+((C497=TRUE)*(F497-Calc!F24)))/100)/2</f>
        <v/>
      </c>
      <c r="M475">
        <f>L475*(1+((Inputs!$B$9+1)+0+B507)/100)</f>
        <v/>
      </c>
      <c r="N475">
        <f>L475*(1-MIN((Inputs!$B$8+0+B502),100)/100)+M475*(MIN((Inputs!$B$8+0+B502),100)/100)</f>
        <v/>
      </c>
      <c r="O475">
        <f>IF(C475,Skills!G2*N475*B506*IF(Inputs!$B$4="pvp",1,(1-Summary!$B$55)*(1)+Summary!$B$55*(MIN((6+Inputs!$B$32),Inputs!$B$37))),0)</f>
        <v/>
      </c>
      <c r="P475">
        <f>IF(B510=0,0,O475/B510)</f>
        <v/>
      </c>
      <c r="Q475" t="n">
        <v>0</v>
      </c>
      <c r="R475" t="n">
        <v>0</v>
      </c>
      <c r="S475">
        <f>IFERROR(O475/N475,0)</f>
        <v/>
      </c>
      <c r="U475">
        <f>MAX(0,(Inputs!$B$3-100)*3)+Inputs!$B$27+Inputs!$B$28</f>
        <v/>
      </c>
    </row>
    <row r="476">
      <c r="A476">
        <f>Skills!A3</f>
        <v/>
      </c>
      <c r="B476">
        <f>Skills!B3</f>
        <v/>
      </c>
      <c r="C476">
        <f>Inputs!$B$3&gt;=50</f>
        <v/>
      </c>
      <c r="D476">
        <f>IF(Skills!C3=1,60+Inputs!$B$24+Inputs!$B$28,IF(Skills!C3=2,90+Inputs!$B$25+Inputs!$B$28,IF(Skills!C3=3,120+Inputs!$B$26+Inputs!$B$28,MAX(0,(Inputs!$B$3-100)*3)+Inputs!$B$27+Inputs!$B$28)))</f>
        <v/>
      </c>
      <c r="E476">
        <f>INDEX(FactorTable!$B$2:$Y$301, MATCH(ROUND(MIN(300,MAX(1,D476)),0), FactorTable!$A$2:$A$301,0), Skills!M3+1)</f>
        <v/>
      </c>
      <c r="F476">
        <f>IF(Skills!N3=TRUE,(Skills!L3/10)*(E476/1000),Skills!L3/10)+Skills!O3</f>
        <v/>
      </c>
      <c r="G476" t="inlineStr"/>
      <c r="H476" t="inlineStr"/>
      <c r="I476" t="inlineStr">
        <is>
          <t>1</t>
        </is>
      </c>
      <c r="J476" t="inlineStr"/>
      <c r="K476" t="inlineStr"/>
      <c r="L476" t="inlineStr"/>
      <c r="M476" t="inlineStr"/>
      <c r="N476" t="inlineStr"/>
      <c r="O476" t="inlineStr"/>
      <c r="P476" t="inlineStr"/>
      <c r="Q476" t="inlineStr"/>
      <c r="R476" t="inlineStr"/>
      <c r="S476" t="inlineStr"/>
      <c r="U476">
        <f>INDEX(FactorTable!$B$2:$Y$301, MATCH(ROUND(MIN(300,MAX(1,U475)),0), FactorTable!$A$2:$A$301,0), 22)</f>
        <v/>
      </c>
    </row>
    <row r="477">
      <c r="A477">
        <f>Skills!A4</f>
        <v/>
      </c>
      <c r="B477">
        <f>Skills!B4</f>
        <v/>
      </c>
      <c r="C477">
        <f>Inputs!$B$3&gt;=105</f>
        <v/>
      </c>
      <c r="D477">
        <f>IF(Skills!C4=1,60+Inputs!$B$24+Inputs!$B$28,IF(Skills!C4=2,90+Inputs!$B$25+Inputs!$B$28,IF(Skills!C4=3,120+Inputs!$B$26+Inputs!$B$28,MAX(0,(Inputs!$B$3-100)*3)+Inputs!$B$27+Inputs!$B$28)))</f>
        <v/>
      </c>
      <c r="E477">
        <f>INDEX(FactorTable!$B$2:$Y$301, MATCH(ROUND(MIN(300,MAX(1,D477)),0), FactorTable!$A$2:$A$301,0), Skills!M4+1)</f>
        <v/>
      </c>
      <c r="F477">
        <f>IF(Skills!N4=TRUE,(Skills!L4/10)*(E477/1000),Skills!L4/10)+Skills!O4</f>
        <v/>
      </c>
      <c r="G477" t="inlineStr"/>
      <c r="H477" t="inlineStr"/>
      <c r="I477" t="inlineStr">
        <is>
          <t>1</t>
        </is>
      </c>
      <c r="J477" t="inlineStr"/>
      <c r="K477" t="inlineStr"/>
      <c r="L477" t="inlineStr"/>
      <c r="M477" t="inlineStr"/>
      <c r="N477" t="inlineStr"/>
      <c r="O477" t="inlineStr"/>
      <c r="P477" t="inlineStr"/>
      <c r="Q477" t="inlineStr"/>
      <c r="R477" t="inlineStr"/>
      <c r="S477" t="inlineStr"/>
      <c r="U477">
        <f>290*U476/1000</f>
        <v/>
      </c>
    </row>
    <row r="478">
      <c r="A478">
        <f>Skills!A5</f>
        <v/>
      </c>
      <c r="B478">
        <f>Skills!B5</f>
        <v/>
      </c>
      <c r="C478">
        <f>Inputs!$B$3&gt;=117</f>
        <v/>
      </c>
      <c r="D478">
        <f>IF(Skills!C5=1,60+Inputs!$B$24+Inputs!$B$28,IF(Skills!C5=2,90+Inputs!$B$25+Inputs!$B$28,IF(Skills!C5=3,120+Inputs!$B$26+Inputs!$B$28,MAX(0,(Inputs!$B$3-100)*3)+Inputs!$B$27+Inputs!$B$28)))</f>
        <v/>
      </c>
      <c r="E478">
        <f>INDEX(FactorTable!$B$2:$Y$301, MATCH(ROUND(MIN(300,MAX(1,D478)),0), FactorTable!$A$2:$A$301,0), Skills!M5+1)</f>
        <v/>
      </c>
      <c r="F478">
        <f>IF(Skills!N5=TRUE,(Skills!L5/10)*(E478/1000),Skills!L5/10)+Skills!O5</f>
        <v/>
      </c>
      <c r="G478">
        <f>Skills!G5*IF(Skills!H5&gt;0,Skills!I5/Skills!H5,1)</f>
        <v/>
      </c>
      <c r="H478">
        <f>1-(1-Skills!J5/100)^Skills!K5</f>
        <v/>
      </c>
      <c r="I478" t="inlineStr">
        <is>
          <t>1</t>
        </is>
      </c>
      <c r="J478">
        <f>(Inputs!$B$5*(1+Inputs!$B$6/100))*(F478/100)</f>
        <v/>
      </c>
      <c r="K478">
        <f>J478*(1+((Inputs!$B$11*(1+Inputs!$B$12/100))*0.01+Inputs!$B$13*0.0025)/100)*(1+Inputs!$B$14/100)*(1+IF(Inputs!$B$4="pvp",0,(1-Summary!$B$55)*(Inputs!$B$19+0+Skills!P5+((C490=TRUE)*F490*IF(AND(Inputs!$B$4&lt;&gt;"pvp",Inputs!$B$35&gt;0),(((S490-1)*(Skills!T17*(1+Inputs!$B$33/100))+MIN((Skills!T17*(1+Inputs!$B$33/100)),MAX(0,Inputs!$B$35-((S490-1)*Skills!D17))))/Inputs!$B$35),IF(Inputs!$B$4="pvp",MIN((Skills!T17*(1+Inputs!$B$33/100)),15)/15,(Skills!T17*(1+Inputs!$B$33/100))/Skills!D17)))+((C487=TRUE)*IF(Inputs!$B$4="pvp",20,(1-Summary!$B$55)*(20)+Summary!$B$55*(0))*IF(AND(Inputs!$B$4&lt;&gt;"pvp",Inputs!$B$35&gt;0),(((S487-1)*(Skills!T14*(1+Inputs!$B$33/100))+MIN((Skills!T14*(1+Inputs!$B$33/100)),MAX(0,Inputs!$B$35-((S487-1)*Skills!D14))))/Inputs!$B$35),IF(Inputs!$B$4="pvp",MIN((Skills!T14*(1+Inputs!$B$33/100)),15)/15,(Skills!T14*(1+Inputs!$B$33/100))/Skills!D14))))+Summary!$B$55*(Inputs!$B$20+Skills!Q5+((C490=TRUE)*F490*IF(AND(Inputs!$B$4&lt;&gt;"pvp",Inputs!$B$35&gt;0),(((S490-1)*(Skills!T17*(1+Inputs!$B$33/100))+MIN((Skills!T17*(1+Inputs!$B$33/100)),MAX(0,Inputs!$B$35-((S490-1)*Skills!D17))))/Inputs!$B$35),IF(Inputs!$B$4="pvp",MIN((Skills!T17*(1+Inputs!$B$33/100)),15)/15,(Skills!T17*(1+Inputs!$B$33/100))/Skills!D17)))))/100)*(1+Inputs!$B$15/100)*(5000/(6000+Inputs!$B$7*(1-(Inputs!$B$18+0)/100)))*(1+(Inputs!$B$23+((C498=TRUE)*(F498-Calc!F25))+((C499=TRUE)*(F499-Calc!F26))+B508)/100)*(1+(IF(Skills!A5="DARK_IMPALE",Inputs!$B$16+0,Inputs!$B$17+((C496=TRUE)*(F496-Calc!F23))))/100)*((1+(((C486=TRUE)*F486*IF(AND(Inputs!$B$4&lt;&gt;"pvp",Inputs!$B$35&gt;0),(((S486-1)*(Skills!T13*(1+Inputs!$B$33/100))+MIN((Skills!T13*(1+Inputs!$B$33/100)),MAX(0,Inputs!$B$35-((S486-1)*Skills!D13))))/Inputs!$B$35),IF(Inputs!$B$4="pvp",MIN((Skills!T13*(1+Inputs!$B$33/100)),15)/15,(Skills!T13*(1+Inputs!$B$33/100))/Skills!D13)))+((C487=TRUE)*F487*IF(AND(Inputs!$B$4&lt;&gt;"pvp",Inputs!$B$35&gt;0),(((S487-1)*(Skills!T14*(1+Inputs!$B$33/100))+MIN((Skills!T14*(1+Inputs!$B$33/100)),MAX(0,Inputs!$B$35-((S487-1)*Skills!D14))))/Inputs!$B$35),IF(Inputs!$B$4="pvp",MIN((Skills!T14*(1+Inputs!$B$33/100)),15)/15,(Skills!T14*(1+Inputs!$B$33/100))/Skills!D14)))+((C488=TRUE)*F488*IF(AND(Inputs!$B$4&lt;&gt;"pvp",Inputs!$B$35&gt;0),(((S488-1)*(Skills!T15*(1+Inputs!$B$33/100))+MIN((Skills!T15*(1+Inputs!$B$33/100)),MAX(0,Inputs!$B$35-((S488-1)*Skills!D15))))/Inputs!$B$35),IF(Inputs!$B$4="pvp",MIN((Skills!T15*(1+Inputs!$B$33/100)),15)/15,(Skills!T15*(1+Inputs!$B$33/100))/Skills!D15)))+((C489=TRUE)*F489*IF(AND(Inputs!$B$4&lt;&gt;"pvp",Inputs!$B$35&gt;0),(((S489-1)*(Skills!T16*(1+Inputs!$B$33/100))+MIN((Skills!T16*(1+Inputs!$B$33/100)),MAX(0,Inputs!$B$35-((S489-1)*Skills!D16))))/Inputs!$B$35),IF(Inputs!$B$4="pvp",MIN((Skills!T16*(1+Inputs!$B$33/100)),15)/15,(Skills!T16*(1+Inputs!$B$33/100))/Skills!D16)))+0)/100)*I478)</f>
        <v/>
      </c>
      <c r="L478">
        <f>K478*(MIN(Inputs!$B$21+((C495=TRUE)*(F495-Calc!F22)),Inputs!$B$22+((C497=TRUE)*(F497-Calc!F24)))/100+(Inputs!$B$22+((C497=TRUE)*(F497-Calc!F24)))/100)/2</f>
        <v/>
      </c>
      <c r="M478">
        <f>L478*(1+((Inputs!$B$9+1)+0+B507)/100)</f>
        <v/>
      </c>
      <c r="N478">
        <f>L478*(1-MIN((Inputs!$B$8+0+B502),100)/100)+M478*(MIN((Inputs!$B$8+0+B502),100)/100)</f>
        <v/>
      </c>
      <c r="O478">
        <f>IF(C478,H478*N478*IF(AND(Inputs!$B$4&lt;&gt;"pvp",Inputs!$B$35&gt;0),((Skills!G5*((R478-1)*IF(Skills!H5&gt;0,Skills!I5/Skills!H5,1)+IF(Skills!H5&gt;0,MIN(Skills!I5,MAX(0,Inputs!$B$35-((R478-1)*IF(Inputs!$B$4="pvp",15,MAX(0.1,Skills!D5-IF(Skills!E5=TRUE,Inputs!$B$31,0))))))/Skills!H5,1)))/Inputs!$B$35),G478*Q478)*IF(Inputs!$B$4="pvp",1,(1-Summary!$B$55)*(1)+Summary!$B$55*(MIN(Skills!R5,Inputs!$B$37))),0)</f>
        <v/>
      </c>
      <c r="P478">
        <f>IF(B510=0,0,O478/B510)</f>
        <v/>
      </c>
      <c r="Q478">
        <f>IFERROR(1/IF(Inputs!$B$4="pvp",15,MAX(0.1,Skills!D5-IF(Skills!E5=TRUE,Inputs!$B$31,0))),0)</f>
        <v/>
      </c>
      <c r="R478">
        <f>IF(AND(Inputs!$B$4&lt;&gt;"pvp",Inputs!$B$35&gt;0),(INT(Inputs!$B$35/IF(Inputs!$B$4="pvp",15,MAX(0.1,Skills!D5-IF(Skills!E5=TRUE,Inputs!$B$31,0))))+1),0)</f>
        <v/>
      </c>
      <c r="S478">
        <f>IFERROR(O478/N478,0)</f>
        <v/>
      </c>
    </row>
    <row r="479">
      <c r="A479">
        <f>Skills!A6</f>
        <v/>
      </c>
      <c r="B479">
        <f>Skills!B6</f>
        <v/>
      </c>
      <c r="C479">
        <f>Inputs!$B$3&gt;=103</f>
        <v/>
      </c>
      <c r="D479">
        <f>IF(Skills!C6=1,60+Inputs!$B$24+Inputs!$B$28,IF(Skills!C6=2,90+Inputs!$B$25+Inputs!$B$28,IF(Skills!C6=3,120+Inputs!$B$26+Inputs!$B$28,MAX(0,(Inputs!$B$3-100)*3)+Inputs!$B$27+Inputs!$B$28)))</f>
        <v/>
      </c>
      <c r="E479">
        <f>INDEX(FactorTable!$B$2:$Y$301, MATCH(ROUND(MIN(300,MAX(1,D479)),0), FactorTable!$A$2:$A$301,0), Skills!M6+1)</f>
        <v/>
      </c>
      <c r="F479">
        <f>IF(Skills!N6=TRUE,(Skills!L6/10)*(E479/1000),Skills!L6/10)+Skills!O6</f>
        <v/>
      </c>
      <c r="G479">
        <f>Skills!G6*IF(Skills!H6&gt;0,Skills!I6/Skills!H6,1)</f>
        <v/>
      </c>
      <c r="H479">
        <f>1-(1-Skills!J6/100)^Skills!K6</f>
        <v/>
      </c>
      <c r="I479" t="inlineStr">
        <is>
          <t>1</t>
        </is>
      </c>
      <c r="J479">
        <f>(Inputs!$B$5*(1+Inputs!$B$6/100))*(F479/100)</f>
        <v/>
      </c>
      <c r="K479">
        <f>J479*(1+((Inputs!$B$11*(1+Inputs!$B$12/100))*0.01+Inputs!$B$13*0.0025)/100)*(1+Inputs!$B$14/100)*(1+IF(Inputs!$B$4="pvp",0,(1-Summary!$B$55)*(Inputs!$B$19+0+Skills!P6+((C490=TRUE)*F490*IF(AND(Inputs!$B$4&lt;&gt;"pvp",Inputs!$B$35&gt;0),(((S490-1)*(Skills!T17*(1+Inputs!$B$33/100))+MIN((Skills!T17*(1+Inputs!$B$33/100)),MAX(0,Inputs!$B$35-((S490-1)*Skills!D17))))/Inputs!$B$35),IF(Inputs!$B$4="pvp",MIN((Skills!T17*(1+Inputs!$B$33/100)),15)/15,(Skills!T17*(1+Inputs!$B$33/100))/Skills!D17)))+((C487=TRUE)*IF(Inputs!$B$4="pvp",20,(1-Summary!$B$55)*(20)+Summary!$B$55*(0))*IF(AND(Inputs!$B$4&lt;&gt;"pvp",Inputs!$B$35&gt;0),(((S487-1)*(Skills!T14*(1+Inputs!$B$33/100))+MIN((Skills!T14*(1+Inputs!$B$33/100)),MAX(0,Inputs!$B$35-((S487-1)*Skills!D14))))/Inputs!$B$35),IF(Inputs!$B$4="pvp",MIN((Skills!T14*(1+Inputs!$B$33/100)),15)/15,(Skills!T14*(1+Inputs!$B$33/100))/Skills!D14))))+Summary!$B$55*(Inputs!$B$20+Skills!Q6+((C490=TRUE)*F490*IF(AND(Inputs!$B$4&lt;&gt;"pvp",Inputs!$B$35&gt;0),(((S490-1)*(Skills!T17*(1+Inputs!$B$33/100))+MIN((Skills!T17*(1+Inputs!$B$33/100)),MAX(0,Inputs!$B$35-((S490-1)*Skills!D17))))/Inputs!$B$35),IF(Inputs!$B$4="pvp",MIN((Skills!T17*(1+Inputs!$B$33/100)),15)/15,(Skills!T17*(1+Inputs!$B$33/100))/Skills!D17)))))/100)*(1+Inputs!$B$15/100)*(5000/(6000+Inputs!$B$7*(1-(Inputs!$B$18+0)/100)))*(1+(Inputs!$B$23+((C498=TRUE)*(F498-Calc!F25))+((C499=TRUE)*(F499-Calc!F26))+B508)/100)*(1+(IF(Skills!A6="DARK_IMPALE",Inputs!$B$16+0,Inputs!$B$17+((C496=TRUE)*(F496-Calc!F23))))/100)*((1+(((C486=TRUE)*F486*IF(AND(Inputs!$B$4&lt;&gt;"pvp",Inputs!$B$35&gt;0),(((S486-1)*(Skills!T13*(1+Inputs!$B$33/100))+MIN((Skills!T13*(1+Inputs!$B$33/100)),MAX(0,Inputs!$B$35-((S486-1)*Skills!D13))))/Inputs!$B$35),IF(Inputs!$B$4="pvp",MIN((Skills!T13*(1+Inputs!$B$33/100)),15)/15,(Skills!T13*(1+Inputs!$B$33/100))/Skills!D13)))+((C487=TRUE)*F487*IF(AND(Inputs!$B$4&lt;&gt;"pvp",Inputs!$B$35&gt;0),(((S487-1)*(Skills!T14*(1+Inputs!$B$33/100))+MIN((Skills!T14*(1+Inputs!$B$33/100)),MAX(0,Inputs!$B$35-((S487-1)*Skills!D14))))/Inputs!$B$35),IF(Inputs!$B$4="pvp",MIN((Skills!T14*(1+Inputs!$B$33/100)),15)/15,(Skills!T14*(1+Inputs!$B$33/100))/Skills!D14)))+((C488=TRUE)*F488*IF(AND(Inputs!$B$4&lt;&gt;"pvp",Inputs!$B$35&gt;0),(((S488-1)*(Skills!T15*(1+Inputs!$B$33/100))+MIN((Skills!T15*(1+Inputs!$B$33/100)),MAX(0,Inputs!$B$35-((S488-1)*Skills!D15))))/Inputs!$B$35),IF(Inputs!$B$4="pvp",MIN((Skills!T15*(1+Inputs!$B$33/100)),15)/15,(Skills!T15*(1+Inputs!$B$33/100))/Skills!D15)))+((C489=TRUE)*F489*IF(AND(Inputs!$B$4&lt;&gt;"pvp",Inputs!$B$35&gt;0),(((S489-1)*(Skills!T16*(1+Inputs!$B$33/100))+MIN((Skills!T16*(1+Inputs!$B$33/100)),MAX(0,Inputs!$B$35-((S489-1)*Skills!D16))))/Inputs!$B$35),IF(Inputs!$B$4="pvp",MIN((Skills!T16*(1+Inputs!$B$33/100)),15)/15,(Skills!T16*(1+Inputs!$B$33/100))/Skills!D16)))+0)/100)*I479)</f>
        <v/>
      </c>
      <c r="L479">
        <f>K479*(MIN(Inputs!$B$21+((C495=TRUE)*(F495-Calc!F22)),Inputs!$B$22+((C497=TRUE)*(F497-Calc!F24)))/100+(Inputs!$B$22+((C497=TRUE)*(F497-Calc!F24)))/100)/2</f>
        <v/>
      </c>
      <c r="M479">
        <f>L479*(1+((Inputs!$B$9+1)+0+B507)/100)</f>
        <v/>
      </c>
      <c r="N479">
        <f>L479*(1-MIN((Inputs!$B$8+0+B502),100)/100)+M479*(MIN((Inputs!$B$8+0+B502),100)/100)</f>
        <v/>
      </c>
      <c r="O479">
        <f>IF(C479,H479*N479*IF(AND(Inputs!$B$4&lt;&gt;"pvp",Inputs!$B$35&gt;0),((Skills!G6*((R479-1)*IF(Skills!H6&gt;0,Skills!I6/Skills!H6,1)+IF(Skills!H6&gt;0,MIN(Skills!I6,MAX(0,Inputs!$B$35-((R479-1)*IF(Inputs!$B$4="pvp",15,MAX(0.1,Skills!D6-IF(Skills!E6=TRUE,Inputs!$B$31,0))))))/Skills!H6,1)))/Inputs!$B$35),G479*Q479)*IF(Inputs!$B$4="pvp",1,(1-Summary!$B$55)*(1)+Summary!$B$55*(MIN(Skills!R6,Inputs!$B$37))),0)</f>
        <v/>
      </c>
      <c r="P479">
        <f>IF(B510=0,0,O479/B510)</f>
        <v/>
      </c>
      <c r="Q479">
        <f>IFERROR(1/IF(Inputs!$B$4="pvp",15,MAX(0.1,Skills!D6-IF(Skills!E6=TRUE,Inputs!$B$31,0))),0)</f>
        <v/>
      </c>
      <c r="R479">
        <f>IF(AND(Inputs!$B$4&lt;&gt;"pvp",Inputs!$B$35&gt;0),(INT(Inputs!$B$35/IF(Inputs!$B$4="pvp",15,MAX(0.1,Skills!D6-IF(Skills!E6=TRUE,Inputs!$B$31,0))))+1),0)</f>
        <v/>
      </c>
      <c r="S479">
        <f>IFERROR(O479/N479,0)</f>
        <v/>
      </c>
    </row>
    <row r="480">
      <c r="A480">
        <f>Skills!A7</f>
        <v/>
      </c>
      <c r="B480">
        <f>Skills!B7</f>
        <v/>
      </c>
      <c r="C480">
        <f>Inputs!$B$3&gt;=40</f>
        <v/>
      </c>
      <c r="D480">
        <f>IF(Skills!C7=1,60+Inputs!$B$24+Inputs!$B$28,IF(Skills!C7=2,90+Inputs!$B$25+Inputs!$B$28,IF(Skills!C7=3,120+Inputs!$B$26+Inputs!$B$28,MAX(0,(Inputs!$B$3-100)*3)+Inputs!$B$27+Inputs!$B$28)))</f>
        <v/>
      </c>
      <c r="E480">
        <f>INDEX(FactorTable!$B$2:$Y$301, MATCH(ROUND(MIN(300,MAX(1,D480)),0), FactorTable!$A$2:$A$301,0), Skills!M7+1)</f>
        <v/>
      </c>
      <c r="F480">
        <f>IF(Skills!N7=TRUE,(Skills!L7/10)*(E480/1000),Skills!L7/10)+Skills!O7</f>
        <v/>
      </c>
      <c r="G480">
        <f>Skills!G7*IF(Skills!H7&gt;0,Skills!I7/Skills!H7,1)</f>
        <v/>
      </c>
      <c r="H480">
        <f>1-(1-Skills!J7/100)^Skills!K7</f>
        <v/>
      </c>
      <c r="I480" t="inlineStr">
        <is>
          <t>1</t>
        </is>
      </c>
      <c r="J480">
        <f>(Inputs!$B$5*(1+Inputs!$B$6/100))*(F480/100)</f>
        <v/>
      </c>
      <c r="K480">
        <f>J480*(1+((Inputs!$B$11*(1+Inputs!$B$12/100))*0.01+Inputs!$B$13*0.0025)/100)*(1+Inputs!$B$14/100)*(1+IF(Inputs!$B$4="pvp",0,(1-Summary!$B$55)*(Inputs!$B$19+0+Skills!P7+((C490=TRUE)*F490*IF(AND(Inputs!$B$4&lt;&gt;"pvp",Inputs!$B$35&gt;0),(((S490-1)*(Skills!T17*(1+Inputs!$B$33/100))+MIN((Skills!T17*(1+Inputs!$B$33/100)),MAX(0,Inputs!$B$35-((S490-1)*Skills!D17))))/Inputs!$B$35),IF(Inputs!$B$4="pvp",MIN((Skills!T17*(1+Inputs!$B$33/100)),15)/15,(Skills!T17*(1+Inputs!$B$33/100))/Skills!D17)))+((C487=TRUE)*IF(Inputs!$B$4="pvp",20,(1-Summary!$B$55)*(20)+Summary!$B$55*(0))*IF(AND(Inputs!$B$4&lt;&gt;"pvp",Inputs!$B$35&gt;0),(((S487-1)*(Skills!T14*(1+Inputs!$B$33/100))+MIN((Skills!T14*(1+Inputs!$B$33/100)),MAX(0,Inputs!$B$35-((S487-1)*Skills!D14))))/Inputs!$B$35),IF(Inputs!$B$4="pvp",MIN((Skills!T14*(1+Inputs!$B$33/100)),15)/15,(Skills!T14*(1+Inputs!$B$33/100))/Skills!D14))))+Summary!$B$55*(Inputs!$B$20+Skills!Q7+((C490=TRUE)*F490*IF(AND(Inputs!$B$4&lt;&gt;"pvp",Inputs!$B$35&gt;0),(((S490-1)*(Skills!T17*(1+Inputs!$B$33/100))+MIN((Skills!T17*(1+Inputs!$B$33/100)),MAX(0,Inputs!$B$35-((S490-1)*Skills!D17))))/Inputs!$B$35),IF(Inputs!$B$4="pvp",MIN((Skills!T17*(1+Inputs!$B$33/100)),15)/15,(Skills!T17*(1+Inputs!$B$33/100))/Skills!D17)))))/100)*(1+Inputs!$B$15/100)*(5000/(6000+Inputs!$B$7*(1-(Inputs!$B$18+0)/100)))*(1+(Inputs!$B$23+((C498=TRUE)*(F498-Calc!F25))+((C499=TRUE)*(F499-Calc!F26))+B508)/100)*(1+0.75*IF(C484=TRUE,F484,0)/100)*(1+(IF(Skills!A7="DARK_IMPALE",Inputs!$B$16+0,Inputs!$B$17+((C496=TRUE)*(F496-Calc!F23))))/100)*((1+(((C486=TRUE)*F486*IF(AND(Inputs!$B$4&lt;&gt;"pvp",Inputs!$B$35&gt;0),(((S486-1)*(Skills!T13*(1+Inputs!$B$33/100))+MIN((Skills!T13*(1+Inputs!$B$33/100)),MAX(0,Inputs!$B$35-((S486-1)*Skills!D13))))/Inputs!$B$35),IF(Inputs!$B$4="pvp",MIN((Skills!T13*(1+Inputs!$B$33/100)),15)/15,(Skills!T13*(1+Inputs!$B$33/100))/Skills!D13)))+((C487=TRUE)*F487*IF(AND(Inputs!$B$4&lt;&gt;"pvp",Inputs!$B$35&gt;0),(((S487-1)*(Skills!T14*(1+Inputs!$B$33/100))+MIN((Skills!T14*(1+Inputs!$B$33/100)),MAX(0,Inputs!$B$35-((S487-1)*Skills!D14))))/Inputs!$B$35),IF(Inputs!$B$4="pvp",MIN((Skills!T14*(1+Inputs!$B$33/100)),15)/15,(Skills!T14*(1+Inputs!$B$33/100))/Skills!D14)))+((C488=TRUE)*F488*IF(AND(Inputs!$B$4&lt;&gt;"pvp",Inputs!$B$35&gt;0),(((S488-1)*(Skills!T15*(1+Inputs!$B$33/100))+MIN((Skills!T15*(1+Inputs!$B$33/100)),MAX(0,Inputs!$B$35-((S488-1)*Skills!D15))))/Inputs!$B$35),IF(Inputs!$B$4="pvp",MIN((Skills!T15*(1+Inputs!$B$33/100)),15)/15,(Skills!T15*(1+Inputs!$B$33/100))/Skills!D15)))+((C489=TRUE)*F489*IF(AND(Inputs!$B$4&lt;&gt;"pvp",Inputs!$B$35&gt;0),(((S489-1)*(Skills!T16*(1+Inputs!$B$33/100))+MIN((Skills!T16*(1+Inputs!$B$33/100)),MAX(0,Inputs!$B$35-((S489-1)*Skills!D16))))/Inputs!$B$35),IF(Inputs!$B$4="pvp",MIN((Skills!T16*(1+Inputs!$B$33/100)),15)/15,(Skills!T16*(1+Inputs!$B$33/100))/Skills!D16)))+0)/100)*I480)</f>
        <v/>
      </c>
      <c r="L480">
        <f>K480*(MIN(Inputs!$B$21+((C495=TRUE)*(F495-Calc!F22)),Inputs!$B$22+((C497=TRUE)*(F497-Calc!F24)))/100+(Inputs!$B$22+((C497=TRUE)*(F497-Calc!F24)))/100)/2</f>
        <v/>
      </c>
      <c r="M480">
        <f>L480*(1+((Inputs!$B$9+1)+0+B507)/100)</f>
        <v/>
      </c>
      <c r="N480">
        <f>L480*(1-MIN((Inputs!$B$8+0+B502),100)/100)+M480*(MIN((Inputs!$B$8+0+B502),100)/100)</f>
        <v/>
      </c>
      <c r="O480">
        <f>IF(C480,H480*N480*IF(AND(Inputs!$B$4&lt;&gt;"pvp",Inputs!$B$35&gt;0),((Skills!G7*((R480-1)*IF(Skills!H7&gt;0,Skills!I7/Skills!H7,1)+IF(Skills!H7&gt;0,MIN(Skills!I7,MAX(0,Inputs!$B$35-((R480-1)*IF(Inputs!$B$4="pvp",15,MAX(0.1,Skills!D7-IF(Skills!E7=TRUE,Inputs!$B$31,0))))))/Skills!H7,1)))/Inputs!$B$35),G480*Q480)*IF(Inputs!$B$4="pvp",1,(1-Summary!$B$55)*(1)+Summary!$B$55*(MIN(Skills!R7,Inputs!$B$37))),0)</f>
        <v/>
      </c>
      <c r="P480">
        <f>IF(B510=0,0,O480/B510)</f>
        <v/>
      </c>
      <c r="Q480">
        <f>IFERROR(1/IF(Inputs!$B$4="pvp",15,MAX(0.1,Skills!D7-IF(Skills!E7=TRUE,Inputs!$B$31,0))),0)</f>
        <v/>
      </c>
      <c r="R480">
        <f>IF(AND(Inputs!$B$4&lt;&gt;"pvp",Inputs!$B$35&gt;0),(INT(Inputs!$B$35/IF(Inputs!$B$4="pvp",15,MAX(0.1,Skills!D7-IF(Skills!E7=TRUE,Inputs!$B$31,0))))+1),0)</f>
        <v/>
      </c>
      <c r="S480">
        <f>IFERROR(O480/N480,0)</f>
        <v/>
      </c>
    </row>
    <row r="481">
      <c r="A481">
        <f>Skills!A8</f>
        <v/>
      </c>
      <c r="B481">
        <f>Skills!B8</f>
        <v/>
      </c>
      <c r="C481">
        <f>Inputs!$B$3&gt;=75</f>
        <v/>
      </c>
      <c r="D481">
        <f>IF(Skills!C8=1,60+Inputs!$B$24+Inputs!$B$28,IF(Skills!C8=2,90+Inputs!$B$25+Inputs!$B$28,IF(Skills!C8=3,120+Inputs!$B$26+Inputs!$B$28,MAX(0,(Inputs!$B$3-100)*3)+Inputs!$B$27+Inputs!$B$28)))</f>
        <v/>
      </c>
      <c r="E481">
        <f>INDEX(FactorTable!$B$2:$Y$301, MATCH(ROUND(MIN(300,MAX(1,D481)),0), FactorTable!$A$2:$A$301,0), Skills!M8+1)</f>
        <v/>
      </c>
      <c r="F481">
        <f>IF(Skills!N8=TRUE,(Skills!L8/10)*(E481/1000),Skills!L8/10)+Skills!O8</f>
        <v/>
      </c>
      <c r="G481" t="inlineStr"/>
      <c r="H481" t="inlineStr"/>
      <c r="I481" t="inlineStr">
        <is>
          <t>1</t>
        </is>
      </c>
      <c r="J481" t="inlineStr"/>
      <c r="K481" t="inlineStr"/>
      <c r="L481" t="inlineStr"/>
      <c r="M481" t="inlineStr"/>
      <c r="N481" t="inlineStr"/>
      <c r="O481" t="inlineStr"/>
      <c r="P481" t="inlineStr"/>
      <c r="Q481" t="inlineStr"/>
      <c r="R481" t="inlineStr"/>
      <c r="S481" t="inlineStr"/>
    </row>
    <row r="482">
      <c r="A482">
        <f>Skills!A9</f>
        <v/>
      </c>
      <c r="B482">
        <f>Skills!B9</f>
        <v/>
      </c>
      <c r="C482">
        <f>Inputs!$B$3&gt;=60</f>
        <v/>
      </c>
      <c r="D482">
        <f>IF(Skills!C9=1,60+Inputs!$B$24+Inputs!$B$28,IF(Skills!C9=2,90+Inputs!$B$25+Inputs!$B$28,IF(Skills!C9=3,120+Inputs!$B$26+Inputs!$B$28,MAX(0,(Inputs!$B$3-100)*3)+Inputs!$B$27+Inputs!$B$28)))</f>
        <v/>
      </c>
      <c r="E482">
        <f>INDEX(FactorTable!$B$2:$Y$301, MATCH(ROUND(MIN(300,MAX(1,D482)),0), FactorTable!$A$2:$A$301,0), Skills!M9+1)</f>
        <v/>
      </c>
      <c r="F482">
        <f>IF(Skills!N9=TRUE,(Skills!L9/10)*(E482/1000),Skills!L9/10)+Skills!O9</f>
        <v/>
      </c>
      <c r="G482">
        <f>Skills!G9*IF(Skills!H9&gt;0,Skills!I9/Skills!H9,1)</f>
        <v/>
      </c>
      <c r="H482">
        <f>1-(1-Skills!J9/100)^Skills!K9</f>
        <v/>
      </c>
      <c r="I482" t="inlineStr">
        <is>
          <t>1</t>
        </is>
      </c>
      <c r="J482">
        <f>(Inputs!$B$5*(1+Inputs!$B$6/100))*(F482/100)</f>
        <v/>
      </c>
      <c r="K482">
        <f>J482*(1+((Inputs!$B$11*(1+Inputs!$B$12/100))*0.01+Inputs!$B$13*0.0025)/100)*(1+Inputs!$B$14/100)*(1+IF(Inputs!$B$4="pvp",0,(1-Summary!$B$55)*(Inputs!$B$19+0+Skills!P9+((C490=TRUE)*F490*IF(AND(Inputs!$B$4&lt;&gt;"pvp",Inputs!$B$35&gt;0),(((S490-1)*(Skills!T17*(1+Inputs!$B$33/100))+MIN((Skills!T17*(1+Inputs!$B$33/100)),MAX(0,Inputs!$B$35-((S490-1)*Skills!D17))))/Inputs!$B$35),IF(Inputs!$B$4="pvp",MIN((Skills!T17*(1+Inputs!$B$33/100)),15)/15,(Skills!T17*(1+Inputs!$B$33/100))/Skills!D17)))+((C487=TRUE)*IF(Inputs!$B$4="pvp",20,(1-Summary!$B$55)*(20)+Summary!$B$55*(0))*IF(AND(Inputs!$B$4&lt;&gt;"pvp",Inputs!$B$35&gt;0),(((S487-1)*(Skills!T14*(1+Inputs!$B$33/100))+MIN((Skills!T14*(1+Inputs!$B$33/100)),MAX(0,Inputs!$B$35-((S487-1)*Skills!D14))))/Inputs!$B$35),IF(Inputs!$B$4="pvp",MIN((Skills!T14*(1+Inputs!$B$33/100)),15)/15,(Skills!T14*(1+Inputs!$B$33/100))/Skills!D14))))+Summary!$B$55*(Inputs!$B$20+Skills!Q9+((C490=TRUE)*F490*IF(AND(Inputs!$B$4&lt;&gt;"pvp",Inputs!$B$35&gt;0),(((S490-1)*(Skills!T17*(1+Inputs!$B$33/100))+MIN((Skills!T17*(1+Inputs!$B$33/100)),MAX(0,Inputs!$B$35-((S490-1)*Skills!D17))))/Inputs!$B$35),IF(Inputs!$B$4="pvp",MIN((Skills!T17*(1+Inputs!$B$33/100)),15)/15,(Skills!T17*(1+Inputs!$B$33/100))/Skills!D17)))))/100)*(1+Inputs!$B$15/100)*(5000/(6000+Inputs!$B$7*(1-(Inputs!$B$18+0)/100)))*(1+(Inputs!$B$23+((C498=TRUE)*(F498-Calc!F25))+((C499=TRUE)*(F499-Calc!F26))+B508)/100)*(1+1.0*IF(C484=TRUE,F484,0)/100)*(1+(IF(Skills!A9="DARK_IMPALE",Inputs!$B$16+0,Inputs!$B$17+((C496=TRUE)*(F496-Calc!F23))))/100)*((1+(((C486=TRUE)*F486*IF(AND(Inputs!$B$4&lt;&gt;"pvp",Inputs!$B$35&gt;0),(((S486-1)*(Skills!T13*(1+Inputs!$B$33/100))+MIN((Skills!T13*(1+Inputs!$B$33/100)),MAX(0,Inputs!$B$35-((S486-1)*Skills!D13))))/Inputs!$B$35),IF(Inputs!$B$4="pvp",MIN((Skills!T13*(1+Inputs!$B$33/100)),15)/15,(Skills!T13*(1+Inputs!$B$33/100))/Skills!D13)))+((C487=TRUE)*F487*IF(AND(Inputs!$B$4&lt;&gt;"pvp",Inputs!$B$35&gt;0),(((S487-1)*(Skills!T14*(1+Inputs!$B$33/100))+MIN((Skills!T14*(1+Inputs!$B$33/100)),MAX(0,Inputs!$B$35-((S487-1)*Skills!D14))))/Inputs!$B$35),IF(Inputs!$B$4="pvp",MIN((Skills!T14*(1+Inputs!$B$33/100)),15)/15,(Skills!T14*(1+Inputs!$B$33/100))/Skills!D14)))+((C488=TRUE)*F488*IF(AND(Inputs!$B$4&lt;&gt;"pvp",Inputs!$B$35&gt;0),(((S488-1)*(Skills!T15*(1+Inputs!$B$33/100))+MIN((Skills!T15*(1+Inputs!$B$33/100)),MAX(0,Inputs!$B$35-((S488-1)*Skills!D15))))/Inputs!$B$35),IF(Inputs!$B$4="pvp",MIN((Skills!T15*(1+Inputs!$B$33/100)),15)/15,(Skills!T15*(1+Inputs!$B$33/100))/Skills!D15)))+((C489=TRUE)*F489*IF(AND(Inputs!$B$4&lt;&gt;"pvp",Inputs!$B$35&gt;0),(((S489-1)*(Skills!T16*(1+Inputs!$B$33/100))+MIN((Skills!T16*(1+Inputs!$B$33/100)),MAX(0,Inputs!$B$35-((S489-1)*Skills!D16))))/Inputs!$B$35),IF(Inputs!$B$4="pvp",MIN((Skills!T16*(1+Inputs!$B$33/100)),15)/15,(Skills!T16*(1+Inputs!$B$33/100))/Skills!D16)))+0)/100)*I482)</f>
        <v/>
      </c>
      <c r="L482">
        <f>K482*(MIN(Inputs!$B$21+((C495=TRUE)*(F495-Calc!F22)),Inputs!$B$22+((C497=TRUE)*(F497-Calc!F24)))/100+(Inputs!$B$22+((C497=TRUE)*(F497-Calc!F24)))/100)/2</f>
        <v/>
      </c>
      <c r="M482">
        <f>L482*(1+((Inputs!$B$9+1)+0+B507)/100)</f>
        <v/>
      </c>
      <c r="N482">
        <f>L482*(1-MIN((Inputs!$B$8+0+B502),100)/100)+M482*(MIN((Inputs!$B$8+0+B502),100)/100)</f>
        <v/>
      </c>
      <c r="O482">
        <f>IF(C482,H482*N482*IF(AND(Inputs!$B$4&lt;&gt;"pvp",Inputs!$B$35&gt;0),((Skills!G9*((R482-1)*IF(Skills!H9&gt;0,Skills!I9/Skills!H9,1)+IF(Skills!H9&gt;0,MIN(Skills!I9,MAX(0,Inputs!$B$35-((R482-1)*IF(Inputs!$B$4="pvp",15,MAX(0.1,Skills!D9-IF(Skills!E9=TRUE,Inputs!$B$31,0))))))/Skills!H9,1)))/Inputs!$B$35),G482*Q482)*IF(Inputs!$B$4="pvp",1,(1-Summary!$B$55)*(1)+Summary!$B$55*(MIN(Skills!R9,Inputs!$B$37))),0)</f>
        <v/>
      </c>
      <c r="P482">
        <f>IF(B510=0,0,O482/B510)</f>
        <v/>
      </c>
      <c r="Q482">
        <f>IFERROR(1/IF(Inputs!$B$4="pvp",15,MAX(0.1,Skills!D9-IF(Skills!E9=TRUE,Inputs!$B$31,0))),0)</f>
        <v/>
      </c>
      <c r="R482">
        <f>IF(AND(Inputs!$B$4&lt;&gt;"pvp",Inputs!$B$35&gt;0),(INT(Inputs!$B$35/IF(Inputs!$B$4="pvp",15,MAX(0.1,Skills!D9-IF(Skills!E9=TRUE,Inputs!$B$31,0))))+1),0)</f>
        <v/>
      </c>
      <c r="S482">
        <f>IFERROR(O482/N482,0)</f>
        <v/>
      </c>
    </row>
    <row r="483">
      <c r="A483">
        <f>Skills!A10</f>
        <v/>
      </c>
      <c r="B483">
        <f>Skills!B10</f>
        <v/>
      </c>
      <c r="C483">
        <f>Inputs!$B$3&gt;=110</f>
        <v/>
      </c>
      <c r="D483">
        <f>IF(Skills!C10=1,60+Inputs!$B$24+Inputs!$B$28,IF(Skills!C10=2,90+Inputs!$B$25+Inputs!$B$28,IF(Skills!C10=3,120+Inputs!$B$26+Inputs!$B$28,MAX(0,(Inputs!$B$3-100)*3)+Inputs!$B$27+Inputs!$B$28)))</f>
        <v/>
      </c>
      <c r="E483">
        <f>INDEX(FactorTable!$B$2:$Y$301, MATCH(ROUND(MIN(300,MAX(1,D483)),0), FactorTable!$A$2:$A$301,0), Skills!M10+1)</f>
        <v/>
      </c>
      <c r="F483">
        <f>IF(Skills!N10=TRUE,(Skills!L10/10)*(E483/1000),Skills!L10/10)+Skills!O10</f>
        <v/>
      </c>
      <c r="G483">
        <f>Skills!G10*IF(Skills!H10&gt;0,Skills!I10/Skills!H10,1)</f>
        <v/>
      </c>
      <c r="H483">
        <f>1-(1-Skills!J10/100)^Skills!K10</f>
        <v/>
      </c>
      <c r="I483" t="inlineStr">
        <is>
          <t>1</t>
        </is>
      </c>
      <c r="J483">
        <f>(Inputs!$B$5*(1+Inputs!$B$6/100))*(F483/100)</f>
        <v/>
      </c>
      <c r="K483">
        <f>J483*(1+((Inputs!$B$11*(1+Inputs!$B$12/100))*0.01+Inputs!$B$13*0.0025)/100)*(1+Inputs!$B$14/100)*(1+IF(Inputs!$B$4="pvp",0,(1-Summary!$B$55)*(Inputs!$B$19+0+Skills!P10+((C490=TRUE)*F490*IF(AND(Inputs!$B$4&lt;&gt;"pvp",Inputs!$B$35&gt;0),(((S490-1)*(Skills!T17*(1+Inputs!$B$33/100))+MIN((Skills!T17*(1+Inputs!$B$33/100)),MAX(0,Inputs!$B$35-((S490-1)*Skills!D17))))/Inputs!$B$35),IF(Inputs!$B$4="pvp",MIN((Skills!T17*(1+Inputs!$B$33/100)),15)/15,(Skills!T17*(1+Inputs!$B$33/100))/Skills!D17)))+((C487=TRUE)*IF(Inputs!$B$4="pvp",20,(1-Summary!$B$55)*(20)+Summary!$B$55*(0))*IF(AND(Inputs!$B$4&lt;&gt;"pvp",Inputs!$B$35&gt;0),(((S487-1)*(Skills!T14*(1+Inputs!$B$33/100))+MIN((Skills!T14*(1+Inputs!$B$33/100)),MAX(0,Inputs!$B$35-((S487-1)*Skills!D14))))/Inputs!$B$35),IF(Inputs!$B$4="pvp",MIN((Skills!T14*(1+Inputs!$B$33/100)),15)/15,(Skills!T14*(1+Inputs!$B$33/100))/Skills!D14))))+Summary!$B$55*(Inputs!$B$20+Skills!Q10+((C490=TRUE)*F490*IF(AND(Inputs!$B$4&lt;&gt;"pvp",Inputs!$B$35&gt;0),(((S490-1)*(Skills!T17*(1+Inputs!$B$33/100))+MIN((Skills!T17*(1+Inputs!$B$33/100)),MAX(0,Inputs!$B$35-((S490-1)*Skills!D17))))/Inputs!$B$35),IF(Inputs!$B$4="pvp",MIN((Skills!T17*(1+Inputs!$B$33/100)),15)/15,(Skills!T17*(1+Inputs!$B$33/100))/Skills!D17)))))/100)*(1+Inputs!$B$15/100)*(5000/(6000+Inputs!$B$7*(1-(Inputs!$B$18+0)/100)))*(1+(Inputs!$B$23+((C498=TRUE)*(F498-Calc!F25))+((C499=TRUE)*(F499-Calc!F26))+B508)/100)*(1+(IF(Skills!A10="DARK_IMPALE",Inputs!$B$16+0,Inputs!$B$17+((C496=TRUE)*(F496-Calc!F23))))/100)*((1+(((C486=TRUE)*F486*IF(AND(Inputs!$B$4&lt;&gt;"pvp",Inputs!$B$35&gt;0),(((S486-1)*(Skills!T13*(1+Inputs!$B$33/100))+MIN((Skills!T13*(1+Inputs!$B$33/100)),MAX(0,Inputs!$B$35-((S486-1)*Skills!D13))))/Inputs!$B$35),IF(Inputs!$B$4="pvp",MIN((Skills!T13*(1+Inputs!$B$33/100)),15)/15,(Skills!T13*(1+Inputs!$B$33/100))/Skills!D13)))+((C487=TRUE)*F487*IF(AND(Inputs!$B$4&lt;&gt;"pvp",Inputs!$B$35&gt;0),(((S487-1)*(Skills!T14*(1+Inputs!$B$33/100))+MIN((Skills!T14*(1+Inputs!$B$33/100)),MAX(0,Inputs!$B$35-((S487-1)*Skills!D14))))/Inputs!$B$35),IF(Inputs!$B$4="pvp",MIN((Skills!T14*(1+Inputs!$B$33/100)),15)/15,(Skills!T14*(1+Inputs!$B$33/100))/Skills!D14)))+((C488=TRUE)*F488*IF(AND(Inputs!$B$4&lt;&gt;"pvp",Inputs!$B$35&gt;0),(((S488-1)*(Skills!T15*(1+Inputs!$B$33/100))+MIN((Skills!T15*(1+Inputs!$B$33/100)),MAX(0,Inputs!$B$35-((S488-1)*Skills!D15))))/Inputs!$B$35),IF(Inputs!$B$4="pvp",MIN((Skills!T15*(1+Inputs!$B$33/100)),15)/15,(Skills!T15*(1+Inputs!$B$33/100))/Skills!D15)))+((C489=TRUE)*F489*IF(AND(Inputs!$B$4&lt;&gt;"pvp",Inputs!$B$35&gt;0),(((S489-1)*(Skills!T16*(1+Inputs!$B$33/100))+MIN((Skills!T16*(1+Inputs!$B$33/100)),MAX(0,Inputs!$B$35-((S489-1)*Skills!D16))))/Inputs!$B$35),IF(Inputs!$B$4="pvp",MIN((Skills!T16*(1+Inputs!$B$33/100)),15)/15,(Skills!T16*(1+Inputs!$B$33/100))/Skills!D16)))+0)/100)*I483)</f>
        <v/>
      </c>
      <c r="L483">
        <f>K483*(MIN(Inputs!$B$21+((C495=TRUE)*(F495-Calc!F22)),Inputs!$B$22+((C497=TRUE)*(F497-Calc!F24)))/100+(Inputs!$B$22+((C497=TRUE)*(F497-Calc!F24)))/100)/2</f>
        <v/>
      </c>
      <c r="M483">
        <f>L483*(1+((Inputs!$B$9+1)+0+B507)/100)</f>
        <v/>
      </c>
      <c r="N483">
        <f>L483*(1-MIN((Inputs!$B$8+0+B502),100)/100)+M483*(MIN((Inputs!$B$8+0+B502),100)/100)</f>
        <v/>
      </c>
      <c r="O483">
        <f>IF(C483,H483*N483*IF(AND(Inputs!$B$4&lt;&gt;"pvp",Inputs!$B$35&gt;0),((Skills!G10*((R483-1)*IF(Skills!H10&gt;0,Skills!I10/Skills!H10,1)+IF(Skills!H10&gt;0,MIN(Skills!I10,MAX(0,Inputs!$B$35-((R483-1)*IF(Inputs!$B$4="pvp",15,MAX(0.1,Skills!D10-IF(Skills!E10=TRUE,Inputs!$B$31,0))))))/Skills!H10,1)))/Inputs!$B$35),G483*Q483)*IF(Inputs!$B$4="pvp",1,(1-Summary!$B$55)*(1)+Summary!$B$55*(MIN(Skills!R10,Inputs!$B$37))),0)</f>
        <v/>
      </c>
      <c r="P483">
        <f>IF(B510=0,0,O483/B510)</f>
        <v/>
      </c>
      <c r="Q483">
        <f>IFERROR(1/IF(Inputs!$B$4="pvp",15,MAX(0.1,Skills!D10-IF(Skills!E10=TRUE,Inputs!$B$31,0))),0)</f>
        <v/>
      </c>
      <c r="R483">
        <f>IF(AND(Inputs!$B$4&lt;&gt;"pvp",Inputs!$B$35&gt;0),(INT(Inputs!$B$35/IF(Inputs!$B$4="pvp",15,MAX(0.1,Skills!D10-IF(Skills!E10=TRUE,Inputs!$B$31,0))))+1),0)</f>
        <v/>
      </c>
      <c r="S483">
        <f>IFERROR(O483/N483,0)</f>
        <v/>
      </c>
    </row>
    <row r="484">
      <c r="A484">
        <f>Skills!A11</f>
        <v/>
      </c>
      <c r="B484">
        <f>Skills!B11</f>
        <v/>
      </c>
      <c r="C484">
        <f>Inputs!$B$3&gt;=100</f>
        <v/>
      </c>
      <c r="D484">
        <f>IF(Skills!C11=1,60+Inputs!$B$24+Inputs!$B$28,IF(Skills!C11=2,90+Inputs!$B$25+Inputs!$B$28,IF(Skills!C11=3,120+Inputs!$B$26+Inputs!$B$28,MAX(0,(Inputs!$B$3-100)*3)+Inputs!$B$27+Inputs!$B$28)))</f>
        <v/>
      </c>
      <c r="E484">
        <f>INDEX(FactorTable!$B$2:$Y$301, MATCH(ROUND(MIN(300,MAX(1,D484)),0), FactorTable!$A$2:$A$301,0), Skills!M11+1)</f>
        <v/>
      </c>
      <c r="F484">
        <f>IF(Skills!N11=TRUE,(Skills!L11/10)*(E484/1000),Skills!L11/10)+Skills!O11</f>
        <v/>
      </c>
      <c r="G484" t="inlineStr"/>
      <c r="H484" t="inlineStr"/>
      <c r="I484" t="inlineStr">
        <is>
          <t>1</t>
        </is>
      </c>
      <c r="J484" t="inlineStr"/>
      <c r="K484" t="inlineStr"/>
      <c r="L484" t="inlineStr"/>
      <c r="M484" t="inlineStr"/>
      <c r="N484" t="inlineStr"/>
      <c r="O484" t="inlineStr"/>
      <c r="P484" t="inlineStr"/>
      <c r="Q484" t="inlineStr"/>
      <c r="R484" t="inlineStr"/>
      <c r="S484" t="inlineStr"/>
    </row>
    <row r="485">
      <c r="A485">
        <f>Skills!A12</f>
        <v/>
      </c>
      <c r="B485">
        <f>Skills!B12</f>
        <v/>
      </c>
      <c r="C485">
        <f>Inputs!$B$3&gt;=63</f>
        <v/>
      </c>
      <c r="D485">
        <f>IF(Skills!C12=1,60+Inputs!$B$24+Inputs!$B$28,IF(Skills!C12=2,90+Inputs!$B$25+Inputs!$B$28,IF(Skills!C12=3,120+Inputs!$B$26+Inputs!$B$28,MAX(0,(Inputs!$B$3-100)*3)+Inputs!$B$27+Inputs!$B$28)))</f>
        <v/>
      </c>
      <c r="E485">
        <f>INDEX(FactorTable!$B$2:$Y$301, MATCH(ROUND(MIN(300,MAX(1,D485)),0), FactorTable!$A$2:$A$301,0), Skills!M12+1)</f>
        <v/>
      </c>
      <c r="F485">
        <f>IF(Skills!N12=TRUE,(Skills!L12/10)*(E485/1000),Skills!L12/10)+Skills!O12</f>
        <v/>
      </c>
      <c r="G485">
        <f>Skills!G12*IF(Skills!H12&gt;0,Skills!I12/Skills!H12,1)</f>
        <v/>
      </c>
      <c r="H485">
        <f>1-(1-Skills!J12/100)^Skills!K12</f>
        <v/>
      </c>
      <c r="I485" t="inlineStr">
        <is>
          <t>1</t>
        </is>
      </c>
      <c r="J485">
        <f>(Inputs!$B$5*(1+Inputs!$B$6/100))*(F485/100)</f>
        <v/>
      </c>
      <c r="K485">
        <f>J485*(1+((Inputs!$B$11*(1+Inputs!$B$12/100))*0.01+Inputs!$B$13*0.0025)/100)*(1+Inputs!$B$14/100)*(1+IF(Inputs!$B$4="pvp",0,(1-Summary!$B$55)*(Inputs!$B$19+0+Skills!P12+((C490=TRUE)*F490*IF(AND(Inputs!$B$4&lt;&gt;"pvp",Inputs!$B$35&gt;0),(((S490-1)*(Skills!T17*(1+Inputs!$B$33/100))+MIN((Skills!T17*(1+Inputs!$B$33/100)),MAX(0,Inputs!$B$35-((S490-1)*Skills!D17))))/Inputs!$B$35),IF(Inputs!$B$4="pvp",MIN((Skills!T17*(1+Inputs!$B$33/100)),15)/15,(Skills!T17*(1+Inputs!$B$33/100))/Skills!D17)))+((C487=TRUE)*IF(Inputs!$B$4="pvp",20,(1-Summary!$B$55)*(20)+Summary!$B$55*(0))*IF(AND(Inputs!$B$4&lt;&gt;"pvp",Inputs!$B$35&gt;0),(((S487-1)*(Skills!T14*(1+Inputs!$B$33/100))+MIN((Skills!T14*(1+Inputs!$B$33/100)),MAX(0,Inputs!$B$35-((S487-1)*Skills!D14))))/Inputs!$B$35),IF(Inputs!$B$4="pvp",MIN((Skills!T14*(1+Inputs!$B$33/100)),15)/15,(Skills!T14*(1+Inputs!$B$33/100))/Skills!D14))))+Summary!$B$55*(Inputs!$B$20+Skills!Q12+((C490=TRUE)*F490*IF(AND(Inputs!$B$4&lt;&gt;"pvp",Inputs!$B$35&gt;0),(((S490-1)*(Skills!T17*(1+Inputs!$B$33/100))+MIN((Skills!T17*(1+Inputs!$B$33/100)),MAX(0,Inputs!$B$35-((S490-1)*Skills!D17))))/Inputs!$B$35),IF(Inputs!$B$4="pvp",MIN((Skills!T17*(1+Inputs!$B$33/100)),15)/15,(Skills!T17*(1+Inputs!$B$33/100))/Skills!D17)))))/100)*(1+Inputs!$B$15/100)*(5000/(6000+Inputs!$B$7*(1-(Inputs!$B$18+0)/100)))*(1+(Inputs!$B$23+((C498=TRUE)*(F498-Calc!F25))+((C499=TRUE)*(F499-Calc!F26))+B508)/100)*(1+0.75*IF(C484=TRUE,F484,0)/100)*(1+(IF(Skills!A12="DARK_IMPALE",Inputs!$B$16+0,Inputs!$B$17+((C496=TRUE)*(F496-Calc!F23))))/100)*((1+(((C486=TRUE)*F486*IF(AND(Inputs!$B$4&lt;&gt;"pvp",Inputs!$B$35&gt;0),(((S486-1)*(Skills!T13*(1+Inputs!$B$33/100))+MIN((Skills!T13*(1+Inputs!$B$33/100)),MAX(0,Inputs!$B$35-((S486-1)*Skills!D13))))/Inputs!$B$35),IF(Inputs!$B$4="pvp",MIN((Skills!T13*(1+Inputs!$B$33/100)),15)/15,(Skills!T13*(1+Inputs!$B$33/100))/Skills!D13)))+((C487=TRUE)*F487*IF(AND(Inputs!$B$4&lt;&gt;"pvp",Inputs!$B$35&gt;0),(((S487-1)*(Skills!T14*(1+Inputs!$B$33/100))+MIN((Skills!T14*(1+Inputs!$B$33/100)),MAX(0,Inputs!$B$35-((S487-1)*Skills!D14))))/Inputs!$B$35),IF(Inputs!$B$4="pvp",MIN((Skills!T14*(1+Inputs!$B$33/100)),15)/15,(Skills!T14*(1+Inputs!$B$33/100))/Skills!D14)))+((C488=TRUE)*F488*IF(AND(Inputs!$B$4&lt;&gt;"pvp",Inputs!$B$35&gt;0),(((S488-1)*(Skills!T15*(1+Inputs!$B$33/100))+MIN((Skills!T15*(1+Inputs!$B$33/100)),MAX(0,Inputs!$B$35-((S488-1)*Skills!D15))))/Inputs!$B$35),IF(Inputs!$B$4="pvp",MIN((Skills!T15*(1+Inputs!$B$33/100)),15)/15,(Skills!T15*(1+Inputs!$B$33/100))/Skills!D15)))+((C489=TRUE)*F489*IF(AND(Inputs!$B$4&lt;&gt;"pvp",Inputs!$B$35&gt;0),(((S489-1)*(Skills!T16*(1+Inputs!$B$33/100))+MIN((Skills!T16*(1+Inputs!$B$33/100)),MAX(0,Inputs!$B$35-((S489-1)*Skills!D16))))/Inputs!$B$35),IF(Inputs!$B$4="pvp",MIN((Skills!T16*(1+Inputs!$B$33/100)),15)/15,(Skills!T16*(1+Inputs!$B$33/100))/Skills!D16)))+0)/100)*I485)</f>
        <v/>
      </c>
      <c r="L485">
        <f>K485*(MIN(Inputs!$B$21+((C495=TRUE)*(F495-Calc!F22)),Inputs!$B$22+((C497=TRUE)*(F497-Calc!F24)))/100+(Inputs!$B$22+((C497=TRUE)*(F497-Calc!F24)))/100)/2</f>
        <v/>
      </c>
      <c r="M485">
        <f>L485*(1+((Inputs!$B$9+1)+0+B507)/100)</f>
        <v/>
      </c>
      <c r="N485">
        <f>L485*(1-MIN((Inputs!$B$8+0+B502),100)/100)+M485*(MIN((Inputs!$B$8+0+B502),100)/100)</f>
        <v/>
      </c>
      <c r="O485">
        <f>IF(C485,H485*N485*IF(AND(Inputs!$B$4&lt;&gt;"pvp",Inputs!$B$35&gt;0),((Skills!G12*((R485-1)*IF(Skills!H12&gt;0,Skills!I12/Skills!H12,1)+IF(Skills!H12&gt;0,MIN(Skills!I12,MAX(0,Inputs!$B$35-((R485-1)*IF(Inputs!$B$4="pvp",15,MAX(0.1,Skills!D12-IF(Skills!E12=TRUE,Inputs!$B$31,0))))))/Skills!H12,1)))/Inputs!$B$35),G485*Q485)*IF(Inputs!$B$4="pvp",1,(1-Summary!$B$55)*(1)+Summary!$B$55*(MIN(Skills!R12,Inputs!$B$37))),0)</f>
        <v/>
      </c>
      <c r="P485">
        <f>IF(B510=0,0,O485/B510)</f>
        <v/>
      </c>
      <c r="Q485">
        <f>IFERROR(1/IF(Inputs!$B$4="pvp",15,MAX(0.1,Skills!D12-IF(Skills!E12=TRUE,Inputs!$B$31,0))),0)</f>
        <v/>
      </c>
      <c r="R485">
        <f>IF(AND(Inputs!$B$4&lt;&gt;"pvp",Inputs!$B$35&gt;0),(INT(Inputs!$B$35/IF(Inputs!$B$4="pvp",15,MAX(0.1,Skills!D12-IF(Skills!E12=TRUE,Inputs!$B$31,0))))+1),0)</f>
        <v/>
      </c>
      <c r="S485">
        <f>IFERROR(O485/N485,0)</f>
        <v/>
      </c>
    </row>
    <row r="486">
      <c r="A486">
        <f>Skills!A13</f>
        <v/>
      </c>
      <c r="B486">
        <f>Skills!B13</f>
        <v/>
      </c>
      <c r="C486">
        <f>Inputs!$B$3&gt;=69</f>
        <v/>
      </c>
      <c r="D486">
        <f>IF(Skills!C13=1,60+Inputs!$B$24+Inputs!$B$28,IF(Skills!C13=2,90+Inputs!$B$25+Inputs!$B$28,IF(Skills!C13=3,120+Inputs!$B$26+Inputs!$B$28,MAX(0,(Inputs!$B$3-100)*3)+Inputs!$B$27+Inputs!$B$28)))</f>
        <v/>
      </c>
      <c r="E486">
        <f>INDEX(FactorTable!$B$2:$Y$301, MATCH(ROUND(MIN(300,MAX(1,D486)),0), FactorTable!$A$2:$A$301,0), Skills!M13+1)</f>
        <v/>
      </c>
      <c r="F486">
        <f>IF(Skills!N13=TRUE,(Skills!L13/10)*(E486/1000),Skills!L13/10)+Skills!O13</f>
        <v/>
      </c>
      <c r="G486">
        <f>Skills!G13*IF(Skills!H13&gt;0,Skills!I13/Skills!H13,1)</f>
        <v/>
      </c>
      <c r="H486">
        <f>1-(1-Skills!J13/100)^Skills!K13</f>
        <v/>
      </c>
      <c r="I486" t="inlineStr">
        <is>
          <t>1</t>
        </is>
      </c>
      <c r="J486" t="inlineStr"/>
      <c r="K486" t="inlineStr"/>
      <c r="L486" t="inlineStr"/>
      <c r="M486" t="inlineStr"/>
      <c r="N486" t="inlineStr"/>
      <c r="O486" t="n">
        <v>0</v>
      </c>
      <c r="P486">
        <f>IF(B510=0,0,O486/B510)</f>
        <v/>
      </c>
      <c r="Q486">
        <f>IFERROR(1/IF(Inputs!$B$4="pvp",15,MAX(0.1,Skills!D13-IF(Skills!E13=TRUE,Inputs!$B$31,0))),0)</f>
        <v/>
      </c>
      <c r="R486">
        <f>IF(AND(Inputs!$B$4&lt;&gt;"pvp",Inputs!$B$35&gt;0),(INT(Inputs!$B$35/IF(Inputs!$B$4="pvp",15,MAX(0.1,Skills!D13-IF(Skills!E13=TRUE,Inputs!$B$31,0))))+1),0)</f>
        <v/>
      </c>
      <c r="S486">
        <f>IFERROR(O486/N486,0)</f>
        <v/>
      </c>
    </row>
    <row r="487">
      <c r="A487">
        <f>Skills!A14</f>
        <v/>
      </c>
      <c r="B487">
        <f>Skills!B14</f>
        <v/>
      </c>
      <c r="C487">
        <f>Inputs!$B$3&gt;=115</f>
        <v/>
      </c>
      <c r="D487">
        <f>IF(Skills!C14=1,60+Inputs!$B$24+Inputs!$B$28,IF(Skills!C14=2,90+Inputs!$B$25+Inputs!$B$28,IF(Skills!C14=3,120+Inputs!$B$26+Inputs!$B$28,MAX(0,(Inputs!$B$3-100)*3)+Inputs!$B$27+Inputs!$B$28)))</f>
        <v/>
      </c>
      <c r="E487">
        <f>INDEX(FactorTable!$B$2:$Y$301, MATCH(ROUND(MIN(300,MAX(1,D487)),0), FactorTable!$A$2:$A$301,0), Skills!M14+1)</f>
        <v/>
      </c>
      <c r="F487">
        <f>IF(Skills!N14=TRUE,(Skills!L14/10)*(E487/1000),Skills!L14/10)+Skills!O14</f>
        <v/>
      </c>
      <c r="G487">
        <f>Skills!G14*IF(Skills!H14&gt;0,Skills!I14/Skills!H14,1)</f>
        <v/>
      </c>
      <c r="H487">
        <f>1-(1-Skills!J14/100)^Skills!K14</f>
        <v/>
      </c>
      <c r="I487" t="inlineStr">
        <is>
          <t>1</t>
        </is>
      </c>
      <c r="J487" t="inlineStr"/>
      <c r="K487" t="inlineStr"/>
      <c r="L487" t="inlineStr"/>
      <c r="M487" t="inlineStr"/>
      <c r="N487" t="inlineStr"/>
      <c r="O487" t="n">
        <v>0</v>
      </c>
      <c r="P487">
        <f>IF(B510=0,0,O487/B510)</f>
        <v/>
      </c>
      <c r="Q487">
        <f>IFERROR(1/IF(Inputs!$B$4="pvp",15,MAX(0.1,Skills!D14-IF(Skills!E14=TRUE,Inputs!$B$31,0))),0)</f>
        <v/>
      </c>
      <c r="R487">
        <f>IF(AND(Inputs!$B$4&lt;&gt;"pvp",Inputs!$B$35&gt;0),(INT(Inputs!$B$35/IF(Inputs!$B$4="pvp",15,MAX(0.1,Skills!D14-IF(Skills!E14=TRUE,Inputs!$B$31,0))))+1),0)</f>
        <v/>
      </c>
      <c r="S487">
        <f>IFERROR(O487/N487,0)</f>
        <v/>
      </c>
    </row>
    <row r="488">
      <c r="A488">
        <f>Skills!A15</f>
        <v/>
      </c>
      <c r="B488">
        <f>Skills!B15</f>
        <v/>
      </c>
      <c r="C488">
        <f>Inputs!$B$3&gt;=66</f>
        <v/>
      </c>
      <c r="D488">
        <f>IF(Skills!C15=1,60+Inputs!$B$24+Inputs!$B$28,IF(Skills!C15=2,90+Inputs!$B$25+Inputs!$B$28,IF(Skills!C15=3,120+Inputs!$B$26+Inputs!$B$28,MAX(0,(Inputs!$B$3-100)*3)+Inputs!$B$27+Inputs!$B$28)))</f>
        <v/>
      </c>
      <c r="E488">
        <f>INDEX(FactorTable!$B$2:$Y$301, MATCH(ROUND(MIN(300,MAX(1,D488)),0), FactorTable!$A$2:$A$301,0), Skills!M15+1)</f>
        <v/>
      </c>
      <c r="F488">
        <f>IF(Skills!N15=TRUE,(Skills!L15/10)*(E488/1000),Skills!L15/10)+Skills!O15</f>
        <v/>
      </c>
      <c r="G488">
        <f>Skills!G15*IF(Skills!H15&gt;0,Skills!I15/Skills!H15,1)</f>
        <v/>
      </c>
      <c r="H488">
        <f>1-(1-Skills!J15/100)^Skills!K15</f>
        <v/>
      </c>
      <c r="I488" t="inlineStr">
        <is>
          <t>1</t>
        </is>
      </c>
      <c r="J488" t="inlineStr"/>
      <c r="K488" t="inlineStr"/>
      <c r="L488" t="inlineStr"/>
      <c r="M488" t="inlineStr"/>
      <c r="N488" t="inlineStr"/>
      <c r="O488" t="n">
        <v>0</v>
      </c>
      <c r="P488">
        <f>IF(B510=0,0,O488/B510)</f>
        <v/>
      </c>
      <c r="Q488">
        <f>IFERROR(1/IF(Inputs!$B$4="pvp",15,MAX(0.1,Skills!D15-IF(Skills!E15=TRUE,Inputs!$B$31,0))),0)</f>
        <v/>
      </c>
      <c r="R488">
        <f>IF(AND(Inputs!$B$4&lt;&gt;"pvp",Inputs!$B$35&gt;0),(INT(Inputs!$B$35/IF(Inputs!$B$4="pvp",15,MAX(0.1,Skills!D15-IF(Skills!E15=TRUE,Inputs!$B$31,0))))+1),0)</f>
        <v/>
      </c>
      <c r="S488">
        <f>IFERROR(O488/N488,0)</f>
        <v/>
      </c>
    </row>
    <row r="489">
      <c r="A489">
        <f>Skills!A16</f>
        <v/>
      </c>
      <c r="B489">
        <f>Skills!B16</f>
        <v/>
      </c>
      <c r="C489">
        <f>Inputs!$B$3&gt;=45</f>
        <v/>
      </c>
      <c r="D489">
        <f>IF(Skills!C16=1,60+Inputs!$B$24+Inputs!$B$28,IF(Skills!C16=2,90+Inputs!$B$25+Inputs!$B$28,IF(Skills!C16=3,120+Inputs!$B$26+Inputs!$B$28,MAX(0,(Inputs!$B$3-100)*3)+Inputs!$B$27+Inputs!$B$28)))</f>
        <v/>
      </c>
      <c r="E489">
        <f>INDEX(FactorTable!$B$2:$Y$301, MATCH(ROUND(MIN(300,MAX(1,D489)),0), FactorTable!$A$2:$A$301,0), Skills!M16+1)</f>
        <v/>
      </c>
      <c r="F489">
        <f>IF(Skills!N16=TRUE,(Skills!L16/10)*(E489/1000),Skills!L16/10)+Skills!O16</f>
        <v/>
      </c>
      <c r="G489">
        <f>Skills!G16*IF(Skills!H16&gt;0,Skills!I16/Skills!H16,1)</f>
        <v/>
      </c>
      <c r="H489">
        <f>1-(1-Skills!J16/100)^Skills!K16</f>
        <v/>
      </c>
      <c r="I489" t="inlineStr">
        <is>
          <t>1</t>
        </is>
      </c>
      <c r="J489" t="inlineStr"/>
      <c r="K489" t="inlineStr"/>
      <c r="L489" t="inlineStr"/>
      <c r="M489" t="inlineStr"/>
      <c r="N489" t="inlineStr"/>
      <c r="O489" t="n">
        <v>0</v>
      </c>
      <c r="P489">
        <f>IF(B510=0,0,O489/B510)</f>
        <v/>
      </c>
      <c r="Q489">
        <f>IFERROR(1/IF(Inputs!$B$4="pvp",15,MAX(0.1,Skills!D16-IF(Skills!E16=TRUE,Inputs!$B$31,0))),0)</f>
        <v/>
      </c>
      <c r="R489">
        <f>IF(AND(Inputs!$B$4&lt;&gt;"pvp",Inputs!$B$35&gt;0),(INT(Inputs!$B$35/IF(Inputs!$B$4="pvp",15,MAX(0.1,Skills!D16-IF(Skills!E16=TRUE,Inputs!$B$31,0))))+1),0)</f>
        <v/>
      </c>
      <c r="S489">
        <f>IFERROR(O489/N489,0)</f>
        <v/>
      </c>
    </row>
    <row r="490">
      <c r="A490">
        <f>Skills!A17</f>
        <v/>
      </c>
      <c r="B490">
        <f>Skills!B17</f>
        <v/>
      </c>
      <c r="C490">
        <f>Inputs!$B$3&gt;=35</f>
        <v/>
      </c>
      <c r="D490">
        <f>IF(Skills!C17=1,60+Inputs!$B$24+Inputs!$B$28,IF(Skills!C17=2,90+Inputs!$B$25+Inputs!$B$28,IF(Skills!C17=3,120+Inputs!$B$26+Inputs!$B$28,MAX(0,(Inputs!$B$3-100)*3)+Inputs!$B$27+Inputs!$B$28)))</f>
        <v/>
      </c>
      <c r="E490">
        <f>INDEX(FactorTable!$B$2:$Y$301, MATCH(ROUND(MIN(300,MAX(1,D490)),0), FactorTable!$A$2:$A$301,0), Skills!M17+1)</f>
        <v/>
      </c>
      <c r="F490">
        <f>IF(Skills!N17=TRUE,(Skills!L17/10)*(E490/1000),Skills!L17/10)+Skills!O17</f>
        <v/>
      </c>
      <c r="G490">
        <f>Skills!G17*IF(Skills!H17&gt;0,Skills!I17/Skills!H17,1)</f>
        <v/>
      </c>
      <c r="H490">
        <f>1-(1-Skills!J17/100)^Skills!K17</f>
        <v/>
      </c>
      <c r="I490" t="inlineStr">
        <is>
          <t>1</t>
        </is>
      </c>
      <c r="J490" t="inlineStr"/>
      <c r="K490" t="inlineStr"/>
      <c r="L490" t="inlineStr"/>
      <c r="M490" t="inlineStr"/>
      <c r="N490" t="inlineStr"/>
      <c r="O490" t="n">
        <v>0</v>
      </c>
      <c r="P490">
        <f>IF(B510=0,0,O490/B510)</f>
        <v/>
      </c>
      <c r="Q490">
        <f>IFERROR(1/IF(Inputs!$B$4="pvp",15,MAX(0.1,Skills!D17-IF(Skills!E17=TRUE,Inputs!$B$31,0))),0)</f>
        <v/>
      </c>
      <c r="R490">
        <f>IF(AND(Inputs!$B$4&lt;&gt;"pvp",Inputs!$B$35&gt;0),(INT(Inputs!$B$35/IF(Inputs!$B$4="pvp",15,MAX(0.1,Skills!D17-IF(Skills!E17=TRUE,Inputs!$B$31,0))))+1),0)</f>
        <v/>
      </c>
      <c r="S490">
        <f>IFERROR(O490/N490,0)</f>
        <v/>
      </c>
    </row>
    <row r="491">
      <c r="A491">
        <f>Skills!A18</f>
        <v/>
      </c>
      <c r="B491">
        <f>Skills!B18</f>
        <v/>
      </c>
      <c r="C491">
        <f>Inputs!$B$3&gt;=72</f>
        <v/>
      </c>
      <c r="D491">
        <f>IF(Skills!C18=1,60+Inputs!$B$24+Inputs!$B$28,IF(Skills!C18=2,90+Inputs!$B$25+Inputs!$B$28,IF(Skills!C18=3,120+Inputs!$B$26+Inputs!$B$28,MAX(0,(Inputs!$B$3-100)*3)+Inputs!$B$27+Inputs!$B$28)))</f>
        <v/>
      </c>
      <c r="E491">
        <f>INDEX(FactorTable!$B$2:$Y$301, MATCH(ROUND(MIN(300,MAX(1,D491)),0), FactorTable!$A$2:$A$301,0), Skills!M18+1)</f>
        <v/>
      </c>
      <c r="F491">
        <f>IF(Skills!N18=TRUE,(Skills!L18/10)*(E491/1000),Skills!L18/10)+Skills!O18</f>
        <v/>
      </c>
      <c r="G491">
        <f>Skills!G18*IF(Skills!H18&gt;0,Skills!I18/Skills!H18,1)</f>
        <v/>
      </c>
      <c r="H491">
        <f>1-(1-Skills!J18/100)^Skills!K18</f>
        <v/>
      </c>
      <c r="I491" t="inlineStr">
        <is>
          <t>1</t>
        </is>
      </c>
      <c r="J491" t="inlineStr"/>
      <c r="K491" t="inlineStr"/>
      <c r="L491" t="inlineStr"/>
      <c r="M491" t="inlineStr"/>
      <c r="N491" t="inlineStr"/>
      <c r="O491" t="n">
        <v>0</v>
      </c>
      <c r="P491">
        <f>IF(B510=0,0,O491/B510)</f>
        <v/>
      </c>
      <c r="Q491">
        <f>IFERROR(1/IF(Inputs!$B$4="pvp",15,MAX(0.1,Skills!D18-IF(Skills!E18=TRUE,Inputs!$B$31,0))),0)</f>
        <v/>
      </c>
      <c r="R491">
        <f>IF(AND(Inputs!$B$4&lt;&gt;"pvp",Inputs!$B$35&gt;0),(INT(Inputs!$B$35/IF(Inputs!$B$4="pvp",15,MAX(0.1,Skills!D18-IF(Skills!E18=TRUE,Inputs!$B$31,0))))+1),0)</f>
        <v/>
      </c>
      <c r="S491">
        <f>IFERROR(O491/N491,0)</f>
        <v/>
      </c>
    </row>
    <row r="492">
      <c r="A492">
        <f>Skills!A19</f>
        <v/>
      </c>
      <c r="B492">
        <f>Skills!B19</f>
        <v/>
      </c>
      <c r="C492">
        <f>Inputs!$B$3&gt;=72</f>
        <v/>
      </c>
      <c r="D492">
        <f>IF(Skills!C19=1,60+Inputs!$B$24+Inputs!$B$28,IF(Skills!C19=2,90+Inputs!$B$25+Inputs!$B$28,IF(Skills!C19=3,120+Inputs!$B$26+Inputs!$B$28,MAX(0,(Inputs!$B$3-100)*3)+Inputs!$B$27+Inputs!$B$28)))</f>
        <v/>
      </c>
      <c r="E492">
        <f>INDEX(FactorTable!$B$2:$Y$301, MATCH(ROUND(MIN(300,MAX(1,D492)),0), FactorTable!$A$2:$A$301,0), Skills!M19+1)</f>
        <v/>
      </c>
      <c r="F492">
        <f>IF(Skills!N19=TRUE,(Skills!L19/10)*(E492/1000),Skills!L19/10)+Skills!O19</f>
        <v/>
      </c>
      <c r="G492">
        <f>Skills!G19*IF(Skills!H19&gt;0,Skills!I19/Skills!H19,1)</f>
        <v/>
      </c>
      <c r="H492">
        <f>1-(1-Skills!J19/100)^Skills!K19</f>
        <v/>
      </c>
      <c r="I492" t="inlineStr">
        <is>
          <t>1</t>
        </is>
      </c>
      <c r="J492" t="inlineStr"/>
      <c r="K492" t="inlineStr"/>
      <c r="L492" t="inlineStr"/>
      <c r="M492" t="inlineStr"/>
      <c r="N492" t="inlineStr"/>
      <c r="O492" t="n">
        <v>0</v>
      </c>
      <c r="P492">
        <f>IF(B510=0,0,O492/B510)</f>
        <v/>
      </c>
      <c r="Q492">
        <f>IFERROR(1/IF(Inputs!$B$4="pvp",15,MAX(0.1,Skills!D19-IF(Skills!E19=TRUE,Inputs!$B$31,0))),0)</f>
        <v/>
      </c>
      <c r="R492">
        <f>IF(AND(Inputs!$B$4&lt;&gt;"pvp",Inputs!$B$35&gt;0),(INT(Inputs!$B$35/IF(Inputs!$B$4="pvp",15,MAX(0.1,Skills!D19-IF(Skills!E19=TRUE,Inputs!$B$31,0))))+1),0)</f>
        <v/>
      </c>
      <c r="S492">
        <f>IFERROR(O492/N492,0)</f>
        <v/>
      </c>
    </row>
    <row r="493">
      <c r="A493">
        <f>Skills!A20</f>
        <v/>
      </c>
      <c r="B493">
        <f>Skills!B20</f>
        <v/>
      </c>
      <c r="C493">
        <f>TRUE</f>
        <v/>
      </c>
      <c r="D493">
        <f>IF(Skills!C20=1,60+Inputs!$B$24+Inputs!$B$28,IF(Skills!C20=2,90+Inputs!$B$25+Inputs!$B$28,IF(Skills!C20=3,120+Inputs!$B$26+Inputs!$B$28,MAX(0,(Inputs!$B$3-100)*3)+Inputs!$B$27+Inputs!$B$28)))</f>
        <v/>
      </c>
      <c r="E493">
        <f>INDEX(FactorTable!$B$2:$Y$301, MATCH(ROUND(MIN(300,MAX(1,D493)),0), FactorTable!$A$2:$A$301,0), Skills!M20+1)</f>
        <v/>
      </c>
      <c r="F493">
        <f>IF(Skills!N20=TRUE,(Skills!L20/10)*(E493/1000),Skills!L20/10)+Skills!O20</f>
        <v/>
      </c>
      <c r="G493">
        <f>Skills!G20*IF(Skills!H20&gt;0,Skills!I20/Skills!H20,1)</f>
        <v/>
      </c>
      <c r="H493">
        <f>1-(1-Skills!J20/100)^Skills!K20</f>
        <v/>
      </c>
      <c r="I493" t="inlineStr">
        <is>
          <t>1</t>
        </is>
      </c>
      <c r="J493" t="inlineStr"/>
      <c r="K493" t="inlineStr"/>
      <c r="L493" t="inlineStr"/>
      <c r="M493" t="inlineStr"/>
      <c r="N493" t="inlineStr"/>
      <c r="O493" t="n">
        <v>0</v>
      </c>
      <c r="P493">
        <f>IF(B510=0,0,O493/B510)</f>
        <v/>
      </c>
      <c r="Q493">
        <f>IFERROR(1/IF(Inputs!$B$4="pvp",15,MAX(0.1,Skills!D20-IF(Skills!E20=TRUE,Inputs!$B$31,0))),0)</f>
        <v/>
      </c>
      <c r="R493">
        <f>IF(AND(Inputs!$B$4&lt;&gt;"pvp",Inputs!$B$35&gt;0),(INT(Inputs!$B$35/IF(Inputs!$B$4="pvp",15,MAX(0.1,Skills!D20-IF(Skills!E20=TRUE,Inputs!$B$31,0))))+1),0)</f>
        <v/>
      </c>
      <c r="S493">
        <f>IFERROR(O493/N493,0)</f>
        <v/>
      </c>
    </row>
    <row r="494">
      <c r="A494">
        <f>Skills!A21</f>
        <v/>
      </c>
      <c r="B494">
        <f>Skills!B21</f>
        <v/>
      </c>
      <c r="C494">
        <f>Inputs!$B$3&gt;=33</f>
        <v/>
      </c>
      <c r="D494">
        <f>IF(Skills!C21=1,60+Inputs!$B$24+Inputs!$B$28,IF(Skills!C21=2,90+Inputs!$B$25+Inputs!$B$28,IF(Skills!C21=3,120+Inputs!$B$26+Inputs!$B$28,MAX(0,(Inputs!$B$3-100)*3)+Inputs!$B$27+Inputs!$B$28)))</f>
        <v/>
      </c>
      <c r="E494">
        <f>INDEX(FactorTable!$B$2:$Y$301, MATCH(ROUND(MIN(300,MAX(1,D494)),0), FactorTable!$A$2:$A$301,0), Skills!M21+1)</f>
        <v/>
      </c>
      <c r="F494">
        <f>IF(Skills!N21=TRUE,(Skills!L21/10)*(E494/1000),Skills!L21/10)+Skills!O21</f>
        <v/>
      </c>
      <c r="G494">
        <f>Skills!G21*IF(Skills!H21&gt;0,Skills!I21/Skills!H21,1)</f>
        <v/>
      </c>
      <c r="H494">
        <f>1-(1-Skills!J21/100)^Skills!K21</f>
        <v/>
      </c>
      <c r="I494" t="inlineStr">
        <is>
          <t>1</t>
        </is>
      </c>
      <c r="J494" t="inlineStr"/>
      <c r="K494" t="inlineStr"/>
      <c r="L494" t="inlineStr"/>
      <c r="M494" t="inlineStr"/>
      <c r="N494" t="inlineStr"/>
      <c r="O494" t="n">
        <v>0</v>
      </c>
      <c r="P494">
        <f>IF(B510=0,0,O494/B510)</f>
        <v/>
      </c>
      <c r="Q494" t="n">
        <v>0</v>
      </c>
      <c r="R494" t="n">
        <v>0</v>
      </c>
      <c r="S494">
        <f>IFERROR(O494/N494,0)</f>
        <v/>
      </c>
    </row>
    <row r="495">
      <c r="A495">
        <f>Skills!A22</f>
        <v/>
      </c>
      <c r="B495">
        <f>Skills!B22</f>
        <v/>
      </c>
      <c r="C495">
        <f>Inputs!$B$3&gt;=43</f>
        <v/>
      </c>
      <c r="D495">
        <f>IF(Skills!C22=1,60+Inputs!$B$24+Inputs!$B$28,IF(Skills!C22=2,90+Inputs!$B$25+Inputs!$B$28,IF(Skills!C22=3,120+Inputs!$B$26+Inputs!$B$28,MAX(0,(Inputs!$B$3-100)*3)+Inputs!$B$27+Inputs!$B$28)))</f>
        <v/>
      </c>
      <c r="E495">
        <f>INDEX(FactorTable!$B$2:$Y$301, MATCH(ROUND(MIN(300,MAX(1,D495)),0), FactorTable!$A$2:$A$301,0), Skills!M22+1)</f>
        <v/>
      </c>
      <c r="F495">
        <f>IF(Skills!N22=TRUE,(Skills!L22/10)*(E495/1000),Skills!L22/10)+Skills!O22</f>
        <v/>
      </c>
      <c r="G495">
        <f>Skills!G22*IF(Skills!H22&gt;0,Skills!I22/Skills!H22,1)</f>
        <v/>
      </c>
      <c r="H495">
        <f>1-(1-Skills!J22/100)^Skills!K22</f>
        <v/>
      </c>
      <c r="I495" t="inlineStr">
        <is>
          <t>1</t>
        </is>
      </c>
      <c r="J495" t="inlineStr"/>
      <c r="K495" t="inlineStr"/>
      <c r="L495" t="inlineStr"/>
      <c r="M495" t="inlineStr"/>
      <c r="N495" t="inlineStr"/>
      <c r="O495" t="n">
        <v>0</v>
      </c>
      <c r="P495">
        <f>IF(B510=0,0,O495/B510)</f>
        <v/>
      </c>
      <c r="Q495" t="n">
        <v>0</v>
      </c>
      <c r="R495" t="n">
        <v>0</v>
      </c>
      <c r="S495">
        <f>IFERROR(O495/N495,0)</f>
        <v/>
      </c>
    </row>
    <row r="496">
      <c r="A496">
        <f>Skills!A23</f>
        <v/>
      </c>
      <c r="B496">
        <f>Skills!B23</f>
        <v/>
      </c>
      <c r="C496">
        <f>Inputs!$B$3&gt;=120</f>
        <v/>
      </c>
      <c r="D496">
        <f>IF(Skills!C23=1,60+Inputs!$B$24+Inputs!$B$28,IF(Skills!C23=2,90+Inputs!$B$25+Inputs!$B$28,IF(Skills!C23=3,120+Inputs!$B$26+Inputs!$B$28,MAX(0,(Inputs!$B$3-100)*3)+Inputs!$B$27+Inputs!$B$28)))</f>
        <v/>
      </c>
      <c r="E496">
        <f>INDEX(FactorTable!$B$2:$Y$301, MATCH(ROUND(MIN(300,MAX(1,D496)),0), FactorTable!$A$2:$A$301,0), Skills!M23+1)</f>
        <v/>
      </c>
      <c r="F496">
        <f>IF(Skills!N23=TRUE,(Skills!L23/10)*(E496/1000),Skills!L23/10)+Skills!O23</f>
        <v/>
      </c>
      <c r="G496">
        <f>Skills!G23*IF(Skills!H23&gt;0,Skills!I23/Skills!H23,1)</f>
        <v/>
      </c>
      <c r="H496">
        <f>1-(1-Skills!J23/100)^Skills!K23</f>
        <v/>
      </c>
      <c r="I496" t="inlineStr">
        <is>
          <t>1</t>
        </is>
      </c>
      <c r="J496" t="inlineStr"/>
      <c r="K496" t="inlineStr"/>
      <c r="L496" t="inlineStr"/>
      <c r="M496" t="inlineStr"/>
      <c r="N496" t="inlineStr"/>
      <c r="O496" t="n">
        <v>0</v>
      </c>
      <c r="P496">
        <f>IF(B510=0,0,O496/B510)</f>
        <v/>
      </c>
      <c r="Q496" t="n">
        <v>0</v>
      </c>
      <c r="R496" t="n">
        <v>0</v>
      </c>
      <c r="S496">
        <f>IFERROR(O496/N496,0)</f>
        <v/>
      </c>
    </row>
    <row r="497">
      <c r="A497">
        <f>Skills!A24</f>
        <v/>
      </c>
      <c r="B497">
        <f>Skills!B24</f>
        <v/>
      </c>
      <c r="C497">
        <f>Inputs!$B$3&gt;=120</f>
        <v/>
      </c>
      <c r="D497">
        <f>IF(Skills!C24=1,60+Inputs!$B$24+Inputs!$B$28,IF(Skills!C24=2,90+Inputs!$B$25+Inputs!$B$28,IF(Skills!C24=3,120+Inputs!$B$26+Inputs!$B$28,MAX(0,(Inputs!$B$3-100)*3)+Inputs!$B$27+Inputs!$B$28)))</f>
        <v/>
      </c>
      <c r="E497">
        <f>INDEX(FactorTable!$B$2:$Y$301, MATCH(ROUND(MIN(300,MAX(1,D497)),0), FactorTable!$A$2:$A$301,0), Skills!M24+1)</f>
        <v/>
      </c>
      <c r="F497">
        <f>IF(Skills!N24=TRUE,(Skills!L24/10)*(E497/1000),Skills!L24/10)+Skills!O24</f>
        <v/>
      </c>
      <c r="G497">
        <f>Skills!G24*IF(Skills!H24&gt;0,Skills!I24/Skills!H24,1)</f>
        <v/>
      </c>
      <c r="H497">
        <f>1-(1-Skills!J24/100)^Skills!K24</f>
        <v/>
      </c>
      <c r="I497" t="inlineStr">
        <is>
          <t>1</t>
        </is>
      </c>
      <c r="J497" t="inlineStr"/>
      <c r="K497" t="inlineStr"/>
      <c r="L497" t="inlineStr"/>
      <c r="M497" t="inlineStr"/>
      <c r="N497" t="inlineStr"/>
      <c r="O497" t="n">
        <v>0</v>
      </c>
      <c r="P497">
        <f>IF(B510=0,0,O497/B510)</f>
        <v/>
      </c>
      <c r="Q497" t="n">
        <v>0</v>
      </c>
      <c r="R497" t="n">
        <v>0</v>
      </c>
      <c r="S497">
        <f>IFERROR(O497/N497,0)</f>
        <v/>
      </c>
    </row>
    <row r="498">
      <c r="A498">
        <f>Skills!A25</f>
        <v/>
      </c>
      <c r="B498">
        <f>Skills!B25</f>
        <v/>
      </c>
      <c r="C498">
        <f>Inputs!$B$3&gt;=125</f>
        <v/>
      </c>
      <c r="D498">
        <f>IF(Skills!C25=1,60+Inputs!$B$24+Inputs!$B$28,IF(Skills!C25=2,90+Inputs!$B$25+Inputs!$B$28,IF(Skills!C25=3,120+Inputs!$B$26+Inputs!$B$28,MAX(0,(Inputs!$B$3-100)*3)+Inputs!$B$27+Inputs!$B$28)))</f>
        <v/>
      </c>
      <c r="E498">
        <f>INDEX(FactorTable!$B$2:$Y$301, MATCH(ROUND(MIN(300,MAX(1,D498)),0), FactorTable!$A$2:$A$301,0), Skills!M25+1)</f>
        <v/>
      </c>
      <c r="F498">
        <f>IF(Skills!N25=TRUE,(Skills!L25/10)*(E498/1000),Skills!L25/10)+Skills!O25</f>
        <v/>
      </c>
      <c r="G498">
        <f>Skills!G25*IF(Skills!H25&gt;0,Skills!I25/Skills!H25,1)</f>
        <v/>
      </c>
      <c r="H498">
        <f>1-(1-Skills!J25/100)^Skills!K25</f>
        <v/>
      </c>
      <c r="I498" t="inlineStr">
        <is>
          <t>1</t>
        </is>
      </c>
      <c r="J498" t="inlineStr"/>
      <c r="K498" t="inlineStr"/>
      <c r="L498" t="inlineStr"/>
      <c r="M498" t="inlineStr"/>
      <c r="N498" t="inlineStr"/>
      <c r="O498" t="n">
        <v>0</v>
      </c>
      <c r="P498">
        <f>IF(B510=0,0,O498/B510)</f>
        <v/>
      </c>
      <c r="Q498" t="n">
        <v>0</v>
      </c>
      <c r="R498" t="n">
        <v>0</v>
      </c>
      <c r="S498">
        <f>IFERROR(O498/N498,0)</f>
        <v/>
      </c>
    </row>
    <row r="499">
      <c r="A499">
        <f>Skills!A26</f>
        <v/>
      </c>
      <c r="B499">
        <f>Skills!B26</f>
        <v/>
      </c>
      <c r="C499">
        <f>Inputs!$B$3&gt;=107</f>
        <v/>
      </c>
      <c r="D499">
        <f>IF(Skills!C26=1,60+Inputs!$B$24+Inputs!$B$28,IF(Skills!C26=2,90+Inputs!$B$25+Inputs!$B$28,IF(Skills!C26=3,120+Inputs!$B$26+Inputs!$B$28,MAX(0,(Inputs!$B$3-100)*3)+Inputs!$B$27+Inputs!$B$28)))</f>
        <v/>
      </c>
      <c r="E499">
        <f>INDEX(FactorTable!$B$2:$Y$301, MATCH(ROUND(MIN(300,MAX(1,D499)),0), FactorTable!$A$2:$A$301,0), Skills!M26+1)</f>
        <v/>
      </c>
      <c r="F499">
        <f>IF(Skills!N26=TRUE,(Skills!L26/10)*(E499/1000),Skills!L26/10)+Skills!O26</f>
        <v/>
      </c>
      <c r="G499">
        <f>Skills!G26*IF(Skills!H26&gt;0,Skills!I26/Skills!H26,1)</f>
        <v/>
      </c>
      <c r="H499">
        <f>1-(1-Skills!J26/100)^Skills!K26</f>
        <v/>
      </c>
      <c r="I499" t="inlineStr">
        <is>
          <t>1</t>
        </is>
      </c>
      <c r="J499" t="inlineStr"/>
      <c r="K499" t="inlineStr"/>
      <c r="L499" t="inlineStr"/>
      <c r="M499" t="inlineStr"/>
      <c r="N499" t="inlineStr"/>
      <c r="O499" t="n">
        <v>0</v>
      </c>
      <c r="P499">
        <f>IF(B510=0,0,O499/B510)</f>
        <v/>
      </c>
      <c r="Q499" t="n">
        <v>0</v>
      </c>
      <c r="R499" t="n">
        <v>0</v>
      </c>
      <c r="S499">
        <f>IFERROR(O499/N499,0)</f>
        <v/>
      </c>
    </row>
    <row r="501">
      <c r="A501" t="inlineStr">
        <is>
          <t>Attack% Bucket Multiplier</t>
        </is>
      </c>
      <c r="B501">
        <f>(1+(((C486=TRUE)*F486*IF(AND(Inputs!$B$4&lt;&gt;"pvp",Inputs!$B$35&gt;0),(((S486-1)*(Skills!T13*(1+Inputs!$B$33/100))+MIN((Skills!T13*(1+Inputs!$B$33/100)),MAX(0,Inputs!$B$35-((S486-1)*Skills!D13))))/Inputs!$B$35),IF(Inputs!$B$4="pvp",MIN((Skills!T13*(1+Inputs!$B$33/100)),15)/15,(Skills!T13*(1+Inputs!$B$33/100))/Skills!D13)))+((C487=TRUE)*F487*IF(AND(Inputs!$B$4&lt;&gt;"pvp",Inputs!$B$35&gt;0),(((S487-1)*(Skills!T14*(1+Inputs!$B$33/100))+MIN((Skills!T14*(1+Inputs!$B$33/100)),MAX(0,Inputs!$B$35-((S487-1)*Skills!D14))))/Inputs!$B$35),IF(Inputs!$B$4="pvp",MIN((Skills!T14*(1+Inputs!$B$33/100)),15)/15,(Skills!T14*(1+Inputs!$B$33/100))/Skills!D14)))+((C488=TRUE)*F488*IF(AND(Inputs!$B$4&lt;&gt;"pvp",Inputs!$B$35&gt;0),(((S488-1)*(Skills!T15*(1+Inputs!$B$33/100))+MIN((Skills!T15*(1+Inputs!$B$33/100)),MAX(0,Inputs!$B$35-((S488-1)*Skills!D15))))/Inputs!$B$35),IF(Inputs!$B$4="pvp",MIN((Skills!T15*(1+Inputs!$B$33/100)),15)/15,(Skills!T15*(1+Inputs!$B$33/100))/Skills!D15)))+((C489=TRUE)*F489*IF(AND(Inputs!$B$4&lt;&gt;"pvp",Inputs!$B$35&gt;0),(((S489-1)*(Skills!T16*(1+Inputs!$B$33/100))+MIN((Skills!T16*(1+Inputs!$B$33/100)),MAX(0,Inputs!$B$35-((S489-1)*Skills!D16))))/Inputs!$B$35),IF(Inputs!$B$4="pvp",MIN((Skills!T16*(1+Inputs!$B$33/100)),15)/15,(Skills!T16*(1+Inputs!$B$33/100))/Skills!D16)))+0)/100)</f>
        <v/>
      </c>
    </row>
    <row r="502">
      <c r="A502" t="inlineStr">
        <is>
          <t>Global Crit Rate Bonus % (Lord of Darkness)</t>
        </is>
      </c>
      <c r="B502">
        <f>((C491=TRUE)*F491*(Skills!J18/100)*IF(AND(Inputs!$B$4&lt;&gt;"pvp",Inputs!$B$35&gt;0),(((S491-1)*(Skills!T18*(1+Inputs!$B$33/100))+MIN((Skills!T18*(1+Inputs!$B$33/100)),MAX(0,Inputs!$B$35-((S491-1)*Skills!D18))))/Inputs!$B$35),IF(Inputs!$B$4="pvp",MIN((Skills!T18*(1+Inputs!$B$33/100)),15)/15,(Skills!T18*(1+Inputs!$B$33/100))/Skills!D18)))</f>
        <v/>
      </c>
    </row>
    <row r="503">
      <c r="A503" t="inlineStr">
        <is>
          <t>Attack Speed Buff Bonus %</t>
        </is>
      </c>
      <c r="B503">
        <f>((C493=TRUE)*F493*IF(AND(Inputs!$B$4&lt;&gt;"pvp",Inputs!$B$35&gt;0),(((S493-1)*(Skills!T20*(1+Inputs!$B$33/100))+MIN((Skills!T20*(1+Inputs!$B$33/100)),MAX(0,Inputs!$B$35-((S493-1)*Skills!D20))))/Inputs!$B$35),IF(Inputs!$B$4="pvp",MIN((Skills!T20*(1+Inputs!$B$33/100)),15)/15,(Skills!T20*(1+Inputs!$B$33/100))/Skills!D20)))</f>
        <v/>
      </c>
    </row>
    <row r="504">
      <c r="A504" t="inlineStr">
        <is>
          <t>Actions Per Second</t>
        </is>
      </c>
      <c r="B504">
        <f>1+MIN(150,150*(1-(1-(Inputs!$B$10+((C494=TRUE)*(F494-Calc!F21)))/150)*(1-B503/150)))/100</f>
        <v/>
      </c>
    </row>
    <row r="505">
      <c r="A505" t="inlineStr">
        <is>
          <t>Skill + Buff Cast Rate</t>
        </is>
      </c>
      <c r="B505">
        <f>IF(AND(Inputs!$B$4&lt;&gt;"pvp",Inputs!$B$35&gt;0),SUMPRODUCT((Skills!E2:E26=TRUE)*(C475:C499=TRUE)*R475:R499*Skills!F2:F26)/Inputs!$B$35,SUMPRODUCT((Skills!E2:E26=TRUE)*(C475:C499=TRUE)*Q475:Q499*Skills!F2:F26))</f>
        <v/>
      </c>
    </row>
    <row r="506">
      <c r="A506" t="inlineStr">
        <is>
          <t>Dark Impale Casts Per Second</t>
        </is>
      </c>
      <c r="B506">
        <f>MAX(0,B504-B505)</f>
        <v/>
      </c>
    </row>
    <row r="507">
      <c r="A507" t="inlineStr">
        <is>
          <t>Global Critical Damage Bonus % (Lord of Darkness)</t>
        </is>
      </c>
      <c r="B507">
        <f>((C492=TRUE)*F492*(Skills!J19/100)*IF(AND(Inputs!$B$4&lt;&gt;"pvp",Inputs!$B$35&gt;0),(((S492-1)*(Skills!T19*(1+Inputs!$B$33/100))+MIN((Skills!T19*(1+Inputs!$B$33/100)),MAX(0,Inputs!$B$35-((S492-1)*Skills!D19))))/Inputs!$B$35),IF(Inputs!$B$4="pvp",MIN((Skills!T19*(1+Inputs!$B$33/100)),15)/15,(Skills!T19*(1+Inputs!$B$33/100))/Skills!D19)))</f>
        <v/>
      </c>
    </row>
    <row r="508">
      <c r="A508" t="inlineStr">
        <is>
          <t>Global Final Damage Bonus % (unused)</t>
        </is>
      </c>
      <c r="B508" t="n">
        <v>0</v>
      </c>
    </row>
    <row r="510">
      <c r="A510" s="5" t="inlineStr">
        <is>
          <t>TOTAL DPS</t>
        </is>
      </c>
      <c r="B510" s="5">
        <f>SUM(O475:O499)</f>
        <v/>
      </c>
    </row>
    <row r="513">
      <c r="A513" s="5" t="inlineStr">
        <is>
          <t>Stat: ATTACK_SPEED % (diminishing returns, factor 150)</t>
        </is>
      </c>
    </row>
    <row r="514">
      <c r="A514" s="8" t="inlineStr">
        <is>
          <t>Key</t>
        </is>
      </c>
      <c r="B514" s="8" t="inlineStr">
        <is>
          <t>Name</t>
        </is>
      </c>
      <c r="C514" s="8" t="inlineStr">
        <is>
          <t>Unlocked</t>
        </is>
      </c>
      <c r="D514" s="8" t="inlineStr">
        <is>
          <t>InputLevel</t>
        </is>
      </c>
      <c r="E514" s="8" t="inlineStr">
        <is>
          <t>Factor</t>
        </is>
      </c>
      <c r="F514" s="8" t="inlineStr">
        <is>
          <t>CoefficientPercent</t>
        </is>
      </c>
      <c r="G514" s="8" t="inlineStr">
        <is>
          <t>EffectiveHits</t>
        </is>
      </c>
      <c r="H514" s="8" t="inlineStr">
        <is>
          <t>ProcProbability</t>
        </is>
      </c>
      <c r="I514" s="8" t="inlineStr">
        <is>
          <t>MapleHeroMultiplier</t>
        </is>
      </c>
      <c r="J514" s="8" t="inlineStr">
        <is>
          <t>BaseDamage</t>
        </is>
      </c>
      <c r="K514" s="8" t="inlineStr">
        <is>
          <t>BaseHitDamage</t>
        </is>
      </c>
      <c r="L514" s="8" t="inlineStr">
        <is>
          <t>NonCritAvg</t>
        </is>
      </c>
      <c r="M514" s="8" t="inlineStr">
        <is>
          <t>CritAvg</t>
        </is>
      </c>
      <c r="N514" s="8" t="inlineStr">
        <is>
          <t>ExpectedDamage(perHit)</t>
        </is>
      </c>
      <c r="O514" s="8" t="inlineStr">
        <is>
          <t>DPS</t>
        </is>
      </c>
      <c r="P514" s="8" t="inlineStr">
        <is>
          <t>% of Total</t>
        </is>
      </c>
      <c r="Q514" s="8" t="inlineStr">
        <is>
          <t>InvCooldown</t>
        </is>
      </c>
      <c r="R514" s="8" t="inlineStr">
        <is>
          <t>CastsInFight</t>
        </is>
      </c>
      <c r="S514" s="8" t="inlineStr">
        <is>
          <t>HitRate(perSec)</t>
        </is>
      </c>
      <c r="U514" t="inlineStr">
        <is>
          <t>helpers</t>
        </is>
      </c>
    </row>
    <row r="515">
      <c r="A515">
        <f>Skills!A2</f>
        <v/>
      </c>
      <c r="B515">
        <f>Skills!B2</f>
        <v/>
      </c>
      <c r="C515">
        <f>Inputs!$B$3&gt;=100</f>
        <v/>
      </c>
      <c r="D515" t="inlineStr"/>
      <c r="E515" t="inlineStr"/>
      <c r="F515">
        <f>U517+Skills!O2</f>
        <v/>
      </c>
      <c r="G515">
        <f>Skills!G2*IF(Skills!H2&gt;0,Skills!I2/Skills!H2,1)</f>
        <v/>
      </c>
      <c r="H515">
        <f>1-(1-Skills!J2/100)^Skills!K2</f>
        <v/>
      </c>
      <c r="I515" t="inlineStr">
        <is>
          <t>1</t>
        </is>
      </c>
      <c r="J515">
        <f>(Inputs!$B$5*(1+Inputs!$B$6/100))*(F515/100)</f>
        <v/>
      </c>
      <c r="K515">
        <f>J515*(1+((Inputs!$B$11*(1+Inputs!$B$12/100))*0.01+Inputs!$B$13*0.0025)/100)*(1+Inputs!$B$14/100)*(1+IF(Inputs!$B$4="pvp",0,(1-Summary!$B$55)*(Inputs!$B$19+0+Skills!P2+((C530=TRUE)*F530*IF(AND(Inputs!$B$4&lt;&gt;"pvp",Inputs!$B$35&gt;0),(((S530-1)*(Skills!T17*(1+Inputs!$B$33/100))+MIN((Skills!T17*(1+Inputs!$B$33/100)),MAX(0,Inputs!$B$35-((S530-1)*Skills!D17))))/Inputs!$B$35),IF(Inputs!$B$4="pvp",MIN((Skills!T17*(1+Inputs!$B$33/100)),15)/15,(Skills!T17*(1+Inputs!$B$33/100))/Skills!D17)))+((C527=TRUE)*IF(Inputs!$B$4="pvp",20,(1-Summary!$B$55)*(20)+Summary!$B$55*(0))*IF(AND(Inputs!$B$4&lt;&gt;"pvp",Inputs!$B$35&gt;0),(((S527-1)*(Skills!T14*(1+Inputs!$B$33/100))+MIN((Skills!T14*(1+Inputs!$B$33/100)),MAX(0,Inputs!$B$35-((S527-1)*Skills!D14))))/Inputs!$B$35),IF(Inputs!$B$4="pvp",MIN((Skills!T14*(1+Inputs!$B$33/100)),15)/15,(Skills!T14*(1+Inputs!$B$33/100))/Skills!D14))))+Summary!$B$55*(Inputs!$B$20+Skills!Q2+((C530=TRUE)*F530*IF(AND(Inputs!$B$4&lt;&gt;"pvp",Inputs!$B$35&gt;0),(((S530-1)*(Skills!T17*(1+Inputs!$B$33/100))+MIN((Skills!T17*(1+Inputs!$B$33/100)),MAX(0,Inputs!$B$35-((S530-1)*Skills!D17))))/Inputs!$B$35),IF(Inputs!$B$4="pvp",MIN((Skills!T17*(1+Inputs!$B$33/100)),15)/15,(Skills!T17*(1+Inputs!$B$33/100))/Skills!D17)))))/100)*(1+Inputs!$B$15/100)*(5000/(6000+Inputs!$B$7*(1-(Inputs!$B$18+0)/100)))*(1+(Inputs!$B$23+((C538=TRUE)*(F538-Calc!F25))+((C539=TRUE)*(F539-Calc!F26))+B548)/100)*(1+(IF(Skills!A2="DARK_IMPALE",Inputs!$B$16+0,Inputs!$B$17+((C536=TRUE)*(F536-Calc!F23))))/100)*((1+(((C526=TRUE)*F526*IF(AND(Inputs!$B$4&lt;&gt;"pvp",Inputs!$B$35&gt;0),(((S526-1)*(Skills!T13*(1+Inputs!$B$33/100))+MIN((Skills!T13*(1+Inputs!$B$33/100)),MAX(0,Inputs!$B$35-((S526-1)*Skills!D13))))/Inputs!$B$35),IF(Inputs!$B$4="pvp",MIN((Skills!T13*(1+Inputs!$B$33/100)),15)/15,(Skills!T13*(1+Inputs!$B$33/100))/Skills!D13)))+((C527=TRUE)*F527*IF(AND(Inputs!$B$4&lt;&gt;"pvp",Inputs!$B$35&gt;0),(((S527-1)*(Skills!T14*(1+Inputs!$B$33/100))+MIN((Skills!T14*(1+Inputs!$B$33/100)),MAX(0,Inputs!$B$35-((S527-1)*Skills!D14))))/Inputs!$B$35),IF(Inputs!$B$4="pvp",MIN((Skills!T14*(1+Inputs!$B$33/100)),15)/15,(Skills!T14*(1+Inputs!$B$33/100))/Skills!D14)))+((C528=TRUE)*F528*IF(AND(Inputs!$B$4&lt;&gt;"pvp",Inputs!$B$35&gt;0),(((S528-1)*(Skills!T15*(1+Inputs!$B$33/100))+MIN((Skills!T15*(1+Inputs!$B$33/100)),MAX(0,Inputs!$B$35-((S528-1)*Skills!D15))))/Inputs!$B$35),IF(Inputs!$B$4="pvp",MIN((Skills!T15*(1+Inputs!$B$33/100)),15)/15,(Skills!T15*(1+Inputs!$B$33/100))/Skills!D15)))+((C529=TRUE)*F529*IF(AND(Inputs!$B$4&lt;&gt;"pvp",Inputs!$B$35&gt;0),(((S529-1)*(Skills!T16*(1+Inputs!$B$33/100))+MIN((Skills!T16*(1+Inputs!$B$33/100)),MAX(0,Inputs!$B$35-((S529-1)*Skills!D16))))/Inputs!$B$35),IF(Inputs!$B$4="pvp",MIN((Skills!T16*(1+Inputs!$B$33/100)),15)/15,(Skills!T16*(1+Inputs!$B$33/100))/Skills!D16)))+0)/100)*I515)</f>
        <v/>
      </c>
      <c r="L515">
        <f>K515*(MIN(Inputs!$B$21+((C535=TRUE)*(F535-Calc!F22)),Inputs!$B$22+((C537=TRUE)*(F537-Calc!F24)))/100+(Inputs!$B$22+((C537=TRUE)*(F537-Calc!F24)))/100)/2</f>
        <v/>
      </c>
      <c r="M515">
        <f>L515*(1+(Inputs!$B$9+0+B547)/100)</f>
        <v/>
      </c>
      <c r="N515">
        <f>L515*(1-MIN((Inputs!$B$8+0+B542),100)/100)+M515*(MIN((Inputs!$B$8+0+B542),100)/100)</f>
        <v/>
      </c>
      <c r="O515">
        <f>IF(C515,Skills!G2*N515*B546*IF(Inputs!$B$4="pvp",1,(1-Summary!$B$55)*(1)+Summary!$B$55*(MIN((6+Inputs!$B$32),Inputs!$B$37))),0)</f>
        <v/>
      </c>
      <c r="P515">
        <f>IF(B550=0,0,O515/B550)</f>
        <v/>
      </c>
      <c r="Q515" t="n">
        <v>0</v>
      </c>
      <c r="R515" t="n">
        <v>0</v>
      </c>
      <c r="S515">
        <f>IFERROR(O515/N515,0)</f>
        <v/>
      </c>
      <c r="U515">
        <f>MAX(0,(Inputs!$B$3-100)*3)+Inputs!$B$27+Inputs!$B$28</f>
        <v/>
      </c>
    </row>
    <row r="516">
      <c r="A516">
        <f>Skills!A3</f>
        <v/>
      </c>
      <c r="B516">
        <f>Skills!B3</f>
        <v/>
      </c>
      <c r="C516">
        <f>Inputs!$B$3&gt;=50</f>
        <v/>
      </c>
      <c r="D516">
        <f>IF(Skills!C3=1,60+Inputs!$B$24+Inputs!$B$28,IF(Skills!C3=2,90+Inputs!$B$25+Inputs!$B$28,IF(Skills!C3=3,120+Inputs!$B$26+Inputs!$B$28,MAX(0,(Inputs!$B$3-100)*3)+Inputs!$B$27+Inputs!$B$28)))</f>
        <v/>
      </c>
      <c r="E516">
        <f>INDEX(FactorTable!$B$2:$Y$301, MATCH(ROUND(MIN(300,MAX(1,D516)),0), FactorTable!$A$2:$A$301,0), Skills!M3+1)</f>
        <v/>
      </c>
      <c r="F516">
        <f>IF(Skills!N3=TRUE,(Skills!L3/10)*(E516/1000),Skills!L3/10)+Skills!O3</f>
        <v/>
      </c>
      <c r="G516" t="inlineStr"/>
      <c r="H516" t="inlineStr"/>
      <c r="I516" t="inlineStr">
        <is>
          <t>1</t>
        </is>
      </c>
      <c r="J516" t="inlineStr"/>
      <c r="K516" t="inlineStr"/>
      <c r="L516" t="inlineStr"/>
      <c r="M516" t="inlineStr"/>
      <c r="N516" t="inlineStr"/>
      <c r="O516" t="inlineStr"/>
      <c r="P516" t="inlineStr"/>
      <c r="Q516" t="inlineStr"/>
      <c r="R516" t="inlineStr"/>
      <c r="S516" t="inlineStr"/>
      <c r="U516">
        <f>INDEX(FactorTable!$B$2:$Y$301, MATCH(ROUND(MIN(300,MAX(1,U515)),0), FactorTable!$A$2:$A$301,0), 22)</f>
        <v/>
      </c>
    </row>
    <row r="517">
      <c r="A517">
        <f>Skills!A4</f>
        <v/>
      </c>
      <c r="B517">
        <f>Skills!B4</f>
        <v/>
      </c>
      <c r="C517">
        <f>Inputs!$B$3&gt;=105</f>
        <v/>
      </c>
      <c r="D517">
        <f>IF(Skills!C4=1,60+Inputs!$B$24+Inputs!$B$28,IF(Skills!C4=2,90+Inputs!$B$25+Inputs!$B$28,IF(Skills!C4=3,120+Inputs!$B$26+Inputs!$B$28,MAX(0,(Inputs!$B$3-100)*3)+Inputs!$B$27+Inputs!$B$28)))</f>
        <v/>
      </c>
      <c r="E517">
        <f>INDEX(FactorTable!$B$2:$Y$301, MATCH(ROUND(MIN(300,MAX(1,D517)),0), FactorTable!$A$2:$A$301,0), Skills!M4+1)</f>
        <v/>
      </c>
      <c r="F517">
        <f>IF(Skills!N4=TRUE,(Skills!L4/10)*(E517/1000),Skills!L4/10)+Skills!O4</f>
        <v/>
      </c>
      <c r="G517" t="inlineStr"/>
      <c r="H517" t="inlineStr"/>
      <c r="I517" t="inlineStr">
        <is>
          <t>1</t>
        </is>
      </c>
      <c r="J517" t="inlineStr"/>
      <c r="K517" t="inlineStr"/>
      <c r="L517" t="inlineStr"/>
      <c r="M517" t="inlineStr"/>
      <c r="N517" t="inlineStr"/>
      <c r="O517" t="inlineStr"/>
      <c r="P517" t="inlineStr"/>
      <c r="Q517" t="inlineStr"/>
      <c r="R517" t="inlineStr"/>
      <c r="S517" t="inlineStr"/>
      <c r="U517">
        <f>290*U516/1000</f>
        <v/>
      </c>
    </row>
    <row r="518">
      <c r="A518">
        <f>Skills!A5</f>
        <v/>
      </c>
      <c r="B518">
        <f>Skills!B5</f>
        <v/>
      </c>
      <c r="C518">
        <f>Inputs!$B$3&gt;=117</f>
        <v/>
      </c>
      <c r="D518">
        <f>IF(Skills!C5=1,60+Inputs!$B$24+Inputs!$B$28,IF(Skills!C5=2,90+Inputs!$B$25+Inputs!$B$28,IF(Skills!C5=3,120+Inputs!$B$26+Inputs!$B$28,MAX(0,(Inputs!$B$3-100)*3)+Inputs!$B$27+Inputs!$B$28)))</f>
        <v/>
      </c>
      <c r="E518">
        <f>INDEX(FactorTable!$B$2:$Y$301, MATCH(ROUND(MIN(300,MAX(1,D518)),0), FactorTable!$A$2:$A$301,0), Skills!M5+1)</f>
        <v/>
      </c>
      <c r="F518">
        <f>IF(Skills!N5=TRUE,(Skills!L5/10)*(E518/1000),Skills!L5/10)+Skills!O5</f>
        <v/>
      </c>
      <c r="G518">
        <f>Skills!G5*IF(Skills!H5&gt;0,Skills!I5/Skills!H5,1)</f>
        <v/>
      </c>
      <c r="H518">
        <f>1-(1-Skills!J5/100)^Skills!K5</f>
        <v/>
      </c>
      <c r="I518" t="inlineStr">
        <is>
          <t>1</t>
        </is>
      </c>
      <c r="J518">
        <f>(Inputs!$B$5*(1+Inputs!$B$6/100))*(F518/100)</f>
        <v/>
      </c>
      <c r="K518">
        <f>J518*(1+((Inputs!$B$11*(1+Inputs!$B$12/100))*0.01+Inputs!$B$13*0.0025)/100)*(1+Inputs!$B$14/100)*(1+IF(Inputs!$B$4="pvp",0,(1-Summary!$B$55)*(Inputs!$B$19+0+Skills!P5+((C530=TRUE)*F530*IF(AND(Inputs!$B$4&lt;&gt;"pvp",Inputs!$B$35&gt;0),(((S530-1)*(Skills!T17*(1+Inputs!$B$33/100))+MIN((Skills!T17*(1+Inputs!$B$33/100)),MAX(0,Inputs!$B$35-((S530-1)*Skills!D17))))/Inputs!$B$35),IF(Inputs!$B$4="pvp",MIN((Skills!T17*(1+Inputs!$B$33/100)),15)/15,(Skills!T17*(1+Inputs!$B$33/100))/Skills!D17)))+((C527=TRUE)*IF(Inputs!$B$4="pvp",20,(1-Summary!$B$55)*(20)+Summary!$B$55*(0))*IF(AND(Inputs!$B$4&lt;&gt;"pvp",Inputs!$B$35&gt;0),(((S527-1)*(Skills!T14*(1+Inputs!$B$33/100))+MIN((Skills!T14*(1+Inputs!$B$33/100)),MAX(0,Inputs!$B$35-((S527-1)*Skills!D14))))/Inputs!$B$35),IF(Inputs!$B$4="pvp",MIN((Skills!T14*(1+Inputs!$B$33/100)),15)/15,(Skills!T14*(1+Inputs!$B$33/100))/Skills!D14))))+Summary!$B$55*(Inputs!$B$20+Skills!Q5+((C530=TRUE)*F530*IF(AND(Inputs!$B$4&lt;&gt;"pvp",Inputs!$B$35&gt;0),(((S530-1)*(Skills!T17*(1+Inputs!$B$33/100))+MIN((Skills!T17*(1+Inputs!$B$33/100)),MAX(0,Inputs!$B$35-((S530-1)*Skills!D17))))/Inputs!$B$35),IF(Inputs!$B$4="pvp",MIN((Skills!T17*(1+Inputs!$B$33/100)),15)/15,(Skills!T17*(1+Inputs!$B$33/100))/Skills!D17)))))/100)*(1+Inputs!$B$15/100)*(5000/(6000+Inputs!$B$7*(1-(Inputs!$B$18+0)/100)))*(1+(Inputs!$B$23+((C538=TRUE)*(F538-Calc!F25))+((C539=TRUE)*(F539-Calc!F26))+B548)/100)*(1+(IF(Skills!A5="DARK_IMPALE",Inputs!$B$16+0,Inputs!$B$17+((C536=TRUE)*(F536-Calc!F23))))/100)*((1+(((C526=TRUE)*F526*IF(AND(Inputs!$B$4&lt;&gt;"pvp",Inputs!$B$35&gt;0),(((S526-1)*(Skills!T13*(1+Inputs!$B$33/100))+MIN((Skills!T13*(1+Inputs!$B$33/100)),MAX(0,Inputs!$B$35-((S526-1)*Skills!D13))))/Inputs!$B$35),IF(Inputs!$B$4="pvp",MIN((Skills!T13*(1+Inputs!$B$33/100)),15)/15,(Skills!T13*(1+Inputs!$B$33/100))/Skills!D13)))+((C527=TRUE)*F527*IF(AND(Inputs!$B$4&lt;&gt;"pvp",Inputs!$B$35&gt;0),(((S527-1)*(Skills!T14*(1+Inputs!$B$33/100))+MIN((Skills!T14*(1+Inputs!$B$33/100)),MAX(0,Inputs!$B$35-((S527-1)*Skills!D14))))/Inputs!$B$35),IF(Inputs!$B$4="pvp",MIN((Skills!T14*(1+Inputs!$B$33/100)),15)/15,(Skills!T14*(1+Inputs!$B$33/100))/Skills!D14)))+((C528=TRUE)*F528*IF(AND(Inputs!$B$4&lt;&gt;"pvp",Inputs!$B$35&gt;0),(((S528-1)*(Skills!T15*(1+Inputs!$B$33/100))+MIN((Skills!T15*(1+Inputs!$B$33/100)),MAX(0,Inputs!$B$35-((S528-1)*Skills!D15))))/Inputs!$B$35),IF(Inputs!$B$4="pvp",MIN((Skills!T15*(1+Inputs!$B$33/100)),15)/15,(Skills!T15*(1+Inputs!$B$33/100))/Skills!D15)))+((C529=TRUE)*F529*IF(AND(Inputs!$B$4&lt;&gt;"pvp",Inputs!$B$35&gt;0),(((S529-1)*(Skills!T16*(1+Inputs!$B$33/100))+MIN((Skills!T16*(1+Inputs!$B$33/100)),MAX(0,Inputs!$B$35-((S529-1)*Skills!D16))))/Inputs!$B$35),IF(Inputs!$B$4="pvp",MIN((Skills!T16*(1+Inputs!$B$33/100)),15)/15,(Skills!T16*(1+Inputs!$B$33/100))/Skills!D16)))+0)/100)*I518)</f>
        <v/>
      </c>
      <c r="L518">
        <f>K518*(MIN(Inputs!$B$21+((C535=TRUE)*(F535-Calc!F22)),Inputs!$B$22+((C537=TRUE)*(F537-Calc!F24)))/100+(Inputs!$B$22+((C537=TRUE)*(F537-Calc!F24)))/100)/2</f>
        <v/>
      </c>
      <c r="M518">
        <f>L518*(1+(Inputs!$B$9+0+B547)/100)</f>
        <v/>
      </c>
      <c r="N518">
        <f>L518*(1-MIN((Inputs!$B$8+0+B542),100)/100)+M518*(MIN((Inputs!$B$8+0+B542),100)/100)</f>
        <v/>
      </c>
      <c r="O518">
        <f>IF(C518,H518*N518*IF(AND(Inputs!$B$4&lt;&gt;"pvp",Inputs!$B$35&gt;0),((Skills!G5*((R518-1)*IF(Skills!H5&gt;0,Skills!I5/Skills!H5,1)+IF(Skills!H5&gt;0,MIN(Skills!I5,MAX(0,Inputs!$B$35-((R518-1)*IF(Inputs!$B$4="pvp",15,MAX(0.1,Skills!D5-IF(Skills!E5=TRUE,Inputs!$B$31,0))))))/Skills!H5,1)))/Inputs!$B$35),G518*Q518)*IF(Inputs!$B$4="pvp",1,(1-Summary!$B$55)*(1)+Summary!$B$55*(MIN(Skills!R5,Inputs!$B$37))),0)</f>
        <v/>
      </c>
      <c r="P518">
        <f>IF(B550=0,0,O518/B550)</f>
        <v/>
      </c>
      <c r="Q518">
        <f>IFERROR(1/IF(Inputs!$B$4="pvp",15,MAX(0.1,Skills!D5-IF(Skills!E5=TRUE,Inputs!$B$31,0))),0)</f>
        <v/>
      </c>
      <c r="R518">
        <f>IF(AND(Inputs!$B$4&lt;&gt;"pvp",Inputs!$B$35&gt;0),(INT(Inputs!$B$35/IF(Inputs!$B$4="pvp",15,MAX(0.1,Skills!D5-IF(Skills!E5=TRUE,Inputs!$B$31,0))))+1),0)</f>
        <v/>
      </c>
      <c r="S518">
        <f>IFERROR(O518/N518,0)</f>
        <v/>
      </c>
    </row>
    <row r="519">
      <c r="A519">
        <f>Skills!A6</f>
        <v/>
      </c>
      <c r="B519">
        <f>Skills!B6</f>
        <v/>
      </c>
      <c r="C519">
        <f>Inputs!$B$3&gt;=103</f>
        <v/>
      </c>
      <c r="D519">
        <f>IF(Skills!C6=1,60+Inputs!$B$24+Inputs!$B$28,IF(Skills!C6=2,90+Inputs!$B$25+Inputs!$B$28,IF(Skills!C6=3,120+Inputs!$B$26+Inputs!$B$28,MAX(0,(Inputs!$B$3-100)*3)+Inputs!$B$27+Inputs!$B$28)))</f>
        <v/>
      </c>
      <c r="E519">
        <f>INDEX(FactorTable!$B$2:$Y$301, MATCH(ROUND(MIN(300,MAX(1,D519)),0), FactorTable!$A$2:$A$301,0), Skills!M6+1)</f>
        <v/>
      </c>
      <c r="F519">
        <f>IF(Skills!N6=TRUE,(Skills!L6/10)*(E519/1000),Skills!L6/10)+Skills!O6</f>
        <v/>
      </c>
      <c r="G519">
        <f>Skills!G6*IF(Skills!H6&gt;0,Skills!I6/Skills!H6,1)</f>
        <v/>
      </c>
      <c r="H519">
        <f>1-(1-Skills!J6/100)^Skills!K6</f>
        <v/>
      </c>
      <c r="I519" t="inlineStr">
        <is>
          <t>1</t>
        </is>
      </c>
      <c r="J519">
        <f>(Inputs!$B$5*(1+Inputs!$B$6/100))*(F519/100)</f>
        <v/>
      </c>
      <c r="K519">
        <f>J519*(1+((Inputs!$B$11*(1+Inputs!$B$12/100))*0.01+Inputs!$B$13*0.0025)/100)*(1+Inputs!$B$14/100)*(1+IF(Inputs!$B$4="pvp",0,(1-Summary!$B$55)*(Inputs!$B$19+0+Skills!P6+((C530=TRUE)*F530*IF(AND(Inputs!$B$4&lt;&gt;"pvp",Inputs!$B$35&gt;0),(((S530-1)*(Skills!T17*(1+Inputs!$B$33/100))+MIN((Skills!T17*(1+Inputs!$B$33/100)),MAX(0,Inputs!$B$35-((S530-1)*Skills!D17))))/Inputs!$B$35),IF(Inputs!$B$4="pvp",MIN((Skills!T17*(1+Inputs!$B$33/100)),15)/15,(Skills!T17*(1+Inputs!$B$33/100))/Skills!D17)))+((C527=TRUE)*IF(Inputs!$B$4="pvp",20,(1-Summary!$B$55)*(20)+Summary!$B$55*(0))*IF(AND(Inputs!$B$4&lt;&gt;"pvp",Inputs!$B$35&gt;0),(((S527-1)*(Skills!T14*(1+Inputs!$B$33/100))+MIN((Skills!T14*(1+Inputs!$B$33/100)),MAX(0,Inputs!$B$35-((S527-1)*Skills!D14))))/Inputs!$B$35),IF(Inputs!$B$4="pvp",MIN((Skills!T14*(1+Inputs!$B$33/100)),15)/15,(Skills!T14*(1+Inputs!$B$33/100))/Skills!D14))))+Summary!$B$55*(Inputs!$B$20+Skills!Q6+((C530=TRUE)*F530*IF(AND(Inputs!$B$4&lt;&gt;"pvp",Inputs!$B$35&gt;0),(((S530-1)*(Skills!T17*(1+Inputs!$B$33/100))+MIN((Skills!T17*(1+Inputs!$B$33/100)),MAX(0,Inputs!$B$35-((S530-1)*Skills!D17))))/Inputs!$B$35),IF(Inputs!$B$4="pvp",MIN((Skills!T17*(1+Inputs!$B$33/100)),15)/15,(Skills!T17*(1+Inputs!$B$33/100))/Skills!D17)))))/100)*(1+Inputs!$B$15/100)*(5000/(6000+Inputs!$B$7*(1-(Inputs!$B$18+0)/100)))*(1+(Inputs!$B$23+((C538=TRUE)*(F538-Calc!F25))+((C539=TRUE)*(F539-Calc!F26))+B548)/100)*(1+(IF(Skills!A6="DARK_IMPALE",Inputs!$B$16+0,Inputs!$B$17+((C536=TRUE)*(F536-Calc!F23))))/100)*((1+(((C526=TRUE)*F526*IF(AND(Inputs!$B$4&lt;&gt;"pvp",Inputs!$B$35&gt;0),(((S526-1)*(Skills!T13*(1+Inputs!$B$33/100))+MIN((Skills!T13*(1+Inputs!$B$33/100)),MAX(0,Inputs!$B$35-((S526-1)*Skills!D13))))/Inputs!$B$35),IF(Inputs!$B$4="pvp",MIN((Skills!T13*(1+Inputs!$B$33/100)),15)/15,(Skills!T13*(1+Inputs!$B$33/100))/Skills!D13)))+((C527=TRUE)*F527*IF(AND(Inputs!$B$4&lt;&gt;"pvp",Inputs!$B$35&gt;0),(((S527-1)*(Skills!T14*(1+Inputs!$B$33/100))+MIN((Skills!T14*(1+Inputs!$B$33/100)),MAX(0,Inputs!$B$35-((S527-1)*Skills!D14))))/Inputs!$B$35),IF(Inputs!$B$4="pvp",MIN((Skills!T14*(1+Inputs!$B$33/100)),15)/15,(Skills!T14*(1+Inputs!$B$33/100))/Skills!D14)))+((C528=TRUE)*F528*IF(AND(Inputs!$B$4&lt;&gt;"pvp",Inputs!$B$35&gt;0),(((S528-1)*(Skills!T15*(1+Inputs!$B$33/100))+MIN((Skills!T15*(1+Inputs!$B$33/100)),MAX(0,Inputs!$B$35-((S528-1)*Skills!D15))))/Inputs!$B$35),IF(Inputs!$B$4="pvp",MIN((Skills!T15*(1+Inputs!$B$33/100)),15)/15,(Skills!T15*(1+Inputs!$B$33/100))/Skills!D15)))+((C529=TRUE)*F529*IF(AND(Inputs!$B$4&lt;&gt;"pvp",Inputs!$B$35&gt;0),(((S529-1)*(Skills!T16*(1+Inputs!$B$33/100))+MIN((Skills!T16*(1+Inputs!$B$33/100)),MAX(0,Inputs!$B$35-((S529-1)*Skills!D16))))/Inputs!$B$35),IF(Inputs!$B$4="pvp",MIN((Skills!T16*(1+Inputs!$B$33/100)),15)/15,(Skills!T16*(1+Inputs!$B$33/100))/Skills!D16)))+0)/100)*I519)</f>
        <v/>
      </c>
      <c r="L519">
        <f>K519*(MIN(Inputs!$B$21+((C535=TRUE)*(F535-Calc!F22)),Inputs!$B$22+((C537=TRUE)*(F537-Calc!F24)))/100+(Inputs!$B$22+((C537=TRUE)*(F537-Calc!F24)))/100)/2</f>
        <v/>
      </c>
      <c r="M519">
        <f>L519*(1+(Inputs!$B$9+0+B547)/100)</f>
        <v/>
      </c>
      <c r="N519">
        <f>L519*(1-MIN((Inputs!$B$8+0+B542),100)/100)+M519*(MIN((Inputs!$B$8+0+B542),100)/100)</f>
        <v/>
      </c>
      <c r="O519">
        <f>IF(C519,H519*N519*IF(AND(Inputs!$B$4&lt;&gt;"pvp",Inputs!$B$35&gt;0),((Skills!G6*((R519-1)*IF(Skills!H6&gt;0,Skills!I6/Skills!H6,1)+IF(Skills!H6&gt;0,MIN(Skills!I6,MAX(0,Inputs!$B$35-((R519-1)*IF(Inputs!$B$4="pvp",15,MAX(0.1,Skills!D6-IF(Skills!E6=TRUE,Inputs!$B$31,0))))))/Skills!H6,1)))/Inputs!$B$35),G519*Q519)*IF(Inputs!$B$4="pvp",1,(1-Summary!$B$55)*(1)+Summary!$B$55*(MIN(Skills!R6,Inputs!$B$37))),0)</f>
        <v/>
      </c>
      <c r="P519">
        <f>IF(B550=0,0,O519/B550)</f>
        <v/>
      </c>
      <c r="Q519">
        <f>IFERROR(1/IF(Inputs!$B$4="pvp",15,MAX(0.1,Skills!D6-IF(Skills!E6=TRUE,Inputs!$B$31,0))),0)</f>
        <v/>
      </c>
      <c r="R519">
        <f>IF(AND(Inputs!$B$4&lt;&gt;"pvp",Inputs!$B$35&gt;0),(INT(Inputs!$B$35/IF(Inputs!$B$4="pvp",15,MAX(0.1,Skills!D6-IF(Skills!E6=TRUE,Inputs!$B$31,0))))+1),0)</f>
        <v/>
      </c>
      <c r="S519">
        <f>IFERROR(O519/N519,0)</f>
        <v/>
      </c>
    </row>
    <row r="520">
      <c r="A520">
        <f>Skills!A7</f>
        <v/>
      </c>
      <c r="B520">
        <f>Skills!B7</f>
        <v/>
      </c>
      <c r="C520">
        <f>Inputs!$B$3&gt;=40</f>
        <v/>
      </c>
      <c r="D520">
        <f>IF(Skills!C7=1,60+Inputs!$B$24+Inputs!$B$28,IF(Skills!C7=2,90+Inputs!$B$25+Inputs!$B$28,IF(Skills!C7=3,120+Inputs!$B$26+Inputs!$B$28,MAX(0,(Inputs!$B$3-100)*3)+Inputs!$B$27+Inputs!$B$28)))</f>
        <v/>
      </c>
      <c r="E520">
        <f>INDEX(FactorTable!$B$2:$Y$301, MATCH(ROUND(MIN(300,MAX(1,D520)),0), FactorTable!$A$2:$A$301,0), Skills!M7+1)</f>
        <v/>
      </c>
      <c r="F520">
        <f>IF(Skills!N7=TRUE,(Skills!L7/10)*(E520/1000),Skills!L7/10)+Skills!O7</f>
        <v/>
      </c>
      <c r="G520">
        <f>Skills!G7*IF(Skills!H7&gt;0,Skills!I7/Skills!H7,1)</f>
        <v/>
      </c>
      <c r="H520">
        <f>1-(1-Skills!J7/100)^Skills!K7</f>
        <v/>
      </c>
      <c r="I520" t="inlineStr">
        <is>
          <t>1</t>
        </is>
      </c>
      <c r="J520">
        <f>(Inputs!$B$5*(1+Inputs!$B$6/100))*(F520/100)</f>
        <v/>
      </c>
      <c r="K520">
        <f>J520*(1+((Inputs!$B$11*(1+Inputs!$B$12/100))*0.01+Inputs!$B$13*0.0025)/100)*(1+Inputs!$B$14/100)*(1+IF(Inputs!$B$4="pvp",0,(1-Summary!$B$55)*(Inputs!$B$19+0+Skills!P7+((C530=TRUE)*F530*IF(AND(Inputs!$B$4&lt;&gt;"pvp",Inputs!$B$35&gt;0),(((S530-1)*(Skills!T17*(1+Inputs!$B$33/100))+MIN((Skills!T17*(1+Inputs!$B$33/100)),MAX(0,Inputs!$B$35-((S530-1)*Skills!D17))))/Inputs!$B$35),IF(Inputs!$B$4="pvp",MIN((Skills!T17*(1+Inputs!$B$33/100)),15)/15,(Skills!T17*(1+Inputs!$B$33/100))/Skills!D17)))+((C527=TRUE)*IF(Inputs!$B$4="pvp",20,(1-Summary!$B$55)*(20)+Summary!$B$55*(0))*IF(AND(Inputs!$B$4&lt;&gt;"pvp",Inputs!$B$35&gt;0),(((S527-1)*(Skills!T14*(1+Inputs!$B$33/100))+MIN((Skills!T14*(1+Inputs!$B$33/100)),MAX(0,Inputs!$B$35-((S527-1)*Skills!D14))))/Inputs!$B$35),IF(Inputs!$B$4="pvp",MIN((Skills!T14*(1+Inputs!$B$33/100)),15)/15,(Skills!T14*(1+Inputs!$B$33/100))/Skills!D14))))+Summary!$B$55*(Inputs!$B$20+Skills!Q7+((C530=TRUE)*F530*IF(AND(Inputs!$B$4&lt;&gt;"pvp",Inputs!$B$35&gt;0),(((S530-1)*(Skills!T17*(1+Inputs!$B$33/100))+MIN((Skills!T17*(1+Inputs!$B$33/100)),MAX(0,Inputs!$B$35-((S530-1)*Skills!D17))))/Inputs!$B$35),IF(Inputs!$B$4="pvp",MIN((Skills!T17*(1+Inputs!$B$33/100)),15)/15,(Skills!T17*(1+Inputs!$B$33/100))/Skills!D17)))))/100)*(1+Inputs!$B$15/100)*(5000/(6000+Inputs!$B$7*(1-(Inputs!$B$18+0)/100)))*(1+(Inputs!$B$23+((C538=TRUE)*(F538-Calc!F25))+((C539=TRUE)*(F539-Calc!F26))+B548)/100)*(1+0.75*IF(C524=TRUE,F524,0)/100)*(1+(IF(Skills!A7="DARK_IMPALE",Inputs!$B$16+0,Inputs!$B$17+((C536=TRUE)*(F536-Calc!F23))))/100)*((1+(((C526=TRUE)*F526*IF(AND(Inputs!$B$4&lt;&gt;"pvp",Inputs!$B$35&gt;0),(((S526-1)*(Skills!T13*(1+Inputs!$B$33/100))+MIN((Skills!T13*(1+Inputs!$B$33/100)),MAX(0,Inputs!$B$35-((S526-1)*Skills!D13))))/Inputs!$B$35),IF(Inputs!$B$4="pvp",MIN((Skills!T13*(1+Inputs!$B$33/100)),15)/15,(Skills!T13*(1+Inputs!$B$33/100))/Skills!D13)))+((C527=TRUE)*F527*IF(AND(Inputs!$B$4&lt;&gt;"pvp",Inputs!$B$35&gt;0),(((S527-1)*(Skills!T14*(1+Inputs!$B$33/100))+MIN((Skills!T14*(1+Inputs!$B$33/100)),MAX(0,Inputs!$B$35-((S527-1)*Skills!D14))))/Inputs!$B$35),IF(Inputs!$B$4="pvp",MIN((Skills!T14*(1+Inputs!$B$33/100)),15)/15,(Skills!T14*(1+Inputs!$B$33/100))/Skills!D14)))+((C528=TRUE)*F528*IF(AND(Inputs!$B$4&lt;&gt;"pvp",Inputs!$B$35&gt;0),(((S528-1)*(Skills!T15*(1+Inputs!$B$33/100))+MIN((Skills!T15*(1+Inputs!$B$33/100)),MAX(0,Inputs!$B$35-((S528-1)*Skills!D15))))/Inputs!$B$35),IF(Inputs!$B$4="pvp",MIN((Skills!T15*(1+Inputs!$B$33/100)),15)/15,(Skills!T15*(1+Inputs!$B$33/100))/Skills!D15)))+((C529=TRUE)*F529*IF(AND(Inputs!$B$4&lt;&gt;"pvp",Inputs!$B$35&gt;0),(((S529-1)*(Skills!T16*(1+Inputs!$B$33/100))+MIN((Skills!T16*(1+Inputs!$B$33/100)),MAX(0,Inputs!$B$35-((S529-1)*Skills!D16))))/Inputs!$B$35),IF(Inputs!$B$4="pvp",MIN((Skills!T16*(1+Inputs!$B$33/100)),15)/15,(Skills!T16*(1+Inputs!$B$33/100))/Skills!D16)))+0)/100)*I520)</f>
        <v/>
      </c>
      <c r="L520">
        <f>K520*(MIN(Inputs!$B$21+((C535=TRUE)*(F535-Calc!F22)),Inputs!$B$22+((C537=TRUE)*(F537-Calc!F24)))/100+(Inputs!$B$22+((C537=TRUE)*(F537-Calc!F24)))/100)/2</f>
        <v/>
      </c>
      <c r="M520">
        <f>L520*(1+(Inputs!$B$9+0+B547)/100)</f>
        <v/>
      </c>
      <c r="N520">
        <f>L520*(1-MIN((Inputs!$B$8+0+B542),100)/100)+M520*(MIN((Inputs!$B$8+0+B542),100)/100)</f>
        <v/>
      </c>
      <c r="O520">
        <f>IF(C520,H520*N520*IF(AND(Inputs!$B$4&lt;&gt;"pvp",Inputs!$B$35&gt;0),((Skills!G7*((R520-1)*IF(Skills!H7&gt;0,Skills!I7/Skills!H7,1)+IF(Skills!H7&gt;0,MIN(Skills!I7,MAX(0,Inputs!$B$35-((R520-1)*IF(Inputs!$B$4="pvp",15,MAX(0.1,Skills!D7-IF(Skills!E7=TRUE,Inputs!$B$31,0))))))/Skills!H7,1)))/Inputs!$B$35),G520*Q520)*IF(Inputs!$B$4="pvp",1,(1-Summary!$B$55)*(1)+Summary!$B$55*(MIN(Skills!R7,Inputs!$B$37))),0)</f>
        <v/>
      </c>
      <c r="P520">
        <f>IF(B550=0,0,O520/B550)</f>
        <v/>
      </c>
      <c r="Q520">
        <f>IFERROR(1/IF(Inputs!$B$4="pvp",15,MAX(0.1,Skills!D7-IF(Skills!E7=TRUE,Inputs!$B$31,0))),0)</f>
        <v/>
      </c>
      <c r="R520">
        <f>IF(AND(Inputs!$B$4&lt;&gt;"pvp",Inputs!$B$35&gt;0),(INT(Inputs!$B$35/IF(Inputs!$B$4="pvp",15,MAX(0.1,Skills!D7-IF(Skills!E7=TRUE,Inputs!$B$31,0))))+1),0)</f>
        <v/>
      </c>
      <c r="S520">
        <f>IFERROR(O520/N520,0)</f>
        <v/>
      </c>
    </row>
    <row r="521">
      <c r="A521">
        <f>Skills!A8</f>
        <v/>
      </c>
      <c r="B521">
        <f>Skills!B8</f>
        <v/>
      </c>
      <c r="C521">
        <f>Inputs!$B$3&gt;=75</f>
        <v/>
      </c>
      <c r="D521">
        <f>IF(Skills!C8=1,60+Inputs!$B$24+Inputs!$B$28,IF(Skills!C8=2,90+Inputs!$B$25+Inputs!$B$28,IF(Skills!C8=3,120+Inputs!$B$26+Inputs!$B$28,MAX(0,(Inputs!$B$3-100)*3)+Inputs!$B$27+Inputs!$B$28)))</f>
        <v/>
      </c>
      <c r="E521">
        <f>INDEX(FactorTable!$B$2:$Y$301, MATCH(ROUND(MIN(300,MAX(1,D521)),0), FactorTable!$A$2:$A$301,0), Skills!M8+1)</f>
        <v/>
      </c>
      <c r="F521">
        <f>IF(Skills!N8=TRUE,(Skills!L8/10)*(E521/1000),Skills!L8/10)+Skills!O8</f>
        <v/>
      </c>
      <c r="G521" t="inlineStr"/>
      <c r="H521" t="inlineStr"/>
      <c r="I521" t="inlineStr">
        <is>
          <t>1</t>
        </is>
      </c>
      <c r="J521" t="inlineStr"/>
      <c r="K521" t="inlineStr"/>
      <c r="L521" t="inlineStr"/>
      <c r="M521" t="inlineStr"/>
      <c r="N521" t="inlineStr"/>
      <c r="O521" t="inlineStr"/>
      <c r="P521" t="inlineStr"/>
      <c r="Q521" t="inlineStr"/>
      <c r="R521" t="inlineStr"/>
      <c r="S521" t="inlineStr"/>
    </row>
    <row r="522">
      <c r="A522">
        <f>Skills!A9</f>
        <v/>
      </c>
      <c r="B522">
        <f>Skills!B9</f>
        <v/>
      </c>
      <c r="C522">
        <f>Inputs!$B$3&gt;=60</f>
        <v/>
      </c>
      <c r="D522">
        <f>IF(Skills!C9=1,60+Inputs!$B$24+Inputs!$B$28,IF(Skills!C9=2,90+Inputs!$B$25+Inputs!$B$28,IF(Skills!C9=3,120+Inputs!$B$26+Inputs!$B$28,MAX(0,(Inputs!$B$3-100)*3)+Inputs!$B$27+Inputs!$B$28)))</f>
        <v/>
      </c>
      <c r="E522">
        <f>INDEX(FactorTable!$B$2:$Y$301, MATCH(ROUND(MIN(300,MAX(1,D522)),0), FactorTable!$A$2:$A$301,0), Skills!M9+1)</f>
        <v/>
      </c>
      <c r="F522">
        <f>IF(Skills!N9=TRUE,(Skills!L9/10)*(E522/1000),Skills!L9/10)+Skills!O9</f>
        <v/>
      </c>
      <c r="G522">
        <f>Skills!G9*IF(Skills!H9&gt;0,Skills!I9/Skills!H9,1)</f>
        <v/>
      </c>
      <c r="H522">
        <f>1-(1-Skills!J9/100)^Skills!K9</f>
        <v/>
      </c>
      <c r="I522" t="inlineStr">
        <is>
          <t>1</t>
        </is>
      </c>
      <c r="J522">
        <f>(Inputs!$B$5*(1+Inputs!$B$6/100))*(F522/100)</f>
        <v/>
      </c>
      <c r="K522">
        <f>J522*(1+((Inputs!$B$11*(1+Inputs!$B$12/100))*0.01+Inputs!$B$13*0.0025)/100)*(1+Inputs!$B$14/100)*(1+IF(Inputs!$B$4="pvp",0,(1-Summary!$B$55)*(Inputs!$B$19+0+Skills!P9+((C530=TRUE)*F530*IF(AND(Inputs!$B$4&lt;&gt;"pvp",Inputs!$B$35&gt;0),(((S530-1)*(Skills!T17*(1+Inputs!$B$33/100))+MIN((Skills!T17*(1+Inputs!$B$33/100)),MAX(0,Inputs!$B$35-((S530-1)*Skills!D17))))/Inputs!$B$35),IF(Inputs!$B$4="pvp",MIN((Skills!T17*(1+Inputs!$B$33/100)),15)/15,(Skills!T17*(1+Inputs!$B$33/100))/Skills!D17)))+((C527=TRUE)*IF(Inputs!$B$4="pvp",20,(1-Summary!$B$55)*(20)+Summary!$B$55*(0))*IF(AND(Inputs!$B$4&lt;&gt;"pvp",Inputs!$B$35&gt;0),(((S527-1)*(Skills!T14*(1+Inputs!$B$33/100))+MIN((Skills!T14*(1+Inputs!$B$33/100)),MAX(0,Inputs!$B$35-((S527-1)*Skills!D14))))/Inputs!$B$35),IF(Inputs!$B$4="pvp",MIN((Skills!T14*(1+Inputs!$B$33/100)),15)/15,(Skills!T14*(1+Inputs!$B$33/100))/Skills!D14))))+Summary!$B$55*(Inputs!$B$20+Skills!Q9+((C530=TRUE)*F530*IF(AND(Inputs!$B$4&lt;&gt;"pvp",Inputs!$B$35&gt;0),(((S530-1)*(Skills!T17*(1+Inputs!$B$33/100))+MIN((Skills!T17*(1+Inputs!$B$33/100)),MAX(0,Inputs!$B$35-((S530-1)*Skills!D17))))/Inputs!$B$35),IF(Inputs!$B$4="pvp",MIN((Skills!T17*(1+Inputs!$B$33/100)),15)/15,(Skills!T17*(1+Inputs!$B$33/100))/Skills!D17)))))/100)*(1+Inputs!$B$15/100)*(5000/(6000+Inputs!$B$7*(1-(Inputs!$B$18+0)/100)))*(1+(Inputs!$B$23+((C538=TRUE)*(F538-Calc!F25))+((C539=TRUE)*(F539-Calc!F26))+B548)/100)*(1+1.0*IF(C524=TRUE,F524,0)/100)*(1+(IF(Skills!A9="DARK_IMPALE",Inputs!$B$16+0,Inputs!$B$17+((C536=TRUE)*(F536-Calc!F23))))/100)*((1+(((C526=TRUE)*F526*IF(AND(Inputs!$B$4&lt;&gt;"pvp",Inputs!$B$35&gt;0),(((S526-1)*(Skills!T13*(1+Inputs!$B$33/100))+MIN((Skills!T13*(1+Inputs!$B$33/100)),MAX(0,Inputs!$B$35-((S526-1)*Skills!D13))))/Inputs!$B$35),IF(Inputs!$B$4="pvp",MIN((Skills!T13*(1+Inputs!$B$33/100)),15)/15,(Skills!T13*(1+Inputs!$B$33/100))/Skills!D13)))+((C527=TRUE)*F527*IF(AND(Inputs!$B$4&lt;&gt;"pvp",Inputs!$B$35&gt;0),(((S527-1)*(Skills!T14*(1+Inputs!$B$33/100))+MIN((Skills!T14*(1+Inputs!$B$33/100)),MAX(0,Inputs!$B$35-((S527-1)*Skills!D14))))/Inputs!$B$35),IF(Inputs!$B$4="pvp",MIN((Skills!T14*(1+Inputs!$B$33/100)),15)/15,(Skills!T14*(1+Inputs!$B$33/100))/Skills!D14)))+((C528=TRUE)*F528*IF(AND(Inputs!$B$4&lt;&gt;"pvp",Inputs!$B$35&gt;0),(((S528-1)*(Skills!T15*(1+Inputs!$B$33/100))+MIN((Skills!T15*(1+Inputs!$B$33/100)),MAX(0,Inputs!$B$35-((S528-1)*Skills!D15))))/Inputs!$B$35),IF(Inputs!$B$4="pvp",MIN((Skills!T15*(1+Inputs!$B$33/100)),15)/15,(Skills!T15*(1+Inputs!$B$33/100))/Skills!D15)))+((C529=TRUE)*F529*IF(AND(Inputs!$B$4&lt;&gt;"pvp",Inputs!$B$35&gt;0),(((S529-1)*(Skills!T16*(1+Inputs!$B$33/100))+MIN((Skills!T16*(1+Inputs!$B$33/100)),MAX(0,Inputs!$B$35-((S529-1)*Skills!D16))))/Inputs!$B$35),IF(Inputs!$B$4="pvp",MIN((Skills!T16*(1+Inputs!$B$33/100)),15)/15,(Skills!T16*(1+Inputs!$B$33/100))/Skills!D16)))+0)/100)*I522)</f>
        <v/>
      </c>
      <c r="L522">
        <f>K522*(MIN(Inputs!$B$21+((C535=TRUE)*(F535-Calc!F22)),Inputs!$B$22+((C537=TRUE)*(F537-Calc!F24)))/100+(Inputs!$B$22+((C537=TRUE)*(F537-Calc!F24)))/100)/2</f>
        <v/>
      </c>
      <c r="M522">
        <f>L522*(1+(Inputs!$B$9+0+B547)/100)</f>
        <v/>
      </c>
      <c r="N522">
        <f>L522*(1-MIN((Inputs!$B$8+0+B542),100)/100)+M522*(MIN((Inputs!$B$8+0+B542),100)/100)</f>
        <v/>
      </c>
      <c r="O522">
        <f>IF(C522,H522*N522*IF(AND(Inputs!$B$4&lt;&gt;"pvp",Inputs!$B$35&gt;0),((Skills!G9*((R522-1)*IF(Skills!H9&gt;0,Skills!I9/Skills!H9,1)+IF(Skills!H9&gt;0,MIN(Skills!I9,MAX(0,Inputs!$B$35-((R522-1)*IF(Inputs!$B$4="pvp",15,MAX(0.1,Skills!D9-IF(Skills!E9=TRUE,Inputs!$B$31,0))))))/Skills!H9,1)))/Inputs!$B$35),G522*Q522)*IF(Inputs!$B$4="pvp",1,(1-Summary!$B$55)*(1)+Summary!$B$55*(MIN(Skills!R9,Inputs!$B$37))),0)</f>
        <v/>
      </c>
      <c r="P522">
        <f>IF(B550=0,0,O522/B550)</f>
        <v/>
      </c>
      <c r="Q522">
        <f>IFERROR(1/IF(Inputs!$B$4="pvp",15,MAX(0.1,Skills!D9-IF(Skills!E9=TRUE,Inputs!$B$31,0))),0)</f>
        <v/>
      </c>
      <c r="R522">
        <f>IF(AND(Inputs!$B$4&lt;&gt;"pvp",Inputs!$B$35&gt;0),(INT(Inputs!$B$35/IF(Inputs!$B$4="pvp",15,MAX(0.1,Skills!D9-IF(Skills!E9=TRUE,Inputs!$B$31,0))))+1),0)</f>
        <v/>
      </c>
      <c r="S522">
        <f>IFERROR(O522/N522,0)</f>
        <v/>
      </c>
    </row>
    <row r="523">
      <c r="A523">
        <f>Skills!A10</f>
        <v/>
      </c>
      <c r="B523">
        <f>Skills!B10</f>
        <v/>
      </c>
      <c r="C523">
        <f>Inputs!$B$3&gt;=110</f>
        <v/>
      </c>
      <c r="D523">
        <f>IF(Skills!C10=1,60+Inputs!$B$24+Inputs!$B$28,IF(Skills!C10=2,90+Inputs!$B$25+Inputs!$B$28,IF(Skills!C10=3,120+Inputs!$B$26+Inputs!$B$28,MAX(0,(Inputs!$B$3-100)*3)+Inputs!$B$27+Inputs!$B$28)))</f>
        <v/>
      </c>
      <c r="E523">
        <f>INDEX(FactorTable!$B$2:$Y$301, MATCH(ROUND(MIN(300,MAX(1,D523)),0), FactorTable!$A$2:$A$301,0), Skills!M10+1)</f>
        <v/>
      </c>
      <c r="F523">
        <f>IF(Skills!N10=TRUE,(Skills!L10/10)*(E523/1000),Skills!L10/10)+Skills!O10</f>
        <v/>
      </c>
      <c r="G523">
        <f>Skills!G10*IF(Skills!H10&gt;0,Skills!I10/Skills!H10,1)</f>
        <v/>
      </c>
      <c r="H523">
        <f>1-(1-Skills!J10/100)^Skills!K10</f>
        <v/>
      </c>
      <c r="I523" t="inlineStr">
        <is>
          <t>1</t>
        </is>
      </c>
      <c r="J523">
        <f>(Inputs!$B$5*(1+Inputs!$B$6/100))*(F523/100)</f>
        <v/>
      </c>
      <c r="K523">
        <f>J523*(1+((Inputs!$B$11*(1+Inputs!$B$12/100))*0.01+Inputs!$B$13*0.0025)/100)*(1+Inputs!$B$14/100)*(1+IF(Inputs!$B$4="pvp",0,(1-Summary!$B$55)*(Inputs!$B$19+0+Skills!P10+((C530=TRUE)*F530*IF(AND(Inputs!$B$4&lt;&gt;"pvp",Inputs!$B$35&gt;0),(((S530-1)*(Skills!T17*(1+Inputs!$B$33/100))+MIN((Skills!T17*(1+Inputs!$B$33/100)),MAX(0,Inputs!$B$35-((S530-1)*Skills!D17))))/Inputs!$B$35),IF(Inputs!$B$4="pvp",MIN((Skills!T17*(1+Inputs!$B$33/100)),15)/15,(Skills!T17*(1+Inputs!$B$33/100))/Skills!D17)))+((C527=TRUE)*IF(Inputs!$B$4="pvp",20,(1-Summary!$B$55)*(20)+Summary!$B$55*(0))*IF(AND(Inputs!$B$4&lt;&gt;"pvp",Inputs!$B$35&gt;0),(((S527-1)*(Skills!T14*(1+Inputs!$B$33/100))+MIN((Skills!T14*(1+Inputs!$B$33/100)),MAX(0,Inputs!$B$35-((S527-1)*Skills!D14))))/Inputs!$B$35),IF(Inputs!$B$4="pvp",MIN((Skills!T14*(1+Inputs!$B$33/100)),15)/15,(Skills!T14*(1+Inputs!$B$33/100))/Skills!D14))))+Summary!$B$55*(Inputs!$B$20+Skills!Q10+((C530=TRUE)*F530*IF(AND(Inputs!$B$4&lt;&gt;"pvp",Inputs!$B$35&gt;0),(((S530-1)*(Skills!T17*(1+Inputs!$B$33/100))+MIN((Skills!T17*(1+Inputs!$B$33/100)),MAX(0,Inputs!$B$35-((S530-1)*Skills!D17))))/Inputs!$B$35),IF(Inputs!$B$4="pvp",MIN((Skills!T17*(1+Inputs!$B$33/100)),15)/15,(Skills!T17*(1+Inputs!$B$33/100))/Skills!D17)))))/100)*(1+Inputs!$B$15/100)*(5000/(6000+Inputs!$B$7*(1-(Inputs!$B$18+0)/100)))*(1+(Inputs!$B$23+((C538=TRUE)*(F538-Calc!F25))+((C539=TRUE)*(F539-Calc!F26))+B548)/100)*(1+(IF(Skills!A10="DARK_IMPALE",Inputs!$B$16+0,Inputs!$B$17+((C536=TRUE)*(F536-Calc!F23))))/100)*((1+(((C526=TRUE)*F526*IF(AND(Inputs!$B$4&lt;&gt;"pvp",Inputs!$B$35&gt;0),(((S526-1)*(Skills!T13*(1+Inputs!$B$33/100))+MIN((Skills!T13*(1+Inputs!$B$33/100)),MAX(0,Inputs!$B$35-((S526-1)*Skills!D13))))/Inputs!$B$35),IF(Inputs!$B$4="pvp",MIN((Skills!T13*(1+Inputs!$B$33/100)),15)/15,(Skills!T13*(1+Inputs!$B$33/100))/Skills!D13)))+((C527=TRUE)*F527*IF(AND(Inputs!$B$4&lt;&gt;"pvp",Inputs!$B$35&gt;0),(((S527-1)*(Skills!T14*(1+Inputs!$B$33/100))+MIN((Skills!T14*(1+Inputs!$B$33/100)),MAX(0,Inputs!$B$35-((S527-1)*Skills!D14))))/Inputs!$B$35),IF(Inputs!$B$4="pvp",MIN((Skills!T14*(1+Inputs!$B$33/100)),15)/15,(Skills!T14*(1+Inputs!$B$33/100))/Skills!D14)))+((C528=TRUE)*F528*IF(AND(Inputs!$B$4&lt;&gt;"pvp",Inputs!$B$35&gt;0),(((S528-1)*(Skills!T15*(1+Inputs!$B$33/100))+MIN((Skills!T15*(1+Inputs!$B$33/100)),MAX(0,Inputs!$B$35-((S528-1)*Skills!D15))))/Inputs!$B$35),IF(Inputs!$B$4="pvp",MIN((Skills!T15*(1+Inputs!$B$33/100)),15)/15,(Skills!T15*(1+Inputs!$B$33/100))/Skills!D15)))+((C529=TRUE)*F529*IF(AND(Inputs!$B$4&lt;&gt;"pvp",Inputs!$B$35&gt;0),(((S529-1)*(Skills!T16*(1+Inputs!$B$33/100))+MIN((Skills!T16*(1+Inputs!$B$33/100)),MAX(0,Inputs!$B$35-((S529-1)*Skills!D16))))/Inputs!$B$35),IF(Inputs!$B$4="pvp",MIN((Skills!T16*(1+Inputs!$B$33/100)),15)/15,(Skills!T16*(1+Inputs!$B$33/100))/Skills!D16)))+0)/100)*I523)</f>
        <v/>
      </c>
      <c r="L523">
        <f>K523*(MIN(Inputs!$B$21+((C535=TRUE)*(F535-Calc!F22)),Inputs!$B$22+((C537=TRUE)*(F537-Calc!F24)))/100+(Inputs!$B$22+((C537=TRUE)*(F537-Calc!F24)))/100)/2</f>
        <v/>
      </c>
      <c r="M523">
        <f>L523*(1+(Inputs!$B$9+0+B547)/100)</f>
        <v/>
      </c>
      <c r="N523">
        <f>L523*(1-MIN((Inputs!$B$8+0+B542),100)/100)+M523*(MIN((Inputs!$B$8+0+B542),100)/100)</f>
        <v/>
      </c>
      <c r="O523">
        <f>IF(C523,H523*N523*IF(AND(Inputs!$B$4&lt;&gt;"pvp",Inputs!$B$35&gt;0),((Skills!G10*((R523-1)*IF(Skills!H10&gt;0,Skills!I10/Skills!H10,1)+IF(Skills!H10&gt;0,MIN(Skills!I10,MAX(0,Inputs!$B$35-((R523-1)*IF(Inputs!$B$4="pvp",15,MAX(0.1,Skills!D10-IF(Skills!E10=TRUE,Inputs!$B$31,0))))))/Skills!H10,1)))/Inputs!$B$35),G523*Q523)*IF(Inputs!$B$4="pvp",1,(1-Summary!$B$55)*(1)+Summary!$B$55*(MIN(Skills!R10,Inputs!$B$37))),0)</f>
        <v/>
      </c>
      <c r="P523">
        <f>IF(B550=0,0,O523/B550)</f>
        <v/>
      </c>
      <c r="Q523">
        <f>IFERROR(1/IF(Inputs!$B$4="pvp",15,MAX(0.1,Skills!D10-IF(Skills!E10=TRUE,Inputs!$B$31,0))),0)</f>
        <v/>
      </c>
      <c r="R523">
        <f>IF(AND(Inputs!$B$4&lt;&gt;"pvp",Inputs!$B$35&gt;0),(INT(Inputs!$B$35/IF(Inputs!$B$4="pvp",15,MAX(0.1,Skills!D10-IF(Skills!E10=TRUE,Inputs!$B$31,0))))+1),0)</f>
        <v/>
      </c>
      <c r="S523">
        <f>IFERROR(O523/N523,0)</f>
        <v/>
      </c>
    </row>
    <row r="524">
      <c r="A524">
        <f>Skills!A11</f>
        <v/>
      </c>
      <c r="B524">
        <f>Skills!B11</f>
        <v/>
      </c>
      <c r="C524">
        <f>Inputs!$B$3&gt;=100</f>
        <v/>
      </c>
      <c r="D524">
        <f>IF(Skills!C11=1,60+Inputs!$B$24+Inputs!$B$28,IF(Skills!C11=2,90+Inputs!$B$25+Inputs!$B$28,IF(Skills!C11=3,120+Inputs!$B$26+Inputs!$B$28,MAX(0,(Inputs!$B$3-100)*3)+Inputs!$B$27+Inputs!$B$28)))</f>
        <v/>
      </c>
      <c r="E524">
        <f>INDEX(FactorTable!$B$2:$Y$301, MATCH(ROUND(MIN(300,MAX(1,D524)),0), FactorTable!$A$2:$A$301,0), Skills!M11+1)</f>
        <v/>
      </c>
      <c r="F524">
        <f>IF(Skills!N11=TRUE,(Skills!L11/10)*(E524/1000),Skills!L11/10)+Skills!O11</f>
        <v/>
      </c>
      <c r="G524" t="inlineStr"/>
      <c r="H524" t="inlineStr"/>
      <c r="I524" t="inlineStr">
        <is>
          <t>1</t>
        </is>
      </c>
      <c r="J524" t="inlineStr"/>
      <c r="K524" t="inlineStr"/>
      <c r="L524" t="inlineStr"/>
      <c r="M524" t="inlineStr"/>
      <c r="N524" t="inlineStr"/>
      <c r="O524" t="inlineStr"/>
      <c r="P524" t="inlineStr"/>
      <c r="Q524" t="inlineStr"/>
      <c r="R524" t="inlineStr"/>
      <c r="S524" t="inlineStr"/>
    </row>
    <row r="525">
      <c r="A525">
        <f>Skills!A12</f>
        <v/>
      </c>
      <c r="B525">
        <f>Skills!B12</f>
        <v/>
      </c>
      <c r="C525">
        <f>Inputs!$B$3&gt;=63</f>
        <v/>
      </c>
      <c r="D525">
        <f>IF(Skills!C12=1,60+Inputs!$B$24+Inputs!$B$28,IF(Skills!C12=2,90+Inputs!$B$25+Inputs!$B$28,IF(Skills!C12=3,120+Inputs!$B$26+Inputs!$B$28,MAX(0,(Inputs!$B$3-100)*3)+Inputs!$B$27+Inputs!$B$28)))</f>
        <v/>
      </c>
      <c r="E525">
        <f>INDEX(FactorTable!$B$2:$Y$301, MATCH(ROUND(MIN(300,MAX(1,D525)),0), FactorTable!$A$2:$A$301,0), Skills!M12+1)</f>
        <v/>
      </c>
      <c r="F525">
        <f>IF(Skills!N12=TRUE,(Skills!L12/10)*(E525/1000),Skills!L12/10)+Skills!O12</f>
        <v/>
      </c>
      <c r="G525">
        <f>Skills!G12*IF(Skills!H12&gt;0,Skills!I12/Skills!H12,1)</f>
        <v/>
      </c>
      <c r="H525">
        <f>1-(1-Skills!J12/100)^Skills!K12</f>
        <v/>
      </c>
      <c r="I525" t="inlineStr">
        <is>
          <t>1</t>
        </is>
      </c>
      <c r="J525">
        <f>(Inputs!$B$5*(1+Inputs!$B$6/100))*(F525/100)</f>
        <v/>
      </c>
      <c r="K525">
        <f>J525*(1+((Inputs!$B$11*(1+Inputs!$B$12/100))*0.01+Inputs!$B$13*0.0025)/100)*(1+Inputs!$B$14/100)*(1+IF(Inputs!$B$4="pvp",0,(1-Summary!$B$55)*(Inputs!$B$19+0+Skills!P12+((C530=TRUE)*F530*IF(AND(Inputs!$B$4&lt;&gt;"pvp",Inputs!$B$35&gt;0),(((S530-1)*(Skills!T17*(1+Inputs!$B$33/100))+MIN((Skills!T17*(1+Inputs!$B$33/100)),MAX(0,Inputs!$B$35-((S530-1)*Skills!D17))))/Inputs!$B$35),IF(Inputs!$B$4="pvp",MIN((Skills!T17*(1+Inputs!$B$33/100)),15)/15,(Skills!T17*(1+Inputs!$B$33/100))/Skills!D17)))+((C527=TRUE)*IF(Inputs!$B$4="pvp",20,(1-Summary!$B$55)*(20)+Summary!$B$55*(0))*IF(AND(Inputs!$B$4&lt;&gt;"pvp",Inputs!$B$35&gt;0),(((S527-1)*(Skills!T14*(1+Inputs!$B$33/100))+MIN((Skills!T14*(1+Inputs!$B$33/100)),MAX(0,Inputs!$B$35-((S527-1)*Skills!D14))))/Inputs!$B$35),IF(Inputs!$B$4="pvp",MIN((Skills!T14*(1+Inputs!$B$33/100)),15)/15,(Skills!T14*(1+Inputs!$B$33/100))/Skills!D14))))+Summary!$B$55*(Inputs!$B$20+Skills!Q12+((C530=TRUE)*F530*IF(AND(Inputs!$B$4&lt;&gt;"pvp",Inputs!$B$35&gt;0),(((S530-1)*(Skills!T17*(1+Inputs!$B$33/100))+MIN((Skills!T17*(1+Inputs!$B$33/100)),MAX(0,Inputs!$B$35-((S530-1)*Skills!D17))))/Inputs!$B$35),IF(Inputs!$B$4="pvp",MIN((Skills!T17*(1+Inputs!$B$33/100)),15)/15,(Skills!T17*(1+Inputs!$B$33/100))/Skills!D17)))))/100)*(1+Inputs!$B$15/100)*(5000/(6000+Inputs!$B$7*(1-(Inputs!$B$18+0)/100)))*(1+(Inputs!$B$23+((C538=TRUE)*(F538-Calc!F25))+((C539=TRUE)*(F539-Calc!F26))+B548)/100)*(1+0.75*IF(C524=TRUE,F524,0)/100)*(1+(IF(Skills!A12="DARK_IMPALE",Inputs!$B$16+0,Inputs!$B$17+((C536=TRUE)*(F536-Calc!F23))))/100)*((1+(((C526=TRUE)*F526*IF(AND(Inputs!$B$4&lt;&gt;"pvp",Inputs!$B$35&gt;0),(((S526-1)*(Skills!T13*(1+Inputs!$B$33/100))+MIN((Skills!T13*(1+Inputs!$B$33/100)),MAX(0,Inputs!$B$35-((S526-1)*Skills!D13))))/Inputs!$B$35),IF(Inputs!$B$4="pvp",MIN((Skills!T13*(1+Inputs!$B$33/100)),15)/15,(Skills!T13*(1+Inputs!$B$33/100))/Skills!D13)))+((C527=TRUE)*F527*IF(AND(Inputs!$B$4&lt;&gt;"pvp",Inputs!$B$35&gt;0),(((S527-1)*(Skills!T14*(1+Inputs!$B$33/100))+MIN((Skills!T14*(1+Inputs!$B$33/100)),MAX(0,Inputs!$B$35-((S527-1)*Skills!D14))))/Inputs!$B$35),IF(Inputs!$B$4="pvp",MIN((Skills!T14*(1+Inputs!$B$33/100)),15)/15,(Skills!T14*(1+Inputs!$B$33/100))/Skills!D14)))+((C528=TRUE)*F528*IF(AND(Inputs!$B$4&lt;&gt;"pvp",Inputs!$B$35&gt;0),(((S528-1)*(Skills!T15*(1+Inputs!$B$33/100))+MIN((Skills!T15*(1+Inputs!$B$33/100)),MAX(0,Inputs!$B$35-((S528-1)*Skills!D15))))/Inputs!$B$35),IF(Inputs!$B$4="pvp",MIN((Skills!T15*(1+Inputs!$B$33/100)),15)/15,(Skills!T15*(1+Inputs!$B$33/100))/Skills!D15)))+((C529=TRUE)*F529*IF(AND(Inputs!$B$4&lt;&gt;"pvp",Inputs!$B$35&gt;0),(((S529-1)*(Skills!T16*(1+Inputs!$B$33/100))+MIN((Skills!T16*(1+Inputs!$B$33/100)),MAX(0,Inputs!$B$35-((S529-1)*Skills!D16))))/Inputs!$B$35),IF(Inputs!$B$4="pvp",MIN((Skills!T16*(1+Inputs!$B$33/100)),15)/15,(Skills!T16*(1+Inputs!$B$33/100))/Skills!D16)))+0)/100)*I525)</f>
        <v/>
      </c>
      <c r="L525">
        <f>K525*(MIN(Inputs!$B$21+((C535=TRUE)*(F535-Calc!F22)),Inputs!$B$22+((C537=TRUE)*(F537-Calc!F24)))/100+(Inputs!$B$22+((C537=TRUE)*(F537-Calc!F24)))/100)/2</f>
        <v/>
      </c>
      <c r="M525">
        <f>L525*(1+(Inputs!$B$9+0+B547)/100)</f>
        <v/>
      </c>
      <c r="N525">
        <f>L525*(1-MIN((Inputs!$B$8+0+B542),100)/100)+M525*(MIN((Inputs!$B$8+0+B542),100)/100)</f>
        <v/>
      </c>
      <c r="O525">
        <f>IF(C525,H525*N525*IF(AND(Inputs!$B$4&lt;&gt;"pvp",Inputs!$B$35&gt;0),((Skills!G12*((R525-1)*IF(Skills!H12&gt;0,Skills!I12/Skills!H12,1)+IF(Skills!H12&gt;0,MIN(Skills!I12,MAX(0,Inputs!$B$35-((R525-1)*IF(Inputs!$B$4="pvp",15,MAX(0.1,Skills!D12-IF(Skills!E12=TRUE,Inputs!$B$31,0))))))/Skills!H12,1)))/Inputs!$B$35),G525*Q525)*IF(Inputs!$B$4="pvp",1,(1-Summary!$B$55)*(1)+Summary!$B$55*(MIN(Skills!R12,Inputs!$B$37))),0)</f>
        <v/>
      </c>
      <c r="P525">
        <f>IF(B550=0,0,O525/B550)</f>
        <v/>
      </c>
      <c r="Q525">
        <f>IFERROR(1/IF(Inputs!$B$4="pvp",15,MAX(0.1,Skills!D12-IF(Skills!E12=TRUE,Inputs!$B$31,0))),0)</f>
        <v/>
      </c>
      <c r="R525">
        <f>IF(AND(Inputs!$B$4&lt;&gt;"pvp",Inputs!$B$35&gt;0),(INT(Inputs!$B$35/IF(Inputs!$B$4="pvp",15,MAX(0.1,Skills!D12-IF(Skills!E12=TRUE,Inputs!$B$31,0))))+1),0)</f>
        <v/>
      </c>
      <c r="S525">
        <f>IFERROR(O525/N525,0)</f>
        <v/>
      </c>
    </row>
    <row r="526">
      <c r="A526">
        <f>Skills!A13</f>
        <v/>
      </c>
      <c r="B526">
        <f>Skills!B13</f>
        <v/>
      </c>
      <c r="C526">
        <f>Inputs!$B$3&gt;=69</f>
        <v/>
      </c>
      <c r="D526">
        <f>IF(Skills!C13=1,60+Inputs!$B$24+Inputs!$B$28,IF(Skills!C13=2,90+Inputs!$B$25+Inputs!$B$28,IF(Skills!C13=3,120+Inputs!$B$26+Inputs!$B$28,MAX(0,(Inputs!$B$3-100)*3)+Inputs!$B$27+Inputs!$B$28)))</f>
        <v/>
      </c>
      <c r="E526">
        <f>INDEX(FactorTable!$B$2:$Y$301, MATCH(ROUND(MIN(300,MAX(1,D526)),0), FactorTable!$A$2:$A$301,0), Skills!M13+1)</f>
        <v/>
      </c>
      <c r="F526">
        <f>IF(Skills!N13=TRUE,(Skills!L13/10)*(E526/1000),Skills!L13/10)+Skills!O13</f>
        <v/>
      </c>
      <c r="G526">
        <f>Skills!G13*IF(Skills!H13&gt;0,Skills!I13/Skills!H13,1)</f>
        <v/>
      </c>
      <c r="H526">
        <f>1-(1-Skills!J13/100)^Skills!K13</f>
        <v/>
      </c>
      <c r="I526" t="inlineStr">
        <is>
          <t>1</t>
        </is>
      </c>
      <c r="J526" t="inlineStr"/>
      <c r="K526" t="inlineStr"/>
      <c r="L526" t="inlineStr"/>
      <c r="M526" t="inlineStr"/>
      <c r="N526" t="inlineStr"/>
      <c r="O526" t="n">
        <v>0</v>
      </c>
      <c r="P526">
        <f>IF(B550=0,0,O526/B550)</f>
        <v/>
      </c>
      <c r="Q526">
        <f>IFERROR(1/IF(Inputs!$B$4="pvp",15,MAX(0.1,Skills!D13-IF(Skills!E13=TRUE,Inputs!$B$31,0))),0)</f>
        <v/>
      </c>
      <c r="R526">
        <f>IF(AND(Inputs!$B$4&lt;&gt;"pvp",Inputs!$B$35&gt;0),(INT(Inputs!$B$35/IF(Inputs!$B$4="pvp",15,MAX(0.1,Skills!D13-IF(Skills!E13=TRUE,Inputs!$B$31,0))))+1),0)</f>
        <v/>
      </c>
      <c r="S526">
        <f>IFERROR(O526/N526,0)</f>
        <v/>
      </c>
    </row>
    <row r="527">
      <c r="A527">
        <f>Skills!A14</f>
        <v/>
      </c>
      <c r="B527">
        <f>Skills!B14</f>
        <v/>
      </c>
      <c r="C527">
        <f>Inputs!$B$3&gt;=115</f>
        <v/>
      </c>
      <c r="D527">
        <f>IF(Skills!C14=1,60+Inputs!$B$24+Inputs!$B$28,IF(Skills!C14=2,90+Inputs!$B$25+Inputs!$B$28,IF(Skills!C14=3,120+Inputs!$B$26+Inputs!$B$28,MAX(0,(Inputs!$B$3-100)*3)+Inputs!$B$27+Inputs!$B$28)))</f>
        <v/>
      </c>
      <c r="E527">
        <f>INDEX(FactorTable!$B$2:$Y$301, MATCH(ROUND(MIN(300,MAX(1,D527)),0), FactorTable!$A$2:$A$301,0), Skills!M14+1)</f>
        <v/>
      </c>
      <c r="F527">
        <f>IF(Skills!N14=TRUE,(Skills!L14/10)*(E527/1000),Skills!L14/10)+Skills!O14</f>
        <v/>
      </c>
      <c r="G527">
        <f>Skills!G14*IF(Skills!H14&gt;0,Skills!I14/Skills!H14,1)</f>
        <v/>
      </c>
      <c r="H527">
        <f>1-(1-Skills!J14/100)^Skills!K14</f>
        <v/>
      </c>
      <c r="I527" t="inlineStr">
        <is>
          <t>1</t>
        </is>
      </c>
      <c r="J527" t="inlineStr"/>
      <c r="K527" t="inlineStr"/>
      <c r="L527" t="inlineStr"/>
      <c r="M527" t="inlineStr"/>
      <c r="N527" t="inlineStr"/>
      <c r="O527" t="n">
        <v>0</v>
      </c>
      <c r="P527">
        <f>IF(B550=0,0,O527/B550)</f>
        <v/>
      </c>
      <c r="Q527">
        <f>IFERROR(1/IF(Inputs!$B$4="pvp",15,MAX(0.1,Skills!D14-IF(Skills!E14=TRUE,Inputs!$B$31,0))),0)</f>
        <v/>
      </c>
      <c r="R527">
        <f>IF(AND(Inputs!$B$4&lt;&gt;"pvp",Inputs!$B$35&gt;0),(INT(Inputs!$B$35/IF(Inputs!$B$4="pvp",15,MAX(0.1,Skills!D14-IF(Skills!E14=TRUE,Inputs!$B$31,0))))+1),0)</f>
        <v/>
      </c>
      <c r="S527">
        <f>IFERROR(O527/N527,0)</f>
        <v/>
      </c>
    </row>
    <row r="528">
      <c r="A528">
        <f>Skills!A15</f>
        <v/>
      </c>
      <c r="B528">
        <f>Skills!B15</f>
        <v/>
      </c>
      <c r="C528">
        <f>Inputs!$B$3&gt;=66</f>
        <v/>
      </c>
      <c r="D528">
        <f>IF(Skills!C15=1,60+Inputs!$B$24+Inputs!$B$28,IF(Skills!C15=2,90+Inputs!$B$25+Inputs!$B$28,IF(Skills!C15=3,120+Inputs!$B$26+Inputs!$B$28,MAX(0,(Inputs!$B$3-100)*3)+Inputs!$B$27+Inputs!$B$28)))</f>
        <v/>
      </c>
      <c r="E528">
        <f>INDEX(FactorTable!$B$2:$Y$301, MATCH(ROUND(MIN(300,MAX(1,D528)),0), FactorTable!$A$2:$A$301,0), Skills!M15+1)</f>
        <v/>
      </c>
      <c r="F528">
        <f>IF(Skills!N15=TRUE,(Skills!L15/10)*(E528/1000),Skills!L15/10)+Skills!O15</f>
        <v/>
      </c>
      <c r="G528">
        <f>Skills!G15*IF(Skills!H15&gt;0,Skills!I15/Skills!H15,1)</f>
        <v/>
      </c>
      <c r="H528">
        <f>1-(1-Skills!J15/100)^Skills!K15</f>
        <v/>
      </c>
      <c r="I528" t="inlineStr">
        <is>
          <t>1</t>
        </is>
      </c>
      <c r="J528" t="inlineStr"/>
      <c r="K528" t="inlineStr"/>
      <c r="L528" t="inlineStr"/>
      <c r="M528" t="inlineStr"/>
      <c r="N528" t="inlineStr"/>
      <c r="O528" t="n">
        <v>0</v>
      </c>
      <c r="P528">
        <f>IF(B550=0,0,O528/B550)</f>
        <v/>
      </c>
      <c r="Q528">
        <f>IFERROR(1/IF(Inputs!$B$4="pvp",15,MAX(0.1,Skills!D15-IF(Skills!E15=TRUE,Inputs!$B$31,0))),0)</f>
        <v/>
      </c>
      <c r="R528">
        <f>IF(AND(Inputs!$B$4&lt;&gt;"pvp",Inputs!$B$35&gt;0),(INT(Inputs!$B$35/IF(Inputs!$B$4="pvp",15,MAX(0.1,Skills!D15-IF(Skills!E15=TRUE,Inputs!$B$31,0))))+1),0)</f>
        <v/>
      </c>
      <c r="S528">
        <f>IFERROR(O528/N528,0)</f>
        <v/>
      </c>
    </row>
    <row r="529">
      <c r="A529">
        <f>Skills!A16</f>
        <v/>
      </c>
      <c r="B529">
        <f>Skills!B16</f>
        <v/>
      </c>
      <c r="C529">
        <f>Inputs!$B$3&gt;=45</f>
        <v/>
      </c>
      <c r="D529">
        <f>IF(Skills!C16=1,60+Inputs!$B$24+Inputs!$B$28,IF(Skills!C16=2,90+Inputs!$B$25+Inputs!$B$28,IF(Skills!C16=3,120+Inputs!$B$26+Inputs!$B$28,MAX(0,(Inputs!$B$3-100)*3)+Inputs!$B$27+Inputs!$B$28)))</f>
        <v/>
      </c>
      <c r="E529">
        <f>INDEX(FactorTable!$B$2:$Y$301, MATCH(ROUND(MIN(300,MAX(1,D529)),0), FactorTable!$A$2:$A$301,0), Skills!M16+1)</f>
        <v/>
      </c>
      <c r="F529">
        <f>IF(Skills!N16=TRUE,(Skills!L16/10)*(E529/1000),Skills!L16/10)+Skills!O16</f>
        <v/>
      </c>
      <c r="G529">
        <f>Skills!G16*IF(Skills!H16&gt;0,Skills!I16/Skills!H16,1)</f>
        <v/>
      </c>
      <c r="H529">
        <f>1-(1-Skills!J16/100)^Skills!K16</f>
        <v/>
      </c>
      <c r="I529" t="inlineStr">
        <is>
          <t>1</t>
        </is>
      </c>
      <c r="J529" t="inlineStr"/>
      <c r="K529" t="inlineStr"/>
      <c r="L529" t="inlineStr"/>
      <c r="M529" t="inlineStr"/>
      <c r="N529" t="inlineStr"/>
      <c r="O529" t="n">
        <v>0</v>
      </c>
      <c r="P529">
        <f>IF(B550=0,0,O529/B550)</f>
        <v/>
      </c>
      <c r="Q529">
        <f>IFERROR(1/IF(Inputs!$B$4="pvp",15,MAX(0.1,Skills!D16-IF(Skills!E16=TRUE,Inputs!$B$31,0))),0)</f>
        <v/>
      </c>
      <c r="R529">
        <f>IF(AND(Inputs!$B$4&lt;&gt;"pvp",Inputs!$B$35&gt;0),(INT(Inputs!$B$35/IF(Inputs!$B$4="pvp",15,MAX(0.1,Skills!D16-IF(Skills!E16=TRUE,Inputs!$B$31,0))))+1),0)</f>
        <v/>
      </c>
      <c r="S529">
        <f>IFERROR(O529/N529,0)</f>
        <v/>
      </c>
    </row>
    <row r="530">
      <c r="A530">
        <f>Skills!A17</f>
        <v/>
      </c>
      <c r="B530">
        <f>Skills!B17</f>
        <v/>
      </c>
      <c r="C530">
        <f>Inputs!$B$3&gt;=35</f>
        <v/>
      </c>
      <c r="D530">
        <f>IF(Skills!C17=1,60+Inputs!$B$24+Inputs!$B$28,IF(Skills!C17=2,90+Inputs!$B$25+Inputs!$B$28,IF(Skills!C17=3,120+Inputs!$B$26+Inputs!$B$28,MAX(0,(Inputs!$B$3-100)*3)+Inputs!$B$27+Inputs!$B$28)))</f>
        <v/>
      </c>
      <c r="E530">
        <f>INDEX(FactorTable!$B$2:$Y$301, MATCH(ROUND(MIN(300,MAX(1,D530)),0), FactorTable!$A$2:$A$301,0), Skills!M17+1)</f>
        <v/>
      </c>
      <c r="F530">
        <f>IF(Skills!N17=TRUE,(Skills!L17/10)*(E530/1000),Skills!L17/10)+Skills!O17</f>
        <v/>
      </c>
      <c r="G530">
        <f>Skills!G17*IF(Skills!H17&gt;0,Skills!I17/Skills!H17,1)</f>
        <v/>
      </c>
      <c r="H530">
        <f>1-(1-Skills!J17/100)^Skills!K17</f>
        <v/>
      </c>
      <c r="I530" t="inlineStr">
        <is>
          <t>1</t>
        </is>
      </c>
      <c r="J530" t="inlineStr"/>
      <c r="K530" t="inlineStr"/>
      <c r="L530" t="inlineStr"/>
      <c r="M530" t="inlineStr"/>
      <c r="N530" t="inlineStr"/>
      <c r="O530" t="n">
        <v>0</v>
      </c>
      <c r="P530">
        <f>IF(B550=0,0,O530/B550)</f>
        <v/>
      </c>
      <c r="Q530">
        <f>IFERROR(1/IF(Inputs!$B$4="pvp",15,MAX(0.1,Skills!D17-IF(Skills!E17=TRUE,Inputs!$B$31,0))),0)</f>
        <v/>
      </c>
      <c r="R530">
        <f>IF(AND(Inputs!$B$4&lt;&gt;"pvp",Inputs!$B$35&gt;0),(INT(Inputs!$B$35/IF(Inputs!$B$4="pvp",15,MAX(0.1,Skills!D17-IF(Skills!E17=TRUE,Inputs!$B$31,0))))+1),0)</f>
        <v/>
      </c>
      <c r="S530">
        <f>IFERROR(O530/N530,0)</f>
        <v/>
      </c>
    </row>
    <row r="531">
      <c r="A531">
        <f>Skills!A18</f>
        <v/>
      </c>
      <c r="B531">
        <f>Skills!B18</f>
        <v/>
      </c>
      <c r="C531">
        <f>Inputs!$B$3&gt;=72</f>
        <v/>
      </c>
      <c r="D531">
        <f>IF(Skills!C18=1,60+Inputs!$B$24+Inputs!$B$28,IF(Skills!C18=2,90+Inputs!$B$25+Inputs!$B$28,IF(Skills!C18=3,120+Inputs!$B$26+Inputs!$B$28,MAX(0,(Inputs!$B$3-100)*3)+Inputs!$B$27+Inputs!$B$28)))</f>
        <v/>
      </c>
      <c r="E531">
        <f>INDEX(FactorTable!$B$2:$Y$301, MATCH(ROUND(MIN(300,MAX(1,D531)),0), FactorTable!$A$2:$A$301,0), Skills!M18+1)</f>
        <v/>
      </c>
      <c r="F531">
        <f>IF(Skills!N18=TRUE,(Skills!L18/10)*(E531/1000),Skills!L18/10)+Skills!O18</f>
        <v/>
      </c>
      <c r="G531">
        <f>Skills!G18*IF(Skills!H18&gt;0,Skills!I18/Skills!H18,1)</f>
        <v/>
      </c>
      <c r="H531">
        <f>1-(1-Skills!J18/100)^Skills!K18</f>
        <v/>
      </c>
      <c r="I531" t="inlineStr">
        <is>
          <t>1</t>
        </is>
      </c>
      <c r="J531" t="inlineStr"/>
      <c r="K531" t="inlineStr"/>
      <c r="L531" t="inlineStr"/>
      <c r="M531" t="inlineStr"/>
      <c r="N531" t="inlineStr"/>
      <c r="O531" t="n">
        <v>0</v>
      </c>
      <c r="P531">
        <f>IF(B550=0,0,O531/B550)</f>
        <v/>
      </c>
      <c r="Q531">
        <f>IFERROR(1/IF(Inputs!$B$4="pvp",15,MAX(0.1,Skills!D18-IF(Skills!E18=TRUE,Inputs!$B$31,0))),0)</f>
        <v/>
      </c>
      <c r="R531">
        <f>IF(AND(Inputs!$B$4&lt;&gt;"pvp",Inputs!$B$35&gt;0),(INT(Inputs!$B$35/IF(Inputs!$B$4="pvp",15,MAX(0.1,Skills!D18-IF(Skills!E18=TRUE,Inputs!$B$31,0))))+1),0)</f>
        <v/>
      </c>
      <c r="S531">
        <f>IFERROR(O531/N531,0)</f>
        <v/>
      </c>
    </row>
    <row r="532">
      <c r="A532">
        <f>Skills!A19</f>
        <v/>
      </c>
      <c r="B532">
        <f>Skills!B19</f>
        <v/>
      </c>
      <c r="C532">
        <f>Inputs!$B$3&gt;=72</f>
        <v/>
      </c>
      <c r="D532">
        <f>IF(Skills!C19=1,60+Inputs!$B$24+Inputs!$B$28,IF(Skills!C19=2,90+Inputs!$B$25+Inputs!$B$28,IF(Skills!C19=3,120+Inputs!$B$26+Inputs!$B$28,MAX(0,(Inputs!$B$3-100)*3)+Inputs!$B$27+Inputs!$B$28)))</f>
        <v/>
      </c>
      <c r="E532">
        <f>INDEX(FactorTable!$B$2:$Y$301, MATCH(ROUND(MIN(300,MAX(1,D532)),0), FactorTable!$A$2:$A$301,0), Skills!M19+1)</f>
        <v/>
      </c>
      <c r="F532">
        <f>IF(Skills!N19=TRUE,(Skills!L19/10)*(E532/1000),Skills!L19/10)+Skills!O19</f>
        <v/>
      </c>
      <c r="G532">
        <f>Skills!G19*IF(Skills!H19&gt;0,Skills!I19/Skills!H19,1)</f>
        <v/>
      </c>
      <c r="H532">
        <f>1-(1-Skills!J19/100)^Skills!K19</f>
        <v/>
      </c>
      <c r="I532" t="inlineStr">
        <is>
          <t>1</t>
        </is>
      </c>
      <c r="J532" t="inlineStr"/>
      <c r="K532" t="inlineStr"/>
      <c r="L532" t="inlineStr"/>
      <c r="M532" t="inlineStr"/>
      <c r="N532" t="inlineStr"/>
      <c r="O532" t="n">
        <v>0</v>
      </c>
      <c r="P532">
        <f>IF(B550=0,0,O532/B550)</f>
        <v/>
      </c>
      <c r="Q532">
        <f>IFERROR(1/IF(Inputs!$B$4="pvp",15,MAX(0.1,Skills!D19-IF(Skills!E19=TRUE,Inputs!$B$31,0))),0)</f>
        <v/>
      </c>
      <c r="R532">
        <f>IF(AND(Inputs!$B$4&lt;&gt;"pvp",Inputs!$B$35&gt;0),(INT(Inputs!$B$35/IF(Inputs!$B$4="pvp",15,MAX(0.1,Skills!D19-IF(Skills!E19=TRUE,Inputs!$B$31,0))))+1),0)</f>
        <v/>
      </c>
      <c r="S532">
        <f>IFERROR(O532/N532,0)</f>
        <v/>
      </c>
    </row>
    <row r="533">
      <c r="A533">
        <f>Skills!A20</f>
        <v/>
      </c>
      <c r="B533">
        <f>Skills!B20</f>
        <v/>
      </c>
      <c r="C533">
        <f>TRUE</f>
        <v/>
      </c>
      <c r="D533">
        <f>IF(Skills!C20=1,60+Inputs!$B$24+Inputs!$B$28,IF(Skills!C20=2,90+Inputs!$B$25+Inputs!$B$28,IF(Skills!C20=3,120+Inputs!$B$26+Inputs!$B$28,MAX(0,(Inputs!$B$3-100)*3)+Inputs!$B$27+Inputs!$B$28)))</f>
        <v/>
      </c>
      <c r="E533">
        <f>INDEX(FactorTable!$B$2:$Y$301, MATCH(ROUND(MIN(300,MAX(1,D533)),0), FactorTable!$A$2:$A$301,0), Skills!M20+1)</f>
        <v/>
      </c>
      <c r="F533">
        <f>IF(Skills!N20=TRUE,(Skills!L20/10)*(E533/1000),Skills!L20/10)+Skills!O20</f>
        <v/>
      </c>
      <c r="G533">
        <f>Skills!G20*IF(Skills!H20&gt;0,Skills!I20/Skills!H20,1)</f>
        <v/>
      </c>
      <c r="H533">
        <f>1-(1-Skills!J20/100)^Skills!K20</f>
        <v/>
      </c>
      <c r="I533" t="inlineStr">
        <is>
          <t>1</t>
        </is>
      </c>
      <c r="J533" t="inlineStr"/>
      <c r="K533" t="inlineStr"/>
      <c r="L533" t="inlineStr"/>
      <c r="M533" t="inlineStr"/>
      <c r="N533" t="inlineStr"/>
      <c r="O533" t="n">
        <v>0</v>
      </c>
      <c r="P533">
        <f>IF(B550=0,0,O533/B550)</f>
        <v/>
      </c>
      <c r="Q533">
        <f>IFERROR(1/IF(Inputs!$B$4="pvp",15,MAX(0.1,Skills!D20-IF(Skills!E20=TRUE,Inputs!$B$31,0))),0)</f>
        <v/>
      </c>
      <c r="R533">
        <f>IF(AND(Inputs!$B$4&lt;&gt;"pvp",Inputs!$B$35&gt;0),(INT(Inputs!$B$35/IF(Inputs!$B$4="pvp",15,MAX(0.1,Skills!D20-IF(Skills!E20=TRUE,Inputs!$B$31,0))))+1),0)</f>
        <v/>
      </c>
      <c r="S533">
        <f>IFERROR(O533/N533,0)</f>
        <v/>
      </c>
    </row>
    <row r="534">
      <c r="A534">
        <f>Skills!A21</f>
        <v/>
      </c>
      <c r="B534">
        <f>Skills!B21</f>
        <v/>
      </c>
      <c r="C534">
        <f>Inputs!$B$3&gt;=33</f>
        <v/>
      </c>
      <c r="D534">
        <f>IF(Skills!C21=1,60+Inputs!$B$24+Inputs!$B$28,IF(Skills!C21=2,90+Inputs!$B$25+Inputs!$B$28,IF(Skills!C21=3,120+Inputs!$B$26+Inputs!$B$28,MAX(0,(Inputs!$B$3-100)*3)+Inputs!$B$27+Inputs!$B$28)))</f>
        <v/>
      </c>
      <c r="E534">
        <f>INDEX(FactorTable!$B$2:$Y$301, MATCH(ROUND(MIN(300,MAX(1,D534)),0), FactorTable!$A$2:$A$301,0), Skills!M21+1)</f>
        <v/>
      </c>
      <c r="F534">
        <f>IF(Skills!N21=TRUE,(Skills!L21/10)*(E534/1000),Skills!L21/10)+Skills!O21</f>
        <v/>
      </c>
      <c r="G534">
        <f>Skills!G21*IF(Skills!H21&gt;0,Skills!I21/Skills!H21,1)</f>
        <v/>
      </c>
      <c r="H534">
        <f>1-(1-Skills!J21/100)^Skills!K21</f>
        <v/>
      </c>
      <c r="I534" t="inlineStr">
        <is>
          <t>1</t>
        </is>
      </c>
      <c r="J534" t="inlineStr"/>
      <c r="K534" t="inlineStr"/>
      <c r="L534" t="inlineStr"/>
      <c r="M534" t="inlineStr"/>
      <c r="N534" t="inlineStr"/>
      <c r="O534" t="n">
        <v>0</v>
      </c>
      <c r="P534">
        <f>IF(B550=0,0,O534/B550)</f>
        <v/>
      </c>
      <c r="Q534" t="n">
        <v>0</v>
      </c>
      <c r="R534" t="n">
        <v>0</v>
      </c>
      <c r="S534">
        <f>IFERROR(O534/N534,0)</f>
        <v/>
      </c>
    </row>
    <row r="535">
      <c r="A535">
        <f>Skills!A22</f>
        <v/>
      </c>
      <c r="B535">
        <f>Skills!B22</f>
        <v/>
      </c>
      <c r="C535">
        <f>Inputs!$B$3&gt;=43</f>
        <v/>
      </c>
      <c r="D535">
        <f>IF(Skills!C22=1,60+Inputs!$B$24+Inputs!$B$28,IF(Skills!C22=2,90+Inputs!$B$25+Inputs!$B$28,IF(Skills!C22=3,120+Inputs!$B$26+Inputs!$B$28,MAX(0,(Inputs!$B$3-100)*3)+Inputs!$B$27+Inputs!$B$28)))</f>
        <v/>
      </c>
      <c r="E535">
        <f>INDEX(FactorTable!$B$2:$Y$301, MATCH(ROUND(MIN(300,MAX(1,D535)),0), FactorTable!$A$2:$A$301,0), Skills!M22+1)</f>
        <v/>
      </c>
      <c r="F535">
        <f>IF(Skills!N22=TRUE,(Skills!L22/10)*(E535/1000),Skills!L22/10)+Skills!O22</f>
        <v/>
      </c>
      <c r="G535">
        <f>Skills!G22*IF(Skills!H22&gt;0,Skills!I22/Skills!H22,1)</f>
        <v/>
      </c>
      <c r="H535">
        <f>1-(1-Skills!J22/100)^Skills!K22</f>
        <v/>
      </c>
      <c r="I535" t="inlineStr">
        <is>
          <t>1</t>
        </is>
      </c>
      <c r="J535" t="inlineStr"/>
      <c r="K535" t="inlineStr"/>
      <c r="L535" t="inlineStr"/>
      <c r="M535" t="inlineStr"/>
      <c r="N535" t="inlineStr"/>
      <c r="O535" t="n">
        <v>0</v>
      </c>
      <c r="P535">
        <f>IF(B550=0,0,O535/B550)</f>
        <v/>
      </c>
      <c r="Q535" t="n">
        <v>0</v>
      </c>
      <c r="R535" t="n">
        <v>0</v>
      </c>
      <c r="S535">
        <f>IFERROR(O535/N535,0)</f>
        <v/>
      </c>
    </row>
    <row r="536">
      <c r="A536">
        <f>Skills!A23</f>
        <v/>
      </c>
      <c r="B536">
        <f>Skills!B23</f>
        <v/>
      </c>
      <c r="C536">
        <f>Inputs!$B$3&gt;=120</f>
        <v/>
      </c>
      <c r="D536">
        <f>IF(Skills!C23=1,60+Inputs!$B$24+Inputs!$B$28,IF(Skills!C23=2,90+Inputs!$B$25+Inputs!$B$28,IF(Skills!C23=3,120+Inputs!$B$26+Inputs!$B$28,MAX(0,(Inputs!$B$3-100)*3)+Inputs!$B$27+Inputs!$B$28)))</f>
        <v/>
      </c>
      <c r="E536">
        <f>INDEX(FactorTable!$B$2:$Y$301, MATCH(ROUND(MIN(300,MAX(1,D536)),0), FactorTable!$A$2:$A$301,0), Skills!M23+1)</f>
        <v/>
      </c>
      <c r="F536">
        <f>IF(Skills!N23=TRUE,(Skills!L23/10)*(E536/1000),Skills!L23/10)+Skills!O23</f>
        <v/>
      </c>
      <c r="G536">
        <f>Skills!G23*IF(Skills!H23&gt;0,Skills!I23/Skills!H23,1)</f>
        <v/>
      </c>
      <c r="H536">
        <f>1-(1-Skills!J23/100)^Skills!K23</f>
        <v/>
      </c>
      <c r="I536" t="inlineStr">
        <is>
          <t>1</t>
        </is>
      </c>
      <c r="J536" t="inlineStr"/>
      <c r="K536" t="inlineStr"/>
      <c r="L536" t="inlineStr"/>
      <c r="M536" t="inlineStr"/>
      <c r="N536" t="inlineStr"/>
      <c r="O536" t="n">
        <v>0</v>
      </c>
      <c r="P536">
        <f>IF(B550=0,0,O536/B550)</f>
        <v/>
      </c>
      <c r="Q536" t="n">
        <v>0</v>
      </c>
      <c r="R536" t="n">
        <v>0</v>
      </c>
      <c r="S536">
        <f>IFERROR(O536/N536,0)</f>
        <v/>
      </c>
    </row>
    <row r="537">
      <c r="A537">
        <f>Skills!A24</f>
        <v/>
      </c>
      <c r="B537">
        <f>Skills!B24</f>
        <v/>
      </c>
      <c r="C537">
        <f>Inputs!$B$3&gt;=120</f>
        <v/>
      </c>
      <c r="D537">
        <f>IF(Skills!C24=1,60+Inputs!$B$24+Inputs!$B$28,IF(Skills!C24=2,90+Inputs!$B$25+Inputs!$B$28,IF(Skills!C24=3,120+Inputs!$B$26+Inputs!$B$28,MAX(0,(Inputs!$B$3-100)*3)+Inputs!$B$27+Inputs!$B$28)))</f>
        <v/>
      </c>
      <c r="E537">
        <f>INDEX(FactorTable!$B$2:$Y$301, MATCH(ROUND(MIN(300,MAX(1,D537)),0), FactorTable!$A$2:$A$301,0), Skills!M24+1)</f>
        <v/>
      </c>
      <c r="F537">
        <f>IF(Skills!N24=TRUE,(Skills!L24/10)*(E537/1000),Skills!L24/10)+Skills!O24</f>
        <v/>
      </c>
      <c r="G537">
        <f>Skills!G24*IF(Skills!H24&gt;0,Skills!I24/Skills!H24,1)</f>
        <v/>
      </c>
      <c r="H537">
        <f>1-(1-Skills!J24/100)^Skills!K24</f>
        <v/>
      </c>
      <c r="I537" t="inlineStr">
        <is>
          <t>1</t>
        </is>
      </c>
      <c r="J537" t="inlineStr"/>
      <c r="K537" t="inlineStr"/>
      <c r="L537" t="inlineStr"/>
      <c r="M537" t="inlineStr"/>
      <c r="N537" t="inlineStr"/>
      <c r="O537" t="n">
        <v>0</v>
      </c>
      <c r="P537">
        <f>IF(B550=0,0,O537/B550)</f>
        <v/>
      </c>
      <c r="Q537" t="n">
        <v>0</v>
      </c>
      <c r="R537" t="n">
        <v>0</v>
      </c>
      <c r="S537">
        <f>IFERROR(O537/N537,0)</f>
        <v/>
      </c>
    </row>
    <row r="538">
      <c r="A538">
        <f>Skills!A25</f>
        <v/>
      </c>
      <c r="B538">
        <f>Skills!B25</f>
        <v/>
      </c>
      <c r="C538">
        <f>Inputs!$B$3&gt;=125</f>
        <v/>
      </c>
      <c r="D538">
        <f>IF(Skills!C25=1,60+Inputs!$B$24+Inputs!$B$28,IF(Skills!C25=2,90+Inputs!$B$25+Inputs!$B$28,IF(Skills!C25=3,120+Inputs!$B$26+Inputs!$B$28,MAX(0,(Inputs!$B$3-100)*3)+Inputs!$B$27+Inputs!$B$28)))</f>
        <v/>
      </c>
      <c r="E538">
        <f>INDEX(FactorTable!$B$2:$Y$301, MATCH(ROUND(MIN(300,MAX(1,D538)),0), FactorTable!$A$2:$A$301,0), Skills!M25+1)</f>
        <v/>
      </c>
      <c r="F538">
        <f>IF(Skills!N25=TRUE,(Skills!L25/10)*(E538/1000),Skills!L25/10)+Skills!O25</f>
        <v/>
      </c>
      <c r="G538">
        <f>Skills!G25*IF(Skills!H25&gt;0,Skills!I25/Skills!H25,1)</f>
        <v/>
      </c>
      <c r="H538">
        <f>1-(1-Skills!J25/100)^Skills!K25</f>
        <v/>
      </c>
      <c r="I538" t="inlineStr">
        <is>
          <t>1</t>
        </is>
      </c>
      <c r="J538" t="inlineStr"/>
      <c r="K538" t="inlineStr"/>
      <c r="L538" t="inlineStr"/>
      <c r="M538" t="inlineStr"/>
      <c r="N538" t="inlineStr"/>
      <c r="O538" t="n">
        <v>0</v>
      </c>
      <c r="P538">
        <f>IF(B550=0,0,O538/B550)</f>
        <v/>
      </c>
      <c r="Q538" t="n">
        <v>0</v>
      </c>
      <c r="R538" t="n">
        <v>0</v>
      </c>
      <c r="S538">
        <f>IFERROR(O538/N538,0)</f>
        <v/>
      </c>
    </row>
    <row r="539">
      <c r="A539">
        <f>Skills!A26</f>
        <v/>
      </c>
      <c r="B539">
        <f>Skills!B26</f>
        <v/>
      </c>
      <c r="C539">
        <f>Inputs!$B$3&gt;=107</f>
        <v/>
      </c>
      <c r="D539">
        <f>IF(Skills!C26=1,60+Inputs!$B$24+Inputs!$B$28,IF(Skills!C26=2,90+Inputs!$B$25+Inputs!$B$28,IF(Skills!C26=3,120+Inputs!$B$26+Inputs!$B$28,MAX(0,(Inputs!$B$3-100)*3)+Inputs!$B$27+Inputs!$B$28)))</f>
        <v/>
      </c>
      <c r="E539">
        <f>INDEX(FactorTable!$B$2:$Y$301, MATCH(ROUND(MIN(300,MAX(1,D539)),0), FactorTable!$A$2:$A$301,0), Skills!M26+1)</f>
        <v/>
      </c>
      <c r="F539">
        <f>IF(Skills!N26=TRUE,(Skills!L26/10)*(E539/1000),Skills!L26/10)+Skills!O26</f>
        <v/>
      </c>
      <c r="G539">
        <f>Skills!G26*IF(Skills!H26&gt;0,Skills!I26/Skills!H26,1)</f>
        <v/>
      </c>
      <c r="H539">
        <f>1-(1-Skills!J26/100)^Skills!K26</f>
        <v/>
      </c>
      <c r="I539" t="inlineStr">
        <is>
          <t>1</t>
        </is>
      </c>
      <c r="J539" t="inlineStr"/>
      <c r="K539" t="inlineStr"/>
      <c r="L539" t="inlineStr"/>
      <c r="M539" t="inlineStr"/>
      <c r="N539" t="inlineStr"/>
      <c r="O539" t="n">
        <v>0</v>
      </c>
      <c r="P539">
        <f>IF(B550=0,0,O539/B550)</f>
        <v/>
      </c>
      <c r="Q539" t="n">
        <v>0</v>
      </c>
      <c r="R539" t="n">
        <v>0</v>
      </c>
      <c r="S539">
        <f>IFERROR(O539/N539,0)</f>
        <v/>
      </c>
    </row>
    <row r="541">
      <c r="A541" t="inlineStr">
        <is>
          <t>Attack% Bucket Multiplier</t>
        </is>
      </c>
      <c r="B541">
        <f>(1+(((C526=TRUE)*F526*IF(AND(Inputs!$B$4&lt;&gt;"pvp",Inputs!$B$35&gt;0),(((S526-1)*(Skills!T13*(1+Inputs!$B$33/100))+MIN((Skills!T13*(1+Inputs!$B$33/100)),MAX(0,Inputs!$B$35-((S526-1)*Skills!D13))))/Inputs!$B$35),IF(Inputs!$B$4="pvp",MIN((Skills!T13*(1+Inputs!$B$33/100)),15)/15,(Skills!T13*(1+Inputs!$B$33/100))/Skills!D13)))+((C527=TRUE)*F527*IF(AND(Inputs!$B$4&lt;&gt;"pvp",Inputs!$B$35&gt;0),(((S527-1)*(Skills!T14*(1+Inputs!$B$33/100))+MIN((Skills!T14*(1+Inputs!$B$33/100)),MAX(0,Inputs!$B$35-((S527-1)*Skills!D14))))/Inputs!$B$35),IF(Inputs!$B$4="pvp",MIN((Skills!T14*(1+Inputs!$B$33/100)),15)/15,(Skills!T14*(1+Inputs!$B$33/100))/Skills!D14)))+((C528=TRUE)*F528*IF(AND(Inputs!$B$4&lt;&gt;"pvp",Inputs!$B$35&gt;0),(((S528-1)*(Skills!T15*(1+Inputs!$B$33/100))+MIN((Skills!T15*(1+Inputs!$B$33/100)),MAX(0,Inputs!$B$35-((S528-1)*Skills!D15))))/Inputs!$B$35),IF(Inputs!$B$4="pvp",MIN((Skills!T15*(1+Inputs!$B$33/100)),15)/15,(Skills!T15*(1+Inputs!$B$33/100))/Skills!D15)))+((C529=TRUE)*F529*IF(AND(Inputs!$B$4&lt;&gt;"pvp",Inputs!$B$35&gt;0),(((S529-1)*(Skills!T16*(1+Inputs!$B$33/100))+MIN((Skills!T16*(1+Inputs!$B$33/100)),MAX(0,Inputs!$B$35-((S529-1)*Skills!D16))))/Inputs!$B$35),IF(Inputs!$B$4="pvp",MIN((Skills!T16*(1+Inputs!$B$33/100)),15)/15,(Skills!T16*(1+Inputs!$B$33/100))/Skills!D16)))+0)/100)</f>
        <v/>
      </c>
    </row>
    <row r="542">
      <c r="A542" t="inlineStr">
        <is>
          <t>Global Crit Rate Bonus % (Lord of Darkness)</t>
        </is>
      </c>
      <c r="B542">
        <f>((C531=TRUE)*F531*(Skills!J18/100)*IF(AND(Inputs!$B$4&lt;&gt;"pvp",Inputs!$B$35&gt;0),(((S531-1)*(Skills!T18*(1+Inputs!$B$33/100))+MIN((Skills!T18*(1+Inputs!$B$33/100)),MAX(0,Inputs!$B$35-((S531-1)*Skills!D18))))/Inputs!$B$35),IF(Inputs!$B$4="pvp",MIN((Skills!T18*(1+Inputs!$B$33/100)),15)/15,(Skills!T18*(1+Inputs!$B$33/100))/Skills!D18)))</f>
        <v/>
      </c>
    </row>
    <row r="543">
      <c r="A543" t="inlineStr">
        <is>
          <t>Attack Speed Buff Bonus %</t>
        </is>
      </c>
      <c r="B543">
        <f>((C533=TRUE)*F533*IF(AND(Inputs!$B$4&lt;&gt;"pvp",Inputs!$B$35&gt;0),(((S533-1)*(Skills!T20*(1+Inputs!$B$33/100))+MIN((Skills!T20*(1+Inputs!$B$33/100)),MAX(0,Inputs!$B$35-((S533-1)*Skills!D20))))/Inputs!$B$35),IF(Inputs!$B$4="pvp",MIN((Skills!T20*(1+Inputs!$B$33/100)),15)/15,(Skills!T20*(1+Inputs!$B$33/100))/Skills!D20)))</f>
        <v/>
      </c>
    </row>
    <row r="544">
      <c r="A544" t="inlineStr">
        <is>
          <t>Actions Per Second</t>
        </is>
      </c>
      <c r="B544">
        <f>1+MIN(150,150*(1-(1-(((1-(1-Inputs!$B$10/150)*(1-1/150))*150)+((C534=TRUE)*(F534-Calc!F21)))/150)*(1-B543/150)))/100</f>
        <v/>
      </c>
    </row>
    <row r="545">
      <c r="A545" t="inlineStr">
        <is>
          <t>Skill + Buff Cast Rate</t>
        </is>
      </c>
      <c r="B545">
        <f>IF(AND(Inputs!$B$4&lt;&gt;"pvp",Inputs!$B$35&gt;0),SUMPRODUCT((Skills!E2:E26=TRUE)*(C515:C539=TRUE)*R515:R539*Skills!F2:F26)/Inputs!$B$35,SUMPRODUCT((Skills!E2:E26=TRUE)*(C515:C539=TRUE)*Q515:Q539*Skills!F2:F26))</f>
        <v/>
      </c>
    </row>
    <row r="546">
      <c r="A546" t="inlineStr">
        <is>
          <t>Dark Impale Casts Per Second</t>
        </is>
      </c>
      <c r="B546">
        <f>MAX(0,B544-B545)</f>
        <v/>
      </c>
    </row>
    <row r="547">
      <c r="A547" t="inlineStr">
        <is>
          <t>Global Critical Damage Bonus % (Lord of Darkness)</t>
        </is>
      </c>
      <c r="B547">
        <f>((C532=TRUE)*F532*(Skills!J19/100)*IF(AND(Inputs!$B$4&lt;&gt;"pvp",Inputs!$B$35&gt;0),(((S532-1)*(Skills!T19*(1+Inputs!$B$33/100))+MIN((Skills!T19*(1+Inputs!$B$33/100)),MAX(0,Inputs!$B$35-((S532-1)*Skills!D19))))/Inputs!$B$35),IF(Inputs!$B$4="pvp",MIN((Skills!T19*(1+Inputs!$B$33/100)),15)/15,(Skills!T19*(1+Inputs!$B$33/100))/Skills!D19)))</f>
        <v/>
      </c>
    </row>
    <row r="548">
      <c r="A548" t="inlineStr">
        <is>
          <t>Global Final Damage Bonus % (unused)</t>
        </is>
      </c>
      <c r="B548" t="n">
        <v>0</v>
      </c>
    </row>
    <row r="550">
      <c r="A550" s="5" t="inlineStr">
        <is>
          <t>TOTAL DPS</t>
        </is>
      </c>
      <c r="B550" s="5">
        <f>SUM(O515:O539)</f>
        <v/>
      </c>
    </row>
    <row r="553">
      <c r="A553" s="5" t="inlineStr">
        <is>
          <t>Stat: DEF_PEN % (diminishing returns, factor 100)</t>
        </is>
      </c>
    </row>
    <row r="554">
      <c r="A554" s="8" t="inlineStr">
        <is>
          <t>Key</t>
        </is>
      </c>
      <c r="B554" s="8" t="inlineStr">
        <is>
          <t>Name</t>
        </is>
      </c>
      <c r="C554" s="8" t="inlineStr">
        <is>
          <t>Unlocked</t>
        </is>
      </c>
      <c r="D554" s="8" t="inlineStr">
        <is>
          <t>InputLevel</t>
        </is>
      </c>
      <c r="E554" s="8" t="inlineStr">
        <is>
          <t>Factor</t>
        </is>
      </c>
      <c r="F554" s="8" t="inlineStr">
        <is>
          <t>CoefficientPercent</t>
        </is>
      </c>
      <c r="G554" s="8" t="inlineStr">
        <is>
          <t>EffectiveHits</t>
        </is>
      </c>
      <c r="H554" s="8" t="inlineStr">
        <is>
          <t>ProcProbability</t>
        </is>
      </c>
      <c r="I554" s="8" t="inlineStr">
        <is>
          <t>MapleHeroMultiplier</t>
        </is>
      </c>
      <c r="J554" s="8" t="inlineStr">
        <is>
          <t>BaseDamage</t>
        </is>
      </c>
      <c r="K554" s="8" t="inlineStr">
        <is>
          <t>BaseHitDamage</t>
        </is>
      </c>
      <c r="L554" s="8" t="inlineStr">
        <is>
          <t>NonCritAvg</t>
        </is>
      </c>
      <c r="M554" s="8" t="inlineStr">
        <is>
          <t>CritAvg</t>
        </is>
      </c>
      <c r="N554" s="8" t="inlineStr">
        <is>
          <t>ExpectedDamage(perHit)</t>
        </is>
      </c>
      <c r="O554" s="8" t="inlineStr">
        <is>
          <t>DPS</t>
        </is>
      </c>
      <c r="P554" s="8" t="inlineStr">
        <is>
          <t>% of Total</t>
        </is>
      </c>
      <c r="Q554" s="8" t="inlineStr">
        <is>
          <t>InvCooldown</t>
        </is>
      </c>
      <c r="R554" s="8" t="inlineStr">
        <is>
          <t>CastsInFight</t>
        </is>
      </c>
      <c r="S554" s="8" t="inlineStr">
        <is>
          <t>HitRate(perSec)</t>
        </is>
      </c>
      <c r="U554" t="inlineStr">
        <is>
          <t>helpers</t>
        </is>
      </c>
    </row>
    <row r="555">
      <c r="A555">
        <f>Skills!A2</f>
        <v/>
      </c>
      <c r="B555">
        <f>Skills!B2</f>
        <v/>
      </c>
      <c r="C555">
        <f>Inputs!$B$3&gt;=100</f>
        <v/>
      </c>
      <c r="D555" t="inlineStr"/>
      <c r="E555" t="inlineStr"/>
      <c r="F555">
        <f>U557+Skills!O2</f>
        <v/>
      </c>
      <c r="G555">
        <f>Skills!G2*IF(Skills!H2&gt;0,Skills!I2/Skills!H2,1)</f>
        <v/>
      </c>
      <c r="H555">
        <f>1-(1-Skills!J2/100)^Skills!K2</f>
        <v/>
      </c>
      <c r="I555" t="inlineStr">
        <is>
          <t>1</t>
        </is>
      </c>
      <c r="J555">
        <f>(Inputs!$B$5*(1+Inputs!$B$6/100))*(F555/100)</f>
        <v/>
      </c>
      <c r="K555">
        <f>J555*(1+((Inputs!$B$11*(1+Inputs!$B$12/100))*0.01+Inputs!$B$13*0.0025)/100)*(1+Inputs!$B$14/100)*(1+IF(Inputs!$B$4="pvp",0,(1-Summary!$B$55)*(Inputs!$B$19+0+Skills!P2+((C570=TRUE)*F570*IF(AND(Inputs!$B$4&lt;&gt;"pvp",Inputs!$B$35&gt;0),(((S570-1)*(Skills!T17*(1+Inputs!$B$33/100))+MIN((Skills!T17*(1+Inputs!$B$33/100)),MAX(0,Inputs!$B$35-((S570-1)*Skills!D17))))/Inputs!$B$35),IF(Inputs!$B$4="pvp",MIN((Skills!T17*(1+Inputs!$B$33/100)),15)/15,(Skills!T17*(1+Inputs!$B$33/100))/Skills!D17)))+((C567=TRUE)*IF(Inputs!$B$4="pvp",20,(1-Summary!$B$55)*(20)+Summary!$B$55*(0))*IF(AND(Inputs!$B$4&lt;&gt;"pvp",Inputs!$B$35&gt;0),(((S567-1)*(Skills!T14*(1+Inputs!$B$33/100))+MIN((Skills!T14*(1+Inputs!$B$33/100)),MAX(0,Inputs!$B$35-((S567-1)*Skills!D14))))/Inputs!$B$35),IF(Inputs!$B$4="pvp",MIN((Skills!T14*(1+Inputs!$B$33/100)),15)/15,(Skills!T14*(1+Inputs!$B$33/100))/Skills!D14))))+Summary!$B$55*(Inputs!$B$20+Skills!Q2+((C570=TRUE)*F570*IF(AND(Inputs!$B$4&lt;&gt;"pvp",Inputs!$B$35&gt;0),(((S570-1)*(Skills!T17*(1+Inputs!$B$33/100))+MIN((Skills!T17*(1+Inputs!$B$33/100)),MAX(0,Inputs!$B$35-((S570-1)*Skills!D17))))/Inputs!$B$35),IF(Inputs!$B$4="pvp",MIN((Skills!T17*(1+Inputs!$B$33/100)),15)/15,(Skills!T17*(1+Inputs!$B$33/100))/Skills!D17)))))/100)*(1+Inputs!$B$15/100)*(5000/(6000+Inputs!$B$7*(1-(((1-(1-Inputs!$B$18/100)*(1-1/100))*100)+0)/100)))*(1+(Inputs!$B$23+((C578=TRUE)*(F578-Calc!F25))+((C579=TRUE)*(F579-Calc!F26))+B588)/100)*(1+(IF(Skills!A2="DARK_IMPALE",Inputs!$B$16+0,Inputs!$B$17+((C576=TRUE)*(F576-Calc!F23))))/100)*((1+(((C566=TRUE)*F566*IF(AND(Inputs!$B$4&lt;&gt;"pvp",Inputs!$B$35&gt;0),(((S566-1)*(Skills!T13*(1+Inputs!$B$33/100))+MIN((Skills!T13*(1+Inputs!$B$33/100)),MAX(0,Inputs!$B$35-((S566-1)*Skills!D13))))/Inputs!$B$35),IF(Inputs!$B$4="pvp",MIN((Skills!T13*(1+Inputs!$B$33/100)),15)/15,(Skills!T13*(1+Inputs!$B$33/100))/Skills!D13)))+((C567=TRUE)*F567*IF(AND(Inputs!$B$4&lt;&gt;"pvp",Inputs!$B$35&gt;0),(((S567-1)*(Skills!T14*(1+Inputs!$B$33/100))+MIN((Skills!T14*(1+Inputs!$B$33/100)),MAX(0,Inputs!$B$35-((S567-1)*Skills!D14))))/Inputs!$B$35),IF(Inputs!$B$4="pvp",MIN((Skills!T14*(1+Inputs!$B$33/100)),15)/15,(Skills!T14*(1+Inputs!$B$33/100))/Skills!D14)))+((C568=TRUE)*F568*IF(AND(Inputs!$B$4&lt;&gt;"pvp",Inputs!$B$35&gt;0),(((S568-1)*(Skills!T15*(1+Inputs!$B$33/100))+MIN((Skills!T15*(1+Inputs!$B$33/100)),MAX(0,Inputs!$B$35-((S568-1)*Skills!D15))))/Inputs!$B$35),IF(Inputs!$B$4="pvp",MIN((Skills!T15*(1+Inputs!$B$33/100)),15)/15,(Skills!T15*(1+Inputs!$B$33/100))/Skills!D15)))+((C569=TRUE)*F569*IF(AND(Inputs!$B$4&lt;&gt;"pvp",Inputs!$B$35&gt;0),(((S569-1)*(Skills!T16*(1+Inputs!$B$33/100))+MIN((Skills!T16*(1+Inputs!$B$33/100)),MAX(0,Inputs!$B$35-((S569-1)*Skills!D16))))/Inputs!$B$35),IF(Inputs!$B$4="pvp",MIN((Skills!T16*(1+Inputs!$B$33/100)),15)/15,(Skills!T16*(1+Inputs!$B$33/100))/Skills!D16)))+0)/100)*I555)</f>
        <v/>
      </c>
      <c r="L555">
        <f>K555*(MIN(Inputs!$B$21+((C575=TRUE)*(F575-Calc!F22)),Inputs!$B$22+((C577=TRUE)*(F577-Calc!F24)))/100+(Inputs!$B$22+((C577=TRUE)*(F577-Calc!F24)))/100)/2</f>
        <v/>
      </c>
      <c r="M555">
        <f>L555*(1+(Inputs!$B$9+0+B587)/100)</f>
        <v/>
      </c>
      <c r="N555">
        <f>L555*(1-MIN((Inputs!$B$8+0+B582),100)/100)+M555*(MIN((Inputs!$B$8+0+B582),100)/100)</f>
        <v/>
      </c>
      <c r="O555">
        <f>IF(C555,Skills!G2*N555*B586*IF(Inputs!$B$4="pvp",1,(1-Summary!$B$55)*(1)+Summary!$B$55*(MIN((6+Inputs!$B$32),Inputs!$B$37))),0)</f>
        <v/>
      </c>
      <c r="P555">
        <f>IF(B590=0,0,O555/B590)</f>
        <v/>
      </c>
      <c r="Q555" t="n">
        <v>0</v>
      </c>
      <c r="R555" t="n">
        <v>0</v>
      </c>
      <c r="S555">
        <f>IFERROR(O555/N555,0)</f>
        <v/>
      </c>
      <c r="U555">
        <f>MAX(0,(Inputs!$B$3-100)*3)+Inputs!$B$27+Inputs!$B$28</f>
        <v/>
      </c>
    </row>
    <row r="556">
      <c r="A556">
        <f>Skills!A3</f>
        <v/>
      </c>
      <c r="B556">
        <f>Skills!B3</f>
        <v/>
      </c>
      <c r="C556">
        <f>Inputs!$B$3&gt;=50</f>
        <v/>
      </c>
      <c r="D556">
        <f>IF(Skills!C3=1,60+Inputs!$B$24+Inputs!$B$28,IF(Skills!C3=2,90+Inputs!$B$25+Inputs!$B$28,IF(Skills!C3=3,120+Inputs!$B$26+Inputs!$B$28,MAX(0,(Inputs!$B$3-100)*3)+Inputs!$B$27+Inputs!$B$28)))</f>
        <v/>
      </c>
      <c r="E556">
        <f>INDEX(FactorTable!$B$2:$Y$301, MATCH(ROUND(MIN(300,MAX(1,D556)),0), FactorTable!$A$2:$A$301,0), Skills!M3+1)</f>
        <v/>
      </c>
      <c r="F556">
        <f>IF(Skills!N3=TRUE,(Skills!L3/10)*(E556/1000),Skills!L3/10)+Skills!O3</f>
        <v/>
      </c>
      <c r="G556" t="inlineStr"/>
      <c r="H556" t="inlineStr"/>
      <c r="I556" t="inlineStr">
        <is>
          <t>1</t>
        </is>
      </c>
      <c r="J556" t="inlineStr"/>
      <c r="K556" t="inlineStr"/>
      <c r="L556" t="inlineStr"/>
      <c r="M556" t="inlineStr"/>
      <c r="N556" t="inlineStr"/>
      <c r="O556" t="inlineStr"/>
      <c r="P556" t="inlineStr"/>
      <c r="Q556" t="inlineStr"/>
      <c r="R556" t="inlineStr"/>
      <c r="S556" t="inlineStr"/>
      <c r="U556">
        <f>INDEX(FactorTable!$B$2:$Y$301, MATCH(ROUND(MIN(300,MAX(1,U555)),0), FactorTable!$A$2:$A$301,0), 22)</f>
        <v/>
      </c>
    </row>
    <row r="557">
      <c r="A557">
        <f>Skills!A4</f>
        <v/>
      </c>
      <c r="B557">
        <f>Skills!B4</f>
        <v/>
      </c>
      <c r="C557">
        <f>Inputs!$B$3&gt;=105</f>
        <v/>
      </c>
      <c r="D557">
        <f>IF(Skills!C4=1,60+Inputs!$B$24+Inputs!$B$28,IF(Skills!C4=2,90+Inputs!$B$25+Inputs!$B$28,IF(Skills!C4=3,120+Inputs!$B$26+Inputs!$B$28,MAX(0,(Inputs!$B$3-100)*3)+Inputs!$B$27+Inputs!$B$28)))</f>
        <v/>
      </c>
      <c r="E557">
        <f>INDEX(FactorTable!$B$2:$Y$301, MATCH(ROUND(MIN(300,MAX(1,D557)),0), FactorTable!$A$2:$A$301,0), Skills!M4+1)</f>
        <v/>
      </c>
      <c r="F557">
        <f>IF(Skills!N4=TRUE,(Skills!L4/10)*(E557/1000),Skills!L4/10)+Skills!O4</f>
        <v/>
      </c>
      <c r="G557" t="inlineStr"/>
      <c r="H557" t="inlineStr"/>
      <c r="I557" t="inlineStr">
        <is>
          <t>1</t>
        </is>
      </c>
      <c r="J557" t="inlineStr"/>
      <c r="K557" t="inlineStr"/>
      <c r="L557" t="inlineStr"/>
      <c r="M557" t="inlineStr"/>
      <c r="N557" t="inlineStr"/>
      <c r="O557" t="inlineStr"/>
      <c r="P557" t="inlineStr"/>
      <c r="Q557" t="inlineStr"/>
      <c r="R557" t="inlineStr"/>
      <c r="S557" t="inlineStr"/>
      <c r="U557">
        <f>290*U556/1000</f>
        <v/>
      </c>
    </row>
    <row r="558">
      <c r="A558">
        <f>Skills!A5</f>
        <v/>
      </c>
      <c r="B558">
        <f>Skills!B5</f>
        <v/>
      </c>
      <c r="C558">
        <f>Inputs!$B$3&gt;=117</f>
        <v/>
      </c>
      <c r="D558">
        <f>IF(Skills!C5=1,60+Inputs!$B$24+Inputs!$B$28,IF(Skills!C5=2,90+Inputs!$B$25+Inputs!$B$28,IF(Skills!C5=3,120+Inputs!$B$26+Inputs!$B$28,MAX(0,(Inputs!$B$3-100)*3)+Inputs!$B$27+Inputs!$B$28)))</f>
        <v/>
      </c>
      <c r="E558">
        <f>INDEX(FactorTable!$B$2:$Y$301, MATCH(ROUND(MIN(300,MAX(1,D558)),0), FactorTable!$A$2:$A$301,0), Skills!M5+1)</f>
        <v/>
      </c>
      <c r="F558">
        <f>IF(Skills!N5=TRUE,(Skills!L5/10)*(E558/1000),Skills!L5/10)+Skills!O5</f>
        <v/>
      </c>
      <c r="G558">
        <f>Skills!G5*IF(Skills!H5&gt;0,Skills!I5/Skills!H5,1)</f>
        <v/>
      </c>
      <c r="H558">
        <f>1-(1-Skills!J5/100)^Skills!K5</f>
        <v/>
      </c>
      <c r="I558" t="inlineStr">
        <is>
          <t>1</t>
        </is>
      </c>
      <c r="J558">
        <f>(Inputs!$B$5*(1+Inputs!$B$6/100))*(F558/100)</f>
        <v/>
      </c>
      <c r="K558">
        <f>J558*(1+((Inputs!$B$11*(1+Inputs!$B$12/100))*0.01+Inputs!$B$13*0.0025)/100)*(1+Inputs!$B$14/100)*(1+IF(Inputs!$B$4="pvp",0,(1-Summary!$B$55)*(Inputs!$B$19+0+Skills!P5+((C570=TRUE)*F570*IF(AND(Inputs!$B$4&lt;&gt;"pvp",Inputs!$B$35&gt;0),(((S570-1)*(Skills!T17*(1+Inputs!$B$33/100))+MIN((Skills!T17*(1+Inputs!$B$33/100)),MAX(0,Inputs!$B$35-((S570-1)*Skills!D17))))/Inputs!$B$35),IF(Inputs!$B$4="pvp",MIN((Skills!T17*(1+Inputs!$B$33/100)),15)/15,(Skills!T17*(1+Inputs!$B$33/100))/Skills!D17)))+((C567=TRUE)*IF(Inputs!$B$4="pvp",20,(1-Summary!$B$55)*(20)+Summary!$B$55*(0))*IF(AND(Inputs!$B$4&lt;&gt;"pvp",Inputs!$B$35&gt;0),(((S567-1)*(Skills!T14*(1+Inputs!$B$33/100))+MIN((Skills!T14*(1+Inputs!$B$33/100)),MAX(0,Inputs!$B$35-((S567-1)*Skills!D14))))/Inputs!$B$35),IF(Inputs!$B$4="pvp",MIN((Skills!T14*(1+Inputs!$B$33/100)),15)/15,(Skills!T14*(1+Inputs!$B$33/100))/Skills!D14))))+Summary!$B$55*(Inputs!$B$20+Skills!Q5+((C570=TRUE)*F570*IF(AND(Inputs!$B$4&lt;&gt;"pvp",Inputs!$B$35&gt;0),(((S570-1)*(Skills!T17*(1+Inputs!$B$33/100))+MIN((Skills!T17*(1+Inputs!$B$33/100)),MAX(0,Inputs!$B$35-((S570-1)*Skills!D17))))/Inputs!$B$35),IF(Inputs!$B$4="pvp",MIN((Skills!T17*(1+Inputs!$B$33/100)),15)/15,(Skills!T17*(1+Inputs!$B$33/100))/Skills!D17)))))/100)*(1+Inputs!$B$15/100)*(5000/(6000+Inputs!$B$7*(1-(((1-(1-Inputs!$B$18/100)*(1-1/100))*100)+0)/100)))*(1+(Inputs!$B$23+((C578=TRUE)*(F578-Calc!F25))+((C579=TRUE)*(F579-Calc!F26))+B588)/100)*(1+(IF(Skills!A5="DARK_IMPALE",Inputs!$B$16+0,Inputs!$B$17+((C576=TRUE)*(F576-Calc!F23))))/100)*((1+(((C566=TRUE)*F566*IF(AND(Inputs!$B$4&lt;&gt;"pvp",Inputs!$B$35&gt;0),(((S566-1)*(Skills!T13*(1+Inputs!$B$33/100))+MIN((Skills!T13*(1+Inputs!$B$33/100)),MAX(0,Inputs!$B$35-((S566-1)*Skills!D13))))/Inputs!$B$35),IF(Inputs!$B$4="pvp",MIN((Skills!T13*(1+Inputs!$B$33/100)),15)/15,(Skills!T13*(1+Inputs!$B$33/100))/Skills!D13)))+((C567=TRUE)*F567*IF(AND(Inputs!$B$4&lt;&gt;"pvp",Inputs!$B$35&gt;0),(((S567-1)*(Skills!T14*(1+Inputs!$B$33/100))+MIN((Skills!T14*(1+Inputs!$B$33/100)),MAX(0,Inputs!$B$35-((S567-1)*Skills!D14))))/Inputs!$B$35),IF(Inputs!$B$4="pvp",MIN((Skills!T14*(1+Inputs!$B$33/100)),15)/15,(Skills!T14*(1+Inputs!$B$33/100))/Skills!D14)))+((C568=TRUE)*F568*IF(AND(Inputs!$B$4&lt;&gt;"pvp",Inputs!$B$35&gt;0),(((S568-1)*(Skills!T15*(1+Inputs!$B$33/100))+MIN((Skills!T15*(1+Inputs!$B$33/100)),MAX(0,Inputs!$B$35-((S568-1)*Skills!D15))))/Inputs!$B$35),IF(Inputs!$B$4="pvp",MIN((Skills!T15*(1+Inputs!$B$33/100)),15)/15,(Skills!T15*(1+Inputs!$B$33/100))/Skills!D15)))+((C569=TRUE)*F569*IF(AND(Inputs!$B$4&lt;&gt;"pvp",Inputs!$B$35&gt;0),(((S569-1)*(Skills!T16*(1+Inputs!$B$33/100))+MIN((Skills!T16*(1+Inputs!$B$33/100)),MAX(0,Inputs!$B$35-((S569-1)*Skills!D16))))/Inputs!$B$35),IF(Inputs!$B$4="pvp",MIN((Skills!T16*(1+Inputs!$B$33/100)),15)/15,(Skills!T16*(1+Inputs!$B$33/100))/Skills!D16)))+0)/100)*I558)</f>
        <v/>
      </c>
      <c r="L558">
        <f>K558*(MIN(Inputs!$B$21+((C575=TRUE)*(F575-Calc!F22)),Inputs!$B$22+((C577=TRUE)*(F577-Calc!F24)))/100+(Inputs!$B$22+((C577=TRUE)*(F577-Calc!F24)))/100)/2</f>
        <v/>
      </c>
      <c r="M558">
        <f>L558*(1+(Inputs!$B$9+0+B587)/100)</f>
        <v/>
      </c>
      <c r="N558">
        <f>L558*(1-MIN((Inputs!$B$8+0+B582),100)/100)+M558*(MIN((Inputs!$B$8+0+B582),100)/100)</f>
        <v/>
      </c>
      <c r="O558">
        <f>IF(C558,H558*N558*IF(AND(Inputs!$B$4&lt;&gt;"pvp",Inputs!$B$35&gt;0),((Skills!G5*((R558-1)*IF(Skills!H5&gt;0,Skills!I5/Skills!H5,1)+IF(Skills!H5&gt;0,MIN(Skills!I5,MAX(0,Inputs!$B$35-((R558-1)*IF(Inputs!$B$4="pvp",15,MAX(0.1,Skills!D5-IF(Skills!E5=TRUE,Inputs!$B$31,0))))))/Skills!H5,1)))/Inputs!$B$35),G558*Q558)*IF(Inputs!$B$4="pvp",1,(1-Summary!$B$55)*(1)+Summary!$B$55*(MIN(Skills!R5,Inputs!$B$37))),0)</f>
        <v/>
      </c>
      <c r="P558">
        <f>IF(B590=0,0,O558/B590)</f>
        <v/>
      </c>
      <c r="Q558">
        <f>IFERROR(1/IF(Inputs!$B$4="pvp",15,MAX(0.1,Skills!D5-IF(Skills!E5=TRUE,Inputs!$B$31,0))),0)</f>
        <v/>
      </c>
      <c r="R558">
        <f>IF(AND(Inputs!$B$4&lt;&gt;"pvp",Inputs!$B$35&gt;0),(INT(Inputs!$B$35/IF(Inputs!$B$4="pvp",15,MAX(0.1,Skills!D5-IF(Skills!E5=TRUE,Inputs!$B$31,0))))+1),0)</f>
        <v/>
      </c>
      <c r="S558">
        <f>IFERROR(O558/N558,0)</f>
        <v/>
      </c>
    </row>
    <row r="559">
      <c r="A559">
        <f>Skills!A6</f>
        <v/>
      </c>
      <c r="B559">
        <f>Skills!B6</f>
        <v/>
      </c>
      <c r="C559">
        <f>Inputs!$B$3&gt;=103</f>
        <v/>
      </c>
      <c r="D559">
        <f>IF(Skills!C6=1,60+Inputs!$B$24+Inputs!$B$28,IF(Skills!C6=2,90+Inputs!$B$25+Inputs!$B$28,IF(Skills!C6=3,120+Inputs!$B$26+Inputs!$B$28,MAX(0,(Inputs!$B$3-100)*3)+Inputs!$B$27+Inputs!$B$28)))</f>
        <v/>
      </c>
      <c r="E559">
        <f>INDEX(FactorTable!$B$2:$Y$301, MATCH(ROUND(MIN(300,MAX(1,D559)),0), FactorTable!$A$2:$A$301,0), Skills!M6+1)</f>
        <v/>
      </c>
      <c r="F559">
        <f>IF(Skills!N6=TRUE,(Skills!L6/10)*(E559/1000),Skills!L6/10)+Skills!O6</f>
        <v/>
      </c>
      <c r="G559">
        <f>Skills!G6*IF(Skills!H6&gt;0,Skills!I6/Skills!H6,1)</f>
        <v/>
      </c>
      <c r="H559">
        <f>1-(1-Skills!J6/100)^Skills!K6</f>
        <v/>
      </c>
      <c r="I559" t="inlineStr">
        <is>
          <t>1</t>
        </is>
      </c>
      <c r="J559">
        <f>(Inputs!$B$5*(1+Inputs!$B$6/100))*(F559/100)</f>
        <v/>
      </c>
      <c r="K559">
        <f>J559*(1+((Inputs!$B$11*(1+Inputs!$B$12/100))*0.01+Inputs!$B$13*0.0025)/100)*(1+Inputs!$B$14/100)*(1+IF(Inputs!$B$4="pvp",0,(1-Summary!$B$55)*(Inputs!$B$19+0+Skills!P6+((C570=TRUE)*F570*IF(AND(Inputs!$B$4&lt;&gt;"pvp",Inputs!$B$35&gt;0),(((S570-1)*(Skills!T17*(1+Inputs!$B$33/100))+MIN((Skills!T17*(1+Inputs!$B$33/100)),MAX(0,Inputs!$B$35-((S570-1)*Skills!D17))))/Inputs!$B$35),IF(Inputs!$B$4="pvp",MIN((Skills!T17*(1+Inputs!$B$33/100)),15)/15,(Skills!T17*(1+Inputs!$B$33/100))/Skills!D17)))+((C567=TRUE)*IF(Inputs!$B$4="pvp",20,(1-Summary!$B$55)*(20)+Summary!$B$55*(0))*IF(AND(Inputs!$B$4&lt;&gt;"pvp",Inputs!$B$35&gt;0),(((S567-1)*(Skills!T14*(1+Inputs!$B$33/100))+MIN((Skills!T14*(1+Inputs!$B$33/100)),MAX(0,Inputs!$B$35-((S567-1)*Skills!D14))))/Inputs!$B$35),IF(Inputs!$B$4="pvp",MIN((Skills!T14*(1+Inputs!$B$33/100)),15)/15,(Skills!T14*(1+Inputs!$B$33/100))/Skills!D14))))+Summary!$B$55*(Inputs!$B$20+Skills!Q6+((C570=TRUE)*F570*IF(AND(Inputs!$B$4&lt;&gt;"pvp",Inputs!$B$35&gt;0),(((S570-1)*(Skills!T17*(1+Inputs!$B$33/100))+MIN((Skills!T17*(1+Inputs!$B$33/100)),MAX(0,Inputs!$B$35-((S570-1)*Skills!D17))))/Inputs!$B$35),IF(Inputs!$B$4="pvp",MIN((Skills!T17*(1+Inputs!$B$33/100)),15)/15,(Skills!T17*(1+Inputs!$B$33/100))/Skills!D17)))))/100)*(1+Inputs!$B$15/100)*(5000/(6000+Inputs!$B$7*(1-(((1-(1-Inputs!$B$18/100)*(1-1/100))*100)+0)/100)))*(1+(Inputs!$B$23+((C578=TRUE)*(F578-Calc!F25))+((C579=TRUE)*(F579-Calc!F26))+B588)/100)*(1+(IF(Skills!A6="DARK_IMPALE",Inputs!$B$16+0,Inputs!$B$17+((C576=TRUE)*(F576-Calc!F23))))/100)*((1+(((C566=TRUE)*F566*IF(AND(Inputs!$B$4&lt;&gt;"pvp",Inputs!$B$35&gt;0),(((S566-1)*(Skills!T13*(1+Inputs!$B$33/100))+MIN((Skills!T13*(1+Inputs!$B$33/100)),MAX(0,Inputs!$B$35-((S566-1)*Skills!D13))))/Inputs!$B$35),IF(Inputs!$B$4="pvp",MIN((Skills!T13*(1+Inputs!$B$33/100)),15)/15,(Skills!T13*(1+Inputs!$B$33/100))/Skills!D13)))+((C567=TRUE)*F567*IF(AND(Inputs!$B$4&lt;&gt;"pvp",Inputs!$B$35&gt;0),(((S567-1)*(Skills!T14*(1+Inputs!$B$33/100))+MIN((Skills!T14*(1+Inputs!$B$33/100)),MAX(0,Inputs!$B$35-((S567-1)*Skills!D14))))/Inputs!$B$35),IF(Inputs!$B$4="pvp",MIN((Skills!T14*(1+Inputs!$B$33/100)),15)/15,(Skills!T14*(1+Inputs!$B$33/100))/Skills!D14)))+((C568=TRUE)*F568*IF(AND(Inputs!$B$4&lt;&gt;"pvp",Inputs!$B$35&gt;0),(((S568-1)*(Skills!T15*(1+Inputs!$B$33/100))+MIN((Skills!T15*(1+Inputs!$B$33/100)),MAX(0,Inputs!$B$35-((S568-1)*Skills!D15))))/Inputs!$B$35),IF(Inputs!$B$4="pvp",MIN((Skills!T15*(1+Inputs!$B$33/100)),15)/15,(Skills!T15*(1+Inputs!$B$33/100))/Skills!D15)))+((C569=TRUE)*F569*IF(AND(Inputs!$B$4&lt;&gt;"pvp",Inputs!$B$35&gt;0),(((S569-1)*(Skills!T16*(1+Inputs!$B$33/100))+MIN((Skills!T16*(1+Inputs!$B$33/100)),MAX(0,Inputs!$B$35-((S569-1)*Skills!D16))))/Inputs!$B$35),IF(Inputs!$B$4="pvp",MIN((Skills!T16*(1+Inputs!$B$33/100)),15)/15,(Skills!T16*(1+Inputs!$B$33/100))/Skills!D16)))+0)/100)*I559)</f>
        <v/>
      </c>
      <c r="L559">
        <f>K559*(MIN(Inputs!$B$21+((C575=TRUE)*(F575-Calc!F22)),Inputs!$B$22+((C577=TRUE)*(F577-Calc!F24)))/100+(Inputs!$B$22+((C577=TRUE)*(F577-Calc!F24)))/100)/2</f>
        <v/>
      </c>
      <c r="M559">
        <f>L559*(1+(Inputs!$B$9+0+B587)/100)</f>
        <v/>
      </c>
      <c r="N559">
        <f>L559*(1-MIN((Inputs!$B$8+0+B582),100)/100)+M559*(MIN((Inputs!$B$8+0+B582),100)/100)</f>
        <v/>
      </c>
      <c r="O559">
        <f>IF(C559,H559*N559*IF(AND(Inputs!$B$4&lt;&gt;"pvp",Inputs!$B$35&gt;0),((Skills!G6*((R559-1)*IF(Skills!H6&gt;0,Skills!I6/Skills!H6,1)+IF(Skills!H6&gt;0,MIN(Skills!I6,MAX(0,Inputs!$B$35-((R559-1)*IF(Inputs!$B$4="pvp",15,MAX(0.1,Skills!D6-IF(Skills!E6=TRUE,Inputs!$B$31,0))))))/Skills!H6,1)))/Inputs!$B$35),G559*Q559)*IF(Inputs!$B$4="pvp",1,(1-Summary!$B$55)*(1)+Summary!$B$55*(MIN(Skills!R6,Inputs!$B$37))),0)</f>
        <v/>
      </c>
      <c r="P559">
        <f>IF(B590=0,0,O559/B590)</f>
        <v/>
      </c>
      <c r="Q559">
        <f>IFERROR(1/IF(Inputs!$B$4="pvp",15,MAX(0.1,Skills!D6-IF(Skills!E6=TRUE,Inputs!$B$31,0))),0)</f>
        <v/>
      </c>
      <c r="R559">
        <f>IF(AND(Inputs!$B$4&lt;&gt;"pvp",Inputs!$B$35&gt;0),(INT(Inputs!$B$35/IF(Inputs!$B$4="pvp",15,MAX(0.1,Skills!D6-IF(Skills!E6=TRUE,Inputs!$B$31,0))))+1),0)</f>
        <v/>
      </c>
      <c r="S559">
        <f>IFERROR(O559/N559,0)</f>
        <v/>
      </c>
    </row>
    <row r="560">
      <c r="A560">
        <f>Skills!A7</f>
        <v/>
      </c>
      <c r="B560">
        <f>Skills!B7</f>
        <v/>
      </c>
      <c r="C560">
        <f>Inputs!$B$3&gt;=40</f>
        <v/>
      </c>
      <c r="D560">
        <f>IF(Skills!C7=1,60+Inputs!$B$24+Inputs!$B$28,IF(Skills!C7=2,90+Inputs!$B$25+Inputs!$B$28,IF(Skills!C7=3,120+Inputs!$B$26+Inputs!$B$28,MAX(0,(Inputs!$B$3-100)*3)+Inputs!$B$27+Inputs!$B$28)))</f>
        <v/>
      </c>
      <c r="E560">
        <f>INDEX(FactorTable!$B$2:$Y$301, MATCH(ROUND(MIN(300,MAX(1,D560)),0), FactorTable!$A$2:$A$301,0), Skills!M7+1)</f>
        <v/>
      </c>
      <c r="F560">
        <f>IF(Skills!N7=TRUE,(Skills!L7/10)*(E560/1000),Skills!L7/10)+Skills!O7</f>
        <v/>
      </c>
      <c r="G560">
        <f>Skills!G7*IF(Skills!H7&gt;0,Skills!I7/Skills!H7,1)</f>
        <v/>
      </c>
      <c r="H560">
        <f>1-(1-Skills!J7/100)^Skills!K7</f>
        <v/>
      </c>
      <c r="I560" t="inlineStr">
        <is>
          <t>1</t>
        </is>
      </c>
      <c r="J560">
        <f>(Inputs!$B$5*(1+Inputs!$B$6/100))*(F560/100)</f>
        <v/>
      </c>
      <c r="K560">
        <f>J560*(1+((Inputs!$B$11*(1+Inputs!$B$12/100))*0.01+Inputs!$B$13*0.0025)/100)*(1+Inputs!$B$14/100)*(1+IF(Inputs!$B$4="pvp",0,(1-Summary!$B$55)*(Inputs!$B$19+0+Skills!P7+((C570=TRUE)*F570*IF(AND(Inputs!$B$4&lt;&gt;"pvp",Inputs!$B$35&gt;0),(((S570-1)*(Skills!T17*(1+Inputs!$B$33/100))+MIN((Skills!T17*(1+Inputs!$B$33/100)),MAX(0,Inputs!$B$35-((S570-1)*Skills!D17))))/Inputs!$B$35),IF(Inputs!$B$4="pvp",MIN((Skills!T17*(1+Inputs!$B$33/100)),15)/15,(Skills!T17*(1+Inputs!$B$33/100))/Skills!D17)))+((C567=TRUE)*IF(Inputs!$B$4="pvp",20,(1-Summary!$B$55)*(20)+Summary!$B$55*(0))*IF(AND(Inputs!$B$4&lt;&gt;"pvp",Inputs!$B$35&gt;0),(((S567-1)*(Skills!T14*(1+Inputs!$B$33/100))+MIN((Skills!T14*(1+Inputs!$B$33/100)),MAX(0,Inputs!$B$35-((S567-1)*Skills!D14))))/Inputs!$B$35),IF(Inputs!$B$4="pvp",MIN((Skills!T14*(1+Inputs!$B$33/100)),15)/15,(Skills!T14*(1+Inputs!$B$33/100))/Skills!D14))))+Summary!$B$55*(Inputs!$B$20+Skills!Q7+((C570=TRUE)*F570*IF(AND(Inputs!$B$4&lt;&gt;"pvp",Inputs!$B$35&gt;0),(((S570-1)*(Skills!T17*(1+Inputs!$B$33/100))+MIN((Skills!T17*(1+Inputs!$B$33/100)),MAX(0,Inputs!$B$35-((S570-1)*Skills!D17))))/Inputs!$B$35),IF(Inputs!$B$4="pvp",MIN((Skills!T17*(1+Inputs!$B$33/100)),15)/15,(Skills!T17*(1+Inputs!$B$33/100))/Skills!D17)))))/100)*(1+Inputs!$B$15/100)*(5000/(6000+Inputs!$B$7*(1-(((1-(1-Inputs!$B$18/100)*(1-1/100))*100)+0)/100)))*(1+(Inputs!$B$23+((C578=TRUE)*(F578-Calc!F25))+((C579=TRUE)*(F579-Calc!F26))+B588)/100)*(1+0.75*IF(C564=TRUE,F564,0)/100)*(1+(IF(Skills!A7="DARK_IMPALE",Inputs!$B$16+0,Inputs!$B$17+((C576=TRUE)*(F576-Calc!F23))))/100)*((1+(((C566=TRUE)*F566*IF(AND(Inputs!$B$4&lt;&gt;"pvp",Inputs!$B$35&gt;0),(((S566-1)*(Skills!T13*(1+Inputs!$B$33/100))+MIN((Skills!T13*(1+Inputs!$B$33/100)),MAX(0,Inputs!$B$35-((S566-1)*Skills!D13))))/Inputs!$B$35),IF(Inputs!$B$4="pvp",MIN((Skills!T13*(1+Inputs!$B$33/100)),15)/15,(Skills!T13*(1+Inputs!$B$33/100))/Skills!D13)))+((C567=TRUE)*F567*IF(AND(Inputs!$B$4&lt;&gt;"pvp",Inputs!$B$35&gt;0),(((S567-1)*(Skills!T14*(1+Inputs!$B$33/100))+MIN((Skills!T14*(1+Inputs!$B$33/100)),MAX(0,Inputs!$B$35-((S567-1)*Skills!D14))))/Inputs!$B$35),IF(Inputs!$B$4="pvp",MIN((Skills!T14*(1+Inputs!$B$33/100)),15)/15,(Skills!T14*(1+Inputs!$B$33/100))/Skills!D14)))+((C568=TRUE)*F568*IF(AND(Inputs!$B$4&lt;&gt;"pvp",Inputs!$B$35&gt;0),(((S568-1)*(Skills!T15*(1+Inputs!$B$33/100))+MIN((Skills!T15*(1+Inputs!$B$33/100)),MAX(0,Inputs!$B$35-((S568-1)*Skills!D15))))/Inputs!$B$35),IF(Inputs!$B$4="pvp",MIN((Skills!T15*(1+Inputs!$B$33/100)),15)/15,(Skills!T15*(1+Inputs!$B$33/100))/Skills!D15)))+((C569=TRUE)*F569*IF(AND(Inputs!$B$4&lt;&gt;"pvp",Inputs!$B$35&gt;0),(((S569-1)*(Skills!T16*(1+Inputs!$B$33/100))+MIN((Skills!T16*(1+Inputs!$B$33/100)),MAX(0,Inputs!$B$35-((S569-1)*Skills!D16))))/Inputs!$B$35),IF(Inputs!$B$4="pvp",MIN((Skills!T16*(1+Inputs!$B$33/100)),15)/15,(Skills!T16*(1+Inputs!$B$33/100))/Skills!D16)))+0)/100)*I560)</f>
        <v/>
      </c>
      <c r="L560">
        <f>K560*(MIN(Inputs!$B$21+((C575=TRUE)*(F575-Calc!F22)),Inputs!$B$22+((C577=TRUE)*(F577-Calc!F24)))/100+(Inputs!$B$22+((C577=TRUE)*(F577-Calc!F24)))/100)/2</f>
        <v/>
      </c>
      <c r="M560">
        <f>L560*(1+(Inputs!$B$9+0+B587)/100)</f>
        <v/>
      </c>
      <c r="N560">
        <f>L560*(1-MIN((Inputs!$B$8+0+B582),100)/100)+M560*(MIN((Inputs!$B$8+0+B582),100)/100)</f>
        <v/>
      </c>
      <c r="O560">
        <f>IF(C560,H560*N560*IF(AND(Inputs!$B$4&lt;&gt;"pvp",Inputs!$B$35&gt;0),((Skills!G7*((R560-1)*IF(Skills!H7&gt;0,Skills!I7/Skills!H7,1)+IF(Skills!H7&gt;0,MIN(Skills!I7,MAX(0,Inputs!$B$35-((R560-1)*IF(Inputs!$B$4="pvp",15,MAX(0.1,Skills!D7-IF(Skills!E7=TRUE,Inputs!$B$31,0))))))/Skills!H7,1)))/Inputs!$B$35),G560*Q560)*IF(Inputs!$B$4="pvp",1,(1-Summary!$B$55)*(1)+Summary!$B$55*(MIN(Skills!R7,Inputs!$B$37))),0)</f>
        <v/>
      </c>
      <c r="P560">
        <f>IF(B590=0,0,O560/B590)</f>
        <v/>
      </c>
      <c r="Q560">
        <f>IFERROR(1/IF(Inputs!$B$4="pvp",15,MAX(0.1,Skills!D7-IF(Skills!E7=TRUE,Inputs!$B$31,0))),0)</f>
        <v/>
      </c>
      <c r="R560">
        <f>IF(AND(Inputs!$B$4&lt;&gt;"pvp",Inputs!$B$35&gt;0),(INT(Inputs!$B$35/IF(Inputs!$B$4="pvp",15,MAX(0.1,Skills!D7-IF(Skills!E7=TRUE,Inputs!$B$31,0))))+1),0)</f>
        <v/>
      </c>
      <c r="S560">
        <f>IFERROR(O560/N560,0)</f>
        <v/>
      </c>
    </row>
    <row r="561">
      <c r="A561">
        <f>Skills!A8</f>
        <v/>
      </c>
      <c r="B561">
        <f>Skills!B8</f>
        <v/>
      </c>
      <c r="C561">
        <f>Inputs!$B$3&gt;=75</f>
        <v/>
      </c>
      <c r="D561">
        <f>IF(Skills!C8=1,60+Inputs!$B$24+Inputs!$B$28,IF(Skills!C8=2,90+Inputs!$B$25+Inputs!$B$28,IF(Skills!C8=3,120+Inputs!$B$26+Inputs!$B$28,MAX(0,(Inputs!$B$3-100)*3)+Inputs!$B$27+Inputs!$B$28)))</f>
        <v/>
      </c>
      <c r="E561">
        <f>INDEX(FactorTable!$B$2:$Y$301, MATCH(ROUND(MIN(300,MAX(1,D561)),0), FactorTable!$A$2:$A$301,0), Skills!M8+1)</f>
        <v/>
      </c>
      <c r="F561">
        <f>IF(Skills!N8=TRUE,(Skills!L8/10)*(E561/1000),Skills!L8/10)+Skills!O8</f>
        <v/>
      </c>
      <c r="G561" t="inlineStr"/>
      <c r="H561" t="inlineStr"/>
      <c r="I561" t="inlineStr">
        <is>
          <t>1</t>
        </is>
      </c>
      <c r="J561" t="inlineStr"/>
      <c r="K561" t="inlineStr"/>
      <c r="L561" t="inlineStr"/>
      <c r="M561" t="inlineStr"/>
      <c r="N561" t="inlineStr"/>
      <c r="O561" t="inlineStr"/>
      <c r="P561" t="inlineStr"/>
      <c r="Q561" t="inlineStr"/>
      <c r="R561" t="inlineStr"/>
      <c r="S561" t="inlineStr"/>
    </row>
    <row r="562">
      <c r="A562">
        <f>Skills!A9</f>
        <v/>
      </c>
      <c r="B562">
        <f>Skills!B9</f>
        <v/>
      </c>
      <c r="C562">
        <f>Inputs!$B$3&gt;=60</f>
        <v/>
      </c>
      <c r="D562">
        <f>IF(Skills!C9=1,60+Inputs!$B$24+Inputs!$B$28,IF(Skills!C9=2,90+Inputs!$B$25+Inputs!$B$28,IF(Skills!C9=3,120+Inputs!$B$26+Inputs!$B$28,MAX(0,(Inputs!$B$3-100)*3)+Inputs!$B$27+Inputs!$B$28)))</f>
        <v/>
      </c>
      <c r="E562">
        <f>INDEX(FactorTable!$B$2:$Y$301, MATCH(ROUND(MIN(300,MAX(1,D562)),0), FactorTable!$A$2:$A$301,0), Skills!M9+1)</f>
        <v/>
      </c>
      <c r="F562">
        <f>IF(Skills!N9=TRUE,(Skills!L9/10)*(E562/1000),Skills!L9/10)+Skills!O9</f>
        <v/>
      </c>
      <c r="G562">
        <f>Skills!G9*IF(Skills!H9&gt;0,Skills!I9/Skills!H9,1)</f>
        <v/>
      </c>
      <c r="H562">
        <f>1-(1-Skills!J9/100)^Skills!K9</f>
        <v/>
      </c>
      <c r="I562" t="inlineStr">
        <is>
          <t>1</t>
        </is>
      </c>
      <c r="J562">
        <f>(Inputs!$B$5*(1+Inputs!$B$6/100))*(F562/100)</f>
        <v/>
      </c>
      <c r="K562">
        <f>J562*(1+((Inputs!$B$11*(1+Inputs!$B$12/100))*0.01+Inputs!$B$13*0.0025)/100)*(1+Inputs!$B$14/100)*(1+IF(Inputs!$B$4="pvp",0,(1-Summary!$B$55)*(Inputs!$B$19+0+Skills!P9+((C570=TRUE)*F570*IF(AND(Inputs!$B$4&lt;&gt;"pvp",Inputs!$B$35&gt;0),(((S570-1)*(Skills!T17*(1+Inputs!$B$33/100))+MIN((Skills!T17*(1+Inputs!$B$33/100)),MAX(0,Inputs!$B$35-((S570-1)*Skills!D17))))/Inputs!$B$35),IF(Inputs!$B$4="pvp",MIN((Skills!T17*(1+Inputs!$B$33/100)),15)/15,(Skills!T17*(1+Inputs!$B$33/100))/Skills!D17)))+((C567=TRUE)*IF(Inputs!$B$4="pvp",20,(1-Summary!$B$55)*(20)+Summary!$B$55*(0))*IF(AND(Inputs!$B$4&lt;&gt;"pvp",Inputs!$B$35&gt;0),(((S567-1)*(Skills!T14*(1+Inputs!$B$33/100))+MIN((Skills!T14*(1+Inputs!$B$33/100)),MAX(0,Inputs!$B$35-((S567-1)*Skills!D14))))/Inputs!$B$35),IF(Inputs!$B$4="pvp",MIN((Skills!T14*(1+Inputs!$B$33/100)),15)/15,(Skills!T14*(1+Inputs!$B$33/100))/Skills!D14))))+Summary!$B$55*(Inputs!$B$20+Skills!Q9+((C570=TRUE)*F570*IF(AND(Inputs!$B$4&lt;&gt;"pvp",Inputs!$B$35&gt;0),(((S570-1)*(Skills!T17*(1+Inputs!$B$33/100))+MIN((Skills!T17*(1+Inputs!$B$33/100)),MAX(0,Inputs!$B$35-((S570-1)*Skills!D17))))/Inputs!$B$35),IF(Inputs!$B$4="pvp",MIN((Skills!T17*(1+Inputs!$B$33/100)),15)/15,(Skills!T17*(1+Inputs!$B$33/100))/Skills!D17)))))/100)*(1+Inputs!$B$15/100)*(5000/(6000+Inputs!$B$7*(1-(((1-(1-Inputs!$B$18/100)*(1-1/100))*100)+0)/100)))*(1+(Inputs!$B$23+((C578=TRUE)*(F578-Calc!F25))+((C579=TRUE)*(F579-Calc!F26))+B588)/100)*(1+1.0*IF(C564=TRUE,F564,0)/100)*(1+(IF(Skills!A9="DARK_IMPALE",Inputs!$B$16+0,Inputs!$B$17+((C576=TRUE)*(F576-Calc!F23))))/100)*((1+(((C566=TRUE)*F566*IF(AND(Inputs!$B$4&lt;&gt;"pvp",Inputs!$B$35&gt;0),(((S566-1)*(Skills!T13*(1+Inputs!$B$33/100))+MIN((Skills!T13*(1+Inputs!$B$33/100)),MAX(0,Inputs!$B$35-((S566-1)*Skills!D13))))/Inputs!$B$35),IF(Inputs!$B$4="pvp",MIN((Skills!T13*(1+Inputs!$B$33/100)),15)/15,(Skills!T13*(1+Inputs!$B$33/100))/Skills!D13)))+((C567=TRUE)*F567*IF(AND(Inputs!$B$4&lt;&gt;"pvp",Inputs!$B$35&gt;0),(((S567-1)*(Skills!T14*(1+Inputs!$B$33/100))+MIN((Skills!T14*(1+Inputs!$B$33/100)),MAX(0,Inputs!$B$35-((S567-1)*Skills!D14))))/Inputs!$B$35),IF(Inputs!$B$4="pvp",MIN((Skills!T14*(1+Inputs!$B$33/100)),15)/15,(Skills!T14*(1+Inputs!$B$33/100))/Skills!D14)))+((C568=TRUE)*F568*IF(AND(Inputs!$B$4&lt;&gt;"pvp",Inputs!$B$35&gt;0),(((S568-1)*(Skills!T15*(1+Inputs!$B$33/100))+MIN((Skills!T15*(1+Inputs!$B$33/100)),MAX(0,Inputs!$B$35-((S568-1)*Skills!D15))))/Inputs!$B$35),IF(Inputs!$B$4="pvp",MIN((Skills!T15*(1+Inputs!$B$33/100)),15)/15,(Skills!T15*(1+Inputs!$B$33/100))/Skills!D15)))+((C569=TRUE)*F569*IF(AND(Inputs!$B$4&lt;&gt;"pvp",Inputs!$B$35&gt;0),(((S569-1)*(Skills!T16*(1+Inputs!$B$33/100))+MIN((Skills!T16*(1+Inputs!$B$33/100)),MAX(0,Inputs!$B$35-((S569-1)*Skills!D16))))/Inputs!$B$35),IF(Inputs!$B$4="pvp",MIN((Skills!T16*(1+Inputs!$B$33/100)),15)/15,(Skills!T16*(1+Inputs!$B$33/100))/Skills!D16)))+0)/100)*I562)</f>
        <v/>
      </c>
      <c r="L562">
        <f>K562*(MIN(Inputs!$B$21+((C575=TRUE)*(F575-Calc!F22)),Inputs!$B$22+((C577=TRUE)*(F577-Calc!F24)))/100+(Inputs!$B$22+((C577=TRUE)*(F577-Calc!F24)))/100)/2</f>
        <v/>
      </c>
      <c r="M562">
        <f>L562*(1+(Inputs!$B$9+0+B587)/100)</f>
        <v/>
      </c>
      <c r="N562">
        <f>L562*(1-MIN((Inputs!$B$8+0+B582),100)/100)+M562*(MIN((Inputs!$B$8+0+B582),100)/100)</f>
        <v/>
      </c>
      <c r="O562">
        <f>IF(C562,H562*N562*IF(AND(Inputs!$B$4&lt;&gt;"pvp",Inputs!$B$35&gt;0),((Skills!G9*((R562-1)*IF(Skills!H9&gt;0,Skills!I9/Skills!H9,1)+IF(Skills!H9&gt;0,MIN(Skills!I9,MAX(0,Inputs!$B$35-((R562-1)*IF(Inputs!$B$4="pvp",15,MAX(0.1,Skills!D9-IF(Skills!E9=TRUE,Inputs!$B$31,0))))))/Skills!H9,1)))/Inputs!$B$35),G562*Q562)*IF(Inputs!$B$4="pvp",1,(1-Summary!$B$55)*(1)+Summary!$B$55*(MIN(Skills!R9,Inputs!$B$37))),0)</f>
        <v/>
      </c>
      <c r="P562">
        <f>IF(B590=0,0,O562/B590)</f>
        <v/>
      </c>
      <c r="Q562">
        <f>IFERROR(1/IF(Inputs!$B$4="pvp",15,MAX(0.1,Skills!D9-IF(Skills!E9=TRUE,Inputs!$B$31,0))),0)</f>
        <v/>
      </c>
      <c r="R562">
        <f>IF(AND(Inputs!$B$4&lt;&gt;"pvp",Inputs!$B$35&gt;0),(INT(Inputs!$B$35/IF(Inputs!$B$4="pvp",15,MAX(0.1,Skills!D9-IF(Skills!E9=TRUE,Inputs!$B$31,0))))+1),0)</f>
        <v/>
      </c>
      <c r="S562">
        <f>IFERROR(O562/N562,0)</f>
        <v/>
      </c>
    </row>
    <row r="563">
      <c r="A563">
        <f>Skills!A10</f>
        <v/>
      </c>
      <c r="B563">
        <f>Skills!B10</f>
        <v/>
      </c>
      <c r="C563">
        <f>Inputs!$B$3&gt;=110</f>
        <v/>
      </c>
      <c r="D563">
        <f>IF(Skills!C10=1,60+Inputs!$B$24+Inputs!$B$28,IF(Skills!C10=2,90+Inputs!$B$25+Inputs!$B$28,IF(Skills!C10=3,120+Inputs!$B$26+Inputs!$B$28,MAX(0,(Inputs!$B$3-100)*3)+Inputs!$B$27+Inputs!$B$28)))</f>
        <v/>
      </c>
      <c r="E563">
        <f>INDEX(FactorTable!$B$2:$Y$301, MATCH(ROUND(MIN(300,MAX(1,D563)),0), FactorTable!$A$2:$A$301,0), Skills!M10+1)</f>
        <v/>
      </c>
      <c r="F563">
        <f>IF(Skills!N10=TRUE,(Skills!L10/10)*(E563/1000),Skills!L10/10)+Skills!O10</f>
        <v/>
      </c>
      <c r="G563">
        <f>Skills!G10*IF(Skills!H10&gt;0,Skills!I10/Skills!H10,1)</f>
        <v/>
      </c>
      <c r="H563">
        <f>1-(1-Skills!J10/100)^Skills!K10</f>
        <v/>
      </c>
      <c r="I563" t="inlineStr">
        <is>
          <t>1</t>
        </is>
      </c>
      <c r="J563">
        <f>(Inputs!$B$5*(1+Inputs!$B$6/100))*(F563/100)</f>
        <v/>
      </c>
      <c r="K563">
        <f>J563*(1+((Inputs!$B$11*(1+Inputs!$B$12/100))*0.01+Inputs!$B$13*0.0025)/100)*(1+Inputs!$B$14/100)*(1+IF(Inputs!$B$4="pvp",0,(1-Summary!$B$55)*(Inputs!$B$19+0+Skills!P10+((C570=TRUE)*F570*IF(AND(Inputs!$B$4&lt;&gt;"pvp",Inputs!$B$35&gt;0),(((S570-1)*(Skills!T17*(1+Inputs!$B$33/100))+MIN((Skills!T17*(1+Inputs!$B$33/100)),MAX(0,Inputs!$B$35-((S570-1)*Skills!D17))))/Inputs!$B$35),IF(Inputs!$B$4="pvp",MIN((Skills!T17*(1+Inputs!$B$33/100)),15)/15,(Skills!T17*(1+Inputs!$B$33/100))/Skills!D17)))+((C567=TRUE)*IF(Inputs!$B$4="pvp",20,(1-Summary!$B$55)*(20)+Summary!$B$55*(0))*IF(AND(Inputs!$B$4&lt;&gt;"pvp",Inputs!$B$35&gt;0),(((S567-1)*(Skills!T14*(1+Inputs!$B$33/100))+MIN((Skills!T14*(1+Inputs!$B$33/100)),MAX(0,Inputs!$B$35-((S567-1)*Skills!D14))))/Inputs!$B$35),IF(Inputs!$B$4="pvp",MIN((Skills!T14*(1+Inputs!$B$33/100)),15)/15,(Skills!T14*(1+Inputs!$B$33/100))/Skills!D14))))+Summary!$B$55*(Inputs!$B$20+Skills!Q10+((C570=TRUE)*F570*IF(AND(Inputs!$B$4&lt;&gt;"pvp",Inputs!$B$35&gt;0),(((S570-1)*(Skills!T17*(1+Inputs!$B$33/100))+MIN((Skills!T17*(1+Inputs!$B$33/100)),MAX(0,Inputs!$B$35-((S570-1)*Skills!D17))))/Inputs!$B$35),IF(Inputs!$B$4="pvp",MIN((Skills!T17*(1+Inputs!$B$33/100)),15)/15,(Skills!T17*(1+Inputs!$B$33/100))/Skills!D17)))))/100)*(1+Inputs!$B$15/100)*(5000/(6000+Inputs!$B$7*(1-(((1-(1-Inputs!$B$18/100)*(1-1/100))*100)+0)/100)))*(1+(Inputs!$B$23+((C578=TRUE)*(F578-Calc!F25))+((C579=TRUE)*(F579-Calc!F26))+B588)/100)*(1+(IF(Skills!A10="DARK_IMPALE",Inputs!$B$16+0,Inputs!$B$17+((C576=TRUE)*(F576-Calc!F23))))/100)*((1+(((C566=TRUE)*F566*IF(AND(Inputs!$B$4&lt;&gt;"pvp",Inputs!$B$35&gt;0),(((S566-1)*(Skills!T13*(1+Inputs!$B$33/100))+MIN((Skills!T13*(1+Inputs!$B$33/100)),MAX(0,Inputs!$B$35-((S566-1)*Skills!D13))))/Inputs!$B$35),IF(Inputs!$B$4="pvp",MIN((Skills!T13*(1+Inputs!$B$33/100)),15)/15,(Skills!T13*(1+Inputs!$B$33/100))/Skills!D13)))+((C567=TRUE)*F567*IF(AND(Inputs!$B$4&lt;&gt;"pvp",Inputs!$B$35&gt;0),(((S567-1)*(Skills!T14*(1+Inputs!$B$33/100))+MIN((Skills!T14*(1+Inputs!$B$33/100)),MAX(0,Inputs!$B$35-((S567-1)*Skills!D14))))/Inputs!$B$35),IF(Inputs!$B$4="pvp",MIN((Skills!T14*(1+Inputs!$B$33/100)),15)/15,(Skills!T14*(1+Inputs!$B$33/100))/Skills!D14)))+((C568=TRUE)*F568*IF(AND(Inputs!$B$4&lt;&gt;"pvp",Inputs!$B$35&gt;0),(((S568-1)*(Skills!T15*(1+Inputs!$B$33/100))+MIN((Skills!T15*(1+Inputs!$B$33/100)),MAX(0,Inputs!$B$35-((S568-1)*Skills!D15))))/Inputs!$B$35),IF(Inputs!$B$4="pvp",MIN((Skills!T15*(1+Inputs!$B$33/100)),15)/15,(Skills!T15*(1+Inputs!$B$33/100))/Skills!D15)))+((C569=TRUE)*F569*IF(AND(Inputs!$B$4&lt;&gt;"pvp",Inputs!$B$35&gt;0),(((S569-1)*(Skills!T16*(1+Inputs!$B$33/100))+MIN((Skills!T16*(1+Inputs!$B$33/100)),MAX(0,Inputs!$B$35-((S569-1)*Skills!D16))))/Inputs!$B$35),IF(Inputs!$B$4="pvp",MIN((Skills!T16*(1+Inputs!$B$33/100)),15)/15,(Skills!T16*(1+Inputs!$B$33/100))/Skills!D16)))+0)/100)*I563)</f>
        <v/>
      </c>
      <c r="L563">
        <f>K563*(MIN(Inputs!$B$21+((C575=TRUE)*(F575-Calc!F22)),Inputs!$B$22+((C577=TRUE)*(F577-Calc!F24)))/100+(Inputs!$B$22+((C577=TRUE)*(F577-Calc!F24)))/100)/2</f>
        <v/>
      </c>
      <c r="M563">
        <f>L563*(1+(Inputs!$B$9+0+B587)/100)</f>
        <v/>
      </c>
      <c r="N563">
        <f>L563*(1-MIN((Inputs!$B$8+0+B582),100)/100)+M563*(MIN((Inputs!$B$8+0+B582),100)/100)</f>
        <v/>
      </c>
      <c r="O563">
        <f>IF(C563,H563*N563*IF(AND(Inputs!$B$4&lt;&gt;"pvp",Inputs!$B$35&gt;0),((Skills!G10*((R563-1)*IF(Skills!H10&gt;0,Skills!I10/Skills!H10,1)+IF(Skills!H10&gt;0,MIN(Skills!I10,MAX(0,Inputs!$B$35-((R563-1)*IF(Inputs!$B$4="pvp",15,MAX(0.1,Skills!D10-IF(Skills!E10=TRUE,Inputs!$B$31,0))))))/Skills!H10,1)))/Inputs!$B$35),G563*Q563)*IF(Inputs!$B$4="pvp",1,(1-Summary!$B$55)*(1)+Summary!$B$55*(MIN(Skills!R10,Inputs!$B$37))),0)</f>
        <v/>
      </c>
      <c r="P563">
        <f>IF(B590=0,0,O563/B590)</f>
        <v/>
      </c>
      <c r="Q563">
        <f>IFERROR(1/IF(Inputs!$B$4="pvp",15,MAX(0.1,Skills!D10-IF(Skills!E10=TRUE,Inputs!$B$31,0))),0)</f>
        <v/>
      </c>
      <c r="R563">
        <f>IF(AND(Inputs!$B$4&lt;&gt;"pvp",Inputs!$B$35&gt;0),(INT(Inputs!$B$35/IF(Inputs!$B$4="pvp",15,MAX(0.1,Skills!D10-IF(Skills!E10=TRUE,Inputs!$B$31,0))))+1),0)</f>
        <v/>
      </c>
      <c r="S563">
        <f>IFERROR(O563/N563,0)</f>
        <v/>
      </c>
    </row>
    <row r="564">
      <c r="A564">
        <f>Skills!A11</f>
        <v/>
      </c>
      <c r="B564">
        <f>Skills!B11</f>
        <v/>
      </c>
      <c r="C564">
        <f>Inputs!$B$3&gt;=100</f>
        <v/>
      </c>
      <c r="D564">
        <f>IF(Skills!C11=1,60+Inputs!$B$24+Inputs!$B$28,IF(Skills!C11=2,90+Inputs!$B$25+Inputs!$B$28,IF(Skills!C11=3,120+Inputs!$B$26+Inputs!$B$28,MAX(0,(Inputs!$B$3-100)*3)+Inputs!$B$27+Inputs!$B$28)))</f>
        <v/>
      </c>
      <c r="E564">
        <f>INDEX(FactorTable!$B$2:$Y$301, MATCH(ROUND(MIN(300,MAX(1,D564)),0), FactorTable!$A$2:$A$301,0), Skills!M11+1)</f>
        <v/>
      </c>
      <c r="F564">
        <f>IF(Skills!N11=TRUE,(Skills!L11/10)*(E564/1000),Skills!L11/10)+Skills!O11</f>
        <v/>
      </c>
      <c r="G564" t="inlineStr"/>
      <c r="H564" t="inlineStr"/>
      <c r="I564" t="inlineStr">
        <is>
          <t>1</t>
        </is>
      </c>
      <c r="J564" t="inlineStr"/>
      <c r="K564" t="inlineStr"/>
      <c r="L564" t="inlineStr"/>
      <c r="M564" t="inlineStr"/>
      <c r="N564" t="inlineStr"/>
      <c r="O564" t="inlineStr"/>
      <c r="P564" t="inlineStr"/>
      <c r="Q564" t="inlineStr"/>
      <c r="R564" t="inlineStr"/>
      <c r="S564" t="inlineStr"/>
    </row>
    <row r="565">
      <c r="A565">
        <f>Skills!A12</f>
        <v/>
      </c>
      <c r="B565">
        <f>Skills!B12</f>
        <v/>
      </c>
      <c r="C565">
        <f>Inputs!$B$3&gt;=63</f>
        <v/>
      </c>
      <c r="D565">
        <f>IF(Skills!C12=1,60+Inputs!$B$24+Inputs!$B$28,IF(Skills!C12=2,90+Inputs!$B$25+Inputs!$B$28,IF(Skills!C12=3,120+Inputs!$B$26+Inputs!$B$28,MAX(0,(Inputs!$B$3-100)*3)+Inputs!$B$27+Inputs!$B$28)))</f>
        <v/>
      </c>
      <c r="E565">
        <f>INDEX(FactorTable!$B$2:$Y$301, MATCH(ROUND(MIN(300,MAX(1,D565)),0), FactorTable!$A$2:$A$301,0), Skills!M12+1)</f>
        <v/>
      </c>
      <c r="F565">
        <f>IF(Skills!N12=TRUE,(Skills!L12/10)*(E565/1000),Skills!L12/10)+Skills!O12</f>
        <v/>
      </c>
      <c r="G565">
        <f>Skills!G12*IF(Skills!H12&gt;0,Skills!I12/Skills!H12,1)</f>
        <v/>
      </c>
      <c r="H565">
        <f>1-(1-Skills!J12/100)^Skills!K12</f>
        <v/>
      </c>
      <c r="I565" t="inlineStr">
        <is>
          <t>1</t>
        </is>
      </c>
      <c r="J565">
        <f>(Inputs!$B$5*(1+Inputs!$B$6/100))*(F565/100)</f>
        <v/>
      </c>
      <c r="K565">
        <f>J565*(1+((Inputs!$B$11*(1+Inputs!$B$12/100))*0.01+Inputs!$B$13*0.0025)/100)*(1+Inputs!$B$14/100)*(1+IF(Inputs!$B$4="pvp",0,(1-Summary!$B$55)*(Inputs!$B$19+0+Skills!P12+((C570=TRUE)*F570*IF(AND(Inputs!$B$4&lt;&gt;"pvp",Inputs!$B$35&gt;0),(((S570-1)*(Skills!T17*(1+Inputs!$B$33/100))+MIN((Skills!T17*(1+Inputs!$B$33/100)),MAX(0,Inputs!$B$35-((S570-1)*Skills!D17))))/Inputs!$B$35),IF(Inputs!$B$4="pvp",MIN((Skills!T17*(1+Inputs!$B$33/100)),15)/15,(Skills!T17*(1+Inputs!$B$33/100))/Skills!D17)))+((C567=TRUE)*IF(Inputs!$B$4="pvp",20,(1-Summary!$B$55)*(20)+Summary!$B$55*(0))*IF(AND(Inputs!$B$4&lt;&gt;"pvp",Inputs!$B$35&gt;0),(((S567-1)*(Skills!T14*(1+Inputs!$B$33/100))+MIN((Skills!T14*(1+Inputs!$B$33/100)),MAX(0,Inputs!$B$35-((S567-1)*Skills!D14))))/Inputs!$B$35),IF(Inputs!$B$4="pvp",MIN((Skills!T14*(1+Inputs!$B$33/100)),15)/15,(Skills!T14*(1+Inputs!$B$33/100))/Skills!D14))))+Summary!$B$55*(Inputs!$B$20+Skills!Q12+((C570=TRUE)*F570*IF(AND(Inputs!$B$4&lt;&gt;"pvp",Inputs!$B$35&gt;0),(((S570-1)*(Skills!T17*(1+Inputs!$B$33/100))+MIN((Skills!T17*(1+Inputs!$B$33/100)),MAX(0,Inputs!$B$35-((S570-1)*Skills!D17))))/Inputs!$B$35),IF(Inputs!$B$4="pvp",MIN((Skills!T17*(1+Inputs!$B$33/100)),15)/15,(Skills!T17*(1+Inputs!$B$33/100))/Skills!D17)))))/100)*(1+Inputs!$B$15/100)*(5000/(6000+Inputs!$B$7*(1-(((1-(1-Inputs!$B$18/100)*(1-1/100))*100)+0)/100)))*(1+(Inputs!$B$23+((C578=TRUE)*(F578-Calc!F25))+((C579=TRUE)*(F579-Calc!F26))+B588)/100)*(1+0.75*IF(C564=TRUE,F564,0)/100)*(1+(IF(Skills!A12="DARK_IMPALE",Inputs!$B$16+0,Inputs!$B$17+((C576=TRUE)*(F576-Calc!F23))))/100)*((1+(((C566=TRUE)*F566*IF(AND(Inputs!$B$4&lt;&gt;"pvp",Inputs!$B$35&gt;0),(((S566-1)*(Skills!T13*(1+Inputs!$B$33/100))+MIN((Skills!T13*(1+Inputs!$B$33/100)),MAX(0,Inputs!$B$35-((S566-1)*Skills!D13))))/Inputs!$B$35),IF(Inputs!$B$4="pvp",MIN((Skills!T13*(1+Inputs!$B$33/100)),15)/15,(Skills!T13*(1+Inputs!$B$33/100))/Skills!D13)))+((C567=TRUE)*F567*IF(AND(Inputs!$B$4&lt;&gt;"pvp",Inputs!$B$35&gt;0),(((S567-1)*(Skills!T14*(1+Inputs!$B$33/100))+MIN((Skills!T14*(1+Inputs!$B$33/100)),MAX(0,Inputs!$B$35-((S567-1)*Skills!D14))))/Inputs!$B$35),IF(Inputs!$B$4="pvp",MIN((Skills!T14*(1+Inputs!$B$33/100)),15)/15,(Skills!T14*(1+Inputs!$B$33/100))/Skills!D14)))+((C568=TRUE)*F568*IF(AND(Inputs!$B$4&lt;&gt;"pvp",Inputs!$B$35&gt;0),(((S568-1)*(Skills!T15*(1+Inputs!$B$33/100))+MIN((Skills!T15*(1+Inputs!$B$33/100)),MAX(0,Inputs!$B$35-((S568-1)*Skills!D15))))/Inputs!$B$35),IF(Inputs!$B$4="pvp",MIN((Skills!T15*(1+Inputs!$B$33/100)),15)/15,(Skills!T15*(1+Inputs!$B$33/100))/Skills!D15)))+((C569=TRUE)*F569*IF(AND(Inputs!$B$4&lt;&gt;"pvp",Inputs!$B$35&gt;0),(((S569-1)*(Skills!T16*(1+Inputs!$B$33/100))+MIN((Skills!T16*(1+Inputs!$B$33/100)),MAX(0,Inputs!$B$35-((S569-1)*Skills!D16))))/Inputs!$B$35),IF(Inputs!$B$4="pvp",MIN((Skills!T16*(1+Inputs!$B$33/100)),15)/15,(Skills!T16*(1+Inputs!$B$33/100))/Skills!D16)))+0)/100)*I565)</f>
        <v/>
      </c>
      <c r="L565">
        <f>K565*(MIN(Inputs!$B$21+((C575=TRUE)*(F575-Calc!F22)),Inputs!$B$22+((C577=TRUE)*(F577-Calc!F24)))/100+(Inputs!$B$22+((C577=TRUE)*(F577-Calc!F24)))/100)/2</f>
        <v/>
      </c>
      <c r="M565">
        <f>L565*(1+(Inputs!$B$9+0+B587)/100)</f>
        <v/>
      </c>
      <c r="N565">
        <f>L565*(1-MIN((Inputs!$B$8+0+B582),100)/100)+M565*(MIN((Inputs!$B$8+0+B582),100)/100)</f>
        <v/>
      </c>
      <c r="O565">
        <f>IF(C565,H565*N565*IF(AND(Inputs!$B$4&lt;&gt;"pvp",Inputs!$B$35&gt;0),((Skills!G12*((R565-1)*IF(Skills!H12&gt;0,Skills!I12/Skills!H12,1)+IF(Skills!H12&gt;0,MIN(Skills!I12,MAX(0,Inputs!$B$35-((R565-1)*IF(Inputs!$B$4="pvp",15,MAX(0.1,Skills!D12-IF(Skills!E12=TRUE,Inputs!$B$31,0))))))/Skills!H12,1)))/Inputs!$B$35),G565*Q565)*IF(Inputs!$B$4="pvp",1,(1-Summary!$B$55)*(1)+Summary!$B$55*(MIN(Skills!R12,Inputs!$B$37))),0)</f>
        <v/>
      </c>
      <c r="P565">
        <f>IF(B590=0,0,O565/B590)</f>
        <v/>
      </c>
      <c r="Q565">
        <f>IFERROR(1/IF(Inputs!$B$4="pvp",15,MAX(0.1,Skills!D12-IF(Skills!E12=TRUE,Inputs!$B$31,0))),0)</f>
        <v/>
      </c>
      <c r="R565">
        <f>IF(AND(Inputs!$B$4&lt;&gt;"pvp",Inputs!$B$35&gt;0),(INT(Inputs!$B$35/IF(Inputs!$B$4="pvp",15,MAX(0.1,Skills!D12-IF(Skills!E12=TRUE,Inputs!$B$31,0))))+1),0)</f>
        <v/>
      </c>
      <c r="S565">
        <f>IFERROR(O565/N565,0)</f>
        <v/>
      </c>
    </row>
    <row r="566">
      <c r="A566">
        <f>Skills!A13</f>
        <v/>
      </c>
      <c r="B566">
        <f>Skills!B13</f>
        <v/>
      </c>
      <c r="C566">
        <f>Inputs!$B$3&gt;=69</f>
        <v/>
      </c>
      <c r="D566">
        <f>IF(Skills!C13=1,60+Inputs!$B$24+Inputs!$B$28,IF(Skills!C13=2,90+Inputs!$B$25+Inputs!$B$28,IF(Skills!C13=3,120+Inputs!$B$26+Inputs!$B$28,MAX(0,(Inputs!$B$3-100)*3)+Inputs!$B$27+Inputs!$B$28)))</f>
        <v/>
      </c>
      <c r="E566">
        <f>INDEX(FactorTable!$B$2:$Y$301, MATCH(ROUND(MIN(300,MAX(1,D566)),0), FactorTable!$A$2:$A$301,0), Skills!M13+1)</f>
        <v/>
      </c>
      <c r="F566">
        <f>IF(Skills!N13=TRUE,(Skills!L13/10)*(E566/1000),Skills!L13/10)+Skills!O13</f>
        <v/>
      </c>
      <c r="G566">
        <f>Skills!G13*IF(Skills!H13&gt;0,Skills!I13/Skills!H13,1)</f>
        <v/>
      </c>
      <c r="H566">
        <f>1-(1-Skills!J13/100)^Skills!K13</f>
        <v/>
      </c>
      <c r="I566" t="inlineStr">
        <is>
          <t>1</t>
        </is>
      </c>
      <c r="J566" t="inlineStr"/>
      <c r="K566" t="inlineStr"/>
      <c r="L566" t="inlineStr"/>
      <c r="M566" t="inlineStr"/>
      <c r="N566" t="inlineStr"/>
      <c r="O566" t="n">
        <v>0</v>
      </c>
      <c r="P566">
        <f>IF(B590=0,0,O566/B590)</f>
        <v/>
      </c>
      <c r="Q566">
        <f>IFERROR(1/IF(Inputs!$B$4="pvp",15,MAX(0.1,Skills!D13-IF(Skills!E13=TRUE,Inputs!$B$31,0))),0)</f>
        <v/>
      </c>
      <c r="R566">
        <f>IF(AND(Inputs!$B$4&lt;&gt;"pvp",Inputs!$B$35&gt;0),(INT(Inputs!$B$35/IF(Inputs!$B$4="pvp",15,MAX(0.1,Skills!D13-IF(Skills!E13=TRUE,Inputs!$B$31,0))))+1),0)</f>
        <v/>
      </c>
      <c r="S566">
        <f>IFERROR(O566/N566,0)</f>
        <v/>
      </c>
    </row>
    <row r="567">
      <c r="A567">
        <f>Skills!A14</f>
        <v/>
      </c>
      <c r="B567">
        <f>Skills!B14</f>
        <v/>
      </c>
      <c r="C567">
        <f>Inputs!$B$3&gt;=115</f>
        <v/>
      </c>
      <c r="D567">
        <f>IF(Skills!C14=1,60+Inputs!$B$24+Inputs!$B$28,IF(Skills!C14=2,90+Inputs!$B$25+Inputs!$B$28,IF(Skills!C14=3,120+Inputs!$B$26+Inputs!$B$28,MAX(0,(Inputs!$B$3-100)*3)+Inputs!$B$27+Inputs!$B$28)))</f>
        <v/>
      </c>
      <c r="E567">
        <f>INDEX(FactorTable!$B$2:$Y$301, MATCH(ROUND(MIN(300,MAX(1,D567)),0), FactorTable!$A$2:$A$301,0), Skills!M14+1)</f>
        <v/>
      </c>
      <c r="F567">
        <f>IF(Skills!N14=TRUE,(Skills!L14/10)*(E567/1000),Skills!L14/10)+Skills!O14</f>
        <v/>
      </c>
      <c r="G567">
        <f>Skills!G14*IF(Skills!H14&gt;0,Skills!I14/Skills!H14,1)</f>
        <v/>
      </c>
      <c r="H567">
        <f>1-(1-Skills!J14/100)^Skills!K14</f>
        <v/>
      </c>
      <c r="I567" t="inlineStr">
        <is>
          <t>1</t>
        </is>
      </c>
      <c r="J567" t="inlineStr"/>
      <c r="K567" t="inlineStr"/>
      <c r="L567" t="inlineStr"/>
      <c r="M567" t="inlineStr"/>
      <c r="N567" t="inlineStr"/>
      <c r="O567" t="n">
        <v>0</v>
      </c>
      <c r="P567">
        <f>IF(B590=0,0,O567/B590)</f>
        <v/>
      </c>
      <c r="Q567">
        <f>IFERROR(1/IF(Inputs!$B$4="pvp",15,MAX(0.1,Skills!D14-IF(Skills!E14=TRUE,Inputs!$B$31,0))),0)</f>
        <v/>
      </c>
      <c r="R567">
        <f>IF(AND(Inputs!$B$4&lt;&gt;"pvp",Inputs!$B$35&gt;0),(INT(Inputs!$B$35/IF(Inputs!$B$4="pvp",15,MAX(0.1,Skills!D14-IF(Skills!E14=TRUE,Inputs!$B$31,0))))+1),0)</f>
        <v/>
      </c>
      <c r="S567">
        <f>IFERROR(O567/N567,0)</f>
        <v/>
      </c>
    </row>
    <row r="568">
      <c r="A568">
        <f>Skills!A15</f>
        <v/>
      </c>
      <c r="B568">
        <f>Skills!B15</f>
        <v/>
      </c>
      <c r="C568">
        <f>Inputs!$B$3&gt;=66</f>
        <v/>
      </c>
      <c r="D568">
        <f>IF(Skills!C15=1,60+Inputs!$B$24+Inputs!$B$28,IF(Skills!C15=2,90+Inputs!$B$25+Inputs!$B$28,IF(Skills!C15=3,120+Inputs!$B$26+Inputs!$B$28,MAX(0,(Inputs!$B$3-100)*3)+Inputs!$B$27+Inputs!$B$28)))</f>
        <v/>
      </c>
      <c r="E568">
        <f>INDEX(FactorTable!$B$2:$Y$301, MATCH(ROUND(MIN(300,MAX(1,D568)),0), FactorTable!$A$2:$A$301,0), Skills!M15+1)</f>
        <v/>
      </c>
      <c r="F568">
        <f>IF(Skills!N15=TRUE,(Skills!L15/10)*(E568/1000),Skills!L15/10)+Skills!O15</f>
        <v/>
      </c>
      <c r="G568">
        <f>Skills!G15*IF(Skills!H15&gt;0,Skills!I15/Skills!H15,1)</f>
        <v/>
      </c>
      <c r="H568">
        <f>1-(1-Skills!J15/100)^Skills!K15</f>
        <v/>
      </c>
      <c r="I568" t="inlineStr">
        <is>
          <t>1</t>
        </is>
      </c>
      <c r="J568" t="inlineStr"/>
      <c r="K568" t="inlineStr"/>
      <c r="L568" t="inlineStr"/>
      <c r="M568" t="inlineStr"/>
      <c r="N568" t="inlineStr"/>
      <c r="O568" t="n">
        <v>0</v>
      </c>
      <c r="P568">
        <f>IF(B590=0,0,O568/B590)</f>
        <v/>
      </c>
      <c r="Q568">
        <f>IFERROR(1/IF(Inputs!$B$4="pvp",15,MAX(0.1,Skills!D15-IF(Skills!E15=TRUE,Inputs!$B$31,0))),0)</f>
        <v/>
      </c>
      <c r="R568">
        <f>IF(AND(Inputs!$B$4&lt;&gt;"pvp",Inputs!$B$35&gt;0),(INT(Inputs!$B$35/IF(Inputs!$B$4="pvp",15,MAX(0.1,Skills!D15-IF(Skills!E15=TRUE,Inputs!$B$31,0))))+1),0)</f>
        <v/>
      </c>
      <c r="S568">
        <f>IFERROR(O568/N568,0)</f>
        <v/>
      </c>
    </row>
    <row r="569">
      <c r="A569">
        <f>Skills!A16</f>
        <v/>
      </c>
      <c r="B569">
        <f>Skills!B16</f>
        <v/>
      </c>
      <c r="C569">
        <f>Inputs!$B$3&gt;=45</f>
        <v/>
      </c>
      <c r="D569">
        <f>IF(Skills!C16=1,60+Inputs!$B$24+Inputs!$B$28,IF(Skills!C16=2,90+Inputs!$B$25+Inputs!$B$28,IF(Skills!C16=3,120+Inputs!$B$26+Inputs!$B$28,MAX(0,(Inputs!$B$3-100)*3)+Inputs!$B$27+Inputs!$B$28)))</f>
        <v/>
      </c>
      <c r="E569">
        <f>INDEX(FactorTable!$B$2:$Y$301, MATCH(ROUND(MIN(300,MAX(1,D569)),0), FactorTable!$A$2:$A$301,0), Skills!M16+1)</f>
        <v/>
      </c>
      <c r="F569">
        <f>IF(Skills!N16=TRUE,(Skills!L16/10)*(E569/1000),Skills!L16/10)+Skills!O16</f>
        <v/>
      </c>
      <c r="G569">
        <f>Skills!G16*IF(Skills!H16&gt;0,Skills!I16/Skills!H16,1)</f>
        <v/>
      </c>
      <c r="H569">
        <f>1-(1-Skills!J16/100)^Skills!K16</f>
        <v/>
      </c>
      <c r="I569" t="inlineStr">
        <is>
          <t>1</t>
        </is>
      </c>
      <c r="J569" t="inlineStr"/>
      <c r="K569" t="inlineStr"/>
      <c r="L569" t="inlineStr"/>
      <c r="M569" t="inlineStr"/>
      <c r="N569" t="inlineStr"/>
      <c r="O569" t="n">
        <v>0</v>
      </c>
      <c r="P569">
        <f>IF(B590=0,0,O569/B590)</f>
        <v/>
      </c>
      <c r="Q569">
        <f>IFERROR(1/IF(Inputs!$B$4="pvp",15,MAX(0.1,Skills!D16-IF(Skills!E16=TRUE,Inputs!$B$31,0))),0)</f>
        <v/>
      </c>
      <c r="R569">
        <f>IF(AND(Inputs!$B$4&lt;&gt;"pvp",Inputs!$B$35&gt;0),(INT(Inputs!$B$35/IF(Inputs!$B$4="pvp",15,MAX(0.1,Skills!D16-IF(Skills!E16=TRUE,Inputs!$B$31,0))))+1),0)</f>
        <v/>
      </c>
      <c r="S569">
        <f>IFERROR(O569/N569,0)</f>
        <v/>
      </c>
    </row>
    <row r="570">
      <c r="A570">
        <f>Skills!A17</f>
        <v/>
      </c>
      <c r="B570">
        <f>Skills!B17</f>
        <v/>
      </c>
      <c r="C570">
        <f>Inputs!$B$3&gt;=35</f>
        <v/>
      </c>
      <c r="D570">
        <f>IF(Skills!C17=1,60+Inputs!$B$24+Inputs!$B$28,IF(Skills!C17=2,90+Inputs!$B$25+Inputs!$B$28,IF(Skills!C17=3,120+Inputs!$B$26+Inputs!$B$28,MAX(0,(Inputs!$B$3-100)*3)+Inputs!$B$27+Inputs!$B$28)))</f>
        <v/>
      </c>
      <c r="E570">
        <f>INDEX(FactorTable!$B$2:$Y$301, MATCH(ROUND(MIN(300,MAX(1,D570)),0), FactorTable!$A$2:$A$301,0), Skills!M17+1)</f>
        <v/>
      </c>
      <c r="F570">
        <f>IF(Skills!N17=TRUE,(Skills!L17/10)*(E570/1000),Skills!L17/10)+Skills!O17</f>
        <v/>
      </c>
      <c r="G570">
        <f>Skills!G17*IF(Skills!H17&gt;0,Skills!I17/Skills!H17,1)</f>
        <v/>
      </c>
      <c r="H570">
        <f>1-(1-Skills!J17/100)^Skills!K17</f>
        <v/>
      </c>
      <c r="I570" t="inlineStr">
        <is>
          <t>1</t>
        </is>
      </c>
      <c r="J570" t="inlineStr"/>
      <c r="K570" t="inlineStr"/>
      <c r="L570" t="inlineStr"/>
      <c r="M570" t="inlineStr"/>
      <c r="N570" t="inlineStr"/>
      <c r="O570" t="n">
        <v>0</v>
      </c>
      <c r="P570">
        <f>IF(B590=0,0,O570/B590)</f>
        <v/>
      </c>
      <c r="Q570">
        <f>IFERROR(1/IF(Inputs!$B$4="pvp",15,MAX(0.1,Skills!D17-IF(Skills!E17=TRUE,Inputs!$B$31,0))),0)</f>
        <v/>
      </c>
      <c r="R570">
        <f>IF(AND(Inputs!$B$4&lt;&gt;"pvp",Inputs!$B$35&gt;0),(INT(Inputs!$B$35/IF(Inputs!$B$4="pvp",15,MAX(0.1,Skills!D17-IF(Skills!E17=TRUE,Inputs!$B$31,0))))+1),0)</f>
        <v/>
      </c>
      <c r="S570">
        <f>IFERROR(O570/N570,0)</f>
        <v/>
      </c>
    </row>
    <row r="571">
      <c r="A571">
        <f>Skills!A18</f>
        <v/>
      </c>
      <c r="B571">
        <f>Skills!B18</f>
        <v/>
      </c>
      <c r="C571">
        <f>Inputs!$B$3&gt;=72</f>
        <v/>
      </c>
      <c r="D571">
        <f>IF(Skills!C18=1,60+Inputs!$B$24+Inputs!$B$28,IF(Skills!C18=2,90+Inputs!$B$25+Inputs!$B$28,IF(Skills!C18=3,120+Inputs!$B$26+Inputs!$B$28,MAX(0,(Inputs!$B$3-100)*3)+Inputs!$B$27+Inputs!$B$28)))</f>
        <v/>
      </c>
      <c r="E571">
        <f>INDEX(FactorTable!$B$2:$Y$301, MATCH(ROUND(MIN(300,MAX(1,D571)),0), FactorTable!$A$2:$A$301,0), Skills!M18+1)</f>
        <v/>
      </c>
      <c r="F571">
        <f>IF(Skills!N18=TRUE,(Skills!L18/10)*(E571/1000),Skills!L18/10)+Skills!O18</f>
        <v/>
      </c>
      <c r="G571">
        <f>Skills!G18*IF(Skills!H18&gt;0,Skills!I18/Skills!H18,1)</f>
        <v/>
      </c>
      <c r="H571">
        <f>1-(1-Skills!J18/100)^Skills!K18</f>
        <v/>
      </c>
      <c r="I571" t="inlineStr">
        <is>
          <t>1</t>
        </is>
      </c>
      <c r="J571" t="inlineStr"/>
      <c r="K571" t="inlineStr"/>
      <c r="L571" t="inlineStr"/>
      <c r="M571" t="inlineStr"/>
      <c r="N571" t="inlineStr"/>
      <c r="O571" t="n">
        <v>0</v>
      </c>
      <c r="P571">
        <f>IF(B590=0,0,O571/B590)</f>
        <v/>
      </c>
      <c r="Q571">
        <f>IFERROR(1/IF(Inputs!$B$4="pvp",15,MAX(0.1,Skills!D18-IF(Skills!E18=TRUE,Inputs!$B$31,0))),0)</f>
        <v/>
      </c>
      <c r="R571">
        <f>IF(AND(Inputs!$B$4&lt;&gt;"pvp",Inputs!$B$35&gt;0),(INT(Inputs!$B$35/IF(Inputs!$B$4="pvp",15,MAX(0.1,Skills!D18-IF(Skills!E18=TRUE,Inputs!$B$31,0))))+1),0)</f>
        <v/>
      </c>
      <c r="S571">
        <f>IFERROR(O571/N571,0)</f>
        <v/>
      </c>
    </row>
    <row r="572">
      <c r="A572">
        <f>Skills!A19</f>
        <v/>
      </c>
      <c r="B572">
        <f>Skills!B19</f>
        <v/>
      </c>
      <c r="C572">
        <f>Inputs!$B$3&gt;=72</f>
        <v/>
      </c>
      <c r="D572">
        <f>IF(Skills!C19=1,60+Inputs!$B$24+Inputs!$B$28,IF(Skills!C19=2,90+Inputs!$B$25+Inputs!$B$28,IF(Skills!C19=3,120+Inputs!$B$26+Inputs!$B$28,MAX(0,(Inputs!$B$3-100)*3)+Inputs!$B$27+Inputs!$B$28)))</f>
        <v/>
      </c>
      <c r="E572">
        <f>INDEX(FactorTable!$B$2:$Y$301, MATCH(ROUND(MIN(300,MAX(1,D572)),0), FactorTable!$A$2:$A$301,0), Skills!M19+1)</f>
        <v/>
      </c>
      <c r="F572">
        <f>IF(Skills!N19=TRUE,(Skills!L19/10)*(E572/1000),Skills!L19/10)+Skills!O19</f>
        <v/>
      </c>
      <c r="G572">
        <f>Skills!G19*IF(Skills!H19&gt;0,Skills!I19/Skills!H19,1)</f>
        <v/>
      </c>
      <c r="H572">
        <f>1-(1-Skills!J19/100)^Skills!K19</f>
        <v/>
      </c>
      <c r="I572" t="inlineStr">
        <is>
          <t>1</t>
        </is>
      </c>
      <c r="J572" t="inlineStr"/>
      <c r="K572" t="inlineStr"/>
      <c r="L572" t="inlineStr"/>
      <c r="M572" t="inlineStr"/>
      <c r="N572" t="inlineStr"/>
      <c r="O572" t="n">
        <v>0</v>
      </c>
      <c r="P572">
        <f>IF(B590=0,0,O572/B590)</f>
        <v/>
      </c>
      <c r="Q572">
        <f>IFERROR(1/IF(Inputs!$B$4="pvp",15,MAX(0.1,Skills!D19-IF(Skills!E19=TRUE,Inputs!$B$31,0))),0)</f>
        <v/>
      </c>
      <c r="R572">
        <f>IF(AND(Inputs!$B$4&lt;&gt;"pvp",Inputs!$B$35&gt;0),(INT(Inputs!$B$35/IF(Inputs!$B$4="pvp",15,MAX(0.1,Skills!D19-IF(Skills!E19=TRUE,Inputs!$B$31,0))))+1),0)</f>
        <v/>
      </c>
      <c r="S572">
        <f>IFERROR(O572/N572,0)</f>
        <v/>
      </c>
    </row>
    <row r="573">
      <c r="A573">
        <f>Skills!A20</f>
        <v/>
      </c>
      <c r="B573">
        <f>Skills!B20</f>
        <v/>
      </c>
      <c r="C573">
        <f>TRUE</f>
        <v/>
      </c>
      <c r="D573">
        <f>IF(Skills!C20=1,60+Inputs!$B$24+Inputs!$B$28,IF(Skills!C20=2,90+Inputs!$B$25+Inputs!$B$28,IF(Skills!C20=3,120+Inputs!$B$26+Inputs!$B$28,MAX(0,(Inputs!$B$3-100)*3)+Inputs!$B$27+Inputs!$B$28)))</f>
        <v/>
      </c>
      <c r="E573">
        <f>INDEX(FactorTable!$B$2:$Y$301, MATCH(ROUND(MIN(300,MAX(1,D573)),0), FactorTable!$A$2:$A$301,0), Skills!M20+1)</f>
        <v/>
      </c>
      <c r="F573">
        <f>IF(Skills!N20=TRUE,(Skills!L20/10)*(E573/1000),Skills!L20/10)+Skills!O20</f>
        <v/>
      </c>
      <c r="G573">
        <f>Skills!G20*IF(Skills!H20&gt;0,Skills!I20/Skills!H20,1)</f>
        <v/>
      </c>
      <c r="H573">
        <f>1-(1-Skills!J20/100)^Skills!K20</f>
        <v/>
      </c>
      <c r="I573" t="inlineStr">
        <is>
          <t>1</t>
        </is>
      </c>
      <c r="J573" t="inlineStr"/>
      <c r="K573" t="inlineStr"/>
      <c r="L573" t="inlineStr"/>
      <c r="M573" t="inlineStr"/>
      <c r="N573" t="inlineStr"/>
      <c r="O573" t="n">
        <v>0</v>
      </c>
      <c r="P573">
        <f>IF(B590=0,0,O573/B590)</f>
        <v/>
      </c>
      <c r="Q573">
        <f>IFERROR(1/IF(Inputs!$B$4="pvp",15,MAX(0.1,Skills!D20-IF(Skills!E20=TRUE,Inputs!$B$31,0))),0)</f>
        <v/>
      </c>
      <c r="R573">
        <f>IF(AND(Inputs!$B$4&lt;&gt;"pvp",Inputs!$B$35&gt;0),(INT(Inputs!$B$35/IF(Inputs!$B$4="pvp",15,MAX(0.1,Skills!D20-IF(Skills!E20=TRUE,Inputs!$B$31,0))))+1),0)</f>
        <v/>
      </c>
      <c r="S573">
        <f>IFERROR(O573/N573,0)</f>
        <v/>
      </c>
    </row>
    <row r="574">
      <c r="A574">
        <f>Skills!A21</f>
        <v/>
      </c>
      <c r="B574">
        <f>Skills!B21</f>
        <v/>
      </c>
      <c r="C574">
        <f>Inputs!$B$3&gt;=33</f>
        <v/>
      </c>
      <c r="D574">
        <f>IF(Skills!C21=1,60+Inputs!$B$24+Inputs!$B$28,IF(Skills!C21=2,90+Inputs!$B$25+Inputs!$B$28,IF(Skills!C21=3,120+Inputs!$B$26+Inputs!$B$28,MAX(0,(Inputs!$B$3-100)*3)+Inputs!$B$27+Inputs!$B$28)))</f>
        <v/>
      </c>
      <c r="E574">
        <f>INDEX(FactorTable!$B$2:$Y$301, MATCH(ROUND(MIN(300,MAX(1,D574)),0), FactorTable!$A$2:$A$301,0), Skills!M21+1)</f>
        <v/>
      </c>
      <c r="F574">
        <f>IF(Skills!N21=TRUE,(Skills!L21/10)*(E574/1000),Skills!L21/10)+Skills!O21</f>
        <v/>
      </c>
      <c r="G574">
        <f>Skills!G21*IF(Skills!H21&gt;0,Skills!I21/Skills!H21,1)</f>
        <v/>
      </c>
      <c r="H574">
        <f>1-(1-Skills!J21/100)^Skills!K21</f>
        <v/>
      </c>
      <c r="I574" t="inlineStr">
        <is>
          <t>1</t>
        </is>
      </c>
      <c r="J574" t="inlineStr"/>
      <c r="K574" t="inlineStr"/>
      <c r="L574" t="inlineStr"/>
      <c r="M574" t="inlineStr"/>
      <c r="N574" t="inlineStr"/>
      <c r="O574" t="n">
        <v>0</v>
      </c>
      <c r="P574">
        <f>IF(B590=0,0,O574/B590)</f>
        <v/>
      </c>
      <c r="Q574" t="n">
        <v>0</v>
      </c>
      <c r="R574" t="n">
        <v>0</v>
      </c>
      <c r="S574">
        <f>IFERROR(O574/N574,0)</f>
        <v/>
      </c>
    </row>
    <row r="575">
      <c r="A575">
        <f>Skills!A22</f>
        <v/>
      </c>
      <c r="B575">
        <f>Skills!B22</f>
        <v/>
      </c>
      <c r="C575">
        <f>Inputs!$B$3&gt;=43</f>
        <v/>
      </c>
      <c r="D575">
        <f>IF(Skills!C22=1,60+Inputs!$B$24+Inputs!$B$28,IF(Skills!C22=2,90+Inputs!$B$25+Inputs!$B$28,IF(Skills!C22=3,120+Inputs!$B$26+Inputs!$B$28,MAX(0,(Inputs!$B$3-100)*3)+Inputs!$B$27+Inputs!$B$28)))</f>
        <v/>
      </c>
      <c r="E575">
        <f>INDEX(FactorTable!$B$2:$Y$301, MATCH(ROUND(MIN(300,MAX(1,D575)),0), FactorTable!$A$2:$A$301,0), Skills!M22+1)</f>
        <v/>
      </c>
      <c r="F575">
        <f>IF(Skills!N22=TRUE,(Skills!L22/10)*(E575/1000),Skills!L22/10)+Skills!O22</f>
        <v/>
      </c>
      <c r="G575">
        <f>Skills!G22*IF(Skills!H22&gt;0,Skills!I22/Skills!H22,1)</f>
        <v/>
      </c>
      <c r="H575">
        <f>1-(1-Skills!J22/100)^Skills!K22</f>
        <v/>
      </c>
      <c r="I575" t="inlineStr">
        <is>
          <t>1</t>
        </is>
      </c>
      <c r="J575" t="inlineStr"/>
      <c r="K575" t="inlineStr"/>
      <c r="L575" t="inlineStr"/>
      <c r="M575" t="inlineStr"/>
      <c r="N575" t="inlineStr"/>
      <c r="O575" t="n">
        <v>0</v>
      </c>
      <c r="P575">
        <f>IF(B590=0,0,O575/B590)</f>
        <v/>
      </c>
      <c r="Q575" t="n">
        <v>0</v>
      </c>
      <c r="R575" t="n">
        <v>0</v>
      </c>
      <c r="S575">
        <f>IFERROR(O575/N575,0)</f>
        <v/>
      </c>
    </row>
    <row r="576">
      <c r="A576">
        <f>Skills!A23</f>
        <v/>
      </c>
      <c r="B576">
        <f>Skills!B23</f>
        <v/>
      </c>
      <c r="C576">
        <f>Inputs!$B$3&gt;=120</f>
        <v/>
      </c>
      <c r="D576">
        <f>IF(Skills!C23=1,60+Inputs!$B$24+Inputs!$B$28,IF(Skills!C23=2,90+Inputs!$B$25+Inputs!$B$28,IF(Skills!C23=3,120+Inputs!$B$26+Inputs!$B$28,MAX(0,(Inputs!$B$3-100)*3)+Inputs!$B$27+Inputs!$B$28)))</f>
        <v/>
      </c>
      <c r="E576">
        <f>INDEX(FactorTable!$B$2:$Y$301, MATCH(ROUND(MIN(300,MAX(1,D576)),0), FactorTable!$A$2:$A$301,0), Skills!M23+1)</f>
        <v/>
      </c>
      <c r="F576">
        <f>IF(Skills!N23=TRUE,(Skills!L23/10)*(E576/1000),Skills!L23/10)+Skills!O23</f>
        <v/>
      </c>
      <c r="G576">
        <f>Skills!G23*IF(Skills!H23&gt;0,Skills!I23/Skills!H23,1)</f>
        <v/>
      </c>
      <c r="H576">
        <f>1-(1-Skills!J23/100)^Skills!K23</f>
        <v/>
      </c>
      <c r="I576" t="inlineStr">
        <is>
          <t>1</t>
        </is>
      </c>
      <c r="J576" t="inlineStr"/>
      <c r="K576" t="inlineStr"/>
      <c r="L576" t="inlineStr"/>
      <c r="M576" t="inlineStr"/>
      <c r="N576" t="inlineStr"/>
      <c r="O576" t="n">
        <v>0</v>
      </c>
      <c r="P576">
        <f>IF(B590=0,0,O576/B590)</f>
        <v/>
      </c>
      <c r="Q576" t="n">
        <v>0</v>
      </c>
      <c r="R576" t="n">
        <v>0</v>
      </c>
      <c r="S576">
        <f>IFERROR(O576/N576,0)</f>
        <v/>
      </c>
    </row>
    <row r="577">
      <c r="A577">
        <f>Skills!A24</f>
        <v/>
      </c>
      <c r="B577">
        <f>Skills!B24</f>
        <v/>
      </c>
      <c r="C577">
        <f>Inputs!$B$3&gt;=120</f>
        <v/>
      </c>
      <c r="D577">
        <f>IF(Skills!C24=1,60+Inputs!$B$24+Inputs!$B$28,IF(Skills!C24=2,90+Inputs!$B$25+Inputs!$B$28,IF(Skills!C24=3,120+Inputs!$B$26+Inputs!$B$28,MAX(0,(Inputs!$B$3-100)*3)+Inputs!$B$27+Inputs!$B$28)))</f>
        <v/>
      </c>
      <c r="E577">
        <f>INDEX(FactorTable!$B$2:$Y$301, MATCH(ROUND(MIN(300,MAX(1,D577)),0), FactorTable!$A$2:$A$301,0), Skills!M24+1)</f>
        <v/>
      </c>
      <c r="F577">
        <f>IF(Skills!N24=TRUE,(Skills!L24/10)*(E577/1000),Skills!L24/10)+Skills!O24</f>
        <v/>
      </c>
      <c r="G577">
        <f>Skills!G24*IF(Skills!H24&gt;0,Skills!I24/Skills!H24,1)</f>
        <v/>
      </c>
      <c r="H577">
        <f>1-(1-Skills!J24/100)^Skills!K24</f>
        <v/>
      </c>
      <c r="I577" t="inlineStr">
        <is>
          <t>1</t>
        </is>
      </c>
      <c r="J577" t="inlineStr"/>
      <c r="K577" t="inlineStr"/>
      <c r="L577" t="inlineStr"/>
      <c r="M577" t="inlineStr"/>
      <c r="N577" t="inlineStr"/>
      <c r="O577" t="n">
        <v>0</v>
      </c>
      <c r="P577">
        <f>IF(B590=0,0,O577/B590)</f>
        <v/>
      </c>
      <c r="Q577" t="n">
        <v>0</v>
      </c>
      <c r="R577" t="n">
        <v>0</v>
      </c>
      <c r="S577">
        <f>IFERROR(O577/N577,0)</f>
        <v/>
      </c>
    </row>
    <row r="578">
      <c r="A578">
        <f>Skills!A25</f>
        <v/>
      </c>
      <c r="B578">
        <f>Skills!B25</f>
        <v/>
      </c>
      <c r="C578">
        <f>Inputs!$B$3&gt;=125</f>
        <v/>
      </c>
      <c r="D578">
        <f>IF(Skills!C25=1,60+Inputs!$B$24+Inputs!$B$28,IF(Skills!C25=2,90+Inputs!$B$25+Inputs!$B$28,IF(Skills!C25=3,120+Inputs!$B$26+Inputs!$B$28,MAX(0,(Inputs!$B$3-100)*3)+Inputs!$B$27+Inputs!$B$28)))</f>
        <v/>
      </c>
      <c r="E578">
        <f>INDEX(FactorTable!$B$2:$Y$301, MATCH(ROUND(MIN(300,MAX(1,D578)),0), FactorTable!$A$2:$A$301,0), Skills!M25+1)</f>
        <v/>
      </c>
      <c r="F578">
        <f>IF(Skills!N25=TRUE,(Skills!L25/10)*(E578/1000),Skills!L25/10)+Skills!O25</f>
        <v/>
      </c>
      <c r="G578">
        <f>Skills!G25*IF(Skills!H25&gt;0,Skills!I25/Skills!H25,1)</f>
        <v/>
      </c>
      <c r="H578">
        <f>1-(1-Skills!J25/100)^Skills!K25</f>
        <v/>
      </c>
      <c r="I578" t="inlineStr">
        <is>
          <t>1</t>
        </is>
      </c>
      <c r="J578" t="inlineStr"/>
      <c r="K578" t="inlineStr"/>
      <c r="L578" t="inlineStr"/>
      <c r="M578" t="inlineStr"/>
      <c r="N578" t="inlineStr"/>
      <c r="O578" t="n">
        <v>0</v>
      </c>
      <c r="P578">
        <f>IF(B590=0,0,O578/B590)</f>
        <v/>
      </c>
      <c r="Q578" t="n">
        <v>0</v>
      </c>
      <c r="R578" t="n">
        <v>0</v>
      </c>
      <c r="S578">
        <f>IFERROR(O578/N578,0)</f>
        <v/>
      </c>
    </row>
    <row r="579">
      <c r="A579">
        <f>Skills!A26</f>
        <v/>
      </c>
      <c r="B579">
        <f>Skills!B26</f>
        <v/>
      </c>
      <c r="C579">
        <f>Inputs!$B$3&gt;=107</f>
        <v/>
      </c>
      <c r="D579">
        <f>IF(Skills!C26=1,60+Inputs!$B$24+Inputs!$B$28,IF(Skills!C26=2,90+Inputs!$B$25+Inputs!$B$28,IF(Skills!C26=3,120+Inputs!$B$26+Inputs!$B$28,MAX(0,(Inputs!$B$3-100)*3)+Inputs!$B$27+Inputs!$B$28)))</f>
        <v/>
      </c>
      <c r="E579">
        <f>INDEX(FactorTable!$B$2:$Y$301, MATCH(ROUND(MIN(300,MAX(1,D579)),0), FactorTable!$A$2:$A$301,0), Skills!M26+1)</f>
        <v/>
      </c>
      <c r="F579">
        <f>IF(Skills!N26=TRUE,(Skills!L26/10)*(E579/1000),Skills!L26/10)+Skills!O26</f>
        <v/>
      </c>
      <c r="G579">
        <f>Skills!G26*IF(Skills!H26&gt;0,Skills!I26/Skills!H26,1)</f>
        <v/>
      </c>
      <c r="H579">
        <f>1-(1-Skills!J26/100)^Skills!K26</f>
        <v/>
      </c>
      <c r="I579" t="inlineStr">
        <is>
          <t>1</t>
        </is>
      </c>
      <c r="J579" t="inlineStr"/>
      <c r="K579" t="inlineStr"/>
      <c r="L579" t="inlineStr"/>
      <c r="M579" t="inlineStr"/>
      <c r="N579" t="inlineStr"/>
      <c r="O579" t="n">
        <v>0</v>
      </c>
      <c r="P579">
        <f>IF(B590=0,0,O579/B590)</f>
        <v/>
      </c>
      <c r="Q579" t="n">
        <v>0</v>
      </c>
      <c r="R579" t="n">
        <v>0</v>
      </c>
      <c r="S579">
        <f>IFERROR(O579/N579,0)</f>
        <v/>
      </c>
    </row>
    <row r="581">
      <c r="A581" t="inlineStr">
        <is>
          <t>Attack% Bucket Multiplier</t>
        </is>
      </c>
      <c r="B581">
        <f>(1+(((C566=TRUE)*F566*IF(AND(Inputs!$B$4&lt;&gt;"pvp",Inputs!$B$35&gt;0),(((S566-1)*(Skills!T13*(1+Inputs!$B$33/100))+MIN((Skills!T13*(1+Inputs!$B$33/100)),MAX(0,Inputs!$B$35-((S566-1)*Skills!D13))))/Inputs!$B$35),IF(Inputs!$B$4="pvp",MIN((Skills!T13*(1+Inputs!$B$33/100)),15)/15,(Skills!T13*(1+Inputs!$B$33/100))/Skills!D13)))+((C567=TRUE)*F567*IF(AND(Inputs!$B$4&lt;&gt;"pvp",Inputs!$B$35&gt;0),(((S567-1)*(Skills!T14*(1+Inputs!$B$33/100))+MIN((Skills!T14*(1+Inputs!$B$33/100)),MAX(0,Inputs!$B$35-((S567-1)*Skills!D14))))/Inputs!$B$35),IF(Inputs!$B$4="pvp",MIN((Skills!T14*(1+Inputs!$B$33/100)),15)/15,(Skills!T14*(1+Inputs!$B$33/100))/Skills!D14)))+((C568=TRUE)*F568*IF(AND(Inputs!$B$4&lt;&gt;"pvp",Inputs!$B$35&gt;0),(((S568-1)*(Skills!T15*(1+Inputs!$B$33/100))+MIN((Skills!T15*(1+Inputs!$B$33/100)),MAX(0,Inputs!$B$35-((S568-1)*Skills!D15))))/Inputs!$B$35),IF(Inputs!$B$4="pvp",MIN((Skills!T15*(1+Inputs!$B$33/100)),15)/15,(Skills!T15*(1+Inputs!$B$33/100))/Skills!D15)))+((C569=TRUE)*F569*IF(AND(Inputs!$B$4&lt;&gt;"pvp",Inputs!$B$35&gt;0),(((S569-1)*(Skills!T16*(1+Inputs!$B$33/100))+MIN((Skills!T16*(1+Inputs!$B$33/100)),MAX(0,Inputs!$B$35-((S569-1)*Skills!D16))))/Inputs!$B$35),IF(Inputs!$B$4="pvp",MIN((Skills!T16*(1+Inputs!$B$33/100)),15)/15,(Skills!T16*(1+Inputs!$B$33/100))/Skills!D16)))+0)/100)</f>
        <v/>
      </c>
    </row>
    <row r="582">
      <c r="A582" t="inlineStr">
        <is>
          <t>Global Crit Rate Bonus % (Lord of Darkness)</t>
        </is>
      </c>
      <c r="B582">
        <f>((C571=TRUE)*F571*(Skills!J18/100)*IF(AND(Inputs!$B$4&lt;&gt;"pvp",Inputs!$B$35&gt;0),(((S571-1)*(Skills!T18*(1+Inputs!$B$33/100))+MIN((Skills!T18*(1+Inputs!$B$33/100)),MAX(0,Inputs!$B$35-((S571-1)*Skills!D18))))/Inputs!$B$35),IF(Inputs!$B$4="pvp",MIN((Skills!T18*(1+Inputs!$B$33/100)),15)/15,(Skills!T18*(1+Inputs!$B$33/100))/Skills!D18)))</f>
        <v/>
      </c>
    </row>
    <row r="583">
      <c r="A583" t="inlineStr">
        <is>
          <t>Attack Speed Buff Bonus %</t>
        </is>
      </c>
      <c r="B583">
        <f>((C573=TRUE)*F573*IF(AND(Inputs!$B$4&lt;&gt;"pvp",Inputs!$B$35&gt;0),(((S573-1)*(Skills!T20*(1+Inputs!$B$33/100))+MIN((Skills!T20*(1+Inputs!$B$33/100)),MAX(0,Inputs!$B$35-((S573-1)*Skills!D20))))/Inputs!$B$35),IF(Inputs!$B$4="pvp",MIN((Skills!T20*(1+Inputs!$B$33/100)),15)/15,(Skills!T20*(1+Inputs!$B$33/100))/Skills!D20)))</f>
        <v/>
      </c>
    </row>
    <row r="584">
      <c r="A584" t="inlineStr">
        <is>
          <t>Actions Per Second</t>
        </is>
      </c>
      <c r="B584">
        <f>1+MIN(150,150*(1-(1-(Inputs!$B$10+((C574=TRUE)*(F574-Calc!F21)))/150)*(1-B583/150)))/100</f>
        <v/>
      </c>
    </row>
    <row r="585">
      <c r="A585" t="inlineStr">
        <is>
          <t>Skill + Buff Cast Rate</t>
        </is>
      </c>
      <c r="B585">
        <f>IF(AND(Inputs!$B$4&lt;&gt;"pvp",Inputs!$B$35&gt;0),SUMPRODUCT((Skills!E2:E26=TRUE)*(C555:C579=TRUE)*R555:R579*Skills!F2:F26)/Inputs!$B$35,SUMPRODUCT((Skills!E2:E26=TRUE)*(C555:C579=TRUE)*Q555:Q579*Skills!F2:F26))</f>
        <v/>
      </c>
    </row>
    <row r="586">
      <c r="A586" t="inlineStr">
        <is>
          <t>Dark Impale Casts Per Second</t>
        </is>
      </c>
      <c r="B586">
        <f>MAX(0,B584-B585)</f>
        <v/>
      </c>
    </row>
    <row r="587">
      <c r="A587" t="inlineStr">
        <is>
          <t>Global Critical Damage Bonus % (Lord of Darkness)</t>
        </is>
      </c>
      <c r="B587">
        <f>((C572=TRUE)*F572*(Skills!J19/100)*IF(AND(Inputs!$B$4&lt;&gt;"pvp",Inputs!$B$35&gt;0),(((S572-1)*(Skills!T19*(1+Inputs!$B$33/100))+MIN((Skills!T19*(1+Inputs!$B$33/100)),MAX(0,Inputs!$B$35-((S572-1)*Skills!D19))))/Inputs!$B$35),IF(Inputs!$B$4="pvp",MIN((Skills!T19*(1+Inputs!$B$33/100)),15)/15,(Skills!T19*(1+Inputs!$B$33/100))/Skills!D19)))</f>
        <v/>
      </c>
    </row>
    <row r="588">
      <c r="A588" t="inlineStr">
        <is>
          <t>Global Final Damage Bonus % (unused)</t>
        </is>
      </c>
      <c r="B588" t="n">
        <v>0</v>
      </c>
    </row>
    <row r="590">
      <c r="A590" s="5" t="inlineStr">
        <is>
          <t>TOTAL DPS</t>
        </is>
      </c>
      <c r="B590" s="5">
        <f>SUM(O555:O579)</f>
        <v/>
      </c>
    </row>
    <row r="593">
      <c r="A593" s="5" t="inlineStr">
        <is>
          <t>Stat: BASIC_ATTACK_DAMAGE %</t>
        </is>
      </c>
    </row>
    <row r="594">
      <c r="A594" s="8" t="inlineStr">
        <is>
          <t>Key</t>
        </is>
      </c>
      <c r="B594" s="8" t="inlineStr">
        <is>
          <t>Name</t>
        </is>
      </c>
      <c r="C594" s="8" t="inlineStr">
        <is>
          <t>Unlocked</t>
        </is>
      </c>
      <c r="D594" s="8" t="inlineStr">
        <is>
          <t>InputLevel</t>
        </is>
      </c>
      <c r="E594" s="8" t="inlineStr">
        <is>
          <t>Factor</t>
        </is>
      </c>
      <c r="F594" s="8" t="inlineStr">
        <is>
          <t>CoefficientPercent</t>
        </is>
      </c>
      <c r="G594" s="8" t="inlineStr">
        <is>
          <t>EffectiveHits</t>
        </is>
      </c>
      <c r="H594" s="8" t="inlineStr">
        <is>
          <t>ProcProbability</t>
        </is>
      </c>
      <c r="I594" s="8" t="inlineStr">
        <is>
          <t>MapleHeroMultiplier</t>
        </is>
      </c>
      <c r="J594" s="8" t="inlineStr">
        <is>
          <t>BaseDamage</t>
        </is>
      </c>
      <c r="K594" s="8" t="inlineStr">
        <is>
          <t>BaseHitDamage</t>
        </is>
      </c>
      <c r="L594" s="8" t="inlineStr">
        <is>
          <t>NonCritAvg</t>
        </is>
      </c>
      <c r="M594" s="8" t="inlineStr">
        <is>
          <t>CritAvg</t>
        </is>
      </c>
      <c r="N594" s="8" t="inlineStr">
        <is>
          <t>ExpectedDamage(perHit)</t>
        </is>
      </c>
      <c r="O594" s="8" t="inlineStr">
        <is>
          <t>DPS</t>
        </is>
      </c>
      <c r="P594" s="8" t="inlineStr">
        <is>
          <t>% of Total</t>
        </is>
      </c>
      <c r="Q594" s="8" t="inlineStr">
        <is>
          <t>InvCooldown</t>
        </is>
      </c>
      <c r="R594" s="8" t="inlineStr">
        <is>
          <t>CastsInFight</t>
        </is>
      </c>
      <c r="S594" s="8" t="inlineStr">
        <is>
          <t>HitRate(perSec)</t>
        </is>
      </c>
      <c r="U594" t="inlineStr">
        <is>
          <t>helpers</t>
        </is>
      </c>
    </row>
    <row r="595">
      <c r="A595">
        <f>Skills!A2</f>
        <v/>
      </c>
      <c r="B595">
        <f>Skills!B2</f>
        <v/>
      </c>
      <c r="C595">
        <f>Inputs!$B$3&gt;=100</f>
        <v/>
      </c>
      <c r="D595" t="inlineStr"/>
      <c r="E595" t="inlineStr"/>
      <c r="F595">
        <f>U597+Skills!O2</f>
        <v/>
      </c>
      <c r="G595">
        <f>Skills!G2*IF(Skills!H2&gt;0,Skills!I2/Skills!H2,1)</f>
        <v/>
      </c>
      <c r="H595">
        <f>1-(1-Skills!J2/100)^Skills!K2</f>
        <v/>
      </c>
      <c r="I595" t="inlineStr">
        <is>
          <t>1</t>
        </is>
      </c>
      <c r="J595">
        <f>(Inputs!$B$5*(1+Inputs!$B$6/100))*(F595/100)</f>
        <v/>
      </c>
      <c r="K595">
        <f>J595*(1+((Inputs!$B$11*(1+Inputs!$B$12/100))*0.01+Inputs!$B$13*0.0025)/100)*(1+Inputs!$B$14/100)*(1+IF(Inputs!$B$4="pvp",0,(1-Summary!$B$55)*(Inputs!$B$19+0+Skills!P2+((C610=TRUE)*F610*IF(AND(Inputs!$B$4&lt;&gt;"pvp",Inputs!$B$35&gt;0),(((S610-1)*(Skills!T17*(1+Inputs!$B$33/100))+MIN((Skills!T17*(1+Inputs!$B$33/100)),MAX(0,Inputs!$B$35-((S610-1)*Skills!D17))))/Inputs!$B$35),IF(Inputs!$B$4="pvp",MIN((Skills!T17*(1+Inputs!$B$33/100)),15)/15,(Skills!T17*(1+Inputs!$B$33/100))/Skills!D17)))+((C607=TRUE)*IF(Inputs!$B$4="pvp",20,(1-Summary!$B$55)*(20)+Summary!$B$55*(0))*IF(AND(Inputs!$B$4&lt;&gt;"pvp",Inputs!$B$35&gt;0),(((S607-1)*(Skills!T14*(1+Inputs!$B$33/100))+MIN((Skills!T14*(1+Inputs!$B$33/100)),MAX(0,Inputs!$B$35-((S607-1)*Skills!D14))))/Inputs!$B$35),IF(Inputs!$B$4="pvp",MIN((Skills!T14*(1+Inputs!$B$33/100)),15)/15,(Skills!T14*(1+Inputs!$B$33/100))/Skills!D14))))+Summary!$B$55*(Inputs!$B$20+Skills!Q2+((C610=TRUE)*F610*IF(AND(Inputs!$B$4&lt;&gt;"pvp",Inputs!$B$35&gt;0),(((S610-1)*(Skills!T17*(1+Inputs!$B$33/100))+MIN((Skills!T17*(1+Inputs!$B$33/100)),MAX(0,Inputs!$B$35-((S610-1)*Skills!D17))))/Inputs!$B$35),IF(Inputs!$B$4="pvp",MIN((Skills!T17*(1+Inputs!$B$33/100)),15)/15,(Skills!T17*(1+Inputs!$B$33/100))/Skills!D17)))))/100)*(1+Inputs!$B$15/100)*(5000/(6000+Inputs!$B$7*(1-(Inputs!$B$18+0)/100)))*(1+(Inputs!$B$23+((C618=TRUE)*(F618-Calc!F25))+((C619=TRUE)*(F619-Calc!F26))+B628)/100)*(1+(IF(Skills!A2="DARK_IMPALE",(Inputs!$B$16+1)+0,Inputs!$B$17+((C616=TRUE)*(F616-Calc!F23))))/100)*((1+(((C606=TRUE)*F606*IF(AND(Inputs!$B$4&lt;&gt;"pvp",Inputs!$B$35&gt;0),(((S606-1)*(Skills!T13*(1+Inputs!$B$33/100))+MIN((Skills!T13*(1+Inputs!$B$33/100)),MAX(0,Inputs!$B$35-((S606-1)*Skills!D13))))/Inputs!$B$35),IF(Inputs!$B$4="pvp",MIN((Skills!T13*(1+Inputs!$B$33/100)),15)/15,(Skills!T13*(1+Inputs!$B$33/100))/Skills!D13)))+((C607=TRUE)*F607*IF(AND(Inputs!$B$4&lt;&gt;"pvp",Inputs!$B$35&gt;0),(((S607-1)*(Skills!T14*(1+Inputs!$B$33/100))+MIN((Skills!T14*(1+Inputs!$B$33/100)),MAX(0,Inputs!$B$35-((S607-1)*Skills!D14))))/Inputs!$B$35),IF(Inputs!$B$4="pvp",MIN((Skills!T14*(1+Inputs!$B$33/100)),15)/15,(Skills!T14*(1+Inputs!$B$33/100))/Skills!D14)))+((C608=TRUE)*F608*IF(AND(Inputs!$B$4&lt;&gt;"pvp",Inputs!$B$35&gt;0),(((S608-1)*(Skills!T15*(1+Inputs!$B$33/100))+MIN((Skills!T15*(1+Inputs!$B$33/100)),MAX(0,Inputs!$B$35-((S608-1)*Skills!D15))))/Inputs!$B$35),IF(Inputs!$B$4="pvp",MIN((Skills!T15*(1+Inputs!$B$33/100)),15)/15,(Skills!T15*(1+Inputs!$B$33/100))/Skills!D15)))+((C609=TRUE)*F609*IF(AND(Inputs!$B$4&lt;&gt;"pvp",Inputs!$B$35&gt;0),(((S609-1)*(Skills!T16*(1+Inputs!$B$33/100))+MIN((Skills!T16*(1+Inputs!$B$33/100)),MAX(0,Inputs!$B$35-((S609-1)*Skills!D16))))/Inputs!$B$35),IF(Inputs!$B$4="pvp",MIN((Skills!T16*(1+Inputs!$B$33/100)),15)/15,(Skills!T16*(1+Inputs!$B$33/100))/Skills!D16)))+0)/100)*I595)</f>
        <v/>
      </c>
      <c r="L595">
        <f>K595*(MIN(Inputs!$B$21+((C615=TRUE)*(F615-Calc!F22)),Inputs!$B$22+((C617=TRUE)*(F617-Calc!F24)))/100+(Inputs!$B$22+((C617=TRUE)*(F617-Calc!F24)))/100)/2</f>
        <v/>
      </c>
      <c r="M595">
        <f>L595*(1+(Inputs!$B$9+0+B627)/100)</f>
        <v/>
      </c>
      <c r="N595">
        <f>L595*(1-MIN((Inputs!$B$8+0+B622),100)/100)+M595*(MIN((Inputs!$B$8+0+B622),100)/100)</f>
        <v/>
      </c>
      <c r="O595">
        <f>IF(C595,Skills!G2*N595*B626*IF(Inputs!$B$4="pvp",1,(1-Summary!$B$55)*(1)+Summary!$B$55*(MIN((6+Inputs!$B$32),Inputs!$B$37))),0)</f>
        <v/>
      </c>
      <c r="P595">
        <f>IF(B630=0,0,O595/B630)</f>
        <v/>
      </c>
      <c r="Q595" t="n">
        <v>0</v>
      </c>
      <c r="R595" t="n">
        <v>0</v>
      </c>
      <c r="S595">
        <f>IFERROR(O595/N595,0)</f>
        <v/>
      </c>
      <c r="U595">
        <f>MAX(0,(Inputs!$B$3-100)*3)+Inputs!$B$27+Inputs!$B$28</f>
        <v/>
      </c>
    </row>
    <row r="596">
      <c r="A596">
        <f>Skills!A3</f>
        <v/>
      </c>
      <c r="B596">
        <f>Skills!B3</f>
        <v/>
      </c>
      <c r="C596">
        <f>Inputs!$B$3&gt;=50</f>
        <v/>
      </c>
      <c r="D596">
        <f>IF(Skills!C3=1,60+Inputs!$B$24+Inputs!$B$28,IF(Skills!C3=2,90+Inputs!$B$25+Inputs!$B$28,IF(Skills!C3=3,120+Inputs!$B$26+Inputs!$B$28,MAX(0,(Inputs!$B$3-100)*3)+Inputs!$B$27+Inputs!$B$28)))</f>
        <v/>
      </c>
      <c r="E596">
        <f>INDEX(FactorTable!$B$2:$Y$301, MATCH(ROUND(MIN(300,MAX(1,D596)),0), FactorTable!$A$2:$A$301,0), Skills!M3+1)</f>
        <v/>
      </c>
      <c r="F596">
        <f>IF(Skills!N3=TRUE,(Skills!L3/10)*(E596/1000),Skills!L3/10)+Skills!O3</f>
        <v/>
      </c>
      <c r="G596" t="inlineStr"/>
      <c r="H596" t="inlineStr"/>
      <c r="I596" t="inlineStr">
        <is>
          <t>1</t>
        </is>
      </c>
      <c r="J596" t="inlineStr"/>
      <c r="K596" t="inlineStr"/>
      <c r="L596" t="inlineStr"/>
      <c r="M596" t="inlineStr"/>
      <c r="N596" t="inlineStr"/>
      <c r="O596" t="inlineStr"/>
      <c r="P596" t="inlineStr"/>
      <c r="Q596" t="inlineStr"/>
      <c r="R596" t="inlineStr"/>
      <c r="S596" t="inlineStr"/>
      <c r="U596">
        <f>INDEX(FactorTable!$B$2:$Y$301, MATCH(ROUND(MIN(300,MAX(1,U595)),0), FactorTable!$A$2:$A$301,0), 22)</f>
        <v/>
      </c>
    </row>
    <row r="597">
      <c r="A597">
        <f>Skills!A4</f>
        <v/>
      </c>
      <c r="B597">
        <f>Skills!B4</f>
        <v/>
      </c>
      <c r="C597">
        <f>Inputs!$B$3&gt;=105</f>
        <v/>
      </c>
      <c r="D597">
        <f>IF(Skills!C4=1,60+Inputs!$B$24+Inputs!$B$28,IF(Skills!C4=2,90+Inputs!$B$25+Inputs!$B$28,IF(Skills!C4=3,120+Inputs!$B$26+Inputs!$B$28,MAX(0,(Inputs!$B$3-100)*3)+Inputs!$B$27+Inputs!$B$28)))</f>
        <v/>
      </c>
      <c r="E597">
        <f>INDEX(FactorTable!$B$2:$Y$301, MATCH(ROUND(MIN(300,MAX(1,D597)),0), FactorTable!$A$2:$A$301,0), Skills!M4+1)</f>
        <v/>
      </c>
      <c r="F597">
        <f>IF(Skills!N4=TRUE,(Skills!L4/10)*(E597/1000),Skills!L4/10)+Skills!O4</f>
        <v/>
      </c>
      <c r="G597" t="inlineStr"/>
      <c r="H597" t="inlineStr"/>
      <c r="I597" t="inlineStr">
        <is>
          <t>1</t>
        </is>
      </c>
      <c r="J597" t="inlineStr"/>
      <c r="K597" t="inlineStr"/>
      <c r="L597" t="inlineStr"/>
      <c r="M597" t="inlineStr"/>
      <c r="N597" t="inlineStr"/>
      <c r="O597" t="inlineStr"/>
      <c r="P597" t="inlineStr"/>
      <c r="Q597" t="inlineStr"/>
      <c r="R597" t="inlineStr"/>
      <c r="S597" t="inlineStr"/>
      <c r="U597">
        <f>290*U596/1000</f>
        <v/>
      </c>
    </row>
    <row r="598">
      <c r="A598">
        <f>Skills!A5</f>
        <v/>
      </c>
      <c r="B598">
        <f>Skills!B5</f>
        <v/>
      </c>
      <c r="C598">
        <f>Inputs!$B$3&gt;=117</f>
        <v/>
      </c>
      <c r="D598">
        <f>IF(Skills!C5=1,60+Inputs!$B$24+Inputs!$B$28,IF(Skills!C5=2,90+Inputs!$B$25+Inputs!$B$28,IF(Skills!C5=3,120+Inputs!$B$26+Inputs!$B$28,MAX(0,(Inputs!$B$3-100)*3)+Inputs!$B$27+Inputs!$B$28)))</f>
        <v/>
      </c>
      <c r="E598">
        <f>INDEX(FactorTable!$B$2:$Y$301, MATCH(ROUND(MIN(300,MAX(1,D598)),0), FactorTable!$A$2:$A$301,0), Skills!M5+1)</f>
        <v/>
      </c>
      <c r="F598">
        <f>IF(Skills!N5=TRUE,(Skills!L5/10)*(E598/1000),Skills!L5/10)+Skills!O5</f>
        <v/>
      </c>
      <c r="G598">
        <f>Skills!G5*IF(Skills!H5&gt;0,Skills!I5/Skills!H5,1)</f>
        <v/>
      </c>
      <c r="H598">
        <f>1-(1-Skills!J5/100)^Skills!K5</f>
        <v/>
      </c>
      <c r="I598" t="inlineStr">
        <is>
          <t>1</t>
        </is>
      </c>
      <c r="J598">
        <f>(Inputs!$B$5*(1+Inputs!$B$6/100))*(F598/100)</f>
        <v/>
      </c>
      <c r="K598">
        <f>J598*(1+((Inputs!$B$11*(1+Inputs!$B$12/100))*0.01+Inputs!$B$13*0.0025)/100)*(1+Inputs!$B$14/100)*(1+IF(Inputs!$B$4="pvp",0,(1-Summary!$B$55)*(Inputs!$B$19+0+Skills!P5+((C610=TRUE)*F610*IF(AND(Inputs!$B$4&lt;&gt;"pvp",Inputs!$B$35&gt;0),(((S610-1)*(Skills!T17*(1+Inputs!$B$33/100))+MIN((Skills!T17*(1+Inputs!$B$33/100)),MAX(0,Inputs!$B$35-((S610-1)*Skills!D17))))/Inputs!$B$35),IF(Inputs!$B$4="pvp",MIN((Skills!T17*(1+Inputs!$B$33/100)),15)/15,(Skills!T17*(1+Inputs!$B$33/100))/Skills!D17)))+((C607=TRUE)*IF(Inputs!$B$4="pvp",20,(1-Summary!$B$55)*(20)+Summary!$B$55*(0))*IF(AND(Inputs!$B$4&lt;&gt;"pvp",Inputs!$B$35&gt;0),(((S607-1)*(Skills!T14*(1+Inputs!$B$33/100))+MIN((Skills!T14*(1+Inputs!$B$33/100)),MAX(0,Inputs!$B$35-((S607-1)*Skills!D14))))/Inputs!$B$35),IF(Inputs!$B$4="pvp",MIN((Skills!T14*(1+Inputs!$B$33/100)),15)/15,(Skills!T14*(1+Inputs!$B$33/100))/Skills!D14))))+Summary!$B$55*(Inputs!$B$20+Skills!Q5+((C610=TRUE)*F610*IF(AND(Inputs!$B$4&lt;&gt;"pvp",Inputs!$B$35&gt;0),(((S610-1)*(Skills!T17*(1+Inputs!$B$33/100))+MIN((Skills!T17*(1+Inputs!$B$33/100)),MAX(0,Inputs!$B$35-((S610-1)*Skills!D17))))/Inputs!$B$35),IF(Inputs!$B$4="pvp",MIN((Skills!T17*(1+Inputs!$B$33/100)),15)/15,(Skills!T17*(1+Inputs!$B$33/100))/Skills!D17)))))/100)*(1+Inputs!$B$15/100)*(5000/(6000+Inputs!$B$7*(1-(Inputs!$B$18+0)/100)))*(1+(Inputs!$B$23+((C618=TRUE)*(F618-Calc!F25))+((C619=TRUE)*(F619-Calc!F26))+B628)/100)*(1+(IF(Skills!A5="DARK_IMPALE",(Inputs!$B$16+1)+0,Inputs!$B$17+((C616=TRUE)*(F616-Calc!F23))))/100)*((1+(((C606=TRUE)*F606*IF(AND(Inputs!$B$4&lt;&gt;"pvp",Inputs!$B$35&gt;0),(((S606-1)*(Skills!T13*(1+Inputs!$B$33/100))+MIN((Skills!T13*(1+Inputs!$B$33/100)),MAX(0,Inputs!$B$35-((S606-1)*Skills!D13))))/Inputs!$B$35),IF(Inputs!$B$4="pvp",MIN((Skills!T13*(1+Inputs!$B$33/100)),15)/15,(Skills!T13*(1+Inputs!$B$33/100))/Skills!D13)))+((C607=TRUE)*F607*IF(AND(Inputs!$B$4&lt;&gt;"pvp",Inputs!$B$35&gt;0),(((S607-1)*(Skills!T14*(1+Inputs!$B$33/100))+MIN((Skills!T14*(1+Inputs!$B$33/100)),MAX(0,Inputs!$B$35-((S607-1)*Skills!D14))))/Inputs!$B$35),IF(Inputs!$B$4="pvp",MIN((Skills!T14*(1+Inputs!$B$33/100)),15)/15,(Skills!T14*(1+Inputs!$B$33/100))/Skills!D14)))+((C608=TRUE)*F608*IF(AND(Inputs!$B$4&lt;&gt;"pvp",Inputs!$B$35&gt;0),(((S608-1)*(Skills!T15*(1+Inputs!$B$33/100))+MIN((Skills!T15*(1+Inputs!$B$33/100)),MAX(0,Inputs!$B$35-((S608-1)*Skills!D15))))/Inputs!$B$35),IF(Inputs!$B$4="pvp",MIN((Skills!T15*(1+Inputs!$B$33/100)),15)/15,(Skills!T15*(1+Inputs!$B$33/100))/Skills!D15)))+((C609=TRUE)*F609*IF(AND(Inputs!$B$4&lt;&gt;"pvp",Inputs!$B$35&gt;0),(((S609-1)*(Skills!T16*(1+Inputs!$B$33/100))+MIN((Skills!T16*(1+Inputs!$B$33/100)),MAX(0,Inputs!$B$35-((S609-1)*Skills!D16))))/Inputs!$B$35),IF(Inputs!$B$4="pvp",MIN((Skills!T16*(1+Inputs!$B$33/100)),15)/15,(Skills!T16*(1+Inputs!$B$33/100))/Skills!D16)))+0)/100)*I598)</f>
        <v/>
      </c>
      <c r="L598">
        <f>K598*(MIN(Inputs!$B$21+((C615=TRUE)*(F615-Calc!F22)),Inputs!$B$22+((C617=TRUE)*(F617-Calc!F24)))/100+(Inputs!$B$22+((C617=TRUE)*(F617-Calc!F24)))/100)/2</f>
        <v/>
      </c>
      <c r="M598">
        <f>L598*(1+(Inputs!$B$9+0+B627)/100)</f>
        <v/>
      </c>
      <c r="N598">
        <f>L598*(1-MIN((Inputs!$B$8+0+B622),100)/100)+M598*(MIN((Inputs!$B$8+0+B622),100)/100)</f>
        <v/>
      </c>
      <c r="O598">
        <f>IF(C598,H598*N598*IF(AND(Inputs!$B$4&lt;&gt;"pvp",Inputs!$B$35&gt;0),((Skills!G5*((R598-1)*IF(Skills!H5&gt;0,Skills!I5/Skills!H5,1)+IF(Skills!H5&gt;0,MIN(Skills!I5,MAX(0,Inputs!$B$35-((R598-1)*IF(Inputs!$B$4="pvp",15,MAX(0.1,Skills!D5-IF(Skills!E5=TRUE,Inputs!$B$31,0))))))/Skills!H5,1)))/Inputs!$B$35),G598*Q598)*IF(Inputs!$B$4="pvp",1,(1-Summary!$B$55)*(1)+Summary!$B$55*(MIN(Skills!R5,Inputs!$B$37))),0)</f>
        <v/>
      </c>
      <c r="P598">
        <f>IF(B630=0,0,O598/B630)</f>
        <v/>
      </c>
      <c r="Q598">
        <f>IFERROR(1/IF(Inputs!$B$4="pvp",15,MAX(0.1,Skills!D5-IF(Skills!E5=TRUE,Inputs!$B$31,0))),0)</f>
        <v/>
      </c>
      <c r="R598">
        <f>IF(AND(Inputs!$B$4&lt;&gt;"pvp",Inputs!$B$35&gt;0),(INT(Inputs!$B$35/IF(Inputs!$B$4="pvp",15,MAX(0.1,Skills!D5-IF(Skills!E5=TRUE,Inputs!$B$31,0))))+1),0)</f>
        <v/>
      </c>
      <c r="S598">
        <f>IFERROR(O598/N598,0)</f>
        <v/>
      </c>
    </row>
    <row r="599">
      <c r="A599">
        <f>Skills!A6</f>
        <v/>
      </c>
      <c r="B599">
        <f>Skills!B6</f>
        <v/>
      </c>
      <c r="C599">
        <f>Inputs!$B$3&gt;=103</f>
        <v/>
      </c>
      <c r="D599">
        <f>IF(Skills!C6=1,60+Inputs!$B$24+Inputs!$B$28,IF(Skills!C6=2,90+Inputs!$B$25+Inputs!$B$28,IF(Skills!C6=3,120+Inputs!$B$26+Inputs!$B$28,MAX(0,(Inputs!$B$3-100)*3)+Inputs!$B$27+Inputs!$B$28)))</f>
        <v/>
      </c>
      <c r="E599">
        <f>INDEX(FactorTable!$B$2:$Y$301, MATCH(ROUND(MIN(300,MAX(1,D599)),0), FactorTable!$A$2:$A$301,0), Skills!M6+1)</f>
        <v/>
      </c>
      <c r="F599">
        <f>IF(Skills!N6=TRUE,(Skills!L6/10)*(E599/1000),Skills!L6/10)+Skills!O6</f>
        <v/>
      </c>
      <c r="G599">
        <f>Skills!G6*IF(Skills!H6&gt;0,Skills!I6/Skills!H6,1)</f>
        <v/>
      </c>
      <c r="H599">
        <f>1-(1-Skills!J6/100)^Skills!K6</f>
        <v/>
      </c>
      <c r="I599" t="inlineStr">
        <is>
          <t>1</t>
        </is>
      </c>
      <c r="J599">
        <f>(Inputs!$B$5*(1+Inputs!$B$6/100))*(F599/100)</f>
        <v/>
      </c>
      <c r="K599">
        <f>J599*(1+((Inputs!$B$11*(1+Inputs!$B$12/100))*0.01+Inputs!$B$13*0.0025)/100)*(1+Inputs!$B$14/100)*(1+IF(Inputs!$B$4="pvp",0,(1-Summary!$B$55)*(Inputs!$B$19+0+Skills!P6+((C610=TRUE)*F610*IF(AND(Inputs!$B$4&lt;&gt;"pvp",Inputs!$B$35&gt;0),(((S610-1)*(Skills!T17*(1+Inputs!$B$33/100))+MIN((Skills!T17*(1+Inputs!$B$33/100)),MAX(0,Inputs!$B$35-((S610-1)*Skills!D17))))/Inputs!$B$35),IF(Inputs!$B$4="pvp",MIN((Skills!T17*(1+Inputs!$B$33/100)),15)/15,(Skills!T17*(1+Inputs!$B$33/100))/Skills!D17)))+((C607=TRUE)*IF(Inputs!$B$4="pvp",20,(1-Summary!$B$55)*(20)+Summary!$B$55*(0))*IF(AND(Inputs!$B$4&lt;&gt;"pvp",Inputs!$B$35&gt;0),(((S607-1)*(Skills!T14*(1+Inputs!$B$33/100))+MIN((Skills!T14*(1+Inputs!$B$33/100)),MAX(0,Inputs!$B$35-((S607-1)*Skills!D14))))/Inputs!$B$35),IF(Inputs!$B$4="pvp",MIN((Skills!T14*(1+Inputs!$B$33/100)),15)/15,(Skills!T14*(1+Inputs!$B$33/100))/Skills!D14))))+Summary!$B$55*(Inputs!$B$20+Skills!Q6+((C610=TRUE)*F610*IF(AND(Inputs!$B$4&lt;&gt;"pvp",Inputs!$B$35&gt;0),(((S610-1)*(Skills!T17*(1+Inputs!$B$33/100))+MIN((Skills!T17*(1+Inputs!$B$33/100)),MAX(0,Inputs!$B$35-((S610-1)*Skills!D17))))/Inputs!$B$35),IF(Inputs!$B$4="pvp",MIN((Skills!T17*(1+Inputs!$B$33/100)),15)/15,(Skills!T17*(1+Inputs!$B$33/100))/Skills!D17)))))/100)*(1+Inputs!$B$15/100)*(5000/(6000+Inputs!$B$7*(1-(Inputs!$B$18+0)/100)))*(1+(Inputs!$B$23+((C618=TRUE)*(F618-Calc!F25))+((C619=TRUE)*(F619-Calc!F26))+B628)/100)*(1+(IF(Skills!A6="DARK_IMPALE",(Inputs!$B$16+1)+0,Inputs!$B$17+((C616=TRUE)*(F616-Calc!F23))))/100)*((1+(((C606=TRUE)*F606*IF(AND(Inputs!$B$4&lt;&gt;"pvp",Inputs!$B$35&gt;0),(((S606-1)*(Skills!T13*(1+Inputs!$B$33/100))+MIN((Skills!T13*(1+Inputs!$B$33/100)),MAX(0,Inputs!$B$35-((S606-1)*Skills!D13))))/Inputs!$B$35),IF(Inputs!$B$4="pvp",MIN((Skills!T13*(1+Inputs!$B$33/100)),15)/15,(Skills!T13*(1+Inputs!$B$33/100))/Skills!D13)))+((C607=TRUE)*F607*IF(AND(Inputs!$B$4&lt;&gt;"pvp",Inputs!$B$35&gt;0),(((S607-1)*(Skills!T14*(1+Inputs!$B$33/100))+MIN((Skills!T14*(1+Inputs!$B$33/100)),MAX(0,Inputs!$B$35-((S607-1)*Skills!D14))))/Inputs!$B$35),IF(Inputs!$B$4="pvp",MIN((Skills!T14*(1+Inputs!$B$33/100)),15)/15,(Skills!T14*(1+Inputs!$B$33/100))/Skills!D14)))+((C608=TRUE)*F608*IF(AND(Inputs!$B$4&lt;&gt;"pvp",Inputs!$B$35&gt;0),(((S608-1)*(Skills!T15*(1+Inputs!$B$33/100))+MIN((Skills!T15*(1+Inputs!$B$33/100)),MAX(0,Inputs!$B$35-((S608-1)*Skills!D15))))/Inputs!$B$35),IF(Inputs!$B$4="pvp",MIN((Skills!T15*(1+Inputs!$B$33/100)),15)/15,(Skills!T15*(1+Inputs!$B$33/100))/Skills!D15)))+((C609=TRUE)*F609*IF(AND(Inputs!$B$4&lt;&gt;"pvp",Inputs!$B$35&gt;0),(((S609-1)*(Skills!T16*(1+Inputs!$B$33/100))+MIN((Skills!T16*(1+Inputs!$B$33/100)),MAX(0,Inputs!$B$35-((S609-1)*Skills!D16))))/Inputs!$B$35),IF(Inputs!$B$4="pvp",MIN((Skills!T16*(1+Inputs!$B$33/100)),15)/15,(Skills!T16*(1+Inputs!$B$33/100))/Skills!D16)))+0)/100)*I599)</f>
        <v/>
      </c>
      <c r="L599">
        <f>K599*(MIN(Inputs!$B$21+((C615=TRUE)*(F615-Calc!F22)),Inputs!$B$22+((C617=TRUE)*(F617-Calc!F24)))/100+(Inputs!$B$22+((C617=TRUE)*(F617-Calc!F24)))/100)/2</f>
        <v/>
      </c>
      <c r="M599">
        <f>L599*(1+(Inputs!$B$9+0+B627)/100)</f>
        <v/>
      </c>
      <c r="N599">
        <f>L599*(1-MIN((Inputs!$B$8+0+B622),100)/100)+M599*(MIN((Inputs!$B$8+0+B622),100)/100)</f>
        <v/>
      </c>
      <c r="O599">
        <f>IF(C599,H599*N599*IF(AND(Inputs!$B$4&lt;&gt;"pvp",Inputs!$B$35&gt;0),((Skills!G6*((R599-1)*IF(Skills!H6&gt;0,Skills!I6/Skills!H6,1)+IF(Skills!H6&gt;0,MIN(Skills!I6,MAX(0,Inputs!$B$35-((R599-1)*IF(Inputs!$B$4="pvp",15,MAX(0.1,Skills!D6-IF(Skills!E6=TRUE,Inputs!$B$31,0))))))/Skills!H6,1)))/Inputs!$B$35),G599*Q599)*IF(Inputs!$B$4="pvp",1,(1-Summary!$B$55)*(1)+Summary!$B$55*(MIN(Skills!R6,Inputs!$B$37))),0)</f>
        <v/>
      </c>
      <c r="P599">
        <f>IF(B630=0,0,O599/B630)</f>
        <v/>
      </c>
      <c r="Q599">
        <f>IFERROR(1/IF(Inputs!$B$4="pvp",15,MAX(0.1,Skills!D6-IF(Skills!E6=TRUE,Inputs!$B$31,0))),0)</f>
        <v/>
      </c>
      <c r="R599">
        <f>IF(AND(Inputs!$B$4&lt;&gt;"pvp",Inputs!$B$35&gt;0),(INT(Inputs!$B$35/IF(Inputs!$B$4="pvp",15,MAX(0.1,Skills!D6-IF(Skills!E6=TRUE,Inputs!$B$31,0))))+1),0)</f>
        <v/>
      </c>
      <c r="S599">
        <f>IFERROR(O599/N599,0)</f>
        <v/>
      </c>
    </row>
    <row r="600">
      <c r="A600">
        <f>Skills!A7</f>
        <v/>
      </c>
      <c r="B600">
        <f>Skills!B7</f>
        <v/>
      </c>
      <c r="C600">
        <f>Inputs!$B$3&gt;=40</f>
        <v/>
      </c>
      <c r="D600">
        <f>IF(Skills!C7=1,60+Inputs!$B$24+Inputs!$B$28,IF(Skills!C7=2,90+Inputs!$B$25+Inputs!$B$28,IF(Skills!C7=3,120+Inputs!$B$26+Inputs!$B$28,MAX(0,(Inputs!$B$3-100)*3)+Inputs!$B$27+Inputs!$B$28)))</f>
        <v/>
      </c>
      <c r="E600">
        <f>INDEX(FactorTable!$B$2:$Y$301, MATCH(ROUND(MIN(300,MAX(1,D600)),0), FactorTable!$A$2:$A$301,0), Skills!M7+1)</f>
        <v/>
      </c>
      <c r="F600">
        <f>IF(Skills!N7=TRUE,(Skills!L7/10)*(E600/1000),Skills!L7/10)+Skills!O7</f>
        <v/>
      </c>
      <c r="G600">
        <f>Skills!G7*IF(Skills!H7&gt;0,Skills!I7/Skills!H7,1)</f>
        <v/>
      </c>
      <c r="H600">
        <f>1-(1-Skills!J7/100)^Skills!K7</f>
        <v/>
      </c>
      <c r="I600" t="inlineStr">
        <is>
          <t>1</t>
        </is>
      </c>
      <c r="J600">
        <f>(Inputs!$B$5*(1+Inputs!$B$6/100))*(F600/100)</f>
        <v/>
      </c>
      <c r="K600">
        <f>J600*(1+((Inputs!$B$11*(1+Inputs!$B$12/100))*0.01+Inputs!$B$13*0.0025)/100)*(1+Inputs!$B$14/100)*(1+IF(Inputs!$B$4="pvp",0,(1-Summary!$B$55)*(Inputs!$B$19+0+Skills!P7+((C610=TRUE)*F610*IF(AND(Inputs!$B$4&lt;&gt;"pvp",Inputs!$B$35&gt;0),(((S610-1)*(Skills!T17*(1+Inputs!$B$33/100))+MIN((Skills!T17*(1+Inputs!$B$33/100)),MAX(0,Inputs!$B$35-((S610-1)*Skills!D17))))/Inputs!$B$35),IF(Inputs!$B$4="pvp",MIN((Skills!T17*(1+Inputs!$B$33/100)),15)/15,(Skills!T17*(1+Inputs!$B$33/100))/Skills!D17)))+((C607=TRUE)*IF(Inputs!$B$4="pvp",20,(1-Summary!$B$55)*(20)+Summary!$B$55*(0))*IF(AND(Inputs!$B$4&lt;&gt;"pvp",Inputs!$B$35&gt;0),(((S607-1)*(Skills!T14*(1+Inputs!$B$33/100))+MIN((Skills!T14*(1+Inputs!$B$33/100)),MAX(0,Inputs!$B$35-((S607-1)*Skills!D14))))/Inputs!$B$35),IF(Inputs!$B$4="pvp",MIN((Skills!T14*(1+Inputs!$B$33/100)),15)/15,(Skills!T14*(1+Inputs!$B$33/100))/Skills!D14))))+Summary!$B$55*(Inputs!$B$20+Skills!Q7+((C610=TRUE)*F610*IF(AND(Inputs!$B$4&lt;&gt;"pvp",Inputs!$B$35&gt;0),(((S610-1)*(Skills!T17*(1+Inputs!$B$33/100))+MIN((Skills!T17*(1+Inputs!$B$33/100)),MAX(0,Inputs!$B$35-((S610-1)*Skills!D17))))/Inputs!$B$35),IF(Inputs!$B$4="pvp",MIN((Skills!T17*(1+Inputs!$B$33/100)),15)/15,(Skills!T17*(1+Inputs!$B$33/100))/Skills!D17)))))/100)*(1+Inputs!$B$15/100)*(5000/(6000+Inputs!$B$7*(1-(Inputs!$B$18+0)/100)))*(1+(Inputs!$B$23+((C618=TRUE)*(F618-Calc!F25))+((C619=TRUE)*(F619-Calc!F26))+B628)/100)*(1+0.75*IF(C604=TRUE,F604,0)/100)*(1+(IF(Skills!A7="DARK_IMPALE",(Inputs!$B$16+1)+0,Inputs!$B$17+((C616=TRUE)*(F616-Calc!F23))))/100)*((1+(((C606=TRUE)*F606*IF(AND(Inputs!$B$4&lt;&gt;"pvp",Inputs!$B$35&gt;0),(((S606-1)*(Skills!T13*(1+Inputs!$B$33/100))+MIN((Skills!T13*(1+Inputs!$B$33/100)),MAX(0,Inputs!$B$35-((S606-1)*Skills!D13))))/Inputs!$B$35),IF(Inputs!$B$4="pvp",MIN((Skills!T13*(1+Inputs!$B$33/100)),15)/15,(Skills!T13*(1+Inputs!$B$33/100))/Skills!D13)))+((C607=TRUE)*F607*IF(AND(Inputs!$B$4&lt;&gt;"pvp",Inputs!$B$35&gt;0),(((S607-1)*(Skills!T14*(1+Inputs!$B$33/100))+MIN((Skills!T14*(1+Inputs!$B$33/100)),MAX(0,Inputs!$B$35-((S607-1)*Skills!D14))))/Inputs!$B$35),IF(Inputs!$B$4="pvp",MIN((Skills!T14*(1+Inputs!$B$33/100)),15)/15,(Skills!T14*(1+Inputs!$B$33/100))/Skills!D14)))+((C608=TRUE)*F608*IF(AND(Inputs!$B$4&lt;&gt;"pvp",Inputs!$B$35&gt;0),(((S608-1)*(Skills!T15*(1+Inputs!$B$33/100))+MIN((Skills!T15*(1+Inputs!$B$33/100)),MAX(0,Inputs!$B$35-((S608-1)*Skills!D15))))/Inputs!$B$35),IF(Inputs!$B$4="pvp",MIN((Skills!T15*(1+Inputs!$B$33/100)),15)/15,(Skills!T15*(1+Inputs!$B$33/100))/Skills!D15)))+((C609=TRUE)*F609*IF(AND(Inputs!$B$4&lt;&gt;"pvp",Inputs!$B$35&gt;0),(((S609-1)*(Skills!T16*(1+Inputs!$B$33/100))+MIN((Skills!T16*(1+Inputs!$B$33/100)),MAX(0,Inputs!$B$35-((S609-1)*Skills!D16))))/Inputs!$B$35),IF(Inputs!$B$4="pvp",MIN((Skills!T16*(1+Inputs!$B$33/100)),15)/15,(Skills!T16*(1+Inputs!$B$33/100))/Skills!D16)))+0)/100)*I600)</f>
        <v/>
      </c>
      <c r="L600">
        <f>K600*(MIN(Inputs!$B$21+((C615=TRUE)*(F615-Calc!F22)),Inputs!$B$22+((C617=TRUE)*(F617-Calc!F24)))/100+(Inputs!$B$22+((C617=TRUE)*(F617-Calc!F24)))/100)/2</f>
        <v/>
      </c>
      <c r="M600">
        <f>L600*(1+(Inputs!$B$9+0+B627)/100)</f>
        <v/>
      </c>
      <c r="N600">
        <f>L600*(1-MIN((Inputs!$B$8+0+B622),100)/100)+M600*(MIN((Inputs!$B$8+0+B622),100)/100)</f>
        <v/>
      </c>
      <c r="O600">
        <f>IF(C600,H600*N600*IF(AND(Inputs!$B$4&lt;&gt;"pvp",Inputs!$B$35&gt;0),((Skills!G7*((R600-1)*IF(Skills!H7&gt;0,Skills!I7/Skills!H7,1)+IF(Skills!H7&gt;0,MIN(Skills!I7,MAX(0,Inputs!$B$35-((R600-1)*IF(Inputs!$B$4="pvp",15,MAX(0.1,Skills!D7-IF(Skills!E7=TRUE,Inputs!$B$31,0))))))/Skills!H7,1)))/Inputs!$B$35),G600*Q600)*IF(Inputs!$B$4="pvp",1,(1-Summary!$B$55)*(1)+Summary!$B$55*(MIN(Skills!R7,Inputs!$B$37))),0)</f>
        <v/>
      </c>
      <c r="P600">
        <f>IF(B630=0,0,O600/B630)</f>
        <v/>
      </c>
      <c r="Q600">
        <f>IFERROR(1/IF(Inputs!$B$4="pvp",15,MAX(0.1,Skills!D7-IF(Skills!E7=TRUE,Inputs!$B$31,0))),0)</f>
        <v/>
      </c>
      <c r="R600">
        <f>IF(AND(Inputs!$B$4&lt;&gt;"pvp",Inputs!$B$35&gt;0),(INT(Inputs!$B$35/IF(Inputs!$B$4="pvp",15,MAX(0.1,Skills!D7-IF(Skills!E7=TRUE,Inputs!$B$31,0))))+1),0)</f>
        <v/>
      </c>
      <c r="S600">
        <f>IFERROR(O600/N600,0)</f>
        <v/>
      </c>
    </row>
    <row r="601">
      <c r="A601">
        <f>Skills!A8</f>
        <v/>
      </c>
      <c r="B601">
        <f>Skills!B8</f>
        <v/>
      </c>
      <c r="C601">
        <f>Inputs!$B$3&gt;=75</f>
        <v/>
      </c>
      <c r="D601">
        <f>IF(Skills!C8=1,60+Inputs!$B$24+Inputs!$B$28,IF(Skills!C8=2,90+Inputs!$B$25+Inputs!$B$28,IF(Skills!C8=3,120+Inputs!$B$26+Inputs!$B$28,MAX(0,(Inputs!$B$3-100)*3)+Inputs!$B$27+Inputs!$B$28)))</f>
        <v/>
      </c>
      <c r="E601">
        <f>INDEX(FactorTable!$B$2:$Y$301, MATCH(ROUND(MIN(300,MAX(1,D601)),0), FactorTable!$A$2:$A$301,0), Skills!M8+1)</f>
        <v/>
      </c>
      <c r="F601">
        <f>IF(Skills!N8=TRUE,(Skills!L8/10)*(E601/1000),Skills!L8/10)+Skills!O8</f>
        <v/>
      </c>
      <c r="G601" t="inlineStr"/>
      <c r="H601" t="inlineStr"/>
      <c r="I601" t="inlineStr">
        <is>
          <t>1</t>
        </is>
      </c>
      <c r="J601" t="inlineStr"/>
      <c r="K601" t="inlineStr"/>
      <c r="L601" t="inlineStr"/>
      <c r="M601" t="inlineStr"/>
      <c r="N601" t="inlineStr"/>
      <c r="O601" t="inlineStr"/>
      <c r="P601" t="inlineStr"/>
      <c r="Q601" t="inlineStr"/>
      <c r="R601" t="inlineStr"/>
      <c r="S601" t="inlineStr"/>
    </row>
    <row r="602">
      <c r="A602">
        <f>Skills!A9</f>
        <v/>
      </c>
      <c r="B602">
        <f>Skills!B9</f>
        <v/>
      </c>
      <c r="C602">
        <f>Inputs!$B$3&gt;=60</f>
        <v/>
      </c>
      <c r="D602">
        <f>IF(Skills!C9=1,60+Inputs!$B$24+Inputs!$B$28,IF(Skills!C9=2,90+Inputs!$B$25+Inputs!$B$28,IF(Skills!C9=3,120+Inputs!$B$26+Inputs!$B$28,MAX(0,(Inputs!$B$3-100)*3)+Inputs!$B$27+Inputs!$B$28)))</f>
        <v/>
      </c>
      <c r="E602">
        <f>INDEX(FactorTable!$B$2:$Y$301, MATCH(ROUND(MIN(300,MAX(1,D602)),0), FactorTable!$A$2:$A$301,0), Skills!M9+1)</f>
        <v/>
      </c>
      <c r="F602">
        <f>IF(Skills!N9=TRUE,(Skills!L9/10)*(E602/1000),Skills!L9/10)+Skills!O9</f>
        <v/>
      </c>
      <c r="G602">
        <f>Skills!G9*IF(Skills!H9&gt;0,Skills!I9/Skills!H9,1)</f>
        <v/>
      </c>
      <c r="H602">
        <f>1-(1-Skills!J9/100)^Skills!K9</f>
        <v/>
      </c>
      <c r="I602" t="inlineStr">
        <is>
          <t>1</t>
        </is>
      </c>
      <c r="J602">
        <f>(Inputs!$B$5*(1+Inputs!$B$6/100))*(F602/100)</f>
        <v/>
      </c>
      <c r="K602">
        <f>J602*(1+((Inputs!$B$11*(1+Inputs!$B$12/100))*0.01+Inputs!$B$13*0.0025)/100)*(1+Inputs!$B$14/100)*(1+IF(Inputs!$B$4="pvp",0,(1-Summary!$B$55)*(Inputs!$B$19+0+Skills!P9+((C610=TRUE)*F610*IF(AND(Inputs!$B$4&lt;&gt;"pvp",Inputs!$B$35&gt;0),(((S610-1)*(Skills!T17*(1+Inputs!$B$33/100))+MIN((Skills!T17*(1+Inputs!$B$33/100)),MAX(0,Inputs!$B$35-((S610-1)*Skills!D17))))/Inputs!$B$35),IF(Inputs!$B$4="pvp",MIN((Skills!T17*(1+Inputs!$B$33/100)),15)/15,(Skills!T17*(1+Inputs!$B$33/100))/Skills!D17)))+((C607=TRUE)*IF(Inputs!$B$4="pvp",20,(1-Summary!$B$55)*(20)+Summary!$B$55*(0))*IF(AND(Inputs!$B$4&lt;&gt;"pvp",Inputs!$B$35&gt;0),(((S607-1)*(Skills!T14*(1+Inputs!$B$33/100))+MIN((Skills!T14*(1+Inputs!$B$33/100)),MAX(0,Inputs!$B$35-((S607-1)*Skills!D14))))/Inputs!$B$35),IF(Inputs!$B$4="pvp",MIN((Skills!T14*(1+Inputs!$B$33/100)),15)/15,(Skills!T14*(1+Inputs!$B$33/100))/Skills!D14))))+Summary!$B$55*(Inputs!$B$20+Skills!Q9+((C610=TRUE)*F610*IF(AND(Inputs!$B$4&lt;&gt;"pvp",Inputs!$B$35&gt;0),(((S610-1)*(Skills!T17*(1+Inputs!$B$33/100))+MIN((Skills!T17*(1+Inputs!$B$33/100)),MAX(0,Inputs!$B$35-((S610-1)*Skills!D17))))/Inputs!$B$35),IF(Inputs!$B$4="pvp",MIN((Skills!T17*(1+Inputs!$B$33/100)),15)/15,(Skills!T17*(1+Inputs!$B$33/100))/Skills!D17)))))/100)*(1+Inputs!$B$15/100)*(5000/(6000+Inputs!$B$7*(1-(Inputs!$B$18+0)/100)))*(1+(Inputs!$B$23+((C618=TRUE)*(F618-Calc!F25))+((C619=TRUE)*(F619-Calc!F26))+B628)/100)*(1+1.0*IF(C604=TRUE,F604,0)/100)*(1+(IF(Skills!A9="DARK_IMPALE",(Inputs!$B$16+1)+0,Inputs!$B$17+((C616=TRUE)*(F616-Calc!F23))))/100)*((1+(((C606=TRUE)*F606*IF(AND(Inputs!$B$4&lt;&gt;"pvp",Inputs!$B$35&gt;0),(((S606-1)*(Skills!T13*(1+Inputs!$B$33/100))+MIN((Skills!T13*(1+Inputs!$B$33/100)),MAX(0,Inputs!$B$35-((S606-1)*Skills!D13))))/Inputs!$B$35),IF(Inputs!$B$4="pvp",MIN((Skills!T13*(1+Inputs!$B$33/100)),15)/15,(Skills!T13*(1+Inputs!$B$33/100))/Skills!D13)))+((C607=TRUE)*F607*IF(AND(Inputs!$B$4&lt;&gt;"pvp",Inputs!$B$35&gt;0),(((S607-1)*(Skills!T14*(1+Inputs!$B$33/100))+MIN((Skills!T14*(1+Inputs!$B$33/100)),MAX(0,Inputs!$B$35-((S607-1)*Skills!D14))))/Inputs!$B$35),IF(Inputs!$B$4="pvp",MIN((Skills!T14*(1+Inputs!$B$33/100)),15)/15,(Skills!T14*(1+Inputs!$B$33/100))/Skills!D14)))+((C608=TRUE)*F608*IF(AND(Inputs!$B$4&lt;&gt;"pvp",Inputs!$B$35&gt;0),(((S608-1)*(Skills!T15*(1+Inputs!$B$33/100))+MIN((Skills!T15*(1+Inputs!$B$33/100)),MAX(0,Inputs!$B$35-((S608-1)*Skills!D15))))/Inputs!$B$35),IF(Inputs!$B$4="pvp",MIN((Skills!T15*(1+Inputs!$B$33/100)),15)/15,(Skills!T15*(1+Inputs!$B$33/100))/Skills!D15)))+((C609=TRUE)*F609*IF(AND(Inputs!$B$4&lt;&gt;"pvp",Inputs!$B$35&gt;0),(((S609-1)*(Skills!T16*(1+Inputs!$B$33/100))+MIN((Skills!T16*(1+Inputs!$B$33/100)),MAX(0,Inputs!$B$35-((S609-1)*Skills!D16))))/Inputs!$B$35),IF(Inputs!$B$4="pvp",MIN((Skills!T16*(1+Inputs!$B$33/100)),15)/15,(Skills!T16*(1+Inputs!$B$33/100))/Skills!D16)))+0)/100)*I602)</f>
        <v/>
      </c>
      <c r="L602">
        <f>K602*(MIN(Inputs!$B$21+((C615=TRUE)*(F615-Calc!F22)),Inputs!$B$22+((C617=TRUE)*(F617-Calc!F24)))/100+(Inputs!$B$22+((C617=TRUE)*(F617-Calc!F24)))/100)/2</f>
        <v/>
      </c>
      <c r="M602">
        <f>L602*(1+(Inputs!$B$9+0+B627)/100)</f>
        <v/>
      </c>
      <c r="N602">
        <f>L602*(1-MIN((Inputs!$B$8+0+B622),100)/100)+M602*(MIN((Inputs!$B$8+0+B622),100)/100)</f>
        <v/>
      </c>
      <c r="O602">
        <f>IF(C602,H602*N602*IF(AND(Inputs!$B$4&lt;&gt;"pvp",Inputs!$B$35&gt;0),((Skills!G9*((R602-1)*IF(Skills!H9&gt;0,Skills!I9/Skills!H9,1)+IF(Skills!H9&gt;0,MIN(Skills!I9,MAX(0,Inputs!$B$35-((R602-1)*IF(Inputs!$B$4="pvp",15,MAX(0.1,Skills!D9-IF(Skills!E9=TRUE,Inputs!$B$31,0))))))/Skills!H9,1)))/Inputs!$B$35),G602*Q602)*IF(Inputs!$B$4="pvp",1,(1-Summary!$B$55)*(1)+Summary!$B$55*(MIN(Skills!R9,Inputs!$B$37))),0)</f>
        <v/>
      </c>
      <c r="P602">
        <f>IF(B630=0,0,O602/B630)</f>
        <v/>
      </c>
      <c r="Q602">
        <f>IFERROR(1/IF(Inputs!$B$4="pvp",15,MAX(0.1,Skills!D9-IF(Skills!E9=TRUE,Inputs!$B$31,0))),0)</f>
        <v/>
      </c>
      <c r="R602">
        <f>IF(AND(Inputs!$B$4&lt;&gt;"pvp",Inputs!$B$35&gt;0),(INT(Inputs!$B$35/IF(Inputs!$B$4="pvp",15,MAX(0.1,Skills!D9-IF(Skills!E9=TRUE,Inputs!$B$31,0))))+1),0)</f>
        <v/>
      </c>
      <c r="S602">
        <f>IFERROR(O602/N602,0)</f>
        <v/>
      </c>
    </row>
    <row r="603">
      <c r="A603">
        <f>Skills!A10</f>
        <v/>
      </c>
      <c r="B603">
        <f>Skills!B10</f>
        <v/>
      </c>
      <c r="C603">
        <f>Inputs!$B$3&gt;=110</f>
        <v/>
      </c>
      <c r="D603">
        <f>IF(Skills!C10=1,60+Inputs!$B$24+Inputs!$B$28,IF(Skills!C10=2,90+Inputs!$B$25+Inputs!$B$28,IF(Skills!C10=3,120+Inputs!$B$26+Inputs!$B$28,MAX(0,(Inputs!$B$3-100)*3)+Inputs!$B$27+Inputs!$B$28)))</f>
        <v/>
      </c>
      <c r="E603">
        <f>INDEX(FactorTable!$B$2:$Y$301, MATCH(ROUND(MIN(300,MAX(1,D603)),0), FactorTable!$A$2:$A$301,0), Skills!M10+1)</f>
        <v/>
      </c>
      <c r="F603">
        <f>IF(Skills!N10=TRUE,(Skills!L10/10)*(E603/1000),Skills!L10/10)+Skills!O10</f>
        <v/>
      </c>
      <c r="G603">
        <f>Skills!G10*IF(Skills!H10&gt;0,Skills!I10/Skills!H10,1)</f>
        <v/>
      </c>
      <c r="H603">
        <f>1-(1-Skills!J10/100)^Skills!K10</f>
        <v/>
      </c>
      <c r="I603" t="inlineStr">
        <is>
          <t>1</t>
        </is>
      </c>
      <c r="J603">
        <f>(Inputs!$B$5*(1+Inputs!$B$6/100))*(F603/100)</f>
        <v/>
      </c>
      <c r="K603">
        <f>J603*(1+((Inputs!$B$11*(1+Inputs!$B$12/100))*0.01+Inputs!$B$13*0.0025)/100)*(1+Inputs!$B$14/100)*(1+IF(Inputs!$B$4="pvp",0,(1-Summary!$B$55)*(Inputs!$B$19+0+Skills!P10+((C610=TRUE)*F610*IF(AND(Inputs!$B$4&lt;&gt;"pvp",Inputs!$B$35&gt;0),(((S610-1)*(Skills!T17*(1+Inputs!$B$33/100))+MIN((Skills!T17*(1+Inputs!$B$33/100)),MAX(0,Inputs!$B$35-((S610-1)*Skills!D17))))/Inputs!$B$35),IF(Inputs!$B$4="pvp",MIN((Skills!T17*(1+Inputs!$B$33/100)),15)/15,(Skills!T17*(1+Inputs!$B$33/100))/Skills!D17)))+((C607=TRUE)*IF(Inputs!$B$4="pvp",20,(1-Summary!$B$55)*(20)+Summary!$B$55*(0))*IF(AND(Inputs!$B$4&lt;&gt;"pvp",Inputs!$B$35&gt;0),(((S607-1)*(Skills!T14*(1+Inputs!$B$33/100))+MIN((Skills!T14*(1+Inputs!$B$33/100)),MAX(0,Inputs!$B$35-((S607-1)*Skills!D14))))/Inputs!$B$35),IF(Inputs!$B$4="pvp",MIN((Skills!T14*(1+Inputs!$B$33/100)),15)/15,(Skills!T14*(1+Inputs!$B$33/100))/Skills!D14))))+Summary!$B$55*(Inputs!$B$20+Skills!Q10+((C610=TRUE)*F610*IF(AND(Inputs!$B$4&lt;&gt;"pvp",Inputs!$B$35&gt;0),(((S610-1)*(Skills!T17*(1+Inputs!$B$33/100))+MIN((Skills!T17*(1+Inputs!$B$33/100)),MAX(0,Inputs!$B$35-((S610-1)*Skills!D17))))/Inputs!$B$35),IF(Inputs!$B$4="pvp",MIN((Skills!T17*(1+Inputs!$B$33/100)),15)/15,(Skills!T17*(1+Inputs!$B$33/100))/Skills!D17)))))/100)*(1+Inputs!$B$15/100)*(5000/(6000+Inputs!$B$7*(1-(Inputs!$B$18+0)/100)))*(1+(Inputs!$B$23+((C618=TRUE)*(F618-Calc!F25))+((C619=TRUE)*(F619-Calc!F26))+B628)/100)*(1+(IF(Skills!A10="DARK_IMPALE",(Inputs!$B$16+1)+0,Inputs!$B$17+((C616=TRUE)*(F616-Calc!F23))))/100)*((1+(((C606=TRUE)*F606*IF(AND(Inputs!$B$4&lt;&gt;"pvp",Inputs!$B$35&gt;0),(((S606-1)*(Skills!T13*(1+Inputs!$B$33/100))+MIN((Skills!T13*(1+Inputs!$B$33/100)),MAX(0,Inputs!$B$35-((S606-1)*Skills!D13))))/Inputs!$B$35),IF(Inputs!$B$4="pvp",MIN((Skills!T13*(1+Inputs!$B$33/100)),15)/15,(Skills!T13*(1+Inputs!$B$33/100))/Skills!D13)))+((C607=TRUE)*F607*IF(AND(Inputs!$B$4&lt;&gt;"pvp",Inputs!$B$35&gt;0),(((S607-1)*(Skills!T14*(1+Inputs!$B$33/100))+MIN((Skills!T14*(1+Inputs!$B$33/100)),MAX(0,Inputs!$B$35-((S607-1)*Skills!D14))))/Inputs!$B$35),IF(Inputs!$B$4="pvp",MIN((Skills!T14*(1+Inputs!$B$33/100)),15)/15,(Skills!T14*(1+Inputs!$B$33/100))/Skills!D14)))+((C608=TRUE)*F608*IF(AND(Inputs!$B$4&lt;&gt;"pvp",Inputs!$B$35&gt;0),(((S608-1)*(Skills!T15*(1+Inputs!$B$33/100))+MIN((Skills!T15*(1+Inputs!$B$33/100)),MAX(0,Inputs!$B$35-((S608-1)*Skills!D15))))/Inputs!$B$35),IF(Inputs!$B$4="pvp",MIN((Skills!T15*(1+Inputs!$B$33/100)),15)/15,(Skills!T15*(1+Inputs!$B$33/100))/Skills!D15)))+((C609=TRUE)*F609*IF(AND(Inputs!$B$4&lt;&gt;"pvp",Inputs!$B$35&gt;0),(((S609-1)*(Skills!T16*(1+Inputs!$B$33/100))+MIN((Skills!T16*(1+Inputs!$B$33/100)),MAX(0,Inputs!$B$35-((S609-1)*Skills!D16))))/Inputs!$B$35),IF(Inputs!$B$4="pvp",MIN((Skills!T16*(1+Inputs!$B$33/100)),15)/15,(Skills!T16*(1+Inputs!$B$33/100))/Skills!D16)))+0)/100)*I603)</f>
        <v/>
      </c>
      <c r="L603">
        <f>K603*(MIN(Inputs!$B$21+((C615=TRUE)*(F615-Calc!F22)),Inputs!$B$22+((C617=TRUE)*(F617-Calc!F24)))/100+(Inputs!$B$22+((C617=TRUE)*(F617-Calc!F24)))/100)/2</f>
        <v/>
      </c>
      <c r="M603">
        <f>L603*(1+(Inputs!$B$9+0+B627)/100)</f>
        <v/>
      </c>
      <c r="N603">
        <f>L603*(1-MIN((Inputs!$B$8+0+B622),100)/100)+M603*(MIN((Inputs!$B$8+0+B622),100)/100)</f>
        <v/>
      </c>
      <c r="O603">
        <f>IF(C603,H603*N603*IF(AND(Inputs!$B$4&lt;&gt;"pvp",Inputs!$B$35&gt;0),((Skills!G10*((R603-1)*IF(Skills!H10&gt;0,Skills!I10/Skills!H10,1)+IF(Skills!H10&gt;0,MIN(Skills!I10,MAX(0,Inputs!$B$35-((R603-1)*IF(Inputs!$B$4="pvp",15,MAX(0.1,Skills!D10-IF(Skills!E10=TRUE,Inputs!$B$31,0))))))/Skills!H10,1)))/Inputs!$B$35),G603*Q603)*IF(Inputs!$B$4="pvp",1,(1-Summary!$B$55)*(1)+Summary!$B$55*(MIN(Skills!R10,Inputs!$B$37))),0)</f>
        <v/>
      </c>
      <c r="P603">
        <f>IF(B630=0,0,O603/B630)</f>
        <v/>
      </c>
      <c r="Q603">
        <f>IFERROR(1/IF(Inputs!$B$4="pvp",15,MAX(0.1,Skills!D10-IF(Skills!E10=TRUE,Inputs!$B$31,0))),0)</f>
        <v/>
      </c>
      <c r="R603">
        <f>IF(AND(Inputs!$B$4&lt;&gt;"pvp",Inputs!$B$35&gt;0),(INT(Inputs!$B$35/IF(Inputs!$B$4="pvp",15,MAX(0.1,Skills!D10-IF(Skills!E10=TRUE,Inputs!$B$31,0))))+1),0)</f>
        <v/>
      </c>
      <c r="S603">
        <f>IFERROR(O603/N603,0)</f>
        <v/>
      </c>
    </row>
    <row r="604">
      <c r="A604">
        <f>Skills!A11</f>
        <v/>
      </c>
      <c r="B604">
        <f>Skills!B11</f>
        <v/>
      </c>
      <c r="C604">
        <f>Inputs!$B$3&gt;=100</f>
        <v/>
      </c>
      <c r="D604">
        <f>IF(Skills!C11=1,60+Inputs!$B$24+Inputs!$B$28,IF(Skills!C11=2,90+Inputs!$B$25+Inputs!$B$28,IF(Skills!C11=3,120+Inputs!$B$26+Inputs!$B$28,MAX(0,(Inputs!$B$3-100)*3)+Inputs!$B$27+Inputs!$B$28)))</f>
        <v/>
      </c>
      <c r="E604">
        <f>INDEX(FactorTable!$B$2:$Y$301, MATCH(ROUND(MIN(300,MAX(1,D604)),0), FactorTable!$A$2:$A$301,0), Skills!M11+1)</f>
        <v/>
      </c>
      <c r="F604">
        <f>IF(Skills!N11=TRUE,(Skills!L11/10)*(E604/1000),Skills!L11/10)+Skills!O11</f>
        <v/>
      </c>
      <c r="G604" t="inlineStr"/>
      <c r="H604" t="inlineStr"/>
      <c r="I604" t="inlineStr">
        <is>
          <t>1</t>
        </is>
      </c>
      <c r="J604" t="inlineStr"/>
      <c r="K604" t="inlineStr"/>
      <c r="L604" t="inlineStr"/>
      <c r="M604" t="inlineStr"/>
      <c r="N604" t="inlineStr"/>
      <c r="O604" t="inlineStr"/>
      <c r="P604" t="inlineStr"/>
      <c r="Q604" t="inlineStr"/>
      <c r="R604" t="inlineStr"/>
      <c r="S604" t="inlineStr"/>
    </row>
    <row r="605">
      <c r="A605">
        <f>Skills!A12</f>
        <v/>
      </c>
      <c r="B605">
        <f>Skills!B12</f>
        <v/>
      </c>
      <c r="C605">
        <f>Inputs!$B$3&gt;=63</f>
        <v/>
      </c>
      <c r="D605">
        <f>IF(Skills!C12=1,60+Inputs!$B$24+Inputs!$B$28,IF(Skills!C12=2,90+Inputs!$B$25+Inputs!$B$28,IF(Skills!C12=3,120+Inputs!$B$26+Inputs!$B$28,MAX(0,(Inputs!$B$3-100)*3)+Inputs!$B$27+Inputs!$B$28)))</f>
        <v/>
      </c>
      <c r="E605">
        <f>INDEX(FactorTable!$B$2:$Y$301, MATCH(ROUND(MIN(300,MAX(1,D605)),0), FactorTable!$A$2:$A$301,0), Skills!M12+1)</f>
        <v/>
      </c>
      <c r="F605">
        <f>IF(Skills!N12=TRUE,(Skills!L12/10)*(E605/1000),Skills!L12/10)+Skills!O12</f>
        <v/>
      </c>
      <c r="G605">
        <f>Skills!G12*IF(Skills!H12&gt;0,Skills!I12/Skills!H12,1)</f>
        <v/>
      </c>
      <c r="H605">
        <f>1-(1-Skills!J12/100)^Skills!K12</f>
        <v/>
      </c>
      <c r="I605" t="inlineStr">
        <is>
          <t>1</t>
        </is>
      </c>
      <c r="J605">
        <f>(Inputs!$B$5*(1+Inputs!$B$6/100))*(F605/100)</f>
        <v/>
      </c>
      <c r="K605">
        <f>J605*(1+((Inputs!$B$11*(1+Inputs!$B$12/100))*0.01+Inputs!$B$13*0.0025)/100)*(1+Inputs!$B$14/100)*(1+IF(Inputs!$B$4="pvp",0,(1-Summary!$B$55)*(Inputs!$B$19+0+Skills!P12+((C610=TRUE)*F610*IF(AND(Inputs!$B$4&lt;&gt;"pvp",Inputs!$B$35&gt;0),(((S610-1)*(Skills!T17*(1+Inputs!$B$33/100))+MIN((Skills!T17*(1+Inputs!$B$33/100)),MAX(0,Inputs!$B$35-((S610-1)*Skills!D17))))/Inputs!$B$35),IF(Inputs!$B$4="pvp",MIN((Skills!T17*(1+Inputs!$B$33/100)),15)/15,(Skills!T17*(1+Inputs!$B$33/100))/Skills!D17)))+((C607=TRUE)*IF(Inputs!$B$4="pvp",20,(1-Summary!$B$55)*(20)+Summary!$B$55*(0))*IF(AND(Inputs!$B$4&lt;&gt;"pvp",Inputs!$B$35&gt;0),(((S607-1)*(Skills!T14*(1+Inputs!$B$33/100))+MIN((Skills!T14*(1+Inputs!$B$33/100)),MAX(0,Inputs!$B$35-((S607-1)*Skills!D14))))/Inputs!$B$35),IF(Inputs!$B$4="pvp",MIN((Skills!T14*(1+Inputs!$B$33/100)),15)/15,(Skills!T14*(1+Inputs!$B$33/100))/Skills!D14))))+Summary!$B$55*(Inputs!$B$20+Skills!Q12+((C610=TRUE)*F610*IF(AND(Inputs!$B$4&lt;&gt;"pvp",Inputs!$B$35&gt;0),(((S610-1)*(Skills!T17*(1+Inputs!$B$33/100))+MIN((Skills!T17*(1+Inputs!$B$33/100)),MAX(0,Inputs!$B$35-((S610-1)*Skills!D17))))/Inputs!$B$35),IF(Inputs!$B$4="pvp",MIN((Skills!T17*(1+Inputs!$B$33/100)),15)/15,(Skills!T17*(1+Inputs!$B$33/100))/Skills!D17)))))/100)*(1+Inputs!$B$15/100)*(5000/(6000+Inputs!$B$7*(1-(Inputs!$B$18+0)/100)))*(1+(Inputs!$B$23+((C618=TRUE)*(F618-Calc!F25))+((C619=TRUE)*(F619-Calc!F26))+B628)/100)*(1+0.75*IF(C604=TRUE,F604,0)/100)*(1+(IF(Skills!A12="DARK_IMPALE",(Inputs!$B$16+1)+0,Inputs!$B$17+((C616=TRUE)*(F616-Calc!F23))))/100)*((1+(((C606=TRUE)*F606*IF(AND(Inputs!$B$4&lt;&gt;"pvp",Inputs!$B$35&gt;0),(((S606-1)*(Skills!T13*(1+Inputs!$B$33/100))+MIN((Skills!T13*(1+Inputs!$B$33/100)),MAX(0,Inputs!$B$35-((S606-1)*Skills!D13))))/Inputs!$B$35),IF(Inputs!$B$4="pvp",MIN((Skills!T13*(1+Inputs!$B$33/100)),15)/15,(Skills!T13*(1+Inputs!$B$33/100))/Skills!D13)))+((C607=TRUE)*F607*IF(AND(Inputs!$B$4&lt;&gt;"pvp",Inputs!$B$35&gt;0),(((S607-1)*(Skills!T14*(1+Inputs!$B$33/100))+MIN((Skills!T14*(1+Inputs!$B$33/100)),MAX(0,Inputs!$B$35-((S607-1)*Skills!D14))))/Inputs!$B$35),IF(Inputs!$B$4="pvp",MIN((Skills!T14*(1+Inputs!$B$33/100)),15)/15,(Skills!T14*(1+Inputs!$B$33/100))/Skills!D14)))+((C608=TRUE)*F608*IF(AND(Inputs!$B$4&lt;&gt;"pvp",Inputs!$B$35&gt;0),(((S608-1)*(Skills!T15*(1+Inputs!$B$33/100))+MIN((Skills!T15*(1+Inputs!$B$33/100)),MAX(0,Inputs!$B$35-((S608-1)*Skills!D15))))/Inputs!$B$35),IF(Inputs!$B$4="pvp",MIN((Skills!T15*(1+Inputs!$B$33/100)),15)/15,(Skills!T15*(1+Inputs!$B$33/100))/Skills!D15)))+((C609=TRUE)*F609*IF(AND(Inputs!$B$4&lt;&gt;"pvp",Inputs!$B$35&gt;0),(((S609-1)*(Skills!T16*(1+Inputs!$B$33/100))+MIN((Skills!T16*(1+Inputs!$B$33/100)),MAX(0,Inputs!$B$35-((S609-1)*Skills!D16))))/Inputs!$B$35),IF(Inputs!$B$4="pvp",MIN((Skills!T16*(1+Inputs!$B$33/100)),15)/15,(Skills!T16*(1+Inputs!$B$33/100))/Skills!D16)))+0)/100)*I605)</f>
        <v/>
      </c>
      <c r="L605">
        <f>K605*(MIN(Inputs!$B$21+((C615=TRUE)*(F615-Calc!F22)),Inputs!$B$22+((C617=TRUE)*(F617-Calc!F24)))/100+(Inputs!$B$22+((C617=TRUE)*(F617-Calc!F24)))/100)/2</f>
        <v/>
      </c>
      <c r="M605">
        <f>L605*(1+(Inputs!$B$9+0+B627)/100)</f>
        <v/>
      </c>
      <c r="N605">
        <f>L605*(1-MIN((Inputs!$B$8+0+B622),100)/100)+M605*(MIN((Inputs!$B$8+0+B622),100)/100)</f>
        <v/>
      </c>
      <c r="O605">
        <f>IF(C605,H605*N605*IF(AND(Inputs!$B$4&lt;&gt;"pvp",Inputs!$B$35&gt;0),((Skills!G12*((R605-1)*IF(Skills!H12&gt;0,Skills!I12/Skills!H12,1)+IF(Skills!H12&gt;0,MIN(Skills!I12,MAX(0,Inputs!$B$35-((R605-1)*IF(Inputs!$B$4="pvp",15,MAX(0.1,Skills!D12-IF(Skills!E12=TRUE,Inputs!$B$31,0))))))/Skills!H12,1)))/Inputs!$B$35),G605*Q605)*IF(Inputs!$B$4="pvp",1,(1-Summary!$B$55)*(1)+Summary!$B$55*(MIN(Skills!R12,Inputs!$B$37))),0)</f>
        <v/>
      </c>
      <c r="P605">
        <f>IF(B630=0,0,O605/B630)</f>
        <v/>
      </c>
      <c r="Q605">
        <f>IFERROR(1/IF(Inputs!$B$4="pvp",15,MAX(0.1,Skills!D12-IF(Skills!E12=TRUE,Inputs!$B$31,0))),0)</f>
        <v/>
      </c>
      <c r="R605">
        <f>IF(AND(Inputs!$B$4&lt;&gt;"pvp",Inputs!$B$35&gt;0),(INT(Inputs!$B$35/IF(Inputs!$B$4="pvp",15,MAX(0.1,Skills!D12-IF(Skills!E12=TRUE,Inputs!$B$31,0))))+1),0)</f>
        <v/>
      </c>
      <c r="S605">
        <f>IFERROR(O605/N605,0)</f>
        <v/>
      </c>
    </row>
    <row r="606">
      <c r="A606">
        <f>Skills!A13</f>
        <v/>
      </c>
      <c r="B606">
        <f>Skills!B13</f>
        <v/>
      </c>
      <c r="C606">
        <f>Inputs!$B$3&gt;=69</f>
        <v/>
      </c>
      <c r="D606">
        <f>IF(Skills!C13=1,60+Inputs!$B$24+Inputs!$B$28,IF(Skills!C13=2,90+Inputs!$B$25+Inputs!$B$28,IF(Skills!C13=3,120+Inputs!$B$26+Inputs!$B$28,MAX(0,(Inputs!$B$3-100)*3)+Inputs!$B$27+Inputs!$B$28)))</f>
        <v/>
      </c>
      <c r="E606">
        <f>INDEX(FactorTable!$B$2:$Y$301, MATCH(ROUND(MIN(300,MAX(1,D606)),0), FactorTable!$A$2:$A$301,0), Skills!M13+1)</f>
        <v/>
      </c>
      <c r="F606">
        <f>IF(Skills!N13=TRUE,(Skills!L13/10)*(E606/1000),Skills!L13/10)+Skills!O13</f>
        <v/>
      </c>
      <c r="G606">
        <f>Skills!G13*IF(Skills!H13&gt;0,Skills!I13/Skills!H13,1)</f>
        <v/>
      </c>
      <c r="H606">
        <f>1-(1-Skills!J13/100)^Skills!K13</f>
        <v/>
      </c>
      <c r="I606" t="inlineStr">
        <is>
          <t>1</t>
        </is>
      </c>
      <c r="J606" t="inlineStr"/>
      <c r="K606" t="inlineStr"/>
      <c r="L606" t="inlineStr"/>
      <c r="M606" t="inlineStr"/>
      <c r="N606" t="inlineStr"/>
      <c r="O606" t="n">
        <v>0</v>
      </c>
      <c r="P606">
        <f>IF(B630=0,0,O606/B630)</f>
        <v/>
      </c>
      <c r="Q606">
        <f>IFERROR(1/IF(Inputs!$B$4="pvp",15,MAX(0.1,Skills!D13-IF(Skills!E13=TRUE,Inputs!$B$31,0))),0)</f>
        <v/>
      </c>
      <c r="R606">
        <f>IF(AND(Inputs!$B$4&lt;&gt;"pvp",Inputs!$B$35&gt;0),(INT(Inputs!$B$35/IF(Inputs!$B$4="pvp",15,MAX(0.1,Skills!D13-IF(Skills!E13=TRUE,Inputs!$B$31,0))))+1),0)</f>
        <v/>
      </c>
      <c r="S606">
        <f>IFERROR(O606/N606,0)</f>
        <v/>
      </c>
    </row>
    <row r="607">
      <c r="A607">
        <f>Skills!A14</f>
        <v/>
      </c>
      <c r="B607">
        <f>Skills!B14</f>
        <v/>
      </c>
      <c r="C607">
        <f>Inputs!$B$3&gt;=115</f>
        <v/>
      </c>
      <c r="D607">
        <f>IF(Skills!C14=1,60+Inputs!$B$24+Inputs!$B$28,IF(Skills!C14=2,90+Inputs!$B$25+Inputs!$B$28,IF(Skills!C14=3,120+Inputs!$B$26+Inputs!$B$28,MAX(0,(Inputs!$B$3-100)*3)+Inputs!$B$27+Inputs!$B$28)))</f>
        <v/>
      </c>
      <c r="E607">
        <f>INDEX(FactorTable!$B$2:$Y$301, MATCH(ROUND(MIN(300,MAX(1,D607)),0), FactorTable!$A$2:$A$301,0), Skills!M14+1)</f>
        <v/>
      </c>
      <c r="F607">
        <f>IF(Skills!N14=TRUE,(Skills!L14/10)*(E607/1000),Skills!L14/10)+Skills!O14</f>
        <v/>
      </c>
      <c r="G607">
        <f>Skills!G14*IF(Skills!H14&gt;0,Skills!I14/Skills!H14,1)</f>
        <v/>
      </c>
      <c r="H607">
        <f>1-(1-Skills!J14/100)^Skills!K14</f>
        <v/>
      </c>
      <c r="I607" t="inlineStr">
        <is>
          <t>1</t>
        </is>
      </c>
      <c r="J607" t="inlineStr"/>
      <c r="K607" t="inlineStr"/>
      <c r="L607" t="inlineStr"/>
      <c r="M607" t="inlineStr"/>
      <c r="N607" t="inlineStr"/>
      <c r="O607" t="n">
        <v>0</v>
      </c>
      <c r="P607">
        <f>IF(B630=0,0,O607/B630)</f>
        <v/>
      </c>
      <c r="Q607">
        <f>IFERROR(1/IF(Inputs!$B$4="pvp",15,MAX(0.1,Skills!D14-IF(Skills!E14=TRUE,Inputs!$B$31,0))),0)</f>
        <v/>
      </c>
      <c r="R607">
        <f>IF(AND(Inputs!$B$4&lt;&gt;"pvp",Inputs!$B$35&gt;0),(INT(Inputs!$B$35/IF(Inputs!$B$4="pvp",15,MAX(0.1,Skills!D14-IF(Skills!E14=TRUE,Inputs!$B$31,0))))+1),0)</f>
        <v/>
      </c>
      <c r="S607">
        <f>IFERROR(O607/N607,0)</f>
        <v/>
      </c>
    </row>
    <row r="608">
      <c r="A608">
        <f>Skills!A15</f>
        <v/>
      </c>
      <c r="B608">
        <f>Skills!B15</f>
        <v/>
      </c>
      <c r="C608">
        <f>Inputs!$B$3&gt;=66</f>
        <v/>
      </c>
      <c r="D608">
        <f>IF(Skills!C15=1,60+Inputs!$B$24+Inputs!$B$28,IF(Skills!C15=2,90+Inputs!$B$25+Inputs!$B$28,IF(Skills!C15=3,120+Inputs!$B$26+Inputs!$B$28,MAX(0,(Inputs!$B$3-100)*3)+Inputs!$B$27+Inputs!$B$28)))</f>
        <v/>
      </c>
      <c r="E608">
        <f>INDEX(FactorTable!$B$2:$Y$301, MATCH(ROUND(MIN(300,MAX(1,D608)),0), FactorTable!$A$2:$A$301,0), Skills!M15+1)</f>
        <v/>
      </c>
      <c r="F608">
        <f>IF(Skills!N15=TRUE,(Skills!L15/10)*(E608/1000),Skills!L15/10)+Skills!O15</f>
        <v/>
      </c>
      <c r="G608">
        <f>Skills!G15*IF(Skills!H15&gt;0,Skills!I15/Skills!H15,1)</f>
        <v/>
      </c>
      <c r="H608">
        <f>1-(1-Skills!J15/100)^Skills!K15</f>
        <v/>
      </c>
      <c r="I608" t="inlineStr">
        <is>
          <t>1</t>
        </is>
      </c>
      <c r="J608" t="inlineStr"/>
      <c r="K608" t="inlineStr"/>
      <c r="L608" t="inlineStr"/>
      <c r="M608" t="inlineStr"/>
      <c r="N608" t="inlineStr"/>
      <c r="O608" t="n">
        <v>0</v>
      </c>
      <c r="P608">
        <f>IF(B630=0,0,O608/B630)</f>
        <v/>
      </c>
      <c r="Q608">
        <f>IFERROR(1/IF(Inputs!$B$4="pvp",15,MAX(0.1,Skills!D15-IF(Skills!E15=TRUE,Inputs!$B$31,0))),0)</f>
        <v/>
      </c>
      <c r="R608">
        <f>IF(AND(Inputs!$B$4&lt;&gt;"pvp",Inputs!$B$35&gt;0),(INT(Inputs!$B$35/IF(Inputs!$B$4="pvp",15,MAX(0.1,Skills!D15-IF(Skills!E15=TRUE,Inputs!$B$31,0))))+1),0)</f>
        <v/>
      </c>
      <c r="S608">
        <f>IFERROR(O608/N608,0)</f>
        <v/>
      </c>
    </row>
    <row r="609">
      <c r="A609">
        <f>Skills!A16</f>
        <v/>
      </c>
      <c r="B609">
        <f>Skills!B16</f>
        <v/>
      </c>
      <c r="C609">
        <f>Inputs!$B$3&gt;=45</f>
        <v/>
      </c>
      <c r="D609">
        <f>IF(Skills!C16=1,60+Inputs!$B$24+Inputs!$B$28,IF(Skills!C16=2,90+Inputs!$B$25+Inputs!$B$28,IF(Skills!C16=3,120+Inputs!$B$26+Inputs!$B$28,MAX(0,(Inputs!$B$3-100)*3)+Inputs!$B$27+Inputs!$B$28)))</f>
        <v/>
      </c>
      <c r="E609">
        <f>INDEX(FactorTable!$B$2:$Y$301, MATCH(ROUND(MIN(300,MAX(1,D609)),0), FactorTable!$A$2:$A$301,0), Skills!M16+1)</f>
        <v/>
      </c>
      <c r="F609">
        <f>IF(Skills!N16=TRUE,(Skills!L16/10)*(E609/1000),Skills!L16/10)+Skills!O16</f>
        <v/>
      </c>
      <c r="G609">
        <f>Skills!G16*IF(Skills!H16&gt;0,Skills!I16/Skills!H16,1)</f>
        <v/>
      </c>
      <c r="H609">
        <f>1-(1-Skills!J16/100)^Skills!K16</f>
        <v/>
      </c>
      <c r="I609" t="inlineStr">
        <is>
          <t>1</t>
        </is>
      </c>
      <c r="J609" t="inlineStr"/>
      <c r="K609" t="inlineStr"/>
      <c r="L609" t="inlineStr"/>
      <c r="M609" t="inlineStr"/>
      <c r="N609" t="inlineStr"/>
      <c r="O609" t="n">
        <v>0</v>
      </c>
      <c r="P609">
        <f>IF(B630=0,0,O609/B630)</f>
        <v/>
      </c>
      <c r="Q609">
        <f>IFERROR(1/IF(Inputs!$B$4="pvp",15,MAX(0.1,Skills!D16-IF(Skills!E16=TRUE,Inputs!$B$31,0))),0)</f>
        <v/>
      </c>
      <c r="R609">
        <f>IF(AND(Inputs!$B$4&lt;&gt;"pvp",Inputs!$B$35&gt;0),(INT(Inputs!$B$35/IF(Inputs!$B$4="pvp",15,MAX(0.1,Skills!D16-IF(Skills!E16=TRUE,Inputs!$B$31,0))))+1),0)</f>
        <v/>
      </c>
      <c r="S609">
        <f>IFERROR(O609/N609,0)</f>
        <v/>
      </c>
    </row>
    <row r="610">
      <c r="A610">
        <f>Skills!A17</f>
        <v/>
      </c>
      <c r="B610">
        <f>Skills!B17</f>
        <v/>
      </c>
      <c r="C610">
        <f>Inputs!$B$3&gt;=35</f>
        <v/>
      </c>
      <c r="D610">
        <f>IF(Skills!C17=1,60+Inputs!$B$24+Inputs!$B$28,IF(Skills!C17=2,90+Inputs!$B$25+Inputs!$B$28,IF(Skills!C17=3,120+Inputs!$B$26+Inputs!$B$28,MAX(0,(Inputs!$B$3-100)*3)+Inputs!$B$27+Inputs!$B$28)))</f>
        <v/>
      </c>
      <c r="E610">
        <f>INDEX(FactorTable!$B$2:$Y$301, MATCH(ROUND(MIN(300,MAX(1,D610)),0), FactorTable!$A$2:$A$301,0), Skills!M17+1)</f>
        <v/>
      </c>
      <c r="F610">
        <f>IF(Skills!N17=TRUE,(Skills!L17/10)*(E610/1000),Skills!L17/10)+Skills!O17</f>
        <v/>
      </c>
      <c r="G610">
        <f>Skills!G17*IF(Skills!H17&gt;0,Skills!I17/Skills!H17,1)</f>
        <v/>
      </c>
      <c r="H610">
        <f>1-(1-Skills!J17/100)^Skills!K17</f>
        <v/>
      </c>
      <c r="I610" t="inlineStr">
        <is>
          <t>1</t>
        </is>
      </c>
      <c r="J610" t="inlineStr"/>
      <c r="K610" t="inlineStr"/>
      <c r="L610" t="inlineStr"/>
      <c r="M610" t="inlineStr"/>
      <c r="N610" t="inlineStr"/>
      <c r="O610" t="n">
        <v>0</v>
      </c>
      <c r="P610">
        <f>IF(B630=0,0,O610/B630)</f>
        <v/>
      </c>
      <c r="Q610">
        <f>IFERROR(1/IF(Inputs!$B$4="pvp",15,MAX(0.1,Skills!D17-IF(Skills!E17=TRUE,Inputs!$B$31,0))),0)</f>
        <v/>
      </c>
      <c r="R610">
        <f>IF(AND(Inputs!$B$4&lt;&gt;"pvp",Inputs!$B$35&gt;0),(INT(Inputs!$B$35/IF(Inputs!$B$4="pvp",15,MAX(0.1,Skills!D17-IF(Skills!E17=TRUE,Inputs!$B$31,0))))+1),0)</f>
        <v/>
      </c>
      <c r="S610">
        <f>IFERROR(O610/N610,0)</f>
        <v/>
      </c>
    </row>
    <row r="611">
      <c r="A611">
        <f>Skills!A18</f>
        <v/>
      </c>
      <c r="B611">
        <f>Skills!B18</f>
        <v/>
      </c>
      <c r="C611">
        <f>Inputs!$B$3&gt;=72</f>
        <v/>
      </c>
      <c r="D611">
        <f>IF(Skills!C18=1,60+Inputs!$B$24+Inputs!$B$28,IF(Skills!C18=2,90+Inputs!$B$25+Inputs!$B$28,IF(Skills!C18=3,120+Inputs!$B$26+Inputs!$B$28,MAX(0,(Inputs!$B$3-100)*3)+Inputs!$B$27+Inputs!$B$28)))</f>
        <v/>
      </c>
      <c r="E611">
        <f>INDEX(FactorTable!$B$2:$Y$301, MATCH(ROUND(MIN(300,MAX(1,D611)),0), FactorTable!$A$2:$A$301,0), Skills!M18+1)</f>
        <v/>
      </c>
      <c r="F611">
        <f>IF(Skills!N18=TRUE,(Skills!L18/10)*(E611/1000),Skills!L18/10)+Skills!O18</f>
        <v/>
      </c>
      <c r="G611">
        <f>Skills!G18*IF(Skills!H18&gt;0,Skills!I18/Skills!H18,1)</f>
        <v/>
      </c>
      <c r="H611">
        <f>1-(1-Skills!J18/100)^Skills!K18</f>
        <v/>
      </c>
      <c r="I611" t="inlineStr">
        <is>
          <t>1</t>
        </is>
      </c>
      <c r="J611" t="inlineStr"/>
      <c r="K611" t="inlineStr"/>
      <c r="L611" t="inlineStr"/>
      <c r="M611" t="inlineStr"/>
      <c r="N611" t="inlineStr"/>
      <c r="O611" t="n">
        <v>0</v>
      </c>
      <c r="P611">
        <f>IF(B630=0,0,O611/B630)</f>
        <v/>
      </c>
      <c r="Q611">
        <f>IFERROR(1/IF(Inputs!$B$4="pvp",15,MAX(0.1,Skills!D18-IF(Skills!E18=TRUE,Inputs!$B$31,0))),0)</f>
        <v/>
      </c>
      <c r="R611">
        <f>IF(AND(Inputs!$B$4&lt;&gt;"pvp",Inputs!$B$35&gt;0),(INT(Inputs!$B$35/IF(Inputs!$B$4="pvp",15,MAX(0.1,Skills!D18-IF(Skills!E18=TRUE,Inputs!$B$31,0))))+1),0)</f>
        <v/>
      </c>
      <c r="S611">
        <f>IFERROR(O611/N611,0)</f>
        <v/>
      </c>
    </row>
    <row r="612">
      <c r="A612">
        <f>Skills!A19</f>
        <v/>
      </c>
      <c r="B612">
        <f>Skills!B19</f>
        <v/>
      </c>
      <c r="C612">
        <f>Inputs!$B$3&gt;=72</f>
        <v/>
      </c>
      <c r="D612">
        <f>IF(Skills!C19=1,60+Inputs!$B$24+Inputs!$B$28,IF(Skills!C19=2,90+Inputs!$B$25+Inputs!$B$28,IF(Skills!C19=3,120+Inputs!$B$26+Inputs!$B$28,MAX(0,(Inputs!$B$3-100)*3)+Inputs!$B$27+Inputs!$B$28)))</f>
        <v/>
      </c>
      <c r="E612">
        <f>INDEX(FactorTable!$B$2:$Y$301, MATCH(ROUND(MIN(300,MAX(1,D612)),0), FactorTable!$A$2:$A$301,0), Skills!M19+1)</f>
        <v/>
      </c>
      <c r="F612">
        <f>IF(Skills!N19=TRUE,(Skills!L19/10)*(E612/1000),Skills!L19/10)+Skills!O19</f>
        <v/>
      </c>
      <c r="G612">
        <f>Skills!G19*IF(Skills!H19&gt;0,Skills!I19/Skills!H19,1)</f>
        <v/>
      </c>
      <c r="H612">
        <f>1-(1-Skills!J19/100)^Skills!K19</f>
        <v/>
      </c>
      <c r="I612" t="inlineStr">
        <is>
          <t>1</t>
        </is>
      </c>
      <c r="J612" t="inlineStr"/>
      <c r="K612" t="inlineStr"/>
      <c r="L612" t="inlineStr"/>
      <c r="M612" t="inlineStr"/>
      <c r="N612" t="inlineStr"/>
      <c r="O612" t="n">
        <v>0</v>
      </c>
      <c r="P612">
        <f>IF(B630=0,0,O612/B630)</f>
        <v/>
      </c>
      <c r="Q612">
        <f>IFERROR(1/IF(Inputs!$B$4="pvp",15,MAX(0.1,Skills!D19-IF(Skills!E19=TRUE,Inputs!$B$31,0))),0)</f>
        <v/>
      </c>
      <c r="R612">
        <f>IF(AND(Inputs!$B$4&lt;&gt;"pvp",Inputs!$B$35&gt;0),(INT(Inputs!$B$35/IF(Inputs!$B$4="pvp",15,MAX(0.1,Skills!D19-IF(Skills!E19=TRUE,Inputs!$B$31,0))))+1),0)</f>
        <v/>
      </c>
      <c r="S612">
        <f>IFERROR(O612/N612,0)</f>
        <v/>
      </c>
    </row>
    <row r="613">
      <c r="A613">
        <f>Skills!A20</f>
        <v/>
      </c>
      <c r="B613">
        <f>Skills!B20</f>
        <v/>
      </c>
      <c r="C613">
        <f>TRUE</f>
        <v/>
      </c>
      <c r="D613">
        <f>IF(Skills!C20=1,60+Inputs!$B$24+Inputs!$B$28,IF(Skills!C20=2,90+Inputs!$B$25+Inputs!$B$28,IF(Skills!C20=3,120+Inputs!$B$26+Inputs!$B$28,MAX(0,(Inputs!$B$3-100)*3)+Inputs!$B$27+Inputs!$B$28)))</f>
        <v/>
      </c>
      <c r="E613">
        <f>INDEX(FactorTable!$B$2:$Y$301, MATCH(ROUND(MIN(300,MAX(1,D613)),0), FactorTable!$A$2:$A$301,0), Skills!M20+1)</f>
        <v/>
      </c>
      <c r="F613">
        <f>IF(Skills!N20=TRUE,(Skills!L20/10)*(E613/1000),Skills!L20/10)+Skills!O20</f>
        <v/>
      </c>
      <c r="G613">
        <f>Skills!G20*IF(Skills!H20&gt;0,Skills!I20/Skills!H20,1)</f>
        <v/>
      </c>
      <c r="H613">
        <f>1-(1-Skills!J20/100)^Skills!K20</f>
        <v/>
      </c>
      <c r="I613" t="inlineStr">
        <is>
          <t>1</t>
        </is>
      </c>
      <c r="J613" t="inlineStr"/>
      <c r="K613" t="inlineStr"/>
      <c r="L613" t="inlineStr"/>
      <c r="M613" t="inlineStr"/>
      <c r="N613" t="inlineStr"/>
      <c r="O613" t="n">
        <v>0</v>
      </c>
      <c r="P613">
        <f>IF(B630=0,0,O613/B630)</f>
        <v/>
      </c>
      <c r="Q613">
        <f>IFERROR(1/IF(Inputs!$B$4="pvp",15,MAX(0.1,Skills!D20-IF(Skills!E20=TRUE,Inputs!$B$31,0))),0)</f>
        <v/>
      </c>
      <c r="R613">
        <f>IF(AND(Inputs!$B$4&lt;&gt;"pvp",Inputs!$B$35&gt;0),(INT(Inputs!$B$35/IF(Inputs!$B$4="pvp",15,MAX(0.1,Skills!D20-IF(Skills!E20=TRUE,Inputs!$B$31,0))))+1),0)</f>
        <v/>
      </c>
      <c r="S613">
        <f>IFERROR(O613/N613,0)</f>
        <v/>
      </c>
    </row>
    <row r="614">
      <c r="A614">
        <f>Skills!A21</f>
        <v/>
      </c>
      <c r="B614">
        <f>Skills!B21</f>
        <v/>
      </c>
      <c r="C614">
        <f>Inputs!$B$3&gt;=33</f>
        <v/>
      </c>
      <c r="D614">
        <f>IF(Skills!C21=1,60+Inputs!$B$24+Inputs!$B$28,IF(Skills!C21=2,90+Inputs!$B$25+Inputs!$B$28,IF(Skills!C21=3,120+Inputs!$B$26+Inputs!$B$28,MAX(0,(Inputs!$B$3-100)*3)+Inputs!$B$27+Inputs!$B$28)))</f>
        <v/>
      </c>
      <c r="E614">
        <f>INDEX(FactorTable!$B$2:$Y$301, MATCH(ROUND(MIN(300,MAX(1,D614)),0), FactorTable!$A$2:$A$301,0), Skills!M21+1)</f>
        <v/>
      </c>
      <c r="F614">
        <f>IF(Skills!N21=TRUE,(Skills!L21/10)*(E614/1000),Skills!L21/10)+Skills!O21</f>
        <v/>
      </c>
      <c r="G614">
        <f>Skills!G21*IF(Skills!H21&gt;0,Skills!I21/Skills!H21,1)</f>
        <v/>
      </c>
      <c r="H614">
        <f>1-(1-Skills!J21/100)^Skills!K21</f>
        <v/>
      </c>
      <c r="I614" t="inlineStr">
        <is>
          <t>1</t>
        </is>
      </c>
      <c r="J614" t="inlineStr"/>
      <c r="K614" t="inlineStr"/>
      <c r="L614" t="inlineStr"/>
      <c r="M614" t="inlineStr"/>
      <c r="N614" t="inlineStr"/>
      <c r="O614" t="n">
        <v>0</v>
      </c>
      <c r="P614">
        <f>IF(B630=0,0,O614/B630)</f>
        <v/>
      </c>
      <c r="Q614" t="n">
        <v>0</v>
      </c>
      <c r="R614" t="n">
        <v>0</v>
      </c>
      <c r="S614">
        <f>IFERROR(O614/N614,0)</f>
        <v/>
      </c>
    </row>
    <row r="615">
      <c r="A615">
        <f>Skills!A22</f>
        <v/>
      </c>
      <c r="B615">
        <f>Skills!B22</f>
        <v/>
      </c>
      <c r="C615">
        <f>Inputs!$B$3&gt;=43</f>
        <v/>
      </c>
      <c r="D615">
        <f>IF(Skills!C22=1,60+Inputs!$B$24+Inputs!$B$28,IF(Skills!C22=2,90+Inputs!$B$25+Inputs!$B$28,IF(Skills!C22=3,120+Inputs!$B$26+Inputs!$B$28,MAX(0,(Inputs!$B$3-100)*3)+Inputs!$B$27+Inputs!$B$28)))</f>
        <v/>
      </c>
      <c r="E615">
        <f>INDEX(FactorTable!$B$2:$Y$301, MATCH(ROUND(MIN(300,MAX(1,D615)),0), FactorTable!$A$2:$A$301,0), Skills!M22+1)</f>
        <v/>
      </c>
      <c r="F615">
        <f>IF(Skills!N22=TRUE,(Skills!L22/10)*(E615/1000),Skills!L22/10)+Skills!O22</f>
        <v/>
      </c>
      <c r="G615">
        <f>Skills!G22*IF(Skills!H22&gt;0,Skills!I22/Skills!H22,1)</f>
        <v/>
      </c>
      <c r="H615">
        <f>1-(1-Skills!J22/100)^Skills!K22</f>
        <v/>
      </c>
      <c r="I615" t="inlineStr">
        <is>
          <t>1</t>
        </is>
      </c>
      <c r="J615" t="inlineStr"/>
      <c r="K615" t="inlineStr"/>
      <c r="L615" t="inlineStr"/>
      <c r="M615" t="inlineStr"/>
      <c r="N615" t="inlineStr"/>
      <c r="O615" t="n">
        <v>0</v>
      </c>
      <c r="P615">
        <f>IF(B630=0,0,O615/B630)</f>
        <v/>
      </c>
      <c r="Q615" t="n">
        <v>0</v>
      </c>
      <c r="R615" t="n">
        <v>0</v>
      </c>
      <c r="S615">
        <f>IFERROR(O615/N615,0)</f>
        <v/>
      </c>
    </row>
    <row r="616">
      <c r="A616">
        <f>Skills!A23</f>
        <v/>
      </c>
      <c r="B616">
        <f>Skills!B23</f>
        <v/>
      </c>
      <c r="C616">
        <f>Inputs!$B$3&gt;=120</f>
        <v/>
      </c>
      <c r="D616">
        <f>IF(Skills!C23=1,60+Inputs!$B$24+Inputs!$B$28,IF(Skills!C23=2,90+Inputs!$B$25+Inputs!$B$28,IF(Skills!C23=3,120+Inputs!$B$26+Inputs!$B$28,MAX(0,(Inputs!$B$3-100)*3)+Inputs!$B$27+Inputs!$B$28)))</f>
        <v/>
      </c>
      <c r="E616">
        <f>INDEX(FactorTable!$B$2:$Y$301, MATCH(ROUND(MIN(300,MAX(1,D616)),0), FactorTable!$A$2:$A$301,0), Skills!M23+1)</f>
        <v/>
      </c>
      <c r="F616">
        <f>IF(Skills!N23=TRUE,(Skills!L23/10)*(E616/1000),Skills!L23/10)+Skills!O23</f>
        <v/>
      </c>
      <c r="G616">
        <f>Skills!G23*IF(Skills!H23&gt;0,Skills!I23/Skills!H23,1)</f>
        <v/>
      </c>
      <c r="H616">
        <f>1-(1-Skills!J23/100)^Skills!K23</f>
        <v/>
      </c>
      <c r="I616" t="inlineStr">
        <is>
          <t>1</t>
        </is>
      </c>
      <c r="J616" t="inlineStr"/>
      <c r="K616" t="inlineStr"/>
      <c r="L616" t="inlineStr"/>
      <c r="M616" t="inlineStr"/>
      <c r="N616" t="inlineStr"/>
      <c r="O616" t="n">
        <v>0</v>
      </c>
      <c r="P616">
        <f>IF(B630=0,0,O616/B630)</f>
        <v/>
      </c>
      <c r="Q616" t="n">
        <v>0</v>
      </c>
      <c r="R616" t="n">
        <v>0</v>
      </c>
      <c r="S616">
        <f>IFERROR(O616/N616,0)</f>
        <v/>
      </c>
    </row>
    <row r="617">
      <c r="A617">
        <f>Skills!A24</f>
        <v/>
      </c>
      <c r="B617">
        <f>Skills!B24</f>
        <v/>
      </c>
      <c r="C617">
        <f>Inputs!$B$3&gt;=120</f>
        <v/>
      </c>
      <c r="D617">
        <f>IF(Skills!C24=1,60+Inputs!$B$24+Inputs!$B$28,IF(Skills!C24=2,90+Inputs!$B$25+Inputs!$B$28,IF(Skills!C24=3,120+Inputs!$B$26+Inputs!$B$28,MAX(0,(Inputs!$B$3-100)*3)+Inputs!$B$27+Inputs!$B$28)))</f>
        <v/>
      </c>
      <c r="E617">
        <f>INDEX(FactorTable!$B$2:$Y$301, MATCH(ROUND(MIN(300,MAX(1,D617)),0), FactorTable!$A$2:$A$301,0), Skills!M24+1)</f>
        <v/>
      </c>
      <c r="F617">
        <f>IF(Skills!N24=TRUE,(Skills!L24/10)*(E617/1000),Skills!L24/10)+Skills!O24</f>
        <v/>
      </c>
      <c r="G617">
        <f>Skills!G24*IF(Skills!H24&gt;0,Skills!I24/Skills!H24,1)</f>
        <v/>
      </c>
      <c r="H617">
        <f>1-(1-Skills!J24/100)^Skills!K24</f>
        <v/>
      </c>
      <c r="I617" t="inlineStr">
        <is>
          <t>1</t>
        </is>
      </c>
      <c r="J617" t="inlineStr"/>
      <c r="K617" t="inlineStr"/>
      <c r="L617" t="inlineStr"/>
      <c r="M617" t="inlineStr"/>
      <c r="N617" t="inlineStr"/>
      <c r="O617" t="n">
        <v>0</v>
      </c>
      <c r="P617">
        <f>IF(B630=0,0,O617/B630)</f>
        <v/>
      </c>
      <c r="Q617" t="n">
        <v>0</v>
      </c>
      <c r="R617" t="n">
        <v>0</v>
      </c>
      <c r="S617">
        <f>IFERROR(O617/N617,0)</f>
        <v/>
      </c>
    </row>
    <row r="618">
      <c r="A618">
        <f>Skills!A25</f>
        <v/>
      </c>
      <c r="B618">
        <f>Skills!B25</f>
        <v/>
      </c>
      <c r="C618">
        <f>Inputs!$B$3&gt;=125</f>
        <v/>
      </c>
      <c r="D618">
        <f>IF(Skills!C25=1,60+Inputs!$B$24+Inputs!$B$28,IF(Skills!C25=2,90+Inputs!$B$25+Inputs!$B$28,IF(Skills!C25=3,120+Inputs!$B$26+Inputs!$B$28,MAX(0,(Inputs!$B$3-100)*3)+Inputs!$B$27+Inputs!$B$28)))</f>
        <v/>
      </c>
      <c r="E618">
        <f>INDEX(FactorTable!$B$2:$Y$301, MATCH(ROUND(MIN(300,MAX(1,D618)),0), FactorTable!$A$2:$A$301,0), Skills!M25+1)</f>
        <v/>
      </c>
      <c r="F618">
        <f>IF(Skills!N25=TRUE,(Skills!L25/10)*(E618/1000),Skills!L25/10)+Skills!O25</f>
        <v/>
      </c>
      <c r="G618">
        <f>Skills!G25*IF(Skills!H25&gt;0,Skills!I25/Skills!H25,1)</f>
        <v/>
      </c>
      <c r="H618">
        <f>1-(1-Skills!J25/100)^Skills!K25</f>
        <v/>
      </c>
      <c r="I618" t="inlineStr">
        <is>
          <t>1</t>
        </is>
      </c>
      <c r="J618" t="inlineStr"/>
      <c r="K618" t="inlineStr"/>
      <c r="L618" t="inlineStr"/>
      <c r="M618" t="inlineStr"/>
      <c r="N618" t="inlineStr"/>
      <c r="O618" t="n">
        <v>0</v>
      </c>
      <c r="P618">
        <f>IF(B630=0,0,O618/B630)</f>
        <v/>
      </c>
      <c r="Q618" t="n">
        <v>0</v>
      </c>
      <c r="R618" t="n">
        <v>0</v>
      </c>
      <c r="S618">
        <f>IFERROR(O618/N618,0)</f>
        <v/>
      </c>
    </row>
    <row r="619">
      <c r="A619">
        <f>Skills!A26</f>
        <v/>
      </c>
      <c r="B619">
        <f>Skills!B26</f>
        <v/>
      </c>
      <c r="C619">
        <f>Inputs!$B$3&gt;=107</f>
        <v/>
      </c>
      <c r="D619">
        <f>IF(Skills!C26=1,60+Inputs!$B$24+Inputs!$B$28,IF(Skills!C26=2,90+Inputs!$B$25+Inputs!$B$28,IF(Skills!C26=3,120+Inputs!$B$26+Inputs!$B$28,MAX(0,(Inputs!$B$3-100)*3)+Inputs!$B$27+Inputs!$B$28)))</f>
        <v/>
      </c>
      <c r="E619">
        <f>INDEX(FactorTable!$B$2:$Y$301, MATCH(ROUND(MIN(300,MAX(1,D619)),0), FactorTable!$A$2:$A$301,0), Skills!M26+1)</f>
        <v/>
      </c>
      <c r="F619">
        <f>IF(Skills!N26=TRUE,(Skills!L26/10)*(E619/1000),Skills!L26/10)+Skills!O26</f>
        <v/>
      </c>
      <c r="G619">
        <f>Skills!G26*IF(Skills!H26&gt;0,Skills!I26/Skills!H26,1)</f>
        <v/>
      </c>
      <c r="H619">
        <f>1-(1-Skills!J26/100)^Skills!K26</f>
        <v/>
      </c>
      <c r="I619" t="inlineStr">
        <is>
          <t>1</t>
        </is>
      </c>
      <c r="J619" t="inlineStr"/>
      <c r="K619" t="inlineStr"/>
      <c r="L619" t="inlineStr"/>
      <c r="M619" t="inlineStr"/>
      <c r="N619" t="inlineStr"/>
      <c r="O619" t="n">
        <v>0</v>
      </c>
      <c r="P619">
        <f>IF(B630=0,0,O619/B630)</f>
        <v/>
      </c>
      <c r="Q619" t="n">
        <v>0</v>
      </c>
      <c r="R619" t="n">
        <v>0</v>
      </c>
      <c r="S619">
        <f>IFERROR(O619/N619,0)</f>
        <v/>
      </c>
    </row>
    <row r="621">
      <c r="A621" t="inlineStr">
        <is>
          <t>Attack% Bucket Multiplier</t>
        </is>
      </c>
      <c r="B621">
        <f>(1+(((C606=TRUE)*F606*IF(AND(Inputs!$B$4&lt;&gt;"pvp",Inputs!$B$35&gt;0),(((S606-1)*(Skills!T13*(1+Inputs!$B$33/100))+MIN((Skills!T13*(1+Inputs!$B$33/100)),MAX(0,Inputs!$B$35-((S606-1)*Skills!D13))))/Inputs!$B$35),IF(Inputs!$B$4="pvp",MIN((Skills!T13*(1+Inputs!$B$33/100)),15)/15,(Skills!T13*(1+Inputs!$B$33/100))/Skills!D13)))+((C607=TRUE)*F607*IF(AND(Inputs!$B$4&lt;&gt;"pvp",Inputs!$B$35&gt;0),(((S607-1)*(Skills!T14*(1+Inputs!$B$33/100))+MIN((Skills!T14*(1+Inputs!$B$33/100)),MAX(0,Inputs!$B$35-((S607-1)*Skills!D14))))/Inputs!$B$35),IF(Inputs!$B$4="pvp",MIN((Skills!T14*(1+Inputs!$B$33/100)),15)/15,(Skills!T14*(1+Inputs!$B$33/100))/Skills!D14)))+((C608=TRUE)*F608*IF(AND(Inputs!$B$4&lt;&gt;"pvp",Inputs!$B$35&gt;0),(((S608-1)*(Skills!T15*(1+Inputs!$B$33/100))+MIN((Skills!T15*(1+Inputs!$B$33/100)),MAX(0,Inputs!$B$35-((S608-1)*Skills!D15))))/Inputs!$B$35),IF(Inputs!$B$4="pvp",MIN((Skills!T15*(1+Inputs!$B$33/100)),15)/15,(Skills!T15*(1+Inputs!$B$33/100))/Skills!D15)))+((C609=TRUE)*F609*IF(AND(Inputs!$B$4&lt;&gt;"pvp",Inputs!$B$35&gt;0),(((S609-1)*(Skills!T16*(1+Inputs!$B$33/100))+MIN((Skills!T16*(1+Inputs!$B$33/100)),MAX(0,Inputs!$B$35-((S609-1)*Skills!D16))))/Inputs!$B$35),IF(Inputs!$B$4="pvp",MIN((Skills!T16*(1+Inputs!$B$33/100)),15)/15,(Skills!T16*(1+Inputs!$B$33/100))/Skills!D16)))+0)/100)</f>
        <v/>
      </c>
    </row>
    <row r="622">
      <c r="A622" t="inlineStr">
        <is>
          <t>Global Crit Rate Bonus % (Lord of Darkness)</t>
        </is>
      </c>
      <c r="B622">
        <f>((C611=TRUE)*F611*(Skills!J18/100)*IF(AND(Inputs!$B$4&lt;&gt;"pvp",Inputs!$B$35&gt;0),(((S611-1)*(Skills!T18*(1+Inputs!$B$33/100))+MIN((Skills!T18*(1+Inputs!$B$33/100)),MAX(0,Inputs!$B$35-((S611-1)*Skills!D18))))/Inputs!$B$35),IF(Inputs!$B$4="pvp",MIN((Skills!T18*(1+Inputs!$B$33/100)),15)/15,(Skills!T18*(1+Inputs!$B$33/100))/Skills!D18)))</f>
        <v/>
      </c>
    </row>
    <row r="623">
      <c r="A623" t="inlineStr">
        <is>
          <t>Attack Speed Buff Bonus %</t>
        </is>
      </c>
      <c r="B623">
        <f>((C613=TRUE)*F613*IF(AND(Inputs!$B$4&lt;&gt;"pvp",Inputs!$B$35&gt;0),(((S613-1)*(Skills!T20*(1+Inputs!$B$33/100))+MIN((Skills!T20*(1+Inputs!$B$33/100)),MAX(0,Inputs!$B$35-((S613-1)*Skills!D20))))/Inputs!$B$35),IF(Inputs!$B$4="pvp",MIN((Skills!T20*(1+Inputs!$B$33/100)),15)/15,(Skills!T20*(1+Inputs!$B$33/100))/Skills!D20)))</f>
        <v/>
      </c>
    </row>
    <row r="624">
      <c r="A624" t="inlineStr">
        <is>
          <t>Actions Per Second</t>
        </is>
      </c>
      <c r="B624">
        <f>1+MIN(150,150*(1-(1-(Inputs!$B$10+((C614=TRUE)*(F614-Calc!F21)))/150)*(1-B623/150)))/100</f>
        <v/>
      </c>
    </row>
    <row r="625">
      <c r="A625" t="inlineStr">
        <is>
          <t>Skill + Buff Cast Rate</t>
        </is>
      </c>
      <c r="B625">
        <f>IF(AND(Inputs!$B$4&lt;&gt;"pvp",Inputs!$B$35&gt;0),SUMPRODUCT((Skills!E2:E26=TRUE)*(C595:C619=TRUE)*R595:R619*Skills!F2:F26)/Inputs!$B$35,SUMPRODUCT((Skills!E2:E26=TRUE)*(C595:C619=TRUE)*Q595:Q619*Skills!F2:F26))</f>
        <v/>
      </c>
    </row>
    <row r="626">
      <c r="A626" t="inlineStr">
        <is>
          <t>Dark Impale Casts Per Second</t>
        </is>
      </c>
      <c r="B626">
        <f>MAX(0,B624-B625)</f>
        <v/>
      </c>
    </row>
    <row r="627">
      <c r="A627" t="inlineStr">
        <is>
          <t>Global Critical Damage Bonus % (Lord of Darkness)</t>
        </is>
      </c>
      <c r="B627">
        <f>((C612=TRUE)*F612*(Skills!J19/100)*IF(AND(Inputs!$B$4&lt;&gt;"pvp",Inputs!$B$35&gt;0),(((S612-1)*(Skills!T19*(1+Inputs!$B$33/100))+MIN((Skills!T19*(1+Inputs!$B$33/100)),MAX(0,Inputs!$B$35-((S612-1)*Skills!D19))))/Inputs!$B$35),IF(Inputs!$B$4="pvp",MIN((Skills!T19*(1+Inputs!$B$33/100)),15)/15,(Skills!T19*(1+Inputs!$B$33/100))/Skills!D19)))</f>
        <v/>
      </c>
    </row>
    <row r="628">
      <c r="A628" t="inlineStr">
        <is>
          <t>Global Final Damage Bonus % (unused)</t>
        </is>
      </c>
      <c r="B628" t="n">
        <v>0</v>
      </c>
    </row>
    <row r="630">
      <c r="A630" s="5" t="inlineStr">
        <is>
          <t>TOTAL DPS</t>
        </is>
      </c>
      <c r="B630" s="5">
        <f>SUM(O595:O619)</f>
        <v/>
      </c>
    </row>
    <row r="633">
      <c r="A633" s="5" t="inlineStr">
        <is>
          <t>Stat: SKILL_DAMAGE %</t>
        </is>
      </c>
    </row>
    <row r="634">
      <c r="A634" s="8" t="inlineStr">
        <is>
          <t>Key</t>
        </is>
      </c>
      <c r="B634" s="8" t="inlineStr">
        <is>
          <t>Name</t>
        </is>
      </c>
      <c r="C634" s="8" t="inlineStr">
        <is>
          <t>Unlocked</t>
        </is>
      </c>
      <c r="D634" s="8" t="inlineStr">
        <is>
          <t>InputLevel</t>
        </is>
      </c>
      <c r="E634" s="8" t="inlineStr">
        <is>
          <t>Factor</t>
        </is>
      </c>
      <c r="F634" s="8" t="inlineStr">
        <is>
          <t>CoefficientPercent</t>
        </is>
      </c>
      <c r="G634" s="8" t="inlineStr">
        <is>
          <t>EffectiveHits</t>
        </is>
      </c>
      <c r="H634" s="8" t="inlineStr">
        <is>
          <t>ProcProbability</t>
        </is>
      </c>
      <c r="I634" s="8" t="inlineStr">
        <is>
          <t>MapleHeroMultiplier</t>
        </is>
      </c>
      <c r="J634" s="8" t="inlineStr">
        <is>
          <t>BaseDamage</t>
        </is>
      </c>
      <c r="K634" s="8" t="inlineStr">
        <is>
          <t>BaseHitDamage</t>
        </is>
      </c>
      <c r="L634" s="8" t="inlineStr">
        <is>
          <t>NonCritAvg</t>
        </is>
      </c>
      <c r="M634" s="8" t="inlineStr">
        <is>
          <t>CritAvg</t>
        </is>
      </c>
      <c r="N634" s="8" t="inlineStr">
        <is>
          <t>ExpectedDamage(perHit)</t>
        </is>
      </c>
      <c r="O634" s="8" t="inlineStr">
        <is>
          <t>DPS</t>
        </is>
      </c>
      <c r="P634" s="8" t="inlineStr">
        <is>
          <t>% of Total</t>
        </is>
      </c>
      <c r="Q634" s="8" t="inlineStr">
        <is>
          <t>InvCooldown</t>
        </is>
      </c>
      <c r="R634" s="8" t="inlineStr">
        <is>
          <t>CastsInFight</t>
        </is>
      </c>
      <c r="S634" s="8" t="inlineStr">
        <is>
          <t>HitRate(perSec)</t>
        </is>
      </c>
      <c r="U634" t="inlineStr">
        <is>
          <t>helpers</t>
        </is>
      </c>
    </row>
    <row r="635">
      <c r="A635">
        <f>Skills!A2</f>
        <v/>
      </c>
      <c r="B635">
        <f>Skills!B2</f>
        <v/>
      </c>
      <c r="C635">
        <f>Inputs!$B$3&gt;=100</f>
        <v/>
      </c>
      <c r="D635" t="inlineStr"/>
      <c r="E635" t="inlineStr"/>
      <c r="F635">
        <f>U637+Skills!O2</f>
        <v/>
      </c>
      <c r="G635">
        <f>Skills!G2*IF(Skills!H2&gt;0,Skills!I2/Skills!H2,1)</f>
        <v/>
      </c>
      <c r="H635">
        <f>1-(1-Skills!J2/100)^Skills!K2</f>
        <v/>
      </c>
      <c r="I635" t="inlineStr">
        <is>
          <t>1</t>
        </is>
      </c>
      <c r="J635">
        <f>(Inputs!$B$5*(1+Inputs!$B$6/100))*(F635/100)</f>
        <v/>
      </c>
      <c r="K635">
        <f>J635*(1+((Inputs!$B$11*(1+Inputs!$B$12/100))*0.01+Inputs!$B$13*0.0025)/100)*(1+Inputs!$B$14/100)*(1+IF(Inputs!$B$4="pvp",0,(1-Summary!$B$55)*(Inputs!$B$19+0+Skills!P2+((C650=TRUE)*F650*IF(AND(Inputs!$B$4&lt;&gt;"pvp",Inputs!$B$35&gt;0),(((S650-1)*(Skills!T17*(1+Inputs!$B$33/100))+MIN((Skills!T17*(1+Inputs!$B$33/100)),MAX(0,Inputs!$B$35-((S650-1)*Skills!D17))))/Inputs!$B$35),IF(Inputs!$B$4="pvp",MIN((Skills!T17*(1+Inputs!$B$33/100)),15)/15,(Skills!T17*(1+Inputs!$B$33/100))/Skills!D17)))+((C647=TRUE)*IF(Inputs!$B$4="pvp",20,(1-Summary!$B$55)*(20)+Summary!$B$55*(0))*IF(AND(Inputs!$B$4&lt;&gt;"pvp",Inputs!$B$35&gt;0),(((S647-1)*(Skills!T14*(1+Inputs!$B$33/100))+MIN((Skills!T14*(1+Inputs!$B$33/100)),MAX(0,Inputs!$B$35-((S647-1)*Skills!D14))))/Inputs!$B$35),IF(Inputs!$B$4="pvp",MIN((Skills!T14*(1+Inputs!$B$33/100)),15)/15,(Skills!T14*(1+Inputs!$B$33/100))/Skills!D14))))+Summary!$B$55*(Inputs!$B$20+Skills!Q2+((C650=TRUE)*F650*IF(AND(Inputs!$B$4&lt;&gt;"pvp",Inputs!$B$35&gt;0),(((S650-1)*(Skills!T17*(1+Inputs!$B$33/100))+MIN((Skills!T17*(1+Inputs!$B$33/100)),MAX(0,Inputs!$B$35-((S650-1)*Skills!D17))))/Inputs!$B$35),IF(Inputs!$B$4="pvp",MIN((Skills!T17*(1+Inputs!$B$33/100)),15)/15,(Skills!T17*(1+Inputs!$B$33/100))/Skills!D17)))))/100)*(1+Inputs!$B$15/100)*(5000/(6000+Inputs!$B$7*(1-(Inputs!$B$18+0)/100)))*(1+(Inputs!$B$23+((C658=TRUE)*(F658-Calc!F25))+((C659=TRUE)*(F659-Calc!F26))+B668)/100)*(1+(IF(Skills!A2="DARK_IMPALE",Inputs!$B$16+0,(Inputs!$B$17+1)+((C656=TRUE)*(F656-Calc!F23))))/100)*((1+(((C646=TRUE)*F646*IF(AND(Inputs!$B$4&lt;&gt;"pvp",Inputs!$B$35&gt;0),(((S646-1)*(Skills!T13*(1+Inputs!$B$33/100))+MIN((Skills!T13*(1+Inputs!$B$33/100)),MAX(0,Inputs!$B$35-((S646-1)*Skills!D13))))/Inputs!$B$35),IF(Inputs!$B$4="pvp",MIN((Skills!T13*(1+Inputs!$B$33/100)),15)/15,(Skills!T13*(1+Inputs!$B$33/100))/Skills!D13)))+((C647=TRUE)*F647*IF(AND(Inputs!$B$4&lt;&gt;"pvp",Inputs!$B$35&gt;0),(((S647-1)*(Skills!T14*(1+Inputs!$B$33/100))+MIN((Skills!T14*(1+Inputs!$B$33/100)),MAX(0,Inputs!$B$35-((S647-1)*Skills!D14))))/Inputs!$B$35),IF(Inputs!$B$4="pvp",MIN((Skills!T14*(1+Inputs!$B$33/100)),15)/15,(Skills!T14*(1+Inputs!$B$33/100))/Skills!D14)))+((C648=TRUE)*F648*IF(AND(Inputs!$B$4&lt;&gt;"pvp",Inputs!$B$35&gt;0),(((S648-1)*(Skills!T15*(1+Inputs!$B$33/100))+MIN((Skills!T15*(1+Inputs!$B$33/100)),MAX(0,Inputs!$B$35-((S648-1)*Skills!D15))))/Inputs!$B$35),IF(Inputs!$B$4="pvp",MIN((Skills!T15*(1+Inputs!$B$33/100)),15)/15,(Skills!T15*(1+Inputs!$B$33/100))/Skills!D15)))+((C649=TRUE)*F649*IF(AND(Inputs!$B$4&lt;&gt;"pvp",Inputs!$B$35&gt;0),(((S649-1)*(Skills!T16*(1+Inputs!$B$33/100))+MIN((Skills!T16*(1+Inputs!$B$33/100)),MAX(0,Inputs!$B$35-((S649-1)*Skills!D16))))/Inputs!$B$35),IF(Inputs!$B$4="pvp",MIN((Skills!T16*(1+Inputs!$B$33/100)),15)/15,(Skills!T16*(1+Inputs!$B$33/100))/Skills!D16)))+0)/100)*I635)</f>
        <v/>
      </c>
      <c r="L635">
        <f>K635*(MIN(Inputs!$B$21+((C655=TRUE)*(F655-Calc!F22)),Inputs!$B$22+((C657=TRUE)*(F657-Calc!F24)))/100+(Inputs!$B$22+((C657=TRUE)*(F657-Calc!F24)))/100)/2</f>
        <v/>
      </c>
      <c r="M635">
        <f>L635*(1+(Inputs!$B$9+0+B667)/100)</f>
        <v/>
      </c>
      <c r="N635">
        <f>L635*(1-MIN((Inputs!$B$8+0+B662),100)/100)+M635*(MIN((Inputs!$B$8+0+B662),100)/100)</f>
        <v/>
      </c>
      <c r="O635">
        <f>IF(C635,Skills!G2*N635*B666*IF(Inputs!$B$4="pvp",1,(1-Summary!$B$55)*(1)+Summary!$B$55*(MIN((6+Inputs!$B$32),Inputs!$B$37))),0)</f>
        <v/>
      </c>
      <c r="P635">
        <f>IF(B670=0,0,O635/B670)</f>
        <v/>
      </c>
      <c r="Q635" t="n">
        <v>0</v>
      </c>
      <c r="R635" t="n">
        <v>0</v>
      </c>
      <c r="S635">
        <f>IFERROR(O635/N635,0)</f>
        <v/>
      </c>
      <c r="U635">
        <f>MAX(0,(Inputs!$B$3-100)*3)+Inputs!$B$27+Inputs!$B$28</f>
        <v/>
      </c>
    </row>
    <row r="636">
      <c r="A636">
        <f>Skills!A3</f>
        <v/>
      </c>
      <c r="B636">
        <f>Skills!B3</f>
        <v/>
      </c>
      <c r="C636">
        <f>Inputs!$B$3&gt;=50</f>
        <v/>
      </c>
      <c r="D636">
        <f>IF(Skills!C3=1,60+Inputs!$B$24+Inputs!$B$28,IF(Skills!C3=2,90+Inputs!$B$25+Inputs!$B$28,IF(Skills!C3=3,120+Inputs!$B$26+Inputs!$B$28,MAX(0,(Inputs!$B$3-100)*3)+Inputs!$B$27+Inputs!$B$28)))</f>
        <v/>
      </c>
      <c r="E636">
        <f>INDEX(FactorTable!$B$2:$Y$301, MATCH(ROUND(MIN(300,MAX(1,D636)),0), FactorTable!$A$2:$A$301,0), Skills!M3+1)</f>
        <v/>
      </c>
      <c r="F636">
        <f>IF(Skills!N3=TRUE,(Skills!L3/10)*(E636/1000),Skills!L3/10)+Skills!O3</f>
        <v/>
      </c>
      <c r="G636" t="inlineStr"/>
      <c r="H636" t="inlineStr"/>
      <c r="I636" t="inlineStr">
        <is>
          <t>1</t>
        </is>
      </c>
      <c r="J636" t="inlineStr"/>
      <c r="K636" t="inlineStr"/>
      <c r="L636" t="inlineStr"/>
      <c r="M636" t="inlineStr"/>
      <c r="N636" t="inlineStr"/>
      <c r="O636" t="inlineStr"/>
      <c r="P636" t="inlineStr"/>
      <c r="Q636" t="inlineStr"/>
      <c r="R636" t="inlineStr"/>
      <c r="S636" t="inlineStr"/>
      <c r="U636">
        <f>INDEX(FactorTable!$B$2:$Y$301, MATCH(ROUND(MIN(300,MAX(1,U635)),0), FactorTable!$A$2:$A$301,0), 22)</f>
        <v/>
      </c>
    </row>
    <row r="637">
      <c r="A637">
        <f>Skills!A4</f>
        <v/>
      </c>
      <c r="B637">
        <f>Skills!B4</f>
        <v/>
      </c>
      <c r="C637">
        <f>Inputs!$B$3&gt;=105</f>
        <v/>
      </c>
      <c r="D637">
        <f>IF(Skills!C4=1,60+Inputs!$B$24+Inputs!$B$28,IF(Skills!C4=2,90+Inputs!$B$25+Inputs!$B$28,IF(Skills!C4=3,120+Inputs!$B$26+Inputs!$B$28,MAX(0,(Inputs!$B$3-100)*3)+Inputs!$B$27+Inputs!$B$28)))</f>
        <v/>
      </c>
      <c r="E637">
        <f>INDEX(FactorTable!$B$2:$Y$301, MATCH(ROUND(MIN(300,MAX(1,D637)),0), FactorTable!$A$2:$A$301,0), Skills!M4+1)</f>
        <v/>
      </c>
      <c r="F637">
        <f>IF(Skills!N4=TRUE,(Skills!L4/10)*(E637/1000),Skills!L4/10)+Skills!O4</f>
        <v/>
      </c>
      <c r="G637" t="inlineStr"/>
      <c r="H637" t="inlineStr"/>
      <c r="I637" t="inlineStr">
        <is>
          <t>1</t>
        </is>
      </c>
      <c r="J637" t="inlineStr"/>
      <c r="K637" t="inlineStr"/>
      <c r="L637" t="inlineStr"/>
      <c r="M637" t="inlineStr"/>
      <c r="N637" t="inlineStr"/>
      <c r="O637" t="inlineStr"/>
      <c r="P637" t="inlineStr"/>
      <c r="Q637" t="inlineStr"/>
      <c r="R637" t="inlineStr"/>
      <c r="S637" t="inlineStr"/>
      <c r="U637">
        <f>290*U636/1000</f>
        <v/>
      </c>
    </row>
    <row r="638">
      <c r="A638">
        <f>Skills!A5</f>
        <v/>
      </c>
      <c r="B638">
        <f>Skills!B5</f>
        <v/>
      </c>
      <c r="C638">
        <f>Inputs!$B$3&gt;=117</f>
        <v/>
      </c>
      <c r="D638">
        <f>IF(Skills!C5=1,60+Inputs!$B$24+Inputs!$B$28,IF(Skills!C5=2,90+Inputs!$B$25+Inputs!$B$28,IF(Skills!C5=3,120+Inputs!$B$26+Inputs!$B$28,MAX(0,(Inputs!$B$3-100)*3)+Inputs!$B$27+Inputs!$B$28)))</f>
        <v/>
      </c>
      <c r="E638">
        <f>INDEX(FactorTable!$B$2:$Y$301, MATCH(ROUND(MIN(300,MAX(1,D638)),0), FactorTable!$A$2:$A$301,0), Skills!M5+1)</f>
        <v/>
      </c>
      <c r="F638">
        <f>IF(Skills!N5=TRUE,(Skills!L5/10)*(E638/1000),Skills!L5/10)+Skills!O5</f>
        <v/>
      </c>
      <c r="G638">
        <f>Skills!G5*IF(Skills!H5&gt;0,Skills!I5/Skills!H5,1)</f>
        <v/>
      </c>
      <c r="H638">
        <f>1-(1-Skills!J5/100)^Skills!K5</f>
        <v/>
      </c>
      <c r="I638" t="inlineStr">
        <is>
          <t>1</t>
        </is>
      </c>
      <c r="J638">
        <f>(Inputs!$B$5*(1+Inputs!$B$6/100))*(F638/100)</f>
        <v/>
      </c>
      <c r="K638">
        <f>J638*(1+((Inputs!$B$11*(1+Inputs!$B$12/100))*0.01+Inputs!$B$13*0.0025)/100)*(1+Inputs!$B$14/100)*(1+IF(Inputs!$B$4="pvp",0,(1-Summary!$B$55)*(Inputs!$B$19+0+Skills!P5+((C650=TRUE)*F650*IF(AND(Inputs!$B$4&lt;&gt;"pvp",Inputs!$B$35&gt;0),(((S650-1)*(Skills!T17*(1+Inputs!$B$33/100))+MIN((Skills!T17*(1+Inputs!$B$33/100)),MAX(0,Inputs!$B$35-((S650-1)*Skills!D17))))/Inputs!$B$35),IF(Inputs!$B$4="pvp",MIN((Skills!T17*(1+Inputs!$B$33/100)),15)/15,(Skills!T17*(1+Inputs!$B$33/100))/Skills!D17)))+((C647=TRUE)*IF(Inputs!$B$4="pvp",20,(1-Summary!$B$55)*(20)+Summary!$B$55*(0))*IF(AND(Inputs!$B$4&lt;&gt;"pvp",Inputs!$B$35&gt;0),(((S647-1)*(Skills!T14*(1+Inputs!$B$33/100))+MIN((Skills!T14*(1+Inputs!$B$33/100)),MAX(0,Inputs!$B$35-((S647-1)*Skills!D14))))/Inputs!$B$35),IF(Inputs!$B$4="pvp",MIN((Skills!T14*(1+Inputs!$B$33/100)),15)/15,(Skills!T14*(1+Inputs!$B$33/100))/Skills!D14))))+Summary!$B$55*(Inputs!$B$20+Skills!Q5+((C650=TRUE)*F650*IF(AND(Inputs!$B$4&lt;&gt;"pvp",Inputs!$B$35&gt;0),(((S650-1)*(Skills!T17*(1+Inputs!$B$33/100))+MIN((Skills!T17*(1+Inputs!$B$33/100)),MAX(0,Inputs!$B$35-((S650-1)*Skills!D17))))/Inputs!$B$35),IF(Inputs!$B$4="pvp",MIN((Skills!T17*(1+Inputs!$B$33/100)),15)/15,(Skills!T17*(1+Inputs!$B$33/100))/Skills!D17)))))/100)*(1+Inputs!$B$15/100)*(5000/(6000+Inputs!$B$7*(1-(Inputs!$B$18+0)/100)))*(1+(Inputs!$B$23+((C658=TRUE)*(F658-Calc!F25))+((C659=TRUE)*(F659-Calc!F26))+B668)/100)*(1+(IF(Skills!A5="DARK_IMPALE",Inputs!$B$16+0,(Inputs!$B$17+1)+((C656=TRUE)*(F656-Calc!F23))))/100)*((1+(((C646=TRUE)*F646*IF(AND(Inputs!$B$4&lt;&gt;"pvp",Inputs!$B$35&gt;0),(((S646-1)*(Skills!T13*(1+Inputs!$B$33/100))+MIN((Skills!T13*(1+Inputs!$B$33/100)),MAX(0,Inputs!$B$35-((S646-1)*Skills!D13))))/Inputs!$B$35),IF(Inputs!$B$4="pvp",MIN((Skills!T13*(1+Inputs!$B$33/100)),15)/15,(Skills!T13*(1+Inputs!$B$33/100))/Skills!D13)))+((C647=TRUE)*F647*IF(AND(Inputs!$B$4&lt;&gt;"pvp",Inputs!$B$35&gt;0),(((S647-1)*(Skills!T14*(1+Inputs!$B$33/100))+MIN((Skills!T14*(1+Inputs!$B$33/100)),MAX(0,Inputs!$B$35-((S647-1)*Skills!D14))))/Inputs!$B$35),IF(Inputs!$B$4="pvp",MIN((Skills!T14*(1+Inputs!$B$33/100)),15)/15,(Skills!T14*(1+Inputs!$B$33/100))/Skills!D14)))+((C648=TRUE)*F648*IF(AND(Inputs!$B$4&lt;&gt;"pvp",Inputs!$B$35&gt;0),(((S648-1)*(Skills!T15*(1+Inputs!$B$33/100))+MIN((Skills!T15*(1+Inputs!$B$33/100)),MAX(0,Inputs!$B$35-((S648-1)*Skills!D15))))/Inputs!$B$35),IF(Inputs!$B$4="pvp",MIN((Skills!T15*(1+Inputs!$B$33/100)),15)/15,(Skills!T15*(1+Inputs!$B$33/100))/Skills!D15)))+((C649=TRUE)*F649*IF(AND(Inputs!$B$4&lt;&gt;"pvp",Inputs!$B$35&gt;0),(((S649-1)*(Skills!T16*(1+Inputs!$B$33/100))+MIN((Skills!T16*(1+Inputs!$B$33/100)),MAX(0,Inputs!$B$35-((S649-1)*Skills!D16))))/Inputs!$B$35),IF(Inputs!$B$4="pvp",MIN((Skills!T16*(1+Inputs!$B$33/100)),15)/15,(Skills!T16*(1+Inputs!$B$33/100))/Skills!D16)))+0)/100)*I638)</f>
        <v/>
      </c>
      <c r="L638">
        <f>K638*(MIN(Inputs!$B$21+((C655=TRUE)*(F655-Calc!F22)),Inputs!$B$22+((C657=TRUE)*(F657-Calc!F24)))/100+(Inputs!$B$22+((C657=TRUE)*(F657-Calc!F24)))/100)/2</f>
        <v/>
      </c>
      <c r="M638">
        <f>L638*(1+(Inputs!$B$9+0+B667)/100)</f>
        <v/>
      </c>
      <c r="N638">
        <f>L638*(1-MIN((Inputs!$B$8+0+B662),100)/100)+M638*(MIN((Inputs!$B$8+0+B662),100)/100)</f>
        <v/>
      </c>
      <c r="O638">
        <f>IF(C638,H638*N638*IF(AND(Inputs!$B$4&lt;&gt;"pvp",Inputs!$B$35&gt;0),((Skills!G5*((R638-1)*IF(Skills!H5&gt;0,Skills!I5/Skills!H5,1)+IF(Skills!H5&gt;0,MIN(Skills!I5,MAX(0,Inputs!$B$35-((R638-1)*IF(Inputs!$B$4="pvp",15,MAX(0.1,Skills!D5-IF(Skills!E5=TRUE,Inputs!$B$31,0))))))/Skills!H5,1)))/Inputs!$B$35),G638*Q638)*IF(Inputs!$B$4="pvp",1,(1-Summary!$B$55)*(1)+Summary!$B$55*(MIN(Skills!R5,Inputs!$B$37))),0)</f>
        <v/>
      </c>
      <c r="P638">
        <f>IF(B670=0,0,O638/B670)</f>
        <v/>
      </c>
      <c r="Q638">
        <f>IFERROR(1/IF(Inputs!$B$4="pvp",15,MAX(0.1,Skills!D5-IF(Skills!E5=TRUE,Inputs!$B$31,0))),0)</f>
        <v/>
      </c>
      <c r="R638">
        <f>IF(AND(Inputs!$B$4&lt;&gt;"pvp",Inputs!$B$35&gt;0),(INT(Inputs!$B$35/IF(Inputs!$B$4="pvp",15,MAX(0.1,Skills!D5-IF(Skills!E5=TRUE,Inputs!$B$31,0))))+1),0)</f>
        <v/>
      </c>
      <c r="S638">
        <f>IFERROR(O638/N638,0)</f>
        <v/>
      </c>
    </row>
    <row r="639">
      <c r="A639">
        <f>Skills!A6</f>
        <v/>
      </c>
      <c r="B639">
        <f>Skills!B6</f>
        <v/>
      </c>
      <c r="C639">
        <f>Inputs!$B$3&gt;=103</f>
        <v/>
      </c>
      <c r="D639">
        <f>IF(Skills!C6=1,60+Inputs!$B$24+Inputs!$B$28,IF(Skills!C6=2,90+Inputs!$B$25+Inputs!$B$28,IF(Skills!C6=3,120+Inputs!$B$26+Inputs!$B$28,MAX(0,(Inputs!$B$3-100)*3)+Inputs!$B$27+Inputs!$B$28)))</f>
        <v/>
      </c>
      <c r="E639">
        <f>INDEX(FactorTable!$B$2:$Y$301, MATCH(ROUND(MIN(300,MAX(1,D639)),0), FactorTable!$A$2:$A$301,0), Skills!M6+1)</f>
        <v/>
      </c>
      <c r="F639">
        <f>IF(Skills!N6=TRUE,(Skills!L6/10)*(E639/1000),Skills!L6/10)+Skills!O6</f>
        <v/>
      </c>
      <c r="G639">
        <f>Skills!G6*IF(Skills!H6&gt;0,Skills!I6/Skills!H6,1)</f>
        <v/>
      </c>
      <c r="H639">
        <f>1-(1-Skills!J6/100)^Skills!K6</f>
        <v/>
      </c>
      <c r="I639" t="inlineStr">
        <is>
          <t>1</t>
        </is>
      </c>
      <c r="J639">
        <f>(Inputs!$B$5*(1+Inputs!$B$6/100))*(F639/100)</f>
        <v/>
      </c>
      <c r="K639">
        <f>J639*(1+((Inputs!$B$11*(1+Inputs!$B$12/100))*0.01+Inputs!$B$13*0.0025)/100)*(1+Inputs!$B$14/100)*(1+IF(Inputs!$B$4="pvp",0,(1-Summary!$B$55)*(Inputs!$B$19+0+Skills!P6+((C650=TRUE)*F650*IF(AND(Inputs!$B$4&lt;&gt;"pvp",Inputs!$B$35&gt;0),(((S650-1)*(Skills!T17*(1+Inputs!$B$33/100))+MIN((Skills!T17*(1+Inputs!$B$33/100)),MAX(0,Inputs!$B$35-((S650-1)*Skills!D17))))/Inputs!$B$35),IF(Inputs!$B$4="pvp",MIN((Skills!T17*(1+Inputs!$B$33/100)),15)/15,(Skills!T17*(1+Inputs!$B$33/100))/Skills!D17)))+((C647=TRUE)*IF(Inputs!$B$4="pvp",20,(1-Summary!$B$55)*(20)+Summary!$B$55*(0))*IF(AND(Inputs!$B$4&lt;&gt;"pvp",Inputs!$B$35&gt;0),(((S647-1)*(Skills!T14*(1+Inputs!$B$33/100))+MIN((Skills!T14*(1+Inputs!$B$33/100)),MAX(0,Inputs!$B$35-((S647-1)*Skills!D14))))/Inputs!$B$35),IF(Inputs!$B$4="pvp",MIN((Skills!T14*(1+Inputs!$B$33/100)),15)/15,(Skills!T14*(1+Inputs!$B$33/100))/Skills!D14))))+Summary!$B$55*(Inputs!$B$20+Skills!Q6+((C650=TRUE)*F650*IF(AND(Inputs!$B$4&lt;&gt;"pvp",Inputs!$B$35&gt;0),(((S650-1)*(Skills!T17*(1+Inputs!$B$33/100))+MIN((Skills!T17*(1+Inputs!$B$33/100)),MAX(0,Inputs!$B$35-((S650-1)*Skills!D17))))/Inputs!$B$35),IF(Inputs!$B$4="pvp",MIN((Skills!T17*(1+Inputs!$B$33/100)),15)/15,(Skills!T17*(1+Inputs!$B$33/100))/Skills!D17)))))/100)*(1+Inputs!$B$15/100)*(5000/(6000+Inputs!$B$7*(1-(Inputs!$B$18+0)/100)))*(1+(Inputs!$B$23+((C658=TRUE)*(F658-Calc!F25))+((C659=TRUE)*(F659-Calc!F26))+B668)/100)*(1+(IF(Skills!A6="DARK_IMPALE",Inputs!$B$16+0,(Inputs!$B$17+1)+((C656=TRUE)*(F656-Calc!F23))))/100)*((1+(((C646=TRUE)*F646*IF(AND(Inputs!$B$4&lt;&gt;"pvp",Inputs!$B$35&gt;0),(((S646-1)*(Skills!T13*(1+Inputs!$B$33/100))+MIN((Skills!T13*(1+Inputs!$B$33/100)),MAX(0,Inputs!$B$35-((S646-1)*Skills!D13))))/Inputs!$B$35),IF(Inputs!$B$4="pvp",MIN((Skills!T13*(1+Inputs!$B$33/100)),15)/15,(Skills!T13*(1+Inputs!$B$33/100))/Skills!D13)))+((C647=TRUE)*F647*IF(AND(Inputs!$B$4&lt;&gt;"pvp",Inputs!$B$35&gt;0),(((S647-1)*(Skills!T14*(1+Inputs!$B$33/100))+MIN((Skills!T14*(1+Inputs!$B$33/100)),MAX(0,Inputs!$B$35-((S647-1)*Skills!D14))))/Inputs!$B$35),IF(Inputs!$B$4="pvp",MIN((Skills!T14*(1+Inputs!$B$33/100)),15)/15,(Skills!T14*(1+Inputs!$B$33/100))/Skills!D14)))+((C648=TRUE)*F648*IF(AND(Inputs!$B$4&lt;&gt;"pvp",Inputs!$B$35&gt;0),(((S648-1)*(Skills!T15*(1+Inputs!$B$33/100))+MIN((Skills!T15*(1+Inputs!$B$33/100)),MAX(0,Inputs!$B$35-((S648-1)*Skills!D15))))/Inputs!$B$35),IF(Inputs!$B$4="pvp",MIN((Skills!T15*(1+Inputs!$B$33/100)),15)/15,(Skills!T15*(1+Inputs!$B$33/100))/Skills!D15)))+((C649=TRUE)*F649*IF(AND(Inputs!$B$4&lt;&gt;"pvp",Inputs!$B$35&gt;0),(((S649-1)*(Skills!T16*(1+Inputs!$B$33/100))+MIN((Skills!T16*(1+Inputs!$B$33/100)),MAX(0,Inputs!$B$35-((S649-1)*Skills!D16))))/Inputs!$B$35),IF(Inputs!$B$4="pvp",MIN((Skills!T16*(1+Inputs!$B$33/100)),15)/15,(Skills!T16*(1+Inputs!$B$33/100))/Skills!D16)))+0)/100)*I639)</f>
        <v/>
      </c>
      <c r="L639">
        <f>K639*(MIN(Inputs!$B$21+((C655=TRUE)*(F655-Calc!F22)),Inputs!$B$22+((C657=TRUE)*(F657-Calc!F24)))/100+(Inputs!$B$22+((C657=TRUE)*(F657-Calc!F24)))/100)/2</f>
        <v/>
      </c>
      <c r="M639">
        <f>L639*(1+(Inputs!$B$9+0+B667)/100)</f>
        <v/>
      </c>
      <c r="N639">
        <f>L639*(1-MIN((Inputs!$B$8+0+B662),100)/100)+M639*(MIN((Inputs!$B$8+0+B662),100)/100)</f>
        <v/>
      </c>
      <c r="O639">
        <f>IF(C639,H639*N639*IF(AND(Inputs!$B$4&lt;&gt;"pvp",Inputs!$B$35&gt;0),((Skills!G6*((R639-1)*IF(Skills!H6&gt;0,Skills!I6/Skills!H6,1)+IF(Skills!H6&gt;0,MIN(Skills!I6,MAX(0,Inputs!$B$35-((R639-1)*IF(Inputs!$B$4="pvp",15,MAX(0.1,Skills!D6-IF(Skills!E6=TRUE,Inputs!$B$31,0))))))/Skills!H6,1)))/Inputs!$B$35),G639*Q639)*IF(Inputs!$B$4="pvp",1,(1-Summary!$B$55)*(1)+Summary!$B$55*(MIN(Skills!R6,Inputs!$B$37))),0)</f>
        <v/>
      </c>
      <c r="P639">
        <f>IF(B670=0,0,O639/B670)</f>
        <v/>
      </c>
      <c r="Q639">
        <f>IFERROR(1/IF(Inputs!$B$4="pvp",15,MAX(0.1,Skills!D6-IF(Skills!E6=TRUE,Inputs!$B$31,0))),0)</f>
        <v/>
      </c>
      <c r="R639">
        <f>IF(AND(Inputs!$B$4&lt;&gt;"pvp",Inputs!$B$35&gt;0),(INT(Inputs!$B$35/IF(Inputs!$B$4="pvp",15,MAX(0.1,Skills!D6-IF(Skills!E6=TRUE,Inputs!$B$31,0))))+1),0)</f>
        <v/>
      </c>
      <c r="S639">
        <f>IFERROR(O639/N639,0)</f>
        <v/>
      </c>
    </row>
    <row r="640">
      <c r="A640">
        <f>Skills!A7</f>
        <v/>
      </c>
      <c r="B640">
        <f>Skills!B7</f>
        <v/>
      </c>
      <c r="C640">
        <f>Inputs!$B$3&gt;=40</f>
        <v/>
      </c>
      <c r="D640">
        <f>IF(Skills!C7=1,60+Inputs!$B$24+Inputs!$B$28,IF(Skills!C7=2,90+Inputs!$B$25+Inputs!$B$28,IF(Skills!C7=3,120+Inputs!$B$26+Inputs!$B$28,MAX(0,(Inputs!$B$3-100)*3)+Inputs!$B$27+Inputs!$B$28)))</f>
        <v/>
      </c>
      <c r="E640">
        <f>INDEX(FactorTable!$B$2:$Y$301, MATCH(ROUND(MIN(300,MAX(1,D640)),0), FactorTable!$A$2:$A$301,0), Skills!M7+1)</f>
        <v/>
      </c>
      <c r="F640">
        <f>IF(Skills!N7=TRUE,(Skills!L7/10)*(E640/1000),Skills!L7/10)+Skills!O7</f>
        <v/>
      </c>
      <c r="G640">
        <f>Skills!G7*IF(Skills!H7&gt;0,Skills!I7/Skills!H7,1)</f>
        <v/>
      </c>
      <c r="H640">
        <f>1-(1-Skills!J7/100)^Skills!K7</f>
        <v/>
      </c>
      <c r="I640" t="inlineStr">
        <is>
          <t>1</t>
        </is>
      </c>
      <c r="J640">
        <f>(Inputs!$B$5*(1+Inputs!$B$6/100))*(F640/100)</f>
        <v/>
      </c>
      <c r="K640">
        <f>J640*(1+((Inputs!$B$11*(1+Inputs!$B$12/100))*0.01+Inputs!$B$13*0.0025)/100)*(1+Inputs!$B$14/100)*(1+IF(Inputs!$B$4="pvp",0,(1-Summary!$B$55)*(Inputs!$B$19+0+Skills!P7+((C650=TRUE)*F650*IF(AND(Inputs!$B$4&lt;&gt;"pvp",Inputs!$B$35&gt;0),(((S650-1)*(Skills!T17*(1+Inputs!$B$33/100))+MIN((Skills!T17*(1+Inputs!$B$33/100)),MAX(0,Inputs!$B$35-((S650-1)*Skills!D17))))/Inputs!$B$35),IF(Inputs!$B$4="pvp",MIN((Skills!T17*(1+Inputs!$B$33/100)),15)/15,(Skills!T17*(1+Inputs!$B$33/100))/Skills!D17)))+((C647=TRUE)*IF(Inputs!$B$4="pvp",20,(1-Summary!$B$55)*(20)+Summary!$B$55*(0))*IF(AND(Inputs!$B$4&lt;&gt;"pvp",Inputs!$B$35&gt;0),(((S647-1)*(Skills!T14*(1+Inputs!$B$33/100))+MIN((Skills!T14*(1+Inputs!$B$33/100)),MAX(0,Inputs!$B$35-((S647-1)*Skills!D14))))/Inputs!$B$35),IF(Inputs!$B$4="pvp",MIN((Skills!T14*(1+Inputs!$B$33/100)),15)/15,(Skills!T14*(1+Inputs!$B$33/100))/Skills!D14))))+Summary!$B$55*(Inputs!$B$20+Skills!Q7+((C650=TRUE)*F650*IF(AND(Inputs!$B$4&lt;&gt;"pvp",Inputs!$B$35&gt;0),(((S650-1)*(Skills!T17*(1+Inputs!$B$33/100))+MIN((Skills!T17*(1+Inputs!$B$33/100)),MAX(0,Inputs!$B$35-((S650-1)*Skills!D17))))/Inputs!$B$35),IF(Inputs!$B$4="pvp",MIN((Skills!T17*(1+Inputs!$B$33/100)),15)/15,(Skills!T17*(1+Inputs!$B$33/100))/Skills!D17)))))/100)*(1+Inputs!$B$15/100)*(5000/(6000+Inputs!$B$7*(1-(Inputs!$B$18+0)/100)))*(1+(Inputs!$B$23+((C658=TRUE)*(F658-Calc!F25))+((C659=TRUE)*(F659-Calc!F26))+B668)/100)*(1+0.75*IF(C644=TRUE,F644,0)/100)*(1+(IF(Skills!A7="DARK_IMPALE",Inputs!$B$16+0,(Inputs!$B$17+1)+((C656=TRUE)*(F656-Calc!F23))))/100)*((1+(((C646=TRUE)*F646*IF(AND(Inputs!$B$4&lt;&gt;"pvp",Inputs!$B$35&gt;0),(((S646-1)*(Skills!T13*(1+Inputs!$B$33/100))+MIN((Skills!T13*(1+Inputs!$B$33/100)),MAX(0,Inputs!$B$35-((S646-1)*Skills!D13))))/Inputs!$B$35),IF(Inputs!$B$4="pvp",MIN((Skills!T13*(1+Inputs!$B$33/100)),15)/15,(Skills!T13*(1+Inputs!$B$33/100))/Skills!D13)))+((C647=TRUE)*F647*IF(AND(Inputs!$B$4&lt;&gt;"pvp",Inputs!$B$35&gt;0),(((S647-1)*(Skills!T14*(1+Inputs!$B$33/100))+MIN((Skills!T14*(1+Inputs!$B$33/100)),MAX(0,Inputs!$B$35-((S647-1)*Skills!D14))))/Inputs!$B$35),IF(Inputs!$B$4="pvp",MIN((Skills!T14*(1+Inputs!$B$33/100)),15)/15,(Skills!T14*(1+Inputs!$B$33/100))/Skills!D14)))+((C648=TRUE)*F648*IF(AND(Inputs!$B$4&lt;&gt;"pvp",Inputs!$B$35&gt;0),(((S648-1)*(Skills!T15*(1+Inputs!$B$33/100))+MIN((Skills!T15*(1+Inputs!$B$33/100)),MAX(0,Inputs!$B$35-((S648-1)*Skills!D15))))/Inputs!$B$35),IF(Inputs!$B$4="pvp",MIN((Skills!T15*(1+Inputs!$B$33/100)),15)/15,(Skills!T15*(1+Inputs!$B$33/100))/Skills!D15)))+((C649=TRUE)*F649*IF(AND(Inputs!$B$4&lt;&gt;"pvp",Inputs!$B$35&gt;0),(((S649-1)*(Skills!T16*(1+Inputs!$B$33/100))+MIN((Skills!T16*(1+Inputs!$B$33/100)),MAX(0,Inputs!$B$35-((S649-1)*Skills!D16))))/Inputs!$B$35),IF(Inputs!$B$4="pvp",MIN((Skills!T16*(1+Inputs!$B$33/100)),15)/15,(Skills!T16*(1+Inputs!$B$33/100))/Skills!D16)))+0)/100)*I640)</f>
        <v/>
      </c>
      <c r="L640">
        <f>K640*(MIN(Inputs!$B$21+((C655=TRUE)*(F655-Calc!F22)),Inputs!$B$22+((C657=TRUE)*(F657-Calc!F24)))/100+(Inputs!$B$22+((C657=TRUE)*(F657-Calc!F24)))/100)/2</f>
        <v/>
      </c>
      <c r="M640">
        <f>L640*(1+(Inputs!$B$9+0+B667)/100)</f>
        <v/>
      </c>
      <c r="N640">
        <f>L640*(1-MIN((Inputs!$B$8+0+B662),100)/100)+M640*(MIN((Inputs!$B$8+0+B662),100)/100)</f>
        <v/>
      </c>
      <c r="O640">
        <f>IF(C640,H640*N640*IF(AND(Inputs!$B$4&lt;&gt;"pvp",Inputs!$B$35&gt;0),((Skills!G7*((R640-1)*IF(Skills!H7&gt;0,Skills!I7/Skills!H7,1)+IF(Skills!H7&gt;0,MIN(Skills!I7,MAX(0,Inputs!$B$35-((R640-1)*IF(Inputs!$B$4="pvp",15,MAX(0.1,Skills!D7-IF(Skills!E7=TRUE,Inputs!$B$31,0))))))/Skills!H7,1)))/Inputs!$B$35),G640*Q640)*IF(Inputs!$B$4="pvp",1,(1-Summary!$B$55)*(1)+Summary!$B$55*(MIN(Skills!R7,Inputs!$B$37))),0)</f>
        <v/>
      </c>
      <c r="P640">
        <f>IF(B670=0,0,O640/B670)</f>
        <v/>
      </c>
      <c r="Q640">
        <f>IFERROR(1/IF(Inputs!$B$4="pvp",15,MAX(0.1,Skills!D7-IF(Skills!E7=TRUE,Inputs!$B$31,0))),0)</f>
        <v/>
      </c>
      <c r="R640">
        <f>IF(AND(Inputs!$B$4&lt;&gt;"pvp",Inputs!$B$35&gt;0),(INT(Inputs!$B$35/IF(Inputs!$B$4="pvp",15,MAX(0.1,Skills!D7-IF(Skills!E7=TRUE,Inputs!$B$31,0))))+1),0)</f>
        <v/>
      </c>
      <c r="S640">
        <f>IFERROR(O640/N640,0)</f>
        <v/>
      </c>
    </row>
    <row r="641">
      <c r="A641">
        <f>Skills!A8</f>
        <v/>
      </c>
      <c r="B641">
        <f>Skills!B8</f>
        <v/>
      </c>
      <c r="C641">
        <f>Inputs!$B$3&gt;=75</f>
        <v/>
      </c>
      <c r="D641">
        <f>IF(Skills!C8=1,60+Inputs!$B$24+Inputs!$B$28,IF(Skills!C8=2,90+Inputs!$B$25+Inputs!$B$28,IF(Skills!C8=3,120+Inputs!$B$26+Inputs!$B$28,MAX(0,(Inputs!$B$3-100)*3)+Inputs!$B$27+Inputs!$B$28)))</f>
        <v/>
      </c>
      <c r="E641">
        <f>INDEX(FactorTable!$B$2:$Y$301, MATCH(ROUND(MIN(300,MAX(1,D641)),0), FactorTable!$A$2:$A$301,0), Skills!M8+1)</f>
        <v/>
      </c>
      <c r="F641">
        <f>IF(Skills!N8=TRUE,(Skills!L8/10)*(E641/1000),Skills!L8/10)+Skills!O8</f>
        <v/>
      </c>
      <c r="G641" t="inlineStr"/>
      <c r="H641" t="inlineStr"/>
      <c r="I641" t="inlineStr">
        <is>
          <t>1</t>
        </is>
      </c>
      <c r="J641" t="inlineStr"/>
      <c r="K641" t="inlineStr"/>
      <c r="L641" t="inlineStr"/>
      <c r="M641" t="inlineStr"/>
      <c r="N641" t="inlineStr"/>
      <c r="O641" t="inlineStr"/>
      <c r="P641" t="inlineStr"/>
      <c r="Q641" t="inlineStr"/>
      <c r="R641" t="inlineStr"/>
      <c r="S641" t="inlineStr"/>
    </row>
    <row r="642">
      <c r="A642">
        <f>Skills!A9</f>
        <v/>
      </c>
      <c r="B642">
        <f>Skills!B9</f>
        <v/>
      </c>
      <c r="C642">
        <f>Inputs!$B$3&gt;=60</f>
        <v/>
      </c>
      <c r="D642">
        <f>IF(Skills!C9=1,60+Inputs!$B$24+Inputs!$B$28,IF(Skills!C9=2,90+Inputs!$B$25+Inputs!$B$28,IF(Skills!C9=3,120+Inputs!$B$26+Inputs!$B$28,MAX(0,(Inputs!$B$3-100)*3)+Inputs!$B$27+Inputs!$B$28)))</f>
        <v/>
      </c>
      <c r="E642">
        <f>INDEX(FactorTable!$B$2:$Y$301, MATCH(ROUND(MIN(300,MAX(1,D642)),0), FactorTable!$A$2:$A$301,0), Skills!M9+1)</f>
        <v/>
      </c>
      <c r="F642">
        <f>IF(Skills!N9=TRUE,(Skills!L9/10)*(E642/1000),Skills!L9/10)+Skills!O9</f>
        <v/>
      </c>
      <c r="G642">
        <f>Skills!G9*IF(Skills!H9&gt;0,Skills!I9/Skills!H9,1)</f>
        <v/>
      </c>
      <c r="H642">
        <f>1-(1-Skills!J9/100)^Skills!K9</f>
        <v/>
      </c>
      <c r="I642" t="inlineStr">
        <is>
          <t>1</t>
        </is>
      </c>
      <c r="J642">
        <f>(Inputs!$B$5*(1+Inputs!$B$6/100))*(F642/100)</f>
        <v/>
      </c>
      <c r="K642">
        <f>J642*(1+((Inputs!$B$11*(1+Inputs!$B$12/100))*0.01+Inputs!$B$13*0.0025)/100)*(1+Inputs!$B$14/100)*(1+IF(Inputs!$B$4="pvp",0,(1-Summary!$B$55)*(Inputs!$B$19+0+Skills!P9+((C650=TRUE)*F650*IF(AND(Inputs!$B$4&lt;&gt;"pvp",Inputs!$B$35&gt;0),(((S650-1)*(Skills!T17*(1+Inputs!$B$33/100))+MIN((Skills!T17*(1+Inputs!$B$33/100)),MAX(0,Inputs!$B$35-((S650-1)*Skills!D17))))/Inputs!$B$35),IF(Inputs!$B$4="pvp",MIN((Skills!T17*(1+Inputs!$B$33/100)),15)/15,(Skills!T17*(1+Inputs!$B$33/100))/Skills!D17)))+((C647=TRUE)*IF(Inputs!$B$4="pvp",20,(1-Summary!$B$55)*(20)+Summary!$B$55*(0))*IF(AND(Inputs!$B$4&lt;&gt;"pvp",Inputs!$B$35&gt;0),(((S647-1)*(Skills!T14*(1+Inputs!$B$33/100))+MIN((Skills!T14*(1+Inputs!$B$33/100)),MAX(0,Inputs!$B$35-((S647-1)*Skills!D14))))/Inputs!$B$35),IF(Inputs!$B$4="pvp",MIN((Skills!T14*(1+Inputs!$B$33/100)),15)/15,(Skills!T14*(1+Inputs!$B$33/100))/Skills!D14))))+Summary!$B$55*(Inputs!$B$20+Skills!Q9+((C650=TRUE)*F650*IF(AND(Inputs!$B$4&lt;&gt;"pvp",Inputs!$B$35&gt;0),(((S650-1)*(Skills!T17*(1+Inputs!$B$33/100))+MIN((Skills!T17*(1+Inputs!$B$33/100)),MAX(0,Inputs!$B$35-((S650-1)*Skills!D17))))/Inputs!$B$35),IF(Inputs!$B$4="pvp",MIN((Skills!T17*(1+Inputs!$B$33/100)),15)/15,(Skills!T17*(1+Inputs!$B$33/100))/Skills!D17)))))/100)*(1+Inputs!$B$15/100)*(5000/(6000+Inputs!$B$7*(1-(Inputs!$B$18+0)/100)))*(1+(Inputs!$B$23+((C658=TRUE)*(F658-Calc!F25))+((C659=TRUE)*(F659-Calc!F26))+B668)/100)*(1+1.0*IF(C644=TRUE,F644,0)/100)*(1+(IF(Skills!A9="DARK_IMPALE",Inputs!$B$16+0,(Inputs!$B$17+1)+((C656=TRUE)*(F656-Calc!F23))))/100)*((1+(((C646=TRUE)*F646*IF(AND(Inputs!$B$4&lt;&gt;"pvp",Inputs!$B$35&gt;0),(((S646-1)*(Skills!T13*(1+Inputs!$B$33/100))+MIN((Skills!T13*(1+Inputs!$B$33/100)),MAX(0,Inputs!$B$35-((S646-1)*Skills!D13))))/Inputs!$B$35),IF(Inputs!$B$4="pvp",MIN((Skills!T13*(1+Inputs!$B$33/100)),15)/15,(Skills!T13*(1+Inputs!$B$33/100))/Skills!D13)))+((C647=TRUE)*F647*IF(AND(Inputs!$B$4&lt;&gt;"pvp",Inputs!$B$35&gt;0),(((S647-1)*(Skills!T14*(1+Inputs!$B$33/100))+MIN((Skills!T14*(1+Inputs!$B$33/100)),MAX(0,Inputs!$B$35-((S647-1)*Skills!D14))))/Inputs!$B$35),IF(Inputs!$B$4="pvp",MIN((Skills!T14*(1+Inputs!$B$33/100)),15)/15,(Skills!T14*(1+Inputs!$B$33/100))/Skills!D14)))+((C648=TRUE)*F648*IF(AND(Inputs!$B$4&lt;&gt;"pvp",Inputs!$B$35&gt;0),(((S648-1)*(Skills!T15*(1+Inputs!$B$33/100))+MIN((Skills!T15*(1+Inputs!$B$33/100)),MAX(0,Inputs!$B$35-((S648-1)*Skills!D15))))/Inputs!$B$35),IF(Inputs!$B$4="pvp",MIN((Skills!T15*(1+Inputs!$B$33/100)),15)/15,(Skills!T15*(1+Inputs!$B$33/100))/Skills!D15)))+((C649=TRUE)*F649*IF(AND(Inputs!$B$4&lt;&gt;"pvp",Inputs!$B$35&gt;0),(((S649-1)*(Skills!T16*(1+Inputs!$B$33/100))+MIN((Skills!T16*(1+Inputs!$B$33/100)),MAX(0,Inputs!$B$35-((S649-1)*Skills!D16))))/Inputs!$B$35),IF(Inputs!$B$4="pvp",MIN((Skills!T16*(1+Inputs!$B$33/100)),15)/15,(Skills!T16*(1+Inputs!$B$33/100))/Skills!D16)))+0)/100)*I642)</f>
        <v/>
      </c>
      <c r="L642">
        <f>K642*(MIN(Inputs!$B$21+((C655=TRUE)*(F655-Calc!F22)),Inputs!$B$22+((C657=TRUE)*(F657-Calc!F24)))/100+(Inputs!$B$22+((C657=TRUE)*(F657-Calc!F24)))/100)/2</f>
        <v/>
      </c>
      <c r="M642">
        <f>L642*(1+(Inputs!$B$9+0+B667)/100)</f>
        <v/>
      </c>
      <c r="N642">
        <f>L642*(1-MIN((Inputs!$B$8+0+B662),100)/100)+M642*(MIN((Inputs!$B$8+0+B662),100)/100)</f>
        <v/>
      </c>
      <c r="O642">
        <f>IF(C642,H642*N642*IF(AND(Inputs!$B$4&lt;&gt;"pvp",Inputs!$B$35&gt;0),((Skills!G9*((R642-1)*IF(Skills!H9&gt;0,Skills!I9/Skills!H9,1)+IF(Skills!H9&gt;0,MIN(Skills!I9,MAX(0,Inputs!$B$35-((R642-1)*IF(Inputs!$B$4="pvp",15,MAX(0.1,Skills!D9-IF(Skills!E9=TRUE,Inputs!$B$31,0))))))/Skills!H9,1)))/Inputs!$B$35),G642*Q642)*IF(Inputs!$B$4="pvp",1,(1-Summary!$B$55)*(1)+Summary!$B$55*(MIN(Skills!R9,Inputs!$B$37))),0)</f>
        <v/>
      </c>
      <c r="P642">
        <f>IF(B670=0,0,O642/B670)</f>
        <v/>
      </c>
      <c r="Q642">
        <f>IFERROR(1/IF(Inputs!$B$4="pvp",15,MAX(0.1,Skills!D9-IF(Skills!E9=TRUE,Inputs!$B$31,0))),0)</f>
        <v/>
      </c>
      <c r="R642">
        <f>IF(AND(Inputs!$B$4&lt;&gt;"pvp",Inputs!$B$35&gt;0),(INT(Inputs!$B$35/IF(Inputs!$B$4="pvp",15,MAX(0.1,Skills!D9-IF(Skills!E9=TRUE,Inputs!$B$31,0))))+1),0)</f>
        <v/>
      </c>
      <c r="S642">
        <f>IFERROR(O642/N642,0)</f>
        <v/>
      </c>
    </row>
    <row r="643">
      <c r="A643">
        <f>Skills!A10</f>
        <v/>
      </c>
      <c r="B643">
        <f>Skills!B10</f>
        <v/>
      </c>
      <c r="C643">
        <f>Inputs!$B$3&gt;=110</f>
        <v/>
      </c>
      <c r="D643">
        <f>IF(Skills!C10=1,60+Inputs!$B$24+Inputs!$B$28,IF(Skills!C10=2,90+Inputs!$B$25+Inputs!$B$28,IF(Skills!C10=3,120+Inputs!$B$26+Inputs!$B$28,MAX(0,(Inputs!$B$3-100)*3)+Inputs!$B$27+Inputs!$B$28)))</f>
        <v/>
      </c>
      <c r="E643">
        <f>INDEX(FactorTable!$B$2:$Y$301, MATCH(ROUND(MIN(300,MAX(1,D643)),0), FactorTable!$A$2:$A$301,0), Skills!M10+1)</f>
        <v/>
      </c>
      <c r="F643">
        <f>IF(Skills!N10=TRUE,(Skills!L10/10)*(E643/1000),Skills!L10/10)+Skills!O10</f>
        <v/>
      </c>
      <c r="G643">
        <f>Skills!G10*IF(Skills!H10&gt;0,Skills!I10/Skills!H10,1)</f>
        <v/>
      </c>
      <c r="H643">
        <f>1-(1-Skills!J10/100)^Skills!K10</f>
        <v/>
      </c>
      <c r="I643" t="inlineStr">
        <is>
          <t>1</t>
        </is>
      </c>
      <c r="J643">
        <f>(Inputs!$B$5*(1+Inputs!$B$6/100))*(F643/100)</f>
        <v/>
      </c>
      <c r="K643">
        <f>J643*(1+((Inputs!$B$11*(1+Inputs!$B$12/100))*0.01+Inputs!$B$13*0.0025)/100)*(1+Inputs!$B$14/100)*(1+IF(Inputs!$B$4="pvp",0,(1-Summary!$B$55)*(Inputs!$B$19+0+Skills!P10+((C650=TRUE)*F650*IF(AND(Inputs!$B$4&lt;&gt;"pvp",Inputs!$B$35&gt;0),(((S650-1)*(Skills!T17*(1+Inputs!$B$33/100))+MIN((Skills!T17*(1+Inputs!$B$33/100)),MAX(0,Inputs!$B$35-((S650-1)*Skills!D17))))/Inputs!$B$35),IF(Inputs!$B$4="pvp",MIN((Skills!T17*(1+Inputs!$B$33/100)),15)/15,(Skills!T17*(1+Inputs!$B$33/100))/Skills!D17)))+((C647=TRUE)*IF(Inputs!$B$4="pvp",20,(1-Summary!$B$55)*(20)+Summary!$B$55*(0))*IF(AND(Inputs!$B$4&lt;&gt;"pvp",Inputs!$B$35&gt;0),(((S647-1)*(Skills!T14*(1+Inputs!$B$33/100))+MIN((Skills!T14*(1+Inputs!$B$33/100)),MAX(0,Inputs!$B$35-((S647-1)*Skills!D14))))/Inputs!$B$35),IF(Inputs!$B$4="pvp",MIN((Skills!T14*(1+Inputs!$B$33/100)),15)/15,(Skills!T14*(1+Inputs!$B$33/100))/Skills!D14))))+Summary!$B$55*(Inputs!$B$20+Skills!Q10+((C650=TRUE)*F650*IF(AND(Inputs!$B$4&lt;&gt;"pvp",Inputs!$B$35&gt;0),(((S650-1)*(Skills!T17*(1+Inputs!$B$33/100))+MIN((Skills!T17*(1+Inputs!$B$33/100)),MAX(0,Inputs!$B$35-((S650-1)*Skills!D17))))/Inputs!$B$35),IF(Inputs!$B$4="pvp",MIN((Skills!T17*(1+Inputs!$B$33/100)),15)/15,(Skills!T17*(1+Inputs!$B$33/100))/Skills!D17)))))/100)*(1+Inputs!$B$15/100)*(5000/(6000+Inputs!$B$7*(1-(Inputs!$B$18+0)/100)))*(1+(Inputs!$B$23+((C658=TRUE)*(F658-Calc!F25))+((C659=TRUE)*(F659-Calc!F26))+B668)/100)*(1+(IF(Skills!A10="DARK_IMPALE",Inputs!$B$16+0,(Inputs!$B$17+1)+((C656=TRUE)*(F656-Calc!F23))))/100)*((1+(((C646=TRUE)*F646*IF(AND(Inputs!$B$4&lt;&gt;"pvp",Inputs!$B$35&gt;0),(((S646-1)*(Skills!T13*(1+Inputs!$B$33/100))+MIN((Skills!T13*(1+Inputs!$B$33/100)),MAX(0,Inputs!$B$35-((S646-1)*Skills!D13))))/Inputs!$B$35),IF(Inputs!$B$4="pvp",MIN((Skills!T13*(1+Inputs!$B$33/100)),15)/15,(Skills!T13*(1+Inputs!$B$33/100))/Skills!D13)))+((C647=TRUE)*F647*IF(AND(Inputs!$B$4&lt;&gt;"pvp",Inputs!$B$35&gt;0),(((S647-1)*(Skills!T14*(1+Inputs!$B$33/100))+MIN((Skills!T14*(1+Inputs!$B$33/100)),MAX(0,Inputs!$B$35-((S647-1)*Skills!D14))))/Inputs!$B$35),IF(Inputs!$B$4="pvp",MIN((Skills!T14*(1+Inputs!$B$33/100)),15)/15,(Skills!T14*(1+Inputs!$B$33/100))/Skills!D14)))+((C648=TRUE)*F648*IF(AND(Inputs!$B$4&lt;&gt;"pvp",Inputs!$B$35&gt;0),(((S648-1)*(Skills!T15*(1+Inputs!$B$33/100))+MIN((Skills!T15*(1+Inputs!$B$33/100)),MAX(0,Inputs!$B$35-((S648-1)*Skills!D15))))/Inputs!$B$35),IF(Inputs!$B$4="pvp",MIN((Skills!T15*(1+Inputs!$B$33/100)),15)/15,(Skills!T15*(1+Inputs!$B$33/100))/Skills!D15)))+((C649=TRUE)*F649*IF(AND(Inputs!$B$4&lt;&gt;"pvp",Inputs!$B$35&gt;0),(((S649-1)*(Skills!T16*(1+Inputs!$B$33/100))+MIN((Skills!T16*(1+Inputs!$B$33/100)),MAX(0,Inputs!$B$35-((S649-1)*Skills!D16))))/Inputs!$B$35),IF(Inputs!$B$4="pvp",MIN((Skills!T16*(1+Inputs!$B$33/100)),15)/15,(Skills!T16*(1+Inputs!$B$33/100))/Skills!D16)))+0)/100)*I643)</f>
        <v/>
      </c>
      <c r="L643">
        <f>K643*(MIN(Inputs!$B$21+((C655=TRUE)*(F655-Calc!F22)),Inputs!$B$22+((C657=TRUE)*(F657-Calc!F24)))/100+(Inputs!$B$22+((C657=TRUE)*(F657-Calc!F24)))/100)/2</f>
        <v/>
      </c>
      <c r="M643">
        <f>L643*(1+(Inputs!$B$9+0+B667)/100)</f>
        <v/>
      </c>
      <c r="N643">
        <f>L643*(1-MIN((Inputs!$B$8+0+B662),100)/100)+M643*(MIN((Inputs!$B$8+0+B662),100)/100)</f>
        <v/>
      </c>
      <c r="O643">
        <f>IF(C643,H643*N643*IF(AND(Inputs!$B$4&lt;&gt;"pvp",Inputs!$B$35&gt;0),((Skills!G10*((R643-1)*IF(Skills!H10&gt;0,Skills!I10/Skills!H10,1)+IF(Skills!H10&gt;0,MIN(Skills!I10,MAX(0,Inputs!$B$35-((R643-1)*IF(Inputs!$B$4="pvp",15,MAX(0.1,Skills!D10-IF(Skills!E10=TRUE,Inputs!$B$31,0))))))/Skills!H10,1)))/Inputs!$B$35),G643*Q643)*IF(Inputs!$B$4="pvp",1,(1-Summary!$B$55)*(1)+Summary!$B$55*(MIN(Skills!R10,Inputs!$B$37))),0)</f>
        <v/>
      </c>
      <c r="P643">
        <f>IF(B670=0,0,O643/B670)</f>
        <v/>
      </c>
      <c r="Q643">
        <f>IFERROR(1/IF(Inputs!$B$4="pvp",15,MAX(0.1,Skills!D10-IF(Skills!E10=TRUE,Inputs!$B$31,0))),0)</f>
        <v/>
      </c>
      <c r="R643">
        <f>IF(AND(Inputs!$B$4&lt;&gt;"pvp",Inputs!$B$35&gt;0),(INT(Inputs!$B$35/IF(Inputs!$B$4="pvp",15,MAX(0.1,Skills!D10-IF(Skills!E10=TRUE,Inputs!$B$31,0))))+1),0)</f>
        <v/>
      </c>
      <c r="S643">
        <f>IFERROR(O643/N643,0)</f>
        <v/>
      </c>
    </row>
    <row r="644">
      <c r="A644">
        <f>Skills!A11</f>
        <v/>
      </c>
      <c r="B644">
        <f>Skills!B11</f>
        <v/>
      </c>
      <c r="C644">
        <f>Inputs!$B$3&gt;=100</f>
        <v/>
      </c>
      <c r="D644">
        <f>IF(Skills!C11=1,60+Inputs!$B$24+Inputs!$B$28,IF(Skills!C11=2,90+Inputs!$B$25+Inputs!$B$28,IF(Skills!C11=3,120+Inputs!$B$26+Inputs!$B$28,MAX(0,(Inputs!$B$3-100)*3)+Inputs!$B$27+Inputs!$B$28)))</f>
        <v/>
      </c>
      <c r="E644">
        <f>INDEX(FactorTable!$B$2:$Y$301, MATCH(ROUND(MIN(300,MAX(1,D644)),0), FactorTable!$A$2:$A$301,0), Skills!M11+1)</f>
        <v/>
      </c>
      <c r="F644">
        <f>IF(Skills!N11=TRUE,(Skills!L11/10)*(E644/1000),Skills!L11/10)+Skills!O11</f>
        <v/>
      </c>
      <c r="G644" t="inlineStr"/>
      <c r="H644" t="inlineStr"/>
      <c r="I644" t="inlineStr">
        <is>
          <t>1</t>
        </is>
      </c>
      <c r="J644" t="inlineStr"/>
      <c r="K644" t="inlineStr"/>
      <c r="L644" t="inlineStr"/>
      <c r="M644" t="inlineStr"/>
      <c r="N644" t="inlineStr"/>
      <c r="O644" t="inlineStr"/>
      <c r="P644" t="inlineStr"/>
      <c r="Q644" t="inlineStr"/>
      <c r="R644" t="inlineStr"/>
      <c r="S644" t="inlineStr"/>
    </row>
    <row r="645">
      <c r="A645">
        <f>Skills!A12</f>
        <v/>
      </c>
      <c r="B645">
        <f>Skills!B12</f>
        <v/>
      </c>
      <c r="C645">
        <f>Inputs!$B$3&gt;=63</f>
        <v/>
      </c>
      <c r="D645">
        <f>IF(Skills!C12=1,60+Inputs!$B$24+Inputs!$B$28,IF(Skills!C12=2,90+Inputs!$B$25+Inputs!$B$28,IF(Skills!C12=3,120+Inputs!$B$26+Inputs!$B$28,MAX(0,(Inputs!$B$3-100)*3)+Inputs!$B$27+Inputs!$B$28)))</f>
        <v/>
      </c>
      <c r="E645">
        <f>INDEX(FactorTable!$B$2:$Y$301, MATCH(ROUND(MIN(300,MAX(1,D645)),0), FactorTable!$A$2:$A$301,0), Skills!M12+1)</f>
        <v/>
      </c>
      <c r="F645">
        <f>IF(Skills!N12=TRUE,(Skills!L12/10)*(E645/1000),Skills!L12/10)+Skills!O12</f>
        <v/>
      </c>
      <c r="G645">
        <f>Skills!G12*IF(Skills!H12&gt;0,Skills!I12/Skills!H12,1)</f>
        <v/>
      </c>
      <c r="H645">
        <f>1-(1-Skills!J12/100)^Skills!K12</f>
        <v/>
      </c>
      <c r="I645" t="inlineStr">
        <is>
          <t>1</t>
        </is>
      </c>
      <c r="J645">
        <f>(Inputs!$B$5*(1+Inputs!$B$6/100))*(F645/100)</f>
        <v/>
      </c>
      <c r="K645">
        <f>J645*(1+((Inputs!$B$11*(1+Inputs!$B$12/100))*0.01+Inputs!$B$13*0.0025)/100)*(1+Inputs!$B$14/100)*(1+IF(Inputs!$B$4="pvp",0,(1-Summary!$B$55)*(Inputs!$B$19+0+Skills!P12+((C650=TRUE)*F650*IF(AND(Inputs!$B$4&lt;&gt;"pvp",Inputs!$B$35&gt;0),(((S650-1)*(Skills!T17*(1+Inputs!$B$33/100))+MIN((Skills!T17*(1+Inputs!$B$33/100)),MAX(0,Inputs!$B$35-((S650-1)*Skills!D17))))/Inputs!$B$35),IF(Inputs!$B$4="pvp",MIN((Skills!T17*(1+Inputs!$B$33/100)),15)/15,(Skills!T17*(1+Inputs!$B$33/100))/Skills!D17)))+((C647=TRUE)*IF(Inputs!$B$4="pvp",20,(1-Summary!$B$55)*(20)+Summary!$B$55*(0))*IF(AND(Inputs!$B$4&lt;&gt;"pvp",Inputs!$B$35&gt;0),(((S647-1)*(Skills!T14*(1+Inputs!$B$33/100))+MIN((Skills!T14*(1+Inputs!$B$33/100)),MAX(0,Inputs!$B$35-((S647-1)*Skills!D14))))/Inputs!$B$35),IF(Inputs!$B$4="pvp",MIN((Skills!T14*(1+Inputs!$B$33/100)),15)/15,(Skills!T14*(1+Inputs!$B$33/100))/Skills!D14))))+Summary!$B$55*(Inputs!$B$20+Skills!Q12+((C650=TRUE)*F650*IF(AND(Inputs!$B$4&lt;&gt;"pvp",Inputs!$B$35&gt;0),(((S650-1)*(Skills!T17*(1+Inputs!$B$33/100))+MIN((Skills!T17*(1+Inputs!$B$33/100)),MAX(0,Inputs!$B$35-((S650-1)*Skills!D17))))/Inputs!$B$35),IF(Inputs!$B$4="pvp",MIN((Skills!T17*(1+Inputs!$B$33/100)),15)/15,(Skills!T17*(1+Inputs!$B$33/100))/Skills!D17)))))/100)*(1+Inputs!$B$15/100)*(5000/(6000+Inputs!$B$7*(1-(Inputs!$B$18+0)/100)))*(1+(Inputs!$B$23+((C658=TRUE)*(F658-Calc!F25))+((C659=TRUE)*(F659-Calc!F26))+B668)/100)*(1+0.75*IF(C644=TRUE,F644,0)/100)*(1+(IF(Skills!A12="DARK_IMPALE",Inputs!$B$16+0,(Inputs!$B$17+1)+((C656=TRUE)*(F656-Calc!F23))))/100)*((1+(((C646=TRUE)*F646*IF(AND(Inputs!$B$4&lt;&gt;"pvp",Inputs!$B$35&gt;0),(((S646-1)*(Skills!T13*(1+Inputs!$B$33/100))+MIN((Skills!T13*(1+Inputs!$B$33/100)),MAX(0,Inputs!$B$35-((S646-1)*Skills!D13))))/Inputs!$B$35),IF(Inputs!$B$4="pvp",MIN((Skills!T13*(1+Inputs!$B$33/100)),15)/15,(Skills!T13*(1+Inputs!$B$33/100))/Skills!D13)))+((C647=TRUE)*F647*IF(AND(Inputs!$B$4&lt;&gt;"pvp",Inputs!$B$35&gt;0),(((S647-1)*(Skills!T14*(1+Inputs!$B$33/100))+MIN((Skills!T14*(1+Inputs!$B$33/100)),MAX(0,Inputs!$B$35-((S647-1)*Skills!D14))))/Inputs!$B$35),IF(Inputs!$B$4="pvp",MIN((Skills!T14*(1+Inputs!$B$33/100)),15)/15,(Skills!T14*(1+Inputs!$B$33/100))/Skills!D14)))+((C648=TRUE)*F648*IF(AND(Inputs!$B$4&lt;&gt;"pvp",Inputs!$B$35&gt;0),(((S648-1)*(Skills!T15*(1+Inputs!$B$33/100))+MIN((Skills!T15*(1+Inputs!$B$33/100)),MAX(0,Inputs!$B$35-((S648-1)*Skills!D15))))/Inputs!$B$35),IF(Inputs!$B$4="pvp",MIN((Skills!T15*(1+Inputs!$B$33/100)),15)/15,(Skills!T15*(1+Inputs!$B$33/100))/Skills!D15)))+((C649=TRUE)*F649*IF(AND(Inputs!$B$4&lt;&gt;"pvp",Inputs!$B$35&gt;0),(((S649-1)*(Skills!T16*(1+Inputs!$B$33/100))+MIN((Skills!T16*(1+Inputs!$B$33/100)),MAX(0,Inputs!$B$35-((S649-1)*Skills!D16))))/Inputs!$B$35),IF(Inputs!$B$4="pvp",MIN((Skills!T16*(1+Inputs!$B$33/100)),15)/15,(Skills!T16*(1+Inputs!$B$33/100))/Skills!D16)))+0)/100)*I645)</f>
        <v/>
      </c>
      <c r="L645">
        <f>K645*(MIN(Inputs!$B$21+((C655=TRUE)*(F655-Calc!F22)),Inputs!$B$22+((C657=TRUE)*(F657-Calc!F24)))/100+(Inputs!$B$22+((C657=TRUE)*(F657-Calc!F24)))/100)/2</f>
        <v/>
      </c>
      <c r="M645">
        <f>L645*(1+(Inputs!$B$9+0+B667)/100)</f>
        <v/>
      </c>
      <c r="N645">
        <f>L645*(1-MIN((Inputs!$B$8+0+B662),100)/100)+M645*(MIN((Inputs!$B$8+0+B662),100)/100)</f>
        <v/>
      </c>
      <c r="O645">
        <f>IF(C645,H645*N645*IF(AND(Inputs!$B$4&lt;&gt;"pvp",Inputs!$B$35&gt;0),((Skills!G12*((R645-1)*IF(Skills!H12&gt;0,Skills!I12/Skills!H12,1)+IF(Skills!H12&gt;0,MIN(Skills!I12,MAX(0,Inputs!$B$35-((R645-1)*IF(Inputs!$B$4="pvp",15,MAX(0.1,Skills!D12-IF(Skills!E12=TRUE,Inputs!$B$31,0))))))/Skills!H12,1)))/Inputs!$B$35),G645*Q645)*IF(Inputs!$B$4="pvp",1,(1-Summary!$B$55)*(1)+Summary!$B$55*(MIN(Skills!R12,Inputs!$B$37))),0)</f>
        <v/>
      </c>
      <c r="P645">
        <f>IF(B670=0,0,O645/B670)</f>
        <v/>
      </c>
      <c r="Q645">
        <f>IFERROR(1/IF(Inputs!$B$4="pvp",15,MAX(0.1,Skills!D12-IF(Skills!E12=TRUE,Inputs!$B$31,0))),0)</f>
        <v/>
      </c>
      <c r="R645">
        <f>IF(AND(Inputs!$B$4&lt;&gt;"pvp",Inputs!$B$35&gt;0),(INT(Inputs!$B$35/IF(Inputs!$B$4="pvp",15,MAX(0.1,Skills!D12-IF(Skills!E12=TRUE,Inputs!$B$31,0))))+1),0)</f>
        <v/>
      </c>
      <c r="S645">
        <f>IFERROR(O645/N645,0)</f>
        <v/>
      </c>
    </row>
    <row r="646">
      <c r="A646">
        <f>Skills!A13</f>
        <v/>
      </c>
      <c r="B646">
        <f>Skills!B13</f>
        <v/>
      </c>
      <c r="C646">
        <f>Inputs!$B$3&gt;=69</f>
        <v/>
      </c>
      <c r="D646">
        <f>IF(Skills!C13=1,60+Inputs!$B$24+Inputs!$B$28,IF(Skills!C13=2,90+Inputs!$B$25+Inputs!$B$28,IF(Skills!C13=3,120+Inputs!$B$26+Inputs!$B$28,MAX(0,(Inputs!$B$3-100)*3)+Inputs!$B$27+Inputs!$B$28)))</f>
        <v/>
      </c>
      <c r="E646">
        <f>INDEX(FactorTable!$B$2:$Y$301, MATCH(ROUND(MIN(300,MAX(1,D646)),0), FactorTable!$A$2:$A$301,0), Skills!M13+1)</f>
        <v/>
      </c>
      <c r="F646">
        <f>IF(Skills!N13=TRUE,(Skills!L13/10)*(E646/1000),Skills!L13/10)+Skills!O13</f>
        <v/>
      </c>
      <c r="G646">
        <f>Skills!G13*IF(Skills!H13&gt;0,Skills!I13/Skills!H13,1)</f>
        <v/>
      </c>
      <c r="H646">
        <f>1-(1-Skills!J13/100)^Skills!K13</f>
        <v/>
      </c>
      <c r="I646" t="inlineStr">
        <is>
          <t>1</t>
        </is>
      </c>
      <c r="J646" t="inlineStr"/>
      <c r="K646" t="inlineStr"/>
      <c r="L646" t="inlineStr"/>
      <c r="M646" t="inlineStr"/>
      <c r="N646" t="inlineStr"/>
      <c r="O646" t="n">
        <v>0</v>
      </c>
      <c r="P646">
        <f>IF(B670=0,0,O646/B670)</f>
        <v/>
      </c>
      <c r="Q646">
        <f>IFERROR(1/IF(Inputs!$B$4="pvp",15,MAX(0.1,Skills!D13-IF(Skills!E13=TRUE,Inputs!$B$31,0))),0)</f>
        <v/>
      </c>
      <c r="R646">
        <f>IF(AND(Inputs!$B$4&lt;&gt;"pvp",Inputs!$B$35&gt;0),(INT(Inputs!$B$35/IF(Inputs!$B$4="pvp",15,MAX(0.1,Skills!D13-IF(Skills!E13=TRUE,Inputs!$B$31,0))))+1),0)</f>
        <v/>
      </c>
      <c r="S646">
        <f>IFERROR(O646/N646,0)</f>
        <v/>
      </c>
    </row>
    <row r="647">
      <c r="A647">
        <f>Skills!A14</f>
        <v/>
      </c>
      <c r="B647">
        <f>Skills!B14</f>
        <v/>
      </c>
      <c r="C647">
        <f>Inputs!$B$3&gt;=115</f>
        <v/>
      </c>
      <c r="D647">
        <f>IF(Skills!C14=1,60+Inputs!$B$24+Inputs!$B$28,IF(Skills!C14=2,90+Inputs!$B$25+Inputs!$B$28,IF(Skills!C14=3,120+Inputs!$B$26+Inputs!$B$28,MAX(0,(Inputs!$B$3-100)*3)+Inputs!$B$27+Inputs!$B$28)))</f>
        <v/>
      </c>
      <c r="E647">
        <f>INDEX(FactorTable!$B$2:$Y$301, MATCH(ROUND(MIN(300,MAX(1,D647)),0), FactorTable!$A$2:$A$301,0), Skills!M14+1)</f>
        <v/>
      </c>
      <c r="F647">
        <f>IF(Skills!N14=TRUE,(Skills!L14/10)*(E647/1000),Skills!L14/10)+Skills!O14</f>
        <v/>
      </c>
      <c r="G647">
        <f>Skills!G14*IF(Skills!H14&gt;0,Skills!I14/Skills!H14,1)</f>
        <v/>
      </c>
      <c r="H647">
        <f>1-(1-Skills!J14/100)^Skills!K14</f>
        <v/>
      </c>
      <c r="I647" t="inlineStr">
        <is>
          <t>1</t>
        </is>
      </c>
      <c r="J647" t="inlineStr"/>
      <c r="K647" t="inlineStr"/>
      <c r="L647" t="inlineStr"/>
      <c r="M647" t="inlineStr"/>
      <c r="N647" t="inlineStr"/>
      <c r="O647" t="n">
        <v>0</v>
      </c>
      <c r="P647">
        <f>IF(B670=0,0,O647/B670)</f>
        <v/>
      </c>
      <c r="Q647">
        <f>IFERROR(1/IF(Inputs!$B$4="pvp",15,MAX(0.1,Skills!D14-IF(Skills!E14=TRUE,Inputs!$B$31,0))),0)</f>
        <v/>
      </c>
      <c r="R647">
        <f>IF(AND(Inputs!$B$4&lt;&gt;"pvp",Inputs!$B$35&gt;0),(INT(Inputs!$B$35/IF(Inputs!$B$4="pvp",15,MAX(0.1,Skills!D14-IF(Skills!E14=TRUE,Inputs!$B$31,0))))+1),0)</f>
        <v/>
      </c>
      <c r="S647">
        <f>IFERROR(O647/N647,0)</f>
        <v/>
      </c>
    </row>
    <row r="648">
      <c r="A648">
        <f>Skills!A15</f>
        <v/>
      </c>
      <c r="B648">
        <f>Skills!B15</f>
        <v/>
      </c>
      <c r="C648">
        <f>Inputs!$B$3&gt;=66</f>
        <v/>
      </c>
      <c r="D648">
        <f>IF(Skills!C15=1,60+Inputs!$B$24+Inputs!$B$28,IF(Skills!C15=2,90+Inputs!$B$25+Inputs!$B$28,IF(Skills!C15=3,120+Inputs!$B$26+Inputs!$B$28,MAX(0,(Inputs!$B$3-100)*3)+Inputs!$B$27+Inputs!$B$28)))</f>
        <v/>
      </c>
      <c r="E648">
        <f>INDEX(FactorTable!$B$2:$Y$301, MATCH(ROUND(MIN(300,MAX(1,D648)),0), FactorTable!$A$2:$A$301,0), Skills!M15+1)</f>
        <v/>
      </c>
      <c r="F648">
        <f>IF(Skills!N15=TRUE,(Skills!L15/10)*(E648/1000),Skills!L15/10)+Skills!O15</f>
        <v/>
      </c>
      <c r="G648">
        <f>Skills!G15*IF(Skills!H15&gt;0,Skills!I15/Skills!H15,1)</f>
        <v/>
      </c>
      <c r="H648">
        <f>1-(1-Skills!J15/100)^Skills!K15</f>
        <v/>
      </c>
      <c r="I648" t="inlineStr">
        <is>
          <t>1</t>
        </is>
      </c>
      <c r="J648" t="inlineStr"/>
      <c r="K648" t="inlineStr"/>
      <c r="L648" t="inlineStr"/>
      <c r="M648" t="inlineStr"/>
      <c r="N648" t="inlineStr"/>
      <c r="O648" t="n">
        <v>0</v>
      </c>
      <c r="P648">
        <f>IF(B670=0,0,O648/B670)</f>
        <v/>
      </c>
      <c r="Q648">
        <f>IFERROR(1/IF(Inputs!$B$4="pvp",15,MAX(0.1,Skills!D15-IF(Skills!E15=TRUE,Inputs!$B$31,0))),0)</f>
        <v/>
      </c>
      <c r="R648">
        <f>IF(AND(Inputs!$B$4&lt;&gt;"pvp",Inputs!$B$35&gt;0),(INT(Inputs!$B$35/IF(Inputs!$B$4="pvp",15,MAX(0.1,Skills!D15-IF(Skills!E15=TRUE,Inputs!$B$31,0))))+1),0)</f>
        <v/>
      </c>
      <c r="S648">
        <f>IFERROR(O648/N648,0)</f>
        <v/>
      </c>
    </row>
    <row r="649">
      <c r="A649">
        <f>Skills!A16</f>
        <v/>
      </c>
      <c r="B649">
        <f>Skills!B16</f>
        <v/>
      </c>
      <c r="C649">
        <f>Inputs!$B$3&gt;=45</f>
        <v/>
      </c>
      <c r="D649">
        <f>IF(Skills!C16=1,60+Inputs!$B$24+Inputs!$B$28,IF(Skills!C16=2,90+Inputs!$B$25+Inputs!$B$28,IF(Skills!C16=3,120+Inputs!$B$26+Inputs!$B$28,MAX(0,(Inputs!$B$3-100)*3)+Inputs!$B$27+Inputs!$B$28)))</f>
        <v/>
      </c>
      <c r="E649">
        <f>INDEX(FactorTable!$B$2:$Y$301, MATCH(ROUND(MIN(300,MAX(1,D649)),0), FactorTable!$A$2:$A$301,0), Skills!M16+1)</f>
        <v/>
      </c>
      <c r="F649">
        <f>IF(Skills!N16=TRUE,(Skills!L16/10)*(E649/1000),Skills!L16/10)+Skills!O16</f>
        <v/>
      </c>
      <c r="G649">
        <f>Skills!G16*IF(Skills!H16&gt;0,Skills!I16/Skills!H16,1)</f>
        <v/>
      </c>
      <c r="H649">
        <f>1-(1-Skills!J16/100)^Skills!K16</f>
        <v/>
      </c>
      <c r="I649" t="inlineStr">
        <is>
          <t>1</t>
        </is>
      </c>
      <c r="J649" t="inlineStr"/>
      <c r="K649" t="inlineStr"/>
      <c r="L649" t="inlineStr"/>
      <c r="M649" t="inlineStr"/>
      <c r="N649" t="inlineStr"/>
      <c r="O649" t="n">
        <v>0</v>
      </c>
      <c r="P649">
        <f>IF(B670=0,0,O649/B670)</f>
        <v/>
      </c>
      <c r="Q649">
        <f>IFERROR(1/IF(Inputs!$B$4="pvp",15,MAX(0.1,Skills!D16-IF(Skills!E16=TRUE,Inputs!$B$31,0))),0)</f>
        <v/>
      </c>
      <c r="R649">
        <f>IF(AND(Inputs!$B$4&lt;&gt;"pvp",Inputs!$B$35&gt;0),(INT(Inputs!$B$35/IF(Inputs!$B$4="pvp",15,MAX(0.1,Skills!D16-IF(Skills!E16=TRUE,Inputs!$B$31,0))))+1),0)</f>
        <v/>
      </c>
      <c r="S649">
        <f>IFERROR(O649/N649,0)</f>
        <v/>
      </c>
    </row>
    <row r="650">
      <c r="A650">
        <f>Skills!A17</f>
        <v/>
      </c>
      <c r="B650">
        <f>Skills!B17</f>
        <v/>
      </c>
      <c r="C650">
        <f>Inputs!$B$3&gt;=35</f>
        <v/>
      </c>
      <c r="D650">
        <f>IF(Skills!C17=1,60+Inputs!$B$24+Inputs!$B$28,IF(Skills!C17=2,90+Inputs!$B$25+Inputs!$B$28,IF(Skills!C17=3,120+Inputs!$B$26+Inputs!$B$28,MAX(0,(Inputs!$B$3-100)*3)+Inputs!$B$27+Inputs!$B$28)))</f>
        <v/>
      </c>
      <c r="E650">
        <f>INDEX(FactorTable!$B$2:$Y$301, MATCH(ROUND(MIN(300,MAX(1,D650)),0), FactorTable!$A$2:$A$301,0), Skills!M17+1)</f>
        <v/>
      </c>
      <c r="F650">
        <f>IF(Skills!N17=TRUE,(Skills!L17/10)*(E650/1000),Skills!L17/10)+Skills!O17</f>
        <v/>
      </c>
      <c r="G650">
        <f>Skills!G17*IF(Skills!H17&gt;0,Skills!I17/Skills!H17,1)</f>
        <v/>
      </c>
      <c r="H650">
        <f>1-(1-Skills!J17/100)^Skills!K17</f>
        <v/>
      </c>
      <c r="I650" t="inlineStr">
        <is>
          <t>1</t>
        </is>
      </c>
      <c r="J650" t="inlineStr"/>
      <c r="K650" t="inlineStr"/>
      <c r="L650" t="inlineStr"/>
      <c r="M650" t="inlineStr"/>
      <c r="N650" t="inlineStr"/>
      <c r="O650" t="n">
        <v>0</v>
      </c>
      <c r="P650">
        <f>IF(B670=0,0,O650/B670)</f>
        <v/>
      </c>
      <c r="Q650">
        <f>IFERROR(1/IF(Inputs!$B$4="pvp",15,MAX(0.1,Skills!D17-IF(Skills!E17=TRUE,Inputs!$B$31,0))),0)</f>
        <v/>
      </c>
      <c r="R650">
        <f>IF(AND(Inputs!$B$4&lt;&gt;"pvp",Inputs!$B$35&gt;0),(INT(Inputs!$B$35/IF(Inputs!$B$4="pvp",15,MAX(0.1,Skills!D17-IF(Skills!E17=TRUE,Inputs!$B$31,0))))+1),0)</f>
        <v/>
      </c>
      <c r="S650">
        <f>IFERROR(O650/N650,0)</f>
        <v/>
      </c>
    </row>
    <row r="651">
      <c r="A651">
        <f>Skills!A18</f>
        <v/>
      </c>
      <c r="B651">
        <f>Skills!B18</f>
        <v/>
      </c>
      <c r="C651">
        <f>Inputs!$B$3&gt;=72</f>
        <v/>
      </c>
      <c r="D651">
        <f>IF(Skills!C18=1,60+Inputs!$B$24+Inputs!$B$28,IF(Skills!C18=2,90+Inputs!$B$25+Inputs!$B$28,IF(Skills!C18=3,120+Inputs!$B$26+Inputs!$B$28,MAX(0,(Inputs!$B$3-100)*3)+Inputs!$B$27+Inputs!$B$28)))</f>
        <v/>
      </c>
      <c r="E651">
        <f>INDEX(FactorTable!$B$2:$Y$301, MATCH(ROUND(MIN(300,MAX(1,D651)),0), FactorTable!$A$2:$A$301,0), Skills!M18+1)</f>
        <v/>
      </c>
      <c r="F651">
        <f>IF(Skills!N18=TRUE,(Skills!L18/10)*(E651/1000),Skills!L18/10)+Skills!O18</f>
        <v/>
      </c>
      <c r="G651">
        <f>Skills!G18*IF(Skills!H18&gt;0,Skills!I18/Skills!H18,1)</f>
        <v/>
      </c>
      <c r="H651">
        <f>1-(1-Skills!J18/100)^Skills!K18</f>
        <v/>
      </c>
      <c r="I651" t="inlineStr">
        <is>
          <t>1</t>
        </is>
      </c>
      <c r="J651" t="inlineStr"/>
      <c r="K651" t="inlineStr"/>
      <c r="L651" t="inlineStr"/>
      <c r="M651" t="inlineStr"/>
      <c r="N651" t="inlineStr"/>
      <c r="O651" t="n">
        <v>0</v>
      </c>
      <c r="P651">
        <f>IF(B670=0,0,O651/B670)</f>
        <v/>
      </c>
      <c r="Q651">
        <f>IFERROR(1/IF(Inputs!$B$4="pvp",15,MAX(0.1,Skills!D18-IF(Skills!E18=TRUE,Inputs!$B$31,0))),0)</f>
        <v/>
      </c>
      <c r="R651">
        <f>IF(AND(Inputs!$B$4&lt;&gt;"pvp",Inputs!$B$35&gt;0),(INT(Inputs!$B$35/IF(Inputs!$B$4="pvp",15,MAX(0.1,Skills!D18-IF(Skills!E18=TRUE,Inputs!$B$31,0))))+1),0)</f>
        <v/>
      </c>
      <c r="S651">
        <f>IFERROR(O651/N651,0)</f>
        <v/>
      </c>
    </row>
    <row r="652">
      <c r="A652">
        <f>Skills!A19</f>
        <v/>
      </c>
      <c r="B652">
        <f>Skills!B19</f>
        <v/>
      </c>
      <c r="C652">
        <f>Inputs!$B$3&gt;=72</f>
        <v/>
      </c>
      <c r="D652">
        <f>IF(Skills!C19=1,60+Inputs!$B$24+Inputs!$B$28,IF(Skills!C19=2,90+Inputs!$B$25+Inputs!$B$28,IF(Skills!C19=3,120+Inputs!$B$26+Inputs!$B$28,MAX(0,(Inputs!$B$3-100)*3)+Inputs!$B$27+Inputs!$B$28)))</f>
        <v/>
      </c>
      <c r="E652">
        <f>INDEX(FactorTable!$B$2:$Y$301, MATCH(ROUND(MIN(300,MAX(1,D652)),0), FactorTable!$A$2:$A$301,0), Skills!M19+1)</f>
        <v/>
      </c>
      <c r="F652">
        <f>IF(Skills!N19=TRUE,(Skills!L19/10)*(E652/1000),Skills!L19/10)+Skills!O19</f>
        <v/>
      </c>
      <c r="G652">
        <f>Skills!G19*IF(Skills!H19&gt;0,Skills!I19/Skills!H19,1)</f>
        <v/>
      </c>
      <c r="H652">
        <f>1-(1-Skills!J19/100)^Skills!K19</f>
        <v/>
      </c>
      <c r="I652" t="inlineStr">
        <is>
          <t>1</t>
        </is>
      </c>
      <c r="J652" t="inlineStr"/>
      <c r="K652" t="inlineStr"/>
      <c r="L652" t="inlineStr"/>
      <c r="M652" t="inlineStr"/>
      <c r="N652" t="inlineStr"/>
      <c r="O652" t="n">
        <v>0</v>
      </c>
      <c r="P652">
        <f>IF(B670=0,0,O652/B670)</f>
        <v/>
      </c>
      <c r="Q652">
        <f>IFERROR(1/IF(Inputs!$B$4="pvp",15,MAX(0.1,Skills!D19-IF(Skills!E19=TRUE,Inputs!$B$31,0))),0)</f>
        <v/>
      </c>
      <c r="R652">
        <f>IF(AND(Inputs!$B$4&lt;&gt;"pvp",Inputs!$B$35&gt;0),(INT(Inputs!$B$35/IF(Inputs!$B$4="pvp",15,MAX(0.1,Skills!D19-IF(Skills!E19=TRUE,Inputs!$B$31,0))))+1),0)</f>
        <v/>
      </c>
      <c r="S652">
        <f>IFERROR(O652/N652,0)</f>
        <v/>
      </c>
    </row>
    <row r="653">
      <c r="A653">
        <f>Skills!A20</f>
        <v/>
      </c>
      <c r="B653">
        <f>Skills!B20</f>
        <v/>
      </c>
      <c r="C653">
        <f>TRUE</f>
        <v/>
      </c>
      <c r="D653">
        <f>IF(Skills!C20=1,60+Inputs!$B$24+Inputs!$B$28,IF(Skills!C20=2,90+Inputs!$B$25+Inputs!$B$28,IF(Skills!C20=3,120+Inputs!$B$26+Inputs!$B$28,MAX(0,(Inputs!$B$3-100)*3)+Inputs!$B$27+Inputs!$B$28)))</f>
        <v/>
      </c>
      <c r="E653">
        <f>INDEX(FactorTable!$B$2:$Y$301, MATCH(ROUND(MIN(300,MAX(1,D653)),0), FactorTable!$A$2:$A$301,0), Skills!M20+1)</f>
        <v/>
      </c>
      <c r="F653">
        <f>IF(Skills!N20=TRUE,(Skills!L20/10)*(E653/1000),Skills!L20/10)+Skills!O20</f>
        <v/>
      </c>
      <c r="G653">
        <f>Skills!G20*IF(Skills!H20&gt;0,Skills!I20/Skills!H20,1)</f>
        <v/>
      </c>
      <c r="H653">
        <f>1-(1-Skills!J20/100)^Skills!K20</f>
        <v/>
      </c>
      <c r="I653" t="inlineStr">
        <is>
          <t>1</t>
        </is>
      </c>
      <c r="J653" t="inlineStr"/>
      <c r="K653" t="inlineStr"/>
      <c r="L653" t="inlineStr"/>
      <c r="M653" t="inlineStr"/>
      <c r="N653" t="inlineStr"/>
      <c r="O653" t="n">
        <v>0</v>
      </c>
      <c r="P653">
        <f>IF(B670=0,0,O653/B670)</f>
        <v/>
      </c>
      <c r="Q653">
        <f>IFERROR(1/IF(Inputs!$B$4="pvp",15,MAX(0.1,Skills!D20-IF(Skills!E20=TRUE,Inputs!$B$31,0))),0)</f>
        <v/>
      </c>
      <c r="R653">
        <f>IF(AND(Inputs!$B$4&lt;&gt;"pvp",Inputs!$B$35&gt;0),(INT(Inputs!$B$35/IF(Inputs!$B$4="pvp",15,MAX(0.1,Skills!D20-IF(Skills!E20=TRUE,Inputs!$B$31,0))))+1),0)</f>
        <v/>
      </c>
      <c r="S653">
        <f>IFERROR(O653/N653,0)</f>
        <v/>
      </c>
    </row>
    <row r="654">
      <c r="A654">
        <f>Skills!A21</f>
        <v/>
      </c>
      <c r="B654">
        <f>Skills!B21</f>
        <v/>
      </c>
      <c r="C654">
        <f>Inputs!$B$3&gt;=33</f>
        <v/>
      </c>
      <c r="D654">
        <f>IF(Skills!C21=1,60+Inputs!$B$24+Inputs!$B$28,IF(Skills!C21=2,90+Inputs!$B$25+Inputs!$B$28,IF(Skills!C21=3,120+Inputs!$B$26+Inputs!$B$28,MAX(0,(Inputs!$B$3-100)*3)+Inputs!$B$27+Inputs!$B$28)))</f>
        <v/>
      </c>
      <c r="E654">
        <f>INDEX(FactorTable!$B$2:$Y$301, MATCH(ROUND(MIN(300,MAX(1,D654)),0), FactorTable!$A$2:$A$301,0), Skills!M21+1)</f>
        <v/>
      </c>
      <c r="F654">
        <f>IF(Skills!N21=TRUE,(Skills!L21/10)*(E654/1000),Skills!L21/10)+Skills!O21</f>
        <v/>
      </c>
      <c r="G654">
        <f>Skills!G21*IF(Skills!H21&gt;0,Skills!I21/Skills!H21,1)</f>
        <v/>
      </c>
      <c r="H654">
        <f>1-(1-Skills!J21/100)^Skills!K21</f>
        <v/>
      </c>
      <c r="I654" t="inlineStr">
        <is>
          <t>1</t>
        </is>
      </c>
      <c r="J654" t="inlineStr"/>
      <c r="K654" t="inlineStr"/>
      <c r="L654" t="inlineStr"/>
      <c r="M654" t="inlineStr"/>
      <c r="N654" t="inlineStr"/>
      <c r="O654" t="n">
        <v>0</v>
      </c>
      <c r="P654">
        <f>IF(B670=0,0,O654/B670)</f>
        <v/>
      </c>
      <c r="Q654" t="n">
        <v>0</v>
      </c>
      <c r="R654" t="n">
        <v>0</v>
      </c>
      <c r="S654">
        <f>IFERROR(O654/N654,0)</f>
        <v/>
      </c>
    </row>
    <row r="655">
      <c r="A655">
        <f>Skills!A22</f>
        <v/>
      </c>
      <c r="B655">
        <f>Skills!B22</f>
        <v/>
      </c>
      <c r="C655">
        <f>Inputs!$B$3&gt;=43</f>
        <v/>
      </c>
      <c r="D655">
        <f>IF(Skills!C22=1,60+Inputs!$B$24+Inputs!$B$28,IF(Skills!C22=2,90+Inputs!$B$25+Inputs!$B$28,IF(Skills!C22=3,120+Inputs!$B$26+Inputs!$B$28,MAX(0,(Inputs!$B$3-100)*3)+Inputs!$B$27+Inputs!$B$28)))</f>
        <v/>
      </c>
      <c r="E655">
        <f>INDEX(FactorTable!$B$2:$Y$301, MATCH(ROUND(MIN(300,MAX(1,D655)),0), FactorTable!$A$2:$A$301,0), Skills!M22+1)</f>
        <v/>
      </c>
      <c r="F655">
        <f>IF(Skills!N22=TRUE,(Skills!L22/10)*(E655/1000),Skills!L22/10)+Skills!O22</f>
        <v/>
      </c>
      <c r="G655">
        <f>Skills!G22*IF(Skills!H22&gt;0,Skills!I22/Skills!H22,1)</f>
        <v/>
      </c>
      <c r="H655">
        <f>1-(1-Skills!J22/100)^Skills!K22</f>
        <v/>
      </c>
      <c r="I655" t="inlineStr">
        <is>
          <t>1</t>
        </is>
      </c>
      <c r="J655" t="inlineStr"/>
      <c r="K655" t="inlineStr"/>
      <c r="L655" t="inlineStr"/>
      <c r="M655" t="inlineStr"/>
      <c r="N655" t="inlineStr"/>
      <c r="O655" t="n">
        <v>0</v>
      </c>
      <c r="P655">
        <f>IF(B670=0,0,O655/B670)</f>
        <v/>
      </c>
      <c r="Q655" t="n">
        <v>0</v>
      </c>
      <c r="R655" t="n">
        <v>0</v>
      </c>
      <c r="S655">
        <f>IFERROR(O655/N655,0)</f>
        <v/>
      </c>
    </row>
    <row r="656">
      <c r="A656">
        <f>Skills!A23</f>
        <v/>
      </c>
      <c r="B656">
        <f>Skills!B23</f>
        <v/>
      </c>
      <c r="C656">
        <f>Inputs!$B$3&gt;=120</f>
        <v/>
      </c>
      <c r="D656">
        <f>IF(Skills!C23=1,60+Inputs!$B$24+Inputs!$B$28,IF(Skills!C23=2,90+Inputs!$B$25+Inputs!$B$28,IF(Skills!C23=3,120+Inputs!$B$26+Inputs!$B$28,MAX(0,(Inputs!$B$3-100)*3)+Inputs!$B$27+Inputs!$B$28)))</f>
        <v/>
      </c>
      <c r="E656">
        <f>INDEX(FactorTable!$B$2:$Y$301, MATCH(ROUND(MIN(300,MAX(1,D656)),0), FactorTable!$A$2:$A$301,0), Skills!M23+1)</f>
        <v/>
      </c>
      <c r="F656">
        <f>IF(Skills!N23=TRUE,(Skills!L23/10)*(E656/1000),Skills!L23/10)+Skills!O23</f>
        <v/>
      </c>
      <c r="G656">
        <f>Skills!G23*IF(Skills!H23&gt;0,Skills!I23/Skills!H23,1)</f>
        <v/>
      </c>
      <c r="H656">
        <f>1-(1-Skills!J23/100)^Skills!K23</f>
        <v/>
      </c>
      <c r="I656" t="inlineStr">
        <is>
          <t>1</t>
        </is>
      </c>
      <c r="J656" t="inlineStr"/>
      <c r="K656" t="inlineStr"/>
      <c r="L656" t="inlineStr"/>
      <c r="M656" t="inlineStr"/>
      <c r="N656" t="inlineStr"/>
      <c r="O656" t="n">
        <v>0</v>
      </c>
      <c r="P656">
        <f>IF(B670=0,0,O656/B670)</f>
        <v/>
      </c>
      <c r="Q656" t="n">
        <v>0</v>
      </c>
      <c r="R656" t="n">
        <v>0</v>
      </c>
      <c r="S656">
        <f>IFERROR(O656/N656,0)</f>
        <v/>
      </c>
    </row>
    <row r="657">
      <c r="A657">
        <f>Skills!A24</f>
        <v/>
      </c>
      <c r="B657">
        <f>Skills!B24</f>
        <v/>
      </c>
      <c r="C657">
        <f>Inputs!$B$3&gt;=120</f>
        <v/>
      </c>
      <c r="D657">
        <f>IF(Skills!C24=1,60+Inputs!$B$24+Inputs!$B$28,IF(Skills!C24=2,90+Inputs!$B$25+Inputs!$B$28,IF(Skills!C24=3,120+Inputs!$B$26+Inputs!$B$28,MAX(0,(Inputs!$B$3-100)*3)+Inputs!$B$27+Inputs!$B$28)))</f>
        <v/>
      </c>
      <c r="E657">
        <f>INDEX(FactorTable!$B$2:$Y$301, MATCH(ROUND(MIN(300,MAX(1,D657)),0), FactorTable!$A$2:$A$301,0), Skills!M24+1)</f>
        <v/>
      </c>
      <c r="F657">
        <f>IF(Skills!N24=TRUE,(Skills!L24/10)*(E657/1000),Skills!L24/10)+Skills!O24</f>
        <v/>
      </c>
      <c r="G657">
        <f>Skills!G24*IF(Skills!H24&gt;0,Skills!I24/Skills!H24,1)</f>
        <v/>
      </c>
      <c r="H657">
        <f>1-(1-Skills!J24/100)^Skills!K24</f>
        <v/>
      </c>
      <c r="I657" t="inlineStr">
        <is>
          <t>1</t>
        </is>
      </c>
      <c r="J657" t="inlineStr"/>
      <c r="K657" t="inlineStr"/>
      <c r="L657" t="inlineStr"/>
      <c r="M657" t="inlineStr"/>
      <c r="N657" t="inlineStr"/>
      <c r="O657" t="n">
        <v>0</v>
      </c>
      <c r="P657">
        <f>IF(B670=0,0,O657/B670)</f>
        <v/>
      </c>
      <c r="Q657" t="n">
        <v>0</v>
      </c>
      <c r="R657" t="n">
        <v>0</v>
      </c>
      <c r="S657">
        <f>IFERROR(O657/N657,0)</f>
        <v/>
      </c>
    </row>
    <row r="658">
      <c r="A658">
        <f>Skills!A25</f>
        <v/>
      </c>
      <c r="B658">
        <f>Skills!B25</f>
        <v/>
      </c>
      <c r="C658">
        <f>Inputs!$B$3&gt;=125</f>
        <v/>
      </c>
      <c r="D658">
        <f>IF(Skills!C25=1,60+Inputs!$B$24+Inputs!$B$28,IF(Skills!C25=2,90+Inputs!$B$25+Inputs!$B$28,IF(Skills!C25=3,120+Inputs!$B$26+Inputs!$B$28,MAX(0,(Inputs!$B$3-100)*3)+Inputs!$B$27+Inputs!$B$28)))</f>
        <v/>
      </c>
      <c r="E658">
        <f>INDEX(FactorTable!$B$2:$Y$301, MATCH(ROUND(MIN(300,MAX(1,D658)),0), FactorTable!$A$2:$A$301,0), Skills!M25+1)</f>
        <v/>
      </c>
      <c r="F658">
        <f>IF(Skills!N25=TRUE,(Skills!L25/10)*(E658/1000),Skills!L25/10)+Skills!O25</f>
        <v/>
      </c>
      <c r="G658">
        <f>Skills!G25*IF(Skills!H25&gt;0,Skills!I25/Skills!H25,1)</f>
        <v/>
      </c>
      <c r="H658">
        <f>1-(1-Skills!J25/100)^Skills!K25</f>
        <v/>
      </c>
      <c r="I658" t="inlineStr">
        <is>
          <t>1</t>
        </is>
      </c>
      <c r="J658" t="inlineStr"/>
      <c r="K658" t="inlineStr"/>
      <c r="L658" t="inlineStr"/>
      <c r="M658" t="inlineStr"/>
      <c r="N658" t="inlineStr"/>
      <c r="O658" t="n">
        <v>0</v>
      </c>
      <c r="P658">
        <f>IF(B670=0,0,O658/B670)</f>
        <v/>
      </c>
      <c r="Q658" t="n">
        <v>0</v>
      </c>
      <c r="R658" t="n">
        <v>0</v>
      </c>
      <c r="S658">
        <f>IFERROR(O658/N658,0)</f>
        <v/>
      </c>
    </row>
    <row r="659">
      <c r="A659">
        <f>Skills!A26</f>
        <v/>
      </c>
      <c r="B659">
        <f>Skills!B26</f>
        <v/>
      </c>
      <c r="C659">
        <f>Inputs!$B$3&gt;=107</f>
        <v/>
      </c>
      <c r="D659">
        <f>IF(Skills!C26=1,60+Inputs!$B$24+Inputs!$B$28,IF(Skills!C26=2,90+Inputs!$B$25+Inputs!$B$28,IF(Skills!C26=3,120+Inputs!$B$26+Inputs!$B$28,MAX(0,(Inputs!$B$3-100)*3)+Inputs!$B$27+Inputs!$B$28)))</f>
        <v/>
      </c>
      <c r="E659">
        <f>INDEX(FactorTable!$B$2:$Y$301, MATCH(ROUND(MIN(300,MAX(1,D659)),0), FactorTable!$A$2:$A$301,0), Skills!M26+1)</f>
        <v/>
      </c>
      <c r="F659">
        <f>IF(Skills!N26=TRUE,(Skills!L26/10)*(E659/1000),Skills!L26/10)+Skills!O26</f>
        <v/>
      </c>
      <c r="G659">
        <f>Skills!G26*IF(Skills!H26&gt;0,Skills!I26/Skills!H26,1)</f>
        <v/>
      </c>
      <c r="H659">
        <f>1-(1-Skills!J26/100)^Skills!K26</f>
        <v/>
      </c>
      <c r="I659" t="inlineStr">
        <is>
          <t>1</t>
        </is>
      </c>
      <c r="J659" t="inlineStr"/>
      <c r="K659" t="inlineStr"/>
      <c r="L659" t="inlineStr"/>
      <c r="M659" t="inlineStr"/>
      <c r="N659" t="inlineStr"/>
      <c r="O659" t="n">
        <v>0</v>
      </c>
      <c r="P659">
        <f>IF(B670=0,0,O659/B670)</f>
        <v/>
      </c>
      <c r="Q659" t="n">
        <v>0</v>
      </c>
      <c r="R659" t="n">
        <v>0</v>
      </c>
      <c r="S659">
        <f>IFERROR(O659/N659,0)</f>
        <v/>
      </c>
    </row>
    <row r="661">
      <c r="A661" t="inlineStr">
        <is>
          <t>Attack% Bucket Multiplier</t>
        </is>
      </c>
      <c r="B661">
        <f>(1+(((C646=TRUE)*F646*IF(AND(Inputs!$B$4&lt;&gt;"pvp",Inputs!$B$35&gt;0),(((S646-1)*(Skills!T13*(1+Inputs!$B$33/100))+MIN((Skills!T13*(1+Inputs!$B$33/100)),MAX(0,Inputs!$B$35-((S646-1)*Skills!D13))))/Inputs!$B$35),IF(Inputs!$B$4="pvp",MIN((Skills!T13*(1+Inputs!$B$33/100)),15)/15,(Skills!T13*(1+Inputs!$B$33/100))/Skills!D13)))+((C647=TRUE)*F647*IF(AND(Inputs!$B$4&lt;&gt;"pvp",Inputs!$B$35&gt;0),(((S647-1)*(Skills!T14*(1+Inputs!$B$33/100))+MIN((Skills!T14*(1+Inputs!$B$33/100)),MAX(0,Inputs!$B$35-((S647-1)*Skills!D14))))/Inputs!$B$35),IF(Inputs!$B$4="pvp",MIN((Skills!T14*(1+Inputs!$B$33/100)),15)/15,(Skills!T14*(1+Inputs!$B$33/100))/Skills!D14)))+((C648=TRUE)*F648*IF(AND(Inputs!$B$4&lt;&gt;"pvp",Inputs!$B$35&gt;0),(((S648-1)*(Skills!T15*(1+Inputs!$B$33/100))+MIN((Skills!T15*(1+Inputs!$B$33/100)),MAX(0,Inputs!$B$35-((S648-1)*Skills!D15))))/Inputs!$B$35),IF(Inputs!$B$4="pvp",MIN((Skills!T15*(1+Inputs!$B$33/100)),15)/15,(Skills!T15*(1+Inputs!$B$33/100))/Skills!D15)))+((C649=TRUE)*F649*IF(AND(Inputs!$B$4&lt;&gt;"pvp",Inputs!$B$35&gt;0),(((S649-1)*(Skills!T16*(1+Inputs!$B$33/100))+MIN((Skills!T16*(1+Inputs!$B$33/100)),MAX(0,Inputs!$B$35-((S649-1)*Skills!D16))))/Inputs!$B$35),IF(Inputs!$B$4="pvp",MIN((Skills!T16*(1+Inputs!$B$33/100)),15)/15,(Skills!T16*(1+Inputs!$B$33/100))/Skills!D16)))+0)/100)</f>
        <v/>
      </c>
    </row>
    <row r="662">
      <c r="A662" t="inlineStr">
        <is>
          <t>Global Crit Rate Bonus % (Lord of Darkness)</t>
        </is>
      </c>
      <c r="B662">
        <f>((C651=TRUE)*F651*(Skills!J18/100)*IF(AND(Inputs!$B$4&lt;&gt;"pvp",Inputs!$B$35&gt;0),(((S651-1)*(Skills!T18*(1+Inputs!$B$33/100))+MIN((Skills!T18*(1+Inputs!$B$33/100)),MAX(0,Inputs!$B$35-((S651-1)*Skills!D18))))/Inputs!$B$35),IF(Inputs!$B$4="pvp",MIN((Skills!T18*(1+Inputs!$B$33/100)),15)/15,(Skills!T18*(1+Inputs!$B$33/100))/Skills!D18)))</f>
        <v/>
      </c>
    </row>
    <row r="663">
      <c r="A663" t="inlineStr">
        <is>
          <t>Attack Speed Buff Bonus %</t>
        </is>
      </c>
      <c r="B663">
        <f>((C653=TRUE)*F653*IF(AND(Inputs!$B$4&lt;&gt;"pvp",Inputs!$B$35&gt;0),(((S653-1)*(Skills!T20*(1+Inputs!$B$33/100))+MIN((Skills!T20*(1+Inputs!$B$33/100)),MAX(0,Inputs!$B$35-((S653-1)*Skills!D20))))/Inputs!$B$35),IF(Inputs!$B$4="pvp",MIN((Skills!T20*(1+Inputs!$B$33/100)),15)/15,(Skills!T20*(1+Inputs!$B$33/100))/Skills!D20)))</f>
        <v/>
      </c>
    </row>
    <row r="664">
      <c r="A664" t="inlineStr">
        <is>
          <t>Actions Per Second</t>
        </is>
      </c>
      <c r="B664">
        <f>1+MIN(150,150*(1-(1-(Inputs!$B$10+((C654=TRUE)*(F654-Calc!F21)))/150)*(1-B663/150)))/100</f>
        <v/>
      </c>
    </row>
    <row r="665">
      <c r="A665" t="inlineStr">
        <is>
          <t>Skill + Buff Cast Rate</t>
        </is>
      </c>
      <c r="B665">
        <f>IF(AND(Inputs!$B$4&lt;&gt;"pvp",Inputs!$B$35&gt;0),SUMPRODUCT((Skills!E2:E26=TRUE)*(C635:C659=TRUE)*R635:R659*Skills!F2:F26)/Inputs!$B$35,SUMPRODUCT((Skills!E2:E26=TRUE)*(C635:C659=TRUE)*Q635:Q659*Skills!F2:F26))</f>
        <v/>
      </c>
    </row>
    <row r="666">
      <c r="A666" t="inlineStr">
        <is>
          <t>Dark Impale Casts Per Second</t>
        </is>
      </c>
      <c r="B666">
        <f>MAX(0,B664-B665)</f>
        <v/>
      </c>
    </row>
    <row r="667">
      <c r="A667" t="inlineStr">
        <is>
          <t>Global Critical Damage Bonus % (Lord of Darkness)</t>
        </is>
      </c>
      <c r="B667">
        <f>((C652=TRUE)*F652*(Skills!J19/100)*IF(AND(Inputs!$B$4&lt;&gt;"pvp",Inputs!$B$35&gt;0),(((S652-1)*(Skills!T19*(1+Inputs!$B$33/100))+MIN((Skills!T19*(1+Inputs!$B$33/100)),MAX(0,Inputs!$B$35-((S652-1)*Skills!D19))))/Inputs!$B$35),IF(Inputs!$B$4="pvp",MIN((Skills!T19*(1+Inputs!$B$33/100)),15)/15,(Skills!T19*(1+Inputs!$B$33/100))/Skills!D19)))</f>
        <v/>
      </c>
    </row>
    <row r="668">
      <c r="A668" t="inlineStr">
        <is>
          <t>Global Final Damage Bonus % (unused)</t>
        </is>
      </c>
      <c r="B668" t="n">
        <v>0</v>
      </c>
    </row>
    <row r="670">
      <c r="A670" s="5" t="inlineStr">
        <is>
          <t>TOTAL DPS</t>
        </is>
      </c>
      <c r="B670" s="5">
        <f>SUM(O635:O659)</f>
        <v/>
      </c>
    </row>
    <row r="673">
      <c r="A673" s="5" t="inlineStr">
        <is>
          <t>Stat: Skill Level Bonus — 1st Job</t>
        </is>
      </c>
    </row>
    <row r="674">
      <c r="A674" s="8" t="inlineStr">
        <is>
          <t>Key</t>
        </is>
      </c>
      <c r="B674" s="8" t="inlineStr">
        <is>
          <t>Name</t>
        </is>
      </c>
      <c r="C674" s="8" t="inlineStr">
        <is>
          <t>Unlocked</t>
        </is>
      </c>
      <c r="D674" s="8" t="inlineStr">
        <is>
          <t>InputLevel</t>
        </is>
      </c>
      <c r="E674" s="8" t="inlineStr">
        <is>
          <t>Factor</t>
        </is>
      </c>
      <c r="F674" s="8" t="inlineStr">
        <is>
          <t>CoefficientPercent</t>
        </is>
      </c>
      <c r="G674" s="8" t="inlineStr">
        <is>
          <t>EffectiveHits</t>
        </is>
      </c>
      <c r="H674" s="8" t="inlineStr">
        <is>
          <t>ProcProbability</t>
        </is>
      </c>
      <c r="I674" s="8" t="inlineStr">
        <is>
          <t>MapleHeroMultiplier</t>
        </is>
      </c>
      <c r="J674" s="8" t="inlineStr">
        <is>
          <t>BaseDamage</t>
        </is>
      </c>
      <c r="K674" s="8" t="inlineStr">
        <is>
          <t>BaseHitDamage</t>
        </is>
      </c>
      <c r="L674" s="8" t="inlineStr">
        <is>
          <t>NonCritAvg</t>
        </is>
      </c>
      <c r="M674" s="8" t="inlineStr">
        <is>
          <t>CritAvg</t>
        </is>
      </c>
      <c r="N674" s="8" t="inlineStr">
        <is>
          <t>ExpectedDamage(perHit)</t>
        </is>
      </c>
      <c r="O674" s="8" t="inlineStr">
        <is>
          <t>DPS</t>
        </is>
      </c>
      <c r="P674" s="8" t="inlineStr">
        <is>
          <t>% of Total</t>
        </is>
      </c>
      <c r="Q674" s="8" t="inlineStr">
        <is>
          <t>InvCooldown</t>
        </is>
      </c>
      <c r="R674" s="8" t="inlineStr">
        <is>
          <t>CastsInFight</t>
        </is>
      </c>
      <c r="S674" s="8" t="inlineStr">
        <is>
          <t>HitRate(perSec)</t>
        </is>
      </c>
      <c r="U674" t="inlineStr">
        <is>
          <t>helpers</t>
        </is>
      </c>
    </row>
    <row r="675">
      <c r="A675">
        <f>Skills!A2</f>
        <v/>
      </c>
      <c r="B675">
        <f>Skills!B2</f>
        <v/>
      </c>
      <c r="C675">
        <f>Inputs!$B$3&gt;=100</f>
        <v/>
      </c>
      <c r="D675" t="inlineStr"/>
      <c r="E675" t="inlineStr"/>
      <c r="F675">
        <f>U677+Skills!O2</f>
        <v/>
      </c>
      <c r="G675">
        <f>Skills!G2*IF(Skills!H2&gt;0,Skills!I2/Skills!H2,1)</f>
        <v/>
      </c>
      <c r="H675">
        <f>1-(1-Skills!J2/100)^Skills!K2</f>
        <v/>
      </c>
      <c r="I675" t="inlineStr">
        <is>
          <t>1</t>
        </is>
      </c>
      <c r="J675">
        <f>(Inputs!$B$5*(1+Inputs!$B$6/100))*(F675/100)</f>
        <v/>
      </c>
      <c r="K675">
        <f>J675*(1+((Inputs!$B$11*(1+Inputs!$B$12/100))*0.01+Inputs!$B$13*0.0025)/100)*(1+Inputs!$B$14/100)*(1+IF(Inputs!$B$4="pvp",0,(1-Summary!$B$55)*(Inputs!$B$19+0+Skills!P2+((C690=TRUE)*F690*IF(AND(Inputs!$B$4&lt;&gt;"pvp",Inputs!$B$35&gt;0),(((S690-1)*(Skills!T17*(1+Inputs!$B$33/100))+MIN((Skills!T17*(1+Inputs!$B$33/100)),MAX(0,Inputs!$B$35-((S690-1)*Skills!D17))))/Inputs!$B$35),IF(Inputs!$B$4="pvp",MIN((Skills!T17*(1+Inputs!$B$33/100)),15)/15,(Skills!T17*(1+Inputs!$B$33/100))/Skills!D17)))+((C687=TRUE)*IF(Inputs!$B$4="pvp",20,(1-Summary!$B$55)*(20)+Summary!$B$55*(0))*IF(AND(Inputs!$B$4&lt;&gt;"pvp",Inputs!$B$35&gt;0),(((S687-1)*(Skills!T14*(1+Inputs!$B$33/100))+MIN((Skills!T14*(1+Inputs!$B$33/100)),MAX(0,Inputs!$B$35-((S687-1)*Skills!D14))))/Inputs!$B$35),IF(Inputs!$B$4="pvp",MIN((Skills!T14*(1+Inputs!$B$33/100)),15)/15,(Skills!T14*(1+Inputs!$B$33/100))/Skills!D14))))+Summary!$B$55*(Inputs!$B$20+Skills!Q2+((C690=TRUE)*F690*IF(AND(Inputs!$B$4&lt;&gt;"pvp",Inputs!$B$35&gt;0),(((S690-1)*(Skills!T17*(1+Inputs!$B$33/100))+MIN((Skills!T17*(1+Inputs!$B$33/100)),MAX(0,Inputs!$B$35-((S690-1)*Skills!D17))))/Inputs!$B$35),IF(Inputs!$B$4="pvp",MIN((Skills!T17*(1+Inputs!$B$33/100)),15)/15,(Skills!T17*(1+Inputs!$B$33/100))/Skills!D17)))))/100)*(1+Inputs!$B$15/100)*(5000/(6000+Inputs!$B$7*(1-(Inputs!$B$18+0)/100)))*(1+(Inputs!$B$23+((C698=TRUE)*(F698-Calc!F25))+((C699=TRUE)*(F699-Calc!F26))+B708)/100)*(1+(IF(Skills!A2="DARK_IMPALE",Inputs!$B$16+0,Inputs!$B$17+((C696=TRUE)*(F696-Calc!F23))))/100)*((1+(((C686=TRUE)*F686*IF(AND(Inputs!$B$4&lt;&gt;"pvp",Inputs!$B$35&gt;0),(((S686-1)*(Skills!T13*(1+Inputs!$B$33/100))+MIN((Skills!T13*(1+Inputs!$B$33/100)),MAX(0,Inputs!$B$35-((S686-1)*Skills!D13))))/Inputs!$B$35),IF(Inputs!$B$4="pvp",MIN((Skills!T13*(1+Inputs!$B$33/100)),15)/15,(Skills!T13*(1+Inputs!$B$33/100))/Skills!D13)))+((C687=TRUE)*F687*IF(AND(Inputs!$B$4&lt;&gt;"pvp",Inputs!$B$35&gt;0),(((S687-1)*(Skills!T14*(1+Inputs!$B$33/100))+MIN((Skills!T14*(1+Inputs!$B$33/100)),MAX(0,Inputs!$B$35-((S687-1)*Skills!D14))))/Inputs!$B$35),IF(Inputs!$B$4="pvp",MIN((Skills!T14*(1+Inputs!$B$33/100)),15)/15,(Skills!T14*(1+Inputs!$B$33/100))/Skills!D14)))+((C688=TRUE)*F688*IF(AND(Inputs!$B$4&lt;&gt;"pvp",Inputs!$B$35&gt;0),(((S688-1)*(Skills!T15*(1+Inputs!$B$33/100))+MIN((Skills!T15*(1+Inputs!$B$33/100)),MAX(0,Inputs!$B$35-((S688-1)*Skills!D15))))/Inputs!$B$35),IF(Inputs!$B$4="pvp",MIN((Skills!T15*(1+Inputs!$B$33/100)),15)/15,(Skills!T15*(1+Inputs!$B$33/100))/Skills!D15)))+((C689=TRUE)*F689*IF(AND(Inputs!$B$4&lt;&gt;"pvp",Inputs!$B$35&gt;0),(((S689-1)*(Skills!T16*(1+Inputs!$B$33/100))+MIN((Skills!T16*(1+Inputs!$B$33/100)),MAX(0,Inputs!$B$35-((S689-1)*Skills!D16))))/Inputs!$B$35),IF(Inputs!$B$4="pvp",MIN((Skills!T16*(1+Inputs!$B$33/100)),15)/15,(Skills!T16*(1+Inputs!$B$33/100))/Skills!D16)))+0)/100)*I675)</f>
        <v/>
      </c>
      <c r="L675">
        <f>K675*(MIN(Inputs!$B$21+((C695=TRUE)*(F695-Calc!F22)),Inputs!$B$22+((C697=TRUE)*(F697-Calc!F24)))/100+(Inputs!$B$22+((C697=TRUE)*(F697-Calc!F24)))/100)/2</f>
        <v/>
      </c>
      <c r="M675">
        <f>L675*(1+(Inputs!$B$9+0+B707)/100)</f>
        <v/>
      </c>
      <c r="N675">
        <f>L675*(1-MIN((Inputs!$B$8+0+B702),100)/100)+M675*(MIN((Inputs!$B$8+0+B702),100)/100)</f>
        <v/>
      </c>
      <c r="O675">
        <f>IF(C675,Skills!G2*N675*B706*IF(Inputs!$B$4="pvp",1,(1-Summary!$B$55)*(1)+Summary!$B$55*(MIN((6+Inputs!$B$32),Inputs!$B$37))),0)</f>
        <v/>
      </c>
      <c r="P675">
        <f>IF(B710=0,0,O675/B710)</f>
        <v/>
      </c>
      <c r="Q675" t="n">
        <v>0</v>
      </c>
      <c r="R675" t="n">
        <v>0</v>
      </c>
      <c r="S675">
        <f>IFERROR(O675/N675,0)</f>
        <v/>
      </c>
      <c r="U675">
        <f>MAX(0,(Inputs!$B$3-100)*3)+Inputs!$B$27+Inputs!$B$28</f>
        <v/>
      </c>
    </row>
    <row r="676">
      <c r="A676">
        <f>Skills!A3</f>
        <v/>
      </c>
      <c r="B676">
        <f>Skills!B3</f>
        <v/>
      </c>
      <c r="C676">
        <f>Inputs!$B$3&gt;=50</f>
        <v/>
      </c>
      <c r="D676">
        <f>IF(Skills!C3=1,60+(Inputs!$B$24+1)+Inputs!$B$28,IF(Skills!C3=2,90+Inputs!$B$25+Inputs!$B$28,IF(Skills!C3=3,120+Inputs!$B$26+Inputs!$B$28,MAX(0,(Inputs!$B$3-100)*3)+Inputs!$B$27+Inputs!$B$28)))</f>
        <v/>
      </c>
      <c r="E676">
        <f>INDEX(FactorTable!$B$2:$Y$301, MATCH(ROUND(MIN(300,MAX(1,D676)),0), FactorTable!$A$2:$A$301,0), Skills!M3+1)</f>
        <v/>
      </c>
      <c r="F676">
        <f>IF(Skills!N3=TRUE,(Skills!L3/10)*(E676/1000),Skills!L3/10)+Skills!O3</f>
        <v/>
      </c>
      <c r="G676" t="inlineStr"/>
      <c r="H676" t="inlineStr"/>
      <c r="I676" t="inlineStr">
        <is>
          <t>1</t>
        </is>
      </c>
      <c r="J676" t="inlineStr"/>
      <c r="K676" t="inlineStr"/>
      <c r="L676" t="inlineStr"/>
      <c r="M676" t="inlineStr"/>
      <c r="N676" t="inlineStr"/>
      <c r="O676" t="inlineStr"/>
      <c r="P676" t="inlineStr"/>
      <c r="Q676" t="inlineStr"/>
      <c r="R676" t="inlineStr"/>
      <c r="S676" t="inlineStr"/>
      <c r="U676">
        <f>INDEX(FactorTable!$B$2:$Y$301, MATCH(ROUND(MIN(300,MAX(1,U675)),0), FactorTable!$A$2:$A$301,0), 22)</f>
        <v/>
      </c>
    </row>
    <row r="677">
      <c r="A677">
        <f>Skills!A4</f>
        <v/>
      </c>
      <c r="B677">
        <f>Skills!B4</f>
        <v/>
      </c>
      <c r="C677">
        <f>Inputs!$B$3&gt;=105</f>
        <v/>
      </c>
      <c r="D677">
        <f>IF(Skills!C4=1,60+(Inputs!$B$24+1)+Inputs!$B$28,IF(Skills!C4=2,90+Inputs!$B$25+Inputs!$B$28,IF(Skills!C4=3,120+Inputs!$B$26+Inputs!$B$28,MAX(0,(Inputs!$B$3-100)*3)+Inputs!$B$27+Inputs!$B$28)))</f>
        <v/>
      </c>
      <c r="E677">
        <f>INDEX(FactorTable!$B$2:$Y$301, MATCH(ROUND(MIN(300,MAX(1,D677)),0), FactorTable!$A$2:$A$301,0), Skills!M4+1)</f>
        <v/>
      </c>
      <c r="F677">
        <f>IF(Skills!N4=TRUE,(Skills!L4/10)*(E677/1000),Skills!L4/10)+Skills!O4</f>
        <v/>
      </c>
      <c r="G677" t="inlineStr"/>
      <c r="H677" t="inlineStr"/>
      <c r="I677" t="inlineStr">
        <is>
          <t>1</t>
        </is>
      </c>
      <c r="J677" t="inlineStr"/>
      <c r="K677" t="inlineStr"/>
      <c r="L677" t="inlineStr"/>
      <c r="M677" t="inlineStr"/>
      <c r="N677" t="inlineStr"/>
      <c r="O677" t="inlineStr"/>
      <c r="P677" t="inlineStr"/>
      <c r="Q677" t="inlineStr"/>
      <c r="R677" t="inlineStr"/>
      <c r="S677" t="inlineStr"/>
      <c r="U677">
        <f>290*U676/1000</f>
        <v/>
      </c>
    </row>
    <row r="678">
      <c r="A678">
        <f>Skills!A5</f>
        <v/>
      </c>
      <c r="B678">
        <f>Skills!B5</f>
        <v/>
      </c>
      <c r="C678">
        <f>Inputs!$B$3&gt;=117</f>
        <v/>
      </c>
      <c r="D678">
        <f>IF(Skills!C5=1,60+(Inputs!$B$24+1)+Inputs!$B$28,IF(Skills!C5=2,90+Inputs!$B$25+Inputs!$B$28,IF(Skills!C5=3,120+Inputs!$B$26+Inputs!$B$28,MAX(0,(Inputs!$B$3-100)*3)+Inputs!$B$27+Inputs!$B$28)))</f>
        <v/>
      </c>
      <c r="E678">
        <f>INDEX(FactorTable!$B$2:$Y$301, MATCH(ROUND(MIN(300,MAX(1,D678)),0), FactorTable!$A$2:$A$301,0), Skills!M5+1)</f>
        <v/>
      </c>
      <c r="F678">
        <f>IF(Skills!N5=TRUE,(Skills!L5/10)*(E678/1000),Skills!L5/10)+Skills!O5</f>
        <v/>
      </c>
      <c r="G678">
        <f>Skills!G5*IF(Skills!H5&gt;0,Skills!I5/Skills!H5,1)</f>
        <v/>
      </c>
      <c r="H678">
        <f>1-(1-Skills!J5/100)^Skills!K5</f>
        <v/>
      </c>
      <c r="I678" t="inlineStr">
        <is>
          <t>1</t>
        </is>
      </c>
      <c r="J678">
        <f>(Inputs!$B$5*(1+Inputs!$B$6/100))*(F678/100)</f>
        <v/>
      </c>
      <c r="K678">
        <f>J678*(1+((Inputs!$B$11*(1+Inputs!$B$12/100))*0.01+Inputs!$B$13*0.0025)/100)*(1+Inputs!$B$14/100)*(1+IF(Inputs!$B$4="pvp",0,(1-Summary!$B$55)*(Inputs!$B$19+0+Skills!P5+((C690=TRUE)*F690*IF(AND(Inputs!$B$4&lt;&gt;"pvp",Inputs!$B$35&gt;0),(((S690-1)*(Skills!T17*(1+Inputs!$B$33/100))+MIN((Skills!T17*(1+Inputs!$B$33/100)),MAX(0,Inputs!$B$35-((S690-1)*Skills!D17))))/Inputs!$B$35),IF(Inputs!$B$4="pvp",MIN((Skills!T17*(1+Inputs!$B$33/100)),15)/15,(Skills!T17*(1+Inputs!$B$33/100))/Skills!D17)))+((C687=TRUE)*IF(Inputs!$B$4="pvp",20,(1-Summary!$B$55)*(20)+Summary!$B$55*(0))*IF(AND(Inputs!$B$4&lt;&gt;"pvp",Inputs!$B$35&gt;0),(((S687-1)*(Skills!T14*(1+Inputs!$B$33/100))+MIN((Skills!T14*(1+Inputs!$B$33/100)),MAX(0,Inputs!$B$35-((S687-1)*Skills!D14))))/Inputs!$B$35),IF(Inputs!$B$4="pvp",MIN((Skills!T14*(1+Inputs!$B$33/100)),15)/15,(Skills!T14*(1+Inputs!$B$33/100))/Skills!D14))))+Summary!$B$55*(Inputs!$B$20+Skills!Q5+((C690=TRUE)*F690*IF(AND(Inputs!$B$4&lt;&gt;"pvp",Inputs!$B$35&gt;0),(((S690-1)*(Skills!T17*(1+Inputs!$B$33/100))+MIN((Skills!T17*(1+Inputs!$B$33/100)),MAX(0,Inputs!$B$35-((S690-1)*Skills!D17))))/Inputs!$B$35),IF(Inputs!$B$4="pvp",MIN((Skills!T17*(1+Inputs!$B$33/100)),15)/15,(Skills!T17*(1+Inputs!$B$33/100))/Skills!D17)))))/100)*(1+Inputs!$B$15/100)*(5000/(6000+Inputs!$B$7*(1-(Inputs!$B$18+0)/100)))*(1+(Inputs!$B$23+((C698=TRUE)*(F698-Calc!F25))+((C699=TRUE)*(F699-Calc!F26))+B708)/100)*(1+(IF(Skills!A5="DARK_IMPALE",Inputs!$B$16+0,Inputs!$B$17+((C696=TRUE)*(F696-Calc!F23))))/100)*((1+(((C686=TRUE)*F686*IF(AND(Inputs!$B$4&lt;&gt;"pvp",Inputs!$B$35&gt;0),(((S686-1)*(Skills!T13*(1+Inputs!$B$33/100))+MIN((Skills!T13*(1+Inputs!$B$33/100)),MAX(0,Inputs!$B$35-((S686-1)*Skills!D13))))/Inputs!$B$35),IF(Inputs!$B$4="pvp",MIN((Skills!T13*(1+Inputs!$B$33/100)),15)/15,(Skills!T13*(1+Inputs!$B$33/100))/Skills!D13)))+((C687=TRUE)*F687*IF(AND(Inputs!$B$4&lt;&gt;"pvp",Inputs!$B$35&gt;0),(((S687-1)*(Skills!T14*(1+Inputs!$B$33/100))+MIN((Skills!T14*(1+Inputs!$B$33/100)),MAX(0,Inputs!$B$35-((S687-1)*Skills!D14))))/Inputs!$B$35),IF(Inputs!$B$4="pvp",MIN((Skills!T14*(1+Inputs!$B$33/100)),15)/15,(Skills!T14*(1+Inputs!$B$33/100))/Skills!D14)))+((C688=TRUE)*F688*IF(AND(Inputs!$B$4&lt;&gt;"pvp",Inputs!$B$35&gt;0),(((S688-1)*(Skills!T15*(1+Inputs!$B$33/100))+MIN((Skills!T15*(1+Inputs!$B$33/100)),MAX(0,Inputs!$B$35-((S688-1)*Skills!D15))))/Inputs!$B$35),IF(Inputs!$B$4="pvp",MIN((Skills!T15*(1+Inputs!$B$33/100)),15)/15,(Skills!T15*(1+Inputs!$B$33/100))/Skills!D15)))+((C689=TRUE)*F689*IF(AND(Inputs!$B$4&lt;&gt;"pvp",Inputs!$B$35&gt;0),(((S689-1)*(Skills!T16*(1+Inputs!$B$33/100))+MIN((Skills!T16*(1+Inputs!$B$33/100)),MAX(0,Inputs!$B$35-((S689-1)*Skills!D16))))/Inputs!$B$35),IF(Inputs!$B$4="pvp",MIN((Skills!T16*(1+Inputs!$B$33/100)),15)/15,(Skills!T16*(1+Inputs!$B$33/100))/Skills!D16)))+0)/100)*I678)</f>
        <v/>
      </c>
      <c r="L678">
        <f>K678*(MIN(Inputs!$B$21+((C695=TRUE)*(F695-Calc!F22)),Inputs!$B$22+((C697=TRUE)*(F697-Calc!F24)))/100+(Inputs!$B$22+((C697=TRUE)*(F697-Calc!F24)))/100)/2</f>
        <v/>
      </c>
      <c r="M678">
        <f>L678*(1+(Inputs!$B$9+0+B707)/100)</f>
        <v/>
      </c>
      <c r="N678">
        <f>L678*(1-MIN((Inputs!$B$8+0+B702),100)/100)+M678*(MIN((Inputs!$B$8+0+B702),100)/100)</f>
        <v/>
      </c>
      <c r="O678">
        <f>IF(C678,H678*N678*IF(AND(Inputs!$B$4&lt;&gt;"pvp",Inputs!$B$35&gt;0),((Skills!G5*((R678-1)*IF(Skills!H5&gt;0,Skills!I5/Skills!H5,1)+IF(Skills!H5&gt;0,MIN(Skills!I5,MAX(0,Inputs!$B$35-((R678-1)*IF(Inputs!$B$4="pvp",15,MAX(0.1,Skills!D5-IF(Skills!E5=TRUE,Inputs!$B$31,0))))))/Skills!H5,1)))/Inputs!$B$35),G678*Q678)*IF(Inputs!$B$4="pvp",1,(1-Summary!$B$55)*(1)+Summary!$B$55*(MIN(Skills!R5,Inputs!$B$37))),0)</f>
        <v/>
      </c>
      <c r="P678">
        <f>IF(B710=0,0,O678/B710)</f>
        <v/>
      </c>
      <c r="Q678">
        <f>IFERROR(1/IF(Inputs!$B$4="pvp",15,MAX(0.1,Skills!D5-IF(Skills!E5=TRUE,Inputs!$B$31,0))),0)</f>
        <v/>
      </c>
      <c r="R678">
        <f>IF(AND(Inputs!$B$4&lt;&gt;"pvp",Inputs!$B$35&gt;0),(INT(Inputs!$B$35/IF(Inputs!$B$4="pvp",15,MAX(0.1,Skills!D5-IF(Skills!E5=TRUE,Inputs!$B$31,0))))+1),0)</f>
        <v/>
      </c>
      <c r="S678">
        <f>IFERROR(O678/N678,0)</f>
        <v/>
      </c>
    </row>
    <row r="679">
      <c r="A679">
        <f>Skills!A6</f>
        <v/>
      </c>
      <c r="B679">
        <f>Skills!B6</f>
        <v/>
      </c>
      <c r="C679">
        <f>Inputs!$B$3&gt;=103</f>
        <v/>
      </c>
      <c r="D679">
        <f>IF(Skills!C6=1,60+(Inputs!$B$24+1)+Inputs!$B$28,IF(Skills!C6=2,90+Inputs!$B$25+Inputs!$B$28,IF(Skills!C6=3,120+Inputs!$B$26+Inputs!$B$28,MAX(0,(Inputs!$B$3-100)*3)+Inputs!$B$27+Inputs!$B$28)))</f>
        <v/>
      </c>
      <c r="E679">
        <f>INDEX(FactorTable!$B$2:$Y$301, MATCH(ROUND(MIN(300,MAX(1,D679)),0), FactorTable!$A$2:$A$301,0), Skills!M6+1)</f>
        <v/>
      </c>
      <c r="F679">
        <f>IF(Skills!N6=TRUE,(Skills!L6/10)*(E679/1000),Skills!L6/10)+Skills!O6</f>
        <v/>
      </c>
      <c r="G679">
        <f>Skills!G6*IF(Skills!H6&gt;0,Skills!I6/Skills!H6,1)</f>
        <v/>
      </c>
      <c r="H679">
        <f>1-(1-Skills!J6/100)^Skills!K6</f>
        <v/>
      </c>
      <c r="I679" t="inlineStr">
        <is>
          <t>1</t>
        </is>
      </c>
      <c r="J679">
        <f>(Inputs!$B$5*(1+Inputs!$B$6/100))*(F679/100)</f>
        <v/>
      </c>
      <c r="K679">
        <f>J679*(1+((Inputs!$B$11*(1+Inputs!$B$12/100))*0.01+Inputs!$B$13*0.0025)/100)*(1+Inputs!$B$14/100)*(1+IF(Inputs!$B$4="pvp",0,(1-Summary!$B$55)*(Inputs!$B$19+0+Skills!P6+((C690=TRUE)*F690*IF(AND(Inputs!$B$4&lt;&gt;"pvp",Inputs!$B$35&gt;0),(((S690-1)*(Skills!T17*(1+Inputs!$B$33/100))+MIN((Skills!T17*(1+Inputs!$B$33/100)),MAX(0,Inputs!$B$35-((S690-1)*Skills!D17))))/Inputs!$B$35),IF(Inputs!$B$4="pvp",MIN((Skills!T17*(1+Inputs!$B$33/100)),15)/15,(Skills!T17*(1+Inputs!$B$33/100))/Skills!D17)))+((C687=TRUE)*IF(Inputs!$B$4="pvp",20,(1-Summary!$B$55)*(20)+Summary!$B$55*(0))*IF(AND(Inputs!$B$4&lt;&gt;"pvp",Inputs!$B$35&gt;0),(((S687-1)*(Skills!T14*(1+Inputs!$B$33/100))+MIN((Skills!T14*(1+Inputs!$B$33/100)),MAX(0,Inputs!$B$35-((S687-1)*Skills!D14))))/Inputs!$B$35),IF(Inputs!$B$4="pvp",MIN((Skills!T14*(1+Inputs!$B$33/100)),15)/15,(Skills!T14*(1+Inputs!$B$33/100))/Skills!D14))))+Summary!$B$55*(Inputs!$B$20+Skills!Q6+((C690=TRUE)*F690*IF(AND(Inputs!$B$4&lt;&gt;"pvp",Inputs!$B$35&gt;0),(((S690-1)*(Skills!T17*(1+Inputs!$B$33/100))+MIN((Skills!T17*(1+Inputs!$B$33/100)),MAX(0,Inputs!$B$35-((S690-1)*Skills!D17))))/Inputs!$B$35),IF(Inputs!$B$4="pvp",MIN((Skills!T17*(1+Inputs!$B$33/100)),15)/15,(Skills!T17*(1+Inputs!$B$33/100))/Skills!D17)))))/100)*(1+Inputs!$B$15/100)*(5000/(6000+Inputs!$B$7*(1-(Inputs!$B$18+0)/100)))*(1+(Inputs!$B$23+((C698=TRUE)*(F698-Calc!F25))+((C699=TRUE)*(F699-Calc!F26))+B708)/100)*(1+(IF(Skills!A6="DARK_IMPALE",Inputs!$B$16+0,Inputs!$B$17+((C696=TRUE)*(F696-Calc!F23))))/100)*((1+(((C686=TRUE)*F686*IF(AND(Inputs!$B$4&lt;&gt;"pvp",Inputs!$B$35&gt;0),(((S686-1)*(Skills!T13*(1+Inputs!$B$33/100))+MIN((Skills!T13*(1+Inputs!$B$33/100)),MAX(0,Inputs!$B$35-((S686-1)*Skills!D13))))/Inputs!$B$35),IF(Inputs!$B$4="pvp",MIN((Skills!T13*(1+Inputs!$B$33/100)),15)/15,(Skills!T13*(1+Inputs!$B$33/100))/Skills!D13)))+((C687=TRUE)*F687*IF(AND(Inputs!$B$4&lt;&gt;"pvp",Inputs!$B$35&gt;0),(((S687-1)*(Skills!T14*(1+Inputs!$B$33/100))+MIN((Skills!T14*(1+Inputs!$B$33/100)),MAX(0,Inputs!$B$35-((S687-1)*Skills!D14))))/Inputs!$B$35),IF(Inputs!$B$4="pvp",MIN((Skills!T14*(1+Inputs!$B$33/100)),15)/15,(Skills!T14*(1+Inputs!$B$33/100))/Skills!D14)))+((C688=TRUE)*F688*IF(AND(Inputs!$B$4&lt;&gt;"pvp",Inputs!$B$35&gt;0),(((S688-1)*(Skills!T15*(1+Inputs!$B$33/100))+MIN((Skills!T15*(1+Inputs!$B$33/100)),MAX(0,Inputs!$B$35-((S688-1)*Skills!D15))))/Inputs!$B$35),IF(Inputs!$B$4="pvp",MIN((Skills!T15*(1+Inputs!$B$33/100)),15)/15,(Skills!T15*(1+Inputs!$B$33/100))/Skills!D15)))+((C689=TRUE)*F689*IF(AND(Inputs!$B$4&lt;&gt;"pvp",Inputs!$B$35&gt;0),(((S689-1)*(Skills!T16*(1+Inputs!$B$33/100))+MIN((Skills!T16*(1+Inputs!$B$33/100)),MAX(0,Inputs!$B$35-((S689-1)*Skills!D16))))/Inputs!$B$35),IF(Inputs!$B$4="pvp",MIN((Skills!T16*(1+Inputs!$B$33/100)),15)/15,(Skills!T16*(1+Inputs!$B$33/100))/Skills!D16)))+0)/100)*I679)</f>
        <v/>
      </c>
      <c r="L679">
        <f>K679*(MIN(Inputs!$B$21+((C695=TRUE)*(F695-Calc!F22)),Inputs!$B$22+((C697=TRUE)*(F697-Calc!F24)))/100+(Inputs!$B$22+((C697=TRUE)*(F697-Calc!F24)))/100)/2</f>
        <v/>
      </c>
      <c r="M679">
        <f>L679*(1+(Inputs!$B$9+0+B707)/100)</f>
        <v/>
      </c>
      <c r="N679">
        <f>L679*(1-MIN((Inputs!$B$8+0+B702),100)/100)+M679*(MIN((Inputs!$B$8+0+B702),100)/100)</f>
        <v/>
      </c>
      <c r="O679">
        <f>IF(C679,H679*N679*IF(AND(Inputs!$B$4&lt;&gt;"pvp",Inputs!$B$35&gt;0),((Skills!G6*((R679-1)*IF(Skills!H6&gt;0,Skills!I6/Skills!H6,1)+IF(Skills!H6&gt;0,MIN(Skills!I6,MAX(0,Inputs!$B$35-((R679-1)*IF(Inputs!$B$4="pvp",15,MAX(0.1,Skills!D6-IF(Skills!E6=TRUE,Inputs!$B$31,0))))))/Skills!H6,1)))/Inputs!$B$35),G679*Q679)*IF(Inputs!$B$4="pvp",1,(1-Summary!$B$55)*(1)+Summary!$B$55*(MIN(Skills!R6,Inputs!$B$37))),0)</f>
        <v/>
      </c>
      <c r="P679">
        <f>IF(B710=0,0,O679/B710)</f>
        <v/>
      </c>
      <c r="Q679">
        <f>IFERROR(1/IF(Inputs!$B$4="pvp",15,MAX(0.1,Skills!D6-IF(Skills!E6=TRUE,Inputs!$B$31,0))),0)</f>
        <v/>
      </c>
      <c r="R679">
        <f>IF(AND(Inputs!$B$4&lt;&gt;"pvp",Inputs!$B$35&gt;0),(INT(Inputs!$B$35/IF(Inputs!$B$4="pvp",15,MAX(0.1,Skills!D6-IF(Skills!E6=TRUE,Inputs!$B$31,0))))+1),0)</f>
        <v/>
      </c>
      <c r="S679">
        <f>IFERROR(O679/N679,0)</f>
        <v/>
      </c>
    </row>
    <row r="680">
      <c r="A680">
        <f>Skills!A7</f>
        <v/>
      </c>
      <c r="B680">
        <f>Skills!B7</f>
        <v/>
      </c>
      <c r="C680">
        <f>Inputs!$B$3&gt;=40</f>
        <v/>
      </c>
      <c r="D680">
        <f>IF(Skills!C7=1,60+(Inputs!$B$24+1)+Inputs!$B$28,IF(Skills!C7=2,90+Inputs!$B$25+Inputs!$B$28,IF(Skills!C7=3,120+Inputs!$B$26+Inputs!$B$28,MAX(0,(Inputs!$B$3-100)*3)+Inputs!$B$27+Inputs!$B$28)))</f>
        <v/>
      </c>
      <c r="E680">
        <f>INDEX(FactorTable!$B$2:$Y$301, MATCH(ROUND(MIN(300,MAX(1,D680)),0), FactorTable!$A$2:$A$301,0), Skills!M7+1)</f>
        <v/>
      </c>
      <c r="F680">
        <f>IF(Skills!N7=TRUE,(Skills!L7/10)*(E680/1000),Skills!L7/10)+Skills!O7</f>
        <v/>
      </c>
      <c r="G680">
        <f>Skills!G7*IF(Skills!H7&gt;0,Skills!I7/Skills!H7,1)</f>
        <v/>
      </c>
      <c r="H680">
        <f>1-(1-Skills!J7/100)^Skills!K7</f>
        <v/>
      </c>
      <c r="I680" t="inlineStr">
        <is>
          <t>1</t>
        </is>
      </c>
      <c r="J680">
        <f>(Inputs!$B$5*(1+Inputs!$B$6/100))*(F680/100)</f>
        <v/>
      </c>
      <c r="K680">
        <f>J680*(1+((Inputs!$B$11*(1+Inputs!$B$12/100))*0.01+Inputs!$B$13*0.0025)/100)*(1+Inputs!$B$14/100)*(1+IF(Inputs!$B$4="pvp",0,(1-Summary!$B$55)*(Inputs!$B$19+0+Skills!P7+((C690=TRUE)*F690*IF(AND(Inputs!$B$4&lt;&gt;"pvp",Inputs!$B$35&gt;0),(((S690-1)*(Skills!T17*(1+Inputs!$B$33/100))+MIN((Skills!T17*(1+Inputs!$B$33/100)),MAX(0,Inputs!$B$35-((S690-1)*Skills!D17))))/Inputs!$B$35),IF(Inputs!$B$4="pvp",MIN((Skills!T17*(1+Inputs!$B$33/100)),15)/15,(Skills!T17*(1+Inputs!$B$33/100))/Skills!D17)))+((C687=TRUE)*IF(Inputs!$B$4="pvp",20,(1-Summary!$B$55)*(20)+Summary!$B$55*(0))*IF(AND(Inputs!$B$4&lt;&gt;"pvp",Inputs!$B$35&gt;0),(((S687-1)*(Skills!T14*(1+Inputs!$B$33/100))+MIN((Skills!T14*(1+Inputs!$B$33/100)),MAX(0,Inputs!$B$35-((S687-1)*Skills!D14))))/Inputs!$B$35),IF(Inputs!$B$4="pvp",MIN((Skills!T14*(1+Inputs!$B$33/100)),15)/15,(Skills!T14*(1+Inputs!$B$33/100))/Skills!D14))))+Summary!$B$55*(Inputs!$B$20+Skills!Q7+((C690=TRUE)*F690*IF(AND(Inputs!$B$4&lt;&gt;"pvp",Inputs!$B$35&gt;0),(((S690-1)*(Skills!T17*(1+Inputs!$B$33/100))+MIN((Skills!T17*(1+Inputs!$B$33/100)),MAX(0,Inputs!$B$35-((S690-1)*Skills!D17))))/Inputs!$B$35),IF(Inputs!$B$4="pvp",MIN((Skills!T17*(1+Inputs!$B$33/100)),15)/15,(Skills!T17*(1+Inputs!$B$33/100))/Skills!D17)))))/100)*(1+Inputs!$B$15/100)*(5000/(6000+Inputs!$B$7*(1-(Inputs!$B$18+0)/100)))*(1+(Inputs!$B$23+((C698=TRUE)*(F698-Calc!F25))+((C699=TRUE)*(F699-Calc!F26))+B708)/100)*(1+0.75*IF(C684=TRUE,F684,0)/100)*(1+(IF(Skills!A7="DARK_IMPALE",Inputs!$B$16+0,Inputs!$B$17+((C696=TRUE)*(F696-Calc!F23))))/100)*((1+(((C686=TRUE)*F686*IF(AND(Inputs!$B$4&lt;&gt;"pvp",Inputs!$B$35&gt;0),(((S686-1)*(Skills!T13*(1+Inputs!$B$33/100))+MIN((Skills!T13*(1+Inputs!$B$33/100)),MAX(0,Inputs!$B$35-((S686-1)*Skills!D13))))/Inputs!$B$35),IF(Inputs!$B$4="pvp",MIN((Skills!T13*(1+Inputs!$B$33/100)),15)/15,(Skills!T13*(1+Inputs!$B$33/100))/Skills!D13)))+((C687=TRUE)*F687*IF(AND(Inputs!$B$4&lt;&gt;"pvp",Inputs!$B$35&gt;0),(((S687-1)*(Skills!T14*(1+Inputs!$B$33/100))+MIN((Skills!T14*(1+Inputs!$B$33/100)),MAX(0,Inputs!$B$35-((S687-1)*Skills!D14))))/Inputs!$B$35),IF(Inputs!$B$4="pvp",MIN((Skills!T14*(1+Inputs!$B$33/100)),15)/15,(Skills!T14*(1+Inputs!$B$33/100))/Skills!D14)))+((C688=TRUE)*F688*IF(AND(Inputs!$B$4&lt;&gt;"pvp",Inputs!$B$35&gt;0),(((S688-1)*(Skills!T15*(1+Inputs!$B$33/100))+MIN((Skills!T15*(1+Inputs!$B$33/100)),MAX(0,Inputs!$B$35-((S688-1)*Skills!D15))))/Inputs!$B$35),IF(Inputs!$B$4="pvp",MIN((Skills!T15*(1+Inputs!$B$33/100)),15)/15,(Skills!T15*(1+Inputs!$B$33/100))/Skills!D15)))+((C689=TRUE)*F689*IF(AND(Inputs!$B$4&lt;&gt;"pvp",Inputs!$B$35&gt;0),(((S689-1)*(Skills!T16*(1+Inputs!$B$33/100))+MIN((Skills!T16*(1+Inputs!$B$33/100)),MAX(0,Inputs!$B$35-((S689-1)*Skills!D16))))/Inputs!$B$35),IF(Inputs!$B$4="pvp",MIN((Skills!T16*(1+Inputs!$B$33/100)),15)/15,(Skills!T16*(1+Inputs!$B$33/100))/Skills!D16)))+0)/100)*I680)</f>
        <v/>
      </c>
      <c r="L680">
        <f>K680*(MIN(Inputs!$B$21+((C695=TRUE)*(F695-Calc!F22)),Inputs!$B$22+((C697=TRUE)*(F697-Calc!F24)))/100+(Inputs!$B$22+((C697=TRUE)*(F697-Calc!F24)))/100)/2</f>
        <v/>
      </c>
      <c r="M680">
        <f>L680*(1+(Inputs!$B$9+0+B707)/100)</f>
        <v/>
      </c>
      <c r="N680">
        <f>L680*(1-MIN((Inputs!$B$8+0+B702),100)/100)+M680*(MIN((Inputs!$B$8+0+B702),100)/100)</f>
        <v/>
      </c>
      <c r="O680">
        <f>IF(C680,H680*N680*IF(AND(Inputs!$B$4&lt;&gt;"pvp",Inputs!$B$35&gt;0),((Skills!G7*((R680-1)*IF(Skills!H7&gt;0,Skills!I7/Skills!H7,1)+IF(Skills!H7&gt;0,MIN(Skills!I7,MAX(0,Inputs!$B$35-((R680-1)*IF(Inputs!$B$4="pvp",15,MAX(0.1,Skills!D7-IF(Skills!E7=TRUE,Inputs!$B$31,0))))))/Skills!H7,1)))/Inputs!$B$35),G680*Q680)*IF(Inputs!$B$4="pvp",1,(1-Summary!$B$55)*(1)+Summary!$B$55*(MIN(Skills!R7,Inputs!$B$37))),0)</f>
        <v/>
      </c>
      <c r="P680">
        <f>IF(B710=0,0,O680/B710)</f>
        <v/>
      </c>
      <c r="Q680">
        <f>IFERROR(1/IF(Inputs!$B$4="pvp",15,MAX(0.1,Skills!D7-IF(Skills!E7=TRUE,Inputs!$B$31,0))),0)</f>
        <v/>
      </c>
      <c r="R680">
        <f>IF(AND(Inputs!$B$4&lt;&gt;"pvp",Inputs!$B$35&gt;0),(INT(Inputs!$B$35/IF(Inputs!$B$4="pvp",15,MAX(0.1,Skills!D7-IF(Skills!E7=TRUE,Inputs!$B$31,0))))+1),0)</f>
        <v/>
      </c>
      <c r="S680">
        <f>IFERROR(O680/N680,0)</f>
        <v/>
      </c>
    </row>
    <row r="681">
      <c r="A681">
        <f>Skills!A8</f>
        <v/>
      </c>
      <c r="B681">
        <f>Skills!B8</f>
        <v/>
      </c>
      <c r="C681">
        <f>Inputs!$B$3&gt;=75</f>
        <v/>
      </c>
      <c r="D681">
        <f>IF(Skills!C8=1,60+(Inputs!$B$24+1)+Inputs!$B$28,IF(Skills!C8=2,90+Inputs!$B$25+Inputs!$B$28,IF(Skills!C8=3,120+Inputs!$B$26+Inputs!$B$28,MAX(0,(Inputs!$B$3-100)*3)+Inputs!$B$27+Inputs!$B$28)))</f>
        <v/>
      </c>
      <c r="E681">
        <f>INDEX(FactorTable!$B$2:$Y$301, MATCH(ROUND(MIN(300,MAX(1,D681)),0), FactorTable!$A$2:$A$301,0), Skills!M8+1)</f>
        <v/>
      </c>
      <c r="F681">
        <f>IF(Skills!N8=TRUE,(Skills!L8/10)*(E681/1000),Skills!L8/10)+Skills!O8</f>
        <v/>
      </c>
      <c r="G681" t="inlineStr"/>
      <c r="H681" t="inlineStr"/>
      <c r="I681" t="inlineStr">
        <is>
          <t>1</t>
        </is>
      </c>
      <c r="J681" t="inlineStr"/>
      <c r="K681" t="inlineStr"/>
      <c r="L681" t="inlineStr"/>
      <c r="M681" t="inlineStr"/>
      <c r="N681" t="inlineStr"/>
      <c r="O681" t="inlineStr"/>
      <c r="P681" t="inlineStr"/>
      <c r="Q681" t="inlineStr"/>
      <c r="R681" t="inlineStr"/>
      <c r="S681" t="inlineStr"/>
    </row>
    <row r="682">
      <c r="A682">
        <f>Skills!A9</f>
        <v/>
      </c>
      <c r="B682">
        <f>Skills!B9</f>
        <v/>
      </c>
      <c r="C682">
        <f>Inputs!$B$3&gt;=60</f>
        <v/>
      </c>
      <c r="D682">
        <f>IF(Skills!C9=1,60+(Inputs!$B$24+1)+Inputs!$B$28,IF(Skills!C9=2,90+Inputs!$B$25+Inputs!$B$28,IF(Skills!C9=3,120+Inputs!$B$26+Inputs!$B$28,MAX(0,(Inputs!$B$3-100)*3)+Inputs!$B$27+Inputs!$B$28)))</f>
        <v/>
      </c>
      <c r="E682">
        <f>INDEX(FactorTable!$B$2:$Y$301, MATCH(ROUND(MIN(300,MAX(1,D682)),0), FactorTable!$A$2:$A$301,0), Skills!M9+1)</f>
        <v/>
      </c>
      <c r="F682">
        <f>IF(Skills!N9=TRUE,(Skills!L9/10)*(E682/1000),Skills!L9/10)+Skills!O9</f>
        <v/>
      </c>
      <c r="G682">
        <f>Skills!G9*IF(Skills!H9&gt;0,Skills!I9/Skills!H9,1)</f>
        <v/>
      </c>
      <c r="H682">
        <f>1-(1-Skills!J9/100)^Skills!K9</f>
        <v/>
      </c>
      <c r="I682" t="inlineStr">
        <is>
          <t>1</t>
        </is>
      </c>
      <c r="J682">
        <f>(Inputs!$B$5*(1+Inputs!$B$6/100))*(F682/100)</f>
        <v/>
      </c>
      <c r="K682">
        <f>J682*(1+((Inputs!$B$11*(1+Inputs!$B$12/100))*0.01+Inputs!$B$13*0.0025)/100)*(1+Inputs!$B$14/100)*(1+IF(Inputs!$B$4="pvp",0,(1-Summary!$B$55)*(Inputs!$B$19+0+Skills!P9+((C690=TRUE)*F690*IF(AND(Inputs!$B$4&lt;&gt;"pvp",Inputs!$B$35&gt;0),(((S690-1)*(Skills!T17*(1+Inputs!$B$33/100))+MIN((Skills!T17*(1+Inputs!$B$33/100)),MAX(0,Inputs!$B$35-((S690-1)*Skills!D17))))/Inputs!$B$35),IF(Inputs!$B$4="pvp",MIN((Skills!T17*(1+Inputs!$B$33/100)),15)/15,(Skills!T17*(1+Inputs!$B$33/100))/Skills!D17)))+((C687=TRUE)*IF(Inputs!$B$4="pvp",20,(1-Summary!$B$55)*(20)+Summary!$B$55*(0))*IF(AND(Inputs!$B$4&lt;&gt;"pvp",Inputs!$B$35&gt;0),(((S687-1)*(Skills!T14*(1+Inputs!$B$33/100))+MIN((Skills!T14*(1+Inputs!$B$33/100)),MAX(0,Inputs!$B$35-((S687-1)*Skills!D14))))/Inputs!$B$35),IF(Inputs!$B$4="pvp",MIN((Skills!T14*(1+Inputs!$B$33/100)),15)/15,(Skills!T14*(1+Inputs!$B$33/100))/Skills!D14))))+Summary!$B$55*(Inputs!$B$20+Skills!Q9+((C690=TRUE)*F690*IF(AND(Inputs!$B$4&lt;&gt;"pvp",Inputs!$B$35&gt;0),(((S690-1)*(Skills!T17*(1+Inputs!$B$33/100))+MIN((Skills!T17*(1+Inputs!$B$33/100)),MAX(0,Inputs!$B$35-((S690-1)*Skills!D17))))/Inputs!$B$35),IF(Inputs!$B$4="pvp",MIN((Skills!T17*(1+Inputs!$B$33/100)),15)/15,(Skills!T17*(1+Inputs!$B$33/100))/Skills!D17)))))/100)*(1+Inputs!$B$15/100)*(5000/(6000+Inputs!$B$7*(1-(Inputs!$B$18+0)/100)))*(1+(Inputs!$B$23+((C698=TRUE)*(F698-Calc!F25))+((C699=TRUE)*(F699-Calc!F26))+B708)/100)*(1+1.0*IF(C684=TRUE,F684,0)/100)*(1+(IF(Skills!A9="DARK_IMPALE",Inputs!$B$16+0,Inputs!$B$17+((C696=TRUE)*(F696-Calc!F23))))/100)*((1+(((C686=TRUE)*F686*IF(AND(Inputs!$B$4&lt;&gt;"pvp",Inputs!$B$35&gt;0),(((S686-1)*(Skills!T13*(1+Inputs!$B$33/100))+MIN((Skills!T13*(1+Inputs!$B$33/100)),MAX(0,Inputs!$B$35-((S686-1)*Skills!D13))))/Inputs!$B$35),IF(Inputs!$B$4="pvp",MIN((Skills!T13*(1+Inputs!$B$33/100)),15)/15,(Skills!T13*(1+Inputs!$B$33/100))/Skills!D13)))+((C687=TRUE)*F687*IF(AND(Inputs!$B$4&lt;&gt;"pvp",Inputs!$B$35&gt;0),(((S687-1)*(Skills!T14*(1+Inputs!$B$33/100))+MIN((Skills!T14*(1+Inputs!$B$33/100)),MAX(0,Inputs!$B$35-((S687-1)*Skills!D14))))/Inputs!$B$35),IF(Inputs!$B$4="pvp",MIN((Skills!T14*(1+Inputs!$B$33/100)),15)/15,(Skills!T14*(1+Inputs!$B$33/100))/Skills!D14)))+((C688=TRUE)*F688*IF(AND(Inputs!$B$4&lt;&gt;"pvp",Inputs!$B$35&gt;0),(((S688-1)*(Skills!T15*(1+Inputs!$B$33/100))+MIN((Skills!T15*(1+Inputs!$B$33/100)),MAX(0,Inputs!$B$35-((S688-1)*Skills!D15))))/Inputs!$B$35),IF(Inputs!$B$4="pvp",MIN((Skills!T15*(1+Inputs!$B$33/100)),15)/15,(Skills!T15*(1+Inputs!$B$33/100))/Skills!D15)))+((C689=TRUE)*F689*IF(AND(Inputs!$B$4&lt;&gt;"pvp",Inputs!$B$35&gt;0),(((S689-1)*(Skills!T16*(1+Inputs!$B$33/100))+MIN((Skills!T16*(1+Inputs!$B$33/100)),MAX(0,Inputs!$B$35-((S689-1)*Skills!D16))))/Inputs!$B$35),IF(Inputs!$B$4="pvp",MIN((Skills!T16*(1+Inputs!$B$33/100)),15)/15,(Skills!T16*(1+Inputs!$B$33/100))/Skills!D16)))+0)/100)*I682)</f>
        <v/>
      </c>
      <c r="L682">
        <f>K682*(MIN(Inputs!$B$21+((C695=TRUE)*(F695-Calc!F22)),Inputs!$B$22+((C697=TRUE)*(F697-Calc!F24)))/100+(Inputs!$B$22+((C697=TRUE)*(F697-Calc!F24)))/100)/2</f>
        <v/>
      </c>
      <c r="M682">
        <f>L682*(1+(Inputs!$B$9+0+B707)/100)</f>
        <v/>
      </c>
      <c r="N682">
        <f>L682*(1-MIN((Inputs!$B$8+0+B702),100)/100)+M682*(MIN((Inputs!$B$8+0+B702),100)/100)</f>
        <v/>
      </c>
      <c r="O682">
        <f>IF(C682,H682*N682*IF(AND(Inputs!$B$4&lt;&gt;"pvp",Inputs!$B$35&gt;0),((Skills!G9*((R682-1)*IF(Skills!H9&gt;0,Skills!I9/Skills!H9,1)+IF(Skills!H9&gt;0,MIN(Skills!I9,MAX(0,Inputs!$B$35-((R682-1)*IF(Inputs!$B$4="pvp",15,MAX(0.1,Skills!D9-IF(Skills!E9=TRUE,Inputs!$B$31,0))))))/Skills!H9,1)))/Inputs!$B$35),G682*Q682)*IF(Inputs!$B$4="pvp",1,(1-Summary!$B$55)*(1)+Summary!$B$55*(MIN(Skills!R9,Inputs!$B$37))),0)</f>
        <v/>
      </c>
      <c r="P682">
        <f>IF(B710=0,0,O682/B710)</f>
        <v/>
      </c>
      <c r="Q682">
        <f>IFERROR(1/IF(Inputs!$B$4="pvp",15,MAX(0.1,Skills!D9-IF(Skills!E9=TRUE,Inputs!$B$31,0))),0)</f>
        <v/>
      </c>
      <c r="R682">
        <f>IF(AND(Inputs!$B$4&lt;&gt;"pvp",Inputs!$B$35&gt;0),(INT(Inputs!$B$35/IF(Inputs!$B$4="pvp",15,MAX(0.1,Skills!D9-IF(Skills!E9=TRUE,Inputs!$B$31,0))))+1),0)</f>
        <v/>
      </c>
      <c r="S682">
        <f>IFERROR(O682/N682,0)</f>
        <v/>
      </c>
    </row>
    <row r="683">
      <c r="A683">
        <f>Skills!A10</f>
        <v/>
      </c>
      <c r="B683">
        <f>Skills!B10</f>
        <v/>
      </c>
      <c r="C683">
        <f>Inputs!$B$3&gt;=110</f>
        <v/>
      </c>
      <c r="D683">
        <f>IF(Skills!C10=1,60+(Inputs!$B$24+1)+Inputs!$B$28,IF(Skills!C10=2,90+Inputs!$B$25+Inputs!$B$28,IF(Skills!C10=3,120+Inputs!$B$26+Inputs!$B$28,MAX(0,(Inputs!$B$3-100)*3)+Inputs!$B$27+Inputs!$B$28)))</f>
        <v/>
      </c>
      <c r="E683">
        <f>INDEX(FactorTable!$B$2:$Y$301, MATCH(ROUND(MIN(300,MAX(1,D683)),0), FactorTable!$A$2:$A$301,0), Skills!M10+1)</f>
        <v/>
      </c>
      <c r="F683">
        <f>IF(Skills!N10=TRUE,(Skills!L10/10)*(E683/1000),Skills!L10/10)+Skills!O10</f>
        <v/>
      </c>
      <c r="G683">
        <f>Skills!G10*IF(Skills!H10&gt;0,Skills!I10/Skills!H10,1)</f>
        <v/>
      </c>
      <c r="H683">
        <f>1-(1-Skills!J10/100)^Skills!K10</f>
        <v/>
      </c>
      <c r="I683" t="inlineStr">
        <is>
          <t>1</t>
        </is>
      </c>
      <c r="J683">
        <f>(Inputs!$B$5*(1+Inputs!$B$6/100))*(F683/100)</f>
        <v/>
      </c>
      <c r="K683">
        <f>J683*(1+((Inputs!$B$11*(1+Inputs!$B$12/100))*0.01+Inputs!$B$13*0.0025)/100)*(1+Inputs!$B$14/100)*(1+IF(Inputs!$B$4="pvp",0,(1-Summary!$B$55)*(Inputs!$B$19+0+Skills!P10+((C690=TRUE)*F690*IF(AND(Inputs!$B$4&lt;&gt;"pvp",Inputs!$B$35&gt;0),(((S690-1)*(Skills!T17*(1+Inputs!$B$33/100))+MIN((Skills!T17*(1+Inputs!$B$33/100)),MAX(0,Inputs!$B$35-((S690-1)*Skills!D17))))/Inputs!$B$35),IF(Inputs!$B$4="pvp",MIN((Skills!T17*(1+Inputs!$B$33/100)),15)/15,(Skills!T17*(1+Inputs!$B$33/100))/Skills!D17)))+((C687=TRUE)*IF(Inputs!$B$4="pvp",20,(1-Summary!$B$55)*(20)+Summary!$B$55*(0))*IF(AND(Inputs!$B$4&lt;&gt;"pvp",Inputs!$B$35&gt;0),(((S687-1)*(Skills!T14*(1+Inputs!$B$33/100))+MIN((Skills!T14*(1+Inputs!$B$33/100)),MAX(0,Inputs!$B$35-((S687-1)*Skills!D14))))/Inputs!$B$35),IF(Inputs!$B$4="pvp",MIN((Skills!T14*(1+Inputs!$B$33/100)),15)/15,(Skills!T14*(1+Inputs!$B$33/100))/Skills!D14))))+Summary!$B$55*(Inputs!$B$20+Skills!Q10+((C690=TRUE)*F690*IF(AND(Inputs!$B$4&lt;&gt;"pvp",Inputs!$B$35&gt;0),(((S690-1)*(Skills!T17*(1+Inputs!$B$33/100))+MIN((Skills!T17*(1+Inputs!$B$33/100)),MAX(0,Inputs!$B$35-((S690-1)*Skills!D17))))/Inputs!$B$35),IF(Inputs!$B$4="pvp",MIN((Skills!T17*(1+Inputs!$B$33/100)),15)/15,(Skills!T17*(1+Inputs!$B$33/100))/Skills!D17)))))/100)*(1+Inputs!$B$15/100)*(5000/(6000+Inputs!$B$7*(1-(Inputs!$B$18+0)/100)))*(1+(Inputs!$B$23+((C698=TRUE)*(F698-Calc!F25))+((C699=TRUE)*(F699-Calc!F26))+B708)/100)*(1+(IF(Skills!A10="DARK_IMPALE",Inputs!$B$16+0,Inputs!$B$17+((C696=TRUE)*(F696-Calc!F23))))/100)*((1+(((C686=TRUE)*F686*IF(AND(Inputs!$B$4&lt;&gt;"pvp",Inputs!$B$35&gt;0),(((S686-1)*(Skills!T13*(1+Inputs!$B$33/100))+MIN((Skills!T13*(1+Inputs!$B$33/100)),MAX(0,Inputs!$B$35-((S686-1)*Skills!D13))))/Inputs!$B$35),IF(Inputs!$B$4="pvp",MIN((Skills!T13*(1+Inputs!$B$33/100)),15)/15,(Skills!T13*(1+Inputs!$B$33/100))/Skills!D13)))+((C687=TRUE)*F687*IF(AND(Inputs!$B$4&lt;&gt;"pvp",Inputs!$B$35&gt;0),(((S687-1)*(Skills!T14*(1+Inputs!$B$33/100))+MIN((Skills!T14*(1+Inputs!$B$33/100)),MAX(0,Inputs!$B$35-((S687-1)*Skills!D14))))/Inputs!$B$35),IF(Inputs!$B$4="pvp",MIN((Skills!T14*(1+Inputs!$B$33/100)),15)/15,(Skills!T14*(1+Inputs!$B$33/100))/Skills!D14)))+((C688=TRUE)*F688*IF(AND(Inputs!$B$4&lt;&gt;"pvp",Inputs!$B$35&gt;0),(((S688-1)*(Skills!T15*(1+Inputs!$B$33/100))+MIN((Skills!T15*(1+Inputs!$B$33/100)),MAX(0,Inputs!$B$35-((S688-1)*Skills!D15))))/Inputs!$B$35),IF(Inputs!$B$4="pvp",MIN((Skills!T15*(1+Inputs!$B$33/100)),15)/15,(Skills!T15*(1+Inputs!$B$33/100))/Skills!D15)))+((C689=TRUE)*F689*IF(AND(Inputs!$B$4&lt;&gt;"pvp",Inputs!$B$35&gt;0),(((S689-1)*(Skills!T16*(1+Inputs!$B$33/100))+MIN((Skills!T16*(1+Inputs!$B$33/100)),MAX(0,Inputs!$B$35-((S689-1)*Skills!D16))))/Inputs!$B$35),IF(Inputs!$B$4="pvp",MIN((Skills!T16*(1+Inputs!$B$33/100)),15)/15,(Skills!T16*(1+Inputs!$B$33/100))/Skills!D16)))+0)/100)*I683)</f>
        <v/>
      </c>
      <c r="L683">
        <f>K683*(MIN(Inputs!$B$21+((C695=TRUE)*(F695-Calc!F22)),Inputs!$B$22+((C697=TRUE)*(F697-Calc!F24)))/100+(Inputs!$B$22+((C697=TRUE)*(F697-Calc!F24)))/100)/2</f>
        <v/>
      </c>
      <c r="M683">
        <f>L683*(1+(Inputs!$B$9+0+B707)/100)</f>
        <v/>
      </c>
      <c r="N683">
        <f>L683*(1-MIN((Inputs!$B$8+0+B702),100)/100)+M683*(MIN((Inputs!$B$8+0+B702),100)/100)</f>
        <v/>
      </c>
      <c r="O683">
        <f>IF(C683,H683*N683*IF(AND(Inputs!$B$4&lt;&gt;"pvp",Inputs!$B$35&gt;0),((Skills!G10*((R683-1)*IF(Skills!H10&gt;0,Skills!I10/Skills!H10,1)+IF(Skills!H10&gt;0,MIN(Skills!I10,MAX(0,Inputs!$B$35-((R683-1)*IF(Inputs!$B$4="pvp",15,MAX(0.1,Skills!D10-IF(Skills!E10=TRUE,Inputs!$B$31,0))))))/Skills!H10,1)))/Inputs!$B$35),G683*Q683)*IF(Inputs!$B$4="pvp",1,(1-Summary!$B$55)*(1)+Summary!$B$55*(MIN(Skills!R10,Inputs!$B$37))),0)</f>
        <v/>
      </c>
      <c r="P683">
        <f>IF(B710=0,0,O683/B710)</f>
        <v/>
      </c>
      <c r="Q683">
        <f>IFERROR(1/IF(Inputs!$B$4="pvp",15,MAX(0.1,Skills!D10-IF(Skills!E10=TRUE,Inputs!$B$31,0))),0)</f>
        <v/>
      </c>
      <c r="R683">
        <f>IF(AND(Inputs!$B$4&lt;&gt;"pvp",Inputs!$B$35&gt;0),(INT(Inputs!$B$35/IF(Inputs!$B$4="pvp",15,MAX(0.1,Skills!D10-IF(Skills!E10=TRUE,Inputs!$B$31,0))))+1),0)</f>
        <v/>
      </c>
      <c r="S683">
        <f>IFERROR(O683/N683,0)</f>
        <v/>
      </c>
    </row>
    <row r="684">
      <c r="A684">
        <f>Skills!A11</f>
        <v/>
      </c>
      <c r="B684">
        <f>Skills!B11</f>
        <v/>
      </c>
      <c r="C684">
        <f>Inputs!$B$3&gt;=100</f>
        <v/>
      </c>
      <c r="D684">
        <f>IF(Skills!C11=1,60+(Inputs!$B$24+1)+Inputs!$B$28,IF(Skills!C11=2,90+Inputs!$B$25+Inputs!$B$28,IF(Skills!C11=3,120+Inputs!$B$26+Inputs!$B$28,MAX(0,(Inputs!$B$3-100)*3)+Inputs!$B$27+Inputs!$B$28)))</f>
        <v/>
      </c>
      <c r="E684">
        <f>INDEX(FactorTable!$B$2:$Y$301, MATCH(ROUND(MIN(300,MAX(1,D684)),0), FactorTable!$A$2:$A$301,0), Skills!M11+1)</f>
        <v/>
      </c>
      <c r="F684">
        <f>IF(Skills!N11=TRUE,(Skills!L11/10)*(E684/1000),Skills!L11/10)+Skills!O11</f>
        <v/>
      </c>
      <c r="G684" t="inlineStr"/>
      <c r="H684" t="inlineStr"/>
      <c r="I684" t="inlineStr">
        <is>
          <t>1</t>
        </is>
      </c>
      <c r="J684" t="inlineStr"/>
      <c r="K684" t="inlineStr"/>
      <c r="L684" t="inlineStr"/>
      <c r="M684" t="inlineStr"/>
      <c r="N684" t="inlineStr"/>
      <c r="O684" t="inlineStr"/>
      <c r="P684" t="inlineStr"/>
      <c r="Q684" t="inlineStr"/>
      <c r="R684" t="inlineStr"/>
      <c r="S684" t="inlineStr"/>
    </row>
    <row r="685">
      <c r="A685">
        <f>Skills!A12</f>
        <v/>
      </c>
      <c r="B685">
        <f>Skills!B12</f>
        <v/>
      </c>
      <c r="C685">
        <f>Inputs!$B$3&gt;=63</f>
        <v/>
      </c>
      <c r="D685">
        <f>IF(Skills!C12=1,60+(Inputs!$B$24+1)+Inputs!$B$28,IF(Skills!C12=2,90+Inputs!$B$25+Inputs!$B$28,IF(Skills!C12=3,120+Inputs!$B$26+Inputs!$B$28,MAX(0,(Inputs!$B$3-100)*3)+Inputs!$B$27+Inputs!$B$28)))</f>
        <v/>
      </c>
      <c r="E685">
        <f>INDEX(FactorTable!$B$2:$Y$301, MATCH(ROUND(MIN(300,MAX(1,D685)),0), FactorTable!$A$2:$A$301,0), Skills!M12+1)</f>
        <v/>
      </c>
      <c r="F685">
        <f>IF(Skills!N12=TRUE,(Skills!L12/10)*(E685/1000),Skills!L12/10)+Skills!O12</f>
        <v/>
      </c>
      <c r="G685">
        <f>Skills!G12*IF(Skills!H12&gt;0,Skills!I12/Skills!H12,1)</f>
        <v/>
      </c>
      <c r="H685">
        <f>1-(1-Skills!J12/100)^Skills!K12</f>
        <v/>
      </c>
      <c r="I685" t="inlineStr">
        <is>
          <t>1</t>
        </is>
      </c>
      <c r="J685">
        <f>(Inputs!$B$5*(1+Inputs!$B$6/100))*(F685/100)</f>
        <v/>
      </c>
      <c r="K685">
        <f>J685*(1+((Inputs!$B$11*(1+Inputs!$B$12/100))*0.01+Inputs!$B$13*0.0025)/100)*(1+Inputs!$B$14/100)*(1+IF(Inputs!$B$4="pvp",0,(1-Summary!$B$55)*(Inputs!$B$19+0+Skills!P12+((C690=TRUE)*F690*IF(AND(Inputs!$B$4&lt;&gt;"pvp",Inputs!$B$35&gt;0),(((S690-1)*(Skills!T17*(1+Inputs!$B$33/100))+MIN((Skills!T17*(1+Inputs!$B$33/100)),MAX(0,Inputs!$B$35-((S690-1)*Skills!D17))))/Inputs!$B$35),IF(Inputs!$B$4="pvp",MIN((Skills!T17*(1+Inputs!$B$33/100)),15)/15,(Skills!T17*(1+Inputs!$B$33/100))/Skills!D17)))+((C687=TRUE)*IF(Inputs!$B$4="pvp",20,(1-Summary!$B$55)*(20)+Summary!$B$55*(0))*IF(AND(Inputs!$B$4&lt;&gt;"pvp",Inputs!$B$35&gt;0),(((S687-1)*(Skills!T14*(1+Inputs!$B$33/100))+MIN((Skills!T14*(1+Inputs!$B$33/100)),MAX(0,Inputs!$B$35-((S687-1)*Skills!D14))))/Inputs!$B$35),IF(Inputs!$B$4="pvp",MIN((Skills!T14*(1+Inputs!$B$33/100)),15)/15,(Skills!T14*(1+Inputs!$B$33/100))/Skills!D14))))+Summary!$B$55*(Inputs!$B$20+Skills!Q12+((C690=TRUE)*F690*IF(AND(Inputs!$B$4&lt;&gt;"pvp",Inputs!$B$35&gt;0),(((S690-1)*(Skills!T17*(1+Inputs!$B$33/100))+MIN((Skills!T17*(1+Inputs!$B$33/100)),MAX(0,Inputs!$B$35-((S690-1)*Skills!D17))))/Inputs!$B$35),IF(Inputs!$B$4="pvp",MIN((Skills!T17*(1+Inputs!$B$33/100)),15)/15,(Skills!T17*(1+Inputs!$B$33/100))/Skills!D17)))))/100)*(1+Inputs!$B$15/100)*(5000/(6000+Inputs!$B$7*(1-(Inputs!$B$18+0)/100)))*(1+(Inputs!$B$23+((C698=TRUE)*(F698-Calc!F25))+((C699=TRUE)*(F699-Calc!F26))+B708)/100)*(1+0.75*IF(C684=TRUE,F684,0)/100)*(1+(IF(Skills!A12="DARK_IMPALE",Inputs!$B$16+0,Inputs!$B$17+((C696=TRUE)*(F696-Calc!F23))))/100)*((1+(((C686=TRUE)*F686*IF(AND(Inputs!$B$4&lt;&gt;"pvp",Inputs!$B$35&gt;0),(((S686-1)*(Skills!T13*(1+Inputs!$B$33/100))+MIN((Skills!T13*(1+Inputs!$B$33/100)),MAX(0,Inputs!$B$35-((S686-1)*Skills!D13))))/Inputs!$B$35),IF(Inputs!$B$4="pvp",MIN((Skills!T13*(1+Inputs!$B$33/100)),15)/15,(Skills!T13*(1+Inputs!$B$33/100))/Skills!D13)))+((C687=TRUE)*F687*IF(AND(Inputs!$B$4&lt;&gt;"pvp",Inputs!$B$35&gt;0),(((S687-1)*(Skills!T14*(1+Inputs!$B$33/100))+MIN((Skills!T14*(1+Inputs!$B$33/100)),MAX(0,Inputs!$B$35-((S687-1)*Skills!D14))))/Inputs!$B$35),IF(Inputs!$B$4="pvp",MIN((Skills!T14*(1+Inputs!$B$33/100)),15)/15,(Skills!T14*(1+Inputs!$B$33/100))/Skills!D14)))+((C688=TRUE)*F688*IF(AND(Inputs!$B$4&lt;&gt;"pvp",Inputs!$B$35&gt;0),(((S688-1)*(Skills!T15*(1+Inputs!$B$33/100))+MIN((Skills!T15*(1+Inputs!$B$33/100)),MAX(0,Inputs!$B$35-((S688-1)*Skills!D15))))/Inputs!$B$35),IF(Inputs!$B$4="pvp",MIN((Skills!T15*(1+Inputs!$B$33/100)),15)/15,(Skills!T15*(1+Inputs!$B$33/100))/Skills!D15)))+((C689=TRUE)*F689*IF(AND(Inputs!$B$4&lt;&gt;"pvp",Inputs!$B$35&gt;0),(((S689-1)*(Skills!T16*(1+Inputs!$B$33/100))+MIN((Skills!T16*(1+Inputs!$B$33/100)),MAX(0,Inputs!$B$35-((S689-1)*Skills!D16))))/Inputs!$B$35),IF(Inputs!$B$4="pvp",MIN((Skills!T16*(1+Inputs!$B$33/100)),15)/15,(Skills!T16*(1+Inputs!$B$33/100))/Skills!D16)))+0)/100)*I685)</f>
        <v/>
      </c>
      <c r="L685">
        <f>K685*(MIN(Inputs!$B$21+((C695=TRUE)*(F695-Calc!F22)),Inputs!$B$22+((C697=TRUE)*(F697-Calc!F24)))/100+(Inputs!$B$22+((C697=TRUE)*(F697-Calc!F24)))/100)/2</f>
        <v/>
      </c>
      <c r="M685">
        <f>L685*(1+(Inputs!$B$9+0+B707)/100)</f>
        <v/>
      </c>
      <c r="N685">
        <f>L685*(1-MIN((Inputs!$B$8+0+B702),100)/100)+M685*(MIN((Inputs!$B$8+0+B702),100)/100)</f>
        <v/>
      </c>
      <c r="O685">
        <f>IF(C685,H685*N685*IF(AND(Inputs!$B$4&lt;&gt;"pvp",Inputs!$B$35&gt;0),((Skills!G12*((R685-1)*IF(Skills!H12&gt;0,Skills!I12/Skills!H12,1)+IF(Skills!H12&gt;0,MIN(Skills!I12,MAX(0,Inputs!$B$35-((R685-1)*IF(Inputs!$B$4="pvp",15,MAX(0.1,Skills!D12-IF(Skills!E12=TRUE,Inputs!$B$31,0))))))/Skills!H12,1)))/Inputs!$B$35),G685*Q685)*IF(Inputs!$B$4="pvp",1,(1-Summary!$B$55)*(1)+Summary!$B$55*(MIN(Skills!R12,Inputs!$B$37))),0)</f>
        <v/>
      </c>
      <c r="P685">
        <f>IF(B710=0,0,O685/B710)</f>
        <v/>
      </c>
      <c r="Q685">
        <f>IFERROR(1/IF(Inputs!$B$4="pvp",15,MAX(0.1,Skills!D12-IF(Skills!E12=TRUE,Inputs!$B$31,0))),0)</f>
        <v/>
      </c>
      <c r="R685">
        <f>IF(AND(Inputs!$B$4&lt;&gt;"pvp",Inputs!$B$35&gt;0),(INT(Inputs!$B$35/IF(Inputs!$B$4="pvp",15,MAX(0.1,Skills!D12-IF(Skills!E12=TRUE,Inputs!$B$31,0))))+1),0)</f>
        <v/>
      </c>
      <c r="S685">
        <f>IFERROR(O685/N685,0)</f>
        <v/>
      </c>
    </row>
    <row r="686">
      <c r="A686">
        <f>Skills!A13</f>
        <v/>
      </c>
      <c r="B686">
        <f>Skills!B13</f>
        <v/>
      </c>
      <c r="C686">
        <f>Inputs!$B$3&gt;=69</f>
        <v/>
      </c>
      <c r="D686">
        <f>IF(Skills!C13=1,60+(Inputs!$B$24+1)+Inputs!$B$28,IF(Skills!C13=2,90+Inputs!$B$25+Inputs!$B$28,IF(Skills!C13=3,120+Inputs!$B$26+Inputs!$B$28,MAX(0,(Inputs!$B$3-100)*3)+Inputs!$B$27+Inputs!$B$28)))</f>
        <v/>
      </c>
      <c r="E686">
        <f>INDEX(FactorTable!$B$2:$Y$301, MATCH(ROUND(MIN(300,MAX(1,D686)),0), FactorTable!$A$2:$A$301,0), Skills!M13+1)</f>
        <v/>
      </c>
      <c r="F686">
        <f>IF(Skills!N13=TRUE,(Skills!L13/10)*(E686/1000),Skills!L13/10)+Skills!O13</f>
        <v/>
      </c>
      <c r="G686">
        <f>Skills!G13*IF(Skills!H13&gt;0,Skills!I13/Skills!H13,1)</f>
        <v/>
      </c>
      <c r="H686">
        <f>1-(1-Skills!J13/100)^Skills!K13</f>
        <v/>
      </c>
      <c r="I686" t="inlineStr">
        <is>
          <t>1</t>
        </is>
      </c>
      <c r="J686" t="inlineStr"/>
      <c r="K686" t="inlineStr"/>
      <c r="L686" t="inlineStr"/>
      <c r="M686" t="inlineStr"/>
      <c r="N686" t="inlineStr"/>
      <c r="O686" t="n">
        <v>0</v>
      </c>
      <c r="P686">
        <f>IF(B710=0,0,O686/B710)</f>
        <v/>
      </c>
      <c r="Q686">
        <f>IFERROR(1/IF(Inputs!$B$4="pvp",15,MAX(0.1,Skills!D13-IF(Skills!E13=TRUE,Inputs!$B$31,0))),0)</f>
        <v/>
      </c>
      <c r="R686">
        <f>IF(AND(Inputs!$B$4&lt;&gt;"pvp",Inputs!$B$35&gt;0),(INT(Inputs!$B$35/IF(Inputs!$B$4="pvp",15,MAX(0.1,Skills!D13-IF(Skills!E13=TRUE,Inputs!$B$31,0))))+1),0)</f>
        <v/>
      </c>
      <c r="S686">
        <f>IFERROR(O686/N686,0)</f>
        <v/>
      </c>
    </row>
    <row r="687">
      <c r="A687">
        <f>Skills!A14</f>
        <v/>
      </c>
      <c r="B687">
        <f>Skills!B14</f>
        <v/>
      </c>
      <c r="C687">
        <f>Inputs!$B$3&gt;=115</f>
        <v/>
      </c>
      <c r="D687">
        <f>IF(Skills!C14=1,60+(Inputs!$B$24+1)+Inputs!$B$28,IF(Skills!C14=2,90+Inputs!$B$25+Inputs!$B$28,IF(Skills!C14=3,120+Inputs!$B$26+Inputs!$B$28,MAX(0,(Inputs!$B$3-100)*3)+Inputs!$B$27+Inputs!$B$28)))</f>
        <v/>
      </c>
      <c r="E687">
        <f>INDEX(FactorTable!$B$2:$Y$301, MATCH(ROUND(MIN(300,MAX(1,D687)),0), FactorTable!$A$2:$A$301,0), Skills!M14+1)</f>
        <v/>
      </c>
      <c r="F687">
        <f>IF(Skills!N14=TRUE,(Skills!L14/10)*(E687/1000),Skills!L14/10)+Skills!O14</f>
        <v/>
      </c>
      <c r="G687">
        <f>Skills!G14*IF(Skills!H14&gt;0,Skills!I14/Skills!H14,1)</f>
        <v/>
      </c>
      <c r="H687">
        <f>1-(1-Skills!J14/100)^Skills!K14</f>
        <v/>
      </c>
      <c r="I687" t="inlineStr">
        <is>
          <t>1</t>
        </is>
      </c>
      <c r="J687" t="inlineStr"/>
      <c r="K687" t="inlineStr"/>
      <c r="L687" t="inlineStr"/>
      <c r="M687" t="inlineStr"/>
      <c r="N687" t="inlineStr"/>
      <c r="O687" t="n">
        <v>0</v>
      </c>
      <c r="P687">
        <f>IF(B710=0,0,O687/B710)</f>
        <v/>
      </c>
      <c r="Q687">
        <f>IFERROR(1/IF(Inputs!$B$4="pvp",15,MAX(0.1,Skills!D14-IF(Skills!E14=TRUE,Inputs!$B$31,0))),0)</f>
        <v/>
      </c>
      <c r="R687">
        <f>IF(AND(Inputs!$B$4&lt;&gt;"pvp",Inputs!$B$35&gt;0),(INT(Inputs!$B$35/IF(Inputs!$B$4="pvp",15,MAX(0.1,Skills!D14-IF(Skills!E14=TRUE,Inputs!$B$31,0))))+1),0)</f>
        <v/>
      </c>
      <c r="S687">
        <f>IFERROR(O687/N687,0)</f>
        <v/>
      </c>
    </row>
    <row r="688">
      <c r="A688">
        <f>Skills!A15</f>
        <v/>
      </c>
      <c r="B688">
        <f>Skills!B15</f>
        <v/>
      </c>
      <c r="C688">
        <f>Inputs!$B$3&gt;=66</f>
        <v/>
      </c>
      <c r="D688">
        <f>IF(Skills!C15=1,60+(Inputs!$B$24+1)+Inputs!$B$28,IF(Skills!C15=2,90+Inputs!$B$25+Inputs!$B$28,IF(Skills!C15=3,120+Inputs!$B$26+Inputs!$B$28,MAX(0,(Inputs!$B$3-100)*3)+Inputs!$B$27+Inputs!$B$28)))</f>
        <v/>
      </c>
      <c r="E688">
        <f>INDEX(FactorTable!$B$2:$Y$301, MATCH(ROUND(MIN(300,MAX(1,D688)),0), FactorTable!$A$2:$A$301,0), Skills!M15+1)</f>
        <v/>
      </c>
      <c r="F688">
        <f>IF(Skills!N15=TRUE,(Skills!L15/10)*(E688/1000),Skills!L15/10)+Skills!O15</f>
        <v/>
      </c>
      <c r="G688">
        <f>Skills!G15*IF(Skills!H15&gt;0,Skills!I15/Skills!H15,1)</f>
        <v/>
      </c>
      <c r="H688">
        <f>1-(1-Skills!J15/100)^Skills!K15</f>
        <v/>
      </c>
      <c r="I688" t="inlineStr">
        <is>
          <t>1</t>
        </is>
      </c>
      <c r="J688" t="inlineStr"/>
      <c r="K688" t="inlineStr"/>
      <c r="L688" t="inlineStr"/>
      <c r="M688" t="inlineStr"/>
      <c r="N688" t="inlineStr"/>
      <c r="O688" t="n">
        <v>0</v>
      </c>
      <c r="P688">
        <f>IF(B710=0,0,O688/B710)</f>
        <v/>
      </c>
      <c r="Q688">
        <f>IFERROR(1/IF(Inputs!$B$4="pvp",15,MAX(0.1,Skills!D15-IF(Skills!E15=TRUE,Inputs!$B$31,0))),0)</f>
        <v/>
      </c>
      <c r="R688">
        <f>IF(AND(Inputs!$B$4&lt;&gt;"pvp",Inputs!$B$35&gt;0),(INT(Inputs!$B$35/IF(Inputs!$B$4="pvp",15,MAX(0.1,Skills!D15-IF(Skills!E15=TRUE,Inputs!$B$31,0))))+1),0)</f>
        <v/>
      </c>
      <c r="S688">
        <f>IFERROR(O688/N688,0)</f>
        <v/>
      </c>
    </row>
    <row r="689">
      <c r="A689">
        <f>Skills!A16</f>
        <v/>
      </c>
      <c r="B689">
        <f>Skills!B16</f>
        <v/>
      </c>
      <c r="C689">
        <f>Inputs!$B$3&gt;=45</f>
        <v/>
      </c>
      <c r="D689">
        <f>IF(Skills!C16=1,60+(Inputs!$B$24+1)+Inputs!$B$28,IF(Skills!C16=2,90+Inputs!$B$25+Inputs!$B$28,IF(Skills!C16=3,120+Inputs!$B$26+Inputs!$B$28,MAX(0,(Inputs!$B$3-100)*3)+Inputs!$B$27+Inputs!$B$28)))</f>
        <v/>
      </c>
      <c r="E689">
        <f>INDEX(FactorTable!$B$2:$Y$301, MATCH(ROUND(MIN(300,MAX(1,D689)),0), FactorTable!$A$2:$A$301,0), Skills!M16+1)</f>
        <v/>
      </c>
      <c r="F689">
        <f>IF(Skills!N16=TRUE,(Skills!L16/10)*(E689/1000),Skills!L16/10)+Skills!O16</f>
        <v/>
      </c>
      <c r="G689">
        <f>Skills!G16*IF(Skills!H16&gt;0,Skills!I16/Skills!H16,1)</f>
        <v/>
      </c>
      <c r="H689">
        <f>1-(1-Skills!J16/100)^Skills!K16</f>
        <v/>
      </c>
      <c r="I689" t="inlineStr">
        <is>
          <t>1</t>
        </is>
      </c>
      <c r="J689" t="inlineStr"/>
      <c r="K689" t="inlineStr"/>
      <c r="L689" t="inlineStr"/>
      <c r="M689" t="inlineStr"/>
      <c r="N689" t="inlineStr"/>
      <c r="O689" t="n">
        <v>0</v>
      </c>
      <c r="P689">
        <f>IF(B710=0,0,O689/B710)</f>
        <v/>
      </c>
      <c r="Q689">
        <f>IFERROR(1/IF(Inputs!$B$4="pvp",15,MAX(0.1,Skills!D16-IF(Skills!E16=TRUE,Inputs!$B$31,0))),0)</f>
        <v/>
      </c>
      <c r="R689">
        <f>IF(AND(Inputs!$B$4&lt;&gt;"pvp",Inputs!$B$35&gt;0),(INT(Inputs!$B$35/IF(Inputs!$B$4="pvp",15,MAX(0.1,Skills!D16-IF(Skills!E16=TRUE,Inputs!$B$31,0))))+1),0)</f>
        <v/>
      </c>
      <c r="S689">
        <f>IFERROR(O689/N689,0)</f>
        <v/>
      </c>
    </row>
    <row r="690">
      <c r="A690">
        <f>Skills!A17</f>
        <v/>
      </c>
      <c r="B690">
        <f>Skills!B17</f>
        <v/>
      </c>
      <c r="C690">
        <f>Inputs!$B$3&gt;=35</f>
        <v/>
      </c>
      <c r="D690">
        <f>IF(Skills!C17=1,60+(Inputs!$B$24+1)+Inputs!$B$28,IF(Skills!C17=2,90+Inputs!$B$25+Inputs!$B$28,IF(Skills!C17=3,120+Inputs!$B$26+Inputs!$B$28,MAX(0,(Inputs!$B$3-100)*3)+Inputs!$B$27+Inputs!$B$28)))</f>
        <v/>
      </c>
      <c r="E690">
        <f>INDEX(FactorTable!$B$2:$Y$301, MATCH(ROUND(MIN(300,MAX(1,D690)),0), FactorTable!$A$2:$A$301,0), Skills!M17+1)</f>
        <v/>
      </c>
      <c r="F690">
        <f>IF(Skills!N17=TRUE,(Skills!L17/10)*(E690/1000),Skills!L17/10)+Skills!O17</f>
        <v/>
      </c>
      <c r="G690">
        <f>Skills!G17*IF(Skills!H17&gt;0,Skills!I17/Skills!H17,1)</f>
        <v/>
      </c>
      <c r="H690">
        <f>1-(1-Skills!J17/100)^Skills!K17</f>
        <v/>
      </c>
      <c r="I690" t="inlineStr">
        <is>
          <t>1</t>
        </is>
      </c>
      <c r="J690" t="inlineStr"/>
      <c r="K690" t="inlineStr"/>
      <c r="L690" t="inlineStr"/>
      <c r="M690" t="inlineStr"/>
      <c r="N690" t="inlineStr"/>
      <c r="O690" t="n">
        <v>0</v>
      </c>
      <c r="P690">
        <f>IF(B710=0,0,O690/B710)</f>
        <v/>
      </c>
      <c r="Q690">
        <f>IFERROR(1/IF(Inputs!$B$4="pvp",15,MAX(0.1,Skills!D17-IF(Skills!E17=TRUE,Inputs!$B$31,0))),0)</f>
        <v/>
      </c>
      <c r="R690">
        <f>IF(AND(Inputs!$B$4&lt;&gt;"pvp",Inputs!$B$35&gt;0),(INT(Inputs!$B$35/IF(Inputs!$B$4="pvp",15,MAX(0.1,Skills!D17-IF(Skills!E17=TRUE,Inputs!$B$31,0))))+1),0)</f>
        <v/>
      </c>
      <c r="S690">
        <f>IFERROR(O690/N690,0)</f>
        <v/>
      </c>
    </row>
    <row r="691">
      <c r="A691">
        <f>Skills!A18</f>
        <v/>
      </c>
      <c r="B691">
        <f>Skills!B18</f>
        <v/>
      </c>
      <c r="C691">
        <f>Inputs!$B$3&gt;=72</f>
        <v/>
      </c>
      <c r="D691">
        <f>IF(Skills!C18=1,60+(Inputs!$B$24+1)+Inputs!$B$28,IF(Skills!C18=2,90+Inputs!$B$25+Inputs!$B$28,IF(Skills!C18=3,120+Inputs!$B$26+Inputs!$B$28,MAX(0,(Inputs!$B$3-100)*3)+Inputs!$B$27+Inputs!$B$28)))</f>
        <v/>
      </c>
      <c r="E691">
        <f>INDEX(FactorTable!$B$2:$Y$301, MATCH(ROUND(MIN(300,MAX(1,D691)),0), FactorTable!$A$2:$A$301,0), Skills!M18+1)</f>
        <v/>
      </c>
      <c r="F691">
        <f>IF(Skills!N18=TRUE,(Skills!L18/10)*(E691/1000),Skills!L18/10)+Skills!O18</f>
        <v/>
      </c>
      <c r="G691">
        <f>Skills!G18*IF(Skills!H18&gt;0,Skills!I18/Skills!H18,1)</f>
        <v/>
      </c>
      <c r="H691">
        <f>1-(1-Skills!J18/100)^Skills!K18</f>
        <v/>
      </c>
      <c r="I691" t="inlineStr">
        <is>
          <t>1</t>
        </is>
      </c>
      <c r="J691" t="inlineStr"/>
      <c r="K691" t="inlineStr"/>
      <c r="L691" t="inlineStr"/>
      <c r="M691" t="inlineStr"/>
      <c r="N691" t="inlineStr"/>
      <c r="O691" t="n">
        <v>0</v>
      </c>
      <c r="P691">
        <f>IF(B710=0,0,O691/B710)</f>
        <v/>
      </c>
      <c r="Q691">
        <f>IFERROR(1/IF(Inputs!$B$4="pvp",15,MAX(0.1,Skills!D18-IF(Skills!E18=TRUE,Inputs!$B$31,0))),0)</f>
        <v/>
      </c>
      <c r="R691">
        <f>IF(AND(Inputs!$B$4&lt;&gt;"pvp",Inputs!$B$35&gt;0),(INT(Inputs!$B$35/IF(Inputs!$B$4="pvp",15,MAX(0.1,Skills!D18-IF(Skills!E18=TRUE,Inputs!$B$31,0))))+1),0)</f>
        <v/>
      </c>
      <c r="S691">
        <f>IFERROR(O691/N691,0)</f>
        <v/>
      </c>
    </row>
    <row r="692">
      <c r="A692">
        <f>Skills!A19</f>
        <v/>
      </c>
      <c r="B692">
        <f>Skills!B19</f>
        <v/>
      </c>
      <c r="C692">
        <f>Inputs!$B$3&gt;=72</f>
        <v/>
      </c>
      <c r="D692">
        <f>IF(Skills!C19=1,60+(Inputs!$B$24+1)+Inputs!$B$28,IF(Skills!C19=2,90+Inputs!$B$25+Inputs!$B$28,IF(Skills!C19=3,120+Inputs!$B$26+Inputs!$B$28,MAX(0,(Inputs!$B$3-100)*3)+Inputs!$B$27+Inputs!$B$28)))</f>
        <v/>
      </c>
      <c r="E692">
        <f>INDEX(FactorTable!$B$2:$Y$301, MATCH(ROUND(MIN(300,MAX(1,D692)),0), FactorTable!$A$2:$A$301,0), Skills!M19+1)</f>
        <v/>
      </c>
      <c r="F692">
        <f>IF(Skills!N19=TRUE,(Skills!L19/10)*(E692/1000),Skills!L19/10)+Skills!O19</f>
        <v/>
      </c>
      <c r="G692">
        <f>Skills!G19*IF(Skills!H19&gt;0,Skills!I19/Skills!H19,1)</f>
        <v/>
      </c>
      <c r="H692">
        <f>1-(1-Skills!J19/100)^Skills!K19</f>
        <v/>
      </c>
      <c r="I692" t="inlineStr">
        <is>
          <t>1</t>
        </is>
      </c>
      <c r="J692" t="inlineStr"/>
      <c r="K692" t="inlineStr"/>
      <c r="L692" t="inlineStr"/>
      <c r="M692" t="inlineStr"/>
      <c r="N692" t="inlineStr"/>
      <c r="O692" t="n">
        <v>0</v>
      </c>
      <c r="P692">
        <f>IF(B710=0,0,O692/B710)</f>
        <v/>
      </c>
      <c r="Q692">
        <f>IFERROR(1/IF(Inputs!$B$4="pvp",15,MAX(0.1,Skills!D19-IF(Skills!E19=TRUE,Inputs!$B$31,0))),0)</f>
        <v/>
      </c>
      <c r="R692">
        <f>IF(AND(Inputs!$B$4&lt;&gt;"pvp",Inputs!$B$35&gt;0),(INT(Inputs!$B$35/IF(Inputs!$B$4="pvp",15,MAX(0.1,Skills!D19-IF(Skills!E19=TRUE,Inputs!$B$31,0))))+1),0)</f>
        <v/>
      </c>
      <c r="S692">
        <f>IFERROR(O692/N692,0)</f>
        <v/>
      </c>
    </row>
    <row r="693">
      <c r="A693">
        <f>Skills!A20</f>
        <v/>
      </c>
      <c r="B693">
        <f>Skills!B20</f>
        <v/>
      </c>
      <c r="C693">
        <f>TRUE</f>
        <v/>
      </c>
      <c r="D693">
        <f>IF(Skills!C20=1,60+(Inputs!$B$24+1)+Inputs!$B$28,IF(Skills!C20=2,90+Inputs!$B$25+Inputs!$B$28,IF(Skills!C20=3,120+Inputs!$B$26+Inputs!$B$28,MAX(0,(Inputs!$B$3-100)*3)+Inputs!$B$27+Inputs!$B$28)))</f>
        <v/>
      </c>
      <c r="E693">
        <f>INDEX(FactorTable!$B$2:$Y$301, MATCH(ROUND(MIN(300,MAX(1,D693)),0), FactorTable!$A$2:$A$301,0), Skills!M20+1)</f>
        <v/>
      </c>
      <c r="F693">
        <f>IF(Skills!N20=TRUE,(Skills!L20/10)*(E693/1000),Skills!L20/10)+Skills!O20</f>
        <v/>
      </c>
      <c r="G693">
        <f>Skills!G20*IF(Skills!H20&gt;0,Skills!I20/Skills!H20,1)</f>
        <v/>
      </c>
      <c r="H693">
        <f>1-(1-Skills!J20/100)^Skills!K20</f>
        <v/>
      </c>
      <c r="I693" t="inlineStr">
        <is>
          <t>1</t>
        </is>
      </c>
      <c r="J693" t="inlineStr"/>
      <c r="K693" t="inlineStr"/>
      <c r="L693" t="inlineStr"/>
      <c r="M693" t="inlineStr"/>
      <c r="N693" t="inlineStr"/>
      <c r="O693" t="n">
        <v>0</v>
      </c>
      <c r="P693">
        <f>IF(B710=0,0,O693/B710)</f>
        <v/>
      </c>
      <c r="Q693">
        <f>IFERROR(1/IF(Inputs!$B$4="pvp",15,MAX(0.1,Skills!D20-IF(Skills!E20=TRUE,Inputs!$B$31,0))),0)</f>
        <v/>
      </c>
      <c r="R693">
        <f>IF(AND(Inputs!$B$4&lt;&gt;"pvp",Inputs!$B$35&gt;0),(INT(Inputs!$B$35/IF(Inputs!$B$4="pvp",15,MAX(0.1,Skills!D20-IF(Skills!E20=TRUE,Inputs!$B$31,0))))+1),0)</f>
        <v/>
      </c>
      <c r="S693">
        <f>IFERROR(O693/N693,0)</f>
        <v/>
      </c>
    </row>
    <row r="694">
      <c r="A694">
        <f>Skills!A21</f>
        <v/>
      </c>
      <c r="B694">
        <f>Skills!B21</f>
        <v/>
      </c>
      <c r="C694">
        <f>Inputs!$B$3&gt;=33</f>
        <v/>
      </c>
      <c r="D694">
        <f>IF(Skills!C21=1,60+(Inputs!$B$24+1)+Inputs!$B$28,IF(Skills!C21=2,90+Inputs!$B$25+Inputs!$B$28,IF(Skills!C21=3,120+Inputs!$B$26+Inputs!$B$28,MAX(0,(Inputs!$B$3-100)*3)+Inputs!$B$27+Inputs!$B$28)))</f>
        <v/>
      </c>
      <c r="E694">
        <f>INDEX(FactorTable!$B$2:$Y$301, MATCH(ROUND(MIN(300,MAX(1,D694)),0), FactorTable!$A$2:$A$301,0), Skills!M21+1)</f>
        <v/>
      </c>
      <c r="F694">
        <f>IF(Skills!N21=TRUE,(Skills!L21/10)*(E694/1000),Skills!L21/10)+Skills!O21</f>
        <v/>
      </c>
      <c r="G694">
        <f>Skills!G21*IF(Skills!H21&gt;0,Skills!I21/Skills!H21,1)</f>
        <v/>
      </c>
      <c r="H694">
        <f>1-(1-Skills!J21/100)^Skills!K21</f>
        <v/>
      </c>
      <c r="I694" t="inlineStr">
        <is>
          <t>1</t>
        </is>
      </c>
      <c r="J694" t="inlineStr"/>
      <c r="K694" t="inlineStr"/>
      <c r="L694" t="inlineStr"/>
      <c r="M694" t="inlineStr"/>
      <c r="N694" t="inlineStr"/>
      <c r="O694" t="n">
        <v>0</v>
      </c>
      <c r="P694">
        <f>IF(B710=0,0,O694/B710)</f>
        <v/>
      </c>
      <c r="Q694" t="n">
        <v>0</v>
      </c>
      <c r="R694" t="n">
        <v>0</v>
      </c>
      <c r="S694">
        <f>IFERROR(O694/N694,0)</f>
        <v/>
      </c>
    </row>
    <row r="695">
      <c r="A695">
        <f>Skills!A22</f>
        <v/>
      </c>
      <c r="B695">
        <f>Skills!B22</f>
        <v/>
      </c>
      <c r="C695">
        <f>Inputs!$B$3&gt;=43</f>
        <v/>
      </c>
      <c r="D695">
        <f>IF(Skills!C22=1,60+(Inputs!$B$24+1)+Inputs!$B$28,IF(Skills!C22=2,90+Inputs!$B$25+Inputs!$B$28,IF(Skills!C22=3,120+Inputs!$B$26+Inputs!$B$28,MAX(0,(Inputs!$B$3-100)*3)+Inputs!$B$27+Inputs!$B$28)))</f>
        <v/>
      </c>
      <c r="E695">
        <f>INDEX(FactorTable!$B$2:$Y$301, MATCH(ROUND(MIN(300,MAX(1,D695)),0), FactorTable!$A$2:$A$301,0), Skills!M22+1)</f>
        <v/>
      </c>
      <c r="F695">
        <f>IF(Skills!N22=TRUE,(Skills!L22/10)*(E695/1000),Skills!L22/10)+Skills!O22</f>
        <v/>
      </c>
      <c r="G695">
        <f>Skills!G22*IF(Skills!H22&gt;0,Skills!I22/Skills!H22,1)</f>
        <v/>
      </c>
      <c r="H695">
        <f>1-(1-Skills!J22/100)^Skills!K22</f>
        <v/>
      </c>
      <c r="I695" t="inlineStr">
        <is>
          <t>1</t>
        </is>
      </c>
      <c r="J695" t="inlineStr"/>
      <c r="K695" t="inlineStr"/>
      <c r="L695" t="inlineStr"/>
      <c r="M695" t="inlineStr"/>
      <c r="N695" t="inlineStr"/>
      <c r="O695" t="n">
        <v>0</v>
      </c>
      <c r="P695">
        <f>IF(B710=0,0,O695/B710)</f>
        <v/>
      </c>
      <c r="Q695" t="n">
        <v>0</v>
      </c>
      <c r="R695" t="n">
        <v>0</v>
      </c>
      <c r="S695">
        <f>IFERROR(O695/N695,0)</f>
        <v/>
      </c>
    </row>
    <row r="696">
      <c r="A696">
        <f>Skills!A23</f>
        <v/>
      </c>
      <c r="B696">
        <f>Skills!B23</f>
        <v/>
      </c>
      <c r="C696">
        <f>Inputs!$B$3&gt;=120</f>
        <v/>
      </c>
      <c r="D696">
        <f>IF(Skills!C23=1,60+(Inputs!$B$24+1)+Inputs!$B$28,IF(Skills!C23=2,90+Inputs!$B$25+Inputs!$B$28,IF(Skills!C23=3,120+Inputs!$B$26+Inputs!$B$28,MAX(0,(Inputs!$B$3-100)*3)+Inputs!$B$27+Inputs!$B$28)))</f>
        <v/>
      </c>
      <c r="E696">
        <f>INDEX(FactorTable!$B$2:$Y$301, MATCH(ROUND(MIN(300,MAX(1,D696)),0), FactorTable!$A$2:$A$301,0), Skills!M23+1)</f>
        <v/>
      </c>
      <c r="F696">
        <f>IF(Skills!N23=TRUE,(Skills!L23/10)*(E696/1000),Skills!L23/10)+Skills!O23</f>
        <v/>
      </c>
      <c r="G696">
        <f>Skills!G23*IF(Skills!H23&gt;0,Skills!I23/Skills!H23,1)</f>
        <v/>
      </c>
      <c r="H696">
        <f>1-(1-Skills!J23/100)^Skills!K23</f>
        <v/>
      </c>
      <c r="I696" t="inlineStr">
        <is>
          <t>1</t>
        </is>
      </c>
      <c r="J696" t="inlineStr"/>
      <c r="K696" t="inlineStr"/>
      <c r="L696" t="inlineStr"/>
      <c r="M696" t="inlineStr"/>
      <c r="N696" t="inlineStr"/>
      <c r="O696" t="n">
        <v>0</v>
      </c>
      <c r="P696">
        <f>IF(B710=0,0,O696/B710)</f>
        <v/>
      </c>
      <c r="Q696" t="n">
        <v>0</v>
      </c>
      <c r="R696" t="n">
        <v>0</v>
      </c>
      <c r="S696">
        <f>IFERROR(O696/N696,0)</f>
        <v/>
      </c>
    </row>
    <row r="697">
      <c r="A697">
        <f>Skills!A24</f>
        <v/>
      </c>
      <c r="B697">
        <f>Skills!B24</f>
        <v/>
      </c>
      <c r="C697">
        <f>Inputs!$B$3&gt;=120</f>
        <v/>
      </c>
      <c r="D697">
        <f>IF(Skills!C24=1,60+(Inputs!$B$24+1)+Inputs!$B$28,IF(Skills!C24=2,90+Inputs!$B$25+Inputs!$B$28,IF(Skills!C24=3,120+Inputs!$B$26+Inputs!$B$28,MAX(0,(Inputs!$B$3-100)*3)+Inputs!$B$27+Inputs!$B$28)))</f>
        <v/>
      </c>
      <c r="E697">
        <f>INDEX(FactorTable!$B$2:$Y$301, MATCH(ROUND(MIN(300,MAX(1,D697)),0), FactorTable!$A$2:$A$301,0), Skills!M24+1)</f>
        <v/>
      </c>
      <c r="F697">
        <f>IF(Skills!N24=TRUE,(Skills!L24/10)*(E697/1000),Skills!L24/10)+Skills!O24</f>
        <v/>
      </c>
      <c r="G697">
        <f>Skills!G24*IF(Skills!H24&gt;0,Skills!I24/Skills!H24,1)</f>
        <v/>
      </c>
      <c r="H697">
        <f>1-(1-Skills!J24/100)^Skills!K24</f>
        <v/>
      </c>
      <c r="I697" t="inlineStr">
        <is>
          <t>1</t>
        </is>
      </c>
      <c r="J697" t="inlineStr"/>
      <c r="K697" t="inlineStr"/>
      <c r="L697" t="inlineStr"/>
      <c r="M697" t="inlineStr"/>
      <c r="N697" t="inlineStr"/>
      <c r="O697" t="n">
        <v>0</v>
      </c>
      <c r="P697">
        <f>IF(B710=0,0,O697/B710)</f>
        <v/>
      </c>
      <c r="Q697" t="n">
        <v>0</v>
      </c>
      <c r="R697" t="n">
        <v>0</v>
      </c>
      <c r="S697">
        <f>IFERROR(O697/N697,0)</f>
        <v/>
      </c>
    </row>
    <row r="698">
      <c r="A698">
        <f>Skills!A25</f>
        <v/>
      </c>
      <c r="B698">
        <f>Skills!B25</f>
        <v/>
      </c>
      <c r="C698">
        <f>Inputs!$B$3&gt;=125</f>
        <v/>
      </c>
      <c r="D698">
        <f>IF(Skills!C25=1,60+(Inputs!$B$24+1)+Inputs!$B$28,IF(Skills!C25=2,90+Inputs!$B$25+Inputs!$B$28,IF(Skills!C25=3,120+Inputs!$B$26+Inputs!$B$28,MAX(0,(Inputs!$B$3-100)*3)+Inputs!$B$27+Inputs!$B$28)))</f>
        <v/>
      </c>
      <c r="E698">
        <f>INDEX(FactorTable!$B$2:$Y$301, MATCH(ROUND(MIN(300,MAX(1,D698)),0), FactorTable!$A$2:$A$301,0), Skills!M25+1)</f>
        <v/>
      </c>
      <c r="F698">
        <f>IF(Skills!N25=TRUE,(Skills!L25/10)*(E698/1000),Skills!L25/10)+Skills!O25</f>
        <v/>
      </c>
      <c r="G698">
        <f>Skills!G25*IF(Skills!H25&gt;0,Skills!I25/Skills!H25,1)</f>
        <v/>
      </c>
      <c r="H698">
        <f>1-(1-Skills!J25/100)^Skills!K25</f>
        <v/>
      </c>
      <c r="I698" t="inlineStr">
        <is>
          <t>1</t>
        </is>
      </c>
      <c r="J698" t="inlineStr"/>
      <c r="K698" t="inlineStr"/>
      <c r="L698" t="inlineStr"/>
      <c r="M698" t="inlineStr"/>
      <c r="N698" t="inlineStr"/>
      <c r="O698" t="n">
        <v>0</v>
      </c>
      <c r="P698">
        <f>IF(B710=0,0,O698/B710)</f>
        <v/>
      </c>
      <c r="Q698" t="n">
        <v>0</v>
      </c>
      <c r="R698" t="n">
        <v>0</v>
      </c>
      <c r="S698">
        <f>IFERROR(O698/N698,0)</f>
        <v/>
      </c>
    </row>
    <row r="699">
      <c r="A699">
        <f>Skills!A26</f>
        <v/>
      </c>
      <c r="B699">
        <f>Skills!B26</f>
        <v/>
      </c>
      <c r="C699">
        <f>Inputs!$B$3&gt;=107</f>
        <v/>
      </c>
      <c r="D699">
        <f>IF(Skills!C26=1,60+(Inputs!$B$24+1)+Inputs!$B$28,IF(Skills!C26=2,90+Inputs!$B$25+Inputs!$B$28,IF(Skills!C26=3,120+Inputs!$B$26+Inputs!$B$28,MAX(0,(Inputs!$B$3-100)*3)+Inputs!$B$27+Inputs!$B$28)))</f>
        <v/>
      </c>
      <c r="E699">
        <f>INDEX(FactorTable!$B$2:$Y$301, MATCH(ROUND(MIN(300,MAX(1,D699)),0), FactorTable!$A$2:$A$301,0), Skills!M26+1)</f>
        <v/>
      </c>
      <c r="F699">
        <f>IF(Skills!N26=TRUE,(Skills!L26/10)*(E699/1000),Skills!L26/10)+Skills!O26</f>
        <v/>
      </c>
      <c r="G699">
        <f>Skills!G26*IF(Skills!H26&gt;0,Skills!I26/Skills!H26,1)</f>
        <v/>
      </c>
      <c r="H699">
        <f>1-(1-Skills!J26/100)^Skills!K26</f>
        <v/>
      </c>
      <c r="I699" t="inlineStr">
        <is>
          <t>1</t>
        </is>
      </c>
      <c r="J699" t="inlineStr"/>
      <c r="K699" t="inlineStr"/>
      <c r="L699" t="inlineStr"/>
      <c r="M699" t="inlineStr"/>
      <c r="N699" t="inlineStr"/>
      <c r="O699" t="n">
        <v>0</v>
      </c>
      <c r="P699">
        <f>IF(B710=0,0,O699/B710)</f>
        <v/>
      </c>
      <c r="Q699" t="n">
        <v>0</v>
      </c>
      <c r="R699" t="n">
        <v>0</v>
      </c>
      <c r="S699">
        <f>IFERROR(O699/N699,0)</f>
        <v/>
      </c>
    </row>
    <row r="701">
      <c r="A701" t="inlineStr">
        <is>
          <t>Attack% Bucket Multiplier</t>
        </is>
      </c>
      <c r="B701">
        <f>(1+(((C686=TRUE)*F686*IF(AND(Inputs!$B$4&lt;&gt;"pvp",Inputs!$B$35&gt;0),(((S686-1)*(Skills!T13*(1+Inputs!$B$33/100))+MIN((Skills!T13*(1+Inputs!$B$33/100)),MAX(0,Inputs!$B$35-((S686-1)*Skills!D13))))/Inputs!$B$35),IF(Inputs!$B$4="pvp",MIN((Skills!T13*(1+Inputs!$B$33/100)),15)/15,(Skills!T13*(1+Inputs!$B$33/100))/Skills!D13)))+((C687=TRUE)*F687*IF(AND(Inputs!$B$4&lt;&gt;"pvp",Inputs!$B$35&gt;0),(((S687-1)*(Skills!T14*(1+Inputs!$B$33/100))+MIN((Skills!T14*(1+Inputs!$B$33/100)),MAX(0,Inputs!$B$35-((S687-1)*Skills!D14))))/Inputs!$B$35),IF(Inputs!$B$4="pvp",MIN((Skills!T14*(1+Inputs!$B$33/100)),15)/15,(Skills!T14*(1+Inputs!$B$33/100))/Skills!D14)))+((C688=TRUE)*F688*IF(AND(Inputs!$B$4&lt;&gt;"pvp",Inputs!$B$35&gt;0),(((S688-1)*(Skills!T15*(1+Inputs!$B$33/100))+MIN((Skills!T15*(1+Inputs!$B$33/100)),MAX(0,Inputs!$B$35-((S688-1)*Skills!D15))))/Inputs!$B$35),IF(Inputs!$B$4="pvp",MIN((Skills!T15*(1+Inputs!$B$33/100)),15)/15,(Skills!T15*(1+Inputs!$B$33/100))/Skills!D15)))+((C689=TRUE)*F689*IF(AND(Inputs!$B$4&lt;&gt;"pvp",Inputs!$B$35&gt;0),(((S689-1)*(Skills!T16*(1+Inputs!$B$33/100))+MIN((Skills!T16*(1+Inputs!$B$33/100)),MAX(0,Inputs!$B$35-((S689-1)*Skills!D16))))/Inputs!$B$35),IF(Inputs!$B$4="pvp",MIN((Skills!T16*(1+Inputs!$B$33/100)),15)/15,(Skills!T16*(1+Inputs!$B$33/100))/Skills!D16)))+0)/100)</f>
        <v/>
      </c>
    </row>
    <row r="702">
      <c r="A702" t="inlineStr">
        <is>
          <t>Global Crit Rate Bonus % (Lord of Darkness)</t>
        </is>
      </c>
      <c r="B702">
        <f>((C691=TRUE)*F691*(Skills!J18/100)*IF(AND(Inputs!$B$4&lt;&gt;"pvp",Inputs!$B$35&gt;0),(((S691-1)*(Skills!T18*(1+Inputs!$B$33/100))+MIN((Skills!T18*(1+Inputs!$B$33/100)),MAX(0,Inputs!$B$35-((S691-1)*Skills!D18))))/Inputs!$B$35),IF(Inputs!$B$4="pvp",MIN((Skills!T18*(1+Inputs!$B$33/100)),15)/15,(Skills!T18*(1+Inputs!$B$33/100))/Skills!D18)))</f>
        <v/>
      </c>
    </row>
    <row r="703">
      <c r="A703" t="inlineStr">
        <is>
          <t>Attack Speed Buff Bonus %</t>
        </is>
      </c>
      <c r="B703">
        <f>((C693=TRUE)*F693*IF(AND(Inputs!$B$4&lt;&gt;"pvp",Inputs!$B$35&gt;0),(((S693-1)*(Skills!T20*(1+Inputs!$B$33/100))+MIN((Skills!T20*(1+Inputs!$B$33/100)),MAX(0,Inputs!$B$35-((S693-1)*Skills!D20))))/Inputs!$B$35),IF(Inputs!$B$4="pvp",MIN((Skills!T20*(1+Inputs!$B$33/100)),15)/15,(Skills!T20*(1+Inputs!$B$33/100))/Skills!D20)))</f>
        <v/>
      </c>
    </row>
    <row r="704">
      <c r="A704" t="inlineStr">
        <is>
          <t>Actions Per Second</t>
        </is>
      </c>
      <c r="B704">
        <f>1+MIN(150,150*(1-(1-(Inputs!$B$10+((C694=TRUE)*(F694-Calc!F21)))/150)*(1-B703/150)))/100</f>
        <v/>
      </c>
    </row>
    <row r="705">
      <c r="A705" t="inlineStr">
        <is>
          <t>Skill + Buff Cast Rate</t>
        </is>
      </c>
      <c r="B705">
        <f>IF(AND(Inputs!$B$4&lt;&gt;"pvp",Inputs!$B$35&gt;0),SUMPRODUCT((Skills!E2:E26=TRUE)*(C675:C699=TRUE)*R675:R699*Skills!F2:F26)/Inputs!$B$35,SUMPRODUCT((Skills!E2:E26=TRUE)*(C675:C699=TRUE)*Q675:Q699*Skills!F2:F26))</f>
        <v/>
      </c>
    </row>
    <row r="706">
      <c r="A706" t="inlineStr">
        <is>
          <t>Dark Impale Casts Per Second</t>
        </is>
      </c>
      <c r="B706">
        <f>MAX(0,B704-B705)</f>
        <v/>
      </c>
    </row>
    <row r="707">
      <c r="A707" t="inlineStr">
        <is>
          <t>Global Critical Damage Bonus % (Lord of Darkness)</t>
        </is>
      </c>
      <c r="B707">
        <f>((C692=TRUE)*F692*(Skills!J19/100)*IF(AND(Inputs!$B$4&lt;&gt;"pvp",Inputs!$B$35&gt;0),(((S692-1)*(Skills!T19*(1+Inputs!$B$33/100))+MIN((Skills!T19*(1+Inputs!$B$33/100)),MAX(0,Inputs!$B$35-((S692-1)*Skills!D19))))/Inputs!$B$35),IF(Inputs!$B$4="pvp",MIN((Skills!T19*(1+Inputs!$B$33/100)),15)/15,(Skills!T19*(1+Inputs!$B$33/100))/Skills!D19)))</f>
        <v/>
      </c>
    </row>
    <row r="708">
      <c r="A708" t="inlineStr">
        <is>
          <t>Global Final Damage Bonus % (unused)</t>
        </is>
      </c>
      <c r="B708" t="n">
        <v>0</v>
      </c>
    </row>
    <row r="710">
      <c r="A710" s="5" t="inlineStr">
        <is>
          <t>TOTAL DPS</t>
        </is>
      </c>
      <c r="B710" s="5">
        <f>SUM(O675:O699)</f>
        <v/>
      </c>
    </row>
    <row r="713">
      <c r="A713" s="5" t="inlineStr">
        <is>
          <t>Stat: Skill Level Bonus — 2nd Job</t>
        </is>
      </c>
    </row>
    <row r="714">
      <c r="A714" s="8" t="inlineStr">
        <is>
          <t>Key</t>
        </is>
      </c>
      <c r="B714" s="8" t="inlineStr">
        <is>
          <t>Name</t>
        </is>
      </c>
      <c r="C714" s="8" t="inlineStr">
        <is>
          <t>Unlocked</t>
        </is>
      </c>
      <c r="D714" s="8" t="inlineStr">
        <is>
          <t>InputLevel</t>
        </is>
      </c>
      <c r="E714" s="8" t="inlineStr">
        <is>
          <t>Factor</t>
        </is>
      </c>
      <c r="F714" s="8" t="inlineStr">
        <is>
          <t>CoefficientPercent</t>
        </is>
      </c>
      <c r="G714" s="8" t="inlineStr">
        <is>
          <t>EffectiveHits</t>
        </is>
      </c>
      <c r="H714" s="8" t="inlineStr">
        <is>
          <t>ProcProbability</t>
        </is>
      </c>
      <c r="I714" s="8" t="inlineStr">
        <is>
          <t>MapleHeroMultiplier</t>
        </is>
      </c>
      <c r="J714" s="8" t="inlineStr">
        <is>
          <t>BaseDamage</t>
        </is>
      </c>
      <c r="K714" s="8" t="inlineStr">
        <is>
          <t>BaseHitDamage</t>
        </is>
      </c>
      <c r="L714" s="8" t="inlineStr">
        <is>
          <t>NonCritAvg</t>
        </is>
      </c>
      <c r="M714" s="8" t="inlineStr">
        <is>
          <t>CritAvg</t>
        </is>
      </c>
      <c r="N714" s="8" t="inlineStr">
        <is>
          <t>ExpectedDamage(perHit)</t>
        </is>
      </c>
      <c r="O714" s="8" t="inlineStr">
        <is>
          <t>DPS</t>
        </is>
      </c>
      <c r="P714" s="8" t="inlineStr">
        <is>
          <t>% of Total</t>
        </is>
      </c>
      <c r="Q714" s="8" t="inlineStr">
        <is>
          <t>InvCooldown</t>
        </is>
      </c>
      <c r="R714" s="8" t="inlineStr">
        <is>
          <t>CastsInFight</t>
        </is>
      </c>
      <c r="S714" s="8" t="inlineStr">
        <is>
          <t>HitRate(perSec)</t>
        </is>
      </c>
      <c r="U714" t="inlineStr">
        <is>
          <t>helpers</t>
        </is>
      </c>
    </row>
    <row r="715">
      <c r="A715">
        <f>Skills!A2</f>
        <v/>
      </c>
      <c r="B715">
        <f>Skills!B2</f>
        <v/>
      </c>
      <c r="C715">
        <f>Inputs!$B$3&gt;=100</f>
        <v/>
      </c>
      <c r="D715" t="inlineStr"/>
      <c r="E715" t="inlineStr"/>
      <c r="F715">
        <f>U717+Skills!O2</f>
        <v/>
      </c>
      <c r="G715">
        <f>Skills!G2*IF(Skills!H2&gt;0,Skills!I2/Skills!H2,1)</f>
        <v/>
      </c>
      <c r="H715">
        <f>1-(1-Skills!J2/100)^Skills!K2</f>
        <v/>
      </c>
      <c r="I715" t="inlineStr">
        <is>
          <t>1</t>
        </is>
      </c>
      <c r="J715">
        <f>(Inputs!$B$5*(1+Inputs!$B$6/100))*(F715/100)</f>
        <v/>
      </c>
      <c r="K715">
        <f>J715*(1+((Inputs!$B$11*(1+Inputs!$B$12/100))*0.01+Inputs!$B$13*0.0025)/100)*(1+Inputs!$B$14/100)*(1+IF(Inputs!$B$4="pvp",0,(1-Summary!$B$55)*(Inputs!$B$19+0+Skills!P2+((C730=TRUE)*F730*IF(AND(Inputs!$B$4&lt;&gt;"pvp",Inputs!$B$35&gt;0),(((S730-1)*(Skills!T17*(1+Inputs!$B$33/100))+MIN((Skills!T17*(1+Inputs!$B$33/100)),MAX(0,Inputs!$B$35-((S730-1)*Skills!D17))))/Inputs!$B$35),IF(Inputs!$B$4="pvp",MIN((Skills!T17*(1+Inputs!$B$33/100)),15)/15,(Skills!T17*(1+Inputs!$B$33/100))/Skills!D17)))+((C727=TRUE)*IF(Inputs!$B$4="pvp",20,(1-Summary!$B$55)*(20)+Summary!$B$55*(0))*IF(AND(Inputs!$B$4&lt;&gt;"pvp",Inputs!$B$35&gt;0),(((S727-1)*(Skills!T14*(1+Inputs!$B$33/100))+MIN((Skills!T14*(1+Inputs!$B$33/100)),MAX(0,Inputs!$B$35-((S727-1)*Skills!D14))))/Inputs!$B$35),IF(Inputs!$B$4="pvp",MIN((Skills!T14*(1+Inputs!$B$33/100)),15)/15,(Skills!T14*(1+Inputs!$B$33/100))/Skills!D14))))+Summary!$B$55*(Inputs!$B$20+Skills!Q2+((C730=TRUE)*F730*IF(AND(Inputs!$B$4&lt;&gt;"pvp",Inputs!$B$35&gt;0),(((S730-1)*(Skills!T17*(1+Inputs!$B$33/100))+MIN((Skills!T17*(1+Inputs!$B$33/100)),MAX(0,Inputs!$B$35-((S730-1)*Skills!D17))))/Inputs!$B$35),IF(Inputs!$B$4="pvp",MIN((Skills!T17*(1+Inputs!$B$33/100)),15)/15,(Skills!T17*(1+Inputs!$B$33/100))/Skills!D17)))))/100)*(1+Inputs!$B$15/100)*(5000/(6000+Inputs!$B$7*(1-(Inputs!$B$18+0)/100)))*(1+(Inputs!$B$23+((C738=TRUE)*(F738-Calc!F25))+((C739=TRUE)*(F739-Calc!F26))+B748)/100)*(1+(IF(Skills!A2="DARK_IMPALE",Inputs!$B$16+0,Inputs!$B$17+((C736=TRUE)*(F736-Calc!F23))))/100)*((1+(((C726=TRUE)*F726*IF(AND(Inputs!$B$4&lt;&gt;"pvp",Inputs!$B$35&gt;0),(((S726-1)*(Skills!T13*(1+Inputs!$B$33/100))+MIN((Skills!T13*(1+Inputs!$B$33/100)),MAX(0,Inputs!$B$35-((S726-1)*Skills!D13))))/Inputs!$B$35),IF(Inputs!$B$4="pvp",MIN((Skills!T13*(1+Inputs!$B$33/100)),15)/15,(Skills!T13*(1+Inputs!$B$33/100))/Skills!D13)))+((C727=TRUE)*F727*IF(AND(Inputs!$B$4&lt;&gt;"pvp",Inputs!$B$35&gt;0),(((S727-1)*(Skills!T14*(1+Inputs!$B$33/100))+MIN((Skills!T14*(1+Inputs!$B$33/100)),MAX(0,Inputs!$B$35-((S727-1)*Skills!D14))))/Inputs!$B$35),IF(Inputs!$B$4="pvp",MIN((Skills!T14*(1+Inputs!$B$33/100)),15)/15,(Skills!T14*(1+Inputs!$B$33/100))/Skills!D14)))+((C728=TRUE)*F728*IF(AND(Inputs!$B$4&lt;&gt;"pvp",Inputs!$B$35&gt;0),(((S728-1)*(Skills!T15*(1+Inputs!$B$33/100))+MIN((Skills!T15*(1+Inputs!$B$33/100)),MAX(0,Inputs!$B$35-((S728-1)*Skills!D15))))/Inputs!$B$35),IF(Inputs!$B$4="pvp",MIN((Skills!T15*(1+Inputs!$B$33/100)),15)/15,(Skills!T15*(1+Inputs!$B$33/100))/Skills!D15)))+((C729=TRUE)*F729*IF(AND(Inputs!$B$4&lt;&gt;"pvp",Inputs!$B$35&gt;0),(((S729-1)*(Skills!T16*(1+Inputs!$B$33/100))+MIN((Skills!T16*(1+Inputs!$B$33/100)),MAX(0,Inputs!$B$35-((S729-1)*Skills!D16))))/Inputs!$B$35),IF(Inputs!$B$4="pvp",MIN((Skills!T16*(1+Inputs!$B$33/100)),15)/15,(Skills!T16*(1+Inputs!$B$33/100))/Skills!D16)))+0)/100)*I715)</f>
        <v/>
      </c>
      <c r="L715">
        <f>K715*(MIN(Inputs!$B$21+((C735=TRUE)*(F735-Calc!F22)),Inputs!$B$22+((C737=TRUE)*(F737-Calc!F24)))/100+(Inputs!$B$22+((C737=TRUE)*(F737-Calc!F24)))/100)/2</f>
        <v/>
      </c>
      <c r="M715">
        <f>L715*(1+(Inputs!$B$9+0+B747)/100)</f>
        <v/>
      </c>
      <c r="N715">
        <f>L715*(1-MIN((Inputs!$B$8+0+B742),100)/100)+M715*(MIN((Inputs!$B$8+0+B742),100)/100)</f>
        <v/>
      </c>
      <c r="O715">
        <f>IF(C715,Skills!G2*N715*B746*IF(Inputs!$B$4="pvp",1,(1-Summary!$B$55)*(1)+Summary!$B$55*(MIN((6+Inputs!$B$32),Inputs!$B$37))),0)</f>
        <v/>
      </c>
      <c r="P715">
        <f>IF(B750=0,0,O715/B750)</f>
        <v/>
      </c>
      <c r="Q715" t="n">
        <v>0</v>
      </c>
      <c r="R715" t="n">
        <v>0</v>
      </c>
      <c r="S715">
        <f>IFERROR(O715/N715,0)</f>
        <v/>
      </c>
      <c r="U715">
        <f>MAX(0,(Inputs!$B$3-100)*3)+Inputs!$B$27+Inputs!$B$28</f>
        <v/>
      </c>
    </row>
    <row r="716">
      <c r="A716">
        <f>Skills!A3</f>
        <v/>
      </c>
      <c r="B716">
        <f>Skills!B3</f>
        <v/>
      </c>
      <c r="C716">
        <f>Inputs!$B$3&gt;=50</f>
        <v/>
      </c>
      <c r="D716">
        <f>IF(Skills!C3=1,60+Inputs!$B$24+Inputs!$B$28,IF(Skills!C3=2,90+(Inputs!$B$25+1)+Inputs!$B$28,IF(Skills!C3=3,120+Inputs!$B$26+Inputs!$B$28,MAX(0,(Inputs!$B$3-100)*3)+Inputs!$B$27+Inputs!$B$28)))</f>
        <v/>
      </c>
      <c r="E716">
        <f>INDEX(FactorTable!$B$2:$Y$301, MATCH(ROUND(MIN(300,MAX(1,D716)),0), FactorTable!$A$2:$A$301,0), Skills!M3+1)</f>
        <v/>
      </c>
      <c r="F716">
        <f>IF(Skills!N3=TRUE,(Skills!L3/10)*(E716/1000),Skills!L3/10)+Skills!O3</f>
        <v/>
      </c>
      <c r="G716" t="inlineStr"/>
      <c r="H716" t="inlineStr"/>
      <c r="I716" t="inlineStr">
        <is>
          <t>1</t>
        </is>
      </c>
      <c r="J716" t="inlineStr"/>
      <c r="K716" t="inlineStr"/>
      <c r="L716" t="inlineStr"/>
      <c r="M716" t="inlineStr"/>
      <c r="N716" t="inlineStr"/>
      <c r="O716" t="inlineStr"/>
      <c r="P716" t="inlineStr"/>
      <c r="Q716" t="inlineStr"/>
      <c r="R716" t="inlineStr"/>
      <c r="S716" t="inlineStr"/>
      <c r="U716">
        <f>INDEX(FactorTable!$B$2:$Y$301, MATCH(ROUND(MIN(300,MAX(1,U715)),0), FactorTable!$A$2:$A$301,0), 22)</f>
        <v/>
      </c>
    </row>
    <row r="717">
      <c r="A717">
        <f>Skills!A4</f>
        <v/>
      </c>
      <c r="B717">
        <f>Skills!B4</f>
        <v/>
      </c>
      <c r="C717">
        <f>Inputs!$B$3&gt;=105</f>
        <v/>
      </c>
      <c r="D717">
        <f>IF(Skills!C4=1,60+Inputs!$B$24+Inputs!$B$28,IF(Skills!C4=2,90+(Inputs!$B$25+1)+Inputs!$B$28,IF(Skills!C4=3,120+Inputs!$B$26+Inputs!$B$28,MAX(0,(Inputs!$B$3-100)*3)+Inputs!$B$27+Inputs!$B$28)))</f>
        <v/>
      </c>
      <c r="E717">
        <f>INDEX(FactorTable!$B$2:$Y$301, MATCH(ROUND(MIN(300,MAX(1,D717)),0), FactorTable!$A$2:$A$301,0), Skills!M4+1)</f>
        <v/>
      </c>
      <c r="F717">
        <f>IF(Skills!N4=TRUE,(Skills!L4/10)*(E717/1000),Skills!L4/10)+Skills!O4</f>
        <v/>
      </c>
      <c r="G717" t="inlineStr"/>
      <c r="H717" t="inlineStr"/>
      <c r="I717" t="inlineStr">
        <is>
          <t>1</t>
        </is>
      </c>
      <c r="J717" t="inlineStr"/>
      <c r="K717" t="inlineStr"/>
      <c r="L717" t="inlineStr"/>
      <c r="M717" t="inlineStr"/>
      <c r="N717" t="inlineStr"/>
      <c r="O717" t="inlineStr"/>
      <c r="P717" t="inlineStr"/>
      <c r="Q717" t="inlineStr"/>
      <c r="R717" t="inlineStr"/>
      <c r="S717" t="inlineStr"/>
      <c r="U717">
        <f>290*U716/1000</f>
        <v/>
      </c>
    </row>
    <row r="718">
      <c r="A718">
        <f>Skills!A5</f>
        <v/>
      </c>
      <c r="B718">
        <f>Skills!B5</f>
        <v/>
      </c>
      <c r="C718">
        <f>Inputs!$B$3&gt;=117</f>
        <v/>
      </c>
      <c r="D718">
        <f>IF(Skills!C5=1,60+Inputs!$B$24+Inputs!$B$28,IF(Skills!C5=2,90+(Inputs!$B$25+1)+Inputs!$B$28,IF(Skills!C5=3,120+Inputs!$B$26+Inputs!$B$28,MAX(0,(Inputs!$B$3-100)*3)+Inputs!$B$27+Inputs!$B$28)))</f>
        <v/>
      </c>
      <c r="E718">
        <f>INDEX(FactorTable!$B$2:$Y$301, MATCH(ROUND(MIN(300,MAX(1,D718)),0), FactorTable!$A$2:$A$301,0), Skills!M5+1)</f>
        <v/>
      </c>
      <c r="F718">
        <f>IF(Skills!N5=TRUE,(Skills!L5/10)*(E718/1000),Skills!L5/10)+Skills!O5</f>
        <v/>
      </c>
      <c r="G718">
        <f>Skills!G5*IF(Skills!H5&gt;0,Skills!I5/Skills!H5,1)</f>
        <v/>
      </c>
      <c r="H718">
        <f>1-(1-Skills!J5/100)^Skills!K5</f>
        <v/>
      </c>
      <c r="I718" t="inlineStr">
        <is>
          <t>1</t>
        </is>
      </c>
      <c r="J718">
        <f>(Inputs!$B$5*(1+Inputs!$B$6/100))*(F718/100)</f>
        <v/>
      </c>
      <c r="K718">
        <f>J718*(1+((Inputs!$B$11*(1+Inputs!$B$12/100))*0.01+Inputs!$B$13*0.0025)/100)*(1+Inputs!$B$14/100)*(1+IF(Inputs!$B$4="pvp",0,(1-Summary!$B$55)*(Inputs!$B$19+0+Skills!P5+((C730=TRUE)*F730*IF(AND(Inputs!$B$4&lt;&gt;"pvp",Inputs!$B$35&gt;0),(((S730-1)*(Skills!T17*(1+Inputs!$B$33/100))+MIN((Skills!T17*(1+Inputs!$B$33/100)),MAX(0,Inputs!$B$35-((S730-1)*Skills!D17))))/Inputs!$B$35),IF(Inputs!$B$4="pvp",MIN((Skills!T17*(1+Inputs!$B$33/100)),15)/15,(Skills!T17*(1+Inputs!$B$33/100))/Skills!D17)))+((C727=TRUE)*IF(Inputs!$B$4="pvp",20,(1-Summary!$B$55)*(20)+Summary!$B$55*(0))*IF(AND(Inputs!$B$4&lt;&gt;"pvp",Inputs!$B$35&gt;0),(((S727-1)*(Skills!T14*(1+Inputs!$B$33/100))+MIN((Skills!T14*(1+Inputs!$B$33/100)),MAX(0,Inputs!$B$35-((S727-1)*Skills!D14))))/Inputs!$B$35),IF(Inputs!$B$4="pvp",MIN((Skills!T14*(1+Inputs!$B$33/100)),15)/15,(Skills!T14*(1+Inputs!$B$33/100))/Skills!D14))))+Summary!$B$55*(Inputs!$B$20+Skills!Q5+((C730=TRUE)*F730*IF(AND(Inputs!$B$4&lt;&gt;"pvp",Inputs!$B$35&gt;0),(((S730-1)*(Skills!T17*(1+Inputs!$B$33/100))+MIN((Skills!T17*(1+Inputs!$B$33/100)),MAX(0,Inputs!$B$35-((S730-1)*Skills!D17))))/Inputs!$B$35),IF(Inputs!$B$4="pvp",MIN((Skills!T17*(1+Inputs!$B$33/100)),15)/15,(Skills!T17*(1+Inputs!$B$33/100))/Skills!D17)))))/100)*(1+Inputs!$B$15/100)*(5000/(6000+Inputs!$B$7*(1-(Inputs!$B$18+0)/100)))*(1+(Inputs!$B$23+((C738=TRUE)*(F738-Calc!F25))+((C739=TRUE)*(F739-Calc!F26))+B748)/100)*(1+(IF(Skills!A5="DARK_IMPALE",Inputs!$B$16+0,Inputs!$B$17+((C736=TRUE)*(F736-Calc!F23))))/100)*((1+(((C726=TRUE)*F726*IF(AND(Inputs!$B$4&lt;&gt;"pvp",Inputs!$B$35&gt;0),(((S726-1)*(Skills!T13*(1+Inputs!$B$33/100))+MIN((Skills!T13*(1+Inputs!$B$33/100)),MAX(0,Inputs!$B$35-((S726-1)*Skills!D13))))/Inputs!$B$35),IF(Inputs!$B$4="pvp",MIN((Skills!T13*(1+Inputs!$B$33/100)),15)/15,(Skills!T13*(1+Inputs!$B$33/100))/Skills!D13)))+((C727=TRUE)*F727*IF(AND(Inputs!$B$4&lt;&gt;"pvp",Inputs!$B$35&gt;0),(((S727-1)*(Skills!T14*(1+Inputs!$B$33/100))+MIN((Skills!T14*(1+Inputs!$B$33/100)),MAX(0,Inputs!$B$35-((S727-1)*Skills!D14))))/Inputs!$B$35),IF(Inputs!$B$4="pvp",MIN((Skills!T14*(1+Inputs!$B$33/100)),15)/15,(Skills!T14*(1+Inputs!$B$33/100))/Skills!D14)))+((C728=TRUE)*F728*IF(AND(Inputs!$B$4&lt;&gt;"pvp",Inputs!$B$35&gt;0),(((S728-1)*(Skills!T15*(1+Inputs!$B$33/100))+MIN((Skills!T15*(1+Inputs!$B$33/100)),MAX(0,Inputs!$B$35-((S728-1)*Skills!D15))))/Inputs!$B$35),IF(Inputs!$B$4="pvp",MIN((Skills!T15*(1+Inputs!$B$33/100)),15)/15,(Skills!T15*(1+Inputs!$B$33/100))/Skills!D15)))+((C729=TRUE)*F729*IF(AND(Inputs!$B$4&lt;&gt;"pvp",Inputs!$B$35&gt;0),(((S729-1)*(Skills!T16*(1+Inputs!$B$33/100))+MIN((Skills!T16*(1+Inputs!$B$33/100)),MAX(0,Inputs!$B$35-((S729-1)*Skills!D16))))/Inputs!$B$35),IF(Inputs!$B$4="pvp",MIN((Skills!T16*(1+Inputs!$B$33/100)),15)/15,(Skills!T16*(1+Inputs!$B$33/100))/Skills!D16)))+0)/100)*I718)</f>
        <v/>
      </c>
      <c r="L718">
        <f>K718*(MIN(Inputs!$B$21+((C735=TRUE)*(F735-Calc!F22)),Inputs!$B$22+((C737=TRUE)*(F737-Calc!F24)))/100+(Inputs!$B$22+((C737=TRUE)*(F737-Calc!F24)))/100)/2</f>
        <v/>
      </c>
      <c r="M718">
        <f>L718*(1+(Inputs!$B$9+0+B747)/100)</f>
        <v/>
      </c>
      <c r="N718">
        <f>L718*(1-MIN((Inputs!$B$8+0+B742),100)/100)+M718*(MIN((Inputs!$B$8+0+B742),100)/100)</f>
        <v/>
      </c>
      <c r="O718">
        <f>IF(C718,H718*N718*IF(AND(Inputs!$B$4&lt;&gt;"pvp",Inputs!$B$35&gt;0),((Skills!G5*((R718-1)*IF(Skills!H5&gt;0,Skills!I5/Skills!H5,1)+IF(Skills!H5&gt;0,MIN(Skills!I5,MAX(0,Inputs!$B$35-((R718-1)*IF(Inputs!$B$4="pvp",15,MAX(0.1,Skills!D5-IF(Skills!E5=TRUE,Inputs!$B$31,0))))))/Skills!H5,1)))/Inputs!$B$35),G718*Q718)*IF(Inputs!$B$4="pvp",1,(1-Summary!$B$55)*(1)+Summary!$B$55*(MIN(Skills!R5,Inputs!$B$37))),0)</f>
        <v/>
      </c>
      <c r="P718">
        <f>IF(B750=0,0,O718/B750)</f>
        <v/>
      </c>
      <c r="Q718">
        <f>IFERROR(1/IF(Inputs!$B$4="pvp",15,MAX(0.1,Skills!D5-IF(Skills!E5=TRUE,Inputs!$B$31,0))),0)</f>
        <v/>
      </c>
      <c r="R718">
        <f>IF(AND(Inputs!$B$4&lt;&gt;"pvp",Inputs!$B$35&gt;0),(INT(Inputs!$B$35/IF(Inputs!$B$4="pvp",15,MAX(0.1,Skills!D5-IF(Skills!E5=TRUE,Inputs!$B$31,0))))+1),0)</f>
        <v/>
      </c>
      <c r="S718">
        <f>IFERROR(O718/N718,0)</f>
        <v/>
      </c>
    </row>
    <row r="719">
      <c r="A719">
        <f>Skills!A6</f>
        <v/>
      </c>
      <c r="B719">
        <f>Skills!B6</f>
        <v/>
      </c>
      <c r="C719">
        <f>Inputs!$B$3&gt;=103</f>
        <v/>
      </c>
      <c r="D719">
        <f>IF(Skills!C6=1,60+Inputs!$B$24+Inputs!$B$28,IF(Skills!C6=2,90+(Inputs!$B$25+1)+Inputs!$B$28,IF(Skills!C6=3,120+Inputs!$B$26+Inputs!$B$28,MAX(0,(Inputs!$B$3-100)*3)+Inputs!$B$27+Inputs!$B$28)))</f>
        <v/>
      </c>
      <c r="E719">
        <f>INDEX(FactorTable!$B$2:$Y$301, MATCH(ROUND(MIN(300,MAX(1,D719)),0), FactorTable!$A$2:$A$301,0), Skills!M6+1)</f>
        <v/>
      </c>
      <c r="F719">
        <f>IF(Skills!N6=TRUE,(Skills!L6/10)*(E719/1000),Skills!L6/10)+Skills!O6</f>
        <v/>
      </c>
      <c r="G719">
        <f>Skills!G6*IF(Skills!H6&gt;0,Skills!I6/Skills!H6,1)</f>
        <v/>
      </c>
      <c r="H719">
        <f>1-(1-Skills!J6/100)^Skills!K6</f>
        <v/>
      </c>
      <c r="I719" t="inlineStr">
        <is>
          <t>1</t>
        </is>
      </c>
      <c r="J719">
        <f>(Inputs!$B$5*(1+Inputs!$B$6/100))*(F719/100)</f>
        <v/>
      </c>
      <c r="K719">
        <f>J719*(1+((Inputs!$B$11*(1+Inputs!$B$12/100))*0.01+Inputs!$B$13*0.0025)/100)*(1+Inputs!$B$14/100)*(1+IF(Inputs!$B$4="pvp",0,(1-Summary!$B$55)*(Inputs!$B$19+0+Skills!P6+((C730=TRUE)*F730*IF(AND(Inputs!$B$4&lt;&gt;"pvp",Inputs!$B$35&gt;0),(((S730-1)*(Skills!T17*(1+Inputs!$B$33/100))+MIN((Skills!T17*(1+Inputs!$B$33/100)),MAX(0,Inputs!$B$35-((S730-1)*Skills!D17))))/Inputs!$B$35),IF(Inputs!$B$4="pvp",MIN((Skills!T17*(1+Inputs!$B$33/100)),15)/15,(Skills!T17*(1+Inputs!$B$33/100))/Skills!D17)))+((C727=TRUE)*IF(Inputs!$B$4="pvp",20,(1-Summary!$B$55)*(20)+Summary!$B$55*(0))*IF(AND(Inputs!$B$4&lt;&gt;"pvp",Inputs!$B$35&gt;0),(((S727-1)*(Skills!T14*(1+Inputs!$B$33/100))+MIN((Skills!T14*(1+Inputs!$B$33/100)),MAX(0,Inputs!$B$35-((S727-1)*Skills!D14))))/Inputs!$B$35),IF(Inputs!$B$4="pvp",MIN((Skills!T14*(1+Inputs!$B$33/100)),15)/15,(Skills!T14*(1+Inputs!$B$33/100))/Skills!D14))))+Summary!$B$55*(Inputs!$B$20+Skills!Q6+((C730=TRUE)*F730*IF(AND(Inputs!$B$4&lt;&gt;"pvp",Inputs!$B$35&gt;0),(((S730-1)*(Skills!T17*(1+Inputs!$B$33/100))+MIN((Skills!T17*(1+Inputs!$B$33/100)),MAX(0,Inputs!$B$35-((S730-1)*Skills!D17))))/Inputs!$B$35),IF(Inputs!$B$4="pvp",MIN((Skills!T17*(1+Inputs!$B$33/100)),15)/15,(Skills!T17*(1+Inputs!$B$33/100))/Skills!D17)))))/100)*(1+Inputs!$B$15/100)*(5000/(6000+Inputs!$B$7*(1-(Inputs!$B$18+0)/100)))*(1+(Inputs!$B$23+((C738=TRUE)*(F738-Calc!F25))+((C739=TRUE)*(F739-Calc!F26))+B748)/100)*(1+(IF(Skills!A6="DARK_IMPALE",Inputs!$B$16+0,Inputs!$B$17+((C736=TRUE)*(F736-Calc!F23))))/100)*((1+(((C726=TRUE)*F726*IF(AND(Inputs!$B$4&lt;&gt;"pvp",Inputs!$B$35&gt;0),(((S726-1)*(Skills!T13*(1+Inputs!$B$33/100))+MIN((Skills!T13*(1+Inputs!$B$33/100)),MAX(0,Inputs!$B$35-((S726-1)*Skills!D13))))/Inputs!$B$35),IF(Inputs!$B$4="pvp",MIN((Skills!T13*(1+Inputs!$B$33/100)),15)/15,(Skills!T13*(1+Inputs!$B$33/100))/Skills!D13)))+((C727=TRUE)*F727*IF(AND(Inputs!$B$4&lt;&gt;"pvp",Inputs!$B$35&gt;0),(((S727-1)*(Skills!T14*(1+Inputs!$B$33/100))+MIN((Skills!T14*(1+Inputs!$B$33/100)),MAX(0,Inputs!$B$35-((S727-1)*Skills!D14))))/Inputs!$B$35),IF(Inputs!$B$4="pvp",MIN((Skills!T14*(1+Inputs!$B$33/100)),15)/15,(Skills!T14*(1+Inputs!$B$33/100))/Skills!D14)))+((C728=TRUE)*F728*IF(AND(Inputs!$B$4&lt;&gt;"pvp",Inputs!$B$35&gt;0),(((S728-1)*(Skills!T15*(1+Inputs!$B$33/100))+MIN((Skills!T15*(1+Inputs!$B$33/100)),MAX(0,Inputs!$B$35-((S728-1)*Skills!D15))))/Inputs!$B$35),IF(Inputs!$B$4="pvp",MIN((Skills!T15*(1+Inputs!$B$33/100)),15)/15,(Skills!T15*(1+Inputs!$B$33/100))/Skills!D15)))+((C729=TRUE)*F729*IF(AND(Inputs!$B$4&lt;&gt;"pvp",Inputs!$B$35&gt;0),(((S729-1)*(Skills!T16*(1+Inputs!$B$33/100))+MIN((Skills!T16*(1+Inputs!$B$33/100)),MAX(0,Inputs!$B$35-((S729-1)*Skills!D16))))/Inputs!$B$35),IF(Inputs!$B$4="pvp",MIN((Skills!T16*(1+Inputs!$B$33/100)),15)/15,(Skills!T16*(1+Inputs!$B$33/100))/Skills!D16)))+0)/100)*I719)</f>
        <v/>
      </c>
      <c r="L719">
        <f>K719*(MIN(Inputs!$B$21+((C735=TRUE)*(F735-Calc!F22)),Inputs!$B$22+((C737=TRUE)*(F737-Calc!F24)))/100+(Inputs!$B$22+((C737=TRUE)*(F737-Calc!F24)))/100)/2</f>
        <v/>
      </c>
      <c r="M719">
        <f>L719*(1+(Inputs!$B$9+0+B747)/100)</f>
        <v/>
      </c>
      <c r="N719">
        <f>L719*(1-MIN((Inputs!$B$8+0+B742),100)/100)+M719*(MIN((Inputs!$B$8+0+B742),100)/100)</f>
        <v/>
      </c>
      <c r="O719">
        <f>IF(C719,H719*N719*IF(AND(Inputs!$B$4&lt;&gt;"pvp",Inputs!$B$35&gt;0),((Skills!G6*((R719-1)*IF(Skills!H6&gt;0,Skills!I6/Skills!H6,1)+IF(Skills!H6&gt;0,MIN(Skills!I6,MAX(0,Inputs!$B$35-((R719-1)*IF(Inputs!$B$4="pvp",15,MAX(0.1,Skills!D6-IF(Skills!E6=TRUE,Inputs!$B$31,0))))))/Skills!H6,1)))/Inputs!$B$35),G719*Q719)*IF(Inputs!$B$4="pvp",1,(1-Summary!$B$55)*(1)+Summary!$B$55*(MIN(Skills!R6,Inputs!$B$37))),0)</f>
        <v/>
      </c>
      <c r="P719">
        <f>IF(B750=0,0,O719/B750)</f>
        <v/>
      </c>
      <c r="Q719">
        <f>IFERROR(1/IF(Inputs!$B$4="pvp",15,MAX(0.1,Skills!D6-IF(Skills!E6=TRUE,Inputs!$B$31,0))),0)</f>
        <v/>
      </c>
      <c r="R719">
        <f>IF(AND(Inputs!$B$4&lt;&gt;"pvp",Inputs!$B$35&gt;0),(INT(Inputs!$B$35/IF(Inputs!$B$4="pvp",15,MAX(0.1,Skills!D6-IF(Skills!E6=TRUE,Inputs!$B$31,0))))+1),0)</f>
        <v/>
      </c>
      <c r="S719">
        <f>IFERROR(O719/N719,0)</f>
        <v/>
      </c>
    </row>
    <row r="720">
      <c r="A720">
        <f>Skills!A7</f>
        <v/>
      </c>
      <c r="B720">
        <f>Skills!B7</f>
        <v/>
      </c>
      <c r="C720">
        <f>Inputs!$B$3&gt;=40</f>
        <v/>
      </c>
      <c r="D720">
        <f>IF(Skills!C7=1,60+Inputs!$B$24+Inputs!$B$28,IF(Skills!C7=2,90+(Inputs!$B$25+1)+Inputs!$B$28,IF(Skills!C7=3,120+Inputs!$B$26+Inputs!$B$28,MAX(0,(Inputs!$B$3-100)*3)+Inputs!$B$27+Inputs!$B$28)))</f>
        <v/>
      </c>
      <c r="E720">
        <f>INDEX(FactorTable!$B$2:$Y$301, MATCH(ROUND(MIN(300,MAX(1,D720)),0), FactorTable!$A$2:$A$301,0), Skills!M7+1)</f>
        <v/>
      </c>
      <c r="F720">
        <f>IF(Skills!N7=TRUE,(Skills!L7/10)*(E720/1000),Skills!L7/10)+Skills!O7</f>
        <v/>
      </c>
      <c r="G720">
        <f>Skills!G7*IF(Skills!H7&gt;0,Skills!I7/Skills!H7,1)</f>
        <v/>
      </c>
      <c r="H720">
        <f>1-(1-Skills!J7/100)^Skills!K7</f>
        <v/>
      </c>
      <c r="I720" t="inlineStr">
        <is>
          <t>1</t>
        </is>
      </c>
      <c r="J720">
        <f>(Inputs!$B$5*(1+Inputs!$B$6/100))*(F720/100)</f>
        <v/>
      </c>
      <c r="K720">
        <f>J720*(1+((Inputs!$B$11*(1+Inputs!$B$12/100))*0.01+Inputs!$B$13*0.0025)/100)*(1+Inputs!$B$14/100)*(1+IF(Inputs!$B$4="pvp",0,(1-Summary!$B$55)*(Inputs!$B$19+0+Skills!P7+((C730=TRUE)*F730*IF(AND(Inputs!$B$4&lt;&gt;"pvp",Inputs!$B$35&gt;0),(((S730-1)*(Skills!T17*(1+Inputs!$B$33/100))+MIN((Skills!T17*(1+Inputs!$B$33/100)),MAX(0,Inputs!$B$35-((S730-1)*Skills!D17))))/Inputs!$B$35),IF(Inputs!$B$4="pvp",MIN((Skills!T17*(1+Inputs!$B$33/100)),15)/15,(Skills!T17*(1+Inputs!$B$33/100))/Skills!D17)))+((C727=TRUE)*IF(Inputs!$B$4="pvp",20,(1-Summary!$B$55)*(20)+Summary!$B$55*(0))*IF(AND(Inputs!$B$4&lt;&gt;"pvp",Inputs!$B$35&gt;0),(((S727-1)*(Skills!T14*(1+Inputs!$B$33/100))+MIN((Skills!T14*(1+Inputs!$B$33/100)),MAX(0,Inputs!$B$35-((S727-1)*Skills!D14))))/Inputs!$B$35),IF(Inputs!$B$4="pvp",MIN((Skills!T14*(1+Inputs!$B$33/100)),15)/15,(Skills!T14*(1+Inputs!$B$33/100))/Skills!D14))))+Summary!$B$55*(Inputs!$B$20+Skills!Q7+((C730=TRUE)*F730*IF(AND(Inputs!$B$4&lt;&gt;"pvp",Inputs!$B$35&gt;0),(((S730-1)*(Skills!T17*(1+Inputs!$B$33/100))+MIN((Skills!T17*(1+Inputs!$B$33/100)),MAX(0,Inputs!$B$35-((S730-1)*Skills!D17))))/Inputs!$B$35),IF(Inputs!$B$4="pvp",MIN((Skills!T17*(1+Inputs!$B$33/100)),15)/15,(Skills!T17*(1+Inputs!$B$33/100))/Skills!D17)))))/100)*(1+Inputs!$B$15/100)*(5000/(6000+Inputs!$B$7*(1-(Inputs!$B$18+0)/100)))*(1+(Inputs!$B$23+((C738=TRUE)*(F738-Calc!F25))+((C739=TRUE)*(F739-Calc!F26))+B748)/100)*(1+0.75*IF(C724=TRUE,F724,0)/100)*(1+(IF(Skills!A7="DARK_IMPALE",Inputs!$B$16+0,Inputs!$B$17+((C736=TRUE)*(F736-Calc!F23))))/100)*((1+(((C726=TRUE)*F726*IF(AND(Inputs!$B$4&lt;&gt;"pvp",Inputs!$B$35&gt;0),(((S726-1)*(Skills!T13*(1+Inputs!$B$33/100))+MIN((Skills!T13*(1+Inputs!$B$33/100)),MAX(0,Inputs!$B$35-((S726-1)*Skills!D13))))/Inputs!$B$35),IF(Inputs!$B$4="pvp",MIN((Skills!T13*(1+Inputs!$B$33/100)),15)/15,(Skills!T13*(1+Inputs!$B$33/100))/Skills!D13)))+((C727=TRUE)*F727*IF(AND(Inputs!$B$4&lt;&gt;"pvp",Inputs!$B$35&gt;0),(((S727-1)*(Skills!T14*(1+Inputs!$B$33/100))+MIN((Skills!T14*(1+Inputs!$B$33/100)),MAX(0,Inputs!$B$35-((S727-1)*Skills!D14))))/Inputs!$B$35),IF(Inputs!$B$4="pvp",MIN((Skills!T14*(1+Inputs!$B$33/100)),15)/15,(Skills!T14*(1+Inputs!$B$33/100))/Skills!D14)))+((C728=TRUE)*F728*IF(AND(Inputs!$B$4&lt;&gt;"pvp",Inputs!$B$35&gt;0),(((S728-1)*(Skills!T15*(1+Inputs!$B$33/100))+MIN((Skills!T15*(1+Inputs!$B$33/100)),MAX(0,Inputs!$B$35-((S728-1)*Skills!D15))))/Inputs!$B$35),IF(Inputs!$B$4="pvp",MIN((Skills!T15*(1+Inputs!$B$33/100)),15)/15,(Skills!T15*(1+Inputs!$B$33/100))/Skills!D15)))+((C729=TRUE)*F729*IF(AND(Inputs!$B$4&lt;&gt;"pvp",Inputs!$B$35&gt;0),(((S729-1)*(Skills!T16*(1+Inputs!$B$33/100))+MIN((Skills!T16*(1+Inputs!$B$33/100)),MAX(0,Inputs!$B$35-((S729-1)*Skills!D16))))/Inputs!$B$35),IF(Inputs!$B$4="pvp",MIN((Skills!T16*(1+Inputs!$B$33/100)),15)/15,(Skills!T16*(1+Inputs!$B$33/100))/Skills!D16)))+0)/100)*I720)</f>
        <v/>
      </c>
      <c r="L720">
        <f>K720*(MIN(Inputs!$B$21+((C735=TRUE)*(F735-Calc!F22)),Inputs!$B$22+((C737=TRUE)*(F737-Calc!F24)))/100+(Inputs!$B$22+((C737=TRUE)*(F737-Calc!F24)))/100)/2</f>
        <v/>
      </c>
      <c r="M720">
        <f>L720*(1+(Inputs!$B$9+0+B747)/100)</f>
        <v/>
      </c>
      <c r="N720">
        <f>L720*(1-MIN((Inputs!$B$8+0+B742),100)/100)+M720*(MIN((Inputs!$B$8+0+B742),100)/100)</f>
        <v/>
      </c>
      <c r="O720">
        <f>IF(C720,H720*N720*IF(AND(Inputs!$B$4&lt;&gt;"pvp",Inputs!$B$35&gt;0),((Skills!G7*((R720-1)*IF(Skills!H7&gt;0,Skills!I7/Skills!H7,1)+IF(Skills!H7&gt;0,MIN(Skills!I7,MAX(0,Inputs!$B$35-((R720-1)*IF(Inputs!$B$4="pvp",15,MAX(0.1,Skills!D7-IF(Skills!E7=TRUE,Inputs!$B$31,0))))))/Skills!H7,1)))/Inputs!$B$35),G720*Q720)*IF(Inputs!$B$4="pvp",1,(1-Summary!$B$55)*(1)+Summary!$B$55*(MIN(Skills!R7,Inputs!$B$37))),0)</f>
        <v/>
      </c>
      <c r="P720">
        <f>IF(B750=0,0,O720/B750)</f>
        <v/>
      </c>
      <c r="Q720">
        <f>IFERROR(1/IF(Inputs!$B$4="pvp",15,MAX(0.1,Skills!D7-IF(Skills!E7=TRUE,Inputs!$B$31,0))),0)</f>
        <v/>
      </c>
      <c r="R720">
        <f>IF(AND(Inputs!$B$4&lt;&gt;"pvp",Inputs!$B$35&gt;0),(INT(Inputs!$B$35/IF(Inputs!$B$4="pvp",15,MAX(0.1,Skills!D7-IF(Skills!E7=TRUE,Inputs!$B$31,0))))+1),0)</f>
        <v/>
      </c>
      <c r="S720">
        <f>IFERROR(O720/N720,0)</f>
        <v/>
      </c>
    </row>
    <row r="721">
      <c r="A721">
        <f>Skills!A8</f>
        <v/>
      </c>
      <c r="B721">
        <f>Skills!B8</f>
        <v/>
      </c>
      <c r="C721">
        <f>Inputs!$B$3&gt;=75</f>
        <v/>
      </c>
      <c r="D721">
        <f>IF(Skills!C8=1,60+Inputs!$B$24+Inputs!$B$28,IF(Skills!C8=2,90+(Inputs!$B$25+1)+Inputs!$B$28,IF(Skills!C8=3,120+Inputs!$B$26+Inputs!$B$28,MAX(0,(Inputs!$B$3-100)*3)+Inputs!$B$27+Inputs!$B$28)))</f>
        <v/>
      </c>
      <c r="E721">
        <f>INDEX(FactorTable!$B$2:$Y$301, MATCH(ROUND(MIN(300,MAX(1,D721)),0), FactorTable!$A$2:$A$301,0), Skills!M8+1)</f>
        <v/>
      </c>
      <c r="F721">
        <f>IF(Skills!N8=TRUE,(Skills!L8/10)*(E721/1000),Skills!L8/10)+Skills!O8</f>
        <v/>
      </c>
      <c r="G721" t="inlineStr"/>
      <c r="H721" t="inlineStr"/>
      <c r="I721" t="inlineStr">
        <is>
          <t>1</t>
        </is>
      </c>
      <c r="J721" t="inlineStr"/>
      <c r="K721" t="inlineStr"/>
      <c r="L721" t="inlineStr"/>
      <c r="M721" t="inlineStr"/>
      <c r="N721" t="inlineStr"/>
      <c r="O721" t="inlineStr"/>
      <c r="P721" t="inlineStr"/>
      <c r="Q721" t="inlineStr"/>
      <c r="R721" t="inlineStr"/>
      <c r="S721" t="inlineStr"/>
    </row>
    <row r="722">
      <c r="A722">
        <f>Skills!A9</f>
        <v/>
      </c>
      <c r="B722">
        <f>Skills!B9</f>
        <v/>
      </c>
      <c r="C722">
        <f>Inputs!$B$3&gt;=60</f>
        <v/>
      </c>
      <c r="D722">
        <f>IF(Skills!C9=1,60+Inputs!$B$24+Inputs!$B$28,IF(Skills!C9=2,90+(Inputs!$B$25+1)+Inputs!$B$28,IF(Skills!C9=3,120+Inputs!$B$26+Inputs!$B$28,MAX(0,(Inputs!$B$3-100)*3)+Inputs!$B$27+Inputs!$B$28)))</f>
        <v/>
      </c>
      <c r="E722">
        <f>INDEX(FactorTable!$B$2:$Y$301, MATCH(ROUND(MIN(300,MAX(1,D722)),0), FactorTable!$A$2:$A$301,0), Skills!M9+1)</f>
        <v/>
      </c>
      <c r="F722">
        <f>IF(Skills!N9=TRUE,(Skills!L9/10)*(E722/1000),Skills!L9/10)+Skills!O9</f>
        <v/>
      </c>
      <c r="G722">
        <f>Skills!G9*IF(Skills!H9&gt;0,Skills!I9/Skills!H9,1)</f>
        <v/>
      </c>
      <c r="H722">
        <f>1-(1-Skills!J9/100)^Skills!K9</f>
        <v/>
      </c>
      <c r="I722" t="inlineStr">
        <is>
          <t>1</t>
        </is>
      </c>
      <c r="J722">
        <f>(Inputs!$B$5*(1+Inputs!$B$6/100))*(F722/100)</f>
        <v/>
      </c>
      <c r="K722">
        <f>J722*(1+((Inputs!$B$11*(1+Inputs!$B$12/100))*0.01+Inputs!$B$13*0.0025)/100)*(1+Inputs!$B$14/100)*(1+IF(Inputs!$B$4="pvp",0,(1-Summary!$B$55)*(Inputs!$B$19+0+Skills!P9+((C730=TRUE)*F730*IF(AND(Inputs!$B$4&lt;&gt;"pvp",Inputs!$B$35&gt;0),(((S730-1)*(Skills!T17*(1+Inputs!$B$33/100))+MIN((Skills!T17*(1+Inputs!$B$33/100)),MAX(0,Inputs!$B$35-((S730-1)*Skills!D17))))/Inputs!$B$35),IF(Inputs!$B$4="pvp",MIN((Skills!T17*(1+Inputs!$B$33/100)),15)/15,(Skills!T17*(1+Inputs!$B$33/100))/Skills!D17)))+((C727=TRUE)*IF(Inputs!$B$4="pvp",20,(1-Summary!$B$55)*(20)+Summary!$B$55*(0))*IF(AND(Inputs!$B$4&lt;&gt;"pvp",Inputs!$B$35&gt;0),(((S727-1)*(Skills!T14*(1+Inputs!$B$33/100))+MIN((Skills!T14*(1+Inputs!$B$33/100)),MAX(0,Inputs!$B$35-((S727-1)*Skills!D14))))/Inputs!$B$35),IF(Inputs!$B$4="pvp",MIN((Skills!T14*(1+Inputs!$B$33/100)),15)/15,(Skills!T14*(1+Inputs!$B$33/100))/Skills!D14))))+Summary!$B$55*(Inputs!$B$20+Skills!Q9+((C730=TRUE)*F730*IF(AND(Inputs!$B$4&lt;&gt;"pvp",Inputs!$B$35&gt;0),(((S730-1)*(Skills!T17*(1+Inputs!$B$33/100))+MIN((Skills!T17*(1+Inputs!$B$33/100)),MAX(0,Inputs!$B$35-((S730-1)*Skills!D17))))/Inputs!$B$35),IF(Inputs!$B$4="pvp",MIN((Skills!T17*(1+Inputs!$B$33/100)),15)/15,(Skills!T17*(1+Inputs!$B$33/100))/Skills!D17)))))/100)*(1+Inputs!$B$15/100)*(5000/(6000+Inputs!$B$7*(1-(Inputs!$B$18+0)/100)))*(1+(Inputs!$B$23+((C738=TRUE)*(F738-Calc!F25))+((C739=TRUE)*(F739-Calc!F26))+B748)/100)*(1+1.0*IF(C724=TRUE,F724,0)/100)*(1+(IF(Skills!A9="DARK_IMPALE",Inputs!$B$16+0,Inputs!$B$17+((C736=TRUE)*(F736-Calc!F23))))/100)*((1+(((C726=TRUE)*F726*IF(AND(Inputs!$B$4&lt;&gt;"pvp",Inputs!$B$35&gt;0),(((S726-1)*(Skills!T13*(1+Inputs!$B$33/100))+MIN((Skills!T13*(1+Inputs!$B$33/100)),MAX(0,Inputs!$B$35-((S726-1)*Skills!D13))))/Inputs!$B$35),IF(Inputs!$B$4="pvp",MIN((Skills!T13*(1+Inputs!$B$33/100)),15)/15,(Skills!T13*(1+Inputs!$B$33/100))/Skills!D13)))+((C727=TRUE)*F727*IF(AND(Inputs!$B$4&lt;&gt;"pvp",Inputs!$B$35&gt;0),(((S727-1)*(Skills!T14*(1+Inputs!$B$33/100))+MIN((Skills!T14*(1+Inputs!$B$33/100)),MAX(0,Inputs!$B$35-((S727-1)*Skills!D14))))/Inputs!$B$35),IF(Inputs!$B$4="pvp",MIN((Skills!T14*(1+Inputs!$B$33/100)),15)/15,(Skills!T14*(1+Inputs!$B$33/100))/Skills!D14)))+((C728=TRUE)*F728*IF(AND(Inputs!$B$4&lt;&gt;"pvp",Inputs!$B$35&gt;0),(((S728-1)*(Skills!T15*(1+Inputs!$B$33/100))+MIN((Skills!T15*(1+Inputs!$B$33/100)),MAX(0,Inputs!$B$35-((S728-1)*Skills!D15))))/Inputs!$B$35),IF(Inputs!$B$4="pvp",MIN((Skills!T15*(1+Inputs!$B$33/100)),15)/15,(Skills!T15*(1+Inputs!$B$33/100))/Skills!D15)))+((C729=TRUE)*F729*IF(AND(Inputs!$B$4&lt;&gt;"pvp",Inputs!$B$35&gt;0),(((S729-1)*(Skills!T16*(1+Inputs!$B$33/100))+MIN((Skills!T16*(1+Inputs!$B$33/100)),MAX(0,Inputs!$B$35-((S729-1)*Skills!D16))))/Inputs!$B$35),IF(Inputs!$B$4="pvp",MIN((Skills!T16*(1+Inputs!$B$33/100)),15)/15,(Skills!T16*(1+Inputs!$B$33/100))/Skills!D16)))+0)/100)*I722)</f>
        <v/>
      </c>
      <c r="L722">
        <f>K722*(MIN(Inputs!$B$21+((C735=TRUE)*(F735-Calc!F22)),Inputs!$B$22+((C737=TRUE)*(F737-Calc!F24)))/100+(Inputs!$B$22+((C737=TRUE)*(F737-Calc!F24)))/100)/2</f>
        <v/>
      </c>
      <c r="M722">
        <f>L722*(1+(Inputs!$B$9+0+B747)/100)</f>
        <v/>
      </c>
      <c r="N722">
        <f>L722*(1-MIN((Inputs!$B$8+0+B742),100)/100)+M722*(MIN((Inputs!$B$8+0+B742),100)/100)</f>
        <v/>
      </c>
      <c r="O722">
        <f>IF(C722,H722*N722*IF(AND(Inputs!$B$4&lt;&gt;"pvp",Inputs!$B$35&gt;0),((Skills!G9*((R722-1)*IF(Skills!H9&gt;0,Skills!I9/Skills!H9,1)+IF(Skills!H9&gt;0,MIN(Skills!I9,MAX(0,Inputs!$B$35-((R722-1)*IF(Inputs!$B$4="pvp",15,MAX(0.1,Skills!D9-IF(Skills!E9=TRUE,Inputs!$B$31,0))))))/Skills!H9,1)))/Inputs!$B$35),G722*Q722)*IF(Inputs!$B$4="pvp",1,(1-Summary!$B$55)*(1)+Summary!$B$55*(MIN(Skills!R9,Inputs!$B$37))),0)</f>
        <v/>
      </c>
      <c r="P722">
        <f>IF(B750=0,0,O722/B750)</f>
        <v/>
      </c>
      <c r="Q722">
        <f>IFERROR(1/IF(Inputs!$B$4="pvp",15,MAX(0.1,Skills!D9-IF(Skills!E9=TRUE,Inputs!$B$31,0))),0)</f>
        <v/>
      </c>
      <c r="R722">
        <f>IF(AND(Inputs!$B$4&lt;&gt;"pvp",Inputs!$B$35&gt;0),(INT(Inputs!$B$35/IF(Inputs!$B$4="pvp",15,MAX(0.1,Skills!D9-IF(Skills!E9=TRUE,Inputs!$B$31,0))))+1),0)</f>
        <v/>
      </c>
      <c r="S722">
        <f>IFERROR(O722/N722,0)</f>
        <v/>
      </c>
    </row>
    <row r="723">
      <c r="A723">
        <f>Skills!A10</f>
        <v/>
      </c>
      <c r="B723">
        <f>Skills!B10</f>
        <v/>
      </c>
      <c r="C723">
        <f>Inputs!$B$3&gt;=110</f>
        <v/>
      </c>
      <c r="D723">
        <f>IF(Skills!C10=1,60+Inputs!$B$24+Inputs!$B$28,IF(Skills!C10=2,90+(Inputs!$B$25+1)+Inputs!$B$28,IF(Skills!C10=3,120+Inputs!$B$26+Inputs!$B$28,MAX(0,(Inputs!$B$3-100)*3)+Inputs!$B$27+Inputs!$B$28)))</f>
        <v/>
      </c>
      <c r="E723">
        <f>INDEX(FactorTable!$B$2:$Y$301, MATCH(ROUND(MIN(300,MAX(1,D723)),0), FactorTable!$A$2:$A$301,0), Skills!M10+1)</f>
        <v/>
      </c>
      <c r="F723">
        <f>IF(Skills!N10=TRUE,(Skills!L10/10)*(E723/1000),Skills!L10/10)+Skills!O10</f>
        <v/>
      </c>
      <c r="G723">
        <f>Skills!G10*IF(Skills!H10&gt;0,Skills!I10/Skills!H10,1)</f>
        <v/>
      </c>
      <c r="H723">
        <f>1-(1-Skills!J10/100)^Skills!K10</f>
        <v/>
      </c>
      <c r="I723" t="inlineStr">
        <is>
          <t>1</t>
        </is>
      </c>
      <c r="J723">
        <f>(Inputs!$B$5*(1+Inputs!$B$6/100))*(F723/100)</f>
        <v/>
      </c>
      <c r="K723">
        <f>J723*(1+((Inputs!$B$11*(1+Inputs!$B$12/100))*0.01+Inputs!$B$13*0.0025)/100)*(1+Inputs!$B$14/100)*(1+IF(Inputs!$B$4="pvp",0,(1-Summary!$B$55)*(Inputs!$B$19+0+Skills!P10+((C730=TRUE)*F730*IF(AND(Inputs!$B$4&lt;&gt;"pvp",Inputs!$B$35&gt;0),(((S730-1)*(Skills!T17*(1+Inputs!$B$33/100))+MIN((Skills!T17*(1+Inputs!$B$33/100)),MAX(0,Inputs!$B$35-((S730-1)*Skills!D17))))/Inputs!$B$35),IF(Inputs!$B$4="pvp",MIN((Skills!T17*(1+Inputs!$B$33/100)),15)/15,(Skills!T17*(1+Inputs!$B$33/100))/Skills!D17)))+((C727=TRUE)*IF(Inputs!$B$4="pvp",20,(1-Summary!$B$55)*(20)+Summary!$B$55*(0))*IF(AND(Inputs!$B$4&lt;&gt;"pvp",Inputs!$B$35&gt;0),(((S727-1)*(Skills!T14*(1+Inputs!$B$33/100))+MIN((Skills!T14*(1+Inputs!$B$33/100)),MAX(0,Inputs!$B$35-((S727-1)*Skills!D14))))/Inputs!$B$35),IF(Inputs!$B$4="pvp",MIN((Skills!T14*(1+Inputs!$B$33/100)),15)/15,(Skills!T14*(1+Inputs!$B$33/100))/Skills!D14))))+Summary!$B$55*(Inputs!$B$20+Skills!Q10+((C730=TRUE)*F730*IF(AND(Inputs!$B$4&lt;&gt;"pvp",Inputs!$B$35&gt;0),(((S730-1)*(Skills!T17*(1+Inputs!$B$33/100))+MIN((Skills!T17*(1+Inputs!$B$33/100)),MAX(0,Inputs!$B$35-((S730-1)*Skills!D17))))/Inputs!$B$35),IF(Inputs!$B$4="pvp",MIN((Skills!T17*(1+Inputs!$B$33/100)),15)/15,(Skills!T17*(1+Inputs!$B$33/100))/Skills!D17)))))/100)*(1+Inputs!$B$15/100)*(5000/(6000+Inputs!$B$7*(1-(Inputs!$B$18+0)/100)))*(1+(Inputs!$B$23+((C738=TRUE)*(F738-Calc!F25))+((C739=TRUE)*(F739-Calc!F26))+B748)/100)*(1+(IF(Skills!A10="DARK_IMPALE",Inputs!$B$16+0,Inputs!$B$17+((C736=TRUE)*(F736-Calc!F23))))/100)*((1+(((C726=TRUE)*F726*IF(AND(Inputs!$B$4&lt;&gt;"pvp",Inputs!$B$35&gt;0),(((S726-1)*(Skills!T13*(1+Inputs!$B$33/100))+MIN((Skills!T13*(1+Inputs!$B$33/100)),MAX(0,Inputs!$B$35-((S726-1)*Skills!D13))))/Inputs!$B$35),IF(Inputs!$B$4="pvp",MIN((Skills!T13*(1+Inputs!$B$33/100)),15)/15,(Skills!T13*(1+Inputs!$B$33/100))/Skills!D13)))+((C727=TRUE)*F727*IF(AND(Inputs!$B$4&lt;&gt;"pvp",Inputs!$B$35&gt;0),(((S727-1)*(Skills!T14*(1+Inputs!$B$33/100))+MIN((Skills!T14*(1+Inputs!$B$33/100)),MAX(0,Inputs!$B$35-((S727-1)*Skills!D14))))/Inputs!$B$35),IF(Inputs!$B$4="pvp",MIN((Skills!T14*(1+Inputs!$B$33/100)),15)/15,(Skills!T14*(1+Inputs!$B$33/100))/Skills!D14)))+((C728=TRUE)*F728*IF(AND(Inputs!$B$4&lt;&gt;"pvp",Inputs!$B$35&gt;0),(((S728-1)*(Skills!T15*(1+Inputs!$B$33/100))+MIN((Skills!T15*(1+Inputs!$B$33/100)),MAX(0,Inputs!$B$35-((S728-1)*Skills!D15))))/Inputs!$B$35),IF(Inputs!$B$4="pvp",MIN((Skills!T15*(1+Inputs!$B$33/100)),15)/15,(Skills!T15*(1+Inputs!$B$33/100))/Skills!D15)))+((C729=TRUE)*F729*IF(AND(Inputs!$B$4&lt;&gt;"pvp",Inputs!$B$35&gt;0),(((S729-1)*(Skills!T16*(1+Inputs!$B$33/100))+MIN((Skills!T16*(1+Inputs!$B$33/100)),MAX(0,Inputs!$B$35-((S729-1)*Skills!D16))))/Inputs!$B$35),IF(Inputs!$B$4="pvp",MIN((Skills!T16*(1+Inputs!$B$33/100)),15)/15,(Skills!T16*(1+Inputs!$B$33/100))/Skills!D16)))+0)/100)*I723)</f>
        <v/>
      </c>
      <c r="L723">
        <f>K723*(MIN(Inputs!$B$21+((C735=TRUE)*(F735-Calc!F22)),Inputs!$B$22+((C737=TRUE)*(F737-Calc!F24)))/100+(Inputs!$B$22+((C737=TRUE)*(F737-Calc!F24)))/100)/2</f>
        <v/>
      </c>
      <c r="M723">
        <f>L723*(1+(Inputs!$B$9+0+B747)/100)</f>
        <v/>
      </c>
      <c r="N723">
        <f>L723*(1-MIN((Inputs!$B$8+0+B742),100)/100)+M723*(MIN((Inputs!$B$8+0+B742),100)/100)</f>
        <v/>
      </c>
      <c r="O723">
        <f>IF(C723,H723*N723*IF(AND(Inputs!$B$4&lt;&gt;"pvp",Inputs!$B$35&gt;0),((Skills!G10*((R723-1)*IF(Skills!H10&gt;0,Skills!I10/Skills!H10,1)+IF(Skills!H10&gt;0,MIN(Skills!I10,MAX(0,Inputs!$B$35-((R723-1)*IF(Inputs!$B$4="pvp",15,MAX(0.1,Skills!D10-IF(Skills!E10=TRUE,Inputs!$B$31,0))))))/Skills!H10,1)))/Inputs!$B$35),G723*Q723)*IF(Inputs!$B$4="pvp",1,(1-Summary!$B$55)*(1)+Summary!$B$55*(MIN(Skills!R10,Inputs!$B$37))),0)</f>
        <v/>
      </c>
      <c r="P723">
        <f>IF(B750=0,0,O723/B750)</f>
        <v/>
      </c>
      <c r="Q723">
        <f>IFERROR(1/IF(Inputs!$B$4="pvp",15,MAX(0.1,Skills!D10-IF(Skills!E10=TRUE,Inputs!$B$31,0))),0)</f>
        <v/>
      </c>
      <c r="R723">
        <f>IF(AND(Inputs!$B$4&lt;&gt;"pvp",Inputs!$B$35&gt;0),(INT(Inputs!$B$35/IF(Inputs!$B$4="pvp",15,MAX(0.1,Skills!D10-IF(Skills!E10=TRUE,Inputs!$B$31,0))))+1),0)</f>
        <v/>
      </c>
      <c r="S723">
        <f>IFERROR(O723/N723,0)</f>
        <v/>
      </c>
    </row>
    <row r="724">
      <c r="A724">
        <f>Skills!A11</f>
        <v/>
      </c>
      <c r="B724">
        <f>Skills!B11</f>
        <v/>
      </c>
      <c r="C724">
        <f>Inputs!$B$3&gt;=100</f>
        <v/>
      </c>
      <c r="D724">
        <f>IF(Skills!C11=1,60+Inputs!$B$24+Inputs!$B$28,IF(Skills!C11=2,90+(Inputs!$B$25+1)+Inputs!$B$28,IF(Skills!C11=3,120+Inputs!$B$26+Inputs!$B$28,MAX(0,(Inputs!$B$3-100)*3)+Inputs!$B$27+Inputs!$B$28)))</f>
        <v/>
      </c>
      <c r="E724">
        <f>INDEX(FactorTable!$B$2:$Y$301, MATCH(ROUND(MIN(300,MAX(1,D724)),0), FactorTable!$A$2:$A$301,0), Skills!M11+1)</f>
        <v/>
      </c>
      <c r="F724">
        <f>IF(Skills!N11=TRUE,(Skills!L11/10)*(E724/1000),Skills!L11/10)+Skills!O11</f>
        <v/>
      </c>
      <c r="G724" t="inlineStr"/>
      <c r="H724" t="inlineStr"/>
      <c r="I724" t="inlineStr">
        <is>
          <t>1</t>
        </is>
      </c>
      <c r="J724" t="inlineStr"/>
      <c r="K724" t="inlineStr"/>
      <c r="L724" t="inlineStr"/>
      <c r="M724" t="inlineStr"/>
      <c r="N724" t="inlineStr"/>
      <c r="O724" t="inlineStr"/>
      <c r="P724" t="inlineStr"/>
      <c r="Q724" t="inlineStr"/>
      <c r="R724" t="inlineStr"/>
      <c r="S724" t="inlineStr"/>
    </row>
    <row r="725">
      <c r="A725">
        <f>Skills!A12</f>
        <v/>
      </c>
      <c r="B725">
        <f>Skills!B12</f>
        <v/>
      </c>
      <c r="C725">
        <f>Inputs!$B$3&gt;=63</f>
        <v/>
      </c>
      <c r="D725">
        <f>IF(Skills!C12=1,60+Inputs!$B$24+Inputs!$B$28,IF(Skills!C12=2,90+(Inputs!$B$25+1)+Inputs!$B$28,IF(Skills!C12=3,120+Inputs!$B$26+Inputs!$B$28,MAX(0,(Inputs!$B$3-100)*3)+Inputs!$B$27+Inputs!$B$28)))</f>
        <v/>
      </c>
      <c r="E725">
        <f>INDEX(FactorTable!$B$2:$Y$301, MATCH(ROUND(MIN(300,MAX(1,D725)),0), FactorTable!$A$2:$A$301,0), Skills!M12+1)</f>
        <v/>
      </c>
      <c r="F725">
        <f>IF(Skills!N12=TRUE,(Skills!L12/10)*(E725/1000),Skills!L12/10)+Skills!O12</f>
        <v/>
      </c>
      <c r="G725">
        <f>Skills!G12*IF(Skills!H12&gt;0,Skills!I12/Skills!H12,1)</f>
        <v/>
      </c>
      <c r="H725">
        <f>1-(1-Skills!J12/100)^Skills!K12</f>
        <v/>
      </c>
      <c r="I725" t="inlineStr">
        <is>
          <t>1</t>
        </is>
      </c>
      <c r="J725">
        <f>(Inputs!$B$5*(1+Inputs!$B$6/100))*(F725/100)</f>
        <v/>
      </c>
      <c r="K725">
        <f>J725*(1+((Inputs!$B$11*(1+Inputs!$B$12/100))*0.01+Inputs!$B$13*0.0025)/100)*(1+Inputs!$B$14/100)*(1+IF(Inputs!$B$4="pvp",0,(1-Summary!$B$55)*(Inputs!$B$19+0+Skills!P12+((C730=TRUE)*F730*IF(AND(Inputs!$B$4&lt;&gt;"pvp",Inputs!$B$35&gt;0),(((S730-1)*(Skills!T17*(1+Inputs!$B$33/100))+MIN((Skills!T17*(1+Inputs!$B$33/100)),MAX(0,Inputs!$B$35-((S730-1)*Skills!D17))))/Inputs!$B$35),IF(Inputs!$B$4="pvp",MIN((Skills!T17*(1+Inputs!$B$33/100)),15)/15,(Skills!T17*(1+Inputs!$B$33/100))/Skills!D17)))+((C727=TRUE)*IF(Inputs!$B$4="pvp",20,(1-Summary!$B$55)*(20)+Summary!$B$55*(0))*IF(AND(Inputs!$B$4&lt;&gt;"pvp",Inputs!$B$35&gt;0),(((S727-1)*(Skills!T14*(1+Inputs!$B$33/100))+MIN((Skills!T14*(1+Inputs!$B$33/100)),MAX(0,Inputs!$B$35-((S727-1)*Skills!D14))))/Inputs!$B$35),IF(Inputs!$B$4="pvp",MIN((Skills!T14*(1+Inputs!$B$33/100)),15)/15,(Skills!T14*(1+Inputs!$B$33/100))/Skills!D14))))+Summary!$B$55*(Inputs!$B$20+Skills!Q12+((C730=TRUE)*F730*IF(AND(Inputs!$B$4&lt;&gt;"pvp",Inputs!$B$35&gt;0),(((S730-1)*(Skills!T17*(1+Inputs!$B$33/100))+MIN((Skills!T17*(1+Inputs!$B$33/100)),MAX(0,Inputs!$B$35-((S730-1)*Skills!D17))))/Inputs!$B$35),IF(Inputs!$B$4="pvp",MIN((Skills!T17*(1+Inputs!$B$33/100)),15)/15,(Skills!T17*(1+Inputs!$B$33/100))/Skills!D17)))))/100)*(1+Inputs!$B$15/100)*(5000/(6000+Inputs!$B$7*(1-(Inputs!$B$18+0)/100)))*(1+(Inputs!$B$23+((C738=TRUE)*(F738-Calc!F25))+((C739=TRUE)*(F739-Calc!F26))+B748)/100)*(1+0.75*IF(C724=TRUE,F724,0)/100)*(1+(IF(Skills!A12="DARK_IMPALE",Inputs!$B$16+0,Inputs!$B$17+((C736=TRUE)*(F736-Calc!F23))))/100)*((1+(((C726=TRUE)*F726*IF(AND(Inputs!$B$4&lt;&gt;"pvp",Inputs!$B$35&gt;0),(((S726-1)*(Skills!T13*(1+Inputs!$B$33/100))+MIN((Skills!T13*(1+Inputs!$B$33/100)),MAX(0,Inputs!$B$35-((S726-1)*Skills!D13))))/Inputs!$B$35),IF(Inputs!$B$4="pvp",MIN((Skills!T13*(1+Inputs!$B$33/100)),15)/15,(Skills!T13*(1+Inputs!$B$33/100))/Skills!D13)))+((C727=TRUE)*F727*IF(AND(Inputs!$B$4&lt;&gt;"pvp",Inputs!$B$35&gt;0),(((S727-1)*(Skills!T14*(1+Inputs!$B$33/100))+MIN((Skills!T14*(1+Inputs!$B$33/100)),MAX(0,Inputs!$B$35-((S727-1)*Skills!D14))))/Inputs!$B$35),IF(Inputs!$B$4="pvp",MIN((Skills!T14*(1+Inputs!$B$33/100)),15)/15,(Skills!T14*(1+Inputs!$B$33/100))/Skills!D14)))+((C728=TRUE)*F728*IF(AND(Inputs!$B$4&lt;&gt;"pvp",Inputs!$B$35&gt;0),(((S728-1)*(Skills!T15*(1+Inputs!$B$33/100))+MIN((Skills!T15*(1+Inputs!$B$33/100)),MAX(0,Inputs!$B$35-((S728-1)*Skills!D15))))/Inputs!$B$35),IF(Inputs!$B$4="pvp",MIN((Skills!T15*(1+Inputs!$B$33/100)),15)/15,(Skills!T15*(1+Inputs!$B$33/100))/Skills!D15)))+((C729=TRUE)*F729*IF(AND(Inputs!$B$4&lt;&gt;"pvp",Inputs!$B$35&gt;0),(((S729-1)*(Skills!T16*(1+Inputs!$B$33/100))+MIN((Skills!T16*(1+Inputs!$B$33/100)),MAX(0,Inputs!$B$35-((S729-1)*Skills!D16))))/Inputs!$B$35),IF(Inputs!$B$4="pvp",MIN((Skills!T16*(1+Inputs!$B$33/100)),15)/15,(Skills!T16*(1+Inputs!$B$33/100))/Skills!D16)))+0)/100)*I725)</f>
        <v/>
      </c>
      <c r="L725">
        <f>K725*(MIN(Inputs!$B$21+((C735=TRUE)*(F735-Calc!F22)),Inputs!$B$22+((C737=TRUE)*(F737-Calc!F24)))/100+(Inputs!$B$22+((C737=TRUE)*(F737-Calc!F24)))/100)/2</f>
        <v/>
      </c>
      <c r="M725">
        <f>L725*(1+(Inputs!$B$9+0+B747)/100)</f>
        <v/>
      </c>
      <c r="N725">
        <f>L725*(1-MIN((Inputs!$B$8+0+B742),100)/100)+M725*(MIN((Inputs!$B$8+0+B742),100)/100)</f>
        <v/>
      </c>
      <c r="O725">
        <f>IF(C725,H725*N725*IF(AND(Inputs!$B$4&lt;&gt;"pvp",Inputs!$B$35&gt;0),((Skills!G12*((R725-1)*IF(Skills!H12&gt;0,Skills!I12/Skills!H12,1)+IF(Skills!H12&gt;0,MIN(Skills!I12,MAX(0,Inputs!$B$35-((R725-1)*IF(Inputs!$B$4="pvp",15,MAX(0.1,Skills!D12-IF(Skills!E12=TRUE,Inputs!$B$31,0))))))/Skills!H12,1)))/Inputs!$B$35),G725*Q725)*IF(Inputs!$B$4="pvp",1,(1-Summary!$B$55)*(1)+Summary!$B$55*(MIN(Skills!R12,Inputs!$B$37))),0)</f>
        <v/>
      </c>
      <c r="P725">
        <f>IF(B750=0,0,O725/B750)</f>
        <v/>
      </c>
      <c r="Q725">
        <f>IFERROR(1/IF(Inputs!$B$4="pvp",15,MAX(0.1,Skills!D12-IF(Skills!E12=TRUE,Inputs!$B$31,0))),0)</f>
        <v/>
      </c>
      <c r="R725">
        <f>IF(AND(Inputs!$B$4&lt;&gt;"pvp",Inputs!$B$35&gt;0),(INT(Inputs!$B$35/IF(Inputs!$B$4="pvp",15,MAX(0.1,Skills!D12-IF(Skills!E12=TRUE,Inputs!$B$31,0))))+1),0)</f>
        <v/>
      </c>
      <c r="S725">
        <f>IFERROR(O725/N725,0)</f>
        <v/>
      </c>
    </row>
    <row r="726">
      <c r="A726">
        <f>Skills!A13</f>
        <v/>
      </c>
      <c r="B726">
        <f>Skills!B13</f>
        <v/>
      </c>
      <c r="C726">
        <f>Inputs!$B$3&gt;=69</f>
        <v/>
      </c>
      <c r="D726">
        <f>IF(Skills!C13=1,60+Inputs!$B$24+Inputs!$B$28,IF(Skills!C13=2,90+(Inputs!$B$25+1)+Inputs!$B$28,IF(Skills!C13=3,120+Inputs!$B$26+Inputs!$B$28,MAX(0,(Inputs!$B$3-100)*3)+Inputs!$B$27+Inputs!$B$28)))</f>
        <v/>
      </c>
      <c r="E726">
        <f>INDEX(FactorTable!$B$2:$Y$301, MATCH(ROUND(MIN(300,MAX(1,D726)),0), FactorTable!$A$2:$A$301,0), Skills!M13+1)</f>
        <v/>
      </c>
      <c r="F726">
        <f>IF(Skills!N13=TRUE,(Skills!L13/10)*(E726/1000),Skills!L13/10)+Skills!O13</f>
        <v/>
      </c>
      <c r="G726">
        <f>Skills!G13*IF(Skills!H13&gt;0,Skills!I13/Skills!H13,1)</f>
        <v/>
      </c>
      <c r="H726">
        <f>1-(1-Skills!J13/100)^Skills!K13</f>
        <v/>
      </c>
      <c r="I726" t="inlineStr">
        <is>
          <t>1</t>
        </is>
      </c>
      <c r="J726" t="inlineStr"/>
      <c r="K726" t="inlineStr"/>
      <c r="L726" t="inlineStr"/>
      <c r="M726" t="inlineStr"/>
      <c r="N726" t="inlineStr"/>
      <c r="O726" t="n">
        <v>0</v>
      </c>
      <c r="P726">
        <f>IF(B750=0,0,O726/B750)</f>
        <v/>
      </c>
      <c r="Q726">
        <f>IFERROR(1/IF(Inputs!$B$4="pvp",15,MAX(0.1,Skills!D13-IF(Skills!E13=TRUE,Inputs!$B$31,0))),0)</f>
        <v/>
      </c>
      <c r="R726">
        <f>IF(AND(Inputs!$B$4&lt;&gt;"pvp",Inputs!$B$35&gt;0),(INT(Inputs!$B$35/IF(Inputs!$B$4="pvp",15,MAX(0.1,Skills!D13-IF(Skills!E13=TRUE,Inputs!$B$31,0))))+1),0)</f>
        <v/>
      </c>
      <c r="S726">
        <f>IFERROR(O726/N726,0)</f>
        <v/>
      </c>
    </row>
    <row r="727">
      <c r="A727">
        <f>Skills!A14</f>
        <v/>
      </c>
      <c r="B727">
        <f>Skills!B14</f>
        <v/>
      </c>
      <c r="C727">
        <f>Inputs!$B$3&gt;=115</f>
        <v/>
      </c>
      <c r="D727">
        <f>IF(Skills!C14=1,60+Inputs!$B$24+Inputs!$B$28,IF(Skills!C14=2,90+(Inputs!$B$25+1)+Inputs!$B$28,IF(Skills!C14=3,120+Inputs!$B$26+Inputs!$B$28,MAX(0,(Inputs!$B$3-100)*3)+Inputs!$B$27+Inputs!$B$28)))</f>
        <v/>
      </c>
      <c r="E727">
        <f>INDEX(FactorTable!$B$2:$Y$301, MATCH(ROUND(MIN(300,MAX(1,D727)),0), FactorTable!$A$2:$A$301,0), Skills!M14+1)</f>
        <v/>
      </c>
      <c r="F727">
        <f>IF(Skills!N14=TRUE,(Skills!L14/10)*(E727/1000),Skills!L14/10)+Skills!O14</f>
        <v/>
      </c>
      <c r="G727">
        <f>Skills!G14*IF(Skills!H14&gt;0,Skills!I14/Skills!H14,1)</f>
        <v/>
      </c>
      <c r="H727">
        <f>1-(1-Skills!J14/100)^Skills!K14</f>
        <v/>
      </c>
      <c r="I727" t="inlineStr">
        <is>
          <t>1</t>
        </is>
      </c>
      <c r="J727" t="inlineStr"/>
      <c r="K727" t="inlineStr"/>
      <c r="L727" t="inlineStr"/>
      <c r="M727" t="inlineStr"/>
      <c r="N727" t="inlineStr"/>
      <c r="O727" t="n">
        <v>0</v>
      </c>
      <c r="P727">
        <f>IF(B750=0,0,O727/B750)</f>
        <v/>
      </c>
      <c r="Q727">
        <f>IFERROR(1/IF(Inputs!$B$4="pvp",15,MAX(0.1,Skills!D14-IF(Skills!E14=TRUE,Inputs!$B$31,0))),0)</f>
        <v/>
      </c>
      <c r="R727">
        <f>IF(AND(Inputs!$B$4&lt;&gt;"pvp",Inputs!$B$35&gt;0),(INT(Inputs!$B$35/IF(Inputs!$B$4="pvp",15,MAX(0.1,Skills!D14-IF(Skills!E14=TRUE,Inputs!$B$31,0))))+1),0)</f>
        <v/>
      </c>
      <c r="S727">
        <f>IFERROR(O727/N727,0)</f>
        <v/>
      </c>
    </row>
    <row r="728">
      <c r="A728">
        <f>Skills!A15</f>
        <v/>
      </c>
      <c r="B728">
        <f>Skills!B15</f>
        <v/>
      </c>
      <c r="C728">
        <f>Inputs!$B$3&gt;=66</f>
        <v/>
      </c>
      <c r="D728">
        <f>IF(Skills!C15=1,60+Inputs!$B$24+Inputs!$B$28,IF(Skills!C15=2,90+(Inputs!$B$25+1)+Inputs!$B$28,IF(Skills!C15=3,120+Inputs!$B$26+Inputs!$B$28,MAX(0,(Inputs!$B$3-100)*3)+Inputs!$B$27+Inputs!$B$28)))</f>
        <v/>
      </c>
      <c r="E728">
        <f>INDEX(FactorTable!$B$2:$Y$301, MATCH(ROUND(MIN(300,MAX(1,D728)),0), FactorTable!$A$2:$A$301,0), Skills!M15+1)</f>
        <v/>
      </c>
      <c r="F728">
        <f>IF(Skills!N15=TRUE,(Skills!L15/10)*(E728/1000),Skills!L15/10)+Skills!O15</f>
        <v/>
      </c>
      <c r="G728">
        <f>Skills!G15*IF(Skills!H15&gt;0,Skills!I15/Skills!H15,1)</f>
        <v/>
      </c>
      <c r="H728">
        <f>1-(1-Skills!J15/100)^Skills!K15</f>
        <v/>
      </c>
      <c r="I728" t="inlineStr">
        <is>
          <t>1</t>
        </is>
      </c>
      <c r="J728" t="inlineStr"/>
      <c r="K728" t="inlineStr"/>
      <c r="L728" t="inlineStr"/>
      <c r="M728" t="inlineStr"/>
      <c r="N728" t="inlineStr"/>
      <c r="O728" t="n">
        <v>0</v>
      </c>
      <c r="P728">
        <f>IF(B750=0,0,O728/B750)</f>
        <v/>
      </c>
      <c r="Q728">
        <f>IFERROR(1/IF(Inputs!$B$4="pvp",15,MAX(0.1,Skills!D15-IF(Skills!E15=TRUE,Inputs!$B$31,0))),0)</f>
        <v/>
      </c>
      <c r="R728">
        <f>IF(AND(Inputs!$B$4&lt;&gt;"pvp",Inputs!$B$35&gt;0),(INT(Inputs!$B$35/IF(Inputs!$B$4="pvp",15,MAX(0.1,Skills!D15-IF(Skills!E15=TRUE,Inputs!$B$31,0))))+1),0)</f>
        <v/>
      </c>
      <c r="S728">
        <f>IFERROR(O728/N728,0)</f>
        <v/>
      </c>
    </row>
    <row r="729">
      <c r="A729">
        <f>Skills!A16</f>
        <v/>
      </c>
      <c r="B729">
        <f>Skills!B16</f>
        <v/>
      </c>
      <c r="C729">
        <f>Inputs!$B$3&gt;=45</f>
        <v/>
      </c>
      <c r="D729">
        <f>IF(Skills!C16=1,60+Inputs!$B$24+Inputs!$B$28,IF(Skills!C16=2,90+(Inputs!$B$25+1)+Inputs!$B$28,IF(Skills!C16=3,120+Inputs!$B$26+Inputs!$B$28,MAX(0,(Inputs!$B$3-100)*3)+Inputs!$B$27+Inputs!$B$28)))</f>
        <v/>
      </c>
      <c r="E729">
        <f>INDEX(FactorTable!$B$2:$Y$301, MATCH(ROUND(MIN(300,MAX(1,D729)),0), FactorTable!$A$2:$A$301,0), Skills!M16+1)</f>
        <v/>
      </c>
      <c r="F729">
        <f>IF(Skills!N16=TRUE,(Skills!L16/10)*(E729/1000),Skills!L16/10)+Skills!O16</f>
        <v/>
      </c>
      <c r="G729">
        <f>Skills!G16*IF(Skills!H16&gt;0,Skills!I16/Skills!H16,1)</f>
        <v/>
      </c>
      <c r="H729">
        <f>1-(1-Skills!J16/100)^Skills!K16</f>
        <v/>
      </c>
      <c r="I729" t="inlineStr">
        <is>
          <t>1</t>
        </is>
      </c>
      <c r="J729" t="inlineStr"/>
      <c r="K729" t="inlineStr"/>
      <c r="L729" t="inlineStr"/>
      <c r="M729" t="inlineStr"/>
      <c r="N729" t="inlineStr"/>
      <c r="O729" t="n">
        <v>0</v>
      </c>
      <c r="P729">
        <f>IF(B750=0,0,O729/B750)</f>
        <v/>
      </c>
      <c r="Q729">
        <f>IFERROR(1/IF(Inputs!$B$4="pvp",15,MAX(0.1,Skills!D16-IF(Skills!E16=TRUE,Inputs!$B$31,0))),0)</f>
        <v/>
      </c>
      <c r="R729">
        <f>IF(AND(Inputs!$B$4&lt;&gt;"pvp",Inputs!$B$35&gt;0),(INT(Inputs!$B$35/IF(Inputs!$B$4="pvp",15,MAX(0.1,Skills!D16-IF(Skills!E16=TRUE,Inputs!$B$31,0))))+1),0)</f>
        <v/>
      </c>
      <c r="S729">
        <f>IFERROR(O729/N729,0)</f>
        <v/>
      </c>
    </row>
    <row r="730">
      <c r="A730">
        <f>Skills!A17</f>
        <v/>
      </c>
      <c r="B730">
        <f>Skills!B17</f>
        <v/>
      </c>
      <c r="C730">
        <f>Inputs!$B$3&gt;=35</f>
        <v/>
      </c>
      <c r="D730">
        <f>IF(Skills!C17=1,60+Inputs!$B$24+Inputs!$B$28,IF(Skills!C17=2,90+(Inputs!$B$25+1)+Inputs!$B$28,IF(Skills!C17=3,120+Inputs!$B$26+Inputs!$B$28,MAX(0,(Inputs!$B$3-100)*3)+Inputs!$B$27+Inputs!$B$28)))</f>
        <v/>
      </c>
      <c r="E730">
        <f>INDEX(FactorTable!$B$2:$Y$301, MATCH(ROUND(MIN(300,MAX(1,D730)),0), FactorTable!$A$2:$A$301,0), Skills!M17+1)</f>
        <v/>
      </c>
      <c r="F730">
        <f>IF(Skills!N17=TRUE,(Skills!L17/10)*(E730/1000),Skills!L17/10)+Skills!O17</f>
        <v/>
      </c>
      <c r="G730">
        <f>Skills!G17*IF(Skills!H17&gt;0,Skills!I17/Skills!H17,1)</f>
        <v/>
      </c>
      <c r="H730">
        <f>1-(1-Skills!J17/100)^Skills!K17</f>
        <v/>
      </c>
      <c r="I730" t="inlineStr">
        <is>
          <t>1</t>
        </is>
      </c>
      <c r="J730" t="inlineStr"/>
      <c r="K730" t="inlineStr"/>
      <c r="L730" t="inlineStr"/>
      <c r="M730" t="inlineStr"/>
      <c r="N730" t="inlineStr"/>
      <c r="O730" t="n">
        <v>0</v>
      </c>
      <c r="P730">
        <f>IF(B750=0,0,O730/B750)</f>
        <v/>
      </c>
      <c r="Q730">
        <f>IFERROR(1/IF(Inputs!$B$4="pvp",15,MAX(0.1,Skills!D17-IF(Skills!E17=TRUE,Inputs!$B$31,0))),0)</f>
        <v/>
      </c>
      <c r="R730">
        <f>IF(AND(Inputs!$B$4&lt;&gt;"pvp",Inputs!$B$35&gt;0),(INT(Inputs!$B$35/IF(Inputs!$B$4="pvp",15,MAX(0.1,Skills!D17-IF(Skills!E17=TRUE,Inputs!$B$31,0))))+1),0)</f>
        <v/>
      </c>
      <c r="S730">
        <f>IFERROR(O730/N730,0)</f>
        <v/>
      </c>
    </row>
    <row r="731">
      <c r="A731">
        <f>Skills!A18</f>
        <v/>
      </c>
      <c r="B731">
        <f>Skills!B18</f>
        <v/>
      </c>
      <c r="C731">
        <f>Inputs!$B$3&gt;=72</f>
        <v/>
      </c>
      <c r="D731">
        <f>IF(Skills!C18=1,60+Inputs!$B$24+Inputs!$B$28,IF(Skills!C18=2,90+(Inputs!$B$25+1)+Inputs!$B$28,IF(Skills!C18=3,120+Inputs!$B$26+Inputs!$B$28,MAX(0,(Inputs!$B$3-100)*3)+Inputs!$B$27+Inputs!$B$28)))</f>
        <v/>
      </c>
      <c r="E731">
        <f>INDEX(FactorTable!$B$2:$Y$301, MATCH(ROUND(MIN(300,MAX(1,D731)),0), FactorTable!$A$2:$A$301,0), Skills!M18+1)</f>
        <v/>
      </c>
      <c r="F731">
        <f>IF(Skills!N18=TRUE,(Skills!L18/10)*(E731/1000),Skills!L18/10)+Skills!O18</f>
        <v/>
      </c>
      <c r="G731">
        <f>Skills!G18*IF(Skills!H18&gt;0,Skills!I18/Skills!H18,1)</f>
        <v/>
      </c>
      <c r="H731">
        <f>1-(1-Skills!J18/100)^Skills!K18</f>
        <v/>
      </c>
      <c r="I731" t="inlineStr">
        <is>
          <t>1</t>
        </is>
      </c>
      <c r="J731" t="inlineStr"/>
      <c r="K731" t="inlineStr"/>
      <c r="L731" t="inlineStr"/>
      <c r="M731" t="inlineStr"/>
      <c r="N731" t="inlineStr"/>
      <c r="O731" t="n">
        <v>0</v>
      </c>
      <c r="P731">
        <f>IF(B750=0,0,O731/B750)</f>
        <v/>
      </c>
      <c r="Q731">
        <f>IFERROR(1/IF(Inputs!$B$4="pvp",15,MAX(0.1,Skills!D18-IF(Skills!E18=TRUE,Inputs!$B$31,0))),0)</f>
        <v/>
      </c>
      <c r="R731">
        <f>IF(AND(Inputs!$B$4&lt;&gt;"pvp",Inputs!$B$35&gt;0),(INT(Inputs!$B$35/IF(Inputs!$B$4="pvp",15,MAX(0.1,Skills!D18-IF(Skills!E18=TRUE,Inputs!$B$31,0))))+1),0)</f>
        <v/>
      </c>
      <c r="S731">
        <f>IFERROR(O731/N731,0)</f>
        <v/>
      </c>
    </row>
    <row r="732">
      <c r="A732">
        <f>Skills!A19</f>
        <v/>
      </c>
      <c r="B732">
        <f>Skills!B19</f>
        <v/>
      </c>
      <c r="C732">
        <f>Inputs!$B$3&gt;=72</f>
        <v/>
      </c>
      <c r="D732">
        <f>IF(Skills!C19=1,60+Inputs!$B$24+Inputs!$B$28,IF(Skills!C19=2,90+(Inputs!$B$25+1)+Inputs!$B$28,IF(Skills!C19=3,120+Inputs!$B$26+Inputs!$B$28,MAX(0,(Inputs!$B$3-100)*3)+Inputs!$B$27+Inputs!$B$28)))</f>
        <v/>
      </c>
      <c r="E732">
        <f>INDEX(FactorTable!$B$2:$Y$301, MATCH(ROUND(MIN(300,MAX(1,D732)),0), FactorTable!$A$2:$A$301,0), Skills!M19+1)</f>
        <v/>
      </c>
      <c r="F732">
        <f>IF(Skills!N19=TRUE,(Skills!L19/10)*(E732/1000),Skills!L19/10)+Skills!O19</f>
        <v/>
      </c>
      <c r="G732">
        <f>Skills!G19*IF(Skills!H19&gt;0,Skills!I19/Skills!H19,1)</f>
        <v/>
      </c>
      <c r="H732">
        <f>1-(1-Skills!J19/100)^Skills!K19</f>
        <v/>
      </c>
      <c r="I732" t="inlineStr">
        <is>
          <t>1</t>
        </is>
      </c>
      <c r="J732" t="inlineStr"/>
      <c r="K732" t="inlineStr"/>
      <c r="L732" t="inlineStr"/>
      <c r="M732" t="inlineStr"/>
      <c r="N732" t="inlineStr"/>
      <c r="O732" t="n">
        <v>0</v>
      </c>
      <c r="P732">
        <f>IF(B750=0,0,O732/B750)</f>
        <v/>
      </c>
      <c r="Q732">
        <f>IFERROR(1/IF(Inputs!$B$4="pvp",15,MAX(0.1,Skills!D19-IF(Skills!E19=TRUE,Inputs!$B$31,0))),0)</f>
        <v/>
      </c>
      <c r="R732">
        <f>IF(AND(Inputs!$B$4&lt;&gt;"pvp",Inputs!$B$35&gt;0),(INT(Inputs!$B$35/IF(Inputs!$B$4="pvp",15,MAX(0.1,Skills!D19-IF(Skills!E19=TRUE,Inputs!$B$31,0))))+1),0)</f>
        <v/>
      </c>
      <c r="S732">
        <f>IFERROR(O732/N732,0)</f>
        <v/>
      </c>
    </row>
    <row r="733">
      <c r="A733">
        <f>Skills!A20</f>
        <v/>
      </c>
      <c r="B733">
        <f>Skills!B20</f>
        <v/>
      </c>
      <c r="C733">
        <f>TRUE</f>
        <v/>
      </c>
      <c r="D733">
        <f>IF(Skills!C20=1,60+Inputs!$B$24+Inputs!$B$28,IF(Skills!C20=2,90+(Inputs!$B$25+1)+Inputs!$B$28,IF(Skills!C20=3,120+Inputs!$B$26+Inputs!$B$28,MAX(0,(Inputs!$B$3-100)*3)+Inputs!$B$27+Inputs!$B$28)))</f>
        <v/>
      </c>
      <c r="E733">
        <f>INDEX(FactorTable!$B$2:$Y$301, MATCH(ROUND(MIN(300,MAX(1,D733)),0), FactorTable!$A$2:$A$301,0), Skills!M20+1)</f>
        <v/>
      </c>
      <c r="F733">
        <f>IF(Skills!N20=TRUE,(Skills!L20/10)*(E733/1000),Skills!L20/10)+Skills!O20</f>
        <v/>
      </c>
      <c r="G733">
        <f>Skills!G20*IF(Skills!H20&gt;0,Skills!I20/Skills!H20,1)</f>
        <v/>
      </c>
      <c r="H733">
        <f>1-(1-Skills!J20/100)^Skills!K20</f>
        <v/>
      </c>
      <c r="I733" t="inlineStr">
        <is>
          <t>1</t>
        </is>
      </c>
      <c r="J733" t="inlineStr"/>
      <c r="K733" t="inlineStr"/>
      <c r="L733" t="inlineStr"/>
      <c r="M733" t="inlineStr"/>
      <c r="N733" t="inlineStr"/>
      <c r="O733" t="n">
        <v>0</v>
      </c>
      <c r="P733">
        <f>IF(B750=0,0,O733/B750)</f>
        <v/>
      </c>
      <c r="Q733">
        <f>IFERROR(1/IF(Inputs!$B$4="pvp",15,MAX(0.1,Skills!D20-IF(Skills!E20=TRUE,Inputs!$B$31,0))),0)</f>
        <v/>
      </c>
      <c r="R733">
        <f>IF(AND(Inputs!$B$4&lt;&gt;"pvp",Inputs!$B$35&gt;0),(INT(Inputs!$B$35/IF(Inputs!$B$4="pvp",15,MAX(0.1,Skills!D20-IF(Skills!E20=TRUE,Inputs!$B$31,0))))+1),0)</f>
        <v/>
      </c>
      <c r="S733">
        <f>IFERROR(O733/N733,0)</f>
        <v/>
      </c>
    </row>
    <row r="734">
      <c r="A734">
        <f>Skills!A21</f>
        <v/>
      </c>
      <c r="B734">
        <f>Skills!B21</f>
        <v/>
      </c>
      <c r="C734">
        <f>Inputs!$B$3&gt;=33</f>
        <v/>
      </c>
      <c r="D734">
        <f>IF(Skills!C21=1,60+Inputs!$B$24+Inputs!$B$28,IF(Skills!C21=2,90+(Inputs!$B$25+1)+Inputs!$B$28,IF(Skills!C21=3,120+Inputs!$B$26+Inputs!$B$28,MAX(0,(Inputs!$B$3-100)*3)+Inputs!$B$27+Inputs!$B$28)))</f>
        <v/>
      </c>
      <c r="E734">
        <f>INDEX(FactorTable!$B$2:$Y$301, MATCH(ROUND(MIN(300,MAX(1,D734)),0), FactorTable!$A$2:$A$301,0), Skills!M21+1)</f>
        <v/>
      </c>
      <c r="F734">
        <f>IF(Skills!N21=TRUE,(Skills!L21/10)*(E734/1000),Skills!L21/10)+Skills!O21</f>
        <v/>
      </c>
      <c r="G734">
        <f>Skills!G21*IF(Skills!H21&gt;0,Skills!I21/Skills!H21,1)</f>
        <v/>
      </c>
      <c r="H734">
        <f>1-(1-Skills!J21/100)^Skills!K21</f>
        <v/>
      </c>
      <c r="I734" t="inlineStr">
        <is>
          <t>1</t>
        </is>
      </c>
      <c r="J734" t="inlineStr"/>
      <c r="K734" t="inlineStr"/>
      <c r="L734" t="inlineStr"/>
      <c r="M734" t="inlineStr"/>
      <c r="N734" t="inlineStr"/>
      <c r="O734" t="n">
        <v>0</v>
      </c>
      <c r="P734">
        <f>IF(B750=0,0,O734/B750)</f>
        <v/>
      </c>
      <c r="Q734" t="n">
        <v>0</v>
      </c>
      <c r="R734" t="n">
        <v>0</v>
      </c>
      <c r="S734">
        <f>IFERROR(O734/N734,0)</f>
        <v/>
      </c>
    </row>
    <row r="735">
      <c r="A735">
        <f>Skills!A22</f>
        <v/>
      </c>
      <c r="B735">
        <f>Skills!B22</f>
        <v/>
      </c>
      <c r="C735">
        <f>Inputs!$B$3&gt;=43</f>
        <v/>
      </c>
      <c r="D735">
        <f>IF(Skills!C22=1,60+Inputs!$B$24+Inputs!$B$28,IF(Skills!C22=2,90+(Inputs!$B$25+1)+Inputs!$B$28,IF(Skills!C22=3,120+Inputs!$B$26+Inputs!$B$28,MAX(0,(Inputs!$B$3-100)*3)+Inputs!$B$27+Inputs!$B$28)))</f>
        <v/>
      </c>
      <c r="E735">
        <f>INDEX(FactorTable!$B$2:$Y$301, MATCH(ROUND(MIN(300,MAX(1,D735)),0), FactorTable!$A$2:$A$301,0), Skills!M22+1)</f>
        <v/>
      </c>
      <c r="F735">
        <f>IF(Skills!N22=TRUE,(Skills!L22/10)*(E735/1000),Skills!L22/10)+Skills!O22</f>
        <v/>
      </c>
      <c r="G735">
        <f>Skills!G22*IF(Skills!H22&gt;0,Skills!I22/Skills!H22,1)</f>
        <v/>
      </c>
      <c r="H735">
        <f>1-(1-Skills!J22/100)^Skills!K22</f>
        <v/>
      </c>
      <c r="I735" t="inlineStr">
        <is>
          <t>1</t>
        </is>
      </c>
      <c r="J735" t="inlineStr"/>
      <c r="K735" t="inlineStr"/>
      <c r="L735" t="inlineStr"/>
      <c r="M735" t="inlineStr"/>
      <c r="N735" t="inlineStr"/>
      <c r="O735" t="n">
        <v>0</v>
      </c>
      <c r="P735">
        <f>IF(B750=0,0,O735/B750)</f>
        <v/>
      </c>
      <c r="Q735" t="n">
        <v>0</v>
      </c>
      <c r="R735" t="n">
        <v>0</v>
      </c>
      <c r="S735">
        <f>IFERROR(O735/N735,0)</f>
        <v/>
      </c>
    </row>
    <row r="736">
      <c r="A736">
        <f>Skills!A23</f>
        <v/>
      </c>
      <c r="B736">
        <f>Skills!B23</f>
        <v/>
      </c>
      <c r="C736">
        <f>Inputs!$B$3&gt;=120</f>
        <v/>
      </c>
      <c r="D736">
        <f>IF(Skills!C23=1,60+Inputs!$B$24+Inputs!$B$28,IF(Skills!C23=2,90+(Inputs!$B$25+1)+Inputs!$B$28,IF(Skills!C23=3,120+Inputs!$B$26+Inputs!$B$28,MAX(0,(Inputs!$B$3-100)*3)+Inputs!$B$27+Inputs!$B$28)))</f>
        <v/>
      </c>
      <c r="E736">
        <f>INDEX(FactorTable!$B$2:$Y$301, MATCH(ROUND(MIN(300,MAX(1,D736)),0), FactorTable!$A$2:$A$301,0), Skills!M23+1)</f>
        <v/>
      </c>
      <c r="F736">
        <f>IF(Skills!N23=TRUE,(Skills!L23/10)*(E736/1000),Skills!L23/10)+Skills!O23</f>
        <v/>
      </c>
      <c r="G736">
        <f>Skills!G23*IF(Skills!H23&gt;0,Skills!I23/Skills!H23,1)</f>
        <v/>
      </c>
      <c r="H736">
        <f>1-(1-Skills!J23/100)^Skills!K23</f>
        <v/>
      </c>
      <c r="I736" t="inlineStr">
        <is>
          <t>1</t>
        </is>
      </c>
      <c r="J736" t="inlineStr"/>
      <c r="K736" t="inlineStr"/>
      <c r="L736" t="inlineStr"/>
      <c r="M736" t="inlineStr"/>
      <c r="N736" t="inlineStr"/>
      <c r="O736" t="n">
        <v>0</v>
      </c>
      <c r="P736">
        <f>IF(B750=0,0,O736/B750)</f>
        <v/>
      </c>
      <c r="Q736" t="n">
        <v>0</v>
      </c>
      <c r="R736" t="n">
        <v>0</v>
      </c>
      <c r="S736">
        <f>IFERROR(O736/N736,0)</f>
        <v/>
      </c>
    </row>
    <row r="737">
      <c r="A737">
        <f>Skills!A24</f>
        <v/>
      </c>
      <c r="B737">
        <f>Skills!B24</f>
        <v/>
      </c>
      <c r="C737">
        <f>Inputs!$B$3&gt;=120</f>
        <v/>
      </c>
      <c r="D737">
        <f>IF(Skills!C24=1,60+Inputs!$B$24+Inputs!$B$28,IF(Skills!C24=2,90+(Inputs!$B$25+1)+Inputs!$B$28,IF(Skills!C24=3,120+Inputs!$B$26+Inputs!$B$28,MAX(0,(Inputs!$B$3-100)*3)+Inputs!$B$27+Inputs!$B$28)))</f>
        <v/>
      </c>
      <c r="E737">
        <f>INDEX(FactorTable!$B$2:$Y$301, MATCH(ROUND(MIN(300,MAX(1,D737)),0), FactorTable!$A$2:$A$301,0), Skills!M24+1)</f>
        <v/>
      </c>
      <c r="F737">
        <f>IF(Skills!N24=TRUE,(Skills!L24/10)*(E737/1000),Skills!L24/10)+Skills!O24</f>
        <v/>
      </c>
      <c r="G737">
        <f>Skills!G24*IF(Skills!H24&gt;0,Skills!I24/Skills!H24,1)</f>
        <v/>
      </c>
      <c r="H737">
        <f>1-(1-Skills!J24/100)^Skills!K24</f>
        <v/>
      </c>
      <c r="I737" t="inlineStr">
        <is>
          <t>1</t>
        </is>
      </c>
      <c r="J737" t="inlineStr"/>
      <c r="K737" t="inlineStr"/>
      <c r="L737" t="inlineStr"/>
      <c r="M737" t="inlineStr"/>
      <c r="N737" t="inlineStr"/>
      <c r="O737" t="n">
        <v>0</v>
      </c>
      <c r="P737">
        <f>IF(B750=0,0,O737/B750)</f>
        <v/>
      </c>
      <c r="Q737" t="n">
        <v>0</v>
      </c>
      <c r="R737" t="n">
        <v>0</v>
      </c>
      <c r="S737">
        <f>IFERROR(O737/N737,0)</f>
        <v/>
      </c>
    </row>
    <row r="738">
      <c r="A738">
        <f>Skills!A25</f>
        <v/>
      </c>
      <c r="B738">
        <f>Skills!B25</f>
        <v/>
      </c>
      <c r="C738">
        <f>Inputs!$B$3&gt;=125</f>
        <v/>
      </c>
      <c r="D738">
        <f>IF(Skills!C25=1,60+Inputs!$B$24+Inputs!$B$28,IF(Skills!C25=2,90+(Inputs!$B$25+1)+Inputs!$B$28,IF(Skills!C25=3,120+Inputs!$B$26+Inputs!$B$28,MAX(0,(Inputs!$B$3-100)*3)+Inputs!$B$27+Inputs!$B$28)))</f>
        <v/>
      </c>
      <c r="E738">
        <f>INDEX(FactorTable!$B$2:$Y$301, MATCH(ROUND(MIN(300,MAX(1,D738)),0), FactorTable!$A$2:$A$301,0), Skills!M25+1)</f>
        <v/>
      </c>
      <c r="F738">
        <f>IF(Skills!N25=TRUE,(Skills!L25/10)*(E738/1000),Skills!L25/10)+Skills!O25</f>
        <v/>
      </c>
      <c r="G738">
        <f>Skills!G25*IF(Skills!H25&gt;0,Skills!I25/Skills!H25,1)</f>
        <v/>
      </c>
      <c r="H738">
        <f>1-(1-Skills!J25/100)^Skills!K25</f>
        <v/>
      </c>
      <c r="I738" t="inlineStr">
        <is>
          <t>1</t>
        </is>
      </c>
      <c r="J738" t="inlineStr"/>
      <c r="K738" t="inlineStr"/>
      <c r="L738" t="inlineStr"/>
      <c r="M738" t="inlineStr"/>
      <c r="N738" t="inlineStr"/>
      <c r="O738" t="n">
        <v>0</v>
      </c>
      <c r="P738">
        <f>IF(B750=0,0,O738/B750)</f>
        <v/>
      </c>
      <c r="Q738" t="n">
        <v>0</v>
      </c>
      <c r="R738" t="n">
        <v>0</v>
      </c>
      <c r="S738">
        <f>IFERROR(O738/N738,0)</f>
        <v/>
      </c>
    </row>
    <row r="739">
      <c r="A739">
        <f>Skills!A26</f>
        <v/>
      </c>
      <c r="B739">
        <f>Skills!B26</f>
        <v/>
      </c>
      <c r="C739">
        <f>Inputs!$B$3&gt;=107</f>
        <v/>
      </c>
      <c r="D739">
        <f>IF(Skills!C26=1,60+Inputs!$B$24+Inputs!$B$28,IF(Skills!C26=2,90+(Inputs!$B$25+1)+Inputs!$B$28,IF(Skills!C26=3,120+Inputs!$B$26+Inputs!$B$28,MAX(0,(Inputs!$B$3-100)*3)+Inputs!$B$27+Inputs!$B$28)))</f>
        <v/>
      </c>
      <c r="E739">
        <f>INDEX(FactorTable!$B$2:$Y$301, MATCH(ROUND(MIN(300,MAX(1,D739)),0), FactorTable!$A$2:$A$301,0), Skills!M26+1)</f>
        <v/>
      </c>
      <c r="F739">
        <f>IF(Skills!N26=TRUE,(Skills!L26/10)*(E739/1000),Skills!L26/10)+Skills!O26</f>
        <v/>
      </c>
      <c r="G739">
        <f>Skills!G26*IF(Skills!H26&gt;0,Skills!I26/Skills!H26,1)</f>
        <v/>
      </c>
      <c r="H739">
        <f>1-(1-Skills!J26/100)^Skills!K26</f>
        <v/>
      </c>
      <c r="I739" t="inlineStr">
        <is>
          <t>1</t>
        </is>
      </c>
      <c r="J739" t="inlineStr"/>
      <c r="K739" t="inlineStr"/>
      <c r="L739" t="inlineStr"/>
      <c r="M739" t="inlineStr"/>
      <c r="N739" t="inlineStr"/>
      <c r="O739" t="n">
        <v>0</v>
      </c>
      <c r="P739">
        <f>IF(B750=0,0,O739/B750)</f>
        <v/>
      </c>
      <c r="Q739" t="n">
        <v>0</v>
      </c>
      <c r="R739" t="n">
        <v>0</v>
      </c>
      <c r="S739">
        <f>IFERROR(O739/N739,0)</f>
        <v/>
      </c>
    </row>
    <row r="741">
      <c r="A741" t="inlineStr">
        <is>
          <t>Attack% Bucket Multiplier</t>
        </is>
      </c>
      <c r="B741">
        <f>(1+(((C726=TRUE)*F726*IF(AND(Inputs!$B$4&lt;&gt;"pvp",Inputs!$B$35&gt;0),(((S726-1)*(Skills!T13*(1+Inputs!$B$33/100))+MIN((Skills!T13*(1+Inputs!$B$33/100)),MAX(0,Inputs!$B$35-((S726-1)*Skills!D13))))/Inputs!$B$35),IF(Inputs!$B$4="pvp",MIN((Skills!T13*(1+Inputs!$B$33/100)),15)/15,(Skills!T13*(1+Inputs!$B$33/100))/Skills!D13)))+((C727=TRUE)*F727*IF(AND(Inputs!$B$4&lt;&gt;"pvp",Inputs!$B$35&gt;0),(((S727-1)*(Skills!T14*(1+Inputs!$B$33/100))+MIN((Skills!T14*(1+Inputs!$B$33/100)),MAX(0,Inputs!$B$35-((S727-1)*Skills!D14))))/Inputs!$B$35),IF(Inputs!$B$4="pvp",MIN((Skills!T14*(1+Inputs!$B$33/100)),15)/15,(Skills!T14*(1+Inputs!$B$33/100))/Skills!D14)))+((C728=TRUE)*F728*IF(AND(Inputs!$B$4&lt;&gt;"pvp",Inputs!$B$35&gt;0),(((S728-1)*(Skills!T15*(1+Inputs!$B$33/100))+MIN((Skills!T15*(1+Inputs!$B$33/100)),MAX(0,Inputs!$B$35-((S728-1)*Skills!D15))))/Inputs!$B$35),IF(Inputs!$B$4="pvp",MIN((Skills!T15*(1+Inputs!$B$33/100)),15)/15,(Skills!T15*(1+Inputs!$B$33/100))/Skills!D15)))+((C729=TRUE)*F729*IF(AND(Inputs!$B$4&lt;&gt;"pvp",Inputs!$B$35&gt;0),(((S729-1)*(Skills!T16*(1+Inputs!$B$33/100))+MIN((Skills!T16*(1+Inputs!$B$33/100)),MAX(0,Inputs!$B$35-((S729-1)*Skills!D16))))/Inputs!$B$35),IF(Inputs!$B$4="pvp",MIN((Skills!T16*(1+Inputs!$B$33/100)),15)/15,(Skills!T16*(1+Inputs!$B$33/100))/Skills!D16)))+0)/100)</f>
        <v/>
      </c>
    </row>
    <row r="742">
      <c r="A742" t="inlineStr">
        <is>
          <t>Global Crit Rate Bonus % (Lord of Darkness)</t>
        </is>
      </c>
      <c r="B742">
        <f>((C731=TRUE)*F731*(Skills!J18/100)*IF(AND(Inputs!$B$4&lt;&gt;"pvp",Inputs!$B$35&gt;0),(((S731-1)*(Skills!T18*(1+Inputs!$B$33/100))+MIN((Skills!T18*(1+Inputs!$B$33/100)),MAX(0,Inputs!$B$35-((S731-1)*Skills!D18))))/Inputs!$B$35),IF(Inputs!$B$4="pvp",MIN((Skills!T18*(1+Inputs!$B$33/100)),15)/15,(Skills!T18*(1+Inputs!$B$33/100))/Skills!D18)))</f>
        <v/>
      </c>
    </row>
    <row r="743">
      <c r="A743" t="inlineStr">
        <is>
          <t>Attack Speed Buff Bonus %</t>
        </is>
      </c>
      <c r="B743">
        <f>((C733=TRUE)*F733*IF(AND(Inputs!$B$4&lt;&gt;"pvp",Inputs!$B$35&gt;0),(((S733-1)*(Skills!T20*(1+Inputs!$B$33/100))+MIN((Skills!T20*(1+Inputs!$B$33/100)),MAX(0,Inputs!$B$35-((S733-1)*Skills!D20))))/Inputs!$B$35),IF(Inputs!$B$4="pvp",MIN((Skills!T20*(1+Inputs!$B$33/100)),15)/15,(Skills!T20*(1+Inputs!$B$33/100))/Skills!D20)))</f>
        <v/>
      </c>
    </row>
    <row r="744">
      <c r="A744" t="inlineStr">
        <is>
          <t>Actions Per Second</t>
        </is>
      </c>
      <c r="B744">
        <f>1+MIN(150,150*(1-(1-(Inputs!$B$10+((C734=TRUE)*(F734-Calc!F21)))/150)*(1-B743/150)))/100</f>
        <v/>
      </c>
    </row>
    <row r="745">
      <c r="A745" t="inlineStr">
        <is>
          <t>Skill + Buff Cast Rate</t>
        </is>
      </c>
      <c r="B745">
        <f>IF(AND(Inputs!$B$4&lt;&gt;"pvp",Inputs!$B$35&gt;0),SUMPRODUCT((Skills!E2:E26=TRUE)*(C715:C739=TRUE)*R715:R739*Skills!F2:F26)/Inputs!$B$35,SUMPRODUCT((Skills!E2:E26=TRUE)*(C715:C739=TRUE)*Q715:Q739*Skills!F2:F26))</f>
        <v/>
      </c>
    </row>
    <row r="746">
      <c r="A746" t="inlineStr">
        <is>
          <t>Dark Impale Casts Per Second</t>
        </is>
      </c>
      <c r="B746">
        <f>MAX(0,B744-B745)</f>
        <v/>
      </c>
    </row>
    <row r="747">
      <c r="A747" t="inlineStr">
        <is>
          <t>Global Critical Damage Bonus % (Lord of Darkness)</t>
        </is>
      </c>
      <c r="B747">
        <f>((C732=TRUE)*F732*(Skills!J19/100)*IF(AND(Inputs!$B$4&lt;&gt;"pvp",Inputs!$B$35&gt;0),(((S732-1)*(Skills!T19*(1+Inputs!$B$33/100))+MIN((Skills!T19*(1+Inputs!$B$33/100)),MAX(0,Inputs!$B$35-((S732-1)*Skills!D19))))/Inputs!$B$35),IF(Inputs!$B$4="pvp",MIN((Skills!T19*(1+Inputs!$B$33/100)),15)/15,(Skills!T19*(1+Inputs!$B$33/100))/Skills!D19)))</f>
        <v/>
      </c>
    </row>
    <row r="748">
      <c r="A748" t="inlineStr">
        <is>
          <t>Global Final Damage Bonus % (unused)</t>
        </is>
      </c>
      <c r="B748" t="n">
        <v>0</v>
      </c>
    </row>
    <row r="750">
      <c r="A750" s="5" t="inlineStr">
        <is>
          <t>TOTAL DPS</t>
        </is>
      </c>
      <c r="B750" s="5">
        <f>SUM(O715:O739)</f>
        <v/>
      </c>
    </row>
    <row r="753">
      <c r="A753" s="5" t="inlineStr">
        <is>
          <t>Stat: Skill Level Bonus — 3rd Job</t>
        </is>
      </c>
    </row>
    <row r="754">
      <c r="A754" s="8" t="inlineStr">
        <is>
          <t>Key</t>
        </is>
      </c>
      <c r="B754" s="8" t="inlineStr">
        <is>
          <t>Name</t>
        </is>
      </c>
      <c r="C754" s="8" t="inlineStr">
        <is>
          <t>Unlocked</t>
        </is>
      </c>
      <c r="D754" s="8" t="inlineStr">
        <is>
          <t>InputLevel</t>
        </is>
      </c>
      <c r="E754" s="8" t="inlineStr">
        <is>
          <t>Factor</t>
        </is>
      </c>
      <c r="F754" s="8" t="inlineStr">
        <is>
          <t>CoefficientPercent</t>
        </is>
      </c>
      <c r="G754" s="8" t="inlineStr">
        <is>
          <t>EffectiveHits</t>
        </is>
      </c>
      <c r="H754" s="8" t="inlineStr">
        <is>
          <t>ProcProbability</t>
        </is>
      </c>
      <c r="I754" s="8" t="inlineStr">
        <is>
          <t>MapleHeroMultiplier</t>
        </is>
      </c>
      <c r="J754" s="8" t="inlineStr">
        <is>
          <t>BaseDamage</t>
        </is>
      </c>
      <c r="K754" s="8" t="inlineStr">
        <is>
          <t>BaseHitDamage</t>
        </is>
      </c>
      <c r="L754" s="8" t="inlineStr">
        <is>
          <t>NonCritAvg</t>
        </is>
      </c>
      <c r="M754" s="8" t="inlineStr">
        <is>
          <t>CritAvg</t>
        </is>
      </c>
      <c r="N754" s="8" t="inlineStr">
        <is>
          <t>ExpectedDamage(perHit)</t>
        </is>
      </c>
      <c r="O754" s="8" t="inlineStr">
        <is>
          <t>DPS</t>
        </is>
      </c>
      <c r="P754" s="8" t="inlineStr">
        <is>
          <t>% of Total</t>
        </is>
      </c>
      <c r="Q754" s="8" t="inlineStr">
        <is>
          <t>InvCooldown</t>
        </is>
      </c>
      <c r="R754" s="8" t="inlineStr">
        <is>
          <t>CastsInFight</t>
        </is>
      </c>
      <c r="S754" s="8" t="inlineStr">
        <is>
          <t>HitRate(perSec)</t>
        </is>
      </c>
      <c r="U754" t="inlineStr">
        <is>
          <t>helpers</t>
        </is>
      </c>
    </row>
    <row r="755">
      <c r="A755">
        <f>Skills!A2</f>
        <v/>
      </c>
      <c r="B755">
        <f>Skills!B2</f>
        <v/>
      </c>
      <c r="C755">
        <f>Inputs!$B$3&gt;=100</f>
        <v/>
      </c>
      <c r="D755" t="inlineStr"/>
      <c r="E755" t="inlineStr"/>
      <c r="F755">
        <f>U757+Skills!O2</f>
        <v/>
      </c>
      <c r="G755">
        <f>Skills!G2*IF(Skills!H2&gt;0,Skills!I2/Skills!H2,1)</f>
        <v/>
      </c>
      <c r="H755">
        <f>1-(1-Skills!J2/100)^Skills!K2</f>
        <v/>
      </c>
      <c r="I755" t="inlineStr">
        <is>
          <t>1</t>
        </is>
      </c>
      <c r="J755">
        <f>(Inputs!$B$5*(1+Inputs!$B$6/100))*(F755/100)</f>
        <v/>
      </c>
      <c r="K755">
        <f>J755*(1+((Inputs!$B$11*(1+Inputs!$B$12/100))*0.01+Inputs!$B$13*0.0025)/100)*(1+Inputs!$B$14/100)*(1+IF(Inputs!$B$4="pvp",0,(1-Summary!$B$55)*(Inputs!$B$19+0+Skills!P2+((C770=TRUE)*F770*IF(AND(Inputs!$B$4&lt;&gt;"pvp",Inputs!$B$35&gt;0),(((S770-1)*(Skills!T17*(1+Inputs!$B$33/100))+MIN((Skills!T17*(1+Inputs!$B$33/100)),MAX(0,Inputs!$B$35-((S770-1)*Skills!D17))))/Inputs!$B$35),IF(Inputs!$B$4="pvp",MIN((Skills!T17*(1+Inputs!$B$33/100)),15)/15,(Skills!T17*(1+Inputs!$B$33/100))/Skills!D17)))+((C767=TRUE)*IF(Inputs!$B$4="pvp",20,(1-Summary!$B$55)*(20)+Summary!$B$55*(0))*IF(AND(Inputs!$B$4&lt;&gt;"pvp",Inputs!$B$35&gt;0),(((S767-1)*(Skills!T14*(1+Inputs!$B$33/100))+MIN((Skills!T14*(1+Inputs!$B$33/100)),MAX(0,Inputs!$B$35-((S767-1)*Skills!D14))))/Inputs!$B$35),IF(Inputs!$B$4="pvp",MIN((Skills!T14*(1+Inputs!$B$33/100)),15)/15,(Skills!T14*(1+Inputs!$B$33/100))/Skills!D14))))+Summary!$B$55*(Inputs!$B$20+Skills!Q2+((C770=TRUE)*F770*IF(AND(Inputs!$B$4&lt;&gt;"pvp",Inputs!$B$35&gt;0),(((S770-1)*(Skills!T17*(1+Inputs!$B$33/100))+MIN((Skills!T17*(1+Inputs!$B$33/100)),MAX(0,Inputs!$B$35-((S770-1)*Skills!D17))))/Inputs!$B$35),IF(Inputs!$B$4="pvp",MIN((Skills!T17*(1+Inputs!$B$33/100)),15)/15,(Skills!T17*(1+Inputs!$B$33/100))/Skills!D17)))))/100)*(1+Inputs!$B$15/100)*(5000/(6000+Inputs!$B$7*(1-(Inputs!$B$18+0)/100)))*(1+(Inputs!$B$23+((C778=TRUE)*(F778-Calc!F25))+((C779=TRUE)*(F779-Calc!F26))+B788)/100)*(1+(IF(Skills!A2="DARK_IMPALE",Inputs!$B$16+0,Inputs!$B$17+((C776=TRUE)*(F776-Calc!F23))))/100)*((1+(((C766=TRUE)*F766*IF(AND(Inputs!$B$4&lt;&gt;"pvp",Inputs!$B$35&gt;0),(((S766-1)*(Skills!T13*(1+Inputs!$B$33/100))+MIN((Skills!T13*(1+Inputs!$B$33/100)),MAX(0,Inputs!$B$35-((S766-1)*Skills!D13))))/Inputs!$B$35),IF(Inputs!$B$4="pvp",MIN((Skills!T13*(1+Inputs!$B$33/100)),15)/15,(Skills!T13*(1+Inputs!$B$33/100))/Skills!D13)))+((C767=TRUE)*F767*IF(AND(Inputs!$B$4&lt;&gt;"pvp",Inputs!$B$35&gt;0),(((S767-1)*(Skills!T14*(1+Inputs!$B$33/100))+MIN((Skills!T14*(1+Inputs!$B$33/100)),MAX(0,Inputs!$B$35-((S767-1)*Skills!D14))))/Inputs!$B$35),IF(Inputs!$B$4="pvp",MIN((Skills!T14*(1+Inputs!$B$33/100)),15)/15,(Skills!T14*(1+Inputs!$B$33/100))/Skills!D14)))+((C768=TRUE)*F768*IF(AND(Inputs!$B$4&lt;&gt;"pvp",Inputs!$B$35&gt;0),(((S768-1)*(Skills!T15*(1+Inputs!$B$33/100))+MIN((Skills!T15*(1+Inputs!$B$33/100)),MAX(0,Inputs!$B$35-((S768-1)*Skills!D15))))/Inputs!$B$35),IF(Inputs!$B$4="pvp",MIN((Skills!T15*(1+Inputs!$B$33/100)),15)/15,(Skills!T15*(1+Inputs!$B$33/100))/Skills!D15)))+((C769=TRUE)*F769*IF(AND(Inputs!$B$4&lt;&gt;"pvp",Inputs!$B$35&gt;0),(((S769-1)*(Skills!T16*(1+Inputs!$B$33/100))+MIN((Skills!T16*(1+Inputs!$B$33/100)),MAX(0,Inputs!$B$35-((S769-1)*Skills!D16))))/Inputs!$B$35),IF(Inputs!$B$4="pvp",MIN((Skills!T16*(1+Inputs!$B$33/100)),15)/15,(Skills!T16*(1+Inputs!$B$33/100))/Skills!D16)))+0)/100)*I755)</f>
        <v/>
      </c>
      <c r="L755">
        <f>K755*(MIN(Inputs!$B$21+((C775=TRUE)*(F775-Calc!F22)),Inputs!$B$22+((C777=TRUE)*(F777-Calc!F24)))/100+(Inputs!$B$22+((C777=TRUE)*(F777-Calc!F24)))/100)/2</f>
        <v/>
      </c>
      <c r="M755">
        <f>L755*(1+(Inputs!$B$9+0+B787)/100)</f>
        <v/>
      </c>
      <c r="N755">
        <f>L755*(1-MIN((Inputs!$B$8+0+B782),100)/100)+M755*(MIN((Inputs!$B$8+0+B782),100)/100)</f>
        <v/>
      </c>
      <c r="O755">
        <f>IF(C755,Skills!G2*N755*B786*IF(Inputs!$B$4="pvp",1,(1-Summary!$B$55)*(1)+Summary!$B$55*(MIN((6+Inputs!$B$32),Inputs!$B$37))),0)</f>
        <v/>
      </c>
      <c r="P755">
        <f>IF(B790=0,0,O755/B790)</f>
        <v/>
      </c>
      <c r="Q755" t="n">
        <v>0</v>
      </c>
      <c r="R755" t="n">
        <v>0</v>
      </c>
      <c r="S755">
        <f>IFERROR(O755/N755,0)</f>
        <v/>
      </c>
      <c r="U755">
        <f>MAX(0,(Inputs!$B$3-100)*3)+Inputs!$B$27+Inputs!$B$28</f>
        <v/>
      </c>
    </row>
    <row r="756">
      <c r="A756">
        <f>Skills!A3</f>
        <v/>
      </c>
      <c r="B756">
        <f>Skills!B3</f>
        <v/>
      </c>
      <c r="C756">
        <f>Inputs!$B$3&gt;=50</f>
        <v/>
      </c>
      <c r="D756">
        <f>IF(Skills!C3=1,60+Inputs!$B$24+Inputs!$B$28,IF(Skills!C3=2,90+Inputs!$B$25+Inputs!$B$28,IF(Skills!C3=3,120+(Inputs!$B$26+1)+Inputs!$B$28,MAX(0,(Inputs!$B$3-100)*3)+Inputs!$B$27+Inputs!$B$28)))</f>
        <v/>
      </c>
      <c r="E756">
        <f>INDEX(FactorTable!$B$2:$Y$301, MATCH(ROUND(MIN(300,MAX(1,D756)),0), FactorTable!$A$2:$A$301,0), Skills!M3+1)</f>
        <v/>
      </c>
      <c r="F756">
        <f>IF(Skills!N3=TRUE,(Skills!L3/10)*(E756/1000),Skills!L3/10)+Skills!O3</f>
        <v/>
      </c>
      <c r="G756" t="inlineStr"/>
      <c r="H756" t="inlineStr"/>
      <c r="I756" t="inlineStr">
        <is>
          <t>1</t>
        </is>
      </c>
      <c r="J756" t="inlineStr"/>
      <c r="K756" t="inlineStr"/>
      <c r="L756" t="inlineStr"/>
      <c r="M756" t="inlineStr"/>
      <c r="N756" t="inlineStr"/>
      <c r="O756" t="inlineStr"/>
      <c r="P756" t="inlineStr"/>
      <c r="Q756" t="inlineStr"/>
      <c r="R756" t="inlineStr"/>
      <c r="S756" t="inlineStr"/>
      <c r="U756">
        <f>INDEX(FactorTable!$B$2:$Y$301, MATCH(ROUND(MIN(300,MAX(1,U755)),0), FactorTable!$A$2:$A$301,0), 22)</f>
        <v/>
      </c>
    </row>
    <row r="757">
      <c r="A757">
        <f>Skills!A4</f>
        <v/>
      </c>
      <c r="B757">
        <f>Skills!B4</f>
        <v/>
      </c>
      <c r="C757">
        <f>Inputs!$B$3&gt;=105</f>
        <v/>
      </c>
      <c r="D757">
        <f>IF(Skills!C4=1,60+Inputs!$B$24+Inputs!$B$28,IF(Skills!C4=2,90+Inputs!$B$25+Inputs!$B$28,IF(Skills!C4=3,120+(Inputs!$B$26+1)+Inputs!$B$28,MAX(0,(Inputs!$B$3-100)*3)+Inputs!$B$27+Inputs!$B$28)))</f>
        <v/>
      </c>
      <c r="E757">
        <f>INDEX(FactorTable!$B$2:$Y$301, MATCH(ROUND(MIN(300,MAX(1,D757)),0), FactorTable!$A$2:$A$301,0), Skills!M4+1)</f>
        <v/>
      </c>
      <c r="F757">
        <f>IF(Skills!N4=TRUE,(Skills!L4/10)*(E757/1000),Skills!L4/10)+Skills!O4</f>
        <v/>
      </c>
      <c r="G757" t="inlineStr"/>
      <c r="H757" t="inlineStr"/>
      <c r="I757" t="inlineStr">
        <is>
          <t>1</t>
        </is>
      </c>
      <c r="J757" t="inlineStr"/>
      <c r="K757" t="inlineStr"/>
      <c r="L757" t="inlineStr"/>
      <c r="M757" t="inlineStr"/>
      <c r="N757" t="inlineStr"/>
      <c r="O757" t="inlineStr"/>
      <c r="P757" t="inlineStr"/>
      <c r="Q757" t="inlineStr"/>
      <c r="R757" t="inlineStr"/>
      <c r="S757" t="inlineStr"/>
      <c r="U757">
        <f>290*U756/1000</f>
        <v/>
      </c>
    </row>
    <row r="758">
      <c r="A758">
        <f>Skills!A5</f>
        <v/>
      </c>
      <c r="B758">
        <f>Skills!B5</f>
        <v/>
      </c>
      <c r="C758">
        <f>Inputs!$B$3&gt;=117</f>
        <v/>
      </c>
      <c r="D758">
        <f>IF(Skills!C5=1,60+Inputs!$B$24+Inputs!$B$28,IF(Skills!C5=2,90+Inputs!$B$25+Inputs!$B$28,IF(Skills!C5=3,120+(Inputs!$B$26+1)+Inputs!$B$28,MAX(0,(Inputs!$B$3-100)*3)+Inputs!$B$27+Inputs!$B$28)))</f>
        <v/>
      </c>
      <c r="E758">
        <f>INDEX(FactorTable!$B$2:$Y$301, MATCH(ROUND(MIN(300,MAX(1,D758)),0), FactorTable!$A$2:$A$301,0), Skills!M5+1)</f>
        <v/>
      </c>
      <c r="F758">
        <f>IF(Skills!N5=TRUE,(Skills!L5/10)*(E758/1000),Skills!L5/10)+Skills!O5</f>
        <v/>
      </c>
      <c r="G758">
        <f>Skills!G5*IF(Skills!H5&gt;0,Skills!I5/Skills!H5,1)</f>
        <v/>
      </c>
      <c r="H758">
        <f>1-(1-Skills!J5/100)^Skills!K5</f>
        <v/>
      </c>
      <c r="I758" t="inlineStr">
        <is>
          <t>1</t>
        </is>
      </c>
      <c r="J758">
        <f>(Inputs!$B$5*(1+Inputs!$B$6/100))*(F758/100)</f>
        <v/>
      </c>
      <c r="K758">
        <f>J758*(1+((Inputs!$B$11*(1+Inputs!$B$12/100))*0.01+Inputs!$B$13*0.0025)/100)*(1+Inputs!$B$14/100)*(1+IF(Inputs!$B$4="pvp",0,(1-Summary!$B$55)*(Inputs!$B$19+0+Skills!P5+((C770=TRUE)*F770*IF(AND(Inputs!$B$4&lt;&gt;"pvp",Inputs!$B$35&gt;0),(((S770-1)*(Skills!T17*(1+Inputs!$B$33/100))+MIN((Skills!T17*(1+Inputs!$B$33/100)),MAX(0,Inputs!$B$35-((S770-1)*Skills!D17))))/Inputs!$B$35),IF(Inputs!$B$4="pvp",MIN((Skills!T17*(1+Inputs!$B$33/100)),15)/15,(Skills!T17*(1+Inputs!$B$33/100))/Skills!D17)))+((C767=TRUE)*IF(Inputs!$B$4="pvp",20,(1-Summary!$B$55)*(20)+Summary!$B$55*(0))*IF(AND(Inputs!$B$4&lt;&gt;"pvp",Inputs!$B$35&gt;0),(((S767-1)*(Skills!T14*(1+Inputs!$B$33/100))+MIN((Skills!T14*(1+Inputs!$B$33/100)),MAX(0,Inputs!$B$35-((S767-1)*Skills!D14))))/Inputs!$B$35),IF(Inputs!$B$4="pvp",MIN((Skills!T14*(1+Inputs!$B$33/100)),15)/15,(Skills!T14*(1+Inputs!$B$33/100))/Skills!D14))))+Summary!$B$55*(Inputs!$B$20+Skills!Q5+((C770=TRUE)*F770*IF(AND(Inputs!$B$4&lt;&gt;"pvp",Inputs!$B$35&gt;0),(((S770-1)*(Skills!T17*(1+Inputs!$B$33/100))+MIN((Skills!T17*(1+Inputs!$B$33/100)),MAX(0,Inputs!$B$35-((S770-1)*Skills!D17))))/Inputs!$B$35),IF(Inputs!$B$4="pvp",MIN((Skills!T17*(1+Inputs!$B$33/100)),15)/15,(Skills!T17*(1+Inputs!$B$33/100))/Skills!D17)))))/100)*(1+Inputs!$B$15/100)*(5000/(6000+Inputs!$B$7*(1-(Inputs!$B$18+0)/100)))*(1+(Inputs!$B$23+((C778=TRUE)*(F778-Calc!F25))+((C779=TRUE)*(F779-Calc!F26))+B788)/100)*(1+(IF(Skills!A5="DARK_IMPALE",Inputs!$B$16+0,Inputs!$B$17+((C776=TRUE)*(F776-Calc!F23))))/100)*((1+(((C766=TRUE)*F766*IF(AND(Inputs!$B$4&lt;&gt;"pvp",Inputs!$B$35&gt;0),(((S766-1)*(Skills!T13*(1+Inputs!$B$33/100))+MIN((Skills!T13*(1+Inputs!$B$33/100)),MAX(0,Inputs!$B$35-((S766-1)*Skills!D13))))/Inputs!$B$35),IF(Inputs!$B$4="pvp",MIN((Skills!T13*(1+Inputs!$B$33/100)),15)/15,(Skills!T13*(1+Inputs!$B$33/100))/Skills!D13)))+((C767=TRUE)*F767*IF(AND(Inputs!$B$4&lt;&gt;"pvp",Inputs!$B$35&gt;0),(((S767-1)*(Skills!T14*(1+Inputs!$B$33/100))+MIN((Skills!T14*(1+Inputs!$B$33/100)),MAX(0,Inputs!$B$35-((S767-1)*Skills!D14))))/Inputs!$B$35),IF(Inputs!$B$4="pvp",MIN((Skills!T14*(1+Inputs!$B$33/100)),15)/15,(Skills!T14*(1+Inputs!$B$33/100))/Skills!D14)))+((C768=TRUE)*F768*IF(AND(Inputs!$B$4&lt;&gt;"pvp",Inputs!$B$35&gt;0),(((S768-1)*(Skills!T15*(1+Inputs!$B$33/100))+MIN((Skills!T15*(1+Inputs!$B$33/100)),MAX(0,Inputs!$B$35-((S768-1)*Skills!D15))))/Inputs!$B$35),IF(Inputs!$B$4="pvp",MIN((Skills!T15*(1+Inputs!$B$33/100)),15)/15,(Skills!T15*(1+Inputs!$B$33/100))/Skills!D15)))+((C769=TRUE)*F769*IF(AND(Inputs!$B$4&lt;&gt;"pvp",Inputs!$B$35&gt;0),(((S769-1)*(Skills!T16*(1+Inputs!$B$33/100))+MIN((Skills!T16*(1+Inputs!$B$33/100)),MAX(0,Inputs!$B$35-((S769-1)*Skills!D16))))/Inputs!$B$35),IF(Inputs!$B$4="pvp",MIN((Skills!T16*(1+Inputs!$B$33/100)),15)/15,(Skills!T16*(1+Inputs!$B$33/100))/Skills!D16)))+0)/100)*I758)</f>
        <v/>
      </c>
      <c r="L758">
        <f>K758*(MIN(Inputs!$B$21+((C775=TRUE)*(F775-Calc!F22)),Inputs!$B$22+((C777=TRUE)*(F777-Calc!F24)))/100+(Inputs!$B$22+((C777=TRUE)*(F777-Calc!F24)))/100)/2</f>
        <v/>
      </c>
      <c r="M758">
        <f>L758*(1+(Inputs!$B$9+0+B787)/100)</f>
        <v/>
      </c>
      <c r="N758">
        <f>L758*(1-MIN((Inputs!$B$8+0+B782),100)/100)+M758*(MIN((Inputs!$B$8+0+B782),100)/100)</f>
        <v/>
      </c>
      <c r="O758">
        <f>IF(C758,H758*N758*IF(AND(Inputs!$B$4&lt;&gt;"pvp",Inputs!$B$35&gt;0),((Skills!G5*((R758-1)*IF(Skills!H5&gt;0,Skills!I5/Skills!H5,1)+IF(Skills!H5&gt;0,MIN(Skills!I5,MAX(0,Inputs!$B$35-((R758-1)*IF(Inputs!$B$4="pvp",15,MAX(0.1,Skills!D5-IF(Skills!E5=TRUE,Inputs!$B$31,0))))))/Skills!H5,1)))/Inputs!$B$35),G758*Q758)*IF(Inputs!$B$4="pvp",1,(1-Summary!$B$55)*(1)+Summary!$B$55*(MIN(Skills!R5,Inputs!$B$37))),0)</f>
        <v/>
      </c>
      <c r="P758">
        <f>IF(B790=0,0,O758/B790)</f>
        <v/>
      </c>
      <c r="Q758">
        <f>IFERROR(1/IF(Inputs!$B$4="pvp",15,MAX(0.1,Skills!D5-IF(Skills!E5=TRUE,Inputs!$B$31,0))),0)</f>
        <v/>
      </c>
      <c r="R758">
        <f>IF(AND(Inputs!$B$4&lt;&gt;"pvp",Inputs!$B$35&gt;0),(INT(Inputs!$B$35/IF(Inputs!$B$4="pvp",15,MAX(0.1,Skills!D5-IF(Skills!E5=TRUE,Inputs!$B$31,0))))+1),0)</f>
        <v/>
      </c>
      <c r="S758">
        <f>IFERROR(O758/N758,0)</f>
        <v/>
      </c>
    </row>
    <row r="759">
      <c r="A759">
        <f>Skills!A6</f>
        <v/>
      </c>
      <c r="B759">
        <f>Skills!B6</f>
        <v/>
      </c>
      <c r="C759">
        <f>Inputs!$B$3&gt;=103</f>
        <v/>
      </c>
      <c r="D759">
        <f>IF(Skills!C6=1,60+Inputs!$B$24+Inputs!$B$28,IF(Skills!C6=2,90+Inputs!$B$25+Inputs!$B$28,IF(Skills!C6=3,120+(Inputs!$B$26+1)+Inputs!$B$28,MAX(0,(Inputs!$B$3-100)*3)+Inputs!$B$27+Inputs!$B$28)))</f>
        <v/>
      </c>
      <c r="E759">
        <f>INDEX(FactorTable!$B$2:$Y$301, MATCH(ROUND(MIN(300,MAX(1,D759)),0), FactorTable!$A$2:$A$301,0), Skills!M6+1)</f>
        <v/>
      </c>
      <c r="F759">
        <f>IF(Skills!N6=TRUE,(Skills!L6/10)*(E759/1000),Skills!L6/10)+Skills!O6</f>
        <v/>
      </c>
      <c r="G759">
        <f>Skills!G6*IF(Skills!H6&gt;0,Skills!I6/Skills!H6,1)</f>
        <v/>
      </c>
      <c r="H759">
        <f>1-(1-Skills!J6/100)^Skills!K6</f>
        <v/>
      </c>
      <c r="I759" t="inlineStr">
        <is>
          <t>1</t>
        </is>
      </c>
      <c r="J759">
        <f>(Inputs!$B$5*(1+Inputs!$B$6/100))*(F759/100)</f>
        <v/>
      </c>
      <c r="K759">
        <f>J759*(1+((Inputs!$B$11*(1+Inputs!$B$12/100))*0.01+Inputs!$B$13*0.0025)/100)*(1+Inputs!$B$14/100)*(1+IF(Inputs!$B$4="pvp",0,(1-Summary!$B$55)*(Inputs!$B$19+0+Skills!P6+((C770=TRUE)*F770*IF(AND(Inputs!$B$4&lt;&gt;"pvp",Inputs!$B$35&gt;0),(((S770-1)*(Skills!T17*(1+Inputs!$B$33/100))+MIN((Skills!T17*(1+Inputs!$B$33/100)),MAX(0,Inputs!$B$35-((S770-1)*Skills!D17))))/Inputs!$B$35),IF(Inputs!$B$4="pvp",MIN((Skills!T17*(1+Inputs!$B$33/100)),15)/15,(Skills!T17*(1+Inputs!$B$33/100))/Skills!D17)))+((C767=TRUE)*IF(Inputs!$B$4="pvp",20,(1-Summary!$B$55)*(20)+Summary!$B$55*(0))*IF(AND(Inputs!$B$4&lt;&gt;"pvp",Inputs!$B$35&gt;0),(((S767-1)*(Skills!T14*(1+Inputs!$B$33/100))+MIN((Skills!T14*(1+Inputs!$B$33/100)),MAX(0,Inputs!$B$35-((S767-1)*Skills!D14))))/Inputs!$B$35),IF(Inputs!$B$4="pvp",MIN((Skills!T14*(1+Inputs!$B$33/100)),15)/15,(Skills!T14*(1+Inputs!$B$33/100))/Skills!D14))))+Summary!$B$55*(Inputs!$B$20+Skills!Q6+((C770=TRUE)*F770*IF(AND(Inputs!$B$4&lt;&gt;"pvp",Inputs!$B$35&gt;0),(((S770-1)*(Skills!T17*(1+Inputs!$B$33/100))+MIN((Skills!T17*(1+Inputs!$B$33/100)),MAX(0,Inputs!$B$35-((S770-1)*Skills!D17))))/Inputs!$B$35),IF(Inputs!$B$4="pvp",MIN((Skills!T17*(1+Inputs!$B$33/100)),15)/15,(Skills!T17*(1+Inputs!$B$33/100))/Skills!D17)))))/100)*(1+Inputs!$B$15/100)*(5000/(6000+Inputs!$B$7*(1-(Inputs!$B$18+0)/100)))*(1+(Inputs!$B$23+((C778=TRUE)*(F778-Calc!F25))+((C779=TRUE)*(F779-Calc!F26))+B788)/100)*(1+(IF(Skills!A6="DARK_IMPALE",Inputs!$B$16+0,Inputs!$B$17+((C776=TRUE)*(F776-Calc!F23))))/100)*((1+(((C766=TRUE)*F766*IF(AND(Inputs!$B$4&lt;&gt;"pvp",Inputs!$B$35&gt;0),(((S766-1)*(Skills!T13*(1+Inputs!$B$33/100))+MIN((Skills!T13*(1+Inputs!$B$33/100)),MAX(0,Inputs!$B$35-((S766-1)*Skills!D13))))/Inputs!$B$35),IF(Inputs!$B$4="pvp",MIN((Skills!T13*(1+Inputs!$B$33/100)),15)/15,(Skills!T13*(1+Inputs!$B$33/100))/Skills!D13)))+((C767=TRUE)*F767*IF(AND(Inputs!$B$4&lt;&gt;"pvp",Inputs!$B$35&gt;0),(((S767-1)*(Skills!T14*(1+Inputs!$B$33/100))+MIN((Skills!T14*(1+Inputs!$B$33/100)),MAX(0,Inputs!$B$35-((S767-1)*Skills!D14))))/Inputs!$B$35),IF(Inputs!$B$4="pvp",MIN((Skills!T14*(1+Inputs!$B$33/100)),15)/15,(Skills!T14*(1+Inputs!$B$33/100))/Skills!D14)))+((C768=TRUE)*F768*IF(AND(Inputs!$B$4&lt;&gt;"pvp",Inputs!$B$35&gt;0),(((S768-1)*(Skills!T15*(1+Inputs!$B$33/100))+MIN((Skills!T15*(1+Inputs!$B$33/100)),MAX(0,Inputs!$B$35-((S768-1)*Skills!D15))))/Inputs!$B$35),IF(Inputs!$B$4="pvp",MIN((Skills!T15*(1+Inputs!$B$33/100)),15)/15,(Skills!T15*(1+Inputs!$B$33/100))/Skills!D15)))+((C769=TRUE)*F769*IF(AND(Inputs!$B$4&lt;&gt;"pvp",Inputs!$B$35&gt;0),(((S769-1)*(Skills!T16*(1+Inputs!$B$33/100))+MIN((Skills!T16*(1+Inputs!$B$33/100)),MAX(0,Inputs!$B$35-((S769-1)*Skills!D16))))/Inputs!$B$35),IF(Inputs!$B$4="pvp",MIN((Skills!T16*(1+Inputs!$B$33/100)),15)/15,(Skills!T16*(1+Inputs!$B$33/100))/Skills!D16)))+0)/100)*I759)</f>
        <v/>
      </c>
      <c r="L759">
        <f>K759*(MIN(Inputs!$B$21+((C775=TRUE)*(F775-Calc!F22)),Inputs!$B$22+((C777=TRUE)*(F777-Calc!F24)))/100+(Inputs!$B$22+((C777=TRUE)*(F777-Calc!F24)))/100)/2</f>
        <v/>
      </c>
      <c r="M759">
        <f>L759*(1+(Inputs!$B$9+0+B787)/100)</f>
        <v/>
      </c>
      <c r="N759">
        <f>L759*(1-MIN((Inputs!$B$8+0+B782),100)/100)+M759*(MIN((Inputs!$B$8+0+B782),100)/100)</f>
        <v/>
      </c>
      <c r="O759">
        <f>IF(C759,H759*N759*IF(AND(Inputs!$B$4&lt;&gt;"pvp",Inputs!$B$35&gt;0),((Skills!G6*((R759-1)*IF(Skills!H6&gt;0,Skills!I6/Skills!H6,1)+IF(Skills!H6&gt;0,MIN(Skills!I6,MAX(0,Inputs!$B$35-((R759-1)*IF(Inputs!$B$4="pvp",15,MAX(0.1,Skills!D6-IF(Skills!E6=TRUE,Inputs!$B$31,0))))))/Skills!H6,1)))/Inputs!$B$35),G759*Q759)*IF(Inputs!$B$4="pvp",1,(1-Summary!$B$55)*(1)+Summary!$B$55*(MIN(Skills!R6,Inputs!$B$37))),0)</f>
        <v/>
      </c>
      <c r="P759">
        <f>IF(B790=0,0,O759/B790)</f>
        <v/>
      </c>
      <c r="Q759">
        <f>IFERROR(1/IF(Inputs!$B$4="pvp",15,MAX(0.1,Skills!D6-IF(Skills!E6=TRUE,Inputs!$B$31,0))),0)</f>
        <v/>
      </c>
      <c r="R759">
        <f>IF(AND(Inputs!$B$4&lt;&gt;"pvp",Inputs!$B$35&gt;0),(INT(Inputs!$B$35/IF(Inputs!$B$4="pvp",15,MAX(0.1,Skills!D6-IF(Skills!E6=TRUE,Inputs!$B$31,0))))+1),0)</f>
        <v/>
      </c>
      <c r="S759">
        <f>IFERROR(O759/N759,0)</f>
        <v/>
      </c>
    </row>
    <row r="760">
      <c r="A760">
        <f>Skills!A7</f>
        <v/>
      </c>
      <c r="B760">
        <f>Skills!B7</f>
        <v/>
      </c>
      <c r="C760">
        <f>Inputs!$B$3&gt;=40</f>
        <v/>
      </c>
      <c r="D760">
        <f>IF(Skills!C7=1,60+Inputs!$B$24+Inputs!$B$28,IF(Skills!C7=2,90+Inputs!$B$25+Inputs!$B$28,IF(Skills!C7=3,120+(Inputs!$B$26+1)+Inputs!$B$28,MAX(0,(Inputs!$B$3-100)*3)+Inputs!$B$27+Inputs!$B$28)))</f>
        <v/>
      </c>
      <c r="E760">
        <f>INDEX(FactorTable!$B$2:$Y$301, MATCH(ROUND(MIN(300,MAX(1,D760)),0), FactorTable!$A$2:$A$301,0), Skills!M7+1)</f>
        <v/>
      </c>
      <c r="F760">
        <f>IF(Skills!N7=TRUE,(Skills!L7/10)*(E760/1000),Skills!L7/10)+Skills!O7</f>
        <v/>
      </c>
      <c r="G760">
        <f>Skills!G7*IF(Skills!H7&gt;0,Skills!I7/Skills!H7,1)</f>
        <v/>
      </c>
      <c r="H760">
        <f>1-(1-Skills!J7/100)^Skills!K7</f>
        <v/>
      </c>
      <c r="I760" t="inlineStr">
        <is>
          <t>1</t>
        </is>
      </c>
      <c r="J760">
        <f>(Inputs!$B$5*(1+Inputs!$B$6/100))*(F760/100)</f>
        <v/>
      </c>
      <c r="K760">
        <f>J760*(1+((Inputs!$B$11*(1+Inputs!$B$12/100))*0.01+Inputs!$B$13*0.0025)/100)*(1+Inputs!$B$14/100)*(1+IF(Inputs!$B$4="pvp",0,(1-Summary!$B$55)*(Inputs!$B$19+0+Skills!P7+((C770=TRUE)*F770*IF(AND(Inputs!$B$4&lt;&gt;"pvp",Inputs!$B$35&gt;0),(((S770-1)*(Skills!T17*(1+Inputs!$B$33/100))+MIN((Skills!T17*(1+Inputs!$B$33/100)),MAX(0,Inputs!$B$35-((S770-1)*Skills!D17))))/Inputs!$B$35),IF(Inputs!$B$4="pvp",MIN((Skills!T17*(1+Inputs!$B$33/100)),15)/15,(Skills!T17*(1+Inputs!$B$33/100))/Skills!D17)))+((C767=TRUE)*IF(Inputs!$B$4="pvp",20,(1-Summary!$B$55)*(20)+Summary!$B$55*(0))*IF(AND(Inputs!$B$4&lt;&gt;"pvp",Inputs!$B$35&gt;0),(((S767-1)*(Skills!T14*(1+Inputs!$B$33/100))+MIN((Skills!T14*(1+Inputs!$B$33/100)),MAX(0,Inputs!$B$35-((S767-1)*Skills!D14))))/Inputs!$B$35),IF(Inputs!$B$4="pvp",MIN((Skills!T14*(1+Inputs!$B$33/100)),15)/15,(Skills!T14*(1+Inputs!$B$33/100))/Skills!D14))))+Summary!$B$55*(Inputs!$B$20+Skills!Q7+((C770=TRUE)*F770*IF(AND(Inputs!$B$4&lt;&gt;"pvp",Inputs!$B$35&gt;0),(((S770-1)*(Skills!T17*(1+Inputs!$B$33/100))+MIN((Skills!T17*(1+Inputs!$B$33/100)),MAX(0,Inputs!$B$35-((S770-1)*Skills!D17))))/Inputs!$B$35),IF(Inputs!$B$4="pvp",MIN((Skills!T17*(1+Inputs!$B$33/100)),15)/15,(Skills!T17*(1+Inputs!$B$33/100))/Skills!D17)))))/100)*(1+Inputs!$B$15/100)*(5000/(6000+Inputs!$B$7*(1-(Inputs!$B$18+0)/100)))*(1+(Inputs!$B$23+((C778=TRUE)*(F778-Calc!F25))+((C779=TRUE)*(F779-Calc!F26))+B788)/100)*(1+0.75*IF(C764=TRUE,F764,0)/100)*(1+(IF(Skills!A7="DARK_IMPALE",Inputs!$B$16+0,Inputs!$B$17+((C776=TRUE)*(F776-Calc!F23))))/100)*((1+(((C766=TRUE)*F766*IF(AND(Inputs!$B$4&lt;&gt;"pvp",Inputs!$B$35&gt;0),(((S766-1)*(Skills!T13*(1+Inputs!$B$33/100))+MIN((Skills!T13*(1+Inputs!$B$33/100)),MAX(0,Inputs!$B$35-((S766-1)*Skills!D13))))/Inputs!$B$35),IF(Inputs!$B$4="pvp",MIN((Skills!T13*(1+Inputs!$B$33/100)),15)/15,(Skills!T13*(1+Inputs!$B$33/100))/Skills!D13)))+((C767=TRUE)*F767*IF(AND(Inputs!$B$4&lt;&gt;"pvp",Inputs!$B$35&gt;0),(((S767-1)*(Skills!T14*(1+Inputs!$B$33/100))+MIN((Skills!T14*(1+Inputs!$B$33/100)),MAX(0,Inputs!$B$35-((S767-1)*Skills!D14))))/Inputs!$B$35),IF(Inputs!$B$4="pvp",MIN((Skills!T14*(1+Inputs!$B$33/100)),15)/15,(Skills!T14*(1+Inputs!$B$33/100))/Skills!D14)))+((C768=TRUE)*F768*IF(AND(Inputs!$B$4&lt;&gt;"pvp",Inputs!$B$35&gt;0),(((S768-1)*(Skills!T15*(1+Inputs!$B$33/100))+MIN((Skills!T15*(1+Inputs!$B$33/100)),MAX(0,Inputs!$B$35-((S768-1)*Skills!D15))))/Inputs!$B$35),IF(Inputs!$B$4="pvp",MIN((Skills!T15*(1+Inputs!$B$33/100)),15)/15,(Skills!T15*(1+Inputs!$B$33/100))/Skills!D15)))+((C769=TRUE)*F769*IF(AND(Inputs!$B$4&lt;&gt;"pvp",Inputs!$B$35&gt;0),(((S769-1)*(Skills!T16*(1+Inputs!$B$33/100))+MIN((Skills!T16*(1+Inputs!$B$33/100)),MAX(0,Inputs!$B$35-((S769-1)*Skills!D16))))/Inputs!$B$35),IF(Inputs!$B$4="pvp",MIN((Skills!T16*(1+Inputs!$B$33/100)),15)/15,(Skills!T16*(1+Inputs!$B$33/100))/Skills!D16)))+0)/100)*I760)</f>
        <v/>
      </c>
      <c r="L760">
        <f>K760*(MIN(Inputs!$B$21+((C775=TRUE)*(F775-Calc!F22)),Inputs!$B$22+((C777=TRUE)*(F777-Calc!F24)))/100+(Inputs!$B$22+((C777=TRUE)*(F777-Calc!F24)))/100)/2</f>
        <v/>
      </c>
      <c r="M760">
        <f>L760*(1+(Inputs!$B$9+0+B787)/100)</f>
        <v/>
      </c>
      <c r="N760">
        <f>L760*(1-MIN((Inputs!$B$8+0+B782),100)/100)+M760*(MIN((Inputs!$B$8+0+B782),100)/100)</f>
        <v/>
      </c>
      <c r="O760">
        <f>IF(C760,H760*N760*IF(AND(Inputs!$B$4&lt;&gt;"pvp",Inputs!$B$35&gt;0),((Skills!G7*((R760-1)*IF(Skills!H7&gt;0,Skills!I7/Skills!H7,1)+IF(Skills!H7&gt;0,MIN(Skills!I7,MAX(0,Inputs!$B$35-((R760-1)*IF(Inputs!$B$4="pvp",15,MAX(0.1,Skills!D7-IF(Skills!E7=TRUE,Inputs!$B$31,0))))))/Skills!H7,1)))/Inputs!$B$35),G760*Q760)*IF(Inputs!$B$4="pvp",1,(1-Summary!$B$55)*(1)+Summary!$B$55*(MIN(Skills!R7,Inputs!$B$37))),0)</f>
        <v/>
      </c>
      <c r="P760">
        <f>IF(B790=0,0,O760/B790)</f>
        <v/>
      </c>
      <c r="Q760">
        <f>IFERROR(1/IF(Inputs!$B$4="pvp",15,MAX(0.1,Skills!D7-IF(Skills!E7=TRUE,Inputs!$B$31,0))),0)</f>
        <v/>
      </c>
      <c r="R760">
        <f>IF(AND(Inputs!$B$4&lt;&gt;"pvp",Inputs!$B$35&gt;0),(INT(Inputs!$B$35/IF(Inputs!$B$4="pvp",15,MAX(0.1,Skills!D7-IF(Skills!E7=TRUE,Inputs!$B$31,0))))+1),0)</f>
        <v/>
      </c>
      <c r="S760">
        <f>IFERROR(O760/N760,0)</f>
        <v/>
      </c>
    </row>
    <row r="761">
      <c r="A761">
        <f>Skills!A8</f>
        <v/>
      </c>
      <c r="B761">
        <f>Skills!B8</f>
        <v/>
      </c>
      <c r="C761">
        <f>Inputs!$B$3&gt;=75</f>
        <v/>
      </c>
      <c r="D761">
        <f>IF(Skills!C8=1,60+Inputs!$B$24+Inputs!$B$28,IF(Skills!C8=2,90+Inputs!$B$25+Inputs!$B$28,IF(Skills!C8=3,120+(Inputs!$B$26+1)+Inputs!$B$28,MAX(0,(Inputs!$B$3-100)*3)+Inputs!$B$27+Inputs!$B$28)))</f>
        <v/>
      </c>
      <c r="E761">
        <f>INDEX(FactorTable!$B$2:$Y$301, MATCH(ROUND(MIN(300,MAX(1,D761)),0), FactorTable!$A$2:$A$301,0), Skills!M8+1)</f>
        <v/>
      </c>
      <c r="F761">
        <f>IF(Skills!N8=TRUE,(Skills!L8/10)*(E761/1000),Skills!L8/10)+Skills!O8</f>
        <v/>
      </c>
      <c r="G761" t="inlineStr"/>
      <c r="H761" t="inlineStr"/>
      <c r="I761" t="inlineStr">
        <is>
          <t>1</t>
        </is>
      </c>
      <c r="J761" t="inlineStr"/>
      <c r="K761" t="inlineStr"/>
      <c r="L761" t="inlineStr"/>
      <c r="M761" t="inlineStr"/>
      <c r="N761" t="inlineStr"/>
      <c r="O761" t="inlineStr"/>
      <c r="P761" t="inlineStr"/>
      <c r="Q761" t="inlineStr"/>
      <c r="R761" t="inlineStr"/>
      <c r="S761" t="inlineStr"/>
    </row>
    <row r="762">
      <c r="A762">
        <f>Skills!A9</f>
        <v/>
      </c>
      <c r="B762">
        <f>Skills!B9</f>
        <v/>
      </c>
      <c r="C762">
        <f>Inputs!$B$3&gt;=60</f>
        <v/>
      </c>
      <c r="D762">
        <f>IF(Skills!C9=1,60+Inputs!$B$24+Inputs!$B$28,IF(Skills!C9=2,90+Inputs!$B$25+Inputs!$B$28,IF(Skills!C9=3,120+(Inputs!$B$26+1)+Inputs!$B$28,MAX(0,(Inputs!$B$3-100)*3)+Inputs!$B$27+Inputs!$B$28)))</f>
        <v/>
      </c>
      <c r="E762">
        <f>INDEX(FactorTable!$B$2:$Y$301, MATCH(ROUND(MIN(300,MAX(1,D762)),0), FactorTable!$A$2:$A$301,0), Skills!M9+1)</f>
        <v/>
      </c>
      <c r="F762">
        <f>IF(Skills!N9=TRUE,(Skills!L9/10)*(E762/1000),Skills!L9/10)+Skills!O9</f>
        <v/>
      </c>
      <c r="G762">
        <f>Skills!G9*IF(Skills!H9&gt;0,Skills!I9/Skills!H9,1)</f>
        <v/>
      </c>
      <c r="H762">
        <f>1-(1-Skills!J9/100)^Skills!K9</f>
        <v/>
      </c>
      <c r="I762" t="inlineStr">
        <is>
          <t>1</t>
        </is>
      </c>
      <c r="J762">
        <f>(Inputs!$B$5*(1+Inputs!$B$6/100))*(F762/100)</f>
        <v/>
      </c>
      <c r="K762">
        <f>J762*(1+((Inputs!$B$11*(1+Inputs!$B$12/100))*0.01+Inputs!$B$13*0.0025)/100)*(1+Inputs!$B$14/100)*(1+IF(Inputs!$B$4="pvp",0,(1-Summary!$B$55)*(Inputs!$B$19+0+Skills!P9+((C770=TRUE)*F770*IF(AND(Inputs!$B$4&lt;&gt;"pvp",Inputs!$B$35&gt;0),(((S770-1)*(Skills!T17*(1+Inputs!$B$33/100))+MIN((Skills!T17*(1+Inputs!$B$33/100)),MAX(0,Inputs!$B$35-((S770-1)*Skills!D17))))/Inputs!$B$35),IF(Inputs!$B$4="pvp",MIN((Skills!T17*(1+Inputs!$B$33/100)),15)/15,(Skills!T17*(1+Inputs!$B$33/100))/Skills!D17)))+((C767=TRUE)*IF(Inputs!$B$4="pvp",20,(1-Summary!$B$55)*(20)+Summary!$B$55*(0))*IF(AND(Inputs!$B$4&lt;&gt;"pvp",Inputs!$B$35&gt;0),(((S767-1)*(Skills!T14*(1+Inputs!$B$33/100))+MIN((Skills!T14*(1+Inputs!$B$33/100)),MAX(0,Inputs!$B$35-((S767-1)*Skills!D14))))/Inputs!$B$35),IF(Inputs!$B$4="pvp",MIN((Skills!T14*(1+Inputs!$B$33/100)),15)/15,(Skills!T14*(1+Inputs!$B$33/100))/Skills!D14))))+Summary!$B$55*(Inputs!$B$20+Skills!Q9+((C770=TRUE)*F770*IF(AND(Inputs!$B$4&lt;&gt;"pvp",Inputs!$B$35&gt;0),(((S770-1)*(Skills!T17*(1+Inputs!$B$33/100))+MIN((Skills!T17*(1+Inputs!$B$33/100)),MAX(0,Inputs!$B$35-((S770-1)*Skills!D17))))/Inputs!$B$35),IF(Inputs!$B$4="pvp",MIN((Skills!T17*(1+Inputs!$B$33/100)),15)/15,(Skills!T17*(1+Inputs!$B$33/100))/Skills!D17)))))/100)*(1+Inputs!$B$15/100)*(5000/(6000+Inputs!$B$7*(1-(Inputs!$B$18+0)/100)))*(1+(Inputs!$B$23+((C778=TRUE)*(F778-Calc!F25))+((C779=TRUE)*(F779-Calc!F26))+B788)/100)*(1+1.0*IF(C764=TRUE,F764,0)/100)*(1+(IF(Skills!A9="DARK_IMPALE",Inputs!$B$16+0,Inputs!$B$17+((C776=TRUE)*(F776-Calc!F23))))/100)*((1+(((C766=TRUE)*F766*IF(AND(Inputs!$B$4&lt;&gt;"pvp",Inputs!$B$35&gt;0),(((S766-1)*(Skills!T13*(1+Inputs!$B$33/100))+MIN((Skills!T13*(1+Inputs!$B$33/100)),MAX(0,Inputs!$B$35-((S766-1)*Skills!D13))))/Inputs!$B$35),IF(Inputs!$B$4="pvp",MIN((Skills!T13*(1+Inputs!$B$33/100)),15)/15,(Skills!T13*(1+Inputs!$B$33/100))/Skills!D13)))+((C767=TRUE)*F767*IF(AND(Inputs!$B$4&lt;&gt;"pvp",Inputs!$B$35&gt;0),(((S767-1)*(Skills!T14*(1+Inputs!$B$33/100))+MIN((Skills!T14*(1+Inputs!$B$33/100)),MAX(0,Inputs!$B$35-((S767-1)*Skills!D14))))/Inputs!$B$35),IF(Inputs!$B$4="pvp",MIN((Skills!T14*(1+Inputs!$B$33/100)),15)/15,(Skills!T14*(1+Inputs!$B$33/100))/Skills!D14)))+((C768=TRUE)*F768*IF(AND(Inputs!$B$4&lt;&gt;"pvp",Inputs!$B$35&gt;0),(((S768-1)*(Skills!T15*(1+Inputs!$B$33/100))+MIN((Skills!T15*(1+Inputs!$B$33/100)),MAX(0,Inputs!$B$35-((S768-1)*Skills!D15))))/Inputs!$B$35),IF(Inputs!$B$4="pvp",MIN((Skills!T15*(1+Inputs!$B$33/100)),15)/15,(Skills!T15*(1+Inputs!$B$33/100))/Skills!D15)))+((C769=TRUE)*F769*IF(AND(Inputs!$B$4&lt;&gt;"pvp",Inputs!$B$35&gt;0),(((S769-1)*(Skills!T16*(1+Inputs!$B$33/100))+MIN((Skills!T16*(1+Inputs!$B$33/100)),MAX(0,Inputs!$B$35-((S769-1)*Skills!D16))))/Inputs!$B$35),IF(Inputs!$B$4="pvp",MIN((Skills!T16*(1+Inputs!$B$33/100)),15)/15,(Skills!T16*(1+Inputs!$B$33/100))/Skills!D16)))+0)/100)*I762)</f>
        <v/>
      </c>
      <c r="L762">
        <f>K762*(MIN(Inputs!$B$21+((C775=TRUE)*(F775-Calc!F22)),Inputs!$B$22+((C777=TRUE)*(F777-Calc!F24)))/100+(Inputs!$B$22+((C777=TRUE)*(F777-Calc!F24)))/100)/2</f>
        <v/>
      </c>
      <c r="M762">
        <f>L762*(1+(Inputs!$B$9+0+B787)/100)</f>
        <v/>
      </c>
      <c r="N762">
        <f>L762*(1-MIN((Inputs!$B$8+0+B782),100)/100)+M762*(MIN((Inputs!$B$8+0+B782),100)/100)</f>
        <v/>
      </c>
      <c r="O762">
        <f>IF(C762,H762*N762*IF(AND(Inputs!$B$4&lt;&gt;"pvp",Inputs!$B$35&gt;0),((Skills!G9*((R762-1)*IF(Skills!H9&gt;0,Skills!I9/Skills!H9,1)+IF(Skills!H9&gt;0,MIN(Skills!I9,MAX(0,Inputs!$B$35-((R762-1)*IF(Inputs!$B$4="pvp",15,MAX(0.1,Skills!D9-IF(Skills!E9=TRUE,Inputs!$B$31,0))))))/Skills!H9,1)))/Inputs!$B$35),G762*Q762)*IF(Inputs!$B$4="pvp",1,(1-Summary!$B$55)*(1)+Summary!$B$55*(MIN(Skills!R9,Inputs!$B$37))),0)</f>
        <v/>
      </c>
      <c r="P762">
        <f>IF(B790=0,0,O762/B790)</f>
        <v/>
      </c>
      <c r="Q762">
        <f>IFERROR(1/IF(Inputs!$B$4="pvp",15,MAX(0.1,Skills!D9-IF(Skills!E9=TRUE,Inputs!$B$31,0))),0)</f>
        <v/>
      </c>
      <c r="R762">
        <f>IF(AND(Inputs!$B$4&lt;&gt;"pvp",Inputs!$B$35&gt;0),(INT(Inputs!$B$35/IF(Inputs!$B$4="pvp",15,MAX(0.1,Skills!D9-IF(Skills!E9=TRUE,Inputs!$B$31,0))))+1),0)</f>
        <v/>
      </c>
      <c r="S762">
        <f>IFERROR(O762/N762,0)</f>
        <v/>
      </c>
    </row>
    <row r="763">
      <c r="A763">
        <f>Skills!A10</f>
        <v/>
      </c>
      <c r="B763">
        <f>Skills!B10</f>
        <v/>
      </c>
      <c r="C763">
        <f>Inputs!$B$3&gt;=110</f>
        <v/>
      </c>
      <c r="D763">
        <f>IF(Skills!C10=1,60+Inputs!$B$24+Inputs!$B$28,IF(Skills!C10=2,90+Inputs!$B$25+Inputs!$B$28,IF(Skills!C10=3,120+(Inputs!$B$26+1)+Inputs!$B$28,MAX(0,(Inputs!$B$3-100)*3)+Inputs!$B$27+Inputs!$B$28)))</f>
        <v/>
      </c>
      <c r="E763">
        <f>INDEX(FactorTable!$B$2:$Y$301, MATCH(ROUND(MIN(300,MAX(1,D763)),0), FactorTable!$A$2:$A$301,0), Skills!M10+1)</f>
        <v/>
      </c>
      <c r="F763">
        <f>IF(Skills!N10=TRUE,(Skills!L10/10)*(E763/1000),Skills!L10/10)+Skills!O10</f>
        <v/>
      </c>
      <c r="G763">
        <f>Skills!G10*IF(Skills!H10&gt;0,Skills!I10/Skills!H10,1)</f>
        <v/>
      </c>
      <c r="H763">
        <f>1-(1-Skills!J10/100)^Skills!K10</f>
        <v/>
      </c>
      <c r="I763" t="inlineStr">
        <is>
          <t>1</t>
        </is>
      </c>
      <c r="J763">
        <f>(Inputs!$B$5*(1+Inputs!$B$6/100))*(F763/100)</f>
        <v/>
      </c>
      <c r="K763">
        <f>J763*(1+((Inputs!$B$11*(1+Inputs!$B$12/100))*0.01+Inputs!$B$13*0.0025)/100)*(1+Inputs!$B$14/100)*(1+IF(Inputs!$B$4="pvp",0,(1-Summary!$B$55)*(Inputs!$B$19+0+Skills!P10+((C770=TRUE)*F770*IF(AND(Inputs!$B$4&lt;&gt;"pvp",Inputs!$B$35&gt;0),(((S770-1)*(Skills!T17*(1+Inputs!$B$33/100))+MIN((Skills!T17*(1+Inputs!$B$33/100)),MAX(0,Inputs!$B$35-((S770-1)*Skills!D17))))/Inputs!$B$35),IF(Inputs!$B$4="pvp",MIN((Skills!T17*(1+Inputs!$B$33/100)),15)/15,(Skills!T17*(1+Inputs!$B$33/100))/Skills!D17)))+((C767=TRUE)*IF(Inputs!$B$4="pvp",20,(1-Summary!$B$55)*(20)+Summary!$B$55*(0))*IF(AND(Inputs!$B$4&lt;&gt;"pvp",Inputs!$B$35&gt;0),(((S767-1)*(Skills!T14*(1+Inputs!$B$33/100))+MIN((Skills!T14*(1+Inputs!$B$33/100)),MAX(0,Inputs!$B$35-((S767-1)*Skills!D14))))/Inputs!$B$35),IF(Inputs!$B$4="pvp",MIN((Skills!T14*(1+Inputs!$B$33/100)),15)/15,(Skills!T14*(1+Inputs!$B$33/100))/Skills!D14))))+Summary!$B$55*(Inputs!$B$20+Skills!Q10+((C770=TRUE)*F770*IF(AND(Inputs!$B$4&lt;&gt;"pvp",Inputs!$B$35&gt;0),(((S770-1)*(Skills!T17*(1+Inputs!$B$33/100))+MIN((Skills!T17*(1+Inputs!$B$33/100)),MAX(0,Inputs!$B$35-((S770-1)*Skills!D17))))/Inputs!$B$35),IF(Inputs!$B$4="pvp",MIN((Skills!T17*(1+Inputs!$B$33/100)),15)/15,(Skills!T17*(1+Inputs!$B$33/100))/Skills!D17)))))/100)*(1+Inputs!$B$15/100)*(5000/(6000+Inputs!$B$7*(1-(Inputs!$B$18+0)/100)))*(1+(Inputs!$B$23+((C778=TRUE)*(F778-Calc!F25))+((C779=TRUE)*(F779-Calc!F26))+B788)/100)*(1+(IF(Skills!A10="DARK_IMPALE",Inputs!$B$16+0,Inputs!$B$17+((C776=TRUE)*(F776-Calc!F23))))/100)*((1+(((C766=TRUE)*F766*IF(AND(Inputs!$B$4&lt;&gt;"pvp",Inputs!$B$35&gt;0),(((S766-1)*(Skills!T13*(1+Inputs!$B$33/100))+MIN((Skills!T13*(1+Inputs!$B$33/100)),MAX(0,Inputs!$B$35-((S766-1)*Skills!D13))))/Inputs!$B$35),IF(Inputs!$B$4="pvp",MIN((Skills!T13*(1+Inputs!$B$33/100)),15)/15,(Skills!T13*(1+Inputs!$B$33/100))/Skills!D13)))+((C767=TRUE)*F767*IF(AND(Inputs!$B$4&lt;&gt;"pvp",Inputs!$B$35&gt;0),(((S767-1)*(Skills!T14*(1+Inputs!$B$33/100))+MIN((Skills!T14*(1+Inputs!$B$33/100)),MAX(0,Inputs!$B$35-((S767-1)*Skills!D14))))/Inputs!$B$35),IF(Inputs!$B$4="pvp",MIN((Skills!T14*(1+Inputs!$B$33/100)),15)/15,(Skills!T14*(1+Inputs!$B$33/100))/Skills!D14)))+((C768=TRUE)*F768*IF(AND(Inputs!$B$4&lt;&gt;"pvp",Inputs!$B$35&gt;0),(((S768-1)*(Skills!T15*(1+Inputs!$B$33/100))+MIN((Skills!T15*(1+Inputs!$B$33/100)),MAX(0,Inputs!$B$35-((S768-1)*Skills!D15))))/Inputs!$B$35),IF(Inputs!$B$4="pvp",MIN((Skills!T15*(1+Inputs!$B$33/100)),15)/15,(Skills!T15*(1+Inputs!$B$33/100))/Skills!D15)))+((C769=TRUE)*F769*IF(AND(Inputs!$B$4&lt;&gt;"pvp",Inputs!$B$35&gt;0),(((S769-1)*(Skills!T16*(1+Inputs!$B$33/100))+MIN((Skills!T16*(1+Inputs!$B$33/100)),MAX(0,Inputs!$B$35-((S769-1)*Skills!D16))))/Inputs!$B$35),IF(Inputs!$B$4="pvp",MIN((Skills!T16*(1+Inputs!$B$33/100)),15)/15,(Skills!T16*(1+Inputs!$B$33/100))/Skills!D16)))+0)/100)*I763)</f>
        <v/>
      </c>
      <c r="L763">
        <f>K763*(MIN(Inputs!$B$21+((C775=TRUE)*(F775-Calc!F22)),Inputs!$B$22+((C777=TRUE)*(F777-Calc!F24)))/100+(Inputs!$B$22+((C777=TRUE)*(F777-Calc!F24)))/100)/2</f>
        <v/>
      </c>
      <c r="M763">
        <f>L763*(1+(Inputs!$B$9+0+B787)/100)</f>
        <v/>
      </c>
      <c r="N763">
        <f>L763*(1-MIN((Inputs!$B$8+0+B782),100)/100)+M763*(MIN((Inputs!$B$8+0+B782),100)/100)</f>
        <v/>
      </c>
      <c r="O763">
        <f>IF(C763,H763*N763*IF(AND(Inputs!$B$4&lt;&gt;"pvp",Inputs!$B$35&gt;0),((Skills!G10*((R763-1)*IF(Skills!H10&gt;0,Skills!I10/Skills!H10,1)+IF(Skills!H10&gt;0,MIN(Skills!I10,MAX(0,Inputs!$B$35-((R763-1)*IF(Inputs!$B$4="pvp",15,MAX(0.1,Skills!D10-IF(Skills!E10=TRUE,Inputs!$B$31,0))))))/Skills!H10,1)))/Inputs!$B$35),G763*Q763)*IF(Inputs!$B$4="pvp",1,(1-Summary!$B$55)*(1)+Summary!$B$55*(MIN(Skills!R10,Inputs!$B$37))),0)</f>
        <v/>
      </c>
      <c r="P763">
        <f>IF(B790=0,0,O763/B790)</f>
        <v/>
      </c>
      <c r="Q763">
        <f>IFERROR(1/IF(Inputs!$B$4="pvp",15,MAX(0.1,Skills!D10-IF(Skills!E10=TRUE,Inputs!$B$31,0))),0)</f>
        <v/>
      </c>
      <c r="R763">
        <f>IF(AND(Inputs!$B$4&lt;&gt;"pvp",Inputs!$B$35&gt;0),(INT(Inputs!$B$35/IF(Inputs!$B$4="pvp",15,MAX(0.1,Skills!D10-IF(Skills!E10=TRUE,Inputs!$B$31,0))))+1),0)</f>
        <v/>
      </c>
      <c r="S763">
        <f>IFERROR(O763/N763,0)</f>
        <v/>
      </c>
    </row>
    <row r="764">
      <c r="A764">
        <f>Skills!A11</f>
        <v/>
      </c>
      <c r="B764">
        <f>Skills!B11</f>
        <v/>
      </c>
      <c r="C764">
        <f>Inputs!$B$3&gt;=100</f>
        <v/>
      </c>
      <c r="D764">
        <f>IF(Skills!C11=1,60+Inputs!$B$24+Inputs!$B$28,IF(Skills!C11=2,90+Inputs!$B$25+Inputs!$B$28,IF(Skills!C11=3,120+(Inputs!$B$26+1)+Inputs!$B$28,MAX(0,(Inputs!$B$3-100)*3)+Inputs!$B$27+Inputs!$B$28)))</f>
        <v/>
      </c>
      <c r="E764">
        <f>INDEX(FactorTable!$B$2:$Y$301, MATCH(ROUND(MIN(300,MAX(1,D764)),0), FactorTable!$A$2:$A$301,0), Skills!M11+1)</f>
        <v/>
      </c>
      <c r="F764">
        <f>IF(Skills!N11=TRUE,(Skills!L11/10)*(E764/1000),Skills!L11/10)+Skills!O11</f>
        <v/>
      </c>
      <c r="G764" t="inlineStr"/>
      <c r="H764" t="inlineStr"/>
      <c r="I764" t="inlineStr">
        <is>
          <t>1</t>
        </is>
      </c>
      <c r="J764" t="inlineStr"/>
      <c r="K764" t="inlineStr"/>
      <c r="L764" t="inlineStr"/>
      <c r="M764" t="inlineStr"/>
      <c r="N764" t="inlineStr"/>
      <c r="O764" t="inlineStr"/>
      <c r="P764" t="inlineStr"/>
      <c r="Q764" t="inlineStr"/>
      <c r="R764" t="inlineStr"/>
      <c r="S764" t="inlineStr"/>
    </row>
    <row r="765">
      <c r="A765">
        <f>Skills!A12</f>
        <v/>
      </c>
      <c r="B765">
        <f>Skills!B12</f>
        <v/>
      </c>
      <c r="C765">
        <f>Inputs!$B$3&gt;=63</f>
        <v/>
      </c>
      <c r="D765">
        <f>IF(Skills!C12=1,60+Inputs!$B$24+Inputs!$B$28,IF(Skills!C12=2,90+Inputs!$B$25+Inputs!$B$28,IF(Skills!C12=3,120+(Inputs!$B$26+1)+Inputs!$B$28,MAX(0,(Inputs!$B$3-100)*3)+Inputs!$B$27+Inputs!$B$28)))</f>
        <v/>
      </c>
      <c r="E765">
        <f>INDEX(FactorTable!$B$2:$Y$301, MATCH(ROUND(MIN(300,MAX(1,D765)),0), FactorTable!$A$2:$A$301,0), Skills!M12+1)</f>
        <v/>
      </c>
      <c r="F765">
        <f>IF(Skills!N12=TRUE,(Skills!L12/10)*(E765/1000),Skills!L12/10)+Skills!O12</f>
        <v/>
      </c>
      <c r="G765">
        <f>Skills!G12*IF(Skills!H12&gt;0,Skills!I12/Skills!H12,1)</f>
        <v/>
      </c>
      <c r="H765">
        <f>1-(1-Skills!J12/100)^Skills!K12</f>
        <v/>
      </c>
      <c r="I765" t="inlineStr">
        <is>
          <t>1</t>
        </is>
      </c>
      <c r="J765">
        <f>(Inputs!$B$5*(1+Inputs!$B$6/100))*(F765/100)</f>
        <v/>
      </c>
      <c r="K765">
        <f>J765*(1+((Inputs!$B$11*(1+Inputs!$B$12/100))*0.01+Inputs!$B$13*0.0025)/100)*(1+Inputs!$B$14/100)*(1+IF(Inputs!$B$4="pvp",0,(1-Summary!$B$55)*(Inputs!$B$19+0+Skills!P12+((C770=TRUE)*F770*IF(AND(Inputs!$B$4&lt;&gt;"pvp",Inputs!$B$35&gt;0),(((S770-1)*(Skills!T17*(1+Inputs!$B$33/100))+MIN((Skills!T17*(1+Inputs!$B$33/100)),MAX(0,Inputs!$B$35-((S770-1)*Skills!D17))))/Inputs!$B$35),IF(Inputs!$B$4="pvp",MIN((Skills!T17*(1+Inputs!$B$33/100)),15)/15,(Skills!T17*(1+Inputs!$B$33/100))/Skills!D17)))+((C767=TRUE)*IF(Inputs!$B$4="pvp",20,(1-Summary!$B$55)*(20)+Summary!$B$55*(0))*IF(AND(Inputs!$B$4&lt;&gt;"pvp",Inputs!$B$35&gt;0),(((S767-1)*(Skills!T14*(1+Inputs!$B$33/100))+MIN((Skills!T14*(1+Inputs!$B$33/100)),MAX(0,Inputs!$B$35-((S767-1)*Skills!D14))))/Inputs!$B$35),IF(Inputs!$B$4="pvp",MIN((Skills!T14*(1+Inputs!$B$33/100)),15)/15,(Skills!T14*(1+Inputs!$B$33/100))/Skills!D14))))+Summary!$B$55*(Inputs!$B$20+Skills!Q12+((C770=TRUE)*F770*IF(AND(Inputs!$B$4&lt;&gt;"pvp",Inputs!$B$35&gt;0),(((S770-1)*(Skills!T17*(1+Inputs!$B$33/100))+MIN((Skills!T17*(1+Inputs!$B$33/100)),MAX(0,Inputs!$B$35-((S770-1)*Skills!D17))))/Inputs!$B$35),IF(Inputs!$B$4="pvp",MIN((Skills!T17*(1+Inputs!$B$33/100)),15)/15,(Skills!T17*(1+Inputs!$B$33/100))/Skills!D17)))))/100)*(1+Inputs!$B$15/100)*(5000/(6000+Inputs!$B$7*(1-(Inputs!$B$18+0)/100)))*(1+(Inputs!$B$23+((C778=TRUE)*(F778-Calc!F25))+((C779=TRUE)*(F779-Calc!F26))+B788)/100)*(1+0.75*IF(C764=TRUE,F764,0)/100)*(1+(IF(Skills!A12="DARK_IMPALE",Inputs!$B$16+0,Inputs!$B$17+((C776=TRUE)*(F776-Calc!F23))))/100)*((1+(((C766=TRUE)*F766*IF(AND(Inputs!$B$4&lt;&gt;"pvp",Inputs!$B$35&gt;0),(((S766-1)*(Skills!T13*(1+Inputs!$B$33/100))+MIN((Skills!T13*(1+Inputs!$B$33/100)),MAX(0,Inputs!$B$35-((S766-1)*Skills!D13))))/Inputs!$B$35),IF(Inputs!$B$4="pvp",MIN((Skills!T13*(1+Inputs!$B$33/100)),15)/15,(Skills!T13*(1+Inputs!$B$33/100))/Skills!D13)))+((C767=TRUE)*F767*IF(AND(Inputs!$B$4&lt;&gt;"pvp",Inputs!$B$35&gt;0),(((S767-1)*(Skills!T14*(1+Inputs!$B$33/100))+MIN((Skills!T14*(1+Inputs!$B$33/100)),MAX(0,Inputs!$B$35-((S767-1)*Skills!D14))))/Inputs!$B$35),IF(Inputs!$B$4="pvp",MIN((Skills!T14*(1+Inputs!$B$33/100)),15)/15,(Skills!T14*(1+Inputs!$B$33/100))/Skills!D14)))+((C768=TRUE)*F768*IF(AND(Inputs!$B$4&lt;&gt;"pvp",Inputs!$B$35&gt;0),(((S768-1)*(Skills!T15*(1+Inputs!$B$33/100))+MIN((Skills!T15*(1+Inputs!$B$33/100)),MAX(0,Inputs!$B$35-((S768-1)*Skills!D15))))/Inputs!$B$35),IF(Inputs!$B$4="pvp",MIN((Skills!T15*(1+Inputs!$B$33/100)),15)/15,(Skills!T15*(1+Inputs!$B$33/100))/Skills!D15)))+((C769=TRUE)*F769*IF(AND(Inputs!$B$4&lt;&gt;"pvp",Inputs!$B$35&gt;0),(((S769-1)*(Skills!T16*(1+Inputs!$B$33/100))+MIN((Skills!T16*(1+Inputs!$B$33/100)),MAX(0,Inputs!$B$35-((S769-1)*Skills!D16))))/Inputs!$B$35),IF(Inputs!$B$4="pvp",MIN((Skills!T16*(1+Inputs!$B$33/100)),15)/15,(Skills!T16*(1+Inputs!$B$33/100))/Skills!D16)))+0)/100)*I765)</f>
        <v/>
      </c>
      <c r="L765">
        <f>K765*(MIN(Inputs!$B$21+((C775=TRUE)*(F775-Calc!F22)),Inputs!$B$22+((C777=TRUE)*(F777-Calc!F24)))/100+(Inputs!$B$22+((C777=TRUE)*(F777-Calc!F24)))/100)/2</f>
        <v/>
      </c>
      <c r="M765">
        <f>L765*(1+(Inputs!$B$9+0+B787)/100)</f>
        <v/>
      </c>
      <c r="N765">
        <f>L765*(1-MIN((Inputs!$B$8+0+B782),100)/100)+M765*(MIN((Inputs!$B$8+0+B782),100)/100)</f>
        <v/>
      </c>
      <c r="O765">
        <f>IF(C765,H765*N765*IF(AND(Inputs!$B$4&lt;&gt;"pvp",Inputs!$B$35&gt;0),((Skills!G12*((R765-1)*IF(Skills!H12&gt;0,Skills!I12/Skills!H12,1)+IF(Skills!H12&gt;0,MIN(Skills!I12,MAX(0,Inputs!$B$35-((R765-1)*IF(Inputs!$B$4="pvp",15,MAX(0.1,Skills!D12-IF(Skills!E12=TRUE,Inputs!$B$31,0))))))/Skills!H12,1)))/Inputs!$B$35),G765*Q765)*IF(Inputs!$B$4="pvp",1,(1-Summary!$B$55)*(1)+Summary!$B$55*(MIN(Skills!R12,Inputs!$B$37))),0)</f>
        <v/>
      </c>
      <c r="P765">
        <f>IF(B790=0,0,O765/B790)</f>
        <v/>
      </c>
      <c r="Q765">
        <f>IFERROR(1/IF(Inputs!$B$4="pvp",15,MAX(0.1,Skills!D12-IF(Skills!E12=TRUE,Inputs!$B$31,0))),0)</f>
        <v/>
      </c>
      <c r="R765">
        <f>IF(AND(Inputs!$B$4&lt;&gt;"pvp",Inputs!$B$35&gt;0),(INT(Inputs!$B$35/IF(Inputs!$B$4="pvp",15,MAX(0.1,Skills!D12-IF(Skills!E12=TRUE,Inputs!$B$31,0))))+1),0)</f>
        <v/>
      </c>
      <c r="S765">
        <f>IFERROR(O765/N765,0)</f>
        <v/>
      </c>
    </row>
    <row r="766">
      <c r="A766">
        <f>Skills!A13</f>
        <v/>
      </c>
      <c r="B766">
        <f>Skills!B13</f>
        <v/>
      </c>
      <c r="C766">
        <f>Inputs!$B$3&gt;=69</f>
        <v/>
      </c>
      <c r="D766">
        <f>IF(Skills!C13=1,60+Inputs!$B$24+Inputs!$B$28,IF(Skills!C13=2,90+Inputs!$B$25+Inputs!$B$28,IF(Skills!C13=3,120+(Inputs!$B$26+1)+Inputs!$B$28,MAX(0,(Inputs!$B$3-100)*3)+Inputs!$B$27+Inputs!$B$28)))</f>
        <v/>
      </c>
      <c r="E766">
        <f>INDEX(FactorTable!$B$2:$Y$301, MATCH(ROUND(MIN(300,MAX(1,D766)),0), FactorTable!$A$2:$A$301,0), Skills!M13+1)</f>
        <v/>
      </c>
      <c r="F766">
        <f>IF(Skills!N13=TRUE,(Skills!L13/10)*(E766/1000),Skills!L13/10)+Skills!O13</f>
        <v/>
      </c>
      <c r="G766">
        <f>Skills!G13*IF(Skills!H13&gt;0,Skills!I13/Skills!H13,1)</f>
        <v/>
      </c>
      <c r="H766">
        <f>1-(1-Skills!J13/100)^Skills!K13</f>
        <v/>
      </c>
      <c r="I766" t="inlineStr">
        <is>
          <t>1</t>
        </is>
      </c>
      <c r="J766" t="inlineStr"/>
      <c r="K766" t="inlineStr"/>
      <c r="L766" t="inlineStr"/>
      <c r="M766" t="inlineStr"/>
      <c r="N766" t="inlineStr"/>
      <c r="O766" t="n">
        <v>0</v>
      </c>
      <c r="P766">
        <f>IF(B790=0,0,O766/B790)</f>
        <v/>
      </c>
      <c r="Q766">
        <f>IFERROR(1/IF(Inputs!$B$4="pvp",15,MAX(0.1,Skills!D13-IF(Skills!E13=TRUE,Inputs!$B$31,0))),0)</f>
        <v/>
      </c>
      <c r="R766">
        <f>IF(AND(Inputs!$B$4&lt;&gt;"pvp",Inputs!$B$35&gt;0),(INT(Inputs!$B$35/IF(Inputs!$B$4="pvp",15,MAX(0.1,Skills!D13-IF(Skills!E13=TRUE,Inputs!$B$31,0))))+1),0)</f>
        <v/>
      </c>
      <c r="S766">
        <f>IFERROR(O766/N766,0)</f>
        <v/>
      </c>
    </row>
    <row r="767">
      <c r="A767">
        <f>Skills!A14</f>
        <v/>
      </c>
      <c r="B767">
        <f>Skills!B14</f>
        <v/>
      </c>
      <c r="C767">
        <f>Inputs!$B$3&gt;=115</f>
        <v/>
      </c>
      <c r="D767">
        <f>IF(Skills!C14=1,60+Inputs!$B$24+Inputs!$B$28,IF(Skills!C14=2,90+Inputs!$B$25+Inputs!$B$28,IF(Skills!C14=3,120+(Inputs!$B$26+1)+Inputs!$B$28,MAX(0,(Inputs!$B$3-100)*3)+Inputs!$B$27+Inputs!$B$28)))</f>
        <v/>
      </c>
      <c r="E767">
        <f>INDEX(FactorTable!$B$2:$Y$301, MATCH(ROUND(MIN(300,MAX(1,D767)),0), FactorTable!$A$2:$A$301,0), Skills!M14+1)</f>
        <v/>
      </c>
      <c r="F767">
        <f>IF(Skills!N14=TRUE,(Skills!L14/10)*(E767/1000),Skills!L14/10)+Skills!O14</f>
        <v/>
      </c>
      <c r="G767">
        <f>Skills!G14*IF(Skills!H14&gt;0,Skills!I14/Skills!H14,1)</f>
        <v/>
      </c>
      <c r="H767">
        <f>1-(1-Skills!J14/100)^Skills!K14</f>
        <v/>
      </c>
      <c r="I767" t="inlineStr">
        <is>
          <t>1</t>
        </is>
      </c>
      <c r="J767" t="inlineStr"/>
      <c r="K767" t="inlineStr"/>
      <c r="L767" t="inlineStr"/>
      <c r="M767" t="inlineStr"/>
      <c r="N767" t="inlineStr"/>
      <c r="O767" t="n">
        <v>0</v>
      </c>
      <c r="P767">
        <f>IF(B790=0,0,O767/B790)</f>
        <v/>
      </c>
      <c r="Q767">
        <f>IFERROR(1/IF(Inputs!$B$4="pvp",15,MAX(0.1,Skills!D14-IF(Skills!E14=TRUE,Inputs!$B$31,0))),0)</f>
        <v/>
      </c>
      <c r="R767">
        <f>IF(AND(Inputs!$B$4&lt;&gt;"pvp",Inputs!$B$35&gt;0),(INT(Inputs!$B$35/IF(Inputs!$B$4="pvp",15,MAX(0.1,Skills!D14-IF(Skills!E14=TRUE,Inputs!$B$31,0))))+1),0)</f>
        <v/>
      </c>
      <c r="S767">
        <f>IFERROR(O767/N767,0)</f>
        <v/>
      </c>
    </row>
    <row r="768">
      <c r="A768">
        <f>Skills!A15</f>
        <v/>
      </c>
      <c r="B768">
        <f>Skills!B15</f>
        <v/>
      </c>
      <c r="C768">
        <f>Inputs!$B$3&gt;=66</f>
        <v/>
      </c>
      <c r="D768">
        <f>IF(Skills!C15=1,60+Inputs!$B$24+Inputs!$B$28,IF(Skills!C15=2,90+Inputs!$B$25+Inputs!$B$28,IF(Skills!C15=3,120+(Inputs!$B$26+1)+Inputs!$B$28,MAX(0,(Inputs!$B$3-100)*3)+Inputs!$B$27+Inputs!$B$28)))</f>
        <v/>
      </c>
      <c r="E768">
        <f>INDEX(FactorTable!$B$2:$Y$301, MATCH(ROUND(MIN(300,MAX(1,D768)),0), FactorTable!$A$2:$A$301,0), Skills!M15+1)</f>
        <v/>
      </c>
      <c r="F768">
        <f>IF(Skills!N15=TRUE,(Skills!L15/10)*(E768/1000),Skills!L15/10)+Skills!O15</f>
        <v/>
      </c>
      <c r="G768">
        <f>Skills!G15*IF(Skills!H15&gt;0,Skills!I15/Skills!H15,1)</f>
        <v/>
      </c>
      <c r="H768">
        <f>1-(1-Skills!J15/100)^Skills!K15</f>
        <v/>
      </c>
      <c r="I768" t="inlineStr">
        <is>
          <t>1</t>
        </is>
      </c>
      <c r="J768" t="inlineStr"/>
      <c r="K768" t="inlineStr"/>
      <c r="L768" t="inlineStr"/>
      <c r="M768" t="inlineStr"/>
      <c r="N768" t="inlineStr"/>
      <c r="O768" t="n">
        <v>0</v>
      </c>
      <c r="P768">
        <f>IF(B790=0,0,O768/B790)</f>
        <v/>
      </c>
      <c r="Q768">
        <f>IFERROR(1/IF(Inputs!$B$4="pvp",15,MAX(0.1,Skills!D15-IF(Skills!E15=TRUE,Inputs!$B$31,0))),0)</f>
        <v/>
      </c>
      <c r="R768">
        <f>IF(AND(Inputs!$B$4&lt;&gt;"pvp",Inputs!$B$35&gt;0),(INT(Inputs!$B$35/IF(Inputs!$B$4="pvp",15,MAX(0.1,Skills!D15-IF(Skills!E15=TRUE,Inputs!$B$31,0))))+1),0)</f>
        <v/>
      </c>
      <c r="S768">
        <f>IFERROR(O768/N768,0)</f>
        <v/>
      </c>
    </row>
    <row r="769">
      <c r="A769">
        <f>Skills!A16</f>
        <v/>
      </c>
      <c r="B769">
        <f>Skills!B16</f>
        <v/>
      </c>
      <c r="C769">
        <f>Inputs!$B$3&gt;=45</f>
        <v/>
      </c>
      <c r="D769">
        <f>IF(Skills!C16=1,60+Inputs!$B$24+Inputs!$B$28,IF(Skills!C16=2,90+Inputs!$B$25+Inputs!$B$28,IF(Skills!C16=3,120+(Inputs!$B$26+1)+Inputs!$B$28,MAX(0,(Inputs!$B$3-100)*3)+Inputs!$B$27+Inputs!$B$28)))</f>
        <v/>
      </c>
      <c r="E769">
        <f>INDEX(FactorTable!$B$2:$Y$301, MATCH(ROUND(MIN(300,MAX(1,D769)),0), FactorTable!$A$2:$A$301,0), Skills!M16+1)</f>
        <v/>
      </c>
      <c r="F769">
        <f>IF(Skills!N16=TRUE,(Skills!L16/10)*(E769/1000),Skills!L16/10)+Skills!O16</f>
        <v/>
      </c>
      <c r="G769">
        <f>Skills!G16*IF(Skills!H16&gt;0,Skills!I16/Skills!H16,1)</f>
        <v/>
      </c>
      <c r="H769">
        <f>1-(1-Skills!J16/100)^Skills!K16</f>
        <v/>
      </c>
      <c r="I769" t="inlineStr">
        <is>
          <t>1</t>
        </is>
      </c>
      <c r="J769" t="inlineStr"/>
      <c r="K769" t="inlineStr"/>
      <c r="L769" t="inlineStr"/>
      <c r="M769" t="inlineStr"/>
      <c r="N769" t="inlineStr"/>
      <c r="O769" t="n">
        <v>0</v>
      </c>
      <c r="P769">
        <f>IF(B790=0,0,O769/B790)</f>
        <v/>
      </c>
      <c r="Q769">
        <f>IFERROR(1/IF(Inputs!$B$4="pvp",15,MAX(0.1,Skills!D16-IF(Skills!E16=TRUE,Inputs!$B$31,0))),0)</f>
        <v/>
      </c>
      <c r="R769">
        <f>IF(AND(Inputs!$B$4&lt;&gt;"pvp",Inputs!$B$35&gt;0),(INT(Inputs!$B$35/IF(Inputs!$B$4="pvp",15,MAX(0.1,Skills!D16-IF(Skills!E16=TRUE,Inputs!$B$31,0))))+1),0)</f>
        <v/>
      </c>
      <c r="S769">
        <f>IFERROR(O769/N769,0)</f>
        <v/>
      </c>
    </row>
    <row r="770">
      <c r="A770">
        <f>Skills!A17</f>
        <v/>
      </c>
      <c r="B770">
        <f>Skills!B17</f>
        <v/>
      </c>
      <c r="C770">
        <f>Inputs!$B$3&gt;=35</f>
        <v/>
      </c>
      <c r="D770">
        <f>IF(Skills!C17=1,60+Inputs!$B$24+Inputs!$B$28,IF(Skills!C17=2,90+Inputs!$B$25+Inputs!$B$28,IF(Skills!C17=3,120+(Inputs!$B$26+1)+Inputs!$B$28,MAX(0,(Inputs!$B$3-100)*3)+Inputs!$B$27+Inputs!$B$28)))</f>
        <v/>
      </c>
      <c r="E770">
        <f>INDEX(FactorTable!$B$2:$Y$301, MATCH(ROUND(MIN(300,MAX(1,D770)),0), FactorTable!$A$2:$A$301,0), Skills!M17+1)</f>
        <v/>
      </c>
      <c r="F770">
        <f>IF(Skills!N17=TRUE,(Skills!L17/10)*(E770/1000),Skills!L17/10)+Skills!O17</f>
        <v/>
      </c>
      <c r="G770">
        <f>Skills!G17*IF(Skills!H17&gt;0,Skills!I17/Skills!H17,1)</f>
        <v/>
      </c>
      <c r="H770">
        <f>1-(1-Skills!J17/100)^Skills!K17</f>
        <v/>
      </c>
      <c r="I770" t="inlineStr">
        <is>
          <t>1</t>
        </is>
      </c>
      <c r="J770" t="inlineStr"/>
      <c r="K770" t="inlineStr"/>
      <c r="L770" t="inlineStr"/>
      <c r="M770" t="inlineStr"/>
      <c r="N770" t="inlineStr"/>
      <c r="O770" t="n">
        <v>0</v>
      </c>
      <c r="P770">
        <f>IF(B790=0,0,O770/B790)</f>
        <v/>
      </c>
      <c r="Q770">
        <f>IFERROR(1/IF(Inputs!$B$4="pvp",15,MAX(0.1,Skills!D17-IF(Skills!E17=TRUE,Inputs!$B$31,0))),0)</f>
        <v/>
      </c>
      <c r="R770">
        <f>IF(AND(Inputs!$B$4&lt;&gt;"pvp",Inputs!$B$35&gt;0),(INT(Inputs!$B$35/IF(Inputs!$B$4="pvp",15,MAX(0.1,Skills!D17-IF(Skills!E17=TRUE,Inputs!$B$31,0))))+1),0)</f>
        <v/>
      </c>
      <c r="S770">
        <f>IFERROR(O770/N770,0)</f>
        <v/>
      </c>
    </row>
    <row r="771">
      <c r="A771">
        <f>Skills!A18</f>
        <v/>
      </c>
      <c r="B771">
        <f>Skills!B18</f>
        <v/>
      </c>
      <c r="C771">
        <f>Inputs!$B$3&gt;=72</f>
        <v/>
      </c>
      <c r="D771">
        <f>IF(Skills!C18=1,60+Inputs!$B$24+Inputs!$B$28,IF(Skills!C18=2,90+Inputs!$B$25+Inputs!$B$28,IF(Skills!C18=3,120+(Inputs!$B$26+1)+Inputs!$B$28,MAX(0,(Inputs!$B$3-100)*3)+Inputs!$B$27+Inputs!$B$28)))</f>
        <v/>
      </c>
      <c r="E771">
        <f>INDEX(FactorTable!$B$2:$Y$301, MATCH(ROUND(MIN(300,MAX(1,D771)),0), FactorTable!$A$2:$A$301,0), Skills!M18+1)</f>
        <v/>
      </c>
      <c r="F771">
        <f>IF(Skills!N18=TRUE,(Skills!L18/10)*(E771/1000),Skills!L18/10)+Skills!O18</f>
        <v/>
      </c>
      <c r="G771">
        <f>Skills!G18*IF(Skills!H18&gt;0,Skills!I18/Skills!H18,1)</f>
        <v/>
      </c>
      <c r="H771">
        <f>1-(1-Skills!J18/100)^Skills!K18</f>
        <v/>
      </c>
      <c r="I771" t="inlineStr">
        <is>
          <t>1</t>
        </is>
      </c>
      <c r="J771" t="inlineStr"/>
      <c r="K771" t="inlineStr"/>
      <c r="L771" t="inlineStr"/>
      <c r="M771" t="inlineStr"/>
      <c r="N771" t="inlineStr"/>
      <c r="O771" t="n">
        <v>0</v>
      </c>
      <c r="P771">
        <f>IF(B790=0,0,O771/B790)</f>
        <v/>
      </c>
      <c r="Q771">
        <f>IFERROR(1/IF(Inputs!$B$4="pvp",15,MAX(0.1,Skills!D18-IF(Skills!E18=TRUE,Inputs!$B$31,0))),0)</f>
        <v/>
      </c>
      <c r="R771">
        <f>IF(AND(Inputs!$B$4&lt;&gt;"pvp",Inputs!$B$35&gt;0),(INT(Inputs!$B$35/IF(Inputs!$B$4="pvp",15,MAX(0.1,Skills!D18-IF(Skills!E18=TRUE,Inputs!$B$31,0))))+1),0)</f>
        <v/>
      </c>
      <c r="S771">
        <f>IFERROR(O771/N771,0)</f>
        <v/>
      </c>
    </row>
    <row r="772">
      <c r="A772">
        <f>Skills!A19</f>
        <v/>
      </c>
      <c r="B772">
        <f>Skills!B19</f>
        <v/>
      </c>
      <c r="C772">
        <f>Inputs!$B$3&gt;=72</f>
        <v/>
      </c>
      <c r="D772">
        <f>IF(Skills!C19=1,60+Inputs!$B$24+Inputs!$B$28,IF(Skills!C19=2,90+Inputs!$B$25+Inputs!$B$28,IF(Skills!C19=3,120+(Inputs!$B$26+1)+Inputs!$B$28,MAX(0,(Inputs!$B$3-100)*3)+Inputs!$B$27+Inputs!$B$28)))</f>
        <v/>
      </c>
      <c r="E772">
        <f>INDEX(FactorTable!$B$2:$Y$301, MATCH(ROUND(MIN(300,MAX(1,D772)),0), FactorTable!$A$2:$A$301,0), Skills!M19+1)</f>
        <v/>
      </c>
      <c r="F772">
        <f>IF(Skills!N19=TRUE,(Skills!L19/10)*(E772/1000),Skills!L19/10)+Skills!O19</f>
        <v/>
      </c>
      <c r="G772">
        <f>Skills!G19*IF(Skills!H19&gt;0,Skills!I19/Skills!H19,1)</f>
        <v/>
      </c>
      <c r="H772">
        <f>1-(1-Skills!J19/100)^Skills!K19</f>
        <v/>
      </c>
      <c r="I772" t="inlineStr">
        <is>
          <t>1</t>
        </is>
      </c>
      <c r="J772" t="inlineStr"/>
      <c r="K772" t="inlineStr"/>
      <c r="L772" t="inlineStr"/>
      <c r="M772" t="inlineStr"/>
      <c r="N772" t="inlineStr"/>
      <c r="O772" t="n">
        <v>0</v>
      </c>
      <c r="P772">
        <f>IF(B790=0,0,O772/B790)</f>
        <v/>
      </c>
      <c r="Q772">
        <f>IFERROR(1/IF(Inputs!$B$4="pvp",15,MAX(0.1,Skills!D19-IF(Skills!E19=TRUE,Inputs!$B$31,0))),0)</f>
        <v/>
      </c>
      <c r="R772">
        <f>IF(AND(Inputs!$B$4&lt;&gt;"pvp",Inputs!$B$35&gt;0),(INT(Inputs!$B$35/IF(Inputs!$B$4="pvp",15,MAX(0.1,Skills!D19-IF(Skills!E19=TRUE,Inputs!$B$31,0))))+1),0)</f>
        <v/>
      </c>
      <c r="S772">
        <f>IFERROR(O772/N772,0)</f>
        <v/>
      </c>
    </row>
    <row r="773">
      <c r="A773">
        <f>Skills!A20</f>
        <v/>
      </c>
      <c r="B773">
        <f>Skills!B20</f>
        <v/>
      </c>
      <c r="C773">
        <f>TRUE</f>
        <v/>
      </c>
      <c r="D773">
        <f>IF(Skills!C20=1,60+Inputs!$B$24+Inputs!$B$28,IF(Skills!C20=2,90+Inputs!$B$25+Inputs!$B$28,IF(Skills!C20=3,120+(Inputs!$B$26+1)+Inputs!$B$28,MAX(0,(Inputs!$B$3-100)*3)+Inputs!$B$27+Inputs!$B$28)))</f>
        <v/>
      </c>
      <c r="E773">
        <f>INDEX(FactorTable!$B$2:$Y$301, MATCH(ROUND(MIN(300,MAX(1,D773)),0), FactorTable!$A$2:$A$301,0), Skills!M20+1)</f>
        <v/>
      </c>
      <c r="F773">
        <f>IF(Skills!N20=TRUE,(Skills!L20/10)*(E773/1000),Skills!L20/10)+Skills!O20</f>
        <v/>
      </c>
      <c r="G773">
        <f>Skills!G20*IF(Skills!H20&gt;0,Skills!I20/Skills!H20,1)</f>
        <v/>
      </c>
      <c r="H773">
        <f>1-(1-Skills!J20/100)^Skills!K20</f>
        <v/>
      </c>
      <c r="I773" t="inlineStr">
        <is>
          <t>1</t>
        </is>
      </c>
      <c r="J773" t="inlineStr"/>
      <c r="K773" t="inlineStr"/>
      <c r="L773" t="inlineStr"/>
      <c r="M773" t="inlineStr"/>
      <c r="N773" t="inlineStr"/>
      <c r="O773" t="n">
        <v>0</v>
      </c>
      <c r="P773">
        <f>IF(B790=0,0,O773/B790)</f>
        <v/>
      </c>
      <c r="Q773">
        <f>IFERROR(1/IF(Inputs!$B$4="pvp",15,MAX(0.1,Skills!D20-IF(Skills!E20=TRUE,Inputs!$B$31,0))),0)</f>
        <v/>
      </c>
      <c r="R773">
        <f>IF(AND(Inputs!$B$4&lt;&gt;"pvp",Inputs!$B$35&gt;0),(INT(Inputs!$B$35/IF(Inputs!$B$4="pvp",15,MAX(0.1,Skills!D20-IF(Skills!E20=TRUE,Inputs!$B$31,0))))+1),0)</f>
        <v/>
      </c>
      <c r="S773">
        <f>IFERROR(O773/N773,0)</f>
        <v/>
      </c>
    </row>
    <row r="774">
      <c r="A774">
        <f>Skills!A21</f>
        <v/>
      </c>
      <c r="B774">
        <f>Skills!B21</f>
        <v/>
      </c>
      <c r="C774">
        <f>Inputs!$B$3&gt;=33</f>
        <v/>
      </c>
      <c r="D774">
        <f>IF(Skills!C21=1,60+Inputs!$B$24+Inputs!$B$28,IF(Skills!C21=2,90+Inputs!$B$25+Inputs!$B$28,IF(Skills!C21=3,120+(Inputs!$B$26+1)+Inputs!$B$28,MAX(0,(Inputs!$B$3-100)*3)+Inputs!$B$27+Inputs!$B$28)))</f>
        <v/>
      </c>
      <c r="E774">
        <f>INDEX(FactorTable!$B$2:$Y$301, MATCH(ROUND(MIN(300,MAX(1,D774)),0), FactorTable!$A$2:$A$301,0), Skills!M21+1)</f>
        <v/>
      </c>
      <c r="F774">
        <f>IF(Skills!N21=TRUE,(Skills!L21/10)*(E774/1000),Skills!L21/10)+Skills!O21</f>
        <v/>
      </c>
      <c r="G774">
        <f>Skills!G21*IF(Skills!H21&gt;0,Skills!I21/Skills!H21,1)</f>
        <v/>
      </c>
      <c r="H774">
        <f>1-(1-Skills!J21/100)^Skills!K21</f>
        <v/>
      </c>
      <c r="I774" t="inlineStr">
        <is>
          <t>1</t>
        </is>
      </c>
      <c r="J774" t="inlineStr"/>
      <c r="K774" t="inlineStr"/>
      <c r="L774" t="inlineStr"/>
      <c r="M774" t="inlineStr"/>
      <c r="N774" t="inlineStr"/>
      <c r="O774" t="n">
        <v>0</v>
      </c>
      <c r="P774">
        <f>IF(B790=0,0,O774/B790)</f>
        <v/>
      </c>
      <c r="Q774" t="n">
        <v>0</v>
      </c>
      <c r="R774" t="n">
        <v>0</v>
      </c>
      <c r="S774">
        <f>IFERROR(O774/N774,0)</f>
        <v/>
      </c>
    </row>
    <row r="775">
      <c r="A775">
        <f>Skills!A22</f>
        <v/>
      </c>
      <c r="B775">
        <f>Skills!B22</f>
        <v/>
      </c>
      <c r="C775">
        <f>Inputs!$B$3&gt;=43</f>
        <v/>
      </c>
      <c r="D775">
        <f>IF(Skills!C22=1,60+Inputs!$B$24+Inputs!$B$28,IF(Skills!C22=2,90+Inputs!$B$25+Inputs!$B$28,IF(Skills!C22=3,120+(Inputs!$B$26+1)+Inputs!$B$28,MAX(0,(Inputs!$B$3-100)*3)+Inputs!$B$27+Inputs!$B$28)))</f>
        <v/>
      </c>
      <c r="E775">
        <f>INDEX(FactorTable!$B$2:$Y$301, MATCH(ROUND(MIN(300,MAX(1,D775)),0), FactorTable!$A$2:$A$301,0), Skills!M22+1)</f>
        <v/>
      </c>
      <c r="F775">
        <f>IF(Skills!N22=TRUE,(Skills!L22/10)*(E775/1000),Skills!L22/10)+Skills!O22</f>
        <v/>
      </c>
      <c r="G775">
        <f>Skills!G22*IF(Skills!H22&gt;0,Skills!I22/Skills!H22,1)</f>
        <v/>
      </c>
      <c r="H775">
        <f>1-(1-Skills!J22/100)^Skills!K22</f>
        <v/>
      </c>
      <c r="I775" t="inlineStr">
        <is>
          <t>1</t>
        </is>
      </c>
      <c r="J775" t="inlineStr"/>
      <c r="K775" t="inlineStr"/>
      <c r="L775" t="inlineStr"/>
      <c r="M775" t="inlineStr"/>
      <c r="N775" t="inlineStr"/>
      <c r="O775" t="n">
        <v>0</v>
      </c>
      <c r="P775">
        <f>IF(B790=0,0,O775/B790)</f>
        <v/>
      </c>
      <c r="Q775" t="n">
        <v>0</v>
      </c>
      <c r="R775" t="n">
        <v>0</v>
      </c>
      <c r="S775">
        <f>IFERROR(O775/N775,0)</f>
        <v/>
      </c>
    </row>
    <row r="776">
      <c r="A776">
        <f>Skills!A23</f>
        <v/>
      </c>
      <c r="B776">
        <f>Skills!B23</f>
        <v/>
      </c>
      <c r="C776">
        <f>Inputs!$B$3&gt;=120</f>
        <v/>
      </c>
      <c r="D776">
        <f>IF(Skills!C23=1,60+Inputs!$B$24+Inputs!$B$28,IF(Skills!C23=2,90+Inputs!$B$25+Inputs!$B$28,IF(Skills!C23=3,120+(Inputs!$B$26+1)+Inputs!$B$28,MAX(0,(Inputs!$B$3-100)*3)+Inputs!$B$27+Inputs!$B$28)))</f>
        <v/>
      </c>
      <c r="E776">
        <f>INDEX(FactorTable!$B$2:$Y$301, MATCH(ROUND(MIN(300,MAX(1,D776)),0), FactorTable!$A$2:$A$301,0), Skills!M23+1)</f>
        <v/>
      </c>
      <c r="F776">
        <f>IF(Skills!N23=TRUE,(Skills!L23/10)*(E776/1000),Skills!L23/10)+Skills!O23</f>
        <v/>
      </c>
      <c r="G776">
        <f>Skills!G23*IF(Skills!H23&gt;0,Skills!I23/Skills!H23,1)</f>
        <v/>
      </c>
      <c r="H776">
        <f>1-(1-Skills!J23/100)^Skills!K23</f>
        <v/>
      </c>
      <c r="I776" t="inlineStr">
        <is>
          <t>1</t>
        </is>
      </c>
      <c r="J776" t="inlineStr"/>
      <c r="K776" t="inlineStr"/>
      <c r="L776" t="inlineStr"/>
      <c r="M776" t="inlineStr"/>
      <c r="N776" t="inlineStr"/>
      <c r="O776" t="n">
        <v>0</v>
      </c>
      <c r="P776">
        <f>IF(B790=0,0,O776/B790)</f>
        <v/>
      </c>
      <c r="Q776" t="n">
        <v>0</v>
      </c>
      <c r="R776" t="n">
        <v>0</v>
      </c>
      <c r="S776">
        <f>IFERROR(O776/N776,0)</f>
        <v/>
      </c>
    </row>
    <row r="777">
      <c r="A777">
        <f>Skills!A24</f>
        <v/>
      </c>
      <c r="B777">
        <f>Skills!B24</f>
        <v/>
      </c>
      <c r="C777">
        <f>Inputs!$B$3&gt;=120</f>
        <v/>
      </c>
      <c r="D777">
        <f>IF(Skills!C24=1,60+Inputs!$B$24+Inputs!$B$28,IF(Skills!C24=2,90+Inputs!$B$25+Inputs!$B$28,IF(Skills!C24=3,120+(Inputs!$B$26+1)+Inputs!$B$28,MAX(0,(Inputs!$B$3-100)*3)+Inputs!$B$27+Inputs!$B$28)))</f>
        <v/>
      </c>
      <c r="E777">
        <f>INDEX(FactorTable!$B$2:$Y$301, MATCH(ROUND(MIN(300,MAX(1,D777)),0), FactorTable!$A$2:$A$301,0), Skills!M24+1)</f>
        <v/>
      </c>
      <c r="F777">
        <f>IF(Skills!N24=TRUE,(Skills!L24/10)*(E777/1000),Skills!L24/10)+Skills!O24</f>
        <v/>
      </c>
      <c r="G777">
        <f>Skills!G24*IF(Skills!H24&gt;0,Skills!I24/Skills!H24,1)</f>
        <v/>
      </c>
      <c r="H777">
        <f>1-(1-Skills!J24/100)^Skills!K24</f>
        <v/>
      </c>
      <c r="I777" t="inlineStr">
        <is>
          <t>1</t>
        </is>
      </c>
      <c r="J777" t="inlineStr"/>
      <c r="K777" t="inlineStr"/>
      <c r="L777" t="inlineStr"/>
      <c r="M777" t="inlineStr"/>
      <c r="N777" t="inlineStr"/>
      <c r="O777" t="n">
        <v>0</v>
      </c>
      <c r="P777">
        <f>IF(B790=0,0,O777/B790)</f>
        <v/>
      </c>
      <c r="Q777" t="n">
        <v>0</v>
      </c>
      <c r="R777" t="n">
        <v>0</v>
      </c>
      <c r="S777">
        <f>IFERROR(O777/N777,0)</f>
        <v/>
      </c>
    </row>
    <row r="778">
      <c r="A778">
        <f>Skills!A25</f>
        <v/>
      </c>
      <c r="B778">
        <f>Skills!B25</f>
        <v/>
      </c>
      <c r="C778">
        <f>Inputs!$B$3&gt;=125</f>
        <v/>
      </c>
      <c r="D778">
        <f>IF(Skills!C25=1,60+Inputs!$B$24+Inputs!$B$28,IF(Skills!C25=2,90+Inputs!$B$25+Inputs!$B$28,IF(Skills!C25=3,120+(Inputs!$B$26+1)+Inputs!$B$28,MAX(0,(Inputs!$B$3-100)*3)+Inputs!$B$27+Inputs!$B$28)))</f>
        <v/>
      </c>
      <c r="E778">
        <f>INDEX(FactorTable!$B$2:$Y$301, MATCH(ROUND(MIN(300,MAX(1,D778)),0), FactorTable!$A$2:$A$301,0), Skills!M25+1)</f>
        <v/>
      </c>
      <c r="F778">
        <f>IF(Skills!N25=TRUE,(Skills!L25/10)*(E778/1000),Skills!L25/10)+Skills!O25</f>
        <v/>
      </c>
      <c r="G778">
        <f>Skills!G25*IF(Skills!H25&gt;0,Skills!I25/Skills!H25,1)</f>
        <v/>
      </c>
      <c r="H778">
        <f>1-(1-Skills!J25/100)^Skills!K25</f>
        <v/>
      </c>
      <c r="I778" t="inlineStr">
        <is>
          <t>1</t>
        </is>
      </c>
      <c r="J778" t="inlineStr"/>
      <c r="K778" t="inlineStr"/>
      <c r="L778" t="inlineStr"/>
      <c r="M778" t="inlineStr"/>
      <c r="N778" t="inlineStr"/>
      <c r="O778" t="n">
        <v>0</v>
      </c>
      <c r="P778">
        <f>IF(B790=0,0,O778/B790)</f>
        <v/>
      </c>
      <c r="Q778" t="n">
        <v>0</v>
      </c>
      <c r="R778" t="n">
        <v>0</v>
      </c>
      <c r="S778">
        <f>IFERROR(O778/N778,0)</f>
        <v/>
      </c>
    </row>
    <row r="779">
      <c r="A779">
        <f>Skills!A26</f>
        <v/>
      </c>
      <c r="B779">
        <f>Skills!B26</f>
        <v/>
      </c>
      <c r="C779">
        <f>Inputs!$B$3&gt;=107</f>
        <v/>
      </c>
      <c r="D779">
        <f>IF(Skills!C26=1,60+Inputs!$B$24+Inputs!$B$28,IF(Skills!C26=2,90+Inputs!$B$25+Inputs!$B$28,IF(Skills!C26=3,120+(Inputs!$B$26+1)+Inputs!$B$28,MAX(0,(Inputs!$B$3-100)*3)+Inputs!$B$27+Inputs!$B$28)))</f>
        <v/>
      </c>
      <c r="E779">
        <f>INDEX(FactorTable!$B$2:$Y$301, MATCH(ROUND(MIN(300,MAX(1,D779)),0), FactorTable!$A$2:$A$301,0), Skills!M26+1)</f>
        <v/>
      </c>
      <c r="F779">
        <f>IF(Skills!N26=TRUE,(Skills!L26/10)*(E779/1000),Skills!L26/10)+Skills!O26</f>
        <v/>
      </c>
      <c r="G779">
        <f>Skills!G26*IF(Skills!H26&gt;0,Skills!I26/Skills!H26,1)</f>
        <v/>
      </c>
      <c r="H779">
        <f>1-(1-Skills!J26/100)^Skills!K26</f>
        <v/>
      </c>
      <c r="I779" t="inlineStr">
        <is>
          <t>1</t>
        </is>
      </c>
      <c r="J779" t="inlineStr"/>
      <c r="K779" t="inlineStr"/>
      <c r="L779" t="inlineStr"/>
      <c r="M779" t="inlineStr"/>
      <c r="N779" t="inlineStr"/>
      <c r="O779" t="n">
        <v>0</v>
      </c>
      <c r="P779">
        <f>IF(B790=0,0,O779/B790)</f>
        <v/>
      </c>
      <c r="Q779" t="n">
        <v>0</v>
      </c>
      <c r="R779" t="n">
        <v>0</v>
      </c>
      <c r="S779">
        <f>IFERROR(O779/N779,0)</f>
        <v/>
      </c>
    </row>
    <row r="781">
      <c r="A781" t="inlineStr">
        <is>
          <t>Attack% Bucket Multiplier</t>
        </is>
      </c>
      <c r="B781">
        <f>(1+(((C766=TRUE)*F766*IF(AND(Inputs!$B$4&lt;&gt;"pvp",Inputs!$B$35&gt;0),(((S766-1)*(Skills!T13*(1+Inputs!$B$33/100))+MIN((Skills!T13*(1+Inputs!$B$33/100)),MAX(0,Inputs!$B$35-((S766-1)*Skills!D13))))/Inputs!$B$35),IF(Inputs!$B$4="pvp",MIN((Skills!T13*(1+Inputs!$B$33/100)),15)/15,(Skills!T13*(1+Inputs!$B$33/100))/Skills!D13)))+((C767=TRUE)*F767*IF(AND(Inputs!$B$4&lt;&gt;"pvp",Inputs!$B$35&gt;0),(((S767-1)*(Skills!T14*(1+Inputs!$B$33/100))+MIN((Skills!T14*(1+Inputs!$B$33/100)),MAX(0,Inputs!$B$35-((S767-1)*Skills!D14))))/Inputs!$B$35),IF(Inputs!$B$4="pvp",MIN((Skills!T14*(1+Inputs!$B$33/100)),15)/15,(Skills!T14*(1+Inputs!$B$33/100))/Skills!D14)))+((C768=TRUE)*F768*IF(AND(Inputs!$B$4&lt;&gt;"pvp",Inputs!$B$35&gt;0),(((S768-1)*(Skills!T15*(1+Inputs!$B$33/100))+MIN((Skills!T15*(1+Inputs!$B$33/100)),MAX(0,Inputs!$B$35-((S768-1)*Skills!D15))))/Inputs!$B$35),IF(Inputs!$B$4="pvp",MIN((Skills!T15*(1+Inputs!$B$33/100)),15)/15,(Skills!T15*(1+Inputs!$B$33/100))/Skills!D15)))+((C769=TRUE)*F769*IF(AND(Inputs!$B$4&lt;&gt;"pvp",Inputs!$B$35&gt;0),(((S769-1)*(Skills!T16*(1+Inputs!$B$33/100))+MIN((Skills!T16*(1+Inputs!$B$33/100)),MAX(0,Inputs!$B$35-((S769-1)*Skills!D16))))/Inputs!$B$35),IF(Inputs!$B$4="pvp",MIN((Skills!T16*(1+Inputs!$B$33/100)),15)/15,(Skills!T16*(1+Inputs!$B$33/100))/Skills!D16)))+0)/100)</f>
        <v/>
      </c>
    </row>
    <row r="782">
      <c r="A782" t="inlineStr">
        <is>
          <t>Global Crit Rate Bonus % (Lord of Darkness)</t>
        </is>
      </c>
      <c r="B782">
        <f>((C771=TRUE)*F771*(Skills!J18/100)*IF(AND(Inputs!$B$4&lt;&gt;"pvp",Inputs!$B$35&gt;0),(((S771-1)*(Skills!T18*(1+Inputs!$B$33/100))+MIN((Skills!T18*(1+Inputs!$B$33/100)),MAX(0,Inputs!$B$35-((S771-1)*Skills!D18))))/Inputs!$B$35),IF(Inputs!$B$4="pvp",MIN((Skills!T18*(1+Inputs!$B$33/100)),15)/15,(Skills!T18*(1+Inputs!$B$33/100))/Skills!D18)))</f>
        <v/>
      </c>
    </row>
    <row r="783">
      <c r="A783" t="inlineStr">
        <is>
          <t>Attack Speed Buff Bonus %</t>
        </is>
      </c>
      <c r="B783">
        <f>((C773=TRUE)*F773*IF(AND(Inputs!$B$4&lt;&gt;"pvp",Inputs!$B$35&gt;0),(((S773-1)*(Skills!T20*(1+Inputs!$B$33/100))+MIN((Skills!T20*(1+Inputs!$B$33/100)),MAX(0,Inputs!$B$35-((S773-1)*Skills!D20))))/Inputs!$B$35),IF(Inputs!$B$4="pvp",MIN((Skills!T20*(1+Inputs!$B$33/100)),15)/15,(Skills!T20*(1+Inputs!$B$33/100))/Skills!D20)))</f>
        <v/>
      </c>
    </row>
    <row r="784">
      <c r="A784" t="inlineStr">
        <is>
          <t>Actions Per Second</t>
        </is>
      </c>
      <c r="B784">
        <f>1+MIN(150,150*(1-(1-(Inputs!$B$10+((C774=TRUE)*(F774-Calc!F21)))/150)*(1-B783/150)))/100</f>
        <v/>
      </c>
    </row>
    <row r="785">
      <c r="A785" t="inlineStr">
        <is>
          <t>Skill + Buff Cast Rate</t>
        </is>
      </c>
      <c r="B785">
        <f>IF(AND(Inputs!$B$4&lt;&gt;"pvp",Inputs!$B$35&gt;0),SUMPRODUCT((Skills!E2:E26=TRUE)*(C755:C779=TRUE)*R755:R779*Skills!F2:F26)/Inputs!$B$35,SUMPRODUCT((Skills!E2:E26=TRUE)*(C755:C779=TRUE)*Q755:Q779*Skills!F2:F26))</f>
        <v/>
      </c>
    </row>
    <row r="786">
      <c r="A786" t="inlineStr">
        <is>
          <t>Dark Impale Casts Per Second</t>
        </is>
      </c>
      <c r="B786">
        <f>MAX(0,B784-B785)</f>
        <v/>
      </c>
    </row>
    <row r="787">
      <c r="A787" t="inlineStr">
        <is>
          <t>Global Critical Damage Bonus % (Lord of Darkness)</t>
        </is>
      </c>
      <c r="B787">
        <f>((C772=TRUE)*F772*(Skills!J19/100)*IF(AND(Inputs!$B$4&lt;&gt;"pvp",Inputs!$B$35&gt;0),(((S772-1)*(Skills!T19*(1+Inputs!$B$33/100))+MIN((Skills!T19*(1+Inputs!$B$33/100)),MAX(0,Inputs!$B$35-((S772-1)*Skills!D19))))/Inputs!$B$35),IF(Inputs!$B$4="pvp",MIN((Skills!T19*(1+Inputs!$B$33/100)),15)/15,(Skills!T19*(1+Inputs!$B$33/100))/Skills!D19)))</f>
        <v/>
      </c>
    </row>
    <row r="788">
      <c r="A788" t="inlineStr">
        <is>
          <t>Global Final Damage Bonus % (unused)</t>
        </is>
      </c>
      <c r="B788" t="n">
        <v>0</v>
      </c>
    </row>
    <row r="790">
      <c r="A790" s="5" t="inlineStr">
        <is>
          <t>TOTAL DPS</t>
        </is>
      </c>
      <c r="B790" s="5">
        <f>SUM(O755:O779)</f>
        <v/>
      </c>
    </row>
    <row r="793">
      <c r="A793" s="5" t="inlineStr">
        <is>
          <t>Stat: Skill Level Bonus — 4th Job</t>
        </is>
      </c>
    </row>
    <row r="794">
      <c r="A794" s="8" t="inlineStr">
        <is>
          <t>Key</t>
        </is>
      </c>
      <c r="B794" s="8" t="inlineStr">
        <is>
          <t>Name</t>
        </is>
      </c>
      <c r="C794" s="8" t="inlineStr">
        <is>
          <t>Unlocked</t>
        </is>
      </c>
      <c r="D794" s="8" t="inlineStr">
        <is>
          <t>InputLevel</t>
        </is>
      </c>
      <c r="E794" s="8" t="inlineStr">
        <is>
          <t>Factor</t>
        </is>
      </c>
      <c r="F794" s="8" t="inlineStr">
        <is>
          <t>CoefficientPercent</t>
        </is>
      </c>
      <c r="G794" s="8" t="inlineStr">
        <is>
          <t>EffectiveHits</t>
        </is>
      </c>
      <c r="H794" s="8" t="inlineStr">
        <is>
          <t>ProcProbability</t>
        </is>
      </c>
      <c r="I794" s="8" t="inlineStr">
        <is>
          <t>MapleHeroMultiplier</t>
        </is>
      </c>
      <c r="J794" s="8" t="inlineStr">
        <is>
          <t>BaseDamage</t>
        </is>
      </c>
      <c r="K794" s="8" t="inlineStr">
        <is>
          <t>BaseHitDamage</t>
        </is>
      </c>
      <c r="L794" s="8" t="inlineStr">
        <is>
          <t>NonCritAvg</t>
        </is>
      </c>
      <c r="M794" s="8" t="inlineStr">
        <is>
          <t>CritAvg</t>
        </is>
      </c>
      <c r="N794" s="8" t="inlineStr">
        <is>
          <t>ExpectedDamage(perHit)</t>
        </is>
      </c>
      <c r="O794" s="8" t="inlineStr">
        <is>
          <t>DPS</t>
        </is>
      </c>
      <c r="P794" s="8" t="inlineStr">
        <is>
          <t>% of Total</t>
        </is>
      </c>
      <c r="Q794" s="8" t="inlineStr">
        <is>
          <t>InvCooldown</t>
        </is>
      </c>
      <c r="R794" s="8" t="inlineStr">
        <is>
          <t>CastsInFight</t>
        </is>
      </c>
      <c r="S794" s="8" t="inlineStr">
        <is>
          <t>HitRate(perSec)</t>
        </is>
      </c>
      <c r="U794" t="inlineStr">
        <is>
          <t>helpers</t>
        </is>
      </c>
    </row>
    <row r="795">
      <c r="A795">
        <f>Skills!A2</f>
        <v/>
      </c>
      <c r="B795">
        <f>Skills!B2</f>
        <v/>
      </c>
      <c r="C795">
        <f>Inputs!$B$3&gt;=100</f>
        <v/>
      </c>
      <c r="D795" t="inlineStr"/>
      <c r="E795" t="inlineStr"/>
      <c r="F795">
        <f>U797+Skills!O2</f>
        <v/>
      </c>
      <c r="G795">
        <f>Skills!G2*IF(Skills!H2&gt;0,Skills!I2/Skills!H2,1)</f>
        <v/>
      </c>
      <c r="H795">
        <f>1-(1-Skills!J2/100)^Skills!K2</f>
        <v/>
      </c>
      <c r="I795" t="inlineStr">
        <is>
          <t>1</t>
        </is>
      </c>
      <c r="J795">
        <f>(Inputs!$B$5*(1+Inputs!$B$6/100))*(F795/100)</f>
        <v/>
      </c>
      <c r="K795">
        <f>J795*(1+((Inputs!$B$11*(1+Inputs!$B$12/100))*0.01+Inputs!$B$13*0.0025)/100)*(1+Inputs!$B$14/100)*(1+IF(Inputs!$B$4="pvp",0,(1-Summary!$B$55)*(Inputs!$B$19+0+Skills!P2+((C810=TRUE)*F810*IF(AND(Inputs!$B$4&lt;&gt;"pvp",Inputs!$B$35&gt;0),(((S810-1)*(Skills!T17*(1+Inputs!$B$33/100))+MIN((Skills!T17*(1+Inputs!$B$33/100)),MAX(0,Inputs!$B$35-((S810-1)*Skills!D17))))/Inputs!$B$35),IF(Inputs!$B$4="pvp",MIN((Skills!T17*(1+Inputs!$B$33/100)),15)/15,(Skills!T17*(1+Inputs!$B$33/100))/Skills!D17)))+((C807=TRUE)*IF(Inputs!$B$4="pvp",20,(1-Summary!$B$55)*(20)+Summary!$B$55*(0))*IF(AND(Inputs!$B$4&lt;&gt;"pvp",Inputs!$B$35&gt;0),(((S807-1)*(Skills!T14*(1+Inputs!$B$33/100))+MIN((Skills!T14*(1+Inputs!$B$33/100)),MAX(0,Inputs!$B$35-((S807-1)*Skills!D14))))/Inputs!$B$35),IF(Inputs!$B$4="pvp",MIN((Skills!T14*(1+Inputs!$B$33/100)),15)/15,(Skills!T14*(1+Inputs!$B$33/100))/Skills!D14))))+Summary!$B$55*(Inputs!$B$20+Skills!Q2+((C810=TRUE)*F810*IF(AND(Inputs!$B$4&lt;&gt;"pvp",Inputs!$B$35&gt;0),(((S810-1)*(Skills!T17*(1+Inputs!$B$33/100))+MIN((Skills!T17*(1+Inputs!$B$33/100)),MAX(0,Inputs!$B$35-((S810-1)*Skills!D17))))/Inputs!$B$35),IF(Inputs!$B$4="pvp",MIN((Skills!T17*(1+Inputs!$B$33/100)),15)/15,(Skills!T17*(1+Inputs!$B$33/100))/Skills!D17)))))/100)*(1+Inputs!$B$15/100)*(5000/(6000+Inputs!$B$7*(1-(Inputs!$B$18+0)/100)))*(1+(Inputs!$B$23+((C818=TRUE)*(F818-Calc!F25))+((C819=TRUE)*(F819-Calc!F26))+B828)/100)*(1+(IF(Skills!A2="DARK_IMPALE",Inputs!$B$16+0,Inputs!$B$17+((C816=TRUE)*(F816-Calc!F23))))/100)*((1+(((C806=TRUE)*F806*IF(AND(Inputs!$B$4&lt;&gt;"pvp",Inputs!$B$35&gt;0),(((S806-1)*(Skills!T13*(1+Inputs!$B$33/100))+MIN((Skills!T13*(1+Inputs!$B$33/100)),MAX(0,Inputs!$B$35-((S806-1)*Skills!D13))))/Inputs!$B$35),IF(Inputs!$B$4="pvp",MIN((Skills!T13*(1+Inputs!$B$33/100)),15)/15,(Skills!T13*(1+Inputs!$B$33/100))/Skills!D13)))+((C807=TRUE)*F807*IF(AND(Inputs!$B$4&lt;&gt;"pvp",Inputs!$B$35&gt;0),(((S807-1)*(Skills!T14*(1+Inputs!$B$33/100))+MIN((Skills!T14*(1+Inputs!$B$33/100)),MAX(0,Inputs!$B$35-((S807-1)*Skills!D14))))/Inputs!$B$35),IF(Inputs!$B$4="pvp",MIN((Skills!T14*(1+Inputs!$B$33/100)),15)/15,(Skills!T14*(1+Inputs!$B$33/100))/Skills!D14)))+((C808=TRUE)*F808*IF(AND(Inputs!$B$4&lt;&gt;"pvp",Inputs!$B$35&gt;0),(((S808-1)*(Skills!T15*(1+Inputs!$B$33/100))+MIN((Skills!T15*(1+Inputs!$B$33/100)),MAX(0,Inputs!$B$35-((S808-1)*Skills!D15))))/Inputs!$B$35),IF(Inputs!$B$4="pvp",MIN((Skills!T15*(1+Inputs!$B$33/100)),15)/15,(Skills!T15*(1+Inputs!$B$33/100))/Skills!D15)))+((C809=TRUE)*F809*IF(AND(Inputs!$B$4&lt;&gt;"pvp",Inputs!$B$35&gt;0),(((S809-1)*(Skills!T16*(1+Inputs!$B$33/100))+MIN((Skills!T16*(1+Inputs!$B$33/100)),MAX(0,Inputs!$B$35-((S809-1)*Skills!D16))))/Inputs!$B$35),IF(Inputs!$B$4="pvp",MIN((Skills!T16*(1+Inputs!$B$33/100)),15)/15,(Skills!T16*(1+Inputs!$B$33/100))/Skills!D16)))+0)/100)*I795)</f>
        <v/>
      </c>
      <c r="L795">
        <f>K795*(MIN(Inputs!$B$21+((C815=TRUE)*(F815-Calc!F22)),Inputs!$B$22+((C817=TRUE)*(F817-Calc!F24)))/100+(Inputs!$B$22+((C817=TRUE)*(F817-Calc!F24)))/100)/2</f>
        <v/>
      </c>
      <c r="M795">
        <f>L795*(1+(Inputs!$B$9+0+B827)/100)</f>
        <v/>
      </c>
      <c r="N795">
        <f>L795*(1-MIN((Inputs!$B$8+0+B822),100)/100)+M795*(MIN((Inputs!$B$8+0+B822),100)/100)</f>
        <v/>
      </c>
      <c r="O795">
        <f>IF(C795,Skills!G2*N795*B826*IF(Inputs!$B$4="pvp",1,(1-Summary!$B$55)*(1)+Summary!$B$55*(MIN((6+Inputs!$B$32),Inputs!$B$37))),0)</f>
        <v/>
      </c>
      <c r="P795">
        <f>IF(B830=0,0,O795/B830)</f>
        <v/>
      </c>
      <c r="Q795" t="n">
        <v>0</v>
      </c>
      <c r="R795" t="n">
        <v>0</v>
      </c>
      <c r="S795">
        <f>IFERROR(O795/N795,0)</f>
        <v/>
      </c>
      <c r="U795">
        <f>MAX(0,(Inputs!$B$3-100)*3)+(Inputs!$B$27+1)+Inputs!$B$28</f>
        <v/>
      </c>
    </row>
    <row r="796">
      <c r="A796">
        <f>Skills!A3</f>
        <v/>
      </c>
      <c r="B796">
        <f>Skills!B3</f>
        <v/>
      </c>
      <c r="C796">
        <f>Inputs!$B$3&gt;=50</f>
        <v/>
      </c>
      <c r="D796">
        <f>IF(Skills!C3=1,60+Inputs!$B$24+Inputs!$B$28,IF(Skills!C3=2,90+Inputs!$B$25+Inputs!$B$28,IF(Skills!C3=3,120+Inputs!$B$26+Inputs!$B$28,MAX(0,(Inputs!$B$3-100)*3)+(Inputs!$B$27+1)+Inputs!$B$28)))</f>
        <v/>
      </c>
      <c r="E796">
        <f>INDEX(FactorTable!$B$2:$Y$301, MATCH(ROUND(MIN(300,MAX(1,D796)),0), FactorTable!$A$2:$A$301,0), Skills!M3+1)</f>
        <v/>
      </c>
      <c r="F796">
        <f>IF(Skills!N3=TRUE,(Skills!L3/10)*(E796/1000),Skills!L3/10)+Skills!O3</f>
        <v/>
      </c>
      <c r="G796" t="inlineStr"/>
      <c r="H796" t="inlineStr"/>
      <c r="I796" t="inlineStr">
        <is>
          <t>1</t>
        </is>
      </c>
      <c r="J796" t="inlineStr"/>
      <c r="K796" t="inlineStr"/>
      <c r="L796" t="inlineStr"/>
      <c r="M796" t="inlineStr"/>
      <c r="N796" t="inlineStr"/>
      <c r="O796" t="inlineStr"/>
      <c r="P796" t="inlineStr"/>
      <c r="Q796" t="inlineStr"/>
      <c r="R796" t="inlineStr"/>
      <c r="S796" t="inlineStr"/>
      <c r="U796">
        <f>INDEX(FactorTable!$B$2:$Y$301, MATCH(ROUND(MIN(300,MAX(1,U795)),0), FactorTable!$A$2:$A$301,0), 22)</f>
        <v/>
      </c>
    </row>
    <row r="797">
      <c r="A797">
        <f>Skills!A4</f>
        <v/>
      </c>
      <c r="B797">
        <f>Skills!B4</f>
        <v/>
      </c>
      <c r="C797">
        <f>Inputs!$B$3&gt;=105</f>
        <v/>
      </c>
      <c r="D797">
        <f>IF(Skills!C4=1,60+Inputs!$B$24+Inputs!$B$28,IF(Skills!C4=2,90+Inputs!$B$25+Inputs!$B$28,IF(Skills!C4=3,120+Inputs!$B$26+Inputs!$B$28,MAX(0,(Inputs!$B$3-100)*3)+(Inputs!$B$27+1)+Inputs!$B$28)))</f>
        <v/>
      </c>
      <c r="E797">
        <f>INDEX(FactorTable!$B$2:$Y$301, MATCH(ROUND(MIN(300,MAX(1,D797)),0), FactorTable!$A$2:$A$301,0), Skills!M4+1)</f>
        <v/>
      </c>
      <c r="F797">
        <f>IF(Skills!N4=TRUE,(Skills!L4/10)*(E797/1000),Skills!L4/10)+Skills!O4</f>
        <v/>
      </c>
      <c r="G797" t="inlineStr"/>
      <c r="H797" t="inlineStr"/>
      <c r="I797" t="inlineStr">
        <is>
          <t>1</t>
        </is>
      </c>
      <c r="J797" t="inlineStr"/>
      <c r="K797" t="inlineStr"/>
      <c r="L797" t="inlineStr"/>
      <c r="M797" t="inlineStr"/>
      <c r="N797" t="inlineStr"/>
      <c r="O797" t="inlineStr"/>
      <c r="P797" t="inlineStr"/>
      <c r="Q797" t="inlineStr"/>
      <c r="R797" t="inlineStr"/>
      <c r="S797" t="inlineStr"/>
      <c r="U797">
        <f>290*U796/1000</f>
        <v/>
      </c>
    </row>
    <row r="798">
      <c r="A798">
        <f>Skills!A5</f>
        <v/>
      </c>
      <c r="B798">
        <f>Skills!B5</f>
        <v/>
      </c>
      <c r="C798">
        <f>Inputs!$B$3&gt;=117</f>
        <v/>
      </c>
      <c r="D798">
        <f>IF(Skills!C5=1,60+Inputs!$B$24+Inputs!$B$28,IF(Skills!C5=2,90+Inputs!$B$25+Inputs!$B$28,IF(Skills!C5=3,120+Inputs!$B$26+Inputs!$B$28,MAX(0,(Inputs!$B$3-100)*3)+(Inputs!$B$27+1)+Inputs!$B$28)))</f>
        <v/>
      </c>
      <c r="E798">
        <f>INDEX(FactorTable!$B$2:$Y$301, MATCH(ROUND(MIN(300,MAX(1,D798)),0), FactorTable!$A$2:$A$301,0), Skills!M5+1)</f>
        <v/>
      </c>
      <c r="F798">
        <f>IF(Skills!N5=TRUE,(Skills!L5/10)*(E798/1000),Skills!L5/10)+Skills!O5</f>
        <v/>
      </c>
      <c r="G798">
        <f>Skills!G5*IF(Skills!H5&gt;0,Skills!I5/Skills!H5,1)</f>
        <v/>
      </c>
      <c r="H798">
        <f>1-(1-Skills!J5/100)^Skills!K5</f>
        <v/>
      </c>
      <c r="I798" t="inlineStr">
        <is>
          <t>1</t>
        </is>
      </c>
      <c r="J798">
        <f>(Inputs!$B$5*(1+Inputs!$B$6/100))*(F798/100)</f>
        <v/>
      </c>
      <c r="K798">
        <f>J798*(1+((Inputs!$B$11*(1+Inputs!$B$12/100))*0.01+Inputs!$B$13*0.0025)/100)*(1+Inputs!$B$14/100)*(1+IF(Inputs!$B$4="pvp",0,(1-Summary!$B$55)*(Inputs!$B$19+0+Skills!P5+((C810=TRUE)*F810*IF(AND(Inputs!$B$4&lt;&gt;"pvp",Inputs!$B$35&gt;0),(((S810-1)*(Skills!T17*(1+Inputs!$B$33/100))+MIN((Skills!T17*(1+Inputs!$B$33/100)),MAX(0,Inputs!$B$35-((S810-1)*Skills!D17))))/Inputs!$B$35),IF(Inputs!$B$4="pvp",MIN((Skills!T17*(1+Inputs!$B$33/100)),15)/15,(Skills!T17*(1+Inputs!$B$33/100))/Skills!D17)))+((C807=TRUE)*IF(Inputs!$B$4="pvp",20,(1-Summary!$B$55)*(20)+Summary!$B$55*(0))*IF(AND(Inputs!$B$4&lt;&gt;"pvp",Inputs!$B$35&gt;0),(((S807-1)*(Skills!T14*(1+Inputs!$B$33/100))+MIN((Skills!T14*(1+Inputs!$B$33/100)),MAX(0,Inputs!$B$35-((S807-1)*Skills!D14))))/Inputs!$B$35),IF(Inputs!$B$4="pvp",MIN((Skills!T14*(1+Inputs!$B$33/100)),15)/15,(Skills!T14*(1+Inputs!$B$33/100))/Skills!D14))))+Summary!$B$55*(Inputs!$B$20+Skills!Q5+((C810=TRUE)*F810*IF(AND(Inputs!$B$4&lt;&gt;"pvp",Inputs!$B$35&gt;0),(((S810-1)*(Skills!T17*(1+Inputs!$B$33/100))+MIN((Skills!T17*(1+Inputs!$B$33/100)),MAX(0,Inputs!$B$35-((S810-1)*Skills!D17))))/Inputs!$B$35),IF(Inputs!$B$4="pvp",MIN((Skills!T17*(1+Inputs!$B$33/100)),15)/15,(Skills!T17*(1+Inputs!$B$33/100))/Skills!D17)))))/100)*(1+Inputs!$B$15/100)*(5000/(6000+Inputs!$B$7*(1-(Inputs!$B$18+0)/100)))*(1+(Inputs!$B$23+((C818=TRUE)*(F818-Calc!F25))+((C819=TRUE)*(F819-Calc!F26))+B828)/100)*(1+(IF(Skills!A5="DARK_IMPALE",Inputs!$B$16+0,Inputs!$B$17+((C816=TRUE)*(F816-Calc!F23))))/100)*((1+(((C806=TRUE)*F806*IF(AND(Inputs!$B$4&lt;&gt;"pvp",Inputs!$B$35&gt;0),(((S806-1)*(Skills!T13*(1+Inputs!$B$33/100))+MIN((Skills!T13*(1+Inputs!$B$33/100)),MAX(0,Inputs!$B$35-((S806-1)*Skills!D13))))/Inputs!$B$35),IF(Inputs!$B$4="pvp",MIN((Skills!T13*(1+Inputs!$B$33/100)),15)/15,(Skills!T13*(1+Inputs!$B$33/100))/Skills!D13)))+((C807=TRUE)*F807*IF(AND(Inputs!$B$4&lt;&gt;"pvp",Inputs!$B$35&gt;0),(((S807-1)*(Skills!T14*(1+Inputs!$B$33/100))+MIN((Skills!T14*(1+Inputs!$B$33/100)),MAX(0,Inputs!$B$35-((S807-1)*Skills!D14))))/Inputs!$B$35),IF(Inputs!$B$4="pvp",MIN((Skills!T14*(1+Inputs!$B$33/100)),15)/15,(Skills!T14*(1+Inputs!$B$33/100))/Skills!D14)))+((C808=TRUE)*F808*IF(AND(Inputs!$B$4&lt;&gt;"pvp",Inputs!$B$35&gt;0),(((S808-1)*(Skills!T15*(1+Inputs!$B$33/100))+MIN((Skills!T15*(1+Inputs!$B$33/100)),MAX(0,Inputs!$B$35-((S808-1)*Skills!D15))))/Inputs!$B$35),IF(Inputs!$B$4="pvp",MIN((Skills!T15*(1+Inputs!$B$33/100)),15)/15,(Skills!T15*(1+Inputs!$B$33/100))/Skills!D15)))+((C809=TRUE)*F809*IF(AND(Inputs!$B$4&lt;&gt;"pvp",Inputs!$B$35&gt;0),(((S809-1)*(Skills!T16*(1+Inputs!$B$33/100))+MIN((Skills!T16*(1+Inputs!$B$33/100)),MAX(0,Inputs!$B$35-((S809-1)*Skills!D16))))/Inputs!$B$35),IF(Inputs!$B$4="pvp",MIN((Skills!T16*(1+Inputs!$B$33/100)),15)/15,(Skills!T16*(1+Inputs!$B$33/100))/Skills!D16)))+0)/100)*I798)</f>
        <v/>
      </c>
      <c r="L798">
        <f>K798*(MIN(Inputs!$B$21+((C815=TRUE)*(F815-Calc!F22)),Inputs!$B$22+((C817=TRUE)*(F817-Calc!F24)))/100+(Inputs!$B$22+((C817=TRUE)*(F817-Calc!F24)))/100)/2</f>
        <v/>
      </c>
      <c r="M798">
        <f>L798*(1+(Inputs!$B$9+0+B827)/100)</f>
        <v/>
      </c>
      <c r="N798">
        <f>L798*(1-MIN((Inputs!$B$8+0+B822),100)/100)+M798*(MIN((Inputs!$B$8+0+B822),100)/100)</f>
        <v/>
      </c>
      <c r="O798">
        <f>IF(C798,H798*N798*IF(AND(Inputs!$B$4&lt;&gt;"pvp",Inputs!$B$35&gt;0),((Skills!G5*((R798-1)*IF(Skills!H5&gt;0,Skills!I5/Skills!H5,1)+IF(Skills!H5&gt;0,MIN(Skills!I5,MAX(0,Inputs!$B$35-((R798-1)*IF(Inputs!$B$4="pvp",15,MAX(0.1,Skills!D5-IF(Skills!E5=TRUE,Inputs!$B$31,0))))))/Skills!H5,1)))/Inputs!$B$35),G798*Q798)*IF(Inputs!$B$4="pvp",1,(1-Summary!$B$55)*(1)+Summary!$B$55*(MIN(Skills!R5,Inputs!$B$37))),0)</f>
        <v/>
      </c>
      <c r="P798">
        <f>IF(B830=0,0,O798/B830)</f>
        <v/>
      </c>
      <c r="Q798">
        <f>IFERROR(1/IF(Inputs!$B$4="pvp",15,MAX(0.1,Skills!D5-IF(Skills!E5=TRUE,Inputs!$B$31,0))),0)</f>
        <v/>
      </c>
      <c r="R798">
        <f>IF(AND(Inputs!$B$4&lt;&gt;"pvp",Inputs!$B$35&gt;0),(INT(Inputs!$B$35/IF(Inputs!$B$4="pvp",15,MAX(0.1,Skills!D5-IF(Skills!E5=TRUE,Inputs!$B$31,0))))+1),0)</f>
        <v/>
      </c>
      <c r="S798">
        <f>IFERROR(O798/N798,0)</f>
        <v/>
      </c>
    </row>
    <row r="799">
      <c r="A799">
        <f>Skills!A6</f>
        <v/>
      </c>
      <c r="B799">
        <f>Skills!B6</f>
        <v/>
      </c>
      <c r="C799">
        <f>Inputs!$B$3&gt;=103</f>
        <v/>
      </c>
      <c r="D799">
        <f>IF(Skills!C6=1,60+Inputs!$B$24+Inputs!$B$28,IF(Skills!C6=2,90+Inputs!$B$25+Inputs!$B$28,IF(Skills!C6=3,120+Inputs!$B$26+Inputs!$B$28,MAX(0,(Inputs!$B$3-100)*3)+(Inputs!$B$27+1)+Inputs!$B$28)))</f>
        <v/>
      </c>
      <c r="E799">
        <f>INDEX(FactorTable!$B$2:$Y$301, MATCH(ROUND(MIN(300,MAX(1,D799)),0), FactorTable!$A$2:$A$301,0), Skills!M6+1)</f>
        <v/>
      </c>
      <c r="F799">
        <f>IF(Skills!N6=TRUE,(Skills!L6/10)*(E799/1000),Skills!L6/10)+Skills!O6</f>
        <v/>
      </c>
      <c r="G799">
        <f>Skills!G6*IF(Skills!H6&gt;0,Skills!I6/Skills!H6,1)</f>
        <v/>
      </c>
      <c r="H799">
        <f>1-(1-Skills!J6/100)^Skills!K6</f>
        <v/>
      </c>
      <c r="I799" t="inlineStr">
        <is>
          <t>1</t>
        </is>
      </c>
      <c r="J799">
        <f>(Inputs!$B$5*(1+Inputs!$B$6/100))*(F799/100)</f>
        <v/>
      </c>
      <c r="K799">
        <f>J799*(1+((Inputs!$B$11*(1+Inputs!$B$12/100))*0.01+Inputs!$B$13*0.0025)/100)*(1+Inputs!$B$14/100)*(1+IF(Inputs!$B$4="pvp",0,(1-Summary!$B$55)*(Inputs!$B$19+0+Skills!P6+((C810=TRUE)*F810*IF(AND(Inputs!$B$4&lt;&gt;"pvp",Inputs!$B$35&gt;0),(((S810-1)*(Skills!T17*(1+Inputs!$B$33/100))+MIN((Skills!T17*(1+Inputs!$B$33/100)),MAX(0,Inputs!$B$35-((S810-1)*Skills!D17))))/Inputs!$B$35),IF(Inputs!$B$4="pvp",MIN((Skills!T17*(1+Inputs!$B$33/100)),15)/15,(Skills!T17*(1+Inputs!$B$33/100))/Skills!D17)))+((C807=TRUE)*IF(Inputs!$B$4="pvp",20,(1-Summary!$B$55)*(20)+Summary!$B$55*(0))*IF(AND(Inputs!$B$4&lt;&gt;"pvp",Inputs!$B$35&gt;0),(((S807-1)*(Skills!T14*(1+Inputs!$B$33/100))+MIN((Skills!T14*(1+Inputs!$B$33/100)),MAX(0,Inputs!$B$35-((S807-1)*Skills!D14))))/Inputs!$B$35),IF(Inputs!$B$4="pvp",MIN((Skills!T14*(1+Inputs!$B$33/100)),15)/15,(Skills!T14*(1+Inputs!$B$33/100))/Skills!D14))))+Summary!$B$55*(Inputs!$B$20+Skills!Q6+((C810=TRUE)*F810*IF(AND(Inputs!$B$4&lt;&gt;"pvp",Inputs!$B$35&gt;0),(((S810-1)*(Skills!T17*(1+Inputs!$B$33/100))+MIN((Skills!T17*(1+Inputs!$B$33/100)),MAX(0,Inputs!$B$35-((S810-1)*Skills!D17))))/Inputs!$B$35),IF(Inputs!$B$4="pvp",MIN((Skills!T17*(1+Inputs!$B$33/100)),15)/15,(Skills!T17*(1+Inputs!$B$33/100))/Skills!D17)))))/100)*(1+Inputs!$B$15/100)*(5000/(6000+Inputs!$B$7*(1-(Inputs!$B$18+0)/100)))*(1+(Inputs!$B$23+((C818=TRUE)*(F818-Calc!F25))+((C819=TRUE)*(F819-Calc!F26))+B828)/100)*(1+(IF(Skills!A6="DARK_IMPALE",Inputs!$B$16+0,Inputs!$B$17+((C816=TRUE)*(F816-Calc!F23))))/100)*((1+(((C806=TRUE)*F806*IF(AND(Inputs!$B$4&lt;&gt;"pvp",Inputs!$B$35&gt;0),(((S806-1)*(Skills!T13*(1+Inputs!$B$33/100))+MIN((Skills!T13*(1+Inputs!$B$33/100)),MAX(0,Inputs!$B$35-((S806-1)*Skills!D13))))/Inputs!$B$35),IF(Inputs!$B$4="pvp",MIN((Skills!T13*(1+Inputs!$B$33/100)),15)/15,(Skills!T13*(1+Inputs!$B$33/100))/Skills!D13)))+((C807=TRUE)*F807*IF(AND(Inputs!$B$4&lt;&gt;"pvp",Inputs!$B$35&gt;0),(((S807-1)*(Skills!T14*(1+Inputs!$B$33/100))+MIN((Skills!T14*(1+Inputs!$B$33/100)),MAX(0,Inputs!$B$35-((S807-1)*Skills!D14))))/Inputs!$B$35),IF(Inputs!$B$4="pvp",MIN((Skills!T14*(1+Inputs!$B$33/100)),15)/15,(Skills!T14*(1+Inputs!$B$33/100))/Skills!D14)))+((C808=TRUE)*F808*IF(AND(Inputs!$B$4&lt;&gt;"pvp",Inputs!$B$35&gt;0),(((S808-1)*(Skills!T15*(1+Inputs!$B$33/100))+MIN((Skills!T15*(1+Inputs!$B$33/100)),MAX(0,Inputs!$B$35-((S808-1)*Skills!D15))))/Inputs!$B$35),IF(Inputs!$B$4="pvp",MIN((Skills!T15*(1+Inputs!$B$33/100)),15)/15,(Skills!T15*(1+Inputs!$B$33/100))/Skills!D15)))+((C809=TRUE)*F809*IF(AND(Inputs!$B$4&lt;&gt;"pvp",Inputs!$B$35&gt;0),(((S809-1)*(Skills!T16*(1+Inputs!$B$33/100))+MIN((Skills!T16*(1+Inputs!$B$33/100)),MAX(0,Inputs!$B$35-((S809-1)*Skills!D16))))/Inputs!$B$35),IF(Inputs!$B$4="pvp",MIN((Skills!T16*(1+Inputs!$B$33/100)),15)/15,(Skills!T16*(1+Inputs!$B$33/100))/Skills!D16)))+0)/100)*I799)</f>
        <v/>
      </c>
      <c r="L799">
        <f>K799*(MIN(Inputs!$B$21+((C815=TRUE)*(F815-Calc!F22)),Inputs!$B$22+((C817=TRUE)*(F817-Calc!F24)))/100+(Inputs!$B$22+((C817=TRUE)*(F817-Calc!F24)))/100)/2</f>
        <v/>
      </c>
      <c r="M799">
        <f>L799*(1+(Inputs!$B$9+0+B827)/100)</f>
        <v/>
      </c>
      <c r="N799">
        <f>L799*(1-MIN((Inputs!$B$8+0+B822),100)/100)+M799*(MIN((Inputs!$B$8+0+B822),100)/100)</f>
        <v/>
      </c>
      <c r="O799">
        <f>IF(C799,H799*N799*IF(AND(Inputs!$B$4&lt;&gt;"pvp",Inputs!$B$35&gt;0),((Skills!G6*((R799-1)*IF(Skills!H6&gt;0,Skills!I6/Skills!H6,1)+IF(Skills!H6&gt;0,MIN(Skills!I6,MAX(0,Inputs!$B$35-((R799-1)*IF(Inputs!$B$4="pvp",15,MAX(0.1,Skills!D6-IF(Skills!E6=TRUE,Inputs!$B$31,0))))))/Skills!H6,1)))/Inputs!$B$35),G799*Q799)*IF(Inputs!$B$4="pvp",1,(1-Summary!$B$55)*(1)+Summary!$B$55*(MIN(Skills!R6,Inputs!$B$37))),0)</f>
        <v/>
      </c>
      <c r="P799">
        <f>IF(B830=0,0,O799/B830)</f>
        <v/>
      </c>
      <c r="Q799">
        <f>IFERROR(1/IF(Inputs!$B$4="pvp",15,MAX(0.1,Skills!D6-IF(Skills!E6=TRUE,Inputs!$B$31,0))),0)</f>
        <v/>
      </c>
      <c r="R799">
        <f>IF(AND(Inputs!$B$4&lt;&gt;"pvp",Inputs!$B$35&gt;0),(INT(Inputs!$B$35/IF(Inputs!$B$4="pvp",15,MAX(0.1,Skills!D6-IF(Skills!E6=TRUE,Inputs!$B$31,0))))+1),0)</f>
        <v/>
      </c>
      <c r="S799">
        <f>IFERROR(O799/N799,0)</f>
        <v/>
      </c>
    </row>
    <row r="800">
      <c r="A800">
        <f>Skills!A7</f>
        <v/>
      </c>
      <c r="B800">
        <f>Skills!B7</f>
        <v/>
      </c>
      <c r="C800">
        <f>Inputs!$B$3&gt;=40</f>
        <v/>
      </c>
      <c r="D800">
        <f>IF(Skills!C7=1,60+Inputs!$B$24+Inputs!$B$28,IF(Skills!C7=2,90+Inputs!$B$25+Inputs!$B$28,IF(Skills!C7=3,120+Inputs!$B$26+Inputs!$B$28,MAX(0,(Inputs!$B$3-100)*3)+(Inputs!$B$27+1)+Inputs!$B$28)))</f>
        <v/>
      </c>
      <c r="E800">
        <f>INDEX(FactorTable!$B$2:$Y$301, MATCH(ROUND(MIN(300,MAX(1,D800)),0), FactorTable!$A$2:$A$301,0), Skills!M7+1)</f>
        <v/>
      </c>
      <c r="F800">
        <f>IF(Skills!N7=TRUE,(Skills!L7/10)*(E800/1000),Skills!L7/10)+Skills!O7</f>
        <v/>
      </c>
      <c r="G800">
        <f>Skills!G7*IF(Skills!H7&gt;0,Skills!I7/Skills!H7,1)</f>
        <v/>
      </c>
      <c r="H800">
        <f>1-(1-Skills!J7/100)^Skills!K7</f>
        <v/>
      </c>
      <c r="I800" t="inlineStr">
        <is>
          <t>1</t>
        </is>
      </c>
      <c r="J800">
        <f>(Inputs!$B$5*(1+Inputs!$B$6/100))*(F800/100)</f>
        <v/>
      </c>
      <c r="K800">
        <f>J800*(1+((Inputs!$B$11*(1+Inputs!$B$12/100))*0.01+Inputs!$B$13*0.0025)/100)*(1+Inputs!$B$14/100)*(1+IF(Inputs!$B$4="pvp",0,(1-Summary!$B$55)*(Inputs!$B$19+0+Skills!P7+((C810=TRUE)*F810*IF(AND(Inputs!$B$4&lt;&gt;"pvp",Inputs!$B$35&gt;0),(((S810-1)*(Skills!T17*(1+Inputs!$B$33/100))+MIN((Skills!T17*(1+Inputs!$B$33/100)),MAX(0,Inputs!$B$35-((S810-1)*Skills!D17))))/Inputs!$B$35),IF(Inputs!$B$4="pvp",MIN((Skills!T17*(1+Inputs!$B$33/100)),15)/15,(Skills!T17*(1+Inputs!$B$33/100))/Skills!D17)))+((C807=TRUE)*IF(Inputs!$B$4="pvp",20,(1-Summary!$B$55)*(20)+Summary!$B$55*(0))*IF(AND(Inputs!$B$4&lt;&gt;"pvp",Inputs!$B$35&gt;0),(((S807-1)*(Skills!T14*(1+Inputs!$B$33/100))+MIN((Skills!T14*(1+Inputs!$B$33/100)),MAX(0,Inputs!$B$35-((S807-1)*Skills!D14))))/Inputs!$B$35),IF(Inputs!$B$4="pvp",MIN((Skills!T14*(1+Inputs!$B$33/100)),15)/15,(Skills!T14*(1+Inputs!$B$33/100))/Skills!D14))))+Summary!$B$55*(Inputs!$B$20+Skills!Q7+((C810=TRUE)*F810*IF(AND(Inputs!$B$4&lt;&gt;"pvp",Inputs!$B$35&gt;0),(((S810-1)*(Skills!T17*(1+Inputs!$B$33/100))+MIN((Skills!T17*(1+Inputs!$B$33/100)),MAX(0,Inputs!$B$35-((S810-1)*Skills!D17))))/Inputs!$B$35),IF(Inputs!$B$4="pvp",MIN((Skills!T17*(1+Inputs!$B$33/100)),15)/15,(Skills!T17*(1+Inputs!$B$33/100))/Skills!D17)))))/100)*(1+Inputs!$B$15/100)*(5000/(6000+Inputs!$B$7*(1-(Inputs!$B$18+0)/100)))*(1+(Inputs!$B$23+((C818=TRUE)*(F818-Calc!F25))+((C819=TRUE)*(F819-Calc!F26))+B828)/100)*(1+0.75*IF(C804=TRUE,F804,0)/100)*(1+(IF(Skills!A7="DARK_IMPALE",Inputs!$B$16+0,Inputs!$B$17+((C816=TRUE)*(F816-Calc!F23))))/100)*((1+(((C806=TRUE)*F806*IF(AND(Inputs!$B$4&lt;&gt;"pvp",Inputs!$B$35&gt;0),(((S806-1)*(Skills!T13*(1+Inputs!$B$33/100))+MIN((Skills!T13*(1+Inputs!$B$33/100)),MAX(0,Inputs!$B$35-((S806-1)*Skills!D13))))/Inputs!$B$35),IF(Inputs!$B$4="pvp",MIN((Skills!T13*(1+Inputs!$B$33/100)),15)/15,(Skills!T13*(1+Inputs!$B$33/100))/Skills!D13)))+((C807=TRUE)*F807*IF(AND(Inputs!$B$4&lt;&gt;"pvp",Inputs!$B$35&gt;0),(((S807-1)*(Skills!T14*(1+Inputs!$B$33/100))+MIN((Skills!T14*(1+Inputs!$B$33/100)),MAX(0,Inputs!$B$35-((S807-1)*Skills!D14))))/Inputs!$B$35),IF(Inputs!$B$4="pvp",MIN((Skills!T14*(1+Inputs!$B$33/100)),15)/15,(Skills!T14*(1+Inputs!$B$33/100))/Skills!D14)))+((C808=TRUE)*F808*IF(AND(Inputs!$B$4&lt;&gt;"pvp",Inputs!$B$35&gt;0),(((S808-1)*(Skills!T15*(1+Inputs!$B$33/100))+MIN((Skills!T15*(1+Inputs!$B$33/100)),MAX(0,Inputs!$B$35-((S808-1)*Skills!D15))))/Inputs!$B$35),IF(Inputs!$B$4="pvp",MIN((Skills!T15*(1+Inputs!$B$33/100)),15)/15,(Skills!T15*(1+Inputs!$B$33/100))/Skills!D15)))+((C809=TRUE)*F809*IF(AND(Inputs!$B$4&lt;&gt;"pvp",Inputs!$B$35&gt;0),(((S809-1)*(Skills!T16*(1+Inputs!$B$33/100))+MIN((Skills!T16*(1+Inputs!$B$33/100)),MAX(0,Inputs!$B$35-((S809-1)*Skills!D16))))/Inputs!$B$35),IF(Inputs!$B$4="pvp",MIN((Skills!T16*(1+Inputs!$B$33/100)),15)/15,(Skills!T16*(1+Inputs!$B$33/100))/Skills!D16)))+0)/100)*I800)</f>
        <v/>
      </c>
      <c r="L800">
        <f>K800*(MIN(Inputs!$B$21+((C815=TRUE)*(F815-Calc!F22)),Inputs!$B$22+((C817=TRUE)*(F817-Calc!F24)))/100+(Inputs!$B$22+((C817=TRUE)*(F817-Calc!F24)))/100)/2</f>
        <v/>
      </c>
      <c r="M800">
        <f>L800*(1+(Inputs!$B$9+0+B827)/100)</f>
        <v/>
      </c>
      <c r="N800">
        <f>L800*(1-MIN((Inputs!$B$8+0+B822),100)/100)+M800*(MIN((Inputs!$B$8+0+B822),100)/100)</f>
        <v/>
      </c>
      <c r="O800">
        <f>IF(C800,H800*N800*IF(AND(Inputs!$B$4&lt;&gt;"pvp",Inputs!$B$35&gt;0),((Skills!G7*((R800-1)*IF(Skills!H7&gt;0,Skills!I7/Skills!H7,1)+IF(Skills!H7&gt;0,MIN(Skills!I7,MAX(0,Inputs!$B$35-((R800-1)*IF(Inputs!$B$4="pvp",15,MAX(0.1,Skills!D7-IF(Skills!E7=TRUE,Inputs!$B$31,0))))))/Skills!H7,1)))/Inputs!$B$35),G800*Q800)*IF(Inputs!$B$4="pvp",1,(1-Summary!$B$55)*(1)+Summary!$B$55*(MIN(Skills!R7,Inputs!$B$37))),0)</f>
        <v/>
      </c>
      <c r="P800">
        <f>IF(B830=0,0,O800/B830)</f>
        <v/>
      </c>
      <c r="Q800">
        <f>IFERROR(1/IF(Inputs!$B$4="pvp",15,MAX(0.1,Skills!D7-IF(Skills!E7=TRUE,Inputs!$B$31,0))),0)</f>
        <v/>
      </c>
      <c r="R800">
        <f>IF(AND(Inputs!$B$4&lt;&gt;"pvp",Inputs!$B$35&gt;0),(INT(Inputs!$B$35/IF(Inputs!$B$4="pvp",15,MAX(0.1,Skills!D7-IF(Skills!E7=TRUE,Inputs!$B$31,0))))+1),0)</f>
        <v/>
      </c>
      <c r="S800">
        <f>IFERROR(O800/N800,0)</f>
        <v/>
      </c>
    </row>
    <row r="801">
      <c r="A801">
        <f>Skills!A8</f>
        <v/>
      </c>
      <c r="B801">
        <f>Skills!B8</f>
        <v/>
      </c>
      <c r="C801">
        <f>Inputs!$B$3&gt;=75</f>
        <v/>
      </c>
      <c r="D801">
        <f>IF(Skills!C8=1,60+Inputs!$B$24+Inputs!$B$28,IF(Skills!C8=2,90+Inputs!$B$25+Inputs!$B$28,IF(Skills!C8=3,120+Inputs!$B$26+Inputs!$B$28,MAX(0,(Inputs!$B$3-100)*3)+(Inputs!$B$27+1)+Inputs!$B$28)))</f>
        <v/>
      </c>
      <c r="E801">
        <f>INDEX(FactorTable!$B$2:$Y$301, MATCH(ROUND(MIN(300,MAX(1,D801)),0), FactorTable!$A$2:$A$301,0), Skills!M8+1)</f>
        <v/>
      </c>
      <c r="F801">
        <f>IF(Skills!N8=TRUE,(Skills!L8/10)*(E801/1000),Skills!L8/10)+Skills!O8</f>
        <v/>
      </c>
      <c r="G801" t="inlineStr"/>
      <c r="H801" t="inlineStr"/>
      <c r="I801" t="inlineStr">
        <is>
          <t>1</t>
        </is>
      </c>
      <c r="J801" t="inlineStr"/>
      <c r="K801" t="inlineStr"/>
      <c r="L801" t="inlineStr"/>
      <c r="M801" t="inlineStr"/>
      <c r="N801" t="inlineStr"/>
      <c r="O801" t="inlineStr"/>
      <c r="P801" t="inlineStr"/>
      <c r="Q801" t="inlineStr"/>
      <c r="R801" t="inlineStr"/>
      <c r="S801" t="inlineStr"/>
    </row>
    <row r="802">
      <c r="A802">
        <f>Skills!A9</f>
        <v/>
      </c>
      <c r="B802">
        <f>Skills!B9</f>
        <v/>
      </c>
      <c r="C802">
        <f>Inputs!$B$3&gt;=60</f>
        <v/>
      </c>
      <c r="D802">
        <f>IF(Skills!C9=1,60+Inputs!$B$24+Inputs!$B$28,IF(Skills!C9=2,90+Inputs!$B$25+Inputs!$B$28,IF(Skills!C9=3,120+Inputs!$B$26+Inputs!$B$28,MAX(0,(Inputs!$B$3-100)*3)+(Inputs!$B$27+1)+Inputs!$B$28)))</f>
        <v/>
      </c>
      <c r="E802">
        <f>INDEX(FactorTable!$B$2:$Y$301, MATCH(ROUND(MIN(300,MAX(1,D802)),0), FactorTable!$A$2:$A$301,0), Skills!M9+1)</f>
        <v/>
      </c>
      <c r="F802">
        <f>IF(Skills!N9=TRUE,(Skills!L9/10)*(E802/1000),Skills!L9/10)+Skills!O9</f>
        <v/>
      </c>
      <c r="G802">
        <f>Skills!G9*IF(Skills!H9&gt;0,Skills!I9/Skills!H9,1)</f>
        <v/>
      </c>
      <c r="H802">
        <f>1-(1-Skills!J9/100)^Skills!K9</f>
        <v/>
      </c>
      <c r="I802" t="inlineStr">
        <is>
          <t>1</t>
        </is>
      </c>
      <c r="J802">
        <f>(Inputs!$B$5*(1+Inputs!$B$6/100))*(F802/100)</f>
        <v/>
      </c>
      <c r="K802">
        <f>J802*(1+((Inputs!$B$11*(1+Inputs!$B$12/100))*0.01+Inputs!$B$13*0.0025)/100)*(1+Inputs!$B$14/100)*(1+IF(Inputs!$B$4="pvp",0,(1-Summary!$B$55)*(Inputs!$B$19+0+Skills!P9+((C810=TRUE)*F810*IF(AND(Inputs!$B$4&lt;&gt;"pvp",Inputs!$B$35&gt;0),(((S810-1)*(Skills!T17*(1+Inputs!$B$33/100))+MIN((Skills!T17*(1+Inputs!$B$33/100)),MAX(0,Inputs!$B$35-((S810-1)*Skills!D17))))/Inputs!$B$35),IF(Inputs!$B$4="pvp",MIN((Skills!T17*(1+Inputs!$B$33/100)),15)/15,(Skills!T17*(1+Inputs!$B$33/100))/Skills!D17)))+((C807=TRUE)*IF(Inputs!$B$4="pvp",20,(1-Summary!$B$55)*(20)+Summary!$B$55*(0))*IF(AND(Inputs!$B$4&lt;&gt;"pvp",Inputs!$B$35&gt;0),(((S807-1)*(Skills!T14*(1+Inputs!$B$33/100))+MIN((Skills!T14*(1+Inputs!$B$33/100)),MAX(0,Inputs!$B$35-((S807-1)*Skills!D14))))/Inputs!$B$35),IF(Inputs!$B$4="pvp",MIN((Skills!T14*(1+Inputs!$B$33/100)),15)/15,(Skills!T14*(1+Inputs!$B$33/100))/Skills!D14))))+Summary!$B$55*(Inputs!$B$20+Skills!Q9+((C810=TRUE)*F810*IF(AND(Inputs!$B$4&lt;&gt;"pvp",Inputs!$B$35&gt;0),(((S810-1)*(Skills!T17*(1+Inputs!$B$33/100))+MIN((Skills!T17*(1+Inputs!$B$33/100)),MAX(0,Inputs!$B$35-((S810-1)*Skills!D17))))/Inputs!$B$35),IF(Inputs!$B$4="pvp",MIN((Skills!T17*(1+Inputs!$B$33/100)),15)/15,(Skills!T17*(1+Inputs!$B$33/100))/Skills!D17)))))/100)*(1+Inputs!$B$15/100)*(5000/(6000+Inputs!$B$7*(1-(Inputs!$B$18+0)/100)))*(1+(Inputs!$B$23+((C818=TRUE)*(F818-Calc!F25))+((C819=TRUE)*(F819-Calc!F26))+B828)/100)*(1+1.0*IF(C804=TRUE,F804,0)/100)*(1+(IF(Skills!A9="DARK_IMPALE",Inputs!$B$16+0,Inputs!$B$17+((C816=TRUE)*(F816-Calc!F23))))/100)*((1+(((C806=TRUE)*F806*IF(AND(Inputs!$B$4&lt;&gt;"pvp",Inputs!$B$35&gt;0),(((S806-1)*(Skills!T13*(1+Inputs!$B$33/100))+MIN((Skills!T13*(1+Inputs!$B$33/100)),MAX(0,Inputs!$B$35-((S806-1)*Skills!D13))))/Inputs!$B$35),IF(Inputs!$B$4="pvp",MIN((Skills!T13*(1+Inputs!$B$33/100)),15)/15,(Skills!T13*(1+Inputs!$B$33/100))/Skills!D13)))+((C807=TRUE)*F807*IF(AND(Inputs!$B$4&lt;&gt;"pvp",Inputs!$B$35&gt;0),(((S807-1)*(Skills!T14*(1+Inputs!$B$33/100))+MIN((Skills!T14*(1+Inputs!$B$33/100)),MAX(0,Inputs!$B$35-((S807-1)*Skills!D14))))/Inputs!$B$35),IF(Inputs!$B$4="pvp",MIN((Skills!T14*(1+Inputs!$B$33/100)),15)/15,(Skills!T14*(1+Inputs!$B$33/100))/Skills!D14)))+((C808=TRUE)*F808*IF(AND(Inputs!$B$4&lt;&gt;"pvp",Inputs!$B$35&gt;0),(((S808-1)*(Skills!T15*(1+Inputs!$B$33/100))+MIN((Skills!T15*(1+Inputs!$B$33/100)),MAX(0,Inputs!$B$35-((S808-1)*Skills!D15))))/Inputs!$B$35),IF(Inputs!$B$4="pvp",MIN((Skills!T15*(1+Inputs!$B$33/100)),15)/15,(Skills!T15*(1+Inputs!$B$33/100))/Skills!D15)))+((C809=TRUE)*F809*IF(AND(Inputs!$B$4&lt;&gt;"pvp",Inputs!$B$35&gt;0),(((S809-1)*(Skills!T16*(1+Inputs!$B$33/100))+MIN((Skills!T16*(1+Inputs!$B$33/100)),MAX(0,Inputs!$B$35-((S809-1)*Skills!D16))))/Inputs!$B$35),IF(Inputs!$B$4="pvp",MIN((Skills!T16*(1+Inputs!$B$33/100)),15)/15,(Skills!T16*(1+Inputs!$B$33/100))/Skills!D16)))+0)/100)*I802)</f>
        <v/>
      </c>
      <c r="L802">
        <f>K802*(MIN(Inputs!$B$21+((C815=TRUE)*(F815-Calc!F22)),Inputs!$B$22+((C817=TRUE)*(F817-Calc!F24)))/100+(Inputs!$B$22+((C817=TRUE)*(F817-Calc!F24)))/100)/2</f>
        <v/>
      </c>
      <c r="M802">
        <f>L802*(1+(Inputs!$B$9+0+B827)/100)</f>
        <v/>
      </c>
      <c r="N802">
        <f>L802*(1-MIN((Inputs!$B$8+0+B822),100)/100)+M802*(MIN((Inputs!$B$8+0+B822),100)/100)</f>
        <v/>
      </c>
      <c r="O802">
        <f>IF(C802,H802*N802*IF(AND(Inputs!$B$4&lt;&gt;"pvp",Inputs!$B$35&gt;0),((Skills!G9*((R802-1)*IF(Skills!H9&gt;0,Skills!I9/Skills!H9,1)+IF(Skills!H9&gt;0,MIN(Skills!I9,MAX(0,Inputs!$B$35-((R802-1)*IF(Inputs!$B$4="pvp",15,MAX(0.1,Skills!D9-IF(Skills!E9=TRUE,Inputs!$B$31,0))))))/Skills!H9,1)))/Inputs!$B$35),G802*Q802)*IF(Inputs!$B$4="pvp",1,(1-Summary!$B$55)*(1)+Summary!$B$55*(MIN(Skills!R9,Inputs!$B$37))),0)</f>
        <v/>
      </c>
      <c r="P802">
        <f>IF(B830=0,0,O802/B830)</f>
        <v/>
      </c>
      <c r="Q802">
        <f>IFERROR(1/IF(Inputs!$B$4="pvp",15,MAX(0.1,Skills!D9-IF(Skills!E9=TRUE,Inputs!$B$31,0))),0)</f>
        <v/>
      </c>
      <c r="R802">
        <f>IF(AND(Inputs!$B$4&lt;&gt;"pvp",Inputs!$B$35&gt;0),(INT(Inputs!$B$35/IF(Inputs!$B$4="pvp",15,MAX(0.1,Skills!D9-IF(Skills!E9=TRUE,Inputs!$B$31,0))))+1),0)</f>
        <v/>
      </c>
      <c r="S802">
        <f>IFERROR(O802/N802,0)</f>
        <v/>
      </c>
    </row>
    <row r="803">
      <c r="A803">
        <f>Skills!A10</f>
        <v/>
      </c>
      <c r="B803">
        <f>Skills!B10</f>
        <v/>
      </c>
      <c r="C803">
        <f>Inputs!$B$3&gt;=110</f>
        <v/>
      </c>
      <c r="D803">
        <f>IF(Skills!C10=1,60+Inputs!$B$24+Inputs!$B$28,IF(Skills!C10=2,90+Inputs!$B$25+Inputs!$B$28,IF(Skills!C10=3,120+Inputs!$B$26+Inputs!$B$28,MAX(0,(Inputs!$B$3-100)*3)+(Inputs!$B$27+1)+Inputs!$B$28)))</f>
        <v/>
      </c>
      <c r="E803">
        <f>INDEX(FactorTable!$B$2:$Y$301, MATCH(ROUND(MIN(300,MAX(1,D803)),0), FactorTable!$A$2:$A$301,0), Skills!M10+1)</f>
        <v/>
      </c>
      <c r="F803">
        <f>IF(Skills!N10=TRUE,(Skills!L10/10)*(E803/1000),Skills!L10/10)+Skills!O10</f>
        <v/>
      </c>
      <c r="G803">
        <f>Skills!G10*IF(Skills!H10&gt;0,Skills!I10/Skills!H10,1)</f>
        <v/>
      </c>
      <c r="H803">
        <f>1-(1-Skills!J10/100)^Skills!K10</f>
        <v/>
      </c>
      <c r="I803" t="inlineStr">
        <is>
          <t>1</t>
        </is>
      </c>
      <c r="J803">
        <f>(Inputs!$B$5*(1+Inputs!$B$6/100))*(F803/100)</f>
        <v/>
      </c>
      <c r="K803">
        <f>J803*(1+((Inputs!$B$11*(1+Inputs!$B$12/100))*0.01+Inputs!$B$13*0.0025)/100)*(1+Inputs!$B$14/100)*(1+IF(Inputs!$B$4="pvp",0,(1-Summary!$B$55)*(Inputs!$B$19+0+Skills!P10+((C810=TRUE)*F810*IF(AND(Inputs!$B$4&lt;&gt;"pvp",Inputs!$B$35&gt;0),(((S810-1)*(Skills!T17*(1+Inputs!$B$33/100))+MIN((Skills!T17*(1+Inputs!$B$33/100)),MAX(0,Inputs!$B$35-((S810-1)*Skills!D17))))/Inputs!$B$35),IF(Inputs!$B$4="pvp",MIN((Skills!T17*(1+Inputs!$B$33/100)),15)/15,(Skills!T17*(1+Inputs!$B$33/100))/Skills!D17)))+((C807=TRUE)*IF(Inputs!$B$4="pvp",20,(1-Summary!$B$55)*(20)+Summary!$B$55*(0))*IF(AND(Inputs!$B$4&lt;&gt;"pvp",Inputs!$B$35&gt;0),(((S807-1)*(Skills!T14*(1+Inputs!$B$33/100))+MIN((Skills!T14*(1+Inputs!$B$33/100)),MAX(0,Inputs!$B$35-((S807-1)*Skills!D14))))/Inputs!$B$35),IF(Inputs!$B$4="pvp",MIN((Skills!T14*(1+Inputs!$B$33/100)),15)/15,(Skills!T14*(1+Inputs!$B$33/100))/Skills!D14))))+Summary!$B$55*(Inputs!$B$20+Skills!Q10+((C810=TRUE)*F810*IF(AND(Inputs!$B$4&lt;&gt;"pvp",Inputs!$B$35&gt;0),(((S810-1)*(Skills!T17*(1+Inputs!$B$33/100))+MIN((Skills!T17*(1+Inputs!$B$33/100)),MAX(0,Inputs!$B$35-((S810-1)*Skills!D17))))/Inputs!$B$35),IF(Inputs!$B$4="pvp",MIN((Skills!T17*(1+Inputs!$B$33/100)),15)/15,(Skills!T17*(1+Inputs!$B$33/100))/Skills!D17)))))/100)*(1+Inputs!$B$15/100)*(5000/(6000+Inputs!$B$7*(1-(Inputs!$B$18+0)/100)))*(1+(Inputs!$B$23+((C818=TRUE)*(F818-Calc!F25))+((C819=TRUE)*(F819-Calc!F26))+B828)/100)*(1+(IF(Skills!A10="DARK_IMPALE",Inputs!$B$16+0,Inputs!$B$17+((C816=TRUE)*(F816-Calc!F23))))/100)*((1+(((C806=TRUE)*F806*IF(AND(Inputs!$B$4&lt;&gt;"pvp",Inputs!$B$35&gt;0),(((S806-1)*(Skills!T13*(1+Inputs!$B$33/100))+MIN((Skills!T13*(1+Inputs!$B$33/100)),MAX(0,Inputs!$B$35-((S806-1)*Skills!D13))))/Inputs!$B$35),IF(Inputs!$B$4="pvp",MIN((Skills!T13*(1+Inputs!$B$33/100)),15)/15,(Skills!T13*(1+Inputs!$B$33/100))/Skills!D13)))+((C807=TRUE)*F807*IF(AND(Inputs!$B$4&lt;&gt;"pvp",Inputs!$B$35&gt;0),(((S807-1)*(Skills!T14*(1+Inputs!$B$33/100))+MIN((Skills!T14*(1+Inputs!$B$33/100)),MAX(0,Inputs!$B$35-((S807-1)*Skills!D14))))/Inputs!$B$35),IF(Inputs!$B$4="pvp",MIN((Skills!T14*(1+Inputs!$B$33/100)),15)/15,(Skills!T14*(1+Inputs!$B$33/100))/Skills!D14)))+((C808=TRUE)*F808*IF(AND(Inputs!$B$4&lt;&gt;"pvp",Inputs!$B$35&gt;0),(((S808-1)*(Skills!T15*(1+Inputs!$B$33/100))+MIN((Skills!T15*(1+Inputs!$B$33/100)),MAX(0,Inputs!$B$35-((S808-1)*Skills!D15))))/Inputs!$B$35),IF(Inputs!$B$4="pvp",MIN((Skills!T15*(1+Inputs!$B$33/100)),15)/15,(Skills!T15*(1+Inputs!$B$33/100))/Skills!D15)))+((C809=TRUE)*F809*IF(AND(Inputs!$B$4&lt;&gt;"pvp",Inputs!$B$35&gt;0),(((S809-1)*(Skills!T16*(1+Inputs!$B$33/100))+MIN((Skills!T16*(1+Inputs!$B$33/100)),MAX(0,Inputs!$B$35-((S809-1)*Skills!D16))))/Inputs!$B$35),IF(Inputs!$B$4="pvp",MIN((Skills!T16*(1+Inputs!$B$33/100)),15)/15,(Skills!T16*(1+Inputs!$B$33/100))/Skills!D16)))+0)/100)*I803)</f>
        <v/>
      </c>
      <c r="L803">
        <f>K803*(MIN(Inputs!$B$21+((C815=TRUE)*(F815-Calc!F22)),Inputs!$B$22+((C817=TRUE)*(F817-Calc!F24)))/100+(Inputs!$B$22+((C817=TRUE)*(F817-Calc!F24)))/100)/2</f>
        <v/>
      </c>
      <c r="M803">
        <f>L803*(1+(Inputs!$B$9+0+B827)/100)</f>
        <v/>
      </c>
      <c r="N803">
        <f>L803*(1-MIN((Inputs!$B$8+0+B822),100)/100)+M803*(MIN((Inputs!$B$8+0+B822),100)/100)</f>
        <v/>
      </c>
      <c r="O803">
        <f>IF(C803,H803*N803*IF(AND(Inputs!$B$4&lt;&gt;"pvp",Inputs!$B$35&gt;0),((Skills!G10*((R803-1)*IF(Skills!H10&gt;0,Skills!I10/Skills!H10,1)+IF(Skills!H10&gt;0,MIN(Skills!I10,MAX(0,Inputs!$B$35-((R803-1)*IF(Inputs!$B$4="pvp",15,MAX(0.1,Skills!D10-IF(Skills!E10=TRUE,Inputs!$B$31,0))))))/Skills!H10,1)))/Inputs!$B$35),G803*Q803)*IF(Inputs!$B$4="pvp",1,(1-Summary!$B$55)*(1)+Summary!$B$55*(MIN(Skills!R10,Inputs!$B$37))),0)</f>
        <v/>
      </c>
      <c r="P803">
        <f>IF(B830=0,0,O803/B830)</f>
        <v/>
      </c>
      <c r="Q803">
        <f>IFERROR(1/IF(Inputs!$B$4="pvp",15,MAX(0.1,Skills!D10-IF(Skills!E10=TRUE,Inputs!$B$31,0))),0)</f>
        <v/>
      </c>
      <c r="R803">
        <f>IF(AND(Inputs!$B$4&lt;&gt;"pvp",Inputs!$B$35&gt;0),(INT(Inputs!$B$35/IF(Inputs!$B$4="pvp",15,MAX(0.1,Skills!D10-IF(Skills!E10=TRUE,Inputs!$B$31,0))))+1),0)</f>
        <v/>
      </c>
      <c r="S803">
        <f>IFERROR(O803/N803,0)</f>
        <v/>
      </c>
    </row>
    <row r="804">
      <c r="A804">
        <f>Skills!A11</f>
        <v/>
      </c>
      <c r="B804">
        <f>Skills!B11</f>
        <v/>
      </c>
      <c r="C804">
        <f>Inputs!$B$3&gt;=100</f>
        <v/>
      </c>
      <c r="D804">
        <f>IF(Skills!C11=1,60+Inputs!$B$24+Inputs!$B$28,IF(Skills!C11=2,90+Inputs!$B$25+Inputs!$B$28,IF(Skills!C11=3,120+Inputs!$B$26+Inputs!$B$28,MAX(0,(Inputs!$B$3-100)*3)+(Inputs!$B$27+1)+Inputs!$B$28)))</f>
        <v/>
      </c>
      <c r="E804">
        <f>INDEX(FactorTable!$B$2:$Y$301, MATCH(ROUND(MIN(300,MAX(1,D804)),0), FactorTable!$A$2:$A$301,0), Skills!M11+1)</f>
        <v/>
      </c>
      <c r="F804">
        <f>IF(Skills!N11=TRUE,(Skills!L11/10)*(E804/1000),Skills!L11/10)+Skills!O11</f>
        <v/>
      </c>
      <c r="G804" t="inlineStr"/>
      <c r="H804" t="inlineStr"/>
      <c r="I804" t="inlineStr">
        <is>
          <t>1</t>
        </is>
      </c>
      <c r="J804" t="inlineStr"/>
      <c r="K804" t="inlineStr"/>
      <c r="L804" t="inlineStr"/>
      <c r="M804" t="inlineStr"/>
      <c r="N804" t="inlineStr"/>
      <c r="O804" t="inlineStr"/>
      <c r="P804" t="inlineStr"/>
      <c r="Q804" t="inlineStr"/>
      <c r="R804" t="inlineStr"/>
      <c r="S804" t="inlineStr"/>
    </row>
    <row r="805">
      <c r="A805">
        <f>Skills!A12</f>
        <v/>
      </c>
      <c r="B805">
        <f>Skills!B12</f>
        <v/>
      </c>
      <c r="C805">
        <f>Inputs!$B$3&gt;=63</f>
        <v/>
      </c>
      <c r="D805">
        <f>IF(Skills!C12=1,60+Inputs!$B$24+Inputs!$B$28,IF(Skills!C12=2,90+Inputs!$B$25+Inputs!$B$28,IF(Skills!C12=3,120+Inputs!$B$26+Inputs!$B$28,MAX(0,(Inputs!$B$3-100)*3)+(Inputs!$B$27+1)+Inputs!$B$28)))</f>
        <v/>
      </c>
      <c r="E805">
        <f>INDEX(FactorTable!$B$2:$Y$301, MATCH(ROUND(MIN(300,MAX(1,D805)),0), FactorTable!$A$2:$A$301,0), Skills!M12+1)</f>
        <v/>
      </c>
      <c r="F805">
        <f>IF(Skills!N12=TRUE,(Skills!L12/10)*(E805/1000),Skills!L12/10)+Skills!O12</f>
        <v/>
      </c>
      <c r="G805">
        <f>Skills!G12*IF(Skills!H12&gt;0,Skills!I12/Skills!H12,1)</f>
        <v/>
      </c>
      <c r="H805">
        <f>1-(1-Skills!J12/100)^Skills!K12</f>
        <v/>
      </c>
      <c r="I805" t="inlineStr">
        <is>
          <t>1</t>
        </is>
      </c>
      <c r="J805">
        <f>(Inputs!$B$5*(1+Inputs!$B$6/100))*(F805/100)</f>
        <v/>
      </c>
      <c r="K805">
        <f>J805*(1+((Inputs!$B$11*(1+Inputs!$B$12/100))*0.01+Inputs!$B$13*0.0025)/100)*(1+Inputs!$B$14/100)*(1+IF(Inputs!$B$4="pvp",0,(1-Summary!$B$55)*(Inputs!$B$19+0+Skills!P12+((C810=TRUE)*F810*IF(AND(Inputs!$B$4&lt;&gt;"pvp",Inputs!$B$35&gt;0),(((S810-1)*(Skills!T17*(1+Inputs!$B$33/100))+MIN((Skills!T17*(1+Inputs!$B$33/100)),MAX(0,Inputs!$B$35-((S810-1)*Skills!D17))))/Inputs!$B$35),IF(Inputs!$B$4="pvp",MIN((Skills!T17*(1+Inputs!$B$33/100)),15)/15,(Skills!T17*(1+Inputs!$B$33/100))/Skills!D17)))+((C807=TRUE)*IF(Inputs!$B$4="pvp",20,(1-Summary!$B$55)*(20)+Summary!$B$55*(0))*IF(AND(Inputs!$B$4&lt;&gt;"pvp",Inputs!$B$35&gt;0),(((S807-1)*(Skills!T14*(1+Inputs!$B$33/100))+MIN((Skills!T14*(1+Inputs!$B$33/100)),MAX(0,Inputs!$B$35-((S807-1)*Skills!D14))))/Inputs!$B$35),IF(Inputs!$B$4="pvp",MIN((Skills!T14*(1+Inputs!$B$33/100)),15)/15,(Skills!T14*(1+Inputs!$B$33/100))/Skills!D14))))+Summary!$B$55*(Inputs!$B$20+Skills!Q12+((C810=TRUE)*F810*IF(AND(Inputs!$B$4&lt;&gt;"pvp",Inputs!$B$35&gt;0),(((S810-1)*(Skills!T17*(1+Inputs!$B$33/100))+MIN((Skills!T17*(1+Inputs!$B$33/100)),MAX(0,Inputs!$B$35-((S810-1)*Skills!D17))))/Inputs!$B$35),IF(Inputs!$B$4="pvp",MIN((Skills!T17*(1+Inputs!$B$33/100)),15)/15,(Skills!T17*(1+Inputs!$B$33/100))/Skills!D17)))))/100)*(1+Inputs!$B$15/100)*(5000/(6000+Inputs!$B$7*(1-(Inputs!$B$18+0)/100)))*(1+(Inputs!$B$23+((C818=TRUE)*(F818-Calc!F25))+((C819=TRUE)*(F819-Calc!F26))+B828)/100)*(1+0.75*IF(C804=TRUE,F804,0)/100)*(1+(IF(Skills!A12="DARK_IMPALE",Inputs!$B$16+0,Inputs!$B$17+((C816=TRUE)*(F816-Calc!F23))))/100)*((1+(((C806=TRUE)*F806*IF(AND(Inputs!$B$4&lt;&gt;"pvp",Inputs!$B$35&gt;0),(((S806-1)*(Skills!T13*(1+Inputs!$B$33/100))+MIN((Skills!T13*(1+Inputs!$B$33/100)),MAX(0,Inputs!$B$35-((S806-1)*Skills!D13))))/Inputs!$B$35),IF(Inputs!$B$4="pvp",MIN((Skills!T13*(1+Inputs!$B$33/100)),15)/15,(Skills!T13*(1+Inputs!$B$33/100))/Skills!D13)))+((C807=TRUE)*F807*IF(AND(Inputs!$B$4&lt;&gt;"pvp",Inputs!$B$35&gt;0),(((S807-1)*(Skills!T14*(1+Inputs!$B$33/100))+MIN((Skills!T14*(1+Inputs!$B$33/100)),MAX(0,Inputs!$B$35-((S807-1)*Skills!D14))))/Inputs!$B$35),IF(Inputs!$B$4="pvp",MIN((Skills!T14*(1+Inputs!$B$33/100)),15)/15,(Skills!T14*(1+Inputs!$B$33/100))/Skills!D14)))+((C808=TRUE)*F808*IF(AND(Inputs!$B$4&lt;&gt;"pvp",Inputs!$B$35&gt;0),(((S808-1)*(Skills!T15*(1+Inputs!$B$33/100))+MIN((Skills!T15*(1+Inputs!$B$33/100)),MAX(0,Inputs!$B$35-((S808-1)*Skills!D15))))/Inputs!$B$35),IF(Inputs!$B$4="pvp",MIN((Skills!T15*(1+Inputs!$B$33/100)),15)/15,(Skills!T15*(1+Inputs!$B$33/100))/Skills!D15)))+((C809=TRUE)*F809*IF(AND(Inputs!$B$4&lt;&gt;"pvp",Inputs!$B$35&gt;0),(((S809-1)*(Skills!T16*(1+Inputs!$B$33/100))+MIN((Skills!T16*(1+Inputs!$B$33/100)),MAX(0,Inputs!$B$35-((S809-1)*Skills!D16))))/Inputs!$B$35),IF(Inputs!$B$4="pvp",MIN((Skills!T16*(1+Inputs!$B$33/100)),15)/15,(Skills!T16*(1+Inputs!$B$33/100))/Skills!D16)))+0)/100)*I805)</f>
        <v/>
      </c>
      <c r="L805">
        <f>K805*(MIN(Inputs!$B$21+((C815=TRUE)*(F815-Calc!F22)),Inputs!$B$22+((C817=TRUE)*(F817-Calc!F24)))/100+(Inputs!$B$22+((C817=TRUE)*(F817-Calc!F24)))/100)/2</f>
        <v/>
      </c>
      <c r="M805">
        <f>L805*(1+(Inputs!$B$9+0+B827)/100)</f>
        <v/>
      </c>
      <c r="N805">
        <f>L805*(1-MIN((Inputs!$B$8+0+B822),100)/100)+M805*(MIN((Inputs!$B$8+0+B822),100)/100)</f>
        <v/>
      </c>
      <c r="O805">
        <f>IF(C805,H805*N805*IF(AND(Inputs!$B$4&lt;&gt;"pvp",Inputs!$B$35&gt;0),((Skills!G12*((R805-1)*IF(Skills!H12&gt;0,Skills!I12/Skills!H12,1)+IF(Skills!H12&gt;0,MIN(Skills!I12,MAX(0,Inputs!$B$35-((R805-1)*IF(Inputs!$B$4="pvp",15,MAX(0.1,Skills!D12-IF(Skills!E12=TRUE,Inputs!$B$31,0))))))/Skills!H12,1)))/Inputs!$B$35),G805*Q805)*IF(Inputs!$B$4="pvp",1,(1-Summary!$B$55)*(1)+Summary!$B$55*(MIN(Skills!R12,Inputs!$B$37))),0)</f>
        <v/>
      </c>
      <c r="P805">
        <f>IF(B830=0,0,O805/B830)</f>
        <v/>
      </c>
      <c r="Q805">
        <f>IFERROR(1/IF(Inputs!$B$4="pvp",15,MAX(0.1,Skills!D12-IF(Skills!E12=TRUE,Inputs!$B$31,0))),0)</f>
        <v/>
      </c>
      <c r="R805">
        <f>IF(AND(Inputs!$B$4&lt;&gt;"pvp",Inputs!$B$35&gt;0),(INT(Inputs!$B$35/IF(Inputs!$B$4="pvp",15,MAX(0.1,Skills!D12-IF(Skills!E12=TRUE,Inputs!$B$31,0))))+1),0)</f>
        <v/>
      </c>
      <c r="S805">
        <f>IFERROR(O805/N805,0)</f>
        <v/>
      </c>
    </row>
    <row r="806">
      <c r="A806">
        <f>Skills!A13</f>
        <v/>
      </c>
      <c r="B806">
        <f>Skills!B13</f>
        <v/>
      </c>
      <c r="C806">
        <f>Inputs!$B$3&gt;=69</f>
        <v/>
      </c>
      <c r="D806">
        <f>IF(Skills!C13=1,60+Inputs!$B$24+Inputs!$B$28,IF(Skills!C13=2,90+Inputs!$B$25+Inputs!$B$28,IF(Skills!C13=3,120+Inputs!$B$26+Inputs!$B$28,MAX(0,(Inputs!$B$3-100)*3)+(Inputs!$B$27+1)+Inputs!$B$28)))</f>
        <v/>
      </c>
      <c r="E806">
        <f>INDEX(FactorTable!$B$2:$Y$301, MATCH(ROUND(MIN(300,MAX(1,D806)),0), FactorTable!$A$2:$A$301,0), Skills!M13+1)</f>
        <v/>
      </c>
      <c r="F806">
        <f>IF(Skills!N13=TRUE,(Skills!L13/10)*(E806/1000),Skills!L13/10)+Skills!O13</f>
        <v/>
      </c>
      <c r="G806">
        <f>Skills!G13*IF(Skills!H13&gt;0,Skills!I13/Skills!H13,1)</f>
        <v/>
      </c>
      <c r="H806">
        <f>1-(1-Skills!J13/100)^Skills!K13</f>
        <v/>
      </c>
      <c r="I806" t="inlineStr">
        <is>
          <t>1</t>
        </is>
      </c>
      <c r="J806" t="inlineStr"/>
      <c r="K806" t="inlineStr"/>
      <c r="L806" t="inlineStr"/>
      <c r="M806" t="inlineStr"/>
      <c r="N806" t="inlineStr"/>
      <c r="O806" t="n">
        <v>0</v>
      </c>
      <c r="P806">
        <f>IF(B830=0,0,O806/B830)</f>
        <v/>
      </c>
      <c r="Q806">
        <f>IFERROR(1/IF(Inputs!$B$4="pvp",15,MAX(0.1,Skills!D13-IF(Skills!E13=TRUE,Inputs!$B$31,0))),0)</f>
        <v/>
      </c>
      <c r="R806">
        <f>IF(AND(Inputs!$B$4&lt;&gt;"pvp",Inputs!$B$35&gt;0),(INT(Inputs!$B$35/IF(Inputs!$B$4="pvp",15,MAX(0.1,Skills!D13-IF(Skills!E13=TRUE,Inputs!$B$31,0))))+1),0)</f>
        <v/>
      </c>
      <c r="S806">
        <f>IFERROR(O806/N806,0)</f>
        <v/>
      </c>
    </row>
    <row r="807">
      <c r="A807">
        <f>Skills!A14</f>
        <v/>
      </c>
      <c r="B807">
        <f>Skills!B14</f>
        <v/>
      </c>
      <c r="C807">
        <f>Inputs!$B$3&gt;=115</f>
        <v/>
      </c>
      <c r="D807">
        <f>IF(Skills!C14=1,60+Inputs!$B$24+Inputs!$B$28,IF(Skills!C14=2,90+Inputs!$B$25+Inputs!$B$28,IF(Skills!C14=3,120+Inputs!$B$26+Inputs!$B$28,MAX(0,(Inputs!$B$3-100)*3)+(Inputs!$B$27+1)+Inputs!$B$28)))</f>
        <v/>
      </c>
      <c r="E807">
        <f>INDEX(FactorTable!$B$2:$Y$301, MATCH(ROUND(MIN(300,MAX(1,D807)),0), FactorTable!$A$2:$A$301,0), Skills!M14+1)</f>
        <v/>
      </c>
      <c r="F807">
        <f>IF(Skills!N14=TRUE,(Skills!L14/10)*(E807/1000),Skills!L14/10)+Skills!O14</f>
        <v/>
      </c>
      <c r="G807">
        <f>Skills!G14*IF(Skills!H14&gt;0,Skills!I14/Skills!H14,1)</f>
        <v/>
      </c>
      <c r="H807">
        <f>1-(1-Skills!J14/100)^Skills!K14</f>
        <v/>
      </c>
      <c r="I807" t="inlineStr">
        <is>
          <t>1</t>
        </is>
      </c>
      <c r="J807" t="inlineStr"/>
      <c r="K807" t="inlineStr"/>
      <c r="L807" t="inlineStr"/>
      <c r="M807" t="inlineStr"/>
      <c r="N807" t="inlineStr"/>
      <c r="O807" t="n">
        <v>0</v>
      </c>
      <c r="P807">
        <f>IF(B830=0,0,O807/B830)</f>
        <v/>
      </c>
      <c r="Q807">
        <f>IFERROR(1/IF(Inputs!$B$4="pvp",15,MAX(0.1,Skills!D14-IF(Skills!E14=TRUE,Inputs!$B$31,0))),0)</f>
        <v/>
      </c>
      <c r="R807">
        <f>IF(AND(Inputs!$B$4&lt;&gt;"pvp",Inputs!$B$35&gt;0),(INT(Inputs!$B$35/IF(Inputs!$B$4="pvp",15,MAX(0.1,Skills!D14-IF(Skills!E14=TRUE,Inputs!$B$31,0))))+1),0)</f>
        <v/>
      </c>
      <c r="S807">
        <f>IFERROR(O807/N807,0)</f>
        <v/>
      </c>
    </row>
    <row r="808">
      <c r="A808">
        <f>Skills!A15</f>
        <v/>
      </c>
      <c r="B808">
        <f>Skills!B15</f>
        <v/>
      </c>
      <c r="C808">
        <f>Inputs!$B$3&gt;=66</f>
        <v/>
      </c>
      <c r="D808">
        <f>IF(Skills!C15=1,60+Inputs!$B$24+Inputs!$B$28,IF(Skills!C15=2,90+Inputs!$B$25+Inputs!$B$28,IF(Skills!C15=3,120+Inputs!$B$26+Inputs!$B$28,MAX(0,(Inputs!$B$3-100)*3)+(Inputs!$B$27+1)+Inputs!$B$28)))</f>
        <v/>
      </c>
      <c r="E808">
        <f>INDEX(FactorTable!$B$2:$Y$301, MATCH(ROUND(MIN(300,MAX(1,D808)),0), FactorTable!$A$2:$A$301,0), Skills!M15+1)</f>
        <v/>
      </c>
      <c r="F808">
        <f>IF(Skills!N15=TRUE,(Skills!L15/10)*(E808/1000),Skills!L15/10)+Skills!O15</f>
        <v/>
      </c>
      <c r="G808">
        <f>Skills!G15*IF(Skills!H15&gt;0,Skills!I15/Skills!H15,1)</f>
        <v/>
      </c>
      <c r="H808">
        <f>1-(1-Skills!J15/100)^Skills!K15</f>
        <v/>
      </c>
      <c r="I808" t="inlineStr">
        <is>
          <t>1</t>
        </is>
      </c>
      <c r="J808" t="inlineStr"/>
      <c r="K808" t="inlineStr"/>
      <c r="L808" t="inlineStr"/>
      <c r="M808" t="inlineStr"/>
      <c r="N808" t="inlineStr"/>
      <c r="O808" t="n">
        <v>0</v>
      </c>
      <c r="P808">
        <f>IF(B830=0,0,O808/B830)</f>
        <v/>
      </c>
      <c r="Q808">
        <f>IFERROR(1/IF(Inputs!$B$4="pvp",15,MAX(0.1,Skills!D15-IF(Skills!E15=TRUE,Inputs!$B$31,0))),0)</f>
        <v/>
      </c>
      <c r="R808">
        <f>IF(AND(Inputs!$B$4&lt;&gt;"pvp",Inputs!$B$35&gt;0),(INT(Inputs!$B$35/IF(Inputs!$B$4="pvp",15,MAX(0.1,Skills!D15-IF(Skills!E15=TRUE,Inputs!$B$31,0))))+1),0)</f>
        <v/>
      </c>
      <c r="S808">
        <f>IFERROR(O808/N808,0)</f>
        <v/>
      </c>
    </row>
    <row r="809">
      <c r="A809">
        <f>Skills!A16</f>
        <v/>
      </c>
      <c r="B809">
        <f>Skills!B16</f>
        <v/>
      </c>
      <c r="C809">
        <f>Inputs!$B$3&gt;=45</f>
        <v/>
      </c>
      <c r="D809">
        <f>IF(Skills!C16=1,60+Inputs!$B$24+Inputs!$B$28,IF(Skills!C16=2,90+Inputs!$B$25+Inputs!$B$28,IF(Skills!C16=3,120+Inputs!$B$26+Inputs!$B$28,MAX(0,(Inputs!$B$3-100)*3)+(Inputs!$B$27+1)+Inputs!$B$28)))</f>
        <v/>
      </c>
      <c r="E809">
        <f>INDEX(FactorTable!$B$2:$Y$301, MATCH(ROUND(MIN(300,MAX(1,D809)),0), FactorTable!$A$2:$A$301,0), Skills!M16+1)</f>
        <v/>
      </c>
      <c r="F809">
        <f>IF(Skills!N16=TRUE,(Skills!L16/10)*(E809/1000),Skills!L16/10)+Skills!O16</f>
        <v/>
      </c>
      <c r="G809">
        <f>Skills!G16*IF(Skills!H16&gt;0,Skills!I16/Skills!H16,1)</f>
        <v/>
      </c>
      <c r="H809">
        <f>1-(1-Skills!J16/100)^Skills!K16</f>
        <v/>
      </c>
      <c r="I809" t="inlineStr">
        <is>
          <t>1</t>
        </is>
      </c>
      <c r="J809" t="inlineStr"/>
      <c r="K809" t="inlineStr"/>
      <c r="L809" t="inlineStr"/>
      <c r="M809" t="inlineStr"/>
      <c r="N809" t="inlineStr"/>
      <c r="O809" t="n">
        <v>0</v>
      </c>
      <c r="P809">
        <f>IF(B830=0,0,O809/B830)</f>
        <v/>
      </c>
      <c r="Q809">
        <f>IFERROR(1/IF(Inputs!$B$4="pvp",15,MAX(0.1,Skills!D16-IF(Skills!E16=TRUE,Inputs!$B$31,0))),0)</f>
        <v/>
      </c>
      <c r="R809">
        <f>IF(AND(Inputs!$B$4&lt;&gt;"pvp",Inputs!$B$35&gt;0),(INT(Inputs!$B$35/IF(Inputs!$B$4="pvp",15,MAX(0.1,Skills!D16-IF(Skills!E16=TRUE,Inputs!$B$31,0))))+1),0)</f>
        <v/>
      </c>
      <c r="S809">
        <f>IFERROR(O809/N809,0)</f>
        <v/>
      </c>
    </row>
    <row r="810">
      <c r="A810">
        <f>Skills!A17</f>
        <v/>
      </c>
      <c r="B810">
        <f>Skills!B17</f>
        <v/>
      </c>
      <c r="C810">
        <f>Inputs!$B$3&gt;=35</f>
        <v/>
      </c>
      <c r="D810">
        <f>IF(Skills!C17=1,60+Inputs!$B$24+Inputs!$B$28,IF(Skills!C17=2,90+Inputs!$B$25+Inputs!$B$28,IF(Skills!C17=3,120+Inputs!$B$26+Inputs!$B$28,MAX(0,(Inputs!$B$3-100)*3)+(Inputs!$B$27+1)+Inputs!$B$28)))</f>
        <v/>
      </c>
      <c r="E810">
        <f>INDEX(FactorTable!$B$2:$Y$301, MATCH(ROUND(MIN(300,MAX(1,D810)),0), FactorTable!$A$2:$A$301,0), Skills!M17+1)</f>
        <v/>
      </c>
      <c r="F810">
        <f>IF(Skills!N17=TRUE,(Skills!L17/10)*(E810/1000),Skills!L17/10)+Skills!O17</f>
        <v/>
      </c>
      <c r="G810">
        <f>Skills!G17*IF(Skills!H17&gt;0,Skills!I17/Skills!H17,1)</f>
        <v/>
      </c>
      <c r="H810">
        <f>1-(1-Skills!J17/100)^Skills!K17</f>
        <v/>
      </c>
      <c r="I810" t="inlineStr">
        <is>
          <t>1</t>
        </is>
      </c>
      <c r="J810" t="inlineStr"/>
      <c r="K810" t="inlineStr"/>
      <c r="L810" t="inlineStr"/>
      <c r="M810" t="inlineStr"/>
      <c r="N810" t="inlineStr"/>
      <c r="O810" t="n">
        <v>0</v>
      </c>
      <c r="P810">
        <f>IF(B830=0,0,O810/B830)</f>
        <v/>
      </c>
      <c r="Q810">
        <f>IFERROR(1/IF(Inputs!$B$4="pvp",15,MAX(0.1,Skills!D17-IF(Skills!E17=TRUE,Inputs!$B$31,0))),0)</f>
        <v/>
      </c>
      <c r="R810">
        <f>IF(AND(Inputs!$B$4&lt;&gt;"pvp",Inputs!$B$35&gt;0),(INT(Inputs!$B$35/IF(Inputs!$B$4="pvp",15,MAX(0.1,Skills!D17-IF(Skills!E17=TRUE,Inputs!$B$31,0))))+1),0)</f>
        <v/>
      </c>
      <c r="S810">
        <f>IFERROR(O810/N810,0)</f>
        <v/>
      </c>
    </row>
    <row r="811">
      <c r="A811">
        <f>Skills!A18</f>
        <v/>
      </c>
      <c r="B811">
        <f>Skills!B18</f>
        <v/>
      </c>
      <c r="C811">
        <f>Inputs!$B$3&gt;=72</f>
        <v/>
      </c>
      <c r="D811">
        <f>IF(Skills!C18=1,60+Inputs!$B$24+Inputs!$B$28,IF(Skills!C18=2,90+Inputs!$B$25+Inputs!$B$28,IF(Skills!C18=3,120+Inputs!$B$26+Inputs!$B$28,MAX(0,(Inputs!$B$3-100)*3)+(Inputs!$B$27+1)+Inputs!$B$28)))</f>
        <v/>
      </c>
      <c r="E811">
        <f>INDEX(FactorTable!$B$2:$Y$301, MATCH(ROUND(MIN(300,MAX(1,D811)),0), FactorTable!$A$2:$A$301,0), Skills!M18+1)</f>
        <v/>
      </c>
      <c r="F811">
        <f>IF(Skills!N18=TRUE,(Skills!L18/10)*(E811/1000),Skills!L18/10)+Skills!O18</f>
        <v/>
      </c>
      <c r="G811">
        <f>Skills!G18*IF(Skills!H18&gt;0,Skills!I18/Skills!H18,1)</f>
        <v/>
      </c>
      <c r="H811">
        <f>1-(1-Skills!J18/100)^Skills!K18</f>
        <v/>
      </c>
      <c r="I811" t="inlineStr">
        <is>
          <t>1</t>
        </is>
      </c>
      <c r="J811" t="inlineStr"/>
      <c r="K811" t="inlineStr"/>
      <c r="L811" t="inlineStr"/>
      <c r="M811" t="inlineStr"/>
      <c r="N811" t="inlineStr"/>
      <c r="O811" t="n">
        <v>0</v>
      </c>
      <c r="P811">
        <f>IF(B830=0,0,O811/B830)</f>
        <v/>
      </c>
      <c r="Q811">
        <f>IFERROR(1/IF(Inputs!$B$4="pvp",15,MAX(0.1,Skills!D18-IF(Skills!E18=TRUE,Inputs!$B$31,0))),0)</f>
        <v/>
      </c>
      <c r="R811">
        <f>IF(AND(Inputs!$B$4&lt;&gt;"pvp",Inputs!$B$35&gt;0),(INT(Inputs!$B$35/IF(Inputs!$B$4="pvp",15,MAX(0.1,Skills!D18-IF(Skills!E18=TRUE,Inputs!$B$31,0))))+1),0)</f>
        <v/>
      </c>
      <c r="S811">
        <f>IFERROR(O811/N811,0)</f>
        <v/>
      </c>
    </row>
    <row r="812">
      <c r="A812">
        <f>Skills!A19</f>
        <v/>
      </c>
      <c r="B812">
        <f>Skills!B19</f>
        <v/>
      </c>
      <c r="C812">
        <f>Inputs!$B$3&gt;=72</f>
        <v/>
      </c>
      <c r="D812">
        <f>IF(Skills!C19=1,60+Inputs!$B$24+Inputs!$B$28,IF(Skills!C19=2,90+Inputs!$B$25+Inputs!$B$28,IF(Skills!C19=3,120+Inputs!$B$26+Inputs!$B$28,MAX(0,(Inputs!$B$3-100)*3)+(Inputs!$B$27+1)+Inputs!$B$28)))</f>
        <v/>
      </c>
      <c r="E812">
        <f>INDEX(FactorTable!$B$2:$Y$301, MATCH(ROUND(MIN(300,MAX(1,D812)),0), FactorTable!$A$2:$A$301,0), Skills!M19+1)</f>
        <v/>
      </c>
      <c r="F812">
        <f>IF(Skills!N19=TRUE,(Skills!L19/10)*(E812/1000),Skills!L19/10)+Skills!O19</f>
        <v/>
      </c>
      <c r="G812">
        <f>Skills!G19*IF(Skills!H19&gt;0,Skills!I19/Skills!H19,1)</f>
        <v/>
      </c>
      <c r="H812">
        <f>1-(1-Skills!J19/100)^Skills!K19</f>
        <v/>
      </c>
      <c r="I812" t="inlineStr">
        <is>
          <t>1</t>
        </is>
      </c>
      <c r="J812" t="inlineStr"/>
      <c r="K812" t="inlineStr"/>
      <c r="L812" t="inlineStr"/>
      <c r="M812" t="inlineStr"/>
      <c r="N812" t="inlineStr"/>
      <c r="O812" t="n">
        <v>0</v>
      </c>
      <c r="P812">
        <f>IF(B830=0,0,O812/B830)</f>
        <v/>
      </c>
      <c r="Q812">
        <f>IFERROR(1/IF(Inputs!$B$4="pvp",15,MAX(0.1,Skills!D19-IF(Skills!E19=TRUE,Inputs!$B$31,0))),0)</f>
        <v/>
      </c>
      <c r="R812">
        <f>IF(AND(Inputs!$B$4&lt;&gt;"pvp",Inputs!$B$35&gt;0),(INT(Inputs!$B$35/IF(Inputs!$B$4="pvp",15,MAX(0.1,Skills!D19-IF(Skills!E19=TRUE,Inputs!$B$31,0))))+1),0)</f>
        <v/>
      </c>
      <c r="S812">
        <f>IFERROR(O812/N812,0)</f>
        <v/>
      </c>
    </row>
    <row r="813">
      <c r="A813">
        <f>Skills!A20</f>
        <v/>
      </c>
      <c r="B813">
        <f>Skills!B20</f>
        <v/>
      </c>
      <c r="C813">
        <f>TRUE</f>
        <v/>
      </c>
      <c r="D813">
        <f>IF(Skills!C20=1,60+Inputs!$B$24+Inputs!$B$28,IF(Skills!C20=2,90+Inputs!$B$25+Inputs!$B$28,IF(Skills!C20=3,120+Inputs!$B$26+Inputs!$B$28,MAX(0,(Inputs!$B$3-100)*3)+(Inputs!$B$27+1)+Inputs!$B$28)))</f>
        <v/>
      </c>
      <c r="E813">
        <f>INDEX(FactorTable!$B$2:$Y$301, MATCH(ROUND(MIN(300,MAX(1,D813)),0), FactorTable!$A$2:$A$301,0), Skills!M20+1)</f>
        <v/>
      </c>
      <c r="F813">
        <f>IF(Skills!N20=TRUE,(Skills!L20/10)*(E813/1000),Skills!L20/10)+Skills!O20</f>
        <v/>
      </c>
      <c r="G813">
        <f>Skills!G20*IF(Skills!H20&gt;0,Skills!I20/Skills!H20,1)</f>
        <v/>
      </c>
      <c r="H813">
        <f>1-(1-Skills!J20/100)^Skills!K20</f>
        <v/>
      </c>
      <c r="I813" t="inlineStr">
        <is>
          <t>1</t>
        </is>
      </c>
      <c r="J813" t="inlineStr"/>
      <c r="K813" t="inlineStr"/>
      <c r="L813" t="inlineStr"/>
      <c r="M813" t="inlineStr"/>
      <c r="N813" t="inlineStr"/>
      <c r="O813" t="n">
        <v>0</v>
      </c>
      <c r="P813">
        <f>IF(B830=0,0,O813/B830)</f>
        <v/>
      </c>
      <c r="Q813">
        <f>IFERROR(1/IF(Inputs!$B$4="pvp",15,MAX(0.1,Skills!D20-IF(Skills!E20=TRUE,Inputs!$B$31,0))),0)</f>
        <v/>
      </c>
      <c r="R813">
        <f>IF(AND(Inputs!$B$4&lt;&gt;"pvp",Inputs!$B$35&gt;0),(INT(Inputs!$B$35/IF(Inputs!$B$4="pvp",15,MAX(0.1,Skills!D20-IF(Skills!E20=TRUE,Inputs!$B$31,0))))+1),0)</f>
        <v/>
      </c>
      <c r="S813">
        <f>IFERROR(O813/N813,0)</f>
        <v/>
      </c>
    </row>
    <row r="814">
      <c r="A814">
        <f>Skills!A21</f>
        <v/>
      </c>
      <c r="B814">
        <f>Skills!B21</f>
        <v/>
      </c>
      <c r="C814">
        <f>Inputs!$B$3&gt;=33</f>
        <v/>
      </c>
      <c r="D814">
        <f>IF(Skills!C21=1,60+Inputs!$B$24+Inputs!$B$28,IF(Skills!C21=2,90+Inputs!$B$25+Inputs!$B$28,IF(Skills!C21=3,120+Inputs!$B$26+Inputs!$B$28,MAX(0,(Inputs!$B$3-100)*3)+(Inputs!$B$27+1)+Inputs!$B$28)))</f>
        <v/>
      </c>
      <c r="E814">
        <f>INDEX(FactorTable!$B$2:$Y$301, MATCH(ROUND(MIN(300,MAX(1,D814)),0), FactorTable!$A$2:$A$301,0), Skills!M21+1)</f>
        <v/>
      </c>
      <c r="F814">
        <f>IF(Skills!N21=TRUE,(Skills!L21/10)*(E814/1000),Skills!L21/10)+Skills!O21</f>
        <v/>
      </c>
      <c r="G814">
        <f>Skills!G21*IF(Skills!H21&gt;0,Skills!I21/Skills!H21,1)</f>
        <v/>
      </c>
      <c r="H814">
        <f>1-(1-Skills!J21/100)^Skills!K21</f>
        <v/>
      </c>
      <c r="I814" t="inlineStr">
        <is>
          <t>1</t>
        </is>
      </c>
      <c r="J814" t="inlineStr"/>
      <c r="K814" t="inlineStr"/>
      <c r="L814" t="inlineStr"/>
      <c r="M814" t="inlineStr"/>
      <c r="N814" t="inlineStr"/>
      <c r="O814" t="n">
        <v>0</v>
      </c>
      <c r="P814">
        <f>IF(B830=0,0,O814/B830)</f>
        <v/>
      </c>
      <c r="Q814" t="n">
        <v>0</v>
      </c>
      <c r="R814" t="n">
        <v>0</v>
      </c>
      <c r="S814">
        <f>IFERROR(O814/N814,0)</f>
        <v/>
      </c>
    </row>
    <row r="815">
      <c r="A815">
        <f>Skills!A22</f>
        <v/>
      </c>
      <c r="B815">
        <f>Skills!B22</f>
        <v/>
      </c>
      <c r="C815">
        <f>Inputs!$B$3&gt;=43</f>
        <v/>
      </c>
      <c r="D815">
        <f>IF(Skills!C22=1,60+Inputs!$B$24+Inputs!$B$28,IF(Skills!C22=2,90+Inputs!$B$25+Inputs!$B$28,IF(Skills!C22=3,120+Inputs!$B$26+Inputs!$B$28,MAX(0,(Inputs!$B$3-100)*3)+(Inputs!$B$27+1)+Inputs!$B$28)))</f>
        <v/>
      </c>
      <c r="E815">
        <f>INDEX(FactorTable!$B$2:$Y$301, MATCH(ROUND(MIN(300,MAX(1,D815)),0), FactorTable!$A$2:$A$301,0), Skills!M22+1)</f>
        <v/>
      </c>
      <c r="F815">
        <f>IF(Skills!N22=TRUE,(Skills!L22/10)*(E815/1000),Skills!L22/10)+Skills!O22</f>
        <v/>
      </c>
      <c r="G815">
        <f>Skills!G22*IF(Skills!H22&gt;0,Skills!I22/Skills!H22,1)</f>
        <v/>
      </c>
      <c r="H815">
        <f>1-(1-Skills!J22/100)^Skills!K22</f>
        <v/>
      </c>
      <c r="I815" t="inlineStr">
        <is>
          <t>1</t>
        </is>
      </c>
      <c r="J815" t="inlineStr"/>
      <c r="K815" t="inlineStr"/>
      <c r="L815" t="inlineStr"/>
      <c r="M815" t="inlineStr"/>
      <c r="N815" t="inlineStr"/>
      <c r="O815" t="n">
        <v>0</v>
      </c>
      <c r="P815">
        <f>IF(B830=0,0,O815/B830)</f>
        <v/>
      </c>
      <c r="Q815" t="n">
        <v>0</v>
      </c>
      <c r="R815" t="n">
        <v>0</v>
      </c>
      <c r="S815">
        <f>IFERROR(O815/N815,0)</f>
        <v/>
      </c>
    </row>
    <row r="816">
      <c r="A816">
        <f>Skills!A23</f>
        <v/>
      </c>
      <c r="B816">
        <f>Skills!B23</f>
        <v/>
      </c>
      <c r="C816">
        <f>Inputs!$B$3&gt;=120</f>
        <v/>
      </c>
      <c r="D816">
        <f>IF(Skills!C23=1,60+Inputs!$B$24+Inputs!$B$28,IF(Skills!C23=2,90+Inputs!$B$25+Inputs!$B$28,IF(Skills!C23=3,120+Inputs!$B$26+Inputs!$B$28,MAX(0,(Inputs!$B$3-100)*3)+(Inputs!$B$27+1)+Inputs!$B$28)))</f>
        <v/>
      </c>
      <c r="E816">
        <f>INDEX(FactorTable!$B$2:$Y$301, MATCH(ROUND(MIN(300,MAX(1,D816)),0), FactorTable!$A$2:$A$301,0), Skills!M23+1)</f>
        <v/>
      </c>
      <c r="F816">
        <f>IF(Skills!N23=TRUE,(Skills!L23/10)*(E816/1000),Skills!L23/10)+Skills!O23</f>
        <v/>
      </c>
      <c r="G816">
        <f>Skills!G23*IF(Skills!H23&gt;0,Skills!I23/Skills!H23,1)</f>
        <v/>
      </c>
      <c r="H816">
        <f>1-(1-Skills!J23/100)^Skills!K23</f>
        <v/>
      </c>
      <c r="I816" t="inlineStr">
        <is>
          <t>1</t>
        </is>
      </c>
      <c r="J816" t="inlineStr"/>
      <c r="K816" t="inlineStr"/>
      <c r="L816" t="inlineStr"/>
      <c r="M816" t="inlineStr"/>
      <c r="N816" t="inlineStr"/>
      <c r="O816" t="n">
        <v>0</v>
      </c>
      <c r="P816">
        <f>IF(B830=0,0,O816/B830)</f>
        <v/>
      </c>
      <c r="Q816" t="n">
        <v>0</v>
      </c>
      <c r="R816" t="n">
        <v>0</v>
      </c>
      <c r="S816">
        <f>IFERROR(O816/N816,0)</f>
        <v/>
      </c>
    </row>
    <row r="817">
      <c r="A817">
        <f>Skills!A24</f>
        <v/>
      </c>
      <c r="B817">
        <f>Skills!B24</f>
        <v/>
      </c>
      <c r="C817">
        <f>Inputs!$B$3&gt;=120</f>
        <v/>
      </c>
      <c r="D817">
        <f>IF(Skills!C24=1,60+Inputs!$B$24+Inputs!$B$28,IF(Skills!C24=2,90+Inputs!$B$25+Inputs!$B$28,IF(Skills!C24=3,120+Inputs!$B$26+Inputs!$B$28,MAX(0,(Inputs!$B$3-100)*3)+(Inputs!$B$27+1)+Inputs!$B$28)))</f>
        <v/>
      </c>
      <c r="E817">
        <f>INDEX(FactorTable!$B$2:$Y$301, MATCH(ROUND(MIN(300,MAX(1,D817)),0), FactorTable!$A$2:$A$301,0), Skills!M24+1)</f>
        <v/>
      </c>
      <c r="F817">
        <f>IF(Skills!N24=TRUE,(Skills!L24/10)*(E817/1000),Skills!L24/10)+Skills!O24</f>
        <v/>
      </c>
      <c r="G817">
        <f>Skills!G24*IF(Skills!H24&gt;0,Skills!I24/Skills!H24,1)</f>
        <v/>
      </c>
      <c r="H817">
        <f>1-(1-Skills!J24/100)^Skills!K24</f>
        <v/>
      </c>
      <c r="I817" t="inlineStr">
        <is>
          <t>1</t>
        </is>
      </c>
      <c r="J817" t="inlineStr"/>
      <c r="K817" t="inlineStr"/>
      <c r="L817" t="inlineStr"/>
      <c r="M817" t="inlineStr"/>
      <c r="N817" t="inlineStr"/>
      <c r="O817" t="n">
        <v>0</v>
      </c>
      <c r="P817">
        <f>IF(B830=0,0,O817/B830)</f>
        <v/>
      </c>
      <c r="Q817" t="n">
        <v>0</v>
      </c>
      <c r="R817" t="n">
        <v>0</v>
      </c>
      <c r="S817">
        <f>IFERROR(O817/N817,0)</f>
        <v/>
      </c>
    </row>
    <row r="818">
      <c r="A818">
        <f>Skills!A25</f>
        <v/>
      </c>
      <c r="B818">
        <f>Skills!B25</f>
        <v/>
      </c>
      <c r="C818">
        <f>Inputs!$B$3&gt;=125</f>
        <v/>
      </c>
      <c r="D818">
        <f>IF(Skills!C25=1,60+Inputs!$B$24+Inputs!$B$28,IF(Skills!C25=2,90+Inputs!$B$25+Inputs!$B$28,IF(Skills!C25=3,120+Inputs!$B$26+Inputs!$B$28,MAX(0,(Inputs!$B$3-100)*3)+(Inputs!$B$27+1)+Inputs!$B$28)))</f>
        <v/>
      </c>
      <c r="E818">
        <f>INDEX(FactorTable!$B$2:$Y$301, MATCH(ROUND(MIN(300,MAX(1,D818)),0), FactorTable!$A$2:$A$301,0), Skills!M25+1)</f>
        <v/>
      </c>
      <c r="F818">
        <f>IF(Skills!N25=TRUE,(Skills!L25/10)*(E818/1000),Skills!L25/10)+Skills!O25</f>
        <v/>
      </c>
      <c r="G818">
        <f>Skills!G25*IF(Skills!H25&gt;0,Skills!I25/Skills!H25,1)</f>
        <v/>
      </c>
      <c r="H818">
        <f>1-(1-Skills!J25/100)^Skills!K25</f>
        <v/>
      </c>
      <c r="I818" t="inlineStr">
        <is>
          <t>1</t>
        </is>
      </c>
      <c r="J818" t="inlineStr"/>
      <c r="K818" t="inlineStr"/>
      <c r="L818" t="inlineStr"/>
      <c r="M818" t="inlineStr"/>
      <c r="N818" t="inlineStr"/>
      <c r="O818" t="n">
        <v>0</v>
      </c>
      <c r="P818">
        <f>IF(B830=0,0,O818/B830)</f>
        <v/>
      </c>
      <c r="Q818" t="n">
        <v>0</v>
      </c>
      <c r="R818" t="n">
        <v>0</v>
      </c>
      <c r="S818">
        <f>IFERROR(O818/N818,0)</f>
        <v/>
      </c>
    </row>
    <row r="819">
      <c r="A819">
        <f>Skills!A26</f>
        <v/>
      </c>
      <c r="B819">
        <f>Skills!B26</f>
        <v/>
      </c>
      <c r="C819">
        <f>Inputs!$B$3&gt;=107</f>
        <v/>
      </c>
      <c r="D819">
        <f>IF(Skills!C26=1,60+Inputs!$B$24+Inputs!$B$28,IF(Skills!C26=2,90+Inputs!$B$25+Inputs!$B$28,IF(Skills!C26=3,120+Inputs!$B$26+Inputs!$B$28,MAX(0,(Inputs!$B$3-100)*3)+(Inputs!$B$27+1)+Inputs!$B$28)))</f>
        <v/>
      </c>
      <c r="E819">
        <f>INDEX(FactorTable!$B$2:$Y$301, MATCH(ROUND(MIN(300,MAX(1,D819)),0), FactorTable!$A$2:$A$301,0), Skills!M26+1)</f>
        <v/>
      </c>
      <c r="F819">
        <f>IF(Skills!N26=TRUE,(Skills!L26/10)*(E819/1000),Skills!L26/10)+Skills!O26</f>
        <v/>
      </c>
      <c r="G819">
        <f>Skills!G26*IF(Skills!H26&gt;0,Skills!I26/Skills!H26,1)</f>
        <v/>
      </c>
      <c r="H819">
        <f>1-(1-Skills!J26/100)^Skills!K26</f>
        <v/>
      </c>
      <c r="I819" t="inlineStr">
        <is>
          <t>1</t>
        </is>
      </c>
      <c r="J819" t="inlineStr"/>
      <c r="K819" t="inlineStr"/>
      <c r="L819" t="inlineStr"/>
      <c r="M819" t="inlineStr"/>
      <c r="N819" t="inlineStr"/>
      <c r="O819" t="n">
        <v>0</v>
      </c>
      <c r="P819">
        <f>IF(B830=0,0,O819/B830)</f>
        <v/>
      </c>
      <c r="Q819" t="n">
        <v>0</v>
      </c>
      <c r="R819" t="n">
        <v>0</v>
      </c>
      <c r="S819">
        <f>IFERROR(O819/N819,0)</f>
        <v/>
      </c>
    </row>
    <row r="821">
      <c r="A821" t="inlineStr">
        <is>
          <t>Attack% Bucket Multiplier</t>
        </is>
      </c>
      <c r="B821">
        <f>(1+(((C806=TRUE)*F806*IF(AND(Inputs!$B$4&lt;&gt;"pvp",Inputs!$B$35&gt;0),(((S806-1)*(Skills!T13*(1+Inputs!$B$33/100))+MIN((Skills!T13*(1+Inputs!$B$33/100)),MAX(0,Inputs!$B$35-((S806-1)*Skills!D13))))/Inputs!$B$35),IF(Inputs!$B$4="pvp",MIN((Skills!T13*(1+Inputs!$B$33/100)),15)/15,(Skills!T13*(1+Inputs!$B$33/100))/Skills!D13)))+((C807=TRUE)*F807*IF(AND(Inputs!$B$4&lt;&gt;"pvp",Inputs!$B$35&gt;0),(((S807-1)*(Skills!T14*(1+Inputs!$B$33/100))+MIN((Skills!T14*(1+Inputs!$B$33/100)),MAX(0,Inputs!$B$35-((S807-1)*Skills!D14))))/Inputs!$B$35),IF(Inputs!$B$4="pvp",MIN((Skills!T14*(1+Inputs!$B$33/100)),15)/15,(Skills!T14*(1+Inputs!$B$33/100))/Skills!D14)))+((C808=TRUE)*F808*IF(AND(Inputs!$B$4&lt;&gt;"pvp",Inputs!$B$35&gt;0),(((S808-1)*(Skills!T15*(1+Inputs!$B$33/100))+MIN((Skills!T15*(1+Inputs!$B$33/100)),MAX(0,Inputs!$B$35-((S808-1)*Skills!D15))))/Inputs!$B$35),IF(Inputs!$B$4="pvp",MIN((Skills!T15*(1+Inputs!$B$33/100)),15)/15,(Skills!T15*(1+Inputs!$B$33/100))/Skills!D15)))+((C809=TRUE)*F809*IF(AND(Inputs!$B$4&lt;&gt;"pvp",Inputs!$B$35&gt;0),(((S809-1)*(Skills!T16*(1+Inputs!$B$33/100))+MIN((Skills!T16*(1+Inputs!$B$33/100)),MAX(0,Inputs!$B$35-((S809-1)*Skills!D16))))/Inputs!$B$35),IF(Inputs!$B$4="pvp",MIN((Skills!T16*(1+Inputs!$B$33/100)),15)/15,(Skills!T16*(1+Inputs!$B$33/100))/Skills!D16)))+0)/100)</f>
        <v/>
      </c>
    </row>
    <row r="822">
      <c r="A822" t="inlineStr">
        <is>
          <t>Global Crit Rate Bonus % (Lord of Darkness)</t>
        </is>
      </c>
      <c r="B822">
        <f>((C811=TRUE)*F811*(Skills!J18/100)*IF(AND(Inputs!$B$4&lt;&gt;"pvp",Inputs!$B$35&gt;0),(((S811-1)*(Skills!T18*(1+Inputs!$B$33/100))+MIN((Skills!T18*(1+Inputs!$B$33/100)),MAX(0,Inputs!$B$35-((S811-1)*Skills!D18))))/Inputs!$B$35),IF(Inputs!$B$4="pvp",MIN((Skills!T18*(1+Inputs!$B$33/100)),15)/15,(Skills!T18*(1+Inputs!$B$33/100))/Skills!D18)))</f>
        <v/>
      </c>
    </row>
    <row r="823">
      <c r="A823" t="inlineStr">
        <is>
          <t>Attack Speed Buff Bonus %</t>
        </is>
      </c>
      <c r="B823">
        <f>((C813=TRUE)*F813*IF(AND(Inputs!$B$4&lt;&gt;"pvp",Inputs!$B$35&gt;0),(((S813-1)*(Skills!T20*(1+Inputs!$B$33/100))+MIN((Skills!T20*(1+Inputs!$B$33/100)),MAX(0,Inputs!$B$35-((S813-1)*Skills!D20))))/Inputs!$B$35),IF(Inputs!$B$4="pvp",MIN((Skills!T20*(1+Inputs!$B$33/100)),15)/15,(Skills!T20*(1+Inputs!$B$33/100))/Skills!D20)))</f>
        <v/>
      </c>
    </row>
    <row r="824">
      <c r="A824" t="inlineStr">
        <is>
          <t>Actions Per Second</t>
        </is>
      </c>
      <c r="B824">
        <f>1+MIN(150,150*(1-(1-(Inputs!$B$10+((C814=TRUE)*(F814-Calc!F21)))/150)*(1-B823/150)))/100</f>
        <v/>
      </c>
    </row>
    <row r="825">
      <c r="A825" t="inlineStr">
        <is>
          <t>Skill + Buff Cast Rate</t>
        </is>
      </c>
      <c r="B825">
        <f>IF(AND(Inputs!$B$4&lt;&gt;"pvp",Inputs!$B$35&gt;0),SUMPRODUCT((Skills!E2:E26=TRUE)*(C795:C819=TRUE)*R795:R819*Skills!F2:F26)/Inputs!$B$35,SUMPRODUCT((Skills!E2:E26=TRUE)*(C795:C819=TRUE)*Q795:Q819*Skills!F2:F26))</f>
        <v/>
      </c>
    </row>
    <row r="826">
      <c r="A826" t="inlineStr">
        <is>
          <t>Dark Impale Casts Per Second</t>
        </is>
      </c>
      <c r="B826">
        <f>MAX(0,B824-B825)</f>
        <v/>
      </c>
    </row>
    <row r="827">
      <c r="A827" t="inlineStr">
        <is>
          <t>Global Critical Damage Bonus % (Lord of Darkness)</t>
        </is>
      </c>
      <c r="B827">
        <f>((C812=TRUE)*F812*(Skills!J19/100)*IF(AND(Inputs!$B$4&lt;&gt;"pvp",Inputs!$B$35&gt;0),(((S812-1)*(Skills!T19*(1+Inputs!$B$33/100))+MIN((Skills!T19*(1+Inputs!$B$33/100)),MAX(0,Inputs!$B$35-((S812-1)*Skills!D19))))/Inputs!$B$35),IF(Inputs!$B$4="pvp",MIN((Skills!T19*(1+Inputs!$B$33/100)),15)/15,(Skills!T19*(1+Inputs!$B$33/100))/Skills!D19)))</f>
        <v/>
      </c>
    </row>
    <row r="828">
      <c r="A828" t="inlineStr">
        <is>
          <t>Global Final Damage Bonus % (unused)</t>
        </is>
      </c>
      <c r="B828" t="n">
        <v>0</v>
      </c>
    </row>
    <row r="830">
      <c r="A830" s="5" t="inlineStr">
        <is>
          <t>TOTAL DPS</t>
        </is>
      </c>
      <c r="B830" s="5">
        <f>SUM(O795:O819)</f>
        <v/>
      </c>
    </row>
    <row r="833">
      <c r="A833" s="5" t="inlineStr">
        <is>
          <t>Stat: Skill Level Bonus — All Skills</t>
        </is>
      </c>
    </row>
    <row r="834">
      <c r="A834" s="8" t="inlineStr">
        <is>
          <t>Key</t>
        </is>
      </c>
      <c r="B834" s="8" t="inlineStr">
        <is>
          <t>Name</t>
        </is>
      </c>
      <c r="C834" s="8" t="inlineStr">
        <is>
          <t>Unlocked</t>
        </is>
      </c>
      <c r="D834" s="8" t="inlineStr">
        <is>
          <t>InputLevel</t>
        </is>
      </c>
      <c r="E834" s="8" t="inlineStr">
        <is>
          <t>Factor</t>
        </is>
      </c>
      <c r="F834" s="8" t="inlineStr">
        <is>
          <t>CoefficientPercent</t>
        </is>
      </c>
      <c r="G834" s="8" t="inlineStr">
        <is>
          <t>EffectiveHits</t>
        </is>
      </c>
      <c r="H834" s="8" t="inlineStr">
        <is>
          <t>ProcProbability</t>
        </is>
      </c>
      <c r="I834" s="8" t="inlineStr">
        <is>
          <t>MapleHeroMultiplier</t>
        </is>
      </c>
      <c r="J834" s="8" t="inlineStr">
        <is>
          <t>BaseDamage</t>
        </is>
      </c>
      <c r="K834" s="8" t="inlineStr">
        <is>
          <t>BaseHitDamage</t>
        </is>
      </c>
      <c r="L834" s="8" t="inlineStr">
        <is>
          <t>NonCritAvg</t>
        </is>
      </c>
      <c r="M834" s="8" t="inlineStr">
        <is>
          <t>CritAvg</t>
        </is>
      </c>
      <c r="N834" s="8" t="inlineStr">
        <is>
          <t>ExpectedDamage(perHit)</t>
        </is>
      </c>
      <c r="O834" s="8" t="inlineStr">
        <is>
          <t>DPS</t>
        </is>
      </c>
      <c r="P834" s="8" t="inlineStr">
        <is>
          <t>% of Total</t>
        </is>
      </c>
      <c r="Q834" s="8" t="inlineStr">
        <is>
          <t>InvCooldown</t>
        </is>
      </c>
      <c r="R834" s="8" t="inlineStr">
        <is>
          <t>CastsInFight</t>
        </is>
      </c>
      <c r="S834" s="8" t="inlineStr">
        <is>
          <t>HitRate(perSec)</t>
        </is>
      </c>
      <c r="U834" t="inlineStr">
        <is>
          <t>helpers</t>
        </is>
      </c>
    </row>
    <row r="835">
      <c r="A835">
        <f>Skills!A2</f>
        <v/>
      </c>
      <c r="B835">
        <f>Skills!B2</f>
        <v/>
      </c>
      <c r="C835">
        <f>Inputs!$B$3&gt;=100</f>
        <v/>
      </c>
      <c r="D835" t="inlineStr"/>
      <c r="E835" t="inlineStr"/>
      <c r="F835">
        <f>U837+Skills!O2</f>
        <v/>
      </c>
      <c r="G835">
        <f>Skills!G2*IF(Skills!H2&gt;0,Skills!I2/Skills!H2,1)</f>
        <v/>
      </c>
      <c r="H835">
        <f>1-(1-Skills!J2/100)^Skills!K2</f>
        <v/>
      </c>
      <c r="I835" t="inlineStr">
        <is>
          <t>1</t>
        </is>
      </c>
      <c r="J835">
        <f>(Inputs!$B$5*(1+Inputs!$B$6/100))*(F835/100)</f>
        <v/>
      </c>
      <c r="K835">
        <f>J835*(1+((Inputs!$B$11*(1+Inputs!$B$12/100))*0.01+Inputs!$B$13*0.0025)/100)*(1+Inputs!$B$14/100)*(1+IF(Inputs!$B$4="pvp",0,(1-Summary!$B$55)*(Inputs!$B$19+0+Skills!P2+((C850=TRUE)*F850*IF(AND(Inputs!$B$4&lt;&gt;"pvp",Inputs!$B$35&gt;0),(((S850-1)*(Skills!T17*(1+Inputs!$B$33/100))+MIN((Skills!T17*(1+Inputs!$B$33/100)),MAX(0,Inputs!$B$35-((S850-1)*Skills!D17))))/Inputs!$B$35),IF(Inputs!$B$4="pvp",MIN((Skills!T17*(1+Inputs!$B$33/100)),15)/15,(Skills!T17*(1+Inputs!$B$33/100))/Skills!D17)))+((C847=TRUE)*IF(Inputs!$B$4="pvp",20,(1-Summary!$B$55)*(20)+Summary!$B$55*(0))*IF(AND(Inputs!$B$4&lt;&gt;"pvp",Inputs!$B$35&gt;0),(((S847-1)*(Skills!T14*(1+Inputs!$B$33/100))+MIN((Skills!T14*(1+Inputs!$B$33/100)),MAX(0,Inputs!$B$35-((S847-1)*Skills!D14))))/Inputs!$B$35),IF(Inputs!$B$4="pvp",MIN((Skills!T14*(1+Inputs!$B$33/100)),15)/15,(Skills!T14*(1+Inputs!$B$33/100))/Skills!D14))))+Summary!$B$55*(Inputs!$B$20+Skills!Q2+((C850=TRUE)*F850*IF(AND(Inputs!$B$4&lt;&gt;"pvp",Inputs!$B$35&gt;0),(((S850-1)*(Skills!T17*(1+Inputs!$B$33/100))+MIN((Skills!T17*(1+Inputs!$B$33/100)),MAX(0,Inputs!$B$35-((S850-1)*Skills!D17))))/Inputs!$B$35),IF(Inputs!$B$4="pvp",MIN((Skills!T17*(1+Inputs!$B$33/100)),15)/15,(Skills!T17*(1+Inputs!$B$33/100))/Skills!D17)))))/100)*(1+Inputs!$B$15/100)*(5000/(6000+Inputs!$B$7*(1-(Inputs!$B$18+0)/100)))*(1+(Inputs!$B$23+((C858=TRUE)*(F858-Calc!F25))+((C859=TRUE)*(F859-Calc!F26))+B868)/100)*(1+(IF(Skills!A2="DARK_IMPALE",Inputs!$B$16+0,Inputs!$B$17+((C856=TRUE)*(F856-Calc!F23))))/100)*((1+(((C846=TRUE)*F846*IF(AND(Inputs!$B$4&lt;&gt;"pvp",Inputs!$B$35&gt;0),(((S846-1)*(Skills!T13*(1+Inputs!$B$33/100))+MIN((Skills!T13*(1+Inputs!$B$33/100)),MAX(0,Inputs!$B$35-((S846-1)*Skills!D13))))/Inputs!$B$35),IF(Inputs!$B$4="pvp",MIN((Skills!T13*(1+Inputs!$B$33/100)),15)/15,(Skills!T13*(1+Inputs!$B$33/100))/Skills!D13)))+((C847=TRUE)*F847*IF(AND(Inputs!$B$4&lt;&gt;"pvp",Inputs!$B$35&gt;0),(((S847-1)*(Skills!T14*(1+Inputs!$B$33/100))+MIN((Skills!T14*(1+Inputs!$B$33/100)),MAX(0,Inputs!$B$35-((S847-1)*Skills!D14))))/Inputs!$B$35),IF(Inputs!$B$4="pvp",MIN((Skills!T14*(1+Inputs!$B$33/100)),15)/15,(Skills!T14*(1+Inputs!$B$33/100))/Skills!D14)))+((C848=TRUE)*F848*IF(AND(Inputs!$B$4&lt;&gt;"pvp",Inputs!$B$35&gt;0),(((S848-1)*(Skills!T15*(1+Inputs!$B$33/100))+MIN((Skills!T15*(1+Inputs!$B$33/100)),MAX(0,Inputs!$B$35-((S848-1)*Skills!D15))))/Inputs!$B$35),IF(Inputs!$B$4="pvp",MIN((Skills!T15*(1+Inputs!$B$33/100)),15)/15,(Skills!T15*(1+Inputs!$B$33/100))/Skills!D15)))+((C849=TRUE)*F849*IF(AND(Inputs!$B$4&lt;&gt;"pvp",Inputs!$B$35&gt;0),(((S849-1)*(Skills!T16*(1+Inputs!$B$33/100))+MIN((Skills!T16*(1+Inputs!$B$33/100)),MAX(0,Inputs!$B$35-((S849-1)*Skills!D16))))/Inputs!$B$35),IF(Inputs!$B$4="pvp",MIN((Skills!T16*(1+Inputs!$B$33/100)),15)/15,(Skills!T16*(1+Inputs!$B$33/100))/Skills!D16)))+0)/100)*I835)</f>
        <v/>
      </c>
      <c r="L835">
        <f>K835*(MIN(Inputs!$B$21+((C855=TRUE)*(F855-Calc!F22)),Inputs!$B$22+((C857=TRUE)*(F857-Calc!F24)))/100+(Inputs!$B$22+((C857=TRUE)*(F857-Calc!F24)))/100)/2</f>
        <v/>
      </c>
      <c r="M835">
        <f>L835*(1+(Inputs!$B$9+0+B867)/100)</f>
        <v/>
      </c>
      <c r="N835">
        <f>L835*(1-MIN((Inputs!$B$8+0+B862),100)/100)+M835*(MIN((Inputs!$B$8+0+B862),100)/100)</f>
        <v/>
      </c>
      <c r="O835">
        <f>IF(C835,Skills!G2*N835*B866*IF(Inputs!$B$4="pvp",1,(1-Summary!$B$55)*(1)+Summary!$B$55*(MIN((6+Inputs!$B$32),Inputs!$B$37))),0)</f>
        <v/>
      </c>
      <c r="P835">
        <f>IF(B870=0,0,O835/B870)</f>
        <v/>
      </c>
      <c r="Q835" t="n">
        <v>0</v>
      </c>
      <c r="R835" t="n">
        <v>0</v>
      </c>
      <c r="S835">
        <f>IFERROR(O835/N835,0)</f>
        <v/>
      </c>
      <c r="U835">
        <f>MAX(0,(Inputs!$B$3-100)*3)+Inputs!$B$27+(Inputs!$B$28+1)</f>
        <v/>
      </c>
    </row>
    <row r="836">
      <c r="A836">
        <f>Skills!A3</f>
        <v/>
      </c>
      <c r="B836">
        <f>Skills!B3</f>
        <v/>
      </c>
      <c r="C836">
        <f>Inputs!$B$3&gt;=50</f>
        <v/>
      </c>
      <c r="D836">
        <f>IF(Skills!C3=1,60+Inputs!$B$24+(Inputs!$B$28+1),IF(Skills!C3=2,90+Inputs!$B$25+(Inputs!$B$28+1),IF(Skills!C3=3,120+Inputs!$B$26+(Inputs!$B$28+1),MAX(0,(Inputs!$B$3-100)*3)+Inputs!$B$27+(Inputs!$B$28+1))))</f>
        <v/>
      </c>
      <c r="E836">
        <f>INDEX(FactorTable!$B$2:$Y$301, MATCH(ROUND(MIN(300,MAX(1,D836)),0), FactorTable!$A$2:$A$301,0), Skills!M3+1)</f>
        <v/>
      </c>
      <c r="F836">
        <f>IF(Skills!N3=TRUE,(Skills!L3/10)*(E836/1000),Skills!L3/10)+Skills!O3</f>
        <v/>
      </c>
      <c r="G836" t="inlineStr"/>
      <c r="H836" t="inlineStr"/>
      <c r="I836" t="inlineStr">
        <is>
          <t>1</t>
        </is>
      </c>
      <c r="J836" t="inlineStr"/>
      <c r="K836" t="inlineStr"/>
      <c r="L836" t="inlineStr"/>
      <c r="M836" t="inlineStr"/>
      <c r="N836" t="inlineStr"/>
      <c r="O836" t="inlineStr"/>
      <c r="P836" t="inlineStr"/>
      <c r="Q836" t="inlineStr"/>
      <c r="R836" t="inlineStr"/>
      <c r="S836" t="inlineStr"/>
      <c r="U836">
        <f>INDEX(FactorTable!$B$2:$Y$301, MATCH(ROUND(MIN(300,MAX(1,U835)),0), FactorTable!$A$2:$A$301,0), 22)</f>
        <v/>
      </c>
    </row>
    <row r="837">
      <c r="A837">
        <f>Skills!A4</f>
        <v/>
      </c>
      <c r="B837">
        <f>Skills!B4</f>
        <v/>
      </c>
      <c r="C837">
        <f>Inputs!$B$3&gt;=105</f>
        <v/>
      </c>
      <c r="D837">
        <f>IF(Skills!C4=1,60+Inputs!$B$24+(Inputs!$B$28+1),IF(Skills!C4=2,90+Inputs!$B$25+(Inputs!$B$28+1),IF(Skills!C4=3,120+Inputs!$B$26+(Inputs!$B$28+1),MAX(0,(Inputs!$B$3-100)*3)+Inputs!$B$27+(Inputs!$B$28+1))))</f>
        <v/>
      </c>
      <c r="E837">
        <f>INDEX(FactorTable!$B$2:$Y$301, MATCH(ROUND(MIN(300,MAX(1,D837)),0), FactorTable!$A$2:$A$301,0), Skills!M4+1)</f>
        <v/>
      </c>
      <c r="F837">
        <f>IF(Skills!N4=TRUE,(Skills!L4/10)*(E837/1000),Skills!L4/10)+Skills!O4</f>
        <v/>
      </c>
      <c r="G837" t="inlineStr"/>
      <c r="H837" t="inlineStr"/>
      <c r="I837" t="inlineStr">
        <is>
          <t>1</t>
        </is>
      </c>
      <c r="J837" t="inlineStr"/>
      <c r="K837" t="inlineStr"/>
      <c r="L837" t="inlineStr"/>
      <c r="M837" t="inlineStr"/>
      <c r="N837" t="inlineStr"/>
      <c r="O837" t="inlineStr"/>
      <c r="P837" t="inlineStr"/>
      <c r="Q837" t="inlineStr"/>
      <c r="R837" t="inlineStr"/>
      <c r="S837" t="inlineStr"/>
      <c r="U837">
        <f>290*U836/1000</f>
        <v/>
      </c>
    </row>
    <row r="838">
      <c r="A838">
        <f>Skills!A5</f>
        <v/>
      </c>
      <c r="B838">
        <f>Skills!B5</f>
        <v/>
      </c>
      <c r="C838">
        <f>Inputs!$B$3&gt;=117</f>
        <v/>
      </c>
      <c r="D838">
        <f>IF(Skills!C5=1,60+Inputs!$B$24+(Inputs!$B$28+1),IF(Skills!C5=2,90+Inputs!$B$25+(Inputs!$B$28+1),IF(Skills!C5=3,120+Inputs!$B$26+(Inputs!$B$28+1),MAX(0,(Inputs!$B$3-100)*3)+Inputs!$B$27+(Inputs!$B$28+1))))</f>
        <v/>
      </c>
      <c r="E838">
        <f>INDEX(FactorTable!$B$2:$Y$301, MATCH(ROUND(MIN(300,MAX(1,D838)),0), FactorTable!$A$2:$A$301,0), Skills!M5+1)</f>
        <v/>
      </c>
      <c r="F838">
        <f>IF(Skills!N5=TRUE,(Skills!L5/10)*(E838/1000),Skills!L5/10)+Skills!O5</f>
        <v/>
      </c>
      <c r="G838">
        <f>Skills!G5*IF(Skills!H5&gt;0,Skills!I5/Skills!H5,1)</f>
        <v/>
      </c>
      <c r="H838">
        <f>1-(1-Skills!J5/100)^Skills!K5</f>
        <v/>
      </c>
      <c r="I838" t="inlineStr">
        <is>
          <t>1</t>
        </is>
      </c>
      <c r="J838">
        <f>(Inputs!$B$5*(1+Inputs!$B$6/100))*(F838/100)</f>
        <v/>
      </c>
      <c r="K838">
        <f>J838*(1+((Inputs!$B$11*(1+Inputs!$B$12/100))*0.01+Inputs!$B$13*0.0025)/100)*(1+Inputs!$B$14/100)*(1+IF(Inputs!$B$4="pvp",0,(1-Summary!$B$55)*(Inputs!$B$19+0+Skills!P5+((C850=TRUE)*F850*IF(AND(Inputs!$B$4&lt;&gt;"pvp",Inputs!$B$35&gt;0),(((S850-1)*(Skills!T17*(1+Inputs!$B$33/100))+MIN((Skills!T17*(1+Inputs!$B$33/100)),MAX(0,Inputs!$B$35-((S850-1)*Skills!D17))))/Inputs!$B$35),IF(Inputs!$B$4="pvp",MIN((Skills!T17*(1+Inputs!$B$33/100)),15)/15,(Skills!T17*(1+Inputs!$B$33/100))/Skills!D17)))+((C847=TRUE)*IF(Inputs!$B$4="pvp",20,(1-Summary!$B$55)*(20)+Summary!$B$55*(0))*IF(AND(Inputs!$B$4&lt;&gt;"pvp",Inputs!$B$35&gt;0),(((S847-1)*(Skills!T14*(1+Inputs!$B$33/100))+MIN((Skills!T14*(1+Inputs!$B$33/100)),MAX(0,Inputs!$B$35-((S847-1)*Skills!D14))))/Inputs!$B$35),IF(Inputs!$B$4="pvp",MIN((Skills!T14*(1+Inputs!$B$33/100)),15)/15,(Skills!T14*(1+Inputs!$B$33/100))/Skills!D14))))+Summary!$B$55*(Inputs!$B$20+Skills!Q5+((C850=TRUE)*F850*IF(AND(Inputs!$B$4&lt;&gt;"pvp",Inputs!$B$35&gt;0),(((S850-1)*(Skills!T17*(1+Inputs!$B$33/100))+MIN((Skills!T17*(1+Inputs!$B$33/100)),MAX(0,Inputs!$B$35-((S850-1)*Skills!D17))))/Inputs!$B$35),IF(Inputs!$B$4="pvp",MIN((Skills!T17*(1+Inputs!$B$33/100)),15)/15,(Skills!T17*(1+Inputs!$B$33/100))/Skills!D17)))))/100)*(1+Inputs!$B$15/100)*(5000/(6000+Inputs!$B$7*(1-(Inputs!$B$18+0)/100)))*(1+(Inputs!$B$23+((C858=TRUE)*(F858-Calc!F25))+((C859=TRUE)*(F859-Calc!F26))+B868)/100)*(1+(IF(Skills!A5="DARK_IMPALE",Inputs!$B$16+0,Inputs!$B$17+((C856=TRUE)*(F856-Calc!F23))))/100)*((1+(((C846=TRUE)*F846*IF(AND(Inputs!$B$4&lt;&gt;"pvp",Inputs!$B$35&gt;0),(((S846-1)*(Skills!T13*(1+Inputs!$B$33/100))+MIN((Skills!T13*(1+Inputs!$B$33/100)),MAX(0,Inputs!$B$35-((S846-1)*Skills!D13))))/Inputs!$B$35),IF(Inputs!$B$4="pvp",MIN((Skills!T13*(1+Inputs!$B$33/100)),15)/15,(Skills!T13*(1+Inputs!$B$33/100))/Skills!D13)))+((C847=TRUE)*F847*IF(AND(Inputs!$B$4&lt;&gt;"pvp",Inputs!$B$35&gt;0),(((S847-1)*(Skills!T14*(1+Inputs!$B$33/100))+MIN((Skills!T14*(1+Inputs!$B$33/100)),MAX(0,Inputs!$B$35-((S847-1)*Skills!D14))))/Inputs!$B$35),IF(Inputs!$B$4="pvp",MIN((Skills!T14*(1+Inputs!$B$33/100)),15)/15,(Skills!T14*(1+Inputs!$B$33/100))/Skills!D14)))+((C848=TRUE)*F848*IF(AND(Inputs!$B$4&lt;&gt;"pvp",Inputs!$B$35&gt;0),(((S848-1)*(Skills!T15*(1+Inputs!$B$33/100))+MIN((Skills!T15*(1+Inputs!$B$33/100)),MAX(0,Inputs!$B$35-((S848-1)*Skills!D15))))/Inputs!$B$35),IF(Inputs!$B$4="pvp",MIN((Skills!T15*(1+Inputs!$B$33/100)),15)/15,(Skills!T15*(1+Inputs!$B$33/100))/Skills!D15)))+((C849=TRUE)*F849*IF(AND(Inputs!$B$4&lt;&gt;"pvp",Inputs!$B$35&gt;0),(((S849-1)*(Skills!T16*(1+Inputs!$B$33/100))+MIN((Skills!T16*(1+Inputs!$B$33/100)),MAX(0,Inputs!$B$35-((S849-1)*Skills!D16))))/Inputs!$B$35),IF(Inputs!$B$4="pvp",MIN((Skills!T16*(1+Inputs!$B$33/100)),15)/15,(Skills!T16*(1+Inputs!$B$33/100))/Skills!D16)))+0)/100)*I838)</f>
        <v/>
      </c>
      <c r="L838">
        <f>K838*(MIN(Inputs!$B$21+((C855=TRUE)*(F855-Calc!F22)),Inputs!$B$22+((C857=TRUE)*(F857-Calc!F24)))/100+(Inputs!$B$22+((C857=TRUE)*(F857-Calc!F24)))/100)/2</f>
        <v/>
      </c>
      <c r="M838">
        <f>L838*(1+(Inputs!$B$9+0+B867)/100)</f>
        <v/>
      </c>
      <c r="N838">
        <f>L838*(1-MIN((Inputs!$B$8+0+B862),100)/100)+M838*(MIN((Inputs!$B$8+0+B862),100)/100)</f>
        <v/>
      </c>
      <c r="O838">
        <f>IF(C838,H838*N838*IF(AND(Inputs!$B$4&lt;&gt;"pvp",Inputs!$B$35&gt;0),((Skills!G5*((R838-1)*IF(Skills!H5&gt;0,Skills!I5/Skills!H5,1)+IF(Skills!H5&gt;0,MIN(Skills!I5,MAX(0,Inputs!$B$35-((R838-1)*IF(Inputs!$B$4="pvp",15,MAX(0.1,Skills!D5-IF(Skills!E5=TRUE,Inputs!$B$31,0))))))/Skills!H5,1)))/Inputs!$B$35),G838*Q838)*IF(Inputs!$B$4="pvp",1,(1-Summary!$B$55)*(1)+Summary!$B$55*(MIN(Skills!R5,Inputs!$B$37))),0)</f>
        <v/>
      </c>
      <c r="P838">
        <f>IF(B870=0,0,O838/B870)</f>
        <v/>
      </c>
      <c r="Q838">
        <f>IFERROR(1/IF(Inputs!$B$4="pvp",15,MAX(0.1,Skills!D5-IF(Skills!E5=TRUE,Inputs!$B$31,0))),0)</f>
        <v/>
      </c>
      <c r="R838">
        <f>IF(AND(Inputs!$B$4&lt;&gt;"pvp",Inputs!$B$35&gt;0),(INT(Inputs!$B$35/IF(Inputs!$B$4="pvp",15,MAX(0.1,Skills!D5-IF(Skills!E5=TRUE,Inputs!$B$31,0))))+1),0)</f>
        <v/>
      </c>
      <c r="S838">
        <f>IFERROR(O838/N838,0)</f>
        <v/>
      </c>
    </row>
    <row r="839">
      <c r="A839">
        <f>Skills!A6</f>
        <v/>
      </c>
      <c r="B839">
        <f>Skills!B6</f>
        <v/>
      </c>
      <c r="C839">
        <f>Inputs!$B$3&gt;=103</f>
        <v/>
      </c>
      <c r="D839">
        <f>IF(Skills!C6=1,60+Inputs!$B$24+(Inputs!$B$28+1),IF(Skills!C6=2,90+Inputs!$B$25+(Inputs!$B$28+1),IF(Skills!C6=3,120+Inputs!$B$26+(Inputs!$B$28+1),MAX(0,(Inputs!$B$3-100)*3)+Inputs!$B$27+(Inputs!$B$28+1))))</f>
        <v/>
      </c>
      <c r="E839">
        <f>INDEX(FactorTable!$B$2:$Y$301, MATCH(ROUND(MIN(300,MAX(1,D839)),0), FactorTable!$A$2:$A$301,0), Skills!M6+1)</f>
        <v/>
      </c>
      <c r="F839">
        <f>IF(Skills!N6=TRUE,(Skills!L6/10)*(E839/1000),Skills!L6/10)+Skills!O6</f>
        <v/>
      </c>
      <c r="G839">
        <f>Skills!G6*IF(Skills!H6&gt;0,Skills!I6/Skills!H6,1)</f>
        <v/>
      </c>
      <c r="H839">
        <f>1-(1-Skills!J6/100)^Skills!K6</f>
        <v/>
      </c>
      <c r="I839" t="inlineStr">
        <is>
          <t>1</t>
        </is>
      </c>
      <c r="J839">
        <f>(Inputs!$B$5*(1+Inputs!$B$6/100))*(F839/100)</f>
        <v/>
      </c>
      <c r="K839">
        <f>J839*(1+((Inputs!$B$11*(1+Inputs!$B$12/100))*0.01+Inputs!$B$13*0.0025)/100)*(1+Inputs!$B$14/100)*(1+IF(Inputs!$B$4="pvp",0,(1-Summary!$B$55)*(Inputs!$B$19+0+Skills!P6+((C850=TRUE)*F850*IF(AND(Inputs!$B$4&lt;&gt;"pvp",Inputs!$B$35&gt;0),(((S850-1)*(Skills!T17*(1+Inputs!$B$33/100))+MIN((Skills!T17*(1+Inputs!$B$33/100)),MAX(0,Inputs!$B$35-((S850-1)*Skills!D17))))/Inputs!$B$35),IF(Inputs!$B$4="pvp",MIN((Skills!T17*(1+Inputs!$B$33/100)),15)/15,(Skills!T17*(1+Inputs!$B$33/100))/Skills!D17)))+((C847=TRUE)*IF(Inputs!$B$4="pvp",20,(1-Summary!$B$55)*(20)+Summary!$B$55*(0))*IF(AND(Inputs!$B$4&lt;&gt;"pvp",Inputs!$B$35&gt;0),(((S847-1)*(Skills!T14*(1+Inputs!$B$33/100))+MIN((Skills!T14*(1+Inputs!$B$33/100)),MAX(0,Inputs!$B$35-((S847-1)*Skills!D14))))/Inputs!$B$35),IF(Inputs!$B$4="pvp",MIN((Skills!T14*(1+Inputs!$B$33/100)),15)/15,(Skills!T14*(1+Inputs!$B$33/100))/Skills!D14))))+Summary!$B$55*(Inputs!$B$20+Skills!Q6+((C850=TRUE)*F850*IF(AND(Inputs!$B$4&lt;&gt;"pvp",Inputs!$B$35&gt;0),(((S850-1)*(Skills!T17*(1+Inputs!$B$33/100))+MIN((Skills!T17*(1+Inputs!$B$33/100)),MAX(0,Inputs!$B$35-((S850-1)*Skills!D17))))/Inputs!$B$35),IF(Inputs!$B$4="pvp",MIN((Skills!T17*(1+Inputs!$B$33/100)),15)/15,(Skills!T17*(1+Inputs!$B$33/100))/Skills!D17)))))/100)*(1+Inputs!$B$15/100)*(5000/(6000+Inputs!$B$7*(1-(Inputs!$B$18+0)/100)))*(1+(Inputs!$B$23+((C858=TRUE)*(F858-Calc!F25))+((C859=TRUE)*(F859-Calc!F26))+B868)/100)*(1+(IF(Skills!A6="DARK_IMPALE",Inputs!$B$16+0,Inputs!$B$17+((C856=TRUE)*(F856-Calc!F23))))/100)*((1+(((C846=TRUE)*F846*IF(AND(Inputs!$B$4&lt;&gt;"pvp",Inputs!$B$35&gt;0),(((S846-1)*(Skills!T13*(1+Inputs!$B$33/100))+MIN((Skills!T13*(1+Inputs!$B$33/100)),MAX(0,Inputs!$B$35-((S846-1)*Skills!D13))))/Inputs!$B$35),IF(Inputs!$B$4="pvp",MIN((Skills!T13*(1+Inputs!$B$33/100)),15)/15,(Skills!T13*(1+Inputs!$B$33/100))/Skills!D13)))+((C847=TRUE)*F847*IF(AND(Inputs!$B$4&lt;&gt;"pvp",Inputs!$B$35&gt;0),(((S847-1)*(Skills!T14*(1+Inputs!$B$33/100))+MIN((Skills!T14*(1+Inputs!$B$33/100)),MAX(0,Inputs!$B$35-((S847-1)*Skills!D14))))/Inputs!$B$35),IF(Inputs!$B$4="pvp",MIN((Skills!T14*(1+Inputs!$B$33/100)),15)/15,(Skills!T14*(1+Inputs!$B$33/100))/Skills!D14)))+((C848=TRUE)*F848*IF(AND(Inputs!$B$4&lt;&gt;"pvp",Inputs!$B$35&gt;0),(((S848-1)*(Skills!T15*(1+Inputs!$B$33/100))+MIN((Skills!T15*(1+Inputs!$B$33/100)),MAX(0,Inputs!$B$35-((S848-1)*Skills!D15))))/Inputs!$B$35),IF(Inputs!$B$4="pvp",MIN((Skills!T15*(1+Inputs!$B$33/100)),15)/15,(Skills!T15*(1+Inputs!$B$33/100))/Skills!D15)))+((C849=TRUE)*F849*IF(AND(Inputs!$B$4&lt;&gt;"pvp",Inputs!$B$35&gt;0),(((S849-1)*(Skills!T16*(1+Inputs!$B$33/100))+MIN((Skills!T16*(1+Inputs!$B$33/100)),MAX(0,Inputs!$B$35-((S849-1)*Skills!D16))))/Inputs!$B$35),IF(Inputs!$B$4="pvp",MIN((Skills!T16*(1+Inputs!$B$33/100)),15)/15,(Skills!T16*(1+Inputs!$B$33/100))/Skills!D16)))+0)/100)*I839)</f>
        <v/>
      </c>
      <c r="L839">
        <f>K839*(MIN(Inputs!$B$21+((C855=TRUE)*(F855-Calc!F22)),Inputs!$B$22+((C857=TRUE)*(F857-Calc!F24)))/100+(Inputs!$B$22+((C857=TRUE)*(F857-Calc!F24)))/100)/2</f>
        <v/>
      </c>
      <c r="M839">
        <f>L839*(1+(Inputs!$B$9+0+B867)/100)</f>
        <v/>
      </c>
      <c r="N839">
        <f>L839*(1-MIN((Inputs!$B$8+0+B862),100)/100)+M839*(MIN((Inputs!$B$8+0+B862),100)/100)</f>
        <v/>
      </c>
      <c r="O839">
        <f>IF(C839,H839*N839*IF(AND(Inputs!$B$4&lt;&gt;"pvp",Inputs!$B$35&gt;0),((Skills!G6*((R839-1)*IF(Skills!H6&gt;0,Skills!I6/Skills!H6,1)+IF(Skills!H6&gt;0,MIN(Skills!I6,MAX(0,Inputs!$B$35-((R839-1)*IF(Inputs!$B$4="pvp",15,MAX(0.1,Skills!D6-IF(Skills!E6=TRUE,Inputs!$B$31,0))))))/Skills!H6,1)))/Inputs!$B$35),G839*Q839)*IF(Inputs!$B$4="pvp",1,(1-Summary!$B$55)*(1)+Summary!$B$55*(MIN(Skills!R6,Inputs!$B$37))),0)</f>
        <v/>
      </c>
      <c r="P839">
        <f>IF(B870=0,0,O839/B870)</f>
        <v/>
      </c>
      <c r="Q839">
        <f>IFERROR(1/IF(Inputs!$B$4="pvp",15,MAX(0.1,Skills!D6-IF(Skills!E6=TRUE,Inputs!$B$31,0))),0)</f>
        <v/>
      </c>
      <c r="R839">
        <f>IF(AND(Inputs!$B$4&lt;&gt;"pvp",Inputs!$B$35&gt;0),(INT(Inputs!$B$35/IF(Inputs!$B$4="pvp",15,MAX(0.1,Skills!D6-IF(Skills!E6=TRUE,Inputs!$B$31,0))))+1),0)</f>
        <v/>
      </c>
      <c r="S839">
        <f>IFERROR(O839/N839,0)</f>
        <v/>
      </c>
    </row>
    <row r="840">
      <c r="A840">
        <f>Skills!A7</f>
        <v/>
      </c>
      <c r="B840">
        <f>Skills!B7</f>
        <v/>
      </c>
      <c r="C840">
        <f>Inputs!$B$3&gt;=40</f>
        <v/>
      </c>
      <c r="D840">
        <f>IF(Skills!C7=1,60+Inputs!$B$24+(Inputs!$B$28+1),IF(Skills!C7=2,90+Inputs!$B$25+(Inputs!$B$28+1),IF(Skills!C7=3,120+Inputs!$B$26+(Inputs!$B$28+1),MAX(0,(Inputs!$B$3-100)*3)+Inputs!$B$27+(Inputs!$B$28+1))))</f>
        <v/>
      </c>
      <c r="E840">
        <f>INDEX(FactorTable!$B$2:$Y$301, MATCH(ROUND(MIN(300,MAX(1,D840)),0), FactorTable!$A$2:$A$301,0), Skills!M7+1)</f>
        <v/>
      </c>
      <c r="F840">
        <f>IF(Skills!N7=TRUE,(Skills!L7/10)*(E840/1000),Skills!L7/10)+Skills!O7</f>
        <v/>
      </c>
      <c r="G840">
        <f>Skills!G7*IF(Skills!H7&gt;0,Skills!I7/Skills!H7,1)</f>
        <v/>
      </c>
      <c r="H840">
        <f>1-(1-Skills!J7/100)^Skills!K7</f>
        <v/>
      </c>
      <c r="I840" t="inlineStr">
        <is>
          <t>1</t>
        </is>
      </c>
      <c r="J840">
        <f>(Inputs!$B$5*(1+Inputs!$B$6/100))*(F840/100)</f>
        <v/>
      </c>
      <c r="K840">
        <f>J840*(1+((Inputs!$B$11*(1+Inputs!$B$12/100))*0.01+Inputs!$B$13*0.0025)/100)*(1+Inputs!$B$14/100)*(1+IF(Inputs!$B$4="pvp",0,(1-Summary!$B$55)*(Inputs!$B$19+0+Skills!P7+((C850=TRUE)*F850*IF(AND(Inputs!$B$4&lt;&gt;"pvp",Inputs!$B$35&gt;0),(((S850-1)*(Skills!T17*(1+Inputs!$B$33/100))+MIN((Skills!T17*(1+Inputs!$B$33/100)),MAX(0,Inputs!$B$35-((S850-1)*Skills!D17))))/Inputs!$B$35),IF(Inputs!$B$4="pvp",MIN((Skills!T17*(1+Inputs!$B$33/100)),15)/15,(Skills!T17*(1+Inputs!$B$33/100))/Skills!D17)))+((C847=TRUE)*IF(Inputs!$B$4="pvp",20,(1-Summary!$B$55)*(20)+Summary!$B$55*(0))*IF(AND(Inputs!$B$4&lt;&gt;"pvp",Inputs!$B$35&gt;0),(((S847-1)*(Skills!T14*(1+Inputs!$B$33/100))+MIN((Skills!T14*(1+Inputs!$B$33/100)),MAX(0,Inputs!$B$35-((S847-1)*Skills!D14))))/Inputs!$B$35),IF(Inputs!$B$4="pvp",MIN((Skills!T14*(1+Inputs!$B$33/100)),15)/15,(Skills!T14*(1+Inputs!$B$33/100))/Skills!D14))))+Summary!$B$55*(Inputs!$B$20+Skills!Q7+((C850=TRUE)*F850*IF(AND(Inputs!$B$4&lt;&gt;"pvp",Inputs!$B$35&gt;0),(((S850-1)*(Skills!T17*(1+Inputs!$B$33/100))+MIN((Skills!T17*(1+Inputs!$B$33/100)),MAX(0,Inputs!$B$35-((S850-1)*Skills!D17))))/Inputs!$B$35),IF(Inputs!$B$4="pvp",MIN((Skills!T17*(1+Inputs!$B$33/100)),15)/15,(Skills!T17*(1+Inputs!$B$33/100))/Skills!D17)))))/100)*(1+Inputs!$B$15/100)*(5000/(6000+Inputs!$B$7*(1-(Inputs!$B$18+0)/100)))*(1+(Inputs!$B$23+((C858=TRUE)*(F858-Calc!F25))+((C859=TRUE)*(F859-Calc!F26))+B868)/100)*(1+0.75*IF(C844=TRUE,F844,0)/100)*(1+(IF(Skills!A7="DARK_IMPALE",Inputs!$B$16+0,Inputs!$B$17+((C856=TRUE)*(F856-Calc!F23))))/100)*((1+(((C846=TRUE)*F846*IF(AND(Inputs!$B$4&lt;&gt;"pvp",Inputs!$B$35&gt;0),(((S846-1)*(Skills!T13*(1+Inputs!$B$33/100))+MIN((Skills!T13*(1+Inputs!$B$33/100)),MAX(0,Inputs!$B$35-((S846-1)*Skills!D13))))/Inputs!$B$35),IF(Inputs!$B$4="pvp",MIN((Skills!T13*(1+Inputs!$B$33/100)),15)/15,(Skills!T13*(1+Inputs!$B$33/100))/Skills!D13)))+((C847=TRUE)*F847*IF(AND(Inputs!$B$4&lt;&gt;"pvp",Inputs!$B$35&gt;0),(((S847-1)*(Skills!T14*(1+Inputs!$B$33/100))+MIN((Skills!T14*(1+Inputs!$B$33/100)),MAX(0,Inputs!$B$35-((S847-1)*Skills!D14))))/Inputs!$B$35),IF(Inputs!$B$4="pvp",MIN((Skills!T14*(1+Inputs!$B$33/100)),15)/15,(Skills!T14*(1+Inputs!$B$33/100))/Skills!D14)))+((C848=TRUE)*F848*IF(AND(Inputs!$B$4&lt;&gt;"pvp",Inputs!$B$35&gt;0),(((S848-1)*(Skills!T15*(1+Inputs!$B$33/100))+MIN((Skills!T15*(1+Inputs!$B$33/100)),MAX(0,Inputs!$B$35-((S848-1)*Skills!D15))))/Inputs!$B$35),IF(Inputs!$B$4="pvp",MIN((Skills!T15*(1+Inputs!$B$33/100)),15)/15,(Skills!T15*(1+Inputs!$B$33/100))/Skills!D15)))+((C849=TRUE)*F849*IF(AND(Inputs!$B$4&lt;&gt;"pvp",Inputs!$B$35&gt;0),(((S849-1)*(Skills!T16*(1+Inputs!$B$33/100))+MIN((Skills!T16*(1+Inputs!$B$33/100)),MAX(0,Inputs!$B$35-((S849-1)*Skills!D16))))/Inputs!$B$35),IF(Inputs!$B$4="pvp",MIN((Skills!T16*(1+Inputs!$B$33/100)),15)/15,(Skills!T16*(1+Inputs!$B$33/100))/Skills!D16)))+0)/100)*I840)</f>
        <v/>
      </c>
      <c r="L840">
        <f>K840*(MIN(Inputs!$B$21+((C855=TRUE)*(F855-Calc!F22)),Inputs!$B$22+((C857=TRUE)*(F857-Calc!F24)))/100+(Inputs!$B$22+((C857=TRUE)*(F857-Calc!F24)))/100)/2</f>
        <v/>
      </c>
      <c r="M840">
        <f>L840*(1+(Inputs!$B$9+0+B867)/100)</f>
        <v/>
      </c>
      <c r="N840">
        <f>L840*(1-MIN((Inputs!$B$8+0+B862),100)/100)+M840*(MIN((Inputs!$B$8+0+B862),100)/100)</f>
        <v/>
      </c>
      <c r="O840">
        <f>IF(C840,H840*N840*IF(AND(Inputs!$B$4&lt;&gt;"pvp",Inputs!$B$35&gt;0),((Skills!G7*((R840-1)*IF(Skills!H7&gt;0,Skills!I7/Skills!H7,1)+IF(Skills!H7&gt;0,MIN(Skills!I7,MAX(0,Inputs!$B$35-((R840-1)*IF(Inputs!$B$4="pvp",15,MAX(0.1,Skills!D7-IF(Skills!E7=TRUE,Inputs!$B$31,0))))))/Skills!H7,1)))/Inputs!$B$35),G840*Q840)*IF(Inputs!$B$4="pvp",1,(1-Summary!$B$55)*(1)+Summary!$B$55*(MIN(Skills!R7,Inputs!$B$37))),0)</f>
        <v/>
      </c>
      <c r="P840">
        <f>IF(B870=0,0,O840/B870)</f>
        <v/>
      </c>
      <c r="Q840">
        <f>IFERROR(1/IF(Inputs!$B$4="pvp",15,MAX(0.1,Skills!D7-IF(Skills!E7=TRUE,Inputs!$B$31,0))),0)</f>
        <v/>
      </c>
      <c r="R840">
        <f>IF(AND(Inputs!$B$4&lt;&gt;"pvp",Inputs!$B$35&gt;0),(INT(Inputs!$B$35/IF(Inputs!$B$4="pvp",15,MAX(0.1,Skills!D7-IF(Skills!E7=TRUE,Inputs!$B$31,0))))+1),0)</f>
        <v/>
      </c>
      <c r="S840">
        <f>IFERROR(O840/N840,0)</f>
        <v/>
      </c>
    </row>
    <row r="841">
      <c r="A841">
        <f>Skills!A8</f>
        <v/>
      </c>
      <c r="B841">
        <f>Skills!B8</f>
        <v/>
      </c>
      <c r="C841">
        <f>Inputs!$B$3&gt;=75</f>
        <v/>
      </c>
      <c r="D841">
        <f>IF(Skills!C8=1,60+Inputs!$B$24+(Inputs!$B$28+1),IF(Skills!C8=2,90+Inputs!$B$25+(Inputs!$B$28+1),IF(Skills!C8=3,120+Inputs!$B$26+(Inputs!$B$28+1),MAX(0,(Inputs!$B$3-100)*3)+Inputs!$B$27+(Inputs!$B$28+1))))</f>
        <v/>
      </c>
      <c r="E841">
        <f>INDEX(FactorTable!$B$2:$Y$301, MATCH(ROUND(MIN(300,MAX(1,D841)),0), FactorTable!$A$2:$A$301,0), Skills!M8+1)</f>
        <v/>
      </c>
      <c r="F841">
        <f>IF(Skills!N8=TRUE,(Skills!L8/10)*(E841/1000),Skills!L8/10)+Skills!O8</f>
        <v/>
      </c>
      <c r="G841" t="inlineStr"/>
      <c r="H841" t="inlineStr"/>
      <c r="I841" t="inlineStr">
        <is>
          <t>1</t>
        </is>
      </c>
      <c r="J841" t="inlineStr"/>
      <c r="K841" t="inlineStr"/>
      <c r="L841" t="inlineStr"/>
      <c r="M841" t="inlineStr"/>
      <c r="N841" t="inlineStr"/>
      <c r="O841" t="inlineStr"/>
      <c r="P841" t="inlineStr"/>
      <c r="Q841" t="inlineStr"/>
      <c r="R841" t="inlineStr"/>
      <c r="S841" t="inlineStr"/>
    </row>
    <row r="842">
      <c r="A842">
        <f>Skills!A9</f>
        <v/>
      </c>
      <c r="B842">
        <f>Skills!B9</f>
        <v/>
      </c>
      <c r="C842">
        <f>Inputs!$B$3&gt;=60</f>
        <v/>
      </c>
      <c r="D842">
        <f>IF(Skills!C9=1,60+Inputs!$B$24+(Inputs!$B$28+1),IF(Skills!C9=2,90+Inputs!$B$25+(Inputs!$B$28+1),IF(Skills!C9=3,120+Inputs!$B$26+(Inputs!$B$28+1),MAX(0,(Inputs!$B$3-100)*3)+Inputs!$B$27+(Inputs!$B$28+1))))</f>
        <v/>
      </c>
      <c r="E842">
        <f>INDEX(FactorTable!$B$2:$Y$301, MATCH(ROUND(MIN(300,MAX(1,D842)),0), FactorTable!$A$2:$A$301,0), Skills!M9+1)</f>
        <v/>
      </c>
      <c r="F842">
        <f>IF(Skills!N9=TRUE,(Skills!L9/10)*(E842/1000),Skills!L9/10)+Skills!O9</f>
        <v/>
      </c>
      <c r="G842">
        <f>Skills!G9*IF(Skills!H9&gt;0,Skills!I9/Skills!H9,1)</f>
        <v/>
      </c>
      <c r="H842">
        <f>1-(1-Skills!J9/100)^Skills!K9</f>
        <v/>
      </c>
      <c r="I842" t="inlineStr">
        <is>
          <t>1</t>
        </is>
      </c>
      <c r="J842">
        <f>(Inputs!$B$5*(1+Inputs!$B$6/100))*(F842/100)</f>
        <v/>
      </c>
      <c r="K842">
        <f>J842*(1+((Inputs!$B$11*(1+Inputs!$B$12/100))*0.01+Inputs!$B$13*0.0025)/100)*(1+Inputs!$B$14/100)*(1+IF(Inputs!$B$4="pvp",0,(1-Summary!$B$55)*(Inputs!$B$19+0+Skills!P9+((C850=TRUE)*F850*IF(AND(Inputs!$B$4&lt;&gt;"pvp",Inputs!$B$35&gt;0),(((S850-1)*(Skills!T17*(1+Inputs!$B$33/100))+MIN((Skills!T17*(1+Inputs!$B$33/100)),MAX(0,Inputs!$B$35-((S850-1)*Skills!D17))))/Inputs!$B$35),IF(Inputs!$B$4="pvp",MIN((Skills!T17*(1+Inputs!$B$33/100)),15)/15,(Skills!T17*(1+Inputs!$B$33/100))/Skills!D17)))+((C847=TRUE)*IF(Inputs!$B$4="pvp",20,(1-Summary!$B$55)*(20)+Summary!$B$55*(0))*IF(AND(Inputs!$B$4&lt;&gt;"pvp",Inputs!$B$35&gt;0),(((S847-1)*(Skills!T14*(1+Inputs!$B$33/100))+MIN((Skills!T14*(1+Inputs!$B$33/100)),MAX(0,Inputs!$B$35-((S847-1)*Skills!D14))))/Inputs!$B$35),IF(Inputs!$B$4="pvp",MIN((Skills!T14*(1+Inputs!$B$33/100)),15)/15,(Skills!T14*(1+Inputs!$B$33/100))/Skills!D14))))+Summary!$B$55*(Inputs!$B$20+Skills!Q9+((C850=TRUE)*F850*IF(AND(Inputs!$B$4&lt;&gt;"pvp",Inputs!$B$35&gt;0),(((S850-1)*(Skills!T17*(1+Inputs!$B$33/100))+MIN((Skills!T17*(1+Inputs!$B$33/100)),MAX(0,Inputs!$B$35-((S850-1)*Skills!D17))))/Inputs!$B$35),IF(Inputs!$B$4="pvp",MIN((Skills!T17*(1+Inputs!$B$33/100)),15)/15,(Skills!T17*(1+Inputs!$B$33/100))/Skills!D17)))))/100)*(1+Inputs!$B$15/100)*(5000/(6000+Inputs!$B$7*(1-(Inputs!$B$18+0)/100)))*(1+(Inputs!$B$23+((C858=TRUE)*(F858-Calc!F25))+((C859=TRUE)*(F859-Calc!F26))+B868)/100)*(1+1.0*IF(C844=TRUE,F844,0)/100)*(1+(IF(Skills!A9="DARK_IMPALE",Inputs!$B$16+0,Inputs!$B$17+((C856=TRUE)*(F856-Calc!F23))))/100)*((1+(((C846=TRUE)*F846*IF(AND(Inputs!$B$4&lt;&gt;"pvp",Inputs!$B$35&gt;0),(((S846-1)*(Skills!T13*(1+Inputs!$B$33/100))+MIN((Skills!T13*(1+Inputs!$B$33/100)),MAX(0,Inputs!$B$35-((S846-1)*Skills!D13))))/Inputs!$B$35),IF(Inputs!$B$4="pvp",MIN((Skills!T13*(1+Inputs!$B$33/100)),15)/15,(Skills!T13*(1+Inputs!$B$33/100))/Skills!D13)))+((C847=TRUE)*F847*IF(AND(Inputs!$B$4&lt;&gt;"pvp",Inputs!$B$35&gt;0),(((S847-1)*(Skills!T14*(1+Inputs!$B$33/100))+MIN((Skills!T14*(1+Inputs!$B$33/100)),MAX(0,Inputs!$B$35-((S847-1)*Skills!D14))))/Inputs!$B$35),IF(Inputs!$B$4="pvp",MIN((Skills!T14*(1+Inputs!$B$33/100)),15)/15,(Skills!T14*(1+Inputs!$B$33/100))/Skills!D14)))+((C848=TRUE)*F848*IF(AND(Inputs!$B$4&lt;&gt;"pvp",Inputs!$B$35&gt;0),(((S848-1)*(Skills!T15*(1+Inputs!$B$33/100))+MIN((Skills!T15*(1+Inputs!$B$33/100)),MAX(0,Inputs!$B$35-((S848-1)*Skills!D15))))/Inputs!$B$35),IF(Inputs!$B$4="pvp",MIN((Skills!T15*(1+Inputs!$B$33/100)),15)/15,(Skills!T15*(1+Inputs!$B$33/100))/Skills!D15)))+((C849=TRUE)*F849*IF(AND(Inputs!$B$4&lt;&gt;"pvp",Inputs!$B$35&gt;0),(((S849-1)*(Skills!T16*(1+Inputs!$B$33/100))+MIN((Skills!T16*(1+Inputs!$B$33/100)),MAX(0,Inputs!$B$35-((S849-1)*Skills!D16))))/Inputs!$B$35),IF(Inputs!$B$4="pvp",MIN((Skills!T16*(1+Inputs!$B$33/100)),15)/15,(Skills!T16*(1+Inputs!$B$33/100))/Skills!D16)))+0)/100)*I842)</f>
        <v/>
      </c>
      <c r="L842">
        <f>K842*(MIN(Inputs!$B$21+((C855=TRUE)*(F855-Calc!F22)),Inputs!$B$22+((C857=TRUE)*(F857-Calc!F24)))/100+(Inputs!$B$22+((C857=TRUE)*(F857-Calc!F24)))/100)/2</f>
        <v/>
      </c>
      <c r="M842">
        <f>L842*(1+(Inputs!$B$9+0+B867)/100)</f>
        <v/>
      </c>
      <c r="N842">
        <f>L842*(1-MIN((Inputs!$B$8+0+B862),100)/100)+M842*(MIN((Inputs!$B$8+0+B862),100)/100)</f>
        <v/>
      </c>
      <c r="O842">
        <f>IF(C842,H842*N842*IF(AND(Inputs!$B$4&lt;&gt;"pvp",Inputs!$B$35&gt;0),((Skills!G9*((R842-1)*IF(Skills!H9&gt;0,Skills!I9/Skills!H9,1)+IF(Skills!H9&gt;0,MIN(Skills!I9,MAX(0,Inputs!$B$35-((R842-1)*IF(Inputs!$B$4="pvp",15,MAX(0.1,Skills!D9-IF(Skills!E9=TRUE,Inputs!$B$31,0))))))/Skills!H9,1)))/Inputs!$B$35),G842*Q842)*IF(Inputs!$B$4="pvp",1,(1-Summary!$B$55)*(1)+Summary!$B$55*(MIN(Skills!R9,Inputs!$B$37))),0)</f>
        <v/>
      </c>
      <c r="P842">
        <f>IF(B870=0,0,O842/B870)</f>
        <v/>
      </c>
      <c r="Q842">
        <f>IFERROR(1/IF(Inputs!$B$4="pvp",15,MAX(0.1,Skills!D9-IF(Skills!E9=TRUE,Inputs!$B$31,0))),0)</f>
        <v/>
      </c>
      <c r="R842">
        <f>IF(AND(Inputs!$B$4&lt;&gt;"pvp",Inputs!$B$35&gt;0),(INT(Inputs!$B$35/IF(Inputs!$B$4="pvp",15,MAX(0.1,Skills!D9-IF(Skills!E9=TRUE,Inputs!$B$31,0))))+1),0)</f>
        <v/>
      </c>
      <c r="S842">
        <f>IFERROR(O842/N842,0)</f>
        <v/>
      </c>
    </row>
    <row r="843">
      <c r="A843">
        <f>Skills!A10</f>
        <v/>
      </c>
      <c r="B843">
        <f>Skills!B10</f>
        <v/>
      </c>
      <c r="C843">
        <f>Inputs!$B$3&gt;=110</f>
        <v/>
      </c>
      <c r="D843">
        <f>IF(Skills!C10=1,60+Inputs!$B$24+(Inputs!$B$28+1),IF(Skills!C10=2,90+Inputs!$B$25+(Inputs!$B$28+1),IF(Skills!C10=3,120+Inputs!$B$26+(Inputs!$B$28+1),MAX(0,(Inputs!$B$3-100)*3)+Inputs!$B$27+(Inputs!$B$28+1))))</f>
        <v/>
      </c>
      <c r="E843">
        <f>INDEX(FactorTable!$B$2:$Y$301, MATCH(ROUND(MIN(300,MAX(1,D843)),0), FactorTable!$A$2:$A$301,0), Skills!M10+1)</f>
        <v/>
      </c>
      <c r="F843">
        <f>IF(Skills!N10=TRUE,(Skills!L10/10)*(E843/1000),Skills!L10/10)+Skills!O10</f>
        <v/>
      </c>
      <c r="G843">
        <f>Skills!G10*IF(Skills!H10&gt;0,Skills!I10/Skills!H10,1)</f>
        <v/>
      </c>
      <c r="H843">
        <f>1-(1-Skills!J10/100)^Skills!K10</f>
        <v/>
      </c>
      <c r="I843" t="inlineStr">
        <is>
          <t>1</t>
        </is>
      </c>
      <c r="J843">
        <f>(Inputs!$B$5*(1+Inputs!$B$6/100))*(F843/100)</f>
        <v/>
      </c>
      <c r="K843">
        <f>J843*(1+((Inputs!$B$11*(1+Inputs!$B$12/100))*0.01+Inputs!$B$13*0.0025)/100)*(1+Inputs!$B$14/100)*(1+IF(Inputs!$B$4="pvp",0,(1-Summary!$B$55)*(Inputs!$B$19+0+Skills!P10+((C850=TRUE)*F850*IF(AND(Inputs!$B$4&lt;&gt;"pvp",Inputs!$B$35&gt;0),(((S850-1)*(Skills!T17*(1+Inputs!$B$33/100))+MIN((Skills!T17*(1+Inputs!$B$33/100)),MAX(0,Inputs!$B$35-((S850-1)*Skills!D17))))/Inputs!$B$35),IF(Inputs!$B$4="pvp",MIN((Skills!T17*(1+Inputs!$B$33/100)),15)/15,(Skills!T17*(1+Inputs!$B$33/100))/Skills!D17)))+((C847=TRUE)*IF(Inputs!$B$4="pvp",20,(1-Summary!$B$55)*(20)+Summary!$B$55*(0))*IF(AND(Inputs!$B$4&lt;&gt;"pvp",Inputs!$B$35&gt;0),(((S847-1)*(Skills!T14*(1+Inputs!$B$33/100))+MIN((Skills!T14*(1+Inputs!$B$33/100)),MAX(0,Inputs!$B$35-((S847-1)*Skills!D14))))/Inputs!$B$35),IF(Inputs!$B$4="pvp",MIN((Skills!T14*(1+Inputs!$B$33/100)),15)/15,(Skills!T14*(1+Inputs!$B$33/100))/Skills!D14))))+Summary!$B$55*(Inputs!$B$20+Skills!Q10+((C850=TRUE)*F850*IF(AND(Inputs!$B$4&lt;&gt;"pvp",Inputs!$B$35&gt;0),(((S850-1)*(Skills!T17*(1+Inputs!$B$33/100))+MIN((Skills!T17*(1+Inputs!$B$33/100)),MAX(0,Inputs!$B$35-((S850-1)*Skills!D17))))/Inputs!$B$35),IF(Inputs!$B$4="pvp",MIN((Skills!T17*(1+Inputs!$B$33/100)),15)/15,(Skills!T17*(1+Inputs!$B$33/100))/Skills!D17)))))/100)*(1+Inputs!$B$15/100)*(5000/(6000+Inputs!$B$7*(1-(Inputs!$B$18+0)/100)))*(1+(Inputs!$B$23+((C858=TRUE)*(F858-Calc!F25))+((C859=TRUE)*(F859-Calc!F26))+B868)/100)*(1+(IF(Skills!A10="DARK_IMPALE",Inputs!$B$16+0,Inputs!$B$17+((C856=TRUE)*(F856-Calc!F23))))/100)*((1+(((C846=TRUE)*F846*IF(AND(Inputs!$B$4&lt;&gt;"pvp",Inputs!$B$35&gt;0),(((S846-1)*(Skills!T13*(1+Inputs!$B$33/100))+MIN((Skills!T13*(1+Inputs!$B$33/100)),MAX(0,Inputs!$B$35-((S846-1)*Skills!D13))))/Inputs!$B$35),IF(Inputs!$B$4="pvp",MIN((Skills!T13*(1+Inputs!$B$33/100)),15)/15,(Skills!T13*(1+Inputs!$B$33/100))/Skills!D13)))+((C847=TRUE)*F847*IF(AND(Inputs!$B$4&lt;&gt;"pvp",Inputs!$B$35&gt;0),(((S847-1)*(Skills!T14*(1+Inputs!$B$33/100))+MIN((Skills!T14*(1+Inputs!$B$33/100)),MAX(0,Inputs!$B$35-((S847-1)*Skills!D14))))/Inputs!$B$35),IF(Inputs!$B$4="pvp",MIN((Skills!T14*(1+Inputs!$B$33/100)),15)/15,(Skills!T14*(1+Inputs!$B$33/100))/Skills!D14)))+((C848=TRUE)*F848*IF(AND(Inputs!$B$4&lt;&gt;"pvp",Inputs!$B$35&gt;0),(((S848-1)*(Skills!T15*(1+Inputs!$B$33/100))+MIN((Skills!T15*(1+Inputs!$B$33/100)),MAX(0,Inputs!$B$35-((S848-1)*Skills!D15))))/Inputs!$B$35),IF(Inputs!$B$4="pvp",MIN((Skills!T15*(1+Inputs!$B$33/100)),15)/15,(Skills!T15*(1+Inputs!$B$33/100))/Skills!D15)))+((C849=TRUE)*F849*IF(AND(Inputs!$B$4&lt;&gt;"pvp",Inputs!$B$35&gt;0),(((S849-1)*(Skills!T16*(1+Inputs!$B$33/100))+MIN((Skills!T16*(1+Inputs!$B$33/100)),MAX(0,Inputs!$B$35-((S849-1)*Skills!D16))))/Inputs!$B$35),IF(Inputs!$B$4="pvp",MIN((Skills!T16*(1+Inputs!$B$33/100)),15)/15,(Skills!T16*(1+Inputs!$B$33/100))/Skills!D16)))+0)/100)*I843)</f>
        <v/>
      </c>
      <c r="L843">
        <f>K843*(MIN(Inputs!$B$21+((C855=TRUE)*(F855-Calc!F22)),Inputs!$B$22+((C857=TRUE)*(F857-Calc!F24)))/100+(Inputs!$B$22+((C857=TRUE)*(F857-Calc!F24)))/100)/2</f>
        <v/>
      </c>
      <c r="M843">
        <f>L843*(1+(Inputs!$B$9+0+B867)/100)</f>
        <v/>
      </c>
      <c r="N843">
        <f>L843*(1-MIN((Inputs!$B$8+0+B862),100)/100)+M843*(MIN((Inputs!$B$8+0+B862),100)/100)</f>
        <v/>
      </c>
      <c r="O843">
        <f>IF(C843,H843*N843*IF(AND(Inputs!$B$4&lt;&gt;"pvp",Inputs!$B$35&gt;0),((Skills!G10*((R843-1)*IF(Skills!H10&gt;0,Skills!I10/Skills!H10,1)+IF(Skills!H10&gt;0,MIN(Skills!I10,MAX(0,Inputs!$B$35-((R843-1)*IF(Inputs!$B$4="pvp",15,MAX(0.1,Skills!D10-IF(Skills!E10=TRUE,Inputs!$B$31,0))))))/Skills!H10,1)))/Inputs!$B$35),G843*Q843)*IF(Inputs!$B$4="pvp",1,(1-Summary!$B$55)*(1)+Summary!$B$55*(MIN(Skills!R10,Inputs!$B$37))),0)</f>
        <v/>
      </c>
      <c r="P843">
        <f>IF(B870=0,0,O843/B870)</f>
        <v/>
      </c>
      <c r="Q843">
        <f>IFERROR(1/IF(Inputs!$B$4="pvp",15,MAX(0.1,Skills!D10-IF(Skills!E10=TRUE,Inputs!$B$31,0))),0)</f>
        <v/>
      </c>
      <c r="R843">
        <f>IF(AND(Inputs!$B$4&lt;&gt;"pvp",Inputs!$B$35&gt;0),(INT(Inputs!$B$35/IF(Inputs!$B$4="pvp",15,MAX(0.1,Skills!D10-IF(Skills!E10=TRUE,Inputs!$B$31,0))))+1),0)</f>
        <v/>
      </c>
      <c r="S843">
        <f>IFERROR(O843/N843,0)</f>
        <v/>
      </c>
    </row>
    <row r="844">
      <c r="A844">
        <f>Skills!A11</f>
        <v/>
      </c>
      <c r="B844">
        <f>Skills!B11</f>
        <v/>
      </c>
      <c r="C844">
        <f>Inputs!$B$3&gt;=100</f>
        <v/>
      </c>
      <c r="D844">
        <f>IF(Skills!C11=1,60+Inputs!$B$24+(Inputs!$B$28+1),IF(Skills!C11=2,90+Inputs!$B$25+(Inputs!$B$28+1),IF(Skills!C11=3,120+Inputs!$B$26+(Inputs!$B$28+1),MAX(0,(Inputs!$B$3-100)*3)+Inputs!$B$27+(Inputs!$B$28+1))))</f>
        <v/>
      </c>
      <c r="E844">
        <f>INDEX(FactorTable!$B$2:$Y$301, MATCH(ROUND(MIN(300,MAX(1,D844)),0), FactorTable!$A$2:$A$301,0), Skills!M11+1)</f>
        <v/>
      </c>
      <c r="F844">
        <f>IF(Skills!N11=TRUE,(Skills!L11/10)*(E844/1000),Skills!L11/10)+Skills!O11</f>
        <v/>
      </c>
      <c r="G844" t="inlineStr"/>
      <c r="H844" t="inlineStr"/>
      <c r="I844" t="inlineStr">
        <is>
          <t>1</t>
        </is>
      </c>
      <c r="J844" t="inlineStr"/>
      <c r="K844" t="inlineStr"/>
      <c r="L844" t="inlineStr"/>
      <c r="M844" t="inlineStr"/>
      <c r="N844" t="inlineStr"/>
      <c r="O844" t="inlineStr"/>
      <c r="P844" t="inlineStr"/>
      <c r="Q844" t="inlineStr"/>
      <c r="R844" t="inlineStr"/>
      <c r="S844" t="inlineStr"/>
    </row>
    <row r="845">
      <c r="A845">
        <f>Skills!A12</f>
        <v/>
      </c>
      <c r="B845">
        <f>Skills!B12</f>
        <v/>
      </c>
      <c r="C845">
        <f>Inputs!$B$3&gt;=63</f>
        <v/>
      </c>
      <c r="D845">
        <f>IF(Skills!C12=1,60+Inputs!$B$24+(Inputs!$B$28+1),IF(Skills!C12=2,90+Inputs!$B$25+(Inputs!$B$28+1),IF(Skills!C12=3,120+Inputs!$B$26+(Inputs!$B$28+1),MAX(0,(Inputs!$B$3-100)*3)+Inputs!$B$27+(Inputs!$B$28+1))))</f>
        <v/>
      </c>
      <c r="E845">
        <f>INDEX(FactorTable!$B$2:$Y$301, MATCH(ROUND(MIN(300,MAX(1,D845)),0), FactorTable!$A$2:$A$301,0), Skills!M12+1)</f>
        <v/>
      </c>
      <c r="F845">
        <f>IF(Skills!N12=TRUE,(Skills!L12/10)*(E845/1000),Skills!L12/10)+Skills!O12</f>
        <v/>
      </c>
      <c r="G845">
        <f>Skills!G12*IF(Skills!H12&gt;0,Skills!I12/Skills!H12,1)</f>
        <v/>
      </c>
      <c r="H845">
        <f>1-(1-Skills!J12/100)^Skills!K12</f>
        <v/>
      </c>
      <c r="I845" t="inlineStr">
        <is>
          <t>1</t>
        </is>
      </c>
      <c r="J845">
        <f>(Inputs!$B$5*(1+Inputs!$B$6/100))*(F845/100)</f>
        <v/>
      </c>
      <c r="K845">
        <f>J845*(1+((Inputs!$B$11*(1+Inputs!$B$12/100))*0.01+Inputs!$B$13*0.0025)/100)*(1+Inputs!$B$14/100)*(1+IF(Inputs!$B$4="pvp",0,(1-Summary!$B$55)*(Inputs!$B$19+0+Skills!P12+((C850=TRUE)*F850*IF(AND(Inputs!$B$4&lt;&gt;"pvp",Inputs!$B$35&gt;0),(((S850-1)*(Skills!T17*(1+Inputs!$B$33/100))+MIN((Skills!T17*(1+Inputs!$B$33/100)),MAX(0,Inputs!$B$35-((S850-1)*Skills!D17))))/Inputs!$B$35),IF(Inputs!$B$4="pvp",MIN((Skills!T17*(1+Inputs!$B$33/100)),15)/15,(Skills!T17*(1+Inputs!$B$33/100))/Skills!D17)))+((C847=TRUE)*IF(Inputs!$B$4="pvp",20,(1-Summary!$B$55)*(20)+Summary!$B$55*(0))*IF(AND(Inputs!$B$4&lt;&gt;"pvp",Inputs!$B$35&gt;0),(((S847-1)*(Skills!T14*(1+Inputs!$B$33/100))+MIN((Skills!T14*(1+Inputs!$B$33/100)),MAX(0,Inputs!$B$35-((S847-1)*Skills!D14))))/Inputs!$B$35),IF(Inputs!$B$4="pvp",MIN((Skills!T14*(1+Inputs!$B$33/100)),15)/15,(Skills!T14*(1+Inputs!$B$33/100))/Skills!D14))))+Summary!$B$55*(Inputs!$B$20+Skills!Q12+((C850=TRUE)*F850*IF(AND(Inputs!$B$4&lt;&gt;"pvp",Inputs!$B$35&gt;0),(((S850-1)*(Skills!T17*(1+Inputs!$B$33/100))+MIN((Skills!T17*(1+Inputs!$B$33/100)),MAX(0,Inputs!$B$35-((S850-1)*Skills!D17))))/Inputs!$B$35),IF(Inputs!$B$4="pvp",MIN((Skills!T17*(1+Inputs!$B$33/100)),15)/15,(Skills!T17*(1+Inputs!$B$33/100))/Skills!D17)))))/100)*(1+Inputs!$B$15/100)*(5000/(6000+Inputs!$B$7*(1-(Inputs!$B$18+0)/100)))*(1+(Inputs!$B$23+((C858=TRUE)*(F858-Calc!F25))+((C859=TRUE)*(F859-Calc!F26))+B868)/100)*(1+0.75*IF(C844=TRUE,F844,0)/100)*(1+(IF(Skills!A12="DARK_IMPALE",Inputs!$B$16+0,Inputs!$B$17+((C856=TRUE)*(F856-Calc!F23))))/100)*((1+(((C846=TRUE)*F846*IF(AND(Inputs!$B$4&lt;&gt;"pvp",Inputs!$B$35&gt;0),(((S846-1)*(Skills!T13*(1+Inputs!$B$33/100))+MIN((Skills!T13*(1+Inputs!$B$33/100)),MAX(0,Inputs!$B$35-((S846-1)*Skills!D13))))/Inputs!$B$35),IF(Inputs!$B$4="pvp",MIN((Skills!T13*(1+Inputs!$B$33/100)),15)/15,(Skills!T13*(1+Inputs!$B$33/100))/Skills!D13)))+((C847=TRUE)*F847*IF(AND(Inputs!$B$4&lt;&gt;"pvp",Inputs!$B$35&gt;0),(((S847-1)*(Skills!T14*(1+Inputs!$B$33/100))+MIN((Skills!T14*(1+Inputs!$B$33/100)),MAX(0,Inputs!$B$35-((S847-1)*Skills!D14))))/Inputs!$B$35),IF(Inputs!$B$4="pvp",MIN((Skills!T14*(1+Inputs!$B$33/100)),15)/15,(Skills!T14*(1+Inputs!$B$33/100))/Skills!D14)))+((C848=TRUE)*F848*IF(AND(Inputs!$B$4&lt;&gt;"pvp",Inputs!$B$35&gt;0),(((S848-1)*(Skills!T15*(1+Inputs!$B$33/100))+MIN((Skills!T15*(1+Inputs!$B$33/100)),MAX(0,Inputs!$B$35-((S848-1)*Skills!D15))))/Inputs!$B$35),IF(Inputs!$B$4="pvp",MIN((Skills!T15*(1+Inputs!$B$33/100)),15)/15,(Skills!T15*(1+Inputs!$B$33/100))/Skills!D15)))+((C849=TRUE)*F849*IF(AND(Inputs!$B$4&lt;&gt;"pvp",Inputs!$B$35&gt;0),(((S849-1)*(Skills!T16*(1+Inputs!$B$33/100))+MIN((Skills!T16*(1+Inputs!$B$33/100)),MAX(0,Inputs!$B$35-((S849-1)*Skills!D16))))/Inputs!$B$35),IF(Inputs!$B$4="pvp",MIN((Skills!T16*(1+Inputs!$B$33/100)),15)/15,(Skills!T16*(1+Inputs!$B$33/100))/Skills!D16)))+0)/100)*I845)</f>
        <v/>
      </c>
      <c r="L845">
        <f>K845*(MIN(Inputs!$B$21+((C855=TRUE)*(F855-Calc!F22)),Inputs!$B$22+((C857=TRUE)*(F857-Calc!F24)))/100+(Inputs!$B$22+((C857=TRUE)*(F857-Calc!F24)))/100)/2</f>
        <v/>
      </c>
      <c r="M845">
        <f>L845*(1+(Inputs!$B$9+0+B867)/100)</f>
        <v/>
      </c>
      <c r="N845">
        <f>L845*(1-MIN((Inputs!$B$8+0+B862),100)/100)+M845*(MIN((Inputs!$B$8+0+B862),100)/100)</f>
        <v/>
      </c>
      <c r="O845">
        <f>IF(C845,H845*N845*IF(AND(Inputs!$B$4&lt;&gt;"pvp",Inputs!$B$35&gt;0),((Skills!G12*((R845-1)*IF(Skills!H12&gt;0,Skills!I12/Skills!H12,1)+IF(Skills!H12&gt;0,MIN(Skills!I12,MAX(0,Inputs!$B$35-((R845-1)*IF(Inputs!$B$4="pvp",15,MAX(0.1,Skills!D12-IF(Skills!E12=TRUE,Inputs!$B$31,0))))))/Skills!H12,1)))/Inputs!$B$35),G845*Q845)*IF(Inputs!$B$4="pvp",1,(1-Summary!$B$55)*(1)+Summary!$B$55*(MIN(Skills!R12,Inputs!$B$37))),0)</f>
        <v/>
      </c>
      <c r="P845">
        <f>IF(B870=0,0,O845/B870)</f>
        <v/>
      </c>
      <c r="Q845">
        <f>IFERROR(1/IF(Inputs!$B$4="pvp",15,MAX(0.1,Skills!D12-IF(Skills!E12=TRUE,Inputs!$B$31,0))),0)</f>
        <v/>
      </c>
      <c r="R845">
        <f>IF(AND(Inputs!$B$4&lt;&gt;"pvp",Inputs!$B$35&gt;0),(INT(Inputs!$B$35/IF(Inputs!$B$4="pvp",15,MAX(0.1,Skills!D12-IF(Skills!E12=TRUE,Inputs!$B$31,0))))+1),0)</f>
        <v/>
      </c>
      <c r="S845">
        <f>IFERROR(O845/N845,0)</f>
        <v/>
      </c>
    </row>
    <row r="846">
      <c r="A846">
        <f>Skills!A13</f>
        <v/>
      </c>
      <c r="B846">
        <f>Skills!B13</f>
        <v/>
      </c>
      <c r="C846">
        <f>Inputs!$B$3&gt;=69</f>
        <v/>
      </c>
      <c r="D846">
        <f>IF(Skills!C13=1,60+Inputs!$B$24+(Inputs!$B$28+1),IF(Skills!C13=2,90+Inputs!$B$25+(Inputs!$B$28+1),IF(Skills!C13=3,120+Inputs!$B$26+(Inputs!$B$28+1),MAX(0,(Inputs!$B$3-100)*3)+Inputs!$B$27+(Inputs!$B$28+1))))</f>
        <v/>
      </c>
      <c r="E846">
        <f>INDEX(FactorTable!$B$2:$Y$301, MATCH(ROUND(MIN(300,MAX(1,D846)),0), FactorTable!$A$2:$A$301,0), Skills!M13+1)</f>
        <v/>
      </c>
      <c r="F846">
        <f>IF(Skills!N13=TRUE,(Skills!L13/10)*(E846/1000),Skills!L13/10)+Skills!O13</f>
        <v/>
      </c>
      <c r="G846">
        <f>Skills!G13*IF(Skills!H13&gt;0,Skills!I13/Skills!H13,1)</f>
        <v/>
      </c>
      <c r="H846">
        <f>1-(1-Skills!J13/100)^Skills!K13</f>
        <v/>
      </c>
      <c r="I846" t="inlineStr">
        <is>
          <t>1</t>
        </is>
      </c>
      <c r="J846" t="inlineStr"/>
      <c r="K846" t="inlineStr"/>
      <c r="L846" t="inlineStr"/>
      <c r="M846" t="inlineStr"/>
      <c r="N846" t="inlineStr"/>
      <c r="O846" t="n">
        <v>0</v>
      </c>
      <c r="P846">
        <f>IF(B870=0,0,O846/B870)</f>
        <v/>
      </c>
      <c r="Q846">
        <f>IFERROR(1/IF(Inputs!$B$4="pvp",15,MAX(0.1,Skills!D13-IF(Skills!E13=TRUE,Inputs!$B$31,0))),0)</f>
        <v/>
      </c>
      <c r="R846">
        <f>IF(AND(Inputs!$B$4&lt;&gt;"pvp",Inputs!$B$35&gt;0),(INT(Inputs!$B$35/IF(Inputs!$B$4="pvp",15,MAX(0.1,Skills!D13-IF(Skills!E13=TRUE,Inputs!$B$31,0))))+1),0)</f>
        <v/>
      </c>
      <c r="S846">
        <f>IFERROR(O846/N846,0)</f>
        <v/>
      </c>
    </row>
    <row r="847">
      <c r="A847">
        <f>Skills!A14</f>
        <v/>
      </c>
      <c r="B847">
        <f>Skills!B14</f>
        <v/>
      </c>
      <c r="C847">
        <f>Inputs!$B$3&gt;=115</f>
        <v/>
      </c>
      <c r="D847">
        <f>IF(Skills!C14=1,60+Inputs!$B$24+(Inputs!$B$28+1),IF(Skills!C14=2,90+Inputs!$B$25+(Inputs!$B$28+1),IF(Skills!C14=3,120+Inputs!$B$26+(Inputs!$B$28+1),MAX(0,(Inputs!$B$3-100)*3)+Inputs!$B$27+(Inputs!$B$28+1))))</f>
        <v/>
      </c>
      <c r="E847">
        <f>INDEX(FactorTable!$B$2:$Y$301, MATCH(ROUND(MIN(300,MAX(1,D847)),0), FactorTable!$A$2:$A$301,0), Skills!M14+1)</f>
        <v/>
      </c>
      <c r="F847">
        <f>IF(Skills!N14=TRUE,(Skills!L14/10)*(E847/1000),Skills!L14/10)+Skills!O14</f>
        <v/>
      </c>
      <c r="G847">
        <f>Skills!G14*IF(Skills!H14&gt;0,Skills!I14/Skills!H14,1)</f>
        <v/>
      </c>
      <c r="H847">
        <f>1-(1-Skills!J14/100)^Skills!K14</f>
        <v/>
      </c>
      <c r="I847" t="inlineStr">
        <is>
          <t>1</t>
        </is>
      </c>
      <c r="J847" t="inlineStr"/>
      <c r="K847" t="inlineStr"/>
      <c r="L847" t="inlineStr"/>
      <c r="M847" t="inlineStr"/>
      <c r="N847" t="inlineStr"/>
      <c r="O847" t="n">
        <v>0</v>
      </c>
      <c r="P847">
        <f>IF(B870=0,0,O847/B870)</f>
        <v/>
      </c>
      <c r="Q847">
        <f>IFERROR(1/IF(Inputs!$B$4="pvp",15,MAX(0.1,Skills!D14-IF(Skills!E14=TRUE,Inputs!$B$31,0))),0)</f>
        <v/>
      </c>
      <c r="R847">
        <f>IF(AND(Inputs!$B$4&lt;&gt;"pvp",Inputs!$B$35&gt;0),(INT(Inputs!$B$35/IF(Inputs!$B$4="pvp",15,MAX(0.1,Skills!D14-IF(Skills!E14=TRUE,Inputs!$B$31,0))))+1),0)</f>
        <v/>
      </c>
      <c r="S847">
        <f>IFERROR(O847/N847,0)</f>
        <v/>
      </c>
    </row>
    <row r="848">
      <c r="A848">
        <f>Skills!A15</f>
        <v/>
      </c>
      <c r="B848">
        <f>Skills!B15</f>
        <v/>
      </c>
      <c r="C848">
        <f>Inputs!$B$3&gt;=66</f>
        <v/>
      </c>
      <c r="D848">
        <f>IF(Skills!C15=1,60+Inputs!$B$24+(Inputs!$B$28+1),IF(Skills!C15=2,90+Inputs!$B$25+(Inputs!$B$28+1),IF(Skills!C15=3,120+Inputs!$B$26+(Inputs!$B$28+1),MAX(0,(Inputs!$B$3-100)*3)+Inputs!$B$27+(Inputs!$B$28+1))))</f>
        <v/>
      </c>
      <c r="E848">
        <f>INDEX(FactorTable!$B$2:$Y$301, MATCH(ROUND(MIN(300,MAX(1,D848)),0), FactorTable!$A$2:$A$301,0), Skills!M15+1)</f>
        <v/>
      </c>
      <c r="F848">
        <f>IF(Skills!N15=TRUE,(Skills!L15/10)*(E848/1000),Skills!L15/10)+Skills!O15</f>
        <v/>
      </c>
      <c r="G848">
        <f>Skills!G15*IF(Skills!H15&gt;0,Skills!I15/Skills!H15,1)</f>
        <v/>
      </c>
      <c r="H848">
        <f>1-(1-Skills!J15/100)^Skills!K15</f>
        <v/>
      </c>
      <c r="I848" t="inlineStr">
        <is>
          <t>1</t>
        </is>
      </c>
      <c r="J848" t="inlineStr"/>
      <c r="K848" t="inlineStr"/>
      <c r="L848" t="inlineStr"/>
      <c r="M848" t="inlineStr"/>
      <c r="N848" t="inlineStr"/>
      <c r="O848" t="n">
        <v>0</v>
      </c>
      <c r="P848">
        <f>IF(B870=0,0,O848/B870)</f>
        <v/>
      </c>
      <c r="Q848">
        <f>IFERROR(1/IF(Inputs!$B$4="pvp",15,MAX(0.1,Skills!D15-IF(Skills!E15=TRUE,Inputs!$B$31,0))),0)</f>
        <v/>
      </c>
      <c r="R848">
        <f>IF(AND(Inputs!$B$4&lt;&gt;"pvp",Inputs!$B$35&gt;0),(INT(Inputs!$B$35/IF(Inputs!$B$4="pvp",15,MAX(0.1,Skills!D15-IF(Skills!E15=TRUE,Inputs!$B$31,0))))+1),0)</f>
        <v/>
      </c>
      <c r="S848">
        <f>IFERROR(O848/N848,0)</f>
        <v/>
      </c>
    </row>
    <row r="849">
      <c r="A849">
        <f>Skills!A16</f>
        <v/>
      </c>
      <c r="B849">
        <f>Skills!B16</f>
        <v/>
      </c>
      <c r="C849">
        <f>Inputs!$B$3&gt;=45</f>
        <v/>
      </c>
      <c r="D849">
        <f>IF(Skills!C16=1,60+Inputs!$B$24+(Inputs!$B$28+1),IF(Skills!C16=2,90+Inputs!$B$25+(Inputs!$B$28+1),IF(Skills!C16=3,120+Inputs!$B$26+(Inputs!$B$28+1),MAX(0,(Inputs!$B$3-100)*3)+Inputs!$B$27+(Inputs!$B$28+1))))</f>
        <v/>
      </c>
      <c r="E849">
        <f>INDEX(FactorTable!$B$2:$Y$301, MATCH(ROUND(MIN(300,MAX(1,D849)),0), FactorTable!$A$2:$A$301,0), Skills!M16+1)</f>
        <v/>
      </c>
      <c r="F849">
        <f>IF(Skills!N16=TRUE,(Skills!L16/10)*(E849/1000),Skills!L16/10)+Skills!O16</f>
        <v/>
      </c>
      <c r="G849">
        <f>Skills!G16*IF(Skills!H16&gt;0,Skills!I16/Skills!H16,1)</f>
        <v/>
      </c>
      <c r="H849">
        <f>1-(1-Skills!J16/100)^Skills!K16</f>
        <v/>
      </c>
      <c r="I849" t="inlineStr">
        <is>
          <t>1</t>
        </is>
      </c>
      <c r="J849" t="inlineStr"/>
      <c r="K849" t="inlineStr"/>
      <c r="L849" t="inlineStr"/>
      <c r="M849" t="inlineStr"/>
      <c r="N849" t="inlineStr"/>
      <c r="O849" t="n">
        <v>0</v>
      </c>
      <c r="P849">
        <f>IF(B870=0,0,O849/B870)</f>
        <v/>
      </c>
      <c r="Q849">
        <f>IFERROR(1/IF(Inputs!$B$4="pvp",15,MAX(0.1,Skills!D16-IF(Skills!E16=TRUE,Inputs!$B$31,0))),0)</f>
        <v/>
      </c>
      <c r="R849">
        <f>IF(AND(Inputs!$B$4&lt;&gt;"pvp",Inputs!$B$35&gt;0),(INT(Inputs!$B$35/IF(Inputs!$B$4="pvp",15,MAX(0.1,Skills!D16-IF(Skills!E16=TRUE,Inputs!$B$31,0))))+1),0)</f>
        <v/>
      </c>
      <c r="S849">
        <f>IFERROR(O849/N849,0)</f>
        <v/>
      </c>
    </row>
    <row r="850">
      <c r="A850">
        <f>Skills!A17</f>
        <v/>
      </c>
      <c r="B850">
        <f>Skills!B17</f>
        <v/>
      </c>
      <c r="C850">
        <f>Inputs!$B$3&gt;=35</f>
        <v/>
      </c>
      <c r="D850">
        <f>IF(Skills!C17=1,60+Inputs!$B$24+(Inputs!$B$28+1),IF(Skills!C17=2,90+Inputs!$B$25+(Inputs!$B$28+1),IF(Skills!C17=3,120+Inputs!$B$26+(Inputs!$B$28+1),MAX(0,(Inputs!$B$3-100)*3)+Inputs!$B$27+(Inputs!$B$28+1))))</f>
        <v/>
      </c>
      <c r="E850">
        <f>INDEX(FactorTable!$B$2:$Y$301, MATCH(ROUND(MIN(300,MAX(1,D850)),0), FactorTable!$A$2:$A$301,0), Skills!M17+1)</f>
        <v/>
      </c>
      <c r="F850">
        <f>IF(Skills!N17=TRUE,(Skills!L17/10)*(E850/1000),Skills!L17/10)+Skills!O17</f>
        <v/>
      </c>
      <c r="G850">
        <f>Skills!G17*IF(Skills!H17&gt;0,Skills!I17/Skills!H17,1)</f>
        <v/>
      </c>
      <c r="H850">
        <f>1-(1-Skills!J17/100)^Skills!K17</f>
        <v/>
      </c>
      <c r="I850" t="inlineStr">
        <is>
          <t>1</t>
        </is>
      </c>
      <c r="J850" t="inlineStr"/>
      <c r="K850" t="inlineStr"/>
      <c r="L850" t="inlineStr"/>
      <c r="M850" t="inlineStr"/>
      <c r="N850" t="inlineStr"/>
      <c r="O850" t="n">
        <v>0</v>
      </c>
      <c r="P850">
        <f>IF(B870=0,0,O850/B870)</f>
        <v/>
      </c>
      <c r="Q850">
        <f>IFERROR(1/IF(Inputs!$B$4="pvp",15,MAX(0.1,Skills!D17-IF(Skills!E17=TRUE,Inputs!$B$31,0))),0)</f>
        <v/>
      </c>
      <c r="R850">
        <f>IF(AND(Inputs!$B$4&lt;&gt;"pvp",Inputs!$B$35&gt;0),(INT(Inputs!$B$35/IF(Inputs!$B$4="pvp",15,MAX(0.1,Skills!D17-IF(Skills!E17=TRUE,Inputs!$B$31,0))))+1),0)</f>
        <v/>
      </c>
      <c r="S850">
        <f>IFERROR(O850/N850,0)</f>
        <v/>
      </c>
    </row>
    <row r="851">
      <c r="A851">
        <f>Skills!A18</f>
        <v/>
      </c>
      <c r="B851">
        <f>Skills!B18</f>
        <v/>
      </c>
      <c r="C851">
        <f>Inputs!$B$3&gt;=72</f>
        <v/>
      </c>
      <c r="D851">
        <f>IF(Skills!C18=1,60+Inputs!$B$24+(Inputs!$B$28+1),IF(Skills!C18=2,90+Inputs!$B$25+(Inputs!$B$28+1),IF(Skills!C18=3,120+Inputs!$B$26+(Inputs!$B$28+1),MAX(0,(Inputs!$B$3-100)*3)+Inputs!$B$27+(Inputs!$B$28+1))))</f>
        <v/>
      </c>
      <c r="E851">
        <f>INDEX(FactorTable!$B$2:$Y$301, MATCH(ROUND(MIN(300,MAX(1,D851)),0), FactorTable!$A$2:$A$301,0), Skills!M18+1)</f>
        <v/>
      </c>
      <c r="F851">
        <f>IF(Skills!N18=TRUE,(Skills!L18/10)*(E851/1000),Skills!L18/10)+Skills!O18</f>
        <v/>
      </c>
      <c r="G851">
        <f>Skills!G18*IF(Skills!H18&gt;0,Skills!I18/Skills!H18,1)</f>
        <v/>
      </c>
      <c r="H851">
        <f>1-(1-Skills!J18/100)^Skills!K18</f>
        <v/>
      </c>
      <c r="I851" t="inlineStr">
        <is>
          <t>1</t>
        </is>
      </c>
      <c r="J851" t="inlineStr"/>
      <c r="K851" t="inlineStr"/>
      <c r="L851" t="inlineStr"/>
      <c r="M851" t="inlineStr"/>
      <c r="N851" t="inlineStr"/>
      <c r="O851" t="n">
        <v>0</v>
      </c>
      <c r="P851">
        <f>IF(B870=0,0,O851/B870)</f>
        <v/>
      </c>
      <c r="Q851">
        <f>IFERROR(1/IF(Inputs!$B$4="pvp",15,MAX(0.1,Skills!D18-IF(Skills!E18=TRUE,Inputs!$B$31,0))),0)</f>
        <v/>
      </c>
      <c r="R851">
        <f>IF(AND(Inputs!$B$4&lt;&gt;"pvp",Inputs!$B$35&gt;0),(INT(Inputs!$B$35/IF(Inputs!$B$4="pvp",15,MAX(0.1,Skills!D18-IF(Skills!E18=TRUE,Inputs!$B$31,0))))+1),0)</f>
        <v/>
      </c>
      <c r="S851">
        <f>IFERROR(O851/N851,0)</f>
        <v/>
      </c>
    </row>
    <row r="852">
      <c r="A852">
        <f>Skills!A19</f>
        <v/>
      </c>
      <c r="B852">
        <f>Skills!B19</f>
        <v/>
      </c>
      <c r="C852">
        <f>Inputs!$B$3&gt;=72</f>
        <v/>
      </c>
      <c r="D852">
        <f>IF(Skills!C19=1,60+Inputs!$B$24+(Inputs!$B$28+1),IF(Skills!C19=2,90+Inputs!$B$25+(Inputs!$B$28+1),IF(Skills!C19=3,120+Inputs!$B$26+(Inputs!$B$28+1),MAX(0,(Inputs!$B$3-100)*3)+Inputs!$B$27+(Inputs!$B$28+1))))</f>
        <v/>
      </c>
      <c r="E852">
        <f>INDEX(FactorTable!$B$2:$Y$301, MATCH(ROUND(MIN(300,MAX(1,D852)),0), FactorTable!$A$2:$A$301,0), Skills!M19+1)</f>
        <v/>
      </c>
      <c r="F852">
        <f>IF(Skills!N19=TRUE,(Skills!L19/10)*(E852/1000),Skills!L19/10)+Skills!O19</f>
        <v/>
      </c>
      <c r="G852">
        <f>Skills!G19*IF(Skills!H19&gt;0,Skills!I19/Skills!H19,1)</f>
        <v/>
      </c>
      <c r="H852">
        <f>1-(1-Skills!J19/100)^Skills!K19</f>
        <v/>
      </c>
      <c r="I852" t="inlineStr">
        <is>
          <t>1</t>
        </is>
      </c>
      <c r="J852" t="inlineStr"/>
      <c r="K852" t="inlineStr"/>
      <c r="L852" t="inlineStr"/>
      <c r="M852" t="inlineStr"/>
      <c r="N852" t="inlineStr"/>
      <c r="O852" t="n">
        <v>0</v>
      </c>
      <c r="P852">
        <f>IF(B870=0,0,O852/B870)</f>
        <v/>
      </c>
      <c r="Q852">
        <f>IFERROR(1/IF(Inputs!$B$4="pvp",15,MAX(0.1,Skills!D19-IF(Skills!E19=TRUE,Inputs!$B$31,0))),0)</f>
        <v/>
      </c>
      <c r="R852">
        <f>IF(AND(Inputs!$B$4&lt;&gt;"pvp",Inputs!$B$35&gt;0),(INT(Inputs!$B$35/IF(Inputs!$B$4="pvp",15,MAX(0.1,Skills!D19-IF(Skills!E19=TRUE,Inputs!$B$31,0))))+1),0)</f>
        <v/>
      </c>
      <c r="S852">
        <f>IFERROR(O852/N852,0)</f>
        <v/>
      </c>
    </row>
    <row r="853">
      <c r="A853">
        <f>Skills!A20</f>
        <v/>
      </c>
      <c r="B853">
        <f>Skills!B20</f>
        <v/>
      </c>
      <c r="C853">
        <f>TRUE</f>
        <v/>
      </c>
      <c r="D853">
        <f>IF(Skills!C20=1,60+Inputs!$B$24+(Inputs!$B$28+1),IF(Skills!C20=2,90+Inputs!$B$25+(Inputs!$B$28+1),IF(Skills!C20=3,120+Inputs!$B$26+(Inputs!$B$28+1),MAX(0,(Inputs!$B$3-100)*3)+Inputs!$B$27+(Inputs!$B$28+1))))</f>
        <v/>
      </c>
      <c r="E853">
        <f>INDEX(FactorTable!$B$2:$Y$301, MATCH(ROUND(MIN(300,MAX(1,D853)),0), FactorTable!$A$2:$A$301,0), Skills!M20+1)</f>
        <v/>
      </c>
      <c r="F853">
        <f>IF(Skills!N20=TRUE,(Skills!L20/10)*(E853/1000),Skills!L20/10)+Skills!O20</f>
        <v/>
      </c>
      <c r="G853">
        <f>Skills!G20*IF(Skills!H20&gt;0,Skills!I20/Skills!H20,1)</f>
        <v/>
      </c>
      <c r="H853">
        <f>1-(1-Skills!J20/100)^Skills!K20</f>
        <v/>
      </c>
      <c r="I853" t="inlineStr">
        <is>
          <t>1</t>
        </is>
      </c>
      <c r="J853" t="inlineStr"/>
      <c r="K853" t="inlineStr"/>
      <c r="L853" t="inlineStr"/>
      <c r="M853" t="inlineStr"/>
      <c r="N853" t="inlineStr"/>
      <c r="O853" t="n">
        <v>0</v>
      </c>
      <c r="P853">
        <f>IF(B870=0,0,O853/B870)</f>
        <v/>
      </c>
      <c r="Q853">
        <f>IFERROR(1/IF(Inputs!$B$4="pvp",15,MAX(0.1,Skills!D20-IF(Skills!E20=TRUE,Inputs!$B$31,0))),0)</f>
        <v/>
      </c>
      <c r="R853">
        <f>IF(AND(Inputs!$B$4&lt;&gt;"pvp",Inputs!$B$35&gt;0),(INT(Inputs!$B$35/IF(Inputs!$B$4="pvp",15,MAX(0.1,Skills!D20-IF(Skills!E20=TRUE,Inputs!$B$31,0))))+1),0)</f>
        <v/>
      </c>
      <c r="S853">
        <f>IFERROR(O853/N853,0)</f>
        <v/>
      </c>
    </row>
    <row r="854">
      <c r="A854">
        <f>Skills!A21</f>
        <v/>
      </c>
      <c r="B854">
        <f>Skills!B21</f>
        <v/>
      </c>
      <c r="C854">
        <f>Inputs!$B$3&gt;=33</f>
        <v/>
      </c>
      <c r="D854">
        <f>IF(Skills!C21=1,60+Inputs!$B$24+(Inputs!$B$28+1),IF(Skills!C21=2,90+Inputs!$B$25+(Inputs!$B$28+1),IF(Skills!C21=3,120+Inputs!$B$26+(Inputs!$B$28+1),MAX(0,(Inputs!$B$3-100)*3)+Inputs!$B$27+(Inputs!$B$28+1))))</f>
        <v/>
      </c>
      <c r="E854">
        <f>INDEX(FactorTable!$B$2:$Y$301, MATCH(ROUND(MIN(300,MAX(1,D854)),0), FactorTable!$A$2:$A$301,0), Skills!M21+1)</f>
        <v/>
      </c>
      <c r="F854">
        <f>IF(Skills!N21=TRUE,(Skills!L21/10)*(E854/1000),Skills!L21/10)+Skills!O21</f>
        <v/>
      </c>
      <c r="G854">
        <f>Skills!G21*IF(Skills!H21&gt;0,Skills!I21/Skills!H21,1)</f>
        <v/>
      </c>
      <c r="H854">
        <f>1-(1-Skills!J21/100)^Skills!K21</f>
        <v/>
      </c>
      <c r="I854" t="inlineStr">
        <is>
          <t>1</t>
        </is>
      </c>
      <c r="J854" t="inlineStr"/>
      <c r="K854" t="inlineStr"/>
      <c r="L854" t="inlineStr"/>
      <c r="M854" t="inlineStr"/>
      <c r="N854" t="inlineStr"/>
      <c r="O854" t="n">
        <v>0</v>
      </c>
      <c r="P854">
        <f>IF(B870=0,0,O854/B870)</f>
        <v/>
      </c>
      <c r="Q854" t="n">
        <v>0</v>
      </c>
      <c r="R854" t="n">
        <v>0</v>
      </c>
      <c r="S854">
        <f>IFERROR(O854/N854,0)</f>
        <v/>
      </c>
    </row>
    <row r="855">
      <c r="A855">
        <f>Skills!A22</f>
        <v/>
      </c>
      <c r="B855">
        <f>Skills!B22</f>
        <v/>
      </c>
      <c r="C855">
        <f>Inputs!$B$3&gt;=43</f>
        <v/>
      </c>
      <c r="D855">
        <f>IF(Skills!C22=1,60+Inputs!$B$24+(Inputs!$B$28+1),IF(Skills!C22=2,90+Inputs!$B$25+(Inputs!$B$28+1),IF(Skills!C22=3,120+Inputs!$B$26+(Inputs!$B$28+1),MAX(0,(Inputs!$B$3-100)*3)+Inputs!$B$27+(Inputs!$B$28+1))))</f>
        <v/>
      </c>
      <c r="E855">
        <f>INDEX(FactorTable!$B$2:$Y$301, MATCH(ROUND(MIN(300,MAX(1,D855)),0), FactorTable!$A$2:$A$301,0), Skills!M22+1)</f>
        <v/>
      </c>
      <c r="F855">
        <f>IF(Skills!N22=TRUE,(Skills!L22/10)*(E855/1000),Skills!L22/10)+Skills!O22</f>
        <v/>
      </c>
      <c r="G855">
        <f>Skills!G22*IF(Skills!H22&gt;0,Skills!I22/Skills!H22,1)</f>
        <v/>
      </c>
      <c r="H855">
        <f>1-(1-Skills!J22/100)^Skills!K22</f>
        <v/>
      </c>
      <c r="I855" t="inlineStr">
        <is>
          <t>1</t>
        </is>
      </c>
      <c r="J855" t="inlineStr"/>
      <c r="K855" t="inlineStr"/>
      <c r="L855" t="inlineStr"/>
      <c r="M855" t="inlineStr"/>
      <c r="N855" t="inlineStr"/>
      <c r="O855" t="n">
        <v>0</v>
      </c>
      <c r="P855">
        <f>IF(B870=0,0,O855/B870)</f>
        <v/>
      </c>
      <c r="Q855" t="n">
        <v>0</v>
      </c>
      <c r="R855" t="n">
        <v>0</v>
      </c>
      <c r="S855">
        <f>IFERROR(O855/N855,0)</f>
        <v/>
      </c>
    </row>
    <row r="856">
      <c r="A856">
        <f>Skills!A23</f>
        <v/>
      </c>
      <c r="B856">
        <f>Skills!B23</f>
        <v/>
      </c>
      <c r="C856">
        <f>Inputs!$B$3&gt;=120</f>
        <v/>
      </c>
      <c r="D856">
        <f>IF(Skills!C23=1,60+Inputs!$B$24+(Inputs!$B$28+1),IF(Skills!C23=2,90+Inputs!$B$25+(Inputs!$B$28+1),IF(Skills!C23=3,120+Inputs!$B$26+(Inputs!$B$28+1),MAX(0,(Inputs!$B$3-100)*3)+Inputs!$B$27+(Inputs!$B$28+1))))</f>
        <v/>
      </c>
      <c r="E856">
        <f>INDEX(FactorTable!$B$2:$Y$301, MATCH(ROUND(MIN(300,MAX(1,D856)),0), FactorTable!$A$2:$A$301,0), Skills!M23+1)</f>
        <v/>
      </c>
      <c r="F856">
        <f>IF(Skills!N23=TRUE,(Skills!L23/10)*(E856/1000),Skills!L23/10)+Skills!O23</f>
        <v/>
      </c>
      <c r="G856">
        <f>Skills!G23*IF(Skills!H23&gt;0,Skills!I23/Skills!H23,1)</f>
        <v/>
      </c>
      <c r="H856">
        <f>1-(1-Skills!J23/100)^Skills!K23</f>
        <v/>
      </c>
      <c r="I856" t="inlineStr">
        <is>
          <t>1</t>
        </is>
      </c>
      <c r="J856" t="inlineStr"/>
      <c r="K856" t="inlineStr"/>
      <c r="L856" t="inlineStr"/>
      <c r="M856" t="inlineStr"/>
      <c r="N856" t="inlineStr"/>
      <c r="O856" t="n">
        <v>0</v>
      </c>
      <c r="P856">
        <f>IF(B870=0,0,O856/B870)</f>
        <v/>
      </c>
      <c r="Q856" t="n">
        <v>0</v>
      </c>
      <c r="R856" t="n">
        <v>0</v>
      </c>
      <c r="S856">
        <f>IFERROR(O856/N856,0)</f>
        <v/>
      </c>
    </row>
    <row r="857">
      <c r="A857">
        <f>Skills!A24</f>
        <v/>
      </c>
      <c r="B857">
        <f>Skills!B24</f>
        <v/>
      </c>
      <c r="C857">
        <f>Inputs!$B$3&gt;=120</f>
        <v/>
      </c>
      <c r="D857">
        <f>IF(Skills!C24=1,60+Inputs!$B$24+(Inputs!$B$28+1),IF(Skills!C24=2,90+Inputs!$B$25+(Inputs!$B$28+1),IF(Skills!C24=3,120+Inputs!$B$26+(Inputs!$B$28+1),MAX(0,(Inputs!$B$3-100)*3)+Inputs!$B$27+(Inputs!$B$28+1))))</f>
        <v/>
      </c>
      <c r="E857">
        <f>INDEX(FactorTable!$B$2:$Y$301, MATCH(ROUND(MIN(300,MAX(1,D857)),0), FactorTable!$A$2:$A$301,0), Skills!M24+1)</f>
        <v/>
      </c>
      <c r="F857">
        <f>IF(Skills!N24=TRUE,(Skills!L24/10)*(E857/1000),Skills!L24/10)+Skills!O24</f>
        <v/>
      </c>
      <c r="G857">
        <f>Skills!G24*IF(Skills!H24&gt;0,Skills!I24/Skills!H24,1)</f>
        <v/>
      </c>
      <c r="H857">
        <f>1-(1-Skills!J24/100)^Skills!K24</f>
        <v/>
      </c>
      <c r="I857" t="inlineStr">
        <is>
          <t>1</t>
        </is>
      </c>
      <c r="J857" t="inlineStr"/>
      <c r="K857" t="inlineStr"/>
      <c r="L857" t="inlineStr"/>
      <c r="M857" t="inlineStr"/>
      <c r="N857" t="inlineStr"/>
      <c r="O857" t="n">
        <v>0</v>
      </c>
      <c r="P857">
        <f>IF(B870=0,0,O857/B870)</f>
        <v/>
      </c>
      <c r="Q857" t="n">
        <v>0</v>
      </c>
      <c r="R857" t="n">
        <v>0</v>
      </c>
      <c r="S857">
        <f>IFERROR(O857/N857,0)</f>
        <v/>
      </c>
    </row>
    <row r="858">
      <c r="A858">
        <f>Skills!A25</f>
        <v/>
      </c>
      <c r="B858">
        <f>Skills!B25</f>
        <v/>
      </c>
      <c r="C858">
        <f>Inputs!$B$3&gt;=125</f>
        <v/>
      </c>
      <c r="D858">
        <f>IF(Skills!C25=1,60+Inputs!$B$24+(Inputs!$B$28+1),IF(Skills!C25=2,90+Inputs!$B$25+(Inputs!$B$28+1),IF(Skills!C25=3,120+Inputs!$B$26+(Inputs!$B$28+1),MAX(0,(Inputs!$B$3-100)*3)+Inputs!$B$27+(Inputs!$B$28+1))))</f>
        <v/>
      </c>
      <c r="E858">
        <f>INDEX(FactorTable!$B$2:$Y$301, MATCH(ROUND(MIN(300,MAX(1,D858)),0), FactorTable!$A$2:$A$301,0), Skills!M25+1)</f>
        <v/>
      </c>
      <c r="F858">
        <f>IF(Skills!N25=TRUE,(Skills!L25/10)*(E858/1000),Skills!L25/10)+Skills!O25</f>
        <v/>
      </c>
      <c r="G858">
        <f>Skills!G25*IF(Skills!H25&gt;0,Skills!I25/Skills!H25,1)</f>
        <v/>
      </c>
      <c r="H858">
        <f>1-(1-Skills!J25/100)^Skills!K25</f>
        <v/>
      </c>
      <c r="I858" t="inlineStr">
        <is>
          <t>1</t>
        </is>
      </c>
      <c r="J858" t="inlineStr"/>
      <c r="K858" t="inlineStr"/>
      <c r="L858" t="inlineStr"/>
      <c r="M858" t="inlineStr"/>
      <c r="N858" t="inlineStr"/>
      <c r="O858" t="n">
        <v>0</v>
      </c>
      <c r="P858">
        <f>IF(B870=0,0,O858/B870)</f>
        <v/>
      </c>
      <c r="Q858" t="n">
        <v>0</v>
      </c>
      <c r="R858" t="n">
        <v>0</v>
      </c>
      <c r="S858">
        <f>IFERROR(O858/N858,0)</f>
        <v/>
      </c>
    </row>
    <row r="859">
      <c r="A859">
        <f>Skills!A26</f>
        <v/>
      </c>
      <c r="B859">
        <f>Skills!B26</f>
        <v/>
      </c>
      <c r="C859">
        <f>Inputs!$B$3&gt;=107</f>
        <v/>
      </c>
      <c r="D859">
        <f>IF(Skills!C26=1,60+Inputs!$B$24+(Inputs!$B$28+1),IF(Skills!C26=2,90+Inputs!$B$25+(Inputs!$B$28+1),IF(Skills!C26=3,120+Inputs!$B$26+(Inputs!$B$28+1),MAX(0,(Inputs!$B$3-100)*3)+Inputs!$B$27+(Inputs!$B$28+1))))</f>
        <v/>
      </c>
      <c r="E859">
        <f>INDEX(FactorTable!$B$2:$Y$301, MATCH(ROUND(MIN(300,MAX(1,D859)),0), FactorTable!$A$2:$A$301,0), Skills!M26+1)</f>
        <v/>
      </c>
      <c r="F859">
        <f>IF(Skills!N26=TRUE,(Skills!L26/10)*(E859/1000),Skills!L26/10)+Skills!O26</f>
        <v/>
      </c>
      <c r="G859">
        <f>Skills!G26*IF(Skills!H26&gt;0,Skills!I26/Skills!H26,1)</f>
        <v/>
      </c>
      <c r="H859">
        <f>1-(1-Skills!J26/100)^Skills!K26</f>
        <v/>
      </c>
      <c r="I859" t="inlineStr">
        <is>
          <t>1</t>
        </is>
      </c>
      <c r="J859" t="inlineStr"/>
      <c r="K859" t="inlineStr"/>
      <c r="L859" t="inlineStr"/>
      <c r="M859" t="inlineStr"/>
      <c r="N859" t="inlineStr"/>
      <c r="O859" t="n">
        <v>0</v>
      </c>
      <c r="P859">
        <f>IF(B870=0,0,O859/B870)</f>
        <v/>
      </c>
      <c r="Q859" t="n">
        <v>0</v>
      </c>
      <c r="R859" t="n">
        <v>0</v>
      </c>
      <c r="S859">
        <f>IFERROR(O859/N859,0)</f>
        <v/>
      </c>
    </row>
    <row r="861">
      <c r="A861" t="inlineStr">
        <is>
          <t>Attack% Bucket Multiplier</t>
        </is>
      </c>
      <c r="B861">
        <f>(1+(((C846=TRUE)*F846*IF(AND(Inputs!$B$4&lt;&gt;"pvp",Inputs!$B$35&gt;0),(((S846-1)*(Skills!T13*(1+Inputs!$B$33/100))+MIN((Skills!T13*(1+Inputs!$B$33/100)),MAX(0,Inputs!$B$35-((S846-1)*Skills!D13))))/Inputs!$B$35),IF(Inputs!$B$4="pvp",MIN((Skills!T13*(1+Inputs!$B$33/100)),15)/15,(Skills!T13*(1+Inputs!$B$33/100))/Skills!D13)))+((C847=TRUE)*F847*IF(AND(Inputs!$B$4&lt;&gt;"pvp",Inputs!$B$35&gt;0),(((S847-1)*(Skills!T14*(1+Inputs!$B$33/100))+MIN((Skills!T14*(1+Inputs!$B$33/100)),MAX(0,Inputs!$B$35-((S847-1)*Skills!D14))))/Inputs!$B$35),IF(Inputs!$B$4="pvp",MIN((Skills!T14*(1+Inputs!$B$33/100)),15)/15,(Skills!T14*(1+Inputs!$B$33/100))/Skills!D14)))+((C848=TRUE)*F848*IF(AND(Inputs!$B$4&lt;&gt;"pvp",Inputs!$B$35&gt;0),(((S848-1)*(Skills!T15*(1+Inputs!$B$33/100))+MIN((Skills!T15*(1+Inputs!$B$33/100)),MAX(0,Inputs!$B$35-((S848-1)*Skills!D15))))/Inputs!$B$35),IF(Inputs!$B$4="pvp",MIN((Skills!T15*(1+Inputs!$B$33/100)),15)/15,(Skills!T15*(1+Inputs!$B$33/100))/Skills!D15)))+((C849=TRUE)*F849*IF(AND(Inputs!$B$4&lt;&gt;"pvp",Inputs!$B$35&gt;0),(((S849-1)*(Skills!T16*(1+Inputs!$B$33/100))+MIN((Skills!T16*(1+Inputs!$B$33/100)),MAX(0,Inputs!$B$35-((S849-1)*Skills!D16))))/Inputs!$B$35),IF(Inputs!$B$4="pvp",MIN((Skills!T16*(1+Inputs!$B$33/100)),15)/15,(Skills!T16*(1+Inputs!$B$33/100))/Skills!D16)))+0)/100)</f>
        <v/>
      </c>
    </row>
    <row r="862">
      <c r="A862" t="inlineStr">
        <is>
          <t>Global Crit Rate Bonus % (Lord of Darkness)</t>
        </is>
      </c>
      <c r="B862">
        <f>((C851=TRUE)*F851*(Skills!J18/100)*IF(AND(Inputs!$B$4&lt;&gt;"pvp",Inputs!$B$35&gt;0),(((S851-1)*(Skills!T18*(1+Inputs!$B$33/100))+MIN((Skills!T18*(1+Inputs!$B$33/100)),MAX(0,Inputs!$B$35-((S851-1)*Skills!D18))))/Inputs!$B$35),IF(Inputs!$B$4="pvp",MIN((Skills!T18*(1+Inputs!$B$33/100)),15)/15,(Skills!T18*(1+Inputs!$B$33/100))/Skills!D18)))</f>
        <v/>
      </c>
    </row>
    <row r="863">
      <c r="A863" t="inlineStr">
        <is>
          <t>Attack Speed Buff Bonus %</t>
        </is>
      </c>
      <c r="B863">
        <f>((C853=TRUE)*F853*IF(AND(Inputs!$B$4&lt;&gt;"pvp",Inputs!$B$35&gt;0),(((S853-1)*(Skills!T20*(1+Inputs!$B$33/100))+MIN((Skills!T20*(1+Inputs!$B$33/100)),MAX(0,Inputs!$B$35-((S853-1)*Skills!D20))))/Inputs!$B$35),IF(Inputs!$B$4="pvp",MIN((Skills!T20*(1+Inputs!$B$33/100)),15)/15,(Skills!T20*(1+Inputs!$B$33/100))/Skills!D20)))</f>
        <v/>
      </c>
    </row>
    <row r="864">
      <c r="A864" t="inlineStr">
        <is>
          <t>Actions Per Second</t>
        </is>
      </c>
      <c r="B864">
        <f>1+MIN(150,150*(1-(1-(Inputs!$B$10+((C854=TRUE)*(F854-Calc!F21)))/150)*(1-B863/150)))/100</f>
        <v/>
      </c>
    </row>
    <row r="865">
      <c r="A865" t="inlineStr">
        <is>
          <t>Skill + Buff Cast Rate</t>
        </is>
      </c>
      <c r="B865">
        <f>IF(AND(Inputs!$B$4&lt;&gt;"pvp",Inputs!$B$35&gt;0),SUMPRODUCT((Skills!E2:E26=TRUE)*(C835:C859=TRUE)*R835:R859*Skills!F2:F26)/Inputs!$B$35,SUMPRODUCT((Skills!E2:E26=TRUE)*(C835:C859=TRUE)*Q835:Q859*Skills!F2:F26))</f>
        <v/>
      </c>
    </row>
    <row r="866">
      <c r="A866" t="inlineStr">
        <is>
          <t>Dark Impale Casts Per Second</t>
        </is>
      </c>
      <c r="B866">
        <f>MAX(0,B864-B865)</f>
        <v/>
      </c>
    </row>
    <row r="867">
      <c r="A867" t="inlineStr">
        <is>
          <t>Global Critical Damage Bonus % (Lord of Darkness)</t>
        </is>
      </c>
      <c r="B867">
        <f>((C852=TRUE)*F852*(Skills!J19/100)*IF(AND(Inputs!$B$4&lt;&gt;"pvp",Inputs!$B$35&gt;0),(((S852-1)*(Skills!T19*(1+Inputs!$B$33/100))+MIN((Skills!T19*(1+Inputs!$B$33/100)),MAX(0,Inputs!$B$35-((S852-1)*Skills!D19))))/Inputs!$B$35),IF(Inputs!$B$4="pvp",MIN((Skills!T19*(1+Inputs!$B$33/100)),15)/15,(Skills!T19*(1+Inputs!$B$33/100))/Skills!D19)))</f>
        <v/>
      </c>
    </row>
    <row r="868">
      <c r="A868" t="inlineStr">
        <is>
          <t>Global Final Damage Bonus % (unused)</t>
        </is>
      </c>
      <c r="B868" t="n">
        <v>0</v>
      </c>
    </row>
    <row r="870">
      <c r="A870" s="5" t="inlineStr">
        <is>
          <t>TOTAL DPS</t>
        </is>
      </c>
      <c r="B870" s="5">
        <f>SUM(O835:O859)</f>
        <v/>
      </c>
    </row>
    <row r="873">
      <c r="A873" s="5" t="inlineStr">
        <is>
          <t>Stat: Flat ATTACK</t>
        </is>
      </c>
    </row>
    <row r="874">
      <c r="A874" s="8" t="inlineStr">
        <is>
          <t>Key</t>
        </is>
      </c>
      <c r="B874" s="8" t="inlineStr">
        <is>
          <t>Name</t>
        </is>
      </c>
      <c r="C874" s="8" t="inlineStr">
        <is>
          <t>Unlocked</t>
        </is>
      </c>
      <c r="D874" s="8" t="inlineStr">
        <is>
          <t>InputLevel</t>
        </is>
      </c>
      <c r="E874" s="8" t="inlineStr">
        <is>
          <t>Factor</t>
        </is>
      </c>
      <c r="F874" s="8" t="inlineStr">
        <is>
          <t>CoefficientPercent</t>
        </is>
      </c>
      <c r="G874" s="8" t="inlineStr">
        <is>
          <t>EffectiveHits</t>
        </is>
      </c>
      <c r="H874" s="8" t="inlineStr">
        <is>
          <t>ProcProbability</t>
        </is>
      </c>
      <c r="I874" s="8" t="inlineStr">
        <is>
          <t>MapleHeroMultiplier</t>
        </is>
      </c>
      <c r="J874" s="8" t="inlineStr">
        <is>
          <t>BaseDamage</t>
        </is>
      </c>
      <c r="K874" s="8" t="inlineStr">
        <is>
          <t>BaseHitDamage</t>
        </is>
      </c>
      <c r="L874" s="8" t="inlineStr">
        <is>
          <t>NonCritAvg</t>
        </is>
      </c>
      <c r="M874" s="8" t="inlineStr">
        <is>
          <t>CritAvg</t>
        </is>
      </c>
      <c r="N874" s="8" t="inlineStr">
        <is>
          <t>ExpectedDamage(perHit)</t>
        </is>
      </c>
      <c r="O874" s="8" t="inlineStr">
        <is>
          <t>DPS</t>
        </is>
      </c>
      <c r="P874" s="8" t="inlineStr">
        <is>
          <t>% of Total</t>
        </is>
      </c>
      <c r="Q874" s="8" t="inlineStr">
        <is>
          <t>InvCooldown</t>
        </is>
      </c>
      <c r="R874" s="8" t="inlineStr">
        <is>
          <t>CastsInFight</t>
        </is>
      </c>
      <c r="S874" s="8" t="inlineStr">
        <is>
          <t>HitRate(perSec)</t>
        </is>
      </c>
      <c r="U874" t="inlineStr">
        <is>
          <t>helpers</t>
        </is>
      </c>
    </row>
    <row r="875">
      <c r="A875">
        <f>Skills!A2</f>
        <v/>
      </c>
      <c r="B875">
        <f>Skills!B2</f>
        <v/>
      </c>
      <c r="C875">
        <f>Inputs!$B$3&gt;=100</f>
        <v/>
      </c>
      <c r="D875" t="inlineStr"/>
      <c r="E875" t="inlineStr"/>
      <c r="F875">
        <f>U877+Skills!O2</f>
        <v/>
      </c>
      <c r="G875">
        <f>Skills!G2*IF(Skills!H2&gt;0,Skills!I2/Skills!H2,1)</f>
        <v/>
      </c>
      <c r="H875">
        <f>1-(1-Skills!J2/100)^Skills!K2</f>
        <v/>
      </c>
      <c r="I875" t="inlineStr">
        <is>
          <t>1</t>
        </is>
      </c>
      <c r="J875">
        <f>((Inputs!$B$5+1)*(1+Inputs!$B$6/100))*(F875/100)</f>
        <v/>
      </c>
      <c r="K875">
        <f>J875*(1+((Inputs!$B$11*(1+Inputs!$B$12/100))*0.01+Inputs!$B$13*0.0025)/100)*(1+Inputs!$B$14/100)*(1+IF(Inputs!$B$4="pvp",0,(1-Summary!$B$55)*(Inputs!$B$19+0+Skills!P2+((C890=TRUE)*F890*IF(AND(Inputs!$B$4&lt;&gt;"pvp",Inputs!$B$35&gt;0),(((S890-1)*(Skills!T17*(1+Inputs!$B$33/100))+MIN((Skills!T17*(1+Inputs!$B$33/100)),MAX(0,Inputs!$B$35-((S890-1)*Skills!D17))))/Inputs!$B$35),IF(Inputs!$B$4="pvp",MIN((Skills!T17*(1+Inputs!$B$33/100)),15)/15,(Skills!T17*(1+Inputs!$B$33/100))/Skills!D17)))+((C887=TRUE)*IF(Inputs!$B$4="pvp",20,(1-Summary!$B$55)*(20)+Summary!$B$55*(0))*IF(AND(Inputs!$B$4&lt;&gt;"pvp",Inputs!$B$35&gt;0),(((S887-1)*(Skills!T14*(1+Inputs!$B$33/100))+MIN((Skills!T14*(1+Inputs!$B$33/100)),MAX(0,Inputs!$B$35-((S887-1)*Skills!D14))))/Inputs!$B$35),IF(Inputs!$B$4="pvp",MIN((Skills!T14*(1+Inputs!$B$33/100)),15)/15,(Skills!T14*(1+Inputs!$B$33/100))/Skills!D14))))+Summary!$B$55*(Inputs!$B$20+Skills!Q2+((C890=TRUE)*F890*IF(AND(Inputs!$B$4&lt;&gt;"pvp",Inputs!$B$35&gt;0),(((S890-1)*(Skills!T17*(1+Inputs!$B$33/100))+MIN((Skills!T17*(1+Inputs!$B$33/100)),MAX(0,Inputs!$B$35-((S890-1)*Skills!D17))))/Inputs!$B$35),IF(Inputs!$B$4="pvp",MIN((Skills!T17*(1+Inputs!$B$33/100)),15)/15,(Skills!T17*(1+Inputs!$B$33/100))/Skills!D17)))))/100)*(1+Inputs!$B$15/100)*(5000/(6000+Inputs!$B$7*(1-(Inputs!$B$18+0)/100)))*(1+(Inputs!$B$23+((C898=TRUE)*(F898-Calc!F25))+((C899=TRUE)*(F899-Calc!F26))+B908)/100)*(1+(IF(Skills!A2="DARK_IMPALE",Inputs!$B$16+0,Inputs!$B$17+((C896=TRUE)*(F896-Calc!F23))))/100)*((1+(((C886=TRUE)*F886*IF(AND(Inputs!$B$4&lt;&gt;"pvp",Inputs!$B$35&gt;0),(((S886-1)*(Skills!T13*(1+Inputs!$B$33/100))+MIN((Skills!T13*(1+Inputs!$B$33/100)),MAX(0,Inputs!$B$35-((S886-1)*Skills!D13))))/Inputs!$B$35),IF(Inputs!$B$4="pvp",MIN((Skills!T13*(1+Inputs!$B$33/100)),15)/15,(Skills!T13*(1+Inputs!$B$33/100))/Skills!D13)))+((C887=TRUE)*F887*IF(AND(Inputs!$B$4&lt;&gt;"pvp",Inputs!$B$35&gt;0),(((S887-1)*(Skills!T14*(1+Inputs!$B$33/100))+MIN((Skills!T14*(1+Inputs!$B$33/100)),MAX(0,Inputs!$B$35-((S887-1)*Skills!D14))))/Inputs!$B$35),IF(Inputs!$B$4="pvp",MIN((Skills!T14*(1+Inputs!$B$33/100)),15)/15,(Skills!T14*(1+Inputs!$B$33/100))/Skills!D14)))+((C888=TRUE)*F888*IF(AND(Inputs!$B$4&lt;&gt;"pvp",Inputs!$B$35&gt;0),(((S888-1)*(Skills!T15*(1+Inputs!$B$33/100))+MIN((Skills!T15*(1+Inputs!$B$33/100)),MAX(0,Inputs!$B$35-((S888-1)*Skills!D15))))/Inputs!$B$35),IF(Inputs!$B$4="pvp",MIN((Skills!T15*(1+Inputs!$B$33/100)),15)/15,(Skills!T15*(1+Inputs!$B$33/100))/Skills!D15)))+((C889=TRUE)*F889*IF(AND(Inputs!$B$4&lt;&gt;"pvp",Inputs!$B$35&gt;0),(((S889-1)*(Skills!T16*(1+Inputs!$B$33/100))+MIN((Skills!T16*(1+Inputs!$B$33/100)),MAX(0,Inputs!$B$35-((S889-1)*Skills!D16))))/Inputs!$B$35),IF(Inputs!$B$4="pvp",MIN((Skills!T16*(1+Inputs!$B$33/100)),15)/15,(Skills!T16*(1+Inputs!$B$33/100))/Skills!D16)))+0)/100)*I875)</f>
        <v/>
      </c>
      <c r="L875">
        <f>K875*(MIN(Inputs!$B$21+((C895=TRUE)*(F895-Calc!F22)),Inputs!$B$22+((C897=TRUE)*(F897-Calc!F24)))/100+(Inputs!$B$22+((C897=TRUE)*(F897-Calc!F24)))/100)/2</f>
        <v/>
      </c>
      <c r="M875">
        <f>L875*(1+(Inputs!$B$9+0+B907)/100)</f>
        <v/>
      </c>
      <c r="N875">
        <f>L875*(1-MIN((Inputs!$B$8+0+B902),100)/100)+M875*(MIN((Inputs!$B$8+0+B902),100)/100)</f>
        <v/>
      </c>
      <c r="O875">
        <f>IF(C875,Skills!G2*N875*B906*IF(Inputs!$B$4="pvp",1,(1-Summary!$B$55)*(1)+Summary!$B$55*(MIN((6+Inputs!$B$32),Inputs!$B$37))),0)</f>
        <v/>
      </c>
      <c r="P875">
        <f>IF(B910=0,0,O875/B910)</f>
        <v/>
      </c>
      <c r="Q875" t="n">
        <v>0</v>
      </c>
      <c r="R875" t="n">
        <v>0</v>
      </c>
      <c r="S875">
        <f>IFERROR(O875/N875,0)</f>
        <v/>
      </c>
      <c r="U875">
        <f>MAX(0,(Inputs!$B$3-100)*3)+Inputs!$B$27+Inputs!$B$28</f>
        <v/>
      </c>
    </row>
    <row r="876">
      <c r="A876">
        <f>Skills!A3</f>
        <v/>
      </c>
      <c r="B876">
        <f>Skills!B3</f>
        <v/>
      </c>
      <c r="C876">
        <f>Inputs!$B$3&gt;=50</f>
        <v/>
      </c>
      <c r="D876">
        <f>IF(Skills!C3=1,60+Inputs!$B$24+Inputs!$B$28,IF(Skills!C3=2,90+Inputs!$B$25+Inputs!$B$28,IF(Skills!C3=3,120+Inputs!$B$26+Inputs!$B$28,MAX(0,(Inputs!$B$3-100)*3)+Inputs!$B$27+Inputs!$B$28)))</f>
        <v/>
      </c>
      <c r="E876">
        <f>INDEX(FactorTable!$B$2:$Y$301, MATCH(ROUND(MIN(300,MAX(1,D876)),0), FactorTable!$A$2:$A$301,0), Skills!M3+1)</f>
        <v/>
      </c>
      <c r="F876">
        <f>IF(Skills!N3=TRUE,(Skills!L3/10)*(E876/1000),Skills!L3/10)+Skills!O3</f>
        <v/>
      </c>
      <c r="G876" t="inlineStr"/>
      <c r="H876" t="inlineStr"/>
      <c r="I876" t="inlineStr">
        <is>
          <t>1</t>
        </is>
      </c>
      <c r="J876" t="inlineStr"/>
      <c r="K876" t="inlineStr"/>
      <c r="L876" t="inlineStr"/>
      <c r="M876" t="inlineStr"/>
      <c r="N876" t="inlineStr"/>
      <c r="O876" t="inlineStr"/>
      <c r="P876" t="inlineStr"/>
      <c r="Q876" t="inlineStr"/>
      <c r="R876" t="inlineStr"/>
      <c r="S876" t="inlineStr"/>
      <c r="U876">
        <f>INDEX(FactorTable!$B$2:$Y$301, MATCH(ROUND(MIN(300,MAX(1,U875)),0), FactorTable!$A$2:$A$301,0), 22)</f>
        <v/>
      </c>
    </row>
    <row r="877">
      <c r="A877">
        <f>Skills!A4</f>
        <v/>
      </c>
      <c r="B877">
        <f>Skills!B4</f>
        <v/>
      </c>
      <c r="C877">
        <f>Inputs!$B$3&gt;=105</f>
        <v/>
      </c>
      <c r="D877">
        <f>IF(Skills!C4=1,60+Inputs!$B$24+Inputs!$B$28,IF(Skills!C4=2,90+Inputs!$B$25+Inputs!$B$28,IF(Skills!C4=3,120+Inputs!$B$26+Inputs!$B$28,MAX(0,(Inputs!$B$3-100)*3)+Inputs!$B$27+Inputs!$B$28)))</f>
        <v/>
      </c>
      <c r="E877">
        <f>INDEX(FactorTable!$B$2:$Y$301, MATCH(ROUND(MIN(300,MAX(1,D877)),0), FactorTable!$A$2:$A$301,0), Skills!M4+1)</f>
        <v/>
      </c>
      <c r="F877">
        <f>IF(Skills!N4=TRUE,(Skills!L4/10)*(E877/1000),Skills!L4/10)+Skills!O4</f>
        <v/>
      </c>
      <c r="G877" t="inlineStr"/>
      <c r="H877" t="inlineStr"/>
      <c r="I877" t="inlineStr">
        <is>
          <t>1</t>
        </is>
      </c>
      <c r="J877" t="inlineStr"/>
      <c r="K877" t="inlineStr"/>
      <c r="L877" t="inlineStr"/>
      <c r="M877" t="inlineStr"/>
      <c r="N877" t="inlineStr"/>
      <c r="O877" t="inlineStr"/>
      <c r="P877" t="inlineStr"/>
      <c r="Q877" t="inlineStr"/>
      <c r="R877" t="inlineStr"/>
      <c r="S877" t="inlineStr"/>
      <c r="U877">
        <f>290*U876/1000</f>
        <v/>
      </c>
    </row>
    <row r="878">
      <c r="A878">
        <f>Skills!A5</f>
        <v/>
      </c>
      <c r="B878">
        <f>Skills!B5</f>
        <v/>
      </c>
      <c r="C878">
        <f>Inputs!$B$3&gt;=117</f>
        <v/>
      </c>
      <c r="D878">
        <f>IF(Skills!C5=1,60+Inputs!$B$24+Inputs!$B$28,IF(Skills!C5=2,90+Inputs!$B$25+Inputs!$B$28,IF(Skills!C5=3,120+Inputs!$B$26+Inputs!$B$28,MAX(0,(Inputs!$B$3-100)*3)+Inputs!$B$27+Inputs!$B$28)))</f>
        <v/>
      </c>
      <c r="E878">
        <f>INDEX(FactorTable!$B$2:$Y$301, MATCH(ROUND(MIN(300,MAX(1,D878)),0), FactorTable!$A$2:$A$301,0), Skills!M5+1)</f>
        <v/>
      </c>
      <c r="F878">
        <f>IF(Skills!N5=TRUE,(Skills!L5/10)*(E878/1000),Skills!L5/10)+Skills!O5</f>
        <v/>
      </c>
      <c r="G878">
        <f>Skills!G5*IF(Skills!H5&gt;0,Skills!I5/Skills!H5,1)</f>
        <v/>
      </c>
      <c r="H878">
        <f>1-(1-Skills!J5/100)^Skills!K5</f>
        <v/>
      </c>
      <c r="I878" t="inlineStr">
        <is>
          <t>1</t>
        </is>
      </c>
      <c r="J878">
        <f>((Inputs!$B$5+1)*(1+Inputs!$B$6/100))*(F878/100)</f>
        <v/>
      </c>
      <c r="K878">
        <f>J878*(1+((Inputs!$B$11*(1+Inputs!$B$12/100))*0.01+Inputs!$B$13*0.0025)/100)*(1+Inputs!$B$14/100)*(1+IF(Inputs!$B$4="pvp",0,(1-Summary!$B$55)*(Inputs!$B$19+0+Skills!P5+((C890=TRUE)*F890*IF(AND(Inputs!$B$4&lt;&gt;"pvp",Inputs!$B$35&gt;0),(((S890-1)*(Skills!T17*(1+Inputs!$B$33/100))+MIN((Skills!T17*(1+Inputs!$B$33/100)),MAX(0,Inputs!$B$35-((S890-1)*Skills!D17))))/Inputs!$B$35),IF(Inputs!$B$4="pvp",MIN((Skills!T17*(1+Inputs!$B$33/100)),15)/15,(Skills!T17*(1+Inputs!$B$33/100))/Skills!D17)))+((C887=TRUE)*IF(Inputs!$B$4="pvp",20,(1-Summary!$B$55)*(20)+Summary!$B$55*(0))*IF(AND(Inputs!$B$4&lt;&gt;"pvp",Inputs!$B$35&gt;0),(((S887-1)*(Skills!T14*(1+Inputs!$B$33/100))+MIN((Skills!T14*(1+Inputs!$B$33/100)),MAX(0,Inputs!$B$35-((S887-1)*Skills!D14))))/Inputs!$B$35),IF(Inputs!$B$4="pvp",MIN((Skills!T14*(1+Inputs!$B$33/100)),15)/15,(Skills!T14*(1+Inputs!$B$33/100))/Skills!D14))))+Summary!$B$55*(Inputs!$B$20+Skills!Q5+((C890=TRUE)*F890*IF(AND(Inputs!$B$4&lt;&gt;"pvp",Inputs!$B$35&gt;0),(((S890-1)*(Skills!T17*(1+Inputs!$B$33/100))+MIN((Skills!T17*(1+Inputs!$B$33/100)),MAX(0,Inputs!$B$35-((S890-1)*Skills!D17))))/Inputs!$B$35),IF(Inputs!$B$4="pvp",MIN((Skills!T17*(1+Inputs!$B$33/100)),15)/15,(Skills!T17*(1+Inputs!$B$33/100))/Skills!D17)))))/100)*(1+Inputs!$B$15/100)*(5000/(6000+Inputs!$B$7*(1-(Inputs!$B$18+0)/100)))*(1+(Inputs!$B$23+((C898=TRUE)*(F898-Calc!F25))+((C899=TRUE)*(F899-Calc!F26))+B908)/100)*(1+(IF(Skills!A5="DARK_IMPALE",Inputs!$B$16+0,Inputs!$B$17+((C896=TRUE)*(F896-Calc!F23))))/100)*((1+(((C886=TRUE)*F886*IF(AND(Inputs!$B$4&lt;&gt;"pvp",Inputs!$B$35&gt;0),(((S886-1)*(Skills!T13*(1+Inputs!$B$33/100))+MIN((Skills!T13*(1+Inputs!$B$33/100)),MAX(0,Inputs!$B$35-((S886-1)*Skills!D13))))/Inputs!$B$35),IF(Inputs!$B$4="pvp",MIN((Skills!T13*(1+Inputs!$B$33/100)),15)/15,(Skills!T13*(1+Inputs!$B$33/100))/Skills!D13)))+((C887=TRUE)*F887*IF(AND(Inputs!$B$4&lt;&gt;"pvp",Inputs!$B$35&gt;0),(((S887-1)*(Skills!T14*(1+Inputs!$B$33/100))+MIN((Skills!T14*(1+Inputs!$B$33/100)),MAX(0,Inputs!$B$35-((S887-1)*Skills!D14))))/Inputs!$B$35),IF(Inputs!$B$4="pvp",MIN((Skills!T14*(1+Inputs!$B$33/100)),15)/15,(Skills!T14*(1+Inputs!$B$33/100))/Skills!D14)))+((C888=TRUE)*F888*IF(AND(Inputs!$B$4&lt;&gt;"pvp",Inputs!$B$35&gt;0),(((S888-1)*(Skills!T15*(1+Inputs!$B$33/100))+MIN((Skills!T15*(1+Inputs!$B$33/100)),MAX(0,Inputs!$B$35-((S888-1)*Skills!D15))))/Inputs!$B$35),IF(Inputs!$B$4="pvp",MIN((Skills!T15*(1+Inputs!$B$33/100)),15)/15,(Skills!T15*(1+Inputs!$B$33/100))/Skills!D15)))+((C889=TRUE)*F889*IF(AND(Inputs!$B$4&lt;&gt;"pvp",Inputs!$B$35&gt;0),(((S889-1)*(Skills!T16*(1+Inputs!$B$33/100))+MIN((Skills!T16*(1+Inputs!$B$33/100)),MAX(0,Inputs!$B$35-((S889-1)*Skills!D16))))/Inputs!$B$35),IF(Inputs!$B$4="pvp",MIN((Skills!T16*(1+Inputs!$B$33/100)),15)/15,(Skills!T16*(1+Inputs!$B$33/100))/Skills!D16)))+0)/100)*I878)</f>
        <v/>
      </c>
      <c r="L878">
        <f>K878*(MIN(Inputs!$B$21+((C895=TRUE)*(F895-Calc!F22)),Inputs!$B$22+((C897=TRUE)*(F897-Calc!F24)))/100+(Inputs!$B$22+((C897=TRUE)*(F897-Calc!F24)))/100)/2</f>
        <v/>
      </c>
      <c r="M878">
        <f>L878*(1+(Inputs!$B$9+0+B907)/100)</f>
        <v/>
      </c>
      <c r="N878">
        <f>L878*(1-MIN((Inputs!$B$8+0+B902),100)/100)+M878*(MIN((Inputs!$B$8+0+B902),100)/100)</f>
        <v/>
      </c>
      <c r="O878">
        <f>IF(C878,H878*N878*IF(AND(Inputs!$B$4&lt;&gt;"pvp",Inputs!$B$35&gt;0),((Skills!G5*((R878-1)*IF(Skills!H5&gt;0,Skills!I5/Skills!H5,1)+IF(Skills!H5&gt;0,MIN(Skills!I5,MAX(0,Inputs!$B$35-((R878-1)*IF(Inputs!$B$4="pvp",15,MAX(0.1,Skills!D5-IF(Skills!E5=TRUE,Inputs!$B$31,0))))))/Skills!H5,1)))/Inputs!$B$35),G878*Q878)*IF(Inputs!$B$4="pvp",1,(1-Summary!$B$55)*(1)+Summary!$B$55*(MIN(Skills!R5,Inputs!$B$37))),0)</f>
        <v/>
      </c>
      <c r="P878">
        <f>IF(B910=0,0,O878/B910)</f>
        <v/>
      </c>
      <c r="Q878">
        <f>IFERROR(1/IF(Inputs!$B$4="pvp",15,MAX(0.1,Skills!D5-IF(Skills!E5=TRUE,Inputs!$B$31,0))),0)</f>
        <v/>
      </c>
      <c r="R878">
        <f>IF(AND(Inputs!$B$4&lt;&gt;"pvp",Inputs!$B$35&gt;0),(INT(Inputs!$B$35/IF(Inputs!$B$4="pvp",15,MAX(0.1,Skills!D5-IF(Skills!E5=TRUE,Inputs!$B$31,0))))+1),0)</f>
        <v/>
      </c>
      <c r="S878">
        <f>IFERROR(O878/N878,0)</f>
        <v/>
      </c>
    </row>
    <row r="879">
      <c r="A879">
        <f>Skills!A6</f>
        <v/>
      </c>
      <c r="B879">
        <f>Skills!B6</f>
        <v/>
      </c>
      <c r="C879">
        <f>Inputs!$B$3&gt;=103</f>
        <v/>
      </c>
      <c r="D879">
        <f>IF(Skills!C6=1,60+Inputs!$B$24+Inputs!$B$28,IF(Skills!C6=2,90+Inputs!$B$25+Inputs!$B$28,IF(Skills!C6=3,120+Inputs!$B$26+Inputs!$B$28,MAX(0,(Inputs!$B$3-100)*3)+Inputs!$B$27+Inputs!$B$28)))</f>
        <v/>
      </c>
      <c r="E879">
        <f>INDEX(FactorTable!$B$2:$Y$301, MATCH(ROUND(MIN(300,MAX(1,D879)),0), FactorTable!$A$2:$A$301,0), Skills!M6+1)</f>
        <v/>
      </c>
      <c r="F879">
        <f>IF(Skills!N6=TRUE,(Skills!L6/10)*(E879/1000),Skills!L6/10)+Skills!O6</f>
        <v/>
      </c>
      <c r="G879">
        <f>Skills!G6*IF(Skills!H6&gt;0,Skills!I6/Skills!H6,1)</f>
        <v/>
      </c>
      <c r="H879">
        <f>1-(1-Skills!J6/100)^Skills!K6</f>
        <v/>
      </c>
      <c r="I879" t="inlineStr">
        <is>
          <t>1</t>
        </is>
      </c>
      <c r="J879">
        <f>((Inputs!$B$5+1)*(1+Inputs!$B$6/100))*(F879/100)</f>
        <v/>
      </c>
      <c r="K879">
        <f>J879*(1+((Inputs!$B$11*(1+Inputs!$B$12/100))*0.01+Inputs!$B$13*0.0025)/100)*(1+Inputs!$B$14/100)*(1+IF(Inputs!$B$4="pvp",0,(1-Summary!$B$55)*(Inputs!$B$19+0+Skills!P6+((C890=TRUE)*F890*IF(AND(Inputs!$B$4&lt;&gt;"pvp",Inputs!$B$35&gt;0),(((S890-1)*(Skills!T17*(1+Inputs!$B$33/100))+MIN((Skills!T17*(1+Inputs!$B$33/100)),MAX(0,Inputs!$B$35-((S890-1)*Skills!D17))))/Inputs!$B$35),IF(Inputs!$B$4="pvp",MIN((Skills!T17*(1+Inputs!$B$33/100)),15)/15,(Skills!T17*(1+Inputs!$B$33/100))/Skills!D17)))+((C887=TRUE)*IF(Inputs!$B$4="pvp",20,(1-Summary!$B$55)*(20)+Summary!$B$55*(0))*IF(AND(Inputs!$B$4&lt;&gt;"pvp",Inputs!$B$35&gt;0),(((S887-1)*(Skills!T14*(1+Inputs!$B$33/100))+MIN((Skills!T14*(1+Inputs!$B$33/100)),MAX(0,Inputs!$B$35-((S887-1)*Skills!D14))))/Inputs!$B$35),IF(Inputs!$B$4="pvp",MIN((Skills!T14*(1+Inputs!$B$33/100)),15)/15,(Skills!T14*(1+Inputs!$B$33/100))/Skills!D14))))+Summary!$B$55*(Inputs!$B$20+Skills!Q6+((C890=TRUE)*F890*IF(AND(Inputs!$B$4&lt;&gt;"pvp",Inputs!$B$35&gt;0),(((S890-1)*(Skills!T17*(1+Inputs!$B$33/100))+MIN((Skills!T17*(1+Inputs!$B$33/100)),MAX(0,Inputs!$B$35-((S890-1)*Skills!D17))))/Inputs!$B$35),IF(Inputs!$B$4="pvp",MIN((Skills!T17*(1+Inputs!$B$33/100)),15)/15,(Skills!T17*(1+Inputs!$B$33/100))/Skills!D17)))))/100)*(1+Inputs!$B$15/100)*(5000/(6000+Inputs!$B$7*(1-(Inputs!$B$18+0)/100)))*(1+(Inputs!$B$23+((C898=TRUE)*(F898-Calc!F25))+((C899=TRUE)*(F899-Calc!F26))+B908)/100)*(1+(IF(Skills!A6="DARK_IMPALE",Inputs!$B$16+0,Inputs!$B$17+((C896=TRUE)*(F896-Calc!F23))))/100)*((1+(((C886=TRUE)*F886*IF(AND(Inputs!$B$4&lt;&gt;"pvp",Inputs!$B$35&gt;0),(((S886-1)*(Skills!T13*(1+Inputs!$B$33/100))+MIN((Skills!T13*(1+Inputs!$B$33/100)),MAX(0,Inputs!$B$35-((S886-1)*Skills!D13))))/Inputs!$B$35),IF(Inputs!$B$4="pvp",MIN((Skills!T13*(1+Inputs!$B$33/100)),15)/15,(Skills!T13*(1+Inputs!$B$33/100))/Skills!D13)))+((C887=TRUE)*F887*IF(AND(Inputs!$B$4&lt;&gt;"pvp",Inputs!$B$35&gt;0),(((S887-1)*(Skills!T14*(1+Inputs!$B$33/100))+MIN((Skills!T14*(1+Inputs!$B$33/100)),MAX(0,Inputs!$B$35-((S887-1)*Skills!D14))))/Inputs!$B$35),IF(Inputs!$B$4="pvp",MIN((Skills!T14*(1+Inputs!$B$33/100)),15)/15,(Skills!T14*(1+Inputs!$B$33/100))/Skills!D14)))+((C888=TRUE)*F888*IF(AND(Inputs!$B$4&lt;&gt;"pvp",Inputs!$B$35&gt;0),(((S888-1)*(Skills!T15*(1+Inputs!$B$33/100))+MIN((Skills!T15*(1+Inputs!$B$33/100)),MAX(0,Inputs!$B$35-((S888-1)*Skills!D15))))/Inputs!$B$35),IF(Inputs!$B$4="pvp",MIN((Skills!T15*(1+Inputs!$B$33/100)),15)/15,(Skills!T15*(1+Inputs!$B$33/100))/Skills!D15)))+((C889=TRUE)*F889*IF(AND(Inputs!$B$4&lt;&gt;"pvp",Inputs!$B$35&gt;0),(((S889-1)*(Skills!T16*(1+Inputs!$B$33/100))+MIN((Skills!T16*(1+Inputs!$B$33/100)),MAX(0,Inputs!$B$35-((S889-1)*Skills!D16))))/Inputs!$B$35),IF(Inputs!$B$4="pvp",MIN((Skills!T16*(1+Inputs!$B$33/100)),15)/15,(Skills!T16*(1+Inputs!$B$33/100))/Skills!D16)))+0)/100)*I879)</f>
        <v/>
      </c>
      <c r="L879">
        <f>K879*(MIN(Inputs!$B$21+((C895=TRUE)*(F895-Calc!F22)),Inputs!$B$22+((C897=TRUE)*(F897-Calc!F24)))/100+(Inputs!$B$22+((C897=TRUE)*(F897-Calc!F24)))/100)/2</f>
        <v/>
      </c>
      <c r="M879">
        <f>L879*(1+(Inputs!$B$9+0+B907)/100)</f>
        <v/>
      </c>
      <c r="N879">
        <f>L879*(1-MIN((Inputs!$B$8+0+B902),100)/100)+M879*(MIN((Inputs!$B$8+0+B902),100)/100)</f>
        <v/>
      </c>
      <c r="O879">
        <f>IF(C879,H879*N879*IF(AND(Inputs!$B$4&lt;&gt;"pvp",Inputs!$B$35&gt;0),((Skills!G6*((R879-1)*IF(Skills!H6&gt;0,Skills!I6/Skills!H6,1)+IF(Skills!H6&gt;0,MIN(Skills!I6,MAX(0,Inputs!$B$35-((R879-1)*IF(Inputs!$B$4="pvp",15,MAX(0.1,Skills!D6-IF(Skills!E6=TRUE,Inputs!$B$31,0))))))/Skills!H6,1)))/Inputs!$B$35),G879*Q879)*IF(Inputs!$B$4="pvp",1,(1-Summary!$B$55)*(1)+Summary!$B$55*(MIN(Skills!R6,Inputs!$B$37))),0)</f>
        <v/>
      </c>
      <c r="P879">
        <f>IF(B910=0,0,O879/B910)</f>
        <v/>
      </c>
      <c r="Q879">
        <f>IFERROR(1/IF(Inputs!$B$4="pvp",15,MAX(0.1,Skills!D6-IF(Skills!E6=TRUE,Inputs!$B$31,0))),0)</f>
        <v/>
      </c>
      <c r="R879">
        <f>IF(AND(Inputs!$B$4&lt;&gt;"pvp",Inputs!$B$35&gt;0),(INT(Inputs!$B$35/IF(Inputs!$B$4="pvp",15,MAX(0.1,Skills!D6-IF(Skills!E6=TRUE,Inputs!$B$31,0))))+1),0)</f>
        <v/>
      </c>
      <c r="S879">
        <f>IFERROR(O879/N879,0)</f>
        <v/>
      </c>
    </row>
    <row r="880">
      <c r="A880">
        <f>Skills!A7</f>
        <v/>
      </c>
      <c r="B880">
        <f>Skills!B7</f>
        <v/>
      </c>
      <c r="C880">
        <f>Inputs!$B$3&gt;=40</f>
        <v/>
      </c>
      <c r="D880">
        <f>IF(Skills!C7=1,60+Inputs!$B$24+Inputs!$B$28,IF(Skills!C7=2,90+Inputs!$B$25+Inputs!$B$28,IF(Skills!C7=3,120+Inputs!$B$26+Inputs!$B$28,MAX(0,(Inputs!$B$3-100)*3)+Inputs!$B$27+Inputs!$B$28)))</f>
        <v/>
      </c>
      <c r="E880">
        <f>INDEX(FactorTable!$B$2:$Y$301, MATCH(ROUND(MIN(300,MAX(1,D880)),0), FactorTable!$A$2:$A$301,0), Skills!M7+1)</f>
        <v/>
      </c>
      <c r="F880">
        <f>IF(Skills!N7=TRUE,(Skills!L7/10)*(E880/1000),Skills!L7/10)+Skills!O7</f>
        <v/>
      </c>
      <c r="G880">
        <f>Skills!G7*IF(Skills!H7&gt;0,Skills!I7/Skills!H7,1)</f>
        <v/>
      </c>
      <c r="H880">
        <f>1-(1-Skills!J7/100)^Skills!K7</f>
        <v/>
      </c>
      <c r="I880" t="inlineStr">
        <is>
          <t>1</t>
        </is>
      </c>
      <c r="J880">
        <f>((Inputs!$B$5+1)*(1+Inputs!$B$6/100))*(F880/100)</f>
        <v/>
      </c>
      <c r="K880">
        <f>J880*(1+((Inputs!$B$11*(1+Inputs!$B$12/100))*0.01+Inputs!$B$13*0.0025)/100)*(1+Inputs!$B$14/100)*(1+IF(Inputs!$B$4="pvp",0,(1-Summary!$B$55)*(Inputs!$B$19+0+Skills!P7+((C890=TRUE)*F890*IF(AND(Inputs!$B$4&lt;&gt;"pvp",Inputs!$B$35&gt;0),(((S890-1)*(Skills!T17*(1+Inputs!$B$33/100))+MIN((Skills!T17*(1+Inputs!$B$33/100)),MAX(0,Inputs!$B$35-((S890-1)*Skills!D17))))/Inputs!$B$35),IF(Inputs!$B$4="pvp",MIN((Skills!T17*(1+Inputs!$B$33/100)),15)/15,(Skills!T17*(1+Inputs!$B$33/100))/Skills!D17)))+((C887=TRUE)*IF(Inputs!$B$4="pvp",20,(1-Summary!$B$55)*(20)+Summary!$B$55*(0))*IF(AND(Inputs!$B$4&lt;&gt;"pvp",Inputs!$B$35&gt;0),(((S887-1)*(Skills!T14*(1+Inputs!$B$33/100))+MIN((Skills!T14*(1+Inputs!$B$33/100)),MAX(0,Inputs!$B$35-((S887-1)*Skills!D14))))/Inputs!$B$35),IF(Inputs!$B$4="pvp",MIN((Skills!T14*(1+Inputs!$B$33/100)),15)/15,(Skills!T14*(1+Inputs!$B$33/100))/Skills!D14))))+Summary!$B$55*(Inputs!$B$20+Skills!Q7+((C890=TRUE)*F890*IF(AND(Inputs!$B$4&lt;&gt;"pvp",Inputs!$B$35&gt;0),(((S890-1)*(Skills!T17*(1+Inputs!$B$33/100))+MIN((Skills!T17*(1+Inputs!$B$33/100)),MAX(0,Inputs!$B$35-((S890-1)*Skills!D17))))/Inputs!$B$35),IF(Inputs!$B$4="pvp",MIN((Skills!T17*(1+Inputs!$B$33/100)),15)/15,(Skills!T17*(1+Inputs!$B$33/100))/Skills!D17)))))/100)*(1+Inputs!$B$15/100)*(5000/(6000+Inputs!$B$7*(1-(Inputs!$B$18+0)/100)))*(1+(Inputs!$B$23+((C898=TRUE)*(F898-Calc!F25))+((C899=TRUE)*(F899-Calc!F26))+B908)/100)*(1+0.75*IF(C884=TRUE,F884,0)/100)*(1+(IF(Skills!A7="DARK_IMPALE",Inputs!$B$16+0,Inputs!$B$17+((C896=TRUE)*(F896-Calc!F23))))/100)*((1+(((C886=TRUE)*F886*IF(AND(Inputs!$B$4&lt;&gt;"pvp",Inputs!$B$35&gt;0),(((S886-1)*(Skills!T13*(1+Inputs!$B$33/100))+MIN((Skills!T13*(1+Inputs!$B$33/100)),MAX(0,Inputs!$B$35-((S886-1)*Skills!D13))))/Inputs!$B$35),IF(Inputs!$B$4="pvp",MIN((Skills!T13*(1+Inputs!$B$33/100)),15)/15,(Skills!T13*(1+Inputs!$B$33/100))/Skills!D13)))+((C887=TRUE)*F887*IF(AND(Inputs!$B$4&lt;&gt;"pvp",Inputs!$B$35&gt;0),(((S887-1)*(Skills!T14*(1+Inputs!$B$33/100))+MIN((Skills!T14*(1+Inputs!$B$33/100)),MAX(0,Inputs!$B$35-((S887-1)*Skills!D14))))/Inputs!$B$35),IF(Inputs!$B$4="pvp",MIN((Skills!T14*(1+Inputs!$B$33/100)),15)/15,(Skills!T14*(1+Inputs!$B$33/100))/Skills!D14)))+((C888=TRUE)*F888*IF(AND(Inputs!$B$4&lt;&gt;"pvp",Inputs!$B$35&gt;0),(((S888-1)*(Skills!T15*(1+Inputs!$B$33/100))+MIN((Skills!T15*(1+Inputs!$B$33/100)),MAX(0,Inputs!$B$35-((S888-1)*Skills!D15))))/Inputs!$B$35),IF(Inputs!$B$4="pvp",MIN((Skills!T15*(1+Inputs!$B$33/100)),15)/15,(Skills!T15*(1+Inputs!$B$33/100))/Skills!D15)))+((C889=TRUE)*F889*IF(AND(Inputs!$B$4&lt;&gt;"pvp",Inputs!$B$35&gt;0),(((S889-1)*(Skills!T16*(1+Inputs!$B$33/100))+MIN((Skills!T16*(1+Inputs!$B$33/100)),MAX(0,Inputs!$B$35-((S889-1)*Skills!D16))))/Inputs!$B$35),IF(Inputs!$B$4="pvp",MIN((Skills!T16*(1+Inputs!$B$33/100)),15)/15,(Skills!T16*(1+Inputs!$B$33/100))/Skills!D16)))+0)/100)*I880)</f>
        <v/>
      </c>
      <c r="L880">
        <f>K880*(MIN(Inputs!$B$21+((C895=TRUE)*(F895-Calc!F22)),Inputs!$B$22+((C897=TRUE)*(F897-Calc!F24)))/100+(Inputs!$B$22+((C897=TRUE)*(F897-Calc!F24)))/100)/2</f>
        <v/>
      </c>
      <c r="M880">
        <f>L880*(1+(Inputs!$B$9+0+B907)/100)</f>
        <v/>
      </c>
      <c r="N880">
        <f>L880*(1-MIN((Inputs!$B$8+0+B902),100)/100)+M880*(MIN((Inputs!$B$8+0+B902),100)/100)</f>
        <v/>
      </c>
      <c r="O880">
        <f>IF(C880,H880*N880*IF(AND(Inputs!$B$4&lt;&gt;"pvp",Inputs!$B$35&gt;0),((Skills!G7*((R880-1)*IF(Skills!H7&gt;0,Skills!I7/Skills!H7,1)+IF(Skills!H7&gt;0,MIN(Skills!I7,MAX(0,Inputs!$B$35-((R880-1)*IF(Inputs!$B$4="pvp",15,MAX(0.1,Skills!D7-IF(Skills!E7=TRUE,Inputs!$B$31,0))))))/Skills!H7,1)))/Inputs!$B$35),G880*Q880)*IF(Inputs!$B$4="pvp",1,(1-Summary!$B$55)*(1)+Summary!$B$55*(MIN(Skills!R7,Inputs!$B$37))),0)</f>
        <v/>
      </c>
      <c r="P880">
        <f>IF(B910=0,0,O880/B910)</f>
        <v/>
      </c>
      <c r="Q880">
        <f>IFERROR(1/IF(Inputs!$B$4="pvp",15,MAX(0.1,Skills!D7-IF(Skills!E7=TRUE,Inputs!$B$31,0))),0)</f>
        <v/>
      </c>
      <c r="R880">
        <f>IF(AND(Inputs!$B$4&lt;&gt;"pvp",Inputs!$B$35&gt;0),(INT(Inputs!$B$35/IF(Inputs!$B$4="pvp",15,MAX(0.1,Skills!D7-IF(Skills!E7=TRUE,Inputs!$B$31,0))))+1),0)</f>
        <v/>
      </c>
      <c r="S880">
        <f>IFERROR(O880/N880,0)</f>
        <v/>
      </c>
    </row>
    <row r="881">
      <c r="A881">
        <f>Skills!A8</f>
        <v/>
      </c>
      <c r="B881">
        <f>Skills!B8</f>
        <v/>
      </c>
      <c r="C881">
        <f>Inputs!$B$3&gt;=75</f>
        <v/>
      </c>
      <c r="D881">
        <f>IF(Skills!C8=1,60+Inputs!$B$24+Inputs!$B$28,IF(Skills!C8=2,90+Inputs!$B$25+Inputs!$B$28,IF(Skills!C8=3,120+Inputs!$B$26+Inputs!$B$28,MAX(0,(Inputs!$B$3-100)*3)+Inputs!$B$27+Inputs!$B$28)))</f>
        <v/>
      </c>
      <c r="E881">
        <f>INDEX(FactorTable!$B$2:$Y$301, MATCH(ROUND(MIN(300,MAX(1,D881)),0), FactorTable!$A$2:$A$301,0), Skills!M8+1)</f>
        <v/>
      </c>
      <c r="F881">
        <f>IF(Skills!N8=TRUE,(Skills!L8/10)*(E881/1000),Skills!L8/10)+Skills!O8</f>
        <v/>
      </c>
      <c r="G881" t="inlineStr"/>
      <c r="H881" t="inlineStr"/>
      <c r="I881" t="inlineStr">
        <is>
          <t>1</t>
        </is>
      </c>
      <c r="J881" t="inlineStr"/>
      <c r="K881" t="inlineStr"/>
      <c r="L881" t="inlineStr"/>
      <c r="M881" t="inlineStr"/>
      <c r="N881" t="inlineStr"/>
      <c r="O881" t="inlineStr"/>
      <c r="P881" t="inlineStr"/>
      <c r="Q881" t="inlineStr"/>
      <c r="R881" t="inlineStr"/>
      <c r="S881" t="inlineStr"/>
    </row>
    <row r="882">
      <c r="A882">
        <f>Skills!A9</f>
        <v/>
      </c>
      <c r="B882">
        <f>Skills!B9</f>
        <v/>
      </c>
      <c r="C882">
        <f>Inputs!$B$3&gt;=60</f>
        <v/>
      </c>
      <c r="D882">
        <f>IF(Skills!C9=1,60+Inputs!$B$24+Inputs!$B$28,IF(Skills!C9=2,90+Inputs!$B$25+Inputs!$B$28,IF(Skills!C9=3,120+Inputs!$B$26+Inputs!$B$28,MAX(0,(Inputs!$B$3-100)*3)+Inputs!$B$27+Inputs!$B$28)))</f>
        <v/>
      </c>
      <c r="E882">
        <f>INDEX(FactorTable!$B$2:$Y$301, MATCH(ROUND(MIN(300,MAX(1,D882)),0), FactorTable!$A$2:$A$301,0), Skills!M9+1)</f>
        <v/>
      </c>
      <c r="F882">
        <f>IF(Skills!N9=TRUE,(Skills!L9/10)*(E882/1000),Skills!L9/10)+Skills!O9</f>
        <v/>
      </c>
      <c r="G882">
        <f>Skills!G9*IF(Skills!H9&gt;0,Skills!I9/Skills!H9,1)</f>
        <v/>
      </c>
      <c r="H882">
        <f>1-(1-Skills!J9/100)^Skills!K9</f>
        <v/>
      </c>
      <c r="I882" t="inlineStr">
        <is>
          <t>1</t>
        </is>
      </c>
      <c r="J882">
        <f>((Inputs!$B$5+1)*(1+Inputs!$B$6/100))*(F882/100)</f>
        <v/>
      </c>
      <c r="K882">
        <f>J882*(1+((Inputs!$B$11*(1+Inputs!$B$12/100))*0.01+Inputs!$B$13*0.0025)/100)*(1+Inputs!$B$14/100)*(1+IF(Inputs!$B$4="pvp",0,(1-Summary!$B$55)*(Inputs!$B$19+0+Skills!P9+((C890=TRUE)*F890*IF(AND(Inputs!$B$4&lt;&gt;"pvp",Inputs!$B$35&gt;0),(((S890-1)*(Skills!T17*(1+Inputs!$B$33/100))+MIN((Skills!T17*(1+Inputs!$B$33/100)),MAX(0,Inputs!$B$35-((S890-1)*Skills!D17))))/Inputs!$B$35),IF(Inputs!$B$4="pvp",MIN((Skills!T17*(1+Inputs!$B$33/100)),15)/15,(Skills!T17*(1+Inputs!$B$33/100))/Skills!D17)))+((C887=TRUE)*IF(Inputs!$B$4="pvp",20,(1-Summary!$B$55)*(20)+Summary!$B$55*(0))*IF(AND(Inputs!$B$4&lt;&gt;"pvp",Inputs!$B$35&gt;0),(((S887-1)*(Skills!T14*(1+Inputs!$B$33/100))+MIN((Skills!T14*(1+Inputs!$B$33/100)),MAX(0,Inputs!$B$35-((S887-1)*Skills!D14))))/Inputs!$B$35),IF(Inputs!$B$4="pvp",MIN((Skills!T14*(1+Inputs!$B$33/100)),15)/15,(Skills!T14*(1+Inputs!$B$33/100))/Skills!D14))))+Summary!$B$55*(Inputs!$B$20+Skills!Q9+((C890=TRUE)*F890*IF(AND(Inputs!$B$4&lt;&gt;"pvp",Inputs!$B$35&gt;0),(((S890-1)*(Skills!T17*(1+Inputs!$B$33/100))+MIN((Skills!T17*(1+Inputs!$B$33/100)),MAX(0,Inputs!$B$35-((S890-1)*Skills!D17))))/Inputs!$B$35),IF(Inputs!$B$4="pvp",MIN((Skills!T17*(1+Inputs!$B$33/100)),15)/15,(Skills!T17*(1+Inputs!$B$33/100))/Skills!D17)))))/100)*(1+Inputs!$B$15/100)*(5000/(6000+Inputs!$B$7*(1-(Inputs!$B$18+0)/100)))*(1+(Inputs!$B$23+((C898=TRUE)*(F898-Calc!F25))+((C899=TRUE)*(F899-Calc!F26))+B908)/100)*(1+1.0*IF(C884=TRUE,F884,0)/100)*(1+(IF(Skills!A9="DARK_IMPALE",Inputs!$B$16+0,Inputs!$B$17+((C896=TRUE)*(F896-Calc!F23))))/100)*((1+(((C886=TRUE)*F886*IF(AND(Inputs!$B$4&lt;&gt;"pvp",Inputs!$B$35&gt;0),(((S886-1)*(Skills!T13*(1+Inputs!$B$33/100))+MIN((Skills!T13*(1+Inputs!$B$33/100)),MAX(0,Inputs!$B$35-((S886-1)*Skills!D13))))/Inputs!$B$35),IF(Inputs!$B$4="pvp",MIN((Skills!T13*(1+Inputs!$B$33/100)),15)/15,(Skills!T13*(1+Inputs!$B$33/100))/Skills!D13)))+((C887=TRUE)*F887*IF(AND(Inputs!$B$4&lt;&gt;"pvp",Inputs!$B$35&gt;0),(((S887-1)*(Skills!T14*(1+Inputs!$B$33/100))+MIN((Skills!T14*(1+Inputs!$B$33/100)),MAX(0,Inputs!$B$35-((S887-1)*Skills!D14))))/Inputs!$B$35),IF(Inputs!$B$4="pvp",MIN((Skills!T14*(1+Inputs!$B$33/100)),15)/15,(Skills!T14*(1+Inputs!$B$33/100))/Skills!D14)))+((C888=TRUE)*F888*IF(AND(Inputs!$B$4&lt;&gt;"pvp",Inputs!$B$35&gt;0),(((S888-1)*(Skills!T15*(1+Inputs!$B$33/100))+MIN((Skills!T15*(1+Inputs!$B$33/100)),MAX(0,Inputs!$B$35-((S888-1)*Skills!D15))))/Inputs!$B$35),IF(Inputs!$B$4="pvp",MIN((Skills!T15*(1+Inputs!$B$33/100)),15)/15,(Skills!T15*(1+Inputs!$B$33/100))/Skills!D15)))+((C889=TRUE)*F889*IF(AND(Inputs!$B$4&lt;&gt;"pvp",Inputs!$B$35&gt;0),(((S889-1)*(Skills!T16*(1+Inputs!$B$33/100))+MIN((Skills!T16*(1+Inputs!$B$33/100)),MAX(0,Inputs!$B$35-((S889-1)*Skills!D16))))/Inputs!$B$35),IF(Inputs!$B$4="pvp",MIN((Skills!T16*(1+Inputs!$B$33/100)),15)/15,(Skills!T16*(1+Inputs!$B$33/100))/Skills!D16)))+0)/100)*I882)</f>
        <v/>
      </c>
      <c r="L882">
        <f>K882*(MIN(Inputs!$B$21+((C895=TRUE)*(F895-Calc!F22)),Inputs!$B$22+((C897=TRUE)*(F897-Calc!F24)))/100+(Inputs!$B$22+((C897=TRUE)*(F897-Calc!F24)))/100)/2</f>
        <v/>
      </c>
      <c r="M882">
        <f>L882*(1+(Inputs!$B$9+0+B907)/100)</f>
        <v/>
      </c>
      <c r="N882">
        <f>L882*(1-MIN((Inputs!$B$8+0+B902),100)/100)+M882*(MIN((Inputs!$B$8+0+B902),100)/100)</f>
        <v/>
      </c>
      <c r="O882">
        <f>IF(C882,H882*N882*IF(AND(Inputs!$B$4&lt;&gt;"pvp",Inputs!$B$35&gt;0),((Skills!G9*((R882-1)*IF(Skills!H9&gt;0,Skills!I9/Skills!H9,1)+IF(Skills!H9&gt;0,MIN(Skills!I9,MAX(0,Inputs!$B$35-((R882-1)*IF(Inputs!$B$4="pvp",15,MAX(0.1,Skills!D9-IF(Skills!E9=TRUE,Inputs!$B$31,0))))))/Skills!H9,1)))/Inputs!$B$35),G882*Q882)*IF(Inputs!$B$4="pvp",1,(1-Summary!$B$55)*(1)+Summary!$B$55*(MIN(Skills!R9,Inputs!$B$37))),0)</f>
        <v/>
      </c>
      <c r="P882">
        <f>IF(B910=0,0,O882/B910)</f>
        <v/>
      </c>
      <c r="Q882">
        <f>IFERROR(1/IF(Inputs!$B$4="pvp",15,MAX(0.1,Skills!D9-IF(Skills!E9=TRUE,Inputs!$B$31,0))),0)</f>
        <v/>
      </c>
      <c r="R882">
        <f>IF(AND(Inputs!$B$4&lt;&gt;"pvp",Inputs!$B$35&gt;0),(INT(Inputs!$B$35/IF(Inputs!$B$4="pvp",15,MAX(0.1,Skills!D9-IF(Skills!E9=TRUE,Inputs!$B$31,0))))+1),0)</f>
        <v/>
      </c>
      <c r="S882">
        <f>IFERROR(O882/N882,0)</f>
        <v/>
      </c>
    </row>
    <row r="883">
      <c r="A883">
        <f>Skills!A10</f>
        <v/>
      </c>
      <c r="B883">
        <f>Skills!B10</f>
        <v/>
      </c>
      <c r="C883">
        <f>Inputs!$B$3&gt;=110</f>
        <v/>
      </c>
      <c r="D883">
        <f>IF(Skills!C10=1,60+Inputs!$B$24+Inputs!$B$28,IF(Skills!C10=2,90+Inputs!$B$25+Inputs!$B$28,IF(Skills!C10=3,120+Inputs!$B$26+Inputs!$B$28,MAX(0,(Inputs!$B$3-100)*3)+Inputs!$B$27+Inputs!$B$28)))</f>
        <v/>
      </c>
      <c r="E883">
        <f>INDEX(FactorTable!$B$2:$Y$301, MATCH(ROUND(MIN(300,MAX(1,D883)),0), FactorTable!$A$2:$A$301,0), Skills!M10+1)</f>
        <v/>
      </c>
      <c r="F883">
        <f>IF(Skills!N10=TRUE,(Skills!L10/10)*(E883/1000),Skills!L10/10)+Skills!O10</f>
        <v/>
      </c>
      <c r="G883">
        <f>Skills!G10*IF(Skills!H10&gt;0,Skills!I10/Skills!H10,1)</f>
        <v/>
      </c>
      <c r="H883">
        <f>1-(1-Skills!J10/100)^Skills!K10</f>
        <v/>
      </c>
      <c r="I883" t="inlineStr">
        <is>
          <t>1</t>
        </is>
      </c>
      <c r="J883">
        <f>((Inputs!$B$5+1)*(1+Inputs!$B$6/100))*(F883/100)</f>
        <v/>
      </c>
      <c r="K883">
        <f>J883*(1+((Inputs!$B$11*(1+Inputs!$B$12/100))*0.01+Inputs!$B$13*0.0025)/100)*(1+Inputs!$B$14/100)*(1+IF(Inputs!$B$4="pvp",0,(1-Summary!$B$55)*(Inputs!$B$19+0+Skills!P10+((C890=TRUE)*F890*IF(AND(Inputs!$B$4&lt;&gt;"pvp",Inputs!$B$35&gt;0),(((S890-1)*(Skills!T17*(1+Inputs!$B$33/100))+MIN((Skills!T17*(1+Inputs!$B$33/100)),MAX(0,Inputs!$B$35-((S890-1)*Skills!D17))))/Inputs!$B$35),IF(Inputs!$B$4="pvp",MIN((Skills!T17*(1+Inputs!$B$33/100)),15)/15,(Skills!T17*(1+Inputs!$B$33/100))/Skills!D17)))+((C887=TRUE)*IF(Inputs!$B$4="pvp",20,(1-Summary!$B$55)*(20)+Summary!$B$55*(0))*IF(AND(Inputs!$B$4&lt;&gt;"pvp",Inputs!$B$35&gt;0),(((S887-1)*(Skills!T14*(1+Inputs!$B$33/100))+MIN((Skills!T14*(1+Inputs!$B$33/100)),MAX(0,Inputs!$B$35-((S887-1)*Skills!D14))))/Inputs!$B$35),IF(Inputs!$B$4="pvp",MIN((Skills!T14*(1+Inputs!$B$33/100)),15)/15,(Skills!T14*(1+Inputs!$B$33/100))/Skills!D14))))+Summary!$B$55*(Inputs!$B$20+Skills!Q10+((C890=TRUE)*F890*IF(AND(Inputs!$B$4&lt;&gt;"pvp",Inputs!$B$35&gt;0),(((S890-1)*(Skills!T17*(1+Inputs!$B$33/100))+MIN((Skills!T17*(1+Inputs!$B$33/100)),MAX(0,Inputs!$B$35-((S890-1)*Skills!D17))))/Inputs!$B$35),IF(Inputs!$B$4="pvp",MIN((Skills!T17*(1+Inputs!$B$33/100)),15)/15,(Skills!T17*(1+Inputs!$B$33/100))/Skills!D17)))))/100)*(1+Inputs!$B$15/100)*(5000/(6000+Inputs!$B$7*(1-(Inputs!$B$18+0)/100)))*(1+(Inputs!$B$23+((C898=TRUE)*(F898-Calc!F25))+((C899=TRUE)*(F899-Calc!F26))+B908)/100)*(1+(IF(Skills!A10="DARK_IMPALE",Inputs!$B$16+0,Inputs!$B$17+((C896=TRUE)*(F896-Calc!F23))))/100)*((1+(((C886=TRUE)*F886*IF(AND(Inputs!$B$4&lt;&gt;"pvp",Inputs!$B$35&gt;0),(((S886-1)*(Skills!T13*(1+Inputs!$B$33/100))+MIN((Skills!T13*(1+Inputs!$B$33/100)),MAX(0,Inputs!$B$35-((S886-1)*Skills!D13))))/Inputs!$B$35),IF(Inputs!$B$4="pvp",MIN((Skills!T13*(1+Inputs!$B$33/100)),15)/15,(Skills!T13*(1+Inputs!$B$33/100))/Skills!D13)))+((C887=TRUE)*F887*IF(AND(Inputs!$B$4&lt;&gt;"pvp",Inputs!$B$35&gt;0),(((S887-1)*(Skills!T14*(1+Inputs!$B$33/100))+MIN((Skills!T14*(1+Inputs!$B$33/100)),MAX(0,Inputs!$B$35-((S887-1)*Skills!D14))))/Inputs!$B$35),IF(Inputs!$B$4="pvp",MIN((Skills!T14*(1+Inputs!$B$33/100)),15)/15,(Skills!T14*(1+Inputs!$B$33/100))/Skills!D14)))+((C888=TRUE)*F888*IF(AND(Inputs!$B$4&lt;&gt;"pvp",Inputs!$B$35&gt;0),(((S888-1)*(Skills!T15*(1+Inputs!$B$33/100))+MIN((Skills!T15*(1+Inputs!$B$33/100)),MAX(0,Inputs!$B$35-((S888-1)*Skills!D15))))/Inputs!$B$35),IF(Inputs!$B$4="pvp",MIN((Skills!T15*(1+Inputs!$B$33/100)),15)/15,(Skills!T15*(1+Inputs!$B$33/100))/Skills!D15)))+((C889=TRUE)*F889*IF(AND(Inputs!$B$4&lt;&gt;"pvp",Inputs!$B$35&gt;0),(((S889-1)*(Skills!T16*(1+Inputs!$B$33/100))+MIN((Skills!T16*(1+Inputs!$B$33/100)),MAX(0,Inputs!$B$35-((S889-1)*Skills!D16))))/Inputs!$B$35),IF(Inputs!$B$4="pvp",MIN((Skills!T16*(1+Inputs!$B$33/100)),15)/15,(Skills!T16*(1+Inputs!$B$33/100))/Skills!D16)))+0)/100)*I883)</f>
        <v/>
      </c>
      <c r="L883">
        <f>K883*(MIN(Inputs!$B$21+((C895=TRUE)*(F895-Calc!F22)),Inputs!$B$22+((C897=TRUE)*(F897-Calc!F24)))/100+(Inputs!$B$22+((C897=TRUE)*(F897-Calc!F24)))/100)/2</f>
        <v/>
      </c>
      <c r="M883">
        <f>L883*(1+(Inputs!$B$9+0+B907)/100)</f>
        <v/>
      </c>
      <c r="N883">
        <f>L883*(1-MIN((Inputs!$B$8+0+B902),100)/100)+M883*(MIN((Inputs!$B$8+0+B902),100)/100)</f>
        <v/>
      </c>
      <c r="O883">
        <f>IF(C883,H883*N883*IF(AND(Inputs!$B$4&lt;&gt;"pvp",Inputs!$B$35&gt;0),((Skills!G10*((R883-1)*IF(Skills!H10&gt;0,Skills!I10/Skills!H10,1)+IF(Skills!H10&gt;0,MIN(Skills!I10,MAX(0,Inputs!$B$35-((R883-1)*IF(Inputs!$B$4="pvp",15,MAX(0.1,Skills!D10-IF(Skills!E10=TRUE,Inputs!$B$31,0))))))/Skills!H10,1)))/Inputs!$B$35),G883*Q883)*IF(Inputs!$B$4="pvp",1,(1-Summary!$B$55)*(1)+Summary!$B$55*(MIN(Skills!R10,Inputs!$B$37))),0)</f>
        <v/>
      </c>
      <c r="P883">
        <f>IF(B910=0,0,O883/B910)</f>
        <v/>
      </c>
      <c r="Q883">
        <f>IFERROR(1/IF(Inputs!$B$4="pvp",15,MAX(0.1,Skills!D10-IF(Skills!E10=TRUE,Inputs!$B$31,0))),0)</f>
        <v/>
      </c>
      <c r="R883">
        <f>IF(AND(Inputs!$B$4&lt;&gt;"pvp",Inputs!$B$35&gt;0),(INT(Inputs!$B$35/IF(Inputs!$B$4="pvp",15,MAX(0.1,Skills!D10-IF(Skills!E10=TRUE,Inputs!$B$31,0))))+1),0)</f>
        <v/>
      </c>
      <c r="S883">
        <f>IFERROR(O883/N883,0)</f>
        <v/>
      </c>
    </row>
    <row r="884">
      <c r="A884">
        <f>Skills!A11</f>
        <v/>
      </c>
      <c r="B884">
        <f>Skills!B11</f>
        <v/>
      </c>
      <c r="C884">
        <f>Inputs!$B$3&gt;=100</f>
        <v/>
      </c>
      <c r="D884">
        <f>IF(Skills!C11=1,60+Inputs!$B$24+Inputs!$B$28,IF(Skills!C11=2,90+Inputs!$B$25+Inputs!$B$28,IF(Skills!C11=3,120+Inputs!$B$26+Inputs!$B$28,MAX(0,(Inputs!$B$3-100)*3)+Inputs!$B$27+Inputs!$B$28)))</f>
        <v/>
      </c>
      <c r="E884">
        <f>INDEX(FactorTable!$B$2:$Y$301, MATCH(ROUND(MIN(300,MAX(1,D884)),0), FactorTable!$A$2:$A$301,0), Skills!M11+1)</f>
        <v/>
      </c>
      <c r="F884">
        <f>IF(Skills!N11=TRUE,(Skills!L11/10)*(E884/1000),Skills!L11/10)+Skills!O11</f>
        <v/>
      </c>
      <c r="G884" t="inlineStr"/>
      <c r="H884" t="inlineStr"/>
      <c r="I884" t="inlineStr">
        <is>
          <t>1</t>
        </is>
      </c>
      <c r="J884" t="inlineStr"/>
      <c r="K884" t="inlineStr"/>
      <c r="L884" t="inlineStr"/>
      <c r="M884" t="inlineStr"/>
      <c r="N884" t="inlineStr"/>
      <c r="O884" t="inlineStr"/>
      <c r="P884" t="inlineStr"/>
      <c r="Q884" t="inlineStr"/>
      <c r="R884" t="inlineStr"/>
      <c r="S884" t="inlineStr"/>
    </row>
    <row r="885">
      <c r="A885">
        <f>Skills!A12</f>
        <v/>
      </c>
      <c r="B885">
        <f>Skills!B12</f>
        <v/>
      </c>
      <c r="C885">
        <f>Inputs!$B$3&gt;=63</f>
        <v/>
      </c>
      <c r="D885">
        <f>IF(Skills!C12=1,60+Inputs!$B$24+Inputs!$B$28,IF(Skills!C12=2,90+Inputs!$B$25+Inputs!$B$28,IF(Skills!C12=3,120+Inputs!$B$26+Inputs!$B$28,MAX(0,(Inputs!$B$3-100)*3)+Inputs!$B$27+Inputs!$B$28)))</f>
        <v/>
      </c>
      <c r="E885">
        <f>INDEX(FactorTable!$B$2:$Y$301, MATCH(ROUND(MIN(300,MAX(1,D885)),0), FactorTable!$A$2:$A$301,0), Skills!M12+1)</f>
        <v/>
      </c>
      <c r="F885">
        <f>IF(Skills!N12=TRUE,(Skills!L12/10)*(E885/1000),Skills!L12/10)+Skills!O12</f>
        <v/>
      </c>
      <c r="G885">
        <f>Skills!G12*IF(Skills!H12&gt;0,Skills!I12/Skills!H12,1)</f>
        <v/>
      </c>
      <c r="H885">
        <f>1-(1-Skills!J12/100)^Skills!K12</f>
        <v/>
      </c>
      <c r="I885" t="inlineStr">
        <is>
          <t>1</t>
        </is>
      </c>
      <c r="J885">
        <f>((Inputs!$B$5+1)*(1+Inputs!$B$6/100))*(F885/100)</f>
        <v/>
      </c>
      <c r="K885">
        <f>J885*(1+((Inputs!$B$11*(1+Inputs!$B$12/100))*0.01+Inputs!$B$13*0.0025)/100)*(1+Inputs!$B$14/100)*(1+IF(Inputs!$B$4="pvp",0,(1-Summary!$B$55)*(Inputs!$B$19+0+Skills!P12+((C890=TRUE)*F890*IF(AND(Inputs!$B$4&lt;&gt;"pvp",Inputs!$B$35&gt;0),(((S890-1)*(Skills!T17*(1+Inputs!$B$33/100))+MIN((Skills!T17*(1+Inputs!$B$33/100)),MAX(0,Inputs!$B$35-((S890-1)*Skills!D17))))/Inputs!$B$35),IF(Inputs!$B$4="pvp",MIN((Skills!T17*(1+Inputs!$B$33/100)),15)/15,(Skills!T17*(1+Inputs!$B$33/100))/Skills!D17)))+((C887=TRUE)*IF(Inputs!$B$4="pvp",20,(1-Summary!$B$55)*(20)+Summary!$B$55*(0))*IF(AND(Inputs!$B$4&lt;&gt;"pvp",Inputs!$B$35&gt;0),(((S887-1)*(Skills!T14*(1+Inputs!$B$33/100))+MIN((Skills!T14*(1+Inputs!$B$33/100)),MAX(0,Inputs!$B$35-((S887-1)*Skills!D14))))/Inputs!$B$35),IF(Inputs!$B$4="pvp",MIN((Skills!T14*(1+Inputs!$B$33/100)),15)/15,(Skills!T14*(1+Inputs!$B$33/100))/Skills!D14))))+Summary!$B$55*(Inputs!$B$20+Skills!Q12+((C890=TRUE)*F890*IF(AND(Inputs!$B$4&lt;&gt;"pvp",Inputs!$B$35&gt;0),(((S890-1)*(Skills!T17*(1+Inputs!$B$33/100))+MIN((Skills!T17*(1+Inputs!$B$33/100)),MAX(0,Inputs!$B$35-((S890-1)*Skills!D17))))/Inputs!$B$35),IF(Inputs!$B$4="pvp",MIN((Skills!T17*(1+Inputs!$B$33/100)),15)/15,(Skills!T17*(1+Inputs!$B$33/100))/Skills!D17)))))/100)*(1+Inputs!$B$15/100)*(5000/(6000+Inputs!$B$7*(1-(Inputs!$B$18+0)/100)))*(1+(Inputs!$B$23+((C898=TRUE)*(F898-Calc!F25))+((C899=TRUE)*(F899-Calc!F26))+B908)/100)*(1+0.75*IF(C884=TRUE,F884,0)/100)*(1+(IF(Skills!A12="DARK_IMPALE",Inputs!$B$16+0,Inputs!$B$17+((C896=TRUE)*(F896-Calc!F23))))/100)*((1+(((C886=TRUE)*F886*IF(AND(Inputs!$B$4&lt;&gt;"pvp",Inputs!$B$35&gt;0),(((S886-1)*(Skills!T13*(1+Inputs!$B$33/100))+MIN((Skills!T13*(1+Inputs!$B$33/100)),MAX(0,Inputs!$B$35-((S886-1)*Skills!D13))))/Inputs!$B$35),IF(Inputs!$B$4="pvp",MIN((Skills!T13*(1+Inputs!$B$33/100)),15)/15,(Skills!T13*(1+Inputs!$B$33/100))/Skills!D13)))+((C887=TRUE)*F887*IF(AND(Inputs!$B$4&lt;&gt;"pvp",Inputs!$B$35&gt;0),(((S887-1)*(Skills!T14*(1+Inputs!$B$33/100))+MIN((Skills!T14*(1+Inputs!$B$33/100)),MAX(0,Inputs!$B$35-((S887-1)*Skills!D14))))/Inputs!$B$35),IF(Inputs!$B$4="pvp",MIN((Skills!T14*(1+Inputs!$B$33/100)),15)/15,(Skills!T14*(1+Inputs!$B$33/100))/Skills!D14)))+((C888=TRUE)*F888*IF(AND(Inputs!$B$4&lt;&gt;"pvp",Inputs!$B$35&gt;0),(((S888-1)*(Skills!T15*(1+Inputs!$B$33/100))+MIN((Skills!T15*(1+Inputs!$B$33/100)),MAX(0,Inputs!$B$35-((S888-1)*Skills!D15))))/Inputs!$B$35),IF(Inputs!$B$4="pvp",MIN((Skills!T15*(1+Inputs!$B$33/100)),15)/15,(Skills!T15*(1+Inputs!$B$33/100))/Skills!D15)))+((C889=TRUE)*F889*IF(AND(Inputs!$B$4&lt;&gt;"pvp",Inputs!$B$35&gt;0),(((S889-1)*(Skills!T16*(1+Inputs!$B$33/100))+MIN((Skills!T16*(1+Inputs!$B$33/100)),MAX(0,Inputs!$B$35-((S889-1)*Skills!D16))))/Inputs!$B$35),IF(Inputs!$B$4="pvp",MIN((Skills!T16*(1+Inputs!$B$33/100)),15)/15,(Skills!T16*(1+Inputs!$B$33/100))/Skills!D16)))+0)/100)*I885)</f>
        <v/>
      </c>
      <c r="L885">
        <f>K885*(MIN(Inputs!$B$21+((C895=TRUE)*(F895-Calc!F22)),Inputs!$B$22+((C897=TRUE)*(F897-Calc!F24)))/100+(Inputs!$B$22+((C897=TRUE)*(F897-Calc!F24)))/100)/2</f>
        <v/>
      </c>
      <c r="M885">
        <f>L885*(1+(Inputs!$B$9+0+B907)/100)</f>
        <v/>
      </c>
      <c r="N885">
        <f>L885*(1-MIN((Inputs!$B$8+0+B902),100)/100)+M885*(MIN((Inputs!$B$8+0+B902),100)/100)</f>
        <v/>
      </c>
      <c r="O885">
        <f>IF(C885,H885*N885*IF(AND(Inputs!$B$4&lt;&gt;"pvp",Inputs!$B$35&gt;0),((Skills!G12*((R885-1)*IF(Skills!H12&gt;0,Skills!I12/Skills!H12,1)+IF(Skills!H12&gt;0,MIN(Skills!I12,MAX(0,Inputs!$B$35-((R885-1)*IF(Inputs!$B$4="pvp",15,MAX(0.1,Skills!D12-IF(Skills!E12=TRUE,Inputs!$B$31,0))))))/Skills!H12,1)))/Inputs!$B$35),G885*Q885)*IF(Inputs!$B$4="pvp",1,(1-Summary!$B$55)*(1)+Summary!$B$55*(MIN(Skills!R12,Inputs!$B$37))),0)</f>
        <v/>
      </c>
      <c r="P885">
        <f>IF(B910=0,0,O885/B910)</f>
        <v/>
      </c>
      <c r="Q885">
        <f>IFERROR(1/IF(Inputs!$B$4="pvp",15,MAX(0.1,Skills!D12-IF(Skills!E12=TRUE,Inputs!$B$31,0))),0)</f>
        <v/>
      </c>
      <c r="R885">
        <f>IF(AND(Inputs!$B$4&lt;&gt;"pvp",Inputs!$B$35&gt;0),(INT(Inputs!$B$35/IF(Inputs!$B$4="pvp",15,MAX(0.1,Skills!D12-IF(Skills!E12=TRUE,Inputs!$B$31,0))))+1),0)</f>
        <v/>
      </c>
      <c r="S885">
        <f>IFERROR(O885/N885,0)</f>
        <v/>
      </c>
    </row>
    <row r="886">
      <c r="A886">
        <f>Skills!A13</f>
        <v/>
      </c>
      <c r="B886">
        <f>Skills!B13</f>
        <v/>
      </c>
      <c r="C886">
        <f>Inputs!$B$3&gt;=69</f>
        <v/>
      </c>
      <c r="D886">
        <f>IF(Skills!C13=1,60+Inputs!$B$24+Inputs!$B$28,IF(Skills!C13=2,90+Inputs!$B$25+Inputs!$B$28,IF(Skills!C13=3,120+Inputs!$B$26+Inputs!$B$28,MAX(0,(Inputs!$B$3-100)*3)+Inputs!$B$27+Inputs!$B$28)))</f>
        <v/>
      </c>
      <c r="E886">
        <f>INDEX(FactorTable!$B$2:$Y$301, MATCH(ROUND(MIN(300,MAX(1,D886)),0), FactorTable!$A$2:$A$301,0), Skills!M13+1)</f>
        <v/>
      </c>
      <c r="F886">
        <f>IF(Skills!N13=TRUE,(Skills!L13/10)*(E886/1000),Skills!L13/10)+Skills!O13</f>
        <v/>
      </c>
      <c r="G886">
        <f>Skills!G13*IF(Skills!H13&gt;0,Skills!I13/Skills!H13,1)</f>
        <v/>
      </c>
      <c r="H886">
        <f>1-(1-Skills!J13/100)^Skills!K13</f>
        <v/>
      </c>
      <c r="I886" t="inlineStr">
        <is>
          <t>1</t>
        </is>
      </c>
      <c r="J886" t="inlineStr"/>
      <c r="K886" t="inlineStr"/>
      <c r="L886" t="inlineStr"/>
      <c r="M886" t="inlineStr"/>
      <c r="N886" t="inlineStr"/>
      <c r="O886" t="n">
        <v>0</v>
      </c>
      <c r="P886">
        <f>IF(B910=0,0,O886/B910)</f>
        <v/>
      </c>
      <c r="Q886">
        <f>IFERROR(1/IF(Inputs!$B$4="pvp",15,MAX(0.1,Skills!D13-IF(Skills!E13=TRUE,Inputs!$B$31,0))),0)</f>
        <v/>
      </c>
      <c r="R886">
        <f>IF(AND(Inputs!$B$4&lt;&gt;"pvp",Inputs!$B$35&gt;0),(INT(Inputs!$B$35/IF(Inputs!$B$4="pvp",15,MAX(0.1,Skills!D13-IF(Skills!E13=TRUE,Inputs!$B$31,0))))+1),0)</f>
        <v/>
      </c>
      <c r="S886">
        <f>IFERROR(O886/N886,0)</f>
        <v/>
      </c>
    </row>
    <row r="887">
      <c r="A887">
        <f>Skills!A14</f>
        <v/>
      </c>
      <c r="B887">
        <f>Skills!B14</f>
        <v/>
      </c>
      <c r="C887">
        <f>Inputs!$B$3&gt;=115</f>
        <v/>
      </c>
      <c r="D887">
        <f>IF(Skills!C14=1,60+Inputs!$B$24+Inputs!$B$28,IF(Skills!C14=2,90+Inputs!$B$25+Inputs!$B$28,IF(Skills!C14=3,120+Inputs!$B$26+Inputs!$B$28,MAX(0,(Inputs!$B$3-100)*3)+Inputs!$B$27+Inputs!$B$28)))</f>
        <v/>
      </c>
      <c r="E887">
        <f>INDEX(FactorTable!$B$2:$Y$301, MATCH(ROUND(MIN(300,MAX(1,D887)),0), FactorTable!$A$2:$A$301,0), Skills!M14+1)</f>
        <v/>
      </c>
      <c r="F887">
        <f>IF(Skills!N14=TRUE,(Skills!L14/10)*(E887/1000),Skills!L14/10)+Skills!O14</f>
        <v/>
      </c>
      <c r="G887">
        <f>Skills!G14*IF(Skills!H14&gt;0,Skills!I14/Skills!H14,1)</f>
        <v/>
      </c>
      <c r="H887">
        <f>1-(1-Skills!J14/100)^Skills!K14</f>
        <v/>
      </c>
      <c r="I887" t="inlineStr">
        <is>
          <t>1</t>
        </is>
      </c>
      <c r="J887" t="inlineStr"/>
      <c r="K887" t="inlineStr"/>
      <c r="L887" t="inlineStr"/>
      <c r="M887" t="inlineStr"/>
      <c r="N887" t="inlineStr"/>
      <c r="O887" t="n">
        <v>0</v>
      </c>
      <c r="P887">
        <f>IF(B910=0,0,O887/B910)</f>
        <v/>
      </c>
      <c r="Q887">
        <f>IFERROR(1/IF(Inputs!$B$4="pvp",15,MAX(0.1,Skills!D14-IF(Skills!E14=TRUE,Inputs!$B$31,0))),0)</f>
        <v/>
      </c>
      <c r="R887">
        <f>IF(AND(Inputs!$B$4&lt;&gt;"pvp",Inputs!$B$35&gt;0),(INT(Inputs!$B$35/IF(Inputs!$B$4="pvp",15,MAX(0.1,Skills!D14-IF(Skills!E14=TRUE,Inputs!$B$31,0))))+1),0)</f>
        <v/>
      </c>
      <c r="S887">
        <f>IFERROR(O887/N887,0)</f>
        <v/>
      </c>
    </row>
    <row r="888">
      <c r="A888">
        <f>Skills!A15</f>
        <v/>
      </c>
      <c r="B888">
        <f>Skills!B15</f>
        <v/>
      </c>
      <c r="C888">
        <f>Inputs!$B$3&gt;=66</f>
        <v/>
      </c>
      <c r="D888">
        <f>IF(Skills!C15=1,60+Inputs!$B$24+Inputs!$B$28,IF(Skills!C15=2,90+Inputs!$B$25+Inputs!$B$28,IF(Skills!C15=3,120+Inputs!$B$26+Inputs!$B$28,MAX(0,(Inputs!$B$3-100)*3)+Inputs!$B$27+Inputs!$B$28)))</f>
        <v/>
      </c>
      <c r="E888">
        <f>INDEX(FactorTable!$B$2:$Y$301, MATCH(ROUND(MIN(300,MAX(1,D888)),0), FactorTable!$A$2:$A$301,0), Skills!M15+1)</f>
        <v/>
      </c>
      <c r="F888">
        <f>IF(Skills!N15=TRUE,(Skills!L15/10)*(E888/1000),Skills!L15/10)+Skills!O15</f>
        <v/>
      </c>
      <c r="G888">
        <f>Skills!G15*IF(Skills!H15&gt;0,Skills!I15/Skills!H15,1)</f>
        <v/>
      </c>
      <c r="H888">
        <f>1-(1-Skills!J15/100)^Skills!K15</f>
        <v/>
      </c>
      <c r="I888" t="inlineStr">
        <is>
          <t>1</t>
        </is>
      </c>
      <c r="J888" t="inlineStr"/>
      <c r="K888" t="inlineStr"/>
      <c r="L888" t="inlineStr"/>
      <c r="M888" t="inlineStr"/>
      <c r="N888" t="inlineStr"/>
      <c r="O888" t="n">
        <v>0</v>
      </c>
      <c r="P888">
        <f>IF(B910=0,0,O888/B910)</f>
        <v/>
      </c>
      <c r="Q888">
        <f>IFERROR(1/IF(Inputs!$B$4="pvp",15,MAX(0.1,Skills!D15-IF(Skills!E15=TRUE,Inputs!$B$31,0))),0)</f>
        <v/>
      </c>
      <c r="R888">
        <f>IF(AND(Inputs!$B$4&lt;&gt;"pvp",Inputs!$B$35&gt;0),(INT(Inputs!$B$35/IF(Inputs!$B$4="pvp",15,MAX(0.1,Skills!D15-IF(Skills!E15=TRUE,Inputs!$B$31,0))))+1),0)</f>
        <v/>
      </c>
      <c r="S888">
        <f>IFERROR(O888/N888,0)</f>
        <v/>
      </c>
    </row>
    <row r="889">
      <c r="A889">
        <f>Skills!A16</f>
        <v/>
      </c>
      <c r="B889">
        <f>Skills!B16</f>
        <v/>
      </c>
      <c r="C889">
        <f>Inputs!$B$3&gt;=45</f>
        <v/>
      </c>
      <c r="D889">
        <f>IF(Skills!C16=1,60+Inputs!$B$24+Inputs!$B$28,IF(Skills!C16=2,90+Inputs!$B$25+Inputs!$B$28,IF(Skills!C16=3,120+Inputs!$B$26+Inputs!$B$28,MAX(0,(Inputs!$B$3-100)*3)+Inputs!$B$27+Inputs!$B$28)))</f>
        <v/>
      </c>
      <c r="E889">
        <f>INDEX(FactorTable!$B$2:$Y$301, MATCH(ROUND(MIN(300,MAX(1,D889)),0), FactorTable!$A$2:$A$301,0), Skills!M16+1)</f>
        <v/>
      </c>
      <c r="F889">
        <f>IF(Skills!N16=TRUE,(Skills!L16/10)*(E889/1000),Skills!L16/10)+Skills!O16</f>
        <v/>
      </c>
      <c r="G889">
        <f>Skills!G16*IF(Skills!H16&gt;0,Skills!I16/Skills!H16,1)</f>
        <v/>
      </c>
      <c r="H889">
        <f>1-(1-Skills!J16/100)^Skills!K16</f>
        <v/>
      </c>
      <c r="I889" t="inlineStr">
        <is>
          <t>1</t>
        </is>
      </c>
      <c r="J889" t="inlineStr"/>
      <c r="K889" t="inlineStr"/>
      <c r="L889" t="inlineStr"/>
      <c r="M889" t="inlineStr"/>
      <c r="N889" t="inlineStr"/>
      <c r="O889" t="n">
        <v>0</v>
      </c>
      <c r="P889">
        <f>IF(B910=0,0,O889/B910)</f>
        <v/>
      </c>
      <c r="Q889">
        <f>IFERROR(1/IF(Inputs!$B$4="pvp",15,MAX(0.1,Skills!D16-IF(Skills!E16=TRUE,Inputs!$B$31,0))),0)</f>
        <v/>
      </c>
      <c r="R889">
        <f>IF(AND(Inputs!$B$4&lt;&gt;"pvp",Inputs!$B$35&gt;0),(INT(Inputs!$B$35/IF(Inputs!$B$4="pvp",15,MAX(0.1,Skills!D16-IF(Skills!E16=TRUE,Inputs!$B$31,0))))+1),0)</f>
        <v/>
      </c>
      <c r="S889">
        <f>IFERROR(O889/N889,0)</f>
        <v/>
      </c>
    </row>
    <row r="890">
      <c r="A890">
        <f>Skills!A17</f>
        <v/>
      </c>
      <c r="B890">
        <f>Skills!B17</f>
        <v/>
      </c>
      <c r="C890">
        <f>Inputs!$B$3&gt;=35</f>
        <v/>
      </c>
      <c r="D890">
        <f>IF(Skills!C17=1,60+Inputs!$B$24+Inputs!$B$28,IF(Skills!C17=2,90+Inputs!$B$25+Inputs!$B$28,IF(Skills!C17=3,120+Inputs!$B$26+Inputs!$B$28,MAX(0,(Inputs!$B$3-100)*3)+Inputs!$B$27+Inputs!$B$28)))</f>
        <v/>
      </c>
      <c r="E890">
        <f>INDEX(FactorTable!$B$2:$Y$301, MATCH(ROUND(MIN(300,MAX(1,D890)),0), FactorTable!$A$2:$A$301,0), Skills!M17+1)</f>
        <v/>
      </c>
      <c r="F890">
        <f>IF(Skills!N17=TRUE,(Skills!L17/10)*(E890/1000),Skills!L17/10)+Skills!O17</f>
        <v/>
      </c>
      <c r="G890">
        <f>Skills!G17*IF(Skills!H17&gt;0,Skills!I17/Skills!H17,1)</f>
        <v/>
      </c>
      <c r="H890">
        <f>1-(1-Skills!J17/100)^Skills!K17</f>
        <v/>
      </c>
      <c r="I890" t="inlineStr">
        <is>
          <t>1</t>
        </is>
      </c>
      <c r="J890" t="inlineStr"/>
      <c r="K890" t="inlineStr"/>
      <c r="L890" t="inlineStr"/>
      <c r="M890" t="inlineStr"/>
      <c r="N890" t="inlineStr"/>
      <c r="O890" t="n">
        <v>0</v>
      </c>
      <c r="P890">
        <f>IF(B910=0,0,O890/B910)</f>
        <v/>
      </c>
      <c r="Q890">
        <f>IFERROR(1/IF(Inputs!$B$4="pvp",15,MAX(0.1,Skills!D17-IF(Skills!E17=TRUE,Inputs!$B$31,0))),0)</f>
        <v/>
      </c>
      <c r="R890">
        <f>IF(AND(Inputs!$B$4&lt;&gt;"pvp",Inputs!$B$35&gt;0),(INT(Inputs!$B$35/IF(Inputs!$B$4="pvp",15,MAX(0.1,Skills!D17-IF(Skills!E17=TRUE,Inputs!$B$31,0))))+1),0)</f>
        <v/>
      </c>
      <c r="S890">
        <f>IFERROR(O890/N890,0)</f>
        <v/>
      </c>
    </row>
    <row r="891">
      <c r="A891">
        <f>Skills!A18</f>
        <v/>
      </c>
      <c r="B891">
        <f>Skills!B18</f>
        <v/>
      </c>
      <c r="C891">
        <f>Inputs!$B$3&gt;=72</f>
        <v/>
      </c>
      <c r="D891">
        <f>IF(Skills!C18=1,60+Inputs!$B$24+Inputs!$B$28,IF(Skills!C18=2,90+Inputs!$B$25+Inputs!$B$28,IF(Skills!C18=3,120+Inputs!$B$26+Inputs!$B$28,MAX(0,(Inputs!$B$3-100)*3)+Inputs!$B$27+Inputs!$B$28)))</f>
        <v/>
      </c>
      <c r="E891">
        <f>INDEX(FactorTable!$B$2:$Y$301, MATCH(ROUND(MIN(300,MAX(1,D891)),0), FactorTable!$A$2:$A$301,0), Skills!M18+1)</f>
        <v/>
      </c>
      <c r="F891">
        <f>IF(Skills!N18=TRUE,(Skills!L18/10)*(E891/1000),Skills!L18/10)+Skills!O18</f>
        <v/>
      </c>
      <c r="G891">
        <f>Skills!G18*IF(Skills!H18&gt;0,Skills!I18/Skills!H18,1)</f>
        <v/>
      </c>
      <c r="H891">
        <f>1-(1-Skills!J18/100)^Skills!K18</f>
        <v/>
      </c>
      <c r="I891" t="inlineStr">
        <is>
          <t>1</t>
        </is>
      </c>
      <c r="J891" t="inlineStr"/>
      <c r="K891" t="inlineStr"/>
      <c r="L891" t="inlineStr"/>
      <c r="M891" t="inlineStr"/>
      <c r="N891" t="inlineStr"/>
      <c r="O891" t="n">
        <v>0</v>
      </c>
      <c r="P891">
        <f>IF(B910=0,0,O891/B910)</f>
        <v/>
      </c>
      <c r="Q891">
        <f>IFERROR(1/IF(Inputs!$B$4="pvp",15,MAX(0.1,Skills!D18-IF(Skills!E18=TRUE,Inputs!$B$31,0))),0)</f>
        <v/>
      </c>
      <c r="R891">
        <f>IF(AND(Inputs!$B$4&lt;&gt;"pvp",Inputs!$B$35&gt;0),(INT(Inputs!$B$35/IF(Inputs!$B$4="pvp",15,MAX(0.1,Skills!D18-IF(Skills!E18=TRUE,Inputs!$B$31,0))))+1),0)</f>
        <v/>
      </c>
      <c r="S891">
        <f>IFERROR(O891/N891,0)</f>
        <v/>
      </c>
    </row>
    <row r="892">
      <c r="A892">
        <f>Skills!A19</f>
        <v/>
      </c>
      <c r="B892">
        <f>Skills!B19</f>
        <v/>
      </c>
      <c r="C892">
        <f>Inputs!$B$3&gt;=72</f>
        <v/>
      </c>
      <c r="D892">
        <f>IF(Skills!C19=1,60+Inputs!$B$24+Inputs!$B$28,IF(Skills!C19=2,90+Inputs!$B$25+Inputs!$B$28,IF(Skills!C19=3,120+Inputs!$B$26+Inputs!$B$28,MAX(0,(Inputs!$B$3-100)*3)+Inputs!$B$27+Inputs!$B$28)))</f>
        <v/>
      </c>
      <c r="E892">
        <f>INDEX(FactorTable!$B$2:$Y$301, MATCH(ROUND(MIN(300,MAX(1,D892)),0), FactorTable!$A$2:$A$301,0), Skills!M19+1)</f>
        <v/>
      </c>
      <c r="F892">
        <f>IF(Skills!N19=TRUE,(Skills!L19/10)*(E892/1000),Skills!L19/10)+Skills!O19</f>
        <v/>
      </c>
      <c r="G892">
        <f>Skills!G19*IF(Skills!H19&gt;0,Skills!I19/Skills!H19,1)</f>
        <v/>
      </c>
      <c r="H892">
        <f>1-(1-Skills!J19/100)^Skills!K19</f>
        <v/>
      </c>
      <c r="I892" t="inlineStr">
        <is>
          <t>1</t>
        </is>
      </c>
      <c r="J892" t="inlineStr"/>
      <c r="K892" t="inlineStr"/>
      <c r="L892" t="inlineStr"/>
      <c r="M892" t="inlineStr"/>
      <c r="N892" t="inlineStr"/>
      <c r="O892" t="n">
        <v>0</v>
      </c>
      <c r="P892">
        <f>IF(B910=0,0,O892/B910)</f>
        <v/>
      </c>
      <c r="Q892">
        <f>IFERROR(1/IF(Inputs!$B$4="pvp",15,MAX(0.1,Skills!D19-IF(Skills!E19=TRUE,Inputs!$B$31,0))),0)</f>
        <v/>
      </c>
      <c r="R892">
        <f>IF(AND(Inputs!$B$4&lt;&gt;"pvp",Inputs!$B$35&gt;0),(INT(Inputs!$B$35/IF(Inputs!$B$4="pvp",15,MAX(0.1,Skills!D19-IF(Skills!E19=TRUE,Inputs!$B$31,0))))+1),0)</f>
        <v/>
      </c>
      <c r="S892">
        <f>IFERROR(O892/N892,0)</f>
        <v/>
      </c>
    </row>
    <row r="893">
      <c r="A893">
        <f>Skills!A20</f>
        <v/>
      </c>
      <c r="B893">
        <f>Skills!B20</f>
        <v/>
      </c>
      <c r="C893">
        <f>TRUE</f>
        <v/>
      </c>
      <c r="D893">
        <f>IF(Skills!C20=1,60+Inputs!$B$24+Inputs!$B$28,IF(Skills!C20=2,90+Inputs!$B$25+Inputs!$B$28,IF(Skills!C20=3,120+Inputs!$B$26+Inputs!$B$28,MAX(0,(Inputs!$B$3-100)*3)+Inputs!$B$27+Inputs!$B$28)))</f>
        <v/>
      </c>
      <c r="E893">
        <f>INDEX(FactorTable!$B$2:$Y$301, MATCH(ROUND(MIN(300,MAX(1,D893)),0), FactorTable!$A$2:$A$301,0), Skills!M20+1)</f>
        <v/>
      </c>
      <c r="F893">
        <f>IF(Skills!N20=TRUE,(Skills!L20/10)*(E893/1000),Skills!L20/10)+Skills!O20</f>
        <v/>
      </c>
      <c r="G893">
        <f>Skills!G20*IF(Skills!H20&gt;0,Skills!I20/Skills!H20,1)</f>
        <v/>
      </c>
      <c r="H893">
        <f>1-(1-Skills!J20/100)^Skills!K20</f>
        <v/>
      </c>
      <c r="I893" t="inlineStr">
        <is>
          <t>1</t>
        </is>
      </c>
      <c r="J893" t="inlineStr"/>
      <c r="K893" t="inlineStr"/>
      <c r="L893" t="inlineStr"/>
      <c r="M893" t="inlineStr"/>
      <c r="N893" t="inlineStr"/>
      <c r="O893" t="n">
        <v>0</v>
      </c>
      <c r="P893">
        <f>IF(B910=0,0,O893/B910)</f>
        <v/>
      </c>
      <c r="Q893">
        <f>IFERROR(1/IF(Inputs!$B$4="pvp",15,MAX(0.1,Skills!D20-IF(Skills!E20=TRUE,Inputs!$B$31,0))),0)</f>
        <v/>
      </c>
      <c r="R893">
        <f>IF(AND(Inputs!$B$4&lt;&gt;"pvp",Inputs!$B$35&gt;0),(INT(Inputs!$B$35/IF(Inputs!$B$4="pvp",15,MAX(0.1,Skills!D20-IF(Skills!E20=TRUE,Inputs!$B$31,0))))+1),0)</f>
        <v/>
      </c>
      <c r="S893">
        <f>IFERROR(O893/N893,0)</f>
        <v/>
      </c>
    </row>
    <row r="894">
      <c r="A894">
        <f>Skills!A21</f>
        <v/>
      </c>
      <c r="B894">
        <f>Skills!B21</f>
        <v/>
      </c>
      <c r="C894">
        <f>Inputs!$B$3&gt;=33</f>
        <v/>
      </c>
      <c r="D894">
        <f>IF(Skills!C21=1,60+Inputs!$B$24+Inputs!$B$28,IF(Skills!C21=2,90+Inputs!$B$25+Inputs!$B$28,IF(Skills!C21=3,120+Inputs!$B$26+Inputs!$B$28,MAX(0,(Inputs!$B$3-100)*3)+Inputs!$B$27+Inputs!$B$28)))</f>
        <v/>
      </c>
      <c r="E894">
        <f>INDEX(FactorTable!$B$2:$Y$301, MATCH(ROUND(MIN(300,MAX(1,D894)),0), FactorTable!$A$2:$A$301,0), Skills!M21+1)</f>
        <v/>
      </c>
      <c r="F894">
        <f>IF(Skills!N21=TRUE,(Skills!L21/10)*(E894/1000),Skills!L21/10)+Skills!O21</f>
        <v/>
      </c>
      <c r="G894">
        <f>Skills!G21*IF(Skills!H21&gt;0,Skills!I21/Skills!H21,1)</f>
        <v/>
      </c>
      <c r="H894">
        <f>1-(1-Skills!J21/100)^Skills!K21</f>
        <v/>
      </c>
      <c r="I894" t="inlineStr">
        <is>
          <t>1</t>
        </is>
      </c>
      <c r="J894" t="inlineStr"/>
      <c r="K894" t="inlineStr"/>
      <c r="L894" t="inlineStr"/>
      <c r="M894" t="inlineStr"/>
      <c r="N894" t="inlineStr"/>
      <c r="O894" t="n">
        <v>0</v>
      </c>
      <c r="P894">
        <f>IF(B910=0,0,O894/B910)</f>
        <v/>
      </c>
      <c r="Q894" t="n">
        <v>0</v>
      </c>
      <c r="R894" t="n">
        <v>0</v>
      </c>
      <c r="S894">
        <f>IFERROR(O894/N894,0)</f>
        <v/>
      </c>
    </row>
    <row r="895">
      <c r="A895">
        <f>Skills!A22</f>
        <v/>
      </c>
      <c r="B895">
        <f>Skills!B22</f>
        <v/>
      </c>
      <c r="C895">
        <f>Inputs!$B$3&gt;=43</f>
        <v/>
      </c>
      <c r="D895">
        <f>IF(Skills!C22=1,60+Inputs!$B$24+Inputs!$B$28,IF(Skills!C22=2,90+Inputs!$B$25+Inputs!$B$28,IF(Skills!C22=3,120+Inputs!$B$26+Inputs!$B$28,MAX(0,(Inputs!$B$3-100)*3)+Inputs!$B$27+Inputs!$B$28)))</f>
        <v/>
      </c>
      <c r="E895">
        <f>INDEX(FactorTable!$B$2:$Y$301, MATCH(ROUND(MIN(300,MAX(1,D895)),0), FactorTable!$A$2:$A$301,0), Skills!M22+1)</f>
        <v/>
      </c>
      <c r="F895">
        <f>IF(Skills!N22=TRUE,(Skills!L22/10)*(E895/1000),Skills!L22/10)+Skills!O22</f>
        <v/>
      </c>
      <c r="G895">
        <f>Skills!G22*IF(Skills!H22&gt;0,Skills!I22/Skills!H22,1)</f>
        <v/>
      </c>
      <c r="H895">
        <f>1-(1-Skills!J22/100)^Skills!K22</f>
        <v/>
      </c>
      <c r="I895" t="inlineStr">
        <is>
          <t>1</t>
        </is>
      </c>
      <c r="J895" t="inlineStr"/>
      <c r="K895" t="inlineStr"/>
      <c r="L895" t="inlineStr"/>
      <c r="M895" t="inlineStr"/>
      <c r="N895" t="inlineStr"/>
      <c r="O895" t="n">
        <v>0</v>
      </c>
      <c r="P895">
        <f>IF(B910=0,0,O895/B910)</f>
        <v/>
      </c>
      <c r="Q895" t="n">
        <v>0</v>
      </c>
      <c r="R895" t="n">
        <v>0</v>
      </c>
      <c r="S895">
        <f>IFERROR(O895/N895,0)</f>
        <v/>
      </c>
    </row>
    <row r="896">
      <c r="A896">
        <f>Skills!A23</f>
        <v/>
      </c>
      <c r="B896">
        <f>Skills!B23</f>
        <v/>
      </c>
      <c r="C896">
        <f>Inputs!$B$3&gt;=120</f>
        <v/>
      </c>
      <c r="D896">
        <f>IF(Skills!C23=1,60+Inputs!$B$24+Inputs!$B$28,IF(Skills!C23=2,90+Inputs!$B$25+Inputs!$B$28,IF(Skills!C23=3,120+Inputs!$B$26+Inputs!$B$28,MAX(0,(Inputs!$B$3-100)*3)+Inputs!$B$27+Inputs!$B$28)))</f>
        <v/>
      </c>
      <c r="E896">
        <f>INDEX(FactorTable!$B$2:$Y$301, MATCH(ROUND(MIN(300,MAX(1,D896)),0), FactorTable!$A$2:$A$301,0), Skills!M23+1)</f>
        <v/>
      </c>
      <c r="F896">
        <f>IF(Skills!N23=TRUE,(Skills!L23/10)*(E896/1000),Skills!L23/10)+Skills!O23</f>
        <v/>
      </c>
      <c r="G896">
        <f>Skills!G23*IF(Skills!H23&gt;0,Skills!I23/Skills!H23,1)</f>
        <v/>
      </c>
      <c r="H896">
        <f>1-(1-Skills!J23/100)^Skills!K23</f>
        <v/>
      </c>
      <c r="I896" t="inlineStr">
        <is>
          <t>1</t>
        </is>
      </c>
      <c r="J896" t="inlineStr"/>
      <c r="K896" t="inlineStr"/>
      <c r="L896" t="inlineStr"/>
      <c r="M896" t="inlineStr"/>
      <c r="N896" t="inlineStr"/>
      <c r="O896" t="n">
        <v>0</v>
      </c>
      <c r="P896">
        <f>IF(B910=0,0,O896/B910)</f>
        <v/>
      </c>
      <c r="Q896" t="n">
        <v>0</v>
      </c>
      <c r="R896" t="n">
        <v>0</v>
      </c>
      <c r="S896">
        <f>IFERROR(O896/N896,0)</f>
        <v/>
      </c>
    </row>
    <row r="897">
      <c r="A897">
        <f>Skills!A24</f>
        <v/>
      </c>
      <c r="B897">
        <f>Skills!B24</f>
        <v/>
      </c>
      <c r="C897">
        <f>Inputs!$B$3&gt;=120</f>
        <v/>
      </c>
      <c r="D897">
        <f>IF(Skills!C24=1,60+Inputs!$B$24+Inputs!$B$28,IF(Skills!C24=2,90+Inputs!$B$25+Inputs!$B$28,IF(Skills!C24=3,120+Inputs!$B$26+Inputs!$B$28,MAX(0,(Inputs!$B$3-100)*3)+Inputs!$B$27+Inputs!$B$28)))</f>
        <v/>
      </c>
      <c r="E897">
        <f>INDEX(FactorTable!$B$2:$Y$301, MATCH(ROUND(MIN(300,MAX(1,D897)),0), FactorTable!$A$2:$A$301,0), Skills!M24+1)</f>
        <v/>
      </c>
      <c r="F897">
        <f>IF(Skills!N24=TRUE,(Skills!L24/10)*(E897/1000),Skills!L24/10)+Skills!O24</f>
        <v/>
      </c>
      <c r="G897">
        <f>Skills!G24*IF(Skills!H24&gt;0,Skills!I24/Skills!H24,1)</f>
        <v/>
      </c>
      <c r="H897">
        <f>1-(1-Skills!J24/100)^Skills!K24</f>
        <v/>
      </c>
      <c r="I897" t="inlineStr">
        <is>
          <t>1</t>
        </is>
      </c>
      <c r="J897" t="inlineStr"/>
      <c r="K897" t="inlineStr"/>
      <c r="L897" t="inlineStr"/>
      <c r="M897" t="inlineStr"/>
      <c r="N897" t="inlineStr"/>
      <c r="O897" t="n">
        <v>0</v>
      </c>
      <c r="P897">
        <f>IF(B910=0,0,O897/B910)</f>
        <v/>
      </c>
      <c r="Q897" t="n">
        <v>0</v>
      </c>
      <c r="R897" t="n">
        <v>0</v>
      </c>
      <c r="S897">
        <f>IFERROR(O897/N897,0)</f>
        <v/>
      </c>
    </row>
    <row r="898">
      <c r="A898">
        <f>Skills!A25</f>
        <v/>
      </c>
      <c r="B898">
        <f>Skills!B25</f>
        <v/>
      </c>
      <c r="C898">
        <f>Inputs!$B$3&gt;=125</f>
        <v/>
      </c>
      <c r="D898">
        <f>IF(Skills!C25=1,60+Inputs!$B$24+Inputs!$B$28,IF(Skills!C25=2,90+Inputs!$B$25+Inputs!$B$28,IF(Skills!C25=3,120+Inputs!$B$26+Inputs!$B$28,MAX(0,(Inputs!$B$3-100)*3)+Inputs!$B$27+Inputs!$B$28)))</f>
        <v/>
      </c>
      <c r="E898">
        <f>INDEX(FactorTable!$B$2:$Y$301, MATCH(ROUND(MIN(300,MAX(1,D898)),0), FactorTable!$A$2:$A$301,0), Skills!M25+1)</f>
        <v/>
      </c>
      <c r="F898">
        <f>IF(Skills!N25=TRUE,(Skills!L25/10)*(E898/1000),Skills!L25/10)+Skills!O25</f>
        <v/>
      </c>
      <c r="G898">
        <f>Skills!G25*IF(Skills!H25&gt;0,Skills!I25/Skills!H25,1)</f>
        <v/>
      </c>
      <c r="H898">
        <f>1-(1-Skills!J25/100)^Skills!K25</f>
        <v/>
      </c>
      <c r="I898" t="inlineStr">
        <is>
          <t>1</t>
        </is>
      </c>
      <c r="J898" t="inlineStr"/>
      <c r="K898" t="inlineStr"/>
      <c r="L898" t="inlineStr"/>
      <c r="M898" t="inlineStr"/>
      <c r="N898" t="inlineStr"/>
      <c r="O898" t="n">
        <v>0</v>
      </c>
      <c r="P898">
        <f>IF(B910=0,0,O898/B910)</f>
        <v/>
      </c>
      <c r="Q898" t="n">
        <v>0</v>
      </c>
      <c r="R898" t="n">
        <v>0</v>
      </c>
      <c r="S898">
        <f>IFERROR(O898/N898,0)</f>
        <v/>
      </c>
    </row>
    <row r="899">
      <c r="A899">
        <f>Skills!A26</f>
        <v/>
      </c>
      <c r="B899">
        <f>Skills!B26</f>
        <v/>
      </c>
      <c r="C899">
        <f>Inputs!$B$3&gt;=107</f>
        <v/>
      </c>
      <c r="D899">
        <f>IF(Skills!C26=1,60+Inputs!$B$24+Inputs!$B$28,IF(Skills!C26=2,90+Inputs!$B$25+Inputs!$B$28,IF(Skills!C26=3,120+Inputs!$B$26+Inputs!$B$28,MAX(0,(Inputs!$B$3-100)*3)+Inputs!$B$27+Inputs!$B$28)))</f>
        <v/>
      </c>
      <c r="E899">
        <f>INDEX(FactorTable!$B$2:$Y$301, MATCH(ROUND(MIN(300,MAX(1,D899)),0), FactorTable!$A$2:$A$301,0), Skills!M26+1)</f>
        <v/>
      </c>
      <c r="F899">
        <f>IF(Skills!N26=TRUE,(Skills!L26/10)*(E899/1000),Skills!L26/10)+Skills!O26</f>
        <v/>
      </c>
      <c r="G899">
        <f>Skills!G26*IF(Skills!H26&gt;0,Skills!I26/Skills!H26,1)</f>
        <v/>
      </c>
      <c r="H899">
        <f>1-(1-Skills!J26/100)^Skills!K26</f>
        <v/>
      </c>
      <c r="I899" t="inlineStr">
        <is>
          <t>1</t>
        </is>
      </c>
      <c r="J899" t="inlineStr"/>
      <c r="K899" t="inlineStr"/>
      <c r="L899" t="inlineStr"/>
      <c r="M899" t="inlineStr"/>
      <c r="N899" t="inlineStr"/>
      <c r="O899" t="n">
        <v>0</v>
      </c>
      <c r="P899">
        <f>IF(B910=0,0,O899/B910)</f>
        <v/>
      </c>
      <c r="Q899" t="n">
        <v>0</v>
      </c>
      <c r="R899" t="n">
        <v>0</v>
      </c>
      <c r="S899">
        <f>IFERROR(O899/N899,0)</f>
        <v/>
      </c>
    </row>
    <row r="901">
      <c r="A901" t="inlineStr">
        <is>
          <t>Attack% Bucket Multiplier</t>
        </is>
      </c>
      <c r="B901">
        <f>(1+(((C886=TRUE)*F886*IF(AND(Inputs!$B$4&lt;&gt;"pvp",Inputs!$B$35&gt;0),(((S886-1)*(Skills!T13*(1+Inputs!$B$33/100))+MIN((Skills!T13*(1+Inputs!$B$33/100)),MAX(0,Inputs!$B$35-((S886-1)*Skills!D13))))/Inputs!$B$35),IF(Inputs!$B$4="pvp",MIN((Skills!T13*(1+Inputs!$B$33/100)),15)/15,(Skills!T13*(1+Inputs!$B$33/100))/Skills!D13)))+((C887=TRUE)*F887*IF(AND(Inputs!$B$4&lt;&gt;"pvp",Inputs!$B$35&gt;0),(((S887-1)*(Skills!T14*(1+Inputs!$B$33/100))+MIN((Skills!T14*(1+Inputs!$B$33/100)),MAX(0,Inputs!$B$35-((S887-1)*Skills!D14))))/Inputs!$B$35),IF(Inputs!$B$4="pvp",MIN((Skills!T14*(1+Inputs!$B$33/100)),15)/15,(Skills!T14*(1+Inputs!$B$33/100))/Skills!D14)))+((C888=TRUE)*F888*IF(AND(Inputs!$B$4&lt;&gt;"pvp",Inputs!$B$35&gt;0),(((S888-1)*(Skills!T15*(1+Inputs!$B$33/100))+MIN((Skills!T15*(1+Inputs!$B$33/100)),MAX(0,Inputs!$B$35-((S888-1)*Skills!D15))))/Inputs!$B$35),IF(Inputs!$B$4="pvp",MIN((Skills!T15*(1+Inputs!$B$33/100)),15)/15,(Skills!T15*(1+Inputs!$B$33/100))/Skills!D15)))+((C889=TRUE)*F889*IF(AND(Inputs!$B$4&lt;&gt;"pvp",Inputs!$B$35&gt;0),(((S889-1)*(Skills!T16*(1+Inputs!$B$33/100))+MIN((Skills!T16*(1+Inputs!$B$33/100)),MAX(0,Inputs!$B$35-((S889-1)*Skills!D16))))/Inputs!$B$35),IF(Inputs!$B$4="pvp",MIN((Skills!T16*(1+Inputs!$B$33/100)),15)/15,(Skills!T16*(1+Inputs!$B$33/100))/Skills!D16)))+0)/100)</f>
        <v/>
      </c>
    </row>
    <row r="902">
      <c r="A902" t="inlineStr">
        <is>
          <t>Global Crit Rate Bonus % (Lord of Darkness)</t>
        </is>
      </c>
      <c r="B902">
        <f>((C891=TRUE)*F891*(Skills!J18/100)*IF(AND(Inputs!$B$4&lt;&gt;"pvp",Inputs!$B$35&gt;0),(((S891-1)*(Skills!T18*(1+Inputs!$B$33/100))+MIN((Skills!T18*(1+Inputs!$B$33/100)),MAX(0,Inputs!$B$35-((S891-1)*Skills!D18))))/Inputs!$B$35),IF(Inputs!$B$4="pvp",MIN((Skills!T18*(1+Inputs!$B$33/100)),15)/15,(Skills!T18*(1+Inputs!$B$33/100))/Skills!D18)))</f>
        <v/>
      </c>
    </row>
    <row r="903">
      <c r="A903" t="inlineStr">
        <is>
          <t>Attack Speed Buff Bonus %</t>
        </is>
      </c>
      <c r="B903">
        <f>((C893=TRUE)*F893*IF(AND(Inputs!$B$4&lt;&gt;"pvp",Inputs!$B$35&gt;0),(((S893-1)*(Skills!T20*(1+Inputs!$B$33/100))+MIN((Skills!T20*(1+Inputs!$B$33/100)),MAX(0,Inputs!$B$35-((S893-1)*Skills!D20))))/Inputs!$B$35),IF(Inputs!$B$4="pvp",MIN((Skills!T20*(1+Inputs!$B$33/100)),15)/15,(Skills!T20*(1+Inputs!$B$33/100))/Skills!D20)))</f>
        <v/>
      </c>
    </row>
    <row r="904">
      <c r="A904" t="inlineStr">
        <is>
          <t>Actions Per Second</t>
        </is>
      </c>
      <c r="B904">
        <f>1+MIN(150,150*(1-(1-(Inputs!$B$10+((C894=TRUE)*(F894-Calc!F21)))/150)*(1-B903/150)))/100</f>
        <v/>
      </c>
    </row>
    <row r="905">
      <c r="A905" t="inlineStr">
        <is>
          <t>Skill + Buff Cast Rate</t>
        </is>
      </c>
      <c r="B905">
        <f>IF(AND(Inputs!$B$4&lt;&gt;"pvp",Inputs!$B$35&gt;0),SUMPRODUCT((Skills!E2:E26=TRUE)*(C875:C899=TRUE)*R875:R899*Skills!F2:F26)/Inputs!$B$35,SUMPRODUCT((Skills!E2:E26=TRUE)*(C875:C899=TRUE)*Q875:Q899*Skills!F2:F26))</f>
        <v/>
      </c>
    </row>
    <row r="906">
      <c r="A906" t="inlineStr">
        <is>
          <t>Dark Impale Casts Per Second</t>
        </is>
      </c>
      <c r="B906">
        <f>MAX(0,B904-B905)</f>
        <v/>
      </c>
    </row>
    <row r="907">
      <c r="A907" t="inlineStr">
        <is>
          <t>Global Critical Damage Bonus % (Lord of Darkness)</t>
        </is>
      </c>
      <c r="B907">
        <f>((C892=TRUE)*F892*(Skills!J19/100)*IF(AND(Inputs!$B$4&lt;&gt;"pvp",Inputs!$B$35&gt;0),(((S892-1)*(Skills!T19*(1+Inputs!$B$33/100))+MIN((Skills!T19*(1+Inputs!$B$33/100)),MAX(0,Inputs!$B$35-((S892-1)*Skills!D19))))/Inputs!$B$35),IF(Inputs!$B$4="pvp",MIN((Skills!T19*(1+Inputs!$B$33/100)),15)/15,(Skills!T19*(1+Inputs!$B$33/100))/Skills!D19)))</f>
        <v/>
      </c>
    </row>
    <row r="908">
      <c r="A908" t="inlineStr">
        <is>
          <t>Global Final Damage Bonus % (unused)</t>
        </is>
      </c>
      <c r="B908" t="n">
        <v>0</v>
      </c>
    </row>
    <row r="910">
      <c r="A910" s="5" t="inlineStr">
        <is>
          <t>TOTAL DPS</t>
        </is>
      </c>
      <c r="B910" s="5">
        <f>SUM(O875:O899)</f>
        <v/>
      </c>
    </row>
    <row r="913">
      <c r="A913" s="5" t="inlineStr">
        <is>
          <t>Stat: ATTACK %</t>
        </is>
      </c>
    </row>
    <row r="914">
      <c r="A914" s="8" t="inlineStr">
        <is>
          <t>Key</t>
        </is>
      </c>
      <c r="B914" s="8" t="inlineStr">
        <is>
          <t>Name</t>
        </is>
      </c>
      <c r="C914" s="8" t="inlineStr">
        <is>
          <t>Unlocked</t>
        </is>
      </c>
      <c r="D914" s="8" t="inlineStr">
        <is>
          <t>InputLevel</t>
        </is>
      </c>
      <c r="E914" s="8" t="inlineStr">
        <is>
          <t>Factor</t>
        </is>
      </c>
      <c r="F914" s="8" t="inlineStr">
        <is>
          <t>CoefficientPercent</t>
        </is>
      </c>
      <c r="G914" s="8" t="inlineStr">
        <is>
          <t>EffectiveHits</t>
        </is>
      </c>
      <c r="H914" s="8" t="inlineStr">
        <is>
          <t>ProcProbability</t>
        </is>
      </c>
      <c r="I914" s="8" t="inlineStr">
        <is>
          <t>MapleHeroMultiplier</t>
        </is>
      </c>
      <c r="J914" s="8" t="inlineStr">
        <is>
          <t>BaseDamage</t>
        </is>
      </c>
      <c r="K914" s="8" t="inlineStr">
        <is>
          <t>BaseHitDamage</t>
        </is>
      </c>
      <c r="L914" s="8" t="inlineStr">
        <is>
          <t>NonCritAvg</t>
        </is>
      </c>
      <c r="M914" s="8" t="inlineStr">
        <is>
          <t>CritAvg</t>
        </is>
      </c>
      <c r="N914" s="8" t="inlineStr">
        <is>
          <t>ExpectedDamage(perHit)</t>
        </is>
      </c>
      <c r="O914" s="8" t="inlineStr">
        <is>
          <t>DPS</t>
        </is>
      </c>
      <c r="P914" s="8" t="inlineStr">
        <is>
          <t>% of Total</t>
        </is>
      </c>
      <c r="Q914" s="8" t="inlineStr">
        <is>
          <t>InvCooldown</t>
        </is>
      </c>
      <c r="R914" s="8" t="inlineStr">
        <is>
          <t>CastsInFight</t>
        </is>
      </c>
      <c r="S914" s="8" t="inlineStr">
        <is>
          <t>HitRate(perSec)</t>
        </is>
      </c>
      <c r="U914" t="inlineStr">
        <is>
          <t>helpers</t>
        </is>
      </c>
    </row>
    <row r="915">
      <c r="A915">
        <f>Skills!A2</f>
        <v/>
      </c>
      <c r="B915">
        <f>Skills!B2</f>
        <v/>
      </c>
      <c r="C915">
        <f>Inputs!$B$3&gt;=100</f>
        <v/>
      </c>
      <c r="D915" t="inlineStr"/>
      <c r="E915" t="inlineStr"/>
      <c r="F915">
        <f>U917+Skills!O2</f>
        <v/>
      </c>
      <c r="G915">
        <f>Skills!G2*IF(Skills!H2&gt;0,Skills!I2/Skills!H2,1)</f>
        <v/>
      </c>
      <c r="H915">
        <f>1-(1-Skills!J2/100)^Skills!K2</f>
        <v/>
      </c>
      <c r="I915" t="inlineStr">
        <is>
          <t>1</t>
        </is>
      </c>
      <c r="J915">
        <f>(Inputs!$B$5*(1+(Inputs!$B$6+1)/100))*(F915/100)</f>
        <v/>
      </c>
      <c r="K915">
        <f>J915*(1+((Inputs!$B$11*(1+Inputs!$B$12/100))*0.01+Inputs!$B$13*0.0025)/100)*(1+Inputs!$B$14/100)*(1+IF(Inputs!$B$4="pvp",0,(1-Summary!$B$55)*(Inputs!$B$19+0+Skills!P2+((C930=TRUE)*F930*IF(AND(Inputs!$B$4&lt;&gt;"pvp",Inputs!$B$35&gt;0),(((S930-1)*(Skills!T17*(1+Inputs!$B$33/100))+MIN((Skills!T17*(1+Inputs!$B$33/100)),MAX(0,Inputs!$B$35-((S930-1)*Skills!D17))))/Inputs!$B$35),IF(Inputs!$B$4="pvp",MIN((Skills!T17*(1+Inputs!$B$33/100)),15)/15,(Skills!T17*(1+Inputs!$B$33/100))/Skills!D17)))+((C927=TRUE)*IF(Inputs!$B$4="pvp",20,(1-Summary!$B$55)*(20)+Summary!$B$55*(0))*IF(AND(Inputs!$B$4&lt;&gt;"pvp",Inputs!$B$35&gt;0),(((S927-1)*(Skills!T14*(1+Inputs!$B$33/100))+MIN((Skills!T14*(1+Inputs!$B$33/100)),MAX(0,Inputs!$B$35-((S927-1)*Skills!D14))))/Inputs!$B$35),IF(Inputs!$B$4="pvp",MIN((Skills!T14*(1+Inputs!$B$33/100)),15)/15,(Skills!T14*(1+Inputs!$B$33/100))/Skills!D14))))+Summary!$B$55*(Inputs!$B$20+Skills!Q2+((C930=TRUE)*F930*IF(AND(Inputs!$B$4&lt;&gt;"pvp",Inputs!$B$35&gt;0),(((S930-1)*(Skills!T17*(1+Inputs!$B$33/100))+MIN((Skills!T17*(1+Inputs!$B$33/100)),MAX(0,Inputs!$B$35-((S930-1)*Skills!D17))))/Inputs!$B$35),IF(Inputs!$B$4="pvp",MIN((Skills!T17*(1+Inputs!$B$33/100)),15)/15,(Skills!T17*(1+Inputs!$B$33/100))/Skills!D17)))))/100)*(1+Inputs!$B$15/100)*(5000/(6000+Inputs!$B$7*(1-(Inputs!$B$18+0)/100)))*(1+(Inputs!$B$23+((C938=TRUE)*(F938-Calc!F25))+((C939=TRUE)*(F939-Calc!F26))+B948)/100)*(1+(IF(Skills!A2="DARK_IMPALE",Inputs!$B$16+0,Inputs!$B$17+((C936=TRUE)*(F936-Calc!F23))))/100)*((1+(((C926=TRUE)*F926*IF(AND(Inputs!$B$4&lt;&gt;"pvp",Inputs!$B$35&gt;0),(((S926-1)*(Skills!T13*(1+Inputs!$B$33/100))+MIN((Skills!T13*(1+Inputs!$B$33/100)),MAX(0,Inputs!$B$35-((S926-1)*Skills!D13))))/Inputs!$B$35),IF(Inputs!$B$4="pvp",MIN((Skills!T13*(1+Inputs!$B$33/100)),15)/15,(Skills!T13*(1+Inputs!$B$33/100))/Skills!D13)))+((C927=TRUE)*F927*IF(AND(Inputs!$B$4&lt;&gt;"pvp",Inputs!$B$35&gt;0),(((S927-1)*(Skills!T14*(1+Inputs!$B$33/100))+MIN((Skills!T14*(1+Inputs!$B$33/100)),MAX(0,Inputs!$B$35-((S927-1)*Skills!D14))))/Inputs!$B$35),IF(Inputs!$B$4="pvp",MIN((Skills!T14*(1+Inputs!$B$33/100)),15)/15,(Skills!T14*(1+Inputs!$B$33/100))/Skills!D14)))+((C928=TRUE)*F928*IF(AND(Inputs!$B$4&lt;&gt;"pvp",Inputs!$B$35&gt;0),(((S928-1)*(Skills!T15*(1+Inputs!$B$33/100))+MIN((Skills!T15*(1+Inputs!$B$33/100)),MAX(0,Inputs!$B$35-((S928-1)*Skills!D15))))/Inputs!$B$35),IF(Inputs!$B$4="pvp",MIN((Skills!T15*(1+Inputs!$B$33/100)),15)/15,(Skills!T15*(1+Inputs!$B$33/100))/Skills!D15)))+((C929=TRUE)*F929*IF(AND(Inputs!$B$4&lt;&gt;"pvp",Inputs!$B$35&gt;0),(((S929-1)*(Skills!T16*(1+Inputs!$B$33/100))+MIN((Skills!T16*(1+Inputs!$B$33/100)),MAX(0,Inputs!$B$35-((S929-1)*Skills!D16))))/Inputs!$B$35),IF(Inputs!$B$4="pvp",MIN((Skills!T16*(1+Inputs!$B$33/100)),15)/15,(Skills!T16*(1+Inputs!$B$33/100))/Skills!D16)))+0)/100)*I915)</f>
        <v/>
      </c>
      <c r="L915">
        <f>K915*(MIN(Inputs!$B$21+((C935=TRUE)*(F935-Calc!F22)),Inputs!$B$22+((C937=TRUE)*(F937-Calc!F24)))/100+(Inputs!$B$22+((C937=TRUE)*(F937-Calc!F24)))/100)/2</f>
        <v/>
      </c>
      <c r="M915">
        <f>L915*(1+(Inputs!$B$9+0+B947)/100)</f>
        <v/>
      </c>
      <c r="N915">
        <f>L915*(1-MIN((Inputs!$B$8+0+B942),100)/100)+M915*(MIN((Inputs!$B$8+0+B942),100)/100)</f>
        <v/>
      </c>
      <c r="O915">
        <f>IF(C915,Skills!G2*N915*B946*IF(Inputs!$B$4="pvp",1,(1-Summary!$B$55)*(1)+Summary!$B$55*(MIN((6+Inputs!$B$32),Inputs!$B$37))),0)</f>
        <v/>
      </c>
      <c r="P915">
        <f>IF(B950=0,0,O915/B950)</f>
        <v/>
      </c>
      <c r="Q915" t="n">
        <v>0</v>
      </c>
      <c r="R915" t="n">
        <v>0</v>
      </c>
      <c r="S915">
        <f>IFERROR(O915/N915,0)</f>
        <v/>
      </c>
      <c r="U915">
        <f>MAX(0,(Inputs!$B$3-100)*3)+Inputs!$B$27+Inputs!$B$28</f>
        <v/>
      </c>
    </row>
    <row r="916">
      <c r="A916">
        <f>Skills!A3</f>
        <v/>
      </c>
      <c r="B916">
        <f>Skills!B3</f>
        <v/>
      </c>
      <c r="C916">
        <f>Inputs!$B$3&gt;=50</f>
        <v/>
      </c>
      <c r="D916">
        <f>IF(Skills!C3=1,60+Inputs!$B$24+Inputs!$B$28,IF(Skills!C3=2,90+Inputs!$B$25+Inputs!$B$28,IF(Skills!C3=3,120+Inputs!$B$26+Inputs!$B$28,MAX(0,(Inputs!$B$3-100)*3)+Inputs!$B$27+Inputs!$B$28)))</f>
        <v/>
      </c>
      <c r="E916">
        <f>INDEX(FactorTable!$B$2:$Y$301, MATCH(ROUND(MIN(300,MAX(1,D916)),0), FactorTable!$A$2:$A$301,0), Skills!M3+1)</f>
        <v/>
      </c>
      <c r="F916">
        <f>IF(Skills!N3=TRUE,(Skills!L3/10)*(E916/1000),Skills!L3/10)+Skills!O3</f>
        <v/>
      </c>
      <c r="G916" t="inlineStr"/>
      <c r="H916" t="inlineStr"/>
      <c r="I916" t="inlineStr">
        <is>
          <t>1</t>
        </is>
      </c>
      <c r="J916" t="inlineStr"/>
      <c r="K916" t="inlineStr"/>
      <c r="L916" t="inlineStr"/>
      <c r="M916" t="inlineStr"/>
      <c r="N916" t="inlineStr"/>
      <c r="O916" t="inlineStr"/>
      <c r="P916" t="inlineStr"/>
      <c r="Q916" t="inlineStr"/>
      <c r="R916" t="inlineStr"/>
      <c r="S916" t="inlineStr"/>
      <c r="U916">
        <f>INDEX(FactorTable!$B$2:$Y$301, MATCH(ROUND(MIN(300,MAX(1,U915)),0), FactorTable!$A$2:$A$301,0), 22)</f>
        <v/>
      </c>
    </row>
    <row r="917">
      <c r="A917">
        <f>Skills!A4</f>
        <v/>
      </c>
      <c r="B917">
        <f>Skills!B4</f>
        <v/>
      </c>
      <c r="C917">
        <f>Inputs!$B$3&gt;=105</f>
        <v/>
      </c>
      <c r="D917">
        <f>IF(Skills!C4=1,60+Inputs!$B$24+Inputs!$B$28,IF(Skills!C4=2,90+Inputs!$B$25+Inputs!$B$28,IF(Skills!C4=3,120+Inputs!$B$26+Inputs!$B$28,MAX(0,(Inputs!$B$3-100)*3)+Inputs!$B$27+Inputs!$B$28)))</f>
        <v/>
      </c>
      <c r="E917">
        <f>INDEX(FactorTable!$B$2:$Y$301, MATCH(ROUND(MIN(300,MAX(1,D917)),0), FactorTable!$A$2:$A$301,0), Skills!M4+1)</f>
        <v/>
      </c>
      <c r="F917">
        <f>IF(Skills!N4=TRUE,(Skills!L4/10)*(E917/1000),Skills!L4/10)+Skills!O4</f>
        <v/>
      </c>
      <c r="G917" t="inlineStr"/>
      <c r="H917" t="inlineStr"/>
      <c r="I917" t="inlineStr">
        <is>
          <t>1</t>
        </is>
      </c>
      <c r="J917" t="inlineStr"/>
      <c r="K917" t="inlineStr"/>
      <c r="L917" t="inlineStr"/>
      <c r="M917" t="inlineStr"/>
      <c r="N917" t="inlineStr"/>
      <c r="O917" t="inlineStr"/>
      <c r="P917" t="inlineStr"/>
      <c r="Q917" t="inlineStr"/>
      <c r="R917" t="inlineStr"/>
      <c r="S917" t="inlineStr"/>
      <c r="U917">
        <f>290*U916/1000</f>
        <v/>
      </c>
    </row>
    <row r="918">
      <c r="A918">
        <f>Skills!A5</f>
        <v/>
      </c>
      <c r="B918">
        <f>Skills!B5</f>
        <v/>
      </c>
      <c r="C918">
        <f>Inputs!$B$3&gt;=117</f>
        <v/>
      </c>
      <c r="D918">
        <f>IF(Skills!C5=1,60+Inputs!$B$24+Inputs!$B$28,IF(Skills!C5=2,90+Inputs!$B$25+Inputs!$B$28,IF(Skills!C5=3,120+Inputs!$B$26+Inputs!$B$28,MAX(0,(Inputs!$B$3-100)*3)+Inputs!$B$27+Inputs!$B$28)))</f>
        <v/>
      </c>
      <c r="E918">
        <f>INDEX(FactorTable!$B$2:$Y$301, MATCH(ROUND(MIN(300,MAX(1,D918)),0), FactorTable!$A$2:$A$301,0), Skills!M5+1)</f>
        <v/>
      </c>
      <c r="F918">
        <f>IF(Skills!N5=TRUE,(Skills!L5/10)*(E918/1000),Skills!L5/10)+Skills!O5</f>
        <v/>
      </c>
      <c r="G918">
        <f>Skills!G5*IF(Skills!H5&gt;0,Skills!I5/Skills!H5,1)</f>
        <v/>
      </c>
      <c r="H918">
        <f>1-(1-Skills!J5/100)^Skills!K5</f>
        <v/>
      </c>
      <c r="I918" t="inlineStr">
        <is>
          <t>1</t>
        </is>
      </c>
      <c r="J918">
        <f>(Inputs!$B$5*(1+(Inputs!$B$6+1)/100))*(F918/100)</f>
        <v/>
      </c>
      <c r="K918">
        <f>J918*(1+((Inputs!$B$11*(1+Inputs!$B$12/100))*0.01+Inputs!$B$13*0.0025)/100)*(1+Inputs!$B$14/100)*(1+IF(Inputs!$B$4="pvp",0,(1-Summary!$B$55)*(Inputs!$B$19+0+Skills!P5+((C930=TRUE)*F930*IF(AND(Inputs!$B$4&lt;&gt;"pvp",Inputs!$B$35&gt;0),(((S930-1)*(Skills!T17*(1+Inputs!$B$33/100))+MIN((Skills!T17*(1+Inputs!$B$33/100)),MAX(0,Inputs!$B$35-((S930-1)*Skills!D17))))/Inputs!$B$35),IF(Inputs!$B$4="pvp",MIN((Skills!T17*(1+Inputs!$B$33/100)),15)/15,(Skills!T17*(1+Inputs!$B$33/100))/Skills!D17)))+((C927=TRUE)*IF(Inputs!$B$4="pvp",20,(1-Summary!$B$55)*(20)+Summary!$B$55*(0))*IF(AND(Inputs!$B$4&lt;&gt;"pvp",Inputs!$B$35&gt;0),(((S927-1)*(Skills!T14*(1+Inputs!$B$33/100))+MIN((Skills!T14*(1+Inputs!$B$33/100)),MAX(0,Inputs!$B$35-((S927-1)*Skills!D14))))/Inputs!$B$35),IF(Inputs!$B$4="pvp",MIN((Skills!T14*(1+Inputs!$B$33/100)),15)/15,(Skills!T14*(1+Inputs!$B$33/100))/Skills!D14))))+Summary!$B$55*(Inputs!$B$20+Skills!Q5+((C930=TRUE)*F930*IF(AND(Inputs!$B$4&lt;&gt;"pvp",Inputs!$B$35&gt;0),(((S930-1)*(Skills!T17*(1+Inputs!$B$33/100))+MIN((Skills!T17*(1+Inputs!$B$33/100)),MAX(0,Inputs!$B$35-((S930-1)*Skills!D17))))/Inputs!$B$35),IF(Inputs!$B$4="pvp",MIN((Skills!T17*(1+Inputs!$B$33/100)),15)/15,(Skills!T17*(1+Inputs!$B$33/100))/Skills!D17)))))/100)*(1+Inputs!$B$15/100)*(5000/(6000+Inputs!$B$7*(1-(Inputs!$B$18+0)/100)))*(1+(Inputs!$B$23+((C938=TRUE)*(F938-Calc!F25))+((C939=TRUE)*(F939-Calc!F26))+B948)/100)*(1+(IF(Skills!A5="DARK_IMPALE",Inputs!$B$16+0,Inputs!$B$17+((C936=TRUE)*(F936-Calc!F23))))/100)*((1+(((C926=TRUE)*F926*IF(AND(Inputs!$B$4&lt;&gt;"pvp",Inputs!$B$35&gt;0),(((S926-1)*(Skills!T13*(1+Inputs!$B$33/100))+MIN((Skills!T13*(1+Inputs!$B$33/100)),MAX(0,Inputs!$B$35-((S926-1)*Skills!D13))))/Inputs!$B$35),IF(Inputs!$B$4="pvp",MIN((Skills!T13*(1+Inputs!$B$33/100)),15)/15,(Skills!T13*(1+Inputs!$B$33/100))/Skills!D13)))+((C927=TRUE)*F927*IF(AND(Inputs!$B$4&lt;&gt;"pvp",Inputs!$B$35&gt;0),(((S927-1)*(Skills!T14*(1+Inputs!$B$33/100))+MIN((Skills!T14*(1+Inputs!$B$33/100)),MAX(0,Inputs!$B$35-((S927-1)*Skills!D14))))/Inputs!$B$35),IF(Inputs!$B$4="pvp",MIN((Skills!T14*(1+Inputs!$B$33/100)),15)/15,(Skills!T14*(1+Inputs!$B$33/100))/Skills!D14)))+((C928=TRUE)*F928*IF(AND(Inputs!$B$4&lt;&gt;"pvp",Inputs!$B$35&gt;0),(((S928-1)*(Skills!T15*(1+Inputs!$B$33/100))+MIN((Skills!T15*(1+Inputs!$B$33/100)),MAX(0,Inputs!$B$35-((S928-1)*Skills!D15))))/Inputs!$B$35),IF(Inputs!$B$4="pvp",MIN((Skills!T15*(1+Inputs!$B$33/100)),15)/15,(Skills!T15*(1+Inputs!$B$33/100))/Skills!D15)))+((C929=TRUE)*F929*IF(AND(Inputs!$B$4&lt;&gt;"pvp",Inputs!$B$35&gt;0),(((S929-1)*(Skills!T16*(1+Inputs!$B$33/100))+MIN((Skills!T16*(1+Inputs!$B$33/100)),MAX(0,Inputs!$B$35-((S929-1)*Skills!D16))))/Inputs!$B$35),IF(Inputs!$B$4="pvp",MIN((Skills!T16*(1+Inputs!$B$33/100)),15)/15,(Skills!T16*(1+Inputs!$B$33/100))/Skills!D16)))+0)/100)*I918)</f>
        <v/>
      </c>
      <c r="L918">
        <f>K918*(MIN(Inputs!$B$21+((C935=TRUE)*(F935-Calc!F22)),Inputs!$B$22+((C937=TRUE)*(F937-Calc!F24)))/100+(Inputs!$B$22+((C937=TRUE)*(F937-Calc!F24)))/100)/2</f>
        <v/>
      </c>
      <c r="M918">
        <f>L918*(1+(Inputs!$B$9+0+B947)/100)</f>
        <v/>
      </c>
      <c r="N918">
        <f>L918*(1-MIN((Inputs!$B$8+0+B942),100)/100)+M918*(MIN((Inputs!$B$8+0+B942),100)/100)</f>
        <v/>
      </c>
      <c r="O918">
        <f>IF(C918,H918*N918*IF(AND(Inputs!$B$4&lt;&gt;"pvp",Inputs!$B$35&gt;0),((Skills!G5*((R918-1)*IF(Skills!H5&gt;0,Skills!I5/Skills!H5,1)+IF(Skills!H5&gt;0,MIN(Skills!I5,MAX(0,Inputs!$B$35-((R918-1)*IF(Inputs!$B$4="pvp",15,MAX(0.1,Skills!D5-IF(Skills!E5=TRUE,Inputs!$B$31,0))))))/Skills!H5,1)))/Inputs!$B$35),G918*Q918)*IF(Inputs!$B$4="pvp",1,(1-Summary!$B$55)*(1)+Summary!$B$55*(MIN(Skills!R5,Inputs!$B$37))),0)</f>
        <v/>
      </c>
      <c r="P918">
        <f>IF(B950=0,0,O918/B950)</f>
        <v/>
      </c>
      <c r="Q918">
        <f>IFERROR(1/IF(Inputs!$B$4="pvp",15,MAX(0.1,Skills!D5-IF(Skills!E5=TRUE,Inputs!$B$31,0))),0)</f>
        <v/>
      </c>
      <c r="R918">
        <f>IF(AND(Inputs!$B$4&lt;&gt;"pvp",Inputs!$B$35&gt;0),(INT(Inputs!$B$35/IF(Inputs!$B$4="pvp",15,MAX(0.1,Skills!D5-IF(Skills!E5=TRUE,Inputs!$B$31,0))))+1),0)</f>
        <v/>
      </c>
      <c r="S918">
        <f>IFERROR(O918/N918,0)</f>
        <v/>
      </c>
    </row>
    <row r="919">
      <c r="A919">
        <f>Skills!A6</f>
        <v/>
      </c>
      <c r="B919">
        <f>Skills!B6</f>
        <v/>
      </c>
      <c r="C919">
        <f>Inputs!$B$3&gt;=103</f>
        <v/>
      </c>
      <c r="D919">
        <f>IF(Skills!C6=1,60+Inputs!$B$24+Inputs!$B$28,IF(Skills!C6=2,90+Inputs!$B$25+Inputs!$B$28,IF(Skills!C6=3,120+Inputs!$B$26+Inputs!$B$28,MAX(0,(Inputs!$B$3-100)*3)+Inputs!$B$27+Inputs!$B$28)))</f>
        <v/>
      </c>
      <c r="E919">
        <f>INDEX(FactorTable!$B$2:$Y$301, MATCH(ROUND(MIN(300,MAX(1,D919)),0), FactorTable!$A$2:$A$301,0), Skills!M6+1)</f>
        <v/>
      </c>
      <c r="F919">
        <f>IF(Skills!N6=TRUE,(Skills!L6/10)*(E919/1000),Skills!L6/10)+Skills!O6</f>
        <v/>
      </c>
      <c r="G919">
        <f>Skills!G6*IF(Skills!H6&gt;0,Skills!I6/Skills!H6,1)</f>
        <v/>
      </c>
      <c r="H919">
        <f>1-(1-Skills!J6/100)^Skills!K6</f>
        <v/>
      </c>
      <c r="I919" t="inlineStr">
        <is>
          <t>1</t>
        </is>
      </c>
      <c r="J919">
        <f>(Inputs!$B$5*(1+(Inputs!$B$6+1)/100))*(F919/100)</f>
        <v/>
      </c>
      <c r="K919">
        <f>J919*(1+((Inputs!$B$11*(1+Inputs!$B$12/100))*0.01+Inputs!$B$13*0.0025)/100)*(1+Inputs!$B$14/100)*(1+IF(Inputs!$B$4="pvp",0,(1-Summary!$B$55)*(Inputs!$B$19+0+Skills!P6+((C930=TRUE)*F930*IF(AND(Inputs!$B$4&lt;&gt;"pvp",Inputs!$B$35&gt;0),(((S930-1)*(Skills!T17*(1+Inputs!$B$33/100))+MIN((Skills!T17*(1+Inputs!$B$33/100)),MAX(0,Inputs!$B$35-((S930-1)*Skills!D17))))/Inputs!$B$35),IF(Inputs!$B$4="pvp",MIN((Skills!T17*(1+Inputs!$B$33/100)),15)/15,(Skills!T17*(1+Inputs!$B$33/100))/Skills!D17)))+((C927=TRUE)*IF(Inputs!$B$4="pvp",20,(1-Summary!$B$55)*(20)+Summary!$B$55*(0))*IF(AND(Inputs!$B$4&lt;&gt;"pvp",Inputs!$B$35&gt;0),(((S927-1)*(Skills!T14*(1+Inputs!$B$33/100))+MIN((Skills!T14*(1+Inputs!$B$33/100)),MAX(0,Inputs!$B$35-((S927-1)*Skills!D14))))/Inputs!$B$35),IF(Inputs!$B$4="pvp",MIN((Skills!T14*(1+Inputs!$B$33/100)),15)/15,(Skills!T14*(1+Inputs!$B$33/100))/Skills!D14))))+Summary!$B$55*(Inputs!$B$20+Skills!Q6+((C930=TRUE)*F930*IF(AND(Inputs!$B$4&lt;&gt;"pvp",Inputs!$B$35&gt;0),(((S930-1)*(Skills!T17*(1+Inputs!$B$33/100))+MIN((Skills!T17*(1+Inputs!$B$33/100)),MAX(0,Inputs!$B$35-((S930-1)*Skills!D17))))/Inputs!$B$35),IF(Inputs!$B$4="pvp",MIN((Skills!T17*(1+Inputs!$B$33/100)),15)/15,(Skills!T17*(1+Inputs!$B$33/100))/Skills!D17)))))/100)*(1+Inputs!$B$15/100)*(5000/(6000+Inputs!$B$7*(1-(Inputs!$B$18+0)/100)))*(1+(Inputs!$B$23+((C938=TRUE)*(F938-Calc!F25))+((C939=TRUE)*(F939-Calc!F26))+B948)/100)*(1+(IF(Skills!A6="DARK_IMPALE",Inputs!$B$16+0,Inputs!$B$17+((C936=TRUE)*(F936-Calc!F23))))/100)*((1+(((C926=TRUE)*F926*IF(AND(Inputs!$B$4&lt;&gt;"pvp",Inputs!$B$35&gt;0),(((S926-1)*(Skills!T13*(1+Inputs!$B$33/100))+MIN((Skills!T13*(1+Inputs!$B$33/100)),MAX(0,Inputs!$B$35-((S926-1)*Skills!D13))))/Inputs!$B$35),IF(Inputs!$B$4="pvp",MIN((Skills!T13*(1+Inputs!$B$33/100)),15)/15,(Skills!T13*(1+Inputs!$B$33/100))/Skills!D13)))+((C927=TRUE)*F927*IF(AND(Inputs!$B$4&lt;&gt;"pvp",Inputs!$B$35&gt;0),(((S927-1)*(Skills!T14*(1+Inputs!$B$33/100))+MIN((Skills!T14*(1+Inputs!$B$33/100)),MAX(0,Inputs!$B$35-((S927-1)*Skills!D14))))/Inputs!$B$35),IF(Inputs!$B$4="pvp",MIN((Skills!T14*(1+Inputs!$B$33/100)),15)/15,(Skills!T14*(1+Inputs!$B$33/100))/Skills!D14)))+((C928=TRUE)*F928*IF(AND(Inputs!$B$4&lt;&gt;"pvp",Inputs!$B$35&gt;0),(((S928-1)*(Skills!T15*(1+Inputs!$B$33/100))+MIN((Skills!T15*(1+Inputs!$B$33/100)),MAX(0,Inputs!$B$35-((S928-1)*Skills!D15))))/Inputs!$B$35),IF(Inputs!$B$4="pvp",MIN((Skills!T15*(1+Inputs!$B$33/100)),15)/15,(Skills!T15*(1+Inputs!$B$33/100))/Skills!D15)))+((C929=TRUE)*F929*IF(AND(Inputs!$B$4&lt;&gt;"pvp",Inputs!$B$35&gt;0),(((S929-1)*(Skills!T16*(1+Inputs!$B$33/100))+MIN((Skills!T16*(1+Inputs!$B$33/100)),MAX(0,Inputs!$B$35-((S929-1)*Skills!D16))))/Inputs!$B$35),IF(Inputs!$B$4="pvp",MIN((Skills!T16*(1+Inputs!$B$33/100)),15)/15,(Skills!T16*(1+Inputs!$B$33/100))/Skills!D16)))+0)/100)*I919)</f>
        <v/>
      </c>
      <c r="L919">
        <f>K919*(MIN(Inputs!$B$21+((C935=TRUE)*(F935-Calc!F22)),Inputs!$B$22+((C937=TRUE)*(F937-Calc!F24)))/100+(Inputs!$B$22+((C937=TRUE)*(F937-Calc!F24)))/100)/2</f>
        <v/>
      </c>
      <c r="M919">
        <f>L919*(1+(Inputs!$B$9+0+B947)/100)</f>
        <v/>
      </c>
      <c r="N919">
        <f>L919*(1-MIN((Inputs!$B$8+0+B942),100)/100)+M919*(MIN((Inputs!$B$8+0+B942),100)/100)</f>
        <v/>
      </c>
      <c r="O919">
        <f>IF(C919,H919*N919*IF(AND(Inputs!$B$4&lt;&gt;"pvp",Inputs!$B$35&gt;0),((Skills!G6*((R919-1)*IF(Skills!H6&gt;0,Skills!I6/Skills!H6,1)+IF(Skills!H6&gt;0,MIN(Skills!I6,MAX(0,Inputs!$B$35-((R919-1)*IF(Inputs!$B$4="pvp",15,MAX(0.1,Skills!D6-IF(Skills!E6=TRUE,Inputs!$B$31,0))))))/Skills!H6,1)))/Inputs!$B$35),G919*Q919)*IF(Inputs!$B$4="pvp",1,(1-Summary!$B$55)*(1)+Summary!$B$55*(MIN(Skills!R6,Inputs!$B$37))),0)</f>
        <v/>
      </c>
      <c r="P919">
        <f>IF(B950=0,0,O919/B950)</f>
        <v/>
      </c>
      <c r="Q919">
        <f>IFERROR(1/IF(Inputs!$B$4="pvp",15,MAX(0.1,Skills!D6-IF(Skills!E6=TRUE,Inputs!$B$31,0))),0)</f>
        <v/>
      </c>
      <c r="R919">
        <f>IF(AND(Inputs!$B$4&lt;&gt;"pvp",Inputs!$B$35&gt;0),(INT(Inputs!$B$35/IF(Inputs!$B$4="pvp",15,MAX(0.1,Skills!D6-IF(Skills!E6=TRUE,Inputs!$B$31,0))))+1),0)</f>
        <v/>
      </c>
      <c r="S919">
        <f>IFERROR(O919/N919,0)</f>
        <v/>
      </c>
    </row>
    <row r="920">
      <c r="A920">
        <f>Skills!A7</f>
        <v/>
      </c>
      <c r="B920">
        <f>Skills!B7</f>
        <v/>
      </c>
      <c r="C920">
        <f>Inputs!$B$3&gt;=40</f>
        <v/>
      </c>
      <c r="D920">
        <f>IF(Skills!C7=1,60+Inputs!$B$24+Inputs!$B$28,IF(Skills!C7=2,90+Inputs!$B$25+Inputs!$B$28,IF(Skills!C7=3,120+Inputs!$B$26+Inputs!$B$28,MAX(0,(Inputs!$B$3-100)*3)+Inputs!$B$27+Inputs!$B$28)))</f>
        <v/>
      </c>
      <c r="E920">
        <f>INDEX(FactorTable!$B$2:$Y$301, MATCH(ROUND(MIN(300,MAX(1,D920)),0), FactorTable!$A$2:$A$301,0), Skills!M7+1)</f>
        <v/>
      </c>
      <c r="F920">
        <f>IF(Skills!N7=TRUE,(Skills!L7/10)*(E920/1000),Skills!L7/10)+Skills!O7</f>
        <v/>
      </c>
      <c r="G920">
        <f>Skills!G7*IF(Skills!H7&gt;0,Skills!I7/Skills!H7,1)</f>
        <v/>
      </c>
      <c r="H920">
        <f>1-(1-Skills!J7/100)^Skills!K7</f>
        <v/>
      </c>
      <c r="I920" t="inlineStr">
        <is>
          <t>1</t>
        </is>
      </c>
      <c r="J920">
        <f>(Inputs!$B$5*(1+(Inputs!$B$6+1)/100))*(F920/100)</f>
        <v/>
      </c>
      <c r="K920">
        <f>J920*(1+((Inputs!$B$11*(1+Inputs!$B$12/100))*0.01+Inputs!$B$13*0.0025)/100)*(1+Inputs!$B$14/100)*(1+IF(Inputs!$B$4="pvp",0,(1-Summary!$B$55)*(Inputs!$B$19+0+Skills!P7+((C930=TRUE)*F930*IF(AND(Inputs!$B$4&lt;&gt;"pvp",Inputs!$B$35&gt;0),(((S930-1)*(Skills!T17*(1+Inputs!$B$33/100))+MIN((Skills!T17*(1+Inputs!$B$33/100)),MAX(0,Inputs!$B$35-((S930-1)*Skills!D17))))/Inputs!$B$35),IF(Inputs!$B$4="pvp",MIN((Skills!T17*(1+Inputs!$B$33/100)),15)/15,(Skills!T17*(1+Inputs!$B$33/100))/Skills!D17)))+((C927=TRUE)*IF(Inputs!$B$4="pvp",20,(1-Summary!$B$55)*(20)+Summary!$B$55*(0))*IF(AND(Inputs!$B$4&lt;&gt;"pvp",Inputs!$B$35&gt;0),(((S927-1)*(Skills!T14*(1+Inputs!$B$33/100))+MIN((Skills!T14*(1+Inputs!$B$33/100)),MAX(0,Inputs!$B$35-((S927-1)*Skills!D14))))/Inputs!$B$35),IF(Inputs!$B$4="pvp",MIN((Skills!T14*(1+Inputs!$B$33/100)),15)/15,(Skills!T14*(1+Inputs!$B$33/100))/Skills!D14))))+Summary!$B$55*(Inputs!$B$20+Skills!Q7+((C930=TRUE)*F930*IF(AND(Inputs!$B$4&lt;&gt;"pvp",Inputs!$B$35&gt;0),(((S930-1)*(Skills!T17*(1+Inputs!$B$33/100))+MIN((Skills!T17*(1+Inputs!$B$33/100)),MAX(0,Inputs!$B$35-((S930-1)*Skills!D17))))/Inputs!$B$35),IF(Inputs!$B$4="pvp",MIN((Skills!T17*(1+Inputs!$B$33/100)),15)/15,(Skills!T17*(1+Inputs!$B$33/100))/Skills!D17)))))/100)*(1+Inputs!$B$15/100)*(5000/(6000+Inputs!$B$7*(1-(Inputs!$B$18+0)/100)))*(1+(Inputs!$B$23+((C938=TRUE)*(F938-Calc!F25))+((C939=TRUE)*(F939-Calc!F26))+B948)/100)*(1+0.75*IF(C924=TRUE,F924,0)/100)*(1+(IF(Skills!A7="DARK_IMPALE",Inputs!$B$16+0,Inputs!$B$17+((C936=TRUE)*(F936-Calc!F23))))/100)*((1+(((C926=TRUE)*F926*IF(AND(Inputs!$B$4&lt;&gt;"pvp",Inputs!$B$35&gt;0),(((S926-1)*(Skills!T13*(1+Inputs!$B$33/100))+MIN((Skills!T13*(1+Inputs!$B$33/100)),MAX(0,Inputs!$B$35-((S926-1)*Skills!D13))))/Inputs!$B$35),IF(Inputs!$B$4="pvp",MIN((Skills!T13*(1+Inputs!$B$33/100)),15)/15,(Skills!T13*(1+Inputs!$B$33/100))/Skills!D13)))+((C927=TRUE)*F927*IF(AND(Inputs!$B$4&lt;&gt;"pvp",Inputs!$B$35&gt;0),(((S927-1)*(Skills!T14*(1+Inputs!$B$33/100))+MIN((Skills!T14*(1+Inputs!$B$33/100)),MAX(0,Inputs!$B$35-((S927-1)*Skills!D14))))/Inputs!$B$35),IF(Inputs!$B$4="pvp",MIN((Skills!T14*(1+Inputs!$B$33/100)),15)/15,(Skills!T14*(1+Inputs!$B$33/100))/Skills!D14)))+((C928=TRUE)*F928*IF(AND(Inputs!$B$4&lt;&gt;"pvp",Inputs!$B$35&gt;0),(((S928-1)*(Skills!T15*(1+Inputs!$B$33/100))+MIN((Skills!T15*(1+Inputs!$B$33/100)),MAX(0,Inputs!$B$35-((S928-1)*Skills!D15))))/Inputs!$B$35),IF(Inputs!$B$4="pvp",MIN((Skills!T15*(1+Inputs!$B$33/100)),15)/15,(Skills!T15*(1+Inputs!$B$33/100))/Skills!D15)))+((C929=TRUE)*F929*IF(AND(Inputs!$B$4&lt;&gt;"pvp",Inputs!$B$35&gt;0),(((S929-1)*(Skills!T16*(1+Inputs!$B$33/100))+MIN((Skills!T16*(1+Inputs!$B$33/100)),MAX(0,Inputs!$B$35-((S929-1)*Skills!D16))))/Inputs!$B$35),IF(Inputs!$B$4="pvp",MIN((Skills!T16*(1+Inputs!$B$33/100)),15)/15,(Skills!T16*(1+Inputs!$B$33/100))/Skills!D16)))+0)/100)*I920)</f>
        <v/>
      </c>
      <c r="L920">
        <f>K920*(MIN(Inputs!$B$21+((C935=TRUE)*(F935-Calc!F22)),Inputs!$B$22+((C937=TRUE)*(F937-Calc!F24)))/100+(Inputs!$B$22+((C937=TRUE)*(F937-Calc!F24)))/100)/2</f>
        <v/>
      </c>
      <c r="M920">
        <f>L920*(1+(Inputs!$B$9+0+B947)/100)</f>
        <v/>
      </c>
      <c r="N920">
        <f>L920*(1-MIN((Inputs!$B$8+0+B942),100)/100)+M920*(MIN((Inputs!$B$8+0+B942),100)/100)</f>
        <v/>
      </c>
      <c r="O920">
        <f>IF(C920,H920*N920*IF(AND(Inputs!$B$4&lt;&gt;"pvp",Inputs!$B$35&gt;0),((Skills!G7*((R920-1)*IF(Skills!H7&gt;0,Skills!I7/Skills!H7,1)+IF(Skills!H7&gt;0,MIN(Skills!I7,MAX(0,Inputs!$B$35-((R920-1)*IF(Inputs!$B$4="pvp",15,MAX(0.1,Skills!D7-IF(Skills!E7=TRUE,Inputs!$B$31,0))))))/Skills!H7,1)))/Inputs!$B$35),G920*Q920)*IF(Inputs!$B$4="pvp",1,(1-Summary!$B$55)*(1)+Summary!$B$55*(MIN(Skills!R7,Inputs!$B$37))),0)</f>
        <v/>
      </c>
      <c r="P920">
        <f>IF(B950=0,0,O920/B950)</f>
        <v/>
      </c>
      <c r="Q920">
        <f>IFERROR(1/IF(Inputs!$B$4="pvp",15,MAX(0.1,Skills!D7-IF(Skills!E7=TRUE,Inputs!$B$31,0))),0)</f>
        <v/>
      </c>
      <c r="R920">
        <f>IF(AND(Inputs!$B$4&lt;&gt;"pvp",Inputs!$B$35&gt;0),(INT(Inputs!$B$35/IF(Inputs!$B$4="pvp",15,MAX(0.1,Skills!D7-IF(Skills!E7=TRUE,Inputs!$B$31,0))))+1),0)</f>
        <v/>
      </c>
      <c r="S920">
        <f>IFERROR(O920/N920,0)</f>
        <v/>
      </c>
    </row>
    <row r="921">
      <c r="A921">
        <f>Skills!A8</f>
        <v/>
      </c>
      <c r="B921">
        <f>Skills!B8</f>
        <v/>
      </c>
      <c r="C921">
        <f>Inputs!$B$3&gt;=75</f>
        <v/>
      </c>
      <c r="D921">
        <f>IF(Skills!C8=1,60+Inputs!$B$24+Inputs!$B$28,IF(Skills!C8=2,90+Inputs!$B$25+Inputs!$B$28,IF(Skills!C8=3,120+Inputs!$B$26+Inputs!$B$28,MAX(0,(Inputs!$B$3-100)*3)+Inputs!$B$27+Inputs!$B$28)))</f>
        <v/>
      </c>
      <c r="E921">
        <f>INDEX(FactorTable!$B$2:$Y$301, MATCH(ROUND(MIN(300,MAX(1,D921)),0), FactorTable!$A$2:$A$301,0), Skills!M8+1)</f>
        <v/>
      </c>
      <c r="F921">
        <f>IF(Skills!N8=TRUE,(Skills!L8/10)*(E921/1000),Skills!L8/10)+Skills!O8</f>
        <v/>
      </c>
      <c r="G921" t="inlineStr"/>
      <c r="H921" t="inlineStr"/>
      <c r="I921" t="inlineStr">
        <is>
          <t>1</t>
        </is>
      </c>
      <c r="J921" t="inlineStr"/>
      <c r="K921" t="inlineStr"/>
      <c r="L921" t="inlineStr"/>
      <c r="M921" t="inlineStr"/>
      <c r="N921" t="inlineStr"/>
      <c r="O921" t="inlineStr"/>
      <c r="P921" t="inlineStr"/>
      <c r="Q921" t="inlineStr"/>
      <c r="R921" t="inlineStr"/>
      <c r="S921" t="inlineStr"/>
    </row>
    <row r="922">
      <c r="A922">
        <f>Skills!A9</f>
        <v/>
      </c>
      <c r="B922">
        <f>Skills!B9</f>
        <v/>
      </c>
      <c r="C922">
        <f>Inputs!$B$3&gt;=60</f>
        <v/>
      </c>
      <c r="D922">
        <f>IF(Skills!C9=1,60+Inputs!$B$24+Inputs!$B$28,IF(Skills!C9=2,90+Inputs!$B$25+Inputs!$B$28,IF(Skills!C9=3,120+Inputs!$B$26+Inputs!$B$28,MAX(0,(Inputs!$B$3-100)*3)+Inputs!$B$27+Inputs!$B$28)))</f>
        <v/>
      </c>
      <c r="E922">
        <f>INDEX(FactorTable!$B$2:$Y$301, MATCH(ROUND(MIN(300,MAX(1,D922)),0), FactorTable!$A$2:$A$301,0), Skills!M9+1)</f>
        <v/>
      </c>
      <c r="F922">
        <f>IF(Skills!N9=TRUE,(Skills!L9/10)*(E922/1000),Skills!L9/10)+Skills!O9</f>
        <v/>
      </c>
      <c r="G922">
        <f>Skills!G9*IF(Skills!H9&gt;0,Skills!I9/Skills!H9,1)</f>
        <v/>
      </c>
      <c r="H922">
        <f>1-(1-Skills!J9/100)^Skills!K9</f>
        <v/>
      </c>
      <c r="I922" t="inlineStr">
        <is>
          <t>1</t>
        </is>
      </c>
      <c r="J922">
        <f>(Inputs!$B$5*(1+(Inputs!$B$6+1)/100))*(F922/100)</f>
        <v/>
      </c>
      <c r="K922">
        <f>J922*(1+((Inputs!$B$11*(1+Inputs!$B$12/100))*0.01+Inputs!$B$13*0.0025)/100)*(1+Inputs!$B$14/100)*(1+IF(Inputs!$B$4="pvp",0,(1-Summary!$B$55)*(Inputs!$B$19+0+Skills!P9+((C930=TRUE)*F930*IF(AND(Inputs!$B$4&lt;&gt;"pvp",Inputs!$B$35&gt;0),(((S930-1)*(Skills!T17*(1+Inputs!$B$33/100))+MIN((Skills!T17*(1+Inputs!$B$33/100)),MAX(0,Inputs!$B$35-((S930-1)*Skills!D17))))/Inputs!$B$35),IF(Inputs!$B$4="pvp",MIN((Skills!T17*(1+Inputs!$B$33/100)),15)/15,(Skills!T17*(1+Inputs!$B$33/100))/Skills!D17)))+((C927=TRUE)*IF(Inputs!$B$4="pvp",20,(1-Summary!$B$55)*(20)+Summary!$B$55*(0))*IF(AND(Inputs!$B$4&lt;&gt;"pvp",Inputs!$B$35&gt;0),(((S927-1)*(Skills!T14*(1+Inputs!$B$33/100))+MIN((Skills!T14*(1+Inputs!$B$33/100)),MAX(0,Inputs!$B$35-((S927-1)*Skills!D14))))/Inputs!$B$35),IF(Inputs!$B$4="pvp",MIN((Skills!T14*(1+Inputs!$B$33/100)),15)/15,(Skills!T14*(1+Inputs!$B$33/100))/Skills!D14))))+Summary!$B$55*(Inputs!$B$20+Skills!Q9+((C930=TRUE)*F930*IF(AND(Inputs!$B$4&lt;&gt;"pvp",Inputs!$B$35&gt;0),(((S930-1)*(Skills!T17*(1+Inputs!$B$33/100))+MIN((Skills!T17*(1+Inputs!$B$33/100)),MAX(0,Inputs!$B$35-((S930-1)*Skills!D17))))/Inputs!$B$35),IF(Inputs!$B$4="pvp",MIN((Skills!T17*(1+Inputs!$B$33/100)),15)/15,(Skills!T17*(1+Inputs!$B$33/100))/Skills!D17)))))/100)*(1+Inputs!$B$15/100)*(5000/(6000+Inputs!$B$7*(1-(Inputs!$B$18+0)/100)))*(1+(Inputs!$B$23+((C938=TRUE)*(F938-Calc!F25))+((C939=TRUE)*(F939-Calc!F26))+B948)/100)*(1+1.0*IF(C924=TRUE,F924,0)/100)*(1+(IF(Skills!A9="DARK_IMPALE",Inputs!$B$16+0,Inputs!$B$17+((C936=TRUE)*(F936-Calc!F23))))/100)*((1+(((C926=TRUE)*F926*IF(AND(Inputs!$B$4&lt;&gt;"pvp",Inputs!$B$35&gt;0),(((S926-1)*(Skills!T13*(1+Inputs!$B$33/100))+MIN((Skills!T13*(1+Inputs!$B$33/100)),MAX(0,Inputs!$B$35-((S926-1)*Skills!D13))))/Inputs!$B$35),IF(Inputs!$B$4="pvp",MIN((Skills!T13*(1+Inputs!$B$33/100)),15)/15,(Skills!T13*(1+Inputs!$B$33/100))/Skills!D13)))+((C927=TRUE)*F927*IF(AND(Inputs!$B$4&lt;&gt;"pvp",Inputs!$B$35&gt;0),(((S927-1)*(Skills!T14*(1+Inputs!$B$33/100))+MIN((Skills!T14*(1+Inputs!$B$33/100)),MAX(0,Inputs!$B$35-((S927-1)*Skills!D14))))/Inputs!$B$35),IF(Inputs!$B$4="pvp",MIN((Skills!T14*(1+Inputs!$B$33/100)),15)/15,(Skills!T14*(1+Inputs!$B$33/100))/Skills!D14)))+((C928=TRUE)*F928*IF(AND(Inputs!$B$4&lt;&gt;"pvp",Inputs!$B$35&gt;0),(((S928-1)*(Skills!T15*(1+Inputs!$B$33/100))+MIN((Skills!T15*(1+Inputs!$B$33/100)),MAX(0,Inputs!$B$35-((S928-1)*Skills!D15))))/Inputs!$B$35),IF(Inputs!$B$4="pvp",MIN((Skills!T15*(1+Inputs!$B$33/100)),15)/15,(Skills!T15*(1+Inputs!$B$33/100))/Skills!D15)))+((C929=TRUE)*F929*IF(AND(Inputs!$B$4&lt;&gt;"pvp",Inputs!$B$35&gt;0),(((S929-1)*(Skills!T16*(1+Inputs!$B$33/100))+MIN((Skills!T16*(1+Inputs!$B$33/100)),MAX(0,Inputs!$B$35-((S929-1)*Skills!D16))))/Inputs!$B$35),IF(Inputs!$B$4="pvp",MIN((Skills!T16*(1+Inputs!$B$33/100)),15)/15,(Skills!T16*(1+Inputs!$B$33/100))/Skills!D16)))+0)/100)*I922)</f>
        <v/>
      </c>
      <c r="L922">
        <f>K922*(MIN(Inputs!$B$21+((C935=TRUE)*(F935-Calc!F22)),Inputs!$B$22+((C937=TRUE)*(F937-Calc!F24)))/100+(Inputs!$B$22+((C937=TRUE)*(F937-Calc!F24)))/100)/2</f>
        <v/>
      </c>
      <c r="M922">
        <f>L922*(1+(Inputs!$B$9+0+B947)/100)</f>
        <v/>
      </c>
      <c r="N922">
        <f>L922*(1-MIN((Inputs!$B$8+0+B942),100)/100)+M922*(MIN((Inputs!$B$8+0+B942),100)/100)</f>
        <v/>
      </c>
      <c r="O922">
        <f>IF(C922,H922*N922*IF(AND(Inputs!$B$4&lt;&gt;"pvp",Inputs!$B$35&gt;0),((Skills!G9*((R922-1)*IF(Skills!H9&gt;0,Skills!I9/Skills!H9,1)+IF(Skills!H9&gt;0,MIN(Skills!I9,MAX(0,Inputs!$B$35-((R922-1)*IF(Inputs!$B$4="pvp",15,MAX(0.1,Skills!D9-IF(Skills!E9=TRUE,Inputs!$B$31,0))))))/Skills!H9,1)))/Inputs!$B$35),G922*Q922)*IF(Inputs!$B$4="pvp",1,(1-Summary!$B$55)*(1)+Summary!$B$55*(MIN(Skills!R9,Inputs!$B$37))),0)</f>
        <v/>
      </c>
      <c r="P922">
        <f>IF(B950=0,0,O922/B950)</f>
        <v/>
      </c>
      <c r="Q922">
        <f>IFERROR(1/IF(Inputs!$B$4="pvp",15,MAX(0.1,Skills!D9-IF(Skills!E9=TRUE,Inputs!$B$31,0))),0)</f>
        <v/>
      </c>
      <c r="R922">
        <f>IF(AND(Inputs!$B$4&lt;&gt;"pvp",Inputs!$B$35&gt;0),(INT(Inputs!$B$35/IF(Inputs!$B$4="pvp",15,MAX(0.1,Skills!D9-IF(Skills!E9=TRUE,Inputs!$B$31,0))))+1),0)</f>
        <v/>
      </c>
      <c r="S922">
        <f>IFERROR(O922/N922,0)</f>
        <v/>
      </c>
    </row>
    <row r="923">
      <c r="A923">
        <f>Skills!A10</f>
        <v/>
      </c>
      <c r="B923">
        <f>Skills!B10</f>
        <v/>
      </c>
      <c r="C923">
        <f>Inputs!$B$3&gt;=110</f>
        <v/>
      </c>
      <c r="D923">
        <f>IF(Skills!C10=1,60+Inputs!$B$24+Inputs!$B$28,IF(Skills!C10=2,90+Inputs!$B$25+Inputs!$B$28,IF(Skills!C10=3,120+Inputs!$B$26+Inputs!$B$28,MAX(0,(Inputs!$B$3-100)*3)+Inputs!$B$27+Inputs!$B$28)))</f>
        <v/>
      </c>
      <c r="E923">
        <f>INDEX(FactorTable!$B$2:$Y$301, MATCH(ROUND(MIN(300,MAX(1,D923)),0), FactorTable!$A$2:$A$301,0), Skills!M10+1)</f>
        <v/>
      </c>
      <c r="F923">
        <f>IF(Skills!N10=TRUE,(Skills!L10/10)*(E923/1000),Skills!L10/10)+Skills!O10</f>
        <v/>
      </c>
      <c r="G923">
        <f>Skills!G10*IF(Skills!H10&gt;0,Skills!I10/Skills!H10,1)</f>
        <v/>
      </c>
      <c r="H923">
        <f>1-(1-Skills!J10/100)^Skills!K10</f>
        <v/>
      </c>
      <c r="I923" t="inlineStr">
        <is>
          <t>1</t>
        </is>
      </c>
      <c r="J923">
        <f>(Inputs!$B$5*(1+(Inputs!$B$6+1)/100))*(F923/100)</f>
        <v/>
      </c>
      <c r="K923">
        <f>J923*(1+((Inputs!$B$11*(1+Inputs!$B$12/100))*0.01+Inputs!$B$13*0.0025)/100)*(1+Inputs!$B$14/100)*(1+IF(Inputs!$B$4="pvp",0,(1-Summary!$B$55)*(Inputs!$B$19+0+Skills!P10+((C930=TRUE)*F930*IF(AND(Inputs!$B$4&lt;&gt;"pvp",Inputs!$B$35&gt;0),(((S930-1)*(Skills!T17*(1+Inputs!$B$33/100))+MIN((Skills!T17*(1+Inputs!$B$33/100)),MAX(0,Inputs!$B$35-((S930-1)*Skills!D17))))/Inputs!$B$35),IF(Inputs!$B$4="pvp",MIN((Skills!T17*(1+Inputs!$B$33/100)),15)/15,(Skills!T17*(1+Inputs!$B$33/100))/Skills!D17)))+((C927=TRUE)*IF(Inputs!$B$4="pvp",20,(1-Summary!$B$55)*(20)+Summary!$B$55*(0))*IF(AND(Inputs!$B$4&lt;&gt;"pvp",Inputs!$B$35&gt;0),(((S927-1)*(Skills!T14*(1+Inputs!$B$33/100))+MIN((Skills!T14*(1+Inputs!$B$33/100)),MAX(0,Inputs!$B$35-((S927-1)*Skills!D14))))/Inputs!$B$35),IF(Inputs!$B$4="pvp",MIN((Skills!T14*(1+Inputs!$B$33/100)),15)/15,(Skills!T14*(1+Inputs!$B$33/100))/Skills!D14))))+Summary!$B$55*(Inputs!$B$20+Skills!Q10+((C930=TRUE)*F930*IF(AND(Inputs!$B$4&lt;&gt;"pvp",Inputs!$B$35&gt;0),(((S930-1)*(Skills!T17*(1+Inputs!$B$33/100))+MIN((Skills!T17*(1+Inputs!$B$33/100)),MAX(0,Inputs!$B$35-((S930-1)*Skills!D17))))/Inputs!$B$35),IF(Inputs!$B$4="pvp",MIN((Skills!T17*(1+Inputs!$B$33/100)),15)/15,(Skills!T17*(1+Inputs!$B$33/100))/Skills!D17)))))/100)*(1+Inputs!$B$15/100)*(5000/(6000+Inputs!$B$7*(1-(Inputs!$B$18+0)/100)))*(1+(Inputs!$B$23+((C938=TRUE)*(F938-Calc!F25))+((C939=TRUE)*(F939-Calc!F26))+B948)/100)*(1+(IF(Skills!A10="DARK_IMPALE",Inputs!$B$16+0,Inputs!$B$17+((C936=TRUE)*(F936-Calc!F23))))/100)*((1+(((C926=TRUE)*F926*IF(AND(Inputs!$B$4&lt;&gt;"pvp",Inputs!$B$35&gt;0),(((S926-1)*(Skills!T13*(1+Inputs!$B$33/100))+MIN((Skills!T13*(1+Inputs!$B$33/100)),MAX(0,Inputs!$B$35-((S926-1)*Skills!D13))))/Inputs!$B$35),IF(Inputs!$B$4="pvp",MIN((Skills!T13*(1+Inputs!$B$33/100)),15)/15,(Skills!T13*(1+Inputs!$B$33/100))/Skills!D13)))+((C927=TRUE)*F927*IF(AND(Inputs!$B$4&lt;&gt;"pvp",Inputs!$B$35&gt;0),(((S927-1)*(Skills!T14*(1+Inputs!$B$33/100))+MIN((Skills!T14*(1+Inputs!$B$33/100)),MAX(0,Inputs!$B$35-((S927-1)*Skills!D14))))/Inputs!$B$35),IF(Inputs!$B$4="pvp",MIN((Skills!T14*(1+Inputs!$B$33/100)),15)/15,(Skills!T14*(1+Inputs!$B$33/100))/Skills!D14)))+((C928=TRUE)*F928*IF(AND(Inputs!$B$4&lt;&gt;"pvp",Inputs!$B$35&gt;0),(((S928-1)*(Skills!T15*(1+Inputs!$B$33/100))+MIN((Skills!T15*(1+Inputs!$B$33/100)),MAX(0,Inputs!$B$35-((S928-1)*Skills!D15))))/Inputs!$B$35),IF(Inputs!$B$4="pvp",MIN((Skills!T15*(1+Inputs!$B$33/100)),15)/15,(Skills!T15*(1+Inputs!$B$33/100))/Skills!D15)))+((C929=TRUE)*F929*IF(AND(Inputs!$B$4&lt;&gt;"pvp",Inputs!$B$35&gt;0),(((S929-1)*(Skills!T16*(1+Inputs!$B$33/100))+MIN((Skills!T16*(1+Inputs!$B$33/100)),MAX(0,Inputs!$B$35-((S929-1)*Skills!D16))))/Inputs!$B$35),IF(Inputs!$B$4="pvp",MIN((Skills!T16*(1+Inputs!$B$33/100)),15)/15,(Skills!T16*(1+Inputs!$B$33/100))/Skills!D16)))+0)/100)*I923)</f>
        <v/>
      </c>
      <c r="L923">
        <f>K923*(MIN(Inputs!$B$21+((C935=TRUE)*(F935-Calc!F22)),Inputs!$B$22+((C937=TRUE)*(F937-Calc!F24)))/100+(Inputs!$B$22+((C937=TRUE)*(F937-Calc!F24)))/100)/2</f>
        <v/>
      </c>
      <c r="M923">
        <f>L923*(1+(Inputs!$B$9+0+B947)/100)</f>
        <v/>
      </c>
      <c r="N923">
        <f>L923*(1-MIN((Inputs!$B$8+0+B942),100)/100)+M923*(MIN((Inputs!$B$8+0+B942),100)/100)</f>
        <v/>
      </c>
      <c r="O923">
        <f>IF(C923,H923*N923*IF(AND(Inputs!$B$4&lt;&gt;"pvp",Inputs!$B$35&gt;0),((Skills!G10*((R923-1)*IF(Skills!H10&gt;0,Skills!I10/Skills!H10,1)+IF(Skills!H10&gt;0,MIN(Skills!I10,MAX(0,Inputs!$B$35-((R923-1)*IF(Inputs!$B$4="pvp",15,MAX(0.1,Skills!D10-IF(Skills!E10=TRUE,Inputs!$B$31,0))))))/Skills!H10,1)))/Inputs!$B$35),G923*Q923)*IF(Inputs!$B$4="pvp",1,(1-Summary!$B$55)*(1)+Summary!$B$55*(MIN(Skills!R10,Inputs!$B$37))),0)</f>
        <v/>
      </c>
      <c r="P923">
        <f>IF(B950=0,0,O923/B950)</f>
        <v/>
      </c>
      <c r="Q923">
        <f>IFERROR(1/IF(Inputs!$B$4="pvp",15,MAX(0.1,Skills!D10-IF(Skills!E10=TRUE,Inputs!$B$31,0))),0)</f>
        <v/>
      </c>
      <c r="R923">
        <f>IF(AND(Inputs!$B$4&lt;&gt;"pvp",Inputs!$B$35&gt;0),(INT(Inputs!$B$35/IF(Inputs!$B$4="pvp",15,MAX(0.1,Skills!D10-IF(Skills!E10=TRUE,Inputs!$B$31,0))))+1),0)</f>
        <v/>
      </c>
      <c r="S923">
        <f>IFERROR(O923/N923,0)</f>
        <v/>
      </c>
    </row>
    <row r="924">
      <c r="A924">
        <f>Skills!A11</f>
        <v/>
      </c>
      <c r="B924">
        <f>Skills!B11</f>
        <v/>
      </c>
      <c r="C924">
        <f>Inputs!$B$3&gt;=100</f>
        <v/>
      </c>
      <c r="D924">
        <f>IF(Skills!C11=1,60+Inputs!$B$24+Inputs!$B$28,IF(Skills!C11=2,90+Inputs!$B$25+Inputs!$B$28,IF(Skills!C11=3,120+Inputs!$B$26+Inputs!$B$28,MAX(0,(Inputs!$B$3-100)*3)+Inputs!$B$27+Inputs!$B$28)))</f>
        <v/>
      </c>
      <c r="E924">
        <f>INDEX(FactorTable!$B$2:$Y$301, MATCH(ROUND(MIN(300,MAX(1,D924)),0), FactorTable!$A$2:$A$301,0), Skills!M11+1)</f>
        <v/>
      </c>
      <c r="F924">
        <f>IF(Skills!N11=TRUE,(Skills!L11/10)*(E924/1000),Skills!L11/10)+Skills!O11</f>
        <v/>
      </c>
      <c r="G924" t="inlineStr"/>
      <c r="H924" t="inlineStr"/>
      <c r="I924" t="inlineStr">
        <is>
          <t>1</t>
        </is>
      </c>
      <c r="J924" t="inlineStr"/>
      <c r="K924" t="inlineStr"/>
      <c r="L924" t="inlineStr"/>
      <c r="M924" t="inlineStr"/>
      <c r="N924" t="inlineStr"/>
      <c r="O924" t="inlineStr"/>
      <c r="P924" t="inlineStr"/>
      <c r="Q924" t="inlineStr"/>
      <c r="R924" t="inlineStr"/>
      <c r="S924" t="inlineStr"/>
    </row>
    <row r="925">
      <c r="A925">
        <f>Skills!A12</f>
        <v/>
      </c>
      <c r="B925">
        <f>Skills!B12</f>
        <v/>
      </c>
      <c r="C925">
        <f>Inputs!$B$3&gt;=63</f>
        <v/>
      </c>
      <c r="D925">
        <f>IF(Skills!C12=1,60+Inputs!$B$24+Inputs!$B$28,IF(Skills!C12=2,90+Inputs!$B$25+Inputs!$B$28,IF(Skills!C12=3,120+Inputs!$B$26+Inputs!$B$28,MAX(0,(Inputs!$B$3-100)*3)+Inputs!$B$27+Inputs!$B$28)))</f>
        <v/>
      </c>
      <c r="E925">
        <f>INDEX(FactorTable!$B$2:$Y$301, MATCH(ROUND(MIN(300,MAX(1,D925)),0), FactorTable!$A$2:$A$301,0), Skills!M12+1)</f>
        <v/>
      </c>
      <c r="F925">
        <f>IF(Skills!N12=TRUE,(Skills!L12/10)*(E925/1000),Skills!L12/10)+Skills!O12</f>
        <v/>
      </c>
      <c r="G925">
        <f>Skills!G12*IF(Skills!H12&gt;0,Skills!I12/Skills!H12,1)</f>
        <v/>
      </c>
      <c r="H925">
        <f>1-(1-Skills!J12/100)^Skills!K12</f>
        <v/>
      </c>
      <c r="I925" t="inlineStr">
        <is>
          <t>1</t>
        </is>
      </c>
      <c r="J925">
        <f>(Inputs!$B$5*(1+(Inputs!$B$6+1)/100))*(F925/100)</f>
        <v/>
      </c>
      <c r="K925">
        <f>J925*(1+((Inputs!$B$11*(1+Inputs!$B$12/100))*0.01+Inputs!$B$13*0.0025)/100)*(1+Inputs!$B$14/100)*(1+IF(Inputs!$B$4="pvp",0,(1-Summary!$B$55)*(Inputs!$B$19+0+Skills!P12+((C930=TRUE)*F930*IF(AND(Inputs!$B$4&lt;&gt;"pvp",Inputs!$B$35&gt;0),(((S930-1)*(Skills!T17*(1+Inputs!$B$33/100))+MIN((Skills!T17*(1+Inputs!$B$33/100)),MAX(0,Inputs!$B$35-((S930-1)*Skills!D17))))/Inputs!$B$35),IF(Inputs!$B$4="pvp",MIN((Skills!T17*(1+Inputs!$B$33/100)),15)/15,(Skills!T17*(1+Inputs!$B$33/100))/Skills!D17)))+((C927=TRUE)*IF(Inputs!$B$4="pvp",20,(1-Summary!$B$55)*(20)+Summary!$B$55*(0))*IF(AND(Inputs!$B$4&lt;&gt;"pvp",Inputs!$B$35&gt;0),(((S927-1)*(Skills!T14*(1+Inputs!$B$33/100))+MIN((Skills!T14*(1+Inputs!$B$33/100)),MAX(0,Inputs!$B$35-((S927-1)*Skills!D14))))/Inputs!$B$35),IF(Inputs!$B$4="pvp",MIN((Skills!T14*(1+Inputs!$B$33/100)),15)/15,(Skills!T14*(1+Inputs!$B$33/100))/Skills!D14))))+Summary!$B$55*(Inputs!$B$20+Skills!Q12+((C930=TRUE)*F930*IF(AND(Inputs!$B$4&lt;&gt;"pvp",Inputs!$B$35&gt;0),(((S930-1)*(Skills!T17*(1+Inputs!$B$33/100))+MIN((Skills!T17*(1+Inputs!$B$33/100)),MAX(0,Inputs!$B$35-((S930-1)*Skills!D17))))/Inputs!$B$35),IF(Inputs!$B$4="pvp",MIN((Skills!T17*(1+Inputs!$B$33/100)),15)/15,(Skills!T17*(1+Inputs!$B$33/100))/Skills!D17)))))/100)*(1+Inputs!$B$15/100)*(5000/(6000+Inputs!$B$7*(1-(Inputs!$B$18+0)/100)))*(1+(Inputs!$B$23+((C938=TRUE)*(F938-Calc!F25))+((C939=TRUE)*(F939-Calc!F26))+B948)/100)*(1+0.75*IF(C924=TRUE,F924,0)/100)*(1+(IF(Skills!A12="DARK_IMPALE",Inputs!$B$16+0,Inputs!$B$17+((C936=TRUE)*(F936-Calc!F23))))/100)*((1+(((C926=TRUE)*F926*IF(AND(Inputs!$B$4&lt;&gt;"pvp",Inputs!$B$35&gt;0),(((S926-1)*(Skills!T13*(1+Inputs!$B$33/100))+MIN((Skills!T13*(1+Inputs!$B$33/100)),MAX(0,Inputs!$B$35-((S926-1)*Skills!D13))))/Inputs!$B$35),IF(Inputs!$B$4="pvp",MIN((Skills!T13*(1+Inputs!$B$33/100)),15)/15,(Skills!T13*(1+Inputs!$B$33/100))/Skills!D13)))+((C927=TRUE)*F927*IF(AND(Inputs!$B$4&lt;&gt;"pvp",Inputs!$B$35&gt;0),(((S927-1)*(Skills!T14*(1+Inputs!$B$33/100))+MIN((Skills!T14*(1+Inputs!$B$33/100)),MAX(0,Inputs!$B$35-((S927-1)*Skills!D14))))/Inputs!$B$35),IF(Inputs!$B$4="pvp",MIN((Skills!T14*(1+Inputs!$B$33/100)),15)/15,(Skills!T14*(1+Inputs!$B$33/100))/Skills!D14)))+((C928=TRUE)*F928*IF(AND(Inputs!$B$4&lt;&gt;"pvp",Inputs!$B$35&gt;0),(((S928-1)*(Skills!T15*(1+Inputs!$B$33/100))+MIN((Skills!T15*(1+Inputs!$B$33/100)),MAX(0,Inputs!$B$35-((S928-1)*Skills!D15))))/Inputs!$B$35),IF(Inputs!$B$4="pvp",MIN((Skills!T15*(1+Inputs!$B$33/100)),15)/15,(Skills!T15*(1+Inputs!$B$33/100))/Skills!D15)))+((C929=TRUE)*F929*IF(AND(Inputs!$B$4&lt;&gt;"pvp",Inputs!$B$35&gt;0),(((S929-1)*(Skills!T16*(1+Inputs!$B$33/100))+MIN((Skills!T16*(1+Inputs!$B$33/100)),MAX(0,Inputs!$B$35-((S929-1)*Skills!D16))))/Inputs!$B$35),IF(Inputs!$B$4="pvp",MIN((Skills!T16*(1+Inputs!$B$33/100)),15)/15,(Skills!T16*(1+Inputs!$B$33/100))/Skills!D16)))+0)/100)*I925)</f>
        <v/>
      </c>
      <c r="L925">
        <f>K925*(MIN(Inputs!$B$21+((C935=TRUE)*(F935-Calc!F22)),Inputs!$B$22+((C937=TRUE)*(F937-Calc!F24)))/100+(Inputs!$B$22+((C937=TRUE)*(F937-Calc!F24)))/100)/2</f>
        <v/>
      </c>
      <c r="M925">
        <f>L925*(1+(Inputs!$B$9+0+B947)/100)</f>
        <v/>
      </c>
      <c r="N925">
        <f>L925*(1-MIN((Inputs!$B$8+0+B942),100)/100)+M925*(MIN((Inputs!$B$8+0+B942),100)/100)</f>
        <v/>
      </c>
      <c r="O925">
        <f>IF(C925,H925*N925*IF(AND(Inputs!$B$4&lt;&gt;"pvp",Inputs!$B$35&gt;0),((Skills!G12*((R925-1)*IF(Skills!H12&gt;0,Skills!I12/Skills!H12,1)+IF(Skills!H12&gt;0,MIN(Skills!I12,MAX(0,Inputs!$B$35-((R925-1)*IF(Inputs!$B$4="pvp",15,MAX(0.1,Skills!D12-IF(Skills!E12=TRUE,Inputs!$B$31,0))))))/Skills!H12,1)))/Inputs!$B$35),G925*Q925)*IF(Inputs!$B$4="pvp",1,(1-Summary!$B$55)*(1)+Summary!$B$55*(MIN(Skills!R12,Inputs!$B$37))),0)</f>
        <v/>
      </c>
      <c r="P925">
        <f>IF(B950=0,0,O925/B950)</f>
        <v/>
      </c>
      <c r="Q925">
        <f>IFERROR(1/IF(Inputs!$B$4="pvp",15,MAX(0.1,Skills!D12-IF(Skills!E12=TRUE,Inputs!$B$31,0))),0)</f>
        <v/>
      </c>
      <c r="R925">
        <f>IF(AND(Inputs!$B$4&lt;&gt;"pvp",Inputs!$B$35&gt;0),(INT(Inputs!$B$35/IF(Inputs!$B$4="pvp",15,MAX(0.1,Skills!D12-IF(Skills!E12=TRUE,Inputs!$B$31,0))))+1),0)</f>
        <v/>
      </c>
      <c r="S925">
        <f>IFERROR(O925/N925,0)</f>
        <v/>
      </c>
    </row>
    <row r="926">
      <c r="A926">
        <f>Skills!A13</f>
        <v/>
      </c>
      <c r="B926">
        <f>Skills!B13</f>
        <v/>
      </c>
      <c r="C926">
        <f>Inputs!$B$3&gt;=69</f>
        <v/>
      </c>
      <c r="D926">
        <f>IF(Skills!C13=1,60+Inputs!$B$24+Inputs!$B$28,IF(Skills!C13=2,90+Inputs!$B$25+Inputs!$B$28,IF(Skills!C13=3,120+Inputs!$B$26+Inputs!$B$28,MAX(0,(Inputs!$B$3-100)*3)+Inputs!$B$27+Inputs!$B$28)))</f>
        <v/>
      </c>
      <c r="E926">
        <f>INDEX(FactorTable!$B$2:$Y$301, MATCH(ROUND(MIN(300,MAX(1,D926)),0), FactorTable!$A$2:$A$301,0), Skills!M13+1)</f>
        <v/>
      </c>
      <c r="F926">
        <f>IF(Skills!N13=TRUE,(Skills!L13/10)*(E926/1000),Skills!L13/10)+Skills!O13</f>
        <v/>
      </c>
      <c r="G926">
        <f>Skills!G13*IF(Skills!H13&gt;0,Skills!I13/Skills!H13,1)</f>
        <v/>
      </c>
      <c r="H926">
        <f>1-(1-Skills!J13/100)^Skills!K13</f>
        <v/>
      </c>
      <c r="I926" t="inlineStr">
        <is>
          <t>1</t>
        </is>
      </c>
      <c r="J926" t="inlineStr"/>
      <c r="K926" t="inlineStr"/>
      <c r="L926" t="inlineStr"/>
      <c r="M926" t="inlineStr"/>
      <c r="N926" t="inlineStr"/>
      <c r="O926" t="n">
        <v>0</v>
      </c>
      <c r="P926">
        <f>IF(B950=0,0,O926/B950)</f>
        <v/>
      </c>
      <c r="Q926">
        <f>IFERROR(1/IF(Inputs!$B$4="pvp",15,MAX(0.1,Skills!D13-IF(Skills!E13=TRUE,Inputs!$B$31,0))),0)</f>
        <v/>
      </c>
      <c r="R926">
        <f>IF(AND(Inputs!$B$4&lt;&gt;"pvp",Inputs!$B$35&gt;0),(INT(Inputs!$B$35/IF(Inputs!$B$4="pvp",15,MAX(0.1,Skills!D13-IF(Skills!E13=TRUE,Inputs!$B$31,0))))+1),0)</f>
        <v/>
      </c>
      <c r="S926">
        <f>IFERROR(O926/N926,0)</f>
        <v/>
      </c>
    </row>
    <row r="927">
      <c r="A927">
        <f>Skills!A14</f>
        <v/>
      </c>
      <c r="B927">
        <f>Skills!B14</f>
        <v/>
      </c>
      <c r="C927">
        <f>Inputs!$B$3&gt;=115</f>
        <v/>
      </c>
      <c r="D927">
        <f>IF(Skills!C14=1,60+Inputs!$B$24+Inputs!$B$28,IF(Skills!C14=2,90+Inputs!$B$25+Inputs!$B$28,IF(Skills!C14=3,120+Inputs!$B$26+Inputs!$B$28,MAX(0,(Inputs!$B$3-100)*3)+Inputs!$B$27+Inputs!$B$28)))</f>
        <v/>
      </c>
      <c r="E927">
        <f>INDEX(FactorTable!$B$2:$Y$301, MATCH(ROUND(MIN(300,MAX(1,D927)),0), FactorTable!$A$2:$A$301,0), Skills!M14+1)</f>
        <v/>
      </c>
      <c r="F927">
        <f>IF(Skills!N14=TRUE,(Skills!L14/10)*(E927/1000),Skills!L14/10)+Skills!O14</f>
        <v/>
      </c>
      <c r="G927">
        <f>Skills!G14*IF(Skills!H14&gt;0,Skills!I14/Skills!H14,1)</f>
        <v/>
      </c>
      <c r="H927">
        <f>1-(1-Skills!J14/100)^Skills!K14</f>
        <v/>
      </c>
      <c r="I927" t="inlineStr">
        <is>
          <t>1</t>
        </is>
      </c>
      <c r="J927" t="inlineStr"/>
      <c r="K927" t="inlineStr"/>
      <c r="L927" t="inlineStr"/>
      <c r="M927" t="inlineStr"/>
      <c r="N927" t="inlineStr"/>
      <c r="O927" t="n">
        <v>0</v>
      </c>
      <c r="P927">
        <f>IF(B950=0,0,O927/B950)</f>
        <v/>
      </c>
      <c r="Q927">
        <f>IFERROR(1/IF(Inputs!$B$4="pvp",15,MAX(0.1,Skills!D14-IF(Skills!E14=TRUE,Inputs!$B$31,0))),0)</f>
        <v/>
      </c>
      <c r="R927">
        <f>IF(AND(Inputs!$B$4&lt;&gt;"pvp",Inputs!$B$35&gt;0),(INT(Inputs!$B$35/IF(Inputs!$B$4="pvp",15,MAX(0.1,Skills!D14-IF(Skills!E14=TRUE,Inputs!$B$31,0))))+1),0)</f>
        <v/>
      </c>
      <c r="S927">
        <f>IFERROR(O927/N927,0)</f>
        <v/>
      </c>
    </row>
    <row r="928">
      <c r="A928">
        <f>Skills!A15</f>
        <v/>
      </c>
      <c r="B928">
        <f>Skills!B15</f>
        <v/>
      </c>
      <c r="C928">
        <f>Inputs!$B$3&gt;=66</f>
        <v/>
      </c>
      <c r="D928">
        <f>IF(Skills!C15=1,60+Inputs!$B$24+Inputs!$B$28,IF(Skills!C15=2,90+Inputs!$B$25+Inputs!$B$28,IF(Skills!C15=3,120+Inputs!$B$26+Inputs!$B$28,MAX(0,(Inputs!$B$3-100)*3)+Inputs!$B$27+Inputs!$B$28)))</f>
        <v/>
      </c>
      <c r="E928">
        <f>INDEX(FactorTable!$B$2:$Y$301, MATCH(ROUND(MIN(300,MAX(1,D928)),0), FactorTable!$A$2:$A$301,0), Skills!M15+1)</f>
        <v/>
      </c>
      <c r="F928">
        <f>IF(Skills!N15=TRUE,(Skills!L15/10)*(E928/1000),Skills!L15/10)+Skills!O15</f>
        <v/>
      </c>
      <c r="G928">
        <f>Skills!G15*IF(Skills!H15&gt;0,Skills!I15/Skills!H15,1)</f>
        <v/>
      </c>
      <c r="H928">
        <f>1-(1-Skills!J15/100)^Skills!K15</f>
        <v/>
      </c>
      <c r="I928" t="inlineStr">
        <is>
          <t>1</t>
        </is>
      </c>
      <c r="J928" t="inlineStr"/>
      <c r="K928" t="inlineStr"/>
      <c r="L928" t="inlineStr"/>
      <c r="M928" t="inlineStr"/>
      <c r="N928" t="inlineStr"/>
      <c r="O928" t="n">
        <v>0</v>
      </c>
      <c r="P928">
        <f>IF(B950=0,0,O928/B950)</f>
        <v/>
      </c>
      <c r="Q928">
        <f>IFERROR(1/IF(Inputs!$B$4="pvp",15,MAX(0.1,Skills!D15-IF(Skills!E15=TRUE,Inputs!$B$31,0))),0)</f>
        <v/>
      </c>
      <c r="R928">
        <f>IF(AND(Inputs!$B$4&lt;&gt;"pvp",Inputs!$B$35&gt;0),(INT(Inputs!$B$35/IF(Inputs!$B$4="pvp",15,MAX(0.1,Skills!D15-IF(Skills!E15=TRUE,Inputs!$B$31,0))))+1),0)</f>
        <v/>
      </c>
      <c r="S928">
        <f>IFERROR(O928/N928,0)</f>
        <v/>
      </c>
    </row>
    <row r="929">
      <c r="A929">
        <f>Skills!A16</f>
        <v/>
      </c>
      <c r="B929">
        <f>Skills!B16</f>
        <v/>
      </c>
      <c r="C929">
        <f>Inputs!$B$3&gt;=45</f>
        <v/>
      </c>
      <c r="D929">
        <f>IF(Skills!C16=1,60+Inputs!$B$24+Inputs!$B$28,IF(Skills!C16=2,90+Inputs!$B$25+Inputs!$B$28,IF(Skills!C16=3,120+Inputs!$B$26+Inputs!$B$28,MAX(0,(Inputs!$B$3-100)*3)+Inputs!$B$27+Inputs!$B$28)))</f>
        <v/>
      </c>
      <c r="E929">
        <f>INDEX(FactorTable!$B$2:$Y$301, MATCH(ROUND(MIN(300,MAX(1,D929)),0), FactorTable!$A$2:$A$301,0), Skills!M16+1)</f>
        <v/>
      </c>
      <c r="F929">
        <f>IF(Skills!N16=TRUE,(Skills!L16/10)*(E929/1000),Skills!L16/10)+Skills!O16</f>
        <v/>
      </c>
      <c r="G929">
        <f>Skills!G16*IF(Skills!H16&gt;0,Skills!I16/Skills!H16,1)</f>
        <v/>
      </c>
      <c r="H929">
        <f>1-(1-Skills!J16/100)^Skills!K16</f>
        <v/>
      </c>
      <c r="I929" t="inlineStr">
        <is>
          <t>1</t>
        </is>
      </c>
      <c r="J929" t="inlineStr"/>
      <c r="K929" t="inlineStr"/>
      <c r="L929" t="inlineStr"/>
      <c r="M929" t="inlineStr"/>
      <c r="N929" t="inlineStr"/>
      <c r="O929" t="n">
        <v>0</v>
      </c>
      <c r="P929">
        <f>IF(B950=0,0,O929/B950)</f>
        <v/>
      </c>
      <c r="Q929">
        <f>IFERROR(1/IF(Inputs!$B$4="pvp",15,MAX(0.1,Skills!D16-IF(Skills!E16=TRUE,Inputs!$B$31,0))),0)</f>
        <v/>
      </c>
      <c r="R929">
        <f>IF(AND(Inputs!$B$4&lt;&gt;"pvp",Inputs!$B$35&gt;0),(INT(Inputs!$B$35/IF(Inputs!$B$4="pvp",15,MAX(0.1,Skills!D16-IF(Skills!E16=TRUE,Inputs!$B$31,0))))+1),0)</f>
        <v/>
      </c>
      <c r="S929">
        <f>IFERROR(O929/N929,0)</f>
        <v/>
      </c>
    </row>
    <row r="930">
      <c r="A930">
        <f>Skills!A17</f>
        <v/>
      </c>
      <c r="B930">
        <f>Skills!B17</f>
        <v/>
      </c>
      <c r="C930">
        <f>Inputs!$B$3&gt;=35</f>
        <v/>
      </c>
      <c r="D930">
        <f>IF(Skills!C17=1,60+Inputs!$B$24+Inputs!$B$28,IF(Skills!C17=2,90+Inputs!$B$25+Inputs!$B$28,IF(Skills!C17=3,120+Inputs!$B$26+Inputs!$B$28,MAX(0,(Inputs!$B$3-100)*3)+Inputs!$B$27+Inputs!$B$28)))</f>
        <v/>
      </c>
      <c r="E930">
        <f>INDEX(FactorTable!$B$2:$Y$301, MATCH(ROUND(MIN(300,MAX(1,D930)),0), FactorTable!$A$2:$A$301,0), Skills!M17+1)</f>
        <v/>
      </c>
      <c r="F930">
        <f>IF(Skills!N17=TRUE,(Skills!L17/10)*(E930/1000),Skills!L17/10)+Skills!O17</f>
        <v/>
      </c>
      <c r="G930">
        <f>Skills!G17*IF(Skills!H17&gt;0,Skills!I17/Skills!H17,1)</f>
        <v/>
      </c>
      <c r="H930">
        <f>1-(1-Skills!J17/100)^Skills!K17</f>
        <v/>
      </c>
      <c r="I930" t="inlineStr">
        <is>
          <t>1</t>
        </is>
      </c>
      <c r="J930" t="inlineStr"/>
      <c r="K930" t="inlineStr"/>
      <c r="L930" t="inlineStr"/>
      <c r="M930" t="inlineStr"/>
      <c r="N930" t="inlineStr"/>
      <c r="O930" t="n">
        <v>0</v>
      </c>
      <c r="P930">
        <f>IF(B950=0,0,O930/B950)</f>
        <v/>
      </c>
      <c r="Q930">
        <f>IFERROR(1/IF(Inputs!$B$4="pvp",15,MAX(0.1,Skills!D17-IF(Skills!E17=TRUE,Inputs!$B$31,0))),0)</f>
        <v/>
      </c>
      <c r="R930">
        <f>IF(AND(Inputs!$B$4&lt;&gt;"pvp",Inputs!$B$35&gt;0),(INT(Inputs!$B$35/IF(Inputs!$B$4="pvp",15,MAX(0.1,Skills!D17-IF(Skills!E17=TRUE,Inputs!$B$31,0))))+1),0)</f>
        <v/>
      </c>
      <c r="S930">
        <f>IFERROR(O930/N930,0)</f>
        <v/>
      </c>
    </row>
    <row r="931">
      <c r="A931">
        <f>Skills!A18</f>
        <v/>
      </c>
      <c r="B931">
        <f>Skills!B18</f>
        <v/>
      </c>
      <c r="C931">
        <f>Inputs!$B$3&gt;=72</f>
        <v/>
      </c>
      <c r="D931">
        <f>IF(Skills!C18=1,60+Inputs!$B$24+Inputs!$B$28,IF(Skills!C18=2,90+Inputs!$B$25+Inputs!$B$28,IF(Skills!C18=3,120+Inputs!$B$26+Inputs!$B$28,MAX(0,(Inputs!$B$3-100)*3)+Inputs!$B$27+Inputs!$B$28)))</f>
        <v/>
      </c>
      <c r="E931">
        <f>INDEX(FactorTable!$B$2:$Y$301, MATCH(ROUND(MIN(300,MAX(1,D931)),0), FactorTable!$A$2:$A$301,0), Skills!M18+1)</f>
        <v/>
      </c>
      <c r="F931">
        <f>IF(Skills!N18=TRUE,(Skills!L18/10)*(E931/1000),Skills!L18/10)+Skills!O18</f>
        <v/>
      </c>
      <c r="G931">
        <f>Skills!G18*IF(Skills!H18&gt;0,Skills!I18/Skills!H18,1)</f>
        <v/>
      </c>
      <c r="H931">
        <f>1-(1-Skills!J18/100)^Skills!K18</f>
        <v/>
      </c>
      <c r="I931" t="inlineStr">
        <is>
          <t>1</t>
        </is>
      </c>
      <c r="J931" t="inlineStr"/>
      <c r="K931" t="inlineStr"/>
      <c r="L931" t="inlineStr"/>
      <c r="M931" t="inlineStr"/>
      <c r="N931" t="inlineStr"/>
      <c r="O931" t="n">
        <v>0</v>
      </c>
      <c r="P931">
        <f>IF(B950=0,0,O931/B950)</f>
        <v/>
      </c>
      <c r="Q931">
        <f>IFERROR(1/IF(Inputs!$B$4="pvp",15,MAX(0.1,Skills!D18-IF(Skills!E18=TRUE,Inputs!$B$31,0))),0)</f>
        <v/>
      </c>
      <c r="R931">
        <f>IF(AND(Inputs!$B$4&lt;&gt;"pvp",Inputs!$B$35&gt;0),(INT(Inputs!$B$35/IF(Inputs!$B$4="pvp",15,MAX(0.1,Skills!D18-IF(Skills!E18=TRUE,Inputs!$B$31,0))))+1),0)</f>
        <v/>
      </c>
      <c r="S931">
        <f>IFERROR(O931/N931,0)</f>
        <v/>
      </c>
    </row>
    <row r="932">
      <c r="A932">
        <f>Skills!A19</f>
        <v/>
      </c>
      <c r="B932">
        <f>Skills!B19</f>
        <v/>
      </c>
      <c r="C932">
        <f>Inputs!$B$3&gt;=72</f>
        <v/>
      </c>
      <c r="D932">
        <f>IF(Skills!C19=1,60+Inputs!$B$24+Inputs!$B$28,IF(Skills!C19=2,90+Inputs!$B$25+Inputs!$B$28,IF(Skills!C19=3,120+Inputs!$B$26+Inputs!$B$28,MAX(0,(Inputs!$B$3-100)*3)+Inputs!$B$27+Inputs!$B$28)))</f>
        <v/>
      </c>
      <c r="E932">
        <f>INDEX(FactorTable!$B$2:$Y$301, MATCH(ROUND(MIN(300,MAX(1,D932)),0), FactorTable!$A$2:$A$301,0), Skills!M19+1)</f>
        <v/>
      </c>
      <c r="F932">
        <f>IF(Skills!N19=TRUE,(Skills!L19/10)*(E932/1000),Skills!L19/10)+Skills!O19</f>
        <v/>
      </c>
      <c r="G932">
        <f>Skills!G19*IF(Skills!H19&gt;0,Skills!I19/Skills!H19,1)</f>
        <v/>
      </c>
      <c r="H932">
        <f>1-(1-Skills!J19/100)^Skills!K19</f>
        <v/>
      </c>
      <c r="I932" t="inlineStr">
        <is>
          <t>1</t>
        </is>
      </c>
      <c r="J932" t="inlineStr"/>
      <c r="K932" t="inlineStr"/>
      <c r="L932" t="inlineStr"/>
      <c r="M932" t="inlineStr"/>
      <c r="N932" t="inlineStr"/>
      <c r="O932" t="n">
        <v>0</v>
      </c>
      <c r="P932">
        <f>IF(B950=0,0,O932/B950)</f>
        <v/>
      </c>
      <c r="Q932">
        <f>IFERROR(1/IF(Inputs!$B$4="pvp",15,MAX(0.1,Skills!D19-IF(Skills!E19=TRUE,Inputs!$B$31,0))),0)</f>
        <v/>
      </c>
      <c r="R932">
        <f>IF(AND(Inputs!$B$4&lt;&gt;"pvp",Inputs!$B$35&gt;0),(INT(Inputs!$B$35/IF(Inputs!$B$4="pvp",15,MAX(0.1,Skills!D19-IF(Skills!E19=TRUE,Inputs!$B$31,0))))+1),0)</f>
        <v/>
      </c>
      <c r="S932">
        <f>IFERROR(O932/N932,0)</f>
        <v/>
      </c>
    </row>
    <row r="933">
      <c r="A933">
        <f>Skills!A20</f>
        <v/>
      </c>
      <c r="B933">
        <f>Skills!B20</f>
        <v/>
      </c>
      <c r="C933">
        <f>TRUE</f>
        <v/>
      </c>
      <c r="D933">
        <f>IF(Skills!C20=1,60+Inputs!$B$24+Inputs!$B$28,IF(Skills!C20=2,90+Inputs!$B$25+Inputs!$B$28,IF(Skills!C20=3,120+Inputs!$B$26+Inputs!$B$28,MAX(0,(Inputs!$B$3-100)*3)+Inputs!$B$27+Inputs!$B$28)))</f>
        <v/>
      </c>
      <c r="E933">
        <f>INDEX(FactorTable!$B$2:$Y$301, MATCH(ROUND(MIN(300,MAX(1,D933)),0), FactorTable!$A$2:$A$301,0), Skills!M20+1)</f>
        <v/>
      </c>
      <c r="F933">
        <f>IF(Skills!N20=TRUE,(Skills!L20/10)*(E933/1000),Skills!L20/10)+Skills!O20</f>
        <v/>
      </c>
      <c r="G933">
        <f>Skills!G20*IF(Skills!H20&gt;0,Skills!I20/Skills!H20,1)</f>
        <v/>
      </c>
      <c r="H933">
        <f>1-(1-Skills!J20/100)^Skills!K20</f>
        <v/>
      </c>
      <c r="I933" t="inlineStr">
        <is>
          <t>1</t>
        </is>
      </c>
      <c r="J933" t="inlineStr"/>
      <c r="K933" t="inlineStr"/>
      <c r="L933" t="inlineStr"/>
      <c r="M933" t="inlineStr"/>
      <c r="N933" t="inlineStr"/>
      <c r="O933" t="n">
        <v>0</v>
      </c>
      <c r="P933">
        <f>IF(B950=0,0,O933/B950)</f>
        <v/>
      </c>
      <c r="Q933">
        <f>IFERROR(1/IF(Inputs!$B$4="pvp",15,MAX(0.1,Skills!D20-IF(Skills!E20=TRUE,Inputs!$B$31,0))),0)</f>
        <v/>
      </c>
      <c r="R933">
        <f>IF(AND(Inputs!$B$4&lt;&gt;"pvp",Inputs!$B$35&gt;0),(INT(Inputs!$B$35/IF(Inputs!$B$4="pvp",15,MAX(0.1,Skills!D20-IF(Skills!E20=TRUE,Inputs!$B$31,0))))+1),0)</f>
        <v/>
      </c>
      <c r="S933">
        <f>IFERROR(O933/N933,0)</f>
        <v/>
      </c>
    </row>
    <row r="934">
      <c r="A934">
        <f>Skills!A21</f>
        <v/>
      </c>
      <c r="B934">
        <f>Skills!B21</f>
        <v/>
      </c>
      <c r="C934">
        <f>Inputs!$B$3&gt;=33</f>
        <v/>
      </c>
      <c r="D934">
        <f>IF(Skills!C21=1,60+Inputs!$B$24+Inputs!$B$28,IF(Skills!C21=2,90+Inputs!$B$25+Inputs!$B$28,IF(Skills!C21=3,120+Inputs!$B$26+Inputs!$B$28,MAX(0,(Inputs!$B$3-100)*3)+Inputs!$B$27+Inputs!$B$28)))</f>
        <v/>
      </c>
      <c r="E934">
        <f>INDEX(FactorTable!$B$2:$Y$301, MATCH(ROUND(MIN(300,MAX(1,D934)),0), FactorTable!$A$2:$A$301,0), Skills!M21+1)</f>
        <v/>
      </c>
      <c r="F934">
        <f>IF(Skills!N21=TRUE,(Skills!L21/10)*(E934/1000),Skills!L21/10)+Skills!O21</f>
        <v/>
      </c>
      <c r="G934">
        <f>Skills!G21*IF(Skills!H21&gt;0,Skills!I21/Skills!H21,1)</f>
        <v/>
      </c>
      <c r="H934">
        <f>1-(1-Skills!J21/100)^Skills!K21</f>
        <v/>
      </c>
      <c r="I934" t="inlineStr">
        <is>
          <t>1</t>
        </is>
      </c>
      <c r="J934" t="inlineStr"/>
      <c r="K934" t="inlineStr"/>
      <c r="L934" t="inlineStr"/>
      <c r="M934" t="inlineStr"/>
      <c r="N934" t="inlineStr"/>
      <c r="O934" t="n">
        <v>0</v>
      </c>
      <c r="P934">
        <f>IF(B950=0,0,O934/B950)</f>
        <v/>
      </c>
      <c r="Q934" t="n">
        <v>0</v>
      </c>
      <c r="R934" t="n">
        <v>0</v>
      </c>
      <c r="S934">
        <f>IFERROR(O934/N934,0)</f>
        <v/>
      </c>
    </row>
    <row r="935">
      <c r="A935">
        <f>Skills!A22</f>
        <v/>
      </c>
      <c r="B935">
        <f>Skills!B22</f>
        <v/>
      </c>
      <c r="C935">
        <f>Inputs!$B$3&gt;=43</f>
        <v/>
      </c>
      <c r="D935">
        <f>IF(Skills!C22=1,60+Inputs!$B$24+Inputs!$B$28,IF(Skills!C22=2,90+Inputs!$B$25+Inputs!$B$28,IF(Skills!C22=3,120+Inputs!$B$26+Inputs!$B$28,MAX(0,(Inputs!$B$3-100)*3)+Inputs!$B$27+Inputs!$B$28)))</f>
        <v/>
      </c>
      <c r="E935">
        <f>INDEX(FactorTable!$B$2:$Y$301, MATCH(ROUND(MIN(300,MAX(1,D935)),0), FactorTable!$A$2:$A$301,0), Skills!M22+1)</f>
        <v/>
      </c>
      <c r="F935">
        <f>IF(Skills!N22=TRUE,(Skills!L22/10)*(E935/1000),Skills!L22/10)+Skills!O22</f>
        <v/>
      </c>
      <c r="G935">
        <f>Skills!G22*IF(Skills!H22&gt;0,Skills!I22/Skills!H22,1)</f>
        <v/>
      </c>
      <c r="H935">
        <f>1-(1-Skills!J22/100)^Skills!K22</f>
        <v/>
      </c>
      <c r="I935" t="inlineStr">
        <is>
          <t>1</t>
        </is>
      </c>
      <c r="J935" t="inlineStr"/>
      <c r="K935" t="inlineStr"/>
      <c r="L935" t="inlineStr"/>
      <c r="M935" t="inlineStr"/>
      <c r="N935" t="inlineStr"/>
      <c r="O935" t="n">
        <v>0</v>
      </c>
      <c r="P935">
        <f>IF(B950=0,0,O935/B950)</f>
        <v/>
      </c>
      <c r="Q935" t="n">
        <v>0</v>
      </c>
      <c r="R935" t="n">
        <v>0</v>
      </c>
      <c r="S935">
        <f>IFERROR(O935/N935,0)</f>
        <v/>
      </c>
    </row>
    <row r="936">
      <c r="A936">
        <f>Skills!A23</f>
        <v/>
      </c>
      <c r="B936">
        <f>Skills!B23</f>
        <v/>
      </c>
      <c r="C936">
        <f>Inputs!$B$3&gt;=120</f>
        <v/>
      </c>
      <c r="D936">
        <f>IF(Skills!C23=1,60+Inputs!$B$24+Inputs!$B$28,IF(Skills!C23=2,90+Inputs!$B$25+Inputs!$B$28,IF(Skills!C23=3,120+Inputs!$B$26+Inputs!$B$28,MAX(0,(Inputs!$B$3-100)*3)+Inputs!$B$27+Inputs!$B$28)))</f>
        <v/>
      </c>
      <c r="E936">
        <f>INDEX(FactorTable!$B$2:$Y$301, MATCH(ROUND(MIN(300,MAX(1,D936)),0), FactorTable!$A$2:$A$301,0), Skills!M23+1)</f>
        <v/>
      </c>
      <c r="F936">
        <f>IF(Skills!N23=TRUE,(Skills!L23/10)*(E936/1000),Skills!L23/10)+Skills!O23</f>
        <v/>
      </c>
      <c r="G936">
        <f>Skills!G23*IF(Skills!H23&gt;0,Skills!I23/Skills!H23,1)</f>
        <v/>
      </c>
      <c r="H936">
        <f>1-(1-Skills!J23/100)^Skills!K23</f>
        <v/>
      </c>
      <c r="I936" t="inlineStr">
        <is>
          <t>1</t>
        </is>
      </c>
      <c r="J936" t="inlineStr"/>
      <c r="K936" t="inlineStr"/>
      <c r="L936" t="inlineStr"/>
      <c r="M936" t="inlineStr"/>
      <c r="N936" t="inlineStr"/>
      <c r="O936" t="n">
        <v>0</v>
      </c>
      <c r="P936">
        <f>IF(B950=0,0,O936/B950)</f>
        <v/>
      </c>
      <c r="Q936" t="n">
        <v>0</v>
      </c>
      <c r="R936" t="n">
        <v>0</v>
      </c>
      <c r="S936">
        <f>IFERROR(O936/N936,0)</f>
        <v/>
      </c>
    </row>
    <row r="937">
      <c r="A937">
        <f>Skills!A24</f>
        <v/>
      </c>
      <c r="B937">
        <f>Skills!B24</f>
        <v/>
      </c>
      <c r="C937">
        <f>Inputs!$B$3&gt;=120</f>
        <v/>
      </c>
      <c r="D937">
        <f>IF(Skills!C24=1,60+Inputs!$B$24+Inputs!$B$28,IF(Skills!C24=2,90+Inputs!$B$25+Inputs!$B$28,IF(Skills!C24=3,120+Inputs!$B$26+Inputs!$B$28,MAX(0,(Inputs!$B$3-100)*3)+Inputs!$B$27+Inputs!$B$28)))</f>
        <v/>
      </c>
      <c r="E937">
        <f>INDEX(FactorTable!$B$2:$Y$301, MATCH(ROUND(MIN(300,MAX(1,D937)),0), FactorTable!$A$2:$A$301,0), Skills!M24+1)</f>
        <v/>
      </c>
      <c r="F937">
        <f>IF(Skills!N24=TRUE,(Skills!L24/10)*(E937/1000),Skills!L24/10)+Skills!O24</f>
        <v/>
      </c>
      <c r="G937">
        <f>Skills!G24*IF(Skills!H24&gt;0,Skills!I24/Skills!H24,1)</f>
        <v/>
      </c>
      <c r="H937">
        <f>1-(1-Skills!J24/100)^Skills!K24</f>
        <v/>
      </c>
      <c r="I937" t="inlineStr">
        <is>
          <t>1</t>
        </is>
      </c>
      <c r="J937" t="inlineStr"/>
      <c r="K937" t="inlineStr"/>
      <c r="L937" t="inlineStr"/>
      <c r="M937" t="inlineStr"/>
      <c r="N937" t="inlineStr"/>
      <c r="O937" t="n">
        <v>0</v>
      </c>
      <c r="P937">
        <f>IF(B950=0,0,O937/B950)</f>
        <v/>
      </c>
      <c r="Q937" t="n">
        <v>0</v>
      </c>
      <c r="R937" t="n">
        <v>0</v>
      </c>
      <c r="S937">
        <f>IFERROR(O937/N937,0)</f>
        <v/>
      </c>
    </row>
    <row r="938">
      <c r="A938">
        <f>Skills!A25</f>
        <v/>
      </c>
      <c r="B938">
        <f>Skills!B25</f>
        <v/>
      </c>
      <c r="C938">
        <f>Inputs!$B$3&gt;=125</f>
        <v/>
      </c>
      <c r="D938">
        <f>IF(Skills!C25=1,60+Inputs!$B$24+Inputs!$B$28,IF(Skills!C25=2,90+Inputs!$B$25+Inputs!$B$28,IF(Skills!C25=3,120+Inputs!$B$26+Inputs!$B$28,MAX(0,(Inputs!$B$3-100)*3)+Inputs!$B$27+Inputs!$B$28)))</f>
        <v/>
      </c>
      <c r="E938">
        <f>INDEX(FactorTable!$B$2:$Y$301, MATCH(ROUND(MIN(300,MAX(1,D938)),0), FactorTable!$A$2:$A$301,0), Skills!M25+1)</f>
        <v/>
      </c>
      <c r="F938">
        <f>IF(Skills!N25=TRUE,(Skills!L25/10)*(E938/1000),Skills!L25/10)+Skills!O25</f>
        <v/>
      </c>
      <c r="G938">
        <f>Skills!G25*IF(Skills!H25&gt;0,Skills!I25/Skills!H25,1)</f>
        <v/>
      </c>
      <c r="H938">
        <f>1-(1-Skills!J25/100)^Skills!K25</f>
        <v/>
      </c>
      <c r="I938" t="inlineStr">
        <is>
          <t>1</t>
        </is>
      </c>
      <c r="J938" t="inlineStr"/>
      <c r="K938" t="inlineStr"/>
      <c r="L938" t="inlineStr"/>
      <c r="M938" t="inlineStr"/>
      <c r="N938" t="inlineStr"/>
      <c r="O938" t="n">
        <v>0</v>
      </c>
      <c r="P938">
        <f>IF(B950=0,0,O938/B950)</f>
        <v/>
      </c>
      <c r="Q938" t="n">
        <v>0</v>
      </c>
      <c r="R938" t="n">
        <v>0</v>
      </c>
      <c r="S938">
        <f>IFERROR(O938/N938,0)</f>
        <v/>
      </c>
    </row>
    <row r="939">
      <c r="A939">
        <f>Skills!A26</f>
        <v/>
      </c>
      <c r="B939">
        <f>Skills!B26</f>
        <v/>
      </c>
      <c r="C939">
        <f>Inputs!$B$3&gt;=107</f>
        <v/>
      </c>
      <c r="D939">
        <f>IF(Skills!C26=1,60+Inputs!$B$24+Inputs!$B$28,IF(Skills!C26=2,90+Inputs!$B$25+Inputs!$B$28,IF(Skills!C26=3,120+Inputs!$B$26+Inputs!$B$28,MAX(0,(Inputs!$B$3-100)*3)+Inputs!$B$27+Inputs!$B$28)))</f>
        <v/>
      </c>
      <c r="E939">
        <f>INDEX(FactorTable!$B$2:$Y$301, MATCH(ROUND(MIN(300,MAX(1,D939)),0), FactorTable!$A$2:$A$301,0), Skills!M26+1)</f>
        <v/>
      </c>
      <c r="F939">
        <f>IF(Skills!N26=TRUE,(Skills!L26/10)*(E939/1000),Skills!L26/10)+Skills!O26</f>
        <v/>
      </c>
      <c r="G939">
        <f>Skills!G26*IF(Skills!H26&gt;0,Skills!I26/Skills!H26,1)</f>
        <v/>
      </c>
      <c r="H939">
        <f>1-(1-Skills!J26/100)^Skills!K26</f>
        <v/>
      </c>
      <c r="I939" t="inlineStr">
        <is>
          <t>1</t>
        </is>
      </c>
      <c r="J939" t="inlineStr"/>
      <c r="K939" t="inlineStr"/>
      <c r="L939" t="inlineStr"/>
      <c r="M939" t="inlineStr"/>
      <c r="N939" t="inlineStr"/>
      <c r="O939" t="n">
        <v>0</v>
      </c>
      <c r="P939">
        <f>IF(B950=0,0,O939/B950)</f>
        <v/>
      </c>
      <c r="Q939" t="n">
        <v>0</v>
      </c>
      <c r="R939" t="n">
        <v>0</v>
      </c>
      <c r="S939">
        <f>IFERROR(O939/N939,0)</f>
        <v/>
      </c>
    </row>
    <row r="941">
      <c r="A941" t="inlineStr">
        <is>
          <t>Attack% Bucket Multiplier</t>
        </is>
      </c>
      <c r="B941">
        <f>(1+(((C926=TRUE)*F926*IF(AND(Inputs!$B$4&lt;&gt;"pvp",Inputs!$B$35&gt;0),(((S926-1)*(Skills!T13*(1+Inputs!$B$33/100))+MIN((Skills!T13*(1+Inputs!$B$33/100)),MAX(0,Inputs!$B$35-((S926-1)*Skills!D13))))/Inputs!$B$35),IF(Inputs!$B$4="pvp",MIN((Skills!T13*(1+Inputs!$B$33/100)),15)/15,(Skills!T13*(1+Inputs!$B$33/100))/Skills!D13)))+((C927=TRUE)*F927*IF(AND(Inputs!$B$4&lt;&gt;"pvp",Inputs!$B$35&gt;0),(((S927-1)*(Skills!T14*(1+Inputs!$B$33/100))+MIN((Skills!T14*(1+Inputs!$B$33/100)),MAX(0,Inputs!$B$35-((S927-1)*Skills!D14))))/Inputs!$B$35),IF(Inputs!$B$4="pvp",MIN((Skills!T14*(1+Inputs!$B$33/100)),15)/15,(Skills!T14*(1+Inputs!$B$33/100))/Skills!D14)))+((C928=TRUE)*F928*IF(AND(Inputs!$B$4&lt;&gt;"pvp",Inputs!$B$35&gt;0),(((S928-1)*(Skills!T15*(1+Inputs!$B$33/100))+MIN((Skills!T15*(1+Inputs!$B$33/100)),MAX(0,Inputs!$B$35-((S928-1)*Skills!D15))))/Inputs!$B$35),IF(Inputs!$B$4="pvp",MIN((Skills!T15*(1+Inputs!$B$33/100)),15)/15,(Skills!T15*(1+Inputs!$B$33/100))/Skills!D15)))+((C929=TRUE)*F929*IF(AND(Inputs!$B$4&lt;&gt;"pvp",Inputs!$B$35&gt;0),(((S929-1)*(Skills!T16*(1+Inputs!$B$33/100))+MIN((Skills!T16*(1+Inputs!$B$33/100)),MAX(0,Inputs!$B$35-((S929-1)*Skills!D16))))/Inputs!$B$35),IF(Inputs!$B$4="pvp",MIN((Skills!T16*(1+Inputs!$B$33/100)),15)/15,(Skills!T16*(1+Inputs!$B$33/100))/Skills!D16)))+0)/100)</f>
        <v/>
      </c>
    </row>
    <row r="942">
      <c r="A942" t="inlineStr">
        <is>
          <t>Global Crit Rate Bonus % (Lord of Darkness)</t>
        </is>
      </c>
      <c r="B942">
        <f>((C931=TRUE)*F931*(Skills!J18/100)*IF(AND(Inputs!$B$4&lt;&gt;"pvp",Inputs!$B$35&gt;0),(((S931-1)*(Skills!T18*(1+Inputs!$B$33/100))+MIN((Skills!T18*(1+Inputs!$B$33/100)),MAX(0,Inputs!$B$35-((S931-1)*Skills!D18))))/Inputs!$B$35),IF(Inputs!$B$4="pvp",MIN((Skills!T18*(1+Inputs!$B$33/100)),15)/15,(Skills!T18*(1+Inputs!$B$33/100))/Skills!D18)))</f>
        <v/>
      </c>
    </row>
    <row r="943">
      <c r="A943" t="inlineStr">
        <is>
          <t>Attack Speed Buff Bonus %</t>
        </is>
      </c>
      <c r="B943">
        <f>((C933=TRUE)*F933*IF(AND(Inputs!$B$4&lt;&gt;"pvp",Inputs!$B$35&gt;0),(((S933-1)*(Skills!T20*(1+Inputs!$B$33/100))+MIN((Skills!T20*(1+Inputs!$B$33/100)),MAX(0,Inputs!$B$35-((S933-1)*Skills!D20))))/Inputs!$B$35),IF(Inputs!$B$4="pvp",MIN((Skills!T20*(1+Inputs!$B$33/100)),15)/15,(Skills!T20*(1+Inputs!$B$33/100))/Skills!D20)))</f>
        <v/>
      </c>
    </row>
    <row r="944">
      <c r="A944" t="inlineStr">
        <is>
          <t>Actions Per Second</t>
        </is>
      </c>
      <c r="B944">
        <f>1+MIN(150,150*(1-(1-(Inputs!$B$10+((C934=TRUE)*(F934-Calc!F21)))/150)*(1-B943/150)))/100</f>
        <v/>
      </c>
    </row>
    <row r="945">
      <c r="A945" t="inlineStr">
        <is>
          <t>Skill + Buff Cast Rate</t>
        </is>
      </c>
      <c r="B945">
        <f>IF(AND(Inputs!$B$4&lt;&gt;"pvp",Inputs!$B$35&gt;0),SUMPRODUCT((Skills!E2:E26=TRUE)*(C915:C939=TRUE)*R915:R939*Skills!F2:F26)/Inputs!$B$35,SUMPRODUCT((Skills!E2:E26=TRUE)*(C915:C939=TRUE)*Q915:Q939*Skills!F2:F26))</f>
        <v/>
      </c>
    </row>
    <row r="946">
      <c r="A946" t="inlineStr">
        <is>
          <t>Dark Impale Casts Per Second</t>
        </is>
      </c>
      <c r="B946">
        <f>MAX(0,B944-B945)</f>
        <v/>
      </c>
    </row>
    <row r="947">
      <c r="A947" t="inlineStr">
        <is>
          <t>Global Critical Damage Bonus % (Lord of Darkness)</t>
        </is>
      </c>
      <c r="B947">
        <f>((C932=TRUE)*F932*(Skills!J19/100)*IF(AND(Inputs!$B$4&lt;&gt;"pvp",Inputs!$B$35&gt;0),(((S932-1)*(Skills!T19*(1+Inputs!$B$33/100))+MIN((Skills!T19*(1+Inputs!$B$33/100)),MAX(0,Inputs!$B$35-((S932-1)*Skills!D19))))/Inputs!$B$35),IF(Inputs!$B$4="pvp",MIN((Skills!T19*(1+Inputs!$B$33/100)),15)/15,(Skills!T19*(1+Inputs!$B$33/100))/Skills!D19)))</f>
        <v/>
      </c>
    </row>
    <row r="948">
      <c r="A948" t="inlineStr">
        <is>
          <t>Global Final Damage Bonus % (unused)</t>
        </is>
      </c>
      <c r="B948" t="n">
        <v>0</v>
      </c>
    </row>
    <row r="950">
      <c r="A950" s="5" t="inlineStr">
        <is>
          <t>TOTAL DPS</t>
        </is>
      </c>
      <c r="B950" s="5">
        <f>SUM(O915:O939)</f>
        <v/>
      </c>
    </row>
    <row r="953">
      <c r="A953" s="5" t="inlineStr">
        <is>
          <t>Stat: Skill Cooldown Decrease (seconds)</t>
        </is>
      </c>
    </row>
    <row r="954">
      <c r="A954" s="8" t="inlineStr">
        <is>
          <t>Key</t>
        </is>
      </c>
      <c r="B954" s="8" t="inlineStr">
        <is>
          <t>Name</t>
        </is>
      </c>
      <c r="C954" s="8" t="inlineStr">
        <is>
          <t>Unlocked</t>
        </is>
      </c>
      <c r="D954" s="8" t="inlineStr">
        <is>
          <t>InputLevel</t>
        </is>
      </c>
      <c r="E954" s="8" t="inlineStr">
        <is>
          <t>Factor</t>
        </is>
      </c>
      <c r="F954" s="8" t="inlineStr">
        <is>
          <t>CoefficientPercent</t>
        </is>
      </c>
      <c r="G954" s="8" t="inlineStr">
        <is>
          <t>EffectiveHits</t>
        </is>
      </c>
      <c r="H954" s="8" t="inlineStr">
        <is>
          <t>ProcProbability</t>
        </is>
      </c>
      <c r="I954" s="8" t="inlineStr">
        <is>
          <t>MapleHeroMultiplier</t>
        </is>
      </c>
      <c r="J954" s="8" t="inlineStr">
        <is>
          <t>BaseDamage</t>
        </is>
      </c>
      <c r="K954" s="8" t="inlineStr">
        <is>
          <t>BaseHitDamage</t>
        </is>
      </c>
      <c r="L954" s="8" t="inlineStr">
        <is>
          <t>NonCritAvg</t>
        </is>
      </c>
      <c r="M954" s="8" t="inlineStr">
        <is>
          <t>CritAvg</t>
        </is>
      </c>
      <c r="N954" s="8" t="inlineStr">
        <is>
          <t>ExpectedDamage(perHit)</t>
        </is>
      </c>
      <c r="O954" s="8" t="inlineStr">
        <is>
          <t>DPS</t>
        </is>
      </c>
      <c r="P954" s="8" t="inlineStr">
        <is>
          <t>% of Total</t>
        </is>
      </c>
      <c r="Q954" s="8" t="inlineStr">
        <is>
          <t>InvCooldown</t>
        </is>
      </c>
      <c r="R954" s="8" t="inlineStr">
        <is>
          <t>CastsInFight</t>
        </is>
      </c>
      <c r="S954" s="8" t="inlineStr">
        <is>
          <t>HitRate(perSec)</t>
        </is>
      </c>
      <c r="U954" t="inlineStr">
        <is>
          <t>helpers</t>
        </is>
      </c>
    </row>
    <row r="955">
      <c r="A955">
        <f>Skills!A2</f>
        <v/>
      </c>
      <c r="B955">
        <f>Skills!B2</f>
        <v/>
      </c>
      <c r="C955">
        <f>Inputs!$B$3&gt;=100</f>
        <v/>
      </c>
      <c r="D955" t="inlineStr"/>
      <c r="E955" t="inlineStr"/>
      <c r="F955">
        <f>U957+Skills!O2</f>
        <v/>
      </c>
      <c r="G955">
        <f>Skills!G2*IF(Skills!H2&gt;0,Skills!I2/Skills!H2,1)</f>
        <v/>
      </c>
      <c r="H955">
        <f>1-(1-Skills!J2/100)^Skills!K2</f>
        <v/>
      </c>
      <c r="I955" t="inlineStr">
        <is>
          <t>1</t>
        </is>
      </c>
      <c r="J955">
        <f>(Inputs!$B$5*(1+Inputs!$B$6/100))*(F955/100)</f>
        <v/>
      </c>
      <c r="K955">
        <f>J955*(1+((Inputs!$B$11*(1+Inputs!$B$12/100))*0.01+Inputs!$B$13*0.0025)/100)*(1+Inputs!$B$14/100)*(1+IF(Inputs!$B$4="pvp",0,(1-Summary!$B$55)*(Inputs!$B$19+0+Skills!P2+((C970=TRUE)*F970*IF(AND(Inputs!$B$4&lt;&gt;"pvp",Inputs!$B$35&gt;0),(((S970-1)*(Skills!T17*(1+Inputs!$B$33/100))+MIN((Skills!T17*(1+Inputs!$B$33/100)),MAX(0,Inputs!$B$35-((S970-1)*Skills!D17))))/Inputs!$B$35),IF(Inputs!$B$4="pvp",MIN((Skills!T17*(1+Inputs!$B$33/100)),15)/15,(Skills!T17*(1+Inputs!$B$33/100))/Skills!D17)))+((C967=TRUE)*IF(Inputs!$B$4="pvp",20,(1-Summary!$B$55)*(20)+Summary!$B$55*(0))*IF(AND(Inputs!$B$4&lt;&gt;"pvp",Inputs!$B$35&gt;0),(((S967-1)*(Skills!T14*(1+Inputs!$B$33/100))+MIN((Skills!T14*(1+Inputs!$B$33/100)),MAX(0,Inputs!$B$35-((S967-1)*Skills!D14))))/Inputs!$B$35),IF(Inputs!$B$4="pvp",MIN((Skills!T14*(1+Inputs!$B$33/100)),15)/15,(Skills!T14*(1+Inputs!$B$33/100))/Skills!D14))))+Summary!$B$55*(Inputs!$B$20+Skills!Q2+((C970=TRUE)*F970*IF(AND(Inputs!$B$4&lt;&gt;"pvp",Inputs!$B$35&gt;0),(((S970-1)*(Skills!T17*(1+Inputs!$B$33/100))+MIN((Skills!T17*(1+Inputs!$B$33/100)),MAX(0,Inputs!$B$35-((S970-1)*Skills!D17))))/Inputs!$B$35),IF(Inputs!$B$4="pvp",MIN((Skills!T17*(1+Inputs!$B$33/100)),15)/15,(Skills!T17*(1+Inputs!$B$33/100))/Skills!D17)))))/100)*(1+Inputs!$B$15/100)*(5000/(6000+Inputs!$B$7*(1-(Inputs!$B$18+0)/100)))*(1+(Inputs!$B$23+((C978=TRUE)*(F978-Calc!F25))+((C979=TRUE)*(F979-Calc!F26))+B988)/100)*(1+(IF(Skills!A2="DARK_IMPALE",Inputs!$B$16+0,Inputs!$B$17+((C976=TRUE)*(F976-Calc!F23))))/100)*((1+(((C966=TRUE)*F966*IF(AND(Inputs!$B$4&lt;&gt;"pvp",Inputs!$B$35&gt;0),(((S966-1)*(Skills!T13*(1+Inputs!$B$33/100))+MIN((Skills!T13*(1+Inputs!$B$33/100)),MAX(0,Inputs!$B$35-((S966-1)*Skills!D13))))/Inputs!$B$35),IF(Inputs!$B$4="pvp",MIN((Skills!T13*(1+Inputs!$B$33/100)),15)/15,(Skills!T13*(1+Inputs!$B$33/100))/Skills!D13)))+((C967=TRUE)*F967*IF(AND(Inputs!$B$4&lt;&gt;"pvp",Inputs!$B$35&gt;0),(((S967-1)*(Skills!T14*(1+Inputs!$B$33/100))+MIN((Skills!T14*(1+Inputs!$B$33/100)),MAX(0,Inputs!$B$35-((S967-1)*Skills!D14))))/Inputs!$B$35),IF(Inputs!$B$4="pvp",MIN((Skills!T14*(1+Inputs!$B$33/100)),15)/15,(Skills!T14*(1+Inputs!$B$33/100))/Skills!D14)))+((C968=TRUE)*F968*IF(AND(Inputs!$B$4&lt;&gt;"pvp",Inputs!$B$35&gt;0),(((S968-1)*(Skills!T15*(1+Inputs!$B$33/100))+MIN((Skills!T15*(1+Inputs!$B$33/100)),MAX(0,Inputs!$B$35-((S968-1)*Skills!D15))))/Inputs!$B$35),IF(Inputs!$B$4="pvp",MIN((Skills!T15*(1+Inputs!$B$33/100)),15)/15,(Skills!T15*(1+Inputs!$B$33/100))/Skills!D15)))+((C969=TRUE)*F969*IF(AND(Inputs!$B$4&lt;&gt;"pvp",Inputs!$B$35&gt;0),(((S969-1)*(Skills!T16*(1+Inputs!$B$33/100))+MIN((Skills!T16*(1+Inputs!$B$33/100)),MAX(0,Inputs!$B$35-((S969-1)*Skills!D16))))/Inputs!$B$35),IF(Inputs!$B$4="pvp",MIN((Skills!T16*(1+Inputs!$B$33/100)),15)/15,(Skills!T16*(1+Inputs!$B$33/100))/Skills!D16)))+0)/100)*I955)</f>
        <v/>
      </c>
      <c r="L955">
        <f>K955*(MIN(Inputs!$B$21+((C975=TRUE)*(F975-Calc!F22)),Inputs!$B$22+((C977=TRUE)*(F977-Calc!F24)))/100+(Inputs!$B$22+((C977=TRUE)*(F977-Calc!F24)))/100)/2</f>
        <v/>
      </c>
      <c r="M955">
        <f>L955*(1+(Inputs!$B$9+0+B987)/100)</f>
        <v/>
      </c>
      <c r="N955">
        <f>L955*(1-MIN((Inputs!$B$8+0+B982),100)/100)+M955*(MIN((Inputs!$B$8+0+B982),100)/100)</f>
        <v/>
      </c>
      <c r="O955">
        <f>IF(C955,Skills!G2*N955*B986*IF(Inputs!$B$4="pvp",1,(1-Summary!$B$55)*(1)+Summary!$B$55*(MIN((6+Inputs!$B$32),Inputs!$B$37))),0)</f>
        <v/>
      </c>
      <c r="P955">
        <f>IF(B990=0,0,O955/B990)</f>
        <v/>
      </c>
      <c r="Q955" t="n">
        <v>0</v>
      </c>
      <c r="R955" t="n">
        <v>0</v>
      </c>
      <c r="S955">
        <f>IFERROR(O955/N955,0)</f>
        <v/>
      </c>
      <c r="U955">
        <f>MAX(0,(Inputs!$B$3-100)*3)+Inputs!$B$27+Inputs!$B$28</f>
        <v/>
      </c>
    </row>
    <row r="956">
      <c r="A956">
        <f>Skills!A3</f>
        <v/>
      </c>
      <c r="B956">
        <f>Skills!B3</f>
        <v/>
      </c>
      <c r="C956">
        <f>Inputs!$B$3&gt;=50</f>
        <v/>
      </c>
      <c r="D956">
        <f>IF(Skills!C3=1,60+Inputs!$B$24+Inputs!$B$28,IF(Skills!C3=2,90+Inputs!$B$25+Inputs!$B$28,IF(Skills!C3=3,120+Inputs!$B$26+Inputs!$B$28,MAX(0,(Inputs!$B$3-100)*3)+Inputs!$B$27+Inputs!$B$28)))</f>
        <v/>
      </c>
      <c r="E956">
        <f>INDEX(FactorTable!$B$2:$Y$301, MATCH(ROUND(MIN(300,MAX(1,D956)),0), FactorTable!$A$2:$A$301,0), Skills!M3+1)</f>
        <v/>
      </c>
      <c r="F956">
        <f>IF(Skills!N3=TRUE,(Skills!L3/10)*(E956/1000),Skills!L3/10)+Skills!O3</f>
        <v/>
      </c>
      <c r="G956" t="inlineStr"/>
      <c r="H956" t="inlineStr"/>
      <c r="I956" t="inlineStr">
        <is>
          <t>1</t>
        </is>
      </c>
      <c r="J956" t="inlineStr"/>
      <c r="K956" t="inlineStr"/>
      <c r="L956" t="inlineStr"/>
      <c r="M956" t="inlineStr"/>
      <c r="N956" t="inlineStr"/>
      <c r="O956" t="inlineStr"/>
      <c r="P956" t="inlineStr"/>
      <c r="Q956" t="inlineStr"/>
      <c r="R956" t="inlineStr"/>
      <c r="S956" t="inlineStr"/>
      <c r="U956">
        <f>INDEX(FactorTable!$B$2:$Y$301, MATCH(ROUND(MIN(300,MAX(1,U955)),0), FactorTable!$A$2:$A$301,0), 22)</f>
        <v/>
      </c>
    </row>
    <row r="957">
      <c r="A957">
        <f>Skills!A4</f>
        <v/>
      </c>
      <c r="B957">
        <f>Skills!B4</f>
        <v/>
      </c>
      <c r="C957">
        <f>Inputs!$B$3&gt;=105</f>
        <v/>
      </c>
      <c r="D957">
        <f>IF(Skills!C4=1,60+Inputs!$B$24+Inputs!$B$28,IF(Skills!C4=2,90+Inputs!$B$25+Inputs!$B$28,IF(Skills!C4=3,120+Inputs!$B$26+Inputs!$B$28,MAX(0,(Inputs!$B$3-100)*3)+Inputs!$B$27+Inputs!$B$28)))</f>
        <v/>
      </c>
      <c r="E957">
        <f>INDEX(FactorTable!$B$2:$Y$301, MATCH(ROUND(MIN(300,MAX(1,D957)),0), FactorTable!$A$2:$A$301,0), Skills!M4+1)</f>
        <v/>
      </c>
      <c r="F957">
        <f>IF(Skills!N4=TRUE,(Skills!L4/10)*(E957/1000),Skills!L4/10)+Skills!O4</f>
        <v/>
      </c>
      <c r="G957" t="inlineStr"/>
      <c r="H957" t="inlineStr"/>
      <c r="I957" t="inlineStr">
        <is>
          <t>1</t>
        </is>
      </c>
      <c r="J957" t="inlineStr"/>
      <c r="K957" t="inlineStr"/>
      <c r="L957" t="inlineStr"/>
      <c r="M957" t="inlineStr"/>
      <c r="N957" t="inlineStr"/>
      <c r="O957" t="inlineStr"/>
      <c r="P957" t="inlineStr"/>
      <c r="Q957" t="inlineStr"/>
      <c r="R957" t="inlineStr"/>
      <c r="S957" t="inlineStr"/>
      <c r="U957">
        <f>290*U956/1000</f>
        <v/>
      </c>
    </row>
    <row r="958">
      <c r="A958">
        <f>Skills!A5</f>
        <v/>
      </c>
      <c r="B958">
        <f>Skills!B5</f>
        <v/>
      </c>
      <c r="C958">
        <f>Inputs!$B$3&gt;=117</f>
        <v/>
      </c>
      <c r="D958">
        <f>IF(Skills!C5=1,60+Inputs!$B$24+Inputs!$B$28,IF(Skills!C5=2,90+Inputs!$B$25+Inputs!$B$28,IF(Skills!C5=3,120+Inputs!$B$26+Inputs!$B$28,MAX(0,(Inputs!$B$3-100)*3)+Inputs!$B$27+Inputs!$B$28)))</f>
        <v/>
      </c>
      <c r="E958">
        <f>INDEX(FactorTable!$B$2:$Y$301, MATCH(ROUND(MIN(300,MAX(1,D958)),0), FactorTable!$A$2:$A$301,0), Skills!M5+1)</f>
        <v/>
      </c>
      <c r="F958">
        <f>IF(Skills!N5=TRUE,(Skills!L5/10)*(E958/1000),Skills!L5/10)+Skills!O5</f>
        <v/>
      </c>
      <c r="G958">
        <f>Skills!G5*IF(Skills!H5&gt;0,Skills!I5/Skills!H5,1)</f>
        <v/>
      </c>
      <c r="H958">
        <f>1-(1-Skills!J5/100)^Skills!K5</f>
        <v/>
      </c>
      <c r="I958" t="inlineStr">
        <is>
          <t>1</t>
        </is>
      </c>
      <c r="J958">
        <f>(Inputs!$B$5*(1+Inputs!$B$6/100))*(F958/100)</f>
        <v/>
      </c>
      <c r="K958">
        <f>J958*(1+((Inputs!$B$11*(1+Inputs!$B$12/100))*0.01+Inputs!$B$13*0.0025)/100)*(1+Inputs!$B$14/100)*(1+IF(Inputs!$B$4="pvp",0,(1-Summary!$B$55)*(Inputs!$B$19+0+Skills!P5+((C970=TRUE)*F970*IF(AND(Inputs!$B$4&lt;&gt;"pvp",Inputs!$B$35&gt;0),(((S970-1)*(Skills!T17*(1+Inputs!$B$33/100))+MIN((Skills!T17*(1+Inputs!$B$33/100)),MAX(0,Inputs!$B$35-((S970-1)*Skills!D17))))/Inputs!$B$35),IF(Inputs!$B$4="pvp",MIN((Skills!T17*(1+Inputs!$B$33/100)),15)/15,(Skills!T17*(1+Inputs!$B$33/100))/Skills!D17)))+((C967=TRUE)*IF(Inputs!$B$4="pvp",20,(1-Summary!$B$55)*(20)+Summary!$B$55*(0))*IF(AND(Inputs!$B$4&lt;&gt;"pvp",Inputs!$B$35&gt;0),(((S967-1)*(Skills!T14*(1+Inputs!$B$33/100))+MIN((Skills!T14*(1+Inputs!$B$33/100)),MAX(0,Inputs!$B$35-((S967-1)*Skills!D14))))/Inputs!$B$35),IF(Inputs!$B$4="pvp",MIN((Skills!T14*(1+Inputs!$B$33/100)),15)/15,(Skills!T14*(1+Inputs!$B$33/100))/Skills!D14))))+Summary!$B$55*(Inputs!$B$20+Skills!Q5+((C970=TRUE)*F970*IF(AND(Inputs!$B$4&lt;&gt;"pvp",Inputs!$B$35&gt;0),(((S970-1)*(Skills!T17*(1+Inputs!$B$33/100))+MIN((Skills!T17*(1+Inputs!$B$33/100)),MAX(0,Inputs!$B$35-((S970-1)*Skills!D17))))/Inputs!$B$35),IF(Inputs!$B$4="pvp",MIN((Skills!T17*(1+Inputs!$B$33/100)),15)/15,(Skills!T17*(1+Inputs!$B$33/100))/Skills!D17)))))/100)*(1+Inputs!$B$15/100)*(5000/(6000+Inputs!$B$7*(1-(Inputs!$B$18+0)/100)))*(1+(Inputs!$B$23+((C978=TRUE)*(F978-Calc!F25))+((C979=TRUE)*(F979-Calc!F26))+B988)/100)*(1+(IF(Skills!A5="DARK_IMPALE",Inputs!$B$16+0,Inputs!$B$17+((C976=TRUE)*(F976-Calc!F23))))/100)*((1+(((C966=TRUE)*F966*IF(AND(Inputs!$B$4&lt;&gt;"pvp",Inputs!$B$35&gt;0),(((S966-1)*(Skills!T13*(1+Inputs!$B$33/100))+MIN((Skills!T13*(1+Inputs!$B$33/100)),MAX(0,Inputs!$B$35-((S966-1)*Skills!D13))))/Inputs!$B$35),IF(Inputs!$B$4="pvp",MIN((Skills!T13*(1+Inputs!$B$33/100)),15)/15,(Skills!T13*(1+Inputs!$B$33/100))/Skills!D13)))+((C967=TRUE)*F967*IF(AND(Inputs!$B$4&lt;&gt;"pvp",Inputs!$B$35&gt;0),(((S967-1)*(Skills!T14*(1+Inputs!$B$33/100))+MIN((Skills!T14*(1+Inputs!$B$33/100)),MAX(0,Inputs!$B$35-((S967-1)*Skills!D14))))/Inputs!$B$35),IF(Inputs!$B$4="pvp",MIN((Skills!T14*(1+Inputs!$B$33/100)),15)/15,(Skills!T14*(1+Inputs!$B$33/100))/Skills!D14)))+((C968=TRUE)*F968*IF(AND(Inputs!$B$4&lt;&gt;"pvp",Inputs!$B$35&gt;0),(((S968-1)*(Skills!T15*(1+Inputs!$B$33/100))+MIN((Skills!T15*(1+Inputs!$B$33/100)),MAX(0,Inputs!$B$35-((S968-1)*Skills!D15))))/Inputs!$B$35),IF(Inputs!$B$4="pvp",MIN((Skills!T15*(1+Inputs!$B$33/100)),15)/15,(Skills!T15*(1+Inputs!$B$33/100))/Skills!D15)))+((C969=TRUE)*F969*IF(AND(Inputs!$B$4&lt;&gt;"pvp",Inputs!$B$35&gt;0),(((S969-1)*(Skills!T16*(1+Inputs!$B$33/100))+MIN((Skills!T16*(1+Inputs!$B$33/100)),MAX(0,Inputs!$B$35-((S969-1)*Skills!D16))))/Inputs!$B$35),IF(Inputs!$B$4="pvp",MIN((Skills!T16*(1+Inputs!$B$33/100)),15)/15,(Skills!T16*(1+Inputs!$B$33/100))/Skills!D16)))+0)/100)*I958)</f>
        <v/>
      </c>
      <c r="L958">
        <f>K958*(MIN(Inputs!$B$21+((C975=TRUE)*(F975-Calc!F22)),Inputs!$B$22+((C977=TRUE)*(F977-Calc!F24)))/100+(Inputs!$B$22+((C977=TRUE)*(F977-Calc!F24)))/100)/2</f>
        <v/>
      </c>
      <c r="M958">
        <f>L958*(1+(Inputs!$B$9+0+B987)/100)</f>
        <v/>
      </c>
      <c r="N958">
        <f>L958*(1-MIN((Inputs!$B$8+0+B982),100)/100)+M958*(MIN((Inputs!$B$8+0+B982),100)/100)</f>
        <v/>
      </c>
      <c r="O958">
        <f>IF(C958,H958*N958*IF(AND(Inputs!$B$4&lt;&gt;"pvp",Inputs!$B$35&gt;0),((Skills!G5*((R958-1)*IF(Skills!H5&gt;0,Skills!I5/Skills!H5,1)+IF(Skills!H5&gt;0,MIN(Skills!I5,MAX(0,Inputs!$B$35-((R958-1)*IF(Inputs!$B$4="pvp",15,MAX(0.1,Skills!D5-IF(Skills!E5=TRUE,(Inputs!$B$31+1),0))))))/Skills!H5,1)))/Inputs!$B$35),G958*Q958)*IF(Inputs!$B$4="pvp",1,(1-Summary!$B$55)*(1)+Summary!$B$55*(MIN(Skills!R5,Inputs!$B$37))),0)</f>
        <v/>
      </c>
      <c r="P958">
        <f>IF(B990=0,0,O958/B990)</f>
        <v/>
      </c>
      <c r="Q958">
        <f>IFERROR(1/IF(Inputs!$B$4="pvp",15,MAX(0.1,Skills!D5-IF(Skills!E5=TRUE,(Inputs!$B$31+1),0))),0)</f>
        <v/>
      </c>
      <c r="R958">
        <f>IF(AND(Inputs!$B$4&lt;&gt;"pvp",Inputs!$B$35&gt;0),(INT(Inputs!$B$35/IF(Inputs!$B$4="pvp",15,MAX(0.1,Skills!D5-IF(Skills!E5=TRUE,(Inputs!$B$31+1),0))))+1),0)</f>
        <v/>
      </c>
      <c r="S958">
        <f>IFERROR(O958/N958,0)</f>
        <v/>
      </c>
    </row>
    <row r="959">
      <c r="A959">
        <f>Skills!A6</f>
        <v/>
      </c>
      <c r="B959">
        <f>Skills!B6</f>
        <v/>
      </c>
      <c r="C959">
        <f>Inputs!$B$3&gt;=103</f>
        <v/>
      </c>
      <c r="D959">
        <f>IF(Skills!C6=1,60+Inputs!$B$24+Inputs!$B$28,IF(Skills!C6=2,90+Inputs!$B$25+Inputs!$B$28,IF(Skills!C6=3,120+Inputs!$B$26+Inputs!$B$28,MAX(0,(Inputs!$B$3-100)*3)+Inputs!$B$27+Inputs!$B$28)))</f>
        <v/>
      </c>
      <c r="E959">
        <f>INDEX(FactorTable!$B$2:$Y$301, MATCH(ROUND(MIN(300,MAX(1,D959)),0), FactorTable!$A$2:$A$301,0), Skills!M6+1)</f>
        <v/>
      </c>
      <c r="F959">
        <f>IF(Skills!N6=TRUE,(Skills!L6/10)*(E959/1000),Skills!L6/10)+Skills!O6</f>
        <v/>
      </c>
      <c r="G959">
        <f>Skills!G6*IF(Skills!H6&gt;0,Skills!I6/Skills!H6,1)</f>
        <v/>
      </c>
      <c r="H959">
        <f>1-(1-Skills!J6/100)^Skills!K6</f>
        <v/>
      </c>
      <c r="I959" t="inlineStr">
        <is>
          <t>1</t>
        </is>
      </c>
      <c r="J959">
        <f>(Inputs!$B$5*(1+Inputs!$B$6/100))*(F959/100)</f>
        <v/>
      </c>
      <c r="K959">
        <f>J959*(1+((Inputs!$B$11*(1+Inputs!$B$12/100))*0.01+Inputs!$B$13*0.0025)/100)*(1+Inputs!$B$14/100)*(1+IF(Inputs!$B$4="pvp",0,(1-Summary!$B$55)*(Inputs!$B$19+0+Skills!P6+((C970=TRUE)*F970*IF(AND(Inputs!$B$4&lt;&gt;"pvp",Inputs!$B$35&gt;0),(((S970-1)*(Skills!T17*(1+Inputs!$B$33/100))+MIN((Skills!T17*(1+Inputs!$B$33/100)),MAX(0,Inputs!$B$35-((S970-1)*Skills!D17))))/Inputs!$B$35),IF(Inputs!$B$4="pvp",MIN((Skills!T17*(1+Inputs!$B$33/100)),15)/15,(Skills!T17*(1+Inputs!$B$33/100))/Skills!D17)))+((C967=TRUE)*IF(Inputs!$B$4="pvp",20,(1-Summary!$B$55)*(20)+Summary!$B$55*(0))*IF(AND(Inputs!$B$4&lt;&gt;"pvp",Inputs!$B$35&gt;0),(((S967-1)*(Skills!T14*(1+Inputs!$B$33/100))+MIN((Skills!T14*(1+Inputs!$B$33/100)),MAX(0,Inputs!$B$35-((S967-1)*Skills!D14))))/Inputs!$B$35),IF(Inputs!$B$4="pvp",MIN((Skills!T14*(1+Inputs!$B$33/100)),15)/15,(Skills!T14*(1+Inputs!$B$33/100))/Skills!D14))))+Summary!$B$55*(Inputs!$B$20+Skills!Q6+((C970=TRUE)*F970*IF(AND(Inputs!$B$4&lt;&gt;"pvp",Inputs!$B$35&gt;0),(((S970-1)*(Skills!T17*(1+Inputs!$B$33/100))+MIN((Skills!T17*(1+Inputs!$B$33/100)),MAX(0,Inputs!$B$35-((S970-1)*Skills!D17))))/Inputs!$B$35),IF(Inputs!$B$4="pvp",MIN((Skills!T17*(1+Inputs!$B$33/100)),15)/15,(Skills!T17*(1+Inputs!$B$33/100))/Skills!D17)))))/100)*(1+Inputs!$B$15/100)*(5000/(6000+Inputs!$B$7*(1-(Inputs!$B$18+0)/100)))*(1+(Inputs!$B$23+((C978=TRUE)*(F978-Calc!F25))+((C979=TRUE)*(F979-Calc!F26))+B988)/100)*(1+(IF(Skills!A6="DARK_IMPALE",Inputs!$B$16+0,Inputs!$B$17+((C976=TRUE)*(F976-Calc!F23))))/100)*((1+(((C966=TRUE)*F966*IF(AND(Inputs!$B$4&lt;&gt;"pvp",Inputs!$B$35&gt;0),(((S966-1)*(Skills!T13*(1+Inputs!$B$33/100))+MIN((Skills!T13*(1+Inputs!$B$33/100)),MAX(0,Inputs!$B$35-((S966-1)*Skills!D13))))/Inputs!$B$35),IF(Inputs!$B$4="pvp",MIN((Skills!T13*(1+Inputs!$B$33/100)),15)/15,(Skills!T13*(1+Inputs!$B$33/100))/Skills!D13)))+((C967=TRUE)*F967*IF(AND(Inputs!$B$4&lt;&gt;"pvp",Inputs!$B$35&gt;0),(((S967-1)*(Skills!T14*(1+Inputs!$B$33/100))+MIN((Skills!T14*(1+Inputs!$B$33/100)),MAX(0,Inputs!$B$35-((S967-1)*Skills!D14))))/Inputs!$B$35),IF(Inputs!$B$4="pvp",MIN((Skills!T14*(1+Inputs!$B$33/100)),15)/15,(Skills!T14*(1+Inputs!$B$33/100))/Skills!D14)))+((C968=TRUE)*F968*IF(AND(Inputs!$B$4&lt;&gt;"pvp",Inputs!$B$35&gt;0),(((S968-1)*(Skills!T15*(1+Inputs!$B$33/100))+MIN((Skills!T15*(1+Inputs!$B$33/100)),MAX(0,Inputs!$B$35-((S968-1)*Skills!D15))))/Inputs!$B$35),IF(Inputs!$B$4="pvp",MIN((Skills!T15*(1+Inputs!$B$33/100)),15)/15,(Skills!T15*(1+Inputs!$B$33/100))/Skills!D15)))+((C969=TRUE)*F969*IF(AND(Inputs!$B$4&lt;&gt;"pvp",Inputs!$B$35&gt;0),(((S969-1)*(Skills!T16*(1+Inputs!$B$33/100))+MIN((Skills!T16*(1+Inputs!$B$33/100)),MAX(0,Inputs!$B$35-((S969-1)*Skills!D16))))/Inputs!$B$35),IF(Inputs!$B$4="pvp",MIN((Skills!T16*(1+Inputs!$B$33/100)),15)/15,(Skills!T16*(1+Inputs!$B$33/100))/Skills!D16)))+0)/100)*I959)</f>
        <v/>
      </c>
      <c r="L959">
        <f>K959*(MIN(Inputs!$B$21+((C975=TRUE)*(F975-Calc!F22)),Inputs!$B$22+((C977=TRUE)*(F977-Calc!F24)))/100+(Inputs!$B$22+((C977=TRUE)*(F977-Calc!F24)))/100)/2</f>
        <v/>
      </c>
      <c r="M959">
        <f>L959*(1+(Inputs!$B$9+0+B987)/100)</f>
        <v/>
      </c>
      <c r="N959">
        <f>L959*(1-MIN((Inputs!$B$8+0+B982),100)/100)+M959*(MIN((Inputs!$B$8+0+B982),100)/100)</f>
        <v/>
      </c>
      <c r="O959">
        <f>IF(C959,H959*N959*IF(AND(Inputs!$B$4&lt;&gt;"pvp",Inputs!$B$35&gt;0),((Skills!G6*((R959-1)*IF(Skills!H6&gt;0,Skills!I6/Skills!H6,1)+IF(Skills!H6&gt;0,MIN(Skills!I6,MAX(0,Inputs!$B$35-((R959-1)*IF(Inputs!$B$4="pvp",15,MAX(0.1,Skills!D6-IF(Skills!E6=TRUE,(Inputs!$B$31+1),0))))))/Skills!H6,1)))/Inputs!$B$35),G959*Q959)*IF(Inputs!$B$4="pvp",1,(1-Summary!$B$55)*(1)+Summary!$B$55*(MIN(Skills!R6,Inputs!$B$37))),0)</f>
        <v/>
      </c>
      <c r="P959">
        <f>IF(B990=0,0,O959/B990)</f>
        <v/>
      </c>
      <c r="Q959">
        <f>IFERROR(1/IF(Inputs!$B$4="pvp",15,MAX(0.1,Skills!D6-IF(Skills!E6=TRUE,(Inputs!$B$31+1),0))),0)</f>
        <v/>
      </c>
      <c r="R959">
        <f>IF(AND(Inputs!$B$4&lt;&gt;"pvp",Inputs!$B$35&gt;0),(INT(Inputs!$B$35/IF(Inputs!$B$4="pvp",15,MAX(0.1,Skills!D6-IF(Skills!E6=TRUE,(Inputs!$B$31+1),0))))+1),0)</f>
        <v/>
      </c>
      <c r="S959">
        <f>IFERROR(O959/N959,0)</f>
        <v/>
      </c>
    </row>
    <row r="960">
      <c r="A960">
        <f>Skills!A7</f>
        <v/>
      </c>
      <c r="B960">
        <f>Skills!B7</f>
        <v/>
      </c>
      <c r="C960">
        <f>Inputs!$B$3&gt;=40</f>
        <v/>
      </c>
      <c r="D960">
        <f>IF(Skills!C7=1,60+Inputs!$B$24+Inputs!$B$28,IF(Skills!C7=2,90+Inputs!$B$25+Inputs!$B$28,IF(Skills!C7=3,120+Inputs!$B$26+Inputs!$B$28,MAX(0,(Inputs!$B$3-100)*3)+Inputs!$B$27+Inputs!$B$28)))</f>
        <v/>
      </c>
      <c r="E960">
        <f>INDEX(FactorTable!$B$2:$Y$301, MATCH(ROUND(MIN(300,MAX(1,D960)),0), FactorTable!$A$2:$A$301,0), Skills!M7+1)</f>
        <v/>
      </c>
      <c r="F960">
        <f>IF(Skills!N7=TRUE,(Skills!L7/10)*(E960/1000),Skills!L7/10)+Skills!O7</f>
        <v/>
      </c>
      <c r="G960">
        <f>Skills!G7*IF(Skills!H7&gt;0,Skills!I7/Skills!H7,1)</f>
        <v/>
      </c>
      <c r="H960">
        <f>1-(1-Skills!J7/100)^Skills!K7</f>
        <v/>
      </c>
      <c r="I960" t="inlineStr">
        <is>
          <t>1</t>
        </is>
      </c>
      <c r="J960">
        <f>(Inputs!$B$5*(1+Inputs!$B$6/100))*(F960/100)</f>
        <v/>
      </c>
      <c r="K960">
        <f>J960*(1+((Inputs!$B$11*(1+Inputs!$B$12/100))*0.01+Inputs!$B$13*0.0025)/100)*(1+Inputs!$B$14/100)*(1+IF(Inputs!$B$4="pvp",0,(1-Summary!$B$55)*(Inputs!$B$19+0+Skills!P7+((C970=TRUE)*F970*IF(AND(Inputs!$B$4&lt;&gt;"pvp",Inputs!$B$35&gt;0),(((S970-1)*(Skills!T17*(1+Inputs!$B$33/100))+MIN((Skills!T17*(1+Inputs!$B$33/100)),MAX(0,Inputs!$B$35-((S970-1)*Skills!D17))))/Inputs!$B$35),IF(Inputs!$B$4="pvp",MIN((Skills!T17*(1+Inputs!$B$33/100)),15)/15,(Skills!T17*(1+Inputs!$B$33/100))/Skills!D17)))+((C967=TRUE)*IF(Inputs!$B$4="pvp",20,(1-Summary!$B$55)*(20)+Summary!$B$55*(0))*IF(AND(Inputs!$B$4&lt;&gt;"pvp",Inputs!$B$35&gt;0),(((S967-1)*(Skills!T14*(1+Inputs!$B$33/100))+MIN((Skills!T14*(1+Inputs!$B$33/100)),MAX(0,Inputs!$B$35-((S967-1)*Skills!D14))))/Inputs!$B$35),IF(Inputs!$B$4="pvp",MIN((Skills!T14*(1+Inputs!$B$33/100)),15)/15,(Skills!T14*(1+Inputs!$B$33/100))/Skills!D14))))+Summary!$B$55*(Inputs!$B$20+Skills!Q7+((C970=TRUE)*F970*IF(AND(Inputs!$B$4&lt;&gt;"pvp",Inputs!$B$35&gt;0),(((S970-1)*(Skills!T17*(1+Inputs!$B$33/100))+MIN((Skills!T17*(1+Inputs!$B$33/100)),MAX(0,Inputs!$B$35-((S970-1)*Skills!D17))))/Inputs!$B$35),IF(Inputs!$B$4="pvp",MIN((Skills!T17*(1+Inputs!$B$33/100)),15)/15,(Skills!T17*(1+Inputs!$B$33/100))/Skills!D17)))))/100)*(1+Inputs!$B$15/100)*(5000/(6000+Inputs!$B$7*(1-(Inputs!$B$18+0)/100)))*(1+(Inputs!$B$23+((C978=TRUE)*(F978-Calc!F25))+((C979=TRUE)*(F979-Calc!F26))+B988)/100)*(1+0.75*IF(C964=TRUE,F964,0)/100)*(1+(IF(Skills!A7="DARK_IMPALE",Inputs!$B$16+0,Inputs!$B$17+((C976=TRUE)*(F976-Calc!F23))))/100)*((1+(((C966=TRUE)*F966*IF(AND(Inputs!$B$4&lt;&gt;"pvp",Inputs!$B$35&gt;0),(((S966-1)*(Skills!T13*(1+Inputs!$B$33/100))+MIN((Skills!T13*(1+Inputs!$B$33/100)),MAX(0,Inputs!$B$35-((S966-1)*Skills!D13))))/Inputs!$B$35),IF(Inputs!$B$4="pvp",MIN((Skills!T13*(1+Inputs!$B$33/100)),15)/15,(Skills!T13*(1+Inputs!$B$33/100))/Skills!D13)))+((C967=TRUE)*F967*IF(AND(Inputs!$B$4&lt;&gt;"pvp",Inputs!$B$35&gt;0),(((S967-1)*(Skills!T14*(1+Inputs!$B$33/100))+MIN((Skills!T14*(1+Inputs!$B$33/100)),MAX(0,Inputs!$B$35-((S967-1)*Skills!D14))))/Inputs!$B$35),IF(Inputs!$B$4="pvp",MIN((Skills!T14*(1+Inputs!$B$33/100)),15)/15,(Skills!T14*(1+Inputs!$B$33/100))/Skills!D14)))+((C968=TRUE)*F968*IF(AND(Inputs!$B$4&lt;&gt;"pvp",Inputs!$B$35&gt;0),(((S968-1)*(Skills!T15*(1+Inputs!$B$33/100))+MIN((Skills!T15*(1+Inputs!$B$33/100)),MAX(0,Inputs!$B$35-((S968-1)*Skills!D15))))/Inputs!$B$35),IF(Inputs!$B$4="pvp",MIN((Skills!T15*(1+Inputs!$B$33/100)),15)/15,(Skills!T15*(1+Inputs!$B$33/100))/Skills!D15)))+((C969=TRUE)*F969*IF(AND(Inputs!$B$4&lt;&gt;"pvp",Inputs!$B$35&gt;0),(((S969-1)*(Skills!T16*(1+Inputs!$B$33/100))+MIN((Skills!T16*(1+Inputs!$B$33/100)),MAX(0,Inputs!$B$35-((S969-1)*Skills!D16))))/Inputs!$B$35),IF(Inputs!$B$4="pvp",MIN((Skills!T16*(1+Inputs!$B$33/100)),15)/15,(Skills!T16*(1+Inputs!$B$33/100))/Skills!D16)))+0)/100)*I960)</f>
        <v/>
      </c>
      <c r="L960">
        <f>K960*(MIN(Inputs!$B$21+((C975=TRUE)*(F975-Calc!F22)),Inputs!$B$22+((C977=TRUE)*(F977-Calc!F24)))/100+(Inputs!$B$22+((C977=TRUE)*(F977-Calc!F24)))/100)/2</f>
        <v/>
      </c>
      <c r="M960">
        <f>L960*(1+(Inputs!$B$9+0+B987)/100)</f>
        <v/>
      </c>
      <c r="N960">
        <f>L960*(1-MIN((Inputs!$B$8+0+B982),100)/100)+M960*(MIN((Inputs!$B$8+0+B982),100)/100)</f>
        <v/>
      </c>
      <c r="O960">
        <f>IF(C960,H960*N960*IF(AND(Inputs!$B$4&lt;&gt;"pvp",Inputs!$B$35&gt;0),((Skills!G7*((R960-1)*IF(Skills!H7&gt;0,Skills!I7/Skills!H7,1)+IF(Skills!H7&gt;0,MIN(Skills!I7,MAX(0,Inputs!$B$35-((R960-1)*IF(Inputs!$B$4="pvp",15,MAX(0.1,Skills!D7-IF(Skills!E7=TRUE,(Inputs!$B$31+1),0))))))/Skills!H7,1)))/Inputs!$B$35),G960*Q960)*IF(Inputs!$B$4="pvp",1,(1-Summary!$B$55)*(1)+Summary!$B$55*(MIN(Skills!R7,Inputs!$B$37))),0)</f>
        <v/>
      </c>
      <c r="P960">
        <f>IF(B990=0,0,O960/B990)</f>
        <v/>
      </c>
      <c r="Q960">
        <f>IFERROR(1/IF(Inputs!$B$4="pvp",15,MAX(0.1,Skills!D7-IF(Skills!E7=TRUE,(Inputs!$B$31+1),0))),0)</f>
        <v/>
      </c>
      <c r="R960">
        <f>IF(AND(Inputs!$B$4&lt;&gt;"pvp",Inputs!$B$35&gt;0),(INT(Inputs!$B$35/IF(Inputs!$B$4="pvp",15,MAX(0.1,Skills!D7-IF(Skills!E7=TRUE,(Inputs!$B$31+1),0))))+1),0)</f>
        <v/>
      </c>
      <c r="S960">
        <f>IFERROR(O960/N960,0)</f>
        <v/>
      </c>
    </row>
    <row r="961">
      <c r="A961">
        <f>Skills!A8</f>
        <v/>
      </c>
      <c r="B961">
        <f>Skills!B8</f>
        <v/>
      </c>
      <c r="C961">
        <f>Inputs!$B$3&gt;=75</f>
        <v/>
      </c>
      <c r="D961">
        <f>IF(Skills!C8=1,60+Inputs!$B$24+Inputs!$B$28,IF(Skills!C8=2,90+Inputs!$B$25+Inputs!$B$28,IF(Skills!C8=3,120+Inputs!$B$26+Inputs!$B$28,MAX(0,(Inputs!$B$3-100)*3)+Inputs!$B$27+Inputs!$B$28)))</f>
        <v/>
      </c>
      <c r="E961">
        <f>INDEX(FactorTable!$B$2:$Y$301, MATCH(ROUND(MIN(300,MAX(1,D961)),0), FactorTable!$A$2:$A$301,0), Skills!M8+1)</f>
        <v/>
      </c>
      <c r="F961">
        <f>IF(Skills!N8=TRUE,(Skills!L8/10)*(E961/1000),Skills!L8/10)+Skills!O8</f>
        <v/>
      </c>
      <c r="G961" t="inlineStr"/>
      <c r="H961" t="inlineStr"/>
      <c r="I961" t="inlineStr">
        <is>
          <t>1</t>
        </is>
      </c>
      <c r="J961" t="inlineStr"/>
      <c r="K961" t="inlineStr"/>
      <c r="L961" t="inlineStr"/>
      <c r="M961" t="inlineStr"/>
      <c r="N961" t="inlineStr"/>
      <c r="O961" t="inlineStr"/>
      <c r="P961" t="inlineStr"/>
      <c r="Q961" t="inlineStr"/>
      <c r="R961" t="inlineStr"/>
      <c r="S961" t="inlineStr"/>
    </row>
    <row r="962">
      <c r="A962">
        <f>Skills!A9</f>
        <v/>
      </c>
      <c r="B962">
        <f>Skills!B9</f>
        <v/>
      </c>
      <c r="C962">
        <f>Inputs!$B$3&gt;=60</f>
        <v/>
      </c>
      <c r="D962">
        <f>IF(Skills!C9=1,60+Inputs!$B$24+Inputs!$B$28,IF(Skills!C9=2,90+Inputs!$B$25+Inputs!$B$28,IF(Skills!C9=3,120+Inputs!$B$26+Inputs!$B$28,MAX(0,(Inputs!$B$3-100)*3)+Inputs!$B$27+Inputs!$B$28)))</f>
        <v/>
      </c>
      <c r="E962">
        <f>INDEX(FactorTable!$B$2:$Y$301, MATCH(ROUND(MIN(300,MAX(1,D962)),0), FactorTable!$A$2:$A$301,0), Skills!M9+1)</f>
        <v/>
      </c>
      <c r="F962">
        <f>IF(Skills!N9=TRUE,(Skills!L9/10)*(E962/1000),Skills!L9/10)+Skills!O9</f>
        <v/>
      </c>
      <c r="G962">
        <f>Skills!G9*IF(Skills!H9&gt;0,Skills!I9/Skills!H9,1)</f>
        <v/>
      </c>
      <c r="H962">
        <f>1-(1-Skills!J9/100)^Skills!K9</f>
        <v/>
      </c>
      <c r="I962" t="inlineStr">
        <is>
          <t>1</t>
        </is>
      </c>
      <c r="J962">
        <f>(Inputs!$B$5*(1+Inputs!$B$6/100))*(F962/100)</f>
        <v/>
      </c>
      <c r="K962">
        <f>J962*(1+((Inputs!$B$11*(1+Inputs!$B$12/100))*0.01+Inputs!$B$13*0.0025)/100)*(1+Inputs!$B$14/100)*(1+IF(Inputs!$B$4="pvp",0,(1-Summary!$B$55)*(Inputs!$B$19+0+Skills!P9+((C970=TRUE)*F970*IF(AND(Inputs!$B$4&lt;&gt;"pvp",Inputs!$B$35&gt;0),(((S970-1)*(Skills!T17*(1+Inputs!$B$33/100))+MIN((Skills!T17*(1+Inputs!$B$33/100)),MAX(0,Inputs!$B$35-((S970-1)*Skills!D17))))/Inputs!$B$35),IF(Inputs!$B$4="pvp",MIN((Skills!T17*(1+Inputs!$B$33/100)),15)/15,(Skills!T17*(1+Inputs!$B$33/100))/Skills!D17)))+((C967=TRUE)*IF(Inputs!$B$4="pvp",20,(1-Summary!$B$55)*(20)+Summary!$B$55*(0))*IF(AND(Inputs!$B$4&lt;&gt;"pvp",Inputs!$B$35&gt;0),(((S967-1)*(Skills!T14*(1+Inputs!$B$33/100))+MIN((Skills!T14*(1+Inputs!$B$33/100)),MAX(0,Inputs!$B$35-((S967-1)*Skills!D14))))/Inputs!$B$35),IF(Inputs!$B$4="pvp",MIN((Skills!T14*(1+Inputs!$B$33/100)),15)/15,(Skills!T14*(1+Inputs!$B$33/100))/Skills!D14))))+Summary!$B$55*(Inputs!$B$20+Skills!Q9+((C970=TRUE)*F970*IF(AND(Inputs!$B$4&lt;&gt;"pvp",Inputs!$B$35&gt;0),(((S970-1)*(Skills!T17*(1+Inputs!$B$33/100))+MIN((Skills!T17*(1+Inputs!$B$33/100)),MAX(0,Inputs!$B$35-((S970-1)*Skills!D17))))/Inputs!$B$35),IF(Inputs!$B$4="pvp",MIN((Skills!T17*(1+Inputs!$B$33/100)),15)/15,(Skills!T17*(1+Inputs!$B$33/100))/Skills!D17)))))/100)*(1+Inputs!$B$15/100)*(5000/(6000+Inputs!$B$7*(1-(Inputs!$B$18+0)/100)))*(1+(Inputs!$B$23+((C978=TRUE)*(F978-Calc!F25))+((C979=TRUE)*(F979-Calc!F26))+B988)/100)*(1+1.0*IF(C964=TRUE,F964,0)/100)*(1+(IF(Skills!A9="DARK_IMPALE",Inputs!$B$16+0,Inputs!$B$17+((C976=TRUE)*(F976-Calc!F23))))/100)*((1+(((C966=TRUE)*F966*IF(AND(Inputs!$B$4&lt;&gt;"pvp",Inputs!$B$35&gt;0),(((S966-1)*(Skills!T13*(1+Inputs!$B$33/100))+MIN((Skills!T13*(1+Inputs!$B$33/100)),MAX(0,Inputs!$B$35-((S966-1)*Skills!D13))))/Inputs!$B$35),IF(Inputs!$B$4="pvp",MIN((Skills!T13*(1+Inputs!$B$33/100)),15)/15,(Skills!T13*(1+Inputs!$B$33/100))/Skills!D13)))+((C967=TRUE)*F967*IF(AND(Inputs!$B$4&lt;&gt;"pvp",Inputs!$B$35&gt;0),(((S967-1)*(Skills!T14*(1+Inputs!$B$33/100))+MIN((Skills!T14*(1+Inputs!$B$33/100)),MAX(0,Inputs!$B$35-((S967-1)*Skills!D14))))/Inputs!$B$35),IF(Inputs!$B$4="pvp",MIN((Skills!T14*(1+Inputs!$B$33/100)),15)/15,(Skills!T14*(1+Inputs!$B$33/100))/Skills!D14)))+((C968=TRUE)*F968*IF(AND(Inputs!$B$4&lt;&gt;"pvp",Inputs!$B$35&gt;0),(((S968-1)*(Skills!T15*(1+Inputs!$B$33/100))+MIN((Skills!T15*(1+Inputs!$B$33/100)),MAX(0,Inputs!$B$35-((S968-1)*Skills!D15))))/Inputs!$B$35),IF(Inputs!$B$4="pvp",MIN((Skills!T15*(1+Inputs!$B$33/100)),15)/15,(Skills!T15*(1+Inputs!$B$33/100))/Skills!D15)))+((C969=TRUE)*F969*IF(AND(Inputs!$B$4&lt;&gt;"pvp",Inputs!$B$35&gt;0),(((S969-1)*(Skills!T16*(1+Inputs!$B$33/100))+MIN((Skills!T16*(1+Inputs!$B$33/100)),MAX(0,Inputs!$B$35-((S969-1)*Skills!D16))))/Inputs!$B$35),IF(Inputs!$B$4="pvp",MIN((Skills!T16*(1+Inputs!$B$33/100)),15)/15,(Skills!T16*(1+Inputs!$B$33/100))/Skills!D16)))+0)/100)*I962)</f>
        <v/>
      </c>
      <c r="L962">
        <f>K962*(MIN(Inputs!$B$21+((C975=TRUE)*(F975-Calc!F22)),Inputs!$B$22+((C977=TRUE)*(F977-Calc!F24)))/100+(Inputs!$B$22+((C977=TRUE)*(F977-Calc!F24)))/100)/2</f>
        <v/>
      </c>
      <c r="M962">
        <f>L962*(1+(Inputs!$B$9+0+B987)/100)</f>
        <v/>
      </c>
      <c r="N962">
        <f>L962*(1-MIN((Inputs!$B$8+0+B982),100)/100)+M962*(MIN((Inputs!$B$8+0+B982),100)/100)</f>
        <v/>
      </c>
      <c r="O962">
        <f>IF(C962,H962*N962*IF(AND(Inputs!$B$4&lt;&gt;"pvp",Inputs!$B$35&gt;0),((Skills!G9*((R962-1)*IF(Skills!H9&gt;0,Skills!I9/Skills!H9,1)+IF(Skills!H9&gt;0,MIN(Skills!I9,MAX(0,Inputs!$B$35-((R962-1)*IF(Inputs!$B$4="pvp",15,MAX(0.1,Skills!D9-IF(Skills!E9=TRUE,(Inputs!$B$31+1),0))))))/Skills!H9,1)))/Inputs!$B$35),G962*Q962)*IF(Inputs!$B$4="pvp",1,(1-Summary!$B$55)*(1)+Summary!$B$55*(MIN(Skills!R9,Inputs!$B$37))),0)</f>
        <v/>
      </c>
      <c r="P962">
        <f>IF(B990=0,0,O962/B990)</f>
        <v/>
      </c>
      <c r="Q962">
        <f>IFERROR(1/IF(Inputs!$B$4="pvp",15,MAX(0.1,Skills!D9-IF(Skills!E9=TRUE,(Inputs!$B$31+1),0))),0)</f>
        <v/>
      </c>
      <c r="R962">
        <f>IF(AND(Inputs!$B$4&lt;&gt;"pvp",Inputs!$B$35&gt;0),(INT(Inputs!$B$35/IF(Inputs!$B$4="pvp",15,MAX(0.1,Skills!D9-IF(Skills!E9=TRUE,(Inputs!$B$31+1),0))))+1),0)</f>
        <v/>
      </c>
      <c r="S962">
        <f>IFERROR(O962/N962,0)</f>
        <v/>
      </c>
    </row>
    <row r="963">
      <c r="A963">
        <f>Skills!A10</f>
        <v/>
      </c>
      <c r="B963">
        <f>Skills!B10</f>
        <v/>
      </c>
      <c r="C963">
        <f>Inputs!$B$3&gt;=110</f>
        <v/>
      </c>
      <c r="D963">
        <f>IF(Skills!C10=1,60+Inputs!$B$24+Inputs!$B$28,IF(Skills!C10=2,90+Inputs!$B$25+Inputs!$B$28,IF(Skills!C10=3,120+Inputs!$B$26+Inputs!$B$28,MAX(0,(Inputs!$B$3-100)*3)+Inputs!$B$27+Inputs!$B$28)))</f>
        <v/>
      </c>
      <c r="E963">
        <f>INDEX(FactorTable!$B$2:$Y$301, MATCH(ROUND(MIN(300,MAX(1,D963)),0), FactorTable!$A$2:$A$301,0), Skills!M10+1)</f>
        <v/>
      </c>
      <c r="F963">
        <f>IF(Skills!N10=TRUE,(Skills!L10/10)*(E963/1000),Skills!L10/10)+Skills!O10</f>
        <v/>
      </c>
      <c r="G963">
        <f>Skills!G10*IF(Skills!H10&gt;0,Skills!I10/Skills!H10,1)</f>
        <v/>
      </c>
      <c r="H963">
        <f>1-(1-Skills!J10/100)^Skills!K10</f>
        <v/>
      </c>
      <c r="I963" t="inlineStr">
        <is>
          <t>1</t>
        </is>
      </c>
      <c r="J963">
        <f>(Inputs!$B$5*(1+Inputs!$B$6/100))*(F963/100)</f>
        <v/>
      </c>
      <c r="K963">
        <f>J963*(1+((Inputs!$B$11*(1+Inputs!$B$12/100))*0.01+Inputs!$B$13*0.0025)/100)*(1+Inputs!$B$14/100)*(1+IF(Inputs!$B$4="pvp",0,(1-Summary!$B$55)*(Inputs!$B$19+0+Skills!P10+((C970=TRUE)*F970*IF(AND(Inputs!$B$4&lt;&gt;"pvp",Inputs!$B$35&gt;0),(((S970-1)*(Skills!T17*(1+Inputs!$B$33/100))+MIN((Skills!T17*(1+Inputs!$B$33/100)),MAX(0,Inputs!$B$35-((S970-1)*Skills!D17))))/Inputs!$B$35),IF(Inputs!$B$4="pvp",MIN((Skills!T17*(1+Inputs!$B$33/100)),15)/15,(Skills!T17*(1+Inputs!$B$33/100))/Skills!D17)))+((C967=TRUE)*IF(Inputs!$B$4="pvp",20,(1-Summary!$B$55)*(20)+Summary!$B$55*(0))*IF(AND(Inputs!$B$4&lt;&gt;"pvp",Inputs!$B$35&gt;0),(((S967-1)*(Skills!T14*(1+Inputs!$B$33/100))+MIN((Skills!T14*(1+Inputs!$B$33/100)),MAX(0,Inputs!$B$35-((S967-1)*Skills!D14))))/Inputs!$B$35),IF(Inputs!$B$4="pvp",MIN((Skills!T14*(1+Inputs!$B$33/100)),15)/15,(Skills!T14*(1+Inputs!$B$33/100))/Skills!D14))))+Summary!$B$55*(Inputs!$B$20+Skills!Q10+((C970=TRUE)*F970*IF(AND(Inputs!$B$4&lt;&gt;"pvp",Inputs!$B$35&gt;0),(((S970-1)*(Skills!T17*(1+Inputs!$B$33/100))+MIN((Skills!T17*(1+Inputs!$B$33/100)),MAX(0,Inputs!$B$35-((S970-1)*Skills!D17))))/Inputs!$B$35),IF(Inputs!$B$4="pvp",MIN((Skills!T17*(1+Inputs!$B$33/100)),15)/15,(Skills!T17*(1+Inputs!$B$33/100))/Skills!D17)))))/100)*(1+Inputs!$B$15/100)*(5000/(6000+Inputs!$B$7*(1-(Inputs!$B$18+0)/100)))*(1+(Inputs!$B$23+((C978=TRUE)*(F978-Calc!F25))+((C979=TRUE)*(F979-Calc!F26))+B988)/100)*(1+(IF(Skills!A10="DARK_IMPALE",Inputs!$B$16+0,Inputs!$B$17+((C976=TRUE)*(F976-Calc!F23))))/100)*((1+(((C966=TRUE)*F966*IF(AND(Inputs!$B$4&lt;&gt;"pvp",Inputs!$B$35&gt;0),(((S966-1)*(Skills!T13*(1+Inputs!$B$33/100))+MIN((Skills!T13*(1+Inputs!$B$33/100)),MAX(0,Inputs!$B$35-((S966-1)*Skills!D13))))/Inputs!$B$35),IF(Inputs!$B$4="pvp",MIN((Skills!T13*(1+Inputs!$B$33/100)),15)/15,(Skills!T13*(1+Inputs!$B$33/100))/Skills!D13)))+((C967=TRUE)*F967*IF(AND(Inputs!$B$4&lt;&gt;"pvp",Inputs!$B$35&gt;0),(((S967-1)*(Skills!T14*(1+Inputs!$B$33/100))+MIN((Skills!T14*(1+Inputs!$B$33/100)),MAX(0,Inputs!$B$35-((S967-1)*Skills!D14))))/Inputs!$B$35),IF(Inputs!$B$4="pvp",MIN((Skills!T14*(1+Inputs!$B$33/100)),15)/15,(Skills!T14*(1+Inputs!$B$33/100))/Skills!D14)))+((C968=TRUE)*F968*IF(AND(Inputs!$B$4&lt;&gt;"pvp",Inputs!$B$35&gt;0),(((S968-1)*(Skills!T15*(1+Inputs!$B$33/100))+MIN((Skills!T15*(1+Inputs!$B$33/100)),MAX(0,Inputs!$B$35-((S968-1)*Skills!D15))))/Inputs!$B$35),IF(Inputs!$B$4="pvp",MIN((Skills!T15*(1+Inputs!$B$33/100)),15)/15,(Skills!T15*(1+Inputs!$B$33/100))/Skills!D15)))+((C969=TRUE)*F969*IF(AND(Inputs!$B$4&lt;&gt;"pvp",Inputs!$B$35&gt;0),(((S969-1)*(Skills!T16*(1+Inputs!$B$33/100))+MIN((Skills!T16*(1+Inputs!$B$33/100)),MAX(0,Inputs!$B$35-((S969-1)*Skills!D16))))/Inputs!$B$35),IF(Inputs!$B$4="pvp",MIN((Skills!T16*(1+Inputs!$B$33/100)),15)/15,(Skills!T16*(1+Inputs!$B$33/100))/Skills!D16)))+0)/100)*I963)</f>
        <v/>
      </c>
      <c r="L963">
        <f>K963*(MIN(Inputs!$B$21+((C975=TRUE)*(F975-Calc!F22)),Inputs!$B$22+((C977=TRUE)*(F977-Calc!F24)))/100+(Inputs!$B$22+((C977=TRUE)*(F977-Calc!F24)))/100)/2</f>
        <v/>
      </c>
      <c r="M963">
        <f>L963*(1+(Inputs!$B$9+0+B987)/100)</f>
        <v/>
      </c>
      <c r="N963">
        <f>L963*(1-MIN((Inputs!$B$8+0+B982),100)/100)+M963*(MIN((Inputs!$B$8+0+B982),100)/100)</f>
        <v/>
      </c>
      <c r="O963">
        <f>IF(C963,H963*N963*IF(AND(Inputs!$B$4&lt;&gt;"pvp",Inputs!$B$35&gt;0),((Skills!G10*((R963-1)*IF(Skills!H10&gt;0,Skills!I10/Skills!H10,1)+IF(Skills!H10&gt;0,MIN(Skills!I10,MAX(0,Inputs!$B$35-((R963-1)*IF(Inputs!$B$4="pvp",15,MAX(0.1,Skills!D10-IF(Skills!E10=TRUE,(Inputs!$B$31+1),0))))))/Skills!H10,1)))/Inputs!$B$35),G963*Q963)*IF(Inputs!$B$4="pvp",1,(1-Summary!$B$55)*(1)+Summary!$B$55*(MIN(Skills!R10,Inputs!$B$37))),0)</f>
        <v/>
      </c>
      <c r="P963">
        <f>IF(B990=0,0,O963/B990)</f>
        <v/>
      </c>
      <c r="Q963">
        <f>IFERROR(1/IF(Inputs!$B$4="pvp",15,MAX(0.1,Skills!D10-IF(Skills!E10=TRUE,(Inputs!$B$31+1),0))),0)</f>
        <v/>
      </c>
      <c r="R963">
        <f>IF(AND(Inputs!$B$4&lt;&gt;"pvp",Inputs!$B$35&gt;0),(INT(Inputs!$B$35/IF(Inputs!$B$4="pvp",15,MAX(0.1,Skills!D10-IF(Skills!E10=TRUE,(Inputs!$B$31+1),0))))+1),0)</f>
        <v/>
      </c>
      <c r="S963">
        <f>IFERROR(O963/N963,0)</f>
        <v/>
      </c>
    </row>
    <row r="964">
      <c r="A964">
        <f>Skills!A11</f>
        <v/>
      </c>
      <c r="B964">
        <f>Skills!B11</f>
        <v/>
      </c>
      <c r="C964">
        <f>Inputs!$B$3&gt;=100</f>
        <v/>
      </c>
      <c r="D964">
        <f>IF(Skills!C11=1,60+Inputs!$B$24+Inputs!$B$28,IF(Skills!C11=2,90+Inputs!$B$25+Inputs!$B$28,IF(Skills!C11=3,120+Inputs!$B$26+Inputs!$B$28,MAX(0,(Inputs!$B$3-100)*3)+Inputs!$B$27+Inputs!$B$28)))</f>
        <v/>
      </c>
      <c r="E964">
        <f>INDEX(FactorTable!$B$2:$Y$301, MATCH(ROUND(MIN(300,MAX(1,D964)),0), FactorTable!$A$2:$A$301,0), Skills!M11+1)</f>
        <v/>
      </c>
      <c r="F964">
        <f>IF(Skills!N11=TRUE,(Skills!L11/10)*(E964/1000),Skills!L11/10)+Skills!O11</f>
        <v/>
      </c>
      <c r="G964" t="inlineStr"/>
      <c r="H964" t="inlineStr"/>
      <c r="I964" t="inlineStr">
        <is>
          <t>1</t>
        </is>
      </c>
      <c r="J964" t="inlineStr"/>
      <c r="K964" t="inlineStr"/>
      <c r="L964" t="inlineStr"/>
      <c r="M964" t="inlineStr"/>
      <c r="N964" t="inlineStr"/>
      <c r="O964" t="inlineStr"/>
      <c r="P964" t="inlineStr"/>
      <c r="Q964" t="inlineStr"/>
      <c r="R964" t="inlineStr"/>
      <c r="S964" t="inlineStr"/>
    </row>
    <row r="965">
      <c r="A965">
        <f>Skills!A12</f>
        <v/>
      </c>
      <c r="B965">
        <f>Skills!B12</f>
        <v/>
      </c>
      <c r="C965">
        <f>Inputs!$B$3&gt;=63</f>
        <v/>
      </c>
      <c r="D965">
        <f>IF(Skills!C12=1,60+Inputs!$B$24+Inputs!$B$28,IF(Skills!C12=2,90+Inputs!$B$25+Inputs!$B$28,IF(Skills!C12=3,120+Inputs!$B$26+Inputs!$B$28,MAX(0,(Inputs!$B$3-100)*3)+Inputs!$B$27+Inputs!$B$28)))</f>
        <v/>
      </c>
      <c r="E965">
        <f>INDEX(FactorTable!$B$2:$Y$301, MATCH(ROUND(MIN(300,MAX(1,D965)),0), FactorTable!$A$2:$A$301,0), Skills!M12+1)</f>
        <v/>
      </c>
      <c r="F965">
        <f>IF(Skills!N12=TRUE,(Skills!L12/10)*(E965/1000),Skills!L12/10)+Skills!O12</f>
        <v/>
      </c>
      <c r="G965">
        <f>Skills!G12*IF(Skills!H12&gt;0,Skills!I12/Skills!H12,1)</f>
        <v/>
      </c>
      <c r="H965">
        <f>1-(1-Skills!J12/100)^Skills!K12</f>
        <v/>
      </c>
      <c r="I965" t="inlineStr">
        <is>
          <t>1</t>
        </is>
      </c>
      <c r="J965">
        <f>(Inputs!$B$5*(1+Inputs!$B$6/100))*(F965/100)</f>
        <v/>
      </c>
      <c r="K965">
        <f>J965*(1+((Inputs!$B$11*(1+Inputs!$B$12/100))*0.01+Inputs!$B$13*0.0025)/100)*(1+Inputs!$B$14/100)*(1+IF(Inputs!$B$4="pvp",0,(1-Summary!$B$55)*(Inputs!$B$19+0+Skills!P12+((C970=TRUE)*F970*IF(AND(Inputs!$B$4&lt;&gt;"pvp",Inputs!$B$35&gt;0),(((S970-1)*(Skills!T17*(1+Inputs!$B$33/100))+MIN((Skills!T17*(1+Inputs!$B$33/100)),MAX(0,Inputs!$B$35-((S970-1)*Skills!D17))))/Inputs!$B$35),IF(Inputs!$B$4="pvp",MIN((Skills!T17*(1+Inputs!$B$33/100)),15)/15,(Skills!T17*(1+Inputs!$B$33/100))/Skills!D17)))+((C967=TRUE)*IF(Inputs!$B$4="pvp",20,(1-Summary!$B$55)*(20)+Summary!$B$55*(0))*IF(AND(Inputs!$B$4&lt;&gt;"pvp",Inputs!$B$35&gt;0),(((S967-1)*(Skills!T14*(1+Inputs!$B$33/100))+MIN((Skills!T14*(1+Inputs!$B$33/100)),MAX(0,Inputs!$B$35-((S967-1)*Skills!D14))))/Inputs!$B$35),IF(Inputs!$B$4="pvp",MIN((Skills!T14*(1+Inputs!$B$33/100)),15)/15,(Skills!T14*(1+Inputs!$B$33/100))/Skills!D14))))+Summary!$B$55*(Inputs!$B$20+Skills!Q12+((C970=TRUE)*F970*IF(AND(Inputs!$B$4&lt;&gt;"pvp",Inputs!$B$35&gt;0),(((S970-1)*(Skills!T17*(1+Inputs!$B$33/100))+MIN((Skills!T17*(1+Inputs!$B$33/100)),MAX(0,Inputs!$B$35-((S970-1)*Skills!D17))))/Inputs!$B$35),IF(Inputs!$B$4="pvp",MIN((Skills!T17*(1+Inputs!$B$33/100)),15)/15,(Skills!T17*(1+Inputs!$B$33/100))/Skills!D17)))))/100)*(1+Inputs!$B$15/100)*(5000/(6000+Inputs!$B$7*(1-(Inputs!$B$18+0)/100)))*(1+(Inputs!$B$23+((C978=TRUE)*(F978-Calc!F25))+((C979=TRUE)*(F979-Calc!F26))+B988)/100)*(1+0.75*IF(C964=TRUE,F964,0)/100)*(1+(IF(Skills!A12="DARK_IMPALE",Inputs!$B$16+0,Inputs!$B$17+((C976=TRUE)*(F976-Calc!F23))))/100)*((1+(((C966=TRUE)*F966*IF(AND(Inputs!$B$4&lt;&gt;"pvp",Inputs!$B$35&gt;0),(((S966-1)*(Skills!T13*(1+Inputs!$B$33/100))+MIN((Skills!T13*(1+Inputs!$B$33/100)),MAX(0,Inputs!$B$35-((S966-1)*Skills!D13))))/Inputs!$B$35),IF(Inputs!$B$4="pvp",MIN((Skills!T13*(1+Inputs!$B$33/100)),15)/15,(Skills!T13*(1+Inputs!$B$33/100))/Skills!D13)))+((C967=TRUE)*F967*IF(AND(Inputs!$B$4&lt;&gt;"pvp",Inputs!$B$35&gt;0),(((S967-1)*(Skills!T14*(1+Inputs!$B$33/100))+MIN((Skills!T14*(1+Inputs!$B$33/100)),MAX(0,Inputs!$B$35-((S967-1)*Skills!D14))))/Inputs!$B$35),IF(Inputs!$B$4="pvp",MIN((Skills!T14*(1+Inputs!$B$33/100)),15)/15,(Skills!T14*(1+Inputs!$B$33/100))/Skills!D14)))+((C968=TRUE)*F968*IF(AND(Inputs!$B$4&lt;&gt;"pvp",Inputs!$B$35&gt;0),(((S968-1)*(Skills!T15*(1+Inputs!$B$33/100))+MIN((Skills!T15*(1+Inputs!$B$33/100)),MAX(0,Inputs!$B$35-((S968-1)*Skills!D15))))/Inputs!$B$35),IF(Inputs!$B$4="pvp",MIN((Skills!T15*(1+Inputs!$B$33/100)),15)/15,(Skills!T15*(1+Inputs!$B$33/100))/Skills!D15)))+((C969=TRUE)*F969*IF(AND(Inputs!$B$4&lt;&gt;"pvp",Inputs!$B$35&gt;0),(((S969-1)*(Skills!T16*(1+Inputs!$B$33/100))+MIN((Skills!T16*(1+Inputs!$B$33/100)),MAX(0,Inputs!$B$35-((S969-1)*Skills!D16))))/Inputs!$B$35),IF(Inputs!$B$4="pvp",MIN((Skills!T16*(1+Inputs!$B$33/100)),15)/15,(Skills!T16*(1+Inputs!$B$33/100))/Skills!D16)))+0)/100)*I965)</f>
        <v/>
      </c>
      <c r="L965">
        <f>K965*(MIN(Inputs!$B$21+((C975=TRUE)*(F975-Calc!F22)),Inputs!$B$22+((C977=TRUE)*(F977-Calc!F24)))/100+(Inputs!$B$22+((C977=TRUE)*(F977-Calc!F24)))/100)/2</f>
        <v/>
      </c>
      <c r="M965">
        <f>L965*(1+(Inputs!$B$9+0+B987)/100)</f>
        <v/>
      </c>
      <c r="N965">
        <f>L965*(1-MIN((Inputs!$B$8+0+B982),100)/100)+M965*(MIN((Inputs!$B$8+0+B982),100)/100)</f>
        <v/>
      </c>
      <c r="O965">
        <f>IF(C965,H965*N965*IF(AND(Inputs!$B$4&lt;&gt;"pvp",Inputs!$B$35&gt;0),((Skills!G12*((R965-1)*IF(Skills!H12&gt;0,Skills!I12/Skills!H12,1)+IF(Skills!H12&gt;0,MIN(Skills!I12,MAX(0,Inputs!$B$35-((R965-1)*IF(Inputs!$B$4="pvp",15,MAX(0.1,Skills!D12-IF(Skills!E12=TRUE,(Inputs!$B$31+1),0))))))/Skills!H12,1)))/Inputs!$B$35),G965*Q965)*IF(Inputs!$B$4="pvp",1,(1-Summary!$B$55)*(1)+Summary!$B$55*(MIN(Skills!R12,Inputs!$B$37))),0)</f>
        <v/>
      </c>
      <c r="P965">
        <f>IF(B990=0,0,O965/B990)</f>
        <v/>
      </c>
      <c r="Q965">
        <f>IFERROR(1/IF(Inputs!$B$4="pvp",15,MAX(0.1,Skills!D12-IF(Skills!E12=TRUE,(Inputs!$B$31+1),0))),0)</f>
        <v/>
      </c>
      <c r="R965">
        <f>IF(AND(Inputs!$B$4&lt;&gt;"pvp",Inputs!$B$35&gt;0),(INT(Inputs!$B$35/IF(Inputs!$B$4="pvp",15,MAX(0.1,Skills!D12-IF(Skills!E12=TRUE,(Inputs!$B$31+1),0))))+1),0)</f>
        <v/>
      </c>
      <c r="S965">
        <f>IFERROR(O965/N965,0)</f>
        <v/>
      </c>
    </row>
    <row r="966">
      <c r="A966">
        <f>Skills!A13</f>
        <v/>
      </c>
      <c r="B966">
        <f>Skills!B13</f>
        <v/>
      </c>
      <c r="C966">
        <f>Inputs!$B$3&gt;=69</f>
        <v/>
      </c>
      <c r="D966">
        <f>IF(Skills!C13=1,60+Inputs!$B$24+Inputs!$B$28,IF(Skills!C13=2,90+Inputs!$B$25+Inputs!$B$28,IF(Skills!C13=3,120+Inputs!$B$26+Inputs!$B$28,MAX(0,(Inputs!$B$3-100)*3)+Inputs!$B$27+Inputs!$B$28)))</f>
        <v/>
      </c>
      <c r="E966">
        <f>INDEX(FactorTable!$B$2:$Y$301, MATCH(ROUND(MIN(300,MAX(1,D966)),0), FactorTable!$A$2:$A$301,0), Skills!M13+1)</f>
        <v/>
      </c>
      <c r="F966">
        <f>IF(Skills!N13=TRUE,(Skills!L13/10)*(E966/1000),Skills!L13/10)+Skills!O13</f>
        <v/>
      </c>
      <c r="G966">
        <f>Skills!G13*IF(Skills!H13&gt;0,Skills!I13/Skills!H13,1)</f>
        <v/>
      </c>
      <c r="H966">
        <f>1-(1-Skills!J13/100)^Skills!K13</f>
        <v/>
      </c>
      <c r="I966" t="inlineStr">
        <is>
          <t>1</t>
        </is>
      </c>
      <c r="J966" t="inlineStr"/>
      <c r="K966" t="inlineStr"/>
      <c r="L966" t="inlineStr"/>
      <c r="M966" t="inlineStr"/>
      <c r="N966" t="inlineStr"/>
      <c r="O966" t="n">
        <v>0</v>
      </c>
      <c r="P966">
        <f>IF(B990=0,0,O966/B990)</f>
        <v/>
      </c>
      <c r="Q966">
        <f>IFERROR(1/IF(Inputs!$B$4="pvp",15,MAX(0.1,Skills!D13-IF(Skills!E13=TRUE,(Inputs!$B$31+1),0))),0)</f>
        <v/>
      </c>
      <c r="R966">
        <f>IF(AND(Inputs!$B$4&lt;&gt;"pvp",Inputs!$B$35&gt;0),(INT(Inputs!$B$35/IF(Inputs!$B$4="pvp",15,MAX(0.1,Skills!D13-IF(Skills!E13=TRUE,(Inputs!$B$31+1),0))))+1),0)</f>
        <v/>
      </c>
      <c r="S966">
        <f>IFERROR(O966/N966,0)</f>
        <v/>
      </c>
    </row>
    <row r="967">
      <c r="A967">
        <f>Skills!A14</f>
        <v/>
      </c>
      <c r="B967">
        <f>Skills!B14</f>
        <v/>
      </c>
      <c r="C967">
        <f>Inputs!$B$3&gt;=115</f>
        <v/>
      </c>
      <c r="D967">
        <f>IF(Skills!C14=1,60+Inputs!$B$24+Inputs!$B$28,IF(Skills!C14=2,90+Inputs!$B$25+Inputs!$B$28,IF(Skills!C14=3,120+Inputs!$B$26+Inputs!$B$28,MAX(0,(Inputs!$B$3-100)*3)+Inputs!$B$27+Inputs!$B$28)))</f>
        <v/>
      </c>
      <c r="E967">
        <f>INDEX(FactorTable!$B$2:$Y$301, MATCH(ROUND(MIN(300,MAX(1,D967)),0), FactorTable!$A$2:$A$301,0), Skills!M14+1)</f>
        <v/>
      </c>
      <c r="F967">
        <f>IF(Skills!N14=TRUE,(Skills!L14/10)*(E967/1000),Skills!L14/10)+Skills!O14</f>
        <v/>
      </c>
      <c r="G967">
        <f>Skills!G14*IF(Skills!H14&gt;0,Skills!I14/Skills!H14,1)</f>
        <v/>
      </c>
      <c r="H967">
        <f>1-(1-Skills!J14/100)^Skills!K14</f>
        <v/>
      </c>
      <c r="I967" t="inlineStr">
        <is>
          <t>1</t>
        </is>
      </c>
      <c r="J967" t="inlineStr"/>
      <c r="K967" t="inlineStr"/>
      <c r="L967" t="inlineStr"/>
      <c r="M967" t="inlineStr"/>
      <c r="N967" t="inlineStr"/>
      <c r="O967" t="n">
        <v>0</v>
      </c>
      <c r="P967">
        <f>IF(B990=0,0,O967/B990)</f>
        <v/>
      </c>
      <c r="Q967">
        <f>IFERROR(1/IF(Inputs!$B$4="pvp",15,MAX(0.1,Skills!D14-IF(Skills!E14=TRUE,(Inputs!$B$31+1),0))),0)</f>
        <v/>
      </c>
      <c r="R967">
        <f>IF(AND(Inputs!$B$4&lt;&gt;"pvp",Inputs!$B$35&gt;0),(INT(Inputs!$B$35/IF(Inputs!$B$4="pvp",15,MAX(0.1,Skills!D14-IF(Skills!E14=TRUE,(Inputs!$B$31+1),0))))+1),0)</f>
        <v/>
      </c>
      <c r="S967">
        <f>IFERROR(O967/N967,0)</f>
        <v/>
      </c>
    </row>
    <row r="968">
      <c r="A968">
        <f>Skills!A15</f>
        <v/>
      </c>
      <c r="B968">
        <f>Skills!B15</f>
        <v/>
      </c>
      <c r="C968">
        <f>Inputs!$B$3&gt;=66</f>
        <v/>
      </c>
      <c r="D968">
        <f>IF(Skills!C15=1,60+Inputs!$B$24+Inputs!$B$28,IF(Skills!C15=2,90+Inputs!$B$25+Inputs!$B$28,IF(Skills!C15=3,120+Inputs!$B$26+Inputs!$B$28,MAX(0,(Inputs!$B$3-100)*3)+Inputs!$B$27+Inputs!$B$28)))</f>
        <v/>
      </c>
      <c r="E968">
        <f>INDEX(FactorTable!$B$2:$Y$301, MATCH(ROUND(MIN(300,MAX(1,D968)),0), FactorTable!$A$2:$A$301,0), Skills!M15+1)</f>
        <v/>
      </c>
      <c r="F968">
        <f>IF(Skills!N15=TRUE,(Skills!L15/10)*(E968/1000),Skills!L15/10)+Skills!O15</f>
        <v/>
      </c>
      <c r="G968">
        <f>Skills!G15*IF(Skills!H15&gt;0,Skills!I15/Skills!H15,1)</f>
        <v/>
      </c>
      <c r="H968">
        <f>1-(1-Skills!J15/100)^Skills!K15</f>
        <v/>
      </c>
      <c r="I968" t="inlineStr">
        <is>
          <t>1</t>
        </is>
      </c>
      <c r="J968" t="inlineStr"/>
      <c r="K968" t="inlineStr"/>
      <c r="L968" t="inlineStr"/>
      <c r="M968" t="inlineStr"/>
      <c r="N968" t="inlineStr"/>
      <c r="O968" t="n">
        <v>0</v>
      </c>
      <c r="P968">
        <f>IF(B990=0,0,O968/B990)</f>
        <v/>
      </c>
      <c r="Q968">
        <f>IFERROR(1/IF(Inputs!$B$4="pvp",15,MAX(0.1,Skills!D15-IF(Skills!E15=TRUE,(Inputs!$B$31+1),0))),0)</f>
        <v/>
      </c>
      <c r="R968">
        <f>IF(AND(Inputs!$B$4&lt;&gt;"pvp",Inputs!$B$35&gt;0),(INT(Inputs!$B$35/IF(Inputs!$B$4="pvp",15,MAX(0.1,Skills!D15-IF(Skills!E15=TRUE,(Inputs!$B$31+1),0))))+1),0)</f>
        <v/>
      </c>
      <c r="S968">
        <f>IFERROR(O968/N968,0)</f>
        <v/>
      </c>
    </row>
    <row r="969">
      <c r="A969">
        <f>Skills!A16</f>
        <v/>
      </c>
      <c r="B969">
        <f>Skills!B16</f>
        <v/>
      </c>
      <c r="C969">
        <f>Inputs!$B$3&gt;=45</f>
        <v/>
      </c>
      <c r="D969">
        <f>IF(Skills!C16=1,60+Inputs!$B$24+Inputs!$B$28,IF(Skills!C16=2,90+Inputs!$B$25+Inputs!$B$28,IF(Skills!C16=3,120+Inputs!$B$26+Inputs!$B$28,MAX(0,(Inputs!$B$3-100)*3)+Inputs!$B$27+Inputs!$B$28)))</f>
        <v/>
      </c>
      <c r="E969">
        <f>INDEX(FactorTable!$B$2:$Y$301, MATCH(ROUND(MIN(300,MAX(1,D969)),0), FactorTable!$A$2:$A$301,0), Skills!M16+1)</f>
        <v/>
      </c>
      <c r="F969">
        <f>IF(Skills!N16=TRUE,(Skills!L16/10)*(E969/1000),Skills!L16/10)+Skills!O16</f>
        <v/>
      </c>
      <c r="G969">
        <f>Skills!G16*IF(Skills!H16&gt;0,Skills!I16/Skills!H16,1)</f>
        <v/>
      </c>
      <c r="H969">
        <f>1-(1-Skills!J16/100)^Skills!K16</f>
        <v/>
      </c>
      <c r="I969" t="inlineStr">
        <is>
          <t>1</t>
        </is>
      </c>
      <c r="J969" t="inlineStr"/>
      <c r="K969" t="inlineStr"/>
      <c r="L969" t="inlineStr"/>
      <c r="M969" t="inlineStr"/>
      <c r="N969" t="inlineStr"/>
      <c r="O969" t="n">
        <v>0</v>
      </c>
      <c r="P969">
        <f>IF(B990=0,0,O969/B990)</f>
        <v/>
      </c>
      <c r="Q969">
        <f>IFERROR(1/IF(Inputs!$B$4="pvp",15,MAX(0.1,Skills!D16-IF(Skills!E16=TRUE,(Inputs!$B$31+1),0))),0)</f>
        <v/>
      </c>
      <c r="R969">
        <f>IF(AND(Inputs!$B$4&lt;&gt;"pvp",Inputs!$B$35&gt;0),(INT(Inputs!$B$35/IF(Inputs!$B$4="pvp",15,MAX(0.1,Skills!D16-IF(Skills!E16=TRUE,(Inputs!$B$31+1),0))))+1),0)</f>
        <v/>
      </c>
      <c r="S969">
        <f>IFERROR(O969/N969,0)</f>
        <v/>
      </c>
    </row>
    <row r="970">
      <c r="A970">
        <f>Skills!A17</f>
        <v/>
      </c>
      <c r="B970">
        <f>Skills!B17</f>
        <v/>
      </c>
      <c r="C970">
        <f>Inputs!$B$3&gt;=35</f>
        <v/>
      </c>
      <c r="D970">
        <f>IF(Skills!C17=1,60+Inputs!$B$24+Inputs!$B$28,IF(Skills!C17=2,90+Inputs!$B$25+Inputs!$B$28,IF(Skills!C17=3,120+Inputs!$B$26+Inputs!$B$28,MAX(0,(Inputs!$B$3-100)*3)+Inputs!$B$27+Inputs!$B$28)))</f>
        <v/>
      </c>
      <c r="E970">
        <f>INDEX(FactorTable!$B$2:$Y$301, MATCH(ROUND(MIN(300,MAX(1,D970)),0), FactorTable!$A$2:$A$301,0), Skills!M17+1)</f>
        <v/>
      </c>
      <c r="F970">
        <f>IF(Skills!N17=TRUE,(Skills!L17/10)*(E970/1000),Skills!L17/10)+Skills!O17</f>
        <v/>
      </c>
      <c r="G970">
        <f>Skills!G17*IF(Skills!H17&gt;0,Skills!I17/Skills!H17,1)</f>
        <v/>
      </c>
      <c r="H970">
        <f>1-(1-Skills!J17/100)^Skills!K17</f>
        <v/>
      </c>
      <c r="I970" t="inlineStr">
        <is>
          <t>1</t>
        </is>
      </c>
      <c r="J970" t="inlineStr"/>
      <c r="K970" t="inlineStr"/>
      <c r="L970" t="inlineStr"/>
      <c r="M970" t="inlineStr"/>
      <c r="N970" t="inlineStr"/>
      <c r="O970" t="n">
        <v>0</v>
      </c>
      <c r="P970">
        <f>IF(B990=0,0,O970/B990)</f>
        <v/>
      </c>
      <c r="Q970">
        <f>IFERROR(1/IF(Inputs!$B$4="pvp",15,MAX(0.1,Skills!D17-IF(Skills!E17=TRUE,(Inputs!$B$31+1),0))),0)</f>
        <v/>
      </c>
      <c r="R970">
        <f>IF(AND(Inputs!$B$4&lt;&gt;"pvp",Inputs!$B$35&gt;0),(INT(Inputs!$B$35/IF(Inputs!$B$4="pvp",15,MAX(0.1,Skills!D17-IF(Skills!E17=TRUE,(Inputs!$B$31+1),0))))+1),0)</f>
        <v/>
      </c>
      <c r="S970">
        <f>IFERROR(O970/N970,0)</f>
        <v/>
      </c>
    </row>
    <row r="971">
      <c r="A971">
        <f>Skills!A18</f>
        <v/>
      </c>
      <c r="B971">
        <f>Skills!B18</f>
        <v/>
      </c>
      <c r="C971">
        <f>Inputs!$B$3&gt;=72</f>
        <v/>
      </c>
      <c r="D971">
        <f>IF(Skills!C18=1,60+Inputs!$B$24+Inputs!$B$28,IF(Skills!C18=2,90+Inputs!$B$25+Inputs!$B$28,IF(Skills!C18=3,120+Inputs!$B$26+Inputs!$B$28,MAX(0,(Inputs!$B$3-100)*3)+Inputs!$B$27+Inputs!$B$28)))</f>
        <v/>
      </c>
      <c r="E971">
        <f>INDEX(FactorTable!$B$2:$Y$301, MATCH(ROUND(MIN(300,MAX(1,D971)),0), FactorTable!$A$2:$A$301,0), Skills!M18+1)</f>
        <v/>
      </c>
      <c r="F971">
        <f>IF(Skills!N18=TRUE,(Skills!L18/10)*(E971/1000),Skills!L18/10)+Skills!O18</f>
        <v/>
      </c>
      <c r="G971">
        <f>Skills!G18*IF(Skills!H18&gt;0,Skills!I18/Skills!H18,1)</f>
        <v/>
      </c>
      <c r="H971">
        <f>1-(1-Skills!J18/100)^Skills!K18</f>
        <v/>
      </c>
      <c r="I971" t="inlineStr">
        <is>
          <t>1</t>
        </is>
      </c>
      <c r="J971" t="inlineStr"/>
      <c r="K971" t="inlineStr"/>
      <c r="L971" t="inlineStr"/>
      <c r="M971" t="inlineStr"/>
      <c r="N971" t="inlineStr"/>
      <c r="O971" t="n">
        <v>0</v>
      </c>
      <c r="P971">
        <f>IF(B990=0,0,O971/B990)</f>
        <v/>
      </c>
      <c r="Q971">
        <f>IFERROR(1/IF(Inputs!$B$4="pvp",15,MAX(0.1,Skills!D18-IF(Skills!E18=TRUE,(Inputs!$B$31+1),0))),0)</f>
        <v/>
      </c>
      <c r="R971">
        <f>IF(AND(Inputs!$B$4&lt;&gt;"pvp",Inputs!$B$35&gt;0),(INT(Inputs!$B$35/IF(Inputs!$B$4="pvp",15,MAX(0.1,Skills!D18-IF(Skills!E18=TRUE,(Inputs!$B$31+1),0))))+1),0)</f>
        <v/>
      </c>
      <c r="S971">
        <f>IFERROR(O971/N971,0)</f>
        <v/>
      </c>
    </row>
    <row r="972">
      <c r="A972">
        <f>Skills!A19</f>
        <v/>
      </c>
      <c r="B972">
        <f>Skills!B19</f>
        <v/>
      </c>
      <c r="C972">
        <f>Inputs!$B$3&gt;=72</f>
        <v/>
      </c>
      <c r="D972">
        <f>IF(Skills!C19=1,60+Inputs!$B$24+Inputs!$B$28,IF(Skills!C19=2,90+Inputs!$B$25+Inputs!$B$28,IF(Skills!C19=3,120+Inputs!$B$26+Inputs!$B$28,MAX(0,(Inputs!$B$3-100)*3)+Inputs!$B$27+Inputs!$B$28)))</f>
        <v/>
      </c>
      <c r="E972">
        <f>INDEX(FactorTable!$B$2:$Y$301, MATCH(ROUND(MIN(300,MAX(1,D972)),0), FactorTable!$A$2:$A$301,0), Skills!M19+1)</f>
        <v/>
      </c>
      <c r="F972">
        <f>IF(Skills!N19=TRUE,(Skills!L19/10)*(E972/1000),Skills!L19/10)+Skills!O19</f>
        <v/>
      </c>
      <c r="G972">
        <f>Skills!G19*IF(Skills!H19&gt;0,Skills!I19/Skills!H19,1)</f>
        <v/>
      </c>
      <c r="H972">
        <f>1-(1-Skills!J19/100)^Skills!K19</f>
        <v/>
      </c>
      <c r="I972" t="inlineStr">
        <is>
          <t>1</t>
        </is>
      </c>
      <c r="J972" t="inlineStr"/>
      <c r="K972" t="inlineStr"/>
      <c r="L972" t="inlineStr"/>
      <c r="M972" t="inlineStr"/>
      <c r="N972" t="inlineStr"/>
      <c r="O972" t="n">
        <v>0</v>
      </c>
      <c r="P972">
        <f>IF(B990=0,0,O972/B990)</f>
        <v/>
      </c>
      <c r="Q972">
        <f>IFERROR(1/IF(Inputs!$B$4="pvp",15,MAX(0.1,Skills!D19-IF(Skills!E19=TRUE,(Inputs!$B$31+1),0))),0)</f>
        <v/>
      </c>
      <c r="R972">
        <f>IF(AND(Inputs!$B$4&lt;&gt;"pvp",Inputs!$B$35&gt;0),(INT(Inputs!$B$35/IF(Inputs!$B$4="pvp",15,MAX(0.1,Skills!D19-IF(Skills!E19=TRUE,(Inputs!$B$31+1),0))))+1),0)</f>
        <v/>
      </c>
      <c r="S972">
        <f>IFERROR(O972/N972,0)</f>
        <v/>
      </c>
    </row>
    <row r="973">
      <c r="A973">
        <f>Skills!A20</f>
        <v/>
      </c>
      <c r="B973">
        <f>Skills!B20</f>
        <v/>
      </c>
      <c r="C973">
        <f>TRUE</f>
        <v/>
      </c>
      <c r="D973">
        <f>IF(Skills!C20=1,60+Inputs!$B$24+Inputs!$B$28,IF(Skills!C20=2,90+Inputs!$B$25+Inputs!$B$28,IF(Skills!C20=3,120+Inputs!$B$26+Inputs!$B$28,MAX(0,(Inputs!$B$3-100)*3)+Inputs!$B$27+Inputs!$B$28)))</f>
        <v/>
      </c>
      <c r="E973">
        <f>INDEX(FactorTable!$B$2:$Y$301, MATCH(ROUND(MIN(300,MAX(1,D973)),0), FactorTable!$A$2:$A$301,0), Skills!M20+1)</f>
        <v/>
      </c>
      <c r="F973">
        <f>IF(Skills!N20=TRUE,(Skills!L20/10)*(E973/1000),Skills!L20/10)+Skills!O20</f>
        <v/>
      </c>
      <c r="G973">
        <f>Skills!G20*IF(Skills!H20&gt;0,Skills!I20/Skills!H20,1)</f>
        <v/>
      </c>
      <c r="H973">
        <f>1-(1-Skills!J20/100)^Skills!K20</f>
        <v/>
      </c>
      <c r="I973" t="inlineStr">
        <is>
          <t>1</t>
        </is>
      </c>
      <c r="J973" t="inlineStr"/>
      <c r="K973" t="inlineStr"/>
      <c r="L973" t="inlineStr"/>
      <c r="M973" t="inlineStr"/>
      <c r="N973" t="inlineStr"/>
      <c r="O973" t="n">
        <v>0</v>
      </c>
      <c r="P973">
        <f>IF(B990=0,0,O973/B990)</f>
        <v/>
      </c>
      <c r="Q973">
        <f>IFERROR(1/IF(Inputs!$B$4="pvp",15,MAX(0.1,Skills!D20-IF(Skills!E20=TRUE,(Inputs!$B$31+1),0))),0)</f>
        <v/>
      </c>
      <c r="R973">
        <f>IF(AND(Inputs!$B$4&lt;&gt;"pvp",Inputs!$B$35&gt;0),(INT(Inputs!$B$35/IF(Inputs!$B$4="pvp",15,MAX(0.1,Skills!D20-IF(Skills!E20=TRUE,(Inputs!$B$31+1),0))))+1),0)</f>
        <v/>
      </c>
      <c r="S973">
        <f>IFERROR(O973/N973,0)</f>
        <v/>
      </c>
    </row>
    <row r="974">
      <c r="A974">
        <f>Skills!A21</f>
        <v/>
      </c>
      <c r="B974">
        <f>Skills!B21</f>
        <v/>
      </c>
      <c r="C974">
        <f>Inputs!$B$3&gt;=33</f>
        <v/>
      </c>
      <c r="D974">
        <f>IF(Skills!C21=1,60+Inputs!$B$24+Inputs!$B$28,IF(Skills!C21=2,90+Inputs!$B$25+Inputs!$B$28,IF(Skills!C21=3,120+Inputs!$B$26+Inputs!$B$28,MAX(0,(Inputs!$B$3-100)*3)+Inputs!$B$27+Inputs!$B$28)))</f>
        <v/>
      </c>
      <c r="E974">
        <f>INDEX(FactorTable!$B$2:$Y$301, MATCH(ROUND(MIN(300,MAX(1,D974)),0), FactorTable!$A$2:$A$301,0), Skills!M21+1)</f>
        <v/>
      </c>
      <c r="F974">
        <f>IF(Skills!N21=TRUE,(Skills!L21/10)*(E974/1000),Skills!L21/10)+Skills!O21</f>
        <v/>
      </c>
      <c r="G974">
        <f>Skills!G21*IF(Skills!H21&gt;0,Skills!I21/Skills!H21,1)</f>
        <v/>
      </c>
      <c r="H974">
        <f>1-(1-Skills!J21/100)^Skills!K21</f>
        <v/>
      </c>
      <c r="I974" t="inlineStr">
        <is>
          <t>1</t>
        </is>
      </c>
      <c r="J974" t="inlineStr"/>
      <c r="K974" t="inlineStr"/>
      <c r="L974" t="inlineStr"/>
      <c r="M974" t="inlineStr"/>
      <c r="N974" t="inlineStr"/>
      <c r="O974" t="n">
        <v>0</v>
      </c>
      <c r="P974">
        <f>IF(B990=0,0,O974/B990)</f>
        <v/>
      </c>
      <c r="Q974" t="n">
        <v>0</v>
      </c>
      <c r="R974" t="n">
        <v>0</v>
      </c>
      <c r="S974">
        <f>IFERROR(O974/N974,0)</f>
        <v/>
      </c>
    </row>
    <row r="975">
      <c r="A975">
        <f>Skills!A22</f>
        <v/>
      </c>
      <c r="B975">
        <f>Skills!B22</f>
        <v/>
      </c>
      <c r="C975">
        <f>Inputs!$B$3&gt;=43</f>
        <v/>
      </c>
      <c r="D975">
        <f>IF(Skills!C22=1,60+Inputs!$B$24+Inputs!$B$28,IF(Skills!C22=2,90+Inputs!$B$25+Inputs!$B$28,IF(Skills!C22=3,120+Inputs!$B$26+Inputs!$B$28,MAX(0,(Inputs!$B$3-100)*3)+Inputs!$B$27+Inputs!$B$28)))</f>
        <v/>
      </c>
      <c r="E975">
        <f>INDEX(FactorTable!$B$2:$Y$301, MATCH(ROUND(MIN(300,MAX(1,D975)),0), FactorTable!$A$2:$A$301,0), Skills!M22+1)</f>
        <v/>
      </c>
      <c r="F975">
        <f>IF(Skills!N22=TRUE,(Skills!L22/10)*(E975/1000),Skills!L22/10)+Skills!O22</f>
        <v/>
      </c>
      <c r="G975">
        <f>Skills!G22*IF(Skills!H22&gt;0,Skills!I22/Skills!H22,1)</f>
        <v/>
      </c>
      <c r="H975">
        <f>1-(1-Skills!J22/100)^Skills!K22</f>
        <v/>
      </c>
      <c r="I975" t="inlineStr">
        <is>
          <t>1</t>
        </is>
      </c>
      <c r="J975" t="inlineStr"/>
      <c r="K975" t="inlineStr"/>
      <c r="L975" t="inlineStr"/>
      <c r="M975" t="inlineStr"/>
      <c r="N975" t="inlineStr"/>
      <c r="O975" t="n">
        <v>0</v>
      </c>
      <c r="P975">
        <f>IF(B990=0,0,O975/B990)</f>
        <v/>
      </c>
      <c r="Q975" t="n">
        <v>0</v>
      </c>
      <c r="R975" t="n">
        <v>0</v>
      </c>
      <c r="S975">
        <f>IFERROR(O975/N975,0)</f>
        <v/>
      </c>
    </row>
    <row r="976">
      <c r="A976">
        <f>Skills!A23</f>
        <v/>
      </c>
      <c r="B976">
        <f>Skills!B23</f>
        <v/>
      </c>
      <c r="C976">
        <f>Inputs!$B$3&gt;=120</f>
        <v/>
      </c>
      <c r="D976">
        <f>IF(Skills!C23=1,60+Inputs!$B$24+Inputs!$B$28,IF(Skills!C23=2,90+Inputs!$B$25+Inputs!$B$28,IF(Skills!C23=3,120+Inputs!$B$26+Inputs!$B$28,MAX(0,(Inputs!$B$3-100)*3)+Inputs!$B$27+Inputs!$B$28)))</f>
        <v/>
      </c>
      <c r="E976">
        <f>INDEX(FactorTable!$B$2:$Y$301, MATCH(ROUND(MIN(300,MAX(1,D976)),0), FactorTable!$A$2:$A$301,0), Skills!M23+1)</f>
        <v/>
      </c>
      <c r="F976">
        <f>IF(Skills!N23=TRUE,(Skills!L23/10)*(E976/1000),Skills!L23/10)+Skills!O23</f>
        <v/>
      </c>
      <c r="G976">
        <f>Skills!G23*IF(Skills!H23&gt;0,Skills!I23/Skills!H23,1)</f>
        <v/>
      </c>
      <c r="H976">
        <f>1-(1-Skills!J23/100)^Skills!K23</f>
        <v/>
      </c>
      <c r="I976" t="inlineStr">
        <is>
          <t>1</t>
        </is>
      </c>
      <c r="J976" t="inlineStr"/>
      <c r="K976" t="inlineStr"/>
      <c r="L976" t="inlineStr"/>
      <c r="M976" t="inlineStr"/>
      <c r="N976" t="inlineStr"/>
      <c r="O976" t="n">
        <v>0</v>
      </c>
      <c r="P976">
        <f>IF(B990=0,0,O976/B990)</f>
        <v/>
      </c>
      <c r="Q976" t="n">
        <v>0</v>
      </c>
      <c r="R976" t="n">
        <v>0</v>
      </c>
      <c r="S976">
        <f>IFERROR(O976/N976,0)</f>
        <v/>
      </c>
    </row>
    <row r="977">
      <c r="A977">
        <f>Skills!A24</f>
        <v/>
      </c>
      <c r="B977">
        <f>Skills!B24</f>
        <v/>
      </c>
      <c r="C977">
        <f>Inputs!$B$3&gt;=120</f>
        <v/>
      </c>
      <c r="D977">
        <f>IF(Skills!C24=1,60+Inputs!$B$24+Inputs!$B$28,IF(Skills!C24=2,90+Inputs!$B$25+Inputs!$B$28,IF(Skills!C24=3,120+Inputs!$B$26+Inputs!$B$28,MAX(0,(Inputs!$B$3-100)*3)+Inputs!$B$27+Inputs!$B$28)))</f>
        <v/>
      </c>
      <c r="E977">
        <f>INDEX(FactorTable!$B$2:$Y$301, MATCH(ROUND(MIN(300,MAX(1,D977)),0), FactorTable!$A$2:$A$301,0), Skills!M24+1)</f>
        <v/>
      </c>
      <c r="F977">
        <f>IF(Skills!N24=TRUE,(Skills!L24/10)*(E977/1000),Skills!L24/10)+Skills!O24</f>
        <v/>
      </c>
      <c r="G977">
        <f>Skills!G24*IF(Skills!H24&gt;0,Skills!I24/Skills!H24,1)</f>
        <v/>
      </c>
      <c r="H977">
        <f>1-(1-Skills!J24/100)^Skills!K24</f>
        <v/>
      </c>
      <c r="I977" t="inlineStr">
        <is>
          <t>1</t>
        </is>
      </c>
      <c r="J977" t="inlineStr"/>
      <c r="K977" t="inlineStr"/>
      <c r="L977" t="inlineStr"/>
      <c r="M977" t="inlineStr"/>
      <c r="N977" t="inlineStr"/>
      <c r="O977" t="n">
        <v>0</v>
      </c>
      <c r="P977">
        <f>IF(B990=0,0,O977/B990)</f>
        <v/>
      </c>
      <c r="Q977" t="n">
        <v>0</v>
      </c>
      <c r="R977" t="n">
        <v>0</v>
      </c>
      <c r="S977">
        <f>IFERROR(O977/N977,0)</f>
        <v/>
      </c>
    </row>
    <row r="978">
      <c r="A978">
        <f>Skills!A25</f>
        <v/>
      </c>
      <c r="B978">
        <f>Skills!B25</f>
        <v/>
      </c>
      <c r="C978">
        <f>Inputs!$B$3&gt;=125</f>
        <v/>
      </c>
      <c r="D978">
        <f>IF(Skills!C25=1,60+Inputs!$B$24+Inputs!$B$28,IF(Skills!C25=2,90+Inputs!$B$25+Inputs!$B$28,IF(Skills!C25=3,120+Inputs!$B$26+Inputs!$B$28,MAX(0,(Inputs!$B$3-100)*3)+Inputs!$B$27+Inputs!$B$28)))</f>
        <v/>
      </c>
      <c r="E978">
        <f>INDEX(FactorTable!$B$2:$Y$301, MATCH(ROUND(MIN(300,MAX(1,D978)),0), FactorTable!$A$2:$A$301,0), Skills!M25+1)</f>
        <v/>
      </c>
      <c r="F978">
        <f>IF(Skills!N25=TRUE,(Skills!L25/10)*(E978/1000),Skills!L25/10)+Skills!O25</f>
        <v/>
      </c>
      <c r="G978">
        <f>Skills!G25*IF(Skills!H25&gt;0,Skills!I25/Skills!H25,1)</f>
        <v/>
      </c>
      <c r="H978">
        <f>1-(1-Skills!J25/100)^Skills!K25</f>
        <v/>
      </c>
      <c r="I978" t="inlineStr">
        <is>
          <t>1</t>
        </is>
      </c>
      <c r="J978" t="inlineStr"/>
      <c r="K978" t="inlineStr"/>
      <c r="L978" t="inlineStr"/>
      <c r="M978" t="inlineStr"/>
      <c r="N978" t="inlineStr"/>
      <c r="O978" t="n">
        <v>0</v>
      </c>
      <c r="P978">
        <f>IF(B990=0,0,O978/B990)</f>
        <v/>
      </c>
      <c r="Q978" t="n">
        <v>0</v>
      </c>
      <c r="R978" t="n">
        <v>0</v>
      </c>
      <c r="S978">
        <f>IFERROR(O978/N978,0)</f>
        <v/>
      </c>
    </row>
    <row r="979">
      <c r="A979">
        <f>Skills!A26</f>
        <v/>
      </c>
      <c r="B979">
        <f>Skills!B26</f>
        <v/>
      </c>
      <c r="C979">
        <f>Inputs!$B$3&gt;=107</f>
        <v/>
      </c>
      <c r="D979">
        <f>IF(Skills!C26=1,60+Inputs!$B$24+Inputs!$B$28,IF(Skills!C26=2,90+Inputs!$B$25+Inputs!$B$28,IF(Skills!C26=3,120+Inputs!$B$26+Inputs!$B$28,MAX(0,(Inputs!$B$3-100)*3)+Inputs!$B$27+Inputs!$B$28)))</f>
        <v/>
      </c>
      <c r="E979">
        <f>INDEX(FactorTable!$B$2:$Y$301, MATCH(ROUND(MIN(300,MAX(1,D979)),0), FactorTable!$A$2:$A$301,0), Skills!M26+1)</f>
        <v/>
      </c>
      <c r="F979">
        <f>IF(Skills!N26=TRUE,(Skills!L26/10)*(E979/1000),Skills!L26/10)+Skills!O26</f>
        <v/>
      </c>
      <c r="G979">
        <f>Skills!G26*IF(Skills!H26&gt;0,Skills!I26/Skills!H26,1)</f>
        <v/>
      </c>
      <c r="H979">
        <f>1-(1-Skills!J26/100)^Skills!K26</f>
        <v/>
      </c>
      <c r="I979" t="inlineStr">
        <is>
          <t>1</t>
        </is>
      </c>
      <c r="J979" t="inlineStr"/>
      <c r="K979" t="inlineStr"/>
      <c r="L979" t="inlineStr"/>
      <c r="M979" t="inlineStr"/>
      <c r="N979" t="inlineStr"/>
      <c r="O979" t="n">
        <v>0</v>
      </c>
      <c r="P979">
        <f>IF(B990=0,0,O979/B990)</f>
        <v/>
      </c>
      <c r="Q979" t="n">
        <v>0</v>
      </c>
      <c r="R979" t="n">
        <v>0</v>
      </c>
      <c r="S979">
        <f>IFERROR(O979/N979,0)</f>
        <v/>
      </c>
    </row>
    <row r="981">
      <c r="A981" t="inlineStr">
        <is>
          <t>Attack% Bucket Multiplier</t>
        </is>
      </c>
      <c r="B981">
        <f>(1+(((C966=TRUE)*F966*IF(AND(Inputs!$B$4&lt;&gt;"pvp",Inputs!$B$35&gt;0),(((S966-1)*(Skills!T13*(1+Inputs!$B$33/100))+MIN((Skills!T13*(1+Inputs!$B$33/100)),MAX(0,Inputs!$B$35-((S966-1)*Skills!D13))))/Inputs!$B$35),IF(Inputs!$B$4="pvp",MIN((Skills!T13*(1+Inputs!$B$33/100)),15)/15,(Skills!T13*(1+Inputs!$B$33/100))/Skills!D13)))+((C967=TRUE)*F967*IF(AND(Inputs!$B$4&lt;&gt;"pvp",Inputs!$B$35&gt;0),(((S967-1)*(Skills!T14*(1+Inputs!$B$33/100))+MIN((Skills!T14*(1+Inputs!$B$33/100)),MAX(0,Inputs!$B$35-((S967-1)*Skills!D14))))/Inputs!$B$35),IF(Inputs!$B$4="pvp",MIN((Skills!T14*(1+Inputs!$B$33/100)),15)/15,(Skills!T14*(1+Inputs!$B$33/100))/Skills!D14)))+((C968=TRUE)*F968*IF(AND(Inputs!$B$4&lt;&gt;"pvp",Inputs!$B$35&gt;0),(((S968-1)*(Skills!T15*(1+Inputs!$B$33/100))+MIN((Skills!T15*(1+Inputs!$B$33/100)),MAX(0,Inputs!$B$35-((S968-1)*Skills!D15))))/Inputs!$B$35),IF(Inputs!$B$4="pvp",MIN((Skills!T15*(1+Inputs!$B$33/100)),15)/15,(Skills!T15*(1+Inputs!$B$33/100))/Skills!D15)))+((C969=TRUE)*F969*IF(AND(Inputs!$B$4&lt;&gt;"pvp",Inputs!$B$35&gt;0),(((S969-1)*(Skills!T16*(1+Inputs!$B$33/100))+MIN((Skills!T16*(1+Inputs!$B$33/100)),MAX(0,Inputs!$B$35-((S969-1)*Skills!D16))))/Inputs!$B$35),IF(Inputs!$B$4="pvp",MIN((Skills!T16*(1+Inputs!$B$33/100)),15)/15,(Skills!T16*(1+Inputs!$B$33/100))/Skills!D16)))+0)/100)</f>
        <v/>
      </c>
    </row>
    <row r="982">
      <c r="A982" t="inlineStr">
        <is>
          <t>Global Crit Rate Bonus % (Lord of Darkness)</t>
        </is>
      </c>
      <c r="B982">
        <f>((C971=TRUE)*F971*(Skills!J18/100)*IF(AND(Inputs!$B$4&lt;&gt;"pvp",Inputs!$B$35&gt;0),(((S971-1)*(Skills!T18*(1+Inputs!$B$33/100))+MIN((Skills!T18*(1+Inputs!$B$33/100)),MAX(0,Inputs!$B$35-((S971-1)*Skills!D18))))/Inputs!$B$35),IF(Inputs!$B$4="pvp",MIN((Skills!T18*(1+Inputs!$B$33/100)),15)/15,(Skills!T18*(1+Inputs!$B$33/100))/Skills!D18)))</f>
        <v/>
      </c>
    </row>
    <row r="983">
      <c r="A983" t="inlineStr">
        <is>
          <t>Attack Speed Buff Bonus %</t>
        </is>
      </c>
      <c r="B983">
        <f>((C973=TRUE)*F973*IF(AND(Inputs!$B$4&lt;&gt;"pvp",Inputs!$B$35&gt;0),(((S973-1)*(Skills!T20*(1+Inputs!$B$33/100))+MIN((Skills!T20*(1+Inputs!$B$33/100)),MAX(0,Inputs!$B$35-((S973-1)*Skills!D20))))/Inputs!$B$35),IF(Inputs!$B$4="pvp",MIN((Skills!T20*(1+Inputs!$B$33/100)),15)/15,(Skills!T20*(1+Inputs!$B$33/100))/Skills!D20)))</f>
        <v/>
      </c>
    </row>
    <row r="984">
      <c r="A984" t="inlineStr">
        <is>
          <t>Actions Per Second</t>
        </is>
      </c>
      <c r="B984">
        <f>1+MIN(150,150*(1-(1-(Inputs!$B$10+((C974=TRUE)*(F974-Calc!F21)))/150)*(1-B983/150)))/100</f>
        <v/>
      </c>
    </row>
    <row r="985">
      <c r="A985" t="inlineStr">
        <is>
          <t>Skill + Buff Cast Rate</t>
        </is>
      </c>
      <c r="B985">
        <f>IF(AND(Inputs!$B$4&lt;&gt;"pvp",Inputs!$B$35&gt;0),SUMPRODUCT((Skills!E2:E26=TRUE)*(C955:C979=TRUE)*R955:R979*Skills!F2:F26)/Inputs!$B$35,SUMPRODUCT((Skills!E2:E26=TRUE)*(C955:C979=TRUE)*Q955:Q979*Skills!F2:F26))</f>
        <v/>
      </c>
    </row>
    <row r="986">
      <c r="A986" t="inlineStr">
        <is>
          <t>Dark Impale Casts Per Second</t>
        </is>
      </c>
      <c r="B986">
        <f>MAX(0,B984-B985)</f>
        <v/>
      </c>
    </row>
    <row r="987">
      <c r="A987" t="inlineStr">
        <is>
          <t>Global Critical Damage Bonus % (Lord of Darkness)</t>
        </is>
      </c>
      <c r="B987">
        <f>((C972=TRUE)*F972*(Skills!J19/100)*IF(AND(Inputs!$B$4&lt;&gt;"pvp",Inputs!$B$35&gt;0),(((S972-1)*(Skills!T19*(1+Inputs!$B$33/100))+MIN((Skills!T19*(1+Inputs!$B$33/100)),MAX(0,Inputs!$B$35-((S972-1)*Skills!D19))))/Inputs!$B$35),IF(Inputs!$B$4="pvp",MIN((Skills!T19*(1+Inputs!$B$33/100)),15)/15,(Skills!T19*(1+Inputs!$B$33/100))/Skills!D19)))</f>
        <v/>
      </c>
    </row>
    <row r="988">
      <c r="A988" t="inlineStr">
        <is>
          <t>Global Final Damage Bonus % (unused)</t>
        </is>
      </c>
      <c r="B988" t="n">
        <v>0</v>
      </c>
    </row>
    <row r="990">
      <c r="A990" s="5" t="inlineStr">
        <is>
          <t>TOTAL DPS</t>
        </is>
      </c>
      <c r="B990" s="5">
        <f>SUM(O955:O979)</f>
        <v/>
      </c>
    </row>
    <row r="993">
      <c r="A993" s="5" t="inlineStr">
        <is>
          <t>Stat: Basic Attack Target Increase (flat)</t>
        </is>
      </c>
    </row>
    <row r="994">
      <c r="A994" s="8" t="inlineStr">
        <is>
          <t>Key</t>
        </is>
      </c>
      <c r="B994" s="8" t="inlineStr">
        <is>
          <t>Name</t>
        </is>
      </c>
      <c r="C994" s="8" t="inlineStr">
        <is>
          <t>Unlocked</t>
        </is>
      </c>
      <c r="D994" s="8" t="inlineStr">
        <is>
          <t>InputLevel</t>
        </is>
      </c>
      <c r="E994" s="8" t="inlineStr">
        <is>
          <t>Factor</t>
        </is>
      </c>
      <c r="F994" s="8" t="inlineStr">
        <is>
          <t>CoefficientPercent</t>
        </is>
      </c>
      <c r="G994" s="8" t="inlineStr">
        <is>
          <t>EffectiveHits</t>
        </is>
      </c>
      <c r="H994" s="8" t="inlineStr">
        <is>
          <t>ProcProbability</t>
        </is>
      </c>
      <c r="I994" s="8" t="inlineStr">
        <is>
          <t>MapleHeroMultiplier</t>
        </is>
      </c>
      <c r="J994" s="8" t="inlineStr">
        <is>
          <t>BaseDamage</t>
        </is>
      </c>
      <c r="K994" s="8" t="inlineStr">
        <is>
          <t>BaseHitDamage</t>
        </is>
      </c>
      <c r="L994" s="8" t="inlineStr">
        <is>
          <t>NonCritAvg</t>
        </is>
      </c>
      <c r="M994" s="8" t="inlineStr">
        <is>
          <t>CritAvg</t>
        </is>
      </c>
      <c r="N994" s="8" t="inlineStr">
        <is>
          <t>ExpectedDamage(perHit)</t>
        </is>
      </c>
      <c r="O994" s="8" t="inlineStr">
        <is>
          <t>DPS</t>
        </is>
      </c>
      <c r="P994" s="8" t="inlineStr">
        <is>
          <t>% of Total</t>
        </is>
      </c>
      <c r="Q994" s="8" t="inlineStr">
        <is>
          <t>InvCooldown</t>
        </is>
      </c>
      <c r="R994" s="8" t="inlineStr">
        <is>
          <t>CastsInFight</t>
        </is>
      </c>
      <c r="S994" s="8" t="inlineStr">
        <is>
          <t>HitRate(perSec)</t>
        </is>
      </c>
      <c r="U994" t="inlineStr">
        <is>
          <t>helpers</t>
        </is>
      </c>
    </row>
    <row r="995">
      <c r="A995">
        <f>Skills!A2</f>
        <v/>
      </c>
      <c r="B995">
        <f>Skills!B2</f>
        <v/>
      </c>
      <c r="C995">
        <f>Inputs!$B$3&gt;=100</f>
        <v/>
      </c>
      <c r="D995" t="inlineStr"/>
      <c r="E995" t="inlineStr"/>
      <c r="F995">
        <f>U997+Skills!O2</f>
        <v/>
      </c>
      <c r="G995">
        <f>Skills!G2*IF(Skills!H2&gt;0,Skills!I2/Skills!H2,1)</f>
        <v/>
      </c>
      <c r="H995">
        <f>1-(1-Skills!J2/100)^Skills!K2</f>
        <v/>
      </c>
      <c r="I995" t="inlineStr">
        <is>
          <t>1</t>
        </is>
      </c>
      <c r="J995">
        <f>(Inputs!$B$5*(1+Inputs!$B$6/100))*(F995/100)</f>
        <v/>
      </c>
      <c r="K995">
        <f>J995*(1+((Inputs!$B$11*(1+Inputs!$B$12/100))*0.01+Inputs!$B$13*0.0025)/100)*(1+Inputs!$B$14/100)*(1+IF(Inputs!$B$4="pvp",0,(1-Summary!$B$55)*(Inputs!$B$19+0+Skills!P2+((C1010=TRUE)*F1010*IF(AND(Inputs!$B$4&lt;&gt;"pvp",Inputs!$B$35&gt;0),(((S1010-1)*(Skills!T17*(1+Inputs!$B$33/100))+MIN((Skills!T17*(1+Inputs!$B$33/100)),MAX(0,Inputs!$B$35-((S1010-1)*Skills!D17))))/Inputs!$B$35),IF(Inputs!$B$4="pvp",MIN((Skills!T17*(1+Inputs!$B$33/100)),15)/15,(Skills!T17*(1+Inputs!$B$33/100))/Skills!D17)))+((C1007=TRUE)*IF(Inputs!$B$4="pvp",20,(1-Summary!$B$55)*(20)+Summary!$B$55*(0))*IF(AND(Inputs!$B$4&lt;&gt;"pvp",Inputs!$B$35&gt;0),(((S1007-1)*(Skills!T14*(1+Inputs!$B$33/100))+MIN((Skills!T14*(1+Inputs!$B$33/100)),MAX(0,Inputs!$B$35-((S1007-1)*Skills!D14))))/Inputs!$B$35),IF(Inputs!$B$4="pvp",MIN((Skills!T14*(1+Inputs!$B$33/100)),15)/15,(Skills!T14*(1+Inputs!$B$33/100))/Skills!D14))))+Summary!$B$55*(Inputs!$B$20+Skills!Q2+((C1010=TRUE)*F1010*IF(AND(Inputs!$B$4&lt;&gt;"pvp",Inputs!$B$35&gt;0),(((S1010-1)*(Skills!T17*(1+Inputs!$B$33/100))+MIN((Skills!T17*(1+Inputs!$B$33/100)),MAX(0,Inputs!$B$35-((S1010-1)*Skills!D17))))/Inputs!$B$35),IF(Inputs!$B$4="pvp",MIN((Skills!T17*(1+Inputs!$B$33/100)),15)/15,(Skills!T17*(1+Inputs!$B$33/100))/Skills!D17)))))/100)*(1+Inputs!$B$15/100)*(5000/(6000+Inputs!$B$7*(1-(Inputs!$B$18+0)/100)))*(1+(Inputs!$B$23+((C1018=TRUE)*(F1018-Calc!F25))+((C1019=TRUE)*(F1019-Calc!F26))+B1028)/100)*(1+(IF(Skills!A2="DARK_IMPALE",Inputs!$B$16+0,Inputs!$B$17+((C1016=TRUE)*(F1016-Calc!F23))))/100)*((1+(((C1006=TRUE)*F1006*IF(AND(Inputs!$B$4&lt;&gt;"pvp",Inputs!$B$35&gt;0),(((S1006-1)*(Skills!T13*(1+Inputs!$B$33/100))+MIN((Skills!T13*(1+Inputs!$B$33/100)),MAX(0,Inputs!$B$35-((S1006-1)*Skills!D13))))/Inputs!$B$35),IF(Inputs!$B$4="pvp",MIN((Skills!T13*(1+Inputs!$B$33/100)),15)/15,(Skills!T13*(1+Inputs!$B$33/100))/Skills!D13)))+((C1007=TRUE)*F1007*IF(AND(Inputs!$B$4&lt;&gt;"pvp",Inputs!$B$35&gt;0),(((S1007-1)*(Skills!T14*(1+Inputs!$B$33/100))+MIN((Skills!T14*(1+Inputs!$B$33/100)),MAX(0,Inputs!$B$35-((S1007-1)*Skills!D14))))/Inputs!$B$35),IF(Inputs!$B$4="pvp",MIN((Skills!T14*(1+Inputs!$B$33/100)),15)/15,(Skills!T14*(1+Inputs!$B$33/100))/Skills!D14)))+((C1008=TRUE)*F1008*IF(AND(Inputs!$B$4&lt;&gt;"pvp",Inputs!$B$35&gt;0),(((S1008-1)*(Skills!T15*(1+Inputs!$B$33/100))+MIN((Skills!T15*(1+Inputs!$B$33/100)),MAX(0,Inputs!$B$35-((S1008-1)*Skills!D15))))/Inputs!$B$35),IF(Inputs!$B$4="pvp",MIN((Skills!T15*(1+Inputs!$B$33/100)),15)/15,(Skills!T15*(1+Inputs!$B$33/100))/Skills!D15)))+((C1009=TRUE)*F1009*IF(AND(Inputs!$B$4&lt;&gt;"pvp",Inputs!$B$35&gt;0),(((S1009-1)*(Skills!T16*(1+Inputs!$B$33/100))+MIN((Skills!T16*(1+Inputs!$B$33/100)),MAX(0,Inputs!$B$35-((S1009-1)*Skills!D16))))/Inputs!$B$35),IF(Inputs!$B$4="pvp",MIN((Skills!T16*(1+Inputs!$B$33/100)),15)/15,(Skills!T16*(1+Inputs!$B$33/100))/Skills!D16)))+0)/100)*I995)</f>
        <v/>
      </c>
      <c r="L995">
        <f>K995*(MIN(Inputs!$B$21+((C1015=TRUE)*(F1015-Calc!F22)),Inputs!$B$22+((C1017=TRUE)*(F1017-Calc!F24)))/100+(Inputs!$B$22+((C1017=TRUE)*(F1017-Calc!F24)))/100)/2</f>
        <v/>
      </c>
      <c r="M995">
        <f>L995*(1+(Inputs!$B$9+0+B1027)/100)</f>
        <v/>
      </c>
      <c r="N995">
        <f>L995*(1-MIN((Inputs!$B$8+0+B1022),100)/100)+M995*(MIN((Inputs!$B$8+0+B1022),100)/100)</f>
        <v/>
      </c>
      <c r="O995">
        <f>IF(C995,Skills!G2*N995*B1026*IF(Inputs!$B$4="pvp",1,(1-Summary!$B$55)*(1)+Summary!$B$55*(MIN((6+(Inputs!$B$32+1)),Inputs!$B$37))),0)</f>
        <v/>
      </c>
      <c r="P995">
        <f>IF(B1030=0,0,O995/B1030)</f>
        <v/>
      </c>
      <c r="Q995" t="n">
        <v>0</v>
      </c>
      <c r="R995" t="n">
        <v>0</v>
      </c>
      <c r="S995">
        <f>IFERROR(O995/N995,0)</f>
        <v/>
      </c>
      <c r="U995">
        <f>MAX(0,(Inputs!$B$3-100)*3)+Inputs!$B$27+Inputs!$B$28</f>
        <v/>
      </c>
    </row>
    <row r="996">
      <c r="A996">
        <f>Skills!A3</f>
        <v/>
      </c>
      <c r="B996">
        <f>Skills!B3</f>
        <v/>
      </c>
      <c r="C996">
        <f>Inputs!$B$3&gt;=50</f>
        <v/>
      </c>
      <c r="D996">
        <f>IF(Skills!C3=1,60+Inputs!$B$24+Inputs!$B$28,IF(Skills!C3=2,90+Inputs!$B$25+Inputs!$B$28,IF(Skills!C3=3,120+Inputs!$B$26+Inputs!$B$28,MAX(0,(Inputs!$B$3-100)*3)+Inputs!$B$27+Inputs!$B$28)))</f>
        <v/>
      </c>
      <c r="E996">
        <f>INDEX(FactorTable!$B$2:$Y$301, MATCH(ROUND(MIN(300,MAX(1,D996)),0), FactorTable!$A$2:$A$301,0), Skills!M3+1)</f>
        <v/>
      </c>
      <c r="F996">
        <f>IF(Skills!N3=TRUE,(Skills!L3/10)*(E996/1000),Skills!L3/10)+Skills!O3</f>
        <v/>
      </c>
      <c r="G996" t="inlineStr"/>
      <c r="H996" t="inlineStr"/>
      <c r="I996" t="inlineStr">
        <is>
          <t>1</t>
        </is>
      </c>
      <c r="J996" t="inlineStr"/>
      <c r="K996" t="inlineStr"/>
      <c r="L996" t="inlineStr"/>
      <c r="M996" t="inlineStr"/>
      <c r="N996" t="inlineStr"/>
      <c r="O996" t="inlineStr"/>
      <c r="P996" t="inlineStr"/>
      <c r="Q996" t="inlineStr"/>
      <c r="R996" t="inlineStr"/>
      <c r="S996" t="inlineStr"/>
      <c r="U996">
        <f>INDEX(FactorTable!$B$2:$Y$301, MATCH(ROUND(MIN(300,MAX(1,U995)),0), FactorTable!$A$2:$A$301,0), 22)</f>
        <v/>
      </c>
    </row>
    <row r="997">
      <c r="A997">
        <f>Skills!A4</f>
        <v/>
      </c>
      <c r="B997">
        <f>Skills!B4</f>
        <v/>
      </c>
      <c r="C997">
        <f>Inputs!$B$3&gt;=105</f>
        <v/>
      </c>
      <c r="D997">
        <f>IF(Skills!C4=1,60+Inputs!$B$24+Inputs!$B$28,IF(Skills!C4=2,90+Inputs!$B$25+Inputs!$B$28,IF(Skills!C4=3,120+Inputs!$B$26+Inputs!$B$28,MAX(0,(Inputs!$B$3-100)*3)+Inputs!$B$27+Inputs!$B$28)))</f>
        <v/>
      </c>
      <c r="E997">
        <f>INDEX(FactorTable!$B$2:$Y$301, MATCH(ROUND(MIN(300,MAX(1,D997)),0), FactorTable!$A$2:$A$301,0), Skills!M4+1)</f>
        <v/>
      </c>
      <c r="F997">
        <f>IF(Skills!N4=TRUE,(Skills!L4/10)*(E997/1000),Skills!L4/10)+Skills!O4</f>
        <v/>
      </c>
      <c r="G997" t="inlineStr"/>
      <c r="H997" t="inlineStr"/>
      <c r="I997" t="inlineStr">
        <is>
          <t>1</t>
        </is>
      </c>
      <c r="J997" t="inlineStr"/>
      <c r="K997" t="inlineStr"/>
      <c r="L997" t="inlineStr"/>
      <c r="M997" t="inlineStr"/>
      <c r="N997" t="inlineStr"/>
      <c r="O997" t="inlineStr"/>
      <c r="P997" t="inlineStr"/>
      <c r="Q997" t="inlineStr"/>
      <c r="R997" t="inlineStr"/>
      <c r="S997" t="inlineStr"/>
      <c r="U997">
        <f>290*U996/1000</f>
        <v/>
      </c>
    </row>
    <row r="998">
      <c r="A998">
        <f>Skills!A5</f>
        <v/>
      </c>
      <c r="B998">
        <f>Skills!B5</f>
        <v/>
      </c>
      <c r="C998">
        <f>Inputs!$B$3&gt;=117</f>
        <v/>
      </c>
      <c r="D998">
        <f>IF(Skills!C5=1,60+Inputs!$B$24+Inputs!$B$28,IF(Skills!C5=2,90+Inputs!$B$25+Inputs!$B$28,IF(Skills!C5=3,120+Inputs!$B$26+Inputs!$B$28,MAX(0,(Inputs!$B$3-100)*3)+Inputs!$B$27+Inputs!$B$28)))</f>
        <v/>
      </c>
      <c r="E998">
        <f>INDEX(FactorTable!$B$2:$Y$301, MATCH(ROUND(MIN(300,MAX(1,D998)),0), FactorTable!$A$2:$A$301,0), Skills!M5+1)</f>
        <v/>
      </c>
      <c r="F998">
        <f>IF(Skills!N5=TRUE,(Skills!L5/10)*(E998/1000),Skills!L5/10)+Skills!O5</f>
        <v/>
      </c>
      <c r="G998">
        <f>Skills!G5*IF(Skills!H5&gt;0,Skills!I5/Skills!H5,1)</f>
        <v/>
      </c>
      <c r="H998">
        <f>1-(1-Skills!J5/100)^Skills!K5</f>
        <v/>
      </c>
      <c r="I998" t="inlineStr">
        <is>
          <t>1</t>
        </is>
      </c>
      <c r="J998">
        <f>(Inputs!$B$5*(1+Inputs!$B$6/100))*(F998/100)</f>
        <v/>
      </c>
      <c r="K998">
        <f>J998*(1+((Inputs!$B$11*(1+Inputs!$B$12/100))*0.01+Inputs!$B$13*0.0025)/100)*(1+Inputs!$B$14/100)*(1+IF(Inputs!$B$4="pvp",0,(1-Summary!$B$55)*(Inputs!$B$19+0+Skills!P5+((C1010=TRUE)*F1010*IF(AND(Inputs!$B$4&lt;&gt;"pvp",Inputs!$B$35&gt;0),(((S1010-1)*(Skills!T17*(1+Inputs!$B$33/100))+MIN((Skills!T17*(1+Inputs!$B$33/100)),MAX(0,Inputs!$B$35-((S1010-1)*Skills!D17))))/Inputs!$B$35),IF(Inputs!$B$4="pvp",MIN((Skills!T17*(1+Inputs!$B$33/100)),15)/15,(Skills!T17*(1+Inputs!$B$33/100))/Skills!D17)))+((C1007=TRUE)*IF(Inputs!$B$4="pvp",20,(1-Summary!$B$55)*(20)+Summary!$B$55*(0))*IF(AND(Inputs!$B$4&lt;&gt;"pvp",Inputs!$B$35&gt;0),(((S1007-1)*(Skills!T14*(1+Inputs!$B$33/100))+MIN((Skills!T14*(1+Inputs!$B$33/100)),MAX(0,Inputs!$B$35-((S1007-1)*Skills!D14))))/Inputs!$B$35),IF(Inputs!$B$4="pvp",MIN((Skills!T14*(1+Inputs!$B$33/100)),15)/15,(Skills!T14*(1+Inputs!$B$33/100))/Skills!D14))))+Summary!$B$55*(Inputs!$B$20+Skills!Q5+((C1010=TRUE)*F1010*IF(AND(Inputs!$B$4&lt;&gt;"pvp",Inputs!$B$35&gt;0),(((S1010-1)*(Skills!T17*(1+Inputs!$B$33/100))+MIN((Skills!T17*(1+Inputs!$B$33/100)),MAX(0,Inputs!$B$35-((S1010-1)*Skills!D17))))/Inputs!$B$35),IF(Inputs!$B$4="pvp",MIN((Skills!T17*(1+Inputs!$B$33/100)),15)/15,(Skills!T17*(1+Inputs!$B$33/100))/Skills!D17)))))/100)*(1+Inputs!$B$15/100)*(5000/(6000+Inputs!$B$7*(1-(Inputs!$B$18+0)/100)))*(1+(Inputs!$B$23+((C1018=TRUE)*(F1018-Calc!F25))+((C1019=TRUE)*(F1019-Calc!F26))+B1028)/100)*(1+(IF(Skills!A5="DARK_IMPALE",Inputs!$B$16+0,Inputs!$B$17+((C1016=TRUE)*(F1016-Calc!F23))))/100)*((1+(((C1006=TRUE)*F1006*IF(AND(Inputs!$B$4&lt;&gt;"pvp",Inputs!$B$35&gt;0),(((S1006-1)*(Skills!T13*(1+Inputs!$B$33/100))+MIN((Skills!T13*(1+Inputs!$B$33/100)),MAX(0,Inputs!$B$35-((S1006-1)*Skills!D13))))/Inputs!$B$35),IF(Inputs!$B$4="pvp",MIN((Skills!T13*(1+Inputs!$B$33/100)),15)/15,(Skills!T13*(1+Inputs!$B$33/100))/Skills!D13)))+((C1007=TRUE)*F1007*IF(AND(Inputs!$B$4&lt;&gt;"pvp",Inputs!$B$35&gt;0),(((S1007-1)*(Skills!T14*(1+Inputs!$B$33/100))+MIN((Skills!T14*(1+Inputs!$B$33/100)),MAX(0,Inputs!$B$35-((S1007-1)*Skills!D14))))/Inputs!$B$35),IF(Inputs!$B$4="pvp",MIN((Skills!T14*(1+Inputs!$B$33/100)),15)/15,(Skills!T14*(1+Inputs!$B$33/100))/Skills!D14)))+((C1008=TRUE)*F1008*IF(AND(Inputs!$B$4&lt;&gt;"pvp",Inputs!$B$35&gt;0),(((S1008-1)*(Skills!T15*(1+Inputs!$B$33/100))+MIN((Skills!T15*(1+Inputs!$B$33/100)),MAX(0,Inputs!$B$35-((S1008-1)*Skills!D15))))/Inputs!$B$35),IF(Inputs!$B$4="pvp",MIN((Skills!T15*(1+Inputs!$B$33/100)),15)/15,(Skills!T15*(1+Inputs!$B$33/100))/Skills!D15)))+((C1009=TRUE)*F1009*IF(AND(Inputs!$B$4&lt;&gt;"pvp",Inputs!$B$35&gt;0),(((S1009-1)*(Skills!T16*(1+Inputs!$B$33/100))+MIN((Skills!T16*(1+Inputs!$B$33/100)),MAX(0,Inputs!$B$35-((S1009-1)*Skills!D16))))/Inputs!$B$35),IF(Inputs!$B$4="pvp",MIN((Skills!T16*(1+Inputs!$B$33/100)),15)/15,(Skills!T16*(1+Inputs!$B$33/100))/Skills!D16)))+0)/100)*I998)</f>
        <v/>
      </c>
      <c r="L998">
        <f>K998*(MIN(Inputs!$B$21+((C1015=TRUE)*(F1015-Calc!F22)),Inputs!$B$22+((C1017=TRUE)*(F1017-Calc!F24)))/100+(Inputs!$B$22+((C1017=TRUE)*(F1017-Calc!F24)))/100)/2</f>
        <v/>
      </c>
      <c r="M998">
        <f>L998*(1+(Inputs!$B$9+0+B1027)/100)</f>
        <v/>
      </c>
      <c r="N998">
        <f>L998*(1-MIN((Inputs!$B$8+0+B1022),100)/100)+M998*(MIN((Inputs!$B$8+0+B1022),100)/100)</f>
        <v/>
      </c>
      <c r="O998">
        <f>IF(C998,H998*N998*IF(AND(Inputs!$B$4&lt;&gt;"pvp",Inputs!$B$35&gt;0),((Skills!G5*((R998-1)*IF(Skills!H5&gt;0,Skills!I5/Skills!H5,1)+IF(Skills!H5&gt;0,MIN(Skills!I5,MAX(0,Inputs!$B$35-((R998-1)*IF(Inputs!$B$4="pvp",15,MAX(0.1,Skills!D5-IF(Skills!E5=TRUE,Inputs!$B$31,0))))))/Skills!H5,1)))/Inputs!$B$35),G998*Q998)*IF(Inputs!$B$4="pvp",1,(1-Summary!$B$55)*(1)+Summary!$B$55*(MIN(Skills!R5,Inputs!$B$37))),0)</f>
        <v/>
      </c>
      <c r="P998">
        <f>IF(B1030=0,0,O998/B1030)</f>
        <v/>
      </c>
      <c r="Q998">
        <f>IFERROR(1/IF(Inputs!$B$4="pvp",15,MAX(0.1,Skills!D5-IF(Skills!E5=TRUE,Inputs!$B$31,0))),0)</f>
        <v/>
      </c>
      <c r="R998">
        <f>IF(AND(Inputs!$B$4&lt;&gt;"pvp",Inputs!$B$35&gt;0),(INT(Inputs!$B$35/IF(Inputs!$B$4="pvp",15,MAX(0.1,Skills!D5-IF(Skills!E5=TRUE,Inputs!$B$31,0))))+1),0)</f>
        <v/>
      </c>
      <c r="S998">
        <f>IFERROR(O998/N998,0)</f>
        <v/>
      </c>
    </row>
    <row r="999">
      <c r="A999">
        <f>Skills!A6</f>
        <v/>
      </c>
      <c r="B999">
        <f>Skills!B6</f>
        <v/>
      </c>
      <c r="C999">
        <f>Inputs!$B$3&gt;=103</f>
        <v/>
      </c>
      <c r="D999">
        <f>IF(Skills!C6=1,60+Inputs!$B$24+Inputs!$B$28,IF(Skills!C6=2,90+Inputs!$B$25+Inputs!$B$28,IF(Skills!C6=3,120+Inputs!$B$26+Inputs!$B$28,MAX(0,(Inputs!$B$3-100)*3)+Inputs!$B$27+Inputs!$B$28)))</f>
        <v/>
      </c>
      <c r="E999">
        <f>INDEX(FactorTable!$B$2:$Y$301, MATCH(ROUND(MIN(300,MAX(1,D999)),0), FactorTable!$A$2:$A$301,0), Skills!M6+1)</f>
        <v/>
      </c>
      <c r="F999">
        <f>IF(Skills!N6=TRUE,(Skills!L6/10)*(E999/1000),Skills!L6/10)+Skills!O6</f>
        <v/>
      </c>
      <c r="G999">
        <f>Skills!G6*IF(Skills!H6&gt;0,Skills!I6/Skills!H6,1)</f>
        <v/>
      </c>
      <c r="H999">
        <f>1-(1-Skills!J6/100)^Skills!K6</f>
        <v/>
      </c>
      <c r="I999" t="inlineStr">
        <is>
          <t>1</t>
        </is>
      </c>
      <c r="J999">
        <f>(Inputs!$B$5*(1+Inputs!$B$6/100))*(F999/100)</f>
        <v/>
      </c>
      <c r="K999">
        <f>J999*(1+((Inputs!$B$11*(1+Inputs!$B$12/100))*0.01+Inputs!$B$13*0.0025)/100)*(1+Inputs!$B$14/100)*(1+IF(Inputs!$B$4="pvp",0,(1-Summary!$B$55)*(Inputs!$B$19+0+Skills!P6+((C1010=TRUE)*F1010*IF(AND(Inputs!$B$4&lt;&gt;"pvp",Inputs!$B$35&gt;0),(((S1010-1)*(Skills!T17*(1+Inputs!$B$33/100))+MIN((Skills!T17*(1+Inputs!$B$33/100)),MAX(0,Inputs!$B$35-((S1010-1)*Skills!D17))))/Inputs!$B$35),IF(Inputs!$B$4="pvp",MIN((Skills!T17*(1+Inputs!$B$33/100)),15)/15,(Skills!T17*(1+Inputs!$B$33/100))/Skills!D17)))+((C1007=TRUE)*IF(Inputs!$B$4="pvp",20,(1-Summary!$B$55)*(20)+Summary!$B$55*(0))*IF(AND(Inputs!$B$4&lt;&gt;"pvp",Inputs!$B$35&gt;0),(((S1007-1)*(Skills!T14*(1+Inputs!$B$33/100))+MIN((Skills!T14*(1+Inputs!$B$33/100)),MAX(0,Inputs!$B$35-((S1007-1)*Skills!D14))))/Inputs!$B$35),IF(Inputs!$B$4="pvp",MIN((Skills!T14*(1+Inputs!$B$33/100)),15)/15,(Skills!T14*(1+Inputs!$B$33/100))/Skills!D14))))+Summary!$B$55*(Inputs!$B$20+Skills!Q6+((C1010=TRUE)*F1010*IF(AND(Inputs!$B$4&lt;&gt;"pvp",Inputs!$B$35&gt;0),(((S1010-1)*(Skills!T17*(1+Inputs!$B$33/100))+MIN((Skills!T17*(1+Inputs!$B$33/100)),MAX(0,Inputs!$B$35-((S1010-1)*Skills!D17))))/Inputs!$B$35),IF(Inputs!$B$4="pvp",MIN((Skills!T17*(1+Inputs!$B$33/100)),15)/15,(Skills!T17*(1+Inputs!$B$33/100))/Skills!D17)))))/100)*(1+Inputs!$B$15/100)*(5000/(6000+Inputs!$B$7*(1-(Inputs!$B$18+0)/100)))*(1+(Inputs!$B$23+((C1018=TRUE)*(F1018-Calc!F25))+((C1019=TRUE)*(F1019-Calc!F26))+B1028)/100)*(1+(IF(Skills!A6="DARK_IMPALE",Inputs!$B$16+0,Inputs!$B$17+((C1016=TRUE)*(F1016-Calc!F23))))/100)*((1+(((C1006=TRUE)*F1006*IF(AND(Inputs!$B$4&lt;&gt;"pvp",Inputs!$B$35&gt;0),(((S1006-1)*(Skills!T13*(1+Inputs!$B$33/100))+MIN((Skills!T13*(1+Inputs!$B$33/100)),MAX(0,Inputs!$B$35-((S1006-1)*Skills!D13))))/Inputs!$B$35),IF(Inputs!$B$4="pvp",MIN((Skills!T13*(1+Inputs!$B$33/100)),15)/15,(Skills!T13*(1+Inputs!$B$33/100))/Skills!D13)))+((C1007=TRUE)*F1007*IF(AND(Inputs!$B$4&lt;&gt;"pvp",Inputs!$B$35&gt;0),(((S1007-1)*(Skills!T14*(1+Inputs!$B$33/100))+MIN((Skills!T14*(1+Inputs!$B$33/100)),MAX(0,Inputs!$B$35-((S1007-1)*Skills!D14))))/Inputs!$B$35),IF(Inputs!$B$4="pvp",MIN((Skills!T14*(1+Inputs!$B$33/100)),15)/15,(Skills!T14*(1+Inputs!$B$33/100))/Skills!D14)))+((C1008=TRUE)*F1008*IF(AND(Inputs!$B$4&lt;&gt;"pvp",Inputs!$B$35&gt;0),(((S1008-1)*(Skills!T15*(1+Inputs!$B$33/100))+MIN((Skills!T15*(1+Inputs!$B$33/100)),MAX(0,Inputs!$B$35-((S1008-1)*Skills!D15))))/Inputs!$B$35),IF(Inputs!$B$4="pvp",MIN((Skills!T15*(1+Inputs!$B$33/100)),15)/15,(Skills!T15*(1+Inputs!$B$33/100))/Skills!D15)))+((C1009=TRUE)*F1009*IF(AND(Inputs!$B$4&lt;&gt;"pvp",Inputs!$B$35&gt;0),(((S1009-1)*(Skills!T16*(1+Inputs!$B$33/100))+MIN((Skills!T16*(1+Inputs!$B$33/100)),MAX(0,Inputs!$B$35-((S1009-1)*Skills!D16))))/Inputs!$B$35),IF(Inputs!$B$4="pvp",MIN((Skills!T16*(1+Inputs!$B$33/100)),15)/15,(Skills!T16*(1+Inputs!$B$33/100))/Skills!D16)))+0)/100)*I999)</f>
        <v/>
      </c>
      <c r="L999">
        <f>K999*(MIN(Inputs!$B$21+((C1015=TRUE)*(F1015-Calc!F22)),Inputs!$B$22+((C1017=TRUE)*(F1017-Calc!F24)))/100+(Inputs!$B$22+((C1017=TRUE)*(F1017-Calc!F24)))/100)/2</f>
        <v/>
      </c>
      <c r="M999">
        <f>L999*(1+(Inputs!$B$9+0+B1027)/100)</f>
        <v/>
      </c>
      <c r="N999">
        <f>L999*(1-MIN((Inputs!$B$8+0+B1022),100)/100)+M999*(MIN((Inputs!$B$8+0+B1022),100)/100)</f>
        <v/>
      </c>
      <c r="O999">
        <f>IF(C999,H999*N999*IF(AND(Inputs!$B$4&lt;&gt;"pvp",Inputs!$B$35&gt;0),((Skills!G6*((R999-1)*IF(Skills!H6&gt;0,Skills!I6/Skills!H6,1)+IF(Skills!H6&gt;0,MIN(Skills!I6,MAX(0,Inputs!$B$35-((R999-1)*IF(Inputs!$B$4="pvp",15,MAX(0.1,Skills!D6-IF(Skills!E6=TRUE,Inputs!$B$31,0))))))/Skills!H6,1)))/Inputs!$B$35),G999*Q999)*IF(Inputs!$B$4="pvp",1,(1-Summary!$B$55)*(1)+Summary!$B$55*(MIN(Skills!R6,Inputs!$B$37))),0)</f>
        <v/>
      </c>
      <c r="P999">
        <f>IF(B1030=0,0,O999/B1030)</f>
        <v/>
      </c>
      <c r="Q999">
        <f>IFERROR(1/IF(Inputs!$B$4="pvp",15,MAX(0.1,Skills!D6-IF(Skills!E6=TRUE,Inputs!$B$31,0))),0)</f>
        <v/>
      </c>
      <c r="R999">
        <f>IF(AND(Inputs!$B$4&lt;&gt;"pvp",Inputs!$B$35&gt;0),(INT(Inputs!$B$35/IF(Inputs!$B$4="pvp",15,MAX(0.1,Skills!D6-IF(Skills!E6=TRUE,Inputs!$B$31,0))))+1),0)</f>
        <v/>
      </c>
      <c r="S999">
        <f>IFERROR(O999/N999,0)</f>
        <v/>
      </c>
    </row>
    <row r="1000">
      <c r="A1000">
        <f>Skills!A7</f>
        <v/>
      </c>
      <c r="B1000">
        <f>Skills!B7</f>
        <v/>
      </c>
      <c r="C1000">
        <f>Inputs!$B$3&gt;=40</f>
        <v/>
      </c>
      <c r="D1000">
        <f>IF(Skills!C7=1,60+Inputs!$B$24+Inputs!$B$28,IF(Skills!C7=2,90+Inputs!$B$25+Inputs!$B$28,IF(Skills!C7=3,120+Inputs!$B$26+Inputs!$B$28,MAX(0,(Inputs!$B$3-100)*3)+Inputs!$B$27+Inputs!$B$28)))</f>
        <v/>
      </c>
      <c r="E1000">
        <f>INDEX(FactorTable!$B$2:$Y$301, MATCH(ROUND(MIN(300,MAX(1,D1000)),0), FactorTable!$A$2:$A$301,0), Skills!M7+1)</f>
        <v/>
      </c>
      <c r="F1000">
        <f>IF(Skills!N7=TRUE,(Skills!L7/10)*(E1000/1000),Skills!L7/10)+Skills!O7</f>
        <v/>
      </c>
      <c r="G1000">
        <f>Skills!G7*IF(Skills!H7&gt;0,Skills!I7/Skills!H7,1)</f>
        <v/>
      </c>
      <c r="H1000">
        <f>1-(1-Skills!J7/100)^Skills!K7</f>
        <v/>
      </c>
      <c r="I1000" t="inlineStr">
        <is>
          <t>1</t>
        </is>
      </c>
      <c r="J1000">
        <f>(Inputs!$B$5*(1+Inputs!$B$6/100))*(F1000/100)</f>
        <v/>
      </c>
      <c r="K1000">
        <f>J1000*(1+((Inputs!$B$11*(1+Inputs!$B$12/100))*0.01+Inputs!$B$13*0.0025)/100)*(1+Inputs!$B$14/100)*(1+IF(Inputs!$B$4="pvp",0,(1-Summary!$B$55)*(Inputs!$B$19+0+Skills!P7+((C1010=TRUE)*F1010*IF(AND(Inputs!$B$4&lt;&gt;"pvp",Inputs!$B$35&gt;0),(((S1010-1)*(Skills!T17*(1+Inputs!$B$33/100))+MIN((Skills!T17*(1+Inputs!$B$33/100)),MAX(0,Inputs!$B$35-((S1010-1)*Skills!D17))))/Inputs!$B$35),IF(Inputs!$B$4="pvp",MIN((Skills!T17*(1+Inputs!$B$33/100)),15)/15,(Skills!T17*(1+Inputs!$B$33/100))/Skills!D17)))+((C1007=TRUE)*IF(Inputs!$B$4="pvp",20,(1-Summary!$B$55)*(20)+Summary!$B$55*(0))*IF(AND(Inputs!$B$4&lt;&gt;"pvp",Inputs!$B$35&gt;0),(((S1007-1)*(Skills!T14*(1+Inputs!$B$33/100))+MIN((Skills!T14*(1+Inputs!$B$33/100)),MAX(0,Inputs!$B$35-((S1007-1)*Skills!D14))))/Inputs!$B$35),IF(Inputs!$B$4="pvp",MIN((Skills!T14*(1+Inputs!$B$33/100)),15)/15,(Skills!T14*(1+Inputs!$B$33/100))/Skills!D14))))+Summary!$B$55*(Inputs!$B$20+Skills!Q7+((C1010=TRUE)*F1010*IF(AND(Inputs!$B$4&lt;&gt;"pvp",Inputs!$B$35&gt;0),(((S1010-1)*(Skills!T17*(1+Inputs!$B$33/100))+MIN((Skills!T17*(1+Inputs!$B$33/100)),MAX(0,Inputs!$B$35-((S1010-1)*Skills!D17))))/Inputs!$B$35),IF(Inputs!$B$4="pvp",MIN((Skills!T17*(1+Inputs!$B$33/100)),15)/15,(Skills!T17*(1+Inputs!$B$33/100))/Skills!D17)))))/100)*(1+Inputs!$B$15/100)*(5000/(6000+Inputs!$B$7*(1-(Inputs!$B$18+0)/100)))*(1+(Inputs!$B$23+((C1018=TRUE)*(F1018-Calc!F25))+((C1019=TRUE)*(F1019-Calc!F26))+B1028)/100)*(1+0.75*IF(C1004=TRUE,F1004,0)/100)*(1+(IF(Skills!A7="DARK_IMPALE",Inputs!$B$16+0,Inputs!$B$17+((C1016=TRUE)*(F1016-Calc!F23))))/100)*((1+(((C1006=TRUE)*F1006*IF(AND(Inputs!$B$4&lt;&gt;"pvp",Inputs!$B$35&gt;0),(((S1006-1)*(Skills!T13*(1+Inputs!$B$33/100))+MIN((Skills!T13*(1+Inputs!$B$33/100)),MAX(0,Inputs!$B$35-((S1006-1)*Skills!D13))))/Inputs!$B$35),IF(Inputs!$B$4="pvp",MIN((Skills!T13*(1+Inputs!$B$33/100)),15)/15,(Skills!T13*(1+Inputs!$B$33/100))/Skills!D13)))+((C1007=TRUE)*F1007*IF(AND(Inputs!$B$4&lt;&gt;"pvp",Inputs!$B$35&gt;0),(((S1007-1)*(Skills!T14*(1+Inputs!$B$33/100))+MIN((Skills!T14*(1+Inputs!$B$33/100)),MAX(0,Inputs!$B$35-((S1007-1)*Skills!D14))))/Inputs!$B$35),IF(Inputs!$B$4="pvp",MIN((Skills!T14*(1+Inputs!$B$33/100)),15)/15,(Skills!T14*(1+Inputs!$B$33/100))/Skills!D14)))+((C1008=TRUE)*F1008*IF(AND(Inputs!$B$4&lt;&gt;"pvp",Inputs!$B$35&gt;0),(((S1008-1)*(Skills!T15*(1+Inputs!$B$33/100))+MIN((Skills!T15*(1+Inputs!$B$33/100)),MAX(0,Inputs!$B$35-((S1008-1)*Skills!D15))))/Inputs!$B$35),IF(Inputs!$B$4="pvp",MIN((Skills!T15*(1+Inputs!$B$33/100)),15)/15,(Skills!T15*(1+Inputs!$B$33/100))/Skills!D15)))+((C1009=TRUE)*F1009*IF(AND(Inputs!$B$4&lt;&gt;"pvp",Inputs!$B$35&gt;0),(((S1009-1)*(Skills!T16*(1+Inputs!$B$33/100))+MIN((Skills!T16*(1+Inputs!$B$33/100)),MAX(0,Inputs!$B$35-((S1009-1)*Skills!D16))))/Inputs!$B$35),IF(Inputs!$B$4="pvp",MIN((Skills!T16*(1+Inputs!$B$33/100)),15)/15,(Skills!T16*(1+Inputs!$B$33/100))/Skills!D16)))+0)/100)*I1000)</f>
        <v/>
      </c>
      <c r="L1000">
        <f>K1000*(MIN(Inputs!$B$21+((C1015=TRUE)*(F1015-Calc!F22)),Inputs!$B$22+((C1017=TRUE)*(F1017-Calc!F24)))/100+(Inputs!$B$22+((C1017=TRUE)*(F1017-Calc!F24)))/100)/2</f>
        <v/>
      </c>
      <c r="M1000">
        <f>L1000*(1+(Inputs!$B$9+0+B1027)/100)</f>
        <v/>
      </c>
      <c r="N1000">
        <f>L1000*(1-MIN((Inputs!$B$8+0+B1022),100)/100)+M1000*(MIN((Inputs!$B$8+0+B1022),100)/100)</f>
        <v/>
      </c>
      <c r="O1000">
        <f>IF(C1000,H1000*N1000*IF(AND(Inputs!$B$4&lt;&gt;"pvp",Inputs!$B$35&gt;0),((Skills!G7*((R1000-1)*IF(Skills!H7&gt;0,Skills!I7/Skills!H7,1)+IF(Skills!H7&gt;0,MIN(Skills!I7,MAX(0,Inputs!$B$35-((R1000-1)*IF(Inputs!$B$4="pvp",15,MAX(0.1,Skills!D7-IF(Skills!E7=TRUE,Inputs!$B$31,0))))))/Skills!H7,1)))/Inputs!$B$35),G1000*Q1000)*IF(Inputs!$B$4="pvp",1,(1-Summary!$B$55)*(1)+Summary!$B$55*(MIN(Skills!R7,Inputs!$B$37))),0)</f>
        <v/>
      </c>
      <c r="P1000">
        <f>IF(B1030=0,0,O1000/B1030)</f>
        <v/>
      </c>
      <c r="Q1000">
        <f>IFERROR(1/IF(Inputs!$B$4="pvp",15,MAX(0.1,Skills!D7-IF(Skills!E7=TRUE,Inputs!$B$31,0))),0)</f>
        <v/>
      </c>
      <c r="R1000">
        <f>IF(AND(Inputs!$B$4&lt;&gt;"pvp",Inputs!$B$35&gt;0),(INT(Inputs!$B$35/IF(Inputs!$B$4="pvp",15,MAX(0.1,Skills!D7-IF(Skills!E7=TRUE,Inputs!$B$31,0))))+1),0)</f>
        <v/>
      </c>
      <c r="S1000">
        <f>IFERROR(O1000/N1000,0)</f>
        <v/>
      </c>
    </row>
    <row r="1001">
      <c r="A1001">
        <f>Skills!A8</f>
        <v/>
      </c>
      <c r="B1001">
        <f>Skills!B8</f>
        <v/>
      </c>
      <c r="C1001">
        <f>Inputs!$B$3&gt;=75</f>
        <v/>
      </c>
      <c r="D1001">
        <f>IF(Skills!C8=1,60+Inputs!$B$24+Inputs!$B$28,IF(Skills!C8=2,90+Inputs!$B$25+Inputs!$B$28,IF(Skills!C8=3,120+Inputs!$B$26+Inputs!$B$28,MAX(0,(Inputs!$B$3-100)*3)+Inputs!$B$27+Inputs!$B$28)))</f>
        <v/>
      </c>
      <c r="E1001">
        <f>INDEX(FactorTable!$B$2:$Y$301, MATCH(ROUND(MIN(300,MAX(1,D1001)),0), FactorTable!$A$2:$A$301,0), Skills!M8+1)</f>
        <v/>
      </c>
      <c r="F1001">
        <f>IF(Skills!N8=TRUE,(Skills!L8/10)*(E1001/1000),Skills!L8/10)+Skills!O8</f>
        <v/>
      </c>
      <c r="G1001" t="inlineStr"/>
      <c r="H1001" t="inlineStr"/>
      <c r="I1001" t="inlineStr">
        <is>
          <t>1</t>
        </is>
      </c>
      <c r="J1001" t="inlineStr"/>
      <c r="K1001" t="inlineStr"/>
      <c r="L1001" t="inlineStr"/>
      <c r="M1001" t="inlineStr"/>
      <c r="N1001" t="inlineStr"/>
      <c r="O1001" t="inlineStr"/>
      <c r="P1001" t="inlineStr"/>
      <c r="Q1001" t="inlineStr"/>
      <c r="R1001" t="inlineStr"/>
      <c r="S1001" t="inlineStr"/>
    </row>
    <row r="1002">
      <c r="A1002">
        <f>Skills!A9</f>
        <v/>
      </c>
      <c r="B1002">
        <f>Skills!B9</f>
        <v/>
      </c>
      <c r="C1002">
        <f>Inputs!$B$3&gt;=60</f>
        <v/>
      </c>
      <c r="D1002">
        <f>IF(Skills!C9=1,60+Inputs!$B$24+Inputs!$B$28,IF(Skills!C9=2,90+Inputs!$B$25+Inputs!$B$28,IF(Skills!C9=3,120+Inputs!$B$26+Inputs!$B$28,MAX(0,(Inputs!$B$3-100)*3)+Inputs!$B$27+Inputs!$B$28)))</f>
        <v/>
      </c>
      <c r="E1002">
        <f>INDEX(FactorTable!$B$2:$Y$301, MATCH(ROUND(MIN(300,MAX(1,D1002)),0), FactorTable!$A$2:$A$301,0), Skills!M9+1)</f>
        <v/>
      </c>
      <c r="F1002">
        <f>IF(Skills!N9=TRUE,(Skills!L9/10)*(E1002/1000),Skills!L9/10)+Skills!O9</f>
        <v/>
      </c>
      <c r="G1002">
        <f>Skills!G9*IF(Skills!H9&gt;0,Skills!I9/Skills!H9,1)</f>
        <v/>
      </c>
      <c r="H1002">
        <f>1-(1-Skills!J9/100)^Skills!K9</f>
        <v/>
      </c>
      <c r="I1002" t="inlineStr">
        <is>
          <t>1</t>
        </is>
      </c>
      <c r="J1002">
        <f>(Inputs!$B$5*(1+Inputs!$B$6/100))*(F1002/100)</f>
        <v/>
      </c>
      <c r="K1002">
        <f>J1002*(1+((Inputs!$B$11*(1+Inputs!$B$12/100))*0.01+Inputs!$B$13*0.0025)/100)*(1+Inputs!$B$14/100)*(1+IF(Inputs!$B$4="pvp",0,(1-Summary!$B$55)*(Inputs!$B$19+0+Skills!P9+((C1010=TRUE)*F1010*IF(AND(Inputs!$B$4&lt;&gt;"pvp",Inputs!$B$35&gt;0),(((S1010-1)*(Skills!T17*(1+Inputs!$B$33/100))+MIN((Skills!T17*(1+Inputs!$B$33/100)),MAX(0,Inputs!$B$35-((S1010-1)*Skills!D17))))/Inputs!$B$35),IF(Inputs!$B$4="pvp",MIN((Skills!T17*(1+Inputs!$B$33/100)),15)/15,(Skills!T17*(1+Inputs!$B$33/100))/Skills!D17)))+((C1007=TRUE)*IF(Inputs!$B$4="pvp",20,(1-Summary!$B$55)*(20)+Summary!$B$55*(0))*IF(AND(Inputs!$B$4&lt;&gt;"pvp",Inputs!$B$35&gt;0),(((S1007-1)*(Skills!T14*(1+Inputs!$B$33/100))+MIN((Skills!T14*(1+Inputs!$B$33/100)),MAX(0,Inputs!$B$35-((S1007-1)*Skills!D14))))/Inputs!$B$35),IF(Inputs!$B$4="pvp",MIN((Skills!T14*(1+Inputs!$B$33/100)),15)/15,(Skills!T14*(1+Inputs!$B$33/100))/Skills!D14))))+Summary!$B$55*(Inputs!$B$20+Skills!Q9+((C1010=TRUE)*F1010*IF(AND(Inputs!$B$4&lt;&gt;"pvp",Inputs!$B$35&gt;0),(((S1010-1)*(Skills!T17*(1+Inputs!$B$33/100))+MIN((Skills!T17*(1+Inputs!$B$33/100)),MAX(0,Inputs!$B$35-((S1010-1)*Skills!D17))))/Inputs!$B$35),IF(Inputs!$B$4="pvp",MIN((Skills!T17*(1+Inputs!$B$33/100)),15)/15,(Skills!T17*(1+Inputs!$B$33/100))/Skills!D17)))))/100)*(1+Inputs!$B$15/100)*(5000/(6000+Inputs!$B$7*(1-(Inputs!$B$18+0)/100)))*(1+(Inputs!$B$23+((C1018=TRUE)*(F1018-Calc!F25))+((C1019=TRUE)*(F1019-Calc!F26))+B1028)/100)*(1+1.0*IF(C1004=TRUE,F1004,0)/100)*(1+(IF(Skills!A9="DARK_IMPALE",Inputs!$B$16+0,Inputs!$B$17+((C1016=TRUE)*(F1016-Calc!F23))))/100)*((1+(((C1006=TRUE)*F1006*IF(AND(Inputs!$B$4&lt;&gt;"pvp",Inputs!$B$35&gt;0),(((S1006-1)*(Skills!T13*(1+Inputs!$B$33/100))+MIN((Skills!T13*(1+Inputs!$B$33/100)),MAX(0,Inputs!$B$35-((S1006-1)*Skills!D13))))/Inputs!$B$35),IF(Inputs!$B$4="pvp",MIN((Skills!T13*(1+Inputs!$B$33/100)),15)/15,(Skills!T13*(1+Inputs!$B$33/100))/Skills!D13)))+((C1007=TRUE)*F1007*IF(AND(Inputs!$B$4&lt;&gt;"pvp",Inputs!$B$35&gt;0),(((S1007-1)*(Skills!T14*(1+Inputs!$B$33/100))+MIN((Skills!T14*(1+Inputs!$B$33/100)),MAX(0,Inputs!$B$35-((S1007-1)*Skills!D14))))/Inputs!$B$35),IF(Inputs!$B$4="pvp",MIN((Skills!T14*(1+Inputs!$B$33/100)),15)/15,(Skills!T14*(1+Inputs!$B$33/100))/Skills!D14)))+((C1008=TRUE)*F1008*IF(AND(Inputs!$B$4&lt;&gt;"pvp",Inputs!$B$35&gt;0),(((S1008-1)*(Skills!T15*(1+Inputs!$B$33/100))+MIN((Skills!T15*(1+Inputs!$B$33/100)),MAX(0,Inputs!$B$35-((S1008-1)*Skills!D15))))/Inputs!$B$35),IF(Inputs!$B$4="pvp",MIN((Skills!T15*(1+Inputs!$B$33/100)),15)/15,(Skills!T15*(1+Inputs!$B$33/100))/Skills!D15)))+((C1009=TRUE)*F1009*IF(AND(Inputs!$B$4&lt;&gt;"pvp",Inputs!$B$35&gt;0),(((S1009-1)*(Skills!T16*(1+Inputs!$B$33/100))+MIN((Skills!T16*(1+Inputs!$B$33/100)),MAX(0,Inputs!$B$35-((S1009-1)*Skills!D16))))/Inputs!$B$35),IF(Inputs!$B$4="pvp",MIN((Skills!T16*(1+Inputs!$B$33/100)),15)/15,(Skills!T16*(1+Inputs!$B$33/100))/Skills!D16)))+0)/100)*I1002)</f>
        <v/>
      </c>
      <c r="L1002">
        <f>K1002*(MIN(Inputs!$B$21+((C1015=TRUE)*(F1015-Calc!F22)),Inputs!$B$22+((C1017=TRUE)*(F1017-Calc!F24)))/100+(Inputs!$B$22+((C1017=TRUE)*(F1017-Calc!F24)))/100)/2</f>
        <v/>
      </c>
      <c r="M1002">
        <f>L1002*(1+(Inputs!$B$9+0+B1027)/100)</f>
        <v/>
      </c>
      <c r="N1002">
        <f>L1002*(1-MIN((Inputs!$B$8+0+B1022),100)/100)+M1002*(MIN((Inputs!$B$8+0+B1022),100)/100)</f>
        <v/>
      </c>
      <c r="O1002">
        <f>IF(C1002,H1002*N1002*IF(AND(Inputs!$B$4&lt;&gt;"pvp",Inputs!$B$35&gt;0),((Skills!G9*((R1002-1)*IF(Skills!H9&gt;0,Skills!I9/Skills!H9,1)+IF(Skills!H9&gt;0,MIN(Skills!I9,MAX(0,Inputs!$B$35-((R1002-1)*IF(Inputs!$B$4="pvp",15,MAX(0.1,Skills!D9-IF(Skills!E9=TRUE,Inputs!$B$31,0))))))/Skills!H9,1)))/Inputs!$B$35),G1002*Q1002)*IF(Inputs!$B$4="pvp",1,(1-Summary!$B$55)*(1)+Summary!$B$55*(MIN(Skills!R9,Inputs!$B$37))),0)</f>
        <v/>
      </c>
      <c r="P1002">
        <f>IF(B1030=0,0,O1002/B1030)</f>
        <v/>
      </c>
      <c r="Q1002">
        <f>IFERROR(1/IF(Inputs!$B$4="pvp",15,MAX(0.1,Skills!D9-IF(Skills!E9=TRUE,Inputs!$B$31,0))),0)</f>
        <v/>
      </c>
      <c r="R1002">
        <f>IF(AND(Inputs!$B$4&lt;&gt;"pvp",Inputs!$B$35&gt;0),(INT(Inputs!$B$35/IF(Inputs!$B$4="pvp",15,MAX(0.1,Skills!D9-IF(Skills!E9=TRUE,Inputs!$B$31,0))))+1),0)</f>
        <v/>
      </c>
      <c r="S1002">
        <f>IFERROR(O1002/N1002,0)</f>
        <v/>
      </c>
    </row>
    <row r="1003">
      <c r="A1003">
        <f>Skills!A10</f>
        <v/>
      </c>
      <c r="B1003">
        <f>Skills!B10</f>
        <v/>
      </c>
      <c r="C1003">
        <f>Inputs!$B$3&gt;=110</f>
        <v/>
      </c>
      <c r="D1003">
        <f>IF(Skills!C10=1,60+Inputs!$B$24+Inputs!$B$28,IF(Skills!C10=2,90+Inputs!$B$25+Inputs!$B$28,IF(Skills!C10=3,120+Inputs!$B$26+Inputs!$B$28,MAX(0,(Inputs!$B$3-100)*3)+Inputs!$B$27+Inputs!$B$28)))</f>
        <v/>
      </c>
      <c r="E1003">
        <f>INDEX(FactorTable!$B$2:$Y$301, MATCH(ROUND(MIN(300,MAX(1,D1003)),0), FactorTable!$A$2:$A$301,0), Skills!M10+1)</f>
        <v/>
      </c>
      <c r="F1003">
        <f>IF(Skills!N10=TRUE,(Skills!L10/10)*(E1003/1000),Skills!L10/10)+Skills!O10</f>
        <v/>
      </c>
      <c r="G1003">
        <f>Skills!G10*IF(Skills!H10&gt;0,Skills!I10/Skills!H10,1)</f>
        <v/>
      </c>
      <c r="H1003">
        <f>1-(1-Skills!J10/100)^Skills!K10</f>
        <v/>
      </c>
      <c r="I1003" t="inlineStr">
        <is>
          <t>1</t>
        </is>
      </c>
      <c r="J1003">
        <f>(Inputs!$B$5*(1+Inputs!$B$6/100))*(F1003/100)</f>
        <v/>
      </c>
      <c r="K1003">
        <f>J1003*(1+((Inputs!$B$11*(1+Inputs!$B$12/100))*0.01+Inputs!$B$13*0.0025)/100)*(1+Inputs!$B$14/100)*(1+IF(Inputs!$B$4="pvp",0,(1-Summary!$B$55)*(Inputs!$B$19+0+Skills!P10+((C1010=TRUE)*F1010*IF(AND(Inputs!$B$4&lt;&gt;"pvp",Inputs!$B$35&gt;0),(((S1010-1)*(Skills!T17*(1+Inputs!$B$33/100))+MIN((Skills!T17*(1+Inputs!$B$33/100)),MAX(0,Inputs!$B$35-((S1010-1)*Skills!D17))))/Inputs!$B$35),IF(Inputs!$B$4="pvp",MIN((Skills!T17*(1+Inputs!$B$33/100)),15)/15,(Skills!T17*(1+Inputs!$B$33/100))/Skills!D17)))+((C1007=TRUE)*IF(Inputs!$B$4="pvp",20,(1-Summary!$B$55)*(20)+Summary!$B$55*(0))*IF(AND(Inputs!$B$4&lt;&gt;"pvp",Inputs!$B$35&gt;0),(((S1007-1)*(Skills!T14*(1+Inputs!$B$33/100))+MIN((Skills!T14*(1+Inputs!$B$33/100)),MAX(0,Inputs!$B$35-((S1007-1)*Skills!D14))))/Inputs!$B$35),IF(Inputs!$B$4="pvp",MIN((Skills!T14*(1+Inputs!$B$33/100)),15)/15,(Skills!T14*(1+Inputs!$B$33/100))/Skills!D14))))+Summary!$B$55*(Inputs!$B$20+Skills!Q10+((C1010=TRUE)*F1010*IF(AND(Inputs!$B$4&lt;&gt;"pvp",Inputs!$B$35&gt;0),(((S1010-1)*(Skills!T17*(1+Inputs!$B$33/100))+MIN((Skills!T17*(1+Inputs!$B$33/100)),MAX(0,Inputs!$B$35-((S1010-1)*Skills!D17))))/Inputs!$B$35),IF(Inputs!$B$4="pvp",MIN((Skills!T17*(1+Inputs!$B$33/100)),15)/15,(Skills!T17*(1+Inputs!$B$33/100))/Skills!D17)))))/100)*(1+Inputs!$B$15/100)*(5000/(6000+Inputs!$B$7*(1-(Inputs!$B$18+0)/100)))*(1+(Inputs!$B$23+((C1018=TRUE)*(F1018-Calc!F25))+((C1019=TRUE)*(F1019-Calc!F26))+B1028)/100)*(1+(IF(Skills!A10="DARK_IMPALE",Inputs!$B$16+0,Inputs!$B$17+((C1016=TRUE)*(F1016-Calc!F23))))/100)*((1+(((C1006=TRUE)*F1006*IF(AND(Inputs!$B$4&lt;&gt;"pvp",Inputs!$B$35&gt;0),(((S1006-1)*(Skills!T13*(1+Inputs!$B$33/100))+MIN((Skills!T13*(1+Inputs!$B$33/100)),MAX(0,Inputs!$B$35-((S1006-1)*Skills!D13))))/Inputs!$B$35),IF(Inputs!$B$4="pvp",MIN((Skills!T13*(1+Inputs!$B$33/100)),15)/15,(Skills!T13*(1+Inputs!$B$33/100))/Skills!D13)))+((C1007=TRUE)*F1007*IF(AND(Inputs!$B$4&lt;&gt;"pvp",Inputs!$B$35&gt;0),(((S1007-1)*(Skills!T14*(1+Inputs!$B$33/100))+MIN((Skills!T14*(1+Inputs!$B$33/100)),MAX(0,Inputs!$B$35-((S1007-1)*Skills!D14))))/Inputs!$B$35),IF(Inputs!$B$4="pvp",MIN((Skills!T14*(1+Inputs!$B$33/100)),15)/15,(Skills!T14*(1+Inputs!$B$33/100))/Skills!D14)))+((C1008=TRUE)*F1008*IF(AND(Inputs!$B$4&lt;&gt;"pvp",Inputs!$B$35&gt;0),(((S1008-1)*(Skills!T15*(1+Inputs!$B$33/100))+MIN((Skills!T15*(1+Inputs!$B$33/100)),MAX(0,Inputs!$B$35-((S1008-1)*Skills!D15))))/Inputs!$B$35),IF(Inputs!$B$4="pvp",MIN((Skills!T15*(1+Inputs!$B$33/100)),15)/15,(Skills!T15*(1+Inputs!$B$33/100))/Skills!D15)))+((C1009=TRUE)*F1009*IF(AND(Inputs!$B$4&lt;&gt;"pvp",Inputs!$B$35&gt;0),(((S1009-1)*(Skills!T16*(1+Inputs!$B$33/100))+MIN((Skills!T16*(1+Inputs!$B$33/100)),MAX(0,Inputs!$B$35-((S1009-1)*Skills!D16))))/Inputs!$B$35),IF(Inputs!$B$4="pvp",MIN((Skills!T16*(1+Inputs!$B$33/100)),15)/15,(Skills!T16*(1+Inputs!$B$33/100))/Skills!D16)))+0)/100)*I1003)</f>
        <v/>
      </c>
      <c r="L1003">
        <f>K1003*(MIN(Inputs!$B$21+((C1015=TRUE)*(F1015-Calc!F22)),Inputs!$B$22+((C1017=TRUE)*(F1017-Calc!F24)))/100+(Inputs!$B$22+((C1017=TRUE)*(F1017-Calc!F24)))/100)/2</f>
        <v/>
      </c>
      <c r="M1003">
        <f>L1003*(1+(Inputs!$B$9+0+B1027)/100)</f>
        <v/>
      </c>
      <c r="N1003">
        <f>L1003*(1-MIN((Inputs!$B$8+0+B1022),100)/100)+M1003*(MIN((Inputs!$B$8+0+B1022),100)/100)</f>
        <v/>
      </c>
      <c r="O1003">
        <f>IF(C1003,H1003*N1003*IF(AND(Inputs!$B$4&lt;&gt;"pvp",Inputs!$B$35&gt;0),((Skills!G10*((R1003-1)*IF(Skills!H10&gt;0,Skills!I10/Skills!H10,1)+IF(Skills!H10&gt;0,MIN(Skills!I10,MAX(0,Inputs!$B$35-((R1003-1)*IF(Inputs!$B$4="pvp",15,MAX(0.1,Skills!D10-IF(Skills!E10=TRUE,Inputs!$B$31,0))))))/Skills!H10,1)))/Inputs!$B$35),G1003*Q1003)*IF(Inputs!$B$4="pvp",1,(1-Summary!$B$55)*(1)+Summary!$B$55*(MIN(Skills!R10,Inputs!$B$37))),0)</f>
        <v/>
      </c>
      <c r="P1003">
        <f>IF(B1030=0,0,O1003/B1030)</f>
        <v/>
      </c>
      <c r="Q1003">
        <f>IFERROR(1/IF(Inputs!$B$4="pvp",15,MAX(0.1,Skills!D10-IF(Skills!E10=TRUE,Inputs!$B$31,0))),0)</f>
        <v/>
      </c>
      <c r="R1003">
        <f>IF(AND(Inputs!$B$4&lt;&gt;"pvp",Inputs!$B$35&gt;0),(INT(Inputs!$B$35/IF(Inputs!$B$4="pvp",15,MAX(0.1,Skills!D10-IF(Skills!E10=TRUE,Inputs!$B$31,0))))+1),0)</f>
        <v/>
      </c>
      <c r="S1003">
        <f>IFERROR(O1003/N1003,0)</f>
        <v/>
      </c>
    </row>
    <row r="1004">
      <c r="A1004">
        <f>Skills!A11</f>
        <v/>
      </c>
      <c r="B1004">
        <f>Skills!B11</f>
        <v/>
      </c>
      <c r="C1004">
        <f>Inputs!$B$3&gt;=100</f>
        <v/>
      </c>
      <c r="D1004">
        <f>IF(Skills!C11=1,60+Inputs!$B$24+Inputs!$B$28,IF(Skills!C11=2,90+Inputs!$B$25+Inputs!$B$28,IF(Skills!C11=3,120+Inputs!$B$26+Inputs!$B$28,MAX(0,(Inputs!$B$3-100)*3)+Inputs!$B$27+Inputs!$B$28)))</f>
        <v/>
      </c>
      <c r="E1004">
        <f>INDEX(FactorTable!$B$2:$Y$301, MATCH(ROUND(MIN(300,MAX(1,D1004)),0), FactorTable!$A$2:$A$301,0), Skills!M11+1)</f>
        <v/>
      </c>
      <c r="F1004">
        <f>IF(Skills!N11=TRUE,(Skills!L11/10)*(E1004/1000),Skills!L11/10)+Skills!O11</f>
        <v/>
      </c>
      <c r="G1004" t="inlineStr"/>
      <c r="H1004" t="inlineStr"/>
      <c r="I1004" t="inlineStr">
        <is>
          <t>1</t>
        </is>
      </c>
      <c r="J1004" t="inlineStr"/>
      <c r="K1004" t="inlineStr"/>
      <c r="L1004" t="inlineStr"/>
      <c r="M1004" t="inlineStr"/>
      <c r="N1004" t="inlineStr"/>
      <c r="O1004" t="inlineStr"/>
      <c r="P1004" t="inlineStr"/>
      <c r="Q1004" t="inlineStr"/>
      <c r="R1004" t="inlineStr"/>
      <c r="S1004" t="inlineStr"/>
    </row>
    <row r="1005">
      <c r="A1005">
        <f>Skills!A12</f>
        <v/>
      </c>
      <c r="B1005">
        <f>Skills!B12</f>
        <v/>
      </c>
      <c r="C1005">
        <f>Inputs!$B$3&gt;=63</f>
        <v/>
      </c>
      <c r="D1005">
        <f>IF(Skills!C12=1,60+Inputs!$B$24+Inputs!$B$28,IF(Skills!C12=2,90+Inputs!$B$25+Inputs!$B$28,IF(Skills!C12=3,120+Inputs!$B$26+Inputs!$B$28,MAX(0,(Inputs!$B$3-100)*3)+Inputs!$B$27+Inputs!$B$28)))</f>
        <v/>
      </c>
      <c r="E1005">
        <f>INDEX(FactorTable!$B$2:$Y$301, MATCH(ROUND(MIN(300,MAX(1,D1005)),0), FactorTable!$A$2:$A$301,0), Skills!M12+1)</f>
        <v/>
      </c>
      <c r="F1005">
        <f>IF(Skills!N12=TRUE,(Skills!L12/10)*(E1005/1000),Skills!L12/10)+Skills!O12</f>
        <v/>
      </c>
      <c r="G1005">
        <f>Skills!G12*IF(Skills!H12&gt;0,Skills!I12/Skills!H12,1)</f>
        <v/>
      </c>
      <c r="H1005">
        <f>1-(1-Skills!J12/100)^Skills!K12</f>
        <v/>
      </c>
      <c r="I1005" t="inlineStr">
        <is>
          <t>1</t>
        </is>
      </c>
      <c r="J1005">
        <f>(Inputs!$B$5*(1+Inputs!$B$6/100))*(F1005/100)</f>
        <v/>
      </c>
      <c r="K1005">
        <f>J1005*(1+((Inputs!$B$11*(1+Inputs!$B$12/100))*0.01+Inputs!$B$13*0.0025)/100)*(1+Inputs!$B$14/100)*(1+IF(Inputs!$B$4="pvp",0,(1-Summary!$B$55)*(Inputs!$B$19+0+Skills!P12+((C1010=TRUE)*F1010*IF(AND(Inputs!$B$4&lt;&gt;"pvp",Inputs!$B$35&gt;0),(((S1010-1)*(Skills!T17*(1+Inputs!$B$33/100))+MIN((Skills!T17*(1+Inputs!$B$33/100)),MAX(0,Inputs!$B$35-((S1010-1)*Skills!D17))))/Inputs!$B$35),IF(Inputs!$B$4="pvp",MIN((Skills!T17*(1+Inputs!$B$33/100)),15)/15,(Skills!T17*(1+Inputs!$B$33/100))/Skills!D17)))+((C1007=TRUE)*IF(Inputs!$B$4="pvp",20,(1-Summary!$B$55)*(20)+Summary!$B$55*(0))*IF(AND(Inputs!$B$4&lt;&gt;"pvp",Inputs!$B$35&gt;0),(((S1007-1)*(Skills!T14*(1+Inputs!$B$33/100))+MIN((Skills!T14*(1+Inputs!$B$33/100)),MAX(0,Inputs!$B$35-((S1007-1)*Skills!D14))))/Inputs!$B$35),IF(Inputs!$B$4="pvp",MIN((Skills!T14*(1+Inputs!$B$33/100)),15)/15,(Skills!T14*(1+Inputs!$B$33/100))/Skills!D14))))+Summary!$B$55*(Inputs!$B$20+Skills!Q12+((C1010=TRUE)*F1010*IF(AND(Inputs!$B$4&lt;&gt;"pvp",Inputs!$B$35&gt;0),(((S1010-1)*(Skills!T17*(1+Inputs!$B$33/100))+MIN((Skills!T17*(1+Inputs!$B$33/100)),MAX(0,Inputs!$B$35-((S1010-1)*Skills!D17))))/Inputs!$B$35),IF(Inputs!$B$4="pvp",MIN((Skills!T17*(1+Inputs!$B$33/100)),15)/15,(Skills!T17*(1+Inputs!$B$33/100))/Skills!D17)))))/100)*(1+Inputs!$B$15/100)*(5000/(6000+Inputs!$B$7*(1-(Inputs!$B$18+0)/100)))*(1+(Inputs!$B$23+((C1018=TRUE)*(F1018-Calc!F25))+((C1019=TRUE)*(F1019-Calc!F26))+B1028)/100)*(1+0.75*IF(C1004=TRUE,F1004,0)/100)*(1+(IF(Skills!A12="DARK_IMPALE",Inputs!$B$16+0,Inputs!$B$17+((C1016=TRUE)*(F1016-Calc!F23))))/100)*((1+(((C1006=TRUE)*F1006*IF(AND(Inputs!$B$4&lt;&gt;"pvp",Inputs!$B$35&gt;0),(((S1006-1)*(Skills!T13*(1+Inputs!$B$33/100))+MIN((Skills!T13*(1+Inputs!$B$33/100)),MAX(0,Inputs!$B$35-((S1006-1)*Skills!D13))))/Inputs!$B$35),IF(Inputs!$B$4="pvp",MIN((Skills!T13*(1+Inputs!$B$33/100)),15)/15,(Skills!T13*(1+Inputs!$B$33/100))/Skills!D13)))+((C1007=TRUE)*F1007*IF(AND(Inputs!$B$4&lt;&gt;"pvp",Inputs!$B$35&gt;0),(((S1007-1)*(Skills!T14*(1+Inputs!$B$33/100))+MIN((Skills!T14*(1+Inputs!$B$33/100)),MAX(0,Inputs!$B$35-((S1007-1)*Skills!D14))))/Inputs!$B$35),IF(Inputs!$B$4="pvp",MIN((Skills!T14*(1+Inputs!$B$33/100)),15)/15,(Skills!T14*(1+Inputs!$B$33/100))/Skills!D14)))+((C1008=TRUE)*F1008*IF(AND(Inputs!$B$4&lt;&gt;"pvp",Inputs!$B$35&gt;0),(((S1008-1)*(Skills!T15*(1+Inputs!$B$33/100))+MIN((Skills!T15*(1+Inputs!$B$33/100)),MAX(0,Inputs!$B$35-((S1008-1)*Skills!D15))))/Inputs!$B$35),IF(Inputs!$B$4="pvp",MIN((Skills!T15*(1+Inputs!$B$33/100)),15)/15,(Skills!T15*(1+Inputs!$B$33/100))/Skills!D15)))+((C1009=TRUE)*F1009*IF(AND(Inputs!$B$4&lt;&gt;"pvp",Inputs!$B$35&gt;0),(((S1009-1)*(Skills!T16*(1+Inputs!$B$33/100))+MIN((Skills!T16*(1+Inputs!$B$33/100)),MAX(0,Inputs!$B$35-((S1009-1)*Skills!D16))))/Inputs!$B$35),IF(Inputs!$B$4="pvp",MIN((Skills!T16*(1+Inputs!$B$33/100)),15)/15,(Skills!T16*(1+Inputs!$B$33/100))/Skills!D16)))+0)/100)*I1005)</f>
        <v/>
      </c>
      <c r="L1005">
        <f>K1005*(MIN(Inputs!$B$21+((C1015=TRUE)*(F1015-Calc!F22)),Inputs!$B$22+((C1017=TRUE)*(F1017-Calc!F24)))/100+(Inputs!$B$22+((C1017=TRUE)*(F1017-Calc!F24)))/100)/2</f>
        <v/>
      </c>
      <c r="M1005">
        <f>L1005*(1+(Inputs!$B$9+0+B1027)/100)</f>
        <v/>
      </c>
      <c r="N1005">
        <f>L1005*(1-MIN((Inputs!$B$8+0+B1022),100)/100)+M1005*(MIN((Inputs!$B$8+0+B1022),100)/100)</f>
        <v/>
      </c>
      <c r="O1005">
        <f>IF(C1005,H1005*N1005*IF(AND(Inputs!$B$4&lt;&gt;"pvp",Inputs!$B$35&gt;0),((Skills!G12*((R1005-1)*IF(Skills!H12&gt;0,Skills!I12/Skills!H12,1)+IF(Skills!H12&gt;0,MIN(Skills!I12,MAX(0,Inputs!$B$35-((R1005-1)*IF(Inputs!$B$4="pvp",15,MAX(0.1,Skills!D12-IF(Skills!E12=TRUE,Inputs!$B$31,0))))))/Skills!H12,1)))/Inputs!$B$35),G1005*Q1005)*IF(Inputs!$B$4="pvp",1,(1-Summary!$B$55)*(1)+Summary!$B$55*(MIN(Skills!R12,Inputs!$B$37))),0)</f>
        <v/>
      </c>
      <c r="P1005">
        <f>IF(B1030=0,0,O1005/B1030)</f>
        <v/>
      </c>
      <c r="Q1005">
        <f>IFERROR(1/IF(Inputs!$B$4="pvp",15,MAX(0.1,Skills!D12-IF(Skills!E12=TRUE,Inputs!$B$31,0))),0)</f>
        <v/>
      </c>
      <c r="R1005">
        <f>IF(AND(Inputs!$B$4&lt;&gt;"pvp",Inputs!$B$35&gt;0),(INT(Inputs!$B$35/IF(Inputs!$B$4="pvp",15,MAX(0.1,Skills!D12-IF(Skills!E12=TRUE,Inputs!$B$31,0))))+1),0)</f>
        <v/>
      </c>
      <c r="S1005">
        <f>IFERROR(O1005/N1005,0)</f>
        <v/>
      </c>
    </row>
    <row r="1006">
      <c r="A1006">
        <f>Skills!A13</f>
        <v/>
      </c>
      <c r="B1006">
        <f>Skills!B13</f>
        <v/>
      </c>
      <c r="C1006">
        <f>Inputs!$B$3&gt;=69</f>
        <v/>
      </c>
      <c r="D1006">
        <f>IF(Skills!C13=1,60+Inputs!$B$24+Inputs!$B$28,IF(Skills!C13=2,90+Inputs!$B$25+Inputs!$B$28,IF(Skills!C13=3,120+Inputs!$B$26+Inputs!$B$28,MAX(0,(Inputs!$B$3-100)*3)+Inputs!$B$27+Inputs!$B$28)))</f>
        <v/>
      </c>
      <c r="E1006">
        <f>INDEX(FactorTable!$B$2:$Y$301, MATCH(ROUND(MIN(300,MAX(1,D1006)),0), FactorTable!$A$2:$A$301,0), Skills!M13+1)</f>
        <v/>
      </c>
      <c r="F1006">
        <f>IF(Skills!N13=TRUE,(Skills!L13/10)*(E1006/1000),Skills!L13/10)+Skills!O13</f>
        <v/>
      </c>
      <c r="G1006">
        <f>Skills!G13*IF(Skills!H13&gt;0,Skills!I13/Skills!H13,1)</f>
        <v/>
      </c>
      <c r="H1006">
        <f>1-(1-Skills!J13/100)^Skills!K13</f>
        <v/>
      </c>
      <c r="I1006" t="inlineStr">
        <is>
          <t>1</t>
        </is>
      </c>
      <c r="J1006" t="inlineStr"/>
      <c r="K1006" t="inlineStr"/>
      <c r="L1006" t="inlineStr"/>
      <c r="M1006" t="inlineStr"/>
      <c r="N1006" t="inlineStr"/>
      <c r="O1006" t="n">
        <v>0</v>
      </c>
      <c r="P1006">
        <f>IF(B1030=0,0,O1006/B1030)</f>
        <v/>
      </c>
      <c r="Q1006">
        <f>IFERROR(1/IF(Inputs!$B$4="pvp",15,MAX(0.1,Skills!D13-IF(Skills!E13=TRUE,Inputs!$B$31,0))),0)</f>
        <v/>
      </c>
      <c r="R1006">
        <f>IF(AND(Inputs!$B$4&lt;&gt;"pvp",Inputs!$B$35&gt;0),(INT(Inputs!$B$35/IF(Inputs!$B$4="pvp",15,MAX(0.1,Skills!D13-IF(Skills!E13=TRUE,Inputs!$B$31,0))))+1),0)</f>
        <v/>
      </c>
      <c r="S1006">
        <f>IFERROR(O1006/N1006,0)</f>
        <v/>
      </c>
    </row>
    <row r="1007">
      <c r="A1007">
        <f>Skills!A14</f>
        <v/>
      </c>
      <c r="B1007">
        <f>Skills!B14</f>
        <v/>
      </c>
      <c r="C1007">
        <f>Inputs!$B$3&gt;=115</f>
        <v/>
      </c>
      <c r="D1007">
        <f>IF(Skills!C14=1,60+Inputs!$B$24+Inputs!$B$28,IF(Skills!C14=2,90+Inputs!$B$25+Inputs!$B$28,IF(Skills!C14=3,120+Inputs!$B$26+Inputs!$B$28,MAX(0,(Inputs!$B$3-100)*3)+Inputs!$B$27+Inputs!$B$28)))</f>
        <v/>
      </c>
      <c r="E1007">
        <f>INDEX(FactorTable!$B$2:$Y$301, MATCH(ROUND(MIN(300,MAX(1,D1007)),0), FactorTable!$A$2:$A$301,0), Skills!M14+1)</f>
        <v/>
      </c>
      <c r="F1007">
        <f>IF(Skills!N14=TRUE,(Skills!L14/10)*(E1007/1000),Skills!L14/10)+Skills!O14</f>
        <v/>
      </c>
      <c r="G1007">
        <f>Skills!G14*IF(Skills!H14&gt;0,Skills!I14/Skills!H14,1)</f>
        <v/>
      </c>
      <c r="H1007">
        <f>1-(1-Skills!J14/100)^Skills!K14</f>
        <v/>
      </c>
      <c r="I1007" t="inlineStr">
        <is>
          <t>1</t>
        </is>
      </c>
      <c r="J1007" t="inlineStr"/>
      <c r="K1007" t="inlineStr"/>
      <c r="L1007" t="inlineStr"/>
      <c r="M1007" t="inlineStr"/>
      <c r="N1007" t="inlineStr"/>
      <c r="O1007" t="n">
        <v>0</v>
      </c>
      <c r="P1007">
        <f>IF(B1030=0,0,O1007/B1030)</f>
        <v/>
      </c>
      <c r="Q1007">
        <f>IFERROR(1/IF(Inputs!$B$4="pvp",15,MAX(0.1,Skills!D14-IF(Skills!E14=TRUE,Inputs!$B$31,0))),0)</f>
        <v/>
      </c>
      <c r="R1007">
        <f>IF(AND(Inputs!$B$4&lt;&gt;"pvp",Inputs!$B$35&gt;0),(INT(Inputs!$B$35/IF(Inputs!$B$4="pvp",15,MAX(0.1,Skills!D14-IF(Skills!E14=TRUE,Inputs!$B$31,0))))+1),0)</f>
        <v/>
      </c>
      <c r="S1007">
        <f>IFERROR(O1007/N1007,0)</f>
        <v/>
      </c>
    </row>
    <row r="1008">
      <c r="A1008">
        <f>Skills!A15</f>
        <v/>
      </c>
      <c r="B1008">
        <f>Skills!B15</f>
        <v/>
      </c>
      <c r="C1008">
        <f>Inputs!$B$3&gt;=66</f>
        <v/>
      </c>
      <c r="D1008">
        <f>IF(Skills!C15=1,60+Inputs!$B$24+Inputs!$B$28,IF(Skills!C15=2,90+Inputs!$B$25+Inputs!$B$28,IF(Skills!C15=3,120+Inputs!$B$26+Inputs!$B$28,MAX(0,(Inputs!$B$3-100)*3)+Inputs!$B$27+Inputs!$B$28)))</f>
        <v/>
      </c>
      <c r="E1008">
        <f>INDEX(FactorTable!$B$2:$Y$301, MATCH(ROUND(MIN(300,MAX(1,D1008)),0), FactorTable!$A$2:$A$301,0), Skills!M15+1)</f>
        <v/>
      </c>
      <c r="F1008">
        <f>IF(Skills!N15=TRUE,(Skills!L15/10)*(E1008/1000),Skills!L15/10)+Skills!O15</f>
        <v/>
      </c>
      <c r="G1008">
        <f>Skills!G15*IF(Skills!H15&gt;0,Skills!I15/Skills!H15,1)</f>
        <v/>
      </c>
      <c r="H1008">
        <f>1-(1-Skills!J15/100)^Skills!K15</f>
        <v/>
      </c>
      <c r="I1008" t="inlineStr">
        <is>
          <t>1</t>
        </is>
      </c>
      <c r="J1008" t="inlineStr"/>
      <c r="K1008" t="inlineStr"/>
      <c r="L1008" t="inlineStr"/>
      <c r="M1008" t="inlineStr"/>
      <c r="N1008" t="inlineStr"/>
      <c r="O1008" t="n">
        <v>0</v>
      </c>
      <c r="P1008">
        <f>IF(B1030=0,0,O1008/B1030)</f>
        <v/>
      </c>
      <c r="Q1008">
        <f>IFERROR(1/IF(Inputs!$B$4="pvp",15,MAX(0.1,Skills!D15-IF(Skills!E15=TRUE,Inputs!$B$31,0))),0)</f>
        <v/>
      </c>
      <c r="R1008">
        <f>IF(AND(Inputs!$B$4&lt;&gt;"pvp",Inputs!$B$35&gt;0),(INT(Inputs!$B$35/IF(Inputs!$B$4="pvp",15,MAX(0.1,Skills!D15-IF(Skills!E15=TRUE,Inputs!$B$31,0))))+1),0)</f>
        <v/>
      </c>
      <c r="S1008">
        <f>IFERROR(O1008/N1008,0)</f>
        <v/>
      </c>
    </row>
    <row r="1009">
      <c r="A1009">
        <f>Skills!A16</f>
        <v/>
      </c>
      <c r="B1009">
        <f>Skills!B16</f>
        <v/>
      </c>
      <c r="C1009">
        <f>Inputs!$B$3&gt;=45</f>
        <v/>
      </c>
      <c r="D1009">
        <f>IF(Skills!C16=1,60+Inputs!$B$24+Inputs!$B$28,IF(Skills!C16=2,90+Inputs!$B$25+Inputs!$B$28,IF(Skills!C16=3,120+Inputs!$B$26+Inputs!$B$28,MAX(0,(Inputs!$B$3-100)*3)+Inputs!$B$27+Inputs!$B$28)))</f>
        <v/>
      </c>
      <c r="E1009">
        <f>INDEX(FactorTable!$B$2:$Y$301, MATCH(ROUND(MIN(300,MAX(1,D1009)),0), FactorTable!$A$2:$A$301,0), Skills!M16+1)</f>
        <v/>
      </c>
      <c r="F1009">
        <f>IF(Skills!N16=TRUE,(Skills!L16/10)*(E1009/1000),Skills!L16/10)+Skills!O16</f>
        <v/>
      </c>
      <c r="G1009">
        <f>Skills!G16*IF(Skills!H16&gt;0,Skills!I16/Skills!H16,1)</f>
        <v/>
      </c>
      <c r="H1009">
        <f>1-(1-Skills!J16/100)^Skills!K16</f>
        <v/>
      </c>
      <c r="I1009" t="inlineStr">
        <is>
          <t>1</t>
        </is>
      </c>
      <c r="J1009" t="inlineStr"/>
      <c r="K1009" t="inlineStr"/>
      <c r="L1009" t="inlineStr"/>
      <c r="M1009" t="inlineStr"/>
      <c r="N1009" t="inlineStr"/>
      <c r="O1009" t="n">
        <v>0</v>
      </c>
      <c r="P1009">
        <f>IF(B1030=0,0,O1009/B1030)</f>
        <v/>
      </c>
      <c r="Q1009">
        <f>IFERROR(1/IF(Inputs!$B$4="pvp",15,MAX(0.1,Skills!D16-IF(Skills!E16=TRUE,Inputs!$B$31,0))),0)</f>
        <v/>
      </c>
      <c r="R1009">
        <f>IF(AND(Inputs!$B$4&lt;&gt;"pvp",Inputs!$B$35&gt;0),(INT(Inputs!$B$35/IF(Inputs!$B$4="pvp",15,MAX(0.1,Skills!D16-IF(Skills!E16=TRUE,Inputs!$B$31,0))))+1),0)</f>
        <v/>
      </c>
      <c r="S1009">
        <f>IFERROR(O1009/N1009,0)</f>
        <v/>
      </c>
    </row>
    <row r="1010">
      <c r="A1010">
        <f>Skills!A17</f>
        <v/>
      </c>
      <c r="B1010">
        <f>Skills!B17</f>
        <v/>
      </c>
      <c r="C1010">
        <f>Inputs!$B$3&gt;=35</f>
        <v/>
      </c>
      <c r="D1010">
        <f>IF(Skills!C17=1,60+Inputs!$B$24+Inputs!$B$28,IF(Skills!C17=2,90+Inputs!$B$25+Inputs!$B$28,IF(Skills!C17=3,120+Inputs!$B$26+Inputs!$B$28,MAX(0,(Inputs!$B$3-100)*3)+Inputs!$B$27+Inputs!$B$28)))</f>
        <v/>
      </c>
      <c r="E1010">
        <f>INDEX(FactorTable!$B$2:$Y$301, MATCH(ROUND(MIN(300,MAX(1,D1010)),0), FactorTable!$A$2:$A$301,0), Skills!M17+1)</f>
        <v/>
      </c>
      <c r="F1010">
        <f>IF(Skills!N17=TRUE,(Skills!L17/10)*(E1010/1000),Skills!L17/10)+Skills!O17</f>
        <v/>
      </c>
      <c r="G1010">
        <f>Skills!G17*IF(Skills!H17&gt;0,Skills!I17/Skills!H17,1)</f>
        <v/>
      </c>
      <c r="H1010">
        <f>1-(1-Skills!J17/100)^Skills!K17</f>
        <v/>
      </c>
      <c r="I1010" t="inlineStr">
        <is>
          <t>1</t>
        </is>
      </c>
      <c r="J1010" t="inlineStr"/>
      <c r="K1010" t="inlineStr"/>
      <c r="L1010" t="inlineStr"/>
      <c r="M1010" t="inlineStr"/>
      <c r="N1010" t="inlineStr"/>
      <c r="O1010" t="n">
        <v>0</v>
      </c>
      <c r="P1010">
        <f>IF(B1030=0,0,O1010/B1030)</f>
        <v/>
      </c>
      <c r="Q1010">
        <f>IFERROR(1/IF(Inputs!$B$4="pvp",15,MAX(0.1,Skills!D17-IF(Skills!E17=TRUE,Inputs!$B$31,0))),0)</f>
        <v/>
      </c>
      <c r="R1010">
        <f>IF(AND(Inputs!$B$4&lt;&gt;"pvp",Inputs!$B$35&gt;0),(INT(Inputs!$B$35/IF(Inputs!$B$4="pvp",15,MAX(0.1,Skills!D17-IF(Skills!E17=TRUE,Inputs!$B$31,0))))+1),0)</f>
        <v/>
      </c>
      <c r="S1010">
        <f>IFERROR(O1010/N1010,0)</f>
        <v/>
      </c>
    </row>
    <row r="1011">
      <c r="A1011">
        <f>Skills!A18</f>
        <v/>
      </c>
      <c r="B1011">
        <f>Skills!B18</f>
        <v/>
      </c>
      <c r="C1011">
        <f>Inputs!$B$3&gt;=72</f>
        <v/>
      </c>
      <c r="D1011">
        <f>IF(Skills!C18=1,60+Inputs!$B$24+Inputs!$B$28,IF(Skills!C18=2,90+Inputs!$B$25+Inputs!$B$28,IF(Skills!C18=3,120+Inputs!$B$26+Inputs!$B$28,MAX(0,(Inputs!$B$3-100)*3)+Inputs!$B$27+Inputs!$B$28)))</f>
        <v/>
      </c>
      <c r="E1011">
        <f>INDEX(FactorTable!$B$2:$Y$301, MATCH(ROUND(MIN(300,MAX(1,D1011)),0), FactorTable!$A$2:$A$301,0), Skills!M18+1)</f>
        <v/>
      </c>
      <c r="F1011">
        <f>IF(Skills!N18=TRUE,(Skills!L18/10)*(E1011/1000),Skills!L18/10)+Skills!O18</f>
        <v/>
      </c>
      <c r="G1011">
        <f>Skills!G18*IF(Skills!H18&gt;0,Skills!I18/Skills!H18,1)</f>
        <v/>
      </c>
      <c r="H1011">
        <f>1-(1-Skills!J18/100)^Skills!K18</f>
        <v/>
      </c>
      <c r="I1011" t="inlineStr">
        <is>
          <t>1</t>
        </is>
      </c>
      <c r="J1011" t="inlineStr"/>
      <c r="K1011" t="inlineStr"/>
      <c r="L1011" t="inlineStr"/>
      <c r="M1011" t="inlineStr"/>
      <c r="N1011" t="inlineStr"/>
      <c r="O1011" t="n">
        <v>0</v>
      </c>
      <c r="P1011">
        <f>IF(B1030=0,0,O1011/B1030)</f>
        <v/>
      </c>
      <c r="Q1011">
        <f>IFERROR(1/IF(Inputs!$B$4="pvp",15,MAX(0.1,Skills!D18-IF(Skills!E18=TRUE,Inputs!$B$31,0))),0)</f>
        <v/>
      </c>
      <c r="R1011">
        <f>IF(AND(Inputs!$B$4&lt;&gt;"pvp",Inputs!$B$35&gt;0),(INT(Inputs!$B$35/IF(Inputs!$B$4="pvp",15,MAX(0.1,Skills!D18-IF(Skills!E18=TRUE,Inputs!$B$31,0))))+1),0)</f>
        <v/>
      </c>
      <c r="S1011">
        <f>IFERROR(O1011/N1011,0)</f>
        <v/>
      </c>
    </row>
    <row r="1012">
      <c r="A1012">
        <f>Skills!A19</f>
        <v/>
      </c>
      <c r="B1012">
        <f>Skills!B19</f>
        <v/>
      </c>
      <c r="C1012">
        <f>Inputs!$B$3&gt;=72</f>
        <v/>
      </c>
      <c r="D1012">
        <f>IF(Skills!C19=1,60+Inputs!$B$24+Inputs!$B$28,IF(Skills!C19=2,90+Inputs!$B$25+Inputs!$B$28,IF(Skills!C19=3,120+Inputs!$B$26+Inputs!$B$28,MAX(0,(Inputs!$B$3-100)*3)+Inputs!$B$27+Inputs!$B$28)))</f>
        <v/>
      </c>
      <c r="E1012">
        <f>INDEX(FactorTable!$B$2:$Y$301, MATCH(ROUND(MIN(300,MAX(1,D1012)),0), FactorTable!$A$2:$A$301,0), Skills!M19+1)</f>
        <v/>
      </c>
      <c r="F1012">
        <f>IF(Skills!N19=TRUE,(Skills!L19/10)*(E1012/1000),Skills!L19/10)+Skills!O19</f>
        <v/>
      </c>
      <c r="G1012">
        <f>Skills!G19*IF(Skills!H19&gt;0,Skills!I19/Skills!H19,1)</f>
        <v/>
      </c>
      <c r="H1012">
        <f>1-(1-Skills!J19/100)^Skills!K19</f>
        <v/>
      </c>
      <c r="I1012" t="inlineStr">
        <is>
          <t>1</t>
        </is>
      </c>
      <c r="J1012" t="inlineStr"/>
      <c r="K1012" t="inlineStr"/>
      <c r="L1012" t="inlineStr"/>
      <c r="M1012" t="inlineStr"/>
      <c r="N1012" t="inlineStr"/>
      <c r="O1012" t="n">
        <v>0</v>
      </c>
      <c r="P1012">
        <f>IF(B1030=0,0,O1012/B1030)</f>
        <v/>
      </c>
      <c r="Q1012">
        <f>IFERROR(1/IF(Inputs!$B$4="pvp",15,MAX(0.1,Skills!D19-IF(Skills!E19=TRUE,Inputs!$B$31,0))),0)</f>
        <v/>
      </c>
      <c r="R1012">
        <f>IF(AND(Inputs!$B$4&lt;&gt;"pvp",Inputs!$B$35&gt;0),(INT(Inputs!$B$35/IF(Inputs!$B$4="pvp",15,MAX(0.1,Skills!D19-IF(Skills!E19=TRUE,Inputs!$B$31,0))))+1),0)</f>
        <v/>
      </c>
      <c r="S1012">
        <f>IFERROR(O1012/N1012,0)</f>
        <v/>
      </c>
    </row>
    <row r="1013">
      <c r="A1013">
        <f>Skills!A20</f>
        <v/>
      </c>
      <c r="B1013">
        <f>Skills!B20</f>
        <v/>
      </c>
      <c r="C1013">
        <f>TRUE</f>
        <v/>
      </c>
      <c r="D1013">
        <f>IF(Skills!C20=1,60+Inputs!$B$24+Inputs!$B$28,IF(Skills!C20=2,90+Inputs!$B$25+Inputs!$B$28,IF(Skills!C20=3,120+Inputs!$B$26+Inputs!$B$28,MAX(0,(Inputs!$B$3-100)*3)+Inputs!$B$27+Inputs!$B$28)))</f>
        <v/>
      </c>
      <c r="E1013">
        <f>INDEX(FactorTable!$B$2:$Y$301, MATCH(ROUND(MIN(300,MAX(1,D1013)),0), FactorTable!$A$2:$A$301,0), Skills!M20+1)</f>
        <v/>
      </c>
      <c r="F1013">
        <f>IF(Skills!N20=TRUE,(Skills!L20/10)*(E1013/1000),Skills!L20/10)+Skills!O20</f>
        <v/>
      </c>
      <c r="G1013">
        <f>Skills!G20*IF(Skills!H20&gt;0,Skills!I20/Skills!H20,1)</f>
        <v/>
      </c>
      <c r="H1013">
        <f>1-(1-Skills!J20/100)^Skills!K20</f>
        <v/>
      </c>
      <c r="I1013" t="inlineStr">
        <is>
          <t>1</t>
        </is>
      </c>
      <c r="J1013" t="inlineStr"/>
      <c r="K1013" t="inlineStr"/>
      <c r="L1013" t="inlineStr"/>
      <c r="M1013" t="inlineStr"/>
      <c r="N1013" t="inlineStr"/>
      <c r="O1013" t="n">
        <v>0</v>
      </c>
      <c r="P1013">
        <f>IF(B1030=0,0,O1013/B1030)</f>
        <v/>
      </c>
      <c r="Q1013">
        <f>IFERROR(1/IF(Inputs!$B$4="pvp",15,MAX(0.1,Skills!D20-IF(Skills!E20=TRUE,Inputs!$B$31,0))),0)</f>
        <v/>
      </c>
      <c r="R1013">
        <f>IF(AND(Inputs!$B$4&lt;&gt;"pvp",Inputs!$B$35&gt;0),(INT(Inputs!$B$35/IF(Inputs!$B$4="pvp",15,MAX(0.1,Skills!D20-IF(Skills!E20=TRUE,Inputs!$B$31,0))))+1),0)</f>
        <v/>
      </c>
      <c r="S1013">
        <f>IFERROR(O1013/N1013,0)</f>
        <v/>
      </c>
    </row>
    <row r="1014">
      <c r="A1014">
        <f>Skills!A21</f>
        <v/>
      </c>
      <c r="B1014">
        <f>Skills!B21</f>
        <v/>
      </c>
      <c r="C1014">
        <f>Inputs!$B$3&gt;=33</f>
        <v/>
      </c>
      <c r="D1014">
        <f>IF(Skills!C21=1,60+Inputs!$B$24+Inputs!$B$28,IF(Skills!C21=2,90+Inputs!$B$25+Inputs!$B$28,IF(Skills!C21=3,120+Inputs!$B$26+Inputs!$B$28,MAX(0,(Inputs!$B$3-100)*3)+Inputs!$B$27+Inputs!$B$28)))</f>
        <v/>
      </c>
      <c r="E1014">
        <f>INDEX(FactorTable!$B$2:$Y$301, MATCH(ROUND(MIN(300,MAX(1,D1014)),0), FactorTable!$A$2:$A$301,0), Skills!M21+1)</f>
        <v/>
      </c>
      <c r="F1014">
        <f>IF(Skills!N21=TRUE,(Skills!L21/10)*(E1014/1000),Skills!L21/10)+Skills!O21</f>
        <v/>
      </c>
      <c r="G1014">
        <f>Skills!G21*IF(Skills!H21&gt;0,Skills!I21/Skills!H21,1)</f>
        <v/>
      </c>
      <c r="H1014">
        <f>1-(1-Skills!J21/100)^Skills!K21</f>
        <v/>
      </c>
      <c r="I1014" t="inlineStr">
        <is>
          <t>1</t>
        </is>
      </c>
      <c r="J1014" t="inlineStr"/>
      <c r="K1014" t="inlineStr"/>
      <c r="L1014" t="inlineStr"/>
      <c r="M1014" t="inlineStr"/>
      <c r="N1014" t="inlineStr"/>
      <c r="O1014" t="n">
        <v>0</v>
      </c>
      <c r="P1014">
        <f>IF(B1030=0,0,O1014/B1030)</f>
        <v/>
      </c>
      <c r="Q1014" t="n">
        <v>0</v>
      </c>
      <c r="R1014" t="n">
        <v>0</v>
      </c>
      <c r="S1014">
        <f>IFERROR(O1014/N1014,0)</f>
        <v/>
      </c>
    </row>
    <row r="1015">
      <c r="A1015">
        <f>Skills!A22</f>
        <v/>
      </c>
      <c r="B1015">
        <f>Skills!B22</f>
        <v/>
      </c>
      <c r="C1015">
        <f>Inputs!$B$3&gt;=43</f>
        <v/>
      </c>
      <c r="D1015">
        <f>IF(Skills!C22=1,60+Inputs!$B$24+Inputs!$B$28,IF(Skills!C22=2,90+Inputs!$B$25+Inputs!$B$28,IF(Skills!C22=3,120+Inputs!$B$26+Inputs!$B$28,MAX(0,(Inputs!$B$3-100)*3)+Inputs!$B$27+Inputs!$B$28)))</f>
        <v/>
      </c>
      <c r="E1015">
        <f>INDEX(FactorTable!$B$2:$Y$301, MATCH(ROUND(MIN(300,MAX(1,D1015)),0), FactorTable!$A$2:$A$301,0), Skills!M22+1)</f>
        <v/>
      </c>
      <c r="F1015">
        <f>IF(Skills!N22=TRUE,(Skills!L22/10)*(E1015/1000),Skills!L22/10)+Skills!O22</f>
        <v/>
      </c>
      <c r="G1015">
        <f>Skills!G22*IF(Skills!H22&gt;0,Skills!I22/Skills!H22,1)</f>
        <v/>
      </c>
      <c r="H1015">
        <f>1-(1-Skills!J22/100)^Skills!K22</f>
        <v/>
      </c>
      <c r="I1015" t="inlineStr">
        <is>
          <t>1</t>
        </is>
      </c>
      <c r="J1015" t="inlineStr"/>
      <c r="K1015" t="inlineStr"/>
      <c r="L1015" t="inlineStr"/>
      <c r="M1015" t="inlineStr"/>
      <c r="N1015" t="inlineStr"/>
      <c r="O1015" t="n">
        <v>0</v>
      </c>
      <c r="P1015">
        <f>IF(B1030=0,0,O1015/B1030)</f>
        <v/>
      </c>
      <c r="Q1015" t="n">
        <v>0</v>
      </c>
      <c r="R1015" t="n">
        <v>0</v>
      </c>
      <c r="S1015">
        <f>IFERROR(O1015/N1015,0)</f>
        <v/>
      </c>
    </row>
    <row r="1016">
      <c r="A1016">
        <f>Skills!A23</f>
        <v/>
      </c>
      <c r="B1016">
        <f>Skills!B23</f>
        <v/>
      </c>
      <c r="C1016">
        <f>Inputs!$B$3&gt;=120</f>
        <v/>
      </c>
      <c r="D1016">
        <f>IF(Skills!C23=1,60+Inputs!$B$24+Inputs!$B$28,IF(Skills!C23=2,90+Inputs!$B$25+Inputs!$B$28,IF(Skills!C23=3,120+Inputs!$B$26+Inputs!$B$28,MAX(0,(Inputs!$B$3-100)*3)+Inputs!$B$27+Inputs!$B$28)))</f>
        <v/>
      </c>
      <c r="E1016">
        <f>INDEX(FactorTable!$B$2:$Y$301, MATCH(ROUND(MIN(300,MAX(1,D1016)),0), FactorTable!$A$2:$A$301,0), Skills!M23+1)</f>
        <v/>
      </c>
      <c r="F1016">
        <f>IF(Skills!N23=TRUE,(Skills!L23/10)*(E1016/1000),Skills!L23/10)+Skills!O23</f>
        <v/>
      </c>
      <c r="G1016">
        <f>Skills!G23*IF(Skills!H23&gt;0,Skills!I23/Skills!H23,1)</f>
        <v/>
      </c>
      <c r="H1016">
        <f>1-(1-Skills!J23/100)^Skills!K23</f>
        <v/>
      </c>
      <c r="I1016" t="inlineStr">
        <is>
          <t>1</t>
        </is>
      </c>
      <c r="J1016" t="inlineStr"/>
      <c r="K1016" t="inlineStr"/>
      <c r="L1016" t="inlineStr"/>
      <c r="M1016" t="inlineStr"/>
      <c r="N1016" t="inlineStr"/>
      <c r="O1016" t="n">
        <v>0</v>
      </c>
      <c r="P1016">
        <f>IF(B1030=0,0,O1016/B1030)</f>
        <v/>
      </c>
      <c r="Q1016" t="n">
        <v>0</v>
      </c>
      <c r="R1016" t="n">
        <v>0</v>
      </c>
      <c r="S1016">
        <f>IFERROR(O1016/N1016,0)</f>
        <v/>
      </c>
    </row>
    <row r="1017">
      <c r="A1017">
        <f>Skills!A24</f>
        <v/>
      </c>
      <c r="B1017">
        <f>Skills!B24</f>
        <v/>
      </c>
      <c r="C1017">
        <f>Inputs!$B$3&gt;=120</f>
        <v/>
      </c>
      <c r="D1017">
        <f>IF(Skills!C24=1,60+Inputs!$B$24+Inputs!$B$28,IF(Skills!C24=2,90+Inputs!$B$25+Inputs!$B$28,IF(Skills!C24=3,120+Inputs!$B$26+Inputs!$B$28,MAX(0,(Inputs!$B$3-100)*3)+Inputs!$B$27+Inputs!$B$28)))</f>
        <v/>
      </c>
      <c r="E1017">
        <f>INDEX(FactorTable!$B$2:$Y$301, MATCH(ROUND(MIN(300,MAX(1,D1017)),0), FactorTable!$A$2:$A$301,0), Skills!M24+1)</f>
        <v/>
      </c>
      <c r="F1017">
        <f>IF(Skills!N24=TRUE,(Skills!L24/10)*(E1017/1000),Skills!L24/10)+Skills!O24</f>
        <v/>
      </c>
      <c r="G1017">
        <f>Skills!G24*IF(Skills!H24&gt;0,Skills!I24/Skills!H24,1)</f>
        <v/>
      </c>
      <c r="H1017">
        <f>1-(1-Skills!J24/100)^Skills!K24</f>
        <v/>
      </c>
      <c r="I1017" t="inlineStr">
        <is>
          <t>1</t>
        </is>
      </c>
      <c r="J1017" t="inlineStr"/>
      <c r="K1017" t="inlineStr"/>
      <c r="L1017" t="inlineStr"/>
      <c r="M1017" t="inlineStr"/>
      <c r="N1017" t="inlineStr"/>
      <c r="O1017" t="n">
        <v>0</v>
      </c>
      <c r="P1017">
        <f>IF(B1030=0,0,O1017/B1030)</f>
        <v/>
      </c>
      <c r="Q1017" t="n">
        <v>0</v>
      </c>
      <c r="R1017" t="n">
        <v>0</v>
      </c>
      <c r="S1017">
        <f>IFERROR(O1017/N1017,0)</f>
        <v/>
      </c>
    </row>
    <row r="1018">
      <c r="A1018">
        <f>Skills!A25</f>
        <v/>
      </c>
      <c r="B1018">
        <f>Skills!B25</f>
        <v/>
      </c>
      <c r="C1018">
        <f>Inputs!$B$3&gt;=125</f>
        <v/>
      </c>
      <c r="D1018">
        <f>IF(Skills!C25=1,60+Inputs!$B$24+Inputs!$B$28,IF(Skills!C25=2,90+Inputs!$B$25+Inputs!$B$28,IF(Skills!C25=3,120+Inputs!$B$26+Inputs!$B$28,MAX(0,(Inputs!$B$3-100)*3)+Inputs!$B$27+Inputs!$B$28)))</f>
        <v/>
      </c>
      <c r="E1018">
        <f>INDEX(FactorTable!$B$2:$Y$301, MATCH(ROUND(MIN(300,MAX(1,D1018)),0), FactorTable!$A$2:$A$301,0), Skills!M25+1)</f>
        <v/>
      </c>
      <c r="F1018">
        <f>IF(Skills!N25=TRUE,(Skills!L25/10)*(E1018/1000),Skills!L25/10)+Skills!O25</f>
        <v/>
      </c>
      <c r="G1018">
        <f>Skills!G25*IF(Skills!H25&gt;0,Skills!I25/Skills!H25,1)</f>
        <v/>
      </c>
      <c r="H1018">
        <f>1-(1-Skills!J25/100)^Skills!K25</f>
        <v/>
      </c>
      <c r="I1018" t="inlineStr">
        <is>
          <t>1</t>
        </is>
      </c>
      <c r="J1018" t="inlineStr"/>
      <c r="K1018" t="inlineStr"/>
      <c r="L1018" t="inlineStr"/>
      <c r="M1018" t="inlineStr"/>
      <c r="N1018" t="inlineStr"/>
      <c r="O1018" t="n">
        <v>0</v>
      </c>
      <c r="P1018">
        <f>IF(B1030=0,0,O1018/B1030)</f>
        <v/>
      </c>
      <c r="Q1018" t="n">
        <v>0</v>
      </c>
      <c r="R1018" t="n">
        <v>0</v>
      </c>
      <c r="S1018">
        <f>IFERROR(O1018/N1018,0)</f>
        <v/>
      </c>
    </row>
    <row r="1019">
      <c r="A1019">
        <f>Skills!A26</f>
        <v/>
      </c>
      <c r="B1019">
        <f>Skills!B26</f>
        <v/>
      </c>
      <c r="C1019">
        <f>Inputs!$B$3&gt;=107</f>
        <v/>
      </c>
      <c r="D1019">
        <f>IF(Skills!C26=1,60+Inputs!$B$24+Inputs!$B$28,IF(Skills!C26=2,90+Inputs!$B$25+Inputs!$B$28,IF(Skills!C26=3,120+Inputs!$B$26+Inputs!$B$28,MAX(0,(Inputs!$B$3-100)*3)+Inputs!$B$27+Inputs!$B$28)))</f>
        <v/>
      </c>
      <c r="E1019">
        <f>INDEX(FactorTable!$B$2:$Y$301, MATCH(ROUND(MIN(300,MAX(1,D1019)),0), FactorTable!$A$2:$A$301,0), Skills!M26+1)</f>
        <v/>
      </c>
      <c r="F1019">
        <f>IF(Skills!N26=TRUE,(Skills!L26/10)*(E1019/1000),Skills!L26/10)+Skills!O26</f>
        <v/>
      </c>
      <c r="G1019">
        <f>Skills!G26*IF(Skills!H26&gt;0,Skills!I26/Skills!H26,1)</f>
        <v/>
      </c>
      <c r="H1019">
        <f>1-(1-Skills!J26/100)^Skills!K26</f>
        <v/>
      </c>
      <c r="I1019" t="inlineStr">
        <is>
          <t>1</t>
        </is>
      </c>
      <c r="J1019" t="inlineStr"/>
      <c r="K1019" t="inlineStr"/>
      <c r="L1019" t="inlineStr"/>
      <c r="M1019" t="inlineStr"/>
      <c r="N1019" t="inlineStr"/>
      <c r="O1019" t="n">
        <v>0</v>
      </c>
      <c r="P1019">
        <f>IF(B1030=0,0,O1019/B1030)</f>
        <v/>
      </c>
      <c r="Q1019" t="n">
        <v>0</v>
      </c>
      <c r="R1019" t="n">
        <v>0</v>
      </c>
      <c r="S1019">
        <f>IFERROR(O1019/N1019,0)</f>
        <v/>
      </c>
    </row>
    <row r="1021">
      <c r="A1021" t="inlineStr">
        <is>
          <t>Attack% Bucket Multiplier</t>
        </is>
      </c>
      <c r="B1021">
        <f>(1+(((C1006=TRUE)*F1006*IF(AND(Inputs!$B$4&lt;&gt;"pvp",Inputs!$B$35&gt;0),(((S1006-1)*(Skills!T13*(1+Inputs!$B$33/100))+MIN((Skills!T13*(1+Inputs!$B$33/100)),MAX(0,Inputs!$B$35-((S1006-1)*Skills!D13))))/Inputs!$B$35),IF(Inputs!$B$4="pvp",MIN((Skills!T13*(1+Inputs!$B$33/100)),15)/15,(Skills!T13*(1+Inputs!$B$33/100))/Skills!D13)))+((C1007=TRUE)*F1007*IF(AND(Inputs!$B$4&lt;&gt;"pvp",Inputs!$B$35&gt;0),(((S1007-1)*(Skills!T14*(1+Inputs!$B$33/100))+MIN((Skills!T14*(1+Inputs!$B$33/100)),MAX(0,Inputs!$B$35-((S1007-1)*Skills!D14))))/Inputs!$B$35),IF(Inputs!$B$4="pvp",MIN((Skills!T14*(1+Inputs!$B$33/100)),15)/15,(Skills!T14*(1+Inputs!$B$33/100))/Skills!D14)))+((C1008=TRUE)*F1008*IF(AND(Inputs!$B$4&lt;&gt;"pvp",Inputs!$B$35&gt;0),(((S1008-1)*(Skills!T15*(1+Inputs!$B$33/100))+MIN((Skills!T15*(1+Inputs!$B$33/100)),MAX(0,Inputs!$B$35-((S1008-1)*Skills!D15))))/Inputs!$B$35),IF(Inputs!$B$4="pvp",MIN((Skills!T15*(1+Inputs!$B$33/100)),15)/15,(Skills!T15*(1+Inputs!$B$33/100))/Skills!D15)))+((C1009=TRUE)*F1009*IF(AND(Inputs!$B$4&lt;&gt;"pvp",Inputs!$B$35&gt;0),(((S1009-1)*(Skills!T16*(1+Inputs!$B$33/100))+MIN((Skills!T16*(1+Inputs!$B$33/100)),MAX(0,Inputs!$B$35-((S1009-1)*Skills!D16))))/Inputs!$B$35),IF(Inputs!$B$4="pvp",MIN((Skills!T16*(1+Inputs!$B$33/100)),15)/15,(Skills!T16*(1+Inputs!$B$33/100))/Skills!D16)))+0)/100)</f>
        <v/>
      </c>
    </row>
    <row r="1022">
      <c r="A1022" t="inlineStr">
        <is>
          <t>Global Crit Rate Bonus % (Lord of Darkness)</t>
        </is>
      </c>
      <c r="B1022">
        <f>((C1011=TRUE)*F1011*(Skills!J18/100)*IF(AND(Inputs!$B$4&lt;&gt;"pvp",Inputs!$B$35&gt;0),(((S1011-1)*(Skills!T18*(1+Inputs!$B$33/100))+MIN((Skills!T18*(1+Inputs!$B$33/100)),MAX(0,Inputs!$B$35-((S1011-1)*Skills!D18))))/Inputs!$B$35),IF(Inputs!$B$4="pvp",MIN((Skills!T18*(1+Inputs!$B$33/100)),15)/15,(Skills!T18*(1+Inputs!$B$33/100))/Skills!D18)))</f>
        <v/>
      </c>
    </row>
    <row r="1023">
      <c r="A1023" t="inlineStr">
        <is>
          <t>Attack Speed Buff Bonus %</t>
        </is>
      </c>
      <c r="B1023">
        <f>((C1013=TRUE)*F1013*IF(AND(Inputs!$B$4&lt;&gt;"pvp",Inputs!$B$35&gt;0),(((S1013-1)*(Skills!T20*(1+Inputs!$B$33/100))+MIN((Skills!T20*(1+Inputs!$B$33/100)),MAX(0,Inputs!$B$35-((S1013-1)*Skills!D20))))/Inputs!$B$35),IF(Inputs!$B$4="pvp",MIN((Skills!T20*(1+Inputs!$B$33/100)),15)/15,(Skills!T20*(1+Inputs!$B$33/100))/Skills!D20)))</f>
        <v/>
      </c>
    </row>
    <row r="1024">
      <c r="A1024" t="inlineStr">
        <is>
          <t>Actions Per Second</t>
        </is>
      </c>
      <c r="B1024">
        <f>1+MIN(150,150*(1-(1-(Inputs!$B$10+((C1014=TRUE)*(F1014-Calc!F21)))/150)*(1-B1023/150)))/100</f>
        <v/>
      </c>
    </row>
    <row r="1025">
      <c r="A1025" t="inlineStr">
        <is>
          <t>Skill + Buff Cast Rate</t>
        </is>
      </c>
      <c r="B1025">
        <f>IF(AND(Inputs!$B$4&lt;&gt;"pvp",Inputs!$B$35&gt;0),SUMPRODUCT((Skills!E2:E26=TRUE)*(C995:C1019=TRUE)*R995:R1019*Skills!F2:F26)/Inputs!$B$35,SUMPRODUCT((Skills!E2:E26=TRUE)*(C995:C1019=TRUE)*Q995:Q1019*Skills!F2:F26))</f>
        <v/>
      </c>
    </row>
    <row r="1026">
      <c r="A1026" t="inlineStr">
        <is>
          <t>Dark Impale Casts Per Second</t>
        </is>
      </c>
      <c r="B1026">
        <f>MAX(0,B1024-B1025)</f>
        <v/>
      </c>
    </row>
    <row r="1027">
      <c r="A1027" t="inlineStr">
        <is>
          <t>Global Critical Damage Bonus % (Lord of Darkness)</t>
        </is>
      </c>
      <c r="B1027">
        <f>((C1012=TRUE)*F1012*(Skills!J19/100)*IF(AND(Inputs!$B$4&lt;&gt;"pvp",Inputs!$B$35&gt;0),(((S1012-1)*(Skills!T19*(1+Inputs!$B$33/100))+MIN((Skills!T19*(1+Inputs!$B$33/100)),MAX(0,Inputs!$B$35-((S1012-1)*Skills!D19))))/Inputs!$B$35),IF(Inputs!$B$4="pvp",MIN((Skills!T19*(1+Inputs!$B$33/100)),15)/15,(Skills!T19*(1+Inputs!$B$33/100))/Skills!D19)))</f>
        <v/>
      </c>
    </row>
    <row r="1028">
      <c r="A1028" t="inlineStr">
        <is>
          <t>Global Final Damage Bonus % (unused)</t>
        </is>
      </c>
      <c r="B1028" t="n">
        <v>0</v>
      </c>
    </row>
    <row r="1030">
      <c r="A1030" s="5" t="inlineStr">
        <is>
          <t>TOTAL DPS</t>
        </is>
      </c>
      <c r="B1030" s="5">
        <f>SUM(O995:O1019)</f>
        <v/>
      </c>
    </row>
    <row r="1033">
      <c r="A1033" s="5" t="inlineStr">
        <is>
          <t>Stat: Buff Duration Increase %</t>
        </is>
      </c>
    </row>
    <row r="1034">
      <c r="A1034" s="8" t="inlineStr">
        <is>
          <t>Key</t>
        </is>
      </c>
      <c r="B1034" s="8" t="inlineStr">
        <is>
          <t>Name</t>
        </is>
      </c>
      <c r="C1034" s="8" t="inlineStr">
        <is>
          <t>Unlocked</t>
        </is>
      </c>
      <c r="D1034" s="8" t="inlineStr">
        <is>
          <t>InputLevel</t>
        </is>
      </c>
      <c r="E1034" s="8" t="inlineStr">
        <is>
          <t>Factor</t>
        </is>
      </c>
      <c r="F1034" s="8" t="inlineStr">
        <is>
          <t>CoefficientPercent</t>
        </is>
      </c>
      <c r="G1034" s="8" t="inlineStr">
        <is>
          <t>EffectiveHits</t>
        </is>
      </c>
      <c r="H1034" s="8" t="inlineStr">
        <is>
          <t>ProcProbability</t>
        </is>
      </c>
      <c r="I1034" s="8" t="inlineStr">
        <is>
          <t>MapleHeroMultiplier</t>
        </is>
      </c>
      <c r="J1034" s="8" t="inlineStr">
        <is>
          <t>BaseDamage</t>
        </is>
      </c>
      <c r="K1034" s="8" t="inlineStr">
        <is>
          <t>BaseHitDamage</t>
        </is>
      </c>
      <c r="L1034" s="8" t="inlineStr">
        <is>
          <t>NonCritAvg</t>
        </is>
      </c>
      <c r="M1034" s="8" t="inlineStr">
        <is>
          <t>CritAvg</t>
        </is>
      </c>
      <c r="N1034" s="8" t="inlineStr">
        <is>
          <t>ExpectedDamage(perHit)</t>
        </is>
      </c>
      <c r="O1034" s="8" t="inlineStr">
        <is>
          <t>DPS</t>
        </is>
      </c>
      <c r="P1034" s="8" t="inlineStr">
        <is>
          <t>% of Total</t>
        </is>
      </c>
      <c r="Q1034" s="8" t="inlineStr">
        <is>
          <t>InvCooldown</t>
        </is>
      </c>
      <c r="R1034" s="8" t="inlineStr">
        <is>
          <t>CastsInFight</t>
        </is>
      </c>
      <c r="S1034" s="8" t="inlineStr">
        <is>
          <t>HitRate(perSec)</t>
        </is>
      </c>
      <c r="U1034" t="inlineStr">
        <is>
          <t>helpers</t>
        </is>
      </c>
    </row>
    <row r="1035">
      <c r="A1035">
        <f>Skills!A2</f>
        <v/>
      </c>
      <c r="B1035">
        <f>Skills!B2</f>
        <v/>
      </c>
      <c r="C1035">
        <f>Inputs!$B$3&gt;=100</f>
        <v/>
      </c>
      <c r="D1035" t="inlineStr"/>
      <c r="E1035" t="inlineStr"/>
      <c r="F1035">
        <f>U1037+Skills!O2</f>
        <v/>
      </c>
      <c r="G1035">
        <f>Skills!G2*IF(Skills!H2&gt;0,Skills!I2/Skills!H2,1)</f>
        <v/>
      </c>
      <c r="H1035">
        <f>1-(1-Skills!J2/100)^Skills!K2</f>
        <v/>
      </c>
      <c r="I1035" t="inlineStr">
        <is>
          <t>1</t>
        </is>
      </c>
      <c r="J1035">
        <f>(Inputs!$B$5*(1+Inputs!$B$6/100))*(F1035/100)</f>
        <v/>
      </c>
      <c r="K1035">
        <f>J1035*(1+((Inputs!$B$11*(1+Inputs!$B$12/100))*0.01+Inputs!$B$13*0.0025)/100)*(1+Inputs!$B$14/100)*(1+IF(Inputs!$B$4="pvp",0,(1-Summary!$B$55)*(Inputs!$B$19+0+Skills!P2+((C1050=TRUE)*F1050*IF(AND(Inputs!$B$4&lt;&gt;"pvp",Inputs!$B$35&gt;0),(((S1050-1)*(Skills!T17*(1+(Inputs!$B$33+1)/100))+MIN((Skills!T17*(1+(Inputs!$B$33+1)/100)),MAX(0,Inputs!$B$35-((S1050-1)*Skills!D17))))/Inputs!$B$35),IF(Inputs!$B$4="pvp",MIN((Skills!T17*(1+(Inputs!$B$33+1)/100)),15)/15,(Skills!T17*(1+(Inputs!$B$33+1)/100))/Skills!D17)))+((C1047=TRUE)*IF(Inputs!$B$4="pvp",20,(1-Summary!$B$55)*(20)+Summary!$B$55*(0))*IF(AND(Inputs!$B$4&lt;&gt;"pvp",Inputs!$B$35&gt;0),(((S1047-1)*(Skills!T14*(1+(Inputs!$B$33+1)/100))+MIN((Skills!T14*(1+(Inputs!$B$33+1)/100)),MAX(0,Inputs!$B$35-((S1047-1)*Skills!D14))))/Inputs!$B$35),IF(Inputs!$B$4="pvp",MIN((Skills!T14*(1+(Inputs!$B$33+1)/100)),15)/15,(Skills!T14*(1+(Inputs!$B$33+1)/100))/Skills!D14))))+Summary!$B$55*(Inputs!$B$20+Skills!Q2+((C1050=TRUE)*F1050*IF(AND(Inputs!$B$4&lt;&gt;"pvp",Inputs!$B$35&gt;0),(((S1050-1)*(Skills!T17*(1+(Inputs!$B$33+1)/100))+MIN((Skills!T17*(1+(Inputs!$B$33+1)/100)),MAX(0,Inputs!$B$35-((S1050-1)*Skills!D17))))/Inputs!$B$35),IF(Inputs!$B$4="pvp",MIN((Skills!T17*(1+(Inputs!$B$33+1)/100)),15)/15,(Skills!T17*(1+(Inputs!$B$33+1)/100))/Skills!D17)))))/100)*(1+Inputs!$B$15/100)*(5000/(6000+Inputs!$B$7*(1-(Inputs!$B$18+0)/100)))*(1+(Inputs!$B$23+((C1058=TRUE)*(F1058-Calc!F25))+((C1059=TRUE)*(F1059-Calc!F26))+B1068)/100)*(1+(IF(Skills!A2="DARK_IMPALE",Inputs!$B$16+0,Inputs!$B$17+((C1056=TRUE)*(F1056-Calc!F23))))/100)*((1+(((C1046=TRUE)*F1046*IF(AND(Inputs!$B$4&lt;&gt;"pvp",Inputs!$B$35&gt;0),(((S1046-1)*(Skills!T13*(1+(Inputs!$B$33+1)/100))+MIN((Skills!T13*(1+(Inputs!$B$33+1)/100)),MAX(0,Inputs!$B$35-((S1046-1)*Skills!D13))))/Inputs!$B$35),IF(Inputs!$B$4="pvp",MIN((Skills!T13*(1+(Inputs!$B$33+1)/100)),15)/15,(Skills!T13*(1+(Inputs!$B$33+1)/100))/Skills!D13)))+((C1047=TRUE)*F1047*IF(AND(Inputs!$B$4&lt;&gt;"pvp",Inputs!$B$35&gt;0),(((S1047-1)*(Skills!T14*(1+(Inputs!$B$33+1)/100))+MIN((Skills!T14*(1+(Inputs!$B$33+1)/100)),MAX(0,Inputs!$B$35-((S1047-1)*Skills!D14))))/Inputs!$B$35),IF(Inputs!$B$4="pvp",MIN((Skills!T14*(1+(Inputs!$B$33+1)/100)),15)/15,(Skills!T14*(1+(Inputs!$B$33+1)/100))/Skills!D14)))+((C1048=TRUE)*F1048*IF(AND(Inputs!$B$4&lt;&gt;"pvp",Inputs!$B$35&gt;0),(((S1048-1)*(Skills!T15*(1+(Inputs!$B$33+1)/100))+MIN((Skills!T15*(1+(Inputs!$B$33+1)/100)),MAX(0,Inputs!$B$35-((S1048-1)*Skills!D15))))/Inputs!$B$35),IF(Inputs!$B$4="pvp",MIN((Skills!T15*(1+(Inputs!$B$33+1)/100)),15)/15,(Skills!T15*(1+(Inputs!$B$33+1)/100))/Skills!D15)))+((C1049=TRUE)*F1049*IF(AND(Inputs!$B$4&lt;&gt;"pvp",Inputs!$B$35&gt;0),(((S1049-1)*(Skills!T16*(1+(Inputs!$B$33+1)/100))+MIN((Skills!T16*(1+(Inputs!$B$33+1)/100)),MAX(0,Inputs!$B$35-((S1049-1)*Skills!D16))))/Inputs!$B$35),IF(Inputs!$B$4="pvp",MIN((Skills!T16*(1+(Inputs!$B$33+1)/100)),15)/15,(Skills!T16*(1+(Inputs!$B$33+1)/100))/Skills!D16)))+0)/100)*I1035)</f>
        <v/>
      </c>
      <c r="L1035">
        <f>K1035*(MIN(Inputs!$B$21+((C1055=TRUE)*(F1055-Calc!F22)),Inputs!$B$22+((C1057=TRUE)*(F1057-Calc!F24)))/100+(Inputs!$B$22+((C1057=TRUE)*(F1057-Calc!F24)))/100)/2</f>
        <v/>
      </c>
      <c r="M1035">
        <f>L1035*(1+(Inputs!$B$9+0+B1067)/100)</f>
        <v/>
      </c>
      <c r="N1035">
        <f>L1035*(1-MIN((Inputs!$B$8+0+B1062),100)/100)+M1035*(MIN((Inputs!$B$8+0+B1062),100)/100)</f>
        <v/>
      </c>
      <c r="O1035">
        <f>IF(C1035,Skills!G2*N1035*B1066*IF(Inputs!$B$4="pvp",1,(1-Summary!$B$55)*(1)+Summary!$B$55*(MIN((6+Inputs!$B$32),Inputs!$B$37))),0)</f>
        <v/>
      </c>
      <c r="P1035">
        <f>IF(B1070=0,0,O1035/B1070)</f>
        <v/>
      </c>
      <c r="Q1035" t="n">
        <v>0</v>
      </c>
      <c r="R1035" t="n">
        <v>0</v>
      </c>
      <c r="S1035">
        <f>IFERROR(O1035/N1035,0)</f>
        <v/>
      </c>
      <c r="U1035">
        <f>MAX(0,(Inputs!$B$3-100)*3)+Inputs!$B$27+Inputs!$B$28</f>
        <v/>
      </c>
    </row>
    <row r="1036">
      <c r="A1036">
        <f>Skills!A3</f>
        <v/>
      </c>
      <c r="B1036">
        <f>Skills!B3</f>
        <v/>
      </c>
      <c r="C1036">
        <f>Inputs!$B$3&gt;=50</f>
        <v/>
      </c>
      <c r="D1036">
        <f>IF(Skills!C3=1,60+Inputs!$B$24+Inputs!$B$28,IF(Skills!C3=2,90+Inputs!$B$25+Inputs!$B$28,IF(Skills!C3=3,120+Inputs!$B$26+Inputs!$B$28,MAX(0,(Inputs!$B$3-100)*3)+Inputs!$B$27+Inputs!$B$28)))</f>
        <v/>
      </c>
      <c r="E1036">
        <f>INDEX(FactorTable!$B$2:$Y$301, MATCH(ROUND(MIN(300,MAX(1,D1036)),0), FactorTable!$A$2:$A$301,0), Skills!M3+1)</f>
        <v/>
      </c>
      <c r="F1036">
        <f>IF(Skills!N3=TRUE,(Skills!L3/10)*(E1036/1000),Skills!L3/10)+Skills!O3</f>
        <v/>
      </c>
      <c r="G1036" t="inlineStr"/>
      <c r="H1036" t="inlineStr"/>
      <c r="I1036" t="inlineStr">
        <is>
          <t>1</t>
        </is>
      </c>
      <c r="J1036" t="inlineStr"/>
      <c r="K1036" t="inlineStr"/>
      <c r="L1036" t="inlineStr"/>
      <c r="M1036" t="inlineStr"/>
      <c r="N1036" t="inlineStr"/>
      <c r="O1036" t="inlineStr"/>
      <c r="P1036" t="inlineStr"/>
      <c r="Q1036" t="inlineStr"/>
      <c r="R1036" t="inlineStr"/>
      <c r="S1036" t="inlineStr"/>
      <c r="U1036">
        <f>INDEX(FactorTable!$B$2:$Y$301, MATCH(ROUND(MIN(300,MAX(1,U1035)),0), FactorTable!$A$2:$A$301,0), 22)</f>
        <v/>
      </c>
    </row>
    <row r="1037">
      <c r="A1037">
        <f>Skills!A4</f>
        <v/>
      </c>
      <c r="B1037">
        <f>Skills!B4</f>
        <v/>
      </c>
      <c r="C1037">
        <f>Inputs!$B$3&gt;=105</f>
        <v/>
      </c>
      <c r="D1037">
        <f>IF(Skills!C4=1,60+Inputs!$B$24+Inputs!$B$28,IF(Skills!C4=2,90+Inputs!$B$25+Inputs!$B$28,IF(Skills!C4=3,120+Inputs!$B$26+Inputs!$B$28,MAX(0,(Inputs!$B$3-100)*3)+Inputs!$B$27+Inputs!$B$28)))</f>
        <v/>
      </c>
      <c r="E1037">
        <f>INDEX(FactorTable!$B$2:$Y$301, MATCH(ROUND(MIN(300,MAX(1,D1037)),0), FactorTable!$A$2:$A$301,0), Skills!M4+1)</f>
        <v/>
      </c>
      <c r="F1037">
        <f>IF(Skills!N4=TRUE,(Skills!L4/10)*(E1037/1000),Skills!L4/10)+Skills!O4</f>
        <v/>
      </c>
      <c r="G1037" t="inlineStr"/>
      <c r="H1037" t="inlineStr"/>
      <c r="I1037" t="inlineStr">
        <is>
          <t>1</t>
        </is>
      </c>
      <c r="J1037" t="inlineStr"/>
      <c r="K1037" t="inlineStr"/>
      <c r="L1037" t="inlineStr"/>
      <c r="M1037" t="inlineStr"/>
      <c r="N1037" t="inlineStr"/>
      <c r="O1037" t="inlineStr"/>
      <c r="P1037" t="inlineStr"/>
      <c r="Q1037" t="inlineStr"/>
      <c r="R1037" t="inlineStr"/>
      <c r="S1037" t="inlineStr"/>
      <c r="U1037">
        <f>290*U1036/1000</f>
        <v/>
      </c>
    </row>
    <row r="1038">
      <c r="A1038">
        <f>Skills!A5</f>
        <v/>
      </c>
      <c r="B1038">
        <f>Skills!B5</f>
        <v/>
      </c>
      <c r="C1038">
        <f>Inputs!$B$3&gt;=117</f>
        <v/>
      </c>
      <c r="D1038">
        <f>IF(Skills!C5=1,60+Inputs!$B$24+Inputs!$B$28,IF(Skills!C5=2,90+Inputs!$B$25+Inputs!$B$28,IF(Skills!C5=3,120+Inputs!$B$26+Inputs!$B$28,MAX(0,(Inputs!$B$3-100)*3)+Inputs!$B$27+Inputs!$B$28)))</f>
        <v/>
      </c>
      <c r="E1038">
        <f>INDEX(FactorTable!$B$2:$Y$301, MATCH(ROUND(MIN(300,MAX(1,D1038)),0), FactorTable!$A$2:$A$301,0), Skills!M5+1)</f>
        <v/>
      </c>
      <c r="F1038">
        <f>IF(Skills!N5=TRUE,(Skills!L5/10)*(E1038/1000),Skills!L5/10)+Skills!O5</f>
        <v/>
      </c>
      <c r="G1038">
        <f>Skills!G5*IF(Skills!H5&gt;0,Skills!I5/Skills!H5,1)</f>
        <v/>
      </c>
      <c r="H1038">
        <f>1-(1-Skills!J5/100)^Skills!K5</f>
        <v/>
      </c>
      <c r="I1038" t="inlineStr">
        <is>
          <t>1</t>
        </is>
      </c>
      <c r="J1038">
        <f>(Inputs!$B$5*(1+Inputs!$B$6/100))*(F1038/100)</f>
        <v/>
      </c>
      <c r="K1038">
        <f>J1038*(1+((Inputs!$B$11*(1+Inputs!$B$12/100))*0.01+Inputs!$B$13*0.0025)/100)*(1+Inputs!$B$14/100)*(1+IF(Inputs!$B$4="pvp",0,(1-Summary!$B$55)*(Inputs!$B$19+0+Skills!P5+((C1050=TRUE)*F1050*IF(AND(Inputs!$B$4&lt;&gt;"pvp",Inputs!$B$35&gt;0),(((S1050-1)*(Skills!T17*(1+(Inputs!$B$33+1)/100))+MIN((Skills!T17*(1+(Inputs!$B$33+1)/100)),MAX(0,Inputs!$B$35-((S1050-1)*Skills!D17))))/Inputs!$B$35),IF(Inputs!$B$4="pvp",MIN((Skills!T17*(1+(Inputs!$B$33+1)/100)),15)/15,(Skills!T17*(1+(Inputs!$B$33+1)/100))/Skills!D17)))+((C1047=TRUE)*IF(Inputs!$B$4="pvp",20,(1-Summary!$B$55)*(20)+Summary!$B$55*(0))*IF(AND(Inputs!$B$4&lt;&gt;"pvp",Inputs!$B$35&gt;0),(((S1047-1)*(Skills!T14*(1+(Inputs!$B$33+1)/100))+MIN((Skills!T14*(1+(Inputs!$B$33+1)/100)),MAX(0,Inputs!$B$35-((S1047-1)*Skills!D14))))/Inputs!$B$35),IF(Inputs!$B$4="pvp",MIN((Skills!T14*(1+(Inputs!$B$33+1)/100)),15)/15,(Skills!T14*(1+(Inputs!$B$33+1)/100))/Skills!D14))))+Summary!$B$55*(Inputs!$B$20+Skills!Q5+((C1050=TRUE)*F1050*IF(AND(Inputs!$B$4&lt;&gt;"pvp",Inputs!$B$35&gt;0),(((S1050-1)*(Skills!T17*(1+(Inputs!$B$33+1)/100))+MIN((Skills!T17*(1+(Inputs!$B$33+1)/100)),MAX(0,Inputs!$B$35-((S1050-1)*Skills!D17))))/Inputs!$B$35),IF(Inputs!$B$4="pvp",MIN((Skills!T17*(1+(Inputs!$B$33+1)/100)),15)/15,(Skills!T17*(1+(Inputs!$B$33+1)/100))/Skills!D17)))))/100)*(1+Inputs!$B$15/100)*(5000/(6000+Inputs!$B$7*(1-(Inputs!$B$18+0)/100)))*(1+(Inputs!$B$23+((C1058=TRUE)*(F1058-Calc!F25))+((C1059=TRUE)*(F1059-Calc!F26))+B1068)/100)*(1+(IF(Skills!A5="DARK_IMPALE",Inputs!$B$16+0,Inputs!$B$17+((C1056=TRUE)*(F1056-Calc!F23))))/100)*((1+(((C1046=TRUE)*F1046*IF(AND(Inputs!$B$4&lt;&gt;"pvp",Inputs!$B$35&gt;0),(((S1046-1)*(Skills!T13*(1+(Inputs!$B$33+1)/100))+MIN((Skills!T13*(1+(Inputs!$B$33+1)/100)),MAX(0,Inputs!$B$35-((S1046-1)*Skills!D13))))/Inputs!$B$35),IF(Inputs!$B$4="pvp",MIN((Skills!T13*(1+(Inputs!$B$33+1)/100)),15)/15,(Skills!T13*(1+(Inputs!$B$33+1)/100))/Skills!D13)))+((C1047=TRUE)*F1047*IF(AND(Inputs!$B$4&lt;&gt;"pvp",Inputs!$B$35&gt;0),(((S1047-1)*(Skills!T14*(1+(Inputs!$B$33+1)/100))+MIN((Skills!T14*(1+(Inputs!$B$33+1)/100)),MAX(0,Inputs!$B$35-((S1047-1)*Skills!D14))))/Inputs!$B$35),IF(Inputs!$B$4="pvp",MIN((Skills!T14*(1+(Inputs!$B$33+1)/100)),15)/15,(Skills!T14*(1+(Inputs!$B$33+1)/100))/Skills!D14)))+((C1048=TRUE)*F1048*IF(AND(Inputs!$B$4&lt;&gt;"pvp",Inputs!$B$35&gt;0),(((S1048-1)*(Skills!T15*(1+(Inputs!$B$33+1)/100))+MIN((Skills!T15*(1+(Inputs!$B$33+1)/100)),MAX(0,Inputs!$B$35-((S1048-1)*Skills!D15))))/Inputs!$B$35),IF(Inputs!$B$4="pvp",MIN((Skills!T15*(1+(Inputs!$B$33+1)/100)),15)/15,(Skills!T15*(1+(Inputs!$B$33+1)/100))/Skills!D15)))+((C1049=TRUE)*F1049*IF(AND(Inputs!$B$4&lt;&gt;"pvp",Inputs!$B$35&gt;0),(((S1049-1)*(Skills!T16*(1+(Inputs!$B$33+1)/100))+MIN((Skills!T16*(1+(Inputs!$B$33+1)/100)),MAX(0,Inputs!$B$35-((S1049-1)*Skills!D16))))/Inputs!$B$35),IF(Inputs!$B$4="pvp",MIN((Skills!T16*(1+(Inputs!$B$33+1)/100)),15)/15,(Skills!T16*(1+(Inputs!$B$33+1)/100))/Skills!D16)))+0)/100)*I1038)</f>
        <v/>
      </c>
      <c r="L1038">
        <f>K1038*(MIN(Inputs!$B$21+((C1055=TRUE)*(F1055-Calc!F22)),Inputs!$B$22+((C1057=TRUE)*(F1057-Calc!F24)))/100+(Inputs!$B$22+((C1057=TRUE)*(F1057-Calc!F24)))/100)/2</f>
        <v/>
      </c>
      <c r="M1038">
        <f>L1038*(1+(Inputs!$B$9+0+B1067)/100)</f>
        <v/>
      </c>
      <c r="N1038">
        <f>L1038*(1-MIN((Inputs!$B$8+0+B1062),100)/100)+M1038*(MIN((Inputs!$B$8+0+B1062),100)/100)</f>
        <v/>
      </c>
      <c r="O1038">
        <f>IF(C1038,H1038*N1038*IF(AND(Inputs!$B$4&lt;&gt;"pvp",Inputs!$B$35&gt;0),((Skills!G5*((R1038-1)*IF(Skills!H5&gt;0,Skills!I5/Skills!H5,1)+IF(Skills!H5&gt;0,MIN(Skills!I5,MAX(0,Inputs!$B$35-((R1038-1)*IF(Inputs!$B$4="pvp",15,MAX(0.1,Skills!D5-IF(Skills!E5=TRUE,Inputs!$B$31,0))))))/Skills!H5,1)))/Inputs!$B$35),G1038*Q1038)*IF(Inputs!$B$4="pvp",1,(1-Summary!$B$55)*(1)+Summary!$B$55*(MIN(Skills!R5,Inputs!$B$37))),0)</f>
        <v/>
      </c>
      <c r="P1038">
        <f>IF(B1070=0,0,O1038/B1070)</f>
        <v/>
      </c>
      <c r="Q1038">
        <f>IFERROR(1/IF(Inputs!$B$4="pvp",15,MAX(0.1,Skills!D5-IF(Skills!E5=TRUE,Inputs!$B$31,0))),0)</f>
        <v/>
      </c>
      <c r="R1038">
        <f>IF(AND(Inputs!$B$4&lt;&gt;"pvp",Inputs!$B$35&gt;0),(INT(Inputs!$B$35/IF(Inputs!$B$4="pvp",15,MAX(0.1,Skills!D5-IF(Skills!E5=TRUE,Inputs!$B$31,0))))+1),0)</f>
        <v/>
      </c>
      <c r="S1038">
        <f>IFERROR(O1038/N1038,0)</f>
        <v/>
      </c>
    </row>
    <row r="1039">
      <c r="A1039">
        <f>Skills!A6</f>
        <v/>
      </c>
      <c r="B1039">
        <f>Skills!B6</f>
        <v/>
      </c>
      <c r="C1039">
        <f>Inputs!$B$3&gt;=103</f>
        <v/>
      </c>
      <c r="D1039">
        <f>IF(Skills!C6=1,60+Inputs!$B$24+Inputs!$B$28,IF(Skills!C6=2,90+Inputs!$B$25+Inputs!$B$28,IF(Skills!C6=3,120+Inputs!$B$26+Inputs!$B$28,MAX(0,(Inputs!$B$3-100)*3)+Inputs!$B$27+Inputs!$B$28)))</f>
        <v/>
      </c>
      <c r="E1039">
        <f>INDEX(FactorTable!$B$2:$Y$301, MATCH(ROUND(MIN(300,MAX(1,D1039)),0), FactorTable!$A$2:$A$301,0), Skills!M6+1)</f>
        <v/>
      </c>
      <c r="F1039">
        <f>IF(Skills!N6=TRUE,(Skills!L6/10)*(E1039/1000),Skills!L6/10)+Skills!O6</f>
        <v/>
      </c>
      <c r="G1039">
        <f>Skills!G6*IF(Skills!H6&gt;0,Skills!I6/Skills!H6,1)</f>
        <v/>
      </c>
      <c r="H1039">
        <f>1-(1-Skills!J6/100)^Skills!K6</f>
        <v/>
      </c>
      <c r="I1039" t="inlineStr">
        <is>
          <t>1</t>
        </is>
      </c>
      <c r="J1039">
        <f>(Inputs!$B$5*(1+Inputs!$B$6/100))*(F1039/100)</f>
        <v/>
      </c>
      <c r="K1039">
        <f>J1039*(1+((Inputs!$B$11*(1+Inputs!$B$12/100))*0.01+Inputs!$B$13*0.0025)/100)*(1+Inputs!$B$14/100)*(1+IF(Inputs!$B$4="pvp",0,(1-Summary!$B$55)*(Inputs!$B$19+0+Skills!P6+((C1050=TRUE)*F1050*IF(AND(Inputs!$B$4&lt;&gt;"pvp",Inputs!$B$35&gt;0),(((S1050-1)*(Skills!T17*(1+(Inputs!$B$33+1)/100))+MIN((Skills!T17*(1+(Inputs!$B$33+1)/100)),MAX(0,Inputs!$B$35-((S1050-1)*Skills!D17))))/Inputs!$B$35),IF(Inputs!$B$4="pvp",MIN((Skills!T17*(1+(Inputs!$B$33+1)/100)),15)/15,(Skills!T17*(1+(Inputs!$B$33+1)/100))/Skills!D17)))+((C1047=TRUE)*IF(Inputs!$B$4="pvp",20,(1-Summary!$B$55)*(20)+Summary!$B$55*(0))*IF(AND(Inputs!$B$4&lt;&gt;"pvp",Inputs!$B$35&gt;0),(((S1047-1)*(Skills!T14*(1+(Inputs!$B$33+1)/100))+MIN((Skills!T14*(1+(Inputs!$B$33+1)/100)),MAX(0,Inputs!$B$35-((S1047-1)*Skills!D14))))/Inputs!$B$35),IF(Inputs!$B$4="pvp",MIN((Skills!T14*(1+(Inputs!$B$33+1)/100)),15)/15,(Skills!T14*(1+(Inputs!$B$33+1)/100))/Skills!D14))))+Summary!$B$55*(Inputs!$B$20+Skills!Q6+((C1050=TRUE)*F1050*IF(AND(Inputs!$B$4&lt;&gt;"pvp",Inputs!$B$35&gt;0),(((S1050-1)*(Skills!T17*(1+(Inputs!$B$33+1)/100))+MIN((Skills!T17*(1+(Inputs!$B$33+1)/100)),MAX(0,Inputs!$B$35-((S1050-1)*Skills!D17))))/Inputs!$B$35),IF(Inputs!$B$4="pvp",MIN((Skills!T17*(1+(Inputs!$B$33+1)/100)),15)/15,(Skills!T17*(1+(Inputs!$B$33+1)/100))/Skills!D17)))))/100)*(1+Inputs!$B$15/100)*(5000/(6000+Inputs!$B$7*(1-(Inputs!$B$18+0)/100)))*(1+(Inputs!$B$23+((C1058=TRUE)*(F1058-Calc!F25))+((C1059=TRUE)*(F1059-Calc!F26))+B1068)/100)*(1+(IF(Skills!A6="DARK_IMPALE",Inputs!$B$16+0,Inputs!$B$17+((C1056=TRUE)*(F1056-Calc!F23))))/100)*((1+(((C1046=TRUE)*F1046*IF(AND(Inputs!$B$4&lt;&gt;"pvp",Inputs!$B$35&gt;0),(((S1046-1)*(Skills!T13*(1+(Inputs!$B$33+1)/100))+MIN((Skills!T13*(1+(Inputs!$B$33+1)/100)),MAX(0,Inputs!$B$35-((S1046-1)*Skills!D13))))/Inputs!$B$35),IF(Inputs!$B$4="pvp",MIN((Skills!T13*(1+(Inputs!$B$33+1)/100)),15)/15,(Skills!T13*(1+(Inputs!$B$33+1)/100))/Skills!D13)))+((C1047=TRUE)*F1047*IF(AND(Inputs!$B$4&lt;&gt;"pvp",Inputs!$B$35&gt;0),(((S1047-1)*(Skills!T14*(1+(Inputs!$B$33+1)/100))+MIN((Skills!T14*(1+(Inputs!$B$33+1)/100)),MAX(0,Inputs!$B$35-((S1047-1)*Skills!D14))))/Inputs!$B$35),IF(Inputs!$B$4="pvp",MIN((Skills!T14*(1+(Inputs!$B$33+1)/100)),15)/15,(Skills!T14*(1+(Inputs!$B$33+1)/100))/Skills!D14)))+((C1048=TRUE)*F1048*IF(AND(Inputs!$B$4&lt;&gt;"pvp",Inputs!$B$35&gt;0),(((S1048-1)*(Skills!T15*(1+(Inputs!$B$33+1)/100))+MIN((Skills!T15*(1+(Inputs!$B$33+1)/100)),MAX(0,Inputs!$B$35-((S1048-1)*Skills!D15))))/Inputs!$B$35),IF(Inputs!$B$4="pvp",MIN((Skills!T15*(1+(Inputs!$B$33+1)/100)),15)/15,(Skills!T15*(1+(Inputs!$B$33+1)/100))/Skills!D15)))+((C1049=TRUE)*F1049*IF(AND(Inputs!$B$4&lt;&gt;"pvp",Inputs!$B$35&gt;0),(((S1049-1)*(Skills!T16*(1+(Inputs!$B$33+1)/100))+MIN((Skills!T16*(1+(Inputs!$B$33+1)/100)),MAX(0,Inputs!$B$35-((S1049-1)*Skills!D16))))/Inputs!$B$35),IF(Inputs!$B$4="pvp",MIN((Skills!T16*(1+(Inputs!$B$33+1)/100)),15)/15,(Skills!T16*(1+(Inputs!$B$33+1)/100))/Skills!D16)))+0)/100)*I1039)</f>
        <v/>
      </c>
      <c r="L1039">
        <f>K1039*(MIN(Inputs!$B$21+((C1055=TRUE)*(F1055-Calc!F22)),Inputs!$B$22+((C1057=TRUE)*(F1057-Calc!F24)))/100+(Inputs!$B$22+((C1057=TRUE)*(F1057-Calc!F24)))/100)/2</f>
        <v/>
      </c>
      <c r="M1039">
        <f>L1039*(1+(Inputs!$B$9+0+B1067)/100)</f>
        <v/>
      </c>
      <c r="N1039">
        <f>L1039*(1-MIN((Inputs!$B$8+0+B1062),100)/100)+M1039*(MIN((Inputs!$B$8+0+B1062),100)/100)</f>
        <v/>
      </c>
      <c r="O1039">
        <f>IF(C1039,H1039*N1039*IF(AND(Inputs!$B$4&lt;&gt;"pvp",Inputs!$B$35&gt;0),((Skills!G6*((R1039-1)*IF(Skills!H6&gt;0,Skills!I6/Skills!H6,1)+IF(Skills!H6&gt;0,MIN(Skills!I6,MAX(0,Inputs!$B$35-((R1039-1)*IF(Inputs!$B$4="pvp",15,MAX(0.1,Skills!D6-IF(Skills!E6=TRUE,Inputs!$B$31,0))))))/Skills!H6,1)))/Inputs!$B$35),G1039*Q1039)*IF(Inputs!$B$4="pvp",1,(1-Summary!$B$55)*(1)+Summary!$B$55*(MIN(Skills!R6,Inputs!$B$37))),0)</f>
        <v/>
      </c>
      <c r="P1039">
        <f>IF(B1070=0,0,O1039/B1070)</f>
        <v/>
      </c>
      <c r="Q1039">
        <f>IFERROR(1/IF(Inputs!$B$4="pvp",15,MAX(0.1,Skills!D6-IF(Skills!E6=TRUE,Inputs!$B$31,0))),0)</f>
        <v/>
      </c>
      <c r="R1039">
        <f>IF(AND(Inputs!$B$4&lt;&gt;"pvp",Inputs!$B$35&gt;0),(INT(Inputs!$B$35/IF(Inputs!$B$4="pvp",15,MAX(0.1,Skills!D6-IF(Skills!E6=TRUE,Inputs!$B$31,0))))+1),0)</f>
        <v/>
      </c>
      <c r="S1039">
        <f>IFERROR(O1039/N1039,0)</f>
        <v/>
      </c>
    </row>
    <row r="1040">
      <c r="A1040">
        <f>Skills!A7</f>
        <v/>
      </c>
      <c r="B1040">
        <f>Skills!B7</f>
        <v/>
      </c>
      <c r="C1040">
        <f>Inputs!$B$3&gt;=40</f>
        <v/>
      </c>
      <c r="D1040">
        <f>IF(Skills!C7=1,60+Inputs!$B$24+Inputs!$B$28,IF(Skills!C7=2,90+Inputs!$B$25+Inputs!$B$28,IF(Skills!C7=3,120+Inputs!$B$26+Inputs!$B$28,MAX(0,(Inputs!$B$3-100)*3)+Inputs!$B$27+Inputs!$B$28)))</f>
        <v/>
      </c>
      <c r="E1040">
        <f>INDEX(FactorTable!$B$2:$Y$301, MATCH(ROUND(MIN(300,MAX(1,D1040)),0), FactorTable!$A$2:$A$301,0), Skills!M7+1)</f>
        <v/>
      </c>
      <c r="F1040">
        <f>IF(Skills!N7=TRUE,(Skills!L7/10)*(E1040/1000),Skills!L7/10)+Skills!O7</f>
        <v/>
      </c>
      <c r="G1040">
        <f>Skills!G7*IF(Skills!H7&gt;0,Skills!I7/Skills!H7,1)</f>
        <v/>
      </c>
      <c r="H1040">
        <f>1-(1-Skills!J7/100)^Skills!K7</f>
        <v/>
      </c>
      <c r="I1040" t="inlineStr">
        <is>
          <t>1</t>
        </is>
      </c>
      <c r="J1040">
        <f>(Inputs!$B$5*(1+Inputs!$B$6/100))*(F1040/100)</f>
        <v/>
      </c>
      <c r="K1040">
        <f>J1040*(1+((Inputs!$B$11*(1+Inputs!$B$12/100))*0.01+Inputs!$B$13*0.0025)/100)*(1+Inputs!$B$14/100)*(1+IF(Inputs!$B$4="pvp",0,(1-Summary!$B$55)*(Inputs!$B$19+0+Skills!P7+((C1050=TRUE)*F1050*IF(AND(Inputs!$B$4&lt;&gt;"pvp",Inputs!$B$35&gt;0),(((S1050-1)*(Skills!T17*(1+(Inputs!$B$33+1)/100))+MIN((Skills!T17*(1+(Inputs!$B$33+1)/100)),MAX(0,Inputs!$B$35-((S1050-1)*Skills!D17))))/Inputs!$B$35),IF(Inputs!$B$4="pvp",MIN((Skills!T17*(1+(Inputs!$B$33+1)/100)),15)/15,(Skills!T17*(1+(Inputs!$B$33+1)/100))/Skills!D17)))+((C1047=TRUE)*IF(Inputs!$B$4="pvp",20,(1-Summary!$B$55)*(20)+Summary!$B$55*(0))*IF(AND(Inputs!$B$4&lt;&gt;"pvp",Inputs!$B$35&gt;0),(((S1047-1)*(Skills!T14*(1+(Inputs!$B$33+1)/100))+MIN((Skills!T14*(1+(Inputs!$B$33+1)/100)),MAX(0,Inputs!$B$35-((S1047-1)*Skills!D14))))/Inputs!$B$35),IF(Inputs!$B$4="pvp",MIN((Skills!T14*(1+(Inputs!$B$33+1)/100)),15)/15,(Skills!T14*(1+(Inputs!$B$33+1)/100))/Skills!D14))))+Summary!$B$55*(Inputs!$B$20+Skills!Q7+((C1050=TRUE)*F1050*IF(AND(Inputs!$B$4&lt;&gt;"pvp",Inputs!$B$35&gt;0),(((S1050-1)*(Skills!T17*(1+(Inputs!$B$33+1)/100))+MIN((Skills!T17*(1+(Inputs!$B$33+1)/100)),MAX(0,Inputs!$B$35-((S1050-1)*Skills!D17))))/Inputs!$B$35),IF(Inputs!$B$4="pvp",MIN((Skills!T17*(1+(Inputs!$B$33+1)/100)),15)/15,(Skills!T17*(1+(Inputs!$B$33+1)/100))/Skills!D17)))))/100)*(1+Inputs!$B$15/100)*(5000/(6000+Inputs!$B$7*(1-(Inputs!$B$18+0)/100)))*(1+(Inputs!$B$23+((C1058=TRUE)*(F1058-Calc!F25))+((C1059=TRUE)*(F1059-Calc!F26))+B1068)/100)*(1+0.75*IF(C1044=TRUE,F1044,0)/100)*(1+(IF(Skills!A7="DARK_IMPALE",Inputs!$B$16+0,Inputs!$B$17+((C1056=TRUE)*(F1056-Calc!F23))))/100)*((1+(((C1046=TRUE)*F1046*IF(AND(Inputs!$B$4&lt;&gt;"pvp",Inputs!$B$35&gt;0),(((S1046-1)*(Skills!T13*(1+(Inputs!$B$33+1)/100))+MIN((Skills!T13*(1+(Inputs!$B$33+1)/100)),MAX(0,Inputs!$B$35-((S1046-1)*Skills!D13))))/Inputs!$B$35),IF(Inputs!$B$4="pvp",MIN((Skills!T13*(1+(Inputs!$B$33+1)/100)),15)/15,(Skills!T13*(1+(Inputs!$B$33+1)/100))/Skills!D13)))+((C1047=TRUE)*F1047*IF(AND(Inputs!$B$4&lt;&gt;"pvp",Inputs!$B$35&gt;0),(((S1047-1)*(Skills!T14*(1+(Inputs!$B$33+1)/100))+MIN((Skills!T14*(1+(Inputs!$B$33+1)/100)),MAX(0,Inputs!$B$35-((S1047-1)*Skills!D14))))/Inputs!$B$35),IF(Inputs!$B$4="pvp",MIN((Skills!T14*(1+(Inputs!$B$33+1)/100)),15)/15,(Skills!T14*(1+(Inputs!$B$33+1)/100))/Skills!D14)))+((C1048=TRUE)*F1048*IF(AND(Inputs!$B$4&lt;&gt;"pvp",Inputs!$B$35&gt;0),(((S1048-1)*(Skills!T15*(1+(Inputs!$B$33+1)/100))+MIN((Skills!T15*(1+(Inputs!$B$33+1)/100)),MAX(0,Inputs!$B$35-((S1048-1)*Skills!D15))))/Inputs!$B$35),IF(Inputs!$B$4="pvp",MIN((Skills!T15*(1+(Inputs!$B$33+1)/100)),15)/15,(Skills!T15*(1+(Inputs!$B$33+1)/100))/Skills!D15)))+((C1049=TRUE)*F1049*IF(AND(Inputs!$B$4&lt;&gt;"pvp",Inputs!$B$35&gt;0),(((S1049-1)*(Skills!T16*(1+(Inputs!$B$33+1)/100))+MIN((Skills!T16*(1+(Inputs!$B$33+1)/100)),MAX(0,Inputs!$B$35-((S1049-1)*Skills!D16))))/Inputs!$B$35),IF(Inputs!$B$4="pvp",MIN((Skills!T16*(1+(Inputs!$B$33+1)/100)),15)/15,(Skills!T16*(1+(Inputs!$B$33+1)/100))/Skills!D16)))+0)/100)*I1040)</f>
        <v/>
      </c>
      <c r="L1040">
        <f>K1040*(MIN(Inputs!$B$21+((C1055=TRUE)*(F1055-Calc!F22)),Inputs!$B$22+((C1057=TRUE)*(F1057-Calc!F24)))/100+(Inputs!$B$22+((C1057=TRUE)*(F1057-Calc!F24)))/100)/2</f>
        <v/>
      </c>
      <c r="M1040">
        <f>L1040*(1+(Inputs!$B$9+0+B1067)/100)</f>
        <v/>
      </c>
      <c r="N1040">
        <f>L1040*(1-MIN((Inputs!$B$8+0+B1062),100)/100)+M1040*(MIN((Inputs!$B$8+0+B1062),100)/100)</f>
        <v/>
      </c>
      <c r="O1040">
        <f>IF(C1040,H1040*N1040*IF(AND(Inputs!$B$4&lt;&gt;"pvp",Inputs!$B$35&gt;0),((Skills!G7*((R1040-1)*IF(Skills!H7&gt;0,Skills!I7/Skills!H7,1)+IF(Skills!H7&gt;0,MIN(Skills!I7,MAX(0,Inputs!$B$35-((R1040-1)*IF(Inputs!$B$4="pvp",15,MAX(0.1,Skills!D7-IF(Skills!E7=TRUE,Inputs!$B$31,0))))))/Skills!H7,1)))/Inputs!$B$35),G1040*Q1040)*IF(Inputs!$B$4="pvp",1,(1-Summary!$B$55)*(1)+Summary!$B$55*(MIN(Skills!R7,Inputs!$B$37))),0)</f>
        <v/>
      </c>
      <c r="P1040">
        <f>IF(B1070=0,0,O1040/B1070)</f>
        <v/>
      </c>
      <c r="Q1040">
        <f>IFERROR(1/IF(Inputs!$B$4="pvp",15,MAX(0.1,Skills!D7-IF(Skills!E7=TRUE,Inputs!$B$31,0))),0)</f>
        <v/>
      </c>
      <c r="R1040">
        <f>IF(AND(Inputs!$B$4&lt;&gt;"pvp",Inputs!$B$35&gt;0),(INT(Inputs!$B$35/IF(Inputs!$B$4="pvp",15,MAX(0.1,Skills!D7-IF(Skills!E7=TRUE,Inputs!$B$31,0))))+1),0)</f>
        <v/>
      </c>
      <c r="S1040">
        <f>IFERROR(O1040/N1040,0)</f>
        <v/>
      </c>
    </row>
    <row r="1041">
      <c r="A1041">
        <f>Skills!A8</f>
        <v/>
      </c>
      <c r="B1041">
        <f>Skills!B8</f>
        <v/>
      </c>
      <c r="C1041">
        <f>Inputs!$B$3&gt;=75</f>
        <v/>
      </c>
      <c r="D1041">
        <f>IF(Skills!C8=1,60+Inputs!$B$24+Inputs!$B$28,IF(Skills!C8=2,90+Inputs!$B$25+Inputs!$B$28,IF(Skills!C8=3,120+Inputs!$B$26+Inputs!$B$28,MAX(0,(Inputs!$B$3-100)*3)+Inputs!$B$27+Inputs!$B$28)))</f>
        <v/>
      </c>
      <c r="E1041">
        <f>INDEX(FactorTable!$B$2:$Y$301, MATCH(ROUND(MIN(300,MAX(1,D1041)),0), FactorTable!$A$2:$A$301,0), Skills!M8+1)</f>
        <v/>
      </c>
      <c r="F1041">
        <f>IF(Skills!N8=TRUE,(Skills!L8/10)*(E1041/1000),Skills!L8/10)+Skills!O8</f>
        <v/>
      </c>
      <c r="G1041" t="inlineStr"/>
      <c r="H1041" t="inlineStr"/>
      <c r="I1041" t="inlineStr">
        <is>
          <t>1</t>
        </is>
      </c>
      <c r="J1041" t="inlineStr"/>
      <c r="K1041" t="inlineStr"/>
      <c r="L1041" t="inlineStr"/>
      <c r="M1041" t="inlineStr"/>
      <c r="N1041" t="inlineStr"/>
      <c r="O1041" t="inlineStr"/>
      <c r="P1041" t="inlineStr"/>
      <c r="Q1041" t="inlineStr"/>
      <c r="R1041" t="inlineStr"/>
      <c r="S1041" t="inlineStr"/>
    </row>
    <row r="1042">
      <c r="A1042">
        <f>Skills!A9</f>
        <v/>
      </c>
      <c r="B1042">
        <f>Skills!B9</f>
        <v/>
      </c>
      <c r="C1042">
        <f>Inputs!$B$3&gt;=60</f>
        <v/>
      </c>
      <c r="D1042">
        <f>IF(Skills!C9=1,60+Inputs!$B$24+Inputs!$B$28,IF(Skills!C9=2,90+Inputs!$B$25+Inputs!$B$28,IF(Skills!C9=3,120+Inputs!$B$26+Inputs!$B$28,MAX(0,(Inputs!$B$3-100)*3)+Inputs!$B$27+Inputs!$B$28)))</f>
        <v/>
      </c>
      <c r="E1042">
        <f>INDEX(FactorTable!$B$2:$Y$301, MATCH(ROUND(MIN(300,MAX(1,D1042)),0), FactorTable!$A$2:$A$301,0), Skills!M9+1)</f>
        <v/>
      </c>
      <c r="F1042">
        <f>IF(Skills!N9=TRUE,(Skills!L9/10)*(E1042/1000),Skills!L9/10)+Skills!O9</f>
        <v/>
      </c>
      <c r="G1042">
        <f>Skills!G9*IF(Skills!H9&gt;0,Skills!I9/Skills!H9,1)</f>
        <v/>
      </c>
      <c r="H1042">
        <f>1-(1-Skills!J9/100)^Skills!K9</f>
        <v/>
      </c>
      <c r="I1042" t="inlineStr">
        <is>
          <t>1</t>
        </is>
      </c>
      <c r="J1042">
        <f>(Inputs!$B$5*(1+Inputs!$B$6/100))*(F1042/100)</f>
        <v/>
      </c>
      <c r="K1042">
        <f>J1042*(1+((Inputs!$B$11*(1+Inputs!$B$12/100))*0.01+Inputs!$B$13*0.0025)/100)*(1+Inputs!$B$14/100)*(1+IF(Inputs!$B$4="pvp",0,(1-Summary!$B$55)*(Inputs!$B$19+0+Skills!P9+((C1050=TRUE)*F1050*IF(AND(Inputs!$B$4&lt;&gt;"pvp",Inputs!$B$35&gt;0),(((S1050-1)*(Skills!T17*(1+(Inputs!$B$33+1)/100))+MIN((Skills!T17*(1+(Inputs!$B$33+1)/100)),MAX(0,Inputs!$B$35-((S1050-1)*Skills!D17))))/Inputs!$B$35),IF(Inputs!$B$4="pvp",MIN((Skills!T17*(1+(Inputs!$B$33+1)/100)),15)/15,(Skills!T17*(1+(Inputs!$B$33+1)/100))/Skills!D17)))+((C1047=TRUE)*IF(Inputs!$B$4="pvp",20,(1-Summary!$B$55)*(20)+Summary!$B$55*(0))*IF(AND(Inputs!$B$4&lt;&gt;"pvp",Inputs!$B$35&gt;0),(((S1047-1)*(Skills!T14*(1+(Inputs!$B$33+1)/100))+MIN((Skills!T14*(1+(Inputs!$B$33+1)/100)),MAX(0,Inputs!$B$35-((S1047-1)*Skills!D14))))/Inputs!$B$35),IF(Inputs!$B$4="pvp",MIN((Skills!T14*(1+(Inputs!$B$33+1)/100)),15)/15,(Skills!T14*(1+(Inputs!$B$33+1)/100))/Skills!D14))))+Summary!$B$55*(Inputs!$B$20+Skills!Q9+((C1050=TRUE)*F1050*IF(AND(Inputs!$B$4&lt;&gt;"pvp",Inputs!$B$35&gt;0),(((S1050-1)*(Skills!T17*(1+(Inputs!$B$33+1)/100))+MIN((Skills!T17*(1+(Inputs!$B$33+1)/100)),MAX(0,Inputs!$B$35-((S1050-1)*Skills!D17))))/Inputs!$B$35),IF(Inputs!$B$4="pvp",MIN((Skills!T17*(1+(Inputs!$B$33+1)/100)),15)/15,(Skills!T17*(1+(Inputs!$B$33+1)/100))/Skills!D17)))))/100)*(1+Inputs!$B$15/100)*(5000/(6000+Inputs!$B$7*(1-(Inputs!$B$18+0)/100)))*(1+(Inputs!$B$23+((C1058=TRUE)*(F1058-Calc!F25))+((C1059=TRUE)*(F1059-Calc!F26))+B1068)/100)*(1+1.0*IF(C1044=TRUE,F1044,0)/100)*(1+(IF(Skills!A9="DARK_IMPALE",Inputs!$B$16+0,Inputs!$B$17+((C1056=TRUE)*(F1056-Calc!F23))))/100)*((1+(((C1046=TRUE)*F1046*IF(AND(Inputs!$B$4&lt;&gt;"pvp",Inputs!$B$35&gt;0),(((S1046-1)*(Skills!T13*(1+(Inputs!$B$33+1)/100))+MIN((Skills!T13*(1+(Inputs!$B$33+1)/100)),MAX(0,Inputs!$B$35-((S1046-1)*Skills!D13))))/Inputs!$B$35),IF(Inputs!$B$4="pvp",MIN((Skills!T13*(1+(Inputs!$B$33+1)/100)),15)/15,(Skills!T13*(1+(Inputs!$B$33+1)/100))/Skills!D13)))+((C1047=TRUE)*F1047*IF(AND(Inputs!$B$4&lt;&gt;"pvp",Inputs!$B$35&gt;0),(((S1047-1)*(Skills!T14*(1+(Inputs!$B$33+1)/100))+MIN((Skills!T14*(1+(Inputs!$B$33+1)/100)),MAX(0,Inputs!$B$35-((S1047-1)*Skills!D14))))/Inputs!$B$35),IF(Inputs!$B$4="pvp",MIN((Skills!T14*(1+(Inputs!$B$33+1)/100)),15)/15,(Skills!T14*(1+(Inputs!$B$33+1)/100))/Skills!D14)))+((C1048=TRUE)*F1048*IF(AND(Inputs!$B$4&lt;&gt;"pvp",Inputs!$B$35&gt;0),(((S1048-1)*(Skills!T15*(1+(Inputs!$B$33+1)/100))+MIN((Skills!T15*(1+(Inputs!$B$33+1)/100)),MAX(0,Inputs!$B$35-((S1048-1)*Skills!D15))))/Inputs!$B$35),IF(Inputs!$B$4="pvp",MIN((Skills!T15*(1+(Inputs!$B$33+1)/100)),15)/15,(Skills!T15*(1+(Inputs!$B$33+1)/100))/Skills!D15)))+((C1049=TRUE)*F1049*IF(AND(Inputs!$B$4&lt;&gt;"pvp",Inputs!$B$35&gt;0),(((S1049-1)*(Skills!T16*(1+(Inputs!$B$33+1)/100))+MIN((Skills!T16*(1+(Inputs!$B$33+1)/100)),MAX(0,Inputs!$B$35-((S1049-1)*Skills!D16))))/Inputs!$B$35),IF(Inputs!$B$4="pvp",MIN((Skills!T16*(1+(Inputs!$B$33+1)/100)),15)/15,(Skills!T16*(1+(Inputs!$B$33+1)/100))/Skills!D16)))+0)/100)*I1042)</f>
        <v/>
      </c>
      <c r="L1042">
        <f>K1042*(MIN(Inputs!$B$21+((C1055=TRUE)*(F1055-Calc!F22)),Inputs!$B$22+((C1057=TRUE)*(F1057-Calc!F24)))/100+(Inputs!$B$22+((C1057=TRUE)*(F1057-Calc!F24)))/100)/2</f>
        <v/>
      </c>
      <c r="M1042">
        <f>L1042*(1+(Inputs!$B$9+0+B1067)/100)</f>
        <v/>
      </c>
      <c r="N1042">
        <f>L1042*(1-MIN((Inputs!$B$8+0+B1062),100)/100)+M1042*(MIN((Inputs!$B$8+0+B1062),100)/100)</f>
        <v/>
      </c>
      <c r="O1042">
        <f>IF(C1042,H1042*N1042*IF(AND(Inputs!$B$4&lt;&gt;"pvp",Inputs!$B$35&gt;0),((Skills!G9*((R1042-1)*IF(Skills!H9&gt;0,Skills!I9/Skills!H9,1)+IF(Skills!H9&gt;0,MIN(Skills!I9,MAX(0,Inputs!$B$35-((R1042-1)*IF(Inputs!$B$4="pvp",15,MAX(0.1,Skills!D9-IF(Skills!E9=TRUE,Inputs!$B$31,0))))))/Skills!H9,1)))/Inputs!$B$35),G1042*Q1042)*IF(Inputs!$B$4="pvp",1,(1-Summary!$B$55)*(1)+Summary!$B$55*(MIN(Skills!R9,Inputs!$B$37))),0)</f>
        <v/>
      </c>
      <c r="P1042">
        <f>IF(B1070=0,0,O1042/B1070)</f>
        <v/>
      </c>
      <c r="Q1042">
        <f>IFERROR(1/IF(Inputs!$B$4="pvp",15,MAX(0.1,Skills!D9-IF(Skills!E9=TRUE,Inputs!$B$31,0))),0)</f>
        <v/>
      </c>
      <c r="R1042">
        <f>IF(AND(Inputs!$B$4&lt;&gt;"pvp",Inputs!$B$35&gt;0),(INT(Inputs!$B$35/IF(Inputs!$B$4="pvp",15,MAX(0.1,Skills!D9-IF(Skills!E9=TRUE,Inputs!$B$31,0))))+1),0)</f>
        <v/>
      </c>
      <c r="S1042">
        <f>IFERROR(O1042/N1042,0)</f>
        <v/>
      </c>
    </row>
    <row r="1043">
      <c r="A1043">
        <f>Skills!A10</f>
        <v/>
      </c>
      <c r="B1043">
        <f>Skills!B10</f>
        <v/>
      </c>
      <c r="C1043">
        <f>Inputs!$B$3&gt;=110</f>
        <v/>
      </c>
      <c r="D1043">
        <f>IF(Skills!C10=1,60+Inputs!$B$24+Inputs!$B$28,IF(Skills!C10=2,90+Inputs!$B$25+Inputs!$B$28,IF(Skills!C10=3,120+Inputs!$B$26+Inputs!$B$28,MAX(0,(Inputs!$B$3-100)*3)+Inputs!$B$27+Inputs!$B$28)))</f>
        <v/>
      </c>
      <c r="E1043">
        <f>INDEX(FactorTable!$B$2:$Y$301, MATCH(ROUND(MIN(300,MAX(1,D1043)),0), FactorTable!$A$2:$A$301,0), Skills!M10+1)</f>
        <v/>
      </c>
      <c r="F1043">
        <f>IF(Skills!N10=TRUE,(Skills!L10/10)*(E1043/1000),Skills!L10/10)+Skills!O10</f>
        <v/>
      </c>
      <c r="G1043">
        <f>Skills!G10*IF(Skills!H10&gt;0,Skills!I10/Skills!H10,1)</f>
        <v/>
      </c>
      <c r="H1043">
        <f>1-(1-Skills!J10/100)^Skills!K10</f>
        <v/>
      </c>
      <c r="I1043" t="inlineStr">
        <is>
          <t>1</t>
        </is>
      </c>
      <c r="J1043">
        <f>(Inputs!$B$5*(1+Inputs!$B$6/100))*(F1043/100)</f>
        <v/>
      </c>
      <c r="K1043">
        <f>J1043*(1+((Inputs!$B$11*(1+Inputs!$B$12/100))*0.01+Inputs!$B$13*0.0025)/100)*(1+Inputs!$B$14/100)*(1+IF(Inputs!$B$4="pvp",0,(1-Summary!$B$55)*(Inputs!$B$19+0+Skills!P10+((C1050=TRUE)*F1050*IF(AND(Inputs!$B$4&lt;&gt;"pvp",Inputs!$B$35&gt;0),(((S1050-1)*(Skills!T17*(1+(Inputs!$B$33+1)/100))+MIN((Skills!T17*(1+(Inputs!$B$33+1)/100)),MAX(0,Inputs!$B$35-((S1050-1)*Skills!D17))))/Inputs!$B$35),IF(Inputs!$B$4="pvp",MIN((Skills!T17*(1+(Inputs!$B$33+1)/100)),15)/15,(Skills!T17*(1+(Inputs!$B$33+1)/100))/Skills!D17)))+((C1047=TRUE)*IF(Inputs!$B$4="pvp",20,(1-Summary!$B$55)*(20)+Summary!$B$55*(0))*IF(AND(Inputs!$B$4&lt;&gt;"pvp",Inputs!$B$35&gt;0),(((S1047-1)*(Skills!T14*(1+(Inputs!$B$33+1)/100))+MIN((Skills!T14*(1+(Inputs!$B$33+1)/100)),MAX(0,Inputs!$B$35-((S1047-1)*Skills!D14))))/Inputs!$B$35),IF(Inputs!$B$4="pvp",MIN((Skills!T14*(1+(Inputs!$B$33+1)/100)),15)/15,(Skills!T14*(1+(Inputs!$B$33+1)/100))/Skills!D14))))+Summary!$B$55*(Inputs!$B$20+Skills!Q10+((C1050=TRUE)*F1050*IF(AND(Inputs!$B$4&lt;&gt;"pvp",Inputs!$B$35&gt;0),(((S1050-1)*(Skills!T17*(1+(Inputs!$B$33+1)/100))+MIN((Skills!T17*(1+(Inputs!$B$33+1)/100)),MAX(0,Inputs!$B$35-((S1050-1)*Skills!D17))))/Inputs!$B$35),IF(Inputs!$B$4="pvp",MIN((Skills!T17*(1+(Inputs!$B$33+1)/100)),15)/15,(Skills!T17*(1+(Inputs!$B$33+1)/100))/Skills!D17)))))/100)*(1+Inputs!$B$15/100)*(5000/(6000+Inputs!$B$7*(1-(Inputs!$B$18+0)/100)))*(1+(Inputs!$B$23+((C1058=TRUE)*(F1058-Calc!F25))+((C1059=TRUE)*(F1059-Calc!F26))+B1068)/100)*(1+(IF(Skills!A10="DARK_IMPALE",Inputs!$B$16+0,Inputs!$B$17+((C1056=TRUE)*(F1056-Calc!F23))))/100)*((1+(((C1046=TRUE)*F1046*IF(AND(Inputs!$B$4&lt;&gt;"pvp",Inputs!$B$35&gt;0),(((S1046-1)*(Skills!T13*(1+(Inputs!$B$33+1)/100))+MIN((Skills!T13*(1+(Inputs!$B$33+1)/100)),MAX(0,Inputs!$B$35-((S1046-1)*Skills!D13))))/Inputs!$B$35),IF(Inputs!$B$4="pvp",MIN((Skills!T13*(1+(Inputs!$B$33+1)/100)),15)/15,(Skills!T13*(1+(Inputs!$B$33+1)/100))/Skills!D13)))+((C1047=TRUE)*F1047*IF(AND(Inputs!$B$4&lt;&gt;"pvp",Inputs!$B$35&gt;0),(((S1047-1)*(Skills!T14*(1+(Inputs!$B$33+1)/100))+MIN((Skills!T14*(1+(Inputs!$B$33+1)/100)),MAX(0,Inputs!$B$35-((S1047-1)*Skills!D14))))/Inputs!$B$35),IF(Inputs!$B$4="pvp",MIN((Skills!T14*(1+(Inputs!$B$33+1)/100)),15)/15,(Skills!T14*(1+(Inputs!$B$33+1)/100))/Skills!D14)))+((C1048=TRUE)*F1048*IF(AND(Inputs!$B$4&lt;&gt;"pvp",Inputs!$B$35&gt;0),(((S1048-1)*(Skills!T15*(1+(Inputs!$B$33+1)/100))+MIN((Skills!T15*(1+(Inputs!$B$33+1)/100)),MAX(0,Inputs!$B$35-((S1048-1)*Skills!D15))))/Inputs!$B$35),IF(Inputs!$B$4="pvp",MIN((Skills!T15*(1+(Inputs!$B$33+1)/100)),15)/15,(Skills!T15*(1+(Inputs!$B$33+1)/100))/Skills!D15)))+((C1049=TRUE)*F1049*IF(AND(Inputs!$B$4&lt;&gt;"pvp",Inputs!$B$35&gt;0),(((S1049-1)*(Skills!T16*(1+(Inputs!$B$33+1)/100))+MIN((Skills!T16*(1+(Inputs!$B$33+1)/100)),MAX(0,Inputs!$B$35-((S1049-1)*Skills!D16))))/Inputs!$B$35),IF(Inputs!$B$4="pvp",MIN((Skills!T16*(1+(Inputs!$B$33+1)/100)),15)/15,(Skills!T16*(1+(Inputs!$B$33+1)/100))/Skills!D16)))+0)/100)*I1043)</f>
        <v/>
      </c>
      <c r="L1043">
        <f>K1043*(MIN(Inputs!$B$21+((C1055=TRUE)*(F1055-Calc!F22)),Inputs!$B$22+((C1057=TRUE)*(F1057-Calc!F24)))/100+(Inputs!$B$22+((C1057=TRUE)*(F1057-Calc!F24)))/100)/2</f>
        <v/>
      </c>
      <c r="M1043">
        <f>L1043*(1+(Inputs!$B$9+0+B1067)/100)</f>
        <v/>
      </c>
      <c r="N1043">
        <f>L1043*(1-MIN((Inputs!$B$8+0+B1062),100)/100)+M1043*(MIN((Inputs!$B$8+0+B1062),100)/100)</f>
        <v/>
      </c>
      <c r="O1043">
        <f>IF(C1043,H1043*N1043*IF(AND(Inputs!$B$4&lt;&gt;"pvp",Inputs!$B$35&gt;0),((Skills!G10*((R1043-1)*IF(Skills!H10&gt;0,Skills!I10/Skills!H10,1)+IF(Skills!H10&gt;0,MIN(Skills!I10,MAX(0,Inputs!$B$35-((R1043-1)*IF(Inputs!$B$4="pvp",15,MAX(0.1,Skills!D10-IF(Skills!E10=TRUE,Inputs!$B$31,0))))))/Skills!H10,1)))/Inputs!$B$35),G1043*Q1043)*IF(Inputs!$B$4="pvp",1,(1-Summary!$B$55)*(1)+Summary!$B$55*(MIN(Skills!R10,Inputs!$B$37))),0)</f>
        <v/>
      </c>
      <c r="P1043">
        <f>IF(B1070=0,0,O1043/B1070)</f>
        <v/>
      </c>
      <c r="Q1043">
        <f>IFERROR(1/IF(Inputs!$B$4="pvp",15,MAX(0.1,Skills!D10-IF(Skills!E10=TRUE,Inputs!$B$31,0))),0)</f>
        <v/>
      </c>
      <c r="R1043">
        <f>IF(AND(Inputs!$B$4&lt;&gt;"pvp",Inputs!$B$35&gt;0),(INT(Inputs!$B$35/IF(Inputs!$B$4="pvp",15,MAX(0.1,Skills!D10-IF(Skills!E10=TRUE,Inputs!$B$31,0))))+1),0)</f>
        <v/>
      </c>
      <c r="S1043">
        <f>IFERROR(O1043/N1043,0)</f>
        <v/>
      </c>
    </row>
    <row r="1044">
      <c r="A1044">
        <f>Skills!A11</f>
        <v/>
      </c>
      <c r="B1044">
        <f>Skills!B11</f>
        <v/>
      </c>
      <c r="C1044">
        <f>Inputs!$B$3&gt;=100</f>
        <v/>
      </c>
      <c r="D1044">
        <f>IF(Skills!C11=1,60+Inputs!$B$24+Inputs!$B$28,IF(Skills!C11=2,90+Inputs!$B$25+Inputs!$B$28,IF(Skills!C11=3,120+Inputs!$B$26+Inputs!$B$28,MAX(0,(Inputs!$B$3-100)*3)+Inputs!$B$27+Inputs!$B$28)))</f>
        <v/>
      </c>
      <c r="E1044">
        <f>INDEX(FactorTable!$B$2:$Y$301, MATCH(ROUND(MIN(300,MAX(1,D1044)),0), FactorTable!$A$2:$A$301,0), Skills!M11+1)</f>
        <v/>
      </c>
      <c r="F1044">
        <f>IF(Skills!N11=TRUE,(Skills!L11/10)*(E1044/1000),Skills!L11/10)+Skills!O11</f>
        <v/>
      </c>
      <c r="G1044" t="inlineStr"/>
      <c r="H1044" t="inlineStr"/>
      <c r="I1044" t="inlineStr">
        <is>
          <t>1</t>
        </is>
      </c>
      <c r="J1044" t="inlineStr"/>
      <c r="K1044" t="inlineStr"/>
      <c r="L1044" t="inlineStr"/>
      <c r="M1044" t="inlineStr"/>
      <c r="N1044" t="inlineStr"/>
      <c r="O1044" t="inlineStr"/>
      <c r="P1044" t="inlineStr"/>
      <c r="Q1044" t="inlineStr"/>
      <c r="R1044" t="inlineStr"/>
      <c r="S1044" t="inlineStr"/>
    </row>
    <row r="1045">
      <c r="A1045">
        <f>Skills!A12</f>
        <v/>
      </c>
      <c r="B1045">
        <f>Skills!B12</f>
        <v/>
      </c>
      <c r="C1045">
        <f>Inputs!$B$3&gt;=63</f>
        <v/>
      </c>
      <c r="D1045">
        <f>IF(Skills!C12=1,60+Inputs!$B$24+Inputs!$B$28,IF(Skills!C12=2,90+Inputs!$B$25+Inputs!$B$28,IF(Skills!C12=3,120+Inputs!$B$26+Inputs!$B$28,MAX(0,(Inputs!$B$3-100)*3)+Inputs!$B$27+Inputs!$B$28)))</f>
        <v/>
      </c>
      <c r="E1045">
        <f>INDEX(FactorTable!$B$2:$Y$301, MATCH(ROUND(MIN(300,MAX(1,D1045)),0), FactorTable!$A$2:$A$301,0), Skills!M12+1)</f>
        <v/>
      </c>
      <c r="F1045">
        <f>IF(Skills!N12=TRUE,(Skills!L12/10)*(E1045/1000),Skills!L12/10)+Skills!O12</f>
        <v/>
      </c>
      <c r="G1045">
        <f>Skills!G12*IF(Skills!H12&gt;0,Skills!I12/Skills!H12,1)</f>
        <v/>
      </c>
      <c r="H1045">
        <f>1-(1-Skills!J12/100)^Skills!K12</f>
        <v/>
      </c>
      <c r="I1045" t="inlineStr">
        <is>
          <t>1</t>
        </is>
      </c>
      <c r="J1045">
        <f>(Inputs!$B$5*(1+Inputs!$B$6/100))*(F1045/100)</f>
        <v/>
      </c>
      <c r="K1045">
        <f>J1045*(1+((Inputs!$B$11*(1+Inputs!$B$12/100))*0.01+Inputs!$B$13*0.0025)/100)*(1+Inputs!$B$14/100)*(1+IF(Inputs!$B$4="pvp",0,(1-Summary!$B$55)*(Inputs!$B$19+0+Skills!P12+((C1050=TRUE)*F1050*IF(AND(Inputs!$B$4&lt;&gt;"pvp",Inputs!$B$35&gt;0),(((S1050-1)*(Skills!T17*(1+(Inputs!$B$33+1)/100))+MIN((Skills!T17*(1+(Inputs!$B$33+1)/100)),MAX(0,Inputs!$B$35-((S1050-1)*Skills!D17))))/Inputs!$B$35),IF(Inputs!$B$4="pvp",MIN((Skills!T17*(1+(Inputs!$B$33+1)/100)),15)/15,(Skills!T17*(1+(Inputs!$B$33+1)/100))/Skills!D17)))+((C1047=TRUE)*IF(Inputs!$B$4="pvp",20,(1-Summary!$B$55)*(20)+Summary!$B$55*(0))*IF(AND(Inputs!$B$4&lt;&gt;"pvp",Inputs!$B$35&gt;0),(((S1047-1)*(Skills!T14*(1+(Inputs!$B$33+1)/100))+MIN((Skills!T14*(1+(Inputs!$B$33+1)/100)),MAX(0,Inputs!$B$35-((S1047-1)*Skills!D14))))/Inputs!$B$35),IF(Inputs!$B$4="pvp",MIN((Skills!T14*(1+(Inputs!$B$33+1)/100)),15)/15,(Skills!T14*(1+(Inputs!$B$33+1)/100))/Skills!D14))))+Summary!$B$55*(Inputs!$B$20+Skills!Q12+((C1050=TRUE)*F1050*IF(AND(Inputs!$B$4&lt;&gt;"pvp",Inputs!$B$35&gt;0),(((S1050-1)*(Skills!T17*(1+(Inputs!$B$33+1)/100))+MIN((Skills!T17*(1+(Inputs!$B$33+1)/100)),MAX(0,Inputs!$B$35-((S1050-1)*Skills!D17))))/Inputs!$B$35),IF(Inputs!$B$4="pvp",MIN((Skills!T17*(1+(Inputs!$B$33+1)/100)),15)/15,(Skills!T17*(1+(Inputs!$B$33+1)/100))/Skills!D17)))))/100)*(1+Inputs!$B$15/100)*(5000/(6000+Inputs!$B$7*(1-(Inputs!$B$18+0)/100)))*(1+(Inputs!$B$23+((C1058=TRUE)*(F1058-Calc!F25))+((C1059=TRUE)*(F1059-Calc!F26))+B1068)/100)*(1+0.75*IF(C1044=TRUE,F1044,0)/100)*(1+(IF(Skills!A12="DARK_IMPALE",Inputs!$B$16+0,Inputs!$B$17+((C1056=TRUE)*(F1056-Calc!F23))))/100)*((1+(((C1046=TRUE)*F1046*IF(AND(Inputs!$B$4&lt;&gt;"pvp",Inputs!$B$35&gt;0),(((S1046-1)*(Skills!T13*(1+(Inputs!$B$33+1)/100))+MIN((Skills!T13*(1+(Inputs!$B$33+1)/100)),MAX(0,Inputs!$B$35-((S1046-1)*Skills!D13))))/Inputs!$B$35),IF(Inputs!$B$4="pvp",MIN((Skills!T13*(1+(Inputs!$B$33+1)/100)),15)/15,(Skills!T13*(1+(Inputs!$B$33+1)/100))/Skills!D13)))+((C1047=TRUE)*F1047*IF(AND(Inputs!$B$4&lt;&gt;"pvp",Inputs!$B$35&gt;0),(((S1047-1)*(Skills!T14*(1+(Inputs!$B$33+1)/100))+MIN((Skills!T14*(1+(Inputs!$B$33+1)/100)),MAX(0,Inputs!$B$35-((S1047-1)*Skills!D14))))/Inputs!$B$35),IF(Inputs!$B$4="pvp",MIN((Skills!T14*(1+(Inputs!$B$33+1)/100)),15)/15,(Skills!T14*(1+(Inputs!$B$33+1)/100))/Skills!D14)))+((C1048=TRUE)*F1048*IF(AND(Inputs!$B$4&lt;&gt;"pvp",Inputs!$B$35&gt;0),(((S1048-1)*(Skills!T15*(1+(Inputs!$B$33+1)/100))+MIN((Skills!T15*(1+(Inputs!$B$33+1)/100)),MAX(0,Inputs!$B$35-((S1048-1)*Skills!D15))))/Inputs!$B$35),IF(Inputs!$B$4="pvp",MIN((Skills!T15*(1+(Inputs!$B$33+1)/100)),15)/15,(Skills!T15*(1+(Inputs!$B$33+1)/100))/Skills!D15)))+((C1049=TRUE)*F1049*IF(AND(Inputs!$B$4&lt;&gt;"pvp",Inputs!$B$35&gt;0),(((S1049-1)*(Skills!T16*(1+(Inputs!$B$33+1)/100))+MIN((Skills!T16*(1+(Inputs!$B$33+1)/100)),MAX(0,Inputs!$B$35-((S1049-1)*Skills!D16))))/Inputs!$B$35),IF(Inputs!$B$4="pvp",MIN((Skills!T16*(1+(Inputs!$B$33+1)/100)),15)/15,(Skills!T16*(1+(Inputs!$B$33+1)/100))/Skills!D16)))+0)/100)*I1045)</f>
        <v/>
      </c>
      <c r="L1045">
        <f>K1045*(MIN(Inputs!$B$21+((C1055=TRUE)*(F1055-Calc!F22)),Inputs!$B$22+((C1057=TRUE)*(F1057-Calc!F24)))/100+(Inputs!$B$22+((C1057=TRUE)*(F1057-Calc!F24)))/100)/2</f>
        <v/>
      </c>
      <c r="M1045">
        <f>L1045*(1+(Inputs!$B$9+0+B1067)/100)</f>
        <v/>
      </c>
      <c r="N1045">
        <f>L1045*(1-MIN((Inputs!$B$8+0+B1062),100)/100)+M1045*(MIN((Inputs!$B$8+0+B1062),100)/100)</f>
        <v/>
      </c>
      <c r="O1045">
        <f>IF(C1045,H1045*N1045*IF(AND(Inputs!$B$4&lt;&gt;"pvp",Inputs!$B$35&gt;0),((Skills!G12*((R1045-1)*IF(Skills!H12&gt;0,Skills!I12/Skills!H12,1)+IF(Skills!H12&gt;0,MIN(Skills!I12,MAX(0,Inputs!$B$35-((R1045-1)*IF(Inputs!$B$4="pvp",15,MAX(0.1,Skills!D12-IF(Skills!E12=TRUE,Inputs!$B$31,0))))))/Skills!H12,1)))/Inputs!$B$35),G1045*Q1045)*IF(Inputs!$B$4="pvp",1,(1-Summary!$B$55)*(1)+Summary!$B$55*(MIN(Skills!R12,Inputs!$B$37))),0)</f>
        <v/>
      </c>
      <c r="P1045">
        <f>IF(B1070=0,0,O1045/B1070)</f>
        <v/>
      </c>
      <c r="Q1045">
        <f>IFERROR(1/IF(Inputs!$B$4="pvp",15,MAX(0.1,Skills!D12-IF(Skills!E12=TRUE,Inputs!$B$31,0))),0)</f>
        <v/>
      </c>
      <c r="R1045">
        <f>IF(AND(Inputs!$B$4&lt;&gt;"pvp",Inputs!$B$35&gt;0),(INT(Inputs!$B$35/IF(Inputs!$B$4="pvp",15,MAX(0.1,Skills!D12-IF(Skills!E12=TRUE,Inputs!$B$31,0))))+1),0)</f>
        <v/>
      </c>
      <c r="S1045">
        <f>IFERROR(O1045/N1045,0)</f>
        <v/>
      </c>
    </row>
    <row r="1046">
      <c r="A1046">
        <f>Skills!A13</f>
        <v/>
      </c>
      <c r="B1046">
        <f>Skills!B13</f>
        <v/>
      </c>
      <c r="C1046">
        <f>Inputs!$B$3&gt;=69</f>
        <v/>
      </c>
      <c r="D1046">
        <f>IF(Skills!C13=1,60+Inputs!$B$24+Inputs!$B$28,IF(Skills!C13=2,90+Inputs!$B$25+Inputs!$B$28,IF(Skills!C13=3,120+Inputs!$B$26+Inputs!$B$28,MAX(0,(Inputs!$B$3-100)*3)+Inputs!$B$27+Inputs!$B$28)))</f>
        <v/>
      </c>
      <c r="E1046">
        <f>INDEX(FactorTable!$B$2:$Y$301, MATCH(ROUND(MIN(300,MAX(1,D1046)),0), FactorTable!$A$2:$A$301,0), Skills!M13+1)</f>
        <v/>
      </c>
      <c r="F1046">
        <f>IF(Skills!N13=TRUE,(Skills!L13/10)*(E1046/1000),Skills!L13/10)+Skills!O13</f>
        <v/>
      </c>
      <c r="G1046">
        <f>Skills!G13*IF(Skills!H13&gt;0,Skills!I13/Skills!H13,1)</f>
        <v/>
      </c>
      <c r="H1046">
        <f>1-(1-Skills!J13/100)^Skills!K13</f>
        <v/>
      </c>
      <c r="I1046" t="inlineStr">
        <is>
          <t>1</t>
        </is>
      </c>
      <c r="J1046" t="inlineStr"/>
      <c r="K1046" t="inlineStr"/>
      <c r="L1046" t="inlineStr"/>
      <c r="M1046" t="inlineStr"/>
      <c r="N1046" t="inlineStr"/>
      <c r="O1046" t="n">
        <v>0</v>
      </c>
      <c r="P1046">
        <f>IF(B1070=0,0,O1046/B1070)</f>
        <v/>
      </c>
      <c r="Q1046">
        <f>IFERROR(1/IF(Inputs!$B$4="pvp",15,MAX(0.1,Skills!D13-IF(Skills!E13=TRUE,Inputs!$B$31,0))),0)</f>
        <v/>
      </c>
      <c r="R1046">
        <f>IF(AND(Inputs!$B$4&lt;&gt;"pvp",Inputs!$B$35&gt;0),(INT(Inputs!$B$35/IF(Inputs!$B$4="pvp",15,MAX(0.1,Skills!D13-IF(Skills!E13=TRUE,Inputs!$B$31,0))))+1),0)</f>
        <v/>
      </c>
      <c r="S1046">
        <f>IFERROR(O1046/N1046,0)</f>
        <v/>
      </c>
    </row>
    <row r="1047">
      <c r="A1047">
        <f>Skills!A14</f>
        <v/>
      </c>
      <c r="B1047">
        <f>Skills!B14</f>
        <v/>
      </c>
      <c r="C1047">
        <f>Inputs!$B$3&gt;=115</f>
        <v/>
      </c>
      <c r="D1047">
        <f>IF(Skills!C14=1,60+Inputs!$B$24+Inputs!$B$28,IF(Skills!C14=2,90+Inputs!$B$25+Inputs!$B$28,IF(Skills!C14=3,120+Inputs!$B$26+Inputs!$B$28,MAX(0,(Inputs!$B$3-100)*3)+Inputs!$B$27+Inputs!$B$28)))</f>
        <v/>
      </c>
      <c r="E1047">
        <f>INDEX(FactorTable!$B$2:$Y$301, MATCH(ROUND(MIN(300,MAX(1,D1047)),0), FactorTable!$A$2:$A$301,0), Skills!M14+1)</f>
        <v/>
      </c>
      <c r="F1047">
        <f>IF(Skills!N14=TRUE,(Skills!L14/10)*(E1047/1000),Skills!L14/10)+Skills!O14</f>
        <v/>
      </c>
      <c r="G1047">
        <f>Skills!G14*IF(Skills!H14&gt;0,Skills!I14/Skills!H14,1)</f>
        <v/>
      </c>
      <c r="H1047">
        <f>1-(1-Skills!J14/100)^Skills!K14</f>
        <v/>
      </c>
      <c r="I1047" t="inlineStr">
        <is>
          <t>1</t>
        </is>
      </c>
      <c r="J1047" t="inlineStr"/>
      <c r="K1047" t="inlineStr"/>
      <c r="L1047" t="inlineStr"/>
      <c r="M1047" t="inlineStr"/>
      <c r="N1047" t="inlineStr"/>
      <c r="O1047" t="n">
        <v>0</v>
      </c>
      <c r="P1047">
        <f>IF(B1070=0,0,O1047/B1070)</f>
        <v/>
      </c>
      <c r="Q1047">
        <f>IFERROR(1/IF(Inputs!$B$4="pvp",15,MAX(0.1,Skills!D14-IF(Skills!E14=TRUE,Inputs!$B$31,0))),0)</f>
        <v/>
      </c>
      <c r="R1047">
        <f>IF(AND(Inputs!$B$4&lt;&gt;"pvp",Inputs!$B$35&gt;0),(INT(Inputs!$B$35/IF(Inputs!$B$4="pvp",15,MAX(0.1,Skills!D14-IF(Skills!E14=TRUE,Inputs!$B$31,0))))+1),0)</f>
        <v/>
      </c>
      <c r="S1047">
        <f>IFERROR(O1047/N1047,0)</f>
        <v/>
      </c>
    </row>
    <row r="1048">
      <c r="A1048">
        <f>Skills!A15</f>
        <v/>
      </c>
      <c r="B1048">
        <f>Skills!B15</f>
        <v/>
      </c>
      <c r="C1048">
        <f>Inputs!$B$3&gt;=66</f>
        <v/>
      </c>
      <c r="D1048">
        <f>IF(Skills!C15=1,60+Inputs!$B$24+Inputs!$B$28,IF(Skills!C15=2,90+Inputs!$B$25+Inputs!$B$28,IF(Skills!C15=3,120+Inputs!$B$26+Inputs!$B$28,MAX(0,(Inputs!$B$3-100)*3)+Inputs!$B$27+Inputs!$B$28)))</f>
        <v/>
      </c>
      <c r="E1048">
        <f>INDEX(FactorTable!$B$2:$Y$301, MATCH(ROUND(MIN(300,MAX(1,D1048)),0), FactorTable!$A$2:$A$301,0), Skills!M15+1)</f>
        <v/>
      </c>
      <c r="F1048">
        <f>IF(Skills!N15=TRUE,(Skills!L15/10)*(E1048/1000),Skills!L15/10)+Skills!O15</f>
        <v/>
      </c>
      <c r="G1048">
        <f>Skills!G15*IF(Skills!H15&gt;0,Skills!I15/Skills!H15,1)</f>
        <v/>
      </c>
      <c r="H1048">
        <f>1-(1-Skills!J15/100)^Skills!K15</f>
        <v/>
      </c>
      <c r="I1048" t="inlineStr">
        <is>
          <t>1</t>
        </is>
      </c>
      <c r="J1048" t="inlineStr"/>
      <c r="K1048" t="inlineStr"/>
      <c r="L1048" t="inlineStr"/>
      <c r="M1048" t="inlineStr"/>
      <c r="N1048" t="inlineStr"/>
      <c r="O1048" t="n">
        <v>0</v>
      </c>
      <c r="P1048">
        <f>IF(B1070=0,0,O1048/B1070)</f>
        <v/>
      </c>
      <c r="Q1048">
        <f>IFERROR(1/IF(Inputs!$B$4="pvp",15,MAX(0.1,Skills!D15-IF(Skills!E15=TRUE,Inputs!$B$31,0))),0)</f>
        <v/>
      </c>
      <c r="R1048">
        <f>IF(AND(Inputs!$B$4&lt;&gt;"pvp",Inputs!$B$35&gt;0),(INT(Inputs!$B$35/IF(Inputs!$B$4="pvp",15,MAX(0.1,Skills!D15-IF(Skills!E15=TRUE,Inputs!$B$31,0))))+1),0)</f>
        <v/>
      </c>
      <c r="S1048">
        <f>IFERROR(O1048/N1048,0)</f>
        <v/>
      </c>
    </row>
    <row r="1049">
      <c r="A1049">
        <f>Skills!A16</f>
        <v/>
      </c>
      <c r="B1049">
        <f>Skills!B16</f>
        <v/>
      </c>
      <c r="C1049">
        <f>Inputs!$B$3&gt;=45</f>
        <v/>
      </c>
      <c r="D1049">
        <f>IF(Skills!C16=1,60+Inputs!$B$24+Inputs!$B$28,IF(Skills!C16=2,90+Inputs!$B$25+Inputs!$B$28,IF(Skills!C16=3,120+Inputs!$B$26+Inputs!$B$28,MAX(0,(Inputs!$B$3-100)*3)+Inputs!$B$27+Inputs!$B$28)))</f>
        <v/>
      </c>
      <c r="E1049">
        <f>INDEX(FactorTable!$B$2:$Y$301, MATCH(ROUND(MIN(300,MAX(1,D1049)),0), FactorTable!$A$2:$A$301,0), Skills!M16+1)</f>
        <v/>
      </c>
      <c r="F1049">
        <f>IF(Skills!N16=TRUE,(Skills!L16/10)*(E1049/1000),Skills!L16/10)+Skills!O16</f>
        <v/>
      </c>
      <c r="G1049">
        <f>Skills!G16*IF(Skills!H16&gt;0,Skills!I16/Skills!H16,1)</f>
        <v/>
      </c>
      <c r="H1049">
        <f>1-(1-Skills!J16/100)^Skills!K16</f>
        <v/>
      </c>
      <c r="I1049" t="inlineStr">
        <is>
          <t>1</t>
        </is>
      </c>
      <c r="J1049" t="inlineStr"/>
      <c r="K1049" t="inlineStr"/>
      <c r="L1049" t="inlineStr"/>
      <c r="M1049" t="inlineStr"/>
      <c r="N1049" t="inlineStr"/>
      <c r="O1049" t="n">
        <v>0</v>
      </c>
      <c r="P1049">
        <f>IF(B1070=0,0,O1049/B1070)</f>
        <v/>
      </c>
      <c r="Q1049">
        <f>IFERROR(1/IF(Inputs!$B$4="pvp",15,MAX(0.1,Skills!D16-IF(Skills!E16=TRUE,Inputs!$B$31,0))),0)</f>
        <v/>
      </c>
      <c r="R1049">
        <f>IF(AND(Inputs!$B$4&lt;&gt;"pvp",Inputs!$B$35&gt;0),(INT(Inputs!$B$35/IF(Inputs!$B$4="pvp",15,MAX(0.1,Skills!D16-IF(Skills!E16=TRUE,Inputs!$B$31,0))))+1),0)</f>
        <v/>
      </c>
      <c r="S1049">
        <f>IFERROR(O1049/N1049,0)</f>
        <v/>
      </c>
    </row>
    <row r="1050">
      <c r="A1050">
        <f>Skills!A17</f>
        <v/>
      </c>
      <c r="B1050">
        <f>Skills!B17</f>
        <v/>
      </c>
      <c r="C1050">
        <f>Inputs!$B$3&gt;=35</f>
        <v/>
      </c>
      <c r="D1050">
        <f>IF(Skills!C17=1,60+Inputs!$B$24+Inputs!$B$28,IF(Skills!C17=2,90+Inputs!$B$25+Inputs!$B$28,IF(Skills!C17=3,120+Inputs!$B$26+Inputs!$B$28,MAX(0,(Inputs!$B$3-100)*3)+Inputs!$B$27+Inputs!$B$28)))</f>
        <v/>
      </c>
      <c r="E1050">
        <f>INDEX(FactorTable!$B$2:$Y$301, MATCH(ROUND(MIN(300,MAX(1,D1050)),0), FactorTable!$A$2:$A$301,0), Skills!M17+1)</f>
        <v/>
      </c>
      <c r="F1050">
        <f>IF(Skills!N17=TRUE,(Skills!L17/10)*(E1050/1000),Skills!L17/10)+Skills!O17</f>
        <v/>
      </c>
      <c r="G1050">
        <f>Skills!G17*IF(Skills!H17&gt;0,Skills!I17/Skills!H17,1)</f>
        <v/>
      </c>
      <c r="H1050">
        <f>1-(1-Skills!J17/100)^Skills!K17</f>
        <v/>
      </c>
      <c r="I1050" t="inlineStr">
        <is>
          <t>1</t>
        </is>
      </c>
      <c r="J1050" t="inlineStr"/>
      <c r="K1050" t="inlineStr"/>
      <c r="L1050" t="inlineStr"/>
      <c r="M1050" t="inlineStr"/>
      <c r="N1050" t="inlineStr"/>
      <c r="O1050" t="n">
        <v>0</v>
      </c>
      <c r="P1050">
        <f>IF(B1070=0,0,O1050/B1070)</f>
        <v/>
      </c>
      <c r="Q1050">
        <f>IFERROR(1/IF(Inputs!$B$4="pvp",15,MAX(0.1,Skills!D17-IF(Skills!E17=TRUE,Inputs!$B$31,0))),0)</f>
        <v/>
      </c>
      <c r="R1050">
        <f>IF(AND(Inputs!$B$4&lt;&gt;"pvp",Inputs!$B$35&gt;0),(INT(Inputs!$B$35/IF(Inputs!$B$4="pvp",15,MAX(0.1,Skills!D17-IF(Skills!E17=TRUE,Inputs!$B$31,0))))+1),0)</f>
        <v/>
      </c>
      <c r="S1050">
        <f>IFERROR(O1050/N1050,0)</f>
        <v/>
      </c>
    </row>
    <row r="1051">
      <c r="A1051">
        <f>Skills!A18</f>
        <v/>
      </c>
      <c r="B1051">
        <f>Skills!B18</f>
        <v/>
      </c>
      <c r="C1051">
        <f>Inputs!$B$3&gt;=72</f>
        <v/>
      </c>
      <c r="D1051">
        <f>IF(Skills!C18=1,60+Inputs!$B$24+Inputs!$B$28,IF(Skills!C18=2,90+Inputs!$B$25+Inputs!$B$28,IF(Skills!C18=3,120+Inputs!$B$26+Inputs!$B$28,MAX(0,(Inputs!$B$3-100)*3)+Inputs!$B$27+Inputs!$B$28)))</f>
        <v/>
      </c>
      <c r="E1051">
        <f>INDEX(FactorTable!$B$2:$Y$301, MATCH(ROUND(MIN(300,MAX(1,D1051)),0), FactorTable!$A$2:$A$301,0), Skills!M18+1)</f>
        <v/>
      </c>
      <c r="F1051">
        <f>IF(Skills!N18=TRUE,(Skills!L18/10)*(E1051/1000),Skills!L18/10)+Skills!O18</f>
        <v/>
      </c>
      <c r="G1051">
        <f>Skills!G18*IF(Skills!H18&gt;0,Skills!I18/Skills!H18,1)</f>
        <v/>
      </c>
      <c r="H1051">
        <f>1-(1-Skills!J18/100)^Skills!K18</f>
        <v/>
      </c>
      <c r="I1051" t="inlineStr">
        <is>
          <t>1</t>
        </is>
      </c>
      <c r="J1051" t="inlineStr"/>
      <c r="K1051" t="inlineStr"/>
      <c r="L1051" t="inlineStr"/>
      <c r="M1051" t="inlineStr"/>
      <c r="N1051" t="inlineStr"/>
      <c r="O1051" t="n">
        <v>0</v>
      </c>
      <c r="P1051">
        <f>IF(B1070=0,0,O1051/B1070)</f>
        <v/>
      </c>
      <c r="Q1051">
        <f>IFERROR(1/IF(Inputs!$B$4="pvp",15,MAX(0.1,Skills!D18-IF(Skills!E18=TRUE,Inputs!$B$31,0))),0)</f>
        <v/>
      </c>
      <c r="R1051">
        <f>IF(AND(Inputs!$B$4&lt;&gt;"pvp",Inputs!$B$35&gt;0),(INT(Inputs!$B$35/IF(Inputs!$B$4="pvp",15,MAX(0.1,Skills!D18-IF(Skills!E18=TRUE,Inputs!$B$31,0))))+1),0)</f>
        <v/>
      </c>
      <c r="S1051">
        <f>IFERROR(O1051/N1051,0)</f>
        <v/>
      </c>
    </row>
    <row r="1052">
      <c r="A1052">
        <f>Skills!A19</f>
        <v/>
      </c>
      <c r="B1052">
        <f>Skills!B19</f>
        <v/>
      </c>
      <c r="C1052">
        <f>Inputs!$B$3&gt;=72</f>
        <v/>
      </c>
      <c r="D1052">
        <f>IF(Skills!C19=1,60+Inputs!$B$24+Inputs!$B$28,IF(Skills!C19=2,90+Inputs!$B$25+Inputs!$B$28,IF(Skills!C19=3,120+Inputs!$B$26+Inputs!$B$28,MAX(0,(Inputs!$B$3-100)*3)+Inputs!$B$27+Inputs!$B$28)))</f>
        <v/>
      </c>
      <c r="E1052">
        <f>INDEX(FactorTable!$B$2:$Y$301, MATCH(ROUND(MIN(300,MAX(1,D1052)),0), FactorTable!$A$2:$A$301,0), Skills!M19+1)</f>
        <v/>
      </c>
      <c r="F1052">
        <f>IF(Skills!N19=TRUE,(Skills!L19/10)*(E1052/1000),Skills!L19/10)+Skills!O19</f>
        <v/>
      </c>
      <c r="G1052">
        <f>Skills!G19*IF(Skills!H19&gt;0,Skills!I19/Skills!H19,1)</f>
        <v/>
      </c>
      <c r="H1052">
        <f>1-(1-Skills!J19/100)^Skills!K19</f>
        <v/>
      </c>
      <c r="I1052" t="inlineStr">
        <is>
          <t>1</t>
        </is>
      </c>
      <c r="J1052" t="inlineStr"/>
      <c r="K1052" t="inlineStr"/>
      <c r="L1052" t="inlineStr"/>
      <c r="M1052" t="inlineStr"/>
      <c r="N1052" t="inlineStr"/>
      <c r="O1052" t="n">
        <v>0</v>
      </c>
      <c r="P1052">
        <f>IF(B1070=0,0,O1052/B1070)</f>
        <v/>
      </c>
      <c r="Q1052">
        <f>IFERROR(1/IF(Inputs!$B$4="pvp",15,MAX(0.1,Skills!D19-IF(Skills!E19=TRUE,Inputs!$B$31,0))),0)</f>
        <v/>
      </c>
      <c r="R1052">
        <f>IF(AND(Inputs!$B$4&lt;&gt;"pvp",Inputs!$B$35&gt;0),(INT(Inputs!$B$35/IF(Inputs!$B$4="pvp",15,MAX(0.1,Skills!D19-IF(Skills!E19=TRUE,Inputs!$B$31,0))))+1),0)</f>
        <v/>
      </c>
      <c r="S1052">
        <f>IFERROR(O1052/N1052,0)</f>
        <v/>
      </c>
    </row>
    <row r="1053">
      <c r="A1053">
        <f>Skills!A20</f>
        <v/>
      </c>
      <c r="B1053">
        <f>Skills!B20</f>
        <v/>
      </c>
      <c r="C1053">
        <f>TRUE</f>
        <v/>
      </c>
      <c r="D1053">
        <f>IF(Skills!C20=1,60+Inputs!$B$24+Inputs!$B$28,IF(Skills!C20=2,90+Inputs!$B$25+Inputs!$B$28,IF(Skills!C20=3,120+Inputs!$B$26+Inputs!$B$28,MAX(0,(Inputs!$B$3-100)*3)+Inputs!$B$27+Inputs!$B$28)))</f>
        <v/>
      </c>
      <c r="E1053">
        <f>INDEX(FactorTable!$B$2:$Y$301, MATCH(ROUND(MIN(300,MAX(1,D1053)),0), FactorTable!$A$2:$A$301,0), Skills!M20+1)</f>
        <v/>
      </c>
      <c r="F1053">
        <f>IF(Skills!N20=TRUE,(Skills!L20/10)*(E1053/1000),Skills!L20/10)+Skills!O20</f>
        <v/>
      </c>
      <c r="G1053">
        <f>Skills!G20*IF(Skills!H20&gt;0,Skills!I20/Skills!H20,1)</f>
        <v/>
      </c>
      <c r="H1053">
        <f>1-(1-Skills!J20/100)^Skills!K20</f>
        <v/>
      </c>
      <c r="I1053" t="inlineStr">
        <is>
          <t>1</t>
        </is>
      </c>
      <c r="J1053" t="inlineStr"/>
      <c r="K1053" t="inlineStr"/>
      <c r="L1053" t="inlineStr"/>
      <c r="M1053" t="inlineStr"/>
      <c r="N1053" t="inlineStr"/>
      <c r="O1053" t="n">
        <v>0</v>
      </c>
      <c r="P1053">
        <f>IF(B1070=0,0,O1053/B1070)</f>
        <v/>
      </c>
      <c r="Q1053">
        <f>IFERROR(1/IF(Inputs!$B$4="pvp",15,MAX(0.1,Skills!D20-IF(Skills!E20=TRUE,Inputs!$B$31,0))),0)</f>
        <v/>
      </c>
      <c r="R1053">
        <f>IF(AND(Inputs!$B$4&lt;&gt;"pvp",Inputs!$B$35&gt;0),(INT(Inputs!$B$35/IF(Inputs!$B$4="pvp",15,MAX(0.1,Skills!D20-IF(Skills!E20=TRUE,Inputs!$B$31,0))))+1),0)</f>
        <v/>
      </c>
      <c r="S1053">
        <f>IFERROR(O1053/N1053,0)</f>
        <v/>
      </c>
    </row>
    <row r="1054">
      <c r="A1054">
        <f>Skills!A21</f>
        <v/>
      </c>
      <c r="B1054">
        <f>Skills!B21</f>
        <v/>
      </c>
      <c r="C1054">
        <f>Inputs!$B$3&gt;=33</f>
        <v/>
      </c>
      <c r="D1054">
        <f>IF(Skills!C21=1,60+Inputs!$B$24+Inputs!$B$28,IF(Skills!C21=2,90+Inputs!$B$25+Inputs!$B$28,IF(Skills!C21=3,120+Inputs!$B$26+Inputs!$B$28,MAX(0,(Inputs!$B$3-100)*3)+Inputs!$B$27+Inputs!$B$28)))</f>
        <v/>
      </c>
      <c r="E1054">
        <f>INDEX(FactorTable!$B$2:$Y$301, MATCH(ROUND(MIN(300,MAX(1,D1054)),0), FactorTable!$A$2:$A$301,0), Skills!M21+1)</f>
        <v/>
      </c>
      <c r="F1054">
        <f>IF(Skills!N21=TRUE,(Skills!L21/10)*(E1054/1000),Skills!L21/10)+Skills!O21</f>
        <v/>
      </c>
      <c r="G1054">
        <f>Skills!G21*IF(Skills!H21&gt;0,Skills!I21/Skills!H21,1)</f>
        <v/>
      </c>
      <c r="H1054">
        <f>1-(1-Skills!J21/100)^Skills!K21</f>
        <v/>
      </c>
      <c r="I1054" t="inlineStr">
        <is>
          <t>1</t>
        </is>
      </c>
      <c r="J1054" t="inlineStr"/>
      <c r="K1054" t="inlineStr"/>
      <c r="L1054" t="inlineStr"/>
      <c r="M1054" t="inlineStr"/>
      <c r="N1054" t="inlineStr"/>
      <c r="O1054" t="n">
        <v>0</v>
      </c>
      <c r="P1054">
        <f>IF(B1070=0,0,O1054/B1070)</f>
        <v/>
      </c>
      <c r="Q1054" t="n">
        <v>0</v>
      </c>
      <c r="R1054" t="n">
        <v>0</v>
      </c>
      <c r="S1054">
        <f>IFERROR(O1054/N1054,0)</f>
        <v/>
      </c>
    </row>
    <row r="1055">
      <c r="A1055">
        <f>Skills!A22</f>
        <v/>
      </c>
      <c r="B1055">
        <f>Skills!B22</f>
        <v/>
      </c>
      <c r="C1055">
        <f>Inputs!$B$3&gt;=43</f>
        <v/>
      </c>
      <c r="D1055">
        <f>IF(Skills!C22=1,60+Inputs!$B$24+Inputs!$B$28,IF(Skills!C22=2,90+Inputs!$B$25+Inputs!$B$28,IF(Skills!C22=3,120+Inputs!$B$26+Inputs!$B$28,MAX(0,(Inputs!$B$3-100)*3)+Inputs!$B$27+Inputs!$B$28)))</f>
        <v/>
      </c>
      <c r="E1055">
        <f>INDEX(FactorTable!$B$2:$Y$301, MATCH(ROUND(MIN(300,MAX(1,D1055)),0), FactorTable!$A$2:$A$301,0), Skills!M22+1)</f>
        <v/>
      </c>
      <c r="F1055">
        <f>IF(Skills!N22=TRUE,(Skills!L22/10)*(E1055/1000),Skills!L22/10)+Skills!O22</f>
        <v/>
      </c>
      <c r="G1055">
        <f>Skills!G22*IF(Skills!H22&gt;0,Skills!I22/Skills!H22,1)</f>
        <v/>
      </c>
      <c r="H1055">
        <f>1-(1-Skills!J22/100)^Skills!K22</f>
        <v/>
      </c>
      <c r="I1055" t="inlineStr">
        <is>
          <t>1</t>
        </is>
      </c>
      <c r="J1055" t="inlineStr"/>
      <c r="K1055" t="inlineStr"/>
      <c r="L1055" t="inlineStr"/>
      <c r="M1055" t="inlineStr"/>
      <c r="N1055" t="inlineStr"/>
      <c r="O1055" t="n">
        <v>0</v>
      </c>
      <c r="P1055">
        <f>IF(B1070=0,0,O1055/B1070)</f>
        <v/>
      </c>
      <c r="Q1055" t="n">
        <v>0</v>
      </c>
      <c r="R1055" t="n">
        <v>0</v>
      </c>
      <c r="S1055">
        <f>IFERROR(O1055/N1055,0)</f>
        <v/>
      </c>
    </row>
    <row r="1056">
      <c r="A1056">
        <f>Skills!A23</f>
        <v/>
      </c>
      <c r="B1056">
        <f>Skills!B23</f>
        <v/>
      </c>
      <c r="C1056">
        <f>Inputs!$B$3&gt;=120</f>
        <v/>
      </c>
      <c r="D1056">
        <f>IF(Skills!C23=1,60+Inputs!$B$24+Inputs!$B$28,IF(Skills!C23=2,90+Inputs!$B$25+Inputs!$B$28,IF(Skills!C23=3,120+Inputs!$B$26+Inputs!$B$28,MAX(0,(Inputs!$B$3-100)*3)+Inputs!$B$27+Inputs!$B$28)))</f>
        <v/>
      </c>
      <c r="E1056">
        <f>INDEX(FactorTable!$B$2:$Y$301, MATCH(ROUND(MIN(300,MAX(1,D1056)),0), FactorTable!$A$2:$A$301,0), Skills!M23+1)</f>
        <v/>
      </c>
      <c r="F1056">
        <f>IF(Skills!N23=TRUE,(Skills!L23/10)*(E1056/1000),Skills!L23/10)+Skills!O23</f>
        <v/>
      </c>
      <c r="G1056">
        <f>Skills!G23*IF(Skills!H23&gt;0,Skills!I23/Skills!H23,1)</f>
        <v/>
      </c>
      <c r="H1056">
        <f>1-(1-Skills!J23/100)^Skills!K23</f>
        <v/>
      </c>
      <c r="I1056" t="inlineStr">
        <is>
          <t>1</t>
        </is>
      </c>
      <c r="J1056" t="inlineStr"/>
      <c r="K1056" t="inlineStr"/>
      <c r="L1056" t="inlineStr"/>
      <c r="M1056" t="inlineStr"/>
      <c r="N1056" t="inlineStr"/>
      <c r="O1056" t="n">
        <v>0</v>
      </c>
      <c r="P1056">
        <f>IF(B1070=0,0,O1056/B1070)</f>
        <v/>
      </c>
      <c r="Q1056" t="n">
        <v>0</v>
      </c>
      <c r="R1056" t="n">
        <v>0</v>
      </c>
      <c r="S1056">
        <f>IFERROR(O1056/N1056,0)</f>
        <v/>
      </c>
    </row>
    <row r="1057">
      <c r="A1057">
        <f>Skills!A24</f>
        <v/>
      </c>
      <c r="B1057">
        <f>Skills!B24</f>
        <v/>
      </c>
      <c r="C1057">
        <f>Inputs!$B$3&gt;=120</f>
        <v/>
      </c>
      <c r="D1057">
        <f>IF(Skills!C24=1,60+Inputs!$B$24+Inputs!$B$28,IF(Skills!C24=2,90+Inputs!$B$25+Inputs!$B$28,IF(Skills!C24=3,120+Inputs!$B$26+Inputs!$B$28,MAX(0,(Inputs!$B$3-100)*3)+Inputs!$B$27+Inputs!$B$28)))</f>
        <v/>
      </c>
      <c r="E1057">
        <f>INDEX(FactorTable!$B$2:$Y$301, MATCH(ROUND(MIN(300,MAX(1,D1057)),0), FactorTable!$A$2:$A$301,0), Skills!M24+1)</f>
        <v/>
      </c>
      <c r="F1057">
        <f>IF(Skills!N24=TRUE,(Skills!L24/10)*(E1057/1000),Skills!L24/10)+Skills!O24</f>
        <v/>
      </c>
      <c r="G1057">
        <f>Skills!G24*IF(Skills!H24&gt;0,Skills!I24/Skills!H24,1)</f>
        <v/>
      </c>
      <c r="H1057">
        <f>1-(1-Skills!J24/100)^Skills!K24</f>
        <v/>
      </c>
      <c r="I1057" t="inlineStr">
        <is>
          <t>1</t>
        </is>
      </c>
      <c r="J1057" t="inlineStr"/>
      <c r="K1057" t="inlineStr"/>
      <c r="L1057" t="inlineStr"/>
      <c r="M1057" t="inlineStr"/>
      <c r="N1057" t="inlineStr"/>
      <c r="O1057" t="n">
        <v>0</v>
      </c>
      <c r="P1057">
        <f>IF(B1070=0,0,O1057/B1070)</f>
        <v/>
      </c>
      <c r="Q1057" t="n">
        <v>0</v>
      </c>
      <c r="R1057" t="n">
        <v>0</v>
      </c>
      <c r="S1057">
        <f>IFERROR(O1057/N1057,0)</f>
        <v/>
      </c>
    </row>
    <row r="1058">
      <c r="A1058">
        <f>Skills!A25</f>
        <v/>
      </c>
      <c r="B1058">
        <f>Skills!B25</f>
        <v/>
      </c>
      <c r="C1058">
        <f>Inputs!$B$3&gt;=125</f>
        <v/>
      </c>
      <c r="D1058">
        <f>IF(Skills!C25=1,60+Inputs!$B$24+Inputs!$B$28,IF(Skills!C25=2,90+Inputs!$B$25+Inputs!$B$28,IF(Skills!C25=3,120+Inputs!$B$26+Inputs!$B$28,MAX(0,(Inputs!$B$3-100)*3)+Inputs!$B$27+Inputs!$B$28)))</f>
        <v/>
      </c>
      <c r="E1058">
        <f>INDEX(FactorTable!$B$2:$Y$301, MATCH(ROUND(MIN(300,MAX(1,D1058)),0), FactorTable!$A$2:$A$301,0), Skills!M25+1)</f>
        <v/>
      </c>
      <c r="F1058">
        <f>IF(Skills!N25=TRUE,(Skills!L25/10)*(E1058/1000),Skills!L25/10)+Skills!O25</f>
        <v/>
      </c>
      <c r="G1058">
        <f>Skills!G25*IF(Skills!H25&gt;0,Skills!I25/Skills!H25,1)</f>
        <v/>
      </c>
      <c r="H1058">
        <f>1-(1-Skills!J25/100)^Skills!K25</f>
        <v/>
      </c>
      <c r="I1058" t="inlineStr">
        <is>
          <t>1</t>
        </is>
      </c>
      <c r="J1058" t="inlineStr"/>
      <c r="K1058" t="inlineStr"/>
      <c r="L1058" t="inlineStr"/>
      <c r="M1058" t="inlineStr"/>
      <c r="N1058" t="inlineStr"/>
      <c r="O1058" t="n">
        <v>0</v>
      </c>
      <c r="P1058">
        <f>IF(B1070=0,0,O1058/B1070)</f>
        <v/>
      </c>
      <c r="Q1058" t="n">
        <v>0</v>
      </c>
      <c r="R1058" t="n">
        <v>0</v>
      </c>
      <c r="S1058">
        <f>IFERROR(O1058/N1058,0)</f>
        <v/>
      </c>
    </row>
    <row r="1059">
      <c r="A1059">
        <f>Skills!A26</f>
        <v/>
      </c>
      <c r="B1059">
        <f>Skills!B26</f>
        <v/>
      </c>
      <c r="C1059">
        <f>Inputs!$B$3&gt;=107</f>
        <v/>
      </c>
      <c r="D1059">
        <f>IF(Skills!C26=1,60+Inputs!$B$24+Inputs!$B$28,IF(Skills!C26=2,90+Inputs!$B$25+Inputs!$B$28,IF(Skills!C26=3,120+Inputs!$B$26+Inputs!$B$28,MAX(0,(Inputs!$B$3-100)*3)+Inputs!$B$27+Inputs!$B$28)))</f>
        <v/>
      </c>
      <c r="E1059">
        <f>INDEX(FactorTable!$B$2:$Y$301, MATCH(ROUND(MIN(300,MAX(1,D1059)),0), FactorTable!$A$2:$A$301,0), Skills!M26+1)</f>
        <v/>
      </c>
      <c r="F1059">
        <f>IF(Skills!N26=TRUE,(Skills!L26/10)*(E1059/1000),Skills!L26/10)+Skills!O26</f>
        <v/>
      </c>
      <c r="G1059">
        <f>Skills!G26*IF(Skills!H26&gt;0,Skills!I26/Skills!H26,1)</f>
        <v/>
      </c>
      <c r="H1059">
        <f>1-(1-Skills!J26/100)^Skills!K26</f>
        <v/>
      </c>
      <c r="I1059" t="inlineStr">
        <is>
          <t>1</t>
        </is>
      </c>
      <c r="J1059" t="inlineStr"/>
      <c r="K1059" t="inlineStr"/>
      <c r="L1059" t="inlineStr"/>
      <c r="M1059" t="inlineStr"/>
      <c r="N1059" t="inlineStr"/>
      <c r="O1059" t="n">
        <v>0</v>
      </c>
      <c r="P1059">
        <f>IF(B1070=0,0,O1059/B1070)</f>
        <v/>
      </c>
      <c r="Q1059" t="n">
        <v>0</v>
      </c>
      <c r="R1059" t="n">
        <v>0</v>
      </c>
      <c r="S1059">
        <f>IFERROR(O1059/N1059,0)</f>
        <v/>
      </c>
    </row>
    <row r="1061">
      <c r="A1061" t="inlineStr">
        <is>
          <t>Attack% Bucket Multiplier</t>
        </is>
      </c>
      <c r="B1061">
        <f>(1+(((C1046=TRUE)*F1046*IF(AND(Inputs!$B$4&lt;&gt;"pvp",Inputs!$B$35&gt;0),(((S1046-1)*(Skills!T13*(1+(Inputs!$B$33+1)/100))+MIN((Skills!T13*(1+(Inputs!$B$33+1)/100)),MAX(0,Inputs!$B$35-((S1046-1)*Skills!D13))))/Inputs!$B$35),IF(Inputs!$B$4="pvp",MIN((Skills!T13*(1+(Inputs!$B$33+1)/100)),15)/15,(Skills!T13*(1+(Inputs!$B$33+1)/100))/Skills!D13)))+((C1047=TRUE)*F1047*IF(AND(Inputs!$B$4&lt;&gt;"pvp",Inputs!$B$35&gt;0),(((S1047-1)*(Skills!T14*(1+(Inputs!$B$33+1)/100))+MIN((Skills!T14*(1+(Inputs!$B$33+1)/100)),MAX(0,Inputs!$B$35-((S1047-1)*Skills!D14))))/Inputs!$B$35),IF(Inputs!$B$4="pvp",MIN((Skills!T14*(1+(Inputs!$B$33+1)/100)),15)/15,(Skills!T14*(1+(Inputs!$B$33+1)/100))/Skills!D14)))+((C1048=TRUE)*F1048*IF(AND(Inputs!$B$4&lt;&gt;"pvp",Inputs!$B$35&gt;0),(((S1048-1)*(Skills!T15*(1+(Inputs!$B$33+1)/100))+MIN((Skills!T15*(1+(Inputs!$B$33+1)/100)),MAX(0,Inputs!$B$35-((S1048-1)*Skills!D15))))/Inputs!$B$35),IF(Inputs!$B$4="pvp",MIN((Skills!T15*(1+(Inputs!$B$33+1)/100)),15)/15,(Skills!T15*(1+(Inputs!$B$33+1)/100))/Skills!D15)))+((C1049=TRUE)*F1049*IF(AND(Inputs!$B$4&lt;&gt;"pvp",Inputs!$B$35&gt;0),(((S1049-1)*(Skills!T16*(1+(Inputs!$B$33+1)/100))+MIN((Skills!T16*(1+(Inputs!$B$33+1)/100)),MAX(0,Inputs!$B$35-((S1049-1)*Skills!D16))))/Inputs!$B$35),IF(Inputs!$B$4="pvp",MIN((Skills!T16*(1+(Inputs!$B$33+1)/100)),15)/15,(Skills!T16*(1+(Inputs!$B$33+1)/100))/Skills!D16)))+0)/100)</f>
        <v/>
      </c>
    </row>
    <row r="1062">
      <c r="A1062" t="inlineStr">
        <is>
          <t>Global Crit Rate Bonus % (Lord of Darkness)</t>
        </is>
      </c>
      <c r="B1062">
        <f>((C1051=TRUE)*F1051*(Skills!J18/100)*IF(AND(Inputs!$B$4&lt;&gt;"pvp",Inputs!$B$35&gt;0),(((S1051-1)*(Skills!T18*(1+(Inputs!$B$33+1)/100))+MIN((Skills!T18*(1+(Inputs!$B$33+1)/100)),MAX(0,Inputs!$B$35-((S1051-1)*Skills!D18))))/Inputs!$B$35),IF(Inputs!$B$4="pvp",MIN((Skills!T18*(1+(Inputs!$B$33+1)/100)),15)/15,(Skills!T18*(1+(Inputs!$B$33+1)/100))/Skills!D18)))</f>
        <v/>
      </c>
    </row>
    <row r="1063">
      <c r="A1063" t="inlineStr">
        <is>
          <t>Attack Speed Buff Bonus %</t>
        </is>
      </c>
      <c r="B1063">
        <f>((C1053=TRUE)*F1053*IF(AND(Inputs!$B$4&lt;&gt;"pvp",Inputs!$B$35&gt;0),(((S1053-1)*(Skills!T20*(1+(Inputs!$B$33+1)/100))+MIN((Skills!T20*(1+(Inputs!$B$33+1)/100)),MAX(0,Inputs!$B$35-((S1053-1)*Skills!D20))))/Inputs!$B$35),IF(Inputs!$B$4="pvp",MIN((Skills!T20*(1+(Inputs!$B$33+1)/100)),15)/15,(Skills!T20*(1+(Inputs!$B$33+1)/100))/Skills!D20)))</f>
        <v/>
      </c>
    </row>
    <row r="1064">
      <c r="A1064" t="inlineStr">
        <is>
          <t>Actions Per Second</t>
        </is>
      </c>
      <c r="B1064">
        <f>1+MIN(150,150*(1-(1-(Inputs!$B$10+((C1054=TRUE)*(F1054-Calc!F21)))/150)*(1-B1063/150)))/100</f>
        <v/>
      </c>
    </row>
    <row r="1065">
      <c r="A1065" t="inlineStr">
        <is>
          <t>Skill + Buff Cast Rate</t>
        </is>
      </c>
      <c r="B1065">
        <f>IF(AND(Inputs!$B$4&lt;&gt;"pvp",Inputs!$B$35&gt;0),SUMPRODUCT((Skills!E2:E26=TRUE)*(C1035:C1059=TRUE)*R1035:R1059*Skills!F2:F26)/Inputs!$B$35,SUMPRODUCT((Skills!E2:E26=TRUE)*(C1035:C1059=TRUE)*Q1035:Q1059*Skills!F2:F26))</f>
        <v/>
      </c>
    </row>
    <row r="1066">
      <c r="A1066" t="inlineStr">
        <is>
          <t>Dark Impale Casts Per Second</t>
        </is>
      </c>
      <c r="B1066">
        <f>MAX(0,B1064-B1065)</f>
        <v/>
      </c>
    </row>
    <row r="1067">
      <c r="A1067" t="inlineStr">
        <is>
          <t>Global Critical Damage Bonus % (Lord of Darkness)</t>
        </is>
      </c>
      <c r="B1067">
        <f>((C1052=TRUE)*F1052*(Skills!J19/100)*IF(AND(Inputs!$B$4&lt;&gt;"pvp",Inputs!$B$35&gt;0),(((S1052-1)*(Skills!T19*(1+(Inputs!$B$33+1)/100))+MIN((Skills!T19*(1+(Inputs!$B$33+1)/100)),MAX(0,Inputs!$B$35-((S1052-1)*Skills!D19))))/Inputs!$B$35),IF(Inputs!$B$4="pvp",MIN((Skills!T19*(1+(Inputs!$B$33+1)/100)),15)/15,(Skills!T19*(1+(Inputs!$B$33+1)/100))/Skills!D19)))</f>
        <v/>
      </c>
    </row>
    <row r="1068">
      <c r="A1068" t="inlineStr">
        <is>
          <t>Global Final Damage Bonus % (unused)</t>
        </is>
      </c>
      <c r="B1068" t="n">
        <v>0</v>
      </c>
    </row>
    <row r="1070">
      <c r="A1070" s="5" t="inlineStr">
        <is>
          <t>TOTAL DPS</t>
        </is>
      </c>
      <c r="B1070" s="5">
        <f>SUM(O1035:O1059)</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2" customWidth="1" min="16" max="16"/>
    <col width="14" customWidth="1" min="17" max="17"/>
  </cols>
  <sheetData>
    <row r="1">
      <c r="A1" s="8" t="inlineStr">
        <is>
          <t>Slot</t>
        </is>
      </c>
      <c r="B1" s="8" t="inlineStr">
        <is>
          <t>Rarity</t>
        </is>
      </c>
      <c r="C1" s="8" t="inlineStr">
        <is>
          <t>Line</t>
        </is>
      </c>
      <c r="D1" s="8" t="inlineStr">
        <is>
          <t>Stat</t>
        </is>
      </c>
      <c r="E1" s="8" t="inlineStr">
        <is>
          <t>Value</t>
        </is>
      </c>
      <c r="F1" s="8" t="inlineStr">
        <is>
          <t>Weight</t>
        </is>
      </c>
      <c r="G1" s="8" t="inlineStr">
        <is>
          <t>Prime</t>
        </is>
      </c>
      <c r="H1" s="8" t="inlineStr">
        <is>
          <t>DPSPerUnit</t>
        </is>
      </c>
      <c r="J1" s="10" t="inlineStr">
        <is>
          <t>Stat</t>
        </is>
      </c>
      <c r="K1" s="10" t="inlineStr">
        <is>
          <t>DPSPerUnit</t>
        </is>
      </c>
      <c r="M1" s="10" t="inlineStr">
        <is>
          <t>Rarity</t>
        </is>
      </c>
      <c r="N1" s="10" t="inlineStr">
        <is>
          <t>Rate</t>
        </is>
      </c>
      <c r="O1" s="10" t="inlineStr">
        <is>
          <t>MaxPity</t>
        </is>
      </c>
      <c r="Q1" s="10" t="inlineStr">
        <is>
          <t>SlotList</t>
        </is>
      </c>
    </row>
    <row r="2">
      <c r="A2" t="inlineStr">
        <is>
          <t>ALL</t>
        </is>
      </c>
      <c r="B2" t="inlineStr">
        <is>
          <t>normal</t>
        </is>
      </c>
      <c r="C2" t="n">
        <v>1</v>
      </c>
      <c r="D2" t="inlineStr">
        <is>
          <t>Critical Rate %</t>
        </is>
      </c>
      <c r="E2" t="n">
        <v>3</v>
      </c>
      <c r="F2" t="n">
        <v>2.5</v>
      </c>
      <c r="G2" t="b">
        <v>0</v>
      </c>
      <c r="H2">
        <f>IF(Inputs!$B$8&gt;=100,Sensitivity!H16,Sensitivity!H15)</f>
        <v/>
      </c>
      <c r="J2" t="inlineStr">
        <is>
          <t>(none)</t>
        </is>
      </c>
      <c r="K2" t="n">
        <v>0</v>
      </c>
      <c r="M2" t="inlineStr">
        <is>
          <t>normal</t>
        </is>
      </c>
      <c r="N2" t="n">
        <v>0.06</v>
      </c>
      <c r="O2" t="n">
        <v>30</v>
      </c>
      <c r="Q2" t="inlineStr">
        <is>
          <t>head</t>
        </is>
      </c>
    </row>
    <row r="3">
      <c r="A3" t="inlineStr">
        <is>
          <t>ALL</t>
        </is>
      </c>
      <c r="B3" t="inlineStr">
        <is>
          <t>normal</t>
        </is>
      </c>
      <c r="C3" t="n">
        <v>1</v>
      </c>
      <c r="D3" t="inlineStr">
        <is>
          <t>Attack Speed %</t>
        </is>
      </c>
      <c r="E3" t="n">
        <v>3</v>
      </c>
      <c r="F3" t="n">
        <v>2.5</v>
      </c>
      <c r="G3" t="b">
        <v>0</v>
      </c>
      <c r="H3">
        <f>Sensitivity!H17</f>
        <v/>
      </c>
      <c r="J3" t="inlineStr">
        <is>
          <t>All Skill Level</t>
        </is>
      </c>
      <c r="K3">
        <f>Sensitivity!H25</f>
        <v/>
      </c>
      <c r="M3" t="inlineStr">
        <is>
          <t>rare</t>
        </is>
      </c>
      <c r="N3" t="n">
        <v>0.03333</v>
      </c>
      <c r="O3" t="n">
        <v>60</v>
      </c>
      <c r="Q3" t="inlineStr">
        <is>
          <t>cape</t>
        </is>
      </c>
    </row>
    <row r="4">
      <c r="A4" t="inlineStr">
        <is>
          <t>ALL</t>
        </is>
      </c>
      <c r="B4" t="inlineStr">
        <is>
          <t>normal</t>
        </is>
      </c>
      <c r="C4" t="n">
        <v>1</v>
      </c>
      <c r="D4" t="inlineStr">
        <is>
          <t>Damage %</t>
        </is>
      </c>
      <c r="E4" t="n">
        <v>5</v>
      </c>
      <c r="F4" t="n">
        <v>4</v>
      </c>
      <c r="G4" t="b">
        <v>0</v>
      </c>
      <c r="H4">
        <f>Sensitivity!H8</f>
        <v/>
      </c>
      <c r="J4" t="inlineStr">
        <is>
          <t>Attack Speed %</t>
        </is>
      </c>
      <c r="K4">
        <f>Sensitivity!H17</f>
        <v/>
      </c>
      <c r="M4" t="inlineStr">
        <is>
          <t>epic</t>
        </is>
      </c>
      <c r="N4" t="n">
        <v>0.0167</v>
      </c>
      <c r="O4" t="n">
        <v>120</v>
      </c>
      <c r="Q4" t="inlineStr">
        <is>
          <t>chest</t>
        </is>
      </c>
    </row>
    <row r="5">
      <c r="A5" t="inlineStr">
        <is>
          <t>ALL</t>
        </is>
      </c>
      <c r="B5" t="inlineStr">
        <is>
          <t>normal</t>
        </is>
      </c>
      <c r="C5" t="n">
        <v>1</v>
      </c>
      <c r="D5" t="inlineStr">
        <is>
          <t>Min Damage Multiplier %</t>
        </is>
      </c>
      <c r="E5" t="n">
        <v>3</v>
      </c>
      <c r="F5" t="n">
        <v>4</v>
      </c>
      <c r="G5" t="b">
        <v>0</v>
      </c>
      <c r="H5">
        <f>Sensitivity!H13</f>
        <v/>
      </c>
      <c r="J5" t="inlineStr">
        <is>
          <t>Basic Attack Damage %</t>
        </is>
      </c>
      <c r="K5">
        <f>Sensitivity!H19</f>
        <v/>
      </c>
      <c r="M5" t="inlineStr">
        <is>
          <t>unique</t>
        </is>
      </c>
      <c r="N5" t="n">
        <v>0.006</v>
      </c>
      <c r="O5" t="n">
        <v>333</v>
      </c>
      <c r="Q5" t="inlineStr">
        <is>
          <t>shoulders</t>
        </is>
      </c>
    </row>
    <row r="6">
      <c r="A6" t="inlineStr">
        <is>
          <t>ALL</t>
        </is>
      </c>
      <c r="B6" t="inlineStr">
        <is>
          <t>normal</t>
        </is>
      </c>
      <c r="C6" t="n">
        <v>1</v>
      </c>
      <c r="D6" t="inlineStr">
        <is>
          <t>Max Damage Multiplier %</t>
        </is>
      </c>
      <c r="E6" t="n">
        <v>3</v>
      </c>
      <c r="F6" t="n">
        <v>4</v>
      </c>
      <c r="G6" t="b">
        <v>0</v>
      </c>
      <c r="H6">
        <f>Sensitivity!H14</f>
        <v/>
      </c>
      <c r="J6" t="inlineStr">
        <is>
          <t>Basic Attack Target Increase</t>
        </is>
      </c>
      <c r="K6">
        <f>Sensitivity!H29</f>
        <v/>
      </c>
      <c r="M6" t="inlineStr">
        <is>
          <t>legendary</t>
        </is>
      </c>
      <c r="N6" t="n">
        <v>0.0021</v>
      </c>
      <c r="O6" t="n">
        <v>714</v>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Sensitivity!H30</f>
        <v/>
      </c>
      <c r="M7" t="inlineStr">
        <is>
          <t>mystic</t>
        </is>
      </c>
      <c r="N7" t="n">
        <v>0</v>
      </c>
      <c r="O7" t="n">
        <v>0</v>
      </c>
      <c r="Q7" t="inlineStr">
        <is>
          <t>belt</t>
        </is>
      </c>
    </row>
    <row r="8">
      <c r="A8" t="inlineStr">
        <is>
          <t>ALL</t>
        </is>
      </c>
      <c r="B8" t="inlineStr">
        <is>
          <t>normal</t>
        </is>
      </c>
      <c r="C8" t="n">
        <v>1</v>
      </c>
      <c r="D8" t="inlineStr">
        <is>
          <t>Dex %</t>
        </is>
      </c>
      <c r="E8" t="n">
        <v>3</v>
      </c>
      <c r="F8" t="n">
        <v>4.5</v>
      </c>
      <c r="G8" t="b">
        <v>0</v>
      </c>
      <c r="H8">
        <f>Sensitivity!H7</f>
        <v/>
      </c>
      <c r="J8" t="inlineStr">
        <is>
          <t>Companion Summoning Time Increase %</t>
        </is>
      </c>
      <c r="K8">
        <f>Sensitivity!H16</f>
        <v/>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Sensitivity!H16</f>
        <v/>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IF(Inputs!$B$8&gt;=100,Sensitivity!H16,Sensitivity!H15)</f>
        <v/>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Sensitivity!H8</f>
        <v/>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Sensitivity!H18</f>
        <v/>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f>Sensitivity!H7</f>
        <v/>
      </c>
      <c r="Q14" t="inlineStr">
        <is>
          <t>face</t>
        </is>
      </c>
    </row>
    <row r="15">
      <c r="A15" t="inlineStr">
        <is>
          <t>ALL</t>
        </is>
      </c>
      <c r="B15" t="inlineStr">
        <is>
          <t>normal</t>
        </is>
      </c>
      <c r="C15" t="n">
        <v>1</v>
      </c>
      <c r="D15" t="inlineStr">
        <is>
          <t>Dex</t>
        </is>
      </c>
      <c r="E15" t="n">
        <v>50</v>
      </c>
      <c r="F15" t="n">
        <v>9.5</v>
      </c>
      <c r="G15" t="b">
        <v>0</v>
      </c>
      <c r="H15">
        <f>Sensitivity!H7</f>
        <v/>
      </c>
      <c r="J15" t="inlineStr">
        <is>
          <t>Dex %</t>
        </is>
      </c>
      <c r="K15">
        <f>Sensitivity!H7</f>
        <v/>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Sensitivity!H12</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t="inlineStr">
        <is>
          <t>0</t>
        </is>
      </c>
    </row>
    <row r="18">
      <c r="A18" t="inlineStr">
        <is>
          <t>ALL</t>
        </is>
      </c>
      <c r="B18" t="inlineStr">
        <is>
          <t>normal</t>
        </is>
      </c>
      <c r="C18" t="n">
        <v>2</v>
      </c>
      <c r="D18" t="inlineStr">
        <is>
          <t>Critical Rate %</t>
        </is>
      </c>
      <c r="E18" t="n">
        <v>3</v>
      </c>
      <c r="F18" t="n">
        <v>2.5</v>
      </c>
      <c r="G18" t="b">
        <v>0</v>
      </c>
      <c r="H18">
        <f>IF(Inputs!$B$8&gt;=100,Sensitivity!H16,Sensitivity!H15)</f>
        <v/>
      </c>
      <c r="J18" t="inlineStr">
        <is>
          <t>Int %</t>
        </is>
      </c>
      <c r="K18" t="inlineStr">
        <is>
          <t>0</t>
        </is>
      </c>
    </row>
    <row r="19">
      <c r="A19" t="inlineStr">
        <is>
          <t>ALL</t>
        </is>
      </c>
      <c r="B19" t="inlineStr">
        <is>
          <t>normal</t>
        </is>
      </c>
      <c r="C19" t="n">
        <v>2</v>
      </c>
      <c r="D19" t="inlineStr">
        <is>
          <t>Attack Speed %</t>
        </is>
      </c>
      <c r="E19" t="n">
        <v>3</v>
      </c>
      <c r="F19" t="n">
        <v>2.5</v>
      </c>
      <c r="G19" t="b">
        <v>0</v>
      </c>
      <c r="H19">
        <f>Sensitivity!H17</f>
        <v/>
      </c>
      <c r="J19" t="inlineStr">
        <is>
          <t>Luk</t>
        </is>
      </c>
      <c r="K19" t="inlineStr">
        <is>
          <t>0</t>
        </is>
      </c>
    </row>
    <row r="20">
      <c r="A20" t="inlineStr">
        <is>
          <t>ALL</t>
        </is>
      </c>
      <c r="B20" t="inlineStr">
        <is>
          <t>normal</t>
        </is>
      </c>
      <c r="C20" t="n">
        <v>2</v>
      </c>
      <c r="D20" t="inlineStr">
        <is>
          <t>Damage %</t>
        </is>
      </c>
      <c r="E20" t="n">
        <v>5</v>
      </c>
      <c r="F20" t="n">
        <v>4</v>
      </c>
      <c r="G20" t="b">
        <v>0</v>
      </c>
      <c r="H20">
        <f>Sensitivity!H8</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Sensitivity!H13</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Sensitivity!H14</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Sensitivity!H14</f>
        <v/>
      </c>
    </row>
    <row r="24">
      <c r="A24" t="inlineStr">
        <is>
          <t>ALL</t>
        </is>
      </c>
      <c r="B24" t="inlineStr">
        <is>
          <t>normal</t>
        </is>
      </c>
      <c r="C24" t="n">
        <v>2</v>
      </c>
      <c r="D24" t="inlineStr">
        <is>
          <t>Dex %</t>
        </is>
      </c>
      <c r="E24" t="n">
        <v>3</v>
      </c>
      <c r="F24" t="n">
        <v>4.5</v>
      </c>
      <c r="G24" t="b">
        <v>0</v>
      </c>
      <c r="H24">
        <f>Sensitivity!H7</f>
        <v/>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Sensitivity!H13</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Sensitivity!H28</f>
        <v/>
      </c>
    </row>
    <row r="28">
      <c r="A28" t="inlineStr">
        <is>
          <t>ALL</t>
        </is>
      </c>
      <c r="B28" t="inlineStr">
        <is>
          <t>normal</t>
        </is>
      </c>
      <c r="C28" t="n">
        <v>2</v>
      </c>
      <c r="D28" t="inlineStr">
        <is>
          <t>Max HP %</t>
        </is>
      </c>
      <c r="E28" t="n">
        <v>6</v>
      </c>
      <c r="F28" t="n">
        <v>9</v>
      </c>
      <c r="G28" t="b">
        <v>0</v>
      </c>
      <c r="H28" t="inlineStr">
        <is>
          <t>0</t>
        </is>
      </c>
      <c r="J28" t="inlineStr">
        <is>
          <t>Skill Damage %</t>
        </is>
      </c>
      <c r="K28">
        <f>Sensitivity!H20</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f>Sensitivity!H7</f>
        <v/>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IF(Inputs!$B$8&gt;=100,Sensitivity!H16,Sensitivity!H15)</f>
        <v/>
      </c>
    </row>
    <row r="35">
      <c r="A35" t="inlineStr">
        <is>
          <t>ALL</t>
        </is>
      </c>
      <c r="B35" t="inlineStr">
        <is>
          <t>normal</t>
        </is>
      </c>
      <c r="C35" t="n">
        <v>3</v>
      </c>
      <c r="D35" t="inlineStr">
        <is>
          <t>Attack Speed %</t>
        </is>
      </c>
      <c r="E35" t="n">
        <v>3</v>
      </c>
      <c r="F35" t="n">
        <v>2.5</v>
      </c>
      <c r="G35" t="b">
        <v>0</v>
      </c>
      <c r="H35">
        <f>Sensitivity!H17</f>
        <v/>
      </c>
    </row>
    <row r="36">
      <c r="A36" t="inlineStr">
        <is>
          <t>ALL</t>
        </is>
      </c>
      <c r="B36" t="inlineStr">
        <is>
          <t>normal</t>
        </is>
      </c>
      <c r="C36" t="n">
        <v>3</v>
      </c>
      <c r="D36" t="inlineStr">
        <is>
          <t>Damage %</t>
        </is>
      </c>
      <c r="E36" t="n">
        <v>5</v>
      </c>
      <c r="F36" t="n">
        <v>4</v>
      </c>
      <c r="G36" t="b">
        <v>0</v>
      </c>
      <c r="H36">
        <f>Sensitivity!H8</f>
        <v/>
      </c>
    </row>
    <row r="37">
      <c r="A37" t="inlineStr">
        <is>
          <t>ALL</t>
        </is>
      </c>
      <c r="B37" t="inlineStr">
        <is>
          <t>normal</t>
        </is>
      </c>
      <c r="C37" t="n">
        <v>3</v>
      </c>
      <c r="D37" t="inlineStr">
        <is>
          <t>Min Damage Multiplier %</t>
        </is>
      </c>
      <c r="E37" t="n">
        <v>3</v>
      </c>
      <c r="F37" t="n">
        <v>4</v>
      </c>
      <c r="G37" t="b">
        <v>0</v>
      </c>
      <c r="H37">
        <f>Sensitivity!H13</f>
        <v/>
      </c>
    </row>
    <row r="38">
      <c r="A38" t="inlineStr">
        <is>
          <t>ALL</t>
        </is>
      </c>
      <c r="B38" t="inlineStr">
        <is>
          <t>normal</t>
        </is>
      </c>
      <c r="C38" t="n">
        <v>3</v>
      </c>
      <c r="D38" t="inlineStr">
        <is>
          <t>Max Damage Multiplier %</t>
        </is>
      </c>
      <c r="E38" t="n">
        <v>3</v>
      </c>
      <c r="F38" t="n">
        <v>4</v>
      </c>
      <c r="G38" t="b">
        <v>0</v>
      </c>
      <c r="H38">
        <f>Sensitivity!H14</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f>Sensitivity!H7</f>
        <v/>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f>Sensitivity!H7</f>
        <v/>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IF(Inputs!$B$8&gt;=100,Sensitivity!H16,Sensitivity!H15)</f>
        <v/>
      </c>
    </row>
    <row r="51">
      <c r="A51" t="inlineStr">
        <is>
          <t>ALL</t>
        </is>
      </c>
      <c r="B51" t="inlineStr">
        <is>
          <t>rare</t>
        </is>
      </c>
      <c r="C51" t="n">
        <v>1</v>
      </c>
      <c r="D51" t="inlineStr">
        <is>
          <t>Attack Speed %</t>
        </is>
      </c>
      <c r="E51" t="n">
        <v>3.5</v>
      </c>
      <c r="F51" t="n">
        <v>2.5</v>
      </c>
      <c r="G51" t="b">
        <v>1</v>
      </c>
      <c r="H51">
        <f>Sensitivity!H17</f>
        <v/>
      </c>
    </row>
    <row r="52">
      <c r="A52" t="inlineStr">
        <is>
          <t>ALL</t>
        </is>
      </c>
      <c r="B52" t="inlineStr">
        <is>
          <t>rare</t>
        </is>
      </c>
      <c r="C52" t="n">
        <v>1</v>
      </c>
      <c r="D52" t="inlineStr">
        <is>
          <t>Damage %</t>
        </is>
      </c>
      <c r="E52" t="n">
        <v>8</v>
      </c>
      <c r="F52" t="n">
        <v>4</v>
      </c>
      <c r="G52" t="b">
        <v>1</v>
      </c>
      <c r="H52">
        <f>Sensitivity!H8</f>
        <v/>
      </c>
    </row>
    <row r="53">
      <c r="A53" t="inlineStr">
        <is>
          <t>ALL</t>
        </is>
      </c>
      <c r="B53" t="inlineStr">
        <is>
          <t>rare</t>
        </is>
      </c>
      <c r="C53" t="n">
        <v>1</v>
      </c>
      <c r="D53" t="inlineStr">
        <is>
          <t>Min Damage Multiplier %</t>
        </is>
      </c>
      <c r="E53" t="n">
        <v>6</v>
      </c>
      <c r="F53" t="n">
        <v>4</v>
      </c>
      <c r="G53" t="b">
        <v>1</v>
      </c>
      <c r="H53">
        <f>Sensitivity!H13</f>
        <v/>
      </c>
    </row>
    <row r="54">
      <c r="A54" t="inlineStr">
        <is>
          <t>ALL</t>
        </is>
      </c>
      <c r="B54" t="inlineStr">
        <is>
          <t>rare</t>
        </is>
      </c>
      <c r="C54" t="n">
        <v>1</v>
      </c>
      <c r="D54" t="inlineStr">
        <is>
          <t>Max Damage Multiplier %</t>
        </is>
      </c>
      <c r="E54" t="n">
        <v>6</v>
      </c>
      <c r="F54" t="n">
        <v>4</v>
      </c>
      <c r="G54" t="b">
        <v>1</v>
      </c>
      <c r="H54">
        <f>Sensitivity!H14</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f>Sensitivity!H7</f>
        <v/>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f>Sensitivity!H7</f>
        <v/>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IF(Inputs!$B$8&gt;=100,Sensitivity!H16,Sensitivity!H15)</f>
        <v/>
      </c>
    </row>
    <row r="67">
      <c r="A67" t="inlineStr">
        <is>
          <t>ALL</t>
        </is>
      </c>
      <c r="B67" t="inlineStr">
        <is>
          <t>rare</t>
        </is>
      </c>
      <c r="C67" t="n">
        <v>2</v>
      </c>
      <c r="D67" t="inlineStr">
        <is>
          <t>Critical Rate %</t>
        </is>
      </c>
      <c r="E67" t="n">
        <v>4.5</v>
      </c>
      <c r="F67" t="n">
        <v>0.6</v>
      </c>
      <c r="G67" t="b">
        <v>1</v>
      </c>
      <c r="H67">
        <f>IF(Inputs!$B$8&gt;=100,Sensitivity!H16,Sensitivity!H15)</f>
        <v/>
      </c>
    </row>
    <row r="68">
      <c r="A68" t="inlineStr">
        <is>
          <t>ALL</t>
        </is>
      </c>
      <c r="B68" t="inlineStr">
        <is>
          <t>rare</t>
        </is>
      </c>
      <c r="C68" t="n">
        <v>2</v>
      </c>
      <c r="D68" t="inlineStr">
        <is>
          <t>Attack Speed %</t>
        </is>
      </c>
      <c r="E68" t="n">
        <v>3</v>
      </c>
      <c r="F68" t="n">
        <v>1.9</v>
      </c>
      <c r="G68" t="b">
        <v>0</v>
      </c>
      <c r="H68">
        <f>Sensitivity!H17</f>
        <v/>
      </c>
    </row>
    <row r="69">
      <c r="A69" t="inlineStr">
        <is>
          <t>ALL</t>
        </is>
      </c>
      <c r="B69" t="inlineStr">
        <is>
          <t>rare</t>
        </is>
      </c>
      <c r="C69" t="n">
        <v>2</v>
      </c>
      <c r="D69" t="inlineStr">
        <is>
          <t>Attack Speed %</t>
        </is>
      </c>
      <c r="E69" t="n">
        <v>3.5</v>
      </c>
      <c r="F69" t="n">
        <v>0.6</v>
      </c>
      <c r="G69" t="b">
        <v>1</v>
      </c>
      <c r="H69">
        <f>Sensitivity!H17</f>
        <v/>
      </c>
    </row>
    <row r="70">
      <c r="A70" t="inlineStr">
        <is>
          <t>ALL</t>
        </is>
      </c>
      <c r="B70" t="inlineStr">
        <is>
          <t>rare</t>
        </is>
      </c>
      <c r="C70" t="n">
        <v>2</v>
      </c>
      <c r="D70" t="inlineStr">
        <is>
          <t>Damage %</t>
        </is>
      </c>
      <c r="E70" t="n">
        <v>5</v>
      </c>
      <c r="F70" t="n">
        <v>3.04</v>
      </c>
      <c r="G70" t="b">
        <v>0</v>
      </c>
      <c r="H70">
        <f>Sensitivity!H8</f>
        <v/>
      </c>
    </row>
    <row r="71">
      <c r="A71" t="inlineStr">
        <is>
          <t>ALL</t>
        </is>
      </c>
      <c r="B71" t="inlineStr">
        <is>
          <t>rare</t>
        </is>
      </c>
      <c r="C71" t="n">
        <v>2</v>
      </c>
      <c r="D71" t="inlineStr">
        <is>
          <t>Damage %</t>
        </is>
      </c>
      <c r="E71" t="n">
        <v>8</v>
      </c>
      <c r="F71" t="n">
        <v>0.96</v>
      </c>
      <c r="G71" t="b">
        <v>1</v>
      </c>
      <c r="H71">
        <f>Sensitivity!H8</f>
        <v/>
      </c>
    </row>
    <row r="72">
      <c r="A72" t="inlineStr">
        <is>
          <t>ALL</t>
        </is>
      </c>
      <c r="B72" t="inlineStr">
        <is>
          <t>rare</t>
        </is>
      </c>
      <c r="C72" t="n">
        <v>2</v>
      </c>
      <c r="D72" t="inlineStr">
        <is>
          <t>Min Damage Multiplier %</t>
        </is>
      </c>
      <c r="E72" t="n">
        <v>3</v>
      </c>
      <c r="F72" t="n">
        <v>3.04</v>
      </c>
      <c r="G72" t="b">
        <v>0</v>
      </c>
      <c r="H72">
        <f>Sensitivity!H13</f>
        <v/>
      </c>
    </row>
    <row r="73">
      <c r="A73" t="inlineStr">
        <is>
          <t>ALL</t>
        </is>
      </c>
      <c r="B73" t="inlineStr">
        <is>
          <t>rare</t>
        </is>
      </c>
      <c r="C73" t="n">
        <v>2</v>
      </c>
      <c r="D73" t="inlineStr">
        <is>
          <t>Min Damage Multiplier %</t>
        </is>
      </c>
      <c r="E73" t="n">
        <v>6</v>
      </c>
      <c r="F73" t="n">
        <v>0.96</v>
      </c>
      <c r="G73" t="b">
        <v>1</v>
      </c>
      <c r="H73">
        <f>Sensitivity!H13</f>
        <v/>
      </c>
    </row>
    <row r="74">
      <c r="A74" t="inlineStr">
        <is>
          <t>ALL</t>
        </is>
      </c>
      <c r="B74" t="inlineStr">
        <is>
          <t>rare</t>
        </is>
      </c>
      <c r="C74" t="n">
        <v>2</v>
      </c>
      <c r="D74" t="inlineStr">
        <is>
          <t>Max Damage Multiplier %</t>
        </is>
      </c>
      <c r="E74" t="n">
        <v>3</v>
      </c>
      <c r="F74" t="n">
        <v>3.04</v>
      </c>
      <c r="G74" t="b">
        <v>0</v>
      </c>
      <c r="H74">
        <f>Sensitivity!H14</f>
        <v/>
      </c>
    </row>
    <row r="75">
      <c r="A75" t="inlineStr">
        <is>
          <t>ALL</t>
        </is>
      </c>
      <c r="B75" t="inlineStr">
        <is>
          <t>rare</t>
        </is>
      </c>
      <c r="C75" t="n">
        <v>2</v>
      </c>
      <c r="D75" t="inlineStr">
        <is>
          <t>Max Damage Multiplier %</t>
        </is>
      </c>
      <c r="E75" t="n">
        <v>6</v>
      </c>
      <c r="F75" t="n">
        <v>0.96</v>
      </c>
      <c r="G75" t="b">
        <v>1</v>
      </c>
      <c r="H75">
        <f>Sensitivity!H14</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f>Sensitivity!H7</f>
        <v/>
      </c>
    </row>
    <row r="79">
      <c r="A79" t="inlineStr">
        <is>
          <t>ALL</t>
        </is>
      </c>
      <c r="B79" t="inlineStr">
        <is>
          <t>rare</t>
        </is>
      </c>
      <c r="C79" t="n">
        <v>2</v>
      </c>
      <c r="D79" t="inlineStr">
        <is>
          <t>Dex %</t>
        </is>
      </c>
      <c r="E79" t="n">
        <v>4.5</v>
      </c>
      <c r="F79" t="n">
        <v>1.08</v>
      </c>
      <c r="G79" t="b">
        <v>1</v>
      </c>
      <c r="H79">
        <f>Sensitivity!H7</f>
        <v/>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f>Sensitivity!H7</f>
        <v/>
      </c>
    </row>
    <row r="93">
      <c r="A93" t="inlineStr">
        <is>
          <t>ALL</t>
        </is>
      </c>
      <c r="B93" t="inlineStr">
        <is>
          <t>rare</t>
        </is>
      </c>
      <c r="C93" t="n">
        <v>2</v>
      </c>
      <c r="D93" t="inlineStr">
        <is>
          <t>Dex</t>
        </is>
      </c>
      <c r="E93" t="n">
        <v>100</v>
      </c>
      <c r="F93" t="n">
        <v>2.28</v>
      </c>
      <c r="G93" t="b">
        <v>1</v>
      </c>
      <c r="H93">
        <f>Sensitivity!H7</f>
        <v/>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IF(Inputs!$B$8&gt;=100,Sensitivity!H16,Sensitivity!H15)</f>
        <v/>
      </c>
    </row>
    <row r="99">
      <c r="A99" t="inlineStr">
        <is>
          <t>ALL</t>
        </is>
      </c>
      <c r="B99" t="inlineStr">
        <is>
          <t>rare</t>
        </is>
      </c>
      <c r="C99" t="n">
        <v>3</v>
      </c>
      <c r="D99" t="inlineStr">
        <is>
          <t>Critical Rate %</t>
        </is>
      </c>
      <c r="E99" t="n">
        <v>4.5</v>
      </c>
      <c r="F99" t="n">
        <v>0.2</v>
      </c>
      <c r="G99" t="b">
        <v>1</v>
      </c>
      <c r="H99">
        <f>IF(Inputs!$B$8&gt;=100,Sensitivity!H16,Sensitivity!H15)</f>
        <v/>
      </c>
    </row>
    <row r="100">
      <c r="A100" t="inlineStr">
        <is>
          <t>ALL</t>
        </is>
      </c>
      <c r="B100" t="inlineStr">
        <is>
          <t>rare</t>
        </is>
      </c>
      <c r="C100" t="n">
        <v>3</v>
      </c>
      <c r="D100" t="inlineStr">
        <is>
          <t>Attack Speed %</t>
        </is>
      </c>
      <c r="E100" t="n">
        <v>3</v>
      </c>
      <c r="F100" t="n">
        <v>2.3</v>
      </c>
      <c r="G100" t="b">
        <v>0</v>
      </c>
      <c r="H100">
        <f>Sensitivity!H17</f>
        <v/>
      </c>
    </row>
    <row r="101">
      <c r="A101" t="inlineStr">
        <is>
          <t>ALL</t>
        </is>
      </c>
      <c r="B101" t="inlineStr">
        <is>
          <t>rare</t>
        </is>
      </c>
      <c r="C101" t="n">
        <v>3</v>
      </c>
      <c r="D101" t="inlineStr">
        <is>
          <t>Attack Speed %</t>
        </is>
      </c>
      <c r="E101" t="n">
        <v>3.5</v>
      </c>
      <c r="F101" t="n">
        <v>0.2</v>
      </c>
      <c r="G101" t="b">
        <v>1</v>
      </c>
      <c r="H101">
        <f>Sensitivity!H17</f>
        <v/>
      </c>
    </row>
    <row r="102">
      <c r="A102" t="inlineStr">
        <is>
          <t>ALL</t>
        </is>
      </c>
      <c r="B102" t="inlineStr">
        <is>
          <t>rare</t>
        </is>
      </c>
      <c r="C102" t="n">
        <v>3</v>
      </c>
      <c r="D102" t="inlineStr">
        <is>
          <t>Damage %</t>
        </is>
      </c>
      <c r="E102" t="n">
        <v>5</v>
      </c>
      <c r="F102" t="n">
        <v>3.68</v>
      </c>
      <c r="G102" t="b">
        <v>0</v>
      </c>
      <c r="H102">
        <f>Sensitivity!H8</f>
        <v/>
      </c>
    </row>
    <row r="103">
      <c r="A103" t="inlineStr">
        <is>
          <t>ALL</t>
        </is>
      </c>
      <c r="B103" t="inlineStr">
        <is>
          <t>rare</t>
        </is>
      </c>
      <c r="C103" t="n">
        <v>3</v>
      </c>
      <c r="D103" t="inlineStr">
        <is>
          <t>Damage %</t>
        </is>
      </c>
      <c r="E103" t="n">
        <v>8</v>
      </c>
      <c r="F103" t="n">
        <v>0.32</v>
      </c>
      <c r="G103" t="b">
        <v>1</v>
      </c>
      <c r="H103">
        <f>Sensitivity!H8</f>
        <v/>
      </c>
    </row>
    <row r="104">
      <c r="A104" t="inlineStr">
        <is>
          <t>ALL</t>
        </is>
      </c>
      <c r="B104" t="inlineStr">
        <is>
          <t>rare</t>
        </is>
      </c>
      <c r="C104" t="n">
        <v>3</v>
      </c>
      <c r="D104" t="inlineStr">
        <is>
          <t>Min Damage Multiplier %</t>
        </is>
      </c>
      <c r="E104" t="n">
        <v>3</v>
      </c>
      <c r="F104" t="n">
        <v>3.68</v>
      </c>
      <c r="G104" t="b">
        <v>0</v>
      </c>
      <c r="H104">
        <f>Sensitivity!H13</f>
        <v/>
      </c>
    </row>
    <row r="105">
      <c r="A105" t="inlineStr">
        <is>
          <t>ALL</t>
        </is>
      </c>
      <c r="B105" t="inlineStr">
        <is>
          <t>rare</t>
        </is>
      </c>
      <c r="C105" t="n">
        <v>3</v>
      </c>
      <c r="D105" t="inlineStr">
        <is>
          <t>Min Damage Multiplier %</t>
        </is>
      </c>
      <c r="E105" t="n">
        <v>6</v>
      </c>
      <c r="F105" t="n">
        <v>0.32</v>
      </c>
      <c r="G105" t="b">
        <v>1</v>
      </c>
      <c r="H105">
        <f>Sensitivity!H13</f>
        <v/>
      </c>
    </row>
    <row r="106">
      <c r="A106" t="inlineStr">
        <is>
          <t>ALL</t>
        </is>
      </c>
      <c r="B106" t="inlineStr">
        <is>
          <t>rare</t>
        </is>
      </c>
      <c r="C106" t="n">
        <v>3</v>
      </c>
      <c r="D106" t="inlineStr">
        <is>
          <t>Max Damage Multiplier %</t>
        </is>
      </c>
      <c r="E106" t="n">
        <v>3</v>
      </c>
      <c r="F106" t="n">
        <v>3.68</v>
      </c>
      <c r="G106" t="b">
        <v>0</v>
      </c>
      <c r="H106">
        <f>Sensitivity!H14</f>
        <v/>
      </c>
    </row>
    <row r="107">
      <c r="A107" t="inlineStr">
        <is>
          <t>ALL</t>
        </is>
      </c>
      <c r="B107" t="inlineStr">
        <is>
          <t>rare</t>
        </is>
      </c>
      <c r="C107" t="n">
        <v>3</v>
      </c>
      <c r="D107" t="inlineStr">
        <is>
          <t>Max Damage Multiplier %</t>
        </is>
      </c>
      <c r="E107" t="n">
        <v>6</v>
      </c>
      <c r="F107" t="n">
        <v>0.32</v>
      </c>
      <c r="G107" t="b">
        <v>1</v>
      </c>
      <c r="H107">
        <f>Sensitivity!H14</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f>Sensitivity!H7</f>
        <v/>
      </c>
    </row>
    <row r="111">
      <c r="A111" t="inlineStr">
        <is>
          <t>ALL</t>
        </is>
      </c>
      <c r="B111" t="inlineStr">
        <is>
          <t>rare</t>
        </is>
      </c>
      <c r="C111" t="n">
        <v>3</v>
      </c>
      <c r="D111" t="inlineStr">
        <is>
          <t>Dex %</t>
        </is>
      </c>
      <c r="E111" t="n">
        <v>4.5</v>
      </c>
      <c r="F111" t="n">
        <v>0.36</v>
      </c>
      <c r="G111" t="b">
        <v>1</v>
      </c>
      <c r="H111">
        <f>Sensitivity!H7</f>
        <v/>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f>Sensitivity!H7</f>
        <v/>
      </c>
    </row>
    <row r="125">
      <c r="A125" t="inlineStr">
        <is>
          <t>ALL</t>
        </is>
      </c>
      <c r="B125" t="inlineStr">
        <is>
          <t>rare</t>
        </is>
      </c>
      <c r="C125" t="n">
        <v>3</v>
      </c>
      <c r="D125" t="inlineStr">
        <is>
          <t>Dex</t>
        </is>
      </c>
      <c r="E125" t="n">
        <v>100</v>
      </c>
      <c r="F125" t="n">
        <v>0.76</v>
      </c>
      <c r="G125" t="b">
        <v>1</v>
      </c>
      <c r="H125">
        <f>Sensitivity!H7</f>
        <v/>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IF(Inputs!$B$8&gt;=100,Sensitivity!H16,Sensitivity!H15)</f>
        <v/>
      </c>
    </row>
    <row r="131">
      <c r="A131" t="inlineStr">
        <is>
          <t>ALL</t>
        </is>
      </c>
      <c r="B131" t="inlineStr">
        <is>
          <t>epic</t>
        </is>
      </c>
      <c r="C131" t="n">
        <v>1</v>
      </c>
      <c r="D131" t="inlineStr">
        <is>
          <t>Attack Speed %</t>
        </is>
      </c>
      <c r="E131" t="n">
        <v>4</v>
      </c>
      <c r="F131" t="n">
        <v>2.5</v>
      </c>
      <c r="G131" t="b">
        <v>1</v>
      </c>
      <c r="H131">
        <f>Sensitivity!H17</f>
        <v/>
      </c>
    </row>
    <row r="132">
      <c r="A132" t="inlineStr">
        <is>
          <t>ALL</t>
        </is>
      </c>
      <c r="B132" t="inlineStr">
        <is>
          <t>epic</t>
        </is>
      </c>
      <c r="C132" t="n">
        <v>1</v>
      </c>
      <c r="D132" t="inlineStr">
        <is>
          <t>Damage %</t>
        </is>
      </c>
      <c r="E132" t="n">
        <v>12</v>
      </c>
      <c r="F132" t="n">
        <v>4</v>
      </c>
      <c r="G132" t="b">
        <v>1</v>
      </c>
      <c r="H132">
        <f>Sensitivity!H8</f>
        <v/>
      </c>
    </row>
    <row r="133">
      <c r="A133" t="inlineStr">
        <is>
          <t>ALL</t>
        </is>
      </c>
      <c r="B133" t="inlineStr">
        <is>
          <t>epic</t>
        </is>
      </c>
      <c r="C133" t="n">
        <v>1</v>
      </c>
      <c r="D133" t="inlineStr">
        <is>
          <t>Min Damage Multiplier %</t>
        </is>
      </c>
      <c r="E133" t="n">
        <v>8</v>
      </c>
      <c r="F133" t="n">
        <v>4</v>
      </c>
      <c r="G133" t="b">
        <v>1</v>
      </c>
      <c r="H133">
        <f>Sensitivity!H13</f>
        <v/>
      </c>
    </row>
    <row r="134">
      <c r="A134" t="inlineStr">
        <is>
          <t>ALL</t>
        </is>
      </c>
      <c r="B134" t="inlineStr">
        <is>
          <t>epic</t>
        </is>
      </c>
      <c r="C134" t="n">
        <v>1</v>
      </c>
      <c r="D134" t="inlineStr">
        <is>
          <t>Max Damage Multiplier %</t>
        </is>
      </c>
      <c r="E134" t="n">
        <v>8</v>
      </c>
      <c r="F134" t="n">
        <v>4</v>
      </c>
      <c r="G134" t="b">
        <v>1</v>
      </c>
      <c r="H134">
        <f>Sensitivity!H14</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f>Sensitivity!H7</f>
        <v/>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f>Sensitivity!H7</f>
        <v/>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IF(Inputs!$B$8&gt;=100,Sensitivity!H16,Sensitivity!H15)</f>
        <v/>
      </c>
    </row>
    <row r="147">
      <c r="A147" t="inlineStr">
        <is>
          <t>ALL</t>
        </is>
      </c>
      <c r="B147" t="inlineStr">
        <is>
          <t>epic</t>
        </is>
      </c>
      <c r="C147" t="n">
        <v>2</v>
      </c>
      <c r="D147" t="inlineStr">
        <is>
          <t>Critical Rate %</t>
        </is>
      </c>
      <c r="E147" t="n">
        <v>6</v>
      </c>
      <c r="F147" t="n">
        <v>0.6</v>
      </c>
      <c r="G147" t="b">
        <v>1</v>
      </c>
      <c r="H147">
        <f>IF(Inputs!$B$8&gt;=100,Sensitivity!H16,Sensitivity!H15)</f>
        <v/>
      </c>
    </row>
    <row r="148">
      <c r="A148" t="inlineStr">
        <is>
          <t>ALL</t>
        </is>
      </c>
      <c r="B148" t="inlineStr">
        <is>
          <t>epic</t>
        </is>
      </c>
      <c r="C148" t="n">
        <v>2</v>
      </c>
      <c r="D148" t="inlineStr">
        <is>
          <t>Attack Speed %</t>
        </is>
      </c>
      <c r="E148" t="n">
        <v>3.5</v>
      </c>
      <c r="F148" t="n">
        <v>1.9</v>
      </c>
      <c r="G148" t="b">
        <v>0</v>
      </c>
      <c r="H148">
        <f>Sensitivity!H17</f>
        <v/>
      </c>
    </row>
    <row r="149">
      <c r="A149" t="inlineStr">
        <is>
          <t>ALL</t>
        </is>
      </c>
      <c r="B149" t="inlineStr">
        <is>
          <t>epic</t>
        </is>
      </c>
      <c r="C149" t="n">
        <v>2</v>
      </c>
      <c r="D149" t="inlineStr">
        <is>
          <t>Attack Speed %</t>
        </is>
      </c>
      <c r="E149" t="n">
        <v>4</v>
      </c>
      <c r="F149" t="n">
        <v>0.6</v>
      </c>
      <c r="G149" t="b">
        <v>1</v>
      </c>
      <c r="H149">
        <f>Sensitivity!H17</f>
        <v/>
      </c>
    </row>
    <row r="150">
      <c r="A150" t="inlineStr">
        <is>
          <t>ALL</t>
        </is>
      </c>
      <c r="B150" t="inlineStr">
        <is>
          <t>epic</t>
        </is>
      </c>
      <c r="C150" t="n">
        <v>2</v>
      </c>
      <c r="D150" t="inlineStr">
        <is>
          <t>Damage %</t>
        </is>
      </c>
      <c r="E150" t="n">
        <v>8</v>
      </c>
      <c r="F150" t="n">
        <v>3.04</v>
      </c>
      <c r="G150" t="b">
        <v>0</v>
      </c>
      <c r="H150">
        <f>Sensitivity!H8</f>
        <v/>
      </c>
    </row>
    <row r="151">
      <c r="A151" t="inlineStr">
        <is>
          <t>ALL</t>
        </is>
      </c>
      <c r="B151" t="inlineStr">
        <is>
          <t>epic</t>
        </is>
      </c>
      <c r="C151" t="n">
        <v>2</v>
      </c>
      <c r="D151" t="inlineStr">
        <is>
          <t>Damage %</t>
        </is>
      </c>
      <c r="E151" t="n">
        <v>12</v>
      </c>
      <c r="F151" t="n">
        <v>0.96</v>
      </c>
      <c r="G151" t="b">
        <v>1</v>
      </c>
      <c r="H151">
        <f>Sensitivity!H8</f>
        <v/>
      </c>
    </row>
    <row r="152">
      <c r="A152" t="inlineStr">
        <is>
          <t>ALL</t>
        </is>
      </c>
      <c r="B152" t="inlineStr">
        <is>
          <t>epic</t>
        </is>
      </c>
      <c r="C152" t="n">
        <v>2</v>
      </c>
      <c r="D152" t="inlineStr">
        <is>
          <t>Min Damage Multiplier %</t>
        </is>
      </c>
      <c r="E152" t="n">
        <v>6</v>
      </c>
      <c r="F152" t="n">
        <v>3.04</v>
      </c>
      <c r="G152" t="b">
        <v>0</v>
      </c>
      <c r="H152">
        <f>Sensitivity!H13</f>
        <v/>
      </c>
    </row>
    <row r="153">
      <c r="A153" t="inlineStr">
        <is>
          <t>ALL</t>
        </is>
      </c>
      <c r="B153" t="inlineStr">
        <is>
          <t>epic</t>
        </is>
      </c>
      <c r="C153" t="n">
        <v>2</v>
      </c>
      <c r="D153" t="inlineStr">
        <is>
          <t>Min Damage Multiplier %</t>
        </is>
      </c>
      <c r="E153" t="n">
        <v>8</v>
      </c>
      <c r="F153" t="n">
        <v>0.96</v>
      </c>
      <c r="G153" t="b">
        <v>1</v>
      </c>
      <c r="H153">
        <f>Sensitivity!H13</f>
        <v/>
      </c>
    </row>
    <row r="154">
      <c r="A154" t="inlineStr">
        <is>
          <t>ALL</t>
        </is>
      </c>
      <c r="B154" t="inlineStr">
        <is>
          <t>epic</t>
        </is>
      </c>
      <c r="C154" t="n">
        <v>2</v>
      </c>
      <c r="D154" t="inlineStr">
        <is>
          <t>Max Damage Multiplier %</t>
        </is>
      </c>
      <c r="E154" t="n">
        <v>6</v>
      </c>
      <c r="F154" t="n">
        <v>3.04</v>
      </c>
      <c r="G154" t="b">
        <v>0</v>
      </c>
      <c r="H154">
        <f>Sensitivity!H14</f>
        <v/>
      </c>
    </row>
    <row r="155">
      <c r="A155" t="inlineStr">
        <is>
          <t>ALL</t>
        </is>
      </c>
      <c r="B155" t="inlineStr">
        <is>
          <t>epic</t>
        </is>
      </c>
      <c r="C155" t="n">
        <v>2</v>
      </c>
      <c r="D155" t="inlineStr">
        <is>
          <t>Max Damage Multiplier %</t>
        </is>
      </c>
      <c r="E155" t="n">
        <v>8</v>
      </c>
      <c r="F155" t="n">
        <v>0.96</v>
      </c>
      <c r="G155" t="b">
        <v>1</v>
      </c>
      <c r="H155">
        <f>Sensitivity!H14</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f>Sensitivity!H7</f>
        <v/>
      </c>
    </row>
    <row r="159">
      <c r="A159" t="inlineStr">
        <is>
          <t>ALL</t>
        </is>
      </c>
      <c r="B159" t="inlineStr">
        <is>
          <t>epic</t>
        </is>
      </c>
      <c r="C159" t="n">
        <v>2</v>
      </c>
      <c r="D159" t="inlineStr">
        <is>
          <t>Dex %</t>
        </is>
      </c>
      <c r="E159" t="n">
        <v>6</v>
      </c>
      <c r="F159" t="n">
        <v>1.08</v>
      </c>
      <c r="G159" t="b">
        <v>1</v>
      </c>
      <c r="H159">
        <f>Sensitivity!H7</f>
        <v/>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f>Sensitivity!H7</f>
        <v/>
      </c>
    </row>
    <row r="173">
      <c r="A173" t="inlineStr">
        <is>
          <t>ALL</t>
        </is>
      </c>
      <c r="B173" t="inlineStr">
        <is>
          <t>epic</t>
        </is>
      </c>
      <c r="C173" t="n">
        <v>2</v>
      </c>
      <c r="D173" t="inlineStr">
        <is>
          <t>Dex</t>
        </is>
      </c>
      <c r="E173" t="n">
        <v>200</v>
      </c>
      <c r="F173" t="n">
        <v>2.22</v>
      </c>
      <c r="G173" t="b">
        <v>1</v>
      </c>
      <c r="H173">
        <f>Sensitivity!H7</f>
        <v/>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IF(Inputs!$B$8&gt;=100,Sensitivity!H16,Sensitivity!H15)</f>
        <v/>
      </c>
    </row>
    <row r="179">
      <c r="A179" t="inlineStr">
        <is>
          <t>ALL</t>
        </is>
      </c>
      <c r="B179" t="inlineStr">
        <is>
          <t>epic</t>
        </is>
      </c>
      <c r="C179" t="n">
        <v>3</v>
      </c>
      <c r="D179" t="inlineStr">
        <is>
          <t>Critical Rate %</t>
        </is>
      </c>
      <c r="E179" t="n">
        <v>6</v>
      </c>
      <c r="F179" t="n">
        <v>0.2</v>
      </c>
      <c r="G179" t="b">
        <v>1</v>
      </c>
      <c r="H179">
        <f>IF(Inputs!$B$8&gt;=100,Sensitivity!H16,Sensitivity!H15)</f>
        <v/>
      </c>
    </row>
    <row r="180">
      <c r="A180" t="inlineStr">
        <is>
          <t>ALL</t>
        </is>
      </c>
      <c r="B180" t="inlineStr">
        <is>
          <t>epic</t>
        </is>
      </c>
      <c r="C180" t="n">
        <v>3</v>
      </c>
      <c r="D180" t="inlineStr">
        <is>
          <t>Attack Speed %</t>
        </is>
      </c>
      <c r="E180" t="n">
        <v>3.5</v>
      </c>
      <c r="F180" t="n">
        <v>2.3</v>
      </c>
      <c r="G180" t="b">
        <v>0</v>
      </c>
      <c r="H180">
        <f>Sensitivity!H17</f>
        <v/>
      </c>
    </row>
    <row r="181">
      <c r="A181" t="inlineStr">
        <is>
          <t>ALL</t>
        </is>
      </c>
      <c r="B181" t="inlineStr">
        <is>
          <t>epic</t>
        </is>
      </c>
      <c r="C181" t="n">
        <v>3</v>
      </c>
      <c r="D181" t="inlineStr">
        <is>
          <t>Attack Speed %</t>
        </is>
      </c>
      <c r="E181" t="n">
        <v>4</v>
      </c>
      <c r="F181" t="n">
        <v>0.2</v>
      </c>
      <c r="G181" t="b">
        <v>1</v>
      </c>
      <c r="H181">
        <f>Sensitivity!H17</f>
        <v/>
      </c>
    </row>
    <row r="182">
      <c r="A182" t="inlineStr">
        <is>
          <t>ALL</t>
        </is>
      </c>
      <c r="B182" t="inlineStr">
        <is>
          <t>epic</t>
        </is>
      </c>
      <c r="C182" t="n">
        <v>3</v>
      </c>
      <c r="D182" t="inlineStr">
        <is>
          <t>Damage %</t>
        </is>
      </c>
      <c r="E182" t="n">
        <v>8</v>
      </c>
      <c r="F182" t="n">
        <v>3.68</v>
      </c>
      <c r="G182" t="b">
        <v>0</v>
      </c>
      <c r="H182">
        <f>Sensitivity!H8</f>
        <v/>
      </c>
    </row>
    <row r="183">
      <c r="A183" t="inlineStr">
        <is>
          <t>ALL</t>
        </is>
      </c>
      <c r="B183" t="inlineStr">
        <is>
          <t>epic</t>
        </is>
      </c>
      <c r="C183" t="n">
        <v>3</v>
      </c>
      <c r="D183" t="inlineStr">
        <is>
          <t>Damage %</t>
        </is>
      </c>
      <c r="E183" t="n">
        <v>12</v>
      </c>
      <c r="F183" t="n">
        <v>0.32</v>
      </c>
      <c r="G183" t="b">
        <v>1</v>
      </c>
      <c r="H183">
        <f>Sensitivity!H8</f>
        <v/>
      </c>
    </row>
    <row r="184">
      <c r="A184" t="inlineStr">
        <is>
          <t>ALL</t>
        </is>
      </c>
      <c r="B184" t="inlineStr">
        <is>
          <t>epic</t>
        </is>
      </c>
      <c r="C184" t="n">
        <v>3</v>
      </c>
      <c r="D184" t="inlineStr">
        <is>
          <t>Min Damage Multiplier %</t>
        </is>
      </c>
      <c r="E184" t="n">
        <v>6</v>
      </c>
      <c r="F184" t="n">
        <v>3.68</v>
      </c>
      <c r="G184" t="b">
        <v>0</v>
      </c>
      <c r="H184">
        <f>Sensitivity!H13</f>
        <v/>
      </c>
    </row>
    <row r="185">
      <c r="A185" t="inlineStr">
        <is>
          <t>ALL</t>
        </is>
      </c>
      <c r="B185" t="inlineStr">
        <is>
          <t>epic</t>
        </is>
      </c>
      <c r="C185" t="n">
        <v>3</v>
      </c>
      <c r="D185" t="inlineStr">
        <is>
          <t>Min Damage Multiplier %</t>
        </is>
      </c>
      <c r="E185" t="n">
        <v>8</v>
      </c>
      <c r="F185" t="n">
        <v>0.32</v>
      </c>
      <c r="G185" t="b">
        <v>1</v>
      </c>
      <c r="H185">
        <f>Sensitivity!H13</f>
        <v/>
      </c>
    </row>
    <row r="186">
      <c r="A186" t="inlineStr">
        <is>
          <t>ALL</t>
        </is>
      </c>
      <c r="B186" t="inlineStr">
        <is>
          <t>epic</t>
        </is>
      </c>
      <c r="C186" t="n">
        <v>3</v>
      </c>
      <c r="D186" t="inlineStr">
        <is>
          <t>Max Damage Multiplier %</t>
        </is>
      </c>
      <c r="E186" t="n">
        <v>6</v>
      </c>
      <c r="F186" t="n">
        <v>3.68</v>
      </c>
      <c r="G186" t="b">
        <v>0</v>
      </c>
      <c r="H186">
        <f>Sensitivity!H14</f>
        <v/>
      </c>
    </row>
    <row r="187">
      <c r="A187" t="inlineStr">
        <is>
          <t>ALL</t>
        </is>
      </c>
      <c r="B187" t="inlineStr">
        <is>
          <t>epic</t>
        </is>
      </c>
      <c r="C187" t="n">
        <v>3</v>
      </c>
      <c r="D187" t="inlineStr">
        <is>
          <t>Max Damage Multiplier %</t>
        </is>
      </c>
      <c r="E187" t="n">
        <v>8</v>
      </c>
      <c r="F187" t="n">
        <v>0.32</v>
      </c>
      <c r="G187" t="b">
        <v>1</v>
      </c>
      <c r="H187">
        <f>Sensitivity!H14</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f>Sensitivity!H7</f>
        <v/>
      </c>
    </row>
    <row r="191">
      <c r="A191" t="inlineStr">
        <is>
          <t>ALL</t>
        </is>
      </c>
      <c r="B191" t="inlineStr">
        <is>
          <t>epic</t>
        </is>
      </c>
      <c r="C191" t="n">
        <v>3</v>
      </c>
      <c r="D191" t="inlineStr">
        <is>
          <t>Dex %</t>
        </is>
      </c>
      <c r="E191" t="n">
        <v>6</v>
      </c>
      <c r="F191" t="n">
        <v>0.36</v>
      </c>
      <c r="G191" t="b">
        <v>1</v>
      </c>
      <c r="H191">
        <f>Sensitivity!H7</f>
        <v/>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f>Sensitivity!H7</f>
        <v/>
      </c>
    </row>
    <row r="205">
      <c r="A205" t="inlineStr">
        <is>
          <t>ALL</t>
        </is>
      </c>
      <c r="B205" t="inlineStr">
        <is>
          <t>epic</t>
        </is>
      </c>
      <c r="C205" t="n">
        <v>3</v>
      </c>
      <c r="D205" t="inlineStr">
        <is>
          <t>Dex</t>
        </is>
      </c>
      <c r="E205" t="n">
        <v>200</v>
      </c>
      <c r="F205" t="n">
        <v>0.74</v>
      </c>
      <c r="G205" t="b">
        <v>1</v>
      </c>
      <c r="H205">
        <f>Sensitivity!H7</f>
        <v/>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IF(Inputs!$B$8&gt;=100,Sensitivity!H16,Sensitivity!H15)</f>
        <v/>
      </c>
    </row>
    <row r="211">
      <c r="A211" t="inlineStr">
        <is>
          <t>ALL</t>
        </is>
      </c>
      <c r="B211" t="inlineStr">
        <is>
          <t>unique</t>
        </is>
      </c>
      <c r="C211" t="n">
        <v>1</v>
      </c>
      <c r="D211" t="inlineStr">
        <is>
          <t>Attack Speed %</t>
        </is>
      </c>
      <c r="E211" t="n">
        <v>5</v>
      </c>
      <c r="F211" t="n">
        <v>2.5</v>
      </c>
      <c r="G211" t="b">
        <v>1</v>
      </c>
      <c r="H211">
        <f>Sensitivity!H17</f>
        <v/>
      </c>
    </row>
    <row r="212">
      <c r="A212" t="inlineStr">
        <is>
          <t>ALL</t>
        </is>
      </c>
      <c r="B212" t="inlineStr">
        <is>
          <t>unique</t>
        </is>
      </c>
      <c r="C212" t="n">
        <v>1</v>
      </c>
      <c r="D212" t="inlineStr">
        <is>
          <t>Damage %</t>
        </is>
      </c>
      <c r="E212" t="n">
        <v>18</v>
      </c>
      <c r="F212" t="n">
        <v>4</v>
      </c>
      <c r="G212" t="b">
        <v>1</v>
      </c>
      <c r="H212">
        <f>Sensitivity!H8</f>
        <v/>
      </c>
    </row>
    <row r="213">
      <c r="A213" t="inlineStr">
        <is>
          <t>ALL</t>
        </is>
      </c>
      <c r="B213" t="inlineStr">
        <is>
          <t>unique</t>
        </is>
      </c>
      <c r="C213" t="n">
        <v>1</v>
      </c>
      <c r="D213" t="inlineStr">
        <is>
          <t>Min Damage Multiplier %</t>
        </is>
      </c>
      <c r="E213" t="n">
        <v>10</v>
      </c>
      <c r="F213" t="n">
        <v>4</v>
      </c>
      <c r="G213" t="b">
        <v>1</v>
      </c>
      <c r="H213">
        <f>Sensitivity!H13</f>
        <v/>
      </c>
    </row>
    <row r="214">
      <c r="A214" t="inlineStr">
        <is>
          <t>ALL</t>
        </is>
      </c>
      <c r="B214" t="inlineStr">
        <is>
          <t>unique</t>
        </is>
      </c>
      <c r="C214" t="n">
        <v>1</v>
      </c>
      <c r="D214" t="inlineStr">
        <is>
          <t>Max Damage Multiplier %</t>
        </is>
      </c>
      <c r="E214" t="n">
        <v>10</v>
      </c>
      <c r="F214" t="n">
        <v>4</v>
      </c>
      <c r="G214" t="b">
        <v>1</v>
      </c>
      <c r="H214">
        <f>Sensitivity!H14</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f>Sensitivity!H7</f>
        <v/>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f>Sensitivity!H7</f>
        <v/>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IF(Inputs!$B$8&gt;=100,Sensitivity!H16,Sensitivity!H15)</f>
        <v/>
      </c>
    </row>
    <row r="227">
      <c r="A227" t="inlineStr">
        <is>
          <t>ALL</t>
        </is>
      </c>
      <c r="B227" t="inlineStr">
        <is>
          <t>unique</t>
        </is>
      </c>
      <c r="C227" t="n">
        <v>2</v>
      </c>
      <c r="D227" t="inlineStr">
        <is>
          <t>Critical Rate %</t>
        </is>
      </c>
      <c r="E227" t="n">
        <v>9</v>
      </c>
      <c r="F227" t="n">
        <v>0.6</v>
      </c>
      <c r="G227" t="b">
        <v>1</v>
      </c>
      <c r="H227">
        <f>IF(Inputs!$B$8&gt;=100,Sensitivity!H16,Sensitivity!H15)</f>
        <v/>
      </c>
    </row>
    <row r="228">
      <c r="A228" t="inlineStr">
        <is>
          <t>ALL</t>
        </is>
      </c>
      <c r="B228" t="inlineStr">
        <is>
          <t>unique</t>
        </is>
      </c>
      <c r="C228" t="n">
        <v>2</v>
      </c>
      <c r="D228" t="inlineStr">
        <is>
          <t>Attack Speed %</t>
        </is>
      </c>
      <c r="E228" t="n">
        <v>4</v>
      </c>
      <c r="F228" t="n">
        <v>1.9</v>
      </c>
      <c r="G228" t="b">
        <v>0</v>
      </c>
      <c r="H228">
        <f>Sensitivity!H17</f>
        <v/>
      </c>
    </row>
    <row r="229">
      <c r="A229" t="inlineStr">
        <is>
          <t>ALL</t>
        </is>
      </c>
      <c r="B229" t="inlineStr">
        <is>
          <t>unique</t>
        </is>
      </c>
      <c r="C229" t="n">
        <v>2</v>
      </c>
      <c r="D229" t="inlineStr">
        <is>
          <t>Attack Speed %</t>
        </is>
      </c>
      <c r="E229" t="n">
        <v>5</v>
      </c>
      <c r="F229" t="n">
        <v>0.6</v>
      </c>
      <c r="G229" t="b">
        <v>1</v>
      </c>
      <c r="H229">
        <f>Sensitivity!H17</f>
        <v/>
      </c>
    </row>
    <row r="230">
      <c r="A230" t="inlineStr">
        <is>
          <t>ALL</t>
        </is>
      </c>
      <c r="B230" t="inlineStr">
        <is>
          <t>unique</t>
        </is>
      </c>
      <c r="C230" t="n">
        <v>2</v>
      </c>
      <c r="D230" t="inlineStr">
        <is>
          <t>Damage %</t>
        </is>
      </c>
      <c r="E230" t="n">
        <v>12</v>
      </c>
      <c r="F230" t="n">
        <v>3.04</v>
      </c>
      <c r="G230" t="b">
        <v>0</v>
      </c>
      <c r="H230">
        <f>Sensitivity!H8</f>
        <v/>
      </c>
    </row>
    <row r="231">
      <c r="A231" t="inlineStr">
        <is>
          <t>ALL</t>
        </is>
      </c>
      <c r="B231" t="inlineStr">
        <is>
          <t>unique</t>
        </is>
      </c>
      <c r="C231" t="n">
        <v>2</v>
      </c>
      <c r="D231" t="inlineStr">
        <is>
          <t>Damage %</t>
        </is>
      </c>
      <c r="E231" t="n">
        <v>18</v>
      </c>
      <c r="F231" t="n">
        <v>0.96</v>
      </c>
      <c r="G231" t="b">
        <v>1</v>
      </c>
      <c r="H231">
        <f>Sensitivity!H8</f>
        <v/>
      </c>
    </row>
    <row r="232">
      <c r="A232" t="inlineStr">
        <is>
          <t>ALL</t>
        </is>
      </c>
      <c r="B232" t="inlineStr">
        <is>
          <t>unique</t>
        </is>
      </c>
      <c r="C232" t="n">
        <v>2</v>
      </c>
      <c r="D232" t="inlineStr">
        <is>
          <t>Min Damage Multiplier %</t>
        </is>
      </c>
      <c r="E232" t="n">
        <v>8</v>
      </c>
      <c r="F232" t="n">
        <v>3.04</v>
      </c>
      <c r="G232" t="b">
        <v>0</v>
      </c>
      <c r="H232">
        <f>Sensitivity!H13</f>
        <v/>
      </c>
    </row>
    <row r="233">
      <c r="A233" t="inlineStr">
        <is>
          <t>ALL</t>
        </is>
      </c>
      <c r="B233" t="inlineStr">
        <is>
          <t>unique</t>
        </is>
      </c>
      <c r="C233" t="n">
        <v>2</v>
      </c>
      <c r="D233" t="inlineStr">
        <is>
          <t>Min Damage Multiplier %</t>
        </is>
      </c>
      <c r="E233" t="n">
        <v>10</v>
      </c>
      <c r="F233" t="n">
        <v>0.96</v>
      </c>
      <c r="G233" t="b">
        <v>1</v>
      </c>
      <c r="H233">
        <f>Sensitivity!H13</f>
        <v/>
      </c>
    </row>
    <row r="234">
      <c r="A234" t="inlineStr">
        <is>
          <t>ALL</t>
        </is>
      </c>
      <c r="B234" t="inlineStr">
        <is>
          <t>unique</t>
        </is>
      </c>
      <c r="C234" t="n">
        <v>2</v>
      </c>
      <c r="D234" t="inlineStr">
        <is>
          <t>Max Damage Multiplier %</t>
        </is>
      </c>
      <c r="E234" t="n">
        <v>8</v>
      </c>
      <c r="F234" t="n">
        <v>3.04</v>
      </c>
      <c r="G234" t="b">
        <v>0</v>
      </c>
      <c r="H234">
        <f>Sensitivity!H14</f>
        <v/>
      </c>
    </row>
    <row r="235">
      <c r="A235" t="inlineStr">
        <is>
          <t>ALL</t>
        </is>
      </c>
      <c r="B235" t="inlineStr">
        <is>
          <t>unique</t>
        </is>
      </c>
      <c r="C235" t="n">
        <v>2</v>
      </c>
      <c r="D235" t="inlineStr">
        <is>
          <t>Max Damage Multiplier %</t>
        </is>
      </c>
      <c r="E235" t="n">
        <v>10</v>
      </c>
      <c r="F235" t="n">
        <v>0.96</v>
      </c>
      <c r="G235" t="b">
        <v>1</v>
      </c>
      <c r="H235">
        <f>Sensitivity!H14</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f>Sensitivity!H7</f>
        <v/>
      </c>
    </row>
    <row r="239">
      <c r="A239" t="inlineStr">
        <is>
          <t>ALL</t>
        </is>
      </c>
      <c r="B239" t="inlineStr">
        <is>
          <t>unique</t>
        </is>
      </c>
      <c r="C239" t="n">
        <v>2</v>
      </c>
      <c r="D239" t="inlineStr">
        <is>
          <t>Dex %</t>
        </is>
      </c>
      <c r="E239" t="n">
        <v>9</v>
      </c>
      <c r="F239" t="n">
        <v>1.08</v>
      </c>
      <c r="G239" t="b">
        <v>1</v>
      </c>
      <c r="H239">
        <f>Sensitivity!H7</f>
        <v/>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f>Sensitivity!H7</f>
        <v/>
      </c>
    </row>
    <row r="253">
      <c r="A253" t="inlineStr">
        <is>
          <t>ALL</t>
        </is>
      </c>
      <c r="B253" t="inlineStr">
        <is>
          <t>unique</t>
        </is>
      </c>
      <c r="C253" t="n">
        <v>2</v>
      </c>
      <c r="D253" t="inlineStr">
        <is>
          <t>Dex</t>
        </is>
      </c>
      <c r="E253" t="n">
        <v>400</v>
      </c>
      <c r="F253" t="n">
        <v>2.22</v>
      </c>
      <c r="G253" t="b">
        <v>1</v>
      </c>
      <c r="H253">
        <f>Sensitivity!H7</f>
        <v/>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IF(Inputs!$B$8&gt;=100,Sensitivity!H16,Sensitivity!H15)</f>
        <v/>
      </c>
    </row>
    <row r="259">
      <c r="A259" t="inlineStr">
        <is>
          <t>ALL</t>
        </is>
      </c>
      <c r="B259" t="inlineStr">
        <is>
          <t>unique</t>
        </is>
      </c>
      <c r="C259" t="n">
        <v>3</v>
      </c>
      <c r="D259" t="inlineStr">
        <is>
          <t>Critical Rate %</t>
        </is>
      </c>
      <c r="E259" t="n">
        <v>9</v>
      </c>
      <c r="F259" t="n">
        <v>0.2</v>
      </c>
      <c r="G259" t="b">
        <v>1</v>
      </c>
      <c r="H259">
        <f>IF(Inputs!$B$8&gt;=100,Sensitivity!H16,Sensitivity!H15)</f>
        <v/>
      </c>
    </row>
    <row r="260">
      <c r="A260" t="inlineStr">
        <is>
          <t>ALL</t>
        </is>
      </c>
      <c r="B260" t="inlineStr">
        <is>
          <t>unique</t>
        </is>
      </c>
      <c r="C260" t="n">
        <v>3</v>
      </c>
      <c r="D260" t="inlineStr">
        <is>
          <t>Attack Speed %</t>
        </is>
      </c>
      <c r="E260" t="n">
        <v>4</v>
      </c>
      <c r="F260" t="n">
        <v>2.3</v>
      </c>
      <c r="G260" t="b">
        <v>0</v>
      </c>
      <c r="H260">
        <f>Sensitivity!H17</f>
        <v/>
      </c>
    </row>
    <row r="261">
      <c r="A261" t="inlineStr">
        <is>
          <t>ALL</t>
        </is>
      </c>
      <c r="B261" t="inlineStr">
        <is>
          <t>unique</t>
        </is>
      </c>
      <c r="C261" t="n">
        <v>3</v>
      </c>
      <c r="D261" t="inlineStr">
        <is>
          <t>Attack Speed %</t>
        </is>
      </c>
      <c r="E261" t="n">
        <v>5</v>
      </c>
      <c r="F261" t="n">
        <v>0.2</v>
      </c>
      <c r="G261" t="b">
        <v>1</v>
      </c>
      <c r="H261">
        <f>Sensitivity!H17</f>
        <v/>
      </c>
    </row>
    <row r="262">
      <c r="A262" t="inlineStr">
        <is>
          <t>ALL</t>
        </is>
      </c>
      <c r="B262" t="inlineStr">
        <is>
          <t>unique</t>
        </is>
      </c>
      <c r="C262" t="n">
        <v>3</v>
      </c>
      <c r="D262" t="inlineStr">
        <is>
          <t>Damage %</t>
        </is>
      </c>
      <c r="E262" t="n">
        <v>12</v>
      </c>
      <c r="F262" t="n">
        <v>3.68</v>
      </c>
      <c r="G262" t="b">
        <v>0</v>
      </c>
      <c r="H262">
        <f>Sensitivity!H8</f>
        <v/>
      </c>
    </row>
    <row r="263">
      <c r="A263" t="inlineStr">
        <is>
          <t>ALL</t>
        </is>
      </c>
      <c r="B263" t="inlineStr">
        <is>
          <t>unique</t>
        </is>
      </c>
      <c r="C263" t="n">
        <v>3</v>
      </c>
      <c r="D263" t="inlineStr">
        <is>
          <t>Damage %</t>
        </is>
      </c>
      <c r="E263" t="n">
        <v>18</v>
      </c>
      <c r="F263" t="n">
        <v>0.32</v>
      </c>
      <c r="G263" t="b">
        <v>1</v>
      </c>
      <c r="H263">
        <f>Sensitivity!H8</f>
        <v/>
      </c>
    </row>
    <row r="264">
      <c r="A264" t="inlineStr">
        <is>
          <t>ALL</t>
        </is>
      </c>
      <c r="B264" t="inlineStr">
        <is>
          <t>unique</t>
        </is>
      </c>
      <c r="C264" t="n">
        <v>3</v>
      </c>
      <c r="D264" t="inlineStr">
        <is>
          <t>Min Damage Multiplier %</t>
        </is>
      </c>
      <c r="E264" t="n">
        <v>8</v>
      </c>
      <c r="F264" t="n">
        <v>3.68</v>
      </c>
      <c r="G264" t="b">
        <v>0</v>
      </c>
      <c r="H264">
        <f>Sensitivity!H13</f>
        <v/>
      </c>
    </row>
    <row r="265">
      <c r="A265" t="inlineStr">
        <is>
          <t>ALL</t>
        </is>
      </c>
      <c r="B265" t="inlineStr">
        <is>
          <t>unique</t>
        </is>
      </c>
      <c r="C265" t="n">
        <v>3</v>
      </c>
      <c r="D265" t="inlineStr">
        <is>
          <t>Min Damage Multiplier %</t>
        </is>
      </c>
      <c r="E265" t="n">
        <v>10</v>
      </c>
      <c r="F265" t="n">
        <v>0.32</v>
      </c>
      <c r="G265" t="b">
        <v>1</v>
      </c>
      <c r="H265">
        <f>Sensitivity!H13</f>
        <v/>
      </c>
    </row>
    <row r="266">
      <c r="A266" t="inlineStr">
        <is>
          <t>ALL</t>
        </is>
      </c>
      <c r="B266" t="inlineStr">
        <is>
          <t>unique</t>
        </is>
      </c>
      <c r="C266" t="n">
        <v>3</v>
      </c>
      <c r="D266" t="inlineStr">
        <is>
          <t>Max Damage Multiplier %</t>
        </is>
      </c>
      <c r="E266" t="n">
        <v>8</v>
      </c>
      <c r="F266" t="n">
        <v>3.68</v>
      </c>
      <c r="G266" t="b">
        <v>0</v>
      </c>
      <c r="H266">
        <f>Sensitivity!H14</f>
        <v/>
      </c>
    </row>
    <row r="267">
      <c r="A267" t="inlineStr">
        <is>
          <t>ALL</t>
        </is>
      </c>
      <c r="B267" t="inlineStr">
        <is>
          <t>unique</t>
        </is>
      </c>
      <c r="C267" t="n">
        <v>3</v>
      </c>
      <c r="D267" t="inlineStr">
        <is>
          <t>Max Damage Multiplier %</t>
        </is>
      </c>
      <c r="E267" t="n">
        <v>10</v>
      </c>
      <c r="F267" t="n">
        <v>0.32</v>
      </c>
      <c r="G267" t="b">
        <v>1</v>
      </c>
      <c r="H267">
        <f>Sensitivity!H14</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f>Sensitivity!H7</f>
        <v/>
      </c>
    </row>
    <row r="271">
      <c r="A271" t="inlineStr">
        <is>
          <t>ALL</t>
        </is>
      </c>
      <c r="B271" t="inlineStr">
        <is>
          <t>unique</t>
        </is>
      </c>
      <c r="C271" t="n">
        <v>3</v>
      </c>
      <c r="D271" t="inlineStr">
        <is>
          <t>Dex %</t>
        </is>
      </c>
      <c r="E271" t="n">
        <v>9</v>
      </c>
      <c r="F271" t="n">
        <v>0.36</v>
      </c>
      <c r="G271" t="b">
        <v>1</v>
      </c>
      <c r="H271">
        <f>Sensitivity!H7</f>
        <v/>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f>Sensitivity!H7</f>
        <v/>
      </c>
    </row>
    <row r="285">
      <c r="A285" t="inlineStr">
        <is>
          <t>ALL</t>
        </is>
      </c>
      <c r="B285" t="inlineStr">
        <is>
          <t>unique</t>
        </is>
      </c>
      <c r="C285" t="n">
        <v>3</v>
      </c>
      <c r="D285" t="inlineStr">
        <is>
          <t>Dex</t>
        </is>
      </c>
      <c r="E285" t="n">
        <v>400</v>
      </c>
      <c r="F285" t="n">
        <v>0.74</v>
      </c>
      <c r="G285" t="b">
        <v>1</v>
      </c>
      <c r="H285">
        <f>Sensitivity!H7</f>
        <v/>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IF(Inputs!$B$8&gt;=100,Sensitivity!H16,Sensitivity!H15)</f>
        <v/>
      </c>
    </row>
    <row r="291">
      <c r="A291" t="inlineStr">
        <is>
          <t>ALL</t>
        </is>
      </c>
      <c r="B291" t="inlineStr">
        <is>
          <t>legendary</t>
        </is>
      </c>
      <c r="C291" t="n">
        <v>1</v>
      </c>
      <c r="D291" t="inlineStr">
        <is>
          <t>Attack Speed %</t>
        </is>
      </c>
      <c r="E291" t="n">
        <v>7</v>
      </c>
      <c r="F291" t="n">
        <v>2.5</v>
      </c>
      <c r="G291" t="b">
        <v>0</v>
      </c>
      <c r="H291">
        <f>Sensitivity!H17</f>
        <v/>
      </c>
    </row>
    <row r="292">
      <c r="A292" t="inlineStr">
        <is>
          <t>ALL</t>
        </is>
      </c>
      <c r="B292" t="inlineStr">
        <is>
          <t>legendary</t>
        </is>
      </c>
      <c r="C292" t="n">
        <v>1</v>
      </c>
      <c r="D292" t="inlineStr">
        <is>
          <t>Damage %</t>
        </is>
      </c>
      <c r="E292" t="n">
        <v>25</v>
      </c>
      <c r="F292" t="n">
        <v>4</v>
      </c>
      <c r="G292" t="b">
        <v>0</v>
      </c>
      <c r="H292">
        <f>Sensitivity!H8</f>
        <v/>
      </c>
    </row>
    <row r="293">
      <c r="A293" t="inlineStr">
        <is>
          <t>ALL</t>
        </is>
      </c>
      <c r="B293" t="inlineStr">
        <is>
          <t>legendary</t>
        </is>
      </c>
      <c r="C293" t="n">
        <v>1</v>
      </c>
      <c r="D293" t="inlineStr">
        <is>
          <t>Min Damage Multiplier %</t>
        </is>
      </c>
      <c r="E293" t="n">
        <v>15</v>
      </c>
      <c r="F293" t="n">
        <v>4</v>
      </c>
      <c r="G293" t="b">
        <v>0</v>
      </c>
      <c r="H293">
        <f>Sensitivity!H13</f>
        <v/>
      </c>
    </row>
    <row r="294">
      <c r="A294" t="inlineStr">
        <is>
          <t>ALL</t>
        </is>
      </c>
      <c r="B294" t="inlineStr">
        <is>
          <t>legendary</t>
        </is>
      </c>
      <c r="C294" t="n">
        <v>1</v>
      </c>
      <c r="D294" t="inlineStr">
        <is>
          <t>Max Damage Multiplier %</t>
        </is>
      </c>
      <c r="E294" t="n">
        <v>15</v>
      </c>
      <c r="F294" t="n">
        <v>4</v>
      </c>
      <c r="G294" t="b">
        <v>0</v>
      </c>
      <c r="H294">
        <f>Sensitivity!H14</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f>Sensitivity!H7</f>
        <v/>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f>Sensitivity!H7</f>
        <v/>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IF(Inputs!$B$8&gt;=100,Sensitivity!H16,Sensitivity!H15)</f>
        <v/>
      </c>
    </row>
    <row r="307">
      <c r="A307" t="inlineStr">
        <is>
          <t>ALL</t>
        </is>
      </c>
      <c r="B307" t="inlineStr">
        <is>
          <t>legendary</t>
        </is>
      </c>
      <c r="C307" t="n">
        <v>2</v>
      </c>
      <c r="D307" t="inlineStr">
        <is>
          <t>Critical Rate %</t>
        </is>
      </c>
      <c r="E307" t="n">
        <v>12</v>
      </c>
      <c r="F307" t="n">
        <v>0.6</v>
      </c>
      <c r="G307" t="b">
        <v>1</v>
      </c>
      <c r="H307">
        <f>IF(Inputs!$B$8&gt;=100,Sensitivity!H16,Sensitivity!H15)</f>
        <v/>
      </c>
    </row>
    <row r="308">
      <c r="A308" t="inlineStr">
        <is>
          <t>ALL</t>
        </is>
      </c>
      <c r="B308" t="inlineStr">
        <is>
          <t>legendary</t>
        </is>
      </c>
      <c r="C308" t="n">
        <v>2</v>
      </c>
      <c r="D308" t="inlineStr">
        <is>
          <t>Attack Speed %</t>
        </is>
      </c>
      <c r="E308" t="n">
        <v>5</v>
      </c>
      <c r="F308" t="n">
        <v>1.9</v>
      </c>
      <c r="G308" t="b">
        <v>0</v>
      </c>
      <c r="H308">
        <f>Sensitivity!H17</f>
        <v/>
      </c>
    </row>
    <row r="309">
      <c r="A309" t="inlineStr">
        <is>
          <t>ALL</t>
        </is>
      </c>
      <c r="B309" t="inlineStr">
        <is>
          <t>legendary</t>
        </is>
      </c>
      <c r="C309" t="n">
        <v>2</v>
      </c>
      <c r="D309" t="inlineStr">
        <is>
          <t>Attack Speed %</t>
        </is>
      </c>
      <c r="E309" t="n">
        <v>7</v>
      </c>
      <c r="F309" t="n">
        <v>0.6</v>
      </c>
      <c r="G309" t="b">
        <v>1</v>
      </c>
      <c r="H309">
        <f>Sensitivity!H17</f>
        <v/>
      </c>
    </row>
    <row r="310">
      <c r="A310" t="inlineStr">
        <is>
          <t>ALL</t>
        </is>
      </c>
      <c r="B310" t="inlineStr">
        <is>
          <t>legendary</t>
        </is>
      </c>
      <c r="C310" t="n">
        <v>2</v>
      </c>
      <c r="D310" t="inlineStr">
        <is>
          <t>Damage %</t>
        </is>
      </c>
      <c r="E310" t="n">
        <v>18</v>
      </c>
      <c r="F310" t="n">
        <v>3.04</v>
      </c>
      <c r="G310" t="b">
        <v>0</v>
      </c>
      <c r="H310">
        <f>Sensitivity!H8</f>
        <v/>
      </c>
    </row>
    <row r="311">
      <c r="A311" t="inlineStr">
        <is>
          <t>ALL</t>
        </is>
      </c>
      <c r="B311" t="inlineStr">
        <is>
          <t>legendary</t>
        </is>
      </c>
      <c r="C311" t="n">
        <v>2</v>
      </c>
      <c r="D311" t="inlineStr">
        <is>
          <t>Damage %</t>
        </is>
      </c>
      <c r="E311" t="n">
        <v>25</v>
      </c>
      <c r="F311" t="n">
        <v>0.96</v>
      </c>
      <c r="G311" t="b">
        <v>1</v>
      </c>
      <c r="H311">
        <f>Sensitivity!H8</f>
        <v/>
      </c>
    </row>
    <row r="312">
      <c r="A312" t="inlineStr">
        <is>
          <t>ALL</t>
        </is>
      </c>
      <c r="B312" t="inlineStr">
        <is>
          <t>legendary</t>
        </is>
      </c>
      <c r="C312" t="n">
        <v>2</v>
      </c>
      <c r="D312" t="inlineStr">
        <is>
          <t>Min Damage Multiplier %</t>
        </is>
      </c>
      <c r="E312" t="n">
        <v>10</v>
      </c>
      <c r="F312" t="n">
        <v>3.04</v>
      </c>
      <c r="G312" t="b">
        <v>0</v>
      </c>
      <c r="H312">
        <f>Sensitivity!H13</f>
        <v/>
      </c>
    </row>
    <row r="313">
      <c r="A313" t="inlineStr">
        <is>
          <t>ALL</t>
        </is>
      </c>
      <c r="B313" t="inlineStr">
        <is>
          <t>legendary</t>
        </is>
      </c>
      <c r="C313" t="n">
        <v>2</v>
      </c>
      <c r="D313" t="inlineStr">
        <is>
          <t>Min Damage Multiplier %</t>
        </is>
      </c>
      <c r="E313" t="n">
        <v>15</v>
      </c>
      <c r="F313" t="n">
        <v>0.96</v>
      </c>
      <c r="G313" t="b">
        <v>1</v>
      </c>
      <c r="H313">
        <f>Sensitivity!H13</f>
        <v/>
      </c>
    </row>
    <row r="314">
      <c r="A314" t="inlineStr">
        <is>
          <t>ALL</t>
        </is>
      </c>
      <c r="B314" t="inlineStr">
        <is>
          <t>legendary</t>
        </is>
      </c>
      <c r="C314" t="n">
        <v>2</v>
      </c>
      <c r="D314" t="inlineStr">
        <is>
          <t>Max Damage Multiplier %</t>
        </is>
      </c>
      <c r="E314" t="n">
        <v>10</v>
      </c>
      <c r="F314" t="n">
        <v>3.04</v>
      </c>
      <c r="G314" t="b">
        <v>0</v>
      </c>
      <c r="H314">
        <f>Sensitivity!H14</f>
        <v/>
      </c>
    </row>
    <row r="315">
      <c r="A315" t="inlineStr">
        <is>
          <t>ALL</t>
        </is>
      </c>
      <c r="B315" t="inlineStr">
        <is>
          <t>legendary</t>
        </is>
      </c>
      <c r="C315" t="n">
        <v>2</v>
      </c>
      <c r="D315" t="inlineStr">
        <is>
          <t>Max Damage Multiplier %</t>
        </is>
      </c>
      <c r="E315" t="n">
        <v>15</v>
      </c>
      <c r="F315" t="n">
        <v>0.96</v>
      </c>
      <c r="G315" t="b">
        <v>1</v>
      </c>
      <c r="H315">
        <f>Sensitivity!H14</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f>Sensitivity!H7</f>
        <v/>
      </c>
    </row>
    <row r="319">
      <c r="A319" t="inlineStr">
        <is>
          <t>ALL</t>
        </is>
      </c>
      <c r="B319" t="inlineStr">
        <is>
          <t>legendary</t>
        </is>
      </c>
      <c r="C319" t="n">
        <v>2</v>
      </c>
      <c r="D319" t="inlineStr">
        <is>
          <t>Dex %</t>
        </is>
      </c>
      <c r="E319" t="n">
        <v>12</v>
      </c>
      <c r="F319" t="n">
        <v>1.08</v>
      </c>
      <c r="G319" t="b">
        <v>1</v>
      </c>
      <c r="H319">
        <f>Sensitivity!H7</f>
        <v/>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f>Sensitivity!H7</f>
        <v/>
      </c>
    </row>
    <row r="333">
      <c r="A333" t="inlineStr">
        <is>
          <t>ALL</t>
        </is>
      </c>
      <c r="B333" t="inlineStr">
        <is>
          <t>legendary</t>
        </is>
      </c>
      <c r="C333" t="n">
        <v>2</v>
      </c>
      <c r="D333" t="inlineStr">
        <is>
          <t>Dex</t>
        </is>
      </c>
      <c r="E333" t="n">
        <v>600</v>
      </c>
      <c r="F333" t="n">
        <v>2.22</v>
      </c>
      <c r="G333" t="b">
        <v>1</v>
      </c>
      <c r="H333">
        <f>Sensitivity!H7</f>
        <v/>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IF(Inputs!$B$8&gt;=100,Sensitivity!H16,Sensitivity!H15)</f>
        <v/>
      </c>
    </row>
    <row r="339">
      <c r="A339" t="inlineStr">
        <is>
          <t>ALL</t>
        </is>
      </c>
      <c r="B339" t="inlineStr">
        <is>
          <t>legendary</t>
        </is>
      </c>
      <c r="C339" t="n">
        <v>3</v>
      </c>
      <c r="D339" t="inlineStr">
        <is>
          <t>Critical Rate %</t>
        </is>
      </c>
      <c r="E339" t="n">
        <v>12</v>
      </c>
      <c r="F339" t="n">
        <v>0.2</v>
      </c>
      <c r="G339" t="b">
        <v>1</v>
      </c>
      <c r="H339">
        <f>IF(Inputs!$B$8&gt;=100,Sensitivity!H16,Sensitivity!H15)</f>
        <v/>
      </c>
    </row>
    <row r="340">
      <c r="A340" t="inlineStr">
        <is>
          <t>ALL</t>
        </is>
      </c>
      <c r="B340" t="inlineStr">
        <is>
          <t>legendary</t>
        </is>
      </c>
      <c r="C340" t="n">
        <v>3</v>
      </c>
      <c r="D340" t="inlineStr">
        <is>
          <t>Attack Speed %</t>
        </is>
      </c>
      <c r="E340" t="n">
        <v>5</v>
      </c>
      <c r="F340" t="n">
        <v>2.3</v>
      </c>
      <c r="G340" t="b">
        <v>0</v>
      </c>
      <c r="H340">
        <f>Sensitivity!H17</f>
        <v/>
      </c>
    </row>
    <row r="341">
      <c r="A341" t="inlineStr">
        <is>
          <t>ALL</t>
        </is>
      </c>
      <c r="B341" t="inlineStr">
        <is>
          <t>legendary</t>
        </is>
      </c>
      <c r="C341" t="n">
        <v>3</v>
      </c>
      <c r="D341" t="inlineStr">
        <is>
          <t>Attack Speed %</t>
        </is>
      </c>
      <c r="E341" t="n">
        <v>7</v>
      </c>
      <c r="F341" t="n">
        <v>0.2</v>
      </c>
      <c r="G341" t="b">
        <v>1</v>
      </c>
      <c r="H341">
        <f>Sensitivity!H17</f>
        <v/>
      </c>
    </row>
    <row r="342">
      <c r="A342" t="inlineStr">
        <is>
          <t>ALL</t>
        </is>
      </c>
      <c r="B342" t="inlineStr">
        <is>
          <t>legendary</t>
        </is>
      </c>
      <c r="C342" t="n">
        <v>3</v>
      </c>
      <c r="D342" t="inlineStr">
        <is>
          <t>Damage %</t>
        </is>
      </c>
      <c r="E342" t="n">
        <v>18</v>
      </c>
      <c r="F342" t="n">
        <v>3.68</v>
      </c>
      <c r="G342" t="b">
        <v>0</v>
      </c>
      <c r="H342">
        <f>Sensitivity!H8</f>
        <v/>
      </c>
    </row>
    <row r="343">
      <c r="A343" t="inlineStr">
        <is>
          <t>ALL</t>
        </is>
      </c>
      <c r="B343" t="inlineStr">
        <is>
          <t>legendary</t>
        </is>
      </c>
      <c r="C343" t="n">
        <v>3</v>
      </c>
      <c r="D343" t="inlineStr">
        <is>
          <t>Damage %</t>
        </is>
      </c>
      <c r="E343" t="n">
        <v>25</v>
      </c>
      <c r="F343" t="n">
        <v>0.32</v>
      </c>
      <c r="G343" t="b">
        <v>1</v>
      </c>
      <c r="H343">
        <f>Sensitivity!H8</f>
        <v/>
      </c>
    </row>
    <row r="344">
      <c r="A344" t="inlineStr">
        <is>
          <t>ALL</t>
        </is>
      </c>
      <c r="B344" t="inlineStr">
        <is>
          <t>legendary</t>
        </is>
      </c>
      <c r="C344" t="n">
        <v>3</v>
      </c>
      <c r="D344" t="inlineStr">
        <is>
          <t>Min Damage Multiplier %</t>
        </is>
      </c>
      <c r="E344" t="n">
        <v>10</v>
      </c>
      <c r="F344" t="n">
        <v>3.68</v>
      </c>
      <c r="G344" t="b">
        <v>0</v>
      </c>
      <c r="H344">
        <f>Sensitivity!H13</f>
        <v/>
      </c>
    </row>
    <row r="345">
      <c r="A345" t="inlineStr">
        <is>
          <t>ALL</t>
        </is>
      </c>
      <c r="B345" t="inlineStr">
        <is>
          <t>legendary</t>
        </is>
      </c>
      <c r="C345" t="n">
        <v>3</v>
      </c>
      <c r="D345" t="inlineStr">
        <is>
          <t>Min Damage Multiplier %</t>
        </is>
      </c>
      <c r="E345" t="n">
        <v>15</v>
      </c>
      <c r="F345" t="n">
        <v>0.32</v>
      </c>
      <c r="G345" t="b">
        <v>1</v>
      </c>
      <c r="H345">
        <f>Sensitivity!H13</f>
        <v/>
      </c>
    </row>
    <row r="346">
      <c r="A346" t="inlineStr">
        <is>
          <t>ALL</t>
        </is>
      </c>
      <c r="B346" t="inlineStr">
        <is>
          <t>legendary</t>
        </is>
      </c>
      <c r="C346" t="n">
        <v>3</v>
      </c>
      <c r="D346" t="inlineStr">
        <is>
          <t>Max Damage Multiplier %</t>
        </is>
      </c>
      <c r="E346" t="n">
        <v>10</v>
      </c>
      <c r="F346" t="n">
        <v>3.68</v>
      </c>
      <c r="G346" t="b">
        <v>0</v>
      </c>
      <c r="H346">
        <f>Sensitivity!H14</f>
        <v/>
      </c>
    </row>
    <row r="347">
      <c r="A347" t="inlineStr">
        <is>
          <t>ALL</t>
        </is>
      </c>
      <c r="B347" t="inlineStr">
        <is>
          <t>legendary</t>
        </is>
      </c>
      <c r="C347" t="n">
        <v>3</v>
      </c>
      <c r="D347" t="inlineStr">
        <is>
          <t>Max Damage Multiplier %</t>
        </is>
      </c>
      <c r="E347" t="n">
        <v>15</v>
      </c>
      <c r="F347" t="n">
        <v>0.32</v>
      </c>
      <c r="G347" t="b">
        <v>1</v>
      </c>
      <c r="H347">
        <f>Sensitivity!H14</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f>Sensitivity!H7</f>
        <v/>
      </c>
    </row>
    <row r="351">
      <c r="A351" t="inlineStr">
        <is>
          <t>ALL</t>
        </is>
      </c>
      <c r="B351" t="inlineStr">
        <is>
          <t>legendary</t>
        </is>
      </c>
      <c r="C351" t="n">
        <v>3</v>
      </c>
      <c r="D351" t="inlineStr">
        <is>
          <t>Dex %</t>
        </is>
      </c>
      <c r="E351" t="n">
        <v>12</v>
      </c>
      <c r="F351" t="n">
        <v>0.36</v>
      </c>
      <c r="G351" t="b">
        <v>1</v>
      </c>
      <c r="H351">
        <f>Sensitivity!H7</f>
        <v/>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f>Sensitivity!H7</f>
        <v/>
      </c>
    </row>
    <row r="365">
      <c r="A365" t="inlineStr">
        <is>
          <t>ALL</t>
        </is>
      </c>
      <c r="B365" t="inlineStr">
        <is>
          <t>legendary</t>
        </is>
      </c>
      <c r="C365" t="n">
        <v>3</v>
      </c>
      <c r="D365" t="inlineStr">
        <is>
          <t>Dex</t>
        </is>
      </c>
      <c r="E365" t="n">
        <v>600</v>
      </c>
      <c r="F365" t="n">
        <v>0.74</v>
      </c>
      <c r="G365" t="b">
        <v>1</v>
      </c>
      <c r="H365">
        <f>Sensitivity!H7</f>
        <v/>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IF(Inputs!$B$8&gt;=100,Sensitivity!H16,Sensitivity!H15)</f>
        <v/>
      </c>
    </row>
    <row r="371">
      <c r="A371" t="inlineStr">
        <is>
          <t>ALL</t>
        </is>
      </c>
      <c r="B371" t="inlineStr">
        <is>
          <t>mystic</t>
        </is>
      </c>
      <c r="C371" t="n">
        <v>1</v>
      </c>
      <c r="D371" t="inlineStr">
        <is>
          <t>Attack Speed %</t>
        </is>
      </c>
      <c r="E371" t="n">
        <v>10</v>
      </c>
      <c r="F371" t="n">
        <v>2.5</v>
      </c>
      <c r="G371" t="b">
        <v>0</v>
      </c>
      <c r="H371">
        <f>Sensitivity!H17</f>
        <v/>
      </c>
    </row>
    <row r="372">
      <c r="A372" t="inlineStr">
        <is>
          <t>ALL</t>
        </is>
      </c>
      <c r="B372" t="inlineStr">
        <is>
          <t>mystic</t>
        </is>
      </c>
      <c r="C372" t="n">
        <v>1</v>
      </c>
      <c r="D372" t="inlineStr">
        <is>
          <t>Damage %</t>
        </is>
      </c>
      <c r="E372" t="n">
        <v>35</v>
      </c>
      <c r="F372" t="n">
        <v>4</v>
      </c>
      <c r="G372" t="b">
        <v>0</v>
      </c>
      <c r="H372">
        <f>Sensitivity!H8</f>
        <v/>
      </c>
    </row>
    <row r="373">
      <c r="A373" t="inlineStr">
        <is>
          <t>ALL</t>
        </is>
      </c>
      <c r="B373" t="inlineStr">
        <is>
          <t>mystic</t>
        </is>
      </c>
      <c r="C373" t="n">
        <v>1</v>
      </c>
      <c r="D373" t="inlineStr">
        <is>
          <t>Min Damage Multiplier %</t>
        </is>
      </c>
      <c r="E373" t="n">
        <v>25</v>
      </c>
      <c r="F373" t="n">
        <v>4</v>
      </c>
      <c r="G373" t="b">
        <v>0</v>
      </c>
      <c r="H373">
        <f>Sensitivity!H13</f>
        <v/>
      </c>
    </row>
    <row r="374">
      <c r="A374" t="inlineStr">
        <is>
          <t>ALL</t>
        </is>
      </c>
      <c r="B374" t="inlineStr">
        <is>
          <t>mystic</t>
        </is>
      </c>
      <c r="C374" t="n">
        <v>1</v>
      </c>
      <c r="D374" t="inlineStr">
        <is>
          <t>Max Damage Multiplier %</t>
        </is>
      </c>
      <c r="E374" t="n">
        <v>25</v>
      </c>
      <c r="F374" t="n">
        <v>4</v>
      </c>
      <c r="G374" t="b">
        <v>0</v>
      </c>
      <c r="H374">
        <f>Sensitivity!H14</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f>Sensitivity!H7</f>
        <v/>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f>Sensitivity!H7</f>
        <v/>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IF(Inputs!$B$8&gt;=100,Sensitivity!H16,Sensitivity!H15)</f>
        <v/>
      </c>
    </row>
    <row r="387">
      <c r="A387" t="inlineStr">
        <is>
          <t>ALL</t>
        </is>
      </c>
      <c r="B387" t="inlineStr">
        <is>
          <t>mystic</t>
        </is>
      </c>
      <c r="C387" t="n">
        <v>2</v>
      </c>
      <c r="D387" t="inlineStr">
        <is>
          <t>Critical Rate %</t>
        </is>
      </c>
      <c r="E387" t="n">
        <v>15</v>
      </c>
      <c r="F387" t="n">
        <v>0.6</v>
      </c>
      <c r="G387" t="b">
        <v>1</v>
      </c>
      <c r="H387">
        <f>IF(Inputs!$B$8&gt;=100,Sensitivity!H16,Sensitivity!H15)</f>
        <v/>
      </c>
    </row>
    <row r="388">
      <c r="A388" t="inlineStr">
        <is>
          <t>ALL</t>
        </is>
      </c>
      <c r="B388" t="inlineStr">
        <is>
          <t>mystic</t>
        </is>
      </c>
      <c r="C388" t="n">
        <v>2</v>
      </c>
      <c r="D388" t="inlineStr">
        <is>
          <t>Attack Speed %</t>
        </is>
      </c>
      <c r="E388" t="n">
        <v>7</v>
      </c>
      <c r="F388" t="n">
        <v>1.9</v>
      </c>
      <c r="G388" t="b">
        <v>0</v>
      </c>
      <c r="H388">
        <f>Sensitivity!H17</f>
        <v/>
      </c>
    </row>
    <row r="389">
      <c r="A389" t="inlineStr">
        <is>
          <t>ALL</t>
        </is>
      </c>
      <c r="B389" t="inlineStr">
        <is>
          <t>mystic</t>
        </is>
      </c>
      <c r="C389" t="n">
        <v>2</v>
      </c>
      <c r="D389" t="inlineStr">
        <is>
          <t>Attack Speed %</t>
        </is>
      </c>
      <c r="E389" t="n">
        <v>10</v>
      </c>
      <c r="F389" t="n">
        <v>0.6</v>
      </c>
      <c r="G389" t="b">
        <v>1</v>
      </c>
      <c r="H389">
        <f>Sensitivity!H17</f>
        <v/>
      </c>
    </row>
    <row r="390">
      <c r="A390" t="inlineStr">
        <is>
          <t>ALL</t>
        </is>
      </c>
      <c r="B390" t="inlineStr">
        <is>
          <t>mystic</t>
        </is>
      </c>
      <c r="C390" t="n">
        <v>2</v>
      </c>
      <c r="D390" t="inlineStr">
        <is>
          <t>Damage %</t>
        </is>
      </c>
      <c r="E390" t="n">
        <v>25</v>
      </c>
      <c r="F390" t="n">
        <v>3.04</v>
      </c>
      <c r="G390" t="b">
        <v>0</v>
      </c>
      <c r="H390">
        <f>Sensitivity!H8</f>
        <v/>
      </c>
    </row>
    <row r="391">
      <c r="A391" t="inlineStr">
        <is>
          <t>ALL</t>
        </is>
      </c>
      <c r="B391" t="inlineStr">
        <is>
          <t>mystic</t>
        </is>
      </c>
      <c r="C391" t="n">
        <v>2</v>
      </c>
      <c r="D391" t="inlineStr">
        <is>
          <t>Damage %</t>
        </is>
      </c>
      <c r="E391" t="n">
        <v>35</v>
      </c>
      <c r="F391" t="n">
        <v>0.96</v>
      </c>
      <c r="G391" t="b">
        <v>1</v>
      </c>
      <c r="H391">
        <f>Sensitivity!H8</f>
        <v/>
      </c>
    </row>
    <row r="392">
      <c r="A392" t="inlineStr">
        <is>
          <t>ALL</t>
        </is>
      </c>
      <c r="B392" t="inlineStr">
        <is>
          <t>mystic</t>
        </is>
      </c>
      <c r="C392" t="n">
        <v>2</v>
      </c>
      <c r="D392" t="inlineStr">
        <is>
          <t>Min Damage Multiplier %</t>
        </is>
      </c>
      <c r="E392" t="n">
        <v>15</v>
      </c>
      <c r="F392" t="n">
        <v>3.04</v>
      </c>
      <c r="G392" t="b">
        <v>0</v>
      </c>
      <c r="H392">
        <f>Sensitivity!H13</f>
        <v/>
      </c>
    </row>
    <row r="393">
      <c r="A393" t="inlineStr">
        <is>
          <t>ALL</t>
        </is>
      </c>
      <c r="B393" t="inlineStr">
        <is>
          <t>mystic</t>
        </is>
      </c>
      <c r="C393" t="n">
        <v>2</v>
      </c>
      <c r="D393" t="inlineStr">
        <is>
          <t>Min Damage Multiplier %</t>
        </is>
      </c>
      <c r="E393" t="n">
        <v>25</v>
      </c>
      <c r="F393" t="n">
        <v>0.96</v>
      </c>
      <c r="G393" t="b">
        <v>1</v>
      </c>
      <c r="H393">
        <f>Sensitivity!H13</f>
        <v/>
      </c>
    </row>
    <row r="394">
      <c r="A394" t="inlineStr">
        <is>
          <t>ALL</t>
        </is>
      </c>
      <c r="B394" t="inlineStr">
        <is>
          <t>mystic</t>
        </is>
      </c>
      <c r="C394" t="n">
        <v>2</v>
      </c>
      <c r="D394" t="inlineStr">
        <is>
          <t>Max Damage Multiplier %</t>
        </is>
      </c>
      <c r="E394" t="n">
        <v>15</v>
      </c>
      <c r="F394" t="n">
        <v>3.04</v>
      </c>
      <c r="G394" t="b">
        <v>0</v>
      </c>
      <c r="H394">
        <f>Sensitivity!H14</f>
        <v/>
      </c>
    </row>
    <row r="395">
      <c r="A395" t="inlineStr">
        <is>
          <t>ALL</t>
        </is>
      </c>
      <c r="B395" t="inlineStr">
        <is>
          <t>mystic</t>
        </is>
      </c>
      <c r="C395" t="n">
        <v>2</v>
      </c>
      <c r="D395" t="inlineStr">
        <is>
          <t>Max Damage Multiplier %</t>
        </is>
      </c>
      <c r="E395" t="n">
        <v>25</v>
      </c>
      <c r="F395" t="n">
        <v>0.96</v>
      </c>
      <c r="G395" t="b">
        <v>1</v>
      </c>
      <c r="H395">
        <f>Sensitivity!H14</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f>Sensitivity!H7</f>
        <v/>
      </c>
    </row>
    <row r="399">
      <c r="A399" t="inlineStr">
        <is>
          <t>ALL</t>
        </is>
      </c>
      <c r="B399" t="inlineStr">
        <is>
          <t>mystic</t>
        </is>
      </c>
      <c r="C399" t="n">
        <v>2</v>
      </c>
      <c r="D399" t="inlineStr">
        <is>
          <t>Dex %</t>
        </is>
      </c>
      <c r="E399" t="n">
        <v>15</v>
      </c>
      <c r="F399" t="n">
        <v>1.08</v>
      </c>
      <c r="G399" t="b">
        <v>1</v>
      </c>
      <c r="H399">
        <f>Sensitivity!H7</f>
        <v/>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f>Sensitivity!H7</f>
        <v/>
      </c>
    </row>
    <row r="413">
      <c r="A413" t="inlineStr">
        <is>
          <t>ALL</t>
        </is>
      </c>
      <c r="B413" t="inlineStr">
        <is>
          <t>mystic</t>
        </is>
      </c>
      <c r="C413" t="n">
        <v>2</v>
      </c>
      <c r="D413" t="inlineStr">
        <is>
          <t>Dex</t>
        </is>
      </c>
      <c r="E413" t="n">
        <v>1000</v>
      </c>
      <c r="F413" t="n">
        <v>2.22</v>
      </c>
      <c r="G413" t="b">
        <v>1</v>
      </c>
      <c r="H413">
        <f>Sensitivity!H7</f>
        <v/>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IF(Inputs!$B$8&gt;=100,Sensitivity!H16,Sensitivity!H15)</f>
        <v/>
      </c>
    </row>
    <row r="419">
      <c r="A419" t="inlineStr">
        <is>
          <t>ALL</t>
        </is>
      </c>
      <c r="B419" t="inlineStr">
        <is>
          <t>mystic</t>
        </is>
      </c>
      <c r="C419" t="n">
        <v>3</v>
      </c>
      <c r="D419" t="inlineStr">
        <is>
          <t>Critical Rate %</t>
        </is>
      </c>
      <c r="E419" t="n">
        <v>15</v>
      </c>
      <c r="F419" t="n">
        <v>0.2</v>
      </c>
      <c r="G419" t="b">
        <v>1</v>
      </c>
      <c r="H419">
        <f>IF(Inputs!$B$8&gt;=100,Sensitivity!H16,Sensitivity!H15)</f>
        <v/>
      </c>
    </row>
    <row r="420">
      <c r="A420" t="inlineStr">
        <is>
          <t>ALL</t>
        </is>
      </c>
      <c r="B420" t="inlineStr">
        <is>
          <t>mystic</t>
        </is>
      </c>
      <c r="C420" t="n">
        <v>3</v>
      </c>
      <c r="D420" t="inlineStr">
        <is>
          <t>Attack Speed %</t>
        </is>
      </c>
      <c r="E420" t="n">
        <v>7</v>
      </c>
      <c r="F420" t="n">
        <v>2.3</v>
      </c>
      <c r="G420" t="b">
        <v>0</v>
      </c>
      <c r="H420">
        <f>Sensitivity!H17</f>
        <v/>
      </c>
    </row>
    <row r="421">
      <c r="A421" t="inlineStr">
        <is>
          <t>ALL</t>
        </is>
      </c>
      <c r="B421" t="inlineStr">
        <is>
          <t>mystic</t>
        </is>
      </c>
      <c r="C421" t="n">
        <v>3</v>
      </c>
      <c r="D421" t="inlineStr">
        <is>
          <t>Attack Speed %</t>
        </is>
      </c>
      <c r="E421" t="n">
        <v>10</v>
      </c>
      <c r="F421" t="n">
        <v>0.2</v>
      </c>
      <c r="G421" t="b">
        <v>1</v>
      </c>
      <c r="H421">
        <f>Sensitivity!H17</f>
        <v/>
      </c>
    </row>
    <row r="422">
      <c r="A422" t="inlineStr">
        <is>
          <t>ALL</t>
        </is>
      </c>
      <c r="B422" t="inlineStr">
        <is>
          <t>mystic</t>
        </is>
      </c>
      <c r="C422" t="n">
        <v>3</v>
      </c>
      <c r="D422" t="inlineStr">
        <is>
          <t>Damage %</t>
        </is>
      </c>
      <c r="E422" t="n">
        <v>25</v>
      </c>
      <c r="F422" t="n">
        <v>3.68</v>
      </c>
      <c r="G422" t="b">
        <v>0</v>
      </c>
      <c r="H422">
        <f>Sensitivity!H8</f>
        <v/>
      </c>
    </row>
    <row r="423">
      <c r="A423" t="inlineStr">
        <is>
          <t>ALL</t>
        </is>
      </c>
      <c r="B423" t="inlineStr">
        <is>
          <t>mystic</t>
        </is>
      </c>
      <c r="C423" t="n">
        <v>3</v>
      </c>
      <c r="D423" t="inlineStr">
        <is>
          <t>Damage %</t>
        </is>
      </c>
      <c r="E423" t="n">
        <v>35</v>
      </c>
      <c r="F423" t="n">
        <v>0.32</v>
      </c>
      <c r="G423" t="b">
        <v>1</v>
      </c>
      <c r="H423">
        <f>Sensitivity!H8</f>
        <v/>
      </c>
    </row>
    <row r="424">
      <c r="A424" t="inlineStr">
        <is>
          <t>ALL</t>
        </is>
      </c>
      <c r="B424" t="inlineStr">
        <is>
          <t>mystic</t>
        </is>
      </c>
      <c r="C424" t="n">
        <v>3</v>
      </c>
      <c r="D424" t="inlineStr">
        <is>
          <t>Min Damage Multiplier %</t>
        </is>
      </c>
      <c r="E424" t="n">
        <v>15</v>
      </c>
      <c r="F424" t="n">
        <v>3.68</v>
      </c>
      <c r="G424" t="b">
        <v>0</v>
      </c>
      <c r="H424">
        <f>Sensitivity!H13</f>
        <v/>
      </c>
    </row>
    <row r="425">
      <c r="A425" t="inlineStr">
        <is>
          <t>ALL</t>
        </is>
      </c>
      <c r="B425" t="inlineStr">
        <is>
          <t>mystic</t>
        </is>
      </c>
      <c r="C425" t="n">
        <v>3</v>
      </c>
      <c r="D425" t="inlineStr">
        <is>
          <t>Min Damage Multiplier %</t>
        </is>
      </c>
      <c r="E425" t="n">
        <v>25</v>
      </c>
      <c r="F425" t="n">
        <v>0.32</v>
      </c>
      <c r="G425" t="b">
        <v>1</v>
      </c>
      <c r="H425">
        <f>Sensitivity!H13</f>
        <v/>
      </c>
    </row>
    <row r="426">
      <c r="A426" t="inlineStr">
        <is>
          <t>ALL</t>
        </is>
      </c>
      <c r="B426" t="inlineStr">
        <is>
          <t>mystic</t>
        </is>
      </c>
      <c r="C426" t="n">
        <v>3</v>
      </c>
      <c r="D426" t="inlineStr">
        <is>
          <t>Max Damage Multiplier %</t>
        </is>
      </c>
      <c r="E426" t="n">
        <v>15</v>
      </c>
      <c r="F426" t="n">
        <v>3.68</v>
      </c>
      <c r="G426" t="b">
        <v>0</v>
      </c>
      <c r="H426">
        <f>Sensitivity!H14</f>
        <v/>
      </c>
    </row>
    <row r="427">
      <c r="A427" t="inlineStr">
        <is>
          <t>ALL</t>
        </is>
      </c>
      <c r="B427" t="inlineStr">
        <is>
          <t>mystic</t>
        </is>
      </c>
      <c r="C427" t="n">
        <v>3</v>
      </c>
      <c r="D427" t="inlineStr">
        <is>
          <t>Max Damage Multiplier %</t>
        </is>
      </c>
      <c r="E427" t="n">
        <v>25</v>
      </c>
      <c r="F427" t="n">
        <v>0.32</v>
      </c>
      <c r="G427" t="b">
        <v>1</v>
      </c>
      <c r="H427">
        <f>Sensitivity!H14</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f>Sensitivity!H7</f>
        <v/>
      </c>
    </row>
    <row r="431">
      <c r="A431" t="inlineStr">
        <is>
          <t>ALL</t>
        </is>
      </c>
      <c r="B431" t="inlineStr">
        <is>
          <t>mystic</t>
        </is>
      </c>
      <c r="C431" t="n">
        <v>3</v>
      </c>
      <c r="D431" t="inlineStr">
        <is>
          <t>Dex %</t>
        </is>
      </c>
      <c r="E431" t="n">
        <v>15</v>
      </c>
      <c r="F431" t="n">
        <v>0.36</v>
      </c>
      <c r="G431" t="b">
        <v>1</v>
      </c>
      <c r="H431">
        <f>Sensitivity!H7</f>
        <v/>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f>Sensitivity!H7</f>
        <v/>
      </c>
    </row>
    <row r="445">
      <c r="A445" t="inlineStr">
        <is>
          <t>ALL</t>
        </is>
      </c>
      <c r="B445" t="inlineStr">
        <is>
          <t>mystic</t>
        </is>
      </c>
      <c r="C445" t="n">
        <v>3</v>
      </c>
      <c r="D445" t="inlineStr">
        <is>
          <t>Dex</t>
        </is>
      </c>
      <c r="E445" t="n">
        <v>1000</v>
      </c>
      <c r="F445" t="n">
        <v>0.74</v>
      </c>
      <c r="G445" t="b">
        <v>1</v>
      </c>
      <c r="H445">
        <f>Sensitivity!H7</f>
        <v/>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Sensitivity!H28</f>
        <v/>
      </c>
    </row>
    <row r="451">
      <c r="A451" t="inlineStr">
        <is>
          <t>head</t>
        </is>
      </c>
      <c r="B451" t="inlineStr">
        <is>
          <t>epic</t>
        </is>
      </c>
      <c r="C451" t="n">
        <v>2</v>
      </c>
      <c r="D451" t="inlineStr">
        <is>
          <t>Skill Cooldown Decrease (seconds)</t>
        </is>
      </c>
      <c r="E451" t="n">
        <v>0.5</v>
      </c>
      <c r="F451" t="n">
        <v>0.24</v>
      </c>
      <c r="G451" t="b">
        <v>1</v>
      </c>
      <c r="H451">
        <f>Sensitivity!H28</f>
        <v/>
      </c>
    </row>
    <row r="452">
      <c r="A452" t="inlineStr">
        <is>
          <t>head</t>
        </is>
      </c>
      <c r="B452" t="inlineStr">
        <is>
          <t>epic</t>
        </is>
      </c>
      <c r="C452" t="n">
        <v>3</v>
      </c>
      <c r="D452" t="inlineStr">
        <is>
          <t>Skill Cooldown Decrease (seconds)</t>
        </is>
      </c>
      <c r="E452" t="n">
        <v>0.5</v>
      </c>
      <c r="F452" t="n">
        <v>0.08</v>
      </c>
      <c r="G452" t="b">
        <v>1</v>
      </c>
      <c r="H452">
        <f>Sensitivity!H28</f>
        <v/>
      </c>
    </row>
    <row r="453">
      <c r="A453" t="inlineStr">
        <is>
          <t>head</t>
        </is>
      </c>
      <c r="B453" t="inlineStr">
        <is>
          <t>unique</t>
        </is>
      </c>
      <c r="C453" t="n">
        <v>1</v>
      </c>
      <c r="D453" t="inlineStr">
        <is>
          <t>Skill Cooldown Decrease (seconds)</t>
        </is>
      </c>
      <c r="E453" t="n">
        <v>1</v>
      </c>
      <c r="F453" t="n">
        <v>1</v>
      </c>
      <c r="G453" t="b">
        <v>1</v>
      </c>
      <c r="H453">
        <f>Sensitivity!H28</f>
        <v/>
      </c>
    </row>
    <row r="454">
      <c r="A454" t="inlineStr">
        <is>
          <t>head</t>
        </is>
      </c>
      <c r="B454" t="inlineStr">
        <is>
          <t>unique</t>
        </is>
      </c>
      <c r="C454" t="n">
        <v>2</v>
      </c>
      <c r="D454" t="inlineStr">
        <is>
          <t>Skill Cooldown Decrease (seconds)</t>
        </is>
      </c>
      <c r="E454" t="n">
        <v>1</v>
      </c>
      <c r="F454" t="n">
        <v>0.24</v>
      </c>
      <c r="G454" t="b">
        <v>1</v>
      </c>
      <c r="H454">
        <f>Sensitivity!H28</f>
        <v/>
      </c>
    </row>
    <row r="455">
      <c r="A455" t="inlineStr">
        <is>
          <t>head</t>
        </is>
      </c>
      <c r="B455" t="inlineStr">
        <is>
          <t>unique</t>
        </is>
      </c>
      <c r="C455" t="n">
        <v>2</v>
      </c>
      <c r="D455" t="inlineStr">
        <is>
          <t>Skill Cooldown Decrease (seconds)</t>
        </is>
      </c>
      <c r="E455" t="n">
        <v>0.5</v>
      </c>
      <c r="F455" t="n">
        <v>0.76</v>
      </c>
      <c r="G455" t="b">
        <v>0</v>
      </c>
      <c r="H455">
        <f>Sensitivity!H28</f>
        <v/>
      </c>
    </row>
    <row r="456">
      <c r="A456" t="inlineStr">
        <is>
          <t>head</t>
        </is>
      </c>
      <c r="B456" t="inlineStr">
        <is>
          <t>unique</t>
        </is>
      </c>
      <c r="C456" t="n">
        <v>3</v>
      </c>
      <c r="D456" t="inlineStr">
        <is>
          <t>Skill Cooldown Decrease (seconds)</t>
        </is>
      </c>
      <c r="E456" t="n">
        <v>1</v>
      </c>
      <c r="F456" t="n">
        <v>0.08</v>
      </c>
      <c r="G456" t="b">
        <v>1</v>
      </c>
      <c r="H456">
        <f>Sensitivity!H28</f>
        <v/>
      </c>
    </row>
    <row r="457">
      <c r="A457" t="inlineStr">
        <is>
          <t>head</t>
        </is>
      </c>
      <c r="B457" t="inlineStr">
        <is>
          <t>unique</t>
        </is>
      </c>
      <c r="C457" t="n">
        <v>3</v>
      </c>
      <c r="D457" t="inlineStr">
        <is>
          <t>Skill Cooldown Decrease (seconds)</t>
        </is>
      </c>
      <c r="E457" t="n">
        <v>0.5</v>
      </c>
      <c r="F457" t="n">
        <v>0.92</v>
      </c>
      <c r="G457" t="b">
        <v>0</v>
      </c>
      <c r="H457">
        <f>Sensitivity!H28</f>
        <v/>
      </c>
    </row>
    <row r="458">
      <c r="A458" t="inlineStr">
        <is>
          <t>head</t>
        </is>
      </c>
      <c r="B458" t="inlineStr">
        <is>
          <t>legendary</t>
        </is>
      </c>
      <c r="C458" t="n">
        <v>1</v>
      </c>
      <c r="D458" t="inlineStr">
        <is>
          <t>Skill Cooldown Decrease (seconds)</t>
        </is>
      </c>
      <c r="E458" t="n">
        <v>1.5</v>
      </c>
      <c r="F458" t="n">
        <v>1</v>
      </c>
      <c r="G458" t="b">
        <v>1</v>
      </c>
      <c r="H458">
        <f>Sensitivity!H28</f>
        <v/>
      </c>
    </row>
    <row r="459">
      <c r="A459" t="inlineStr">
        <is>
          <t>head</t>
        </is>
      </c>
      <c r="B459" t="inlineStr">
        <is>
          <t>legendary</t>
        </is>
      </c>
      <c r="C459" t="n">
        <v>2</v>
      </c>
      <c r="D459" t="inlineStr">
        <is>
          <t>Skill Cooldown Decrease (seconds)</t>
        </is>
      </c>
      <c r="E459" t="n">
        <v>1.5</v>
      </c>
      <c r="F459" t="n">
        <v>0.24</v>
      </c>
      <c r="G459" t="b">
        <v>1</v>
      </c>
      <c r="H459">
        <f>Sensitivity!H28</f>
        <v/>
      </c>
    </row>
    <row r="460">
      <c r="A460" t="inlineStr">
        <is>
          <t>head</t>
        </is>
      </c>
      <c r="B460" t="inlineStr">
        <is>
          <t>legendary</t>
        </is>
      </c>
      <c r="C460" t="n">
        <v>2</v>
      </c>
      <c r="D460" t="inlineStr">
        <is>
          <t>Skill Cooldown Decrease (seconds)</t>
        </is>
      </c>
      <c r="E460" t="n">
        <v>1</v>
      </c>
      <c r="F460" t="n">
        <v>0.76</v>
      </c>
      <c r="G460" t="b">
        <v>0</v>
      </c>
      <c r="H460">
        <f>Sensitivity!H28</f>
        <v/>
      </c>
    </row>
    <row r="461">
      <c r="A461" t="inlineStr">
        <is>
          <t>head</t>
        </is>
      </c>
      <c r="B461" t="inlineStr">
        <is>
          <t>legendary</t>
        </is>
      </c>
      <c r="C461" t="n">
        <v>3</v>
      </c>
      <c r="D461" t="inlineStr">
        <is>
          <t>Skill Cooldown Decrease (seconds)</t>
        </is>
      </c>
      <c r="E461" t="n">
        <v>1.5</v>
      </c>
      <c r="F461" t="n">
        <v>0.08</v>
      </c>
      <c r="G461" t="b">
        <v>1</v>
      </c>
      <c r="H461">
        <f>Sensitivity!H28</f>
        <v/>
      </c>
    </row>
    <row r="462">
      <c r="A462" t="inlineStr">
        <is>
          <t>head</t>
        </is>
      </c>
      <c r="B462" t="inlineStr">
        <is>
          <t>legendary</t>
        </is>
      </c>
      <c r="C462" t="n">
        <v>3</v>
      </c>
      <c r="D462" t="inlineStr">
        <is>
          <t>Skill Cooldown Decrease (seconds)</t>
        </is>
      </c>
      <c r="E462" t="n">
        <v>1</v>
      </c>
      <c r="F462" t="n">
        <v>0.92</v>
      </c>
      <c r="G462" t="b">
        <v>0</v>
      </c>
      <c r="H462">
        <f>Sensitivity!H28</f>
        <v/>
      </c>
    </row>
    <row r="463">
      <c r="A463" t="inlineStr">
        <is>
          <t>head</t>
        </is>
      </c>
      <c r="B463" t="inlineStr">
        <is>
          <t>mystic</t>
        </is>
      </c>
      <c r="C463" t="n">
        <v>1</v>
      </c>
      <c r="D463" t="inlineStr">
        <is>
          <t>Skill Cooldown Decrease (seconds)</t>
        </is>
      </c>
      <c r="E463" t="n">
        <v>2</v>
      </c>
      <c r="F463" t="n">
        <v>1</v>
      </c>
      <c r="G463" t="b">
        <v>1</v>
      </c>
      <c r="H463">
        <f>Sensitivity!H28</f>
        <v/>
      </c>
    </row>
    <row r="464">
      <c r="A464" t="inlineStr">
        <is>
          <t>head</t>
        </is>
      </c>
      <c r="B464" t="inlineStr">
        <is>
          <t>mystic</t>
        </is>
      </c>
      <c r="C464" t="n">
        <v>2</v>
      </c>
      <c r="D464" t="inlineStr">
        <is>
          <t>Skill Cooldown Decrease (seconds)</t>
        </is>
      </c>
      <c r="E464" t="n">
        <v>2</v>
      </c>
      <c r="F464" t="n">
        <v>0.24</v>
      </c>
      <c r="G464" t="b">
        <v>1</v>
      </c>
      <c r="H464">
        <f>Sensitivity!H28</f>
        <v/>
      </c>
    </row>
    <row r="465">
      <c r="A465" t="inlineStr">
        <is>
          <t>head</t>
        </is>
      </c>
      <c r="B465" t="inlineStr">
        <is>
          <t>mystic</t>
        </is>
      </c>
      <c r="C465" t="n">
        <v>2</v>
      </c>
      <c r="D465" t="inlineStr">
        <is>
          <t>Skill Cooldown Decrease (seconds)</t>
        </is>
      </c>
      <c r="E465" t="n">
        <v>1.5</v>
      </c>
      <c r="F465" t="n">
        <v>0.76</v>
      </c>
      <c r="G465" t="b">
        <v>0</v>
      </c>
      <c r="H465">
        <f>Sensitivity!H28</f>
        <v/>
      </c>
    </row>
    <row r="466">
      <c r="A466" t="inlineStr">
        <is>
          <t>head</t>
        </is>
      </c>
      <c r="B466" t="inlineStr">
        <is>
          <t>mystic</t>
        </is>
      </c>
      <c r="C466" t="n">
        <v>3</v>
      </c>
      <c r="D466" t="inlineStr">
        <is>
          <t>Skill Cooldown Decrease (seconds)</t>
        </is>
      </c>
      <c r="E466" t="n">
        <v>2</v>
      </c>
      <c r="F466" t="n">
        <v>0.08</v>
      </c>
      <c r="G466" t="b">
        <v>1</v>
      </c>
      <c r="H466">
        <f>Sensitivity!H28</f>
        <v/>
      </c>
    </row>
    <row r="467">
      <c r="A467" t="inlineStr">
        <is>
          <t>head</t>
        </is>
      </c>
      <c r="B467" t="inlineStr">
        <is>
          <t>mystic</t>
        </is>
      </c>
      <c r="C467" t="n">
        <v>3</v>
      </c>
      <c r="D467" t="inlineStr">
        <is>
          <t>Skill Cooldown Decrease (seconds)</t>
        </is>
      </c>
      <c r="E467" t="n">
        <v>1.5</v>
      </c>
      <c r="F467" t="n">
        <v>0.92</v>
      </c>
      <c r="G467" t="b">
        <v>0</v>
      </c>
      <c r="H467">
        <f>Sensitivity!H28</f>
        <v/>
      </c>
    </row>
    <row r="468">
      <c r="A468" t="inlineStr">
        <is>
          <t>cape</t>
        </is>
      </c>
      <c r="B468" t="inlineStr">
        <is>
          <t>epic</t>
        </is>
      </c>
      <c r="C468" t="n">
        <v>1</v>
      </c>
      <c r="D468" t="inlineStr">
        <is>
          <t>Final Damage %</t>
        </is>
      </c>
      <c r="E468" t="n">
        <v>3</v>
      </c>
      <c r="F468" t="n">
        <v>1</v>
      </c>
      <c r="G468" t="b">
        <v>1</v>
      </c>
      <c r="H468">
        <f>Sensitivity!H12</f>
        <v/>
      </c>
    </row>
    <row r="469">
      <c r="A469" t="inlineStr">
        <is>
          <t>cape</t>
        </is>
      </c>
      <c r="B469" t="inlineStr">
        <is>
          <t>epic</t>
        </is>
      </c>
      <c r="C469" t="n">
        <v>2</v>
      </c>
      <c r="D469" t="inlineStr">
        <is>
          <t>Final Damage %</t>
        </is>
      </c>
      <c r="E469" t="n">
        <v>3</v>
      </c>
      <c r="F469" t="n">
        <v>0.24</v>
      </c>
      <c r="G469" t="b">
        <v>1</v>
      </c>
      <c r="H469">
        <f>Sensitivity!H12</f>
        <v/>
      </c>
    </row>
    <row r="470">
      <c r="A470" t="inlineStr">
        <is>
          <t>cape</t>
        </is>
      </c>
      <c r="B470" t="inlineStr">
        <is>
          <t>epic</t>
        </is>
      </c>
      <c r="C470" t="n">
        <v>3</v>
      </c>
      <c r="D470" t="inlineStr">
        <is>
          <t>Final Damage %</t>
        </is>
      </c>
      <c r="E470" t="n">
        <v>3</v>
      </c>
      <c r="F470" t="n">
        <v>0.08</v>
      </c>
      <c r="G470" t="b">
        <v>1</v>
      </c>
      <c r="H470">
        <f>Sensitivity!H12</f>
        <v/>
      </c>
    </row>
    <row r="471">
      <c r="A471" t="inlineStr">
        <is>
          <t>cape</t>
        </is>
      </c>
      <c r="B471" t="inlineStr">
        <is>
          <t>unique</t>
        </is>
      </c>
      <c r="C471" t="n">
        <v>1</v>
      </c>
      <c r="D471" t="inlineStr">
        <is>
          <t>Final Damage %</t>
        </is>
      </c>
      <c r="E471" t="n">
        <v>5</v>
      </c>
      <c r="F471" t="n">
        <v>1</v>
      </c>
      <c r="G471" t="b">
        <v>1</v>
      </c>
      <c r="H471">
        <f>Sensitivity!H12</f>
        <v/>
      </c>
    </row>
    <row r="472">
      <c r="A472" t="inlineStr">
        <is>
          <t>cape</t>
        </is>
      </c>
      <c r="B472" t="inlineStr">
        <is>
          <t>unique</t>
        </is>
      </c>
      <c r="C472" t="n">
        <v>2</v>
      </c>
      <c r="D472" t="inlineStr">
        <is>
          <t>Final Damage %</t>
        </is>
      </c>
      <c r="E472" t="n">
        <v>5</v>
      </c>
      <c r="F472" t="n">
        <v>0.24</v>
      </c>
      <c r="G472" t="b">
        <v>1</v>
      </c>
      <c r="H472">
        <f>Sensitivity!H12</f>
        <v/>
      </c>
    </row>
    <row r="473">
      <c r="A473" t="inlineStr">
        <is>
          <t>cape</t>
        </is>
      </c>
      <c r="B473" t="inlineStr">
        <is>
          <t>unique</t>
        </is>
      </c>
      <c r="C473" t="n">
        <v>2</v>
      </c>
      <c r="D473" t="inlineStr">
        <is>
          <t>Final Damage %</t>
        </is>
      </c>
      <c r="E473" t="n">
        <v>3</v>
      </c>
      <c r="F473" t="n">
        <v>0.76</v>
      </c>
      <c r="G473" t="b">
        <v>0</v>
      </c>
      <c r="H473">
        <f>Sensitivity!H12</f>
        <v/>
      </c>
    </row>
    <row r="474">
      <c r="A474" t="inlineStr">
        <is>
          <t>cape</t>
        </is>
      </c>
      <c r="B474" t="inlineStr">
        <is>
          <t>unique</t>
        </is>
      </c>
      <c r="C474" t="n">
        <v>3</v>
      </c>
      <c r="D474" t="inlineStr">
        <is>
          <t>Final Damage %</t>
        </is>
      </c>
      <c r="E474" t="n">
        <v>5</v>
      </c>
      <c r="F474" t="n">
        <v>0.08</v>
      </c>
      <c r="G474" t="b">
        <v>1</v>
      </c>
      <c r="H474">
        <f>Sensitivity!H12</f>
        <v/>
      </c>
    </row>
    <row r="475">
      <c r="A475" t="inlineStr">
        <is>
          <t>cape</t>
        </is>
      </c>
      <c r="B475" t="inlineStr">
        <is>
          <t>unique</t>
        </is>
      </c>
      <c r="C475" t="n">
        <v>3</v>
      </c>
      <c r="D475" t="inlineStr">
        <is>
          <t>Final Damage %</t>
        </is>
      </c>
      <c r="E475" t="n">
        <v>3</v>
      </c>
      <c r="F475" t="n">
        <v>0.92</v>
      </c>
      <c r="G475" t="b">
        <v>0</v>
      </c>
      <c r="H475">
        <f>Sensitivity!H12</f>
        <v/>
      </c>
    </row>
    <row r="476">
      <c r="A476" t="inlineStr">
        <is>
          <t>cape</t>
        </is>
      </c>
      <c r="B476" t="inlineStr">
        <is>
          <t>legendary</t>
        </is>
      </c>
      <c r="C476" t="n">
        <v>1</v>
      </c>
      <c r="D476" t="inlineStr">
        <is>
          <t>Final Damage %</t>
        </is>
      </c>
      <c r="E476" t="n">
        <v>8</v>
      </c>
      <c r="F476" t="n">
        <v>1</v>
      </c>
      <c r="G476" t="b">
        <v>1</v>
      </c>
      <c r="H476">
        <f>Sensitivity!H12</f>
        <v/>
      </c>
    </row>
    <row r="477">
      <c r="A477" t="inlineStr">
        <is>
          <t>cape</t>
        </is>
      </c>
      <c r="B477" t="inlineStr">
        <is>
          <t>legendary</t>
        </is>
      </c>
      <c r="C477" t="n">
        <v>2</v>
      </c>
      <c r="D477" t="inlineStr">
        <is>
          <t>Final Damage %</t>
        </is>
      </c>
      <c r="E477" t="n">
        <v>8</v>
      </c>
      <c r="F477" t="n">
        <v>0.24</v>
      </c>
      <c r="G477" t="b">
        <v>1</v>
      </c>
      <c r="H477">
        <f>Sensitivity!H12</f>
        <v/>
      </c>
    </row>
    <row r="478">
      <c r="A478" t="inlineStr">
        <is>
          <t>cape</t>
        </is>
      </c>
      <c r="B478" t="inlineStr">
        <is>
          <t>legendary</t>
        </is>
      </c>
      <c r="C478" t="n">
        <v>2</v>
      </c>
      <c r="D478" t="inlineStr">
        <is>
          <t>Final Damage %</t>
        </is>
      </c>
      <c r="E478" t="n">
        <v>5</v>
      </c>
      <c r="F478" t="n">
        <v>0.76</v>
      </c>
      <c r="G478" t="b">
        <v>0</v>
      </c>
      <c r="H478">
        <f>Sensitivity!H12</f>
        <v/>
      </c>
    </row>
    <row r="479">
      <c r="A479" t="inlineStr">
        <is>
          <t>cape</t>
        </is>
      </c>
      <c r="B479" t="inlineStr">
        <is>
          <t>legendary</t>
        </is>
      </c>
      <c r="C479" t="n">
        <v>3</v>
      </c>
      <c r="D479" t="inlineStr">
        <is>
          <t>Final Damage %</t>
        </is>
      </c>
      <c r="E479" t="n">
        <v>8</v>
      </c>
      <c r="F479" t="n">
        <v>0.08</v>
      </c>
      <c r="G479" t="b">
        <v>1</v>
      </c>
      <c r="H479">
        <f>Sensitivity!H12</f>
        <v/>
      </c>
    </row>
    <row r="480">
      <c r="A480" t="inlineStr">
        <is>
          <t>cape</t>
        </is>
      </c>
      <c r="B480" t="inlineStr">
        <is>
          <t>legendary</t>
        </is>
      </c>
      <c r="C480" t="n">
        <v>3</v>
      </c>
      <c r="D480" t="inlineStr">
        <is>
          <t>Final Damage %</t>
        </is>
      </c>
      <c r="E480" t="n">
        <v>5</v>
      </c>
      <c r="F480" t="n">
        <v>0.92</v>
      </c>
      <c r="G480" t="b">
        <v>0</v>
      </c>
      <c r="H480">
        <f>Sensitivity!H12</f>
        <v/>
      </c>
    </row>
    <row r="481">
      <c r="A481" t="inlineStr">
        <is>
          <t>cape</t>
        </is>
      </c>
      <c r="B481" t="inlineStr">
        <is>
          <t>mystic</t>
        </is>
      </c>
      <c r="C481" t="n">
        <v>1</v>
      </c>
      <c r="D481" t="inlineStr">
        <is>
          <t>Final Damage %</t>
        </is>
      </c>
      <c r="E481" t="n">
        <v>12</v>
      </c>
      <c r="F481" t="n">
        <v>1</v>
      </c>
      <c r="G481" t="b">
        <v>1</v>
      </c>
      <c r="H481">
        <f>Sensitivity!H12</f>
        <v/>
      </c>
    </row>
    <row r="482">
      <c r="A482" t="inlineStr">
        <is>
          <t>cape</t>
        </is>
      </c>
      <c r="B482" t="inlineStr">
        <is>
          <t>mystic</t>
        </is>
      </c>
      <c r="C482" t="n">
        <v>2</v>
      </c>
      <c r="D482" t="inlineStr">
        <is>
          <t>Final Damage %</t>
        </is>
      </c>
      <c r="E482" t="n">
        <v>12</v>
      </c>
      <c r="F482" t="n">
        <v>0.24</v>
      </c>
      <c r="G482" t="b">
        <v>1</v>
      </c>
      <c r="H482">
        <f>Sensitivity!H12</f>
        <v/>
      </c>
    </row>
    <row r="483">
      <c r="A483" t="inlineStr">
        <is>
          <t>cape</t>
        </is>
      </c>
      <c r="B483" t="inlineStr">
        <is>
          <t>mystic</t>
        </is>
      </c>
      <c r="C483" t="n">
        <v>2</v>
      </c>
      <c r="D483" t="inlineStr">
        <is>
          <t>Final Damage %</t>
        </is>
      </c>
      <c r="E483" t="n">
        <v>8</v>
      </c>
      <c r="F483" t="n">
        <v>0.76</v>
      </c>
      <c r="G483" t="b">
        <v>0</v>
      </c>
      <c r="H483">
        <f>Sensitivity!H12</f>
        <v/>
      </c>
    </row>
    <row r="484">
      <c r="A484" t="inlineStr">
        <is>
          <t>cape</t>
        </is>
      </c>
      <c r="B484" t="inlineStr">
        <is>
          <t>mystic</t>
        </is>
      </c>
      <c r="C484" t="n">
        <v>3</v>
      </c>
      <c r="D484" t="inlineStr">
        <is>
          <t>Final Damage %</t>
        </is>
      </c>
      <c r="E484" t="n">
        <v>12</v>
      </c>
      <c r="F484" t="n">
        <v>0.08</v>
      </c>
      <c r="G484" t="b">
        <v>1</v>
      </c>
      <c r="H484">
        <f>Sensitivity!H12</f>
        <v/>
      </c>
    </row>
    <row r="485">
      <c r="A485" t="inlineStr">
        <is>
          <t>cape</t>
        </is>
      </c>
      <c r="B485" t="inlineStr">
        <is>
          <t>mystic</t>
        </is>
      </c>
      <c r="C485" t="n">
        <v>3</v>
      </c>
      <c r="D485" t="inlineStr">
        <is>
          <t>Final Damage %</t>
        </is>
      </c>
      <c r="E485" t="n">
        <v>8</v>
      </c>
      <c r="F485" t="n">
        <v>0.92</v>
      </c>
      <c r="G485" t="b">
        <v>0</v>
      </c>
      <c r="H485">
        <f>Sensitivity!H12</f>
        <v/>
      </c>
    </row>
    <row r="486">
      <c r="A486" t="inlineStr">
        <is>
          <t>chest</t>
        </is>
      </c>
      <c r="B486" t="inlineStr">
        <is>
          <t>unique</t>
        </is>
      </c>
      <c r="C486" t="n">
        <v>1</v>
      </c>
      <c r="D486" t="inlineStr">
        <is>
          <t>Basic Attack Target Increase</t>
        </is>
      </c>
      <c r="E486" t="n">
        <v>1</v>
      </c>
      <c r="F486" t="n">
        <v>1</v>
      </c>
      <c r="G486" t="b">
        <v>1</v>
      </c>
      <c r="H486">
        <f>Sensitivity!H29</f>
        <v/>
      </c>
    </row>
    <row r="487">
      <c r="A487" t="inlineStr">
        <is>
          <t>chest</t>
        </is>
      </c>
      <c r="B487" t="inlineStr">
        <is>
          <t>unique</t>
        </is>
      </c>
      <c r="C487" t="n">
        <v>2</v>
      </c>
      <c r="D487" t="inlineStr">
        <is>
          <t>Basic Attack Target Increase</t>
        </is>
      </c>
      <c r="E487" t="n">
        <v>1</v>
      </c>
      <c r="F487" t="n">
        <v>0.24</v>
      </c>
      <c r="G487" t="b">
        <v>1</v>
      </c>
      <c r="H487">
        <f>Sensitivity!H29</f>
        <v/>
      </c>
    </row>
    <row r="488">
      <c r="A488" t="inlineStr">
        <is>
          <t>chest</t>
        </is>
      </c>
      <c r="B488" t="inlineStr">
        <is>
          <t>unique</t>
        </is>
      </c>
      <c r="C488" t="n">
        <v>3</v>
      </c>
      <c r="D488" t="inlineStr">
        <is>
          <t>Basic Attack Target Increase</t>
        </is>
      </c>
      <c r="E488" t="n">
        <v>1</v>
      </c>
      <c r="F488" t="n">
        <v>0.08</v>
      </c>
      <c r="G488" t="b">
        <v>1</v>
      </c>
      <c r="H488">
        <f>Sensitivity!H29</f>
        <v/>
      </c>
    </row>
    <row r="489">
      <c r="A489" t="inlineStr">
        <is>
          <t>chest</t>
        </is>
      </c>
      <c r="B489" t="inlineStr">
        <is>
          <t>legendary</t>
        </is>
      </c>
      <c r="C489" t="n">
        <v>1</v>
      </c>
      <c r="D489" t="inlineStr">
        <is>
          <t>Basic Attack Target Increase</t>
        </is>
      </c>
      <c r="E489" t="n">
        <v>2</v>
      </c>
      <c r="F489" t="n">
        <v>1</v>
      </c>
      <c r="G489" t="b">
        <v>1</v>
      </c>
      <c r="H489">
        <f>Sensitivity!H29</f>
        <v/>
      </c>
    </row>
    <row r="490">
      <c r="A490" t="inlineStr">
        <is>
          <t>chest</t>
        </is>
      </c>
      <c r="B490" t="inlineStr">
        <is>
          <t>legendary</t>
        </is>
      </c>
      <c r="C490" t="n">
        <v>2</v>
      </c>
      <c r="D490" t="inlineStr">
        <is>
          <t>Basic Attack Target Increase</t>
        </is>
      </c>
      <c r="E490" t="n">
        <v>2</v>
      </c>
      <c r="F490" t="n">
        <v>0.24</v>
      </c>
      <c r="G490" t="b">
        <v>1</v>
      </c>
      <c r="H490">
        <f>Sensitivity!H29</f>
        <v/>
      </c>
    </row>
    <row r="491">
      <c r="A491" t="inlineStr">
        <is>
          <t>chest</t>
        </is>
      </c>
      <c r="B491" t="inlineStr">
        <is>
          <t>legendary</t>
        </is>
      </c>
      <c r="C491" t="n">
        <v>2</v>
      </c>
      <c r="D491" t="inlineStr">
        <is>
          <t>Basic Attack Target Increase</t>
        </is>
      </c>
      <c r="E491" t="n">
        <v>1</v>
      </c>
      <c r="F491" t="n">
        <v>0.76</v>
      </c>
      <c r="G491" t="b">
        <v>0</v>
      </c>
      <c r="H491">
        <f>Sensitivity!H29</f>
        <v/>
      </c>
    </row>
    <row r="492">
      <c r="A492" t="inlineStr">
        <is>
          <t>chest</t>
        </is>
      </c>
      <c r="B492" t="inlineStr">
        <is>
          <t>legendary</t>
        </is>
      </c>
      <c r="C492" t="n">
        <v>3</v>
      </c>
      <c r="D492" t="inlineStr">
        <is>
          <t>Basic Attack Target Increase</t>
        </is>
      </c>
      <c r="E492" t="n">
        <v>2</v>
      </c>
      <c r="F492" t="n">
        <v>0.08</v>
      </c>
      <c r="G492" t="b">
        <v>1</v>
      </c>
      <c r="H492">
        <f>Sensitivity!H29</f>
        <v/>
      </c>
    </row>
    <row r="493">
      <c r="A493" t="inlineStr">
        <is>
          <t>chest</t>
        </is>
      </c>
      <c r="B493" t="inlineStr">
        <is>
          <t>legendary</t>
        </is>
      </c>
      <c r="C493" t="n">
        <v>3</v>
      </c>
      <c r="D493" t="inlineStr">
        <is>
          <t>Basic Attack Target Increase</t>
        </is>
      </c>
      <c r="E493" t="n">
        <v>1</v>
      </c>
      <c r="F493" t="n">
        <v>0.92</v>
      </c>
      <c r="G493" t="b">
        <v>0</v>
      </c>
      <c r="H493">
        <f>Sensitivity!H29</f>
        <v/>
      </c>
    </row>
    <row r="494">
      <c r="A494" t="inlineStr">
        <is>
          <t>chest</t>
        </is>
      </c>
      <c r="B494" t="inlineStr">
        <is>
          <t>mystic</t>
        </is>
      </c>
      <c r="C494" t="n">
        <v>1</v>
      </c>
      <c r="D494" t="inlineStr">
        <is>
          <t>Basic Attack Target Increase</t>
        </is>
      </c>
      <c r="E494" t="n">
        <v>3</v>
      </c>
      <c r="F494" t="n">
        <v>1</v>
      </c>
      <c r="G494" t="b">
        <v>1</v>
      </c>
      <c r="H494">
        <f>Sensitivity!H29</f>
        <v/>
      </c>
    </row>
    <row r="495">
      <c r="A495" t="inlineStr">
        <is>
          <t>chest</t>
        </is>
      </c>
      <c r="B495" t="inlineStr">
        <is>
          <t>mystic</t>
        </is>
      </c>
      <c r="C495" t="n">
        <v>2</v>
      </c>
      <c r="D495" t="inlineStr">
        <is>
          <t>Basic Attack Target Increase</t>
        </is>
      </c>
      <c r="E495" t="n">
        <v>3</v>
      </c>
      <c r="F495" t="n">
        <v>0.24</v>
      </c>
      <c r="G495" t="b">
        <v>1</v>
      </c>
      <c r="H495">
        <f>Sensitivity!H29</f>
        <v/>
      </c>
    </row>
    <row r="496">
      <c r="A496" t="inlineStr">
        <is>
          <t>chest</t>
        </is>
      </c>
      <c r="B496" t="inlineStr">
        <is>
          <t>mystic</t>
        </is>
      </c>
      <c r="C496" t="n">
        <v>2</v>
      </c>
      <c r="D496" t="inlineStr">
        <is>
          <t>Basic Attack Target Increase</t>
        </is>
      </c>
      <c r="E496" t="n">
        <v>2</v>
      </c>
      <c r="F496" t="n">
        <v>0.76</v>
      </c>
      <c r="G496" t="b">
        <v>0</v>
      </c>
      <c r="H496">
        <f>Sensitivity!H29</f>
        <v/>
      </c>
    </row>
    <row r="497">
      <c r="A497" t="inlineStr">
        <is>
          <t>chest</t>
        </is>
      </c>
      <c r="B497" t="inlineStr">
        <is>
          <t>mystic</t>
        </is>
      </c>
      <c r="C497" t="n">
        <v>3</v>
      </c>
      <c r="D497" t="inlineStr">
        <is>
          <t>Basic Attack Target Increase</t>
        </is>
      </c>
      <c r="E497" t="n">
        <v>3</v>
      </c>
      <c r="F497" t="n">
        <v>0.08</v>
      </c>
      <c r="G497" t="b">
        <v>1</v>
      </c>
      <c r="H497">
        <f>Sensitivity!H29</f>
        <v/>
      </c>
    </row>
    <row r="498">
      <c r="A498" t="inlineStr">
        <is>
          <t>chest</t>
        </is>
      </c>
      <c r="B498" t="inlineStr">
        <is>
          <t>mystic</t>
        </is>
      </c>
      <c r="C498" t="n">
        <v>3</v>
      </c>
      <c r="D498" t="inlineStr">
        <is>
          <t>Basic Attack Target Increase</t>
        </is>
      </c>
      <c r="E498" t="n">
        <v>2</v>
      </c>
      <c r="F498" t="n">
        <v>0.92</v>
      </c>
      <c r="G498" t="b">
        <v>0</v>
      </c>
      <c r="H498">
        <f>Sensitivity!H29</f>
        <v/>
      </c>
    </row>
    <row r="499">
      <c r="A499" t="inlineStr">
        <is>
          <t>shoulders</t>
        </is>
      </c>
      <c r="B499" t="inlineStr">
        <is>
          <t>unique</t>
        </is>
      </c>
      <c r="C499" t="n">
        <v>1</v>
      </c>
      <c r="D499" t="inlineStr">
        <is>
          <t>Defense Penetration</t>
        </is>
      </c>
      <c r="E499" t="n">
        <v>8</v>
      </c>
      <c r="F499" t="n">
        <v>1</v>
      </c>
      <c r="G499" t="b">
        <v>1</v>
      </c>
      <c r="H499">
        <f>Sensitivity!H18</f>
        <v/>
      </c>
    </row>
    <row r="500">
      <c r="A500" t="inlineStr">
        <is>
          <t>shoulders</t>
        </is>
      </c>
      <c r="B500" t="inlineStr">
        <is>
          <t>unique</t>
        </is>
      </c>
      <c r="C500" t="n">
        <v>2</v>
      </c>
      <c r="D500" t="inlineStr">
        <is>
          <t>Defense Penetration</t>
        </is>
      </c>
      <c r="E500" t="n">
        <v>8</v>
      </c>
      <c r="F500" t="n">
        <v>0.24</v>
      </c>
      <c r="G500" t="b">
        <v>1</v>
      </c>
      <c r="H500">
        <f>Sensitivity!H18</f>
        <v/>
      </c>
    </row>
    <row r="501">
      <c r="A501" t="inlineStr">
        <is>
          <t>shoulders</t>
        </is>
      </c>
      <c r="B501" t="inlineStr">
        <is>
          <t>unique</t>
        </is>
      </c>
      <c r="C501" t="n">
        <v>3</v>
      </c>
      <c r="D501" t="inlineStr">
        <is>
          <t>Defense Penetration</t>
        </is>
      </c>
      <c r="E501" t="n">
        <v>8</v>
      </c>
      <c r="F501" t="n">
        <v>0.08</v>
      </c>
      <c r="G501" t="b">
        <v>1</v>
      </c>
      <c r="H501">
        <f>Sensitivity!H18</f>
        <v/>
      </c>
    </row>
    <row r="502">
      <c r="A502" t="inlineStr">
        <is>
          <t>shoulders</t>
        </is>
      </c>
      <c r="B502" t="inlineStr">
        <is>
          <t>legendary</t>
        </is>
      </c>
      <c r="C502" t="n">
        <v>1</v>
      </c>
      <c r="D502" t="inlineStr">
        <is>
          <t>Defense Penetration</t>
        </is>
      </c>
      <c r="E502" t="n">
        <v>12</v>
      </c>
      <c r="F502" t="n">
        <v>1</v>
      </c>
      <c r="G502" t="b">
        <v>1</v>
      </c>
      <c r="H502">
        <f>Sensitivity!H18</f>
        <v/>
      </c>
    </row>
    <row r="503">
      <c r="A503" t="inlineStr">
        <is>
          <t>shoulders</t>
        </is>
      </c>
      <c r="B503" t="inlineStr">
        <is>
          <t>legendary</t>
        </is>
      </c>
      <c r="C503" t="n">
        <v>2</v>
      </c>
      <c r="D503" t="inlineStr">
        <is>
          <t>Defense Penetration</t>
        </is>
      </c>
      <c r="E503" t="n">
        <v>12</v>
      </c>
      <c r="F503" t="n">
        <v>0.24</v>
      </c>
      <c r="G503" t="b">
        <v>1</v>
      </c>
      <c r="H503">
        <f>Sensitivity!H18</f>
        <v/>
      </c>
    </row>
    <row r="504">
      <c r="A504" t="inlineStr">
        <is>
          <t>shoulders</t>
        </is>
      </c>
      <c r="B504" t="inlineStr">
        <is>
          <t>legendary</t>
        </is>
      </c>
      <c r="C504" t="n">
        <v>2</v>
      </c>
      <c r="D504" t="inlineStr">
        <is>
          <t>Defense Penetration</t>
        </is>
      </c>
      <c r="E504" t="n">
        <v>8</v>
      </c>
      <c r="F504" t="n">
        <v>0.76</v>
      </c>
      <c r="G504" t="b">
        <v>0</v>
      </c>
      <c r="H504">
        <f>Sensitivity!H18</f>
        <v/>
      </c>
    </row>
    <row r="505">
      <c r="A505" t="inlineStr">
        <is>
          <t>shoulders</t>
        </is>
      </c>
      <c r="B505" t="inlineStr">
        <is>
          <t>legendary</t>
        </is>
      </c>
      <c r="C505" t="n">
        <v>3</v>
      </c>
      <c r="D505" t="inlineStr">
        <is>
          <t>Defense Penetration</t>
        </is>
      </c>
      <c r="E505" t="n">
        <v>12</v>
      </c>
      <c r="F505" t="n">
        <v>0.08</v>
      </c>
      <c r="G505" t="b">
        <v>1</v>
      </c>
      <c r="H505">
        <f>Sensitivity!H18</f>
        <v/>
      </c>
    </row>
    <row r="506">
      <c r="A506" t="inlineStr">
        <is>
          <t>shoulders</t>
        </is>
      </c>
      <c r="B506" t="inlineStr">
        <is>
          <t>legendary</t>
        </is>
      </c>
      <c r="C506" t="n">
        <v>3</v>
      </c>
      <c r="D506" t="inlineStr">
        <is>
          <t>Defense Penetration</t>
        </is>
      </c>
      <c r="E506" t="n">
        <v>8</v>
      </c>
      <c r="F506" t="n">
        <v>0.92</v>
      </c>
      <c r="G506" t="b">
        <v>0</v>
      </c>
      <c r="H506">
        <f>Sensitivity!H18</f>
        <v/>
      </c>
    </row>
    <row r="507">
      <c r="A507" t="inlineStr">
        <is>
          <t>shoulders</t>
        </is>
      </c>
      <c r="B507" t="inlineStr">
        <is>
          <t>mystic</t>
        </is>
      </c>
      <c r="C507" t="n">
        <v>1</v>
      </c>
      <c r="D507" t="inlineStr">
        <is>
          <t>Defense Penetration</t>
        </is>
      </c>
      <c r="E507" t="n">
        <v>20</v>
      </c>
      <c r="F507" t="n">
        <v>1</v>
      </c>
      <c r="G507" t="b">
        <v>1</v>
      </c>
      <c r="H507">
        <f>Sensitivity!H18</f>
        <v/>
      </c>
    </row>
    <row r="508">
      <c r="A508" t="inlineStr">
        <is>
          <t>shoulders</t>
        </is>
      </c>
      <c r="B508" t="inlineStr">
        <is>
          <t>mystic</t>
        </is>
      </c>
      <c r="C508" t="n">
        <v>2</v>
      </c>
      <c r="D508" t="inlineStr">
        <is>
          <t>Defense Penetration</t>
        </is>
      </c>
      <c r="E508" t="n">
        <v>20</v>
      </c>
      <c r="F508" t="n">
        <v>0.24</v>
      </c>
      <c r="G508" t="b">
        <v>1</v>
      </c>
      <c r="H508">
        <f>Sensitivity!H18</f>
        <v/>
      </c>
    </row>
    <row r="509">
      <c r="A509" t="inlineStr">
        <is>
          <t>shoulders</t>
        </is>
      </c>
      <c r="B509" t="inlineStr">
        <is>
          <t>mystic</t>
        </is>
      </c>
      <c r="C509" t="n">
        <v>2</v>
      </c>
      <c r="D509" t="inlineStr">
        <is>
          <t>Defense Penetration</t>
        </is>
      </c>
      <c r="E509" t="n">
        <v>12</v>
      </c>
      <c r="F509" t="n">
        <v>0.76</v>
      </c>
      <c r="G509" t="b">
        <v>0</v>
      </c>
      <c r="H509">
        <f>Sensitivity!H18</f>
        <v/>
      </c>
    </row>
    <row r="510">
      <c r="A510" t="inlineStr">
        <is>
          <t>shoulders</t>
        </is>
      </c>
      <c r="B510" t="inlineStr">
        <is>
          <t>mystic</t>
        </is>
      </c>
      <c r="C510" t="n">
        <v>3</v>
      </c>
      <c r="D510" t="inlineStr">
        <is>
          <t>Defense Penetration</t>
        </is>
      </c>
      <c r="E510" t="n">
        <v>20</v>
      </c>
      <c r="F510" t="n">
        <v>0.08</v>
      </c>
      <c r="G510" t="b">
        <v>1</v>
      </c>
      <c r="H510">
        <f>Sensitivity!H18</f>
        <v/>
      </c>
    </row>
    <row r="511">
      <c r="A511" t="inlineStr">
        <is>
          <t>shoulders</t>
        </is>
      </c>
      <c r="B511" t="inlineStr">
        <is>
          <t>mystic</t>
        </is>
      </c>
      <c r="C511" t="n">
        <v>3</v>
      </c>
      <c r="D511" t="inlineStr">
        <is>
          <t>Defense Penetration</t>
        </is>
      </c>
      <c r="E511" t="n">
        <v>12</v>
      </c>
      <c r="F511" t="n">
        <v>0.92</v>
      </c>
      <c r="G511" t="b">
        <v>0</v>
      </c>
      <c r="H511">
        <f>Sensitivity!H18</f>
        <v/>
      </c>
    </row>
    <row r="512">
      <c r="A512" t="inlineStr">
        <is>
          <t>legs</t>
        </is>
      </c>
      <c r="B512" t="inlineStr">
        <is>
          <t>epic</t>
        </is>
      </c>
      <c r="C512" t="n">
        <v>1</v>
      </c>
      <c r="D512" t="inlineStr">
        <is>
          <t>Final Damage %</t>
        </is>
      </c>
      <c r="E512" t="n">
        <v>3</v>
      </c>
      <c r="F512" t="n">
        <v>1</v>
      </c>
      <c r="G512" t="b">
        <v>1</v>
      </c>
      <c r="H512">
        <f>Sensitivity!H12</f>
        <v/>
      </c>
    </row>
    <row r="513">
      <c r="A513" t="inlineStr">
        <is>
          <t>legs</t>
        </is>
      </c>
      <c r="B513" t="inlineStr">
        <is>
          <t>epic</t>
        </is>
      </c>
      <c r="C513" t="n">
        <v>2</v>
      </c>
      <c r="D513" t="inlineStr">
        <is>
          <t>Final Damage %</t>
        </is>
      </c>
      <c r="E513" t="n">
        <v>3</v>
      </c>
      <c r="F513" t="n">
        <v>0.24</v>
      </c>
      <c r="G513" t="b">
        <v>1</v>
      </c>
      <c r="H513">
        <f>Sensitivity!H12</f>
        <v/>
      </c>
    </row>
    <row r="514">
      <c r="A514" t="inlineStr">
        <is>
          <t>legs</t>
        </is>
      </c>
      <c r="B514" t="inlineStr">
        <is>
          <t>epic</t>
        </is>
      </c>
      <c r="C514" t="n">
        <v>3</v>
      </c>
      <c r="D514" t="inlineStr">
        <is>
          <t>Final Damage %</t>
        </is>
      </c>
      <c r="E514" t="n">
        <v>3</v>
      </c>
      <c r="F514" t="n">
        <v>0.08</v>
      </c>
      <c r="G514" t="b">
        <v>1</v>
      </c>
      <c r="H514">
        <f>Sensitivity!H12</f>
        <v/>
      </c>
    </row>
    <row r="515">
      <c r="A515" t="inlineStr">
        <is>
          <t>legs</t>
        </is>
      </c>
      <c r="B515" t="inlineStr">
        <is>
          <t>unique</t>
        </is>
      </c>
      <c r="C515" t="n">
        <v>1</v>
      </c>
      <c r="D515" t="inlineStr">
        <is>
          <t>Final Damage %</t>
        </is>
      </c>
      <c r="E515" t="n">
        <v>5</v>
      </c>
      <c r="F515" t="n">
        <v>1</v>
      </c>
      <c r="G515" t="b">
        <v>1</v>
      </c>
      <c r="H515">
        <f>Sensitivity!H12</f>
        <v/>
      </c>
    </row>
    <row r="516">
      <c r="A516" t="inlineStr">
        <is>
          <t>legs</t>
        </is>
      </c>
      <c r="B516" t="inlineStr">
        <is>
          <t>unique</t>
        </is>
      </c>
      <c r="C516" t="n">
        <v>2</v>
      </c>
      <c r="D516" t="inlineStr">
        <is>
          <t>Final Damage %</t>
        </is>
      </c>
      <c r="E516" t="n">
        <v>5</v>
      </c>
      <c r="F516" t="n">
        <v>0.24</v>
      </c>
      <c r="G516" t="b">
        <v>1</v>
      </c>
      <c r="H516">
        <f>Sensitivity!H12</f>
        <v/>
      </c>
    </row>
    <row r="517">
      <c r="A517" t="inlineStr">
        <is>
          <t>legs</t>
        </is>
      </c>
      <c r="B517" t="inlineStr">
        <is>
          <t>unique</t>
        </is>
      </c>
      <c r="C517" t="n">
        <v>2</v>
      </c>
      <c r="D517" t="inlineStr">
        <is>
          <t>Final Damage %</t>
        </is>
      </c>
      <c r="E517" t="n">
        <v>3</v>
      </c>
      <c r="F517" t="n">
        <v>0.76</v>
      </c>
      <c r="G517" t="b">
        <v>0</v>
      </c>
      <c r="H517">
        <f>Sensitivity!H12</f>
        <v/>
      </c>
    </row>
    <row r="518">
      <c r="A518" t="inlineStr">
        <is>
          <t>legs</t>
        </is>
      </c>
      <c r="B518" t="inlineStr">
        <is>
          <t>unique</t>
        </is>
      </c>
      <c r="C518" t="n">
        <v>3</v>
      </c>
      <c r="D518" t="inlineStr">
        <is>
          <t>Final Damage %</t>
        </is>
      </c>
      <c r="E518" t="n">
        <v>5</v>
      </c>
      <c r="F518" t="n">
        <v>0.08</v>
      </c>
      <c r="G518" t="b">
        <v>1</v>
      </c>
      <c r="H518">
        <f>Sensitivity!H12</f>
        <v/>
      </c>
    </row>
    <row r="519">
      <c r="A519" t="inlineStr">
        <is>
          <t>legs</t>
        </is>
      </c>
      <c r="B519" t="inlineStr">
        <is>
          <t>unique</t>
        </is>
      </c>
      <c r="C519" t="n">
        <v>3</v>
      </c>
      <c r="D519" t="inlineStr">
        <is>
          <t>Final Damage %</t>
        </is>
      </c>
      <c r="E519" t="n">
        <v>3</v>
      </c>
      <c r="F519" t="n">
        <v>0.92</v>
      </c>
      <c r="G519" t="b">
        <v>0</v>
      </c>
      <c r="H519">
        <f>Sensitivity!H12</f>
        <v/>
      </c>
    </row>
    <row r="520">
      <c r="A520" t="inlineStr">
        <is>
          <t>legs</t>
        </is>
      </c>
      <c r="B520" t="inlineStr">
        <is>
          <t>legendary</t>
        </is>
      </c>
      <c r="C520" t="n">
        <v>1</v>
      </c>
      <c r="D520" t="inlineStr">
        <is>
          <t>Final Damage %</t>
        </is>
      </c>
      <c r="E520" t="n">
        <v>8</v>
      </c>
      <c r="F520" t="n">
        <v>1</v>
      </c>
      <c r="G520" t="b">
        <v>1</v>
      </c>
      <c r="H520">
        <f>Sensitivity!H12</f>
        <v/>
      </c>
    </row>
    <row r="521">
      <c r="A521" t="inlineStr">
        <is>
          <t>legs</t>
        </is>
      </c>
      <c r="B521" t="inlineStr">
        <is>
          <t>legendary</t>
        </is>
      </c>
      <c r="C521" t="n">
        <v>2</v>
      </c>
      <c r="D521" t="inlineStr">
        <is>
          <t>Final Damage %</t>
        </is>
      </c>
      <c r="E521" t="n">
        <v>8</v>
      </c>
      <c r="F521" t="n">
        <v>0.24</v>
      </c>
      <c r="G521" t="b">
        <v>1</v>
      </c>
      <c r="H521">
        <f>Sensitivity!H12</f>
        <v/>
      </c>
    </row>
    <row r="522">
      <c r="A522" t="inlineStr">
        <is>
          <t>legs</t>
        </is>
      </c>
      <c r="B522" t="inlineStr">
        <is>
          <t>legendary</t>
        </is>
      </c>
      <c r="C522" t="n">
        <v>2</v>
      </c>
      <c r="D522" t="inlineStr">
        <is>
          <t>Final Damage %</t>
        </is>
      </c>
      <c r="E522" t="n">
        <v>5</v>
      </c>
      <c r="F522" t="n">
        <v>0.76</v>
      </c>
      <c r="G522" t="b">
        <v>0</v>
      </c>
      <c r="H522">
        <f>Sensitivity!H12</f>
        <v/>
      </c>
    </row>
    <row r="523">
      <c r="A523" t="inlineStr">
        <is>
          <t>legs</t>
        </is>
      </c>
      <c r="B523" t="inlineStr">
        <is>
          <t>legendary</t>
        </is>
      </c>
      <c r="C523" t="n">
        <v>3</v>
      </c>
      <c r="D523" t="inlineStr">
        <is>
          <t>Final Damage %</t>
        </is>
      </c>
      <c r="E523" t="n">
        <v>8</v>
      </c>
      <c r="F523" t="n">
        <v>0.08</v>
      </c>
      <c r="G523" t="b">
        <v>1</v>
      </c>
      <c r="H523">
        <f>Sensitivity!H12</f>
        <v/>
      </c>
    </row>
    <row r="524">
      <c r="A524" t="inlineStr">
        <is>
          <t>legs</t>
        </is>
      </c>
      <c r="B524" t="inlineStr">
        <is>
          <t>legendary</t>
        </is>
      </c>
      <c r="C524" t="n">
        <v>3</v>
      </c>
      <c r="D524" t="inlineStr">
        <is>
          <t>Final Damage %</t>
        </is>
      </c>
      <c r="E524" t="n">
        <v>5</v>
      </c>
      <c r="F524" t="n">
        <v>0.92</v>
      </c>
      <c r="G524" t="b">
        <v>0</v>
      </c>
      <c r="H524">
        <f>Sensitivity!H12</f>
        <v/>
      </c>
    </row>
    <row r="525">
      <c r="A525" t="inlineStr">
        <is>
          <t>legs</t>
        </is>
      </c>
      <c r="B525" t="inlineStr">
        <is>
          <t>mystic</t>
        </is>
      </c>
      <c r="C525" t="n">
        <v>1</v>
      </c>
      <c r="D525" t="inlineStr">
        <is>
          <t>Final Damage %</t>
        </is>
      </c>
      <c r="E525" t="n">
        <v>12</v>
      </c>
      <c r="F525" t="n">
        <v>1</v>
      </c>
      <c r="G525" t="b">
        <v>1</v>
      </c>
      <c r="H525">
        <f>Sensitivity!H12</f>
        <v/>
      </c>
    </row>
    <row r="526">
      <c r="A526" t="inlineStr">
        <is>
          <t>legs</t>
        </is>
      </c>
      <c r="B526" t="inlineStr">
        <is>
          <t>mystic</t>
        </is>
      </c>
      <c r="C526" t="n">
        <v>2</v>
      </c>
      <c r="D526" t="inlineStr">
        <is>
          <t>Final Damage %</t>
        </is>
      </c>
      <c r="E526" t="n">
        <v>12</v>
      </c>
      <c r="F526" t="n">
        <v>0.24</v>
      </c>
      <c r="G526" t="b">
        <v>1</v>
      </c>
      <c r="H526">
        <f>Sensitivity!H12</f>
        <v/>
      </c>
    </row>
    <row r="527">
      <c r="A527" t="inlineStr">
        <is>
          <t>legs</t>
        </is>
      </c>
      <c r="B527" t="inlineStr">
        <is>
          <t>mystic</t>
        </is>
      </c>
      <c r="C527" t="n">
        <v>2</v>
      </c>
      <c r="D527" t="inlineStr">
        <is>
          <t>Final Damage %</t>
        </is>
      </c>
      <c r="E527" t="n">
        <v>8</v>
      </c>
      <c r="F527" t="n">
        <v>0.76</v>
      </c>
      <c r="G527" t="b">
        <v>0</v>
      </c>
      <c r="H527">
        <f>Sensitivity!H12</f>
        <v/>
      </c>
    </row>
    <row r="528">
      <c r="A528" t="inlineStr">
        <is>
          <t>legs</t>
        </is>
      </c>
      <c r="B528" t="inlineStr">
        <is>
          <t>mystic</t>
        </is>
      </c>
      <c r="C528" t="n">
        <v>3</v>
      </c>
      <c r="D528" t="inlineStr">
        <is>
          <t>Final Damage %</t>
        </is>
      </c>
      <c r="E528" t="n">
        <v>12</v>
      </c>
      <c r="F528" t="n">
        <v>0.08</v>
      </c>
      <c r="G528" t="b">
        <v>1</v>
      </c>
      <c r="H528">
        <f>Sensitivity!H12</f>
        <v/>
      </c>
    </row>
    <row r="529">
      <c r="A529" t="inlineStr">
        <is>
          <t>legs</t>
        </is>
      </c>
      <c r="B529" t="inlineStr">
        <is>
          <t>mystic</t>
        </is>
      </c>
      <c r="C529" t="n">
        <v>3</v>
      </c>
      <c r="D529" t="inlineStr">
        <is>
          <t>Final Damage %</t>
        </is>
      </c>
      <c r="E529" t="n">
        <v>8</v>
      </c>
      <c r="F529" t="n">
        <v>0.92</v>
      </c>
      <c r="G529" t="b">
        <v>0</v>
      </c>
      <c r="H529">
        <f>Sensitivity!H12</f>
        <v/>
      </c>
    </row>
    <row r="530">
      <c r="A530" t="inlineStr">
        <is>
          <t>belt</t>
        </is>
      </c>
      <c r="B530" t="inlineStr">
        <is>
          <t>epic</t>
        </is>
      </c>
      <c r="C530" t="n">
        <v>1</v>
      </c>
      <c r="D530" t="inlineStr">
        <is>
          <t>Buff Duration Increase %</t>
        </is>
      </c>
      <c r="E530" t="n">
        <v>5</v>
      </c>
      <c r="F530" t="n">
        <v>1</v>
      </c>
      <c r="G530" t="b">
        <v>1</v>
      </c>
      <c r="H530">
        <f>Sensitivity!H30</f>
        <v/>
      </c>
    </row>
    <row r="531">
      <c r="A531" t="inlineStr">
        <is>
          <t>belt</t>
        </is>
      </c>
      <c r="B531" t="inlineStr">
        <is>
          <t>epic</t>
        </is>
      </c>
      <c r="C531" t="n">
        <v>2</v>
      </c>
      <c r="D531" t="inlineStr">
        <is>
          <t>Buff Duration Increase %</t>
        </is>
      </c>
      <c r="E531" t="n">
        <v>5</v>
      </c>
      <c r="F531" t="n">
        <v>0.24</v>
      </c>
      <c r="G531" t="b">
        <v>1</v>
      </c>
      <c r="H531">
        <f>Sensitivity!H30</f>
        <v/>
      </c>
    </row>
    <row r="532">
      <c r="A532" t="inlineStr">
        <is>
          <t>belt</t>
        </is>
      </c>
      <c r="B532" t="inlineStr">
        <is>
          <t>epic</t>
        </is>
      </c>
      <c r="C532" t="n">
        <v>3</v>
      </c>
      <c r="D532" t="inlineStr">
        <is>
          <t>Buff Duration Increase %</t>
        </is>
      </c>
      <c r="E532" t="n">
        <v>5</v>
      </c>
      <c r="F532" t="n">
        <v>0.08</v>
      </c>
      <c r="G532" t="b">
        <v>1</v>
      </c>
      <c r="H532">
        <f>Sensitivity!H30</f>
        <v/>
      </c>
    </row>
    <row r="533">
      <c r="A533" t="inlineStr">
        <is>
          <t>belt</t>
        </is>
      </c>
      <c r="B533" t="inlineStr">
        <is>
          <t>unique</t>
        </is>
      </c>
      <c r="C533" t="n">
        <v>1</v>
      </c>
      <c r="D533" t="inlineStr">
        <is>
          <t>Buff Duration Increase %</t>
        </is>
      </c>
      <c r="E533" t="n">
        <v>8</v>
      </c>
      <c r="F533" t="n">
        <v>1</v>
      </c>
      <c r="G533" t="b">
        <v>1</v>
      </c>
      <c r="H533">
        <f>Sensitivity!H30</f>
        <v/>
      </c>
    </row>
    <row r="534">
      <c r="A534" t="inlineStr">
        <is>
          <t>belt</t>
        </is>
      </c>
      <c r="B534" t="inlineStr">
        <is>
          <t>unique</t>
        </is>
      </c>
      <c r="C534" t="n">
        <v>2</v>
      </c>
      <c r="D534" t="inlineStr">
        <is>
          <t>Buff Duration Increase %</t>
        </is>
      </c>
      <c r="E534" t="n">
        <v>8</v>
      </c>
      <c r="F534" t="n">
        <v>0.24</v>
      </c>
      <c r="G534" t="b">
        <v>1</v>
      </c>
      <c r="H534">
        <f>Sensitivity!H30</f>
        <v/>
      </c>
    </row>
    <row r="535">
      <c r="A535" t="inlineStr">
        <is>
          <t>belt</t>
        </is>
      </c>
      <c r="B535" t="inlineStr">
        <is>
          <t>unique</t>
        </is>
      </c>
      <c r="C535" t="n">
        <v>2</v>
      </c>
      <c r="D535" t="inlineStr">
        <is>
          <t>Buff Duration Increase %</t>
        </is>
      </c>
      <c r="E535" t="n">
        <v>5</v>
      </c>
      <c r="F535" t="n">
        <v>0.76</v>
      </c>
      <c r="G535" t="b">
        <v>0</v>
      </c>
      <c r="H535">
        <f>Sensitivity!H30</f>
        <v/>
      </c>
    </row>
    <row r="536">
      <c r="A536" t="inlineStr">
        <is>
          <t>belt</t>
        </is>
      </c>
      <c r="B536" t="inlineStr">
        <is>
          <t>unique</t>
        </is>
      </c>
      <c r="C536" t="n">
        <v>3</v>
      </c>
      <c r="D536" t="inlineStr">
        <is>
          <t>Buff Duration Increase %</t>
        </is>
      </c>
      <c r="E536" t="n">
        <v>8</v>
      </c>
      <c r="F536" t="n">
        <v>0.08</v>
      </c>
      <c r="G536" t="b">
        <v>1</v>
      </c>
      <c r="H536">
        <f>Sensitivity!H30</f>
        <v/>
      </c>
    </row>
    <row r="537">
      <c r="A537" t="inlineStr">
        <is>
          <t>belt</t>
        </is>
      </c>
      <c r="B537" t="inlineStr">
        <is>
          <t>unique</t>
        </is>
      </c>
      <c r="C537" t="n">
        <v>3</v>
      </c>
      <c r="D537" t="inlineStr">
        <is>
          <t>Buff Duration Increase %</t>
        </is>
      </c>
      <c r="E537" t="n">
        <v>5</v>
      </c>
      <c r="F537" t="n">
        <v>0.92</v>
      </c>
      <c r="G537" t="b">
        <v>0</v>
      </c>
      <c r="H537">
        <f>Sensitivity!H30</f>
        <v/>
      </c>
    </row>
    <row r="538">
      <c r="A538" t="inlineStr">
        <is>
          <t>belt</t>
        </is>
      </c>
      <c r="B538" t="inlineStr">
        <is>
          <t>legendary</t>
        </is>
      </c>
      <c r="C538" t="n">
        <v>1</v>
      </c>
      <c r="D538" t="inlineStr">
        <is>
          <t>Buff Duration Increase %</t>
        </is>
      </c>
      <c r="E538" t="n">
        <v>12</v>
      </c>
      <c r="F538" t="n">
        <v>1</v>
      </c>
      <c r="G538" t="b">
        <v>1</v>
      </c>
      <c r="H538">
        <f>Sensitivity!H30</f>
        <v/>
      </c>
    </row>
    <row r="539">
      <c r="A539" t="inlineStr">
        <is>
          <t>belt</t>
        </is>
      </c>
      <c r="B539" t="inlineStr">
        <is>
          <t>legendary</t>
        </is>
      </c>
      <c r="C539" t="n">
        <v>2</v>
      </c>
      <c r="D539" t="inlineStr">
        <is>
          <t>Buff Duration Increase %</t>
        </is>
      </c>
      <c r="E539" t="n">
        <v>12</v>
      </c>
      <c r="F539" t="n">
        <v>0.24</v>
      </c>
      <c r="G539" t="b">
        <v>1</v>
      </c>
      <c r="H539">
        <f>Sensitivity!H30</f>
        <v/>
      </c>
    </row>
    <row r="540">
      <c r="A540" t="inlineStr">
        <is>
          <t>belt</t>
        </is>
      </c>
      <c r="B540" t="inlineStr">
        <is>
          <t>legendary</t>
        </is>
      </c>
      <c r="C540" t="n">
        <v>2</v>
      </c>
      <c r="D540" t="inlineStr">
        <is>
          <t>Buff Duration Increase %</t>
        </is>
      </c>
      <c r="E540" t="n">
        <v>8</v>
      </c>
      <c r="F540" t="n">
        <v>0.76</v>
      </c>
      <c r="G540" t="b">
        <v>0</v>
      </c>
      <c r="H540">
        <f>Sensitivity!H30</f>
        <v/>
      </c>
    </row>
    <row r="541">
      <c r="A541" t="inlineStr">
        <is>
          <t>belt</t>
        </is>
      </c>
      <c r="B541" t="inlineStr">
        <is>
          <t>legendary</t>
        </is>
      </c>
      <c r="C541" t="n">
        <v>3</v>
      </c>
      <c r="D541" t="inlineStr">
        <is>
          <t>Buff Duration Increase %</t>
        </is>
      </c>
      <c r="E541" t="n">
        <v>12</v>
      </c>
      <c r="F541" t="n">
        <v>0.08</v>
      </c>
      <c r="G541" t="b">
        <v>1</v>
      </c>
      <c r="H541">
        <f>Sensitivity!H30</f>
        <v/>
      </c>
    </row>
    <row r="542">
      <c r="A542" t="inlineStr">
        <is>
          <t>belt</t>
        </is>
      </c>
      <c r="B542" t="inlineStr">
        <is>
          <t>legendary</t>
        </is>
      </c>
      <c r="C542" t="n">
        <v>3</v>
      </c>
      <c r="D542" t="inlineStr">
        <is>
          <t>Buff Duration Increase %</t>
        </is>
      </c>
      <c r="E542" t="n">
        <v>8</v>
      </c>
      <c r="F542" t="n">
        <v>0.92</v>
      </c>
      <c r="G542" t="b">
        <v>0</v>
      </c>
      <c r="H542">
        <f>Sensitivity!H30</f>
        <v/>
      </c>
    </row>
    <row r="543">
      <c r="A543" t="inlineStr">
        <is>
          <t>belt</t>
        </is>
      </c>
      <c r="B543" t="inlineStr">
        <is>
          <t>mystic</t>
        </is>
      </c>
      <c r="C543" t="n">
        <v>1</v>
      </c>
      <c r="D543" t="inlineStr">
        <is>
          <t>Buff Duration Increase %</t>
        </is>
      </c>
      <c r="E543" t="n">
        <v>20</v>
      </c>
      <c r="F543" t="n">
        <v>1</v>
      </c>
      <c r="G543" t="b">
        <v>1</v>
      </c>
      <c r="H543">
        <f>Sensitivity!H30</f>
        <v/>
      </c>
    </row>
    <row r="544">
      <c r="A544" t="inlineStr">
        <is>
          <t>belt</t>
        </is>
      </c>
      <c r="B544" t="inlineStr">
        <is>
          <t>mystic</t>
        </is>
      </c>
      <c r="C544" t="n">
        <v>2</v>
      </c>
      <c r="D544" t="inlineStr">
        <is>
          <t>Buff Duration Increase %</t>
        </is>
      </c>
      <c r="E544" t="n">
        <v>20</v>
      </c>
      <c r="F544" t="n">
        <v>0.24</v>
      </c>
      <c r="G544" t="b">
        <v>1</v>
      </c>
      <c r="H544">
        <f>Sensitivity!H30</f>
        <v/>
      </c>
    </row>
    <row r="545">
      <c r="A545" t="inlineStr">
        <is>
          <t>belt</t>
        </is>
      </c>
      <c r="B545" t="inlineStr">
        <is>
          <t>mystic</t>
        </is>
      </c>
      <c r="C545" t="n">
        <v>2</v>
      </c>
      <c r="D545" t="inlineStr">
        <is>
          <t>Buff Duration Increase %</t>
        </is>
      </c>
      <c r="E545" t="n">
        <v>12</v>
      </c>
      <c r="F545" t="n">
        <v>0.76</v>
      </c>
      <c r="G545" t="b">
        <v>0</v>
      </c>
      <c r="H545">
        <f>Sensitivity!H30</f>
        <v/>
      </c>
    </row>
    <row r="546">
      <c r="A546" t="inlineStr">
        <is>
          <t>belt</t>
        </is>
      </c>
      <c r="B546" t="inlineStr">
        <is>
          <t>mystic</t>
        </is>
      </c>
      <c r="C546" t="n">
        <v>3</v>
      </c>
      <c r="D546" t="inlineStr">
        <is>
          <t>Buff Duration Increase %</t>
        </is>
      </c>
      <c r="E546" t="n">
        <v>20</v>
      </c>
      <c r="F546" t="n">
        <v>0.08</v>
      </c>
      <c r="G546" t="b">
        <v>1</v>
      </c>
      <c r="H546">
        <f>Sensitivity!H30</f>
        <v/>
      </c>
    </row>
    <row r="547">
      <c r="A547" t="inlineStr">
        <is>
          <t>belt</t>
        </is>
      </c>
      <c r="B547" t="inlineStr">
        <is>
          <t>mystic</t>
        </is>
      </c>
      <c r="C547" t="n">
        <v>3</v>
      </c>
      <c r="D547" t="inlineStr">
        <is>
          <t>Buff Duration Increase %</t>
        </is>
      </c>
      <c r="E547" t="n">
        <v>12</v>
      </c>
      <c r="F547" t="n">
        <v>0.92</v>
      </c>
      <c r="G547" t="b">
        <v>0</v>
      </c>
      <c r="H547">
        <f>Sensitivity!H30</f>
        <v/>
      </c>
    </row>
    <row r="548">
      <c r="A548" t="inlineStr">
        <is>
          <t>gloves</t>
        </is>
      </c>
      <c r="B548" t="inlineStr">
        <is>
          <t>epic</t>
        </is>
      </c>
      <c r="C548" t="n">
        <v>1</v>
      </c>
      <c r="D548" t="inlineStr">
        <is>
          <t>Critical Damage %</t>
        </is>
      </c>
      <c r="E548" t="n">
        <v>10</v>
      </c>
      <c r="F548" t="n">
        <v>1</v>
      </c>
      <c r="G548" t="b">
        <v>1</v>
      </c>
      <c r="H548">
        <f>Sensitivity!H16</f>
        <v/>
      </c>
    </row>
    <row r="549">
      <c r="A549" t="inlineStr">
        <is>
          <t>gloves</t>
        </is>
      </c>
      <c r="B549" t="inlineStr">
        <is>
          <t>epic</t>
        </is>
      </c>
      <c r="C549" t="n">
        <v>2</v>
      </c>
      <c r="D549" t="inlineStr">
        <is>
          <t>Critical Damage %</t>
        </is>
      </c>
      <c r="E549" t="n">
        <v>10</v>
      </c>
      <c r="F549" t="n">
        <v>0.24</v>
      </c>
      <c r="G549" t="b">
        <v>1</v>
      </c>
      <c r="H549">
        <f>Sensitivity!H16</f>
        <v/>
      </c>
    </row>
    <row r="550">
      <c r="A550" t="inlineStr">
        <is>
          <t>gloves</t>
        </is>
      </c>
      <c r="B550" t="inlineStr">
        <is>
          <t>epic</t>
        </is>
      </c>
      <c r="C550" t="n">
        <v>3</v>
      </c>
      <c r="D550" t="inlineStr">
        <is>
          <t>Critical Damage %</t>
        </is>
      </c>
      <c r="E550" t="n">
        <v>10</v>
      </c>
      <c r="F550" t="n">
        <v>0.08</v>
      </c>
      <c r="G550" t="b">
        <v>1</v>
      </c>
      <c r="H550">
        <f>Sensitivity!H16</f>
        <v/>
      </c>
    </row>
    <row r="551">
      <c r="A551" t="inlineStr">
        <is>
          <t>gloves</t>
        </is>
      </c>
      <c r="B551" t="inlineStr">
        <is>
          <t>unique</t>
        </is>
      </c>
      <c r="C551" t="n">
        <v>1</v>
      </c>
      <c r="D551" t="inlineStr">
        <is>
          <t>Critical Damage %</t>
        </is>
      </c>
      <c r="E551" t="n">
        <v>20</v>
      </c>
      <c r="F551" t="n">
        <v>1</v>
      </c>
      <c r="G551" t="b">
        <v>1</v>
      </c>
      <c r="H551">
        <f>Sensitivity!H16</f>
        <v/>
      </c>
    </row>
    <row r="552">
      <c r="A552" t="inlineStr">
        <is>
          <t>gloves</t>
        </is>
      </c>
      <c r="B552" t="inlineStr">
        <is>
          <t>unique</t>
        </is>
      </c>
      <c r="C552" t="n">
        <v>2</v>
      </c>
      <c r="D552" t="inlineStr">
        <is>
          <t>Critical Damage %</t>
        </is>
      </c>
      <c r="E552" t="n">
        <v>20</v>
      </c>
      <c r="F552" t="n">
        <v>0.24</v>
      </c>
      <c r="G552" t="b">
        <v>1</v>
      </c>
      <c r="H552">
        <f>Sensitivity!H16</f>
        <v/>
      </c>
    </row>
    <row r="553">
      <c r="A553" t="inlineStr">
        <is>
          <t>gloves</t>
        </is>
      </c>
      <c r="B553" t="inlineStr">
        <is>
          <t>unique</t>
        </is>
      </c>
      <c r="C553" t="n">
        <v>2</v>
      </c>
      <c r="D553" t="inlineStr">
        <is>
          <t>Critical Damage %</t>
        </is>
      </c>
      <c r="E553" t="n">
        <v>10</v>
      </c>
      <c r="F553" t="n">
        <v>0.76</v>
      </c>
      <c r="G553" t="b">
        <v>0</v>
      </c>
      <c r="H553">
        <f>Sensitivity!H16</f>
        <v/>
      </c>
    </row>
    <row r="554">
      <c r="A554" t="inlineStr">
        <is>
          <t>gloves</t>
        </is>
      </c>
      <c r="B554" t="inlineStr">
        <is>
          <t>unique</t>
        </is>
      </c>
      <c r="C554" t="n">
        <v>3</v>
      </c>
      <c r="D554" t="inlineStr">
        <is>
          <t>Critical Damage %</t>
        </is>
      </c>
      <c r="E554" t="n">
        <v>20</v>
      </c>
      <c r="F554" t="n">
        <v>0.08</v>
      </c>
      <c r="G554" t="b">
        <v>1</v>
      </c>
      <c r="H554">
        <f>Sensitivity!H16</f>
        <v/>
      </c>
    </row>
    <row r="555">
      <c r="A555" t="inlineStr">
        <is>
          <t>gloves</t>
        </is>
      </c>
      <c r="B555" t="inlineStr">
        <is>
          <t>unique</t>
        </is>
      </c>
      <c r="C555" t="n">
        <v>3</v>
      </c>
      <c r="D555" t="inlineStr">
        <is>
          <t>Critical Damage %</t>
        </is>
      </c>
      <c r="E555" t="n">
        <v>10</v>
      </c>
      <c r="F555" t="n">
        <v>0.92</v>
      </c>
      <c r="G555" t="b">
        <v>0</v>
      </c>
      <c r="H555">
        <f>Sensitivity!H16</f>
        <v/>
      </c>
    </row>
    <row r="556">
      <c r="A556" t="inlineStr">
        <is>
          <t>gloves</t>
        </is>
      </c>
      <c r="B556" t="inlineStr">
        <is>
          <t>legendary</t>
        </is>
      </c>
      <c r="C556" t="n">
        <v>1</v>
      </c>
      <c r="D556" t="inlineStr">
        <is>
          <t>Critical Damage %</t>
        </is>
      </c>
      <c r="E556" t="n">
        <v>30</v>
      </c>
      <c r="F556" t="n">
        <v>1</v>
      </c>
      <c r="G556" t="b">
        <v>1</v>
      </c>
      <c r="H556">
        <f>Sensitivity!H16</f>
        <v/>
      </c>
    </row>
    <row r="557">
      <c r="A557" t="inlineStr">
        <is>
          <t>gloves</t>
        </is>
      </c>
      <c r="B557" t="inlineStr">
        <is>
          <t>legendary</t>
        </is>
      </c>
      <c r="C557" t="n">
        <v>2</v>
      </c>
      <c r="D557" t="inlineStr">
        <is>
          <t>Critical Damage %</t>
        </is>
      </c>
      <c r="E557" t="n">
        <v>30</v>
      </c>
      <c r="F557" t="n">
        <v>0.24</v>
      </c>
      <c r="G557" t="b">
        <v>1</v>
      </c>
      <c r="H557">
        <f>Sensitivity!H16</f>
        <v/>
      </c>
    </row>
    <row r="558">
      <c r="A558" t="inlineStr">
        <is>
          <t>gloves</t>
        </is>
      </c>
      <c r="B558" t="inlineStr">
        <is>
          <t>legendary</t>
        </is>
      </c>
      <c r="C558" t="n">
        <v>2</v>
      </c>
      <c r="D558" t="inlineStr">
        <is>
          <t>Critical Damage %</t>
        </is>
      </c>
      <c r="E558" t="n">
        <v>20</v>
      </c>
      <c r="F558" t="n">
        <v>0.76</v>
      </c>
      <c r="G558" t="b">
        <v>0</v>
      </c>
      <c r="H558">
        <f>Sensitivity!H16</f>
        <v/>
      </c>
    </row>
    <row r="559">
      <c r="A559" t="inlineStr">
        <is>
          <t>gloves</t>
        </is>
      </c>
      <c r="B559" t="inlineStr">
        <is>
          <t>legendary</t>
        </is>
      </c>
      <c r="C559" t="n">
        <v>3</v>
      </c>
      <c r="D559" t="inlineStr">
        <is>
          <t>Critical Damage %</t>
        </is>
      </c>
      <c r="E559" t="n">
        <v>30</v>
      </c>
      <c r="F559" t="n">
        <v>0.08</v>
      </c>
      <c r="G559" t="b">
        <v>1</v>
      </c>
      <c r="H559">
        <f>Sensitivity!H16</f>
        <v/>
      </c>
    </row>
    <row r="560">
      <c r="A560" t="inlineStr">
        <is>
          <t>gloves</t>
        </is>
      </c>
      <c r="B560" t="inlineStr">
        <is>
          <t>legendary</t>
        </is>
      </c>
      <c r="C560" t="n">
        <v>3</v>
      </c>
      <c r="D560" t="inlineStr">
        <is>
          <t>Critical Damage %</t>
        </is>
      </c>
      <c r="E560" t="n">
        <v>20</v>
      </c>
      <c r="F560" t="n">
        <v>0.92</v>
      </c>
      <c r="G560" t="b">
        <v>0</v>
      </c>
      <c r="H560">
        <f>Sensitivity!H16</f>
        <v/>
      </c>
    </row>
    <row r="561">
      <c r="A561" t="inlineStr">
        <is>
          <t>gloves</t>
        </is>
      </c>
      <c r="B561" t="inlineStr">
        <is>
          <t>mystic</t>
        </is>
      </c>
      <c r="C561" t="n">
        <v>1</v>
      </c>
      <c r="D561" t="inlineStr">
        <is>
          <t>Critical Damage %</t>
        </is>
      </c>
      <c r="E561" t="n">
        <v>50</v>
      </c>
      <c r="F561" t="n">
        <v>1</v>
      </c>
      <c r="G561" t="b">
        <v>1</v>
      </c>
      <c r="H561">
        <f>Sensitivity!H16</f>
        <v/>
      </c>
    </row>
    <row r="562">
      <c r="A562" t="inlineStr">
        <is>
          <t>gloves</t>
        </is>
      </c>
      <c r="B562" t="inlineStr">
        <is>
          <t>mystic</t>
        </is>
      </c>
      <c r="C562" t="n">
        <v>2</v>
      </c>
      <c r="D562" t="inlineStr">
        <is>
          <t>Critical Damage %</t>
        </is>
      </c>
      <c r="E562" t="n">
        <v>50</v>
      </c>
      <c r="F562" t="n">
        <v>0.24</v>
      </c>
      <c r="G562" t="b">
        <v>1</v>
      </c>
      <c r="H562">
        <f>Sensitivity!H16</f>
        <v/>
      </c>
    </row>
    <row r="563">
      <c r="A563" t="inlineStr">
        <is>
          <t>gloves</t>
        </is>
      </c>
      <c r="B563" t="inlineStr">
        <is>
          <t>mystic</t>
        </is>
      </c>
      <c r="C563" t="n">
        <v>2</v>
      </c>
      <c r="D563" t="inlineStr">
        <is>
          <t>Critical Damage %</t>
        </is>
      </c>
      <c r="E563" t="n">
        <v>30</v>
      </c>
      <c r="F563" t="n">
        <v>0.76</v>
      </c>
      <c r="G563" t="b">
        <v>0</v>
      </c>
      <c r="H563">
        <f>Sensitivity!H16</f>
        <v/>
      </c>
    </row>
    <row r="564">
      <c r="A564" t="inlineStr">
        <is>
          <t>gloves</t>
        </is>
      </c>
      <c r="B564" t="inlineStr">
        <is>
          <t>mystic</t>
        </is>
      </c>
      <c r="C564" t="n">
        <v>3</v>
      </c>
      <c r="D564" t="inlineStr">
        <is>
          <t>Critical Damage %</t>
        </is>
      </c>
      <c r="E564" t="n">
        <v>50</v>
      </c>
      <c r="F564" t="n">
        <v>0.08</v>
      </c>
      <c r="G564" t="b">
        <v>1</v>
      </c>
      <c r="H564">
        <f>Sensitivity!H16</f>
        <v/>
      </c>
    </row>
    <row r="565">
      <c r="A565" t="inlineStr">
        <is>
          <t>gloves</t>
        </is>
      </c>
      <c r="B565" t="inlineStr">
        <is>
          <t>mystic</t>
        </is>
      </c>
      <c r="C565" t="n">
        <v>3</v>
      </c>
      <c r="D565" t="inlineStr">
        <is>
          <t>Critical Damage %</t>
        </is>
      </c>
      <c r="E565" t="n">
        <v>30</v>
      </c>
      <c r="F565" t="n">
        <v>0.92</v>
      </c>
      <c r="G565" t="b">
        <v>0</v>
      </c>
      <c r="H565">
        <f>Sensitivity!H16</f>
        <v/>
      </c>
    </row>
    <row r="566">
      <c r="A566" t="inlineStr">
        <is>
          <t>boots</t>
        </is>
      </c>
      <c r="B566" t="inlineStr">
        <is>
          <t>epic</t>
        </is>
      </c>
      <c r="C566" t="n">
        <v>1</v>
      </c>
      <c r="D566" t="inlineStr">
        <is>
          <t>Companion Summoning Time Increase %</t>
        </is>
      </c>
      <c r="E566" t="n">
        <v>5</v>
      </c>
      <c r="F566" t="n">
        <v>1</v>
      </c>
      <c r="G566" t="b">
        <v>1</v>
      </c>
      <c r="H566">
        <f>Sensitivity!H16</f>
        <v/>
      </c>
    </row>
    <row r="567">
      <c r="A567" t="inlineStr">
        <is>
          <t>boots</t>
        </is>
      </c>
      <c r="B567" t="inlineStr">
        <is>
          <t>epic</t>
        </is>
      </c>
      <c r="C567" t="n">
        <v>2</v>
      </c>
      <c r="D567" t="inlineStr">
        <is>
          <t>Companion Summoning Time Increase %</t>
        </is>
      </c>
      <c r="E567" t="n">
        <v>5</v>
      </c>
      <c r="F567" t="n">
        <v>0.24</v>
      </c>
      <c r="G567" t="b">
        <v>1</v>
      </c>
      <c r="H567">
        <f>Sensitivity!H16</f>
        <v/>
      </c>
    </row>
    <row r="568">
      <c r="A568" t="inlineStr">
        <is>
          <t>boots</t>
        </is>
      </c>
      <c r="B568" t="inlineStr">
        <is>
          <t>epic</t>
        </is>
      </c>
      <c r="C568" t="n">
        <v>3</v>
      </c>
      <c r="D568" t="inlineStr">
        <is>
          <t>Companion Summoning Time Increase %</t>
        </is>
      </c>
      <c r="E568" t="n">
        <v>5</v>
      </c>
      <c r="F568" t="n">
        <v>0.08</v>
      </c>
      <c r="G568" t="b">
        <v>1</v>
      </c>
      <c r="H568">
        <f>Sensitivity!H16</f>
        <v/>
      </c>
    </row>
    <row r="569">
      <c r="A569" t="inlineStr">
        <is>
          <t>boots</t>
        </is>
      </c>
      <c r="B569" t="inlineStr">
        <is>
          <t>unique</t>
        </is>
      </c>
      <c r="C569" t="n">
        <v>1</v>
      </c>
      <c r="D569" t="inlineStr">
        <is>
          <t>Companion Summoning Time Increase %</t>
        </is>
      </c>
      <c r="E569" t="n">
        <v>8</v>
      </c>
      <c r="F569" t="n">
        <v>1</v>
      </c>
      <c r="G569" t="b">
        <v>1</v>
      </c>
      <c r="H569">
        <f>Sensitivity!H16</f>
        <v/>
      </c>
    </row>
    <row r="570">
      <c r="A570" t="inlineStr">
        <is>
          <t>boots</t>
        </is>
      </c>
      <c r="B570" t="inlineStr">
        <is>
          <t>unique</t>
        </is>
      </c>
      <c r="C570" t="n">
        <v>2</v>
      </c>
      <c r="D570" t="inlineStr">
        <is>
          <t>Companion Summoning Time Increase %</t>
        </is>
      </c>
      <c r="E570" t="n">
        <v>8</v>
      </c>
      <c r="F570" t="n">
        <v>0.24</v>
      </c>
      <c r="G570" t="b">
        <v>1</v>
      </c>
      <c r="H570">
        <f>Sensitivity!H16</f>
        <v/>
      </c>
    </row>
    <row r="571">
      <c r="A571" t="inlineStr">
        <is>
          <t>boots</t>
        </is>
      </c>
      <c r="B571" t="inlineStr">
        <is>
          <t>unique</t>
        </is>
      </c>
      <c r="C571" t="n">
        <v>2</v>
      </c>
      <c r="D571" t="inlineStr">
        <is>
          <t>Companion Summoning Time Increase %</t>
        </is>
      </c>
      <c r="E571" t="n">
        <v>5</v>
      </c>
      <c r="F571" t="n">
        <v>0.76</v>
      </c>
      <c r="G571" t="b">
        <v>0</v>
      </c>
      <c r="H571">
        <f>Sensitivity!H16</f>
        <v/>
      </c>
    </row>
    <row r="572">
      <c r="A572" t="inlineStr">
        <is>
          <t>boots</t>
        </is>
      </c>
      <c r="B572" t="inlineStr">
        <is>
          <t>unique</t>
        </is>
      </c>
      <c r="C572" t="n">
        <v>3</v>
      </c>
      <c r="D572" t="inlineStr">
        <is>
          <t>Companion Summoning Time Increase %</t>
        </is>
      </c>
      <c r="E572" t="n">
        <v>8</v>
      </c>
      <c r="F572" t="n">
        <v>0.08</v>
      </c>
      <c r="G572" t="b">
        <v>1</v>
      </c>
      <c r="H572">
        <f>Sensitivity!H16</f>
        <v/>
      </c>
    </row>
    <row r="573">
      <c r="A573" t="inlineStr">
        <is>
          <t>boots</t>
        </is>
      </c>
      <c r="B573" t="inlineStr">
        <is>
          <t>unique</t>
        </is>
      </c>
      <c r="C573" t="n">
        <v>3</v>
      </c>
      <c r="D573" t="inlineStr">
        <is>
          <t>Companion Summoning Time Increase %</t>
        </is>
      </c>
      <c r="E573" t="n">
        <v>5</v>
      </c>
      <c r="F573" t="n">
        <v>0.92</v>
      </c>
      <c r="G573" t="b">
        <v>0</v>
      </c>
      <c r="H573">
        <f>Sensitivity!H16</f>
        <v/>
      </c>
    </row>
    <row r="574">
      <c r="A574" t="inlineStr">
        <is>
          <t>boots</t>
        </is>
      </c>
      <c r="B574" t="inlineStr">
        <is>
          <t>legendary</t>
        </is>
      </c>
      <c r="C574" t="n">
        <v>1</v>
      </c>
      <c r="D574" t="inlineStr">
        <is>
          <t>Companion Summoning Time Increase %</t>
        </is>
      </c>
      <c r="E574" t="n">
        <v>12</v>
      </c>
      <c r="F574" t="n">
        <v>1</v>
      </c>
      <c r="G574" t="b">
        <v>1</v>
      </c>
      <c r="H574">
        <f>Sensitivity!H16</f>
        <v/>
      </c>
    </row>
    <row r="575">
      <c r="A575" t="inlineStr">
        <is>
          <t>boots</t>
        </is>
      </c>
      <c r="B575" t="inlineStr">
        <is>
          <t>legendary</t>
        </is>
      </c>
      <c r="C575" t="n">
        <v>2</v>
      </c>
      <c r="D575" t="inlineStr">
        <is>
          <t>Companion Summoning Time Increase %</t>
        </is>
      </c>
      <c r="E575" t="n">
        <v>12</v>
      </c>
      <c r="F575" t="n">
        <v>0.24</v>
      </c>
      <c r="G575" t="b">
        <v>1</v>
      </c>
      <c r="H575">
        <f>Sensitivity!H16</f>
        <v/>
      </c>
    </row>
    <row r="576">
      <c r="A576" t="inlineStr">
        <is>
          <t>boots</t>
        </is>
      </c>
      <c r="B576" t="inlineStr">
        <is>
          <t>legendary</t>
        </is>
      </c>
      <c r="C576" t="n">
        <v>2</v>
      </c>
      <c r="D576" t="inlineStr">
        <is>
          <t>Companion Summoning Time Increase %</t>
        </is>
      </c>
      <c r="E576" t="n">
        <v>8</v>
      </c>
      <c r="F576" t="n">
        <v>0.76</v>
      </c>
      <c r="G576" t="b">
        <v>0</v>
      </c>
      <c r="H576">
        <f>Sensitivity!H16</f>
        <v/>
      </c>
    </row>
    <row r="577">
      <c r="A577" t="inlineStr">
        <is>
          <t>boots</t>
        </is>
      </c>
      <c r="B577" t="inlineStr">
        <is>
          <t>legendary</t>
        </is>
      </c>
      <c r="C577" t="n">
        <v>3</v>
      </c>
      <c r="D577" t="inlineStr">
        <is>
          <t>Companion Summoning Time Increase %</t>
        </is>
      </c>
      <c r="E577" t="n">
        <v>12</v>
      </c>
      <c r="F577" t="n">
        <v>0.08</v>
      </c>
      <c r="G577" t="b">
        <v>1</v>
      </c>
      <c r="H577">
        <f>Sensitivity!H16</f>
        <v/>
      </c>
    </row>
    <row r="578">
      <c r="A578" t="inlineStr">
        <is>
          <t>boots</t>
        </is>
      </c>
      <c r="B578" t="inlineStr">
        <is>
          <t>legendary</t>
        </is>
      </c>
      <c r="C578" t="n">
        <v>3</v>
      </c>
      <c r="D578" t="inlineStr">
        <is>
          <t>Companion Summoning Time Increase %</t>
        </is>
      </c>
      <c r="E578" t="n">
        <v>8</v>
      </c>
      <c r="F578" t="n">
        <v>0.92</v>
      </c>
      <c r="G578" t="b">
        <v>0</v>
      </c>
      <c r="H578">
        <f>Sensitivity!H16</f>
        <v/>
      </c>
    </row>
    <row r="579">
      <c r="A579" t="inlineStr">
        <is>
          <t>boots</t>
        </is>
      </c>
      <c r="B579" t="inlineStr">
        <is>
          <t>mystic</t>
        </is>
      </c>
      <c r="C579" t="n">
        <v>1</v>
      </c>
      <c r="D579" t="inlineStr">
        <is>
          <t>Companion Summoning Time Increase %</t>
        </is>
      </c>
      <c r="E579" t="n">
        <v>20</v>
      </c>
      <c r="F579" t="n">
        <v>1</v>
      </c>
      <c r="G579" t="b">
        <v>1</v>
      </c>
      <c r="H579">
        <f>Sensitivity!H16</f>
        <v/>
      </c>
    </row>
    <row r="580">
      <c r="A580" t="inlineStr">
        <is>
          <t>boots</t>
        </is>
      </c>
      <c r="B580" t="inlineStr">
        <is>
          <t>mystic</t>
        </is>
      </c>
      <c r="C580" t="n">
        <v>2</v>
      </c>
      <c r="D580" t="inlineStr">
        <is>
          <t>Companion Summoning Time Increase %</t>
        </is>
      </c>
      <c r="E580" t="n">
        <v>20</v>
      </c>
      <c r="F580" t="n">
        <v>0.24</v>
      </c>
      <c r="G580" t="b">
        <v>1</v>
      </c>
      <c r="H580">
        <f>Sensitivity!H16</f>
        <v/>
      </c>
    </row>
    <row r="581">
      <c r="A581" t="inlineStr">
        <is>
          <t>boots</t>
        </is>
      </c>
      <c r="B581" t="inlineStr">
        <is>
          <t>mystic</t>
        </is>
      </c>
      <c r="C581" t="n">
        <v>2</v>
      </c>
      <c r="D581" t="inlineStr">
        <is>
          <t>Companion Summoning Time Increase %</t>
        </is>
      </c>
      <c r="E581" t="n">
        <v>12</v>
      </c>
      <c r="F581" t="n">
        <v>0.76</v>
      </c>
      <c r="G581" t="b">
        <v>0</v>
      </c>
      <c r="H581">
        <f>Sensitivity!H16</f>
        <v/>
      </c>
    </row>
    <row r="582">
      <c r="A582" t="inlineStr">
        <is>
          <t>boots</t>
        </is>
      </c>
      <c r="B582" t="inlineStr">
        <is>
          <t>mystic</t>
        </is>
      </c>
      <c r="C582" t="n">
        <v>3</v>
      </c>
      <c r="D582" t="inlineStr">
        <is>
          <t>Companion Summoning Time Increase %</t>
        </is>
      </c>
      <c r="E582" t="n">
        <v>20</v>
      </c>
      <c r="F582" t="n">
        <v>0.08</v>
      </c>
      <c r="G582" t="b">
        <v>1</v>
      </c>
      <c r="H582">
        <f>Sensitivity!H16</f>
        <v/>
      </c>
    </row>
    <row r="583">
      <c r="A583" t="inlineStr">
        <is>
          <t>boots</t>
        </is>
      </c>
      <c r="B583" t="inlineStr">
        <is>
          <t>mystic</t>
        </is>
      </c>
      <c r="C583" t="n">
        <v>3</v>
      </c>
      <c r="D583" t="inlineStr">
        <is>
          <t>Companion Summoning Time Increase %</t>
        </is>
      </c>
      <c r="E583" t="n">
        <v>12</v>
      </c>
      <c r="F583" t="n">
        <v>0.92</v>
      </c>
      <c r="G583" t="b">
        <v>0</v>
      </c>
      <c r="H583">
        <f>Sensitivity!H16</f>
        <v/>
      </c>
    </row>
    <row r="584">
      <c r="A584" t="inlineStr">
        <is>
          <t>ring</t>
        </is>
      </c>
      <c r="B584" t="inlineStr">
        <is>
          <t>epic</t>
        </is>
      </c>
      <c r="C584" t="n">
        <v>1</v>
      </c>
      <c r="D584" t="inlineStr">
        <is>
          <t>All Skill Level</t>
        </is>
      </c>
      <c r="E584" t="n">
        <v>5</v>
      </c>
      <c r="F584" t="n">
        <v>1</v>
      </c>
      <c r="G584" t="b">
        <v>1</v>
      </c>
      <c r="H584">
        <f>Sensitivity!H25</f>
        <v/>
      </c>
    </row>
    <row r="585">
      <c r="A585" t="inlineStr">
        <is>
          <t>ring</t>
        </is>
      </c>
      <c r="B585" t="inlineStr">
        <is>
          <t>epic</t>
        </is>
      </c>
      <c r="C585" t="n">
        <v>2</v>
      </c>
      <c r="D585" t="inlineStr">
        <is>
          <t>All Skill Level</t>
        </is>
      </c>
      <c r="E585" t="n">
        <v>5</v>
      </c>
      <c r="F585" t="n">
        <v>0.24</v>
      </c>
      <c r="G585" t="b">
        <v>1</v>
      </c>
      <c r="H585">
        <f>Sensitivity!H25</f>
        <v/>
      </c>
    </row>
    <row r="586">
      <c r="A586" t="inlineStr">
        <is>
          <t>ring</t>
        </is>
      </c>
      <c r="B586" t="inlineStr">
        <is>
          <t>epic</t>
        </is>
      </c>
      <c r="C586" t="n">
        <v>3</v>
      </c>
      <c r="D586" t="inlineStr">
        <is>
          <t>All Skill Level</t>
        </is>
      </c>
      <c r="E586" t="n">
        <v>5</v>
      </c>
      <c r="F586" t="n">
        <v>0.08</v>
      </c>
      <c r="G586" t="b">
        <v>1</v>
      </c>
      <c r="H586">
        <f>Sensitivity!H25</f>
        <v/>
      </c>
    </row>
    <row r="587">
      <c r="A587" t="inlineStr">
        <is>
          <t>ring</t>
        </is>
      </c>
      <c r="B587" t="inlineStr">
        <is>
          <t>unique</t>
        </is>
      </c>
      <c r="C587" t="n">
        <v>1</v>
      </c>
      <c r="D587" t="inlineStr">
        <is>
          <t>All Skill Level</t>
        </is>
      </c>
      <c r="E587" t="n">
        <v>8</v>
      </c>
      <c r="F587" t="n">
        <v>1</v>
      </c>
      <c r="G587" t="b">
        <v>1</v>
      </c>
      <c r="H587">
        <f>Sensitivity!H25</f>
        <v/>
      </c>
    </row>
    <row r="588">
      <c r="A588" t="inlineStr">
        <is>
          <t>ring</t>
        </is>
      </c>
      <c r="B588" t="inlineStr">
        <is>
          <t>unique</t>
        </is>
      </c>
      <c r="C588" t="n">
        <v>2</v>
      </c>
      <c r="D588" t="inlineStr">
        <is>
          <t>All Skill Level</t>
        </is>
      </c>
      <c r="E588" t="n">
        <v>8</v>
      </c>
      <c r="F588" t="n">
        <v>0.24</v>
      </c>
      <c r="G588" t="b">
        <v>1</v>
      </c>
      <c r="H588">
        <f>Sensitivity!H25</f>
        <v/>
      </c>
    </row>
    <row r="589">
      <c r="A589" t="inlineStr">
        <is>
          <t>ring</t>
        </is>
      </c>
      <c r="B589" t="inlineStr">
        <is>
          <t>unique</t>
        </is>
      </c>
      <c r="C589" t="n">
        <v>2</v>
      </c>
      <c r="D589" t="inlineStr">
        <is>
          <t>All Skill Level</t>
        </is>
      </c>
      <c r="E589" t="n">
        <v>5</v>
      </c>
      <c r="F589" t="n">
        <v>0.76</v>
      </c>
      <c r="G589" t="b">
        <v>0</v>
      </c>
      <c r="H589">
        <f>Sensitivity!H25</f>
        <v/>
      </c>
    </row>
    <row r="590">
      <c r="A590" t="inlineStr">
        <is>
          <t>ring</t>
        </is>
      </c>
      <c r="B590" t="inlineStr">
        <is>
          <t>unique</t>
        </is>
      </c>
      <c r="C590" t="n">
        <v>3</v>
      </c>
      <c r="D590" t="inlineStr">
        <is>
          <t>All Skill Level</t>
        </is>
      </c>
      <c r="E590" t="n">
        <v>8</v>
      </c>
      <c r="F590" t="n">
        <v>0.08</v>
      </c>
      <c r="G590" t="b">
        <v>1</v>
      </c>
      <c r="H590">
        <f>Sensitivity!H25</f>
        <v/>
      </c>
    </row>
    <row r="591">
      <c r="A591" t="inlineStr">
        <is>
          <t>ring</t>
        </is>
      </c>
      <c r="B591" t="inlineStr">
        <is>
          <t>unique</t>
        </is>
      </c>
      <c r="C591" t="n">
        <v>3</v>
      </c>
      <c r="D591" t="inlineStr">
        <is>
          <t>All Skill Level</t>
        </is>
      </c>
      <c r="E591" t="n">
        <v>5</v>
      </c>
      <c r="F591" t="n">
        <v>0.92</v>
      </c>
      <c r="G591" t="b">
        <v>0</v>
      </c>
      <c r="H591">
        <f>Sensitivity!H25</f>
        <v/>
      </c>
    </row>
    <row r="592">
      <c r="A592" t="inlineStr">
        <is>
          <t>ring</t>
        </is>
      </c>
      <c r="B592" t="inlineStr">
        <is>
          <t>legendary</t>
        </is>
      </c>
      <c r="C592" t="n">
        <v>1</v>
      </c>
      <c r="D592" t="inlineStr">
        <is>
          <t>All Skill Level</t>
        </is>
      </c>
      <c r="E592" t="n">
        <v>12</v>
      </c>
      <c r="F592" t="n">
        <v>1</v>
      </c>
      <c r="G592" t="b">
        <v>1</v>
      </c>
      <c r="H592">
        <f>Sensitivity!H25</f>
        <v/>
      </c>
    </row>
    <row r="593">
      <c r="A593" t="inlineStr">
        <is>
          <t>ring</t>
        </is>
      </c>
      <c r="B593" t="inlineStr">
        <is>
          <t>legendary</t>
        </is>
      </c>
      <c r="C593" t="n">
        <v>2</v>
      </c>
      <c r="D593" t="inlineStr">
        <is>
          <t>All Skill Level</t>
        </is>
      </c>
      <c r="E593" t="n">
        <v>12</v>
      </c>
      <c r="F593" t="n">
        <v>0.24</v>
      </c>
      <c r="G593" t="b">
        <v>1</v>
      </c>
      <c r="H593">
        <f>Sensitivity!H25</f>
        <v/>
      </c>
    </row>
    <row r="594">
      <c r="A594" t="inlineStr">
        <is>
          <t>ring</t>
        </is>
      </c>
      <c r="B594" t="inlineStr">
        <is>
          <t>legendary</t>
        </is>
      </c>
      <c r="C594" t="n">
        <v>2</v>
      </c>
      <c r="D594" t="inlineStr">
        <is>
          <t>All Skill Level</t>
        </is>
      </c>
      <c r="E594" t="n">
        <v>8</v>
      </c>
      <c r="F594" t="n">
        <v>0.76</v>
      </c>
      <c r="G594" t="b">
        <v>0</v>
      </c>
      <c r="H594">
        <f>Sensitivity!H25</f>
        <v/>
      </c>
    </row>
    <row r="595">
      <c r="A595" t="inlineStr">
        <is>
          <t>ring</t>
        </is>
      </c>
      <c r="B595" t="inlineStr">
        <is>
          <t>legendary</t>
        </is>
      </c>
      <c r="C595" t="n">
        <v>3</v>
      </c>
      <c r="D595" t="inlineStr">
        <is>
          <t>All Skill Level</t>
        </is>
      </c>
      <c r="E595" t="n">
        <v>12</v>
      </c>
      <c r="F595" t="n">
        <v>0.08</v>
      </c>
      <c r="G595" t="b">
        <v>1</v>
      </c>
      <c r="H595">
        <f>Sensitivity!H25</f>
        <v/>
      </c>
    </row>
    <row r="596">
      <c r="A596" t="inlineStr">
        <is>
          <t>ring</t>
        </is>
      </c>
      <c r="B596" t="inlineStr">
        <is>
          <t>legendary</t>
        </is>
      </c>
      <c r="C596" t="n">
        <v>3</v>
      </c>
      <c r="D596" t="inlineStr">
        <is>
          <t>All Skill Level</t>
        </is>
      </c>
      <c r="E596" t="n">
        <v>8</v>
      </c>
      <c r="F596" t="n">
        <v>0.92</v>
      </c>
      <c r="G596" t="b">
        <v>0</v>
      </c>
      <c r="H596">
        <f>Sensitivity!H25</f>
        <v/>
      </c>
    </row>
    <row r="597">
      <c r="A597" t="inlineStr">
        <is>
          <t>ring</t>
        </is>
      </c>
      <c r="B597" t="inlineStr">
        <is>
          <t>mystic</t>
        </is>
      </c>
      <c r="C597" t="n">
        <v>1</v>
      </c>
      <c r="D597" t="inlineStr">
        <is>
          <t>All Skill Level</t>
        </is>
      </c>
      <c r="E597" t="n">
        <v>16</v>
      </c>
      <c r="F597" t="n">
        <v>1</v>
      </c>
      <c r="G597" t="b">
        <v>1</v>
      </c>
      <c r="H597">
        <f>Sensitivity!H25</f>
        <v/>
      </c>
    </row>
    <row r="598">
      <c r="A598" t="inlineStr">
        <is>
          <t>ring</t>
        </is>
      </c>
      <c r="B598" t="inlineStr">
        <is>
          <t>mystic</t>
        </is>
      </c>
      <c r="C598" t="n">
        <v>2</v>
      </c>
      <c r="D598" t="inlineStr">
        <is>
          <t>All Skill Level</t>
        </is>
      </c>
      <c r="E598" t="n">
        <v>16</v>
      </c>
      <c r="F598" t="n">
        <v>0.24</v>
      </c>
      <c r="G598" t="b">
        <v>1</v>
      </c>
      <c r="H598">
        <f>Sensitivity!H25</f>
        <v/>
      </c>
    </row>
    <row r="599">
      <c r="A599" t="inlineStr">
        <is>
          <t>ring</t>
        </is>
      </c>
      <c r="B599" t="inlineStr">
        <is>
          <t>mystic</t>
        </is>
      </c>
      <c r="C599" t="n">
        <v>2</v>
      </c>
      <c r="D599" t="inlineStr">
        <is>
          <t>All Skill Level</t>
        </is>
      </c>
      <c r="E599" t="n">
        <v>12</v>
      </c>
      <c r="F599" t="n">
        <v>0.76</v>
      </c>
      <c r="G599" t="b">
        <v>0</v>
      </c>
      <c r="H599">
        <f>Sensitivity!H25</f>
        <v/>
      </c>
    </row>
    <row r="600">
      <c r="A600" t="inlineStr">
        <is>
          <t>ring</t>
        </is>
      </c>
      <c r="B600" t="inlineStr">
        <is>
          <t>mystic</t>
        </is>
      </c>
      <c r="C600" t="n">
        <v>3</v>
      </c>
      <c r="D600" t="inlineStr">
        <is>
          <t>All Skill Level</t>
        </is>
      </c>
      <c r="E600" t="n">
        <v>16</v>
      </c>
      <c r="F600" t="n">
        <v>0.08</v>
      </c>
      <c r="G600" t="b">
        <v>1</v>
      </c>
      <c r="H600">
        <f>Sensitivity!H25</f>
        <v/>
      </c>
    </row>
    <row r="601">
      <c r="A601" t="inlineStr">
        <is>
          <t>ring</t>
        </is>
      </c>
      <c r="B601" t="inlineStr">
        <is>
          <t>mystic</t>
        </is>
      </c>
      <c r="C601" t="n">
        <v>3</v>
      </c>
      <c r="D601" t="inlineStr">
        <is>
          <t>All Skill Level</t>
        </is>
      </c>
      <c r="E601" t="n">
        <v>12</v>
      </c>
      <c r="F601" t="n">
        <v>0.92</v>
      </c>
      <c r="G601" t="b">
        <v>0</v>
      </c>
      <c r="H601">
        <f>Sensitivity!H25</f>
        <v/>
      </c>
    </row>
    <row r="602">
      <c r="A602" t="inlineStr">
        <is>
          <t>neck</t>
        </is>
      </c>
      <c r="B602" t="inlineStr">
        <is>
          <t>epic</t>
        </is>
      </c>
      <c r="C602" t="n">
        <v>1</v>
      </c>
      <c r="D602" t="inlineStr">
        <is>
          <t>All Skill Level</t>
        </is>
      </c>
      <c r="E602" t="n">
        <v>5</v>
      </c>
      <c r="F602" t="n">
        <v>1</v>
      </c>
      <c r="G602" t="b">
        <v>1</v>
      </c>
      <c r="H602">
        <f>Sensitivity!H25</f>
        <v/>
      </c>
    </row>
    <row r="603">
      <c r="A603" t="inlineStr">
        <is>
          <t>neck</t>
        </is>
      </c>
      <c r="B603" t="inlineStr">
        <is>
          <t>epic</t>
        </is>
      </c>
      <c r="C603" t="n">
        <v>2</v>
      </c>
      <c r="D603" t="inlineStr">
        <is>
          <t>All Skill Level</t>
        </is>
      </c>
      <c r="E603" t="n">
        <v>5</v>
      </c>
      <c r="F603" t="n">
        <v>0.24</v>
      </c>
      <c r="G603" t="b">
        <v>1</v>
      </c>
      <c r="H603">
        <f>Sensitivity!H25</f>
        <v/>
      </c>
    </row>
    <row r="604">
      <c r="A604" t="inlineStr">
        <is>
          <t>neck</t>
        </is>
      </c>
      <c r="B604" t="inlineStr">
        <is>
          <t>epic</t>
        </is>
      </c>
      <c r="C604" t="n">
        <v>3</v>
      </c>
      <c r="D604" t="inlineStr">
        <is>
          <t>All Skill Level</t>
        </is>
      </c>
      <c r="E604" t="n">
        <v>5</v>
      </c>
      <c r="F604" t="n">
        <v>0.08</v>
      </c>
      <c r="G604" t="b">
        <v>1</v>
      </c>
      <c r="H604">
        <f>Sensitivity!H25</f>
        <v/>
      </c>
    </row>
    <row r="605">
      <c r="A605" t="inlineStr">
        <is>
          <t>neck</t>
        </is>
      </c>
      <c r="B605" t="inlineStr">
        <is>
          <t>unique</t>
        </is>
      </c>
      <c r="C605" t="n">
        <v>1</v>
      </c>
      <c r="D605" t="inlineStr">
        <is>
          <t>All Skill Level</t>
        </is>
      </c>
      <c r="E605" t="n">
        <v>8</v>
      </c>
      <c r="F605" t="n">
        <v>1</v>
      </c>
      <c r="G605" t="b">
        <v>1</v>
      </c>
      <c r="H605">
        <f>Sensitivity!H25</f>
        <v/>
      </c>
    </row>
    <row r="606">
      <c r="A606" t="inlineStr">
        <is>
          <t>neck</t>
        </is>
      </c>
      <c r="B606" t="inlineStr">
        <is>
          <t>unique</t>
        </is>
      </c>
      <c r="C606" t="n">
        <v>2</v>
      </c>
      <c r="D606" t="inlineStr">
        <is>
          <t>All Skill Level</t>
        </is>
      </c>
      <c r="E606" t="n">
        <v>8</v>
      </c>
      <c r="F606" t="n">
        <v>0.24</v>
      </c>
      <c r="G606" t="b">
        <v>1</v>
      </c>
      <c r="H606">
        <f>Sensitivity!H25</f>
        <v/>
      </c>
    </row>
    <row r="607">
      <c r="A607" t="inlineStr">
        <is>
          <t>neck</t>
        </is>
      </c>
      <c r="B607" t="inlineStr">
        <is>
          <t>unique</t>
        </is>
      </c>
      <c r="C607" t="n">
        <v>2</v>
      </c>
      <c r="D607" t="inlineStr">
        <is>
          <t>All Skill Level</t>
        </is>
      </c>
      <c r="E607" t="n">
        <v>5</v>
      </c>
      <c r="F607" t="n">
        <v>0.76</v>
      </c>
      <c r="G607" t="b">
        <v>0</v>
      </c>
      <c r="H607">
        <f>Sensitivity!H25</f>
        <v/>
      </c>
    </row>
    <row r="608">
      <c r="A608" t="inlineStr">
        <is>
          <t>neck</t>
        </is>
      </c>
      <c r="B608" t="inlineStr">
        <is>
          <t>unique</t>
        </is>
      </c>
      <c r="C608" t="n">
        <v>3</v>
      </c>
      <c r="D608" t="inlineStr">
        <is>
          <t>All Skill Level</t>
        </is>
      </c>
      <c r="E608" t="n">
        <v>8</v>
      </c>
      <c r="F608" t="n">
        <v>0.08</v>
      </c>
      <c r="G608" t="b">
        <v>1</v>
      </c>
      <c r="H608">
        <f>Sensitivity!H25</f>
        <v/>
      </c>
    </row>
    <row r="609">
      <c r="A609" t="inlineStr">
        <is>
          <t>neck</t>
        </is>
      </c>
      <c r="B609" t="inlineStr">
        <is>
          <t>unique</t>
        </is>
      </c>
      <c r="C609" t="n">
        <v>3</v>
      </c>
      <c r="D609" t="inlineStr">
        <is>
          <t>All Skill Level</t>
        </is>
      </c>
      <c r="E609" t="n">
        <v>5</v>
      </c>
      <c r="F609" t="n">
        <v>0.92</v>
      </c>
      <c r="G609" t="b">
        <v>0</v>
      </c>
      <c r="H609">
        <f>Sensitivity!H25</f>
        <v/>
      </c>
    </row>
    <row r="610">
      <c r="A610" t="inlineStr">
        <is>
          <t>neck</t>
        </is>
      </c>
      <c r="B610" t="inlineStr">
        <is>
          <t>legendary</t>
        </is>
      </c>
      <c r="C610" t="n">
        <v>1</v>
      </c>
      <c r="D610" t="inlineStr">
        <is>
          <t>All Skill Level</t>
        </is>
      </c>
      <c r="E610" t="n">
        <v>12</v>
      </c>
      <c r="F610" t="n">
        <v>1</v>
      </c>
      <c r="G610" t="b">
        <v>1</v>
      </c>
      <c r="H610">
        <f>Sensitivity!H25</f>
        <v/>
      </c>
    </row>
    <row r="611">
      <c r="A611" t="inlineStr">
        <is>
          <t>neck</t>
        </is>
      </c>
      <c r="B611" t="inlineStr">
        <is>
          <t>legendary</t>
        </is>
      </c>
      <c r="C611" t="n">
        <v>2</v>
      </c>
      <c r="D611" t="inlineStr">
        <is>
          <t>All Skill Level</t>
        </is>
      </c>
      <c r="E611" t="n">
        <v>12</v>
      </c>
      <c r="F611" t="n">
        <v>0.24</v>
      </c>
      <c r="G611" t="b">
        <v>1</v>
      </c>
      <c r="H611">
        <f>Sensitivity!H25</f>
        <v/>
      </c>
    </row>
    <row r="612">
      <c r="A612" t="inlineStr">
        <is>
          <t>neck</t>
        </is>
      </c>
      <c r="B612" t="inlineStr">
        <is>
          <t>legendary</t>
        </is>
      </c>
      <c r="C612" t="n">
        <v>2</v>
      </c>
      <c r="D612" t="inlineStr">
        <is>
          <t>All Skill Level</t>
        </is>
      </c>
      <c r="E612" t="n">
        <v>8</v>
      </c>
      <c r="F612" t="n">
        <v>0.76</v>
      </c>
      <c r="G612" t="b">
        <v>0</v>
      </c>
      <c r="H612">
        <f>Sensitivity!H25</f>
        <v/>
      </c>
    </row>
    <row r="613">
      <c r="A613" t="inlineStr">
        <is>
          <t>neck</t>
        </is>
      </c>
      <c r="B613" t="inlineStr">
        <is>
          <t>legendary</t>
        </is>
      </c>
      <c r="C613" t="n">
        <v>3</v>
      </c>
      <c r="D613" t="inlineStr">
        <is>
          <t>All Skill Level</t>
        </is>
      </c>
      <c r="E613" t="n">
        <v>12</v>
      </c>
      <c r="F613" t="n">
        <v>0.08</v>
      </c>
      <c r="G613" t="b">
        <v>1</v>
      </c>
      <c r="H613">
        <f>Sensitivity!H25</f>
        <v/>
      </c>
    </row>
    <row r="614">
      <c r="A614" t="inlineStr">
        <is>
          <t>neck</t>
        </is>
      </c>
      <c r="B614" t="inlineStr">
        <is>
          <t>legendary</t>
        </is>
      </c>
      <c r="C614" t="n">
        <v>3</v>
      </c>
      <c r="D614" t="inlineStr">
        <is>
          <t>All Skill Level</t>
        </is>
      </c>
      <c r="E614" t="n">
        <v>8</v>
      </c>
      <c r="F614" t="n">
        <v>0.92</v>
      </c>
      <c r="G614" t="b">
        <v>0</v>
      </c>
      <c r="H614">
        <f>Sensitivity!H25</f>
        <v/>
      </c>
    </row>
    <row r="615">
      <c r="A615" t="inlineStr">
        <is>
          <t>neck</t>
        </is>
      </c>
      <c r="B615" t="inlineStr">
        <is>
          <t>mystic</t>
        </is>
      </c>
      <c r="C615" t="n">
        <v>1</v>
      </c>
      <c r="D615" t="inlineStr">
        <is>
          <t>All Skill Level</t>
        </is>
      </c>
      <c r="E615" t="n">
        <v>16</v>
      </c>
      <c r="F615" t="n">
        <v>1</v>
      </c>
      <c r="G615" t="b">
        <v>1</v>
      </c>
      <c r="H615">
        <f>Sensitivity!H25</f>
        <v/>
      </c>
    </row>
    <row r="616">
      <c r="A616" t="inlineStr">
        <is>
          <t>neck</t>
        </is>
      </c>
      <c r="B616" t="inlineStr">
        <is>
          <t>mystic</t>
        </is>
      </c>
      <c r="C616" t="n">
        <v>2</v>
      </c>
      <c r="D616" t="inlineStr">
        <is>
          <t>All Skill Level</t>
        </is>
      </c>
      <c r="E616" t="n">
        <v>16</v>
      </c>
      <c r="F616" t="n">
        <v>0.24</v>
      </c>
      <c r="G616" t="b">
        <v>1</v>
      </c>
      <c r="H616">
        <f>Sensitivity!H25</f>
        <v/>
      </c>
    </row>
    <row r="617">
      <c r="A617" t="inlineStr">
        <is>
          <t>neck</t>
        </is>
      </c>
      <c r="B617" t="inlineStr">
        <is>
          <t>mystic</t>
        </is>
      </c>
      <c r="C617" t="n">
        <v>2</v>
      </c>
      <c r="D617" t="inlineStr">
        <is>
          <t>All Skill Level</t>
        </is>
      </c>
      <c r="E617" t="n">
        <v>12</v>
      </c>
      <c r="F617" t="n">
        <v>0.76</v>
      </c>
      <c r="G617" t="b">
        <v>0</v>
      </c>
      <c r="H617">
        <f>Sensitivity!H25</f>
        <v/>
      </c>
    </row>
    <row r="618">
      <c r="A618" t="inlineStr">
        <is>
          <t>neck</t>
        </is>
      </c>
      <c r="B618" t="inlineStr">
        <is>
          <t>mystic</t>
        </is>
      </c>
      <c r="C618" t="n">
        <v>3</v>
      </c>
      <c r="D618" t="inlineStr">
        <is>
          <t>All Skill Level</t>
        </is>
      </c>
      <c r="E618" t="n">
        <v>16</v>
      </c>
      <c r="F618" t="n">
        <v>0.08</v>
      </c>
      <c r="G618" t="b">
        <v>1</v>
      </c>
      <c r="H618">
        <f>Sensitivity!H25</f>
        <v/>
      </c>
    </row>
    <row r="619">
      <c r="A619" t="inlineStr">
        <is>
          <t>neck</t>
        </is>
      </c>
      <c r="B619" t="inlineStr">
        <is>
          <t>mystic</t>
        </is>
      </c>
      <c r="C619" t="n">
        <v>3</v>
      </c>
      <c r="D619" t="inlineStr">
        <is>
          <t>All Skill Level</t>
        </is>
      </c>
      <c r="E619" t="n">
        <v>12</v>
      </c>
      <c r="F619" t="n">
        <v>0.92</v>
      </c>
      <c r="G619" t="b">
        <v>0</v>
      </c>
      <c r="H619">
        <f>Sensitivity!H25</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Sensitivity!H19</f>
        <v/>
      </c>
    </row>
    <row r="639">
      <c r="A639" t="inlineStr">
        <is>
          <t>ring2</t>
        </is>
      </c>
      <c r="B639" t="inlineStr">
        <is>
          <t>epic</t>
        </is>
      </c>
      <c r="C639" t="n">
        <v>2</v>
      </c>
      <c r="D639" t="inlineStr">
        <is>
          <t>Basic Attack Damage %</t>
        </is>
      </c>
      <c r="E639" t="n">
        <v>8</v>
      </c>
      <c r="F639" t="n">
        <v>0.24</v>
      </c>
      <c r="G639" t="b">
        <v>1</v>
      </c>
      <c r="H639">
        <f>Sensitivity!H19</f>
        <v/>
      </c>
    </row>
    <row r="640">
      <c r="A640" t="inlineStr">
        <is>
          <t>ring2</t>
        </is>
      </c>
      <c r="B640" t="inlineStr">
        <is>
          <t>epic</t>
        </is>
      </c>
      <c r="C640" t="n">
        <v>3</v>
      </c>
      <c r="D640" t="inlineStr">
        <is>
          <t>Basic Attack Damage %</t>
        </is>
      </c>
      <c r="E640" t="n">
        <v>8</v>
      </c>
      <c r="F640" t="n">
        <v>0.08</v>
      </c>
      <c r="G640" t="b">
        <v>1</v>
      </c>
      <c r="H640">
        <f>Sensitivity!H19</f>
        <v/>
      </c>
    </row>
    <row r="641">
      <c r="A641" t="inlineStr">
        <is>
          <t>ring2</t>
        </is>
      </c>
      <c r="B641" t="inlineStr">
        <is>
          <t>unique</t>
        </is>
      </c>
      <c r="C641" t="n">
        <v>1</v>
      </c>
      <c r="D641" t="inlineStr">
        <is>
          <t>Basic Attack Damage %</t>
        </is>
      </c>
      <c r="E641" t="n">
        <v>14</v>
      </c>
      <c r="F641" t="n">
        <v>1</v>
      </c>
      <c r="G641" t="b">
        <v>1</v>
      </c>
      <c r="H641">
        <f>Sensitivity!H19</f>
        <v/>
      </c>
    </row>
    <row r="642">
      <c r="A642" t="inlineStr">
        <is>
          <t>ring2</t>
        </is>
      </c>
      <c r="B642" t="inlineStr">
        <is>
          <t>unique</t>
        </is>
      </c>
      <c r="C642" t="n">
        <v>2</v>
      </c>
      <c r="D642" t="inlineStr">
        <is>
          <t>Basic Attack Damage %</t>
        </is>
      </c>
      <c r="E642" t="n">
        <v>14</v>
      </c>
      <c r="F642" t="n">
        <v>0.24</v>
      </c>
      <c r="G642" t="b">
        <v>1</v>
      </c>
      <c r="H642">
        <f>Sensitivity!H19</f>
        <v/>
      </c>
    </row>
    <row r="643">
      <c r="A643" t="inlineStr">
        <is>
          <t>ring2</t>
        </is>
      </c>
      <c r="B643" t="inlineStr">
        <is>
          <t>unique</t>
        </is>
      </c>
      <c r="C643" t="n">
        <v>2</v>
      </c>
      <c r="D643" t="inlineStr">
        <is>
          <t>Basic Attack Damage %</t>
        </is>
      </c>
      <c r="E643" t="n">
        <v>8</v>
      </c>
      <c r="F643" t="n">
        <v>0.76</v>
      </c>
      <c r="G643" t="b">
        <v>0</v>
      </c>
      <c r="H643">
        <f>Sensitivity!H19</f>
        <v/>
      </c>
    </row>
    <row r="644">
      <c r="A644" t="inlineStr">
        <is>
          <t>ring2</t>
        </is>
      </c>
      <c r="B644" t="inlineStr">
        <is>
          <t>unique</t>
        </is>
      </c>
      <c r="C644" t="n">
        <v>3</v>
      </c>
      <c r="D644" t="inlineStr">
        <is>
          <t>Basic Attack Damage %</t>
        </is>
      </c>
      <c r="E644" t="n">
        <v>14</v>
      </c>
      <c r="F644" t="n">
        <v>0.08</v>
      </c>
      <c r="G644" t="b">
        <v>1</v>
      </c>
      <c r="H644">
        <f>Sensitivity!H19</f>
        <v/>
      </c>
    </row>
    <row r="645">
      <c r="A645" t="inlineStr">
        <is>
          <t>ring2</t>
        </is>
      </c>
      <c r="B645" t="inlineStr">
        <is>
          <t>unique</t>
        </is>
      </c>
      <c r="C645" t="n">
        <v>3</v>
      </c>
      <c r="D645" t="inlineStr">
        <is>
          <t>Basic Attack Damage %</t>
        </is>
      </c>
      <c r="E645" t="n">
        <v>8</v>
      </c>
      <c r="F645" t="n">
        <v>0.92</v>
      </c>
      <c r="G645" t="b">
        <v>0</v>
      </c>
      <c r="H645">
        <f>Sensitivity!H19</f>
        <v/>
      </c>
    </row>
    <row r="646">
      <c r="A646" t="inlineStr">
        <is>
          <t>ring2</t>
        </is>
      </c>
      <c r="B646" t="inlineStr">
        <is>
          <t>legendary</t>
        </is>
      </c>
      <c r="C646" t="n">
        <v>1</v>
      </c>
      <c r="D646" t="inlineStr">
        <is>
          <t>Basic Attack Damage %</t>
        </is>
      </c>
      <c r="E646" t="n">
        <v>21</v>
      </c>
      <c r="F646" t="n">
        <v>1</v>
      </c>
      <c r="G646" t="b">
        <v>1</v>
      </c>
      <c r="H646">
        <f>Sensitivity!H19</f>
        <v/>
      </c>
    </row>
    <row r="647">
      <c r="A647" t="inlineStr">
        <is>
          <t>ring2</t>
        </is>
      </c>
      <c r="B647" t="inlineStr">
        <is>
          <t>legendary</t>
        </is>
      </c>
      <c r="C647" t="n">
        <v>2</v>
      </c>
      <c r="D647" t="inlineStr">
        <is>
          <t>Basic Attack Damage %</t>
        </is>
      </c>
      <c r="E647" t="n">
        <v>21</v>
      </c>
      <c r="F647" t="n">
        <v>0.24</v>
      </c>
      <c r="G647" t="b">
        <v>1</v>
      </c>
      <c r="H647">
        <f>Sensitivity!H19</f>
        <v/>
      </c>
    </row>
    <row r="648">
      <c r="A648" t="inlineStr">
        <is>
          <t>ring2</t>
        </is>
      </c>
      <c r="B648" t="inlineStr">
        <is>
          <t>legendary</t>
        </is>
      </c>
      <c r="C648" t="n">
        <v>2</v>
      </c>
      <c r="D648" t="inlineStr">
        <is>
          <t>Basic Attack Damage %</t>
        </is>
      </c>
      <c r="E648" t="n">
        <v>14</v>
      </c>
      <c r="F648" t="n">
        <v>0.76</v>
      </c>
      <c r="G648" t="b">
        <v>0</v>
      </c>
      <c r="H648">
        <f>Sensitivity!H19</f>
        <v/>
      </c>
    </row>
    <row r="649">
      <c r="A649" t="inlineStr">
        <is>
          <t>ring2</t>
        </is>
      </c>
      <c r="B649" t="inlineStr">
        <is>
          <t>legendary</t>
        </is>
      </c>
      <c r="C649" t="n">
        <v>3</v>
      </c>
      <c r="D649" t="inlineStr">
        <is>
          <t>Basic Attack Damage %</t>
        </is>
      </c>
      <c r="E649" t="n">
        <v>21</v>
      </c>
      <c r="F649" t="n">
        <v>0.08</v>
      </c>
      <c r="G649" t="b">
        <v>1</v>
      </c>
      <c r="H649">
        <f>Sensitivity!H19</f>
        <v/>
      </c>
    </row>
    <row r="650">
      <c r="A650" t="inlineStr">
        <is>
          <t>ring2</t>
        </is>
      </c>
      <c r="B650" t="inlineStr">
        <is>
          <t>legendary</t>
        </is>
      </c>
      <c r="C650" t="n">
        <v>3</v>
      </c>
      <c r="D650" t="inlineStr">
        <is>
          <t>Basic Attack Damage %</t>
        </is>
      </c>
      <c r="E650" t="n">
        <v>14</v>
      </c>
      <c r="F650" t="n">
        <v>0.92</v>
      </c>
      <c r="G650" t="b">
        <v>0</v>
      </c>
      <c r="H650">
        <f>Sensitivity!H19</f>
        <v/>
      </c>
    </row>
    <row r="651">
      <c r="A651" t="inlineStr">
        <is>
          <t>ring2</t>
        </is>
      </c>
      <c r="B651" t="inlineStr">
        <is>
          <t>mystic</t>
        </is>
      </c>
      <c r="C651" t="n">
        <v>1</v>
      </c>
      <c r="D651" t="inlineStr">
        <is>
          <t>Basic Attack Damage %</t>
        </is>
      </c>
      <c r="E651" t="n">
        <v>30</v>
      </c>
      <c r="F651" t="n">
        <v>1</v>
      </c>
      <c r="G651" t="b">
        <v>1</v>
      </c>
      <c r="H651">
        <f>Sensitivity!H19</f>
        <v/>
      </c>
    </row>
    <row r="652">
      <c r="A652" t="inlineStr">
        <is>
          <t>ring2</t>
        </is>
      </c>
      <c r="B652" t="inlineStr">
        <is>
          <t>mystic</t>
        </is>
      </c>
      <c r="C652" t="n">
        <v>2</v>
      </c>
      <c r="D652" t="inlineStr">
        <is>
          <t>Basic Attack Damage %</t>
        </is>
      </c>
      <c r="E652" t="n">
        <v>30</v>
      </c>
      <c r="F652" t="n">
        <v>0.24</v>
      </c>
      <c r="G652" t="b">
        <v>1</v>
      </c>
      <c r="H652">
        <f>Sensitivity!H19</f>
        <v/>
      </c>
    </row>
    <row r="653">
      <c r="A653" t="inlineStr">
        <is>
          <t>ring2</t>
        </is>
      </c>
      <c r="B653" t="inlineStr">
        <is>
          <t>mystic</t>
        </is>
      </c>
      <c r="C653" t="n">
        <v>2</v>
      </c>
      <c r="D653" t="inlineStr">
        <is>
          <t>Basic Attack Damage %</t>
        </is>
      </c>
      <c r="E653" t="n">
        <v>21</v>
      </c>
      <c r="F653" t="n">
        <v>0.76</v>
      </c>
      <c r="G653" t="b">
        <v>0</v>
      </c>
      <c r="H653">
        <f>Sensitivity!H19</f>
        <v/>
      </c>
    </row>
    <row r="654">
      <c r="A654" t="inlineStr">
        <is>
          <t>ring2</t>
        </is>
      </c>
      <c r="B654" t="inlineStr">
        <is>
          <t>mystic</t>
        </is>
      </c>
      <c r="C654" t="n">
        <v>3</v>
      </c>
      <c r="D654" t="inlineStr">
        <is>
          <t>Basic Attack Damage %</t>
        </is>
      </c>
      <c r="E654" t="n">
        <v>30</v>
      </c>
      <c r="F654" t="n">
        <v>0.08</v>
      </c>
      <c r="G654" t="b">
        <v>1</v>
      </c>
      <c r="H654">
        <f>Sensitivity!H19</f>
        <v/>
      </c>
    </row>
    <row r="655">
      <c r="A655" t="inlineStr">
        <is>
          <t>ring2</t>
        </is>
      </c>
      <c r="B655" t="inlineStr">
        <is>
          <t>mystic</t>
        </is>
      </c>
      <c r="C655" t="n">
        <v>3</v>
      </c>
      <c r="D655" t="inlineStr">
        <is>
          <t>Basic Attack Damage %</t>
        </is>
      </c>
      <c r="E655" t="n">
        <v>21</v>
      </c>
      <c r="F655" t="n">
        <v>0.92</v>
      </c>
      <c r="G655" t="b">
        <v>0</v>
      </c>
      <c r="H655">
        <f>Sensitivity!H19</f>
        <v/>
      </c>
    </row>
    <row r="656">
      <c r="A656" t="inlineStr">
        <is>
          <t>face</t>
        </is>
      </c>
      <c r="B656" t="inlineStr">
        <is>
          <t>epic</t>
        </is>
      </c>
      <c r="C656" t="n">
        <v>1</v>
      </c>
      <c r="D656" t="inlineStr">
        <is>
          <t>Final Damage %</t>
        </is>
      </c>
      <c r="E656" t="n">
        <v>3</v>
      </c>
      <c r="F656" t="n">
        <v>1</v>
      </c>
      <c r="G656" t="b">
        <v>1</v>
      </c>
      <c r="H656">
        <f>Sensitivity!H12</f>
        <v/>
      </c>
    </row>
    <row r="657">
      <c r="A657" t="inlineStr">
        <is>
          <t>face</t>
        </is>
      </c>
      <c r="B657" t="inlineStr">
        <is>
          <t>epic</t>
        </is>
      </c>
      <c r="C657" t="n">
        <v>2</v>
      </c>
      <c r="D657" t="inlineStr">
        <is>
          <t>Final Damage %</t>
        </is>
      </c>
      <c r="E657" t="n">
        <v>3</v>
      </c>
      <c r="F657" t="n">
        <v>0.24</v>
      </c>
      <c r="G657" t="b">
        <v>1</v>
      </c>
      <c r="H657">
        <f>Sensitivity!H12</f>
        <v/>
      </c>
    </row>
    <row r="658">
      <c r="A658" t="inlineStr">
        <is>
          <t>face</t>
        </is>
      </c>
      <c r="B658" t="inlineStr">
        <is>
          <t>epic</t>
        </is>
      </c>
      <c r="C658" t="n">
        <v>3</v>
      </c>
      <c r="D658" t="inlineStr">
        <is>
          <t>Final Damage %</t>
        </is>
      </c>
      <c r="E658" t="n">
        <v>3</v>
      </c>
      <c r="F658" t="n">
        <v>0.08</v>
      </c>
      <c r="G658" t="b">
        <v>1</v>
      </c>
      <c r="H658">
        <f>Sensitivity!H12</f>
        <v/>
      </c>
    </row>
    <row r="659">
      <c r="A659" t="inlineStr">
        <is>
          <t>face</t>
        </is>
      </c>
      <c r="B659" t="inlineStr">
        <is>
          <t>unique</t>
        </is>
      </c>
      <c r="C659" t="n">
        <v>1</v>
      </c>
      <c r="D659" t="inlineStr">
        <is>
          <t>Final Damage %</t>
        </is>
      </c>
      <c r="E659" t="n">
        <v>5</v>
      </c>
      <c r="F659" t="n">
        <v>1</v>
      </c>
      <c r="G659" t="b">
        <v>1</v>
      </c>
      <c r="H659">
        <f>Sensitivity!H12</f>
        <v/>
      </c>
    </row>
    <row r="660">
      <c r="A660" t="inlineStr">
        <is>
          <t>face</t>
        </is>
      </c>
      <c r="B660" t="inlineStr">
        <is>
          <t>unique</t>
        </is>
      </c>
      <c r="C660" t="n">
        <v>2</v>
      </c>
      <c r="D660" t="inlineStr">
        <is>
          <t>Final Damage %</t>
        </is>
      </c>
      <c r="E660" t="n">
        <v>5</v>
      </c>
      <c r="F660" t="n">
        <v>0.24</v>
      </c>
      <c r="G660" t="b">
        <v>1</v>
      </c>
      <c r="H660">
        <f>Sensitivity!H12</f>
        <v/>
      </c>
    </row>
    <row r="661">
      <c r="A661" t="inlineStr">
        <is>
          <t>face</t>
        </is>
      </c>
      <c r="B661" t="inlineStr">
        <is>
          <t>unique</t>
        </is>
      </c>
      <c r="C661" t="n">
        <v>2</v>
      </c>
      <c r="D661" t="inlineStr">
        <is>
          <t>Final Damage %</t>
        </is>
      </c>
      <c r="E661" t="n">
        <v>3</v>
      </c>
      <c r="F661" t="n">
        <v>0.76</v>
      </c>
      <c r="G661" t="b">
        <v>0</v>
      </c>
      <c r="H661">
        <f>Sensitivity!H12</f>
        <v/>
      </c>
    </row>
    <row r="662">
      <c r="A662" t="inlineStr">
        <is>
          <t>face</t>
        </is>
      </c>
      <c r="B662" t="inlineStr">
        <is>
          <t>unique</t>
        </is>
      </c>
      <c r="C662" t="n">
        <v>3</v>
      </c>
      <c r="D662" t="inlineStr">
        <is>
          <t>Final Damage %</t>
        </is>
      </c>
      <c r="E662" t="n">
        <v>5</v>
      </c>
      <c r="F662" t="n">
        <v>0.08</v>
      </c>
      <c r="G662" t="b">
        <v>1</v>
      </c>
      <c r="H662">
        <f>Sensitivity!H12</f>
        <v/>
      </c>
    </row>
    <row r="663">
      <c r="A663" t="inlineStr">
        <is>
          <t>face</t>
        </is>
      </c>
      <c r="B663" t="inlineStr">
        <is>
          <t>unique</t>
        </is>
      </c>
      <c r="C663" t="n">
        <v>3</v>
      </c>
      <c r="D663" t="inlineStr">
        <is>
          <t>Final Damage %</t>
        </is>
      </c>
      <c r="E663" t="n">
        <v>3</v>
      </c>
      <c r="F663" t="n">
        <v>0.92</v>
      </c>
      <c r="G663" t="b">
        <v>0</v>
      </c>
      <c r="H663">
        <f>Sensitivity!H12</f>
        <v/>
      </c>
    </row>
    <row r="664">
      <c r="A664" t="inlineStr">
        <is>
          <t>face</t>
        </is>
      </c>
      <c r="B664" t="inlineStr">
        <is>
          <t>legendary</t>
        </is>
      </c>
      <c r="C664" t="n">
        <v>1</v>
      </c>
      <c r="D664" t="inlineStr">
        <is>
          <t>Final Damage %</t>
        </is>
      </c>
      <c r="E664" t="n">
        <v>8</v>
      </c>
      <c r="F664" t="n">
        <v>1</v>
      </c>
      <c r="G664" t="b">
        <v>1</v>
      </c>
      <c r="H664">
        <f>Sensitivity!H12</f>
        <v/>
      </c>
    </row>
    <row r="665">
      <c r="A665" t="inlineStr">
        <is>
          <t>face</t>
        </is>
      </c>
      <c r="B665" t="inlineStr">
        <is>
          <t>legendary</t>
        </is>
      </c>
      <c r="C665" t="n">
        <v>2</v>
      </c>
      <c r="D665" t="inlineStr">
        <is>
          <t>Final Damage %</t>
        </is>
      </c>
      <c r="E665" t="n">
        <v>8</v>
      </c>
      <c r="F665" t="n">
        <v>0.24</v>
      </c>
      <c r="G665" t="b">
        <v>1</v>
      </c>
      <c r="H665">
        <f>Sensitivity!H12</f>
        <v/>
      </c>
    </row>
    <row r="666">
      <c r="A666" t="inlineStr">
        <is>
          <t>face</t>
        </is>
      </c>
      <c r="B666" t="inlineStr">
        <is>
          <t>legendary</t>
        </is>
      </c>
      <c r="C666" t="n">
        <v>2</v>
      </c>
      <c r="D666" t="inlineStr">
        <is>
          <t>Final Damage %</t>
        </is>
      </c>
      <c r="E666" t="n">
        <v>5</v>
      </c>
      <c r="F666" t="n">
        <v>0.76</v>
      </c>
      <c r="G666" t="b">
        <v>0</v>
      </c>
      <c r="H666">
        <f>Sensitivity!H12</f>
        <v/>
      </c>
    </row>
    <row r="667">
      <c r="A667" t="inlineStr">
        <is>
          <t>face</t>
        </is>
      </c>
      <c r="B667" t="inlineStr">
        <is>
          <t>legendary</t>
        </is>
      </c>
      <c r="C667" t="n">
        <v>3</v>
      </c>
      <c r="D667" t="inlineStr">
        <is>
          <t>Final Damage %</t>
        </is>
      </c>
      <c r="E667" t="n">
        <v>8</v>
      </c>
      <c r="F667" t="n">
        <v>0.08</v>
      </c>
      <c r="G667" t="b">
        <v>1</v>
      </c>
      <c r="H667">
        <f>Sensitivity!H12</f>
        <v/>
      </c>
    </row>
    <row r="668">
      <c r="A668" t="inlineStr">
        <is>
          <t>face</t>
        </is>
      </c>
      <c r="B668" t="inlineStr">
        <is>
          <t>legendary</t>
        </is>
      </c>
      <c r="C668" t="n">
        <v>3</v>
      </c>
      <c r="D668" t="inlineStr">
        <is>
          <t>Final Damage %</t>
        </is>
      </c>
      <c r="E668" t="n">
        <v>5</v>
      </c>
      <c r="F668" t="n">
        <v>0.92</v>
      </c>
      <c r="G668" t="b">
        <v>0</v>
      </c>
      <c r="H668">
        <f>Sensitivity!H12</f>
        <v/>
      </c>
    </row>
    <row r="669">
      <c r="A669" t="inlineStr">
        <is>
          <t>face</t>
        </is>
      </c>
      <c r="B669" t="inlineStr">
        <is>
          <t>mystic</t>
        </is>
      </c>
      <c r="C669" t="n">
        <v>1</v>
      </c>
      <c r="D669" t="inlineStr">
        <is>
          <t>Final Damage %</t>
        </is>
      </c>
      <c r="E669" t="n">
        <v>12</v>
      </c>
      <c r="F669" t="n">
        <v>1</v>
      </c>
      <c r="G669" t="b">
        <v>1</v>
      </c>
      <c r="H669">
        <f>Sensitivity!H12</f>
        <v/>
      </c>
    </row>
    <row r="670">
      <c r="A670" t="inlineStr">
        <is>
          <t>face</t>
        </is>
      </c>
      <c r="B670" t="inlineStr">
        <is>
          <t>mystic</t>
        </is>
      </c>
      <c r="C670" t="n">
        <v>2</v>
      </c>
      <c r="D670" t="inlineStr">
        <is>
          <t>Final Damage %</t>
        </is>
      </c>
      <c r="E670" t="n">
        <v>12</v>
      </c>
      <c r="F670" t="n">
        <v>0.24</v>
      </c>
      <c r="G670" t="b">
        <v>1</v>
      </c>
      <c r="H670">
        <f>Sensitivity!H12</f>
        <v/>
      </c>
    </row>
    <row r="671">
      <c r="A671" t="inlineStr">
        <is>
          <t>face</t>
        </is>
      </c>
      <c r="B671" t="inlineStr">
        <is>
          <t>mystic</t>
        </is>
      </c>
      <c r="C671" t="n">
        <v>2</v>
      </c>
      <c r="D671" t="inlineStr">
        <is>
          <t>Final Damage %</t>
        </is>
      </c>
      <c r="E671" t="n">
        <v>8</v>
      </c>
      <c r="F671" t="n">
        <v>0.76</v>
      </c>
      <c r="G671" t="b">
        <v>0</v>
      </c>
      <c r="H671">
        <f>Sensitivity!H12</f>
        <v/>
      </c>
    </row>
    <row r="672">
      <c r="A672" t="inlineStr">
        <is>
          <t>face</t>
        </is>
      </c>
      <c r="B672" t="inlineStr">
        <is>
          <t>mystic</t>
        </is>
      </c>
      <c r="C672" t="n">
        <v>3</v>
      </c>
      <c r="D672" t="inlineStr">
        <is>
          <t>Final Damage %</t>
        </is>
      </c>
      <c r="E672" t="n">
        <v>12</v>
      </c>
      <c r="F672" t="n">
        <v>0.08</v>
      </c>
      <c r="G672" t="b">
        <v>1</v>
      </c>
      <c r="H672">
        <f>Sensitivity!H12</f>
        <v/>
      </c>
    </row>
    <row r="673">
      <c r="A673" t="inlineStr">
        <is>
          <t>face</t>
        </is>
      </c>
      <c r="B673" t="inlineStr">
        <is>
          <t>mystic</t>
        </is>
      </c>
      <c r="C673" t="n">
        <v>3</v>
      </c>
      <c r="D673" t="inlineStr">
        <is>
          <t>Final Damage %</t>
        </is>
      </c>
      <c r="E673" t="n">
        <v>8</v>
      </c>
      <c r="F673" t="n">
        <v>0.92</v>
      </c>
      <c r="G673" t="b">
        <v>0</v>
      </c>
      <c r="H673">
        <f>Sensitivity!H12</f>
        <v/>
      </c>
    </row>
    <row r="674">
      <c r="A674" t="inlineStr">
        <is>
          <t>earrings</t>
        </is>
      </c>
      <c r="B674" t="inlineStr">
        <is>
          <t>epic</t>
        </is>
      </c>
      <c r="C674" t="n">
        <v>1</v>
      </c>
      <c r="D674" t="inlineStr">
        <is>
          <t>Skill Damage %</t>
        </is>
      </c>
      <c r="E674" t="n">
        <v>8</v>
      </c>
      <c r="F674" t="n">
        <v>1</v>
      </c>
      <c r="G674" t="b">
        <v>1</v>
      </c>
      <c r="H674">
        <f>Sensitivity!H20</f>
        <v/>
      </c>
    </row>
    <row r="675">
      <c r="A675" t="inlineStr">
        <is>
          <t>earrings</t>
        </is>
      </c>
      <c r="B675" t="inlineStr">
        <is>
          <t>epic</t>
        </is>
      </c>
      <c r="C675" t="n">
        <v>2</v>
      </c>
      <c r="D675" t="inlineStr">
        <is>
          <t>Skill Damage %</t>
        </is>
      </c>
      <c r="E675" t="n">
        <v>8</v>
      </c>
      <c r="F675" t="n">
        <v>0.24</v>
      </c>
      <c r="G675" t="b">
        <v>1</v>
      </c>
      <c r="H675">
        <f>Sensitivity!H20</f>
        <v/>
      </c>
    </row>
    <row r="676">
      <c r="A676" t="inlineStr">
        <is>
          <t>earrings</t>
        </is>
      </c>
      <c r="B676" t="inlineStr">
        <is>
          <t>epic</t>
        </is>
      </c>
      <c r="C676" t="n">
        <v>3</v>
      </c>
      <c r="D676" t="inlineStr">
        <is>
          <t>Skill Damage %</t>
        </is>
      </c>
      <c r="E676" t="n">
        <v>8</v>
      </c>
      <c r="F676" t="n">
        <v>0.08</v>
      </c>
      <c r="G676" t="b">
        <v>1</v>
      </c>
      <c r="H676">
        <f>Sensitivity!H20</f>
        <v/>
      </c>
    </row>
    <row r="677">
      <c r="A677" t="inlineStr">
        <is>
          <t>earrings</t>
        </is>
      </c>
      <c r="B677" t="inlineStr">
        <is>
          <t>unique</t>
        </is>
      </c>
      <c r="C677" t="n">
        <v>1</v>
      </c>
      <c r="D677" t="inlineStr">
        <is>
          <t>Skill Damage %</t>
        </is>
      </c>
      <c r="E677" t="n">
        <v>14</v>
      </c>
      <c r="F677" t="n">
        <v>1</v>
      </c>
      <c r="G677" t="b">
        <v>1</v>
      </c>
      <c r="H677">
        <f>Sensitivity!H20</f>
        <v/>
      </c>
    </row>
    <row r="678">
      <c r="A678" t="inlineStr">
        <is>
          <t>earrings</t>
        </is>
      </c>
      <c r="B678" t="inlineStr">
        <is>
          <t>unique</t>
        </is>
      </c>
      <c r="C678" t="n">
        <v>2</v>
      </c>
      <c r="D678" t="inlineStr">
        <is>
          <t>Skill Damage %</t>
        </is>
      </c>
      <c r="E678" t="n">
        <v>14</v>
      </c>
      <c r="F678" t="n">
        <v>0.24</v>
      </c>
      <c r="G678" t="b">
        <v>1</v>
      </c>
      <c r="H678">
        <f>Sensitivity!H20</f>
        <v/>
      </c>
    </row>
    <row r="679">
      <c r="A679" t="inlineStr">
        <is>
          <t>earrings</t>
        </is>
      </c>
      <c r="B679" t="inlineStr">
        <is>
          <t>unique</t>
        </is>
      </c>
      <c r="C679" t="n">
        <v>2</v>
      </c>
      <c r="D679" t="inlineStr">
        <is>
          <t>Skill Damage %</t>
        </is>
      </c>
      <c r="E679" t="n">
        <v>8</v>
      </c>
      <c r="F679" t="n">
        <v>0.76</v>
      </c>
      <c r="G679" t="b">
        <v>0</v>
      </c>
      <c r="H679">
        <f>Sensitivity!H20</f>
        <v/>
      </c>
    </row>
    <row r="680">
      <c r="A680" t="inlineStr">
        <is>
          <t>earrings</t>
        </is>
      </c>
      <c r="B680" t="inlineStr">
        <is>
          <t>unique</t>
        </is>
      </c>
      <c r="C680" t="n">
        <v>3</v>
      </c>
      <c r="D680" t="inlineStr">
        <is>
          <t>Skill Damage %</t>
        </is>
      </c>
      <c r="E680" t="n">
        <v>14</v>
      </c>
      <c r="F680" t="n">
        <v>0.08</v>
      </c>
      <c r="G680" t="b">
        <v>1</v>
      </c>
      <c r="H680">
        <f>Sensitivity!H20</f>
        <v/>
      </c>
    </row>
    <row r="681">
      <c r="A681" t="inlineStr">
        <is>
          <t>earrings</t>
        </is>
      </c>
      <c r="B681" t="inlineStr">
        <is>
          <t>unique</t>
        </is>
      </c>
      <c r="C681" t="n">
        <v>3</v>
      </c>
      <c r="D681" t="inlineStr">
        <is>
          <t>Skill Damage %</t>
        </is>
      </c>
      <c r="E681" t="n">
        <v>8</v>
      </c>
      <c r="F681" t="n">
        <v>0.92</v>
      </c>
      <c r="G681" t="b">
        <v>0</v>
      </c>
      <c r="H681">
        <f>Sensitivity!H20</f>
        <v/>
      </c>
    </row>
    <row r="682">
      <c r="A682" t="inlineStr">
        <is>
          <t>earrings</t>
        </is>
      </c>
      <c r="B682" t="inlineStr">
        <is>
          <t>legendary</t>
        </is>
      </c>
      <c r="C682" t="n">
        <v>1</v>
      </c>
      <c r="D682" t="inlineStr">
        <is>
          <t>Skill Damage %</t>
        </is>
      </c>
      <c r="E682" t="n">
        <v>21</v>
      </c>
      <c r="F682" t="n">
        <v>1</v>
      </c>
      <c r="G682" t="b">
        <v>1</v>
      </c>
      <c r="H682">
        <f>Sensitivity!H20</f>
        <v/>
      </c>
    </row>
    <row r="683">
      <c r="A683" t="inlineStr">
        <is>
          <t>earrings</t>
        </is>
      </c>
      <c r="B683" t="inlineStr">
        <is>
          <t>legendary</t>
        </is>
      </c>
      <c r="C683" t="n">
        <v>2</v>
      </c>
      <c r="D683" t="inlineStr">
        <is>
          <t>Skill Damage %</t>
        </is>
      </c>
      <c r="E683" t="n">
        <v>21</v>
      </c>
      <c r="F683" t="n">
        <v>0.24</v>
      </c>
      <c r="G683" t="b">
        <v>1</v>
      </c>
      <c r="H683">
        <f>Sensitivity!H20</f>
        <v/>
      </c>
    </row>
    <row r="684">
      <c r="A684" t="inlineStr">
        <is>
          <t>earrings</t>
        </is>
      </c>
      <c r="B684" t="inlineStr">
        <is>
          <t>legendary</t>
        </is>
      </c>
      <c r="C684" t="n">
        <v>2</v>
      </c>
      <c r="D684" t="inlineStr">
        <is>
          <t>Skill Damage %</t>
        </is>
      </c>
      <c r="E684" t="n">
        <v>14</v>
      </c>
      <c r="F684" t="n">
        <v>0.76</v>
      </c>
      <c r="G684" t="b">
        <v>0</v>
      </c>
      <c r="H684">
        <f>Sensitivity!H20</f>
        <v/>
      </c>
    </row>
    <row r="685">
      <c r="A685" t="inlineStr">
        <is>
          <t>earrings</t>
        </is>
      </c>
      <c r="B685" t="inlineStr">
        <is>
          <t>legendary</t>
        </is>
      </c>
      <c r="C685" t="n">
        <v>3</v>
      </c>
      <c r="D685" t="inlineStr">
        <is>
          <t>Skill Damage %</t>
        </is>
      </c>
      <c r="E685" t="n">
        <v>21</v>
      </c>
      <c r="F685" t="n">
        <v>0.08</v>
      </c>
      <c r="G685" t="b">
        <v>1</v>
      </c>
      <c r="H685">
        <f>Sensitivity!H20</f>
        <v/>
      </c>
    </row>
    <row r="686">
      <c r="A686" t="inlineStr">
        <is>
          <t>earrings</t>
        </is>
      </c>
      <c r="B686" t="inlineStr">
        <is>
          <t>legendary</t>
        </is>
      </c>
      <c r="C686" t="n">
        <v>3</v>
      </c>
      <c r="D686" t="inlineStr">
        <is>
          <t>Skill Damage %</t>
        </is>
      </c>
      <c r="E686" t="n">
        <v>14</v>
      </c>
      <c r="F686" t="n">
        <v>0.92</v>
      </c>
      <c r="G686" t="b">
        <v>0</v>
      </c>
      <c r="H686">
        <f>Sensitivity!H20</f>
        <v/>
      </c>
    </row>
    <row r="687">
      <c r="A687" t="inlineStr">
        <is>
          <t>earrings</t>
        </is>
      </c>
      <c r="B687" t="inlineStr">
        <is>
          <t>mystic</t>
        </is>
      </c>
      <c r="C687" t="n">
        <v>1</v>
      </c>
      <c r="D687" t="inlineStr">
        <is>
          <t>Skill Damage %</t>
        </is>
      </c>
      <c r="E687" t="n">
        <v>30</v>
      </c>
      <c r="F687" t="n">
        <v>1</v>
      </c>
      <c r="G687" t="b">
        <v>1</v>
      </c>
      <c r="H687">
        <f>Sensitivity!H20</f>
        <v/>
      </c>
    </row>
    <row r="688">
      <c r="A688" t="inlineStr">
        <is>
          <t>earrings</t>
        </is>
      </c>
      <c r="B688" t="inlineStr">
        <is>
          <t>mystic</t>
        </is>
      </c>
      <c r="C688" t="n">
        <v>2</v>
      </c>
      <c r="D688" t="inlineStr">
        <is>
          <t>Skill Damage %</t>
        </is>
      </c>
      <c r="E688" t="n">
        <v>30</v>
      </c>
      <c r="F688" t="n">
        <v>0.24</v>
      </c>
      <c r="G688" t="b">
        <v>1</v>
      </c>
      <c r="H688">
        <f>Sensitivity!H20</f>
        <v/>
      </c>
    </row>
    <row r="689">
      <c r="A689" t="inlineStr">
        <is>
          <t>earrings</t>
        </is>
      </c>
      <c r="B689" t="inlineStr">
        <is>
          <t>mystic</t>
        </is>
      </c>
      <c r="C689" t="n">
        <v>2</v>
      </c>
      <c r="D689" t="inlineStr">
        <is>
          <t>Skill Damage %</t>
        </is>
      </c>
      <c r="E689" t="n">
        <v>21</v>
      </c>
      <c r="F689" t="n">
        <v>0.76</v>
      </c>
      <c r="G689" t="b">
        <v>0</v>
      </c>
      <c r="H689">
        <f>Sensitivity!H20</f>
        <v/>
      </c>
    </row>
    <row r="690">
      <c r="A690" t="inlineStr">
        <is>
          <t>earrings</t>
        </is>
      </c>
      <c r="B690" t="inlineStr">
        <is>
          <t>mystic</t>
        </is>
      </c>
      <c r="C690" t="n">
        <v>3</v>
      </c>
      <c r="D690" t="inlineStr">
        <is>
          <t>Skill Damage %</t>
        </is>
      </c>
      <c r="E690" t="n">
        <v>30</v>
      </c>
      <c r="F690" t="n">
        <v>0.08</v>
      </c>
      <c r="G690" t="b">
        <v>1</v>
      </c>
      <c r="H690">
        <f>Sensitivity!H20</f>
        <v/>
      </c>
    </row>
    <row r="691">
      <c r="A691" t="inlineStr">
        <is>
          <t>earrings</t>
        </is>
      </c>
      <c r="B691" t="inlineStr">
        <is>
          <t>mystic</t>
        </is>
      </c>
      <c r="C691" t="n">
        <v>3</v>
      </c>
      <c r="D691" t="inlineStr">
        <is>
          <t>Skill Damage %</t>
        </is>
      </c>
      <c r="E691" t="n">
        <v>21</v>
      </c>
      <c r="F691" t="n">
        <v>0.92</v>
      </c>
      <c r="G691" t="b">
        <v>0</v>
      </c>
      <c r="H691">
        <f>Sensitivity!H20</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8" t="inlineStr">
        <is>
          <t>Slot</t>
        </is>
      </c>
      <c r="B5" s="8" t="inlineStr">
        <is>
          <t>Potential Type</t>
        </is>
      </c>
      <c r="C5" s="8" t="inlineStr">
        <is>
          <t>Current Rarity</t>
        </is>
      </c>
      <c r="D5" s="8" t="inlineStr">
        <is>
          <t>Current Pity Count</t>
        </is>
      </c>
      <c r="E5" s="8" t="inlineStr">
        <is>
          <t>Line 1 Stat</t>
        </is>
      </c>
      <c r="F5" s="8" t="inlineStr">
        <is>
          <t>Line 1 Value</t>
        </is>
      </c>
      <c r="G5" s="8" t="inlineStr">
        <is>
          <t>Line 2 Stat</t>
        </is>
      </c>
      <c r="H5" s="8" t="inlineStr">
        <is>
          <t>Line 2 Value</t>
        </is>
      </c>
      <c r="I5" s="8" t="inlineStr">
        <is>
          <t>Line 3 Stat</t>
        </is>
      </c>
      <c r="J5" s="8"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2026-09-16T10:41:59Z</dcterms:created>
  <dcterms:modified xsi:type="dcterms:W3CDTF">2026-09-16T10:41:59Z</dcterms:modified>
</cp:coreProperties>
</file>