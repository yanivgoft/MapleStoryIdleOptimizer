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CubeData" sheetId="9" state="visible" r:id="rId9"/>
    <sheet name="ArtifactsInput" sheetId="10" state="visible" r:id="rId10"/>
    <sheet name="PotentialCubes"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IFERROR(1/(IF(Inputs!$B$39="pvp",15,MAX(0.1,Skills!D2-IF(Skills!E2=TRUE,Inputs!$B$33,0)))*(1-IF(AND(ArtifactsInput!$M$27,Inputs!$B$4="Chapter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IFERROR(1/(IF(Inputs!$B$39="pvp",15,MAX(0.1,Skills!D3-IF(Skills!E3=TRUE,Inputs!$B$33,0)))*(1-IF(AND(ArtifactsInput!$M$27,Inputs!$B$4="Chapter Hunt"),CHOOSE(ArtifactsInput!$N$27+1,20,24,28,32,36,40),0)/100)),0)</f>
        <v/>
      </c>
      <c r="R3">
        <f>IF(AND(Inputs!$B$39&lt;&gt;"pvp",Inputs!$B$44&gt;0),IF(Inputs!$B$44&lt;=0,0,(INT(Inputs!$B$44/(IF(Inputs!$B$39="pvp",15,MAX(0.1,Skills!D3-IF(Skills!E3=TRUE,Inputs!$B$33,0)))*(1-IF(AND(ArtifactsInput!$M$27,Inputs!$B$4="Chapter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IFERROR(1/(IF(Inputs!$B$39="pvp",15,MAX(0.1,Skills!D4-IF(Skills!E4=TRUE,Inputs!$B$33,0)))*(1-IF(AND(ArtifactsInput!$M$27,Inputs!$B$4="Chapter Hunt"),CHOOSE(ArtifactsInput!$N$27+1,20,24,28,32,36,40),0)/100)),0)</f>
        <v/>
      </c>
      <c r="R4">
        <f>IF(AND(Inputs!$B$39&lt;&gt;"pvp",Inputs!$B$44&gt;0),IF(Inputs!$B$44&lt;=0,0,(INT(Inputs!$B$44/(IF(Inputs!$B$39="pvp",15,MAX(0.1,Skills!D4-IF(Skills!E4=TRUE,Inputs!$B$33,0)))*(1-IF(AND(ArtifactsInput!$M$27,Inputs!$B$4="Chapter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IFERROR(1/(IF(Inputs!$B$39="pvp",15,MAX(0.1,Skills!D5-IF(Skills!E5=TRUE,Inputs!$B$33,0)))*(1-IF(AND(ArtifactsInput!$M$27,Inputs!$B$4="Chapter Hunt"),CHOOSE(ArtifactsInput!$N$27+1,20,24,28,32,36,40),0)/100)),0)</f>
        <v/>
      </c>
      <c r="R5">
        <f>IF(AND(Inputs!$B$39&lt;&gt;"pvp",Inputs!$B$44&gt;0),IF(Inputs!$B$44&lt;=0,0,(INT(Inputs!$B$44/(IF(Inputs!$B$39="pvp",15,MAX(0.1,Skills!D5-IF(Skills!E5=TRUE,Inputs!$B$33,0)))*(1-IF(AND(ArtifactsInput!$M$27,Inputs!$B$4="Chapter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IFERROR(1/(IF(Inputs!$B$39="pvp",15,MAX(0.1,Skills!D6-IF(Skills!E6=TRUE,Inputs!$B$33,0)))*(1-IF(AND(ArtifactsInput!$M$27,Inputs!$B$4="Chapter Hunt"),CHOOSE(ArtifactsInput!$N$27+1,20,24,28,32,36,40),0)/100)),0)</f>
        <v/>
      </c>
      <c r="R6">
        <f>IF(AND(Inputs!$B$39&lt;&gt;"pvp",Inputs!$B$44&gt;0),IF(MAX(0,Inputs!$B$44-Summary!$B$24)&lt;=0,0,(INT(MAX(0,Inputs!$B$44-Summary!$B$24)/(IF(Inputs!$B$39="pvp",15,MAX(0.1,Skills!D6-IF(Skills!E6=TRUE,Inputs!$B$33,0)))*(1-IF(AND(ArtifactsInput!$M$27,Inputs!$B$4="Chapter Hunt"),CHOOSE(ArtifactsInput!$N$27+1,20,24,28,32,36,40),0)/100)))+1)),0)</f>
        <v/>
      </c>
      <c r="S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IFERROR(1/(IF(Inputs!$B$39="pvp",15,MAX(0.1,Skills!D7-IF(Skills!E6=TRUE,Inputs!$B$33,0)))*(1-IF(AND(ArtifactsInput!$M$27,Inputs!$B$4="Chapter Hunt"),CHOOSE(ArtifactsInput!$N$27+1,20,24,28,32,36,40),0)/100)),0)</f>
        <v/>
      </c>
      <c r="R7">
        <f>IF(AND(Inputs!$B$39&lt;&gt;"pvp",Inputs!$B$44&gt;0),IF(MAX(0,Inputs!$B$44-Summary!$B$24)&lt;=0,0,(INT(MAX(0,Inputs!$B$44-Summary!$B$24)/(IF(Inputs!$B$39="pvp",15,MAX(0.1,Skills!D7-IF(Skills!E6=TRUE,Inputs!$B$33,0)))*(1-IF(AND(ArtifactsInput!$M$27,Inputs!$B$4="Chapter Hunt"),CHOOSE(ArtifactsInput!$N$27+1,20,24,28,32,36,40),0)/100)))+1)),0)</f>
        <v/>
      </c>
      <c r="S7">
        <f>IF(C7,H7*N7*IF(AND(Inputs!$B$39&lt;&gt;"pvp",Inputs!$B$44&gt;0),((Skills!F7*((R7-1)*IF(Skills!G7&gt;0,Skills!H7/Skills!G7,1)+IF(Skills!G7&gt;0,MIN(Skills!H7,MAX(0,MAX(0,Inputs!$B$44-Summary!$B$24)-((R7-1)*(IF(Inputs!$B$39="pvp",15,MAX(0.1,Skills!D7-IF(Skills!E6=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IFERROR(1/(IF(Inputs!$B$39="pvp",15,MAX(0.1,Skills!D8-IF(Skills!E8=TRUE,Inputs!$B$33,0)))*(1-IF(AND(ArtifactsInput!$M$27,Inputs!$B$4="Chapter Hunt"),CHOOSE(ArtifactsInput!$N$27+1,20,24,28,32,36,40),0)/100)),0)</f>
        <v/>
      </c>
      <c r="R8">
        <f>IF(AND(Inputs!$B$39&lt;&gt;"pvp",Inputs!$B$44&gt;0),IF(MAX(0,Inputs!$B$44-Summary!$B$24)&lt;=0,0,(INT(MAX(0,Inputs!$B$44-Summary!$B$24)/(IF(Inputs!$B$39="pvp",15,MAX(0.1,Skills!D8-IF(Skills!E8=TRUE,Inputs!$B$33,0)))*(1-IF(AND(ArtifactsInput!$M$27,Inputs!$B$4="Chapter Hunt"),CHOOSE(ArtifactsInput!$N$27+1,20,24,28,32,36,40),0)/100)))+1)),0)</f>
        <v/>
      </c>
      <c r="S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IFERROR(1/(IF(Inputs!$B$39="pvp",15,MAX(0.1,Skills!D9-IF(Skills!E9=TRUE,Inputs!$B$33,0)))*(1-IF(AND(ArtifactsInput!$M$27,Inputs!$B$4="Chapter Hunt"),CHOOSE(ArtifactsInput!$N$27+1,20,24,28,32,36,40),0)/100)),0)</f>
        <v/>
      </c>
      <c r="R9">
        <f>IF(AND(Inputs!$B$39&lt;&gt;"pvp",Inputs!$B$44&gt;0),IF(MAX(0,Inputs!$B$44-Summary!$B$24)&lt;=0,0,(INT(MAX(0,Inputs!$B$44-Summary!$B$24)/(IF(Inputs!$B$39="pvp",15,MAX(0.1,Skills!D9-IF(Skills!E9=TRUE,Inputs!$B$33,0)))*(1-IF(AND(ArtifactsInput!$M$27,Inputs!$B$4="Chapter Hunt"),CHOOSE(ArtifactsInput!$N$27+1,20,24,28,32,36,40),0)/100)))+1)),0)</f>
        <v/>
      </c>
      <c r="S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IFERROR(1/(IF(Inputs!$B$39="pvp",15,MAX(0.1,Skills!D10-IF(Skills!E10=TRUE,Inputs!$B$33,0)))*(1-IF(AND(ArtifactsInput!$M$27,Inputs!$B$4="Chapter Hunt"),CHOOSE(ArtifactsInput!$N$27+1,20,24,28,32,36,40),0)/100)),0)</f>
        <v/>
      </c>
      <c r="R10">
        <f>IF(AND(Inputs!$B$39&lt;&gt;"pvp",Inputs!$B$44&gt;0),IF(MAX(0,Inputs!$B$44-Summary!$B$24)&lt;=0,0,(INT(MAX(0,Inputs!$B$44-Summary!$B$24)/(IF(Inputs!$B$39="pvp",15,MAX(0.1,Skills!D10-IF(Skills!E10=TRUE,Inputs!$B$33,0)))*(1-IF(AND(ArtifactsInput!$M$27,Inputs!$B$4="Chapter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IFERROR(1/(IF(Inputs!$B$39="pvp",15,MAX(0.1,Skills!D11-IF(Skills!E11=TRUE,Inputs!$B$33,0)))*(1-IF(AND(ArtifactsInput!$M$27,Inputs!$B$4="Chapter Hunt"),CHOOSE(ArtifactsInput!$N$27+1,20,24,28,32,36,40),0)/100)),0)</f>
        <v/>
      </c>
      <c r="R11">
        <f>IF(AND(Inputs!$B$39&lt;&gt;"pvp",Inputs!$B$44&gt;0),IF(Inputs!$B$44&lt;=0,0,(INT(Inputs!$B$44/(IF(Inputs!$B$39="pvp",15,MAX(0.1,Skills!D11-IF(Skills!E11=TRUE,Inputs!$B$33,0)))*(1-IF(AND(ArtifactsInput!$M$27,Inputs!$B$4="Chapter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IFERROR(1/(IF(Inputs!$B$39="pvp",15,MAX(0.1,Skills!D12-IF(Skills!E12=TRUE,Inputs!$B$33,0)))*(1-IF(AND(ArtifactsInput!$M$27,Inputs!$B$4="Chapter Hunt"),CHOOSE(ArtifactsInput!$N$27+1,20,24,28,32,36,40),0)/100)),0)</f>
        <v/>
      </c>
      <c r="R12">
        <f>IF(AND(Inputs!$B$39&lt;&gt;"pvp",Inputs!$B$44&gt;0),IF(MAX(0,Inputs!$B$44-Summary!$B$24)&lt;=0,0,(INT(MAX(0,Inputs!$B$44-Summary!$B$24)/(IF(Inputs!$B$39="pvp",15,MAX(0.1,Skills!D12-IF(Skills!E12=TRUE,Inputs!$B$33,0)))*(1-IF(AND(ArtifactsInput!$M$27,Inputs!$B$4="Chapter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IFERROR(1/(IF(Inputs!$B$39="pvp",15,MAX(0.1,Skills!D13-IF(Skills!E13=TRUE,Inputs!$B$33,0)))*(1-IF(AND(ArtifactsInput!$M$27,Inputs!$B$4="Chapter Hunt"),CHOOSE(ArtifactsInput!$N$27+1,20,24,28,32,36,40),0)/100)),0)</f>
        <v/>
      </c>
      <c r="R13">
        <f>IF(AND(Inputs!$B$39&lt;&gt;"pvp",Inputs!$B$44&gt;0),IF(MAX(0,Inputs!$B$44-Summary!$B$24)&lt;=0,0,(INT(MAX(0,Inputs!$B$44-Summary!$B$24)/(IF(Inputs!$B$39="pvp",15,MAX(0.1,Skills!D13-IF(Skills!E13=TRUE,Inputs!$B$33,0)))*(1-IF(AND(ArtifactsInput!$M$27,Inputs!$B$4="Chapter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IFERROR(1/(IF(Inputs!$B$39="pvp",15,MAX(0.1,Skills!D14-IF(Skills!E14=TRUE,Inputs!$B$33,0)))*(1-IF(AND(ArtifactsInput!$M$27,Inputs!$B$4="Chapter Hunt"),CHOOSE(ArtifactsInput!$N$27+1,20,24,28,32,36,40),0)/100)),0)</f>
        <v/>
      </c>
      <c r="R14">
        <f>IF(AND(Inputs!$B$39&lt;&gt;"pvp",Inputs!$B$44&gt;0),IF(Inputs!$B$44&lt;=0,0,(INT(Inputs!$B$44/(IF(Inputs!$B$39="pvp",15,MAX(0.1,Skills!D14-IF(Skills!E14=TRUE,Inputs!$B$33,0)))*(1-IF(AND(ArtifactsInput!$M$27,Inputs!$B$4="Chapter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IFERROR(1/(IF(Inputs!$B$39="pvp",15,MAX(0.1,Skills!D15-IF(Skills!E15=TRUE,Inputs!$B$33,0)))*(1-IF(AND(ArtifactsInput!$M$27,Inputs!$B$4="Chapter Hunt"),CHOOSE(ArtifactsInput!$N$27+1,20,24,28,32,36,40),0)/100)),0)</f>
        <v/>
      </c>
      <c r="R15" t="n">
        <v>0</v>
      </c>
      <c r="S15">
        <f>IF(C15,(Skills!F15*N15*((IF(Inputs!$B$3&gt;=78,25,15)/100*Summary!$B$19*10)/(1+IF(Inputs!$B$3&gt;=78,25,15)/100*Summary!$B$19*10)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10)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IFERROR(1/(IF(Inputs!$B$39="pvp",15,MAX(0.1,Skills!D16-IF(Skills!E16=TRUE,Inputs!$B$33,0)))*(1-IF(AND(ArtifactsInput!$M$27,Inputs!$B$4="Chapter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IFERROR(1/(IF(Inputs!$B$39="pvp",15,MAX(0.1,Skills!D17-IF(Skills!E17=TRUE,Inputs!$B$33,0)))*(1-IF(AND(ArtifactsInput!$M$27,Inputs!$B$4="Chapter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IFERROR(1/(IF(Inputs!$B$39="pvp",15,MAX(0.1,Skills!D18-IF(Skills!E18=TRUE,Inputs!$B$33,0)))*(1-IF(AND(ArtifactsInput!$M$27,Inputs!$B$4="Chapter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IFERROR(1/(IF(Inputs!$B$39="pvp",15,MAX(0.1,Skills!D19-IF(Skills!E19=TRUE,Inputs!$B$33,0)))*(1-IF(AND(ArtifactsInput!$M$27,Inputs!$B$4="Chapter Hunt"),CHOOSE(ArtifactsInput!$N$27+1,20,24,28,32,36,40),0)/100)),0)</f>
        <v/>
      </c>
      <c r="R19">
        <f>IF(AND(Inputs!$B$39&lt;&gt;"pvp",Inputs!$B$44&gt;0),IF(Inputs!$B$44&lt;=0,0,(INT(Inputs!$B$44/(IF(Inputs!$B$39="pvp",15,MAX(0.1,Skills!D19-IF(Skills!E19=TRUE,Inputs!$B$33,0)))*(1-IF(AND(ArtifactsInput!$M$27,Inputs!$B$4="Chapter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IFERROR(1/(IF(Inputs!$B$39="pvp",15,MAX(0.1,Skills!D20-IF(Skills!E20=TRUE,Inputs!$B$33,0)))*(1-IF(AND(ArtifactsInput!$M$27,Inputs!$B$4="Chapter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IFERROR(1/(IF(Inputs!$B$39="pvp",15,MAX(0.1,Skills!D21-IF(Skills!E21=TRUE,Inputs!$B$33,0)))*(1-IF(AND(ArtifactsInput!$M$27,Inputs!$B$4="Chapter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IFERROR(1/(IF(Inputs!$B$39="pvp",15,MAX(0.1,Skills!D22-IF(Skills!E22=TRUE,Inputs!$B$33,0)))*(1-IF(AND(ArtifactsInput!$M$27,Inputs!$B$4="Chapter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IFERROR(1/(IF(Inputs!$B$39="pvp",15,MAX(0.1,Skills!D23-IF(Skills!E23=TRUE,Inputs!$B$33,0)))*(1-IF(AND(ArtifactsInput!$M$27,Inputs!$B$4="Chapter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IFERROR(1/(IF(Inputs!$B$39="pvp",15,MAX(0.1,Skills!D24-IF(Skills!E24=TRUE,Inputs!$B$33,0)))*(1-IF(AND(ArtifactsInput!$M$27,Inputs!$B$4="Chapter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IFERROR(1/(IF(Inputs!$B$39="pvp",15,MAX(0.1,Skills!D25-IF(Skills!E25=TRUE,Inputs!$B$33,0)))*(1-IF(AND(ArtifactsInput!$M$27,Inputs!$B$4="Chapter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IFERROR(1/(IF(Inputs!$B$39="pvp",15,MAX(0.1,Skills!D26-IF(Skills!E26=TRUE,Inputs!$B$33,0)))*(1-IF(AND(ArtifactsInput!$M$27,Inputs!$B$4="Chapter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IFERROR(1/(IF(Inputs!$B$39="pvp",15,MAX(0.1,Skills!D27-IF(Skills!E27=TRUE,Inputs!$B$33,0)))*(1-IF(AND(ArtifactsInput!$M$27,Inputs!$B$4="Chapter Hunt"),CHOOSE(ArtifactsInput!$N$27+1,20,24,28,32,36,40),0)/100)),0)</f>
        <v/>
      </c>
      <c r="R27" t="n">
        <v>0</v>
      </c>
      <c r="S27" t="n">
        <v>0</v>
      </c>
      <c r="U2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SUM(Calc!O2:O27)</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Artifacts!$B$52)/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14">
      <c r="A14" t="inlineStr">
        <is>
          <t>Monster Damage Taken Bonus % (Holy Fountain - Boss Monster Damage, averaged)</t>
        </is>
      </c>
      <c r="B14">
        <f>IF(Inputs!$B$3&gt;=68,20*IF(Inputs!$B$39="pvp",MIN((15*(1+(Inputs!$B$35+IF(Inputs!$B$3&gt;=117,Calc!F26,0))/100)),15)/15,(15*(1+(Inputs!$B$35+IF(Inputs!$B$3&gt;=117,Calc!F26,0))/100))/Skills!D10),0)</f>
        <v/>
      </c>
    </row>
    <row r="15">
      <c r="A15" t="inlineStr">
        <is>
          <t>Normal Monster Damage Bonus % (Holy Symbol, averaged)</t>
        </is>
      </c>
      <c r="B15">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always-on)</t>
        </is>
      </c>
      <c r="B18">
        <f>IF(Calc!C17=TRUE,Calc!F17,0)+IF(Inputs!$B$3&gt;=134,15,0)</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IF(AND(Inputs!$B$39&lt;&gt;"pvp",Inputs!$B$44&gt;0),SUMPRODUCT((Skills!E2:E27=TRUE)*(Calc!C2:C27=TRUE)*Calc!R2:R27)/Inputs!$B$44,SUMPRODUCT((Skills!E2:E27=TRUE)*(Calc!C2:C27=TRUE)*Calc!Q2:Q27))</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row r="24">
      <c r="A24" t="inlineStr">
        <is>
          <t>Buff-Casting Startup Delay (s, before first damage-skill cast; fixed-duration only)</t>
        </is>
      </c>
      <c r="B24">
        <f>IF(AND(Inputs!$B$39&lt;&gt;"pvp",Inputs!$B$44&gt;0),SUMPRODUCT((Skills!S2:S27&gt;0)*(Skills!E2:E27=TRUE)*(Calc!C2:C27=TRUE))/B19,0)</f>
        <v/>
      </c>
    </row>
    <row r="25">
      <c r="A25" t="inlineStr">
        <is>
          <t>Boss-Only Total DPS (Sensitivity baseline)</t>
        </is>
      </c>
      <c r="B25">
        <f>SUM(Calc!S2:S27)</f>
        <v/>
      </c>
    </row>
    <row r="26">
      <c r="A26" t="inlineStr">
        <is>
          <t>Normal-Only Total DPS (Sensitivity baseline)</t>
        </is>
      </c>
      <c r="B26">
        <f>SUM(Calc!U2:U27)</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9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B114</f>
        <v/>
      </c>
      <c r="H5">
        <f>Summary!$B$3*(((1-Summary!$B$11)*IFERROR(B112/Summary!$B$25,1)+Summary!$B$11*IFERROR(B113/Summary!$B$26,1))-1)</f>
        <v/>
      </c>
      <c r="I5">
        <f>((1-Summary!$B$11)*IFERROR(B112/Summary!$B$25,1)+Summary!$B$11*IFERROR(B113/Summary!$B$26,1))*100</f>
        <v/>
      </c>
    </row>
    <row r="6">
      <c r="A6" t="inlineStr">
        <is>
          <t>INT %</t>
        </is>
      </c>
      <c r="B6">
        <f>IFERROR(1/(I6-100),"n/a")</f>
        <v/>
      </c>
      <c r="C6" t="inlineStr">
        <is>
          <t>pct</t>
        </is>
      </c>
      <c r="D6">
        <f>Inputs!$B$14</f>
        <v/>
      </c>
      <c r="E6">
        <f>(Inputs!$B$14+1)</f>
        <v/>
      </c>
      <c r="F6">
        <f>Summary!$B$3</f>
        <v/>
      </c>
      <c r="G6">
        <f>B158</f>
        <v/>
      </c>
      <c r="H6">
        <f>Summary!$B$3*(((1-Summary!$B$11)*IFERROR(B156/Summary!$B$25,1)+Summary!$B$11*IFERROR(B157/Summary!$B$26,1))-1)</f>
        <v/>
      </c>
      <c r="I6">
        <f>((1-Summary!$B$11)*IFERROR(B156/Summary!$B$25,1)+Summary!$B$11*IFERROR(B157/Summary!$B$26,1))*100</f>
        <v/>
      </c>
    </row>
    <row r="7">
      <c r="A7" t="inlineStr">
        <is>
          <t>Defense (flat) — Invincible converts a level-scaling % (10%+) into INT</t>
        </is>
      </c>
      <c r="B7">
        <f>IFERROR(1/(I7-100),"n/a")</f>
        <v/>
      </c>
      <c r="C7" t="inlineStr">
        <is>
          <t>flat</t>
        </is>
      </c>
      <c r="D7">
        <f>Inputs!$B$8</f>
        <v/>
      </c>
      <c r="E7">
        <f>(Inputs!$B$8+1)</f>
        <v/>
      </c>
      <c r="F7">
        <f>Summary!$B$3</f>
        <v/>
      </c>
      <c r="G7">
        <f>B202</f>
        <v/>
      </c>
      <c r="H7">
        <f>Summary!$B$3*(((1-Summary!$B$11)*IFERROR(B200/Summary!$B$25,1)+Summary!$B$11*IFERROR(B201/Summary!$B$26,1))-1)</f>
        <v/>
      </c>
      <c r="I7">
        <f>((1-Summary!$B$11)*IFERROR(B200/Summary!$B$25,1)+Summary!$B$11*IFERROR(B201/Summary!$B$26,1))*100</f>
        <v/>
      </c>
    </row>
    <row r="8">
      <c r="A8" t="inlineStr">
        <is>
          <t>Defense %</t>
        </is>
      </c>
      <c r="B8">
        <f>IFERROR(1/(I8-100),"n/a")</f>
        <v/>
      </c>
      <c r="C8" t="inlineStr">
        <is>
          <t>pct</t>
        </is>
      </c>
      <c r="D8">
        <f>Inputs!$B$9</f>
        <v/>
      </c>
      <c r="E8">
        <f>(Inputs!$B$9+1)</f>
        <v/>
      </c>
      <c r="F8">
        <f>Summary!$B$3</f>
        <v/>
      </c>
      <c r="G8">
        <f>B246</f>
        <v/>
      </c>
      <c r="H8">
        <f>Summary!$B$3*(((1-Summary!$B$11)*IFERROR(B244/Summary!$B$25,1)+Summary!$B$11*IFERROR(B245/Summary!$B$26,1))-1)</f>
        <v/>
      </c>
      <c r="I8">
        <f>((1-Summary!$B$11)*IFERROR(B244/Summary!$B$25,1)+Summary!$B$11*IFERROR(B245/Summary!$B$26,1))*100</f>
        <v/>
      </c>
    </row>
    <row r="9">
      <c r="A9" t="inlineStr">
        <is>
          <t>DAMAGE %</t>
        </is>
      </c>
      <c r="B9">
        <f>IFERROR(1/(I9-100),"n/a")</f>
        <v/>
      </c>
      <c r="C9" t="inlineStr">
        <is>
          <t>pct</t>
        </is>
      </c>
      <c r="D9">
        <f>Inputs!$B$16</f>
        <v/>
      </c>
      <c r="E9">
        <f>(Inputs!$B$16+1)</f>
        <v/>
      </c>
      <c r="F9">
        <f>Summary!$B$3</f>
        <v/>
      </c>
      <c r="G9">
        <f>B290</f>
        <v/>
      </c>
      <c r="H9">
        <f>Summary!$B$3*(((1-Summary!$B$11)*IFERROR(B288/Summary!$B$25,1)+Summary!$B$11*IFERROR(B289/Summary!$B$26,1))-1)</f>
        <v/>
      </c>
      <c r="I9">
        <f>((1-Summary!$B$11)*IFERROR(B288/Summary!$B$25,1)+Summary!$B$11*IFERROR(B289/Summary!$B$26,1))*100</f>
        <v/>
      </c>
    </row>
    <row r="10">
      <c r="A10" t="inlineStr">
        <is>
          <t>DAMAGE_AMP %</t>
        </is>
      </c>
      <c r="B10">
        <f>IFERROR(1/(I10-100),"n/a")</f>
        <v/>
      </c>
      <c r="C10" t="inlineStr">
        <is>
          <t>pct</t>
        </is>
      </c>
      <c r="D10">
        <f>Inputs!$B$17</f>
        <v/>
      </c>
      <c r="E10">
        <f>(Inputs!$B$17+1)</f>
        <v/>
      </c>
      <c r="F10">
        <f>Summary!$B$3</f>
        <v/>
      </c>
      <c r="G10">
        <f>B334</f>
        <v/>
      </c>
      <c r="H10">
        <f>Summary!$B$3*(((1-Summary!$B$11)*IFERROR(B332/Summary!$B$25,1)+Summary!$B$11*IFERROR(B333/Summary!$B$26,1))-1)</f>
        <v/>
      </c>
      <c r="I10">
        <f>((1-Summary!$B$11)*IFERROR(B332/Summary!$B$25,1)+Summary!$B$11*IFERROR(B333/Summary!$B$26,1))*100</f>
        <v/>
      </c>
    </row>
    <row r="11">
      <c r="A11" t="inlineStr">
        <is>
          <t>BOSS_DAMAGE %</t>
        </is>
      </c>
      <c r="B11">
        <f>IFERROR(1/(I11-100),"n/a")</f>
        <v/>
      </c>
      <c r="C11" t="inlineStr">
        <is>
          <t>pct</t>
        </is>
      </c>
      <c r="D11">
        <f>Inputs!$B$21</f>
        <v/>
      </c>
      <c r="E11">
        <f>(Inputs!$B$21+1)</f>
        <v/>
      </c>
      <c r="F11">
        <f>Summary!$B$3</f>
        <v/>
      </c>
      <c r="G11">
        <f>B378</f>
        <v/>
      </c>
      <c r="H11">
        <f>Summary!$B$3*(((1-Summary!$B$11)*IFERROR(B376/Summary!$B$25,1)+Summary!$B$11*IFERROR(B377/Summary!$B$26,1))-1)</f>
        <v/>
      </c>
      <c r="I11">
        <f>((1-Summary!$B$11)*IFERROR(B376/Summary!$B$25,1)+Summary!$B$11*IFERROR(B377/Summary!$B$26,1))*100</f>
        <v/>
      </c>
    </row>
    <row r="12">
      <c r="A12" t="inlineStr">
        <is>
          <t>NORMAL_DAMAGE %</t>
        </is>
      </c>
      <c r="B12">
        <f>IFERROR(1/(I12-100),"n/a")</f>
        <v/>
      </c>
      <c r="C12" t="inlineStr">
        <is>
          <t>pct</t>
        </is>
      </c>
      <c r="D12">
        <f>Inputs!$B$22</f>
        <v/>
      </c>
      <c r="E12">
        <f>(Inputs!$B$22+1)</f>
        <v/>
      </c>
      <c r="F12">
        <f>Summary!$B$3</f>
        <v/>
      </c>
      <c r="G12">
        <f>B422</f>
        <v/>
      </c>
      <c r="H12">
        <f>Summary!$B$3*(((1-Summary!$B$11)*IFERROR(B420/Summary!$B$25,1)+Summary!$B$11*IFERROR(B421/Summary!$B$26,1))-1)</f>
        <v/>
      </c>
      <c r="I12">
        <f>((1-Summary!$B$11)*IFERROR(B420/Summary!$B$25,1)+Summary!$B$11*IFERROR(B421/Summary!$B$26,1))*100</f>
        <v/>
      </c>
    </row>
    <row r="13">
      <c r="A13" t="inlineStr">
        <is>
          <t>FINAL_DAMAGE % (multiplicative source)</t>
        </is>
      </c>
      <c r="B13">
        <f>IFERROR(1/(I13-100),"n/a")</f>
        <v/>
      </c>
      <c r="C13" t="inlineStr">
        <is>
          <t>mult</t>
        </is>
      </c>
      <c r="D13">
        <f>Inputs!$B$25</f>
        <v/>
      </c>
      <c r="E13">
        <f>((((1+Inputs!$B$25/100)*(1.01))-1)*100)</f>
        <v/>
      </c>
      <c r="F13">
        <f>Summary!$B$3</f>
        <v/>
      </c>
      <c r="G13">
        <f>B466</f>
        <v/>
      </c>
      <c r="H13">
        <f>Summary!$B$3*(((1-Summary!$B$11)*IFERROR(B464/Summary!$B$25,1)+Summary!$B$11*IFERROR(B465/Summary!$B$26,1))-1)</f>
        <v/>
      </c>
      <c r="I13">
        <f>((1-Summary!$B$11)*IFERROR(B464/Summary!$B$25,1)+Summary!$B$11*IFERROR(B465/Summary!$B$26,1))*100</f>
        <v/>
      </c>
    </row>
    <row r="14">
      <c r="A14" t="inlineStr">
        <is>
          <t>MIN_DAMAGE %</t>
        </is>
      </c>
      <c r="B14">
        <f>IFERROR(1/(I14-100),"n/a")</f>
        <v/>
      </c>
      <c r="C14" t="inlineStr">
        <is>
          <t>pct</t>
        </is>
      </c>
      <c r="D14">
        <f>Inputs!$B$23</f>
        <v/>
      </c>
      <c r="E14">
        <f>(Inputs!$B$23+1)</f>
        <v/>
      </c>
      <c r="F14">
        <f>Summary!$B$3</f>
        <v/>
      </c>
      <c r="G14">
        <f>B510</f>
        <v/>
      </c>
      <c r="H14">
        <f>Summary!$B$3*(((1-Summary!$B$11)*IFERROR(B508/Summary!$B$25,1)+Summary!$B$11*IFERROR(B509/Summary!$B$26,1))-1)</f>
        <v/>
      </c>
      <c r="I14">
        <f>((1-Summary!$B$11)*IFERROR(B508/Summary!$B$25,1)+Summary!$B$11*IFERROR(B509/Summary!$B$26,1))*100</f>
        <v/>
      </c>
    </row>
    <row r="15">
      <c r="A15" t="inlineStr">
        <is>
          <t>MAX_DAMAGE %</t>
        </is>
      </c>
      <c r="B15">
        <f>IFERROR(1/(I15-100),"n/a")</f>
        <v/>
      </c>
      <c r="C15" t="inlineStr">
        <is>
          <t>pct</t>
        </is>
      </c>
      <c r="D15">
        <f>Inputs!$B$24</f>
        <v/>
      </c>
      <c r="E15">
        <f>(Inputs!$B$24+1)</f>
        <v/>
      </c>
      <c r="F15">
        <f>Summary!$B$3</f>
        <v/>
      </c>
      <c r="G15">
        <f>B554</f>
        <v/>
      </c>
      <c r="H15">
        <f>Summary!$B$3*(((1-Summary!$B$11)*IFERROR(B552/Summary!$B$25,1)+Summary!$B$11*IFERROR(B553/Summary!$B$26,1))-1)</f>
        <v/>
      </c>
      <c r="I15">
        <f>((1-Summary!$B$11)*IFERROR(B552/Summary!$B$25,1)+Summary!$B$11*IFERROR(B553/Summary!$B$26,1))*100</f>
        <v/>
      </c>
    </row>
    <row r="16">
      <c r="A16" t="inlineStr">
        <is>
          <t>CRIT_RATE %</t>
        </is>
      </c>
      <c r="B16">
        <f>IFERROR(1/(I16-100),"n/a")</f>
        <v/>
      </c>
      <c r="C16" t="inlineStr">
        <is>
          <t>pct</t>
        </is>
      </c>
      <c r="D16">
        <f>Inputs!$B$10</f>
        <v/>
      </c>
      <c r="E16">
        <f>(Inputs!$B$10+1)</f>
        <v/>
      </c>
      <c r="F16">
        <f>Summary!$B$3</f>
        <v/>
      </c>
      <c r="G16">
        <f>B598</f>
        <v/>
      </c>
      <c r="H16">
        <f>Summary!$B$3*(((1-Summary!$B$11)*IFERROR(B596/Summary!$B$25,1)+Summary!$B$11*IFERROR(B597/Summary!$B$26,1))-1)</f>
        <v/>
      </c>
      <c r="I16">
        <f>((1-Summary!$B$11)*IFERROR(B596/Summary!$B$25,1)+Summary!$B$11*IFERROR(B597/Summary!$B$26,1))*100</f>
        <v/>
      </c>
    </row>
    <row r="17">
      <c r="A17" t="inlineStr">
        <is>
          <t>CRIT_DAMAGE %</t>
        </is>
      </c>
      <c r="B17">
        <f>IFERROR(1/(I17-100),"n/a")</f>
        <v/>
      </c>
      <c r="C17" t="inlineStr">
        <is>
          <t>pct</t>
        </is>
      </c>
      <c r="D17">
        <f>Inputs!$B$11</f>
        <v/>
      </c>
      <c r="E17">
        <f>(Inputs!$B$11+1)</f>
        <v/>
      </c>
      <c r="F17">
        <f>Summary!$B$3</f>
        <v/>
      </c>
      <c r="G17">
        <f>B642</f>
        <v/>
      </c>
      <c r="H17">
        <f>Summary!$B$3*(((1-Summary!$B$11)*IFERROR(B640/Summary!$B$25,1)+Summary!$B$11*IFERROR(B641/Summary!$B$26,1))-1)</f>
        <v/>
      </c>
      <c r="I17">
        <f>((1-Summary!$B$11)*IFERROR(B640/Summary!$B$25,1)+Summary!$B$11*IFERROR(B641/Summary!$B$26,1))*100</f>
        <v/>
      </c>
    </row>
    <row r="18">
      <c r="A18" t="inlineStr">
        <is>
          <t>ATTACK_SPEED % (diminishing returns, factor 150)</t>
        </is>
      </c>
      <c r="B18">
        <f>IFERROR(1/(I18-100),"n/a")</f>
        <v/>
      </c>
      <c r="C18" t="inlineStr">
        <is>
          <t>dr150</t>
        </is>
      </c>
      <c r="D18">
        <f>Inputs!$B$12</f>
        <v/>
      </c>
      <c r="E18">
        <f>((1-(1-Inputs!$B$12/150)*(1-1/150))*150)</f>
        <v/>
      </c>
      <c r="F18">
        <f>Summary!$B$3</f>
        <v/>
      </c>
      <c r="G18">
        <f>B686</f>
        <v/>
      </c>
      <c r="H18">
        <f>Summary!$B$3*(((1-Summary!$B$11)*IFERROR(B684/Summary!$B$25,1)+Summary!$B$11*IFERROR(B685/Summary!$B$26,1))-1)</f>
        <v/>
      </c>
      <c r="I18">
        <f>((1-Summary!$B$11)*IFERROR(B684/Summary!$B$25,1)+Summary!$B$11*IFERROR(B685/Summary!$B$26,1))*100</f>
        <v/>
      </c>
    </row>
    <row r="19">
      <c r="A19" t="inlineStr">
        <is>
          <t>DEF_PEN % (diminishing returns, factor 100)</t>
        </is>
      </c>
      <c r="B19">
        <f>IFERROR(1/(I19-100),"n/a")</f>
        <v/>
      </c>
      <c r="C19" t="inlineStr">
        <is>
          <t>dr100</t>
        </is>
      </c>
      <c r="D19">
        <f>Inputs!$B$20</f>
        <v/>
      </c>
      <c r="E19">
        <f>((1-(1-Inputs!$B$20/100)*(1-1/100))*100)</f>
        <v/>
      </c>
      <c r="F19">
        <f>Summary!$B$3</f>
        <v/>
      </c>
      <c r="G19">
        <f>B730</f>
        <v/>
      </c>
      <c r="H19">
        <f>Summary!$B$3*(((1-Summary!$B$11)*IFERROR(B728/Summary!$B$25,1)+Summary!$B$11*IFERROR(B729/Summary!$B$26,1))-1)</f>
        <v/>
      </c>
      <c r="I19">
        <f>((1-Summary!$B$11)*IFERROR(B728/Summary!$B$25,1)+Summary!$B$11*IFERROR(B729/Summary!$B$26,1))*100</f>
        <v/>
      </c>
    </row>
    <row r="20">
      <c r="A20" t="inlineStr">
        <is>
          <t>BASIC_ATTACK_DAMAGE %</t>
        </is>
      </c>
      <c r="B20">
        <f>IFERROR(1/(I20-100),"n/a")</f>
        <v/>
      </c>
      <c r="C20" t="inlineStr">
        <is>
          <t>pct</t>
        </is>
      </c>
      <c r="D20">
        <f>Inputs!$B$18</f>
        <v/>
      </c>
      <c r="E20">
        <f>(Inputs!$B$18+1)</f>
        <v/>
      </c>
      <c r="F20">
        <f>Summary!$B$3</f>
        <v/>
      </c>
      <c r="G20">
        <f>B774</f>
        <v/>
      </c>
      <c r="H20">
        <f>Summary!$B$3*(((1-Summary!$B$11)*IFERROR(B772/Summary!$B$25,1)+Summary!$B$11*IFERROR(B773/Summary!$B$26,1))-1)</f>
        <v/>
      </c>
      <c r="I20">
        <f>((1-Summary!$B$11)*IFERROR(B772/Summary!$B$25,1)+Summary!$B$11*IFERROR(B773/Summary!$B$26,1))*100</f>
        <v/>
      </c>
    </row>
    <row r="21">
      <c r="A21" t="inlineStr">
        <is>
          <t>SKILL_DAMAGE %</t>
        </is>
      </c>
      <c r="B21">
        <f>IFERROR(1/(I21-100),"n/a")</f>
        <v/>
      </c>
      <c r="C21" t="inlineStr">
        <is>
          <t>pct</t>
        </is>
      </c>
      <c r="D21">
        <f>Inputs!$B$19</f>
        <v/>
      </c>
      <c r="E21">
        <f>(Inputs!$B$19+1)</f>
        <v/>
      </c>
      <c r="F21">
        <f>Summary!$B$3</f>
        <v/>
      </c>
      <c r="G21">
        <f>B818</f>
        <v/>
      </c>
      <c r="H21">
        <f>Summary!$B$3*(((1-Summary!$B$11)*IFERROR(B816/Summary!$B$25,1)+Summary!$B$11*IFERROR(B817/Summary!$B$26,1))-1)</f>
        <v/>
      </c>
      <c r="I21">
        <f>((1-Summary!$B$11)*IFERROR(B816/Summary!$B$25,1)+Summary!$B$11*IFERROR(B817/Summary!$B$26,1))*100</f>
        <v/>
      </c>
    </row>
    <row r="22">
      <c r="A22" t="inlineStr">
        <is>
          <t>Skill Level Bonus — 1st Job</t>
        </is>
      </c>
      <c r="B22">
        <f>IFERROR(1/(I22-100),"n/a")</f>
        <v/>
      </c>
      <c r="C22" t="inlineStr">
        <is>
          <t>level</t>
        </is>
      </c>
      <c r="D22">
        <f>Inputs!$B$26</f>
        <v/>
      </c>
      <c r="E22">
        <f>(Inputs!$B$26+1)</f>
        <v/>
      </c>
      <c r="F22">
        <f>Summary!$B$3</f>
        <v/>
      </c>
      <c r="G22">
        <f>B862</f>
        <v/>
      </c>
      <c r="H22">
        <f>Summary!$B$3*(((1-Summary!$B$11)*IFERROR(B860/Summary!$B$25,1)+Summary!$B$11*IFERROR(B861/Summary!$B$26,1))-1)</f>
        <v/>
      </c>
      <c r="I22">
        <f>((1-Summary!$B$11)*IFERROR(B860/Summary!$B$25,1)+Summary!$B$11*IFERROR(B861/Summary!$B$26,1))*100</f>
        <v/>
      </c>
    </row>
    <row r="23">
      <c r="A23" t="inlineStr">
        <is>
          <t>Skill Level Bonus — 2nd Job</t>
        </is>
      </c>
      <c r="B23">
        <f>IFERROR(1/(I23-100),"n/a")</f>
        <v/>
      </c>
      <c r="C23" t="inlineStr">
        <is>
          <t>level</t>
        </is>
      </c>
      <c r="D23">
        <f>Inputs!$B$27</f>
        <v/>
      </c>
      <c r="E23">
        <f>(Inputs!$B$27+1)</f>
        <v/>
      </c>
      <c r="F23">
        <f>Summary!$B$3</f>
        <v/>
      </c>
      <c r="G23">
        <f>B906</f>
        <v/>
      </c>
      <c r="H23">
        <f>Summary!$B$3*(((1-Summary!$B$11)*IFERROR(B904/Summary!$B$25,1)+Summary!$B$11*IFERROR(B905/Summary!$B$26,1))-1)</f>
        <v/>
      </c>
      <c r="I23">
        <f>((1-Summary!$B$11)*IFERROR(B904/Summary!$B$25,1)+Summary!$B$11*IFERROR(B905/Summary!$B$26,1))*100</f>
        <v/>
      </c>
    </row>
    <row r="24">
      <c r="A24" t="inlineStr">
        <is>
          <t>Skill Level Bonus — 3rd Job</t>
        </is>
      </c>
      <c r="B24">
        <f>IFERROR(1/(I24-100),"n/a")</f>
        <v/>
      </c>
      <c r="C24" t="inlineStr">
        <is>
          <t>level</t>
        </is>
      </c>
      <c r="D24">
        <f>Inputs!$B$28</f>
        <v/>
      </c>
      <c r="E24">
        <f>(Inputs!$B$28+1)</f>
        <v/>
      </c>
      <c r="F24">
        <f>Summary!$B$3</f>
        <v/>
      </c>
      <c r="G24">
        <f>B950</f>
        <v/>
      </c>
      <c r="H24">
        <f>Summary!$B$3*(((1-Summary!$B$11)*IFERROR(B948/Summary!$B$25,1)+Summary!$B$11*IFERROR(B949/Summary!$B$26,1))-1)</f>
        <v/>
      </c>
      <c r="I24">
        <f>((1-Summary!$B$11)*IFERROR(B948/Summary!$B$25,1)+Summary!$B$11*IFERROR(B949/Summary!$B$26,1))*100</f>
        <v/>
      </c>
    </row>
    <row r="25">
      <c r="A25" t="inlineStr">
        <is>
          <t>Skill Level Bonus — 4th Job</t>
        </is>
      </c>
      <c r="B25">
        <f>IFERROR(1/(I25-100),"n/a")</f>
        <v/>
      </c>
      <c r="C25" t="inlineStr">
        <is>
          <t>level</t>
        </is>
      </c>
      <c r="D25">
        <f>Inputs!$B$29</f>
        <v/>
      </c>
      <c r="E25">
        <f>(Inputs!$B$29+1)</f>
        <v/>
      </c>
      <c r="F25">
        <f>Summary!$B$3</f>
        <v/>
      </c>
      <c r="G25">
        <f>B994</f>
        <v/>
      </c>
      <c r="H25">
        <f>Summary!$B$3*(((1-Summary!$B$11)*IFERROR(B992/Summary!$B$25,1)+Summary!$B$11*IFERROR(B993/Summary!$B$26,1))-1)</f>
        <v/>
      </c>
      <c r="I25">
        <f>((1-Summary!$B$11)*IFERROR(B992/Summary!$B$25,1)+Summary!$B$11*IFERROR(B993/Summary!$B$26,1))*100</f>
        <v/>
      </c>
    </row>
    <row r="26">
      <c r="A26" t="inlineStr">
        <is>
          <t>Skill Level Bonus — All Skills</t>
        </is>
      </c>
      <c r="B26">
        <f>IFERROR(1/(I26-100),"n/a")</f>
        <v/>
      </c>
      <c r="C26" t="inlineStr">
        <is>
          <t>level</t>
        </is>
      </c>
      <c r="D26">
        <f>Inputs!$B$30</f>
        <v/>
      </c>
      <c r="E26">
        <f>(Inputs!$B$30+1)</f>
        <v/>
      </c>
      <c r="F26">
        <f>Summary!$B$3</f>
        <v/>
      </c>
      <c r="G26">
        <f>B1038</f>
        <v/>
      </c>
      <c r="H26">
        <f>Summary!$B$3*(((1-Summary!$B$11)*IFERROR(B1036/Summary!$B$25,1)+Summary!$B$11*IFERROR(B1037/Summary!$B$26,1))-1)</f>
        <v/>
      </c>
      <c r="I26">
        <f>((1-Summary!$B$11)*IFERROR(B1036/Summary!$B$25,1)+Summary!$B$11*IFERROR(B1037/Summary!$B$26,1))*100</f>
        <v/>
      </c>
    </row>
    <row r="27">
      <c r="A27" t="inlineStr">
        <is>
          <t>Flat ATTACK</t>
        </is>
      </c>
      <c r="B27">
        <f>IFERROR(1/(I27-100),"n/a")</f>
        <v/>
      </c>
      <c r="C27" t="inlineStr">
        <is>
          <t>flat</t>
        </is>
      </c>
      <c r="D27">
        <f>Inputs!$B$6</f>
        <v/>
      </c>
      <c r="E27">
        <f>(Inputs!$B$6+1)</f>
        <v/>
      </c>
      <c r="F27">
        <f>Summary!$B$3</f>
        <v/>
      </c>
      <c r="G27">
        <f>B1082</f>
        <v/>
      </c>
      <c r="H27">
        <f>Summary!$B$3*(((1-Summary!$B$11)*IFERROR(B1080/Summary!$B$25,1)+Summary!$B$11*IFERROR(B1081/Summary!$B$26,1))-1)</f>
        <v/>
      </c>
      <c r="I27">
        <f>((1-Summary!$B$11)*IFERROR(B1080/Summary!$B$25,1)+Summary!$B$11*IFERROR(B1081/Summary!$B$26,1))*100</f>
        <v/>
      </c>
    </row>
    <row r="28">
      <c r="A28" t="inlineStr">
        <is>
          <t>ATTACK %</t>
        </is>
      </c>
      <c r="B28">
        <f>IFERROR(1/(I28-100),"n/a")</f>
        <v/>
      </c>
      <c r="C28" t="inlineStr">
        <is>
          <t>pct</t>
        </is>
      </c>
      <c r="D28">
        <f>Inputs!$B$7</f>
        <v/>
      </c>
      <c r="E28">
        <f>(Inputs!$B$7+1)</f>
        <v/>
      </c>
      <c r="F28">
        <f>Summary!$B$3</f>
        <v/>
      </c>
      <c r="G28">
        <f>B1126</f>
        <v/>
      </c>
      <c r="H28">
        <f>Summary!$B$3*(((1-Summary!$B$11)*IFERROR(B1124/Summary!$B$25,1)+Summary!$B$11*IFERROR(B1125/Summary!$B$26,1))-1)</f>
        <v/>
      </c>
      <c r="I28">
        <f>((1-Summary!$B$11)*IFERROR(B1124/Summary!$B$25,1)+Summary!$B$11*IFERROR(B1125/Summary!$B$26,1))*100</f>
        <v/>
      </c>
    </row>
    <row r="29">
      <c r="A29" t="inlineStr">
        <is>
          <t>Skill Cooldown Decrease (seconds)</t>
        </is>
      </c>
      <c r="B29">
        <f>IFERROR(1/(I29-100),"n/a")</f>
        <v/>
      </c>
      <c r="C29" t="inlineStr">
        <is>
          <t>flat</t>
        </is>
      </c>
      <c r="D29">
        <f>Inputs!$B$33</f>
        <v/>
      </c>
      <c r="E29">
        <f>(Inputs!$B$33+1)</f>
        <v/>
      </c>
      <c r="F29">
        <f>Summary!$B$3</f>
        <v/>
      </c>
      <c r="G29">
        <f>B1170</f>
        <v/>
      </c>
      <c r="H29">
        <f>Summary!$B$3*(((1-Summary!$B$11)*IFERROR(B1168/Summary!$B$25,1)+Summary!$B$11*IFERROR(B1169/Summary!$B$26,1))-1)</f>
        <v/>
      </c>
      <c r="I29">
        <f>((1-Summary!$B$11)*IFERROR(B1168/Summary!$B$25,1)+Summary!$B$11*IFERROR(B1169/Summary!$B$26,1))*100</f>
        <v/>
      </c>
    </row>
    <row r="30">
      <c r="A30" t="inlineStr">
        <is>
          <t>Basic Attack Target Increase (flat)</t>
        </is>
      </c>
      <c r="B30">
        <f>IFERROR(1/(I30-100),"n/a")</f>
        <v/>
      </c>
      <c r="C30" t="inlineStr">
        <is>
          <t>flat</t>
        </is>
      </c>
      <c r="D30">
        <f>Inputs!$B$34</f>
        <v/>
      </c>
      <c r="E30">
        <f>(Inputs!$B$34+1)</f>
        <v/>
      </c>
      <c r="F30">
        <f>Summary!$B$3</f>
        <v/>
      </c>
      <c r="G30">
        <f>B1214</f>
        <v/>
      </c>
      <c r="H30">
        <f>Summary!$B$3*(((1-Summary!$B$11)*IFERROR(B1212/Summary!$B$25,1)+Summary!$B$11*IFERROR(B1213/Summary!$B$26,1))-1)</f>
        <v/>
      </c>
      <c r="I30">
        <f>((1-Summary!$B$11)*IFERROR(B1212/Summary!$B$25,1)+Summary!$B$11*IFERROR(B1213/Summary!$B$26,1))*100</f>
        <v/>
      </c>
    </row>
    <row r="31">
      <c r="A31" t="inlineStr">
        <is>
          <t>Buff Duration Increase %</t>
        </is>
      </c>
      <c r="B31">
        <f>IFERROR(1/(I31-100),"n/a")</f>
        <v/>
      </c>
      <c r="C31" t="inlineStr">
        <is>
          <t>pct</t>
        </is>
      </c>
      <c r="D31">
        <f>Inputs!$B$35</f>
        <v/>
      </c>
      <c r="E31">
        <f>(Inputs!$B$35+1)</f>
        <v/>
      </c>
      <c r="F31">
        <f>Summary!$B$3</f>
        <v/>
      </c>
      <c r="G31">
        <f>B1258</f>
        <v/>
      </c>
      <c r="H31">
        <f>Summary!$B$3*(((1-Summary!$B$11)*IFERROR(B1256/Summary!$B$25,1)+Summary!$B$11*IFERROR(B1257/Summary!$B$26,1))-1)</f>
        <v/>
      </c>
      <c r="I31">
        <f>((1-Summary!$B$11)*IFERROR(B1256/Summary!$B$25,1)+Summary!$B$11*IFERROR(B1257/Summary!$B$26,1))*100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(IF(ArtifactsInput!$M$5,-1,1)*Summary!$B$3*(((1-Summary!$B$11)*IFERROR(B1300/Summary!$B$25,1)+Summary!$B$11*IFERROR(B1301/Summary!$B$26,1))-1)+ArtifactsInput!$L$5)</f>
        <v/>
      </c>
      <c r="AC34">
        <f>(Summary!$B$3+(IF(ArtifactsInput!$M$5,-1,1)*Summary!$B$3*(((1-Summary!$B$11)*IFERROR(B1300/Summary!$B$25,1)+Summary!$B$11*IFERROR(B1301/Summary!$B$26,1))-1)+ArtifactsInput!$L$5))/Summary!$B$3*100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(IF(ArtifactsInput!$M$6,-1,1)*Summary!$B$3*(((1-Summary!$B$11)*IFERROR(B1344/Summary!$B$25,1)+Summary!$B$11*IFERROR(B1345/Summary!$B$26,1))-1)+ArtifactsInput!$L$6)</f>
        <v/>
      </c>
      <c r="AC35">
        <f>(Summary!$B$3+(IF(ArtifactsInput!$M$6,-1,1)*Summary!$B$3*(((1-Summary!$B$11)*IFERROR(B1344/Summary!$B$25,1)+Summary!$B$11*IFERROR(B1345/Summary!$B$26,1))-1)+ArtifactsInput!$L$6))/Summary!$B$3*100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(IF(ArtifactsInput!$M$7,-1,1)*Summary!$B$3*(((1-Summary!$B$11)*IFERROR(B1388/Summary!$B$25,1)+Summary!$B$11*IFERROR(B1389/Summary!$B$26,1))-1)+ArtifactsInput!$L$7)</f>
        <v/>
      </c>
      <c r="AC36">
        <f>(Summary!$B$3+(IF(ArtifactsInput!$M$7,-1,1)*Summary!$B$3*(((1-Summary!$B$11)*IFERROR(B1388/Summary!$B$25,1)+Summary!$B$11*IFERROR(B1389/Summary!$B$26,1))-1)+ArtifactsInput!$L$7))/Summary!$B$3*100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(IF(ArtifactsInput!$M$8,-1,1)*Summary!$B$3*(((1-Summary!$B$11)*IFERROR(B1432/Summary!$B$25,1)+Summary!$B$11*IFERROR(B1433/Summary!$B$26,1))-1)+ArtifactsInput!$L$8)</f>
        <v/>
      </c>
      <c r="AC37">
        <f>(Summary!$B$3+(IF(ArtifactsInput!$M$8,-1,1)*Summary!$B$3*(((1-Summary!$B$11)*IFERROR(B1432/Summary!$B$25,1)+Summary!$B$11*IFERROR(B1433/Summary!$B$26,1))-1)+ArtifactsInput!$L$8))/Summary!$B$3*100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(IF(ArtifactsInput!$M$10,-1,1)*Summary!$B$3*(((1-Summary!$B$11)*IFERROR(B1476/Summary!$B$25,1)+Summary!$B$11*IFERROR(B1477/Summary!$B$26,1))-1)+ArtifactsInput!$L$10)</f>
        <v/>
      </c>
      <c r="AC38">
        <f>(Summary!$B$3+(IF(ArtifactsInput!$M$10,-1,1)*Summary!$B$3*(((1-Summary!$B$11)*IFERROR(B1476/Summary!$B$25,1)+Summary!$B$11*IFERROR(B1477/Summary!$B$26,1))-1)+ArtifactsInput!$L$10))/Summary!$B$3*100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(IF(ArtifactsInput!$M$11,-1,1)*Summary!$B$3*(((1-Summary!$B$11)*IFERROR(B1520/Summary!$B$25,1)+Summary!$B$11*IFERROR(B1521/Summary!$B$26,1))-1)+ArtifactsInput!$L$11)</f>
        <v/>
      </c>
      <c r="AC39">
        <f>(Summary!$B$3+(IF(ArtifactsInput!$M$11,-1,1)*Summary!$B$3*(((1-Summary!$B$11)*IFERROR(B1520/Summary!$B$25,1)+Summary!$B$11*IFERROR(B1521/Summary!$B$26,1))-1)+ArtifactsInput!$L$11))/Summary!$B$3*100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(IF(ArtifactsInput!$M$12,-1,1)*Summary!$B$3*(((1-Summary!$B$11)*IFERROR(B1564/Summary!$B$25,1)+Summary!$B$11*IFERROR(B1565/Summary!$B$26,1))-1)+ArtifactsInput!$L$12)</f>
        <v/>
      </c>
      <c r="AC40">
        <f>(Summary!$B$3+(IF(ArtifactsInput!$M$12,-1,1)*Summary!$B$3*(((1-Summary!$B$11)*IFERROR(B1564/Summary!$B$25,1)+Summary!$B$11*IFERROR(B1565/Summary!$B$26,1))-1)+ArtifactsInput!$L$12))/Summary!$B$3*100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(IF(ArtifactsInput!$M$13,-1,1)*Summary!$B$3*(((1-Summary!$B$11)*IFERROR(B1608/Summary!$B$25,1)+Summary!$B$11*IFERROR(B1609/Summary!$B$26,1))-1)+ArtifactsInput!$L$13)</f>
        <v/>
      </c>
      <c r="AC41">
        <f>(Summary!$B$3+(IF(ArtifactsInput!$M$13,-1,1)*Summary!$B$3*(((1-Summary!$B$11)*IFERROR(B1608/Summary!$B$25,1)+Summary!$B$11*IFERROR(B1609/Summary!$B$26,1))-1)+ArtifactsInput!$L$13))/Summary!$B$3*100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(IF(ArtifactsInput!$M$14,-1,1)*Summary!$B$3*(((1-Summary!$B$11)*IFERROR(B1652/Summary!$B$25,1)+Summary!$B$11*IFERROR(B1653/Summary!$B$26,1))-1)+ArtifactsInput!$L$14)</f>
        <v/>
      </c>
      <c r="AC42">
        <f>(Summary!$B$3+(IF(ArtifactsInput!$M$14,-1,1)*Summary!$B$3*(((1-Summary!$B$11)*IFERROR(B1652/Summary!$B$25,1)+Summary!$B$11*IFERROR(B1653/Summary!$B$26,1))-1)+ArtifactsInput!$L$14))/Summary!$B$3*100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(IF(ArtifactsInput!$M$15,-1,1)*Summary!$B$3*(((1-Summary!$B$11)*IFERROR(B1696/Summary!$B$25,1)+Summary!$B$11*IFERROR(B1697/Summary!$B$26,1))-1)+ArtifactsInput!$L$15)</f>
        <v/>
      </c>
      <c r="AC43">
        <f>(Summary!$B$3+(IF(ArtifactsInput!$M$15,-1,1)*Summary!$B$3*(((1-Summary!$B$11)*IFERROR(B1696/Summary!$B$25,1)+Summary!$B$11*IFERROR(B1697/Summary!$B$26,1))-1)+ArtifactsInput!$L$15))/Summary!$B$3*100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(IF(ArtifactsInput!$M$16,-1,1)*Summary!$B$3*(((1-Summary!$B$11)*IFERROR(B1740/Summary!$B$25,1)+Summary!$B$11*IFERROR(B1741/Summary!$B$26,1))-1)+ArtifactsInput!$L$16)</f>
        <v/>
      </c>
      <c r="AC44">
        <f>(Summary!$B$3+(IF(ArtifactsInput!$M$16,-1,1)*Summary!$B$3*(((1-Summary!$B$11)*IFERROR(B1740/Summary!$B$25,1)+Summary!$B$11*IFERROR(B1741/Summary!$B$26,1))-1)+ArtifactsInput!$L$16))/Summary!$B$3*100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(IF(ArtifactsInput!$M$17,-1,1)*Summary!$B$3*(((1-Summary!$B$11)*IFERROR(B1784/Summary!$B$25,1)+Summary!$B$11*IFERROR(B1785/Summary!$B$26,1))-1)+ArtifactsInput!$L$17)</f>
        <v/>
      </c>
      <c r="AC45">
        <f>(Summary!$B$3+(IF(ArtifactsInput!$M$17,-1,1)*Summary!$B$3*(((1-Summary!$B$11)*IFERROR(B1784/Summary!$B$25,1)+Summary!$B$11*IFERROR(B1785/Summary!$B$26,1))-1)+ArtifactsInput!$L$17))/Summary!$B$3*100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(IF(ArtifactsInput!$M$18,-1,1)*Summary!$B$3*(((1-Summary!$B$11)*IFERROR(B1828/Summary!$B$25,1)+Summary!$B$11*IFERROR(B1829/Summary!$B$26,1))-1)+ArtifactsInput!$L$18)</f>
        <v/>
      </c>
      <c r="AC46">
        <f>(Summary!$B$3+(IF(ArtifactsInput!$M$18,-1,1)*Summary!$B$3*(((1-Summary!$B$11)*IFERROR(B1828/Summary!$B$25,1)+Summary!$B$11*IFERROR(B1829/Summary!$B$26,1))-1)+ArtifactsInput!$L$18))/Summary!$B$3*100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(IF(ArtifactsInput!$M$20,-1,1)*Summary!$B$3*(((1-Summary!$B$11)*IFERROR(B1872/Summary!$B$25,1)+Summary!$B$11*IFERROR(B1873/Summary!$B$26,1))-1)+ArtifactsInput!$L$20)</f>
        <v/>
      </c>
      <c r="AC47">
        <f>(Summary!$B$3+(IF(ArtifactsInput!$M$20,-1,1)*Summary!$B$3*(((1-Summary!$B$11)*IFERROR(B1872/Summary!$B$25,1)+Summary!$B$11*IFERROR(B1873/Summary!$B$26,1))-1)+ArtifactsInput!$L$20))/Summary!$B$3*100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(IF(ArtifactsInput!$M$21,-1,1)*Summary!$B$3*(((1-Summary!$B$11)*IFERROR(B1916/Summary!$B$25,1)+Summary!$B$11*IFERROR(B1917/Summary!$B$26,1))-1)+ArtifactsInput!$L$21)</f>
        <v/>
      </c>
      <c r="AC48">
        <f>(Summary!$B$3+(IF(ArtifactsInput!$M$21,-1,1)*Summary!$B$3*(((1-Summary!$B$11)*IFERROR(B1916/Summary!$B$25,1)+Summary!$B$11*IFERROR(B1917/Summary!$B$26,1))-1)+ArtifactsInput!$L$21))/Summary!$B$3*100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(IF(ArtifactsInput!$M$22,-1,1)*Summary!$B$3*(((1-Summary!$B$11)*IFERROR(B1960/Summary!$B$25,1)+Summary!$B$11*IFERROR(B1961/Summary!$B$26,1))-1)+ArtifactsInput!$L$22)</f>
        <v/>
      </c>
      <c r="AC49">
        <f>(Summary!$B$3+(IF(ArtifactsInput!$M$22,-1,1)*Summary!$B$3*(((1-Summary!$B$11)*IFERROR(B1960/Summary!$B$25,1)+Summary!$B$11*IFERROR(B1961/Summary!$B$26,1))-1)+ArtifactsInput!$L$22))/Summary!$B$3*100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(IF(ArtifactsInput!$M$23,-1,1)*Summary!$B$3*(((1-Summary!$B$11)*IFERROR(B2004/Summary!$B$25,1)+Summary!$B$11*IFERROR(B2005/Summary!$B$26,1))-1)+ArtifactsInput!$L$23)</f>
        <v/>
      </c>
      <c r="AC50">
        <f>(Summary!$B$3+(IF(ArtifactsInput!$M$23,-1,1)*Summary!$B$3*(((1-Summary!$B$11)*IFERROR(B2004/Summary!$B$25,1)+Summary!$B$11*IFERROR(B2005/Summary!$B$26,1))-1)+ArtifactsInput!$L$23))/Summary!$B$3*100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(IF(ArtifactsInput!$M$24,-1,1)*Summary!$B$3*(((1-Summary!$B$11)*IFERROR(B2048/Summary!$B$25,1)+Summary!$B$11*IFERROR(B2049/Summary!$B$26,1))-1)+ArtifactsInput!$L$24)</f>
        <v/>
      </c>
      <c r="AC51">
        <f>(Summary!$B$3+(IF(ArtifactsInput!$M$24,-1,1)*Summary!$B$3*(((1-Summary!$B$11)*IFERROR(B2048/Summary!$B$25,1)+Summary!$B$11*IFERROR(B2049/Summary!$B$26,1))-1)+ArtifactsInput!$L$24))/Summary!$B$3*100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(IF(ArtifactsInput!$M$25,-1,1)*Summary!$B$3*(((1-Summary!$B$11)*IFERROR(B2092/Summary!$B$25,1)+Summary!$B$11*IFERROR(B2093/Summary!$B$26,1))-1)+ArtifactsInput!$L$25)</f>
        <v/>
      </c>
      <c r="AC52">
        <f>(Summary!$B$3+(IF(ArtifactsInput!$M$25,-1,1)*Summary!$B$3*(((1-Summary!$B$11)*IFERROR(B2092/Summary!$B$25,1)+Summary!$B$11*IFERROR(B2093/Summary!$B$26,1))-1)+ArtifactsInput!$L$25))/Summary!$B$3*100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(IF(ArtifactsInput!$M$26,-1,1)*Summary!$B$3*(((1-Summary!$B$11)*IFERROR(B2136/Summary!$B$25,1)+Summary!$B$11*IFERROR(B2137/Summary!$B$26,1))-1)+ArtifactsInput!$L$26)</f>
        <v/>
      </c>
      <c r="AC53">
        <f>(Summary!$B$3+(IF(ArtifactsInput!$M$26,-1,1)*Summary!$B$3*(((1-Summary!$B$11)*IFERROR(B2136/Summary!$B$25,1)+Summary!$B$11*IFERROR(B2137/Summary!$B$26,1))-1)+ArtifactsInput!$L$26))/Summary!$B$3*100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(IF(ArtifactsInput!$M$27,-1,1)*Summary!$B$3*(((1-Summary!$B$11)*IFERROR(B2180/Summary!$B$25,1)+Summary!$B$11*IFERROR(B2181/Summary!$B$26,1))-1)+ArtifactsInput!$L$27)</f>
        <v/>
      </c>
      <c r="AC54">
        <f>(Summary!$B$3+(IF(ArtifactsInput!$M$27,-1,1)*Summary!$B$3*(((1-Summary!$B$11)*IFERROR(B2180/Summary!$B$25,1)+Summary!$B$11*IFERROR(B2181/Summary!$B$26,1))-1)+ArtifactsInput!$L$27))/Summary!$B$3*100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(IF(ArtifactsInput!$M$28,-1,1)*Summary!$B$3*(((1-Summary!$B$11)*IFERROR(B2224/Summary!$B$25,1)+Summary!$B$11*IFERROR(B2225/Summary!$B$26,1))-1)+ArtifactsInput!$L$28)</f>
        <v/>
      </c>
      <c r="AC55">
        <f>(Summary!$B$3+(IF(ArtifactsInput!$M$28,-1,1)*Summary!$B$3*(((1-Summary!$B$11)*IFERROR(B2224/Summary!$B$25,1)+Summary!$B$11*IFERROR(B2225/Summary!$B$26,1))-1)+ArtifactsInput!$L$28))/Summary!$B$3*100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(IF(ArtifactsInput!$M$29,-1,1)*Summary!$B$3*(((1-Summary!$B$11)*IFERROR(B2268/Summary!$B$25,1)+Summary!$B$11*IFERROR(B2269/Summary!$B$26,1))-1)+ArtifactsInput!$L$29)</f>
        <v/>
      </c>
      <c r="AC56">
        <f>(Summary!$B$3+(IF(ArtifactsInput!$M$29,-1,1)*Summary!$B$3*(((1-Summary!$B$11)*IFERROR(B2268/Summary!$B$25,1)+Summary!$B$11*IFERROR(B2269/Summary!$B$26,1))-1)+ArtifactsInput!$L$29))/Summary!$B$3*100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(IF(ArtifactsInput!$M$30,-1,1)*Summary!$B$3*(((1-Summary!$B$11)*IFERROR(B2312/Summary!$B$25,1)+Summary!$B$11*IFERROR(B2313/Summary!$B$26,1))-1)+ArtifactsInput!$L$30)</f>
        <v/>
      </c>
      <c r="AC57">
        <f>(Summary!$B$3+(IF(ArtifactsInput!$M$30,-1,1)*Summary!$B$3*(((1-Summary!$B$11)*IFERROR(B2312/Summary!$B$25,1)+Summary!$B$11*IFERROR(B2313/Summary!$B$26,1))-1)+ArtifactsInput!$L$30))/Summary!$B$3*100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(IF(ArtifactsInput!$M$31,-1,1)*Summary!$B$3*(((1-Summary!$B$11)*IFERROR(B2356/Summary!$B$25,1)+Summary!$B$11*IFERROR(B2357/Summary!$B$26,1))-1)+ArtifactsInput!$L$31)</f>
        <v/>
      </c>
      <c r="AC58">
        <f>(Summary!$B$3+(IF(ArtifactsInput!$M$31,-1,1)*Summary!$B$3*(((1-Summary!$B$11)*IFERROR(B2356/Summary!$B$25,1)+Summary!$B$11*IFERROR(B2357/Summary!$B$26,1))-1)+ArtifactsInput!$L$31))/Summary!$B$3*100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(IF(ArtifactsInput!$M$32,-1,1)*Summary!$B$3*(((1-Summary!$B$11)*IFERROR(B2400/Summary!$B$25,1)+Summary!$B$11*IFERROR(B2401/Summary!$B$26,1))-1)+ArtifactsInput!$L$32)</f>
        <v/>
      </c>
      <c r="AC59">
        <f>(Summary!$B$3+(IF(ArtifactsInput!$M$32,-1,1)*Summary!$B$3*(((1-Summary!$B$11)*IFERROR(B2400/Summary!$B$25,1)+Summary!$B$11*IFERROR(B2401/Summary!$B$26,1))-1)+ArtifactsInput!$L$32))/Summary!$B$3*100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(IF(ArtifactsInput!$M$33,-1,1)*Summary!$B$3*(((1-Summary!$B$11)*IFERROR(B2444/Summary!$B$25,1)+Summary!$B$11*IFERROR(B2445/Summary!$B$26,1))-1)+ArtifactsInput!$L$33)</f>
        <v/>
      </c>
      <c r="AC60">
        <f>(Summary!$B$3+(IF(ArtifactsInput!$M$33,-1,1)*Summary!$B$3*(((1-Summary!$B$11)*IFERROR(B2444/Summary!$B$25,1)+Summary!$B$11*IFERROR(B2445/Summary!$B$26,1))-1)+ArtifactsInput!$L$33))/Summary!$B$3*100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(IF(ArtifactsInput!$M$34,-1,1)*Summary!$B$3*(((1-Summary!$B$11)*IFERROR(B2488/Summary!$B$25,1)+Summary!$B$11*IFERROR(B2489/Summary!$B$26,1))-1)+ArtifactsInput!$L$34)</f>
        <v/>
      </c>
      <c r="AC61">
        <f>(Summary!$B$3+(IF(ArtifactsInput!$M$34,-1,1)*Summary!$B$3*(((1-Summary!$B$11)*IFERROR(B2488/Summary!$B$25,1)+Summary!$B$11*IFERROR(B2489/Summary!$B$26,1))-1)+ArtifactsInput!$L$34))/Summary!$B$3*100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(IF(ArtifactsInput!$M$35,-1,1)*Summary!$B$3*(((1-Summary!$B$11)*IFERROR(B2532/Summary!$B$25,1)+Summary!$B$11*IFERROR(B2533/Summary!$B$26,1))-1)+ArtifactsInput!$L$35)</f>
        <v/>
      </c>
      <c r="AC62">
        <f>(Summary!$B$3+(IF(ArtifactsInput!$M$35,-1,1)*Summary!$B$3*(((1-Summary!$B$11)*IFERROR(B2532/Summary!$B$25,1)+Summary!$B$11*IFERROR(B2533/Summary!$B$26,1))-1)+ArtifactsInput!$L$35))/Summary!$B$3*100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(IF(ArtifactsInput!$M$36,-1,1)*Summary!$B$3*(((1-Summary!$B$11)*IFERROR(B2576/Summary!$B$25,1)+Summary!$B$11*IFERROR(B2577/Summary!$B$26,1))-1)+ArtifactsInput!$L$36)</f>
        <v/>
      </c>
      <c r="AC63">
        <f>(Summary!$B$3+(IF(ArtifactsInput!$M$36,-1,1)*Summary!$B$3*(((1-Summary!$B$11)*IFERROR(B2576/Summary!$B$25,1)+Summary!$B$11*IFERROR(B2577/Summary!$B$26,1))-1)+ArtifactsInput!$L$36))/Summary!$B$3*100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(IF(ArtifactsInput!$M$37,-1,1)*Summary!$B$3*(((1-Summary!$B$11)*IFERROR(B2620/Summary!$B$25,1)+Summary!$B$11*IFERROR(B2621/Summary!$B$26,1))-1)+ArtifactsInput!$L$37)</f>
        <v/>
      </c>
      <c r="AC64">
        <f>(Summary!$B$3+(IF(ArtifactsInput!$M$37,-1,1)*Summary!$B$3*(((1-Summary!$B$11)*IFERROR(B2620/Summary!$B$25,1)+Summary!$B$11*IFERROR(B2621/Summary!$B$26,1))-1)+ArtifactsInput!$L$37))/Summary!$B$3*100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(IF(ArtifactsInput!$M$38,-1,1)*Summary!$B$3*(((1-Summary!$B$11)*IFERROR(B2664/Summary!$B$25,1)+Summary!$B$11*IFERROR(B2665/Summary!$B$26,1))-1)+ArtifactsInput!$L$38)</f>
        <v/>
      </c>
      <c r="AC65">
        <f>(Summary!$B$3+(IF(ArtifactsInput!$M$38,-1,1)*Summary!$B$3*(((1-Summary!$B$11)*IFERROR(B2664/Summary!$B$25,1)+Summary!$B$11*IFERROR(B2665/Summary!$B$26,1))-1)+ArtifactsInput!$L$38))/Summary!$B$3*100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(IF(ArtifactsInput!$M$39,-1,1)*Summary!$B$3*(((1-Summary!$B$11)*IFERROR(B2708/Summary!$B$25,1)+Summary!$B$11*IFERROR(B2709/Summary!$B$26,1))-1)+ArtifactsInput!$L$39)</f>
        <v/>
      </c>
      <c r="AC66">
        <f>(Summary!$B$3+(IF(ArtifactsInput!$M$39,-1,1)*Summary!$B$3*(((1-Summary!$B$11)*IFERROR(B2708/Summary!$B$25,1)+Summary!$B$11*IFERROR(B2709/Summary!$B$26,1))-1)+ArtifactsInput!$L$39))/Summary!$B$3*100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(IF(ArtifactsInput!$M$40,-1,1)*Summary!$B$3*(((1-Summary!$B$11)*IFERROR(B2752/Summary!$B$25,1)+Summary!$B$11*IFERROR(B2753/Summary!$B$26,1))-1)+ArtifactsInput!$L$40)</f>
        <v/>
      </c>
      <c r="AC67">
        <f>(Summary!$B$3+(IF(ArtifactsInput!$M$40,-1,1)*Summary!$B$3*(((1-Summary!$B$11)*IFERROR(B2752/Summary!$B$25,1)+Summary!$B$11*IFERROR(B2753/Summary!$B$26,1))-1)+ArtifactsInput!$L$40))/Summary!$B$3*100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(IF(ArtifactsInput!$M$41,-1,1)*Summary!$B$3*(((1-Summary!$B$11)*IFERROR(B2796/Summary!$B$25,1)+Summary!$B$11*IFERROR(B2797/Summary!$B$26,1))-1)+ArtifactsInput!$L$41)</f>
        <v/>
      </c>
      <c r="AC68">
        <f>(Summary!$B$3+(IF(ArtifactsInput!$M$41,-1,1)*Summary!$B$3*(((1-Summary!$B$11)*IFERROR(B2796/Summary!$B$25,1)+Summary!$B$11*IFERROR(B2797/Summary!$B$26,1))-1)+ArtifactsInput!$L$41))/Summary!$B$3*100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(IF(ArtifactsInput!$M$42,-1,1)*Summary!$B$3*(((1-Summary!$B$11)*IFERROR(B2840/Summary!$B$25,1)+Summary!$B$11*IFERROR(B2841/Summary!$B$26,1))-1)+ArtifactsInput!$L$42)</f>
        <v/>
      </c>
      <c r="AC69">
        <f>(Summary!$B$3+(IF(ArtifactsInput!$M$42,-1,1)*Summary!$B$3*(((1-Summary!$B$11)*IFERROR(B2840/Summary!$B$25,1)+Summary!$B$11*IFERROR(B2841/Summary!$B$26,1))-1)+ArtifactsInput!$L$42))/Summary!$B$3*100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74)</f>
        <v/>
      </c>
      <c r="L74">
        <f>K74*(MIN(Inputs!$B$23+(F94-Calc!F22),(Inputs!$B$24+IF(ArtifactsInput!$M$15,CHOOSE(ArtifactsInput!$N$15+1,25,30,35,40,45,50)/100*(Inputs!$B$12-Inputs!$B$12),0)))/100+(Inputs!$B$24+IF(ArtifactsInput!$M$15,CHOOSE(ArtifactsInput!$N$15+1,25,30,35,40,45,50)/100*(Inputs!$B$12-Inputs!$B$12),0))/100)/2</f>
        <v/>
      </c>
      <c r="M74">
        <f>L74*(1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IF(B114=0,0,O74/B114)</f>
        <v/>
      </c>
      <c r="Q74">
        <f>IFERROR(1/(IF(Inputs!$B$39="pvp",15,MAX(0.1,Skills!D2-IF(Skills!E2=TRUE,Inputs!$B$33,0)))*(1-IF(AND(ArtifactsInput!$M$27,Inputs!$B$4="Chapter Hunt"),CHOOSE(ArtifactsInput!$N$27+1,20,24,28,32,36,40),0)/100)),0)</f>
        <v/>
      </c>
      <c r="R74" t="n">
        <v>0</v>
      </c>
      <c r="S74">
        <f>IF(C74,(Skills!F2*N74*B109)*IF(Inputs!$B$39="pvp",1,1+(Inputs!$B$21+Skills!O2+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109)*IF(Inputs!$B$39="pvp",1,(1+(Inputs!$B$22+Skills!P2+B103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IF(B114=0,0,O75/B114)</f>
        <v/>
      </c>
      <c r="Q75">
        <f>IFERROR(1/(IF(Inputs!$B$39="pvp",15,MAX(0.1,Skills!D3-IF(Skills!E3=TRUE,Inputs!$B$33,0)))*(1-IF(AND(ArtifactsInput!$M$27,Inputs!$B$4="Chapter Hunt"),CHOOSE(ArtifactsInput!$N$27+1,20,24,28,32,36,40),0)/100)),0)</f>
        <v/>
      </c>
      <c r="R75">
        <f>IF(AND(Inputs!$B$39&lt;&gt;"pvp",Inputs!$B$44&gt;0),IF(Inputs!$B$44&lt;=0,0,(INT(Inputs!$B$44/(IF(Inputs!$B$39="pvp",15,MAX(0.1,Skills!D3-IF(Skills!E3=TRUE,Inputs!$B$33,0)))*(1-IF(AND(ArtifactsInput!$M$27,Inputs!$B$4="Chapter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IF(B114=0,0,O76/B114)</f>
        <v/>
      </c>
      <c r="Q76">
        <f>IFERROR(1/(IF(Inputs!$B$39="pvp",15,MAX(0.1,Skills!D4-IF(Skills!E4=TRUE,Inputs!$B$33,0)))*(1-IF(AND(ArtifactsInput!$M$27,Inputs!$B$4="Chapter Hunt"),CHOOSE(ArtifactsInput!$N$27+1,20,24,28,32,36,40),0)/100)),0)</f>
        <v/>
      </c>
      <c r="R76">
        <f>IF(AND(Inputs!$B$39&lt;&gt;"pvp",Inputs!$B$44&gt;0),IF(Inputs!$B$44&lt;=0,0,(INT(Inputs!$B$44/(IF(Inputs!$B$39="pvp",15,MAX(0.1,Skills!D4-IF(Skills!E4=TRUE,Inputs!$B$33,0)))*(1-IF(AND(ArtifactsInput!$M$27,Inputs!$B$4="Chapter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IF(B114=0,0,O77/B114)</f>
        <v/>
      </c>
      <c r="Q77">
        <f>IFERROR(1/(IF(Inputs!$B$39="pvp",15,MAX(0.1,Skills!D5-IF(Skills!E5=TRUE,Inputs!$B$33,0)))*(1-IF(AND(ArtifactsInput!$M$27,Inputs!$B$4="Chapter Hunt"),CHOOSE(ArtifactsInput!$N$27+1,20,24,28,32,36,40),0)/100)),0)</f>
        <v/>
      </c>
      <c r="R77">
        <f>IF(AND(Inputs!$B$39&lt;&gt;"pvp",Inputs!$B$44&gt;0),IF(Inputs!$B$44&lt;=0,0,(INT(Inputs!$B$44/(IF(Inputs!$B$39="pvp",15,MAX(0.1,Skills!D5-IF(Skills!E5=TRUE,Inputs!$B$33,0)))*(1-IF(AND(ArtifactsInput!$M$27,Inputs!$B$4="Chapter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78)</f>
        <v/>
      </c>
      <c r="L78">
        <f>K78*(MIN(Inputs!$B$23+(F94-Calc!F22),(Inputs!$B$24+IF(ArtifactsInput!$M$15,CHOOSE(ArtifactsInput!$N$15+1,25,30,35,40,45,50)/100*(Inputs!$B$12-Inputs!$B$12),0)))/100+(Inputs!$B$24+IF(ArtifactsInput!$M$15,CHOOSE(ArtifactsInput!$N$15+1,25,30,35,40,45,50)/100*(Inputs!$B$12-Inputs!$B$12),0))/100)/2</f>
        <v/>
      </c>
      <c r="M78">
        <f>L78*(1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IF(B114=0,0,O78/B114)</f>
        <v/>
      </c>
      <c r="Q78">
        <f>IFERROR(1/(IF(Inputs!$B$39="pvp",15,MAX(0.1,Skills!D6-IF(Skills!E6=TRUE,Inputs!$B$33,0)))*(1-IF(AND(ArtifactsInput!$M$27,Inputs!$B$4="Chapter Hunt"),CHOOSE(ArtifactsInput!$N$27+1,20,24,28,32,36,40),0)/100)),0)</f>
        <v/>
      </c>
      <c r="R78">
        <f>IF(AND(Inputs!$B$39&lt;&gt;"pvp",Inputs!$B$44&gt;0),IF(MAX(0,Inputs!$B$44-B111)&lt;=0,0,(INT(MAX(0,Inputs!$B$44-B111)/(IF(Inputs!$B$39="pvp",15,MAX(0.1,Skills!D6-IF(Skills!E6=TRUE,Inputs!$B$33,0)))*(1-IF(AND(ArtifactsInput!$M$27,Inputs!$B$4="Chapter Hunt"),CHOOSE(ArtifactsInput!$N$27+1,20,24,28,32,36,40),0)/100)))+1)),0)</f>
        <v/>
      </c>
      <c r="S78">
        <f>IF(C78,(H78*N78*IF(AND(Inputs!$B$39&lt;&gt;"pvp",Inputs!$B$44&gt;0),((Skills!F6*((R78-1)*IF(Skills!G6&gt;0,Skills!H6/Skills!G6,1)+IF(Skills!G6&gt;0,MIN(Skills!H6,MAX(0,MAX(0,Inputs!$B$44-B111)-((R78-1)*(IF(Inputs!$B$39="pvp",15,MAX(0.1,Skills!D6-IF(Skills!E6=TRUE,Inputs!$B$33,0)))*(1-IF(AND(ArtifactsInput!$M$27,Inputs!$B$4="Chapter Hunt"),CHOOSE(ArtifactsInput!$N$27+1,20,24,28,32,36,40),0)/100)))))/Skills!G6,1)))/Inputs!$B$44),G78*Q78))*IF(Inputs!$B$39="pvp",1,1+(Inputs!$B$21+Skills!O6+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111)-((R78-1)*(IF(Inputs!$B$39="pvp",15,MAX(0.1,Skills!D6-IF(Skills!E6=TRUE,Inputs!$B$33,0)))*(1-IF(AND(ArtifactsInput!$M$27,Inputs!$B$4="Chapter Hunt"),CHOOSE(ArtifactsInput!$N$27+1,20,24,28,32,36,40),0)/100)))))/Skills!G6,1)))/Inputs!$B$44),G78*Q78))*IF(Inputs!$B$39="pvp",1,(1+(Inputs!$B$22+Skills!P6+B103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79)</f>
        <v/>
      </c>
      <c r="L79">
        <f>K79*(MIN(Inputs!$B$23+(F94-Calc!F22),(Inputs!$B$24+IF(ArtifactsInput!$M$15,CHOOSE(ArtifactsInput!$N$15+1,25,30,35,40,45,50)/100*(Inputs!$B$12-Inputs!$B$12),0)))/100+(Inputs!$B$24+IF(ArtifactsInput!$M$15,CHOOSE(ArtifactsInput!$N$15+1,25,30,35,40,45,50)/100*(Inputs!$B$12-Inputs!$B$12),0))/100)/2</f>
        <v/>
      </c>
      <c r="M79">
        <f>L79*(1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IF(B114=0,0,O79/B114)</f>
        <v/>
      </c>
      <c r="Q79">
        <f>IFERROR(1/(IF(Inputs!$B$39="pvp",15,MAX(0.1,Skills!D7-IF(Skills!E6=TRUE,Inputs!$B$33,0)))*(1-IF(AND(ArtifactsInput!$M$27,Inputs!$B$4="Chapter Hunt"),CHOOSE(ArtifactsInput!$N$27+1,20,24,28,32,36,40),0)/100)),0)</f>
        <v/>
      </c>
      <c r="R79">
        <f>IF(AND(Inputs!$B$39&lt;&gt;"pvp",Inputs!$B$44&gt;0),IF(MAX(0,Inputs!$B$44-B111)&lt;=0,0,(INT(MAX(0,Inputs!$B$44-B111)/(IF(Inputs!$B$39="pvp",15,MAX(0.1,Skills!D7-IF(Skills!E6=TRUE,Inputs!$B$33,0)))*(1-IF(AND(ArtifactsInput!$M$27,Inputs!$B$4="Chapter Hunt"),CHOOSE(ArtifactsInput!$N$27+1,20,24,28,32,36,40),0)/100)))+1)),0)</f>
        <v/>
      </c>
      <c r="S79">
        <f>IF(C79,H79*N79*IF(AND(Inputs!$B$39&lt;&gt;"pvp",Inputs!$B$44&gt;0),((Skills!F7*((R79-1)*IF(Skills!G7&gt;0,Skills!H7/Skills!G7,1)+IF(Skills!G7&gt;0,MIN(Skills!H7,MAX(0,MAX(0,Inputs!$B$44-B111)-((R79-1)*(IF(Inputs!$B$39="pvp",15,MAX(0.1,Skills!D7-IF(Skills!E6=TRUE,Inputs!$B$33,0)))*(1-IF(AND(ArtifactsInput!$M$27,Inputs!$B$4="Chapter Hunt"),CHOOSE(ArtifactsInput!$N$27+1,20,24,28,32,36,40),0)/100)))))/Skills!G7,1)))/Inputs!$B$44),G79*Q79)*IF(Inputs!$B$39="pvp",1,1+(Inputs!$B$21+Skills!O7+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80)</f>
        <v/>
      </c>
      <c r="L80">
        <f>K80*(MIN(Inputs!$B$23+(F94-Calc!F22),(Inputs!$B$24+IF(ArtifactsInput!$M$15,CHOOSE(ArtifactsInput!$N$15+1,25,30,35,40,45,50)/100*(Inputs!$B$12-Inputs!$B$12),0)))/100+(Inputs!$B$24+IF(ArtifactsInput!$M$15,CHOOSE(ArtifactsInput!$N$15+1,25,30,35,40,45,50)/100*(Inputs!$B$12-Inputs!$B$12),0))/100)/2</f>
        <v/>
      </c>
      <c r="M80">
        <f>L80*(1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IF(B114=0,0,O80/B114)</f>
        <v/>
      </c>
      <c r="Q80">
        <f>IFERROR(1/(IF(Inputs!$B$39="pvp",15,MAX(0.1,Skills!D8-IF(Skills!E8=TRUE,Inputs!$B$33,0)))*(1-IF(AND(ArtifactsInput!$M$27,Inputs!$B$4="Chapter Hunt"),CHOOSE(ArtifactsInput!$N$27+1,20,24,28,32,36,40),0)/100)),0)</f>
        <v/>
      </c>
      <c r="R80">
        <f>IF(AND(Inputs!$B$39&lt;&gt;"pvp",Inputs!$B$44&gt;0),IF(MAX(0,Inputs!$B$44-B111)&lt;=0,0,(INT(MAX(0,Inputs!$B$44-B111)/(IF(Inputs!$B$39="pvp",15,MAX(0.1,Skills!D8-IF(Skills!E8=TRUE,Inputs!$B$33,0)))*(1-IF(AND(ArtifactsInput!$M$27,Inputs!$B$4="Chapter Hunt"),CHOOSE(ArtifactsInput!$N$27+1,20,24,28,32,36,40),0)/100)))+1)),0)</f>
        <v/>
      </c>
      <c r="S80">
        <f>IF(C80,(H80*N80*IF(AND(Inputs!$B$39&lt;&gt;"pvp",Inputs!$B$44&gt;0),((Skills!F8*((R80-1)*IF(Skills!G8&gt;0,Skills!H8/Skills!G8,1)+IF(Skills!G8&gt;0,MIN(Skills!H8,MAX(0,MAX(0,Inputs!$B$44-B111)-((R80-1)*(IF(Inputs!$B$39="pvp",15,MAX(0.1,Skills!D8-IF(Skills!E8=TRUE,Inputs!$B$33,0)))*(1-IF(AND(ArtifactsInput!$M$27,Inputs!$B$4="Chapter Hunt"),CHOOSE(ArtifactsInput!$N$27+1,20,24,28,32,36,40),0)/100)))))/Skills!G8,1)))/Inputs!$B$44),G80*Q80))*IF(Inputs!$B$39="pvp",1,1+(Inputs!$B$21+Skills!O8+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111)-((R80-1)*(IF(Inputs!$B$39="pvp",15,MAX(0.1,Skills!D8-IF(Skills!E8=TRUE,Inputs!$B$33,0)))*(1-IF(AND(ArtifactsInput!$M$27,Inputs!$B$4="Chapter Hunt"),CHOOSE(ArtifactsInput!$N$27+1,20,24,28,32,36,40),0)/100)))))/Skills!G8,1)))/Inputs!$B$44),G80*Q80))*IF(Inputs!$B$39="pvp",1,(1+(Inputs!$B$22+Skills!P8+B103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81)</f>
        <v/>
      </c>
      <c r="L81">
        <f>K81*(MIN(Inputs!$B$23+(F94-Calc!F22),(Inputs!$B$24+IF(ArtifactsInput!$M$15,CHOOSE(ArtifactsInput!$N$15+1,25,30,35,40,45,50)/100*(Inputs!$B$12-Inputs!$B$12),0)))/100+(Inputs!$B$24+IF(ArtifactsInput!$M$15,CHOOSE(ArtifactsInput!$N$15+1,25,30,35,40,45,50)/100*(Inputs!$B$12-Inputs!$B$12),0))/100)/2</f>
        <v/>
      </c>
      <c r="M81">
        <f>L81*(1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IF(B114=0,0,O81/B114)</f>
        <v/>
      </c>
      <c r="Q81">
        <f>IFERROR(1/(IF(Inputs!$B$39="pvp",15,MAX(0.1,Skills!D9-IF(Skills!E9=TRUE,Inputs!$B$33,0)))*(1-IF(AND(ArtifactsInput!$M$27,Inputs!$B$4="Chapter Hunt"),CHOOSE(ArtifactsInput!$N$27+1,20,24,28,32,36,40),0)/100)),0)</f>
        <v/>
      </c>
      <c r="R81">
        <f>IF(AND(Inputs!$B$39&lt;&gt;"pvp",Inputs!$B$44&gt;0),IF(MAX(0,Inputs!$B$44-B111)&lt;=0,0,(INT(MAX(0,Inputs!$B$44-B111)/(IF(Inputs!$B$39="pvp",15,MAX(0.1,Skills!D9-IF(Skills!E9=TRUE,Inputs!$B$33,0)))*(1-IF(AND(ArtifactsInput!$M$27,Inputs!$B$4="Chapter Hunt"),CHOOSE(ArtifactsInput!$N$27+1,20,24,28,32,36,40),0)/100)))+1)),0)</f>
        <v/>
      </c>
      <c r="S81">
        <f>IF(C81,(H81*N81*IF(AND(Inputs!$B$39&lt;&gt;"pvp",Inputs!$B$44&gt;0),((Skills!F9*((R81-1)*IF(Skills!G9&gt;0,Skills!H9/Skills!G9,1)+IF(Skills!G9&gt;0,MIN(Skills!H9,MAX(0,MAX(0,Inputs!$B$44-B111)-((R81-1)*(IF(Inputs!$B$39="pvp",15,MAX(0.1,Skills!D9-IF(Skills!E9=TRUE,Inputs!$B$33,0)))*(1-IF(AND(ArtifactsInput!$M$27,Inputs!$B$4="Chapter Hunt"),CHOOSE(ArtifactsInput!$N$27+1,20,24,28,32,36,40),0)/100)))))/Skills!G9,1)))/Inputs!$B$44),G81*Q81))*IF(Inputs!$B$39="pvp",1,1+(Inputs!$B$21+Skills!O9+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111)-((R81-1)*(IF(Inputs!$B$39="pvp",15,MAX(0.1,Skills!D9-IF(Skills!E9=TRUE,Inputs!$B$33,0)))*(1-IF(AND(ArtifactsInput!$M$27,Inputs!$B$4="Chapter Hunt"),CHOOSE(ArtifactsInput!$N$27+1,20,24,28,32,36,40),0)/100)))))/Skills!G9,1)))/Inputs!$B$44),G81*Q81))*IF(Inputs!$B$39="pvp",1,(1+(Inputs!$B$22+Skills!P9+B103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IF(B114=0,0,O82/B114)</f>
        <v/>
      </c>
      <c r="Q82">
        <f>IFERROR(1/(IF(Inputs!$B$39="pvp",15,MAX(0.1,Skills!D10-IF(Skills!E10=TRUE,Inputs!$B$33,0)))*(1-IF(AND(ArtifactsInput!$M$27,Inputs!$B$4="Chapter Hunt"),CHOOSE(ArtifactsInput!$N$27+1,20,24,28,32,36,40),0)/100)),0)</f>
        <v/>
      </c>
      <c r="R82">
        <f>IF(AND(Inputs!$B$39&lt;&gt;"pvp",Inputs!$B$44&gt;0),IF(MAX(0,Inputs!$B$44-B111)&lt;=0,0,(INT(MAX(0,Inputs!$B$44-B111)/(IF(Inputs!$B$39="pvp",15,MAX(0.1,Skills!D10-IF(Skills!E10=TRUE,Inputs!$B$33,0)))*(1-IF(AND(ArtifactsInput!$M$27,Inputs!$B$4="Chapter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IF(B114=0,0,O83/B114)</f>
        <v/>
      </c>
      <c r="Q83">
        <f>IFERROR(1/(IF(Inputs!$B$39="pvp",15,MAX(0.1,Skills!D11-IF(Skills!E11=TRUE,Inputs!$B$33,0)))*(1-IF(AND(ArtifactsInput!$M$27,Inputs!$B$4="Chapter Hunt"),CHOOSE(ArtifactsInput!$N$27+1,20,24,28,32,36,40),0)/100)),0)</f>
        <v/>
      </c>
      <c r="R83">
        <f>IF(AND(Inputs!$B$39&lt;&gt;"pvp",Inputs!$B$44&gt;0),IF(Inputs!$B$44&lt;=0,0,(INT(Inputs!$B$44/(IF(Inputs!$B$39="pvp",15,MAX(0.1,Skills!D11-IF(Skills!E11=TRUE,Inputs!$B$33,0)))*(1-IF(AND(ArtifactsInput!$M$27,Inputs!$B$4="Chapter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IF(B114=0,0,O84/B114)</f>
        <v/>
      </c>
      <c r="Q84">
        <f>IFERROR(1/(IF(Inputs!$B$39="pvp",15,MAX(0.1,Skills!D12-IF(Skills!E12=TRUE,Inputs!$B$33,0)))*(1-IF(AND(ArtifactsInput!$M$27,Inputs!$B$4="Chapter Hunt"),CHOOSE(ArtifactsInput!$N$27+1,20,24,28,32,36,40),0)/100)),0)</f>
        <v/>
      </c>
      <c r="R84">
        <f>IF(AND(Inputs!$B$39&lt;&gt;"pvp",Inputs!$B$44&gt;0),IF(MAX(0,Inputs!$B$44-B111)&lt;=0,0,(INT(MAX(0,Inputs!$B$44-B111)/(IF(Inputs!$B$39="pvp",15,MAX(0.1,Skills!D12-IF(Skills!E12=TRUE,Inputs!$B$33,0)))*(1-IF(AND(ArtifactsInput!$M$27,Inputs!$B$4="Chapter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IF(B114=0,0,O85/B114)</f>
        <v/>
      </c>
      <c r="Q85">
        <f>IFERROR(1/(IF(Inputs!$B$39="pvp",15,MAX(0.1,Skills!D13-IF(Skills!E13=TRUE,Inputs!$B$33,0)))*(1-IF(AND(ArtifactsInput!$M$27,Inputs!$B$4="Chapter Hunt"),CHOOSE(ArtifactsInput!$N$27+1,20,24,28,32,36,40),0)/100)),0)</f>
        <v/>
      </c>
      <c r="R85">
        <f>IF(AND(Inputs!$B$39&lt;&gt;"pvp",Inputs!$B$44&gt;0),IF(MAX(0,Inputs!$B$44-B111)&lt;=0,0,(INT(MAX(0,Inputs!$B$44-B111)/(IF(Inputs!$B$39="pvp",15,MAX(0.1,Skills!D13-IF(Skills!E13=TRUE,Inputs!$B$33,0)))*(1-IF(AND(ArtifactsInput!$M$27,Inputs!$B$4="Chapter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IF(B114=0,0,O86/B114)</f>
        <v/>
      </c>
      <c r="Q86">
        <f>IFERROR(1/(IF(Inputs!$B$39="pvp",15,MAX(0.1,Skills!D14-IF(Skills!E14=TRUE,Inputs!$B$33,0)))*(1-IF(AND(ArtifactsInput!$M$27,Inputs!$B$4="Chapter Hunt"),CHOOSE(ArtifactsInput!$N$27+1,20,24,28,32,36,40),0)/100)),0)</f>
        <v/>
      </c>
      <c r="R86">
        <f>IF(AND(Inputs!$B$39&lt;&gt;"pvp",Inputs!$B$44&gt;0),IF(Inputs!$B$44&lt;=0,0,(INT(Inputs!$B$44/(IF(Inputs!$B$39="pvp",15,MAX(0.1,Skills!D14-IF(Skills!E14=TRUE,Inputs!$B$33,0)))*(1-IF(AND(ArtifactsInput!$M$27,Inputs!$B$4="Chapter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87)</f>
        <v/>
      </c>
      <c r="L87">
        <f>K87*(MIN(Inputs!$B$23+(F94-Calc!F22),(Inputs!$B$24+IF(ArtifactsInput!$M$15,CHOOSE(ArtifactsInput!$N$15+1,25,30,35,40,45,50)/100*(Inputs!$B$12-Inputs!$B$12),0)))/100+(Inputs!$B$24+IF(ArtifactsInput!$M$15,CHOOSE(ArtifactsInput!$N$15+1,25,30,35,40,45,50)/100*(Inputs!$B$12-Inputs!$B$12),0))/100)/2</f>
        <v/>
      </c>
      <c r="M87">
        <f>L87*(1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IF(B114=0,0,O87/B114)</f>
        <v/>
      </c>
      <c r="Q87">
        <f>IFERROR(1/(IF(Inputs!$B$39="pvp",15,MAX(0.1,Skills!D15-IF(Skills!E15=TRUE,Inputs!$B$33,0)))*(1-IF(AND(ArtifactsInput!$M$27,Inputs!$B$4="Chapter Hunt"),CHOOSE(ArtifactsInput!$N$27+1,20,24,28,32,36,40),0)/100)),0)</f>
        <v/>
      </c>
      <c r="R87" t="n">
        <v>0</v>
      </c>
      <c r="S87">
        <f>IF(C87,(Skills!F15*N87*((IF(Inputs!$B$3&gt;=78,25,15)/100*B107*10)/(1+IF(Inputs!$B$3&gt;=78,25,15)/100*B107*10))*(Skills!I15/100*B107)/(1+Skills!G15*Skills!I15/100*B107))*IF(Inputs!$B$39="pvp",1,1+(Inputs!$B$21+Skills!O15+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107*10)/(1+IF(Inputs!$B$3&gt;=78,25,15)/100*B107*10))*(Skills!I15/100*B107)/(1+Skills!G15*Skills!I15/100*B107))*IF(Inputs!$B$39="pvp",1,(1+(Inputs!$B$22+Skills!P15+B103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IF(B114=0,0,O88/B114)</f>
        <v/>
      </c>
      <c r="Q88">
        <f>IFERROR(1/(IF(Inputs!$B$39="pvp",15,MAX(0.1,Skills!D16-IF(Skills!E16=TRUE,Inputs!$B$33,0)))*(1-IF(AND(ArtifactsInput!$M$27,Inputs!$B$4="Chapter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IF(B114=0,0,O89/B114)</f>
        <v/>
      </c>
      <c r="Q89">
        <f>IFERROR(1/(IF(Inputs!$B$39="pvp",15,MAX(0.1,Skills!D17-IF(Skills!E17=TRUE,Inputs!$B$33,0)))*(1-IF(AND(ArtifactsInput!$M$27,Inputs!$B$4="Chapter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IF(B114=0,0,O90/B114)</f>
        <v/>
      </c>
      <c r="Q90">
        <f>IFERROR(1/(IF(Inputs!$B$39="pvp",15,MAX(0.1,Skills!D18-IF(Skills!E18=TRUE,Inputs!$B$33,0)))*(1-IF(AND(ArtifactsInput!$M$27,Inputs!$B$4="Chapter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IF(B114=0,0,O91/B114)</f>
        <v/>
      </c>
      <c r="Q91">
        <f>IFERROR(1/(IF(Inputs!$B$39="pvp",15,MAX(0.1,Skills!D19-IF(Skills!E19=TRUE,Inputs!$B$33,0)))*(1-IF(AND(ArtifactsInput!$M$27,Inputs!$B$4="Chapter Hunt"),CHOOSE(ArtifactsInput!$N$27+1,20,24,28,32,36,40),0)/100)),0)</f>
        <v/>
      </c>
      <c r="R91">
        <f>IF(AND(Inputs!$B$39&lt;&gt;"pvp",Inputs!$B$44&gt;0),IF(Inputs!$B$44&lt;=0,0,(INT(Inputs!$B$44/(IF(Inputs!$B$39="pvp",15,MAX(0.1,Skills!D19-IF(Skills!E19=TRUE,Inputs!$B$33,0)))*(1-IF(AND(ArtifactsInput!$M$27,Inputs!$B$4="Chapter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IF(B114=0,0,O92/B114)</f>
        <v/>
      </c>
      <c r="Q92">
        <f>IFERROR(1/(IF(Inputs!$B$39="pvp",15,MAX(0.1,Skills!D20-IF(Skills!E20=TRUE,Inputs!$B$33,0)))*(1-IF(AND(ArtifactsInput!$M$27,Inputs!$B$4="Chapter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IF(B114=0,0,O93/B114)</f>
        <v/>
      </c>
      <c r="Q93">
        <f>IFERROR(1/(IF(Inputs!$B$39="pvp",15,MAX(0.1,Skills!D21-IF(Skills!E21=TRUE,Inputs!$B$33,0)))*(1-IF(AND(ArtifactsInput!$M$27,Inputs!$B$4="Chapter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IF(B114=0,0,O94/B114)</f>
        <v/>
      </c>
      <c r="Q94">
        <f>IFERROR(1/(IF(Inputs!$B$39="pvp",15,MAX(0.1,Skills!D22-IF(Skills!E22=TRUE,Inputs!$B$33,0)))*(1-IF(AND(ArtifactsInput!$M$27,Inputs!$B$4="Chapter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IF(B114=0,0,O95/B114)</f>
        <v/>
      </c>
      <c r="Q95">
        <f>IFERROR(1/(IF(Inputs!$B$39="pvp",15,MAX(0.1,Skills!D23-IF(Skills!E23=TRUE,Inputs!$B$33,0)))*(1-IF(AND(ArtifactsInput!$M$27,Inputs!$B$4="Chapter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IF(B114=0,0,O96/B114)</f>
        <v/>
      </c>
      <c r="Q96">
        <f>IFERROR(1/(IF(Inputs!$B$39="pvp",15,MAX(0.1,Skills!D24-IF(Skills!E24=TRUE,Inputs!$B$33,0)))*(1-IF(AND(ArtifactsInput!$M$27,Inputs!$B$4="Chapter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IF(B114=0,0,O97/B114)</f>
        <v/>
      </c>
      <c r="Q97">
        <f>IFERROR(1/(IF(Inputs!$B$39="pvp",15,MAX(0.1,Skills!D25-IF(Skills!E25=TRUE,Inputs!$B$33,0)))*(1-IF(AND(ArtifactsInput!$M$27,Inputs!$B$4="Chapter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IF(B114=0,0,O98/B114)</f>
        <v/>
      </c>
      <c r="Q98">
        <f>IFERROR(1/(IF(Inputs!$B$39="pvp",15,MAX(0.1,Skills!D26-IF(Skills!E26=TRUE,Inputs!$B$33,0)))*(1-IF(AND(ArtifactsInput!$M$27,Inputs!$B$4="Chapter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IF(B114=0,0,O99/B114)</f>
        <v/>
      </c>
      <c r="Q99">
        <f>IFERROR(1/(IF(Inputs!$B$39="pvp",15,MAX(0.1,Skills!D27-IF(Skills!E27=TRUE,Inputs!$B$33,0)))*(1-IF(AND(ArtifactsInput!$M$27,Inputs!$B$4="Chapter Hunt"),CHOOSE(ArtifactsInput!$N$27+1,20,24,28,32,36,40),0)/100)),0)</f>
        <v/>
      </c>
      <c r="R99" t="n">
        <v>0</v>
      </c>
      <c r="S99" t="n">
        <v>0</v>
      </c>
      <c r="U99" t="n">
        <v>0</v>
      </c>
    </row>
    <row r="101">
      <c r="A101" t="inlineStr">
        <is>
          <t>Average Buff Multiplier</t>
        </is>
      </c>
      <c r="B101">
        <f>(1+(IF(C75=TRUE,F75*IF(AND(Inputs!$B$39&lt;&gt;"pvp",Inputs!$B$44&gt;0),(((R75-1)*(Skills!S3*(1+((Inputs!$B$35+(ArtifactsInput!$M$7-ArtifactsInput!$M$7)*CHOOSE(ArtifactsInput!$N$7+1,6,7.2,8.4,9.6,10.8,12))+IF(Inputs!$B$3&gt;=117,F98,0))/100))+MIN((Skills!S3*(1+((Inputs!$B$35+(ArtifactsInput!$M$7-ArtifactsInput!$M$7)*CHOOSE(ArtifactsInput!$N$7+1,6,7.2,8.4,9.6,10.8,12))+IF(Inputs!$B$3&gt;=117,F98,0))/100)),MAX(0,Inputs!$B$44-((R75-1)*Skills!D3))))/Inputs!$B$44),IF(Inputs!$B$39="pvp",MIN((Skills!S3*(1+((Inputs!$B$35+(ArtifactsInput!$M$7-ArtifactsInput!$M$7)*CHOOSE(ArtifactsInput!$N$7+1,6,7.2,8.4,9.6,10.8,12))+IF(Inputs!$B$3&gt;=117,F98,0))/100)),15)/15,(Skills!S3*(1+((Inputs!$B$35+(ArtifactsInput!$M$7-ArtifactsInput!$M$7)*CHOOSE(ArtifactsInput!$N$7+1,6,7.2,8.4,9.6,10.8,12))+IF(Inputs!$B$3&gt;=117,F98,0))/100))/Skills!D3)),0)+IF(C76=TRUE,F76*IF(AND(Inputs!$B$39&lt;&gt;"pvp",Inputs!$B$44&gt;0),(((R76-1)*(Skills!S4*(1+((Inputs!$B$35+(ArtifactsInput!$M$7-ArtifactsInput!$M$7)*CHOOSE(ArtifactsInput!$N$7+1,6,7.2,8.4,9.6,10.8,12))+IF(Inputs!$B$3&gt;=117,F98,0))/100))+MIN((Skills!S4*(1+((Inputs!$B$35+(ArtifactsInput!$M$7-ArtifactsInput!$M$7)*CHOOSE(ArtifactsInput!$N$7+1,6,7.2,8.4,9.6,10.8,12))+IF(Inputs!$B$3&gt;=117,F98,0))/100)),MAX(0,Inputs!$B$44-((R76-1)*Skills!D4))))/Inputs!$B$44),IF(Inputs!$B$39="pvp",MIN((Skills!S4*(1+((Inputs!$B$35+(ArtifactsInput!$M$7-ArtifactsInput!$M$7)*CHOOSE(ArtifactsInput!$N$7+1,6,7.2,8.4,9.6,10.8,12))+IF(Inputs!$B$3&gt;=117,F98,0))/100)),15)/15,(Skills!S4*(1+((Inputs!$B$35+(ArtifactsInput!$M$7-ArtifactsInput!$M$7)*CHOOSE(ArtifactsInput!$N$7+1,6,7.2,8.4,9.6,10.8,12))+IF(Inputs!$B$3&gt;=117,F98,0))/100))/Skills!D4)),0)+IF(C77=TRUE,F77*IF(AND(Inputs!$B$39&lt;&gt;"pvp",Inputs!$B$44&gt;0),(((R77-1)*(Skills!S5*(1+((Inputs!$B$35+(ArtifactsInput!$M$7-ArtifactsInput!$M$7)*CHOOSE(ArtifactsInput!$N$7+1,6,7.2,8.4,9.6,10.8,12))+IF(Inputs!$B$3&gt;=117,F98,0))/100))+MIN((Skills!S5*(1+((Inputs!$B$35+(ArtifactsInput!$M$7-ArtifactsInput!$M$7)*CHOOSE(ArtifactsInput!$N$7+1,6,7.2,8.4,9.6,10.8,12))+IF(Inputs!$B$3&gt;=117,F98,0))/100)),MAX(0,Inputs!$B$44-((R77-1)*Skills!D5))))/Inputs!$B$44),IF(Inputs!$B$39="pvp",MIN((Skills!S5*(1+((Inputs!$B$35+(ArtifactsInput!$M$7-ArtifactsInput!$M$7)*CHOOSE(ArtifactsInput!$N$7+1,6,7.2,8.4,9.6,10.8,12))+IF(Inputs!$B$3&gt;=117,F98,0))/100)),15)/15,(Skills!S5*(1+((Inputs!$B$35+(ArtifactsInput!$M$7-ArtifactsInput!$M$7)*CHOOSE(ArtifactsInput!$N$7+1,6,7.2,8.4,9.6,10.8,12))+IF(Inputs!$B$3&gt;=117,F98,0))/100))/Skills!D5)),0)+IF(C83=TRUE,F83*IF(AND(Inputs!$B$39&lt;&gt;"pvp",Inputs!$B$44&gt;0),(((R83-1)*(Skills!S11*(1+((Inputs!$B$35+(ArtifactsInput!$M$7-ArtifactsInput!$M$7)*CHOOSE(ArtifactsInput!$N$7+1,6,7.2,8.4,9.6,10.8,12))+IF(Inputs!$B$3&gt;=117,F98,0))/100))+MIN((Skills!S11*(1+((Inputs!$B$35+(ArtifactsInput!$M$7-ArtifactsInput!$M$7)*CHOOSE(ArtifactsInput!$N$7+1,6,7.2,8.4,9.6,10.8,12))+IF(Inputs!$B$3&gt;=117,F98,0))/100)),MAX(0,Inputs!$B$44-((R83-1)*Skills!D11))))/Inputs!$B$44),IF(Inputs!$B$39="pvp",MIN((Skills!S11*(1+((Inputs!$B$35+(ArtifactsInput!$M$7-ArtifactsInput!$M$7)*CHOOSE(ArtifactsInput!$N$7+1,6,7.2,8.4,9.6,10.8,12))+IF(Inputs!$B$3&gt;=117,F98,0))/100)),15)/15,(Skills!S11*(1+((Inputs!$B$35+(ArtifactsInput!$M$7-ArtifactsInput!$M$7)*CHOOSE(ArtifactsInput!$N$7+1,6,7.2,8.4,9.6,10.8,12))+IF(Inputs!$B$3&gt;=117,F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Skills!S14*(1+((Inputs!$B$35+(ArtifactsInput!$M$7-ArtifactsInput!$M$7)*CHOOSE(ArtifactsInput!$N$7+1,6,7.2,8.4,9.6,10.8,12))+IF(Inputs!$B$3&gt;=117,F98,0))/100))+MIN((Skills!S14*(1+((Inputs!$B$35+(ArtifactsInput!$M$7-ArtifactsInput!$M$7)*CHOOSE(ArtifactsInput!$N$7+1,6,7.2,8.4,9.6,10.8,12))+IF(Inputs!$B$3&gt;=117,F98,0))/100)),MAX(0,Inputs!$B$44-((R86-1)*Skills!D14))))/Inputs!$B$44),IF(Inputs!$B$39="pvp",MIN((Skills!S14*(1+((Inputs!$B$35+(ArtifactsInput!$M$7-ArtifactsInput!$M$7)*CHOOSE(ArtifactsInput!$N$7+1,6,7.2,8.4,9.6,10.8,12))+IF(Inputs!$B$3&gt;=117,F98,0))/100)),15)/15,(Skills!S14*(1+((Inputs!$B$35+(ArtifactsInput!$M$7-ArtifactsInput!$M$7)*CHOOSE(ArtifactsInput!$N$7+1,6,7.2,8.4,9.6,10.8,12))+IF(Inputs!$B$3&gt;=117,F98,0))/100))/Skills!D14))/100),1)*IF(C91=TRUE,(1+F91*IF(AND(Inputs!$B$39&lt;&gt;"pvp",Inputs!$B$44&gt;0),(((R91-1)*(Skills!S19*(1+((Inputs!$B$35+(ArtifactsInput!$M$7-ArtifactsInput!$M$7)*CHOOSE(ArtifactsInput!$N$7+1,6,7.2,8.4,9.6,10.8,12))+IF(Inputs!$B$3&gt;=117,F98,0))/100))+MIN((Skills!S19*(1+((Inputs!$B$35+(ArtifactsInput!$M$7-ArtifactsInput!$M$7)*CHOOSE(ArtifactsInput!$N$7+1,6,7.2,8.4,9.6,10.8,12))+IF(Inputs!$B$3&gt;=117,F98,0))/100)),MAX(0,Inputs!$B$44-((R91-1)*Skills!D19))))/Inputs!$B$44),IF(Inputs!$B$39="pvp",MIN((Skills!S19*(1+((Inputs!$B$35+(ArtifactsInput!$M$7-ArtifactsInput!$M$7)*CHOOSE(ArtifactsInput!$N$7+1,6,7.2,8.4,9.6,10.8,12))+IF(Inputs!$B$3&gt;=117,F98,0))/100)),15)/15,(Skills!S19*(1+((Inputs!$B$35+(ArtifactsInput!$M$7-ArtifactsInput!$M$7)*CHOOSE(ArtifactsInput!$N$7+1,6,7.2,8.4,9.6,10.8,12))+IF(Inputs!$B$3&gt;=117,F98,0))/100))/Skills!D19))/100),1)</f>
        <v/>
      </c>
    </row>
    <row r="102">
      <c r="A102" t="inlineStr">
        <is>
          <t>Monster Damage Taken Bonus % (Holy Fountain)</t>
        </is>
      </c>
      <c r="B102">
        <f>IF(Inputs!$B$3&gt;=68,20*IF(Inputs!$B$39="pvp",MIN((15*(1+((Inputs!$B$35+(ArtifactsInput!$M$7-ArtifactsInput!$M$7)*CHOOSE(ArtifactsInput!$N$7+1,6,7.2,8.4,9.6,10.8,12))+IF(Inputs!$B$3&gt;=117,F98,0))/100)),15)/15,(15*(1+((Inputs!$B$35+(ArtifactsInput!$M$7-ArtifactsInput!$M$7)*CHOOSE(ArtifactsInput!$N$7+1,6,7.2,8.4,9.6,10.8,12))+IF(Inputs!$B$3&gt;=117,F98,0))/100))/Skills!D10),0)</f>
        <v/>
      </c>
    </row>
    <row r="103">
      <c r="A103" t="inlineStr">
        <is>
          <t>Normal Monster Damage Bonus % (Holy Symbol)</t>
        </is>
      </c>
      <c r="B103">
        <f>IF(C84=TRUE,F84*IF(AND(Inputs!$B$39&lt;&gt;"pvp",Inputs!$B$44&gt;0),(((R84-1)*(Skills!S12*(1+((Inputs!$B$35+(ArtifactsInput!$M$7-ArtifactsInput!$M$7)*CHOOSE(ArtifactsInput!$N$7+1,6,7.2,8.4,9.6,10.8,12))+IF(Inputs!$B$3&gt;=117,F98,0))/100))+MIN((Skills!S12*(1+((Inputs!$B$35+(ArtifactsInput!$M$7-ArtifactsInput!$M$7)*CHOOSE(ArtifactsInput!$N$7+1,6,7.2,8.4,9.6,10.8,12))+IF(Inputs!$B$3&gt;=117,F98,0))/100)),MAX(0,Inputs!$B$44-((R84-1)*Skills!D12))))/Inputs!$B$44),IF(Inputs!$B$39="pvp",MIN((Skills!S12*(1+((Inputs!$B$35+(ArtifactsInput!$M$7-ArtifactsInput!$M$7)*CHOOSE(ArtifactsInput!$N$7+1,6,7.2,8.4,9.6,10.8,12))+IF(Inputs!$B$3&gt;=117,F98,0))/100)),15)/15,(Skills!S12*(1+((Inputs!$B$35+(ArtifactsInput!$M$7-ArtifactsInput!$M$7)*CHOOSE(ArtifactsInput!$N$7+1,6,7.2,8.4,9.6,10.8,12))+IF(Inputs!$B$3&gt;=117,F98,0))/100))/Skills!D12)),0)</f>
        <v/>
      </c>
    </row>
    <row r="104">
      <c r="A104" t="inlineStr">
        <is>
          <t>Damage % Bonus (Holy Symbol - Damage Boost)</t>
        </is>
      </c>
      <c r="B104">
        <f>Skills!O12</f>
        <v/>
      </c>
    </row>
    <row r="105">
      <c r="A105" t="inlineStr">
        <is>
          <t>Crit Damage % Bonus (Blood of the Divine)</t>
        </is>
      </c>
      <c r="B105">
        <f>4*IF(C92=TRUE,F92,0)</f>
        <v/>
      </c>
    </row>
    <row r="106">
      <c r="A106" t="inlineStr">
        <is>
          <t>Attack Speed Bonus %</t>
        </is>
      </c>
      <c r="B106">
        <f>IF(C89=TRUE,F89+(F93-Calc!F21),0)+IF(Inputs!$B$3&gt;=134,15,0)</f>
        <v/>
      </c>
    </row>
    <row r="107">
      <c r="A107" t="inlineStr">
        <is>
          <t>Actions Per Second</t>
        </is>
      </c>
      <c r="B107">
        <f>1+MIN(150,150*(1-(1-Inputs!$B$12/150)*(1-B106/150)))/100</f>
        <v/>
      </c>
    </row>
    <row r="108">
      <c r="A108" t="inlineStr">
        <is>
          <t>Skill + Buff Cast Rate</t>
        </is>
      </c>
      <c r="B108">
        <f>IF(AND(Inputs!$B$39&lt;&gt;"pvp",Inputs!$B$44&gt;0),SUMPRODUCT((Skills!E2:E27=TRUE)*(C74:C99=TRUE)*R74:R99)/Inputs!$B$44,SUMPRODUCT((Skills!E2:E27=TRUE)*(C74:C99=TRUE)*Q74:Q99))</f>
        <v/>
      </c>
    </row>
    <row r="109">
      <c r="A109" t="inlineStr">
        <is>
          <t>Big Bang Casts Per Second</t>
        </is>
      </c>
      <c r="B109">
        <f>MAX(0,B107-B108)</f>
        <v/>
      </c>
    </row>
    <row r="110">
      <c r="A110" t="inlineStr">
        <is>
          <t>Defense % Bonus (Divine Protection)</t>
        </is>
      </c>
      <c r="B110">
        <f>IF(C85=TRUE,F85*IF(AND(Inputs!$B$39&lt;&gt;"pvp",Inputs!$B$44&gt;0),(((R85-1)*(Skills!S13*(1+((Inputs!$B$35+(ArtifactsInput!$M$7-ArtifactsInput!$M$7)*CHOOSE(ArtifactsInput!$N$7+1,6,7.2,8.4,9.6,10.8,12))+IF(Inputs!$B$3&gt;=117,F98,0))/100))+MIN((Skills!S13*(1+((Inputs!$B$35+(ArtifactsInput!$M$7-ArtifactsInput!$M$7)*CHOOSE(ArtifactsInput!$N$7+1,6,7.2,8.4,9.6,10.8,12))+IF(Inputs!$B$3&gt;=117,F98,0))/100)),MAX(0,Inputs!$B$44-((R85-1)*Skills!D13))))/Inputs!$B$44),IF(Inputs!$B$39="pvp",MIN((Skills!S13*(1+((Inputs!$B$35+(ArtifactsInput!$M$7-ArtifactsInput!$M$7)*CHOOSE(ArtifactsInput!$N$7+1,6,7.2,8.4,9.6,10.8,12))+IF(Inputs!$B$3&gt;=117,F98,0))/100)),15)/15,(Skills!S13*(1+((Inputs!$B$35+(ArtifactsInput!$M$7-ArtifactsInput!$M$7)*CHOOSE(ArtifactsInput!$N$7+1,6,7.2,8.4,9.6,10.8,12))+IF(Inputs!$B$3&gt;=117,F98,0))/100))/Skills!D13)),0)</f>
        <v/>
      </c>
    </row>
    <row r="111">
      <c r="A111" t="inlineStr">
        <is>
          <t>Buff-Casting Startup Delay (s, fixed-duration only)</t>
        </is>
      </c>
      <c r="B111">
        <f>IF(AND(Inputs!$B$39&lt;&gt;"pvp",Inputs!$B$44&gt;0),SUMPRODUCT((Skills!S2:S27&gt;0)*(Skills!E2:E27=TRUE)*(C74:C99=TRUE))/B107,0)</f>
        <v/>
      </c>
    </row>
    <row r="112">
      <c r="A112" t="inlineStr">
        <is>
          <t>Boss-Only Total DPS (this block's swept value)</t>
        </is>
      </c>
      <c r="B112">
        <f>SUM(S74:S99)</f>
        <v/>
      </c>
    </row>
    <row r="113">
      <c r="A113" t="inlineStr">
        <is>
          <t>Normal-Only Total DPS (this block's swept value)</t>
        </is>
      </c>
      <c r="B113">
        <f>SUM(U74:U99)</f>
        <v/>
      </c>
    </row>
    <row r="114">
      <c r="A114" s="6" t="inlineStr">
        <is>
          <t>TOTAL DPS</t>
        </is>
      </c>
      <c r="B114" s="6">
        <f>SUM(O74:O99)</f>
        <v/>
      </c>
    </row>
    <row r="116">
      <c r="A116" s="6" t="inlineStr">
        <is>
          <t>Stat: INT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R117" t="inlineStr">
        <is>
          <t>helpers</t>
        </is>
      </c>
    </row>
    <row r="118">
      <c r="A118">
        <f>Skills!A2</f>
        <v/>
      </c>
      <c r="B118">
        <f>Skills!B2</f>
        <v/>
      </c>
      <c r="C118">
        <f>Inputs!$B$3&gt;=100</f>
        <v/>
      </c>
      <c r="D118" t="inlineStr"/>
      <c r="E118" t="inlineStr"/>
      <c r="F118">
        <f>T120+Skills!N2</f>
        <v/>
      </c>
      <c r="G118">
        <f>Calc!G2</f>
        <v/>
      </c>
      <c r="H118">
        <f>Calc!H2</f>
        <v/>
      </c>
      <c r="I118">
        <f>IF(Skills!T2&lt;&gt;"",1+(Skills!T2/10)*($Z$3/1000)/100,1)</f>
        <v/>
      </c>
      <c r="J118">
        <f>((Inputs!$B$6*(1+Inputs!$B$7/100))+(((Inputs!$B$13*(1+(Inputs!$B$14+1)/100))-(Inputs!$B$13*(1+Inputs!$B$14/100)))+0.25*(Inputs!$B$15-Inputs!$B$15))*(1+Inputs!$B$7/100))*(F118/100)</f>
        <v/>
      </c>
      <c r="K118">
        <f>J118*(1+(((Inputs!$B$13+IF(Inputs!$B$3&gt;=35,(10*INDEX(FactorTable!$B$2:$Y$301,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2="TRIUMPH_FEATHER",IF(C132=TRUE,F132,0),0)/100)*(1+IF(C143=TRUE,F143,0)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118)</f>
        <v/>
      </c>
      <c r="L118">
        <f>K118*(MIN(Inputs!$B$23+(F138-Calc!F22),(Inputs!$B$24+IF(ArtifactsInput!$M$15,CHOOSE(ArtifactsInput!$N$15+1,25,30,35,40,45,50)/100*(Inputs!$B$12-Inputs!$B$12),0)))/100+(Inputs!$B$24+IF(ArtifactsInput!$M$15,CHOOSE(ArtifactsInput!$N$15+1,25,30,35,40,45,50)/100*(Inputs!$B$12-Inputs!$B$12),0))/100)/2</f>
        <v/>
      </c>
      <c r="M118">
        <f>L118*(1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
        <f>L118*(1-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
        <f>(1-Summary!$B$11)*S118+Summary!$B$11*U118</f>
        <v/>
      </c>
      <c r="P118">
        <f>IF(B158=0,0,O118/B158)</f>
        <v/>
      </c>
      <c r="Q118">
        <f>IFERROR(1/(IF(Inputs!$B$39="pvp",15,MAX(0.1,Skills!D2-IF(Skills!E2=TRUE,Inputs!$B$33,0)))*(1-IF(AND(ArtifactsInput!$M$27,Inputs!$B$4="Chapter Hunt"),CHOOSE(ArtifactsInput!$N$27+1,20,24,28,32,36,40),0)/100)),0)</f>
        <v/>
      </c>
      <c r="R118" t="n">
        <v>0</v>
      </c>
      <c r="S118">
        <f>IF(C118,(Skills!F2*N118*B153)*IF(Inputs!$B$39="pvp",1,1+(Inputs!$B$21+Skills!O2+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8">
        <f>MAX(0,(Inputs!$B$3-100)*3)+Inputs!$B$29+Inputs!$B$30</f>
        <v/>
      </c>
      <c r="U118">
        <f>IF(C118,(Skills!F2*N118*B153)*IF(Inputs!$B$39="pvp",1,(1+(Inputs!$B$22+Skills!P2+B147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
      <c r="A119">
        <f>Skills!A3</f>
        <v/>
      </c>
      <c r="B119">
        <f>Skills!B3</f>
        <v/>
      </c>
      <c r="C119">
        <f>Inputs!$B$3&gt;=15</f>
        <v/>
      </c>
      <c r="D119">
        <f>IF(Skills!C3=1,60+Inputs!$B$26+Inputs!$B$30,IF(Skills!C3=2,90+Inputs!$B$27+Inputs!$B$30,IF(Skills!C3=3,120+Inputs!$B$28+Inputs!$B$30,MAX(0,(Inputs!$B$3-100)*3)+Inputs!$B$29+Inputs!$B$30)))</f>
        <v/>
      </c>
      <c r="E119">
        <f>INDEX(FactorTable!$B$2:$Y$301, MATCH(ROUND(MIN(300,MAX(1,D119)),0), FactorTable!$A$2:$A$301,0), Skills!L3+1)</f>
        <v/>
      </c>
      <c r="F119">
        <f>IF(Skills!M3=TRUE,(Skills!K3/10)*(E119/1000),Skills!K3/10)+Skills!N3</f>
        <v/>
      </c>
      <c r="G119">
        <f>Calc!G3</f>
        <v/>
      </c>
      <c r="H119">
        <f>Calc!H3</f>
        <v/>
      </c>
      <c r="I119">
        <f>IF(Skills!T3&lt;&gt;"",1+(Skills!T3/10)*($Z$3/1000)/100,1)</f>
        <v/>
      </c>
      <c r="J119" t="inlineStr"/>
      <c r="K119" t="inlineStr"/>
      <c r="L119" t="inlineStr"/>
      <c r="M119" t="inlineStr"/>
      <c r="N119" t="inlineStr"/>
      <c r="O119">
        <f>(1-Summary!$B$11)*S119+Summary!$B$11*U119</f>
        <v/>
      </c>
      <c r="P119">
        <f>IF(B158=0,0,O119/B158)</f>
        <v/>
      </c>
      <c r="Q119">
        <f>IFERROR(1/(IF(Inputs!$B$39="pvp",15,MAX(0.1,Skills!D3-IF(Skills!E3=TRUE,Inputs!$B$33,0)))*(1-IF(AND(ArtifactsInput!$M$27,Inputs!$B$4="Chapter Hunt"),CHOOSE(ArtifactsInput!$N$27+1,20,24,28,32,36,40),0)/100)),0)</f>
        <v/>
      </c>
      <c r="R119">
        <f>IF(AND(Inputs!$B$39&lt;&gt;"pvp",Inputs!$B$44&gt;0),IF(Inputs!$B$44&lt;=0,0,(INT(Inputs!$B$44/(IF(Inputs!$B$39="pvp",15,MAX(0.1,Skills!D3-IF(Skills!E3=TRUE,Inputs!$B$33,0)))*(1-IF(AND(ArtifactsInput!$M$27,Inputs!$B$4="Chapter Hunt"),CHOOSE(ArtifactsInput!$N$27+1,20,24,28,32,36,40),0)/100)))+1)),0)</f>
        <v/>
      </c>
      <c r="S119" t="n">
        <v>0</v>
      </c>
      <c r="T119">
        <f>INDEX(FactorTable!$B$2:$Y$301, MATCH(ROUND(MIN(300,MAX(1,T118)),0), FactorTable!$A$2:$A$301,0), 22)</f>
        <v/>
      </c>
      <c r="U119" t="n">
        <v>0</v>
      </c>
    </row>
    <row r="120">
      <c r="A120">
        <f>Skills!A4</f>
        <v/>
      </c>
      <c r="B120">
        <f>Skills!B4</f>
        <v/>
      </c>
      <c r="C120">
        <f>Inputs!$B$3&gt;=38</f>
        <v/>
      </c>
      <c r="D120">
        <f>IF(Skills!C4=1,60+Inputs!$B$26+Inputs!$B$30,IF(Skills!C4=2,90+Inputs!$B$27+Inputs!$B$30,IF(Skills!C4=3,120+Inputs!$B$28+Inputs!$B$30,MAX(0,(Inputs!$B$3-100)*3)+Inputs!$B$29+Inputs!$B$30)))</f>
        <v/>
      </c>
      <c r="E120">
        <f>INDEX(FactorTable!$B$2:$Y$301, MATCH(ROUND(MIN(300,MAX(1,D120)),0), FactorTable!$A$2:$A$301,0), Skills!L4+1)</f>
        <v/>
      </c>
      <c r="F120">
        <f>IF(Skills!M4=TRUE,(Skills!K4/10)*(E120/1000),Skills!K4/10)+Skills!N4</f>
        <v/>
      </c>
      <c r="G120">
        <f>Calc!G4</f>
        <v/>
      </c>
      <c r="H120">
        <f>Calc!H4</f>
        <v/>
      </c>
      <c r="I120">
        <f>IF(Skills!T4&lt;&gt;"",1+(Skills!T4/10)*($Z$3/1000)/100,1)</f>
        <v/>
      </c>
      <c r="J120" t="inlineStr"/>
      <c r="K120" t="inlineStr"/>
      <c r="L120" t="inlineStr"/>
      <c r="M120" t="inlineStr"/>
      <c r="N120" t="inlineStr"/>
      <c r="O120">
        <f>(1-Summary!$B$11)*S120+Summary!$B$11*U120</f>
        <v/>
      </c>
      <c r="P120">
        <f>IF(B158=0,0,O120/B158)</f>
        <v/>
      </c>
      <c r="Q120">
        <f>IFERROR(1/(IF(Inputs!$B$39="pvp",15,MAX(0.1,Skills!D4-IF(Skills!E4=TRUE,Inputs!$B$33,0)))*(1-IF(AND(ArtifactsInput!$M$27,Inputs!$B$4="Chapter Hunt"),CHOOSE(ArtifactsInput!$N$27+1,20,24,28,32,36,40),0)/100)),0)</f>
        <v/>
      </c>
      <c r="R120">
        <f>IF(AND(Inputs!$B$39&lt;&gt;"pvp",Inputs!$B$44&gt;0),IF(Inputs!$B$44&lt;=0,0,(INT(Inputs!$B$44/(IF(Inputs!$B$39="pvp",15,MAX(0.1,Skills!D4-IF(Skills!E4=TRUE,Inputs!$B$33,0)))*(1-IF(AND(ArtifactsInput!$M$27,Inputs!$B$4="Chapter Hunt"),CHOOSE(ArtifactsInput!$N$27+1,20,24,28,32,36,40),0)/100)))+1)),0)</f>
        <v/>
      </c>
      <c r="S120" t="n">
        <v>0</v>
      </c>
      <c r="T120">
        <f>290*T119/1000</f>
        <v/>
      </c>
      <c r="U120" t="n">
        <v>0</v>
      </c>
    </row>
    <row r="121">
      <c r="A121">
        <f>Skills!A5</f>
        <v/>
      </c>
      <c r="B121">
        <f>Skills!B5</f>
        <v/>
      </c>
      <c r="C121">
        <f>Inputs!$B$3&gt;=40</f>
        <v/>
      </c>
      <c r="D121">
        <f>IF(Skills!C5=1,60+Inputs!$B$26+Inputs!$B$30,IF(Skills!C5=2,90+Inputs!$B$27+Inputs!$B$30,IF(Skills!C5=3,120+Inputs!$B$28+Inputs!$B$30,MAX(0,(Inputs!$B$3-100)*3)+Inputs!$B$29+Inputs!$B$30)))</f>
        <v/>
      </c>
      <c r="E121">
        <f>INDEX(FactorTable!$B$2:$Y$301, MATCH(ROUND(MIN(300,MAX(1,D121)),0), FactorTable!$A$2:$A$301,0), Skills!L5+1)</f>
        <v/>
      </c>
      <c r="F121">
        <f>IF(Skills!M5=TRUE,(Skills!K5/10)*(E121/1000),Skills!K5/10)+Skills!N5</f>
        <v/>
      </c>
      <c r="G121">
        <f>Calc!G5</f>
        <v/>
      </c>
      <c r="H121">
        <f>Calc!H5</f>
        <v/>
      </c>
      <c r="I121">
        <f>IF(Skills!T5&lt;&gt;"",1+(Skills!T5/10)*($Z$3/1000)/100,1)</f>
        <v/>
      </c>
      <c r="J121" t="inlineStr"/>
      <c r="K121" t="inlineStr"/>
      <c r="L121" t="inlineStr"/>
      <c r="M121" t="inlineStr"/>
      <c r="N121" t="inlineStr"/>
      <c r="O121">
        <f>(1-Summary!$B$11)*S121+Summary!$B$11*U121</f>
        <v/>
      </c>
      <c r="P121">
        <f>IF(B158=0,0,O121/B158)</f>
        <v/>
      </c>
      <c r="Q121">
        <f>IFERROR(1/(IF(Inputs!$B$39="pvp",15,MAX(0.1,Skills!D5-IF(Skills!E5=TRUE,Inputs!$B$33,0)))*(1-IF(AND(ArtifactsInput!$M$27,Inputs!$B$4="Chapter Hunt"),CHOOSE(ArtifactsInput!$N$27+1,20,24,28,32,36,40),0)/100)),0)</f>
        <v/>
      </c>
      <c r="R121">
        <f>IF(AND(Inputs!$B$39&lt;&gt;"pvp",Inputs!$B$44&gt;0),IF(Inputs!$B$44&lt;=0,0,(INT(Inputs!$B$44/(IF(Inputs!$B$39="pvp",15,MAX(0.1,Skills!D5-IF(Skills!E5=TRUE,Inputs!$B$33,0)))*(1-IF(AND(ArtifactsInput!$M$27,Inputs!$B$4="Chapter Hunt"),CHOOSE(ArtifactsInput!$N$27+1,20,24,28,32,36,40),0)/100)))+1)),0)</f>
        <v/>
      </c>
      <c r="S121" t="n">
        <v>0</v>
      </c>
      <c r="U121" t="n">
        <v>0</v>
      </c>
    </row>
    <row r="122">
      <c r="A122">
        <f>Skills!A6</f>
        <v/>
      </c>
      <c r="B122">
        <f>Skills!B6</f>
        <v/>
      </c>
      <c r="C122">
        <f>Inputs!$B$3&gt;=103</f>
        <v/>
      </c>
      <c r="D122">
        <f>IF(Skills!C6=1,60+Inputs!$B$26+Inputs!$B$30,IF(Skills!C6=2,90+Inputs!$B$27+Inputs!$B$30,IF(Skills!C6=3,120+Inputs!$B$28+Inputs!$B$30,MAX(0,(Inputs!$B$3-100)*3)+Inputs!$B$29+Inputs!$B$30)))</f>
        <v/>
      </c>
      <c r="E122">
        <f>INDEX(FactorTable!$B$2:$Y$301, MATCH(ROUND(MIN(300,MAX(1,D122)),0), FactorTable!$A$2:$A$301,0), Skills!L6+1)</f>
        <v/>
      </c>
      <c r="F122">
        <f>IF(Skills!M6=TRUE,(Skills!K6/10)*(E122/1000),Skills!K6/10)+Skills!N6</f>
        <v/>
      </c>
      <c r="G122">
        <f>Calc!G6</f>
        <v/>
      </c>
      <c r="H122">
        <f>Calc!H6</f>
        <v/>
      </c>
      <c r="I122">
        <f>IF(Skills!T6&lt;&gt;"",1+(Skills!T6/10)*($Z$3/1000)/100,1)</f>
        <v/>
      </c>
      <c r="J122">
        <f>((Inputs!$B$6*(1+Inputs!$B$7/100))+(((Inputs!$B$13*(1+(Inputs!$B$14+1)/100))-(Inputs!$B$13*(1+Inputs!$B$14/100)))+0.25*(Inputs!$B$15-Inputs!$B$15))*(1+Inputs!$B$7/100))*(F122/100)</f>
        <v/>
      </c>
      <c r="K122">
        <f>J122*(1+(((Inputs!$B$13+IF(Inputs!$B$3&gt;=35,(10*INDEX(FactorTable!$B$2:$Y$301,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6="TRIUMPH_FEATHER",IF(C132=TRUE,F132,0),0)/100)*(1+IF(C143=TRUE,F143,0)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122)</f>
        <v/>
      </c>
      <c r="L122">
        <f>K122*(MIN(Inputs!$B$23+(F138-Calc!F22),(Inputs!$B$24+IF(ArtifactsInput!$M$15,CHOOSE(ArtifactsInput!$N$15+1,25,30,35,40,45,50)/100*(Inputs!$B$12-Inputs!$B$12),0)))/100+(Inputs!$B$24+IF(ArtifactsInput!$M$15,CHOOSE(ArtifactsInput!$N$15+1,25,30,35,40,45,50)/100*(Inputs!$B$12-Inputs!$B$12),0))/100)/2</f>
        <v/>
      </c>
      <c r="M122">
        <f>L122*(1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
        <f>L122*(1-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(1-Summary!$B$11)*S122+Summary!$B$11*U122</f>
        <v/>
      </c>
      <c r="P122">
        <f>IF(B158=0,0,O122/B158)</f>
        <v/>
      </c>
      <c r="Q122">
        <f>IFERROR(1/(IF(Inputs!$B$39="pvp",15,MAX(0.1,Skills!D6-IF(Skills!E6=TRUE,Inputs!$B$33,0)))*(1-IF(AND(ArtifactsInput!$M$27,Inputs!$B$4="Chapter Hunt"),CHOOSE(ArtifactsInput!$N$27+1,20,24,28,32,36,40),0)/100)),0)</f>
        <v/>
      </c>
      <c r="R122">
        <f>IF(AND(Inputs!$B$39&lt;&gt;"pvp",Inputs!$B$44&gt;0),IF(MAX(0,Inputs!$B$44-B155)&lt;=0,0,(INT(MAX(0,Inputs!$B$44-B155)/(IF(Inputs!$B$39="pvp",15,MAX(0.1,Skills!D6-IF(Skills!E6=TRUE,Inputs!$B$33,0)))*(1-IF(AND(ArtifactsInput!$M$27,Inputs!$B$4="Chapter Hunt"),CHOOSE(ArtifactsInput!$N$27+1,20,24,28,32,36,40),0)/100)))+1)),0)</f>
        <v/>
      </c>
      <c r="S122">
        <f>IF(C122,(H122*N122*IF(AND(Inputs!$B$39&lt;&gt;"pvp",Inputs!$B$44&gt;0),((Skills!F6*((R122-1)*IF(Skills!G6&gt;0,Skills!H6/Skills!G6,1)+IF(Skills!G6&gt;0,MIN(Skills!H6,MAX(0,MAX(0,Inputs!$B$44-B155)-((R122-1)*(IF(Inputs!$B$39="pvp",15,MAX(0.1,Skills!D6-IF(Skills!E6=TRUE,Inputs!$B$33,0)))*(1-IF(AND(ArtifactsInput!$M$27,Inputs!$B$4="Chapter Hunt"),CHOOSE(ArtifactsInput!$N$27+1,20,24,28,32,36,40),0)/100)))))/Skills!G6,1)))/Inputs!$B$44),G122*Q122))*IF(Inputs!$B$39="pvp",1,1+(Inputs!$B$21+Skills!O6+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
        <f>IF(C122,(H122*N122*IF(AND(Inputs!$B$39&lt;&gt;"pvp",Inputs!$B$44&gt;0),((Skills!F6*((R122-1)*IF(Skills!G6&gt;0,Skills!H6/Skills!G6,1)+IF(Skills!G6&gt;0,MIN(Skills!H6,MAX(0,MAX(0,Inputs!$B$44-B155)-((R122-1)*(IF(Inputs!$B$39="pvp",15,MAX(0.1,Skills!D6-IF(Skills!E6=TRUE,Inputs!$B$33,0)))*(1-IF(AND(ArtifactsInput!$M$27,Inputs!$B$4="Chapter Hunt"),CHOOSE(ArtifactsInput!$N$27+1,20,24,28,32,36,40),0)/100)))))/Skills!G6,1)))/Inputs!$B$44),G122*Q122))*IF(Inputs!$B$39="pvp",1,(1+(Inputs!$B$22+Skills!P6+B147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Skills!A7</f>
        <v/>
      </c>
      <c r="B123">
        <f>Skills!B7</f>
        <v/>
      </c>
      <c r="C123">
        <f>Inputs!$B$3&gt;=122</f>
        <v/>
      </c>
      <c r="D123">
        <f>IF(Skills!C7=1,60+Inputs!$B$26+Inputs!$B$30,IF(Skills!C7=2,90+Inputs!$B$27+Inputs!$B$30,IF(Skills!C7=3,120+Inputs!$B$28+Inputs!$B$30,MAX(0,(Inputs!$B$3-100)*3)+Inputs!$B$29+Inputs!$B$30)))</f>
        <v/>
      </c>
      <c r="E123">
        <f>INDEX(FactorTable!$B$2:$Y$301, MATCH(ROUND(MIN(300,MAX(1,D123)),0), FactorTable!$A$2:$A$301,0), Skills!L7+1)</f>
        <v/>
      </c>
      <c r="F123">
        <f>IF(Skills!M7=TRUE,(Skills!K7/10)*(E123/1000),Skills!K7/10)+Skills!N7</f>
        <v/>
      </c>
      <c r="G123">
        <f>Calc!G7</f>
        <v/>
      </c>
      <c r="H123">
        <f>Calc!H7</f>
        <v/>
      </c>
      <c r="I123">
        <f>IF(Skills!T7&lt;&gt;"",1+(Skills!T7/10)*($Z$3/1000)/100,1)</f>
        <v/>
      </c>
      <c r="J123">
        <f>((Inputs!$B$6*(1+Inputs!$B$7/100))+(((Inputs!$B$13*(1+(Inputs!$B$14+1)/100))-(Inputs!$B$13*(1+Inputs!$B$14/100)))+0.25*(Inputs!$B$15-Inputs!$B$15))*(1+Inputs!$B$7/100))*(F123/100)</f>
        <v/>
      </c>
      <c r="K123">
        <f>J123*(1+(((Inputs!$B$13+IF(Inputs!$B$3&gt;=35,(10*INDEX(FactorTable!$B$2:$Y$301,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7="TRIUMPH_FEATHER",IF(C132=TRUE,F132,0),0)/100)*(1+IF(C143=TRUE,F143,0)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123)</f>
        <v/>
      </c>
      <c r="L123">
        <f>K123*(MIN(Inputs!$B$23+(F138-Calc!F22),(Inputs!$B$24+IF(ArtifactsInput!$M$15,CHOOSE(ArtifactsInput!$N$15+1,25,30,35,40,45,50)/100*(Inputs!$B$12-Inputs!$B$12),0)))/100+(Inputs!$B$24+IF(ArtifactsInput!$M$15,CHOOSE(ArtifactsInput!$N$15+1,25,30,35,40,45,50)/100*(Inputs!$B$12-Inputs!$B$12),0))/100)/2</f>
        <v/>
      </c>
      <c r="M123">
        <f>L123*(1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IF(B158=0,0,O123/B158)</f>
        <v/>
      </c>
      <c r="Q123">
        <f>IFERROR(1/(IF(Inputs!$B$39="pvp",15,MAX(0.1,Skills!D7-IF(Skills!E6=TRUE,Inputs!$B$33,0)))*(1-IF(AND(ArtifactsInput!$M$27,Inputs!$B$4="Chapter Hunt"),CHOOSE(ArtifactsInput!$N$27+1,20,24,28,32,36,40),0)/100)),0)</f>
        <v/>
      </c>
      <c r="R123">
        <f>IF(AND(Inputs!$B$39&lt;&gt;"pvp",Inputs!$B$44&gt;0),IF(MAX(0,Inputs!$B$44-B155)&lt;=0,0,(INT(MAX(0,Inputs!$B$44-B155)/(IF(Inputs!$B$39="pvp",15,MAX(0.1,Skills!D7-IF(Skills!E6=TRUE,Inputs!$B$33,0)))*(1-IF(AND(ArtifactsInput!$M$27,Inputs!$B$4="Chapter Hunt"),CHOOSE(ArtifactsInput!$N$27+1,20,24,28,32,36,40),0)/100)))+1)),0)</f>
        <v/>
      </c>
      <c r="S123">
        <f>IF(C123,H123*N123*IF(AND(Inputs!$B$39&lt;&gt;"pvp",Inputs!$B$44&gt;0),((Skills!F7*((R123-1)*IF(Skills!G7&gt;0,Skills!H7/Skills!G7,1)+IF(Skills!G7&gt;0,MIN(Skills!H7,MAX(0,MAX(0,Inputs!$B$44-B155)-((R123-1)*(IF(Inputs!$B$39="pvp",15,MAX(0.1,Skills!D7-IF(Skills!E6=TRUE,Inputs!$B$33,0)))*(1-IF(AND(ArtifactsInput!$M$27,Inputs!$B$4="Chapter Hunt"),CHOOSE(ArtifactsInput!$N$27+1,20,24,28,32,36,40),0)/100)))))/Skills!G7,1)))/Inputs!$B$44),G123*Q123)*IF(Inputs!$B$39="pvp",1,1+(Inputs!$B$21+Skills!O7+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t="n">
        <v>0</v>
      </c>
    </row>
    <row r="124">
      <c r="A124">
        <f>Skills!A8</f>
        <v/>
      </c>
      <c r="B124">
        <f>Skills!B8</f>
        <v/>
      </c>
      <c r="C124">
        <f>Inputs!$B$3&gt;=105</f>
        <v/>
      </c>
      <c r="D124">
        <f>IF(Skills!C8=1,60+Inputs!$B$26+Inputs!$B$30,IF(Skills!C8=2,90+Inputs!$B$27+Inputs!$B$30,IF(Skills!C8=3,120+Inputs!$B$28+Inputs!$B$30,MAX(0,(Inputs!$B$3-100)*3)+Inputs!$B$29+Inputs!$B$30)))</f>
        <v/>
      </c>
      <c r="E124">
        <f>INDEX(FactorTable!$B$2:$Y$301, MATCH(ROUND(MIN(300,MAX(1,D124)),0), FactorTable!$A$2:$A$301,0), Skills!L8+1)</f>
        <v/>
      </c>
      <c r="F124">
        <f>IF(Skills!M8=TRUE,(Skills!K8/10)*(E124/1000),Skills!K8/10)+Skills!N8</f>
        <v/>
      </c>
      <c r="G124">
        <f>Calc!G8</f>
        <v/>
      </c>
      <c r="H124">
        <f>Calc!H8</f>
        <v/>
      </c>
      <c r="I124">
        <f>IF(Skills!T8&lt;&gt;"",1+(Skills!T8/10)*($Z$3/1000)/100,1)</f>
        <v/>
      </c>
      <c r="J124">
        <f>((Inputs!$B$6*(1+Inputs!$B$7/100))+(((Inputs!$B$13*(1+(Inputs!$B$14+1)/100))-(Inputs!$B$13*(1+Inputs!$B$14/100)))+0.25*(Inputs!$B$15-Inputs!$B$15))*(1+Inputs!$B$7/100))*(F124/100)</f>
        <v/>
      </c>
      <c r="K124">
        <f>J124*(1+(((Inputs!$B$13+IF(Inputs!$B$3&gt;=35,(10*INDEX(FactorTable!$B$2:$Y$301,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8="TRIUMPH_FEATHER",IF(C132=TRUE,F132,0),0)/100)*(1+IF(C143=TRUE,F143,0)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124)</f>
        <v/>
      </c>
      <c r="L124">
        <f>K124*(MIN(Inputs!$B$23+(F138-Calc!F22),(Inputs!$B$24+IF(ArtifactsInput!$M$15,CHOOSE(ArtifactsInput!$N$15+1,25,30,35,40,45,50)/100*(Inputs!$B$12-Inputs!$B$12),0)))/100+(Inputs!$B$24+IF(ArtifactsInput!$M$15,CHOOSE(ArtifactsInput!$N$15+1,25,30,35,40,45,50)/100*(Inputs!$B$12-Inputs!$B$12),0))/100)/2</f>
        <v/>
      </c>
      <c r="M124">
        <f>L124*(1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IF(B158=0,0,O124/B158)</f>
        <v/>
      </c>
      <c r="Q124">
        <f>IFERROR(1/(IF(Inputs!$B$39="pvp",15,MAX(0.1,Skills!D8-IF(Skills!E8=TRUE,Inputs!$B$33,0)))*(1-IF(AND(ArtifactsInput!$M$27,Inputs!$B$4="Chapter Hunt"),CHOOSE(ArtifactsInput!$N$27+1,20,24,28,32,36,40),0)/100)),0)</f>
        <v/>
      </c>
      <c r="R124">
        <f>IF(AND(Inputs!$B$39&lt;&gt;"pvp",Inputs!$B$44&gt;0),IF(MAX(0,Inputs!$B$44-B155)&lt;=0,0,(INT(MAX(0,Inputs!$B$44-B155)/(IF(Inputs!$B$39="pvp",15,MAX(0.1,Skills!D8-IF(Skills!E8=TRUE,Inputs!$B$33,0)))*(1-IF(AND(ArtifactsInput!$M$27,Inputs!$B$4="Chapter Hunt"),CHOOSE(ArtifactsInput!$N$27+1,20,24,28,32,36,40),0)/100)))+1)),0)</f>
        <v/>
      </c>
      <c r="S124">
        <f>IF(C124,(H124*N124*IF(AND(Inputs!$B$39&lt;&gt;"pvp",Inputs!$B$44&gt;0),((Skills!F8*((R124-1)*IF(Skills!G8&gt;0,Skills!H8/Skills!G8,1)+IF(Skills!G8&gt;0,MIN(Skills!H8,MAX(0,MAX(0,Inputs!$B$44-B155)-((R124-1)*(IF(Inputs!$B$39="pvp",15,MAX(0.1,Skills!D8-IF(Skills!E8=TRUE,Inputs!$B$33,0)))*(1-IF(AND(ArtifactsInput!$M$27,Inputs!$B$4="Chapter Hunt"),CHOOSE(ArtifactsInput!$N$27+1,20,24,28,32,36,40),0)/100)))))/Skills!G8,1)))/Inputs!$B$44),G124*Q124))*IF(Inputs!$B$39="pvp",1,1+(Inputs!$B$21+Skills!O8+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F(C124,(H124*N124*IF(AND(Inputs!$B$39&lt;&gt;"pvp",Inputs!$B$44&gt;0),((Skills!F8*((R124-1)*IF(Skills!G8&gt;0,Skills!H8/Skills!G8,1)+IF(Skills!G8&gt;0,MIN(Skills!H8,MAX(0,MAX(0,Inputs!$B$44-B155)-((R124-1)*(IF(Inputs!$B$39="pvp",15,MAX(0.1,Skills!D8-IF(Skills!E8=TRUE,Inputs!$B$33,0)))*(1-IF(AND(ArtifactsInput!$M$27,Inputs!$B$4="Chapter Hunt"),CHOOSE(ArtifactsInput!$N$27+1,20,24,28,32,36,40),0)/100)))))/Skills!G8,1)))/Inputs!$B$44),G124*Q124))*IF(Inputs!$B$39="pvp",1,(1+(Inputs!$B$22+Skills!P8+B147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Skills!A9</f>
        <v/>
      </c>
      <c r="B125">
        <f>Skills!B9</f>
        <v/>
      </c>
      <c r="C125">
        <f>Inputs!$B$3&gt;=115</f>
        <v/>
      </c>
      <c r="D125">
        <f>IF(Skills!C9=1,60+Inputs!$B$26+Inputs!$B$30,IF(Skills!C9=2,90+Inputs!$B$27+Inputs!$B$30,IF(Skills!C9=3,120+Inputs!$B$28+Inputs!$B$30,MAX(0,(Inputs!$B$3-100)*3)+Inputs!$B$29+Inputs!$B$30)))</f>
        <v/>
      </c>
      <c r="E125">
        <f>INDEX(FactorTable!$B$2:$Y$301, MATCH(ROUND(MIN(300,MAX(1,D125)),0), FactorTable!$A$2:$A$301,0), Skills!L9+1)</f>
        <v/>
      </c>
      <c r="F125">
        <f>IF(Skills!M9=TRUE,(Skills!K9/10)*(E125/1000),Skills!K9/10)+Skills!N9</f>
        <v/>
      </c>
      <c r="G125">
        <f>Calc!G9</f>
        <v/>
      </c>
      <c r="H125">
        <f>Calc!H9</f>
        <v/>
      </c>
      <c r="I125">
        <f>IF(Skills!T9&lt;&gt;"",1+(Skills!T9/10)*($Z$3/1000)/100,1)</f>
        <v/>
      </c>
      <c r="J125">
        <f>((Inputs!$B$6*(1+Inputs!$B$7/100))+(((Inputs!$B$13*(1+(Inputs!$B$14+1)/100))-(Inputs!$B$13*(1+Inputs!$B$14/100)))+0.25*(Inputs!$B$15-Inputs!$B$15))*(1+Inputs!$B$7/100))*(F125/100)</f>
        <v/>
      </c>
      <c r="K125">
        <f>J125*(1+(((Inputs!$B$13+IF(Inputs!$B$3&gt;=35,(10*INDEX(FactorTable!$B$2:$Y$301,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9="TRIUMPH_FEATHER",IF(C132=TRUE,F132,0),0)/100)*(1+IF(C143=TRUE,F143,0)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125)</f>
        <v/>
      </c>
      <c r="L125">
        <f>K125*(MIN(Inputs!$B$23+(F138-Calc!F22),(Inputs!$B$24+IF(ArtifactsInput!$M$15,CHOOSE(ArtifactsInput!$N$15+1,25,30,35,40,45,50)/100*(Inputs!$B$12-Inputs!$B$12),0)))/100+(Inputs!$B$24+IF(ArtifactsInput!$M$15,CHOOSE(ArtifactsInput!$N$15+1,25,30,35,40,45,50)/100*(Inputs!$B$12-Inputs!$B$12),0))/100)/2</f>
        <v/>
      </c>
      <c r="M125">
        <f>L125*(1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IF(B158=0,0,O125/B158)</f>
        <v/>
      </c>
      <c r="Q125">
        <f>IFERROR(1/(IF(Inputs!$B$39="pvp",15,MAX(0.1,Skills!D9-IF(Skills!E9=TRUE,Inputs!$B$33,0)))*(1-IF(AND(ArtifactsInput!$M$27,Inputs!$B$4="Chapter Hunt"),CHOOSE(ArtifactsInput!$N$27+1,20,24,28,32,36,40),0)/100)),0)</f>
        <v/>
      </c>
      <c r="R125">
        <f>IF(AND(Inputs!$B$39&lt;&gt;"pvp",Inputs!$B$44&gt;0),IF(MAX(0,Inputs!$B$44-B155)&lt;=0,0,(INT(MAX(0,Inputs!$B$44-B155)/(IF(Inputs!$B$39="pvp",15,MAX(0.1,Skills!D9-IF(Skills!E9=TRUE,Inputs!$B$33,0)))*(1-IF(AND(ArtifactsInput!$M$27,Inputs!$B$4="Chapter Hunt"),CHOOSE(ArtifactsInput!$N$27+1,20,24,28,32,36,40),0)/100)))+1)),0)</f>
        <v/>
      </c>
      <c r="S125">
        <f>IF(C125,(H125*N125*IF(AND(Inputs!$B$39&lt;&gt;"pvp",Inputs!$B$44&gt;0),((Skills!F9*((R125-1)*IF(Skills!G9&gt;0,Skills!H9/Skills!G9,1)+IF(Skills!G9&gt;0,MIN(Skills!H9,MAX(0,MAX(0,Inputs!$B$44-B155)-((R125-1)*(IF(Inputs!$B$39="pvp",15,MAX(0.1,Skills!D9-IF(Skills!E9=TRUE,Inputs!$B$33,0)))*(1-IF(AND(ArtifactsInput!$M$27,Inputs!$B$4="Chapter Hunt"),CHOOSE(ArtifactsInput!$N$27+1,20,24,28,32,36,40),0)/100)))))/Skills!G9,1)))/Inputs!$B$44),G125*Q125))*IF(Inputs!$B$39="pvp",1,1+(Inputs!$B$21+Skills!O9+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9*((R125-1)*IF(Skills!G9&gt;0,Skills!H9/Skills!G9,1)+IF(Skills!G9&gt;0,MIN(Skills!H9,MAX(0,MAX(0,Inputs!$B$44-B155)-((R125-1)*(IF(Inputs!$B$39="pvp",15,MAX(0.1,Skills!D9-IF(Skills!E9=TRUE,Inputs!$B$33,0)))*(1-IF(AND(ArtifactsInput!$M$27,Inputs!$B$4="Chapter Hunt"),CHOOSE(ArtifactsInput!$N$27+1,20,24,28,32,36,40),0)/100)))))/Skills!G9,1)))/Inputs!$B$44),G125*Q125))*IF(Inputs!$B$39="pvp",1,(1+(Inputs!$B$22+Skills!P9+B147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Skills!A10</f>
        <v/>
      </c>
      <c r="B126">
        <f>Skills!B10</f>
        <v/>
      </c>
      <c r="C126">
        <f>Inputs!$B$3&gt;=66</f>
        <v/>
      </c>
      <c r="D126">
        <f>IF(Skills!C10=1,60+Inputs!$B$26+Inputs!$B$30,IF(Skills!C10=2,90+Inputs!$B$27+Inputs!$B$30,IF(Skills!C10=3,120+Inputs!$B$28+Inputs!$B$30,MAX(0,(Inputs!$B$3-100)*3)+Inputs!$B$29+Inputs!$B$30)))</f>
        <v/>
      </c>
      <c r="E126">
        <f>INDEX(FactorTable!$B$2:$Y$301, MATCH(ROUND(MIN(300,MAX(1,D126)),0), FactorTable!$A$2:$A$301,0), Skills!L10+1)</f>
        <v/>
      </c>
      <c r="F126" t="n">
        <v>0</v>
      </c>
      <c r="G126">
        <f>Calc!G10</f>
        <v/>
      </c>
      <c r="H126">
        <f>Calc!H10</f>
        <v/>
      </c>
      <c r="I126">
        <f>IF(Skills!T10&lt;&gt;"",1+(Skills!T10/10)*($Z$3/1000)/100,1)</f>
        <v/>
      </c>
      <c r="J126" t="inlineStr"/>
      <c r="K126" t="inlineStr"/>
      <c r="L126" t="inlineStr"/>
      <c r="M126" t="inlineStr"/>
      <c r="N126" t="inlineStr"/>
      <c r="O126">
        <f>(1-Summary!$B$11)*S126+Summary!$B$11*U126</f>
        <v/>
      </c>
      <c r="P126">
        <f>IF(B158=0,0,O126/B158)</f>
        <v/>
      </c>
      <c r="Q126">
        <f>IFERROR(1/(IF(Inputs!$B$39="pvp",15,MAX(0.1,Skills!D10-IF(Skills!E10=TRUE,Inputs!$B$33,0)))*(1-IF(AND(ArtifactsInput!$M$27,Inputs!$B$4="Chapter Hunt"),CHOOSE(ArtifactsInput!$N$27+1,20,24,28,32,36,40),0)/100)),0)</f>
        <v/>
      </c>
      <c r="R126">
        <f>IF(AND(Inputs!$B$39&lt;&gt;"pvp",Inputs!$B$44&gt;0),IF(MAX(0,Inputs!$B$44-B155)&lt;=0,0,(INT(MAX(0,Inputs!$B$44-B155)/(IF(Inputs!$B$39="pvp",15,MAX(0.1,Skills!D10-IF(Skills!E10=TRUE,Inputs!$B$33,0)))*(1-IF(AND(ArtifactsInput!$M$27,Inputs!$B$4="Chapter Hunt"),CHOOSE(ArtifactsInput!$N$27+1,20,24,28,32,36,40),0)/100)))+1)),0)</f>
        <v/>
      </c>
      <c r="S126" t="n">
        <v>0</v>
      </c>
      <c r="U126" t="n">
        <v>0</v>
      </c>
    </row>
    <row r="127">
      <c r="A127">
        <f>Skills!A11</f>
        <v/>
      </c>
      <c r="B127">
        <f>Skills!B11</f>
        <v/>
      </c>
      <c r="C127">
        <f>Inputs!$B$3&gt;=69</f>
        <v/>
      </c>
      <c r="D127">
        <f>IF(Skills!C11=1,60+Inputs!$B$26+Inputs!$B$30,IF(Skills!C11=2,90+Inputs!$B$27+Inputs!$B$30,IF(Skills!C11=3,120+Inputs!$B$28+Inputs!$B$30,MAX(0,(Inputs!$B$3-100)*3)+Inputs!$B$29+Inputs!$B$30)))</f>
        <v/>
      </c>
      <c r="E127">
        <f>INDEX(FactorTable!$B$2:$Y$301, MATCH(ROUND(MIN(300,MAX(1,D127)),0), FactorTable!$A$2:$A$301,0), Skills!L11+1)</f>
        <v/>
      </c>
      <c r="F127">
        <f>IF(Skills!M11=TRUE,(Skills!K11/10)*(E127/1000),Skills!K11/10)+Skills!N11</f>
        <v/>
      </c>
      <c r="G127">
        <f>Calc!G11</f>
        <v/>
      </c>
      <c r="H127">
        <f>Calc!H11</f>
        <v/>
      </c>
      <c r="I127">
        <f>IF(Skills!T11&lt;&gt;"",1+(Skills!T11/10)*($Z$3/1000)/100,1)</f>
        <v/>
      </c>
      <c r="J127" t="inlineStr"/>
      <c r="K127" t="inlineStr"/>
      <c r="L127" t="inlineStr"/>
      <c r="M127" t="inlineStr"/>
      <c r="N127" t="inlineStr"/>
      <c r="O127">
        <f>(1-Summary!$B$11)*S127+Summary!$B$11*U127</f>
        <v/>
      </c>
      <c r="P127">
        <f>IF(B158=0,0,O127/B158)</f>
        <v/>
      </c>
      <c r="Q127">
        <f>IFERROR(1/(IF(Inputs!$B$39="pvp",15,MAX(0.1,Skills!D11-IF(Skills!E11=TRUE,Inputs!$B$33,0)))*(1-IF(AND(ArtifactsInput!$M$27,Inputs!$B$4="Chapter Hunt"),CHOOSE(ArtifactsInput!$N$27+1,20,24,28,32,36,40),0)/100)),0)</f>
        <v/>
      </c>
      <c r="R127">
        <f>IF(AND(Inputs!$B$39&lt;&gt;"pvp",Inputs!$B$44&gt;0),IF(Inputs!$B$44&lt;=0,0,(INT(Inputs!$B$44/(IF(Inputs!$B$39="pvp",15,MAX(0.1,Skills!D11-IF(Skills!E11=TRUE,Inputs!$B$33,0)))*(1-IF(AND(ArtifactsInput!$M$27,Inputs!$B$4="Chapter Hunt"),CHOOSE(ArtifactsInput!$N$27+1,20,24,28,32,36,40),0)/100)))+1)),0)</f>
        <v/>
      </c>
      <c r="S127" t="n">
        <v>0</v>
      </c>
      <c r="U127" t="n">
        <v>0</v>
      </c>
    </row>
    <row r="128">
      <c r="A128">
        <f>Skills!A12</f>
        <v/>
      </c>
      <c r="B128">
        <f>Skills!B12</f>
        <v/>
      </c>
      <c r="C128">
        <f>Inputs!$B$3&gt;=72</f>
        <v/>
      </c>
      <c r="D128">
        <f>IF(Skills!C12=1,60+Inputs!$B$26+Inputs!$B$30,IF(Skills!C12=2,90+Inputs!$B$27+Inputs!$B$30,IF(Skills!C12=3,120+Inputs!$B$28+Inputs!$B$30,MAX(0,(Inputs!$B$3-100)*3)+Inputs!$B$29+Inputs!$B$30)))</f>
        <v/>
      </c>
      <c r="E128">
        <f>INDEX(FactorTable!$B$2:$Y$301, MATCH(ROUND(MIN(300,MAX(1,D128)),0), FactorTable!$A$2:$A$301,0), Skills!L12+1)</f>
        <v/>
      </c>
      <c r="F128">
        <f>IF(Skills!M12=TRUE,(Skills!K12/10)*(E128/1000),Skills!K12/10)+Skills!N12</f>
        <v/>
      </c>
      <c r="G128">
        <f>Calc!G12</f>
        <v/>
      </c>
      <c r="H128">
        <f>Calc!H12</f>
        <v/>
      </c>
      <c r="I128">
        <f>IF(Skills!T12&lt;&gt;"",1+(Skills!T12/10)*($Z$3/1000)/100,1)</f>
        <v/>
      </c>
      <c r="J128" t="inlineStr"/>
      <c r="K128" t="inlineStr"/>
      <c r="L128" t="inlineStr"/>
      <c r="M128" t="inlineStr"/>
      <c r="N128" t="inlineStr"/>
      <c r="O128">
        <f>(1-Summary!$B$11)*S128+Summary!$B$11*U128</f>
        <v/>
      </c>
      <c r="P128">
        <f>IF(B158=0,0,O128/B158)</f>
        <v/>
      </c>
      <c r="Q128">
        <f>IFERROR(1/(IF(Inputs!$B$39="pvp",15,MAX(0.1,Skills!D12-IF(Skills!E12=TRUE,Inputs!$B$33,0)))*(1-IF(AND(ArtifactsInput!$M$27,Inputs!$B$4="Chapter Hunt"),CHOOSE(ArtifactsInput!$N$27+1,20,24,28,32,36,40),0)/100)),0)</f>
        <v/>
      </c>
      <c r="R128">
        <f>IF(AND(Inputs!$B$39&lt;&gt;"pvp",Inputs!$B$44&gt;0),IF(MAX(0,Inputs!$B$44-B155)&lt;=0,0,(INT(MAX(0,Inputs!$B$44-B155)/(IF(Inputs!$B$39="pvp",15,MAX(0.1,Skills!D12-IF(Skills!E12=TRUE,Inputs!$B$33,0)))*(1-IF(AND(ArtifactsInput!$M$27,Inputs!$B$4="Chapter Hunt"),CHOOSE(ArtifactsInput!$N$27+1,20,24,28,32,36,40),0)/100)))+1)),0)</f>
        <v/>
      </c>
      <c r="S128" t="n">
        <v>0</v>
      </c>
      <c r="U128" t="n">
        <v>0</v>
      </c>
    </row>
    <row r="129">
      <c r="A129">
        <f>Skills!A13</f>
        <v/>
      </c>
      <c r="B129">
        <f>Skills!B13</f>
        <v/>
      </c>
      <c r="C129">
        <f>Inputs!$B$3&gt;=60</f>
        <v/>
      </c>
      <c r="D129">
        <f>IF(Skills!C13=1,60+Inputs!$B$26+Inputs!$B$30,IF(Skills!C13=2,90+Inputs!$B$27+Inputs!$B$30,IF(Skills!C13=3,120+Inputs!$B$28+Inputs!$B$30,MAX(0,(Inputs!$B$3-100)*3)+Inputs!$B$29+Inputs!$B$30)))</f>
        <v/>
      </c>
      <c r="E129">
        <f>INDEX(FactorTable!$B$2:$Y$301, MATCH(ROUND(MIN(300,MAX(1,D129)),0), FactorTable!$A$2:$A$301,0), Skills!L13+1)</f>
        <v/>
      </c>
      <c r="F129">
        <f>IF(Skills!M13=TRUE,(Skills!K13/10)*(E129/1000),Skills!K13/10)+Skills!N13</f>
        <v/>
      </c>
      <c r="G129">
        <f>Calc!G13</f>
        <v/>
      </c>
      <c r="H129">
        <f>Calc!H13</f>
        <v/>
      </c>
      <c r="I129">
        <f>IF(Skills!T13&lt;&gt;"",1+(Skills!T13/10)*($Z$3/1000)/100,1)</f>
        <v/>
      </c>
      <c r="J129" t="inlineStr"/>
      <c r="K129" t="inlineStr"/>
      <c r="L129" t="inlineStr"/>
      <c r="M129" t="inlineStr"/>
      <c r="N129" t="inlineStr"/>
      <c r="O129">
        <f>(1-Summary!$B$11)*S129+Summary!$B$11*U129</f>
        <v/>
      </c>
      <c r="P129">
        <f>IF(B158=0,0,O129/B158)</f>
        <v/>
      </c>
      <c r="Q129">
        <f>IFERROR(1/(IF(Inputs!$B$39="pvp",15,MAX(0.1,Skills!D13-IF(Skills!E13=TRUE,Inputs!$B$33,0)))*(1-IF(AND(ArtifactsInput!$M$27,Inputs!$B$4="Chapter Hunt"),CHOOSE(ArtifactsInput!$N$27+1,20,24,28,32,36,40),0)/100)),0)</f>
        <v/>
      </c>
      <c r="R129">
        <f>IF(AND(Inputs!$B$39&lt;&gt;"pvp",Inputs!$B$44&gt;0),IF(MAX(0,Inputs!$B$44-B155)&lt;=0,0,(INT(MAX(0,Inputs!$B$44-B155)/(IF(Inputs!$B$39="pvp",15,MAX(0.1,Skills!D13-IF(Skills!E13=TRUE,Inputs!$B$33,0)))*(1-IF(AND(ArtifactsInput!$M$27,Inputs!$B$4="Chapter Hunt"),CHOOSE(ArtifactsInput!$N$27+1,20,24,28,32,36,40),0)/100)))+1)),0)</f>
        <v/>
      </c>
      <c r="S129" t="n">
        <v>0</v>
      </c>
      <c r="U129" t="n">
        <v>0</v>
      </c>
    </row>
    <row r="130">
      <c r="A130">
        <f>Skills!A14</f>
        <v/>
      </c>
      <c r="B130">
        <f>Skills!B14</f>
        <v/>
      </c>
      <c r="C130">
        <f>Inputs!$B$3&gt;=107</f>
        <v/>
      </c>
      <c r="D130">
        <f>IF(Skills!C14=1,60+Inputs!$B$26+Inputs!$B$30,IF(Skills!C14=2,90+Inputs!$B$27+Inputs!$B$30,IF(Skills!C14=3,120+Inputs!$B$28+Inputs!$B$30,MAX(0,(Inputs!$B$3-100)*3)+Inputs!$B$29+Inputs!$B$30)))</f>
        <v/>
      </c>
      <c r="E130">
        <f>INDEX(FactorTable!$B$2:$Y$301, MATCH(ROUND(MIN(300,MAX(1,D130)),0), FactorTable!$A$2:$A$301,0), Skills!L14+1)</f>
        <v/>
      </c>
      <c r="F130">
        <f>IF(Skills!M14=TRUE,(Skills!K14/10)*(E130/1000),Skills!K14/10)+Skills!N14</f>
        <v/>
      </c>
      <c r="G130">
        <f>Calc!G14</f>
        <v/>
      </c>
      <c r="H130">
        <f>Calc!H14</f>
        <v/>
      </c>
      <c r="I130">
        <f>IF(Skills!T14&lt;&gt;"",1+(Skills!T14/10)*($Z$3/1000)/100,1)</f>
        <v/>
      </c>
      <c r="J130" t="inlineStr"/>
      <c r="K130" t="inlineStr"/>
      <c r="L130" t="inlineStr"/>
      <c r="M130" t="inlineStr"/>
      <c r="N130" t="inlineStr"/>
      <c r="O130">
        <f>(1-Summary!$B$11)*S130+Summary!$B$11*U130</f>
        <v/>
      </c>
      <c r="P130">
        <f>IF(B158=0,0,O130/B158)</f>
        <v/>
      </c>
      <c r="Q130">
        <f>IFERROR(1/(IF(Inputs!$B$39="pvp",15,MAX(0.1,Skills!D14-IF(Skills!E14=TRUE,Inputs!$B$33,0)))*(1-IF(AND(ArtifactsInput!$M$27,Inputs!$B$4="Chapter Hunt"),CHOOSE(ArtifactsInput!$N$27+1,20,24,28,32,36,40),0)/100)),0)</f>
        <v/>
      </c>
      <c r="R130">
        <f>IF(AND(Inputs!$B$39&lt;&gt;"pvp",Inputs!$B$44&gt;0),IF(Inputs!$B$44&lt;=0,0,(INT(Inputs!$B$44/(IF(Inputs!$B$39="pvp",15,MAX(0.1,Skills!D14-IF(Skills!E14=TRUE,Inputs!$B$33,0)))*(1-IF(AND(ArtifactsInput!$M$27,Inputs!$B$4="Chapter Hunt"),CHOOSE(ArtifactsInput!$N$27+1,20,24,28,32,36,40),0)/100)))+1)),0)</f>
        <v/>
      </c>
      <c r="S130" t="n">
        <v>0</v>
      </c>
      <c r="U130" t="n">
        <v>0</v>
      </c>
    </row>
    <row r="131">
      <c r="A131">
        <f>Skills!A15</f>
        <v/>
      </c>
      <c r="B131">
        <f>Skills!B15</f>
        <v/>
      </c>
      <c r="C131">
        <f>Inputs!$B$3&gt;=63</f>
        <v/>
      </c>
      <c r="D131">
        <f>IF(Skills!C15=1,60+Inputs!$B$26+Inputs!$B$30,IF(Skills!C15=2,90+Inputs!$B$27+Inputs!$B$30,IF(Skills!C15=3,120+Inputs!$B$28+Inputs!$B$30,MAX(0,(Inputs!$B$3-100)*3)+Inputs!$B$29+Inputs!$B$30)))</f>
        <v/>
      </c>
      <c r="E131">
        <f>INDEX(FactorTable!$B$2:$Y$301, MATCH(ROUND(MIN(300,MAX(1,D131)),0), FactorTable!$A$2:$A$301,0), Skills!L15+1)</f>
        <v/>
      </c>
      <c r="F131">
        <f>IF(Skills!M15=TRUE,(Skills!K15/10)*(E131/1000),Skills!K15/10)+Skills!N15</f>
        <v/>
      </c>
      <c r="G131">
        <f>Calc!G15</f>
        <v/>
      </c>
      <c r="H131">
        <f>Calc!H15</f>
        <v/>
      </c>
      <c r="I131">
        <f>IF(Skills!T15&lt;&gt;"",1+(Skills!T15/10)*($Z$3/1000)/100,1)</f>
        <v/>
      </c>
      <c r="J131">
        <f>((Inputs!$B$6*(1+Inputs!$B$7/100))+(((Inputs!$B$13*(1+(Inputs!$B$14+1)/100))-(Inputs!$B$13*(1+Inputs!$B$14/100)))+0.25*(Inputs!$B$15-Inputs!$B$15))*(1+Inputs!$B$7/100))*(F131/100)</f>
        <v/>
      </c>
      <c r="K131">
        <f>J131*(1+(((Inputs!$B$13+IF(Inputs!$B$3&gt;=35,(10*INDEX(FactorTable!$B$2:$Y$301,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15="TRIUMPH_FEATHER",IF(C132=TRUE,F132,0),0)/100)*(1+IF(C143=TRUE,F143,0)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131)</f>
        <v/>
      </c>
      <c r="L131">
        <f>K131*(MIN(Inputs!$B$23+(F138-Calc!F22),(Inputs!$B$24+IF(ArtifactsInput!$M$15,CHOOSE(ArtifactsInput!$N$15+1,25,30,35,40,45,50)/100*(Inputs!$B$12-Inputs!$B$12),0)))/100+(Inputs!$B$24+IF(ArtifactsInput!$M$15,CHOOSE(ArtifactsInput!$N$15+1,25,30,35,40,45,50)/100*(Inputs!$B$12-Inputs!$B$12),0))/100)/2</f>
        <v/>
      </c>
      <c r="M131">
        <f>L131*(1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
        <f>L131*(1-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(1-Summary!$B$11)*S131+Summary!$B$11*U131</f>
        <v/>
      </c>
      <c r="P131">
        <f>IF(B158=0,0,O131/B158)</f>
        <v/>
      </c>
      <c r="Q131">
        <f>IFERROR(1/(IF(Inputs!$B$39="pvp",15,MAX(0.1,Skills!D15-IF(Skills!E15=TRUE,Inputs!$B$33,0)))*(1-IF(AND(ArtifactsInput!$M$27,Inputs!$B$4="Chapter Hunt"),CHOOSE(ArtifactsInput!$N$27+1,20,24,28,32,36,40),0)/100)),0)</f>
        <v/>
      </c>
      <c r="R131" t="n">
        <v>0</v>
      </c>
      <c r="S131">
        <f>IF(C131,(Skills!F15*N131*((IF(Inputs!$B$3&gt;=78,25,15)/100*B151*10)/(1+IF(Inputs!$B$3&gt;=78,25,15)/100*B151*10))*(Skills!I15/100*B151)/(1+Skills!G15*Skills!I15/100*B151))*IF(Inputs!$B$39="pvp",1,1+(Inputs!$B$21+Skills!O15+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
        <f>IF(C131,(Skills!F15*N131*((IF(Inputs!$B$3&gt;=78,25,15)/100*B151*10)/(1+IF(Inputs!$B$3&gt;=78,25,15)/100*B151*10))*(Skills!I15/100*B151)/(1+Skills!G15*Skills!I15/100*B151))*IF(Inputs!$B$39="pvp",1,(1+(Inputs!$B$22+Skills!P15+B147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Skills!A16</f>
        <v/>
      </c>
      <c r="B132">
        <f>Skills!B16</f>
        <v/>
      </c>
      <c r="C132">
        <f>Inputs!$B$3&gt;=100</f>
        <v/>
      </c>
      <c r="D132">
        <f>IF(Skills!C16=1,60+Inputs!$B$26+Inputs!$B$30,IF(Skills!C16=2,90+Inputs!$B$27+Inputs!$B$30,IF(Skills!C16=3,120+Inputs!$B$28+Inputs!$B$30,MAX(0,(Inputs!$B$3-100)*3)+Inputs!$B$29+Inputs!$B$30)))</f>
        <v/>
      </c>
      <c r="E132">
        <f>INDEX(FactorTable!$B$2:$Y$301, MATCH(ROUND(MIN(300,MAX(1,D132)),0), FactorTable!$A$2:$A$301,0), Skills!L16+1)</f>
        <v/>
      </c>
      <c r="F132">
        <f>IF(Skills!M16=TRUE,(Skills!K16/10)*(E132/1000),Skills!K16/10)+Skills!N16</f>
        <v/>
      </c>
      <c r="G132">
        <f>Calc!G16</f>
        <v/>
      </c>
      <c r="H132">
        <f>Calc!H16</f>
        <v/>
      </c>
      <c r="I132">
        <f>IF(Skills!T16&lt;&gt;"",1+(Skills!T16/10)*($Z$3/1000)/100,1)</f>
        <v/>
      </c>
      <c r="J132" t="inlineStr"/>
      <c r="K132" t="inlineStr"/>
      <c r="L132" t="inlineStr"/>
      <c r="M132" t="inlineStr"/>
      <c r="N132" t="inlineStr"/>
      <c r="O132">
        <f>(1-Summary!$B$11)*S132+Summary!$B$11*U132</f>
        <v/>
      </c>
      <c r="P132">
        <f>IF(B158=0,0,O132/B158)</f>
        <v/>
      </c>
      <c r="Q132">
        <f>IFERROR(1/(IF(Inputs!$B$39="pvp",15,MAX(0.1,Skills!D16-IF(Skills!E16=TRUE,Inputs!$B$33,0)))*(1-IF(AND(ArtifactsInput!$M$27,Inputs!$B$4="Chapter Hunt"),CHOOSE(ArtifactsInput!$N$27+1,20,24,28,32,36,40),0)/100)),0)</f>
        <v/>
      </c>
      <c r="R132" t="n">
        <v>0</v>
      </c>
      <c r="S132" t="n">
        <v>0</v>
      </c>
      <c r="U132" t="n">
        <v>0</v>
      </c>
    </row>
    <row r="133">
      <c r="A133">
        <f>Skills!A17</f>
        <v/>
      </c>
      <c r="B133">
        <f>Skills!B17</f>
        <v/>
      </c>
      <c r="C133">
        <f>Inputs!$B$3&gt;=49</f>
        <v/>
      </c>
      <c r="D133">
        <f>IF(Skills!C17=1,60+Inputs!$B$26+Inputs!$B$30,IF(Skills!C17=2,90+Inputs!$B$27+Inputs!$B$30,IF(Skills!C17=3,120+Inputs!$B$28+Inputs!$B$30,MAX(0,(Inputs!$B$3-100)*3)+Inputs!$B$29+Inputs!$B$30)))</f>
        <v/>
      </c>
      <c r="E133">
        <f>INDEX(FactorTable!$B$2:$Y$301, MATCH(ROUND(MIN(300,MAX(1,D133)),0), FactorTable!$A$2:$A$301,0), Skills!L17+1)</f>
        <v/>
      </c>
      <c r="F133">
        <f>IF(Skills!M17=TRUE,(Skills!K17/10)*(E133/1000),Skills!K17/10)+Skills!N17</f>
        <v/>
      </c>
      <c r="G133">
        <f>Calc!G17</f>
        <v/>
      </c>
      <c r="H133">
        <f>Calc!H17</f>
        <v/>
      </c>
      <c r="I133">
        <f>IF(Skills!T17&lt;&gt;"",1+(Skills!T17/10)*($Z$3/1000)/100,1)</f>
        <v/>
      </c>
      <c r="J133" t="inlineStr"/>
      <c r="K133" t="inlineStr"/>
      <c r="L133" t="inlineStr"/>
      <c r="M133" t="inlineStr"/>
      <c r="N133" t="inlineStr"/>
      <c r="O133">
        <f>(1-Summary!$B$11)*S133+Summary!$B$11*U133</f>
        <v/>
      </c>
      <c r="P133">
        <f>IF(B158=0,0,O133/B158)</f>
        <v/>
      </c>
      <c r="Q133">
        <f>IFERROR(1/(IF(Inputs!$B$39="pvp",15,MAX(0.1,Skills!D17-IF(Skills!E17=TRUE,Inputs!$B$33,0)))*(1-IF(AND(ArtifactsInput!$M$27,Inputs!$B$4="Chapter Hunt"),CHOOSE(ArtifactsInput!$N$27+1,20,24,28,32,36,40),0)/100)),0)</f>
        <v/>
      </c>
      <c r="R133" t="n">
        <v>0</v>
      </c>
      <c r="S133" t="n">
        <v>0</v>
      </c>
      <c r="U133" t="n">
        <v>0</v>
      </c>
    </row>
    <row r="134">
      <c r="A134">
        <f>Skills!A18</f>
        <v/>
      </c>
      <c r="B134">
        <f>Skills!B18</f>
        <v/>
      </c>
      <c r="C134">
        <f>Inputs!$B$3&gt;=75</f>
        <v/>
      </c>
      <c r="D134">
        <f>IF(Skills!C18=1,60+Inputs!$B$26+Inputs!$B$30,IF(Skills!C18=2,90+Inputs!$B$27+Inputs!$B$30,IF(Skills!C18=3,120+Inputs!$B$28+Inputs!$B$30,MAX(0,(Inputs!$B$3-100)*3)+Inputs!$B$29+Inputs!$B$30)))</f>
        <v/>
      </c>
      <c r="E134">
        <f>INDEX(FactorTable!$B$2:$Y$301, MATCH(ROUND(MIN(300,MAX(1,D134)),0), FactorTable!$A$2:$A$301,0), Skills!L18+1)</f>
        <v/>
      </c>
      <c r="F134">
        <f>IF(Skills!M18=TRUE,(Skills!K18/10)*(E134/1000),Skills!K18/10)+Skills!N18</f>
        <v/>
      </c>
      <c r="G134">
        <f>Calc!G18</f>
        <v/>
      </c>
      <c r="H134">
        <f>Calc!H18</f>
        <v/>
      </c>
      <c r="I134">
        <f>IF(Skills!T18&lt;&gt;"",1+(Skills!T18/10)*($Z$3/1000)/100,1)</f>
        <v/>
      </c>
      <c r="J134" t="inlineStr"/>
      <c r="K134" t="inlineStr"/>
      <c r="L134" t="inlineStr"/>
      <c r="M134" t="inlineStr"/>
      <c r="N134" t="inlineStr"/>
      <c r="O134">
        <f>(1-Summary!$B$11)*S134+Summary!$B$11*U134</f>
        <v/>
      </c>
      <c r="P134">
        <f>IF(B158=0,0,O134/B158)</f>
        <v/>
      </c>
      <c r="Q134">
        <f>IFERROR(1/(IF(Inputs!$B$39="pvp",15,MAX(0.1,Skills!D18-IF(Skills!E18=TRUE,Inputs!$B$33,0)))*(1-IF(AND(ArtifactsInput!$M$27,Inputs!$B$4="Chapter Hunt"),CHOOSE(ArtifactsInput!$N$27+1,20,24,28,32,36,40),0)/100)),0)</f>
        <v/>
      </c>
      <c r="R134" t="n">
        <v>0</v>
      </c>
      <c r="S134" t="n">
        <v>0</v>
      </c>
      <c r="U134" t="n">
        <v>0</v>
      </c>
    </row>
    <row r="135">
      <c r="A135">
        <f>Skills!A19</f>
        <v/>
      </c>
      <c r="B135">
        <f>Skills!B19</f>
        <v/>
      </c>
      <c r="C135">
        <f>Inputs!$B$3&gt;=110</f>
        <v/>
      </c>
      <c r="D135">
        <f>IF(Skills!C19=1,60+Inputs!$B$26+Inputs!$B$30,IF(Skills!C19=2,90+Inputs!$B$27+Inputs!$B$30,IF(Skills!C19=3,120+Inputs!$B$28+Inputs!$B$30,MAX(0,(Inputs!$B$3-100)*3)+Inputs!$B$29+Inputs!$B$30)))</f>
        <v/>
      </c>
      <c r="E135">
        <f>INDEX(FactorTable!$B$2:$Y$301, MATCH(ROUND(MIN(300,MAX(1,D135)),0), FactorTable!$A$2:$A$301,0), Skills!L19+1)</f>
        <v/>
      </c>
      <c r="F135">
        <f>(Skills!K19/10)*(E135/1000)*64/45+Skills!N19</f>
        <v/>
      </c>
      <c r="G135">
        <f>Calc!G19</f>
        <v/>
      </c>
      <c r="H135">
        <f>Calc!H19</f>
        <v/>
      </c>
      <c r="I135">
        <f>IF(Skills!T19&lt;&gt;"",1+(Skills!T19/10)*($Z$3/1000)/100,1)</f>
        <v/>
      </c>
      <c r="J135" t="inlineStr"/>
      <c r="K135" t="inlineStr"/>
      <c r="L135" t="inlineStr"/>
      <c r="M135" t="inlineStr"/>
      <c r="N135" t="inlineStr"/>
      <c r="O135">
        <f>(1-Summary!$B$11)*S135+Summary!$B$11*U135</f>
        <v/>
      </c>
      <c r="P135">
        <f>IF(B158=0,0,O135/B158)</f>
        <v/>
      </c>
      <c r="Q135">
        <f>IFERROR(1/(IF(Inputs!$B$39="pvp",15,MAX(0.1,Skills!D19-IF(Skills!E19=TRUE,Inputs!$B$33,0)))*(1-IF(AND(ArtifactsInput!$M$27,Inputs!$B$4="Chapter Hunt"),CHOOSE(ArtifactsInput!$N$27+1,20,24,28,32,36,40),0)/100)),0)</f>
        <v/>
      </c>
      <c r="R135">
        <f>IF(AND(Inputs!$B$39&lt;&gt;"pvp",Inputs!$B$44&gt;0),IF(Inputs!$B$44&lt;=0,0,(INT(Inputs!$B$44/(IF(Inputs!$B$39="pvp",15,MAX(0.1,Skills!D19-IF(Skills!E19=TRUE,Inputs!$B$33,0)))*(1-IF(AND(ArtifactsInput!$M$27,Inputs!$B$4="Chapter Hunt"),CHOOSE(ArtifactsInput!$N$27+1,20,24,28,32,36,40),0)/100)))+1)),0)</f>
        <v/>
      </c>
      <c r="S135" t="n">
        <v>0</v>
      </c>
      <c r="U135" t="n">
        <v>0</v>
      </c>
    </row>
    <row r="136">
      <c r="A136">
        <f>Skills!A20</f>
        <v/>
      </c>
      <c r="B136">
        <f>Skills!B20</f>
        <v/>
      </c>
      <c r="C136">
        <f>Inputs!$B$3&gt;=125</f>
        <v/>
      </c>
      <c r="D136">
        <f>IF(Skills!C20=1,60+Inputs!$B$26+Inputs!$B$30,IF(Skills!C20=2,90+Inputs!$B$27+Inputs!$B$30,IF(Skills!C20=3,120+Inputs!$B$28+Inputs!$B$30,MAX(0,(Inputs!$B$3-100)*3)+Inputs!$B$29+Inputs!$B$30)))</f>
        <v/>
      </c>
      <c r="E136">
        <f>INDEX(FactorTable!$B$2:$Y$301, MATCH(ROUND(MIN(300,MAX(1,D136)),0), FactorTable!$A$2:$A$301,0), Skills!L20+1)</f>
        <v/>
      </c>
      <c r="F136">
        <f>IF(Skills!M20=TRUE,(Skills!K20/10)*(E136/1000),Skills!K20/10)+Skills!N20</f>
        <v/>
      </c>
      <c r="G136">
        <f>Calc!G20</f>
        <v/>
      </c>
      <c r="H136">
        <f>Calc!H20</f>
        <v/>
      </c>
      <c r="I136">
        <f>IF(Skills!T20&lt;&gt;"",1+(Skills!T20/10)*($Z$3/1000)/100,1)</f>
        <v/>
      </c>
      <c r="J136" t="inlineStr"/>
      <c r="K136" t="inlineStr"/>
      <c r="L136" t="inlineStr"/>
      <c r="M136" t="inlineStr"/>
      <c r="N136" t="inlineStr"/>
      <c r="O136">
        <f>(1-Summary!$B$11)*S136+Summary!$B$11*U136</f>
        <v/>
      </c>
      <c r="P136">
        <f>IF(B158=0,0,O136/B158)</f>
        <v/>
      </c>
      <c r="Q136">
        <f>IFERROR(1/(IF(Inputs!$B$39="pvp",15,MAX(0.1,Skills!D20-IF(Skills!E20=TRUE,Inputs!$B$33,0)))*(1-IF(AND(ArtifactsInput!$M$27,Inputs!$B$4="Chapter Hunt"),CHOOSE(ArtifactsInput!$N$27+1,20,24,28,32,36,40),0)/100)),0)</f>
        <v/>
      </c>
      <c r="R136" t="n">
        <v>0</v>
      </c>
      <c r="S136" t="n">
        <v>0</v>
      </c>
      <c r="U136" t="n">
        <v>0</v>
      </c>
    </row>
    <row r="137">
      <c r="A137">
        <f>Skills!A21</f>
        <v/>
      </c>
      <c r="B137">
        <f>Skills!B21</f>
        <v/>
      </c>
      <c r="C137">
        <f>Inputs!$B$3&gt;=33</f>
        <v/>
      </c>
      <c r="D137">
        <f>IF(Skills!C21=1,60+Inputs!$B$26+Inputs!$B$30,IF(Skills!C21=2,90+Inputs!$B$27+Inputs!$B$30,IF(Skills!C21=3,120+Inputs!$B$28+Inputs!$B$30,MAX(0,(Inputs!$B$3-100)*3)+Inputs!$B$29+Inputs!$B$30)))</f>
        <v/>
      </c>
      <c r="E137">
        <f>INDEX(FactorTable!$B$2:$Y$301, MATCH(ROUND(MIN(300,MAX(1,D137)),0), FactorTable!$A$2:$A$301,0), Skills!L21+1)</f>
        <v/>
      </c>
      <c r="F137">
        <f>IF(Skills!M21=TRUE,(Skills!K21/10)*(E137/1000),Skills!K21/10)+Skills!N21</f>
        <v/>
      </c>
      <c r="G137">
        <f>Calc!G21</f>
        <v/>
      </c>
      <c r="H137">
        <f>Calc!H21</f>
        <v/>
      </c>
      <c r="I137">
        <f>IF(Skills!T21&lt;&gt;"",1+(Skills!T21/10)*($Z$3/1000)/100,1)</f>
        <v/>
      </c>
      <c r="J137" t="inlineStr"/>
      <c r="K137" t="inlineStr"/>
      <c r="L137" t="inlineStr"/>
      <c r="M137" t="inlineStr"/>
      <c r="N137" t="inlineStr"/>
      <c r="O137">
        <f>(1-Summary!$B$11)*S137+Summary!$B$11*U137</f>
        <v/>
      </c>
      <c r="P137">
        <f>IF(B158=0,0,O137/B158)</f>
        <v/>
      </c>
      <c r="Q137">
        <f>IFERROR(1/(IF(Inputs!$B$39="pvp",15,MAX(0.1,Skills!D21-IF(Skills!E21=TRUE,Inputs!$B$33,0)))*(1-IF(AND(ArtifactsInput!$M$27,Inputs!$B$4="Chapter Hunt"),CHOOSE(ArtifactsInput!$N$27+1,20,24,28,32,36,40),0)/100)),0)</f>
        <v/>
      </c>
      <c r="R137" t="n">
        <v>0</v>
      </c>
      <c r="S137" t="n">
        <v>0</v>
      </c>
      <c r="U137" t="n">
        <v>0</v>
      </c>
    </row>
    <row r="138">
      <c r="A138">
        <f>Skills!A22</f>
        <v/>
      </c>
      <c r="B138">
        <f>Skills!B22</f>
        <v/>
      </c>
      <c r="C138">
        <f>Inputs!$B$3&gt;=43</f>
        <v/>
      </c>
      <c r="D138">
        <f>IF(Skills!C22=1,60+Inputs!$B$26+Inputs!$B$30,IF(Skills!C22=2,90+Inputs!$B$27+Inputs!$B$30,IF(Skills!C22=3,120+Inputs!$B$28+Inputs!$B$30,MAX(0,(Inputs!$B$3-100)*3)+Inputs!$B$29+Inputs!$B$30)))</f>
        <v/>
      </c>
      <c r="E138">
        <f>INDEX(FactorTable!$B$2:$Y$301, MATCH(ROUND(MIN(300,MAX(1,D138)),0), FactorTable!$A$2:$A$301,0), Skills!L22+1)</f>
        <v/>
      </c>
      <c r="F138">
        <f>IF(Skills!M22=TRUE,(Skills!K22/10)*(E138/1000),Skills!K22/10)+Skills!N22</f>
        <v/>
      </c>
      <c r="G138">
        <f>Calc!G22</f>
        <v/>
      </c>
      <c r="H138">
        <f>Calc!H22</f>
        <v/>
      </c>
      <c r="I138">
        <f>IF(Skills!T22&lt;&gt;"",1+(Skills!T22/10)*($Z$3/1000)/100,1)</f>
        <v/>
      </c>
      <c r="J138" t="inlineStr"/>
      <c r="K138" t="inlineStr"/>
      <c r="L138" t="inlineStr"/>
      <c r="M138" t="inlineStr"/>
      <c r="N138" t="inlineStr"/>
      <c r="O138">
        <f>(1-Summary!$B$11)*S138+Summary!$B$11*U138</f>
        <v/>
      </c>
      <c r="P138">
        <f>IF(B158=0,0,O138/B158)</f>
        <v/>
      </c>
      <c r="Q138">
        <f>IFERROR(1/(IF(Inputs!$B$39="pvp",15,MAX(0.1,Skills!D22-IF(Skills!E22=TRUE,Inputs!$B$33,0)))*(1-IF(AND(ArtifactsInput!$M$27,Inputs!$B$4="Chapter Hunt"),CHOOSE(ArtifactsInput!$N$27+1,20,24,28,32,36,40),0)/100)),0)</f>
        <v/>
      </c>
      <c r="R138" t="n">
        <v>0</v>
      </c>
      <c r="S138" t="n">
        <v>0</v>
      </c>
      <c r="U138" t="n">
        <v>0</v>
      </c>
    </row>
    <row r="139">
      <c r="A139">
        <f>Skills!A23</f>
        <v/>
      </c>
      <c r="B139">
        <f>Skills!B23</f>
        <v/>
      </c>
      <c r="C139">
        <f>Inputs!$B$3&gt;=50</f>
        <v/>
      </c>
      <c r="D139">
        <f>IF(Skills!C23=1,60+Inputs!$B$26+Inputs!$B$30,IF(Skills!C23=2,90+Inputs!$B$27+Inputs!$B$30,IF(Skills!C23=3,120+Inputs!$B$28+Inputs!$B$30,MAX(0,(Inputs!$B$3-100)*3)+Inputs!$B$29+Inputs!$B$30)))</f>
        <v/>
      </c>
      <c r="E139">
        <f>INDEX(FactorTable!$B$2:$Y$301, MATCH(ROUND(MIN(300,MAX(1,D139)),0), FactorTable!$A$2:$A$301,0), Skills!L23+1)</f>
        <v/>
      </c>
      <c r="F139">
        <f>IF(Skills!M23=TRUE,(Skills!K23/10)*(E139/1000),Skills!K23/10)+Skills!N23</f>
        <v/>
      </c>
      <c r="G139">
        <f>Calc!G23</f>
        <v/>
      </c>
      <c r="H139">
        <f>Calc!H23</f>
        <v/>
      </c>
      <c r="I139">
        <f>IF(Skills!T23&lt;&gt;"",1+(Skills!T23/10)*($Z$3/1000)/100,1)</f>
        <v/>
      </c>
      <c r="J139" t="inlineStr"/>
      <c r="K139" t="inlineStr"/>
      <c r="L139" t="inlineStr"/>
      <c r="M139" t="inlineStr"/>
      <c r="N139" t="inlineStr"/>
      <c r="O139">
        <f>(1-Summary!$B$11)*S139+Summary!$B$11*U139</f>
        <v/>
      </c>
      <c r="P139">
        <f>IF(B158=0,0,O139/B158)</f>
        <v/>
      </c>
      <c r="Q139">
        <f>IFERROR(1/(IF(Inputs!$B$39="pvp",15,MAX(0.1,Skills!D23-IF(Skills!E23=TRUE,Inputs!$B$33,0)))*(1-IF(AND(ArtifactsInput!$M$27,Inputs!$B$4="Chapter Hunt"),CHOOSE(ArtifactsInput!$N$27+1,20,24,28,32,36,40),0)/100)),0)</f>
        <v/>
      </c>
      <c r="R139" t="n">
        <v>0</v>
      </c>
      <c r="S139" t="n">
        <v>0</v>
      </c>
      <c r="U139" t="n">
        <v>0</v>
      </c>
    </row>
    <row r="140">
      <c r="A140">
        <f>Skills!A24</f>
        <v/>
      </c>
      <c r="B140">
        <f>Skills!B24</f>
        <v/>
      </c>
      <c r="C140">
        <f>Inputs!$B$3&gt;=74</f>
        <v/>
      </c>
      <c r="D140">
        <f>IF(Skills!C24=1,60+Inputs!$B$26+Inputs!$B$30,IF(Skills!C24=2,90+Inputs!$B$27+Inputs!$B$30,IF(Skills!C24=3,120+Inputs!$B$28+Inputs!$B$30,MAX(0,(Inputs!$B$3-100)*3)+Inputs!$B$29+Inputs!$B$30)))</f>
        <v/>
      </c>
      <c r="E140">
        <f>INDEX(FactorTable!$B$2:$Y$301, MATCH(ROUND(MIN(300,MAX(1,D140)),0), FactorTable!$A$2:$A$301,0), Skills!L24+1)</f>
        <v/>
      </c>
      <c r="F140">
        <f>IF(Skills!M24=TRUE,(Skills!K24/10)*(E140/1000),Skills!K24/10)+Skills!N24</f>
        <v/>
      </c>
      <c r="G140">
        <f>Calc!G24</f>
        <v/>
      </c>
      <c r="H140">
        <f>Calc!H24</f>
        <v/>
      </c>
      <c r="I140">
        <f>IF(Skills!T24&lt;&gt;"",1+(Skills!T24/10)*($Z$3/1000)/100,1)</f>
        <v/>
      </c>
      <c r="J140" t="inlineStr"/>
      <c r="K140" t="inlineStr"/>
      <c r="L140" t="inlineStr"/>
      <c r="M140" t="inlineStr"/>
      <c r="N140" t="inlineStr"/>
      <c r="O140">
        <f>(1-Summary!$B$11)*S140+Summary!$B$11*U140</f>
        <v/>
      </c>
      <c r="P140">
        <f>IF(B158=0,0,O140/B158)</f>
        <v/>
      </c>
      <c r="Q140">
        <f>IFERROR(1/(IF(Inputs!$B$39="pvp",15,MAX(0.1,Skills!D24-IF(Skills!E24=TRUE,Inputs!$B$33,0)))*(1-IF(AND(ArtifactsInput!$M$27,Inputs!$B$4="Chapter Hunt"),CHOOSE(ArtifactsInput!$N$27+1,20,24,28,32,36,40),0)/100)),0)</f>
        <v/>
      </c>
      <c r="R140" t="n">
        <v>0</v>
      </c>
      <c r="S140" t="n">
        <v>0</v>
      </c>
      <c r="U140" t="n">
        <v>0</v>
      </c>
    </row>
    <row r="141">
      <c r="A141">
        <f>Skills!A25</f>
        <v/>
      </c>
      <c r="B141">
        <f>Skills!B25</f>
        <v/>
      </c>
      <c r="C141">
        <f>Inputs!$B$3&gt;=74</f>
        <v/>
      </c>
      <c r="D141">
        <f>IF(Skills!C25=1,60+Inputs!$B$26+Inputs!$B$30,IF(Skills!C25=2,90+Inputs!$B$27+Inputs!$B$30,IF(Skills!C25=3,120+Inputs!$B$28+Inputs!$B$30,MAX(0,(Inputs!$B$3-100)*3)+Inputs!$B$29+Inputs!$B$30)))</f>
        <v/>
      </c>
      <c r="E141">
        <f>INDEX(FactorTable!$B$2:$Y$301, MATCH(ROUND(MIN(300,MAX(1,D141)),0), FactorTable!$A$2:$A$301,0), Skills!L25+1)</f>
        <v/>
      </c>
      <c r="F141">
        <f>IF(Skills!M25=TRUE,(Skills!K25/10)*(E141/1000),Skills!K25/10)+Skills!N25</f>
        <v/>
      </c>
      <c r="G141">
        <f>Calc!G25</f>
        <v/>
      </c>
      <c r="H141">
        <f>Calc!H25</f>
        <v/>
      </c>
      <c r="I141">
        <f>IF(Skills!T25&lt;&gt;"",1+(Skills!T25/10)*($Z$3/1000)/100,1)</f>
        <v/>
      </c>
      <c r="J141" t="inlineStr"/>
      <c r="K141" t="inlineStr"/>
      <c r="L141" t="inlineStr"/>
      <c r="M141" t="inlineStr"/>
      <c r="N141" t="inlineStr"/>
      <c r="O141">
        <f>(1-Summary!$B$11)*S141+Summary!$B$11*U141</f>
        <v/>
      </c>
      <c r="P141">
        <f>IF(B158=0,0,O141/B158)</f>
        <v/>
      </c>
      <c r="Q141">
        <f>IFERROR(1/(IF(Inputs!$B$39="pvp",15,MAX(0.1,Skills!D25-IF(Skills!E25=TRUE,Inputs!$B$33,0)))*(1-IF(AND(ArtifactsInput!$M$27,Inputs!$B$4="Chapter Hunt"),CHOOSE(ArtifactsInput!$N$27+1,20,24,28,32,36,40),0)/100)),0)</f>
        <v/>
      </c>
      <c r="R141" t="n">
        <v>0</v>
      </c>
      <c r="S141" t="n">
        <v>0</v>
      </c>
      <c r="U141" t="n">
        <v>0</v>
      </c>
    </row>
    <row r="142">
      <c r="A142">
        <f>Skills!A26</f>
        <v/>
      </c>
      <c r="B142">
        <f>Skills!B26</f>
        <v/>
      </c>
      <c r="C142">
        <f>Inputs!$B$3&gt;=117</f>
        <v/>
      </c>
      <c r="D142">
        <f>IF(Skills!C26=1,60+Inputs!$B$26+Inputs!$B$30,IF(Skills!C26=2,90+Inputs!$B$27+Inputs!$B$30,IF(Skills!C26=3,120+Inputs!$B$28+Inputs!$B$30,MAX(0,(Inputs!$B$3-100)*3)+Inputs!$B$29+Inputs!$B$30)))</f>
        <v/>
      </c>
      <c r="E142">
        <f>INDEX(FactorTable!$B$2:$Y$301, MATCH(ROUND(MIN(300,MAX(1,D142)),0), FactorTable!$A$2:$A$301,0), Skills!L26+1)</f>
        <v/>
      </c>
      <c r="F142">
        <f>IF(Skills!M26=TRUE,(Skills!K26/10)*(E142/1000),Skills!K26/10)+Skills!N26</f>
        <v/>
      </c>
      <c r="G142">
        <f>Calc!G26</f>
        <v/>
      </c>
      <c r="H142">
        <f>Calc!H26</f>
        <v/>
      </c>
      <c r="I142">
        <f>IF(Skills!T26&lt;&gt;"",1+(Skills!T26/10)*($Z$3/1000)/100,1)</f>
        <v/>
      </c>
      <c r="J142" t="inlineStr"/>
      <c r="K142" t="inlineStr"/>
      <c r="L142" t="inlineStr"/>
      <c r="M142" t="inlineStr"/>
      <c r="N142" t="inlineStr"/>
      <c r="O142">
        <f>(1-Summary!$B$11)*S142+Summary!$B$11*U142</f>
        <v/>
      </c>
      <c r="P142">
        <f>IF(B158=0,0,O142/B158)</f>
        <v/>
      </c>
      <c r="Q142">
        <f>IFERROR(1/(IF(Inputs!$B$39="pvp",15,MAX(0.1,Skills!D26-IF(Skills!E26=TRUE,Inputs!$B$33,0)))*(1-IF(AND(ArtifactsInput!$M$27,Inputs!$B$4="Chapter Hunt"),CHOOSE(ArtifactsInput!$N$27+1,20,24,28,32,36,40),0)/100)),0)</f>
        <v/>
      </c>
      <c r="R142" t="n">
        <v>0</v>
      </c>
      <c r="S142" t="n">
        <v>0</v>
      </c>
      <c r="U142" t="n">
        <v>0</v>
      </c>
    </row>
    <row r="143">
      <c r="A143">
        <f>Skills!A27</f>
        <v/>
      </c>
      <c r="B143">
        <f>Skills!B27</f>
        <v/>
      </c>
      <c r="C143">
        <f>Inputs!$B$3&gt;=120</f>
        <v/>
      </c>
      <c r="D143">
        <f>IF(Skills!C27=1,60+Inputs!$B$26+Inputs!$B$30,IF(Skills!C27=2,90+Inputs!$B$27+Inputs!$B$30,IF(Skills!C27=3,120+Inputs!$B$28+Inputs!$B$30,MAX(0,(Inputs!$B$3-100)*3)+Inputs!$B$29+Inputs!$B$30)))</f>
        <v/>
      </c>
      <c r="E143">
        <f>INDEX(FactorTable!$B$2:$Y$301, MATCH(ROUND(MIN(300,MAX(1,D143)),0), FactorTable!$A$2:$A$301,0), Skills!L27+1)</f>
        <v/>
      </c>
      <c r="F143">
        <f>IF(Skills!M27=TRUE,(Skills!K27/10)*(E143/1000),Skills!K27/10)+Skills!N27</f>
        <v/>
      </c>
      <c r="G143">
        <f>Calc!G27</f>
        <v/>
      </c>
      <c r="H143">
        <f>Calc!H27</f>
        <v/>
      </c>
      <c r="I143">
        <f>IF(Skills!T27&lt;&gt;"",1+(Skills!T27/10)*($Z$3/1000)/100,1)</f>
        <v/>
      </c>
      <c r="J143" t="inlineStr"/>
      <c r="K143" t="inlineStr"/>
      <c r="L143" t="inlineStr"/>
      <c r="M143" t="inlineStr"/>
      <c r="N143" t="inlineStr"/>
      <c r="O143">
        <f>(1-Summary!$B$11)*S143+Summary!$B$11*U143</f>
        <v/>
      </c>
      <c r="P143">
        <f>IF(B158=0,0,O143/B158)</f>
        <v/>
      </c>
      <c r="Q143">
        <f>IFERROR(1/(IF(Inputs!$B$39="pvp",15,MAX(0.1,Skills!D27-IF(Skills!E27=TRUE,Inputs!$B$33,0)))*(1-IF(AND(ArtifactsInput!$M$27,Inputs!$B$4="Chapter Hunt"),CHOOSE(ArtifactsInput!$N$27+1,20,24,28,32,36,40),0)/100)),0)</f>
        <v/>
      </c>
      <c r="R143" t="n">
        <v>0</v>
      </c>
      <c r="S143" t="n">
        <v>0</v>
      </c>
      <c r="U143" t="n">
        <v>0</v>
      </c>
    </row>
    <row r="145">
      <c r="A145" t="inlineStr">
        <is>
          <t>Average Buff Multiplier</t>
        </is>
      </c>
      <c r="B145">
        <f>(1+(IF(C119=TRUE,F119*IF(AND(Inputs!$B$39&lt;&gt;"pvp",Inputs!$B$44&gt;0),(((R119-1)*(Skills!S3*(1+((Inputs!$B$35+(ArtifactsInput!$M$7-ArtifactsInput!$M$7)*CHOOSE(ArtifactsInput!$N$7+1,6,7.2,8.4,9.6,10.8,12))+IF(Inputs!$B$3&gt;=117,F142,0))/100))+MIN((Skills!S3*(1+((Inputs!$B$35+(ArtifactsInput!$M$7-ArtifactsInput!$M$7)*CHOOSE(ArtifactsInput!$N$7+1,6,7.2,8.4,9.6,10.8,12))+IF(Inputs!$B$3&gt;=117,F142,0))/100)),MAX(0,Inputs!$B$44-((R119-1)*Skills!D3))))/Inputs!$B$44),IF(Inputs!$B$39="pvp",MIN((Skills!S3*(1+((Inputs!$B$35+(ArtifactsInput!$M$7-ArtifactsInput!$M$7)*CHOOSE(ArtifactsInput!$N$7+1,6,7.2,8.4,9.6,10.8,12))+IF(Inputs!$B$3&gt;=117,F142,0))/100)),15)/15,(Skills!S3*(1+((Inputs!$B$35+(ArtifactsInput!$M$7-ArtifactsInput!$M$7)*CHOOSE(ArtifactsInput!$N$7+1,6,7.2,8.4,9.6,10.8,12))+IF(Inputs!$B$3&gt;=117,F142,0))/100))/Skills!D3)),0)+IF(C120=TRUE,F120*IF(AND(Inputs!$B$39&lt;&gt;"pvp",Inputs!$B$44&gt;0),(((R120-1)*(Skills!S4*(1+((Inputs!$B$35+(ArtifactsInput!$M$7-ArtifactsInput!$M$7)*CHOOSE(ArtifactsInput!$N$7+1,6,7.2,8.4,9.6,10.8,12))+IF(Inputs!$B$3&gt;=117,F142,0))/100))+MIN((Skills!S4*(1+((Inputs!$B$35+(ArtifactsInput!$M$7-ArtifactsInput!$M$7)*CHOOSE(ArtifactsInput!$N$7+1,6,7.2,8.4,9.6,10.8,12))+IF(Inputs!$B$3&gt;=117,F142,0))/100)),MAX(0,Inputs!$B$44-((R120-1)*Skills!D4))))/Inputs!$B$44),IF(Inputs!$B$39="pvp",MIN((Skills!S4*(1+((Inputs!$B$35+(ArtifactsInput!$M$7-ArtifactsInput!$M$7)*CHOOSE(ArtifactsInput!$N$7+1,6,7.2,8.4,9.6,10.8,12))+IF(Inputs!$B$3&gt;=117,F142,0))/100)),15)/15,(Skills!S4*(1+((Inputs!$B$35+(ArtifactsInput!$M$7-ArtifactsInput!$M$7)*CHOOSE(ArtifactsInput!$N$7+1,6,7.2,8.4,9.6,10.8,12))+IF(Inputs!$B$3&gt;=117,F142,0))/100))/Skills!D4)),0)+IF(C121=TRUE,F121*IF(AND(Inputs!$B$39&lt;&gt;"pvp",Inputs!$B$44&gt;0),(((R121-1)*(Skills!S5*(1+((Inputs!$B$35+(ArtifactsInput!$M$7-ArtifactsInput!$M$7)*CHOOSE(ArtifactsInput!$N$7+1,6,7.2,8.4,9.6,10.8,12))+IF(Inputs!$B$3&gt;=117,F142,0))/100))+MIN((Skills!S5*(1+((Inputs!$B$35+(ArtifactsInput!$M$7-ArtifactsInput!$M$7)*CHOOSE(ArtifactsInput!$N$7+1,6,7.2,8.4,9.6,10.8,12))+IF(Inputs!$B$3&gt;=117,F142,0))/100)),MAX(0,Inputs!$B$44-((R121-1)*Skills!D5))))/Inputs!$B$44),IF(Inputs!$B$39="pvp",MIN((Skills!S5*(1+((Inputs!$B$35+(ArtifactsInput!$M$7-ArtifactsInput!$M$7)*CHOOSE(ArtifactsInput!$N$7+1,6,7.2,8.4,9.6,10.8,12))+IF(Inputs!$B$3&gt;=117,F142,0))/100)),15)/15,(Skills!S5*(1+((Inputs!$B$35+(ArtifactsInput!$M$7-ArtifactsInput!$M$7)*CHOOSE(ArtifactsInput!$N$7+1,6,7.2,8.4,9.6,10.8,12))+IF(Inputs!$B$3&gt;=117,F142,0))/100))/Skills!D5)),0)+IF(C127=TRUE,F127*IF(AND(Inputs!$B$39&lt;&gt;"pvp",Inputs!$B$44&gt;0),(((R127-1)*(Skills!S11*(1+((Inputs!$B$35+(ArtifactsInput!$M$7-ArtifactsInput!$M$7)*CHOOSE(ArtifactsInput!$N$7+1,6,7.2,8.4,9.6,10.8,12))+IF(Inputs!$B$3&gt;=117,F142,0))/100))+MIN((Skills!S11*(1+((Inputs!$B$35+(ArtifactsInput!$M$7-ArtifactsInput!$M$7)*CHOOSE(ArtifactsInput!$N$7+1,6,7.2,8.4,9.6,10.8,12))+IF(Inputs!$B$3&gt;=117,F142,0))/100)),MAX(0,Inputs!$B$44-((R127-1)*Skills!D11))))/Inputs!$B$44),IF(Inputs!$B$39="pvp",MIN((Skills!S11*(1+((Inputs!$B$35+(ArtifactsInput!$M$7-ArtifactsInput!$M$7)*CHOOSE(ArtifactsInput!$N$7+1,6,7.2,8.4,9.6,10.8,12))+IF(Inputs!$B$3&gt;=117,F142,0))/100)),15)/15,(Skills!S11*(1+((Inputs!$B$35+(ArtifactsInput!$M$7-ArtifactsInput!$M$7)*CHOOSE(ArtifactsInput!$N$7+1,6,7.2,8.4,9.6,10.8,12))+IF(Inputs!$B$3&gt;=117,F142,0)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130=TRUE,(1+F130*IF(AND(Inputs!$B$39&lt;&gt;"pvp",Inputs!$B$44&gt;0),(((R130-1)*(Skills!S14*(1+((Inputs!$B$35+(ArtifactsInput!$M$7-ArtifactsInput!$M$7)*CHOOSE(ArtifactsInput!$N$7+1,6,7.2,8.4,9.6,10.8,12))+IF(Inputs!$B$3&gt;=117,F142,0))/100))+MIN((Skills!S14*(1+((Inputs!$B$35+(ArtifactsInput!$M$7-ArtifactsInput!$M$7)*CHOOSE(ArtifactsInput!$N$7+1,6,7.2,8.4,9.6,10.8,12))+IF(Inputs!$B$3&gt;=117,F142,0))/100)),MAX(0,Inputs!$B$44-((R130-1)*Skills!D14))))/Inputs!$B$44),IF(Inputs!$B$39="pvp",MIN((Skills!S14*(1+((Inputs!$B$35+(ArtifactsInput!$M$7-ArtifactsInput!$M$7)*CHOOSE(ArtifactsInput!$N$7+1,6,7.2,8.4,9.6,10.8,12))+IF(Inputs!$B$3&gt;=117,F142,0))/100)),15)/15,(Skills!S14*(1+((Inputs!$B$35+(ArtifactsInput!$M$7-ArtifactsInput!$M$7)*CHOOSE(ArtifactsInput!$N$7+1,6,7.2,8.4,9.6,10.8,12))+IF(Inputs!$B$3&gt;=117,F142,0))/100))/Skills!D14))/100),1)*IF(C135=TRUE,(1+F135*IF(AND(Inputs!$B$39&lt;&gt;"pvp",Inputs!$B$44&gt;0),(((R135-1)*(Skills!S19*(1+((Inputs!$B$35+(ArtifactsInput!$M$7-ArtifactsInput!$M$7)*CHOOSE(ArtifactsInput!$N$7+1,6,7.2,8.4,9.6,10.8,12))+IF(Inputs!$B$3&gt;=117,F142,0))/100))+MIN((Skills!S19*(1+((Inputs!$B$35+(ArtifactsInput!$M$7-ArtifactsInput!$M$7)*CHOOSE(ArtifactsInput!$N$7+1,6,7.2,8.4,9.6,10.8,12))+IF(Inputs!$B$3&gt;=117,F142,0))/100)),MAX(0,Inputs!$B$44-((R135-1)*Skills!D19))))/Inputs!$B$44),IF(Inputs!$B$39="pvp",MIN((Skills!S19*(1+((Inputs!$B$35+(ArtifactsInput!$M$7-ArtifactsInput!$M$7)*CHOOSE(ArtifactsInput!$N$7+1,6,7.2,8.4,9.6,10.8,12))+IF(Inputs!$B$3&gt;=117,F142,0))/100)),15)/15,(Skills!S19*(1+((Inputs!$B$35+(ArtifactsInput!$M$7-ArtifactsInput!$M$7)*CHOOSE(ArtifactsInput!$N$7+1,6,7.2,8.4,9.6,10.8,12))+IF(Inputs!$B$3&gt;=117,F142,0))/100))/Skills!D19))/100),1)</f>
        <v/>
      </c>
    </row>
    <row r="146">
      <c r="A146" t="inlineStr">
        <is>
          <t>Monster Damage Taken Bonus % (Holy Fountain)</t>
        </is>
      </c>
      <c r="B146">
        <f>IF(Inputs!$B$3&gt;=68,20*IF(Inputs!$B$39="pvp",MIN((15*(1+((Inputs!$B$35+(ArtifactsInput!$M$7-ArtifactsInput!$M$7)*CHOOSE(ArtifactsInput!$N$7+1,6,7.2,8.4,9.6,10.8,12))+IF(Inputs!$B$3&gt;=117,F142,0))/100)),15)/15,(15*(1+((Inputs!$B$35+(ArtifactsInput!$M$7-ArtifactsInput!$M$7)*CHOOSE(ArtifactsInput!$N$7+1,6,7.2,8.4,9.6,10.8,12))+IF(Inputs!$B$3&gt;=117,F142,0))/100))/Skills!D10),0)</f>
        <v/>
      </c>
    </row>
    <row r="147">
      <c r="A147" t="inlineStr">
        <is>
          <t>Normal Monster Damage Bonus % (Holy Symbol)</t>
        </is>
      </c>
      <c r="B147">
        <f>IF(C128=TRUE,F128*IF(AND(Inputs!$B$39&lt;&gt;"pvp",Inputs!$B$44&gt;0),(((R128-1)*(Skills!S12*(1+((Inputs!$B$35+(ArtifactsInput!$M$7-ArtifactsInput!$M$7)*CHOOSE(ArtifactsInput!$N$7+1,6,7.2,8.4,9.6,10.8,12))+IF(Inputs!$B$3&gt;=117,F142,0))/100))+MIN((Skills!S12*(1+((Inputs!$B$35+(ArtifactsInput!$M$7-ArtifactsInput!$M$7)*CHOOSE(ArtifactsInput!$N$7+1,6,7.2,8.4,9.6,10.8,12))+IF(Inputs!$B$3&gt;=117,F142,0))/100)),MAX(0,Inputs!$B$44-((R128-1)*Skills!D12))))/Inputs!$B$44),IF(Inputs!$B$39="pvp",MIN((Skills!S12*(1+((Inputs!$B$35+(ArtifactsInput!$M$7-ArtifactsInput!$M$7)*CHOOSE(ArtifactsInput!$N$7+1,6,7.2,8.4,9.6,10.8,12))+IF(Inputs!$B$3&gt;=117,F142,0))/100)),15)/15,(Skills!S12*(1+((Inputs!$B$35+(ArtifactsInput!$M$7-ArtifactsInput!$M$7)*CHOOSE(ArtifactsInput!$N$7+1,6,7.2,8.4,9.6,10.8,12))+IF(Inputs!$B$3&gt;=117,F142,0))/100))/Skills!D12)),0)</f>
        <v/>
      </c>
    </row>
    <row r="148">
      <c r="A148" t="inlineStr">
        <is>
          <t>Damage % Bonus (Holy Symbol - Damage Boost)</t>
        </is>
      </c>
      <c r="B148">
        <f>Skills!O12</f>
        <v/>
      </c>
    </row>
    <row r="149">
      <c r="A149" t="inlineStr">
        <is>
          <t>Crit Damage % Bonus (Blood of the Divine)</t>
        </is>
      </c>
      <c r="B149">
        <f>4*IF(C136=TRUE,F136,0)</f>
        <v/>
      </c>
    </row>
    <row r="150">
      <c r="A150" t="inlineStr">
        <is>
          <t>Attack Speed Bonus %</t>
        </is>
      </c>
      <c r="B150">
        <f>IF(C133=TRUE,F133+(F137-Calc!F21),0)+IF(Inputs!$B$3&gt;=134,15,0)</f>
        <v/>
      </c>
    </row>
    <row r="151">
      <c r="A151" t="inlineStr">
        <is>
          <t>Actions Per Second</t>
        </is>
      </c>
      <c r="B151">
        <f>1+MIN(150,150*(1-(1-Inputs!$B$12/150)*(1-B150/150)))/100</f>
        <v/>
      </c>
    </row>
    <row r="152">
      <c r="A152" t="inlineStr">
        <is>
          <t>Skill + Buff Cast Rate</t>
        </is>
      </c>
      <c r="B152">
        <f>IF(AND(Inputs!$B$39&lt;&gt;"pvp",Inputs!$B$44&gt;0),SUMPRODUCT((Skills!E2:E27=TRUE)*(C118:C143=TRUE)*R118:R143)/Inputs!$B$44,SUMPRODUCT((Skills!E2:E27=TRUE)*(C118:C143=TRUE)*Q118:Q143))</f>
        <v/>
      </c>
    </row>
    <row r="153">
      <c r="A153" t="inlineStr">
        <is>
          <t>Big Bang Casts Per Second</t>
        </is>
      </c>
      <c r="B153">
        <f>MAX(0,B151-B152)</f>
        <v/>
      </c>
    </row>
    <row r="154">
      <c r="A154" t="inlineStr">
        <is>
          <t>Defense % Bonus (Divine Protection)</t>
        </is>
      </c>
      <c r="B154">
        <f>IF(C129=TRUE,F129*IF(AND(Inputs!$B$39&lt;&gt;"pvp",Inputs!$B$44&gt;0),(((R129-1)*(Skills!S13*(1+((Inputs!$B$35+(ArtifactsInput!$M$7-ArtifactsInput!$M$7)*CHOOSE(ArtifactsInput!$N$7+1,6,7.2,8.4,9.6,10.8,12))+IF(Inputs!$B$3&gt;=117,F142,0))/100))+MIN((Skills!S13*(1+((Inputs!$B$35+(ArtifactsInput!$M$7-ArtifactsInput!$M$7)*CHOOSE(ArtifactsInput!$N$7+1,6,7.2,8.4,9.6,10.8,12))+IF(Inputs!$B$3&gt;=117,F142,0))/100)),MAX(0,Inputs!$B$44-((R129-1)*Skills!D13))))/Inputs!$B$44),IF(Inputs!$B$39="pvp",MIN((Skills!S13*(1+((Inputs!$B$35+(ArtifactsInput!$M$7-ArtifactsInput!$M$7)*CHOOSE(ArtifactsInput!$N$7+1,6,7.2,8.4,9.6,10.8,12))+IF(Inputs!$B$3&gt;=117,F142,0))/100)),15)/15,(Skills!S13*(1+((Inputs!$B$35+(ArtifactsInput!$M$7-ArtifactsInput!$M$7)*CHOOSE(ArtifactsInput!$N$7+1,6,7.2,8.4,9.6,10.8,12))+IF(Inputs!$B$3&gt;=117,F142,0))/100))/Skills!D13)),0)</f>
        <v/>
      </c>
    </row>
    <row r="155">
      <c r="A155" t="inlineStr">
        <is>
          <t>Buff-Casting Startup Delay (s, fixed-duration only)</t>
        </is>
      </c>
      <c r="B155">
        <f>IF(AND(Inputs!$B$39&lt;&gt;"pvp",Inputs!$B$44&gt;0),SUMPRODUCT((Skills!S2:S27&gt;0)*(Skills!E2:E27=TRUE)*(C118:C143=TRUE))/B151,0)</f>
        <v/>
      </c>
    </row>
    <row r="156">
      <c r="A156" t="inlineStr">
        <is>
          <t>Boss-Only Total DPS (this block's swept value)</t>
        </is>
      </c>
      <c r="B156">
        <f>SUM(S118:S143)</f>
        <v/>
      </c>
    </row>
    <row r="157">
      <c r="A157" t="inlineStr">
        <is>
          <t>Normal-Only Total DPS (this block's swept value)</t>
        </is>
      </c>
      <c r="B157">
        <f>SUM(U118:U143)</f>
        <v/>
      </c>
    </row>
    <row r="158">
      <c r="A158" s="6" t="inlineStr">
        <is>
          <t>TOTAL DPS</t>
        </is>
      </c>
      <c r="B158" s="6">
        <f>SUM(O118:O143)</f>
        <v/>
      </c>
    </row>
    <row r="160">
      <c r="A160" s="6" t="inlineStr">
        <is>
          <t>Stat: Defense (flat) — Invincible converts a level-scaling % (10%+) into INT</t>
        </is>
      </c>
    </row>
    <row r="161">
      <c r="A161" s="5" t="inlineStr">
        <is>
          <t>Key</t>
        </is>
      </c>
      <c r="B161" s="5" t="inlineStr">
        <is>
          <t>Name</t>
        </is>
      </c>
      <c r="C161" s="5" t="inlineStr">
        <is>
          <t>Unlocked</t>
        </is>
      </c>
      <c r="D161" s="5" t="inlineStr">
        <is>
          <t>InputLevel</t>
        </is>
      </c>
      <c r="E161" s="5" t="inlineStr">
        <is>
          <t>Factor</t>
        </is>
      </c>
      <c r="F161" s="5" t="inlineStr">
        <is>
          <t>CoefficientPercent</t>
        </is>
      </c>
      <c r="G161" s="5" t="inlineStr">
        <is>
          <t>EffectiveHits</t>
        </is>
      </c>
      <c r="H161" s="5" t="inlineStr">
        <is>
          <t>ProcProbability</t>
        </is>
      </c>
      <c r="I161" s="5" t="inlineStr">
        <is>
          <t>MapleHeroMultiplier</t>
        </is>
      </c>
      <c r="J161" s="5" t="inlineStr">
        <is>
          <t>BaseDamage</t>
        </is>
      </c>
      <c r="K161" s="5" t="inlineStr">
        <is>
          <t>BaseHitDamage</t>
        </is>
      </c>
      <c r="L161" s="5" t="inlineStr">
        <is>
          <t>NonCritAvg</t>
        </is>
      </c>
      <c r="M161" s="5" t="inlineStr">
        <is>
          <t>CritAvg</t>
        </is>
      </c>
      <c r="N161" s="5" t="inlineStr">
        <is>
          <t>ExpectedDamage(perHit)</t>
        </is>
      </c>
      <c r="O161" s="5" t="inlineStr">
        <is>
          <t>DPS</t>
        </is>
      </c>
      <c r="P161" s="5" t="inlineStr">
        <is>
          <t>% of Total</t>
        </is>
      </c>
      <c r="R161" t="inlineStr">
        <is>
          <t>helpers</t>
        </is>
      </c>
    </row>
    <row r="162">
      <c r="A162">
        <f>Skills!A2</f>
        <v/>
      </c>
      <c r="B162">
        <f>Skills!B2</f>
        <v/>
      </c>
      <c r="C162">
        <f>Inputs!$B$3&gt;=100</f>
        <v/>
      </c>
      <c r="D162" t="inlineStr"/>
      <c r="E162" t="inlineStr"/>
      <c r="F162">
        <f>T164+Skills!N2</f>
        <v/>
      </c>
      <c r="G162">
        <f>Calc!G2</f>
        <v/>
      </c>
      <c r="H162">
        <f>Calc!H2</f>
        <v/>
      </c>
      <c r="I162">
        <f>IF(Skills!T2&lt;&gt;"",1+(Skills!T2/10)*($Z$3/1000)/100,1)</f>
        <v/>
      </c>
      <c r="J162">
        <f>((Inputs!$B$6*(1+Inputs!$B$7/100))+(((Inputs!$B$13*(1+Inputs!$B$14/100))-(Inputs!$B$13*(1+Inputs!$B$14/100)))+0.25*(Inputs!$B$15-Inputs!$B$15))*(1+Inputs!$B$7/100))*(F162/100)</f>
        <v/>
      </c>
      <c r="K162">
        <f>J162*(1+(((Inputs!$B$13+IF(Inputs!$B$3&gt;=35,(10*INDEX(FactorTable!$B$2:$Y$301,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2="TRIUMPH_FEATHER",IF(C176=TRUE,F176,0),0)/100)*(1+IF(C187=TRUE,F187,0)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162)</f>
        <v/>
      </c>
      <c r="L162">
        <f>K162*(MIN(Inputs!$B$23+(F182-Calc!F22),(Inputs!$B$24+IF(ArtifactsInput!$M$15,CHOOSE(ArtifactsInput!$N$15+1,25,30,35,40,45,50)/100*(Inputs!$B$12-Inputs!$B$12),0)))/100+(Inputs!$B$24+IF(ArtifactsInput!$M$15,CHOOSE(ArtifactsInput!$N$15+1,25,30,35,40,45,50)/100*(Inputs!$B$12-Inputs!$B$12),0))/100)/2</f>
        <v/>
      </c>
      <c r="M162">
        <f>L162*(1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
        <f>L162*(1-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(1-Summary!$B$11)*S162+Summary!$B$11*U162</f>
        <v/>
      </c>
      <c r="P162">
        <f>IF(B202=0,0,O162/B202)</f>
        <v/>
      </c>
      <c r="Q162">
        <f>IFERROR(1/(IF(Inputs!$B$39="pvp",15,MAX(0.1,Skills!D2-IF(Skills!E2=TRUE,Inputs!$B$33,0)))*(1-IF(AND(ArtifactsInput!$M$27,Inputs!$B$4="Chapter Hunt"),CHOOSE(ArtifactsInput!$N$27+1,20,24,28,32,36,40),0)/100)),0)</f>
        <v/>
      </c>
      <c r="R162" t="n">
        <v>0</v>
      </c>
      <c r="S162">
        <f>IF(C162,(Skills!F2*N162*B197)*IF(Inputs!$B$39="pvp",1,1+(Inputs!$B$21+Skills!O2+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2">
        <f>MAX(0,(Inputs!$B$3-100)*3)+Inputs!$B$29+Inputs!$B$30</f>
        <v/>
      </c>
      <c r="U162">
        <f>IF(C162,(Skills!F2*N162*B197)*IF(Inputs!$B$39="pvp",1,(1+(Inputs!$B$22+Skills!P2+B191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Skills!A3</f>
        <v/>
      </c>
      <c r="B163">
        <f>Skills!B3</f>
        <v/>
      </c>
      <c r="C163">
        <f>Inputs!$B$3&gt;=15</f>
        <v/>
      </c>
      <c r="D163">
        <f>IF(Skills!C3=1,60+Inputs!$B$26+Inputs!$B$30,IF(Skills!C3=2,90+Inputs!$B$27+Inputs!$B$30,IF(Skills!C3=3,120+Inputs!$B$28+Inputs!$B$30,MAX(0,(Inputs!$B$3-100)*3)+Inputs!$B$29+Inputs!$B$30)))</f>
        <v/>
      </c>
      <c r="E163">
        <f>INDEX(FactorTable!$B$2:$Y$301, MATCH(ROUND(MIN(300,MAX(1,D163)),0), FactorTable!$A$2:$A$301,0), Skills!L3+1)</f>
        <v/>
      </c>
      <c r="F163">
        <f>IF(Skills!M3=TRUE,(Skills!K3/10)*(E163/1000),Skills!K3/10)+Skills!N3</f>
        <v/>
      </c>
      <c r="G163">
        <f>Calc!G3</f>
        <v/>
      </c>
      <c r="H163">
        <f>Calc!H3</f>
        <v/>
      </c>
      <c r="I163">
        <f>IF(Skills!T3&lt;&gt;"",1+(Skills!T3/10)*($Z$3/1000)/100,1)</f>
        <v/>
      </c>
      <c r="J163" t="inlineStr"/>
      <c r="K163" t="inlineStr"/>
      <c r="L163" t="inlineStr"/>
      <c r="M163" t="inlineStr"/>
      <c r="N163" t="inlineStr"/>
      <c r="O163">
        <f>(1-Summary!$B$11)*S163+Summary!$B$11*U163</f>
        <v/>
      </c>
      <c r="P163">
        <f>IF(B202=0,0,O163/B202)</f>
        <v/>
      </c>
      <c r="Q163">
        <f>IFERROR(1/(IF(Inputs!$B$39="pvp",15,MAX(0.1,Skills!D3-IF(Skills!E3=TRUE,Inputs!$B$33,0)))*(1-IF(AND(ArtifactsInput!$M$27,Inputs!$B$4="Chapter Hunt"),CHOOSE(ArtifactsInput!$N$27+1,20,24,28,32,36,40),0)/100)),0)</f>
        <v/>
      </c>
      <c r="R163">
        <f>IF(AND(Inputs!$B$39&lt;&gt;"pvp",Inputs!$B$44&gt;0),IF(Inputs!$B$44&lt;=0,0,(INT(Inputs!$B$44/(IF(Inputs!$B$39="pvp",15,MAX(0.1,Skills!D3-IF(Skills!E3=TRUE,Inputs!$B$33,0)))*(1-IF(AND(ArtifactsInput!$M$27,Inputs!$B$4="Chapter Hunt"),CHOOSE(ArtifactsInput!$N$27+1,20,24,28,32,36,40),0)/100)))+1)),0)</f>
        <v/>
      </c>
      <c r="S163" t="n">
        <v>0</v>
      </c>
      <c r="T163">
        <f>INDEX(FactorTable!$B$2:$Y$301, MATCH(ROUND(MIN(300,MAX(1,T162)),0), FactorTable!$A$2:$A$301,0), 22)</f>
        <v/>
      </c>
      <c r="U163" t="n">
        <v>0</v>
      </c>
    </row>
    <row r="164">
      <c r="A164">
        <f>Skills!A4</f>
        <v/>
      </c>
      <c r="B164">
        <f>Skills!B4</f>
        <v/>
      </c>
      <c r="C164">
        <f>Inputs!$B$3&gt;=38</f>
        <v/>
      </c>
      <c r="D164">
        <f>IF(Skills!C4=1,60+Inputs!$B$26+Inputs!$B$30,IF(Skills!C4=2,90+Inputs!$B$27+Inputs!$B$30,IF(Skills!C4=3,120+Inputs!$B$28+Inputs!$B$30,MAX(0,(Inputs!$B$3-100)*3)+Inputs!$B$29+Inputs!$B$30)))</f>
        <v/>
      </c>
      <c r="E164">
        <f>INDEX(FactorTable!$B$2:$Y$301, MATCH(ROUND(MIN(300,MAX(1,D164)),0), FactorTable!$A$2:$A$301,0), Skills!L4+1)</f>
        <v/>
      </c>
      <c r="F164">
        <f>IF(Skills!M4=TRUE,(Skills!K4/10)*(E164/1000),Skills!K4/10)+Skills!N4</f>
        <v/>
      </c>
      <c r="G164">
        <f>Calc!G4</f>
        <v/>
      </c>
      <c r="H164">
        <f>Calc!H4</f>
        <v/>
      </c>
      <c r="I164">
        <f>IF(Skills!T4&lt;&gt;"",1+(Skills!T4/10)*($Z$3/1000)/100,1)</f>
        <v/>
      </c>
      <c r="J164" t="inlineStr"/>
      <c r="K164" t="inlineStr"/>
      <c r="L164" t="inlineStr"/>
      <c r="M164" t="inlineStr"/>
      <c r="N164" t="inlineStr"/>
      <c r="O164">
        <f>(1-Summary!$B$11)*S164+Summary!$B$11*U164</f>
        <v/>
      </c>
      <c r="P164">
        <f>IF(B202=0,0,O164/B202)</f>
        <v/>
      </c>
      <c r="Q164">
        <f>IFERROR(1/(IF(Inputs!$B$39="pvp",15,MAX(0.1,Skills!D4-IF(Skills!E4=TRUE,Inputs!$B$33,0)))*(1-IF(AND(ArtifactsInput!$M$27,Inputs!$B$4="Chapter Hunt"),CHOOSE(ArtifactsInput!$N$27+1,20,24,28,32,36,40),0)/100)),0)</f>
        <v/>
      </c>
      <c r="R164">
        <f>IF(AND(Inputs!$B$39&lt;&gt;"pvp",Inputs!$B$44&gt;0),IF(Inputs!$B$44&lt;=0,0,(INT(Inputs!$B$44/(IF(Inputs!$B$39="pvp",15,MAX(0.1,Skills!D4-IF(Skills!E4=TRUE,Inputs!$B$33,0)))*(1-IF(AND(ArtifactsInput!$M$27,Inputs!$B$4="Chapter Hunt"),CHOOSE(ArtifactsInput!$N$27+1,20,24,28,32,36,40),0)/100)))+1)),0)</f>
        <v/>
      </c>
      <c r="S164" t="n">
        <v>0</v>
      </c>
      <c r="T164">
        <f>290*T163/1000</f>
        <v/>
      </c>
      <c r="U164" t="n">
        <v>0</v>
      </c>
    </row>
    <row r="165">
      <c r="A165">
        <f>Skills!A5</f>
        <v/>
      </c>
      <c r="B165">
        <f>Skills!B5</f>
        <v/>
      </c>
      <c r="C165">
        <f>Inputs!$B$3&gt;=40</f>
        <v/>
      </c>
      <c r="D165">
        <f>IF(Skills!C5=1,60+Inputs!$B$26+Inputs!$B$30,IF(Skills!C5=2,90+Inputs!$B$27+Inputs!$B$30,IF(Skills!C5=3,120+Inputs!$B$28+Inputs!$B$30,MAX(0,(Inputs!$B$3-100)*3)+Inputs!$B$29+Inputs!$B$30)))</f>
        <v/>
      </c>
      <c r="E165">
        <f>INDEX(FactorTable!$B$2:$Y$301, MATCH(ROUND(MIN(300,MAX(1,D165)),0), FactorTable!$A$2:$A$301,0), Skills!L5+1)</f>
        <v/>
      </c>
      <c r="F165">
        <f>IF(Skills!M5=TRUE,(Skills!K5/10)*(E165/1000),Skills!K5/10)+Skills!N5</f>
        <v/>
      </c>
      <c r="G165">
        <f>Calc!G5</f>
        <v/>
      </c>
      <c r="H165">
        <f>Calc!H5</f>
        <v/>
      </c>
      <c r="I165">
        <f>IF(Skills!T5&lt;&gt;"",1+(Skills!T5/10)*($Z$3/1000)/100,1)</f>
        <v/>
      </c>
      <c r="J165" t="inlineStr"/>
      <c r="K165" t="inlineStr"/>
      <c r="L165" t="inlineStr"/>
      <c r="M165" t="inlineStr"/>
      <c r="N165" t="inlineStr"/>
      <c r="O165">
        <f>(1-Summary!$B$11)*S165+Summary!$B$11*U165</f>
        <v/>
      </c>
      <c r="P165">
        <f>IF(B202=0,0,O165/B202)</f>
        <v/>
      </c>
      <c r="Q165">
        <f>IFERROR(1/(IF(Inputs!$B$39="pvp",15,MAX(0.1,Skills!D5-IF(Skills!E5=TRUE,Inputs!$B$33,0)))*(1-IF(AND(ArtifactsInput!$M$27,Inputs!$B$4="Chapter Hunt"),CHOOSE(ArtifactsInput!$N$27+1,20,24,28,32,36,40),0)/100)),0)</f>
        <v/>
      </c>
      <c r="R165">
        <f>IF(AND(Inputs!$B$39&lt;&gt;"pvp",Inputs!$B$44&gt;0),IF(Inputs!$B$44&lt;=0,0,(INT(Inputs!$B$44/(IF(Inputs!$B$39="pvp",15,MAX(0.1,Skills!D5-IF(Skills!E5=TRUE,Inputs!$B$33,0)))*(1-IF(AND(ArtifactsInput!$M$27,Inputs!$B$4="Chapter Hunt"),CHOOSE(ArtifactsInput!$N$27+1,20,24,28,32,36,40),0)/100)))+1)),0)</f>
        <v/>
      </c>
      <c r="S165" t="n">
        <v>0</v>
      </c>
      <c r="U165" t="n">
        <v>0</v>
      </c>
    </row>
    <row r="166">
      <c r="A166">
        <f>Skills!A6</f>
        <v/>
      </c>
      <c r="B166">
        <f>Skills!B6</f>
        <v/>
      </c>
      <c r="C166">
        <f>Inputs!$B$3&gt;=103</f>
        <v/>
      </c>
      <c r="D166">
        <f>IF(Skills!C6=1,60+Inputs!$B$26+Inputs!$B$30,IF(Skills!C6=2,90+Inputs!$B$27+Inputs!$B$30,IF(Skills!C6=3,120+Inputs!$B$28+Inputs!$B$30,MAX(0,(Inputs!$B$3-100)*3)+Inputs!$B$29+Inputs!$B$30)))</f>
        <v/>
      </c>
      <c r="E166">
        <f>INDEX(FactorTable!$B$2:$Y$301, MATCH(ROUND(MIN(300,MAX(1,D166)),0), FactorTable!$A$2:$A$301,0), Skills!L6+1)</f>
        <v/>
      </c>
      <c r="F166">
        <f>IF(Skills!M6=TRUE,(Skills!K6/10)*(E166/1000),Skills!K6/10)+Skills!N6</f>
        <v/>
      </c>
      <c r="G166">
        <f>Calc!G6</f>
        <v/>
      </c>
      <c r="H166">
        <f>Calc!H6</f>
        <v/>
      </c>
      <c r="I166">
        <f>IF(Skills!T6&lt;&gt;"",1+(Skills!T6/10)*($Z$3/1000)/100,1)</f>
        <v/>
      </c>
      <c r="J166">
        <f>((Inputs!$B$6*(1+Inputs!$B$7/100))+(((Inputs!$B$13*(1+Inputs!$B$14/100))-(Inputs!$B$13*(1+Inputs!$B$14/100)))+0.25*(Inputs!$B$15-Inputs!$B$15))*(1+Inputs!$B$7/100))*(F166/100)</f>
        <v/>
      </c>
      <c r="K166">
        <f>J166*(1+(((Inputs!$B$13+IF(Inputs!$B$3&gt;=35,(10*INDEX(FactorTable!$B$2:$Y$301,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6="TRIUMPH_FEATHER",IF(C176=TRUE,F176,0),0)/100)*(1+IF(C187=TRUE,F187,0)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166)</f>
        <v/>
      </c>
      <c r="L166">
        <f>K166*(MIN(Inputs!$B$23+(F182-Calc!F22),(Inputs!$B$24+IF(ArtifactsInput!$M$15,CHOOSE(ArtifactsInput!$N$15+1,25,30,35,40,45,50)/100*(Inputs!$B$12-Inputs!$B$12),0)))/100+(Inputs!$B$24+IF(ArtifactsInput!$M$15,CHOOSE(ArtifactsInput!$N$15+1,25,30,35,40,45,50)/100*(Inputs!$B$12-Inputs!$B$12),0))/100)/2</f>
        <v/>
      </c>
      <c r="M166">
        <f>L166*(1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
        <f>L166*(1-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(1-Summary!$B$11)*S166+Summary!$B$11*U166</f>
        <v/>
      </c>
      <c r="P166">
        <f>IF(B202=0,0,O166/B202)</f>
        <v/>
      </c>
      <c r="Q166">
        <f>IFERROR(1/(IF(Inputs!$B$39="pvp",15,MAX(0.1,Skills!D6-IF(Skills!E6=TRUE,Inputs!$B$33,0)))*(1-IF(AND(ArtifactsInput!$M$27,Inputs!$B$4="Chapter Hunt"),CHOOSE(ArtifactsInput!$N$27+1,20,24,28,32,36,40),0)/100)),0)</f>
        <v/>
      </c>
      <c r="R166">
        <f>IF(AND(Inputs!$B$39&lt;&gt;"pvp",Inputs!$B$44&gt;0),IF(MAX(0,Inputs!$B$44-B199)&lt;=0,0,(INT(MAX(0,Inputs!$B$44-B199)/(IF(Inputs!$B$39="pvp",15,MAX(0.1,Skills!D6-IF(Skills!E6=TRUE,Inputs!$B$33,0)))*(1-IF(AND(ArtifactsInput!$M$27,Inputs!$B$4="Chapter Hunt"),CHOOSE(ArtifactsInput!$N$27+1,20,24,28,32,36,40),0)/100)))+1)),0)</f>
        <v/>
      </c>
      <c r="S166">
        <f>IF(C166,(H166*N166*IF(AND(Inputs!$B$39&lt;&gt;"pvp",Inputs!$B$44&gt;0),((Skills!F6*((R166-1)*IF(Skills!G6&gt;0,Skills!H6/Skills!G6,1)+IF(Skills!G6&gt;0,MIN(Skills!H6,MAX(0,MAX(0,Inputs!$B$44-B199)-((R166-1)*(IF(Inputs!$B$39="pvp",15,MAX(0.1,Skills!D6-IF(Skills!E6=TRUE,Inputs!$B$33,0)))*(1-IF(AND(ArtifactsInput!$M$27,Inputs!$B$4="Chapter Hunt"),CHOOSE(ArtifactsInput!$N$27+1,20,24,28,32,36,40),0)/100)))))/Skills!G6,1)))/Inputs!$B$44),G166*Q166))*IF(Inputs!$B$39="pvp",1,1+(Inputs!$B$21+Skills!O6+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
        <f>IF(C166,(H166*N166*IF(AND(Inputs!$B$39&lt;&gt;"pvp",Inputs!$B$44&gt;0),((Skills!F6*((R166-1)*IF(Skills!G6&gt;0,Skills!H6/Skills!G6,1)+IF(Skills!G6&gt;0,MIN(Skills!H6,MAX(0,MAX(0,Inputs!$B$44-B199)-((R166-1)*(IF(Inputs!$B$39="pvp",15,MAX(0.1,Skills!D6-IF(Skills!E6=TRUE,Inputs!$B$33,0)))*(1-IF(AND(ArtifactsInput!$M$27,Inputs!$B$4="Chapter Hunt"),CHOOSE(ArtifactsInput!$N$27+1,20,24,28,32,36,40),0)/100)))))/Skills!G6,1)))/Inputs!$B$44),G166*Q166))*IF(Inputs!$B$39="pvp",1,(1+(Inputs!$B$22+Skills!P6+B191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Skills!A7</f>
        <v/>
      </c>
      <c r="B167">
        <f>Skills!B7</f>
        <v/>
      </c>
      <c r="C167">
        <f>Inputs!$B$3&gt;=122</f>
        <v/>
      </c>
      <c r="D167">
        <f>IF(Skills!C7=1,60+Inputs!$B$26+Inputs!$B$30,IF(Skills!C7=2,90+Inputs!$B$27+Inputs!$B$30,IF(Skills!C7=3,120+Inputs!$B$28+Inputs!$B$30,MAX(0,(Inputs!$B$3-100)*3)+Inputs!$B$29+Inputs!$B$30)))</f>
        <v/>
      </c>
      <c r="E167">
        <f>INDEX(FactorTable!$B$2:$Y$301, MATCH(ROUND(MIN(300,MAX(1,D167)),0), FactorTable!$A$2:$A$301,0), Skills!L7+1)</f>
        <v/>
      </c>
      <c r="F167">
        <f>IF(Skills!M7=TRUE,(Skills!K7/10)*(E167/1000),Skills!K7/10)+Skills!N7</f>
        <v/>
      </c>
      <c r="G167">
        <f>Calc!G7</f>
        <v/>
      </c>
      <c r="H167">
        <f>Calc!H7</f>
        <v/>
      </c>
      <c r="I167">
        <f>IF(Skills!T7&lt;&gt;"",1+(Skills!T7/10)*($Z$3/1000)/100,1)</f>
        <v/>
      </c>
      <c r="J167">
        <f>((Inputs!$B$6*(1+Inputs!$B$7/100))+(((Inputs!$B$13*(1+Inputs!$B$14/100))-(Inputs!$B$13*(1+Inputs!$B$14/100)))+0.25*(Inputs!$B$15-Inputs!$B$15))*(1+Inputs!$B$7/100))*(F167/100)</f>
        <v/>
      </c>
      <c r="K167">
        <f>J167*(1+(((Inputs!$B$13+IF(Inputs!$B$3&gt;=35,(10*INDEX(FactorTable!$B$2:$Y$301,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7="TRIUMPH_FEATHER",IF(C176=TRUE,F176,0),0)/100)*(1+IF(C187=TRUE,F187,0)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167)</f>
        <v/>
      </c>
      <c r="L167">
        <f>K167*(MIN(Inputs!$B$23+(F182-Calc!F22),(Inputs!$B$24+IF(ArtifactsInput!$M$15,CHOOSE(ArtifactsInput!$N$15+1,25,30,35,40,45,50)/100*(Inputs!$B$12-Inputs!$B$12),0)))/100+(Inputs!$B$24+IF(ArtifactsInput!$M$15,CHOOSE(ArtifactsInput!$N$15+1,25,30,35,40,45,50)/100*(Inputs!$B$12-Inputs!$B$12),0))/100)/2</f>
        <v/>
      </c>
      <c r="M167">
        <f>L167*(1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7">
        <f>L167*(1-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(1-Summary!$B$11)*S167+Summary!$B$11*U167</f>
        <v/>
      </c>
      <c r="P167">
        <f>IF(B202=0,0,O167/B202)</f>
        <v/>
      </c>
      <c r="Q167">
        <f>IFERROR(1/(IF(Inputs!$B$39="pvp",15,MAX(0.1,Skills!D7-IF(Skills!E6=TRUE,Inputs!$B$33,0)))*(1-IF(AND(ArtifactsInput!$M$27,Inputs!$B$4="Chapter Hunt"),CHOOSE(ArtifactsInput!$N$27+1,20,24,28,32,36,40),0)/100)),0)</f>
        <v/>
      </c>
      <c r="R167">
        <f>IF(AND(Inputs!$B$39&lt;&gt;"pvp",Inputs!$B$44&gt;0),IF(MAX(0,Inputs!$B$44-B199)&lt;=0,0,(INT(MAX(0,Inputs!$B$44-B199)/(IF(Inputs!$B$39="pvp",15,MAX(0.1,Skills!D7-IF(Skills!E6=TRUE,Inputs!$B$33,0)))*(1-IF(AND(ArtifactsInput!$M$27,Inputs!$B$4="Chapter Hunt"),CHOOSE(ArtifactsInput!$N$27+1,20,24,28,32,36,40),0)/100)))+1)),0)</f>
        <v/>
      </c>
      <c r="S167">
        <f>IF(C167,H167*N167*IF(AND(Inputs!$B$39&lt;&gt;"pvp",Inputs!$B$44&gt;0),((Skills!F7*((R167-1)*IF(Skills!G7&gt;0,Skills!H7/Skills!G7,1)+IF(Skills!G7&gt;0,MIN(Skills!H7,MAX(0,MAX(0,Inputs!$B$44-B199)-((R167-1)*(IF(Inputs!$B$39="pvp",15,MAX(0.1,Skills!D7-IF(Skills!E6=TRUE,Inputs!$B$33,0)))*(1-IF(AND(ArtifactsInput!$M$27,Inputs!$B$4="Chapter Hunt"),CHOOSE(ArtifactsInput!$N$27+1,20,24,28,32,36,40),0)/100)))))/Skills!G7,1)))/Inputs!$B$44),G167*Q167)*IF(Inputs!$B$39="pvp",1,1+(Inputs!$B$21+Skills!O7+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167*(1-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 t="n">
        <v>0</v>
      </c>
    </row>
    <row r="168">
      <c r="A168">
        <f>Skills!A8</f>
        <v/>
      </c>
      <c r="B168">
        <f>Skills!B8</f>
        <v/>
      </c>
      <c r="C168">
        <f>Inputs!$B$3&gt;=105</f>
        <v/>
      </c>
      <c r="D168">
        <f>IF(Skills!C8=1,60+Inputs!$B$26+Inputs!$B$30,IF(Skills!C8=2,90+Inputs!$B$27+Inputs!$B$30,IF(Skills!C8=3,120+Inputs!$B$28+Inputs!$B$30,MAX(0,(Inputs!$B$3-100)*3)+Inputs!$B$29+Inputs!$B$30)))</f>
        <v/>
      </c>
      <c r="E168">
        <f>INDEX(FactorTable!$B$2:$Y$301, MATCH(ROUND(MIN(300,MAX(1,D168)),0), FactorTable!$A$2:$A$301,0), Skills!L8+1)</f>
        <v/>
      </c>
      <c r="F168">
        <f>IF(Skills!M8=TRUE,(Skills!K8/10)*(E168/1000),Skills!K8/10)+Skills!N8</f>
        <v/>
      </c>
      <c r="G168">
        <f>Calc!G8</f>
        <v/>
      </c>
      <c r="H168">
        <f>Calc!H8</f>
        <v/>
      </c>
      <c r="I168">
        <f>IF(Skills!T8&lt;&gt;"",1+(Skills!T8/10)*($Z$3/1000)/100,1)</f>
        <v/>
      </c>
      <c r="J168">
        <f>((Inputs!$B$6*(1+Inputs!$B$7/100))+(((Inputs!$B$13*(1+Inputs!$B$14/100))-(Inputs!$B$13*(1+Inputs!$B$14/100)))+0.25*(Inputs!$B$15-Inputs!$B$15))*(1+Inputs!$B$7/100))*(F168/100)</f>
        <v/>
      </c>
      <c r="K168">
        <f>J168*(1+(((Inputs!$B$13+IF(Inputs!$B$3&gt;=35,(10*INDEX(FactorTable!$B$2:$Y$301,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8="TRIUMPH_FEATHER",IF(C176=TRUE,F176,0),0)/100)*(1+IF(C187=TRUE,F187,0)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168)</f>
        <v/>
      </c>
      <c r="L168">
        <f>K168*(MIN(Inputs!$B$23+(F182-Calc!F22),(Inputs!$B$24+IF(ArtifactsInput!$M$15,CHOOSE(ArtifactsInput!$N$15+1,25,30,35,40,45,50)/100*(Inputs!$B$12-Inputs!$B$12),0)))/100+(Inputs!$B$24+IF(ArtifactsInput!$M$15,CHOOSE(ArtifactsInput!$N$15+1,25,30,35,40,45,50)/100*(Inputs!$B$12-Inputs!$B$12),0))/100)/2</f>
        <v/>
      </c>
      <c r="M168">
        <f>L168*(1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IF(B202=0,0,O168/B202)</f>
        <v/>
      </c>
      <c r="Q168">
        <f>IFERROR(1/(IF(Inputs!$B$39="pvp",15,MAX(0.1,Skills!D8-IF(Skills!E8=TRUE,Inputs!$B$33,0)))*(1-IF(AND(ArtifactsInput!$M$27,Inputs!$B$4="Chapter Hunt"),CHOOSE(ArtifactsInput!$N$27+1,20,24,28,32,36,40),0)/100)),0)</f>
        <v/>
      </c>
      <c r="R168">
        <f>IF(AND(Inputs!$B$39&lt;&gt;"pvp",Inputs!$B$44&gt;0),IF(MAX(0,Inputs!$B$44-B199)&lt;=0,0,(INT(MAX(0,Inputs!$B$44-B199)/(IF(Inputs!$B$39="pvp",15,MAX(0.1,Skills!D8-IF(Skills!E8=TRUE,Inputs!$B$33,0)))*(1-IF(AND(ArtifactsInput!$M$27,Inputs!$B$4="Chapter Hunt"),CHOOSE(ArtifactsInput!$N$27+1,20,24,28,32,36,40),0)/100)))+1)),0)</f>
        <v/>
      </c>
      <c r="S168">
        <f>IF(C168,(H168*N168*IF(AND(Inputs!$B$39&lt;&gt;"pvp",Inputs!$B$44&gt;0),((Skills!F8*((R168-1)*IF(Skills!G8&gt;0,Skills!H8/Skills!G8,1)+IF(Skills!G8&gt;0,MIN(Skills!H8,MAX(0,MAX(0,Inputs!$B$44-B199)-((R168-1)*(IF(Inputs!$B$39="pvp",15,MAX(0.1,Skills!D8-IF(Skills!E8=TRUE,Inputs!$B$33,0)))*(1-IF(AND(ArtifactsInput!$M$27,Inputs!$B$4="Chapter Hunt"),CHOOSE(ArtifactsInput!$N$27+1,20,24,28,32,36,40),0)/100)))))/Skills!G8,1)))/Inputs!$B$44),G168*Q168))*IF(Inputs!$B$39="pvp",1,1+(Inputs!$B$21+Skills!O8+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8*((R168-1)*IF(Skills!G8&gt;0,Skills!H8/Skills!G8,1)+IF(Skills!G8&gt;0,MIN(Skills!H8,MAX(0,MAX(0,Inputs!$B$44-B199)-((R168-1)*(IF(Inputs!$B$39="pvp",15,MAX(0.1,Skills!D8-IF(Skills!E8=TRUE,Inputs!$B$33,0)))*(1-IF(AND(ArtifactsInput!$M$27,Inputs!$B$4="Chapter Hunt"),CHOOSE(ArtifactsInput!$N$27+1,20,24,28,32,36,40),0)/100)))))/Skills!G8,1)))/Inputs!$B$44),G168*Q168))*IF(Inputs!$B$39="pvp",1,(1+(Inputs!$B$22+Skills!P8+B191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Skills!A9</f>
        <v/>
      </c>
      <c r="B169">
        <f>Skills!B9</f>
        <v/>
      </c>
      <c r="C169">
        <f>Inputs!$B$3&gt;=115</f>
        <v/>
      </c>
      <c r="D169">
        <f>IF(Skills!C9=1,60+Inputs!$B$26+Inputs!$B$30,IF(Skills!C9=2,90+Inputs!$B$27+Inputs!$B$30,IF(Skills!C9=3,120+Inputs!$B$28+Inputs!$B$30,MAX(0,(Inputs!$B$3-100)*3)+Inputs!$B$29+Inputs!$B$30)))</f>
        <v/>
      </c>
      <c r="E169">
        <f>INDEX(FactorTable!$B$2:$Y$301, MATCH(ROUND(MIN(300,MAX(1,D169)),0), FactorTable!$A$2:$A$301,0), Skills!L9+1)</f>
        <v/>
      </c>
      <c r="F169">
        <f>IF(Skills!M9=TRUE,(Skills!K9/10)*(E169/1000),Skills!K9/10)+Skills!N9</f>
        <v/>
      </c>
      <c r="G169">
        <f>Calc!G9</f>
        <v/>
      </c>
      <c r="H169">
        <f>Calc!H9</f>
        <v/>
      </c>
      <c r="I169">
        <f>IF(Skills!T9&lt;&gt;"",1+(Skills!T9/10)*($Z$3/1000)/100,1)</f>
        <v/>
      </c>
      <c r="J169">
        <f>((Inputs!$B$6*(1+Inputs!$B$7/100))+(((Inputs!$B$13*(1+Inputs!$B$14/100))-(Inputs!$B$13*(1+Inputs!$B$14/100)))+0.25*(Inputs!$B$15-Inputs!$B$15))*(1+Inputs!$B$7/100))*(F169/100)</f>
        <v/>
      </c>
      <c r="K169">
        <f>J169*(1+(((Inputs!$B$13+IF(Inputs!$B$3&gt;=35,(10*INDEX(FactorTable!$B$2:$Y$301,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9="TRIUMPH_FEATHER",IF(C176=TRUE,F176,0),0)/100)*(1+IF(C187=TRUE,F187,0)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169)</f>
        <v/>
      </c>
      <c r="L169">
        <f>K169*(MIN(Inputs!$B$23+(F182-Calc!F22),(Inputs!$B$24+IF(ArtifactsInput!$M$15,CHOOSE(ArtifactsInput!$N$15+1,25,30,35,40,45,50)/100*(Inputs!$B$12-Inputs!$B$12),0)))/100+(Inputs!$B$24+IF(ArtifactsInput!$M$15,CHOOSE(ArtifactsInput!$N$15+1,25,30,35,40,45,50)/100*(Inputs!$B$12-Inputs!$B$12),0))/100)/2</f>
        <v/>
      </c>
      <c r="M169">
        <f>L169*(1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IF(B202=0,0,O169/B202)</f>
        <v/>
      </c>
      <c r="Q169">
        <f>IFERROR(1/(IF(Inputs!$B$39="pvp",15,MAX(0.1,Skills!D9-IF(Skills!E9=TRUE,Inputs!$B$33,0)))*(1-IF(AND(ArtifactsInput!$M$27,Inputs!$B$4="Chapter Hunt"),CHOOSE(ArtifactsInput!$N$27+1,20,24,28,32,36,40),0)/100)),0)</f>
        <v/>
      </c>
      <c r="R169">
        <f>IF(AND(Inputs!$B$39&lt;&gt;"pvp",Inputs!$B$44&gt;0),IF(MAX(0,Inputs!$B$44-B199)&lt;=0,0,(INT(MAX(0,Inputs!$B$44-B199)/(IF(Inputs!$B$39="pvp",15,MAX(0.1,Skills!D9-IF(Skills!E9=TRUE,Inputs!$B$33,0)))*(1-IF(AND(ArtifactsInput!$M$27,Inputs!$B$4="Chapter Hunt"),CHOOSE(ArtifactsInput!$N$27+1,20,24,28,32,36,40),0)/100)))+1)),0)</f>
        <v/>
      </c>
      <c r="S169">
        <f>IF(C169,(H169*N169*IF(AND(Inputs!$B$39&lt;&gt;"pvp",Inputs!$B$44&gt;0),((Skills!F9*((R169-1)*IF(Skills!G9&gt;0,Skills!H9/Skills!G9,1)+IF(Skills!G9&gt;0,MIN(Skills!H9,MAX(0,MAX(0,Inputs!$B$44-B199)-((R169-1)*(IF(Inputs!$B$39="pvp",15,MAX(0.1,Skills!D9-IF(Skills!E9=TRUE,Inputs!$B$33,0)))*(1-IF(AND(ArtifactsInput!$M$27,Inputs!$B$4="Chapter Hunt"),CHOOSE(ArtifactsInput!$N$27+1,20,24,28,32,36,40),0)/100)))))/Skills!G9,1)))/Inputs!$B$44),G169*Q169))*IF(Inputs!$B$39="pvp",1,1+(Inputs!$B$21+Skills!O9+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f>IF(C169,(H169*N169*IF(AND(Inputs!$B$39&lt;&gt;"pvp",Inputs!$B$44&gt;0),((Skills!F9*((R169-1)*IF(Skills!G9&gt;0,Skills!H9/Skills!G9,1)+IF(Skills!G9&gt;0,MIN(Skills!H9,MAX(0,MAX(0,Inputs!$B$44-B199)-((R169-1)*(IF(Inputs!$B$39="pvp",15,MAX(0.1,Skills!D9-IF(Skills!E9=TRUE,Inputs!$B$33,0)))*(1-IF(AND(ArtifactsInput!$M$27,Inputs!$B$4="Chapter Hunt"),CHOOSE(ArtifactsInput!$N$27+1,20,24,28,32,36,40),0)/100)))))/Skills!G9,1)))/Inputs!$B$44),G169*Q169))*IF(Inputs!$B$39="pvp",1,(1+(Inputs!$B$22+Skills!P9+B191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Skills!A10</f>
        <v/>
      </c>
      <c r="B170">
        <f>Skills!B10</f>
        <v/>
      </c>
      <c r="C170">
        <f>Inputs!$B$3&gt;=66</f>
        <v/>
      </c>
      <c r="D170">
        <f>IF(Skills!C10=1,60+Inputs!$B$26+Inputs!$B$30,IF(Skills!C10=2,90+Inputs!$B$27+Inputs!$B$30,IF(Skills!C10=3,120+Inputs!$B$28+Inputs!$B$30,MAX(0,(Inputs!$B$3-100)*3)+Inputs!$B$29+Inputs!$B$30)))</f>
        <v/>
      </c>
      <c r="E170">
        <f>INDEX(FactorTable!$B$2:$Y$301, MATCH(ROUND(MIN(300,MAX(1,D170)),0), FactorTable!$A$2:$A$301,0), Skills!L10+1)</f>
        <v/>
      </c>
      <c r="F170" t="n">
        <v>0</v>
      </c>
      <c r="G170">
        <f>Calc!G10</f>
        <v/>
      </c>
      <c r="H170">
        <f>Calc!H10</f>
        <v/>
      </c>
      <c r="I170">
        <f>IF(Skills!T10&lt;&gt;"",1+(Skills!T10/10)*($Z$3/1000)/100,1)</f>
        <v/>
      </c>
      <c r="J170" t="inlineStr"/>
      <c r="K170" t="inlineStr"/>
      <c r="L170" t="inlineStr"/>
      <c r="M170" t="inlineStr"/>
      <c r="N170" t="inlineStr"/>
      <c r="O170">
        <f>(1-Summary!$B$11)*S170+Summary!$B$11*U170</f>
        <v/>
      </c>
      <c r="P170">
        <f>IF(B202=0,0,O170/B202)</f>
        <v/>
      </c>
      <c r="Q170">
        <f>IFERROR(1/(IF(Inputs!$B$39="pvp",15,MAX(0.1,Skills!D10-IF(Skills!E10=TRUE,Inputs!$B$33,0)))*(1-IF(AND(ArtifactsInput!$M$27,Inputs!$B$4="Chapter Hunt"),CHOOSE(ArtifactsInput!$N$27+1,20,24,28,32,36,40),0)/100)),0)</f>
        <v/>
      </c>
      <c r="R170">
        <f>IF(AND(Inputs!$B$39&lt;&gt;"pvp",Inputs!$B$44&gt;0),IF(MAX(0,Inputs!$B$44-B199)&lt;=0,0,(INT(MAX(0,Inputs!$B$44-B199)/(IF(Inputs!$B$39="pvp",15,MAX(0.1,Skills!D10-IF(Skills!E10=TRUE,Inputs!$B$33,0)))*(1-IF(AND(ArtifactsInput!$M$27,Inputs!$B$4="Chapter Hunt"),CHOOSE(ArtifactsInput!$N$27+1,20,24,28,32,36,40),0)/100)))+1)),0)</f>
        <v/>
      </c>
      <c r="S170" t="n">
        <v>0</v>
      </c>
      <c r="U170" t="n">
        <v>0</v>
      </c>
    </row>
    <row r="171">
      <c r="A171">
        <f>Skills!A11</f>
        <v/>
      </c>
      <c r="B171">
        <f>Skills!B11</f>
        <v/>
      </c>
      <c r="C171">
        <f>Inputs!$B$3&gt;=69</f>
        <v/>
      </c>
      <c r="D171">
        <f>IF(Skills!C11=1,60+Inputs!$B$26+Inputs!$B$30,IF(Skills!C11=2,90+Inputs!$B$27+Inputs!$B$30,IF(Skills!C11=3,120+Inputs!$B$28+Inputs!$B$30,MAX(0,(Inputs!$B$3-100)*3)+Inputs!$B$29+Inputs!$B$30)))</f>
        <v/>
      </c>
      <c r="E171">
        <f>INDEX(FactorTable!$B$2:$Y$301, MATCH(ROUND(MIN(300,MAX(1,D171)),0), FactorTable!$A$2:$A$301,0), Skills!L11+1)</f>
        <v/>
      </c>
      <c r="F171">
        <f>IF(Skills!M11=TRUE,(Skills!K11/10)*(E171/1000),Skills!K11/10)+Skills!N11</f>
        <v/>
      </c>
      <c r="G171">
        <f>Calc!G11</f>
        <v/>
      </c>
      <c r="H171">
        <f>Calc!H11</f>
        <v/>
      </c>
      <c r="I171">
        <f>IF(Skills!T11&lt;&gt;"",1+(Skills!T11/10)*($Z$3/1000)/100,1)</f>
        <v/>
      </c>
      <c r="J171" t="inlineStr"/>
      <c r="K171" t="inlineStr"/>
      <c r="L171" t="inlineStr"/>
      <c r="M171" t="inlineStr"/>
      <c r="N171" t="inlineStr"/>
      <c r="O171">
        <f>(1-Summary!$B$11)*S171+Summary!$B$11*U171</f>
        <v/>
      </c>
      <c r="P171">
        <f>IF(B202=0,0,O171/B202)</f>
        <v/>
      </c>
      <c r="Q171">
        <f>IFERROR(1/(IF(Inputs!$B$39="pvp",15,MAX(0.1,Skills!D11-IF(Skills!E11=TRUE,Inputs!$B$33,0)))*(1-IF(AND(ArtifactsInput!$M$27,Inputs!$B$4="Chapter Hunt"),CHOOSE(ArtifactsInput!$N$27+1,20,24,28,32,36,40),0)/100)),0)</f>
        <v/>
      </c>
      <c r="R171">
        <f>IF(AND(Inputs!$B$39&lt;&gt;"pvp",Inputs!$B$44&gt;0),IF(Inputs!$B$44&lt;=0,0,(INT(Inputs!$B$44/(IF(Inputs!$B$39="pvp",15,MAX(0.1,Skills!D11-IF(Skills!E11=TRUE,Inputs!$B$33,0)))*(1-IF(AND(ArtifactsInput!$M$27,Inputs!$B$4="Chapter Hunt"),CHOOSE(ArtifactsInput!$N$27+1,20,24,28,32,36,40),0)/100)))+1)),0)</f>
        <v/>
      </c>
      <c r="S171" t="n">
        <v>0</v>
      </c>
      <c r="U171" t="n">
        <v>0</v>
      </c>
    </row>
    <row r="172">
      <c r="A172">
        <f>Skills!A12</f>
        <v/>
      </c>
      <c r="B172">
        <f>Skills!B12</f>
        <v/>
      </c>
      <c r="C172">
        <f>Inputs!$B$3&gt;=72</f>
        <v/>
      </c>
      <c r="D172">
        <f>IF(Skills!C12=1,60+Inputs!$B$26+Inputs!$B$30,IF(Skills!C12=2,90+Inputs!$B$27+Inputs!$B$30,IF(Skills!C12=3,120+Inputs!$B$28+Inputs!$B$30,MAX(0,(Inputs!$B$3-100)*3)+Inputs!$B$29+Inputs!$B$30)))</f>
        <v/>
      </c>
      <c r="E172">
        <f>INDEX(FactorTable!$B$2:$Y$301, MATCH(ROUND(MIN(300,MAX(1,D172)),0), FactorTable!$A$2:$A$301,0), Skills!L12+1)</f>
        <v/>
      </c>
      <c r="F172">
        <f>IF(Skills!M12=TRUE,(Skills!K12/10)*(E172/1000),Skills!K12/10)+Skills!N12</f>
        <v/>
      </c>
      <c r="G172">
        <f>Calc!G12</f>
        <v/>
      </c>
      <c r="H172">
        <f>Calc!H12</f>
        <v/>
      </c>
      <c r="I172">
        <f>IF(Skills!T12&lt;&gt;"",1+(Skills!T12/10)*($Z$3/1000)/100,1)</f>
        <v/>
      </c>
      <c r="J172" t="inlineStr"/>
      <c r="K172" t="inlineStr"/>
      <c r="L172" t="inlineStr"/>
      <c r="M172" t="inlineStr"/>
      <c r="N172" t="inlineStr"/>
      <c r="O172">
        <f>(1-Summary!$B$11)*S172+Summary!$B$11*U172</f>
        <v/>
      </c>
      <c r="P172">
        <f>IF(B202=0,0,O172/B202)</f>
        <v/>
      </c>
      <c r="Q172">
        <f>IFERROR(1/(IF(Inputs!$B$39="pvp",15,MAX(0.1,Skills!D12-IF(Skills!E12=TRUE,Inputs!$B$33,0)))*(1-IF(AND(ArtifactsInput!$M$27,Inputs!$B$4="Chapter Hunt"),CHOOSE(ArtifactsInput!$N$27+1,20,24,28,32,36,40),0)/100)),0)</f>
        <v/>
      </c>
      <c r="R172">
        <f>IF(AND(Inputs!$B$39&lt;&gt;"pvp",Inputs!$B$44&gt;0),IF(MAX(0,Inputs!$B$44-B199)&lt;=0,0,(INT(MAX(0,Inputs!$B$44-B199)/(IF(Inputs!$B$39="pvp",15,MAX(0.1,Skills!D12-IF(Skills!E12=TRUE,Inputs!$B$33,0)))*(1-IF(AND(ArtifactsInput!$M$27,Inputs!$B$4="Chapter Hunt"),CHOOSE(ArtifactsInput!$N$27+1,20,24,28,32,36,40),0)/100)))+1)),0)</f>
        <v/>
      </c>
      <c r="S172" t="n">
        <v>0</v>
      </c>
      <c r="U172" t="n">
        <v>0</v>
      </c>
    </row>
    <row r="173">
      <c r="A173">
        <f>Skills!A13</f>
        <v/>
      </c>
      <c r="B173">
        <f>Skills!B13</f>
        <v/>
      </c>
      <c r="C173">
        <f>Inputs!$B$3&gt;=60</f>
        <v/>
      </c>
      <c r="D173">
        <f>IF(Skills!C13=1,60+Inputs!$B$26+Inputs!$B$30,IF(Skills!C13=2,90+Inputs!$B$27+Inputs!$B$30,IF(Skills!C13=3,120+Inputs!$B$28+Inputs!$B$30,MAX(0,(Inputs!$B$3-100)*3)+Inputs!$B$29+Inputs!$B$30)))</f>
        <v/>
      </c>
      <c r="E173">
        <f>INDEX(FactorTable!$B$2:$Y$301, MATCH(ROUND(MIN(300,MAX(1,D173)),0), FactorTable!$A$2:$A$301,0), Skills!L13+1)</f>
        <v/>
      </c>
      <c r="F173">
        <f>IF(Skills!M13=TRUE,(Skills!K13/10)*(E173/1000),Skills!K13/10)+Skills!N13</f>
        <v/>
      </c>
      <c r="G173">
        <f>Calc!G13</f>
        <v/>
      </c>
      <c r="H173">
        <f>Calc!H13</f>
        <v/>
      </c>
      <c r="I173">
        <f>IF(Skills!T13&lt;&gt;"",1+(Skills!T13/10)*($Z$3/1000)/100,1)</f>
        <v/>
      </c>
      <c r="J173" t="inlineStr"/>
      <c r="K173" t="inlineStr"/>
      <c r="L173" t="inlineStr"/>
      <c r="M173" t="inlineStr"/>
      <c r="N173" t="inlineStr"/>
      <c r="O173">
        <f>(1-Summary!$B$11)*S173+Summary!$B$11*U173</f>
        <v/>
      </c>
      <c r="P173">
        <f>IF(B202=0,0,O173/B202)</f>
        <v/>
      </c>
      <c r="Q173">
        <f>IFERROR(1/(IF(Inputs!$B$39="pvp",15,MAX(0.1,Skills!D13-IF(Skills!E13=TRUE,Inputs!$B$33,0)))*(1-IF(AND(ArtifactsInput!$M$27,Inputs!$B$4="Chapter Hunt"),CHOOSE(ArtifactsInput!$N$27+1,20,24,28,32,36,40),0)/100)),0)</f>
        <v/>
      </c>
      <c r="R173">
        <f>IF(AND(Inputs!$B$39&lt;&gt;"pvp",Inputs!$B$44&gt;0),IF(MAX(0,Inputs!$B$44-B199)&lt;=0,0,(INT(MAX(0,Inputs!$B$44-B199)/(IF(Inputs!$B$39="pvp",15,MAX(0.1,Skills!D13-IF(Skills!E13=TRUE,Inputs!$B$33,0)))*(1-IF(AND(ArtifactsInput!$M$27,Inputs!$B$4="Chapter Hunt"),CHOOSE(ArtifactsInput!$N$27+1,20,24,28,32,36,40),0)/100)))+1)),0)</f>
        <v/>
      </c>
      <c r="S173" t="n">
        <v>0</v>
      </c>
      <c r="U173" t="n">
        <v>0</v>
      </c>
    </row>
    <row r="174">
      <c r="A174">
        <f>Skills!A14</f>
        <v/>
      </c>
      <c r="B174">
        <f>Skills!B14</f>
        <v/>
      </c>
      <c r="C174">
        <f>Inputs!$B$3&gt;=107</f>
        <v/>
      </c>
      <c r="D174">
        <f>IF(Skills!C14=1,60+Inputs!$B$26+Inputs!$B$30,IF(Skills!C14=2,90+Inputs!$B$27+Inputs!$B$30,IF(Skills!C14=3,120+Inputs!$B$28+Inputs!$B$30,MAX(0,(Inputs!$B$3-100)*3)+Inputs!$B$29+Inputs!$B$30)))</f>
        <v/>
      </c>
      <c r="E174">
        <f>INDEX(FactorTable!$B$2:$Y$301, MATCH(ROUND(MIN(300,MAX(1,D174)),0), FactorTable!$A$2:$A$301,0), Skills!L14+1)</f>
        <v/>
      </c>
      <c r="F174">
        <f>IF(Skills!M14=TRUE,(Skills!K14/10)*(E174/1000),Skills!K14/10)+Skills!N14</f>
        <v/>
      </c>
      <c r="G174">
        <f>Calc!G14</f>
        <v/>
      </c>
      <c r="H174">
        <f>Calc!H14</f>
        <v/>
      </c>
      <c r="I174">
        <f>IF(Skills!T14&lt;&gt;"",1+(Skills!T14/10)*($Z$3/1000)/100,1)</f>
        <v/>
      </c>
      <c r="J174" t="inlineStr"/>
      <c r="K174" t="inlineStr"/>
      <c r="L174" t="inlineStr"/>
      <c r="M174" t="inlineStr"/>
      <c r="N174" t="inlineStr"/>
      <c r="O174">
        <f>(1-Summary!$B$11)*S174+Summary!$B$11*U174</f>
        <v/>
      </c>
      <c r="P174">
        <f>IF(B202=0,0,O174/B202)</f>
        <v/>
      </c>
      <c r="Q174">
        <f>IFERROR(1/(IF(Inputs!$B$39="pvp",15,MAX(0.1,Skills!D14-IF(Skills!E14=TRUE,Inputs!$B$33,0)))*(1-IF(AND(ArtifactsInput!$M$27,Inputs!$B$4="Chapter Hunt"),CHOOSE(ArtifactsInput!$N$27+1,20,24,28,32,36,40),0)/100)),0)</f>
        <v/>
      </c>
      <c r="R174">
        <f>IF(AND(Inputs!$B$39&lt;&gt;"pvp",Inputs!$B$44&gt;0),IF(Inputs!$B$44&lt;=0,0,(INT(Inputs!$B$44/(IF(Inputs!$B$39="pvp",15,MAX(0.1,Skills!D14-IF(Skills!E14=TRUE,Inputs!$B$33,0)))*(1-IF(AND(ArtifactsInput!$M$27,Inputs!$B$4="Chapter Hunt"),CHOOSE(ArtifactsInput!$N$27+1,20,24,28,32,36,40),0)/100)))+1)),0)</f>
        <v/>
      </c>
      <c r="S174" t="n">
        <v>0</v>
      </c>
      <c r="U174" t="n">
        <v>0</v>
      </c>
    </row>
    <row r="175">
      <c r="A175">
        <f>Skills!A15</f>
        <v/>
      </c>
      <c r="B175">
        <f>Skills!B15</f>
        <v/>
      </c>
      <c r="C175">
        <f>Inputs!$B$3&gt;=63</f>
        <v/>
      </c>
      <c r="D175">
        <f>IF(Skills!C15=1,60+Inputs!$B$26+Inputs!$B$30,IF(Skills!C15=2,90+Inputs!$B$27+Inputs!$B$30,IF(Skills!C15=3,120+Inputs!$B$28+Inputs!$B$30,MAX(0,(Inputs!$B$3-100)*3)+Inputs!$B$29+Inputs!$B$30)))</f>
        <v/>
      </c>
      <c r="E175">
        <f>INDEX(FactorTable!$B$2:$Y$301, MATCH(ROUND(MIN(300,MAX(1,D175)),0), FactorTable!$A$2:$A$301,0), Skills!L15+1)</f>
        <v/>
      </c>
      <c r="F175">
        <f>IF(Skills!M15=TRUE,(Skills!K15/10)*(E175/1000),Skills!K15/10)+Skills!N15</f>
        <v/>
      </c>
      <c r="G175">
        <f>Calc!G15</f>
        <v/>
      </c>
      <c r="H175">
        <f>Calc!H15</f>
        <v/>
      </c>
      <c r="I175">
        <f>IF(Skills!T15&lt;&gt;"",1+(Skills!T15/10)*($Z$3/1000)/100,1)</f>
        <v/>
      </c>
      <c r="J175">
        <f>((Inputs!$B$6*(1+Inputs!$B$7/100))+(((Inputs!$B$13*(1+Inputs!$B$14/100))-(Inputs!$B$13*(1+Inputs!$B$14/100)))+0.25*(Inputs!$B$15-Inputs!$B$15))*(1+Inputs!$B$7/100))*(F175/100)</f>
        <v/>
      </c>
      <c r="K175">
        <f>J175*(1+(((Inputs!$B$13+IF(Inputs!$B$3&gt;=35,(10*INDEX(FactorTable!$B$2:$Y$301,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15="TRIUMPH_FEATHER",IF(C176=TRUE,F176,0),0)/100)*(1+IF(C187=TRUE,F187,0)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175)</f>
        <v/>
      </c>
      <c r="L175">
        <f>K175*(MIN(Inputs!$B$23+(F182-Calc!F22),(Inputs!$B$24+IF(ArtifactsInput!$M$15,CHOOSE(ArtifactsInput!$N$15+1,25,30,35,40,45,50)/100*(Inputs!$B$12-Inputs!$B$12),0)))/100+(Inputs!$B$24+IF(ArtifactsInput!$M$15,CHOOSE(ArtifactsInput!$N$15+1,25,30,35,40,45,50)/100*(Inputs!$B$12-Inputs!$B$12),0))/100)/2</f>
        <v/>
      </c>
      <c r="M175">
        <f>L175*(1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
        <f>L175*(1-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(1-Summary!$B$11)*S175+Summary!$B$11*U175</f>
        <v/>
      </c>
      <c r="P175">
        <f>IF(B202=0,0,O175/B202)</f>
        <v/>
      </c>
      <c r="Q175">
        <f>IFERROR(1/(IF(Inputs!$B$39="pvp",15,MAX(0.1,Skills!D15-IF(Skills!E15=TRUE,Inputs!$B$33,0)))*(1-IF(AND(ArtifactsInput!$M$27,Inputs!$B$4="Chapter Hunt"),CHOOSE(ArtifactsInput!$N$27+1,20,24,28,32,36,40),0)/100)),0)</f>
        <v/>
      </c>
      <c r="R175" t="n">
        <v>0</v>
      </c>
      <c r="S175">
        <f>IF(C175,(Skills!F15*N175*((IF(Inputs!$B$3&gt;=78,25,15)/100*B195*10)/(1+IF(Inputs!$B$3&gt;=78,25,15)/100*B195*10))*(Skills!I15/100*B195)/(1+Skills!G15*Skills!I15/100*B195))*IF(Inputs!$B$39="pvp",1,1+(Inputs!$B$21+Skills!O15+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F(C175,(Skills!F15*N175*((IF(Inputs!$B$3&gt;=78,25,15)/100*B195*10)/(1+IF(Inputs!$B$3&gt;=78,25,15)/100*B195*10))*(Skills!I15/100*B195)/(1+Skills!G15*Skills!I15/100*B195))*IF(Inputs!$B$39="pvp",1,(1+(Inputs!$B$22+Skills!P15+B191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Skills!A16</f>
        <v/>
      </c>
      <c r="B176">
        <f>Skills!B16</f>
        <v/>
      </c>
      <c r="C176">
        <f>Inputs!$B$3&gt;=100</f>
        <v/>
      </c>
      <c r="D176">
        <f>IF(Skills!C16=1,60+Inputs!$B$26+Inputs!$B$30,IF(Skills!C16=2,90+Inputs!$B$27+Inputs!$B$30,IF(Skills!C16=3,120+Inputs!$B$28+Inputs!$B$30,MAX(0,(Inputs!$B$3-100)*3)+Inputs!$B$29+Inputs!$B$30)))</f>
        <v/>
      </c>
      <c r="E176">
        <f>INDEX(FactorTable!$B$2:$Y$301, MATCH(ROUND(MIN(300,MAX(1,D176)),0), FactorTable!$A$2:$A$301,0), Skills!L16+1)</f>
        <v/>
      </c>
      <c r="F176">
        <f>IF(Skills!M16=TRUE,(Skills!K16/10)*(E176/1000),Skills!K16/10)+Skills!N16</f>
        <v/>
      </c>
      <c r="G176">
        <f>Calc!G16</f>
        <v/>
      </c>
      <c r="H176">
        <f>Calc!H16</f>
        <v/>
      </c>
      <c r="I176">
        <f>IF(Skills!T16&lt;&gt;"",1+(Skills!T16/10)*($Z$3/1000)/100,1)</f>
        <v/>
      </c>
      <c r="J176" t="inlineStr"/>
      <c r="K176" t="inlineStr"/>
      <c r="L176" t="inlineStr"/>
      <c r="M176" t="inlineStr"/>
      <c r="N176" t="inlineStr"/>
      <c r="O176">
        <f>(1-Summary!$B$11)*S176+Summary!$B$11*U176</f>
        <v/>
      </c>
      <c r="P176">
        <f>IF(B202=0,0,O176/B202)</f>
        <v/>
      </c>
      <c r="Q176">
        <f>IFERROR(1/(IF(Inputs!$B$39="pvp",15,MAX(0.1,Skills!D16-IF(Skills!E16=TRUE,Inputs!$B$33,0)))*(1-IF(AND(ArtifactsInput!$M$27,Inputs!$B$4="Chapter Hunt"),CHOOSE(ArtifactsInput!$N$27+1,20,24,28,32,36,40),0)/100)),0)</f>
        <v/>
      </c>
      <c r="R176" t="n">
        <v>0</v>
      </c>
      <c r="S176" t="n">
        <v>0</v>
      </c>
      <c r="U176" t="n">
        <v>0</v>
      </c>
    </row>
    <row r="177">
      <c r="A177">
        <f>Skills!A17</f>
        <v/>
      </c>
      <c r="B177">
        <f>Skills!B17</f>
        <v/>
      </c>
      <c r="C177">
        <f>Inputs!$B$3&gt;=49</f>
        <v/>
      </c>
      <c r="D177">
        <f>IF(Skills!C17=1,60+Inputs!$B$26+Inputs!$B$30,IF(Skills!C17=2,90+Inputs!$B$27+Inputs!$B$30,IF(Skills!C17=3,120+Inputs!$B$28+Inputs!$B$30,MAX(0,(Inputs!$B$3-100)*3)+Inputs!$B$29+Inputs!$B$30)))</f>
        <v/>
      </c>
      <c r="E177">
        <f>INDEX(FactorTable!$B$2:$Y$301, MATCH(ROUND(MIN(300,MAX(1,D177)),0), FactorTable!$A$2:$A$301,0), Skills!L17+1)</f>
        <v/>
      </c>
      <c r="F177">
        <f>IF(Skills!M17=TRUE,(Skills!K17/10)*(E177/1000),Skills!K17/10)+Skills!N17</f>
        <v/>
      </c>
      <c r="G177">
        <f>Calc!G17</f>
        <v/>
      </c>
      <c r="H177">
        <f>Calc!H17</f>
        <v/>
      </c>
      <c r="I177">
        <f>IF(Skills!T17&lt;&gt;"",1+(Skills!T17/10)*($Z$3/1000)/100,1)</f>
        <v/>
      </c>
      <c r="J177" t="inlineStr"/>
      <c r="K177" t="inlineStr"/>
      <c r="L177" t="inlineStr"/>
      <c r="M177" t="inlineStr"/>
      <c r="N177" t="inlineStr"/>
      <c r="O177">
        <f>(1-Summary!$B$11)*S177+Summary!$B$11*U177</f>
        <v/>
      </c>
      <c r="P177">
        <f>IF(B202=0,0,O177/B202)</f>
        <v/>
      </c>
      <c r="Q177">
        <f>IFERROR(1/(IF(Inputs!$B$39="pvp",15,MAX(0.1,Skills!D17-IF(Skills!E17=TRUE,Inputs!$B$33,0)))*(1-IF(AND(ArtifactsInput!$M$27,Inputs!$B$4="Chapter Hunt"),CHOOSE(ArtifactsInput!$N$27+1,20,24,28,32,36,40),0)/100)),0)</f>
        <v/>
      </c>
      <c r="R177" t="n">
        <v>0</v>
      </c>
      <c r="S177" t="n">
        <v>0</v>
      </c>
      <c r="U177" t="n">
        <v>0</v>
      </c>
    </row>
    <row r="178">
      <c r="A178">
        <f>Skills!A18</f>
        <v/>
      </c>
      <c r="B178">
        <f>Skills!B18</f>
        <v/>
      </c>
      <c r="C178">
        <f>Inputs!$B$3&gt;=75</f>
        <v/>
      </c>
      <c r="D178">
        <f>IF(Skills!C18=1,60+Inputs!$B$26+Inputs!$B$30,IF(Skills!C18=2,90+Inputs!$B$27+Inputs!$B$30,IF(Skills!C18=3,120+Inputs!$B$28+Inputs!$B$30,MAX(0,(Inputs!$B$3-100)*3)+Inputs!$B$29+Inputs!$B$30)))</f>
        <v/>
      </c>
      <c r="E178">
        <f>INDEX(FactorTable!$B$2:$Y$301, MATCH(ROUND(MIN(300,MAX(1,D178)),0), FactorTable!$A$2:$A$301,0), Skills!L18+1)</f>
        <v/>
      </c>
      <c r="F178">
        <f>IF(Skills!M18=TRUE,(Skills!K18/10)*(E178/1000),Skills!K18/10)+Skills!N18</f>
        <v/>
      </c>
      <c r="G178">
        <f>Calc!G18</f>
        <v/>
      </c>
      <c r="H178">
        <f>Calc!H18</f>
        <v/>
      </c>
      <c r="I178">
        <f>IF(Skills!T18&lt;&gt;"",1+(Skills!T18/10)*($Z$3/1000)/100,1)</f>
        <v/>
      </c>
      <c r="J178" t="inlineStr"/>
      <c r="K178" t="inlineStr"/>
      <c r="L178" t="inlineStr"/>
      <c r="M178" t="inlineStr"/>
      <c r="N178" t="inlineStr"/>
      <c r="O178">
        <f>(1-Summary!$B$11)*S178+Summary!$B$11*U178</f>
        <v/>
      </c>
      <c r="P178">
        <f>IF(B202=0,0,O178/B202)</f>
        <v/>
      </c>
      <c r="Q178">
        <f>IFERROR(1/(IF(Inputs!$B$39="pvp",15,MAX(0.1,Skills!D18-IF(Skills!E18=TRUE,Inputs!$B$33,0)))*(1-IF(AND(ArtifactsInput!$M$27,Inputs!$B$4="Chapter Hunt"),CHOOSE(ArtifactsInput!$N$27+1,20,24,28,32,36,40),0)/100)),0)</f>
        <v/>
      </c>
      <c r="R178" t="n">
        <v>0</v>
      </c>
      <c r="S178" t="n">
        <v>0</v>
      </c>
      <c r="U178" t="n">
        <v>0</v>
      </c>
    </row>
    <row r="179">
      <c r="A179">
        <f>Skills!A19</f>
        <v/>
      </c>
      <c r="B179">
        <f>Skills!B19</f>
        <v/>
      </c>
      <c r="C179">
        <f>Inputs!$B$3&gt;=110</f>
        <v/>
      </c>
      <c r="D179">
        <f>IF(Skills!C19=1,60+Inputs!$B$26+Inputs!$B$30,IF(Skills!C19=2,90+Inputs!$B$27+Inputs!$B$30,IF(Skills!C19=3,120+Inputs!$B$28+Inputs!$B$30,MAX(0,(Inputs!$B$3-100)*3)+Inputs!$B$29+Inputs!$B$30)))</f>
        <v/>
      </c>
      <c r="E179">
        <f>INDEX(FactorTable!$B$2:$Y$301, MATCH(ROUND(MIN(300,MAX(1,D179)),0), FactorTable!$A$2:$A$301,0), Skills!L19+1)</f>
        <v/>
      </c>
      <c r="F179">
        <f>(Skills!K19/10)*(E179/1000)*64/45+Skills!N19</f>
        <v/>
      </c>
      <c r="G179">
        <f>Calc!G19</f>
        <v/>
      </c>
      <c r="H179">
        <f>Calc!H19</f>
        <v/>
      </c>
      <c r="I179">
        <f>IF(Skills!T19&lt;&gt;"",1+(Skills!T19/10)*($Z$3/1000)/100,1)</f>
        <v/>
      </c>
      <c r="J179" t="inlineStr"/>
      <c r="K179" t="inlineStr"/>
      <c r="L179" t="inlineStr"/>
      <c r="M179" t="inlineStr"/>
      <c r="N179" t="inlineStr"/>
      <c r="O179">
        <f>(1-Summary!$B$11)*S179+Summary!$B$11*U179</f>
        <v/>
      </c>
      <c r="P179">
        <f>IF(B202=0,0,O179/B202)</f>
        <v/>
      </c>
      <c r="Q179">
        <f>IFERROR(1/(IF(Inputs!$B$39="pvp",15,MAX(0.1,Skills!D19-IF(Skills!E19=TRUE,Inputs!$B$33,0)))*(1-IF(AND(ArtifactsInput!$M$27,Inputs!$B$4="Chapter Hunt"),CHOOSE(ArtifactsInput!$N$27+1,20,24,28,32,36,40),0)/100)),0)</f>
        <v/>
      </c>
      <c r="R179">
        <f>IF(AND(Inputs!$B$39&lt;&gt;"pvp",Inputs!$B$44&gt;0),IF(Inputs!$B$44&lt;=0,0,(INT(Inputs!$B$44/(IF(Inputs!$B$39="pvp",15,MAX(0.1,Skills!D19-IF(Skills!E19=TRUE,Inputs!$B$33,0)))*(1-IF(AND(ArtifactsInput!$M$27,Inputs!$B$4="Chapter Hunt"),CHOOSE(ArtifactsInput!$N$27+1,20,24,28,32,36,40),0)/100)))+1)),0)</f>
        <v/>
      </c>
      <c r="S179" t="n">
        <v>0</v>
      </c>
      <c r="U179" t="n">
        <v>0</v>
      </c>
    </row>
    <row r="180">
      <c r="A180">
        <f>Skills!A20</f>
        <v/>
      </c>
      <c r="B180">
        <f>Skills!B20</f>
        <v/>
      </c>
      <c r="C180">
        <f>Inputs!$B$3&gt;=125</f>
        <v/>
      </c>
      <c r="D180">
        <f>IF(Skills!C20=1,60+Inputs!$B$26+Inputs!$B$30,IF(Skills!C20=2,90+Inputs!$B$27+Inputs!$B$30,IF(Skills!C20=3,120+Inputs!$B$28+Inputs!$B$30,MAX(0,(Inputs!$B$3-100)*3)+Inputs!$B$29+Inputs!$B$30)))</f>
        <v/>
      </c>
      <c r="E180">
        <f>INDEX(FactorTable!$B$2:$Y$301, MATCH(ROUND(MIN(300,MAX(1,D180)),0), FactorTable!$A$2:$A$301,0), Skills!L20+1)</f>
        <v/>
      </c>
      <c r="F180">
        <f>IF(Skills!M20=TRUE,(Skills!K20/10)*(E180/1000),Skills!K20/10)+Skills!N20</f>
        <v/>
      </c>
      <c r="G180">
        <f>Calc!G20</f>
        <v/>
      </c>
      <c r="H180">
        <f>Calc!H20</f>
        <v/>
      </c>
      <c r="I180">
        <f>IF(Skills!T20&lt;&gt;"",1+(Skills!T20/10)*($Z$3/1000)/100,1)</f>
        <v/>
      </c>
      <c r="J180" t="inlineStr"/>
      <c r="K180" t="inlineStr"/>
      <c r="L180" t="inlineStr"/>
      <c r="M180" t="inlineStr"/>
      <c r="N180" t="inlineStr"/>
      <c r="O180">
        <f>(1-Summary!$B$11)*S180+Summary!$B$11*U180</f>
        <v/>
      </c>
      <c r="P180">
        <f>IF(B202=0,0,O180/B202)</f>
        <v/>
      </c>
      <c r="Q180">
        <f>IFERROR(1/(IF(Inputs!$B$39="pvp",15,MAX(0.1,Skills!D20-IF(Skills!E20=TRUE,Inputs!$B$33,0)))*(1-IF(AND(ArtifactsInput!$M$27,Inputs!$B$4="Chapter Hunt"),CHOOSE(ArtifactsInput!$N$27+1,20,24,28,32,36,40),0)/100)),0)</f>
        <v/>
      </c>
      <c r="R180" t="n">
        <v>0</v>
      </c>
      <c r="S180" t="n">
        <v>0</v>
      </c>
      <c r="U180" t="n">
        <v>0</v>
      </c>
    </row>
    <row r="181">
      <c r="A181">
        <f>Skills!A21</f>
        <v/>
      </c>
      <c r="B181">
        <f>Skills!B21</f>
        <v/>
      </c>
      <c r="C181">
        <f>Inputs!$B$3&gt;=33</f>
        <v/>
      </c>
      <c r="D181">
        <f>IF(Skills!C21=1,60+Inputs!$B$26+Inputs!$B$30,IF(Skills!C21=2,90+Inputs!$B$27+Inputs!$B$30,IF(Skills!C21=3,120+Inputs!$B$28+Inputs!$B$30,MAX(0,(Inputs!$B$3-100)*3)+Inputs!$B$29+Inputs!$B$30)))</f>
        <v/>
      </c>
      <c r="E181">
        <f>INDEX(FactorTable!$B$2:$Y$301, MATCH(ROUND(MIN(300,MAX(1,D181)),0), FactorTable!$A$2:$A$301,0), Skills!L21+1)</f>
        <v/>
      </c>
      <c r="F181">
        <f>IF(Skills!M21=TRUE,(Skills!K21/10)*(E181/1000),Skills!K21/10)+Skills!N21</f>
        <v/>
      </c>
      <c r="G181">
        <f>Calc!G21</f>
        <v/>
      </c>
      <c r="H181">
        <f>Calc!H21</f>
        <v/>
      </c>
      <c r="I181">
        <f>IF(Skills!T21&lt;&gt;"",1+(Skills!T21/10)*($Z$3/1000)/100,1)</f>
        <v/>
      </c>
      <c r="J181" t="inlineStr"/>
      <c r="K181" t="inlineStr"/>
      <c r="L181" t="inlineStr"/>
      <c r="M181" t="inlineStr"/>
      <c r="N181" t="inlineStr"/>
      <c r="O181">
        <f>(1-Summary!$B$11)*S181+Summary!$B$11*U181</f>
        <v/>
      </c>
      <c r="P181">
        <f>IF(B202=0,0,O181/B202)</f>
        <v/>
      </c>
      <c r="Q181">
        <f>IFERROR(1/(IF(Inputs!$B$39="pvp",15,MAX(0.1,Skills!D21-IF(Skills!E21=TRUE,Inputs!$B$33,0)))*(1-IF(AND(ArtifactsInput!$M$27,Inputs!$B$4="Chapter Hunt"),CHOOSE(ArtifactsInput!$N$27+1,20,24,28,32,36,40),0)/100)),0)</f>
        <v/>
      </c>
      <c r="R181" t="n">
        <v>0</v>
      </c>
      <c r="S181" t="n">
        <v>0</v>
      </c>
      <c r="U181" t="n">
        <v>0</v>
      </c>
    </row>
    <row r="182">
      <c r="A182">
        <f>Skills!A22</f>
        <v/>
      </c>
      <c r="B182">
        <f>Skills!B22</f>
        <v/>
      </c>
      <c r="C182">
        <f>Inputs!$B$3&gt;=43</f>
        <v/>
      </c>
      <c r="D182">
        <f>IF(Skills!C22=1,60+Inputs!$B$26+Inputs!$B$30,IF(Skills!C22=2,90+Inputs!$B$27+Inputs!$B$30,IF(Skills!C22=3,120+Inputs!$B$28+Inputs!$B$30,MAX(0,(Inputs!$B$3-100)*3)+Inputs!$B$29+Inputs!$B$30)))</f>
        <v/>
      </c>
      <c r="E182">
        <f>INDEX(FactorTable!$B$2:$Y$301, MATCH(ROUND(MIN(300,MAX(1,D182)),0), FactorTable!$A$2:$A$301,0), Skills!L22+1)</f>
        <v/>
      </c>
      <c r="F182">
        <f>IF(Skills!M22=TRUE,(Skills!K22/10)*(E182/1000),Skills!K22/10)+Skills!N22</f>
        <v/>
      </c>
      <c r="G182">
        <f>Calc!G22</f>
        <v/>
      </c>
      <c r="H182">
        <f>Calc!H22</f>
        <v/>
      </c>
      <c r="I182">
        <f>IF(Skills!T22&lt;&gt;"",1+(Skills!T22/10)*($Z$3/1000)/100,1)</f>
        <v/>
      </c>
      <c r="J182" t="inlineStr"/>
      <c r="K182" t="inlineStr"/>
      <c r="L182" t="inlineStr"/>
      <c r="M182" t="inlineStr"/>
      <c r="N182" t="inlineStr"/>
      <c r="O182">
        <f>(1-Summary!$B$11)*S182+Summary!$B$11*U182</f>
        <v/>
      </c>
      <c r="P182">
        <f>IF(B202=0,0,O182/B202)</f>
        <v/>
      </c>
      <c r="Q182">
        <f>IFERROR(1/(IF(Inputs!$B$39="pvp",15,MAX(0.1,Skills!D22-IF(Skills!E22=TRUE,Inputs!$B$33,0)))*(1-IF(AND(ArtifactsInput!$M$27,Inputs!$B$4="Chapter Hunt"),CHOOSE(ArtifactsInput!$N$27+1,20,24,28,32,36,40),0)/100)),0)</f>
        <v/>
      </c>
      <c r="R182" t="n">
        <v>0</v>
      </c>
      <c r="S182" t="n">
        <v>0</v>
      </c>
      <c r="U182" t="n">
        <v>0</v>
      </c>
    </row>
    <row r="183">
      <c r="A183">
        <f>Skills!A23</f>
        <v/>
      </c>
      <c r="B183">
        <f>Skills!B23</f>
        <v/>
      </c>
      <c r="C183">
        <f>Inputs!$B$3&gt;=50</f>
        <v/>
      </c>
      <c r="D183">
        <f>IF(Skills!C23=1,60+Inputs!$B$26+Inputs!$B$30,IF(Skills!C23=2,90+Inputs!$B$27+Inputs!$B$30,IF(Skills!C23=3,120+Inputs!$B$28+Inputs!$B$30,MAX(0,(Inputs!$B$3-100)*3)+Inputs!$B$29+Inputs!$B$30)))</f>
        <v/>
      </c>
      <c r="E183">
        <f>INDEX(FactorTable!$B$2:$Y$301, MATCH(ROUND(MIN(300,MAX(1,D183)),0), FactorTable!$A$2:$A$301,0), Skills!L23+1)</f>
        <v/>
      </c>
      <c r="F183">
        <f>IF(Skills!M23=TRUE,(Skills!K23/10)*(E183/1000),Skills!K23/10)+Skills!N23</f>
        <v/>
      </c>
      <c r="G183">
        <f>Calc!G23</f>
        <v/>
      </c>
      <c r="H183">
        <f>Calc!H23</f>
        <v/>
      </c>
      <c r="I183">
        <f>IF(Skills!T23&lt;&gt;"",1+(Skills!T23/10)*($Z$3/1000)/100,1)</f>
        <v/>
      </c>
      <c r="J183" t="inlineStr"/>
      <c r="K183" t="inlineStr"/>
      <c r="L183" t="inlineStr"/>
      <c r="M183" t="inlineStr"/>
      <c r="N183" t="inlineStr"/>
      <c r="O183">
        <f>(1-Summary!$B$11)*S183+Summary!$B$11*U183</f>
        <v/>
      </c>
      <c r="P183">
        <f>IF(B202=0,0,O183/B202)</f>
        <v/>
      </c>
      <c r="Q183">
        <f>IFERROR(1/(IF(Inputs!$B$39="pvp",15,MAX(0.1,Skills!D23-IF(Skills!E23=TRUE,Inputs!$B$33,0)))*(1-IF(AND(ArtifactsInput!$M$27,Inputs!$B$4="Chapter Hunt"),CHOOSE(ArtifactsInput!$N$27+1,20,24,28,32,36,40),0)/100)),0)</f>
        <v/>
      </c>
      <c r="R183" t="n">
        <v>0</v>
      </c>
      <c r="S183" t="n">
        <v>0</v>
      </c>
      <c r="U183" t="n">
        <v>0</v>
      </c>
    </row>
    <row r="184">
      <c r="A184">
        <f>Skills!A24</f>
        <v/>
      </c>
      <c r="B184">
        <f>Skills!B24</f>
        <v/>
      </c>
      <c r="C184">
        <f>Inputs!$B$3&gt;=74</f>
        <v/>
      </c>
      <c r="D184">
        <f>IF(Skills!C24=1,60+Inputs!$B$26+Inputs!$B$30,IF(Skills!C24=2,90+Inputs!$B$27+Inputs!$B$30,IF(Skills!C24=3,120+Inputs!$B$28+Inputs!$B$30,MAX(0,(Inputs!$B$3-100)*3)+Inputs!$B$29+Inputs!$B$30)))</f>
        <v/>
      </c>
      <c r="E184">
        <f>INDEX(FactorTable!$B$2:$Y$301, MATCH(ROUND(MIN(300,MAX(1,D184)),0), FactorTable!$A$2:$A$301,0), Skills!L24+1)</f>
        <v/>
      </c>
      <c r="F184">
        <f>IF(Skills!M24=TRUE,(Skills!K24/10)*(E184/1000),Skills!K24/10)+Skills!N24</f>
        <v/>
      </c>
      <c r="G184">
        <f>Calc!G24</f>
        <v/>
      </c>
      <c r="H184">
        <f>Calc!H24</f>
        <v/>
      </c>
      <c r="I184">
        <f>IF(Skills!T24&lt;&gt;"",1+(Skills!T24/10)*($Z$3/1000)/100,1)</f>
        <v/>
      </c>
      <c r="J184" t="inlineStr"/>
      <c r="K184" t="inlineStr"/>
      <c r="L184" t="inlineStr"/>
      <c r="M184" t="inlineStr"/>
      <c r="N184" t="inlineStr"/>
      <c r="O184">
        <f>(1-Summary!$B$11)*S184+Summary!$B$11*U184</f>
        <v/>
      </c>
      <c r="P184">
        <f>IF(B202=0,0,O184/B202)</f>
        <v/>
      </c>
      <c r="Q184">
        <f>IFERROR(1/(IF(Inputs!$B$39="pvp",15,MAX(0.1,Skills!D24-IF(Skills!E24=TRUE,Inputs!$B$33,0)))*(1-IF(AND(ArtifactsInput!$M$27,Inputs!$B$4="Chapter Hunt"),CHOOSE(ArtifactsInput!$N$27+1,20,24,28,32,36,40),0)/100)),0)</f>
        <v/>
      </c>
      <c r="R184" t="n">
        <v>0</v>
      </c>
      <c r="S184" t="n">
        <v>0</v>
      </c>
      <c r="U184" t="n">
        <v>0</v>
      </c>
    </row>
    <row r="185">
      <c r="A185">
        <f>Skills!A25</f>
        <v/>
      </c>
      <c r="B185">
        <f>Skills!B25</f>
        <v/>
      </c>
      <c r="C185">
        <f>Inputs!$B$3&gt;=74</f>
        <v/>
      </c>
      <c r="D185">
        <f>IF(Skills!C25=1,60+Inputs!$B$26+Inputs!$B$30,IF(Skills!C25=2,90+Inputs!$B$27+Inputs!$B$30,IF(Skills!C25=3,120+Inputs!$B$28+Inputs!$B$30,MAX(0,(Inputs!$B$3-100)*3)+Inputs!$B$29+Inputs!$B$30)))</f>
        <v/>
      </c>
      <c r="E185">
        <f>INDEX(FactorTable!$B$2:$Y$301, MATCH(ROUND(MIN(300,MAX(1,D185)),0), FactorTable!$A$2:$A$301,0), Skills!L25+1)</f>
        <v/>
      </c>
      <c r="F185">
        <f>IF(Skills!M25=TRUE,(Skills!K25/10)*(E185/1000),Skills!K25/10)+Skills!N25</f>
        <v/>
      </c>
      <c r="G185">
        <f>Calc!G25</f>
        <v/>
      </c>
      <c r="H185">
        <f>Calc!H25</f>
        <v/>
      </c>
      <c r="I185">
        <f>IF(Skills!T25&lt;&gt;"",1+(Skills!T25/10)*($Z$3/1000)/100,1)</f>
        <v/>
      </c>
      <c r="J185" t="inlineStr"/>
      <c r="K185" t="inlineStr"/>
      <c r="L185" t="inlineStr"/>
      <c r="M185" t="inlineStr"/>
      <c r="N185" t="inlineStr"/>
      <c r="O185">
        <f>(1-Summary!$B$11)*S185+Summary!$B$11*U185</f>
        <v/>
      </c>
      <c r="P185">
        <f>IF(B202=0,0,O185/B202)</f>
        <v/>
      </c>
      <c r="Q185">
        <f>IFERROR(1/(IF(Inputs!$B$39="pvp",15,MAX(0.1,Skills!D25-IF(Skills!E25=TRUE,Inputs!$B$33,0)))*(1-IF(AND(ArtifactsInput!$M$27,Inputs!$B$4="Chapter Hunt"),CHOOSE(ArtifactsInput!$N$27+1,20,24,28,32,36,40),0)/100)),0)</f>
        <v/>
      </c>
      <c r="R185" t="n">
        <v>0</v>
      </c>
      <c r="S185" t="n">
        <v>0</v>
      </c>
      <c r="U185" t="n">
        <v>0</v>
      </c>
    </row>
    <row r="186">
      <c r="A186">
        <f>Skills!A26</f>
        <v/>
      </c>
      <c r="B186">
        <f>Skills!B26</f>
        <v/>
      </c>
      <c r="C186">
        <f>Inputs!$B$3&gt;=117</f>
        <v/>
      </c>
      <c r="D186">
        <f>IF(Skills!C26=1,60+Inputs!$B$26+Inputs!$B$30,IF(Skills!C26=2,90+Inputs!$B$27+Inputs!$B$30,IF(Skills!C26=3,120+Inputs!$B$28+Inputs!$B$30,MAX(0,(Inputs!$B$3-100)*3)+Inputs!$B$29+Inputs!$B$30)))</f>
        <v/>
      </c>
      <c r="E186">
        <f>INDEX(FactorTable!$B$2:$Y$301, MATCH(ROUND(MIN(300,MAX(1,D186)),0), FactorTable!$A$2:$A$301,0), Skills!L26+1)</f>
        <v/>
      </c>
      <c r="F186">
        <f>IF(Skills!M26=TRUE,(Skills!K26/10)*(E186/1000),Skills!K26/10)+Skills!N26</f>
        <v/>
      </c>
      <c r="G186">
        <f>Calc!G26</f>
        <v/>
      </c>
      <c r="H186">
        <f>Calc!H26</f>
        <v/>
      </c>
      <c r="I186">
        <f>IF(Skills!T26&lt;&gt;"",1+(Skills!T26/10)*($Z$3/1000)/100,1)</f>
        <v/>
      </c>
      <c r="J186" t="inlineStr"/>
      <c r="K186" t="inlineStr"/>
      <c r="L186" t="inlineStr"/>
      <c r="M186" t="inlineStr"/>
      <c r="N186" t="inlineStr"/>
      <c r="O186">
        <f>(1-Summary!$B$11)*S186+Summary!$B$11*U186</f>
        <v/>
      </c>
      <c r="P186">
        <f>IF(B202=0,0,O186/B202)</f>
        <v/>
      </c>
      <c r="Q186">
        <f>IFERROR(1/(IF(Inputs!$B$39="pvp",15,MAX(0.1,Skills!D26-IF(Skills!E26=TRUE,Inputs!$B$33,0)))*(1-IF(AND(ArtifactsInput!$M$27,Inputs!$B$4="Chapter Hunt"),CHOOSE(ArtifactsInput!$N$27+1,20,24,28,32,36,40),0)/100)),0)</f>
        <v/>
      </c>
      <c r="R186" t="n">
        <v>0</v>
      </c>
      <c r="S186" t="n">
        <v>0</v>
      </c>
      <c r="U186" t="n">
        <v>0</v>
      </c>
    </row>
    <row r="187">
      <c r="A187">
        <f>Skills!A27</f>
        <v/>
      </c>
      <c r="B187">
        <f>Skills!B27</f>
        <v/>
      </c>
      <c r="C187">
        <f>Inputs!$B$3&gt;=120</f>
        <v/>
      </c>
      <c r="D187">
        <f>IF(Skills!C27=1,60+Inputs!$B$26+Inputs!$B$30,IF(Skills!C27=2,90+Inputs!$B$27+Inputs!$B$30,IF(Skills!C27=3,120+Inputs!$B$28+Inputs!$B$30,MAX(0,(Inputs!$B$3-100)*3)+Inputs!$B$29+Inputs!$B$30)))</f>
        <v/>
      </c>
      <c r="E187">
        <f>INDEX(FactorTable!$B$2:$Y$301, MATCH(ROUND(MIN(300,MAX(1,D187)),0), FactorTable!$A$2:$A$301,0), Skills!L27+1)</f>
        <v/>
      </c>
      <c r="F187">
        <f>IF(Skills!M27=TRUE,(Skills!K27/10)*(E187/1000),Skills!K27/10)+Skills!N27</f>
        <v/>
      </c>
      <c r="G187">
        <f>Calc!G27</f>
        <v/>
      </c>
      <c r="H187">
        <f>Calc!H27</f>
        <v/>
      </c>
      <c r="I187">
        <f>IF(Skills!T27&lt;&gt;"",1+(Skills!T27/10)*($Z$3/1000)/100,1)</f>
        <v/>
      </c>
      <c r="J187" t="inlineStr"/>
      <c r="K187" t="inlineStr"/>
      <c r="L187" t="inlineStr"/>
      <c r="M187" t="inlineStr"/>
      <c r="N187" t="inlineStr"/>
      <c r="O187">
        <f>(1-Summary!$B$11)*S187+Summary!$B$11*U187</f>
        <v/>
      </c>
      <c r="P187">
        <f>IF(B202=0,0,O187/B202)</f>
        <v/>
      </c>
      <c r="Q187">
        <f>IFERROR(1/(IF(Inputs!$B$39="pvp",15,MAX(0.1,Skills!D27-IF(Skills!E27=TRUE,Inputs!$B$33,0)))*(1-IF(AND(ArtifactsInput!$M$27,Inputs!$B$4="Chapter Hunt"),CHOOSE(ArtifactsInput!$N$27+1,20,24,28,32,36,40),0)/100)),0)</f>
        <v/>
      </c>
      <c r="R187" t="n">
        <v>0</v>
      </c>
      <c r="S187" t="n">
        <v>0</v>
      </c>
      <c r="U187" t="n">
        <v>0</v>
      </c>
    </row>
    <row r="189">
      <c r="A189" t="inlineStr">
        <is>
          <t>Average Buff Multiplier</t>
        </is>
      </c>
      <c r="B189">
        <f>(1+(IF(C163=TRUE,F163*IF(AND(Inputs!$B$39&lt;&gt;"pvp",Inputs!$B$44&gt;0),(((R163-1)*(Skills!S3*(1+((Inputs!$B$35+(ArtifactsInput!$M$7-ArtifactsInput!$M$7)*CHOOSE(ArtifactsInput!$N$7+1,6,7.2,8.4,9.6,10.8,12))+IF(Inputs!$B$3&gt;=117,F186,0))/100))+MIN((Skills!S3*(1+((Inputs!$B$35+(ArtifactsInput!$M$7-ArtifactsInput!$M$7)*CHOOSE(ArtifactsInput!$N$7+1,6,7.2,8.4,9.6,10.8,12))+IF(Inputs!$B$3&gt;=117,F186,0))/100)),MAX(0,Inputs!$B$44-((R163-1)*Skills!D3))))/Inputs!$B$44),IF(Inputs!$B$39="pvp",MIN((Skills!S3*(1+((Inputs!$B$35+(ArtifactsInput!$M$7-ArtifactsInput!$M$7)*CHOOSE(ArtifactsInput!$N$7+1,6,7.2,8.4,9.6,10.8,12))+IF(Inputs!$B$3&gt;=117,F186,0))/100)),15)/15,(Skills!S3*(1+((Inputs!$B$35+(ArtifactsInput!$M$7-ArtifactsInput!$M$7)*CHOOSE(ArtifactsInput!$N$7+1,6,7.2,8.4,9.6,10.8,12))+IF(Inputs!$B$3&gt;=117,F186,0))/100))/Skills!D3)),0)+IF(C164=TRUE,F164*IF(AND(Inputs!$B$39&lt;&gt;"pvp",Inputs!$B$44&gt;0),(((R164-1)*(Skills!S4*(1+((Inputs!$B$35+(ArtifactsInput!$M$7-ArtifactsInput!$M$7)*CHOOSE(ArtifactsInput!$N$7+1,6,7.2,8.4,9.6,10.8,12))+IF(Inputs!$B$3&gt;=117,F186,0))/100))+MIN((Skills!S4*(1+((Inputs!$B$35+(ArtifactsInput!$M$7-ArtifactsInput!$M$7)*CHOOSE(ArtifactsInput!$N$7+1,6,7.2,8.4,9.6,10.8,12))+IF(Inputs!$B$3&gt;=117,F186,0))/100)),MAX(0,Inputs!$B$44-((R164-1)*Skills!D4))))/Inputs!$B$44),IF(Inputs!$B$39="pvp",MIN((Skills!S4*(1+((Inputs!$B$35+(ArtifactsInput!$M$7-ArtifactsInput!$M$7)*CHOOSE(ArtifactsInput!$N$7+1,6,7.2,8.4,9.6,10.8,12))+IF(Inputs!$B$3&gt;=117,F186,0))/100)),15)/15,(Skills!S4*(1+((Inputs!$B$35+(ArtifactsInput!$M$7-ArtifactsInput!$M$7)*CHOOSE(ArtifactsInput!$N$7+1,6,7.2,8.4,9.6,10.8,12))+IF(Inputs!$B$3&gt;=117,F186,0))/100))/Skills!D4)),0)+IF(C165=TRUE,F165*IF(AND(Inputs!$B$39&lt;&gt;"pvp",Inputs!$B$44&gt;0),(((R165-1)*(Skills!S5*(1+((Inputs!$B$35+(ArtifactsInput!$M$7-ArtifactsInput!$M$7)*CHOOSE(ArtifactsInput!$N$7+1,6,7.2,8.4,9.6,10.8,12))+IF(Inputs!$B$3&gt;=117,F186,0))/100))+MIN((Skills!S5*(1+((Inputs!$B$35+(ArtifactsInput!$M$7-ArtifactsInput!$M$7)*CHOOSE(ArtifactsInput!$N$7+1,6,7.2,8.4,9.6,10.8,12))+IF(Inputs!$B$3&gt;=117,F186,0))/100)),MAX(0,Inputs!$B$44-((R165-1)*Skills!D5))))/Inputs!$B$44),IF(Inputs!$B$39="pvp",MIN((Skills!S5*(1+((Inputs!$B$35+(ArtifactsInput!$M$7-ArtifactsInput!$M$7)*CHOOSE(ArtifactsInput!$N$7+1,6,7.2,8.4,9.6,10.8,12))+IF(Inputs!$B$3&gt;=117,F186,0))/100)),15)/15,(Skills!S5*(1+((Inputs!$B$35+(ArtifactsInput!$M$7-ArtifactsInput!$M$7)*CHOOSE(ArtifactsInput!$N$7+1,6,7.2,8.4,9.6,10.8,12))+IF(Inputs!$B$3&gt;=117,F186,0))/100))/Skills!D5)),0)+IF(C171=TRUE,F171*IF(AND(Inputs!$B$39&lt;&gt;"pvp",Inputs!$B$44&gt;0),(((R171-1)*(Skills!S11*(1+((Inputs!$B$35+(ArtifactsInput!$M$7-ArtifactsInput!$M$7)*CHOOSE(ArtifactsInput!$N$7+1,6,7.2,8.4,9.6,10.8,12))+IF(Inputs!$B$3&gt;=117,F186,0))/100))+MIN((Skills!S11*(1+((Inputs!$B$35+(ArtifactsInput!$M$7-ArtifactsInput!$M$7)*CHOOSE(ArtifactsInput!$N$7+1,6,7.2,8.4,9.6,10.8,12))+IF(Inputs!$B$3&gt;=117,F186,0))/100)),MAX(0,Inputs!$B$44-((R171-1)*Skills!D11))))/Inputs!$B$44),IF(Inputs!$B$39="pvp",MIN((Skills!S11*(1+((Inputs!$B$35+(ArtifactsInput!$M$7-ArtifactsInput!$M$7)*CHOOSE(ArtifactsInput!$N$7+1,6,7.2,8.4,9.6,10.8,12))+IF(Inputs!$B$3&gt;=117,F186,0))/100)),15)/15,(Skills!S11*(1+((Inputs!$B$35+(ArtifactsInput!$M$7-ArtifactsInput!$M$7)*CHOOSE(ArtifactsInput!$N$7+1,6,7.2,8.4,9.6,10.8,12))+IF(Inputs!$B$3&gt;=117,F186,0)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174=TRUE,(1+F174*IF(AND(Inputs!$B$39&lt;&gt;"pvp",Inputs!$B$44&gt;0),(((R174-1)*(Skills!S14*(1+((Inputs!$B$35+(ArtifactsInput!$M$7-ArtifactsInput!$M$7)*CHOOSE(ArtifactsInput!$N$7+1,6,7.2,8.4,9.6,10.8,12))+IF(Inputs!$B$3&gt;=117,F186,0))/100))+MIN((Skills!S14*(1+((Inputs!$B$35+(ArtifactsInput!$M$7-ArtifactsInput!$M$7)*CHOOSE(ArtifactsInput!$N$7+1,6,7.2,8.4,9.6,10.8,12))+IF(Inputs!$B$3&gt;=117,F186,0))/100)),MAX(0,Inputs!$B$44-((R174-1)*Skills!D14))))/Inputs!$B$44),IF(Inputs!$B$39="pvp",MIN((Skills!S14*(1+((Inputs!$B$35+(ArtifactsInput!$M$7-ArtifactsInput!$M$7)*CHOOSE(ArtifactsInput!$N$7+1,6,7.2,8.4,9.6,10.8,12))+IF(Inputs!$B$3&gt;=117,F186,0))/100)),15)/15,(Skills!S14*(1+((Inputs!$B$35+(ArtifactsInput!$M$7-ArtifactsInput!$M$7)*CHOOSE(ArtifactsInput!$N$7+1,6,7.2,8.4,9.6,10.8,12))+IF(Inputs!$B$3&gt;=117,F186,0))/100))/Skills!D14))/100),1)*IF(C179=TRUE,(1+F179*IF(AND(Inputs!$B$39&lt;&gt;"pvp",Inputs!$B$44&gt;0),(((R179-1)*(Skills!S19*(1+((Inputs!$B$35+(ArtifactsInput!$M$7-ArtifactsInput!$M$7)*CHOOSE(ArtifactsInput!$N$7+1,6,7.2,8.4,9.6,10.8,12))+IF(Inputs!$B$3&gt;=117,F186,0))/100))+MIN((Skills!S19*(1+((Inputs!$B$35+(ArtifactsInput!$M$7-ArtifactsInput!$M$7)*CHOOSE(ArtifactsInput!$N$7+1,6,7.2,8.4,9.6,10.8,12))+IF(Inputs!$B$3&gt;=117,F186,0))/100)),MAX(0,Inputs!$B$44-((R179-1)*Skills!D19))))/Inputs!$B$44),IF(Inputs!$B$39="pvp",MIN((Skills!S19*(1+((Inputs!$B$35+(ArtifactsInput!$M$7-ArtifactsInput!$M$7)*CHOOSE(ArtifactsInput!$N$7+1,6,7.2,8.4,9.6,10.8,12))+IF(Inputs!$B$3&gt;=117,F186,0))/100)),15)/15,(Skills!S19*(1+((Inputs!$B$35+(ArtifactsInput!$M$7-ArtifactsInput!$M$7)*CHOOSE(ArtifactsInput!$N$7+1,6,7.2,8.4,9.6,10.8,12))+IF(Inputs!$B$3&gt;=117,F186,0))/100))/Skills!D19))/100),1)</f>
        <v/>
      </c>
    </row>
    <row r="190">
      <c r="A190" t="inlineStr">
        <is>
          <t>Monster Damage Taken Bonus % (Holy Fountain)</t>
        </is>
      </c>
      <c r="B190">
        <f>IF(Inputs!$B$3&gt;=68,20*IF(Inputs!$B$39="pvp",MIN((15*(1+((Inputs!$B$35+(ArtifactsInput!$M$7-ArtifactsInput!$M$7)*CHOOSE(ArtifactsInput!$N$7+1,6,7.2,8.4,9.6,10.8,12))+IF(Inputs!$B$3&gt;=117,F186,0))/100)),15)/15,(15*(1+((Inputs!$B$35+(ArtifactsInput!$M$7-ArtifactsInput!$M$7)*CHOOSE(ArtifactsInput!$N$7+1,6,7.2,8.4,9.6,10.8,12))+IF(Inputs!$B$3&gt;=117,F186,0))/100))/Skills!D10),0)</f>
        <v/>
      </c>
    </row>
    <row r="191">
      <c r="A191" t="inlineStr">
        <is>
          <t>Normal Monster Damage Bonus % (Holy Symbol)</t>
        </is>
      </c>
      <c r="B191">
        <f>IF(C172=TRUE,F172*IF(AND(Inputs!$B$39&lt;&gt;"pvp",Inputs!$B$44&gt;0),(((R172-1)*(Skills!S12*(1+((Inputs!$B$35+(ArtifactsInput!$M$7-ArtifactsInput!$M$7)*CHOOSE(ArtifactsInput!$N$7+1,6,7.2,8.4,9.6,10.8,12))+IF(Inputs!$B$3&gt;=117,F186,0))/100))+MIN((Skills!S12*(1+((Inputs!$B$35+(ArtifactsInput!$M$7-ArtifactsInput!$M$7)*CHOOSE(ArtifactsInput!$N$7+1,6,7.2,8.4,9.6,10.8,12))+IF(Inputs!$B$3&gt;=117,F186,0))/100)),MAX(0,Inputs!$B$44-((R172-1)*Skills!D12))))/Inputs!$B$44),IF(Inputs!$B$39="pvp",MIN((Skills!S12*(1+((Inputs!$B$35+(ArtifactsInput!$M$7-ArtifactsInput!$M$7)*CHOOSE(ArtifactsInput!$N$7+1,6,7.2,8.4,9.6,10.8,12))+IF(Inputs!$B$3&gt;=117,F186,0))/100)),15)/15,(Skills!S12*(1+((Inputs!$B$35+(ArtifactsInput!$M$7-ArtifactsInput!$M$7)*CHOOSE(ArtifactsInput!$N$7+1,6,7.2,8.4,9.6,10.8,12))+IF(Inputs!$B$3&gt;=117,F186,0))/100))/Skills!D12)),0)</f>
        <v/>
      </c>
    </row>
    <row r="192">
      <c r="A192" t="inlineStr">
        <is>
          <t>Damage % Bonus (Holy Symbol - Damage Boost)</t>
        </is>
      </c>
      <c r="B192">
        <f>Skills!O12</f>
        <v/>
      </c>
    </row>
    <row r="193">
      <c r="A193" t="inlineStr">
        <is>
          <t>Crit Damage % Bonus (Blood of the Divine)</t>
        </is>
      </c>
      <c r="B193">
        <f>4*IF(C180=TRUE,F180,0)</f>
        <v/>
      </c>
    </row>
    <row r="194">
      <c r="A194" t="inlineStr">
        <is>
          <t>Attack Speed Bonus %</t>
        </is>
      </c>
      <c r="B194">
        <f>IF(C177=TRUE,F177+(F181-Calc!F21),0)+IF(Inputs!$B$3&gt;=134,15,0)</f>
        <v/>
      </c>
    </row>
    <row r="195">
      <c r="A195" t="inlineStr">
        <is>
          <t>Actions Per Second</t>
        </is>
      </c>
      <c r="B195">
        <f>1+MIN(150,150*(1-(1-Inputs!$B$12/150)*(1-B194/150)))/100</f>
        <v/>
      </c>
    </row>
    <row r="196">
      <c r="A196" t="inlineStr">
        <is>
          <t>Skill + Buff Cast Rate</t>
        </is>
      </c>
      <c r="B196">
        <f>IF(AND(Inputs!$B$39&lt;&gt;"pvp",Inputs!$B$44&gt;0),SUMPRODUCT((Skills!E2:E27=TRUE)*(C162:C187=TRUE)*R162:R187)/Inputs!$B$44,SUMPRODUCT((Skills!E2:E27=TRUE)*(C162:C187=TRUE)*Q162:Q187))</f>
        <v/>
      </c>
    </row>
    <row r="197">
      <c r="A197" t="inlineStr">
        <is>
          <t>Big Bang Casts Per Second</t>
        </is>
      </c>
      <c r="B197">
        <f>MAX(0,B195-B196)</f>
        <v/>
      </c>
    </row>
    <row r="198">
      <c r="A198" t="inlineStr">
        <is>
          <t>Defense % Bonus (Divine Protection)</t>
        </is>
      </c>
      <c r="B198">
        <f>IF(C173=TRUE,F173*IF(AND(Inputs!$B$39&lt;&gt;"pvp",Inputs!$B$44&gt;0),(((R173-1)*(Skills!S13*(1+((Inputs!$B$35+(ArtifactsInput!$M$7-ArtifactsInput!$M$7)*CHOOSE(ArtifactsInput!$N$7+1,6,7.2,8.4,9.6,10.8,12))+IF(Inputs!$B$3&gt;=117,F186,0))/100))+MIN((Skills!S13*(1+((Inputs!$B$35+(ArtifactsInput!$M$7-ArtifactsInput!$M$7)*CHOOSE(ArtifactsInput!$N$7+1,6,7.2,8.4,9.6,10.8,12))+IF(Inputs!$B$3&gt;=117,F186,0))/100)),MAX(0,Inputs!$B$44-((R173-1)*Skills!D13))))/Inputs!$B$44),IF(Inputs!$B$39="pvp",MIN((Skills!S13*(1+((Inputs!$B$35+(ArtifactsInput!$M$7-ArtifactsInput!$M$7)*CHOOSE(ArtifactsInput!$N$7+1,6,7.2,8.4,9.6,10.8,12))+IF(Inputs!$B$3&gt;=117,F186,0))/100)),15)/15,(Skills!S13*(1+((Inputs!$B$35+(ArtifactsInput!$M$7-ArtifactsInput!$M$7)*CHOOSE(ArtifactsInput!$N$7+1,6,7.2,8.4,9.6,10.8,12))+IF(Inputs!$B$3&gt;=117,F186,0))/100))/Skills!D13)),0)</f>
        <v/>
      </c>
    </row>
    <row r="199">
      <c r="A199" t="inlineStr">
        <is>
          <t>Buff-Casting Startup Delay (s, fixed-duration only)</t>
        </is>
      </c>
      <c r="B199">
        <f>IF(AND(Inputs!$B$39&lt;&gt;"pvp",Inputs!$B$44&gt;0),SUMPRODUCT((Skills!S2:S27&gt;0)*(Skills!E2:E27=TRUE)*(C162:C187=TRUE))/B195,0)</f>
        <v/>
      </c>
    </row>
    <row r="200">
      <c r="A200" t="inlineStr">
        <is>
          <t>Boss-Only Total DPS (this block's swept value)</t>
        </is>
      </c>
      <c r="B200">
        <f>SUM(S162:S187)</f>
        <v/>
      </c>
    </row>
    <row r="201">
      <c r="A201" t="inlineStr">
        <is>
          <t>Normal-Only Total DPS (this block's swept value)</t>
        </is>
      </c>
      <c r="B201">
        <f>SUM(U162:U187)</f>
        <v/>
      </c>
    </row>
    <row r="202">
      <c r="A202" s="6" t="inlineStr">
        <is>
          <t>TOTAL DPS</t>
        </is>
      </c>
      <c r="B202" s="6">
        <f>SUM(O162:O187)</f>
        <v/>
      </c>
    </row>
    <row r="204">
      <c r="A204" s="6" t="inlineStr">
        <is>
          <t>Stat: Defense %</t>
        </is>
      </c>
    </row>
    <row r="205">
      <c r="A205" s="5" t="inlineStr">
        <is>
          <t>Key</t>
        </is>
      </c>
      <c r="B205" s="5" t="inlineStr">
        <is>
          <t>Name</t>
        </is>
      </c>
      <c r="C205" s="5" t="inlineStr">
        <is>
          <t>Unlocked</t>
        </is>
      </c>
      <c r="D205" s="5" t="inlineStr">
        <is>
          <t>InputLevel</t>
        </is>
      </c>
      <c r="E205" s="5" t="inlineStr">
        <is>
          <t>Factor</t>
        </is>
      </c>
      <c r="F205" s="5" t="inlineStr">
        <is>
          <t>CoefficientPercent</t>
        </is>
      </c>
      <c r="G205" s="5" t="inlineStr">
        <is>
          <t>EffectiveHits</t>
        </is>
      </c>
      <c r="H205" s="5" t="inlineStr">
        <is>
          <t>ProcProbability</t>
        </is>
      </c>
      <c r="I205" s="5" t="inlineStr">
        <is>
          <t>MapleHeroMultiplier</t>
        </is>
      </c>
      <c r="J205" s="5" t="inlineStr">
        <is>
          <t>BaseDamage</t>
        </is>
      </c>
      <c r="K205" s="5" t="inlineStr">
        <is>
          <t>BaseHitDamage</t>
        </is>
      </c>
      <c r="L205" s="5" t="inlineStr">
        <is>
          <t>NonCritAvg</t>
        </is>
      </c>
      <c r="M205" s="5" t="inlineStr">
        <is>
          <t>CritAvg</t>
        </is>
      </c>
      <c r="N205" s="5" t="inlineStr">
        <is>
          <t>ExpectedDamage(perHit)</t>
        </is>
      </c>
      <c r="O205" s="5" t="inlineStr">
        <is>
          <t>DPS</t>
        </is>
      </c>
      <c r="P205" s="5" t="inlineStr">
        <is>
          <t>% of Total</t>
        </is>
      </c>
      <c r="R205" t="inlineStr">
        <is>
          <t>helpers</t>
        </is>
      </c>
    </row>
    <row r="206">
      <c r="A206">
        <f>Skills!A2</f>
        <v/>
      </c>
      <c r="B206">
        <f>Skills!B2</f>
        <v/>
      </c>
      <c r="C206">
        <f>Inputs!$B$3&gt;=100</f>
        <v/>
      </c>
      <c r="D206" t="inlineStr"/>
      <c r="E206" t="inlineStr"/>
      <c r="F206">
        <f>T208+Skills!N2</f>
        <v/>
      </c>
      <c r="G206">
        <f>Calc!G2</f>
        <v/>
      </c>
      <c r="H206">
        <f>Calc!H2</f>
        <v/>
      </c>
      <c r="I206">
        <f>IF(Skills!T2&lt;&gt;"",1+(Skills!T2/10)*($Z$3/1000)/100,1)</f>
        <v/>
      </c>
      <c r="J206">
        <f>((Inputs!$B$6*(1+Inputs!$B$7/100))+(((Inputs!$B$13*(1+Inputs!$B$14/100))-(Inputs!$B$13*(1+Inputs!$B$14/100)))+0.25*(Inputs!$B$15-Inputs!$B$15))*(1+Inputs!$B$7/100))*(F206/100)</f>
        <v/>
      </c>
      <c r="K206">
        <f>J206*(1+(((Inputs!$B$13+IF(Inputs!$B$3&gt;=35,(10*INDEX(FactorTable!$B$2:$Y$301,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2="TRIUMPH_FEATHER",IF(C220=TRUE,F220,0),0)/100)*(1+IF(C231=TRUE,F231,0)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206)</f>
        <v/>
      </c>
      <c r="L206">
        <f>K206*(MIN(Inputs!$B$23+(F226-Calc!F22),(Inputs!$B$24+IF(ArtifactsInput!$M$15,CHOOSE(ArtifactsInput!$N$15+1,25,30,35,40,45,50)/100*(Inputs!$B$12-Inputs!$B$12),0)))/100+(Inputs!$B$24+IF(ArtifactsInput!$M$15,CHOOSE(ArtifactsInput!$N$15+1,25,30,35,40,45,50)/100*(Inputs!$B$12-Inputs!$B$12),0))/100)/2</f>
        <v/>
      </c>
      <c r="M206">
        <f>L206*(1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
        <f>L206*(1-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(1-Summary!$B$11)*S206+Summary!$B$11*U206</f>
        <v/>
      </c>
      <c r="P206">
        <f>IF(B246=0,0,O206/B246)</f>
        <v/>
      </c>
      <c r="Q206">
        <f>IFERROR(1/(IF(Inputs!$B$39="pvp",15,MAX(0.1,Skills!D2-IF(Skills!E2=TRUE,Inputs!$B$33,0)))*(1-IF(AND(ArtifactsInput!$M$27,Inputs!$B$4="Chapter Hunt"),CHOOSE(ArtifactsInput!$N$27+1,20,24,28,32,36,40),0)/100)),0)</f>
        <v/>
      </c>
      <c r="R206" t="n">
        <v>0</v>
      </c>
      <c r="S206">
        <f>IF(C206,(Skills!F2*N206*B241)*IF(Inputs!$B$39="pvp",1,1+(Inputs!$B$21+Skills!O2+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6">
        <f>MAX(0,(Inputs!$B$3-100)*3)+Inputs!$B$29+Inputs!$B$30</f>
        <v/>
      </c>
      <c r="U206">
        <f>IF(C206,(Skills!F2*N206*B241)*IF(Inputs!$B$39="pvp",1,(1+(Inputs!$B$22+Skills!P2+B235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Skills!A3</f>
        <v/>
      </c>
      <c r="B207">
        <f>Skills!B3</f>
        <v/>
      </c>
      <c r="C207">
        <f>Inputs!$B$3&gt;=15</f>
        <v/>
      </c>
      <c r="D207">
        <f>IF(Skills!C3=1,60+Inputs!$B$26+Inputs!$B$30,IF(Skills!C3=2,90+Inputs!$B$27+Inputs!$B$30,IF(Skills!C3=3,120+Inputs!$B$28+Inputs!$B$30,MAX(0,(Inputs!$B$3-100)*3)+Inputs!$B$29+Inputs!$B$30)))</f>
        <v/>
      </c>
      <c r="E207">
        <f>INDEX(FactorTable!$B$2:$Y$301, MATCH(ROUND(MIN(300,MAX(1,D207)),0), FactorTable!$A$2:$A$301,0), Skills!L3+1)</f>
        <v/>
      </c>
      <c r="F207">
        <f>IF(Skills!M3=TRUE,(Skills!K3/10)*(E207/1000),Skills!K3/10)+Skills!N3</f>
        <v/>
      </c>
      <c r="G207">
        <f>Calc!G3</f>
        <v/>
      </c>
      <c r="H207">
        <f>Calc!H3</f>
        <v/>
      </c>
      <c r="I207">
        <f>IF(Skills!T3&lt;&gt;"",1+(Skills!T3/10)*($Z$3/1000)/100,1)</f>
        <v/>
      </c>
      <c r="J207" t="inlineStr"/>
      <c r="K207" t="inlineStr"/>
      <c r="L207" t="inlineStr"/>
      <c r="M207" t="inlineStr"/>
      <c r="N207" t="inlineStr"/>
      <c r="O207">
        <f>(1-Summary!$B$11)*S207+Summary!$B$11*U207</f>
        <v/>
      </c>
      <c r="P207">
        <f>IF(B246=0,0,O207/B246)</f>
        <v/>
      </c>
      <c r="Q207">
        <f>IFERROR(1/(IF(Inputs!$B$39="pvp",15,MAX(0.1,Skills!D3-IF(Skills!E3=TRUE,Inputs!$B$33,0)))*(1-IF(AND(ArtifactsInput!$M$27,Inputs!$B$4="Chapter Hunt"),CHOOSE(ArtifactsInput!$N$27+1,20,24,28,32,36,40),0)/100)),0)</f>
        <v/>
      </c>
      <c r="R207">
        <f>IF(AND(Inputs!$B$39&lt;&gt;"pvp",Inputs!$B$44&gt;0),IF(Inputs!$B$44&lt;=0,0,(INT(Inputs!$B$44/(IF(Inputs!$B$39="pvp",15,MAX(0.1,Skills!D3-IF(Skills!E3=TRUE,Inputs!$B$33,0)))*(1-IF(AND(ArtifactsInput!$M$27,Inputs!$B$4="Chapter Hunt"),CHOOSE(ArtifactsInput!$N$27+1,20,24,28,32,36,40),0)/100)))+1)),0)</f>
        <v/>
      </c>
      <c r="S207" t="n">
        <v>0</v>
      </c>
      <c r="T207">
        <f>INDEX(FactorTable!$B$2:$Y$301, MATCH(ROUND(MIN(300,MAX(1,T206)),0), FactorTable!$A$2:$A$301,0), 22)</f>
        <v/>
      </c>
      <c r="U207" t="n">
        <v>0</v>
      </c>
    </row>
    <row r="208">
      <c r="A208">
        <f>Skills!A4</f>
        <v/>
      </c>
      <c r="B208">
        <f>Skills!B4</f>
        <v/>
      </c>
      <c r="C208">
        <f>Inputs!$B$3&gt;=38</f>
        <v/>
      </c>
      <c r="D208">
        <f>IF(Skills!C4=1,60+Inputs!$B$26+Inputs!$B$30,IF(Skills!C4=2,90+Inputs!$B$27+Inputs!$B$30,IF(Skills!C4=3,120+Inputs!$B$28+Inputs!$B$30,MAX(0,(Inputs!$B$3-100)*3)+Inputs!$B$29+Inputs!$B$30)))</f>
        <v/>
      </c>
      <c r="E208">
        <f>INDEX(FactorTable!$B$2:$Y$301, MATCH(ROUND(MIN(300,MAX(1,D208)),0), FactorTable!$A$2:$A$301,0), Skills!L4+1)</f>
        <v/>
      </c>
      <c r="F208">
        <f>IF(Skills!M4=TRUE,(Skills!K4/10)*(E208/1000),Skills!K4/10)+Skills!N4</f>
        <v/>
      </c>
      <c r="G208">
        <f>Calc!G4</f>
        <v/>
      </c>
      <c r="H208">
        <f>Calc!H4</f>
        <v/>
      </c>
      <c r="I208">
        <f>IF(Skills!T4&lt;&gt;"",1+(Skills!T4/10)*($Z$3/1000)/100,1)</f>
        <v/>
      </c>
      <c r="J208" t="inlineStr"/>
      <c r="K208" t="inlineStr"/>
      <c r="L208" t="inlineStr"/>
      <c r="M208" t="inlineStr"/>
      <c r="N208" t="inlineStr"/>
      <c r="O208">
        <f>(1-Summary!$B$11)*S208+Summary!$B$11*U208</f>
        <v/>
      </c>
      <c r="P208">
        <f>IF(B246=0,0,O208/B246)</f>
        <v/>
      </c>
      <c r="Q208">
        <f>IFERROR(1/(IF(Inputs!$B$39="pvp",15,MAX(0.1,Skills!D4-IF(Skills!E4=TRUE,Inputs!$B$33,0)))*(1-IF(AND(ArtifactsInput!$M$27,Inputs!$B$4="Chapter Hunt"),CHOOSE(ArtifactsInput!$N$27+1,20,24,28,32,36,40),0)/100)),0)</f>
        <v/>
      </c>
      <c r="R208">
        <f>IF(AND(Inputs!$B$39&lt;&gt;"pvp",Inputs!$B$44&gt;0),IF(Inputs!$B$44&lt;=0,0,(INT(Inputs!$B$44/(IF(Inputs!$B$39="pvp",15,MAX(0.1,Skills!D4-IF(Skills!E4=TRUE,Inputs!$B$33,0)))*(1-IF(AND(ArtifactsInput!$M$27,Inputs!$B$4="Chapter Hunt"),CHOOSE(ArtifactsInput!$N$27+1,20,24,28,32,36,40),0)/100)))+1)),0)</f>
        <v/>
      </c>
      <c r="S208" t="n">
        <v>0</v>
      </c>
      <c r="T208">
        <f>290*T207/1000</f>
        <v/>
      </c>
      <c r="U208" t="n">
        <v>0</v>
      </c>
    </row>
    <row r="209">
      <c r="A209">
        <f>Skills!A5</f>
        <v/>
      </c>
      <c r="B209">
        <f>Skills!B5</f>
        <v/>
      </c>
      <c r="C209">
        <f>Inputs!$B$3&gt;=40</f>
        <v/>
      </c>
      <c r="D209">
        <f>IF(Skills!C5=1,60+Inputs!$B$26+Inputs!$B$30,IF(Skills!C5=2,90+Inputs!$B$27+Inputs!$B$30,IF(Skills!C5=3,120+Inputs!$B$28+Inputs!$B$30,MAX(0,(Inputs!$B$3-100)*3)+Inputs!$B$29+Inputs!$B$30)))</f>
        <v/>
      </c>
      <c r="E209">
        <f>INDEX(FactorTable!$B$2:$Y$301, MATCH(ROUND(MIN(300,MAX(1,D209)),0), FactorTable!$A$2:$A$301,0), Skills!L5+1)</f>
        <v/>
      </c>
      <c r="F209">
        <f>IF(Skills!M5=TRUE,(Skills!K5/10)*(E209/1000),Skills!K5/10)+Skills!N5</f>
        <v/>
      </c>
      <c r="G209">
        <f>Calc!G5</f>
        <v/>
      </c>
      <c r="H209">
        <f>Calc!H5</f>
        <v/>
      </c>
      <c r="I209">
        <f>IF(Skills!T5&lt;&gt;"",1+(Skills!T5/10)*($Z$3/1000)/100,1)</f>
        <v/>
      </c>
      <c r="J209" t="inlineStr"/>
      <c r="K209" t="inlineStr"/>
      <c r="L209" t="inlineStr"/>
      <c r="M209" t="inlineStr"/>
      <c r="N209" t="inlineStr"/>
      <c r="O209">
        <f>(1-Summary!$B$11)*S209+Summary!$B$11*U209</f>
        <v/>
      </c>
      <c r="P209">
        <f>IF(B246=0,0,O209/B246)</f>
        <v/>
      </c>
      <c r="Q209">
        <f>IFERROR(1/(IF(Inputs!$B$39="pvp",15,MAX(0.1,Skills!D5-IF(Skills!E5=TRUE,Inputs!$B$33,0)))*(1-IF(AND(ArtifactsInput!$M$27,Inputs!$B$4="Chapter Hunt"),CHOOSE(ArtifactsInput!$N$27+1,20,24,28,32,36,40),0)/100)),0)</f>
        <v/>
      </c>
      <c r="R209">
        <f>IF(AND(Inputs!$B$39&lt;&gt;"pvp",Inputs!$B$44&gt;0),IF(Inputs!$B$44&lt;=0,0,(INT(Inputs!$B$44/(IF(Inputs!$B$39="pvp",15,MAX(0.1,Skills!D5-IF(Skills!E5=TRUE,Inputs!$B$33,0)))*(1-IF(AND(ArtifactsInput!$M$27,Inputs!$B$4="Chapter Hunt"),CHOOSE(ArtifactsInput!$N$27+1,20,24,28,32,36,40),0)/100)))+1)),0)</f>
        <v/>
      </c>
      <c r="S209" t="n">
        <v>0</v>
      </c>
      <c r="U209" t="n">
        <v>0</v>
      </c>
    </row>
    <row r="210">
      <c r="A210">
        <f>Skills!A6</f>
        <v/>
      </c>
      <c r="B210">
        <f>Skills!B6</f>
        <v/>
      </c>
      <c r="C210">
        <f>Inputs!$B$3&gt;=103</f>
        <v/>
      </c>
      <c r="D210">
        <f>IF(Skills!C6=1,60+Inputs!$B$26+Inputs!$B$30,IF(Skills!C6=2,90+Inputs!$B$27+Inputs!$B$30,IF(Skills!C6=3,120+Inputs!$B$28+Inputs!$B$30,MAX(0,(Inputs!$B$3-100)*3)+Inputs!$B$29+Inputs!$B$30)))</f>
        <v/>
      </c>
      <c r="E210">
        <f>INDEX(FactorTable!$B$2:$Y$301, MATCH(ROUND(MIN(300,MAX(1,D210)),0), FactorTable!$A$2:$A$301,0), Skills!L6+1)</f>
        <v/>
      </c>
      <c r="F210">
        <f>IF(Skills!M6=TRUE,(Skills!K6/10)*(E210/1000),Skills!K6/10)+Skills!N6</f>
        <v/>
      </c>
      <c r="G210">
        <f>Calc!G6</f>
        <v/>
      </c>
      <c r="H210">
        <f>Calc!H6</f>
        <v/>
      </c>
      <c r="I210">
        <f>IF(Skills!T6&lt;&gt;"",1+(Skills!T6/10)*($Z$3/1000)/100,1)</f>
        <v/>
      </c>
      <c r="J210">
        <f>((Inputs!$B$6*(1+Inputs!$B$7/100))+(((Inputs!$B$13*(1+Inputs!$B$14/100))-(Inputs!$B$13*(1+Inputs!$B$14/100)))+0.25*(Inputs!$B$15-Inputs!$B$15))*(1+Inputs!$B$7/100))*(F210/100)</f>
        <v/>
      </c>
      <c r="K210">
        <f>J210*(1+(((Inputs!$B$13+IF(Inputs!$B$3&gt;=35,(10*INDEX(FactorTable!$B$2:$Y$301,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6="TRIUMPH_FEATHER",IF(C220=TRUE,F220,0),0)/100)*(1+IF(C231=TRUE,F231,0)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210)</f>
        <v/>
      </c>
      <c r="L210">
        <f>K210*(MIN(Inputs!$B$23+(F226-Calc!F22),(Inputs!$B$24+IF(ArtifactsInput!$M$15,CHOOSE(ArtifactsInput!$N$15+1,25,30,35,40,45,50)/100*(Inputs!$B$12-Inputs!$B$12),0)))/100+(Inputs!$B$24+IF(ArtifactsInput!$M$15,CHOOSE(ArtifactsInput!$N$15+1,25,30,35,40,45,50)/100*(Inputs!$B$12-Inputs!$B$12),0))/100)/2</f>
        <v/>
      </c>
      <c r="M210">
        <f>L210*(1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
        <f>L210*(1-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
        <f>(1-Summary!$B$11)*S210+Summary!$B$11*U210</f>
        <v/>
      </c>
      <c r="P210">
        <f>IF(B246=0,0,O210/B246)</f>
        <v/>
      </c>
      <c r="Q210">
        <f>IFERROR(1/(IF(Inputs!$B$39="pvp",15,MAX(0.1,Skills!D6-IF(Skills!E6=TRUE,Inputs!$B$33,0)))*(1-IF(AND(ArtifactsInput!$M$27,Inputs!$B$4="Chapter Hunt"),CHOOSE(ArtifactsInput!$N$27+1,20,24,28,32,36,40),0)/100)),0)</f>
        <v/>
      </c>
      <c r="R210">
        <f>IF(AND(Inputs!$B$39&lt;&gt;"pvp",Inputs!$B$44&gt;0),IF(MAX(0,Inputs!$B$44-B243)&lt;=0,0,(INT(MAX(0,Inputs!$B$44-B243)/(IF(Inputs!$B$39="pvp",15,MAX(0.1,Skills!D6-IF(Skills!E6=TRUE,Inputs!$B$33,0)))*(1-IF(AND(ArtifactsInput!$M$27,Inputs!$B$4="Chapter Hunt"),CHOOSE(ArtifactsInput!$N$27+1,20,24,28,32,36,40),0)/100)))+1)),0)</f>
        <v/>
      </c>
      <c r="S210">
        <f>IF(C210,(H210*N210*IF(AND(Inputs!$B$39&lt;&gt;"pvp",Inputs!$B$44&gt;0),((Skills!F6*((R210-1)*IF(Skills!G6&gt;0,Skills!H6/Skills!G6,1)+IF(Skills!G6&gt;0,MIN(Skills!H6,MAX(0,MAX(0,Inputs!$B$44-B243)-((R210-1)*(IF(Inputs!$B$39="pvp",15,MAX(0.1,Skills!D6-IF(Skills!E6=TRUE,Inputs!$B$33,0)))*(1-IF(AND(ArtifactsInput!$M$27,Inputs!$B$4="Chapter Hunt"),CHOOSE(ArtifactsInput!$N$27+1,20,24,28,32,36,40),0)/100)))))/Skills!G6,1)))/Inputs!$B$44),G210*Q210))*IF(Inputs!$B$39="pvp",1,1+(Inputs!$B$21+Skills!O6+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
        <f>IF(C210,(H210*N210*IF(AND(Inputs!$B$39&lt;&gt;"pvp",Inputs!$B$44&gt;0),((Skills!F6*((R210-1)*IF(Skills!G6&gt;0,Skills!H6/Skills!G6,1)+IF(Skills!G6&gt;0,MIN(Skills!H6,MAX(0,MAX(0,Inputs!$B$44-B243)-((R210-1)*(IF(Inputs!$B$39="pvp",15,MAX(0.1,Skills!D6-IF(Skills!E6=TRUE,Inputs!$B$33,0)))*(1-IF(AND(ArtifactsInput!$M$27,Inputs!$B$4="Chapter Hunt"),CHOOSE(ArtifactsInput!$N$27+1,20,24,28,32,36,40),0)/100)))))/Skills!G6,1)))/Inputs!$B$44),G210*Q210))*IF(Inputs!$B$39="pvp",1,(1+(Inputs!$B$22+Skills!P6+B235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
      <c r="A211">
        <f>Skills!A7</f>
        <v/>
      </c>
      <c r="B211">
        <f>Skills!B7</f>
        <v/>
      </c>
      <c r="C211">
        <f>Inputs!$B$3&gt;=122</f>
        <v/>
      </c>
      <c r="D211">
        <f>IF(Skills!C7=1,60+Inputs!$B$26+Inputs!$B$30,IF(Skills!C7=2,90+Inputs!$B$27+Inputs!$B$30,IF(Skills!C7=3,120+Inputs!$B$28+Inputs!$B$30,MAX(0,(Inputs!$B$3-100)*3)+Inputs!$B$29+Inputs!$B$30)))</f>
        <v/>
      </c>
      <c r="E211">
        <f>INDEX(FactorTable!$B$2:$Y$301, MATCH(ROUND(MIN(300,MAX(1,D211)),0), FactorTable!$A$2:$A$301,0), Skills!L7+1)</f>
        <v/>
      </c>
      <c r="F211">
        <f>IF(Skills!M7=TRUE,(Skills!K7/10)*(E211/1000),Skills!K7/10)+Skills!N7</f>
        <v/>
      </c>
      <c r="G211">
        <f>Calc!G7</f>
        <v/>
      </c>
      <c r="H211">
        <f>Calc!H7</f>
        <v/>
      </c>
      <c r="I211">
        <f>IF(Skills!T7&lt;&gt;"",1+(Skills!T7/10)*($Z$3/1000)/100,1)</f>
        <v/>
      </c>
      <c r="J211">
        <f>((Inputs!$B$6*(1+Inputs!$B$7/100))+(((Inputs!$B$13*(1+Inputs!$B$14/100))-(Inputs!$B$13*(1+Inputs!$B$14/100)))+0.25*(Inputs!$B$15-Inputs!$B$15))*(1+Inputs!$B$7/100))*(F211/100)</f>
        <v/>
      </c>
      <c r="K211">
        <f>J211*(1+(((Inputs!$B$13+IF(Inputs!$B$3&gt;=35,(10*INDEX(FactorTable!$B$2:$Y$301,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7="TRIUMPH_FEATHER",IF(C220=TRUE,F220,0),0)/100)*(1+IF(C231=TRUE,F231,0)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211)</f>
        <v/>
      </c>
      <c r="L211">
        <f>K211*(MIN(Inputs!$B$23+(F226-Calc!F22),(Inputs!$B$24+IF(ArtifactsInput!$M$15,CHOOSE(ArtifactsInput!$N$15+1,25,30,35,40,45,50)/100*(Inputs!$B$12-Inputs!$B$12),0)))/100+(Inputs!$B$24+IF(ArtifactsInput!$M$15,CHOOSE(ArtifactsInput!$N$15+1,25,30,35,40,45,50)/100*(Inputs!$B$12-Inputs!$B$12),0))/100)/2</f>
        <v/>
      </c>
      <c r="M211">
        <f>L211*(1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
        <f>L211*(1-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(1-Summary!$B$11)*S211+Summary!$B$11*U211</f>
        <v/>
      </c>
      <c r="P211">
        <f>IF(B246=0,0,O211/B246)</f>
        <v/>
      </c>
      <c r="Q211">
        <f>IFERROR(1/(IF(Inputs!$B$39="pvp",15,MAX(0.1,Skills!D7-IF(Skills!E6=TRUE,Inputs!$B$33,0)))*(1-IF(AND(ArtifactsInput!$M$27,Inputs!$B$4="Chapter Hunt"),CHOOSE(ArtifactsInput!$N$27+1,20,24,28,32,36,40),0)/100)),0)</f>
        <v/>
      </c>
      <c r="R211">
        <f>IF(AND(Inputs!$B$39&lt;&gt;"pvp",Inputs!$B$44&gt;0),IF(MAX(0,Inputs!$B$44-B243)&lt;=0,0,(INT(MAX(0,Inputs!$B$44-B243)/(IF(Inputs!$B$39="pvp",15,MAX(0.1,Skills!D7-IF(Skills!E6=TRUE,Inputs!$B$33,0)))*(1-IF(AND(ArtifactsInput!$M$27,Inputs!$B$4="Chapter Hunt"),CHOOSE(ArtifactsInput!$N$27+1,20,24,28,32,36,40),0)/100)))+1)),0)</f>
        <v/>
      </c>
      <c r="S211">
        <f>IF(C211,H211*N211*IF(AND(Inputs!$B$39&lt;&gt;"pvp",Inputs!$B$44&gt;0),((Skills!F7*((R211-1)*IF(Skills!G7&gt;0,Skills!H7/Skills!G7,1)+IF(Skills!G7&gt;0,MIN(Skills!H7,MAX(0,MAX(0,Inputs!$B$44-B243)-((R211-1)*(IF(Inputs!$B$39="pvp",15,MAX(0.1,Skills!D7-IF(Skills!E6=TRUE,Inputs!$B$33,0)))*(1-IF(AND(ArtifactsInput!$M$27,Inputs!$B$4="Chapter Hunt"),CHOOSE(ArtifactsInput!$N$27+1,20,24,28,32,36,40),0)/100)))))/Skills!G7,1)))/Inputs!$B$44),G211*Q211)*IF(Inputs!$B$39="pvp",1,1+(Inputs!$B$21+Skills!O7+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 t="n">
        <v>0</v>
      </c>
    </row>
    <row r="212">
      <c r="A212">
        <f>Skills!A8</f>
        <v/>
      </c>
      <c r="B212">
        <f>Skills!B8</f>
        <v/>
      </c>
      <c r="C212">
        <f>Inputs!$B$3&gt;=105</f>
        <v/>
      </c>
      <c r="D212">
        <f>IF(Skills!C8=1,60+Inputs!$B$26+Inputs!$B$30,IF(Skills!C8=2,90+Inputs!$B$27+Inputs!$B$30,IF(Skills!C8=3,120+Inputs!$B$28+Inputs!$B$30,MAX(0,(Inputs!$B$3-100)*3)+Inputs!$B$29+Inputs!$B$30)))</f>
        <v/>
      </c>
      <c r="E212">
        <f>INDEX(FactorTable!$B$2:$Y$301, MATCH(ROUND(MIN(300,MAX(1,D212)),0), FactorTable!$A$2:$A$301,0), Skills!L8+1)</f>
        <v/>
      </c>
      <c r="F212">
        <f>IF(Skills!M8=TRUE,(Skills!K8/10)*(E212/1000),Skills!K8/10)+Skills!N8</f>
        <v/>
      </c>
      <c r="G212">
        <f>Calc!G8</f>
        <v/>
      </c>
      <c r="H212">
        <f>Calc!H8</f>
        <v/>
      </c>
      <c r="I212">
        <f>IF(Skills!T8&lt;&gt;"",1+(Skills!T8/10)*($Z$3/1000)/100,1)</f>
        <v/>
      </c>
      <c r="J212">
        <f>((Inputs!$B$6*(1+Inputs!$B$7/100))+(((Inputs!$B$13*(1+Inputs!$B$14/100))-(Inputs!$B$13*(1+Inputs!$B$14/100)))+0.25*(Inputs!$B$15-Inputs!$B$15))*(1+Inputs!$B$7/100))*(F212/100)</f>
        <v/>
      </c>
      <c r="K212">
        <f>J212*(1+(((Inputs!$B$13+IF(Inputs!$B$3&gt;=35,(10*INDEX(FactorTable!$B$2:$Y$301,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8="TRIUMPH_FEATHER",IF(C220=TRUE,F220,0),0)/100)*(1+IF(C231=TRUE,F231,0)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212)</f>
        <v/>
      </c>
      <c r="L212">
        <f>K212*(MIN(Inputs!$B$23+(F226-Calc!F22),(Inputs!$B$24+IF(ArtifactsInput!$M$15,CHOOSE(ArtifactsInput!$N$15+1,25,30,35,40,45,50)/100*(Inputs!$B$12-Inputs!$B$12),0)))/100+(Inputs!$B$24+IF(ArtifactsInput!$M$15,CHOOSE(ArtifactsInput!$N$15+1,25,30,35,40,45,50)/100*(Inputs!$B$12-Inputs!$B$12),0))/100)/2</f>
        <v/>
      </c>
      <c r="M212">
        <f>L212*(1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2">
        <f>L212*(1-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
        <f>(1-Summary!$B$11)*S212+Summary!$B$11*U212</f>
        <v/>
      </c>
      <c r="P212">
        <f>IF(B246=0,0,O212/B246)</f>
        <v/>
      </c>
      <c r="Q212">
        <f>IFERROR(1/(IF(Inputs!$B$39="pvp",15,MAX(0.1,Skills!D8-IF(Skills!E8=TRUE,Inputs!$B$33,0)))*(1-IF(AND(ArtifactsInput!$M$27,Inputs!$B$4="Chapter Hunt"),CHOOSE(ArtifactsInput!$N$27+1,20,24,28,32,36,40),0)/100)),0)</f>
        <v/>
      </c>
      <c r="R212">
        <f>IF(AND(Inputs!$B$39&lt;&gt;"pvp",Inputs!$B$44&gt;0),IF(MAX(0,Inputs!$B$44-B243)&lt;=0,0,(INT(MAX(0,Inputs!$B$44-B243)/(IF(Inputs!$B$39="pvp",15,MAX(0.1,Skills!D8-IF(Skills!E8=TRUE,Inputs!$B$33,0)))*(1-IF(AND(ArtifactsInput!$M$27,Inputs!$B$4="Chapter Hunt"),CHOOSE(ArtifactsInput!$N$27+1,20,24,28,32,36,40),0)/100)))+1)),0)</f>
        <v/>
      </c>
      <c r="S212">
        <f>IF(C212,(H212*N212*IF(AND(Inputs!$B$39&lt;&gt;"pvp",Inputs!$B$44&gt;0),((Skills!F8*((R212-1)*IF(Skills!G8&gt;0,Skills!H8/Skills!G8,1)+IF(Skills!G8&gt;0,MIN(Skills!H8,MAX(0,MAX(0,Inputs!$B$44-B243)-((R212-1)*(IF(Inputs!$B$39="pvp",15,MAX(0.1,Skills!D8-IF(Skills!E8=TRUE,Inputs!$B$33,0)))*(1-IF(AND(ArtifactsInput!$M$27,Inputs!$B$4="Chapter Hunt"),CHOOSE(ArtifactsInput!$N$27+1,20,24,28,32,36,40),0)/100)))))/Skills!G8,1)))/Inputs!$B$44),G212*Q212))*IF(Inputs!$B$39="pvp",1,1+(Inputs!$B$21+Skills!O8+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212*(1-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
        <f>IF(C212,(H212*N212*IF(AND(Inputs!$B$39&lt;&gt;"pvp",Inputs!$B$44&gt;0),((Skills!F8*((R212-1)*IF(Skills!G8&gt;0,Skills!H8/Skills!G8,1)+IF(Skills!G8&gt;0,MIN(Skills!H8,MAX(0,MAX(0,Inputs!$B$44-B243)-((R212-1)*(IF(Inputs!$B$39="pvp",15,MAX(0.1,Skills!D8-IF(Skills!E8=TRUE,Inputs!$B$33,0)))*(1-IF(AND(ArtifactsInput!$M$27,Inputs!$B$4="Chapter Hunt"),CHOOSE(ArtifactsInput!$N$27+1,20,24,28,32,36,40),0)/100)))))/Skills!G8,1)))/Inputs!$B$44),G212*Q212))*IF(Inputs!$B$39="pvp",1,(1+(Inputs!$B$22+Skills!P8+B235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
      <c r="A213">
        <f>Skills!A9</f>
        <v/>
      </c>
      <c r="B213">
        <f>Skills!B9</f>
        <v/>
      </c>
      <c r="C213">
        <f>Inputs!$B$3&gt;=115</f>
        <v/>
      </c>
      <c r="D213">
        <f>IF(Skills!C9=1,60+Inputs!$B$26+Inputs!$B$30,IF(Skills!C9=2,90+Inputs!$B$27+Inputs!$B$30,IF(Skills!C9=3,120+Inputs!$B$28+Inputs!$B$30,MAX(0,(Inputs!$B$3-100)*3)+Inputs!$B$29+Inputs!$B$30)))</f>
        <v/>
      </c>
      <c r="E213">
        <f>INDEX(FactorTable!$B$2:$Y$301, MATCH(ROUND(MIN(300,MAX(1,D213)),0), FactorTable!$A$2:$A$301,0), Skills!L9+1)</f>
        <v/>
      </c>
      <c r="F213">
        <f>IF(Skills!M9=TRUE,(Skills!K9/10)*(E213/1000),Skills!K9/10)+Skills!N9</f>
        <v/>
      </c>
      <c r="G213">
        <f>Calc!G9</f>
        <v/>
      </c>
      <c r="H213">
        <f>Calc!H9</f>
        <v/>
      </c>
      <c r="I213">
        <f>IF(Skills!T9&lt;&gt;"",1+(Skills!T9/10)*($Z$3/1000)/100,1)</f>
        <v/>
      </c>
      <c r="J213">
        <f>((Inputs!$B$6*(1+Inputs!$B$7/100))+(((Inputs!$B$13*(1+Inputs!$B$14/100))-(Inputs!$B$13*(1+Inputs!$B$14/100)))+0.25*(Inputs!$B$15-Inputs!$B$15))*(1+Inputs!$B$7/100))*(F213/100)</f>
        <v/>
      </c>
      <c r="K213">
        <f>J213*(1+(((Inputs!$B$13+IF(Inputs!$B$3&gt;=35,(10*INDEX(FactorTable!$B$2:$Y$301,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9="TRIUMPH_FEATHER",IF(C220=TRUE,F220,0),0)/100)*(1+IF(C231=TRUE,F231,0)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213)</f>
        <v/>
      </c>
      <c r="L213">
        <f>K213*(MIN(Inputs!$B$23+(F226-Calc!F22),(Inputs!$B$24+IF(ArtifactsInput!$M$15,CHOOSE(ArtifactsInput!$N$15+1,25,30,35,40,45,50)/100*(Inputs!$B$12-Inputs!$B$12),0)))/100+(Inputs!$B$24+IF(ArtifactsInput!$M$15,CHOOSE(ArtifactsInput!$N$15+1,25,30,35,40,45,50)/100*(Inputs!$B$12-Inputs!$B$12),0))/100)/2</f>
        <v/>
      </c>
      <c r="M213">
        <f>L213*(1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IF(B246=0,0,O213/B246)</f>
        <v/>
      </c>
      <c r="Q213">
        <f>IFERROR(1/(IF(Inputs!$B$39="pvp",15,MAX(0.1,Skills!D9-IF(Skills!E9=TRUE,Inputs!$B$33,0)))*(1-IF(AND(ArtifactsInput!$M$27,Inputs!$B$4="Chapter Hunt"),CHOOSE(ArtifactsInput!$N$27+1,20,24,28,32,36,40),0)/100)),0)</f>
        <v/>
      </c>
      <c r="R213">
        <f>IF(AND(Inputs!$B$39&lt;&gt;"pvp",Inputs!$B$44&gt;0),IF(MAX(0,Inputs!$B$44-B243)&lt;=0,0,(INT(MAX(0,Inputs!$B$44-B243)/(IF(Inputs!$B$39="pvp",15,MAX(0.1,Skills!D9-IF(Skills!E9=TRUE,Inputs!$B$33,0)))*(1-IF(AND(ArtifactsInput!$M$27,Inputs!$B$4="Chapter Hunt"),CHOOSE(ArtifactsInput!$N$27+1,20,24,28,32,36,40),0)/100)))+1)),0)</f>
        <v/>
      </c>
      <c r="S213">
        <f>IF(C213,(H213*N213*IF(AND(Inputs!$B$39&lt;&gt;"pvp",Inputs!$B$44&gt;0),((Skills!F9*((R213-1)*IF(Skills!G9&gt;0,Skills!H9/Skills!G9,1)+IF(Skills!G9&gt;0,MIN(Skills!H9,MAX(0,MAX(0,Inputs!$B$44-B243)-((R213-1)*(IF(Inputs!$B$39="pvp",15,MAX(0.1,Skills!D9-IF(Skills!E9=TRUE,Inputs!$B$33,0)))*(1-IF(AND(ArtifactsInput!$M$27,Inputs!$B$4="Chapter Hunt"),CHOOSE(ArtifactsInput!$N$27+1,20,24,28,32,36,40),0)/100)))))/Skills!G9,1)))/Inputs!$B$44),G213*Q213))*IF(Inputs!$B$39="pvp",1,1+(Inputs!$B$21+Skills!O9+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9*((R213-1)*IF(Skills!G9&gt;0,Skills!H9/Skills!G9,1)+IF(Skills!G9&gt;0,MIN(Skills!H9,MAX(0,MAX(0,Inputs!$B$44-B243)-((R213-1)*(IF(Inputs!$B$39="pvp",15,MAX(0.1,Skills!D9-IF(Skills!E9=TRUE,Inputs!$B$33,0)))*(1-IF(AND(ArtifactsInput!$M$27,Inputs!$B$4="Chapter Hunt"),CHOOSE(ArtifactsInput!$N$27+1,20,24,28,32,36,40),0)/100)))))/Skills!G9,1)))/Inputs!$B$44),G213*Q213))*IF(Inputs!$B$39="pvp",1,(1+(Inputs!$B$22+Skills!P9+B235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Skills!A10</f>
        <v/>
      </c>
      <c r="B214">
        <f>Skills!B10</f>
        <v/>
      </c>
      <c r="C214">
        <f>Inputs!$B$3&gt;=66</f>
        <v/>
      </c>
      <c r="D214">
        <f>IF(Skills!C10=1,60+Inputs!$B$26+Inputs!$B$30,IF(Skills!C10=2,90+Inputs!$B$27+Inputs!$B$30,IF(Skills!C10=3,120+Inputs!$B$28+Inputs!$B$30,MAX(0,(Inputs!$B$3-100)*3)+Inputs!$B$29+Inputs!$B$30)))</f>
        <v/>
      </c>
      <c r="E214">
        <f>INDEX(FactorTable!$B$2:$Y$301, MATCH(ROUND(MIN(300,MAX(1,D214)),0), FactorTable!$A$2:$A$301,0), Skills!L10+1)</f>
        <v/>
      </c>
      <c r="F214" t="n">
        <v>0</v>
      </c>
      <c r="G214">
        <f>Calc!G10</f>
        <v/>
      </c>
      <c r="H214">
        <f>Calc!H10</f>
        <v/>
      </c>
      <c r="I214">
        <f>IF(Skills!T10&lt;&gt;"",1+(Skills!T10/10)*($Z$3/1000)/100,1)</f>
        <v/>
      </c>
      <c r="J214" t="inlineStr"/>
      <c r="K214" t="inlineStr"/>
      <c r="L214" t="inlineStr"/>
      <c r="M214" t="inlineStr"/>
      <c r="N214" t="inlineStr"/>
      <c r="O214">
        <f>(1-Summary!$B$11)*S214+Summary!$B$11*U214</f>
        <v/>
      </c>
      <c r="P214">
        <f>IF(B246=0,0,O214/B246)</f>
        <v/>
      </c>
      <c r="Q214">
        <f>IFERROR(1/(IF(Inputs!$B$39="pvp",15,MAX(0.1,Skills!D10-IF(Skills!E10=TRUE,Inputs!$B$33,0)))*(1-IF(AND(ArtifactsInput!$M$27,Inputs!$B$4="Chapter Hunt"),CHOOSE(ArtifactsInput!$N$27+1,20,24,28,32,36,40),0)/100)),0)</f>
        <v/>
      </c>
      <c r="R214">
        <f>IF(AND(Inputs!$B$39&lt;&gt;"pvp",Inputs!$B$44&gt;0),IF(MAX(0,Inputs!$B$44-B243)&lt;=0,0,(INT(MAX(0,Inputs!$B$44-B243)/(IF(Inputs!$B$39="pvp",15,MAX(0.1,Skills!D10-IF(Skills!E10=TRUE,Inputs!$B$33,0)))*(1-IF(AND(ArtifactsInput!$M$27,Inputs!$B$4="Chapter Hunt"),CHOOSE(ArtifactsInput!$N$27+1,20,24,28,32,36,40),0)/100)))+1)),0)</f>
        <v/>
      </c>
      <c r="S214" t="n">
        <v>0</v>
      </c>
      <c r="U214" t="n">
        <v>0</v>
      </c>
    </row>
    <row r="215">
      <c r="A215">
        <f>Skills!A11</f>
        <v/>
      </c>
      <c r="B215">
        <f>Skills!B11</f>
        <v/>
      </c>
      <c r="C215">
        <f>Inputs!$B$3&gt;=69</f>
        <v/>
      </c>
      <c r="D215">
        <f>IF(Skills!C11=1,60+Inputs!$B$26+Inputs!$B$30,IF(Skills!C11=2,90+Inputs!$B$27+Inputs!$B$30,IF(Skills!C11=3,120+Inputs!$B$28+Inputs!$B$30,MAX(0,(Inputs!$B$3-100)*3)+Inputs!$B$29+Inputs!$B$30)))</f>
        <v/>
      </c>
      <c r="E215">
        <f>INDEX(FactorTable!$B$2:$Y$301, MATCH(ROUND(MIN(300,MAX(1,D215)),0), FactorTable!$A$2:$A$301,0), Skills!L11+1)</f>
        <v/>
      </c>
      <c r="F215">
        <f>IF(Skills!M11=TRUE,(Skills!K11/10)*(E215/1000),Skills!K11/10)+Skills!N11</f>
        <v/>
      </c>
      <c r="G215">
        <f>Calc!G11</f>
        <v/>
      </c>
      <c r="H215">
        <f>Calc!H11</f>
        <v/>
      </c>
      <c r="I215">
        <f>IF(Skills!T11&lt;&gt;"",1+(Skills!T11/10)*($Z$3/1000)/100,1)</f>
        <v/>
      </c>
      <c r="J215" t="inlineStr"/>
      <c r="K215" t="inlineStr"/>
      <c r="L215" t="inlineStr"/>
      <c r="M215" t="inlineStr"/>
      <c r="N215" t="inlineStr"/>
      <c r="O215">
        <f>(1-Summary!$B$11)*S215+Summary!$B$11*U215</f>
        <v/>
      </c>
      <c r="P215">
        <f>IF(B246=0,0,O215/B246)</f>
        <v/>
      </c>
      <c r="Q215">
        <f>IFERROR(1/(IF(Inputs!$B$39="pvp",15,MAX(0.1,Skills!D11-IF(Skills!E11=TRUE,Inputs!$B$33,0)))*(1-IF(AND(ArtifactsInput!$M$27,Inputs!$B$4="Chapter Hunt"),CHOOSE(ArtifactsInput!$N$27+1,20,24,28,32,36,40),0)/100)),0)</f>
        <v/>
      </c>
      <c r="R215">
        <f>IF(AND(Inputs!$B$39&lt;&gt;"pvp",Inputs!$B$44&gt;0),IF(Inputs!$B$44&lt;=0,0,(INT(Inputs!$B$44/(IF(Inputs!$B$39="pvp",15,MAX(0.1,Skills!D11-IF(Skills!E11=TRUE,Inputs!$B$33,0)))*(1-IF(AND(ArtifactsInput!$M$27,Inputs!$B$4="Chapter Hunt"),CHOOSE(ArtifactsInput!$N$27+1,20,24,28,32,36,40),0)/100)))+1)),0)</f>
        <v/>
      </c>
      <c r="S215" t="n">
        <v>0</v>
      </c>
      <c r="U215" t="n">
        <v>0</v>
      </c>
    </row>
    <row r="216">
      <c r="A216">
        <f>Skills!A12</f>
        <v/>
      </c>
      <c r="B216">
        <f>Skills!B12</f>
        <v/>
      </c>
      <c r="C216">
        <f>Inputs!$B$3&gt;=72</f>
        <v/>
      </c>
      <c r="D216">
        <f>IF(Skills!C12=1,60+Inputs!$B$26+Inputs!$B$30,IF(Skills!C12=2,90+Inputs!$B$27+Inputs!$B$30,IF(Skills!C12=3,120+Inputs!$B$28+Inputs!$B$30,MAX(0,(Inputs!$B$3-100)*3)+Inputs!$B$29+Inputs!$B$30)))</f>
        <v/>
      </c>
      <c r="E216">
        <f>INDEX(FactorTable!$B$2:$Y$301, MATCH(ROUND(MIN(300,MAX(1,D216)),0), FactorTable!$A$2:$A$301,0), Skills!L12+1)</f>
        <v/>
      </c>
      <c r="F216">
        <f>IF(Skills!M12=TRUE,(Skills!K12/10)*(E216/1000),Skills!K12/10)+Skills!N12</f>
        <v/>
      </c>
      <c r="G216">
        <f>Calc!G12</f>
        <v/>
      </c>
      <c r="H216">
        <f>Calc!H12</f>
        <v/>
      </c>
      <c r="I216">
        <f>IF(Skills!T12&lt;&gt;"",1+(Skills!T12/10)*($Z$3/1000)/100,1)</f>
        <v/>
      </c>
      <c r="J216" t="inlineStr"/>
      <c r="K216" t="inlineStr"/>
      <c r="L216" t="inlineStr"/>
      <c r="M216" t="inlineStr"/>
      <c r="N216" t="inlineStr"/>
      <c r="O216">
        <f>(1-Summary!$B$11)*S216+Summary!$B$11*U216</f>
        <v/>
      </c>
      <c r="P216">
        <f>IF(B246=0,0,O216/B246)</f>
        <v/>
      </c>
      <c r="Q216">
        <f>IFERROR(1/(IF(Inputs!$B$39="pvp",15,MAX(0.1,Skills!D12-IF(Skills!E12=TRUE,Inputs!$B$33,0)))*(1-IF(AND(ArtifactsInput!$M$27,Inputs!$B$4="Chapter Hunt"),CHOOSE(ArtifactsInput!$N$27+1,20,24,28,32,36,40),0)/100)),0)</f>
        <v/>
      </c>
      <c r="R216">
        <f>IF(AND(Inputs!$B$39&lt;&gt;"pvp",Inputs!$B$44&gt;0),IF(MAX(0,Inputs!$B$44-B243)&lt;=0,0,(INT(MAX(0,Inputs!$B$44-B243)/(IF(Inputs!$B$39="pvp",15,MAX(0.1,Skills!D12-IF(Skills!E12=TRUE,Inputs!$B$33,0)))*(1-IF(AND(ArtifactsInput!$M$27,Inputs!$B$4="Chapter Hunt"),CHOOSE(ArtifactsInput!$N$27+1,20,24,28,32,36,40),0)/100)))+1)),0)</f>
        <v/>
      </c>
      <c r="S216" t="n">
        <v>0</v>
      </c>
      <c r="U216" t="n">
        <v>0</v>
      </c>
    </row>
    <row r="217">
      <c r="A217">
        <f>Skills!A13</f>
        <v/>
      </c>
      <c r="B217">
        <f>Skills!B13</f>
        <v/>
      </c>
      <c r="C217">
        <f>Inputs!$B$3&gt;=60</f>
        <v/>
      </c>
      <c r="D217">
        <f>IF(Skills!C13=1,60+Inputs!$B$26+Inputs!$B$30,IF(Skills!C13=2,90+Inputs!$B$27+Inputs!$B$30,IF(Skills!C13=3,120+Inputs!$B$28+Inputs!$B$30,MAX(0,(Inputs!$B$3-100)*3)+Inputs!$B$29+Inputs!$B$30)))</f>
        <v/>
      </c>
      <c r="E217">
        <f>INDEX(FactorTable!$B$2:$Y$301, MATCH(ROUND(MIN(300,MAX(1,D217)),0), FactorTable!$A$2:$A$301,0), Skills!L13+1)</f>
        <v/>
      </c>
      <c r="F217">
        <f>IF(Skills!M13=TRUE,(Skills!K13/10)*(E217/1000),Skills!K13/10)+Skills!N13</f>
        <v/>
      </c>
      <c r="G217">
        <f>Calc!G13</f>
        <v/>
      </c>
      <c r="H217">
        <f>Calc!H13</f>
        <v/>
      </c>
      <c r="I217">
        <f>IF(Skills!T13&lt;&gt;"",1+(Skills!T13/10)*($Z$3/1000)/100,1)</f>
        <v/>
      </c>
      <c r="J217" t="inlineStr"/>
      <c r="K217" t="inlineStr"/>
      <c r="L217" t="inlineStr"/>
      <c r="M217" t="inlineStr"/>
      <c r="N217" t="inlineStr"/>
      <c r="O217">
        <f>(1-Summary!$B$11)*S217+Summary!$B$11*U217</f>
        <v/>
      </c>
      <c r="P217">
        <f>IF(B246=0,0,O217/B246)</f>
        <v/>
      </c>
      <c r="Q217">
        <f>IFERROR(1/(IF(Inputs!$B$39="pvp",15,MAX(0.1,Skills!D13-IF(Skills!E13=TRUE,Inputs!$B$33,0)))*(1-IF(AND(ArtifactsInput!$M$27,Inputs!$B$4="Chapter Hunt"),CHOOSE(ArtifactsInput!$N$27+1,20,24,28,32,36,40),0)/100)),0)</f>
        <v/>
      </c>
      <c r="R217">
        <f>IF(AND(Inputs!$B$39&lt;&gt;"pvp",Inputs!$B$44&gt;0),IF(MAX(0,Inputs!$B$44-B243)&lt;=0,0,(INT(MAX(0,Inputs!$B$44-B243)/(IF(Inputs!$B$39="pvp",15,MAX(0.1,Skills!D13-IF(Skills!E13=TRUE,Inputs!$B$33,0)))*(1-IF(AND(ArtifactsInput!$M$27,Inputs!$B$4="Chapter Hunt"),CHOOSE(ArtifactsInput!$N$27+1,20,24,28,32,36,40),0)/100)))+1)),0)</f>
        <v/>
      </c>
      <c r="S217" t="n">
        <v>0</v>
      </c>
      <c r="U217" t="n">
        <v>0</v>
      </c>
    </row>
    <row r="218">
      <c r="A218">
        <f>Skills!A14</f>
        <v/>
      </c>
      <c r="B218">
        <f>Skills!B14</f>
        <v/>
      </c>
      <c r="C218">
        <f>Inputs!$B$3&gt;=107</f>
        <v/>
      </c>
      <c r="D218">
        <f>IF(Skills!C14=1,60+Inputs!$B$26+Inputs!$B$30,IF(Skills!C14=2,90+Inputs!$B$27+Inputs!$B$30,IF(Skills!C14=3,120+Inputs!$B$28+Inputs!$B$30,MAX(0,(Inputs!$B$3-100)*3)+Inputs!$B$29+Inputs!$B$30)))</f>
        <v/>
      </c>
      <c r="E218">
        <f>INDEX(FactorTable!$B$2:$Y$301, MATCH(ROUND(MIN(300,MAX(1,D218)),0), FactorTable!$A$2:$A$301,0), Skills!L14+1)</f>
        <v/>
      </c>
      <c r="F218">
        <f>IF(Skills!M14=TRUE,(Skills!K14/10)*(E218/1000),Skills!K14/10)+Skills!N14</f>
        <v/>
      </c>
      <c r="G218">
        <f>Calc!G14</f>
        <v/>
      </c>
      <c r="H218">
        <f>Calc!H14</f>
        <v/>
      </c>
      <c r="I218">
        <f>IF(Skills!T14&lt;&gt;"",1+(Skills!T14/10)*($Z$3/1000)/100,1)</f>
        <v/>
      </c>
      <c r="J218" t="inlineStr"/>
      <c r="K218" t="inlineStr"/>
      <c r="L218" t="inlineStr"/>
      <c r="M218" t="inlineStr"/>
      <c r="N218" t="inlineStr"/>
      <c r="O218">
        <f>(1-Summary!$B$11)*S218+Summary!$B$11*U218</f>
        <v/>
      </c>
      <c r="P218">
        <f>IF(B246=0,0,O218/B246)</f>
        <v/>
      </c>
      <c r="Q218">
        <f>IFERROR(1/(IF(Inputs!$B$39="pvp",15,MAX(0.1,Skills!D14-IF(Skills!E14=TRUE,Inputs!$B$33,0)))*(1-IF(AND(ArtifactsInput!$M$27,Inputs!$B$4="Chapter Hunt"),CHOOSE(ArtifactsInput!$N$27+1,20,24,28,32,36,40),0)/100)),0)</f>
        <v/>
      </c>
      <c r="R218">
        <f>IF(AND(Inputs!$B$39&lt;&gt;"pvp",Inputs!$B$44&gt;0),IF(Inputs!$B$44&lt;=0,0,(INT(Inputs!$B$44/(IF(Inputs!$B$39="pvp",15,MAX(0.1,Skills!D14-IF(Skills!E14=TRUE,Inputs!$B$33,0)))*(1-IF(AND(ArtifactsInput!$M$27,Inputs!$B$4="Chapter Hunt"),CHOOSE(ArtifactsInput!$N$27+1,20,24,28,32,36,40),0)/100)))+1)),0)</f>
        <v/>
      </c>
      <c r="S218" t="n">
        <v>0</v>
      </c>
      <c r="U218" t="n">
        <v>0</v>
      </c>
    </row>
    <row r="219">
      <c r="A219">
        <f>Skills!A15</f>
        <v/>
      </c>
      <c r="B219">
        <f>Skills!B15</f>
        <v/>
      </c>
      <c r="C219">
        <f>Inputs!$B$3&gt;=63</f>
        <v/>
      </c>
      <c r="D219">
        <f>IF(Skills!C15=1,60+Inputs!$B$26+Inputs!$B$30,IF(Skills!C15=2,90+Inputs!$B$27+Inputs!$B$30,IF(Skills!C15=3,120+Inputs!$B$28+Inputs!$B$30,MAX(0,(Inputs!$B$3-100)*3)+Inputs!$B$29+Inputs!$B$30)))</f>
        <v/>
      </c>
      <c r="E219">
        <f>INDEX(FactorTable!$B$2:$Y$301, MATCH(ROUND(MIN(300,MAX(1,D219)),0), FactorTable!$A$2:$A$301,0), Skills!L15+1)</f>
        <v/>
      </c>
      <c r="F219">
        <f>IF(Skills!M15=TRUE,(Skills!K15/10)*(E219/1000),Skills!K15/10)+Skills!N15</f>
        <v/>
      </c>
      <c r="G219">
        <f>Calc!G15</f>
        <v/>
      </c>
      <c r="H219">
        <f>Calc!H15</f>
        <v/>
      </c>
      <c r="I219">
        <f>IF(Skills!T15&lt;&gt;"",1+(Skills!T15/10)*($Z$3/1000)/100,1)</f>
        <v/>
      </c>
      <c r="J219">
        <f>((Inputs!$B$6*(1+Inputs!$B$7/100))+(((Inputs!$B$13*(1+Inputs!$B$14/100))-(Inputs!$B$13*(1+Inputs!$B$14/100)))+0.25*(Inputs!$B$15-Inputs!$B$15))*(1+Inputs!$B$7/100))*(F219/100)</f>
        <v/>
      </c>
      <c r="K219">
        <f>J219*(1+(((Inputs!$B$13+IF(Inputs!$B$3&gt;=35,(10*INDEX(FactorTable!$B$2:$Y$301,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15="TRIUMPH_FEATHER",IF(C220=TRUE,F220,0),0)/100)*(1+IF(C231=TRUE,F231,0)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219)</f>
        <v/>
      </c>
      <c r="L219">
        <f>K219*(MIN(Inputs!$B$23+(F226-Calc!F22),(Inputs!$B$24+IF(ArtifactsInput!$M$15,CHOOSE(ArtifactsInput!$N$15+1,25,30,35,40,45,50)/100*(Inputs!$B$12-Inputs!$B$12),0)))/100+(Inputs!$B$24+IF(ArtifactsInput!$M$15,CHOOSE(ArtifactsInput!$N$15+1,25,30,35,40,45,50)/100*(Inputs!$B$12-Inputs!$B$12),0))/100)/2</f>
        <v/>
      </c>
      <c r="M219">
        <f>L219*(1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
        <f>L219*(1-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
        <f>(1-Summary!$B$11)*S219+Summary!$B$11*U219</f>
        <v/>
      </c>
      <c r="P219">
        <f>IF(B246=0,0,O219/B246)</f>
        <v/>
      </c>
      <c r="Q219">
        <f>IFERROR(1/(IF(Inputs!$B$39="pvp",15,MAX(0.1,Skills!D15-IF(Skills!E15=TRUE,Inputs!$B$33,0)))*(1-IF(AND(ArtifactsInput!$M$27,Inputs!$B$4="Chapter Hunt"),CHOOSE(ArtifactsInput!$N$27+1,20,24,28,32,36,40),0)/100)),0)</f>
        <v/>
      </c>
      <c r="R219" t="n">
        <v>0</v>
      </c>
      <c r="S219">
        <f>IF(C219,(Skills!F15*N219*((IF(Inputs!$B$3&gt;=78,25,15)/100*B239*10)/(1+IF(Inputs!$B$3&gt;=78,25,15)/100*B239*10))*(Skills!I15/100*B239)/(1+Skills!G15*Skills!I15/100*B239))*IF(Inputs!$B$39="pvp",1,1+(Inputs!$B$21+Skills!O15+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
        <f>IF(C219,(Skills!F15*N219*((IF(Inputs!$B$3&gt;=78,25,15)/100*B239*10)/(1+IF(Inputs!$B$3&gt;=78,25,15)/100*B239*10))*(Skills!I15/100*B239)/(1+Skills!G15*Skills!I15/100*B239))*IF(Inputs!$B$39="pvp",1,(1+(Inputs!$B$22+Skills!P15+B235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
      <c r="A220">
        <f>Skills!A16</f>
        <v/>
      </c>
      <c r="B220">
        <f>Skills!B16</f>
        <v/>
      </c>
      <c r="C220">
        <f>Inputs!$B$3&gt;=100</f>
        <v/>
      </c>
      <c r="D220">
        <f>IF(Skills!C16=1,60+Inputs!$B$26+Inputs!$B$30,IF(Skills!C16=2,90+Inputs!$B$27+Inputs!$B$30,IF(Skills!C16=3,120+Inputs!$B$28+Inputs!$B$30,MAX(0,(Inputs!$B$3-100)*3)+Inputs!$B$29+Inputs!$B$30)))</f>
        <v/>
      </c>
      <c r="E220">
        <f>INDEX(FactorTable!$B$2:$Y$301, MATCH(ROUND(MIN(300,MAX(1,D220)),0), FactorTable!$A$2:$A$301,0), Skills!L16+1)</f>
        <v/>
      </c>
      <c r="F220">
        <f>IF(Skills!M16=TRUE,(Skills!K16/10)*(E220/1000),Skills!K16/10)+Skills!N16</f>
        <v/>
      </c>
      <c r="G220">
        <f>Calc!G16</f>
        <v/>
      </c>
      <c r="H220">
        <f>Calc!H16</f>
        <v/>
      </c>
      <c r="I220">
        <f>IF(Skills!T16&lt;&gt;"",1+(Skills!T16/10)*($Z$3/1000)/100,1)</f>
        <v/>
      </c>
      <c r="J220" t="inlineStr"/>
      <c r="K220" t="inlineStr"/>
      <c r="L220" t="inlineStr"/>
      <c r="M220" t="inlineStr"/>
      <c r="N220" t="inlineStr"/>
      <c r="O220">
        <f>(1-Summary!$B$11)*S220+Summary!$B$11*U220</f>
        <v/>
      </c>
      <c r="P220">
        <f>IF(B246=0,0,O220/B246)</f>
        <v/>
      </c>
      <c r="Q220">
        <f>IFERROR(1/(IF(Inputs!$B$39="pvp",15,MAX(0.1,Skills!D16-IF(Skills!E16=TRUE,Inputs!$B$33,0)))*(1-IF(AND(ArtifactsInput!$M$27,Inputs!$B$4="Chapter Hunt"),CHOOSE(ArtifactsInput!$N$27+1,20,24,28,32,36,40),0)/100)),0)</f>
        <v/>
      </c>
      <c r="R220" t="n">
        <v>0</v>
      </c>
      <c r="S220" t="n">
        <v>0</v>
      </c>
      <c r="U220" t="n">
        <v>0</v>
      </c>
    </row>
    <row r="221">
      <c r="A221">
        <f>Skills!A17</f>
        <v/>
      </c>
      <c r="B221">
        <f>Skills!B17</f>
        <v/>
      </c>
      <c r="C221">
        <f>Inputs!$B$3&gt;=49</f>
        <v/>
      </c>
      <c r="D221">
        <f>IF(Skills!C17=1,60+Inputs!$B$26+Inputs!$B$30,IF(Skills!C17=2,90+Inputs!$B$27+Inputs!$B$30,IF(Skills!C17=3,120+Inputs!$B$28+Inputs!$B$30,MAX(0,(Inputs!$B$3-100)*3)+Inputs!$B$29+Inputs!$B$30)))</f>
        <v/>
      </c>
      <c r="E221">
        <f>INDEX(FactorTable!$B$2:$Y$301, MATCH(ROUND(MIN(300,MAX(1,D221)),0), FactorTable!$A$2:$A$301,0), Skills!L17+1)</f>
        <v/>
      </c>
      <c r="F221">
        <f>IF(Skills!M17=TRUE,(Skills!K17/10)*(E221/1000),Skills!K17/10)+Skills!N17</f>
        <v/>
      </c>
      <c r="G221">
        <f>Calc!G17</f>
        <v/>
      </c>
      <c r="H221">
        <f>Calc!H17</f>
        <v/>
      </c>
      <c r="I221">
        <f>IF(Skills!T17&lt;&gt;"",1+(Skills!T17/10)*($Z$3/1000)/100,1)</f>
        <v/>
      </c>
      <c r="J221" t="inlineStr"/>
      <c r="K221" t="inlineStr"/>
      <c r="L221" t="inlineStr"/>
      <c r="M221" t="inlineStr"/>
      <c r="N221" t="inlineStr"/>
      <c r="O221">
        <f>(1-Summary!$B$11)*S221+Summary!$B$11*U221</f>
        <v/>
      </c>
      <c r="P221">
        <f>IF(B246=0,0,O221/B246)</f>
        <v/>
      </c>
      <c r="Q221">
        <f>IFERROR(1/(IF(Inputs!$B$39="pvp",15,MAX(0.1,Skills!D17-IF(Skills!E17=TRUE,Inputs!$B$33,0)))*(1-IF(AND(ArtifactsInput!$M$27,Inputs!$B$4="Chapter Hunt"),CHOOSE(ArtifactsInput!$N$27+1,20,24,28,32,36,40),0)/100)),0)</f>
        <v/>
      </c>
      <c r="R221" t="n">
        <v>0</v>
      </c>
      <c r="S221" t="n">
        <v>0</v>
      </c>
      <c r="U221" t="n">
        <v>0</v>
      </c>
    </row>
    <row r="222">
      <c r="A222">
        <f>Skills!A18</f>
        <v/>
      </c>
      <c r="B222">
        <f>Skills!B18</f>
        <v/>
      </c>
      <c r="C222">
        <f>Inputs!$B$3&gt;=75</f>
        <v/>
      </c>
      <c r="D222">
        <f>IF(Skills!C18=1,60+Inputs!$B$26+Inputs!$B$30,IF(Skills!C18=2,90+Inputs!$B$27+Inputs!$B$30,IF(Skills!C18=3,120+Inputs!$B$28+Inputs!$B$30,MAX(0,(Inputs!$B$3-100)*3)+Inputs!$B$29+Inputs!$B$30)))</f>
        <v/>
      </c>
      <c r="E222">
        <f>INDEX(FactorTable!$B$2:$Y$301, MATCH(ROUND(MIN(300,MAX(1,D222)),0), FactorTable!$A$2:$A$301,0), Skills!L18+1)</f>
        <v/>
      </c>
      <c r="F222">
        <f>IF(Skills!M18=TRUE,(Skills!K18/10)*(E222/1000),Skills!K18/10)+Skills!N18</f>
        <v/>
      </c>
      <c r="G222">
        <f>Calc!G18</f>
        <v/>
      </c>
      <c r="H222">
        <f>Calc!H18</f>
        <v/>
      </c>
      <c r="I222">
        <f>IF(Skills!T18&lt;&gt;"",1+(Skills!T18/10)*($Z$3/1000)/100,1)</f>
        <v/>
      </c>
      <c r="J222" t="inlineStr"/>
      <c r="K222" t="inlineStr"/>
      <c r="L222" t="inlineStr"/>
      <c r="M222" t="inlineStr"/>
      <c r="N222" t="inlineStr"/>
      <c r="O222">
        <f>(1-Summary!$B$11)*S222+Summary!$B$11*U222</f>
        <v/>
      </c>
      <c r="P222">
        <f>IF(B246=0,0,O222/B246)</f>
        <v/>
      </c>
      <c r="Q222">
        <f>IFERROR(1/(IF(Inputs!$B$39="pvp",15,MAX(0.1,Skills!D18-IF(Skills!E18=TRUE,Inputs!$B$33,0)))*(1-IF(AND(ArtifactsInput!$M$27,Inputs!$B$4="Chapter Hunt"),CHOOSE(ArtifactsInput!$N$27+1,20,24,28,32,36,40),0)/100)),0)</f>
        <v/>
      </c>
      <c r="R222" t="n">
        <v>0</v>
      </c>
      <c r="S222" t="n">
        <v>0</v>
      </c>
      <c r="U222" t="n">
        <v>0</v>
      </c>
    </row>
    <row r="223">
      <c r="A223">
        <f>Skills!A19</f>
        <v/>
      </c>
      <c r="B223">
        <f>Skills!B19</f>
        <v/>
      </c>
      <c r="C223">
        <f>Inputs!$B$3&gt;=110</f>
        <v/>
      </c>
      <c r="D223">
        <f>IF(Skills!C19=1,60+Inputs!$B$26+Inputs!$B$30,IF(Skills!C19=2,90+Inputs!$B$27+Inputs!$B$30,IF(Skills!C19=3,120+Inputs!$B$28+Inputs!$B$30,MAX(0,(Inputs!$B$3-100)*3)+Inputs!$B$29+Inputs!$B$30)))</f>
        <v/>
      </c>
      <c r="E223">
        <f>INDEX(FactorTable!$B$2:$Y$301, MATCH(ROUND(MIN(300,MAX(1,D223)),0), FactorTable!$A$2:$A$301,0), Skills!L19+1)</f>
        <v/>
      </c>
      <c r="F223">
        <f>(Skills!K19/10)*(E223/1000)*64/45+Skills!N19</f>
        <v/>
      </c>
      <c r="G223">
        <f>Calc!G19</f>
        <v/>
      </c>
      <c r="H223">
        <f>Calc!H19</f>
        <v/>
      </c>
      <c r="I223">
        <f>IF(Skills!T19&lt;&gt;"",1+(Skills!T19/10)*($Z$3/1000)/100,1)</f>
        <v/>
      </c>
      <c r="J223" t="inlineStr"/>
      <c r="K223" t="inlineStr"/>
      <c r="L223" t="inlineStr"/>
      <c r="M223" t="inlineStr"/>
      <c r="N223" t="inlineStr"/>
      <c r="O223">
        <f>(1-Summary!$B$11)*S223+Summary!$B$11*U223</f>
        <v/>
      </c>
      <c r="P223">
        <f>IF(B246=0,0,O223/B246)</f>
        <v/>
      </c>
      <c r="Q223">
        <f>IFERROR(1/(IF(Inputs!$B$39="pvp",15,MAX(0.1,Skills!D19-IF(Skills!E19=TRUE,Inputs!$B$33,0)))*(1-IF(AND(ArtifactsInput!$M$27,Inputs!$B$4="Chapter Hunt"),CHOOSE(ArtifactsInput!$N$27+1,20,24,28,32,36,40),0)/100)),0)</f>
        <v/>
      </c>
      <c r="R223">
        <f>IF(AND(Inputs!$B$39&lt;&gt;"pvp",Inputs!$B$44&gt;0),IF(Inputs!$B$44&lt;=0,0,(INT(Inputs!$B$44/(IF(Inputs!$B$39="pvp",15,MAX(0.1,Skills!D19-IF(Skills!E19=TRUE,Inputs!$B$33,0)))*(1-IF(AND(ArtifactsInput!$M$27,Inputs!$B$4="Chapter Hunt"),CHOOSE(ArtifactsInput!$N$27+1,20,24,28,32,36,40),0)/100)))+1)),0)</f>
        <v/>
      </c>
      <c r="S223" t="n">
        <v>0</v>
      </c>
      <c r="U223" t="n">
        <v>0</v>
      </c>
    </row>
    <row r="224">
      <c r="A224">
        <f>Skills!A20</f>
        <v/>
      </c>
      <c r="B224">
        <f>Skills!B20</f>
        <v/>
      </c>
      <c r="C224">
        <f>Inputs!$B$3&gt;=125</f>
        <v/>
      </c>
      <c r="D224">
        <f>IF(Skills!C20=1,60+Inputs!$B$26+Inputs!$B$30,IF(Skills!C20=2,90+Inputs!$B$27+Inputs!$B$30,IF(Skills!C20=3,120+Inputs!$B$28+Inputs!$B$30,MAX(0,(Inputs!$B$3-100)*3)+Inputs!$B$29+Inputs!$B$30)))</f>
        <v/>
      </c>
      <c r="E224">
        <f>INDEX(FactorTable!$B$2:$Y$301, MATCH(ROUND(MIN(300,MAX(1,D224)),0), FactorTable!$A$2:$A$301,0), Skills!L20+1)</f>
        <v/>
      </c>
      <c r="F224">
        <f>IF(Skills!M20=TRUE,(Skills!K20/10)*(E224/1000),Skills!K20/10)+Skills!N20</f>
        <v/>
      </c>
      <c r="G224">
        <f>Calc!G20</f>
        <v/>
      </c>
      <c r="H224">
        <f>Calc!H20</f>
        <v/>
      </c>
      <c r="I224">
        <f>IF(Skills!T20&lt;&gt;"",1+(Skills!T20/10)*($Z$3/1000)/100,1)</f>
        <v/>
      </c>
      <c r="J224" t="inlineStr"/>
      <c r="K224" t="inlineStr"/>
      <c r="L224" t="inlineStr"/>
      <c r="M224" t="inlineStr"/>
      <c r="N224" t="inlineStr"/>
      <c r="O224">
        <f>(1-Summary!$B$11)*S224+Summary!$B$11*U224</f>
        <v/>
      </c>
      <c r="P224">
        <f>IF(B246=0,0,O224/B246)</f>
        <v/>
      </c>
      <c r="Q224">
        <f>IFERROR(1/(IF(Inputs!$B$39="pvp",15,MAX(0.1,Skills!D20-IF(Skills!E20=TRUE,Inputs!$B$33,0)))*(1-IF(AND(ArtifactsInput!$M$27,Inputs!$B$4="Chapter Hunt"),CHOOSE(ArtifactsInput!$N$27+1,20,24,28,32,36,40),0)/100)),0)</f>
        <v/>
      </c>
      <c r="R224" t="n">
        <v>0</v>
      </c>
      <c r="S224" t="n">
        <v>0</v>
      </c>
      <c r="U224" t="n">
        <v>0</v>
      </c>
    </row>
    <row r="225">
      <c r="A225">
        <f>Skills!A21</f>
        <v/>
      </c>
      <c r="B225">
        <f>Skills!B21</f>
        <v/>
      </c>
      <c r="C225">
        <f>Inputs!$B$3&gt;=33</f>
        <v/>
      </c>
      <c r="D225">
        <f>IF(Skills!C21=1,60+Inputs!$B$26+Inputs!$B$30,IF(Skills!C21=2,90+Inputs!$B$27+Inputs!$B$30,IF(Skills!C21=3,120+Inputs!$B$28+Inputs!$B$30,MAX(0,(Inputs!$B$3-100)*3)+Inputs!$B$29+Inputs!$B$30)))</f>
        <v/>
      </c>
      <c r="E225">
        <f>INDEX(FactorTable!$B$2:$Y$301, MATCH(ROUND(MIN(300,MAX(1,D225)),0), FactorTable!$A$2:$A$301,0), Skills!L21+1)</f>
        <v/>
      </c>
      <c r="F225">
        <f>IF(Skills!M21=TRUE,(Skills!K21/10)*(E225/1000),Skills!K21/10)+Skills!N21</f>
        <v/>
      </c>
      <c r="G225">
        <f>Calc!G21</f>
        <v/>
      </c>
      <c r="H225">
        <f>Calc!H21</f>
        <v/>
      </c>
      <c r="I225">
        <f>IF(Skills!T21&lt;&gt;"",1+(Skills!T21/10)*($Z$3/1000)/100,1)</f>
        <v/>
      </c>
      <c r="J225" t="inlineStr"/>
      <c r="K225" t="inlineStr"/>
      <c r="L225" t="inlineStr"/>
      <c r="M225" t="inlineStr"/>
      <c r="N225" t="inlineStr"/>
      <c r="O225">
        <f>(1-Summary!$B$11)*S225+Summary!$B$11*U225</f>
        <v/>
      </c>
      <c r="P225">
        <f>IF(B246=0,0,O225/B246)</f>
        <v/>
      </c>
      <c r="Q225">
        <f>IFERROR(1/(IF(Inputs!$B$39="pvp",15,MAX(0.1,Skills!D21-IF(Skills!E21=TRUE,Inputs!$B$33,0)))*(1-IF(AND(ArtifactsInput!$M$27,Inputs!$B$4="Chapter Hunt"),CHOOSE(ArtifactsInput!$N$27+1,20,24,28,32,36,40),0)/100)),0)</f>
        <v/>
      </c>
      <c r="R225" t="n">
        <v>0</v>
      </c>
      <c r="S225" t="n">
        <v>0</v>
      </c>
      <c r="U225" t="n">
        <v>0</v>
      </c>
    </row>
    <row r="226">
      <c r="A226">
        <f>Skills!A22</f>
        <v/>
      </c>
      <c r="B226">
        <f>Skills!B22</f>
        <v/>
      </c>
      <c r="C226">
        <f>Inputs!$B$3&gt;=43</f>
        <v/>
      </c>
      <c r="D226">
        <f>IF(Skills!C22=1,60+Inputs!$B$26+Inputs!$B$30,IF(Skills!C22=2,90+Inputs!$B$27+Inputs!$B$30,IF(Skills!C22=3,120+Inputs!$B$28+Inputs!$B$30,MAX(0,(Inputs!$B$3-100)*3)+Inputs!$B$29+Inputs!$B$30)))</f>
        <v/>
      </c>
      <c r="E226">
        <f>INDEX(FactorTable!$B$2:$Y$301, MATCH(ROUND(MIN(300,MAX(1,D226)),0), FactorTable!$A$2:$A$301,0), Skills!L22+1)</f>
        <v/>
      </c>
      <c r="F226">
        <f>IF(Skills!M22=TRUE,(Skills!K22/10)*(E226/1000),Skills!K22/10)+Skills!N22</f>
        <v/>
      </c>
      <c r="G226">
        <f>Calc!G22</f>
        <v/>
      </c>
      <c r="H226">
        <f>Calc!H22</f>
        <v/>
      </c>
      <c r="I226">
        <f>IF(Skills!T22&lt;&gt;"",1+(Skills!T22/10)*($Z$3/1000)/100,1)</f>
        <v/>
      </c>
      <c r="J226" t="inlineStr"/>
      <c r="K226" t="inlineStr"/>
      <c r="L226" t="inlineStr"/>
      <c r="M226" t="inlineStr"/>
      <c r="N226" t="inlineStr"/>
      <c r="O226">
        <f>(1-Summary!$B$11)*S226+Summary!$B$11*U226</f>
        <v/>
      </c>
      <c r="P226">
        <f>IF(B246=0,0,O226/B246)</f>
        <v/>
      </c>
      <c r="Q226">
        <f>IFERROR(1/(IF(Inputs!$B$39="pvp",15,MAX(0.1,Skills!D22-IF(Skills!E22=TRUE,Inputs!$B$33,0)))*(1-IF(AND(ArtifactsInput!$M$27,Inputs!$B$4="Chapter Hunt"),CHOOSE(ArtifactsInput!$N$27+1,20,24,28,32,36,40),0)/100)),0)</f>
        <v/>
      </c>
      <c r="R226" t="n">
        <v>0</v>
      </c>
      <c r="S226" t="n">
        <v>0</v>
      </c>
      <c r="U226" t="n">
        <v>0</v>
      </c>
    </row>
    <row r="227">
      <c r="A227">
        <f>Skills!A23</f>
        <v/>
      </c>
      <c r="B227">
        <f>Skills!B23</f>
        <v/>
      </c>
      <c r="C227">
        <f>Inputs!$B$3&gt;=50</f>
        <v/>
      </c>
      <c r="D227">
        <f>IF(Skills!C23=1,60+Inputs!$B$26+Inputs!$B$30,IF(Skills!C23=2,90+Inputs!$B$27+Inputs!$B$30,IF(Skills!C23=3,120+Inputs!$B$28+Inputs!$B$30,MAX(0,(Inputs!$B$3-100)*3)+Inputs!$B$29+Inputs!$B$30)))</f>
        <v/>
      </c>
      <c r="E227">
        <f>INDEX(FactorTable!$B$2:$Y$301, MATCH(ROUND(MIN(300,MAX(1,D227)),0), FactorTable!$A$2:$A$301,0), Skills!L23+1)</f>
        <v/>
      </c>
      <c r="F227">
        <f>IF(Skills!M23=TRUE,(Skills!K23/10)*(E227/1000),Skills!K23/10)+Skills!N23</f>
        <v/>
      </c>
      <c r="G227">
        <f>Calc!G23</f>
        <v/>
      </c>
      <c r="H227">
        <f>Calc!H23</f>
        <v/>
      </c>
      <c r="I227">
        <f>IF(Skills!T23&lt;&gt;"",1+(Skills!T23/10)*($Z$3/1000)/100,1)</f>
        <v/>
      </c>
      <c r="J227" t="inlineStr"/>
      <c r="K227" t="inlineStr"/>
      <c r="L227" t="inlineStr"/>
      <c r="M227" t="inlineStr"/>
      <c r="N227" t="inlineStr"/>
      <c r="O227">
        <f>(1-Summary!$B$11)*S227+Summary!$B$11*U227</f>
        <v/>
      </c>
      <c r="P227">
        <f>IF(B246=0,0,O227/B246)</f>
        <v/>
      </c>
      <c r="Q227">
        <f>IFERROR(1/(IF(Inputs!$B$39="pvp",15,MAX(0.1,Skills!D23-IF(Skills!E23=TRUE,Inputs!$B$33,0)))*(1-IF(AND(ArtifactsInput!$M$27,Inputs!$B$4="Chapter Hunt"),CHOOSE(ArtifactsInput!$N$27+1,20,24,28,32,36,40),0)/100)),0)</f>
        <v/>
      </c>
      <c r="R227" t="n">
        <v>0</v>
      </c>
      <c r="S227" t="n">
        <v>0</v>
      </c>
      <c r="U227" t="n">
        <v>0</v>
      </c>
    </row>
    <row r="228">
      <c r="A228">
        <f>Skills!A24</f>
        <v/>
      </c>
      <c r="B228">
        <f>Skills!B24</f>
        <v/>
      </c>
      <c r="C228">
        <f>Inputs!$B$3&gt;=74</f>
        <v/>
      </c>
      <c r="D228">
        <f>IF(Skills!C24=1,60+Inputs!$B$26+Inputs!$B$30,IF(Skills!C24=2,90+Inputs!$B$27+Inputs!$B$30,IF(Skills!C24=3,120+Inputs!$B$28+Inputs!$B$30,MAX(0,(Inputs!$B$3-100)*3)+Inputs!$B$29+Inputs!$B$30)))</f>
        <v/>
      </c>
      <c r="E228">
        <f>INDEX(FactorTable!$B$2:$Y$301, MATCH(ROUND(MIN(300,MAX(1,D228)),0), FactorTable!$A$2:$A$301,0), Skills!L24+1)</f>
        <v/>
      </c>
      <c r="F228">
        <f>IF(Skills!M24=TRUE,(Skills!K24/10)*(E228/1000),Skills!K24/10)+Skills!N24</f>
        <v/>
      </c>
      <c r="G228">
        <f>Calc!G24</f>
        <v/>
      </c>
      <c r="H228">
        <f>Calc!H24</f>
        <v/>
      </c>
      <c r="I228">
        <f>IF(Skills!T24&lt;&gt;"",1+(Skills!T24/10)*($Z$3/1000)/100,1)</f>
        <v/>
      </c>
      <c r="J228" t="inlineStr"/>
      <c r="K228" t="inlineStr"/>
      <c r="L228" t="inlineStr"/>
      <c r="M228" t="inlineStr"/>
      <c r="N228" t="inlineStr"/>
      <c r="O228">
        <f>(1-Summary!$B$11)*S228+Summary!$B$11*U228</f>
        <v/>
      </c>
      <c r="P228">
        <f>IF(B246=0,0,O228/B246)</f>
        <v/>
      </c>
      <c r="Q228">
        <f>IFERROR(1/(IF(Inputs!$B$39="pvp",15,MAX(0.1,Skills!D24-IF(Skills!E24=TRUE,Inputs!$B$33,0)))*(1-IF(AND(ArtifactsInput!$M$27,Inputs!$B$4="Chapter Hunt"),CHOOSE(ArtifactsInput!$N$27+1,20,24,28,32,36,40),0)/100)),0)</f>
        <v/>
      </c>
      <c r="R228" t="n">
        <v>0</v>
      </c>
      <c r="S228" t="n">
        <v>0</v>
      </c>
      <c r="U228" t="n">
        <v>0</v>
      </c>
    </row>
    <row r="229">
      <c r="A229">
        <f>Skills!A25</f>
        <v/>
      </c>
      <c r="B229">
        <f>Skills!B25</f>
        <v/>
      </c>
      <c r="C229">
        <f>Inputs!$B$3&gt;=74</f>
        <v/>
      </c>
      <c r="D229">
        <f>IF(Skills!C25=1,60+Inputs!$B$26+Inputs!$B$30,IF(Skills!C25=2,90+Inputs!$B$27+Inputs!$B$30,IF(Skills!C25=3,120+Inputs!$B$28+Inputs!$B$30,MAX(0,(Inputs!$B$3-100)*3)+Inputs!$B$29+Inputs!$B$30)))</f>
        <v/>
      </c>
      <c r="E229">
        <f>INDEX(FactorTable!$B$2:$Y$301, MATCH(ROUND(MIN(300,MAX(1,D229)),0), FactorTable!$A$2:$A$301,0), Skills!L25+1)</f>
        <v/>
      </c>
      <c r="F229">
        <f>IF(Skills!M25=TRUE,(Skills!K25/10)*(E229/1000),Skills!K25/10)+Skills!N25</f>
        <v/>
      </c>
      <c r="G229">
        <f>Calc!G25</f>
        <v/>
      </c>
      <c r="H229">
        <f>Calc!H25</f>
        <v/>
      </c>
      <c r="I229">
        <f>IF(Skills!T25&lt;&gt;"",1+(Skills!T25/10)*($Z$3/1000)/100,1)</f>
        <v/>
      </c>
      <c r="J229" t="inlineStr"/>
      <c r="K229" t="inlineStr"/>
      <c r="L229" t="inlineStr"/>
      <c r="M229" t="inlineStr"/>
      <c r="N229" t="inlineStr"/>
      <c r="O229">
        <f>(1-Summary!$B$11)*S229+Summary!$B$11*U229</f>
        <v/>
      </c>
      <c r="P229">
        <f>IF(B246=0,0,O229/B246)</f>
        <v/>
      </c>
      <c r="Q229">
        <f>IFERROR(1/(IF(Inputs!$B$39="pvp",15,MAX(0.1,Skills!D25-IF(Skills!E25=TRUE,Inputs!$B$33,0)))*(1-IF(AND(ArtifactsInput!$M$27,Inputs!$B$4="Chapter Hunt"),CHOOSE(ArtifactsInput!$N$27+1,20,24,28,32,36,40),0)/100)),0)</f>
        <v/>
      </c>
      <c r="R229" t="n">
        <v>0</v>
      </c>
      <c r="S229" t="n">
        <v>0</v>
      </c>
      <c r="U229" t="n">
        <v>0</v>
      </c>
    </row>
    <row r="230">
      <c r="A230">
        <f>Skills!A26</f>
        <v/>
      </c>
      <c r="B230">
        <f>Skills!B26</f>
        <v/>
      </c>
      <c r="C230">
        <f>Inputs!$B$3&gt;=117</f>
        <v/>
      </c>
      <c r="D230">
        <f>IF(Skills!C26=1,60+Inputs!$B$26+Inputs!$B$30,IF(Skills!C26=2,90+Inputs!$B$27+Inputs!$B$30,IF(Skills!C26=3,120+Inputs!$B$28+Inputs!$B$30,MAX(0,(Inputs!$B$3-100)*3)+Inputs!$B$29+Inputs!$B$30)))</f>
        <v/>
      </c>
      <c r="E230">
        <f>INDEX(FactorTable!$B$2:$Y$301, MATCH(ROUND(MIN(300,MAX(1,D230)),0), FactorTable!$A$2:$A$301,0), Skills!L26+1)</f>
        <v/>
      </c>
      <c r="F230">
        <f>IF(Skills!M26=TRUE,(Skills!K26/10)*(E230/1000),Skills!K26/10)+Skills!N26</f>
        <v/>
      </c>
      <c r="G230">
        <f>Calc!G26</f>
        <v/>
      </c>
      <c r="H230">
        <f>Calc!H26</f>
        <v/>
      </c>
      <c r="I230">
        <f>IF(Skills!T26&lt;&gt;"",1+(Skills!T26/10)*($Z$3/1000)/100,1)</f>
        <v/>
      </c>
      <c r="J230" t="inlineStr"/>
      <c r="K230" t="inlineStr"/>
      <c r="L230" t="inlineStr"/>
      <c r="M230" t="inlineStr"/>
      <c r="N230" t="inlineStr"/>
      <c r="O230">
        <f>(1-Summary!$B$11)*S230+Summary!$B$11*U230</f>
        <v/>
      </c>
      <c r="P230">
        <f>IF(B246=0,0,O230/B246)</f>
        <v/>
      </c>
      <c r="Q230">
        <f>IFERROR(1/(IF(Inputs!$B$39="pvp",15,MAX(0.1,Skills!D26-IF(Skills!E26=TRUE,Inputs!$B$33,0)))*(1-IF(AND(ArtifactsInput!$M$27,Inputs!$B$4="Chapter Hunt"),CHOOSE(ArtifactsInput!$N$27+1,20,24,28,32,36,40),0)/100)),0)</f>
        <v/>
      </c>
      <c r="R230" t="n">
        <v>0</v>
      </c>
      <c r="S230" t="n">
        <v>0</v>
      </c>
      <c r="U230" t="n">
        <v>0</v>
      </c>
    </row>
    <row r="231">
      <c r="A231">
        <f>Skills!A27</f>
        <v/>
      </c>
      <c r="B231">
        <f>Skills!B27</f>
        <v/>
      </c>
      <c r="C231">
        <f>Inputs!$B$3&gt;=120</f>
        <v/>
      </c>
      <c r="D231">
        <f>IF(Skills!C27=1,60+Inputs!$B$26+Inputs!$B$30,IF(Skills!C27=2,90+Inputs!$B$27+Inputs!$B$30,IF(Skills!C27=3,120+Inputs!$B$28+Inputs!$B$30,MAX(0,(Inputs!$B$3-100)*3)+Inputs!$B$29+Inputs!$B$30)))</f>
        <v/>
      </c>
      <c r="E231">
        <f>INDEX(FactorTable!$B$2:$Y$301, MATCH(ROUND(MIN(300,MAX(1,D231)),0), FactorTable!$A$2:$A$301,0), Skills!L27+1)</f>
        <v/>
      </c>
      <c r="F231">
        <f>IF(Skills!M27=TRUE,(Skills!K27/10)*(E231/1000),Skills!K27/10)+Skills!N27</f>
        <v/>
      </c>
      <c r="G231">
        <f>Calc!G27</f>
        <v/>
      </c>
      <c r="H231">
        <f>Calc!H27</f>
        <v/>
      </c>
      <c r="I231">
        <f>IF(Skills!T27&lt;&gt;"",1+(Skills!T27/10)*($Z$3/1000)/100,1)</f>
        <v/>
      </c>
      <c r="J231" t="inlineStr"/>
      <c r="K231" t="inlineStr"/>
      <c r="L231" t="inlineStr"/>
      <c r="M231" t="inlineStr"/>
      <c r="N231" t="inlineStr"/>
      <c r="O231">
        <f>(1-Summary!$B$11)*S231+Summary!$B$11*U231</f>
        <v/>
      </c>
      <c r="P231">
        <f>IF(B246=0,0,O231/B246)</f>
        <v/>
      </c>
      <c r="Q231">
        <f>IFERROR(1/(IF(Inputs!$B$39="pvp",15,MAX(0.1,Skills!D27-IF(Skills!E27=TRUE,Inputs!$B$33,0)))*(1-IF(AND(ArtifactsInput!$M$27,Inputs!$B$4="Chapter Hunt"),CHOOSE(ArtifactsInput!$N$27+1,20,24,28,32,36,40),0)/100)),0)</f>
        <v/>
      </c>
      <c r="R231" t="n">
        <v>0</v>
      </c>
      <c r="S231" t="n">
        <v>0</v>
      </c>
      <c r="U231" t="n">
        <v>0</v>
      </c>
    </row>
    <row r="233">
      <c r="A233" t="inlineStr">
        <is>
          <t>Average Buff Multiplier</t>
        </is>
      </c>
      <c r="B233">
        <f>(1+(IF(C207=TRUE,F207*IF(AND(Inputs!$B$39&lt;&gt;"pvp",Inputs!$B$44&gt;0),(((R207-1)*(Skills!S3*(1+((Inputs!$B$35+(ArtifactsInput!$M$7-ArtifactsInput!$M$7)*CHOOSE(ArtifactsInput!$N$7+1,6,7.2,8.4,9.6,10.8,12))+IF(Inputs!$B$3&gt;=117,F230,0))/100))+MIN((Skills!S3*(1+((Inputs!$B$35+(ArtifactsInput!$M$7-ArtifactsInput!$M$7)*CHOOSE(ArtifactsInput!$N$7+1,6,7.2,8.4,9.6,10.8,12))+IF(Inputs!$B$3&gt;=117,F230,0))/100)),MAX(0,Inputs!$B$44-((R207-1)*Skills!D3))))/Inputs!$B$44),IF(Inputs!$B$39="pvp",MIN((Skills!S3*(1+((Inputs!$B$35+(ArtifactsInput!$M$7-ArtifactsInput!$M$7)*CHOOSE(ArtifactsInput!$N$7+1,6,7.2,8.4,9.6,10.8,12))+IF(Inputs!$B$3&gt;=117,F230,0))/100)),15)/15,(Skills!S3*(1+((Inputs!$B$35+(ArtifactsInput!$M$7-ArtifactsInput!$M$7)*CHOOSE(ArtifactsInput!$N$7+1,6,7.2,8.4,9.6,10.8,12))+IF(Inputs!$B$3&gt;=117,F230,0))/100))/Skills!D3)),0)+IF(C208=TRUE,F208*IF(AND(Inputs!$B$39&lt;&gt;"pvp",Inputs!$B$44&gt;0),(((R208-1)*(Skills!S4*(1+((Inputs!$B$35+(ArtifactsInput!$M$7-ArtifactsInput!$M$7)*CHOOSE(ArtifactsInput!$N$7+1,6,7.2,8.4,9.6,10.8,12))+IF(Inputs!$B$3&gt;=117,F230,0))/100))+MIN((Skills!S4*(1+((Inputs!$B$35+(ArtifactsInput!$M$7-ArtifactsInput!$M$7)*CHOOSE(ArtifactsInput!$N$7+1,6,7.2,8.4,9.6,10.8,12))+IF(Inputs!$B$3&gt;=117,F230,0))/100)),MAX(0,Inputs!$B$44-((R208-1)*Skills!D4))))/Inputs!$B$44),IF(Inputs!$B$39="pvp",MIN((Skills!S4*(1+((Inputs!$B$35+(ArtifactsInput!$M$7-ArtifactsInput!$M$7)*CHOOSE(ArtifactsInput!$N$7+1,6,7.2,8.4,9.6,10.8,12))+IF(Inputs!$B$3&gt;=117,F230,0))/100)),15)/15,(Skills!S4*(1+((Inputs!$B$35+(ArtifactsInput!$M$7-ArtifactsInput!$M$7)*CHOOSE(ArtifactsInput!$N$7+1,6,7.2,8.4,9.6,10.8,12))+IF(Inputs!$B$3&gt;=117,F230,0))/100))/Skills!D4)),0)+IF(C209=TRUE,F209*IF(AND(Inputs!$B$39&lt;&gt;"pvp",Inputs!$B$44&gt;0),(((R209-1)*(Skills!S5*(1+((Inputs!$B$35+(ArtifactsInput!$M$7-ArtifactsInput!$M$7)*CHOOSE(ArtifactsInput!$N$7+1,6,7.2,8.4,9.6,10.8,12))+IF(Inputs!$B$3&gt;=117,F230,0))/100))+MIN((Skills!S5*(1+((Inputs!$B$35+(ArtifactsInput!$M$7-ArtifactsInput!$M$7)*CHOOSE(ArtifactsInput!$N$7+1,6,7.2,8.4,9.6,10.8,12))+IF(Inputs!$B$3&gt;=117,F230,0))/100)),MAX(0,Inputs!$B$44-((R209-1)*Skills!D5))))/Inputs!$B$44),IF(Inputs!$B$39="pvp",MIN((Skills!S5*(1+((Inputs!$B$35+(ArtifactsInput!$M$7-ArtifactsInput!$M$7)*CHOOSE(ArtifactsInput!$N$7+1,6,7.2,8.4,9.6,10.8,12))+IF(Inputs!$B$3&gt;=117,F230,0))/100)),15)/15,(Skills!S5*(1+((Inputs!$B$35+(ArtifactsInput!$M$7-ArtifactsInput!$M$7)*CHOOSE(ArtifactsInput!$N$7+1,6,7.2,8.4,9.6,10.8,12))+IF(Inputs!$B$3&gt;=117,F230,0))/100))/Skills!D5)),0)+IF(C215=TRUE,F215*IF(AND(Inputs!$B$39&lt;&gt;"pvp",Inputs!$B$44&gt;0),(((R215-1)*(Skills!S11*(1+((Inputs!$B$35+(ArtifactsInput!$M$7-ArtifactsInput!$M$7)*CHOOSE(ArtifactsInput!$N$7+1,6,7.2,8.4,9.6,10.8,12))+IF(Inputs!$B$3&gt;=117,F230,0))/100))+MIN((Skills!S11*(1+((Inputs!$B$35+(ArtifactsInput!$M$7-ArtifactsInput!$M$7)*CHOOSE(ArtifactsInput!$N$7+1,6,7.2,8.4,9.6,10.8,12))+IF(Inputs!$B$3&gt;=117,F230,0))/100)),MAX(0,Inputs!$B$44-((R215-1)*Skills!D11))))/Inputs!$B$44),IF(Inputs!$B$39="pvp",MIN((Skills!S11*(1+((Inputs!$B$35+(ArtifactsInput!$M$7-ArtifactsInput!$M$7)*CHOOSE(ArtifactsInput!$N$7+1,6,7.2,8.4,9.6,10.8,12))+IF(Inputs!$B$3&gt;=117,F230,0))/100)),15)/15,(Skills!S11*(1+((Inputs!$B$35+(ArtifactsInput!$M$7-ArtifactsInput!$M$7)*CHOOSE(ArtifactsInput!$N$7+1,6,7.2,8.4,9.6,10.8,12))+IF(Inputs!$B$3&gt;=117,F230,0)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218=TRUE,(1+F218*IF(AND(Inputs!$B$39&lt;&gt;"pvp",Inputs!$B$44&gt;0),(((R218-1)*(Skills!S14*(1+((Inputs!$B$35+(ArtifactsInput!$M$7-ArtifactsInput!$M$7)*CHOOSE(ArtifactsInput!$N$7+1,6,7.2,8.4,9.6,10.8,12))+IF(Inputs!$B$3&gt;=117,F230,0))/100))+MIN((Skills!S14*(1+((Inputs!$B$35+(ArtifactsInput!$M$7-ArtifactsInput!$M$7)*CHOOSE(ArtifactsInput!$N$7+1,6,7.2,8.4,9.6,10.8,12))+IF(Inputs!$B$3&gt;=117,F230,0))/100)),MAX(0,Inputs!$B$44-((R218-1)*Skills!D14))))/Inputs!$B$44),IF(Inputs!$B$39="pvp",MIN((Skills!S14*(1+((Inputs!$B$35+(ArtifactsInput!$M$7-ArtifactsInput!$M$7)*CHOOSE(ArtifactsInput!$N$7+1,6,7.2,8.4,9.6,10.8,12))+IF(Inputs!$B$3&gt;=117,F230,0))/100)),15)/15,(Skills!S14*(1+((Inputs!$B$35+(ArtifactsInput!$M$7-ArtifactsInput!$M$7)*CHOOSE(ArtifactsInput!$N$7+1,6,7.2,8.4,9.6,10.8,12))+IF(Inputs!$B$3&gt;=117,F230,0))/100))/Skills!D14))/100),1)*IF(C223=TRUE,(1+F223*IF(AND(Inputs!$B$39&lt;&gt;"pvp",Inputs!$B$44&gt;0),(((R223-1)*(Skills!S19*(1+((Inputs!$B$35+(ArtifactsInput!$M$7-ArtifactsInput!$M$7)*CHOOSE(ArtifactsInput!$N$7+1,6,7.2,8.4,9.6,10.8,12))+IF(Inputs!$B$3&gt;=117,F230,0))/100))+MIN((Skills!S19*(1+((Inputs!$B$35+(ArtifactsInput!$M$7-ArtifactsInput!$M$7)*CHOOSE(ArtifactsInput!$N$7+1,6,7.2,8.4,9.6,10.8,12))+IF(Inputs!$B$3&gt;=117,F230,0))/100)),MAX(0,Inputs!$B$44-((R223-1)*Skills!D19))))/Inputs!$B$44),IF(Inputs!$B$39="pvp",MIN((Skills!S19*(1+((Inputs!$B$35+(ArtifactsInput!$M$7-ArtifactsInput!$M$7)*CHOOSE(ArtifactsInput!$N$7+1,6,7.2,8.4,9.6,10.8,12))+IF(Inputs!$B$3&gt;=117,F230,0))/100)),15)/15,(Skills!S19*(1+((Inputs!$B$35+(ArtifactsInput!$M$7-ArtifactsInput!$M$7)*CHOOSE(ArtifactsInput!$N$7+1,6,7.2,8.4,9.6,10.8,12))+IF(Inputs!$B$3&gt;=117,F230,0))/100))/Skills!D19))/100),1)</f>
        <v/>
      </c>
    </row>
    <row r="234">
      <c r="A234" t="inlineStr">
        <is>
          <t>Monster Damage Taken Bonus % (Holy Fountain)</t>
        </is>
      </c>
      <c r="B234">
        <f>IF(Inputs!$B$3&gt;=68,20*IF(Inputs!$B$39="pvp",MIN((15*(1+((Inputs!$B$35+(ArtifactsInput!$M$7-ArtifactsInput!$M$7)*CHOOSE(ArtifactsInput!$N$7+1,6,7.2,8.4,9.6,10.8,12))+IF(Inputs!$B$3&gt;=117,F230,0))/100)),15)/15,(15*(1+((Inputs!$B$35+(ArtifactsInput!$M$7-ArtifactsInput!$M$7)*CHOOSE(ArtifactsInput!$N$7+1,6,7.2,8.4,9.6,10.8,12))+IF(Inputs!$B$3&gt;=117,F230,0))/100))/Skills!D10),0)</f>
        <v/>
      </c>
    </row>
    <row r="235">
      <c r="A235" t="inlineStr">
        <is>
          <t>Normal Monster Damage Bonus % (Holy Symbol)</t>
        </is>
      </c>
      <c r="B235">
        <f>IF(C216=TRUE,F216*IF(AND(Inputs!$B$39&lt;&gt;"pvp",Inputs!$B$44&gt;0),(((R216-1)*(Skills!S12*(1+((Inputs!$B$35+(ArtifactsInput!$M$7-ArtifactsInput!$M$7)*CHOOSE(ArtifactsInput!$N$7+1,6,7.2,8.4,9.6,10.8,12))+IF(Inputs!$B$3&gt;=117,F230,0))/100))+MIN((Skills!S12*(1+((Inputs!$B$35+(ArtifactsInput!$M$7-ArtifactsInput!$M$7)*CHOOSE(ArtifactsInput!$N$7+1,6,7.2,8.4,9.6,10.8,12))+IF(Inputs!$B$3&gt;=117,F230,0))/100)),MAX(0,Inputs!$B$44-((R216-1)*Skills!D12))))/Inputs!$B$44),IF(Inputs!$B$39="pvp",MIN((Skills!S12*(1+((Inputs!$B$35+(ArtifactsInput!$M$7-ArtifactsInput!$M$7)*CHOOSE(ArtifactsInput!$N$7+1,6,7.2,8.4,9.6,10.8,12))+IF(Inputs!$B$3&gt;=117,F230,0))/100)),15)/15,(Skills!S12*(1+((Inputs!$B$35+(ArtifactsInput!$M$7-ArtifactsInput!$M$7)*CHOOSE(ArtifactsInput!$N$7+1,6,7.2,8.4,9.6,10.8,12))+IF(Inputs!$B$3&gt;=117,F230,0))/100))/Skills!D12)),0)</f>
        <v/>
      </c>
    </row>
    <row r="236">
      <c r="A236" t="inlineStr">
        <is>
          <t>Damage % Bonus (Holy Symbol - Damage Boost)</t>
        </is>
      </c>
      <c r="B236">
        <f>Skills!O12</f>
        <v/>
      </c>
    </row>
    <row r="237">
      <c r="A237" t="inlineStr">
        <is>
          <t>Crit Damage % Bonus (Blood of the Divine)</t>
        </is>
      </c>
      <c r="B237">
        <f>4*IF(C224=TRUE,F224,0)</f>
        <v/>
      </c>
    </row>
    <row r="238">
      <c r="A238" t="inlineStr">
        <is>
          <t>Attack Speed Bonus %</t>
        </is>
      </c>
      <c r="B238">
        <f>IF(C221=TRUE,F221+(F225-Calc!F21),0)+IF(Inputs!$B$3&gt;=134,15,0)</f>
        <v/>
      </c>
    </row>
    <row r="239">
      <c r="A239" t="inlineStr">
        <is>
          <t>Actions Per Second</t>
        </is>
      </c>
      <c r="B239">
        <f>1+MIN(150,150*(1-(1-Inputs!$B$12/150)*(1-B238/150)))/100</f>
        <v/>
      </c>
    </row>
    <row r="240">
      <c r="A240" t="inlineStr">
        <is>
          <t>Skill + Buff Cast Rate</t>
        </is>
      </c>
      <c r="B240">
        <f>IF(AND(Inputs!$B$39&lt;&gt;"pvp",Inputs!$B$44&gt;0),SUMPRODUCT((Skills!E2:E27=TRUE)*(C206:C231=TRUE)*R206:R231)/Inputs!$B$44,SUMPRODUCT((Skills!E2:E27=TRUE)*(C206:C231=TRUE)*Q206:Q231))</f>
        <v/>
      </c>
    </row>
    <row r="241">
      <c r="A241" t="inlineStr">
        <is>
          <t>Big Bang Casts Per Second</t>
        </is>
      </c>
      <c r="B241">
        <f>MAX(0,B239-B240)</f>
        <v/>
      </c>
    </row>
    <row r="242">
      <c r="A242" t="inlineStr">
        <is>
          <t>Defense % Bonus (Divine Protection)</t>
        </is>
      </c>
      <c r="B242">
        <f>IF(C217=TRUE,F217*IF(AND(Inputs!$B$39&lt;&gt;"pvp",Inputs!$B$44&gt;0),(((R217-1)*(Skills!S13*(1+((Inputs!$B$35+(ArtifactsInput!$M$7-ArtifactsInput!$M$7)*CHOOSE(ArtifactsInput!$N$7+1,6,7.2,8.4,9.6,10.8,12))+IF(Inputs!$B$3&gt;=117,F230,0))/100))+MIN((Skills!S13*(1+((Inputs!$B$35+(ArtifactsInput!$M$7-ArtifactsInput!$M$7)*CHOOSE(ArtifactsInput!$N$7+1,6,7.2,8.4,9.6,10.8,12))+IF(Inputs!$B$3&gt;=117,F230,0))/100)),MAX(0,Inputs!$B$44-((R217-1)*Skills!D13))))/Inputs!$B$44),IF(Inputs!$B$39="pvp",MIN((Skills!S13*(1+((Inputs!$B$35+(ArtifactsInput!$M$7-ArtifactsInput!$M$7)*CHOOSE(ArtifactsInput!$N$7+1,6,7.2,8.4,9.6,10.8,12))+IF(Inputs!$B$3&gt;=117,F230,0))/100)),15)/15,(Skills!S13*(1+((Inputs!$B$35+(ArtifactsInput!$M$7-ArtifactsInput!$M$7)*CHOOSE(ArtifactsInput!$N$7+1,6,7.2,8.4,9.6,10.8,12))+IF(Inputs!$B$3&gt;=117,F230,0))/100))/Skills!D13)),0)</f>
        <v/>
      </c>
    </row>
    <row r="243">
      <c r="A243" t="inlineStr">
        <is>
          <t>Buff-Casting Startup Delay (s, fixed-duration only)</t>
        </is>
      </c>
      <c r="B243">
        <f>IF(AND(Inputs!$B$39&lt;&gt;"pvp",Inputs!$B$44&gt;0),SUMPRODUCT((Skills!S2:S27&gt;0)*(Skills!E2:E27=TRUE)*(C206:C231=TRUE))/B239,0)</f>
        <v/>
      </c>
    </row>
    <row r="244">
      <c r="A244" t="inlineStr">
        <is>
          <t>Boss-Only Total DPS (this block's swept value)</t>
        </is>
      </c>
      <c r="B244">
        <f>SUM(S206:S231)</f>
        <v/>
      </c>
    </row>
    <row r="245">
      <c r="A245" t="inlineStr">
        <is>
          <t>Normal-Only Total DPS (this block's swept value)</t>
        </is>
      </c>
      <c r="B245">
        <f>SUM(U206:U231)</f>
        <v/>
      </c>
    </row>
    <row r="246">
      <c r="A246" s="6" t="inlineStr">
        <is>
          <t>TOTAL DPS</t>
        </is>
      </c>
      <c r="B246" s="6">
        <f>SUM(O206:O231)</f>
        <v/>
      </c>
    </row>
    <row r="248">
      <c r="A248" s="6" t="inlineStr">
        <is>
          <t>Stat: DAMAGE %</t>
        </is>
      </c>
    </row>
    <row r="249">
      <c r="A249" s="5" t="inlineStr">
        <is>
          <t>Key</t>
        </is>
      </c>
      <c r="B249" s="5" t="inlineStr">
        <is>
          <t>Name</t>
        </is>
      </c>
      <c r="C249" s="5" t="inlineStr">
        <is>
          <t>Unlocked</t>
        </is>
      </c>
      <c r="D249" s="5" t="inlineStr">
        <is>
          <t>InputLevel</t>
        </is>
      </c>
      <c r="E249" s="5" t="inlineStr">
        <is>
          <t>Factor</t>
        </is>
      </c>
      <c r="F249" s="5" t="inlineStr">
        <is>
          <t>CoefficientPercent</t>
        </is>
      </c>
      <c r="G249" s="5" t="inlineStr">
        <is>
          <t>EffectiveHits</t>
        </is>
      </c>
      <c r="H249" s="5" t="inlineStr">
        <is>
          <t>ProcProbability</t>
        </is>
      </c>
      <c r="I249" s="5" t="inlineStr">
        <is>
          <t>MapleHeroMultiplier</t>
        </is>
      </c>
      <c r="J249" s="5" t="inlineStr">
        <is>
          <t>BaseDamage</t>
        </is>
      </c>
      <c r="K249" s="5" t="inlineStr">
        <is>
          <t>BaseHitDamage</t>
        </is>
      </c>
      <c r="L249" s="5" t="inlineStr">
        <is>
          <t>NonCritAvg</t>
        </is>
      </c>
      <c r="M249" s="5" t="inlineStr">
        <is>
          <t>CritAvg</t>
        </is>
      </c>
      <c r="N249" s="5" t="inlineStr">
        <is>
          <t>ExpectedDamage(perHit)</t>
        </is>
      </c>
      <c r="O249" s="5" t="inlineStr">
        <is>
          <t>DPS</t>
        </is>
      </c>
      <c r="P249" s="5" t="inlineStr">
        <is>
          <t>% of Total</t>
        </is>
      </c>
      <c r="R249" t="inlineStr">
        <is>
          <t>helpers</t>
        </is>
      </c>
    </row>
    <row r="250">
      <c r="A250">
        <f>Skills!A2</f>
        <v/>
      </c>
      <c r="B250">
        <f>Skills!B2</f>
        <v/>
      </c>
      <c r="C250">
        <f>Inputs!$B$3&gt;=100</f>
        <v/>
      </c>
      <c r="D250" t="inlineStr"/>
      <c r="E250" t="inlineStr"/>
      <c r="F250">
        <f>T252+Skills!N2</f>
        <v/>
      </c>
      <c r="G250">
        <f>Calc!G2</f>
        <v/>
      </c>
      <c r="H250">
        <f>Calc!H2</f>
        <v/>
      </c>
      <c r="I250">
        <f>IF(Skills!T2&lt;&gt;"",1+(Skills!T2/10)*($Z$3/1000)/100,1)</f>
        <v/>
      </c>
      <c r="J250">
        <f>((Inputs!$B$6*(1+Inputs!$B$7/100))+(((Inputs!$B$13*(1+Inputs!$B$14/100))-(Inputs!$B$13*(1+Inputs!$B$14/100)))+0.25*(Inputs!$B$15-Inputs!$B$15))*(1+Inputs!$B$7/100))*(F250/100)</f>
        <v/>
      </c>
      <c r="K250">
        <f>J250*(1+(((Inputs!$B$13+IF(Inputs!$B$3&gt;=35,(10*INDEX(FactorTable!$B$2:$Y$301,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2="TRIUMPH_FEATHER",IF(C264=TRUE,F264,0),0)/100)*(1+IF(C275=TRUE,F275,0)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250)</f>
        <v/>
      </c>
      <c r="L250">
        <f>K250*(MIN(Inputs!$B$23+(F270-Calc!F22),(Inputs!$B$24+IF(ArtifactsInput!$M$15,CHOOSE(ArtifactsInput!$N$15+1,25,30,35,40,45,50)/100*(Inputs!$B$12-Inputs!$B$12),0)))/100+(Inputs!$B$24+IF(ArtifactsInput!$M$15,CHOOSE(ArtifactsInput!$N$15+1,25,30,35,40,45,50)/100*(Inputs!$B$12-Inputs!$B$12),0))/100)/2</f>
        <v/>
      </c>
      <c r="M250">
        <f>L250*(1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
        <f>L250*(1-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(1-Summary!$B$11)*S250+Summary!$B$11*U250</f>
        <v/>
      </c>
      <c r="P250">
        <f>IF(B290=0,0,O250/B290)</f>
        <v/>
      </c>
      <c r="Q250">
        <f>IFERROR(1/(IF(Inputs!$B$39="pvp",15,MAX(0.1,Skills!D2-IF(Skills!E2=TRUE,Inputs!$B$33,0)))*(1-IF(AND(ArtifactsInput!$M$27,Inputs!$B$4="Chapter Hunt"),CHOOSE(ArtifactsInput!$N$27+1,20,24,28,32,36,40),0)/100)),0)</f>
        <v/>
      </c>
      <c r="R250" t="n">
        <v>0</v>
      </c>
      <c r="S250">
        <f>IF(C250,(Skills!F2*N250*B285)*IF(Inputs!$B$39="pvp",1,1+(Inputs!$B$21+Skills!O2+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
        <f>MAX(0,(Inputs!$B$3-100)*3)+Inputs!$B$29+Inputs!$B$30</f>
        <v/>
      </c>
      <c r="U250">
        <f>IF(C250,(Skills!F2*N250*B285)*IF(Inputs!$B$39="pvp",1,(1+(Inputs!$B$22+Skills!P2+B279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Skills!A3</f>
        <v/>
      </c>
      <c r="B251">
        <f>Skills!B3</f>
        <v/>
      </c>
      <c r="C251">
        <f>Inputs!$B$3&gt;=15</f>
        <v/>
      </c>
      <c r="D251">
        <f>IF(Skills!C3=1,60+Inputs!$B$26+Inputs!$B$30,IF(Skills!C3=2,90+Inputs!$B$27+Inputs!$B$30,IF(Skills!C3=3,120+Inputs!$B$28+Inputs!$B$30,MAX(0,(Inputs!$B$3-100)*3)+Inputs!$B$29+Inputs!$B$30)))</f>
        <v/>
      </c>
      <c r="E251">
        <f>INDEX(FactorTable!$B$2:$Y$301, MATCH(ROUND(MIN(300,MAX(1,D251)),0), FactorTable!$A$2:$A$301,0), Skills!L3+1)</f>
        <v/>
      </c>
      <c r="F251">
        <f>IF(Skills!M3=TRUE,(Skills!K3/10)*(E251/1000),Skills!K3/10)+Skills!N3</f>
        <v/>
      </c>
      <c r="G251">
        <f>Calc!G3</f>
        <v/>
      </c>
      <c r="H251">
        <f>Calc!H3</f>
        <v/>
      </c>
      <c r="I251">
        <f>IF(Skills!T3&lt;&gt;"",1+(Skills!T3/10)*($Z$3/1000)/100,1)</f>
        <v/>
      </c>
      <c r="J251" t="inlineStr"/>
      <c r="K251" t="inlineStr"/>
      <c r="L251" t="inlineStr"/>
      <c r="M251" t="inlineStr"/>
      <c r="N251" t="inlineStr"/>
      <c r="O251">
        <f>(1-Summary!$B$11)*S251+Summary!$B$11*U251</f>
        <v/>
      </c>
      <c r="P251">
        <f>IF(B290=0,0,O251/B290)</f>
        <v/>
      </c>
      <c r="Q251">
        <f>IFERROR(1/(IF(Inputs!$B$39="pvp",15,MAX(0.1,Skills!D3-IF(Skills!E3=TRUE,Inputs!$B$33,0)))*(1-IF(AND(ArtifactsInput!$M$27,Inputs!$B$4="Chapter Hunt"),CHOOSE(ArtifactsInput!$N$27+1,20,24,28,32,36,40),0)/100)),0)</f>
        <v/>
      </c>
      <c r="R251">
        <f>IF(AND(Inputs!$B$39&lt;&gt;"pvp",Inputs!$B$44&gt;0),IF(Inputs!$B$44&lt;=0,0,(INT(Inputs!$B$44/(IF(Inputs!$B$39="pvp",15,MAX(0.1,Skills!D3-IF(Skills!E3=TRUE,Inputs!$B$33,0)))*(1-IF(AND(ArtifactsInput!$M$27,Inputs!$B$4="Chapter Hunt"),CHOOSE(ArtifactsInput!$N$27+1,20,24,28,32,36,40),0)/100)))+1)),0)</f>
        <v/>
      </c>
      <c r="S251" t="n">
        <v>0</v>
      </c>
      <c r="T251">
        <f>INDEX(FactorTable!$B$2:$Y$301, MATCH(ROUND(MIN(300,MAX(1,T250)),0), FactorTable!$A$2:$A$301,0), 22)</f>
        <v/>
      </c>
      <c r="U251" t="n">
        <v>0</v>
      </c>
    </row>
    <row r="252">
      <c r="A252">
        <f>Skills!A4</f>
        <v/>
      </c>
      <c r="B252">
        <f>Skills!B4</f>
        <v/>
      </c>
      <c r="C252">
        <f>Inputs!$B$3&gt;=38</f>
        <v/>
      </c>
      <c r="D252">
        <f>IF(Skills!C4=1,60+Inputs!$B$26+Inputs!$B$30,IF(Skills!C4=2,90+Inputs!$B$27+Inputs!$B$30,IF(Skills!C4=3,120+Inputs!$B$28+Inputs!$B$30,MAX(0,(Inputs!$B$3-100)*3)+Inputs!$B$29+Inputs!$B$30)))</f>
        <v/>
      </c>
      <c r="E252">
        <f>INDEX(FactorTable!$B$2:$Y$301, MATCH(ROUND(MIN(300,MAX(1,D252)),0), FactorTable!$A$2:$A$301,0), Skills!L4+1)</f>
        <v/>
      </c>
      <c r="F252">
        <f>IF(Skills!M4=TRUE,(Skills!K4/10)*(E252/1000),Skills!K4/10)+Skills!N4</f>
        <v/>
      </c>
      <c r="G252">
        <f>Calc!G4</f>
        <v/>
      </c>
      <c r="H252">
        <f>Calc!H4</f>
        <v/>
      </c>
      <c r="I252">
        <f>IF(Skills!T4&lt;&gt;"",1+(Skills!T4/10)*($Z$3/1000)/100,1)</f>
        <v/>
      </c>
      <c r="J252" t="inlineStr"/>
      <c r="K252" t="inlineStr"/>
      <c r="L252" t="inlineStr"/>
      <c r="M252" t="inlineStr"/>
      <c r="N252" t="inlineStr"/>
      <c r="O252">
        <f>(1-Summary!$B$11)*S252+Summary!$B$11*U252</f>
        <v/>
      </c>
      <c r="P252">
        <f>IF(B290=0,0,O252/B290)</f>
        <v/>
      </c>
      <c r="Q252">
        <f>IFERROR(1/(IF(Inputs!$B$39="pvp",15,MAX(0.1,Skills!D4-IF(Skills!E4=TRUE,Inputs!$B$33,0)))*(1-IF(AND(ArtifactsInput!$M$27,Inputs!$B$4="Chapter Hunt"),CHOOSE(ArtifactsInput!$N$27+1,20,24,28,32,36,40),0)/100)),0)</f>
        <v/>
      </c>
      <c r="R252">
        <f>IF(AND(Inputs!$B$39&lt;&gt;"pvp",Inputs!$B$44&gt;0),IF(Inputs!$B$44&lt;=0,0,(INT(Inputs!$B$44/(IF(Inputs!$B$39="pvp",15,MAX(0.1,Skills!D4-IF(Skills!E4=TRUE,Inputs!$B$33,0)))*(1-IF(AND(ArtifactsInput!$M$27,Inputs!$B$4="Chapter Hunt"),CHOOSE(ArtifactsInput!$N$27+1,20,24,28,32,36,40),0)/100)))+1)),0)</f>
        <v/>
      </c>
      <c r="S252" t="n">
        <v>0</v>
      </c>
      <c r="T252">
        <f>290*T251/1000</f>
        <v/>
      </c>
      <c r="U252" t="n">
        <v>0</v>
      </c>
    </row>
    <row r="253">
      <c r="A253">
        <f>Skills!A5</f>
        <v/>
      </c>
      <c r="B253">
        <f>Skills!B5</f>
        <v/>
      </c>
      <c r="C253">
        <f>Inputs!$B$3&gt;=40</f>
        <v/>
      </c>
      <c r="D253">
        <f>IF(Skills!C5=1,60+Inputs!$B$26+Inputs!$B$30,IF(Skills!C5=2,90+Inputs!$B$27+Inputs!$B$30,IF(Skills!C5=3,120+Inputs!$B$28+Inputs!$B$30,MAX(0,(Inputs!$B$3-100)*3)+Inputs!$B$29+Inputs!$B$30)))</f>
        <v/>
      </c>
      <c r="E253">
        <f>INDEX(FactorTable!$B$2:$Y$301, MATCH(ROUND(MIN(300,MAX(1,D253)),0), FactorTable!$A$2:$A$301,0), Skills!L5+1)</f>
        <v/>
      </c>
      <c r="F253">
        <f>IF(Skills!M5=TRUE,(Skills!K5/10)*(E253/1000),Skills!K5/10)+Skills!N5</f>
        <v/>
      </c>
      <c r="G253">
        <f>Calc!G5</f>
        <v/>
      </c>
      <c r="H253">
        <f>Calc!H5</f>
        <v/>
      </c>
      <c r="I253">
        <f>IF(Skills!T5&lt;&gt;"",1+(Skills!T5/10)*($Z$3/1000)/100,1)</f>
        <v/>
      </c>
      <c r="J253" t="inlineStr"/>
      <c r="K253" t="inlineStr"/>
      <c r="L253" t="inlineStr"/>
      <c r="M253" t="inlineStr"/>
      <c r="N253" t="inlineStr"/>
      <c r="O253">
        <f>(1-Summary!$B$11)*S253+Summary!$B$11*U253</f>
        <v/>
      </c>
      <c r="P253">
        <f>IF(B290=0,0,O253/B290)</f>
        <v/>
      </c>
      <c r="Q253">
        <f>IFERROR(1/(IF(Inputs!$B$39="pvp",15,MAX(0.1,Skills!D5-IF(Skills!E5=TRUE,Inputs!$B$33,0)))*(1-IF(AND(ArtifactsInput!$M$27,Inputs!$B$4="Chapter Hunt"),CHOOSE(ArtifactsInput!$N$27+1,20,24,28,32,36,40),0)/100)),0)</f>
        <v/>
      </c>
      <c r="R253">
        <f>IF(AND(Inputs!$B$39&lt;&gt;"pvp",Inputs!$B$44&gt;0),IF(Inputs!$B$44&lt;=0,0,(INT(Inputs!$B$44/(IF(Inputs!$B$39="pvp",15,MAX(0.1,Skills!D5-IF(Skills!E5=TRUE,Inputs!$B$33,0)))*(1-IF(AND(ArtifactsInput!$M$27,Inputs!$B$4="Chapter Hunt"),CHOOSE(ArtifactsInput!$N$27+1,20,24,28,32,36,40),0)/100)))+1)),0)</f>
        <v/>
      </c>
      <c r="S253" t="n">
        <v>0</v>
      </c>
      <c r="U253" t="n">
        <v>0</v>
      </c>
    </row>
    <row r="254">
      <c r="A254">
        <f>Skills!A6</f>
        <v/>
      </c>
      <c r="B254">
        <f>Skills!B6</f>
        <v/>
      </c>
      <c r="C254">
        <f>Inputs!$B$3&gt;=103</f>
        <v/>
      </c>
      <c r="D254">
        <f>IF(Skills!C6=1,60+Inputs!$B$26+Inputs!$B$30,IF(Skills!C6=2,90+Inputs!$B$27+Inputs!$B$30,IF(Skills!C6=3,120+Inputs!$B$28+Inputs!$B$30,MAX(0,(Inputs!$B$3-100)*3)+Inputs!$B$29+Inputs!$B$30)))</f>
        <v/>
      </c>
      <c r="E254">
        <f>INDEX(FactorTable!$B$2:$Y$301, MATCH(ROUND(MIN(300,MAX(1,D254)),0), FactorTable!$A$2:$A$301,0), Skills!L6+1)</f>
        <v/>
      </c>
      <c r="F254">
        <f>IF(Skills!M6=TRUE,(Skills!K6/10)*(E254/1000),Skills!K6/10)+Skills!N6</f>
        <v/>
      </c>
      <c r="G254">
        <f>Calc!G6</f>
        <v/>
      </c>
      <c r="H254">
        <f>Calc!H6</f>
        <v/>
      </c>
      <c r="I254">
        <f>IF(Skills!T6&lt;&gt;"",1+(Skills!T6/10)*($Z$3/1000)/100,1)</f>
        <v/>
      </c>
      <c r="J254">
        <f>((Inputs!$B$6*(1+Inputs!$B$7/100))+(((Inputs!$B$13*(1+Inputs!$B$14/100))-(Inputs!$B$13*(1+Inputs!$B$14/100)))+0.25*(Inputs!$B$15-Inputs!$B$15))*(1+Inputs!$B$7/100))*(F254/100)</f>
        <v/>
      </c>
      <c r="K254">
        <f>J254*(1+(((Inputs!$B$13+IF(Inputs!$B$3&gt;=35,(10*INDEX(FactorTable!$B$2:$Y$301,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6="TRIUMPH_FEATHER",IF(C264=TRUE,F264,0),0)/100)*(1+IF(C275=TRUE,F275,0)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254)</f>
        <v/>
      </c>
      <c r="L254">
        <f>K254*(MIN(Inputs!$B$23+(F270-Calc!F22),(Inputs!$B$24+IF(ArtifactsInput!$M$15,CHOOSE(ArtifactsInput!$N$15+1,25,30,35,40,45,50)/100*(Inputs!$B$12-Inputs!$B$12),0)))/100+(Inputs!$B$24+IF(ArtifactsInput!$M$15,CHOOSE(ArtifactsInput!$N$15+1,25,30,35,40,45,50)/100*(Inputs!$B$12-Inputs!$B$12),0))/100)/2</f>
        <v/>
      </c>
      <c r="M254">
        <f>L254*(1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IF(B290=0,0,O254/B290)</f>
        <v/>
      </c>
      <c r="Q254">
        <f>IFERROR(1/(IF(Inputs!$B$39="pvp",15,MAX(0.1,Skills!D6-IF(Skills!E6=TRUE,Inputs!$B$33,0)))*(1-IF(AND(ArtifactsInput!$M$27,Inputs!$B$4="Chapter Hunt"),CHOOSE(ArtifactsInput!$N$27+1,20,24,28,32,36,40),0)/100)),0)</f>
        <v/>
      </c>
      <c r="R254">
        <f>IF(AND(Inputs!$B$39&lt;&gt;"pvp",Inputs!$B$44&gt;0),IF(MAX(0,Inputs!$B$44-B287)&lt;=0,0,(INT(MAX(0,Inputs!$B$44-B287)/(IF(Inputs!$B$39="pvp",15,MAX(0.1,Skills!D6-IF(Skills!E6=TRUE,Inputs!$B$33,0)))*(1-IF(AND(ArtifactsInput!$M$27,Inputs!$B$4="Chapter Hunt"),CHOOSE(ArtifactsInput!$N$27+1,20,24,28,32,36,40),0)/100)))+1)),0)</f>
        <v/>
      </c>
      <c r="S254">
        <f>IF(C254,(H254*N254*IF(AND(Inputs!$B$39&lt;&gt;"pvp",Inputs!$B$44&gt;0),((Skills!F6*((R254-1)*IF(Skills!G6&gt;0,Skills!H6/Skills!G6,1)+IF(Skills!G6&gt;0,MIN(Skills!H6,MAX(0,MAX(0,Inputs!$B$44-B287)-((R254-1)*(IF(Inputs!$B$39="pvp",15,MAX(0.1,Skills!D6-IF(Skills!E6=TRUE,Inputs!$B$33,0)))*(1-IF(AND(ArtifactsInput!$M$27,Inputs!$B$4="Chapter Hunt"),CHOOSE(ArtifactsInput!$N$27+1,20,24,28,32,36,40),0)/100)))))/Skills!G6,1)))/Inputs!$B$44),G254*Q254))*IF(Inputs!$B$39="pvp",1,1+(Inputs!$B$21+Skills!O6+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
        <f>IF(C254,(H254*N254*IF(AND(Inputs!$B$39&lt;&gt;"pvp",Inputs!$B$44&gt;0),((Skills!F6*((R254-1)*IF(Skills!G6&gt;0,Skills!H6/Skills!G6,1)+IF(Skills!G6&gt;0,MIN(Skills!H6,MAX(0,MAX(0,Inputs!$B$44-B287)-((R254-1)*(IF(Inputs!$B$39="pvp",15,MAX(0.1,Skills!D6-IF(Skills!E6=TRUE,Inputs!$B$33,0)))*(1-IF(AND(ArtifactsInput!$M$27,Inputs!$B$4="Chapter Hunt"),CHOOSE(ArtifactsInput!$N$27+1,20,24,28,32,36,40),0)/100)))))/Skills!G6,1)))/Inputs!$B$44),G254*Q254))*IF(Inputs!$B$39="pvp",1,(1+(Inputs!$B$22+Skills!P6+B279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Skills!A7</f>
        <v/>
      </c>
      <c r="B255">
        <f>Skills!B7</f>
        <v/>
      </c>
      <c r="C255">
        <f>Inputs!$B$3&gt;=122</f>
        <v/>
      </c>
      <c r="D255">
        <f>IF(Skills!C7=1,60+Inputs!$B$26+Inputs!$B$30,IF(Skills!C7=2,90+Inputs!$B$27+Inputs!$B$30,IF(Skills!C7=3,120+Inputs!$B$28+Inputs!$B$30,MAX(0,(Inputs!$B$3-100)*3)+Inputs!$B$29+Inputs!$B$30)))</f>
        <v/>
      </c>
      <c r="E255">
        <f>INDEX(FactorTable!$B$2:$Y$301, MATCH(ROUND(MIN(300,MAX(1,D255)),0), FactorTable!$A$2:$A$301,0), Skills!L7+1)</f>
        <v/>
      </c>
      <c r="F255">
        <f>IF(Skills!M7=TRUE,(Skills!K7/10)*(E255/1000),Skills!K7/10)+Skills!N7</f>
        <v/>
      </c>
      <c r="G255">
        <f>Calc!G7</f>
        <v/>
      </c>
      <c r="H255">
        <f>Calc!H7</f>
        <v/>
      </c>
      <c r="I255">
        <f>IF(Skills!T7&lt;&gt;"",1+(Skills!T7/10)*($Z$3/1000)/100,1)</f>
        <v/>
      </c>
      <c r="J255">
        <f>((Inputs!$B$6*(1+Inputs!$B$7/100))+(((Inputs!$B$13*(1+Inputs!$B$14/100))-(Inputs!$B$13*(1+Inputs!$B$14/100)))+0.25*(Inputs!$B$15-Inputs!$B$15))*(1+Inputs!$B$7/100))*(F255/100)</f>
        <v/>
      </c>
      <c r="K255">
        <f>J255*(1+(((Inputs!$B$13+IF(Inputs!$B$3&gt;=35,(10*INDEX(FactorTable!$B$2:$Y$301,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7="TRIUMPH_FEATHER",IF(C264=TRUE,F264,0),0)/100)*(1+IF(C275=TRUE,F275,0)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255)</f>
        <v/>
      </c>
      <c r="L255">
        <f>K255*(MIN(Inputs!$B$23+(F270-Calc!F22),(Inputs!$B$24+IF(ArtifactsInput!$M$15,CHOOSE(ArtifactsInput!$N$15+1,25,30,35,40,45,50)/100*(Inputs!$B$12-Inputs!$B$12),0)))/100+(Inputs!$B$24+IF(ArtifactsInput!$M$15,CHOOSE(ArtifactsInput!$N$15+1,25,30,35,40,45,50)/100*(Inputs!$B$12-Inputs!$B$12),0))/100)/2</f>
        <v/>
      </c>
      <c r="M255">
        <f>L255*(1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
        <f>L255*(1-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
        <f>(1-Summary!$B$11)*S255+Summary!$B$11*U255</f>
        <v/>
      </c>
      <c r="P255">
        <f>IF(B290=0,0,O255/B290)</f>
        <v/>
      </c>
      <c r="Q255">
        <f>IFERROR(1/(IF(Inputs!$B$39="pvp",15,MAX(0.1,Skills!D7-IF(Skills!E6=TRUE,Inputs!$B$33,0)))*(1-IF(AND(ArtifactsInput!$M$27,Inputs!$B$4="Chapter Hunt"),CHOOSE(ArtifactsInput!$N$27+1,20,24,28,32,36,40),0)/100)),0)</f>
        <v/>
      </c>
      <c r="R255">
        <f>IF(AND(Inputs!$B$39&lt;&gt;"pvp",Inputs!$B$44&gt;0),IF(MAX(0,Inputs!$B$44-B287)&lt;=0,0,(INT(MAX(0,Inputs!$B$44-B287)/(IF(Inputs!$B$39="pvp",15,MAX(0.1,Skills!D7-IF(Skills!E6=TRUE,Inputs!$B$33,0)))*(1-IF(AND(ArtifactsInput!$M$27,Inputs!$B$4="Chapter Hunt"),CHOOSE(ArtifactsInput!$N$27+1,20,24,28,32,36,40),0)/100)))+1)),0)</f>
        <v/>
      </c>
      <c r="S255">
        <f>IF(C255,H255*N255*IF(AND(Inputs!$B$39&lt;&gt;"pvp",Inputs!$B$44&gt;0),((Skills!F7*((R255-1)*IF(Skills!G7&gt;0,Skills!H7/Skills!G7,1)+IF(Skills!G7&gt;0,MIN(Skills!H7,MAX(0,MAX(0,Inputs!$B$44-B287)-((R255-1)*(IF(Inputs!$B$39="pvp",15,MAX(0.1,Skills!D7-IF(Skills!E6=TRUE,Inputs!$B$33,0)))*(1-IF(AND(ArtifactsInput!$M$27,Inputs!$B$4="Chapter Hunt"),CHOOSE(ArtifactsInput!$N$27+1,20,24,28,32,36,40),0)/100)))))/Skills!G7,1)))/Inputs!$B$44),G255*Q255)*IF(Inputs!$B$39="pvp",1,1+(Inputs!$B$21+Skills!O7+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 t="n">
        <v>0</v>
      </c>
    </row>
    <row r="256">
      <c r="A256">
        <f>Skills!A8</f>
        <v/>
      </c>
      <c r="B256">
        <f>Skills!B8</f>
        <v/>
      </c>
      <c r="C256">
        <f>Inputs!$B$3&gt;=105</f>
        <v/>
      </c>
      <c r="D256">
        <f>IF(Skills!C8=1,60+Inputs!$B$26+Inputs!$B$30,IF(Skills!C8=2,90+Inputs!$B$27+Inputs!$B$30,IF(Skills!C8=3,120+Inputs!$B$28+Inputs!$B$30,MAX(0,(Inputs!$B$3-100)*3)+Inputs!$B$29+Inputs!$B$30)))</f>
        <v/>
      </c>
      <c r="E256">
        <f>INDEX(FactorTable!$B$2:$Y$301, MATCH(ROUND(MIN(300,MAX(1,D256)),0), FactorTable!$A$2:$A$301,0), Skills!L8+1)</f>
        <v/>
      </c>
      <c r="F256">
        <f>IF(Skills!M8=TRUE,(Skills!K8/10)*(E256/1000),Skills!K8/10)+Skills!N8</f>
        <v/>
      </c>
      <c r="G256">
        <f>Calc!G8</f>
        <v/>
      </c>
      <c r="H256">
        <f>Calc!H8</f>
        <v/>
      </c>
      <c r="I256">
        <f>IF(Skills!T8&lt;&gt;"",1+(Skills!T8/10)*($Z$3/1000)/100,1)</f>
        <v/>
      </c>
      <c r="J256">
        <f>((Inputs!$B$6*(1+Inputs!$B$7/100))+(((Inputs!$B$13*(1+Inputs!$B$14/100))-(Inputs!$B$13*(1+Inputs!$B$14/100)))+0.25*(Inputs!$B$15-Inputs!$B$15))*(1+Inputs!$B$7/100))*(F256/100)</f>
        <v/>
      </c>
      <c r="K256">
        <f>J256*(1+(((Inputs!$B$13+IF(Inputs!$B$3&gt;=35,(10*INDEX(FactorTable!$B$2:$Y$301,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8="TRIUMPH_FEATHER",IF(C264=TRUE,F264,0),0)/100)*(1+IF(C275=TRUE,F275,0)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256)</f>
        <v/>
      </c>
      <c r="L256">
        <f>K256*(MIN(Inputs!$B$23+(F270-Calc!F22),(Inputs!$B$24+IF(ArtifactsInput!$M$15,CHOOSE(ArtifactsInput!$N$15+1,25,30,35,40,45,50)/100*(Inputs!$B$12-Inputs!$B$12),0)))/100+(Inputs!$B$24+IF(ArtifactsInput!$M$15,CHOOSE(ArtifactsInput!$N$15+1,25,30,35,40,45,50)/100*(Inputs!$B$12-Inputs!$B$12),0))/100)/2</f>
        <v/>
      </c>
      <c r="M256">
        <f>L256*(1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
        <f>L256*(1-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
        <f>(1-Summary!$B$11)*S256+Summary!$B$11*U256</f>
        <v/>
      </c>
      <c r="P256">
        <f>IF(B290=0,0,O256/B290)</f>
        <v/>
      </c>
      <c r="Q256">
        <f>IFERROR(1/(IF(Inputs!$B$39="pvp",15,MAX(0.1,Skills!D8-IF(Skills!E8=TRUE,Inputs!$B$33,0)))*(1-IF(AND(ArtifactsInput!$M$27,Inputs!$B$4="Chapter Hunt"),CHOOSE(ArtifactsInput!$N$27+1,20,24,28,32,36,40),0)/100)),0)</f>
        <v/>
      </c>
      <c r="R256">
        <f>IF(AND(Inputs!$B$39&lt;&gt;"pvp",Inputs!$B$44&gt;0),IF(MAX(0,Inputs!$B$44-B287)&lt;=0,0,(INT(MAX(0,Inputs!$B$44-B287)/(IF(Inputs!$B$39="pvp",15,MAX(0.1,Skills!D8-IF(Skills!E8=TRUE,Inputs!$B$33,0)))*(1-IF(AND(ArtifactsInput!$M$27,Inputs!$B$4="Chapter Hunt"),CHOOSE(ArtifactsInput!$N$27+1,20,24,28,32,36,40),0)/100)))+1)),0)</f>
        <v/>
      </c>
      <c r="S256">
        <f>IF(C256,(H256*N256*IF(AND(Inputs!$B$39&lt;&gt;"pvp",Inputs!$B$44&gt;0),((Skills!F8*((R256-1)*IF(Skills!G8&gt;0,Skills!H8/Skills!G8,1)+IF(Skills!G8&gt;0,MIN(Skills!H8,MAX(0,MAX(0,Inputs!$B$44-B287)-((R256-1)*(IF(Inputs!$B$39="pvp",15,MAX(0.1,Skills!D8-IF(Skills!E8=TRUE,Inputs!$B$33,0)))*(1-IF(AND(ArtifactsInput!$M$27,Inputs!$B$4="Chapter Hunt"),CHOOSE(ArtifactsInput!$N$27+1,20,24,28,32,36,40),0)/100)))))/Skills!G8,1)))/Inputs!$B$44),G256*Q256))*IF(Inputs!$B$39="pvp",1,1+(Inputs!$B$21+Skills!O8+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
        <f>IF(C256,(H256*N256*IF(AND(Inputs!$B$39&lt;&gt;"pvp",Inputs!$B$44&gt;0),((Skills!F8*((R256-1)*IF(Skills!G8&gt;0,Skills!H8/Skills!G8,1)+IF(Skills!G8&gt;0,MIN(Skills!H8,MAX(0,MAX(0,Inputs!$B$44-B287)-((R256-1)*(IF(Inputs!$B$39="pvp",15,MAX(0.1,Skills!D8-IF(Skills!E8=TRUE,Inputs!$B$33,0)))*(1-IF(AND(ArtifactsInput!$M$27,Inputs!$B$4="Chapter Hunt"),CHOOSE(ArtifactsInput!$N$27+1,20,24,28,32,36,40),0)/100)))))/Skills!G8,1)))/Inputs!$B$44),G256*Q256))*IF(Inputs!$B$39="pvp",1,(1+(Inputs!$B$22+Skills!P8+B279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
      <c r="A257">
        <f>Skills!A9</f>
        <v/>
      </c>
      <c r="B257">
        <f>Skills!B9</f>
        <v/>
      </c>
      <c r="C257">
        <f>Inputs!$B$3&gt;=115</f>
        <v/>
      </c>
      <c r="D257">
        <f>IF(Skills!C9=1,60+Inputs!$B$26+Inputs!$B$30,IF(Skills!C9=2,90+Inputs!$B$27+Inputs!$B$30,IF(Skills!C9=3,120+Inputs!$B$28+Inputs!$B$30,MAX(0,(Inputs!$B$3-100)*3)+Inputs!$B$29+Inputs!$B$30)))</f>
        <v/>
      </c>
      <c r="E257">
        <f>INDEX(FactorTable!$B$2:$Y$301, MATCH(ROUND(MIN(300,MAX(1,D257)),0), FactorTable!$A$2:$A$301,0), Skills!L9+1)</f>
        <v/>
      </c>
      <c r="F257">
        <f>IF(Skills!M9=TRUE,(Skills!K9/10)*(E257/1000),Skills!K9/10)+Skills!N9</f>
        <v/>
      </c>
      <c r="G257">
        <f>Calc!G9</f>
        <v/>
      </c>
      <c r="H257">
        <f>Calc!H9</f>
        <v/>
      </c>
      <c r="I257">
        <f>IF(Skills!T9&lt;&gt;"",1+(Skills!T9/10)*($Z$3/1000)/100,1)</f>
        <v/>
      </c>
      <c r="J257">
        <f>((Inputs!$B$6*(1+Inputs!$B$7/100))+(((Inputs!$B$13*(1+Inputs!$B$14/100))-(Inputs!$B$13*(1+Inputs!$B$14/100)))+0.25*(Inputs!$B$15-Inputs!$B$15))*(1+Inputs!$B$7/100))*(F257/100)</f>
        <v/>
      </c>
      <c r="K257">
        <f>J257*(1+(((Inputs!$B$13+IF(Inputs!$B$3&gt;=35,(10*INDEX(FactorTable!$B$2:$Y$301,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9="TRIUMPH_FEATHER",IF(C264=TRUE,F264,0),0)/100)*(1+IF(C275=TRUE,F275,0)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257)</f>
        <v/>
      </c>
      <c r="L257">
        <f>K257*(MIN(Inputs!$B$23+(F270-Calc!F22),(Inputs!$B$24+IF(ArtifactsInput!$M$15,CHOOSE(ArtifactsInput!$N$15+1,25,30,35,40,45,50)/100*(Inputs!$B$12-Inputs!$B$12),0)))/100+(Inputs!$B$24+IF(ArtifactsInput!$M$15,CHOOSE(ArtifactsInput!$N$15+1,25,30,35,40,45,50)/100*(Inputs!$B$12-Inputs!$B$12),0))/100)/2</f>
        <v/>
      </c>
      <c r="M257">
        <f>L257*(1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7">
        <f>L257*(1-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
        <f>(1-Summary!$B$11)*S257+Summary!$B$11*U257</f>
        <v/>
      </c>
      <c r="P257">
        <f>IF(B290=0,0,O257/B290)</f>
        <v/>
      </c>
      <c r="Q257">
        <f>IFERROR(1/(IF(Inputs!$B$39="pvp",15,MAX(0.1,Skills!D9-IF(Skills!E9=TRUE,Inputs!$B$33,0)))*(1-IF(AND(ArtifactsInput!$M$27,Inputs!$B$4="Chapter Hunt"),CHOOSE(ArtifactsInput!$N$27+1,20,24,28,32,36,40),0)/100)),0)</f>
        <v/>
      </c>
      <c r="R257">
        <f>IF(AND(Inputs!$B$39&lt;&gt;"pvp",Inputs!$B$44&gt;0),IF(MAX(0,Inputs!$B$44-B287)&lt;=0,0,(INT(MAX(0,Inputs!$B$44-B287)/(IF(Inputs!$B$39="pvp",15,MAX(0.1,Skills!D9-IF(Skills!E9=TRUE,Inputs!$B$33,0)))*(1-IF(AND(ArtifactsInput!$M$27,Inputs!$B$4="Chapter Hunt"),CHOOSE(ArtifactsInput!$N$27+1,20,24,28,32,36,40),0)/100)))+1)),0)</f>
        <v/>
      </c>
      <c r="S257">
        <f>IF(C257,(H257*N257*IF(AND(Inputs!$B$39&lt;&gt;"pvp",Inputs!$B$44&gt;0),((Skills!F9*((R257-1)*IF(Skills!G9&gt;0,Skills!H9/Skills!G9,1)+IF(Skills!G9&gt;0,MIN(Skills!H9,MAX(0,MAX(0,Inputs!$B$44-B287)-((R257-1)*(IF(Inputs!$B$39="pvp",15,MAX(0.1,Skills!D9-IF(Skills!E9=TRUE,Inputs!$B$33,0)))*(1-IF(AND(ArtifactsInput!$M$27,Inputs!$B$4="Chapter Hunt"),CHOOSE(ArtifactsInput!$N$27+1,20,24,28,32,36,40),0)/100)))))/Skills!G9,1)))/Inputs!$B$44),G257*Q257))*IF(Inputs!$B$39="pvp",1,1+(Inputs!$B$21+Skills!O9+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257*(1-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
        <f>IF(C257,(H257*N257*IF(AND(Inputs!$B$39&lt;&gt;"pvp",Inputs!$B$44&gt;0),((Skills!F9*((R257-1)*IF(Skills!G9&gt;0,Skills!H9/Skills!G9,1)+IF(Skills!G9&gt;0,MIN(Skills!H9,MAX(0,MAX(0,Inputs!$B$44-B287)-((R257-1)*(IF(Inputs!$B$39="pvp",15,MAX(0.1,Skills!D9-IF(Skills!E9=TRUE,Inputs!$B$33,0)))*(1-IF(AND(ArtifactsInput!$M$27,Inputs!$B$4="Chapter Hunt"),CHOOSE(ArtifactsInput!$N$27+1,20,24,28,32,36,40),0)/100)))))/Skills!G9,1)))/Inputs!$B$44),G257*Q257))*IF(Inputs!$B$39="pvp",1,(1+(Inputs!$B$22+Skills!P9+B279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
      <c r="A258">
        <f>Skills!A10</f>
        <v/>
      </c>
      <c r="B258">
        <f>Skills!B10</f>
        <v/>
      </c>
      <c r="C258">
        <f>Inputs!$B$3&gt;=66</f>
        <v/>
      </c>
      <c r="D258">
        <f>IF(Skills!C10=1,60+Inputs!$B$26+Inputs!$B$30,IF(Skills!C10=2,90+Inputs!$B$27+Inputs!$B$30,IF(Skills!C10=3,120+Inputs!$B$28+Inputs!$B$30,MAX(0,(Inputs!$B$3-100)*3)+Inputs!$B$29+Inputs!$B$30)))</f>
        <v/>
      </c>
      <c r="E258">
        <f>INDEX(FactorTable!$B$2:$Y$301, MATCH(ROUND(MIN(300,MAX(1,D258)),0), FactorTable!$A$2:$A$301,0), Skills!L10+1)</f>
        <v/>
      </c>
      <c r="F258" t="n">
        <v>0</v>
      </c>
      <c r="G258">
        <f>Calc!G10</f>
        <v/>
      </c>
      <c r="H258">
        <f>Calc!H10</f>
        <v/>
      </c>
      <c r="I258">
        <f>IF(Skills!T10&lt;&gt;"",1+(Skills!T10/10)*($Z$3/1000)/100,1)</f>
        <v/>
      </c>
      <c r="J258" t="inlineStr"/>
      <c r="K258" t="inlineStr"/>
      <c r="L258" t="inlineStr"/>
      <c r="M258" t="inlineStr"/>
      <c r="N258" t="inlineStr"/>
      <c r="O258">
        <f>(1-Summary!$B$11)*S258+Summary!$B$11*U258</f>
        <v/>
      </c>
      <c r="P258">
        <f>IF(B290=0,0,O258/B290)</f>
        <v/>
      </c>
      <c r="Q258">
        <f>IFERROR(1/(IF(Inputs!$B$39="pvp",15,MAX(0.1,Skills!D10-IF(Skills!E10=TRUE,Inputs!$B$33,0)))*(1-IF(AND(ArtifactsInput!$M$27,Inputs!$B$4="Chapter Hunt"),CHOOSE(ArtifactsInput!$N$27+1,20,24,28,32,36,40),0)/100)),0)</f>
        <v/>
      </c>
      <c r="R258">
        <f>IF(AND(Inputs!$B$39&lt;&gt;"pvp",Inputs!$B$44&gt;0),IF(MAX(0,Inputs!$B$44-B287)&lt;=0,0,(INT(MAX(0,Inputs!$B$44-B287)/(IF(Inputs!$B$39="pvp",15,MAX(0.1,Skills!D10-IF(Skills!E10=TRUE,Inputs!$B$33,0)))*(1-IF(AND(ArtifactsInput!$M$27,Inputs!$B$4="Chapter Hunt"),CHOOSE(ArtifactsInput!$N$27+1,20,24,28,32,36,40),0)/100)))+1)),0)</f>
        <v/>
      </c>
      <c r="S258" t="n">
        <v>0</v>
      </c>
      <c r="U258" t="n">
        <v>0</v>
      </c>
    </row>
    <row r="259">
      <c r="A259">
        <f>Skills!A11</f>
        <v/>
      </c>
      <c r="B259">
        <f>Skills!B11</f>
        <v/>
      </c>
      <c r="C259">
        <f>Inputs!$B$3&gt;=69</f>
        <v/>
      </c>
      <c r="D259">
        <f>IF(Skills!C11=1,60+Inputs!$B$26+Inputs!$B$30,IF(Skills!C11=2,90+Inputs!$B$27+Inputs!$B$30,IF(Skills!C11=3,120+Inputs!$B$28+Inputs!$B$30,MAX(0,(Inputs!$B$3-100)*3)+Inputs!$B$29+Inputs!$B$30)))</f>
        <v/>
      </c>
      <c r="E259">
        <f>INDEX(FactorTable!$B$2:$Y$301, MATCH(ROUND(MIN(300,MAX(1,D259)),0), FactorTable!$A$2:$A$301,0), Skills!L11+1)</f>
        <v/>
      </c>
      <c r="F259">
        <f>IF(Skills!M11=TRUE,(Skills!K11/10)*(E259/1000),Skills!K11/10)+Skills!N11</f>
        <v/>
      </c>
      <c r="G259">
        <f>Calc!G11</f>
        <v/>
      </c>
      <c r="H259">
        <f>Calc!H11</f>
        <v/>
      </c>
      <c r="I259">
        <f>IF(Skills!T11&lt;&gt;"",1+(Skills!T11/10)*($Z$3/1000)/100,1)</f>
        <v/>
      </c>
      <c r="J259" t="inlineStr"/>
      <c r="K259" t="inlineStr"/>
      <c r="L259" t="inlineStr"/>
      <c r="M259" t="inlineStr"/>
      <c r="N259" t="inlineStr"/>
      <c r="O259">
        <f>(1-Summary!$B$11)*S259+Summary!$B$11*U259</f>
        <v/>
      </c>
      <c r="P259">
        <f>IF(B290=0,0,O259/B290)</f>
        <v/>
      </c>
      <c r="Q259">
        <f>IFERROR(1/(IF(Inputs!$B$39="pvp",15,MAX(0.1,Skills!D11-IF(Skills!E11=TRUE,Inputs!$B$33,0)))*(1-IF(AND(ArtifactsInput!$M$27,Inputs!$B$4="Chapter Hunt"),CHOOSE(ArtifactsInput!$N$27+1,20,24,28,32,36,40),0)/100)),0)</f>
        <v/>
      </c>
      <c r="R259">
        <f>IF(AND(Inputs!$B$39&lt;&gt;"pvp",Inputs!$B$44&gt;0),IF(Inputs!$B$44&lt;=0,0,(INT(Inputs!$B$44/(IF(Inputs!$B$39="pvp",15,MAX(0.1,Skills!D11-IF(Skills!E11=TRUE,Inputs!$B$33,0)))*(1-IF(AND(ArtifactsInput!$M$27,Inputs!$B$4="Chapter Hunt"),CHOOSE(ArtifactsInput!$N$27+1,20,24,28,32,36,40),0)/100)))+1)),0)</f>
        <v/>
      </c>
      <c r="S259" t="n">
        <v>0</v>
      </c>
      <c r="U259" t="n">
        <v>0</v>
      </c>
    </row>
    <row r="260">
      <c r="A260">
        <f>Skills!A12</f>
        <v/>
      </c>
      <c r="B260">
        <f>Skills!B12</f>
        <v/>
      </c>
      <c r="C260">
        <f>Inputs!$B$3&gt;=72</f>
        <v/>
      </c>
      <c r="D260">
        <f>IF(Skills!C12=1,60+Inputs!$B$26+Inputs!$B$30,IF(Skills!C12=2,90+Inputs!$B$27+Inputs!$B$30,IF(Skills!C12=3,120+Inputs!$B$28+Inputs!$B$30,MAX(0,(Inputs!$B$3-100)*3)+Inputs!$B$29+Inputs!$B$30)))</f>
        <v/>
      </c>
      <c r="E260">
        <f>INDEX(FactorTable!$B$2:$Y$301, MATCH(ROUND(MIN(300,MAX(1,D260)),0), FactorTable!$A$2:$A$301,0), Skills!L12+1)</f>
        <v/>
      </c>
      <c r="F260">
        <f>IF(Skills!M12=TRUE,(Skills!K12/10)*(E260/1000),Skills!K12/10)+Skills!N12</f>
        <v/>
      </c>
      <c r="G260">
        <f>Calc!G12</f>
        <v/>
      </c>
      <c r="H260">
        <f>Calc!H12</f>
        <v/>
      </c>
      <c r="I260">
        <f>IF(Skills!T12&lt;&gt;"",1+(Skills!T12/10)*($Z$3/1000)/100,1)</f>
        <v/>
      </c>
      <c r="J260" t="inlineStr"/>
      <c r="K260" t="inlineStr"/>
      <c r="L260" t="inlineStr"/>
      <c r="M260" t="inlineStr"/>
      <c r="N260" t="inlineStr"/>
      <c r="O260">
        <f>(1-Summary!$B$11)*S260+Summary!$B$11*U260</f>
        <v/>
      </c>
      <c r="P260">
        <f>IF(B290=0,0,O260/B290)</f>
        <v/>
      </c>
      <c r="Q260">
        <f>IFERROR(1/(IF(Inputs!$B$39="pvp",15,MAX(0.1,Skills!D12-IF(Skills!E12=TRUE,Inputs!$B$33,0)))*(1-IF(AND(ArtifactsInput!$M$27,Inputs!$B$4="Chapter Hunt"),CHOOSE(ArtifactsInput!$N$27+1,20,24,28,32,36,40),0)/100)),0)</f>
        <v/>
      </c>
      <c r="R260">
        <f>IF(AND(Inputs!$B$39&lt;&gt;"pvp",Inputs!$B$44&gt;0),IF(MAX(0,Inputs!$B$44-B287)&lt;=0,0,(INT(MAX(0,Inputs!$B$44-B287)/(IF(Inputs!$B$39="pvp",15,MAX(0.1,Skills!D12-IF(Skills!E12=TRUE,Inputs!$B$33,0)))*(1-IF(AND(ArtifactsInput!$M$27,Inputs!$B$4="Chapter Hunt"),CHOOSE(ArtifactsInput!$N$27+1,20,24,28,32,36,40),0)/100)))+1)),0)</f>
        <v/>
      </c>
      <c r="S260" t="n">
        <v>0</v>
      </c>
      <c r="U260" t="n">
        <v>0</v>
      </c>
    </row>
    <row r="261">
      <c r="A261">
        <f>Skills!A13</f>
        <v/>
      </c>
      <c r="B261">
        <f>Skills!B13</f>
        <v/>
      </c>
      <c r="C261">
        <f>Inputs!$B$3&gt;=60</f>
        <v/>
      </c>
      <c r="D261">
        <f>IF(Skills!C13=1,60+Inputs!$B$26+Inputs!$B$30,IF(Skills!C13=2,90+Inputs!$B$27+Inputs!$B$30,IF(Skills!C13=3,120+Inputs!$B$28+Inputs!$B$30,MAX(0,(Inputs!$B$3-100)*3)+Inputs!$B$29+Inputs!$B$30)))</f>
        <v/>
      </c>
      <c r="E261">
        <f>INDEX(FactorTable!$B$2:$Y$301, MATCH(ROUND(MIN(300,MAX(1,D261)),0), FactorTable!$A$2:$A$301,0), Skills!L13+1)</f>
        <v/>
      </c>
      <c r="F261">
        <f>IF(Skills!M13=TRUE,(Skills!K13/10)*(E261/1000),Skills!K13/10)+Skills!N13</f>
        <v/>
      </c>
      <c r="G261">
        <f>Calc!G13</f>
        <v/>
      </c>
      <c r="H261">
        <f>Calc!H13</f>
        <v/>
      </c>
      <c r="I261">
        <f>IF(Skills!T13&lt;&gt;"",1+(Skills!T13/10)*($Z$3/1000)/100,1)</f>
        <v/>
      </c>
      <c r="J261" t="inlineStr"/>
      <c r="K261" t="inlineStr"/>
      <c r="L261" t="inlineStr"/>
      <c r="M261" t="inlineStr"/>
      <c r="N261" t="inlineStr"/>
      <c r="O261">
        <f>(1-Summary!$B$11)*S261+Summary!$B$11*U261</f>
        <v/>
      </c>
      <c r="P261">
        <f>IF(B290=0,0,O261/B290)</f>
        <v/>
      </c>
      <c r="Q261">
        <f>IFERROR(1/(IF(Inputs!$B$39="pvp",15,MAX(0.1,Skills!D13-IF(Skills!E13=TRUE,Inputs!$B$33,0)))*(1-IF(AND(ArtifactsInput!$M$27,Inputs!$B$4="Chapter Hunt"),CHOOSE(ArtifactsInput!$N$27+1,20,24,28,32,36,40),0)/100)),0)</f>
        <v/>
      </c>
      <c r="R261">
        <f>IF(AND(Inputs!$B$39&lt;&gt;"pvp",Inputs!$B$44&gt;0),IF(MAX(0,Inputs!$B$44-B287)&lt;=0,0,(INT(MAX(0,Inputs!$B$44-B287)/(IF(Inputs!$B$39="pvp",15,MAX(0.1,Skills!D13-IF(Skills!E13=TRUE,Inputs!$B$33,0)))*(1-IF(AND(ArtifactsInput!$M$27,Inputs!$B$4="Chapter Hunt"),CHOOSE(ArtifactsInput!$N$27+1,20,24,28,32,36,40),0)/100)))+1)),0)</f>
        <v/>
      </c>
      <c r="S261" t="n">
        <v>0</v>
      </c>
      <c r="U261" t="n">
        <v>0</v>
      </c>
    </row>
    <row r="262">
      <c r="A262">
        <f>Skills!A14</f>
        <v/>
      </c>
      <c r="B262">
        <f>Skills!B14</f>
        <v/>
      </c>
      <c r="C262">
        <f>Inputs!$B$3&gt;=107</f>
        <v/>
      </c>
      <c r="D262">
        <f>IF(Skills!C14=1,60+Inputs!$B$26+Inputs!$B$30,IF(Skills!C14=2,90+Inputs!$B$27+Inputs!$B$30,IF(Skills!C14=3,120+Inputs!$B$28+Inputs!$B$30,MAX(0,(Inputs!$B$3-100)*3)+Inputs!$B$29+Inputs!$B$30)))</f>
        <v/>
      </c>
      <c r="E262">
        <f>INDEX(FactorTable!$B$2:$Y$301, MATCH(ROUND(MIN(300,MAX(1,D262)),0), FactorTable!$A$2:$A$301,0), Skills!L14+1)</f>
        <v/>
      </c>
      <c r="F262">
        <f>IF(Skills!M14=TRUE,(Skills!K14/10)*(E262/1000),Skills!K14/10)+Skills!N14</f>
        <v/>
      </c>
      <c r="G262">
        <f>Calc!G14</f>
        <v/>
      </c>
      <c r="H262">
        <f>Calc!H14</f>
        <v/>
      </c>
      <c r="I262">
        <f>IF(Skills!T14&lt;&gt;"",1+(Skills!T14/10)*($Z$3/1000)/100,1)</f>
        <v/>
      </c>
      <c r="J262" t="inlineStr"/>
      <c r="K262" t="inlineStr"/>
      <c r="L262" t="inlineStr"/>
      <c r="M262" t="inlineStr"/>
      <c r="N262" t="inlineStr"/>
      <c r="O262">
        <f>(1-Summary!$B$11)*S262+Summary!$B$11*U262</f>
        <v/>
      </c>
      <c r="P262">
        <f>IF(B290=0,0,O262/B290)</f>
        <v/>
      </c>
      <c r="Q262">
        <f>IFERROR(1/(IF(Inputs!$B$39="pvp",15,MAX(0.1,Skills!D14-IF(Skills!E14=TRUE,Inputs!$B$33,0)))*(1-IF(AND(ArtifactsInput!$M$27,Inputs!$B$4="Chapter Hunt"),CHOOSE(ArtifactsInput!$N$27+1,20,24,28,32,36,40),0)/100)),0)</f>
        <v/>
      </c>
      <c r="R262">
        <f>IF(AND(Inputs!$B$39&lt;&gt;"pvp",Inputs!$B$44&gt;0),IF(Inputs!$B$44&lt;=0,0,(INT(Inputs!$B$44/(IF(Inputs!$B$39="pvp",15,MAX(0.1,Skills!D14-IF(Skills!E14=TRUE,Inputs!$B$33,0)))*(1-IF(AND(ArtifactsInput!$M$27,Inputs!$B$4="Chapter Hunt"),CHOOSE(ArtifactsInput!$N$27+1,20,24,28,32,36,40),0)/100)))+1)),0)</f>
        <v/>
      </c>
      <c r="S262" t="n">
        <v>0</v>
      </c>
      <c r="U262" t="n">
        <v>0</v>
      </c>
    </row>
    <row r="263">
      <c r="A263">
        <f>Skills!A15</f>
        <v/>
      </c>
      <c r="B263">
        <f>Skills!B15</f>
        <v/>
      </c>
      <c r="C263">
        <f>Inputs!$B$3&gt;=63</f>
        <v/>
      </c>
      <c r="D263">
        <f>IF(Skills!C15=1,60+Inputs!$B$26+Inputs!$B$30,IF(Skills!C15=2,90+Inputs!$B$27+Inputs!$B$30,IF(Skills!C15=3,120+Inputs!$B$28+Inputs!$B$30,MAX(0,(Inputs!$B$3-100)*3)+Inputs!$B$29+Inputs!$B$30)))</f>
        <v/>
      </c>
      <c r="E263">
        <f>INDEX(FactorTable!$B$2:$Y$301, MATCH(ROUND(MIN(300,MAX(1,D263)),0), FactorTable!$A$2:$A$301,0), Skills!L15+1)</f>
        <v/>
      </c>
      <c r="F263">
        <f>IF(Skills!M15=TRUE,(Skills!K15/10)*(E263/1000),Skills!K15/10)+Skills!N15</f>
        <v/>
      </c>
      <c r="G263">
        <f>Calc!G15</f>
        <v/>
      </c>
      <c r="H263">
        <f>Calc!H15</f>
        <v/>
      </c>
      <c r="I263">
        <f>IF(Skills!T15&lt;&gt;"",1+(Skills!T15/10)*($Z$3/1000)/100,1)</f>
        <v/>
      </c>
      <c r="J263">
        <f>((Inputs!$B$6*(1+Inputs!$B$7/100))+(((Inputs!$B$13*(1+Inputs!$B$14/100))-(Inputs!$B$13*(1+Inputs!$B$14/100)))+0.25*(Inputs!$B$15-Inputs!$B$15))*(1+Inputs!$B$7/100))*(F263/100)</f>
        <v/>
      </c>
      <c r="K263">
        <f>J263*(1+(((Inputs!$B$13+IF(Inputs!$B$3&gt;=35,(10*INDEX(FactorTable!$B$2:$Y$301,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15="TRIUMPH_FEATHER",IF(C264=TRUE,F264,0),0)/100)*(1+IF(C275=TRUE,F275,0)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263)</f>
        <v/>
      </c>
      <c r="L263">
        <f>K263*(MIN(Inputs!$B$23+(F270-Calc!F22),(Inputs!$B$24+IF(ArtifactsInput!$M$15,CHOOSE(ArtifactsInput!$N$15+1,25,30,35,40,45,50)/100*(Inputs!$B$12-Inputs!$B$12),0)))/100+(Inputs!$B$24+IF(ArtifactsInput!$M$15,CHOOSE(ArtifactsInput!$N$15+1,25,30,35,40,45,50)/100*(Inputs!$B$12-Inputs!$B$12),0))/100)/2</f>
        <v/>
      </c>
      <c r="M263">
        <f>L263*(1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
        <f>L263*(1-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
        <f>(1-Summary!$B$11)*S263+Summary!$B$11*U263</f>
        <v/>
      </c>
      <c r="P263">
        <f>IF(B290=0,0,O263/B290)</f>
        <v/>
      </c>
      <c r="Q263">
        <f>IFERROR(1/(IF(Inputs!$B$39="pvp",15,MAX(0.1,Skills!D15-IF(Skills!E15=TRUE,Inputs!$B$33,0)))*(1-IF(AND(ArtifactsInput!$M$27,Inputs!$B$4="Chapter Hunt"),CHOOSE(ArtifactsInput!$N$27+1,20,24,28,32,36,40),0)/100)),0)</f>
        <v/>
      </c>
      <c r="R263" t="n">
        <v>0</v>
      </c>
      <c r="S263">
        <f>IF(C263,(Skills!F15*N263*((IF(Inputs!$B$3&gt;=78,25,15)/100*B283*10)/(1+IF(Inputs!$B$3&gt;=78,25,15)/100*B283*10))*(Skills!I15/100*B283)/(1+Skills!G15*Skills!I15/100*B283))*IF(Inputs!$B$39="pvp",1,1+(Inputs!$B$21+Skills!O15+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
        <f>IF(C263,(Skills!F15*N263*((IF(Inputs!$B$3&gt;=78,25,15)/100*B283*10)/(1+IF(Inputs!$B$3&gt;=78,25,15)/100*B283*10))*(Skills!I15/100*B283)/(1+Skills!G15*Skills!I15/100*B283))*IF(Inputs!$B$39="pvp",1,(1+(Inputs!$B$22+Skills!P15+B279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
      <c r="A264">
        <f>Skills!A16</f>
        <v/>
      </c>
      <c r="B264">
        <f>Skills!B16</f>
        <v/>
      </c>
      <c r="C264">
        <f>Inputs!$B$3&gt;=100</f>
        <v/>
      </c>
      <c r="D264">
        <f>IF(Skills!C16=1,60+Inputs!$B$26+Inputs!$B$30,IF(Skills!C16=2,90+Inputs!$B$27+Inputs!$B$30,IF(Skills!C16=3,120+Inputs!$B$28+Inputs!$B$30,MAX(0,(Inputs!$B$3-100)*3)+Inputs!$B$29+Inputs!$B$30)))</f>
        <v/>
      </c>
      <c r="E264">
        <f>INDEX(FactorTable!$B$2:$Y$301, MATCH(ROUND(MIN(300,MAX(1,D264)),0), FactorTable!$A$2:$A$301,0), Skills!L16+1)</f>
        <v/>
      </c>
      <c r="F264">
        <f>IF(Skills!M16=TRUE,(Skills!K16/10)*(E264/1000),Skills!K16/10)+Skills!N16</f>
        <v/>
      </c>
      <c r="G264">
        <f>Calc!G16</f>
        <v/>
      </c>
      <c r="H264">
        <f>Calc!H16</f>
        <v/>
      </c>
      <c r="I264">
        <f>IF(Skills!T16&lt;&gt;"",1+(Skills!T16/10)*($Z$3/1000)/100,1)</f>
        <v/>
      </c>
      <c r="J264" t="inlineStr"/>
      <c r="K264" t="inlineStr"/>
      <c r="L264" t="inlineStr"/>
      <c r="M264" t="inlineStr"/>
      <c r="N264" t="inlineStr"/>
      <c r="O264">
        <f>(1-Summary!$B$11)*S264+Summary!$B$11*U264</f>
        <v/>
      </c>
      <c r="P264">
        <f>IF(B290=0,0,O264/B290)</f>
        <v/>
      </c>
      <c r="Q264">
        <f>IFERROR(1/(IF(Inputs!$B$39="pvp",15,MAX(0.1,Skills!D16-IF(Skills!E16=TRUE,Inputs!$B$33,0)))*(1-IF(AND(ArtifactsInput!$M$27,Inputs!$B$4="Chapter Hunt"),CHOOSE(ArtifactsInput!$N$27+1,20,24,28,32,36,40),0)/100)),0)</f>
        <v/>
      </c>
      <c r="R264" t="n">
        <v>0</v>
      </c>
      <c r="S264" t="n">
        <v>0</v>
      </c>
      <c r="U264" t="n">
        <v>0</v>
      </c>
    </row>
    <row r="265">
      <c r="A265">
        <f>Skills!A17</f>
        <v/>
      </c>
      <c r="B265">
        <f>Skills!B17</f>
        <v/>
      </c>
      <c r="C265">
        <f>Inputs!$B$3&gt;=49</f>
        <v/>
      </c>
      <c r="D265">
        <f>IF(Skills!C17=1,60+Inputs!$B$26+Inputs!$B$30,IF(Skills!C17=2,90+Inputs!$B$27+Inputs!$B$30,IF(Skills!C17=3,120+Inputs!$B$28+Inputs!$B$30,MAX(0,(Inputs!$B$3-100)*3)+Inputs!$B$29+Inputs!$B$30)))</f>
        <v/>
      </c>
      <c r="E265">
        <f>INDEX(FactorTable!$B$2:$Y$301, MATCH(ROUND(MIN(300,MAX(1,D265)),0), FactorTable!$A$2:$A$301,0), Skills!L17+1)</f>
        <v/>
      </c>
      <c r="F265">
        <f>IF(Skills!M17=TRUE,(Skills!K17/10)*(E265/1000),Skills!K17/10)+Skills!N17</f>
        <v/>
      </c>
      <c r="G265">
        <f>Calc!G17</f>
        <v/>
      </c>
      <c r="H265">
        <f>Calc!H17</f>
        <v/>
      </c>
      <c r="I265">
        <f>IF(Skills!T17&lt;&gt;"",1+(Skills!T17/10)*($Z$3/1000)/100,1)</f>
        <v/>
      </c>
      <c r="J265" t="inlineStr"/>
      <c r="K265" t="inlineStr"/>
      <c r="L265" t="inlineStr"/>
      <c r="M265" t="inlineStr"/>
      <c r="N265" t="inlineStr"/>
      <c r="O265">
        <f>(1-Summary!$B$11)*S265+Summary!$B$11*U265</f>
        <v/>
      </c>
      <c r="P265">
        <f>IF(B290=0,0,O265/B290)</f>
        <v/>
      </c>
      <c r="Q265">
        <f>IFERROR(1/(IF(Inputs!$B$39="pvp",15,MAX(0.1,Skills!D17-IF(Skills!E17=TRUE,Inputs!$B$33,0)))*(1-IF(AND(ArtifactsInput!$M$27,Inputs!$B$4="Chapter Hunt"),CHOOSE(ArtifactsInput!$N$27+1,20,24,28,32,36,40),0)/100)),0)</f>
        <v/>
      </c>
      <c r="R265" t="n">
        <v>0</v>
      </c>
      <c r="S265" t="n">
        <v>0</v>
      </c>
      <c r="U265" t="n">
        <v>0</v>
      </c>
    </row>
    <row r="266">
      <c r="A266">
        <f>Skills!A18</f>
        <v/>
      </c>
      <c r="B266">
        <f>Skills!B18</f>
        <v/>
      </c>
      <c r="C266">
        <f>Inputs!$B$3&gt;=75</f>
        <v/>
      </c>
      <c r="D266">
        <f>IF(Skills!C18=1,60+Inputs!$B$26+Inputs!$B$30,IF(Skills!C18=2,90+Inputs!$B$27+Inputs!$B$30,IF(Skills!C18=3,120+Inputs!$B$28+Inputs!$B$30,MAX(0,(Inputs!$B$3-100)*3)+Inputs!$B$29+Inputs!$B$30)))</f>
        <v/>
      </c>
      <c r="E266">
        <f>INDEX(FactorTable!$B$2:$Y$301, MATCH(ROUND(MIN(300,MAX(1,D266)),0), FactorTable!$A$2:$A$301,0), Skills!L18+1)</f>
        <v/>
      </c>
      <c r="F266">
        <f>IF(Skills!M18=TRUE,(Skills!K18/10)*(E266/1000),Skills!K18/10)+Skills!N18</f>
        <v/>
      </c>
      <c r="G266">
        <f>Calc!G18</f>
        <v/>
      </c>
      <c r="H266">
        <f>Calc!H18</f>
        <v/>
      </c>
      <c r="I266">
        <f>IF(Skills!T18&lt;&gt;"",1+(Skills!T18/10)*($Z$3/1000)/100,1)</f>
        <v/>
      </c>
      <c r="J266" t="inlineStr"/>
      <c r="K266" t="inlineStr"/>
      <c r="L266" t="inlineStr"/>
      <c r="M266" t="inlineStr"/>
      <c r="N266" t="inlineStr"/>
      <c r="O266">
        <f>(1-Summary!$B$11)*S266+Summary!$B$11*U266</f>
        <v/>
      </c>
      <c r="P266">
        <f>IF(B290=0,0,O266/B290)</f>
        <v/>
      </c>
      <c r="Q266">
        <f>IFERROR(1/(IF(Inputs!$B$39="pvp",15,MAX(0.1,Skills!D18-IF(Skills!E18=TRUE,Inputs!$B$33,0)))*(1-IF(AND(ArtifactsInput!$M$27,Inputs!$B$4="Chapter Hunt"),CHOOSE(ArtifactsInput!$N$27+1,20,24,28,32,36,40),0)/100)),0)</f>
        <v/>
      </c>
      <c r="R266" t="n">
        <v>0</v>
      </c>
      <c r="S266" t="n">
        <v>0</v>
      </c>
      <c r="U266" t="n">
        <v>0</v>
      </c>
    </row>
    <row r="267">
      <c r="A267">
        <f>Skills!A19</f>
        <v/>
      </c>
      <c r="B267">
        <f>Skills!B19</f>
        <v/>
      </c>
      <c r="C267">
        <f>Inputs!$B$3&gt;=110</f>
        <v/>
      </c>
      <c r="D267">
        <f>IF(Skills!C19=1,60+Inputs!$B$26+Inputs!$B$30,IF(Skills!C19=2,90+Inputs!$B$27+Inputs!$B$30,IF(Skills!C19=3,120+Inputs!$B$28+Inputs!$B$30,MAX(0,(Inputs!$B$3-100)*3)+Inputs!$B$29+Inputs!$B$30)))</f>
        <v/>
      </c>
      <c r="E267">
        <f>INDEX(FactorTable!$B$2:$Y$301, MATCH(ROUND(MIN(300,MAX(1,D267)),0), FactorTable!$A$2:$A$301,0), Skills!L19+1)</f>
        <v/>
      </c>
      <c r="F267">
        <f>(Skills!K19/10)*(E267/1000)*64/45+Skills!N19</f>
        <v/>
      </c>
      <c r="G267">
        <f>Calc!G19</f>
        <v/>
      </c>
      <c r="H267">
        <f>Calc!H19</f>
        <v/>
      </c>
      <c r="I267">
        <f>IF(Skills!T19&lt;&gt;"",1+(Skills!T19/10)*($Z$3/1000)/100,1)</f>
        <v/>
      </c>
      <c r="J267" t="inlineStr"/>
      <c r="K267" t="inlineStr"/>
      <c r="L267" t="inlineStr"/>
      <c r="M267" t="inlineStr"/>
      <c r="N267" t="inlineStr"/>
      <c r="O267">
        <f>(1-Summary!$B$11)*S267+Summary!$B$11*U267</f>
        <v/>
      </c>
      <c r="P267">
        <f>IF(B290=0,0,O267/B290)</f>
        <v/>
      </c>
      <c r="Q267">
        <f>IFERROR(1/(IF(Inputs!$B$39="pvp",15,MAX(0.1,Skills!D19-IF(Skills!E19=TRUE,Inputs!$B$33,0)))*(1-IF(AND(ArtifactsInput!$M$27,Inputs!$B$4="Chapter Hunt"),CHOOSE(ArtifactsInput!$N$27+1,20,24,28,32,36,40),0)/100)),0)</f>
        <v/>
      </c>
      <c r="R267">
        <f>IF(AND(Inputs!$B$39&lt;&gt;"pvp",Inputs!$B$44&gt;0),IF(Inputs!$B$44&lt;=0,0,(INT(Inputs!$B$44/(IF(Inputs!$B$39="pvp",15,MAX(0.1,Skills!D19-IF(Skills!E19=TRUE,Inputs!$B$33,0)))*(1-IF(AND(ArtifactsInput!$M$27,Inputs!$B$4="Chapter Hunt"),CHOOSE(ArtifactsInput!$N$27+1,20,24,28,32,36,40),0)/100)))+1)),0)</f>
        <v/>
      </c>
      <c r="S267" t="n">
        <v>0</v>
      </c>
      <c r="U267" t="n">
        <v>0</v>
      </c>
    </row>
    <row r="268">
      <c r="A268">
        <f>Skills!A20</f>
        <v/>
      </c>
      <c r="B268">
        <f>Skills!B20</f>
        <v/>
      </c>
      <c r="C268">
        <f>Inputs!$B$3&gt;=125</f>
        <v/>
      </c>
      <c r="D268">
        <f>IF(Skills!C20=1,60+Inputs!$B$26+Inputs!$B$30,IF(Skills!C20=2,90+Inputs!$B$27+Inputs!$B$30,IF(Skills!C20=3,120+Inputs!$B$28+Inputs!$B$30,MAX(0,(Inputs!$B$3-100)*3)+Inputs!$B$29+Inputs!$B$30)))</f>
        <v/>
      </c>
      <c r="E268">
        <f>INDEX(FactorTable!$B$2:$Y$301, MATCH(ROUND(MIN(300,MAX(1,D268)),0), FactorTable!$A$2:$A$301,0), Skills!L20+1)</f>
        <v/>
      </c>
      <c r="F268">
        <f>IF(Skills!M20=TRUE,(Skills!K20/10)*(E268/1000),Skills!K20/10)+Skills!N20</f>
        <v/>
      </c>
      <c r="G268">
        <f>Calc!G20</f>
        <v/>
      </c>
      <c r="H268">
        <f>Calc!H20</f>
        <v/>
      </c>
      <c r="I268">
        <f>IF(Skills!T20&lt;&gt;"",1+(Skills!T20/10)*($Z$3/1000)/100,1)</f>
        <v/>
      </c>
      <c r="J268" t="inlineStr"/>
      <c r="K268" t="inlineStr"/>
      <c r="L268" t="inlineStr"/>
      <c r="M268" t="inlineStr"/>
      <c r="N268" t="inlineStr"/>
      <c r="O268">
        <f>(1-Summary!$B$11)*S268+Summary!$B$11*U268</f>
        <v/>
      </c>
      <c r="P268">
        <f>IF(B290=0,0,O268/B290)</f>
        <v/>
      </c>
      <c r="Q268">
        <f>IFERROR(1/(IF(Inputs!$B$39="pvp",15,MAX(0.1,Skills!D20-IF(Skills!E20=TRUE,Inputs!$B$33,0)))*(1-IF(AND(ArtifactsInput!$M$27,Inputs!$B$4="Chapter Hunt"),CHOOSE(ArtifactsInput!$N$27+1,20,24,28,32,36,40),0)/100)),0)</f>
        <v/>
      </c>
      <c r="R268" t="n">
        <v>0</v>
      </c>
      <c r="S268" t="n">
        <v>0</v>
      </c>
      <c r="U268" t="n">
        <v>0</v>
      </c>
    </row>
    <row r="269">
      <c r="A269">
        <f>Skills!A21</f>
        <v/>
      </c>
      <c r="B269">
        <f>Skills!B21</f>
        <v/>
      </c>
      <c r="C269">
        <f>Inputs!$B$3&gt;=33</f>
        <v/>
      </c>
      <c r="D269">
        <f>IF(Skills!C21=1,60+Inputs!$B$26+Inputs!$B$30,IF(Skills!C21=2,90+Inputs!$B$27+Inputs!$B$30,IF(Skills!C21=3,120+Inputs!$B$28+Inputs!$B$30,MAX(0,(Inputs!$B$3-100)*3)+Inputs!$B$29+Inputs!$B$30)))</f>
        <v/>
      </c>
      <c r="E269">
        <f>INDEX(FactorTable!$B$2:$Y$301, MATCH(ROUND(MIN(300,MAX(1,D269)),0), FactorTable!$A$2:$A$301,0), Skills!L21+1)</f>
        <v/>
      </c>
      <c r="F269">
        <f>IF(Skills!M21=TRUE,(Skills!K21/10)*(E269/1000),Skills!K21/10)+Skills!N21</f>
        <v/>
      </c>
      <c r="G269">
        <f>Calc!G21</f>
        <v/>
      </c>
      <c r="H269">
        <f>Calc!H21</f>
        <v/>
      </c>
      <c r="I269">
        <f>IF(Skills!T21&lt;&gt;"",1+(Skills!T21/10)*($Z$3/1000)/100,1)</f>
        <v/>
      </c>
      <c r="J269" t="inlineStr"/>
      <c r="K269" t="inlineStr"/>
      <c r="L269" t="inlineStr"/>
      <c r="M269" t="inlineStr"/>
      <c r="N269" t="inlineStr"/>
      <c r="O269">
        <f>(1-Summary!$B$11)*S269+Summary!$B$11*U269</f>
        <v/>
      </c>
      <c r="P269">
        <f>IF(B290=0,0,O269/B290)</f>
        <v/>
      </c>
      <c r="Q269">
        <f>IFERROR(1/(IF(Inputs!$B$39="pvp",15,MAX(0.1,Skills!D21-IF(Skills!E21=TRUE,Inputs!$B$33,0)))*(1-IF(AND(ArtifactsInput!$M$27,Inputs!$B$4="Chapter Hunt"),CHOOSE(ArtifactsInput!$N$27+1,20,24,28,32,36,40),0)/100)),0)</f>
        <v/>
      </c>
      <c r="R269" t="n">
        <v>0</v>
      </c>
      <c r="S269" t="n">
        <v>0</v>
      </c>
      <c r="U269" t="n">
        <v>0</v>
      </c>
    </row>
    <row r="270">
      <c r="A270">
        <f>Skills!A22</f>
        <v/>
      </c>
      <c r="B270">
        <f>Skills!B22</f>
        <v/>
      </c>
      <c r="C270">
        <f>Inputs!$B$3&gt;=43</f>
        <v/>
      </c>
      <c r="D270">
        <f>IF(Skills!C22=1,60+Inputs!$B$26+Inputs!$B$30,IF(Skills!C22=2,90+Inputs!$B$27+Inputs!$B$30,IF(Skills!C22=3,120+Inputs!$B$28+Inputs!$B$30,MAX(0,(Inputs!$B$3-100)*3)+Inputs!$B$29+Inputs!$B$30)))</f>
        <v/>
      </c>
      <c r="E270">
        <f>INDEX(FactorTable!$B$2:$Y$301, MATCH(ROUND(MIN(300,MAX(1,D270)),0), FactorTable!$A$2:$A$301,0), Skills!L22+1)</f>
        <v/>
      </c>
      <c r="F270">
        <f>IF(Skills!M22=TRUE,(Skills!K22/10)*(E270/1000),Skills!K22/10)+Skills!N22</f>
        <v/>
      </c>
      <c r="G270">
        <f>Calc!G22</f>
        <v/>
      </c>
      <c r="H270">
        <f>Calc!H22</f>
        <v/>
      </c>
      <c r="I270">
        <f>IF(Skills!T22&lt;&gt;"",1+(Skills!T22/10)*($Z$3/1000)/100,1)</f>
        <v/>
      </c>
      <c r="J270" t="inlineStr"/>
      <c r="K270" t="inlineStr"/>
      <c r="L270" t="inlineStr"/>
      <c r="M270" t="inlineStr"/>
      <c r="N270" t="inlineStr"/>
      <c r="O270">
        <f>(1-Summary!$B$11)*S270+Summary!$B$11*U270</f>
        <v/>
      </c>
      <c r="P270">
        <f>IF(B290=0,0,O270/B290)</f>
        <v/>
      </c>
      <c r="Q270">
        <f>IFERROR(1/(IF(Inputs!$B$39="pvp",15,MAX(0.1,Skills!D22-IF(Skills!E22=TRUE,Inputs!$B$33,0)))*(1-IF(AND(ArtifactsInput!$M$27,Inputs!$B$4="Chapter Hunt"),CHOOSE(ArtifactsInput!$N$27+1,20,24,28,32,36,40),0)/100)),0)</f>
        <v/>
      </c>
      <c r="R270" t="n">
        <v>0</v>
      </c>
      <c r="S270" t="n">
        <v>0</v>
      </c>
      <c r="U270" t="n">
        <v>0</v>
      </c>
    </row>
    <row r="271">
      <c r="A271">
        <f>Skills!A23</f>
        <v/>
      </c>
      <c r="B271">
        <f>Skills!B23</f>
        <v/>
      </c>
      <c r="C271">
        <f>Inputs!$B$3&gt;=50</f>
        <v/>
      </c>
      <c r="D271">
        <f>IF(Skills!C23=1,60+Inputs!$B$26+Inputs!$B$30,IF(Skills!C23=2,90+Inputs!$B$27+Inputs!$B$30,IF(Skills!C23=3,120+Inputs!$B$28+Inputs!$B$30,MAX(0,(Inputs!$B$3-100)*3)+Inputs!$B$29+Inputs!$B$30)))</f>
        <v/>
      </c>
      <c r="E271">
        <f>INDEX(FactorTable!$B$2:$Y$301, MATCH(ROUND(MIN(300,MAX(1,D271)),0), FactorTable!$A$2:$A$301,0), Skills!L23+1)</f>
        <v/>
      </c>
      <c r="F271">
        <f>IF(Skills!M23=TRUE,(Skills!K23/10)*(E271/1000),Skills!K23/10)+Skills!N23</f>
        <v/>
      </c>
      <c r="G271">
        <f>Calc!G23</f>
        <v/>
      </c>
      <c r="H271">
        <f>Calc!H23</f>
        <v/>
      </c>
      <c r="I271">
        <f>IF(Skills!T23&lt;&gt;"",1+(Skills!T23/10)*($Z$3/1000)/100,1)</f>
        <v/>
      </c>
      <c r="J271" t="inlineStr"/>
      <c r="K271" t="inlineStr"/>
      <c r="L271" t="inlineStr"/>
      <c r="M271" t="inlineStr"/>
      <c r="N271" t="inlineStr"/>
      <c r="O271">
        <f>(1-Summary!$B$11)*S271+Summary!$B$11*U271</f>
        <v/>
      </c>
      <c r="P271">
        <f>IF(B290=0,0,O271/B290)</f>
        <v/>
      </c>
      <c r="Q271">
        <f>IFERROR(1/(IF(Inputs!$B$39="pvp",15,MAX(0.1,Skills!D23-IF(Skills!E23=TRUE,Inputs!$B$33,0)))*(1-IF(AND(ArtifactsInput!$M$27,Inputs!$B$4="Chapter Hunt"),CHOOSE(ArtifactsInput!$N$27+1,20,24,28,32,36,40),0)/100)),0)</f>
        <v/>
      </c>
      <c r="R271" t="n">
        <v>0</v>
      </c>
      <c r="S271" t="n">
        <v>0</v>
      </c>
      <c r="U271" t="n">
        <v>0</v>
      </c>
    </row>
    <row r="272">
      <c r="A272">
        <f>Skills!A24</f>
        <v/>
      </c>
      <c r="B272">
        <f>Skills!B24</f>
        <v/>
      </c>
      <c r="C272">
        <f>Inputs!$B$3&gt;=74</f>
        <v/>
      </c>
      <c r="D272">
        <f>IF(Skills!C24=1,60+Inputs!$B$26+Inputs!$B$30,IF(Skills!C24=2,90+Inputs!$B$27+Inputs!$B$30,IF(Skills!C24=3,120+Inputs!$B$28+Inputs!$B$30,MAX(0,(Inputs!$B$3-100)*3)+Inputs!$B$29+Inputs!$B$30)))</f>
        <v/>
      </c>
      <c r="E272">
        <f>INDEX(FactorTable!$B$2:$Y$301, MATCH(ROUND(MIN(300,MAX(1,D272)),0), FactorTable!$A$2:$A$301,0), Skills!L24+1)</f>
        <v/>
      </c>
      <c r="F272">
        <f>IF(Skills!M24=TRUE,(Skills!K24/10)*(E272/1000),Skills!K24/10)+Skills!N24</f>
        <v/>
      </c>
      <c r="G272">
        <f>Calc!G24</f>
        <v/>
      </c>
      <c r="H272">
        <f>Calc!H24</f>
        <v/>
      </c>
      <c r="I272">
        <f>IF(Skills!T24&lt;&gt;"",1+(Skills!T24/10)*($Z$3/1000)/100,1)</f>
        <v/>
      </c>
      <c r="J272" t="inlineStr"/>
      <c r="K272" t="inlineStr"/>
      <c r="L272" t="inlineStr"/>
      <c r="M272" t="inlineStr"/>
      <c r="N272" t="inlineStr"/>
      <c r="O272">
        <f>(1-Summary!$B$11)*S272+Summary!$B$11*U272</f>
        <v/>
      </c>
      <c r="P272">
        <f>IF(B290=0,0,O272/B290)</f>
        <v/>
      </c>
      <c r="Q272">
        <f>IFERROR(1/(IF(Inputs!$B$39="pvp",15,MAX(0.1,Skills!D24-IF(Skills!E24=TRUE,Inputs!$B$33,0)))*(1-IF(AND(ArtifactsInput!$M$27,Inputs!$B$4="Chapter Hunt"),CHOOSE(ArtifactsInput!$N$27+1,20,24,28,32,36,40),0)/100)),0)</f>
        <v/>
      </c>
      <c r="R272" t="n">
        <v>0</v>
      </c>
      <c r="S272" t="n">
        <v>0</v>
      </c>
      <c r="U272" t="n">
        <v>0</v>
      </c>
    </row>
    <row r="273">
      <c r="A273">
        <f>Skills!A25</f>
        <v/>
      </c>
      <c r="B273">
        <f>Skills!B25</f>
        <v/>
      </c>
      <c r="C273">
        <f>Inputs!$B$3&gt;=74</f>
        <v/>
      </c>
      <c r="D273">
        <f>IF(Skills!C25=1,60+Inputs!$B$26+Inputs!$B$30,IF(Skills!C25=2,90+Inputs!$B$27+Inputs!$B$30,IF(Skills!C25=3,120+Inputs!$B$28+Inputs!$B$30,MAX(0,(Inputs!$B$3-100)*3)+Inputs!$B$29+Inputs!$B$30)))</f>
        <v/>
      </c>
      <c r="E273">
        <f>INDEX(FactorTable!$B$2:$Y$301, MATCH(ROUND(MIN(300,MAX(1,D273)),0), FactorTable!$A$2:$A$301,0), Skills!L25+1)</f>
        <v/>
      </c>
      <c r="F273">
        <f>IF(Skills!M25=TRUE,(Skills!K25/10)*(E273/1000),Skills!K25/10)+Skills!N25</f>
        <v/>
      </c>
      <c r="G273">
        <f>Calc!G25</f>
        <v/>
      </c>
      <c r="H273">
        <f>Calc!H25</f>
        <v/>
      </c>
      <c r="I273">
        <f>IF(Skills!T25&lt;&gt;"",1+(Skills!T25/10)*($Z$3/1000)/100,1)</f>
        <v/>
      </c>
      <c r="J273" t="inlineStr"/>
      <c r="K273" t="inlineStr"/>
      <c r="L273" t="inlineStr"/>
      <c r="M273" t="inlineStr"/>
      <c r="N273" t="inlineStr"/>
      <c r="O273">
        <f>(1-Summary!$B$11)*S273+Summary!$B$11*U273</f>
        <v/>
      </c>
      <c r="P273">
        <f>IF(B290=0,0,O273/B290)</f>
        <v/>
      </c>
      <c r="Q273">
        <f>IFERROR(1/(IF(Inputs!$B$39="pvp",15,MAX(0.1,Skills!D25-IF(Skills!E25=TRUE,Inputs!$B$33,0)))*(1-IF(AND(ArtifactsInput!$M$27,Inputs!$B$4="Chapter Hunt"),CHOOSE(ArtifactsInput!$N$27+1,20,24,28,32,36,40),0)/100)),0)</f>
        <v/>
      </c>
      <c r="R273" t="n">
        <v>0</v>
      </c>
      <c r="S273" t="n">
        <v>0</v>
      </c>
      <c r="U273" t="n">
        <v>0</v>
      </c>
    </row>
    <row r="274">
      <c r="A274">
        <f>Skills!A26</f>
        <v/>
      </c>
      <c r="B274">
        <f>Skills!B26</f>
        <v/>
      </c>
      <c r="C274">
        <f>Inputs!$B$3&gt;=117</f>
        <v/>
      </c>
      <c r="D274">
        <f>IF(Skills!C26=1,60+Inputs!$B$26+Inputs!$B$30,IF(Skills!C26=2,90+Inputs!$B$27+Inputs!$B$30,IF(Skills!C26=3,120+Inputs!$B$28+Inputs!$B$30,MAX(0,(Inputs!$B$3-100)*3)+Inputs!$B$29+Inputs!$B$30)))</f>
        <v/>
      </c>
      <c r="E274">
        <f>INDEX(FactorTable!$B$2:$Y$301, MATCH(ROUND(MIN(300,MAX(1,D274)),0), FactorTable!$A$2:$A$301,0), Skills!L26+1)</f>
        <v/>
      </c>
      <c r="F274">
        <f>IF(Skills!M26=TRUE,(Skills!K26/10)*(E274/1000),Skills!K26/10)+Skills!N26</f>
        <v/>
      </c>
      <c r="G274">
        <f>Calc!G26</f>
        <v/>
      </c>
      <c r="H274">
        <f>Calc!H26</f>
        <v/>
      </c>
      <c r="I274">
        <f>IF(Skills!T26&lt;&gt;"",1+(Skills!T26/10)*($Z$3/1000)/100,1)</f>
        <v/>
      </c>
      <c r="J274" t="inlineStr"/>
      <c r="K274" t="inlineStr"/>
      <c r="L274" t="inlineStr"/>
      <c r="M274" t="inlineStr"/>
      <c r="N274" t="inlineStr"/>
      <c r="O274">
        <f>(1-Summary!$B$11)*S274+Summary!$B$11*U274</f>
        <v/>
      </c>
      <c r="P274">
        <f>IF(B290=0,0,O274/B290)</f>
        <v/>
      </c>
      <c r="Q274">
        <f>IFERROR(1/(IF(Inputs!$B$39="pvp",15,MAX(0.1,Skills!D26-IF(Skills!E26=TRUE,Inputs!$B$33,0)))*(1-IF(AND(ArtifactsInput!$M$27,Inputs!$B$4="Chapter Hunt"),CHOOSE(ArtifactsInput!$N$27+1,20,24,28,32,36,40),0)/100)),0)</f>
        <v/>
      </c>
      <c r="R274" t="n">
        <v>0</v>
      </c>
      <c r="S274" t="n">
        <v>0</v>
      </c>
      <c r="U274" t="n">
        <v>0</v>
      </c>
    </row>
    <row r="275">
      <c r="A275">
        <f>Skills!A27</f>
        <v/>
      </c>
      <c r="B275">
        <f>Skills!B27</f>
        <v/>
      </c>
      <c r="C275">
        <f>Inputs!$B$3&gt;=120</f>
        <v/>
      </c>
      <c r="D275">
        <f>IF(Skills!C27=1,60+Inputs!$B$26+Inputs!$B$30,IF(Skills!C27=2,90+Inputs!$B$27+Inputs!$B$30,IF(Skills!C27=3,120+Inputs!$B$28+Inputs!$B$30,MAX(0,(Inputs!$B$3-100)*3)+Inputs!$B$29+Inputs!$B$30)))</f>
        <v/>
      </c>
      <c r="E275">
        <f>INDEX(FactorTable!$B$2:$Y$301, MATCH(ROUND(MIN(300,MAX(1,D275)),0), FactorTable!$A$2:$A$301,0), Skills!L27+1)</f>
        <v/>
      </c>
      <c r="F275">
        <f>IF(Skills!M27=TRUE,(Skills!K27/10)*(E275/1000),Skills!K27/10)+Skills!N27</f>
        <v/>
      </c>
      <c r="G275">
        <f>Calc!G27</f>
        <v/>
      </c>
      <c r="H275">
        <f>Calc!H27</f>
        <v/>
      </c>
      <c r="I275">
        <f>IF(Skills!T27&lt;&gt;"",1+(Skills!T27/10)*($Z$3/1000)/100,1)</f>
        <v/>
      </c>
      <c r="J275" t="inlineStr"/>
      <c r="K275" t="inlineStr"/>
      <c r="L275" t="inlineStr"/>
      <c r="M275" t="inlineStr"/>
      <c r="N275" t="inlineStr"/>
      <c r="O275">
        <f>(1-Summary!$B$11)*S275+Summary!$B$11*U275</f>
        <v/>
      </c>
      <c r="P275">
        <f>IF(B290=0,0,O275/B290)</f>
        <v/>
      </c>
      <c r="Q275">
        <f>IFERROR(1/(IF(Inputs!$B$39="pvp",15,MAX(0.1,Skills!D27-IF(Skills!E27=TRUE,Inputs!$B$33,0)))*(1-IF(AND(ArtifactsInput!$M$27,Inputs!$B$4="Chapter Hunt"),CHOOSE(ArtifactsInput!$N$27+1,20,24,28,32,36,40),0)/100)),0)</f>
        <v/>
      </c>
      <c r="R275" t="n">
        <v>0</v>
      </c>
      <c r="S275" t="n">
        <v>0</v>
      </c>
      <c r="U275" t="n">
        <v>0</v>
      </c>
    </row>
    <row r="277">
      <c r="A277" t="inlineStr">
        <is>
          <t>Average Buff Multiplier</t>
        </is>
      </c>
      <c r="B277">
        <f>(1+(IF(C251=TRUE,F251*IF(AND(Inputs!$B$39&lt;&gt;"pvp",Inputs!$B$44&gt;0),(((R251-1)*(Skills!S3*(1+((Inputs!$B$35+(ArtifactsInput!$M$7-ArtifactsInput!$M$7)*CHOOSE(ArtifactsInput!$N$7+1,6,7.2,8.4,9.6,10.8,12))+IF(Inputs!$B$3&gt;=117,F274,0))/100))+MIN((Skills!S3*(1+((Inputs!$B$35+(ArtifactsInput!$M$7-ArtifactsInput!$M$7)*CHOOSE(ArtifactsInput!$N$7+1,6,7.2,8.4,9.6,10.8,12))+IF(Inputs!$B$3&gt;=117,F274,0))/100)),MAX(0,Inputs!$B$44-((R251-1)*Skills!D3))))/Inputs!$B$44),IF(Inputs!$B$39="pvp",MIN((Skills!S3*(1+((Inputs!$B$35+(ArtifactsInput!$M$7-ArtifactsInput!$M$7)*CHOOSE(ArtifactsInput!$N$7+1,6,7.2,8.4,9.6,10.8,12))+IF(Inputs!$B$3&gt;=117,F274,0))/100)),15)/15,(Skills!S3*(1+((Inputs!$B$35+(ArtifactsInput!$M$7-ArtifactsInput!$M$7)*CHOOSE(ArtifactsInput!$N$7+1,6,7.2,8.4,9.6,10.8,12))+IF(Inputs!$B$3&gt;=117,F274,0))/100))/Skills!D3)),0)+IF(C252=TRUE,F252*IF(AND(Inputs!$B$39&lt;&gt;"pvp",Inputs!$B$44&gt;0),(((R252-1)*(Skills!S4*(1+((Inputs!$B$35+(ArtifactsInput!$M$7-ArtifactsInput!$M$7)*CHOOSE(ArtifactsInput!$N$7+1,6,7.2,8.4,9.6,10.8,12))+IF(Inputs!$B$3&gt;=117,F274,0))/100))+MIN((Skills!S4*(1+((Inputs!$B$35+(ArtifactsInput!$M$7-ArtifactsInput!$M$7)*CHOOSE(ArtifactsInput!$N$7+1,6,7.2,8.4,9.6,10.8,12))+IF(Inputs!$B$3&gt;=117,F274,0))/100)),MAX(0,Inputs!$B$44-((R252-1)*Skills!D4))))/Inputs!$B$44),IF(Inputs!$B$39="pvp",MIN((Skills!S4*(1+((Inputs!$B$35+(ArtifactsInput!$M$7-ArtifactsInput!$M$7)*CHOOSE(ArtifactsInput!$N$7+1,6,7.2,8.4,9.6,10.8,12))+IF(Inputs!$B$3&gt;=117,F274,0))/100)),15)/15,(Skills!S4*(1+((Inputs!$B$35+(ArtifactsInput!$M$7-ArtifactsInput!$M$7)*CHOOSE(ArtifactsInput!$N$7+1,6,7.2,8.4,9.6,10.8,12))+IF(Inputs!$B$3&gt;=117,F274,0))/100))/Skills!D4)),0)+IF(C253=TRUE,F253*IF(AND(Inputs!$B$39&lt;&gt;"pvp",Inputs!$B$44&gt;0),(((R253-1)*(Skills!S5*(1+((Inputs!$B$35+(ArtifactsInput!$M$7-ArtifactsInput!$M$7)*CHOOSE(ArtifactsInput!$N$7+1,6,7.2,8.4,9.6,10.8,12))+IF(Inputs!$B$3&gt;=117,F274,0))/100))+MIN((Skills!S5*(1+((Inputs!$B$35+(ArtifactsInput!$M$7-ArtifactsInput!$M$7)*CHOOSE(ArtifactsInput!$N$7+1,6,7.2,8.4,9.6,10.8,12))+IF(Inputs!$B$3&gt;=117,F274,0))/100)),MAX(0,Inputs!$B$44-((R253-1)*Skills!D5))))/Inputs!$B$44),IF(Inputs!$B$39="pvp",MIN((Skills!S5*(1+((Inputs!$B$35+(ArtifactsInput!$M$7-ArtifactsInput!$M$7)*CHOOSE(ArtifactsInput!$N$7+1,6,7.2,8.4,9.6,10.8,12))+IF(Inputs!$B$3&gt;=117,F274,0))/100)),15)/15,(Skills!S5*(1+((Inputs!$B$35+(ArtifactsInput!$M$7-ArtifactsInput!$M$7)*CHOOSE(ArtifactsInput!$N$7+1,6,7.2,8.4,9.6,10.8,12))+IF(Inputs!$B$3&gt;=117,F274,0))/100))/Skills!D5)),0)+IF(C259=TRUE,F259*IF(AND(Inputs!$B$39&lt;&gt;"pvp",Inputs!$B$44&gt;0),(((R259-1)*(Skills!S11*(1+((Inputs!$B$35+(ArtifactsInput!$M$7-ArtifactsInput!$M$7)*CHOOSE(ArtifactsInput!$N$7+1,6,7.2,8.4,9.6,10.8,12))+IF(Inputs!$B$3&gt;=117,F274,0))/100))+MIN((Skills!S11*(1+((Inputs!$B$35+(ArtifactsInput!$M$7-ArtifactsInput!$M$7)*CHOOSE(ArtifactsInput!$N$7+1,6,7.2,8.4,9.6,10.8,12))+IF(Inputs!$B$3&gt;=117,F274,0))/100)),MAX(0,Inputs!$B$44-((R259-1)*Skills!D11))))/Inputs!$B$44),IF(Inputs!$B$39="pvp",MIN((Skills!S11*(1+((Inputs!$B$35+(ArtifactsInput!$M$7-ArtifactsInput!$M$7)*CHOOSE(ArtifactsInput!$N$7+1,6,7.2,8.4,9.6,10.8,12))+IF(Inputs!$B$3&gt;=117,F274,0))/100)),15)/15,(Skills!S11*(1+((Inputs!$B$35+(ArtifactsInput!$M$7-ArtifactsInput!$M$7)*CHOOSE(ArtifactsInput!$N$7+1,6,7.2,8.4,9.6,10.8,12))+IF(Inputs!$B$3&gt;=117,F274,0)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262=TRUE,(1+F262*IF(AND(Inputs!$B$39&lt;&gt;"pvp",Inputs!$B$44&gt;0),(((R262-1)*(Skills!S14*(1+((Inputs!$B$35+(ArtifactsInput!$M$7-ArtifactsInput!$M$7)*CHOOSE(ArtifactsInput!$N$7+1,6,7.2,8.4,9.6,10.8,12))+IF(Inputs!$B$3&gt;=117,F274,0))/100))+MIN((Skills!S14*(1+((Inputs!$B$35+(ArtifactsInput!$M$7-ArtifactsInput!$M$7)*CHOOSE(ArtifactsInput!$N$7+1,6,7.2,8.4,9.6,10.8,12))+IF(Inputs!$B$3&gt;=117,F274,0))/100)),MAX(0,Inputs!$B$44-((R262-1)*Skills!D14))))/Inputs!$B$44),IF(Inputs!$B$39="pvp",MIN((Skills!S14*(1+((Inputs!$B$35+(ArtifactsInput!$M$7-ArtifactsInput!$M$7)*CHOOSE(ArtifactsInput!$N$7+1,6,7.2,8.4,9.6,10.8,12))+IF(Inputs!$B$3&gt;=117,F274,0))/100)),15)/15,(Skills!S14*(1+((Inputs!$B$35+(ArtifactsInput!$M$7-ArtifactsInput!$M$7)*CHOOSE(ArtifactsInput!$N$7+1,6,7.2,8.4,9.6,10.8,12))+IF(Inputs!$B$3&gt;=117,F274,0))/100))/Skills!D14))/100),1)*IF(C267=TRUE,(1+F267*IF(AND(Inputs!$B$39&lt;&gt;"pvp",Inputs!$B$44&gt;0),(((R267-1)*(Skills!S19*(1+((Inputs!$B$35+(ArtifactsInput!$M$7-ArtifactsInput!$M$7)*CHOOSE(ArtifactsInput!$N$7+1,6,7.2,8.4,9.6,10.8,12))+IF(Inputs!$B$3&gt;=117,F274,0))/100))+MIN((Skills!S19*(1+((Inputs!$B$35+(ArtifactsInput!$M$7-ArtifactsInput!$M$7)*CHOOSE(ArtifactsInput!$N$7+1,6,7.2,8.4,9.6,10.8,12))+IF(Inputs!$B$3&gt;=117,F274,0))/100)),MAX(0,Inputs!$B$44-((R267-1)*Skills!D19))))/Inputs!$B$44),IF(Inputs!$B$39="pvp",MIN((Skills!S19*(1+((Inputs!$B$35+(ArtifactsInput!$M$7-ArtifactsInput!$M$7)*CHOOSE(ArtifactsInput!$N$7+1,6,7.2,8.4,9.6,10.8,12))+IF(Inputs!$B$3&gt;=117,F274,0))/100)),15)/15,(Skills!S19*(1+((Inputs!$B$35+(ArtifactsInput!$M$7-ArtifactsInput!$M$7)*CHOOSE(ArtifactsInput!$N$7+1,6,7.2,8.4,9.6,10.8,12))+IF(Inputs!$B$3&gt;=117,F274,0))/100))/Skills!D19))/100),1)</f>
        <v/>
      </c>
    </row>
    <row r="278">
      <c r="A278" t="inlineStr">
        <is>
          <t>Monster Damage Taken Bonus % (Holy Fountain)</t>
        </is>
      </c>
      <c r="B278">
        <f>IF(Inputs!$B$3&gt;=68,20*IF(Inputs!$B$39="pvp",MIN((15*(1+((Inputs!$B$35+(ArtifactsInput!$M$7-ArtifactsInput!$M$7)*CHOOSE(ArtifactsInput!$N$7+1,6,7.2,8.4,9.6,10.8,12))+IF(Inputs!$B$3&gt;=117,F274,0))/100)),15)/15,(15*(1+((Inputs!$B$35+(ArtifactsInput!$M$7-ArtifactsInput!$M$7)*CHOOSE(ArtifactsInput!$N$7+1,6,7.2,8.4,9.6,10.8,12))+IF(Inputs!$B$3&gt;=117,F274,0))/100))/Skills!D10),0)</f>
        <v/>
      </c>
    </row>
    <row r="279">
      <c r="A279" t="inlineStr">
        <is>
          <t>Normal Monster Damage Bonus % (Holy Symbol)</t>
        </is>
      </c>
      <c r="B279">
        <f>IF(C260=TRUE,F260*IF(AND(Inputs!$B$39&lt;&gt;"pvp",Inputs!$B$44&gt;0),(((R260-1)*(Skills!S12*(1+((Inputs!$B$35+(ArtifactsInput!$M$7-ArtifactsInput!$M$7)*CHOOSE(ArtifactsInput!$N$7+1,6,7.2,8.4,9.6,10.8,12))+IF(Inputs!$B$3&gt;=117,F274,0))/100))+MIN((Skills!S12*(1+((Inputs!$B$35+(ArtifactsInput!$M$7-ArtifactsInput!$M$7)*CHOOSE(ArtifactsInput!$N$7+1,6,7.2,8.4,9.6,10.8,12))+IF(Inputs!$B$3&gt;=117,F274,0))/100)),MAX(0,Inputs!$B$44-((R260-1)*Skills!D12))))/Inputs!$B$44),IF(Inputs!$B$39="pvp",MIN((Skills!S12*(1+((Inputs!$B$35+(ArtifactsInput!$M$7-ArtifactsInput!$M$7)*CHOOSE(ArtifactsInput!$N$7+1,6,7.2,8.4,9.6,10.8,12))+IF(Inputs!$B$3&gt;=117,F274,0))/100)),15)/15,(Skills!S12*(1+((Inputs!$B$35+(ArtifactsInput!$M$7-ArtifactsInput!$M$7)*CHOOSE(ArtifactsInput!$N$7+1,6,7.2,8.4,9.6,10.8,12))+IF(Inputs!$B$3&gt;=117,F274,0))/100))/Skills!D12)),0)</f>
        <v/>
      </c>
    </row>
    <row r="280">
      <c r="A280" t="inlineStr">
        <is>
          <t>Damage % Bonus (Holy Symbol - Damage Boost)</t>
        </is>
      </c>
      <c r="B280">
        <f>Skills!O12</f>
        <v/>
      </c>
    </row>
    <row r="281">
      <c r="A281" t="inlineStr">
        <is>
          <t>Crit Damage % Bonus (Blood of the Divine)</t>
        </is>
      </c>
      <c r="B281">
        <f>4*IF(C268=TRUE,F268,0)</f>
        <v/>
      </c>
    </row>
    <row r="282">
      <c r="A282" t="inlineStr">
        <is>
          <t>Attack Speed Bonus %</t>
        </is>
      </c>
      <c r="B282">
        <f>IF(C265=TRUE,F265+(F269-Calc!F21),0)+IF(Inputs!$B$3&gt;=134,15,0)</f>
        <v/>
      </c>
    </row>
    <row r="283">
      <c r="A283" t="inlineStr">
        <is>
          <t>Actions Per Second</t>
        </is>
      </c>
      <c r="B283">
        <f>1+MIN(150,150*(1-(1-Inputs!$B$12/150)*(1-B282/150)))/100</f>
        <v/>
      </c>
    </row>
    <row r="284">
      <c r="A284" t="inlineStr">
        <is>
          <t>Skill + Buff Cast Rate</t>
        </is>
      </c>
      <c r="B284">
        <f>IF(AND(Inputs!$B$39&lt;&gt;"pvp",Inputs!$B$44&gt;0),SUMPRODUCT((Skills!E2:E27=TRUE)*(C250:C275=TRUE)*R250:R275)/Inputs!$B$44,SUMPRODUCT((Skills!E2:E27=TRUE)*(C250:C275=TRUE)*Q250:Q275))</f>
        <v/>
      </c>
    </row>
    <row r="285">
      <c r="A285" t="inlineStr">
        <is>
          <t>Big Bang Casts Per Second</t>
        </is>
      </c>
      <c r="B285">
        <f>MAX(0,B283-B284)</f>
        <v/>
      </c>
    </row>
    <row r="286">
      <c r="A286" t="inlineStr">
        <is>
          <t>Defense % Bonus (Divine Protection)</t>
        </is>
      </c>
      <c r="B286">
        <f>IF(C261=TRUE,F261*IF(AND(Inputs!$B$39&lt;&gt;"pvp",Inputs!$B$44&gt;0),(((R261-1)*(Skills!S13*(1+((Inputs!$B$35+(ArtifactsInput!$M$7-ArtifactsInput!$M$7)*CHOOSE(ArtifactsInput!$N$7+1,6,7.2,8.4,9.6,10.8,12))+IF(Inputs!$B$3&gt;=117,F274,0))/100))+MIN((Skills!S13*(1+((Inputs!$B$35+(ArtifactsInput!$M$7-ArtifactsInput!$M$7)*CHOOSE(ArtifactsInput!$N$7+1,6,7.2,8.4,9.6,10.8,12))+IF(Inputs!$B$3&gt;=117,F274,0))/100)),MAX(0,Inputs!$B$44-((R261-1)*Skills!D13))))/Inputs!$B$44),IF(Inputs!$B$39="pvp",MIN((Skills!S13*(1+((Inputs!$B$35+(ArtifactsInput!$M$7-ArtifactsInput!$M$7)*CHOOSE(ArtifactsInput!$N$7+1,6,7.2,8.4,9.6,10.8,12))+IF(Inputs!$B$3&gt;=117,F274,0))/100)),15)/15,(Skills!S13*(1+((Inputs!$B$35+(ArtifactsInput!$M$7-ArtifactsInput!$M$7)*CHOOSE(ArtifactsInput!$N$7+1,6,7.2,8.4,9.6,10.8,12))+IF(Inputs!$B$3&gt;=117,F274,0))/100))/Skills!D13)),0)</f>
        <v/>
      </c>
    </row>
    <row r="287">
      <c r="A287" t="inlineStr">
        <is>
          <t>Buff-Casting Startup Delay (s, fixed-duration only)</t>
        </is>
      </c>
      <c r="B287">
        <f>IF(AND(Inputs!$B$39&lt;&gt;"pvp",Inputs!$B$44&gt;0),SUMPRODUCT((Skills!S2:S27&gt;0)*(Skills!E2:E27=TRUE)*(C250:C275=TRUE))/B283,0)</f>
        <v/>
      </c>
    </row>
    <row r="288">
      <c r="A288" t="inlineStr">
        <is>
          <t>Boss-Only Total DPS (this block's swept value)</t>
        </is>
      </c>
      <c r="B288">
        <f>SUM(S250:S275)</f>
        <v/>
      </c>
    </row>
    <row r="289">
      <c r="A289" t="inlineStr">
        <is>
          <t>Normal-Only Total DPS (this block's swept value)</t>
        </is>
      </c>
      <c r="B289">
        <f>SUM(U250:U275)</f>
        <v/>
      </c>
    </row>
    <row r="290">
      <c r="A290" s="6" t="inlineStr">
        <is>
          <t>TOTAL DPS</t>
        </is>
      </c>
      <c r="B290" s="6">
        <f>SUM(O250:O275)</f>
        <v/>
      </c>
    </row>
    <row r="292">
      <c r="A292" s="6" t="inlineStr">
        <is>
          <t>Stat: DAMAGE_AMP %</t>
        </is>
      </c>
    </row>
    <row r="293">
      <c r="A293" s="5" t="inlineStr">
        <is>
          <t>Key</t>
        </is>
      </c>
      <c r="B293" s="5" t="inlineStr">
        <is>
          <t>Name</t>
        </is>
      </c>
      <c r="C293" s="5" t="inlineStr">
        <is>
          <t>Unlocked</t>
        </is>
      </c>
      <c r="D293" s="5" t="inlineStr">
        <is>
          <t>InputLevel</t>
        </is>
      </c>
      <c r="E293" s="5" t="inlineStr">
        <is>
          <t>Factor</t>
        </is>
      </c>
      <c r="F293" s="5" t="inlineStr">
        <is>
          <t>CoefficientPercent</t>
        </is>
      </c>
      <c r="G293" s="5" t="inlineStr">
        <is>
          <t>EffectiveHits</t>
        </is>
      </c>
      <c r="H293" s="5" t="inlineStr">
        <is>
          <t>ProcProbability</t>
        </is>
      </c>
      <c r="I293" s="5" t="inlineStr">
        <is>
          <t>MapleHeroMultiplier</t>
        </is>
      </c>
      <c r="J293" s="5" t="inlineStr">
        <is>
          <t>BaseDamage</t>
        </is>
      </c>
      <c r="K293" s="5" t="inlineStr">
        <is>
          <t>BaseHitDamage</t>
        </is>
      </c>
      <c r="L293" s="5" t="inlineStr">
        <is>
          <t>NonCritAvg</t>
        </is>
      </c>
      <c r="M293" s="5" t="inlineStr">
        <is>
          <t>CritAvg</t>
        </is>
      </c>
      <c r="N293" s="5" t="inlineStr">
        <is>
          <t>ExpectedDamage(perHit)</t>
        </is>
      </c>
      <c r="O293" s="5" t="inlineStr">
        <is>
          <t>DPS</t>
        </is>
      </c>
      <c r="P293" s="5" t="inlineStr">
        <is>
          <t>% of Total</t>
        </is>
      </c>
      <c r="R293" t="inlineStr">
        <is>
          <t>helpers</t>
        </is>
      </c>
    </row>
    <row r="294">
      <c r="A294">
        <f>Skills!A2</f>
        <v/>
      </c>
      <c r="B294">
        <f>Skills!B2</f>
        <v/>
      </c>
      <c r="C294">
        <f>Inputs!$B$3&gt;=100</f>
        <v/>
      </c>
      <c r="D294" t="inlineStr"/>
      <c r="E294" t="inlineStr"/>
      <c r="F294">
        <f>T296+Skills!N2</f>
        <v/>
      </c>
      <c r="G294">
        <f>Calc!G2</f>
        <v/>
      </c>
      <c r="H294">
        <f>Calc!H2</f>
        <v/>
      </c>
      <c r="I294">
        <f>IF(Skills!T2&lt;&gt;"",1+(Skills!T2/10)*($Z$3/1000)/100,1)</f>
        <v/>
      </c>
      <c r="J294">
        <f>((Inputs!$B$6*(1+Inputs!$B$7/100))+(((Inputs!$B$13*(1+Inputs!$B$14/100))-(Inputs!$B$13*(1+Inputs!$B$14/100)))+0.25*(Inputs!$B$15-Inputs!$B$15))*(1+Inputs!$B$7/100))*(F294/100)</f>
        <v/>
      </c>
      <c r="K294">
        <f>J294*(1+(((Inputs!$B$13+IF(Inputs!$B$3&gt;=35,(10*INDEX(FactorTable!$B$2:$Y$301,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2="TRIUMPH_FEATHER",IF(C308=TRUE,F308,0),0)/100)*(1+IF(C319=TRUE,F319,0)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294)</f>
        <v/>
      </c>
      <c r="L294">
        <f>K294*(MIN(Inputs!$B$23+(F314-Calc!F22),(Inputs!$B$24+IF(ArtifactsInput!$M$15,CHOOSE(ArtifactsInput!$N$15+1,25,30,35,40,45,50)/100*(Inputs!$B$12-Inputs!$B$12),0)))/100+(Inputs!$B$24+IF(ArtifactsInput!$M$15,CHOOSE(ArtifactsInput!$N$15+1,25,30,35,40,45,50)/100*(Inputs!$B$12-Inputs!$B$12),0))/100)/2</f>
        <v/>
      </c>
      <c r="M294">
        <f>L294*(1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4">
        <f>L294*(1-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
        <f>(1-Summary!$B$11)*S294+Summary!$B$11*U294</f>
        <v/>
      </c>
      <c r="P294">
        <f>IF(B334=0,0,O294/B334)</f>
        <v/>
      </c>
      <c r="Q294">
        <f>IFERROR(1/(IF(Inputs!$B$39="pvp",15,MAX(0.1,Skills!D2-IF(Skills!E2=TRUE,Inputs!$B$33,0)))*(1-IF(AND(ArtifactsInput!$M$27,Inputs!$B$4="Chapter Hunt"),CHOOSE(ArtifactsInput!$N$27+1,20,24,28,32,36,40),0)/100)),0)</f>
        <v/>
      </c>
      <c r="R294" t="n">
        <v>0</v>
      </c>
      <c r="S294">
        <f>IF(C294,(Skills!F2*N294*B329)*IF(Inputs!$B$39="pvp",1,1+(Inputs!$B$21+Skills!O2+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294*(1-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4">
        <f>MAX(0,(Inputs!$B$3-100)*3)+Inputs!$B$29+Inputs!$B$30</f>
        <v/>
      </c>
      <c r="U294">
        <f>IF(C294,(Skills!F2*N294*B329)*IF(Inputs!$B$39="pvp",1,(1+(Inputs!$B$22+Skills!P2+B323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
      <c r="A295">
        <f>Skills!A3</f>
        <v/>
      </c>
      <c r="B295">
        <f>Skills!B3</f>
        <v/>
      </c>
      <c r="C295">
        <f>Inputs!$B$3&gt;=15</f>
        <v/>
      </c>
      <c r="D295">
        <f>IF(Skills!C3=1,60+Inputs!$B$26+Inputs!$B$30,IF(Skills!C3=2,90+Inputs!$B$27+Inputs!$B$30,IF(Skills!C3=3,120+Inputs!$B$28+Inputs!$B$30,MAX(0,(Inputs!$B$3-100)*3)+Inputs!$B$29+Inputs!$B$30)))</f>
        <v/>
      </c>
      <c r="E295">
        <f>INDEX(FactorTable!$B$2:$Y$301, MATCH(ROUND(MIN(300,MAX(1,D295)),0), FactorTable!$A$2:$A$301,0), Skills!L3+1)</f>
        <v/>
      </c>
      <c r="F295">
        <f>IF(Skills!M3=TRUE,(Skills!K3/10)*(E295/1000),Skills!K3/10)+Skills!N3</f>
        <v/>
      </c>
      <c r="G295">
        <f>Calc!G3</f>
        <v/>
      </c>
      <c r="H295">
        <f>Calc!H3</f>
        <v/>
      </c>
      <c r="I295">
        <f>IF(Skills!T3&lt;&gt;"",1+(Skills!T3/10)*($Z$3/1000)/100,1)</f>
        <v/>
      </c>
      <c r="J295" t="inlineStr"/>
      <c r="K295" t="inlineStr"/>
      <c r="L295" t="inlineStr"/>
      <c r="M295" t="inlineStr"/>
      <c r="N295" t="inlineStr"/>
      <c r="O295">
        <f>(1-Summary!$B$11)*S295+Summary!$B$11*U295</f>
        <v/>
      </c>
      <c r="P295">
        <f>IF(B334=0,0,O295/B334)</f>
        <v/>
      </c>
      <c r="Q295">
        <f>IFERROR(1/(IF(Inputs!$B$39="pvp",15,MAX(0.1,Skills!D3-IF(Skills!E3=TRUE,Inputs!$B$33,0)))*(1-IF(AND(ArtifactsInput!$M$27,Inputs!$B$4="Chapter Hunt"),CHOOSE(ArtifactsInput!$N$27+1,20,24,28,32,36,40),0)/100)),0)</f>
        <v/>
      </c>
      <c r="R295">
        <f>IF(AND(Inputs!$B$39&lt;&gt;"pvp",Inputs!$B$44&gt;0),IF(Inputs!$B$44&lt;=0,0,(INT(Inputs!$B$44/(IF(Inputs!$B$39="pvp",15,MAX(0.1,Skills!D3-IF(Skills!E3=TRUE,Inputs!$B$33,0)))*(1-IF(AND(ArtifactsInput!$M$27,Inputs!$B$4="Chapter Hunt"),CHOOSE(ArtifactsInput!$N$27+1,20,24,28,32,36,40),0)/100)))+1)),0)</f>
        <v/>
      </c>
      <c r="S295" t="n">
        <v>0</v>
      </c>
      <c r="T295">
        <f>INDEX(FactorTable!$B$2:$Y$301, MATCH(ROUND(MIN(300,MAX(1,T294)),0), FactorTable!$A$2:$A$301,0), 22)</f>
        <v/>
      </c>
      <c r="U295" t="n">
        <v>0</v>
      </c>
    </row>
    <row r="296">
      <c r="A296">
        <f>Skills!A4</f>
        <v/>
      </c>
      <c r="B296">
        <f>Skills!B4</f>
        <v/>
      </c>
      <c r="C296">
        <f>Inputs!$B$3&gt;=38</f>
        <v/>
      </c>
      <c r="D296">
        <f>IF(Skills!C4=1,60+Inputs!$B$26+Inputs!$B$30,IF(Skills!C4=2,90+Inputs!$B$27+Inputs!$B$30,IF(Skills!C4=3,120+Inputs!$B$28+Inputs!$B$30,MAX(0,(Inputs!$B$3-100)*3)+Inputs!$B$29+Inputs!$B$30)))</f>
        <v/>
      </c>
      <c r="E296">
        <f>INDEX(FactorTable!$B$2:$Y$301, MATCH(ROUND(MIN(300,MAX(1,D296)),0), FactorTable!$A$2:$A$301,0), Skills!L4+1)</f>
        <v/>
      </c>
      <c r="F296">
        <f>IF(Skills!M4=TRUE,(Skills!K4/10)*(E296/1000),Skills!K4/10)+Skills!N4</f>
        <v/>
      </c>
      <c r="G296">
        <f>Calc!G4</f>
        <v/>
      </c>
      <c r="H296">
        <f>Calc!H4</f>
        <v/>
      </c>
      <c r="I296">
        <f>IF(Skills!T4&lt;&gt;"",1+(Skills!T4/10)*($Z$3/1000)/100,1)</f>
        <v/>
      </c>
      <c r="J296" t="inlineStr"/>
      <c r="K296" t="inlineStr"/>
      <c r="L296" t="inlineStr"/>
      <c r="M296" t="inlineStr"/>
      <c r="N296" t="inlineStr"/>
      <c r="O296">
        <f>(1-Summary!$B$11)*S296+Summary!$B$11*U296</f>
        <v/>
      </c>
      <c r="P296">
        <f>IF(B334=0,0,O296/B334)</f>
        <v/>
      </c>
      <c r="Q296">
        <f>IFERROR(1/(IF(Inputs!$B$39="pvp",15,MAX(0.1,Skills!D4-IF(Skills!E4=TRUE,Inputs!$B$33,0)))*(1-IF(AND(ArtifactsInput!$M$27,Inputs!$B$4="Chapter Hunt"),CHOOSE(ArtifactsInput!$N$27+1,20,24,28,32,36,40),0)/100)),0)</f>
        <v/>
      </c>
      <c r="R296">
        <f>IF(AND(Inputs!$B$39&lt;&gt;"pvp",Inputs!$B$44&gt;0),IF(Inputs!$B$44&lt;=0,0,(INT(Inputs!$B$44/(IF(Inputs!$B$39="pvp",15,MAX(0.1,Skills!D4-IF(Skills!E4=TRUE,Inputs!$B$33,0)))*(1-IF(AND(ArtifactsInput!$M$27,Inputs!$B$4="Chapter Hunt"),CHOOSE(ArtifactsInput!$N$27+1,20,24,28,32,36,40),0)/100)))+1)),0)</f>
        <v/>
      </c>
      <c r="S296" t="n">
        <v>0</v>
      </c>
      <c r="T296">
        <f>290*T295/1000</f>
        <v/>
      </c>
      <c r="U296" t="n">
        <v>0</v>
      </c>
    </row>
    <row r="297">
      <c r="A297">
        <f>Skills!A5</f>
        <v/>
      </c>
      <c r="B297">
        <f>Skills!B5</f>
        <v/>
      </c>
      <c r="C297">
        <f>Inputs!$B$3&gt;=40</f>
        <v/>
      </c>
      <c r="D297">
        <f>IF(Skills!C5=1,60+Inputs!$B$26+Inputs!$B$30,IF(Skills!C5=2,90+Inputs!$B$27+Inputs!$B$30,IF(Skills!C5=3,120+Inputs!$B$28+Inputs!$B$30,MAX(0,(Inputs!$B$3-100)*3)+Inputs!$B$29+Inputs!$B$30)))</f>
        <v/>
      </c>
      <c r="E297">
        <f>INDEX(FactorTable!$B$2:$Y$301, MATCH(ROUND(MIN(300,MAX(1,D297)),0), FactorTable!$A$2:$A$301,0), Skills!L5+1)</f>
        <v/>
      </c>
      <c r="F297">
        <f>IF(Skills!M5=TRUE,(Skills!K5/10)*(E297/1000),Skills!K5/10)+Skills!N5</f>
        <v/>
      </c>
      <c r="G297">
        <f>Calc!G5</f>
        <v/>
      </c>
      <c r="H297">
        <f>Calc!H5</f>
        <v/>
      </c>
      <c r="I297">
        <f>IF(Skills!T5&lt;&gt;"",1+(Skills!T5/10)*($Z$3/1000)/100,1)</f>
        <v/>
      </c>
      <c r="J297" t="inlineStr"/>
      <c r="K297" t="inlineStr"/>
      <c r="L297" t="inlineStr"/>
      <c r="M297" t="inlineStr"/>
      <c r="N297" t="inlineStr"/>
      <c r="O297">
        <f>(1-Summary!$B$11)*S297+Summary!$B$11*U297</f>
        <v/>
      </c>
      <c r="P297">
        <f>IF(B334=0,0,O297/B334)</f>
        <v/>
      </c>
      <c r="Q297">
        <f>IFERROR(1/(IF(Inputs!$B$39="pvp",15,MAX(0.1,Skills!D5-IF(Skills!E5=TRUE,Inputs!$B$33,0)))*(1-IF(AND(ArtifactsInput!$M$27,Inputs!$B$4="Chapter Hunt"),CHOOSE(ArtifactsInput!$N$27+1,20,24,28,32,36,40),0)/100)),0)</f>
        <v/>
      </c>
      <c r="R297">
        <f>IF(AND(Inputs!$B$39&lt;&gt;"pvp",Inputs!$B$44&gt;0),IF(Inputs!$B$44&lt;=0,0,(INT(Inputs!$B$44/(IF(Inputs!$B$39="pvp",15,MAX(0.1,Skills!D5-IF(Skills!E5=TRUE,Inputs!$B$33,0)))*(1-IF(AND(ArtifactsInput!$M$27,Inputs!$B$4="Chapter Hunt"),CHOOSE(ArtifactsInput!$N$27+1,20,24,28,32,36,40),0)/100)))+1)),0)</f>
        <v/>
      </c>
      <c r="S297" t="n">
        <v>0</v>
      </c>
      <c r="U297" t="n">
        <v>0</v>
      </c>
    </row>
    <row r="298">
      <c r="A298">
        <f>Skills!A6</f>
        <v/>
      </c>
      <c r="B298">
        <f>Skills!B6</f>
        <v/>
      </c>
      <c r="C298">
        <f>Inputs!$B$3&gt;=103</f>
        <v/>
      </c>
      <c r="D298">
        <f>IF(Skills!C6=1,60+Inputs!$B$26+Inputs!$B$30,IF(Skills!C6=2,90+Inputs!$B$27+Inputs!$B$30,IF(Skills!C6=3,120+Inputs!$B$28+Inputs!$B$30,MAX(0,(Inputs!$B$3-100)*3)+Inputs!$B$29+Inputs!$B$30)))</f>
        <v/>
      </c>
      <c r="E298">
        <f>INDEX(FactorTable!$B$2:$Y$301, MATCH(ROUND(MIN(300,MAX(1,D298)),0), FactorTable!$A$2:$A$301,0), Skills!L6+1)</f>
        <v/>
      </c>
      <c r="F298">
        <f>IF(Skills!M6=TRUE,(Skills!K6/10)*(E298/1000),Skills!K6/10)+Skills!N6</f>
        <v/>
      </c>
      <c r="G298">
        <f>Calc!G6</f>
        <v/>
      </c>
      <c r="H298">
        <f>Calc!H6</f>
        <v/>
      </c>
      <c r="I298">
        <f>IF(Skills!T6&lt;&gt;"",1+(Skills!T6/10)*($Z$3/1000)/100,1)</f>
        <v/>
      </c>
      <c r="J298">
        <f>((Inputs!$B$6*(1+Inputs!$B$7/100))+(((Inputs!$B$13*(1+Inputs!$B$14/100))-(Inputs!$B$13*(1+Inputs!$B$14/100)))+0.25*(Inputs!$B$15-Inputs!$B$15))*(1+Inputs!$B$7/100))*(F298/100)</f>
        <v/>
      </c>
      <c r="K298">
        <f>J298*(1+(((Inputs!$B$13+IF(Inputs!$B$3&gt;=35,(10*INDEX(FactorTable!$B$2:$Y$301,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6="TRIUMPH_FEATHER",IF(C308=TRUE,F308,0),0)/100)*(1+IF(C319=TRUE,F319,0)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298)</f>
        <v/>
      </c>
      <c r="L298">
        <f>K298*(MIN(Inputs!$B$23+(F314-Calc!F22),(Inputs!$B$24+IF(ArtifactsInput!$M$15,CHOOSE(ArtifactsInput!$N$15+1,25,30,35,40,45,50)/100*(Inputs!$B$12-Inputs!$B$12),0)))/100+(Inputs!$B$24+IF(ArtifactsInput!$M$15,CHOOSE(ArtifactsInput!$N$15+1,25,30,35,40,45,50)/100*(Inputs!$B$12-Inputs!$B$12),0))/100)/2</f>
        <v/>
      </c>
      <c r="M298">
        <f>L298*(1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
        <f>L298*(1-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
        <f>(1-Summary!$B$11)*S298+Summary!$B$11*U298</f>
        <v/>
      </c>
      <c r="P298">
        <f>IF(B334=0,0,O298/B334)</f>
        <v/>
      </c>
      <c r="Q298">
        <f>IFERROR(1/(IF(Inputs!$B$39="pvp",15,MAX(0.1,Skills!D6-IF(Skills!E6=TRUE,Inputs!$B$33,0)))*(1-IF(AND(ArtifactsInput!$M$27,Inputs!$B$4="Chapter Hunt"),CHOOSE(ArtifactsInput!$N$27+1,20,24,28,32,36,40),0)/100)),0)</f>
        <v/>
      </c>
      <c r="R298">
        <f>IF(AND(Inputs!$B$39&lt;&gt;"pvp",Inputs!$B$44&gt;0),IF(MAX(0,Inputs!$B$44-B331)&lt;=0,0,(INT(MAX(0,Inputs!$B$44-B331)/(IF(Inputs!$B$39="pvp",15,MAX(0.1,Skills!D6-IF(Skills!E6=TRUE,Inputs!$B$33,0)))*(1-IF(AND(ArtifactsInput!$M$27,Inputs!$B$4="Chapter Hunt"),CHOOSE(ArtifactsInput!$N$27+1,20,24,28,32,36,40),0)/100)))+1)),0)</f>
        <v/>
      </c>
      <c r="S298">
        <f>IF(C298,(H298*N298*IF(AND(Inputs!$B$39&lt;&gt;"pvp",Inputs!$B$44&gt;0),((Skills!F6*((R298-1)*IF(Skills!G6&gt;0,Skills!H6/Skills!G6,1)+IF(Skills!G6&gt;0,MIN(Skills!H6,MAX(0,MAX(0,Inputs!$B$44-B331)-((R298-1)*(IF(Inputs!$B$39="pvp",15,MAX(0.1,Skills!D6-IF(Skills!E6=TRUE,Inputs!$B$33,0)))*(1-IF(AND(ArtifactsInput!$M$27,Inputs!$B$4="Chapter Hunt"),CHOOSE(ArtifactsInput!$N$27+1,20,24,28,32,36,40),0)/100)))))/Skills!G6,1)))/Inputs!$B$44),G298*Q298))*IF(Inputs!$B$39="pvp",1,1+(Inputs!$B$21+Skills!O6+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
        <f>IF(C298,(H298*N298*IF(AND(Inputs!$B$39&lt;&gt;"pvp",Inputs!$B$44&gt;0),((Skills!F6*((R298-1)*IF(Skills!G6&gt;0,Skills!H6/Skills!G6,1)+IF(Skills!G6&gt;0,MIN(Skills!H6,MAX(0,MAX(0,Inputs!$B$44-B331)-((R298-1)*(IF(Inputs!$B$39="pvp",15,MAX(0.1,Skills!D6-IF(Skills!E6=TRUE,Inputs!$B$33,0)))*(1-IF(AND(ArtifactsInput!$M$27,Inputs!$B$4="Chapter Hunt"),CHOOSE(ArtifactsInput!$N$27+1,20,24,28,32,36,40),0)/100)))))/Skills!G6,1)))/Inputs!$B$44),G298*Q298))*IF(Inputs!$B$39="pvp",1,(1+(Inputs!$B$22+Skills!P6+B323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
      <c r="A299">
        <f>Skills!A7</f>
        <v/>
      </c>
      <c r="B299">
        <f>Skills!B7</f>
        <v/>
      </c>
      <c r="C299">
        <f>Inputs!$B$3&gt;=122</f>
        <v/>
      </c>
      <c r="D299">
        <f>IF(Skills!C7=1,60+Inputs!$B$26+Inputs!$B$30,IF(Skills!C7=2,90+Inputs!$B$27+Inputs!$B$30,IF(Skills!C7=3,120+Inputs!$B$28+Inputs!$B$30,MAX(0,(Inputs!$B$3-100)*3)+Inputs!$B$29+Inputs!$B$30)))</f>
        <v/>
      </c>
      <c r="E299">
        <f>INDEX(FactorTable!$B$2:$Y$301, MATCH(ROUND(MIN(300,MAX(1,D299)),0), FactorTable!$A$2:$A$301,0), Skills!L7+1)</f>
        <v/>
      </c>
      <c r="F299">
        <f>IF(Skills!M7=TRUE,(Skills!K7/10)*(E299/1000),Skills!K7/10)+Skills!N7</f>
        <v/>
      </c>
      <c r="G299">
        <f>Calc!G7</f>
        <v/>
      </c>
      <c r="H299">
        <f>Calc!H7</f>
        <v/>
      </c>
      <c r="I299">
        <f>IF(Skills!T7&lt;&gt;"",1+(Skills!T7/10)*($Z$3/1000)/100,1)</f>
        <v/>
      </c>
      <c r="J299">
        <f>((Inputs!$B$6*(1+Inputs!$B$7/100))+(((Inputs!$B$13*(1+Inputs!$B$14/100))-(Inputs!$B$13*(1+Inputs!$B$14/100)))+0.25*(Inputs!$B$15-Inputs!$B$15))*(1+Inputs!$B$7/100))*(F299/100)</f>
        <v/>
      </c>
      <c r="K299">
        <f>J299*(1+(((Inputs!$B$13+IF(Inputs!$B$3&gt;=35,(10*INDEX(FactorTable!$B$2:$Y$301,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7="TRIUMPH_FEATHER",IF(C308=TRUE,F308,0),0)/100)*(1+IF(C319=TRUE,F319,0)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299)</f>
        <v/>
      </c>
      <c r="L299">
        <f>K299*(MIN(Inputs!$B$23+(F314-Calc!F22),(Inputs!$B$24+IF(ArtifactsInput!$M$15,CHOOSE(ArtifactsInput!$N$15+1,25,30,35,40,45,50)/100*(Inputs!$B$12-Inputs!$B$12),0)))/100+(Inputs!$B$24+IF(ArtifactsInput!$M$15,CHOOSE(ArtifactsInput!$N$15+1,25,30,35,40,45,50)/100*(Inputs!$B$12-Inputs!$B$12),0))/100)/2</f>
        <v/>
      </c>
      <c r="M299">
        <f>L299*(1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IF(B334=0,0,O299/B334)</f>
        <v/>
      </c>
      <c r="Q299">
        <f>IFERROR(1/(IF(Inputs!$B$39="pvp",15,MAX(0.1,Skills!D7-IF(Skills!E6=TRUE,Inputs!$B$33,0)))*(1-IF(AND(ArtifactsInput!$M$27,Inputs!$B$4="Chapter Hunt"),CHOOSE(ArtifactsInput!$N$27+1,20,24,28,32,36,40),0)/100)),0)</f>
        <v/>
      </c>
      <c r="R299">
        <f>IF(AND(Inputs!$B$39&lt;&gt;"pvp",Inputs!$B$44&gt;0),IF(MAX(0,Inputs!$B$44-B331)&lt;=0,0,(INT(MAX(0,Inputs!$B$44-B331)/(IF(Inputs!$B$39="pvp",15,MAX(0.1,Skills!D7-IF(Skills!E6=TRUE,Inputs!$B$33,0)))*(1-IF(AND(ArtifactsInput!$M$27,Inputs!$B$4="Chapter Hunt"),CHOOSE(ArtifactsInput!$N$27+1,20,24,28,32,36,40),0)/100)))+1)),0)</f>
        <v/>
      </c>
      <c r="S299">
        <f>IF(C299,H299*N299*IF(AND(Inputs!$B$39&lt;&gt;"pvp",Inputs!$B$44&gt;0),((Skills!F7*((R299-1)*IF(Skills!G7&gt;0,Skills!H7/Skills!G7,1)+IF(Skills!G7&gt;0,MIN(Skills!H7,MAX(0,MAX(0,Inputs!$B$44-B331)-((R299-1)*(IF(Inputs!$B$39="pvp",15,MAX(0.1,Skills!D7-IF(Skills!E6=TRUE,Inputs!$B$33,0)))*(1-IF(AND(ArtifactsInput!$M$27,Inputs!$B$4="Chapter Hunt"),CHOOSE(ArtifactsInput!$N$27+1,20,24,28,32,36,40),0)/100)))))/Skills!G7,1)))/Inputs!$B$44),G299*Q299)*IF(Inputs!$B$39="pvp",1,1+(Inputs!$B$21+Skills!O7+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 t="n">
        <v>0</v>
      </c>
    </row>
    <row r="300">
      <c r="A300">
        <f>Skills!A8</f>
        <v/>
      </c>
      <c r="B300">
        <f>Skills!B8</f>
        <v/>
      </c>
      <c r="C300">
        <f>Inputs!$B$3&gt;=105</f>
        <v/>
      </c>
      <c r="D300">
        <f>IF(Skills!C8=1,60+Inputs!$B$26+Inputs!$B$30,IF(Skills!C8=2,90+Inputs!$B$27+Inputs!$B$30,IF(Skills!C8=3,120+Inputs!$B$28+Inputs!$B$30,MAX(0,(Inputs!$B$3-100)*3)+Inputs!$B$29+Inputs!$B$30)))</f>
        <v/>
      </c>
      <c r="E300">
        <f>INDEX(FactorTable!$B$2:$Y$301, MATCH(ROUND(MIN(300,MAX(1,D300)),0), FactorTable!$A$2:$A$301,0), Skills!L8+1)</f>
        <v/>
      </c>
      <c r="F300">
        <f>IF(Skills!M8=TRUE,(Skills!K8/10)*(E300/1000),Skills!K8/10)+Skills!N8</f>
        <v/>
      </c>
      <c r="G300">
        <f>Calc!G8</f>
        <v/>
      </c>
      <c r="H300">
        <f>Calc!H8</f>
        <v/>
      </c>
      <c r="I300">
        <f>IF(Skills!T8&lt;&gt;"",1+(Skills!T8/10)*($Z$3/1000)/100,1)</f>
        <v/>
      </c>
      <c r="J300">
        <f>((Inputs!$B$6*(1+Inputs!$B$7/100))+(((Inputs!$B$13*(1+Inputs!$B$14/100))-(Inputs!$B$13*(1+Inputs!$B$14/100)))+0.25*(Inputs!$B$15-Inputs!$B$15))*(1+Inputs!$B$7/100))*(F300/100)</f>
        <v/>
      </c>
      <c r="K300">
        <f>J300*(1+(((Inputs!$B$13+IF(Inputs!$B$3&gt;=35,(10*INDEX(FactorTable!$B$2:$Y$301,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8="TRIUMPH_FEATHER",IF(C308=TRUE,F308,0),0)/100)*(1+IF(C319=TRUE,F319,0)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300)</f>
        <v/>
      </c>
      <c r="L300">
        <f>K300*(MIN(Inputs!$B$23+(F314-Calc!F22),(Inputs!$B$24+IF(ArtifactsInput!$M$15,CHOOSE(ArtifactsInput!$N$15+1,25,30,35,40,45,50)/100*(Inputs!$B$12-Inputs!$B$12),0)))/100+(Inputs!$B$24+IF(ArtifactsInput!$M$15,CHOOSE(ArtifactsInput!$N$15+1,25,30,35,40,45,50)/100*(Inputs!$B$12-Inputs!$B$12),0))/100)/2</f>
        <v/>
      </c>
      <c r="M300">
        <f>L300*(1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0">
        <f>L300*(1-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300*(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0">
        <f>(1-Summary!$B$11)*S300+Summary!$B$11*U300</f>
        <v/>
      </c>
      <c r="P300">
        <f>IF(B334=0,0,O300/B334)</f>
        <v/>
      </c>
      <c r="Q300">
        <f>IFERROR(1/(IF(Inputs!$B$39="pvp",15,MAX(0.1,Skills!D8-IF(Skills!E8=TRUE,Inputs!$B$33,0)))*(1-IF(AND(ArtifactsInput!$M$27,Inputs!$B$4="Chapter Hunt"),CHOOSE(ArtifactsInput!$N$27+1,20,24,28,32,36,40),0)/100)),0)</f>
        <v/>
      </c>
      <c r="R300">
        <f>IF(AND(Inputs!$B$39&lt;&gt;"pvp",Inputs!$B$44&gt;0),IF(MAX(0,Inputs!$B$44-B331)&lt;=0,0,(INT(MAX(0,Inputs!$B$44-B331)/(IF(Inputs!$B$39="pvp",15,MAX(0.1,Skills!D8-IF(Skills!E8=TRUE,Inputs!$B$33,0)))*(1-IF(AND(ArtifactsInput!$M$27,Inputs!$B$4="Chapter Hunt"),CHOOSE(ArtifactsInput!$N$27+1,20,24,28,32,36,40),0)/100)))+1)),0)</f>
        <v/>
      </c>
      <c r="S300">
        <f>IF(C300,(H300*N300*IF(AND(Inputs!$B$39&lt;&gt;"pvp",Inputs!$B$44&gt;0),((Skills!F8*((R300-1)*IF(Skills!G8&gt;0,Skills!H8/Skills!G8,1)+IF(Skills!G8&gt;0,MIN(Skills!H8,MAX(0,MAX(0,Inputs!$B$44-B331)-((R300-1)*(IF(Inputs!$B$39="pvp",15,MAX(0.1,Skills!D8-IF(Skills!E8=TRUE,Inputs!$B$33,0)))*(1-IF(AND(ArtifactsInput!$M$27,Inputs!$B$4="Chapter Hunt"),CHOOSE(ArtifactsInput!$N$27+1,20,24,28,32,36,40),0)/100)))))/Skills!G8,1)))/Inputs!$B$44),G300*Q300))*IF(Inputs!$B$39="pvp",1,1+(Inputs!$B$21+Skills!O8+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300*(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300*(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0">
        <f>IF(C300,(H300*N300*IF(AND(Inputs!$B$39&lt;&gt;"pvp",Inputs!$B$44&gt;0),((Skills!F8*((R300-1)*IF(Skills!G8&gt;0,Skills!H8/Skills!G8,1)+IF(Skills!G8&gt;0,MIN(Skills!H8,MAX(0,MAX(0,Inputs!$B$44-B331)-((R300-1)*(IF(Inputs!$B$39="pvp",15,MAX(0.1,Skills!D8-IF(Skills!E8=TRUE,Inputs!$B$33,0)))*(1-IF(AND(ArtifactsInput!$M$27,Inputs!$B$4="Chapter Hunt"),CHOOSE(ArtifactsInput!$N$27+1,20,24,28,32,36,40),0)/100)))))/Skills!G8,1)))/Inputs!$B$44),G300*Q300))*IF(Inputs!$B$39="pvp",1,(1+(Inputs!$B$22+Skills!P8+B323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
      <c r="A301">
        <f>Skills!A9</f>
        <v/>
      </c>
      <c r="B301">
        <f>Skills!B9</f>
        <v/>
      </c>
      <c r="C301">
        <f>Inputs!$B$3&gt;=115</f>
        <v/>
      </c>
      <c r="D301">
        <f>IF(Skills!C9=1,60+Inputs!$B$26+Inputs!$B$30,IF(Skills!C9=2,90+Inputs!$B$27+Inputs!$B$30,IF(Skills!C9=3,120+Inputs!$B$28+Inputs!$B$30,MAX(0,(Inputs!$B$3-100)*3)+Inputs!$B$29+Inputs!$B$30)))</f>
        <v/>
      </c>
      <c r="E301">
        <f>INDEX(FactorTable!$B$2:$Y$301, MATCH(ROUND(MIN(300,MAX(1,D301)),0), FactorTable!$A$2:$A$301,0), Skills!L9+1)</f>
        <v/>
      </c>
      <c r="F301">
        <f>IF(Skills!M9=TRUE,(Skills!K9/10)*(E301/1000),Skills!K9/10)+Skills!N9</f>
        <v/>
      </c>
      <c r="G301">
        <f>Calc!G9</f>
        <v/>
      </c>
      <c r="H301">
        <f>Calc!H9</f>
        <v/>
      </c>
      <c r="I301">
        <f>IF(Skills!T9&lt;&gt;"",1+(Skills!T9/10)*($Z$3/1000)/100,1)</f>
        <v/>
      </c>
      <c r="J301">
        <f>((Inputs!$B$6*(1+Inputs!$B$7/100))+(((Inputs!$B$13*(1+Inputs!$B$14/100))-(Inputs!$B$13*(1+Inputs!$B$14/100)))+0.25*(Inputs!$B$15-Inputs!$B$15))*(1+Inputs!$B$7/100))*(F301/100)</f>
        <v/>
      </c>
      <c r="K301">
        <f>J301*(1+(((Inputs!$B$13+IF(Inputs!$B$3&gt;=35,(10*INDEX(FactorTable!$B$2:$Y$301,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9="TRIUMPH_FEATHER",IF(C308=TRUE,F308,0),0)/100)*(1+IF(C319=TRUE,F319,0)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301)</f>
        <v/>
      </c>
      <c r="L301">
        <f>K301*(MIN(Inputs!$B$23+(F314-Calc!F22),(Inputs!$B$24+IF(ArtifactsInput!$M$15,CHOOSE(ArtifactsInput!$N$15+1,25,30,35,40,45,50)/100*(Inputs!$B$12-Inputs!$B$12),0)))/100+(Inputs!$B$24+IF(ArtifactsInput!$M$15,CHOOSE(ArtifactsInput!$N$15+1,25,30,35,40,45,50)/100*(Inputs!$B$12-Inputs!$B$12),0))/100)/2</f>
        <v/>
      </c>
      <c r="M301">
        <f>L301*(1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
        <f>L301*(1-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
        <f>(1-Summary!$B$11)*S301+Summary!$B$11*U301</f>
        <v/>
      </c>
      <c r="P301">
        <f>IF(B334=0,0,O301/B334)</f>
        <v/>
      </c>
      <c r="Q301">
        <f>IFERROR(1/(IF(Inputs!$B$39="pvp",15,MAX(0.1,Skills!D9-IF(Skills!E9=TRUE,Inputs!$B$33,0)))*(1-IF(AND(ArtifactsInput!$M$27,Inputs!$B$4="Chapter Hunt"),CHOOSE(ArtifactsInput!$N$27+1,20,24,28,32,36,40),0)/100)),0)</f>
        <v/>
      </c>
      <c r="R301">
        <f>IF(AND(Inputs!$B$39&lt;&gt;"pvp",Inputs!$B$44&gt;0),IF(MAX(0,Inputs!$B$44-B331)&lt;=0,0,(INT(MAX(0,Inputs!$B$44-B331)/(IF(Inputs!$B$39="pvp",15,MAX(0.1,Skills!D9-IF(Skills!E9=TRUE,Inputs!$B$33,0)))*(1-IF(AND(ArtifactsInput!$M$27,Inputs!$B$4="Chapter Hunt"),CHOOSE(ArtifactsInput!$N$27+1,20,24,28,32,36,40),0)/100)))+1)),0)</f>
        <v/>
      </c>
      <c r="S301">
        <f>IF(C301,(H301*N301*IF(AND(Inputs!$B$39&lt;&gt;"pvp",Inputs!$B$44&gt;0),((Skills!F9*((R301-1)*IF(Skills!G9&gt;0,Skills!H9/Skills!G9,1)+IF(Skills!G9&gt;0,MIN(Skills!H9,MAX(0,MAX(0,Inputs!$B$44-B331)-((R301-1)*(IF(Inputs!$B$39="pvp",15,MAX(0.1,Skills!D9-IF(Skills!E9=TRUE,Inputs!$B$33,0)))*(1-IF(AND(ArtifactsInput!$M$27,Inputs!$B$4="Chapter Hunt"),CHOOSE(ArtifactsInput!$N$27+1,20,24,28,32,36,40),0)/100)))))/Skills!G9,1)))/Inputs!$B$44),G301*Q301))*IF(Inputs!$B$39="pvp",1,1+(Inputs!$B$21+Skills!O9+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
        <f>IF(C301,(H301*N301*IF(AND(Inputs!$B$39&lt;&gt;"pvp",Inputs!$B$44&gt;0),((Skills!F9*((R301-1)*IF(Skills!G9&gt;0,Skills!H9/Skills!G9,1)+IF(Skills!G9&gt;0,MIN(Skills!H9,MAX(0,MAX(0,Inputs!$B$44-B331)-((R301-1)*(IF(Inputs!$B$39="pvp",15,MAX(0.1,Skills!D9-IF(Skills!E9=TRUE,Inputs!$B$33,0)))*(1-IF(AND(ArtifactsInput!$M$27,Inputs!$B$4="Chapter Hunt"),CHOOSE(ArtifactsInput!$N$27+1,20,24,28,32,36,40),0)/100)))))/Skills!G9,1)))/Inputs!$B$44),G301*Q301))*IF(Inputs!$B$39="pvp",1,(1+(Inputs!$B$22+Skills!P9+B323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
      <c r="A302">
        <f>Skills!A10</f>
        <v/>
      </c>
      <c r="B302">
        <f>Skills!B10</f>
        <v/>
      </c>
      <c r="C302">
        <f>Inputs!$B$3&gt;=66</f>
        <v/>
      </c>
      <c r="D302">
        <f>IF(Skills!C10=1,60+Inputs!$B$26+Inputs!$B$30,IF(Skills!C10=2,90+Inputs!$B$27+Inputs!$B$30,IF(Skills!C10=3,120+Inputs!$B$28+Inputs!$B$30,MAX(0,(Inputs!$B$3-100)*3)+Inputs!$B$29+Inputs!$B$30)))</f>
        <v/>
      </c>
      <c r="E302">
        <f>INDEX(FactorTable!$B$2:$Y$301, MATCH(ROUND(MIN(300,MAX(1,D302)),0), FactorTable!$A$2:$A$301,0), Skills!L10+1)</f>
        <v/>
      </c>
      <c r="F302" t="n">
        <v>0</v>
      </c>
      <c r="G302">
        <f>Calc!G10</f>
        <v/>
      </c>
      <c r="H302">
        <f>Calc!H10</f>
        <v/>
      </c>
      <c r="I302">
        <f>IF(Skills!T10&lt;&gt;"",1+(Skills!T10/10)*($Z$3/1000)/100,1)</f>
        <v/>
      </c>
      <c r="J302" t="inlineStr"/>
      <c r="K302" t="inlineStr"/>
      <c r="L302" t="inlineStr"/>
      <c r="M302" t="inlineStr"/>
      <c r="N302" t="inlineStr"/>
      <c r="O302">
        <f>(1-Summary!$B$11)*S302+Summary!$B$11*U302</f>
        <v/>
      </c>
      <c r="P302">
        <f>IF(B334=0,0,O302/B334)</f>
        <v/>
      </c>
      <c r="Q302">
        <f>IFERROR(1/(IF(Inputs!$B$39="pvp",15,MAX(0.1,Skills!D10-IF(Skills!E10=TRUE,Inputs!$B$33,0)))*(1-IF(AND(ArtifactsInput!$M$27,Inputs!$B$4="Chapter Hunt"),CHOOSE(ArtifactsInput!$N$27+1,20,24,28,32,36,40),0)/100)),0)</f>
        <v/>
      </c>
      <c r="R302">
        <f>IF(AND(Inputs!$B$39&lt;&gt;"pvp",Inputs!$B$44&gt;0),IF(MAX(0,Inputs!$B$44-B331)&lt;=0,0,(INT(MAX(0,Inputs!$B$44-B331)/(IF(Inputs!$B$39="pvp",15,MAX(0.1,Skills!D10-IF(Skills!E10=TRUE,Inputs!$B$33,0)))*(1-IF(AND(ArtifactsInput!$M$27,Inputs!$B$4="Chapter Hunt"),CHOOSE(ArtifactsInput!$N$27+1,20,24,28,32,36,40),0)/100)))+1)),0)</f>
        <v/>
      </c>
      <c r="S302" t="n">
        <v>0</v>
      </c>
      <c r="U302" t="n">
        <v>0</v>
      </c>
    </row>
    <row r="303">
      <c r="A303">
        <f>Skills!A11</f>
        <v/>
      </c>
      <c r="B303">
        <f>Skills!B11</f>
        <v/>
      </c>
      <c r="C303">
        <f>Inputs!$B$3&gt;=69</f>
        <v/>
      </c>
      <c r="D303">
        <f>IF(Skills!C11=1,60+Inputs!$B$26+Inputs!$B$30,IF(Skills!C11=2,90+Inputs!$B$27+Inputs!$B$30,IF(Skills!C11=3,120+Inputs!$B$28+Inputs!$B$30,MAX(0,(Inputs!$B$3-100)*3)+Inputs!$B$29+Inputs!$B$30)))</f>
        <v/>
      </c>
      <c r="E303">
        <f>INDEX(FactorTable!$B$2:$Y$301, MATCH(ROUND(MIN(300,MAX(1,D303)),0), FactorTable!$A$2:$A$301,0), Skills!L11+1)</f>
        <v/>
      </c>
      <c r="F303">
        <f>IF(Skills!M11=TRUE,(Skills!K11/10)*(E303/1000),Skills!K11/10)+Skills!N11</f>
        <v/>
      </c>
      <c r="G303">
        <f>Calc!G11</f>
        <v/>
      </c>
      <c r="H303">
        <f>Calc!H11</f>
        <v/>
      </c>
      <c r="I303">
        <f>IF(Skills!T11&lt;&gt;"",1+(Skills!T11/10)*($Z$3/1000)/100,1)</f>
        <v/>
      </c>
      <c r="J303" t="inlineStr"/>
      <c r="K303" t="inlineStr"/>
      <c r="L303" t="inlineStr"/>
      <c r="M303" t="inlineStr"/>
      <c r="N303" t="inlineStr"/>
      <c r="O303">
        <f>(1-Summary!$B$11)*S303+Summary!$B$11*U303</f>
        <v/>
      </c>
      <c r="P303">
        <f>IF(B334=0,0,O303/B334)</f>
        <v/>
      </c>
      <c r="Q303">
        <f>IFERROR(1/(IF(Inputs!$B$39="pvp",15,MAX(0.1,Skills!D11-IF(Skills!E11=TRUE,Inputs!$B$33,0)))*(1-IF(AND(ArtifactsInput!$M$27,Inputs!$B$4="Chapter Hunt"),CHOOSE(ArtifactsInput!$N$27+1,20,24,28,32,36,40),0)/100)),0)</f>
        <v/>
      </c>
      <c r="R303">
        <f>IF(AND(Inputs!$B$39&lt;&gt;"pvp",Inputs!$B$44&gt;0),IF(Inputs!$B$44&lt;=0,0,(INT(Inputs!$B$44/(IF(Inputs!$B$39="pvp",15,MAX(0.1,Skills!D11-IF(Skills!E11=TRUE,Inputs!$B$33,0)))*(1-IF(AND(ArtifactsInput!$M$27,Inputs!$B$4="Chapter Hunt"),CHOOSE(ArtifactsInput!$N$27+1,20,24,28,32,36,40),0)/100)))+1)),0)</f>
        <v/>
      </c>
      <c r="S303" t="n">
        <v>0</v>
      </c>
      <c r="U303" t="n">
        <v>0</v>
      </c>
    </row>
    <row r="304">
      <c r="A304">
        <f>Skills!A12</f>
        <v/>
      </c>
      <c r="B304">
        <f>Skills!B12</f>
        <v/>
      </c>
      <c r="C304">
        <f>Inputs!$B$3&gt;=72</f>
        <v/>
      </c>
      <c r="D304">
        <f>IF(Skills!C12=1,60+Inputs!$B$26+Inputs!$B$30,IF(Skills!C12=2,90+Inputs!$B$27+Inputs!$B$30,IF(Skills!C12=3,120+Inputs!$B$28+Inputs!$B$30,MAX(0,(Inputs!$B$3-100)*3)+Inputs!$B$29+Inputs!$B$30)))</f>
        <v/>
      </c>
      <c r="E304">
        <f>INDEX(FactorTable!$B$2:$Y$301, MATCH(ROUND(MIN(300,MAX(1,D304)),0), FactorTable!$A$2:$A$301,0), Skills!L12+1)</f>
        <v/>
      </c>
      <c r="F304">
        <f>IF(Skills!M12=TRUE,(Skills!K12/10)*(E304/1000),Skills!K12/10)+Skills!N12</f>
        <v/>
      </c>
      <c r="G304">
        <f>Calc!G12</f>
        <v/>
      </c>
      <c r="H304">
        <f>Calc!H12</f>
        <v/>
      </c>
      <c r="I304">
        <f>IF(Skills!T12&lt;&gt;"",1+(Skills!T12/10)*($Z$3/1000)/100,1)</f>
        <v/>
      </c>
      <c r="J304" t="inlineStr"/>
      <c r="K304" t="inlineStr"/>
      <c r="L304" t="inlineStr"/>
      <c r="M304" t="inlineStr"/>
      <c r="N304" t="inlineStr"/>
      <c r="O304">
        <f>(1-Summary!$B$11)*S304+Summary!$B$11*U304</f>
        <v/>
      </c>
      <c r="P304">
        <f>IF(B334=0,0,O304/B334)</f>
        <v/>
      </c>
      <c r="Q304">
        <f>IFERROR(1/(IF(Inputs!$B$39="pvp",15,MAX(0.1,Skills!D12-IF(Skills!E12=TRUE,Inputs!$B$33,0)))*(1-IF(AND(ArtifactsInput!$M$27,Inputs!$B$4="Chapter Hunt"),CHOOSE(ArtifactsInput!$N$27+1,20,24,28,32,36,40),0)/100)),0)</f>
        <v/>
      </c>
      <c r="R304">
        <f>IF(AND(Inputs!$B$39&lt;&gt;"pvp",Inputs!$B$44&gt;0),IF(MAX(0,Inputs!$B$44-B331)&lt;=0,0,(INT(MAX(0,Inputs!$B$44-B331)/(IF(Inputs!$B$39="pvp",15,MAX(0.1,Skills!D12-IF(Skills!E12=TRUE,Inputs!$B$33,0)))*(1-IF(AND(ArtifactsInput!$M$27,Inputs!$B$4="Chapter Hunt"),CHOOSE(ArtifactsInput!$N$27+1,20,24,28,32,36,40),0)/100)))+1)),0)</f>
        <v/>
      </c>
      <c r="S304" t="n">
        <v>0</v>
      </c>
      <c r="U304" t="n">
        <v>0</v>
      </c>
    </row>
    <row r="305">
      <c r="A305">
        <f>Skills!A13</f>
        <v/>
      </c>
      <c r="B305">
        <f>Skills!B13</f>
        <v/>
      </c>
      <c r="C305">
        <f>Inputs!$B$3&gt;=60</f>
        <v/>
      </c>
      <c r="D305">
        <f>IF(Skills!C13=1,60+Inputs!$B$26+Inputs!$B$30,IF(Skills!C13=2,90+Inputs!$B$27+Inputs!$B$30,IF(Skills!C13=3,120+Inputs!$B$28+Inputs!$B$30,MAX(0,(Inputs!$B$3-100)*3)+Inputs!$B$29+Inputs!$B$30)))</f>
        <v/>
      </c>
      <c r="E305">
        <f>INDEX(FactorTable!$B$2:$Y$301, MATCH(ROUND(MIN(300,MAX(1,D305)),0), FactorTable!$A$2:$A$301,0), Skills!L13+1)</f>
        <v/>
      </c>
      <c r="F305">
        <f>IF(Skills!M13=TRUE,(Skills!K13/10)*(E305/1000),Skills!K13/10)+Skills!N13</f>
        <v/>
      </c>
      <c r="G305">
        <f>Calc!G13</f>
        <v/>
      </c>
      <c r="H305">
        <f>Calc!H13</f>
        <v/>
      </c>
      <c r="I305">
        <f>IF(Skills!T13&lt;&gt;"",1+(Skills!T13/10)*($Z$3/1000)/100,1)</f>
        <v/>
      </c>
      <c r="J305" t="inlineStr"/>
      <c r="K305" t="inlineStr"/>
      <c r="L305" t="inlineStr"/>
      <c r="M305" t="inlineStr"/>
      <c r="N305" t="inlineStr"/>
      <c r="O305">
        <f>(1-Summary!$B$11)*S305+Summary!$B$11*U305</f>
        <v/>
      </c>
      <c r="P305">
        <f>IF(B334=0,0,O305/B334)</f>
        <v/>
      </c>
      <c r="Q305">
        <f>IFERROR(1/(IF(Inputs!$B$39="pvp",15,MAX(0.1,Skills!D13-IF(Skills!E13=TRUE,Inputs!$B$33,0)))*(1-IF(AND(ArtifactsInput!$M$27,Inputs!$B$4="Chapter Hunt"),CHOOSE(ArtifactsInput!$N$27+1,20,24,28,32,36,40),0)/100)),0)</f>
        <v/>
      </c>
      <c r="R305">
        <f>IF(AND(Inputs!$B$39&lt;&gt;"pvp",Inputs!$B$44&gt;0),IF(MAX(0,Inputs!$B$44-B331)&lt;=0,0,(INT(MAX(0,Inputs!$B$44-B331)/(IF(Inputs!$B$39="pvp",15,MAX(0.1,Skills!D13-IF(Skills!E13=TRUE,Inputs!$B$33,0)))*(1-IF(AND(ArtifactsInput!$M$27,Inputs!$B$4="Chapter Hunt"),CHOOSE(ArtifactsInput!$N$27+1,20,24,28,32,36,40),0)/100)))+1)),0)</f>
        <v/>
      </c>
      <c r="S305" t="n">
        <v>0</v>
      </c>
      <c r="U305" t="n">
        <v>0</v>
      </c>
    </row>
    <row r="306">
      <c r="A306">
        <f>Skills!A14</f>
        <v/>
      </c>
      <c r="B306">
        <f>Skills!B14</f>
        <v/>
      </c>
      <c r="C306">
        <f>Inputs!$B$3&gt;=107</f>
        <v/>
      </c>
      <c r="D306">
        <f>IF(Skills!C14=1,60+Inputs!$B$26+Inputs!$B$30,IF(Skills!C14=2,90+Inputs!$B$27+Inputs!$B$30,IF(Skills!C14=3,120+Inputs!$B$28+Inputs!$B$30,MAX(0,(Inputs!$B$3-100)*3)+Inputs!$B$29+Inputs!$B$30)))</f>
        <v/>
      </c>
      <c r="E306">
        <f>INDEX(FactorTable!$B$2:$Y$301, MATCH(ROUND(MIN(300,MAX(1,D306)),0), FactorTable!$A$2:$A$301,0), Skills!L14+1)</f>
        <v/>
      </c>
      <c r="F306">
        <f>IF(Skills!M14=TRUE,(Skills!K14/10)*(E306/1000),Skills!K14/10)+Skills!N14</f>
        <v/>
      </c>
      <c r="G306">
        <f>Calc!G14</f>
        <v/>
      </c>
      <c r="H306">
        <f>Calc!H14</f>
        <v/>
      </c>
      <c r="I306">
        <f>IF(Skills!T14&lt;&gt;"",1+(Skills!T14/10)*($Z$3/1000)/100,1)</f>
        <v/>
      </c>
      <c r="J306" t="inlineStr"/>
      <c r="K306" t="inlineStr"/>
      <c r="L306" t="inlineStr"/>
      <c r="M306" t="inlineStr"/>
      <c r="N306" t="inlineStr"/>
      <c r="O306">
        <f>(1-Summary!$B$11)*S306+Summary!$B$11*U306</f>
        <v/>
      </c>
      <c r="P306">
        <f>IF(B334=0,0,O306/B334)</f>
        <v/>
      </c>
      <c r="Q306">
        <f>IFERROR(1/(IF(Inputs!$B$39="pvp",15,MAX(0.1,Skills!D14-IF(Skills!E14=TRUE,Inputs!$B$33,0)))*(1-IF(AND(ArtifactsInput!$M$27,Inputs!$B$4="Chapter Hunt"),CHOOSE(ArtifactsInput!$N$27+1,20,24,28,32,36,40),0)/100)),0)</f>
        <v/>
      </c>
      <c r="R306">
        <f>IF(AND(Inputs!$B$39&lt;&gt;"pvp",Inputs!$B$44&gt;0),IF(Inputs!$B$44&lt;=0,0,(INT(Inputs!$B$44/(IF(Inputs!$B$39="pvp",15,MAX(0.1,Skills!D14-IF(Skills!E14=TRUE,Inputs!$B$33,0)))*(1-IF(AND(ArtifactsInput!$M$27,Inputs!$B$4="Chapter Hunt"),CHOOSE(ArtifactsInput!$N$27+1,20,24,28,32,36,40),0)/100)))+1)),0)</f>
        <v/>
      </c>
      <c r="S306" t="n">
        <v>0</v>
      </c>
      <c r="U306" t="n">
        <v>0</v>
      </c>
    </row>
    <row r="307">
      <c r="A307">
        <f>Skills!A15</f>
        <v/>
      </c>
      <c r="B307">
        <f>Skills!B15</f>
        <v/>
      </c>
      <c r="C307">
        <f>Inputs!$B$3&gt;=63</f>
        <v/>
      </c>
      <c r="D307">
        <f>IF(Skills!C15=1,60+Inputs!$B$26+Inputs!$B$30,IF(Skills!C15=2,90+Inputs!$B$27+Inputs!$B$30,IF(Skills!C15=3,120+Inputs!$B$28+Inputs!$B$30,MAX(0,(Inputs!$B$3-100)*3)+Inputs!$B$29+Inputs!$B$30)))</f>
        <v/>
      </c>
      <c r="E307">
        <f>INDEX(FactorTable!$B$2:$Y$301, MATCH(ROUND(MIN(300,MAX(1,D307)),0), FactorTable!$A$2:$A$301,0), Skills!L15+1)</f>
        <v/>
      </c>
      <c r="F307">
        <f>IF(Skills!M15=TRUE,(Skills!K15/10)*(E307/1000),Skills!K15/10)+Skills!N15</f>
        <v/>
      </c>
      <c r="G307">
        <f>Calc!G15</f>
        <v/>
      </c>
      <c r="H307">
        <f>Calc!H15</f>
        <v/>
      </c>
      <c r="I307">
        <f>IF(Skills!T15&lt;&gt;"",1+(Skills!T15/10)*($Z$3/1000)/100,1)</f>
        <v/>
      </c>
      <c r="J307">
        <f>((Inputs!$B$6*(1+Inputs!$B$7/100))+(((Inputs!$B$13*(1+Inputs!$B$14/100))-(Inputs!$B$13*(1+Inputs!$B$14/100)))+0.25*(Inputs!$B$15-Inputs!$B$15))*(1+Inputs!$B$7/100))*(F307/100)</f>
        <v/>
      </c>
      <c r="K307">
        <f>J307*(1+(((Inputs!$B$13+IF(Inputs!$B$3&gt;=35,(10*INDEX(FactorTable!$B$2:$Y$301,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15="TRIUMPH_FEATHER",IF(C308=TRUE,F308,0),0)/100)*(1+IF(C319=TRUE,F319,0)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307)</f>
        <v/>
      </c>
      <c r="L307">
        <f>K307*(MIN(Inputs!$B$23+(F314-Calc!F22),(Inputs!$B$24+IF(ArtifactsInput!$M$15,CHOOSE(ArtifactsInput!$N$15+1,25,30,35,40,45,50)/100*(Inputs!$B$12-Inputs!$B$12),0)))/100+(Inputs!$B$24+IF(ArtifactsInput!$M$15,CHOOSE(ArtifactsInput!$N$15+1,25,30,35,40,45,50)/100*(Inputs!$B$12-Inputs!$B$12),0))/100)/2</f>
        <v/>
      </c>
      <c r="M307">
        <f>L307*(1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
        <f>L307*(1-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
        <f>(1-Summary!$B$11)*S307+Summary!$B$11*U307</f>
        <v/>
      </c>
      <c r="P307">
        <f>IF(B334=0,0,O307/B334)</f>
        <v/>
      </c>
      <c r="Q307">
        <f>IFERROR(1/(IF(Inputs!$B$39="pvp",15,MAX(0.1,Skills!D15-IF(Skills!E15=TRUE,Inputs!$B$33,0)))*(1-IF(AND(ArtifactsInput!$M$27,Inputs!$B$4="Chapter Hunt"),CHOOSE(ArtifactsInput!$N$27+1,20,24,28,32,36,40),0)/100)),0)</f>
        <v/>
      </c>
      <c r="R307" t="n">
        <v>0</v>
      </c>
      <c r="S307">
        <f>IF(C307,(Skills!F15*N307*((IF(Inputs!$B$3&gt;=78,25,15)/100*B327*10)/(1+IF(Inputs!$B$3&gt;=78,25,15)/100*B327*10))*(Skills!I15/100*B327)/(1+Skills!G15*Skills!I15/100*B327))*IF(Inputs!$B$39="pvp",1,1+(Inputs!$B$21+Skills!O15+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
        <f>IF(C307,(Skills!F15*N307*((IF(Inputs!$B$3&gt;=78,25,15)/100*B327*10)/(1+IF(Inputs!$B$3&gt;=78,25,15)/100*B327*10))*(Skills!I15/100*B327)/(1+Skills!G15*Skills!I15/100*B327))*IF(Inputs!$B$39="pvp",1,(1+(Inputs!$B$22+Skills!P15+B323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
      <c r="A308">
        <f>Skills!A16</f>
        <v/>
      </c>
      <c r="B308">
        <f>Skills!B16</f>
        <v/>
      </c>
      <c r="C308">
        <f>Inputs!$B$3&gt;=100</f>
        <v/>
      </c>
      <c r="D308">
        <f>IF(Skills!C16=1,60+Inputs!$B$26+Inputs!$B$30,IF(Skills!C16=2,90+Inputs!$B$27+Inputs!$B$30,IF(Skills!C16=3,120+Inputs!$B$28+Inputs!$B$30,MAX(0,(Inputs!$B$3-100)*3)+Inputs!$B$29+Inputs!$B$30)))</f>
        <v/>
      </c>
      <c r="E308">
        <f>INDEX(FactorTable!$B$2:$Y$301, MATCH(ROUND(MIN(300,MAX(1,D308)),0), FactorTable!$A$2:$A$301,0), Skills!L16+1)</f>
        <v/>
      </c>
      <c r="F308">
        <f>IF(Skills!M16=TRUE,(Skills!K16/10)*(E308/1000),Skills!K16/10)+Skills!N16</f>
        <v/>
      </c>
      <c r="G308">
        <f>Calc!G16</f>
        <v/>
      </c>
      <c r="H308">
        <f>Calc!H16</f>
        <v/>
      </c>
      <c r="I308">
        <f>IF(Skills!T16&lt;&gt;"",1+(Skills!T16/10)*($Z$3/1000)/100,1)</f>
        <v/>
      </c>
      <c r="J308" t="inlineStr"/>
      <c r="K308" t="inlineStr"/>
      <c r="L308" t="inlineStr"/>
      <c r="M308" t="inlineStr"/>
      <c r="N308" t="inlineStr"/>
      <c r="O308">
        <f>(1-Summary!$B$11)*S308+Summary!$B$11*U308</f>
        <v/>
      </c>
      <c r="P308">
        <f>IF(B334=0,0,O308/B334)</f>
        <v/>
      </c>
      <c r="Q308">
        <f>IFERROR(1/(IF(Inputs!$B$39="pvp",15,MAX(0.1,Skills!D16-IF(Skills!E16=TRUE,Inputs!$B$33,0)))*(1-IF(AND(ArtifactsInput!$M$27,Inputs!$B$4="Chapter Hunt"),CHOOSE(ArtifactsInput!$N$27+1,20,24,28,32,36,40),0)/100)),0)</f>
        <v/>
      </c>
      <c r="R308" t="n">
        <v>0</v>
      </c>
      <c r="S308" t="n">
        <v>0</v>
      </c>
      <c r="U308" t="n">
        <v>0</v>
      </c>
    </row>
    <row r="309">
      <c r="A309">
        <f>Skills!A17</f>
        <v/>
      </c>
      <c r="B309">
        <f>Skills!B17</f>
        <v/>
      </c>
      <c r="C309">
        <f>Inputs!$B$3&gt;=49</f>
        <v/>
      </c>
      <c r="D309">
        <f>IF(Skills!C17=1,60+Inputs!$B$26+Inputs!$B$30,IF(Skills!C17=2,90+Inputs!$B$27+Inputs!$B$30,IF(Skills!C17=3,120+Inputs!$B$28+Inputs!$B$30,MAX(0,(Inputs!$B$3-100)*3)+Inputs!$B$29+Inputs!$B$30)))</f>
        <v/>
      </c>
      <c r="E309">
        <f>INDEX(FactorTable!$B$2:$Y$301, MATCH(ROUND(MIN(300,MAX(1,D309)),0), FactorTable!$A$2:$A$301,0), Skills!L17+1)</f>
        <v/>
      </c>
      <c r="F309">
        <f>IF(Skills!M17=TRUE,(Skills!K17/10)*(E309/1000),Skills!K17/10)+Skills!N17</f>
        <v/>
      </c>
      <c r="G309">
        <f>Calc!G17</f>
        <v/>
      </c>
      <c r="H309">
        <f>Calc!H17</f>
        <v/>
      </c>
      <c r="I309">
        <f>IF(Skills!T17&lt;&gt;"",1+(Skills!T17/10)*($Z$3/1000)/100,1)</f>
        <v/>
      </c>
      <c r="J309" t="inlineStr"/>
      <c r="K309" t="inlineStr"/>
      <c r="L309" t="inlineStr"/>
      <c r="M309" t="inlineStr"/>
      <c r="N309" t="inlineStr"/>
      <c r="O309">
        <f>(1-Summary!$B$11)*S309+Summary!$B$11*U309</f>
        <v/>
      </c>
      <c r="P309">
        <f>IF(B334=0,0,O309/B334)</f>
        <v/>
      </c>
      <c r="Q309">
        <f>IFERROR(1/(IF(Inputs!$B$39="pvp",15,MAX(0.1,Skills!D17-IF(Skills!E17=TRUE,Inputs!$B$33,0)))*(1-IF(AND(ArtifactsInput!$M$27,Inputs!$B$4="Chapter Hunt"),CHOOSE(ArtifactsInput!$N$27+1,20,24,28,32,36,40),0)/100)),0)</f>
        <v/>
      </c>
      <c r="R309" t="n">
        <v>0</v>
      </c>
      <c r="S309" t="n">
        <v>0</v>
      </c>
      <c r="U309" t="n">
        <v>0</v>
      </c>
    </row>
    <row r="310">
      <c r="A310">
        <f>Skills!A18</f>
        <v/>
      </c>
      <c r="B310">
        <f>Skills!B18</f>
        <v/>
      </c>
      <c r="C310">
        <f>Inputs!$B$3&gt;=75</f>
        <v/>
      </c>
      <c r="D310">
        <f>IF(Skills!C18=1,60+Inputs!$B$26+Inputs!$B$30,IF(Skills!C18=2,90+Inputs!$B$27+Inputs!$B$30,IF(Skills!C18=3,120+Inputs!$B$28+Inputs!$B$30,MAX(0,(Inputs!$B$3-100)*3)+Inputs!$B$29+Inputs!$B$30)))</f>
        <v/>
      </c>
      <c r="E310">
        <f>INDEX(FactorTable!$B$2:$Y$301, MATCH(ROUND(MIN(300,MAX(1,D310)),0), FactorTable!$A$2:$A$301,0), Skills!L18+1)</f>
        <v/>
      </c>
      <c r="F310">
        <f>IF(Skills!M18=TRUE,(Skills!K18/10)*(E310/1000),Skills!K18/10)+Skills!N18</f>
        <v/>
      </c>
      <c r="G310">
        <f>Calc!G18</f>
        <v/>
      </c>
      <c r="H310">
        <f>Calc!H18</f>
        <v/>
      </c>
      <c r="I310">
        <f>IF(Skills!T18&lt;&gt;"",1+(Skills!T18/10)*($Z$3/1000)/100,1)</f>
        <v/>
      </c>
      <c r="J310" t="inlineStr"/>
      <c r="K310" t="inlineStr"/>
      <c r="L310" t="inlineStr"/>
      <c r="M310" t="inlineStr"/>
      <c r="N310" t="inlineStr"/>
      <c r="O310">
        <f>(1-Summary!$B$11)*S310+Summary!$B$11*U310</f>
        <v/>
      </c>
      <c r="P310">
        <f>IF(B334=0,0,O310/B334)</f>
        <v/>
      </c>
      <c r="Q310">
        <f>IFERROR(1/(IF(Inputs!$B$39="pvp",15,MAX(0.1,Skills!D18-IF(Skills!E18=TRUE,Inputs!$B$33,0)))*(1-IF(AND(ArtifactsInput!$M$27,Inputs!$B$4="Chapter Hunt"),CHOOSE(ArtifactsInput!$N$27+1,20,24,28,32,36,40),0)/100)),0)</f>
        <v/>
      </c>
      <c r="R310" t="n">
        <v>0</v>
      </c>
      <c r="S310" t="n">
        <v>0</v>
      </c>
      <c r="U310" t="n">
        <v>0</v>
      </c>
    </row>
    <row r="311">
      <c r="A311">
        <f>Skills!A19</f>
        <v/>
      </c>
      <c r="B311">
        <f>Skills!B19</f>
        <v/>
      </c>
      <c r="C311">
        <f>Inputs!$B$3&gt;=110</f>
        <v/>
      </c>
      <c r="D311">
        <f>IF(Skills!C19=1,60+Inputs!$B$26+Inputs!$B$30,IF(Skills!C19=2,90+Inputs!$B$27+Inputs!$B$30,IF(Skills!C19=3,120+Inputs!$B$28+Inputs!$B$30,MAX(0,(Inputs!$B$3-100)*3)+Inputs!$B$29+Inputs!$B$30)))</f>
        <v/>
      </c>
      <c r="E311">
        <f>INDEX(FactorTable!$B$2:$Y$301, MATCH(ROUND(MIN(300,MAX(1,D311)),0), FactorTable!$A$2:$A$301,0), Skills!L19+1)</f>
        <v/>
      </c>
      <c r="F311">
        <f>(Skills!K19/10)*(E311/1000)*64/45+Skills!N19</f>
        <v/>
      </c>
      <c r="G311">
        <f>Calc!G19</f>
        <v/>
      </c>
      <c r="H311">
        <f>Calc!H19</f>
        <v/>
      </c>
      <c r="I311">
        <f>IF(Skills!T19&lt;&gt;"",1+(Skills!T19/10)*($Z$3/1000)/100,1)</f>
        <v/>
      </c>
      <c r="J311" t="inlineStr"/>
      <c r="K311" t="inlineStr"/>
      <c r="L311" t="inlineStr"/>
      <c r="M311" t="inlineStr"/>
      <c r="N311" t="inlineStr"/>
      <c r="O311">
        <f>(1-Summary!$B$11)*S311+Summary!$B$11*U311</f>
        <v/>
      </c>
      <c r="P311">
        <f>IF(B334=0,0,O311/B334)</f>
        <v/>
      </c>
      <c r="Q311">
        <f>IFERROR(1/(IF(Inputs!$B$39="pvp",15,MAX(0.1,Skills!D19-IF(Skills!E19=TRUE,Inputs!$B$33,0)))*(1-IF(AND(ArtifactsInput!$M$27,Inputs!$B$4="Chapter Hunt"),CHOOSE(ArtifactsInput!$N$27+1,20,24,28,32,36,40),0)/100)),0)</f>
        <v/>
      </c>
      <c r="R311">
        <f>IF(AND(Inputs!$B$39&lt;&gt;"pvp",Inputs!$B$44&gt;0),IF(Inputs!$B$44&lt;=0,0,(INT(Inputs!$B$44/(IF(Inputs!$B$39="pvp",15,MAX(0.1,Skills!D19-IF(Skills!E19=TRUE,Inputs!$B$33,0)))*(1-IF(AND(ArtifactsInput!$M$27,Inputs!$B$4="Chapter Hunt"),CHOOSE(ArtifactsInput!$N$27+1,20,24,28,32,36,40),0)/100)))+1)),0)</f>
        <v/>
      </c>
      <c r="S311" t="n">
        <v>0</v>
      </c>
      <c r="U311" t="n">
        <v>0</v>
      </c>
    </row>
    <row r="312">
      <c r="A312">
        <f>Skills!A20</f>
        <v/>
      </c>
      <c r="B312">
        <f>Skills!B20</f>
        <v/>
      </c>
      <c r="C312">
        <f>Inputs!$B$3&gt;=125</f>
        <v/>
      </c>
      <c r="D312">
        <f>IF(Skills!C20=1,60+Inputs!$B$26+Inputs!$B$30,IF(Skills!C20=2,90+Inputs!$B$27+Inputs!$B$30,IF(Skills!C20=3,120+Inputs!$B$28+Inputs!$B$30,MAX(0,(Inputs!$B$3-100)*3)+Inputs!$B$29+Inputs!$B$30)))</f>
        <v/>
      </c>
      <c r="E312">
        <f>INDEX(FactorTable!$B$2:$Y$301, MATCH(ROUND(MIN(300,MAX(1,D312)),0), FactorTable!$A$2:$A$301,0), Skills!L20+1)</f>
        <v/>
      </c>
      <c r="F312">
        <f>IF(Skills!M20=TRUE,(Skills!K20/10)*(E312/1000),Skills!K20/10)+Skills!N20</f>
        <v/>
      </c>
      <c r="G312">
        <f>Calc!G20</f>
        <v/>
      </c>
      <c r="H312">
        <f>Calc!H20</f>
        <v/>
      </c>
      <c r="I312">
        <f>IF(Skills!T20&lt;&gt;"",1+(Skills!T20/10)*($Z$3/1000)/100,1)</f>
        <v/>
      </c>
      <c r="J312" t="inlineStr"/>
      <c r="K312" t="inlineStr"/>
      <c r="L312" t="inlineStr"/>
      <c r="M312" t="inlineStr"/>
      <c r="N312" t="inlineStr"/>
      <c r="O312">
        <f>(1-Summary!$B$11)*S312+Summary!$B$11*U312</f>
        <v/>
      </c>
      <c r="P312">
        <f>IF(B334=0,0,O312/B334)</f>
        <v/>
      </c>
      <c r="Q312">
        <f>IFERROR(1/(IF(Inputs!$B$39="pvp",15,MAX(0.1,Skills!D20-IF(Skills!E20=TRUE,Inputs!$B$33,0)))*(1-IF(AND(ArtifactsInput!$M$27,Inputs!$B$4="Chapter Hunt"),CHOOSE(ArtifactsInput!$N$27+1,20,24,28,32,36,40),0)/100)),0)</f>
        <v/>
      </c>
      <c r="R312" t="n">
        <v>0</v>
      </c>
      <c r="S312" t="n">
        <v>0</v>
      </c>
      <c r="U312" t="n">
        <v>0</v>
      </c>
    </row>
    <row r="313">
      <c r="A313">
        <f>Skills!A21</f>
        <v/>
      </c>
      <c r="B313">
        <f>Skills!B21</f>
        <v/>
      </c>
      <c r="C313">
        <f>Inputs!$B$3&gt;=33</f>
        <v/>
      </c>
      <c r="D313">
        <f>IF(Skills!C21=1,60+Inputs!$B$26+Inputs!$B$30,IF(Skills!C21=2,90+Inputs!$B$27+Inputs!$B$30,IF(Skills!C21=3,120+Inputs!$B$28+Inputs!$B$30,MAX(0,(Inputs!$B$3-100)*3)+Inputs!$B$29+Inputs!$B$30)))</f>
        <v/>
      </c>
      <c r="E313">
        <f>INDEX(FactorTable!$B$2:$Y$301, MATCH(ROUND(MIN(300,MAX(1,D313)),0), FactorTable!$A$2:$A$301,0), Skills!L21+1)</f>
        <v/>
      </c>
      <c r="F313">
        <f>IF(Skills!M21=TRUE,(Skills!K21/10)*(E313/1000),Skills!K21/10)+Skills!N21</f>
        <v/>
      </c>
      <c r="G313">
        <f>Calc!G21</f>
        <v/>
      </c>
      <c r="H313">
        <f>Calc!H21</f>
        <v/>
      </c>
      <c r="I313">
        <f>IF(Skills!T21&lt;&gt;"",1+(Skills!T21/10)*($Z$3/1000)/100,1)</f>
        <v/>
      </c>
      <c r="J313" t="inlineStr"/>
      <c r="K313" t="inlineStr"/>
      <c r="L313" t="inlineStr"/>
      <c r="M313" t="inlineStr"/>
      <c r="N313" t="inlineStr"/>
      <c r="O313">
        <f>(1-Summary!$B$11)*S313+Summary!$B$11*U313</f>
        <v/>
      </c>
      <c r="P313">
        <f>IF(B334=0,0,O313/B334)</f>
        <v/>
      </c>
      <c r="Q313">
        <f>IFERROR(1/(IF(Inputs!$B$39="pvp",15,MAX(0.1,Skills!D21-IF(Skills!E21=TRUE,Inputs!$B$33,0)))*(1-IF(AND(ArtifactsInput!$M$27,Inputs!$B$4="Chapter Hunt"),CHOOSE(ArtifactsInput!$N$27+1,20,24,28,32,36,40),0)/100)),0)</f>
        <v/>
      </c>
      <c r="R313" t="n">
        <v>0</v>
      </c>
      <c r="S313" t="n">
        <v>0</v>
      </c>
      <c r="U313" t="n">
        <v>0</v>
      </c>
    </row>
    <row r="314">
      <c r="A314">
        <f>Skills!A22</f>
        <v/>
      </c>
      <c r="B314">
        <f>Skills!B22</f>
        <v/>
      </c>
      <c r="C314">
        <f>Inputs!$B$3&gt;=43</f>
        <v/>
      </c>
      <c r="D314">
        <f>IF(Skills!C22=1,60+Inputs!$B$26+Inputs!$B$30,IF(Skills!C22=2,90+Inputs!$B$27+Inputs!$B$30,IF(Skills!C22=3,120+Inputs!$B$28+Inputs!$B$30,MAX(0,(Inputs!$B$3-100)*3)+Inputs!$B$29+Inputs!$B$30)))</f>
        <v/>
      </c>
      <c r="E314">
        <f>INDEX(FactorTable!$B$2:$Y$301, MATCH(ROUND(MIN(300,MAX(1,D314)),0), FactorTable!$A$2:$A$301,0), Skills!L22+1)</f>
        <v/>
      </c>
      <c r="F314">
        <f>IF(Skills!M22=TRUE,(Skills!K22/10)*(E314/1000),Skills!K22/10)+Skills!N22</f>
        <v/>
      </c>
      <c r="G314">
        <f>Calc!G22</f>
        <v/>
      </c>
      <c r="H314">
        <f>Calc!H22</f>
        <v/>
      </c>
      <c r="I314">
        <f>IF(Skills!T22&lt;&gt;"",1+(Skills!T22/10)*($Z$3/1000)/100,1)</f>
        <v/>
      </c>
      <c r="J314" t="inlineStr"/>
      <c r="K314" t="inlineStr"/>
      <c r="L314" t="inlineStr"/>
      <c r="M314" t="inlineStr"/>
      <c r="N314" t="inlineStr"/>
      <c r="O314">
        <f>(1-Summary!$B$11)*S314+Summary!$B$11*U314</f>
        <v/>
      </c>
      <c r="P314">
        <f>IF(B334=0,0,O314/B334)</f>
        <v/>
      </c>
      <c r="Q314">
        <f>IFERROR(1/(IF(Inputs!$B$39="pvp",15,MAX(0.1,Skills!D22-IF(Skills!E22=TRUE,Inputs!$B$33,0)))*(1-IF(AND(ArtifactsInput!$M$27,Inputs!$B$4="Chapter Hunt"),CHOOSE(ArtifactsInput!$N$27+1,20,24,28,32,36,40),0)/100)),0)</f>
        <v/>
      </c>
      <c r="R314" t="n">
        <v>0</v>
      </c>
      <c r="S314" t="n">
        <v>0</v>
      </c>
      <c r="U314" t="n">
        <v>0</v>
      </c>
    </row>
    <row r="315">
      <c r="A315">
        <f>Skills!A23</f>
        <v/>
      </c>
      <c r="B315">
        <f>Skills!B23</f>
        <v/>
      </c>
      <c r="C315">
        <f>Inputs!$B$3&gt;=50</f>
        <v/>
      </c>
      <c r="D315">
        <f>IF(Skills!C23=1,60+Inputs!$B$26+Inputs!$B$30,IF(Skills!C23=2,90+Inputs!$B$27+Inputs!$B$30,IF(Skills!C23=3,120+Inputs!$B$28+Inputs!$B$30,MAX(0,(Inputs!$B$3-100)*3)+Inputs!$B$29+Inputs!$B$30)))</f>
        <v/>
      </c>
      <c r="E315">
        <f>INDEX(FactorTable!$B$2:$Y$301, MATCH(ROUND(MIN(300,MAX(1,D315)),0), FactorTable!$A$2:$A$301,0), Skills!L23+1)</f>
        <v/>
      </c>
      <c r="F315">
        <f>IF(Skills!M23=TRUE,(Skills!K23/10)*(E315/1000),Skills!K23/10)+Skills!N23</f>
        <v/>
      </c>
      <c r="G315">
        <f>Calc!G23</f>
        <v/>
      </c>
      <c r="H315">
        <f>Calc!H23</f>
        <v/>
      </c>
      <c r="I315">
        <f>IF(Skills!T23&lt;&gt;"",1+(Skills!T23/10)*($Z$3/1000)/100,1)</f>
        <v/>
      </c>
      <c r="J315" t="inlineStr"/>
      <c r="K315" t="inlineStr"/>
      <c r="L315" t="inlineStr"/>
      <c r="M315" t="inlineStr"/>
      <c r="N315" t="inlineStr"/>
      <c r="O315">
        <f>(1-Summary!$B$11)*S315+Summary!$B$11*U315</f>
        <v/>
      </c>
      <c r="P315">
        <f>IF(B334=0,0,O315/B334)</f>
        <v/>
      </c>
      <c r="Q315">
        <f>IFERROR(1/(IF(Inputs!$B$39="pvp",15,MAX(0.1,Skills!D23-IF(Skills!E23=TRUE,Inputs!$B$33,0)))*(1-IF(AND(ArtifactsInput!$M$27,Inputs!$B$4="Chapter Hunt"),CHOOSE(ArtifactsInput!$N$27+1,20,24,28,32,36,40),0)/100)),0)</f>
        <v/>
      </c>
      <c r="R315" t="n">
        <v>0</v>
      </c>
      <c r="S315" t="n">
        <v>0</v>
      </c>
      <c r="U315" t="n">
        <v>0</v>
      </c>
    </row>
    <row r="316">
      <c r="A316">
        <f>Skills!A24</f>
        <v/>
      </c>
      <c r="B316">
        <f>Skills!B24</f>
        <v/>
      </c>
      <c r="C316">
        <f>Inputs!$B$3&gt;=74</f>
        <v/>
      </c>
      <c r="D316">
        <f>IF(Skills!C24=1,60+Inputs!$B$26+Inputs!$B$30,IF(Skills!C24=2,90+Inputs!$B$27+Inputs!$B$30,IF(Skills!C24=3,120+Inputs!$B$28+Inputs!$B$30,MAX(0,(Inputs!$B$3-100)*3)+Inputs!$B$29+Inputs!$B$30)))</f>
        <v/>
      </c>
      <c r="E316">
        <f>INDEX(FactorTable!$B$2:$Y$301, MATCH(ROUND(MIN(300,MAX(1,D316)),0), FactorTable!$A$2:$A$301,0), Skills!L24+1)</f>
        <v/>
      </c>
      <c r="F316">
        <f>IF(Skills!M24=TRUE,(Skills!K24/10)*(E316/1000),Skills!K24/10)+Skills!N24</f>
        <v/>
      </c>
      <c r="G316">
        <f>Calc!G24</f>
        <v/>
      </c>
      <c r="H316">
        <f>Calc!H24</f>
        <v/>
      </c>
      <c r="I316">
        <f>IF(Skills!T24&lt;&gt;"",1+(Skills!T24/10)*($Z$3/1000)/100,1)</f>
        <v/>
      </c>
      <c r="J316" t="inlineStr"/>
      <c r="K316" t="inlineStr"/>
      <c r="L316" t="inlineStr"/>
      <c r="M316" t="inlineStr"/>
      <c r="N316" t="inlineStr"/>
      <c r="O316">
        <f>(1-Summary!$B$11)*S316+Summary!$B$11*U316</f>
        <v/>
      </c>
      <c r="P316">
        <f>IF(B334=0,0,O316/B334)</f>
        <v/>
      </c>
      <c r="Q316">
        <f>IFERROR(1/(IF(Inputs!$B$39="pvp",15,MAX(0.1,Skills!D24-IF(Skills!E24=TRUE,Inputs!$B$33,0)))*(1-IF(AND(ArtifactsInput!$M$27,Inputs!$B$4="Chapter Hunt"),CHOOSE(ArtifactsInput!$N$27+1,20,24,28,32,36,40),0)/100)),0)</f>
        <v/>
      </c>
      <c r="R316" t="n">
        <v>0</v>
      </c>
      <c r="S316" t="n">
        <v>0</v>
      </c>
      <c r="U316" t="n">
        <v>0</v>
      </c>
    </row>
    <row r="317">
      <c r="A317">
        <f>Skills!A25</f>
        <v/>
      </c>
      <c r="B317">
        <f>Skills!B25</f>
        <v/>
      </c>
      <c r="C317">
        <f>Inputs!$B$3&gt;=74</f>
        <v/>
      </c>
      <c r="D317">
        <f>IF(Skills!C25=1,60+Inputs!$B$26+Inputs!$B$30,IF(Skills!C25=2,90+Inputs!$B$27+Inputs!$B$30,IF(Skills!C25=3,120+Inputs!$B$28+Inputs!$B$30,MAX(0,(Inputs!$B$3-100)*3)+Inputs!$B$29+Inputs!$B$30)))</f>
        <v/>
      </c>
      <c r="E317">
        <f>INDEX(FactorTable!$B$2:$Y$301, MATCH(ROUND(MIN(300,MAX(1,D317)),0), FactorTable!$A$2:$A$301,0), Skills!L25+1)</f>
        <v/>
      </c>
      <c r="F317">
        <f>IF(Skills!M25=TRUE,(Skills!K25/10)*(E317/1000),Skills!K25/10)+Skills!N25</f>
        <v/>
      </c>
      <c r="G317">
        <f>Calc!G25</f>
        <v/>
      </c>
      <c r="H317">
        <f>Calc!H25</f>
        <v/>
      </c>
      <c r="I317">
        <f>IF(Skills!T25&lt;&gt;"",1+(Skills!T25/10)*($Z$3/1000)/100,1)</f>
        <v/>
      </c>
      <c r="J317" t="inlineStr"/>
      <c r="K317" t="inlineStr"/>
      <c r="L317" t="inlineStr"/>
      <c r="M317" t="inlineStr"/>
      <c r="N317" t="inlineStr"/>
      <c r="O317">
        <f>(1-Summary!$B$11)*S317+Summary!$B$11*U317</f>
        <v/>
      </c>
      <c r="P317">
        <f>IF(B334=0,0,O317/B334)</f>
        <v/>
      </c>
      <c r="Q317">
        <f>IFERROR(1/(IF(Inputs!$B$39="pvp",15,MAX(0.1,Skills!D25-IF(Skills!E25=TRUE,Inputs!$B$33,0)))*(1-IF(AND(ArtifactsInput!$M$27,Inputs!$B$4="Chapter Hunt"),CHOOSE(ArtifactsInput!$N$27+1,20,24,28,32,36,40),0)/100)),0)</f>
        <v/>
      </c>
      <c r="R317" t="n">
        <v>0</v>
      </c>
      <c r="S317" t="n">
        <v>0</v>
      </c>
      <c r="U317" t="n">
        <v>0</v>
      </c>
    </row>
    <row r="318">
      <c r="A318">
        <f>Skills!A26</f>
        <v/>
      </c>
      <c r="B318">
        <f>Skills!B26</f>
        <v/>
      </c>
      <c r="C318">
        <f>Inputs!$B$3&gt;=117</f>
        <v/>
      </c>
      <c r="D318">
        <f>IF(Skills!C26=1,60+Inputs!$B$26+Inputs!$B$30,IF(Skills!C26=2,90+Inputs!$B$27+Inputs!$B$30,IF(Skills!C26=3,120+Inputs!$B$28+Inputs!$B$30,MAX(0,(Inputs!$B$3-100)*3)+Inputs!$B$29+Inputs!$B$30)))</f>
        <v/>
      </c>
      <c r="E318">
        <f>INDEX(FactorTable!$B$2:$Y$301, MATCH(ROUND(MIN(300,MAX(1,D318)),0), FactorTable!$A$2:$A$301,0), Skills!L26+1)</f>
        <v/>
      </c>
      <c r="F318">
        <f>IF(Skills!M26=TRUE,(Skills!K26/10)*(E318/1000),Skills!K26/10)+Skills!N26</f>
        <v/>
      </c>
      <c r="G318">
        <f>Calc!G26</f>
        <v/>
      </c>
      <c r="H318">
        <f>Calc!H26</f>
        <v/>
      </c>
      <c r="I318">
        <f>IF(Skills!T26&lt;&gt;"",1+(Skills!T26/10)*($Z$3/1000)/100,1)</f>
        <v/>
      </c>
      <c r="J318" t="inlineStr"/>
      <c r="K318" t="inlineStr"/>
      <c r="L318" t="inlineStr"/>
      <c r="M318" t="inlineStr"/>
      <c r="N318" t="inlineStr"/>
      <c r="O318">
        <f>(1-Summary!$B$11)*S318+Summary!$B$11*U318</f>
        <v/>
      </c>
      <c r="P318">
        <f>IF(B334=0,0,O318/B334)</f>
        <v/>
      </c>
      <c r="Q318">
        <f>IFERROR(1/(IF(Inputs!$B$39="pvp",15,MAX(0.1,Skills!D26-IF(Skills!E26=TRUE,Inputs!$B$33,0)))*(1-IF(AND(ArtifactsInput!$M$27,Inputs!$B$4="Chapter Hunt"),CHOOSE(ArtifactsInput!$N$27+1,20,24,28,32,36,40),0)/100)),0)</f>
        <v/>
      </c>
      <c r="R318" t="n">
        <v>0</v>
      </c>
      <c r="S318" t="n">
        <v>0</v>
      </c>
      <c r="U318" t="n">
        <v>0</v>
      </c>
    </row>
    <row r="319">
      <c r="A319">
        <f>Skills!A27</f>
        <v/>
      </c>
      <c r="B319">
        <f>Skills!B27</f>
        <v/>
      </c>
      <c r="C319">
        <f>Inputs!$B$3&gt;=120</f>
        <v/>
      </c>
      <c r="D319">
        <f>IF(Skills!C27=1,60+Inputs!$B$26+Inputs!$B$30,IF(Skills!C27=2,90+Inputs!$B$27+Inputs!$B$30,IF(Skills!C27=3,120+Inputs!$B$28+Inputs!$B$30,MAX(0,(Inputs!$B$3-100)*3)+Inputs!$B$29+Inputs!$B$30)))</f>
        <v/>
      </c>
      <c r="E319">
        <f>INDEX(FactorTable!$B$2:$Y$301, MATCH(ROUND(MIN(300,MAX(1,D319)),0), FactorTable!$A$2:$A$301,0), Skills!L27+1)</f>
        <v/>
      </c>
      <c r="F319">
        <f>IF(Skills!M27=TRUE,(Skills!K27/10)*(E319/1000),Skills!K27/10)+Skills!N27</f>
        <v/>
      </c>
      <c r="G319">
        <f>Calc!G27</f>
        <v/>
      </c>
      <c r="H319">
        <f>Calc!H27</f>
        <v/>
      </c>
      <c r="I319">
        <f>IF(Skills!T27&lt;&gt;"",1+(Skills!T27/10)*($Z$3/1000)/100,1)</f>
        <v/>
      </c>
      <c r="J319" t="inlineStr"/>
      <c r="K319" t="inlineStr"/>
      <c r="L319" t="inlineStr"/>
      <c r="M319" t="inlineStr"/>
      <c r="N319" t="inlineStr"/>
      <c r="O319">
        <f>(1-Summary!$B$11)*S319+Summary!$B$11*U319</f>
        <v/>
      </c>
      <c r="P319">
        <f>IF(B334=0,0,O319/B334)</f>
        <v/>
      </c>
      <c r="Q319">
        <f>IFERROR(1/(IF(Inputs!$B$39="pvp",15,MAX(0.1,Skills!D27-IF(Skills!E27=TRUE,Inputs!$B$33,0)))*(1-IF(AND(ArtifactsInput!$M$27,Inputs!$B$4="Chapter Hunt"),CHOOSE(ArtifactsInput!$N$27+1,20,24,28,32,36,40),0)/100)),0)</f>
        <v/>
      </c>
      <c r="R319" t="n">
        <v>0</v>
      </c>
      <c r="S319" t="n">
        <v>0</v>
      </c>
      <c r="U319" t="n">
        <v>0</v>
      </c>
    </row>
    <row r="321">
      <c r="A321" t="inlineStr">
        <is>
          <t>Average Buff Multiplier</t>
        </is>
      </c>
      <c r="B321">
        <f>(1+(IF(C295=TRUE,F295*IF(AND(Inputs!$B$39&lt;&gt;"pvp",Inputs!$B$44&gt;0),(((R295-1)*(Skills!S3*(1+((Inputs!$B$35+(ArtifactsInput!$M$7-ArtifactsInput!$M$7)*CHOOSE(ArtifactsInput!$N$7+1,6,7.2,8.4,9.6,10.8,12))+IF(Inputs!$B$3&gt;=117,F318,0))/100))+MIN((Skills!S3*(1+((Inputs!$B$35+(ArtifactsInput!$M$7-ArtifactsInput!$M$7)*CHOOSE(ArtifactsInput!$N$7+1,6,7.2,8.4,9.6,10.8,12))+IF(Inputs!$B$3&gt;=117,F318,0))/100)),MAX(0,Inputs!$B$44-((R295-1)*Skills!D3))))/Inputs!$B$44),IF(Inputs!$B$39="pvp",MIN((Skills!S3*(1+((Inputs!$B$35+(ArtifactsInput!$M$7-ArtifactsInput!$M$7)*CHOOSE(ArtifactsInput!$N$7+1,6,7.2,8.4,9.6,10.8,12))+IF(Inputs!$B$3&gt;=117,F318,0))/100)),15)/15,(Skills!S3*(1+((Inputs!$B$35+(ArtifactsInput!$M$7-ArtifactsInput!$M$7)*CHOOSE(ArtifactsInput!$N$7+1,6,7.2,8.4,9.6,10.8,12))+IF(Inputs!$B$3&gt;=117,F318,0))/100))/Skills!D3)),0)+IF(C296=TRUE,F296*IF(AND(Inputs!$B$39&lt;&gt;"pvp",Inputs!$B$44&gt;0),(((R296-1)*(Skills!S4*(1+((Inputs!$B$35+(ArtifactsInput!$M$7-ArtifactsInput!$M$7)*CHOOSE(ArtifactsInput!$N$7+1,6,7.2,8.4,9.6,10.8,12))+IF(Inputs!$B$3&gt;=117,F318,0))/100))+MIN((Skills!S4*(1+((Inputs!$B$35+(ArtifactsInput!$M$7-ArtifactsInput!$M$7)*CHOOSE(ArtifactsInput!$N$7+1,6,7.2,8.4,9.6,10.8,12))+IF(Inputs!$B$3&gt;=117,F318,0))/100)),MAX(0,Inputs!$B$44-((R296-1)*Skills!D4))))/Inputs!$B$44),IF(Inputs!$B$39="pvp",MIN((Skills!S4*(1+((Inputs!$B$35+(ArtifactsInput!$M$7-ArtifactsInput!$M$7)*CHOOSE(ArtifactsInput!$N$7+1,6,7.2,8.4,9.6,10.8,12))+IF(Inputs!$B$3&gt;=117,F318,0))/100)),15)/15,(Skills!S4*(1+((Inputs!$B$35+(ArtifactsInput!$M$7-ArtifactsInput!$M$7)*CHOOSE(ArtifactsInput!$N$7+1,6,7.2,8.4,9.6,10.8,12))+IF(Inputs!$B$3&gt;=117,F318,0))/100))/Skills!D4)),0)+IF(C297=TRUE,F297*IF(AND(Inputs!$B$39&lt;&gt;"pvp",Inputs!$B$44&gt;0),(((R297-1)*(Skills!S5*(1+((Inputs!$B$35+(ArtifactsInput!$M$7-ArtifactsInput!$M$7)*CHOOSE(ArtifactsInput!$N$7+1,6,7.2,8.4,9.6,10.8,12))+IF(Inputs!$B$3&gt;=117,F318,0))/100))+MIN((Skills!S5*(1+((Inputs!$B$35+(ArtifactsInput!$M$7-ArtifactsInput!$M$7)*CHOOSE(ArtifactsInput!$N$7+1,6,7.2,8.4,9.6,10.8,12))+IF(Inputs!$B$3&gt;=117,F318,0))/100)),MAX(0,Inputs!$B$44-((R297-1)*Skills!D5))))/Inputs!$B$44),IF(Inputs!$B$39="pvp",MIN((Skills!S5*(1+((Inputs!$B$35+(ArtifactsInput!$M$7-ArtifactsInput!$M$7)*CHOOSE(ArtifactsInput!$N$7+1,6,7.2,8.4,9.6,10.8,12))+IF(Inputs!$B$3&gt;=117,F318,0))/100)),15)/15,(Skills!S5*(1+((Inputs!$B$35+(ArtifactsInput!$M$7-ArtifactsInput!$M$7)*CHOOSE(ArtifactsInput!$N$7+1,6,7.2,8.4,9.6,10.8,12))+IF(Inputs!$B$3&gt;=117,F318,0))/100))/Skills!D5)),0)+IF(C303=TRUE,F303*IF(AND(Inputs!$B$39&lt;&gt;"pvp",Inputs!$B$44&gt;0),(((R303-1)*(Skills!S11*(1+((Inputs!$B$35+(ArtifactsInput!$M$7-ArtifactsInput!$M$7)*CHOOSE(ArtifactsInput!$N$7+1,6,7.2,8.4,9.6,10.8,12))+IF(Inputs!$B$3&gt;=117,F318,0))/100))+MIN((Skills!S11*(1+((Inputs!$B$35+(ArtifactsInput!$M$7-ArtifactsInput!$M$7)*CHOOSE(ArtifactsInput!$N$7+1,6,7.2,8.4,9.6,10.8,12))+IF(Inputs!$B$3&gt;=117,F318,0))/100)),MAX(0,Inputs!$B$44-((R303-1)*Skills!D11))))/Inputs!$B$44),IF(Inputs!$B$39="pvp",MIN((Skills!S11*(1+((Inputs!$B$35+(ArtifactsInput!$M$7-ArtifactsInput!$M$7)*CHOOSE(ArtifactsInput!$N$7+1,6,7.2,8.4,9.6,10.8,12))+IF(Inputs!$B$3&gt;=117,F318,0))/100)),15)/15,(Skills!S11*(1+((Inputs!$B$35+(ArtifactsInput!$M$7-ArtifactsInput!$M$7)*CHOOSE(ArtifactsInput!$N$7+1,6,7.2,8.4,9.6,10.8,12))+IF(Inputs!$B$3&gt;=117,F318,0)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306=TRUE,(1+F306*IF(AND(Inputs!$B$39&lt;&gt;"pvp",Inputs!$B$44&gt;0),(((R306-1)*(Skills!S14*(1+((Inputs!$B$35+(ArtifactsInput!$M$7-ArtifactsInput!$M$7)*CHOOSE(ArtifactsInput!$N$7+1,6,7.2,8.4,9.6,10.8,12))+IF(Inputs!$B$3&gt;=117,F318,0))/100))+MIN((Skills!S14*(1+((Inputs!$B$35+(ArtifactsInput!$M$7-ArtifactsInput!$M$7)*CHOOSE(ArtifactsInput!$N$7+1,6,7.2,8.4,9.6,10.8,12))+IF(Inputs!$B$3&gt;=117,F318,0))/100)),MAX(0,Inputs!$B$44-((R306-1)*Skills!D14))))/Inputs!$B$44),IF(Inputs!$B$39="pvp",MIN((Skills!S14*(1+((Inputs!$B$35+(ArtifactsInput!$M$7-ArtifactsInput!$M$7)*CHOOSE(ArtifactsInput!$N$7+1,6,7.2,8.4,9.6,10.8,12))+IF(Inputs!$B$3&gt;=117,F318,0))/100)),15)/15,(Skills!S14*(1+((Inputs!$B$35+(ArtifactsInput!$M$7-ArtifactsInput!$M$7)*CHOOSE(ArtifactsInput!$N$7+1,6,7.2,8.4,9.6,10.8,12))+IF(Inputs!$B$3&gt;=117,F318,0))/100))/Skills!D14))/100),1)*IF(C311=TRUE,(1+F311*IF(AND(Inputs!$B$39&lt;&gt;"pvp",Inputs!$B$44&gt;0),(((R311-1)*(Skills!S19*(1+((Inputs!$B$35+(ArtifactsInput!$M$7-ArtifactsInput!$M$7)*CHOOSE(ArtifactsInput!$N$7+1,6,7.2,8.4,9.6,10.8,12))+IF(Inputs!$B$3&gt;=117,F318,0))/100))+MIN((Skills!S19*(1+((Inputs!$B$35+(ArtifactsInput!$M$7-ArtifactsInput!$M$7)*CHOOSE(ArtifactsInput!$N$7+1,6,7.2,8.4,9.6,10.8,12))+IF(Inputs!$B$3&gt;=117,F318,0))/100)),MAX(0,Inputs!$B$44-((R311-1)*Skills!D19))))/Inputs!$B$44),IF(Inputs!$B$39="pvp",MIN((Skills!S19*(1+((Inputs!$B$35+(ArtifactsInput!$M$7-ArtifactsInput!$M$7)*CHOOSE(ArtifactsInput!$N$7+1,6,7.2,8.4,9.6,10.8,12))+IF(Inputs!$B$3&gt;=117,F318,0))/100)),15)/15,(Skills!S19*(1+((Inputs!$B$35+(ArtifactsInput!$M$7-ArtifactsInput!$M$7)*CHOOSE(ArtifactsInput!$N$7+1,6,7.2,8.4,9.6,10.8,12))+IF(Inputs!$B$3&gt;=117,F318,0))/100))/Skills!D19))/100),1)</f>
        <v/>
      </c>
    </row>
    <row r="322">
      <c r="A322" t="inlineStr">
        <is>
          <t>Monster Damage Taken Bonus % (Holy Fountain)</t>
        </is>
      </c>
      <c r="B322">
        <f>IF(Inputs!$B$3&gt;=68,20*IF(Inputs!$B$39="pvp",MIN((15*(1+((Inputs!$B$35+(ArtifactsInput!$M$7-ArtifactsInput!$M$7)*CHOOSE(ArtifactsInput!$N$7+1,6,7.2,8.4,9.6,10.8,12))+IF(Inputs!$B$3&gt;=117,F318,0))/100)),15)/15,(15*(1+((Inputs!$B$35+(ArtifactsInput!$M$7-ArtifactsInput!$M$7)*CHOOSE(ArtifactsInput!$N$7+1,6,7.2,8.4,9.6,10.8,12))+IF(Inputs!$B$3&gt;=117,F318,0))/100))/Skills!D10),0)</f>
        <v/>
      </c>
    </row>
    <row r="323">
      <c r="A323" t="inlineStr">
        <is>
          <t>Normal Monster Damage Bonus % (Holy Symbol)</t>
        </is>
      </c>
      <c r="B323">
        <f>IF(C304=TRUE,F304*IF(AND(Inputs!$B$39&lt;&gt;"pvp",Inputs!$B$44&gt;0),(((R304-1)*(Skills!S12*(1+((Inputs!$B$35+(ArtifactsInput!$M$7-ArtifactsInput!$M$7)*CHOOSE(ArtifactsInput!$N$7+1,6,7.2,8.4,9.6,10.8,12))+IF(Inputs!$B$3&gt;=117,F318,0))/100))+MIN((Skills!S12*(1+((Inputs!$B$35+(ArtifactsInput!$M$7-ArtifactsInput!$M$7)*CHOOSE(ArtifactsInput!$N$7+1,6,7.2,8.4,9.6,10.8,12))+IF(Inputs!$B$3&gt;=117,F318,0))/100)),MAX(0,Inputs!$B$44-((R304-1)*Skills!D12))))/Inputs!$B$44),IF(Inputs!$B$39="pvp",MIN((Skills!S12*(1+((Inputs!$B$35+(ArtifactsInput!$M$7-ArtifactsInput!$M$7)*CHOOSE(ArtifactsInput!$N$7+1,6,7.2,8.4,9.6,10.8,12))+IF(Inputs!$B$3&gt;=117,F318,0))/100)),15)/15,(Skills!S12*(1+((Inputs!$B$35+(ArtifactsInput!$M$7-ArtifactsInput!$M$7)*CHOOSE(ArtifactsInput!$N$7+1,6,7.2,8.4,9.6,10.8,12))+IF(Inputs!$B$3&gt;=117,F318,0))/100))/Skills!D12)),0)</f>
        <v/>
      </c>
    </row>
    <row r="324">
      <c r="A324" t="inlineStr">
        <is>
          <t>Damage % Bonus (Holy Symbol - Damage Boost)</t>
        </is>
      </c>
      <c r="B324">
        <f>Skills!O12</f>
        <v/>
      </c>
    </row>
    <row r="325">
      <c r="A325" t="inlineStr">
        <is>
          <t>Crit Damage % Bonus (Blood of the Divine)</t>
        </is>
      </c>
      <c r="B325">
        <f>4*IF(C312=TRUE,F312,0)</f>
        <v/>
      </c>
    </row>
    <row r="326">
      <c r="A326" t="inlineStr">
        <is>
          <t>Attack Speed Bonus %</t>
        </is>
      </c>
      <c r="B326">
        <f>IF(C309=TRUE,F309+(F313-Calc!F21),0)+IF(Inputs!$B$3&gt;=134,15,0)</f>
        <v/>
      </c>
    </row>
    <row r="327">
      <c r="A327" t="inlineStr">
        <is>
          <t>Actions Per Second</t>
        </is>
      </c>
      <c r="B327">
        <f>1+MIN(150,150*(1-(1-Inputs!$B$12/150)*(1-B326/150)))/100</f>
        <v/>
      </c>
    </row>
    <row r="328">
      <c r="A328" t="inlineStr">
        <is>
          <t>Skill + Buff Cast Rate</t>
        </is>
      </c>
      <c r="B328">
        <f>IF(AND(Inputs!$B$39&lt;&gt;"pvp",Inputs!$B$44&gt;0),SUMPRODUCT((Skills!E2:E27=TRUE)*(C294:C319=TRUE)*R294:R319)/Inputs!$B$44,SUMPRODUCT((Skills!E2:E27=TRUE)*(C294:C319=TRUE)*Q294:Q319))</f>
        <v/>
      </c>
    </row>
    <row r="329">
      <c r="A329" t="inlineStr">
        <is>
          <t>Big Bang Casts Per Second</t>
        </is>
      </c>
      <c r="B329">
        <f>MAX(0,B327-B328)</f>
        <v/>
      </c>
    </row>
    <row r="330">
      <c r="A330" t="inlineStr">
        <is>
          <t>Defense % Bonus (Divine Protection)</t>
        </is>
      </c>
      <c r="B330">
        <f>IF(C305=TRUE,F305*IF(AND(Inputs!$B$39&lt;&gt;"pvp",Inputs!$B$44&gt;0),(((R305-1)*(Skills!S13*(1+((Inputs!$B$35+(ArtifactsInput!$M$7-ArtifactsInput!$M$7)*CHOOSE(ArtifactsInput!$N$7+1,6,7.2,8.4,9.6,10.8,12))+IF(Inputs!$B$3&gt;=117,F318,0))/100))+MIN((Skills!S13*(1+((Inputs!$B$35+(ArtifactsInput!$M$7-ArtifactsInput!$M$7)*CHOOSE(ArtifactsInput!$N$7+1,6,7.2,8.4,9.6,10.8,12))+IF(Inputs!$B$3&gt;=117,F318,0))/100)),MAX(0,Inputs!$B$44-((R305-1)*Skills!D13))))/Inputs!$B$44),IF(Inputs!$B$39="pvp",MIN((Skills!S13*(1+((Inputs!$B$35+(ArtifactsInput!$M$7-ArtifactsInput!$M$7)*CHOOSE(ArtifactsInput!$N$7+1,6,7.2,8.4,9.6,10.8,12))+IF(Inputs!$B$3&gt;=117,F318,0))/100)),15)/15,(Skills!S13*(1+((Inputs!$B$35+(ArtifactsInput!$M$7-ArtifactsInput!$M$7)*CHOOSE(ArtifactsInput!$N$7+1,6,7.2,8.4,9.6,10.8,12))+IF(Inputs!$B$3&gt;=117,F318,0))/100))/Skills!D13)),0)</f>
        <v/>
      </c>
    </row>
    <row r="331">
      <c r="A331" t="inlineStr">
        <is>
          <t>Buff-Casting Startup Delay (s, fixed-duration only)</t>
        </is>
      </c>
      <c r="B331">
        <f>IF(AND(Inputs!$B$39&lt;&gt;"pvp",Inputs!$B$44&gt;0),SUMPRODUCT((Skills!S2:S27&gt;0)*(Skills!E2:E27=TRUE)*(C294:C319=TRUE))/B327,0)</f>
        <v/>
      </c>
    </row>
    <row r="332">
      <c r="A332" t="inlineStr">
        <is>
          <t>Boss-Only Total DPS (this block's swept value)</t>
        </is>
      </c>
      <c r="B332">
        <f>SUM(S294:S319)</f>
        <v/>
      </c>
    </row>
    <row r="333">
      <c r="A333" t="inlineStr">
        <is>
          <t>Normal-Only Total DPS (this block's swept value)</t>
        </is>
      </c>
      <c r="B333">
        <f>SUM(U294:U319)</f>
        <v/>
      </c>
    </row>
    <row r="334">
      <c r="A334" s="6" t="inlineStr">
        <is>
          <t>TOTAL DPS</t>
        </is>
      </c>
      <c r="B334" s="6">
        <f>SUM(O294:O319)</f>
        <v/>
      </c>
    </row>
    <row r="336">
      <c r="A336" s="6" t="inlineStr">
        <is>
          <t>Stat: BOSS_DAMAGE %</t>
        </is>
      </c>
    </row>
    <row r="337">
      <c r="A337" s="5" t="inlineStr">
        <is>
          <t>Key</t>
        </is>
      </c>
      <c r="B337" s="5" t="inlineStr">
        <is>
          <t>Name</t>
        </is>
      </c>
      <c r="C337" s="5" t="inlineStr">
        <is>
          <t>Unlocked</t>
        </is>
      </c>
      <c r="D337" s="5" t="inlineStr">
        <is>
          <t>InputLevel</t>
        </is>
      </c>
      <c r="E337" s="5" t="inlineStr">
        <is>
          <t>Factor</t>
        </is>
      </c>
      <c r="F337" s="5" t="inlineStr">
        <is>
          <t>CoefficientPercent</t>
        </is>
      </c>
      <c r="G337" s="5" t="inlineStr">
        <is>
          <t>EffectiveHits</t>
        </is>
      </c>
      <c r="H337" s="5" t="inlineStr">
        <is>
          <t>ProcProbability</t>
        </is>
      </c>
      <c r="I337" s="5" t="inlineStr">
        <is>
          <t>MapleHeroMultiplier</t>
        </is>
      </c>
      <c r="J337" s="5" t="inlineStr">
        <is>
          <t>BaseDamage</t>
        </is>
      </c>
      <c r="K337" s="5" t="inlineStr">
        <is>
          <t>BaseHitDamage</t>
        </is>
      </c>
      <c r="L337" s="5" t="inlineStr">
        <is>
          <t>NonCritAvg</t>
        </is>
      </c>
      <c r="M337" s="5" t="inlineStr">
        <is>
          <t>CritAvg</t>
        </is>
      </c>
      <c r="N337" s="5" t="inlineStr">
        <is>
          <t>ExpectedDamage(perHit)</t>
        </is>
      </c>
      <c r="O337" s="5" t="inlineStr">
        <is>
          <t>DPS</t>
        </is>
      </c>
      <c r="P337" s="5" t="inlineStr">
        <is>
          <t>% of Total</t>
        </is>
      </c>
      <c r="R337" t="inlineStr">
        <is>
          <t>helpers</t>
        </is>
      </c>
    </row>
    <row r="338">
      <c r="A338">
        <f>Skills!A2</f>
        <v/>
      </c>
      <c r="B338">
        <f>Skills!B2</f>
        <v/>
      </c>
      <c r="C338">
        <f>Inputs!$B$3&gt;=100</f>
        <v/>
      </c>
      <c r="D338" t="inlineStr"/>
      <c r="E338" t="inlineStr"/>
      <c r="F338">
        <f>T340+Skills!N2</f>
        <v/>
      </c>
      <c r="G338">
        <f>Calc!G2</f>
        <v/>
      </c>
      <c r="H338">
        <f>Calc!H2</f>
        <v/>
      </c>
      <c r="I338">
        <f>IF(Skills!T2&lt;&gt;"",1+(Skills!T2/10)*($Z$3/1000)/100,1)</f>
        <v/>
      </c>
      <c r="J338">
        <f>((Inputs!$B$6*(1+Inputs!$B$7/100))+(((Inputs!$B$13*(1+Inputs!$B$14/100))-(Inputs!$B$13*(1+Inputs!$B$14/100)))+0.25*(Inputs!$B$15-Inputs!$B$15))*(1+Inputs!$B$7/100))*(F338/100)</f>
        <v/>
      </c>
      <c r="K338">
        <f>J338*(1+(((Inputs!$B$13+IF(Inputs!$B$3&gt;=35,(10*INDEX(FactorTable!$B$2:$Y$301,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2="TRIUMPH_FEATHER",IF(C352=TRUE,F352,0),0)/100)*(1+IF(C363=TRUE,F363,0)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338)</f>
        <v/>
      </c>
      <c r="L338">
        <f>K338*(MIN(Inputs!$B$23+(F358-Calc!F22),(Inputs!$B$24+IF(ArtifactsInput!$M$15,CHOOSE(ArtifactsInput!$N$15+1,25,30,35,40,45,50)/100*(Inputs!$B$12-Inputs!$B$12),0)))/100+(Inputs!$B$24+IF(ArtifactsInput!$M$15,CHOOSE(ArtifactsInput!$N$15+1,25,30,35,40,45,50)/100*(Inputs!$B$12-Inputs!$B$12),0))/100)/2</f>
        <v/>
      </c>
      <c r="M338">
        <f>L338*(1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8">
        <f>L338*(1-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
        <f>(1-Summary!$B$11)*S338+Summary!$B$11*U338</f>
        <v/>
      </c>
      <c r="P338">
        <f>IF(B378=0,0,O338/B378)</f>
        <v/>
      </c>
      <c r="Q338">
        <f>IFERROR(1/(IF(Inputs!$B$39="pvp",15,MAX(0.1,Skills!D2-IF(Skills!E2=TRUE,Inputs!$B$33,0)))*(1-IF(AND(ArtifactsInput!$M$27,Inputs!$B$4="Chapter Hunt"),CHOOSE(ArtifactsInput!$N$27+1,20,24,28,32,36,40),0)/100)),0)</f>
        <v/>
      </c>
      <c r="R338" t="n">
        <v>0</v>
      </c>
      <c r="S338">
        <f>IF(C338,(Skills!F2*N338*B373)*IF(Inputs!$B$39="pvp",1,1+((Inputs!$B$21+1)+Skills!O2+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338*(1-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8">
        <f>MAX(0,(Inputs!$B$3-100)*3)+Inputs!$B$29+Inputs!$B$30</f>
        <v/>
      </c>
      <c r="U338">
        <f>IF(C338,(Skills!F2*N338*B373)*IF(Inputs!$B$39="pvp",1,(1+(Inputs!$B$22+Skills!P2+B367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
      <c r="A339">
        <f>Skills!A3</f>
        <v/>
      </c>
      <c r="B339">
        <f>Skills!B3</f>
        <v/>
      </c>
      <c r="C339">
        <f>Inputs!$B$3&gt;=15</f>
        <v/>
      </c>
      <c r="D339">
        <f>IF(Skills!C3=1,60+Inputs!$B$26+Inputs!$B$30,IF(Skills!C3=2,90+Inputs!$B$27+Inputs!$B$30,IF(Skills!C3=3,120+Inputs!$B$28+Inputs!$B$30,MAX(0,(Inputs!$B$3-100)*3)+Inputs!$B$29+Inputs!$B$30)))</f>
        <v/>
      </c>
      <c r="E339">
        <f>INDEX(FactorTable!$B$2:$Y$301, MATCH(ROUND(MIN(300,MAX(1,D339)),0), FactorTable!$A$2:$A$301,0), Skills!L3+1)</f>
        <v/>
      </c>
      <c r="F339">
        <f>IF(Skills!M3=TRUE,(Skills!K3/10)*(E339/1000),Skills!K3/10)+Skills!N3</f>
        <v/>
      </c>
      <c r="G339">
        <f>Calc!G3</f>
        <v/>
      </c>
      <c r="H339">
        <f>Calc!H3</f>
        <v/>
      </c>
      <c r="I339">
        <f>IF(Skills!T3&lt;&gt;"",1+(Skills!T3/10)*($Z$3/1000)/100,1)</f>
        <v/>
      </c>
      <c r="J339" t="inlineStr"/>
      <c r="K339" t="inlineStr"/>
      <c r="L339" t="inlineStr"/>
      <c r="M339" t="inlineStr"/>
      <c r="N339" t="inlineStr"/>
      <c r="O339">
        <f>(1-Summary!$B$11)*S339+Summary!$B$11*U339</f>
        <v/>
      </c>
      <c r="P339">
        <f>IF(B378=0,0,O339/B378)</f>
        <v/>
      </c>
      <c r="Q339">
        <f>IFERROR(1/(IF(Inputs!$B$39="pvp",15,MAX(0.1,Skills!D3-IF(Skills!E3=TRUE,Inputs!$B$33,0)))*(1-IF(AND(ArtifactsInput!$M$27,Inputs!$B$4="Chapter Hunt"),CHOOSE(ArtifactsInput!$N$27+1,20,24,28,32,36,40),0)/100)),0)</f>
        <v/>
      </c>
      <c r="R339">
        <f>IF(AND(Inputs!$B$39&lt;&gt;"pvp",Inputs!$B$44&gt;0),IF(Inputs!$B$44&lt;=0,0,(INT(Inputs!$B$44/(IF(Inputs!$B$39="pvp",15,MAX(0.1,Skills!D3-IF(Skills!E3=TRUE,Inputs!$B$33,0)))*(1-IF(AND(ArtifactsInput!$M$27,Inputs!$B$4="Chapter Hunt"),CHOOSE(ArtifactsInput!$N$27+1,20,24,28,32,36,40),0)/100)))+1)),0)</f>
        <v/>
      </c>
      <c r="S339" t="n">
        <v>0</v>
      </c>
      <c r="T339">
        <f>INDEX(FactorTable!$B$2:$Y$301, MATCH(ROUND(MIN(300,MAX(1,T338)),0), FactorTable!$A$2:$A$301,0), 22)</f>
        <v/>
      </c>
      <c r="U339" t="n">
        <v>0</v>
      </c>
    </row>
    <row r="340">
      <c r="A340">
        <f>Skills!A4</f>
        <v/>
      </c>
      <c r="B340">
        <f>Skills!B4</f>
        <v/>
      </c>
      <c r="C340">
        <f>Inputs!$B$3&gt;=38</f>
        <v/>
      </c>
      <c r="D340">
        <f>IF(Skills!C4=1,60+Inputs!$B$26+Inputs!$B$30,IF(Skills!C4=2,90+Inputs!$B$27+Inputs!$B$30,IF(Skills!C4=3,120+Inputs!$B$28+Inputs!$B$30,MAX(0,(Inputs!$B$3-100)*3)+Inputs!$B$29+Inputs!$B$30)))</f>
        <v/>
      </c>
      <c r="E340">
        <f>INDEX(FactorTable!$B$2:$Y$301, MATCH(ROUND(MIN(300,MAX(1,D340)),0), FactorTable!$A$2:$A$301,0), Skills!L4+1)</f>
        <v/>
      </c>
      <c r="F340">
        <f>IF(Skills!M4=TRUE,(Skills!K4/10)*(E340/1000),Skills!K4/10)+Skills!N4</f>
        <v/>
      </c>
      <c r="G340">
        <f>Calc!G4</f>
        <v/>
      </c>
      <c r="H340">
        <f>Calc!H4</f>
        <v/>
      </c>
      <c r="I340">
        <f>IF(Skills!T4&lt;&gt;"",1+(Skills!T4/10)*($Z$3/1000)/100,1)</f>
        <v/>
      </c>
      <c r="J340" t="inlineStr"/>
      <c r="K340" t="inlineStr"/>
      <c r="L340" t="inlineStr"/>
      <c r="M340" t="inlineStr"/>
      <c r="N340" t="inlineStr"/>
      <c r="O340">
        <f>(1-Summary!$B$11)*S340+Summary!$B$11*U340</f>
        <v/>
      </c>
      <c r="P340">
        <f>IF(B378=0,0,O340/B378)</f>
        <v/>
      </c>
      <c r="Q340">
        <f>IFERROR(1/(IF(Inputs!$B$39="pvp",15,MAX(0.1,Skills!D4-IF(Skills!E4=TRUE,Inputs!$B$33,0)))*(1-IF(AND(ArtifactsInput!$M$27,Inputs!$B$4="Chapter Hunt"),CHOOSE(ArtifactsInput!$N$27+1,20,24,28,32,36,40),0)/100)),0)</f>
        <v/>
      </c>
      <c r="R340">
        <f>IF(AND(Inputs!$B$39&lt;&gt;"pvp",Inputs!$B$44&gt;0),IF(Inputs!$B$44&lt;=0,0,(INT(Inputs!$B$44/(IF(Inputs!$B$39="pvp",15,MAX(0.1,Skills!D4-IF(Skills!E4=TRUE,Inputs!$B$33,0)))*(1-IF(AND(ArtifactsInput!$M$27,Inputs!$B$4="Chapter Hunt"),CHOOSE(ArtifactsInput!$N$27+1,20,24,28,32,36,40),0)/100)))+1)),0)</f>
        <v/>
      </c>
      <c r="S340" t="n">
        <v>0</v>
      </c>
      <c r="T340">
        <f>290*T339/1000</f>
        <v/>
      </c>
      <c r="U340" t="n">
        <v>0</v>
      </c>
    </row>
    <row r="341">
      <c r="A341">
        <f>Skills!A5</f>
        <v/>
      </c>
      <c r="B341">
        <f>Skills!B5</f>
        <v/>
      </c>
      <c r="C341">
        <f>Inputs!$B$3&gt;=40</f>
        <v/>
      </c>
      <c r="D341">
        <f>IF(Skills!C5=1,60+Inputs!$B$26+Inputs!$B$30,IF(Skills!C5=2,90+Inputs!$B$27+Inputs!$B$30,IF(Skills!C5=3,120+Inputs!$B$28+Inputs!$B$30,MAX(0,(Inputs!$B$3-100)*3)+Inputs!$B$29+Inputs!$B$30)))</f>
        <v/>
      </c>
      <c r="E341">
        <f>INDEX(FactorTable!$B$2:$Y$301, MATCH(ROUND(MIN(300,MAX(1,D341)),0), FactorTable!$A$2:$A$301,0), Skills!L5+1)</f>
        <v/>
      </c>
      <c r="F341">
        <f>IF(Skills!M5=TRUE,(Skills!K5/10)*(E341/1000),Skills!K5/10)+Skills!N5</f>
        <v/>
      </c>
      <c r="G341">
        <f>Calc!G5</f>
        <v/>
      </c>
      <c r="H341">
        <f>Calc!H5</f>
        <v/>
      </c>
      <c r="I341">
        <f>IF(Skills!T5&lt;&gt;"",1+(Skills!T5/10)*($Z$3/1000)/100,1)</f>
        <v/>
      </c>
      <c r="J341" t="inlineStr"/>
      <c r="K341" t="inlineStr"/>
      <c r="L341" t="inlineStr"/>
      <c r="M341" t="inlineStr"/>
      <c r="N341" t="inlineStr"/>
      <c r="O341">
        <f>(1-Summary!$B$11)*S341+Summary!$B$11*U341</f>
        <v/>
      </c>
      <c r="P341">
        <f>IF(B378=0,0,O341/B378)</f>
        <v/>
      </c>
      <c r="Q341">
        <f>IFERROR(1/(IF(Inputs!$B$39="pvp",15,MAX(0.1,Skills!D5-IF(Skills!E5=TRUE,Inputs!$B$33,0)))*(1-IF(AND(ArtifactsInput!$M$27,Inputs!$B$4="Chapter Hunt"),CHOOSE(ArtifactsInput!$N$27+1,20,24,28,32,36,40),0)/100)),0)</f>
        <v/>
      </c>
      <c r="R341">
        <f>IF(AND(Inputs!$B$39&lt;&gt;"pvp",Inputs!$B$44&gt;0),IF(Inputs!$B$44&lt;=0,0,(INT(Inputs!$B$44/(IF(Inputs!$B$39="pvp",15,MAX(0.1,Skills!D5-IF(Skills!E5=TRUE,Inputs!$B$33,0)))*(1-IF(AND(ArtifactsInput!$M$27,Inputs!$B$4="Chapter Hunt"),CHOOSE(ArtifactsInput!$N$27+1,20,24,28,32,36,40),0)/100)))+1)),0)</f>
        <v/>
      </c>
      <c r="S341" t="n">
        <v>0</v>
      </c>
      <c r="U341" t="n">
        <v>0</v>
      </c>
    </row>
    <row r="342">
      <c r="A342">
        <f>Skills!A6</f>
        <v/>
      </c>
      <c r="B342">
        <f>Skills!B6</f>
        <v/>
      </c>
      <c r="C342">
        <f>Inputs!$B$3&gt;=103</f>
        <v/>
      </c>
      <c r="D342">
        <f>IF(Skills!C6=1,60+Inputs!$B$26+Inputs!$B$30,IF(Skills!C6=2,90+Inputs!$B$27+Inputs!$B$30,IF(Skills!C6=3,120+Inputs!$B$28+Inputs!$B$30,MAX(0,(Inputs!$B$3-100)*3)+Inputs!$B$29+Inputs!$B$30)))</f>
        <v/>
      </c>
      <c r="E342">
        <f>INDEX(FactorTable!$B$2:$Y$301, MATCH(ROUND(MIN(300,MAX(1,D342)),0), FactorTable!$A$2:$A$301,0), Skills!L6+1)</f>
        <v/>
      </c>
      <c r="F342">
        <f>IF(Skills!M6=TRUE,(Skills!K6/10)*(E342/1000),Skills!K6/10)+Skills!N6</f>
        <v/>
      </c>
      <c r="G342">
        <f>Calc!G6</f>
        <v/>
      </c>
      <c r="H342">
        <f>Calc!H6</f>
        <v/>
      </c>
      <c r="I342">
        <f>IF(Skills!T6&lt;&gt;"",1+(Skills!T6/10)*($Z$3/1000)/100,1)</f>
        <v/>
      </c>
      <c r="J342">
        <f>((Inputs!$B$6*(1+Inputs!$B$7/100))+(((Inputs!$B$13*(1+Inputs!$B$14/100))-(Inputs!$B$13*(1+Inputs!$B$14/100)))+0.25*(Inputs!$B$15-Inputs!$B$15))*(1+Inputs!$B$7/100))*(F342/100)</f>
        <v/>
      </c>
      <c r="K342">
        <f>J342*(1+(((Inputs!$B$13+IF(Inputs!$B$3&gt;=35,(10*INDEX(FactorTable!$B$2:$Y$301,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6="TRIUMPH_FEATHER",IF(C352=TRUE,F352,0),0)/100)*(1+IF(C363=TRUE,F363,0)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342)</f>
        <v/>
      </c>
      <c r="L342">
        <f>K342*(MIN(Inputs!$B$23+(F358-Calc!F22),(Inputs!$B$24+IF(ArtifactsInput!$M$15,CHOOSE(ArtifactsInput!$N$15+1,25,30,35,40,45,50)/100*(Inputs!$B$12-Inputs!$B$12),0)))/100+(Inputs!$B$24+IF(ArtifactsInput!$M$15,CHOOSE(ArtifactsInput!$N$15+1,25,30,35,40,45,50)/100*(Inputs!$B$12-Inputs!$B$12),0))/100)/2</f>
        <v/>
      </c>
      <c r="M342">
        <f>L342*(1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2">
        <f>L342*(1-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
        <f>(1-Summary!$B$11)*S342+Summary!$B$11*U342</f>
        <v/>
      </c>
      <c r="P342">
        <f>IF(B378=0,0,O342/B378)</f>
        <v/>
      </c>
      <c r="Q342">
        <f>IFERROR(1/(IF(Inputs!$B$39="pvp",15,MAX(0.1,Skills!D6-IF(Skills!E6=TRUE,Inputs!$B$33,0)))*(1-IF(AND(ArtifactsInput!$M$27,Inputs!$B$4="Chapter Hunt"),CHOOSE(ArtifactsInput!$N$27+1,20,24,28,32,36,40),0)/100)),0)</f>
        <v/>
      </c>
      <c r="R342">
        <f>IF(AND(Inputs!$B$39&lt;&gt;"pvp",Inputs!$B$44&gt;0),IF(MAX(0,Inputs!$B$44-B375)&lt;=0,0,(INT(MAX(0,Inputs!$B$44-B375)/(IF(Inputs!$B$39="pvp",15,MAX(0.1,Skills!D6-IF(Skills!E6=TRUE,Inputs!$B$33,0)))*(1-IF(AND(ArtifactsInput!$M$27,Inputs!$B$4="Chapter Hunt"),CHOOSE(ArtifactsInput!$N$27+1,20,24,28,32,36,40),0)/100)))+1)),0)</f>
        <v/>
      </c>
      <c r="S342">
        <f>IF(C342,(H342*N342*IF(AND(Inputs!$B$39&lt;&gt;"pvp",Inputs!$B$44&gt;0),((Skills!F6*((R342-1)*IF(Skills!G6&gt;0,Skills!H6/Skills!G6,1)+IF(Skills!G6&gt;0,MIN(Skills!H6,MAX(0,MAX(0,Inputs!$B$44-B375)-((R342-1)*(IF(Inputs!$B$39="pvp",15,MAX(0.1,Skills!D6-IF(Skills!E6=TRUE,Inputs!$B$33,0)))*(1-IF(AND(ArtifactsInput!$M$27,Inputs!$B$4="Chapter Hunt"),CHOOSE(ArtifactsInput!$N$27+1,20,24,28,32,36,40),0)/100)))))/Skills!G6,1)))/Inputs!$B$44),G342*Q342))*IF(Inputs!$B$39="pvp",1,1+((Inputs!$B$21+1)+Skills!O6+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342*(1-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
        <f>IF(C342,(H342*N342*IF(AND(Inputs!$B$39&lt;&gt;"pvp",Inputs!$B$44&gt;0),((Skills!F6*((R342-1)*IF(Skills!G6&gt;0,Skills!H6/Skills!G6,1)+IF(Skills!G6&gt;0,MIN(Skills!H6,MAX(0,MAX(0,Inputs!$B$44-B375)-((R342-1)*(IF(Inputs!$B$39="pvp",15,MAX(0.1,Skills!D6-IF(Skills!E6=TRUE,Inputs!$B$33,0)))*(1-IF(AND(ArtifactsInput!$M$27,Inputs!$B$4="Chapter Hunt"),CHOOSE(ArtifactsInput!$N$27+1,20,24,28,32,36,40),0)/100)))))/Skills!G6,1)))/Inputs!$B$44),G342*Q342))*IF(Inputs!$B$39="pvp",1,(1+(Inputs!$B$22+Skills!P6+B367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
      <c r="A343">
        <f>Skills!A7</f>
        <v/>
      </c>
      <c r="B343">
        <f>Skills!B7</f>
        <v/>
      </c>
      <c r="C343">
        <f>Inputs!$B$3&gt;=122</f>
        <v/>
      </c>
      <c r="D343">
        <f>IF(Skills!C7=1,60+Inputs!$B$26+Inputs!$B$30,IF(Skills!C7=2,90+Inputs!$B$27+Inputs!$B$30,IF(Skills!C7=3,120+Inputs!$B$28+Inputs!$B$30,MAX(0,(Inputs!$B$3-100)*3)+Inputs!$B$29+Inputs!$B$30)))</f>
        <v/>
      </c>
      <c r="E343">
        <f>INDEX(FactorTable!$B$2:$Y$301, MATCH(ROUND(MIN(300,MAX(1,D343)),0), FactorTable!$A$2:$A$301,0), Skills!L7+1)</f>
        <v/>
      </c>
      <c r="F343">
        <f>IF(Skills!M7=TRUE,(Skills!K7/10)*(E343/1000),Skills!K7/10)+Skills!N7</f>
        <v/>
      </c>
      <c r="G343">
        <f>Calc!G7</f>
        <v/>
      </c>
      <c r="H343">
        <f>Calc!H7</f>
        <v/>
      </c>
      <c r="I343">
        <f>IF(Skills!T7&lt;&gt;"",1+(Skills!T7/10)*($Z$3/1000)/100,1)</f>
        <v/>
      </c>
      <c r="J343">
        <f>((Inputs!$B$6*(1+Inputs!$B$7/100))+(((Inputs!$B$13*(1+Inputs!$B$14/100))-(Inputs!$B$13*(1+Inputs!$B$14/100)))+0.25*(Inputs!$B$15-Inputs!$B$15))*(1+Inputs!$B$7/100))*(F343/100)</f>
        <v/>
      </c>
      <c r="K343">
        <f>J343*(1+(((Inputs!$B$13+IF(Inputs!$B$3&gt;=35,(10*INDEX(FactorTable!$B$2:$Y$301,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7="TRIUMPH_FEATHER",IF(C352=TRUE,F352,0),0)/100)*(1+IF(C363=TRUE,F363,0)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343)</f>
        <v/>
      </c>
      <c r="L343">
        <f>K343*(MIN(Inputs!$B$23+(F358-Calc!F22),(Inputs!$B$24+IF(ArtifactsInput!$M$15,CHOOSE(ArtifactsInput!$N$15+1,25,30,35,40,45,50)/100*(Inputs!$B$12-Inputs!$B$12),0)))/100+(Inputs!$B$24+IF(ArtifactsInput!$M$15,CHOOSE(ArtifactsInput!$N$15+1,25,30,35,40,45,50)/100*(Inputs!$B$12-Inputs!$B$12),0))/100)/2</f>
        <v/>
      </c>
      <c r="M343">
        <f>L343*(1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3">
        <f>L343*(1-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
        <f>(1-Summary!$B$11)*S343+Summary!$B$11*U343</f>
        <v/>
      </c>
      <c r="P343">
        <f>IF(B378=0,0,O343/B378)</f>
        <v/>
      </c>
      <c r="Q343">
        <f>IFERROR(1/(IF(Inputs!$B$39="pvp",15,MAX(0.1,Skills!D7-IF(Skills!E6=TRUE,Inputs!$B$33,0)))*(1-IF(AND(ArtifactsInput!$M$27,Inputs!$B$4="Chapter Hunt"),CHOOSE(ArtifactsInput!$N$27+1,20,24,28,32,36,40),0)/100)),0)</f>
        <v/>
      </c>
      <c r="R343">
        <f>IF(AND(Inputs!$B$39&lt;&gt;"pvp",Inputs!$B$44&gt;0),IF(MAX(0,Inputs!$B$44-B375)&lt;=0,0,(INT(MAX(0,Inputs!$B$44-B375)/(IF(Inputs!$B$39="pvp",15,MAX(0.1,Skills!D7-IF(Skills!E6=TRUE,Inputs!$B$33,0)))*(1-IF(AND(ArtifactsInput!$M$27,Inputs!$B$4="Chapter Hunt"),CHOOSE(ArtifactsInput!$N$27+1,20,24,28,32,36,40),0)/100)))+1)),0)</f>
        <v/>
      </c>
      <c r="S343">
        <f>IF(C343,H343*N343*IF(AND(Inputs!$B$39&lt;&gt;"pvp",Inputs!$B$44&gt;0),((Skills!F7*((R343-1)*IF(Skills!G7&gt;0,Skills!H7/Skills!G7,1)+IF(Skills!G7&gt;0,MIN(Skills!H7,MAX(0,MAX(0,Inputs!$B$44-B375)-((R343-1)*(IF(Inputs!$B$39="pvp",15,MAX(0.1,Skills!D7-IF(Skills!E6=TRUE,Inputs!$B$33,0)))*(1-IF(AND(ArtifactsInput!$M$27,Inputs!$B$4="Chapter Hunt"),CHOOSE(ArtifactsInput!$N$27+1,20,24,28,32,36,40),0)/100)))))/Skills!G7,1)))/Inputs!$B$44),G343*Q343)*IF(Inputs!$B$39="pvp",1,1+((Inputs!$B$21+1)+Skills!O7+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343*(1-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 t="n">
        <v>0</v>
      </c>
    </row>
    <row r="344">
      <c r="A344">
        <f>Skills!A8</f>
        <v/>
      </c>
      <c r="B344">
        <f>Skills!B8</f>
        <v/>
      </c>
      <c r="C344">
        <f>Inputs!$B$3&gt;=105</f>
        <v/>
      </c>
      <c r="D344">
        <f>IF(Skills!C8=1,60+Inputs!$B$26+Inputs!$B$30,IF(Skills!C8=2,90+Inputs!$B$27+Inputs!$B$30,IF(Skills!C8=3,120+Inputs!$B$28+Inputs!$B$30,MAX(0,(Inputs!$B$3-100)*3)+Inputs!$B$29+Inputs!$B$30)))</f>
        <v/>
      </c>
      <c r="E344">
        <f>INDEX(FactorTable!$B$2:$Y$301, MATCH(ROUND(MIN(300,MAX(1,D344)),0), FactorTable!$A$2:$A$301,0), Skills!L8+1)</f>
        <v/>
      </c>
      <c r="F344">
        <f>IF(Skills!M8=TRUE,(Skills!K8/10)*(E344/1000),Skills!K8/10)+Skills!N8</f>
        <v/>
      </c>
      <c r="G344">
        <f>Calc!G8</f>
        <v/>
      </c>
      <c r="H344">
        <f>Calc!H8</f>
        <v/>
      </c>
      <c r="I344">
        <f>IF(Skills!T8&lt;&gt;"",1+(Skills!T8/10)*($Z$3/1000)/100,1)</f>
        <v/>
      </c>
      <c r="J344">
        <f>((Inputs!$B$6*(1+Inputs!$B$7/100))+(((Inputs!$B$13*(1+Inputs!$B$14/100))-(Inputs!$B$13*(1+Inputs!$B$14/100)))+0.25*(Inputs!$B$15-Inputs!$B$15))*(1+Inputs!$B$7/100))*(F344/100)</f>
        <v/>
      </c>
      <c r="K344">
        <f>J344*(1+(((Inputs!$B$13+IF(Inputs!$B$3&gt;=35,(10*INDEX(FactorTable!$B$2:$Y$301,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8="TRIUMPH_FEATHER",IF(C352=TRUE,F352,0),0)/100)*(1+IF(C363=TRUE,F363,0)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344)</f>
        <v/>
      </c>
      <c r="L344">
        <f>K344*(MIN(Inputs!$B$23+(F358-Calc!F22),(Inputs!$B$24+IF(ArtifactsInput!$M$15,CHOOSE(ArtifactsInput!$N$15+1,25,30,35,40,45,50)/100*(Inputs!$B$12-Inputs!$B$12),0)))/100+(Inputs!$B$24+IF(ArtifactsInput!$M$15,CHOOSE(ArtifactsInput!$N$15+1,25,30,35,40,45,50)/100*(Inputs!$B$12-Inputs!$B$12),0))/100)/2</f>
        <v/>
      </c>
      <c r="M344">
        <f>L344*(1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IF(B378=0,0,O344/B378)</f>
        <v/>
      </c>
      <c r="Q344">
        <f>IFERROR(1/(IF(Inputs!$B$39="pvp",15,MAX(0.1,Skills!D8-IF(Skills!E8=TRUE,Inputs!$B$33,0)))*(1-IF(AND(ArtifactsInput!$M$27,Inputs!$B$4="Chapter Hunt"),CHOOSE(ArtifactsInput!$N$27+1,20,24,28,32,36,40),0)/100)),0)</f>
        <v/>
      </c>
      <c r="R344">
        <f>IF(AND(Inputs!$B$39&lt;&gt;"pvp",Inputs!$B$44&gt;0),IF(MAX(0,Inputs!$B$44-B375)&lt;=0,0,(INT(MAX(0,Inputs!$B$44-B375)/(IF(Inputs!$B$39="pvp",15,MAX(0.1,Skills!D8-IF(Skills!E8=TRUE,Inputs!$B$33,0)))*(1-IF(AND(ArtifactsInput!$M$27,Inputs!$B$4="Chapter Hunt"),CHOOSE(ArtifactsInput!$N$27+1,20,24,28,32,36,40),0)/100)))+1)),0)</f>
        <v/>
      </c>
      <c r="S344">
        <f>IF(C344,(H344*N344*IF(AND(Inputs!$B$39&lt;&gt;"pvp",Inputs!$B$44&gt;0),((Skills!F8*((R344-1)*IF(Skills!G8&gt;0,Skills!H8/Skills!G8,1)+IF(Skills!G8&gt;0,MIN(Skills!H8,MAX(0,MAX(0,Inputs!$B$44-B375)-((R344-1)*(IF(Inputs!$B$39="pvp",15,MAX(0.1,Skills!D8-IF(Skills!E8=TRUE,Inputs!$B$33,0)))*(1-IF(AND(ArtifactsInput!$M$27,Inputs!$B$4="Chapter Hunt"),CHOOSE(ArtifactsInput!$N$27+1,20,24,28,32,36,40),0)/100)))))/Skills!G8,1)))/Inputs!$B$44),G344*Q344))*IF(Inputs!$B$39="pvp",1,1+((Inputs!$B$21+1)+Skills!O8+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4">
        <f>IF(C344,(H344*N344*IF(AND(Inputs!$B$39&lt;&gt;"pvp",Inputs!$B$44&gt;0),((Skills!F8*((R344-1)*IF(Skills!G8&gt;0,Skills!H8/Skills!G8,1)+IF(Skills!G8&gt;0,MIN(Skills!H8,MAX(0,MAX(0,Inputs!$B$44-B375)-((R344-1)*(IF(Inputs!$B$39="pvp",15,MAX(0.1,Skills!D8-IF(Skills!E8=TRUE,Inputs!$B$33,0)))*(1-IF(AND(ArtifactsInput!$M$27,Inputs!$B$4="Chapter Hunt"),CHOOSE(ArtifactsInput!$N$27+1,20,24,28,32,36,40),0)/100)))))/Skills!G8,1)))/Inputs!$B$44),G344*Q344))*IF(Inputs!$B$39="pvp",1,(1+(Inputs!$B$22+Skills!P8+B367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Skills!A9</f>
        <v/>
      </c>
      <c r="B345">
        <f>Skills!B9</f>
        <v/>
      </c>
      <c r="C345">
        <f>Inputs!$B$3&gt;=115</f>
        <v/>
      </c>
      <c r="D345">
        <f>IF(Skills!C9=1,60+Inputs!$B$26+Inputs!$B$30,IF(Skills!C9=2,90+Inputs!$B$27+Inputs!$B$30,IF(Skills!C9=3,120+Inputs!$B$28+Inputs!$B$30,MAX(0,(Inputs!$B$3-100)*3)+Inputs!$B$29+Inputs!$B$30)))</f>
        <v/>
      </c>
      <c r="E345">
        <f>INDEX(FactorTable!$B$2:$Y$301, MATCH(ROUND(MIN(300,MAX(1,D345)),0), FactorTable!$A$2:$A$301,0), Skills!L9+1)</f>
        <v/>
      </c>
      <c r="F345">
        <f>IF(Skills!M9=TRUE,(Skills!K9/10)*(E345/1000),Skills!K9/10)+Skills!N9</f>
        <v/>
      </c>
      <c r="G345">
        <f>Calc!G9</f>
        <v/>
      </c>
      <c r="H345">
        <f>Calc!H9</f>
        <v/>
      </c>
      <c r="I345">
        <f>IF(Skills!T9&lt;&gt;"",1+(Skills!T9/10)*($Z$3/1000)/100,1)</f>
        <v/>
      </c>
      <c r="J345">
        <f>((Inputs!$B$6*(1+Inputs!$B$7/100))+(((Inputs!$B$13*(1+Inputs!$B$14/100))-(Inputs!$B$13*(1+Inputs!$B$14/100)))+0.25*(Inputs!$B$15-Inputs!$B$15))*(1+Inputs!$B$7/100))*(F345/100)</f>
        <v/>
      </c>
      <c r="K345">
        <f>J345*(1+(((Inputs!$B$13+IF(Inputs!$B$3&gt;=35,(10*INDEX(FactorTable!$B$2:$Y$301,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9="TRIUMPH_FEATHER",IF(C352=TRUE,F352,0),0)/100)*(1+IF(C363=TRUE,F363,0)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345)</f>
        <v/>
      </c>
      <c r="L345">
        <f>K345*(MIN(Inputs!$B$23+(F358-Calc!F22),(Inputs!$B$24+IF(ArtifactsInput!$M$15,CHOOSE(ArtifactsInput!$N$15+1,25,30,35,40,45,50)/100*(Inputs!$B$12-Inputs!$B$12),0)))/100+(Inputs!$B$24+IF(ArtifactsInput!$M$15,CHOOSE(ArtifactsInput!$N$15+1,25,30,35,40,45,50)/100*(Inputs!$B$12-Inputs!$B$12),0))/100)/2</f>
        <v/>
      </c>
      <c r="M345">
        <f>L345*(1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5">
        <f>L345*(1-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
        <f>(1-Summary!$B$11)*S345+Summary!$B$11*U345</f>
        <v/>
      </c>
      <c r="P345">
        <f>IF(B378=0,0,O345/B378)</f>
        <v/>
      </c>
      <c r="Q345">
        <f>IFERROR(1/(IF(Inputs!$B$39="pvp",15,MAX(0.1,Skills!D9-IF(Skills!E9=TRUE,Inputs!$B$33,0)))*(1-IF(AND(ArtifactsInput!$M$27,Inputs!$B$4="Chapter Hunt"),CHOOSE(ArtifactsInput!$N$27+1,20,24,28,32,36,40),0)/100)),0)</f>
        <v/>
      </c>
      <c r="R345">
        <f>IF(AND(Inputs!$B$39&lt;&gt;"pvp",Inputs!$B$44&gt;0),IF(MAX(0,Inputs!$B$44-B375)&lt;=0,0,(INT(MAX(0,Inputs!$B$44-B375)/(IF(Inputs!$B$39="pvp",15,MAX(0.1,Skills!D9-IF(Skills!E9=TRUE,Inputs!$B$33,0)))*(1-IF(AND(ArtifactsInput!$M$27,Inputs!$B$4="Chapter Hunt"),CHOOSE(ArtifactsInput!$N$27+1,20,24,28,32,36,40),0)/100)))+1)),0)</f>
        <v/>
      </c>
      <c r="S345">
        <f>IF(C345,(H345*N345*IF(AND(Inputs!$B$39&lt;&gt;"pvp",Inputs!$B$44&gt;0),((Skills!F9*((R345-1)*IF(Skills!G9&gt;0,Skills!H9/Skills!G9,1)+IF(Skills!G9&gt;0,MIN(Skills!H9,MAX(0,MAX(0,Inputs!$B$44-B375)-((R345-1)*(IF(Inputs!$B$39="pvp",15,MAX(0.1,Skills!D9-IF(Skills!E9=TRUE,Inputs!$B$33,0)))*(1-IF(AND(ArtifactsInput!$M$27,Inputs!$B$4="Chapter Hunt"),CHOOSE(ArtifactsInput!$N$27+1,20,24,28,32,36,40),0)/100)))))/Skills!G9,1)))/Inputs!$B$44),G345*Q345))*IF(Inputs!$B$39="pvp",1,1+((Inputs!$B$21+1)+Skills!O9+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5">
        <f>IF(C345,(H345*N345*IF(AND(Inputs!$B$39&lt;&gt;"pvp",Inputs!$B$44&gt;0),((Skills!F9*((R345-1)*IF(Skills!G9&gt;0,Skills!H9/Skills!G9,1)+IF(Skills!G9&gt;0,MIN(Skills!H9,MAX(0,MAX(0,Inputs!$B$44-B375)-((R345-1)*(IF(Inputs!$B$39="pvp",15,MAX(0.1,Skills!D9-IF(Skills!E9=TRUE,Inputs!$B$33,0)))*(1-IF(AND(ArtifactsInput!$M$27,Inputs!$B$4="Chapter Hunt"),CHOOSE(ArtifactsInput!$N$27+1,20,24,28,32,36,40),0)/100)))))/Skills!G9,1)))/Inputs!$B$44),G345*Q345))*IF(Inputs!$B$39="pvp",1,(1+(Inputs!$B$22+Skills!P9+B367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
      <c r="A346">
        <f>Skills!A10</f>
        <v/>
      </c>
      <c r="B346">
        <f>Skills!B10</f>
        <v/>
      </c>
      <c r="C346">
        <f>Inputs!$B$3&gt;=66</f>
        <v/>
      </c>
      <c r="D346">
        <f>IF(Skills!C10=1,60+Inputs!$B$26+Inputs!$B$30,IF(Skills!C10=2,90+Inputs!$B$27+Inputs!$B$30,IF(Skills!C10=3,120+Inputs!$B$28+Inputs!$B$30,MAX(0,(Inputs!$B$3-100)*3)+Inputs!$B$29+Inputs!$B$30)))</f>
        <v/>
      </c>
      <c r="E346">
        <f>INDEX(FactorTable!$B$2:$Y$301, MATCH(ROUND(MIN(300,MAX(1,D346)),0), FactorTable!$A$2:$A$301,0), Skills!L10+1)</f>
        <v/>
      </c>
      <c r="F346" t="n">
        <v>0</v>
      </c>
      <c r="G346">
        <f>Calc!G10</f>
        <v/>
      </c>
      <c r="H346">
        <f>Calc!H10</f>
        <v/>
      </c>
      <c r="I346">
        <f>IF(Skills!T10&lt;&gt;"",1+(Skills!T10/10)*($Z$3/1000)/100,1)</f>
        <v/>
      </c>
      <c r="J346" t="inlineStr"/>
      <c r="K346" t="inlineStr"/>
      <c r="L346" t="inlineStr"/>
      <c r="M346" t="inlineStr"/>
      <c r="N346" t="inlineStr"/>
      <c r="O346">
        <f>(1-Summary!$B$11)*S346+Summary!$B$11*U346</f>
        <v/>
      </c>
      <c r="P346">
        <f>IF(B378=0,0,O346/B378)</f>
        <v/>
      </c>
      <c r="Q346">
        <f>IFERROR(1/(IF(Inputs!$B$39="pvp",15,MAX(0.1,Skills!D10-IF(Skills!E10=TRUE,Inputs!$B$33,0)))*(1-IF(AND(ArtifactsInput!$M$27,Inputs!$B$4="Chapter Hunt"),CHOOSE(ArtifactsInput!$N$27+1,20,24,28,32,36,40),0)/100)),0)</f>
        <v/>
      </c>
      <c r="R346">
        <f>IF(AND(Inputs!$B$39&lt;&gt;"pvp",Inputs!$B$44&gt;0),IF(MAX(0,Inputs!$B$44-B375)&lt;=0,0,(INT(MAX(0,Inputs!$B$44-B375)/(IF(Inputs!$B$39="pvp",15,MAX(0.1,Skills!D10-IF(Skills!E10=TRUE,Inputs!$B$33,0)))*(1-IF(AND(ArtifactsInput!$M$27,Inputs!$B$4="Chapter Hunt"),CHOOSE(ArtifactsInput!$N$27+1,20,24,28,32,36,40),0)/100)))+1)),0)</f>
        <v/>
      </c>
      <c r="S346" t="n">
        <v>0</v>
      </c>
      <c r="U346" t="n">
        <v>0</v>
      </c>
    </row>
    <row r="347">
      <c r="A347">
        <f>Skills!A11</f>
        <v/>
      </c>
      <c r="B347">
        <f>Skills!B11</f>
        <v/>
      </c>
      <c r="C347">
        <f>Inputs!$B$3&gt;=69</f>
        <v/>
      </c>
      <c r="D347">
        <f>IF(Skills!C11=1,60+Inputs!$B$26+Inputs!$B$30,IF(Skills!C11=2,90+Inputs!$B$27+Inputs!$B$30,IF(Skills!C11=3,120+Inputs!$B$28+Inputs!$B$30,MAX(0,(Inputs!$B$3-100)*3)+Inputs!$B$29+Inputs!$B$30)))</f>
        <v/>
      </c>
      <c r="E347">
        <f>INDEX(FactorTable!$B$2:$Y$301, MATCH(ROUND(MIN(300,MAX(1,D347)),0), FactorTable!$A$2:$A$301,0), Skills!L11+1)</f>
        <v/>
      </c>
      <c r="F347">
        <f>IF(Skills!M11=TRUE,(Skills!K11/10)*(E347/1000),Skills!K11/10)+Skills!N11</f>
        <v/>
      </c>
      <c r="G347">
        <f>Calc!G11</f>
        <v/>
      </c>
      <c r="H347">
        <f>Calc!H11</f>
        <v/>
      </c>
      <c r="I347">
        <f>IF(Skills!T11&lt;&gt;"",1+(Skills!T11/10)*($Z$3/1000)/100,1)</f>
        <v/>
      </c>
      <c r="J347" t="inlineStr"/>
      <c r="K347" t="inlineStr"/>
      <c r="L347" t="inlineStr"/>
      <c r="M347" t="inlineStr"/>
      <c r="N347" t="inlineStr"/>
      <c r="O347">
        <f>(1-Summary!$B$11)*S347+Summary!$B$11*U347</f>
        <v/>
      </c>
      <c r="P347">
        <f>IF(B378=0,0,O347/B378)</f>
        <v/>
      </c>
      <c r="Q347">
        <f>IFERROR(1/(IF(Inputs!$B$39="pvp",15,MAX(0.1,Skills!D11-IF(Skills!E11=TRUE,Inputs!$B$33,0)))*(1-IF(AND(ArtifactsInput!$M$27,Inputs!$B$4="Chapter Hunt"),CHOOSE(ArtifactsInput!$N$27+1,20,24,28,32,36,40),0)/100)),0)</f>
        <v/>
      </c>
      <c r="R347">
        <f>IF(AND(Inputs!$B$39&lt;&gt;"pvp",Inputs!$B$44&gt;0),IF(Inputs!$B$44&lt;=0,0,(INT(Inputs!$B$44/(IF(Inputs!$B$39="pvp",15,MAX(0.1,Skills!D11-IF(Skills!E11=TRUE,Inputs!$B$33,0)))*(1-IF(AND(ArtifactsInput!$M$27,Inputs!$B$4="Chapter Hunt"),CHOOSE(ArtifactsInput!$N$27+1,20,24,28,32,36,40),0)/100)))+1)),0)</f>
        <v/>
      </c>
      <c r="S347" t="n">
        <v>0</v>
      </c>
      <c r="U347" t="n">
        <v>0</v>
      </c>
    </row>
    <row r="348">
      <c r="A348">
        <f>Skills!A12</f>
        <v/>
      </c>
      <c r="B348">
        <f>Skills!B12</f>
        <v/>
      </c>
      <c r="C348">
        <f>Inputs!$B$3&gt;=72</f>
        <v/>
      </c>
      <c r="D348">
        <f>IF(Skills!C12=1,60+Inputs!$B$26+Inputs!$B$30,IF(Skills!C12=2,90+Inputs!$B$27+Inputs!$B$30,IF(Skills!C12=3,120+Inputs!$B$28+Inputs!$B$30,MAX(0,(Inputs!$B$3-100)*3)+Inputs!$B$29+Inputs!$B$30)))</f>
        <v/>
      </c>
      <c r="E348">
        <f>INDEX(FactorTable!$B$2:$Y$301, MATCH(ROUND(MIN(300,MAX(1,D348)),0), FactorTable!$A$2:$A$301,0), Skills!L12+1)</f>
        <v/>
      </c>
      <c r="F348">
        <f>IF(Skills!M12=TRUE,(Skills!K12/10)*(E348/1000),Skills!K12/10)+Skills!N12</f>
        <v/>
      </c>
      <c r="G348">
        <f>Calc!G12</f>
        <v/>
      </c>
      <c r="H348">
        <f>Calc!H12</f>
        <v/>
      </c>
      <c r="I348">
        <f>IF(Skills!T12&lt;&gt;"",1+(Skills!T12/10)*($Z$3/1000)/100,1)</f>
        <v/>
      </c>
      <c r="J348" t="inlineStr"/>
      <c r="K348" t="inlineStr"/>
      <c r="L348" t="inlineStr"/>
      <c r="M348" t="inlineStr"/>
      <c r="N348" t="inlineStr"/>
      <c r="O348">
        <f>(1-Summary!$B$11)*S348+Summary!$B$11*U348</f>
        <v/>
      </c>
      <c r="P348">
        <f>IF(B378=0,0,O348/B378)</f>
        <v/>
      </c>
      <c r="Q348">
        <f>IFERROR(1/(IF(Inputs!$B$39="pvp",15,MAX(0.1,Skills!D12-IF(Skills!E12=TRUE,Inputs!$B$33,0)))*(1-IF(AND(ArtifactsInput!$M$27,Inputs!$B$4="Chapter Hunt"),CHOOSE(ArtifactsInput!$N$27+1,20,24,28,32,36,40),0)/100)),0)</f>
        <v/>
      </c>
      <c r="R348">
        <f>IF(AND(Inputs!$B$39&lt;&gt;"pvp",Inputs!$B$44&gt;0),IF(MAX(0,Inputs!$B$44-B375)&lt;=0,0,(INT(MAX(0,Inputs!$B$44-B375)/(IF(Inputs!$B$39="pvp",15,MAX(0.1,Skills!D12-IF(Skills!E12=TRUE,Inputs!$B$33,0)))*(1-IF(AND(ArtifactsInput!$M$27,Inputs!$B$4="Chapter Hunt"),CHOOSE(ArtifactsInput!$N$27+1,20,24,28,32,36,40),0)/100)))+1)),0)</f>
        <v/>
      </c>
      <c r="S348" t="n">
        <v>0</v>
      </c>
      <c r="U348" t="n">
        <v>0</v>
      </c>
    </row>
    <row r="349">
      <c r="A349">
        <f>Skills!A13</f>
        <v/>
      </c>
      <c r="B349">
        <f>Skills!B13</f>
        <v/>
      </c>
      <c r="C349">
        <f>Inputs!$B$3&gt;=60</f>
        <v/>
      </c>
      <c r="D349">
        <f>IF(Skills!C13=1,60+Inputs!$B$26+Inputs!$B$30,IF(Skills!C13=2,90+Inputs!$B$27+Inputs!$B$30,IF(Skills!C13=3,120+Inputs!$B$28+Inputs!$B$30,MAX(0,(Inputs!$B$3-100)*3)+Inputs!$B$29+Inputs!$B$30)))</f>
        <v/>
      </c>
      <c r="E349">
        <f>INDEX(FactorTable!$B$2:$Y$301, MATCH(ROUND(MIN(300,MAX(1,D349)),0), FactorTable!$A$2:$A$301,0), Skills!L13+1)</f>
        <v/>
      </c>
      <c r="F349">
        <f>IF(Skills!M13=TRUE,(Skills!K13/10)*(E349/1000),Skills!K13/10)+Skills!N13</f>
        <v/>
      </c>
      <c r="G349">
        <f>Calc!G13</f>
        <v/>
      </c>
      <c r="H349">
        <f>Calc!H13</f>
        <v/>
      </c>
      <c r="I349">
        <f>IF(Skills!T13&lt;&gt;"",1+(Skills!T13/10)*($Z$3/1000)/100,1)</f>
        <v/>
      </c>
      <c r="J349" t="inlineStr"/>
      <c r="K349" t="inlineStr"/>
      <c r="L349" t="inlineStr"/>
      <c r="M349" t="inlineStr"/>
      <c r="N349" t="inlineStr"/>
      <c r="O349">
        <f>(1-Summary!$B$11)*S349+Summary!$B$11*U349</f>
        <v/>
      </c>
      <c r="P349">
        <f>IF(B378=0,0,O349/B378)</f>
        <v/>
      </c>
      <c r="Q349">
        <f>IFERROR(1/(IF(Inputs!$B$39="pvp",15,MAX(0.1,Skills!D13-IF(Skills!E13=TRUE,Inputs!$B$33,0)))*(1-IF(AND(ArtifactsInput!$M$27,Inputs!$B$4="Chapter Hunt"),CHOOSE(ArtifactsInput!$N$27+1,20,24,28,32,36,40),0)/100)),0)</f>
        <v/>
      </c>
      <c r="R349">
        <f>IF(AND(Inputs!$B$39&lt;&gt;"pvp",Inputs!$B$44&gt;0),IF(MAX(0,Inputs!$B$44-B375)&lt;=0,0,(INT(MAX(0,Inputs!$B$44-B375)/(IF(Inputs!$B$39="pvp",15,MAX(0.1,Skills!D13-IF(Skills!E13=TRUE,Inputs!$B$33,0)))*(1-IF(AND(ArtifactsInput!$M$27,Inputs!$B$4="Chapter Hunt"),CHOOSE(ArtifactsInput!$N$27+1,20,24,28,32,36,40),0)/100)))+1)),0)</f>
        <v/>
      </c>
      <c r="S349" t="n">
        <v>0</v>
      </c>
      <c r="U349" t="n">
        <v>0</v>
      </c>
    </row>
    <row r="350">
      <c r="A350">
        <f>Skills!A14</f>
        <v/>
      </c>
      <c r="B350">
        <f>Skills!B14</f>
        <v/>
      </c>
      <c r="C350">
        <f>Inputs!$B$3&gt;=107</f>
        <v/>
      </c>
      <c r="D350">
        <f>IF(Skills!C14=1,60+Inputs!$B$26+Inputs!$B$30,IF(Skills!C14=2,90+Inputs!$B$27+Inputs!$B$30,IF(Skills!C14=3,120+Inputs!$B$28+Inputs!$B$30,MAX(0,(Inputs!$B$3-100)*3)+Inputs!$B$29+Inputs!$B$30)))</f>
        <v/>
      </c>
      <c r="E350">
        <f>INDEX(FactorTable!$B$2:$Y$301, MATCH(ROUND(MIN(300,MAX(1,D350)),0), FactorTable!$A$2:$A$301,0), Skills!L14+1)</f>
        <v/>
      </c>
      <c r="F350">
        <f>IF(Skills!M14=TRUE,(Skills!K14/10)*(E350/1000),Skills!K14/10)+Skills!N14</f>
        <v/>
      </c>
      <c r="G350">
        <f>Calc!G14</f>
        <v/>
      </c>
      <c r="H350">
        <f>Calc!H14</f>
        <v/>
      </c>
      <c r="I350">
        <f>IF(Skills!T14&lt;&gt;"",1+(Skills!T14/10)*($Z$3/1000)/100,1)</f>
        <v/>
      </c>
      <c r="J350" t="inlineStr"/>
      <c r="K350" t="inlineStr"/>
      <c r="L350" t="inlineStr"/>
      <c r="M350" t="inlineStr"/>
      <c r="N350" t="inlineStr"/>
      <c r="O350">
        <f>(1-Summary!$B$11)*S350+Summary!$B$11*U350</f>
        <v/>
      </c>
      <c r="P350">
        <f>IF(B378=0,0,O350/B378)</f>
        <v/>
      </c>
      <c r="Q350">
        <f>IFERROR(1/(IF(Inputs!$B$39="pvp",15,MAX(0.1,Skills!D14-IF(Skills!E14=TRUE,Inputs!$B$33,0)))*(1-IF(AND(ArtifactsInput!$M$27,Inputs!$B$4="Chapter Hunt"),CHOOSE(ArtifactsInput!$N$27+1,20,24,28,32,36,40),0)/100)),0)</f>
        <v/>
      </c>
      <c r="R350">
        <f>IF(AND(Inputs!$B$39&lt;&gt;"pvp",Inputs!$B$44&gt;0),IF(Inputs!$B$44&lt;=0,0,(INT(Inputs!$B$44/(IF(Inputs!$B$39="pvp",15,MAX(0.1,Skills!D14-IF(Skills!E14=TRUE,Inputs!$B$33,0)))*(1-IF(AND(ArtifactsInput!$M$27,Inputs!$B$4="Chapter Hunt"),CHOOSE(ArtifactsInput!$N$27+1,20,24,28,32,36,40),0)/100)))+1)),0)</f>
        <v/>
      </c>
      <c r="S350" t="n">
        <v>0</v>
      </c>
      <c r="U350" t="n">
        <v>0</v>
      </c>
    </row>
    <row r="351">
      <c r="A351">
        <f>Skills!A15</f>
        <v/>
      </c>
      <c r="B351">
        <f>Skills!B15</f>
        <v/>
      </c>
      <c r="C351">
        <f>Inputs!$B$3&gt;=63</f>
        <v/>
      </c>
      <c r="D351">
        <f>IF(Skills!C15=1,60+Inputs!$B$26+Inputs!$B$30,IF(Skills!C15=2,90+Inputs!$B$27+Inputs!$B$30,IF(Skills!C15=3,120+Inputs!$B$28+Inputs!$B$30,MAX(0,(Inputs!$B$3-100)*3)+Inputs!$B$29+Inputs!$B$30)))</f>
        <v/>
      </c>
      <c r="E351">
        <f>INDEX(FactorTable!$B$2:$Y$301, MATCH(ROUND(MIN(300,MAX(1,D351)),0), FactorTable!$A$2:$A$301,0), Skills!L15+1)</f>
        <v/>
      </c>
      <c r="F351">
        <f>IF(Skills!M15=TRUE,(Skills!K15/10)*(E351/1000),Skills!K15/10)+Skills!N15</f>
        <v/>
      </c>
      <c r="G351">
        <f>Calc!G15</f>
        <v/>
      </c>
      <c r="H351">
        <f>Calc!H15</f>
        <v/>
      </c>
      <c r="I351">
        <f>IF(Skills!T15&lt;&gt;"",1+(Skills!T15/10)*($Z$3/1000)/100,1)</f>
        <v/>
      </c>
      <c r="J351">
        <f>((Inputs!$B$6*(1+Inputs!$B$7/100))+(((Inputs!$B$13*(1+Inputs!$B$14/100))-(Inputs!$B$13*(1+Inputs!$B$14/100)))+0.25*(Inputs!$B$15-Inputs!$B$15))*(1+Inputs!$B$7/100))*(F351/100)</f>
        <v/>
      </c>
      <c r="K351">
        <f>J351*(1+(((Inputs!$B$13+IF(Inputs!$B$3&gt;=35,(10*INDEX(FactorTable!$B$2:$Y$301,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15="TRIUMPH_FEATHER",IF(C352=TRUE,F352,0),0)/100)*(1+IF(C363=TRUE,F363,0)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351)</f>
        <v/>
      </c>
      <c r="L351">
        <f>K351*(MIN(Inputs!$B$23+(F358-Calc!F22),(Inputs!$B$24+IF(ArtifactsInput!$M$15,CHOOSE(ArtifactsInput!$N$15+1,25,30,35,40,45,50)/100*(Inputs!$B$12-Inputs!$B$12),0)))/100+(Inputs!$B$24+IF(ArtifactsInput!$M$15,CHOOSE(ArtifactsInput!$N$15+1,25,30,35,40,45,50)/100*(Inputs!$B$12-Inputs!$B$12),0))/100)/2</f>
        <v/>
      </c>
      <c r="M351">
        <f>L351*(1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IF(B378=0,0,O351/B378)</f>
        <v/>
      </c>
      <c r="Q351">
        <f>IFERROR(1/(IF(Inputs!$B$39="pvp",15,MAX(0.1,Skills!D15-IF(Skills!E15=TRUE,Inputs!$B$33,0)))*(1-IF(AND(ArtifactsInput!$M$27,Inputs!$B$4="Chapter Hunt"),CHOOSE(ArtifactsInput!$N$27+1,20,24,28,32,36,40),0)/100)),0)</f>
        <v/>
      </c>
      <c r="R351" t="n">
        <v>0</v>
      </c>
      <c r="S351">
        <f>IF(C351,(Skills!F15*N351*((IF(Inputs!$B$3&gt;=78,25,15)/100*B371*10)/(1+IF(Inputs!$B$3&gt;=78,25,15)/100*B371*10))*(Skills!I15/100*B371)/(1+Skills!G15*Skills!I15/100*B371))*IF(Inputs!$B$39="pvp",1,1+((Inputs!$B$21+1)+Skills!O15+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Skills!F15*N351*((IF(Inputs!$B$3&gt;=78,25,15)/100*B371*10)/(1+IF(Inputs!$B$3&gt;=78,25,15)/100*B371*10))*(Skills!I15/100*B371)/(1+Skills!G15*Skills!I15/100*B371))*IF(Inputs!$B$39="pvp",1,(1+(Inputs!$B$22+Skills!P15+B367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Skills!A16</f>
        <v/>
      </c>
      <c r="B352">
        <f>Skills!B16</f>
        <v/>
      </c>
      <c r="C352">
        <f>Inputs!$B$3&gt;=100</f>
        <v/>
      </c>
      <c r="D352">
        <f>IF(Skills!C16=1,60+Inputs!$B$26+Inputs!$B$30,IF(Skills!C16=2,90+Inputs!$B$27+Inputs!$B$30,IF(Skills!C16=3,120+Inputs!$B$28+Inputs!$B$30,MAX(0,(Inputs!$B$3-100)*3)+Inputs!$B$29+Inputs!$B$30)))</f>
        <v/>
      </c>
      <c r="E352">
        <f>INDEX(FactorTable!$B$2:$Y$301, MATCH(ROUND(MIN(300,MAX(1,D352)),0), FactorTable!$A$2:$A$301,0), Skills!L16+1)</f>
        <v/>
      </c>
      <c r="F352">
        <f>IF(Skills!M16=TRUE,(Skills!K16/10)*(E352/1000),Skills!K16/10)+Skills!N16</f>
        <v/>
      </c>
      <c r="G352">
        <f>Calc!G16</f>
        <v/>
      </c>
      <c r="H352">
        <f>Calc!H16</f>
        <v/>
      </c>
      <c r="I352">
        <f>IF(Skills!T16&lt;&gt;"",1+(Skills!T16/10)*($Z$3/1000)/100,1)</f>
        <v/>
      </c>
      <c r="J352" t="inlineStr"/>
      <c r="K352" t="inlineStr"/>
      <c r="L352" t="inlineStr"/>
      <c r="M352" t="inlineStr"/>
      <c r="N352" t="inlineStr"/>
      <c r="O352">
        <f>(1-Summary!$B$11)*S352+Summary!$B$11*U352</f>
        <v/>
      </c>
      <c r="P352">
        <f>IF(B378=0,0,O352/B378)</f>
        <v/>
      </c>
      <c r="Q352">
        <f>IFERROR(1/(IF(Inputs!$B$39="pvp",15,MAX(0.1,Skills!D16-IF(Skills!E16=TRUE,Inputs!$B$33,0)))*(1-IF(AND(ArtifactsInput!$M$27,Inputs!$B$4="Chapter Hunt"),CHOOSE(ArtifactsInput!$N$27+1,20,24,28,32,36,40),0)/100)),0)</f>
        <v/>
      </c>
      <c r="R352" t="n">
        <v>0</v>
      </c>
      <c r="S352" t="n">
        <v>0</v>
      </c>
      <c r="U352" t="n">
        <v>0</v>
      </c>
    </row>
    <row r="353">
      <c r="A353">
        <f>Skills!A17</f>
        <v/>
      </c>
      <c r="B353">
        <f>Skills!B17</f>
        <v/>
      </c>
      <c r="C353">
        <f>Inputs!$B$3&gt;=49</f>
        <v/>
      </c>
      <c r="D353">
        <f>IF(Skills!C17=1,60+Inputs!$B$26+Inputs!$B$30,IF(Skills!C17=2,90+Inputs!$B$27+Inputs!$B$30,IF(Skills!C17=3,120+Inputs!$B$28+Inputs!$B$30,MAX(0,(Inputs!$B$3-100)*3)+Inputs!$B$29+Inputs!$B$30)))</f>
        <v/>
      </c>
      <c r="E353">
        <f>INDEX(FactorTable!$B$2:$Y$301, MATCH(ROUND(MIN(300,MAX(1,D353)),0), FactorTable!$A$2:$A$301,0), Skills!L17+1)</f>
        <v/>
      </c>
      <c r="F353">
        <f>IF(Skills!M17=TRUE,(Skills!K17/10)*(E353/1000),Skills!K17/10)+Skills!N17</f>
        <v/>
      </c>
      <c r="G353">
        <f>Calc!G17</f>
        <v/>
      </c>
      <c r="H353">
        <f>Calc!H17</f>
        <v/>
      </c>
      <c r="I353">
        <f>IF(Skills!T17&lt;&gt;"",1+(Skills!T17/10)*($Z$3/1000)/100,1)</f>
        <v/>
      </c>
      <c r="J353" t="inlineStr"/>
      <c r="K353" t="inlineStr"/>
      <c r="L353" t="inlineStr"/>
      <c r="M353" t="inlineStr"/>
      <c r="N353" t="inlineStr"/>
      <c r="O353">
        <f>(1-Summary!$B$11)*S353+Summary!$B$11*U353</f>
        <v/>
      </c>
      <c r="P353">
        <f>IF(B378=0,0,O353/B378)</f>
        <v/>
      </c>
      <c r="Q353">
        <f>IFERROR(1/(IF(Inputs!$B$39="pvp",15,MAX(0.1,Skills!D17-IF(Skills!E17=TRUE,Inputs!$B$33,0)))*(1-IF(AND(ArtifactsInput!$M$27,Inputs!$B$4="Chapter Hunt"),CHOOSE(ArtifactsInput!$N$27+1,20,24,28,32,36,40),0)/100)),0)</f>
        <v/>
      </c>
      <c r="R353" t="n">
        <v>0</v>
      </c>
      <c r="S353" t="n">
        <v>0</v>
      </c>
      <c r="U353" t="n">
        <v>0</v>
      </c>
    </row>
    <row r="354">
      <c r="A354">
        <f>Skills!A18</f>
        <v/>
      </c>
      <c r="B354">
        <f>Skills!B18</f>
        <v/>
      </c>
      <c r="C354">
        <f>Inputs!$B$3&gt;=75</f>
        <v/>
      </c>
      <c r="D354">
        <f>IF(Skills!C18=1,60+Inputs!$B$26+Inputs!$B$30,IF(Skills!C18=2,90+Inputs!$B$27+Inputs!$B$30,IF(Skills!C18=3,120+Inputs!$B$28+Inputs!$B$30,MAX(0,(Inputs!$B$3-100)*3)+Inputs!$B$29+Inputs!$B$30)))</f>
        <v/>
      </c>
      <c r="E354">
        <f>INDEX(FactorTable!$B$2:$Y$301, MATCH(ROUND(MIN(300,MAX(1,D354)),0), FactorTable!$A$2:$A$301,0), Skills!L18+1)</f>
        <v/>
      </c>
      <c r="F354">
        <f>IF(Skills!M18=TRUE,(Skills!K18/10)*(E354/1000),Skills!K18/10)+Skills!N18</f>
        <v/>
      </c>
      <c r="G354">
        <f>Calc!G18</f>
        <v/>
      </c>
      <c r="H354">
        <f>Calc!H18</f>
        <v/>
      </c>
      <c r="I354">
        <f>IF(Skills!T18&lt;&gt;"",1+(Skills!T18/10)*($Z$3/1000)/100,1)</f>
        <v/>
      </c>
      <c r="J354" t="inlineStr"/>
      <c r="K354" t="inlineStr"/>
      <c r="L354" t="inlineStr"/>
      <c r="M354" t="inlineStr"/>
      <c r="N354" t="inlineStr"/>
      <c r="O354">
        <f>(1-Summary!$B$11)*S354+Summary!$B$11*U354</f>
        <v/>
      </c>
      <c r="P354">
        <f>IF(B378=0,0,O354/B378)</f>
        <v/>
      </c>
      <c r="Q354">
        <f>IFERROR(1/(IF(Inputs!$B$39="pvp",15,MAX(0.1,Skills!D18-IF(Skills!E18=TRUE,Inputs!$B$33,0)))*(1-IF(AND(ArtifactsInput!$M$27,Inputs!$B$4="Chapter Hunt"),CHOOSE(ArtifactsInput!$N$27+1,20,24,28,32,36,40),0)/100)),0)</f>
        <v/>
      </c>
      <c r="R354" t="n">
        <v>0</v>
      </c>
      <c r="S354" t="n">
        <v>0</v>
      </c>
      <c r="U354" t="n">
        <v>0</v>
      </c>
    </row>
    <row r="355">
      <c r="A355">
        <f>Skills!A19</f>
        <v/>
      </c>
      <c r="B355">
        <f>Skills!B19</f>
        <v/>
      </c>
      <c r="C355">
        <f>Inputs!$B$3&gt;=110</f>
        <v/>
      </c>
      <c r="D355">
        <f>IF(Skills!C19=1,60+Inputs!$B$26+Inputs!$B$30,IF(Skills!C19=2,90+Inputs!$B$27+Inputs!$B$30,IF(Skills!C19=3,120+Inputs!$B$28+Inputs!$B$30,MAX(0,(Inputs!$B$3-100)*3)+Inputs!$B$29+Inputs!$B$30)))</f>
        <v/>
      </c>
      <c r="E355">
        <f>INDEX(FactorTable!$B$2:$Y$301, MATCH(ROUND(MIN(300,MAX(1,D355)),0), FactorTable!$A$2:$A$301,0), Skills!L19+1)</f>
        <v/>
      </c>
      <c r="F355">
        <f>(Skills!K19/10)*(E355/1000)*64/45+Skills!N19</f>
        <v/>
      </c>
      <c r="G355">
        <f>Calc!G19</f>
        <v/>
      </c>
      <c r="H355">
        <f>Calc!H19</f>
        <v/>
      </c>
      <c r="I355">
        <f>IF(Skills!T19&lt;&gt;"",1+(Skills!T19/10)*($Z$3/1000)/100,1)</f>
        <v/>
      </c>
      <c r="J355" t="inlineStr"/>
      <c r="K355" t="inlineStr"/>
      <c r="L355" t="inlineStr"/>
      <c r="M355" t="inlineStr"/>
      <c r="N355" t="inlineStr"/>
      <c r="O355">
        <f>(1-Summary!$B$11)*S355+Summary!$B$11*U355</f>
        <v/>
      </c>
      <c r="P355">
        <f>IF(B378=0,0,O355/B378)</f>
        <v/>
      </c>
      <c r="Q355">
        <f>IFERROR(1/(IF(Inputs!$B$39="pvp",15,MAX(0.1,Skills!D19-IF(Skills!E19=TRUE,Inputs!$B$33,0)))*(1-IF(AND(ArtifactsInput!$M$27,Inputs!$B$4="Chapter Hunt"),CHOOSE(ArtifactsInput!$N$27+1,20,24,28,32,36,40),0)/100)),0)</f>
        <v/>
      </c>
      <c r="R355">
        <f>IF(AND(Inputs!$B$39&lt;&gt;"pvp",Inputs!$B$44&gt;0),IF(Inputs!$B$44&lt;=0,0,(INT(Inputs!$B$44/(IF(Inputs!$B$39="pvp",15,MAX(0.1,Skills!D19-IF(Skills!E19=TRUE,Inputs!$B$33,0)))*(1-IF(AND(ArtifactsInput!$M$27,Inputs!$B$4="Chapter Hunt"),CHOOSE(ArtifactsInput!$N$27+1,20,24,28,32,36,40),0)/100)))+1)),0)</f>
        <v/>
      </c>
      <c r="S355" t="n">
        <v>0</v>
      </c>
      <c r="U355" t="n">
        <v>0</v>
      </c>
    </row>
    <row r="356">
      <c r="A356">
        <f>Skills!A20</f>
        <v/>
      </c>
      <c r="B356">
        <f>Skills!B20</f>
        <v/>
      </c>
      <c r="C356">
        <f>Inputs!$B$3&gt;=125</f>
        <v/>
      </c>
      <c r="D356">
        <f>IF(Skills!C20=1,60+Inputs!$B$26+Inputs!$B$30,IF(Skills!C20=2,90+Inputs!$B$27+Inputs!$B$30,IF(Skills!C20=3,120+Inputs!$B$28+Inputs!$B$30,MAX(0,(Inputs!$B$3-100)*3)+Inputs!$B$29+Inputs!$B$30)))</f>
        <v/>
      </c>
      <c r="E356">
        <f>INDEX(FactorTable!$B$2:$Y$301, MATCH(ROUND(MIN(300,MAX(1,D356)),0), FactorTable!$A$2:$A$301,0), Skills!L20+1)</f>
        <v/>
      </c>
      <c r="F356">
        <f>IF(Skills!M20=TRUE,(Skills!K20/10)*(E356/1000),Skills!K20/10)+Skills!N20</f>
        <v/>
      </c>
      <c r="G356">
        <f>Calc!G20</f>
        <v/>
      </c>
      <c r="H356">
        <f>Calc!H20</f>
        <v/>
      </c>
      <c r="I356">
        <f>IF(Skills!T20&lt;&gt;"",1+(Skills!T20/10)*($Z$3/1000)/100,1)</f>
        <v/>
      </c>
      <c r="J356" t="inlineStr"/>
      <c r="K356" t="inlineStr"/>
      <c r="L356" t="inlineStr"/>
      <c r="M356" t="inlineStr"/>
      <c r="N356" t="inlineStr"/>
      <c r="O356">
        <f>(1-Summary!$B$11)*S356+Summary!$B$11*U356</f>
        <v/>
      </c>
      <c r="P356">
        <f>IF(B378=0,0,O356/B378)</f>
        <v/>
      </c>
      <c r="Q356">
        <f>IFERROR(1/(IF(Inputs!$B$39="pvp",15,MAX(0.1,Skills!D20-IF(Skills!E20=TRUE,Inputs!$B$33,0)))*(1-IF(AND(ArtifactsInput!$M$27,Inputs!$B$4="Chapter Hunt"),CHOOSE(ArtifactsInput!$N$27+1,20,24,28,32,36,40),0)/100)),0)</f>
        <v/>
      </c>
      <c r="R356" t="n">
        <v>0</v>
      </c>
      <c r="S356" t="n">
        <v>0</v>
      </c>
      <c r="U356" t="n">
        <v>0</v>
      </c>
    </row>
    <row r="357">
      <c r="A357">
        <f>Skills!A21</f>
        <v/>
      </c>
      <c r="B357">
        <f>Skills!B21</f>
        <v/>
      </c>
      <c r="C357">
        <f>Inputs!$B$3&gt;=33</f>
        <v/>
      </c>
      <c r="D357">
        <f>IF(Skills!C21=1,60+Inputs!$B$26+Inputs!$B$30,IF(Skills!C21=2,90+Inputs!$B$27+Inputs!$B$30,IF(Skills!C21=3,120+Inputs!$B$28+Inputs!$B$30,MAX(0,(Inputs!$B$3-100)*3)+Inputs!$B$29+Inputs!$B$30)))</f>
        <v/>
      </c>
      <c r="E357">
        <f>INDEX(FactorTable!$B$2:$Y$301, MATCH(ROUND(MIN(300,MAX(1,D357)),0), FactorTable!$A$2:$A$301,0), Skills!L21+1)</f>
        <v/>
      </c>
      <c r="F357">
        <f>IF(Skills!M21=TRUE,(Skills!K21/10)*(E357/1000),Skills!K21/10)+Skills!N21</f>
        <v/>
      </c>
      <c r="G357">
        <f>Calc!G21</f>
        <v/>
      </c>
      <c r="H357">
        <f>Calc!H21</f>
        <v/>
      </c>
      <c r="I357">
        <f>IF(Skills!T21&lt;&gt;"",1+(Skills!T21/10)*($Z$3/1000)/100,1)</f>
        <v/>
      </c>
      <c r="J357" t="inlineStr"/>
      <c r="K357" t="inlineStr"/>
      <c r="L357" t="inlineStr"/>
      <c r="M357" t="inlineStr"/>
      <c r="N357" t="inlineStr"/>
      <c r="O357">
        <f>(1-Summary!$B$11)*S357+Summary!$B$11*U357</f>
        <v/>
      </c>
      <c r="P357">
        <f>IF(B378=0,0,O357/B378)</f>
        <v/>
      </c>
      <c r="Q357">
        <f>IFERROR(1/(IF(Inputs!$B$39="pvp",15,MAX(0.1,Skills!D21-IF(Skills!E21=TRUE,Inputs!$B$33,0)))*(1-IF(AND(ArtifactsInput!$M$27,Inputs!$B$4="Chapter Hunt"),CHOOSE(ArtifactsInput!$N$27+1,20,24,28,32,36,40),0)/100)),0)</f>
        <v/>
      </c>
      <c r="R357" t="n">
        <v>0</v>
      </c>
      <c r="S357" t="n">
        <v>0</v>
      </c>
      <c r="U357" t="n">
        <v>0</v>
      </c>
    </row>
    <row r="358">
      <c r="A358">
        <f>Skills!A22</f>
        <v/>
      </c>
      <c r="B358">
        <f>Skills!B22</f>
        <v/>
      </c>
      <c r="C358">
        <f>Inputs!$B$3&gt;=43</f>
        <v/>
      </c>
      <c r="D358">
        <f>IF(Skills!C22=1,60+Inputs!$B$26+Inputs!$B$30,IF(Skills!C22=2,90+Inputs!$B$27+Inputs!$B$30,IF(Skills!C22=3,120+Inputs!$B$28+Inputs!$B$30,MAX(0,(Inputs!$B$3-100)*3)+Inputs!$B$29+Inputs!$B$30)))</f>
        <v/>
      </c>
      <c r="E358">
        <f>INDEX(FactorTable!$B$2:$Y$301, MATCH(ROUND(MIN(300,MAX(1,D358)),0), FactorTable!$A$2:$A$301,0), Skills!L22+1)</f>
        <v/>
      </c>
      <c r="F358">
        <f>IF(Skills!M22=TRUE,(Skills!K22/10)*(E358/1000),Skills!K22/10)+Skills!N22</f>
        <v/>
      </c>
      <c r="G358">
        <f>Calc!G22</f>
        <v/>
      </c>
      <c r="H358">
        <f>Calc!H22</f>
        <v/>
      </c>
      <c r="I358">
        <f>IF(Skills!T22&lt;&gt;"",1+(Skills!T22/10)*($Z$3/1000)/100,1)</f>
        <v/>
      </c>
      <c r="J358" t="inlineStr"/>
      <c r="K358" t="inlineStr"/>
      <c r="L358" t="inlineStr"/>
      <c r="M358" t="inlineStr"/>
      <c r="N358" t="inlineStr"/>
      <c r="O358">
        <f>(1-Summary!$B$11)*S358+Summary!$B$11*U358</f>
        <v/>
      </c>
      <c r="P358">
        <f>IF(B378=0,0,O358/B378)</f>
        <v/>
      </c>
      <c r="Q358">
        <f>IFERROR(1/(IF(Inputs!$B$39="pvp",15,MAX(0.1,Skills!D22-IF(Skills!E22=TRUE,Inputs!$B$33,0)))*(1-IF(AND(ArtifactsInput!$M$27,Inputs!$B$4="Chapter Hunt"),CHOOSE(ArtifactsInput!$N$27+1,20,24,28,32,36,40),0)/100)),0)</f>
        <v/>
      </c>
      <c r="R358" t="n">
        <v>0</v>
      </c>
      <c r="S358" t="n">
        <v>0</v>
      </c>
      <c r="U358" t="n">
        <v>0</v>
      </c>
    </row>
    <row r="359">
      <c r="A359">
        <f>Skills!A23</f>
        <v/>
      </c>
      <c r="B359">
        <f>Skills!B23</f>
        <v/>
      </c>
      <c r="C359">
        <f>Inputs!$B$3&gt;=50</f>
        <v/>
      </c>
      <c r="D359">
        <f>IF(Skills!C23=1,60+Inputs!$B$26+Inputs!$B$30,IF(Skills!C23=2,90+Inputs!$B$27+Inputs!$B$30,IF(Skills!C23=3,120+Inputs!$B$28+Inputs!$B$30,MAX(0,(Inputs!$B$3-100)*3)+Inputs!$B$29+Inputs!$B$30)))</f>
        <v/>
      </c>
      <c r="E359">
        <f>INDEX(FactorTable!$B$2:$Y$301, MATCH(ROUND(MIN(300,MAX(1,D359)),0), FactorTable!$A$2:$A$301,0), Skills!L23+1)</f>
        <v/>
      </c>
      <c r="F359">
        <f>IF(Skills!M23=TRUE,(Skills!K23/10)*(E359/1000),Skills!K23/10)+Skills!N23</f>
        <v/>
      </c>
      <c r="G359">
        <f>Calc!G23</f>
        <v/>
      </c>
      <c r="H359">
        <f>Calc!H23</f>
        <v/>
      </c>
      <c r="I359">
        <f>IF(Skills!T23&lt;&gt;"",1+(Skills!T23/10)*($Z$3/1000)/100,1)</f>
        <v/>
      </c>
      <c r="J359" t="inlineStr"/>
      <c r="K359" t="inlineStr"/>
      <c r="L359" t="inlineStr"/>
      <c r="M359" t="inlineStr"/>
      <c r="N359" t="inlineStr"/>
      <c r="O359">
        <f>(1-Summary!$B$11)*S359+Summary!$B$11*U359</f>
        <v/>
      </c>
      <c r="P359">
        <f>IF(B378=0,0,O359/B378)</f>
        <v/>
      </c>
      <c r="Q359">
        <f>IFERROR(1/(IF(Inputs!$B$39="pvp",15,MAX(0.1,Skills!D23-IF(Skills!E23=TRUE,Inputs!$B$33,0)))*(1-IF(AND(ArtifactsInput!$M$27,Inputs!$B$4="Chapter Hunt"),CHOOSE(ArtifactsInput!$N$27+1,20,24,28,32,36,40),0)/100)),0)</f>
        <v/>
      </c>
      <c r="R359" t="n">
        <v>0</v>
      </c>
      <c r="S359" t="n">
        <v>0</v>
      </c>
      <c r="U359" t="n">
        <v>0</v>
      </c>
    </row>
    <row r="360">
      <c r="A360">
        <f>Skills!A24</f>
        <v/>
      </c>
      <c r="B360">
        <f>Skills!B24</f>
        <v/>
      </c>
      <c r="C360">
        <f>Inputs!$B$3&gt;=74</f>
        <v/>
      </c>
      <c r="D360">
        <f>IF(Skills!C24=1,60+Inputs!$B$26+Inputs!$B$30,IF(Skills!C24=2,90+Inputs!$B$27+Inputs!$B$30,IF(Skills!C24=3,120+Inputs!$B$28+Inputs!$B$30,MAX(0,(Inputs!$B$3-100)*3)+Inputs!$B$29+Inputs!$B$30)))</f>
        <v/>
      </c>
      <c r="E360">
        <f>INDEX(FactorTable!$B$2:$Y$301, MATCH(ROUND(MIN(300,MAX(1,D360)),0), FactorTable!$A$2:$A$301,0), Skills!L24+1)</f>
        <v/>
      </c>
      <c r="F360">
        <f>IF(Skills!M24=TRUE,(Skills!K24/10)*(E360/1000),Skills!K24/10)+Skills!N24</f>
        <v/>
      </c>
      <c r="G360">
        <f>Calc!G24</f>
        <v/>
      </c>
      <c r="H360">
        <f>Calc!H24</f>
        <v/>
      </c>
      <c r="I360">
        <f>IF(Skills!T24&lt;&gt;"",1+(Skills!T24/10)*($Z$3/1000)/100,1)</f>
        <v/>
      </c>
      <c r="J360" t="inlineStr"/>
      <c r="K360" t="inlineStr"/>
      <c r="L360" t="inlineStr"/>
      <c r="M360" t="inlineStr"/>
      <c r="N360" t="inlineStr"/>
      <c r="O360">
        <f>(1-Summary!$B$11)*S360+Summary!$B$11*U360</f>
        <v/>
      </c>
      <c r="P360">
        <f>IF(B378=0,0,O360/B378)</f>
        <v/>
      </c>
      <c r="Q360">
        <f>IFERROR(1/(IF(Inputs!$B$39="pvp",15,MAX(0.1,Skills!D24-IF(Skills!E24=TRUE,Inputs!$B$33,0)))*(1-IF(AND(ArtifactsInput!$M$27,Inputs!$B$4="Chapter Hunt"),CHOOSE(ArtifactsInput!$N$27+1,20,24,28,32,36,40),0)/100)),0)</f>
        <v/>
      </c>
      <c r="R360" t="n">
        <v>0</v>
      </c>
      <c r="S360" t="n">
        <v>0</v>
      </c>
      <c r="U360" t="n">
        <v>0</v>
      </c>
    </row>
    <row r="361">
      <c r="A361">
        <f>Skills!A25</f>
        <v/>
      </c>
      <c r="B361">
        <f>Skills!B25</f>
        <v/>
      </c>
      <c r="C361">
        <f>Inputs!$B$3&gt;=74</f>
        <v/>
      </c>
      <c r="D361">
        <f>IF(Skills!C25=1,60+Inputs!$B$26+Inputs!$B$30,IF(Skills!C25=2,90+Inputs!$B$27+Inputs!$B$30,IF(Skills!C25=3,120+Inputs!$B$28+Inputs!$B$30,MAX(0,(Inputs!$B$3-100)*3)+Inputs!$B$29+Inputs!$B$30)))</f>
        <v/>
      </c>
      <c r="E361">
        <f>INDEX(FactorTable!$B$2:$Y$301, MATCH(ROUND(MIN(300,MAX(1,D361)),0), FactorTable!$A$2:$A$301,0), Skills!L25+1)</f>
        <v/>
      </c>
      <c r="F361">
        <f>IF(Skills!M25=TRUE,(Skills!K25/10)*(E361/1000),Skills!K25/10)+Skills!N25</f>
        <v/>
      </c>
      <c r="G361">
        <f>Calc!G25</f>
        <v/>
      </c>
      <c r="H361">
        <f>Calc!H25</f>
        <v/>
      </c>
      <c r="I361">
        <f>IF(Skills!T25&lt;&gt;"",1+(Skills!T25/10)*($Z$3/1000)/100,1)</f>
        <v/>
      </c>
      <c r="J361" t="inlineStr"/>
      <c r="K361" t="inlineStr"/>
      <c r="L361" t="inlineStr"/>
      <c r="M361" t="inlineStr"/>
      <c r="N361" t="inlineStr"/>
      <c r="O361">
        <f>(1-Summary!$B$11)*S361+Summary!$B$11*U361</f>
        <v/>
      </c>
      <c r="P361">
        <f>IF(B378=0,0,O361/B378)</f>
        <v/>
      </c>
      <c r="Q361">
        <f>IFERROR(1/(IF(Inputs!$B$39="pvp",15,MAX(0.1,Skills!D25-IF(Skills!E25=TRUE,Inputs!$B$33,0)))*(1-IF(AND(ArtifactsInput!$M$27,Inputs!$B$4="Chapter Hunt"),CHOOSE(ArtifactsInput!$N$27+1,20,24,28,32,36,40),0)/100)),0)</f>
        <v/>
      </c>
      <c r="R361" t="n">
        <v>0</v>
      </c>
      <c r="S361" t="n">
        <v>0</v>
      </c>
      <c r="U361" t="n">
        <v>0</v>
      </c>
    </row>
    <row r="362">
      <c r="A362">
        <f>Skills!A26</f>
        <v/>
      </c>
      <c r="B362">
        <f>Skills!B26</f>
        <v/>
      </c>
      <c r="C362">
        <f>Inputs!$B$3&gt;=117</f>
        <v/>
      </c>
      <c r="D362">
        <f>IF(Skills!C26=1,60+Inputs!$B$26+Inputs!$B$30,IF(Skills!C26=2,90+Inputs!$B$27+Inputs!$B$30,IF(Skills!C26=3,120+Inputs!$B$28+Inputs!$B$30,MAX(0,(Inputs!$B$3-100)*3)+Inputs!$B$29+Inputs!$B$30)))</f>
        <v/>
      </c>
      <c r="E362">
        <f>INDEX(FactorTable!$B$2:$Y$301, MATCH(ROUND(MIN(300,MAX(1,D362)),0), FactorTable!$A$2:$A$301,0), Skills!L26+1)</f>
        <v/>
      </c>
      <c r="F362">
        <f>IF(Skills!M26=TRUE,(Skills!K26/10)*(E362/1000),Skills!K26/10)+Skills!N26</f>
        <v/>
      </c>
      <c r="G362">
        <f>Calc!G26</f>
        <v/>
      </c>
      <c r="H362">
        <f>Calc!H26</f>
        <v/>
      </c>
      <c r="I362">
        <f>IF(Skills!T26&lt;&gt;"",1+(Skills!T26/10)*($Z$3/1000)/100,1)</f>
        <v/>
      </c>
      <c r="J362" t="inlineStr"/>
      <c r="K362" t="inlineStr"/>
      <c r="L362" t="inlineStr"/>
      <c r="M362" t="inlineStr"/>
      <c r="N362" t="inlineStr"/>
      <c r="O362">
        <f>(1-Summary!$B$11)*S362+Summary!$B$11*U362</f>
        <v/>
      </c>
      <c r="P362">
        <f>IF(B378=0,0,O362/B378)</f>
        <v/>
      </c>
      <c r="Q362">
        <f>IFERROR(1/(IF(Inputs!$B$39="pvp",15,MAX(0.1,Skills!D26-IF(Skills!E26=TRUE,Inputs!$B$33,0)))*(1-IF(AND(ArtifactsInput!$M$27,Inputs!$B$4="Chapter Hunt"),CHOOSE(ArtifactsInput!$N$27+1,20,24,28,32,36,40),0)/100)),0)</f>
        <v/>
      </c>
      <c r="R362" t="n">
        <v>0</v>
      </c>
      <c r="S362" t="n">
        <v>0</v>
      </c>
      <c r="U362" t="n">
        <v>0</v>
      </c>
    </row>
    <row r="363">
      <c r="A363">
        <f>Skills!A27</f>
        <v/>
      </c>
      <c r="B363">
        <f>Skills!B27</f>
        <v/>
      </c>
      <c r="C363">
        <f>Inputs!$B$3&gt;=120</f>
        <v/>
      </c>
      <c r="D363">
        <f>IF(Skills!C27=1,60+Inputs!$B$26+Inputs!$B$30,IF(Skills!C27=2,90+Inputs!$B$27+Inputs!$B$30,IF(Skills!C27=3,120+Inputs!$B$28+Inputs!$B$30,MAX(0,(Inputs!$B$3-100)*3)+Inputs!$B$29+Inputs!$B$30)))</f>
        <v/>
      </c>
      <c r="E363">
        <f>INDEX(FactorTable!$B$2:$Y$301, MATCH(ROUND(MIN(300,MAX(1,D363)),0), FactorTable!$A$2:$A$301,0), Skills!L27+1)</f>
        <v/>
      </c>
      <c r="F363">
        <f>IF(Skills!M27=TRUE,(Skills!K27/10)*(E363/1000),Skills!K27/10)+Skills!N27</f>
        <v/>
      </c>
      <c r="G363">
        <f>Calc!G27</f>
        <v/>
      </c>
      <c r="H363">
        <f>Calc!H27</f>
        <v/>
      </c>
      <c r="I363">
        <f>IF(Skills!T27&lt;&gt;"",1+(Skills!T27/10)*($Z$3/1000)/100,1)</f>
        <v/>
      </c>
      <c r="J363" t="inlineStr"/>
      <c r="K363" t="inlineStr"/>
      <c r="L363" t="inlineStr"/>
      <c r="M363" t="inlineStr"/>
      <c r="N363" t="inlineStr"/>
      <c r="O363">
        <f>(1-Summary!$B$11)*S363+Summary!$B$11*U363</f>
        <v/>
      </c>
      <c r="P363">
        <f>IF(B378=0,0,O363/B378)</f>
        <v/>
      </c>
      <c r="Q363">
        <f>IFERROR(1/(IF(Inputs!$B$39="pvp",15,MAX(0.1,Skills!D27-IF(Skills!E27=TRUE,Inputs!$B$33,0)))*(1-IF(AND(ArtifactsInput!$M$27,Inputs!$B$4="Chapter Hunt"),CHOOSE(ArtifactsInput!$N$27+1,20,24,28,32,36,40),0)/100)),0)</f>
        <v/>
      </c>
      <c r="R363" t="n">
        <v>0</v>
      </c>
      <c r="S363" t="n">
        <v>0</v>
      </c>
      <c r="U363" t="n">
        <v>0</v>
      </c>
    </row>
    <row r="365">
      <c r="A365" t="inlineStr">
        <is>
          <t>Average Buff Multiplier</t>
        </is>
      </c>
      <c r="B365">
        <f>(1+(IF(C339=TRUE,F339*IF(AND(Inputs!$B$39&lt;&gt;"pvp",Inputs!$B$44&gt;0),(((R339-1)*(Skills!S3*(1+((Inputs!$B$35+(ArtifactsInput!$M$7-ArtifactsInput!$M$7)*CHOOSE(ArtifactsInput!$N$7+1,6,7.2,8.4,9.6,10.8,12))+IF(Inputs!$B$3&gt;=117,F362,0))/100))+MIN((Skills!S3*(1+((Inputs!$B$35+(ArtifactsInput!$M$7-ArtifactsInput!$M$7)*CHOOSE(ArtifactsInput!$N$7+1,6,7.2,8.4,9.6,10.8,12))+IF(Inputs!$B$3&gt;=117,F362,0))/100)),MAX(0,Inputs!$B$44-((R339-1)*Skills!D3))))/Inputs!$B$44),IF(Inputs!$B$39="pvp",MIN((Skills!S3*(1+((Inputs!$B$35+(ArtifactsInput!$M$7-ArtifactsInput!$M$7)*CHOOSE(ArtifactsInput!$N$7+1,6,7.2,8.4,9.6,10.8,12))+IF(Inputs!$B$3&gt;=117,F362,0))/100)),15)/15,(Skills!S3*(1+((Inputs!$B$35+(ArtifactsInput!$M$7-ArtifactsInput!$M$7)*CHOOSE(ArtifactsInput!$N$7+1,6,7.2,8.4,9.6,10.8,12))+IF(Inputs!$B$3&gt;=117,F362,0))/100))/Skills!D3)),0)+IF(C340=TRUE,F340*IF(AND(Inputs!$B$39&lt;&gt;"pvp",Inputs!$B$44&gt;0),(((R340-1)*(Skills!S4*(1+((Inputs!$B$35+(ArtifactsInput!$M$7-ArtifactsInput!$M$7)*CHOOSE(ArtifactsInput!$N$7+1,6,7.2,8.4,9.6,10.8,12))+IF(Inputs!$B$3&gt;=117,F362,0))/100))+MIN((Skills!S4*(1+((Inputs!$B$35+(ArtifactsInput!$M$7-ArtifactsInput!$M$7)*CHOOSE(ArtifactsInput!$N$7+1,6,7.2,8.4,9.6,10.8,12))+IF(Inputs!$B$3&gt;=117,F362,0))/100)),MAX(0,Inputs!$B$44-((R340-1)*Skills!D4))))/Inputs!$B$44),IF(Inputs!$B$39="pvp",MIN((Skills!S4*(1+((Inputs!$B$35+(ArtifactsInput!$M$7-ArtifactsInput!$M$7)*CHOOSE(ArtifactsInput!$N$7+1,6,7.2,8.4,9.6,10.8,12))+IF(Inputs!$B$3&gt;=117,F362,0))/100)),15)/15,(Skills!S4*(1+((Inputs!$B$35+(ArtifactsInput!$M$7-ArtifactsInput!$M$7)*CHOOSE(ArtifactsInput!$N$7+1,6,7.2,8.4,9.6,10.8,12))+IF(Inputs!$B$3&gt;=117,F362,0))/100))/Skills!D4)),0)+IF(C341=TRUE,F341*IF(AND(Inputs!$B$39&lt;&gt;"pvp",Inputs!$B$44&gt;0),(((R341-1)*(Skills!S5*(1+((Inputs!$B$35+(ArtifactsInput!$M$7-ArtifactsInput!$M$7)*CHOOSE(ArtifactsInput!$N$7+1,6,7.2,8.4,9.6,10.8,12))+IF(Inputs!$B$3&gt;=117,F362,0))/100))+MIN((Skills!S5*(1+((Inputs!$B$35+(ArtifactsInput!$M$7-ArtifactsInput!$M$7)*CHOOSE(ArtifactsInput!$N$7+1,6,7.2,8.4,9.6,10.8,12))+IF(Inputs!$B$3&gt;=117,F362,0))/100)),MAX(0,Inputs!$B$44-((R341-1)*Skills!D5))))/Inputs!$B$44),IF(Inputs!$B$39="pvp",MIN((Skills!S5*(1+((Inputs!$B$35+(ArtifactsInput!$M$7-ArtifactsInput!$M$7)*CHOOSE(ArtifactsInput!$N$7+1,6,7.2,8.4,9.6,10.8,12))+IF(Inputs!$B$3&gt;=117,F362,0))/100)),15)/15,(Skills!S5*(1+((Inputs!$B$35+(ArtifactsInput!$M$7-ArtifactsInput!$M$7)*CHOOSE(ArtifactsInput!$N$7+1,6,7.2,8.4,9.6,10.8,12))+IF(Inputs!$B$3&gt;=117,F362,0))/100))/Skills!D5)),0)+IF(C347=TRUE,F347*IF(AND(Inputs!$B$39&lt;&gt;"pvp",Inputs!$B$44&gt;0),(((R347-1)*(Skills!S11*(1+((Inputs!$B$35+(ArtifactsInput!$M$7-ArtifactsInput!$M$7)*CHOOSE(ArtifactsInput!$N$7+1,6,7.2,8.4,9.6,10.8,12))+IF(Inputs!$B$3&gt;=117,F362,0))/100))+MIN((Skills!S11*(1+((Inputs!$B$35+(ArtifactsInput!$M$7-ArtifactsInput!$M$7)*CHOOSE(ArtifactsInput!$N$7+1,6,7.2,8.4,9.6,10.8,12))+IF(Inputs!$B$3&gt;=117,F362,0))/100)),MAX(0,Inputs!$B$44-((R347-1)*Skills!D11))))/Inputs!$B$44),IF(Inputs!$B$39="pvp",MIN((Skills!S11*(1+((Inputs!$B$35+(ArtifactsInput!$M$7-ArtifactsInput!$M$7)*CHOOSE(ArtifactsInput!$N$7+1,6,7.2,8.4,9.6,10.8,12))+IF(Inputs!$B$3&gt;=117,F362,0))/100)),15)/15,(Skills!S11*(1+((Inputs!$B$35+(ArtifactsInput!$M$7-ArtifactsInput!$M$7)*CHOOSE(ArtifactsInput!$N$7+1,6,7.2,8.4,9.6,10.8,12))+IF(Inputs!$B$3&gt;=117,F362,0)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350=TRUE,(1+F350*IF(AND(Inputs!$B$39&lt;&gt;"pvp",Inputs!$B$44&gt;0),(((R350-1)*(Skills!S14*(1+((Inputs!$B$35+(ArtifactsInput!$M$7-ArtifactsInput!$M$7)*CHOOSE(ArtifactsInput!$N$7+1,6,7.2,8.4,9.6,10.8,12))+IF(Inputs!$B$3&gt;=117,F362,0))/100))+MIN((Skills!S14*(1+((Inputs!$B$35+(ArtifactsInput!$M$7-ArtifactsInput!$M$7)*CHOOSE(ArtifactsInput!$N$7+1,6,7.2,8.4,9.6,10.8,12))+IF(Inputs!$B$3&gt;=117,F362,0))/100)),MAX(0,Inputs!$B$44-((R350-1)*Skills!D14))))/Inputs!$B$44),IF(Inputs!$B$39="pvp",MIN((Skills!S14*(1+((Inputs!$B$35+(ArtifactsInput!$M$7-ArtifactsInput!$M$7)*CHOOSE(ArtifactsInput!$N$7+1,6,7.2,8.4,9.6,10.8,12))+IF(Inputs!$B$3&gt;=117,F362,0))/100)),15)/15,(Skills!S14*(1+((Inputs!$B$35+(ArtifactsInput!$M$7-ArtifactsInput!$M$7)*CHOOSE(ArtifactsInput!$N$7+1,6,7.2,8.4,9.6,10.8,12))+IF(Inputs!$B$3&gt;=117,F362,0))/100))/Skills!D14))/100),1)*IF(C355=TRUE,(1+F355*IF(AND(Inputs!$B$39&lt;&gt;"pvp",Inputs!$B$44&gt;0),(((R355-1)*(Skills!S19*(1+((Inputs!$B$35+(ArtifactsInput!$M$7-ArtifactsInput!$M$7)*CHOOSE(ArtifactsInput!$N$7+1,6,7.2,8.4,9.6,10.8,12))+IF(Inputs!$B$3&gt;=117,F362,0))/100))+MIN((Skills!S19*(1+((Inputs!$B$35+(ArtifactsInput!$M$7-ArtifactsInput!$M$7)*CHOOSE(ArtifactsInput!$N$7+1,6,7.2,8.4,9.6,10.8,12))+IF(Inputs!$B$3&gt;=117,F362,0))/100)),MAX(0,Inputs!$B$44-((R355-1)*Skills!D19))))/Inputs!$B$44),IF(Inputs!$B$39="pvp",MIN((Skills!S19*(1+((Inputs!$B$35+(ArtifactsInput!$M$7-ArtifactsInput!$M$7)*CHOOSE(ArtifactsInput!$N$7+1,6,7.2,8.4,9.6,10.8,12))+IF(Inputs!$B$3&gt;=117,F362,0))/100)),15)/15,(Skills!S19*(1+((Inputs!$B$35+(ArtifactsInput!$M$7-ArtifactsInput!$M$7)*CHOOSE(ArtifactsInput!$N$7+1,6,7.2,8.4,9.6,10.8,12))+IF(Inputs!$B$3&gt;=117,F362,0))/100))/Skills!D19))/100),1)</f>
        <v/>
      </c>
    </row>
    <row r="366">
      <c r="A366" t="inlineStr">
        <is>
          <t>Monster Damage Taken Bonus % (Holy Fountain)</t>
        </is>
      </c>
      <c r="B366">
        <f>IF(Inputs!$B$3&gt;=68,20*IF(Inputs!$B$39="pvp",MIN((15*(1+((Inputs!$B$35+(ArtifactsInput!$M$7-ArtifactsInput!$M$7)*CHOOSE(ArtifactsInput!$N$7+1,6,7.2,8.4,9.6,10.8,12))+IF(Inputs!$B$3&gt;=117,F362,0))/100)),15)/15,(15*(1+((Inputs!$B$35+(ArtifactsInput!$M$7-ArtifactsInput!$M$7)*CHOOSE(ArtifactsInput!$N$7+1,6,7.2,8.4,9.6,10.8,12))+IF(Inputs!$B$3&gt;=117,F362,0))/100))/Skills!D10),0)</f>
        <v/>
      </c>
    </row>
    <row r="367">
      <c r="A367" t="inlineStr">
        <is>
          <t>Normal Monster Damage Bonus % (Holy Symbol)</t>
        </is>
      </c>
      <c r="B367">
        <f>IF(C348=TRUE,F348*IF(AND(Inputs!$B$39&lt;&gt;"pvp",Inputs!$B$44&gt;0),(((R348-1)*(Skills!S12*(1+((Inputs!$B$35+(ArtifactsInput!$M$7-ArtifactsInput!$M$7)*CHOOSE(ArtifactsInput!$N$7+1,6,7.2,8.4,9.6,10.8,12))+IF(Inputs!$B$3&gt;=117,F362,0))/100))+MIN((Skills!S12*(1+((Inputs!$B$35+(ArtifactsInput!$M$7-ArtifactsInput!$M$7)*CHOOSE(ArtifactsInput!$N$7+1,6,7.2,8.4,9.6,10.8,12))+IF(Inputs!$B$3&gt;=117,F362,0))/100)),MAX(0,Inputs!$B$44-((R348-1)*Skills!D12))))/Inputs!$B$44),IF(Inputs!$B$39="pvp",MIN((Skills!S12*(1+((Inputs!$B$35+(ArtifactsInput!$M$7-ArtifactsInput!$M$7)*CHOOSE(ArtifactsInput!$N$7+1,6,7.2,8.4,9.6,10.8,12))+IF(Inputs!$B$3&gt;=117,F362,0))/100)),15)/15,(Skills!S12*(1+((Inputs!$B$35+(ArtifactsInput!$M$7-ArtifactsInput!$M$7)*CHOOSE(ArtifactsInput!$N$7+1,6,7.2,8.4,9.6,10.8,12))+IF(Inputs!$B$3&gt;=117,F362,0))/100))/Skills!D12)),0)</f>
        <v/>
      </c>
    </row>
    <row r="368">
      <c r="A368" t="inlineStr">
        <is>
          <t>Damage % Bonus (Holy Symbol - Damage Boost)</t>
        </is>
      </c>
      <c r="B368">
        <f>Skills!O12</f>
        <v/>
      </c>
    </row>
    <row r="369">
      <c r="A369" t="inlineStr">
        <is>
          <t>Crit Damage % Bonus (Blood of the Divine)</t>
        </is>
      </c>
      <c r="B369">
        <f>4*IF(C356=TRUE,F356,0)</f>
        <v/>
      </c>
    </row>
    <row r="370">
      <c r="A370" t="inlineStr">
        <is>
          <t>Attack Speed Bonus %</t>
        </is>
      </c>
      <c r="B370">
        <f>IF(C353=TRUE,F353+(F357-Calc!F21),0)+IF(Inputs!$B$3&gt;=134,15,0)</f>
        <v/>
      </c>
    </row>
    <row r="371">
      <c r="A371" t="inlineStr">
        <is>
          <t>Actions Per Second</t>
        </is>
      </c>
      <c r="B371">
        <f>1+MIN(150,150*(1-(1-Inputs!$B$12/150)*(1-B370/150)))/100</f>
        <v/>
      </c>
    </row>
    <row r="372">
      <c r="A372" t="inlineStr">
        <is>
          <t>Skill + Buff Cast Rate</t>
        </is>
      </c>
      <c r="B372">
        <f>IF(AND(Inputs!$B$39&lt;&gt;"pvp",Inputs!$B$44&gt;0),SUMPRODUCT((Skills!E2:E27=TRUE)*(C338:C363=TRUE)*R338:R363)/Inputs!$B$44,SUMPRODUCT((Skills!E2:E27=TRUE)*(C338:C363=TRUE)*Q338:Q363))</f>
        <v/>
      </c>
    </row>
    <row r="373">
      <c r="A373" t="inlineStr">
        <is>
          <t>Big Bang Casts Per Second</t>
        </is>
      </c>
      <c r="B373">
        <f>MAX(0,B371-B372)</f>
        <v/>
      </c>
    </row>
    <row r="374">
      <c r="A374" t="inlineStr">
        <is>
          <t>Defense % Bonus (Divine Protection)</t>
        </is>
      </c>
      <c r="B374">
        <f>IF(C349=TRUE,F349*IF(AND(Inputs!$B$39&lt;&gt;"pvp",Inputs!$B$44&gt;0),(((R349-1)*(Skills!S13*(1+((Inputs!$B$35+(ArtifactsInput!$M$7-ArtifactsInput!$M$7)*CHOOSE(ArtifactsInput!$N$7+1,6,7.2,8.4,9.6,10.8,12))+IF(Inputs!$B$3&gt;=117,F362,0))/100))+MIN((Skills!S13*(1+((Inputs!$B$35+(ArtifactsInput!$M$7-ArtifactsInput!$M$7)*CHOOSE(ArtifactsInput!$N$7+1,6,7.2,8.4,9.6,10.8,12))+IF(Inputs!$B$3&gt;=117,F362,0))/100)),MAX(0,Inputs!$B$44-((R349-1)*Skills!D13))))/Inputs!$B$44),IF(Inputs!$B$39="pvp",MIN((Skills!S13*(1+((Inputs!$B$35+(ArtifactsInput!$M$7-ArtifactsInput!$M$7)*CHOOSE(ArtifactsInput!$N$7+1,6,7.2,8.4,9.6,10.8,12))+IF(Inputs!$B$3&gt;=117,F362,0))/100)),15)/15,(Skills!S13*(1+((Inputs!$B$35+(ArtifactsInput!$M$7-ArtifactsInput!$M$7)*CHOOSE(ArtifactsInput!$N$7+1,6,7.2,8.4,9.6,10.8,12))+IF(Inputs!$B$3&gt;=117,F362,0))/100))/Skills!D13)),0)</f>
        <v/>
      </c>
    </row>
    <row r="375">
      <c r="A375" t="inlineStr">
        <is>
          <t>Buff-Casting Startup Delay (s, fixed-duration only)</t>
        </is>
      </c>
      <c r="B375">
        <f>IF(AND(Inputs!$B$39&lt;&gt;"pvp",Inputs!$B$44&gt;0),SUMPRODUCT((Skills!S2:S27&gt;0)*(Skills!E2:E27=TRUE)*(C338:C363=TRUE))/B371,0)</f>
        <v/>
      </c>
    </row>
    <row r="376">
      <c r="A376" t="inlineStr">
        <is>
          <t>Boss-Only Total DPS (this block's swept value)</t>
        </is>
      </c>
      <c r="B376">
        <f>SUM(S338:S363)</f>
        <v/>
      </c>
    </row>
    <row r="377">
      <c r="A377" t="inlineStr">
        <is>
          <t>Normal-Only Total DPS (this block's swept value)</t>
        </is>
      </c>
      <c r="B377">
        <f>SUM(U338:U363)</f>
        <v/>
      </c>
    </row>
    <row r="378">
      <c r="A378" s="6" t="inlineStr">
        <is>
          <t>TOTAL DPS</t>
        </is>
      </c>
      <c r="B378" s="6">
        <f>SUM(O338:O363)</f>
        <v/>
      </c>
    </row>
    <row r="380">
      <c r="A380" s="6" t="inlineStr">
        <is>
          <t>Stat: NORMAL_DAMAGE %</t>
        </is>
      </c>
    </row>
    <row r="381">
      <c r="A381" s="5" t="inlineStr">
        <is>
          <t>Key</t>
        </is>
      </c>
      <c r="B381" s="5" t="inlineStr">
        <is>
          <t>Name</t>
        </is>
      </c>
      <c r="C381" s="5" t="inlineStr">
        <is>
          <t>Unlocked</t>
        </is>
      </c>
      <c r="D381" s="5" t="inlineStr">
        <is>
          <t>InputLevel</t>
        </is>
      </c>
      <c r="E381" s="5" t="inlineStr">
        <is>
          <t>Factor</t>
        </is>
      </c>
      <c r="F381" s="5" t="inlineStr">
        <is>
          <t>CoefficientPercent</t>
        </is>
      </c>
      <c r="G381" s="5" t="inlineStr">
        <is>
          <t>EffectiveHits</t>
        </is>
      </c>
      <c r="H381" s="5" t="inlineStr">
        <is>
          <t>ProcProbability</t>
        </is>
      </c>
      <c r="I381" s="5" t="inlineStr">
        <is>
          <t>MapleHeroMultiplier</t>
        </is>
      </c>
      <c r="J381" s="5" t="inlineStr">
        <is>
          <t>BaseDamage</t>
        </is>
      </c>
      <c r="K381" s="5" t="inlineStr">
        <is>
          <t>BaseHitDamage</t>
        </is>
      </c>
      <c r="L381" s="5" t="inlineStr">
        <is>
          <t>NonCritAvg</t>
        </is>
      </c>
      <c r="M381" s="5" t="inlineStr">
        <is>
          <t>CritAvg</t>
        </is>
      </c>
      <c r="N381" s="5" t="inlineStr">
        <is>
          <t>ExpectedDamage(perHit)</t>
        </is>
      </c>
      <c r="O381" s="5" t="inlineStr">
        <is>
          <t>DPS</t>
        </is>
      </c>
      <c r="P381" s="5" t="inlineStr">
        <is>
          <t>% of Total</t>
        </is>
      </c>
      <c r="R381" t="inlineStr">
        <is>
          <t>helpers</t>
        </is>
      </c>
    </row>
    <row r="382">
      <c r="A382">
        <f>Skills!A2</f>
        <v/>
      </c>
      <c r="B382">
        <f>Skills!B2</f>
        <v/>
      </c>
      <c r="C382">
        <f>Inputs!$B$3&gt;=100</f>
        <v/>
      </c>
      <c r="D382" t="inlineStr"/>
      <c r="E382" t="inlineStr"/>
      <c r="F382">
        <f>T384+Skills!N2</f>
        <v/>
      </c>
      <c r="G382">
        <f>Calc!G2</f>
        <v/>
      </c>
      <c r="H382">
        <f>Calc!H2</f>
        <v/>
      </c>
      <c r="I382">
        <f>IF(Skills!T2&lt;&gt;"",1+(Skills!T2/10)*($Z$3/1000)/100,1)</f>
        <v/>
      </c>
      <c r="J382">
        <f>((Inputs!$B$6*(1+Inputs!$B$7/100))+(((Inputs!$B$13*(1+Inputs!$B$14/100))-(Inputs!$B$13*(1+Inputs!$B$14/100)))+0.25*(Inputs!$B$15-Inputs!$B$15))*(1+Inputs!$B$7/100))*(F382/100)</f>
        <v/>
      </c>
      <c r="K382">
        <f>J382*(1+(((Inputs!$B$13+IF(Inputs!$B$3&gt;=35,(10*INDEX(FactorTable!$B$2:$Y$301,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2="TRIUMPH_FEATHER",IF(C396=TRUE,F396,0),0)/100)*(1+IF(C407=TRUE,F407,0)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382)</f>
        <v/>
      </c>
      <c r="L382">
        <f>K382*(MIN(Inputs!$B$23+(F402-Calc!F22),(Inputs!$B$24+IF(ArtifactsInput!$M$15,CHOOSE(ArtifactsInput!$N$15+1,25,30,35,40,45,50)/100*(Inputs!$B$12-Inputs!$B$12),0)))/100+(Inputs!$B$24+IF(ArtifactsInput!$M$15,CHOOSE(ArtifactsInput!$N$15+1,25,30,35,40,45,50)/100*(Inputs!$B$12-Inputs!$B$12),0))/100)/2</f>
        <v/>
      </c>
      <c r="M382">
        <f>L382*(1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2">
        <f>L382*(1-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(1-Summary!$B$11)*S382+Summary!$B$11*U382</f>
        <v/>
      </c>
      <c r="P382">
        <f>IF(B422=0,0,O382/B422)</f>
        <v/>
      </c>
      <c r="Q382">
        <f>IFERROR(1/(IF(Inputs!$B$39="pvp",15,MAX(0.1,Skills!D2-IF(Skills!E2=TRUE,Inputs!$B$33,0)))*(1-IF(AND(ArtifactsInput!$M$27,Inputs!$B$4="Chapter Hunt"),CHOOSE(ArtifactsInput!$N$27+1,20,24,28,32,36,40),0)/100)),0)</f>
        <v/>
      </c>
      <c r="R382" t="n">
        <v>0</v>
      </c>
      <c r="S382">
        <f>IF(C382,(Skills!F2*N382*B417)*IF(Inputs!$B$39="pvp",1,1+(Inputs!$B$21+Skills!O2+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382*(1-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2">
        <f>MAX(0,(Inputs!$B$3-100)*3)+Inputs!$B$29+Inputs!$B$30</f>
        <v/>
      </c>
      <c r="U382">
        <f>IF(C382,(Skills!F2*N382*B417)*IF(Inputs!$B$39="pvp",1,(1+((Inputs!$B$22+1)+Skills!P2+B411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Skills!A3</f>
        <v/>
      </c>
      <c r="B383">
        <f>Skills!B3</f>
        <v/>
      </c>
      <c r="C383">
        <f>Inputs!$B$3&gt;=15</f>
        <v/>
      </c>
      <c r="D383">
        <f>IF(Skills!C3=1,60+Inputs!$B$26+Inputs!$B$30,IF(Skills!C3=2,90+Inputs!$B$27+Inputs!$B$30,IF(Skills!C3=3,120+Inputs!$B$28+Inputs!$B$30,MAX(0,(Inputs!$B$3-100)*3)+Inputs!$B$29+Inputs!$B$30)))</f>
        <v/>
      </c>
      <c r="E383">
        <f>INDEX(FactorTable!$B$2:$Y$301, MATCH(ROUND(MIN(300,MAX(1,D383)),0), FactorTable!$A$2:$A$301,0), Skills!L3+1)</f>
        <v/>
      </c>
      <c r="F383">
        <f>IF(Skills!M3=TRUE,(Skills!K3/10)*(E383/1000),Skills!K3/10)+Skills!N3</f>
        <v/>
      </c>
      <c r="G383">
        <f>Calc!G3</f>
        <v/>
      </c>
      <c r="H383">
        <f>Calc!H3</f>
        <v/>
      </c>
      <c r="I383">
        <f>IF(Skills!T3&lt;&gt;"",1+(Skills!T3/10)*($Z$3/1000)/100,1)</f>
        <v/>
      </c>
      <c r="J383" t="inlineStr"/>
      <c r="K383" t="inlineStr"/>
      <c r="L383" t="inlineStr"/>
      <c r="M383" t="inlineStr"/>
      <c r="N383" t="inlineStr"/>
      <c r="O383">
        <f>(1-Summary!$B$11)*S383+Summary!$B$11*U383</f>
        <v/>
      </c>
      <c r="P383">
        <f>IF(B422=0,0,O383/B422)</f>
        <v/>
      </c>
      <c r="Q383">
        <f>IFERROR(1/(IF(Inputs!$B$39="pvp",15,MAX(0.1,Skills!D3-IF(Skills!E3=TRUE,Inputs!$B$33,0)))*(1-IF(AND(ArtifactsInput!$M$27,Inputs!$B$4="Chapter Hunt"),CHOOSE(ArtifactsInput!$N$27+1,20,24,28,32,36,40),0)/100)),0)</f>
        <v/>
      </c>
      <c r="R383">
        <f>IF(AND(Inputs!$B$39&lt;&gt;"pvp",Inputs!$B$44&gt;0),IF(Inputs!$B$44&lt;=0,0,(INT(Inputs!$B$44/(IF(Inputs!$B$39="pvp",15,MAX(0.1,Skills!D3-IF(Skills!E3=TRUE,Inputs!$B$33,0)))*(1-IF(AND(ArtifactsInput!$M$27,Inputs!$B$4="Chapter Hunt"),CHOOSE(ArtifactsInput!$N$27+1,20,24,28,32,36,40),0)/100)))+1)),0)</f>
        <v/>
      </c>
      <c r="S383" t="n">
        <v>0</v>
      </c>
      <c r="T383">
        <f>INDEX(FactorTable!$B$2:$Y$301, MATCH(ROUND(MIN(300,MAX(1,T382)),0), FactorTable!$A$2:$A$301,0), 22)</f>
        <v/>
      </c>
      <c r="U383" t="n">
        <v>0</v>
      </c>
    </row>
    <row r="384">
      <c r="A384">
        <f>Skills!A4</f>
        <v/>
      </c>
      <c r="B384">
        <f>Skills!B4</f>
        <v/>
      </c>
      <c r="C384">
        <f>Inputs!$B$3&gt;=38</f>
        <v/>
      </c>
      <c r="D384">
        <f>IF(Skills!C4=1,60+Inputs!$B$26+Inputs!$B$30,IF(Skills!C4=2,90+Inputs!$B$27+Inputs!$B$30,IF(Skills!C4=3,120+Inputs!$B$28+Inputs!$B$30,MAX(0,(Inputs!$B$3-100)*3)+Inputs!$B$29+Inputs!$B$30)))</f>
        <v/>
      </c>
      <c r="E384">
        <f>INDEX(FactorTable!$B$2:$Y$301, MATCH(ROUND(MIN(300,MAX(1,D384)),0), FactorTable!$A$2:$A$301,0), Skills!L4+1)</f>
        <v/>
      </c>
      <c r="F384">
        <f>IF(Skills!M4=TRUE,(Skills!K4/10)*(E384/1000),Skills!K4/10)+Skills!N4</f>
        <v/>
      </c>
      <c r="G384">
        <f>Calc!G4</f>
        <v/>
      </c>
      <c r="H384">
        <f>Calc!H4</f>
        <v/>
      </c>
      <c r="I384">
        <f>IF(Skills!T4&lt;&gt;"",1+(Skills!T4/10)*($Z$3/1000)/100,1)</f>
        <v/>
      </c>
      <c r="J384" t="inlineStr"/>
      <c r="K384" t="inlineStr"/>
      <c r="L384" t="inlineStr"/>
      <c r="M384" t="inlineStr"/>
      <c r="N384" t="inlineStr"/>
      <c r="O384">
        <f>(1-Summary!$B$11)*S384+Summary!$B$11*U384</f>
        <v/>
      </c>
      <c r="P384">
        <f>IF(B422=0,0,O384/B422)</f>
        <v/>
      </c>
      <c r="Q384">
        <f>IFERROR(1/(IF(Inputs!$B$39="pvp",15,MAX(0.1,Skills!D4-IF(Skills!E4=TRUE,Inputs!$B$33,0)))*(1-IF(AND(ArtifactsInput!$M$27,Inputs!$B$4="Chapter Hunt"),CHOOSE(ArtifactsInput!$N$27+1,20,24,28,32,36,40),0)/100)),0)</f>
        <v/>
      </c>
      <c r="R384">
        <f>IF(AND(Inputs!$B$39&lt;&gt;"pvp",Inputs!$B$44&gt;0),IF(Inputs!$B$44&lt;=0,0,(INT(Inputs!$B$44/(IF(Inputs!$B$39="pvp",15,MAX(0.1,Skills!D4-IF(Skills!E4=TRUE,Inputs!$B$33,0)))*(1-IF(AND(ArtifactsInput!$M$27,Inputs!$B$4="Chapter Hunt"),CHOOSE(ArtifactsInput!$N$27+1,20,24,28,32,36,40),0)/100)))+1)),0)</f>
        <v/>
      </c>
      <c r="S384" t="n">
        <v>0</v>
      </c>
      <c r="T384">
        <f>290*T383/1000</f>
        <v/>
      </c>
      <c r="U384" t="n">
        <v>0</v>
      </c>
    </row>
    <row r="385">
      <c r="A385">
        <f>Skills!A5</f>
        <v/>
      </c>
      <c r="B385">
        <f>Skills!B5</f>
        <v/>
      </c>
      <c r="C385">
        <f>Inputs!$B$3&gt;=40</f>
        <v/>
      </c>
      <c r="D385">
        <f>IF(Skills!C5=1,60+Inputs!$B$26+Inputs!$B$30,IF(Skills!C5=2,90+Inputs!$B$27+Inputs!$B$30,IF(Skills!C5=3,120+Inputs!$B$28+Inputs!$B$30,MAX(0,(Inputs!$B$3-100)*3)+Inputs!$B$29+Inputs!$B$30)))</f>
        <v/>
      </c>
      <c r="E385">
        <f>INDEX(FactorTable!$B$2:$Y$301, MATCH(ROUND(MIN(300,MAX(1,D385)),0), FactorTable!$A$2:$A$301,0), Skills!L5+1)</f>
        <v/>
      </c>
      <c r="F385">
        <f>IF(Skills!M5=TRUE,(Skills!K5/10)*(E385/1000),Skills!K5/10)+Skills!N5</f>
        <v/>
      </c>
      <c r="G385">
        <f>Calc!G5</f>
        <v/>
      </c>
      <c r="H385">
        <f>Calc!H5</f>
        <v/>
      </c>
      <c r="I385">
        <f>IF(Skills!T5&lt;&gt;"",1+(Skills!T5/10)*($Z$3/1000)/100,1)</f>
        <v/>
      </c>
      <c r="J385" t="inlineStr"/>
      <c r="K385" t="inlineStr"/>
      <c r="L385" t="inlineStr"/>
      <c r="M385" t="inlineStr"/>
      <c r="N385" t="inlineStr"/>
      <c r="O385">
        <f>(1-Summary!$B$11)*S385+Summary!$B$11*U385</f>
        <v/>
      </c>
      <c r="P385">
        <f>IF(B422=0,0,O385/B422)</f>
        <v/>
      </c>
      <c r="Q385">
        <f>IFERROR(1/(IF(Inputs!$B$39="pvp",15,MAX(0.1,Skills!D5-IF(Skills!E5=TRUE,Inputs!$B$33,0)))*(1-IF(AND(ArtifactsInput!$M$27,Inputs!$B$4="Chapter Hunt"),CHOOSE(ArtifactsInput!$N$27+1,20,24,28,32,36,40),0)/100)),0)</f>
        <v/>
      </c>
      <c r="R385">
        <f>IF(AND(Inputs!$B$39&lt;&gt;"pvp",Inputs!$B$44&gt;0),IF(Inputs!$B$44&lt;=0,0,(INT(Inputs!$B$44/(IF(Inputs!$B$39="pvp",15,MAX(0.1,Skills!D5-IF(Skills!E5=TRUE,Inputs!$B$33,0)))*(1-IF(AND(ArtifactsInput!$M$27,Inputs!$B$4="Chapter Hunt"),CHOOSE(ArtifactsInput!$N$27+1,20,24,28,32,36,40),0)/100)))+1)),0)</f>
        <v/>
      </c>
      <c r="S385" t="n">
        <v>0</v>
      </c>
      <c r="U385" t="n">
        <v>0</v>
      </c>
    </row>
    <row r="386">
      <c r="A386">
        <f>Skills!A6</f>
        <v/>
      </c>
      <c r="B386">
        <f>Skills!B6</f>
        <v/>
      </c>
      <c r="C386">
        <f>Inputs!$B$3&gt;=103</f>
        <v/>
      </c>
      <c r="D386">
        <f>IF(Skills!C6=1,60+Inputs!$B$26+Inputs!$B$30,IF(Skills!C6=2,90+Inputs!$B$27+Inputs!$B$30,IF(Skills!C6=3,120+Inputs!$B$28+Inputs!$B$30,MAX(0,(Inputs!$B$3-100)*3)+Inputs!$B$29+Inputs!$B$30)))</f>
        <v/>
      </c>
      <c r="E386">
        <f>INDEX(FactorTable!$B$2:$Y$301, MATCH(ROUND(MIN(300,MAX(1,D386)),0), FactorTable!$A$2:$A$301,0), Skills!L6+1)</f>
        <v/>
      </c>
      <c r="F386">
        <f>IF(Skills!M6=TRUE,(Skills!K6/10)*(E386/1000),Skills!K6/10)+Skills!N6</f>
        <v/>
      </c>
      <c r="G386">
        <f>Calc!G6</f>
        <v/>
      </c>
      <c r="H386">
        <f>Calc!H6</f>
        <v/>
      </c>
      <c r="I386">
        <f>IF(Skills!T6&lt;&gt;"",1+(Skills!T6/10)*($Z$3/1000)/100,1)</f>
        <v/>
      </c>
      <c r="J386">
        <f>((Inputs!$B$6*(1+Inputs!$B$7/100))+(((Inputs!$B$13*(1+Inputs!$B$14/100))-(Inputs!$B$13*(1+Inputs!$B$14/100)))+0.25*(Inputs!$B$15-Inputs!$B$15))*(1+Inputs!$B$7/100))*(F386/100)</f>
        <v/>
      </c>
      <c r="K386">
        <f>J386*(1+(((Inputs!$B$13+IF(Inputs!$B$3&gt;=35,(10*INDEX(FactorTable!$B$2:$Y$301,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6="TRIUMPH_FEATHER",IF(C396=TRUE,F396,0),0)/100)*(1+IF(C407=TRUE,F407,0)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386)</f>
        <v/>
      </c>
      <c r="L386">
        <f>K386*(MIN(Inputs!$B$23+(F402-Calc!F22),(Inputs!$B$24+IF(ArtifactsInput!$M$15,CHOOSE(ArtifactsInput!$N$15+1,25,30,35,40,45,50)/100*(Inputs!$B$12-Inputs!$B$12),0)))/100+(Inputs!$B$24+IF(ArtifactsInput!$M$15,CHOOSE(ArtifactsInput!$N$15+1,25,30,35,40,45,50)/100*(Inputs!$B$12-Inputs!$B$12),0))/100)/2</f>
        <v/>
      </c>
      <c r="M386">
        <f>L386*(1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6">
        <f>L386*(1-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(1-Summary!$B$11)*S386+Summary!$B$11*U386</f>
        <v/>
      </c>
      <c r="P386">
        <f>IF(B422=0,0,O386/B422)</f>
        <v/>
      </c>
      <c r="Q386">
        <f>IFERROR(1/(IF(Inputs!$B$39="pvp",15,MAX(0.1,Skills!D6-IF(Skills!E6=TRUE,Inputs!$B$33,0)))*(1-IF(AND(ArtifactsInput!$M$27,Inputs!$B$4="Chapter Hunt"),CHOOSE(ArtifactsInput!$N$27+1,20,24,28,32,36,40),0)/100)),0)</f>
        <v/>
      </c>
      <c r="R386">
        <f>IF(AND(Inputs!$B$39&lt;&gt;"pvp",Inputs!$B$44&gt;0),IF(MAX(0,Inputs!$B$44-B419)&lt;=0,0,(INT(MAX(0,Inputs!$B$44-B419)/(IF(Inputs!$B$39="pvp",15,MAX(0.1,Skills!D6-IF(Skills!E6=TRUE,Inputs!$B$33,0)))*(1-IF(AND(ArtifactsInput!$M$27,Inputs!$B$4="Chapter Hunt"),CHOOSE(ArtifactsInput!$N$27+1,20,24,28,32,36,40),0)/100)))+1)),0)</f>
        <v/>
      </c>
      <c r="S386">
        <f>IF(C386,(H386*N386*IF(AND(Inputs!$B$39&lt;&gt;"pvp",Inputs!$B$44&gt;0),((Skills!F6*((R386-1)*IF(Skills!G6&gt;0,Skills!H6/Skills!G6,1)+IF(Skills!G6&gt;0,MIN(Skills!H6,MAX(0,MAX(0,Inputs!$B$44-B419)-((R386-1)*(IF(Inputs!$B$39="pvp",15,MAX(0.1,Skills!D6-IF(Skills!E6=TRUE,Inputs!$B$33,0)))*(1-IF(AND(ArtifactsInput!$M$27,Inputs!$B$4="Chapter Hunt"),CHOOSE(ArtifactsInput!$N$27+1,20,24,28,32,36,40),0)/100)))))/Skills!G6,1)))/Inputs!$B$44),G386*Q386))*IF(Inputs!$B$39="pvp",1,1+(Inputs!$B$21+Skills!O6+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386*(1-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6">
        <f>IF(C386,(H386*N386*IF(AND(Inputs!$B$39&lt;&gt;"pvp",Inputs!$B$44&gt;0),((Skills!F6*((R386-1)*IF(Skills!G6&gt;0,Skills!H6/Skills!G6,1)+IF(Skills!G6&gt;0,MIN(Skills!H6,MAX(0,MAX(0,Inputs!$B$44-B419)-((R386-1)*(IF(Inputs!$B$39="pvp",15,MAX(0.1,Skills!D6-IF(Skills!E6=TRUE,Inputs!$B$33,0)))*(1-IF(AND(ArtifactsInput!$M$27,Inputs!$B$4="Chapter Hunt"),CHOOSE(ArtifactsInput!$N$27+1,20,24,28,32,36,40),0)/100)))))/Skills!G6,1)))/Inputs!$B$44),G386*Q386))*IF(Inputs!$B$39="pvp",1,(1+((Inputs!$B$22+1)+Skills!P6+B411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Skills!A7</f>
        <v/>
      </c>
      <c r="B387">
        <f>Skills!B7</f>
        <v/>
      </c>
      <c r="C387">
        <f>Inputs!$B$3&gt;=122</f>
        <v/>
      </c>
      <c r="D387">
        <f>IF(Skills!C7=1,60+Inputs!$B$26+Inputs!$B$30,IF(Skills!C7=2,90+Inputs!$B$27+Inputs!$B$30,IF(Skills!C7=3,120+Inputs!$B$28+Inputs!$B$30,MAX(0,(Inputs!$B$3-100)*3)+Inputs!$B$29+Inputs!$B$30)))</f>
        <v/>
      </c>
      <c r="E387">
        <f>INDEX(FactorTable!$B$2:$Y$301, MATCH(ROUND(MIN(300,MAX(1,D387)),0), FactorTable!$A$2:$A$301,0), Skills!L7+1)</f>
        <v/>
      </c>
      <c r="F387">
        <f>IF(Skills!M7=TRUE,(Skills!K7/10)*(E387/1000),Skills!K7/10)+Skills!N7</f>
        <v/>
      </c>
      <c r="G387">
        <f>Calc!G7</f>
        <v/>
      </c>
      <c r="H387">
        <f>Calc!H7</f>
        <v/>
      </c>
      <c r="I387">
        <f>IF(Skills!T7&lt;&gt;"",1+(Skills!T7/10)*($Z$3/1000)/100,1)</f>
        <v/>
      </c>
      <c r="J387">
        <f>((Inputs!$B$6*(1+Inputs!$B$7/100))+(((Inputs!$B$13*(1+Inputs!$B$14/100))-(Inputs!$B$13*(1+Inputs!$B$14/100)))+0.25*(Inputs!$B$15-Inputs!$B$15))*(1+Inputs!$B$7/100))*(F387/100)</f>
        <v/>
      </c>
      <c r="K387">
        <f>J387*(1+(((Inputs!$B$13+IF(Inputs!$B$3&gt;=35,(10*INDEX(FactorTable!$B$2:$Y$301,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7="TRIUMPH_FEATHER",IF(C396=TRUE,F396,0),0)/100)*(1+IF(C407=TRUE,F407,0)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387)</f>
        <v/>
      </c>
      <c r="L387">
        <f>K387*(MIN(Inputs!$B$23+(F402-Calc!F22),(Inputs!$B$24+IF(ArtifactsInput!$M$15,CHOOSE(ArtifactsInput!$N$15+1,25,30,35,40,45,50)/100*(Inputs!$B$12-Inputs!$B$12),0)))/100+(Inputs!$B$24+IF(ArtifactsInput!$M$15,CHOOSE(ArtifactsInput!$N$15+1,25,30,35,40,45,50)/100*(Inputs!$B$12-Inputs!$B$12),0))/100)/2</f>
        <v/>
      </c>
      <c r="M387">
        <f>L387*(1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7">
        <f>L387*(1-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387*(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7">
        <f>(1-Summary!$B$11)*S387+Summary!$B$11*U387</f>
        <v/>
      </c>
      <c r="P387">
        <f>IF(B422=0,0,O387/B422)</f>
        <v/>
      </c>
      <c r="Q387">
        <f>IFERROR(1/(IF(Inputs!$B$39="pvp",15,MAX(0.1,Skills!D7-IF(Skills!E6=TRUE,Inputs!$B$33,0)))*(1-IF(AND(ArtifactsInput!$M$27,Inputs!$B$4="Chapter Hunt"),CHOOSE(ArtifactsInput!$N$27+1,20,24,28,32,36,40),0)/100)),0)</f>
        <v/>
      </c>
      <c r="R387">
        <f>IF(AND(Inputs!$B$39&lt;&gt;"pvp",Inputs!$B$44&gt;0),IF(MAX(0,Inputs!$B$44-B419)&lt;=0,0,(INT(MAX(0,Inputs!$B$44-B419)/(IF(Inputs!$B$39="pvp",15,MAX(0.1,Skills!D7-IF(Skills!E6=TRUE,Inputs!$B$33,0)))*(1-IF(AND(ArtifactsInput!$M$27,Inputs!$B$4="Chapter Hunt"),CHOOSE(ArtifactsInput!$N$27+1,20,24,28,32,36,40),0)/100)))+1)),0)</f>
        <v/>
      </c>
      <c r="S387">
        <f>IF(C387,H387*N387*IF(AND(Inputs!$B$39&lt;&gt;"pvp",Inputs!$B$44&gt;0),((Skills!F7*((R387-1)*IF(Skills!G7&gt;0,Skills!H7/Skills!G7,1)+IF(Skills!G7&gt;0,MIN(Skills!H7,MAX(0,MAX(0,Inputs!$B$44-B419)-((R387-1)*(IF(Inputs!$B$39="pvp",15,MAX(0.1,Skills!D7-IF(Skills!E6=TRUE,Inputs!$B$33,0)))*(1-IF(AND(ArtifactsInput!$M$27,Inputs!$B$4="Chapter Hunt"),CHOOSE(ArtifactsInput!$N$27+1,20,24,28,32,36,40),0)/100)))))/Skills!G7,1)))/Inputs!$B$44),G387*Q387)*IF(Inputs!$B$39="pvp",1,1+(Inputs!$B$21+Skills!O7+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387*(1-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387*(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387*(1-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387*(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7" t="n">
        <v>0</v>
      </c>
    </row>
    <row r="388">
      <c r="A388">
        <f>Skills!A8</f>
        <v/>
      </c>
      <c r="B388">
        <f>Skills!B8</f>
        <v/>
      </c>
      <c r="C388">
        <f>Inputs!$B$3&gt;=105</f>
        <v/>
      </c>
      <c r="D388">
        <f>IF(Skills!C8=1,60+Inputs!$B$26+Inputs!$B$30,IF(Skills!C8=2,90+Inputs!$B$27+Inputs!$B$30,IF(Skills!C8=3,120+Inputs!$B$28+Inputs!$B$30,MAX(0,(Inputs!$B$3-100)*3)+Inputs!$B$29+Inputs!$B$30)))</f>
        <v/>
      </c>
      <c r="E388">
        <f>INDEX(FactorTable!$B$2:$Y$301, MATCH(ROUND(MIN(300,MAX(1,D388)),0), FactorTable!$A$2:$A$301,0), Skills!L8+1)</f>
        <v/>
      </c>
      <c r="F388">
        <f>IF(Skills!M8=TRUE,(Skills!K8/10)*(E388/1000),Skills!K8/10)+Skills!N8</f>
        <v/>
      </c>
      <c r="G388">
        <f>Calc!G8</f>
        <v/>
      </c>
      <c r="H388">
        <f>Calc!H8</f>
        <v/>
      </c>
      <c r="I388">
        <f>IF(Skills!T8&lt;&gt;"",1+(Skills!T8/10)*($Z$3/1000)/100,1)</f>
        <v/>
      </c>
      <c r="J388">
        <f>((Inputs!$B$6*(1+Inputs!$B$7/100))+(((Inputs!$B$13*(1+Inputs!$B$14/100))-(Inputs!$B$13*(1+Inputs!$B$14/100)))+0.25*(Inputs!$B$15-Inputs!$B$15))*(1+Inputs!$B$7/100))*(F388/100)</f>
        <v/>
      </c>
      <c r="K388">
        <f>J388*(1+(((Inputs!$B$13+IF(Inputs!$B$3&gt;=35,(10*INDEX(FactorTable!$B$2:$Y$301,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8="TRIUMPH_FEATHER",IF(C396=TRUE,F396,0),0)/100)*(1+IF(C407=TRUE,F407,0)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388)</f>
        <v/>
      </c>
      <c r="L388">
        <f>K388*(MIN(Inputs!$B$23+(F402-Calc!F22),(Inputs!$B$24+IF(ArtifactsInput!$M$15,CHOOSE(ArtifactsInput!$N$15+1,25,30,35,40,45,50)/100*(Inputs!$B$12-Inputs!$B$12),0)))/100+(Inputs!$B$24+IF(ArtifactsInput!$M$15,CHOOSE(ArtifactsInput!$N$15+1,25,30,35,40,45,50)/100*(Inputs!$B$12-Inputs!$B$12),0))/100)/2</f>
        <v/>
      </c>
      <c r="M388">
        <f>L388*(1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8">
        <f>L388*(1-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388*(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8">
        <f>(1-Summary!$B$11)*S388+Summary!$B$11*U388</f>
        <v/>
      </c>
      <c r="P388">
        <f>IF(B422=0,0,O388/B422)</f>
        <v/>
      </c>
      <c r="Q388">
        <f>IFERROR(1/(IF(Inputs!$B$39="pvp",15,MAX(0.1,Skills!D8-IF(Skills!E8=TRUE,Inputs!$B$33,0)))*(1-IF(AND(ArtifactsInput!$M$27,Inputs!$B$4="Chapter Hunt"),CHOOSE(ArtifactsInput!$N$27+1,20,24,28,32,36,40),0)/100)),0)</f>
        <v/>
      </c>
      <c r="R388">
        <f>IF(AND(Inputs!$B$39&lt;&gt;"pvp",Inputs!$B$44&gt;0),IF(MAX(0,Inputs!$B$44-B419)&lt;=0,0,(INT(MAX(0,Inputs!$B$44-B419)/(IF(Inputs!$B$39="pvp",15,MAX(0.1,Skills!D8-IF(Skills!E8=TRUE,Inputs!$B$33,0)))*(1-IF(AND(ArtifactsInput!$M$27,Inputs!$B$4="Chapter Hunt"),CHOOSE(ArtifactsInput!$N$27+1,20,24,28,32,36,40),0)/100)))+1)),0)</f>
        <v/>
      </c>
      <c r="S388">
        <f>IF(C388,(H388*N388*IF(AND(Inputs!$B$39&lt;&gt;"pvp",Inputs!$B$44&gt;0),((Skills!F8*((R388-1)*IF(Skills!G8&gt;0,Skills!H8/Skills!G8,1)+IF(Skills!G8&gt;0,MIN(Skills!H8,MAX(0,MAX(0,Inputs!$B$44-B419)-((R388-1)*(IF(Inputs!$B$39="pvp",15,MAX(0.1,Skills!D8-IF(Skills!E8=TRUE,Inputs!$B$33,0)))*(1-IF(AND(ArtifactsInput!$M$27,Inputs!$B$4="Chapter Hunt"),CHOOSE(ArtifactsInput!$N$27+1,20,24,28,32,36,40),0)/100)))))/Skills!G8,1)))/Inputs!$B$44),G388*Q388))*IF(Inputs!$B$39="pvp",1,1+(Inputs!$B$21+Skills!O8+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388*(1-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388*(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388*(1-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388*(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8">
        <f>IF(C388,(H388*N388*IF(AND(Inputs!$B$39&lt;&gt;"pvp",Inputs!$B$44&gt;0),((Skills!F8*((R388-1)*IF(Skills!G8&gt;0,Skills!H8/Skills!G8,1)+IF(Skills!G8&gt;0,MIN(Skills!H8,MAX(0,MAX(0,Inputs!$B$44-B419)-((R388-1)*(IF(Inputs!$B$39="pvp",15,MAX(0.1,Skills!D8-IF(Skills!E8=TRUE,Inputs!$B$33,0)))*(1-IF(AND(ArtifactsInput!$M$27,Inputs!$B$4="Chapter Hunt"),CHOOSE(ArtifactsInput!$N$27+1,20,24,28,32,36,40),0)/100)))))/Skills!G8,1)))/Inputs!$B$44),G388*Q388))*IF(Inputs!$B$39="pvp",1,(1+((Inputs!$B$22+1)+Skills!P8+B411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9">
      <c r="A389">
        <f>Skills!A9</f>
        <v/>
      </c>
      <c r="B389">
        <f>Skills!B9</f>
        <v/>
      </c>
      <c r="C389">
        <f>Inputs!$B$3&gt;=115</f>
        <v/>
      </c>
      <c r="D389">
        <f>IF(Skills!C9=1,60+Inputs!$B$26+Inputs!$B$30,IF(Skills!C9=2,90+Inputs!$B$27+Inputs!$B$30,IF(Skills!C9=3,120+Inputs!$B$28+Inputs!$B$30,MAX(0,(Inputs!$B$3-100)*3)+Inputs!$B$29+Inputs!$B$30)))</f>
        <v/>
      </c>
      <c r="E389">
        <f>INDEX(FactorTable!$B$2:$Y$301, MATCH(ROUND(MIN(300,MAX(1,D389)),0), FactorTable!$A$2:$A$301,0), Skills!L9+1)</f>
        <v/>
      </c>
      <c r="F389">
        <f>IF(Skills!M9=TRUE,(Skills!K9/10)*(E389/1000),Skills!K9/10)+Skills!N9</f>
        <v/>
      </c>
      <c r="G389">
        <f>Calc!G9</f>
        <v/>
      </c>
      <c r="H389">
        <f>Calc!H9</f>
        <v/>
      </c>
      <c r="I389">
        <f>IF(Skills!T9&lt;&gt;"",1+(Skills!T9/10)*($Z$3/1000)/100,1)</f>
        <v/>
      </c>
      <c r="J389">
        <f>((Inputs!$B$6*(1+Inputs!$B$7/100))+(((Inputs!$B$13*(1+Inputs!$B$14/100))-(Inputs!$B$13*(1+Inputs!$B$14/100)))+0.25*(Inputs!$B$15-Inputs!$B$15))*(1+Inputs!$B$7/100))*(F389/100)</f>
        <v/>
      </c>
      <c r="K389">
        <f>J389*(1+(((Inputs!$B$13+IF(Inputs!$B$3&gt;=35,(10*INDEX(FactorTable!$B$2:$Y$301,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9="TRIUMPH_FEATHER",IF(C396=TRUE,F396,0),0)/100)*(1+IF(C407=TRUE,F407,0)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389)</f>
        <v/>
      </c>
      <c r="L389">
        <f>K389*(MIN(Inputs!$B$23+(F402-Calc!F22),(Inputs!$B$24+IF(ArtifactsInput!$M$15,CHOOSE(ArtifactsInput!$N$15+1,25,30,35,40,45,50)/100*(Inputs!$B$12-Inputs!$B$12),0)))/100+(Inputs!$B$24+IF(ArtifactsInput!$M$15,CHOOSE(ArtifactsInput!$N$15+1,25,30,35,40,45,50)/100*(Inputs!$B$12-Inputs!$B$12),0))/100)/2</f>
        <v/>
      </c>
      <c r="M389">
        <f>L389*(1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IF(B422=0,0,O389/B422)</f>
        <v/>
      </c>
      <c r="Q389">
        <f>IFERROR(1/(IF(Inputs!$B$39="pvp",15,MAX(0.1,Skills!D9-IF(Skills!E9=TRUE,Inputs!$B$33,0)))*(1-IF(AND(ArtifactsInput!$M$27,Inputs!$B$4="Chapter Hunt"),CHOOSE(ArtifactsInput!$N$27+1,20,24,28,32,36,40),0)/100)),0)</f>
        <v/>
      </c>
      <c r="R389">
        <f>IF(AND(Inputs!$B$39&lt;&gt;"pvp",Inputs!$B$44&gt;0),IF(MAX(0,Inputs!$B$44-B419)&lt;=0,0,(INT(MAX(0,Inputs!$B$44-B419)/(IF(Inputs!$B$39="pvp",15,MAX(0.1,Skills!D9-IF(Skills!E9=TRUE,Inputs!$B$33,0)))*(1-IF(AND(ArtifactsInput!$M$27,Inputs!$B$4="Chapter Hunt"),CHOOSE(ArtifactsInput!$N$27+1,20,24,28,32,36,40),0)/100)))+1)),0)</f>
        <v/>
      </c>
      <c r="S389">
        <f>IF(C389,(H389*N389*IF(AND(Inputs!$B$39&lt;&gt;"pvp",Inputs!$B$44&gt;0),((Skills!F9*((R389-1)*IF(Skills!G9&gt;0,Skills!H9/Skills!G9,1)+IF(Skills!G9&gt;0,MIN(Skills!H9,MAX(0,MAX(0,Inputs!$B$44-B419)-((R389-1)*(IF(Inputs!$B$39="pvp",15,MAX(0.1,Skills!D9-IF(Skills!E9=TRUE,Inputs!$B$33,0)))*(1-IF(AND(ArtifactsInput!$M$27,Inputs!$B$4="Chapter Hunt"),CHOOSE(ArtifactsInput!$N$27+1,20,24,28,32,36,40),0)/100)))))/Skills!G9,1)))/Inputs!$B$44),G389*Q389))*IF(Inputs!$B$39="pvp",1,1+(Inputs!$B$21+Skills!O9+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9">
        <f>IF(C389,(H389*N389*IF(AND(Inputs!$B$39&lt;&gt;"pvp",Inputs!$B$44&gt;0),((Skills!F9*((R389-1)*IF(Skills!G9&gt;0,Skills!H9/Skills!G9,1)+IF(Skills!G9&gt;0,MIN(Skills!H9,MAX(0,MAX(0,Inputs!$B$44-B419)-((R389-1)*(IF(Inputs!$B$39="pvp",15,MAX(0.1,Skills!D9-IF(Skills!E9=TRUE,Inputs!$B$33,0)))*(1-IF(AND(ArtifactsInput!$M$27,Inputs!$B$4="Chapter Hunt"),CHOOSE(ArtifactsInput!$N$27+1,20,24,28,32,36,40),0)/100)))))/Skills!G9,1)))/Inputs!$B$44),G389*Q389))*IF(Inputs!$B$39="pvp",1,(1+((Inputs!$B$22+1)+Skills!P9+B411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Skills!A10</f>
        <v/>
      </c>
      <c r="B390">
        <f>Skills!B10</f>
        <v/>
      </c>
      <c r="C390">
        <f>Inputs!$B$3&gt;=66</f>
        <v/>
      </c>
      <c r="D390">
        <f>IF(Skills!C10=1,60+Inputs!$B$26+Inputs!$B$30,IF(Skills!C10=2,90+Inputs!$B$27+Inputs!$B$30,IF(Skills!C10=3,120+Inputs!$B$28+Inputs!$B$30,MAX(0,(Inputs!$B$3-100)*3)+Inputs!$B$29+Inputs!$B$30)))</f>
        <v/>
      </c>
      <c r="E390">
        <f>INDEX(FactorTable!$B$2:$Y$301, MATCH(ROUND(MIN(300,MAX(1,D390)),0), FactorTable!$A$2:$A$301,0), Skills!L10+1)</f>
        <v/>
      </c>
      <c r="F390" t="n">
        <v>0</v>
      </c>
      <c r="G390">
        <f>Calc!G10</f>
        <v/>
      </c>
      <c r="H390">
        <f>Calc!H10</f>
        <v/>
      </c>
      <c r="I390">
        <f>IF(Skills!T10&lt;&gt;"",1+(Skills!T10/10)*($Z$3/1000)/100,1)</f>
        <v/>
      </c>
      <c r="J390" t="inlineStr"/>
      <c r="K390" t="inlineStr"/>
      <c r="L390" t="inlineStr"/>
      <c r="M390" t="inlineStr"/>
      <c r="N390" t="inlineStr"/>
      <c r="O390">
        <f>(1-Summary!$B$11)*S390+Summary!$B$11*U390</f>
        <v/>
      </c>
      <c r="P390">
        <f>IF(B422=0,0,O390/B422)</f>
        <v/>
      </c>
      <c r="Q390">
        <f>IFERROR(1/(IF(Inputs!$B$39="pvp",15,MAX(0.1,Skills!D10-IF(Skills!E10=TRUE,Inputs!$B$33,0)))*(1-IF(AND(ArtifactsInput!$M$27,Inputs!$B$4="Chapter Hunt"),CHOOSE(ArtifactsInput!$N$27+1,20,24,28,32,36,40),0)/100)),0)</f>
        <v/>
      </c>
      <c r="R390">
        <f>IF(AND(Inputs!$B$39&lt;&gt;"pvp",Inputs!$B$44&gt;0),IF(MAX(0,Inputs!$B$44-B419)&lt;=0,0,(INT(MAX(0,Inputs!$B$44-B419)/(IF(Inputs!$B$39="pvp",15,MAX(0.1,Skills!D10-IF(Skills!E10=TRUE,Inputs!$B$33,0)))*(1-IF(AND(ArtifactsInput!$M$27,Inputs!$B$4="Chapter Hunt"),CHOOSE(ArtifactsInput!$N$27+1,20,24,28,32,36,40),0)/100)))+1)),0)</f>
        <v/>
      </c>
      <c r="S390" t="n">
        <v>0</v>
      </c>
      <c r="U390" t="n">
        <v>0</v>
      </c>
    </row>
    <row r="391">
      <c r="A391">
        <f>Skills!A11</f>
        <v/>
      </c>
      <c r="B391">
        <f>Skills!B11</f>
        <v/>
      </c>
      <c r="C391">
        <f>Inputs!$B$3&gt;=69</f>
        <v/>
      </c>
      <c r="D391">
        <f>IF(Skills!C11=1,60+Inputs!$B$26+Inputs!$B$30,IF(Skills!C11=2,90+Inputs!$B$27+Inputs!$B$30,IF(Skills!C11=3,120+Inputs!$B$28+Inputs!$B$30,MAX(0,(Inputs!$B$3-100)*3)+Inputs!$B$29+Inputs!$B$30)))</f>
        <v/>
      </c>
      <c r="E391">
        <f>INDEX(FactorTable!$B$2:$Y$301, MATCH(ROUND(MIN(300,MAX(1,D391)),0), FactorTable!$A$2:$A$301,0), Skills!L11+1)</f>
        <v/>
      </c>
      <c r="F391">
        <f>IF(Skills!M11=TRUE,(Skills!K11/10)*(E391/1000),Skills!K11/10)+Skills!N11</f>
        <v/>
      </c>
      <c r="G391">
        <f>Calc!G11</f>
        <v/>
      </c>
      <c r="H391">
        <f>Calc!H11</f>
        <v/>
      </c>
      <c r="I391">
        <f>IF(Skills!T11&lt;&gt;"",1+(Skills!T11/10)*($Z$3/1000)/100,1)</f>
        <v/>
      </c>
      <c r="J391" t="inlineStr"/>
      <c r="K391" t="inlineStr"/>
      <c r="L391" t="inlineStr"/>
      <c r="M391" t="inlineStr"/>
      <c r="N391" t="inlineStr"/>
      <c r="O391">
        <f>(1-Summary!$B$11)*S391+Summary!$B$11*U391</f>
        <v/>
      </c>
      <c r="P391">
        <f>IF(B422=0,0,O391/B422)</f>
        <v/>
      </c>
      <c r="Q391">
        <f>IFERROR(1/(IF(Inputs!$B$39="pvp",15,MAX(0.1,Skills!D11-IF(Skills!E11=TRUE,Inputs!$B$33,0)))*(1-IF(AND(ArtifactsInput!$M$27,Inputs!$B$4="Chapter Hunt"),CHOOSE(ArtifactsInput!$N$27+1,20,24,28,32,36,40),0)/100)),0)</f>
        <v/>
      </c>
      <c r="R391">
        <f>IF(AND(Inputs!$B$39&lt;&gt;"pvp",Inputs!$B$44&gt;0),IF(Inputs!$B$44&lt;=0,0,(INT(Inputs!$B$44/(IF(Inputs!$B$39="pvp",15,MAX(0.1,Skills!D11-IF(Skills!E11=TRUE,Inputs!$B$33,0)))*(1-IF(AND(ArtifactsInput!$M$27,Inputs!$B$4="Chapter Hunt"),CHOOSE(ArtifactsInput!$N$27+1,20,24,28,32,36,40),0)/100)))+1)),0)</f>
        <v/>
      </c>
      <c r="S391" t="n">
        <v>0</v>
      </c>
      <c r="U391" t="n">
        <v>0</v>
      </c>
    </row>
    <row r="392">
      <c r="A392">
        <f>Skills!A12</f>
        <v/>
      </c>
      <c r="B392">
        <f>Skills!B12</f>
        <v/>
      </c>
      <c r="C392">
        <f>Inputs!$B$3&gt;=72</f>
        <v/>
      </c>
      <c r="D392">
        <f>IF(Skills!C12=1,60+Inputs!$B$26+Inputs!$B$30,IF(Skills!C12=2,90+Inputs!$B$27+Inputs!$B$30,IF(Skills!C12=3,120+Inputs!$B$28+Inputs!$B$30,MAX(0,(Inputs!$B$3-100)*3)+Inputs!$B$29+Inputs!$B$30)))</f>
        <v/>
      </c>
      <c r="E392">
        <f>INDEX(FactorTable!$B$2:$Y$301, MATCH(ROUND(MIN(300,MAX(1,D392)),0), FactorTable!$A$2:$A$301,0), Skills!L12+1)</f>
        <v/>
      </c>
      <c r="F392">
        <f>IF(Skills!M12=TRUE,(Skills!K12/10)*(E392/1000),Skills!K12/10)+Skills!N12</f>
        <v/>
      </c>
      <c r="G392">
        <f>Calc!G12</f>
        <v/>
      </c>
      <c r="H392">
        <f>Calc!H12</f>
        <v/>
      </c>
      <c r="I392">
        <f>IF(Skills!T12&lt;&gt;"",1+(Skills!T12/10)*($Z$3/1000)/100,1)</f>
        <v/>
      </c>
      <c r="J392" t="inlineStr"/>
      <c r="K392" t="inlineStr"/>
      <c r="L392" t="inlineStr"/>
      <c r="M392" t="inlineStr"/>
      <c r="N392" t="inlineStr"/>
      <c r="O392">
        <f>(1-Summary!$B$11)*S392+Summary!$B$11*U392</f>
        <v/>
      </c>
      <c r="P392">
        <f>IF(B422=0,0,O392/B422)</f>
        <v/>
      </c>
      <c r="Q392">
        <f>IFERROR(1/(IF(Inputs!$B$39="pvp",15,MAX(0.1,Skills!D12-IF(Skills!E12=TRUE,Inputs!$B$33,0)))*(1-IF(AND(ArtifactsInput!$M$27,Inputs!$B$4="Chapter Hunt"),CHOOSE(ArtifactsInput!$N$27+1,20,24,28,32,36,40),0)/100)),0)</f>
        <v/>
      </c>
      <c r="R392">
        <f>IF(AND(Inputs!$B$39&lt;&gt;"pvp",Inputs!$B$44&gt;0),IF(MAX(0,Inputs!$B$44-B419)&lt;=0,0,(INT(MAX(0,Inputs!$B$44-B419)/(IF(Inputs!$B$39="pvp",15,MAX(0.1,Skills!D12-IF(Skills!E12=TRUE,Inputs!$B$33,0)))*(1-IF(AND(ArtifactsInput!$M$27,Inputs!$B$4="Chapter Hunt"),CHOOSE(ArtifactsInput!$N$27+1,20,24,28,32,36,40),0)/100)))+1)),0)</f>
        <v/>
      </c>
      <c r="S392" t="n">
        <v>0</v>
      </c>
      <c r="U392" t="n">
        <v>0</v>
      </c>
    </row>
    <row r="393">
      <c r="A393">
        <f>Skills!A13</f>
        <v/>
      </c>
      <c r="B393">
        <f>Skills!B13</f>
        <v/>
      </c>
      <c r="C393">
        <f>Inputs!$B$3&gt;=60</f>
        <v/>
      </c>
      <c r="D393">
        <f>IF(Skills!C13=1,60+Inputs!$B$26+Inputs!$B$30,IF(Skills!C13=2,90+Inputs!$B$27+Inputs!$B$30,IF(Skills!C13=3,120+Inputs!$B$28+Inputs!$B$30,MAX(0,(Inputs!$B$3-100)*3)+Inputs!$B$29+Inputs!$B$30)))</f>
        <v/>
      </c>
      <c r="E393">
        <f>INDEX(FactorTable!$B$2:$Y$301, MATCH(ROUND(MIN(300,MAX(1,D393)),0), FactorTable!$A$2:$A$301,0), Skills!L13+1)</f>
        <v/>
      </c>
      <c r="F393">
        <f>IF(Skills!M13=TRUE,(Skills!K13/10)*(E393/1000),Skills!K13/10)+Skills!N13</f>
        <v/>
      </c>
      <c r="G393">
        <f>Calc!G13</f>
        <v/>
      </c>
      <c r="H393">
        <f>Calc!H13</f>
        <v/>
      </c>
      <c r="I393">
        <f>IF(Skills!T13&lt;&gt;"",1+(Skills!T13/10)*($Z$3/1000)/100,1)</f>
        <v/>
      </c>
      <c r="J393" t="inlineStr"/>
      <c r="K393" t="inlineStr"/>
      <c r="L393" t="inlineStr"/>
      <c r="M393" t="inlineStr"/>
      <c r="N393" t="inlineStr"/>
      <c r="O393">
        <f>(1-Summary!$B$11)*S393+Summary!$B$11*U393</f>
        <v/>
      </c>
      <c r="P393">
        <f>IF(B422=0,0,O393/B422)</f>
        <v/>
      </c>
      <c r="Q393">
        <f>IFERROR(1/(IF(Inputs!$B$39="pvp",15,MAX(0.1,Skills!D13-IF(Skills!E13=TRUE,Inputs!$B$33,0)))*(1-IF(AND(ArtifactsInput!$M$27,Inputs!$B$4="Chapter Hunt"),CHOOSE(ArtifactsInput!$N$27+1,20,24,28,32,36,40),0)/100)),0)</f>
        <v/>
      </c>
      <c r="R393">
        <f>IF(AND(Inputs!$B$39&lt;&gt;"pvp",Inputs!$B$44&gt;0),IF(MAX(0,Inputs!$B$44-B419)&lt;=0,0,(INT(MAX(0,Inputs!$B$44-B419)/(IF(Inputs!$B$39="pvp",15,MAX(0.1,Skills!D13-IF(Skills!E13=TRUE,Inputs!$B$33,0)))*(1-IF(AND(ArtifactsInput!$M$27,Inputs!$B$4="Chapter Hunt"),CHOOSE(ArtifactsInput!$N$27+1,20,24,28,32,36,40),0)/100)))+1)),0)</f>
        <v/>
      </c>
      <c r="S393" t="n">
        <v>0</v>
      </c>
      <c r="U393" t="n">
        <v>0</v>
      </c>
    </row>
    <row r="394">
      <c r="A394">
        <f>Skills!A14</f>
        <v/>
      </c>
      <c r="B394">
        <f>Skills!B14</f>
        <v/>
      </c>
      <c r="C394">
        <f>Inputs!$B$3&gt;=107</f>
        <v/>
      </c>
      <c r="D394">
        <f>IF(Skills!C14=1,60+Inputs!$B$26+Inputs!$B$30,IF(Skills!C14=2,90+Inputs!$B$27+Inputs!$B$30,IF(Skills!C14=3,120+Inputs!$B$28+Inputs!$B$30,MAX(0,(Inputs!$B$3-100)*3)+Inputs!$B$29+Inputs!$B$30)))</f>
        <v/>
      </c>
      <c r="E394">
        <f>INDEX(FactorTable!$B$2:$Y$301, MATCH(ROUND(MIN(300,MAX(1,D394)),0), FactorTable!$A$2:$A$301,0), Skills!L14+1)</f>
        <v/>
      </c>
      <c r="F394">
        <f>IF(Skills!M14=TRUE,(Skills!K14/10)*(E394/1000),Skills!K14/10)+Skills!N14</f>
        <v/>
      </c>
      <c r="G394">
        <f>Calc!G14</f>
        <v/>
      </c>
      <c r="H394">
        <f>Calc!H14</f>
        <v/>
      </c>
      <c r="I394">
        <f>IF(Skills!T14&lt;&gt;"",1+(Skills!T14/10)*($Z$3/1000)/100,1)</f>
        <v/>
      </c>
      <c r="J394" t="inlineStr"/>
      <c r="K394" t="inlineStr"/>
      <c r="L394" t="inlineStr"/>
      <c r="M394" t="inlineStr"/>
      <c r="N394" t="inlineStr"/>
      <c r="O394">
        <f>(1-Summary!$B$11)*S394+Summary!$B$11*U394</f>
        <v/>
      </c>
      <c r="P394">
        <f>IF(B422=0,0,O394/B422)</f>
        <v/>
      </c>
      <c r="Q394">
        <f>IFERROR(1/(IF(Inputs!$B$39="pvp",15,MAX(0.1,Skills!D14-IF(Skills!E14=TRUE,Inputs!$B$33,0)))*(1-IF(AND(ArtifactsInput!$M$27,Inputs!$B$4="Chapter Hunt"),CHOOSE(ArtifactsInput!$N$27+1,20,24,28,32,36,40),0)/100)),0)</f>
        <v/>
      </c>
      <c r="R394">
        <f>IF(AND(Inputs!$B$39&lt;&gt;"pvp",Inputs!$B$44&gt;0),IF(Inputs!$B$44&lt;=0,0,(INT(Inputs!$B$44/(IF(Inputs!$B$39="pvp",15,MAX(0.1,Skills!D14-IF(Skills!E14=TRUE,Inputs!$B$33,0)))*(1-IF(AND(ArtifactsInput!$M$27,Inputs!$B$4="Chapter Hunt"),CHOOSE(ArtifactsInput!$N$27+1,20,24,28,32,36,40),0)/100)))+1)),0)</f>
        <v/>
      </c>
      <c r="S394" t="n">
        <v>0</v>
      </c>
      <c r="U394" t="n">
        <v>0</v>
      </c>
    </row>
    <row r="395">
      <c r="A395">
        <f>Skills!A15</f>
        <v/>
      </c>
      <c r="B395">
        <f>Skills!B15</f>
        <v/>
      </c>
      <c r="C395">
        <f>Inputs!$B$3&gt;=63</f>
        <v/>
      </c>
      <c r="D395">
        <f>IF(Skills!C15=1,60+Inputs!$B$26+Inputs!$B$30,IF(Skills!C15=2,90+Inputs!$B$27+Inputs!$B$30,IF(Skills!C15=3,120+Inputs!$B$28+Inputs!$B$30,MAX(0,(Inputs!$B$3-100)*3)+Inputs!$B$29+Inputs!$B$30)))</f>
        <v/>
      </c>
      <c r="E395">
        <f>INDEX(FactorTable!$B$2:$Y$301, MATCH(ROUND(MIN(300,MAX(1,D395)),0), FactorTable!$A$2:$A$301,0), Skills!L15+1)</f>
        <v/>
      </c>
      <c r="F395">
        <f>IF(Skills!M15=TRUE,(Skills!K15/10)*(E395/1000),Skills!K15/10)+Skills!N15</f>
        <v/>
      </c>
      <c r="G395">
        <f>Calc!G15</f>
        <v/>
      </c>
      <c r="H395">
        <f>Calc!H15</f>
        <v/>
      </c>
      <c r="I395">
        <f>IF(Skills!T15&lt;&gt;"",1+(Skills!T15/10)*($Z$3/1000)/100,1)</f>
        <v/>
      </c>
      <c r="J395">
        <f>((Inputs!$B$6*(1+Inputs!$B$7/100))+(((Inputs!$B$13*(1+Inputs!$B$14/100))-(Inputs!$B$13*(1+Inputs!$B$14/100)))+0.25*(Inputs!$B$15-Inputs!$B$15))*(1+Inputs!$B$7/100))*(F395/100)</f>
        <v/>
      </c>
      <c r="K395">
        <f>J395*(1+(((Inputs!$B$13+IF(Inputs!$B$3&gt;=35,(10*INDEX(FactorTable!$B$2:$Y$301,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15="TRIUMPH_FEATHER",IF(C396=TRUE,F396,0),0)/100)*(1+IF(C407=TRUE,F407,0)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395)</f>
        <v/>
      </c>
      <c r="L395">
        <f>K395*(MIN(Inputs!$B$23+(F402-Calc!F22),(Inputs!$B$24+IF(ArtifactsInput!$M$15,CHOOSE(ArtifactsInput!$N$15+1,25,30,35,40,45,50)/100*(Inputs!$B$12-Inputs!$B$12),0)))/100+(Inputs!$B$24+IF(ArtifactsInput!$M$15,CHOOSE(ArtifactsInput!$N$15+1,25,30,35,40,45,50)/100*(Inputs!$B$12-Inputs!$B$12),0))/100)/2</f>
        <v/>
      </c>
      <c r="M395">
        <f>L395*(1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IF(B422=0,0,O395/B422)</f>
        <v/>
      </c>
      <c r="Q395">
        <f>IFERROR(1/(IF(Inputs!$B$39="pvp",15,MAX(0.1,Skills!D15-IF(Skills!E15=TRUE,Inputs!$B$33,0)))*(1-IF(AND(ArtifactsInput!$M$27,Inputs!$B$4="Chapter Hunt"),CHOOSE(ArtifactsInput!$N$27+1,20,24,28,32,36,40),0)/100)),0)</f>
        <v/>
      </c>
      <c r="R395" t="n">
        <v>0</v>
      </c>
      <c r="S395">
        <f>IF(C395,(Skills!F15*N395*((IF(Inputs!$B$3&gt;=78,25,15)/100*B415*10)/(1+IF(Inputs!$B$3&gt;=78,25,15)/100*B415*10))*(Skills!I15/100*B415)/(1+Skills!G15*Skills!I15/100*B415))*IF(Inputs!$B$39="pvp",1,1+(Inputs!$B$21+Skills!O15+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Skills!F15*N395*((IF(Inputs!$B$3&gt;=78,25,15)/100*B415*10)/(1+IF(Inputs!$B$3&gt;=78,25,15)/100*B415*10))*(Skills!I15/100*B415)/(1+Skills!G15*Skills!I15/100*B415))*IF(Inputs!$B$39="pvp",1,(1+((Inputs!$B$22+1)+Skills!P15+B411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Skills!A16</f>
        <v/>
      </c>
      <c r="B396">
        <f>Skills!B16</f>
        <v/>
      </c>
      <c r="C396">
        <f>Inputs!$B$3&gt;=100</f>
        <v/>
      </c>
      <c r="D396">
        <f>IF(Skills!C16=1,60+Inputs!$B$26+Inputs!$B$30,IF(Skills!C16=2,90+Inputs!$B$27+Inputs!$B$30,IF(Skills!C16=3,120+Inputs!$B$28+Inputs!$B$30,MAX(0,(Inputs!$B$3-100)*3)+Inputs!$B$29+Inputs!$B$30)))</f>
        <v/>
      </c>
      <c r="E396">
        <f>INDEX(FactorTable!$B$2:$Y$301, MATCH(ROUND(MIN(300,MAX(1,D396)),0), FactorTable!$A$2:$A$301,0), Skills!L16+1)</f>
        <v/>
      </c>
      <c r="F396">
        <f>IF(Skills!M16=TRUE,(Skills!K16/10)*(E396/1000),Skills!K16/10)+Skills!N16</f>
        <v/>
      </c>
      <c r="G396">
        <f>Calc!G16</f>
        <v/>
      </c>
      <c r="H396">
        <f>Calc!H16</f>
        <v/>
      </c>
      <c r="I396">
        <f>IF(Skills!T16&lt;&gt;"",1+(Skills!T16/10)*($Z$3/1000)/100,1)</f>
        <v/>
      </c>
      <c r="J396" t="inlineStr"/>
      <c r="K396" t="inlineStr"/>
      <c r="L396" t="inlineStr"/>
      <c r="M396" t="inlineStr"/>
      <c r="N396" t="inlineStr"/>
      <c r="O396">
        <f>(1-Summary!$B$11)*S396+Summary!$B$11*U396</f>
        <v/>
      </c>
      <c r="P396">
        <f>IF(B422=0,0,O396/B422)</f>
        <v/>
      </c>
      <c r="Q396">
        <f>IFERROR(1/(IF(Inputs!$B$39="pvp",15,MAX(0.1,Skills!D16-IF(Skills!E16=TRUE,Inputs!$B$33,0)))*(1-IF(AND(ArtifactsInput!$M$27,Inputs!$B$4="Chapter Hunt"),CHOOSE(ArtifactsInput!$N$27+1,20,24,28,32,36,40),0)/100)),0)</f>
        <v/>
      </c>
      <c r="R396" t="n">
        <v>0</v>
      </c>
      <c r="S396" t="n">
        <v>0</v>
      </c>
      <c r="U396" t="n">
        <v>0</v>
      </c>
    </row>
    <row r="397">
      <c r="A397">
        <f>Skills!A17</f>
        <v/>
      </c>
      <c r="B397">
        <f>Skills!B17</f>
        <v/>
      </c>
      <c r="C397">
        <f>Inputs!$B$3&gt;=49</f>
        <v/>
      </c>
      <c r="D397">
        <f>IF(Skills!C17=1,60+Inputs!$B$26+Inputs!$B$30,IF(Skills!C17=2,90+Inputs!$B$27+Inputs!$B$30,IF(Skills!C17=3,120+Inputs!$B$28+Inputs!$B$30,MAX(0,(Inputs!$B$3-100)*3)+Inputs!$B$29+Inputs!$B$30)))</f>
        <v/>
      </c>
      <c r="E397">
        <f>INDEX(FactorTable!$B$2:$Y$301, MATCH(ROUND(MIN(300,MAX(1,D397)),0), FactorTable!$A$2:$A$301,0), Skills!L17+1)</f>
        <v/>
      </c>
      <c r="F397">
        <f>IF(Skills!M17=TRUE,(Skills!K17/10)*(E397/1000),Skills!K17/10)+Skills!N17</f>
        <v/>
      </c>
      <c r="G397">
        <f>Calc!G17</f>
        <v/>
      </c>
      <c r="H397">
        <f>Calc!H17</f>
        <v/>
      </c>
      <c r="I397">
        <f>IF(Skills!T17&lt;&gt;"",1+(Skills!T17/10)*($Z$3/1000)/100,1)</f>
        <v/>
      </c>
      <c r="J397" t="inlineStr"/>
      <c r="K397" t="inlineStr"/>
      <c r="L397" t="inlineStr"/>
      <c r="M397" t="inlineStr"/>
      <c r="N397" t="inlineStr"/>
      <c r="O397">
        <f>(1-Summary!$B$11)*S397+Summary!$B$11*U397</f>
        <v/>
      </c>
      <c r="P397">
        <f>IF(B422=0,0,O397/B422)</f>
        <v/>
      </c>
      <c r="Q397">
        <f>IFERROR(1/(IF(Inputs!$B$39="pvp",15,MAX(0.1,Skills!D17-IF(Skills!E17=TRUE,Inputs!$B$33,0)))*(1-IF(AND(ArtifactsInput!$M$27,Inputs!$B$4="Chapter Hunt"),CHOOSE(ArtifactsInput!$N$27+1,20,24,28,32,36,40),0)/100)),0)</f>
        <v/>
      </c>
      <c r="R397" t="n">
        <v>0</v>
      </c>
      <c r="S397" t="n">
        <v>0</v>
      </c>
      <c r="U397" t="n">
        <v>0</v>
      </c>
    </row>
    <row r="398">
      <c r="A398">
        <f>Skills!A18</f>
        <v/>
      </c>
      <c r="B398">
        <f>Skills!B18</f>
        <v/>
      </c>
      <c r="C398">
        <f>Inputs!$B$3&gt;=75</f>
        <v/>
      </c>
      <c r="D398">
        <f>IF(Skills!C18=1,60+Inputs!$B$26+Inputs!$B$30,IF(Skills!C18=2,90+Inputs!$B$27+Inputs!$B$30,IF(Skills!C18=3,120+Inputs!$B$28+Inputs!$B$30,MAX(0,(Inputs!$B$3-100)*3)+Inputs!$B$29+Inputs!$B$30)))</f>
        <v/>
      </c>
      <c r="E398">
        <f>INDEX(FactorTable!$B$2:$Y$301, MATCH(ROUND(MIN(300,MAX(1,D398)),0), FactorTable!$A$2:$A$301,0), Skills!L18+1)</f>
        <v/>
      </c>
      <c r="F398">
        <f>IF(Skills!M18=TRUE,(Skills!K18/10)*(E398/1000),Skills!K18/10)+Skills!N18</f>
        <v/>
      </c>
      <c r="G398">
        <f>Calc!G18</f>
        <v/>
      </c>
      <c r="H398">
        <f>Calc!H18</f>
        <v/>
      </c>
      <c r="I398">
        <f>IF(Skills!T18&lt;&gt;"",1+(Skills!T18/10)*($Z$3/1000)/100,1)</f>
        <v/>
      </c>
      <c r="J398" t="inlineStr"/>
      <c r="K398" t="inlineStr"/>
      <c r="L398" t="inlineStr"/>
      <c r="M398" t="inlineStr"/>
      <c r="N398" t="inlineStr"/>
      <c r="O398">
        <f>(1-Summary!$B$11)*S398+Summary!$B$11*U398</f>
        <v/>
      </c>
      <c r="P398">
        <f>IF(B422=0,0,O398/B422)</f>
        <v/>
      </c>
      <c r="Q398">
        <f>IFERROR(1/(IF(Inputs!$B$39="pvp",15,MAX(0.1,Skills!D18-IF(Skills!E18=TRUE,Inputs!$B$33,0)))*(1-IF(AND(ArtifactsInput!$M$27,Inputs!$B$4="Chapter Hunt"),CHOOSE(ArtifactsInput!$N$27+1,20,24,28,32,36,40),0)/100)),0)</f>
        <v/>
      </c>
      <c r="R398" t="n">
        <v>0</v>
      </c>
      <c r="S398" t="n">
        <v>0</v>
      </c>
      <c r="U398" t="n">
        <v>0</v>
      </c>
    </row>
    <row r="399">
      <c r="A399">
        <f>Skills!A19</f>
        <v/>
      </c>
      <c r="B399">
        <f>Skills!B19</f>
        <v/>
      </c>
      <c r="C399">
        <f>Inputs!$B$3&gt;=110</f>
        <v/>
      </c>
      <c r="D399">
        <f>IF(Skills!C19=1,60+Inputs!$B$26+Inputs!$B$30,IF(Skills!C19=2,90+Inputs!$B$27+Inputs!$B$30,IF(Skills!C19=3,120+Inputs!$B$28+Inputs!$B$30,MAX(0,(Inputs!$B$3-100)*3)+Inputs!$B$29+Inputs!$B$30)))</f>
        <v/>
      </c>
      <c r="E399">
        <f>INDEX(FactorTable!$B$2:$Y$301, MATCH(ROUND(MIN(300,MAX(1,D399)),0), FactorTable!$A$2:$A$301,0), Skills!L19+1)</f>
        <v/>
      </c>
      <c r="F399">
        <f>(Skills!K19/10)*(E399/1000)*64/45+Skills!N19</f>
        <v/>
      </c>
      <c r="G399">
        <f>Calc!G19</f>
        <v/>
      </c>
      <c r="H399">
        <f>Calc!H19</f>
        <v/>
      </c>
      <c r="I399">
        <f>IF(Skills!T19&lt;&gt;"",1+(Skills!T19/10)*($Z$3/1000)/100,1)</f>
        <v/>
      </c>
      <c r="J399" t="inlineStr"/>
      <c r="K399" t="inlineStr"/>
      <c r="L399" t="inlineStr"/>
      <c r="M399" t="inlineStr"/>
      <c r="N399" t="inlineStr"/>
      <c r="O399">
        <f>(1-Summary!$B$11)*S399+Summary!$B$11*U399</f>
        <v/>
      </c>
      <c r="P399">
        <f>IF(B422=0,0,O399/B422)</f>
        <v/>
      </c>
      <c r="Q399">
        <f>IFERROR(1/(IF(Inputs!$B$39="pvp",15,MAX(0.1,Skills!D19-IF(Skills!E19=TRUE,Inputs!$B$33,0)))*(1-IF(AND(ArtifactsInput!$M$27,Inputs!$B$4="Chapter Hunt"),CHOOSE(ArtifactsInput!$N$27+1,20,24,28,32,36,40),0)/100)),0)</f>
        <v/>
      </c>
      <c r="R399">
        <f>IF(AND(Inputs!$B$39&lt;&gt;"pvp",Inputs!$B$44&gt;0),IF(Inputs!$B$44&lt;=0,0,(INT(Inputs!$B$44/(IF(Inputs!$B$39="pvp",15,MAX(0.1,Skills!D19-IF(Skills!E19=TRUE,Inputs!$B$33,0)))*(1-IF(AND(ArtifactsInput!$M$27,Inputs!$B$4="Chapter Hunt"),CHOOSE(ArtifactsInput!$N$27+1,20,24,28,32,36,40),0)/100)))+1)),0)</f>
        <v/>
      </c>
      <c r="S399" t="n">
        <v>0</v>
      </c>
      <c r="U399" t="n">
        <v>0</v>
      </c>
    </row>
    <row r="400">
      <c r="A400">
        <f>Skills!A20</f>
        <v/>
      </c>
      <c r="B400">
        <f>Skills!B20</f>
        <v/>
      </c>
      <c r="C400">
        <f>Inputs!$B$3&gt;=125</f>
        <v/>
      </c>
      <c r="D400">
        <f>IF(Skills!C20=1,60+Inputs!$B$26+Inputs!$B$30,IF(Skills!C20=2,90+Inputs!$B$27+Inputs!$B$30,IF(Skills!C20=3,120+Inputs!$B$28+Inputs!$B$30,MAX(0,(Inputs!$B$3-100)*3)+Inputs!$B$29+Inputs!$B$30)))</f>
        <v/>
      </c>
      <c r="E400">
        <f>INDEX(FactorTable!$B$2:$Y$301, MATCH(ROUND(MIN(300,MAX(1,D400)),0), FactorTable!$A$2:$A$301,0), Skills!L20+1)</f>
        <v/>
      </c>
      <c r="F400">
        <f>IF(Skills!M20=TRUE,(Skills!K20/10)*(E400/1000),Skills!K20/10)+Skills!N20</f>
        <v/>
      </c>
      <c r="G400">
        <f>Calc!G20</f>
        <v/>
      </c>
      <c r="H400">
        <f>Calc!H20</f>
        <v/>
      </c>
      <c r="I400">
        <f>IF(Skills!T20&lt;&gt;"",1+(Skills!T20/10)*($Z$3/1000)/100,1)</f>
        <v/>
      </c>
      <c r="J400" t="inlineStr"/>
      <c r="K400" t="inlineStr"/>
      <c r="L400" t="inlineStr"/>
      <c r="M400" t="inlineStr"/>
      <c r="N400" t="inlineStr"/>
      <c r="O400">
        <f>(1-Summary!$B$11)*S400+Summary!$B$11*U400</f>
        <v/>
      </c>
      <c r="P400">
        <f>IF(B422=0,0,O400/B422)</f>
        <v/>
      </c>
      <c r="Q400">
        <f>IFERROR(1/(IF(Inputs!$B$39="pvp",15,MAX(0.1,Skills!D20-IF(Skills!E20=TRUE,Inputs!$B$33,0)))*(1-IF(AND(ArtifactsInput!$M$27,Inputs!$B$4="Chapter Hunt"),CHOOSE(ArtifactsInput!$N$27+1,20,24,28,32,36,40),0)/100)),0)</f>
        <v/>
      </c>
      <c r="R400" t="n">
        <v>0</v>
      </c>
      <c r="S400" t="n">
        <v>0</v>
      </c>
      <c r="U400" t="n">
        <v>0</v>
      </c>
    </row>
    <row r="401">
      <c r="A401">
        <f>Skills!A21</f>
        <v/>
      </c>
      <c r="B401">
        <f>Skills!B21</f>
        <v/>
      </c>
      <c r="C401">
        <f>Inputs!$B$3&gt;=33</f>
        <v/>
      </c>
      <c r="D401">
        <f>IF(Skills!C21=1,60+Inputs!$B$26+Inputs!$B$30,IF(Skills!C21=2,90+Inputs!$B$27+Inputs!$B$30,IF(Skills!C21=3,120+Inputs!$B$28+Inputs!$B$30,MAX(0,(Inputs!$B$3-100)*3)+Inputs!$B$29+Inputs!$B$30)))</f>
        <v/>
      </c>
      <c r="E401">
        <f>INDEX(FactorTable!$B$2:$Y$301, MATCH(ROUND(MIN(300,MAX(1,D401)),0), FactorTable!$A$2:$A$301,0), Skills!L21+1)</f>
        <v/>
      </c>
      <c r="F401">
        <f>IF(Skills!M21=TRUE,(Skills!K21/10)*(E401/1000),Skills!K21/10)+Skills!N21</f>
        <v/>
      </c>
      <c r="G401">
        <f>Calc!G21</f>
        <v/>
      </c>
      <c r="H401">
        <f>Calc!H21</f>
        <v/>
      </c>
      <c r="I401">
        <f>IF(Skills!T21&lt;&gt;"",1+(Skills!T21/10)*($Z$3/1000)/100,1)</f>
        <v/>
      </c>
      <c r="J401" t="inlineStr"/>
      <c r="K401" t="inlineStr"/>
      <c r="L401" t="inlineStr"/>
      <c r="M401" t="inlineStr"/>
      <c r="N401" t="inlineStr"/>
      <c r="O401">
        <f>(1-Summary!$B$11)*S401+Summary!$B$11*U401</f>
        <v/>
      </c>
      <c r="P401">
        <f>IF(B422=0,0,O401/B422)</f>
        <v/>
      </c>
      <c r="Q401">
        <f>IFERROR(1/(IF(Inputs!$B$39="pvp",15,MAX(0.1,Skills!D21-IF(Skills!E21=TRUE,Inputs!$B$33,0)))*(1-IF(AND(ArtifactsInput!$M$27,Inputs!$B$4="Chapter Hunt"),CHOOSE(ArtifactsInput!$N$27+1,20,24,28,32,36,40),0)/100)),0)</f>
        <v/>
      </c>
      <c r="R401" t="n">
        <v>0</v>
      </c>
      <c r="S401" t="n">
        <v>0</v>
      </c>
      <c r="U401" t="n">
        <v>0</v>
      </c>
    </row>
    <row r="402">
      <c r="A402">
        <f>Skills!A22</f>
        <v/>
      </c>
      <c r="B402">
        <f>Skills!B22</f>
        <v/>
      </c>
      <c r="C402">
        <f>Inputs!$B$3&gt;=43</f>
        <v/>
      </c>
      <c r="D402">
        <f>IF(Skills!C22=1,60+Inputs!$B$26+Inputs!$B$30,IF(Skills!C22=2,90+Inputs!$B$27+Inputs!$B$30,IF(Skills!C22=3,120+Inputs!$B$28+Inputs!$B$30,MAX(0,(Inputs!$B$3-100)*3)+Inputs!$B$29+Inputs!$B$30)))</f>
        <v/>
      </c>
      <c r="E402">
        <f>INDEX(FactorTable!$B$2:$Y$301, MATCH(ROUND(MIN(300,MAX(1,D402)),0), FactorTable!$A$2:$A$301,0), Skills!L22+1)</f>
        <v/>
      </c>
      <c r="F402">
        <f>IF(Skills!M22=TRUE,(Skills!K22/10)*(E402/1000),Skills!K22/10)+Skills!N22</f>
        <v/>
      </c>
      <c r="G402">
        <f>Calc!G22</f>
        <v/>
      </c>
      <c r="H402">
        <f>Calc!H22</f>
        <v/>
      </c>
      <c r="I402">
        <f>IF(Skills!T22&lt;&gt;"",1+(Skills!T22/10)*($Z$3/1000)/100,1)</f>
        <v/>
      </c>
      <c r="J402" t="inlineStr"/>
      <c r="K402" t="inlineStr"/>
      <c r="L402" t="inlineStr"/>
      <c r="M402" t="inlineStr"/>
      <c r="N402" t="inlineStr"/>
      <c r="O402">
        <f>(1-Summary!$B$11)*S402+Summary!$B$11*U402</f>
        <v/>
      </c>
      <c r="P402">
        <f>IF(B422=0,0,O402/B422)</f>
        <v/>
      </c>
      <c r="Q402">
        <f>IFERROR(1/(IF(Inputs!$B$39="pvp",15,MAX(0.1,Skills!D22-IF(Skills!E22=TRUE,Inputs!$B$33,0)))*(1-IF(AND(ArtifactsInput!$M$27,Inputs!$B$4="Chapter Hunt"),CHOOSE(ArtifactsInput!$N$27+1,20,24,28,32,36,40),0)/100)),0)</f>
        <v/>
      </c>
      <c r="R402" t="n">
        <v>0</v>
      </c>
      <c r="S402" t="n">
        <v>0</v>
      </c>
      <c r="U402" t="n">
        <v>0</v>
      </c>
    </row>
    <row r="403">
      <c r="A403">
        <f>Skills!A23</f>
        <v/>
      </c>
      <c r="B403">
        <f>Skills!B23</f>
        <v/>
      </c>
      <c r="C403">
        <f>Inputs!$B$3&gt;=50</f>
        <v/>
      </c>
      <c r="D403">
        <f>IF(Skills!C23=1,60+Inputs!$B$26+Inputs!$B$30,IF(Skills!C23=2,90+Inputs!$B$27+Inputs!$B$30,IF(Skills!C23=3,120+Inputs!$B$28+Inputs!$B$30,MAX(0,(Inputs!$B$3-100)*3)+Inputs!$B$29+Inputs!$B$30)))</f>
        <v/>
      </c>
      <c r="E403">
        <f>INDEX(FactorTable!$B$2:$Y$301, MATCH(ROUND(MIN(300,MAX(1,D403)),0), FactorTable!$A$2:$A$301,0), Skills!L23+1)</f>
        <v/>
      </c>
      <c r="F403">
        <f>IF(Skills!M23=TRUE,(Skills!K23/10)*(E403/1000),Skills!K23/10)+Skills!N23</f>
        <v/>
      </c>
      <c r="G403">
        <f>Calc!G23</f>
        <v/>
      </c>
      <c r="H403">
        <f>Calc!H23</f>
        <v/>
      </c>
      <c r="I403">
        <f>IF(Skills!T23&lt;&gt;"",1+(Skills!T23/10)*($Z$3/1000)/100,1)</f>
        <v/>
      </c>
      <c r="J403" t="inlineStr"/>
      <c r="K403" t="inlineStr"/>
      <c r="L403" t="inlineStr"/>
      <c r="M403" t="inlineStr"/>
      <c r="N403" t="inlineStr"/>
      <c r="O403">
        <f>(1-Summary!$B$11)*S403+Summary!$B$11*U403</f>
        <v/>
      </c>
      <c r="P403">
        <f>IF(B422=0,0,O403/B422)</f>
        <v/>
      </c>
      <c r="Q403">
        <f>IFERROR(1/(IF(Inputs!$B$39="pvp",15,MAX(0.1,Skills!D23-IF(Skills!E23=TRUE,Inputs!$B$33,0)))*(1-IF(AND(ArtifactsInput!$M$27,Inputs!$B$4="Chapter Hunt"),CHOOSE(ArtifactsInput!$N$27+1,20,24,28,32,36,40),0)/100)),0)</f>
        <v/>
      </c>
      <c r="R403" t="n">
        <v>0</v>
      </c>
      <c r="S403" t="n">
        <v>0</v>
      </c>
      <c r="U403" t="n">
        <v>0</v>
      </c>
    </row>
    <row r="404">
      <c r="A404">
        <f>Skills!A24</f>
        <v/>
      </c>
      <c r="B404">
        <f>Skills!B24</f>
        <v/>
      </c>
      <c r="C404">
        <f>Inputs!$B$3&gt;=74</f>
        <v/>
      </c>
      <c r="D404">
        <f>IF(Skills!C24=1,60+Inputs!$B$26+Inputs!$B$30,IF(Skills!C24=2,90+Inputs!$B$27+Inputs!$B$30,IF(Skills!C24=3,120+Inputs!$B$28+Inputs!$B$30,MAX(0,(Inputs!$B$3-100)*3)+Inputs!$B$29+Inputs!$B$30)))</f>
        <v/>
      </c>
      <c r="E404">
        <f>INDEX(FactorTable!$B$2:$Y$301, MATCH(ROUND(MIN(300,MAX(1,D404)),0), FactorTable!$A$2:$A$301,0), Skills!L24+1)</f>
        <v/>
      </c>
      <c r="F404">
        <f>IF(Skills!M24=TRUE,(Skills!K24/10)*(E404/1000),Skills!K24/10)+Skills!N24</f>
        <v/>
      </c>
      <c r="G404">
        <f>Calc!G24</f>
        <v/>
      </c>
      <c r="H404">
        <f>Calc!H24</f>
        <v/>
      </c>
      <c r="I404">
        <f>IF(Skills!T24&lt;&gt;"",1+(Skills!T24/10)*($Z$3/1000)/100,1)</f>
        <v/>
      </c>
      <c r="J404" t="inlineStr"/>
      <c r="K404" t="inlineStr"/>
      <c r="L404" t="inlineStr"/>
      <c r="M404" t="inlineStr"/>
      <c r="N404" t="inlineStr"/>
      <c r="O404">
        <f>(1-Summary!$B$11)*S404+Summary!$B$11*U404</f>
        <v/>
      </c>
      <c r="P404">
        <f>IF(B422=0,0,O404/B422)</f>
        <v/>
      </c>
      <c r="Q404">
        <f>IFERROR(1/(IF(Inputs!$B$39="pvp",15,MAX(0.1,Skills!D24-IF(Skills!E24=TRUE,Inputs!$B$33,0)))*(1-IF(AND(ArtifactsInput!$M$27,Inputs!$B$4="Chapter Hunt"),CHOOSE(ArtifactsInput!$N$27+1,20,24,28,32,36,40),0)/100)),0)</f>
        <v/>
      </c>
      <c r="R404" t="n">
        <v>0</v>
      </c>
      <c r="S404" t="n">
        <v>0</v>
      </c>
      <c r="U404" t="n">
        <v>0</v>
      </c>
    </row>
    <row r="405">
      <c r="A405">
        <f>Skills!A25</f>
        <v/>
      </c>
      <c r="B405">
        <f>Skills!B25</f>
        <v/>
      </c>
      <c r="C405">
        <f>Inputs!$B$3&gt;=74</f>
        <v/>
      </c>
      <c r="D405">
        <f>IF(Skills!C25=1,60+Inputs!$B$26+Inputs!$B$30,IF(Skills!C25=2,90+Inputs!$B$27+Inputs!$B$30,IF(Skills!C25=3,120+Inputs!$B$28+Inputs!$B$30,MAX(0,(Inputs!$B$3-100)*3)+Inputs!$B$29+Inputs!$B$30)))</f>
        <v/>
      </c>
      <c r="E405">
        <f>INDEX(FactorTable!$B$2:$Y$301, MATCH(ROUND(MIN(300,MAX(1,D405)),0), FactorTable!$A$2:$A$301,0), Skills!L25+1)</f>
        <v/>
      </c>
      <c r="F405">
        <f>IF(Skills!M25=TRUE,(Skills!K25/10)*(E405/1000),Skills!K25/10)+Skills!N25</f>
        <v/>
      </c>
      <c r="G405">
        <f>Calc!G25</f>
        <v/>
      </c>
      <c r="H405">
        <f>Calc!H25</f>
        <v/>
      </c>
      <c r="I405">
        <f>IF(Skills!T25&lt;&gt;"",1+(Skills!T25/10)*($Z$3/1000)/100,1)</f>
        <v/>
      </c>
      <c r="J405" t="inlineStr"/>
      <c r="K405" t="inlineStr"/>
      <c r="L405" t="inlineStr"/>
      <c r="M405" t="inlineStr"/>
      <c r="N405" t="inlineStr"/>
      <c r="O405">
        <f>(1-Summary!$B$11)*S405+Summary!$B$11*U405</f>
        <v/>
      </c>
      <c r="P405">
        <f>IF(B422=0,0,O405/B422)</f>
        <v/>
      </c>
      <c r="Q405">
        <f>IFERROR(1/(IF(Inputs!$B$39="pvp",15,MAX(0.1,Skills!D25-IF(Skills!E25=TRUE,Inputs!$B$33,0)))*(1-IF(AND(ArtifactsInput!$M$27,Inputs!$B$4="Chapter Hunt"),CHOOSE(ArtifactsInput!$N$27+1,20,24,28,32,36,40),0)/100)),0)</f>
        <v/>
      </c>
      <c r="R405" t="n">
        <v>0</v>
      </c>
      <c r="S405" t="n">
        <v>0</v>
      </c>
      <c r="U405" t="n">
        <v>0</v>
      </c>
    </row>
    <row r="406">
      <c r="A406">
        <f>Skills!A26</f>
        <v/>
      </c>
      <c r="B406">
        <f>Skills!B26</f>
        <v/>
      </c>
      <c r="C406">
        <f>Inputs!$B$3&gt;=117</f>
        <v/>
      </c>
      <c r="D406">
        <f>IF(Skills!C26=1,60+Inputs!$B$26+Inputs!$B$30,IF(Skills!C26=2,90+Inputs!$B$27+Inputs!$B$30,IF(Skills!C26=3,120+Inputs!$B$28+Inputs!$B$30,MAX(0,(Inputs!$B$3-100)*3)+Inputs!$B$29+Inputs!$B$30)))</f>
        <v/>
      </c>
      <c r="E406">
        <f>INDEX(FactorTable!$B$2:$Y$301, MATCH(ROUND(MIN(300,MAX(1,D406)),0), FactorTable!$A$2:$A$301,0), Skills!L26+1)</f>
        <v/>
      </c>
      <c r="F406">
        <f>IF(Skills!M26=TRUE,(Skills!K26/10)*(E406/1000),Skills!K26/10)+Skills!N26</f>
        <v/>
      </c>
      <c r="G406">
        <f>Calc!G26</f>
        <v/>
      </c>
      <c r="H406">
        <f>Calc!H26</f>
        <v/>
      </c>
      <c r="I406">
        <f>IF(Skills!T26&lt;&gt;"",1+(Skills!T26/10)*($Z$3/1000)/100,1)</f>
        <v/>
      </c>
      <c r="J406" t="inlineStr"/>
      <c r="K406" t="inlineStr"/>
      <c r="L406" t="inlineStr"/>
      <c r="M406" t="inlineStr"/>
      <c r="N406" t="inlineStr"/>
      <c r="O406">
        <f>(1-Summary!$B$11)*S406+Summary!$B$11*U406</f>
        <v/>
      </c>
      <c r="P406">
        <f>IF(B422=0,0,O406/B422)</f>
        <v/>
      </c>
      <c r="Q406">
        <f>IFERROR(1/(IF(Inputs!$B$39="pvp",15,MAX(0.1,Skills!D26-IF(Skills!E26=TRUE,Inputs!$B$33,0)))*(1-IF(AND(ArtifactsInput!$M$27,Inputs!$B$4="Chapter Hunt"),CHOOSE(ArtifactsInput!$N$27+1,20,24,28,32,36,40),0)/100)),0)</f>
        <v/>
      </c>
      <c r="R406" t="n">
        <v>0</v>
      </c>
      <c r="S406" t="n">
        <v>0</v>
      </c>
      <c r="U406" t="n">
        <v>0</v>
      </c>
    </row>
    <row r="407">
      <c r="A407">
        <f>Skills!A27</f>
        <v/>
      </c>
      <c r="B407">
        <f>Skills!B27</f>
        <v/>
      </c>
      <c r="C407">
        <f>Inputs!$B$3&gt;=120</f>
        <v/>
      </c>
      <c r="D407">
        <f>IF(Skills!C27=1,60+Inputs!$B$26+Inputs!$B$30,IF(Skills!C27=2,90+Inputs!$B$27+Inputs!$B$30,IF(Skills!C27=3,120+Inputs!$B$28+Inputs!$B$30,MAX(0,(Inputs!$B$3-100)*3)+Inputs!$B$29+Inputs!$B$30)))</f>
        <v/>
      </c>
      <c r="E407">
        <f>INDEX(FactorTable!$B$2:$Y$301, MATCH(ROUND(MIN(300,MAX(1,D407)),0), FactorTable!$A$2:$A$301,0), Skills!L27+1)</f>
        <v/>
      </c>
      <c r="F407">
        <f>IF(Skills!M27=TRUE,(Skills!K27/10)*(E407/1000),Skills!K27/10)+Skills!N27</f>
        <v/>
      </c>
      <c r="G407">
        <f>Calc!G27</f>
        <v/>
      </c>
      <c r="H407">
        <f>Calc!H27</f>
        <v/>
      </c>
      <c r="I407">
        <f>IF(Skills!T27&lt;&gt;"",1+(Skills!T27/10)*($Z$3/1000)/100,1)</f>
        <v/>
      </c>
      <c r="J407" t="inlineStr"/>
      <c r="K407" t="inlineStr"/>
      <c r="L407" t="inlineStr"/>
      <c r="M407" t="inlineStr"/>
      <c r="N407" t="inlineStr"/>
      <c r="O407">
        <f>(1-Summary!$B$11)*S407+Summary!$B$11*U407</f>
        <v/>
      </c>
      <c r="P407">
        <f>IF(B422=0,0,O407/B422)</f>
        <v/>
      </c>
      <c r="Q407">
        <f>IFERROR(1/(IF(Inputs!$B$39="pvp",15,MAX(0.1,Skills!D27-IF(Skills!E27=TRUE,Inputs!$B$33,0)))*(1-IF(AND(ArtifactsInput!$M$27,Inputs!$B$4="Chapter Hunt"),CHOOSE(ArtifactsInput!$N$27+1,20,24,28,32,36,40),0)/100)),0)</f>
        <v/>
      </c>
      <c r="R407" t="n">
        <v>0</v>
      </c>
      <c r="S407" t="n">
        <v>0</v>
      </c>
      <c r="U407" t="n">
        <v>0</v>
      </c>
    </row>
    <row r="409">
      <c r="A409" t="inlineStr">
        <is>
          <t>Average Buff Multiplier</t>
        </is>
      </c>
      <c r="B409">
        <f>(1+(IF(C383=TRUE,F383*IF(AND(Inputs!$B$39&lt;&gt;"pvp",Inputs!$B$44&gt;0),(((R383-1)*(Skills!S3*(1+((Inputs!$B$35+(ArtifactsInput!$M$7-ArtifactsInput!$M$7)*CHOOSE(ArtifactsInput!$N$7+1,6,7.2,8.4,9.6,10.8,12))+IF(Inputs!$B$3&gt;=117,F406,0))/100))+MIN((Skills!S3*(1+((Inputs!$B$35+(ArtifactsInput!$M$7-ArtifactsInput!$M$7)*CHOOSE(ArtifactsInput!$N$7+1,6,7.2,8.4,9.6,10.8,12))+IF(Inputs!$B$3&gt;=117,F406,0))/100)),MAX(0,Inputs!$B$44-((R383-1)*Skills!D3))))/Inputs!$B$44),IF(Inputs!$B$39="pvp",MIN((Skills!S3*(1+((Inputs!$B$35+(ArtifactsInput!$M$7-ArtifactsInput!$M$7)*CHOOSE(ArtifactsInput!$N$7+1,6,7.2,8.4,9.6,10.8,12))+IF(Inputs!$B$3&gt;=117,F406,0))/100)),15)/15,(Skills!S3*(1+((Inputs!$B$35+(ArtifactsInput!$M$7-ArtifactsInput!$M$7)*CHOOSE(ArtifactsInput!$N$7+1,6,7.2,8.4,9.6,10.8,12))+IF(Inputs!$B$3&gt;=117,F406,0))/100))/Skills!D3)),0)+IF(C384=TRUE,F384*IF(AND(Inputs!$B$39&lt;&gt;"pvp",Inputs!$B$44&gt;0),(((R384-1)*(Skills!S4*(1+((Inputs!$B$35+(ArtifactsInput!$M$7-ArtifactsInput!$M$7)*CHOOSE(ArtifactsInput!$N$7+1,6,7.2,8.4,9.6,10.8,12))+IF(Inputs!$B$3&gt;=117,F406,0))/100))+MIN((Skills!S4*(1+((Inputs!$B$35+(ArtifactsInput!$M$7-ArtifactsInput!$M$7)*CHOOSE(ArtifactsInput!$N$7+1,6,7.2,8.4,9.6,10.8,12))+IF(Inputs!$B$3&gt;=117,F406,0))/100)),MAX(0,Inputs!$B$44-((R384-1)*Skills!D4))))/Inputs!$B$44),IF(Inputs!$B$39="pvp",MIN((Skills!S4*(1+((Inputs!$B$35+(ArtifactsInput!$M$7-ArtifactsInput!$M$7)*CHOOSE(ArtifactsInput!$N$7+1,6,7.2,8.4,9.6,10.8,12))+IF(Inputs!$B$3&gt;=117,F406,0))/100)),15)/15,(Skills!S4*(1+((Inputs!$B$35+(ArtifactsInput!$M$7-ArtifactsInput!$M$7)*CHOOSE(ArtifactsInput!$N$7+1,6,7.2,8.4,9.6,10.8,12))+IF(Inputs!$B$3&gt;=117,F406,0))/100))/Skills!D4)),0)+IF(C385=TRUE,F385*IF(AND(Inputs!$B$39&lt;&gt;"pvp",Inputs!$B$44&gt;0),(((R385-1)*(Skills!S5*(1+((Inputs!$B$35+(ArtifactsInput!$M$7-ArtifactsInput!$M$7)*CHOOSE(ArtifactsInput!$N$7+1,6,7.2,8.4,9.6,10.8,12))+IF(Inputs!$B$3&gt;=117,F406,0))/100))+MIN((Skills!S5*(1+((Inputs!$B$35+(ArtifactsInput!$M$7-ArtifactsInput!$M$7)*CHOOSE(ArtifactsInput!$N$7+1,6,7.2,8.4,9.6,10.8,12))+IF(Inputs!$B$3&gt;=117,F406,0))/100)),MAX(0,Inputs!$B$44-((R385-1)*Skills!D5))))/Inputs!$B$44),IF(Inputs!$B$39="pvp",MIN((Skills!S5*(1+((Inputs!$B$35+(ArtifactsInput!$M$7-ArtifactsInput!$M$7)*CHOOSE(ArtifactsInput!$N$7+1,6,7.2,8.4,9.6,10.8,12))+IF(Inputs!$B$3&gt;=117,F406,0))/100)),15)/15,(Skills!S5*(1+((Inputs!$B$35+(ArtifactsInput!$M$7-ArtifactsInput!$M$7)*CHOOSE(ArtifactsInput!$N$7+1,6,7.2,8.4,9.6,10.8,12))+IF(Inputs!$B$3&gt;=117,F406,0))/100))/Skills!D5)),0)+IF(C391=TRUE,F391*IF(AND(Inputs!$B$39&lt;&gt;"pvp",Inputs!$B$44&gt;0),(((R391-1)*(Skills!S11*(1+((Inputs!$B$35+(ArtifactsInput!$M$7-ArtifactsInput!$M$7)*CHOOSE(ArtifactsInput!$N$7+1,6,7.2,8.4,9.6,10.8,12))+IF(Inputs!$B$3&gt;=117,F406,0))/100))+MIN((Skills!S11*(1+((Inputs!$B$35+(ArtifactsInput!$M$7-ArtifactsInput!$M$7)*CHOOSE(ArtifactsInput!$N$7+1,6,7.2,8.4,9.6,10.8,12))+IF(Inputs!$B$3&gt;=117,F406,0))/100)),MAX(0,Inputs!$B$44-((R391-1)*Skills!D11))))/Inputs!$B$44),IF(Inputs!$B$39="pvp",MIN((Skills!S11*(1+((Inputs!$B$35+(ArtifactsInput!$M$7-ArtifactsInput!$M$7)*CHOOSE(ArtifactsInput!$N$7+1,6,7.2,8.4,9.6,10.8,12))+IF(Inputs!$B$3&gt;=117,F406,0))/100)),15)/15,(Skills!S11*(1+((Inputs!$B$35+(ArtifactsInput!$M$7-ArtifactsInput!$M$7)*CHOOSE(ArtifactsInput!$N$7+1,6,7.2,8.4,9.6,10.8,12))+IF(Inputs!$B$3&gt;=117,F406,0)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394=TRUE,(1+F394*IF(AND(Inputs!$B$39&lt;&gt;"pvp",Inputs!$B$44&gt;0),(((R394-1)*(Skills!S14*(1+((Inputs!$B$35+(ArtifactsInput!$M$7-ArtifactsInput!$M$7)*CHOOSE(ArtifactsInput!$N$7+1,6,7.2,8.4,9.6,10.8,12))+IF(Inputs!$B$3&gt;=117,F406,0))/100))+MIN((Skills!S14*(1+((Inputs!$B$35+(ArtifactsInput!$M$7-ArtifactsInput!$M$7)*CHOOSE(ArtifactsInput!$N$7+1,6,7.2,8.4,9.6,10.8,12))+IF(Inputs!$B$3&gt;=117,F406,0))/100)),MAX(0,Inputs!$B$44-((R394-1)*Skills!D14))))/Inputs!$B$44),IF(Inputs!$B$39="pvp",MIN((Skills!S14*(1+((Inputs!$B$35+(ArtifactsInput!$M$7-ArtifactsInput!$M$7)*CHOOSE(ArtifactsInput!$N$7+1,6,7.2,8.4,9.6,10.8,12))+IF(Inputs!$B$3&gt;=117,F406,0))/100)),15)/15,(Skills!S14*(1+((Inputs!$B$35+(ArtifactsInput!$M$7-ArtifactsInput!$M$7)*CHOOSE(ArtifactsInput!$N$7+1,6,7.2,8.4,9.6,10.8,12))+IF(Inputs!$B$3&gt;=117,F406,0))/100))/Skills!D14))/100),1)*IF(C399=TRUE,(1+F399*IF(AND(Inputs!$B$39&lt;&gt;"pvp",Inputs!$B$44&gt;0),(((R399-1)*(Skills!S19*(1+((Inputs!$B$35+(ArtifactsInput!$M$7-ArtifactsInput!$M$7)*CHOOSE(ArtifactsInput!$N$7+1,6,7.2,8.4,9.6,10.8,12))+IF(Inputs!$B$3&gt;=117,F406,0))/100))+MIN((Skills!S19*(1+((Inputs!$B$35+(ArtifactsInput!$M$7-ArtifactsInput!$M$7)*CHOOSE(ArtifactsInput!$N$7+1,6,7.2,8.4,9.6,10.8,12))+IF(Inputs!$B$3&gt;=117,F406,0))/100)),MAX(0,Inputs!$B$44-((R399-1)*Skills!D19))))/Inputs!$B$44),IF(Inputs!$B$39="pvp",MIN((Skills!S19*(1+((Inputs!$B$35+(ArtifactsInput!$M$7-ArtifactsInput!$M$7)*CHOOSE(ArtifactsInput!$N$7+1,6,7.2,8.4,9.6,10.8,12))+IF(Inputs!$B$3&gt;=117,F406,0))/100)),15)/15,(Skills!S19*(1+((Inputs!$B$35+(ArtifactsInput!$M$7-ArtifactsInput!$M$7)*CHOOSE(ArtifactsInput!$N$7+1,6,7.2,8.4,9.6,10.8,12))+IF(Inputs!$B$3&gt;=117,F406,0))/100))/Skills!D19))/100),1)</f>
        <v/>
      </c>
    </row>
    <row r="410">
      <c r="A410" t="inlineStr">
        <is>
          <t>Monster Damage Taken Bonus % (Holy Fountain)</t>
        </is>
      </c>
      <c r="B410">
        <f>IF(Inputs!$B$3&gt;=68,20*IF(Inputs!$B$39="pvp",MIN((15*(1+((Inputs!$B$35+(ArtifactsInput!$M$7-ArtifactsInput!$M$7)*CHOOSE(ArtifactsInput!$N$7+1,6,7.2,8.4,9.6,10.8,12))+IF(Inputs!$B$3&gt;=117,F406,0))/100)),15)/15,(15*(1+((Inputs!$B$35+(ArtifactsInput!$M$7-ArtifactsInput!$M$7)*CHOOSE(ArtifactsInput!$N$7+1,6,7.2,8.4,9.6,10.8,12))+IF(Inputs!$B$3&gt;=117,F406,0))/100))/Skills!D10),0)</f>
        <v/>
      </c>
    </row>
    <row r="411">
      <c r="A411" t="inlineStr">
        <is>
          <t>Normal Monster Damage Bonus % (Holy Symbol)</t>
        </is>
      </c>
      <c r="B411">
        <f>IF(C392=TRUE,F392*IF(AND(Inputs!$B$39&lt;&gt;"pvp",Inputs!$B$44&gt;0),(((R392-1)*(Skills!S12*(1+((Inputs!$B$35+(ArtifactsInput!$M$7-ArtifactsInput!$M$7)*CHOOSE(ArtifactsInput!$N$7+1,6,7.2,8.4,9.6,10.8,12))+IF(Inputs!$B$3&gt;=117,F406,0))/100))+MIN((Skills!S12*(1+((Inputs!$B$35+(ArtifactsInput!$M$7-ArtifactsInput!$M$7)*CHOOSE(ArtifactsInput!$N$7+1,6,7.2,8.4,9.6,10.8,12))+IF(Inputs!$B$3&gt;=117,F406,0))/100)),MAX(0,Inputs!$B$44-((R392-1)*Skills!D12))))/Inputs!$B$44),IF(Inputs!$B$39="pvp",MIN((Skills!S12*(1+((Inputs!$B$35+(ArtifactsInput!$M$7-ArtifactsInput!$M$7)*CHOOSE(ArtifactsInput!$N$7+1,6,7.2,8.4,9.6,10.8,12))+IF(Inputs!$B$3&gt;=117,F406,0))/100)),15)/15,(Skills!S12*(1+((Inputs!$B$35+(ArtifactsInput!$M$7-ArtifactsInput!$M$7)*CHOOSE(ArtifactsInput!$N$7+1,6,7.2,8.4,9.6,10.8,12))+IF(Inputs!$B$3&gt;=117,F406,0))/100))/Skills!D12)),0)</f>
        <v/>
      </c>
    </row>
    <row r="412">
      <c r="A412" t="inlineStr">
        <is>
          <t>Damage % Bonus (Holy Symbol - Damage Boost)</t>
        </is>
      </c>
      <c r="B412">
        <f>Skills!O12</f>
        <v/>
      </c>
    </row>
    <row r="413">
      <c r="A413" t="inlineStr">
        <is>
          <t>Crit Damage % Bonus (Blood of the Divine)</t>
        </is>
      </c>
      <c r="B413">
        <f>4*IF(C400=TRUE,F400,0)</f>
        <v/>
      </c>
    </row>
    <row r="414">
      <c r="A414" t="inlineStr">
        <is>
          <t>Attack Speed Bonus %</t>
        </is>
      </c>
      <c r="B414">
        <f>IF(C397=TRUE,F397+(F401-Calc!F21),0)+IF(Inputs!$B$3&gt;=134,15,0)</f>
        <v/>
      </c>
    </row>
    <row r="415">
      <c r="A415" t="inlineStr">
        <is>
          <t>Actions Per Second</t>
        </is>
      </c>
      <c r="B415">
        <f>1+MIN(150,150*(1-(1-Inputs!$B$12/150)*(1-B414/150)))/100</f>
        <v/>
      </c>
    </row>
    <row r="416">
      <c r="A416" t="inlineStr">
        <is>
          <t>Skill + Buff Cast Rate</t>
        </is>
      </c>
      <c r="B416">
        <f>IF(AND(Inputs!$B$39&lt;&gt;"pvp",Inputs!$B$44&gt;0),SUMPRODUCT((Skills!E2:E27=TRUE)*(C382:C407=TRUE)*R382:R407)/Inputs!$B$44,SUMPRODUCT((Skills!E2:E27=TRUE)*(C382:C407=TRUE)*Q382:Q407))</f>
        <v/>
      </c>
    </row>
    <row r="417">
      <c r="A417" t="inlineStr">
        <is>
          <t>Big Bang Casts Per Second</t>
        </is>
      </c>
      <c r="B417">
        <f>MAX(0,B415-B416)</f>
        <v/>
      </c>
    </row>
    <row r="418">
      <c r="A418" t="inlineStr">
        <is>
          <t>Defense % Bonus (Divine Protection)</t>
        </is>
      </c>
      <c r="B418">
        <f>IF(C393=TRUE,F393*IF(AND(Inputs!$B$39&lt;&gt;"pvp",Inputs!$B$44&gt;0),(((R393-1)*(Skills!S13*(1+((Inputs!$B$35+(ArtifactsInput!$M$7-ArtifactsInput!$M$7)*CHOOSE(ArtifactsInput!$N$7+1,6,7.2,8.4,9.6,10.8,12))+IF(Inputs!$B$3&gt;=117,F406,0))/100))+MIN((Skills!S13*(1+((Inputs!$B$35+(ArtifactsInput!$M$7-ArtifactsInput!$M$7)*CHOOSE(ArtifactsInput!$N$7+1,6,7.2,8.4,9.6,10.8,12))+IF(Inputs!$B$3&gt;=117,F406,0))/100)),MAX(0,Inputs!$B$44-((R393-1)*Skills!D13))))/Inputs!$B$44),IF(Inputs!$B$39="pvp",MIN((Skills!S13*(1+((Inputs!$B$35+(ArtifactsInput!$M$7-ArtifactsInput!$M$7)*CHOOSE(ArtifactsInput!$N$7+1,6,7.2,8.4,9.6,10.8,12))+IF(Inputs!$B$3&gt;=117,F406,0))/100)),15)/15,(Skills!S13*(1+((Inputs!$B$35+(ArtifactsInput!$M$7-ArtifactsInput!$M$7)*CHOOSE(ArtifactsInput!$N$7+1,6,7.2,8.4,9.6,10.8,12))+IF(Inputs!$B$3&gt;=117,F406,0))/100))/Skills!D13)),0)</f>
        <v/>
      </c>
    </row>
    <row r="419">
      <c r="A419" t="inlineStr">
        <is>
          <t>Buff-Casting Startup Delay (s, fixed-duration only)</t>
        </is>
      </c>
      <c r="B419">
        <f>IF(AND(Inputs!$B$39&lt;&gt;"pvp",Inputs!$B$44&gt;0),SUMPRODUCT((Skills!S2:S27&gt;0)*(Skills!E2:E27=TRUE)*(C382:C407=TRUE))/B415,0)</f>
        <v/>
      </c>
    </row>
    <row r="420">
      <c r="A420" t="inlineStr">
        <is>
          <t>Boss-Only Total DPS (this block's swept value)</t>
        </is>
      </c>
      <c r="B420">
        <f>SUM(S382:S407)</f>
        <v/>
      </c>
    </row>
    <row r="421">
      <c r="A421" t="inlineStr">
        <is>
          <t>Normal-Only Total DPS (this block's swept value)</t>
        </is>
      </c>
      <c r="B421">
        <f>SUM(U382:U407)</f>
        <v/>
      </c>
    </row>
    <row r="422">
      <c r="A422" s="6" t="inlineStr">
        <is>
          <t>TOTAL DPS</t>
        </is>
      </c>
      <c r="B422" s="6">
        <f>SUM(O382:O407)</f>
        <v/>
      </c>
    </row>
    <row r="424">
      <c r="A424" s="6" t="inlineStr">
        <is>
          <t>Stat: FINAL_DAMAGE % (multiplicative source)</t>
        </is>
      </c>
    </row>
    <row r="425">
      <c r="A425" s="5" t="inlineStr">
        <is>
          <t>Key</t>
        </is>
      </c>
      <c r="B425" s="5" t="inlineStr">
        <is>
          <t>Name</t>
        </is>
      </c>
      <c r="C425" s="5" t="inlineStr">
        <is>
          <t>Unlocked</t>
        </is>
      </c>
      <c r="D425" s="5" t="inlineStr">
        <is>
          <t>InputLevel</t>
        </is>
      </c>
      <c r="E425" s="5" t="inlineStr">
        <is>
          <t>Factor</t>
        </is>
      </c>
      <c r="F425" s="5" t="inlineStr">
        <is>
          <t>CoefficientPercent</t>
        </is>
      </c>
      <c r="G425" s="5" t="inlineStr">
        <is>
          <t>EffectiveHits</t>
        </is>
      </c>
      <c r="H425" s="5" t="inlineStr">
        <is>
          <t>ProcProbability</t>
        </is>
      </c>
      <c r="I425" s="5" t="inlineStr">
        <is>
          <t>MapleHeroMultiplier</t>
        </is>
      </c>
      <c r="J425" s="5" t="inlineStr">
        <is>
          <t>BaseDamage</t>
        </is>
      </c>
      <c r="K425" s="5" t="inlineStr">
        <is>
          <t>BaseHitDamage</t>
        </is>
      </c>
      <c r="L425" s="5" t="inlineStr">
        <is>
          <t>NonCritAvg</t>
        </is>
      </c>
      <c r="M425" s="5" t="inlineStr">
        <is>
          <t>CritAvg</t>
        </is>
      </c>
      <c r="N425" s="5" t="inlineStr">
        <is>
          <t>ExpectedDamage(perHit)</t>
        </is>
      </c>
      <c r="O425" s="5" t="inlineStr">
        <is>
          <t>DPS</t>
        </is>
      </c>
      <c r="P425" s="5" t="inlineStr">
        <is>
          <t>% of Total</t>
        </is>
      </c>
      <c r="R425" t="inlineStr">
        <is>
          <t>helpers</t>
        </is>
      </c>
    </row>
    <row r="426">
      <c r="A426">
        <f>Skills!A2</f>
        <v/>
      </c>
      <c r="B426">
        <f>Skills!B2</f>
        <v/>
      </c>
      <c r="C426">
        <f>Inputs!$B$3&gt;=100</f>
        <v/>
      </c>
      <c r="D426" t="inlineStr"/>
      <c r="E426" t="inlineStr"/>
      <c r="F426">
        <f>T428+Skills!N2</f>
        <v/>
      </c>
      <c r="G426">
        <f>Calc!G2</f>
        <v/>
      </c>
      <c r="H426">
        <f>Calc!H2</f>
        <v/>
      </c>
      <c r="I426">
        <f>IF(Skills!T2&lt;&gt;"",1+(Skills!T2/10)*($Z$3/1000)/100,1)</f>
        <v/>
      </c>
      <c r="J426">
        <f>((Inputs!$B$6*(1+Inputs!$B$7/100))+(((Inputs!$B$13*(1+Inputs!$B$14/100))-(Inputs!$B$13*(1+Inputs!$B$14/100)))+0.25*(Inputs!$B$15-Inputs!$B$15))*(1+Inputs!$B$7/100))*(F426/100)</f>
        <v/>
      </c>
      <c r="K426">
        <f>J426*(1+(((Inputs!$B$13+IF(Inputs!$B$3&gt;=35,(10*INDEX(FactorTable!$B$2:$Y$301,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2="TRIUMPH_FEATHER",IF(C440=TRUE,F440,0),0)/100)*(1+IF(C451=TRUE,F451,0)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426)</f>
        <v/>
      </c>
      <c r="L426">
        <f>K426*(MIN(Inputs!$B$23+(F446-Calc!F22),(Inputs!$B$24+IF(ArtifactsInput!$M$15,CHOOSE(ArtifactsInput!$N$15+1,25,30,35,40,45,50)/100*(Inputs!$B$12-Inputs!$B$12),0)))/100+(Inputs!$B$24+IF(ArtifactsInput!$M$15,CHOOSE(ArtifactsInput!$N$15+1,25,30,35,40,45,50)/100*(Inputs!$B$12-Inputs!$B$12),0))/100)/2</f>
        <v/>
      </c>
      <c r="M426">
        <f>L426*(1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26">
        <f>L426*(1-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426*(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6">
        <f>(1-Summary!$B$11)*S426+Summary!$B$11*U426</f>
        <v/>
      </c>
      <c r="P426">
        <f>IF(B466=0,0,O426/B466)</f>
        <v/>
      </c>
      <c r="Q426">
        <f>IFERROR(1/(IF(Inputs!$B$39="pvp",15,MAX(0.1,Skills!D2-IF(Skills!E2=TRUE,Inputs!$B$33,0)))*(1-IF(AND(ArtifactsInput!$M$27,Inputs!$B$4="Chapter Hunt"),CHOOSE(ArtifactsInput!$N$27+1,20,24,28,32,36,40),0)/100)),0)</f>
        <v/>
      </c>
      <c r="R426" t="n">
        <v>0</v>
      </c>
      <c r="S426">
        <f>IF(C426,(Skills!F2*N426*B461)*IF(Inputs!$B$39="pvp",1,1+(Inputs!$B$21+Skills!O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426*(1-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426*(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426*(1-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426*(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26">
        <f>MAX(0,(Inputs!$B$3-100)*3)+Inputs!$B$29+Inputs!$B$30</f>
        <v/>
      </c>
      <c r="U426">
        <f>IF(C426,(Skills!F2*N426*B461)*IF(Inputs!$B$39="pvp",1,(1+(Inputs!$B$22+Skills!P2+B455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7">
      <c r="A427">
        <f>Skills!A3</f>
        <v/>
      </c>
      <c r="B427">
        <f>Skills!B3</f>
        <v/>
      </c>
      <c r="C427">
        <f>Inputs!$B$3&gt;=15</f>
        <v/>
      </c>
      <c r="D427">
        <f>IF(Skills!C3=1,60+Inputs!$B$26+Inputs!$B$30,IF(Skills!C3=2,90+Inputs!$B$27+Inputs!$B$30,IF(Skills!C3=3,120+Inputs!$B$28+Inputs!$B$30,MAX(0,(Inputs!$B$3-100)*3)+Inputs!$B$29+Inputs!$B$30)))</f>
        <v/>
      </c>
      <c r="E427">
        <f>INDEX(FactorTable!$B$2:$Y$301, MATCH(ROUND(MIN(300,MAX(1,D427)),0), FactorTable!$A$2:$A$301,0), Skills!L3+1)</f>
        <v/>
      </c>
      <c r="F427">
        <f>IF(Skills!M3=TRUE,(Skills!K3/10)*(E427/1000),Skills!K3/10)+Skills!N3</f>
        <v/>
      </c>
      <c r="G427">
        <f>Calc!G3</f>
        <v/>
      </c>
      <c r="H427">
        <f>Calc!H3</f>
        <v/>
      </c>
      <c r="I427">
        <f>IF(Skills!T3&lt;&gt;"",1+(Skills!T3/10)*($Z$3/1000)/100,1)</f>
        <v/>
      </c>
      <c r="J427" t="inlineStr"/>
      <c r="K427" t="inlineStr"/>
      <c r="L427" t="inlineStr"/>
      <c r="M427" t="inlineStr"/>
      <c r="N427" t="inlineStr"/>
      <c r="O427">
        <f>(1-Summary!$B$11)*S427+Summary!$B$11*U427</f>
        <v/>
      </c>
      <c r="P427">
        <f>IF(B466=0,0,O427/B466)</f>
        <v/>
      </c>
      <c r="Q427">
        <f>IFERROR(1/(IF(Inputs!$B$39="pvp",15,MAX(0.1,Skills!D3-IF(Skills!E3=TRUE,Inputs!$B$33,0)))*(1-IF(AND(ArtifactsInput!$M$27,Inputs!$B$4="Chapter Hunt"),CHOOSE(ArtifactsInput!$N$27+1,20,24,28,32,36,40),0)/100)),0)</f>
        <v/>
      </c>
      <c r="R427">
        <f>IF(AND(Inputs!$B$39&lt;&gt;"pvp",Inputs!$B$44&gt;0),IF(Inputs!$B$44&lt;=0,0,(INT(Inputs!$B$44/(IF(Inputs!$B$39="pvp",15,MAX(0.1,Skills!D3-IF(Skills!E3=TRUE,Inputs!$B$33,0)))*(1-IF(AND(ArtifactsInput!$M$27,Inputs!$B$4="Chapter Hunt"),CHOOSE(ArtifactsInput!$N$27+1,20,24,28,32,36,40),0)/100)))+1)),0)</f>
        <v/>
      </c>
      <c r="S427" t="n">
        <v>0</v>
      </c>
      <c r="T427">
        <f>INDEX(FactorTable!$B$2:$Y$301, MATCH(ROUND(MIN(300,MAX(1,T426)),0), FactorTable!$A$2:$A$301,0), 22)</f>
        <v/>
      </c>
      <c r="U427" t="n">
        <v>0</v>
      </c>
    </row>
    <row r="428">
      <c r="A428">
        <f>Skills!A4</f>
        <v/>
      </c>
      <c r="B428">
        <f>Skills!B4</f>
        <v/>
      </c>
      <c r="C428">
        <f>Inputs!$B$3&gt;=38</f>
        <v/>
      </c>
      <c r="D428">
        <f>IF(Skills!C4=1,60+Inputs!$B$26+Inputs!$B$30,IF(Skills!C4=2,90+Inputs!$B$27+Inputs!$B$30,IF(Skills!C4=3,120+Inputs!$B$28+Inputs!$B$30,MAX(0,(Inputs!$B$3-100)*3)+Inputs!$B$29+Inputs!$B$30)))</f>
        <v/>
      </c>
      <c r="E428">
        <f>INDEX(FactorTable!$B$2:$Y$301, MATCH(ROUND(MIN(300,MAX(1,D428)),0), FactorTable!$A$2:$A$301,0), Skills!L4+1)</f>
        <v/>
      </c>
      <c r="F428">
        <f>IF(Skills!M4=TRUE,(Skills!K4/10)*(E428/1000),Skills!K4/10)+Skills!N4</f>
        <v/>
      </c>
      <c r="G428">
        <f>Calc!G4</f>
        <v/>
      </c>
      <c r="H428">
        <f>Calc!H4</f>
        <v/>
      </c>
      <c r="I428">
        <f>IF(Skills!T4&lt;&gt;"",1+(Skills!T4/10)*($Z$3/1000)/100,1)</f>
        <v/>
      </c>
      <c r="J428" t="inlineStr"/>
      <c r="K428" t="inlineStr"/>
      <c r="L428" t="inlineStr"/>
      <c r="M428" t="inlineStr"/>
      <c r="N428" t="inlineStr"/>
      <c r="O428">
        <f>(1-Summary!$B$11)*S428+Summary!$B$11*U428</f>
        <v/>
      </c>
      <c r="P428">
        <f>IF(B466=0,0,O428/B466)</f>
        <v/>
      </c>
      <c r="Q428">
        <f>IFERROR(1/(IF(Inputs!$B$39="pvp",15,MAX(0.1,Skills!D4-IF(Skills!E4=TRUE,Inputs!$B$33,0)))*(1-IF(AND(ArtifactsInput!$M$27,Inputs!$B$4="Chapter Hunt"),CHOOSE(ArtifactsInput!$N$27+1,20,24,28,32,36,40),0)/100)),0)</f>
        <v/>
      </c>
      <c r="R428">
        <f>IF(AND(Inputs!$B$39&lt;&gt;"pvp",Inputs!$B$44&gt;0),IF(Inputs!$B$44&lt;=0,0,(INT(Inputs!$B$44/(IF(Inputs!$B$39="pvp",15,MAX(0.1,Skills!D4-IF(Skills!E4=TRUE,Inputs!$B$33,0)))*(1-IF(AND(ArtifactsInput!$M$27,Inputs!$B$4="Chapter Hunt"),CHOOSE(ArtifactsInput!$N$27+1,20,24,28,32,36,40),0)/100)))+1)),0)</f>
        <v/>
      </c>
      <c r="S428" t="n">
        <v>0</v>
      </c>
      <c r="T428">
        <f>290*T427/1000</f>
        <v/>
      </c>
      <c r="U428" t="n">
        <v>0</v>
      </c>
    </row>
    <row r="429">
      <c r="A429">
        <f>Skills!A5</f>
        <v/>
      </c>
      <c r="B429">
        <f>Skills!B5</f>
        <v/>
      </c>
      <c r="C429">
        <f>Inputs!$B$3&gt;=40</f>
        <v/>
      </c>
      <c r="D429">
        <f>IF(Skills!C5=1,60+Inputs!$B$26+Inputs!$B$30,IF(Skills!C5=2,90+Inputs!$B$27+Inputs!$B$30,IF(Skills!C5=3,120+Inputs!$B$28+Inputs!$B$30,MAX(0,(Inputs!$B$3-100)*3)+Inputs!$B$29+Inputs!$B$30)))</f>
        <v/>
      </c>
      <c r="E429">
        <f>INDEX(FactorTable!$B$2:$Y$301, MATCH(ROUND(MIN(300,MAX(1,D429)),0), FactorTable!$A$2:$A$301,0), Skills!L5+1)</f>
        <v/>
      </c>
      <c r="F429">
        <f>IF(Skills!M5=TRUE,(Skills!K5/10)*(E429/1000),Skills!K5/10)+Skills!N5</f>
        <v/>
      </c>
      <c r="G429">
        <f>Calc!G5</f>
        <v/>
      </c>
      <c r="H429">
        <f>Calc!H5</f>
        <v/>
      </c>
      <c r="I429">
        <f>IF(Skills!T5&lt;&gt;"",1+(Skills!T5/10)*($Z$3/1000)/100,1)</f>
        <v/>
      </c>
      <c r="J429" t="inlineStr"/>
      <c r="K429" t="inlineStr"/>
      <c r="L429" t="inlineStr"/>
      <c r="M429" t="inlineStr"/>
      <c r="N429" t="inlineStr"/>
      <c r="O429">
        <f>(1-Summary!$B$11)*S429+Summary!$B$11*U429</f>
        <v/>
      </c>
      <c r="P429">
        <f>IF(B466=0,0,O429/B466)</f>
        <v/>
      </c>
      <c r="Q429">
        <f>IFERROR(1/(IF(Inputs!$B$39="pvp",15,MAX(0.1,Skills!D5-IF(Skills!E5=TRUE,Inputs!$B$33,0)))*(1-IF(AND(ArtifactsInput!$M$27,Inputs!$B$4="Chapter Hunt"),CHOOSE(ArtifactsInput!$N$27+1,20,24,28,32,36,40),0)/100)),0)</f>
        <v/>
      </c>
      <c r="R429">
        <f>IF(AND(Inputs!$B$39&lt;&gt;"pvp",Inputs!$B$44&gt;0),IF(Inputs!$B$44&lt;=0,0,(INT(Inputs!$B$44/(IF(Inputs!$B$39="pvp",15,MAX(0.1,Skills!D5-IF(Skills!E5=TRUE,Inputs!$B$33,0)))*(1-IF(AND(ArtifactsInput!$M$27,Inputs!$B$4="Chapter Hunt"),CHOOSE(ArtifactsInput!$N$27+1,20,24,28,32,36,40),0)/100)))+1)),0)</f>
        <v/>
      </c>
      <c r="S429" t="n">
        <v>0</v>
      </c>
      <c r="U429" t="n">
        <v>0</v>
      </c>
    </row>
    <row r="430">
      <c r="A430">
        <f>Skills!A6</f>
        <v/>
      </c>
      <c r="B430">
        <f>Skills!B6</f>
        <v/>
      </c>
      <c r="C430">
        <f>Inputs!$B$3&gt;=103</f>
        <v/>
      </c>
      <c r="D430">
        <f>IF(Skills!C6=1,60+Inputs!$B$26+Inputs!$B$30,IF(Skills!C6=2,90+Inputs!$B$27+Inputs!$B$30,IF(Skills!C6=3,120+Inputs!$B$28+Inputs!$B$30,MAX(0,(Inputs!$B$3-100)*3)+Inputs!$B$29+Inputs!$B$30)))</f>
        <v/>
      </c>
      <c r="E430">
        <f>INDEX(FactorTable!$B$2:$Y$301, MATCH(ROUND(MIN(300,MAX(1,D430)),0), FactorTable!$A$2:$A$301,0), Skills!L6+1)</f>
        <v/>
      </c>
      <c r="F430">
        <f>IF(Skills!M6=TRUE,(Skills!K6/10)*(E430/1000),Skills!K6/10)+Skills!N6</f>
        <v/>
      </c>
      <c r="G430">
        <f>Calc!G6</f>
        <v/>
      </c>
      <c r="H430">
        <f>Calc!H6</f>
        <v/>
      </c>
      <c r="I430">
        <f>IF(Skills!T6&lt;&gt;"",1+(Skills!T6/10)*($Z$3/1000)/100,1)</f>
        <v/>
      </c>
      <c r="J430">
        <f>((Inputs!$B$6*(1+Inputs!$B$7/100))+(((Inputs!$B$13*(1+Inputs!$B$14/100))-(Inputs!$B$13*(1+Inputs!$B$14/100)))+0.25*(Inputs!$B$15-Inputs!$B$15))*(1+Inputs!$B$7/100))*(F430/100)</f>
        <v/>
      </c>
      <c r="K430">
        <f>J430*(1+(((Inputs!$B$13+IF(Inputs!$B$3&gt;=35,(10*INDEX(FactorTable!$B$2:$Y$301,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6="TRIUMPH_FEATHER",IF(C440=TRUE,F440,0),0)/100)*(1+IF(C451=TRUE,F451,0)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430)</f>
        <v/>
      </c>
      <c r="L430">
        <f>K430*(MIN(Inputs!$B$23+(F446-Calc!F22),(Inputs!$B$24+IF(ArtifactsInput!$M$15,CHOOSE(ArtifactsInput!$N$15+1,25,30,35,40,45,50)/100*(Inputs!$B$12-Inputs!$B$12),0)))/100+(Inputs!$B$24+IF(ArtifactsInput!$M$15,CHOOSE(ArtifactsInput!$N$15+1,25,30,35,40,45,50)/100*(Inputs!$B$12-Inputs!$B$12),0))/100)/2</f>
        <v/>
      </c>
      <c r="M430">
        <f>L430*(1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0">
        <f>L430*(1-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430*(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0">
        <f>(1-Summary!$B$11)*S430+Summary!$B$11*U430</f>
        <v/>
      </c>
      <c r="P430">
        <f>IF(B466=0,0,O430/B466)</f>
        <v/>
      </c>
      <c r="Q430">
        <f>IFERROR(1/(IF(Inputs!$B$39="pvp",15,MAX(0.1,Skills!D6-IF(Skills!E6=TRUE,Inputs!$B$33,0)))*(1-IF(AND(ArtifactsInput!$M$27,Inputs!$B$4="Chapter Hunt"),CHOOSE(ArtifactsInput!$N$27+1,20,24,28,32,36,40),0)/100)),0)</f>
        <v/>
      </c>
      <c r="R430">
        <f>IF(AND(Inputs!$B$39&lt;&gt;"pvp",Inputs!$B$44&gt;0),IF(MAX(0,Inputs!$B$44-B463)&lt;=0,0,(INT(MAX(0,Inputs!$B$44-B463)/(IF(Inputs!$B$39="pvp",15,MAX(0.1,Skills!D6-IF(Skills!E6=TRUE,Inputs!$B$33,0)))*(1-IF(AND(ArtifactsInput!$M$27,Inputs!$B$4="Chapter Hunt"),CHOOSE(ArtifactsInput!$N$27+1,20,24,28,32,36,40),0)/100)))+1)),0)</f>
        <v/>
      </c>
      <c r="S430">
        <f>IF(C430,(H430*N430*IF(AND(Inputs!$B$39&lt;&gt;"pvp",Inputs!$B$44&gt;0),((Skills!F6*((R430-1)*IF(Skills!G6&gt;0,Skills!H6/Skills!G6,1)+IF(Skills!G6&gt;0,MIN(Skills!H6,MAX(0,MAX(0,Inputs!$B$44-B463)-((R430-1)*(IF(Inputs!$B$39="pvp",15,MAX(0.1,Skills!D6-IF(Skills!E6=TRUE,Inputs!$B$33,0)))*(1-IF(AND(ArtifactsInput!$M$27,Inputs!$B$4="Chapter Hunt"),CHOOSE(ArtifactsInput!$N$27+1,20,24,28,32,36,40),0)/100)))))/Skills!G6,1)))/Inputs!$B$44),G430*Q430))*IF(Inputs!$B$39="pvp",1,1+(Inputs!$B$21+Skills!O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430*(1-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430*(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430*(1-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430*(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0">
        <f>IF(C430,(H430*N430*IF(AND(Inputs!$B$39&lt;&gt;"pvp",Inputs!$B$44&gt;0),((Skills!F6*((R430-1)*IF(Skills!G6&gt;0,Skills!H6/Skills!G6,1)+IF(Skills!G6&gt;0,MIN(Skills!H6,MAX(0,MAX(0,Inputs!$B$44-B463)-((R430-1)*(IF(Inputs!$B$39="pvp",15,MAX(0.1,Skills!D6-IF(Skills!E6=TRUE,Inputs!$B$33,0)))*(1-IF(AND(ArtifactsInput!$M$27,Inputs!$B$4="Chapter Hunt"),CHOOSE(ArtifactsInput!$N$27+1,20,24,28,32,36,40),0)/100)))))/Skills!G6,1)))/Inputs!$B$44),G430*Q430))*IF(Inputs!$B$39="pvp",1,(1+(Inputs!$B$22+Skills!P6+B455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1">
      <c r="A431">
        <f>Skills!A7</f>
        <v/>
      </c>
      <c r="B431">
        <f>Skills!B7</f>
        <v/>
      </c>
      <c r="C431">
        <f>Inputs!$B$3&gt;=122</f>
        <v/>
      </c>
      <c r="D431">
        <f>IF(Skills!C7=1,60+Inputs!$B$26+Inputs!$B$30,IF(Skills!C7=2,90+Inputs!$B$27+Inputs!$B$30,IF(Skills!C7=3,120+Inputs!$B$28+Inputs!$B$30,MAX(0,(Inputs!$B$3-100)*3)+Inputs!$B$29+Inputs!$B$30)))</f>
        <v/>
      </c>
      <c r="E431">
        <f>INDEX(FactorTable!$B$2:$Y$301, MATCH(ROUND(MIN(300,MAX(1,D431)),0), FactorTable!$A$2:$A$301,0), Skills!L7+1)</f>
        <v/>
      </c>
      <c r="F431">
        <f>IF(Skills!M7=TRUE,(Skills!K7/10)*(E431/1000),Skills!K7/10)+Skills!N7</f>
        <v/>
      </c>
      <c r="G431">
        <f>Calc!G7</f>
        <v/>
      </c>
      <c r="H431">
        <f>Calc!H7</f>
        <v/>
      </c>
      <c r="I431">
        <f>IF(Skills!T7&lt;&gt;"",1+(Skills!T7/10)*($Z$3/1000)/100,1)</f>
        <v/>
      </c>
      <c r="J431">
        <f>((Inputs!$B$6*(1+Inputs!$B$7/100))+(((Inputs!$B$13*(1+Inputs!$B$14/100))-(Inputs!$B$13*(1+Inputs!$B$14/100)))+0.25*(Inputs!$B$15-Inputs!$B$15))*(1+Inputs!$B$7/100))*(F431/100)</f>
        <v/>
      </c>
      <c r="K431">
        <f>J431*(1+(((Inputs!$B$13+IF(Inputs!$B$3&gt;=35,(10*INDEX(FactorTable!$B$2:$Y$301,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7="TRIUMPH_FEATHER",IF(C440=TRUE,F440,0),0)/100)*(1+IF(C451=TRUE,F451,0)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431)</f>
        <v/>
      </c>
      <c r="L431">
        <f>K431*(MIN(Inputs!$B$23+(F446-Calc!F22),(Inputs!$B$24+IF(ArtifactsInput!$M$15,CHOOSE(ArtifactsInput!$N$15+1,25,30,35,40,45,50)/100*(Inputs!$B$12-Inputs!$B$12),0)))/100+(Inputs!$B$24+IF(ArtifactsInput!$M$15,CHOOSE(ArtifactsInput!$N$15+1,25,30,35,40,45,50)/100*(Inputs!$B$12-Inputs!$B$12),0))/100)/2</f>
        <v/>
      </c>
      <c r="M431">
        <f>L431*(1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1">
        <f>L431*(1-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(1-Summary!$B$11)*S431+Summary!$B$11*U431</f>
        <v/>
      </c>
      <c r="P431">
        <f>IF(B466=0,0,O431/B466)</f>
        <v/>
      </c>
      <c r="Q431">
        <f>IFERROR(1/(IF(Inputs!$B$39="pvp",15,MAX(0.1,Skills!D7-IF(Skills!E6=TRUE,Inputs!$B$33,0)))*(1-IF(AND(ArtifactsInput!$M$27,Inputs!$B$4="Chapter Hunt"),CHOOSE(ArtifactsInput!$N$27+1,20,24,28,32,36,40),0)/100)),0)</f>
        <v/>
      </c>
      <c r="R431">
        <f>IF(AND(Inputs!$B$39&lt;&gt;"pvp",Inputs!$B$44&gt;0),IF(MAX(0,Inputs!$B$44-B463)&lt;=0,0,(INT(MAX(0,Inputs!$B$44-B463)/(IF(Inputs!$B$39="pvp",15,MAX(0.1,Skills!D7-IF(Skills!E6=TRUE,Inputs!$B$33,0)))*(1-IF(AND(ArtifactsInput!$M$27,Inputs!$B$4="Chapter Hunt"),CHOOSE(ArtifactsInput!$N$27+1,20,24,28,32,36,40),0)/100)))+1)),0)</f>
        <v/>
      </c>
      <c r="S431">
        <f>IF(C431,H431*N431*IF(AND(Inputs!$B$39&lt;&gt;"pvp",Inputs!$B$44&gt;0),((Skills!F7*((R431-1)*IF(Skills!G7&gt;0,Skills!H7/Skills!G7,1)+IF(Skills!G7&gt;0,MIN(Skills!H7,MAX(0,MAX(0,Inputs!$B$44-B463)-((R431-1)*(IF(Inputs!$B$39="pvp",15,MAX(0.1,Skills!D7-IF(Skills!E6=TRUE,Inputs!$B$33,0)))*(1-IF(AND(ArtifactsInput!$M$27,Inputs!$B$4="Chapter Hunt"),CHOOSE(ArtifactsInput!$N$27+1,20,24,28,32,36,40),0)/100)))))/Skills!G7,1)))/Inputs!$B$44),G431*Q431)*IF(Inputs!$B$39="pvp",1,1+(Inputs!$B$21+Skills!O7+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431*(1-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1" t="n">
        <v>0</v>
      </c>
    </row>
    <row r="432">
      <c r="A432">
        <f>Skills!A8</f>
        <v/>
      </c>
      <c r="B432">
        <f>Skills!B8</f>
        <v/>
      </c>
      <c r="C432">
        <f>Inputs!$B$3&gt;=105</f>
        <v/>
      </c>
      <c r="D432">
        <f>IF(Skills!C8=1,60+Inputs!$B$26+Inputs!$B$30,IF(Skills!C8=2,90+Inputs!$B$27+Inputs!$B$30,IF(Skills!C8=3,120+Inputs!$B$28+Inputs!$B$30,MAX(0,(Inputs!$B$3-100)*3)+Inputs!$B$29+Inputs!$B$30)))</f>
        <v/>
      </c>
      <c r="E432">
        <f>INDEX(FactorTable!$B$2:$Y$301, MATCH(ROUND(MIN(300,MAX(1,D432)),0), FactorTable!$A$2:$A$301,0), Skills!L8+1)</f>
        <v/>
      </c>
      <c r="F432">
        <f>IF(Skills!M8=TRUE,(Skills!K8/10)*(E432/1000),Skills!K8/10)+Skills!N8</f>
        <v/>
      </c>
      <c r="G432">
        <f>Calc!G8</f>
        <v/>
      </c>
      <c r="H432">
        <f>Calc!H8</f>
        <v/>
      </c>
      <c r="I432">
        <f>IF(Skills!T8&lt;&gt;"",1+(Skills!T8/10)*($Z$3/1000)/100,1)</f>
        <v/>
      </c>
      <c r="J432">
        <f>((Inputs!$B$6*(1+Inputs!$B$7/100))+(((Inputs!$B$13*(1+Inputs!$B$14/100))-(Inputs!$B$13*(1+Inputs!$B$14/100)))+0.25*(Inputs!$B$15-Inputs!$B$15))*(1+Inputs!$B$7/100))*(F432/100)</f>
        <v/>
      </c>
      <c r="K432">
        <f>J432*(1+(((Inputs!$B$13+IF(Inputs!$B$3&gt;=35,(10*INDEX(FactorTable!$B$2:$Y$301,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8="TRIUMPH_FEATHER",IF(C440=TRUE,F440,0),0)/100)*(1+IF(C451=TRUE,F451,0)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432)</f>
        <v/>
      </c>
      <c r="L432">
        <f>K432*(MIN(Inputs!$B$23+(F446-Calc!F22),(Inputs!$B$24+IF(ArtifactsInput!$M$15,CHOOSE(ArtifactsInput!$N$15+1,25,30,35,40,45,50)/100*(Inputs!$B$12-Inputs!$B$12),0)))/100+(Inputs!$B$24+IF(ArtifactsInput!$M$15,CHOOSE(ArtifactsInput!$N$15+1,25,30,35,40,45,50)/100*(Inputs!$B$12-Inputs!$B$12),0))/100)/2</f>
        <v/>
      </c>
      <c r="M432">
        <f>L432*(1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2">
        <f>L432*(1-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(1-Summary!$B$11)*S432+Summary!$B$11*U432</f>
        <v/>
      </c>
      <c r="P432">
        <f>IF(B466=0,0,O432/B466)</f>
        <v/>
      </c>
      <c r="Q432">
        <f>IFERROR(1/(IF(Inputs!$B$39="pvp",15,MAX(0.1,Skills!D8-IF(Skills!E8=TRUE,Inputs!$B$33,0)))*(1-IF(AND(ArtifactsInput!$M$27,Inputs!$B$4="Chapter Hunt"),CHOOSE(ArtifactsInput!$N$27+1,20,24,28,32,36,40),0)/100)),0)</f>
        <v/>
      </c>
      <c r="R432">
        <f>IF(AND(Inputs!$B$39&lt;&gt;"pvp",Inputs!$B$44&gt;0),IF(MAX(0,Inputs!$B$44-B463)&lt;=0,0,(INT(MAX(0,Inputs!$B$44-B463)/(IF(Inputs!$B$39="pvp",15,MAX(0.1,Skills!D8-IF(Skills!E8=TRUE,Inputs!$B$33,0)))*(1-IF(AND(ArtifactsInput!$M$27,Inputs!$B$4="Chapter Hunt"),CHOOSE(ArtifactsInput!$N$27+1,20,24,28,32,36,40),0)/100)))+1)),0)</f>
        <v/>
      </c>
      <c r="S432">
        <f>IF(C432,(H432*N432*IF(AND(Inputs!$B$39&lt;&gt;"pvp",Inputs!$B$44&gt;0),((Skills!F8*((R432-1)*IF(Skills!G8&gt;0,Skills!H8/Skills!G8,1)+IF(Skills!G8&gt;0,MIN(Skills!H8,MAX(0,MAX(0,Inputs!$B$44-B463)-((R432-1)*(IF(Inputs!$B$39="pvp",15,MAX(0.1,Skills!D8-IF(Skills!E8=TRUE,Inputs!$B$33,0)))*(1-IF(AND(ArtifactsInput!$M$27,Inputs!$B$4="Chapter Hunt"),CHOOSE(ArtifactsInput!$N$27+1,20,24,28,32,36,40),0)/100)))))/Skills!G8,1)))/Inputs!$B$44),G432*Q432))*IF(Inputs!$B$39="pvp",1,1+(Inputs!$B$21+Skills!O8+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432*(1-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2">
        <f>IF(C432,(H432*N432*IF(AND(Inputs!$B$39&lt;&gt;"pvp",Inputs!$B$44&gt;0),((Skills!F8*((R432-1)*IF(Skills!G8&gt;0,Skills!H8/Skills!G8,1)+IF(Skills!G8&gt;0,MIN(Skills!H8,MAX(0,MAX(0,Inputs!$B$44-B463)-((R432-1)*(IF(Inputs!$B$39="pvp",15,MAX(0.1,Skills!D8-IF(Skills!E8=TRUE,Inputs!$B$33,0)))*(1-IF(AND(ArtifactsInput!$M$27,Inputs!$B$4="Chapter Hunt"),CHOOSE(ArtifactsInput!$N$27+1,20,24,28,32,36,40),0)/100)))))/Skills!G8,1)))/Inputs!$B$44),G432*Q432))*IF(Inputs!$B$39="pvp",1,(1+(Inputs!$B$22+Skills!P8+B455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Skills!A9</f>
        <v/>
      </c>
      <c r="B433">
        <f>Skills!B9</f>
        <v/>
      </c>
      <c r="C433">
        <f>Inputs!$B$3&gt;=115</f>
        <v/>
      </c>
      <c r="D433">
        <f>IF(Skills!C9=1,60+Inputs!$B$26+Inputs!$B$30,IF(Skills!C9=2,90+Inputs!$B$27+Inputs!$B$30,IF(Skills!C9=3,120+Inputs!$B$28+Inputs!$B$30,MAX(0,(Inputs!$B$3-100)*3)+Inputs!$B$29+Inputs!$B$30)))</f>
        <v/>
      </c>
      <c r="E433">
        <f>INDEX(FactorTable!$B$2:$Y$301, MATCH(ROUND(MIN(300,MAX(1,D433)),0), FactorTable!$A$2:$A$301,0), Skills!L9+1)</f>
        <v/>
      </c>
      <c r="F433">
        <f>IF(Skills!M9=TRUE,(Skills!K9/10)*(E433/1000),Skills!K9/10)+Skills!N9</f>
        <v/>
      </c>
      <c r="G433">
        <f>Calc!G9</f>
        <v/>
      </c>
      <c r="H433">
        <f>Calc!H9</f>
        <v/>
      </c>
      <c r="I433">
        <f>IF(Skills!T9&lt;&gt;"",1+(Skills!T9/10)*($Z$3/1000)/100,1)</f>
        <v/>
      </c>
      <c r="J433">
        <f>((Inputs!$B$6*(1+Inputs!$B$7/100))+(((Inputs!$B$13*(1+Inputs!$B$14/100))-(Inputs!$B$13*(1+Inputs!$B$14/100)))+0.25*(Inputs!$B$15-Inputs!$B$15))*(1+Inputs!$B$7/100))*(F433/100)</f>
        <v/>
      </c>
      <c r="K433">
        <f>J433*(1+(((Inputs!$B$13+IF(Inputs!$B$3&gt;=35,(10*INDEX(FactorTable!$B$2:$Y$301,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9="TRIUMPH_FEATHER",IF(C440=TRUE,F440,0),0)/100)*(1+IF(C451=TRUE,F451,0)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433)</f>
        <v/>
      </c>
      <c r="L433">
        <f>K433*(MIN(Inputs!$B$23+(F446-Calc!F22),(Inputs!$B$24+IF(ArtifactsInput!$M$15,CHOOSE(ArtifactsInput!$N$15+1,25,30,35,40,45,50)/100*(Inputs!$B$12-Inputs!$B$12),0)))/100+(Inputs!$B$24+IF(ArtifactsInput!$M$15,CHOOSE(ArtifactsInput!$N$15+1,25,30,35,40,45,50)/100*(Inputs!$B$12-Inputs!$B$12),0))/100)/2</f>
        <v/>
      </c>
      <c r="M433">
        <f>L433*(1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3">
        <f>L433*(1-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(1-Summary!$B$11)*S433+Summary!$B$11*U433</f>
        <v/>
      </c>
      <c r="P433">
        <f>IF(B466=0,0,O433/B466)</f>
        <v/>
      </c>
      <c r="Q433">
        <f>IFERROR(1/(IF(Inputs!$B$39="pvp",15,MAX(0.1,Skills!D9-IF(Skills!E9=TRUE,Inputs!$B$33,0)))*(1-IF(AND(ArtifactsInput!$M$27,Inputs!$B$4="Chapter Hunt"),CHOOSE(ArtifactsInput!$N$27+1,20,24,28,32,36,40),0)/100)),0)</f>
        <v/>
      </c>
      <c r="R433">
        <f>IF(AND(Inputs!$B$39&lt;&gt;"pvp",Inputs!$B$44&gt;0),IF(MAX(0,Inputs!$B$44-B463)&lt;=0,0,(INT(MAX(0,Inputs!$B$44-B463)/(IF(Inputs!$B$39="pvp",15,MAX(0.1,Skills!D9-IF(Skills!E9=TRUE,Inputs!$B$33,0)))*(1-IF(AND(ArtifactsInput!$M$27,Inputs!$B$4="Chapter Hunt"),CHOOSE(ArtifactsInput!$N$27+1,20,24,28,32,36,40),0)/100)))+1)),0)</f>
        <v/>
      </c>
      <c r="S433">
        <f>IF(C433,(H433*N433*IF(AND(Inputs!$B$39&lt;&gt;"pvp",Inputs!$B$44&gt;0),((Skills!F9*((R433-1)*IF(Skills!G9&gt;0,Skills!H9/Skills!G9,1)+IF(Skills!G9&gt;0,MIN(Skills!H9,MAX(0,MAX(0,Inputs!$B$44-B463)-((R433-1)*(IF(Inputs!$B$39="pvp",15,MAX(0.1,Skills!D9-IF(Skills!E9=TRUE,Inputs!$B$33,0)))*(1-IF(AND(ArtifactsInput!$M$27,Inputs!$B$4="Chapter Hunt"),CHOOSE(ArtifactsInput!$N$27+1,20,24,28,32,36,40),0)/100)))))/Skills!G9,1)))/Inputs!$B$44),G433*Q433))*IF(Inputs!$B$39="pvp",1,1+(Inputs!$B$21+Skills!O9+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3">
        <f>IF(C433,(H433*N433*IF(AND(Inputs!$B$39&lt;&gt;"pvp",Inputs!$B$44&gt;0),((Skills!F9*((R433-1)*IF(Skills!G9&gt;0,Skills!H9/Skills!G9,1)+IF(Skills!G9&gt;0,MIN(Skills!H9,MAX(0,MAX(0,Inputs!$B$44-B463)-((R433-1)*(IF(Inputs!$B$39="pvp",15,MAX(0.1,Skills!D9-IF(Skills!E9=TRUE,Inputs!$B$33,0)))*(1-IF(AND(ArtifactsInput!$M$27,Inputs!$B$4="Chapter Hunt"),CHOOSE(ArtifactsInput!$N$27+1,20,24,28,32,36,40),0)/100)))))/Skills!G9,1)))/Inputs!$B$44),G433*Q433))*IF(Inputs!$B$39="pvp",1,(1+(Inputs!$B$22+Skills!P9+B455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Skills!A10</f>
        <v/>
      </c>
      <c r="B434">
        <f>Skills!B10</f>
        <v/>
      </c>
      <c r="C434">
        <f>Inputs!$B$3&gt;=66</f>
        <v/>
      </c>
      <c r="D434">
        <f>IF(Skills!C10=1,60+Inputs!$B$26+Inputs!$B$30,IF(Skills!C10=2,90+Inputs!$B$27+Inputs!$B$30,IF(Skills!C10=3,120+Inputs!$B$28+Inputs!$B$30,MAX(0,(Inputs!$B$3-100)*3)+Inputs!$B$29+Inputs!$B$30)))</f>
        <v/>
      </c>
      <c r="E434">
        <f>INDEX(FactorTable!$B$2:$Y$301, MATCH(ROUND(MIN(300,MAX(1,D434)),0), FactorTable!$A$2:$A$301,0), Skills!L10+1)</f>
        <v/>
      </c>
      <c r="F434" t="n">
        <v>0</v>
      </c>
      <c r="G434">
        <f>Calc!G10</f>
        <v/>
      </c>
      <c r="H434">
        <f>Calc!H10</f>
        <v/>
      </c>
      <c r="I434">
        <f>IF(Skills!T10&lt;&gt;"",1+(Skills!T10/10)*($Z$3/1000)/100,1)</f>
        <v/>
      </c>
      <c r="J434" t="inlineStr"/>
      <c r="K434" t="inlineStr"/>
      <c r="L434" t="inlineStr"/>
      <c r="M434" t="inlineStr"/>
      <c r="N434" t="inlineStr"/>
      <c r="O434">
        <f>(1-Summary!$B$11)*S434+Summary!$B$11*U434</f>
        <v/>
      </c>
      <c r="P434">
        <f>IF(B466=0,0,O434/B466)</f>
        <v/>
      </c>
      <c r="Q434">
        <f>IFERROR(1/(IF(Inputs!$B$39="pvp",15,MAX(0.1,Skills!D10-IF(Skills!E10=TRUE,Inputs!$B$33,0)))*(1-IF(AND(ArtifactsInput!$M$27,Inputs!$B$4="Chapter Hunt"),CHOOSE(ArtifactsInput!$N$27+1,20,24,28,32,36,40),0)/100)),0)</f>
        <v/>
      </c>
      <c r="R434">
        <f>IF(AND(Inputs!$B$39&lt;&gt;"pvp",Inputs!$B$44&gt;0),IF(MAX(0,Inputs!$B$44-B463)&lt;=0,0,(INT(MAX(0,Inputs!$B$44-B463)/(IF(Inputs!$B$39="pvp",15,MAX(0.1,Skills!D10-IF(Skills!E10=TRUE,Inputs!$B$33,0)))*(1-IF(AND(ArtifactsInput!$M$27,Inputs!$B$4="Chapter Hunt"),CHOOSE(ArtifactsInput!$N$27+1,20,24,28,32,36,40),0)/100)))+1)),0)</f>
        <v/>
      </c>
      <c r="S434" t="n">
        <v>0</v>
      </c>
      <c r="U434" t="n">
        <v>0</v>
      </c>
    </row>
    <row r="435">
      <c r="A435">
        <f>Skills!A11</f>
        <v/>
      </c>
      <c r="B435">
        <f>Skills!B11</f>
        <v/>
      </c>
      <c r="C435">
        <f>Inputs!$B$3&gt;=69</f>
        <v/>
      </c>
      <c r="D435">
        <f>IF(Skills!C11=1,60+Inputs!$B$26+Inputs!$B$30,IF(Skills!C11=2,90+Inputs!$B$27+Inputs!$B$30,IF(Skills!C11=3,120+Inputs!$B$28+Inputs!$B$30,MAX(0,(Inputs!$B$3-100)*3)+Inputs!$B$29+Inputs!$B$30)))</f>
        <v/>
      </c>
      <c r="E435">
        <f>INDEX(FactorTable!$B$2:$Y$301, MATCH(ROUND(MIN(300,MAX(1,D435)),0), FactorTable!$A$2:$A$301,0), Skills!L11+1)</f>
        <v/>
      </c>
      <c r="F435">
        <f>IF(Skills!M11=TRUE,(Skills!K11/10)*(E435/1000),Skills!K11/10)+Skills!N11</f>
        <v/>
      </c>
      <c r="G435">
        <f>Calc!G11</f>
        <v/>
      </c>
      <c r="H435">
        <f>Calc!H11</f>
        <v/>
      </c>
      <c r="I435">
        <f>IF(Skills!T11&lt;&gt;"",1+(Skills!T11/10)*($Z$3/1000)/100,1)</f>
        <v/>
      </c>
      <c r="J435" t="inlineStr"/>
      <c r="K435" t="inlineStr"/>
      <c r="L435" t="inlineStr"/>
      <c r="M435" t="inlineStr"/>
      <c r="N435" t="inlineStr"/>
      <c r="O435">
        <f>(1-Summary!$B$11)*S435+Summary!$B$11*U435</f>
        <v/>
      </c>
      <c r="P435">
        <f>IF(B466=0,0,O435/B466)</f>
        <v/>
      </c>
      <c r="Q435">
        <f>IFERROR(1/(IF(Inputs!$B$39="pvp",15,MAX(0.1,Skills!D11-IF(Skills!E11=TRUE,Inputs!$B$33,0)))*(1-IF(AND(ArtifactsInput!$M$27,Inputs!$B$4="Chapter Hunt"),CHOOSE(ArtifactsInput!$N$27+1,20,24,28,32,36,40),0)/100)),0)</f>
        <v/>
      </c>
      <c r="R435">
        <f>IF(AND(Inputs!$B$39&lt;&gt;"pvp",Inputs!$B$44&gt;0),IF(Inputs!$B$44&lt;=0,0,(INT(Inputs!$B$44/(IF(Inputs!$B$39="pvp",15,MAX(0.1,Skills!D11-IF(Skills!E11=TRUE,Inputs!$B$33,0)))*(1-IF(AND(ArtifactsInput!$M$27,Inputs!$B$4="Chapter Hunt"),CHOOSE(ArtifactsInput!$N$27+1,20,24,28,32,36,40),0)/100)))+1)),0)</f>
        <v/>
      </c>
      <c r="S435" t="n">
        <v>0</v>
      </c>
      <c r="U435" t="n">
        <v>0</v>
      </c>
    </row>
    <row r="436">
      <c r="A436">
        <f>Skills!A12</f>
        <v/>
      </c>
      <c r="B436">
        <f>Skills!B12</f>
        <v/>
      </c>
      <c r="C436">
        <f>Inputs!$B$3&gt;=72</f>
        <v/>
      </c>
      <c r="D436">
        <f>IF(Skills!C12=1,60+Inputs!$B$26+Inputs!$B$30,IF(Skills!C12=2,90+Inputs!$B$27+Inputs!$B$30,IF(Skills!C12=3,120+Inputs!$B$28+Inputs!$B$30,MAX(0,(Inputs!$B$3-100)*3)+Inputs!$B$29+Inputs!$B$30)))</f>
        <v/>
      </c>
      <c r="E436">
        <f>INDEX(FactorTable!$B$2:$Y$301, MATCH(ROUND(MIN(300,MAX(1,D436)),0), FactorTable!$A$2:$A$301,0), Skills!L12+1)</f>
        <v/>
      </c>
      <c r="F436">
        <f>IF(Skills!M12=TRUE,(Skills!K12/10)*(E436/1000),Skills!K12/10)+Skills!N12</f>
        <v/>
      </c>
      <c r="G436">
        <f>Calc!G12</f>
        <v/>
      </c>
      <c r="H436">
        <f>Calc!H12</f>
        <v/>
      </c>
      <c r="I436">
        <f>IF(Skills!T12&lt;&gt;"",1+(Skills!T12/10)*($Z$3/1000)/100,1)</f>
        <v/>
      </c>
      <c r="J436" t="inlineStr"/>
      <c r="K436" t="inlineStr"/>
      <c r="L436" t="inlineStr"/>
      <c r="M436" t="inlineStr"/>
      <c r="N436" t="inlineStr"/>
      <c r="O436">
        <f>(1-Summary!$B$11)*S436+Summary!$B$11*U436</f>
        <v/>
      </c>
      <c r="P436">
        <f>IF(B466=0,0,O436/B466)</f>
        <v/>
      </c>
      <c r="Q436">
        <f>IFERROR(1/(IF(Inputs!$B$39="pvp",15,MAX(0.1,Skills!D12-IF(Skills!E12=TRUE,Inputs!$B$33,0)))*(1-IF(AND(ArtifactsInput!$M$27,Inputs!$B$4="Chapter Hunt"),CHOOSE(ArtifactsInput!$N$27+1,20,24,28,32,36,40),0)/100)),0)</f>
        <v/>
      </c>
      <c r="R436">
        <f>IF(AND(Inputs!$B$39&lt;&gt;"pvp",Inputs!$B$44&gt;0),IF(MAX(0,Inputs!$B$44-B463)&lt;=0,0,(INT(MAX(0,Inputs!$B$44-B463)/(IF(Inputs!$B$39="pvp",15,MAX(0.1,Skills!D12-IF(Skills!E12=TRUE,Inputs!$B$33,0)))*(1-IF(AND(ArtifactsInput!$M$27,Inputs!$B$4="Chapter Hunt"),CHOOSE(ArtifactsInput!$N$27+1,20,24,28,32,36,40),0)/100)))+1)),0)</f>
        <v/>
      </c>
      <c r="S436" t="n">
        <v>0</v>
      </c>
      <c r="U436" t="n">
        <v>0</v>
      </c>
    </row>
    <row r="437">
      <c r="A437">
        <f>Skills!A13</f>
        <v/>
      </c>
      <c r="B437">
        <f>Skills!B13</f>
        <v/>
      </c>
      <c r="C437">
        <f>Inputs!$B$3&gt;=60</f>
        <v/>
      </c>
      <c r="D437">
        <f>IF(Skills!C13=1,60+Inputs!$B$26+Inputs!$B$30,IF(Skills!C13=2,90+Inputs!$B$27+Inputs!$B$30,IF(Skills!C13=3,120+Inputs!$B$28+Inputs!$B$30,MAX(0,(Inputs!$B$3-100)*3)+Inputs!$B$29+Inputs!$B$30)))</f>
        <v/>
      </c>
      <c r="E437">
        <f>INDEX(FactorTable!$B$2:$Y$301, MATCH(ROUND(MIN(300,MAX(1,D437)),0), FactorTable!$A$2:$A$301,0), Skills!L13+1)</f>
        <v/>
      </c>
      <c r="F437">
        <f>IF(Skills!M13=TRUE,(Skills!K13/10)*(E437/1000),Skills!K13/10)+Skills!N13</f>
        <v/>
      </c>
      <c r="G437">
        <f>Calc!G13</f>
        <v/>
      </c>
      <c r="H437">
        <f>Calc!H13</f>
        <v/>
      </c>
      <c r="I437">
        <f>IF(Skills!T13&lt;&gt;"",1+(Skills!T13/10)*($Z$3/1000)/100,1)</f>
        <v/>
      </c>
      <c r="J437" t="inlineStr"/>
      <c r="K437" t="inlineStr"/>
      <c r="L437" t="inlineStr"/>
      <c r="M437" t="inlineStr"/>
      <c r="N437" t="inlineStr"/>
      <c r="O437">
        <f>(1-Summary!$B$11)*S437+Summary!$B$11*U437</f>
        <v/>
      </c>
      <c r="P437">
        <f>IF(B466=0,0,O437/B466)</f>
        <v/>
      </c>
      <c r="Q437">
        <f>IFERROR(1/(IF(Inputs!$B$39="pvp",15,MAX(0.1,Skills!D13-IF(Skills!E13=TRUE,Inputs!$B$33,0)))*(1-IF(AND(ArtifactsInput!$M$27,Inputs!$B$4="Chapter Hunt"),CHOOSE(ArtifactsInput!$N$27+1,20,24,28,32,36,40),0)/100)),0)</f>
        <v/>
      </c>
      <c r="R437">
        <f>IF(AND(Inputs!$B$39&lt;&gt;"pvp",Inputs!$B$44&gt;0),IF(MAX(0,Inputs!$B$44-B463)&lt;=0,0,(INT(MAX(0,Inputs!$B$44-B463)/(IF(Inputs!$B$39="pvp",15,MAX(0.1,Skills!D13-IF(Skills!E13=TRUE,Inputs!$B$33,0)))*(1-IF(AND(ArtifactsInput!$M$27,Inputs!$B$4="Chapter Hunt"),CHOOSE(ArtifactsInput!$N$27+1,20,24,28,32,36,40),0)/100)))+1)),0)</f>
        <v/>
      </c>
      <c r="S437" t="n">
        <v>0</v>
      </c>
      <c r="U437" t="n">
        <v>0</v>
      </c>
    </row>
    <row r="438">
      <c r="A438">
        <f>Skills!A14</f>
        <v/>
      </c>
      <c r="B438">
        <f>Skills!B14</f>
        <v/>
      </c>
      <c r="C438">
        <f>Inputs!$B$3&gt;=107</f>
        <v/>
      </c>
      <c r="D438">
        <f>IF(Skills!C14=1,60+Inputs!$B$26+Inputs!$B$30,IF(Skills!C14=2,90+Inputs!$B$27+Inputs!$B$30,IF(Skills!C14=3,120+Inputs!$B$28+Inputs!$B$30,MAX(0,(Inputs!$B$3-100)*3)+Inputs!$B$29+Inputs!$B$30)))</f>
        <v/>
      </c>
      <c r="E438">
        <f>INDEX(FactorTable!$B$2:$Y$301, MATCH(ROUND(MIN(300,MAX(1,D438)),0), FactorTable!$A$2:$A$301,0), Skills!L14+1)</f>
        <v/>
      </c>
      <c r="F438">
        <f>IF(Skills!M14=TRUE,(Skills!K14/10)*(E438/1000),Skills!K14/10)+Skills!N14</f>
        <v/>
      </c>
      <c r="G438">
        <f>Calc!G14</f>
        <v/>
      </c>
      <c r="H438">
        <f>Calc!H14</f>
        <v/>
      </c>
      <c r="I438">
        <f>IF(Skills!T14&lt;&gt;"",1+(Skills!T14/10)*($Z$3/1000)/100,1)</f>
        <v/>
      </c>
      <c r="J438" t="inlineStr"/>
      <c r="K438" t="inlineStr"/>
      <c r="L438" t="inlineStr"/>
      <c r="M438" t="inlineStr"/>
      <c r="N438" t="inlineStr"/>
      <c r="O438">
        <f>(1-Summary!$B$11)*S438+Summary!$B$11*U438</f>
        <v/>
      </c>
      <c r="P438">
        <f>IF(B466=0,0,O438/B466)</f>
        <v/>
      </c>
      <c r="Q438">
        <f>IFERROR(1/(IF(Inputs!$B$39="pvp",15,MAX(0.1,Skills!D14-IF(Skills!E14=TRUE,Inputs!$B$33,0)))*(1-IF(AND(ArtifactsInput!$M$27,Inputs!$B$4="Chapter Hunt"),CHOOSE(ArtifactsInput!$N$27+1,20,24,28,32,36,40),0)/100)),0)</f>
        <v/>
      </c>
      <c r="R438">
        <f>IF(AND(Inputs!$B$39&lt;&gt;"pvp",Inputs!$B$44&gt;0),IF(Inputs!$B$44&lt;=0,0,(INT(Inputs!$B$44/(IF(Inputs!$B$39="pvp",15,MAX(0.1,Skills!D14-IF(Skills!E14=TRUE,Inputs!$B$33,0)))*(1-IF(AND(ArtifactsInput!$M$27,Inputs!$B$4="Chapter Hunt"),CHOOSE(ArtifactsInput!$N$27+1,20,24,28,32,36,40),0)/100)))+1)),0)</f>
        <v/>
      </c>
      <c r="S438" t="n">
        <v>0</v>
      </c>
      <c r="U438" t="n">
        <v>0</v>
      </c>
    </row>
    <row r="439">
      <c r="A439">
        <f>Skills!A15</f>
        <v/>
      </c>
      <c r="B439">
        <f>Skills!B15</f>
        <v/>
      </c>
      <c r="C439">
        <f>Inputs!$B$3&gt;=63</f>
        <v/>
      </c>
      <c r="D439">
        <f>IF(Skills!C15=1,60+Inputs!$B$26+Inputs!$B$30,IF(Skills!C15=2,90+Inputs!$B$27+Inputs!$B$30,IF(Skills!C15=3,120+Inputs!$B$28+Inputs!$B$30,MAX(0,(Inputs!$B$3-100)*3)+Inputs!$B$29+Inputs!$B$30)))</f>
        <v/>
      </c>
      <c r="E439">
        <f>INDEX(FactorTable!$B$2:$Y$301, MATCH(ROUND(MIN(300,MAX(1,D439)),0), FactorTable!$A$2:$A$301,0), Skills!L15+1)</f>
        <v/>
      </c>
      <c r="F439">
        <f>IF(Skills!M15=TRUE,(Skills!K15/10)*(E439/1000),Skills!K15/10)+Skills!N15</f>
        <v/>
      </c>
      <c r="G439">
        <f>Calc!G15</f>
        <v/>
      </c>
      <c r="H439">
        <f>Calc!H15</f>
        <v/>
      </c>
      <c r="I439">
        <f>IF(Skills!T15&lt;&gt;"",1+(Skills!T15/10)*($Z$3/1000)/100,1)</f>
        <v/>
      </c>
      <c r="J439">
        <f>((Inputs!$B$6*(1+Inputs!$B$7/100))+(((Inputs!$B$13*(1+Inputs!$B$14/100))-(Inputs!$B$13*(1+Inputs!$B$14/100)))+0.25*(Inputs!$B$15-Inputs!$B$15))*(1+Inputs!$B$7/100))*(F439/100)</f>
        <v/>
      </c>
      <c r="K439">
        <f>J439*(1+(((Inputs!$B$13+IF(Inputs!$B$3&gt;=35,(10*INDEX(FactorTable!$B$2:$Y$301,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15="TRIUMPH_FEATHER",IF(C440=TRUE,F440,0),0)/100)*(1+IF(C451=TRUE,F451,0)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439)</f>
        <v/>
      </c>
      <c r="L439">
        <f>K439*(MIN(Inputs!$B$23+(F446-Calc!F22),(Inputs!$B$24+IF(ArtifactsInput!$M$15,CHOOSE(ArtifactsInput!$N$15+1,25,30,35,40,45,50)/100*(Inputs!$B$12-Inputs!$B$12),0)))/100+(Inputs!$B$24+IF(ArtifactsInput!$M$15,CHOOSE(ArtifactsInput!$N$15+1,25,30,35,40,45,50)/100*(Inputs!$B$12-Inputs!$B$12),0))/100)/2</f>
        <v/>
      </c>
      <c r="M439">
        <f>L439*(1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IF(B466=0,0,O439/B466)</f>
        <v/>
      </c>
      <c r="Q439">
        <f>IFERROR(1/(IF(Inputs!$B$39="pvp",15,MAX(0.1,Skills!D15-IF(Skills!E15=TRUE,Inputs!$B$33,0)))*(1-IF(AND(ArtifactsInput!$M$27,Inputs!$B$4="Chapter Hunt"),CHOOSE(ArtifactsInput!$N$27+1,20,24,28,32,36,40),0)/100)),0)</f>
        <v/>
      </c>
      <c r="R439" t="n">
        <v>0</v>
      </c>
      <c r="S439">
        <f>IF(C439,(Skills!F15*N439*((IF(Inputs!$B$3&gt;=78,25,15)/100*B459*10)/(1+IF(Inputs!$B$3&gt;=78,25,15)/100*B459*10))*(Skills!I15/100*B459)/(1+Skills!G15*Skills!I15/100*B459))*IF(Inputs!$B$39="pvp",1,1+(Inputs!$B$21+Skills!O15+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f>IF(C439,(Skills!F15*N439*((IF(Inputs!$B$3&gt;=78,25,15)/100*B459*10)/(1+IF(Inputs!$B$3&gt;=78,25,15)/100*B459*10))*(Skills!I15/100*B459)/(1+Skills!G15*Skills!I15/100*B459))*IF(Inputs!$B$39="pvp",1,(1+(Inputs!$B$22+Skills!P15+B455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0">
      <c r="A440">
        <f>Skills!A16</f>
        <v/>
      </c>
      <c r="B440">
        <f>Skills!B16</f>
        <v/>
      </c>
      <c r="C440">
        <f>Inputs!$B$3&gt;=100</f>
        <v/>
      </c>
      <c r="D440">
        <f>IF(Skills!C16=1,60+Inputs!$B$26+Inputs!$B$30,IF(Skills!C16=2,90+Inputs!$B$27+Inputs!$B$30,IF(Skills!C16=3,120+Inputs!$B$28+Inputs!$B$30,MAX(0,(Inputs!$B$3-100)*3)+Inputs!$B$29+Inputs!$B$30)))</f>
        <v/>
      </c>
      <c r="E440">
        <f>INDEX(FactorTable!$B$2:$Y$301, MATCH(ROUND(MIN(300,MAX(1,D440)),0), FactorTable!$A$2:$A$301,0), Skills!L16+1)</f>
        <v/>
      </c>
      <c r="F440">
        <f>IF(Skills!M16=TRUE,(Skills!K16/10)*(E440/1000),Skills!K16/10)+Skills!N16</f>
        <v/>
      </c>
      <c r="G440">
        <f>Calc!G16</f>
        <v/>
      </c>
      <c r="H440">
        <f>Calc!H16</f>
        <v/>
      </c>
      <c r="I440">
        <f>IF(Skills!T16&lt;&gt;"",1+(Skills!T16/10)*($Z$3/1000)/100,1)</f>
        <v/>
      </c>
      <c r="J440" t="inlineStr"/>
      <c r="K440" t="inlineStr"/>
      <c r="L440" t="inlineStr"/>
      <c r="M440" t="inlineStr"/>
      <c r="N440" t="inlineStr"/>
      <c r="O440">
        <f>(1-Summary!$B$11)*S440+Summary!$B$11*U440</f>
        <v/>
      </c>
      <c r="P440">
        <f>IF(B466=0,0,O440/B466)</f>
        <v/>
      </c>
      <c r="Q440">
        <f>IFERROR(1/(IF(Inputs!$B$39="pvp",15,MAX(0.1,Skills!D16-IF(Skills!E16=TRUE,Inputs!$B$33,0)))*(1-IF(AND(ArtifactsInput!$M$27,Inputs!$B$4="Chapter Hunt"),CHOOSE(ArtifactsInput!$N$27+1,20,24,28,32,36,40),0)/100)),0)</f>
        <v/>
      </c>
      <c r="R440" t="n">
        <v>0</v>
      </c>
      <c r="S440" t="n">
        <v>0</v>
      </c>
      <c r="U440" t="n">
        <v>0</v>
      </c>
    </row>
    <row r="441">
      <c r="A441">
        <f>Skills!A17</f>
        <v/>
      </c>
      <c r="B441">
        <f>Skills!B17</f>
        <v/>
      </c>
      <c r="C441">
        <f>Inputs!$B$3&gt;=49</f>
        <v/>
      </c>
      <c r="D441">
        <f>IF(Skills!C17=1,60+Inputs!$B$26+Inputs!$B$30,IF(Skills!C17=2,90+Inputs!$B$27+Inputs!$B$30,IF(Skills!C17=3,120+Inputs!$B$28+Inputs!$B$30,MAX(0,(Inputs!$B$3-100)*3)+Inputs!$B$29+Inputs!$B$30)))</f>
        <v/>
      </c>
      <c r="E441">
        <f>INDEX(FactorTable!$B$2:$Y$301, MATCH(ROUND(MIN(300,MAX(1,D441)),0), FactorTable!$A$2:$A$301,0), Skills!L17+1)</f>
        <v/>
      </c>
      <c r="F441">
        <f>IF(Skills!M17=TRUE,(Skills!K17/10)*(E441/1000),Skills!K17/10)+Skills!N17</f>
        <v/>
      </c>
      <c r="G441">
        <f>Calc!G17</f>
        <v/>
      </c>
      <c r="H441">
        <f>Calc!H17</f>
        <v/>
      </c>
      <c r="I441">
        <f>IF(Skills!T17&lt;&gt;"",1+(Skills!T17/10)*($Z$3/1000)/100,1)</f>
        <v/>
      </c>
      <c r="J441" t="inlineStr"/>
      <c r="K441" t="inlineStr"/>
      <c r="L441" t="inlineStr"/>
      <c r="M441" t="inlineStr"/>
      <c r="N441" t="inlineStr"/>
      <c r="O441">
        <f>(1-Summary!$B$11)*S441+Summary!$B$11*U441</f>
        <v/>
      </c>
      <c r="P441">
        <f>IF(B466=0,0,O441/B466)</f>
        <v/>
      </c>
      <c r="Q441">
        <f>IFERROR(1/(IF(Inputs!$B$39="pvp",15,MAX(0.1,Skills!D17-IF(Skills!E17=TRUE,Inputs!$B$33,0)))*(1-IF(AND(ArtifactsInput!$M$27,Inputs!$B$4="Chapter Hunt"),CHOOSE(ArtifactsInput!$N$27+1,20,24,28,32,36,40),0)/100)),0)</f>
        <v/>
      </c>
      <c r="R441" t="n">
        <v>0</v>
      </c>
      <c r="S441" t="n">
        <v>0</v>
      </c>
      <c r="U441" t="n">
        <v>0</v>
      </c>
    </row>
    <row r="442">
      <c r="A442">
        <f>Skills!A18</f>
        <v/>
      </c>
      <c r="B442">
        <f>Skills!B18</f>
        <v/>
      </c>
      <c r="C442">
        <f>Inputs!$B$3&gt;=75</f>
        <v/>
      </c>
      <c r="D442">
        <f>IF(Skills!C18=1,60+Inputs!$B$26+Inputs!$B$30,IF(Skills!C18=2,90+Inputs!$B$27+Inputs!$B$30,IF(Skills!C18=3,120+Inputs!$B$28+Inputs!$B$30,MAX(0,(Inputs!$B$3-100)*3)+Inputs!$B$29+Inputs!$B$30)))</f>
        <v/>
      </c>
      <c r="E442">
        <f>INDEX(FactorTable!$B$2:$Y$301, MATCH(ROUND(MIN(300,MAX(1,D442)),0), FactorTable!$A$2:$A$301,0), Skills!L18+1)</f>
        <v/>
      </c>
      <c r="F442">
        <f>IF(Skills!M18=TRUE,(Skills!K18/10)*(E442/1000),Skills!K18/10)+Skills!N18</f>
        <v/>
      </c>
      <c r="G442">
        <f>Calc!G18</f>
        <v/>
      </c>
      <c r="H442">
        <f>Calc!H18</f>
        <v/>
      </c>
      <c r="I442">
        <f>IF(Skills!T18&lt;&gt;"",1+(Skills!T18/10)*($Z$3/1000)/100,1)</f>
        <v/>
      </c>
      <c r="J442" t="inlineStr"/>
      <c r="K442" t="inlineStr"/>
      <c r="L442" t="inlineStr"/>
      <c r="M442" t="inlineStr"/>
      <c r="N442" t="inlineStr"/>
      <c r="O442">
        <f>(1-Summary!$B$11)*S442+Summary!$B$11*U442</f>
        <v/>
      </c>
      <c r="P442">
        <f>IF(B466=0,0,O442/B466)</f>
        <v/>
      </c>
      <c r="Q442">
        <f>IFERROR(1/(IF(Inputs!$B$39="pvp",15,MAX(0.1,Skills!D18-IF(Skills!E18=TRUE,Inputs!$B$33,0)))*(1-IF(AND(ArtifactsInput!$M$27,Inputs!$B$4="Chapter Hunt"),CHOOSE(ArtifactsInput!$N$27+1,20,24,28,32,36,40),0)/100)),0)</f>
        <v/>
      </c>
      <c r="R442" t="n">
        <v>0</v>
      </c>
      <c r="S442" t="n">
        <v>0</v>
      </c>
      <c r="U442" t="n">
        <v>0</v>
      </c>
    </row>
    <row r="443">
      <c r="A443">
        <f>Skills!A19</f>
        <v/>
      </c>
      <c r="B443">
        <f>Skills!B19</f>
        <v/>
      </c>
      <c r="C443">
        <f>Inputs!$B$3&gt;=110</f>
        <v/>
      </c>
      <c r="D443">
        <f>IF(Skills!C19=1,60+Inputs!$B$26+Inputs!$B$30,IF(Skills!C19=2,90+Inputs!$B$27+Inputs!$B$30,IF(Skills!C19=3,120+Inputs!$B$28+Inputs!$B$30,MAX(0,(Inputs!$B$3-100)*3)+Inputs!$B$29+Inputs!$B$30)))</f>
        <v/>
      </c>
      <c r="E443">
        <f>INDEX(FactorTable!$B$2:$Y$301, MATCH(ROUND(MIN(300,MAX(1,D443)),0), FactorTable!$A$2:$A$301,0), Skills!L19+1)</f>
        <v/>
      </c>
      <c r="F443">
        <f>(Skills!K19/10)*(E443/1000)*64/45+Skills!N19</f>
        <v/>
      </c>
      <c r="G443">
        <f>Calc!G19</f>
        <v/>
      </c>
      <c r="H443">
        <f>Calc!H19</f>
        <v/>
      </c>
      <c r="I443">
        <f>IF(Skills!T19&lt;&gt;"",1+(Skills!T19/10)*($Z$3/1000)/100,1)</f>
        <v/>
      </c>
      <c r="J443" t="inlineStr"/>
      <c r="K443" t="inlineStr"/>
      <c r="L443" t="inlineStr"/>
      <c r="M443" t="inlineStr"/>
      <c r="N443" t="inlineStr"/>
      <c r="O443">
        <f>(1-Summary!$B$11)*S443+Summary!$B$11*U443</f>
        <v/>
      </c>
      <c r="P443">
        <f>IF(B466=0,0,O443/B466)</f>
        <v/>
      </c>
      <c r="Q443">
        <f>IFERROR(1/(IF(Inputs!$B$39="pvp",15,MAX(0.1,Skills!D19-IF(Skills!E19=TRUE,Inputs!$B$33,0)))*(1-IF(AND(ArtifactsInput!$M$27,Inputs!$B$4="Chapter Hunt"),CHOOSE(ArtifactsInput!$N$27+1,20,24,28,32,36,40),0)/100)),0)</f>
        <v/>
      </c>
      <c r="R443">
        <f>IF(AND(Inputs!$B$39&lt;&gt;"pvp",Inputs!$B$44&gt;0),IF(Inputs!$B$44&lt;=0,0,(INT(Inputs!$B$44/(IF(Inputs!$B$39="pvp",15,MAX(0.1,Skills!D19-IF(Skills!E19=TRUE,Inputs!$B$33,0)))*(1-IF(AND(ArtifactsInput!$M$27,Inputs!$B$4="Chapter Hunt"),CHOOSE(ArtifactsInput!$N$27+1,20,24,28,32,36,40),0)/100)))+1)),0)</f>
        <v/>
      </c>
      <c r="S443" t="n">
        <v>0</v>
      </c>
      <c r="U443" t="n">
        <v>0</v>
      </c>
    </row>
    <row r="444">
      <c r="A444">
        <f>Skills!A20</f>
        <v/>
      </c>
      <c r="B444">
        <f>Skills!B20</f>
        <v/>
      </c>
      <c r="C444">
        <f>Inputs!$B$3&gt;=125</f>
        <v/>
      </c>
      <c r="D444">
        <f>IF(Skills!C20=1,60+Inputs!$B$26+Inputs!$B$30,IF(Skills!C20=2,90+Inputs!$B$27+Inputs!$B$30,IF(Skills!C20=3,120+Inputs!$B$28+Inputs!$B$30,MAX(0,(Inputs!$B$3-100)*3)+Inputs!$B$29+Inputs!$B$30)))</f>
        <v/>
      </c>
      <c r="E444">
        <f>INDEX(FactorTable!$B$2:$Y$301, MATCH(ROUND(MIN(300,MAX(1,D444)),0), FactorTable!$A$2:$A$301,0), Skills!L20+1)</f>
        <v/>
      </c>
      <c r="F444">
        <f>IF(Skills!M20=TRUE,(Skills!K20/10)*(E444/1000),Skills!K20/10)+Skills!N20</f>
        <v/>
      </c>
      <c r="G444">
        <f>Calc!G20</f>
        <v/>
      </c>
      <c r="H444">
        <f>Calc!H20</f>
        <v/>
      </c>
      <c r="I444">
        <f>IF(Skills!T20&lt;&gt;"",1+(Skills!T20/10)*($Z$3/1000)/100,1)</f>
        <v/>
      </c>
      <c r="J444" t="inlineStr"/>
      <c r="K444" t="inlineStr"/>
      <c r="L444" t="inlineStr"/>
      <c r="M444" t="inlineStr"/>
      <c r="N444" t="inlineStr"/>
      <c r="O444">
        <f>(1-Summary!$B$11)*S444+Summary!$B$11*U444</f>
        <v/>
      </c>
      <c r="P444">
        <f>IF(B466=0,0,O444/B466)</f>
        <v/>
      </c>
      <c r="Q444">
        <f>IFERROR(1/(IF(Inputs!$B$39="pvp",15,MAX(0.1,Skills!D20-IF(Skills!E20=TRUE,Inputs!$B$33,0)))*(1-IF(AND(ArtifactsInput!$M$27,Inputs!$B$4="Chapter Hunt"),CHOOSE(ArtifactsInput!$N$27+1,20,24,28,32,36,40),0)/100)),0)</f>
        <v/>
      </c>
      <c r="R444" t="n">
        <v>0</v>
      </c>
      <c r="S444" t="n">
        <v>0</v>
      </c>
      <c r="U444" t="n">
        <v>0</v>
      </c>
    </row>
    <row r="445">
      <c r="A445">
        <f>Skills!A21</f>
        <v/>
      </c>
      <c r="B445">
        <f>Skills!B21</f>
        <v/>
      </c>
      <c r="C445">
        <f>Inputs!$B$3&gt;=33</f>
        <v/>
      </c>
      <c r="D445">
        <f>IF(Skills!C21=1,60+Inputs!$B$26+Inputs!$B$30,IF(Skills!C21=2,90+Inputs!$B$27+Inputs!$B$30,IF(Skills!C21=3,120+Inputs!$B$28+Inputs!$B$30,MAX(0,(Inputs!$B$3-100)*3)+Inputs!$B$29+Inputs!$B$30)))</f>
        <v/>
      </c>
      <c r="E445">
        <f>INDEX(FactorTable!$B$2:$Y$301, MATCH(ROUND(MIN(300,MAX(1,D445)),0), FactorTable!$A$2:$A$301,0), Skills!L21+1)</f>
        <v/>
      </c>
      <c r="F445">
        <f>IF(Skills!M21=TRUE,(Skills!K21/10)*(E445/1000),Skills!K21/10)+Skills!N21</f>
        <v/>
      </c>
      <c r="G445">
        <f>Calc!G21</f>
        <v/>
      </c>
      <c r="H445">
        <f>Calc!H21</f>
        <v/>
      </c>
      <c r="I445">
        <f>IF(Skills!T21&lt;&gt;"",1+(Skills!T21/10)*($Z$3/1000)/100,1)</f>
        <v/>
      </c>
      <c r="J445" t="inlineStr"/>
      <c r="K445" t="inlineStr"/>
      <c r="L445" t="inlineStr"/>
      <c r="M445" t="inlineStr"/>
      <c r="N445" t="inlineStr"/>
      <c r="O445">
        <f>(1-Summary!$B$11)*S445+Summary!$B$11*U445</f>
        <v/>
      </c>
      <c r="P445">
        <f>IF(B466=0,0,O445/B466)</f>
        <v/>
      </c>
      <c r="Q445">
        <f>IFERROR(1/(IF(Inputs!$B$39="pvp",15,MAX(0.1,Skills!D21-IF(Skills!E21=TRUE,Inputs!$B$33,0)))*(1-IF(AND(ArtifactsInput!$M$27,Inputs!$B$4="Chapter Hunt"),CHOOSE(ArtifactsInput!$N$27+1,20,24,28,32,36,40),0)/100)),0)</f>
        <v/>
      </c>
      <c r="R445" t="n">
        <v>0</v>
      </c>
      <c r="S445" t="n">
        <v>0</v>
      </c>
      <c r="U445" t="n">
        <v>0</v>
      </c>
    </row>
    <row r="446">
      <c r="A446">
        <f>Skills!A22</f>
        <v/>
      </c>
      <c r="B446">
        <f>Skills!B22</f>
        <v/>
      </c>
      <c r="C446">
        <f>Inputs!$B$3&gt;=43</f>
        <v/>
      </c>
      <c r="D446">
        <f>IF(Skills!C22=1,60+Inputs!$B$26+Inputs!$B$30,IF(Skills!C22=2,90+Inputs!$B$27+Inputs!$B$30,IF(Skills!C22=3,120+Inputs!$B$28+Inputs!$B$30,MAX(0,(Inputs!$B$3-100)*3)+Inputs!$B$29+Inputs!$B$30)))</f>
        <v/>
      </c>
      <c r="E446">
        <f>INDEX(FactorTable!$B$2:$Y$301, MATCH(ROUND(MIN(300,MAX(1,D446)),0), FactorTable!$A$2:$A$301,0), Skills!L22+1)</f>
        <v/>
      </c>
      <c r="F446">
        <f>IF(Skills!M22=TRUE,(Skills!K22/10)*(E446/1000),Skills!K22/10)+Skills!N22</f>
        <v/>
      </c>
      <c r="G446">
        <f>Calc!G22</f>
        <v/>
      </c>
      <c r="H446">
        <f>Calc!H22</f>
        <v/>
      </c>
      <c r="I446">
        <f>IF(Skills!T22&lt;&gt;"",1+(Skills!T22/10)*($Z$3/1000)/100,1)</f>
        <v/>
      </c>
      <c r="J446" t="inlineStr"/>
      <c r="K446" t="inlineStr"/>
      <c r="L446" t="inlineStr"/>
      <c r="M446" t="inlineStr"/>
      <c r="N446" t="inlineStr"/>
      <c r="O446">
        <f>(1-Summary!$B$11)*S446+Summary!$B$11*U446</f>
        <v/>
      </c>
      <c r="P446">
        <f>IF(B466=0,0,O446/B466)</f>
        <v/>
      </c>
      <c r="Q446">
        <f>IFERROR(1/(IF(Inputs!$B$39="pvp",15,MAX(0.1,Skills!D22-IF(Skills!E22=TRUE,Inputs!$B$33,0)))*(1-IF(AND(ArtifactsInput!$M$27,Inputs!$B$4="Chapter Hunt"),CHOOSE(ArtifactsInput!$N$27+1,20,24,28,32,36,40),0)/100)),0)</f>
        <v/>
      </c>
      <c r="R446" t="n">
        <v>0</v>
      </c>
      <c r="S446" t="n">
        <v>0</v>
      </c>
      <c r="U446" t="n">
        <v>0</v>
      </c>
    </row>
    <row r="447">
      <c r="A447">
        <f>Skills!A23</f>
        <v/>
      </c>
      <c r="B447">
        <f>Skills!B23</f>
        <v/>
      </c>
      <c r="C447">
        <f>Inputs!$B$3&gt;=50</f>
        <v/>
      </c>
      <c r="D447">
        <f>IF(Skills!C23=1,60+Inputs!$B$26+Inputs!$B$30,IF(Skills!C23=2,90+Inputs!$B$27+Inputs!$B$30,IF(Skills!C23=3,120+Inputs!$B$28+Inputs!$B$30,MAX(0,(Inputs!$B$3-100)*3)+Inputs!$B$29+Inputs!$B$30)))</f>
        <v/>
      </c>
      <c r="E447">
        <f>INDEX(FactorTable!$B$2:$Y$301, MATCH(ROUND(MIN(300,MAX(1,D447)),0), FactorTable!$A$2:$A$301,0), Skills!L23+1)</f>
        <v/>
      </c>
      <c r="F447">
        <f>IF(Skills!M23=TRUE,(Skills!K23/10)*(E447/1000),Skills!K23/10)+Skills!N23</f>
        <v/>
      </c>
      <c r="G447">
        <f>Calc!G23</f>
        <v/>
      </c>
      <c r="H447">
        <f>Calc!H23</f>
        <v/>
      </c>
      <c r="I447">
        <f>IF(Skills!T23&lt;&gt;"",1+(Skills!T23/10)*($Z$3/1000)/100,1)</f>
        <v/>
      </c>
      <c r="J447" t="inlineStr"/>
      <c r="K447" t="inlineStr"/>
      <c r="L447" t="inlineStr"/>
      <c r="M447" t="inlineStr"/>
      <c r="N447" t="inlineStr"/>
      <c r="O447">
        <f>(1-Summary!$B$11)*S447+Summary!$B$11*U447</f>
        <v/>
      </c>
      <c r="P447">
        <f>IF(B466=0,0,O447/B466)</f>
        <v/>
      </c>
      <c r="Q447">
        <f>IFERROR(1/(IF(Inputs!$B$39="pvp",15,MAX(0.1,Skills!D23-IF(Skills!E23=TRUE,Inputs!$B$33,0)))*(1-IF(AND(ArtifactsInput!$M$27,Inputs!$B$4="Chapter Hunt"),CHOOSE(ArtifactsInput!$N$27+1,20,24,28,32,36,40),0)/100)),0)</f>
        <v/>
      </c>
      <c r="R447" t="n">
        <v>0</v>
      </c>
      <c r="S447" t="n">
        <v>0</v>
      </c>
      <c r="U447" t="n">
        <v>0</v>
      </c>
    </row>
    <row r="448">
      <c r="A448">
        <f>Skills!A24</f>
        <v/>
      </c>
      <c r="B448">
        <f>Skills!B24</f>
        <v/>
      </c>
      <c r="C448">
        <f>Inputs!$B$3&gt;=74</f>
        <v/>
      </c>
      <c r="D448">
        <f>IF(Skills!C24=1,60+Inputs!$B$26+Inputs!$B$30,IF(Skills!C24=2,90+Inputs!$B$27+Inputs!$B$30,IF(Skills!C24=3,120+Inputs!$B$28+Inputs!$B$30,MAX(0,(Inputs!$B$3-100)*3)+Inputs!$B$29+Inputs!$B$30)))</f>
        <v/>
      </c>
      <c r="E448">
        <f>INDEX(FactorTable!$B$2:$Y$301, MATCH(ROUND(MIN(300,MAX(1,D448)),0), FactorTable!$A$2:$A$301,0), Skills!L24+1)</f>
        <v/>
      </c>
      <c r="F448">
        <f>IF(Skills!M24=TRUE,(Skills!K24/10)*(E448/1000),Skills!K24/10)+Skills!N24</f>
        <v/>
      </c>
      <c r="G448">
        <f>Calc!G24</f>
        <v/>
      </c>
      <c r="H448">
        <f>Calc!H24</f>
        <v/>
      </c>
      <c r="I448">
        <f>IF(Skills!T24&lt;&gt;"",1+(Skills!T24/10)*($Z$3/1000)/100,1)</f>
        <v/>
      </c>
      <c r="J448" t="inlineStr"/>
      <c r="K448" t="inlineStr"/>
      <c r="L448" t="inlineStr"/>
      <c r="M448" t="inlineStr"/>
      <c r="N448" t="inlineStr"/>
      <c r="O448">
        <f>(1-Summary!$B$11)*S448+Summary!$B$11*U448</f>
        <v/>
      </c>
      <c r="P448">
        <f>IF(B466=0,0,O448/B466)</f>
        <v/>
      </c>
      <c r="Q448">
        <f>IFERROR(1/(IF(Inputs!$B$39="pvp",15,MAX(0.1,Skills!D24-IF(Skills!E24=TRUE,Inputs!$B$33,0)))*(1-IF(AND(ArtifactsInput!$M$27,Inputs!$B$4="Chapter Hunt"),CHOOSE(ArtifactsInput!$N$27+1,20,24,28,32,36,40),0)/100)),0)</f>
        <v/>
      </c>
      <c r="R448" t="n">
        <v>0</v>
      </c>
      <c r="S448" t="n">
        <v>0</v>
      </c>
      <c r="U448" t="n">
        <v>0</v>
      </c>
    </row>
    <row r="449">
      <c r="A449">
        <f>Skills!A25</f>
        <v/>
      </c>
      <c r="B449">
        <f>Skills!B25</f>
        <v/>
      </c>
      <c r="C449">
        <f>Inputs!$B$3&gt;=74</f>
        <v/>
      </c>
      <c r="D449">
        <f>IF(Skills!C25=1,60+Inputs!$B$26+Inputs!$B$30,IF(Skills!C25=2,90+Inputs!$B$27+Inputs!$B$30,IF(Skills!C25=3,120+Inputs!$B$28+Inputs!$B$30,MAX(0,(Inputs!$B$3-100)*3)+Inputs!$B$29+Inputs!$B$30)))</f>
        <v/>
      </c>
      <c r="E449">
        <f>INDEX(FactorTable!$B$2:$Y$301, MATCH(ROUND(MIN(300,MAX(1,D449)),0), FactorTable!$A$2:$A$301,0), Skills!L25+1)</f>
        <v/>
      </c>
      <c r="F449">
        <f>IF(Skills!M25=TRUE,(Skills!K25/10)*(E449/1000),Skills!K25/10)+Skills!N25</f>
        <v/>
      </c>
      <c r="G449">
        <f>Calc!G25</f>
        <v/>
      </c>
      <c r="H449">
        <f>Calc!H25</f>
        <v/>
      </c>
      <c r="I449">
        <f>IF(Skills!T25&lt;&gt;"",1+(Skills!T25/10)*($Z$3/1000)/100,1)</f>
        <v/>
      </c>
      <c r="J449" t="inlineStr"/>
      <c r="K449" t="inlineStr"/>
      <c r="L449" t="inlineStr"/>
      <c r="M449" t="inlineStr"/>
      <c r="N449" t="inlineStr"/>
      <c r="O449">
        <f>(1-Summary!$B$11)*S449+Summary!$B$11*U449</f>
        <v/>
      </c>
      <c r="P449">
        <f>IF(B466=0,0,O449/B466)</f>
        <v/>
      </c>
      <c r="Q449">
        <f>IFERROR(1/(IF(Inputs!$B$39="pvp",15,MAX(0.1,Skills!D25-IF(Skills!E25=TRUE,Inputs!$B$33,0)))*(1-IF(AND(ArtifactsInput!$M$27,Inputs!$B$4="Chapter Hunt"),CHOOSE(ArtifactsInput!$N$27+1,20,24,28,32,36,40),0)/100)),0)</f>
        <v/>
      </c>
      <c r="R449" t="n">
        <v>0</v>
      </c>
      <c r="S449" t="n">
        <v>0</v>
      </c>
      <c r="U449" t="n">
        <v>0</v>
      </c>
    </row>
    <row r="450">
      <c r="A450">
        <f>Skills!A26</f>
        <v/>
      </c>
      <c r="B450">
        <f>Skills!B26</f>
        <v/>
      </c>
      <c r="C450">
        <f>Inputs!$B$3&gt;=117</f>
        <v/>
      </c>
      <c r="D450">
        <f>IF(Skills!C26=1,60+Inputs!$B$26+Inputs!$B$30,IF(Skills!C26=2,90+Inputs!$B$27+Inputs!$B$30,IF(Skills!C26=3,120+Inputs!$B$28+Inputs!$B$30,MAX(0,(Inputs!$B$3-100)*3)+Inputs!$B$29+Inputs!$B$30)))</f>
        <v/>
      </c>
      <c r="E450">
        <f>INDEX(FactorTable!$B$2:$Y$301, MATCH(ROUND(MIN(300,MAX(1,D450)),0), FactorTable!$A$2:$A$301,0), Skills!L26+1)</f>
        <v/>
      </c>
      <c r="F450">
        <f>IF(Skills!M26=TRUE,(Skills!K26/10)*(E450/1000),Skills!K26/10)+Skills!N26</f>
        <v/>
      </c>
      <c r="G450">
        <f>Calc!G26</f>
        <v/>
      </c>
      <c r="H450">
        <f>Calc!H26</f>
        <v/>
      </c>
      <c r="I450">
        <f>IF(Skills!T26&lt;&gt;"",1+(Skills!T26/10)*($Z$3/1000)/100,1)</f>
        <v/>
      </c>
      <c r="J450" t="inlineStr"/>
      <c r="K450" t="inlineStr"/>
      <c r="L450" t="inlineStr"/>
      <c r="M450" t="inlineStr"/>
      <c r="N450" t="inlineStr"/>
      <c r="O450">
        <f>(1-Summary!$B$11)*S450+Summary!$B$11*U450</f>
        <v/>
      </c>
      <c r="P450">
        <f>IF(B466=0,0,O450/B466)</f>
        <v/>
      </c>
      <c r="Q450">
        <f>IFERROR(1/(IF(Inputs!$B$39="pvp",15,MAX(0.1,Skills!D26-IF(Skills!E26=TRUE,Inputs!$B$33,0)))*(1-IF(AND(ArtifactsInput!$M$27,Inputs!$B$4="Chapter Hunt"),CHOOSE(ArtifactsInput!$N$27+1,20,24,28,32,36,40),0)/100)),0)</f>
        <v/>
      </c>
      <c r="R450" t="n">
        <v>0</v>
      </c>
      <c r="S450" t="n">
        <v>0</v>
      </c>
      <c r="U450" t="n">
        <v>0</v>
      </c>
    </row>
    <row r="451">
      <c r="A451">
        <f>Skills!A27</f>
        <v/>
      </c>
      <c r="B451">
        <f>Skills!B27</f>
        <v/>
      </c>
      <c r="C451">
        <f>Inputs!$B$3&gt;=120</f>
        <v/>
      </c>
      <c r="D451">
        <f>IF(Skills!C27=1,60+Inputs!$B$26+Inputs!$B$30,IF(Skills!C27=2,90+Inputs!$B$27+Inputs!$B$30,IF(Skills!C27=3,120+Inputs!$B$28+Inputs!$B$30,MAX(0,(Inputs!$B$3-100)*3)+Inputs!$B$29+Inputs!$B$30)))</f>
        <v/>
      </c>
      <c r="E451">
        <f>INDEX(FactorTable!$B$2:$Y$301, MATCH(ROUND(MIN(300,MAX(1,D451)),0), FactorTable!$A$2:$A$301,0), Skills!L27+1)</f>
        <v/>
      </c>
      <c r="F451">
        <f>IF(Skills!M27=TRUE,(Skills!K27/10)*(E451/1000),Skills!K27/10)+Skills!N27</f>
        <v/>
      </c>
      <c r="G451">
        <f>Calc!G27</f>
        <v/>
      </c>
      <c r="H451">
        <f>Calc!H27</f>
        <v/>
      </c>
      <c r="I451">
        <f>IF(Skills!T27&lt;&gt;"",1+(Skills!T27/10)*($Z$3/1000)/100,1)</f>
        <v/>
      </c>
      <c r="J451" t="inlineStr"/>
      <c r="K451" t="inlineStr"/>
      <c r="L451" t="inlineStr"/>
      <c r="M451" t="inlineStr"/>
      <c r="N451" t="inlineStr"/>
      <c r="O451">
        <f>(1-Summary!$B$11)*S451+Summary!$B$11*U451</f>
        <v/>
      </c>
      <c r="P451">
        <f>IF(B466=0,0,O451/B466)</f>
        <v/>
      </c>
      <c r="Q451">
        <f>IFERROR(1/(IF(Inputs!$B$39="pvp",15,MAX(0.1,Skills!D27-IF(Skills!E27=TRUE,Inputs!$B$33,0)))*(1-IF(AND(ArtifactsInput!$M$27,Inputs!$B$4="Chapter Hunt"),CHOOSE(ArtifactsInput!$N$27+1,20,24,28,32,36,40),0)/100)),0)</f>
        <v/>
      </c>
      <c r="R451" t="n">
        <v>0</v>
      </c>
      <c r="S451" t="n">
        <v>0</v>
      </c>
      <c r="U451" t="n">
        <v>0</v>
      </c>
    </row>
    <row r="453">
      <c r="A453" t="inlineStr">
        <is>
          <t>Average Buff Multiplier</t>
        </is>
      </c>
      <c r="B453">
        <f>(1+(IF(C427=TRUE,F427*IF(AND(Inputs!$B$39&lt;&gt;"pvp",Inputs!$B$44&gt;0),(((R427-1)*(Skills!S3*(1+((Inputs!$B$35+(ArtifactsInput!$M$7-ArtifactsInput!$M$7)*CHOOSE(ArtifactsInput!$N$7+1,6,7.2,8.4,9.6,10.8,12))+IF(Inputs!$B$3&gt;=117,F450,0))/100))+MIN((Skills!S3*(1+((Inputs!$B$35+(ArtifactsInput!$M$7-ArtifactsInput!$M$7)*CHOOSE(ArtifactsInput!$N$7+1,6,7.2,8.4,9.6,10.8,12))+IF(Inputs!$B$3&gt;=117,F450,0))/100)),MAX(0,Inputs!$B$44-((R427-1)*Skills!D3))))/Inputs!$B$44),IF(Inputs!$B$39="pvp",MIN((Skills!S3*(1+((Inputs!$B$35+(ArtifactsInput!$M$7-ArtifactsInput!$M$7)*CHOOSE(ArtifactsInput!$N$7+1,6,7.2,8.4,9.6,10.8,12))+IF(Inputs!$B$3&gt;=117,F450,0))/100)),15)/15,(Skills!S3*(1+((Inputs!$B$35+(ArtifactsInput!$M$7-ArtifactsInput!$M$7)*CHOOSE(ArtifactsInput!$N$7+1,6,7.2,8.4,9.6,10.8,12))+IF(Inputs!$B$3&gt;=117,F450,0))/100))/Skills!D3)),0)+IF(C428=TRUE,F428*IF(AND(Inputs!$B$39&lt;&gt;"pvp",Inputs!$B$44&gt;0),(((R428-1)*(Skills!S4*(1+((Inputs!$B$35+(ArtifactsInput!$M$7-ArtifactsInput!$M$7)*CHOOSE(ArtifactsInput!$N$7+1,6,7.2,8.4,9.6,10.8,12))+IF(Inputs!$B$3&gt;=117,F450,0))/100))+MIN((Skills!S4*(1+((Inputs!$B$35+(ArtifactsInput!$M$7-ArtifactsInput!$M$7)*CHOOSE(ArtifactsInput!$N$7+1,6,7.2,8.4,9.6,10.8,12))+IF(Inputs!$B$3&gt;=117,F450,0))/100)),MAX(0,Inputs!$B$44-((R428-1)*Skills!D4))))/Inputs!$B$44),IF(Inputs!$B$39="pvp",MIN((Skills!S4*(1+((Inputs!$B$35+(ArtifactsInput!$M$7-ArtifactsInput!$M$7)*CHOOSE(ArtifactsInput!$N$7+1,6,7.2,8.4,9.6,10.8,12))+IF(Inputs!$B$3&gt;=117,F450,0))/100)),15)/15,(Skills!S4*(1+((Inputs!$B$35+(ArtifactsInput!$M$7-ArtifactsInput!$M$7)*CHOOSE(ArtifactsInput!$N$7+1,6,7.2,8.4,9.6,10.8,12))+IF(Inputs!$B$3&gt;=117,F450,0))/100))/Skills!D4)),0)+IF(C429=TRUE,F429*IF(AND(Inputs!$B$39&lt;&gt;"pvp",Inputs!$B$44&gt;0),(((R429-1)*(Skills!S5*(1+((Inputs!$B$35+(ArtifactsInput!$M$7-ArtifactsInput!$M$7)*CHOOSE(ArtifactsInput!$N$7+1,6,7.2,8.4,9.6,10.8,12))+IF(Inputs!$B$3&gt;=117,F450,0))/100))+MIN((Skills!S5*(1+((Inputs!$B$35+(ArtifactsInput!$M$7-ArtifactsInput!$M$7)*CHOOSE(ArtifactsInput!$N$7+1,6,7.2,8.4,9.6,10.8,12))+IF(Inputs!$B$3&gt;=117,F450,0))/100)),MAX(0,Inputs!$B$44-((R429-1)*Skills!D5))))/Inputs!$B$44),IF(Inputs!$B$39="pvp",MIN((Skills!S5*(1+((Inputs!$B$35+(ArtifactsInput!$M$7-ArtifactsInput!$M$7)*CHOOSE(ArtifactsInput!$N$7+1,6,7.2,8.4,9.6,10.8,12))+IF(Inputs!$B$3&gt;=117,F450,0))/100)),15)/15,(Skills!S5*(1+((Inputs!$B$35+(ArtifactsInput!$M$7-ArtifactsInput!$M$7)*CHOOSE(ArtifactsInput!$N$7+1,6,7.2,8.4,9.6,10.8,12))+IF(Inputs!$B$3&gt;=117,F450,0))/100))/Skills!D5)),0)+IF(C435=TRUE,F435*IF(AND(Inputs!$B$39&lt;&gt;"pvp",Inputs!$B$44&gt;0),(((R435-1)*(Skills!S11*(1+((Inputs!$B$35+(ArtifactsInput!$M$7-ArtifactsInput!$M$7)*CHOOSE(ArtifactsInput!$N$7+1,6,7.2,8.4,9.6,10.8,12))+IF(Inputs!$B$3&gt;=117,F450,0))/100))+MIN((Skills!S11*(1+((Inputs!$B$35+(ArtifactsInput!$M$7-ArtifactsInput!$M$7)*CHOOSE(ArtifactsInput!$N$7+1,6,7.2,8.4,9.6,10.8,12))+IF(Inputs!$B$3&gt;=117,F450,0))/100)),MAX(0,Inputs!$B$44-((R435-1)*Skills!D11))))/Inputs!$B$44),IF(Inputs!$B$39="pvp",MIN((Skills!S11*(1+((Inputs!$B$35+(ArtifactsInput!$M$7-ArtifactsInput!$M$7)*CHOOSE(ArtifactsInput!$N$7+1,6,7.2,8.4,9.6,10.8,12))+IF(Inputs!$B$3&gt;=117,F450,0))/100)),15)/15,(Skills!S11*(1+((Inputs!$B$35+(ArtifactsInput!$M$7-ArtifactsInput!$M$7)*CHOOSE(ArtifactsInput!$N$7+1,6,7.2,8.4,9.6,10.8,12))+IF(Inputs!$B$3&gt;=117,F450,0)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438=TRUE,(1+F438*IF(AND(Inputs!$B$39&lt;&gt;"pvp",Inputs!$B$44&gt;0),(((R438-1)*(Skills!S14*(1+((Inputs!$B$35+(ArtifactsInput!$M$7-ArtifactsInput!$M$7)*CHOOSE(ArtifactsInput!$N$7+1,6,7.2,8.4,9.6,10.8,12))+IF(Inputs!$B$3&gt;=117,F450,0))/100))+MIN((Skills!S14*(1+((Inputs!$B$35+(ArtifactsInput!$M$7-ArtifactsInput!$M$7)*CHOOSE(ArtifactsInput!$N$7+1,6,7.2,8.4,9.6,10.8,12))+IF(Inputs!$B$3&gt;=117,F450,0))/100)),MAX(0,Inputs!$B$44-((R438-1)*Skills!D14))))/Inputs!$B$44),IF(Inputs!$B$39="pvp",MIN((Skills!S14*(1+((Inputs!$B$35+(ArtifactsInput!$M$7-ArtifactsInput!$M$7)*CHOOSE(ArtifactsInput!$N$7+1,6,7.2,8.4,9.6,10.8,12))+IF(Inputs!$B$3&gt;=117,F450,0))/100)),15)/15,(Skills!S14*(1+((Inputs!$B$35+(ArtifactsInput!$M$7-ArtifactsInput!$M$7)*CHOOSE(ArtifactsInput!$N$7+1,6,7.2,8.4,9.6,10.8,12))+IF(Inputs!$B$3&gt;=117,F450,0))/100))/Skills!D14))/100),1)*IF(C443=TRUE,(1+F443*IF(AND(Inputs!$B$39&lt;&gt;"pvp",Inputs!$B$44&gt;0),(((R443-1)*(Skills!S19*(1+((Inputs!$B$35+(ArtifactsInput!$M$7-ArtifactsInput!$M$7)*CHOOSE(ArtifactsInput!$N$7+1,6,7.2,8.4,9.6,10.8,12))+IF(Inputs!$B$3&gt;=117,F450,0))/100))+MIN((Skills!S19*(1+((Inputs!$B$35+(ArtifactsInput!$M$7-ArtifactsInput!$M$7)*CHOOSE(ArtifactsInput!$N$7+1,6,7.2,8.4,9.6,10.8,12))+IF(Inputs!$B$3&gt;=117,F450,0))/100)),MAX(0,Inputs!$B$44-((R443-1)*Skills!D19))))/Inputs!$B$44),IF(Inputs!$B$39="pvp",MIN((Skills!S19*(1+((Inputs!$B$35+(ArtifactsInput!$M$7-ArtifactsInput!$M$7)*CHOOSE(ArtifactsInput!$N$7+1,6,7.2,8.4,9.6,10.8,12))+IF(Inputs!$B$3&gt;=117,F450,0))/100)),15)/15,(Skills!S19*(1+((Inputs!$B$35+(ArtifactsInput!$M$7-ArtifactsInput!$M$7)*CHOOSE(ArtifactsInput!$N$7+1,6,7.2,8.4,9.6,10.8,12))+IF(Inputs!$B$3&gt;=117,F450,0))/100))/Skills!D19))/100),1)</f>
        <v/>
      </c>
    </row>
    <row r="454">
      <c r="A454" t="inlineStr">
        <is>
          <t>Monster Damage Taken Bonus % (Holy Fountain)</t>
        </is>
      </c>
      <c r="B454">
        <f>IF(Inputs!$B$3&gt;=68,20*IF(Inputs!$B$39="pvp",MIN((15*(1+((Inputs!$B$35+(ArtifactsInput!$M$7-ArtifactsInput!$M$7)*CHOOSE(ArtifactsInput!$N$7+1,6,7.2,8.4,9.6,10.8,12))+IF(Inputs!$B$3&gt;=117,F450,0))/100)),15)/15,(15*(1+((Inputs!$B$35+(ArtifactsInput!$M$7-ArtifactsInput!$M$7)*CHOOSE(ArtifactsInput!$N$7+1,6,7.2,8.4,9.6,10.8,12))+IF(Inputs!$B$3&gt;=117,F450,0))/100))/Skills!D10),0)</f>
        <v/>
      </c>
    </row>
    <row r="455">
      <c r="A455" t="inlineStr">
        <is>
          <t>Normal Monster Damage Bonus % (Holy Symbol)</t>
        </is>
      </c>
      <c r="B455">
        <f>IF(C436=TRUE,F436*IF(AND(Inputs!$B$39&lt;&gt;"pvp",Inputs!$B$44&gt;0),(((R436-1)*(Skills!S12*(1+((Inputs!$B$35+(ArtifactsInput!$M$7-ArtifactsInput!$M$7)*CHOOSE(ArtifactsInput!$N$7+1,6,7.2,8.4,9.6,10.8,12))+IF(Inputs!$B$3&gt;=117,F450,0))/100))+MIN((Skills!S12*(1+((Inputs!$B$35+(ArtifactsInput!$M$7-ArtifactsInput!$M$7)*CHOOSE(ArtifactsInput!$N$7+1,6,7.2,8.4,9.6,10.8,12))+IF(Inputs!$B$3&gt;=117,F450,0))/100)),MAX(0,Inputs!$B$44-((R436-1)*Skills!D12))))/Inputs!$B$44),IF(Inputs!$B$39="pvp",MIN((Skills!S12*(1+((Inputs!$B$35+(ArtifactsInput!$M$7-ArtifactsInput!$M$7)*CHOOSE(ArtifactsInput!$N$7+1,6,7.2,8.4,9.6,10.8,12))+IF(Inputs!$B$3&gt;=117,F450,0))/100)),15)/15,(Skills!S12*(1+((Inputs!$B$35+(ArtifactsInput!$M$7-ArtifactsInput!$M$7)*CHOOSE(ArtifactsInput!$N$7+1,6,7.2,8.4,9.6,10.8,12))+IF(Inputs!$B$3&gt;=117,F450,0))/100))/Skills!D12)),0)</f>
        <v/>
      </c>
    </row>
    <row r="456">
      <c r="A456" t="inlineStr">
        <is>
          <t>Damage % Bonus (Holy Symbol - Damage Boost)</t>
        </is>
      </c>
      <c r="B456">
        <f>Skills!O12</f>
        <v/>
      </c>
    </row>
    <row r="457">
      <c r="A457" t="inlineStr">
        <is>
          <t>Crit Damage % Bonus (Blood of the Divine)</t>
        </is>
      </c>
      <c r="B457">
        <f>4*IF(C444=TRUE,F444,0)</f>
        <v/>
      </c>
    </row>
    <row r="458">
      <c r="A458" t="inlineStr">
        <is>
          <t>Attack Speed Bonus %</t>
        </is>
      </c>
      <c r="B458">
        <f>IF(C441=TRUE,F441+(F445-Calc!F21),0)+IF(Inputs!$B$3&gt;=134,15,0)</f>
        <v/>
      </c>
    </row>
    <row r="459">
      <c r="A459" t="inlineStr">
        <is>
          <t>Actions Per Second</t>
        </is>
      </c>
      <c r="B459">
        <f>1+MIN(150,150*(1-(1-Inputs!$B$12/150)*(1-B458/150)))/100</f>
        <v/>
      </c>
    </row>
    <row r="460">
      <c r="A460" t="inlineStr">
        <is>
          <t>Skill + Buff Cast Rate</t>
        </is>
      </c>
      <c r="B460">
        <f>IF(AND(Inputs!$B$39&lt;&gt;"pvp",Inputs!$B$44&gt;0),SUMPRODUCT((Skills!E2:E27=TRUE)*(C426:C451=TRUE)*R426:R451)/Inputs!$B$44,SUMPRODUCT((Skills!E2:E27=TRUE)*(C426:C451=TRUE)*Q426:Q451))</f>
        <v/>
      </c>
    </row>
    <row r="461">
      <c r="A461" t="inlineStr">
        <is>
          <t>Big Bang Casts Per Second</t>
        </is>
      </c>
      <c r="B461">
        <f>MAX(0,B459-B460)</f>
        <v/>
      </c>
    </row>
    <row r="462">
      <c r="A462" t="inlineStr">
        <is>
          <t>Defense % Bonus (Divine Protection)</t>
        </is>
      </c>
      <c r="B462">
        <f>IF(C437=TRUE,F437*IF(AND(Inputs!$B$39&lt;&gt;"pvp",Inputs!$B$44&gt;0),(((R437-1)*(Skills!S13*(1+((Inputs!$B$35+(ArtifactsInput!$M$7-ArtifactsInput!$M$7)*CHOOSE(ArtifactsInput!$N$7+1,6,7.2,8.4,9.6,10.8,12))+IF(Inputs!$B$3&gt;=117,F450,0))/100))+MIN((Skills!S13*(1+((Inputs!$B$35+(ArtifactsInput!$M$7-ArtifactsInput!$M$7)*CHOOSE(ArtifactsInput!$N$7+1,6,7.2,8.4,9.6,10.8,12))+IF(Inputs!$B$3&gt;=117,F450,0))/100)),MAX(0,Inputs!$B$44-((R437-1)*Skills!D13))))/Inputs!$B$44),IF(Inputs!$B$39="pvp",MIN((Skills!S13*(1+((Inputs!$B$35+(ArtifactsInput!$M$7-ArtifactsInput!$M$7)*CHOOSE(ArtifactsInput!$N$7+1,6,7.2,8.4,9.6,10.8,12))+IF(Inputs!$B$3&gt;=117,F450,0))/100)),15)/15,(Skills!S13*(1+((Inputs!$B$35+(ArtifactsInput!$M$7-ArtifactsInput!$M$7)*CHOOSE(ArtifactsInput!$N$7+1,6,7.2,8.4,9.6,10.8,12))+IF(Inputs!$B$3&gt;=117,F450,0))/100))/Skills!D13)),0)</f>
        <v/>
      </c>
    </row>
    <row r="463">
      <c r="A463" t="inlineStr">
        <is>
          <t>Buff-Casting Startup Delay (s, fixed-duration only)</t>
        </is>
      </c>
      <c r="B463">
        <f>IF(AND(Inputs!$B$39&lt;&gt;"pvp",Inputs!$B$44&gt;0),SUMPRODUCT((Skills!S2:S27&gt;0)*(Skills!E2:E27=TRUE)*(C426:C451=TRUE))/B459,0)</f>
        <v/>
      </c>
    </row>
    <row r="464">
      <c r="A464" t="inlineStr">
        <is>
          <t>Boss-Only Total DPS (this block's swept value)</t>
        </is>
      </c>
      <c r="B464">
        <f>SUM(S426:S451)</f>
        <v/>
      </c>
    </row>
    <row r="465">
      <c r="A465" t="inlineStr">
        <is>
          <t>Normal-Only Total DPS (this block's swept value)</t>
        </is>
      </c>
      <c r="B465">
        <f>SUM(U426:U451)</f>
        <v/>
      </c>
    </row>
    <row r="466">
      <c r="A466" s="6" t="inlineStr">
        <is>
          <t>TOTAL DPS</t>
        </is>
      </c>
      <c r="B466" s="6">
        <f>SUM(O426:O451)</f>
        <v/>
      </c>
    </row>
    <row r="468">
      <c r="A468" s="6" t="inlineStr">
        <is>
          <t>Stat: MIN_DAMAGE %</t>
        </is>
      </c>
    </row>
    <row r="469">
      <c r="A469" s="5" t="inlineStr">
        <is>
          <t>Key</t>
        </is>
      </c>
      <c r="B469" s="5" t="inlineStr">
        <is>
          <t>Name</t>
        </is>
      </c>
      <c r="C469" s="5" t="inlineStr">
        <is>
          <t>Unlocked</t>
        </is>
      </c>
      <c r="D469" s="5" t="inlineStr">
        <is>
          <t>InputLevel</t>
        </is>
      </c>
      <c r="E469" s="5" t="inlineStr">
        <is>
          <t>Factor</t>
        </is>
      </c>
      <c r="F469" s="5" t="inlineStr">
        <is>
          <t>CoefficientPercent</t>
        </is>
      </c>
      <c r="G469" s="5" t="inlineStr">
        <is>
          <t>EffectiveHits</t>
        </is>
      </c>
      <c r="H469" s="5" t="inlineStr">
        <is>
          <t>ProcProbability</t>
        </is>
      </c>
      <c r="I469" s="5" t="inlineStr">
        <is>
          <t>MapleHeroMultiplier</t>
        </is>
      </c>
      <c r="J469" s="5" t="inlineStr">
        <is>
          <t>BaseDamage</t>
        </is>
      </c>
      <c r="K469" s="5" t="inlineStr">
        <is>
          <t>BaseHitDamage</t>
        </is>
      </c>
      <c r="L469" s="5" t="inlineStr">
        <is>
          <t>NonCritAvg</t>
        </is>
      </c>
      <c r="M469" s="5" t="inlineStr">
        <is>
          <t>CritAvg</t>
        </is>
      </c>
      <c r="N469" s="5" t="inlineStr">
        <is>
          <t>ExpectedDamage(perHit)</t>
        </is>
      </c>
      <c r="O469" s="5" t="inlineStr">
        <is>
          <t>DPS</t>
        </is>
      </c>
      <c r="P469" s="5" t="inlineStr">
        <is>
          <t>% of Total</t>
        </is>
      </c>
      <c r="R469" t="inlineStr">
        <is>
          <t>helpers</t>
        </is>
      </c>
    </row>
    <row r="470">
      <c r="A470">
        <f>Skills!A2</f>
        <v/>
      </c>
      <c r="B470">
        <f>Skills!B2</f>
        <v/>
      </c>
      <c r="C470">
        <f>Inputs!$B$3&gt;=100</f>
        <v/>
      </c>
      <c r="D470" t="inlineStr"/>
      <c r="E470" t="inlineStr"/>
      <c r="F470">
        <f>T472+Skills!N2</f>
        <v/>
      </c>
      <c r="G470">
        <f>Calc!G2</f>
        <v/>
      </c>
      <c r="H470">
        <f>Calc!H2</f>
        <v/>
      </c>
      <c r="I470">
        <f>IF(Skills!T2&lt;&gt;"",1+(Skills!T2/10)*($Z$3/1000)/100,1)</f>
        <v/>
      </c>
      <c r="J470">
        <f>((Inputs!$B$6*(1+Inputs!$B$7/100))+(((Inputs!$B$13*(1+Inputs!$B$14/100))-(Inputs!$B$13*(1+Inputs!$B$14/100)))+0.25*(Inputs!$B$15-Inputs!$B$15))*(1+Inputs!$B$7/100))*(F470/100)</f>
        <v/>
      </c>
      <c r="K470">
        <f>J470*(1+(((Inputs!$B$13+IF(Inputs!$B$3&gt;=35,(10*INDEX(FactorTable!$B$2:$Y$301,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2="TRIUMPH_FEATHER",IF(C484=TRUE,F484,0),0)/100)*(1+IF(C495=TRUE,F495,0)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470)</f>
        <v/>
      </c>
      <c r="L470">
        <f>K470*(MIN((Inputs!$B$23+1)+(F490-Calc!F22),(Inputs!$B$24+IF(ArtifactsInput!$M$15,CHOOSE(ArtifactsInput!$N$15+1,25,30,35,40,45,50)/100*(Inputs!$B$12-Inputs!$B$12),0)))/100+(Inputs!$B$24+IF(ArtifactsInput!$M$15,CHOOSE(ArtifactsInput!$N$15+1,25,30,35,40,45,50)/100*(Inputs!$B$12-Inputs!$B$12),0))/100)/2</f>
        <v/>
      </c>
      <c r="M470">
        <f>L470*(1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0">
        <f>L470*(1-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470*(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0">
        <f>(1-Summary!$B$11)*S470+Summary!$B$11*U470</f>
        <v/>
      </c>
      <c r="P470">
        <f>IF(B510=0,0,O470/B510)</f>
        <v/>
      </c>
      <c r="Q470">
        <f>IFERROR(1/(IF(Inputs!$B$39="pvp",15,MAX(0.1,Skills!D2-IF(Skills!E2=TRUE,Inputs!$B$33,0)))*(1-IF(AND(ArtifactsInput!$M$27,Inputs!$B$4="Chapter Hunt"),CHOOSE(ArtifactsInput!$N$27+1,20,24,28,32,36,40),0)/100)),0)</f>
        <v/>
      </c>
      <c r="R470" t="n">
        <v>0</v>
      </c>
      <c r="S470">
        <f>IF(C470,(Skills!F2*N470*B505)*IF(Inputs!$B$39="pvp",1,1+(Inputs!$B$21+Skills!O2+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470*(1-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470*(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470*(1-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470*(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0">
        <f>MAX(0,(Inputs!$B$3-100)*3)+Inputs!$B$29+Inputs!$B$30</f>
        <v/>
      </c>
      <c r="U470">
        <f>IF(C470,(Skills!F2*N470*B505)*IF(Inputs!$B$39="pvp",1,(1+(Inputs!$B$22+Skills!P2+B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1">
      <c r="A471">
        <f>Skills!A3</f>
        <v/>
      </c>
      <c r="B471">
        <f>Skills!B3</f>
        <v/>
      </c>
      <c r="C471">
        <f>Inputs!$B$3&gt;=15</f>
        <v/>
      </c>
      <c r="D471">
        <f>IF(Skills!C3=1,60+Inputs!$B$26+Inputs!$B$30,IF(Skills!C3=2,90+Inputs!$B$27+Inputs!$B$30,IF(Skills!C3=3,120+Inputs!$B$28+Inputs!$B$30,MAX(0,(Inputs!$B$3-100)*3)+Inputs!$B$29+Inputs!$B$30)))</f>
        <v/>
      </c>
      <c r="E471">
        <f>INDEX(FactorTable!$B$2:$Y$301, MATCH(ROUND(MIN(300,MAX(1,D471)),0), FactorTable!$A$2:$A$301,0), Skills!L3+1)</f>
        <v/>
      </c>
      <c r="F471">
        <f>IF(Skills!M3=TRUE,(Skills!K3/10)*(E471/1000),Skills!K3/10)+Skills!N3</f>
        <v/>
      </c>
      <c r="G471">
        <f>Calc!G3</f>
        <v/>
      </c>
      <c r="H471">
        <f>Calc!H3</f>
        <v/>
      </c>
      <c r="I471">
        <f>IF(Skills!T3&lt;&gt;"",1+(Skills!T3/10)*($Z$3/1000)/100,1)</f>
        <v/>
      </c>
      <c r="J471" t="inlineStr"/>
      <c r="K471" t="inlineStr"/>
      <c r="L471" t="inlineStr"/>
      <c r="M471" t="inlineStr"/>
      <c r="N471" t="inlineStr"/>
      <c r="O471">
        <f>(1-Summary!$B$11)*S471+Summary!$B$11*U471</f>
        <v/>
      </c>
      <c r="P471">
        <f>IF(B510=0,0,O471/B510)</f>
        <v/>
      </c>
      <c r="Q471">
        <f>IFERROR(1/(IF(Inputs!$B$39="pvp",15,MAX(0.1,Skills!D3-IF(Skills!E3=TRUE,Inputs!$B$33,0)))*(1-IF(AND(ArtifactsInput!$M$27,Inputs!$B$4="Chapter Hunt"),CHOOSE(ArtifactsInput!$N$27+1,20,24,28,32,36,40),0)/100)),0)</f>
        <v/>
      </c>
      <c r="R471">
        <f>IF(AND(Inputs!$B$39&lt;&gt;"pvp",Inputs!$B$44&gt;0),IF(Inputs!$B$44&lt;=0,0,(INT(Inputs!$B$44/(IF(Inputs!$B$39="pvp",15,MAX(0.1,Skills!D3-IF(Skills!E3=TRUE,Inputs!$B$33,0)))*(1-IF(AND(ArtifactsInput!$M$27,Inputs!$B$4="Chapter Hunt"),CHOOSE(ArtifactsInput!$N$27+1,20,24,28,32,36,40),0)/100)))+1)),0)</f>
        <v/>
      </c>
      <c r="S471" t="n">
        <v>0</v>
      </c>
      <c r="T471">
        <f>INDEX(FactorTable!$B$2:$Y$301, MATCH(ROUND(MIN(300,MAX(1,T470)),0), FactorTable!$A$2:$A$301,0), 22)</f>
        <v/>
      </c>
      <c r="U471" t="n">
        <v>0</v>
      </c>
    </row>
    <row r="472">
      <c r="A472">
        <f>Skills!A4</f>
        <v/>
      </c>
      <c r="B472">
        <f>Skills!B4</f>
        <v/>
      </c>
      <c r="C472">
        <f>Inputs!$B$3&gt;=38</f>
        <v/>
      </c>
      <c r="D472">
        <f>IF(Skills!C4=1,60+Inputs!$B$26+Inputs!$B$30,IF(Skills!C4=2,90+Inputs!$B$27+Inputs!$B$30,IF(Skills!C4=3,120+Inputs!$B$28+Inputs!$B$30,MAX(0,(Inputs!$B$3-100)*3)+Inputs!$B$29+Inputs!$B$30)))</f>
        <v/>
      </c>
      <c r="E472">
        <f>INDEX(FactorTable!$B$2:$Y$301, MATCH(ROUND(MIN(300,MAX(1,D472)),0), FactorTable!$A$2:$A$301,0), Skills!L4+1)</f>
        <v/>
      </c>
      <c r="F472">
        <f>IF(Skills!M4=TRUE,(Skills!K4/10)*(E472/1000),Skills!K4/10)+Skills!N4</f>
        <v/>
      </c>
      <c r="G472">
        <f>Calc!G4</f>
        <v/>
      </c>
      <c r="H472">
        <f>Calc!H4</f>
        <v/>
      </c>
      <c r="I472">
        <f>IF(Skills!T4&lt;&gt;"",1+(Skills!T4/10)*($Z$3/1000)/100,1)</f>
        <v/>
      </c>
      <c r="J472" t="inlineStr"/>
      <c r="K472" t="inlineStr"/>
      <c r="L472" t="inlineStr"/>
      <c r="M472" t="inlineStr"/>
      <c r="N472" t="inlineStr"/>
      <c r="O472">
        <f>(1-Summary!$B$11)*S472+Summary!$B$11*U472</f>
        <v/>
      </c>
      <c r="P472">
        <f>IF(B510=0,0,O472/B510)</f>
        <v/>
      </c>
      <c r="Q472">
        <f>IFERROR(1/(IF(Inputs!$B$39="pvp",15,MAX(0.1,Skills!D4-IF(Skills!E4=TRUE,Inputs!$B$33,0)))*(1-IF(AND(ArtifactsInput!$M$27,Inputs!$B$4="Chapter Hunt"),CHOOSE(ArtifactsInput!$N$27+1,20,24,28,32,36,40),0)/100)),0)</f>
        <v/>
      </c>
      <c r="R472">
        <f>IF(AND(Inputs!$B$39&lt;&gt;"pvp",Inputs!$B$44&gt;0),IF(Inputs!$B$44&lt;=0,0,(INT(Inputs!$B$44/(IF(Inputs!$B$39="pvp",15,MAX(0.1,Skills!D4-IF(Skills!E4=TRUE,Inputs!$B$33,0)))*(1-IF(AND(ArtifactsInput!$M$27,Inputs!$B$4="Chapter Hunt"),CHOOSE(ArtifactsInput!$N$27+1,20,24,28,32,36,40),0)/100)))+1)),0)</f>
        <v/>
      </c>
      <c r="S472" t="n">
        <v>0</v>
      </c>
      <c r="T472">
        <f>290*T471/1000</f>
        <v/>
      </c>
      <c r="U472" t="n">
        <v>0</v>
      </c>
    </row>
    <row r="473">
      <c r="A473">
        <f>Skills!A5</f>
        <v/>
      </c>
      <c r="B473">
        <f>Skills!B5</f>
        <v/>
      </c>
      <c r="C473">
        <f>Inputs!$B$3&gt;=40</f>
        <v/>
      </c>
      <c r="D473">
        <f>IF(Skills!C5=1,60+Inputs!$B$26+Inputs!$B$30,IF(Skills!C5=2,90+Inputs!$B$27+Inputs!$B$30,IF(Skills!C5=3,120+Inputs!$B$28+Inputs!$B$30,MAX(0,(Inputs!$B$3-100)*3)+Inputs!$B$29+Inputs!$B$30)))</f>
        <v/>
      </c>
      <c r="E473">
        <f>INDEX(FactorTable!$B$2:$Y$301, MATCH(ROUND(MIN(300,MAX(1,D473)),0), FactorTable!$A$2:$A$301,0), Skills!L5+1)</f>
        <v/>
      </c>
      <c r="F473">
        <f>IF(Skills!M5=TRUE,(Skills!K5/10)*(E473/1000),Skills!K5/10)+Skills!N5</f>
        <v/>
      </c>
      <c r="G473">
        <f>Calc!G5</f>
        <v/>
      </c>
      <c r="H473">
        <f>Calc!H5</f>
        <v/>
      </c>
      <c r="I473">
        <f>IF(Skills!T5&lt;&gt;"",1+(Skills!T5/10)*($Z$3/1000)/100,1)</f>
        <v/>
      </c>
      <c r="J473" t="inlineStr"/>
      <c r="K473" t="inlineStr"/>
      <c r="L473" t="inlineStr"/>
      <c r="M473" t="inlineStr"/>
      <c r="N473" t="inlineStr"/>
      <c r="O473">
        <f>(1-Summary!$B$11)*S473+Summary!$B$11*U473</f>
        <v/>
      </c>
      <c r="P473">
        <f>IF(B510=0,0,O473/B510)</f>
        <v/>
      </c>
      <c r="Q473">
        <f>IFERROR(1/(IF(Inputs!$B$39="pvp",15,MAX(0.1,Skills!D5-IF(Skills!E5=TRUE,Inputs!$B$33,0)))*(1-IF(AND(ArtifactsInput!$M$27,Inputs!$B$4="Chapter Hunt"),CHOOSE(ArtifactsInput!$N$27+1,20,24,28,32,36,40),0)/100)),0)</f>
        <v/>
      </c>
      <c r="R473">
        <f>IF(AND(Inputs!$B$39&lt;&gt;"pvp",Inputs!$B$44&gt;0),IF(Inputs!$B$44&lt;=0,0,(INT(Inputs!$B$44/(IF(Inputs!$B$39="pvp",15,MAX(0.1,Skills!D5-IF(Skills!E5=TRUE,Inputs!$B$33,0)))*(1-IF(AND(ArtifactsInput!$M$27,Inputs!$B$4="Chapter Hunt"),CHOOSE(ArtifactsInput!$N$27+1,20,24,28,32,36,40),0)/100)))+1)),0)</f>
        <v/>
      </c>
      <c r="S473" t="n">
        <v>0</v>
      </c>
      <c r="U473" t="n">
        <v>0</v>
      </c>
    </row>
    <row r="474">
      <c r="A474">
        <f>Skills!A6</f>
        <v/>
      </c>
      <c r="B474">
        <f>Skills!B6</f>
        <v/>
      </c>
      <c r="C474">
        <f>Inputs!$B$3&gt;=103</f>
        <v/>
      </c>
      <c r="D474">
        <f>IF(Skills!C6=1,60+Inputs!$B$26+Inputs!$B$30,IF(Skills!C6=2,90+Inputs!$B$27+Inputs!$B$30,IF(Skills!C6=3,120+Inputs!$B$28+Inputs!$B$30,MAX(0,(Inputs!$B$3-100)*3)+Inputs!$B$29+Inputs!$B$30)))</f>
        <v/>
      </c>
      <c r="E474">
        <f>INDEX(FactorTable!$B$2:$Y$301, MATCH(ROUND(MIN(300,MAX(1,D474)),0), FactorTable!$A$2:$A$301,0), Skills!L6+1)</f>
        <v/>
      </c>
      <c r="F474">
        <f>IF(Skills!M6=TRUE,(Skills!K6/10)*(E474/1000),Skills!K6/10)+Skills!N6</f>
        <v/>
      </c>
      <c r="G474">
        <f>Calc!G6</f>
        <v/>
      </c>
      <c r="H474">
        <f>Calc!H6</f>
        <v/>
      </c>
      <c r="I474">
        <f>IF(Skills!T6&lt;&gt;"",1+(Skills!T6/10)*($Z$3/1000)/100,1)</f>
        <v/>
      </c>
      <c r="J474">
        <f>((Inputs!$B$6*(1+Inputs!$B$7/100))+(((Inputs!$B$13*(1+Inputs!$B$14/100))-(Inputs!$B$13*(1+Inputs!$B$14/100)))+0.25*(Inputs!$B$15-Inputs!$B$15))*(1+Inputs!$B$7/100))*(F474/100)</f>
        <v/>
      </c>
      <c r="K474">
        <f>J474*(1+(((Inputs!$B$13+IF(Inputs!$B$3&gt;=35,(10*INDEX(FactorTable!$B$2:$Y$301,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6="TRIUMPH_FEATHER",IF(C484=TRUE,F484,0),0)/100)*(1+IF(C495=TRUE,F495,0)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474)</f>
        <v/>
      </c>
      <c r="L474">
        <f>K474*(MIN((Inputs!$B$23+1)+(F490-Calc!F22),(Inputs!$B$24+IF(ArtifactsInput!$M$15,CHOOSE(ArtifactsInput!$N$15+1,25,30,35,40,45,50)/100*(Inputs!$B$12-Inputs!$B$12),0)))/100+(Inputs!$B$24+IF(ArtifactsInput!$M$15,CHOOSE(ArtifactsInput!$N$15+1,25,30,35,40,45,50)/100*(Inputs!$B$12-Inputs!$B$12),0))/100)/2</f>
        <v/>
      </c>
      <c r="M474">
        <f>L474*(1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4">
        <f>L474*(1-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(1-Summary!$B$11)*S474+Summary!$B$11*U474</f>
        <v/>
      </c>
      <c r="P474">
        <f>IF(B510=0,0,O474/B510)</f>
        <v/>
      </c>
      <c r="Q474">
        <f>IFERROR(1/(IF(Inputs!$B$39="pvp",15,MAX(0.1,Skills!D6-IF(Skills!E6=TRUE,Inputs!$B$33,0)))*(1-IF(AND(ArtifactsInput!$M$27,Inputs!$B$4="Chapter Hunt"),CHOOSE(ArtifactsInput!$N$27+1,20,24,28,32,36,40),0)/100)),0)</f>
        <v/>
      </c>
      <c r="R474">
        <f>IF(AND(Inputs!$B$39&lt;&gt;"pvp",Inputs!$B$44&gt;0),IF(MAX(0,Inputs!$B$44-B507)&lt;=0,0,(INT(MAX(0,Inputs!$B$44-B507)/(IF(Inputs!$B$39="pvp",15,MAX(0.1,Skills!D6-IF(Skills!E6=TRUE,Inputs!$B$33,0)))*(1-IF(AND(ArtifactsInput!$M$27,Inputs!$B$4="Chapter Hunt"),CHOOSE(ArtifactsInput!$N$27+1,20,24,28,32,36,40),0)/100)))+1)),0)</f>
        <v/>
      </c>
      <c r="S474">
        <f>IF(C474,(H474*N474*IF(AND(Inputs!$B$39&lt;&gt;"pvp",Inputs!$B$44&gt;0),((Skills!F6*((R474-1)*IF(Skills!G6&gt;0,Skills!H6/Skills!G6,1)+IF(Skills!G6&gt;0,MIN(Skills!H6,MAX(0,MAX(0,Inputs!$B$44-B507)-((R474-1)*(IF(Inputs!$B$39="pvp",15,MAX(0.1,Skills!D6-IF(Skills!E6=TRUE,Inputs!$B$33,0)))*(1-IF(AND(ArtifactsInput!$M$27,Inputs!$B$4="Chapter Hunt"),CHOOSE(ArtifactsInput!$N$27+1,20,24,28,32,36,40),0)/100)))))/Skills!G6,1)))/Inputs!$B$44),G474*Q474))*IF(Inputs!$B$39="pvp",1,1+(Inputs!$B$21+Skills!O6+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474*(1-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4">
        <f>IF(C474,(H474*N474*IF(AND(Inputs!$B$39&lt;&gt;"pvp",Inputs!$B$44&gt;0),((Skills!F6*((R474-1)*IF(Skills!G6&gt;0,Skills!H6/Skills!G6,1)+IF(Skills!G6&gt;0,MIN(Skills!H6,MAX(0,MAX(0,Inputs!$B$44-B507)-((R474-1)*(IF(Inputs!$B$39="pvp",15,MAX(0.1,Skills!D6-IF(Skills!E6=TRUE,Inputs!$B$33,0)))*(1-IF(AND(ArtifactsInput!$M$27,Inputs!$B$4="Chapter Hunt"),CHOOSE(ArtifactsInput!$N$27+1,20,24,28,32,36,40),0)/100)))))/Skills!G6,1)))/Inputs!$B$44),G474*Q474))*IF(Inputs!$B$39="pvp",1,(1+(Inputs!$B$22+Skills!P6+B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Skills!A7</f>
        <v/>
      </c>
      <c r="B475">
        <f>Skills!B7</f>
        <v/>
      </c>
      <c r="C475">
        <f>Inputs!$B$3&gt;=122</f>
        <v/>
      </c>
      <c r="D475">
        <f>IF(Skills!C7=1,60+Inputs!$B$26+Inputs!$B$30,IF(Skills!C7=2,90+Inputs!$B$27+Inputs!$B$30,IF(Skills!C7=3,120+Inputs!$B$28+Inputs!$B$30,MAX(0,(Inputs!$B$3-100)*3)+Inputs!$B$29+Inputs!$B$30)))</f>
        <v/>
      </c>
      <c r="E475">
        <f>INDEX(FactorTable!$B$2:$Y$301, MATCH(ROUND(MIN(300,MAX(1,D475)),0), FactorTable!$A$2:$A$301,0), Skills!L7+1)</f>
        <v/>
      </c>
      <c r="F475">
        <f>IF(Skills!M7=TRUE,(Skills!K7/10)*(E475/1000),Skills!K7/10)+Skills!N7</f>
        <v/>
      </c>
      <c r="G475">
        <f>Calc!G7</f>
        <v/>
      </c>
      <c r="H475">
        <f>Calc!H7</f>
        <v/>
      </c>
      <c r="I475">
        <f>IF(Skills!T7&lt;&gt;"",1+(Skills!T7/10)*($Z$3/1000)/100,1)</f>
        <v/>
      </c>
      <c r="J475">
        <f>((Inputs!$B$6*(1+Inputs!$B$7/100))+(((Inputs!$B$13*(1+Inputs!$B$14/100))-(Inputs!$B$13*(1+Inputs!$B$14/100)))+0.25*(Inputs!$B$15-Inputs!$B$15))*(1+Inputs!$B$7/100))*(F475/100)</f>
        <v/>
      </c>
      <c r="K475">
        <f>J475*(1+(((Inputs!$B$13+IF(Inputs!$B$3&gt;=35,(10*INDEX(FactorTable!$B$2:$Y$301,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7="TRIUMPH_FEATHER",IF(C484=TRUE,F484,0),0)/100)*(1+IF(C495=TRUE,F495,0)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475)</f>
        <v/>
      </c>
      <c r="L475">
        <f>K475*(MIN((Inputs!$B$23+1)+(F490-Calc!F22),(Inputs!$B$24+IF(ArtifactsInput!$M$15,CHOOSE(ArtifactsInput!$N$15+1,25,30,35,40,45,50)/100*(Inputs!$B$12-Inputs!$B$12),0)))/100+(Inputs!$B$24+IF(ArtifactsInput!$M$15,CHOOSE(ArtifactsInput!$N$15+1,25,30,35,40,45,50)/100*(Inputs!$B$12-Inputs!$B$12),0))/100)/2</f>
        <v/>
      </c>
      <c r="M475">
        <f>L475*(1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5">
        <f>L475*(1-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475*(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5">
        <f>(1-Summary!$B$11)*S475+Summary!$B$11*U475</f>
        <v/>
      </c>
      <c r="P475">
        <f>IF(B510=0,0,O475/B510)</f>
        <v/>
      </c>
      <c r="Q475">
        <f>IFERROR(1/(IF(Inputs!$B$39="pvp",15,MAX(0.1,Skills!D7-IF(Skills!E6=TRUE,Inputs!$B$33,0)))*(1-IF(AND(ArtifactsInput!$M$27,Inputs!$B$4="Chapter Hunt"),CHOOSE(ArtifactsInput!$N$27+1,20,24,28,32,36,40),0)/100)),0)</f>
        <v/>
      </c>
      <c r="R475">
        <f>IF(AND(Inputs!$B$39&lt;&gt;"pvp",Inputs!$B$44&gt;0),IF(MAX(0,Inputs!$B$44-B507)&lt;=0,0,(INT(MAX(0,Inputs!$B$44-B507)/(IF(Inputs!$B$39="pvp",15,MAX(0.1,Skills!D7-IF(Skills!E6=TRUE,Inputs!$B$33,0)))*(1-IF(AND(ArtifactsInput!$M$27,Inputs!$B$4="Chapter Hunt"),CHOOSE(ArtifactsInput!$N$27+1,20,24,28,32,36,40),0)/100)))+1)),0)</f>
        <v/>
      </c>
      <c r="S475">
        <f>IF(C475,H475*N475*IF(AND(Inputs!$B$39&lt;&gt;"pvp",Inputs!$B$44&gt;0),((Skills!F7*((R475-1)*IF(Skills!G7&gt;0,Skills!H7/Skills!G7,1)+IF(Skills!G7&gt;0,MIN(Skills!H7,MAX(0,MAX(0,Inputs!$B$44-B507)-((R475-1)*(IF(Inputs!$B$39="pvp",15,MAX(0.1,Skills!D7-IF(Skills!E6=TRUE,Inputs!$B$33,0)))*(1-IF(AND(ArtifactsInput!$M$27,Inputs!$B$4="Chapter Hunt"),CHOOSE(ArtifactsInput!$N$27+1,20,24,28,32,36,40),0)/100)))))/Skills!G7,1)))/Inputs!$B$44),G475*Q475)*IF(Inputs!$B$39="pvp",1,1+(Inputs!$B$21+Skills!O7+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475*(1-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475*(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475*(1-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475*(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5" t="n">
        <v>0</v>
      </c>
    </row>
    <row r="476">
      <c r="A476">
        <f>Skills!A8</f>
        <v/>
      </c>
      <c r="B476">
        <f>Skills!B8</f>
        <v/>
      </c>
      <c r="C476">
        <f>Inputs!$B$3&gt;=105</f>
        <v/>
      </c>
      <c r="D476">
        <f>IF(Skills!C8=1,60+Inputs!$B$26+Inputs!$B$30,IF(Skills!C8=2,90+Inputs!$B$27+Inputs!$B$30,IF(Skills!C8=3,120+Inputs!$B$28+Inputs!$B$30,MAX(0,(Inputs!$B$3-100)*3)+Inputs!$B$29+Inputs!$B$30)))</f>
        <v/>
      </c>
      <c r="E476">
        <f>INDEX(FactorTable!$B$2:$Y$301, MATCH(ROUND(MIN(300,MAX(1,D476)),0), FactorTable!$A$2:$A$301,0), Skills!L8+1)</f>
        <v/>
      </c>
      <c r="F476">
        <f>IF(Skills!M8=TRUE,(Skills!K8/10)*(E476/1000),Skills!K8/10)+Skills!N8</f>
        <v/>
      </c>
      <c r="G476">
        <f>Calc!G8</f>
        <v/>
      </c>
      <c r="H476">
        <f>Calc!H8</f>
        <v/>
      </c>
      <c r="I476">
        <f>IF(Skills!T8&lt;&gt;"",1+(Skills!T8/10)*($Z$3/1000)/100,1)</f>
        <v/>
      </c>
      <c r="J476">
        <f>((Inputs!$B$6*(1+Inputs!$B$7/100))+(((Inputs!$B$13*(1+Inputs!$B$14/100))-(Inputs!$B$13*(1+Inputs!$B$14/100)))+0.25*(Inputs!$B$15-Inputs!$B$15))*(1+Inputs!$B$7/100))*(F476/100)</f>
        <v/>
      </c>
      <c r="K476">
        <f>J476*(1+(((Inputs!$B$13+IF(Inputs!$B$3&gt;=35,(10*INDEX(FactorTable!$B$2:$Y$301,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8="TRIUMPH_FEATHER",IF(C484=TRUE,F484,0),0)/100)*(1+IF(C495=TRUE,F495,0)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476)</f>
        <v/>
      </c>
      <c r="L476">
        <f>K476*(MIN((Inputs!$B$23+1)+(F490-Calc!F22),(Inputs!$B$24+IF(ArtifactsInput!$M$15,CHOOSE(ArtifactsInput!$N$15+1,25,30,35,40,45,50)/100*(Inputs!$B$12-Inputs!$B$12),0)))/100+(Inputs!$B$24+IF(ArtifactsInput!$M$15,CHOOSE(ArtifactsInput!$N$15+1,25,30,35,40,45,50)/100*(Inputs!$B$12-Inputs!$B$12),0))/100)/2</f>
        <v/>
      </c>
      <c r="M476">
        <f>L476*(1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6">
        <f>L476*(1-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(1-Summary!$B$11)*S476+Summary!$B$11*U476</f>
        <v/>
      </c>
      <c r="P476">
        <f>IF(B510=0,0,O476/B510)</f>
        <v/>
      </c>
      <c r="Q476">
        <f>IFERROR(1/(IF(Inputs!$B$39="pvp",15,MAX(0.1,Skills!D8-IF(Skills!E8=TRUE,Inputs!$B$33,0)))*(1-IF(AND(ArtifactsInput!$M$27,Inputs!$B$4="Chapter Hunt"),CHOOSE(ArtifactsInput!$N$27+1,20,24,28,32,36,40),0)/100)),0)</f>
        <v/>
      </c>
      <c r="R476">
        <f>IF(AND(Inputs!$B$39&lt;&gt;"pvp",Inputs!$B$44&gt;0),IF(MAX(0,Inputs!$B$44-B507)&lt;=0,0,(INT(MAX(0,Inputs!$B$44-B507)/(IF(Inputs!$B$39="pvp",15,MAX(0.1,Skills!D8-IF(Skills!E8=TRUE,Inputs!$B$33,0)))*(1-IF(AND(ArtifactsInput!$M$27,Inputs!$B$4="Chapter Hunt"),CHOOSE(ArtifactsInput!$N$27+1,20,24,28,32,36,40),0)/100)))+1)),0)</f>
        <v/>
      </c>
      <c r="S476">
        <f>IF(C476,(H476*N476*IF(AND(Inputs!$B$39&lt;&gt;"pvp",Inputs!$B$44&gt;0),((Skills!F8*((R476-1)*IF(Skills!G8&gt;0,Skills!H8/Skills!G8,1)+IF(Skills!G8&gt;0,MIN(Skills!H8,MAX(0,MAX(0,Inputs!$B$44-B507)-((R476-1)*(IF(Inputs!$B$39="pvp",15,MAX(0.1,Skills!D8-IF(Skills!E8=TRUE,Inputs!$B$33,0)))*(1-IF(AND(ArtifactsInput!$M$27,Inputs!$B$4="Chapter Hunt"),CHOOSE(ArtifactsInput!$N$27+1,20,24,28,32,36,40),0)/100)))))/Skills!G8,1)))/Inputs!$B$44),G476*Q476))*IF(Inputs!$B$39="pvp",1,1+(Inputs!$B$21+Skills!O8+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476*(1-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6">
        <f>IF(C476,(H476*N476*IF(AND(Inputs!$B$39&lt;&gt;"pvp",Inputs!$B$44&gt;0),((Skills!F8*((R476-1)*IF(Skills!G8&gt;0,Skills!H8/Skills!G8,1)+IF(Skills!G8&gt;0,MIN(Skills!H8,MAX(0,MAX(0,Inputs!$B$44-B507)-((R476-1)*(IF(Inputs!$B$39="pvp",15,MAX(0.1,Skills!D8-IF(Skills!E8=TRUE,Inputs!$B$33,0)))*(1-IF(AND(ArtifactsInput!$M$27,Inputs!$B$4="Chapter Hunt"),CHOOSE(ArtifactsInput!$N$27+1,20,24,28,32,36,40),0)/100)))))/Skills!G8,1)))/Inputs!$B$44),G476*Q476))*IF(Inputs!$B$39="pvp",1,(1+(Inputs!$B$22+Skills!P8+B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Skills!A9</f>
        <v/>
      </c>
      <c r="B477">
        <f>Skills!B9</f>
        <v/>
      </c>
      <c r="C477">
        <f>Inputs!$B$3&gt;=115</f>
        <v/>
      </c>
      <c r="D477">
        <f>IF(Skills!C9=1,60+Inputs!$B$26+Inputs!$B$30,IF(Skills!C9=2,90+Inputs!$B$27+Inputs!$B$30,IF(Skills!C9=3,120+Inputs!$B$28+Inputs!$B$30,MAX(0,(Inputs!$B$3-100)*3)+Inputs!$B$29+Inputs!$B$30)))</f>
        <v/>
      </c>
      <c r="E477">
        <f>INDEX(FactorTable!$B$2:$Y$301, MATCH(ROUND(MIN(300,MAX(1,D477)),0), FactorTable!$A$2:$A$301,0), Skills!L9+1)</f>
        <v/>
      </c>
      <c r="F477">
        <f>IF(Skills!M9=TRUE,(Skills!K9/10)*(E477/1000),Skills!K9/10)+Skills!N9</f>
        <v/>
      </c>
      <c r="G477">
        <f>Calc!G9</f>
        <v/>
      </c>
      <c r="H477">
        <f>Calc!H9</f>
        <v/>
      </c>
      <c r="I477">
        <f>IF(Skills!T9&lt;&gt;"",1+(Skills!T9/10)*($Z$3/1000)/100,1)</f>
        <v/>
      </c>
      <c r="J477">
        <f>((Inputs!$B$6*(1+Inputs!$B$7/100))+(((Inputs!$B$13*(1+Inputs!$B$14/100))-(Inputs!$B$13*(1+Inputs!$B$14/100)))+0.25*(Inputs!$B$15-Inputs!$B$15))*(1+Inputs!$B$7/100))*(F477/100)</f>
        <v/>
      </c>
      <c r="K477">
        <f>J477*(1+(((Inputs!$B$13+IF(Inputs!$B$3&gt;=35,(10*INDEX(FactorTable!$B$2:$Y$301,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9="TRIUMPH_FEATHER",IF(C484=TRUE,F484,0),0)/100)*(1+IF(C495=TRUE,F495,0)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477)</f>
        <v/>
      </c>
      <c r="L477">
        <f>K477*(MIN((Inputs!$B$23+1)+(F490-Calc!F22),(Inputs!$B$24+IF(ArtifactsInput!$M$15,CHOOSE(ArtifactsInput!$N$15+1,25,30,35,40,45,50)/100*(Inputs!$B$12-Inputs!$B$12),0)))/100+(Inputs!$B$24+IF(ArtifactsInput!$M$15,CHOOSE(ArtifactsInput!$N$15+1,25,30,35,40,45,50)/100*(Inputs!$B$12-Inputs!$B$12),0))/100)/2</f>
        <v/>
      </c>
      <c r="M477">
        <f>L477*(1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7">
        <f>L477*(1-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(1-Summary!$B$11)*S477+Summary!$B$11*U477</f>
        <v/>
      </c>
      <c r="P477">
        <f>IF(B510=0,0,O477/B510)</f>
        <v/>
      </c>
      <c r="Q477">
        <f>IFERROR(1/(IF(Inputs!$B$39="pvp",15,MAX(0.1,Skills!D9-IF(Skills!E9=TRUE,Inputs!$B$33,0)))*(1-IF(AND(ArtifactsInput!$M$27,Inputs!$B$4="Chapter Hunt"),CHOOSE(ArtifactsInput!$N$27+1,20,24,28,32,36,40),0)/100)),0)</f>
        <v/>
      </c>
      <c r="R477">
        <f>IF(AND(Inputs!$B$39&lt;&gt;"pvp",Inputs!$B$44&gt;0),IF(MAX(0,Inputs!$B$44-B507)&lt;=0,0,(INT(MAX(0,Inputs!$B$44-B507)/(IF(Inputs!$B$39="pvp",15,MAX(0.1,Skills!D9-IF(Skills!E9=TRUE,Inputs!$B$33,0)))*(1-IF(AND(ArtifactsInput!$M$27,Inputs!$B$4="Chapter Hunt"),CHOOSE(ArtifactsInput!$N$27+1,20,24,28,32,36,40),0)/100)))+1)),0)</f>
        <v/>
      </c>
      <c r="S477">
        <f>IF(C477,(H477*N477*IF(AND(Inputs!$B$39&lt;&gt;"pvp",Inputs!$B$44&gt;0),((Skills!F9*((R477-1)*IF(Skills!G9&gt;0,Skills!H9/Skills!G9,1)+IF(Skills!G9&gt;0,MIN(Skills!H9,MAX(0,MAX(0,Inputs!$B$44-B507)-((R477-1)*(IF(Inputs!$B$39="pvp",15,MAX(0.1,Skills!D9-IF(Skills!E9=TRUE,Inputs!$B$33,0)))*(1-IF(AND(ArtifactsInput!$M$27,Inputs!$B$4="Chapter Hunt"),CHOOSE(ArtifactsInput!$N$27+1,20,24,28,32,36,40),0)/100)))))/Skills!G9,1)))/Inputs!$B$44),G477*Q477))*IF(Inputs!$B$39="pvp",1,1+(Inputs!$B$21+Skills!O9+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477*(1-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7">
        <f>IF(C477,(H477*N477*IF(AND(Inputs!$B$39&lt;&gt;"pvp",Inputs!$B$44&gt;0),((Skills!F9*((R477-1)*IF(Skills!G9&gt;0,Skills!H9/Skills!G9,1)+IF(Skills!G9&gt;0,MIN(Skills!H9,MAX(0,MAX(0,Inputs!$B$44-B507)-((R477-1)*(IF(Inputs!$B$39="pvp",15,MAX(0.1,Skills!D9-IF(Skills!E9=TRUE,Inputs!$B$33,0)))*(1-IF(AND(ArtifactsInput!$M$27,Inputs!$B$4="Chapter Hunt"),CHOOSE(ArtifactsInput!$N$27+1,20,24,28,32,36,40),0)/100)))))/Skills!G9,1)))/Inputs!$B$44),G477*Q477))*IF(Inputs!$B$39="pvp",1,(1+(Inputs!$B$22+Skills!P9+B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Skills!A10</f>
        <v/>
      </c>
      <c r="B478">
        <f>Skills!B10</f>
        <v/>
      </c>
      <c r="C478">
        <f>Inputs!$B$3&gt;=66</f>
        <v/>
      </c>
      <c r="D478">
        <f>IF(Skills!C10=1,60+Inputs!$B$26+Inputs!$B$30,IF(Skills!C10=2,90+Inputs!$B$27+Inputs!$B$30,IF(Skills!C10=3,120+Inputs!$B$28+Inputs!$B$30,MAX(0,(Inputs!$B$3-100)*3)+Inputs!$B$29+Inputs!$B$30)))</f>
        <v/>
      </c>
      <c r="E478">
        <f>INDEX(FactorTable!$B$2:$Y$301, MATCH(ROUND(MIN(300,MAX(1,D478)),0), FactorTable!$A$2:$A$301,0), Skills!L10+1)</f>
        <v/>
      </c>
      <c r="F478" t="n">
        <v>0</v>
      </c>
      <c r="G478">
        <f>Calc!G10</f>
        <v/>
      </c>
      <c r="H478">
        <f>Calc!H10</f>
        <v/>
      </c>
      <c r="I478">
        <f>IF(Skills!T10&lt;&gt;"",1+(Skills!T10/10)*($Z$3/1000)/100,1)</f>
        <v/>
      </c>
      <c r="J478" t="inlineStr"/>
      <c r="K478" t="inlineStr"/>
      <c r="L478" t="inlineStr"/>
      <c r="M478" t="inlineStr"/>
      <c r="N478" t="inlineStr"/>
      <c r="O478">
        <f>(1-Summary!$B$11)*S478+Summary!$B$11*U478</f>
        <v/>
      </c>
      <c r="P478">
        <f>IF(B510=0,0,O478/B510)</f>
        <v/>
      </c>
      <c r="Q478">
        <f>IFERROR(1/(IF(Inputs!$B$39="pvp",15,MAX(0.1,Skills!D10-IF(Skills!E10=TRUE,Inputs!$B$33,0)))*(1-IF(AND(ArtifactsInput!$M$27,Inputs!$B$4="Chapter Hunt"),CHOOSE(ArtifactsInput!$N$27+1,20,24,28,32,36,40),0)/100)),0)</f>
        <v/>
      </c>
      <c r="R478">
        <f>IF(AND(Inputs!$B$39&lt;&gt;"pvp",Inputs!$B$44&gt;0),IF(MAX(0,Inputs!$B$44-B507)&lt;=0,0,(INT(MAX(0,Inputs!$B$44-B507)/(IF(Inputs!$B$39="pvp",15,MAX(0.1,Skills!D10-IF(Skills!E10=TRUE,Inputs!$B$33,0)))*(1-IF(AND(ArtifactsInput!$M$27,Inputs!$B$4="Chapter Hunt"),CHOOSE(ArtifactsInput!$N$27+1,20,24,28,32,36,40),0)/100)))+1)),0)</f>
        <v/>
      </c>
      <c r="S478" t="n">
        <v>0</v>
      </c>
      <c r="U478" t="n">
        <v>0</v>
      </c>
    </row>
    <row r="479">
      <c r="A479">
        <f>Skills!A11</f>
        <v/>
      </c>
      <c r="B479">
        <f>Skills!B11</f>
        <v/>
      </c>
      <c r="C479">
        <f>Inputs!$B$3&gt;=69</f>
        <v/>
      </c>
      <c r="D479">
        <f>IF(Skills!C11=1,60+Inputs!$B$26+Inputs!$B$30,IF(Skills!C11=2,90+Inputs!$B$27+Inputs!$B$30,IF(Skills!C11=3,120+Inputs!$B$28+Inputs!$B$30,MAX(0,(Inputs!$B$3-100)*3)+Inputs!$B$29+Inputs!$B$30)))</f>
        <v/>
      </c>
      <c r="E479">
        <f>INDEX(FactorTable!$B$2:$Y$301, MATCH(ROUND(MIN(300,MAX(1,D479)),0), FactorTable!$A$2:$A$301,0), Skills!L11+1)</f>
        <v/>
      </c>
      <c r="F479">
        <f>IF(Skills!M11=TRUE,(Skills!K11/10)*(E479/1000),Skills!K11/10)+Skills!N11</f>
        <v/>
      </c>
      <c r="G479">
        <f>Calc!G11</f>
        <v/>
      </c>
      <c r="H479">
        <f>Calc!H11</f>
        <v/>
      </c>
      <c r="I479">
        <f>IF(Skills!T11&lt;&gt;"",1+(Skills!T11/10)*($Z$3/1000)/100,1)</f>
        <v/>
      </c>
      <c r="J479" t="inlineStr"/>
      <c r="K479" t="inlineStr"/>
      <c r="L479" t="inlineStr"/>
      <c r="M479" t="inlineStr"/>
      <c r="N479" t="inlineStr"/>
      <c r="O479">
        <f>(1-Summary!$B$11)*S479+Summary!$B$11*U479</f>
        <v/>
      </c>
      <c r="P479">
        <f>IF(B510=0,0,O479/B510)</f>
        <v/>
      </c>
      <c r="Q479">
        <f>IFERROR(1/(IF(Inputs!$B$39="pvp",15,MAX(0.1,Skills!D11-IF(Skills!E11=TRUE,Inputs!$B$33,0)))*(1-IF(AND(ArtifactsInput!$M$27,Inputs!$B$4="Chapter Hunt"),CHOOSE(ArtifactsInput!$N$27+1,20,24,28,32,36,40),0)/100)),0)</f>
        <v/>
      </c>
      <c r="R479">
        <f>IF(AND(Inputs!$B$39&lt;&gt;"pvp",Inputs!$B$44&gt;0),IF(Inputs!$B$44&lt;=0,0,(INT(Inputs!$B$44/(IF(Inputs!$B$39="pvp",15,MAX(0.1,Skills!D11-IF(Skills!E11=TRUE,Inputs!$B$33,0)))*(1-IF(AND(ArtifactsInput!$M$27,Inputs!$B$4="Chapter Hunt"),CHOOSE(ArtifactsInput!$N$27+1,20,24,28,32,36,40),0)/100)))+1)),0)</f>
        <v/>
      </c>
      <c r="S479" t="n">
        <v>0</v>
      </c>
      <c r="U479" t="n">
        <v>0</v>
      </c>
    </row>
    <row r="480">
      <c r="A480">
        <f>Skills!A12</f>
        <v/>
      </c>
      <c r="B480">
        <f>Skills!B12</f>
        <v/>
      </c>
      <c r="C480">
        <f>Inputs!$B$3&gt;=72</f>
        <v/>
      </c>
      <c r="D480">
        <f>IF(Skills!C12=1,60+Inputs!$B$26+Inputs!$B$30,IF(Skills!C12=2,90+Inputs!$B$27+Inputs!$B$30,IF(Skills!C12=3,120+Inputs!$B$28+Inputs!$B$30,MAX(0,(Inputs!$B$3-100)*3)+Inputs!$B$29+Inputs!$B$30)))</f>
        <v/>
      </c>
      <c r="E480">
        <f>INDEX(FactorTable!$B$2:$Y$301, MATCH(ROUND(MIN(300,MAX(1,D480)),0), FactorTable!$A$2:$A$301,0), Skills!L12+1)</f>
        <v/>
      </c>
      <c r="F480">
        <f>IF(Skills!M12=TRUE,(Skills!K12/10)*(E480/1000),Skills!K12/10)+Skills!N12</f>
        <v/>
      </c>
      <c r="G480">
        <f>Calc!G12</f>
        <v/>
      </c>
      <c r="H480">
        <f>Calc!H12</f>
        <v/>
      </c>
      <c r="I480">
        <f>IF(Skills!T12&lt;&gt;"",1+(Skills!T12/10)*($Z$3/1000)/100,1)</f>
        <v/>
      </c>
      <c r="J480" t="inlineStr"/>
      <c r="K480" t="inlineStr"/>
      <c r="L480" t="inlineStr"/>
      <c r="M480" t="inlineStr"/>
      <c r="N480" t="inlineStr"/>
      <c r="O480">
        <f>(1-Summary!$B$11)*S480+Summary!$B$11*U480</f>
        <v/>
      </c>
      <c r="P480">
        <f>IF(B510=0,0,O480/B510)</f>
        <v/>
      </c>
      <c r="Q480">
        <f>IFERROR(1/(IF(Inputs!$B$39="pvp",15,MAX(0.1,Skills!D12-IF(Skills!E12=TRUE,Inputs!$B$33,0)))*(1-IF(AND(ArtifactsInput!$M$27,Inputs!$B$4="Chapter Hunt"),CHOOSE(ArtifactsInput!$N$27+1,20,24,28,32,36,40),0)/100)),0)</f>
        <v/>
      </c>
      <c r="R480">
        <f>IF(AND(Inputs!$B$39&lt;&gt;"pvp",Inputs!$B$44&gt;0),IF(MAX(0,Inputs!$B$44-B507)&lt;=0,0,(INT(MAX(0,Inputs!$B$44-B507)/(IF(Inputs!$B$39="pvp",15,MAX(0.1,Skills!D12-IF(Skills!E12=TRUE,Inputs!$B$33,0)))*(1-IF(AND(ArtifactsInput!$M$27,Inputs!$B$4="Chapter Hunt"),CHOOSE(ArtifactsInput!$N$27+1,20,24,28,32,36,40),0)/100)))+1)),0)</f>
        <v/>
      </c>
      <c r="S480" t="n">
        <v>0</v>
      </c>
      <c r="U480" t="n">
        <v>0</v>
      </c>
    </row>
    <row r="481">
      <c r="A481">
        <f>Skills!A13</f>
        <v/>
      </c>
      <c r="B481">
        <f>Skills!B13</f>
        <v/>
      </c>
      <c r="C481">
        <f>Inputs!$B$3&gt;=60</f>
        <v/>
      </c>
      <c r="D481">
        <f>IF(Skills!C13=1,60+Inputs!$B$26+Inputs!$B$30,IF(Skills!C13=2,90+Inputs!$B$27+Inputs!$B$30,IF(Skills!C13=3,120+Inputs!$B$28+Inputs!$B$30,MAX(0,(Inputs!$B$3-100)*3)+Inputs!$B$29+Inputs!$B$30)))</f>
        <v/>
      </c>
      <c r="E481">
        <f>INDEX(FactorTable!$B$2:$Y$301, MATCH(ROUND(MIN(300,MAX(1,D481)),0), FactorTable!$A$2:$A$301,0), Skills!L13+1)</f>
        <v/>
      </c>
      <c r="F481">
        <f>IF(Skills!M13=TRUE,(Skills!K13/10)*(E481/1000),Skills!K13/10)+Skills!N13</f>
        <v/>
      </c>
      <c r="G481">
        <f>Calc!G13</f>
        <v/>
      </c>
      <c r="H481">
        <f>Calc!H13</f>
        <v/>
      </c>
      <c r="I481">
        <f>IF(Skills!T13&lt;&gt;"",1+(Skills!T13/10)*($Z$3/1000)/100,1)</f>
        <v/>
      </c>
      <c r="J481" t="inlineStr"/>
      <c r="K481" t="inlineStr"/>
      <c r="L481" t="inlineStr"/>
      <c r="M481" t="inlineStr"/>
      <c r="N481" t="inlineStr"/>
      <c r="O481">
        <f>(1-Summary!$B$11)*S481+Summary!$B$11*U481</f>
        <v/>
      </c>
      <c r="P481">
        <f>IF(B510=0,0,O481/B510)</f>
        <v/>
      </c>
      <c r="Q481">
        <f>IFERROR(1/(IF(Inputs!$B$39="pvp",15,MAX(0.1,Skills!D13-IF(Skills!E13=TRUE,Inputs!$B$33,0)))*(1-IF(AND(ArtifactsInput!$M$27,Inputs!$B$4="Chapter Hunt"),CHOOSE(ArtifactsInput!$N$27+1,20,24,28,32,36,40),0)/100)),0)</f>
        <v/>
      </c>
      <c r="R481">
        <f>IF(AND(Inputs!$B$39&lt;&gt;"pvp",Inputs!$B$44&gt;0),IF(MAX(0,Inputs!$B$44-B507)&lt;=0,0,(INT(MAX(0,Inputs!$B$44-B507)/(IF(Inputs!$B$39="pvp",15,MAX(0.1,Skills!D13-IF(Skills!E13=TRUE,Inputs!$B$33,0)))*(1-IF(AND(ArtifactsInput!$M$27,Inputs!$B$4="Chapter Hunt"),CHOOSE(ArtifactsInput!$N$27+1,20,24,28,32,36,40),0)/100)))+1)),0)</f>
        <v/>
      </c>
      <c r="S481" t="n">
        <v>0</v>
      </c>
      <c r="U481" t="n">
        <v>0</v>
      </c>
    </row>
    <row r="482">
      <c r="A482">
        <f>Skills!A14</f>
        <v/>
      </c>
      <c r="B482">
        <f>Skills!B14</f>
        <v/>
      </c>
      <c r="C482">
        <f>Inputs!$B$3&gt;=107</f>
        <v/>
      </c>
      <c r="D482">
        <f>IF(Skills!C14=1,60+Inputs!$B$26+Inputs!$B$30,IF(Skills!C14=2,90+Inputs!$B$27+Inputs!$B$30,IF(Skills!C14=3,120+Inputs!$B$28+Inputs!$B$30,MAX(0,(Inputs!$B$3-100)*3)+Inputs!$B$29+Inputs!$B$30)))</f>
        <v/>
      </c>
      <c r="E482">
        <f>INDEX(FactorTable!$B$2:$Y$301, MATCH(ROUND(MIN(300,MAX(1,D482)),0), FactorTable!$A$2:$A$301,0), Skills!L14+1)</f>
        <v/>
      </c>
      <c r="F482">
        <f>IF(Skills!M14=TRUE,(Skills!K14/10)*(E482/1000),Skills!K14/10)+Skills!N14</f>
        <v/>
      </c>
      <c r="G482">
        <f>Calc!G14</f>
        <v/>
      </c>
      <c r="H482">
        <f>Calc!H14</f>
        <v/>
      </c>
      <c r="I482">
        <f>IF(Skills!T14&lt;&gt;"",1+(Skills!T14/10)*($Z$3/1000)/100,1)</f>
        <v/>
      </c>
      <c r="J482" t="inlineStr"/>
      <c r="K482" t="inlineStr"/>
      <c r="L482" t="inlineStr"/>
      <c r="M482" t="inlineStr"/>
      <c r="N482" t="inlineStr"/>
      <c r="O482">
        <f>(1-Summary!$B$11)*S482+Summary!$B$11*U482</f>
        <v/>
      </c>
      <c r="P482">
        <f>IF(B510=0,0,O482/B510)</f>
        <v/>
      </c>
      <c r="Q482">
        <f>IFERROR(1/(IF(Inputs!$B$39="pvp",15,MAX(0.1,Skills!D14-IF(Skills!E14=TRUE,Inputs!$B$33,0)))*(1-IF(AND(ArtifactsInput!$M$27,Inputs!$B$4="Chapter Hunt"),CHOOSE(ArtifactsInput!$N$27+1,20,24,28,32,36,40),0)/100)),0)</f>
        <v/>
      </c>
      <c r="R482">
        <f>IF(AND(Inputs!$B$39&lt;&gt;"pvp",Inputs!$B$44&gt;0),IF(Inputs!$B$44&lt;=0,0,(INT(Inputs!$B$44/(IF(Inputs!$B$39="pvp",15,MAX(0.1,Skills!D14-IF(Skills!E14=TRUE,Inputs!$B$33,0)))*(1-IF(AND(ArtifactsInput!$M$27,Inputs!$B$4="Chapter Hunt"),CHOOSE(ArtifactsInput!$N$27+1,20,24,28,32,36,40),0)/100)))+1)),0)</f>
        <v/>
      </c>
      <c r="S482" t="n">
        <v>0</v>
      </c>
      <c r="U482" t="n">
        <v>0</v>
      </c>
    </row>
    <row r="483">
      <c r="A483">
        <f>Skills!A15</f>
        <v/>
      </c>
      <c r="B483">
        <f>Skills!B15</f>
        <v/>
      </c>
      <c r="C483">
        <f>Inputs!$B$3&gt;=63</f>
        <v/>
      </c>
      <c r="D483">
        <f>IF(Skills!C15=1,60+Inputs!$B$26+Inputs!$B$30,IF(Skills!C15=2,90+Inputs!$B$27+Inputs!$B$30,IF(Skills!C15=3,120+Inputs!$B$28+Inputs!$B$30,MAX(0,(Inputs!$B$3-100)*3)+Inputs!$B$29+Inputs!$B$30)))</f>
        <v/>
      </c>
      <c r="E483">
        <f>INDEX(FactorTable!$B$2:$Y$301, MATCH(ROUND(MIN(300,MAX(1,D483)),0), FactorTable!$A$2:$A$301,0), Skills!L15+1)</f>
        <v/>
      </c>
      <c r="F483">
        <f>IF(Skills!M15=TRUE,(Skills!K15/10)*(E483/1000),Skills!K15/10)+Skills!N15</f>
        <v/>
      </c>
      <c r="G483">
        <f>Calc!G15</f>
        <v/>
      </c>
      <c r="H483">
        <f>Calc!H15</f>
        <v/>
      </c>
      <c r="I483">
        <f>IF(Skills!T15&lt;&gt;"",1+(Skills!T15/10)*($Z$3/1000)/100,1)</f>
        <v/>
      </c>
      <c r="J483">
        <f>((Inputs!$B$6*(1+Inputs!$B$7/100))+(((Inputs!$B$13*(1+Inputs!$B$14/100))-(Inputs!$B$13*(1+Inputs!$B$14/100)))+0.25*(Inputs!$B$15-Inputs!$B$15))*(1+Inputs!$B$7/100))*(F483/100)</f>
        <v/>
      </c>
      <c r="K483">
        <f>J483*(1+(((Inputs!$B$13+IF(Inputs!$B$3&gt;=35,(10*INDEX(FactorTable!$B$2:$Y$301,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15="TRIUMPH_FEATHER",IF(C484=TRUE,F484,0),0)/100)*(1+IF(C495=TRUE,F495,0)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483)</f>
        <v/>
      </c>
      <c r="L483">
        <f>K483*(MIN((Inputs!$B$23+1)+(F490-Calc!F22),(Inputs!$B$24+IF(ArtifactsInput!$M$15,CHOOSE(ArtifactsInput!$N$15+1,25,30,35,40,45,50)/100*(Inputs!$B$12-Inputs!$B$12),0)))/100+(Inputs!$B$24+IF(ArtifactsInput!$M$15,CHOOSE(ArtifactsInput!$N$15+1,25,30,35,40,45,50)/100*(Inputs!$B$12-Inputs!$B$12),0))/100)/2</f>
        <v/>
      </c>
      <c r="M483">
        <f>L483*(1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IF(B510=0,0,O483/B510)</f>
        <v/>
      </c>
      <c r="Q483">
        <f>IFERROR(1/(IF(Inputs!$B$39="pvp",15,MAX(0.1,Skills!D15-IF(Skills!E15=TRUE,Inputs!$B$33,0)))*(1-IF(AND(ArtifactsInput!$M$27,Inputs!$B$4="Chapter Hunt"),CHOOSE(ArtifactsInput!$N$27+1,20,24,28,32,36,40),0)/100)),0)</f>
        <v/>
      </c>
      <c r="R483" t="n">
        <v>0</v>
      </c>
      <c r="S483">
        <f>IF(C483,(Skills!F15*N483*((IF(Inputs!$B$3&gt;=78,25,15)/100*B503*10)/(1+IF(Inputs!$B$3&gt;=78,25,15)/100*B503*10))*(Skills!I15/100*B503)/(1+Skills!G15*Skills!I15/100*B503))*IF(Inputs!$B$39="pvp",1,1+(Inputs!$B$21+Skills!O15+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Skills!F15*N483*((IF(Inputs!$B$3&gt;=78,25,15)/100*B503*10)/(1+IF(Inputs!$B$3&gt;=78,25,15)/100*B503*10))*(Skills!I15/100*B503)/(1+Skills!G15*Skills!I15/100*B503))*IF(Inputs!$B$39="pvp",1,(1+(Inputs!$B$22+Skills!P15+B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Skills!A16</f>
        <v/>
      </c>
      <c r="B484">
        <f>Skills!B16</f>
        <v/>
      </c>
      <c r="C484">
        <f>Inputs!$B$3&gt;=100</f>
        <v/>
      </c>
      <c r="D484">
        <f>IF(Skills!C16=1,60+Inputs!$B$26+Inputs!$B$30,IF(Skills!C16=2,90+Inputs!$B$27+Inputs!$B$30,IF(Skills!C16=3,120+Inputs!$B$28+Inputs!$B$30,MAX(0,(Inputs!$B$3-100)*3)+Inputs!$B$29+Inputs!$B$30)))</f>
        <v/>
      </c>
      <c r="E484">
        <f>INDEX(FactorTable!$B$2:$Y$301, MATCH(ROUND(MIN(300,MAX(1,D484)),0), FactorTable!$A$2:$A$301,0), Skills!L16+1)</f>
        <v/>
      </c>
      <c r="F484">
        <f>IF(Skills!M16=TRUE,(Skills!K16/10)*(E484/1000),Skills!K16/10)+Skills!N16</f>
        <v/>
      </c>
      <c r="G484">
        <f>Calc!G16</f>
        <v/>
      </c>
      <c r="H484">
        <f>Calc!H16</f>
        <v/>
      </c>
      <c r="I484">
        <f>IF(Skills!T16&lt;&gt;"",1+(Skills!T16/10)*($Z$3/1000)/100,1)</f>
        <v/>
      </c>
      <c r="J484" t="inlineStr"/>
      <c r="K484" t="inlineStr"/>
      <c r="L484" t="inlineStr"/>
      <c r="M484" t="inlineStr"/>
      <c r="N484" t="inlineStr"/>
      <c r="O484">
        <f>(1-Summary!$B$11)*S484+Summary!$B$11*U484</f>
        <v/>
      </c>
      <c r="P484">
        <f>IF(B510=0,0,O484/B510)</f>
        <v/>
      </c>
      <c r="Q484">
        <f>IFERROR(1/(IF(Inputs!$B$39="pvp",15,MAX(0.1,Skills!D16-IF(Skills!E16=TRUE,Inputs!$B$33,0)))*(1-IF(AND(ArtifactsInput!$M$27,Inputs!$B$4="Chapter Hunt"),CHOOSE(ArtifactsInput!$N$27+1,20,24,28,32,36,40),0)/100)),0)</f>
        <v/>
      </c>
      <c r="R484" t="n">
        <v>0</v>
      </c>
      <c r="S484" t="n">
        <v>0</v>
      </c>
      <c r="U484" t="n">
        <v>0</v>
      </c>
    </row>
    <row r="485">
      <c r="A485">
        <f>Skills!A17</f>
        <v/>
      </c>
      <c r="B485">
        <f>Skills!B17</f>
        <v/>
      </c>
      <c r="C485">
        <f>Inputs!$B$3&gt;=49</f>
        <v/>
      </c>
      <c r="D485">
        <f>IF(Skills!C17=1,60+Inputs!$B$26+Inputs!$B$30,IF(Skills!C17=2,90+Inputs!$B$27+Inputs!$B$30,IF(Skills!C17=3,120+Inputs!$B$28+Inputs!$B$30,MAX(0,(Inputs!$B$3-100)*3)+Inputs!$B$29+Inputs!$B$30)))</f>
        <v/>
      </c>
      <c r="E485">
        <f>INDEX(FactorTable!$B$2:$Y$301, MATCH(ROUND(MIN(300,MAX(1,D485)),0), FactorTable!$A$2:$A$301,0), Skills!L17+1)</f>
        <v/>
      </c>
      <c r="F485">
        <f>IF(Skills!M17=TRUE,(Skills!K17/10)*(E485/1000),Skills!K17/10)+Skills!N17</f>
        <v/>
      </c>
      <c r="G485">
        <f>Calc!G17</f>
        <v/>
      </c>
      <c r="H485">
        <f>Calc!H17</f>
        <v/>
      </c>
      <c r="I485">
        <f>IF(Skills!T17&lt;&gt;"",1+(Skills!T17/10)*($Z$3/1000)/100,1)</f>
        <v/>
      </c>
      <c r="J485" t="inlineStr"/>
      <c r="K485" t="inlineStr"/>
      <c r="L485" t="inlineStr"/>
      <c r="M485" t="inlineStr"/>
      <c r="N485" t="inlineStr"/>
      <c r="O485">
        <f>(1-Summary!$B$11)*S485+Summary!$B$11*U485</f>
        <v/>
      </c>
      <c r="P485">
        <f>IF(B510=0,0,O485/B510)</f>
        <v/>
      </c>
      <c r="Q485">
        <f>IFERROR(1/(IF(Inputs!$B$39="pvp",15,MAX(0.1,Skills!D17-IF(Skills!E17=TRUE,Inputs!$B$33,0)))*(1-IF(AND(ArtifactsInput!$M$27,Inputs!$B$4="Chapter Hunt"),CHOOSE(ArtifactsInput!$N$27+1,20,24,28,32,36,40),0)/100)),0)</f>
        <v/>
      </c>
      <c r="R485" t="n">
        <v>0</v>
      </c>
      <c r="S485" t="n">
        <v>0</v>
      </c>
      <c r="U485" t="n">
        <v>0</v>
      </c>
    </row>
    <row r="486">
      <c r="A486">
        <f>Skills!A18</f>
        <v/>
      </c>
      <c r="B486">
        <f>Skills!B18</f>
        <v/>
      </c>
      <c r="C486">
        <f>Inputs!$B$3&gt;=75</f>
        <v/>
      </c>
      <c r="D486">
        <f>IF(Skills!C18=1,60+Inputs!$B$26+Inputs!$B$30,IF(Skills!C18=2,90+Inputs!$B$27+Inputs!$B$30,IF(Skills!C18=3,120+Inputs!$B$28+Inputs!$B$30,MAX(0,(Inputs!$B$3-100)*3)+Inputs!$B$29+Inputs!$B$30)))</f>
        <v/>
      </c>
      <c r="E486">
        <f>INDEX(FactorTable!$B$2:$Y$301, MATCH(ROUND(MIN(300,MAX(1,D486)),0), FactorTable!$A$2:$A$301,0), Skills!L18+1)</f>
        <v/>
      </c>
      <c r="F486">
        <f>IF(Skills!M18=TRUE,(Skills!K18/10)*(E486/1000),Skills!K18/10)+Skills!N18</f>
        <v/>
      </c>
      <c r="G486">
        <f>Calc!G18</f>
        <v/>
      </c>
      <c r="H486">
        <f>Calc!H18</f>
        <v/>
      </c>
      <c r="I486">
        <f>IF(Skills!T18&lt;&gt;"",1+(Skills!T18/10)*($Z$3/1000)/100,1)</f>
        <v/>
      </c>
      <c r="J486" t="inlineStr"/>
      <c r="K486" t="inlineStr"/>
      <c r="L486" t="inlineStr"/>
      <c r="M486" t="inlineStr"/>
      <c r="N486" t="inlineStr"/>
      <c r="O486">
        <f>(1-Summary!$B$11)*S486+Summary!$B$11*U486</f>
        <v/>
      </c>
      <c r="P486">
        <f>IF(B510=0,0,O486/B510)</f>
        <v/>
      </c>
      <c r="Q486">
        <f>IFERROR(1/(IF(Inputs!$B$39="pvp",15,MAX(0.1,Skills!D18-IF(Skills!E18=TRUE,Inputs!$B$33,0)))*(1-IF(AND(ArtifactsInput!$M$27,Inputs!$B$4="Chapter Hunt"),CHOOSE(ArtifactsInput!$N$27+1,20,24,28,32,36,40),0)/100)),0)</f>
        <v/>
      </c>
      <c r="R486" t="n">
        <v>0</v>
      </c>
      <c r="S486" t="n">
        <v>0</v>
      </c>
      <c r="U486" t="n">
        <v>0</v>
      </c>
    </row>
    <row r="487">
      <c r="A487">
        <f>Skills!A19</f>
        <v/>
      </c>
      <c r="B487">
        <f>Skills!B19</f>
        <v/>
      </c>
      <c r="C487">
        <f>Inputs!$B$3&gt;=110</f>
        <v/>
      </c>
      <c r="D487">
        <f>IF(Skills!C19=1,60+Inputs!$B$26+Inputs!$B$30,IF(Skills!C19=2,90+Inputs!$B$27+Inputs!$B$30,IF(Skills!C19=3,120+Inputs!$B$28+Inputs!$B$30,MAX(0,(Inputs!$B$3-100)*3)+Inputs!$B$29+Inputs!$B$30)))</f>
        <v/>
      </c>
      <c r="E487">
        <f>INDEX(FactorTable!$B$2:$Y$301, MATCH(ROUND(MIN(300,MAX(1,D487)),0), FactorTable!$A$2:$A$301,0), Skills!L19+1)</f>
        <v/>
      </c>
      <c r="F487">
        <f>(Skills!K19/10)*(E487/1000)*64/45+Skills!N19</f>
        <v/>
      </c>
      <c r="G487">
        <f>Calc!G19</f>
        <v/>
      </c>
      <c r="H487">
        <f>Calc!H19</f>
        <v/>
      </c>
      <c r="I487">
        <f>IF(Skills!T19&lt;&gt;"",1+(Skills!T19/10)*($Z$3/1000)/100,1)</f>
        <v/>
      </c>
      <c r="J487" t="inlineStr"/>
      <c r="K487" t="inlineStr"/>
      <c r="L487" t="inlineStr"/>
      <c r="M487" t="inlineStr"/>
      <c r="N487" t="inlineStr"/>
      <c r="O487">
        <f>(1-Summary!$B$11)*S487+Summary!$B$11*U487</f>
        <v/>
      </c>
      <c r="P487">
        <f>IF(B510=0,0,O487/B510)</f>
        <v/>
      </c>
      <c r="Q487">
        <f>IFERROR(1/(IF(Inputs!$B$39="pvp",15,MAX(0.1,Skills!D19-IF(Skills!E19=TRUE,Inputs!$B$33,0)))*(1-IF(AND(ArtifactsInput!$M$27,Inputs!$B$4="Chapter Hunt"),CHOOSE(ArtifactsInput!$N$27+1,20,24,28,32,36,40),0)/100)),0)</f>
        <v/>
      </c>
      <c r="R487">
        <f>IF(AND(Inputs!$B$39&lt;&gt;"pvp",Inputs!$B$44&gt;0),IF(Inputs!$B$44&lt;=0,0,(INT(Inputs!$B$44/(IF(Inputs!$B$39="pvp",15,MAX(0.1,Skills!D19-IF(Skills!E19=TRUE,Inputs!$B$33,0)))*(1-IF(AND(ArtifactsInput!$M$27,Inputs!$B$4="Chapter Hunt"),CHOOSE(ArtifactsInput!$N$27+1,20,24,28,32,36,40),0)/100)))+1)),0)</f>
        <v/>
      </c>
      <c r="S487" t="n">
        <v>0</v>
      </c>
      <c r="U487" t="n">
        <v>0</v>
      </c>
    </row>
    <row r="488">
      <c r="A488">
        <f>Skills!A20</f>
        <v/>
      </c>
      <c r="B488">
        <f>Skills!B20</f>
        <v/>
      </c>
      <c r="C488">
        <f>Inputs!$B$3&gt;=125</f>
        <v/>
      </c>
      <c r="D488">
        <f>IF(Skills!C20=1,60+Inputs!$B$26+Inputs!$B$30,IF(Skills!C20=2,90+Inputs!$B$27+Inputs!$B$30,IF(Skills!C20=3,120+Inputs!$B$28+Inputs!$B$30,MAX(0,(Inputs!$B$3-100)*3)+Inputs!$B$29+Inputs!$B$30)))</f>
        <v/>
      </c>
      <c r="E488">
        <f>INDEX(FactorTable!$B$2:$Y$301, MATCH(ROUND(MIN(300,MAX(1,D488)),0), FactorTable!$A$2:$A$301,0), Skills!L20+1)</f>
        <v/>
      </c>
      <c r="F488">
        <f>IF(Skills!M20=TRUE,(Skills!K20/10)*(E488/1000),Skills!K20/10)+Skills!N20</f>
        <v/>
      </c>
      <c r="G488">
        <f>Calc!G20</f>
        <v/>
      </c>
      <c r="H488">
        <f>Calc!H20</f>
        <v/>
      </c>
      <c r="I488">
        <f>IF(Skills!T20&lt;&gt;"",1+(Skills!T20/10)*($Z$3/1000)/100,1)</f>
        <v/>
      </c>
      <c r="J488" t="inlineStr"/>
      <c r="K488" t="inlineStr"/>
      <c r="L488" t="inlineStr"/>
      <c r="M488" t="inlineStr"/>
      <c r="N488" t="inlineStr"/>
      <c r="O488">
        <f>(1-Summary!$B$11)*S488+Summary!$B$11*U488</f>
        <v/>
      </c>
      <c r="P488">
        <f>IF(B510=0,0,O488/B510)</f>
        <v/>
      </c>
      <c r="Q488">
        <f>IFERROR(1/(IF(Inputs!$B$39="pvp",15,MAX(0.1,Skills!D20-IF(Skills!E20=TRUE,Inputs!$B$33,0)))*(1-IF(AND(ArtifactsInput!$M$27,Inputs!$B$4="Chapter Hunt"),CHOOSE(ArtifactsInput!$N$27+1,20,24,28,32,36,40),0)/100)),0)</f>
        <v/>
      </c>
      <c r="R488" t="n">
        <v>0</v>
      </c>
      <c r="S488" t="n">
        <v>0</v>
      </c>
      <c r="U488" t="n">
        <v>0</v>
      </c>
    </row>
    <row r="489">
      <c r="A489">
        <f>Skills!A21</f>
        <v/>
      </c>
      <c r="B489">
        <f>Skills!B21</f>
        <v/>
      </c>
      <c r="C489">
        <f>Inputs!$B$3&gt;=33</f>
        <v/>
      </c>
      <c r="D489">
        <f>IF(Skills!C21=1,60+Inputs!$B$26+Inputs!$B$30,IF(Skills!C21=2,90+Inputs!$B$27+Inputs!$B$30,IF(Skills!C21=3,120+Inputs!$B$28+Inputs!$B$30,MAX(0,(Inputs!$B$3-100)*3)+Inputs!$B$29+Inputs!$B$30)))</f>
        <v/>
      </c>
      <c r="E489">
        <f>INDEX(FactorTable!$B$2:$Y$301, MATCH(ROUND(MIN(300,MAX(1,D489)),0), FactorTable!$A$2:$A$301,0), Skills!L21+1)</f>
        <v/>
      </c>
      <c r="F489">
        <f>IF(Skills!M21=TRUE,(Skills!K21/10)*(E489/1000),Skills!K21/10)+Skills!N21</f>
        <v/>
      </c>
      <c r="G489">
        <f>Calc!G21</f>
        <v/>
      </c>
      <c r="H489">
        <f>Calc!H21</f>
        <v/>
      </c>
      <c r="I489">
        <f>IF(Skills!T21&lt;&gt;"",1+(Skills!T21/10)*($Z$3/1000)/100,1)</f>
        <v/>
      </c>
      <c r="J489" t="inlineStr"/>
      <c r="K489" t="inlineStr"/>
      <c r="L489" t="inlineStr"/>
      <c r="M489" t="inlineStr"/>
      <c r="N489" t="inlineStr"/>
      <c r="O489">
        <f>(1-Summary!$B$11)*S489+Summary!$B$11*U489</f>
        <v/>
      </c>
      <c r="P489">
        <f>IF(B510=0,0,O489/B510)</f>
        <v/>
      </c>
      <c r="Q489">
        <f>IFERROR(1/(IF(Inputs!$B$39="pvp",15,MAX(0.1,Skills!D21-IF(Skills!E21=TRUE,Inputs!$B$33,0)))*(1-IF(AND(ArtifactsInput!$M$27,Inputs!$B$4="Chapter Hunt"),CHOOSE(ArtifactsInput!$N$27+1,20,24,28,32,36,40),0)/100)),0)</f>
        <v/>
      </c>
      <c r="R489" t="n">
        <v>0</v>
      </c>
      <c r="S489" t="n">
        <v>0</v>
      </c>
      <c r="U489" t="n">
        <v>0</v>
      </c>
    </row>
    <row r="490">
      <c r="A490">
        <f>Skills!A22</f>
        <v/>
      </c>
      <c r="B490">
        <f>Skills!B22</f>
        <v/>
      </c>
      <c r="C490">
        <f>Inputs!$B$3&gt;=43</f>
        <v/>
      </c>
      <c r="D490">
        <f>IF(Skills!C22=1,60+Inputs!$B$26+Inputs!$B$30,IF(Skills!C22=2,90+Inputs!$B$27+Inputs!$B$30,IF(Skills!C22=3,120+Inputs!$B$28+Inputs!$B$30,MAX(0,(Inputs!$B$3-100)*3)+Inputs!$B$29+Inputs!$B$30)))</f>
        <v/>
      </c>
      <c r="E490">
        <f>INDEX(FactorTable!$B$2:$Y$301, MATCH(ROUND(MIN(300,MAX(1,D490)),0), FactorTable!$A$2:$A$301,0), Skills!L22+1)</f>
        <v/>
      </c>
      <c r="F490">
        <f>IF(Skills!M22=TRUE,(Skills!K22/10)*(E490/1000),Skills!K22/10)+Skills!N22</f>
        <v/>
      </c>
      <c r="G490">
        <f>Calc!G22</f>
        <v/>
      </c>
      <c r="H490">
        <f>Calc!H22</f>
        <v/>
      </c>
      <c r="I490">
        <f>IF(Skills!T22&lt;&gt;"",1+(Skills!T22/10)*($Z$3/1000)/100,1)</f>
        <v/>
      </c>
      <c r="J490" t="inlineStr"/>
      <c r="K490" t="inlineStr"/>
      <c r="L490" t="inlineStr"/>
      <c r="M490" t="inlineStr"/>
      <c r="N490" t="inlineStr"/>
      <c r="O490">
        <f>(1-Summary!$B$11)*S490+Summary!$B$11*U490</f>
        <v/>
      </c>
      <c r="P490">
        <f>IF(B510=0,0,O490/B510)</f>
        <v/>
      </c>
      <c r="Q490">
        <f>IFERROR(1/(IF(Inputs!$B$39="pvp",15,MAX(0.1,Skills!D22-IF(Skills!E22=TRUE,Inputs!$B$33,0)))*(1-IF(AND(ArtifactsInput!$M$27,Inputs!$B$4="Chapter Hunt"),CHOOSE(ArtifactsInput!$N$27+1,20,24,28,32,36,40),0)/100)),0)</f>
        <v/>
      </c>
      <c r="R490" t="n">
        <v>0</v>
      </c>
      <c r="S490" t="n">
        <v>0</v>
      </c>
      <c r="U490" t="n">
        <v>0</v>
      </c>
    </row>
    <row r="491">
      <c r="A491">
        <f>Skills!A23</f>
        <v/>
      </c>
      <c r="B491">
        <f>Skills!B23</f>
        <v/>
      </c>
      <c r="C491">
        <f>Inputs!$B$3&gt;=50</f>
        <v/>
      </c>
      <c r="D491">
        <f>IF(Skills!C23=1,60+Inputs!$B$26+Inputs!$B$30,IF(Skills!C23=2,90+Inputs!$B$27+Inputs!$B$30,IF(Skills!C23=3,120+Inputs!$B$28+Inputs!$B$30,MAX(0,(Inputs!$B$3-100)*3)+Inputs!$B$29+Inputs!$B$30)))</f>
        <v/>
      </c>
      <c r="E491">
        <f>INDEX(FactorTable!$B$2:$Y$301, MATCH(ROUND(MIN(300,MAX(1,D491)),0), FactorTable!$A$2:$A$301,0), Skills!L23+1)</f>
        <v/>
      </c>
      <c r="F491">
        <f>IF(Skills!M23=TRUE,(Skills!K23/10)*(E491/1000),Skills!K23/10)+Skills!N23</f>
        <v/>
      </c>
      <c r="G491">
        <f>Calc!G23</f>
        <v/>
      </c>
      <c r="H491">
        <f>Calc!H23</f>
        <v/>
      </c>
      <c r="I491">
        <f>IF(Skills!T23&lt;&gt;"",1+(Skills!T23/10)*($Z$3/1000)/100,1)</f>
        <v/>
      </c>
      <c r="J491" t="inlineStr"/>
      <c r="K491" t="inlineStr"/>
      <c r="L491" t="inlineStr"/>
      <c r="M491" t="inlineStr"/>
      <c r="N491" t="inlineStr"/>
      <c r="O491">
        <f>(1-Summary!$B$11)*S491+Summary!$B$11*U491</f>
        <v/>
      </c>
      <c r="P491">
        <f>IF(B510=0,0,O491/B510)</f>
        <v/>
      </c>
      <c r="Q491">
        <f>IFERROR(1/(IF(Inputs!$B$39="pvp",15,MAX(0.1,Skills!D23-IF(Skills!E23=TRUE,Inputs!$B$33,0)))*(1-IF(AND(ArtifactsInput!$M$27,Inputs!$B$4="Chapter Hunt"),CHOOSE(ArtifactsInput!$N$27+1,20,24,28,32,36,40),0)/100)),0)</f>
        <v/>
      </c>
      <c r="R491" t="n">
        <v>0</v>
      </c>
      <c r="S491" t="n">
        <v>0</v>
      </c>
      <c r="U491" t="n">
        <v>0</v>
      </c>
    </row>
    <row r="492">
      <c r="A492">
        <f>Skills!A24</f>
        <v/>
      </c>
      <c r="B492">
        <f>Skills!B24</f>
        <v/>
      </c>
      <c r="C492">
        <f>Inputs!$B$3&gt;=74</f>
        <v/>
      </c>
      <c r="D492">
        <f>IF(Skills!C24=1,60+Inputs!$B$26+Inputs!$B$30,IF(Skills!C24=2,90+Inputs!$B$27+Inputs!$B$30,IF(Skills!C24=3,120+Inputs!$B$28+Inputs!$B$30,MAX(0,(Inputs!$B$3-100)*3)+Inputs!$B$29+Inputs!$B$30)))</f>
        <v/>
      </c>
      <c r="E492">
        <f>INDEX(FactorTable!$B$2:$Y$301, MATCH(ROUND(MIN(300,MAX(1,D492)),0), FactorTable!$A$2:$A$301,0), Skills!L24+1)</f>
        <v/>
      </c>
      <c r="F492">
        <f>IF(Skills!M24=TRUE,(Skills!K24/10)*(E492/1000),Skills!K24/10)+Skills!N24</f>
        <v/>
      </c>
      <c r="G492">
        <f>Calc!G24</f>
        <v/>
      </c>
      <c r="H492">
        <f>Calc!H24</f>
        <v/>
      </c>
      <c r="I492">
        <f>IF(Skills!T24&lt;&gt;"",1+(Skills!T24/10)*($Z$3/1000)/100,1)</f>
        <v/>
      </c>
      <c r="J492" t="inlineStr"/>
      <c r="K492" t="inlineStr"/>
      <c r="L492" t="inlineStr"/>
      <c r="M492" t="inlineStr"/>
      <c r="N492" t="inlineStr"/>
      <c r="O492">
        <f>(1-Summary!$B$11)*S492+Summary!$B$11*U492</f>
        <v/>
      </c>
      <c r="P492">
        <f>IF(B510=0,0,O492/B510)</f>
        <v/>
      </c>
      <c r="Q492">
        <f>IFERROR(1/(IF(Inputs!$B$39="pvp",15,MAX(0.1,Skills!D24-IF(Skills!E24=TRUE,Inputs!$B$33,0)))*(1-IF(AND(ArtifactsInput!$M$27,Inputs!$B$4="Chapter Hunt"),CHOOSE(ArtifactsInput!$N$27+1,20,24,28,32,36,40),0)/100)),0)</f>
        <v/>
      </c>
      <c r="R492" t="n">
        <v>0</v>
      </c>
      <c r="S492" t="n">
        <v>0</v>
      </c>
      <c r="U492" t="n">
        <v>0</v>
      </c>
    </row>
    <row r="493">
      <c r="A493">
        <f>Skills!A25</f>
        <v/>
      </c>
      <c r="B493">
        <f>Skills!B25</f>
        <v/>
      </c>
      <c r="C493">
        <f>Inputs!$B$3&gt;=74</f>
        <v/>
      </c>
      <c r="D493">
        <f>IF(Skills!C25=1,60+Inputs!$B$26+Inputs!$B$30,IF(Skills!C25=2,90+Inputs!$B$27+Inputs!$B$30,IF(Skills!C25=3,120+Inputs!$B$28+Inputs!$B$30,MAX(0,(Inputs!$B$3-100)*3)+Inputs!$B$29+Inputs!$B$30)))</f>
        <v/>
      </c>
      <c r="E493">
        <f>INDEX(FactorTable!$B$2:$Y$301, MATCH(ROUND(MIN(300,MAX(1,D493)),0), FactorTable!$A$2:$A$301,0), Skills!L25+1)</f>
        <v/>
      </c>
      <c r="F493">
        <f>IF(Skills!M25=TRUE,(Skills!K25/10)*(E493/1000),Skills!K25/10)+Skills!N25</f>
        <v/>
      </c>
      <c r="G493">
        <f>Calc!G25</f>
        <v/>
      </c>
      <c r="H493">
        <f>Calc!H25</f>
        <v/>
      </c>
      <c r="I493">
        <f>IF(Skills!T25&lt;&gt;"",1+(Skills!T25/10)*($Z$3/1000)/100,1)</f>
        <v/>
      </c>
      <c r="J493" t="inlineStr"/>
      <c r="K493" t="inlineStr"/>
      <c r="L493" t="inlineStr"/>
      <c r="M493" t="inlineStr"/>
      <c r="N493" t="inlineStr"/>
      <c r="O493">
        <f>(1-Summary!$B$11)*S493+Summary!$B$11*U493</f>
        <v/>
      </c>
      <c r="P493">
        <f>IF(B510=0,0,O493/B510)</f>
        <v/>
      </c>
      <c r="Q493">
        <f>IFERROR(1/(IF(Inputs!$B$39="pvp",15,MAX(0.1,Skills!D25-IF(Skills!E25=TRUE,Inputs!$B$33,0)))*(1-IF(AND(ArtifactsInput!$M$27,Inputs!$B$4="Chapter Hunt"),CHOOSE(ArtifactsInput!$N$27+1,20,24,28,32,36,40),0)/100)),0)</f>
        <v/>
      </c>
      <c r="R493" t="n">
        <v>0</v>
      </c>
      <c r="S493" t="n">
        <v>0</v>
      </c>
      <c r="U493" t="n">
        <v>0</v>
      </c>
    </row>
    <row r="494">
      <c r="A494">
        <f>Skills!A26</f>
        <v/>
      </c>
      <c r="B494">
        <f>Skills!B26</f>
        <v/>
      </c>
      <c r="C494">
        <f>Inputs!$B$3&gt;=117</f>
        <v/>
      </c>
      <c r="D494">
        <f>IF(Skills!C26=1,60+Inputs!$B$26+Inputs!$B$30,IF(Skills!C26=2,90+Inputs!$B$27+Inputs!$B$30,IF(Skills!C26=3,120+Inputs!$B$28+Inputs!$B$30,MAX(0,(Inputs!$B$3-100)*3)+Inputs!$B$29+Inputs!$B$30)))</f>
        <v/>
      </c>
      <c r="E494">
        <f>INDEX(FactorTable!$B$2:$Y$301, MATCH(ROUND(MIN(300,MAX(1,D494)),0), FactorTable!$A$2:$A$301,0), Skills!L26+1)</f>
        <v/>
      </c>
      <c r="F494">
        <f>IF(Skills!M26=TRUE,(Skills!K26/10)*(E494/1000),Skills!K26/10)+Skills!N26</f>
        <v/>
      </c>
      <c r="G494">
        <f>Calc!G26</f>
        <v/>
      </c>
      <c r="H494">
        <f>Calc!H26</f>
        <v/>
      </c>
      <c r="I494">
        <f>IF(Skills!T26&lt;&gt;"",1+(Skills!T26/10)*($Z$3/1000)/100,1)</f>
        <v/>
      </c>
      <c r="J494" t="inlineStr"/>
      <c r="K494" t="inlineStr"/>
      <c r="L494" t="inlineStr"/>
      <c r="M494" t="inlineStr"/>
      <c r="N494" t="inlineStr"/>
      <c r="O494">
        <f>(1-Summary!$B$11)*S494+Summary!$B$11*U494</f>
        <v/>
      </c>
      <c r="P494">
        <f>IF(B510=0,0,O494/B510)</f>
        <v/>
      </c>
      <c r="Q494">
        <f>IFERROR(1/(IF(Inputs!$B$39="pvp",15,MAX(0.1,Skills!D26-IF(Skills!E26=TRUE,Inputs!$B$33,0)))*(1-IF(AND(ArtifactsInput!$M$27,Inputs!$B$4="Chapter Hunt"),CHOOSE(ArtifactsInput!$N$27+1,20,24,28,32,36,40),0)/100)),0)</f>
        <v/>
      </c>
      <c r="R494" t="n">
        <v>0</v>
      </c>
      <c r="S494" t="n">
        <v>0</v>
      </c>
      <c r="U494" t="n">
        <v>0</v>
      </c>
    </row>
    <row r="495">
      <c r="A495">
        <f>Skills!A27</f>
        <v/>
      </c>
      <c r="B495">
        <f>Skills!B27</f>
        <v/>
      </c>
      <c r="C495">
        <f>Inputs!$B$3&gt;=120</f>
        <v/>
      </c>
      <c r="D495">
        <f>IF(Skills!C27=1,60+Inputs!$B$26+Inputs!$B$30,IF(Skills!C27=2,90+Inputs!$B$27+Inputs!$B$30,IF(Skills!C27=3,120+Inputs!$B$28+Inputs!$B$30,MAX(0,(Inputs!$B$3-100)*3)+Inputs!$B$29+Inputs!$B$30)))</f>
        <v/>
      </c>
      <c r="E495">
        <f>INDEX(FactorTable!$B$2:$Y$301, MATCH(ROUND(MIN(300,MAX(1,D495)),0), FactorTable!$A$2:$A$301,0), Skills!L27+1)</f>
        <v/>
      </c>
      <c r="F495">
        <f>IF(Skills!M27=TRUE,(Skills!K27/10)*(E495/1000),Skills!K27/10)+Skills!N27</f>
        <v/>
      </c>
      <c r="G495">
        <f>Calc!G27</f>
        <v/>
      </c>
      <c r="H495">
        <f>Calc!H27</f>
        <v/>
      </c>
      <c r="I495">
        <f>IF(Skills!T27&lt;&gt;"",1+(Skills!T27/10)*($Z$3/1000)/100,1)</f>
        <v/>
      </c>
      <c r="J495" t="inlineStr"/>
      <c r="K495" t="inlineStr"/>
      <c r="L495" t="inlineStr"/>
      <c r="M495" t="inlineStr"/>
      <c r="N495" t="inlineStr"/>
      <c r="O495">
        <f>(1-Summary!$B$11)*S495+Summary!$B$11*U495</f>
        <v/>
      </c>
      <c r="P495">
        <f>IF(B510=0,0,O495/B510)</f>
        <v/>
      </c>
      <c r="Q495">
        <f>IFERROR(1/(IF(Inputs!$B$39="pvp",15,MAX(0.1,Skills!D27-IF(Skills!E27=TRUE,Inputs!$B$33,0)))*(1-IF(AND(ArtifactsInput!$M$27,Inputs!$B$4="Chapter Hunt"),CHOOSE(ArtifactsInput!$N$27+1,20,24,28,32,36,40),0)/100)),0)</f>
        <v/>
      </c>
      <c r="R495" t="n">
        <v>0</v>
      </c>
      <c r="S495" t="n">
        <v>0</v>
      </c>
      <c r="U495" t="n">
        <v>0</v>
      </c>
    </row>
    <row r="497">
      <c r="A497" t="inlineStr">
        <is>
          <t>Average Buff Multiplier</t>
        </is>
      </c>
      <c r="B497">
        <f>(1+(IF(C471=TRUE,F471*IF(AND(Inputs!$B$39&lt;&gt;"pvp",Inputs!$B$44&gt;0),(((R471-1)*(Skills!S3*(1+((Inputs!$B$35+(ArtifactsInput!$M$7-ArtifactsInput!$M$7)*CHOOSE(ArtifactsInput!$N$7+1,6,7.2,8.4,9.6,10.8,12))+IF(Inputs!$B$3&gt;=117,F494,0))/100))+MIN((Skills!S3*(1+((Inputs!$B$35+(ArtifactsInput!$M$7-ArtifactsInput!$M$7)*CHOOSE(ArtifactsInput!$N$7+1,6,7.2,8.4,9.6,10.8,12))+IF(Inputs!$B$3&gt;=117,F494,0))/100)),MAX(0,Inputs!$B$44-((R471-1)*Skills!D3))))/Inputs!$B$44),IF(Inputs!$B$39="pvp",MIN((Skills!S3*(1+((Inputs!$B$35+(ArtifactsInput!$M$7-ArtifactsInput!$M$7)*CHOOSE(ArtifactsInput!$N$7+1,6,7.2,8.4,9.6,10.8,12))+IF(Inputs!$B$3&gt;=117,F494,0))/100)),15)/15,(Skills!S3*(1+((Inputs!$B$35+(ArtifactsInput!$M$7-ArtifactsInput!$M$7)*CHOOSE(ArtifactsInput!$N$7+1,6,7.2,8.4,9.6,10.8,12))+IF(Inputs!$B$3&gt;=117,F494,0))/100))/Skills!D3)),0)+IF(C472=TRUE,F472*IF(AND(Inputs!$B$39&lt;&gt;"pvp",Inputs!$B$44&gt;0),(((R472-1)*(Skills!S4*(1+((Inputs!$B$35+(ArtifactsInput!$M$7-ArtifactsInput!$M$7)*CHOOSE(ArtifactsInput!$N$7+1,6,7.2,8.4,9.6,10.8,12))+IF(Inputs!$B$3&gt;=117,F494,0))/100))+MIN((Skills!S4*(1+((Inputs!$B$35+(ArtifactsInput!$M$7-ArtifactsInput!$M$7)*CHOOSE(ArtifactsInput!$N$7+1,6,7.2,8.4,9.6,10.8,12))+IF(Inputs!$B$3&gt;=117,F494,0))/100)),MAX(0,Inputs!$B$44-((R472-1)*Skills!D4))))/Inputs!$B$44),IF(Inputs!$B$39="pvp",MIN((Skills!S4*(1+((Inputs!$B$35+(ArtifactsInput!$M$7-ArtifactsInput!$M$7)*CHOOSE(ArtifactsInput!$N$7+1,6,7.2,8.4,9.6,10.8,12))+IF(Inputs!$B$3&gt;=117,F494,0))/100)),15)/15,(Skills!S4*(1+((Inputs!$B$35+(ArtifactsInput!$M$7-ArtifactsInput!$M$7)*CHOOSE(ArtifactsInput!$N$7+1,6,7.2,8.4,9.6,10.8,12))+IF(Inputs!$B$3&gt;=117,F494,0))/100))/Skills!D4)),0)+IF(C473=TRUE,F473*IF(AND(Inputs!$B$39&lt;&gt;"pvp",Inputs!$B$44&gt;0),(((R473-1)*(Skills!S5*(1+((Inputs!$B$35+(ArtifactsInput!$M$7-ArtifactsInput!$M$7)*CHOOSE(ArtifactsInput!$N$7+1,6,7.2,8.4,9.6,10.8,12))+IF(Inputs!$B$3&gt;=117,F494,0))/100))+MIN((Skills!S5*(1+((Inputs!$B$35+(ArtifactsInput!$M$7-ArtifactsInput!$M$7)*CHOOSE(ArtifactsInput!$N$7+1,6,7.2,8.4,9.6,10.8,12))+IF(Inputs!$B$3&gt;=117,F494,0))/100)),MAX(0,Inputs!$B$44-((R473-1)*Skills!D5))))/Inputs!$B$44),IF(Inputs!$B$39="pvp",MIN((Skills!S5*(1+((Inputs!$B$35+(ArtifactsInput!$M$7-ArtifactsInput!$M$7)*CHOOSE(ArtifactsInput!$N$7+1,6,7.2,8.4,9.6,10.8,12))+IF(Inputs!$B$3&gt;=117,F494,0))/100)),15)/15,(Skills!S5*(1+((Inputs!$B$35+(ArtifactsInput!$M$7-ArtifactsInput!$M$7)*CHOOSE(ArtifactsInput!$N$7+1,6,7.2,8.4,9.6,10.8,12))+IF(Inputs!$B$3&gt;=117,F494,0))/100))/Skills!D5)),0)+IF(C479=TRUE,F479*IF(AND(Inputs!$B$39&lt;&gt;"pvp",Inputs!$B$44&gt;0),(((R479-1)*(Skills!S11*(1+((Inputs!$B$35+(ArtifactsInput!$M$7-ArtifactsInput!$M$7)*CHOOSE(ArtifactsInput!$N$7+1,6,7.2,8.4,9.6,10.8,12))+IF(Inputs!$B$3&gt;=117,F494,0))/100))+MIN((Skills!S11*(1+((Inputs!$B$35+(ArtifactsInput!$M$7-ArtifactsInput!$M$7)*CHOOSE(ArtifactsInput!$N$7+1,6,7.2,8.4,9.6,10.8,12))+IF(Inputs!$B$3&gt;=117,F494,0))/100)),MAX(0,Inputs!$B$44-((R479-1)*Skills!D11))))/Inputs!$B$44),IF(Inputs!$B$39="pvp",MIN((Skills!S11*(1+((Inputs!$B$35+(ArtifactsInput!$M$7-ArtifactsInput!$M$7)*CHOOSE(ArtifactsInput!$N$7+1,6,7.2,8.4,9.6,10.8,12))+IF(Inputs!$B$3&gt;=117,F494,0))/100)),15)/15,(Skills!S11*(1+((Inputs!$B$35+(ArtifactsInput!$M$7-ArtifactsInput!$M$7)*CHOOSE(ArtifactsInput!$N$7+1,6,7.2,8.4,9.6,10.8,12))+IF(Inputs!$B$3&gt;=117,F494,0)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482=TRUE,(1+F482*IF(AND(Inputs!$B$39&lt;&gt;"pvp",Inputs!$B$44&gt;0),(((R482-1)*(Skills!S14*(1+((Inputs!$B$35+(ArtifactsInput!$M$7-ArtifactsInput!$M$7)*CHOOSE(ArtifactsInput!$N$7+1,6,7.2,8.4,9.6,10.8,12))+IF(Inputs!$B$3&gt;=117,F494,0))/100))+MIN((Skills!S14*(1+((Inputs!$B$35+(ArtifactsInput!$M$7-ArtifactsInput!$M$7)*CHOOSE(ArtifactsInput!$N$7+1,6,7.2,8.4,9.6,10.8,12))+IF(Inputs!$B$3&gt;=117,F494,0))/100)),MAX(0,Inputs!$B$44-((R482-1)*Skills!D14))))/Inputs!$B$44),IF(Inputs!$B$39="pvp",MIN((Skills!S14*(1+((Inputs!$B$35+(ArtifactsInput!$M$7-ArtifactsInput!$M$7)*CHOOSE(ArtifactsInput!$N$7+1,6,7.2,8.4,9.6,10.8,12))+IF(Inputs!$B$3&gt;=117,F494,0))/100)),15)/15,(Skills!S14*(1+((Inputs!$B$35+(ArtifactsInput!$M$7-ArtifactsInput!$M$7)*CHOOSE(ArtifactsInput!$N$7+1,6,7.2,8.4,9.6,10.8,12))+IF(Inputs!$B$3&gt;=117,F494,0))/100))/Skills!D14))/100),1)*IF(C487=TRUE,(1+F487*IF(AND(Inputs!$B$39&lt;&gt;"pvp",Inputs!$B$44&gt;0),(((R487-1)*(Skills!S19*(1+((Inputs!$B$35+(ArtifactsInput!$M$7-ArtifactsInput!$M$7)*CHOOSE(ArtifactsInput!$N$7+1,6,7.2,8.4,9.6,10.8,12))+IF(Inputs!$B$3&gt;=117,F494,0))/100))+MIN((Skills!S19*(1+((Inputs!$B$35+(ArtifactsInput!$M$7-ArtifactsInput!$M$7)*CHOOSE(ArtifactsInput!$N$7+1,6,7.2,8.4,9.6,10.8,12))+IF(Inputs!$B$3&gt;=117,F494,0))/100)),MAX(0,Inputs!$B$44-((R487-1)*Skills!D19))))/Inputs!$B$44),IF(Inputs!$B$39="pvp",MIN((Skills!S19*(1+((Inputs!$B$35+(ArtifactsInput!$M$7-ArtifactsInput!$M$7)*CHOOSE(ArtifactsInput!$N$7+1,6,7.2,8.4,9.6,10.8,12))+IF(Inputs!$B$3&gt;=117,F494,0))/100)),15)/15,(Skills!S19*(1+((Inputs!$B$35+(ArtifactsInput!$M$7-ArtifactsInput!$M$7)*CHOOSE(ArtifactsInput!$N$7+1,6,7.2,8.4,9.6,10.8,12))+IF(Inputs!$B$3&gt;=117,F494,0))/100))/Skills!D19))/100),1)</f>
        <v/>
      </c>
    </row>
    <row r="498">
      <c r="A498" t="inlineStr">
        <is>
          <t>Monster Damage Taken Bonus % (Holy Fountain)</t>
        </is>
      </c>
      <c r="B498">
        <f>IF(Inputs!$B$3&gt;=68,20*IF(Inputs!$B$39="pvp",MIN((15*(1+((Inputs!$B$35+(ArtifactsInput!$M$7-ArtifactsInput!$M$7)*CHOOSE(ArtifactsInput!$N$7+1,6,7.2,8.4,9.6,10.8,12))+IF(Inputs!$B$3&gt;=117,F494,0))/100)),15)/15,(15*(1+((Inputs!$B$35+(ArtifactsInput!$M$7-ArtifactsInput!$M$7)*CHOOSE(ArtifactsInput!$N$7+1,6,7.2,8.4,9.6,10.8,12))+IF(Inputs!$B$3&gt;=117,F494,0))/100))/Skills!D10),0)</f>
        <v/>
      </c>
    </row>
    <row r="499">
      <c r="A499" t="inlineStr">
        <is>
          <t>Normal Monster Damage Bonus % (Holy Symbol)</t>
        </is>
      </c>
      <c r="B499">
        <f>IF(C480=TRUE,F480*IF(AND(Inputs!$B$39&lt;&gt;"pvp",Inputs!$B$44&gt;0),(((R480-1)*(Skills!S12*(1+((Inputs!$B$35+(ArtifactsInput!$M$7-ArtifactsInput!$M$7)*CHOOSE(ArtifactsInput!$N$7+1,6,7.2,8.4,9.6,10.8,12))+IF(Inputs!$B$3&gt;=117,F494,0))/100))+MIN((Skills!S12*(1+((Inputs!$B$35+(ArtifactsInput!$M$7-ArtifactsInput!$M$7)*CHOOSE(ArtifactsInput!$N$7+1,6,7.2,8.4,9.6,10.8,12))+IF(Inputs!$B$3&gt;=117,F494,0))/100)),MAX(0,Inputs!$B$44-((R480-1)*Skills!D12))))/Inputs!$B$44),IF(Inputs!$B$39="pvp",MIN((Skills!S12*(1+((Inputs!$B$35+(ArtifactsInput!$M$7-ArtifactsInput!$M$7)*CHOOSE(ArtifactsInput!$N$7+1,6,7.2,8.4,9.6,10.8,12))+IF(Inputs!$B$3&gt;=117,F494,0))/100)),15)/15,(Skills!S12*(1+((Inputs!$B$35+(ArtifactsInput!$M$7-ArtifactsInput!$M$7)*CHOOSE(ArtifactsInput!$N$7+1,6,7.2,8.4,9.6,10.8,12))+IF(Inputs!$B$3&gt;=117,F494,0))/100))/Skills!D12)),0)</f>
        <v/>
      </c>
    </row>
    <row r="500">
      <c r="A500" t="inlineStr">
        <is>
          <t>Damage % Bonus (Holy Symbol - Damage Boost)</t>
        </is>
      </c>
      <c r="B500">
        <f>Skills!O12</f>
        <v/>
      </c>
    </row>
    <row r="501">
      <c r="A501" t="inlineStr">
        <is>
          <t>Crit Damage % Bonus (Blood of the Divine)</t>
        </is>
      </c>
      <c r="B501">
        <f>4*IF(C488=TRUE,F488,0)</f>
        <v/>
      </c>
    </row>
    <row r="502">
      <c r="A502" t="inlineStr">
        <is>
          <t>Attack Speed Bonus %</t>
        </is>
      </c>
      <c r="B502">
        <f>IF(C485=TRUE,F485+(F489-Calc!F21),0)+IF(Inputs!$B$3&gt;=134,15,0)</f>
        <v/>
      </c>
    </row>
    <row r="503">
      <c r="A503" t="inlineStr">
        <is>
          <t>Actions Per Second</t>
        </is>
      </c>
      <c r="B503">
        <f>1+MIN(150,150*(1-(1-Inputs!$B$12/150)*(1-B502/150)))/100</f>
        <v/>
      </c>
    </row>
    <row r="504">
      <c r="A504" t="inlineStr">
        <is>
          <t>Skill + Buff Cast Rate</t>
        </is>
      </c>
      <c r="B504">
        <f>IF(AND(Inputs!$B$39&lt;&gt;"pvp",Inputs!$B$44&gt;0),SUMPRODUCT((Skills!E2:E27=TRUE)*(C470:C495=TRUE)*R470:R495)/Inputs!$B$44,SUMPRODUCT((Skills!E2:E27=TRUE)*(C470:C495=TRUE)*Q470:Q495))</f>
        <v/>
      </c>
    </row>
    <row r="505">
      <c r="A505" t="inlineStr">
        <is>
          <t>Big Bang Casts Per Second</t>
        </is>
      </c>
      <c r="B505">
        <f>MAX(0,B503-B504)</f>
        <v/>
      </c>
    </row>
    <row r="506">
      <c r="A506" t="inlineStr">
        <is>
          <t>Defense % Bonus (Divine Protection)</t>
        </is>
      </c>
      <c r="B506">
        <f>IF(C481=TRUE,F481*IF(AND(Inputs!$B$39&lt;&gt;"pvp",Inputs!$B$44&gt;0),(((R481-1)*(Skills!S13*(1+((Inputs!$B$35+(ArtifactsInput!$M$7-ArtifactsInput!$M$7)*CHOOSE(ArtifactsInput!$N$7+1,6,7.2,8.4,9.6,10.8,12))+IF(Inputs!$B$3&gt;=117,F494,0))/100))+MIN((Skills!S13*(1+((Inputs!$B$35+(ArtifactsInput!$M$7-ArtifactsInput!$M$7)*CHOOSE(ArtifactsInput!$N$7+1,6,7.2,8.4,9.6,10.8,12))+IF(Inputs!$B$3&gt;=117,F494,0))/100)),MAX(0,Inputs!$B$44-((R481-1)*Skills!D13))))/Inputs!$B$44),IF(Inputs!$B$39="pvp",MIN((Skills!S13*(1+((Inputs!$B$35+(ArtifactsInput!$M$7-ArtifactsInput!$M$7)*CHOOSE(ArtifactsInput!$N$7+1,6,7.2,8.4,9.6,10.8,12))+IF(Inputs!$B$3&gt;=117,F494,0))/100)),15)/15,(Skills!S13*(1+((Inputs!$B$35+(ArtifactsInput!$M$7-ArtifactsInput!$M$7)*CHOOSE(ArtifactsInput!$N$7+1,6,7.2,8.4,9.6,10.8,12))+IF(Inputs!$B$3&gt;=117,F494,0))/100))/Skills!D13)),0)</f>
        <v/>
      </c>
    </row>
    <row r="507">
      <c r="A507" t="inlineStr">
        <is>
          <t>Buff-Casting Startup Delay (s, fixed-duration only)</t>
        </is>
      </c>
      <c r="B507">
        <f>IF(AND(Inputs!$B$39&lt;&gt;"pvp",Inputs!$B$44&gt;0),SUMPRODUCT((Skills!S2:S27&gt;0)*(Skills!E2:E27=TRUE)*(C470:C495=TRUE))/B503,0)</f>
        <v/>
      </c>
    </row>
    <row r="508">
      <c r="A508" t="inlineStr">
        <is>
          <t>Boss-Only Total DPS (this block's swept value)</t>
        </is>
      </c>
      <c r="B508">
        <f>SUM(S470:S495)</f>
        <v/>
      </c>
    </row>
    <row r="509">
      <c r="A509" t="inlineStr">
        <is>
          <t>Normal-Only Total DPS (this block's swept value)</t>
        </is>
      </c>
      <c r="B509">
        <f>SUM(U470:U495)</f>
        <v/>
      </c>
    </row>
    <row r="510">
      <c r="A510" s="6" t="inlineStr">
        <is>
          <t>TOTAL DPS</t>
        </is>
      </c>
      <c r="B510" s="6">
        <f>SUM(O470:O495)</f>
        <v/>
      </c>
    </row>
    <row r="512">
      <c r="A512" s="6" t="inlineStr">
        <is>
          <t>Stat: MAX_DAMAGE %</t>
        </is>
      </c>
    </row>
    <row r="513">
      <c r="A513" s="5" t="inlineStr">
        <is>
          <t>Key</t>
        </is>
      </c>
      <c r="B513" s="5" t="inlineStr">
        <is>
          <t>Name</t>
        </is>
      </c>
      <c r="C513" s="5" t="inlineStr">
        <is>
          <t>Unlocked</t>
        </is>
      </c>
      <c r="D513" s="5" t="inlineStr">
        <is>
          <t>InputLevel</t>
        </is>
      </c>
      <c r="E513" s="5" t="inlineStr">
        <is>
          <t>Factor</t>
        </is>
      </c>
      <c r="F513" s="5" t="inlineStr">
        <is>
          <t>CoefficientPercent</t>
        </is>
      </c>
      <c r="G513" s="5" t="inlineStr">
        <is>
          <t>EffectiveHits</t>
        </is>
      </c>
      <c r="H513" s="5" t="inlineStr">
        <is>
          <t>ProcProbability</t>
        </is>
      </c>
      <c r="I513" s="5" t="inlineStr">
        <is>
          <t>MapleHeroMultiplier</t>
        </is>
      </c>
      <c r="J513" s="5" t="inlineStr">
        <is>
          <t>BaseDamage</t>
        </is>
      </c>
      <c r="K513" s="5" t="inlineStr">
        <is>
          <t>BaseHitDamage</t>
        </is>
      </c>
      <c r="L513" s="5" t="inlineStr">
        <is>
          <t>NonCritAvg</t>
        </is>
      </c>
      <c r="M513" s="5" t="inlineStr">
        <is>
          <t>CritAvg</t>
        </is>
      </c>
      <c r="N513" s="5" t="inlineStr">
        <is>
          <t>ExpectedDamage(perHit)</t>
        </is>
      </c>
      <c r="O513" s="5" t="inlineStr">
        <is>
          <t>DPS</t>
        </is>
      </c>
      <c r="P513" s="5" t="inlineStr">
        <is>
          <t>% of Total</t>
        </is>
      </c>
      <c r="R513" t="inlineStr">
        <is>
          <t>helpers</t>
        </is>
      </c>
    </row>
    <row r="514">
      <c r="A514">
        <f>Skills!A2</f>
        <v/>
      </c>
      <c r="B514">
        <f>Skills!B2</f>
        <v/>
      </c>
      <c r="C514">
        <f>Inputs!$B$3&gt;=100</f>
        <v/>
      </c>
      <c r="D514" t="inlineStr"/>
      <c r="E514" t="inlineStr"/>
      <c r="F514">
        <f>T516+Skills!N2</f>
        <v/>
      </c>
      <c r="G514">
        <f>Calc!G2</f>
        <v/>
      </c>
      <c r="H514">
        <f>Calc!H2</f>
        <v/>
      </c>
      <c r="I514">
        <f>IF(Skills!T2&lt;&gt;"",1+(Skills!T2/10)*($Z$3/1000)/100,1)</f>
        <v/>
      </c>
      <c r="J514">
        <f>((Inputs!$B$6*(1+Inputs!$B$7/100))+(((Inputs!$B$13*(1+Inputs!$B$14/100))-(Inputs!$B$13*(1+Inputs!$B$14/100)))+0.25*(Inputs!$B$15-Inputs!$B$15))*(1+Inputs!$B$7/100))*(F514/100)</f>
        <v/>
      </c>
      <c r="K514">
        <f>J514*(1+(((Inputs!$B$13+IF(Inputs!$B$3&gt;=35,(10*INDEX(FactorTable!$B$2:$Y$301,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2="TRIUMPH_FEATHER",IF(C528=TRUE,F528,0),0)/100)*(1+IF(C539=TRUE,F539,0)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514)</f>
        <v/>
      </c>
      <c r="L514">
        <f>K514*(MIN(Inputs!$B$23+(F534-Calc!F22),((Inputs!$B$24+1)+IF(ArtifactsInput!$M$15,CHOOSE(ArtifactsInput!$N$15+1,25,30,35,40,45,50)/100*(Inputs!$B$12-Inputs!$B$12),0)))/100+((Inputs!$B$24+1)+IF(ArtifactsInput!$M$15,CHOOSE(ArtifactsInput!$N$15+1,25,30,35,40,45,50)/100*(Inputs!$B$12-Inputs!$B$12),0))/100)/2</f>
        <v/>
      </c>
      <c r="M514">
        <f>L514*(1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14">
        <f>L514*(1-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514*(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4">
        <f>(1-Summary!$B$11)*S514+Summary!$B$11*U514</f>
        <v/>
      </c>
      <c r="P514">
        <f>IF(B554=0,0,O514/B554)</f>
        <v/>
      </c>
      <c r="Q514">
        <f>IFERROR(1/(IF(Inputs!$B$39="pvp",15,MAX(0.1,Skills!D2-IF(Skills!E2=TRUE,Inputs!$B$33,0)))*(1-IF(AND(ArtifactsInput!$M$27,Inputs!$B$4="Chapter Hunt"),CHOOSE(ArtifactsInput!$N$27+1,20,24,28,32,36,40),0)/100)),0)</f>
        <v/>
      </c>
      <c r="R514" t="n">
        <v>0</v>
      </c>
      <c r="S514">
        <f>IF(C514,(Skills!F2*N514*B549)*IF(Inputs!$B$39="pvp",1,1+(Inputs!$B$21+Skills!O2+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514*(1-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514*(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514*(1-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514*(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14">
        <f>MAX(0,(Inputs!$B$3-100)*3)+Inputs!$B$29+Inputs!$B$30</f>
        <v/>
      </c>
      <c r="U514">
        <f>IF(C514,(Skills!F2*N514*B549)*IF(Inputs!$B$39="pvp",1,(1+(Inputs!$B$22+Skills!P2+B543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5">
      <c r="A515">
        <f>Skills!A3</f>
        <v/>
      </c>
      <c r="B515">
        <f>Skills!B3</f>
        <v/>
      </c>
      <c r="C515">
        <f>Inputs!$B$3&gt;=15</f>
        <v/>
      </c>
      <c r="D515">
        <f>IF(Skills!C3=1,60+Inputs!$B$26+Inputs!$B$30,IF(Skills!C3=2,90+Inputs!$B$27+Inputs!$B$30,IF(Skills!C3=3,120+Inputs!$B$28+Inputs!$B$30,MAX(0,(Inputs!$B$3-100)*3)+Inputs!$B$29+Inputs!$B$30)))</f>
        <v/>
      </c>
      <c r="E515">
        <f>INDEX(FactorTable!$B$2:$Y$301, MATCH(ROUND(MIN(300,MAX(1,D515)),0), FactorTable!$A$2:$A$301,0), Skills!L3+1)</f>
        <v/>
      </c>
      <c r="F515">
        <f>IF(Skills!M3=TRUE,(Skills!K3/10)*(E515/1000),Skills!K3/10)+Skills!N3</f>
        <v/>
      </c>
      <c r="G515">
        <f>Calc!G3</f>
        <v/>
      </c>
      <c r="H515">
        <f>Calc!H3</f>
        <v/>
      </c>
      <c r="I515">
        <f>IF(Skills!T3&lt;&gt;"",1+(Skills!T3/10)*($Z$3/1000)/100,1)</f>
        <v/>
      </c>
      <c r="J515" t="inlineStr"/>
      <c r="K515" t="inlineStr"/>
      <c r="L515" t="inlineStr"/>
      <c r="M515" t="inlineStr"/>
      <c r="N515" t="inlineStr"/>
      <c r="O515">
        <f>(1-Summary!$B$11)*S515+Summary!$B$11*U515</f>
        <v/>
      </c>
      <c r="P515">
        <f>IF(B554=0,0,O515/B554)</f>
        <v/>
      </c>
      <c r="Q515">
        <f>IFERROR(1/(IF(Inputs!$B$39="pvp",15,MAX(0.1,Skills!D3-IF(Skills!E3=TRUE,Inputs!$B$33,0)))*(1-IF(AND(ArtifactsInput!$M$27,Inputs!$B$4="Chapter Hunt"),CHOOSE(ArtifactsInput!$N$27+1,20,24,28,32,36,40),0)/100)),0)</f>
        <v/>
      </c>
      <c r="R515">
        <f>IF(AND(Inputs!$B$39&lt;&gt;"pvp",Inputs!$B$44&gt;0),IF(Inputs!$B$44&lt;=0,0,(INT(Inputs!$B$44/(IF(Inputs!$B$39="pvp",15,MAX(0.1,Skills!D3-IF(Skills!E3=TRUE,Inputs!$B$33,0)))*(1-IF(AND(ArtifactsInput!$M$27,Inputs!$B$4="Chapter Hunt"),CHOOSE(ArtifactsInput!$N$27+1,20,24,28,32,36,40),0)/100)))+1)),0)</f>
        <v/>
      </c>
      <c r="S515" t="n">
        <v>0</v>
      </c>
      <c r="T515">
        <f>INDEX(FactorTable!$B$2:$Y$301, MATCH(ROUND(MIN(300,MAX(1,T514)),0), FactorTable!$A$2:$A$301,0), 22)</f>
        <v/>
      </c>
      <c r="U515" t="n">
        <v>0</v>
      </c>
    </row>
    <row r="516">
      <c r="A516">
        <f>Skills!A4</f>
        <v/>
      </c>
      <c r="B516">
        <f>Skills!B4</f>
        <v/>
      </c>
      <c r="C516">
        <f>Inputs!$B$3&gt;=38</f>
        <v/>
      </c>
      <c r="D516">
        <f>IF(Skills!C4=1,60+Inputs!$B$26+Inputs!$B$30,IF(Skills!C4=2,90+Inputs!$B$27+Inputs!$B$30,IF(Skills!C4=3,120+Inputs!$B$28+Inputs!$B$30,MAX(0,(Inputs!$B$3-100)*3)+Inputs!$B$29+Inputs!$B$30)))</f>
        <v/>
      </c>
      <c r="E516">
        <f>INDEX(FactorTable!$B$2:$Y$301, MATCH(ROUND(MIN(300,MAX(1,D516)),0), FactorTable!$A$2:$A$301,0), Skills!L4+1)</f>
        <v/>
      </c>
      <c r="F516">
        <f>IF(Skills!M4=TRUE,(Skills!K4/10)*(E516/1000),Skills!K4/10)+Skills!N4</f>
        <v/>
      </c>
      <c r="G516">
        <f>Calc!G4</f>
        <v/>
      </c>
      <c r="H516">
        <f>Calc!H4</f>
        <v/>
      </c>
      <c r="I516">
        <f>IF(Skills!T4&lt;&gt;"",1+(Skills!T4/10)*($Z$3/1000)/100,1)</f>
        <v/>
      </c>
      <c r="J516" t="inlineStr"/>
      <c r="K516" t="inlineStr"/>
      <c r="L516" t="inlineStr"/>
      <c r="M516" t="inlineStr"/>
      <c r="N516" t="inlineStr"/>
      <c r="O516">
        <f>(1-Summary!$B$11)*S516+Summary!$B$11*U516</f>
        <v/>
      </c>
      <c r="P516">
        <f>IF(B554=0,0,O516/B554)</f>
        <v/>
      </c>
      <c r="Q516">
        <f>IFERROR(1/(IF(Inputs!$B$39="pvp",15,MAX(0.1,Skills!D4-IF(Skills!E4=TRUE,Inputs!$B$33,0)))*(1-IF(AND(ArtifactsInput!$M$27,Inputs!$B$4="Chapter Hunt"),CHOOSE(ArtifactsInput!$N$27+1,20,24,28,32,36,40),0)/100)),0)</f>
        <v/>
      </c>
      <c r="R516">
        <f>IF(AND(Inputs!$B$39&lt;&gt;"pvp",Inputs!$B$44&gt;0),IF(Inputs!$B$44&lt;=0,0,(INT(Inputs!$B$44/(IF(Inputs!$B$39="pvp",15,MAX(0.1,Skills!D4-IF(Skills!E4=TRUE,Inputs!$B$33,0)))*(1-IF(AND(ArtifactsInput!$M$27,Inputs!$B$4="Chapter Hunt"),CHOOSE(ArtifactsInput!$N$27+1,20,24,28,32,36,40),0)/100)))+1)),0)</f>
        <v/>
      </c>
      <c r="S516" t="n">
        <v>0</v>
      </c>
      <c r="T516">
        <f>290*T515/1000</f>
        <v/>
      </c>
      <c r="U516" t="n">
        <v>0</v>
      </c>
    </row>
    <row r="517">
      <c r="A517">
        <f>Skills!A5</f>
        <v/>
      </c>
      <c r="B517">
        <f>Skills!B5</f>
        <v/>
      </c>
      <c r="C517">
        <f>Inputs!$B$3&gt;=40</f>
        <v/>
      </c>
      <c r="D517">
        <f>IF(Skills!C5=1,60+Inputs!$B$26+Inputs!$B$30,IF(Skills!C5=2,90+Inputs!$B$27+Inputs!$B$30,IF(Skills!C5=3,120+Inputs!$B$28+Inputs!$B$30,MAX(0,(Inputs!$B$3-100)*3)+Inputs!$B$29+Inputs!$B$30)))</f>
        <v/>
      </c>
      <c r="E517">
        <f>INDEX(FactorTable!$B$2:$Y$301, MATCH(ROUND(MIN(300,MAX(1,D517)),0), FactorTable!$A$2:$A$301,0), Skills!L5+1)</f>
        <v/>
      </c>
      <c r="F517">
        <f>IF(Skills!M5=TRUE,(Skills!K5/10)*(E517/1000),Skills!K5/10)+Skills!N5</f>
        <v/>
      </c>
      <c r="G517">
        <f>Calc!G5</f>
        <v/>
      </c>
      <c r="H517">
        <f>Calc!H5</f>
        <v/>
      </c>
      <c r="I517">
        <f>IF(Skills!T5&lt;&gt;"",1+(Skills!T5/10)*($Z$3/1000)/100,1)</f>
        <v/>
      </c>
      <c r="J517" t="inlineStr"/>
      <c r="K517" t="inlineStr"/>
      <c r="L517" t="inlineStr"/>
      <c r="M517" t="inlineStr"/>
      <c r="N517" t="inlineStr"/>
      <c r="O517">
        <f>(1-Summary!$B$11)*S517+Summary!$B$11*U517</f>
        <v/>
      </c>
      <c r="P517">
        <f>IF(B554=0,0,O517/B554)</f>
        <v/>
      </c>
      <c r="Q517">
        <f>IFERROR(1/(IF(Inputs!$B$39="pvp",15,MAX(0.1,Skills!D5-IF(Skills!E5=TRUE,Inputs!$B$33,0)))*(1-IF(AND(ArtifactsInput!$M$27,Inputs!$B$4="Chapter Hunt"),CHOOSE(ArtifactsInput!$N$27+1,20,24,28,32,36,40),0)/100)),0)</f>
        <v/>
      </c>
      <c r="R517">
        <f>IF(AND(Inputs!$B$39&lt;&gt;"pvp",Inputs!$B$44&gt;0),IF(Inputs!$B$44&lt;=0,0,(INT(Inputs!$B$44/(IF(Inputs!$B$39="pvp",15,MAX(0.1,Skills!D5-IF(Skills!E5=TRUE,Inputs!$B$33,0)))*(1-IF(AND(ArtifactsInput!$M$27,Inputs!$B$4="Chapter Hunt"),CHOOSE(ArtifactsInput!$N$27+1,20,24,28,32,36,40),0)/100)))+1)),0)</f>
        <v/>
      </c>
      <c r="S517" t="n">
        <v>0</v>
      </c>
      <c r="U517" t="n">
        <v>0</v>
      </c>
    </row>
    <row r="518">
      <c r="A518">
        <f>Skills!A6</f>
        <v/>
      </c>
      <c r="B518">
        <f>Skills!B6</f>
        <v/>
      </c>
      <c r="C518">
        <f>Inputs!$B$3&gt;=103</f>
        <v/>
      </c>
      <c r="D518">
        <f>IF(Skills!C6=1,60+Inputs!$B$26+Inputs!$B$30,IF(Skills!C6=2,90+Inputs!$B$27+Inputs!$B$30,IF(Skills!C6=3,120+Inputs!$B$28+Inputs!$B$30,MAX(0,(Inputs!$B$3-100)*3)+Inputs!$B$29+Inputs!$B$30)))</f>
        <v/>
      </c>
      <c r="E518">
        <f>INDEX(FactorTable!$B$2:$Y$301, MATCH(ROUND(MIN(300,MAX(1,D518)),0), FactorTable!$A$2:$A$301,0), Skills!L6+1)</f>
        <v/>
      </c>
      <c r="F518">
        <f>IF(Skills!M6=TRUE,(Skills!K6/10)*(E518/1000),Skills!K6/10)+Skills!N6</f>
        <v/>
      </c>
      <c r="G518">
        <f>Calc!G6</f>
        <v/>
      </c>
      <c r="H518">
        <f>Calc!H6</f>
        <v/>
      </c>
      <c r="I518">
        <f>IF(Skills!T6&lt;&gt;"",1+(Skills!T6/10)*($Z$3/1000)/100,1)</f>
        <v/>
      </c>
      <c r="J518">
        <f>((Inputs!$B$6*(1+Inputs!$B$7/100))+(((Inputs!$B$13*(1+Inputs!$B$14/100))-(Inputs!$B$13*(1+Inputs!$B$14/100)))+0.25*(Inputs!$B$15-Inputs!$B$15))*(1+Inputs!$B$7/100))*(F518/100)</f>
        <v/>
      </c>
      <c r="K518">
        <f>J518*(1+(((Inputs!$B$13+IF(Inputs!$B$3&gt;=35,(10*INDEX(FactorTable!$B$2:$Y$301,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6="TRIUMPH_FEATHER",IF(C528=TRUE,F528,0),0)/100)*(1+IF(C539=TRUE,F539,0)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518)</f>
        <v/>
      </c>
      <c r="L518">
        <f>K518*(MIN(Inputs!$B$23+(F534-Calc!F22),((Inputs!$B$24+1)+IF(ArtifactsInput!$M$15,CHOOSE(ArtifactsInput!$N$15+1,25,30,35,40,45,50)/100*(Inputs!$B$12-Inputs!$B$12),0)))/100+((Inputs!$B$24+1)+IF(ArtifactsInput!$M$15,CHOOSE(ArtifactsInput!$N$15+1,25,30,35,40,45,50)/100*(Inputs!$B$12-Inputs!$B$12),0))/100)/2</f>
        <v/>
      </c>
      <c r="M518">
        <f>L518*(1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18">
        <f>L518*(1-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(1-Summary!$B$11)*S518+Summary!$B$11*U518</f>
        <v/>
      </c>
      <c r="P518">
        <f>IF(B554=0,0,O518/B554)</f>
        <v/>
      </c>
      <c r="Q518">
        <f>IFERROR(1/(IF(Inputs!$B$39="pvp",15,MAX(0.1,Skills!D6-IF(Skills!E6=TRUE,Inputs!$B$33,0)))*(1-IF(AND(ArtifactsInput!$M$27,Inputs!$B$4="Chapter Hunt"),CHOOSE(ArtifactsInput!$N$27+1,20,24,28,32,36,40),0)/100)),0)</f>
        <v/>
      </c>
      <c r="R518">
        <f>IF(AND(Inputs!$B$39&lt;&gt;"pvp",Inputs!$B$44&gt;0),IF(MAX(0,Inputs!$B$44-B551)&lt;=0,0,(INT(MAX(0,Inputs!$B$44-B551)/(IF(Inputs!$B$39="pvp",15,MAX(0.1,Skills!D6-IF(Skills!E6=TRUE,Inputs!$B$33,0)))*(1-IF(AND(ArtifactsInput!$M$27,Inputs!$B$4="Chapter Hunt"),CHOOSE(ArtifactsInput!$N$27+1,20,24,28,32,36,40),0)/100)))+1)),0)</f>
        <v/>
      </c>
      <c r="S518">
        <f>IF(C518,(H518*N518*IF(AND(Inputs!$B$39&lt;&gt;"pvp",Inputs!$B$44&gt;0),((Skills!F6*((R518-1)*IF(Skills!G6&gt;0,Skills!H6/Skills!G6,1)+IF(Skills!G6&gt;0,MIN(Skills!H6,MAX(0,MAX(0,Inputs!$B$44-B551)-((R518-1)*(IF(Inputs!$B$39="pvp",15,MAX(0.1,Skills!D6-IF(Skills!E6=TRUE,Inputs!$B$33,0)))*(1-IF(AND(ArtifactsInput!$M$27,Inputs!$B$4="Chapter Hunt"),CHOOSE(ArtifactsInput!$N$27+1,20,24,28,32,36,40),0)/100)))))/Skills!G6,1)))/Inputs!$B$44),G518*Q518))*IF(Inputs!$B$39="pvp",1,1+(Inputs!$B$21+Skills!O6+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518*(1-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F(C518,(H518*N518*IF(AND(Inputs!$B$39&lt;&gt;"pvp",Inputs!$B$44&gt;0),((Skills!F6*((R518-1)*IF(Skills!G6&gt;0,Skills!H6/Skills!G6,1)+IF(Skills!G6&gt;0,MIN(Skills!H6,MAX(0,MAX(0,Inputs!$B$44-B551)-((R518-1)*(IF(Inputs!$B$39="pvp",15,MAX(0.1,Skills!D6-IF(Skills!E6=TRUE,Inputs!$B$33,0)))*(1-IF(AND(ArtifactsInput!$M$27,Inputs!$B$4="Chapter Hunt"),CHOOSE(ArtifactsInput!$N$27+1,20,24,28,32,36,40),0)/100)))))/Skills!G6,1)))/Inputs!$B$44),G518*Q518))*IF(Inputs!$B$39="pvp",1,(1+(Inputs!$B$22+Skills!P6+B543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Skills!A7</f>
        <v/>
      </c>
      <c r="B519">
        <f>Skills!B7</f>
        <v/>
      </c>
      <c r="C519">
        <f>Inputs!$B$3&gt;=122</f>
        <v/>
      </c>
      <c r="D519">
        <f>IF(Skills!C7=1,60+Inputs!$B$26+Inputs!$B$30,IF(Skills!C7=2,90+Inputs!$B$27+Inputs!$B$30,IF(Skills!C7=3,120+Inputs!$B$28+Inputs!$B$30,MAX(0,(Inputs!$B$3-100)*3)+Inputs!$B$29+Inputs!$B$30)))</f>
        <v/>
      </c>
      <c r="E519">
        <f>INDEX(FactorTable!$B$2:$Y$301, MATCH(ROUND(MIN(300,MAX(1,D519)),0), FactorTable!$A$2:$A$301,0), Skills!L7+1)</f>
        <v/>
      </c>
      <c r="F519">
        <f>IF(Skills!M7=TRUE,(Skills!K7/10)*(E519/1000),Skills!K7/10)+Skills!N7</f>
        <v/>
      </c>
      <c r="G519">
        <f>Calc!G7</f>
        <v/>
      </c>
      <c r="H519">
        <f>Calc!H7</f>
        <v/>
      </c>
      <c r="I519">
        <f>IF(Skills!T7&lt;&gt;"",1+(Skills!T7/10)*($Z$3/1000)/100,1)</f>
        <v/>
      </c>
      <c r="J519">
        <f>((Inputs!$B$6*(1+Inputs!$B$7/100))+(((Inputs!$B$13*(1+Inputs!$B$14/100))-(Inputs!$B$13*(1+Inputs!$B$14/100)))+0.25*(Inputs!$B$15-Inputs!$B$15))*(1+Inputs!$B$7/100))*(F519/100)</f>
        <v/>
      </c>
      <c r="K519">
        <f>J519*(1+(((Inputs!$B$13+IF(Inputs!$B$3&gt;=35,(10*INDEX(FactorTable!$B$2:$Y$301,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7="TRIUMPH_FEATHER",IF(C528=TRUE,F528,0),0)/100)*(1+IF(C539=TRUE,F539,0)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519)</f>
        <v/>
      </c>
      <c r="L519">
        <f>K519*(MIN(Inputs!$B$23+(F534-Calc!F22),((Inputs!$B$24+1)+IF(ArtifactsInput!$M$15,CHOOSE(ArtifactsInput!$N$15+1,25,30,35,40,45,50)/100*(Inputs!$B$12-Inputs!$B$12),0)))/100+((Inputs!$B$24+1)+IF(ArtifactsInput!$M$15,CHOOSE(ArtifactsInput!$N$15+1,25,30,35,40,45,50)/100*(Inputs!$B$12-Inputs!$B$12),0))/100)/2</f>
        <v/>
      </c>
      <c r="M519">
        <f>L519*(1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19">
        <f>L519*(1-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519*(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9">
        <f>(1-Summary!$B$11)*S519+Summary!$B$11*U519</f>
        <v/>
      </c>
      <c r="P519">
        <f>IF(B554=0,0,O519/B554)</f>
        <v/>
      </c>
      <c r="Q519">
        <f>IFERROR(1/(IF(Inputs!$B$39="pvp",15,MAX(0.1,Skills!D7-IF(Skills!E6=TRUE,Inputs!$B$33,0)))*(1-IF(AND(ArtifactsInput!$M$27,Inputs!$B$4="Chapter Hunt"),CHOOSE(ArtifactsInput!$N$27+1,20,24,28,32,36,40),0)/100)),0)</f>
        <v/>
      </c>
      <c r="R519">
        <f>IF(AND(Inputs!$B$39&lt;&gt;"pvp",Inputs!$B$44&gt;0),IF(MAX(0,Inputs!$B$44-B551)&lt;=0,0,(INT(MAX(0,Inputs!$B$44-B551)/(IF(Inputs!$B$39="pvp",15,MAX(0.1,Skills!D7-IF(Skills!E6=TRUE,Inputs!$B$33,0)))*(1-IF(AND(ArtifactsInput!$M$27,Inputs!$B$4="Chapter Hunt"),CHOOSE(ArtifactsInput!$N$27+1,20,24,28,32,36,40),0)/100)))+1)),0)</f>
        <v/>
      </c>
      <c r="S519">
        <f>IF(C519,H519*N519*IF(AND(Inputs!$B$39&lt;&gt;"pvp",Inputs!$B$44&gt;0),((Skills!F7*((R519-1)*IF(Skills!G7&gt;0,Skills!H7/Skills!G7,1)+IF(Skills!G7&gt;0,MIN(Skills!H7,MAX(0,MAX(0,Inputs!$B$44-B551)-((R519-1)*(IF(Inputs!$B$39="pvp",15,MAX(0.1,Skills!D7-IF(Skills!E6=TRUE,Inputs!$B$33,0)))*(1-IF(AND(ArtifactsInput!$M$27,Inputs!$B$4="Chapter Hunt"),CHOOSE(ArtifactsInput!$N$27+1,20,24,28,32,36,40),0)/100)))))/Skills!G7,1)))/Inputs!$B$44),G519*Q519)*IF(Inputs!$B$39="pvp",1,1+(Inputs!$B$21+Skills!O7+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519*(1-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519*(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519*(1-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519*(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9" t="n">
        <v>0</v>
      </c>
    </row>
    <row r="520">
      <c r="A520">
        <f>Skills!A8</f>
        <v/>
      </c>
      <c r="B520">
        <f>Skills!B8</f>
        <v/>
      </c>
      <c r="C520">
        <f>Inputs!$B$3&gt;=105</f>
        <v/>
      </c>
      <c r="D520">
        <f>IF(Skills!C8=1,60+Inputs!$B$26+Inputs!$B$30,IF(Skills!C8=2,90+Inputs!$B$27+Inputs!$B$30,IF(Skills!C8=3,120+Inputs!$B$28+Inputs!$B$30,MAX(0,(Inputs!$B$3-100)*3)+Inputs!$B$29+Inputs!$B$30)))</f>
        <v/>
      </c>
      <c r="E520">
        <f>INDEX(FactorTable!$B$2:$Y$301, MATCH(ROUND(MIN(300,MAX(1,D520)),0), FactorTable!$A$2:$A$301,0), Skills!L8+1)</f>
        <v/>
      </c>
      <c r="F520">
        <f>IF(Skills!M8=TRUE,(Skills!K8/10)*(E520/1000),Skills!K8/10)+Skills!N8</f>
        <v/>
      </c>
      <c r="G520">
        <f>Calc!G8</f>
        <v/>
      </c>
      <c r="H520">
        <f>Calc!H8</f>
        <v/>
      </c>
      <c r="I520">
        <f>IF(Skills!T8&lt;&gt;"",1+(Skills!T8/10)*($Z$3/1000)/100,1)</f>
        <v/>
      </c>
      <c r="J520">
        <f>((Inputs!$B$6*(1+Inputs!$B$7/100))+(((Inputs!$B$13*(1+Inputs!$B$14/100))-(Inputs!$B$13*(1+Inputs!$B$14/100)))+0.25*(Inputs!$B$15-Inputs!$B$15))*(1+Inputs!$B$7/100))*(F520/100)</f>
        <v/>
      </c>
      <c r="K520">
        <f>J520*(1+(((Inputs!$B$13+IF(Inputs!$B$3&gt;=35,(10*INDEX(FactorTable!$B$2:$Y$301,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8="TRIUMPH_FEATHER",IF(C528=TRUE,F528,0),0)/100)*(1+IF(C539=TRUE,F539,0)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520)</f>
        <v/>
      </c>
      <c r="L520">
        <f>K520*(MIN(Inputs!$B$23+(F534-Calc!F22),((Inputs!$B$24+1)+IF(ArtifactsInput!$M$15,CHOOSE(ArtifactsInput!$N$15+1,25,30,35,40,45,50)/100*(Inputs!$B$12-Inputs!$B$12),0)))/100+((Inputs!$B$24+1)+IF(ArtifactsInput!$M$15,CHOOSE(ArtifactsInput!$N$15+1,25,30,35,40,45,50)/100*(Inputs!$B$12-Inputs!$B$12),0))/100)/2</f>
        <v/>
      </c>
      <c r="M520">
        <f>L520*(1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0">
        <f>L520*(1-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520*(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0">
        <f>(1-Summary!$B$11)*S520+Summary!$B$11*U520</f>
        <v/>
      </c>
      <c r="P520">
        <f>IF(B554=0,0,O520/B554)</f>
        <v/>
      </c>
      <c r="Q520">
        <f>IFERROR(1/(IF(Inputs!$B$39="pvp",15,MAX(0.1,Skills!D8-IF(Skills!E8=TRUE,Inputs!$B$33,0)))*(1-IF(AND(ArtifactsInput!$M$27,Inputs!$B$4="Chapter Hunt"),CHOOSE(ArtifactsInput!$N$27+1,20,24,28,32,36,40),0)/100)),0)</f>
        <v/>
      </c>
      <c r="R520">
        <f>IF(AND(Inputs!$B$39&lt;&gt;"pvp",Inputs!$B$44&gt;0),IF(MAX(0,Inputs!$B$44-B551)&lt;=0,0,(INT(MAX(0,Inputs!$B$44-B551)/(IF(Inputs!$B$39="pvp",15,MAX(0.1,Skills!D8-IF(Skills!E8=TRUE,Inputs!$B$33,0)))*(1-IF(AND(ArtifactsInput!$M$27,Inputs!$B$4="Chapter Hunt"),CHOOSE(ArtifactsInput!$N$27+1,20,24,28,32,36,40),0)/100)))+1)),0)</f>
        <v/>
      </c>
      <c r="S520">
        <f>IF(C520,(H520*N520*IF(AND(Inputs!$B$39&lt;&gt;"pvp",Inputs!$B$44&gt;0),((Skills!F8*((R520-1)*IF(Skills!G8&gt;0,Skills!H8/Skills!G8,1)+IF(Skills!G8&gt;0,MIN(Skills!H8,MAX(0,MAX(0,Inputs!$B$44-B551)-((R520-1)*(IF(Inputs!$B$39="pvp",15,MAX(0.1,Skills!D8-IF(Skills!E8=TRUE,Inputs!$B$33,0)))*(1-IF(AND(ArtifactsInput!$M$27,Inputs!$B$4="Chapter Hunt"),CHOOSE(ArtifactsInput!$N$27+1,20,24,28,32,36,40),0)/100)))))/Skills!G8,1)))/Inputs!$B$44),G520*Q520))*IF(Inputs!$B$39="pvp",1,1+(Inputs!$B$21+Skills!O8+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520*(1-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520*(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520*(1-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520*(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0">
        <f>IF(C520,(H520*N520*IF(AND(Inputs!$B$39&lt;&gt;"pvp",Inputs!$B$44&gt;0),((Skills!F8*((R520-1)*IF(Skills!G8&gt;0,Skills!H8/Skills!G8,1)+IF(Skills!G8&gt;0,MIN(Skills!H8,MAX(0,MAX(0,Inputs!$B$44-B551)-((R520-1)*(IF(Inputs!$B$39="pvp",15,MAX(0.1,Skills!D8-IF(Skills!E8=TRUE,Inputs!$B$33,0)))*(1-IF(AND(ArtifactsInput!$M$27,Inputs!$B$4="Chapter Hunt"),CHOOSE(ArtifactsInput!$N$27+1,20,24,28,32,36,40),0)/100)))))/Skills!G8,1)))/Inputs!$B$44),G520*Q520))*IF(Inputs!$B$39="pvp",1,(1+(Inputs!$B$22+Skills!P8+B543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1">
      <c r="A521">
        <f>Skills!A9</f>
        <v/>
      </c>
      <c r="B521">
        <f>Skills!B9</f>
        <v/>
      </c>
      <c r="C521">
        <f>Inputs!$B$3&gt;=115</f>
        <v/>
      </c>
      <c r="D521">
        <f>IF(Skills!C9=1,60+Inputs!$B$26+Inputs!$B$30,IF(Skills!C9=2,90+Inputs!$B$27+Inputs!$B$30,IF(Skills!C9=3,120+Inputs!$B$28+Inputs!$B$30,MAX(0,(Inputs!$B$3-100)*3)+Inputs!$B$29+Inputs!$B$30)))</f>
        <v/>
      </c>
      <c r="E521">
        <f>INDEX(FactorTable!$B$2:$Y$301, MATCH(ROUND(MIN(300,MAX(1,D521)),0), FactorTable!$A$2:$A$301,0), Skills!L9+1)</f>
        <v/>
      </c>
      <c r="F521">
        <f>IF(Skills!M9=TRUE,(Skills!K9/10)*(E521/1000),Skills!K9/10)+Skills!N9</f>
        <v/>
      </c>
      <c r="G521">
        <f>Calc!G9</f>
        <v/>
      </c>
      <c r="H521">
        <f>Calc!H9</f>
        <v/>
      </c>
      <c r="I521">
        <f>IF(Skills!T9&lt;&gt;"",1+(Skills!T9/10)*($Z$3/1000)/100,1)</f>
        <v/>
      </c>
      <c r="J521">
        <f>((Inputs!$B$6*(1+Inputs!$B$7/100))+(((Inputs!$B$13*(1+Inputs!$B$14/100))-(Inputs!$B$13*(1+Inputs!$B$14/100)))+0.25*(Inputs!$B$15-Inputs!$B$15))*(1+Inputs!$B$7/100))*(F521/100)</f>
        <v/>
      </c>
      <c r="K521">
        <f>J521*(1+(((Inputs!$B$13+IF(Inputs!$B$3&gt;=35,(10*INDEX(FactorTable!$B$2:$Y$301,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9="TRIUMPH_FEATHER",IF(C528=TRUE,F528,0),0)/100)*(1+IF(C539=TRUE,F539,0)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521)</f>
        <v/>
      </c>
      <c r="L521">
        <f>K521*(MIN(Inputs!$B$23+(F534-Calc!F22),((Inputs!$B$24+1)+IF(ArtifactsInput!$M$15,CHOOSE(ArtifactsInput!$N$15+1,25,30,35,40,45,50)/100*(Inputs!$B$12-Inputs!$B$12),0)))/100+((Inputs!$B$24+1)+IF(ArtifactsInput!$M$15,CHOOSE(ArtifactsInput!$N$15+1,25,30,35,40,45,50)/100*(Inputs!$B$12-Inputs!$B$12),0))/100)/2</f>
        <v/>
      </c>
      <c r="M521">
        <f>L521*(1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1">
        <f>L521*(1-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(1-Summary!$B$11)*S521+Summary!$B$11*U521</f>
        <v/>
      </c>
      <c r="P521">
        <f>IF(B554=0,0,O521/B554)</f>
        <v/>
      </c>
      <c r="Q521">
        <f>IFERROR(1/(IF(Inputs!$B$39="pvp",15,MAX(0.1,Skills!D9-IF(Skills!E9=TRUE,Inputs!$B$33,0)))*(1-IF(AND(ArtifactsInput!$M$27,Inputs!$B$4="Chapter Hunt"),CHOOSE(ArtifactsInput!$N$27+1,20,24,28,32,36,40),0)/100)),0)</f>
        <v/>
      </c>
      <c r="R521">
        <f>IF(AND(Inputs!$B$39&lt;&gt;"pvp",Inputs!$B$44&gt;0),IF(MAX(0,Inputs!$B$44-B551)&lt;=0,0,(INT(MAX(0,Inputs!$B$44-B551)/(IF(Inputs!$B$39="pvp",15,MAX(0.1,Skills!D9-IF(Skills!E9=TRUE,Inputs!$B$33,0)))*(1-IF(AND(ArtifactsInput!$M$27,Inputs!$B$4="Chapter Hunt"),CHOOSE(ArtifactsInput!$N$27+1,20,24,28,32,36,40),0)/100)))+1)),0)</f>
        <v/>
      </c>
      <c r="S521">
        <f>IF(C521,(H521*N521*IF(AND(Inputs!$B$39&lt;&gt;"pvp",Inputs!$B$44&gt;0),((Skills!F9*((R521-1)*IF(Skills!G9&gt;0,Skills!H9/Skills!G9,1)+IF(Skills!G9&gt;0,MIN(Skills!H9,MAX(0,MAX(0,Inputs!$B$44-B551)-((R521-1)*(IF(Inputs!$B$39="pvp",15,MAX(0.1,Skills!D9-IF(Skills!E9=TRUE,Inputs!$B$33,0)))*(1-IF(AND(ArtifactsInput!$M$27,Inputs!$B$4="Chapter Hunt"),CHOOSE(ArtifactsInput!$N$27+1,20,24,28,32,36,40),0)/100)))))/Skills!G9,1)))/Inputs!$B$44),G521*Q521))*IF(Inputs!$B$39="pvp",1,1+(Inputs!$B$21+Skills!O9+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521*(1-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1">
        <f>IF(C521,(H521*N521*IF(AND(Inputs!$B$39&lt;&gt;"pvp",Inputs!$B$44&gt;0),((Skills!F9*((R521-1)*IF(Skills!G9&gt;0,Skills!H9/Skills!G9,1)+IF(Skills!G9&gt;0,MIN(Skills!H9,MAX(0,MAX(0,Inputs!$B$44-B551)-((R521-1)*(IF(Inputs!$B$39="pvp",15,MAX(0.1,Skills!D9-IF(Skills!E9=TRUE,Inputs!$B$33,0)))*(1-IF(AND(ArtifactsInput!$M$27,Inputs!$B$4="Chapter Hunt"),CHOOSE(ArtifactsInput!$N$27+1,20,24,28,32,36,40),0)/100)))))/Skills!G9,1)))/Inputs!$B$44),G521*Q521))*IF(Inputs!$B$39="pvp",1,(1+(Inputs!$B$22+Skills!P9+B543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Skills!A10</f>
        <v/>
      </c>
      <c r="B522">
        <f>Skills!B10</f>
        <v/>
      </c>
      <c r="C522">
        <f>Inputs!$B$3&gt;=66</f>
        <v/>
      </c>
      <c r="D522">
        <f>IF(Skills!C10=1,60+Inputs!$B$26+Inputs!$B$30,IF(Skills!C10=2,90+Inputs!$B$27+Inputs!$B$30,IF(Skills!C10=3,120+Inputs!$B$28+Inputs!$B$30,MAX(0,(Inputs!$B$3-100)*3)+Inputs!$B$29+Inputs!$B$30)))</f>
        <v/>
      </c>
      <c r="E522">
        <f>INDEX(FactorTable!$B$2:$Y$301, MATCH(ROUND(MIN(300,MAX(1,D522)),0), FactorTable!$A$2:$A$301,0), Skills!L10+1)</f>
        <v/>
      </c>
      <c r="F522" t="n">
        <v>0</v>
      </c>
      <c r="G522">
        <f>Calc!G10</f>
        <v/>
      </c>
      <c r="H522">
        <f>Calc!H10</f>
        <v/>
      </c>
      <c r="I522">
        <f>IF(Skills!T10&lt;&gt;"",1+(Skills!T10/10)*($Z$3/1000)/100,1)</f>
        <v/>
      </c>
      <c r="J522" t="inlineStr"/>
      <c r="K522" t="inlineStr"/>
      <c r="L522" t="inlineStr"/>
      <c r="M522" t="inlineStr"/>
      <c r="N522" t="inlineStr"/>
      <c r="O522">
        <f>(1-Summary!$B$11)*S522+Summary!$B$11*U522</f>
        <v/>
      </c>
      <c r="P522">
        <f>IF(B554=0,0,O522/B554)</f>
        <v/>
      </c>
      <c r="Q522">
        <f>IFERROR(1/(IF(Inputs!$B$39="pvp",15,MAX(0.1,Skills!D10-IF(Skills!E10=TRUE,Inputs!$B$33,0)))*(1-IF(AND(ArtifactsInput!$M$27,Inputs!$B$4="Chapter Hunt"),CHOOSE(ArtifactsInput!$N$27+1,20,24,28,32,36,40),0)/100)),0)</f>
        <v/>
      </c>
      <c r="R522">
        <f>IF(AND(Inputs!$B$39&lt;&gt;"pvp",Inputs!$B$44&gt;0),IF(MAX(0,Inputs!$B$44-B551)&lt;=0,0,(INT(MAX(0,Inputs!$B$44-B551)/(IF(Inputs!$B$39="pvp",15,MAX(0.1,Skills!D10-IF(Skills!E10=TRUE,Inputs!$B$33,0)))*(1-IF(AND(ArtifactsInput!$M$27,Inputs!$B$4="Chapter Hunt"),CHOOSE(ArtifactsInput!$N$27+1,20,24,28,32,36,40),0)/100)))+1)),0)</f>
        <v/>
      </c>
      <c r="S522" t="n">
        <v>0</v>
      </c>
      <c r="U522" t="n">
        <v>0</v>
      </c>
    </row>
    <row r="523">
      <c r="A523">
        <f>Skills!A11</f>
        <v/>
      </c>
      <c r="B523">
        <f>Skills!B11</f>
        <v/>
      </c>
      <c r="C523">
        <f>Inputs!$B$3&gt;=69</f>
        <v/>
      </c>
      <c r="D523">
        <f>IF(Skills!C11=1,60+Inputs!$B$26+Inputs!$B$30,IF(Skills!C11=2,90+Inputs!$B$27+Inputs!$B$30,IF(Skills!C11=3,120+Inputs!$B$28+Inputs!$B$30,MAX(0,(Inputs!$B$3-100)*3)+Inputs!$B$29+Inputs!$B$30)))</f>
        <v/>
      </c>
      <c r="E523">
        <f>INDEX(FactorTable!$B$2:$Y$301, MATCH(ROUND(MIN(300,MAX(1,D523)),0), FactorTable!$A$2:$A$301,0), Skills!L11+1)</f>
        <v/>
      </c>
      <c r="F523">
        <f>IF(Skills!M11=TRUE,(Skills!K11/10)*(E523/1000),Skills!K11/10)+Skills!N11</f>
        <v/>
      </c>
      <c r="G523">
        <f>Calc!G11</f>
        <v/>
      </c>
      <c r="H523">
        <f>Calc!H11</f>
        <v/>
      </c>
      <c r="I523">
        <f>IF(Skills!T11&lt;&gt;"",1+(Skills!T11/10)*($Z$3/1000)/100,1)</f>
        <v/>
      </c>
      <c r="J523" t="inlineStr"/>
      <c r="K523" t="inlineStr"/>
      <c r="L523" t="inlineStr"/>
      <c r="M523" t="inlineStr"/>
      <c r="N523" t="inlineStr"/>
      <c r="O523">
        <f>(1-Summary!$B$11)*S523+Summary!$B$11*U523</f>
        <v/>
      </c>
      <c r="P523">
        <f>IF(B554=0,0,O523/B554)</f>
        <v/>
      </c>
      <c r="Q523">
        <f>IFERROR(1/(IF(Inputs!$B$39="pvp",15,MAX(0.1,Skills!D11-IF(Skills!E11=TRUE,Inputs!$B$33,0)))*(1-IF(AND(ArtifactsInput!$M$27,Inputs!$B$4="Chapter Hunt"),CHOOSE(ArtifactsInput!$N$27+1,20,24,28,32,36,40),0)/100)),0)</f>
        <v/>
      </c>
      <c r="R523">
        <f>IF(AND(Inputs!$B$39&lt;&gt;"pvp",Inputs!$B$44&gt;0),IF(Inputs!$B$44&lt;=0,0,(INT(Inputs!$B$44/(IF(Inputs!$B$39="pvp",15,MAX(0.1,Skills!D11-IF(Skills!E11=TRUE,Inputs!$B$33,0)))*(1-IF(AND(ArtifactsInput!$M$27,Inputs!$B$4="Chapter Hunt"),CHOOSE(ArtifactsInput!$N$27+1,20,24,28,32,36,40),0)/100)))+1)),0)</f>
        <v/>
      </c>
      <c r="S523" t="n">
        <v>0</v>
      </c>
      <c r="U523" t="n">
        <v>0</v>
      </c>
    </row>
    <row r="524">
      <c r="A524">
        <f>Skills!A12</f>
        <v/>
      </c>
      <c r="B524">
        <f>Skills!B12</f>
        <v/>
      </c>
      <c r="C524">
        <f>Inputs!$B$3&gt;=72</f>
        <v/>
      </c>
      <c r="D524">
        <f>IF(Skills!C12=1,60+Inputs!$B$26+Inputs!$B$30,IF(Skills!C12=2,90+Inputs!$B$27+Inputs!$B$30,IF(Skills!C12=3,120+Inputs!$B$28+Inputs!$B$30,MAX(0,(Inputs!$B$3-100)*3)+Inputs!$B$29+Inputs!$B$30)))</f>
        <v/>
      </c>
      <c r="E524">
        <f>INDEX(FactorTable!$B$2:$Y$301, MATCH(ROUND(MIN(300,MAX(1,D524)),0), FactorTable!$A$2:$A$301,0), Skills!L12+1)</f>
        <v/>
      </c>
      <c r="F524">
        <f>IF(Skills!M12=TRUE,(Skills!K12/10)*(E524/1000),Skills!K12/10)+Skills!N12</f>
        <v/>
      </c>
      <c r="G524">
        <f>Calc!G12</f>
        <v/>
      </c>
      <c r="H524">
        <f>Calc!H12</f>
        <v/>
      </c>
      <c r="I524">
        <f>IF(Skills!T12&lt;&gt;"",1+(Skills!T12/10)*($Z$3/1000)/100,1)</f>
        <v/>
      </c>
      <c r="J524" t="inlineStr"/>
      <c r="K524" t="inlineStr"/>
      <c r="L524" t="inlineStr"/>
      <c r="M524" t="inlineStr"/>
      <c r="N524" t="inlineStr"/>
      <c r="O524">
        <f>(1-Summary!$B$11)*S524+Summary!$B$11*U524</f>
        <v/>
      </c>
      <c r="P524">
        <f>IF(B554=0,0,O524/B554)</f>
        <v/>
      </c>
      <c r="Q524">
        <f>IFERROR(1/(IF(Inputs!$B$39="pvp",15,MAX(0.1,Skills!D12-IF(Skills!E12=TRUE,Inputs!$B$33,0)))*(1-IF(AND(ArtifactsInput!$M$27,Inputs!$B$4="Chapter Hunt"),CHOOSE(ArtifactsInput!$N$27+1,20,24,28,32,36,40),0)/100)),0)</f>
        <v/>
      </c>
      <c r="R524">
        <f>IF(AND(Inputs!$B$39&lt;&gt;"pvp",Inputs!$B$44&gt;0),IF(MAX(0,Inputs!$B$44-B551)&lt;=0,0,(INT(MAX(0,Inputs!$B$44-B551)/(IF(Inputs!$B$39="pvp",15,MAX(0.1,Skills!D12-IF(Skills!E12=TRUE,Inputs!$B$33,0)))*(1-IF(AND(ArtifactsInput!$M$27,Inputs!$B$4="Chapter Hunt"),CHOOSE(ArtifactsInput!$N$27+1,20,24,28,32,36,40),0)/100)))+1)),0)</f>
        <v/>
      </c>
      <c r="S524" t="n">
        <v>0</v>
      </c>
      <c r="U524" t="n">
        <v>0</v>
      </c>
    </row>
    <row r="525">
      <c r="A525">
        <f>Skills!A13</f>
        <v/>
      </c>
      <c r="B525">
        <f>Skills!B13</f>
        <v/>
      </c>
      <c r="C525">
        <f>Inputs!$B$3&gt;=60</f>
        <v/>
      </c>
      <c r="D525">
        <f>IF(Skills!C13=1,60+Inputs!$B$26+Inputs!$B$30,IF(Skills!C13=2,90+Inputs!$B$27+Inputs!$B$30,IF(Skills!C13=3,120+Inputs!$B$28+Inputs!$B$30,MAX(0,(Inputs!$B$3-100)*3)+Inputs!$B$29+Inputs!$B$30)))</f>
        <v/>
      </c>
      <c r="E525">
        <f>INDEX(FactorTable!$B$2:$Y$301, MATCH(ROUND(MIN(300,MAX(1,D525)),0), FactorTable!$A$2:$A$301,0), Skills!L13+1)</f>
        <v/>
      </c>
      <c r="F525">
        <f>IF(Skills!M13=TRUE,(Skills!K13/10)*(E525/1000),Skills!K13/10)+Skills!N13</f>
        <v/>
      </c>
      <c r="G525">
        <f>Calc!G13</f>
        <v/>
      </c>
      <c r="H525">
        <f>Calc!H13</f>
        <v/>
      </c>
      <c r="I525">
        <f>IF(Skills!T13&lt;&gt;"",1+(Skills!T13/10)*($Z$3/1000)/100,1)</f>
        <v/>
      </c>
      <c r="J525" t="inlineStr"/>
      <c r="K525" t="inlineStr"/>
      <c r="L525" t="inlineStr"/>
      <c r="M525" t="inlineStr"/>
      <c r="N525" t="inlineStr"/>
      <c r="O525">
        <f>(1-Summary!$B$11)*S525+Summary!$B$11*U525</f>
        <v/>
      </c>
      <c r="P525">
        <f>IF(B554=0,0,O525/B554)</f>
        <v/>
      </c>
      <c r="Q525">
        <f>IFERROR(1/(IF(Inputs!$B$39="pvp",15,MAX(0.1,Skills!D13-IF(Skills!E13=TRUE,Inputs!$B$33,0)))*(1-IF(AND(ArtifactsInput!$M$27,Inputs!$B$4="Chapter Hunt"),CHOOSE(ArtifactsInput!$N$27+1,20,24,28,32,36,40),0)/100)),0)</f>
        <v/>
      </c>
      <c r="R525">
        <f>IF(AND(Inputs!$B$39&lt;&gt;"pvp",Inputs!$B$44&gt;0),IF(MAX(0,Inputs!$B$44-B551)&lt;=0,0,(INT(MAX(0,Inputs!$B$44-B551)/(IF(Inputs!$B$39="pvp",15,MAX(0.1,Skills!D13-IF(Skills!E13=TRUE,Inputs!$B$33,0)))*(1-IF(AND(ArtifactsInput!$M$27,Inputs!$B$4="Chapter Hunt"),CHOOSE(ArtifactsInput!$N$27+1,20,24,28,32,36,40),0)/100)))+1)),0)</f>
        <v/>
      </c>
      <c r="S525" t="n">
        <v>0</v>
      </c>
      <c r="U525" t="n">
        <v>0</v>
      </c>
    </row>
    <row r="526">
      <c r="A526">
        <f>Skills!A14</f>
        <v/>
      </c>
      <c r="B526">
        <f>Skills!B14</f>
        <v/>
      </c>
      <c r="C526">
        <f>Inputs!$B$3&gt;=107</f>
        <v/>
      </c>
      <c r="D526">
        <f>IF(Skills!C14=1,60+Inputs!$B$26+Inputs!$B$30,IF(Skills!C14=2,90+Inputs!$B$27+Inputs!$B$30,IF(Skills!C14=3,120+Inputs!$B$28+Inputs!$B$30,MAX(0,(Inputs!$B$3-100)*3)+Inputs!$B$29+Inputs!$B$30)))</f>
        <v/>
      </c>
      <c r="E526">
        <f>INDEX(FactorTable!$B$2:$Y$301, MATCH(ROUND(MIN(300,MAX(1,D526)),0), FactorTable!$A$2:$A$301,0), Skills!L14+1)</f>
        <v/>
      </c>
      <c r="F526">
        <f>IF(Skills!M14=TRUE,(Skills!K14/10)*(E526/1000),Skills!K14/10)+Skills!N14</f>
        <v/>
      </c>
      <c r="G526">
        <f>Calc!G14</f>
        <v/>
      </c>
      <c r="H526">
        <f>Calc!H14</f>
        <v/>
      </c>
      <c r="I526">
        <f>IF(Skills!T14&lt;&gt;"",1+(Skills!T14/10)*($Z$3/1000)/100,1)</f>
        <v/>
      </c>
      <c r="J526" t="inlineStr"/>
      <c r="K526" t="inlineStr"/>
      <c r="L526" t="inlineStr"/>
      <c r="M526" t="inlineStr"/>
      <c r="N526" t="inlineStr"/>
      <c r="O526">
        <f>(1-Summary!$B$11)*S526+Summary!$B$11*U526</f>
        <v/>
      </c>
      <c r="P526">
        <f>IF(B554=0,0,O526/B554)</f>
        <v/>
      </c>
      <c r="Q526">
        <f>IFERROR(1/(IF(Inputs!$B$39="pvp",15,MAX(0.1,Skills!D14-IF(Skills!E14=TRUE,Inputs!$B$33,0)))*(1-IF(AND(ArtifactsInput!$M$27,Inputs!$B$4="Chapter Hunt"),CHOOSE(ArtifactsInput!$N$27+1,20,24,28,32,36,40),0)/100)),0)</f>
        <v/>
      </c>
      <c r="R526">
        <f>IF(AND(Inputs!$B$39&lt;&gt;"pvp",Inputs!$B$44&gt;0),IF(Inputs!$B$44&lt;=0,0,(INT(Inputs!$B$44/(IF(Inputs!$B$39="pvp",15,MAX(0.1,Skills!D14-IF(Skills!E14=TRUE,Inputs!$B$33,0)))*(1-IF(AND(ArtifactsInput!$M$27,Inputs!$B$4="Chapter Hunt"),CHOOSE(ArtifactsInput!$N$27+1,20,24,28,32,36,40),0)/100)))+1)),0)</f>
        <v/>
      </c>
      <c r="S526" t="n">
        <v>0</v>
      </c>
      <c r="U526" t="n">
        <v>0</v>
      </c>
    </row>
    <row r="527">
      <c r="A527">
        <f>Skills!A15</f>
        <v/>
      </c>
      <c r="B527">
        <f>Skills!B15</f>
        <v/>
      </c>
      <c r="C527">
        <f>Inputs!$B$3&gt;=63</f>
        <v/>
      </c>
      <c r="D527">
        <f>IF(Skills!C15=1,60+Inputs!$B$26+Inputs!$B$30,IF(Skills!C15=2,90+Inputs!$B$27+Inputs!$B$30,IF(Skills!C15=3,120+Inputs!$B$28+Inputs!$B$30,MAX(0,(Inputs!$B$3-100)*3)+Inputs!$B$29+Inputs!$B$30)))</f>
        <v/>
      </c>
      <c r="E527">
        <f>INDEX(FactorTable!$B$2:$Y$301, MATCH(ROUND(MIN(300,MAX(1,D527)),0), FactorTable!$A$2:$A$301,0), Skills!L15+1)</f>
        <v/>
      </c>
      <c r="F527">
        <f>IF(Skills!M15=TRUE,(Skills!K15/10)*(E527/1000),Skills!K15/10)+Skills!N15</f>
        <v/>
      </c>
      <c r="G527">
        <f>Calc!G15</f>
        <v/>
      </c>
      <c r="H527">
        <f>Calc!H15</f>
        <v/>
      </c>
      <c r="I527">
        <f>IF(Skills!T15&lt;&gt;"",1+(Skills!T15/10)*($Z$3/1000)/100,1)</f>
        <v/>
      </c>
      <c r="J527">
        <f>((Inputs!$B$6*(1+Inputs!$B$7/100))+(((Inputs!$B$13*(1+Inputs!$B$14/100))-(Inputs!$B$13*(1+Inputs!$B$14/100)))+0.25*(Inputs!$B$15-Inputs!$B$15))*(1+Inputs!$B$7/100))*(F527/100)</f>
        <v/>
      </c>
      <c r="K527">
        <f>J527*(1+(((Inputs!$B$13+IF(Inputs!$B$3&gt;=35,(10*INDEX(FactorTable!$B$2:$Y$301,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15="TRIUMPH_FEATHER",IF(C528=TRUE,F528,0),0)/100)*(1+IF(C539=TRUE,F539,0)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527)</f>
        <v/>
      </c>
      <c r="L527">
        <f>K527*(MIN(Inputs!$B$23+(F534-Calc!F22),((Inputs!$B$24+1)+IF(ArtifactsInput!$M$15,CHOOSE(ArtifactsInput!$N$15+1,25,30,35,40,45,50)/100*(Inputs!$B$12-Inputs!$B$12),0)))/100+((Inputs!$B$24+1)+IF(ArtifactsInput!$M$15,CHOOSE(ArtifactsInput!$N$15+1,25,30,35,40,45,50)/100*(Inputs!$B$12-Inputs!$B$12),0))/100)/2</f>
        <v/>
      </c>
      <c r="M527">
        <f>L527*(1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7">
        <f>L527*(1-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(1-Summary!$B$11)*S527+Summary!$B$11*U527</f>
        <v/>
      </c>
      <c r="P527">
        <f>IF(B554=0,0,O527/B554)</f>
        <v/>
      </c>
      <c r="Q527">
        <f>IFERROR(1/(IF(Inputs!$B$39="pvp",15,MAX(0.1,Skills!D15-IF(Skills!E15=TRUE,Inputs!$B$33,0)))*(1-IF(AND(ArtifactsInput!$M$27,Inputs!$B$4="Chapter Hunt"),CHOOSE(ArtifactsInput!$N$27+1,20,24,28,32,36,40),0)/100)),0)</f>
        <v/>
      </c>
      <c r="R527" t="n">
        <v>0</v>
      </c>
      <c r="S527">
        <f>IF(C527,(Skills!F15*N527*((IF(Inputs!$B$3&gt;=78,25,15)/100*B547*10)/(1+IF(Inputs!$B$3&gt;=78,25,15)/100*B547*10))*(Skills!I15/100*B547)/(1+Skills!G15*Skills!I15/100*B547))*IF(Inputs!$B$39="pvp",1,1+(Inputs!$B$21+Skills!O15+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527*(1-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7">
        <f>IF(C527,(Skills!F15*N527*((IF(Inputs!$B$3&gt;=78,25,15)/100*B547*10)/(1+IF(Inputs!$B$3&gt;=78,25,15)/100*B547*10))*(Skills!I15/100*B547)/(1+Skills!G15*Skills!I15/100*B547))*IF(Inputs!$B$39="pvp",1,(1+(Inputs!$B$22+Skills!P15+B543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Skills!A16</f>
        <v/>
      </c>
      <c r="B528">
        <f>Skills!B16</f>
        <v/>
      </c>
      <c r="C528">
        <f>Inputs!$B$3&gt;=100</f>
        <v/>
      </c>
      <c r="D528">
        <f>IF(Skills!C16=1,60+Inputs!$B$26+Inputs!$B$30,IF(Skills!C16=2,90+Inputs!$B$27+Inputs!$B$30,IF(Skills!C16=3,120+Inputs!$B$28+Inputs!$B$30,MAX(0,(Inputs!$B$3-100)*3)+Inputs!$B$29+Inputs!$B$30)))</f>
        <v/>
      </c>
      <c r="E528">
        <f>INDEX(FactorTable!$B$2:$Y$301, MATCH(ROUND(MIN(300,MAX(1,D528)),0), FactorTable!$A$2:$A$301,0), Skills!L16+1)</f>
        <v/>
      </c>
      <c r="F528">
        <f>IF(Skills!M16=TRUE,(Skills!K16/10)*(E528/1000),Skills!K16/10)+Skills!N16</f>
        <v/>
      </c>
      <c r="G528">
        <f>Calc!G16</f>
        <v/>
      </c>
      <c r="H528">
        <f>Calc!H16</f>
        <v/>
      </c>
      <c r="I528">
        <f>IF(Skills!T16&lt;&gt;"",1+(Skills!T16/10)*($Z$3/1000)/100,1)</f>
        <v/>
      </c>
      <c r="J528" t="inlineStr"/>
      <c r="K528" t="inlineStr"/>
      <c r="L528" t="inlineStr"/>
      <c r="M528" t="inlineStr"/>
      <c r="N528" t="inlineStr"/>
      <c r="O528">
        <f>(1-Summary!$B$11)*S528+Summary!$B$11*U528</f>
        <v/>
      </c>
      <c r="P528">
        <f>IF(B554=0,0,O528/B554)</f>
        <v/>
      </c>
      <c r="Q528">
        <f>IFERROR(1/(IF(Inputs!$B$39="pvp",15,MAX(0.1,Skills!D16-IF(Skills!E16=TRUE,Inputs!$B$33,0)))*(1-IF(AND(ArtifactsInput!$M$27,Inputs!$B$4="Chapter Hunt"),CHOOSE(ArtifactsInput!$N$27+1,20,24,28,32,36,40),0)/100)),0)</f>
        <v/>
      </c>
      <c r="R528" t="n">
        <v>0</v>
      </c>
      <c r="S528" t="n">
        <v>0</v>
      </c>
      <c r="U528" t="n">
        <v>0</v>
      </c>
    </row>
    <row r="529">
      <c r="A529">
        <f>Skills!A17</f>
        <v/>
      </c>
      <c r="B529">
        <f>Skills!B17</f>
        <v/>
      </c>
      <c r="C529">
        <f>Inputs!$B$3&gt;=49</f>
        <v/>
      </c>
      <c r="D529">
        <f>IF(Skills!C17=1,60+Inputs!$B$26+Inputs!$B$30,IF(Skills!C17=2,90+Inputs!$B$27+Inputs!$B$30,IF(Skills!C17=3,120+Inputs!$B$28+Inputs!$B$30,MAX(0,(Inputs!$B$3-100)*3)+Inputs!$B$29+Inputs!$B$30)))</f>
        <v/>
      </c>
      <c r="E529">
        <f>INDEX(FactorTable!$B$2:$Y$301, MATCH(ROUND(MIN(300,MAX(1,D529)),0), FactorTable!$A$2:$A$301,0), Skills!L17+1)</f>
        <v/>
      </c>
      <c r="F529">
        <f>IF(Skills!M17=TRUE,(Skills!K17/10)*(E529/1000),Skills!K17/10)+Skills!N17</f>
        <v/>
      </c>
      <c r="G529">
        <f>Calc!G17</f>
        <v/>
      </c>
      <c r="H529">
        <f>Calc!H17</f>
        <v/>
      </c>
      <c r="I529">
        <f>IF(Skills!T17&lt;&gt;"",1+(Skills!T17/10)*($Z$3/1000)/100,1)</f>
        <v/>
      </c>
      <c r="J529" t="inlineStr"/>
      <c r="K529" t="inlineStr"/>
      <c r="L529" t="inlineStr"/>
      <c r="M529" t="inlineStr"/>
      <c r="N529" t="inlineStr"/>
      <c r="O529">
        <f>(1-Summary!$B$11)*S529+Summary!$B$11*U529</f>
        <v/>
      </c>
      <c r="P529">
        <f>IF(B554=0,0,O529/B554)</f>
        <v/>
      </c>
      <c r="Q529">
        <f>IFERROR(1/(IF(Inputs!$B$39="pvp",15,MAX(0.1,Skills!D17-IF(Skills!E17=TRUE,Inputs!$B$33,0)))*(1-IF(AND(ArtifactsInput!$M$27,Inputs!$B$4="Chapter Hunt"),CHOOSE(ArtifactsInput!$N$27+1,20,24,28,32,36,40),0)/100)),0)</f>
        <v/>
      </c>
      <c r="R529" t="n">
        <v>0</v>
      </c>
      <c r="S529" t="n">
        <v>0</v>
      </c>
      <c r="U529" t="n">
        <v>0</v>
      </c>
    </row>
    <row r="530">
      <c r="A530">
        <f>Skills!A18</f>
        <v/>
      </c>
      <c r="B530">
        <f>Skills!B18</f>
        <v/>
      </c>
      <c r="C530">
        <f>Inputs!$B$3&gt;=75</f>
        <v/>
      </c>
      <c r="D530">
        <f>IF(Skills!C18=1,60+Inputs!$B$26+Inputs!$B$30,IF(Skills!C18=2,90+Inputs!$B$27+Inputs!$B$30,IF(Skills!C18=3,120+Inputs!$B$28+Inputs!$B$30,MAX(0,(Inputs!$B$3-100)*3)+Inputs!$B$29+Inputs!$B$30)))</f>
        <v/>
      </c>
      <c r="E530">
        <f>INDEX(FactorTable!$B$2:$Y$301, MATCH(ROUND(MIN(300,MAX(1,D530)),0), FactorTable!$A$2:$A$301,0), Skills!L18+1)</f>
        <v/>
      </c>
      <c r="F530">
        <f>IF(Skills!M18=TRUE,(Skills!K18/10)*(E530/1000),Skills!K18/10)+Skills!N18</f>
        <v/>
      </c>
      <c r="G530">
        <f>Calc!G18</f>
        <v/>
      </c>
      <c r="H530">
        <f>Calc!H18</f>
        <v/>
      </c>
      <c r="I530">
        <f>IF(Skills!T18&lt;&gt;"",1+(Skills!T18/10)*($Z$3/1000)/100,1)</f>
        <v/>
      </c>
      <c r="J530" t="inlineStr"/>
      <c r="K530" t="inlineStr"/>
      <c r="L530" t="inlineStr"/>
      <c r="M530" t="inlineStr"/>
      <c r="N530" t="inlineStr"/>
      <c r="O530">
        <f>(1-Summary!$B$11)*S530+Summary!$B$11*U530</f>
        <v/>
      </c>
      <c r="P530">
        <f>IF(B554=0,0,O530/B554)</f>
        <v/>
      </c>
      <c r="Q530">
        <f>IFERROR(1/(IF(Inputs!$B$39="pvp",15,MAX(0.1,Skills!D18-IF(Skills!E18=TRUE,Inputs!$B$33,0)))*(1-IF(AND(ArtifactsInput!$M$27,Inputs!$B$4="Chapter Hunt"),CHOOSE(ArtifactsInput!$N$27+1,20,24,28,32,36,40),0)/100)),0)</f>
        <v/>
      </c>
      <c r="R530" t="n">
        <v>0</v>
      </c>
      <c r="S530" t="n">
        <v>0</v>
      </c>
      <c r="U530" t="n">
        <v>0</v>
      </c>
    </row>
    <row r="531">
      <c r="A531">
        <f>Skills!A19</f>
        <v/>
      </c>
      <c r="B531">
        <f>Skills!B19</f>
        <v/>
      </c>
      <c r="C531">
        <f>Inputs!$B$3&gt;=110</f>
        <v/>
      </c>
      <c r="D531">
        <f>IF(Skills!C19=1,60+Inputs!$B$26+Inputs!$B$30,IF(Skills!C19=2,90+Inputs!$B$27+Inputs!$B$30,IF(Skills!C19=3,120+Inputs!$B$28+Inputs!$B$30,MAX(0,(Inputs!$B$3-100)*3)+Inputs!$B$29+Inputs!$B$30)))</f>
        <v/>
      </c>
      <c r="E531">
        <f>INDEX(FactorTable!$B$2:$Y$301, MATCH(ROUND(MIN(300,MAX(1,D531)),0), FactorTable!$A$2:$A$301,0), Skills!L19+1)</f>
        <v/>
      </c>
      <c r="F531">
        <f>(Skills!K19/10)*(E531/1000)*64/45+Skills!N19</f>
        <v/>
      </c>
      <c r="G531">
        <f>Calc!G19</f>
        <v/>
      </c>
      <c r="H531">
        <f>Calc!H19</f>
        <v/>
      </c>
      <c r="I531">
        <f>IF(Skills!T19&lt;&gt;"",1+(Skills!T19/10)*($Z$3/1000)/100,1)</f>
        <v/>
      </c>
      <c r="J531" t="inlineStr"/>
      <c r="K531" t="inlineStr"/>
      <c r="L531" t="inlineStr"/>
      <c r="M531" t="inlineStr"/>
      <c r="N531" t="inlineStr"/>
      <c r="O531">
        <f>(1-Summary!$B$11)*S531+Summary!$B$11*U531</f>
        <v/>
      </c>
      <c r="P531">
        <f>IF(B554=0,0,O531/B554)</f>
        <v/>
      </c>
      <c r="Q531">
        <f>IFERROR(1/(IF(Inputs!$B$39="pvp",15,MAX(0.1,Skills!D19-IF(Skills!E19=TRUE,Inputs!$B$33,0)))*(1-IF(AND(ArtifactsInput!$M$27,Inputs!$B$4="Chapter Hunt"),CHOOSE(ArtifactsInput!$N$27+1,20,24,28,32,36,40),0)/100)),0)</f>
        <v/>
      </c>
      <c r="R531">
        <f>IF(AND(Inputs!$B$39&lt;&gt;"pvp",Inputs!$B$44&gt;0),IF(Inputs!$B$44&lt;=0,0,(INT(Inputs!$B$44/(IF(Inputs!$B$39="pvp",15,MAX(0.1,Skills!D19-IF(Skills!E19=TRUE,Inputs!$B$33,0)))*(1-IF(AND(ArtifactsInput!$M$27,Inputs!$B$4="Chapter Hunt"),CHOOSE(ArtifactsInput!$N$27+1,20,24,28,32,36,40),0)/100)))+1)),0)</f>
        <v/>
      </c>
      <c r="S531" t="n">
        <v>0</v>
      </c>
      <c r="U531" t="n">
        <v>0</v>
      </c>
    </row>
    <row r="532">
      <c r="A532">
        <f>Skills!A20</f>
        <v/>
      </c>
      <c r="B532">
        <f>Skills!B20</f>
        <v/>
      </c>
      <c r="C532">
        <f>Inputs!$B$3&gt;=125</f>
        <v/>
      </c>
      <c r="D532">
        <f>IF(Skills!C20=1,60+Inputs!$B$26+Inputs!$B$30,IF(Skills!C20=2,90+Inputs!$B$27+Inputs!$B$30,IF(Skills!C20=3,120+Inputs!$B$28+Inputs!$B$30,MAX(0,(Inputs!$B$3-100)*3)+Inputs!$B$29+Inputs!$B$30)))</f>
        <v/>
      </c>
      <c r="E532">
        <f>INDEX(FactorTable!$B$2:$Y$301, MATCH(ROUND(MIN(300,MAX(1,D532)),0), FactorTable!$A$2:$A$301,0), Skills!L20+1)</f>
        <v/>
      </c>
      <c r="F532">
        <f>IF(Skills!M20=TRUE,(Skills!K20/10)*(E532/1000),Skills!K20/10)+Skills!N20</f>
        <v/>
      </c>
      <c r="G532">
        <f>Calc!G20</f>
        <v/>
      </c>
      <c r="H532">
        <f>Calc!H20</f>
        <v/>
      </c>
      <c r="I532">
        <f>IF(Skills!T20&lt;&gt;"",1+(Skills!T20/10)*($Z$3/1000)/100,1)</f>
        <v/>
      </c>
      <c r="J532" t="inlineStr"/>
      <c r="K532" t="inlineStr"/>
      <c r="L532" t="inlineStr"/>
      <c r="M532" t="inlineStr"/>
      <c r="N532" t="inlineStr"/>
      <c r="O532">
        <f>(1-Summary!$B$11)*S532+Summary!$B$11*U532</f>
        <v/>
      </c>
      <c r="P532">
        <f>IF(B554=0,0,O532/B554)</f>
        <v/>
      </c>
      <c r="Q532">
        <f>IFERROR(1/(IF(Inputs!$B$39="pvp",15,MAX(0.1,Skills!D20-IF(Skills!E20=TRUE,Inputs!$B$33,0)))*(1-IF(AND(ArtifactsInput!$M$27,Inputs!$B$4="Chapter Hunt"),CHOOSE(ArtifactsInput!$N$27+1,20,24,28,32,36,40),0)/100)),0)</f>
        <v/>
      </c>
      <c r="R532" t="n">
        <v>0</v>
      </c>
      <c r="S532" t="n">
        <v>0</v>
      </c>
      <c r="U532" t="n">
        <v>0</v>
      </c>
    </row>
    <row r="533">
      <c r="A533">
        <f>Skills!A21</f>
        <v/>
      </c>
      <c r="B533">
        <f>Skills!B21</f>
        <v/>
      </c>
      <c r="C533">
        <f>Inputs!$B$3&gt;=33</f>
        <v/>
      </c>
      <c r="D533">
        <f>IF(Skills!C21=1,60+Inputs!$B$26+Inputs!$B$30,IF(Skills!C21=2,90+Inputs!$B$27+Inputs!$B$30,IF(Skills!C21=3,120+Inputs!$B$28+Inputs!$B$30,MAX(0,(Inputs!$B$3-100)*3)+Inputs!$B$29+Inputs!$B$30)))</f>
        <v/>
      </c>
      <c r="E533">
        <f>INDEX(FactorTable!$B$2:$Y$301, MATCH(ROUND(MIN(300,MAX(1,D533)),0), FactorTable!$A$2:$A$301,0), Skills!L21+1)</f>
        <v/>
      </c>
      <c r="F533">
        <f>IF(Skills!M21=TRUE,(Skills!K21/10)*(E533/1000),Skills!K21/10)+Skills!N21</f>
        <v/>
      </c>
      <c r="G533">
        <f>Calc!G21</f>
        <v/>
      </c>
      <c r="H533">
        <f>Calc!H21</f>
        <v/>
      </c>
      <c r="I533">
        <f>IF(Skills!T21&lt;&gt;"",1+(Skills!T21/10)*($Z$3/1000)/100,1)</f>
        <v/>
      </c>
      <c r="J533" t="inlineStr"/>
      <c r="K533" t="inlineStr"/>
      <c r="L533" t="inlineStr"/>
      <c r="M533" t="inlineStr"/>
      <c r="N533" t="inlineStr"/>
      <c r="O533">
        <f>(1-Summary!$B$11)*S533+Summary!$B$11*U533</f>
        <v/>
      </c>
      <c r="P533">
        <f>IF(B554=0,0,O533/B554)</f>
        <v/>
      </c>
      <c r="Q533">
        <f>IFERROR(1/(IF(Inputs!$B$39="pvp",15,MAX(0.1,Skills!D21-IF(Skills!E21=TRUE,Inputs!$B$33,0)))*(1-IF(AND(ArtifactsInput!$M$27,Inputs!$B$4="Chapter Hunt"),CHOOSE(ArtifactsInput!$N$27+1,20,24,28,32,36,40),0)/100)),0)</f>
        <v/>
      </c>
      <c r="R533" t="n">
        <v>0</v>
      </c>
      <c r="S533" t="n">
        <v>0</v>
      </c>
      <c r="U533" t="n">
        <v>0</v>
      </c>
    </row>
    <row r="534">
      <c r="A534">
        <f>Skills!A22</f>
        <v/>
      </c>
      <c r="B534">
        <f>Skills!B22</f>
        <v/>
      </c>
      <c r="C534">
        <f>Inputs!$B$3&gt;=43</f>
        <v/>
      </c>
      <c r="D534">
        <f>IF(Skills!C22=1,60+Inputs!$B$26+Inputs!$B$30,IF(Skills!C22=2,90+Inputs!$B$27+Inputs!$B$30,IF(Skills!C22=3,120+Inputs!$B$28+Inputs!$B$30,MAX(0,(Inputs!$B$3-100)*3)+Inputs!$B$29+Inputs!$B$30)))</f>
        <v/>
      </c>
      <c r="E534">
        <f>INDEX(FactorTable!$B$2:$Y$301, MATCH(ROUND(MIN(300,MAX(1,D534)),0), FactorTable!$A$2:$A$301,0), Skills!L22+1)</f>
        <v/>
      </c>
      <c r="F534">
        <f>IF(Skills!M22=TRUE,(Skills!K22/10)*(E534/1000),Skills!K22/10)+Skills!N22</f>
        <v/>
      </c>
      <c r="G534">
        <f>Calc!G22</f>
        <v/>
      </c>
      <c r="H534">
        <f>Calc!H22</f>
        <v/>
      </c>
      <c r="I534">
        <f>IF(Skills!T22&lt;&gt;"",1+(Skills!T22/10)*($Z$3/1000)/100,1)</f>
        <v/>
      </c>
      <c r="J534" t="inlineStr"/>
      <c r="K534" t="inlineStr"/>
      <c r="L534" t="inlineStr"/>
      <c r="M534" t="inlineStr"/>
      <c r="N534" t="inlineStr"/>
      <c r="O534">
        <f>(1-Summary!$B$11)*S534+Summary!$B$11*U534</f>
        <v/>
      </c>
      <c r="P534">
        <f>IF(B554=0,0,O534/B554)</f>
        <v/>
      </c>
      <c r="Q534">
        <f>IFERROR(1/(IF(Inputs!$B$39="pvp",15,MAX(0.1,Skills!D22-IF(Skills!E22=TRUE,Inputs!$B$33,0)))*(1-IF(AND(ArtifactsInput!$M$27,Inputs!$B$4="Chapter Hunt"),CHOOSE(ArtifactsInput!$N$27+1,20,24,28,32,36,40),0)/100)),0)</f>
        <v/>
      </c>
      <c r="R534" t="n">
        <v>0</v>
      </c>
      <c r="S534" t="n">
        <v>0</v>
      </c>
      <c r="U534" t="n">
        <v>0</v>
      </c>
    </row>
    <row r="535">
      <c r="A535">
        <f>Skills!A23</f>
        <v/>
      </c>
      <c r="B535">
        <f>Skills!B23</f>
        <v/>
      </c>
      <c r="C535">
        <f>Inputs!$B$3&gt;=50</f>
        <v/>
      </c>
      <c r="D535">
        <f>IF(Skills!C23=1,60+Inputs!$B$26+Inputs!$B$30,IF(Skills!C23=2,90+Inputs!$B$27+Inputs!$B$30,IF(Skills!C23=3,120+Inputs!$B$28+Inputs!$B$30,MAX(0,(Inputs!$B$3-100)*3)+Inputs!$B$29+Inputs!$B$30)))</f>
        <v/>
      </c>
      <c r="E535">
        <f>INDEX(FactorTable!$B$2:$Y$301, MATCH(ROUND(MIN(300,MAX(1,D535)),0), FactorTable!$A$2:$A$301,0), Skills!L23+1)</f>
        <v/>
      </c>
      <c r="F535">
        <f>IF(Skills!M23=TRUE,(Skills!K23/10)*(E535/1000),Skills!K23/10)+Skills!N23</f>
        <v/>
      </c>
      <c r="G535">
        <f>Calc!G23</f>
        <v/>
      </c>
      <c r="H535">
        <f>Calc!H23</f>
        <v/>
      </c>
      <c r="I535">
        <f>IF(Skills!T23&lt;&gt;"",1+(Skills!T23/10)*($Z$3/1000)/100,1)</f>
        <v/>
      </c>
      <c r="J535" t="inlineStr"/>
      <c r="K535" t="inlineStr"/>
      <c r="L535" t="inlineStr"/>
      <c r="M535" t="inlineStr"/>
      <c r="N535" t="inlineStr"/>
      <c r="O535">
        <f>(1-Summary!$B$11)*S535+Summary!$B$11*U535</f>
        <v/>
      </c>
      <c r="P535">
        <f>IF(B554=0,0,O535/B554)</f>
        <v/>
      </c>
      <c r="Q535">
        <f>IFERROR(1/(IF(Inputs!$B$39="pvp",15,MAX(0.1,Skills!D23-IF(Skills!E23=TRUE,Inputs!$B$33,0)))*(1-IF(AND(ArtifactsInput!$M$27,Inputs!$B$4="Chapter Hunt"),CHOOSE(ArtifactsInput!$N$27+1,20,24,28,32,36,40),0)/100)),0)</f>
        <v/>
      </c>
      <c r="R535" t="n">
        <v>0</v>
      </c>
      <c r="S535" t="n">
        <v>0</v>
      </c>
      <c r="U535" t="n">
        <v>0</v>
      </c>
    </row>
    <row r="536">
      <c r="A536">
        <f>Skills!A24</f>
        <v/>
      </c>
      <c r="B536">
        <f>Skills!B24</f>
        <v/>
      </c>
      <c r="C536">
        <f>Inputs!$B$3&gt;=74</f>
        <v/>
      </c>
      <c r="D536">
        <f>IF(Skills!C24=1,60+Inputs!$B$26+Inputs!$B$30,IF(Skills!C24=2,90+Inputs!$B$27+Inputs!$B$30,IF(Skills!C24=3,120+Inputs!$B$28+Inputs!$B$30,MAX(0,(Inputs!$B$3-100)*3)+Inputs!$B$29+Inputs!$B$30)))</f>
        <v/>
      </c>
      <c r="E536">
        <f>INDEX(FactorTable!$B$2:$Y$301, MATCH(ROUND(MIN(300,MAX(1,D536)),0), FactorTable!$A$2:$A$301,0), Skills!L24+1)</f>
        <v/>
      </c>
      <c r="F536">
        <f>IF(Skills!M24=TRUE,(Skills!K24/10)*(E536/1000),Skills!K24/10)+Skills!N24</f>
        <v/>
      </c>
      <c r="G536">
        <f>Calc!G24</f>
        <v/>
      </c>
      <c r="H536">
        <f>Calc!H24</f>
        <v/>
      </c>
      <c r="I536">
        <f>IF(Skills!T24&lt;&gt;"",1+(Skills!T24/10)*($Z$3/1000)/100,1)</f>
        <v/>
      </c>
      <c r="J536" t="inlineStr"/>
      <c r="K536" t="inlineStr"/>
      <c r="L536" t="inlineStr"/>
      <c r="M536" t="inlineStr"/>
      <c r="N536" t="inlineStr"/>
      <c r="O536">
        <f>(1-Summary!$B$11)*S536+Summary!$B$11*U536</f>
        <v/>
      </c>
      <c r="P536">
        <f>IF(B554=0,0,O536/B554)</f>
        <v/>
      </c>
      <c r="Q536">
        <f>IFERROR(1/(IF(Inputs!$B$39="pvp",15,MAX(0.1,Skills!D24-IF(Skills!E24=TRUE,Inputs!$B$33,0)))*(1-IF(AND(ArtifactsInput!$M$27,Inputs!$B$4="Chapter Hunt"),CHOOSE(ArtifactsInput!$N$27+1,20,24,28,32,36,40),0)/100)),0)</f>
        <v/>
      </c>
      <c r="R536" t="n">
        <v>0</v>
      </c>
      <c r="S536" t="n">
        <v>0</v>
      </c>
      <c r="U536" t="n">
        <v>0</v>
      </c>
    </row>
    <row r="537">
      <c r="A537">
        <f>Skills!A25</f>
        <v/>
      </c>
      <c r="B537">
        <f>Skills!B25</f>
        <v/>
      </c>
      <c r="C537">
        <f>Inputs!$B$3&gt;=74</f>
        <v/>
      </c>
      <c r="D537">
        <f>IF(Skills!C25=1,60+Inputs!$B$26+Inputs!$B$30,IF(Skills!C25=2,90+Inputs!$B$27+Inputs!$B$30,IF(Skills!C25=3,120+Inputs!$B$28+Inputs!$B$30,MAX(0,(Inputs!$B$3-100)*3)+Inputs!$B$29+Inputs!$B$30)))</f>
        <v/>
      </c>
      <c r="E537">
        <f>INDEX(FactorTable!$B$2:$Y$301, MATCH(ROUND(MIN(300,MAX(1,D537)),0), FactorTable!$A$2:$A$301,0), Skills!L25+1)</f>
        <v/>
      </c>
      <c r="F537">
        <f>IF(Skills!M25=TRUE,(Skills!K25/10)*(E537/1000),Skills!K25/10)+Skills!N25</f>
        <v/>
      </c>
      <c r="G537">
        <f>Calc!G25</f>
        <v/>
      </c>
      <c r="H537">
        <f>Calc!H25</f>
        <v/>
      </c>
      <c r="I537">
        <f>IF(Skills!T25&lt;&gt;"",1+(Skills!T25/10)*($Z$3/1000)/100,1)</f>
        <v/>
      </c>
      <c r="J537" t="inlineStr"/>
      <c r="K537" t="inlineStr"/>
      <c r="L537" t="inlineStr"/>
      <c r="M537" t="inlineStr"/>
      <c r="N537" t="inlineStr"/>
      <c r="O537">
        <f>(1-Summary!$B$11)*S537+Summary!$B$11*U537</f>
        <v/>
      </c>
      <c r="P537">
        <f>IF(B554=0,0,O537/B554)</f>
        <v/>
      </c>
      <c r="Q537">
        <f>IFERROR(1/(IF(Inputs!$B$39="pvp",15,MAX(0.1,Skills!D25-IF(Skills!E25=TRUE,Inputs!$B$33,0)))*(1-IF(AND(ArtifactsInput!$M$27,Inputs!$B$4="Chapter Hunt"),CHOOSE(ArtifactsInput!$N$27+1,20,24,28,32,36,40),0)/100)),0)</f>
        <v/>
      </c>
      <c r="R537" t="n">
        <v>0</v>
      </c>
      <c r="S537" t="n">
        <v>0</v>
      </c>
      <c r="U537" t="n">
        <v>0</v>
      </c>
    </row>
    <row r="538">
      <c r="A538">
        <f>Skills!A26</f>
        <v/>
      </c>
      <c r="B538">
        <f>Skills!B26</f>
        <v/>
      </c>
      <c r="C538">
        <f>Inputs!$B$3&gt;=117</f>
        <v/>
      </c>
      <c r="D538">
        <f>IF(Skills!C26=1,60+Inputs!$B$26+Inputs!$B$30,IF(Skills!C26=2,90+Inputs!$B$27+Inputs!$B$30,IF(Skills!C26=3,120+Inputs!$B$28+Inputs!$B$30,MAX(0,(Inputs!$B$3-100)*3)+Inputs!$B$29+Inputs!$B$30)))</f>
        <v/>
      </c>
      <c r="E538">
        <f>INDEX(FactorTable!$B$2:$Y$301, MATCH(ROUND(MIN(300,MAX(1,D538)),0), FactorTable!$A$2:$A$301,0), Skills!L26+1)</f>
        <v/>
      </c>
      <c r="F538">
        <f>IF(Skills!M26=TRUE,(Skills!K26/10)*(E538/1000),Skills!K26/10)+Skills!N26</f>
        <v/>
      </c>
      <c r="G538">
        <f>Calc!G26</f>
        <v/>
      </c>
      <c r="H538">
        <f>Calc!H26</f>
        <v/>
      </c>
      <c r="I538">
        <f>IF(Skills!T26&lt;&gt;"",1+(Skills!T26/10)*($Z$3/1000)/100,1)</f>
        <v/>
      </c>
      <c r="J538" t="inlineStr"/>
      <c r="K538" t="inlineStr"/>
      <c r="L538" t="inlineStr"/>
      <c r="M538" t="inlineStr"/>
      <c r="N538" t="inlineStr"/>
      <c r="O538">
        <f>(1-Summary!$B$11)*S538+Summary!$B$11*U538</f>
        <v/>
      </c>
      <c r="P538">
        <f>IF(B554=0,0,O538/B554)</f>
        <v/>
      </c>
      <c r="Q538">
        <f>IFERROR(1/(IF(Inputs!$B$39="pvp",15,MAX(0.1,Skills!D26-IF(Skills!E26=TRUE,Inputs!$B$33,0)))*(1-IF(AND(ArtifactsInput!$M$27,Inputs!$B$4="Chapter Hunt"),CHOOSE(ArtifactsInput!$N$27+1,20,24,28,32,36,40),0)/100)),0)</f>
        <v/>
      </c>
      <c r="R538" t="n">
        <v>0</v>
      </c>
      <c r="S538" t="n">
        <v>0</v>
      </c>
      <c r="U538" t="n">
        <v>0</v>
      </c>
    </row>
    <row r="539">
      <c r="A539">
        <f>Skills!A27</f>
        <v/>
      </c>
      <c r="B539">
        <f>Skills!B27</f>
        <v/>
      </c>
      <c r="C539">
        <f>Inputs!$B$3&gt;=120</f>
        <v/>
      </c>
      <c r="D539">
        <f>IF(Skills!C27=1,60+Inputs!$B$26+Inputs!$B$30,IF(Skills!C27=2,90+Inputs!$B$27+Inputs!$B$30,IF(Skills!C27=3,120+Inputs!$B$28+Inputs!$B$30,MAX(0,(Inputs!$B$3-100)*3)+Inputs!$B$29+Inputs!$B$30)))</f>
        <v/>
      </c>
      <c r="E539">
        <f>INDEX(FactorTable!$B$2:$Y$301, MATCH(ROUND(MIN(300,MAX(1,D539)),0), FactorTable!$A$2:$A$301,0), Skills!L27+1)</f>
        <v/>
      </c>
      <c r="F539">
        <f>IF(Skills!M27=TRUE,(Skills!K27/10)*(E539/1000),Skills!K27/10)+Skills!N27</f>
        <v/>
      </c>
      <c r="G539">
        <f>Calc!G27</f>
        <v/>
      </c>
      <c r="H539">
        <f>Calc!H27</f>
        <v/>
      </c>
      <c r="I539">
        <f>IF(Skills!T27&lt;&gt;"",1+(Skills!T27/10)*($Z$3/1000)/100,1)</f>
        <v/>
      </c>
      <c r="J539" t="inlineStr"/>
      <c r="K539" t="inlineStr"/>
      <c r="L539" t="inlineStr"/>
      <c r="M539" t="inlineStr"/>
      <c r="N539" t="inlineStr"/>
      <c r="O539">
        <f>(1-Summary!$B$11)*S539+Summary!$B$11*U539</f>
        <v/>
      </c>
      <c r="P539">
        <f>IF(B554=0,0,O539/B554)</f>
        <v/>
      </c>
      <c r="Q539">
        <f>IFERROR(1/(IF(Inputs!$B$39="pvp",15,MAX(0.1,Skills!D27-IF(Skills!E27=TRUE,Inputs!$B$33,0)))*(1-IF(AND(ArtifactsInput!$M$27,Inputs!$B$4="Chapter Hunt"),CHOOSE(ArtifactsInput!$N$27+1,20,24,28,32,36,40),0)/100)),0)</f>
        <v/>
      </c>
      <c r="R539" t="n">
        <v>0</v>
      </c>
      <c r="S539" t="n">
        <v>0</v>
      </c>
      <c r="U539" t="n">
        <v>0</v>
      </c>
    </row>
    <row r="541">
      <c r="A541" t="inlineStr">
        <is>
          <t>Average Buff Multiplier</t>
        </is>
      </c>
      <c r="B541">
        <f>(1+(IF(C515=TRUE,F515*IF(AND(Inputs!$B$39&lt;&gt;"pvp",Inputs!$B$44&gt;0),(((R515-1)*(Skills!S3*(1+((Inputs!$B$35+(ArtifactsInput!$M$7-ArtifactsInput!$M$7)*CHOOSE(ArtifactsInput!$N$7+1,6,7.2,8.4,9.6,10.8,12))+IF(Inputs!$B$3&gt;=117,F538,0))/100))+MIN((Skills!S3*(1+((Inputs!$B$35+(ArtifactsInput!$M$7-ArtifactsInput!$M$7)*CHOOSE(ArtifactsInput!$N$7+1,6,7.2,8.4,9.6,10.8,12))+IF(Inputs!$B$3&gt;=117,F538,0))/100)),MAX(0,Inputs!$B$44-((R515-1)*Skills!D3))))/Inputs!$B$44),IF(Inputs!$B$39="pvp",MIN((Skills!S3*(1+((Inputs!$B$35+(ArtifactsInput!$M$7-ArtifactsInput!$M$7)*CHOOSE(ArtifactsInput!$N$7+1,6,7.2,8.4,9.6,10.8,12))+IF(Inputs!$B$3&gt;=117,F538,0))/100)),15)/15,(Skills!S3*(1+((Inputs!$B$35+(ArtifactsInput!$M$7-ArtifactsInput!$M$7)*CHOOSE(ArtifactsInput!$N$7+1,6,7.2,8.4,9.6,10.8,12))+IF(Inputs!$B$3&gt;=117,F538,0))/100))/Skills!D3)),0)+IF(C516=TRUE,F516*IF(AND(Inputs!$B$39&lt;&gt;"pvp",Inputs!$B$44&gt;0),(((R516-1)*(Skills!S4*(1+((Inputs!$B$35+(ArtifactsInput!$M$7-ArtifactsInput!$M$7)*CHOOSE(ArtifactsInput!$N$7+1,6,7.2,8.4,9.6,10.8,12))+IF(Inputs!$B$3&gt;=117,F538,0))/100))+MIN((Skills!S4*(1+((Inputs!$B$35+(ArtifactsInput!$M$7-ArtifactsInput!$M$7)*CHOOSE(ArtifactsInput!$N$7+1,6,7.2,8.4,9.6,10.8,12))+IF(Inputs!$B$3&gt;=117,F538,0))/100)),MAX(0,Inputs!$B$44-((R516-1)*Skills!D4))))/Inputs!$B$44),IF(Inputs!$B$39="pvp",MIN((Skills!S4*(1+((Inputs!$B$35+(ArtifactsInput!$M$7-ArtifactsInput!$M$7)*CHOOSE(ArtifactsInput!$N$7+1,6,7.2,8.4,9.6,10.8,12))+IF(Inputs!$B$3&gt;=117,F538,0))/100)),15)/15,(Skills!S4*(1+((Inputs!$B$35+(ArtifactsInput!$M$7-ArtifactsInput!$M$7)*CHOOSE(ArtifactsInput!$N$7+1,6,7.2,8.4,9.6,10.8,12))+IF(Inputs!$B$3&gt;=117,F538,0))/100))/Skills!D4)),0)+IF(C517=TRUE,F517*IF(AND(Inputs!$B$39&lt;&gt;"pvp",Inputs!$B$44&gt;0),(((R517-1)*(Skills!S5*(1+((Inputs!$B$35+(ArtifactsInput!$M$7-ArtifactsInput!$M$7)*CHOOSE(ArtifactsInput!$N$7+1,6,7.2,8.4,9.6,10.8,12))+IF(Inputs!$B$3&gt;=117,F538,0))/100))+MIN((Skills!S5*(1+((Inputs!$B$35+(ArtifactsInput!$M$7-ArtifactsInput!$M$7)*CHOOSE(ArtifactsInput!$N$7+1,6,7.2,8.4,9.6,10.8,12))+IF(Inputs!$B$3&gt;=117,F538,0))/100)),MAX(0,Inputs!$B$44-((R517-1)*Skills!D5))))/Inputs!$B$44),IF(Inputs!$B$39="pvp",MIN((Skills!S5*(1+((Inputs!$B$35+(ArtifactsInput!$M$7-ArtifactsInput!$M$7)*CHOOSE(ArtifactsInput!$N$7+1,6,7.2,8.4,9.6,10.8,12))+IF(Inputs!$B$3&gt;=117,F538,0))/100)),15)/15,(Skills!S5*(1+((Inputs!$B$35+(ArtifactsInput!$M$7-ArtifactsInput!$M$7)*CHOOSE(ArtifactsInput!$N$7+1,6,7.2,8.4,9.6,10.8,12))+IF(Inputs!$B$3&gt;=117,F538,0))/100))/Skills!D5)),0)+IF(C523=TRUE,F523*IF(AND(Inputs!$B$39&lt;&gt;"pvp",Inputs!$B$44&gt;0),(((R523-1)*(Skills!S11*(1+((Inputs!$B$35+(ArtifactsInput!$M$7-ArtifactsInput!$M$7)*CHOOSE(ArtifactsInput!$N$7+1,6,7.2,8.4,9.6,10.8,12))+IF(Inputs!$B$3&gt;=117,F538,0))/100))+MIN((Skills!S11*(1+((Inputs!$B$35+(ArtifactsInput!$M$7-ArtifactsInput!$M$7)*CHOOSE(ArtifactsInput!$N$7+1,6,7.2,8.4,9.6,10.8,12))+IF(Inputs!$B$3&gt;=117,F538,0))/100)),MAX(0,Inputs!$B$44-((R523-1)*Skills!D11))))/Inputs!$B$44),IF(Inputs!$B$39="pvp",MIN((Skills!S11*(1+((Inputs!$B$35+(ArtifactsInput!$M$7-ArtifactsInput!$M$7)*CHOOSE(ArtifactsInput!$N$7+1,6,7.2,8.4,9.6,10.8,12))+IF(Inputs!$B$3&gt;=117,F538,0))/100)),15)/15,(Skills!S11*(1+((Inputs!$B$35+(ArtifactsInput!$M$7-ArtifactsInput!$M$7)*CHOOSE(ArtifactsInput!$N$7+1,6,7.2,8.4,9.6,10.8,12))+IF(Inputs!$B$3&gt;=117,F538,0)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526=TRUE,(1+F526*IF(AND(Inputs!$B$39&lt;&gt;"pvp",Inputs!$B$44&gt;0),(((R526-1)*(Skills!S14*(1+((Inputs!$B$35+(ArtifactsInput!$M$7-ArtifactsInput!$M$7)*CHOOSE(ArtifactsInput!$N$7+1,6,7.2,8.4,9.6,10.8,12))+IF(Inputs!$B$3&gt;=117,F538,0))/100))+MIN((Skills!S14*(1+((Inputs!$B$35+(ArtifactsInput!$M$7-ArtifactsInput!$M$7)*CHOOSE(ArtifactsInput!$N$7+1,6,7.2,8.4,9.6,10.8,12))+IF(Inputs!$B$3&gt;=117,F538,0))/100)),MAX(0,Inputs!$B$44-((R526-1)*Skills!D14))))/Inputs!$B$44),IF(Inputs!$B$39="pvp",MIN((Skills!S14*(1+((Inputs!$B$35+(ArtifactsInput!$M$7-ArtifactsInput!$M$7)*CHOOSE(ArtifactsInput!$N$7+1,6,7.2,8.4,9.6,10.8,12))+IF(Inputs!$B$3&gt;=117,F538,0))/100)),15)/15,(Skills!S14*(1+((Inputs!$B$35+(ArtifactsInput!$M$7-ArtifactsInput!$M$7)*CHOOSE(ArtifactsInput!$N$7+1,6,7.2,8.4,9.6,10.8,12))+IF(Inputs!$B$3&gt;=117,F538,0))/100))/Skills!D14))/100),1)*IF(C531=TRUE,(1+F531*IF(AND(Inputs!$B$39&lt;&gt;"pvp",Inputs!$B$44&gt;0),(((R531-1)*(Skills!S19*(1+((Inputs!$B$35+(ArtifactsInput!$M$7-ArtifactsInput!$M$7)*CHOOSE(ArtifactsInput!$N$7+1,6,7.2,8.4,9.6,10.8,12))+IF(Inputs!$B$3&gt;=117,F538,0))/100))+MIN((Skills!S19*(1+((Inputs!$B$35+(ArtifactsInput!$M$7-ArtifactsInput!$M$7)*CHOOSE(ArtifactsInput!$N$7+1,6,7.2,8.4,9.6,10.8,12))+IF(Inputs!$B$3&gt;=117,F538,0))/100)),MAX(0,Inputs!$B$44-((R531-1)*Skills!D19))))/Inputs!$B$44),IF(Inputs!$B$39="pvp",MIN((Skills!S19*(1+((Inputs!$B$35+(ArtifactsInput!$M$7-ArtifactsInput!$M$7)*CHOOSE(ArtifactsInput!$N$7+1,6,7.2,8.4,9.6,10.8,12))+IF(Inputs!$B$3&gt;=117,F538,0))/100)),15)/15,(Skills!S19*(1+((Inputs!$B$35+(ArtifactsInput!$M$7-ArtifactsInput!$M$7)*CHOOSE(ArtifactsInput!$N$7+1,6,7.2,8.4,9.6,10.8,12))+IF(Inputs!$B$3&gt;=117,F538,0))/100))/Skills!D19))/100),1)</f>
        <v/>
      </c>
    </row>
    <row r="542">
      <c r="A542" t="inlineStr">
        <is>
          <t>Monster Damage Taken Bonus % (Holy Fountain)</t>
        </is>
      </c>
      <c r="B542">
        <f>IF(Inputs!$B$3&gt;=68,20*IF(Inputs!$B$39="pvp",MIN((15*(1+((Inputs!$B$35+(ArtifactsInput!$M$7-ArtifactsInput!$M$7)*CHOOSE(ArtifactsInput!$N$7+1,6,7.2,8.4,9.6,10.8,12))+IF(Inputs!$B$3&gt;=117,F538,0))/100)),15)/15,(15*(1+((Inputs!$B$35+(ArtifactsInput!$M$7-ArtifactsInput!$M$7)*CHOOSE(ArtifactsInput!$N$7+1,6,7.2,8.4,9.6,10.8,12))+IF(Inputs!$B$3&gt;=117,F538,0))/100))/Skills!D10),0)</f>
        <v/>
      </c>
    </row>
    <row r="543">
      <c r="A543" t="inlineStr">
        <is>
          <t>Normal Monster Damage Bonus % (Holy Symbol)</t>
        </is>
      </c>
      <c r="B543">
        <f>IF(C524=TRUE,F524*IF(AND(Inputs!$B$39&lt;&gt;"pvp",Inputs!$B$44&gt;0),(((R524-1)*(Skills!S12*(1+((Inputs!$B$35+(ArtifactsInput!$M$7-ArtifactsInput!$M$7)*CHOOSE(ArtifactsInput!$N$7+1,6,7.2,8.4,9.6,10.8,12))+IF(Inputs!$B$3&gt;=117,F538,0))/100))+MIN((Skills!S12*(1+((Inputs!$B$35+(ArtifactsInput!$M$7-ArtifactsInput!$M$7)*CHOOSE(ArtifactsInput!$N$7+1,6,7.2,8.4,9.6,10.8,12))+IF(Inputs!$B$3&gt;=117,F538,0))/100)),MAX(0,Inputs!$B$44-((R524-1)*Skills!D12))))/Inputs!$B$44),IF(Inputs!$B$39="pvp",MIN((Skills!S12*(1+((Inputs!$B$35+(ArtifactsInput!$M$7-ArtifactsInput!$M$7)*CHOOSE(ArtifactsInput!$N$7+1,6,7.2,8.4,9.6,10.8,12))+IF(Inputs!$B$3&gt;=117,F538,0))/100)),15)/15,(Skills!S12*(1+((Inputs!$B$35+(ArtifactsInput!$M$7-ArtifactsInput!$M$7)*CHOOSE(ArtifactsInput!$N$7+1,6,7.2,8.4,9.6,10.8,12))+IF(Inputs!$B$3&gt;=117,F538,0))/100))/Skills!D12)),0)</f>
        <v/>
      </c>
    </row>
    <row r="544">
      <c r="A544" t="inlineStr">
        <is>
          <t>Damage % Bonus (Holy Symbol - Damage Boost)</t>
        </is>
      </c>
      <c r="B544">
        <f>Skills!O12</f>
        <v/>
      </c>
    </row>
    <row r="545">
      <c r="A545" t="inlineStr">
        <is>
          <t>Crit Damage % Bonus (Blood of the Divine)</t>
        </is>
      </c>
      <c r="B545">
        <f>4*IF(C532=TRUE,F532,0)</f>
        <v/>
      </c>
    </row>
    <row r="546">
      <c r="A546" t="inlineStr">
        <is>
          <t>Attack Speed Bonus %</t>
        </is>
      </c>
      <c r="B546">
        <f>IF(C529=TRUE,F529+(F533-Calc!F21),0)+IF(Inputs!$B$3&gt;=134,15,0)</f>
        <v/>
      </c>
    </row>
    <row r="547">
      <c r="A547" t="inlineStr">
        <is>
          <t>Actions Per Second</t>
        </is>
      </c>
      <c r="B547">
        <f>1+MIN(150,150*(1-(1-Inputs!$B$12/150)*(1-B546/150)))/100</f>
        <v/>
      </c>
    </row>
    <row r="548">
      <c r="A548" t="inlineStr">
        <is>
          <t>Skill + Buff Cast Rate</t>
        </is>
      </c>
      <c r="B548">
        <f>IF(AND(Inputs!$B$39&lt;&gt;"pvp",Inputs!$B$44&gt;0),SUMPRODUCT((Skills!E2:E27=TRUE)*(C514:C539=TRUE)*R514:R539)/Inputs!$B$44,SUMPRODUCT((Skills!E2:E27=TRUE)*(C514:C539=TRUE)*Q514:Q539))</f>
        <v/>
      </c>
    </row>
    <row r="549">
      <c r="A549" t="inlineStr">
        <is>
          <t>Big Bang Casts Per Second</t>
        </is>
      </c>
      <c r="B549">
        <f>MAX(0,B547-B548)</f>
        <v/>
      </c>
    </row>
    <row r="550">
      <c r="A550" t="inlineStr">
        <is>
          <t>Defense % Bonus (Divine Protection)</t>
        </is>
      </c>
      <c r="B550">
        <f>IF(C525=TRUE,F525*IF(AND(Inputs!$B$39&lt;&gt;"pvp",Inputs!$B$44&gt;0),(((R525-1)*(Skills!S13*(1+((Inputs!$B$35+(ArtifactsInput!$M$7-ArtifactsInput!$M$7)*CHOOSE(ArtifactsInput!$N$7+1,6,7.2,8.4,9.6,10.8,12))+IF(Inputs!$B$3&gt;=117,F538,0))/100))+MIN((Skills!S13*(1+((Inputs!$B$35+(ArtifactsInput!$M$7-ArtifactsInput!$M$7)*CHOOSE(ArtifactsInput!$N$7+1,6,7.2,8.4,9.6,10.8,12))+IF(Inputs!$B$3&gt;=117,F538,0))/100)),MAX(0,Inputs!$B$44-((R525-1)*Skills!D13))))/Inputs!$B$44),IF(Inputs!$B$39="pvp",MIN((Skills!S13*(1+((Inputs!$B$35+(ArtifactsInput!$M$7-ArtifactsInput!$M$7)*CHOOSE(ArtifactsInput!$N$7+1,6,7.2,8.4,9.6,10.8,12))+IF(Inputs!$B$3&gt;=117,F538,0))/100)),15)/15,(Skills!S13*(1+((Inputs!$B$35+(ArtifactsInput!$M$7-ArtifactsInput!$M$7)*CHOOSE(ArtifactsInput!$N$7+1,6,7.2,8.4,9.6,10.8,12))+IF(Inputs!$B$3&gt;=117,F538,0))/100))/Skills!D13)),0)</f>
        <v/>
      </c>
    </row>
    <row r="551">
      <c r="A551" t="inlineStr">
        <is>
          <t>Buff-Casting Startup Delay (s, fixed-duration only)</t>
        </is>
      </c>
      <c r="B551">
        <f>IF(AND(Inputs!$B$39&lt;&gt;"pvp",Inputs!$B$44&gt;0),SUMPRODUCT((Skills!S2:S27&gt;0)*(Skills!E2:E27=TRUE)*(C514:C539=TRUE))/B547,0)</f>
        <v/>
      </c>
    </row>
    <row r="552">
      <c r="A552" t="inlineStr">
        <is>
          <t>Boss-Only Total DPS (this block's swept value)</t>
        </is>
      </c>
      <c r="B552">
        <f>SUM(S514:S539)</f>
        <v/>
      </c>
    </row>
    <row r="553">
      <c r="A553" t="inlineStr">
        <is>
          <t>Normal-Only Total DPS (this block's swept value)</t>
        </is>
      </c>
      <c r="B553">
        <f>SUM(U514:U539)</f>
        <v/>
      </c>
    </row>
    <row r="554">
      <c r="A554" s="6" t="inlineStr">
        <is>
          <t>TOTAL DPS</t>
        </is>
      </c>
      <c r="B554" s="6">
        <f>SUM(O514:O539)</f>
        <v/>
      </c>
    </row>
    <row r="556">
      <c r="A556" s="6" t="inlineStr">
        <is>
          <t>Stat: CRIT_RATE %</t>
        </is>
      </c>
    </row>
    <row r="557">
      <c r="A557" s="5" t="inlineStr">
        <is>
          <t>Key</t>
        </is>
      </c>
      <c r="B557" s="5" t="inlineStr">
        <is>
          <t>Name</t>
        </is>
      </c>
      <c r="C557" s="5" t="inlineStr">
        <is>
          <t>Unlocked</t>
        </is>
      </c>
      <c r="D557" s="5" t="inlineStr">
        <is>
          <t>InputLevel</t>
        </is>
      </c>
      <c r="E557" s="5" t="inlineStr">
        <is>
          <t>Factor</t>
        </is>
      </c>
      <c r="F557" s="5" t="inlineStr">
        <is>
          <t>CoefficientPercent</t>
        </is>
      </c>
      <c r="G557" s="5" t="inlineStr">
        <is>
          <t>EffectiveHits</t>
        </is>
      </c>
      <c r="H557" s="5" t="inlineStr">
        <is>
          <t>ProcProbability</t>
        </is>
      </c>
      <c r="I557" s="5" t="inlineStr">
        <is>
          <t>MapleHeroMultiplier</t>
        </is>
      </c>
      <c r="J557" s="5" t="inlineStr">
        <is>
          <t>BaseDamage</t>
        </is>
      </c>
      <c r="K557" s="5" t="inlineStr">
        <is>
          <t>BaseHitDamage</t>
        </is>
      </c>
      <c r="L557" s="5" t="inlineStr">
        <is>
          <t>NonCritAvg</t>
        </is>
      </c>
      <c r="M557" s="5" t="inlineStr">
        <is>
          <t>CritAvg</t>
        </is>
      </c>
      <c r="N557" s="5" t="inlineStr">
        <is>
          <t>ExpectedDamage(perHit)</t>
        </is>
      </c>
      <c r="O557" s="5" t="inlineStr">
        <is>
          <t>DPS</t>
        </is>
      </c>
      <c r="P557" s="5" t="inlineStr">
        <is>
          <t>% of Total</t>
        </is>
      </c>
      <c r="R557" t="inlineStr">
        <is>
          <t>helpers</t>
        </is>
      </c>
    </row>
    <row r="558">
      <c r="A558">
        <f>Skills!A2</f>
        <v/>
      </c>
      <c r="B558">
        <f>Skills!B2</f>
        <v/>
      </c>
      <c r="C558">
        <f>Inputs!$B$3&gt;=100</f>
        <v/>
      </c>
      <c r="D558" t="inlineStr"/>
      <c r="E558" t="inlineStr"/>
      <c r="F558">
        <f>T560+Skills!N2</f>
        <v/>
      </c>
      <c r="G558">
        <f>Calc!G2</f>
        <v/>
      </c>
      <c r="H558">
        <f>Calc!H2</f>
        <v/>
      </c>
      <c r="I558">
        <f>IF(Skills!T2&lt;&gt;"",1+(Skills!T2/10)*($Z$3/1000)/100,1)</f>
        <v/>
      </c>
      <c r="J558">
        <f>((Inputs!$B$6*(1+Inputs!$B$7/100))+(((Inputs!$B$13*(1+Inputs!$B$14/100))-(Inputs!$B$13*(1+Inputs!$B$14/100)))+0.25*(Inputs!$B$15-Inputs!$B$15))*(1+Inputs!$B$7/100))*(F558/100)</f>
        <v/>
      </c>
      <c r="K558">
        <f>J558*(1+(((Inputs!$B$13+IF(Inputs!$B$3&gt;=35,(10*INDEX(FactorTable!$B$2:$Y$301,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2="TRIUMPH_FEATHER",IF(C572=TRUE,F572,0),0)/100)*(1+IF(C583=TRUE,F583,0)/100)^5*(1+(IF(Skills!A2="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558)</f>
        <v/>
      </c>
      <c r="L558">
        <f>K558*(MIN(Inputs!$B$23+(F578-Calc!F22),(Inputs!$B$24+IF(ArtifactsInput!$M$15,CHOOSE(ArtifactsInput!$N$15+1,25,30,35,40,45,50)/100*(Inputs!$B$12-Inputs!$B$12),0)))/100+(Inputs!$B$24+IF(ArtifactsInput!$M$15,CHOOSE(ArtifactsInput!$N$15+1,25,30,35,40,45,50)/100*(Inputs!$B$12-Inputs!$B$12),0))/100)/2</f>
        <v/>
      </c>
      <c r="M558">
        <f>L558*(1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58">
        <f>L558*(1-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558*(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58">
        <f>(1-Summary!$B$11)*S558+Summary!$B$11*U558</f>
        <v/>
      </c>
      <c r="P558">
        <f>IF(B598=0,0,O558/B598)</f>
        <v/>
      </c>
      <c r="Q558">
        <f>IFERROR(1/(IF(Inputs!$B$39="pvp",15,MAX(0.1,Skills!D2-IF(Skills!E2=TRUE,Inputs!$B$33,0)))*(1-IF(AND(ArtifactsInput!$M$27,Inputs!$B$4="Chapter Hunt"),CHOOSE(ArtifactsInput!$N$27+1,20,24,28,32,36,40),0)/100)),0)</f>
        <v/>
      </c>
      <c r="R558" t="n">
        <v>0</v>
      </c>
      <c r="S558">
        <f>IF(C558,(Skills!F2*N558*B593)*IF(Inputs!$B$39="pvp",1,1+(Inputs!$B$21+Skills!O2+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558*(1-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558*(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558*(1-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558*(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58">
        <f>MAX(0,(Inputs!$B$3-100)*3)+Inputs!$B$29+Inputs!$B$30</f>
        <v/>
      </c>
      <c r="U558">
        <f>IF(C558,(Skills!F2*N558*B593)*IF(Inputs!$B$39="pvp",1,(1+(Inputs!$B$22+Skills!P2+B587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59">
      <c r="A559">
        <f>Skills!A3</f>
        <v/>
      </c>
      <c r="B559">
        <f>Skills!B3</f>
        <v/>
      </c>
      <c r="C559">
        <f>Inputs!$B$3&gt;=15</f>
        <v/>
      </c>
      <c r="D559">
        <f>IF(Skills!C3=1,60+Inputs!$B$26+Inputs!$B$30,IF(Skills!C3=2,90+Inputs!$B$27+Inputs!$B$30,IF(Skills!C3=3,120+Inputs!$B$28+Inputs!$B$30,MAX(0,(Inputs!$B$3-100)*3)+Inputs!$B$29+Inputs!$B$30)))</f>
        <v/>
      </c>
      <c r="E559">
        <f>INDEX(FactorTable!$B$2:$Y$301, MATCH(ROUND(MIN(300,MAX(1,D559)),0), FactorTable!$A$2:$A$301,0), Skills!L3+1)</f>
        <v/>
      </c>
      <c r="F559">
        <f>IF(Skills!M3=TRUE,(Skills!K3/10)*(E559/1000),Skills!K3/10)+Skills!N3</f>
        <v/>
      </c>
      <c r="G559">
        <f>Calc!G3</f>
        <v/>
      </c>
      <c r="H559">
        <f>Calc!H3</f>
        <v/>
      </c>
      <c r="I559">
        <f>IF(Skills!T3&lt;&gt;"",1+(Skills!T3/10)*($Z$3/1000)/100,1)</f>
        <v/>
      </c>
      <c r="J559" t="inlineStr"/>
      <c r="K559" t="inlineStr"/>
      <c r="L559" t="inlineStr"/>
      <c r="M559" t="inlineStr"/>
      <c r="N559" t="inlineStr"/>
      <c r="O559">
        <f>(1-Summary!$B$11)*S559+Summary!$B$11*U559</f>
        <v/>
      </c>
      <c r="P559">
        <f>IF(B598=0,0,O559/B598)</f>
        <v/>
      </c>
      <c r="Q559">
        <f>IFERROR(1/(IF(Inputs!$B$39="pvp",15,MAX(0.1,Skills!D3-IF(Skills!E3=TRUE,Inputs!$B$33,0)))*(1-IF(AND(ArtifactsInput!$M$27,Inputs!$B$4="Chapter Hunt"),CHOOSE(ArtifactsInput!$N$27+1,20,24,28,32,36,40),0)/100)),0)</f>
        <v/>
      </c>
      <c r="R559">
        <f>IF(AND(Inputs!$B$39&lt;&gt;"pvp",Inputs!$B$44&gt;0),IF(Inputs!$B$44&lt;=0,0,(INT(Inputs!$B$44/(IF(Inputs!$B$39="pvp",15,MAX(0.1,Skills!D3-IF(Skills!E3=TRUE,Inputs!$B$33,0)))*(1-IF(AND(ArtifactsInput!$M$27,Inputs!$B$4="Chapter Hunt"),CHOOSE(ArtifactsInput!$N$27+1,20,24,28,32,36,40),0)/100)))+1)),0)</f>
        <v/>
      </c>
      <c r="S559" t="n">
        <v>0</v>
      </c>
      <c r="T559">
        <f>INDEX(FactorTable!$B$2:$Y$301, MATCH(ROUND(MIN(300,MAX(1,T558)),0), FactorTable!$A$2:$A$301,0), 22)</f>
        <v/>
      </c>
      <c r="U559" t="n">
        <v>0</v>
      </c>
    </row>
    <row r="560">
      <c r="A560">
        <f>Skills!A4</f>
        <v/>
      </c>
      <c r="B560">
        <f>Skills!B4</f>
        <v/>
      </c>
      <c r="C560">
        <f>Inputs!$B$3&gt;=38</f>
        <v/>
      </c>
      <c r="D560">
        <f>IF(Skills!C4=1,60+Inputs!$B$26+Inputs!$B$30,IF(Skills!C4=2,90+Inputs!$B$27+Inputs!$B$30,IF(Skills!C4=3,120+Inputs!$B$28+Inputs!$B$30,MAX(0,(Inputs!$B$3-100)*3)+Inputs!$B$29+Inputs!$B$30)))</f>
        <v/>
      </c>
      <c r="E560">
        <f>INDEX(FactorTable!$B$2:$Y$301, MATCH(ROUND(MIN(300,MAX(1,D560)),0), FactorTable!$A$2:$A$301,0), Skills!L4+1)</f>
        <v/>
      </c>
      <c r="F560">
        <f>IF(Skills!M4=TRUE,(Skills!K4/10)*(E560/1000),Skills!K4/10)+Skills!N4</f>
        <v/>
      </c>
      <c r="G560">
        <f>Calc!G4</f>
        <v/>
      </c>
      <c r="H560">
        <f>Calc!H4</f>
        <v/>
      </c>
      <c r="I560">
        <f>IF(Skills!T4&lt;&gt;"",1+(Skills!T4/10)*($Z$3/1000)/100,1)</f>
        <v/>
      </c>
      <c r="J560" t="inlineStr"/>
      <c r="K560" t="inlineStr"/>
      <c r="L560" t="inlineStr"/>
      <c r="M560" t="inlineStr"/>
      <c r="N560" t="inlineStr"/>
      <c r="O560">
        <f>(1-Summary!$B$11)*S560+Summary!$B$11*U560</f>
        <v/>
      </c>
      <c r="P560">
        <f>IF(B598=0,0,O560/B598)</f>
        <v/>
      </c>
      <c r="Q560">
        <f>IFERROR(1/(IF(Inputs!$B$39="pvp",15,MAX(0.1,Skills!D4-IF(Skills!E4=TRUE,Inputs!$B$33,0)))*(1-IF(AND(ArtifactsInput!$M$27,Inputs!$B$4="Chapter Hunt"),CHOOSE(ArtifactsInput!$N$27+1,20,24,28,32,36,40),0)/100)),0)</f>
        <v/>
      </c>
      <c r="R560">
        <f>IF(AND(Inputs!$B$39&lt;&gt;"pvp",Inputs!$B$44&gt;0),IF(Inputs!$B$44&lt;=0,0,(INT(Inputs!$B$44/(IF(Inputs!$B$39="pvp",15,MAX(0.1,Skills!D4-IF(Skills!E4=TRUE,Inputs!$B$33,0)))*(1-IF(AND(ArtifactsInput!$M$27,Inputs!$B$4="Chapter Hunt"),CHOOSE(ArtifactsInput!$N$27+1,20,24,28,32,36,40),0)/100)))+1)),0)</f>
        <v/>
      </c>
      <c r="S560" t="n">
        <v>0</v>
      </c>
      <c r="T560">
        <f>290*T559/1000</f>
        <v/>
      </c>
      <c r="U560" t="n">
        <v>0</v>
      </c>
    </row>
    <row r="561">
      <c r="A561">
        <f>Skills!A5</f>
        <v/>
      </c>
      <c r="B561">
        <f>Skills!B5</f>
        <v/>
      </c>
      <c r="C561">
        <f>Inputs!$B$3&gt;=40</f>
        <v/>
      </c>
      <c r="D561">
        <f>IF(Skills!C5=1,60+Inputs!$B$26+Inputs!$B$30,IF(Skills!C5=2,90+Inputs!$B$27+Inputs!$B$30,IF(Skills!C5=3,120+Inputs!$B$28+Inputs!$B$30,MAX(0,(Inputs!$B$3-100)*3)+Inputs!$B$29+Inputs!$B$30)))</f>
        <v/>
      </c>
      <c r="E561">
        <f>INDEX(FactorTable!$B$2:$Y$301, MATCH(ROUND(MIN(300,MAX(1,D561)),0), FactorTable!$A$2:$A$301,0), Skills!L5+1)</f>
        <v/>
      </c>
      <c r="F561">
        <f>IF(Skills!M5=TRUE,(Skills!K5/10)*(E561/1000),Skills!K5/10)+Skills!N5</f>
        <v/>
      </c>
      <c r="G561">
        <f>Calc!G5</f>
        <v/>
      </c>
      <c r="H561">
        <f>Calc!H5</f>
        <v/>
      </c>
      <c r="I561">
        <f>IF(Skills!T5&lt;&gt;"",1+(Skills!T5/10)*($Z$3/1000)/100,1)</f>
        <v/>
      </c>
      <c r="J561" t="inlineStr"/>
      <c r="K561" t="inlineStr"/>
      <c r="L561" t="inlineStr"/>
      <c r="M561" t="inlineStr"/>
      <c r="N561" t="inlineStr"/>
      <c r="O561">
        <f>(1-Summary!$B$11)*S561+Summary!$B$11*U561</f>
        <v/>
      </c>
      <c r="P561">
        <f>IF(B598=0,0,O561/B598)</f>
        <v/>
      </c>
      <c r="Q561">
        <f>IFERROR(1/(IF(Inputs!$B$39="pvp",15,MAX(0.1,Skills!D5-IF(Skills!E5=TRUE,Inputs!$B$33,0)))*(1-IF(AND(ArtifactsInput!$M$27,Inputs!$B$4="Chapter Hunt"),CHOOSE(ArtifactsInput!$N$27+1,20,24,28,32,36,40),0)/100)),0)</f>
        <v/>
      </c>
      <c r="R561">
        <f>IF(AND(Inputs!$B$39&lt;&gt;"pvp",Inputs!$B$44&gt;0),IF(Inputs!$B$44&lt;=0,0,(INT(Inputs!$B$44/(IF(Inputs!$B$39="pvp",15,MAX(0.1,Skills!D5-IF(Skills!E5=TRUE,Inputs!$B$33,0)))*(1-IF(AND(ArtifactsInput!$M$27,Inputs!$B$4="Chapter Hunt"),CHOOSE(ArtifactsInput!$N$27+1,20,24,28,32,36,40),0)/100)))+1)),0)</f>
        <v/>
      </c>
      <c r="S561" t="n">
        <v>0</v>
      </c>
      <c r="U561" t="n">
        <v>0</v>
      </c>
    </row>
    <row r="562">
      <c r="A562">
        <f>Skills!A6</f>
        <v/>
      </c>
      <c r="B562">
        <f>Skills!B6</f>
        <v/>
      </c>
      <c r="C562">
        <f>Inputs!$B$3&gt;=103</f>
        <v/>
      </c>
      <c r="D562">
        <f>IF(Skills!C6=1,60+Inputs!$B$26+Inputs!$B$30,IF(Skills!C6=2,90+Inputs!$B$27+Inputs!$B$30,IF(Skills!C6=3,120+Inputs!$B$28+Inputs!$B$30,MAX(0,(Inputs!$B$3-100)*3)+Inputs!$B$29+Inputs!$B$30)))</f>
        <v/>
      </c>
      <c r="E562">
        <f>INDEX(FactorTable!$B$2:$Y$301, MATCH(ROUND(MIN(300,MAX(1,D562)),0), FactorTable!$A$2:$A$301,0), Skills!L6+1)</f>
        <v/>
      </c>
      <c r="F562">
        <f>IF(Skills!M6=TRUE,(Skills!K6/10)*(E562/1000),Skills!K6/10)+Skills!N6</f>
        <v/>
      </c>
      <c r="G562">
        <f>Calc!G6</f>
        <v/>
      </c>
      <c r="H562">
        <f>Calc!H6</f>
        <v/>
      </c>
      <c r="I562">
        <f>IF(Skills!T6&lt;&gt;"",1+(Skills!T6/10)*($Z$3/1000)/100,1)</f>
        <v/>
      </c>
      <c r="J562">
        <f>((Inputs!$B$6*(1+Inputs!$B$7/100))+(((Inputs!$B$13*(1+Inputs!$B$14/100))-(Inputs!$B$13*(1+Inputs!$B$14/100)))+0.25*(Inputs!$B$15-Inputs!$B$15))*(1+Inputs!$B$7/100))*(F562/100)</f>
        <v/>
      </c>
      <c r="K562">
        <f>J562*(1+(((Inputs!$B$13+IF(Inputs!$B$3&gt;=35,(10*INDEX(FactorTable!$B$2:$Y$301,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6="TRIUMPH_FEATHER",IF(C572=TRUE,F572,0),0)/100)*(1+IF(C583=TRUE,F583,0)/100)^5*(1+(IF(Skills!A6="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562)</f>
        <v/>
      </c>
      <c r="L562">
        <f>K562*(MIN(Inputs!$B$23+(F578-Calc!F22),(Inputs!$B$24+IF(ArtifactsInput!$M$15,CHOOSE(ArtifactsInput!$N$15+1,25,30,35,40,45,50)/100*(Inputs!$B$12-Inputs!$B$12),0)))/100+(Inputs!$B$24+IF(ArtifactsInput!$M$15,CHOOSE(ArtifactsInput!$N$15+1,25,30,35,40,45,50)/100*(Inputs!$B$12-Inputs!$B$12),0))/100)/2</f>
        <v/>
      </c>
      <c r="M562">
        <f>L562*(1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2">
        <f>L562*(1-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562*(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2">
        <f>(1-Summary!$B$11)*S562+Summary!$B$11*U562</f>
        <v/>
      </c>
      <c r="P562">
        <f>IF(B598=0,0,O562/B598)</f>
        <v/>
      </c>
      <c r="Q562">
        <f>IFERROR(1/(IF(Inputs!$B$39="pvp",15,MAX(0.1,Skills!D6-IF(Skills!E6=TRUE,Inputs!$B$33,0)))*(1-IF(AND(ArtifactsInput!$M$27,Inputs!$B$4="Chapter Hunt"),CHOOSE(ArtifactsInput!$N$27+1,20,24,28,32,36,40),0)/100)),0)</f>
        <v/>
      </c>
      <c r="R562">
        <f>IF(AND(Inputs!$B$39&lt;&gt;"pvp",Inputs!$B$44&gt;0),IF(MAX(0,Inputs!$B$44-B595)&lt;=0,0,(INT(MAX(0,Inputs!$B$44-B595)/(IF(Inputs!$B$39="pvp",15,MAX(0.1,Skills!D6-IF(Skills!E6=TRUE,Inputs!$B$33,0)))*(1-IF(AND(ArtifactsInput!$M$27,Inputs!$B$4="Chapter Hunt"),CHOOSE(ArtifactsInput!$N$27+1,20,24,28,32,36,40),0)/100)))+1)),0)</f>
        <v/>
      </c>
      <c r="S562">
        <f>IF(C562,(H562*N562*IF(AND(Inputs!$B$39&lt;&gt;"pvp",Inputs!$B$44&gt;0),((Skills!F6*((R562-1)*IF(Skills!G6&gt;0,Skills!H6/Skills!G6,1)+IF(Skills!G6&gt;0,MIN(Skills!H6,MAX(0,MAX(0,Inputs!$B$44-B595)-((R562-1)*(IF(Inputs!$B$39="pvp",15,MAX(0.1,Skills!D6-IF(Skills!E6=TRUE,Inputs!$B$33,0)))*(1-IF(AND(ArtifactsInput!$M$27,Inputs!$B$4="Chapter Hunt"),CHOOSE(ArtifactsInput!$N$27+1,20,24,28,32,36,40),0)/100)))))/Skills!G6,1)))/Inputs!$B$44),G562*Q562))*IF(Inputs!$B$39="pvp",1,1+(Inputs!$B$21+Skills!O6+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562*(1-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562*(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562*(1-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562*(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2">
        <f>IF(C562,(H562*N562*IF(AND(Inputs!$B$39&lt;&gt;"pvp",Inputs!$B$44&gt;0),((Skills!F6*((R562-1)*IF(Skills!G6&gt;0,Skills!H6/Skills!G6,1)+IF(Skills!G6&gt;0,MIN(Skills!H6,MAX(0,MAX(0,Inputs!$B$44-B595)-((R562-1)*(IF(Inputs!$B$39="pvp",15,MAX(0.1,Skills!D6-IF(Skills!E6=TRUE,Inputs!$B$33,0)))*(1-IF(AND(ArtifactsInput!$M$27,Inputs!$B$4="Chapter Hunt"),CHOOSE(ArtifactsInput!$N$27+1,20,24,28,32,36,40),0)/100)))))/Skills!G6,1)))/Inputs!$B$44),G562*Q562))*IF(Inputs!$B$39="pvp",1,(1+(Inputs!$B$22+Skills!P6+B587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3">
      <c r="A563">
        <f>Skills!A7</f>
        <v/>
      </c>
      <c r="B563">
        <f>Skills!B7</f>
        <v/>
      </c>
      <c r="C563">
        <f>Inputs!$B$3&gt;=122</f>
        <v/>
      </c>
      <c r="D563">
        <f>IF(Skills!C7=1,60+Inputs!$B$26+Inputs!$B$30,IF(Skills!C7=2,90+Inputs!$B$27+Inputs!$B$30,IF(Skills!C7=3,120+Inputs!$B$28+Inputs!$B$30,MAX(0,(Inputs!$B$3-100)*3)+Inputs!$B$29+Inputs!$B$30)))</f>
        <v/>
      </c>
      <c r="E563">
        <f>INDEX(FactorTable!$B$2:$Y$301, MATCH(ROUND(MIN(300,MAX(1,D563)),0), FactorTable!$A$2:$A$301,0), Skills!L7+1)</f>
        <v/>
      </c>
      <c r="F563">
        <f>IF(Skills!M7=TRUE,(Skills!K7/10)*(E563/1000),Skills!K7/10)+Skills!N7</f>
        <v/>
      </c>
      <c r="G563">
        <f>Calc!G7</f>
        <v/>
      </c>
      <c r="H563">
        <f>Calc!H7</f>
        <v/>
      </c>
      <c r="I563">
        <f>IF(Skills!T7&lt;&gt;"",1+(Skills!T7/10)*($Z$3/1000)/100,1)</f>
        <v/>
      </c>
      <c r="J563">
        <f>((Inputs!$B$6*(1+Inputs!$B$7/100))+(((Inputs!$B$13*(1+Inputs!$B$14/100))-(Inputs!$B$13*(1+Inputs!$B$14/100)))+0.25*(Inputs!$B$15-Inputs!$B$15))*(1+Inputs!$B$7/100))*(F563/100)</f>
        <v/>
      </c>
      <c r="K563">
        <f>J563*(1+(((Inputs!$B$13+IF(Inputs!$B$3&gt;=35,(10*INDEX(FactorTable!$B$2:$Y$301,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7="TRIUMPH_FEATHER",IF(C572=TRUE,F572,0),0)/100)*(1+IF(C583=TRUE,F583,0)/100)^5*(1+(IF(Skills!A7="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563)</f>
        <v/>
      </c>
      <c r="L563">
        <f>K563*(MIN(Inputs!$B$23+(F578-Calc!F22),(Inputs!$B$24+IF(ArtifactsInput!$M$15,CHOOSE(ArtifactsInput!$N$15+1,25,30,35,40,45,50)/100*(Inputs!$B$12-Inputs!$B$12),0)))/100+(Inputs!$B$24+IF(ArtifactsInput!$M$15,CHOOSE(ArtifactsInput!$N$15+1,25,30,35,40,45,50)/100*(Inputs!$B$12-Inputs!$B$12),0))/100)/2</f>
        <v/>
      </c>
      <c r="M563">
        <f>L563*(1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3">
        <f>L563*(1-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563*(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3">
        <f>(1-Summary!$B$11)*S563+Summary!$B$11*U563</f>
        <v/>
      </c>
      <c r="P563">
        <f>IF(B598=0,0,O563/B598)</f>
        <v/>
      </c>
      <c r="Q563">
        <f>IFERROR(1/(IF(Inputs!$B$39="pvp",15,MAX(0.1,Skills!D7-IF(Skills!E6=TRUE,Inputs!$B$33,0)))*(1-IF(AND(ArtifactsInput!$M$27,Inputs!$B$4="Chapter Hunt"),CHOOSE(ArtifactsInput!$N$27+1,20,24,28,32,36,40),0)/100)),0)</f>
        <v/>
      </c>
      <c r="R563">
        <f>IF(AND(Inputs!$B$39&lt;&gt;"pvp",Inputs!$B$44&gt;0),IF(MAX(0,Inputs!$B$44-B595)&lt;=0,0,(INT(MAX(0,Inputs!$B$44-B595)/(IF(Inputs!$B$39="pvp",15,MAX(0.1,Skills!D7-IF(Skills!E6=TRUE,Inputs!$B$33,0)))*(1-IF(AND(ArtifactsInput!$M$27,Inputs!$B$4="Chapter Hunt"),CHOOSE(ArtifactsInput!$N$27+1,20,24,28,32,36,40),0)/100)))+1)),0)</f>
        <v/>
      </c>
      <c r="S563">
        <f>IF(C563,H563*N563*IF(AND(Inputs!$B$39&lt;&gt;"pvp",Inputs!$B$44&gt;0),((Skills!F7*((R563-1)*IF(Skills!G7&gt;0,Skills!H7/Skills!G7,1)+IF(Skills!G7&gt;0,MIN(Skills!H7,MAX(0,MAX(0,Inputs!$B$44-B595)-((R563-1)*(IF(Inputs!$B$39="pvp",15,MAX(0.1,Skills!D7-IF(Skills!E6=TRUE,Inputs!$B$33,0)))*(1-IF(AND(ArtifactsInput!$M$27,Inputs!$B$4="Chapter Hunt"),CHOOSE(ArtifactsInput!$N$27+1,20,24,28,32,36,40),0)/100)))))/Skills!G7,1)))/Inputs!$B$44),G563*Q563)*IF(Inputs!$B$39="pvp",1,1+(Inputs!$B$21+Skills!O7+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563*(1-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563*(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563*(1-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563*(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3" t="n">
        <v>0</v>
      </c>
    </row>
    <row r="564">
      <c r="A564">
        <f>Skills!A8</f>
        <v/>
      </c>
      <c r="B564">
        <f>Skills!B8</f>
        <v/>
      </c>
      <c r="C564">
        <f>Inputs!$B$3&gt;=105</f>
        <v/>
      </c>
      <c r="D564">
        <f>IF(Skills!C8=1,60+Inputs!$B$26+Inputs!$B$30,IF(Skills!C8=2,90+Inputs!$B$27+Inputs!$B$30,IF(Skills!C8=3,120+Inputs!$B$28+Inputs!$B$30,MAX(0,(Inputs!$B$3-100)*3)+Inputs!$B$29+Inputs!$B$30)))</f>
        <v/>
      </c>
      <c r="E564">
        <f>INDEX(FactorTable!$B$2:$Y$301, MATCH(ROUND(MIN(300,MAX(1,D564)),0), FactorTable!$A$2:$A$301,0), Skills!L8+1)</f>
        <v/>
      </c>
      <c r="F564">
        <f>IF(Skills!M8=TRUE,(Skills!K8/10)*(E564/1000),Skills!K8/10)+Skills!N8</f>
        <v/>
      </c>
      <c r="G564">
        <f>Calc!G8</f>
        <v/>
      </c>
      <c r="H564">
        <f>Calc!H8</f>
        <v/>
      </c>
      <c r="I564">
        <f>IF(Skills!T8&lt;&gt;"",1+(Skills!T8/10)*($Z$3/1000)/100,1)</f>
        <v/>
      </c>
      <c r="J564">
        <f>((Inputs!$B$6*(1+Inputs!$B$7/100))+(((Inputs!$B$13*(1+Inputs!$B$14/100))-(Inputs!$B$13*(1+Inputs!$B$14/100)))+0.25*(Inputs!$B$15-Inputs!$B$15))*(1+Inputs!$B$7/100))*(F564/100)</f>
        <v/>
      </c>
      <c r="K564">
        <f>J564*(1+(((Inputs!$B$13+IF(Inputs!$B$3&gt;=35,(10*INDEX(FactorTable!$B$2:$Y$301,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8="TRIUMPH_FEATHER",IF(C572=TRUE,F572,0),0)/100)*(1+IF(C583=TRUE,F583,0)/100)^5*(1+(IF(Skills!A8="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564)</f>
        <v/>
      </c>
      <c r="L564">
        <f>K564*(MIN(Inputs!$B$23+(F578-Calc!F22),(Inputs!$B$24+IF(ArtifactsInput!$M$15,CHOOSE(ArtifactsInput!$N$15+1,25,30,35,40,45,50)/100*(Inputs!$B$12-Inputs!$B$12),0)))/100+(Inputs!$B$24+IF(ArtifactsInput!$M$15,CHOOSE(ArtifactsInput!$N$15+1,25,30,35,40,45,50)/100*(Inputs!$B$12-Inputs!$B$12),0))/100)/2</f>
        <v/>
      </c>
      <c r="M564">
        <f>L564*(1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4">
        <f>L564*(1-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(1-Summary!$B$11)*S564+Summary!$B$11*U564</f>
        <v/>
      </c>
      <c r="P564">
        <f>IF(B598=0,0,O564/B598)</f>
        <v/>
      </c>
      <c r="Q564">
        <f>IFERROR(1/(IF(Inputs!$B$39="pvp",15,MAX(0.1,Skills!D8-IF(Skills!E8=TRUE,Inputs!$B$33,0)))*(1-IF(AND(ArtifactsInput!$M$27,Inputs!$B$4="Chapter Hunt"),CHOOSE(ArtifactsInput!$N$27+1,20,24,28,32,36,40),0)/100)),0)</f>
        <v/>
      </c>
      <c r="R564">
        <f>IF(AND(Inputs!$B$39&lt;&gt;"pvp",Inputs!$B$44&gt;0),IF(MAX(0,Inputs!$B$44-B595)&lt;=0,0,(INT(MAX(0,Inputs!$B$44-B595)/(IF(Inputs!$B$39="pvp",15,MAX(0.1,Skills!D8-IF(Skills!E8=TRUE,Inputs!$B$33,0)))*(1-IF(AND(ArtifactsInput!$M$27,Inputs!$B$4="Chapter Hunt"),CHOOSE(ArtifactsInput!$N$27+1,20,24,28,32,36,40),0)/100)))+1)),0)</f>
        <v/>
      </c>
      <c r="S564">
        <f>IF(C564,(H564*N564*IF(AND(Inputs!$B$39&lt;&gt;"pvp",Inputs!$B$44&gt;0),((Skills!F8*((R564-1)*IF(Skills!G8&gt;0,Skills!H8/Skills!G8,1)+IF(Skills!G8&gt;0,MIN(Skills!H8,MAX(0,MAX(0,Inputs!$B$44-B595)-((R564-1)*(IF(Inputs!$B$39="pvp",15,MAX(0.1,Skills!D8-IF(Skills!E8=TRUE,Inputs!$B$33,0)))*(1-IF(AND(ArtifactsInput!$M$27,Inputs!$B$4="Chapter Hunt"),CHOOSE(ArtifactsInput!$N$27+1,20,24,28,32,36,40),0)/100)))))/Skills!G8,1)))/Inputs!$B$44),G564*Q564))*IF(Inputs!$B$39="pvp",1,1+(Inputs!$B$21+Skills!O8+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564*(1-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IF(C564,(H564*N564*IF(AND(Inputs!$B$39&lt;&gt;"pvp",Inputs!$B$44&gt;0),((Skills!F8*((R564-1)*IF(Skills!G8&gt;0,Skills!H8/Skills!G8,1)+IF(Skills!G8&gt;0,MIN(Skills!H8,MAX(0,MAX(0,Inputs!$B$44-B595)-((R564-1)*(IF(Inputs!$B$39="pvp",15,MAX(0.1,Skills!D8-IF(Skills!E8=TRUE,Inputs!$B$33,0)))*(1-IF(AND(ArtifactsInput!$M$27,Inputs!$B$4="Chapter Hunt"),CHOOSE(ArtifactsInput!$N$27+1,20,24,28,32,36,40),0)/100)))))/Skills!G8,1)))/Inputs!$B$44),G564*Q564))*IF(Inputs!$B$39="pvp",1,(1+(Inputs!$B$22+Skills!P8+B587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Skills!A9</f>
        <v/>
      </c>
      <c r="B565">
        <f>Skills!B9</f>
        <v/>
      </c>
      <c r="C565">
        <f>Inputs!$B$3&gt;=115</f>
        <v/>
      </c>
      <c r="D565">
        <f>IF(Skills!C9=1,60+Inputs!$B$26+Inputs!$B$30,IF(Skills!C9=2,90+Inputs!$B$27+Inputs!$B$30,IF(Skills!C9=3,120+Inputs!$B$28+Inputs!$B$30,MAX(0,(Inputs!$B$3-100)*3)+Inputs!$B$29+Inputs!$B$30)))</f>
        <v/>
      </c>
      <c r="E565">
        <f>INDEX(FactorTable!$B$2:$Y$301, MATCH(ROUND(MIN(300,MAX(1,D565)),0), FactorTable!$A$2:$A$301,0), Skills!L9+1)</f>
        <v/>
      </c>
      <c r="F565">
        <f>IF(Skills!M9=TRUE,(Skills!K9/10)*(E565/1000),Skills!K9/10)+Skills!N9</f>
        <v/>
      </c>
      <c r="G565">
        <f>Calc!G9</f>
        <v/>
      </c>
      <c r="H565">
        <f>Calc!H9</f>
        <v/>
      </c>
      <c r="I565">
        <f>IF(Skills!T9&lt;&gt;"",1+(Skills!T9/10)*($Z$3/1000)/100,1)</f>
        <v/>
      </c>
      <c r="J565">
        <f>((Inputs!$B$6*(1+Inputs!$B$7/100))+(((Inputs!$B$13*(1+Inputs!$B$14/100))-(Inputs!$B$13*(1+Inputs!$B$14/100)))+0.25*(Inputs!$B$15-Inputs!$B$15))*(1+Inputs!$B$7/100))*(F565/100)</f>
        <v/>
      </c>
      <c r="K565">
        <f>J565*(1+(((Inputs!$B$13+IF(Inputs!$B$3&gt;=35,(10*INDEX(FactorTable!$B$2:$Y$301,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9="TRIUMPH_FEATHER",IF(C572=TRUE,F572,0),0)/100)*(1+IF(C583=TRUE,F583,0)/100)^5*(1+(IF(Skills!A9="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565)</f>
        <v/>
      </c>
      <c r="L565">
        <f>K565*(MIN(Inputs!$B$23+(F578-Calc!F22),(Inputs!$B$24+IF(ArtifactsInput!$M$15,CHOOSE(ArtifactsInput!$N$15+1,25,30,35,40,45,50)/100*(Inputs!$B$12-Inputs!$B$12),0)))/100+(Inputs!$B$24+IF(ArtifactsInput!$M$15,CHOOSE(ArtifactsInput!$N$15+1,25,30,35,40,45,50)/100*(Inputs!$B$12-Inputs!$B$12),0))/100)/2</f>
        <v/>
      </c>
      <c r="M565">
        <f>L565*(1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5">
        <f>L565*(1-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(1-Summary!$B$11)*S565+Summary!$B$11*U565</f>
        <v/>
      </c>
      <c r="P565">
        <f>IF(B598=0,0,O565/B598)</f>
        <v/>
      </c>
      <c r="Q565">
        <f>IFERROR(1/(IF(Inputs!$B$39="pvp",15,MAX(0.1,Skills!D9-IF(Skills!E9=TRUE,Inputs!$B$33,0)))*(1-IF(AND(ArtifactsInput!$M$27,Inputs!$B$4="Chapter Hunt"),CHOOSE(ArtifactsInput!$N$27+1,20,24,28,32,36,40),0)/100)),0)</f>
        <v/>
      </c>
      <c r="R565">
        <f>IF(AND(Inputs!$B$39&lt;&gt;"pvp",Inputs!$B$44&gt;0),IF(MAX(0,Inputs!$B$44-B595)&lt;=0,0,(INT(MAX(0,Inputs!$B$44-B595)/(IF(Inputs!$B$39="pvp",15,MAX(0.1,Skills!D9-IF(Skills!E9=TRUE,Inputs!$B$33,0)))*(1-IF(AND(ArtifactsInput!$M$27,Inputs!$B$4="Chapter Hunt"),CHOOSE(ArtifactsInput!$N$27+1,20,24,28,32,36,40),0)/100)))+1)),0)</f>
        <v/>
      </c>
      <c r="S565">
        <f>IF(C565,(H565*N565*IF(AND(Inputs!$B$39&lt;&gt;"pvp",Inputs!$B$44&gt;0),((Skills!F9*((R565-1)*IF(Skills!G9&gt;0,Skills!H9/Skills!G9,1)+IF(Skills!G9&gt;0,MIN(Skills!H9,MAX(0,MAX(0,Inputs!$B$44-B595)-((R565-1)*(IF(Inputs!$B$39="pvp",15,MAX(0.1,Skills!D9-IF(Skills!E9=TRUE,Inputs!$B$33,0)))*(1-IF(AND(ArtifactsInput!$M$27,Inputs!$B$4="Chapter Hunt"),CHOOSE(ArtifactsInput!$N$27+1,20,24,28,32,36,40),0)/100)))))/Skills!G9,1)))/Inputs!$B$44),G565*Q565))*IF(Inputs!$B$39="pvp",1,1+(Inputs!$B$21+Skills!O9+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565*(1-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F(C565,(H565*N565*IF(AND(Inputs!$B$39&lt;&gt;"pvp",Inputs!$B$44&gt;0),((Skills!F9*((R565-1)*IF(Skills!G9&gt;0,Skills!H9/Skills!G9,1)+IF(Skills!G9&gt;0,MIN(Skills!H9,MAX(0,MAX(0,Inputs!$B$44-B595)-((R565-1)*(IF(Inputs!$B$39="pvp",15,MAX(0.1,Skills!D9-IF(Skills!E9=TRUE,Inputs!$B$33,0)))*(1-IF(AND(ArtifactsInput!$M$27,Inputs!$B$4="Chapter Hunt"),CHOOSE(ArtifactsInput!$N$27+1,20,24,28,32,36,40),0)/100)))))/Skills!G9,1)))/Inputs!$B$44),G565*Q565))*IF(Inputs!$B$39="pvp",1,(1+(Inputs!$B$22+Skills!P9+B587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Skills!A10</f>
        <v/>
      </c>
      <c r="B566">
        <f>Skills!B10</f>
        <v/>
      </c>
      <c r="C566">
        <f>Inputs!$B$3&gt;=66</f>
        <v/>
      </c>
      <c r="D566">
        <f>IF(Skills!C10=1,60+Inputs!$B$26+Inputs!$B$30,IF(Skills!C10=2,90+Inputs!$B$27+Inputs!$B$30,IF(Skills!C10=3,120+Inputs!$B$28+Inputs!$B$30,MAX(0,(Inputs!$B$3-100)*3)+Inputs!$B$29+Inputs!$B$30)))</f>
        <v/>
      </c>
      <c r="E566">
        <f>INDEX(FactorTable!$B$2:$Y$301, MATCH(ROUND(MIN(300,MAX(1,D566)),0), FactorTable!$A$2:$A$301,0), Skills!L10+1)</f>
        <v/>
      </c>
      <c r="F566" t="n">
        <v>0</v>
      </c>
      <c r="G566">
        <f>Calc!G10</f>
        <v/>
      </c>
      <c r="H566">
        <f>Calc!H10</f>
        <v/>
      </c>
      <c r="I566">
        <f>IF(Skills!T10&lt;&gt;"",1+(Skills!T10/10)*($Z$3/1000)/100,1)</f>
        <v/>
      </c>
      <c r="J566" t="inlineStr"/>
      <c r="K566" t="inlineStr"/>
      <c r="L566" t="inlineStr"/>
      <c r="M566" t="inlineStr"/>
      <c r="N566" t="inlineStr"/>
      <c r="O566">
        <f>(1-Summary!$B$11)*S566+Summary!$B$11*U566</f>
        <v/>
      </c>
      <c r="P566">
        <f>IF(B598=0,0,O566/B598)</f>
        <v/>
      </c>
      <c r="Q566">
        <f>IFERROR(1/(IF(Inputs!$B$39="pvp",15,MAX(0.1,Skills!D10-IF(Skills!E10=TRUE,Inputs!$B$33,0)))*(1-IF(AND(ArtifactsInput!$M$27,Inputs!$B$4="Chapter Hunt"),CHOOSE(ArtifactsInput!$N$27+1,20,24,28,32,36,40),0)/100)),0)</f>
        <v/>
      </c>
      <c r="R566">
        <f>IF(AND(Inputs!$B$39&lt;&gt;"pvp",Inputs!$B$44&gt;0),IF(MAX(0,Inputs!$B$44-B595)&lt;=0,0,(INT(MAX(0,Inputs!$B$44-B595)/(IF(Inputs!$B$39="pvp",15,MAX(0.1,Skills!D10-IF(Skills!E10=TRUE,Inputs!$B$33,0)))*(1-IF(AND(ArtifactsInput!$M$27,Inputs!$B$4="Chapter Hunt"),CHOOSE(ArtifactsInput!$N$27+1,20,24,28,32,36,40),0)/100)))+1)),0)</f>
        <v/>
      </c>
      <c r="S566" t="n">
        <v>0</v>
      </c>
      <c r="U566" t="n">
        <v>0</v>
      </c>
    </row>
    <row r="567">
      <c r="A567">
        <f>Skills!A11</f>
        <v/>
      </c>
      <c r="B567">
        <f>Skills!B11</f>
        <v/>
      </c>
      <c r="C567">
        <f>Inputs!$B$3&gt;=69</f>
        <v/>
      </c>
      <c r="D567">
        <f>IF(Skills!C11=1,60+Inputs!$B$26+Inputs!$B$30,IF(Skills!C11=2,90+Inputs!$B$27+Inputs!$B$30,IF(Skills!C11=3,120+Inputs!$B$28+Inputs!$B$30,MAX(0,(Inputs!$B$3-100)*3)+Inputs!$B$29+Inputs!$B$30)))</f>
        <v/>
      </c>
      <c r="E567">
        <f>INDEX(FactorTable!$B$2:$Y$301, MATCH(ROUND(MIN(300,MAX(1,D567)),0), FactorTable!$A$2:$A$301,0), Skills!L11+1)</f>
        <v/>
      </c>
      <c r="F567">
        <f>IF(Skills!M11=TRUE,(Skills!K11/10)*(E567/1000),Skills!K11/10)+Skills!N11</f>
        <v/>
      </c>
      <c r="G567">
        <f>Calc!G11</f>
        <v/>
      </c>
      <c r="H567">
        <f>Calc!H11</f>
        <v/>
      </c>
      <c r="I567">
        <f>IF(Skills!T11&lt;&gt;"",1+(Skills!T11/10)*($Z$3/1000)/100,1)</f>
        <v/>
      </c>
      <c r="J567" t="inlineStr"/>
      <c r="K567" t="inlineStr"/>
      <c r="L567" t="inlineStr"/>
      <c r="M567" t="inlineStr"/>
      <c r="N567" t="inlineStr"/>
      <c r="O567">
        <f>(1-Summary!$B$11)*S567+Summary!$B$11*U567</f>
        <v/>
      </c>
      <c r="P567">
        <f>IF(B598=0,0,O567/B598)</f>
        <v/>
      </c>
      <c r="Q567">
        <f>IFERROR(1/(IF(Inputs!$B$39="pvp",15,MAX(0.1,Skills!D11-IF(Skills!E11=TRUE,Inputs!$B$33,0)))*(1-IF(AND(ArtifactsInput!$M$27,Inputs!$B$4="Chapter Hunt"),CHOOSE(ArtifactsInput!$N$27+1,20,24,28,32,36,40),0)/100)),0)</f>
        <v/>
      </c>
      <c r="R567">
        <f>IF(AND(Inputs!$B$39&lt;&gt;"pvp",Inputs!$B$44&gt;0),IF(Inputs!$B$44&lt;=0,0,(INT(Inputs!$B$44/(IF(Inputs!$B$39="pvp",15,MAX(0.1,Skills!D11-IF(Skills!E11=TRUE,Inputs!$B$33,0)))*(1-IF(AND(ArtifactsInput!$M$27,Inputs!$B$4="Chapter Hunt"),CHOOSE(ArtifactsInput!$N$27+1,20,24,28,32,36,40),0)/100)))+1)),0)</f>
        <v/>
      </c>
      <c r="S567" t="n">
        <v>0</v>
      </c>
      <c r="U567" t="n">
        <v>0</v>
      </c>
    </row>
    <row r="568">
      <c r="A568">
        <f>Skills!A12</f>
        <v/>
      </c>
      <c r="B568">
        <f>Skills!B12</f>
        <v/>
      </c>
      <c r="C568">
        <f>Inputs!$B$3&gt;=72</f>
        <v/>
      </c>
      <c r="D568">
        <f>IF(Skills!C12=1,60+Inputs!$B$26+Inputs!$B$30,IF(Skills!C12=2,90+Inputs!$B$27+Inputs!$B$30,IF(Skills!C12=3,120+Inputs!$B$28+Inputs!$B$30,MAX(0,(Inputs!$B$3-100)*3)+Inputs!$B$29+Inputs!$B$30)))</f>
        <v/>
      </c>
      <c r="E568">
        <f>INDEX(FactorTable!$B$2:$Y$301, MATCH(ROUND(MIN(300,MAX(1,D568)),0), FactorTable!$A$2:$A$301,0), Skills!L12+1)</f>
        <v/>
      </c>
      <c r="F568">
        <f>IF(Skills!M12=TRUE,(Skills!K12/10)*(E568/1000),Skills!K12/10)+Skills!N12</f>
        <v/>
      </c>
      <c r="G568">
        <f>Calc!G12</f>
        <v/>
      </c>
      <c r="H568">
        <f>Calc!H12</f>
        <v/>
      </c>
      <c r="I568">
        <f>IF(Skills!T12&lt;&gt;"",1+(Skills!T12/10)*($Z$3/1000)/100,1)</f>
        <v/>
      </c>
      <c r="J568" t="inlineStr"/>
      <c r="K568" t="inlineStr"/>
      <c r="L568" t="inlineStr"/>
      <c r="M568" t="inlineStr"/>
      <c r="N568" t="inlineStr"/>
      <c r="O568">
        <f>(1-Summary!$B$11)*S568+Summary!$B$11*U568</f>
        <v/>
      </c>
      <c r="P568">
        <f>IF(B598=0,0,O568/B598)</f>
        <v/>
      </c>
      <c r="Q568">
        <f>IFERROR(1/(IF(Inputs!$B$39="pvp",15,MAX(0.1,Skills!D12-IF(Skills!E12=TRUE,Inputs!$B$33,0)))*(1-IF(AND(ArtifactsInput!$M$27,Inputs!$B$4="Chapter Hunt"),CHOOSE(ArtifactsInput!$N$27+1,20,24,28,32,36,40),0)/100)),0)</f>
        <v/>
      </c>
      <c r="R568">
        <f>IF(AND(Inputs!$B$39&lt;&gt;"pvp",Inputs!$B$44&gt;0),IF(MAX(0,Inputs!$B$44-B595)&lt;=0,0,(INT(MAX(0,Inputs!$B$44-B595)/(IF(Inputs!$B$39="pvp",15,MAX(0.1,Skills!D12-IF(Skills!E12=TRUE,Inputs!$B$33,0)))*(1-IF(AND(ArtifactsInput!$M$27,Inputs!$B$4="Chapter Hunt"),CHOOSE(ArtifactsInput!$N$27+1,20,24,28,32,36,40),0)/100)))+1)),0)</f>
        <v/>
      </c>
      <c r="S568" t="n">
        <v>0</v>
      </c>
      <c r="U568" t="n">
        <v>0</v>
      </c>
    </row>
    <row r="569">
      <c r="A569">
        <f>Skills!A13</f>
        <v/>
      </c>
      <c r="B569">
        <f>Skills!B13</f>
        <v/>
      </c>
      <c r="C569">
        <f>Inputs!$B$3&gt;=60</f>
        <v/>
      </c>
      <c r="D569">
        <f>IF(Skills!C13=1,60+Inputs!$B$26+Inputs!$B$30,IF(Skills!C13=2,90+Inputs!$B$27+Inputs!$B$30,IF(Skills!C13=3,120+Inputs!$B$28+Inputs!$B$30,MAX(0,(Inputs!$B$3-100)*3)+Inputs!$B$29+Inputs!$B$30)))</f>
        <v/>
      </c>
      <c r="E569">
        <f>INDEX(FactorTable!$B$2:$Y$301, MATCH(ROUND(MIN(300,MAX(1,D569)),0), FactorTable!$A$2:$A$301,0), Skills!L13+1)</f>
        <v/>
      </c>
      <c r="F569">
        <f>IF(Skills!M13=TRUE,(Skills!K13/10)*(E569/1000),Skills!K13/10)+Skills!N13</f>
        <v/>
      </c>
      <c r="G569">
        <f>Calc!G13</f>
        <v/>
      </c>
      <c r="H569">
        <f>Calc!H13</f>
        <v/>
      </c>
      <c r="I569">
        <f>IF(Skills!T13&lt;&gt;"",1+(Skills!T13/10)*($Z$3/1000)/100,1)</f>
        <v/>
      </c>
      <c r="J569" t="inlineStr"/>
      <c r="K569" t="inlineStr"/>
      <c r="L569" t="inlineStr"/>
      <c r="M569" t="inlineStr"/>
      <c r="N569" t="inlineStr"/>
      <c r="O569">
        <f>(1-Summary!$B$11)*S569+Summary!$B$11*U569</f>
        <v/>
      </c>
      <c r="P569">
        <f>IF(B598=0,0,O569/B598)</f>
        <v/>
      </c>
      <c r="Q569">
        <f>IFERROR(1/(IF(Inputs!$B$39="pvp",15,MAX(0.1,Skills!D13-IF(Skills!E13=TRUE,Inputs!$B$33,0)))*(1-IF(AND(ArtifactsInput!$M$27,Inputs!$B$4="Chapter Hunt"),CHOOSE(ArtifactsInput!$N$27+1,20,24,28,32,36,40),0)/100)),0)</f>
        <v/>
      </c>
      <c r="R569">
        <f>IF(AND(Inputs!$B$39&lt;&gt;"pvp",Inputs!$B$44&gt;0),IF(MAX(0,Inputs!$B$44-B595)&lt;=0,0,(INT(MAX(0,Inputs!$B$44-B595)/(IF(Inputs!$B$39="pvp",15,MAX(0.1,Skills!D13-IF(Skills!E13=TRUE,Inputs!$B$33,0)))*(1-IF(AND(ArtifactsInput!$M$27,Inputs!$B$4="Chapter Hunt"),CHOOSE(ArtifactsInput!$N$27+1,20,24,28,32,36,40),0)/100)))+1)),0)</f>
        <v/>
      </c>
      <c r="S569" t="n">
        <v>0</v>
      </c>
      <c r="U569" t="n">
        <v>0</v>
      </c>
    </row>
    <row r="570">
      <c r="A570">
        <f>Skills!A14</f>
        <v/>
      </c>
      <c r="B570">
        <f>Skills!B14</f>
        <v/>
      </c>
      <c r="C570">
        <f>Inputs!$B$3&gt;=107</f>
        <v/>
      </c>
      <c r="D570">
        <f>IF(Skills!C14=1,60+Inputs!$B$26+Inputs!$B$30,IF(Skills!C14=2,90+Inputs!$B$27+Inputs!$B$30,IF(Skills!C14=3,120+Inputs!$B$28+Inputs!$B$30,MAX(0,(Inputs!$B$3-100)*3)+Inputs!$B$29+Inputs!$B$30)))</f>
        <v/>
      </c>
      <c r="E570">
        <f>INDEX(FactorTable!$B$2:$Y$301, MATCH(ROUND(MIN(300,MAX(1,D570)),0), FactorTable!$A$2:$A$301,0), Skills!L14+1)</f>
        <v/>
      </c>
      <c r="F570">
        <f>IF(Skills!M14=TRUE,(Skills!K14/10)*(E570/1000),Skills!K14/10)+Skills!N14</f>
        <v/>
      </c>
      <c r="G570">
        <f>Calc!G14</f>
        <v/>
      </c>
      <c r="H570">
        <f>Calc!H14</f>
        <v/>
      </c>
      <c r="I570">
        <f>IF(Skills!T14&lt;&gt;"",1+(Skills!T14/10)*($Z$3/1000)/100,1)</f>
        <v/>
      </c>
      <c r="J570" t="inlineStr"/>
      <c r="K570" t="inlineStr"/>
      <c r="L570" t="inlineStr"/>
      <c r="M570" t="inlineStr"/>
      <c r="N570" t="inlineStr"/>
      <c r="O570">
        <f>(1-Summary!$B$11)*S570+Summary!$B$11*U570</f>
        <v/>
      </c>
      <c r="P570">
        <f>IF(B598=0,0,O570/B598)</f>
        <v/>
      </c>
      <c r="Q570">
        <f>IFERROR(1/(IF(Inputs!$B$39="pvp",15,MAX(0.1,Skills!D14-IF(Skills!E14=TRUE,Inputs!$B$33,0)))*(1-IF(AND(ArtifactsInput!$M$27,Inputs!$B$4="Chapter Hunt"),CHOOSE(ArtifactsInput!$N$27+1,20,24,28,32,36,40),0)/100)),0)</f>
        <v/>
      </c>
      <c r="R570">
        <f>IF(AND(Inputs!$B$39&lt;&gt;"pvp",Inputs!$B$44&gt;0),IF(Inputs!$B$44&lt;=0,0,(INT(Inputs!$B$44/(IF(Inputs!$B$39="pvp",15,MAX(0.1,Skills!D14-IF(Skills!E14=TRUE,Inputs!$B$33,0)))*(1-IF(AND(ArtifactsInput!$M$27,Inputs!$B$4="Chapter Hunt"),CHOOSE(ArtifactsInput!$N$27+1,20,24,28,32,36,40),0)/100)))+1)),0)</f>
        <v/>
      </c>
      <c r="S570" t="n">
        <v>0</v>
      </c>
      <c r="U570" t="n">
        <v>0</v>
      </c>
    </row>
    <row r="571">
      <c r="A571">
        <f>Skills!A15</f>
        <v/>
      </c>
      <c r="B571">
        <f>Skills!B15</f>
        <v/>
      </c>
      <c r="C571">
        <f>Inputs!$B$3&gt;=63</f>
        <v/>
      </c>
      <c r="D571">
        <f>IF(Skills!C15=1,60+Inputs!$B$26+Inputs!$B$30,IF(Skills!C15=2,90+Inputs!$B$27+Inputs!$B$30,IF(Skills!C15=3,120+Inputs!$B$28+Inputs!$B$30,MAX(0,(Inputs!$B$3-100)*3)+Inputs!$B$29+Inputs!$B$30)))</f>
        <v/>
      </c>
      <c r="E571">
        <f>INDEX(FactorTable!$B$2:$Y$301, MATCH(ROUND(MIN(300,MAX(1,D571)),0), FactorTable!$A$2:$A$301,0), Skills!L15+1)</f>
        <v/>
      </c>
      <c r="F571">
        <f>IF(Skills!M15=TRUE,(Skills!K15/10)*(E571/1000),Skills!K15/10)+Skills!N15</f>
        <v/>
      </c>
      <c r="G571">
        <f>Calc!G15</f>
        <v/>
      </c>
      <c r="H571">
        <f>Calc!H15</f>
        <v/>
      </c>
      <c r="I571">
        <f>IF(Skills!T15&lt;&gt;"",1+(Skills!T15/10)*($Z$3/1000)/100,1)</f>
        <v/>
      </c>
      <c r="J571">
        <f>((Inputs!$B$6*(1+Inputs!$B$7/100))+(((Inputs!$B$13*(1+Inputs!$B$14/100))-(Inputs!$B$13*(1+Inputs!$B$14/100)))+0.25*(Inputs!$B$15-Inputs!$B$15))*(1+Inputs!$B$7/100))*(F571/100)</f>
        <v/>
      </c>
      <c r="K571">
        <f>J571*(1+(((Inputs!$B$13+IF(Inputs!$B$3&gt;=35,(10*INDEX(FactorTable!$B$2:$Y$301,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15="TRIUMPH_FEATHER",IF(C572=TRUE,F572,0),0)/100)*(1+IF(C583=TRUE,F583,0)/100)^5*(1+(IF(Skills!A15="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571)</f>
        <v/>
      </c>
      <c r="L571">
        <f>K571*(MIN(Inputs!$B$23+(F578-Calc!F22),(Inputs!$B$24+IF(ArtifactsInput!$M$15,CHOOSE(ArtifactsInput!$N$15+1,25,30,35,40,45,50)/100*(Inputs!$B$12-Inputs!$B$12),0)))/100+(Inputs!$B$24+IF(ArtifactsInput!$M$15,CHOOSE(ArtifactsInput!$N$15+1,25,30,35,40,45,50)/100*(Inputs!$B$12-Inputs!$B$12),0))/100)/2</f>
        <v/>
      </c>
      <c r="M571">
        <f>L571*(1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1">
        <f>L571*(1-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(1-Summary!$B$11)*S571+Summary!$B$11*U571</f>
        <v/>
      </c>
      <c r="P571">
        <f>IF(B598=0,0,O571/B598)</f>
        <v/>
      </c>
      <c r="Q571">
        <f>IFERROR(1/(IF(Inputs!$B$39="pvp",15,MAX(0.1,Skills!D15-IF(Skills!E15=TRUE,Inputs!$B$33,0)))*(1-IF(AND(ArtifactsInput!$M$27,Inputs!$B$4="Chapter Hunt"),CHOOSE(ArtifactsInput!$N$27+1,20,24,28,32,36,40),0)/100)),0)</f>
        <v/>
      </c>
      <c r="R571" t="n">
        <v>0</v>
      </c>
      <c r="S571">
        <f>IF(C571,(Skills!F15*N571*((IF(Inputs!$B$3&gt;=78,25,15)/100*B591*10)/(1+IF(Inputs!$B$3&gt;=78,25,15)/100*B591*10))*(Skills!I15/100*B591)/(1+Skills!G15*Skills!I15/100*B591))*IF(Inputs!$B$39="pvp",1,1+(Inputs!$B$21+Skills!O15+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571*(1-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1">
        <f>IF(C571,(Skills!F15*N571*((IF(Inputs!$B$3&gt;=78,25,15)/100*B591*10)/(1+IF(Inputs!$B$3&gt;=78,25,15)/100*B591*10))*(Skills!I15/100*B591)/(1+Skills!G15*Skills!I15/100*B591))*IF(Inputs!$B$39="pvp",1,(1+(Inputs!$B$22+Skills!P15+B587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Skills!A16</f>
        <v/>
      </c>
      <c r="B572">
        <f>Skills!B16</f>
        <v/>
      </c>
      <c r="C572">
        <f>Inputs!$B$3&gt;=100</f>
        <v/>
      </c>
      <c r="D572">
        <f>IF(Skills!C16=1,60+Inputs!$B$26+Inputs!$B$30,IF(Skills!C16=2,90+Inputs!$B$27+Inputs!$B$30,IF(Skills!C16=3,120+Inputs!$B$28+Inputs!$B$30,MAX(0,(Inputs!$B$3-100)*3)+Inputs!$B$29+Inputs!$B$30)))</f>
        <v/>
      </c>
      <c r="E572">
        <f>INDEX(FactorTable!$B$2:$Y$301, MATCH(ROUND(MIN(300,MAX(1,D572)),0), FactorTable!$A$2:$A$301,0), Skills!L16+1)</f>
        <v/>
      </c>
      <c r="F572">
        <f>IF(Skills!M16=TRUE,(Skills!K16/10)*(E572/1000),Skills!K16/10)+Skills!N16</f>
        <v/>
      </c>
      <c r="G572">
        <f>Calc!G16</f>
        <v/>
      </c>
      <c r="H572">
        <f>Calc!H16</f>
        <v/>
      </c>
      <c r="I572">
        <f>IF(Skills!T16&lt;&gt;"",1+(Skills!T16/10)*($Z$3/1000)/100,1)</f>
        <v/>
      </c>
      <c r="J572" t="inlineStr"/>
      <c r="K572" t="inlineStr"/>
      <c r="L572" t="inlineStr"/>
      <c r="M572" t="inlineStr"/>
      <c r="N572" t="inlineStr"/>
      <c r="O572">
        <f>(1-Summary!$B$11)*S572+Summary!$B$11*U572</f>
        <v/>
      </c>
      <c r="P572">
        <f>IF(B598=0,0,O572/B598)</f>
        <v/>
      </c>
      <c r="Q572">
        <f>IFERROR(1/(IF(Inputs!$B$39="pvp",15,MAX(0.1,Skills!D16-IF(Skills!E16=TRUE,Inputs!$B$33,0)))*(1-IF(AND(ArtifactsInput!$M$27,Inputs!$B$4="Chapter Hunt"),CHOOSE(ArtifactsInput!$N$27+1,20,24,28,32,36,40),0)/100)),0)</f>
        <v/>
      </c>
      <c r="R572" t="n">
        <v>0</v>
      </c>
      <c r="S572" t="n">
        <v>0</v>
      </c>
      <c r="U572" t="n">
        <v>0</v>
      </c>
    </row>
    <row r="573">
      <c r="A573">
        <f>Skills!A17</f>
        <v/>
      </c>
      <c r="B573">
        <f>Skills!B17</f>
        <v/>
      </c>
      <c r="C573">
        <f>Inputs!$B$3&gt;=49</f>
        <v/>
      </c>
      <c r="D573">
        <f>IF(Skills!C17=1,60+Inputs!$B$26+Inputs!$B$30,IF(Skills!C17=2,90+Inputs!$B$27+Inputs!$B$30,IF(Skills!C17=3,120+Inputs!$B$28+Inputs!$B$30,MAX(0,(Inputs!$B$3-100)*3)+Inputs!$B$29+Inputs!$B$30)))</f>
        <v/>
      </c>
      <c r="E573">
        <f>INDEX(FactorTable!$B$2:$Y$301, MATCH(ROUND(MIN(300,MAX(1,D573)),0), FactorTable!$A$2:$A$301,0), Skills!L17+1)</f>
        <v/>
      </c>
      <c r="F573">
        <f>IF(Skills!M17=TRUE,(Skills!K17/10)*(E573/1000),Skills!K17/10)+Skills!N17</f>
        <v/>
      </c>
      <c r="G573">
        <f>Calc!G17</f>
        <v/>
      </c>
      <c r="H573">
        <f>Calc!H17</f>
        <v/>
      </c>
      <c r="I573">
        <f>IF(Skills!T17&lt;&gt;"",1+(Skills!T17/10)*($Z$3/1000)/100,1)</f>
        <v/>
      </c>
      <c r="J573" t="inlineStr"/>
      <c r="K573" t="inlineStr"/>
      <c r="L573" t="inlineStr"/>
      <c r="M573" t="inlineStr"/>
      <c r="N573" t="inlineStr"/>
      <c r="O573">
        <f>(1-Summary!$B$11)*S573+Summary!$B$11*U573</f>
        <v/>
      </c>
      <c r="P573">
        <f>IF(B598=0,0,O573/B598)</f>
        <v/>
      </c>
      <c r="Q573">
        <f>IFERROR(1/(IF(Inputs!$B$39="pvp",15,MAX(0.1,Skills!D17-IF(Skills!E17=TRUE,Inputs!$B$33,0)))*(1-IF(AND(ArtifactsInput!$M$27,Inputs!$B$4="Chapter Hunt"),CHOOSE(ArtifactsInput!$N$27+1,20,24,28,32,36,40),0)/100)),0)</f>
        <v/>
      </c>
      <c r="R573" t="n">
        <v>0</v>
      </c>
      <c r="S573" t="n">
        <v>0</v>
      </c>
      <c r="U573" t="n">
        <v>0</v>
      </c>
    </row>
    <row r="574">
      <c r="A574">
        <f>Skills!A18</f>
        <v/>
      </c>
      <c r="B574">
        <f>Skills!B18</f>
        <v/>
      </c>
      <c r="C574">
        <f>Inputs!$B$3&gt;=75</f>
        <v/>
      </c>
      <c r="D574">
        <f>IF(Skills!C18=1,60+Inputs!$B$26+Inputs!$B$30,IF(Skills!C18=2,90+Inputs!$B$27+Inputs!$B$30,IF(Skills!C18=3,120+Inputs!$B$28+Inputs!$B$30,MAX(0,(Inputs!$B$3-100)*3)+Inputs!$B$29+Inputs!$B$30)))</f>
        <v/>
      </c>
      <c r="E574">
        <f>INDEX(FactorTable!$B$2:$Y$301, MATCH(ROUND(MIN(300,MAX(1,D574)),0), FactorTable!$A$2:$A$301,0), Skills!L18+1)</f>
        <v/>
      </c>
      <c r="F574">
        <f>IF(Skills!M18=TRUE,(Skills!K18/10)*(E574/1000),Skills!K18/10)+Skills!N18</f>
        <v/>
      </c>
      <c r="G574">
        <f>Calc!G18</f>
        <v/>
      </c>
      <c r="H574">
        <f>Calc!H18</f>
        <v/>
      </c>
      <c r="I574">
        <f>IF(Skills!T18&lt;&gt;"",1+(Skills!T18/10)*($Z$3/1000)/100,1)</f>
        <v/>
      </c>
      <c r="J574" t="inlineStr"/>
      <c r="K574" t="inlineStr"/>
      <c r="L574" t="inlineStr"/>
      <c r="M574" t="inlineStr"/>
      <c r="N574" t="inlineStr"/>
      <c r="O574">
        <f>(1-Summary!$B$11)*S574+Summary!$B$11*U574</f>
        <v/>
      </c>
      <c r="P574">
        <f>IF(B598=0,0,O574/B598)</f>
        <v/>
      </c>
      <c r="Q574">
        <f>IFERROR(1/(IF(Inputs!$B$39="pvp",15,MAX(0.1,Skills!D18-IF(Skills!E18=TRUE,Inputs!$B$33,0)))*(1-IF(AND(ArtifactsInput!$M$27,Inputs!$B$4="Chapter Hunt"),CHOOSE(ArtifactsInput!$N$27+1,20,24,28,32,36,40),0)/100)),0)</f>
        <v/>
      </c>
      <c r="R574" t="n">
        <v>0</v>
      </c>
      <c r="S574" t="n">
        <v>0</v>
      </c>
      <c r="U574" t="n">
        <v>0</v>
      </c>
    </row>
    <row r="575">
      <c r="A575">
        <f>Skills!A19</f>
        <v/>
      </c>
      <c r="B575">
        <f>Skills!B19</f>
        <v/>
      </c>
      <c r="C575">
        <f>Inputs!$B$3&gt;=110</f>
        <v/>
      </c>
      <c r="D575">
        <f>IF(Skills!C19=1,60+Inputs!$B$26+Inputs!$B$30,IF(Skills!C19=2,90+Inputs!$B$27+Inputs!$B$30,IF(Skills!C19=3,120+Inputs!$B$28+Inputs!$B$30,MAX(0,(Inputs!$B$3-100)*3)+Inputs!$B$29+Inputs!$B$30)))</f>
        <v/>
      </c>
      <c r="E575">
        <f>INDEX(FactorTable!$B$2:$Y$301, MATCH(ROUND(MIN(300,MAX(1,D575)),0), FactorTable!$A$2:$A$301,0), Skills!L19+1)</f>
        <v/>
      </c>
      <c r="F575">
        <f>(Skills!K19/10)*(E575/1000)*64/45+Skills!N19</f>
        <v/>
      </c>
      <c r="G575">
        <f>Calc!G19</f>
        <v/>
      </c>
      <c r="H575">
        <f>Calc!H19</f>
        <v/>
      </c>
      <c r="I575">
        <f>IF(Skills!T19&lt;&gt;"",1+(Skills!T19/10)*($Z$3/1000)/100,1)</f>
        <v/>
      </c>
      <c r="J575" t="inlineStr"/>
      <c r="K575" t="inlineStr"/>
      <c r="L575" t="inlineStr"/>
      <c r="M575" t="inlineStr"/>
      <c r="N575" t="inlineStr"/>
      <c r="O575">
        <f>(1-Summary!$B$11)*S575+Summary!$B$11*U575</f>
        <v/>
      </c>
      <c r="P575">
        <f>IF(B598=0,0,O575/B598)</f>
        <v/>
      </c>
      <c r="Q575">
        <f>IFERROR(1/(IF(Inputs!$B$39="pvp",15,MAX(0.1,Skills!D19-IF(Skills!E19=TRUE,Inputs!$B$33,0)))*(1-IF(AND(ArtifactsInput!$M$27,Inputs!$B$4="Chapter Hunt"),CHOOSE(ArtifactsInput!$N$27+1,20,24,28,32,36,40),0)/100)),0)</f>
        <v/>
      </c>
      <c r="R575">
        <f>IF(AND(Inputs!$B$39&lt;&gt;"pvp",Inputs!$B$44&gt;0),IF(Inputs!$B$44&lt;=0,0,(INT(Inputs!$B$44/(IF(Inputs!$B$39="pvp",15,MAX(0.1,Skills!D19-IF(Skills!E19=TRUE,Inputs!$B$33,0)))*(1-IF(AND(ArtifactsInput!$M$27,Inputs!$B$4="Chapter Hunt"),CHOOSE(ArtifactsInput!$N$27+1,20,24,28,32,36,40),0)/100)))+1)),0)</f>
        <v/>
      </c>
      <c r="S575" t="n">
        <v>0</v>
      </c>
      <c r="U575" t="n">
        <v>0</v>
      </c>
    </row>
    <row r="576">
      <c r="A576">
        <f>Skills!A20</f>
        <v/>
      </c>
      <c r="B576">
        <f>Skills!B20</f>
        <v/>
      </c>
      <c r="C576">
        <f>Inputs!$B$3&gt;=125</f>
        <v/>
      </c>
      <c r="D576">
        <f>IF(Skills!C20=1,60+Inputs!$B$26+Inputs!$B$30,IF(Skills!C20=2,90+Inputs!$B$27+Inputs!$B$30,IF(Skills!C20=3,120+Inputs!$B$28+Inputs!$B$30,MAX(0,(Inputs!$B$3-100)*3)+Inputs!$B$29+Inputs!$B$30)))</f>
        <v/>
      </c>
      <c r="E576">
        <f>INDEX(FactorTable!$B$2:$Y$301, MATCH(ROUND(MIN(300,MAX(1,D576)),0), FactorTable!$A$2:$A$301,0), Skills!L20+1)</f>
        <v/>
      </c>
      <c r="F576">
        <f>IF(Skills!M20=TRUE,(Skills!K20/10)*(E576/1000),Skills!K20/10)+Skills!N20</f>
        <v/>
      </c>
      <c r="G576">
        <f>Calc!G20</f>
        <v/>
      </c>
      <c r="H576">
        <f>Calc!H20</f>
        <v/>
      </c>
      <c r="I576">
        <f>IF(Skills!T20&lt;&gt;"",1+(Skills!T20/10)*($Z$3/1000)/100,1)</f>
        <v/>
      </c>
      <c r="J576" t="inlineStr"/>
      <c r="K576" t="inlineStr"/>
      <c r="L576" t="inlineStr"/>
      <c r="M576" t="inlineStr"/>
      <c r="N576" t="inlineStr"/>
      <c r="O576">
        <f>(1-Summary!$B$11)*S576+Summary!$B$11*U576</f>
        <v/>
      </c>
      <c r="P576">
        <f>IF(B598=0,0,O576/B598)</f>
        <v/>
      </c>
      <c r="Q576">
        <f>IFERROR(1/(IF(Inputs!$B$39="pvp",15,MAX(0.1,Skills!D20-IF(Skills!E20=TRUE,Inputs!$B$33,0)))*(1-IF(AND(ArtifactsInput!$M$27,Inputs!$B$4="Chapter Hunt"),CHOOSE(ArtifactsInput!$N$27+1,20,24,28,32,36,40),0)/100)),0)</f>
        <v/>
      </c>
      <c r="R576" t="n">
        <v>0</v>
      </c>
      <c r="S576" t="n">
        <v>0</v>
      </c>
      <c r="U576" t="n">
        <v>0</v>
      </c>
    </row>
    <row r="577">
      <c r="A577">
        <f>Skills!A21</f>
        <v/>
      </c>
      <c r="B577">
        <f>Skills!B21</f>
        <v/>
      </c>
      <c r="C577">
        <f>Inputs!$B$3&gt;=33</f>
        <v/>
      </c>
      <c r="D577">
        <f>IF(Skills!C21=1,60+Inputs!$B$26+Inputs!$B$30,IF(Skills!C21=2,90+Inputs!$B$27+Inputs!$B$30,IF(Skills!C21=3,120+Inputs!$B$28+Inputs!$B$30,MAX(0,(Inputs!$B$3-100)*3)+Inputs!$B$29+Inputs!$B$30)))</f>
        <v/>
      </c>
      <c r="E577">
        <f>INDEX(FactorTable!$B$2:$Y$301, MATCH(ROUND(MIN(300,MAX(1,D577)),0), FactorTable!$A$2:$A$301,0), Skills!L21+1)</f>
        <v/>
      </c>
      <c r="F577">
        <f>IF(Skills!M21=TRUE,(Skills!K21/10)*(E577/1000),Skills!K21/10)+Skills!N21</f>
        <v/>
      </c>
      <c r="G577">
        <f>Calc!G21</f>
        <v/>
      </c>
      <c r="H577">
        <f>Calc!H21</f>
        <v/>
      </c>
      <c r="I577">
        <f>IF(Skills!T21&lt;&gt;"",1+(Skills!T21/10)*($Z$3/1000)/100,1)</f>
        <v/>
      </c>
      <c r="J577" t="inlineStr"/>
      <c r="K577" t="inlineStr"/>
      <c r="L577" t="inlineStr"/>
      <c r="M577" t="inlineStr"/>
      <c r="N577" t="inlineStr"/>
      <c r="O577">
        <f>(1-Summary!$B$11)*S577+Summary!$B$11*U577</f>
        <v/>
      </c>
      <c r="P577">
        <f>IF(B598=0,0,O577/B598)</f>
        <v/>
      </c>
      <c r="Q577">
        <f>IFERROR(1/(IF(Inputs!$B$39="pvp",15,MAX(0.1,Skills!D21-IF(Skills!E21=TRUE,Inputs!$B$33,0)))*(1-IF(AND(ArtifactsInput!$M$27,Inputs!$B$4="Chapter Hunt"),CHOOSE(ArtifactsInput!$N$27+1,20,24,28,32,36,40),0)/100)),0)</f>
        <v/>
      </c>
      <c r="R577" t="n">
        <v>0</v>
      </c>
      <c r="S577" t="n">
        <v>0</v>
      </c>
      <c r="U577" t="n">
        <v>0</v>
      </c>
    </row>
    <row r="578">
      <c r="A578">
        <f>Skills!A22</f>
        <v/>
      </c>
      <c r="B578">
        <f>Skills!B22</f>
        <v/>
      </c>
      <c r="C578">
        <f>Inputs!$B$3&gt;=43</f>
        <v/>
      </c>
      <c r="D578">
        <f>IF(Skills!C22=1,60+Inputs!$B$26+Inputs!$B$30,IF(Skills!C22=2,90+Inputs!$B$27+Inputs!$B$30,IF(Skills!C22=3,120+Inputs!$B$28+Inputs!$B$30,MAX(0,(Inputs!$B$3-100)*3)+Inputs!$B$29+Inputs!$B$30)))</f>
        <v/>
      </c>
      <c r="E578">
        <f>INDEX(FactorTable!$B$2:$Y$301, MATCH(ROUND(MIN(300,MAX(1,D578)),0), FactorTable!$A$2:$A$301,0), Skills!L22+1)</f>
        <v/>
      </c>
      <c r="F578">
        <f>IF(Skills!M22=TRUE,(Skills!K22/10)*(E578/1000),Skills!K22/10)+Skills!N22</f>
        <v/>
      </c>
      <c r="G578">
        <f>Calc!G22</f>
        <v/>
      </c>
      <c r="H578">
        <f>Calc!H22</f>
        <v/>
      </c>
      <c r="I578">
        <f>IF(Skills!T22&lt;&gt;"",1+(Skills!T22/10)*($Z$3/1000)/100,1)</f>
        <v/>
      </c>
      <c r="J578" t="inlineStr"/>
      <c r="K578" t="inlineStr"/>
      <c r="L578" t="inlineStr"/>
      <c r="M578" t="inlineStr"/>
      <c r="N578" t="inlineStr"/>
      <c r="O578">
        <f>(1-Summary!$B$11)*S578+Summary!$B$11*U578</f>
        <v/>
      </c>
      <c r="P578">
        <f>IF(B598=0,0,O578/B598)</f>
        <v/>
      </c>
      <c r="Q578">
        <f>IFERROR(1/(IF(Inputs!$B$39="pvp",15,MAX(0.1,Skills!D22-IF(Skills!E22=TRUE,Inputs!$B$33,0)))*(1-IF(AND(ArtifactsInput!$M$27,Inputs!$B$4="Chapter Hunt"),CHOOSE(ArtifactsInput!$N$27+1,20,24,28,32,36,40),0)/100)),0)</f>
        <v/>
      </c>
      <c r="R578" t="n">
        <v>0</v>
      </c>
      <c r="S578" t="n">
        <v>0</v>
      </c>
      <c r="U578" t="n">
        <v>0</v>
      </c>
    </row>
    <row r="579">
      <c r="A579">
        <f>Skills!A23</f>
        <v/>
      </c>
      <c r="B579">
        <f>Skills!B23</f>
        <v/>
      </c>
      <c r="C579">
        <f>Inputs!$B$3&gt;=50</f>
        <v/>
      </c>
      <c r="D579">
        <f>IF(Skills!C23=1,60+Inputs!$B$26+Inputs!$B$30,IF(Skills!C23=2,90+Inputs!$B$27+Inputs!$B$30,IF(Skills!C23=3,120+Inputs!$B$28+Inputs!$B$30,MAX(0,(Inputs!$B$3-100)*3)+Inputs!$B$29+Inputs!$B$30)))</f>
        <v/>
      </c>
      <c r="E579">
        <f>INDEX(FactorTable!$B$2:$Y$301, MATCH(ROUND(MIN(300,MAX(1,D579)),0), FactorTable!$A$2:$A$301,0), Skills!L23+1)</f>
        <v/>
      </c>
      <c r="F579">
        <f>IF(Skills!M23=TRUE,(Skills!K23/10)*(E579/1000),Skills!K23/10)+Skills!N23</f>
        <v/>
      </c>
      <c r="G579">
        <f>Calc!G23</f>
        <v/>
      </c>
      <c r="H579">
        <f>Calc!H23</f>
        <v/>
      </c>
      <c r="I579">
        <f>IF(Skills!T23&lt;&gt;"",1+(Skills!T23/10)*($Z$3/1000)/100,1)</f>
        <v/>
      </c>
      <c r="J579" t="inlineStr"/>
      <c r="K579" t="inlineStr"/>
      <c r="L579" t="inlineStr"/>
      <c r="M579" t="inlineStr"/>
      <c r="N579" t="inlineStr"/>
      <c r="O579">
        <f>(1-Summary!$B$11)*S579+Summary!$B$11*U579</f>
        <v/>
      </c>
      <c r="P579">
        <f>IF(B598=0,0,O579/B598)</f>
        <v/>
      </c>
      <c r="Q579">
        <f>IFERROR(1/(IF(Inputs!$B$39="pvp",15,MAX(0.1,Skills!D23-IF(Skills!E23=TRUE,Inputs!$B$33,0)))*(1-IF(AND(ArtifactsInput!$M$27,Inputs!$B$4="Chapter Hunt"),CHOOSE(ArtifactsInput!$N$27+1,20,24,28,32,36,40),0)/100)),0)</f>
        <v/>
      </c>
      <c r="R579" t="n">
        <v>0</v>
      </c>
      <c r="S579" t="n">
        <v>0</v>
      </c>
      <c r="U579" t="n">
        <v>0</v>
      </c>
    </row>
    <row r="580">
      <c r="A580">
        <f>Skills!A24</f>
        <v/>
      </c>
      <c r="B580">
        <f>Skills!B24</f>
        <v/>
      </c>
      <c r="C580">
        <f>Inputs!$B$3&gt;=74</f>
        <v/>
      </c>
      <c r="D580">
        <f>IF(Skills!C24=1,60+Inputs!$B$26+Inputs!$B$30,IF(Skills!C24=2,90+Inputs!$B$27+Inputs!$B$30,IF(Skills!C24=3,120+Inputs!$B$28+Inputs!$B$30,MAX(0,(Inputs!$B$3-100)*3)+Inputs!$B$29+Inputs!$B$30)))</f>
        <v/>
      </c>
      <c r="E580">
        <f>INDEX(FactorTable!$B$2:$Y$301, MATCH(ROUND(MIN(300,MAX(1,D580)),0), FactorTable!$A$2:$A$301,0), Skills!L24+1)</f>
        <v/>
      </c>
      <c r="F580">
        <f>IF(Skills!M24=TRUE,(Skills!K24/10)*(E580/1000),Skills!K24/10)+Skills!N24</f>
        <v/>
      </c>
      <c r="G580">
        <f>Calc!G24</f>
        <v/>
      </c>
      <c r="H580">
        <f>Calc!H24</f>
        <v/>
      </c>
      <c r="I580">
        <f>IF(Skills!T24&lt;&gt;"",1+(Skills!T24/10)*($Z$3/1000)/100,1)</f>
        <v/>
      </c>
      <c r="J580" t="inlineStr"/>
      <c r="K580" t="inlineStr"/>
      <c r="L580" t="inlineStr"/>
      <c r="M580" t="inlineStr"/>
      <c r="N580" t="inlineStr"/>
      <c r="O580">
        <f>(1-Summary!$B$11)*S580+Summary!$B$11*U580</f>
        <v/>
      </c>
      <c r="P580">
        <f>IF(B598=0,0,O580/B598)</f>
        <v/>
      </c>
      <c r="Q580">
        <f>IFERROR(1/(IF(Inputs!$B$39="pvp",15,MAX(0.1,Skills!D24-IF(Skills!E24=TRUE,Inputs!$B$33,0)))*(1-IF(AND(ArtifactsInput!$M$27,Inputs!$B$4="Chapter Hunt"),CHOOSE(ArtifactsInput!$N$27+1,20,24,28,32,36,40),0)/100)),0)</f>
        <v/>
      </c>
      <c r="R580" t="n">
        <v>0</v>
      </c>
      <c r="S580" t="n">
        <v>0</v>
      </c>
      <c r="U580" t="n">
        <v>0</v>
      </c>
    </row>
    <row r="581">
      <c r="A581">
        <f>Skills!A25</f>
        <v/>
      </c>
      <c r="B581">
        <f>Skills!B25</f>
        <v/>
      </c>
      <c r="C581">
        <f>Inputs!$B$3&gt;=74</f>
        <v/>
      </c>
      <c r="D581">
        <f>IF(Skills!C25=1,60+Inputs!$B$26+Inputs!$B$30,IF(Skills!C25=2,90+Inputs!$B$27+Inputs!$B$30,IF(Skills!C25=3,120+Inputs!$B$28+Inputs!$B$30,MAX(0,(Inputs!$B$3-100)*3)+Inputs!$B$29+Inputs!$B$30)))</f>
        <v/>
      </c>
      <c r="E581">
        <f>INDEX(FactorTable!$B$2:$Y$301, MATCH(ROUND(MIN(300,MAX(1,D581)),0), FactorTable!$A$2:$A$301,0), Skills!L25+1)</f>
        <v/>
      </c>
      <c r="F581">
        <f>IF(Skills!M25=TRUE,(Skills!K25/10)*(E581/1000),Skills!K25/10)+Skills!N25</f>
        <v/>
      </c>
      <c r="G581">
        <f>Calc!G25</f>
        <v/>
      </c>
      <c r="H581">
        <f>Calc!H25</f>
        <v/>
      </c>
      <c r="I581">
        <f>IF(Skills!T25&lt;&gt;"",1+(Skills!T25/10)*($Z$3/1000)/100,1)</f>
        <v/>
      </c>
      <c r="J581" t="inlineStr"/>
      <c r="K581" t="inlineStr"/>
      <c r="L581" t="inlineStr"/>
      <c r="M581" t="inlineStr"/>
      <c r="N581" t="inlineStr"/>
      <c r="O581">
        <f>(1-Summary!$B$11)*S581+Summary!$B$11*U581</f>
        <v/>
      </c>
      <c r="P581">
        <f>IF(B598=0,0,O581/B598)</f>
        <v/>
      </c>
      <c r="Q581">
        <f>IFERROR(1/(IF(Inputs!$B$39="pvp",15,MAX(0.1,Skills!D25-IF(Skills!E25=TRUE,Inputs!$B$33,0)))*(1-IF(AND(ArtifactsInput!$M$27,Inputs!$B$4="Chapter Hunt"),CHOOSE(ArtifactsInput!$N$27+1,20,24,28,32,36,40),0)/100)),0)</f>
        <v/>
      </c>
      <c r="R581" t="n">
        <v>0</v>
      </c>
      <c r="S581" t="n">
        <v>0</v>
      </c>
      <c r="U581" t="n">
        <v>0</v>
      </c>
    </row>
    <row r="582">
      <c r="A582">
        <f>Skills!A26</f>
        <v/>
      </c>
      <c r="B582">
        <f>Skills!B26</f>
        <v/>
      </c>
      <c r="C582">
        <f>Inputs!$B$3&gt;=117</f>
        <v/>
      </c>
      <c r="D582">
        <f>IF(Skills!C26=1,60+Inputs!$B$26+Inputs!$B$30,IF(Skills!C26=2,90+Inputs!$B$27+Inputs!$B$30,IF(Skills!C26=3,120+Inputs!$B$28+Inputs!$B$30,MAX(0,(Inputs!$B$3-100)*3)+Inputs!$B$29+Inputs!$B$30)))</f>
        <v/>
      </c>
      <c r="E582">
        <f>INDEX(FactorTable!$B$2:$Y$301, MATCH(ROUND(MIN(300,MAX(1,D582)),0), FactorTable!$A$2:$A$301,0), Skills!L26+1)</f>
        <v/>
      </c>
      <c r="F582">
        <f>IF(Skills!M26=TRUE,(Skills!K26/10)*(E582/1000),Skills!K26/10)+Skills!N26</f>
        <v/>
      </c>
      <c r="G582">
        <f>Calc!G26</f>
        <v/>
      </c>
      <c r="H582">
        <f>Calc!H26</f>
        <v/>
      </c>
      <c r="I582">
        <f>IF(Skills!T26&lt;&gt;"",1+(Skills!T26/10)*($Z$3/1000)/100,1)</f>
        <v/>
      </c>
      <c r="J582" t="inlineStr"/>
      <c r="K582" t="inlineStr"/>
      <c r="L582" t="inlineStr"/>
      <c r="M582" t="inlineStr"/>
      <c r="N582" t="inlineStr"/>
      <c r="O582">
        <f>(1-Summary!$B$11)*S582+Summary!$B$11*U582</f>
        <v/>
      </c>
      <c r="P582">
        <f>IF(B598=0,0,O582/B598)</f>
        <v/>
      </c>
      <c r="Q582">
        <f>IFERROR(1/(IF(Inputs!$B$39="pvp",15,MAX(0.1,Skills!D26-IF(Skills!E26=TRUE,Inputs!$B$33,0)))*(1-IF(AND(ArtifactsInput!$M$27,Inputs!$B$4="Chapter Hunt"),CHOOSE(ArtifactsInput!$N$27+1,20,24,28,32,36,40),0)/100)),0)</f>
        <v/>
      </c>
      <c r="R582" t="n">
        <v>0</v>
      </c>
      <c r="S582" t="n">
        <v>0</v>
      </c>
      <c r="U582" t="n">
        <v>0</v>
      </c>
    </row>
    <row r="583">
      <c r="A583">
        <f>Skills!A27</f>
        <v/>
      </c>
      <c r="B583">
        <f>Skills!B27</f>
        <v/>
      </c>
      <c r="C583">
        <f>Inputs!$B$3&gt;=120</f>
        <v/>
      </c>
      <c r="D583">
        <f>IF(Skills!C27=1,60+Inputs!$B$26+Inputs!$B$30,IF(Skills!C27=2,90+Inputs!$B$27+Inputs!$B$30,IF(Skills!C27=3,120+Inputs!$B$28+Inputs!$B$30,MAX(0,(Inputs!$B$3-100)*3)+Inputs!$B$29+Inputs!$B$30)))</f>
        <v/>
      </c>
      <c r="E583">
        <f>INDEX(FactorTable!$B$2:$Y$301, MATCH(ROUND(MIN(300,MAX(1,D583)),0), FactorTable!$A$2:$A$301,0), Skills!L27+1)</f>
        <v/>
      </c>
      <c r="F583">
        <f>IF(Skills!M27=TRUE,(Skills!K27/10)*(E583/1000),Skills!K27/10)+Skills!N27</f>
        <v/>
      </c>
      <c r="G583">
        <f>Calc!G27</f>
        <v/>
      </c>
      <c r="H583">
        <f>Calc!H27</f>
        <v/>
      </c>
      <c r="I583">
        <f>IF(Skills!T27&lt;&gt;"",1+(Skills!T27/10)*($Z$3/1000)/100,1)</f>
        <v/>
      </c>
      <c r="J583" t="inlineStr"/>
      <c r="K583" t="inlineStr"/>
      <c r="L583" t="inlineStr"/>
      <c r="M583" t="inlineStr"/>
      <c r="N583" t="inlineStr"/>
      <c r="O583">
        <f>(1-Summary!$B$11)*S583+Summary!$B$11*U583</f>
        <v/>
      </c>
      <c r="P583">
        <f>IF(B598=0,0,O583/B598)</f>
        <v/>
      </c>
      <c r="Q583">
        <f>IFERROR(1/(IF(Inputs!$B$39="pvp",15,MAX(0.1,Skills!D27-IF(Skills!E27=TRUE,Inputs!$B$33,0)))*(1-IF(AND(ArtifactsInput!$M$27,Inputs!$B$4="Chapter Hunt"),CHOOSE(ArtifactsInput!$N$27+1,20,24,28,32,36,40),0)/100)),0)</f>
        <v/>
      </c>
      <c r="R583" t="n">
        <v>0</v>
      </c>
      <c r="S583" t="n">
        <v>0</v>
      </c>
      <c r="U583" t="n">
        <v>0</v>
      </c>
    </row>
    <row r="585">
      <c r="A585" t="inlineStr">
        <is>
          <t>Average Buff Multiplier</t>
        </is>
      </c>
      <c r="B585">
        <f>(1+(IF(C559=TRUE,F559*IF(AND(Inputs!$B$39&lt;&gt;"pvp",Inputs!$B$44&gt;0),(((R559-1)*(Skills!S3*(1+((Inputs!$B$35+(ArtifactsInput!$M$7-ArtifactsInput!$M$7)*CHOOSE(ArtifactsInput!$N$7+1,6,7.2,8.4,9.6,10.8,12))+IF(Inputs!$B$3&gt;=117,F582,0))/100))+MIN((Skills!S3*(1+((Inputs!$B$35+(ArtifactsInput!$M$7-ArtifactsInput!$M$7)*CHOOSE(ArtifactsInput!$N$7+1,6,7.2,8.4,9.6,10.8,12))+IF(Inputs!$B$3&gt;=117,F582,0))/100)),MAX(0,Inputs!$B$44-((R559-1)*Skills!D3))))/Inputs!$B$44),IF(Inputs!$B$39="pvp",MIN((Skills!S3*(1+((Inputs!$B$35+(ArtifactsInput!$M$7-ArtifactsInput!$M$7)*CHOOSE(ArtifactsInput!$N$7+1,6,7.2,8.4,9.6,10.8,12))+IF(Inputs!$B$3&gt;=117,F582,0))/100)),15)/15,(Skills!S3*(1+((Inputs!$B$35+(ArtifactsInput!$M$7-ArtifactsInput!$M$7)*CHOOSE(ArtifactsInput!$N$7+1,6,7.2,8.4,9.6,10.8,12))+IF(Inputs!$B$3&gt;=117,F582,0))/100))/Skills!D3)),0)+IF(C560=TRUE,F560*IF(AND(Inputs!$B$39&lt;&gt;"pvp",Inputs!$B$44&gt;0),(((R560-1)*(Skills!S4*(1+((Inputs!$B$35+(ArtifactsInput!$M$7-ArtifactsInput!$M$7)*CHOOSE(ArtifactsInput!$N$7+1,6,7.2,8.4,9.6,10.8,12))+IF(Inputs!$B$3&gt;=117,F582,0))/100))+MIN((Skills!S4*(1+((Inputs!$B$35+(ArtifactsInput!$M$7-ArtifactsInput!$M$7)*CHOOSE(ArtifactsInput!$N$7+1,6,7.2,8.4,9.6,10.8,12))+IF(Inputs!$B$3&gt;=117,F582,0))/100)),MAX(0,Inputs!$B$44-((R560-1)*Skills!D4))))/Inputs!$B$44),IF(Inputs!$B$39="pvp",MIN((Skills!S4*(1+((Inputs!$B$35+(ArtifactsInput!$M$7-ArtifactsInput!$M$7)*CHOOSE(ArtifactsInput!$N$7+1,6,7.2,8.4,9.6,10.8,12))+IF(Inputs!$B$3&gt;=117,F582,0))/100)),15)/15,(Skills!S4*(1+((Inputs!$B$35+(ArtifactsInput!$M$7-ArtifactsInput!$M$7)*CHOOSE(ArtifactsInput!$N$7+1,6,7.2,8.4,9.6,10.8,12))+IF(Inputs!$B$3&gt;=117,F582,0))/100))/Skills!D4)),0)+IF(C561=TRUE,F561*IF(AND(Inputs!$B$39&lt;&gt;"pvp",Inputs!$B$44&gt;0),(((R561-1)*(Skills!S5*(1+((Inputs!$B$35+(ArtifactsInput!$M$7-ArtifactsInput!$M$7)*CHOOSE(ArtifactsInput!$N$7+1,6,7.2,8.4,9.6,10.8,12))+IF(Inputs!$B$3&gt;=117,F582,0))/100))+MIN((Skills!S5*(1+((Inputs!$B$35+(ArtifactsInput!$M$7-ArtifactsInput!$M$7)*CHOOSE(ArtifactsInput!$N$7+1,6,7.2,8.4,9.6,10.8,12))+IF(Inputs!$B$3&gt;=117,F582,0))/100)),MAX(0,Inputs!$B$44-((R561-1)*Skills!D5))))/Inputs!$B$44),IF(Inputs!$B$39="pvp",MIN((Skills!S5*(1+((Inputs!$B$35+(ArtifactsInput!$M$7-ArtifactsInput!$M$7)*CHOOSE(ArtifactsInput!$N$7+1,6,7.2,8.4,9.6,10.8,12))+IF(Inputs!$B$3&gt;=117,F582,0))/100)),15)/15,(Skills!S5*(1+((Inputs!$B$35+(ArtifactsInput!$M$7-ArtifactsInput!$M$7)*CHOOSE(ArtifactsInput!$N$7+1,6,7.2,8.4,9.6,10.8,12))+IF(Inputs!$B$3&gt;=117,F582,0))/100))/Skills!D5)),0)+IF(C567=TRUE,F567*IF(AND(Inputs!$B$39&lt;&gt;"pvp",Inputs!$B$44&gt;0),(((R567-1)*(Skills!S11*(1+((Inputs!$B$35+(ArtifactsInput!$M$7-ArtifactsInput!$M$7)*CHOOSE(ArtifactsInput!$N$7+1,6,7.2,8.4,9.6,10.8,12))+IF(Inputs!$B$3&gt;=117,F582,0))/100))+MIN((Skills!S11*(1+((Inputs!$B$35+(ArtifactsInput!$M$7-ArtifactsInput!$M$7)*CHOOSE(ArtifactsInput!$N$7+1,6,7.2,8.4,9.6,10.8,12))+IF(Inputs!$B$3&gt;=117,F582,0))/100)),MAX(0,Inputs!$B$44-((R567-1)*Skills!D11))))/Inputs!$B$44),IF(Inputs!$B$39="pvp",MIN((Skills!S11*(1+((Inputs!$B$35+(ArtifactsInput!$M$7-ArtifactsInput!$M$7)*CHOOSE(ArtifactsInput!$N$7+1,6,7.2,8.4,9.6,10.8,12))+IF(Inputs!$B$3&gt;=117,F582,0))/100)),15)/15,(Skills!S11*(1+((Inputs!$B$35+(ArtifactsInput!$M$7-ArtifactsInput!$M$7)*CHOOSE(ArtifactsInput!$N$7+1,6,7.2,8.4,9.6,10.8,12))+IF(Inputs!$B$3&gt;=117,F582,0)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570=TRUE,(1+F570*IF(AND(Inputs!$B$39&lt;&gt;"pvp",Inputs!$B$44&gt;0),(((R570-1)*(Skills!S14*(1+((Inputs!$B$35+(ArtifactsInput!$M$7-ArtifactsInput!$M$7)*CHOOSE(ArtifactsInput!$N$7+1,6,7.2,8.4,9.6,10.8,12))+IF(Inputs!$B$3&gt;=117,F582,0))/100))+MIN((Skills!S14*(1+((Inputs!$B$35+(ArtifactsInput!$M$7-ArtifactsInput!$M$7)*CHOOSE(ArtifactsInput!$N$7+1,6,7.2,8.4,9.6,10.8,12))+IF(Inputs!$B$3&gt;=117,F582,0))/100)),MAX(0,Inputs!$B$44-((R570-1)*Skills!D14))))/Inputs!$B$44),IF(Inputs!$B$39="pvp",MIN((Skills!S14*(1+((Inputs!$B$35+(ArtifactsInput!$M$7-ArtifactsInput!$M$7)*CHOOSE(ArtifactsInput!$N$7+1,6,7.2,8.4,9.6,10.8,12))+IF(Inputs!$B$3&gt;=117,F582,0))/100)),15)/15,(Skills!S14*(1+((Inputs!$B$35+(ArtifactsInput!$M$7-ArtifactsInput!$M$7)*CHOOSE(ArtifactsInput!$N$7+1,6,7.2,8.4,9.6,10.8,12))+IF(Inputs!$B$3&gt;=117,F582,0))/100))/Skills!D14))/100),1)*IF(C575=TRUE,(1+F575*IF(AND(Inputs!$B$39&lt;&gt;"pvp",Inputs!$B$44&gt;0),(((R575-1)*(Skills!S19*(1+((Inputs!$B$35+(ArtifactsInput!$M$7-ArtifactsInput!$M$7)*CHOOSE(ArtifactsInput!$N$7+1,6,7.2,8.4,9.6,10.8,12))+IF(Inputs!$B$3&gt;=117,F582,0))/100))+MIN((Skills!S19*(1+((Inputs!$B$35+(ArtifactsInput!$M$7-ArtifactsInput!$M$7)*CHOOSE(ArtifactsInput!$N$7+1,6,7.2,8.4,9.6,10.8,12))+IF(Inputs!$B$3&gt;=117,F582,0))/100)),MAX(0,Inputs!$B$44-((R575-1)*Skills!D19))))/Inputs!$B$44),IF(Inputs!$B$39="pvp",MIN((Skills!S19*(1+((Inputs!$B$35+(ArtifactsInput!$M$7-ArtifactsInput!$M$7)*CHOOSE(ArtifactsInput!$N$7+1,6,7.2,8.4,9.6,10.8,12))+IF(Inputs!$B$3&gt;=117,F582,0))/100)),15)/15,(Skills!S19*(1+((Inputs!$B$35+(ArtifactsInput!$M$7-ArtifactsInput!$M$7)*CHOOSE(ArtifactsInput!$N$7+1,6,7.2,8.4,9.6,10.8,12))+IF(Inputs!$B$3&gt;=117,F582,0))/100))/Skills!D19))/100),1)</f>
        <v/>
      </c>
    </row>
    <row r="586">
      <c r="A586" t="inlineStr">
        <is>
          <t>Monster Damage Taken Bonus % (Holy Fountain)</t>
        </is>
      </c>
      <c r="B586">
        <f>IF(Inputs!$B$3&gt;=68,20*IF(Inputs!$B$39="pvp",MIN((15*(1+((Inputs!$B$35+(ArtifactsInput!$M$7-ArtifactsInput!$M$7)*CHOOSE(ArtifactsInput!$N$7+1,6,7.2,8.4,9.6,10.8,12))+IF(Inputs!$B$3&gt;=117,F582,0))/100)),15)/15,(15*(1+((Inputs!$B$35+(ArtifactsInput!$M$7-ArtifactsInput!$M$7)*CHOOSE(ArtifactsInput!$N$7+1,6,7.2,8.4,9.6,10.8,12))+IF(Inputs!$B$3&gt;=117,F582,0))/100))/Skills!D10),0)</f>
        <v/>
      </c>
    </row>
    <row r="587">
      <c r="A587" t="inlineStr">
        <is>
          <t>Normal Monster Damage Bonus % (Holy Symbol)</t>
        </is>
      </c>
      <c r="B587">
        <f>IF(C568=TRUE,F568*IF(AND(Inputs!$B$39&lt;&gt;"pvp",Inputs!$B$44&gt;0),(((R568-1)*(Skills!S12*(1+((Inputs!$B$35+(ArtifactsInput!$M$7-ArtifactsInput!$M$7)*CHOOSE(ArtifactsInput!$N$7+1,6,7.2,8.4,9.6,10.8,12))+IF(Inputs!$B$3&gt;=117,F582,0))/100))+MIN((Skills!S12*(1+((Inputs!$B$35+(ArtifactsInput!$M$7-ArtifactsInput!$M$7)*CHOOSE(ArtifactsInput!$N$7+1,6,7.2,8.4,9.6,10.8,12))+IF(Inputs!$B$3&gt;=117,F582,0))/100)),MAX(0,Inputs!$B$44-((R568-1)*Skills!D12))))/Inputs!$B$44),IF(Inputs!$B$39="pvp",MIN((Skills!S12*(1+((Inputs!$B$35+(ArtifactsInput!$M$7-ArtifactsInput!$M$7)*CHOOSE(ArtifactsInput!$N$7+1,6,7.2,8.4,9.6,10.8,12))+IF(Inputs!$B$3&gt;=117,F582,0))/100)),15)/15,(Skills!S12*(1+((Inputs!$B$35+(ArtifactsInput!$M$7-ArtifactsInput!$M$7)*CHOOSE(ArtifactsInput!$N$7+1,6,7.2,8.4,9.6,10.8,12))+IF(Inputs!$B$3&gt;=117,F582,0))/100))/Skills!D12)),0)</f>
        <v/>
      </c>
    </row>
    <row r="588">
      <c r="A588" t="inlineStr">
        <is>
          <t>Damage % Bonus (Holy Symbol - Damage Boost)</t>
        </is>
      </c>
      <c r="B588">
        <f>Skills!O12</f>
        <v/>
      </c>
    </row>
    <row r="589">
      <c r="A589" t="inlineStr">
        <is>
          <t>Crit Damage % Bonus (Blood of the Divine)</t>
        </is>
      </c>
      <c r="B589">
        <f>4*IF(C576=TRUE,F576,0)</f>
        <v/>
      </c>
    </row>
    <row r="590">
      <c r="A590" t="inlineStr">
        <is>
          <t>Attack Speed Bonus %</t>
        </is>
      </c>
      <c r="B590">
        <f>IF(C573=TRUE,F573+(F577-Calc!F21),0)+IF(Inputs!$B$3&gt;=134,15,0)</f>
        <v/>
      </c>
    </row>
    <row r="591">
      <c r="A591" t="inlineStr">
        <is>
          <t>Actions Per Second</t>
        </is>
      </c>
      <c r="B591">
        <f>1+MIN(150,150*(1-(1-Inputs!$B$12/150)*(1-B590/150)))/100</f>
        <v/>
      </c>
    </row>
    <row r="592">
      <c r="A592" t="inlineStr">
        <is>
          <t>Skill + Buff Cast Rate</t>
        </is>
      </c>
      <c r="B592">
        <f>IF(AND(Inputs!$B$39&lt;&gt;"pvp",Inputs!$B$44&gt;0),SUMPRODUCT((Skills!E2:E27=TRUE)*(C558:C583=TRUE)*R558:R583)/Inputs!$B$44,SUMPRODUCT((Skills!E2:E27=TRUE)*(C558:C583=TRUE)*Q558:Q583))</f>
        <v/>
      </c>
    </row>
    <row r="593">
      <c r="A593" t="inlineStr">
        <is>
          <t>Big Bang Casts Per Second</t>
        </is>
      </c>
      <c r="B593">
        <f>MAX(0,B591-B592)</f>
        <v/>
      </c>
    </row>
    <row r="594">
      <c r="A594" t="inlineStr">
        <is>
          <t>Defense % Bonus (Divine Protection)</t>
        </is>
      </c>
      <c r="B594">
        <f>IF(C569=TRUE,F569*IF(AND(Inputs!$B$39&lt;&gt;"pvp",Inputs!$B$44&gt;0),(((R569-1)*(Skills!S13*(1+((Inputs!$B$35+(ArtifactsInput!$M$7-ArtifactsInput!$M$7)*CHOOSE(ArtifactsInput!$N$7+1,6,7.2,8.4,9.6,10.8,12))+IF(Inputs!$B$3&gt;=117,F582,0))/100))+MIN((Skills!S13*(1+((Inputs!$B$35+(ArtifactsInput!$M$7-ArtifactsInput!$M$7)*CHOOSE(ArtifactsInput!$N$7+1,6,7.2,8.4,9.6,10.8,12))+IF(Inputs!$B$3&gt;=117,F582,0))/100)),MAX(0,Inputs!$B$44-((R569-1)*Skills!D13))))/Inputs!$B$44),IF(Inputs!$B$39="pvp",MIN((Skills!S13*(1+((Inputs!$B$35+(ArtifactsInput!$M$7-ArtifactsInput!$M$7)*CHOOSE(ArtifactsInput!$N$7+1,6,7.2,8.4,9.6,10.8,12))+IF(Inputs!$B$3&gt;=117,F582,0))/100)),15)/15,(Skills!S13*(1+((Inputs!$B$35+(ArtifactsInput!$M$7-ArtifactsInput!$M$7)*CHOOSE(ArtifactsInput!$N$7+1,6,7.2,8.4,9.6,10.8,12))+IF(Inputs!$B$3&gt;=117,F582,0))/100))/Skills!D13)),0)</f>
        <v/>
      </c>
    </row>
    <row r="595">
      <c r="A595" t="inlineStr">
        <is>
          <t>Buff-Casting Startup Delay (s, fixed-duration only)</t>
        </is>
      </c>
      <c r="B595">
        <f>IF(AND(Inputs!$B$39&lt;&gt;"pvp",Inputs!$B$44&gt;0),SUMPRODUCT((Skills!S2:S27&gt;0)*(Skills!E2:E27=TRUE)*(C558:C583=TRUE))/B591,0)</f>
        <v/>
      </c>
    </row>
    <row r="596">
      <c r="A596" t="inlineStr">
        <is>
          <t>Boss-Only Total DPS (this block's swept value)</t>
        </is>
      </c>
      <c r="B596">
        <f>SUM(S558:S583)</f>
        <v/>
      </c>
    </row>
    <row r="597">
      <c r="A597" t="inlineStr">
        <is>
          <t>Normal-Only Total DPS (this block's swept value)</t>
        </is>
      </c>
      <c r="B597">
        <f>SUM(U558:U583)</f>
        <v/>
      </c>
    </row>
    <row r="598">
      <c r="A598" s="6" t="inlineStr">
        <is>
          <t>TOTAL DPS</t>
        </is>
      </c>
      <c r="B598" s="6">
        <f>SUM(O558:O583)</f>
        <v/>
      </c>
    </row>
    <row r="600">
      <c r="A600" s="6" t="inlineStr">
        <is>
          <t>Stat: CRIT_DAMAGE %</t>
        </is>
      </c>
    </row>
    <row r="601">
      <c r="A601" s="5" t="inlineStr">
        <is>
          <t>Key</t>
        </is>
      </c>
      <c r="B601" s="5" t="inlineStr">
        <is>
          <t>Name</t>
        </is>
      </c>
      <c r="C601" s="5" t="inlineStr">
        <is>
          <t>Unlocked</t>
        </is>
      </c>
      <c r="D601" s="5" t="inlineStr">
        <is>
          <t>InputLevel</t>
        </is>
      </c>
      <c r="E601" s="5" t="inlineStr">
        <is>
          <t>Factor</t>
        </is>
      </c>
      <c r="F601" s="5" t="inlineStr">
        <is>
          <t>CoefficientPercent</t>
        </is>
      </c>
      <c r="G601" s="5" t="inlineStr">
        <is>
          <t>EffectiveHits</t>
        </is>
      </c>
      <c r="H601" s="5" t="inlineStr">
        <is>
          <t>ProcProbability</t>
        </is>
      </c>
      <c r="I601" s="5" t="inlineStr">
        <is>
          <t>MapleHeroMultiplier</t>
        </is>
      </c>
      <c r="J601" s="5" t="inlineStr">
        <is>
          <t>BaseDamage</t>
        </is>
      </c>
      <c r="K601" s="5" t="inlineStr">
        <is>
          <t>BaseHitDamage</t>
        </is>
      </c>
      <c r="L601" s="5" t="inlineStr">
        <is>
          <t>NonCritAvg</t>
        </is>
      </c>
      <c r="M601" s="5" t="inlineStr">
        <is>
          <t>CritAvg</t>
        </is>
      </c>
      <c r="N601" s="5" t="inlineStr">
        <is>
          <t>ExpectedDamage(perHit)</t>
        </is>
      </c>
      <c r="O601" s="5" t="inlineStr">
        <is>
          <t>DPS</t>
        </is>
      </c>
      <c r="P601" s="5" t="inlineStr">
        <is>
          <t>% of Total</t>
        </is>
      </c>
      <c r="R601" t="inlineStr">
        <is>
          <t>helpers</t>
        </is>
      </c>
    </row>
    <row r="602">
      <c r="A602">
        <f>Skills!A2</f>
        <v/>
      </c>
      <c r="B602">
        <f>Skills!B2</f>
        <v/>
      </c>
      <c r="C602">
        <f>Inputs!$B$3&gt;=100</f>
        <v/>
      </c>
      <c r="D602" t="inlineStr"/>
      <c r="E602" t="inlineStr"/>
      <c r="F602">
        <f>T604+Skills!N2</f>
        <v/>
      </c>
      <c r="G602">
        <f>Calc!G2</f>
        <v/>
      </c>
      <c r="H602">
        <f>Calc!H2</f>
        <v/>
      </c>
      <c r="I602">
        <f>IF(Skills!T2&lt;&gt;"",1+(Skills!T2/10)*($Z$3/1000)/100,1)</f>
        <v/>
      </c>
      <c r="J602">
        <f>((Inputs!$B$6*(1+Inputs!$B$7/100))+(((Inputs!$B$13*(1+Inputs!$B$14/100))-(Inputs!$B$13*(1+Inputs!$B$14/100)))+0.25*(Inputs!$B$15-Inputs!$B$15))*(1+Inputs!$B$7/100))*(F602/100)</f>
        <v/>
      </c>
      <c r="K602">
        <f>J602*(1+(((Inputs!$B$13+IF(Inputs!$B$3&gt;=35,(10*INDEX(FactorTable!$B$2:$Y$301,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2="TRIUMPH_FEATHER",IF(C616=TRUE,F616,0),0)/100)*(1+IF(C627=TRUE,F627,0)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602)</f>
        <v/>
      </c>
      <c r="L602">
        <f>K602*(MIN(Inputs!$B$23+(F622-Calc!F22),(Inputs!$B$24+IF(ArtifactsInput!$M$15,CHOOSE(ArtifactsInput!$N$15+1,25,30,35,40,45,50)/100*(Inputs!$B$12-Inputs!$B$12),0)))/100+(Inputs!$B$24+IF(ArtifactsInput!$M$15,CHOOSE(ArtifactsInput!$N$15+1,25,30,35,40,45,50)/100*(Inputs!$B$12-Inputs!$B$12),0))/100)/2</f>
        <v/>
      </c>
      <c r="M602">
        <f>L602*(1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2">
        <f>L602*(1-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602*(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2">
        <f>(1-Summary!$B$11)*S602+Summary!$B$11*U602</f>
        <v/>
      </c>
      <c r="P602">
        <f>IF(B642=0,0,O602/B642)</f>
        <v/>
      </c>
      <c r="Q602">
        <f>IFERROR(1/(IF(Inputs!$B$39="pvp",15,MAX(0.1,Skills!D2-IF(Skills!E2=TRUE,Inputs!$B$33,0)))*(1-IF(AND(ArtifactsInput!$M$27,Inputs!$B$4="Chapter Hunt"),CHOOSE(ArtifactsInput!$N$27+1,20,24,28,32,36,40),0)/100)),0)</f>
        <v/>
      </c>
      <c r="R602" t="n">
        <v>0</v>
      </c>
      <c r="S602">
        <f>IF(C602,(Skills!F2*N602*B637)*IF(Inputs!$B$39="pvp",1,1+(Inputs!$B$21+Skills!O2+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602*(1-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602*(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602*(1-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602*(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02">
        <f>MAX(0,(Inputs!$B$3-100)*3)+Inputs!$B$29+Inputs!$B$30</f>
        <v/>
      </c>
      <c r="U602">
        <f>IF(C602,(Skills!F2*N602*B637)*IF(Inputs!$B$39="pvp",1,(1+(Inputs!$B$22+Skills!P2+B631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03">
      <c r="A603">
        <f>Skills!A3</f>
        <v/>
      </c>
      <c r="B603">
        <f>Skills!B3</f>
        <v/>
      </c>
      <c r="C603">
        <f>Inputs!$B$3&gt;=15</f>
        <v/>
      </c>
      <c r="D603">
        <f>IF(Skills!C3=1,60+Inputs!$B$26+Inputs!$B$30,IF(Skills!C3=2,90+Inputs!$B$27+Inputs!$B$30,IF(Skills!C3=3,120+Inputs!$B$28+Inputs!$B$30,MAX(0,(Inputs!$B$3-100)*3)+Inputs!$B$29+Inputs!$B$30)))</f>
        <v/>
      </c>
      <c r="E603">
        <f>INDEX(FactorTable!$B$2:$Y$301, MATCH(ROUND(MIN(300,MAX(1,D603)),0), FactorTable!$A$2:$A$301,0), Skills!L3+1)</f>
        <v/>
      </c>
      <c r="F603">
        <f>IF(Skills!M3=TRUE,(Skills!K3/10)*(E603/1000),Skills!K3/10)+Skills!N3</f>
        <v/>
      </c>
      <c r="G603">
        <f>Calc!G3</f>
        <v/>
      </c>
      <c r="H603">
        <f>Calc!H3</f>
        <v/>
      </c>
      <c r="I603">
        <f>IF(Skills!T3&lt;&gt;"",1+(Skills!T3/10)*($Z$3/1000)/100,1)</f>
        <v/>
      </c>
      <c r="J603" t="inlineStr"/>
      <c r="K603" t="inlineStr"/>
      <c r="L603" t="inlineStr"/>
      <c r="M603" t="inlineStr"/>
      <c r="N603" t="inlineStr"/>
      <c r="O603">
        <f>(1-Summary!$B$11)*S603+Summary!$B$11*U603</f>
        <v/>
      </c>
      <c r="P603">
        <f>IF(B642=0,0,O603/B642)</f>
        <v/>
      </c>
      <c r="Q603">
        <f>IFERROR(1/(IF(Inputs!$B$39="pvp",15,MAX(0.1,Skills!D3-IF(Skills!E3=TRUE,Inputs!$B$33,0)))*(1-IF(AND(ArtifactsInput!$M$27,Inputs!$B$4="Chapter Hunt"),CHOOSE(ArtifactsInput!$N$27+1,20,24,28,32,36,40),0)/100)),0)</f>
        <v/>
      </c>
      <c r="R603">
        <f>IF(AND(Inputs!$B$39&lt;&gt;"pvp",Inputs!$B$44&gt;0),IF(Inputs!$B$44&lt;=0,0,(INT(Inputs!$B$44/(IF(Inputs!$B$39="pvp",15,MAX(0.1,Skills!D3-IF(Skills!E3=TRUE,Inputs!$B$33,0)))*(1-IF(AND(ArtifactsInput!$M$27,Inputs!$B$4="Chapter Hunt"),CHOOSE(ArtifactsInput!$N$27+1,20,24,28,32,36,40),0)/100)))+1)),0)</f>
        <v/>
      </c>
      <c r="S603" t="n">
        <v>0</v>
      </c>
      <c r="T603">
        <f>INDEX(FactorTable!$B$2:$Y$301, MATCH(ROUND(MIN(300,MAX(1,T602)),0), FactorTable!$A$2:$A$301,0), 22)</f>
        <v/>
      </c>
      <c r="U603" t="n">
        <v>0</v>
      </c>
    </row>
    <row r="604">
      <c r="A604">
        <f>Skills!A4</f>
        <v/>
      </c>
      <c r="B604">
        <f>Skills!B4</f>
        <v/>
      </c>
      <c r="C604">
        <f>Inputs!$B$3&gt;=38</f>
        <v/>
      </c>
      <c r="D604">
        <f>IF(Skills!C4=1,60+Inputs!$B$26+Inputs!$B$30,IF(Skills!C4=2,90+Inputs!$B$27+Inputs!$B$30,IF(Skills!C4=3,120+Inputs!$B$28+Inputs!$B$30,MAX(0,(Inputs!$B$3-100)*3)+Inputs!$B$29+Inputs!$B$30)))</f>
        <v/>
      </c>
      <c r="E604">
        <f>INDEX(FactorTable!$B$2:$Y$301, MATCH(ROUND(MIN(300,MAX(1,D604)),0), FactorTable!$A$2:$A$301,0), Skills!L4+1)</f>
        <v/>
      </c>
      <c r="F604">
        <f>IF(Skills!M4=TRUE,(Skills!K4/10)*(E604/1000),Skills!K4/10)+Skills!N4</f>
        <v/>
      </c>
      <c r="G604">
        <f>Calc!G4</f>
        <v/>
      </c>
      <c r="H604">
        <f>Calc!H4</f>
        <v/>
      </c>
      <c r="I604">
        <f>IF(Skills!T4&lt;&gt;"",1+(Skills!T4/10)*($Z$3/1000)/100,1)</f>
        <v/>
      </c>
      <c r="J604" t="inlineStr"/>
      <c r="K604" t="inlineStr"/>
      <c r="L604" t="inlineStr"/>
      <c r="M604" t="inlineStr"/>
      <c r="N604" t="inlineStr"/>
      <c r="O604">
        <f>(1-Summary!$B$11)*S604+Summary!$B$11*U604</f>
        <v/>
      </c>
      <c r="P604">
        <f>IF(B642=0,0,O604/B642)</f>
        <v/>
      </c>
      <c r="Q604">
        <f>IFERROR(1/(IF(Inputs!$B$39="pvp",15,MAX(0.1,Skills!D4-IF(Skills!E4=TRUE,Inputs!$B$33,0)))*(1-IF(AND(ArtifactsInput!$M$27,Inputs!$B$4="Chapter Hunt"),CHOOSE(ArtifactsInput!$N$27+1,20,24,28,32,36,40),0)/100)),0)</f>
        <v/>
      </c>
      <c r="R604">
        <f>IF(AND(Inputs!$B$39&lt;&gt;"pvp",Inputs!$B$44&gt;0),IF(Inputs!$B$44&lt;=0,0,(INT(Inputs!$B$44/(IF(Inputs!$B$39="pvp",15,MAX(0.1,Skills!D4-IF(Skills!E4=TRUE,Inputs!$B$33,0)))*(1-IF(AND(ArtifactsInput!$M$27,Inputs!$B$4="Chapter Hunt"),CHOOSE(ArtifactsInput!$N$27+1,20,24,28,32,36,40),0)/100)))+1)),0)</f>
        <v/>
      </c>
      <c r="S604" t="n">
        <v>0</v>
      </c>
      <c r="T604">
        <f>290*T603/1000</f>
        <v/>
      </c>
      <c r="U604" t="n">
        <v>0</v>
      </c>
    </row>
    <row r="605">
      <c r="A605">
        <f>Skills!A5</f>
        <v/>
      </c>
      <c r="B605">
        <f>Skills!B5</f>
        <v/>
      </c>
      <c r="C605">
        <f>Inputs!$B$3&gt;=40</f>
        <v/>
      </c>
      <c r="D605">
        <f>IF(Skills!C5=1,60+Inputs!$B$26+Inputs!$B$30,IF(Skills!C5=2,90+Inputs!$B$27+Inputs!$B$30,IF(Skills!C5=3,120+Inputs!$B$28+Inputs!$B$30,MAX(0,(Inputs!$B$3-100)*3)+Inputs!$B$29+Inputs!$B$30)))</f>
        <v/>
      </c>
      <c r="E605">
        <f>INDEX(FactorTable!$B$2:$Y$301, MATCH(ROUND(MIN(300,MAX(1,D605)),0), FactorTable!$A$2:$A$301,0), Skills!L5+1)</f>
        <v/>
      </c>
      <c r="F605">
        <f>IF(Skills!M5=TRUE,(Skills!K5/10)*(E605/1000),Skills!K5/10)+Skills!N5</f>
        <v/>
      </c>
      <c r="G605">
        <f>Calc!G5</f>
        <v/>
      </c>
      <c r="H605">
        <f>Calc!H5</f>
        <v/>
      </c>
      <c r="I605">
        <f>IF(Skills!T5&lt;&gt;"",1+(Skills!T5/10)*($Z$3/1000)/100,1)</f>
        <v/>
      </c>
      <c r="J605" t="inlineStr"/>
      <c r="K605" t="inlineStr"/>
      <c r="L605" t="inlineStr"/>
      <c r="M605" t="inlineStr"/>
      <c r="N605" t="inlineStr"/>
      <c r="O605">
        <f>(1-Summary!$B$11)*S605+Summary!$B$11*U605</f>
        <v/>
      </c>
      <c r="P605">
        <f>IF(B642=0,0,O605/B642)</f>
        <v/>
      </c>
      <c r="Q605">
        <f>IFERROR(1/(IF(Inputs!$B$39="pvp",15,MAX(0.1,Skills!D5-IF(Skills!E5=TRUE,Inputs!$B$33,0)))*(1-IF(AND(ArtifactsInput!$M$27,Inputs!$B$4="Chapter Hunt"),CHOOSE(ArtifactsInput!$N$27+1,20,24,28,32,36,40),0)/100)),0)</f>
        <v/>
      </c>
      <c r="R605">
        <f>IF(AND(Inputs!$B$39&lt;&gt;"pvp",Inputs!$B$44&gt;0),IF(Inputs!$B$44&lt;=0,0,(INT(Inputs!$B$44/(IF(Inputs!$B$39="pvp",15,MAX(0.1,Skills!D5-IF(Skills!E5=TRUE,Inputs!$B$33,0)))*(1-IF(AND(ArtifactsInput!$M$27,Inputs!$B$4="Chapter Hunt"),CHOOSE(ArtifactsInput!$N$27+1,20,24,28,32,36,40),0)/100)))+1)),0)</f>
        <v/>
      </c>
      <c r="S605" t="n">
        <v>0</v>
      </c>
      <c r="U605" t="n">
        <v>0</v>
      </c>
    </row>
    <row r="606">
      <c r="A606">
        <f>Skills!A6</f>
        <v/>
      </c>
      <c r="B606">
        <f>Skills!B6</f>
        <v/>
      </c>
      <c r="C606">
        <f>Inputs!$B$3&gt;=103</f>
        <v/>
      </c>
      <c r="D606">
        <f>IF(Skills!C6=1,60+Inputs!$B$26+Inputs!$B$30,IF(Skills!C6=2,90+Inputs!$B$27+Inputs!$B$30,IF(Skills!C6=3,120+Inputs!$B$28+Inputs!$B$30,MAX(0,(Inputs!$B$3-100)*3)+Inputs!$B$29+Inputs!$B$30)))</f>
        <v/>
      </c>
      <c r="E606">
        <f>INDEX(FactorTable!$B$2:$Y$301, MATCH(ROUND(MIN(300,MAX(1,D606)),0), FactorTable!$A$2:$A$301,0), Skills!L6+1)</f>
        <v/>
      </c>
      <c r="F606">
        <f>IF(Skills!M6=TRUE,(Skills!K6/10)*(E606/1000),Skills!K6/10)+Skills!N6</f>
        <v/>
      </c>
      <c r="G606">
        <f>Calc!G6</f>
        <v/>
      </c>
      <c r="H606">
        <f>Calc!H6</f>
        <v/>
      </c>
      <c r="I606">
        <f>IF(Skills!T6&lt;&gt;"",1+(Skills!T6/10)*($Z$3/1000)/100,1)</f>
        <v/>
      </c>
      <c r="J606">
        <f>((Inputs!$B$6*(1+Inputs!$B$7/100))+(((Inputs!$B$13*(1+Inputs!$B$14/100))-(Inputs!$B$13*(1+Inputs!$B$14/100)))+0.25*(Inputs!$B$15-Inputs!$B$15))*(1+Inputs!$B$7/100))*(F606/100)</f>
        <v/>
      </c>
      <c r="K606">
        <f>J606*(1+(((Inputs!$B$13+IF(Inputs!$B$3&gt;=35,(10*INDEX(FactorTable!$B$2:$Y$301,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6="TRIUMPH_FEATHER",IF(C616=TRUE,F616,0),0)/100)*(1+IF(C627=TRUE,F627,0)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606)</f>
        <v/>
      </c>
      <c r="L606">
        <f>K606*(MIN(Inputs!$B$23+(F622-Calc!F22),(Inputs!$B$24+IF(ArtifactsInput!$M$15,CHOOSE(ArtifactsInput!$N$15+1,25,30,35,40,45,50)/100*(Inputs!$B$12-Inputs!$B$12),0)))/100+(Inputs!$B$24+IF(ArtifactsInput!$M$15,CHOOSE(ArtifactsInput!$N$15+1,25,30,35,40,45,50)/100*(Inputs!$B$12-Inputs!$B$12),0))/100)/2</f>
        <v/>
      </c>
      <c r="M606">
        <f>L606*(1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6">
        <f>L606*(1-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606*(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6">
        <f>(1-Summary!$B$11)*S606+Summary!$B$11*U606</f>
        <v/>
      </c>
      <c r="P606">
        <f>IF(B642=0,0,O606/B642)</f>
        <v/>
      </c>
      <c r="Q606">
        <f>IFERROR(1/(IF(Inputs!$B$39="pvp",15,MAX(0.1,Skills!D6-IF(Skills!E6=TRUE,Inputs!$B$33,0)))*(1-IF(AND(ArtifactsInput!$M$27,Inputs!$B$4="Chapter Hunt"),CHOOSE(ArtifactsInput!$N$27+1,20,24,28,32,36,40),0)/100)),0)</f>
        <v/>
      </c>
      <c r="R606">
        <f>IF(AND(Inputs!$B$39&lt;&gt;"pvp",Inputs!$B$44&gt;0),IF(MAX(0,Inputs!$B$44-B639)&lt;=0,0,(INT(MAX(0,Inputs!$B$44-B639)/(IF(Inputs!$B$39="pvp",15,MAX(0.1,Skills!D6-IF(Skills!E6=TRUE,Inputs!$B$33,0)))*(1-IF(AND(ArtifactsInput!$M$27,Inputs!$B$4="Chapter Hunt"),CHOOSE(ArtifactsInput!$N$27+1,20,24,28,32,36,40),0)/100)))+1)),0)</f>
        <v/>
      </c>
      <c r="S606">
        <f>IF(C606,(H606*N606*IF(AND(Inputs!$B$39&lt;&gt;"pvp",Inputs!$B$44&gt;0),((Skills!F6*((R606-1)*IF(Skills!G6&gt;0,Skills!H6/Skills!G6,1)+IF(Skills!G6&gt;0,MIN(Skills!H6,MAX(0,MAX(0,Inputs!$B$44-B639)-((R606-1)*(IF(Inputs!$B$39="pvp",15,MAX(0.1,Skills!D6-IF(Skills!E6=TRUE,Inputs!$B$33,0)))*(1-IF(AND(ArtifactsInput!$M$27,Inputs!$B$4="Chapter Hunt"),CHOOSE(ArtifactsInput!$N$27+1,20,24,28,32,36,40),0)/100)))))/Skills!G6,1)))/Inputs!$B$44),G606*Q606))*IF(Inputs!$B$39="pvp",1,1+(Inputs!$B$21+Skills!O6+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606*(1-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606*(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606*(1-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606*(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6">
        <f>IF(C606,(H606*N606*IF(AND(Inputs!$B$39&lt;&gt;"pvp",Inputs!$B$44&gt;0),((Skills!F6*((R606-1)*IF(Skills!G6&gt;0,Skills!H6/Skills!G6,1)+IF(Skills!G6&gt;0,MIN(Skills!H6,MAX(0,MAX(0,Inputs!$B$44-B639)-((R606-1)*(IF(Inputs!$B$39="pvp",15,MAX(0.1,Skills!D6-IF(Skills!E6=TRUE,Inputs!$B$33,0)))*(1-IF(AND(ArtifactsInput!$M$27,Inputs!$B$4="Chapter Hunt"),CHOOSE(ArtifactsInput!$N$27+1,20,24,28,32,36,40),0)/100)))))/Skills!G6,1)))/Inputs!$B$44),G606*Q606))*IF(Inputs!$B$39="pvp",1,(1+(Inputs!$B$22+Skills!P6+B631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07">
      <c r="A607">
        <f>Skills!A7</f>
        <v/>
      </c>
      <c r="B607">
        <f>Skills!B7</f>
        <v/>
      </c>
      <c r="C607">
        <f>Inputs!$B$3&gt;=122</f>
        <v/>
      </c>
      <c r="D607">
        <f>IF(Skills!C7=1,60+Inputs!$B$26+Inputs!$B$30,IF(Skills!C7=2,90+Inputs!$B$27+Inputs!$B$30,IF(Skills!C7=3,120+Inputs!$B$28+Inputs!$B$30,MAX(0,(Inputs!$B$3-100)*3)+Inputs!$B$29+Inputs!$B$30)))</f>
        <v/>
      </c>
      <c r="E607">
        <f>INDEX(FactorTable!$B$2:$Y$301, MATCH(ROUND(MIN(300,MAX(1,D607)),0), FactorTable!$A$2:$A$301,0), Skills!L7+1)</f>
        <v/>
      </c>
      <c r="F607">
        <f>IF(Skills!M7=TRUE,(Skills!K7/10)*(E607/1000),Skills!K7/10)+Skills!N7</f>
        <v/>
      </c>
      <c r="G607">
        <f>Calc!G7</f>
        <v/>
      </c>
      <c r="H607">
        <f>Calc!H7</f>
        <v/>
      </c>
      <c r="I607">
        <f>IF(Skills!T7&lt;&gt;"",1+(Skills!T7/10)*($Z$3/1000)/100,1)</f>
        <v/>
      </c>
      <c r="J607">
        <f>((Inputs!$B$6*(1+Inputs!$B$7/100))+(((Inputs!$B$13*(1+Inputs!$B$14/100))-(Inputs!$B$13*(1+Inputs!$B$14/100)))+0.25*(Inputs!$B$15-Inputs!$B$15))*(1+Inputs!$B$7/100))*(F607/100)</f>
        <v/>
      </c>
      <c r="K607">
        <f>J607*(1+(((Inputs!$B$13+IF(Inputs!$B$3&gt;=35,(10*INDEX(FactorTable!$B$2:$Y$301,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7="TRIUMPH_FEATHER",IF(C616=TRUE,F616,0),0)/100)*(1+IF(C627=TRUE,F627,0)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607)</f>
        <v/>
      </c>
      <c r="L607">
        <f>K607*(MIN(Inputs!$B$23+(F622-Calc!F22),(Inputs!$B$24+IF(ArtifactsInput!$M$15,CHOOSE(ArtifactsInput!$N$15+1,25,30,35,40,45,50)/100*(Inputs!$B$12-Inputs!$B$12),0)))/100+(Inputs!$B$24+IF(ArtifactsInput!$M$15,CHOOSE(ArtifactsInput!$N$15+1,25,30,35,40,45,50)/100*(Inputs!$B$12-Inputs!$B$12),0))/100)/2</f>
        <v/>
      </c>
      <c r="M607">
        <f>L607*(1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7">
        <f>L607*(1-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607*(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7">
        <f>(1-Summary!$B$11)*S607+Summary!$B$11*U607</f>
        <v/>
      </c>
      <c r="P607">
        <f>IF(B642=0,0,O607/B642)</f>
        <v/>
      </c>
      <c r="Q607">
        <f>IFERROR(1/(IF(Inputs!$B$39="pvp",15,MAX(0.1,Skills!D7-IF(Skills!E6=TRUE,Inputs!$B$33,0)))*(1-IF(AND(ArtifactsInput!$M$27,Inputs!$B$4="Chapter Hunt"),CHOOSE(ArtifactsInput!$N$27+1,20,24,28,32,36,40),0)/100)),0)</f>
        <v/>
      </c>
      <c r="R607">
        <f>IF(AND(Inputs!$B$39&lt;&gt;"pvp",Inputs!$B$44&gt;0),IF(MAX(0,Inputs!$B$44-B639)&lt;=0,0,(INT(MAX(0,Inputs!$B$44-B639)/(IF(Inputs!$B$39="pvp",15,MAX(0.1,Skills!D7-IF(Skills!E6=TRUE,Inputs!$B$33,0)))*(1-IF(AND(ArtifactsInput!$M$27,Inputs!$B$4="Chapter Hunt"),CHOOSE(ArtifactsInput!$N$27+1,20,24,28,32,36,40),0)/100)))+1)),0)</f>
        <v/>
      </c>
      <c r="S607">
        <f>IF(C607,H607*N607*IF(AND(Inputs!$B$39&lt;&gt;"pvp",Inputs!$B$44&gt;0),((Skills!F7*((R607-1)*IF(Skills!G7&gt;0,Skills!H7/Skills!G7,1)+IF(Skills!G7&gt;0,MIN(Skills!H7,MAX(0,MAX(0,Inputs!$B$44-B639)-((R607-1)*(IF(Inputs!$B$39="pvp",15,MAX(0.1,Skills!D7-IF(Skills!E6=TRUE,Inputs!$B$33,0)))*(1-IF(AND(ArtifactsInput!$M$27,Inputs!$B$4="Chapter Hunt"),CHOOSE(ArtifactsInput!$N$27+1,20,24,28,32,36,40),0)/100)))))/Skills!G7,1)))/Inputs!$B$44),G607*Q607)*IF(Inputs!$B$39="pvp",1,1+(Inputs!$B$21+Skills!O7+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607*(1-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607*(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607*(1-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607*(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7" t="n">
        <v>0</v>
      </c>
    </row>
    <row r="608">
      <c r="A608">
        <f>Skills!A8</f>
        <v/>
      </c>
      <c r="B608">
        <f>Skills!B8</f>
        <v/>
      </c>
      <c r="C608">
        <f>Inputs!$B$3&gt;=105</f>
        <v/>
      </c>
      <c r="D608">
        <f>IF(Skills!C8=1,60+Inputs!$B$26+Inputs!$B$30,IF(Skills!C8=2,90+Inputs!$B$27+Inputs!$B$30,IF(Skills!C8=3,120+Inputs!$B$28+Inputs!$B$30,MAX(0,(Inputs!$B$3-100)*3)+Inputs!$B$29+Inputs!$B$30)))</f>
        <v/>
      </c>
      <c r="E608">
        <f>INDEX(FactorTable!$B$2:$Y$301, MATCH(ROUND(MIN(300,MAX(1,D608)),0), FactorTable!$A$2:$A$301,0), Skills!L8+1)</f>
        <v/>
      </c>
      <c r="F608">
        <f>IF(Skills!M8=TRUE,(Skills!K8/10)*(E608/1000),Skills!K8/10)+Skills!N8</f>
        <v/>
      </c>
      <c r="G608">
        <f>Calc!G8</f>
        <v/>
      </c>
      <c r="H608">
        <f>Calc!H8</f>
        <v/>
      </c>
      <c r="I608">
        <f>IF(Skills!T8&lt;&gt;"",1+(Skills!T8/10)*($Z$3/1000)/100,1)</f>
        <v/>
      </c>
      <c r="J608">
        <f>((Inputs!$B$6*(1+Inputs!$B$7/100))+(((Inputs!$B$13*(1+Inputs!$B$14/100))-(Inputs!$B$13*(1+Inputs!$B$14/100)))+0.25*(Inputs!$B$15-Inputs!$B$15))*(1+Inputs!$B$7/100))*(F608/100)</f>
        <v/>
      </c>
      <c r="K608">
        <f>J608*(1+(((Inputs!$B$13+IF(Inputs!$B$3&gt;=35,(10*INDEX(FactorTable!$B$2:$Y$301,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8="TRIUMPH_FEATHER",IF(C616=TRUE,F616,0),0)/100)*(1+IF(C627=TRUE,F627,0)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608)</f>
        <v/>
      </c>
      <c r="L608">
        <f>K608*(MIN(Inputs!$B$23+(F622-Calc!F22),(Inputs!$B$24+IF(ArtifactsInput!$M$15,CHOOSE(ArtifactsInput!$N$15+1,25,30,35,40,45,50)/100*(Inputs!$B$12-Inputs!$B$12),0)))/100+(Inputs!$B$24+IF(ArtifactsInput!$M$15,CHOOSE(ArtifactsInput!$N$15+1,25,30,35,40,45,50)/100*(Inputs!$B$12-Inputs!$B$12),0))/100)/2</f>
        <v/>
      </c>
      <c r="M608">
        <f>L608*(1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8">
        <f>L608*(1-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608*(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8">
        <f>(1-Summary!$B$11)*S608+Summary!$B$11*U608</f>
        <v/>
      </c>
      <c r="P608">
        <f>IF(B642=0,0,O608/B642)</f>
        <v/>
      </c>
      <c r="Q608">
        <f>IFERROR(1/(IF(Inputs!$B$39="pvp",15,MAX(0.1,Skills!D8-IF(Skills!E8=TRUE,Inputs!$B$33,0)))*(1-IF(AND(ArtifactsInput!$M$27,Inputs!$B$4="Chapter Hunt"),CHOOSE(ArtifactsInput!$N$27+1,20,24,28,32,36,40),0)/100)),0)</f>
        <v/>
      </c>
      <c r="R608">
        <f>IF(AND(Inputs!$B$39&lt;&gt;"pvp",Inputs!$B$44&gt;0),IF(MAX(0,Inputs!$B$44-B639)&lt;=0,0,(INT(MAX(0,Inputs!$B$44-B639)/(IF(Inputs!$B$39="pvp",15,MAX(0.1,Skills!D8-IF(Skills!E8=TRUE,Inputs!$B$33,0)))*(1-IF(AND(ArtifactsInput!$M$27,Inputs!$B$4="Chapter Hunt"),CHOOSE(ArtifactsInput!$N$27+1,20,24,28,32,36,40),0)/100)))+1)),0)</f>
        <v/>
      </c>
      <c r="S608">
        <f>IF(C608,(H608*N608*IF(AND(Inputs!$B$39&lt;&gt;"pvp",Inputs!$B$44&gt;0),((Skills!F8*((R608-1)*IF(Skills!G8&gt;0,Skills!H8/Skills!G8,1)+IF(Skills!G8&gt;0,MIN(Skills!H8,MAX(0,MAX(0,Inputs!$B$44-B639)-((R608-1)*(IF(Inputs!$B$39="pvp",15,MAX(0.1,Skills!D8-IF(Skills!E8=TRUE,Inputs!$B$33,0)))*(1-IF(AND(ArtifactsInput!$M$27,Inputs!$B$4="Chapter Hunt"),CHOOSE(ArtifactsInput!$N$27+1,20,24,28,32,36,40),0)/100)))))/Skills!G8,1)))/Inputs!$B$44),G608*Q608))*IF(Inputs!$B$39="pvp",1,1+(Inputs!$B$21+Skills!O8+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608*(1-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608*(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608*(1-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608*(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8">
        <f>IF(C608,(H608*N608*IF(AND(Inputs!$B$39&lt;&gt;"pvp",Inputs!$B$44&gt;0),((Skills!F8*((R608-1)*IF(Skills!G8&gt;0,Skills!H8/Skills!G8,1)+IF(Skills!G8&gt;0,MIN(Skills!H8,MAX(0,MAX(0,Inputs!$B$44-B639)-((R608-1)*(IF(Inputs!$B$39="pvp",15,MAX(0.1,Skills!D8-IF(Skills!E8=TRUE,Inputs!$B$33,0)))*(1-IF(AND(ArtifactsInput!$M$27,Inputs!$B$4="Chapter Hunt"),CHOOSE(ArtifactsInput!$N$27+1,20,24,28,32,36,40),0)/100)))))/Skills!G8,1)))/Inputs!$B$44),G608*Q608))*IF(Inputs!$B$39="pvp",1,(1+(Inputs!$B$22+Skills!P8+B631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09">
      <c r="A609">
        <f>Skills!A9</f>
        <v/>
      </c>
      <c r="B609">
        <f>Skills!B9</f>
        <v/>
      </c>
      <c r="C609">
        <f>Inputs!$B$3&gt;=115</f>
        <v/>
      </c>
      <c r="D609">
        <f>IF(Skills!C9=1,60+Inputs!$B$26+Inputs!$B$30,IF(Skills!C9=2,90+Inputs!$B$27+Inputs!$B$30,IF(Skills!C9=3,120+Inputs!$B$28+Inputs!$B$30,MAX(0,(Inputs!$B$3-100)*3)+Inputs!$B$29+Inputs!$B$30)))</f>
        <v/>
      </c>
      <c r="E609">
        <f>INDEX(FactorTable!$B$2:$Y$301, MATCH(ROUND(MIN(300,MAX(1,D609)),0), FactorTable!$A$2:$A$301,0), Skills!L9+1)</f>
        <v/>
      </c>
      <c r="F609">
        <f>IF(Skills!M9=TRUE,(Skills!K9/10)*(E609/1000),Skills!K9/10)+Skills!N9</f>
        <v/>
      </c>
      <c r="G609">
        <f>Calc!G9</f>
        <v/>
      </c>
      <c r="H609">
        <f>Calc!H9</f>
        <v/>
      </c>
      <c r="I609">
        <f>IF(Skills!T9&lt;&gt;"",1+(Skills!T9/10)*($Z$3/1000)/100,1)</f>
        <v/>
      </c>
      <c r="J609">
        <f>((Inputs!$B$6*(1+Inputs!$B$7/100))+(((Inputs!$B$13*(1+Inputs!$B$14/100))-(Inputs!$B$13*(1+Inputs!$B$14/100)))+0.25*(Inputs!$B$15-Inputs!$B$15))*(1+Inputs!$B$7/100))*(F609/100)</f>
        <v/>
      </c>
      <c r="K609">
        <f>J609*(1+(((Inputs!$B$13+IF(Inputs!$B$3&gt;=35,(10*INDEX(FactorTable!$B$2:$Y$301,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9="TRIUMPH_FEATHER",IF(C616=TRUE,F616,0),0)/100)*(1+IF(C627=TRUE,F627,0)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609)</f>
        <v/>
      </c>
      <c r="L609">
        <f>K609*(MIN(Inputs!$B$23+(F622-Calc!F22),(Inputs!$B$24+IF(ArtifactsInput!$M$15,CHOOSE(ArtifactsInput!$N$15+1,25,30,35,40,45,50)/100*(Inputs!$B$12-Inputs!$B$12),0)))/100+(Inputs!$B$24+IF(ArtifactsInput!$M$15,CHOOSE(ArtifactsInput!$N$15+1,25,30,35,40,45,50)/100*(Inputs!$B$12-Inputs!$B$12),0))/100)/2</f>
        <v/>
      </c>
      <c r="M609">
        <f>L609*(1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9">
        <f>L609*(1-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609*(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9">
        <f>(1-Summary!$B$11)*S609+Summary!$B$11*U609</f>
        <v/>
      </c>
      <c r="P609">
        <f>IF(B642=0,0,O609/B642)</f>
        <v/>
      </c>
      <c r="Q609">
        <f>IFERROR(1/(IF(Inputs!$B$39="pvp",15,MAX(0.1,Skills!D9-IF(Skills!E9=TRUE,Inputs!$B$33,0)))*(1-IF(AND(ArtifactsInput!$M$27,Inputs!$B$4="Chapter Hunt"),CHOOSE(ArtifactsInput!$N$27+1,20,24,28,32,36,40),0)/100)),0)</f>
        <v/>
      </c>
      <c r="R609">
        <f>IF(AND(Inputs!$B$39&lt;&gt;"pvp",Inputs!$B$44&gt;0),IF(MAX(0,Inputs!$B$44-B639)&lt;=0,0,(INT(MAX(0,Inputs!$B$44-B639)/(IF(Inputs!$B$39="pvp",15,MAX(0.1,Skills!D9-IF(Skills!E9=TRUE,Inputs!$B$33,0)))*(1-IF(AND(ArtifactsInput!$M$27,Inputs!$B$4="Chapter Hunt"),CHOOSE(ArtifactsInput!$N$27+1,20,24,28,32,36,40),0)/100)))+1)),0)</f>
        <v/>
      </c>
      <c r="S609">
        <f>IF(C609,(H609*N609*IF(AND(Inputs!$B$39&lt;&gt;"pvp",Inputs!$B$44&gt;0),((Skills!F9*((R609-1)*IF(Skills!G9&gt;0,Skills!H9/Skills!G9,1)+IF(Skills!G9&gt;0,MIN(Skills!H9,MAX(0,MAX(0,Inputs!$B$44-B639)-((R609-1)*(IF(Inputs!$B$39="pvp",15,MAX(0.1,Skills!D9-IF(Skills!E9=TRUE,Inputs!$B$33,0)))*(1-IF(AND(ArtifactsInput!$M$27,Inputs!$B$4="Chapter Hunt"),CHOOSE(ArtifactsInput!$N$27+1,20,24,28,32,36,40),0)/100)))))/Skills!G9,1)))/Inputs!$B$44),G609*Q609))*IF(Inputs!$B$39="pvp",1,1+(Inputs!$B$21+Skills!O9+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609*(1-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609*(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609*(1-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609*(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9">
        <f>IF(C609,(H609*N609*IF(AND(Inputs!$B$39&lt;&gt;"pvp",Inputs!$B$44&gt;0),((Skills!F9*((R609-1)*IF(Skills!G9&gt;0,Skills!H9/Skills!G9,1)+IF(Skills!G9&gt;0,MIN(Skills!H9,MAX(0,MAX(0,Inputs!$B$44-B639)-((R609-1)*(IF(Inputs!$B$39="pvp",15,MAX(0.1,Skills!D9-IF(Skills!E9=TRUE,Inputs!$B$33,0)))*(1-IF(AND(ArtifactsInput!$M$27,Inputs!$B$4="Chapter Hunt"),CHOOSE(ArtifactsInput!$N$27+1,20,24,28,32,36,40),0)/100)))))/Skills!G9,1)))/Inputs!$B$44),G609*Q609))*IF(Inputs!$B$39="pvp",1,(1+(Inputs!$B$22+Skills!P9+B631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0">
      <c r="A610">
        <f>Skills!A10</f>
        <v/>
      </c>
      <c r="B610">
        <f>Skills!B10</f>
        <v/>
      </c>
      <c r="C610">
        <f>Inputs!$B$3&gt;=66</f>
        <v/>
      </c>
      <c r="D610">
        <f>IF(Skills!C10=1,60+Inputs!$B$26+Inputs!$B$30,IF(Skills!C10=2,90+Inputs!$B$27+Inputs!$B$30,IF(Skills!C10=3,120+Inputs!$B$28+Inputs!$B$30,MAX(0,(Inputs!$B$3-100)*3)+Inputs!$B$29+Inputs!$B$30)))</f>
        <v/>
      </c>
      <c r="E610">
        <f>INDEX(FactorTable!$B$2:$Y$301, MATCH(ROUND(MIN(300,MAX(1,D610)),0), FactorTable!$A$2:$A$301,0), Skills!L10+1)</f>
        <v/>
      </c>
      <c r="F610" t="n">
        <v>0</v>
      </c>
      <c r="G610">
        <f>Calc!G10</f>
        <v/>
      </c>
      <c r="H610">
        <f>Calc!H10</f>
        <v/>
      </c>
      <c r="I610">
        <f>IF(Skills!T10&lt;&gt;"",1+(Skills!T10/10)*($Z$3/1000)/100,1)</f>
        <v/>
      </c>
      <c r="J610" t="inlineStr"/>
      <c r="K610" t="inlineStr"/>
      <c r="L610" t="inlineStr"/>
      <c r="M610" t="inlineStr"/>
      <c r="N610" t="inlineStr"/>
      <c r="O610">
        <f>(1-Summary!$B$11)*S610+Summary!$B$11*U610</f>
        <v/>
      </c>
      <c r="P610">
        <f>IF(B642=0,0,O610/B642)</f>
        <v/>
      </c>
      <c r="Q610">
        <f>IFERROR(1/(IF(Inputs!$B$39="pvp",15,MAX(0.1,Skills!D10-IF(Skills!E10=TRUE,Inputs!$B$33,0)))*(1-IF(AND(ArtifactsInput!$M$27,Inputs!$B$4="Chapter Hunt"),CHOOSE(ArtifactsInput!$N$27+1,20,24,28,32,36,40),0)/100)),0)</f>
        <v/>
      </c>
      <c r="R610">
        <f>IF(AND(Inputs!$B$39&lt;&gt;"pvp",Inputs!$B$44&gt;0),IF(MAX(0,Inputs!$B$44-B639)&lt;=0,0,(INT(MAX(0,Inputs!$B$44-B639)/(IF(Inputs!$B$39="pvp",15,MAX(0.1,Skills!D10-IF(Skills!E10=TRUE,Inputs!$B$33,0)))*(1-IF(AND(ArtifactsInput!$M$27,Inputs!$B$4="Chapter Hunt"),CHOOSE(ArtifactsInput!$N$27+1,20,24,28,32,36,40),0)/100)))+1)),0)</f>
        <v/>
      </c>
      <c r="S610" t="n">
        <v>0</v>
      </c>
      <c r="U610" t="n">
        <v>0</v>
      </c>
    </row>
    <row r="611">
      <c r="A611">
        <f>Skills!A11</f>
        <v/>
      </c>
      <c r="B611">
        <f>Skills!B11</f>
        <v/>
      </c>
      <c r="C611">
        <f>Inputs!$B$3&gt;=69</f>
        <v/>
      </c>
      <c r="D611">
        <f>IF(Skills!C11=1,60+Inputs!$B$26+Inputs!$B$30,IF(Skills!C11=2,90+Inputs!$B$27+Inputs!$B$30,IF(Skills!C11=3,120+Inputs!$B$28+Inputs!$B$30,MAX(0,(Inputs!$B$3-100)*3)+Inputs!$B$29+Inputs!$B$30)))</f>
        <v/>
      </c>
      <c r="E611">
        <f>INDEX(FactorTable!$B$2:$Y$301, MATCH(ROUND(MIN(300,MAX(1,D611)),0), FactorTable!$A$2:$A$301,0), Skills!L11+1)</f>
        <v/>
      </c>
      <c r="F611">
        <f>IF(Skills!M11=TRUE,(Skills!K11/10)*(E611/1000),Skills!K11/10)+Skills!N11</f>
        <v/>
      </c>
      <c r="G611">
        <f>Calc!G11</f>
        <v/>
      </c>
      <c r="H611">
        <f>Calc!H11</f>
        <v/>
      </c>
      <c r="I611">
        <f>IF(Skills!T11&lt;&gt;"",1+(Skills!T11/10)*($Z$3/1000)/100,1)</f>
        <v/>
      </c>
      <c r="J611" t="inlineStr"/>
      <c r="K611" t="inlineStr"/>
      <c r="L611" t="inlineStr"/>
      <c r="M611" t="inlineStr"/>
      <c r="N611" t="inlineStr"/>
      <c r="O611">
        <f>(1-Summary!$B$11)*S611+Summary!$B$11*U611</f>
        <v/>
      </c>
      <c r="P611">
        <f>IF(B642=0,0,O611/B642)</f>
        <v/>
      </c>
      <c r="Q611">
        <f>IFERROR(1/(IF(Inputs!$B$39="pvp",15,MAX(0.1,Skills!D11-IF(Skills!E11=TRUE,Inputs!$B$33,0)))*(1-IF(AND(ArtifactsInput!$M$27,Inputs!$B$4="Chapter Hunt"),CHOOSE(ArtifactsInput!$N$27+1,20,24,28,32,36,40),0)/100)),0)</f>
        <v/>
      </c>
      <c r="R611">
        <f>IF(AND(Inputs!$B$39&lt;&gt;"pvp",Inputs!$B$44&gt;0),IF(Inputs!$B$44&lt;=0,0,(INT(Inputs!$B$44/(IF(Inputs!$B$39="pvp",15,MAX(0.1,Skills!D11-IF(Skills!E11=TRUE,Inputs!$B$33,0)))*(1-IF(AND(ArtifactsInput!$M$27,Inputs!$B$4="Chapter Hunt"),CHOOSE(ArtifactsInput!$N$27+1,20,24,28,32,36,40),0)/100)))+1)),0)</f>
        <v/>
      </c>
      <c r="S611" t="n">
        <v>0</v>
      </c>
      <c r="U611" t="n">
        <v>0</v>
      </c>
    </row>
    <row r="612">
      <c r="A612">
        <f>Skills!A12</f>
        <v/>
      </c>
      <c r="B612">
        <f>Skills!B12</f>
        <v/>
      </c>
      <c r="C612">
        <f>Inputs!$B$3&gt;=72</f>
        <v/>
      </c>
      <c r="D612">
        <f>IF(Skills!C12=1,60+Inputs!$B$26+Inputs!$B$30,IF(Skills!C12=2,90+Inputs!$B$27+Inputs!$B$30,IF(Skills!C12=3,120+Inputs!$B$28+Inputs!$B$30,MAX(0,(Inputs!$B$3-100)*3)+Inputs!$B$29+Inputs!$B$30)))</f>
        <v/>
      </c>
      <c r="E612">
        <f>INDEX(FactorTable!$B$2:$Y$301, MATCH(ROUND(MIN(300,MAX(1,D612)),0), FactorTable!$A$2:$A$301,0), Skills!L12+1)</f>
        <v/>
      </c>
      <c r="F612">
        <f>IF(Skills!M12=TRUE,(Skills!K12/10)*(E612/1000),Skills!K12/10)+Skills!N12</f>
        <v/>
      </c>
      <c r="G612">
        <f>Calc!G12</f>
        <v/>
      </c>
      <c r="H612">
        <f>Calc!H12</f>
        <v/>
      </c>
      <c r="I612">
        <f>IF(Skills!T12&lt;&gt;"",1+(Skills!T12/10)*($Z$3/1000)/100,1)</f>
        <v/>
      </c>
      <c r="J612" t="inlineStr"/>
      <c r="K612" t="inlineStr"/>
      <c r="L612" t="inlineStr"/>
      <c r="M612" t="inlineStr"/>
      <c r="N612" t="inlineStr"/>
      <c r="O612">
        <f>(1-Summary!$B$11)*S612+Summary!$B$11*U612</f>
        <v/>
      </c>
      <c r="P612">
        <f>IF(B642=0,0,O612/B642)</f>
        <v/>
      </c>
      <c r="Q612">
        <f>IFERROR(1/(IF(Inputs!$B$39="pvp",15,MAX(0.1,Skills!D12-IF(Skills!E12=TRUE,Inputs!$B$33,0)))*(1-IF(AND(ArtifactsInput!$M$27,Inputs!$B$4="Chapter Hunt"),CHOOSE(ArtifactsInput!$N$27+1,20,24,28,32,36,40),0)/100)),0)</f>
        <v/>
      </c>
      <c r="R612">
        <f>IF(AND(Inputs!$B$39&lt;&gt;"pvp",Inputs!$B$44&gt;0),IF(MAX(0,Inputs!$B$44-B639)&lt;=0,0,(INT(MAX(0,Inputs!$B$44-B639)/(IF(Inputs!$B$39="pvp",15,MAX(0.1,Skills!D12-IF(Skills!E12=TRUE,Inputs!$B$33,0)))*(1-IF(AND(ArtifactsInput!$M$27,Inputs!$B$4="Chapter Hunt"),CHOOSE(ArtifactsInput!$N$27+1,20,24,28,32,36,40),0)/100)))+1)),0)</f>
        <v/>
      </c>
      <c r="S612" t="n">
        <v>0</v>
      </c>
      <c r="U612" t="n">
        <v>0</v>
      </c>
    </row>
    <row r="613">
      <c r="A613">
        <f>Skills!A13</f>
        <v/>
      </c>
      <c r="B613">
        <f>Skills!B13</f>
        <v/>
      </c>
      <c r="C613">
        <f>Inputs!$B$3&gt;=60</f>
        <v/>
      </c>
      <c r="D613">
        <f>IF(Skills!C13=1,60+Inputs!$B$26+Inputs!$B$30,IF(Skills!C13=2,90+Inputs!$B$27+Inputs!$B$30,IF(Skills!C13=3,120+Inputs!$B$28+Inputs!$B$30,MAX(0,(Inputs!$B$3-100)*3)+Inputs!$B$29+Inputs!$B$30)))</f>
        <v/>
      </c>
      <c r="E613">
        <f>INDEX(FactorTable!$B$2:$Y$301, MATCH(ROUND(MIN(300,MAX(1,D613)),0), FactorTable!$A$2:$A$301,0), Skills!L13+1)</f>
        <v/>
      </c>
      <c r="F613">
        <f>IF(Skills!M13=TRUE,(Skills!K13/10)*(E613/1000),Skills!K13/10)+Skills!N13</f>
        <v/>
      </c>
      <c r="G613">
        <f>Calc!G13</f>
        <v/>
      </c>
      <c r="H613">
        <f>Calc!H13</f>
        <v/>
      </c>
      <c r="I613">
        <f>IF(Skills!T13&lt;&gt;"",1+(Skills!T13/10)*($Z$3/1000)/100,1)</f>
        <v/>
      </c>
      <c r="J613" t="inlineStr"/>
      <c r="K613" t="inlineStr"/>
      <c r="L613" t="inlineStr"/>
      <c r="M613" t="inlineStr"/>
      <c r="N613" t="inlineStr"/>
      <c r="O613">
        <f>(1-Summary!$B$11)*S613+Summary!$B$11*U613</f>
        <v/>
      </c>
      <c r="P613">
        <f>IF(B642=0,0,O613/B642)</f>
        <v/>
      </c>
      <c r="Q613">
        <f>IFERROR(1/(IF(Inputs!$B$39="pvp",15,MAX(0.1,Skills!D13-IF(Skills!E13=TRUE,Inputs!$B$33,0)))*(1-IF(AND(ArtifactsInput!$M$27,Inputs!$B$4="Chapter Hunt"),CHOOSE(ArtifactsInput!$N$27+1,20,24,28,32,36,40),0)/100)),0)</f>
        <v/>
      </c>
      <c r="R613">
        <f>IF(AND(Inputs!$B$39&lt;&gt;"pvp",Inputs!$B$44&gt;0),IF(MAX(0,Inputs!$B$44-B639)&lt;=0,0,(INT(MAX(0,Inputs!$B$44-B639)/(IF(Inputs!$B$39="pvp",15,MAX(0.1,Skills!D13-IF(Skills!E13=TRUE,Inputs!$B$33,0)))*(1-IF(AND(ArtifactsInput!$M$27,Inputs!$B$4="Chapter Hunt"),CHOOSE(ArtifactsInput!$N$27+1,20,24,28,32,36,40),0)/100)))+1)),0)</f>
        <v/>
      </c>
      <c r="S613" t="n">
        <v>0</v>
      </c>
      <c r="U613" t="n">
        <v>0</v>
      </c>
    </row>
    <row r="614">
      <c r="A614">
        <f>Skills!A14</f>
        <v/>
      </c>
      <c r="B614">
        <f>Skills!B14</f>
        <v/>
      </c>
      <c r="C614">
        <f>Inputs!$B$3&gt;=107</f>
        <v/>
      </c>
      <c r="D614">
        <f>IF(Skills!C14=1,60+Inputs!$B$26+Inputs!$B$30,IF(Skills!C14=2,90+Inputs!$B$27+Inputs!$B$30,IF(Skills!C14=3,120+Inputs!$B$28+Inputs!$B$30,MAX(0,(Inputs!$B$3-100)*3)+Inputs!$B$29+Inputs!$B$30)))</f>
        <v/>
      </c>
      <c r="E614">
        <f>INDEX(FactorTable!$B$2:$Y$301, MATCH(ROUND(MIN(300,MAX(1,D614)),0), FactorTable!$A$2:$A$301,0), Skills!L14+1)</f>
        <v/>
      </c>
      <c r="F614">
        <f>IF(Skills!M14=TRUE,(Skills!K14/10)*(E614/1000),Skills!K14/10)+Skills!N14</f>
        <v/>
      </c>
      <c r="G614">
        <f>Calc!G14</f>
        <v/>
      </c>
      <c r="H614">
        <f>Calc!H14</f>
        <v/>
      </c>
      <c r="I614">
        <f>IF(Skills!T14&lt;&gt;"",1+(Skills!T14/10)*($Z$3/1000)/100,1)</f>
        <v/>
      </c>
      <c r="J614" t="inlineStr"/>
      <c r="K614" t="inlineStr"/>
      <c r="L614" t="inlineStr"/>
      <c r="M614" t="inlineStr"/>
      <c r="N614" t="inlineStr"/>
      <c r="O614">
        <f>(1-Summary!$B$11)*S614+Summary!$B$11*U614</f>
        <v/>
      </c>
      <c r="P614">
        <f>IF(B642=0,0,O614/B642)</f>
        <v/>
      </c>
      <c r="Q614">
        <f>IFERROR(1/(IF(Inputs!$B$39="pvp",15,MAX(0.1,Skills!D14-IF(Skills!E14=TRUE,Inputs!$B$33,0)))*(1-IF(AND(ArtifactsInput!$M$27,Inputs!$B$4="Chapter Hunt"),CHOOSE(ArtifactsInput!$N$27+1,20,24,28,32,36,40),0)/100)),0)</f>
        <v/>
      </c>
      <c r="R614">
        <f>IF(AND(Inputs!$B$39&lt;&gt;"pvp",Inputs!$B$44&gt;0),IF(Inputs!$B$44&lt;=0,0,(INT(Inputs!$B$44/(IF(Inputs!$B$39="pvp",15,MAX(0.1,Skills!D14-IF(Skills!E14=TRUE,Inputs!$B$33,0)))*(1-IF(AND(ArtifactsInput!$M$27,Inputs!$B$4="Chapter Hunt"),CHOOSE(ArtifactsInput!$N$27+1,20,24,28,32,36,40),0)/100)))+1)),0)</f>
        <v/>
      </c>
      <c r="S614" t="n">
        <v>0</v>
      </c>
      <c r="U614" t="n">
        <v>0</v>
      </c>
    </row>
    <row r="615">
      <c r="A615">
        <f>Skills!A15</f>
        <v/>
      </c>
      <c r="B615">
        <f>Skills!B15</f>
        <v/>
      </c>
      <c r="C615">
        <f>Inputs!$B$3&gt;=63</f>
        <v/>
      </c>
      <c r="D615">
        <f>IF(Skills!C15=1,60+Inputs!$B$26+Inputs!$B$30,IF(Skills!C15=2,90+Inputs!$B$27+Inputs!$B$30,IF(Skills!C15=3,120+Inputs!$B$28+Inputs!$B$30,MAX(0,(Inputs!$B$3-100)*3)+Inputs!$B$29+Inputs!$B$30)))</f>
        <v/>
      </c>
      <c r="E615">
        <f>INDEX(FactorTable!$B$2:$Y$301, MATCH(ROUND(MIN(300,MAX(1,D615)),0), FactorTable!$A$2:$A$301,0), Skills!L15+1)</f>
        <v/>
      </c>
      <c r="F615">
        <f>IF(Skills!M15=TRUE,(Skills!K15/10)*(E615/1000),Skills!K15/10)+Skills!N15</f>
        <v/>
      </c>
      <c r="G615">
        <f>Calc!G15</f>
        <v/>
      </c>
      <c r="H615">
        <f>Calc!H15</f>
        <v/>
      </c>
      <c r="I615">
        <f>IF(Skills!T15&lt;&gt;"",1+(Skills!T15/10)*($Z$3/1000)/100,1)</f>
        <v/>
      </c>
      <c r="J615">
        <f>((Inputs!$B$6*(1+Inputs!$B$7/100))+(((Inputs!$B$13*(1+Inputs!$B$14/100))-(Inputs!$B$13*(1+Inputs!$B$14/100)))+0.25*(Inputs!$B$15-Inputs!$B$15))*(1+Inputs!$B$7/100))*(F615/100)</f>
        <v/>
      </c>
      <c r="K615">
        <f>J615*(1+(((Inputs!$B$13+IF(Inputs!$B$3&gt;=35,(10*INDEX(FactorTable!$B$2:$Y$301,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15="TRIUMPH_FEATHER",IF(C616=TRUE,F616,0),0)/100)*(1+IF(C627=TRUE,F627,0)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615)</f>
        <v/>
      </c>
      <c r="L615">
        <f>K615*(MIN(Inputs!$B$23+(F622-Calc!F22),(Inputs!$B$24+IF(ArtifactsInput!$M$15,CHOOSE(ArtifactsInput!$N$15+1,25,30,35,40,45,50)/100*(Inputs!$B$12-Inputs!$B$12),0)))/100+(Inputs!$B$24+IF(ArtifactsInput!$M$15,CHOOSE(ArtifactsInput!$N$15+1,25,30,35,40,45,50)/100*(Inputs!$B$12-Inputs!$B$12),0))/100)/2</f>
        <v/>
      </c>
      <c r="M615">
        <f>L615*(1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5">
        <f>L615*(1-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(1-Summary!$B$11)*S615+Summary!$B$11*U615</f>
        <v/>
      </c>
      <c r="P615">
        <f>IF(B642=0,0,O615/B642)</f>
        <v/>
      </c>
      <c r="Q615">
        <f>IFERROR(1/(IF(Inputs!$B$39="pvp",15,MAX(0.1,Skills!D15-IF(Skills!E15=TRUE,Inputs!$B$33,0)))*(1-IF(AND(ArtifactsInput!$M$27,Inputs!$B$4="Chapter Hunt"),CHOOSE(ArtifactsInput!$N$27+1,20,24,28,32,36,40),0)/100)),0)</f>
        <v/>
      </c>
      <c r="R615" t="n">
        <v>0</v>
      </c>
      <c r="S615">
        <f>IF(C615,(Skills!F15*N615*((IF(Inputs!$B$3&gt;=78,25,15)/100*B635*10)/(1+IF(Inputs!$B$3&gt;=78,25,15)/100*B635*10))*(Skills!I15/100*B635)/(1+Skills!G15*Skills!I15/100*B635))*IF(Inputs!$B$39="pvp",1,1+(Inputs!$B$21+Skills!O15+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615*(1-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IF(C615,(Skills!F15*N615*((IF(Inputs!$B$3&gt;=78,25,15)/100*B635*10)/(1+IF(Inputs!$B$3&gt;=78,25,15)/100*B635*10))*(Skills!I15/100*B635)/(1+Skills!G15*Skills!I15/100*B635))*IF(Inputs!$B$39="pvp",1,(1+(Inputs!$B$22+Skills!P15+B631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Skills!A16</f>
        <v/>
      </c>
      <c r="B616">
        <f>Skills!B16</f>
        <v/>
      </c>
      <c r="C616">
        <f>Inputs!$B$3&gt;=100</f>
        <v/>
      </c>
      <c r="D616">
        <f>IF(Skills!C16=1,60+Inputs!$B$26+Inputs!$B$30,IF(Skills!C16=2,90+Inputs!$B$27+Inputs!$B$30,IF(Skills!C16=3,120+Inputs!$B$28+Inputs!$B$30,MAX(0,(Inputs!$B$3-100)*3)+Inputs!$B$29+Inputs!$B$30)))</f>
        <v/>
      </c>
      <c r="E616">
        <f>INDEX(FactorTable!$B$2:$Y$301, MATCH(ROUND(MIN(300,MAX(1,D616)),0), FactorTable!$A$2:$A$301,0), Skills!L16+1)</f>
        <v/>
      </c>
      <c r="F616">
        <f>IF(Skills!M16=TRUE,(Skills!K16/10)*(E616/1000),Skills!K16/10)+Skills!N16</f>
        <v/>
      </c>
      <c r="G616">
        <f>Calc!G16</f>
        <v/>
      </c>
      <c r="H616">
        <f>Calc!H16</f>
        <v/>
      </c>
      <c r="I616">
        <f>IF(Skills!T16&lt;&gt;"",1+(Skills!T16/10)*($Z$3/1000)/100,1)</f>
        <v/>
      </c>
      <c r="J616" t="inlineStr"/>
      <c r="K616" t="inlineStr"/>
      <c r="L616" t="inlineStr"/>
      <c r="M616" t="inlineStr"/>
      <c r="N616" t="inlineStr"/>
      <c r="O616">
        <f>(1-Summary!$B$11)*S616+Summary!$B$11*U616</f>
        <v/>
      </c>
      <c r="P616">
        <f>IF(B642=0,0,O616/B642)</f>
        <v/>
      </c>
      <c r="Q616">
        <f>IFERROR(1/(IF(Inputs!$B$39="pvp",15,MAX(0.1,Skills!D16-IF(Skills!E16=TRUE,Inputs!$B$33,0)))*(1-IF(AND(ArtifactsInput!$M$27,Inputs!$B$4="Chapter Hunt"),CHOOSE(ArtifactsInput!$N$27+1,20,24,28,32,36,40),0)/100)),0)</f>
        <v/>
      </c>
      <c r="R616" t="n">
        <v>0</v>
      </c>
      <c r="S616" t="n">
        <v>0</v>
      </c>
      <c r="U616" t="n">
        <v>0</v>
      </c>
    </row>
    <row r="617">
      <c r="A617">
        <f>Skills!A17</f>
        <v/>
      </c>
      <c r="B617">
        <f>Skills!B17</f>
        <v/>
      </c>
      <c r="C617">
        <f>Inputs!$B$3&gt;=49</f>
        <v/>
      </c>
      <c r="D617">
        <f>IF(Skills!C17=1,60+Inputs!$B$26+Inputs!$B$30,IF(Skills!C17=2,90+Inputs!$B$27+Inputs!$B$30,IF(Skills!C17=3,120+Inputs!$B$28+Inputs!$B$30,MAX(0,(Inputs!$B$3-100)*3)+Inputs!$B$29+Inputs!$B$30)))</f>
        <v/>
      </c>
      <c r="E617">
        <f>INDEX(FactorTable!$B$2:$Y$301, MATCH(ROUND(MIN(300,MAX(1,D617)),0), FactorTable!$A$2:$A$301,0), Skills!L17+1)</f>
        <v/>
      </c>
      <c r="F617">
        <f>IF(Skills!M17=TRUE,(Skills!K17/10)*(E617/1000),Skills!K17/10)+Skills!N17</f>
        <v/>
      </c>
      <c r="G617">
        <f>Calc!G17</f>
        <v/>
      </c>
      <c r="H617">
        <f>Calc!H17</f>
        <v/>
      </c>
      <c r="I617">
        <f>IF(Skills!T17&lt;&gt;"",1+(Skills!T17/10)*($Z$3/1000)/100,1)</f>
        <v/>
      </c>
      <c r="J617" t="inlineStr"/>
      <c r="K617" t="inlineStr"/>
      <c r="L617" t="inlineStr"/>
      <c r="M617" t="inlineStr"/>
      <c r="N617" t="inlineStr"/>
      <c r="O617">
        <f>(1-Summary!$B$11)*S617+Summary!$B$11*U617</f>
        <v/>
      </c>
      <c r="P617">
        <f>IF(B642=0,0,O617/B642)</f>
        <v/>
      </c>
      <c r="Q617">
        <f>IFERROR(1/(IF(Inputs!$B$39="pvp",15,MAX(0.1,Skills!D17-IF(Skills!E17=TRUE,Inputs!$B$33,0)))*(1-IF(AND(ArtifactsInput!$M$27,Inputs!$B$4="Chapter Hunt"),CHOOSE(ArtifactsInput!$N$27+1,20,24,28,32,36,40),0)/100)),0)</f>
        <v/>
      </c>
      <c r="R617" t="n">
        <v>0</v>
      </c>
      <c r="S617" t="n">
        <v>0</v>
      </c>
      <c r="U617" t="n">
        <v>0</v>
      </c>
    </row>
    <row r="618">
      <c r="A618">
        <f>Skills!A18</f>
        <v/>
      </c>
      <c r="B618">
        <f>Skills!B18</f>
        <v/>
      </c>
      <c r="C618">
        <f>Inputs!$B$3&gt;=75</f>
        <v/>
      </c>
      <c r="D618">
        <f>IF(Skills!C18=1,60+Inputs!$B$26+Inputs!$B$30,IF(Skills!C18=2,90+Inputs!$B$27+Inputs!$B$30,IF(Skills!C18=3,120+Inputs!$B$28+Inputs!$B$30,MAX(0,(Inputs!$B$3-100)*3)+Inputs!$B$29+Inputs!$B$30)))</f>
        <v/>
      </c>
      <c r="E618">
        <f>INDEX(FactorTable!$B$2:$Y$301, MATCH(ROUND(MIN(300,MAX(1,D618)),0), FactorTable!$A$2:$A$301,0), Skills!L18+1)</f>
        <v/>
      </c>
      <c r="F618">
        <f>IF(Skills!M18=TRUE,(Skills!K18/10)*(E618/1000),Skills!K18/10)+Skills!N18</f>
        <v/>
      </c>
      <c r="G618">
        <f>Calc!G18</f>
        <v/>
      </c>
      <c r="H618">
        <f>Calc!H18</f>
        <v/>
      </c>
      <c r="I618">
        <f>IF(Skills!T18&lt;&gt;"",1+(Skills!T18/10)*($Z$3/1000)/100,1)</f>
        <v/>
      </c>
      <c r="J618" t="inlineStr"/>
      <c r="K618" t="inlineStr"/>
      <c r="L618" t="inlineStr"/>
      <c r="M618" t="inlineStr"/>
      <c r="N618" t="inlineStr"/>
      <c r="O618">
        <f>(1-Summary!$B$11)*S618+Summary!$B$11*U618</f>
        <v/>
      </c>
      <c r="P618">
        <f>IF(B642=0,0,O618/B642)</f>
        <v/>
      </c>
      <c r="Q618">
        <f>IFERROR(1/(IF(Inputs!$B$39="pvp",15,MAX(0.1,Skills!D18-IF(Skills!E18=TRUE,Inputs!$B$33,0)))*(1-IF(AND(ArtifactsInput!$M$27,Inputs!$B$4="Chapter Hunt"),CHOOSE(ArtifactsInput!$N$27+1,20,24,28,32,36,40),0)/100)),0)</f>
        <v/>
      </c>
      <c r="R618" t="n">
        <v>0</v>
      </c>
      <c r="S618" t="n">
        <v>0</v>
      </c>
      <c r="U618" t="n">
        <v>0</v>
      </c>
    </row>
    <row r="619">
      <c r="A619">
        <f>Skills!A19</f>
        <v/>
      </c>
      <c r="B619">
        <f>Skills!B19</f>
        <v/>
      </c>
      <c r="C619">
        <f>Inputs!$B$3&gt;=110</f>
        <v/>
      </c>
      <c r="D619">
        <f>IF(Skills!C19=1,60+Inputs!$B$26+Inputs!$B$30,IF(Skills!C19=2,90+Inputs!$B$27+Inputs!$B$30,IF(Skills!C19=3,120+Inputs!$B$28+Inputs!$B$30,MAX(0,(Inputs!$B$3-100)*3)+Inputs!$B$29+Inputs!$B$30)))</f>
        <v/>
      </c>
      <c r="E619">
        <f>INDEX(FactorTable!$B$2:$Y$301, MATCH(ROUND(MIN(300,MAX(1,D619)),0), FactorTable!$A$2:$A$301,0), Skills!L19+1)</f>
        <v/>
      </c>
      <c r="F619">
        <f>(Skills!K19/10)*(E619/1000)*64/45+Skills!N19</f>
        <v/>
      </c>
      <c r="G619">
        <f>Calc!G19</f>
        <v/>
      </c>
      <c r="H619">
        <f>Calc!H19</f>
        <v/>
      </c>
      <c r="I619">
        <f>IF(Skills!T19&lt;&gt;"",1+(Skills!T19/10)*($Z$3/1000)/100,1)</f>
        <v/>
      </c>
      <c r="J619" t="inlineStr"/>
      <c r="K619" t="inlineStr"/>
      <c r="L619" t="inlineStr"/>
      <c r="M619" t="inlineStr"/>
      <c r="N619" t="inlineStr"/>
      <c r="O619">
        <f>(1-Summary!$B$11)*S619+Summary!$B$11*U619</f>
        <v/>
      </c>
      <c r="P619">
        <f>IF(B642=0,0,O619/B642)</f>
        <v/>
      </c>
      <c r="Q619">
        <f>IFERROR(1/(IF(Inputs!$B$39="pvp",15,MAX(0.1,Skills!D19-IF(Skills!E19=TRUE,Inputs!$B$33,0)))*(1-IF(AND(ArtifactsInput!$M$27,Inputs!$B$4="Chapter Hunt"),CHOOSE(ArtifactsInput!$N$27+1,20,24,28,32,36,40),0)/100)),0)</f>
        <v/>
      </c>
      <c r="R619">
        <f>IF(AND(Inputs!$B$39&lt;&gt;"pvp",Inputs!$B$44&gt;0),IF(Inputs!$B$44&lt;=0,0,(INT(Inputs!$B$44/(IF(Inputs!$B$39="pvp",15,MAX(0.1,Skills!D19-IF(Skills!E19=TRUE,Inputs!$B$33,0)))*(1-IF(AND(ArtifactsInput!$M$27,Inputs!$B$4="Chapter Hunt"),CHOOSE(ArtifactsInput!$N$27+1,20,24,28,32,36,40),0)/100)))+1)),0)</f>
        <v/>
      </c>
      <c r="S619" t="n">
        <v>0</v>
      </c>
      <c r="U619" t="n">
        <v>0</v>
      </c>
    </row>
    <row r="620">
      <c r="A620">
        <f>Skills!A20</f>
        <v/>
      </c>
      <c r="B620">
        <f>Skills!B20</f>
        <v/>
      </c>
      <c r="C620">
        <f>Inputs!$B$3&gt;=125</f>
        <v/>
      </c>
      <c r="D620">
        <f>IF(Skills!C20=1,60+Inputs!$B$26+Inputs!$B$30,IF(Skills!C20=2,90+Inputs!$B$27+Inputs!$B$30,IF(Skills!C20=3,120+Inputs!$B$28+Inputs!$B$30,MAX(0,(Inputs!$B$3-100)*3)+Inputs!$B$29+Inputs!$B$30)))</f>
        <v/>
      </c>
      <c r="E620">
        <f>INDEX(FactorTable!$B$2:$Y$301, MATCH(ROUND(MIN(300,MAX(1,D620)),0), FactorTable!$A$2:$A$301,0), Skills!L20+1)</f>
        <v/>
      </c>
      <c r="F620">
        <f>IF(Skills!M20=TRUE,(Skills!K20/10)*(E620/1000),Skills!K20/10)+Skills!N20</f>
        <v/>
      </c>
      <c r="G620">
        <f>Calc!G20</f>
        <v/>
      </c>
      <c r="H620">
        <f>Calc!H20</f>
        <v/>
      </c>
      <c r="I620">
        <f>IF(Skills!T20&lt;&gt;"",1+(Skills!T20/10)*($Z$3/1000)/100,1)</f>
        <v/>
      </c>
      <c r="J620" t="inlineStr"/>
      <c r="K620" t="inlineStr"/>
      <c r="L620" t="inlineStr"/>
      <c r="M620" t="inlineStr"/>
      <c r="N620" t="inlineStr"/>
      <c r="O620">
        <f>(1-Summary!$B$11)*S620+Summary!$B$11*U620</f>
        <v/>
      </c>
      <c r="P620">
        <f>IF(B642=0,0,O620/B642)</f>
        <v/>
      </c>
      <c r="Q620">
        <f>IFERROR(1/(IF(Inputs!$B$39="pvp",15,MAX(0.1,Skills!D20-IF(Skills!E20=TRUE,Inputs!$B$33,0)))*(1-IF(AND(ArtifactsInput!$M$27,Inputs!$B$4="Chapter Hunt"),CHOOSE(ArtifactsInput!$N$27+1,20,24,28,32,36,40),0)/100)),0)</f>
        <v/>
      </c>
      <c r="R620" t="n">
        <v>0</v>
      </c>
      <c r="S620" t="n">
        <v>0</v>
      </c>
      <c r="U620" t="n">
        <v>0</v>
      </c>
    </row>
    <row r="621">
      <c r="A621">
        <f>Skills!A21</f>
        <v/>
      </c>
      <c r="B621">
        <f>Skills!B21</f>
        <v/>
      </c>
      <c r="C621">
        <f>Inputs!$B$3&gt;=33</f>
        <v/>
      </c>
      <c r="D621">
        <f>IF(Skills!C21=1,60+Inputs!$B$26+Inputs!$B$30,IF(Skills!C21=2,90+Inputs!$B$27+Inputs!$B$30,IF(Skills!C21=3,120+Inputs!$B$28+Inputs!$B$30,MAX(0,(Inputs!$B$3-100)*3)+Inputs!$B$29+Inputs!$B$30)))</f>
        <v/>
      </c>
      <c r="E621">
        <f>INDEX(FactorTable!$B$2:$Y$301, MATCH(ROUND(MIN(300,MAX(1,D621)),0), FactorTable!$A$2:$A$301,0), Skills!L21+1)</f>
        <v/>
      </c>
      <c r="F621">
        <f>IF(Skills!M21=TRUE,(Skills!K21/10)*(E621/1000),Skills!K21/10)+Skills!N21</f>
        <v/>
      </c>
      <c r="G621">
        <f>Calc!G21</f>
        <v/>
      </c>
      <c r="H621">
        <f>Calc!H21</f>
        <v/>
      </c>
      <c r="I621">
        <f>IF(Skills!T21&lt;&gt;"",1+(Skills!T21/10)*($Z$3/1000)/100,1)</f>
        <v/>
      </c>
      <c r="J621" t="inlineStr"/>
      <c r="K621" t="inlineStr"/>
      <c r="L621" t="inlineStr"/>
      <c r="M621" t="inlineStr"/>
      <c r="N621" t="inlineStr"/>
      <c r="O621">
        <f>(1-Summary!$B$11)*S621+Summary!$B$11*U621</f>
        <v/>
      </c>
      <c r="P621">
        <f>IF(B642=0,0,O621/B642)</f>
        <v/>
      </c>
      <c r="Q621">
        <f>IFERROR(1/(IF(Inputs!$B$39="pvp",15,MAX(0.1,Skills!D21-IF(Skills!E21=TRUE,Inputs!$B$33,0)))*(1-IF(AND(ArtifactsInput!$M$27,Inputs!$B$4="Chapter Hunt"),CHOOSE(ArtifactsInput!$N$27+1,20,24,28,32,36,40),0)/100)),0)</f>
        <v/>
      </c>
      <c r="R621" t="n">
        <v>0</v>
      </c>
      <c r="S621" t="n">
        <v>0</v>
      </c>
      <c r="U621" t="n">
        <v>0</v>
      </c>
    </row>
    <row r="622">
      <c r="A622">
        <f>Skills!A22</f>
        <v/>
      </c>
      <c r="B622">
        <f>Skills!B22</f>
        <v/>
      </c>
      <c r="C622">
        <f>Inputs!$B$3&gt;=43</f>
        <v/>
      </c>
      <c r="D622">
        <f>IF(Skills!C22=1,60+Inputs!$B$26+Inputs!$B$30,IF(Skills!C22=2,90+Inputs!$B$27+Inputs!$B$30,IF(Skills!C22=3,120+Inputs!$B$28+Inputs!$B$30,MAX(0,(Inputs!$B$3-100)*3)+Inputs!$B$29+Inputs!$B$30)))</f>
        <v/>
      </c>
      <c r="E622">
        <f>INDEX(FactorTable!$B$2:$Y$301, MATCH(ROUND(MIN(300,MAX(1,D622)),0), FactorTable!$A$2:$A$301,0), Skills!L22+1)</f>
        <v/>
      </c>
      <c r="F622">
        <f>IF(Skills!M22=TRUE,(Skills!K22/10)*(E622/1000),Skills!K22/10)+Skills!N22</f>
        <v/>
      </c>
      <c r="G622">
        <f>Calc!G22</f>
        <v/>
      </c>
      <c r="H622">
        <f>Calc!H22</f>
        <v/>
      </c>
      <c r="I622">
        <f>IF(Skills!T22&lt;&gt;"",1+(Skills!T22/10)*($Z$3/1000)/100,1)</f>
        <v/>
      </c>
      <c r="J622" t="inlineStr"/>
      <c r="K622" t="inlineStr"/>
      <c r="L622" t="inlineStr"/>
      <c r="M622" t="inlineStr"/>
      <c r="N622" t="inlineStr"/>
      <c r="O622">
        <f>(1-Summary!$B$11)*S622+Summary!$B$11*U622</f>
        <v/>
      </c>
      <c r="P622">
        <f>IF(B642=0,0,O622/B642)</f>
        <v/>
      </c>
      <c r="Q622">
        <f>IFERROR(1/(IF(Inputs!$B$39="pvp",15,MAX(0.1,Skills!D22-IF(Skills!E22=TRUE,Inputs!$B$33,0)))*(1-IF(AND(ArtifactsInput!$M$27,Inputs!$B$4="Chapter Hunt"),CHOOSE(ArtifactsInput!$N$27+1,20,24,28,32,36,40),0)/100)),0)</f>
        <v/>
      </c>
      <c r="R622" t="n">
        <v>0</v>
      </c>
      <c r="S622" t="n">
        <v>0</v>
      </c>
      <c r="U622" t="n">
        <v>0</v>
      </c>
    </row>
    <row r="623">
      <c r="A623">
        <f>Skills!A23</f>
        <v/>
      </c>
      <c r="B623">
        <f>Skills!B23</f>
        <v/>
      </c>
      <c r="C623">
        <f>Inputs!$B$3&gt;=50</f>
        <v/>
      </c>
      <c r="D623">
        <f>IF(Skills!C23=1,60+Inputs!$B$26+Inputs!$B$30,IF(Skills!C23=2,90+Inputs!$B$27+Inputs!$B$30,IF(Skills!C23=3,120+Inputs!$B$28+Inputs!$B$30,MAX(0,(Inputs!$B$3-100)*3)+Inputs!$B$29+Inputs!$B$30)))</f>
        <v/>
      </c>
      <c r="E623">
        <f>INDEX(FactorTable!$B$2:$Y$301, MATCH(ROUND(MIN(300,MAX(1,D623)),0), FactorTable!$A$2:$A$301,0), Skills!L23+1)</f>
        <v/>
      </c>
      <c r="F623">
        <f>IF(Skills!M23=TRUE,(Skills!K23/10)*(E623/1000),Skills!K23/10)+Skills!N23</f>
        <v/>
      </c>
      <c r="G623">
        <f>Calc!G23</f>
        <v/>
      </c>
      <c r="H623">
        <f>Calc!H23</f>
        <v/>
      </c>
      <c r="I623">
        <f>IF(Skills!T23&lt;&gt;"",1+(Skills!T23/10)*($Z$3/1000)/100,1)</f>
        <v/>
      </c>
      <c r="J623" t="inlineStr"/>
      <c r="K623" t="inlineStr"/>
      <c r="L623" t="inlineStr"/>
      <c r="M623" t="inlineStr"/>
      <c r="N623" t="inlineStr"/>
      <c r="O623">
        <f>(1-Summary!$B$11)*S623+Summary!$B$11*U623</f>
        <v/>
      </c>
      <c r="P623">
        <f>IF(B642=0,0,O623/B642)</f>
        <v/>
      </c>
      <c r="Q623">
        <f>IFERROR(1/(IF(Inputs!$B$39="pvp",15,MAX(0.1,Skills!D23-IF(Skills!E23=TRUE,Inputs!$B$33,0)))*(1-IF(AND(ArtifactsInput!$M$27,Inputs!$B$4="Chapter Hunt"),CHOOSE(ArtifactsInput!$N$27+1,20,24,28,32,36,40),0)/100)),0)</f>
        <v/>
      </c>
      <c r="R623" t="n">
        <v>0</v>
      </c>
      <c r="S623" t="n">
        <v>0</v>
      </c>
      <c r="U623" t="n">
        <v>0</v>
      </c>
    </row>
    <row r="624">
      <c r="A624">
        <f>Skills!A24</f>
        <v/>
      </c>
      <c r="B624">
        <f>Skills!B24</f>
        <v/>
      </c>
      <c r="C624">
        <f>Inputs!$B$3&gt;=74</f>
        <v/>
      </c>
      <c r="D624">
        <f>IF(Skills!C24=1,60+Inputs!$B$26+Inputs!$B$30,IF(Skills!C24=2,90+Inputs!$B$27+Inputs!$B$30,IF(Skills!C24=3,120+Inputs!$B$28+Inputs!$B$30,MAX(0,(Inputs!$B$3-100)*3)+Inputs!$B$29+Inputs!$B$30)))</f>
        <v/>
      </c>
      <c r="E624">
        <f>INDEX(FactorTable!$B$2:$Y$301, MATCH(ROUND(MIN(300,MAX(1,D624)),0), FactorTable!$A$2:$A$301,0), Skills!L24+1)</f>
        <v/>
      </c>
      <c r="F624">
        <f>IF(Skills!M24=TRUE,(Skills!K24/10)*(E624/1000),Skills!K24/10)+Skills!N24</f>
        <v/>
      </c>
      <c r="G624">
        <f>Calc!G24</f>
        <v/>
      </c>
      <c r="H624">
        <f>Calc!H24</f>
        <v/>
      </c>
      <c r="I624">
        <f>IF(Skills!T24&lt;&gt;"",1+(Skills!T24/10)*($Z$3/1000)/100,1)</f>
        <v/>
      </c>
      <c r="J624" t="inlineStr"/>
      <c r="K624" t="inlineStr"/>
      <c r="L624" t="inlineStr"/>
      <c r="M624" t="inlineStr"/>
      <c r="N624" t="inlineStr"/>
      <c r="O624">
        <f>(1-Summary!$B$11)*S624+Summary!$B$11*U624</f>
        <v/>
      </c>
      <c r="P624">
        <f>IF(B642=0,0,O624/B642)</f>
        <v/>
      </c>
      <c r="Q624">
        <f>IFERROR(1/(IF(Inputs!$B$39="pvp",15,MAX(0.1,Skills!D24-IF(Skills!E24=TRUE,Inputs!$B$33,0)))*(1-IF(AND(ArtifactsInput!$M$27,Inputs!$B$4="Chapter Hunt"),CHOOSE(ArtifactsInput!$N$27+1,20,24,28,32,36,40),0)/100)),0)</f>
        <v/>
      </c>
      <c r="R624" t="n">
        <v>0</v>
      </c>
      <c r="S624" t="n">
        <v>0</v>
      </c>
      <c r="U624" t="n">
        <v>0</v>
      </c>
    </row>
    <row r="625">
      <c r="A625">
        <f>Skills!A25</f>
        <v/>
      </c>
      <c r="B625">
        <f>Skills!B25</f>
        <v/>
      </c>
      <c r="C625">
        <f>Inputs!$B$3&gt;=74</f>
        <v/>
      </c>
      <c r="D625">
        <f>IF(Skills!C25=1,60+Inputs!$B$26+Inputs!$B$30,IF(Skills!C25=2,90+Inputs!$B$27+Inputs!$B$30,IF(Skills!C25=3,120+Inputs!$B$28+Inputs!$B$30,MAX(0,(Inputs!$B$3-100)*3)+Inputs!$B$29+Inputs!$B$30)))</f>
        <v/>
      </c>
      <c r="E625">
        <f>INDEX(FactorTable!$B$2:$Y$301, MATCH(ROUND(MIN(300,MAX(1,D625)),0), FactorTable!$A$2:$A$301,0), Skills!L25+1)</f>
        <v/>
      </c>
      <c r="F625">
        <f>IF(Skills!M25=TRUE,(Skills!K25/10)*(E625/1000),Skills!K25/10)+Skills!N25</f>
        <v/>
      </c>
      <c r="G625">
        <f>Calc!G25</f>
        <v/>
      </c>
      <c r="H625">
        <f>Calc!H25</f>
        <v/>
      </c>
      <c r="I625">
        <f>IF(Skills!T25&lt;&gt;"",1+(Skills!T25/10)*($Z$3/1000)/100,1)</f>
        <v/>
      </c>
      <c r="J625" t="inlineStr"/>
      <c r="K625" t="inlineStr"/>
      <c r="L625" t="inlineStr"/>
      <c r="M625" t="inlineStr"/>
      <c r="N625" t="inlineStr"/>
      <c r="O625">
        <f>(1-Summary!$B$11)*S625+Summary!$B$11*U625</f>
        <v/>
      </c>
      <c r="P625">
        <f>IF(B642=0,0,O625/B642)</f>
        <v/>
      </c>
      <c r="Q625">
        <f>IFERROR(1/(IF(Inputs!$B$39="pvp",15,MAX(0.1,Skills!D25-IF(Skills!E25=TRUE,Inputs!$B$33,0)))*(1-IF(AND(ArtifactsInput!$M$27,Inputs!$B$4="Chapter Hunt"),CHOOSE(ArtifactsInput!$N$27+1,20,24,28,32,36,40),0)/100)),0)</f>
        <v/>
      </c>
      <c r="R625" t="n">
        <v>0</v>
      </c>
      <c r="S625" t="n">
        <v>0</v>
      </c>
      <c r="U625" t="n">
        <v>0</v>
      </c>
    </row>
    <row r="626">
      <c r="A626">
        <f>Skills!A26</f>
        <v/>
      </c>
      <c r="B626">
        <f>Skills!B26</f>
        <v/>
      </c>
      <c r="C626">
        <f>Inputs!$B$3&gt;=117</f>
        <v/>
      </c>
      <c r="D626">
        <f>IF(Skills!C26=1,60+Inputs!$B$26+Inputs!$B$30,IF(Skills!C26=2,90+Inputs!$B$27+Inputs!$B$30,IF(Skills!C26=3,120+Inputs!$B$28+Inputs!$B$30,MAX(0,(Inputs!$B$3-100)*3)+Inputs!$B$29+Inputs!$B$30)))</f>
        <v/>
      </c>
      <c r="E626">
        <f>INDEX(FactorTable!$B$2:$Y$301, MATCH(ROUND(MIN(300,MAX(1,D626)),0), FactorTable!$A$2:$A$301,0), Skills!L26+1)</f>
        <v/>
      </c>
      <c r="F626">
        <f>IF(Skills!M26=TRUE,(Skills!K26/10)*(E626/1000),Skills!K26/10)+Skills!N26</f>
        <v/>
      </c>
      <c r="G626">
        <f>Calc!G26</f>
        <v/>
      </c>
      <c r="H626">
        <f>Calc!H26</f>
        <v/>
      </c>
      <c r="I626">
        <f>IF(Skills!T26&lt;&gt;"",1+(Skills!T26/10)*($Z$3/1000)/100,1)</f>
        <v/>
      </c>
      <c r="J626" t="inlineStr"/>
      <c r="K626" t="inlineStr"/>
      <c r="L626" t="inlineStr"/>
      <c r="M626" t="inlineStr"/>
      <c r="N626" t="inlineStr"/>
      <c r="O626">
        <f>(1-Summary!$B$11)*S626+Summary!$B$11*U626</f>
        <v/>
      </c>
      <c r="P626">
        <f>IF(B642=0,0,O626/B642)</f>
        <v/>
      </c>
      <c r="Q626">
        <f>IFERROR(1/(IF(Inputs!$B$39="pvp",15,MAX(0.1,Skills!D26-IF(Skills!E26=TRUE,Inputs!$B$33,0)))*(1-IF(AND(ArtifactsInput!$M$27,Inputs!$B$4="Chapter Hunt"),CHOOSE(ArtifactsInput!$N$27+1,20,24,28,32,36,40),0)/100)),0)</f>
        <v/>
      </c>
      <c r="R626" t="n">
        <v>0</v>
      </c>
      <c r="S626" t="n">
        <v>0</v>
      </c>
      <c r="U626" t="n">
        <v>0</v>
      </c>
    </row>
    <row r="627">
      <c r="A627">
        <f>Skills!A27</f>
        <v/>
      </c>
      <c r="B627">
        <f>Skills!B27</f>
        <v/>
      </c>
      <c r="C627">
        <f>Inputs!$B$3&gt;=120</f>
        <v/>
      </c>
      <c r="D627">
        <f>IF(Skills!C27=1,60+Inputs!$B$26+Inputs!$B$30,IF(Skills!C27=2,90+Inputs!$B$27+Inputs!$B$30,IF(Skills!C27=3,120+Inputs!$B$28+Inputs!$B$30,MAX(0,(Inputs!$B$3-100)*3)+Inputs!$B$29+Inputs!$B$30)))</f>
        <v/>
      </c>
      <c r="E627">
        <f>INDEX(FactorTable!$B$2:$Y$301, MATCH(ROUND(MIN(300,MAX(1,D627)),0), FactorTable!$A$2:$A$301,0), Skills!L27+1)</f>
        <v/>
      </c>
      <c r="F627">
        <f>IF(Skills!M27=TRUE,(Skills!K27/10)*(E627/1000),Skills!K27/10)+Skills!N27</f>
        <v/>
      </c>
      <c r="G627">
        <f>Calc!G27</f>
        <v/>
      </c>
      <c r="H627">
        <f>Calc!H27</f>
        <v/>
      </c>
      <c r="I627">
        <f>IF(Skills!T27&lt;&gt;"",1+(Skills!T27/10)*($Z$3/1000)/100,1)</f>
        <v/>
      </c>
      <c r="J627" t="inlineStr"/>
      <c r="K627" t="inlineStr"/>
      <c r="L627" t="inlineStr"/>
      <c r="M627" t="inlineStr"/>
      <c r="N627" t="inlineStr"/>
      <c r="O627">
        <f>(1-Summary!$B$11)*S627+Summary!$B$11*U627</f>
        <v/>
      </c>
      <c r="P627">
        <f>IF(B642=0,0,O627/B642)</f>
        <v/>
      </c>
      <c r="Q627">
        <f>IFERROR(1/(IF(Inputs!$B$39="pvp",15,MAX(0.1,Skills!D27-IF(Skills!E27=TRUE,Inputs!$B$33,0)))*(1-IF(AND(ArtifactsInput!$M$27,Inputs!$B$4="Chapter Hunt"),CHOOSE(ArtifactsInput!$N$27+1,20,24,28,32,36,40),0)/100)),0)</f>
        <v/>
      </c>
      <c r="R627" t="n">
        <v>0</v>
      </c>
      <c r="S627" t="n">
        <v>0</v>
      </c>
      <c r="U627" t="n">
        <v>0</v>
      </c>
    </row>
    <row r="629">
      <c r="A629" t="inlineStr">
        <is>
          <t>Average Buff Multiplier</t>
        </is>
      </c>
      <c r="B629">
        <f>(1+(IF(C603=TRUE,F603*IF(AND(Inputs!$B$39&lt;&gt;"pvp",Inputs!$B$44&gt;0),(((R603-1)*(Skills!S3*(1+((Inputs!$B$35+(ArtifactsInput!$M$7-ArtifactsInput!$M$7)*CHOOSE(ArtifactsInput!$N$7+1,6,7.2,8.4,9.6,10.8,12))+IF(Inputs!$B$3&gt;=117,F626,0))/100))+MIN((Skills!S3*(1+((Inputs!$B$35+(ArtifactsInput!$M$7-ArtifactsInput!$M$7)*CHOOSE(ArtifactsInput!$N$7+1,6,7.2,8.4,9.6,10.8,12))+IF(Inputs!$B$3&gt;=117,F626,0))/100)),MAX(0,Inputs!$B$44-((R603-1)*Skills!D3))))/Inputs!$B$44),IF(Inputs!$B$39="pvp",MIN((Skills!S3*(1+((Inputs!$B$35+(ArtifactsInput!$M$7-ArtifactsInput!$M$7)*CHOOSE(ArtifactsInput!$N$7+1,6,7.2,8.4,9.6,10.8,12))+IF(Inputs!$B$3&gt;=117,F626,0))/100)),15)/15,(Skills!S3*(1+((Inputs!$B$35+(ArtifactsInput!$M$7-ArtifactsInput!$M$7)*CHOOSE(ArtifactsInput!$N$7+1,6,7.2,8.4,9.6,10.8,12))+IF(Inputs!$B$3&gt;=117,F626,0))/100))/Skills!D3)),0)+IF(C604=TRUE,F604*IF(AND(Inputs!$B$39&lt;&gt;"pvp",Inputs!$B$44&gt;0),(((R604-1)*(Skills!S4*(1+((Inputs!$B$35+(ArtifactsInput!$M$7-ArtifactsInput!$M$7)*CHOOSE(ArtifactsInput!$N$7+1,6,7.2,8.4,9.6,10.8,12))+IF(Inputs!$B$3&gt;=117,F626,0))/100))+MIN((Skills!S4*(1+((Inputs!$B$35+(ArtifactsInput!$M$7-ArtifactsInput!$M$7)*CHOOSE(ArtifactsInput!$N$7+1,6,7.2,8.4,9.6,10.8,12))+IF(Inputs!$B$3&gt;=117,F626,0))/100)),MAX(0,Inputs!$B$44-((R604-1)*Skills!D4))))/Inputs!$B$44),IF(Inputs!$B$39="pvp",MIN((Skills!S4*(1+((Inputs!$B$35+(ArtifactsInput!$M$7-ArtifactsInput!$M$7)*CHOOSE(ArtifactsInput!$N$7+1,6,7.2,8.4,9.6,10.8,12))+IF(Inputs!$B$3&gt;=117,F626,0))/100)),15)/15,(Skills!S4*(1+((Inputs!$B$35+(ArtifactsInput!$M$7-ArtifactsInput!$M$7)*CHOOSE(ArtifactsInput!$N$7+1,6,7.2,8.4,9.6,10.8,12))+IF(Inputs!$B$3&gt;=117,F626,0))/100))/Skills!D4)),0)+IF(C605=TRUE,F605*IF(AND(Inputs!$B$39&lt;&gt;"pvp",Inputs!$B$44&gt;0),(((R605-1)*(Skills!S5*(1+((Inputs!$B$35+(ArtifactsInput!$M$7-ArtifactsInput!$M$7)*CHOOSE(ArtifactsInput!$N$7+1,6,7.2,8.4,9.6,10.8,12))+IF(Inputs!$B$3&gt;=117,F626,0))/100))+MIN((Skills!S5*(1+((Inputs!$B$35+(ArtifactsInput!$M$7-ArtifactsInput!$M$7)*CHOOSE(ArtifactsInput!$N$7+1,6,7.2,8.4,9.6,10.8,12))+IF(Inputs!$B$3&gt;=117,F626,0))/100)),MAX(0,Inputs!$B$44-((R605-1)*Skills!D5))))/Inputs!$B$44),IF(Inputs!$B$39="pvp",MIN((Skills!S5*(1+((Inputs!$B$35+(ArtifactsInput!$M$7-ArtifactsInput!$M$7)*CHOOSE(ArtifactsInput!$N$7+1,6,7.2,8.4,9.6,10.8,12))+IF(Inputs!$B$3&gt;=117,F626,0))/100)),15)/15,(Skills!S5*(1+((Inputs!$B$35+(ArtifactsInput!$M$7-ArtifactsInput!$M$7)*CHOOSE(ArtifactsInput!$N$7+1,6,7.2,8.4,9.6,10.8,12))+IF(Inputs!$B$3&gt;=117,F626,0))/100))/Skills!D5)),0)+IF(C611=TRUE,F611*IF(AND(Inputs!$B$39&lt;&gt;"pvp",Inputs!$B$44&gt;0),(((R611-1)*(Skills!S11*(1+((Inputs!$B$35+(ArtifactsInput!$M$7-ArtifactsInput!$M$7)*CHOOSE(ArtifactsInput!$N$7+1,6,7.2,8.4,9.6,10.8,12))+IF(Inputs!$B$3&gt;=117,F626,0))/100))+MIN((Skills!S11*(1+((Inputs!$B$35+(ArtifactsInput!$M$7-ArtifactsInput!$M$7)*CHOOSE(ArtifactsInput!$N$7+1,6,7.2,8.4,9.6,10.8,12))+IF(Inputs!$B$3&gt;=117,F626,0))/100)),MAX(0,Inputs!$B$44-((R611-1)*Skills!D11))))/Inputs!$B$44),IF(Inputs!$B$39="pvp",MIN((Skills!S11*(1+((Inputs!$B$35+(ArtifactsInput!$M$7-ArtifactsInput!$M$7)*CHOOSE(ArtifactsInput!$N$7+1,6,7.2,8.4,9.6,10.8,12))+IF(Inputs!$B$3&gt;=117,F626,0))/100)),15)/15,(Skills!S11*(1+((Inputs!$B$35+(ArtifactsInput!$M$7-ArtifactsInput!$M$7)*CHOOSE(ArtifactsInput!$N$7+1,6,7.2,8.4,9.6,10.8,12))+IF(Inputs!$B$3&gt;=117,F626,0)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614=TRUE,(1+F614*IF(AND(Inputs!$B$39&lt;&gt;"pvp",Inputs!$B$44&gt;0),(((R614-1)*(Skills!S14*(1+((Inputs!$B$35+(ArtifactsInput!$M$7-ArtifactsInput!$M$7)*CHOOSE(ArtifactsInput!$N$7+1,6,7.2,8.4,9.6,10.8,12))+IF(Inputs!$B$3&gt;=117,F626,0))/100))+MIN((Skills!S14*(1+((Inputs!$B$35+(ArtifactsInput!$M$7-ArtifactsInput!$M$7)*CHOOSE(ArtifactsInput!$N$7+1,6,7.2,8.4,9.6,10.8,12))+IF(Inputs!$B$3&gt;=117,F626,0))/100)),MAX(0,Inputs!$B$44-((R614-1)*Skills!D14))))/Inputs!$B$44),IF(Inputs!$B$39="pvp",MIN((Skills!S14*(1+((Inputs!$B$35+(ArtifactsInput!$M$7-ArtifactsInput!$M$7)*CHOOSE(ArtifactsInput!$N$7+1,6,7.2,8.4,9.6,10.8,12))+IF(Inputs!$B$3&gt;=117,F626,0))/100)),15)/15,(Skills!S14*(1+((Inputs!$B$35+(ArtifactsInput!$M$7-ArtifactsInput!$M$7)*CHOOSE(ArtifactsInput!$N$7+1,6,7.2,8.4,9.6,10.8,12))+IF(Inputs!$B$3&gt;=117,F626,0))/100))/Skills!D14))/100),1)*IF(C619=TRUE,(1+F619*IF(AND(Inputs!$B$39&lt;&gt;"pvp",Inputs!$B$44&gt;0),(((R619-1)*(Skills!S19*(1+((Inputs!$B$35+(ArtifactsInput!$M$7-ArtifactsInput!$M$7)*CHOOSE(ArtifactsInput!$N$7+1,6,7.2,8.4,9.6,10.8,12))+IF(Inputs!$B$3&gt;=117,F626,0))/100))+MIN((Skills!S19*(1+((Inputs!$B$35+(ArtifactsInput!$M$7-ArtifactsInput!$M$7)*CHOOSE(ArtifactsInput!$N$7+1,6,7.2,8.4,9.6,10.8,12))+IF(Inputs!$B$3&gt;=117,F626,0))/100)),MAX(0,Inputs!$B$44-((R619-1)*Skills!D19))))/Inputs!$B$44),IF(Inputs!$B$39="pvp",MIN((Skills!S19*(1+((Inputs!$B$35+(ArtifactsInput!$M$7-ArtifactsInput!$M$7)*CHOOSE(ArtifactsInput!$N$7+1,6,7.2,8.4,9.6,10.8,12))+IF(Inputs!$B$3&gt;=117,F626,0))/100)),15)/15,(Skills!S19*(1+((Inputs!$B$35+(ArtifactsInput!$M$7-ArtifactsInput!$M$7)*CHOOSE(ArtifactsInput!$N$7+1,6,7.2,8.4,9.6,10.8,12))+IF(Inputs!$B$3&gt;=117,F626,0))/100))/Skills!D19))/100),1)</f>
        <v/>
      </c>
    </row>
    <row r="630">
      <c r="A630" t="inlineStr">
        <is>
          <t>Monster Damage Taken Bonus % (Holy Fountain)</t>
        </is>
      </c>
      <c r="B630">
        <f>IF(Inputs!$B$3&gt;=68,20*IF(Inputs!$B$39="pvp",MIN((15*(1+((Inputs!$B$35+(ArtifactsInput!$M$7-ArtifactsInput!$M$7)*CHOOSE(ArtifactsInput!$N$7+1,6,7.2,8.4,9.6,10.8,12))+IF(Inputs!$B$3&gt;=117,F626,0))/100)),15)/15,(15*(1+((Inputs!$B$35+(ArtifactsInput!$M$7-ArtifactsInput!$M$7)*CHOOSE(ArtifactsInput!$N$7+1,6,7.2,8.4,9.6,10.8,12))+IF(Inputs!$B$3&gt;=117,F626,0))/100))/Skills!D10),0)</f>
        <v/>
      </c>
    </row>
    <row r="631">
      <c r="A631" t="inlineStr">
        <is>
          <t>Normal Monster Damage Bonus % (Holy Symbol)</t>
        </is>
      </c>
      <c r="B631">
        <f>IF(C612=TRUE,F612*IF(AND(Inputs!$B$39&lt;&gt;"pvp",Inputs!$B$44&gt;0),(((R612-1)*(Skills!S12*(1+((Inputs!$B$35+(ArtifactsInput!$M$7-ArtifactsInput!$M$7)*CHOOSE(ArtifactsInput!$N$7+1,6,7.2,8.4,9.6,10.8,12))+IF(Inputs!$B$3&gt;=117,F626,0))/100))+MIN((Skills!S12*(1+((Inputs!$B$35+(ArtifactsInput!$M$7-ArtifactsInput!$M$7)*CHOOSE(ArtifactsInput!$N$7+1,6,7.2,8.4,9.6,10.8,12))+IF(Inputs!$B$3&gt;=117,F626,0))/100)),MAX(0,Inputs!$B$44-((R612-1)*Skills!D12))))/Inputs!$B$44),IF(Inputs!$B$39="pvp",MIN((Skills!S12*(1+((Inputs!$B$35+(ArtifactsInput!$M$7-ArtifactsInput!$M$7)*CHOOSE(ArtifactsInput!$N$7+1,6,7.2,8.4,9.6,10.8,12))+IF(Inputs!$B$3&gt;=117,F626,0))/100)),15)/15,(Skills!S12*(1+((Inputs!$B$35+(ArtifactsInput!$M$7-ArtifactsInput!$M$7)*CHOOSE(ArtifactsInput!$N$7+1,6,7.2,8.4,9.6,10.8,12))+IF(Inputs!$B$3&gt;=117,F626,0))/100))/Skills!D12)),0)</f>
        <v/>
      </c>
    </row>
    <row r="632">
      <c r="A632" t="inlineStr">
        <is>
          <t>Damage % Bonus (Holy Symbol - Damage Boost)</t>
        </is>
      </c>
      <c r="B632">
        <f>Skills!O12</f>
        <v/>
      </c>
    </row>
    <row r="633">
      <c r="A633" t="inlineStr">
        <is>
          <t>Crit Damage % Bonus (Blood of the Divine)</t>
        </is>
      </c>
      <c r="B633">
        <f>4*IF(C620=TRUE,F620,0)</f>
        <v/>
      </c>
    </row>
    <row r="634">
      <c r="A634" t="inlineStr">
        <is>
          <t>Attack Speed Bonus %</t>
        </is>
      </c>
      <c r="B634">
        <f>IF(C617=TRUE,F617+(F621-Calc!F21),0)+IF(Inputs!$B$3&gt;=134,15,0)</f>
        <v/>
      </c>
    </row>
    <row r="635">
      <c r="A635" t="inlineStr">
        <is>
          <t>Actions Per Second</t>
        </is>
      </c>
      <c r="B635">
        <f>1+MIN(150,150*(1-(1-Inputs!$B$12/150)*(1-B634/150)))/100</f>
        <v/>
      </c>
    </row>
    <row r="636">
      <c r="A636" t="inlineStr">
        <is>
          <t>Skill + Buff Cast Rate</t>
        </is>
      </c>
      <c r="B636">
        <f>IF(AND(Inputs!$B$39&lt;&gt;"pvp",Inputs!$B$44&gt;0),SUMPRODUCT((Skills!E2:E27=TRUE)*(C602:C627=TRUE)*R602:R627)/Inputs!$B$44,SUMPRODUCT((Skills!E2:E27=TRUE)*(C602:C627=TRUE)*Q602:Q627))</f>
        <v/>
      </c>
    </row>
    <row r="637">
      <c r="A637" t="inlineStr">
        <is>
          <t>Big Bang Casts Per Second</t>
        </is>
      </c>
      <c r="B637">
        <f>MAX(0,B635-B636)</f>
        <v/>
      </c>
    </row>
    <row r="638">
      <c r="A638" t="inlineStr">
        <is>
          <t>Defense % Bonus (Divine Protection)</t>
        </is>
      </c>
      <c r="B638">
        <f>IF(C613=TRUE,F613*IF(AND(Inputs!$B$39&lt;&gt;"pvp",Inputs!$B$44&gt;0),(((R613-1)*(Skills!S13*(1+((Inputs!$B$35+(ArtifactsInput!$M$7-ArtifactsInput!$M$7)*CHOOSE(ArtifactsInput!$N$7+1,6,7.2,8.4,9.6,10.8,12))+IF(Inputs!$B$3&gt;=117,F626,0))/100))+MIN((Skills!S13*(1+((Inputs!$B$35+(ArtifactsInput!$M$7-ArtifactsInput!$M$7)*CHOOSE(ArtifactsInput!$N$7+1,6,7.2,8.4,9.6,10.8,12))+IF(Inputs!$B$3&gt;=117,F626,0))/100)),MAX(0,Inputs!$B$44-((R613-1)*Skills!D13))))/Inputs!$B$44),IF(Inputs!$B$39="pvp",MIN((Skills!S13*(1+((Inputs!$B$35+(ArtifactsInput!$M$7-ArtifactsInput!$M$7)*CHOOSE(ArtifactsInput!$N$7+1,6,7.2,8.4,9.6,10.8,12))+IF(Inputs!$B$3&gt;=117,F626,0))/100)),15)/15,(Skills!S13*(1+((Inputs!$B$35+(ArtifactsInput!$M$7-ArtifactsInput!$M$7)*CHOOSE(ArtifactsInput!$N$7+1,6,7.2,8.4,9.6,10.8,12))+IF(Inputs!$B$3&gt;=117,F626,0))/100))/Skills!D13)),0)</f>
        <v/>
      </c>
    </row>
    <row r="639">
      <c r="A639" t="inlineStr">
        <is>
          <t>Buff-Casting Startup Delay (s, fixed-duration only)</t>
        </is>
      </c>
      <c r="B639">
        <f>IF(AND(Inputs!$B$39&lt;&gt;"pvp",Inputs!$B$44&gt;0),SUMPRODUCT((Skills!S2:S27&gt;0)*(Skills!E2:E27=TRUE)*(C602:C627=TRUE))/B635,0)</f>
        <v/>
      </c>
    </row>
    <row r="640">
      <c r="A640" t="inlineStr">
        <is>
          <t>Boss-Only Total DPS (this block's swept value)</t>
        </is>
      </c>
      <c r="B640">
        <f>SUM(S602:S627)</f>
        <v/>
      </c>
    </row>
    <row r="641">
      <c r="A641" t="inlineStr">
        <is>
          <t>Normal-Only Total DPS (this block's swept value)</t>
        </is>
      </c>
      <c r="B641">
        <f>SUM(U602:U627)</f>
        <v/>
      </c>
    </row>
    <row r="642">
      <c r="A642" s="6" t="inlineStr">
        <is>
          <t>TOTAL DPS</t>
        </is>
      </c>
      <c r="B642" s="6">
        <f>SUM(O602:O627)</f>
        <v/>
      </c>
    </row>
    <row r="644">
      <c r="A644" s="6" t="inlineStr">
        <is>
          <t>Stat: ATTACK_SPEED % (diminishing returns, factor 150)</t>
        </is>
      </c>
    </row>
    <row r="645">
      <c r="A645" s="5" t="inlineStr">
        <is>
          <t>Key</t>
        </is>
      </c>
      <c r="B645" s="5" t="inlineStr">
        <is>
          <t>Name</t>
        </is>
      </c>
      <c r="C645" s="5" t="inlineStr">
        <is>
          <t>Unlocked</t>
        </is>
      </c>
      <c r="D645" s="5" t="inlineStr">
        <is>
          <t>InputLevel</t>
        </is>
      </c>
      <c r="E645" s="5" t="inlineStr">
        <is>
          <t>Factor</t>
        </is>
      </c>
      <c r="F645" s="5" t="inlineStr">
        <is>
          <t>CoefficientPercent</t>
        </is>
      </c>
      <c r="G645" s="5" t="inlineStr">
        <is>
          <t>EffectiveHits</t>
        </is>
      </c>
      <c r="H645" s="5" t="inlineStr">
        <is>
          <t>ProcProbability</t>
        </is>
      </c>
      <c r="I645" s="5" t="inlineStr">
        <is>
          <t>MapleHeroMultiplier</t>
        </is>
      </c>
      <c r="J645" s="5" t="inlineStr">
        <is>
          <t>BaseDamage</t>
        </is>
      </c>
      <c r="K645" s="5" t="inlineStr">
        <is>
          <t>BaseHitDamage</t>
        </is>
      </c>
      <c r="L645" s="5" t="inlineStr">
        <is>
          <t>NonCritAvg</t>
        </is>
      </c>
      <c r="M645" s="5" t="inlineStr">
        <is>
          <t>CritAvg</t>
        </is>
      </c>
      <c r="N645" s="5" t="inlineStr">
        <is>
          <t>ExpectedDamage(perHit)</t>
        </is>
      </c>
      <c r="O645" s="5" t="inlineStr">
        <is>
          <t>DPS</t>
        </is>
      </c>
      <c r="P645" s="5" t="inlineStr">
        <is>
          <t>% of Total</t>
        </is>
      </c>
      <c r="R645" t="inlineStr">
        <is>
          <t>helpers</t>
        </is>
      </c>
    </row>
    <row r="646">
      <c r="A646">
        <f>Skills!A2</f>
        <v/>
      </c>
      <c r="B646">
        <f>Skills!B2</f>
        <v/>
      </c>
      <c r="C646">
        <f>Inputs!$B$3&gt;=100</f>
        <v/>
      </c>
      <c r="D646" t="inlineStr"/>
      <c r="E646" t="inlineStr"/>
      <c r="F646">
        <f>T648+Skills!N2</f>
        <v/>
      </c>
      <c r="G646">
        <f>Calc!G2</f>
        <v/>
      </c>
      <c r="H646">
        <f>Calc!H2</f>
        <v/>
      </c>
      <c r="I646">
        <f>IF(Skills!T2&lt;&gt;"",1+(Skills!T2/10)*($Z$3/1000)/100,1)</f>
        <v/>
      </c>
      <c r="J646">
        <f>((Inputs!$B$6*(1+Inputs!$B$7/100))+(((Inputs!$B$13*(1+Inputs!$B$14/100))-(Inputs!$B$13*(1+Inputs!$B$14/100)))+0.25*(Inputs!$B$15-Inputs!$B$15))*(1+Inputs!$B$7/100))*(F646/100)</f>
        <v/>
      </c>
      <c r="K646">
        <f>J646*(1+(((Inputs!$B$13+IF(Inputs!$B$3&gt;=35,(10*INDEX(FactorTable!$B$2:$Y$301,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2="TRIUMPH_FEATHER",IF(C660=TRUE,F660,0),0)/100)*(1+IF(C671=TRUE,F671,0)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646)</f>
        <v/>
      </c>
      <c r="L646">
        <f>K646*(MIN(Inputs!$B$23+(F666-Calc!F22),(Inputs!$B$24+IF(ArtifactsInput!$M$15,CHOOSE(ArtifactsInput!$N$15+1,25,30,35,40,45,50)/100*(((1-(1-Inputs!$B$12/150)*(1-1/150))*150)-Inputs!$B$12),0)))/100+(Inputs!$B$24+IF(ArtifactsInput!$M$15,CHOOSE(ArtifactsInput!$N$15+1,25,30,35,40,45,50)/100*(((1-(1-Inputs!$B$12/150)*(1-1/150))*150)-Inputs!$B$12),0))/100)/2</f>
        <v/>
      </c>
      <c r="M646">
        <f>L646*(1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46">
        <f>L646*(1-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646*(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6">
        <f>(1-Summary!$B$11)*S646+Summary!$B$11*U646</f>
        <v/>
      </c>
      <c r="P646">
        <f>IF(B686=0,0,O646/B686)</f>
        <v/>
      </c>
      <c r="Q646">
        <f>IFERROR(1/(IF(Inputs!$B$39="pvp",15,MAX(0.1,Skills!D2-IF(Skills!E2=TRUE,Inputs!$B$33,0)))*(1-IF(AND(ArtifactsInput!$M$27,Inputs!$B$4="Chapter Hunt"),CHOOSE(ArtifactsInput!$N$27+1,20,24,28,32,36,40),0)/100)),0)</f>
        <v/>
      </c>
      <c r="R646" t="n">
        <v>0</v>
      </c>
      <c r="S646">
        <f>IF(C646,(Skills!F2*N646*B681)*IF(Inputs!$B$39="pvp",1,1+(Inputs!$B$21+Skills!O2+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646*(1-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646*(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646*(1-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646*(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46">
        <f>MAX(0,(Inputs!$B$3-100)*3)+Inputs!$B$29+Inputs!$B$30</f>
        <v/>
      </c>
      <c r="U646">
        <f>IF(C646,(Skills!F2*N646*B681)*IF(Inputs!$B$39="pvp",1,(1+(Inputs!$B$22+Skills!P2+B675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7">
      <c r="A647">
        <f>Skills!A3</f>
        <v/>
      </c>
      <c r="B647">
        <f>Skills!B3</f>
        <v/>
      </c>
      <c r="C647">
        <f>Inputs!$B$3&gt;=15</f>
        <v/>
      </c>
      <c r="D647">
        <f>IF(Skills!C3=1,60+Inputs!$B$26+Inputs!$B$30,IF(Skills!C3=2,90+Inputs!$B$27+Inputs!$B$30,IF(Skills!C3=3,120+Inputs!$B$28+Inputs!$B$30,MAX(0,(Inputs!$B$3-100)*3)+Inputs!$B$29+Inputs!$B$30)))</f>
        <v/>
      </c>
      <c r="E647">
        <f>INDEX(FactorTable!$B$2:$Y$301, MATCH(ROUND(MIN(300,MAX(1,D647)),0), FactorTable!$A$2:$A$301,0), Skills!L3+1)</f>
        <v/>
      </c>
      <c r="F647">
        <f>IF(Skills!M3=TRUE,(Skills!K3/10)*(E647/1000),Skills!K3/10)+Skills!N3</f>
        <v/>
      </c>
      <c r="G647">
        <f>Calc!G3</f>
        <v/>
      </c>
      <c r="H647">
        <f>Calc!H3</f>
        <v/>
      </c>
      <c r="I647">
        <f>IF(Skills!T3&lt;&gt;"",1+(Skills!T3/10)*($Z$3/1000)/100,1)</f>
        <v/>
      </c>
      <c r="J647" t="inlineStr"/>
      <c r="K647" t="inlineStr"/>
      <c r="L647" t="inlineStr"/>
      <c r="M647" t="inlineStr"/>
      <c r="N647" t="inlineStr"/>
      <c r="O647">
        <f>(1-Summary!$B$11)*S647+Summary!$B$11*U647</f>
        <v/>
      </c>
      <c r="P647">
        <f>IF(B686=0,0,O647/B686)</f>
        <v/>
      </c>
      <c r="Q647">
        <f>IFERROR(1/(IF(Inputs!$B$39="pvp",15,MAX(0.1,Skills!D3-IF(Skills!E3=TRUE,Inputs!$B$33,0)))*(1-IF(AND(ArtifactsInput!$M$27,Inputs!$B$4="Chapter Hunt"),CHOOSE(ArtifactsInput!$N$27+1,20,24,28,32,36,40),0)/100)),0)</f>
        <v/>
      </c>
      <c r="R647">
        <f>IF(AND(Inputs!$B$39&lt;&gt;"pvp",Inputs!$B$44&gt;0),IF(Inputs!$B$44&lt;=0,0,(INT(Inputs!$B$44/(IF(Inputs!$B$39="pvp",15,MAX(0.1,Skills!D3-IF(Skills!E3=TRUE,Inputs!$B$33,0)))*(1-IF(AND(ArtifactsInput!$M$27,Inputs!$B$4="Chapter Hunt"),CHOOSE(ArtifactsInput!$N$27+1,20,24,28,32,36,40),0)/100)))+1)),0)</f>
        <v/>
      </c>
      <c r="S647" t="n">
        <v>0</v>
      </c>
      <c r="T647">
        <f>INDEX(FactorTable!$B$2:$Y$301, MATCH(ROUND(MIN(300,MAX(1,T646)),0), FactorTable!$A$2:$A$301,0), 22)</f>
        <v/>
      </c>
      <c r="U647" t="n">
        <v>0</v>
      </c>
    </row>
    <row r="648">
      <c r="A648">
        <f>Skills!A4</f>
        <v/>
      </c>
      <c r="B648">
        <f>Skills!B4</f>
        <v/>
      </c>
      <c r="C648">
        <f>Inputs!$B$3&gt;=38</f>
        <v/>
      </c>
      <c r="D648">
        <f>IF(Skills!C4=1,60+Inputs!$B$26+Inputs!$B$30,IF(Skills!C4=2,90+Inputs!$B$27+Inputs!$B$30,IF(Skills!C4=3,120+Inputs!$B$28+Inputs!$B$30,MAX(0,(Inputs!$B$3-100)*3)+Inputs!$B$29+Inputs!$B$30)))</f>
        <v/>
      </c>
      <c r="E648">
        <f>INDEX(FactorTable!$B$2:$Y$301, MATCH(ROUND(MIN(300,MAX(1,D648)),0), FactorTable!$A$2:$A$301,0), Skills!L4+1)</f>
        <v/>
      </c>
      <c r="F648">
        <f>IF(Skills!M4=TRUE,(Skills!K4/10)*(E648/1000),Skills!K4/10)+Skills!N4</f>
        <v/>
      </c>
      <c r="G648">
        <f>Calc!G4</f>
        <v/>
      </c>
      <c r="H648">
        <f>Calc!H4</f>
        <v/>
      </c>
      <c r="I648">
        <f>IF(Skills!T4&lt;&gt;"",1+(Skills!T4/10)*($Z$3/1000)/100,1)</f>
        <v/>
      </c>
      <c r="J648" t="inlineStr"/>
      <c r="K648" t="inlineStr"/>
      <c r="L648" t="inlineStr"/>
      <c r="M648" t="inlineStr"/>
      <c r="N648" t="inlineStr"/>
      <c r="O648">
        <f>(1-Summary!$B$11)*S648+Summary!$B$11*U648</f>
        <v/>
      </c>
      <c r="P648">
        <f>IF(B686=0,0,O648/B686)</f>
        <v/>
      </c>
      <c r="Q648">
        <f>IFERROR(1/(IF(Inputs!$B$39="pvp",15,MAX(0.1,Skills!D4-IF(Skills!E4=TRUE,Inputs!$B$33,0)))*(1-IF(AND(ArtifactsInput!$M$27,Inputs!$B$4="Chapter Hunt"),CHOOSE(ArtifactsInput!$N$27+1,20,24,28,32,36,40),0)/100)),0)</f>
        <v/>
      </c>
      <c r="R648">
        <f>IF(AND(Inputs!$B$39&lt;&gt;"pvp",Inputs!$B$44&gt;0),IF(Inputs!$B$44&lt;=0,0,(INT(Inputs!$B$44/(IF(Inputs!$B$39="pvp",15,MAX(0.1,Skills!D4-IF(Skills!E4=TRUE,Inputs!$B$33,0)))*(1-IF(AND(ArtifactsInput!$M$27,Inputs!$B$4="Chapter Hunt"),CHOOSE(ArtifactsInput!$N$27+1,20,24,28,32,36,40),0)/100)))+1)),0)</f>
        <v/>
      </c>
      <c r="S648" t="n">
        <v>0</v>
      </c>
      <c r="T648">
        <f>290*T647/1000</f>
        <v/>
      </c>
      <c r="U648" t="n">
        <v>0</v>
      </c>
    </row>
    <row r="649">
      <c r="A649">
        <f>Skills!A5</f>
        <v/>
      </c>
      <c r="B649">
        <f>Skills!B5</f>
        <v/>
      </c>
      <c r="C649">
        <f>Inputs!$B$3&gt;=40</f>
        <v/>
      </c>
      <c r="D649">
        <f>IF(Skills!C5=1,60+Inputs!$B$26+Inputs!$B$30,IF(Skills!C5=2,90+Inputs!$B$27+Inputs!$B$30,IF(Skills!C5=3,120+Inputs!$B$28+Inputs!$B$30,MAX(0,(Inputs!$B$3-100)*3)+Inputs!$B$29+Inputs!$B$30)))</f>
        <v/>
      </c>
      <c r="E649">
        <f>INDEX(FactorTable!$B$2:$Y$301, MATCH(ROUND(MIN(300,MAX(1,D649)),0), FactorTable!$A$2:$A$301,0), Skills!L5+1)</f>
        <v/>
      </c>
      <c r="F649">
        <f>IF(Skills!M5=TRUE,(Skills!K5/10)*(E649/1000),Skills!K5/10)+Skills!N5</f>
        <v/>
      </c>
      <c r="G649">
        <f>Calc!G5</f>
        <v/>
      </c>
      <c r="H649">
        <f>Calc!H5</f>
        <v/>
      </c>
      <c r="I649">
        <f>IF(Skills!T5&lt;&gt;"",1+(Skills!T5/10)*($Z$3/1000)/100,1)</f>
        <v/>
      </c>
      <c r="J649" t="inlineStr"/>
      <c r="K649" t="inlineStr"/>
      <c r="L649" t="inlineStr"/>
      <c r="M649" t="inlineStr"/>
      <c r="N649" t="inlineStr"/>
      <c r="O649">
        <f>(1-Summary!$B$11)*S649+Summary!$B$11*U649</f>
        <v/>
      </c>
      <c r="P649">
        <f>IF(B686=0,0,O649/B686)</f>
        <v/>
      </c>
      <c r="Q649">
        <f>IFERROR(1/(IF(Inputs!$B$39="pvp",15,MAX(0.1,Skills!D5-IF(Skills!E5=TRUE,Inputs!$B$33,0)))*(1-IF(AND(ArtifactsInput!$M$27,Inputs!$B$4="Chapter Hunt"),CHOOSE(ArtifactsInput!$N$27+1,20,24,28,32,36,40),0)/100)),0)</f>
        <v/>
      </c>
      <c r="R649">
        <f>IF(AND(Inputs!$B$39&lt;&gt;"pvp",Inputs!$B$44&gt;0),IF(Inputs!$B$44&lt;=0,0,(INT(Inputs!$B$44/(IF(Inputs!$B$39="pvp",15,MAX(0.1,Skills!D5-IF(Skills!E5=TRUE,Inputs!$B$33,0)))*(1-IF(AND(ArtifactsInput!$M$27,Inputs!$B$4="Chapter Hunt"),CHOOSE(ArtifactsInput!$N$27+1,20,24,28,32,36,40),0)/100)))+1)),0)</f>
        <v/>
      </c>
      <c r="S649" t="n">
        <v>0</v>
      </c>
      <c r="U649" t="n">
        <v>0</v>
      </c>
    </row>
    <row r="650">
      <c r="A650">
        <f>Skills!A6</f>
        <v/>
      </c>
      <c r="B650">
        <f>Skills!B6</f>
        <v/>
      </c>
      <c r="C650">
        <f>Inputs!$B$3&gt;=103</f>
        <v/>
      </c>
      <c r="D650">
        <f>IF(Skills!C6=1,60+Inputs!$B$26+Inputs!$B$30,IF(Skills!C6=2,90+Inputs!$B$27+Inputs!$B$30,IF(Skills!C6=3,120+Inputs!$B$28+Inputs!$B$30,MAX(0,(Inputs!$B$3-100)*3)+Inputs!$B$29+Inputs!$B$30)))</f>
        <v/>
      </c>
      <c r="E650">
        <f>INDEX(FactorTable!$B$2:$Y$301, MATCH(ROUND(MIN(300,MAX(1,D650)),0), FactorTable!$A$2:$A$301,0), Skills!L6+1)</f>
        <v/>
      </c>
      <c r="F650">
        <f>IF(Skills!M6=TRUE,(Skills!K6/10)*(E650/1000),Skills!K6/10)+Skills!N6</f>
        <v/>
      </c>
      <c r="G650">
        <f>Calc!G6</f>
        <v/>
      </c>
      <c r="H650">
        <f>Calc!H6</f>
        <v/>
      </c>
      <c r="I650">
        <f>IF(Skills!T6&lt;&gt;"",1+(Skills!T6/10)*($Z$3/1000)/100,1)</f>
        <v/>
      </c>
      <c r="J650">
        <f>((Inputs!$B$6*(1+Inputs!$B$7/100))+(((Inputs!$B$13*(1+Inputs!$B$14/100))-(Inputs!$B$13*(1+Inputs!$B$14/100)))+0.25*(Inputs!$B$15-Inputs!$B$15))*(1+Inputs!$B$7/100))*(F650/100)</f>
        <v/>
      </c>
      <c r="K650">
        <f>J650*(1+(((Inputs!$B$13+IF(Inputs!$B$3&gt;=35,(10*INDEX(FactorTable!$B$2:$Y$301,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6="TRIUMPH_FEATHER",IF(C660=TRUE,F660,0),0)/100)*(1+IF(C671=TRUE,F671,0)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650)</f>
        <v/>
      </c>
      <c r="L650">
        <f>K650*(MIN(Inputs!$B$23+(F666-Calc!F22),(Inputs!$B$24+IF(ArtifactsInput!$M$15,CHOOSE(ArtifactsInput!$N$15+1,25,30,35,40,45,50)/100*(((1-(1-Inputs!$B$12/150)*(1-1/150))*150)-Inputs!$B$12),0)))/100+(Inputs!$B$24+IF(ArtifactsInput!$M$15,CHOOSE(ArtifactsInput!$N$15+1,25,30,35,40,45,50)/100*(((1-(1-Inputs!$B$12/150)*(1-1/150))*150)-Inputs!$B$12),0))/100)/2</f>
        <v/>
      </c>
      <c r="M650">
        <f>L650*(1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0">
        <f>L650*(1-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650*(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0">
        <f>(1-Summary!$B$11)*S650+Summary!$B$11*U650</f>
        <v/>
      </c>
      <c r="P650">
        <f>IF(B686=0,0,O650/B686)</f>
        <v/>
      </c>
      <c r="Q650">
        <f>IFERROR(1/(IF(Inputs!$B$39="pvp",15,MAX(0.1,Skills!D6-IF(Skills!E6=TRUE,Inputs!$B$33,0)))*(1-IF(AND(ArtifactsInput!$M$27,Inputs!$B$4="Chapter Hunt"),CHOOSE(ArtifactsInput!$N$27+1,20,24,28,32,36,40),0)/100)),0)</f>
        <v/>
      </c>
      <c r="R650">
        <f>IF(AND(Inputs!$B$39&lt;&gt;"pvp",Inputs!$B$44&gt;0),IF(MAX(0,Inputs!$B$44-B683)&lt;=0,0,(INT(MAX(0,Inputs!$B$44-B683)/(IF(Inputs!$B$39="pvp",15,MAX(0.1,Skills!D6-IF(Skills!E6=TRUE,Inputs!$B$33,0)))*(1-IF(AND(ArtifactsInput!$M$27,Inputs!$B$4="Chapter Hunt"),CHOOSE(ArtifactsInput!$N$27+1,20,24,28,32,36,40),0)/100)))+1)),0)</f>
        <v/>
      </c>
      <c r="S650">
        <f>IF(C650,(H650*N650*IF(AND(Inputs!$B$39&lt;&gt;"pvp",Inputs!$B$44&gt;0),((Skills!F6*((R650-1)*IF(Skills!G6&gt;0,Skills!H6/Skills!G6,1)+IF(Skills!G6&gt;0,MIN(Skills!H6,MAX(0,MAX(0,Inputs!$B$44-B683)-((R650-1)*(IF(Inputs!$B$39="pvp",15,MAX(0.1,Skills!D6-IF(Skills!E6=TRUE,Inputs!$B$33,0)))*(1-IF(AND(ArtifactsInput!$M$27,Inputs!$B$4="Chapter Hunt"),CHOOSE(ArtifactsInput!$N$27+1,20,24,28,32,36,40),0)/100)))))/Skills!G6,1)))/Inputs!$B$44),G650*Q650))*IF(Inputs!$B$39="pvp",1,1+(Inputs!$B$21+Skills!O6+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650*(1-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650*(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650*(1-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650*(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0">
        <f>IF(C650,(H650*N650*IF(AND(Inputs!$B$39&lt;&gt;"pvp",Inputs!$B$44&gt;0),((Skills!F6*((R650-1)*IF(Skills!G6&gt;0,Skills!H6/Skills!G6,1)+IF(Skills!G6&gt;0,MIN(Skills!H6,MAX(0,MAX(0,Inputs!$B$44-B683)-((R650-1)*(IF(Inputs!$B$39="pvp",15,MAX(0.1,Skills!D6-IF(Skills!E6=TRUE,Inputs!$B$33,0)))*(1-IF(AND(ArtifactsInput!$M$27,Inputs!$B$4="Chapter Hunt"),CHOOSE(ArtifactsInput!$N$27+1,20,24,28,32,36,40),0)/100)))))/Skills!G6,1)))/Inputs!$B$44),G650*Q650))*IF(Inputs!$B$39="pvp",1,(1+(Inputs!$B$22+Skills!P6+B675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51">
      <c r="A651">
        <f>Skills!A7</f>
        <v/>
      </c>
      <c r="B651">
        <f>Skills!B7</f>
        <v/>
      </c>
      <c r="C651">
        <f>Inputs!$B$3&gt;=122</f>
        <v/>
      </c>
      <c r="D651">
        <f>IF(Skills!C7=1,60+Inputs!$B$26+Inputs!$B$30,IF(Skills!C7=2,90+Inputs!$B$27+Inputs!$B$30,IF(Skills!C7=3,120+Inputs!$B$28+Inputs!$B$30,MAX(0,(Inputs!$B$3-100)*3)+Inputs!$B$29+Inputs!$B$30)))</f>
        <v/>
      </c>
      <c r="E651">
        <f>INDEX(FactorTable!$B$2:$Y$301, MATCH(ROUND(MIN(300,MAX(1,D651)),0), FactorTable!$A$2:$A$301,0), Skills!L7+1)</f>
        <v/>
      </c>
      <c r="F651">
        <f>IF(Skills!M7=TRUE,(Skills!K7/10)*(E651/1000),Skills!K7/10)+Skills!N7</f>
        <v/>
      </c>
      <c r="G651">
        <f>Calc!G7</f>
        <v/>
      </c>
      <c r="H651">
        <f>Calc!H7</f>
        <v/>
      </c>
      <c r="I651">
        <f>IF(Skills!T7&lt;&gt;"",1+(Skills!T7/10)*($Z$3/1000)/100,1)</f>
        <v/>
      </c>
      <c r="J651">
        <f>((Inputs!$B$6*(1+Inputs!$B$7/100))+(((Inputs!$B$13*(1+Inputs!$B$14/100))-(Inputs!$B$13*(1+Inputs!$B$14/100)))+0.25*(Inputs!$B$15-Inputs!$B$15))*(1+Inputs!$B$7/100))*(F651/100)</f>
        <v/>
      </c>
      <c r="K651">
        <f>J651*(1+(((Inputs!$B$13+IF(Inputs!$B$3&gt;=35,(10*INDEX(FactorTable!$B$2:$Y$301,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7="TRIUMPH_FEATHER",IF(C660=TRUE,F660,0),0)/100)*(1+IF(C671=TRUE,F671,0)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651)</f>
        <v/>
      </c>
      <c r="L651">
        <f>K651*(MIN(Inputs!$B$23+(F666-Calc!F22),(Inputs!$B$24+IF(ArtifactsInput!$M$15,CHOOSE(ArtifactsInput!$N$15+1,25,30,35,40,45,50)/100*(((1-(1-Inputs!$B$12/150)*(1-1/150))*150)-Inputs!$B$12),0)))/100+(Inputs!$B$24+IF(ArtifactsInput!$M$15,CHOOSE(ArtifactsInput!$N$15+1,25,30,35,40,45,50)/100*(((1-(1-Inputs!$B$12/150)*(1-1/150))*150)-Inputs!$B$12),0))/100)/2</f>
        <v/>
      </c>
      <c r="M651">
        <f>L651*(1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1">
        <f>L651*(1-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1">
        <f>(1-Summary!$B$11)*S651+Summary!$B$11*U651</f>
        <v/>
      </c>
      <c r="P651">
        <f>IF(B686=0,0,O651/B686)</f>
        <v/>
      </c>
      <c r="Q651">
        <f>IFERROR(1/(IF(Inputs!$B$39="pvp",15,MAX(0.1,Skills!D7-IF(Skills!E6=TRUE,Inputs!$B$33,0)))*(1-IF(AND(ArtifactsInput!$M$27,Inputs!$B$4="Chapter Hunt"),CHOOSE(ArtifactsInput!$N$27+1,20,24,28,32,36,40),0)/100)),0)</f>
        <v/>
      </c>
      <c r="R651">
        <f>IF(AND(Inputs!$B$39&lt;&gt;"pvp",Inputs!$B$44&gt;0),IF(MAX(0,Inputs!$B$44-B683)&lt;=0,0,(INT(MAX(0,Inputs!$B$44-B683)/(IF(Inputs!$B$39="pvp",15,MAX(0.1,Skills!D7-IF(Skills!E6=TRUE,Inputs!$B$33,0)))*(1-IF(AND(ArtifactsInput!$M$27,Inputs!$B$4="Chapter Hunt"),CHOOSE(ArtifactsInput!$N$27+1,20,24,28,32,36,40),0)/100)))+1)),0)</f>
        <v/>
      </c>
      <c r="S651">
        <f>IF(C651,H651*N651*IF(AND(Inputs!$B$39&lt;&gt;"pvp",Inputs!$B$44&gt;0),((Skills!F7*((R651-1)*IF(Skills!G7&gt;0,Skills!H7/Skills!G7,1)+IF(Skills!G7&gt;0,MIN(Skills!H7,MAX(0,MAX(0,Inputs!$B$44-B683)-((R651-1)*(IF(Inputs!$B$39="pvp",15,MAX(0.1,Skills!D7-IF(Skills!E6=TRUE,Inputs!$B$33,0)))*(1-IF(AND(ArtifactsInput!$M$27,Inputs!$B$4="Chapter Hunt"),CHOOSE(ArtifactsInput!$N$27+1,20,24,28,32,36,40),0)/100)))))/Skills!G7,1)))/Inputs!$B$44),G651*Q651)*IF(Inputs!$B$39="pvp",1,1+(Inputs!$B$21+Skills!O7+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651*(1-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651*(1-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1" t="n">
        <v>0</v>
      </c>
    </row>
    <row r="652">
      <c r="A652">
        <f>Skills!A8</f>
        <v/>
      </c>
      <c r="B652">
        <f>Skills!B8</f>
        <v/>
      </c>
      <c r="C652">
        <f>Inputs!$B$3&gt;=105</f>
        <v/>
      </c>
      <c r="D652">
        <f>IF(Skills!C8=1,60+Inputs!$B$26+Inputs!$B$30,IF(Skills!C8=2,90+Inputs!$B$27+Inputs!$B$30,IF(Skills!C8=3,120+Inputs!$B$28+Inputs!$B$30,MAX(0,(Inputs!$B$3-100)*3)+Inputs!$B$29+Inputs!$B$30)))</f>
        <v/>
      </c>
      <c r="E652">
        <f>INDEX(FactorTable!$B$2:$Y$301, MATCH(ROUND(MIN(300,MAX(1,D652)),0), FactorTable!$A$2:$A$301,0), Skills!L8+1)</f>
        <v/>
      </c>
      <c r="F652">
        <f>IF(Skills!M8=TRUE,(Skills!K8/10)*(E652/1000),Skills!K8/10)+Skills!N8</f>
        <v/>
      </c>
      <c r="G652">
        <f>Calc!G8</f>
        <v/>
      </c>
      <c r="H652">
        <f>Calc!H8</f>
        <v/>
      </c>
      <c r="I652">
        <f>IF(Skills!T8&lt;&gt;"",1+(Skills!T8/10)*($Z$3/1000)/100,1)</f>
        <v/>
      </c>
      <c r="J652">
        <f>((Inputs!$B$6*(1+Inputs!$B$7/100))+(((Inputs!$B$13*(1+Inputs!$B$14/100))-(Inputs!$B$13*(1+Inputs!$B$14/100)))+0.25*(Inputs!$B$15-Inputs!$B$15))*(1+Inputs!$B$7/100))*(F652/100)</f>
        <v/>
      </c>
      <c r="K652">
        <f>J652*(1+(((Inputs!$B$13+IF(Inputs!$B$3&gt;=35,(10*INDEX(FactorTable!$B$2:$Y$301,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8="TRIUMPH_FEATHER",IF(C660=TRUE,F660,0),0)/100)*(1+IF(C671=TRUE,F671,0)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652)</f>
        <v/>
      </c>
      <c r="L652">
        <f>K652*(MIN(Inputs!$B$23+(F666-Calc!F22),(Inputs!$B$24+IF(ArtifactsInput!$M$15,CHOOSE(ArtifactsInput!$N$15+1,25,30,35,40,45,50)/100*(((1-(1-Inputs!$B$12/150)*(1-1/150))*150)-Inputs!$B$12),0)))/100+(Inputs!$B$24+IF(ArtifactsInput!$M$15,CHOOSE(ArtifactsInput!$N$15+1,25,30,35,40,45,50)/100*(((1-(1-Inputs!$B$12/150)*(1-1/150))*150)-Inputs!$B$12),0))/100)/2</f>
        <v/>
      </c>
      <c r="M652">
        <f>L652*(1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2">
        <f>L652*(1-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652*(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2">
        <f>(1-Summary!$B$11)*S652+Summary!$B$11*U652</f>
        <v/>
      </c>
      <c r="P652">
        <f>IF(B686=0,0,O652/B686)</f>
        <v/>
      </c>
      <c r="Q652">
        <f>IFERROR(1/(IF(Inputs!$B$39="pvp",15,MAX(0.1,Skills!D8-IF(Skills!E8=TRUE,Inputs!$B$33,0)))*(1-IF(AND(ArtifactsInput!$M$27,Inputs!$B$4="Chapter Hunt"),CHOOSE(ArtifactsInput!$N$27+1,20,24,28,32,36,40),0)/100)),0)</f>
        <v/>
      </c>
      <c r="R652">
        <f>IF(AND(Inputs!$B$39&lt;&gt;"pvp",Inputs!$B$44&gt;0),IF(MAX(0,Inputs!$B$44-B683)&lt;=0,0,(INT(MAX(0,Inputs!$B$44-B683)/(IF(Inputs!$B$39="pvp",15,MAX(0.1,Skills!D8-IF(Skills!E8=TRUE,Inputs!$B$33,0)))*(1-IF(AND(ArtifactsInput!$M$27,Inputs!$B$4="Chapter Hunt"),CHOOSE(ArtifactsInput!$N$27+1,20,24,28,32,36,40),0)/100)))+1)),0)</f>
        <v/>
      </c>
      <c r="S652">
        <f>IF(C652,(H652*N652*IF(AND(Inputs!$B$39&lt;&gt;"pvp",Inputs!$B$44&gt;0),((Skills!F8*((R652-1)*IF(Skills!G8&gt;0,Skills!H8/Skills!G8,1)+IF(Skills!G8&gt;0,MIN(Skills!H8,MAX(0,MAX(0,Inputs!$B$44-B683)-((R652-1)*(IF(Inputs!$B$39="pvp",15,MAX(0.1,Skills!D8-IF(Skills!E8=TRUE,Inputs!$B$33,0)))*(1-IF(AND(ArtifactsInput!$M$27,Inputs!$B$4="Chapter Hunt"),CHOOSE(ArtifactsInput!$N$27+1,20,24,28,32,36,40),0)/100)))))/Skills!G8,1)))/Inputs!$B$44),G652*Q652))*IF(Inputs!$B$39="pvp",1,1+(Inputs!$B$21+Skills!O8+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652*(1-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652*(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652*(1-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652*(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2">
        <f>IF(C652,(H652*N652*IF(AND(Inputs!$B$39&lt;&gt;"pvp",Inputs!$B$44&gt;0),((Skills!F8*((R652-1)*IF(Skills!G8&gt;0,Skills!H8/Skills!G8,1)+IF(Skills!G8&gt;0,MIN(Skills!H8,MAX(0,MAX(0,Inputs!$B$44-B683)-((R652-1)*(IF(Inputs!$B$39="pvp",15,MAX(0.1,Skills!D8-IF(Skills!E8=TRUE,Inputs!$B$33,0)))*(1-IF(AND(ArtifactsInput!$M$27,Inputs!$B$4="Chapter Hunt"),CHOOSE(ArtifactsInput!$N$27+1,20,24,28,32,36,40),0)/100)))))/Skills!G8,1)))/Inputs!$B$44),G652*Q652))*IF(Inputs!$B$39="pvp",1,(1+(Inputs!$B$22+Skills!P8+B675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53">
      <c r="A653">
        <f>Skills!A9</f>
        <v/>
      </c>
      <c r="B653">
        <f>Skills!B9</f>
        <v/>
      </c>
      <c r="C653">
        <f>Inputs!$B$3&gt;=115</f>
        <v/>
      </c>
      <c r="D653">
        <f>IF(Skills!C9=1,60+Inputs!$B$26+Inputs!$B$30,IF(Skills!C9=2,90+Inputs!$B$27+Inputs!$B$30,IF(Skills!C9=3,120+Inputs!$B$28+Inputs!$B$30,MAX(0,(Inputs!$B$3-100)*3)+Inputs!$B$29+Inputs!$B$30)))</f>
        <v/>
      </c>
      <c r="E653">
        <f>INDEX(FactorTable!$B$2:$Y$301, MATCH(ROUND(MIN(300,MAX(1,D653)),0), FactorTable!$A$2:$A$301,0), Skills!L9+1)</f>
        <v/>
      </c>
      <c r="F653">
        <f>IF(Skills!M9=TRUE,(Skills!K9/10)*(E653/1000),Skills!K9/10)+Skills!N9</f>
        <v/>
      </c>
      <c r="G653">
        <f>Calc!G9</f>
        <v/>
      </c>
      <c r="H653">
        <f>Calc!H9</f>
        <v/>
      </c>
      <c r="I653">
        <f>IF(Skills!T9&lt;&gt;"",1+(Skills!T9/10)*($Z$3/1000)/100,1)</f>
        <v/>
      </c>
      <c r="J653">
        <f>((Inputs!$B$6*(1+Inputs!$B$7/100))+(((Inputs!$B$13*(1+Inputs!$B$14/100))-(Inputs!$B$13*(1+Inputs!$B$14/100)))+0.25*(Inputs!$B$15-Inputs!$B$15))*(1+Inputs!$B$7/100))*(F653/100)</f>
        <v/>
      </c>
      <c r="K653">
        <f>J653*(1+(((Inputs!$B$13+IF(Inputs!$B$3&gt;=35,(10*INDEX(FactorTable!$B$2:$Y$301,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9="TRIUMPH_FEATHER",IF(C660=TRUE,F660,0),0)/100)*(1+IF(C671=TRUE,F671,0)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653)</f>
        <v/>
      </c>
      <c r="L653">
        <f>K653*(MIN(Inputs!$B$23+(F666-Calc!F22),(Inputs!$B$24+IF(ArtifactsInput!$M$15,CHOOSE(ArtifactsInput!$N$15+1,25,30,35,40,45,50)/100*(((1-(1-Inputs!$B$12/150)*(1-1/150))*150)-Inputs!$B$12),0)))/100+(Inputs!$B$24+IF(ArtifactsInput!$M$15,CHOOSE(ArtifactsInput!$N$15+1,25,30,35,40,45,50)/100*(((1-(1-Inputs!$B$12/150)*(1-1/150))*150)-Inputs!$B$12),0))/100)/2</f>
        <v/>
      </c>
      <c r="M653">
        <f>L653*(1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3">
        <f>L653*(1-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653*(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3">
        <f>(1-Summary!$B$11)*S653+Summary!$B$11*U653</f>
        <v/>
      </c>
      <c r="P653">
        <f>IF(B686=0,0,O653/B686)</f>
        <v/>
      </c>
      <c r="Q653">
        <f>IFERROR(1/(IF(Inputs!$B$39="pvp",15,MAX(0.1,Skills!D9-IF(Skills!E9=TRUE,Inputs!$B$33,0)))*(1-IF(AND(ArtifactsInput!$M$27,Inputs!$B$4="Chapter Hunt"),CHOOSE(ArtifactsInput!$N$27+1,20,24,28,32,36,40),0)/100)),0)</f>
        <v/>
      </c>
      <c r="R653">
        <f>IF(AND(Inputs!$B$39&lt;&gt;"pvp",Inputs!$B$44&gt;0),IF(MAX(0,Inputs!$B$44-B683)&lt;=0,0,(INT(MAX(0,Inputs!$B$44-B683)/(IF(Inputs!$B$39="pvp",15,MAX(0.1,Skills!D9-IF(Skills!E9=TRUE,Inputs!$B$33,0)))*(1-IF(AND(ArtifactsInput!$M$27,Inputs!$B$4="Chapter Hunt"),CHOOSE(ArtifactsInput!$N$27+1,20,24,28,32,36,40),0)/100)))+1)),0)</f>
        <v/>
      </c>
      <c r="S653">
        <f>IF(C653,(H653*N653*IF(AND(Inputs!$B$39&lt;&gt;"pvp",Inputs!$B$44&gt;0),((Skills!F9*((R653-1)*IF(Skills!G9&gt;0,Skills!H9/Skills!G9,1)+IF(Skills!G9&gt;0,MIN(Skills!H9,MAX(0,MAX(0,Inputs!$B$44-B683)-((R653-1)*(IF(Inputs!$B$39="pvp",15,MAX(0.1,Skills!D9-IF(Skills!E9=TRUE,Inputs!$B$33,0)))*(1-IF(AND(ArtifactsInput!$M$27,Inputs!$B$4="Chapter Hunt"),CHOOSE(ArtifactsInput!$N$27+1,20,24,28,32,36,40),0)/100)))))/Skills!G9,1)))/Inputs!$B$44),G653*Q653))*IF(Inputs!$B$39="pvp",1,1+(Inputs!$B$21+Skills!O9+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653*(1-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653*(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653*(1-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653*(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3">
        <f>IF(C653,(H653*N653*IF(AND(Inputs!$B$39&lt;&gt;"pvp",Inputs!$B$44&gt;0),((Skills!F9*((R653-1)*IF(Skills!G9&gt;0,Skills!H9/Skills!G9,1)+IF(Skills!G9&gt;0,MIN(Skills!H9,MAX(0,MAX(0,Inputs!$B$44-B683)-((R653-1)*(IF(Inputs!$B$39="pvp",15,MAX(0.1,Skills!D9-IF(Skills!E9=TRUE,Inputs!$B$33,0)))*(1-IF(AND(ArtifactsInput!$M$27,Inputs!$B$4="Chapter Hunt"),CHOOSE(ArtifactsInput!$N$27+1,20,24,28,32,36,40),0)/100)))))/Skills!G9,1)))/Inputs!$B$44),G653*Q653))*IF(Inputs!$B$39="pvp",1,(1+(Inputs!$B$22+Skills!P9+B675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54">
      <c r="A654">
        <f>Skills!A10</f>
        <v/>
      </c>
      <c r="B654">
        <f>Skills!B10</f>
        <v/>
      </c>
      <c r="C654">
        <f>Inputs!$B$3&gt;=66</f>
        <v/>
      </c>
      <c r="D654">
        <f>IF(Skills!C10=1,60+Inputs!$B$26+Inputs!$B$30,IF(Skills!C10=2,90+Inputs!$B$27+Inputs!$B$30,IF(Skills!C10=3,120+Inputs!$B$28+Inputs!$B$30,MAX(0,(Inputs!$B$3-100)*3)+Inputs!$B$29+Inputs!$B$30)))</f>
        <v/>
      </c>
      <c r="E654">
        <f>INDEX(FactorTable!$B$2:$Y$301, MATCH(ROUND(MIN(300,MAX(1,D654)),0), FactorTable!$A$2:$A$301,0), Skills!L10+1)</f>
        <v/>
      </c>
      <c r="F654" t="n">
        <v>0</v>
      </c>
      <c r="G654">
        <f>Calc!G10</f>
        <v/>
      </c>
      <c r="H654">
        <f>Calc!H10</f>
        <v/>
      </c>
      <c r="I654">
        <f>IF(Skills!T10&lt;&gt;"",1+(Skills!T10/10)*($Z$3/1000)/100,1)</f>
        <v/>
      </c>
      <c r="J654" t="inlineStr"/>
      <c r="K654" t="inlineStr"/>
      <c r="L654" t="inlineStr"/>
      <c r="M654" t="inlineStr"/>
      <c r="N654" t="inlineStr"/>
      <c r="O654">
        <f>(1-Summary!$B$11)*S654+Summary!$B$11*U654</f>
        <v/>
      </c>
      <c r="P654">
        <f>IF(B686=0,0,O654/B686)</f>
        <v/>
      </c>
      <c r="Q654">
        <f>IFERROR(1/(IF(Inputs!$B$39="pvp",15,MAX(0.1,Skills!D10-IF(Skills!E10=TRUE,Inputs!$B$33,0)))*(1-IF(AND(ArtifactsInput!$M$27,Inputs!$B$4="Chapter Hunt"),CHOOSE(ArtifactsInput!$N$27+1,20,24,28,32,36,40),0)/100)),0)</f>
        <v/>
      </c>
      <c r="R654">
        <f>IF(AND(Inputs!$B$39&lt;&gt;"pvp",Inputs!$B$44&gt;0),IF(MAX(0,Inputs!$B$44-B683)&lt;=0,0,(INT(MAX(0,Inputs!$B$44-B683)/(IF(Inputs!$B$39="pvp",15,MAX(0.1,Skills!D10-IF(Skills!E10=TRUE,Inputs!$B$33,0)))*(1-IF(AND(ArtifactsInput!$M$27,Inputs!$B$4="Chapter Hunt"),CHOOSE(ArtifactsInput!$N$27+1,20,24,28,32,36,40),0)/100)))+1)),0)</f>
        <v/>
      </c>
      <c r="S654" t="n">
        <v>0</v>
      </c>
      <c r="U654" t="n">
        <v>0</v>
      </c>
    </row>
    <row r="655">
      <c r="A655">
        <f>Skills!A11</f>
        <v/>
      </c>
      <c r="B655">
        <f>Skills!B11</f>
        <v/>
      </c>
      <c r="C655">
        <f>Inputs!$B$3&gt;=69</f>
        <v/>
      </c>
      <c r="D655">
        <f>IF(Skills!C11=1,60+Inputs!$B$26+Inputs!$B$30,IF(Skills!C11=2,90+Inputs!$B$27+Inputs!$B$30,IF(Skills!C11=3,120+Inputs!$B$28+Inputs!$B$30,MAX(0,(Inputs!$B$3-100)*3)+Inputs!$B$29+Inputs!$B$30)))</f>
        <v/>
      </c>
      <c r="E655">
        <f>INDEX(FactorTable!$B$2:$Y$301, MATCH(ROUND(MIN(300,MAX(1,D655)),0), FactorTable!$A$2:$A$301,0), Skills!L11+1)</f>
        <v/>
      </c>
      <c r="F655">
        <f>IF(Skills!M11=TRUE,(Skills!K11/10)*(E655/1000),Skills!K11/10)+Skills!N11</f>
        <v/>
      </c>
      <c r="G655">
        <f>Calc!G11</f>
        <v/>
      </c>
      <c r="H655">
        <f>Calc!H11</f>
        <v/>
      </c>
      <c r="I655">
        <f>IF(Skills!T11&lt;&gt;"",1+(Skills!T11/10)*($Z$3/1000)/100,1)</f>
        <v/>
      </c>
      <c r="J655" t="inlineStr"/>
      <c r="K655" t="inlineStr"/>
      <c r="L655" t="inlineStr"/>
      <c r="M655" t="inlineStr"/>
      <c r="N655" t="inlineStr"/>
      <c r="O655">
        <f>(1-Summary!$B$11)*S655+Summary!$B$11*U655</f>
        <v/>
      </c>
      <c r="P655">
        <f>IF(B686=0,0,O655/B686)</f>
        <v/>
      </c>
      <c r="Q655">
        <f>IFERROR(1/(IF(Inputs!$B$39="pvp",15,MAX(0.1,Skills!D11-IF(Skills!E11=TRUE,Inputs!$B$33,0)))*(1-IF(AND(ArtifactsInput!$M$27,Inputs!$B$4="Chapter Hunt"),CHOOSE(ArtifactsInput!$N$27+1,20,24,28,32,36,40),0)/100)),0)</f>
        <v/>
      </c>
      <c r="R655">
        <f>IF(AND(Inputs!$B$39&lt;&gt;"pvp",Inputs!$B$44&gt;0),IF(Inputs!$B$44&lt;=0,0,(INT(Inputs!$B$44/(IF(Inputs!$B$39="pvp",15,MAX(0.1,Skills!D11-IF(Skills!E11=TRUE,Inputs!$B$33,0)))*(1-IF(AND(ArtifactsInput!$M$27,Inputs!$B$4="Chapter Hunt"),CHOOSE(ArtifactsInput!$N$27+1,20,24,28,32,36,40),0)/100)))+1)),0)</f>
        <v/>
      </c>
      <c r="S655" t="n">
        <v>0</v>
      </c>
      <c r="U655" t="n">
        <v>0</v>
      </c>
    </row>
    <row r="656">
      <c r="A656">
        <f>Skills!A12</f>
        <v/>
      </c>
      <c r="B656">
        <f>Skills!B12</f>
        <v/>
      </c>
      <c r="C656">
        <f>Inputs!$B$3&gt;=72</f>
        <v/>
      </c>
      <c r="D656">
        <f>IF(Skills!C12=1,60+Inputs!$B$26+Inputs!$B$30,IF(Skills!C12=2,90+Inputs!$B$27+Inputs!$B$30,IF(Skills!C12=3,120+Inputs!$B$28+Inputs!$B$30,MAX(0,(Inputs!$B$3-100)*3)+Inputs!$B$29+Inputs!$B$30)))</f>
        <v/>
      </c>
      <c r="E656">
        <f>INDEX(FactorTable!$B$2:$Y$301, MATCH(ROUND(MIN(300,MAX(1,D656)),0), FactorTable!$A$2:$A$301,0), Skills!L12+1)</f>
        <v/>
      </c>
      <c r="F656">
        <f>IF(Skills!M12=TRUE,(Skills!K12/10)*(E656/1000),Skills!K12/10)+Skills!N12</f>
        <v/>
      </c>
      <c r="G656">
        <f>Calc!G12</f>
        <v/>
      </c>
      <c r="H656">
        <f>Calc!H12</f>
        <v/>
      </c>
      <c r="I656">
        <f>IF(Skills!T12&lt;&gt;"",1+(Skills!T12/10)*($Z$3/1000)/100,1)</f>
        <v/>
      </c>
      <c r="J656" t="inlineStr"/>
      <c r="K656" t="inlineStr"/>
      <c r="L656" t="inlineStr"/>
      <c r="M656" t="inlineStr"/>
      <c r="N656" t="inlineStr"/>
      <c r="O656">
        <f>(1-Summary!$B$11)*S656+Summary!$B$11*U656</f>
        <v/>
      </c>
      <c r="P656">
        <f>IF(B686=0,0,O656/B686)</f>
        <v/>
      </c>
      <c r="Q656">
        <f>IFERROR(1/(IF(Inputs!$B$39="pvp",15,MAX(0.1,Skills!D12-IF(Skills!E12=TRUE,Inputs!$B$33,0)))*(1-IF(AND(ArtifactsInput!$M$27,Inputs!$B$4="Chapter Hunt"),CHOOSE(ArtifactsInput!$N$27+1,20,24,28,32,36,40),0)/100)),0)</f>
        <v/>
      </c>
      <c r="R656">
        <f>IF(AND(Inputs!$B$39&lt;&gt;"pvp",Inputs!$B$44&gt;0),IF(MAX(0,Inputs!$B$44-B683)&lt;=0,0,(INT(MAX(0,Inputs!$B$44-B683)/(IF(Inputs!$B$39="pvp",15,MAX(0.1,Skills!D12-IF(Skills!E12=TRUE,Inputs!$B$33,0)))*(1-IF(AND(ArtifactsInput!$M$27,Inputs!$B$4="Chapter Hunt"),CHOOSE(ArtifactsInput!$N$27+1,20,24,28,32,36,40),0)/100)))+1)),0)</f>
        <v/>
      </c>
      <c r="S656" t="n">
        <v>0</v>
      </c>
      <c r="U656" t="n">
        <v>0</v>
      </c>
    </row>
    <row r="657">
      <c r="A657">
        <f>Skills!A13</f>
        <v/>
      </c>
      <c r="B657">
        <f>Skills!B13</f>
        <v/>
      </c>
      <c r="C657">
        <f>Inputs!$B$3&gt;=60</f>
        <v/>
      </c>
      <c r="D657">
        <f>IF(Skills!C13=1,60+Inputs!$B$26+Inputs!$B$30,IF(Skills!C13=2,90+Inputs!$B$27+Inputs!$B$30,IF(Skills!C13=3,120+Inputs!$B$28+Inputs!$B$30,MAX(0,(Inputs!$B$3-100)*3)+Inputs!$B$29+Inputs!$B$30)))</f>
        <v/>
      </c>
      <c r="E657">
        <f>INDEX(FactorTable!$B$2:$Y$301, MATCH(ROUND(MIN(300,MAX(1,D657)),0), FactorTable!$A$2:$A$301,0), Skills!L13+1)</f>
        <v/>
      </c>
      <c r="F657">
        <f>IF(Skills!M13=TRUE,(Skills!K13/10)*(E657/1000),Skills!K13/10)+Skills!N13</f>
        <v/>
      </c>
      <c r="G657">
        <f>Calc!G13</f>
        <v/>
      </c>
      <c r="H657">
        <f>Calc!H13</f>
        <v/>
      </c>
      <c r="I657">
        <f>IF(Skills!T13&lt;&gt;"",1+(Skills!T13/10)*($Z$3/1000)/100,1)</f>
        <v/>
      </c>
      <c r="J657" t="inlineStr"/>
      <c r="K657" t="inlineStr"/>
      <c r="L657" t="inlineStr"/>
      <c r="M657" t="inlineStr"/>
      <c r="N657" t="inlineStr"/>
      <c r="O657">
        <f>(1-Summary!$B$11)*S657+Summary!$B$11*U657</f>
        <v/>
      </c>
      <c r="P657">
        <f>IF(B686=0,0,O657/B686)</f>
        <v/>
      </c>
      <c r="Q657">
        <f>IFERROR(1/(IF(Inputs!$B$39="pvp",15,MAX(0.1,Skills!D13-IF(Skills!E13=TRUE,Inputs!$B$33,0)))*(1-IF(AND(ArtifactsInput!$M$27,Inputs!$B$4="Chapter Hunt"),CHOOSE(ArtifactsInput!$N$27+1,20,24,28,32,36,40),0)/100)),0)</f>
        <v/>
      </c>
      <c r="R657">
        <f>IF(AND(Inputs!$B$39&lt;&gt;"pvp",Inputs!$B$44&gt;0),IF(MAX(0,Inputs!$B$44-B683)&lt;=0,0,(INT(MAX(0,Inputs!$B$44-B683)/(IF(Inputs!$B$39="pvp",15,MAX(0.1,Skills!D13-IF(Skills!E13=TRUE,Inputs!$B$33,0)))*(1-IF(AND(ArtifactsInput!$M$27,Inputs!$B$4="Chapter Hunt"),CHOOSE(ArtifactsInput!$N$27+1,20,24,28,32,36,40),0)/100)))+1)),0)</f>
        <v/>
      </c>
      <c r="S657" t="n">
        <v>0</v>
      </c>
      <c r="U657" t="n">
        <v>0</v>
      </c>
    </row>
    <row r="658">
      <c r="A658">
        <f>Skills!A14</f>
        <v/>
      </c>
      <c r="B658">
        <f>Skills!B14</f>
        <v/>
      </c>
      <c r="C658">
        <f>Inputs!$B$3&gt;=107</f>
        <v/>
      </c>
      <c r="D658">
        <f>IF(Skills!C14=1,60+Inputs!$B$26+Inputs!$B$30,IF(Skills!C14=2,90+Inputs!$B$27+Inputs!$B$30,IF(Skills!C14=3,120+Inputs!$B$28+Inputs!$B$30,MAX(0,(Inputs!$B$3-100)*3)+Inputs!$B$29+Inputs!$B$30)))</f>
        <v/>
      </c>
      <c r="E658">
        <f>INDEX(FactorTable!$B$2:$Y$301, MATCH(ROUND(MIN(300,MAX(1,D658)),0), FactorTable!$A$2:$A$301,0), Skills!L14+1)</f>
        <v/>
      </c>
      <c r="F658">
        <f>IF(Skills!M14=TRUE,(Skills!K14/10)*(E658/1000),Skills!K14/10)+Skills!N14</f>
        <v/>
      </c>
      <c r="G658">
        <f>Calc!G14</f>
        <v/>
      </c>
      <c r="H658">
        <f>Calc!H14</f>
        <v/>
      </c>
      <c r="I658">
        <f>IF(Skills!T14&lt;&gt;"",1+(Skills!T14/10)*($Z$3/1000)/100,1)</f>
        <v/>
      </c>
      <c r="J658" t="inlineStr"/>
      <c r="K658" t="inlineStr"/>
      <c r="L658" t="inlineStr"/>
      <c r="M658" t="inlineStr"/>
      <c r="N658" t="inlineStr"/>
      <c r="O658">
        <f>(1-Summary!$B$11)*S658+Summary!$B$11*U658</f>
        <v/>
      </c>
      <c r="P658">
        <f>IF(B686=0,0,O658/B686)</f>
        <v/>
      </c>
      <c r="Q658">
        <f>IFERROR(1/(IF(Inputs!$B$39="pvp",15,MAX(0.1,Skills!D14-IF(Skills!E14=TRUE,Inputs!$B$33,0)))*(1-IF(AND(ArtifactsInput!$M$27,Inputs!$B$4="Chapter Hunt"),CHOOSE(ArtifactsInput!$N$27+1,20,24,28,32,36,40),0)/100)),0)</f>
        <v/>
      </c>
      <c r="R658">
        <f>IF(AND(Inputs!$B$39&lt;&gt;"pvp",Inputs!$B$44&gt;0),IF(Inputs!$B$44&lt;=0,0,(INT(Inputs!$B$44/(IF(Inputs!$B$39="pvp",15,MAX(0.1,Skills!D14-IF(Skills!E14=TRUE,Inputs!$B$33,0)))*(1-IF(AND(ArtifactsInput!$M$27,Inputs!$B$4="Chapter Hunt"),CHOOSE(ArtifactsInput!$N$27+1,20,24,28,32,36,40),0)/100)))+1)),0)</f>
        <v/>
      </c>
      <c r="S658" t="n">
        <v>0</v>
      </c>
      <c r="U658" t="n">
        <v>0</v>
      </c>
    </row>
    <row r="659">
      <c r="A659">
        <f>Skills!A15</f>
        <v/>
      </c>
      <c r="B659">
        <f>Skills!B15</f>
        <v/>
      </c>
      <c r="C659">
        <f>Inputs!$B$3&gt;=63</f>
        <v/>
      </c>
      <c r="D659">
        <f>IF(Skills!C15=1,60+Inputs!$B$26+Inputs!$B$30,IF(Skills!C15=2,90+Inputs!$B$27+Inputs!$B$30,IF(Skills!C15=3,120+Inputs!$B$28+Inputs!$B$30,MAX(0,(Inputs!$B$3-100)*3)+Inputs!$B$29+Inputs!$B$30)))</f>
        <v/>
      </c>
      <c r="E659">
        <f>INDEX(FactorTable!$B$2:$Y$301, MATCH(ROUND(MIN(300,MAX(1,D659)),0), FactorTable!$A$2:$A$301,0), Skills!L15+1)</f>
        <v/>
      </c>
      <c r="F659">
        <f>IF(Skills!M15=TRUE,(Skills!K15/10)*(E659/1000),Skills!K15/10)+Skills!N15</f>
        <v/>
      </c>
      <c r="G659">
        <f>Calc!G15</f>
        <v/>
      </c>
      <c r="H659">
        <f>Calc!H15</f>
        <v/>
      </c>
      <c r="I659">
        <f>IF(Skills!T15&lt;&gt;"",1+(Skills!T15/10)*($Z$3/1000)/100,1)</f>
        <v/>
      </c>
      <c r="J659">
        <f>((Inputs!$B$6*(1+Inputs!$B$7/100))+(((Inputs!$B$13*(1+Inputs!$B$14/100))-(Inputs!$B$13*(1+Inputs!$B$14/100)))+0.25*(Inputs!$B$15-Inputs!$B$15))*(1+Inputs!$B$7/100))*(F659/100)</f>
        <v/>
      </c>
      <c r="K659">
        <f>J659*(1+(((Inputs!$B$13+IF(Inputs!$B$3&gt;=35,(10*INDEX(FactorTable!$B$2:$Y$301,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15="TRIUMPH_FEATHER",IF(C660=TRUE,F660,0),0)/100)*(1+IF(C671=TRUE,F671,0)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659)</f>
        <v/>
      </c>
      <c r="L659">
        <f>K659*(MIN(Inputs!$B$23+(F666-Calc!F22),(Inputs!$B$24+IF(ArtifactsInput!$M$15,CHOOSE(ArtifactsInput!$N$15+1,25,30,35,40,45,50)/100*(((1-(1-Inputs!$B$12/150)*(1-1/150))*150)-Inputs!$B$12),0)))/100+(Inputs!$B$24+IF(ArtifactsInput!$M$15,CHOOSE(ArtifactsInput!$N$15+1,25,30,35,40,45,50)/100*(((1-(1-Inputs!$B$12/150)*(1-1/150))*150)-Inputs!$B$12),0))/100)/2</f>
        <v/>
      </c>
      <c r="M659">
        <f>L659*(1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IF(B686=0,0,O659/B686)</f>
        <v/>
      </c>
      <c r="Q659">
        <f>IFERROR(1/(IF(Inputs!$B$39="pvp",15,MAX(0.1,Skills!D15-IF(Skills!E15=TRUE,Inputs!$B$33,0)))*(1-IF(AND(ArtifactsInput!$M$27,Inputs!$B$4="Chapter Hunt"),CHOOSE(ArtifactsInput!$N$27+1,20,24,28,32,36,40),0)/100)),0)</f>
        <v/>
      </c>
      <c r="R659" t="n">
        <v>0</v>
      </c>
      <c r="S659">
        <f>IF(C659,(Skills!F15*N659*((IF(Inputs!$B$3&gt;=78,25,15)/100*B679*10)/(1+IF(Inputs!$B$3&gt;=78,25,15)/100*B679*10))*(Skills!I15/100*B679)/(1+Skills!G15*Skills!I15/100*B679))*IF(Inputs!$B$39="pvp",1,1+(Inputs!$B$21+Skills!O15+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9">
        <f>IF(C659,(Skills!F15*N659*((IF(Inputs!$B$3&gt;=78,25,15)/100*B679*10)/(1+IF(Inputs!$B$3&gt;=78,25,15)/100*B679*10))*(Skills!I15/100*B679)/(1+Skills!G15*Skills!I15/100*B679))*IF(Inputs!$B$39="pvp",1,(1+(Inputs!$B$22+Skills!P15+B675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Skills!A16</f>
        <v/>
      </c>
      <c r="B660">
        <f>Skills!B16</f>
        <v/>
      </c>
      <c r="C660">
        <f>Inputs!$B$3&gt;=100</f>
        <v/>
      </c>
      <c r="D660">
        <f>IF(Skills!C16=1,60+Inputs!$B$26+Inputs!$B$30,IF(Skills!C16=2,90+Inputs!$B$27+Inputs!$B$30,IF(Skills!C16=3,120+Inputs!$B$28+Inputs!$B$30,MAX(0,(Inputs!$B$3-100)*3)+Inputs!$B$29+Inputs!$B$30)))</f>
        <v/>
      </c>
      <c r="E660">
        <f>INDEX(FactorTable!$B$2:$Y$301, MATCH(ROUND(MIN(300,MAX(1,D660)),0), FactorTable!$A$2:$A$301,0), Skills!L16+1)</f>
        <v/>
      </c>
      <c r="F660">
        <f>IF(Skills!M16=TRUE,(Skills!K16/10)*(E660/1000),Skills!K16/10)+Skills!N16</f>
        <v/>
      </c>
      <c r="G660">
        <f>Calc!G16</f>
        <v/>
      </c>
      <c r="H660">
        <f>Calc!H16</f>
        <v/>
      </c>
      <c r="I660">
        <f>IF(Skills!T16&lt;&gt;"",1+(Skills!T16/10)*($Z$3/1000)/100,1)</f>
        <v/>
      </c>
      <c r="J660" t="inlineStr"/>
      <c r="K660" t="inlineStr"/>
      <c r="L660" t="inlineStr"/>
      <c r="M660" t="inlineStr"/>
      <c r="N660" t="inlineStr"/>
      <c r="O660">
        <f>(1-Summary!$B$11)*S660+Summary!$B$11*U660</f>
        <v/>
      </c>
      <c r="P660">
        <f>IF(B686=0,0,O660/B686)</f>
        <v/>
      </c>
      <c r="Q660">
        <f>IFERROR(1/(IF(Inputs!$B$39="pvp",15,MAX(0.1,Skills!D16-IF(Skills!E16=TRUE,Inputs!$B$33,0)))*(1-IF(AND(ArtifactsInput!$M$27,Inputs!$B$4="Chapter Hunt"),CHOOSE(ArtifactsInput!$N$27+1,20,24,28,32,36,40),0)/100)),0)</f>
        <v/>
      </c>
      <c r="R660" t="n">
        <v>0</v>
      </c>
      <c r="S660" t="n">
        <v>0</v>
      </c>
      <c r="U660" t="n">
        <v>0</v>
      </c>
    </row>
    <row r="661">
      <c r="A661">
        <f>Skills!A17</f>
        <v/>
      </c>
      <c r="B661">
        <f>Skills!B17</f>
        <v/>
      </c>
      <c r="C661">
        <f>Inputs!$B$3&gt;=49</f>
        <v/>
      </c>
      <c r="D661">
        <f>IF(Skills!C17=1,60+Inputs!$B$26+Inputs!$B$30,IF(Skills!C17=2,90+Inputs!$B$27+Inputs!$B$30,IF(Skills!C17=3,120+Inputs!$B$28+Inputs!$B$30,MAX(0,(Inputs!$B$3-100)*3)+Inputs!$B$29+Inputs!$B$30)))</f>
        <v/>
      </c>
      <c r="E661">
        <f>INDEX(FactorTable!$B$2:$Y$301, MATCH(ROUND(MIN(300,MAX(1,D661)),0), FactorTable!$A$2:$A$301,0), Skills!L17+1)</f>
        <v/>
      </c>
      <c r="F661">
        <f>IF(Skills!M17=TRUE,(Skills!K17/10)*(E661/1000),Skills!K17/10)+Skills!N17</f>
        <v/>
      </c>
      <c r="G661">
        <f>Calc!G17</f>
        <v/>
      </c>
      <c r="H661">
        <f>Calc!H17</f>
        <v/>
      </c>
      <c r="I661">
        <f>IF(Skills!T17&lt;&gt;"",1+(Skills!T17/10)*($Z$3/1000)/100,1)</f>
        <v/>
      </c>
      <c r="J661" t="inlineStr"/>
      <c r="K661" t="inlineStr"/>
      <c r="L661" t="inlineStr"/>
      <c r="M661" t="inlineStr"/>
      <c r="N661" t="inlineStr"/>
      <c r="O661">
        <f>(1-Summary!$B$11)*S661+Summary!$B$11*U661</f>
        <v/>
      </c>
      <c r="P661">
        <f>IF(B686=0,0,O661/B686)</f>
        <v/>
      </c>
      <c r="Q661">
        <f>IFERROR(1/(IF(Inputs!$B$39="pvp",15,MAX(0.1,Skills!D17-IF(Skills!E17=TRUE,Inputs!$B$33,0)))*(1-IF(AND(ArtifactsInput!$M$27,Inputs!$B$4="Chapter Hunt"),CHOOSE(ArtifactsInput!$N$27+1,20,24,28,32,36,40),0)/100)),0)</f>
        <v/>
      </c>
      <c r="R661" t="n">
        <v>0</v>
      </c>
      <c r="S661" t="n">
        <v>0</v>
      </c>
      <c r="U661" t="n">
        <v>0</v>
      </c>
    </row>
    <row r="662">
      <c r="A662">
        <f>Skills!A18</f>
        <v/>
      </c>
      <c r="B662">
        <f>Skills!B18</f>
        <v/>
      </c>
      <c r="C662">
        <f>Inputs!$B$3&gt;=75</f>
        <v/>
      </c>
      <c r="D662">
        <f>IF(Skills!C18=1,60+Inputs!$B$26+Inputs!$B$30,IF(Skills!C18=2,90+Inputs!$B$27+Inputs!$B$30,IF(Skills!C18=3,120+Inputs!$B$28+Inputs!$B$30,MAX(0,(Inputs!$B$3-100)*3)+Inputs!$B$29+Inputs!$B$30)))</f>
        <v/>
      </c>
      <c r="E662">
        <f>INDEX(FactorTable!$B$2:$Y$301, MATCH(ROUND(MIN(300,MAX(1,D662)),0), FactorTable!$A$2:$A$301,0), Skills!L18+1)</f>
        <v/>
      </c>
      <c r="F662">
        <f>IF(Skills!M18=TRUE,(Skills!K18/10)*(E662/1000),Skills!K18/10)+Skills!N18</f>
        <v/>
      </c>
      <c r="G662">
        <f>Calc!G18</f>
        <v/>
      </c>
      <c r="H662">
        <f>Calc!H18</f>
        <v/>
      </c>
      <c r="I662">
        <f>IF(Skills!T18&lt;&gt;"",1+(Skills!T18/10)*($Z$3/1000)/100,1)</f>
        <v/>
      </c>
      <c r="J662" t="inlineStr"/>
      <c r="K662" t="inlineStr"/>
      <c r="L662" t="inlineStr"/>
      <c r="M662" t="inlineStr"/>
      <c r="N662" t="inlineStr"/>
      <c r="O662">
        <f>(1-Summary!$B$11)*S662+Summary!$B$11*U662</f>
        <v/>
      </c>
      <c r="P662">
        <f>IF(B686=0,0,O662/B686)</f>
        <v/>
      </c>
      <c r="Q662">
        <f>IFERROR(1/(IF(Inputs!$B$39="pvp",15,MAX(0.1,Skills!D18-IF(Skills!E18=TRUE,Inputs!$B$33,0)))*(1-IF(AND(ArtifactsInput!$M$27,Inputs!$B$4="Chapter Hunt"),CHOOSE(ArtifactsInput!$N$27+1,20,24,28,32,36,40),0)/100)),0)</f>
        <v/>
      </c>
      <c r="R662" t="n">
        <v>0</v>
      </c>
      <c r="S662" t="n">
        <v>0</v>
      </c>
      <c r="U662" t="n">
        <v>0</v>
      </c>
    </row>
    <row r="663">
      <c r="A663">
        <f>Skills!A19</f>
        <v/>
      </c>
      <c r="B663">
        <f>Skills!B19</f>
        <v/>
      </c>
      <c r="C663">
        <f>Inputs!$B$3&gt;=110</f>
        <v/>
      </c>
      <c r="D663">
        <f>IF(Skills!C19=1,60+Inputs!$B$26+Inputs!$B$30,IF(Skills!C19=2,90+Inputs!$B$27+Inputs!$B$30,IF(Skills!C19=3,120+Inputs!$B$28+Inputs!$B$30,MAX(0,(Inputs!$B$3-100)*3)+Inputs!$B$29+Inputs!$B$30)))</f>
        <v/>
      </c>
      <c r="E663">
        <f>INDEX(FactorTable!$B$2:$Y$301, MATCH(ROUND(MIN(300,MAX(1,D663)),0), FactorTable!$A$2:$A$301,0), Skills!L19+1)</f>
        <v/>
      </c>
      <c r="F663">
        <f>(Skills!K19/10)*(E663/1000)*64/45+Skills!N19</f>
        <v/>
      </c>
      <c r="G663">
        <f>Calc!G19</f>
        <v/>
      </c>
      <c r="H663">
        <f>Calc!H19</f>
        <v/>
      </c>
      <c r="I663">
        <f>IF(Skills!T19&lt;&gt;"",1+(Skills!T19/10)*($Z$3/1000)/100,1)</f>
        <v/>
      </c>
      <c r="J663" t="inlineStr"/>
      <c r="K663" t="inlineStr"/>
      <c r="L663" t="inlineStr"/>
      <c r="M663" t="inlineStr"/>
      <c r="N663" t="inlineStr"/>
      <c r="O663">
        <f>(1-Summary!$B$11)*S663+Summary!$B$11*U663</f>
        <v/>
      </c>
      <c r="P663">
        <f>IF(B686=0,0,O663/B686)</f>
        <v/>
      </c>
      <c r="Q663">
        <f>IFERROR(1/(IF(Inputs!$B$39="pvp",15,MAX(0.1,Skills!D19-IF(Skills!E19=TRUE,Inputs!$B$33,0)))*(1-IF(AND(ArtifactsInput!$M$27,Inputs!$B$4="Chapter Hunt"),CHOOSE(ArtifactsInput!$N$27+1,20,24,28,32,36,40),0)/100)),0)</f>
        <v/>
      </c>
      <c r="R663">
        <f>IF(AND(Inputs!$B$39&lt;&gt;"pvp",Inputs!$B$44&gt;0),IF(Inputs!$B$44&lt;=0,0,(INT(Inputs!$B$44/(IF(Inputs!$B$39="pvp",15,MAX(0.1,Skills!D19-IF(Skills!E19=TRUE,Inputs!$B$33,0)))*(1-IF(AND(ArtifactsInput!$M$27,Inputs!$B$4="Chapter Hunt"),CHOOSE(ArtifactsInput!$N$27+1,20,24,28,32,36,40),0)/100)))+1)),0)</f>
        <v/>
      </c>
      <c r="S663" t="n">
        <v>0</v>
      </c>
      <c r="U663" t="n">
        <v>0</v>
      </c>
    </row>
    <row r="664">
      <c r="A664">
        <f>Skills!A20</f>
        <v/>
      </c>
      <c r="B664">
        <f>Skills!B20</f>
        <v/>
      </c>
      <c r="C664">
        <f>Inputs!$B$3&gt;=125</f>
        <v/>
      </c>
      <c r="D664">
        <f>IF(Skills!C20=1,60+Inputs!$B$26+Inputs!$B$30,IF(Skills!C20=2,90+Inputs!$B$27+Inputs!$B$30,IF(Skills!C20=3,120+Inputs!$B$28+Inputs!$B$30,MAX(0,(Inputs!$B$3-100)*3)+Inputs!$B$29+Inputs!$B$30)))</f>
        <v/>
      </c>
      <c r="E664">
        <f>INDEX(FactorTable!$B$2:$Y$301, MATCH(ROUND(MIN(300,MAX(1,D664)),0), FactorTable!$A$2:$A$301,0), Skills!L20+1)</f>
        <v/>
      </c>
      <c r="F664">
        <f>IF(Skills!M20=TRUE,(Skills!K20/10)*(E664/1000),Skills!K20/10)+Skills!N20</f>
        <v/>
      </c>
      <c r="G664">
        <f>Calc!G20</f>
        <v/>
      </c>
      <c r="H664">
        <f>Calc!H20</f>
        <v/>
      </c>
      <c r="I664">
        <f>IF(Skills!T20&lt;&gt;"",1+(Skills!T20/10)*($Z$3/1000)/100,1)</f>
        <v/>
      </c>
      <c r="J664" t="inlineStr"/>
      <c r="K664" t="inlineStr"/>
      <c r="L664" t="inlineStr"/>
      <c r="M664" t="inlineStr"/>
      <c r="N664" t="inlineStr"/>
      <c r="O664">
        <f>(1-Summary!$B$11)*S664+Summary!$B$11*U664</f>
        <v/>
      </c>
      <c r="P664">
        <f>IF(B686=0,0,O664/B686)</f>
        <v/>
      </c>
      <c r="Q664">
        <f>IFERROR(1/(IF(Inputs!$B$39="pvp",15,MAX(0.1,Skills!D20-IF(Skills!E20=TRUE,Inputs!$B$33,0)))*(1-IF(AND(ArtifactsInput!$M$27,Inputs!$B$4="Chapter Hunt"),CHOOSE(ArtifactsInput!$N$27+1,20,24,28,32,36,40),0)/100)),0)</f>
        <v/>
      </c>
      <c r="R664" t="n">
        <v>0</v>
      </c>
      <c r="S664" t="n">
        <v>0</v>
      </c>
      <c r="U664" t="n">
        <v>0</v>
      </c>
    </row>
    <row r="665">
      <c r="A665">
        <f>Skills!A21</f>
        <v/>
      </c>
      <c r="B665">
        <f>Skills!B21</f>
        <v/>
      </c>
      <c r="C665">
        <f>Inputs!$B$3&gt;=33</f>
        <v/>
      </c>
      <c r="D665">
        <f>IF(Skills!C21=1,60+Inputs!$B$26+Inputs!$B$30,IF(Skills!C21=2,90+Inputs!$B$27+Inputs!$B$30,IF(Skills!C21=3,120+Inputs!$B$28+Inputs!$B$30,MAX(0,(Inputs!$B$3-100)*3)+Inputs!$B$29+Inputs!$B$30)))</f>
        <v/>
      </c>
      <c r="E665">
        <f>INDEX(FactorTable!$B$2:$Y$301, MATCH(ROUND(MIN(300,MAX(1,D665)),0), FactorTable!$A$2:$A$301,0), Skills!L21+1)</f>
        <v/>
      </c>
      <c r="F665">
        <f>IF(Skills!M21=TRUE,(Skills!K21/10)*(E665/1000),Skills!K21/10)+Skills!N21</f>
        <v/>
      </c>
      <c r="G665">
        <f>Calc!G21</f>
        <v/>
      </c>
      <c r="H665">
        <f>Calc!H21</f>
        <v/>
      </c>
      <c r="I665">
        <f>IF(Skills!T21&lt;&gt;"",1+(Skills!T21/10)*($Z$3/1000)/100,1)</f>
        <v/>
      </c>
      <c r="J665" t="inlineStr"/>
      <c r="K665" t="inlineStr"/>
      <c r="L665" t="inlineStr"/>
      <c r="M665" t="inlineStr"/>
      <c r="N665" t="inlineStr"/>
      <c r="O665">
        <f>(1-Summary!$B$11)*S665+Summary!$B$11*U665</f>
        <v/>
      </c>
      <c r="P665">
        <f>IF(B686=0,0,O665/B686)</f>
        <v/>
      </c>
      <c r="Q665">
        <f>IFERROR(1/(IF(Inputs!$B$39="pvp",15,MAX(0.1,Skills!D21-IF(Skills!E21=TRUE,Inputs!$B$33,0)))*(1-IF(AND(ArtifactsInput!$M$27,Inputs!$B$4="Chapter Hunt"),CHOOSE(ArtifactsInput!$N$27+1,20,24,28,32,36,40),0)/100)),0)</f>
        <v/>
      </c>
      <c r="R665" t="n">
        <v>0</v>
      </c>
      <c r="S665" t="n">
        <v>0</v>
      </c>
      <c r="U665" t="n">
        <v>0</v>
      </c>
    </row>
    <row r="666">
      <c r="A666">
        <f>Skills!A22</f>
        <v/>
      </c>
      <c r="B666">
        <f>Skills!B22</f>
        <v/>
      </c>
      <c r="C666">
        <f>Inputs!$B$3&gt;=43</f>
        <v/>
      </c>
      <c r="D666">
        <f>IF(Skills!C22=1,60+Inputs!$B$26+Inputs!$B$30,IF(Skills!C22=2,90+Inputs!$B$27+Inputs!$B$30,IF(Skills!C22=3,120+Inputs!$B$28+Inputs!$B$30,MAX(0,(Inputs!$B$3-100)*3)+Inputs!$B$29+Inputs!$B$30)))</f>
        <v/>
      </c>
      <c r="E666">
        <f>INDEX(FactorTable!$B$2:$Y$301, MATCH(ROUND(MIN(300,MAX(1,D666)),0), FactorTable!$A$2:$A$301,0), Skills!L22+1)</f>
        <v/>
      </c>
      <c r="F666">
        <f>IF(Skills!M22=TRUE,(Skills!K22/10)*(E666/1000),Skills!K22/10)+Skills!N22</f>
        <v/>
      </c>
      <c r="G666">
        <f>Calc!G22</f>
        <v/>
      </c>
      <c r="H666">
        <f>Calc!H22</f>
        <v/>
      </c>
      <c r="I666">
        <f>IF(Skills!T22&lt;&gt;"",1+(Skills!T22/10)*($Z$3/1000)/100,1)</f>
        <v/>
      </c>
      <c r="J666" t="inlineStr"/>
      <c r="K666" t="inlineStr"/>
      <c r="L666" t="inlineStr"/>
      <c r="M666" t="inlineStr"/>
      <c r="N666" t="inlineStr"/>
      <c r="O666">
        <f>(1-Summary!$B$11)*S666+Summary!$B$11*U666</f>
        <v/>
      </c>
      <c r="P666">
        <f>IF(B686=0,0,O666/B686)</f>
        <v/>
      </c>
      <c r="Q666">
        <f>IFERROR(1/(IF(Inputs!$B$39="pvp",15,MAX(0.1,Skills!D22-IF(Skills!E22=TRUE,Inputs!$B$33,0)))*(1-IF(AND(ArtifactsInput!$M$27,Inputs!$B$4="Chapter Hunt"),CHOOSE(ArtifactsInput!$N$27+1,20,24,28,32,36,40),0)/100)),0)</f>
        <v/>
      </c>
      <c r="R666" t="n">
        <v>0</v>
      </c>
      <c r="S666" t="n">
        <v>0</v>
      </c>
      <c r="U666" t="n">
        <v>0</v>
      </c>
    </row>
    <row r="667">
      <c r="A667">
        <f>Skills!A23</f>
        <v/>
      </c>
      <c r="B667">
        <f>Skills!B23</f>
        <v/>
      </c>
      <c r="C667">
        <f>Inputs!$B$3&gt;=50</f>
        <v/>
      </c>
      <c r="D667">
        <f>IF(Skills!C23=1,60+Inputs!$B$26+Inputs!$B$30,IF(Skills!C23=2,90+Inputs!$B$27+Inputs!$B$30,IF(Skills!C23=3,120+Inputs!$B$28+Inputs!$B$30,MAX(0,(Inputs!$B$3-100)*3)+Inputs!$B$29+Inputs!$B$30)))</f>
        <v/>
      </c>
      <c r="E667">
        <f>INDEX(FactorTable!$B$2:$Y$301, MATCH(ROUND(MIN(300,MAX(1,D667)),0), FactorTable!$A$2:$A$301,0), Skills!L23+1)</f>
        <v/>
      </c>
      <c r="F667">
        <f>IF(Skills!M23=TRUE,(Skills!K23/10)*(E667/1000),Skills!K23/10)+Skills!N23</f>
        <v/>
      </c>
      <c r="G667">
        <f>Calc!G23</f>
        <v/>
      </c>
      <c r="H667">
        <f>Calc!H23</f>
        <v/>
      </c>
      <c r="I667">
        <f>IF(Skills!T23&lt;&gt;"",1+(Skills!T23/10)*($Z$3/1000)/100,1)</f>
        <v/>
      </c>
      <c r="J667" t="inlineStr"/>
      <c r="K667" t="inlineStr"/>
      <c r="L667" t="inlineStr"/>
      <c r="M667" t="inlineStr"/>
      <c r="N667" t="inlineStr"/>
      <c r="O667">
        <f>(1-Summary!$B$11)*S667+Summary!$B$11*U667</f>
        <v/>
      </c>
      <c r="P667">
        <f>IF(B686=0,0,O667/B686)</f>
        <v/>
      </c>
      <c r="Q667">
        <f>IFERROR(1/(IF(Inputs!$B$39="pvp",15,MAX(0.1,Skills!D23-IF(Skills!E23=TRUE,Inputs!$B$33,0)))*(1-IF(AND(ArtifactsInput!$M$27,Inputs!$B$4="Chapter Hunt"),CHOOSE(ArtifactsInput!$N$27+1,20,24,28,32,36,40),0)/100)),0)</f>
        <v/>
      </c>
      <c r="R667" t="n">
        <v>0</v>
      </c>
      <c r="S667" t="n">
        <v>0</v>
      </c>
      <c r="U667" t="n">
        <v>0</v>
      </c>
    </row>
    <row r="668">
      <c r="A668">
        <f>Skills!A24</f>
        <v/>
      </c>
      <c r="B668">
        <f>Skills!B24</f>
        <v/>
      </c>
      <c r="C668">
        <f>Inputs!$B$3&gt;=74</f>
        <v/>
      </c>
      <c r="D668">
        <f>IF(Skills!C24=1,60+Inputs!$B$26+Inputs!$B$30,IF(Skills!C24=2,90+Inputs!$B$27+Inputs!$B$30,IF(Skills!C24=3,120+Inputs!$B$28+Inputs!$B$30,MAX(0,(Inputs!$B$3-100)*3)+Inputs!$B$29+Inputs!$B$30)))</f>
        <v/>
      </c>
      <c r="E668">
        <f>INDEX(FactorTable!$B$2:$Y$301, MATCH(ROUND(MIN(300,MAX(1,D668)),0), FactorTable!$A$2:$A$301,0), Skills!L24+1)</f>
        <v/>
      </c>
      <c r="F668">
        <f>IF(Skills!M24=TRUE,(Skills!K24/10)*(E668/1000),Skills!K24/10)+Skills!N24</f>
        <v/>
      </c>
      <c r="G668">
        <f>Calc!G24</f>
        <v/>
      </c>
      <c r="H668">
        <f>Calc!H24</f>
        <v/>
      </c>
      <c r="I668">
        <f>IF(Skills!T24&lt;&gt;"",1+(Skills!T24/10)*($Z$3/1000)/100,1)</f>
        <v/>
      </c>
      <c r="J668" t="inlineStr"/>
      <c r="K668" t="inlineStr"/>
      <c r="L668" t="inlineStr"/>
      <c r="M668" t="inlineStr"/>
      <c r="N668" t="inlineStr"/>
      <c r="O668">
        <f>(1-Summary!$B$11)*S668+Summary!$B$11*U668</f>
        <v/>
      </c>
      <c r="P668">
        <f>IF(B686=0,0,O668/B686)</f>
        <v/>
      </c>
      <c r="Q668">
        <f>IFERROR(1/(IF(Inputs!$B$39="pvp",15,MAX(0.1,Skills!D24-IF(Skills!E24=TRUE,Inputs!$B$33,0)))*(1-IF(AND(ArtifactsInput!$M$27,Inputs!$B$4="Chapter Hunt"),CHOOSE(ArtifactsInput!$N$27+1,20,24,28,32,36,40),0)/100)),0)</f>
        <v/>
      </c>
      <c r="R668" t="n">
        <v>0</v>
      </c>
      <c r="S668" t="n">
        <v>0</v>
      </c>
      <c r="U668" t="n">
        <v>0</v>
      </c>
    </row>
    <row r="669">
      <c r="A669">
        <f>Skills!A25</f>
        <v/>
      </c>
      <c r="B669">
        <f>Skills!B25</f>
        <v/>
      </c>
      <c r="C669">
        <f>Inputs!$B$3&gt;=74</f>
        <v/>
      </c>
      <c r="D669">
        <f>IF(Skills!C25=1,60+Inputs!$B$26+Inputs!$B$30,IF(Skills!C25=2,90+Inputs!$B$27+Inputs!$B$30,IF(Skills!C25=3,120+Inputs!$B$28+Inputs!$B$30,MAX(0,(Inputs!$B$3-100)*3)+Inputs!$B$29+Inputs!$B$30)))</f>
        <v/>
      </c>
      <c r="E669">
        <f>INDEX(FactorTable!$B$2:$Y$301, MATCH(ROUND(MIN(300,MAX(1,D669)),0), FactorTable!$A$2:$A$301,0), Skills!L25+1)</f>
        <v/>
      </c>
      <c r="F669">
        <f>IF(Skills!M25=TRUE,(Skills!K25/10)*(E669/1000),Skills!K25/10)+Skills!N25</f>
        <v/>
      </c>
      <c r="G669">
        <f>Calc!G25</f>
        <v/>
      </c>
      <c r="H669">
        <f>Calc!H25</f>
        <v/>
      </c>
      <c r="I669">
        <f>IF(Skills!T25&lt;&gt;"",1+(Skills!T25/10)*($Z$3/1000)/100,1)</f>
        <v/>
      </c>
      <c r="J669" t="inlineStr"/>
      <c r="K669" t="inlineStr"/>
      <c r="L669" t="inlineStr"/>
      <c r="M669" t="inlineStr"/>
      <c r="N669" t="inlineStr"/>
      <c r="O669">
        <f>(1-Summary!$B$11)*S669+Summary!$B$11*U669</f>
        <v/>
      </c>
      <c r="P669">
        <f>IF(B686=0,0,O669/B686)</f>
        <v/>
      </c>
      <c r="Q669">
        <f>IFERROR(1/(IF(Inputs!$B$39="pvp",15,MAX(0.1,Skills!D25-IF(Skills!E25=TRUE,Inputs!$B$33,0)))*(1-IF(AND(ArtifactsInput!$M$27,Inputs!$B$4="Chapter Hunt"),CHOOSE(ArtifactsInput!$N$27+1,20,24,28,32,36,40),0)/100)),0)</f>
        <v/>
      </c>
      <c r="R669" t="n">
        <v>0</v>
      </c>
      <c r="S669" t="n">
        <v>0</v>
      </c>
      <c r="U669" t="n">
        <v>0</v>
      </c>
    </row>
    <row r="670">
      <c r="A670">
        <f>Skills!A26</f>
        <v/>
      </c>
      <c r="B670">
        <f>Skills!B26</f>
        <v/>
      </c>
      <c r="C670">
        <f>Inputs!$B$3&gt;=117</f>
        <v/>
      </c>
      <c r="D670">
        <f>IF(Skills!C26=1,60+Inputs!$B$26+Inputs!$B$30,IF(Skills!C26=2,90+Inputs!$B$27+Inputs!$B$30,IF(Skills!C26=3,120+Inputs!$B$28+Inputs!$B$30,MAX(0,(Inputs!$B$3-100)*3)+Inputs!$B$29+Inputs!$B$30)))</f>
        <v/>
      </c>
      <c r="E670">
        <f>INDEX(FactorTable!$B$2:$Y$301, MATCH(ROUND(MIN(300,MAX(1,D670)),0), FactorTable!$A$2:$A$301,0), Skills!L26+1)</f>
        <v/>
      </c>
      <c r="F670">
        <f>IF(Skills!M26=TRUE,(Skills!K26/10)*(E670/1000),Skills!K26/10)+Skills!N26</f>
        <v/>
      </c>
      <c r="G670">
        <f>Calc!G26</f>
        <v/>
      </c>
      <c r="H670">
        <f>Calc!H26</f>
        <v/>
      </c>
      <c r="I670">
        <f>IF(Skills!T26&lt;&gt;"",1+(Skills!T26/10)*($Z$3/1000)/100,1)</f>
        <v/>
      </c>
      <c r="J670" t="inlineStr"/>
      <c r="K670" t="inlineStr"/>
      <c r="L670" t="inlineStr"/>
      <c r="M670" t="inlineStr"/>
      <c r="N670" t="inlineStr"/>
      <c r="O670">
        <f>(1-Summary!$B$11)*S670+Summary!$B$11*U670</f>
        <v/>
      </c>
      <c r="P670">
        <f>IF(B686=0,0,O670/B686)</f>
        <v/>
      </c>
      <c r="Q670">
        <f>IFERROR(1/(IF(Inputs!$B$39="pvp",15,MAX(0.1,Skills!D26-IF(Skills!E26=TRUE,Inputs!$B$33,0)))*(1-IF(AND(ArtifactsInput!$M$27,Inputs!$B$4="Chapter Hunt"),CHOOSE(ArtifactsInput!$N$27+1,20,24,28,32,36,40),0)/100)),0)</f>
        <v/>
      </c>
      <c r="R670" t="n">
        <v>0</v>
      </c>
      <c r="S670" t="n">
        <v>0</v>
      </c>
      <c r="U670" t="n">
        <v>0</v>
      </c>
    </row>
    <row r="671">
      <c r="A671">
        <f>Skills!A27</f>
        <v/>
      </c>
      <c r="B671">
        <f>Skills!B27</f>
        <v/>
      </c>
      <c r="C671">
        <f>Inputs!$B$3&gt;=120</f>
        <v/>
      </c>
      <c r="D671">
        <f>IF(Skills!C27=1,60+Inputs!$B$26+Inputs!$B$30,IF(Skills!C27=2,90+Inputs!$B$27+Inputs!$B$30,IF(Skills!C27=3,120+Inputs!$B$28+Inputs!$B$30,MAX(0,(Inputs!$B$3-100)*3)+Inputs!$B$29+Inputs!$B$30)))</f>
        <v/>
      </c>
      <c r="E671">
        <f>INDEX(FactorTable!$B$2:$Y$301, MATCH(ROUND(MIN(300,MAX(1,D671)),0), FactorTable!$A$2:$A$301,0), Skills!L27+1)</f>
        <v/>
      </c>
      <c r="F671">
        <f>IF(Skills!M27=TRUE,(Skills!K27/10)*(E671/1000),Skills!K27/10)+Skills!N27</f>
        <v/>
      </c>
      <c r="G671">
        <f>Calc!G27</f>
        <v/>
      </c>
      <c r="H671">
        <f>Calc!H27</f>
        <v/>
      </c>
      <c r="I671">
        <f>IF(Skills!T27&lt;&gt;"",1+(Skills!T27/10)*($Z$3/1000)/100,1)</f>
        <v/>
      </c>
      <c r="J671" t="inlineStr"/>
      <c r="K671" t="inlineStr"/>
      <c r="L671" t="inlineStr"/>
      <c r="M671" t="inlineStr"/>
      <c r="N671" t="inlineStr"/>
      <c r="O671">
        <f>(1-Summary!$B$11)*S671+Summary!$B$11*U671</f>
        <v/>
      </c>
      <c r="P671">
        <f>IF(B686=0,0,O671/B686)</f>
        <v/>
      </c>
      <c r="Q671">
        <f>IFERROR(1/(IF(Inputs!$B$39="pvp",15,MAX(0.1,Skills!D27-IF(Skills!E27=TRUE,Inputs!$B$33,0)))*(1-IF(AND(ArtifactsInput!$M$27,Inputs!$B$4="Chapter Hunt"),CHOOSE(ArtifactsInput!$N$27+1,20,24,28,32,36,40),0)/100)),0)</f>
        <v/>
      </c>
      <c r="R671" t="n">
        <v>0</v>
      </c>
      <c r="S671" t="n">
        <v>0</v>
      </c>
      <c r="U671" t="n">
        <v>0</v>
      </c>
    </row>
    <row r="673">
      <c r="A673" t="inlineStr">
        <is>
          <t>Average Buff Multiplier</t>
        </is>
      </c>
      <c r="B673">
        <f>(1+(IF(C647=TRUE,F647*IF(AND(Inputs!$B$39&lt;&gt;"pvp",Inputs!$B$44&gt;0),(((R647-1)*(Skills!S3*(1+((Inputs!$B$35+(ArtifactsInput!$M$7-ArtifactsInput!$M$7)*CHOOSE(ArtifactsInput!$N$7+1,6,7.2,8.4,9.6,10.8,12))+IF(Inputs!$B$3&gt;=117,F670,0))/100))+MIN((Skills!S3*(1+((Inputs!$B$35+(ArtifactsInput!$M$7-ArtifactsInput!$M$7)*CHOOSE(ArtifactsInput!$N$7+1,6,7.2,8.4,9.6,10.8,12))+IF(Inputs!$B$3&gt;=117,F670,0))/100)),MAX(0,Inputs!$B$44-((R647-1)*Skills!D3))))/Inputs!$B$44),IF(Inputs!$B$39="pvp",MIN((Skills!S3*(1+((Inputs!$B$35+(ArtifactsInput!$M$7-ArtifactsInput!$M$7)*CHOOSE(ArtifactsInput!$N$7+1,6,7.2,8.4,9.6,10.8,12))+IF(Inputs!$B$3&gt;=117,F670,0))/100)),15)/15,(Skills!S3*(1+((Inputs!$B$35+(ArtifactsInput!$M$7-ArtifactsInput!$M$7)*CHOOSE(ArtifactsInput!$N$7+1,6,7.2,8.4,9.6,10.8,12))+IF(Inputs!$B$3&gt;=117,F670,0))/100))/Skills!D3)),0)+IF(C648=TRUE,F648*IF(AND(Inputs!$B$39&lt;&gt;"pvp",Inputs!$B$44&gt;0),(((R648-1)*(Skills!S4*(1+((Inputs!$B$35+(ArtifactsInput!$M$7-ArtifactsInput!$M$7)*CHOOSE(ArtifactsInput!$N$7+1,6,7.2,8.4,9.6,10.8,12))+IF(Inputs!$B$3&gt;=117,F670,0))/100))+MIN((Skills!S4*(1+((Inputs!$B$35+(ArtifactsInput!$M$7-ArtifactsInput!$M$7)*CHOOSE(ArtifactsInput!$N$7+1,6,7.2,8.4,9.6,10.8,12))+IF(Inputs!$B$3&gt;=117,F670,0))/100)),MAX(0,Inputs!$B$44-((R648-1)*Skills!D4))))/Inputs!$B$44),IF(Inputs!$B$39="pvp",MIN((Skills!S4*(1+((Inputs!$B$35+(ArtifactsInput!$M$7-ArtifactsInput!$M$7)*CHOOSE(ArtifactsInput!$N$7+1,6,7.2,8.4,9.6,10.8,12))+IF(Inputs!$B$3&gt;=117,F670,0))/100)),15)/15,(Skills!S4*(1+((Inputs!$B$35+(ArtifactsInput!$M$7-ArtifactsInput!$M$7)*CHOOSE(ArtifactsInput!$N$7+1,6,7.2,8.4,9.6,10.8,12))+IF(Inputs!$B$3&gt;=117,F670,0))/100))/Skills!D4)),0)+IF(C649=TRUE,F649*IF(AND(Inputs!$B$39&lt;&gt;"pvp",Inputs!$B$44&gt;0),(((R649-1)*(Skills!S5*(1+((Inputs!$B$35+(ArtifactsInput!$M$7-ArtifactsInput!$M$7)*CHOOSE(ArtifactsInput!$N$7+1,6,7.2,8.4,9.6,10.8,12))+IF(Inputs!$B$3&gt;=117,F670,0))/100))+MIN((Skills!S5*(1+((Inputs!$B$35+(ArtifactsInput!$M$7-ArtifactsInput!$M$7)*CHOOSE(ArtifactsInput!$N$7+1,6,7.2,8.4,9.6,10.8,12))+IF(Inputs!$B$3&gt;=117,F670,0))/100)),MAX(0,Inputs!$B$44-((R649-1)*Skills!D5))))/Inputs!$B$44),IF(Inputs!$B$39="pvp",MIN((Skills!S5*(1+((Inputs!$B$35+(ArtifactsInput!$M$7-ArtifactsInput!$M$7)*CHOOSE(ArtifactsInput!$N$7+1,6,7.2,8.4,9.6,10.8,12))+IF(Inputs!$B$3&gt;=117,F670,0))/100)),15)/15,(Skills!S5*(1+((Inputs!$B$35+(ArtifactsInput!$M$7-ArtifactsInput!$M$7)*CHOOSE(ArtifactsInput!$N$7+1,6,7.2,8.4,9.6,10.8,12))+IF(Inputs!$B$3&gt;=117,F670,0))/100))/Skills!D5)),0)+IF(C655=TRUE,F655*IF(AND(Inputs!$B$39&lt;&gt;"pvp",Inputs!$B$44&gt;0),(((R655-1)*(Skills!S11*(1+((Inputs!$B$35+(ArtifactsInput!$M$7-ArtifactsInput!$M$7)*CHOOSE(ArtifactsInput!$N$7+1,6,7.2,8.4,9.6,10.8,12))+IF(Inputs!$B$3&gt;=117,F670,0))/100))+MIN((Skills!S11*(1+((Inputs!$B$35+(ArtifactsInput!$M$7-ArtifactsInput!$M$7)*CHOOSE(ArtifactsInput!$N$7+1,6,7.2,8.4,9.6,10.8,12))+IF(Inputs!$B$3&gt;=117,F670,0))/100)),MAX(0,Inputs!$B$44-((R655-1)*Skills!D11))))/Inputs!$B$44),IF(Inputs!$B$39="pvp",MIN((Skills!S11*(1+((Inputs!$B$35+(ArtifactsInput!$M$7-ArtifactsInput!$M$7)*CHOOSE(ArtifactsInput!$N$7+1,6,7.2,8.4,9.6,10.8,12))+IF(Inputs!$B$3&gt;=117,F670,0))/100)),15)/15,(Skills!S11*(1+((Inputs!$B$35+(ArtifactsInput!$M$7-ArtifactsInput!$M$7)*CHOOSE(ArtifactsInput!$N$7+1,6,7.2,8.4,9.6,10.8,12))+IF(Inputs!$B$3&gt;=117,F670,0)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658=TRUE,(1+F658*IF(AND(Inputs!$B$39&lt;&gt;"pvp",Inputs!$B$44&gt;0),(((R658-1)*(Skills!S14*(1+((Inputs!$B$35+(ArtifactsInput!$M$7-ArtifactsInput!$M$7)*CHOOSE(ArtifactsInput!$N$7+1,6,7.2,8.4,9.6,10.8,12))+IF(Inputs!$B$3&gt;=117,F670,0))/100))+MIN((Skills!S14*(1+((Inputs!$B$35+(ArtifactsInput!$M$7-ArtifactsInput!$M$7)*CHOOSE(ArtifactsInput!$N$7+1,6,7.2,8.4,9.6,10.8,12))+IF(Inputs!$B$3&gt;=117,F670,0))/100)),MAX(0,Inputs!$B$44-((R658-1)*Skills!D14))))/Inputs!$B$44),IF(Inputs!$B$39="pvp",MIN((Skills!S14*(1+((Inputs!$B$35+(ArtifactsInput!$M$7-ArtifactsInput!$M$7)*CHOOSE(ArtifactsInput!$N$7+1,6,7.2,8.4,9.6,10.8,12))+IF(Inputs!$B$3&gt;=117,F670,0))/100)),15)/15,(Skills!S14*(1+((Inputs!$B$35+(ArtifactsInput!$M$7-ArtifactsInput!$M$7)*CHOOSE(ArtifactsInput!$N$7+1,6,7.2,8.4,9.6,10.8,12))+IF(Inputs!$B$3&gt;=117,F670,0))/100))/Skills!D14))/100),1)*IF(C663=TRUE,(1+F663*IF(AND(Inputs!$B$39&lt;&gt;"pvp",Inputs!$B$44&gt;0),(((R663-1)*(Skills!S19*(1+((Inputs!$B$35+(ArtifactsInput!$M$7-ArtifactsInput!$M$7)*CHOOSE(ArtifactsInput!$N$7+1,6,7.2,8.4,9.6,10.8,12))+IF(Inputs!$B$3&gt;=117,F670,0))/100))+MIN((Skills!S19*(1+((Inputs!$B$35+(ArtifactsInput!$M$7-ArtifactsInput!$M$7)*CHOOSE(ArtifactsInput!$N$7+1,6,7.2,8.4,9.6,10.8,12))+IF(Inputs!$B$3&gt;=117,F670,0))/100)),MAX(0,Inputs!$B$44-((R663-1)*Skills!D19))))/Inputs!$B$44),IF(Inputs!$B$39="pvp",MIN((Skills!S19*(1+((Inputs!$B$35+(ArtifactsInput!$M$7-ArtifactsInput!$M$7)*CHOOSE(ArtifactsInput!$N$7+1,6,7.2,8.4,9.6,10.8,12))+IF(Inputs!$B$3&gt;=117,F670,0))/100)),15)/15,(Skills!S19*(1+((Inputs!$B$35+(ArtifactsInput!$M$7-ArtifactsInput!$M$7)*CHOOSE(ArtifactsInput!$N$7+1,6,7.2,8.4,9.6,10.8,12))+IF(Inputs!$B$3&gt;=117,F670,0))/100))/Skills!D19))/100),1)</f>
        <v/>
      </c>
    </row>
    <row r="674">
      <c r="A674" t="inlineStr">
        <is>
          <t>Monster Damage Taken Bonus % (Holy Fountain)</t>
        </is>
      </c>
      <c r="B674">
        <f>IF(Inputs!$B$3&gt;=68,20*IF(Inputs!$B$39="pvp",MIN((15*(1+((Inputs!$B$35+(ArtifactsInput!$M$7-ArtifactsInput!$M$7)*CHOOSE(ArtifactsInput!$N$7+1,6,7.2,8.4,9.6,10.8,12))+IF(Inputs!$B$3&gt;=117,F670,0))/100)),15)/15,(15*(1+((Inputs!$B$35+(ArtifactsInput!$M$7-ArtifactsInput!$M$7)*CHOOSE(ArtifactsInput!$N$7+1,6,7.2,8.4,9.6,10.8,12))+IF(Inputs!$B$3&gt;=117,F670,0))/100))/Skills!D10),0)</f>
        <v/>
      </c>
    </row>
    <row r="675">
      <c r="A675" t="inlineStr">
        <is>
          <t>Normal Monster Damage Bonus % (Holy Symbol)</t>
        </is>
      </c>
      <c r="B675">
        <f>IF(C656=TRUE,F656*IF(AND(Inputs!$B$39&lt;&gt;"pvp",Inputs!$B$44&gt;0),(((R656-1)*(Skills!S12*(1+((Inputs!$B$35+(ArtifactsInput!$M$7-ArtifactsInput!$M$7)*CHOOSE(ArtifactsInput!$N$7+1,6,7.2,8.4,9.6,10.8,12))+IF(Inputs!$B$3&gt;=117,F670,0))/100))+MIN((Skills!S12*(1+((Inputs!$B$35+(ArtifactsInput!$M$7-ArtifactsInput!$M$7)*CHOOSE(ArtifactsInput!$N$7+1,6,7.2,8.4,9.6,10.8,12))+IF(Inputs!$B$3&gt;=117,F670,0))/100)),MAX(0,Inputs!$B$44-((R656-1)*Skills!D12))))/Inputs!$B$44),IF(Inputs!$B$39="pvp",MIN((Skills!S12*(1+((Inputs!$B$35+(ArtifactsInput!$M$7-ArtifactsInput!$M$7)*CHOOSE(ArtifactsInput!$N$7+1,6,7.2,8.4,9.6,10.8,12))+IF(Inputs!$B$3&gt;=117,F670,0))/100)),15)/15,(Skills!S12*(1+((Inputs!$B$35+(ArtifactsInput!$M$7-ArtifactsInput!$M$7)*CHOOSE(ArtifactsInput!$N$7+1,6,7.2,8.4,9.6,10.8,12))+IF(Inputs!$B$3&gt;=117,F670,0))/100))/Skills!D12)),0)</f>
        <v/>
      </c>
    </row>
    <row r="676">
      <c r="A676" t="inlineStr">
        <is>
          <t>Damage % Bonus (Holy Symbol - Damage Boost)</t>
        </is>
      </c>
      <c r="B676">
        <f>Skills!O12</f>
        <v/>
      </c>
    </row>
    <row r="677">
      <c r="A677" t="inlineStr">
        <is>
          <t>Crit Damage % Bonus (Blood of the Divine)</t>
        </is>
      </c>
      <c r="B677">
        <f>4*IF(C664=TRUE,F664,0)</f>
        <v/>
      </c>
    </row>
    <row r="678">
      <c r="A678" t="inlineStr">
        <is>
          <t>Attack Speed Bonus %</t>
        </is>
      </c>
      <c r="B678">
        <f>IF(C661=TRUE,F661+(F665-Calc!F21),0)+IF(Inputs!$B$3&gt;=134,15,0)</f>
        <v/>
      </c>
    </row>
    <row r="679">
      <c r="A679" t="inlineStr">
        <is>
          <t>Actions Per Second</t>
        </is>
      </c>
      <c r="B679">
        <f>1+MIN(150,150*(1-(1-((1-(1-Inputs!$B$12/150)*(1-1/150))*150)/150)*(1-B678/150)))/100</f>
        <v/>
      </c>
    </row>
    <row r="680">
      <c r="A680" t="inlineStr">
        <is>
          <t>Skill + Buff Cast Rate</t>
        </is>
      </c>
      <c r="B680">
        <f>IF(AND(Inputs!$B$39&lt;&gt;"pvp",Inputs!$B$44&gt;0),SUMPRODUCT((Skills!E2:E27=TRUE)*(C646:C671=TRUE)*R646:R671)/Inputs!$B$44,SUMPRODUCT((Skills!E2:E27=TRUE)*(C646:C671=TRUE)*Q646:Q671))</f>
        <v/>
      </c>
    </row>
    <row r="681">
      <c r="A681" t="inlineStr">
        <is>
          <t>Big Bang Casts Per Second</t>
        </is>
      </c>
      <c r="B681">
        <f>MAX(0,B679-B680)</f>
        <v/>
      </c>
    </row>
    <row r="682">
      <c r="A682" t="inlineStr">
        <is>
          <t>Defense % Bonus (Divine Protection)</t>
        </is>
      </c>
      <c r="B682">
        <f>IF(C657=TRUE,F657*IF(AND(Inputs!$B$39&lt;&gt;"pvp",Inputs!$B$44&gt;0),(((R657-1)*(Skills!S13*(1+((Inputs!$B$35+(ArtifactsInput!$M$7-ArtifactsInput!$M$7)*CHOOSE(ArtifactsInput!$N$7+1,6,7.2,8.4,9.6,10.8,12))+IF(Inputs!$B$3&gt;=117,F670,0))/100))+MIN((Skills!S13*(1+((Inputs!$B$35+(ArtifactsInput!$M$7-ArtifactsInput!$M$7)*CHOOSE(ArtifactsInput!$N$7+1,6,7.2,8.4,9.6,10.8,12))+IF(Inputs!$B$3&gt;=117,F670,0))/100)),MAX(0,Inputs!$B$44-((R657-1)*Skills!D13))))/Inputs!$B$44),IF(Inputs!$B$39="pvp",MIN((Skills!S13*(1+((Inputs!$B$35+(ArtifactsInput!$M$7-ArtifactsInput!$M$7)*CHOOSE(ArtifactsInput!$N$7+1,6,7.2,8.4,9.6,10.8,12))+IF(Inputs!$B$3&gt;=117,F670,0))/100)),15)/15,(Skills!S13*(1+((Inputs!$B$35+(ArtifactsInput!$M$7-ArtifactsInput!$M$7)*CHOOSE(ArtifactsInput!$N$7+1,6,7.2,8.4,9.6,10.8,12))+IF(Inputs!$B$3&gt;=117,F670,0))/100))/Skills!D13)),0)</f>
        <v/>
      </c>
    </row>
    <row r="683">
      <c r="A683" t="inlineStr">
        <is>
          <t>Buff-Casting Startup Delay (s, fixed-duration only)</t>
        </is>
      </c>
      <c r="B683">
        <f>IF(AND(Inputs!$B$39&lt;&gt;"pvp",Inputs!$B$44&gt;0),SUMPRODUCT((Skills!S2:S27&gt;0)*(Skills!E2:E27=TRUE)*(C646:C671=TRUE))/B679,0)</f>
        <v/>
      </c>
    </row>
    <row r="684">
      <c r="A684" t="inlineStr">
        <is>
          <t>Boss-Only Total DPS (this block's swept value)</t>
        </is>
      </c>
      <c r="B684">
        <f>SUM(S646:S671)</f>
        <v/>
      </c>
    </row>
    <row r="685">
      <c r="A685" t="inlineStr">
        <is>
          <t>Normal-Only Total DPS (this block's swept value)</t>
        </is>
      </c>
      <c r="B685">
        <f>SUM(U646:U671)</f>
        <v/>
      </c>
    </row>
    <row r="686">
      <c r="A686" s="6" t="inlineStr">
        <is>
          <t>TOTAL DPS</t>
        </is>
      </c>
      <c r="B686" s="6">
        <f>SUM(O646:O671)</f>
        <v/>
      </c>
    </row>
    <row r="688">
      <c r="A688" s="6" t="inlineStr">
        <is>
          <t>Stat: DEF_PEN % (diminishing returns, factor 100)</t>
        </is>
      </c>
    </row>
    <row r="689">
      <c r="A689" s="5" t="inlineStr">
        <is>
          <t>Key</t>
        </is>
      </c>
      <c r="B689" s="5" t="inlineStr">
        <is>
          <t>Name</t>
        </is>
      </c>
      <c r="C689" s="5" t="inlineStr">
        <is>
          <t>Unlocked</t>
        </is>
      </c>
      <c r="D689" s="5" t="inlineStr">
        <is>
          <t>InputLevel</t>
        </is>
      </c>
      <c r="E689" s="5" t="inlineStr">
        <is>
          <t>Factor</t>
        </is>
      </c>
      <c r="F689" s="5" t="inlineStr">
        <is>
          <t>CoefficientPercent</t>
        </is>
      </c>
      <c r="G689" s="5" t="inlineStr">
        <is>
          <t>EffectiveHits</t>
        </is>
      </c>
      <c r="H689" s="5" t="inlineStr">
        <is>
          <t>ProcProbability</t>
        </is>
      </c>
      <c r="I689" s="5" t="inlineStr">
        <is>
          <t>MapleHeroMultiplier</t>
        </is>
      </c>
      <c r="J689" s="5" t="inlineStr">
        <is>
          <t>BaseDamage</t>
        </is>
      </c>
      <c r="K689" s="5" t="inlineStr">
        <is>
          <t>BaseHitDamage</t>
        </is>
      </c>
      <c r="L689" s="5" t="inlineStr">
        <is>
          <t>NonCritAvg</t>
        </is>
      </c>
      <c r="M689" s="5" t="inlineStr">
        <is>
          <t>CritAvg</t>
        </is>
      </c>
      <c r="N689" s="5" t="inlineStr">
        <is>
          <t>ExpectedDamage(perHit)</t>
        </is>
      </c>
      <c r="O689" s="5" t="inlineStr">
        <is>
          <t>DPS</t>
        </is>
      </c>
      <c r="P689" s="5" t="inlineStr">
        <is>
          <t>% of Total</t>
        </is>
      </c>
      <c r="R689" t="inlineStr">
        <is>
          <t>helpers</t>
        </is>
      </c>
    </row>
    <row r="690">
      <c r="A690">
        <f>Skills!A2</f>
        <v/>
      </c>
      <c r="B690">
        <f>Skills!B2</f>
        <v/>
      </c>
      <c r="C690">
        <f>Inputs!$B$3&gt;=100</f>
        <v/>
      </c>
      <c r="D690" t="inlineStr"/>
      <c r="E690" t="inlineStr"/>
      <c r="F690">
        <f>T692+Skills!N2</f>
        <v/>
      </c>
      <c r="G690">
        <f>Calc!G2</f>
        <v/>
      </c>
      <c r="H690">
        <f>Calc!H2</f>
        <v/>
      </c>
      <c r="I690">
        <f>IF(Skills!T2&lt;&gt;"",1+(Skills!T2/10)*($Z$3/1000)/100,1)</f>
        <v/>
      </c>
      <c r="J690">
        <f>((Inputs!$B$6*(1+Inputs!$B$7/100))+(((Inputs!$B$13*(1+Inputs!$B$14/100))-(Inputs!$B$13*(1+Inputs!$B$14/100)))+0.25*(Inputs!$B$15-Inputs!$B$15))*(1+Inputs!$B$7/100))*(F690/100)</f>
        <v/>
      </c>
      <c r="K690">
        <f>J690*(1+(((Inputs!$B$13+IF(Inputs!$B$3&gt;=35,(10*INDEX(FactorTable!$B$2:$Y$301,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2="TRIUMPH_FEATHER",IF(C704=TRUE,F704,0),0)/100)*(1+IF(C715=TRUE,F715,0)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690)</f>
        <v/>
      </c>
      <c r="L690">
        <f>K690*(MIN(Inputs!$B$23+(F710-Calc!F22),(Inputs!$B$24+IF(ArtifactsInput!$M$15,CHOOSE(ArtifactsInput!$N$15+1,25,30,35,40,45,50)/100*(Inputs!$B$12-Inputs!$B$12),0)))/100+(Inputs!$B$24+IF(ArtifactsInput!$M$15,CHOOSE(ArtifactsInput!$N$15+1,25,30,35,40,45,50)/100*(Inputs!$B$12-Inputs!$B$12),0))/100)/2</f>
        <v/>
      </c>
      <c r="M690">
        <f>L690*(1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0">
        <f>L690*(1-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690*(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0">
        <f>(1-Summary!$B$11)*S690+Summary!$B$11*U690</f>
        <v/>
      </c>
      <c r="P690">
        <f>IF(B730=0,0,O690/B730)</f>
        <v/>
      </c>
      <c r="Q690">
        <f>IFERROR(1/(IF(Inputs!$B$39="pvp",15,MAX(0.1,Skills!D2-IF(Skills!E2=TRUE,Inputs!$B$33,0)))*(1-IF(AND(ArtifactsInput!$M$27,Inputs!$B$4="Chapter Hunt"),CHOOSE(ArtifactsInput!$N$27+1,20,24,28,32,36,40),0)/100)),0)</f>
        <v/>
      </c>
      <c r="R690" t="n">
        <v>0</v>
      </c>
      <c r="S690">
        <f>IF(C690,(Skills!F2*N690*B725)*IF(Inputs!$B$39="pvp",1,1+(Inputs!$B$21+Skills!O2+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690*(1-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690*(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690*(1-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690*(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90">
        <f>MAX(0,(Inputs!$B$3-100)*3)+Inputs!$B$29+Inputs!$B$30</f>
        <v/>
      </c>
      <c r="U690">
        <f>IF(C690,(Skills!F2*N690*B725)*IF(Inputs!$B$39="pvp",1,(1+(Inputs!$B$22+Skills!P2+B719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1">
      <c r="A691">
        <f>Skills!A3</f>
        <v/>
      </c>
      <c r="B691">
        <f>Skills!B3</f>
        <v/>
      </c>
      <c r="C691">
        <f>Inputs!$B$3&gt;=15</f>
        <v/>
      </c>
      <c r="D691">
        <f>IF(Skills!C3=1,60+Inputs!$B$26+Inputs!$B$30,IF(Skills!C3=2,90+Inputs!$B$27+Inputs!$B$30,IF(Skills!C3=3,120+Inputs!$B$28+Inputs!$B$30,MAX(0,(Inputs!$B$3-100)*3)+Inputs!$B$29+Inputs!$B$30)))</f>
        <v/>
      </c>
      <c r="E691">
        <f>INDEX(FactorTable!$B$2:$Y$301, MATCH(ROUND(MIN(300,MAX(1,D691)),0), FactorTable!$A$2:$A$301,0), Skills!L3+1)</f>
        <v/>
      </c>
      <c r="F691">
        <f>IF(Skills!M3=TRUE,(Skills!K3/10)*(E691/1000),Skills!K3/10)+Skills!N3</f>
        <v/>
      </c>
      <c r="G691">
        <f>Calc!G3</f>
        <v/>
      </c>
      <c r="H691">
        <f>Calc!H3</f>
        <v/>
      </c>
      <c r="I691">
        <f>IF(Skills!T3&lt;&gt;"",1+(Skills!T3/10)*($Z$3/1000)/100,1)</f>
        <v/>
      </c>
      <c r="J691" t="inlineStr"/>
      <c r="K691" t="inlineStr"/>
      <c r="L691" t="inlineStr"/>
      <c r="M691" t="inlineStr"/>
      <c r="N691" t="inlineStr"/>
      <c r="O691">
        <f>(1-Summary!$B$11)*S691+Summary!$B$11*U691</f>
        <v/>
      </c>
      <c r="P691">
        <f>IF(B730=0,0,O691/B730)</f>
        <v/>
      </c>
      <c r="Q691">
        <f>IFERROR(1/(IF(Inputs!$B$39="pvp",15,MAX(0.1,Skills!D3-IF(Skills!E3=TRUE,Inputs!$B$33,0)))*(1-IF(AND(ArtifactsInput!$M$27,Inputs!$B$4="Chapter Hunt"),CHOOSE(ArtifactsInput!$N$27+1,20,24,28,32,36,40),0)/100)),0)</f>
        <v/>
      </c>
      <c r="R691">
        <f>IF(AND(Inputs!$B$39&lt;&gt;"pvp",Inputs!$B$44&gt;0),IF(Inputs!$B$44&lt;=0,0,(INT(Inputs!$B$44/(IF(Inputs!$B$39="pvp",15,MAX(0.1,Skills!D3-IF(Skills!E3=TRUE,Inputs!$B$33,0)))*(1-IF(AND(ArtifactsInput!$M$27,Inputs!$B$4="Chapter Hunt"),CHOOSE(ArtifactsInput!$N$27+1,20,24,28,32,36,40),0)/100)))+1)),0)</f>
        <v/>
      </c>
      <c r="S691" t="n">
        <v>0</v>
      </c>
      <c r="T691">
        <f>INDEX(FactorTable!$B$2:$Y$301, MATCH(ROUND(MIN(300,MAX(1,T690)),0), FactorTable!$A$2:$A$301,0), 22)</f>
        <v/>
      </c>
      <c r="U691" t="n">
        <v>0</v>
      </c>
    </row>
    <row r="692">
      <c r="A692">
        <f>Skills!A4</f>
        <v/>
      </c>
      <c r="B692">
        <f>Skills!B4</f>
        <v/>
      </c>
      <c r="C692">
        <f>Inputs!$B$3&gt;=38</f>
        <v/>
      </c>
      <c r="D692">
        <f>IF(Skills!C4=1,60+Inputs!$B$26+Inputs!$B$30,IF(Skills!C4=2,90+Inputs!$B$27+Inputs!$B$30,IF(Skills!C4=3,120+Inputs!$B$28+Inputs!$B$30,MAX(0,(Inputs!$B$3-100)*3)+Inputs!$B$29+Inputs!$B$30)))</f>
        <v/>
      </c>
      <c r="E692">
        <f>INDEX(FactorTable!$B$2:$Y$301, MATCH(ROUND(MIN(300,MAX(1,D692)),0), FactorTable!$A$2:$A$301,0), Skills!L4+1)</f>
        <v/>
      </c>
      <c r="F692">
        <f>IF(Skills!M4=TRUE,(Skills!K4/10)*(E692/1000),Skills!K4/10)+Skills!N4</f>
        <v/>
      </c>
      <c r="G692">
        <f>Calc!G4</f>
        <v/>
      </c>
      <c r="H692">
        <f>Calc!H4</f>
        <v/>
      </c>
      <c r="I692">
        <f>IF(Skills!T4&lt;&gt;"",1+(Skills!T4/10)*($Z$3/1000)/100,1)</f>
        <v/>
      </c>
      <c r="J692" t="inlineStr"/>
      <c r="K692" t="inlineStr"/>
      <c r="L692" t="inlineStr"/>
      <c r="M692" t="inlineStr"/>
      <c r="N692" t="inlineStr"/>
      <c r="O692">
        <f>(1-Summary!$B$11)*S692+Summary!$B$11*U692</f>
        <v/>
      </c>
      <c r="P692">
        <f>IF(B730=0,0,O692/B730)</f>
        <v/>
      </c>
      <c r="Q692">
        <f>IFERROR(1/(IF(Inputs!$B$39="pvp",15,MAX(0.1,Skills!D4-IF(Skills!E4=TRUE,Inputs!$B$33,0)))*(1-IF(AND(ArtifactsInput!$M$27,Inputs!$B$4="Chapter Hunt"),CHOOSE(ArtifactsInput!$N$27+1,20,24,28,32,36,40),0)/100)),0)</f>
        <v/>
      </c>
      <c r="R692">
        <f>IF(AND(Inputs!$B$39&lt;&gt;"pvp",Inputs!$B$44&gt;0),IF(Inputs!$B$44&lt;=0,0,(INT(Inputs!$B$44/(IF(Inputs!$B$39="pvp",15,MAX(0.1,Skills!D4-IF(Skills!E4=TRUE,Inputs!$B$33,0)))*(1-IF(AND(ArtifactsInput!$M$27,Inputs!$B$4="Chapter Hunt"),CHOOSE(ArtifactsInput!$N$27+1,20,24,28,32,36,40),0)/100)))+1)),0)</f>
        <v/>
      </c>
      <c r="S692" t="n">
        <v>0</v>
      </c>
      <c r="T692">
        <f>290*T691/1000</f>
        <v/>
      </c>
      <c r="U692" t="n">
        <v>0</v>
      </c>
    </row>
    <row r="693">
      <c r="A693">
        <f>Skills!A5</f>
        <v/>
      </c>
      <c r="B693">
        <f>Skills!B5</f>
        <v/>
      </c>
      <c r="C693">
        <f>Inputs!$B$3&gt;=40</f>
        <v/>
      </c>
      <c r="D693">
        <f>IF(Skills!C5=1,60+Inputs!$B$26+Inputs!$B$30,IF(Skills!C5=2,90+Inputs!$B$27+Inputs!$B$30,IF(Skills!C5=3,120+Inputs!$B$28+Inputs!$B$30,MAX(0,(Inputs!$B$3-100)*3)+Inputs!$B$29+Inputs!$B$30)))</f>
        <v/>
      </c>
      <c r="E693">
        <f>INDEX(FactorTable!$B$2:$Y$301, MATCH(ROUND(MIN(300,MAX(1,D693)),0), FactorTable!$A$2:$A$301,0), Skills!L5+1)</f>
        <v/>
      </c>
      <c r="F693">
        <f>IF(Skills!M5=TRUE,(Skills!K5/10)*(E693/1000),Skills!K5/10)+Skills!N5</f>
        <v/>
      </c>
      <c r="G693">
        <f>Calc!G5</f>
        <v/>
      </c>
      <c r="H693">
        <f>Calc!H5</f>
        <v/>
      </c>
      <c r="I693">
        <f>IF(Skills!T5&lt;&gt;"",1+(Skills!T5/10)*($Z$3/1000)/100,1)</f>
        <v/>
      </c>
      <c r="J693" t="inlineStr"/>
      <c r="K693" t="inlineStr"/>
      <c r="L693" t="inlineStr"/>
      <c r="M693" t="inlineStr"/>
      <c r="N693" t="inlineStr"/>
      <c r="O693">
        <f>(1-Summary!$B$11)*S693+Summary!$B$11*U693</f>
        <v/>
      </c>
      <c r="P693">
        <f>IF(B730=0,0,O693/B730)</f>
        <v/>
      </c>
      <c r="Q693">
        <f>IFERROR(1/(IF(Inputs!$B$39="pvp",15,MAX(0.1,Skills!D5-IF(Skills!E5=TRUE,Inputs!$B$33,0)))*(1-IF(AND(ArtifactsInput!$M$27,Inputs!$B$4="Chapter Hunt"),CHOOSE(ArtifactsInput!$N$27+1,20,24,28,32,36,40),0)/100)),0)</f>
        <v/>
      </c>
      <c r="R693">
        <f>IF(AND(Inputs!$B$39&lt;&gt;"pvp",Inputs!$B$44&gt;0),IF(Inputs!$B$44&lt;=0,0,(INT(Inputs!$B$44/(IF(Inputs!$B$39="pvp",15,MAX(0.1,Skills!D5-IF(Skills!E5=TRUE,Inputs!$B$33,0)))*(1-IF(AND(ArtifactsInput!$M$27,Inputs!$B$4="Chapter Hunt"),CHOOSE(ArtifactsInput!$N$27+1,20,24,28,32,36,40),0)/100)))+1)),0)</f>
        <v/>
      </c>
      <c r="S693" t="n">
        <v>0</v>
      </c>
      <c r="U693" t="n">
        <v>0</v>
      </c>
    </row>
    <row r="694">
      <c r="A694">
        <f>Skills!A6</f>
        <v/>
      </c>
      <c r="B694">
        <f>Skills!B6</f>
        <v/>
      </c>
      <c r="C694">
        <f>Inputs!$B$3&gt;=103</f>
        <v/>
      </c>
      <c r="D694">
        <f>IF(Skills!C6=1,60+Inputs!$B$26+Inputs!$B$30,IF(Skills!C6=2,90+Inputs!$B$27+Inputs!$B$30,IF(Skills!C6=3,120+Inputs!$B$28+Inputs!$B$30,MAX(0,(Inputs!$B$3-100)*3)+Inputs!$B$29+Inputs!$B$30)))</f>
        <v/>
      </c>
      <c r="E694">
        <f>INDEX(FactorTable!$B$2:$Y$301, MATCH(ROUND(MIN(300,MAX(1,D694)),0), FactorTable!$A$2:$A$301,0), Skills!L6+1)</f>
        <v/>
      </c>
      <c r="F694">
        <f>IF(Skills!M6=TRUE,(Skills!K6/10)*(E694/1000),Skills!K6/10)+Skills!N6</f>
        <v/>
      </c>
      <c r="G694">
        <f>Calc!G6</f>
        <v/>
      </c>
      <c r="H694">
        <f>Calc!H6</f>
        <v/>
      </c>
      <c r="I694">
        <f>IF(Skills!T6&lt;&gt;"",1+(Skills!T6/10)*($Z$3/1000)/100,1)</f>
        <v/>
      </c>
      <c r="J694">
        <f>((Inputs!$B$6*(1+Inputs!$B$7/100))+(((Inputs!$B$13*(1+Inputs!$B$14/100))-(Inputs!$B$13*(1+Inputs!$B$14/100)))+0.25*(Inputs!$B$15-Inputs!$B$15))*(1+Inputs!$B$7/100))*(F694/100)</f>
        <v/>
      </c>
      <c r="K694">
        <f>J694*(1+(((Inputs!$B$13+IF(Inputs!$B$3&gt;=35,(10*INDEX(FactorTable!$B$2:$Y$301,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6="TRIUMPH_FEATHER",IF(C704=TRUE,F704,0),0)/100)*(1+IF(C715=TRUE,F715,0)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694)</f>
        <v/>
      </c>
      <c r="L694">
        <f>K694*(MIN(Inputs!$B$23+(F710-Calc!F22),(Inputs!$B$24+IF(ArtifactsInput!$M$15,CHOOSE(ArtifactsInput!$N$15+1,25,30,35,40,45,50)/100*(Inputs!$B$12-Inputs!$B$12),0)))/100+(Inputs!$B$24+IF(ArtifactsInput!$M$15,CHOOSE(ArtifactsInput!$N$15+1,25,30,35,40,45,50)/100*(Inputs!$B$12-Inputs!$B$12),0))/100)/2</f>
        <v/>
      </c>
      <c r="M694">
        <f>L694*(1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4">
        <f>L694*(1-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694*(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4">
        <f>(1-Summary!$B$11)*S694+Summary!$B$11*U694</f>
        <v/>
      </c>
      <c r="P694">
        <f>IF(B730=0,0,O694/B730)</f>
        <v/>
      </c>
      <c r="Q694">
        <f>IFERROR(1/(IF(Inputs!$B$39="pvp",15,MAX(0.1,Skills!D6-IF(Skills!E6=TRUE,Inputs!$B$33,0)))*(1-IF(AND(ArtifactsInput!$M$27,Inputs!$B$4="Chapter Hunt"),CHOOSE(ArtifactsInput!$N$27+1,20,24,28,32,36,40),0)/100)),0)</f>
        <v/>
      </c>
      <c r="R694">
        <f>IF(AND(Inputs!$B$39&lt;&gt;"pvp",Inputs!$B$44&gt;0),IF(MAX(0,Inputs!$B$44-B727)&lt;=0,0,(INT(MAX(0,Inputs!$B$44-B727)/(IF(Inputs!$B$39="pvp",15,MAX(0.1,Skills!D6-IF(Skills!E6=TRUE,Inputs!$B$33,0)))*(1-IF(AND(ArtifactsInput!$M$27,Inputs!$B$4="Chapter Hunt"),CHOOSE(ArtifactsInput!$N$27+1,20,24,28,32,36,40),0)/100)))+1)),0)</f>
        <v/>
      </c>
      <c r="S694">
        <f>IF(C694,(H694*N694*IF(AND(Inputs!$B$39&lt;&gt;"pvp",Inputs!$B$44&gt;0),((Skills!F6*((R694-1)*IF(Skills!G6&gt;0,Skills!H6/Skills!G6,1)+IF(Skills!G6&gt;0,MIN(Skills!H6,MAX(0,MAX(0,Inputs!$B$44-B727)-((R694-1)*(IF(Inputs!$B$39="pvp",15,MAX(0.1,Skills!D6-IF(Skills!E6=TRUE,Inputs!$B$33,0)))*(1-IF(AND(ArtifactsInput!$M$27,Inputs!$B$4="Chapter Hunt"),CHOOSE(ArtifactsInput!$N$27+1,20,24,28,32,36,40),0)/100)))))/Skills!G6,1)))/Inputs!$B$44),G694*Q694))*IF(Inputs!$B$39="pvp",1,1+(Inputs!$B$21+Skills!O6+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694*(1-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694*(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694*(1-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694*(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4">
        <f>IF(C694,(H694*N694*IF(AND(Inputs!$B$39&lt;&gt;"pvp",Inputs!$B$44&gt;0),((Skills!F6*((R694-1)*IF(Skills!G6&gt;0,Skills!H6/Skills!G6,1)+IF(Skills!G6&gt;0,MIN(Skills!H6,MAX(0,MAX(0,Inputs!$B$44-B727)-((R694-1)*(IF(Inputs!$B$39="pvp",15,MAX(0.1,Skills!D6-IF(Skills!E6=TRUE,Inputs!$B$33,0)))*(1-IF(AND(ArtifactsInput!$M$27,Inputs!$B$4="Chapter Hunt"),CHOOSE(ArtifactsInput!$N$27+1,20,24,28,32,36,40),0)/100)))))/Skills!G6,1)))/Inputs!$B$44),G694*Q694))*IF(Inputs!$B$39="pvp",1,(1+(Inputs!$B$22+Skills!P6+B719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5">
      <c r="A695">
        <f>Skills!A7</f>
        <v/>
      </c>
      <c r="B695">
        <f>Skills!B7</f>
        <v/>
      </c>
      <c r="C695">
        <f>Inputs!$B$3&gt;=122</f>
        <v/>
      </c>
      <c r="D695">
        <f>IF(Skills!C7=1,60+Inputs!$B$26+Inputs!$B$30,IF(Skills!C7=2,90+Inputs!$B$27+Inputs!$B$30,IF(Skills!C7=3,120+Inputs!$B$28+Inputs!$B$30,MAX(0,(Inputs!$B$3-100)*3)+Inputs!$B$29+Inputs!$B$30)))</f>
        <v/>
      </c>
      <c r="E695">
        <f>INDEX(FactorTable!$B$2:$Y$301, MATCH(ROUND(MIN(300,MAX(1,D695)),0), FactorTable!$A$2:$A$301,0), Skills!L7+1)</f>
        <v/>
      </c>
      <c r="F695">
        <f>IF(Skills!M7=TRUE,(Skills!K7/10)*(E695/1000),Skills!K7/10)+Skills!N7</f>
        <v/>
      </c>
      <c r="G695">
        <f>Calc!G7</f>
        <v/>
      </c>
      <c r="H695">
        <f>Calc!H7</f>
        <v/>
      </c>
      <c r="I695">
        <f>IF(Skills!T7&lt;&gt;"",1+(Skills!T7/10)*($Z$3/1000)/100,1)</f>
        <v/>
      </c>
      <c r="J695">
        <f>((Inputs!$B$6*(1+Inputs!$B$7/100))+(((Inputs!$B$13*(1+Inputs!$B$14/100))-(Inputs!$B$13*(1+Inputs!$B$14/100)))+0.25*(Inputs!$B$15-Inputs!$B$15))*(1+Inputs!$B$7/100))*(F695/100)</f>
        <v/>
      </c>
      <c r="K695">
        <f>J695*(1+(((Inputs!$B$13+IF(Inputs!$B$3&gt;=35,(10*INDEX(FactorTable!$B$2:$Y$301,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7="TRIUMPH_FEATHER",IF(C704=TRUE,F704,0),0)/100)*(1+IF(C715=TRUE,F715,0)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695)</f>
        <v/>
      </c>
      <c r="L695">
        <f>K695*(MIN(Inputs!$B$23+(F710-Calc!F22),(Inputs!$B$24+IF(ArtifactsInput!$M$15,CHOOSE(ArtifactsInput!$N$15+1,25,30,35,40,45,50)/100*(Inputs!$B$12-Inputs!$B$12),0)))/100+(Inputs!$B$24+IF(ArtifactsInput!$M$15,CHOOSE(ArtifactsInput!$N$15+1,25,30,35,40,45,50)/100*(Inputs!$B$12-Inputs!$B$12),0))/100)/2</f>
        <v/>
      </c>
      <c r="M695">
        <f>L695*(1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5">
        <f>L695*(1-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695*(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5">
        <f>(1-Summary!$B$11)*S695+Summary!$B$11*U695</f>
        <v/>
      </c>
      <c r="P695">
        <f>IF(B730=0,0,O695/B730)</f>
        <v/>
      </c>
      <c r="Q695">
        <f>IFERROR(1/(IF(Inputs!$B$39="pvp",15,MAX(0.1,Skills!D7-IF(Skills!E6=TRUE,Inputs!$B$33,0)))*(1-IF(AND(ArtifactsInput!$M$27,Inputs!$B$4="Chapter Hunt"),CHOOSE(ArtifactsInput!$N$27+1,20,24,28,32,36,40),0)/100)),0)</f>
        <v/>
      </c>
      <c r="R695">
        <f>IF(AND(Inputs!$B$39&lt;&gt;"pvp",Inputs!$B$44&gt;0),IF(MAX(0,Inputs!$B$44-B727)&lt;=0,0,(INT(MAX(0,Inputs!$B$44-B727)/(IF(Inputs!$B$39="pvp",15,MAX(0.1,Skills!D7-IF(Skills!E6=TRUE,Inputs!$B$33,0)))*(1-IF(AND(ArtifactsInput!$M$27,Inputs!$B$4="Chapter Hunt"),CHOOSE(ArtifactsInput!$N$27+1,20,24,28,32,36,40),0)/100)))+1)),0)</f>
        <v/>
      </c>
      <c r="S695">
        <f>IF(C695,H695*N695*IF(AND(Inputs!$B$39&lt;&gt;"pvp",Inputs!$B$44&gt;0),((Skills!F7*((R695-1)*IF(Skills!G7&gt;0,Skills!H7/Skills!G7,1)+IF(Skills!G7&gt;0,MIN(Skills!H7,MAX(0,MAX(0,Inputs!$B$44-B727)-((R695-1)*(IF(Inputs!$B$39="pvp",15,MAX(0.1,Skills!D7-IF(Skills!E6=TRUE,Inputs!$B$33,0)))*(1-IF(AND(ArtifactsInput!$M$27,Inputs!$B$4="Chapter Hunt"),CHOOSE(ArtifactsInput!$N$27+1,20,24,28,32,36,40),0)/100)))))/Skills!G7,1)))/Inputs!$B$44),G695*Q695)*IF(Inputs!$B$39="pvp",1,1+(Inputs!$B$21+Skills!O7+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695*(1-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695*(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695*(1-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695*(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5" t="n">
        <v>0</v>
      </c>
    </row>
    <row r="696">
      <c r="A696">
        <f>Skills!A8</f>
        <v/>
      </c>
      <c r="B696">
        <f>Skills!B8</f>
        <v/>
      </c>
      <c r="C696">
        <f>Inputs!$B$3&gt;=105</f>
        <v/>
      </c>
      <c r="D696">
        <f>IF(Skills!C8=1,60+Inputs!$B$26+Inputs!$B$30,IF(Skills!C8=2,90+Inputs!$B$27+Inputs!$B$30,IF(Skills!C8=3,120+Inputs!$B$28+Inputs!$B$30,MAX(0,(Inputs!$B$3-100)*3)+Inputs!$B$29+Inputs!$B$30)))</f>
        <v/>
      </c>
      <c r="E696">
        <f>INDEX(FactorTable!$B$2:$Y$301, MATCH(ROUND(MIN(300,MAX(1,D696)),0), FactorTable!$A$2:$A$301,0), Skills!L8+1)</f>
        <v/>
      </c>
      <c r="F696">
        <f>IF(Skills!M8=TRUE,(Skills!K8/10)*(E696/1000),Skills!K8/10)+Skills!N8</f>
        <v/>
      </c>
      <c r="G696">
        <f>Calc!G8</f>
        <v/>
      </c>
      <c r="H696">
        <f>Calc!H8</f>
        <v/>
      </c>
      <c r="I696">
        <f>IF(Skills!T8&lt;&gt;"",1+(Skills!T8/10)*($Z$3/1000)/100,1)</f>
        <v/>
      </c>
      <c r="J696">
        <f>((Inputs!$B$6*(1+Inputs!$B$7/100))+(((Inputs!$B$13*(1+Inputs!$B$14/100))-(Inputs!$B$13*(1+Inputs!$B$14/100)))+0.25*(Inputs!$B$15-Inputs!$B$15))*(1+Inputs!$B$7/100))*(F696/100)</f>
        <v/>
      </c>
      <c r="K696">
        <f>J696*(1+(((Inputs!$B$13+IF(Inputs!$B$3&gt;=35,(10*INDEX(FactorTable!$B$2:$Y$301,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8="TRIUMPH_FEATHER",IF(C704=TRUE,F704,0),0)/100)*(1+IF(C715=TRUE,F715,0)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696)</f>
        <v/>
      </c>
      <c r="L696">
        <f>K696*(MIN(Inputs!$B$23+(F710-Calc!F22),(Inputs!$B$24+IF(ArtifactsInput!$M$15,CHOOSE(ArtifactsInput!$N$15+1,25,30,35,40,45,50)/100*(Inputs!$B$12-Inputs!$B$12),0)))/100+(Inputs!$B$24+IF(ArtifactsInput!$M$15,CHOOSE(ArtifactsInput!$N$15+1,25,30,35,40,45,50)/100*(Inputs!$B$12-Inputs!$B$12),0))/100)/2</f>
        <v/>
      </c>
      <c r="M696">
        <f>L696*(1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6">
        <f>L696*(1-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696*(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6">
        <f>(1-Summary!$B$11)*S696+Summary!$B$11*U696</f>
        <v/>
      </c>
      <c r="P696">
        <f>IF(B730=0,0,O696/B730)</f>
        <v/>
      </c>
      <c r="Q696">
        <f>IFERROR(1/(IF(Inputs!$B$39="pvp",15,MAX(0.1,Skills!D8-IF(Skills!E8=TRUE,Inputs!$B$33,0)))*(1-IF(AND(ArtifactsInput!$M$27,Inputs!$B$4="Chapter Hunt"),CHOOSE(ArtifactsInput!$N$27+1,20,24,28,32,36,40),0)/100)),0)</f>
        <v/>
      </c>
      <c r="R696">
        <f>IF(AND(Inputs!$B$39&lt;&gt;"pvp",Inputs!$B$44&gt;0),IF(MAX(0,Inputs!$B$44-B727)&lt;=0,0,(INT(MAX(0,Inputs!$B$44-B727)/(IF(Inputs!$B$39="pvp",15,MAX(0.1,Skills!D8-IF(Skills!E8=TRUE,Inputs!$B$33,0)))*(1-IF(AND(ArtifactsInput!$M$27,Inputs!$B$4="Chapter Hunt"),CHOOSE(ArtifactsInput!$N$27+1,20,24,28,32,36,40),0)/100)))+1)),0)</f>
        <v/>
      </c>
      <c r="S696">
        <f>IF(C696,(H696*N696*IF(AND(Inputs!$B$39&lt;&gt;"pvp",Inputs!$B$44&gt;0),((Skills!F8*((R696-1)*IF(Skills!G8&gt;0,Skills!H8/Skills!G8,1)+IF(Skills!G8&gt;0,MIN(Skills!H8,MAX(0,MAX(0,Inputs!$B$44-B727)-((R696-1)*(IF(Inputs!$B$39="pvp",15,MAX(0.1,Skills!D8-IF(Skills!E8=TRUE,Inputs!$B$33,0)))*(1-IF(AND(ArtifactsInput!$M$27,Inputs!$B$4="Chapter Hunt"),CHOOSE(ArtifactsInput!$N$27+1,20,24,28,32,36,40),0)/100)))))/Skills!G8,1)))/Inputs!$B$44),G696*Q696))*IF(Inputs!$B$39="pvp",1,1+(Inputs!$B$21+Skills!O8+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696*(1-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696*(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696*(1-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696*(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6">
        <f>IF(C696,(H696*N696*IF(AND(Inputs!$B$39&lt;&gt;"pvp",Inputs!$B$44&gt;0),((Skills!F8*((R696-1)*IF(Skills!G8&gt;0,Skills!H8/Skills!G8,1)+IF(Skills!G8&gt;0,MIN(Skills!H8,MAX(0,MAX(0,Inputs!$B$44-B727)-((R696-1)*(IF(Inputs!$B$39="pvp",15,MAX(0.1,Skills!D8-IF(Skills!E8=TRUE,Inputs!$B$33,0)))*(1-IF(AND(ArtifactsInput!$M$27,Inputs!$B$4="Chapter Hunt"),CHOOSE(ArtifactsInput!$N$27+1,20,24,28,32,36,40),0)/100)))))/Skills!G8,1)))/Inputs!$B$44),G696*Q696))*IF(Inputs!$B$39="pvp",1,(1+(Inputs!$B$22+Skills!P8+B719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7">
      <c r="A697">
        <f>Skills!A9</f>
        <v/>
      </c>
      <c r="B697">
        <f>Skills!B9</f>
        <v/>
      </c>
      <c r="C697">
        <f>Inputs!$B$3&gt;=115</f>
        <v/>
      </c>
      <c r="D697">
        <f>IF(Skills!C9=1,60+Inputs!$B$26+Inputs!$B$30,IF(Skills!C9=2,90+Inputs!$B$27+Inputs!$B$30,IF(Skills!C9=3,120+Inputs!$B$28+Inputs!$B$30,MAX(0,(Inputs!$B$3-100)*3)+Inputs!$B$29+Inputs!$B$30)))</f>
        <v/>
      </c>
      <c r="E697">
        <f>INDEX(FactorTable!$B$2:$Y$301, MATCH(ROUND(MIN(300,MAX(1,D697)),0), FactorTable!$A$2:$A$301,0), Skills!L9+1)</f>
        <v/>
      </c>
      <c r="F697">
        <f>IF(Skills!M9=TRUE,(Skills!K9/10)*(E697/1000),Skills!K9/10)+Skills!N9</f>
        <v/>
      </c>
      <c r="G697">
        <f>Calc!G9</f>
        <v/>
      </c>
      <c r="H697">
        <f>Calc!H9</f>
        <v/>
      </c>
      <c r="I697">
        <f>IF(Skills!T9&lt;&gt;"",1+(Skills!T9/10)*($Z$3/1000)/100,1)</f>
        <v/>
      </c>
      <c r="J697">
        <f>((Inputs!$B$6*(1+Inputs!$B$7/100))+(((Inputs!$B$13*(1+Inputs!$B$14/100))-(Inputs!$B$13*(1+Inputs!$B$14/100)))+0.25*(Inputs!$B$15-Inputs!$B$15))*(1+Inputs!$B$7/100))*(F697/100)</f>
        <v/>
      </c>
      <c r="K697">
        <f>J697*(1+(((Inputs!$B$13+IF(Inputs!$B$3&gt;=35,(10*INDEX(FactorTable!$B$2:$Y$301,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9="TRIUMPH_FEATHER",IF(C704=TRUE,F704,0),0)/100)*(1+IF(C715=TRUE,F715,0)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697)</f>
        <v/>
      </c>
      <c r="L697">
        <f>K697*(MIN(Inputs!$B$23+(F710-Calc!F22),(Inputs!$B$24+IF(ArtifactsInput!$M$15,CHOOSE(ArtifactsInput!$N$15+1,25,30,35,40,45,50)/100*(Inputs!$B$12-Inputs!$B$12),0)))/100+(Inputs!$B$24+IF(ArtifactsInput!$M$15,CHOOSE(ArtifactsInput!$N$15+1,25,30,35,40,45,50)/100*(Inputs!$B$12-Inputs!$B$12),0))/100)/2</f>
        <v/>
      </c>
      <c r="M697">
        <f>L697*(1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7">
        <f>L697*(1-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697*(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7">
        <f>(1-Summary!$B$11)*S697+Summary!$B$11*U697</f>
        <v/>
      </c>
      <c r="P697">
        <f>IF(B730=0,0,O697/B730)</f>
        <v/>
      </c>
      <c r="Q697">
        <f>IFERROR(1/(IF(Inputs!$B$39="pvp",15,MAX(0.1,Skills!D9-IF(Skills!E9=TRUE,Inputs!$B$33,0)))*(1-IF(AND(ArtifactsInput!$M$27,Inputs!$B$4="Chapter Hunt"),CHOOSE(ArtifactsInput!$N$27+1,20,24,28,32,36,40),0)/100)),0)</f>
        <v/>
      </c>
      <c r="R697">
        <f>IF(AND(Inputs!$B$39&lt;&gt;"pvp",Inputs!$B$44&gt;0),IF(MAX(0,Inputs!$B$44-B727)&lt;=0,0,(INT(MAX(0,Inputs!$B$44-B727)/(IF(Inputs!$B$39="pvp",15,MAX(0.1,Skills!D9-IF(Skills!E9=TRUE,Inputs!$B$33,0)))*(1-IF(AND(ArtifactsInput!$M$27,Inputs!$B$4="Chapter Hunt"),CHOOSE(ArtifactsInput!$N$27+1,20,24,28,32,36,40),0)/100)))+1)),0)</f>
        <v/>
      </c>
      <c r="S697">
        <f>IF(C697,(H697*N697*IF(AND(Inputs!$B$39&lt;&gt;"pvp",Inputs!$B$44&gt;0),((Skills!F9*((R697-1)*IF(Skills!G9&gt;0,Skills!H9/Skills!G9,1)+IF(Skills!G9&gt;0,MIN(Skills!H9,MAX(0,MAX(0,Inputs!$B$44-B727)-((R697-1)*(IF(Inputs!$B$39="pvp",15,MAX(0.1,Skills!D9-IF(Skills!E9=TRUE,Inputs!$B$33,0)))*(1-IF(AND(ArtifactsInput!$M$27,Inputs!$B$4="Chapter Hunt"),CHOOSE(ArtifactsInput!$N$27+1,20,24,28,32,36,40),0)/100)))))/Skills!G9,1)))/Inputs!$B$44),G697*Q697))*IF(Inputs!$B$39="pvp",1,1+(Inputs!$B$21+Skills!O9+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697*(1-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697*(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697*(1-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697*(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7">
        <f>IF(C697,(H697*N697*IF(AND(Inputs!$B$39&lt;&gt;"pvp",Inputs!$B$44&gt;0),((Skills!F9*((R697-1)*IF(Skills!G9&gt;0,Skills!H9/Skills!G9,1)+IF(Skills!G9&gt;0,MIN(Skills!H9,MAX(0,MAX(0,Inputs!$B$44-B727)-((R697-1)*(IF(Inputs!$B$39="pvp",15,MAX(0.1,Skills!D9-IF(Skills!E9=TRUE,Inputs!$B$33,0)))*(1-IF(AND(ArtifactsInput!$M$27,Inputs!$B$4="Chapter Hunt"),CHOOSE(ArtifactsInput!$N$27+1,20,24,28,32,36,40),0)/100)))))/Skills!G9,1)))/Inputs!$B$44),G697*Q697))*IF(Inputs!$B$39="pvp",1,(1+(Inputs!$B$22+Skills!P9+B719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8">
      <c r="A698">
        <f>Skills!A10</f>
        <v/>
      </c>
      <c r="B698">
        <f>Skills!B10</f>
        <v/>
      </c>
      <c r="C698">
        <f>Inputs!$B$3&gt;=66</f>
        <v/>
      </c>
      <c r="D698">
        <f>IF(Skills!C10=1,60+Inputs!$B$26+Inputs!$B$30,IF(Skills!C10=2,90+Inputs!$B$27+Inputs!$B$30,IF(Skills!C10=3,120+Inputs!$B$28+Inputs!$B$30,MAX(0,(Inputs!$B$3-100)*3)+Inputs!$B$29+Inputs!$B$30)))</f>
        <v/>
      </c>
      <c r="E698">
        <f>INDEX(FactorTable!$B$2:$Y$301, MATCH(ROUND(MIN(300,MAX(1,D698)),0), FactorTable!$A$2:$A$301,0), Skills!L10+1)</f>
        <v/>
      </c>
      <c r="F698" t="n">
        <v>0</v>
      </c>
      <c r="G698">
        <f>Calc!G10</f>
        <v/>
      </c>
      <c r="H698">
        <f>Calc!H10</f>
        <v/>
      </c>
      <c r="I698">
        <f>IF(Skills!T10&lt;&gt;"",1+(Skills!T10/10)*($Z$3/1000)/100,1)</f>
        <v/>
      </c>
      <c r="J698" t="inlineStr"/>
      <c r="K698" t="inlineStr"/>
      <c r="L698" t="inlineStr"/>
      <c r="M698" t="inlineStr"/>
      <c r="N698" t="inlineStr"/>
      <c r="O698">
        <f>(1-Summary!$B$11)*S698+Summary!$B$11*U698</f>
        <v/>
      </c>
      <c r="P698">
        <f>IF(B730=0,0,O698/B730)</f>
        <v/>
      </c>
      <c r="Q698">
        <f>IFERROR(1/(IF(Inputs!$B$39="pvp",15,MAX(0.1,Skills!D10-IF(Skills!E10=TRUE,Inputs!$B$33,0)))*(1-IF(AND(ArtifactsInput!$M$27,Inputs!$B$4="Chapter Hunt"),CHOOSE(ArtifactsInput!$N$27+1,20,24,28,32,36,40),0)/100)),0)</f>
        <v/>
      </c>
      <c r="R698">
        <f>IF(AND(Inputs!$B$39&lt;&gt;"pvp",Inputs!$B$44&gt;0),IF(MAX(0,Inputs!$B$44-B727)&lt;=0,0,(INT(MAX(0,Inputs!$B$44-B727)/(IF(Inputs!$B$39="pvp",15,MAX(0.1,Skills!D10-IF(Skills!E10=TRUE,Inputs!$B$33,0)))*(1-IF(AND(ArtifactsInput!$M$27,Inputs!$B$4="Chapter Hunt"),CHOOSE(ArtifactsInput!$N$27+1,20,24,28,32,36,40),0)/100)))+1)),0)</f>
        <v/>
      </c>
      <c r="S698" t="n">
        <v>0</v>
      </c>
      <c r="U698" t="n">
        <v>0</v>
      </c>
    </row>
    <row r="699">
      <c r="A699">
        <f>Skills!A11</f>
        <v/>
      </c>
      <c r="B699">
        <f>Skills!B11</f>
        <v/>
      </c>
      <c r="C699">
        <f>Inputs!$B$3&gt;=69</f>
        <v/>
      </c>
      <c r="D699">
        <f>IF(Skills!C11=1,60+Inputs!$B$26+Inputs!$B$30,IF(Skills!C11=2,90+Inputs!$B$27+Inputs!$B$30,IF(Skills!C11=3,120+Inputs!$B$28+Inputs!$B$30,MAX(0,(Inputs!$B$3-100)*3)+Inputs!$B$29+Inputs!$B$30)))</f>
        <v/>
      </c>
      <c r="E699">
        <f>INDEX(FactorTable!$B$2:$Y$301, MATCH(ROUND(MIN(300,MAX(1,D699)),0), FactorTable!$A$2:$A$301,0), Skills!L11+1)</f>
        <v/>
      </c>
      <c r="F699">
        <f>IF(Skills!M11=TRUE,(Skills!K11/10)*(E699/1000),Skills!K11/10)+Skills!N11</f>
        <v/>
      </c>
      <c r="G699">
        <f>Calc!G11</f>
        <v/>
      </c>
      <c r="H699">
        <f>Calc!H11</f>
        <v/>
      </c>
      <c r="I699">
        <f>IF(Skills!T11&lt;&gt;"",1+(Skills!T11/10)*($Z$3/1000)/100,1)</f>
        <v/>
      </c>
      <c r="J699" t="inlineStr"/>
      <c r="K699" t="inlineStr"/>
      <c r="L699" t="inlineStr"/>
      <c r="M699" t="inlineStr"/>
      <c r="N699" t="inlineStr"/>
      <c r="O699">
        <f>(1-Summary!$B$11)*S699+Summary!$B$11*U699</f>
        <v/>
      </c>
      <c r="P699">
        <f>IF(B730=0,0,O699/B730)</f>
        <v/>
      </c>
      <c r="Q699">
        <f>IFERROR(1/(IF(Inputs!$B$39="pvp",15,MAX(0.1,Skills!D11-IF(Skills!E11=TRUE,Inputs!$B$33,0)))*(1-IF(AND(ArtifactsInput!$M$27,Inputs!$B$4="Chapter Hunt"),CHOOSE(ArtifactsInput!$N$27+1,20,24,28,32,36,40),0)/100)),0)</f>
        <v/>
      </c>
      <c r="R699">
        <f>IF(AND(Inputs!$B$39&lt;&gt;"pvp",Inputs!$B$44&gt;0),IF(Inputs!$B$44&lt;=0,0,(INT(Inputs!$B$44/(IF(Inputs!$B$39="pvp",15,MAX(0.1,Skills!D11-IF(Skills!E11=TRUE,Inputs!$B$33,0)))*(1-IF(AND(ArtifactsInput!$M$27,Inputs!$B$4="Chapter Hunt"),CHOOSE(ArtifactsInput!$N$27+1,20,24,28,32,36,40),0)/100)))+1)),0)</f>
        <v/>
      </c>
      <c r="S699" t="n">
        <v>0</v>
      </c>
      <c r="U699" t="n">
        <v>0</v>
      </c>
    </row>
    <row r="700">
      <c r="A700">
        <f>Skills!A12</f>
        <v/>
      </c>
      <c r="B700">
        <f>Skills!B12</f>
        <v/>
      </c>
      <c r="C700">
        <f>Inputs!$B$3&gt;=72</f>
        <v/>
      </c>
      <c r="D700">
        <f>IF(Skills!C12=1,60+Inputs!$B$26+Inputs!$B$30,IF(Skills!C12=2,90+Inputs!$B$27+Inputs!$B$30,IF(Skills!C12=3,120+Inputs!$B$28+Inputs!$B$30,MAX(0,(Inputs!$B$3-100)*3)+Inputs!$B$29+Inputs!$B$30)))</f>
        <v/>
      </c>
      <c r="E700">
        <f>INDEX(FactorTable!$B$2:$Y$301, MATCH(ROUND(MIN(300,MAX(1,D700)),0), FactorTable!$A$2:$A$301,0), Skills!L12+1)</f>
        <v/>
      </c>
      <c r="F700">
        <f>IF(Skills!M12=TRUE,(Skills!K12/10)*(E700/1000),Skills!K12/10)+Skills!N12</f>
        <v/>
      </c>
      <c r="G700">
        <f>Calc!G12</f>
        <v/>
      </c>
      <c r="H700">
        <f>Calc!H12</f>
        <v/>
      </c>
      <c r="I700">
        <f>IF(Skills!T12&lt;&gt;"",1+(Skills!T12/10)*($Z$3/1000)/100,1)</f>
        <v/>
      </c>
      <c r="J700" t="inlineStr"/>
      <c r="K700" t="inlineStr"/>
      <c r="L700" t="inlineStr"/>
      <c r="M700" t="inlineStr"/>
      <c r="N700" t="inlineStr"/>
      <c r="O700">
        <f>(1-Summary!$B$11)*S700+Summary!$B$11*U700</f>
        <v/>
      </c>
      <c r="P700">
        <f>IF(B730=0,0,O700/B730)</f>
        <v/>
      </c>
      <c r="Q700">
        <f>IFERROR(1/(IF(Inputs!$B$39="pvp",15,MAX(0.1,Skills!D12-IF(Skills!E12=TRUE,Inputs!$B$33,0)))*(1-IF(AND(ArtifactsInput!$M$27,Inputs!$B$4="Chapter Hunt"),CHOOSE(ArtifactsInput!$N$27+1,20,24,28,32,36,40),0)/100)),0)</f>
        <v/>
      </c>
      <c r="R700">
        <f>IF(AND(Inputs!$B$39&lt;&gt;"pvp",Inputs!$B$44&gt;0),IF(MAX(0,Inputs!$B$44-B727)&lt;=0,0,(INT(MAX(0,Inputs!$B$44-B727)/(IF(Inputs!$B$39="pvp",15,MAX(0.1,Skills!D12-IF(Skills!E12=TRUE,Inputs!$B$33,0)))*(1-IF(AND(ArtifactsInput!$M$27,Inputs!$B$4="Chapter Hunt"),CHOOSE(ArtifactsInput!$N$27+1,20,24,28,32,36,40),0)/100)))+1)),0)</f>
        <v/>
      </c>
      <c r="S700" t="n">
        <v>0</v>
      </c>
      <c r="U700" t="n">
        <v>0</v>
      </c>
    </row>
    <row r="701">
      <c r="A701">
        <f>Skills!A13</f>
        <v/>
      </c>
      <c r="B701">
        <f>Skills!B13</f>
        <v/>
      </c>
      <c r="C701">
        <f>Inputs!$B$3&gt;=60</f>
        <v/>
      </c>
      <c r="D701">
        <f>IF(Skills!C13=1,60+Inputs!$B$26+Inputs!$B$30,IF(Skills!C13=2,90+Inputs!$B$27+Inputs!$B$30,IF(Skills!C13=3,120+Inputs!$B$28+Inputs!$B$30,MAX(0,(Inputs!$B$3-100)*3)+Inputs!$B$29+Inputs!$B$30)))</f>
        <v/>
      </c>
      <c r="E701">
        <f>INDEX(FactorTable!$B$2:$Y$301, MATCH(ROUND(MIN(300,MAX(1,D701)),0), FactorTable!$A$2:$A$301,0), Skills!L13+1)</f>
        <v/>
      </c>
      <c r="F701">
        <f>IF(Skills!M13=TRUE,(Skills!K13/10)*(E701/1000),Skills!K13/10)+Skills!N13</f>
        <v/>
      </c>
      <c r="G701">
        <f>Calc!G13</f>
        <v/>
      </c>
      <c r="H701">
        <f>Calc!H13</f>
        <v/>
      </c>
      <c r="I701">
        <f>IF(Skills!T13&lt;&gt;"",1+(Skills!T13/10)*($Z$3/1000)/100,1)</f>
        <v/>
      </c>
      <c r="J701" t="inlineStr"/>
      <c r="K701" t="inlineStr"/>
      <c r="L701" t="inlineStr"/>
      <c r="M701" t="inlineStr"/>
      <c r="N701" t="inlineStr"/>
      <c r="O701">
        <f>(1-Summary!$B$11)*S701+Summary!$B$11*U701</f>
        <v/>
      </c>
      <c r="P701">
        <f>IF(B730=0,0,O701/B730)</f>
        <v/>
      </c>
      <c r="Q701">
        <f>IFERROR(1/(IF(Inputs!$B$39="pvp",15,MAX(0.1,Skills!D13-IF(Skills!E13=TRUE,Inputs!$B$33,0)))*(1-IF(AND(ArtifactsInput!$M$27,Inputs!$B$4="Chapter Hunt"),CHOOSE(ArtifactsInput!$N$27+1,20,24,28,32,36,40),0)/100)),0)</f>
        <v/>
      </c>
      <c r="R701">
        <f>IF(AND(Inputs!$B$39&lt;&gt;"pvp",Inputs!$B$44&gt;0),IF(MAX(0,Inputs!$B$44-B727)&lt;=0,0,(INT(MAX(0,Inputs!$B$44-B727)/(IF(Inputs!$B$39="pvp",15,MAX(0.1,Skills!D13-IF(Skills!E13=TRUE,Inputs!$B$33,0)))*(1-IF(AND(ArtifactsInput!$M$27,Inputs!$B$4="Chapter Hunt"),CHOOSE(ArtifactsInput!$N$27+1,20,24,28,32,36,40),0)/100)))+1)),0)</f>
        <v/>
      </c>
      <c r="S701" t="n">
        <v>0</v>
      </c>
      <c r="U701" t="n">
        <v>0</v>
      </c>
    </row>
    <row r="702">
      <c r="A702">
        <f>Skills!A14</f>
        <v/>
      </c>
      <c r="B702">
        <f>Skills!B14</f>
        <v/>
      </c>
      <c r="C702">
        <f>Inputs!$B$3&gt;=107</f>
        <v/>
      </c>
      <c r="D702">
        <f>IF(Skills!C14=1,60+Inputs!$B$26+Inputs!$B$30,IF(Skills!C14=2,90+Inputs!$B$27+Inputs!$B$30,IF(Skills!C14=3,120+Inputs!$B$28+Inputs!$B$30,MAX(0,(Inputs!$B$3-100)*3)+Inputs!$B$29+Inputs!$B$30)))</f>
        <v/>
      </c>
      <c r="E702">
        <f>INDEX(FactorTable!$B$2:$Y$301, MATCH(ROUND(MIN(300,MAX(1,D702)),0), FactorTable!$A$2:$A$301,0), Skills!L14+1)</f>
        <v/>
      </c>
      <c r="F702">
        <f>IF(Skills!M14=TRUE,(Skills!K14/10)*(E702/1000),Skills!K14/10)+Skills!N14</f>
        <v/>
      </c>
      <c r="G702">
        <f>Calc!G14</f>
        <v/>
      </c>
      <c r="H702">
        <f>Calc!H14</f>
        <v/>
      </c>
      <c r="I702">
        <f>IF(Skills!T14&lt;&gt;"",1+(Skills!T14/10)*($Z$3/1000)/100,1)</f>
        <v/>
      </c>
      <c r="J702" t="inlineStr"/>
      <c r="K702" t="inlineStr"/>
      <c r="L702" t="inlineStr"/>
      <c r="M702" t="inlineStr"/>
      <c r="N702" t="inlineStr"/>
      <c r="O702">
        <f>(1-Summary!$B$11)*S702+Summary!$B$11*U702</f>
        <v/>
      </c>
      <c r="P702">
        <f>IF(B730=0,0,O702/B730)</f>
        <v/>
      </c>
      <c r="Q702">
        <f>IFERROR(1/(IF(Inputs!$B$39="pvp",15,MAX(0.1,Skills!D14-IF(Skills!E14=TRUE,Inputs!$B$33,0)))*(1-IF(AND(ArtifactsInput!$M$27,Inputs!$B$4="Chapter Hunt"),CHOOSE(ArtifactsInput!$N$27+1,20,24,28,32,36,40),0)/100)),0)</f>
        <v/>
      </c>
      <c r="R702">
        <f>IF(AND(Inputs!$B$39&lt;&gt;"pvp",Inputs!$B$44&gt;0),IF(Inputs!$B$44&lt;=0,0,(INT(Inputs!$B$44/(IF(Inputs!$B$39="pvp",15,MAX(0.1,Skills!D14-IF(Skills!E14=TRUE,Inputs!$B$33,0)))*(1-IF(AND(ArtifactsInput!$M$27,Inputs!$B$4="Chapter Hunt"),CHOOSE(ArtifactsInput!$N$27+1,20,24,28,32,36,40),0)/100)))+1)),0)</f>
        <v/>
      </c>
      <c r="S702" t="n">
        <v>0</v>
      </c>
      <c r="U702" t="n">
        <v>0</v>
      </c>
    </row>
    <row r="703">
      <c r="A703">
        <f>Skills!A15</f>
        <v/>
      </c>
      <c r="B703">
        <f>Skills!B15</f>
        <v/>
      </c>
      <c r="C703">
        <f>Inputs!$B$3&gt;=63</f>
        <v/>
      </c>
      <c r="D703">
        <f>IF(Skills!C15=1,60+Inputs!$B$26+Inputs!$B$30,IF(Skills!C15=2,90+Inputs!$B$27+Inputs!$B$30,IF(Skills!C15=3,120+Inputs!$B$28+Inputs!$B$30,MAX(0,(Inputs!$B$3-100)*3)+Inputs!$B$29+Inputs!$B$30)))</f>
        <v/>
      </c>
      <c r="E703">
        <f>INDEX(FactorTable!$B$2:$Y$301, MATCH(ROUND(MIN(300,MAX(1,D703)),0), FactorTable!$A$2:$A$301,0), Skills!L15+1)</f>
        <v/>
      </c>
      <c r="F703">
        <f>IF(Skills!M15=TRUE,(Skills!K15/10)*(E703/1000),Skills!K15/10)+Skills!N15</f>
        <v/>
      </c>
      <c r="G703">
        <f>Calc!G15</f>
        <v/>
      </c>
      <c r="H703">
        <f>Calc!H15</f>
        <v/>
      </c>
      <c r="I703">
        <f>IF(Skills!T15&lt;&gt;"",1+(Skills!T15/10)*($Z$3/1000)/100,1)</f>
        <v/>
      </c>
      <c r="J703">
        <f>((Inputs!$B$6*(1+Inputs!$B$7/100))+(((Inputs!$B$13*(1+Inputs!$B$14/100))-(Inputs!$B$13*(1+Inputs!$B$14/100)))+0.25*(Inputs!$B$15-Inputs!$B$15))*(1+Inputs!$B$7/100))*(F703/100)</f>
        <v/>
      </c>
      <c r="K703">
        <f>J703*(1+(((Inputs!$B$13+IF(Inputs!$B$3&gt;=35,(10*INDEX(FactorTable!$B$2:$Y$301,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15="TRIUMPH_FEATHER",IF(C704=TRUE,F704,0),0)/100)*(1+IF(C715=TRUE,F715,0)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703)</f>
        <v/>
      </c>
      <c r="L703">
        <f>K703*(MIN(Inputs!$B$23+(F710-Calc!F22),(Inputs!$B$24+IF(ArtifactsInput!$M$15,CHOOSE(ArtifactsInput!$N$15+1,25,30,35,40,45,50)/100*(Inputs!$B$12-Inputs!$B$12),0)))/100+(Inputs!$B$24+IF(ArtifactsInput!$M$15,CHOOSE(ArtifactsInput!$N$15+1,25,30,35,40,45,50)/100*(Inputs!$B$12-Inputs!$B$12),0))/100)/2</f>
        <v/>
      </c>
      <c r="M703">
        <f>L703*(1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3">
        <f>L703*(1-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703*(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3">
        <f>(1-Summary!$B$11)*S703+Summary!$B$11*U703</f>
        <v/>
      </c>
      <c r="P703">
        <f>IF(B730=0,0,O703/B730)</f>
        <v/>
      </c>
      <c r="Q703">
        <f>IFERROR(1/(IF(Inputs!$B$39="pvp",15,MAX(0.1,Skills!D15-IF(Skills!E15=TRUE,Inputs!$B$33,0)))*(1-IF(AND(ArtifactsInput!$M$27,Inputs!$B$4="Chapter Hunt"),CHOOSE(ArtifactsInput!$N$27+1,20,24,28,32,36,40),0)/100)),0)</f>
        <v/>
      </c>
      <c r="R703" t="n">
        <v>0</v>
      </c>
      <c r="S703">
        <f>IF(C703,(Skills!F15*N703*((IF(Inputs!$B$3&gt;=78,25,15)/100*B723*10)/(1+IF(Inputs!$B$3&gt;=78,25,15)/100*B723*10))*(Skills!I15/100*B723)/(1+Skills!G15*Skills!I15/100*B723))*IF(Inputs!$B$39="pvp",1,1+(Inputs!$B$21+Skills!O15+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703*(1-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703*(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703*(1-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703*(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3">
        <f>IF(C703,(Skills!F15*N703*((IF(Inputs!$B$3&gt;=78,25,15)/100*B723*10)/(1+IF(Inputs!$B$3&gt;=78,25,15)/100*B723*10))*(Skills!I15/100*B723)/(1+Skills!G15*Skills!I15/100*B723))*IF(Inputs!$B$39="pvp",1,(1+(Inputs!$B$22+Skills!P15+B719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4">
      <c r="A704">
        <f>Skills!A16</f>
        <v/>
      </c>
      <c r="B704">
        <f>Skills!B16</f>
        <v/>
      </c>
      <c r="C704">
        <f>Inputs!$B$3&gt;=100</f>
        <v/>
      </c>
      <c r="D704">
        <f>IF(Skills!C16=1,60+Inputs!$B$26+Inputs!$B$30,IF(Skills!C16=2,90+Inputs!$B$27+Inputs!$B$30,IF(Skills!C16=3,120+Inputs!$B$28+Inputs!$B$30,MAX(0,(Inputs!$B$3-100)*3)+Inputs!$B$29+Inputs!$B$30)))</f>
        <v/>
      </c>
      <c r="E704">
        <f>INDEX(FactorTable!$B$2:$Y$301, MATCH(ROUND(MIN(300,MAX(1,D704)),0), FactorTable!$A$2:$A$301,0), Skills!L16+1)</f>
        <v/>
      </c>
      <c r="F704">
        <f>IF(Skills!M16=TRUE,(Skills!K16/10)*(E704/1000),Skills!K16/10)+Skills!N16</f>
        <v/>
      </c>
      <c r="G704">
        <f>Calc!G16</f>
        <v/>
      </c>
      <c r="H704">
        <f>Calc!H16</f>
        <v/>
      </c>
      <c r="I704">
        <f>IF(Skills!T16&lt;&gt;"",1+(Skills!T16/10)*($Z$3/1000)/100,1)</f>
        <v/>
      </c>
      <c r="J704" t="inlineStr"/>
      <c r="K704" t="inlineStr"/>
      <c r="L704" t="inlineStr"/>
      <c r="M704" t="inlineStr"/>
      <c r="N704" t="inlineStr"/>
      <c r="O704">
        <f>(1-Summary!$B$11)*S704+Summary!$B$11*U704</f>
        <v/>
      </c>
      <c r="P704">
        <f>IF(B730=0,0,O704/B730)</f>
        <v/>
      </c>
      <c r="Q704">
        <f>IFERROR(1/(IF(Inputs!$B$39="pvp",15,MAX(0.1,Skills!D16-IF(Skills!E16=TRUE,Inputs!$B$33,0)))*(1-IF(AND(ArtifactsInput!$M$27,Inputs!$B$4="Chapter Hunt"),CHOOSE(ArtifactsInput!$N$27+1,20,24,28,32,36,40),0)/100)),0)</f>
        <v/>
      </c>
      <c r="R704" t="n">
        <v>0</v>
      </c>
      <c r="S704" t="n">
        <v>0</v>
      </c>
      <c r="U704" t="n">
        <v>0</v>
      </c>
    </row>
    <row r="705">
      <c r="A705">
        <f>Skills!A17</f>
        <v/>
      </c>
      <c r="B705">
        <f>Skills!B17</f>
        <v/>
      </c>
      <c r="C705">
        <f>Inputs!$B$3&gt;=49</f>
        <v/>
      </c>
      <c r="D705">
        <f>IF(Skills!C17=1,60+Inputs!$B$26+Inputs!$B$30,IF(Skills!C17=2,90+Inputs!$B$27+Inputs!$B$30,IF(Skills!C17=3,120+Inputs!$B$28+Inputs!$B$30,MAX(0,(Inputs!$B$3-100)*3)+Inputs!$B$29+Inputs!$B$30)))</f>
        <v/>
      </c>
      <c r="E705">
        <f>INDEX(FactorTable!$B$2:$Y$301, MATCH(ROUND(MIN(300,MAX(1,D705)),0), FactorTable!$A$2:$A$301,0), Skills!L17+1)</f>
        <v/>
      </c>
      <c r="F705">
        <f>IF(Skills!M17=TRUE,(Skills!K17/10)*(E705/1000),Skills!K17/10)+Skills!N17</f>
        <v/>
      </c>
      <c r="G705">
        <f>Calc!G17</f>
        <v/>
      </c>
      <c r="H705">
        <f>Calc!H17</f>
        <v/>
      </c>
      <c r="I705">
        <f>IF(Skills!T17&lt;&gt;"",1+(Skills!T17/10)*($Z$3/1000)/100,1)</f>
        <v/>
      </c>
      <c r="J705" t="inlineStr"/>
      <c r="K705" t="inlineStr"/>
      <c r="L705" t="inlineStr"/>
      <c r="M705" t="inlineStr"/>
      <c r="N705" t="inlineStr"/>
      <c r="O705">
        <f>(1-Summary!$B$11)*S705+Summary!$B$11*U705</f>
        <v/>
      </c>
      <c r="P705">
        <f>IF(B730=0,0,O705/B730)</f>
        <v/>
      </c>
      <c r="Q705">
        <f>IFERROR(1/(IF(Inputs!$B$39="pvp",15,MAX(0.1,Skills!D17-IF(Skills!E17=TRUE,Inputs!$B$33,0)))*(1-IF(AND(ArtifactsInput!$M$27,Inputs!$B$4="Chapter Hunt"),CHOOSE(ArtifactsInput!$N$27+1,20,24,28,32,36,40),0)/100)),0)</f>
        <v/>
      </c>
      <c r="R705" t="n">
        <v>0</v>
      </c>
      <c r="S705" t="n">
        <v>0</v>
      </c>
      <c r="U705" t="n">
        <v>0</v>
      </c>
    </row>
    <row r="706">
      <c r="A706">
        <f>Skills!A18</f>
        <v/>
      </c>
      <c r="B706">
        <f>Skills!B18</f>
        <v/>
      </c>
      <c r="C706">
        <f>Inputs!$B$3&gt;=75</f>
        <v/>
      </c>
      <c r="D706">
        <f>IF(Skills!C18=1,60+Inputs!$B$26+Inputs!$B$30,IF(Skills!C18=2,90+Inputs!$B$27+Inputs!$B$30,IF(Skills!C18=3,120+Inputs!$B$28+Inputs!$B$30,MAX(0,(Inputs!$B$3-100)*3)+Inputs!$B$29+Inputs!$B$30)))</f>
        <v/>
      </c>
      <c r="E706">
        <f>INDEX(FactorTable!$B$2:$Y$301, MATCH(ROUND(MIN(300,MAX(1,D706)),0), FactorTable!$A$2:$A$301,0), Skills!L18+1)</f>
        <v/>
      </c>
      <c r="F706">
        <f>IF(Skills!M18=TRUE,(Skills!K18/10)*(E706/1000),Skills!K18/10)+Skills!N18</f>
        <v/>
      </c>
      <c r="G706">
        <f>Calc!G18</f>
        <v/>
      </c>
      <c r="H706">
        <f>Calc!H18</f>
        <v/>
      </c>
      <c r="I706">
        <f>IF(Skills!T18&lt;&gt;"",1+(Skills!T18/10)*($Z$3/1000)/100,1)</f>
        <v/>
      </c>
      <c r="J706" t="inlineStr"/>
      <c r="K706" t="inlineStr"/>
      <c r="L706" t="inlineStr"/>
      <c r="M706" t="inlineStr"/>
      <c r="N706" t="inlineStr"/>
      <c r="O706">
        <f>(1-Summary!$B$11)*S706+Summary!$B$11*U706</f>
        <v/>
      </c>
      <c r="P706">
        <f>IF(B730=0,0,O706/B730)</f>
        <v/>
      </c>
      <c r="Q706">
        <f>IFERROR(1/(IF(Inputs!$B$39="pvp",15,MAX(0.1,Skills!D18-IF(Skills!E18=TRUE,Inputs!$B$33,0)))*(1-IF(AND(ArtifactsInput!$M$27,Inputs!$B$4="Chapter Hunt"),CHOOSE(ArtifactsInput!$N$27+1,20,24,28,32,36,40),0)/100)),0)</f>
        <v/>
      </c>
      <c r="R706" t="n">
        <v>0</v>
      </c>
      <c r="S706" t="n">
        <v>0</v>
      </c>
      <c r="U706" t="n">
        <v>0</v>
      </c>
    </row>
    <row r="707">
      <c r="A707">
        <f>Skills!A19</f>
        <v/>
      </c>
      <c r="B707">
        <f>Skills!B19</f>
        <v/>
      </c>
      <c r="C707">
        <f>Inputs!$B$3&gt;=110</f>
        <v/>
      </c>
      <c r="D707">
        <f>IF(Skills!C19=1,60+Inputs!$B$26+Inputs!$B$30,IF(Skills!C19=2,90+Inputs!$B$27+Inputs!$B$30,IF(Skills!C19=3,120+Inputs!$B$28+Inputs!$B$30,MAX(0,(Inputs!$B$3-100)*3)+Inputs!$B$29+Inputs!$B$30)))</f>
        <v/>
      </c>
      <c r="E707">
        <f>INDEX(FactorTable!$B$2:$Y$301, MATCH(ROUND(MIN(300,MAX(1,D707)),0), FactorTable!$A$2:$A$301,0), Skills!L19+1)</f>
        <v/>
      </c>
      <c r="F707">
        <f>(Skills!K19/10)*(E707/1000)*64/45+Skills!N19</f>
        <v/>
      </c>
      <c r="G707">
        <f>Calc!G19</f>
        <v/>
      </c>
      <c r="H707">
        <f>Calc!H19</f>
        <v/>
      </c>
      <c r="I707">
        <f>IF(Skills!T19&lt;&gt;"",1+(Skills!T19/10)*($Z$3/1000)/100,1)</f>
        <v/>
      </c>
      <c r="J707" t="inlineStr"/>
      <c r="K707" t="inlineStr"/>
      <c r="L707" t="inlineStr"/>
      <c r="M707" t="inlineStr"/>
      <c r="N707" t="inlineStr"/>
      <c r="O707">
        <f>(1-Summary!$B$11)*S707+Summary!$B$11*U707</f>
        <v/>
      </c>
      <c r="P707">
        <f>IF(B730=0,0,O707/B730)</f>
        <v/>
      </c>
      <c r="Q707">
        <f>IFERROR(1/(IF(Inputs!$B$39="pvp",15,MAX(0.1,Skills!D19-IF(Skills!E19=TRUE,Inputs!$B$33,0)))*(1-IF(AND(ArtifactsInput!$M$27,Inputs!$B$4="Chapter Hunt"),CHOOSE(ArtifactsInput!$N$27+1,20,24,28,32,36,40),0)/100)),0)</f>
        <v/>
      </c>
      <c r="R707">
        <f>IF(AND(Inputs!$B$39&lt;&gt;"pvp",Inputs!$B$44&gt;0),IF(Inputs!$B$44&lt;=0,0,(INT(Inputs!$B$44/(IF(Inputs!$B$39="pvp",15,MAX(0.1,Skills!D19-IF(Skills!E19=TRUE,Inputs!$B$33,0)))*(1-IF(AND(ArtifactsInput!$M$27,Inputs!$B$4="Chapter Hunt"),CHOOSE(ArtifactsInput!$N$27+1,20,24,28,32,36,40),0)/100)))+1)),0)</f>
        <v/>
      </c>
      <c r="S707" t="n">
        <v>0</v>
      </c>
      <c r="U707" t="n">
        <v>0</v>
      </c>
    </row>
    <row r="708">
      <c r="A708">
        <f>Skills!A20</f>
        <v/>
      </c>
      <c r="B708">
        <f>Skills!B20</f>
        <v/>
      </c>
      <c r="C708">
        <f>Inputs!$B$3&gt;=125</f>
        <v/>
      </c>
      <c r="D708">
        <f>IF(Skills!C20=1,60+Inputs!$B$26+Inputs!$B$30,IF(Skills!C20=2,90+Inputs!$B$27+Inputs!$B$30,IF(Skills!C20=3,120+Inputs!$B$28+Inputs!$B$30,MAX(0,(Inputs!$B$3-100)*3)+Inputs!$B$29+Inputs!$B$30)))</f>
        <v/>
      </c>
      <c r="E708">
        <f>INDEX(FactorTable!$B$2:$Y$301, MATCH(ROUND(MIN(300,MAX(1,D708)),0), FactorTable!$A$2:$A$301,0), Skills!L20+1)</f>
        <v/>
      </c>
      <c r="F708">
        <f>IF(Skills!M20=TRUE,(Skills!K20/10)*(E708/1000),Skills!K20/10)+Skills!N20</f>
        <v/>
      </c>
      <c r="G708">
        <f>Calc!G20</f>
        <v/>
      </c>
      <c r="H708">
        <f>Calc!H20</f>
        <v/>
      </c>
      <c r="I708">
        <f>IF(Skills!T20&lt;&gt;"",1+(Skills!T20/10)*($Z$3/1000)/100,1)</f>
        <v/>
      </c>
      <c r="J708" t="inlineStr"/>
      <c r="K708" t="inlineStr"/>
      <c r="L708" t="inlineStr"/>
      <c r="M708" t="inlineStr"/>
      <c r="N708" t="inlineStr"/>
      <c r="O708">
        <f>(1-Summary!$B$11)*S708+Summary!$B$11*U708</f>
        <v/>
      </c>
      <c r="P708">
        <f>IF(B730=0,0,O708/B730)</f>
        <v/>
      </c>
      <c r="Q708">
        <f>IFERROR(1/(IF(Inputs!$B$39="pvp",15,MAX(0.1,Skills!D20-IF(Skills!E20=TRUE,Inputs!$B$33,0)))*(1-IF(AND(ArtifactsInput!$M$27,Inputs!$B$4="Chapter Hunt"),CHOOSE(ArtifactsInput!$N$27+1,20,24,28,32,36,40),0)/100)),0)</f>
        <v/>
      </c>
      <c r="R708" t="n">
        <v>0</v>
      </c>
      <c r="S708" t="n">
        <v>0</v>
      </c>
      <c r="U708" t="n">
        <v>0</v>
      </c>
    </row>
    <row r="709">
      <c r="A709">
        <f>Skills!A21</f>
        <v/>
      </c>
      <c r="B709">
        <f>Skills!B21</f>
        <v/>
      </c>
      <c r="C709">
        <f>Inputs!$B$3&gt;=33</f>
        <v/>
      </c>
      <c r="D709">
        <f>IF(Skills!C21=1,60+Inputs!$B$26+Inputs!$B$30,IF(Skills!C21=2,90+Inputs!$B$27+Inputs!$B$30,IF(Skills!C21=3,120+Inputs!$B$28+Inputs!$B$30,MAX(0,(Inputs!$B$3-100)*3)+Inputs!$B$29+Inputs!$B$30)))</f>
        <v/>
      </c>
      <c r="E709">
        <f>INDEX(FactorTable!$B$2:$Y$301, MATCH(ROUND(MIN(300,MAX(1,D709)),0), FactorTable!$A$2:$A$301,0), Skills!L21+1)</f>
        <v/>
      </c>
      <c r="F709">
        <f>IF(Skills!M21=TRUE,(Skills!K21/10)*(E709/1000),Skills!K21/10)+Skills!N21</f>
        <v/>
      </c>
      <c r="G709">
        <f>Calc!G21</f>
        <v/>
      </c>
      <c r="H709">
        <f>Calc!H21</f>
        <v/>
      </c>
      <c r="I709">
        <f>IF(Skills!T21&lt;&gt;"",1+(Skills!T21/10)*($Z$3/1000)/100,1)</f>
        <v/>
      </c>
      <c r="J709" t="inlineStr"/>
      <c r="K709" t="inlineStr"/>
      <c r="L709" t="inlineStr"/>
      <c r="M709" t="inlineStr"/>
      <c r="N709" t="inlineStr"/>
      <c r="O709">
        <f>(1-Summary!$B$11)*S709+Summary!$B$11*U709</f>
        <v/>
      </c>
      <c r="P709">
        <f>IF(B730=0,0,O709/B730)</f>
        <v/>
      </c>
      <c r="Q709">
        <f>IFERROR(1/(IF(Inputs!$B$39="pvp",15,MAX(0.1,Skills!D21-IF(Skills!E21=TRUE,Inputs!$B$33,0)))*(1-IF(AND(ArtifactsInput!$M$27,Inputs!$B$4="Chapter Hunt"),CHOOSE(ArtifactsInput!$N$27+1,20,24,28,32,36,40),0)/100)),0)</f>
        <v/>
      </c>
      <c r="R709" t="n">
        <v>0</v>
      </c>
      <c r="S709" t="n">
        <v>0</v>
      </c>
      <c r="U709" t="n">
        <v>0</v>
      </c>
    </row>
    <row r="710">
      <c r="A710">
        <f>Skills!A22</f>
        <v/>
      </c>
      <c r="B710">
        <f>Skills!B22</f>
        <v/>
      </c>
      <c r="C710">
        <f>Inputs!$B$3&gt;=43</f>
        <v/>
      </c>
      <c r="D710">
        <f>IF(Skills!C22=1,60+Inputs!$B$26+Inputs!$B$30,IF(Skills!C22=2,90+Inputs!$B$27+Inputs!$B$30,IF(Skills!C22=3,120+Inputs!$B$28+Inputs!$B$30,MAX(0,(Inputs!$B$3-100)*3)+Inputs!$B$29+Inputs!$B$30)))</f>
        <v/>
      </c>
      <c r="E710">
        <f>INDEX(FactorTable!$B$2:$Y$301, MATCH(ROUND(MIN(300,MAX(1,D710)),0), FactorTable!$A$2:$A$301,0), Skills!L22+1)</f>
        <v/>
      </c>
      <c r="F710">
        <f>IF(Skills!M22=TRUE,(Skills!K22/10)*(E710/1000),Skills!K22/10)+Skills!N22</f>
        <v/>
      </c>
      <c r="G710">
        <f>Calc!G22</f>
        <v/>
      </c>
      <c r="H710">
        <f>Calc!H22</f>
        <v/>
      </c>
      <c r="I710">
        <f>IF(Skills!T22&lt;&gt;"",1+(Skills!T22/10)*($Z$3/1000)/100,1)</f>
        <v/>
      </c>
      <c r="J710" t="inlineStr"/>
      <c r="K710" t="inlineStr"/>
      <c r="L710" t="inlineStr"/>
      <c r="M710" t="inlineStr"/>
      <c r="N710" t="inlineStr"/>
      <c r="O710">
        <f>(1-Summary!$B$11)*S710+Summary!$B$11*U710</f>
        <v/>
      </c>
      <c r="P710">
        <f>IF(B730=0,0,O710/B730)</f>
        <v/>
      </c>
      <c r="Q710">
        <f>IFERROR(1/(IF(Inputs!$B$39="pvp",15,MAX(0.1,Skills!D22-IF(Skills!E22=TRUE,Inputs!$B$33,0)))*(1-IF(AND(ArtifactsInput!$M$27,Inputs!$B$4="Chapter Hunt"),CHOOSE(ArtifactsInput!$N$27+1,20,24,28,32,36,40),0)/100)),0)</f>
        <v/>
      </c>
      <c r="R710" t="n">
        <v>0</v>
      </c>
      <c r="S710" t="n">
        <v>0</v>
      </c>
      <c r="U710" t="n">
        <v>0</v>
      </c>
    </row>
    <row r="711">
      <c r="A711">
        <f>Skills!A23</f>
        <v/>
      </c>
      <c r="B711">
        <f>Skills!B23</f>
        <v/>
      </c>
      <c r="C711">
        <f>Inputs!$B$3&gt;=50</f>
        <v/>
      </c>
      <c r="D711">
        <f>IF(Skills!C23=1,60+Inputs!$B$26+Inputs!$B$30,IF(Skills!C23=2,90+Inputs!$B$27+Inputs!$B$30,IF(Skills!C23=3,120+Inputs!$B$28+Inputs!$B$30,MAX(0,(Inputs!$B$3-100)*3)+Inputs!$B$29+Inputs!$B$30)))</f>
        <v/>
      </c>
      <c r="E711">
        <f>INDEX(FactorTable!$B$2:$Y$301, MATCH(ROUND(MIN(300,MAX(1,D711)),0), FactorTable!$A$2:$A$301,0), Skills!L23+1)</f>
        <v/>
      </c>
      <c r="F711">
        <f>IF(Skills!M23=TRUE,(Skills!K23/10)*(E711/1000),Skills!K23/10)+Skills!N23</f>
        <v/>
      </c>
      <c r="G711">
        <f>Calc!G23</f>
        <v/>
      </c>
      <c r="H711">
        <f>Calc!H23</f>
        <v/>
      </c>
      <c r="I711">
        <f>IF(Skills!T23&lt;&gt;"",1+(Skills!T23/10)*($Z$3/1000)/100,1)</f>
        <v/>
      </c>
      <c r="J711" t="inlineStr"/>
      <c r="K711" t="inlineStr"/>
      <c r="L711" t="inlineStr"/>
      <c r="M711" t="inlineStr"/>
      <c r="N711" t="inlineStr"/>
      <c r="O711">
        <f>(1-Summary!$B$11)*S711+Summary!$B$11*U711</f>
        <v/>
      </c>
      <c r="P711">
        <f>IF(B730=0,0,O711/B730)</f>
        <v/>
      </c>
      <c r="Q711">
        <f>IFERROR(1/(IF(Inputs!$B$39="pvp",15,MAX(0.1,Skills!D23-IF(Skills!E23=TRUE,Inputs!$B$33,0)))*(1-IF(AND(ArtifactsInput!$M$27,Inputs!$B$4="Chapter Hunt"),CHOOSE(ArtifactsInput!$N$27+1,20,24,28,32,36,40),0)/100)),0)</f>
        <v/>
      </c>
      <c r="R711" t="n">
        <v>0</v>
      </c>
      <c r="S711" t="n">
        <v>0</v>
      </c>
      <c r="U711" t="n">
        <v>0</v>
      </c>
    </row>
    <row r="712">
      <c r="A712">
        <f>Skills!A24</f>
        <v/>
      </c>
      <c r="B712">
        <f>Skills!B24</f>
        <v/>
      </c>
      <c r="C712">
        <f>Inputs!$B$3&gt;=74</f>
        <v/>
      </c>
      <c r="D712">
        <f>IF(Skills!C24=1,60+Inputs!$B$26+Inputs!$B$30,IF(Skills!C24=2,90+Inputs!$B$27+Inputs!$B$30,IF(Skills!C24=3,120+Inputs!$B$28+Inputs!$B$30,MAX(0,(Inputs!$B$3-100)*3)+Inputs!$B$29+Inputs!$B$30)))</f>
        <v/>
      </c>
      <c r="E712">
        <f>INDEX(FactorTable!$B$2:$Y$301, MATCH(ROUND(MIN(300,MAX(1,D712)),0), FactorTable!$A$2:$A$301,0), Skills!L24+1)</f>
        <v/>
      </c>
      <c r="F712">
        <f>IF(Skills!M24=TRUE,(Skills!K24/10)*(E712/1000),Skills!K24/10)+Skills!N24</f>
        <v/>
      </c>
      <c r="G712">
        <f>Calc!G24</f>
        <v/>
      </c>
      <c r="H712">
        <f>Calc!H24</f>
        <v/>
      </c>
      <c r="I712">
        <f>IF(Skills!T24&lt;&gt;"",1+(Skills!T24/10)*($Z$3/1000)/100,1)</f>
        <v/>
      </c>
      <c r="J712" t="inlineStr"/>
      <c r="K712" t="inlineStr"/>
      <c r="L712" t="inlineStr"/>
      <c r="M712" t="inlineStr"/>
      <c r="N712" t="inlineStr"/>
      <c r="O712">
        <f>(1-Summary!$B$11)*S712+Summary!$B$11*U712</f>
        <v/>
      </c>
      <c r="P712">
        <f>IF(B730=0,0,O712/B730)</f>
        <v/>
      </c>
      <c r="Q712">
        <f>IFERROR(1/(IF(Inputs!$B$39="pvp",15,MAX(0.1,Skills!D24-IF(Skills!E24=TRUE,Inputs!$B$33,0)))*(1-IF(AND(ArtifactsInput!$M$27,Inputs!$B$4="Chapter Hunt"),CHOOSE(ArtifactsInput!$N$27+1,20,24,28,32,36,40),0)/100)),0)</f>
        <v/>
      </c>
      <c r="R712" t="n">
        <v>0</v>
      </c>
      <c r="S712" t="n">
        <v>0</v>
      </c>
      <c r="U712" t="n">
        <v>0</v>
      </c>
    </row>
    <row r="713">
      <c r="A713">
        <f>Skills!A25</f>
        <v/>
      </c>
      <c r="B713">
        <f>Skills!B25</f>
        <v/>
      </c>
      <c r="C713">
        <f>Inputs!$B$3&gt;=74</f>
        <v/>
      </c>
      <c r="D713">
        <f>IF(Skills!C25=1,60+Inputs!$B$26+Inputs!$B$30,IF(Skills!C25=2,90+Inputs!$B$27+Inputs!$B$30,IF(Skills!C25=3,120+Inputs!$B$28+Inputs!$B$30,MAX(0,(Inputs!$B$3-100)*3)+Inputs!$B$29+Inputs!$B$30)))</f>
        <v/>
      </c>
      <c r="E713">
        <f>INDEX(FactorTable!$B$2:$Y$301, MATCH(ROUND(MIN(300,MAX(1,D713)),0), FactorTable!$A$2:$A$301,0), Skills!L25+1)</f>
        <v/>
      </c>
      <c r="F713">
        <f>IF(Skills!M25=TRUE,(Skills!K25/10)*(E713/1000),Skills!K25/10)+Skills!N25</f>
        <v/>
      </c>
      <c r="G713">
        <f>Calc!G25</f>
        <v/>
      </c>
      <c r="H713">
        <f>Calc!H25</f>
        <v/>
      </c>
      <c r="I713">
        <f>IF(Skills!T25&lt;&gt;"",1+(Skills!T25/10)*($Z$3/1000)/100,1)</f>
        <v/>
      </c>
      <c r="J713" t="inlineStr"/>
      <c r="K713" t="inlineStr"/>
      <c r="L713" t="inlineStr"/>
      <c r="M713" t="inlineStr"/>
      <c r="N713" t="inlineStr"/>
      <c r="O713">
        <f>(1-Summary!$B$11)*S713+Summary!$B$11*U713</f>
        <v/>
      </c>
      <c r="P713">
        <f>IF(B730=0,0,O713/B730)</f>
        <v/>
      </c>
      <c r="Q713">
        <f>IFERROR(1/(IF(Inputs!$B$39="pvp",15,MAX(0.1,Skills!D25-IF(Skills!E25=TRUE,Inputs!$B$33,0)))*(1-IF(AND(ArtifactsInput!$M$27,Inputs!$B$4="Chapter Hunt"),CHOOSE(ArtifactsInput!$N$27+1,20,24,28,32,36,40),0)/100)),0)</f>
        <v/>
      </c>
      <c r="R713" t="n">
        <v>0</v>
      </c>
      <c r="S713" t="n">
        <v>0</v>
      </c>
      <c r="U713" t="n">
        <v>0</v>
      </c>
    </row>
    <row r="714">
      <c r="A714">
        <f>Skills!A26</f>
        <v/>
      </c>
      <c r="B714">
        <f>Skills!B26</f>
        <v/>
      </c>
      <c r="C714">
        <f>Inputs!$B$3&gt;=117</f>
        <v/>
      </c>
      <c r="D714">
        <f>IF(Skills!C26=1,60+Inputs!$B$26+Inputs!$B$30,IF(Skills!C26=2,90+Inputs!$B$27+Inputs!$B$30,IF(Skills!C26=3,120+Inputs!$B$28+Inputs!$B$30,MAX(0,(Inputs!$B$3-100)*3)+Inputs!$B$29+Inputs!$B$30)))</f>
        <v/>
      </c>
      <c r="E714">
        <f>INDEX(FactorTable!$B$2:$Y$301, MATCH(ROUND(MIN(300,MAX(1,D714)),0), FactorTable!$A$2:$A$301,0), Skills!L26+1)</f>
        <v/>
      </c>
      <c r="F714">
        <f>IF(Skills!M26=TRUE,(Skills!K26/10)*(E714/1000),Skills!K26/10)+Skills!N26</f>
        <v/>
      </c>
      <c r="G714">
        <f>Calc!G26</f>
        <v/>
      </c>
      <c r="H714">
        <f>Calc!H26</f>
        <v/>
      </c>
      <c r="I714">
        <f>IF(Skills!T26&lt;&gt;"",1+(Skills!T26/10)*($Z$3/1000)/100,1)</f>
        <v/>
      </c>
      <c r="J714" t="inlineStr"/>
      <c r="K714" t="inlineStr"/>
      <c r="L714" t="inlineStr"/>
      <c r="M714" t="inlineStr"/>
      <c r="N714" t="inlineStr"/>
      <c r="O714">
        <f>(1-Summary!$B$11)*S714+Summary!$B$11*U714</f>
        <v/>
      </c>
      <c r="P714">
        <f>IF(B730=0,0,O714/B730)</f>
        <v/>
      </c>
      <c r="Q714">
        <f>IFERROR(1/(IF(Inputs!$B$39="pvp",15,MAX(0.1,Skills!D26-IF(Skills!E26=TRUE,Inputs!$B$33,0)))*(1-IF(AND(ArtifactsInput!$M$27,Inputs!$B$4="Chapter Hunt"),CHOOSE(ArtifactsInput!$N$27+1,20,24,28,32,36,40),0)/100)),0)</f>
        <v/>
      </c>
      <c r="R714" t="n">
        <v>0</v>
      </c>
      <c r="S714" t="n">
        <v>0</v>
      </c>
      <c r="U714" t="n">
        <v>0</v>
      </c>
    </row>
    <row r="715">
      <c r="A715">
        <f>Skills!A27</f>
        <v/>
      </c>
      <c r="B715">
        <f>Skills!B27</f>
        <v/>
      </c>
      <c r="C715">
        <f>Inputs!$B$3&gt;=120</f>
        <v/>
      </c>
      <c r="D715">
        <f>IF(Skills!C27=1,60+Inputs!$B$26+Inputs!$B$30,IF(Skills!C27=2,90+Inputs!$B$27+Inputs!$B$30,IF(Skills!C27=3,120+Inputs!$B$28+Inputs!$B$30,MAX(0,(Inputs!$B$3-100)*3)+Inputs!$B$29+Inputs!$B$30)))</f>
        <v/>
      </c>
      <c r="E715">
        <f>INDEX(FactorTable!$B$2:$Y$301, MATCH(ROUND(MIN(300,MAX(1,D715)),0), FactorTable!$A$2:$A$301,0), Skills!L27+1)</f>
        <v/>
      </c>
      <c r="F715">
        <f>IF(Skills!M27=TRUE,(Skills!K27/10)*(E715/1000),Skills!K27/10)+Skills!N27</f>
        <v/>
      </c>
      <c r="G715">
        <f>Calc!G27</f>
        <v/>
      </c>
      <c r="H715">
        <f>Calc!H27</f>
        <v/>
      </c>
      <c r="I715">
        <f>IF(Skills!T27&lt;&gt;"",1+(Skills!T27/10)*($Z$3/1000)/100,1)</f>
        <v/>
      </c>
      <c r="J715" t="inlineStr"/>
      <c r="K715" t="inlineStr"/>
      <c r="L715" t="inlineStr"/>
      <c r="M715" t="inlineStr"/>
      <c r="N715" t="inlineStr"/>
      <c r="O715">
        <f>(1-Summary!$B$11)*S715+Summary!$B$11*U715</f>
        <v/>
      </c>
      <c r="P715">
        <f>IF(B730=0,0,O715/B730)</f>
        <v/>
      </c>
      <c r="Q715">
        <f>IFERROR(1/(IF(Inputs!$B$39="pvp",15,MAX(0.1,Skills!D27-IF(Skills!E27=TRUE,Inputs!$B$33,0)))*(1-IF(AND(ArtifactsInput!$M$27,Inputs!$B$4="Chapter Hunt"),CHOOSE(ArtifactsInput!$N$27+1,20,24,28,32,36,40),0)/100)),0)</f>
        <v/>
      </c>
      <c r="R715" t="n">
        <v>0</v>
      </c>
      <c r="S715" t="n">
        <v>0</v>
      </c>
      <c r="U715" t="n">
        <v>0</v>
      </c>
    </row>
    <row r="717">
      <c r="A717" t="inlineStr">
        <is>
          <t>Average Buff Multiplier</t>
        </is>
      </c>
      <c r="B717">
        <f>(1+(IF(C691=TRUE,F691*IF(AND(Inputs!$B$39&lt;&gt;"pvp",Inputs!$B$44&gt;0),(((R691-1)*(Skills!S3*(1+((Inputs!$B$35+(ArtifactsInput!$M$7-ArtifactsInput!$M$7)*CHOOSE(ArtifactsInput!$N$7+1,6,7.2,8.4,9.6,10.8,12))+IF(Inputs!$B$3&gt;=117,F714,0))/100))+MIN((Skills!S3*(1+((Inputs!$B$35+(ArtifactsInput!$M$7-ArtifactsInput!$M$7)*CHOOSE(ArtifactsInput!$N$7+1,6,7.2,8.4,9.6,10.8,12))+IF(Inputs!$B$3&gt;=117,F714,0))/100)),MAX(0,Inputs!$B$44-((R691-1)*Skills!D3))))/Inputs!$B$44),IF(Inputs!$B$39="pvp",MIN((Skills!S3*(1+((Inputs!$B$35+(ArtifactsInput!$M$7-ArtifactsInput!$M$7)*CHOOSE(ArtifactsInput!$N$7+1,6,7.2,8.4,9.6,10.8,12))+IF(Inputs!$B$3&gt;=117,F714,0))/100)),15)/15,(Skills!S3*(1+((Inputs!$B$35+(ArtifactsInput!$M$7-ArtifactsInput!$M$7)*CHOOSE(ArtifactsInput!$N$7+1,6,7.2,8.4,9.6,10.8,12))+IF(Inputs!$B$3&gt;=117,F714,0))/100))/Skills!D3)),0)+IF(C692=TRUE,F692*IF(AND(Inputs!$B$39&lt;&gt;"pvp",Inputs!$B$44&gt;0),(((R692-1)*(Skills!S4*(1+((Inputs!$B$35+(ArtifactsInput!$M$7-ArtifactsInput!$M$7)*CHOOSE(ArtifactsInput!$N$7+1,6,7.2,8.4,9.6,10.8,12))+IF(Inputs!$B$3&gt;=117,F714,0))/100))+MIN((Skills!S4*(1+((Inputs!$B$35+(ArtifactsInput!$M$7-ArtifactsInput!$M$7)*CHOOSE(ArtifactsInput!$N$7+1,6,7.2,8.4,9.6,10.8,12))+IF(Inputs!$B$3&gt;=117,F714,0))/100)),MAX(0,Inputs!$B$44-((R692-1)*Skills!D4))))/Inputs!$B$44),IF(Inputs!$B$39="pvp",MIN((Skills!S4*(1+((Inputs!$B$35+(ArtifactsInput!$M$7-ArtifactsInput!$M$7)*CHOOSE(ArtifactsInput!$N$7+1,6,7.2,8.4,9.6,10.8,12))+IF(Inputs!$B$3&gt;=117,F714,0))/100)),15)/15,(Skills!S4*(1+((Inputs!$B$35+(ArtifactsInput!$M$7-ArtifactsInput!$M$7)*CHOOSE(ArtifactsInput!$N$7+1,6,7.2,8.4,9.6,10.8,12))+IF(Inputs!$B$3&gt;=117,F714,0))/100))/Skills!D4)),0)+IF(C693=TRUE,F693*IF(AND(Inputs!$B$39&lt;&gt;"pvp",Inputs!$B$44&gt;0),(((R693-1)*(Skills!S5*(1+((Inputs!$B$35+(ArtifactsInput!$M$7-ArtifactsInput!$M$7)*CHOOSE(ArtifactsInput!$N$7+1,6,7.2,8.4,9.6,10.8,12))+IF(Inputs!$B$3&gt;=117,F714,0))/100))+MIN((Skills!S5*(1+((Inputs!$B$35+(ArtifactsInput!$M$7-ArtifactsInput!$M$7)*CHOOSE(ArtifactsInput!$N$7+1,6,7.2,8.4,9.6,10.8,12))+IF(Inputs!$B$3&gt;=117,F714,0))/100)),MAX(0,Inputs!$B$44-((R693-1)*Skills!D5))))/Inputs!$B$44),IF(Inputs!$B$39="pvp",MIN((Skills!S5*(1+((Inputs!$B$35+(ArtifactsInput!$M$7-ArtifactsInput!$M$7)*CHOOSE(ArtifactsInput!$N$7+1,6,7.2,8.4,9.6,10.8,12))+IF(Inputs!$B$3&gt;=117,F714,0))/100)),15)/15,(Skills!S5*(1+((Inputs!$B$35+(ArtifactsInput!$M$7-ArtifactsInput!$M$7)*CHOOSE(ArtifactsInput!$N$7+1,6,7.2,8.4,9.6,10.8,12))+IF(Inputs!$B$3&gt;=117,F714,0))/100))/Skills!D5)),0)+IF(C699=TRUE,F699*IF(AND(Inputs!$B$39&lt;&gt;"pvp",Inputs!$B$44&gt;0),(((R699-1)*(Skills!S11*(1+((Inputs!$B$35+(ArtifactsInput!$M$7-ArtifactsInput!$M$7)*CHOOSE(ArtifactsInput!$N$7+1,6,7.2,8.4,9.6,10.8,12))+IF(Inputs!$B$3&gt;=117,F714,0))/100))+MIN((Skills!S11*(1+((Inputs!$B$35+(ArtifactsInput!$M$7-ArtifactsInput!$M$7)*CHOOSE(ArtifactsInput!$N$7+1,6,7.2,8.4,9.6,10.8,12))+IF(Inputs!$B$3&gt;=117,F714,0))/100)),MAX(0,Inputs!$B$44-((R699-1)*Skills!D11))))/Inputs!$B$44),IF(Inputs!$B$39="pvp",MIN((Skills!S11*(1+((Inputs!$B$35+(ArtifactsInput!$M$7-ArtifactsInput!$M$7)*CHOOSE(ArtifactsInput!$N$7+1,6,7.2,8.4,9.6,10.8,12))+IF(Inputs!$B$3&gt;=117,F714,0))/100)),15)/15,(Skills!S11*(1+((Inputs!$B$35+(ArtifactsInput!$M$7-ArtifactsInput!$M$7)*CHOOSE(ArtifactsInput!$N$7+1,6,7.2,8.4,9.6,10.8,12))+IF(Inputs!$B$3&gt;=117,F714,0)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702=TRUE,(1+F702*IF(AND(Inputs!$B$39&lt;&gt;"pvp",Inputs!$B$44&gt;0),(((R702-1)*(Skills!S14*(1+((Inputs!$B$35+(ArtifactsInput!$M$7-ArtifactsInput!$M$7)*CHOOSE(ArtifactsInput!$N$7+1,6,7.2,8.4,9.6,10.8,12))+IF(Inputs!$B$3&gt;=117,F714,0))/100))+MIN((Skills!S14*(1+((Inputs!$B$35+(ArtifactsInput!$M$7-ArtifactsInput!$M$7)*CHOOSE(ArtifactsInput!$N$7+1,6,7.2,8.4,9.6,10.8,12))+IF(Inputs!$B$3&gt;=117,F714,0))/100)),MAX(0,Inputs!$B$44-((R702-1)*Skills!D14))))/Inputs!$B$44),IF(Inputs!$B$39="pvp",MIN((Skills!S14*(1+((Inputs!$B$35+(ArtifactsInput!$M$7-ArtifactsInput!$M$7)*CHOOSE(ArtifactsInput!$N$7+1,6,7.2,8.4,9.6,10.8,12))+IF(Inputs!$B$3&gt;=117,F714,0))/100)),15)/15,(Skills!S14*(1+((Inputs!$B$35+(ArtifactsInput!$M$7-ArtifactsInput!$M$7)*CHOOSE(ArtifactsInput!$N$7+1,6,7.2,8.4,9.6,10.8,12))+IF(Inputs!$B$3&gt;=117,F714,0))/100))/Skills!D14))/100),1)*IF(C707=TRUE,(1+F707*IF(AND(Inputs!$B$39&lt;&gt;"pvp",Inputs!$B$44&gt;0),(((R707-1)*(Skills!S19*(1+((Inputs!$B$35+(ArtifactsInput!$M$7-ArtifactsInput!$M$7)*CHOOSE(ArtifactsInput!$N$7+1,6,7.2,8.4,9.6,10.8,12))+IF(Inputs!$B$3&gt;=117,F714,0))/100))+MIN((Skills!S19*(1+((Inputs!$B$35+(ArtifactsInput!$M$7-ArtifactsInput!$M$7)*CHOOSE(ArtifactsInput!$N$7+1,6,7.2,8.4,9.6,10.8,12))+IF(Inputs!$B$3&gt;=117,F714,0))/100)),MAX(0,Inputs!$B$44-((R707-1)*Skills!D19))))/Inputs!$B$44),IF(Inputs!$B$39="pvp",MIN((Skills!S19*(1+((Inputs!$B$35+(ArtifactsInput!$M$7-ArtifactsInput!$M$7)*CHOOSE(ArtifactsInput!$N$7+1,6,7.2,8.4,9.6,10.8,12))+IF(Inputs!$B$3&gt;=117,F714,0))/100)),15)/15,(Skills!S19*(1+((Inputs!$B$35+(ArtifactsInput!$M$7-ArtifactsInput!$M$7)*CHOOSE(ArtifactsInput!$N$7+1,6,7.2,8.4,9.6,10.8,12))+IF(Inputs!$B$3&gt;=117,F714,0))/100))/Skills!D19))/100),1)</f>
        <v/>
      </c>
    </row>
    <row r="718">
      <c r="A718" t="inlineStr">
        <is>
          <t>Monster Damage Taken Bonus % (Holy Fountain)</t>
        </is>
      </c>
      <c r="B718">
        <f>IF(Inputs!$B$3&gt;=68,20*IF(Inputs!$B$39="pvp",MIN((15*(1+((Inputs!$B$35+(ArtifactsInput!$M$7-ArtifactsInput!$M$7)*CHOOSE(ArtifactsInput!$N$7+1,6,7.2,8.4,9.6,10.8,12))+IF(Inputs!$B$3&gt;=117,F714,0))/100)),15)/15,(15*(1+((Inputs!$B$35+(ArtifactsInput!$M$7-ArtifactsInput!$M$7)*CHOOSE(ArtifactsInput!$N$7+1,6,7.2,8.4,9.6,10.8,12))+IF(Inputs!$B$3&gt;=117,F714,0))/100))/Skills!D10),0)</f>
        <v/>
      </c>
    </row>
    <row r="719">
      <c r="A719" t="inlineStr">
        <is>
          <t>Normal Monster Damage Bonus % (Holy Symbol)</t>
        </is>
      </c>
      <c r="B719">
        <f>IF(C700=TRUE,F700*IF(AND(Inputs!$B$39&lt;&gt;"pvp",Inputs!$B$44&gt;0),(((R700-1)*(Skills!S12*(1+((Inputs!$B$35+(ArtifactsInput!$M$7-ArtifactsInput!$M$7)*CHOOSE(ArtifactsInput!$N$7+1,6,7.2,8.4,9.6,10.8,12))+IF(Inputs!$B$3&gt;=117,F714,0))/100))+MIN((Skills!S12*(1+((Inputs!$B$35+(ArtifactsInput!$M$7-ArtifactsInput!$M$7)*CHOOSE(ArtifactsInput!$N$7+1,6,7.2,8.4,9.6,10.8,12))+IF(Inputs!$B$3&gt;=117,F714,0))/100)),MAX(0,Inputs!$B$44-((R700-1)*Skills!D12))))/Inputs!$B$44),IF(Inputs!$B$39="pvp",MIN((Skills!S12*(1+((Inputs!$B$35+(ArtifactsInput!$M$7-ArtifactsInput!$M$7)*CHOOSE(ArtifactsInput!$N$7+1,6,7.2,8.4,9.6,10.8,12))+IF(Inputs!$B$3&gt;=117,F714,0))/100)),15)/15,(Skills!S12*(1+((Inputs!$B$35+(ArtifactsInput!$M$7-ArtifactsInput!$M$7)*CHOOSE(ArtifactsInput!$N$7+1,6,7.2,8.4,9.6,10.8,12))+IF(Inputs!$B$3&gt;=117,F714,0))/100))/Skills!D12)),0)</f>
        <v/>
      </c>
    </row>
    <row r="720">
      <c r="A720" t="inlineStr">
        <is>
          <t>Damage % Bonus (Holy Symbol - Damage Boost)</t>
        </is>
      </c>
      <c r="B720">
        <f>Skills!O12</f>
        <v/>
      </c>
    </row>
    <row r="721">
      <c r="A721" t="inlineStr">
        <is>
          <t>Crit Damage % Bonus (Blood of the Divine)</t>
        </is>
      </c>
      <c r="B721">
        <f>4*IF(C708=TRUE,F708,0)</f>
        <v/>
      </c>
    </row>
    <row r="722">
      <c r="A722" t="inlineStr">
        <is>
          <t>Attack Speed Bonus %</t>
        </is>
      </c>
      <c r="B722">
        <f>IF(C705=TRUE,F705+(F709-Calc!F21),0)+IF(Inputs!$B$3&gt;=134,15,0)</f>
        <v/>
      </c>
    </row>
    <row r="723">
      <c r="A723" t="inlineStr">
        <is>
          <t>Actions Per Second</t>
        </is>
      </c>
      <c r="B723">
        <f>1+MIN(150,150*(1-(1-Inputs!$B$12/150)*(1-B722/150)))/100</f>
        <v/>
      </c>
    </row>
    <row r="724">
      <c r="A724" t="inlineStr">
        <is>
          <t>Skill + Buff Cast Rate</t>
        </is>
      </c>
      <c r="B724">
        <f>IF(AND(Inputs!$B$39&lt;&gt;"pvp",Inputs!$B$44&gt;0),SUMPRODUCT((Skills!E2:E27=TRUE)*(C690:C715=TRUE)*R690:R715)/Inputs!$B$44,SUMPRODUCT((Skills!E2:E27=TRUE)*(C690:C715=TRUE)*Q690:Q715))</f>
        <v/>
      </c>
    </row>
    <row r="725">
      <c r="A725" t="inlineStr">
        <is>
          <t>Big Bang Casts Per Second</t>
        </is>
      </c>
      <c r="B725">
        <f>MAX(0,B723-B724)</f>
        <v/>
      </c>
    </row>
    <row r="726">
      <c r="A726" t="inlineStr">
        <is>
          <t>Defense % Bonus (Divine Protection)</t>
        </is>
      </c>
      <c r="B726">
        <f>IF(C701=TRUE,F701*IF(AND(Inputs!$B$39&lt;&gt;"pvp",Inputs!$B$44&gt;0),(((R701-1)*(Skills!S13*(1+((Inputs!$B$35+(ArtifactsInput!$M$7-ArtifactsInput!$M$7)*CHOOSE(ArtifactsInput!$N$7+1,6,7.2,8.4,9.6,10.8,12))+IF(Inputs!$B$3&gt;=117,F714,0))/100))+MIN((Skills!S13*(1+((Inputs!$B$35+(ArtifactsInput!$M$7-ArtifactsInput!$M$7)*CHOOSE(ArtifactsInput!$N$7+1,6,7.2,8.4,9.6,10.8,12))+IF(Inputs!$B$3&gt;=117,F714,0))/100)),MAX(0,Inputs!$B$44-((R701-1)*Skills!D13))))/Inputs!$B$44),IF(Inputs!$B$39="pvp",MIN((Skills!S13*(1+((Inputs!$B$35+(ArtifactsInput!$M$7-ArtifactsInput!$M$7)*CHOOSE(ArtifactsInput!$N$7+1,6,7.2,8.4,9.6,10.8,12))+IF(Inputs!$B$3&gt;=117,F714,0))/100)),15)/15,(Skills!S13*(1+((Inputs!$B$35+(ArtifactsInput!$M$7-ArtifactsInput!$M$7)*CHOOSE(ArtifactsInput!$N$7+1,6,7.2,8.4,9.6,10.8,12))+IF(Inputs!$B$3&gt;=117,F714,0))/100))/Skills!D13)),0)</f>
        <v/>
      </c>
    </row>
    <row r="727">
      <c r="A727" t="inlineStr">
        <is>
          <t>Buff-Casting Startup Delay (s, fixed-duration only)</t>
        </is>
      </c>
      <c r="B727">
        <f>IF(AND(Inputs!$B$39&lt;&gt;"pvp",Inputs!$B$44&gt;0),SUMPRODUCT((Skills!S2:S27&gt;0)*(Skills!E2:E27=TRUE)*(C690:C715=TRUE))/B723,0)</f>
        <v/>
      </c>
    </row>
    <row r="728">
      <c r="A728" t="inlineStr">
        <is>
          <t>Boss-Only Total DPS (this block's swept value)</t>
        </is>
      </c>
      <c r="B728">
        <f>SUM(S690:S715)</f>
        <v/>
      </c>
    </row>
    <row r="729">
      <c r="A729" t="inlineStr">
        <is>
          <t>Normal-Only Total DPS (this block's swept value)</t>
        </is>
      </c>
      <c r="B729">
        <f>SUM(U690:U715)</f>
        <v/>
      </c>
    </row>
    <row r="730">
      <c r="A730" s="6" t="inlineStr">
        <is>
          <t>TOTAL DPS</t>
        </is>
      </c>
      <c r="B730" s="6">
        <f>SUM(O690:O715)</f>
        <v/>
      </c>
    </row>
    <row r="732">
      <c r="A732" s="6" t="inlineStr">
        <is>
          <t>Stat: BASIC_ATTACK_DAMAGE %</t>
        </is>
      </c>
    </row>
    <row r="733">
      <c r="A733" s="5" t="inlineStr">
        <is>
          <t>Key</t>
        </is>
      </c>
      <c r="B733" s="5" t="inlineStr">
        <is>
          <t>Name</t>
        </is>
      </c>
      <c r="C733" s="5" t="inlineStr">
        <is>
          <t>Unlocked</t>
        </is>
      </c>
      <c r="D733" s="5" t="inlineStr">
        <is>
          <t>InputLevel</t>
        </is>
      </c>
      <c r="E733" s="5" t="inlineStr">
        <is>
          <t>Factor</t>
        </is>
      </c>
      <c r="F733" s="5" t="inlineStr">
        <is>
          <t>CoefficientPercent</t>
        </is>
      </c>
      <c r="G733" s="5" t="inlineStr">
        <is>
          <t>EffectiveHits</t>
        </is>
      </c>
      <c r="H733" s="5" t="inlineStr">
        <is>
          <t>ProcProbability</t>
        </is>
      </c>
      <c r="I733" s="5" t="inlineStr">
        <is>
          <t>MapleHeroMultiplier</t>
        </is>
      </c>
      <c r="J733" s="5" t="inlineStr">
        <is>
          <t>BaseDamage</t>
        </is>
      </c>
      <c r="K733" s="5" t="inlineStr">
        <is>
          <t>BaseHitDamage</t>
        </is>
      </c>
      <c r="L733" s="5" t="inlineStr">
        <is>
          <t>NonCritAvg</t>
        </is>
      </c>
      <c r="M733" s="5" t="inlineStr">
        <is>
          <t>CritAvg</t>
        </is>
      </c>
      <c r="N733" s="5" t="inlineStr">
        <is>
          <t>ExpectedDamage(perHit)</t>
        </is>
      </c>
      <c r="O733" s="5" t="inlineStr">
        <is>
          <t>DPS</t>
        </is>
      </c>
      <c r="P733" s="5" t="inlineStr">
        <is>
          <t>% of Total</t>
        </is>
      </c>
      <c r="R733" t="inlineStr">
        <is>
          <t>helpers</t>
        </is>
      </c>
    </row>
    <row r="734">
      <c r="A734">
        <f>Skills!A2</f>
        <v/>
      </c>
      <c r="B734">
        <f>Skills!B2</f>
        <v/>
      </c>
      <c r="C734">
        <f>Inputs!$B$3&gt;=100</f>
        <v/>
      </c>
      <c r="D734" t="inlineStr"/>
      <c r="E734" t="inlineStr"/>
      <c r="F734">
        <f>T736+Skills!N2</f>
        <v/>
      </c>
      <c r="G734">
        <f>Calc!G2</f>
        <v/>
      </c>
      <c r="H734">
        <f>Calc!H2</f>
        <v/>
      </c>
      <c r="I734">
        <f>IF(Skills!T2&lt;&gt;"",1+(Skills!T2/10)*($Z$3/1000)/100,1)</f>
        <v/>
      </c>
      <c r="J734">
        <f>((Inputs!$B$6*(1+Inputs!$B$7/100))+(((Inputs!$B$13*(1+Inputs!$B$14/100))-(Inputs!$B$13*(1+Inputs!$B$14/100)))+0.25*(Inputs!$B$15-Inputs!$B$15))*(1+Inputs!$B$7/100))*(F734/100)</f>
        <v/>
      </c>
      <c r="K734">
        <f>J734*(1+(((Inputs!$B$13+IF(Inputs!$B$3&gt;=35,(10*INDEX(FactorTable!$B$2:$Y$301,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2="TRIUMPH_FEATHER",IF(C748=TRUE,F748,0),0)/100)*(1+IF(C759=TRUE,F759,0)/100)^5*(1+(IF(Skills!A2="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734)</f>
        <v/>
      </c>
      <c r="L734">
        <f>K734*(MIN(Inputs!$B$23+(F754-Calc!F22),(Inputs!$B$24+IF(ArtifactsInput!$M$15,CHOOSE(ArtifactsInput!$N$15+1,25,30,35,40,45,50)/100*(Inputs!$B$12-Inputs!$B$12),0)))/100+(Inputs!$B$24+IF(ArtifactsInput!$M$15,CHOOSE(ArtifactsInput!$N$15+1,25,30,35,40,45,50)/100*(Inputs!$B$12-Inputs!$B$12),0))/100)/2</f>
        <v/>
      </c>
      <c r="M734">
        <f>L734*(1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34">
        <f>L734*(1-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734*(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4">
        <f>(1-Summary!$B$11)*S734+Summary!$B$11*U734</f>
        <v/>
      </c>
      <c r="P734">
        <f>IF(B774=0,0,O734/B774)</f>
        <v/>
      </c>
      <c r="Q734">
        <f>IFERROR(1/(IF(Inputs!$B$39="pvp",15,MAX(0.1,Skills!D2-IF(Skills!E2=TRUE,Inputs!$B$33,0)))*(1-IF(AND(ArtifactsInput!$M$27,Inputs!$B$4="Chapter Hunt"),CHOOSE(ArtifactsInput!$N$27+1,20,24,28,32,36,40),0)/100)),0)</f>
        <v/>
      </c>
      <c r="R734" t="n">
        <v>0</v>
      </c>
      <c r="S734">
        <f>IF(C734,(Skills!F2*N734*B769)*IF(Inputs!$B$39="pvp",1,1+(Inputs!$B$21+Skills!O2+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734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734*(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734*(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34">
        <f>MAX(0,(Inputs!$B$3-100)*3)+Inputs!$B$29+Inputs!$B$30</f>
        <v/>
      </c>
      <c r="U734">
        <f>IF(C734,(Skills!F2*N734*B769)*IF(Inputs!$B$39="pvp",1,(1+(Inputs!$B$22+Skills!P2+B763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5">
      <c r="A735">
        <f>Skills!A3</f>
        <v/>
      </c>
      <c r="B735">
        <f>Skills!B3</f>
        <v/>
      </c>
      <c r="C735">
        <f>Inputs!$B$3&gt;=15</f>
        <v/>
      </c>
      <c r="D735">
        <f>IF(Skills!C3=1,60+Inputs!$B$26+Inputs!$B$30,IF(Skills!C3=2,90+Inputs!$B$27+Inputs!$B$30,IF(Skills!C3=3,120+Inputs!$B$28+Inputs!$B$30,MAX(0,(Inputs!$B$3-100)*3)+Inputs!$B$29+Inputs!$B$30)))</f>
        <v/>
      </c>
      <c r="E735">
        <f>INDEX(FactorTable!$B$2:$Y$301, MATCH(ROUND(MIN(300,MAX(1,D735)),0), FactorTable!$A$2:$A$301,0), Skills!L3+1)</f>
        <v/>
      </c>
      <c r="F735">
        <f>IF(Skills!M3=TRUE,(Skills!K3/10)*(E735/1000),Skills!K3/10)+Skills!N3</f>
        <v/>
      </c>
      <c r="G735">
        <f>Calc!G3</f>
        <v/>
      </c>
      <c r="H735">
        <f>Calc!H3</f>
        <v/>
      </c>
      <c r="I735">
        <f>IF(Skills!T3&lt;&gt;"",1+(Skills!T3/10)*($Z$3/1000)/100,1)</f>
        <v/>
      </c>
      <c r="J735" t="inlineStr"/>
      <c r="K735" t="inlineStr"/>
      <c r="L735" t="inlineStr"/>
      <c r="M735" t="inlineStr"/>
      <c r="N735" t="inlineStr"/>
      <c r="O735">
        <f>(1-Summary!$B$11)*S735+Summary!$B$11*U735</f>
        <v/>
      </c>
      <c r="P735">
        <f>IF(B774=0,0,O735/B774)</f>
        <v/>
      </c>
      <c r="Q735">
        <f>IFERROR(1/(IF(Inputs!$B$39="pvp",15,MAX(0.1,Skills!D3-IF(Skills!E3=TRUE,Inputs!$B$33,0)))*(1-IF(AND(ArtifactsInput!$M$27,Inputs!$B$4="Chapter Hunt"),CHOOSE(ArtifactsInput!$N$27+1,20,24,28,32,36,40),0)/100)),0)</f>
        <v/>
      </c>
      <c r="R735">
        <f>IF(AND(Inputs!$B$39&lt;&gt;"pvp",Inputs!$B$44&gt;0),IF(Inputs!$B$44&lt;=0,0,(INT(Inputs!$B$44/(IF(Inputs!$B$39="pvp",15,MAX(0.1,Skills!D3-IF(Skills!E3=TRUE,Inputs!$B$33,0)))*(1-IF(AND(ArtifactsInput!$M$27,Inputs!$B$4="Chapter Hunt"),CHOOSE(ArtifactsInput!$N$27+1,20,24,28,32,36,40),0)/100)))+1)),0)</f>
        <v/>
      </c>
      <c r="S735" t="n">
        <v>0</v>
      </c>
      <c r="T735">
        <f>INDEX(FactorTable!$B$2:$Y$301, MATCH(ROUND(MIN(300,MAX(1,T734)),0), FactorTable!$A$2:$A$301,0), 22)</f>
        <v/>
      </c>
      <c r="U735" t="n">
        <v>0</v>
      </c>
    </row>
    <row r="736">
      <c r="A736">
        <f>Skills!A4</f>
        <v/>
      </c>
      <c r="B736">
        <f>Skills!B4</f>
        <v/>
      </c>
      <c r="C736">
        <f>Inputs!$B$3&gt;=38</f>
        <v/>
      </c>
      <c r="D736">
        <f>IF(Skills!C4=1,60+Inputs!$B$26+Inputs!$B$30,IF(Skills!C4=2,90+Inputs!$B$27+Inputs!$B$30,IF(Skills!C4=3,120+Inputs!$B$28+Inputs!$B$30,MAX(0,(Inputs!$B$3-100)*3)+Inputs!$B$29+Inputs!$B$30)))</f>
        <v/>
      </c>
      <c r="E736">
        <f>INDEX(FactorTable!$B$2:$Y$301, MATCH(ROUND(MIN(300,MAX(1,D736)),0), FactorTable!$A$2:$A$301,0), Skills!L4+1)</f>
        <v/>
      </c>
      <c r="F736">
        <f>IF(Skills!M4=TRUE,(Skills!K4/10)*(E736/1000),Skills!K4/10)+Skills!N4</f>
        <v/>
      </c>
      <c r="G736">
        <f>Calc!G4</f>
        <v/>
      </c>
      <c r="H736">
        <f>Calc!H4</f>
        <v/>
      </c>
      <c r="I736">
        <f>IF(Skills!T4&lt;&gt;"",1+(Skills!T4/10)*($Z$3/1000)/100,1)</f>
        <v/>
      </c>
      <c r="J736" t="inlineStr"/>
      <c r="K736" t="inlineStr"/>
      <c r="L736" t="inlineStr"/>
      <c r="M736" t="inlineStr"/>
      <c r="N736" t="inlineStr"/>
      <c r="O736">
        <f>(1-Summary!$B$11)*S736+Summary!$B$11*U736</f>
        <v/>
      </c>
      <c r="P736">
        <f>IF(B774=0,0,O736/B774)</f>
        <v/>
      </c>
      <c r="Q736">
        <f>IFERROR(1/(IF(Inputs!$B$39="pvp",15,MAX(0.1,Skills!D4-IF(Skills!E4=TRUE,Inputs!$B$33,0)))*(1-IF(AND(ArtifactsInput!$M$27,Inputs!$B$4="Chapter Hunt"),CHOOSE(ArtifactsInput!$N$27+1,20,24,28,32,36,40),0)/100)),0)</f>
        <v/>
      </c>
      <c r="R736">
        <f>IF(AND(Inputs!$B$39&lt;&gt;"pvp",Inputs!$B$44&gt;0),IF(Inputs!$B$44&lt;=0,0,(INT(Inputs!$B$44/(IF(Inputs!$B$39="pvp",15,MAX(0.1,Skills!D4-IF(Skills!E4=TRUE,Inputs!$B$33,0)))*(1-IF(AND(ArtifactsInput!$M$27,Inputs!$B$4="Chapter Hunt"),CHOOSE(ArtifactsInput!$N$27+1,20,24,28,32,36,40),0)/100)))+1)),0)</f>
        <v/>
      </c>
      <c r="S736" t="n">
        <v>0</v>
      </c>
      <c r="T736">
        <f>290*T735/1000</f>
        <v/>
      </c>
      <c r="U736" t="n">
        <v>0</v>
      </c>
    </row>
    <row r="737">
      <c r="A737">
        <f>Skills!A5</f>
        <v/>
      </c>
      <c r="B737">
        <f>Skills!B5</f>
        <v/>
      </c>
      <c r="C737">
        <f>Inputs!$B$3&gt;=40</f>
        <v/>
      </c>
      <c r="D737">
        <f>IF(Skills!C5=1,60+Inputs!$B$26+Inputs!$B$30,IF(Skills!C5=2,90+Inputs!$B$27+Inputs!$B$30,IF(Skills!C5=3,120+Inputs!$B$28+Inputs!$B$30,MAX(0,(Inputs!$B$3-100)*3)+Inputs!$B$29+Inputs!$B$30)))</f>
        <v/>
      </c>
      <c r="E737">
        <f>INDEX(FactorTable!$B$2:$Y$301, MATCH(ROUND(MIN(300,MAX(1,D737)),0), FactorTable!$A$2:$A$301,0), Skills!L5+1)</f>
        <v/>
      </c>
      <c r="F737">
        <f>IF(Skills!M5=TRUE,(Skills!K5/10)*(E737/1000),Skills!K5/10)+Skills!N5</f>
        <v/>
      </c>
      <c r="G737">
        <f>Calc!G5</f>
        <v/>
      </c>
      <c r="H737">
        <f>Calc!H5</f>
        <v/>
      </c>
      <c r="I737">
        <f>IF(Skills!T5&lt;&gt;"",1+(Skills!T5/10)*($Z$3/1000)/100,1)</f>
        <v/>
      </c>
      <c r="J737" t="inlineStr"/>
      <c r="K737" t="inlineStr"/>
      <c r="L737" t="inlineStr"/>
      <c r="M737" t="inlineStr"/>
      <c r="N737" t="inlineStr"/>
      <c r="O737">
        <f>(1-Summary!$B$11)*S737+Summary!$B$11*U737</f>
        <v/>
      </c>
      <c r="P737">
        <f>IF(B774=0,0,O737/B774)</f>
        <v/>
      </c>
      <c r="Q737">
        <f>IFERROR(1/(IF(Inputs!$B$39="pvp",15,MAX(0.1,Skills!D5-IF(Skills!E5=TRUE,Inputs!$B$33,0)))*(1-IF(AND(ArtifactsInput!$M$27,Inputs!$B$4="Chapter Hunt"),CHOOSE(ArtifactsInput!$N$27+1,20,24,28,32,36,40),0)/100)),0)</f>
        <v/>
      </c>
      <c r="R737">
        <f>IF(AND(Inputs!$B$39&lt;&gt;"pvp",Inputs!$B$44&gt;0),IF(Inputs!$B$44&lt;=0,0,(INT(Inputs!$B$44/(IF(Inputs!$B$39="pvp",15,MAX(0.1,Skills!D5-IF(Skills!E5=TRUE,Inputs!$B$33,0)))*(1-IF(AND(ArtifactsInput!$M$27,Inputs!$B$4="Chapter Hunt"),CHOOSE(ArtifactsInput!$N$27+1,20,24,28,32,36,40),0)/100)))+1)),0)</f>
        <v/>
      </c>
      <c r="S737" t="n">
        <v>0</v>
      </c>
      <c r="U737" t="n">
        <v>0</v>
      </c>
    </row>
    <row r="738">
      <c r="A738">
        <f>Skills!A6</f>
        <v/>
      </c>
      <c r="B738">
        <f>Skills!B6</f>
        <v/>
      </c>
      <c r="C738">
        <f>Inputs!$B$3&gt;=103</f>
        <v/>
      </c>
      <c r="D738">
        <f>IF(Skills!C6=1,60+Inputs!$B$26+Inputs!$B$30,IF(Skills!C6=2,90+Inputs!$B$27+Inputs!$B$30,IF(Skills!C6=3,120+Inputs!$B$28+Inputs!$B$30,MAX(0,(Inputs!$B$3-100)*3)+Inputs!$B$29+Inputs!$B$30)))</f>
        <v/>
      </c>
      <c r="E738">
        <f>INDEX(FactorTable!$B$2:$Y$301, MATCH(ROUND(MIN(300,MAX(1,D738)),0), FactorTable!$A$2:$A$301,0), Skills!L6+1)</f>
        <v/>
      </c>
      <c r="F738">
        <f>IF(Skills!M6=TRUE,(Skills!K6/10)*(E738/1000),Skills!K6/10)+Skills!N6</f>
        <v/>
      </c>
      <c r="G738">
        <f>Calc!G6</f>
        <v/>
      </c>
      <c r="H738">
        <f>Calc!H6</f>
        <v/>
      </c>
      <c r="I738">
        <f>IF(Skills!T6&lt;&gt;"",1+(Skills!T6/10)*($Z$3/1000)/100,1)</f>
        <v/>
      </c>
      <c r="J738">
        <f>((Inputs!$B$6*(1+Inputs!$B$7/100))+(((Inputs!$B$13*(1+Inputs!$B$14/100))-(Inputs!$B$13*(1+Inputs!$B$14/100)))+0.25*(Inputs!$B$15-Inputs!$B$15))*(1+Inputs!$B$7/100))*(F738/100)</f>
        <v/>
      </c>
      <c r="K738">
        <f>J738*(1+(((Inputs!$B$13+IF(Inputs!$B$3&gt;=35,(10*INDEX(FactorTable!$B$2:$Y$301,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6="TRIUMPH_FEATHER",IF(C748=TRUE,F748,0),0)/100)*(1+IF(C759=TRUE,F759,0)/100)^5*(1+(IF(Skills!A6="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738)</f>
        <v/>
      </c>
      <c r="L738">
        <f>K738*(MIN(Inputs!$B$23+(F754-Calc!F22),(Inputs!$B$24+IF(ArtifactsInput!$M$15,CHOOSE(ArtifactsInput!$N$15+1,25,30,35,40,45,50)/100*(Inputs!$B$12-Inputs!$B$12),0)))/100+(Inputs!$B$24+IF(ArtifactsInput!$M$15,CHOOSE(ArtifactsInput!$N$15+1,25,30,35,40,45,50)/100*(Inputs!$B$12-Inputs!$B$12),0))/100)/2</f>
        <v/>
      </c>
      <c r="M738">
        <f>L738*(1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38">
        <f>L738*(1-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738*(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8">
        <f>(1-Summary!$B$11)*S738+Summary!$B$11*U738</f>
        <v/>
      </c>
      <c r="P738">
        <f>IF(B774=0,0,O738/B774)</f>
        <v/>
      </c>
      <c r="Q738">
        <f>IFERROR(1/(IF(Inputs!$B$39="pvp",15,MAX(0.1,Skills!D6-IF(Skills!E6=TRUE,Inputs!$B$33,0)))*(1-IF(AND(ArtifactsInput!$M$27,Inputs!$B$4="Chapter Hunt"),CHOOSE(ArtifactsInput!$N$27+1,20,24,28,32,36,40),0)/100)),0)</f>
        <v/>
      </c>
      <c r="R738">
        <f>IF(AND(Inputs!$B$39&lt;&gt;"pvp",Inputs!$B$44&gt;0),IF(MAX(0,Inputs!$B$44-B771)&lt;=0,0,(INT(MAX(0,Inputs!$B$44-B771)/(IF(Inputs!$B$39="pvp",15,MAX(0.1,Skills!D6-IF(Skills!E6=TRUE,Inputs!$B$33,0)))*(1-IF(AND(ArtifactsInput!$M$27,Inputs!$B$4="Chapter Hunt"),CHOOSE(ArtifactsInput!$N$27+1,20,24,28,32,36,40),0)/100)))+1)),0)</f>
        <v/>
      </c>
      <c r="S738">
        <f>IF(C738,(H738*N738*IF(AND(Inputs!$B$39&lt;&gt;"pvp",Inputs!$B$44&gt;0),((Skills!F6*((R738-1)*IF(Skills!G6&gt;0,Skills!H6/Skills!G6,1)+IF(Skills!G6&gt;0,MIN(Skills!H6,MAX(0,MAX(0,Inputs!$B$44-B771)-((R738-1)*(IF(Inputs!$B$39="pvp",15,MAX(0.1,Skills!D6-IF(Skills!E6=TRUE,Inputs!$B$33,0)))*(1-IF(AND(ArtifactsInput!$M$27,Inputs!$B$4="Chapter Hunt"),CHOOSE(ArtifactsInput!$N$27+1,20,24,28,32,36,40),0)/100)))))/Skills!G6,1)))/Inputs!$B$44),G738*Q738))*IF(Inputs!$B$39="pvp",1,1+(Inputs!$B$21+Skills!O6+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738*(1-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738*(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738*(1-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738*(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8">
        <f>IF(C738,(H738*N738*IF(AND(Inputs!$B$39&lt;&gt;"pvp",Inputs!$B$44&gt;0),((Skills!F6*((R738-1)*IF(Skills!G6&gt;0,Skills!H6/Skills!G6,1)+IF(Skills!G6&gt;0,MIN(Skills!H6,MAX(0,MAX(0,Inputs!$B$44-B771)-((R738-1)*(IF(Inputs!$B$39="pvp",15,MAX(0.1,Skills!D6-IF(Skills!E6=TRUE,Inputs!$B$33,0)))*(1-IF(AND(ArtifactsInput!$M$27,Inputs!$B$4="Chapter Hunt"),CHOOSE(ArtifactsInput!$N$27+1,20,24,28,32,36,40),0)/100)))))/Skills!G6,1)))/Inputs!$B$44),G738*Q738))*IF(Inputs!$B$39="pvp",1,(1+(Inputs!$B$22+Skills!P6+B763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9">
      <c r="A739">
        <f>Skills!A7</f>
        <v/>
      </c>
      <c r="B739">
        <f>Skills!B7</f>
        <v/>
      </c>
      <c r="C739">
        <f>Inputs!$B$3&gt;=122</f>
        <v/>
      </c>
      <c r="D739">
        <f>IF(Skills!C7=1,60+Inputs!$B$26+Inputs!$B$30,IF(Skills!C7=2,90+Inputs!$B$27+Inputs!$B$30,IF(Skills!C7=3,120+Inputs!$B$28+Inputs!$B$30,MAX(0,(Inputs!$B$3-100)*3)+Inputs!$B$29+Inputs!$B$30)))</f>
        <v/>
      </c>
      <c r="E739">
        <f>INDEX(FactorTable!$B$2:$Y$301, MATCH(ROUND(MIN(300,MAX(1,D739)),0), FactorTable!$A$2:$A$301,0), Skills!L7+1)</f>
        <v/>
      </c>
      <c r="F739">
        <f>IF(Skills!M7=TRUE,(Skills!K7/10)*(E739/1000),Skills!K7/10)+Skills!N7</f>
        <v/>
      </c>
      <c r="G739">
        <f>Calc!G7</f>
        <v/>
      </c>
      <c r="H739">
        <f>Calc!H7</f>
        <v/>
      </c>
      <c r="I739">
        <f>IF(Skills!T7&lt;&gt;"",1+(Skills!T7/10)*($Z$3/1000)/100,1)</f>
        <v/>
      </c>
      <c r="J739">
        <f>((Inputs!$B$6*(1+Inputs!$B$7/100))+(((Inputs!$B$13*(1+Inputs!$B$14/100))-(Inputs!$B$13*(1+Inputs!$B$14/100)))+0.25*(Inputs!$B$15-Inputs!$B$15))*(1+Inputs!$B$7/100))*(F739/100)</f>
        <v/>
      </c>
      <c r="K739">
        <f>J739*(1+(((Inputs!$B$13+IF(Inputs!$B$3&gt;=35,(10*INDEX(FactorTable!$B$2:$Y$301,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7="TRIUMPH_FEATHER",IF(C748=TRUE,F748,0),0)/100)*(1+IF(C759=TRUE,F759,0)/100)^5*(1+(IF(Skills!A7="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739)</f>
        <v/>
      </c>
      <c r="L739">
        <f>K739*(MIN(Inputs!$B$23+(F754-Calc!F22),(Inputs!$B$24+IF(ArtifactsInput!$M$15,CHOOSE(ArtifactsInput!$N$15+1,25,30,35,40,45,50)/100*(Inputs!$B$12-Inputs!$B$12),0)))/100+(Inputs!$B$24+IF(ArtifactsInput!$M$15,CHOOSE(ArtifactsInput!$N$15+1,25,30,35,40,45,50)/100*(Inputs!$B$12-Inputs!$B$12),0))/100)/2</f>
        <v/>
      </c>
      <c r="M739">
        <f>L739*(1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39">
        <f>L739*(1-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739*(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9">
        <f>(1-Summary!$B$11)*S739+Summary!$B$11*U739</f>
        <v/>
      </c>
      <c r="P739">
        <f>IF(B774=0,0,O739/B774)</f>
        <v/>
      </c>
      <c r="Q739">
        <f>IFERROR(1/(IF(Inputs!$B$39="pvp",15,MAX(0.1,Skills!D7-IF(Skills!E6=TRUE,Inputs!$B$33,0)))*(1-IF(AND(ArtifactsInput!$M$27,Inputs!$B$4="Chapter Hunt"),CHOOSE(ArtifactsInput!$N$27+1,20,24,28,32,36,40),0)/100)),0)</f>
        <v/>
      </c>
      <c r="R739">
        <f>IF(AND(Inputs!$B$39&lt;&gt;"pvp",Inputs!$B$44&gt;0),IF(MAX(0,Inputs!$B$44-B771)&lt;=0,0,(INT(MAX(0,Inputs!$B$44-B771)/(IF(Inputs!$B$39="pvp",15,MAX(0.1,Skills!D7-IF(Skills!E6=TRUE,Inputs!$B$33,0)))*(1-IF(AND(ArtifactsInput!$M$27,Inputs!$B$4="Chapter Hunt"),CHOOSE(ArtifactsInput!$N$27+1,20,24,28,32,36,40),0)/100)))+1)),0)</f>
        <v/>
      </c>
      <c r="S739">
        <f>IF(C739,H739*N739*IF(AND(Inputs!$B$39&lt;&gt;"pvp",Inputs!$B$44&gt;0),((Skills!F7*((R739-1)*IF(Skills!G7&gt;0,Skills!H7/Skills!G7,1)+IF(Skills!G7&gt;0,MIN(Skills!H7,MAX(0,MAX(0,Inputs!$B$44-B771)-((R739-1)*(IF(Inputs!$B$39="pvp",15,MAX(0.1,Skills!D7-IF(Skills!E6=TRUE,Inputs!$B$33,0)))*(1-IF(AND(ArtifactsInput!$M$27,Inputs!$B$4="Chapter Hunt"),CHOOSE(ArtifactsInput!$N$27+1,20,24,28,32,36,40),0)/100)))))/Skills!G7,1)))/Inputs!$B$44),G739*Q739)*IF(Inputs!$B$39="pvp",1,1+(Inputs!$B$21+Skills!O7+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739*(1-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739*(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739*(1-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739*(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9" t="n">
        <v>0</v>
      </c>
    </row>
    <row r="740">
      <c r="A740">
        <f>Skills!A8</f>
        <v/>
      </c>
      <c r="B740">
        <f>Skills!B8</f>
        <v/>
      </c>
      <c r="C740">
        <f>Inputs!$B$3&gt;=105</f>
        <v/>
      </c>
      <c r="D740">
        <f>IF(Skills!C8=1,60+Inputs!$B$26+Inputs!$B$30,IF(Skills!C8=2,90+Inputs!$B$27+Inputs!$B$30,IF(Skills!C8=3,120+Inputs!$B$28+Inputs!$B$30,MAX(0,(Inputs!$B$3-100)*3)+Inputs!$B$29+Inputs!$B$30)))</f>
        <v/>
      </c>
      <c r="E740">
        <f>INDEX(FactorTable!$B$2:$Y$301, MATCH(ROUND(MIN(300,MAX(1,D740)),0), FactorTable!$A$2:$A$301,0), Skills!L8+1)</f>
        <v/>
      </c>
      <c r="F740">
        <f>IF(Skills!M8=TRUE,(Skills!K8/10)*(E740/1000),Skills!K8/10)+Skills!N8</f>
        <v/>
      </c>
      <c r="G740">
        <f>Calc!G8</f>
        <v/>
      </c>
      <c r="H740">
        <f>Calc!H8</f>
        <v/>
      </c>
      <c r="I740">
        <f>IF(Skills!T8&lt;&gt;"",1+(Skills!T8/10)*($Z$3/1000)/100,1)</f>
        <v/>
      </c>
      <c r="J740">
        <f>((Inputs!$B$6*(1+Inputs!$B$7/100))+(((Inputs!$B$13*(1+Inputs!$B$14/100))-(Inputs!$B$13*(1+Inputs!$B$14/100)))+0.25*(Inputs!$B$15-Inputs!$B$15))*(1+Inputs!$B$7/100))*(F740/100)</f>
        <v/>
      </c>
      <c r="K740">
        <f>J740*(1+(((Inputs!$B$13+IF(Inputs!$B$3&gt;=35,(10*INDEX(FactorTable!$B$2:$Y$301,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8="TRIUMPH_FEATHER",IF(C748=TRUE,F748,0),0)/100)*(1+IF(C759=TRUE,F759,0)/100)^5*(1+(IF(Skills!A8="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740)</f>
        <v/>
      </c>
      <c r="L740">
        <f>K740*(MIN(Inputs!$B$23+(F754-Calc!F22),(Inputs!$B$24+IF(ArtifactsInput!$M$15,CHOOSE(ArtifactsInput!$N$15+1,25,30,35,40,45,50)/100*(Inputs!$B$12-Inputs!$B$12),0)))/100+(Inputs!$B$24+IF(ArtifactsInput!$M$15,CHOOSE(ArtifactsInput!$N$15+1,25,30,35,40,45,50)/100*(Inputs!$B$12-Inputs!$B$12),0))/100)/2</f>
        <v/>
      </c>
      <c r="M740">
        <f>L740*(1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0">
        <f>L740*(1-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740*(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0">
        <f>(1-Summary!$B$11)*S740+Summary!$B$11*U740</f>
        <v/>
      </c>
      <c r="P740">
        <f>IF(B774=0,0,O740/B774)</f>
        <v/>
      </c>
      <c r="Q740">
        <f>IFERROR(1/(IF(Inputs!$B$39="pvp",15,MAX(0.1,Skills!D8-IF(Skills!E8=TRUE,Inputs!$B$33,0)))*(1-IF(AND(ArtifactsInput!$M$27,Inputs!$B$4="Chapter Hunt"),CHOOSE(ArtifactsInput!$N$27+1,20,24,28,32,36,40),0)/100)),0)</f>
        <v/>
      </c>
      <c r="R740">
        <f>IF(AND(Inputs!$B$39&lt;&gt;"pvp",Inputs!$B$44&gt;0),IF(MAX(0,Inputs!$B$44-B771)&lt;=0,0,(INT(MAX(0,Inputs!$B$44-B771)/(IF(Inputs!$B$39="pvp",15,MAX(0.1,Skills!D8-IF(Skills!E8=TRUE,Inputs!$B$33,0)))*(1-IF(AND(ArtifactsInput!$M$27,Inputs!$B$4="Chapter Hunt"),CHOOSE(ArtifactsInput!$N$27+1,20,24,28,32,36,40),0)/100)))+1)),0)</f>
        <v/>
      </c>
      <c r="S740">
        <f>IF(C740,(H740*N740*IF(AND(Inputs!$B$39&lt;&gt;"pvp",Inputs!$B$44&gt;0),((Skills!F8*((R740-1)*IF(Skills!G8&gt;0,Skills!H8/Skills!G8,1)+IF(Skills!G8&gt;0,MIN(Skills!H8,MAX(0,MAX(0,Inputs!$B$44-B771)-((R740-1)*(IF(Inputs!$B$39="pvp",15,MAX(0.1,Skills!D8-IF(Skills!E8=TRUE,Inputs!$B$33,0)))*(1-IF(AND(ArtifactsInput!$M$27,Inputs!$B$4="Chapter Hunt"),CHOOSE(ArtifactsInput!$N$27+1,20,24,28,32,36,40),0)/100)))))/Skills!G8,1)))/Inputs!$B$44),G740*Q740))*IF(Inputs!$B$39="pvp",1,1+(Inputs!$B$21+Skills!O8+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740*(1-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740*(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740*(1-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740*(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0">
        <f>IF(C740,(H740*N740*IF(AND(Inputs!$B$39&lt;&gt;"pvp",Inputs!$B$44&gt;0),((Skills!F8*((R740-1)*IF(Skills!G8&gt;0,Skills!H8/Skills!G8,1)+IF(Skills!G8&gt;0,MIN(Skills!H8,MAX(0,MAX(0,Inputs!$B$44-B771)-((R740-1)*(IF(Inputs!$B$39="pvp",15,MAX(0.1,Skills!D8-IF(Skills!E8=TRUE,Inputs!$B$33,0)))*(1-IF(AND(ArtifactsInput!$M$27,Inputs!$B$4="Chapter Hunt"),CHOOSE(ArtifactsInput!$N$27+1,20,24,28,32,36,40),0)/100)))))/Skills!G8,1)))/Inputs!$B$44),G740*Q740))*IF(Inputs!$B$39="pvp",1,(1+(Inputs!$B$22+Skills!P8+B763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1">
      <c r="A741">
        <f>Skills!A9</f>
        <v/>
      </c>
      <c r="B741">
        <f>Skills!B9</f>
        <v/>
      </c>
      <c r="C741">
        <f>Inputs!$B$3&gt;=115</f>
        <v/>
      </c>
      <c r="D741">
        <f>IF(Skills!C9=1,60+Inputs!$B$26+Inputs!$B$30,IF(Skills!C9=2,90+Inputs!$B$27+Inputs!$B$30,IF(Skills!C9=3,120+Inputs!$B$28+Inputs!$B$30,MAX(0,(Inputs!$B$3-100)*3)+Inputs!$B$29+Inputs!$B$30)))</f>
        <v/>
      </c>
      <c r="E741">
        <f>INDEX(FactorTable!$B$2:$Y$301, MATCH(ROUND(MIN(300,MAX(1,D741)),0), FactorTable!$A$2:$A$301,0), Skills!L9+1)</f>
        <v/>
      </c>
      <c r="F741">
        <f>IF(Skills!M9=TRUE,(Skills!K9/10)*(E741/1000),Skills!K9/10)+Skills!N9</f>
        <v/>
      </c>
      <c r="G741">
        <f>Calc!G9</f>
        <v/>
      </c>
      <c r="H741">
        <f>Calc!H9</f>
        <v/>
      </c>
      <c r="I741">
        <f>IF(Skills!T9&lt;&gt;"",1+(Skills!T9/10)*($Z$3/1000)/100,1)</f>
        <v/>
      </c>
      <c r="J741">
        <f>((Inputs!$B$6*(1+Inputs!$B$7/100))+(((Inputs!$B$13*(1+Inputs!$B$14/100))-(Inputs!$B$13*(1+Inputs!$B$14/100)))+0.25*(Inputs!$B$15-Inputs!$B$15))*(1+Inputs!$B$7/100))*(F741/100)</f>
        <v/>
      </c>
      <c r="K741">
        <f>J741*(1+(((Inputs!$B$13+IF(Inputs!$B$3&gt;=35,(10*INDEX(FactorTable!$B$2:$Y$301,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9="TRIUMPH_FEATHER",IF(C748=TRUE,F748,0),0)/100)*(1+IF(C759=TRUE,F759,0)/100)^5*(1+(IF(Skills!A9="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741)</f>
        <v/>
      </c>
      <c r="L741">
        <f>K741*(MIN(Inputs!$B$23+(F754-Calc!F22),(Inputs!$B$24+IF(ArtifactsInput!$M$15,CHOOSE(ArtifactsInput!$N$15+1,25,30,35,40,45,50)/100*(Inputs!$B$12-Inputs!$B$12),0)))/100+(Inputs!$B$24+IF(ArtifactsInput!$M$15,CHOOSE(ArtifactsInput!$N$15+1,25,30,35,40,45,50)/100*(Inputs!$B$12-Inputs!$B$12),0))/100)/2</f>
        <v/>
      </c>
      <c r="M741">
        <f>L741*(1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1">
        <f>L741*(1-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1">
        <f>(1-Summary!$B$11)*S741+Summary!$B$11*U741</f>
        <v/>
      </c>
      <c r="P741">
        <f>IF(B774=0,0,O741/B774)</f>
        <v/>
      </c>
      <c r="Q741">
        <f>IFERROR(1/(IF(Inputs!$B$39="pvp",15,MAX(0.1,Skills!D9-IF(Skills!E9=TRUE,Inputs!$B$33,0)))*(1-IF(AND(ArtifactsInput!$M$27,Inputs!$B$4="Chapter Hunt"),CHOOSE(ArtifactsInput!$N$27+1,20,24,28,32,36,40),0)/100)),0)</f>
        <v/>
      </c>
      <c r="R741">
        <f>IF(AND(Inputs!$B$39&lt;&gt;"pvp",Inputs!$B$44&gt;0),IF(MAX(0,Inputs!$B$44-B771)&lt;=0,0,(INT(MAX(0,Inputs!$B$44-B771)/(IF(Inputs!$B$39="pvp",15,MAX(0.1,Skills!D9-IF(Skills!E9=TRUE,Inputs!$B$33,0)))*(1-IF(AND(ArtifactsInput!$M$27,Inputs!$B$4="Chapter Hunt"),CHOOSE(ArtifactsInput!$N$27+1,20,24,28,32,36,40),0)/100)))+1)),0)</f>
        <v/>
      </c>
      <c r="S741">
        <f>IF(C741,(H741*N741*IF(AND(Inputs!$B$39&lt;&gt;"pvp",Inputs!$B$44&gt;0),((Skills!F9*((R741-1)*IF(Skills!G9&gt;0,Skills!H9/Skills!G9,1)+IF(Skills!G9&gt;0,MIN(Skills!H9,MAX(0,MAX(0,Inputs!$B$44-B771)-((R741-1)*(IF(Inputs!$B$39="pvp",15,MAX(0.1,Skills!D9-IF(Skills!E9=TRUE,Inputs!$B$33,0)))*(1-IF(AND(ArtifactsInput!$M$27,Inputs!$B$4="Chapter Hunt"),CHOOSE(ArtifactsInput!$N$27+1,20,24,28,32,36,40),0)/100)))))/Skills!G9,1)))/Inputs!$B$44),G741*Q741))*IF(Inputs!$B$39="pvp",1,1+(Inputs!$B$21+Skills!O9+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1">
        <f>IF(C741,(H741*N741*IF(AND(Inputs!$B$39&lt;&gt;"pvp",Inputs!$B$44&gt;0),((Skills!F9*((R741-1)*IF(Skills!G9&gt;0,Skills!H9/Skills!G9,1)+IF(Skills!G9&gt;0,MIN(Skills!H9,MAX(0,MAX(0,Inputs!$B$44-B771)-((R741-1)*(IF(Inputs!$B$39="pvp",15,MAX(0.1,Skills!D9-IF(Skills!E9=TRUE,Inputs!$B$33,0)))*(1-IF(AND(ArtifactsInput!$M$27,Inputs!$B$4="Chapter Hunt"),CHOOSE(ArtifactsInput!$N$27+1,20,24,28,32,36,40),0)/100)))))/Skills!G9,1)))/Inputs!$B$44),G741*Q741))*IF(Inputs!$B$39="pvp",1,(1+(Inputs!$B$22+Skills!P9+B763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2">
      <c r="A742">
        <f>Skills!A10</f>
        <v/>
      </c>
      <c r="B742">
        <f>Skills!B10</f>
        <v/>
      </c>
      <c r="C742">
        <f>Inputs!$B$3&gt;=66</f>
        <v/>
      </c>
      <c r="D742">
        <f>IF(Skills!C10=1,60+Inputs!$B$26+Inputs!$B$30,IF(Skills!C10=2,90+Inputs!$B$27+Inputs!$B$30,IF(Skills!C10=3,120+Inputs!$B$28+Inputs!$B$30,MAX(0,(Inputs!$B$3-100)*3)+Inputs!$B$29+Inputs!$B$30)))</f>
        <v/>
      </c>
      <c r="E742">
        <f>INDEX(FactorTable!$B$2:$Y$301, MATCH(ROUND(MIN(300,MAX(1,D742)),0), FactorTable!$A$2:$A$301,0), Skills!L10+1)</f>
        <v/>
      </c>
      <c r="F742" t="n">
        <v>0</v>
      </c>
      <c r="G742">
        <f>Calc!G10</f>
        <v/>
      </c>
      <c r="H742">
        <f>Calc!H10</f>
        <v/>
      </c>
      <c r="I742">
        <f>IF(Skills!T10&lt;&gt;"",1+(Skills!T10/10)*($Z$3/1000)/100,1)</f>
        <v/>
      </c>
      <c r="J742" t="inlineStr"/>
      <c r="K742" t="inlineStr"/>
      <c r="L742" t="inlineStr"/>
      <c r="M742" t="inlineStr"/>
      <c r="N742" t="inlineStr"/>
      <c r="O742">
        <f>(1-Summary!$B$11)*S742+Summary!$B$11*U742</f>
        <v/>
      </c>
      <c r="P742">
        <f>IF(B774=0,0,O742/B774)</f>
        <v/>
      </c>
      <c r="Q742">
        <f>IFERROR(1/(IF(Inputs!$B$39="pvp",15,MAX(0.1,Skills!D10-IF(Skills!E10=TRUE,Inputs!$B$33,0)))*(1-IF(AND(ArtifactsInput!$M$27,Inputs!$B$4="Chapter Hunt"),CHOOSE(ArtifactsInput!$N$27+1,20,24,28,32,36,40),0)/100)),0)</f>
        <v/>
      </c>
      <c r="R742">
        <f>IF(AND(Inputs!$B$39&lt;&gt;"pvp",Inputs!$B$44&gt;0),IF(MAX(0,Inputs!$B$44-B771)&lt;=0,0,(INT(MAX(0,Inputs!$B$44-B771)/(IF(Inputs!$B$39="pvp",15,MAX(0.1,Skills!D10-IF(Skills!E10=TRUE,Inputs!$B$33,0)))*(1-IF(AND(ArtifactsInput!$M$27,Inputs!$B$4="Chapter Hunt"),CHOOSE(ArtifactsInput!$N$27+1,20,24,28,32,36,40),0)/100)))+1)),0)</f>
        <v/>
      </c>
      <c r="S742" t="n">
        <v>0</v>
      </c>
      <c r="U742" t="n">
        <v>0</v>
      </c>
    </row>
    <row r="743">
      <c r="A743">
        <f>Skills!A11</f>
        <v/>
      </c>
      <c r="B743">
        <f>Skills!B11</f>
        <v/>
      </c>
      <c r="C743">
        <f>Inputs!$B$3&gt;=69</f>
        <v/>
      </c>
      <c r="D743">
        <f>IF(Skills!C11=1,60+Inputs!$B$26+Inputs!$B$30,IF(Skills!C11=2,90+Inputs!$B$27+Inputs!$B$30,IF(Skills!C11=3,120+Inputs!$B$28+Inputs!$B$30,MAX(0,(Inputs!$B$3-100)*3)+Inputs!$B$29+Inputs!$B$30)))</f>
        <v/>
      </c>
      <c r="E743">
        <f>INDEX(FactorTable!$B$2:$Y$301, MATCH(ROUND(MIN(300,MAX(1,D743)),0), FactorTable!$A$2:$A$301,0), Skills!L11+1)</f>
        <v/>
      </c>
      <c r="F743">
        <f>IF(Skills!M11=TRUE,(Skills!K11/10)*(E743/1000),Skills!K11/10)+Skills!N11</f>
        <v/>
      </c>
      <c r="G743">
        <f>Calc!G11</f>
        <v/>
      </c>
      <c r="H743">
        <f>Calc!H11</f>
        <v/>
      </c>
      <c r="I743">
        <f>IF(Skills!T11&lt;&gt;"",1+(Skills!T11/10)*($Z$3/1000)/100,1)</f>
        <v/>
      </c>
      <c r="J743" t="inlineStr"/>
      <c r="K743" t="inlineStr"/>
      <c r="L743" t="inlineStr"/>
      <c r="M743" t="inlineStr"/>
      <c r="N743" t="inlineStr"/>
      <c r="O743">
        <f>(1-Summary!$B$11)*S743+Summary!$B$11*U743</f>
        <v/>
      </c>
      <c r="P743">
        <f>IF(B774=0,0,O743/B774)</f>
        <v/>
      </c>
      <c r="Q743">
        <f>IFERROR(1/(IF(Inputs!$B$39="pvp",15,MAX(0.1,Skills!D11-IF(Skills!E11=TRUE,Inputs!$B$33,0)))*(1-IF(AND(ArtifactsInput!$M$27,Inputs!$B$4="Chapter Hunt"),CHOOSE(ArtifactsInput!$N$27+1,20,24,28,32,36,40),0)/100)),0)</f>
        <v/>
      </c>
      <c r="R743">
        <f>IF(AND(Inputs!$B$39&lt;&gt;"pvp",Inputs!$B$44&gt;0),IF(Inputs!$B$44&lt;=0,0,(INT(Inputs!$B$44/(IF(Inputs!$B$39="pvp",15,MAX(0.1,Skills!D11-IF(Skills!E11=TRUE,Inputs!$B$33,0)))*(1-IF(AND(ArtifactsInput!$M$27,Inputs!$B$4="Chapter Hunt"),CHOOSE(ArtifactsInput!$N$27+1,20,24,28,32,36,40),0)/100)))+1)),0)</f>
        <v/>
      </c>
      <c r="S743" t="n">
        <v>0</v>
      </c>
      <c r="U743" t="n">
        <v>0</v>
      </c>
    </row>
    <row r="744">
      <c r="A744">
        <f>Skills!A12</f>
        <v/>
      </c>
      <c r="B744">
        <f>Skills!B12</f>
        <v/>
      </c>
      <c r="C744">
        <f>Inputs!$B$3&gt;=72</f>
        <v/>
      </c>
      <c r="D744">
        <f>IF(Skills!C12=1,60+Inputs!$B$26+Inputs!$B$30,IF(Skills!C12=2,90+Inputs!$B$27+Inputs!$B$30,IF(Skills!C12=3,120+Inputs!$B$28+Inputs!$B$30,MAX(0,(Inputs!$B$3-100)*3)+Inputs!$B$29+Inputs!$B$30)))</f>
        <v/>
      </c>
      <c r="E744">
        <f>INDEX(FactorTable!$B$2:$Y$301, MATCH(ROUND(MIN(300,MAX(1,D744)),0), FactorTable!$A$2:$A$301,0), Skills!L12+1)</f>
        <v/>
      </c>
      <c r="F744">
        <f>IF(Skills!M12=TRUE,(Skills!K12/10)*(E744/1000),Skills!K12/10)+Skills!N12</f>
        <v/>
      </c>
      <c r="G744">
        <f>Calc!G12</f>
        <v/>
      </c>
      <c r="H744">
        <f>Calc!H12</f>
        <v/>
      </c>
      <c r="I744">
        <f>IF(Skills!T12&lt;&gt;"",1+(Skills!T12/10)*($Z$3/1000)/100,1)</f>
        <v/>
      </c>
      <c r="J744" t="inlineStr"/>
      <c r="K744" t="inlineStr"/>
      <c r="L744" t="inlineStr"/>
      <c r="M744" t="inlineStr"/>
      <c r="N744" t="inlineStr"/>
      <c r="O744">
        <f>(1-Summary!$B$11)*S744+Summary!$B$11*U744</f>
        <v/>
      </c>
      <c r="P744">
        <f>IF(B774=0,0,O744/B774)</f>
        <v/>
      </c>
      <c r="Q744">
        <f>IFERROR(1/(IF(Inputs!$B$39="pvp",15,MAX(0.1,Skills!D12-IF(Skills!E12=TRUE,Inputs!$B$33,0)))*(1-IF(AND(ArtifactsInput!$M$27,Inputs!$B$4="Chapter Hunt"),CHOOSE(ArtifactsInput!$N$27+1,20,24,28,32,36,40),0)/100)),0)</f>
        <v/>
      </c>
      <c r="R744">
        <f>IF(AND(Inputs!$B$39&lt;&gt;"pvp",Inputs!$B$44&gt;0),IF(MAX(0,Inputs!$B$44-B771)&lt;=0,0,(INT(MAX(0,Inputs!$B$44-B771)/(IF(Inputs!$B$39="pvp",15,MAX(0.1,Skills!D12-IF(Skills!E12=TRUE,Inputs!$B$33,0)))*(1-IF(AND(ArtifactsInput!$M$27,Inputs!$B$4="Chapter Hunt"),CHOOSE(ArtifactsInput!$N$27+1,20,24,28,32,36,40),0)/100)))+1)),0)</f>
        <v/>
      </c>
      <c r="S744" t="n">
        <v>0</v>
      </c>
      <c r="U744" t="n">
        <v>0</v>
      </c>
    </row>
    <row r="745">
      <c r="A745">
        <f>Skills!A13</f>
        <v/>
      </c>
      <c r="B745">
        <f>Skills!B13</f>
        <v/>
      </c>
      <c r="C745">
        <f>Inputs!$B$3&gt;=60</f>
        <v/>
      </c>
      <c r="D745">
        <f>IF(Skills!C13=1,60+Inputs!$B$26+Inputs!$B$30,IF(Skills!C13=2,90+Inputs!$B$27+Inputs!$B$30,IF(Skills!C13=3,120+Inputs!$B$28+Inputs!$B$30,MAX(0,(Inputs!$B$3-100)*3)+Inputs!$B$29+Inputs!$B$30)))</f>
        <v/>
      </c>
      <c r="E745">
        <f>INDEX(FactorTable!$B$2:$Y$301, MATCH(ROUND(MIN(300,MAX(1,D745)),0), FactorTable!$A$2:$A$301,0), Skills!L13+1)</f>
        <v/>
      </c>
      <c r="F745">
        <f>IF(Skills!M13=TRUE,(Skills!K13/10)*(E745/1000),Skills!K13/10)+Skills!N13</f>
        <v/>
      </c>
      <c r="G745">
        <f>Calc!G13</f>
        <v/>
      </c>
      <c r="H745">
        <f>Calc!H13</f>
        <v/>
      </c>
      <c r="I745">
        <f>IF(Skills!T13&lt;&gt;"",1+(Skills!T13/10)*($Z$3/1000)/100,1)</f>
        <v/>
      </c>
      <c r="J745" t="inlineStr"/>
      <c r="K745" t="inlineStr"/>
      <c r="L745" t="inlineStr"/>
      <c r="M745" t="inlineStr"/>
      <c r="N745" t="inlineStr"/>
      <c r="O745">
        <f>(1-Summary!$B$11)*S745+Summary!$B$11*U745</f>
        <v/>
      </c>
      <c r="P745">
        <f>IF(B774=0,0,O745/B774)</f>
        <v/>
      </c>
      <c r="Q745">
        <f>IFERROR(1/(IF(Inputs!$B$39="pvp",15,MAX(0.1,Skills!D13-IF(Skills!E13=TRUE,Inputs!$B$33,0)))*(1-IF(AND(ArtifactsInput!$M$27,Inputs!$B$4="Chapter Hunt"),CHOOSE(ArtifactsInput!$N$27+1,20,24,28,32,36,40),0)/100)),0)</f>
        <v/>
      </c>
      <c r="R745">
        <f>IF(AND(Inputs!$B$39&lt;&gt;"pvp",Inputs!$B$44&gt;0),IF(MAX(0,Inputs!$B$44-B771)&lt;=0,0,(INT(MAX(0,Inputs!$B$44-B771)/(IF(Inputs!$B$39="pvp",15,MAX(0.1,Skills!D13-IF(Skills!E13=TRUE,Inputs!$B$33,0)))*(1-IF(AND(ArtifactsInput!$M$27,Inputs!$B$4="Chapter Hunt"),CHOOSE(ArtifactsInput!$N$27+1,20,24,28,32,36,40),0)/100)))+1)),0)</f>
        <v/>
      </c>
      <c r="S745" t="n">
        <v>0</v>
      </c>
      <c r="U745" t="n">
        <v>0</v>
      </c>
    </row>
    <row r="746">
      <c r="A746">
        <f>Skills!A14</f>
        <v/>
      </c>
      <c r="B746">
        <f>Skills!B14</f>
        <v/>
      </c>
      <c r="C746">
        <f>Inputs!$B$3&gt;=107</f>
        <v/>
      </c>
      <c r="D746">
        <f>IF(Skills!C14=1,60+Inputs!$B$26+Inputs!$B$30,IF(Skills!C14=2,90+Inputs!$B$27+Inputs!$B$30,IF(Skills!C14=3,120+Inputs!$B$28+Inputs!$B$30,MAX(0,(Inputs!$B$3-100)*3)+Inputs!$B$29+Inputs!$B$30)))</f>
        <v/>
      </c>
      <c r="E746">
        <f>INDEX(FactorTable!$B$2:$Y$301, MATCH(ROUND(MIN(300,MAX(1,D746)),0), FactorTable!$A$2:$A$301,0), Skills!L14+1)</f>
        <v/>
      </c>
      <c r="F746">
        <f>IF(Skills!M14=TRUE,(Skills!K14/10)*(E746/1000),Skills!K14/10)+Skills!N14</f>
        <v/>
      </c>
      <c r="G746">
        <f>Calc!G14</f>
        <v/>
      </c>
      <c r="H746">
        <f>Calc!H14</f>
        <v/>
      </c>
      <c r="I746">
        <f>IF(Skills!T14&lt;&gt;"",1+(Skills!T14/10)*($Z$3/1000)/100,1)</f>
        <v/>
      </c>
      <c r="J746" t="inlineStr"/>
      <c r="K746" t="inlineStr"/>
      <c r="L746" t="inlineStr"/>
      <c r="M746" t="inlineStr"/>
      <c r="N746" t="inlineStr"/>
      <c r="O746">
        <f>(1-Summary!$B$11)*S746+Summary!$B$11*U746</f>
        <v/>
      </c>
      <c r="P746">
        <f>IF(B774=0,0,O746/B774)</f>
        <v/>
      </c>
      <c r="Q746">
        <f>IFERROR(1/(IF(Inputs!$B$39="pvp",15,MAX(0.1,Skills!D14-IF(Skills!E14=TRUE,Inputs!$B$33,0)))*(1-IF(AND(ArtifactsInput!$M$27,Inputs!$B$4="Chapter Hunt"),CHOOSE(ArtifactsInput!$N$27+1,20,24,28,32,36,40),0)/100)),0)</f>
        <v/>
      </c>
      <c r="R746">
        <f>IF(AND(Inputs!$B$39&lt;&gt;"pvp",Inputs!$B$44&gt;0),IF(Inputs!$B$44&lt;=0,0,(INT(Inputs!$B$44/(IF(Inputs!$B$39="pvp",15,MAX(0.1,Skills!D14-IF(Skills!E14=TRUE,Inputs!$B$33,0)))*(1-IF(AND(ArtifactsInput!$M$27,Inputs!$B$4="Chapter Hunt"),CHOOSE(ArtifactsInput!$N$27+1,20,24,28,32,36,40),0)/100)))+1)),0)</f>
        <v/>
      </c>
      <c r="S746" t="n">
        <v>0</v>
      </c>
      <c r="U746" t="n">
        <v>0</v>
      </c>
    </row>
    <row r="747">
      <c r="A747">
        <f>Skills!A15</f>
        <v/>
      </c>
      <c r="B747">
        <f>Skills!B15</f>
        <v/>
      </c>
      <c r="C747">
        <f>Inputs!$B$3&gt;=63</f>
        <v/>
      </c>
      <c r="D747">
        <f>IF(Skills!C15=1,60+Inputs!$B$26+Inputs!$B$30,IF(Skills!C15=2,90+Inputs!$B$27+Inputs!$B$30,IF(Skills!C15=3,120+Inputs!$B$28+Inputs!$B$30,MAX(0,(Inputs!$B$3-100)*3)+Inputs!$B$29+Inputs!$B$30)))</f>
        <v/>
      </c>
      <c r="E747">
        <f>INDEX(FactorTable!$B$2:$Y$301, MATCH(ROUND(MIN(300,MAX(1,D747)),0), FactorTable!$A$2:$A$301,0), Skills!L15+1)</f>
        <v/>
      </c>
      <c r="F747">
        <f>IF(Skills!M15=TRUE,(Skills!K15/10)*(E747/1000),Skills!K15/10)+Skills!N15</f>
        <v/>
      </c>
      <c r="G747">
        <f>Calc!G15</f>
        <v/>
      </c>
      <c r="H747">
        <f>Calc!H15</f>
        <v/>
      </c>
      <c r="I747">
        <f>IF(Skills!T15&lt;&gt;"",1+(Skills!T15/10)*($Z$3/1000)/100,1)</f>
        <v/>
      </c>
      <c r="J747">
        <f>((Inputs!$B$6*(1+Inputs!$B$7/100))+(((Inputs!$B$13*(1+Inputs!$B$14/100))-(Inputs!$B$13*(1+Inputs!$B$14/100)))+0.25*(Inputs!$B$15-Inputs!$B$15))*(1+Inputs!$B$7/100))*(F747/100)</f>
        <v/>
      </c>
      <c r="K747">
        <f>J747*(1+(((Inputs!$B$13+IF(Inputs!$B$3&gt;=35,(10*INDEX(FactorTable!$B$2:$Y$301,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15="TRIUMPH_FEATHER",IF(C748=TRUE,F748,0),0)/100)*(1+IF(C759=TRUE,F759,0)/100)^5*(1+(IF(Skills!A15="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747)</f>
        <v/>
      </c>
      <c r="L747">
        <f>K747*(MIN(Inputs!$B$23+(F754-Calc!F22),(Inputs!$B$24+IF(ArtifactsInput!$M$15,CHOOSE(ArtifactsInput!$N$15+1,25,30,35,40,45,50)/100*(Inputs!$B$12-Inputs!$B$12),0)))/100+(Inputs!$B$24+IF(ArtifactsInput!$M$15,CHOOSE(ArtifactsInput!$N$15+1,25,30,35,40,45,50)/100*(Inputs!$B$12-Inputs!$B$12),0))/100)/2</f>
        <v/>
      </c>
      <c r="M747">
        <f>L747*(1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7">
        <f>L747*(1-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(1-Summary!$B$11)*S747+Summary!$B$11*U747</f>
        <v/>
      </c>
      <c r="P747">
        <f>IF(B774=0,0,O747/B774)</f>
        <v/>
      </c>
      <c r="Q747">
        <f>IFERROR(1/(IF(Inputs!$B$39="pvp",15,MAX(0.1,Skills!D15-IF(Skills!E15=TRUE,Inputs!$B$33,0)))*(1-IF(AND(ArtifactsInput!$M$27,Inputs!$B$4="Chapter Hunt"),CHOOSE(ArtifactsInput!$N$27+1,20,24,28,32,36,40),0)/100)),0)</f>
        <v/>
      </c>
      <c r="R747" t="n">
        <v>0</v>
      </c>
      <c r="S747">
        <f>IF(C747,(Skills!F15*N747*((IF(Inputs!$B$3&gt;=78,25,15)/100*B767*10)/(1+IF(Inputs!$B$3&gt;=78,25,15)/100*B767*10))*(Skills!I15/100*B767)/(1+Skills!G15*Skills!I15/100*B767))*IF(Inputs!$B$39="pvp",1,1+(Inputs!$B$21+Skills!O15+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747*(1-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IF(C747,(Skills!F15*N747*((IF(Inputs!$B$3&gt;=78,25,15)/100*B767*10)/(1+IF(Inputs!$B$3&gt;=78,25,15)/100*B767*10))*(Skills!I15/100*B767)/(1+Skills!G15*Skills!I15/100*B767))*IF(Inputs!$B$39="pvp",1,(1+(Inputs!$B$22+Skills!P15+B763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Skills!A16</f>
        <v/>
      </c>
      <c r="B748">
        <f>Skills!B16</f>
        <v/>
      </c>
      <c r="C748">
        <f>Inputs!$B$3&gt;=100</f>
        <v/>
      </c>
      <c r="D748">
        <f>IF(Skills!C16=1,60+Inputs!$B$26+Inputs!$B$30,IF(Skills!C16=2,90+Inputs!$B$27+Inputs!$B$30,IF(Skills!C16=3,120+Inputs!$B$28+Inputs!$B$30,MAX(0,(Inputs!$B$3-100)*3)+Inputs!$B$29+Inputs!$B$30)))</f>
        <v/>
      </c>
      <c r="E748">
        <f>INDEX(FactorTable!$B$2:$Y$301, MATCH(ROUND(MIN(300,MAX(1,D748)),0), FactorTable!$A$2:$A$301,0), Skills!L16+1)</f>
        <v/>
      </c>
      <c r="F748">
        <f>IF(Skills!M16=TRUE,(Skills!K16/10)*(E748/1000),Skills!K16/10)+Skills!N16</f>
        <v/>
      </c>
      <c r="G748">
        <f>Calc!G16</f>
        <v/>
      </c>
      <c r="H748">
        <f>Calc!H16</f>
        <v/>
      </c>
      <c r="I748">
        <f>IF(Skills!T16&lt;&gt;"",1+(Skills!T16/10)*($Z$3/1000)/100,1)</f>
        <v/>
      </c>
      <c r="J748" t="inlineStr"/>
      <c r="K748" t="inlineStr"/>
      <c r="L748" t="inlineStr"/>
      <c r="M748" t="inlineStr"/>
      <c r="N748" t="inlineStr"/>
      <c r="O748">
        <f>(1-Summary!$B$11)*S748+Summary!$B$11*U748</f>
        <v/>
      </c>
      <c r="P748">
        <f>IF(B774=0,0,O748/B774)</f>
        <v/>
      </c>
      <c r="Q748">
        <f>IFERROR(1/(IF(Inputs!$B$39="pvp",15,MAX(0.1,Skills!D16-IF(Skills!E16=TRUE,Inputs!$B$33,0)))*(1-IF(AND(ArtifactsInput!$M$27,Inputs!$B$4="Chapter Hunt"),CHOOSE(ArtifactsInput!$N$27+1,20,24,28,32,36,40),0)/100)),0)</f>
        <v/>
      </c>
      <c r="R748" t="n">
        <v>0</v>
      </c>
      <c r="S748" t="n">
        <v>0</v>
      </c>
      <c r="U748" t="n">
        <v>0</v>
      </c>
    </row>
    <row r="749">
      <c r="A749">
        <f>Skills!A17</f>
        <v/>
      </c>
      <c r="B749">
        <f>Skills!B17</f>
        <v/>
      </c>
      <c r="C749">
        <f>Inputs!$B$3&gt;=49</f>
        <v/>
      </c>
      <c r="D749">
        <f>IF(Skills!C17=1,60+Inputs!$B$26+Inputs!$B$30,IF(Skills!C17=2,90+Inputs!$B$27+Inputs!$B$30,IF(Skills!C17=3,120+Inputs!$B$28+Inputs!$B$30,MAX(0,(Inputs!$B$3-100)*3)+Inputs!$B$29+Inputs!$B$30)))</f>
        <v/>
      </c>
      <c r="E749">
        <f>INDEX(FactorTable!$B$2:$Y$301, MATCH(ROUND(MIN(300,MAX(1,D749)),0), FactorTable!$A$2:$A$301,0), Skills!L17+1)</f>
        <v/>
      </c>
      <c r="F749">
        <f>IF(Skills!M17=TRUE,(Skills!K17/10)*(E749/1000),Skills!K17/10)+Skills!N17</f>
        <v/>
      </c>
      <c r="G749">
        <f>Calc!G17</f>
        <v/>
      </c>
      <c r="H749">
        <f>Calc!H17</f>
        <v/>
      </c>
      <c r="I749">
        <f>IF(Skills!T17&lt;&gt;"",1+(Skills!T17/10)*($Z$3/1000)/100,1)</f>
        <v/>
      </c>
      <c r="J749" t="inlineStr"/>
      <c r="K749" t="inlineStr"/>
      <c r="L749" t="inlineStr"/>
      <c r="M749" t="inlineStr"/>
      <c r="N749" t="inlineStr"/>
      <c r="O749">
        <f>(1-Summary!$B$11)*S749+Summary!$B$11*U749</f>
        <v/>
      </c>
      <c r="P749">
        <f>IF(B774=0,0,O749/B774)</f>
        <v/>
      </c>
      <c r="Q749">
        <f>IFERROR(1/(IF(Inputs!$B$39="pvp",15,MAX(0.1,Skills!D17-IF(Skills!E17=TRUE,Inputs!$B$33,0)))*(1-IF(AND(ArtifactsInput!$M$27,Inputs!$B$4="Chapter Hunt"),CHOOSE(ArtifactsInput!$N$27+1,20,24,28,32,36,40),0)/100)),0)</f>
        <v/>
      </c>
      <c r="R749" t="n">
        <v>0</v>
      </c>
      <c r="S749" t="n">
        <v>0</v>
      </c>
      <c r="U749" t="n">
        <v>0</v>
      </c>
    </row>
    <row r="750">
      <c r="A750">
        <f>Skills!A18</f>
        <v/>
      </c>
      <c r="B750">
        <f>Skills!B18</f>
        <v/>
      </c>
      <c r="C750">
        <f>Inputs!$B$3&gt;=75</f>
        <v/>
      </c>
      <c r="D750">
        <f>IF(Skills!C18=1,60+Inputs!$B$26+Inputs!$B$30,IF(Skills!C18=2,90+Inputs!$B$27+Inputs!$B$30,IF(Skills!C18=3,120+Inputs!$B$28+Inputs!$B$30,MAX(0,(Inputs!$B$3-100)*3)+Inputs!$B$29+Inputs!$B$30)))</f>
        <v/>
      </c>
      <c r="E750">
        <f>INDEX(FactorTable!$B$2:$Y$301, MATCH(ROUND(MIN(300,MAX(1,D750)),0), FactorTable!$A$2:$A$301,0), Skills!L18+1)</f>
        <v/>
      </c>
      <c r="F750">
        <f>IF(Skills!M18=TRUE,(Skills!K18/10)*(E750/1000),Skills!K18/10)+Skills!N18</f>
        <v/>
      </c>
      <c r="G750">
        <f>Calc!G18</f>
        <v/>
      </c>
      <c r="H750">
        <f>Calc!H18</f>
        <v/>
      </c>
      <c r="I750">
        <f>IF(Skills!T18&lt;&gt;"",1+(Skills!T18/10)*($Z$3/1000)/100,1)</f>
        <v/>
      </c>
      <c r="J750" t="inlineStr"/>
      <c r="K750" t="inlineStr"/>
      <c r="L750" t="inlineStr"/>
      <c r="M750" t="inlineStr"/>
      <c r="N750" t="inlineStr"/>
      <c r="O750">
        <f>(1-Summary!$B$11)*S750+Summary!$B$11*U750</f>
        <v/>
      </c>
      <c r="P750">
        <f>IF(B774=0,0,O750/B774)</f>
        <v/>
      </c>
      <c r="Q750">
        <f>IFERROR(1/(IF(Inputs!$B$39="pvp",15,MAX(0.1,Skills!D18-IF(Skills!E18=TRUE,Inputs!$B$33,0)))*(1-IF(AND(ArtifactsInput!$M$27,Inputs!$B$4="Chapter Hunt"),CHOOSE(ArtifactsInput!$N$27+1,20,24,28,32,36,40),0)/100)),0)</f>
        <v/>
      </c>
      <c r="R750" t="n">
        <v>0</v>
      </c>
      <c r="S750" t="n">
        <v>0</v>
      </c>
      <c r="U750" t="n">
        <v>0</v>
      </c>
    </row>
    <row r="751">
      <c r="A751">
        <f>Skills!A19</f>
        <v/>
      </c>
      <c r="B751">
        <f>Skills!B19</f>
        <v/>
      </c>
      <c r="C751">
        <f>Inputs!$B$3&gt;=110</f>
        <v/>
      </c>
      <c r="D751">
        <f>IF(Skills!C19=1,60+Inputs!$B$26+Inputs!$B$30,IF(Skills!C19=2,90+Inputs!$B$27+Inputs!$B$30,IF(Skills!C19=3,120+Inputs!$B$28+Inputs!$B$30,MAX(0,(Inputs!$B$3-100)*3)+Inputs!$B$29+Inputs!$B$30)))</f>
        <v/>
      </c>
      <c r="E751">
        <f>INDEX(FactorTable!$B$2:$Y$301, MATCH(ROUND(MIN(300,MAX(1,D751)),0), FactorTable!$A$2:$A$301,0), Skills!L19+1)</f>
        <v/>
      </c>
      <c r="F751">
        <f>(Skills!K19/10)*(E751/1000)*64/45+Skills!N19</f>
        <v/>
      </c>
      <c r="G751">
        <f>Calc!G19</f>
        <v/>
      </c>
      <c r="H751">
        <f>Calc!H19</f>
        <v/>
      </c>
      <c r="I751">
        <f>IF(Skills!T19&lt;&gt;"",1+(Skills!T19/10)*($Z$3/1000)/100,1)</f>
        <v/>
      </c>
      <c r="J751" t="inlineStr"/>
      <c r="K751" t="inlineStr"/>
      <c r="L751" t="inlineStr"/>
      <c r="M751" t="inlineStr"/>
      <c r="N751" t="inlineStr"/>
      <c r="O751">
        <f>(1-Summary!$B$11)*S751+Summary!$B$11*U751</f>
        <v/>
      </c>
      <c r="P751">
        <f>IF(B774=0,0,O751/B774)</f>
        <v/>
      </c>
      <c r="Q751">
        <f>IFERROR(1/(IF(Inputs!$B$39="pvp",15,MAX(0.1,Skills!D19-IF(Skills!E19=TRUE,Inputs!$B$33,0)))*(1-IF(AND(ArtifactsInput!$M$27,Inputs!$B$4="Chapter Hunt"),CHOOSE(ArtifactsInput!$N$27+1,20,24,28,32,36,40),0)/100)),0)</f>
        <v/>
      </c>
      <c r="R751">
        <f>IF(AND(Inputs!$B$39&lt;&gt;"pvp",Inputs!$B$44&gt;0),IF(Inputs!$B$44&lt;=0,0,(INT(Inputs!$B$44/(IF(Inputs!$B$39="pvp",15,MAX(0.1,Skills!D19-IF(Skills!E19=TRUE,Inputs!$B$33,0)))*(1-IF(AND(ArtifactsInput!$M$27,Inputs!$B$4="Chapter Hunt"),CHOOSE(ArtifactsInput!$N$27+1,20,24,28,32,36,40),0)/100)))+1)),0)</f>
        <v/>
      </c>
      <c r="S751" t="n">
        <v>0</v>
      </c>
      <c r="U751" t="n">
        <v>0</v>
      </c>
    </row>
    <row r="752">
      <c r="A752">
        <f>Skills!A20</f>
        <v/>
      </c>
      <c r="B752">
        <f>Skills!B20</f>
        <v/>
      </c>
      <c r="C752">
        <f>Inputs!$B$3&gt;=125</f>
        <v/>
      </c>
      <c r="D752">
        <f>IF(Skills!C20=1,60+Inputs!$B$26+Inputs!$B$30,IF(Skills!C20=2,90+Inputs!$B$27+Inputs!$B$30,IF(Skills!C20=3,120+Inputs!$B$28+Inputs!$B$30,MAX(0,(Inputs!$B$3-100)*3)+Inputs!$B$29+Inputs!$B$30)))</f>
        <v/>
      </c>
      <c r="E752">
        <f>INDEX(FactorTable!$B$2:$Y$301, MATCH(ROUND(MIN(300,MAX(1,D752)),0), FactorTable!$A$2:$A$301,0), Skills!L20+1)</f>
        <v/>
      </c>
      <c r="F752">
        <f>IF(Skills!M20=TRUE,(Skills!K20/10)*(E752/1000),Skills!K20/10)+Skills!N20</f>
        <v/>
      </c>
      <c r="G752">
        <f>Calc!G20</f>
        <v/>
      </c>
      <c r="H752">
        <f>Calc!H20</f>
        <v/>
      </c>
      <c r="I752">
        <f>IF(Skills!T20&lt;&gt;"",1+(Skills!T20/10)*($Z$3/1000)/100,1)</f>
        <v/>
      </c>
      <c r="J752" t="inlineStr"/>
      <c r="K752" t="inlineStr"/>
      <c r="L752" t="inlineStr"/>
      <c r="M752" t="inlineStr"/>
      <c r="N752" t="inlineStr"/>
      <c r="O752">
        <f>(1-Summary!$B$11)*S752+Summary!$B$11*U752</f>
        <v/>
      </c>
      <c r="P752">
        <f>IF(B774=0,0,O752/B774)</f>
        <v/>
      </c>
      <c r="Q752">
        <f>IFERROR(1/(IF(Inputs!$B$39="pvp",15,MAX(0.1,Skills!D20-IF(Skills!E20=TRUE,Inputs!$B$33,0)))*(1-IF(AND(ArtifactsInput!$M$27,Inputs!$B$4="Chapter Hunt"),CHOOSE(ArtifactsInput!$N$27+1,20,24,28,32,36,40),0)/100)),0)</f>
        <v/>
      </c>
      <c r="R752" t="n">
        <v>0</v>
      </c>
      <c r="S752" t="n">
        <v>0</v>
      </c>
      <c r="U752" t="n">
        <v>0</v>
      </c>
    </row>
    <row r="753">
      <c r="A753">
        <f>Skills!A21</f>
        <v/>
      </c>
      <c r="B753">
        <f>Skills!B21</f>
        <v/>
      </c>
      <c r="C753">
        <f>Inputs!$B$3&gt;=33</f>
        <v/>
      </c>
      <c r="D753">
        <f>IF(Skills!C21=1,60+Inputs!$B$26+Inputs!$B$30,IF(Skills!C21=2,90+Inputs!$B$27+Inputs!$B$30,IF(Skills!C21=3,120+Inputs!$B$28+Inputs!$B$30,MAX(0,(Inputs!$B$3-100)*3)+Inputs!$B$29+Inputs!$B$30)))</f>
        <v/>
      </c>
      <c r="E753">
        <f>INDEX(FactorTable!$B$2:$Y$301, MATCH(ROUND(MIN(300,MAX(1,D753)),0), FactorTable!$A$2:$A$301,0), Skills!L21+1)</f>
        <v/>
      </c>
      <c r="F753">
        <f>IF(Skills!M21=TRUE,(Skills!K21/10)*(E753/1000),Skills!K21/10)+Skills!N21</f>
        <v/>
      </c>
      <c r="G753">
        <f>Calc!G21</f>
        <v/>
      </c>
      <c r="H753">
        <f>Calc!H21</f>
        <v/>
      </c>
      <c r="I753">
        <f>IF(Skills!T21&lt;&gt;"",1+(Skills!T21/10)*($Z$3/1000)/100,1)</f>
        <v/>
      </c>
      <c r="J753" t="inlineStr"/>
      <c r="K753" t="inlineStr"/>
      <c r="L753" t="inlineStr"/>
      <c r="M753" t="inlineStr"/>
      <c r="N753" t="inlineStr"/>
      <c r="O753">
        <f>(1-Summary!$B$11)*S753+Summary!$B$11*U753</f>
        <v/>
      </c>
      <c r="P753">
        <f>IF(B774=0,0,O753/B774)</f>
        <v/>
      </c>
      <c r="Q753">
        <f>IFERROR(1/(IF(Inputs!$B$39="pvp",15,MAX(0.1,Skills!D21-IF(Skills!E21=TRUE,Inputs!$B$33,0)))*(1-IF(AND(ArtifactsInput!$M$27,Inputs!$B$4="Chapter Hunt"),CHOOSE(ArtifactsInput!$N$27+1,20,24,28,32,36,40),0)/100)),0)</f>
        <v/>
      </c>
      <c r="R753" t="n">
        <v>0</v>
      </c>
      <c r="S753" t="n">
        <v>0</v>
      </c>
      <c r="U753" t="n">
        <v>0</v>
      </c>
    </row>
    <row r="754">
      <c r="A754">
        <f>Skills!A22</f>
        <v/>
      </c>
      <c r="B754">
        <f>Skills!B22</f>
        <v/>
      </c>
      <c r="C754">
        <f>Inputs!$B$3&gt;=43</f>
        <v/>
      </c>
      <c r="D754">
        <f>IF(Skills!C22=1,60+Inputs!$B$26+Inputs!$B$30,IF(Skills!C22=2,90+Inputs!$B$27+Inputs!$B$30,IF(Skills!C22=3,120+Inputs!$B$28+Inputs!$B$30,MAX(0,(Inputs!$B$3-100)*3)+Inputs!$B$29+Inputs!$B$30)))</f>
        <v/>
      </c>
      <c r="E754">
        <f>INDEX(FactorTable!$B$2:$Y$301, MATCH(ROUND(MIN(300,MAX(1,D754)),0), FactorTable!$A$2:$A$301,0), Skills!L22+1)</f>
        <v/>
      </c>
      <c r="F754">
        <f>IF(Skills!M22=TRUE,(Skills!K22/10)*(E754/1000),Skills!K22/10)+Skills!N22</f>
        <v/>
      </c>
      <c r="G754">
        <f>Calc!G22</f>
        <v/>
      </c>
      <c r="H754">
        <f>Calc!H22</f>
        <v/>
      </c>
      <c r="I754">
        <f>IF(Skills!T22&lt;&gt;"",1+(Skills!T22/10)*($Z$3/1000)/100,1)</f>
        <v/>
      </c>
      <c r="J754" t="inlineStr"/>
      <c r="K754" t="inlineStr"/>
      <c r="L754" t="inlineStr"/>
      <c r="M754" t="inlineStr"/>
      <c r="N754" t="inlineStr"/>
      <c r="O754">
        <f>(1-Summary!$B$11)*S754+Summary!$B$11*U754</f>
        <v/>
      </c>
      <c r="P754">
        <f>IF(B774=0,0,O754/B774)</f>
        <v/>
      </c>
      <c r="Q754">
        <f>IFERROR(1/(IF(Inputs!$B$39="pvp",15,MAX(0.1,Skills!D22-IF(Skills!E22=TRUE,Inputs!$B$33,0)))*(1-IF(AND(ArtifactsInput!$M$27,Inputs!$B$4="Chapter Hunt"),CHOOSE(ArtifactsInput!$N$27+1,20,24,28,32,36,40),0)/100)),0)</f>
        <v/>
      </c>
      <c r="R754" t="n">
        <v>0</v>
      </c>
      <c r="S754" t="n">
        <v>0</v>
      </c>
      <c r="U754" t="n">
        <v>0</v>
      </c>
    </row>
    <row r="755">
      <c r="A755">
        <f>Skills!A23</f>
        <v/>
      </c>
      <c r="B755">
        <f>Skills!B23</f>
        <v/>
      </c>
      <c r="C755">
        <f>Inputs!$B$3&gt;=50</f>
        <v/>
      </c>
      <c r="D755">
        <f>IF(Skills!C23=1,60+Inputs!$B$26+Inputs!$B$30,IF(Skills!C23=2,90+Inputs!$B$27+Inputs!$B$30,IF(Skills!C23=3,120+Inputs!$B$28+Inputs!$B$30,MAX(0,(Inputs!$B$3-100)*3)+Inputs!$B$29+Inputs!$B$30)))</f>
        <v/>
      </c>
      <c r="E755">
        <f>INDEX(FactorTable!$B$2:$Y$301, MATCH(ROUND(MIN(300,MAX(1,D755)),0), FactorTable!$A$2:$A$301,0), Skills!L23+1)</f>
        <v/>
      </c>
      <c r="F755">
        <f>IF(Skills!M23=TRUE,(Skills!K23/10)*(E755/1000),Skills!K23/10)+Skills!N23</f>
        <v/>
      </c>
      <c r="G755">
        <f>Calc!G23</f>
        <v/>
      </c>
      <c r="H755">
        <f>Calc!H23</f>
        <v/>
      </c>
      <c r="I755">
        <f>IF(Skills!T23&lt;&gt;"",1+(Skills!T23/10)*($Z$3/1000)/100,1)</f>
        <v/>
      </c>
      <c r="J755" t="inlineStr"/>
      <c r="K755" t="inlineStr"/>
      <c r="L755" t="inlineStr"/>
      <c r="M755" t="inlineStr"/>
      <c r="N755" t="inlineStr"/>
      <c r="O755">
        <f>(1-Summary!$B$11)*S755+Summary!$B$11*U755</f>
        <v/>
      </c>
      <c r="P755">
        <f>IF(B774=0,0,O755/B774)</f>
        <v/>
      </c>
      <c r="Q755">
        <f>IFERROR(1/(IF(Inputs!$B$39="pvp",15,MAX(0.1,Skills!D23-IF(Skills!E23=TRUE,Inputs!$B$33,0)))*(1-IF(AND(ArtifactsInput!$M$27,Inputs!$B$4="Chapter Hunt"),CHOOSE(ArtifactsInput!$N$27+1,20,24,28,32,36,40),0)/100)),0)</f>
        <v/>
      </c>
      <c r="R755" t="n">
        <v>0</v>
      </c>
      <c r="S755" t="n">
        <v>0</v>
      </c>
      <c r="U755" t="n">
        <v>0</v>
      </c>
    </row>
    <row r="756">
      <c r="A756">
        <f>Skills!A24</f>
        <v/>
      </c>
      <c r="B756">
        <f>Skills!B24</f>
        <v/>
      </c>
      <c r="C756">
        <f>Inputs!$B$3&gt;=74</f>
        <v/>
      </c>
      <c r="D756">
        <f>IF(Skills!C24=1,60+Inputs!$B$26+Inputs!$B$30,IF(Skills!C24=2,90+Inputs!$B$27+Inputs!$B$30,IF(Skills!C24=3,120+Inputs!$B$28+Inputs!$B$30,MAX(0,(Inputs!$B$3-100)*3)+Inputs!$B$29+Inputs!$B$30)))</f>
        <v/>
      </c>
      <c r="E756">
        <f>INDEX(FactorTable!$B$2:$Y$301, MATCH(ROUND(MIN(300,MAX(1,D756)),0), FactorTable!$A$2:$A$301,0), Skills!L24+1)</f>
        <v/>
      </c>
      <c r="F756">
        <f>IF(Skills!M24=TRUE,(Skills!K24/10)*(E756/1000),Skills!K24/10)+Skills!N24</f>
        <v/>
      </c>
      <c r="G756">
        <f>Calc!G24</f>
        <v/>
      </c>
      <c r="H756">
        <f>Calc!H24</f>
        <v/>
      </c>
      <c r="I756">
        <f>IF(Skills!T24&lt;&gt;"",1+(Skills!T24/10)*($Z$3/1000)/100,1)</f>
        <v/>
      </c>
      <c r="J756" t="inlineStr"/>
      <c r="K756" t="inlineStr"/>
      <c r="L756" t="inlineStr"/>
      <c r="M756" t="inlineStr"/>
      <c r="N756" t="inlineStr"/>
      <c r="O756">
        <f>(1-Summary!$B$11)*S756+Summary!$B$11*U756</f>
        <v/>
      </c>
      <c r="P756">
        <f>IF(B774=0,0,O756/B774)</f>
        <v/>
      </c>
      <c r="Q756">
        <f>IFERROR(1/(IF(Inputs!$B$39="pvp",15,MAX(0.1,Skills!D24-IF(Skills!E24=TRUE,Inputs!$B$33,0)))*(1-IF(AND(ArtifactsInput!$M$27,Inputs!$B$4="Chapter Hunt"),CHOOSE(ArtifactsInput!$N$27+1,20,24,28,32,36,40),0)/100)),0)</f>
        <v/>
      </c>
      <c r="R756" t="n">
        <v>0</v>
      </c>
      <c r="S756" t="n">
        <v>0</v>
      </c>
      <c r="U756" t="n">
        <v>0</v>
      </c>
    </row>
    <row r="757">
      <c r="A757">
        <f>Skills!A25</f>
        <v/>
      </c>
      <c r="B757">
        <f>Skills!B25</f>
        <v/>
      </c>
      <c r="C757">
        <f>Inputs!$B$3&gt;=74</f>
        <v/>
      </c>
      <c r="D757">
        <f>IF(Skills!C25=1,60+Inputs!$B$26+Inputs!$B$30,IF(Skills!C25=2,90+Inputs!$B$27+Inputs!$B$30,IF(Skills!C25=3,120+Inputs!$B$28+Inputs!$B$30,MAX(0,(Inputs!$B$3-100)*3)+Inputs!$B$29+Inputs!$B$30)))</f>
        <v/>
      </c>
      <c r="E757">
        <f>INDEX(FactorTable!$B$2:$Y$301, MATCH(ROUND(MIN(300,MAX(1,D757)),0), FactorTable!$A$2:$A$301,0), Skills!L25+1)</f>
        <v/>
      </c>
      <c r="F757">
        <f>IF(Skills!M25=TRUE,(Skills!K25/10)*(E757/1000),Skills!K25/10)+Skills!N25</f>
        <v/>
      </c>
      <c r="G757">
        <f>Calc!G25</f>
        <v/>
      </c>
      <c r="H757">
        <f>Calc!H25</f>
        <v/>
      </c>
      <c r="I757">
        <f>IF(Skills!T25&lt;&gt;"",1+(Skills!T25/10)*($Z$3/1000)/100,1)</f>
        <v/>
      </c>
      <c r="J757" t="inlineStr"/>
      <c r="K757" t="inlineStr"/>
      <c r="L757" t="inlineStr"/>
      <c r="M757" t="inlineStr"/>
      <c r="N757" t="inlineStr"/>
      <c r="O757">
        <f>(1-Summary!$B$11)*S757+Summary!$B$11*U757</f>
        <v/>
      </c>
      <c r="P757">
        <f>IF(B774=0,0,O757/B774)</f>
        <v/>
      </c>
      <c r="Q757">
        <f>IFERROR(1/(IF(Inputs!$B$39="pvp",15,MAX(0.1,Skills!D25-IF(Skills!E25=TRUE,Inputs!$B$33,0)))*(1-IF(AND(ArtifactsInput!$M$27,Inputs!$B$4="Chapter Hunt"),CHOOSE(ArtifactsInput!$N$27+1,20,24,28,32,36,40),0)/100)),0)</f>
        <v/>
      </c>
      <c r="R757" t="n">
        <v>0</v>
      </c>
      <c r="S757" t="n">
        <v>0</v>
      </c>
      <c r="U757" t="n">
        <v>0</v>
      </c>
    </row>
    <row r="758">
      <c r="A758">
        <f>Skills!A26</f>
        <v/>
      </c>
      <c r="B758">
        <f>Skills!B26</f>
        <v/>
      </c>
      <c r="C758">
        <f>Inputs!$B$3&gt;=117</f>
        <v/>
      </c>
      <c r="D758">
        <f>IF(Skills!C26=1,60+Inputs!$B$26+Inputs!$B$30,IF(Skills!C26=2,90+Inputs!$B$27+Inputs!$B$30,IF(Skills!C26=3,120+Inputs!$B$28+Inputs!$B$30,MAX(0,(Inputs!$B$3-100)*3)+Inputs!$B$29+Inputs!$B$30)))</f>
        <v/>
      </c>
      <c r="E758">
        <f>INDEX(FactorTable!$B$2:$Y$301, MATCH(ROUND(MIN(300,MAX(1,D758)),0), FactorTable!$A$2:$A$301,0), Skills!L26+1)</f>
        <v/>
      </c>
      <c r="F758">
        <f>IF(Skills!M26=TRUE,(Skills!K26/10)*(E758/1000),Skills!K26/10)+Skills!N26</f>
        <v/>
      </c>
      <c r="G758">
        <f>Calc!G26</f>
        <v/>
      </c>
      <c r="H758">
        <f>Calc!H26</f>
        <v/>
      </c>
      <c r="I758">
        <f>IF(Skills!T26&lt;&gt;"",1+(Skills!T26/10)*($Z$3/1000)/100,1)</f>
        <v/>
      </c>
      <c r="J758" t="inlineStr"/>
      <c r="K758" t="inlineStr"/>
      <c r="L758" t="inlineStr"/>
      <c r="M758" t="inlineStr"/>
      <c r="N758" t="inlineStr"/>
      <c r="O758">
        <f>(1-Summary!$B$11)*S758+Summary!$B$11*U758</f>
        <v/>
      </c>
      <c r="P758">
        <f>IF(B774=0,0,O758/B774)</f>
        <v/>
      </c>
      <c r="Q758">
        <f>IFERROR(1/(IF(Inputs!$B$39="pvp",15,MAX(0.1,Skills!D26-IF(Skills!E26=TRUE,Inputs!$B$33,0)))*(1-IF(AND(ArtifactsInput!$M$27,Inputs!$B$4="Chapter Hunt"),CHOOSE(ArtifactsInput!$N$27+1,20,24,28,32,36,40),0)/100)),0)</f>
        <v/>
      </c>
      <c r="R758" t="n">
        <v>0</v>
      </c>
      <c r="S758" t="n">
        <v>0</v>
      </c>
      <c r="U758" t="n">
        <v>0</v>
      </c>
    </row>
    <row r="759">
      <c r="A759">
        <f>Skills!A27</f>
        <v/>
      </c>
      <c r="B759">
        <f>Skills!B27</f>
        <v/>
      </c>
      <c r="C759">
        <f>Inputs!$B$3&gt;=120</f>
        <v/>
      </c>
      <c r="D759">
        <f>IF(Skills!C27=1,60+Inputs!$B$26+Inputs!$B$30,IF(Skills!C27=2,90+Inputs!$B$27+Inputs!$B$30,IF(Skills!C27=3,120+Inputs!$B$28+Inputs!$B$30,MAX(0,(Inputs!$B$3-100)*3)+Inputs!$B$29+Inputs!$B$30)))</f>
        <v/>
      </c>
      <c r="E759">
        <f>INDEX(FactorTable!$B$2:$Y$301, MATCH(ROUND(MIN(300,MAX(1,D759)),0), FactorTable!$A$2:$A$301,0), Skills!L27+1)</f>
        <v/>
      </c>
      <c r="F759">
        <f>IF(Skills!M27=TRUE,(Skills!K27/10)*(E759/1000),Skills!K27/10)+Skills!N27</f>
        <v/>
      </c>
      <c r="G759">
        <f>Calc!G27</f>
        <v/>
      </c>
      <c r="H759">
        <f>Calc!H27</f>
        <v/>
      </c>
      <c r="I759">
        <f>IF(Skills!T27&lt;&gt;"",1+(Skills!T27/10)*($Z$3/1000)/100,1)</f>
        <v/>
      </c>
      <c r="J759" t="inlineStr"/>
      <c r="K759" t="inlineStr"/>
      <c r="L759" t="inlineStr"/>
      <c r="M759" t="inlineStr"/>
      <c r="N759" t="inlineStr"/>
      <c r="O759">
        <f>(1-Summary!$B$11)*S759+Summary!$B$11*U759</f>
        <v/>
      </c>
      <c r="P759">
        <f>IF(B774=0,0,O759/B774)</f>
        <v/>
      </c>
      <c r="Q759">
        <f>IFERROR(1/(IF(Inputs!$B$39="pvp",15,MAX(0.1,Skills!D27-IF(Skills!E27=TRUE,Inputs!$B$33,0)))*(1-IF(AND(ArtifactsInput!$M$27,Inputs!$B$4="Chapter Hunt"),CHOOSE(ArtifactsInput!$N$27+1,20,24,28,32,36,40),0)/100)),0)</f>
        <v/>
      </c>
      <c r="R759" t="n">
        <v>0</v>
      </c>
      <c r="S759" t="n">
        <v>0</v>
      </c>
      <c r="U759" t="n">
        <v>0</v>
      </c>
    </row>
    <row r="761">
      <c r="A761" t="inlineStr">
        <is>
          <t>Average Buff Multiplier</t>
        </is>
      </c>
      <c r="B761">
        <f>(1+(IF(C735=TRUE,F735*IF(AND(Inputs!$B$39&lt;&gt;"pvp",Inputs!$B$44&gt;0),(((R735-1)*(Skills!S3*(1+((Inputs!$B$35+(ArtifactsInput!$M$7-ArtifactsInput!$M$7)*CHOOSE(ArtifactsInput!$N$7+1,6,7.2,8.4,9.6,10.8,12))+IF(Inputs!$B$3&gt;=117,F758,0))/100))+MIN((Skills!S3*(1+((Inputs!$B$35+(ArtifactsInput!$M$7-ArtifactsInput!$M$7)*CHOOSE(ArtifactsInput!$N$7+1,6,7.2,8.4,9.6,10.8,12))+IF(Inputs!$B$3&gt;=117,F758,0))/100)),MAX(0,Inputs!$B$44-((R735-1)*Skills!D3))))/Inputs!$B$44),IF(Inputs!$B$39="pvp",MIN((Skills!S3*(1+((Inputs!$B$35+(ArtifactsInput!$M$7-ArtifactsInput!$M$7)*CHOOSE(ArtifactsInput!$N$7+1,6,7.2,8.4,9.6,10.8,12))+IF(Inputs!$B$3&gt;=117,F758,0))/100)),15)/15,(Skills!S3*(1+((Inputs!$B$35+(ArtifactsInput!$M$7-ArtifactsInput!$M$7)*CHOOSE(ArtifactsInput!$N$7+1,6,7.2,8.4,9.6,10.8,12))+IF(Inputs!$B$3&gt;=117,F758,0))/100))/Skills!D3)),0)+IF(C736=TRUE,F736*IF(AND(Inputs!$B$39&lt;&gt;"pvp",Inputs!$B$44&gt;0),(((R736-1)*(Skills!S4*(1+((Inputs!$B$35+(ArtifactsInput!$M$7-ArtifactsInput!$M$7)*CHOOSE(ArtifactsInput!$N$7+1,6,7.2,8.4,9.6,10.8,12))+IF(Inputs!$B$3&gt;=117,F758,0))/100))+MIN((Skills!S4*(1+((Inputs!$B$35+(ArtifactsInput!$M$7-ArtifactsInput!$M$7)*CHOOSE(ArtifactsInput!$N$7+1,6,7.2,8.4,9.6,10.8,12))+IF(Inputs!$B$3&gt;=117,F758,0))/100)),MAX(0,Inputs!$B$44-((R736-1)*Skills!D4))))/Inputs!$B$44),IF(Inputs!$B$39="pvp",MIN((Skills!S4*(1+((Inputs!$B$35+(ArtifactsInput!$M$7-ArtifactsInput!$M$7)*CHOOSE(ArtifactsInput!$N$7+1,6,7.2,8.4,9.6,10.8,12))+IF(Inputs!$B$3&gt;=117,F758,0))/100)),15)/15,(Skills!S4*(1+((Inputs!$B$35+(ArtifactsInput!$M$7-ArtifactsInput!$M$7)*CHOOSE(ArtifactsInput!$N$7+1,6,7.2,8.4,9.6,10.8,12))+IF(Inputs!$B$3&gt;=117,F758,0))/100))/Skills!D4)),0)+IF(C737=TRUE,F737*IF(AND(Inputs!$B$39&lt;&gt;"pvp",Inputs!$B$44&gt;0),(((R737-1)*(Skills!S5*(1+((Inputs!$B$35+(ArtifactsInput!$M$7-ArtifactsInput!$M$7)*CHOOSE(ArtifactsInput!$N$7+1,6,7.2,8.4,9.6,10.8,12))+IF(Inputs!$B$3&gt;=117,F758,0))/100))+MIN((Skills!S5*(1+((Inputs!$B$35+(ArtifactsInput!$M$7-ArtifactsInput!$M$7)*CHOOSE(ArtifactsInput!$N$7+1,6,7.2,8.4,9.6,10.8,12))+IF(Inputs!$B$3&gt;=117,F758,0))/100)),MAX(0,Inputs!$B$44-((R737-1)*Skills!D5))))/Inputs!$B$44),IF(Inputs!$B$39="pvp",MIN((Skills!S5*(1+((Inputs!$B$35+(ArtifactsInput!$M$7-ArtifactsInput!$M$7)*CHOOSE(ArtifactsInput!$N$7+1,6,7.2,8.4,9.6,10.8,12))+IF(Inputs!$B$3&gt;=117,F758,0))/100)),15)/15,(Skills!S5*(1+((Inputs!$B$35+(ArtifactsInput!$M$7-ArtifactsInput!$M$7)*CHOOSE(ArtifactsInput!$N$7+1,6,7.2,8.4,9.6,10.8,12))+IF(Inputs!$B$3&gt;=117,F758,0))/100))/Skills!D5)),0)+IF(C743=TRUE,F743*IF(AND(Inputs!$B$39&lt;&gt;"pvp",Inputs!$B$44&gt;0),(((R743-1)*(Skills!S11*(1+((Inputs!$B$35+(ArtifactsInput!$M$7-ArtifactsInput!$M$7)*CHOOSE(ArtifactsInput!$N$7+1,6,7.2,8.4,9.6,10.8,12))+IF(Inputs!$B$3&gt;=117,F758,0))/100))+MIN((Skills!S11*(1+((Inputs!$B$35+(ArtifactsInput!$M$7-ArtifactsInput!$M$7)*CHOOSE(ArtifactsInput!$N$7+1,6,7.2,8.4,9.6,10.8,12))+IF(Inputs!$B$3&gt;=117,F758,0))/100)),MAX(0,Inputs!$B$44-((R743-1)*Skills!D11))))/Inputs!$B$44),IF(Inputs!$B$39="pvp",MIN((Skills!S11*(1+((Inputs!$B$35+(ArtifactsInput!$M$7-ArtifactsInput!$M$7)*CHOOSE(ArtifactsInput!$N$7+1,6,7.2,8.4,9.6,10.8,12))+IF(Inputs!$B$3&gt;=117,F758,0))/100)),15)/15,(Skills!S11*(1+((Inputs!$B$35+(ArtifactsInput!$M$7-ArtifactsInput!$M$7)*CHOOSE(ArtifactsInput!$N$7+1,6,7.2,8.4,9.6,10.8,12))+IF(Inputs!$B$3&gt;=117,F758,0)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746=TRUE,(1+F746*IF(AND(Inputs!$B$39&lt;&gt;"pvp",Inputs!$B$44&gt;0),(((R746-1)*(Skills!S14*(1+((Inputs!$B$35+(ArtifactsInput!$M$7-ArtifactsInput!$M$7)*CHOOSE(ArtifactsInput!$N$7+1,6,7.2,8.4,9.6,10.8,12))+IF(Inputs!$B$3&gt;=117,F758,0))/100))+MIN((Skills!S14*(1+((Inputs!$B$35+(ArtifactsInput!$M$7-ArtifactsInput!$M$7)*CHOOSE(ArtifactsInput!$N$7+1,6,7.2,8.4,9.6,10.8,12))+IF(Inputs!$B$3&gt;=117,F758,0))/100)),MAX(0,Inputs!$B$44-((R746-1)*Skills!D14))))/Inputs!$B$44),IF(Inputs!$B$39="pvp",MIN((Skills!S14*(1+((Inputs!$B$35+(ArtifactsInput!$M$7-ArtifactsInput!$M$7)*CHOOSE(ArtifactsInput!$N$7+1,6,7.2,8.4,9.6,10.8,12))+IF(Inputs!$B$3&gt;=117,F758,0))/100)),15)/15,(Skills!S14*(1+((Inputs!$B$35+(ArtifactsInput!$M$7-ArtifactsInput!$M$7)*CHOOSE(ArtifactsInput!$N$7+1,6,7.2,8.4,9.6,10.8,12))+IF(Inputs!$B$3&gt;=117,F758,0))/100))/Skills!D14))/100),1)*IF(C751=TRUE,(1+F751*IF(AND(Inputs!$B$39&lt;&gt;"pvp",Inputs!$B$44&gt;0),(((R751-1)*(Skills!S19*(1+((Inputs!$B$35+(ArtifactsInput!$M$7-ArtifactsInput!$M$7)*CHOOSE(ArtifactsInput!$N$7+1,6,7.2,8.4,9.6,10.8,12))+IF(Inputs!$B$3&gt;=117,F758,0))/100))+MIN((Skills!S19*(1+((Inputs!$B$35+(ArtifactsInput!$M$7-ArtifactsInput!$M$7)*CHOOSE(ArtifactsInput!$N$7+1,6,7.2,8.4,9.6,10.8,12))+IF(Inputs!$B$3&gt;=117,F758,0))/100)),MAX(0,Inputs!$B$44-((R751-1)*Skills!D19))))/Inputs!$B$44),IF(Inputs!$B$39="pvp",MIN((Skills!S19*(1+((Inputs!$B$35+(ArtifactsInput!$M$7-ArtifactsInput!$M$7)*CHOOSE(ArtifactsInput!$N$7+1,6,7.2,8.4,9.6,10.8,12))+IF(Inputs!$B$3&gt;=117,F758,0))/100)),15)/15,(Skills!S19*(1+((Inputs!$B$35+(ArtifactsInput!$M$7-ArtifactsInput!$M$7)*CHOOSE(ArtifactsInput!$N$7+1,6,7.2,8.4,9.6,10.8,12))+IF(Inputs!$B$3&gt;=117,F758,0))/100))/Skills!D19))/100),1)</f>
        <v/>
      </c>
    </row>
    <row r="762">
      <c r="A762" t="inlineStr">
        <is>
          <t>Monster Damage Taken Bonus % (Holy Fountain)</t>
        </is>
      </c>
      <c r="B762">
        <f>IF(Inputs!$B$3&gt;=68,20*IF(Inputs!$B$39="pvp",MIN((15*(1+((Inputs!$B$35+(ArtifactsInput!$M$7-ArtifactsInput!$M$7)*CHOOSE(ArtifactsInput!$N$7+1,6,7.2,8.4,9.6,10.8,12))+IF(Inputs!$B$3&gt;=117,F758,0))/100)),15)/15,(15*(1+((Inputs!$B$35+(ArtifactsInput!$M$7-ArtifactsInput!$M$7)*CHOOSE(ArtifactsInput!$N$7+1,6,7.2,8.4,9.6,10.8,12))+IF(Inputs!$B$3&gt;=117,F758,0))/100))/Skills!D10),0)</f>
        <v/>
      </c>
    </row>
    <row r="763">
      <c r="A763" t="inlineStr">
        <is>
          <t>Normal Monster Damage Bonus % (Holy Symbol)</t>
        </is>
      </c>
      <c r="B763">
        <f>IF(C744=TRUE,F744*IF(AND(Inputs!$B$39&lt;&gt;"pvp",Inputs!$B$44&gt;0),(((R744-1)*(Skills!S12*(1+((Inputs!$B$35+(ArtifactsInput!$M$7-ArtifactsInput!$M$7)*CHOOSE(ArtifactsInput!$N$7+1,6,7.2,8.4,9.6,10.8,12))+IF(Inputs!$B$3&gt;=117,F758,0))/100))+MIN((Skills!S12*(1+((Inputs!$B$35+(ArtifactsInput!$M$7-ArtifactsInput!$M$7)*CHOOSE(ArtifactsInput!$N$7+1,6,7.2,8.4,9.6,10.8,12))+IF(Inputs!$B$3&gt;=117,F758,0))/100)),MAX(0,Inputs!$B$44-((R744-1)*Skills!D12))))/Inputs!$B$44),IF(Inputs!$B$39="pvp",MIN((Skills!S12*(1+((Inputs!$B$35+(ArtifactsInput!$M$7-ArtifactsInput!$M$7)*CHOOSE(ArtifactsInput!$N$7+1,6,7.2,8.4,9.6,10.8,12))+IF(Inputs!$B$3&gt;=117,F758,0))/100)),15)/15,(Skills!S12*(1+((Inputs!$B$35+(ArtifactsInput!$M$7-ArtifactsInput!$M$7)*CHOOSE(ArtifactsInput!$N$7+1,6,7.2,8.4,9.6,10.8,12))+IF(Inputs!$B$3&gt;=117,F758,0))/100))/Skills!D12)),0)</f>
        <v/>
      </c>
    </row>
    <row r="764">
      <c r="A764" t="inlineStr">
        <is>
          <t>Damage % Bonus (Holy Symbol - Damage Boost)</t>
        </is>
      </c>
      <c r="B764">
        <f>Skills!O12</f>
        <v/>
      </c>
    </row>
    <row r="765">
      <c r="A765" t="inlineStr">
        <is>
          <t>Crit Damage % Bonus (Blood of the Divine)</t>
        </is>
      </c>
      <c r="B765">
        <f>4*IF(C752=TRUE,F752,0)</f>
        <v/>
      </c>
    </row>
    <row r="766">
      <c r="A766" t="inlineStr">
        <is>
          <t>Attack Speed Bonus %</t>
        </is>
      </c>
      <c r="B766">
        <f>IF(C749=TRUE,F749+(F753-Calc!F21),0)+IF(Inputs!$B$3&gt;=134,15,0)</f>
        <v/>
      </c>
    </row>
    <row r="767">
      <c r="A767" t="inlineStr">
        <is>
          <t>Actions Per Second</t>
        </is>
      </c>
      <c r="B767">
        <f>1+MIN(150,150*(1-(1-Inputs!$B$12/150)*(1-B766/150)))/100</f>
        <v/>
      </c>
    </row>
    <row r="768">
      <c r="A768" t="inlineStr">
        <is>
          <t>Skill + Buff Cast Rate</t>
        </is>
      </c>
      <c r="B768">
        <f>IF(AND(Inputs!$B$39&lt;&gt;"pvp",Inputs!$B$44&gt;0),SUMPRODUCT((Skills!E2:E27=TRUE)*(C734:C759=TRUE)*R734:R759)/Inputs!$B$44,SUMPRODUCT((Skills!E2:E27=TRUE)*(C734:C759=TRUE)*Q734:Q759))</f>
        <v/>
      </c>
    </row>
    <row r="769">
      <c r="A769" t="inlineStr">
        <is>
          <t>Big Bang Casts Per Second</t>
        </is>
      </c>
      <c r="B769">
        <f>MAX(0,B767-B768)</f>
        <v/>
      </c>
    </row>
    <row r="770">
      <c r="A770" t="inlineStr">
        <is>
          <t>Defense % Bonus (Divine Protection)</t>
        </is>
      </c>
      <c r="B770">
        <f>IF(C745=TRUE,F745*IF(AND(Inputs!$B$39&lt;&gt;"pvp",Inputs!$B$44&gt;0),(((R745-1)*(Skills!S13*(1+((Inputs!$B$35+(ArtifactsInput!$M$7-ArtifactsInput!$M$7)*CHOOSE(ArtifactsInput!$N$7+1,6,7.2,8.4,9.6,10.8,12))+IF(Inputs!$B$3&gt;=117,F758,0))/100))+MIN((Skills!S13*(1+((Inputs!$B$35+(ArtifactsInput!$M$7-ArtifactsInput!$M$7)*CHOOSE(ArtifactsInput!$N$7+1,6,7.2,8.4,9.6,10.8,12))+IF(Inputs!$B$3&gt;=117,F758,0))/100)),MAX(0,Inputs!$B$44-((R745-1)*Skills!D13))))/Inputs!$B$44),IF(Inputs!$B$39="pvp",MIN((Skills!S13*(1+((Inputs!$B$35+(ArtifactsInput!$M$7-ArtifactsInput!$M$7)*CHOOSE(ArtifactsInput!$N$7+1,6,7.2,8.4,9.6,10.8,12))+IF(Inputs!$B$3&gt;=117,F758,0))/100)),15)/15,(Skills!S13*(1+((Inputs!$B$35+(ArtifactsInput!$M$7-ArtifactsInput!$M$7)*CHOOSE(ArtifactsInput!$N$7+1,6,7.2,8.4,9.6,10.8,12))+IF(Inputs!$B$3&gt;=117,F758,0))/100))/Skills!D13)),0)</f>
        <v/>
      </c>
    </row>
    <row r="771">
      <c r="A771" t="inlineStr">
        <is>
          <t>Buff-Casting Startup Delay (s, fixed-duration only)</t>
        </is>
      </c>
      <c r="B771">
        <f>IF(AND(Inputs!$B$39&lt;&gt;"pvp",Inputs!$B$44&gt;0),SUMPRODUCT((Skills!S2:S27&gt;0)*(Skills!E2:E27=TRUE)*(C734:C759=TRUE))/B767,0)</f>
        <v/>
      </c>
    </row>
    <row r="772">
      <c r="A772" t="inlineStr">
        <is>
          <t>Boss-Only Total DPS (this block's swept value)</t>
        </is>
      </c>
      <c r="B772">
        <f>SUM(S734:S759)</f>
        <v/>
      </c>
    </row>
    <row r="773">
      <c r="A773" t="inlineStr">
        <is>
          <t>Normal-Only Total DPS (this block's swept value)</t>
        </is>
      </c>
      <c r="B773">
        <f>SUM(U734:U759)</f>
        <v/>
      </c>
    </row>
    <row r="774">
      <c r="A774" s="6" t="inlineStr">
        <is>
          <t>TOTAL DPS</t>
        </is>
      </c>
      <c r="B774" s="6">
        <f>SUM(O734:O759)</f>
        <v/>
      </c>
    </row>
    <row r="776">
      <c r="A776" s="6" t="inlineStr">
        <is>
          <t>Stat: SKILL_DAMAGE %</t>
        </is>
      </c>
    </row>
    <row r="777">
      <c r="A777" s="5" t="inlineStr">
        <is>
          <t>Key</t>
        </is>
      </c>
      <c r="B777" s="5" t="inlineStr">
        <is>
          <t>Name</t>
        </is>
      </c>
      <c r="C777" s="5" t="inlineStr">
        <is>
          <t>Unlocked</t>
        </is>
      </c>
      <c r="D777" s="5" t="inlineStr">
        <is>
          <t>InputLevel</t>
        </is>
      </c>
      <c r="E777" s="5" t="inlineStr">
        <is>
          <t>Factor</t>
        </is>
      </c>
      <c r="F777" s="5" t="inlineStr">
        <is>
          <t>CoefficientPercent</t>
        </is>
      </c>
      <c r="G777" s="5" t="inlineStr">
        <is>
          <t>EffectiveHits</t>
        </is>
      </c>
      <c r="H777" s="5" t="inlineStr">
        <is>
          <t>ProcProbability</t>
        </is>
      </c>
      <c r="I777" s="5" t="inlineStr">
        <is>
          <t>MapleHeroMultiplier</t>
        </is>
      </c>
      <c r="J777" s="5" t="inlineStr">
        <is>
          <t>BaseDamage</t>
        </is>
      </c>
      <c r="K777" s="5" t="inlineStr">
        <is>
          <t>BaseHitDamage</t>
        </is>
      </c>
      <c r="L777" s="5" t="inlineStr">
        <is>
          <t>NonCritAvg</t>
        </is>
      </c>
      <c r="M777" s="5" t="inlineStr">
        <is>
          <t>CritAvg</t>
        </is>
      </c>
      <c r="N777" s="5" t="inlineStr">
        <is>
          <t>ExpectedDamage(perHit)</t>
        </is>
      </c>
      <c r="O777" s="5" t="inlineStr">
        <is>
          <t>DPS</t>
        </is>
      </c>
      <c r="P777" s="5" t="inlineStr">
        <is>
          <t>% of Total</t>
        </is>
      </c>
      <c r="R777" t="inlineStr">
        <is>
          <t>helpers</t>
        </is>
      </c>
    </row>
    <row r="778">
      <c r="A778">
        <f>Skills!A2</f>
        <v/>
      </c>
      <c r="B778">
        <f>Skills!B2</f>
        <v/>
      </c>
      <c r="C778">
        <f>Inputs!$B$3&gt;=100</f>
        <v/>
      </c>
      <c r="D778" t="inlineStr"/>
      <c r="E778" t="inlineStr"/>
      <c r="F778">
        <f>T780+Skills!N2</f>
        <v/>
      </c>
      <c r="G778">
        <f>Calc!G2</f>
        <v/>
      </c>
      <c r="H778">
        <f>Calc!H2</f>
        <v/>
      </c>
      <c r="I778">
        <f>IF(Skills!T2&lt;&gt;"",1+(Skills!T2/10)*($Z$3/1000)/100,1)</f>
        <v/>
      </c>
      <c r="J778">
        <f>((Inputs!$B$6*(1+Inputs!$B$7/100))+(((Inputs!$B$13*(1+Inputs!$B$14/100))-(Inputs!$B$13*(1+Inputs!$B$14/100)))+0.25*(Inputs!$B$15-Inputs!$B$15))*(1+Inputs!$B$7/100))*(F778/100)</f>
        <v/>
      </c>
      <c r="K778">
        <f>J778*(1+(((Inputs!$B$13+IF(Inputs!$B$3&gt;=35,(10*INDEX(FactorTable!$B$2:$Y$301,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2="TRIUMPH_FEATHER",IF(C792=TRUE,F792,0),0)/100)*(1+IF(C803=TRUE,F803,0)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778)</f>
        <v/>
      </c>
      <c r="L778">
        <f>K778*(MIN(Inputs!$B$23+(F798-Calc!F22),(Inputs!$B$24+IF(ArtifactsInput!$M$15,CHOOSE(ArtifactsInput!$N$15+1,25,30,35,40,45,50)/100*(Inputs!$B$12-Inputs!$B$12),0)))/100+(Inputs!$B$24+IF(ArtifactsInput!$M$15,CHOOSE(ArtifactsInput!$N$15+1,25,30,35,40,45,50)/100*(Inputs!$B$12-Inputs!$B$12),0))/100)/2</f>
        <v/>
      </c>
      <c r="M778">
        <f>L778*(1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78">
        <f>L778*(1-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778*(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8">
        <f>(1-Summary!$B$11)*S778+Summary!$B$11*U778</f>
        <v/>
      </c>
      <c r="P778">
        <f>IF(B818=0,0,O778/B818)</f>
        <v/>
      </c>
      <c r="Q778">
        <f>IFERROR(1/(IF(Inputs!$B$39="pvp",15,MAX(0.1,Skills!D2-IF(Skills!E2=TRUE,Inputs!$B$33,0)))*(1-IF(AND(ArtifactsInput!$M$27,Inputs!$B$4="Chapter Hunt"),CHOOSE(ArtifactsInput!$N$27+1,20,24,28,32,36,40),0)/100)),0)</f>
        <v/>
      </c>
      <c r="R778" t="n">
        <v>0</v>
      </c>
      <c r="S778">
        <f>IF(C778,(Skills!F2*N778*B813)*IF(Inputs!$B$39="pvp",1,1+(Inputs!$B$21+Skills!O2+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778*(1-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778*(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778*(1-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778*(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78">
        <f>MAX(0,(Inputs!$B$3-100)*3)+Inputs!$B$29+Inputs!$B$30</f>
        <v/>
      </c>
      <c r="U778">
        <f>IF(C778,(Skills!F2*N778*B813)*IF(Inputs!$B$39="pvp",1,(1+(Inputs!$B$22+Skills!P2+B807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9">
      <c r="A779">
        <f>Skills!A3</f>
        <v/>
      </c>
      <c r="B779">
        <f>Skills!B3</f>
        <v/>
      </c>
      <c r="C779">
        <f>Inputs!$B$3&gt;=15</f>
        <v/>
      </c>
      <c r="D779">
        <f>IF(Skills!C3=1,60+Inputs!$B$26+Inputs!$B$30,IF(Skills!C3=2,90+Inputs!$B$27+Inputs!$B$30,IF(Skills!C3=3,120+Inputs!$B$28+Inputs!$B$30,MAX(0,(Inputs!$B$3-100)*3)+Inputs!$B$29+Inputs!$B$30)))</f>
        <v/>
      </c>
      <c r="E779">
        <f>INDEX(FactorTable!$B$2:$Y$301, MATCH(ROUND(MIN(300,MAX(1,D779)),0), FactorTable!$A$2:$A$301,0), Skills!L3+1)</f>
        <v/>
      </c>
      <c r="F779">
        <f>IF(Skills!M3=TRUE,(Skills!K3/10)*(E779/1000),Skills!K3/10)+Skills!N3</f>
        <v/>
      </c>
      <c r="G779">
        <f>Calc!G3</f>
        <v/>
      </c>
      <c r="H779">
        <f>Calc!H3</f>
        <v/>
      </c>
      <c r="I779">
        <f>IF(Skills!T3&lt;&gt;"",1+(Skills!T3/10)*($Z$3/1000)/100,1)</f>
        <v/>
      </c>
      <c r="J779" t="inlineStr"/>
      <c r="K779" t="inlineStr"/>
      <c r="L779" t="inlineStr"/>
      <c r="M779" t="inlineStr"/>
      <c r="N779" t="inlineStr"/>
      <c r="O779">
        <f>(1-Summary!$B$11)*S779+Summary!$B$11*U779</f>
        <v/>
      </c>
      <c r="P779">
        <f>IF(B818=0,0,O779/B818)</f>
        <v/>
      </c>
      <c r="Q779">
        <f>IFERROR(1/(IF(Inputs!$B$39="pvp",15,MAX(0.1,Skills!D3-IF(Skills!E3=TRUE,Inputs!$B$33,0)))*(1-IF(AND(ArtifactsInput!$M$27,Inputs!$B$4="Chapter Hunt"),CHOOSE(ArtifactsInput!$N$27+1,20,24,28,32,36,40),0)/100)),0)</f>
        <v/>
      </c>
      <c r="R779">
        <f>IF(AND(Inputs!$B$39&lt;&gt;"pvp",Inputs!$B$44&gt;0),IF(Inputs!$B$44&lt;=0,0,(INT(Inputs!$B$44/(IF(Inputs!$B$39="pvp",15,MAX(0.1,Skills!D3-IF(Skills!E3=TRUE,Inputs!$B$33,0)))*(1-IF(AND(ArtifactsInput!$M$27,Inputs!$B$4="Chapter Hunt"),CHOOSE(ArtifactsInput!$N$27+1,20,24,28,32,36,40),0)/100)))+1)),0)</f>
        <v/>
      </c>
      <c r="S779" t="n">
        <v>0</v>
      </c>
      <c r="T779">
        <f>INDEX(FactorTable!$B$2:$Y$301, MATCH(ROUND(MIN(300,MAX(1,T778)),0), FactorTable!$A$2:$A$301,0), 22)</f>
        <v/>
      </c>
      <c r="U779" t="n">
        <v>0</v>
      </c>
    </row>
    <row r="780">
      <c r="A780">
        <f>Skills!A4</f>
        <v/>
      </c>
      <c r="B780">
        <f>Skills!B4</f>
        <v/>
      </c>
      <c r="C780">
        <f>Inputs!$B$3&gt;=38</f>
        <v/>
      </c>
      <c r="D780">
        <f>IF(Skills!C4=1,60+Inputs!$B$26+Inputs!$B$30,IF(Skills!C4=2,90+Inputs!$B$27+Inputs!$B$30,IF(Skills!C4=3,120+Inputs!$B$28+Inputs!$B$30,MAX(0,(Inputs!$B$3-100)*3)+Inputs!$B$29+Inputs!$B$30)))</f>
        <v/>
      </c>
      <c r="E780">
        <f>INDEX(FactorTable!$B$2:$Y$301, MATCH(ROUND(MIN(300,MAX(1,D780)),0), FactorTable!$A$2:$A$301,0), Skills!L4+1)</f>
        <v/>
      </c>
      <c r="F780">
        <f>IF(Skills!M4=TRUE,(Skills!K4/10)*(E780/1000),Skills!K4/10)+Skills!N4</f>
        <v/>
      </c>
      <c r="G780">
        <f>Calc!G4</f>
        <v/>
      </c>
      <c r="H780">
        <f>Calc!H4</f>
        <v/>
      </c>
      <c r="I780">
        <f>IF(Skills!T4&lt;&gt;"",1+(Skills!T4/10)*($Z$3/1000)/100,1)</f>
        <v/>
      </c>
      <c r="J780" t="inlineStr"/>
      <c r="K780" t="inlineStr"/>
      <c r="L780" t="inlineStr"/>
      <c r="M780" t="inlineStr"/>
      <c r="N780" t="inlineStr"/>
      <c r="O780">
        <f>(1-Summary!$B$11)*S780+Summary!$B$11*U780</f>
        <v/>
      </c>
      <c r="P780">
        <f>IF(B818=0,0,O780/B818)</f>
        <v/>
      </c>
      <c r="Q780">
        <f>IFERROR(1/(IF(Inputs!$B$39="pvp",15,MAX(0.1,Skills!D4-IF(Skills!E4=TRUE,Inputs!$B$33,0)))*(1-IF(AND(ArtifactsInput!$M$27,Inputs!$B$4="Chapter Hunt"),CHOOSE(ArtifactsInput!$N$27+1,20,24,28,32,36,40),0)/100)),0)</f>
        <v/>
      </c>
      <c r="R780">
        <f>IF(AND(Inputs!$B$39&lt;&gt;"pvp",Inputs!$B$44&gt;0),IF(Inputs!$B$44&lt;=0,0,(INT(Inputs!$B$44/(IF(Inputs!$B$39="pvp",15,MAX(0.1,Skills!D4-IF(Skills!E4=TRUE,Inputs!$B$33,0)))*(1-IF(AND(ArtifactsInput!$M$27,Inputs!$B$4="Chapter Hunt"),CHOOSE(ArtifactsInput!$N$27+1,20,24,28,32,36,40),0)/100)))+1)),0)</f>
        <v/>
      </c>
      <c r="S780" t="n">
        <v>0</v>
      </c>
      <c r="T780">
        <f>290*T779/1000</f>
        <v/>
      </c>
      <c r="U780" t="n">
        <v>0</v>
      </c>
    </row>
    <row r="781">
      <c r="A781">
        <f>Skills!A5</f>
        <v/>
      </c>
      <c r="B781">
        <f>Skills!B5</f>
        <v/>
      </c>
      <c r="C781">
        <f>Inputs!$B$3&gt;=40</f>
        <v/>
      </c>
      <c r="D781">
        <f>IF(Skills!C5=1,60+Inputs!$B$26+Inputs!$B$30,IF(Skills!C5=2,90+Inputs!$B$27+Inputs!$B$30,IF(Skills!C5=3,120+Inputs!$B$28+Inputs!$B$30,MAX(0,(Inputs!$B$3-100)*3)+Inputs!$B$29+Inputs!$B$30)))</f>
        <v/>
      </c>
      <c r="E781">
        <f>INDEX(FactorTable!$B$2:$Y$301, MATCH(ROUND(MIN(300,MAX(1,D781)),0), FactorTable!$A$2:$A$301,0), Skills!L5+1)</f>
        <v/>
      </c>
      <c r="F781">
        <f>IF(Skills!M5=TRUE,(Skills!K5/10)*(E781/1000),Skills!K5/10)+Skills!N5</f>
        <v/>
      </c>
      <c r="G781">
        <f>Calc!G5</f>
        <v/>
      </c>
      <c r="H781">
        <f>Calc!H5</f>
        <v/>
      </c>
      <c r="I781">
        <f>IF(Skills!T5&lt;&gt;"",1+(Skills!T5/10)*($Z$3/1000)/100,1)</f>
        <v/>
      </c>
      <c r="J781" t="inlineStr"/>
      <c r="K781" t="inlineStr"/>
      <c r="L781" t="inlineStr"/>
      <c r="M781" t="inlineStr"/>
      <c r="N781" t="inlineStr"/>
      <c r="O781">
        <f>(1-Summary!$B$11)*S781+Summary!$B$11*U781</f>
        <v/>
      </c>
      <c r="P781">
        <f>IF(B818=0,0,O781/B818)</f>
        <v/>
      </c>
      <c r="Q781">
        <f>IFERROR(1/(IF(Inputs!$B$39="pvp",15,MAX(0.1,Skills!D5-IF(Skills!E5=TRUE,Inputs!$B$33,0)))*(1-IF(AND(ArtifactsInput!$M$27,Inputs!$B$4="Chapter Hunt"),CHOOSE(ArtifactsInput!$N$27+1,20,24,28,32,36,40),0)/100)),0)</f>
        <v/>
      </c>
      <c r="R781">
        <f>IF(AND(Inputs!$B$39&lt;&gt;"pvp",Inputs!$B$44&gt;0),IF(Inputs!$B$44&lt;=0,0,(INT(Inputs!$B$44/(IF(Inputs!$B$39="pvp",15,MAX(0.1,Skills!D5-IF(Skills!E5=TRUE,Inputs!$B$33,0)))*(1-IF(AND(ArtifactsInput!$M$27,Inputs!$B$4="Chapter Hunt"),CHOOSE(ArtifactsInput!$N$27+1,20,24,28,32,36,40),0)/100)))+1)),0)</f>
        <v/>
      </c>
      <c r="S781" t="n">
        <v>0</v>
      </c>
      <c r="U781" t="n">
        <v>0</v>
      </c>
    </row>
    <row r="782">
      <c r="A782">
        <f>Skills!A6</f>
        <v/>
      </c>
      <c r="B782">
        <f>Skills!B6</f>
        <v/>
      </c>
      <c r="C782">
        <f>Inputs!$B$3&gt;=103</f>
        <v/>
      </c>
      <c r="D782">
        <f>IF(Skills!C6=1,60+Inputs!$B$26+Inputs!$B$30,IF(Skills!C6=2,90+Inputs!$B$27+Inputs!$B$30,IF(Skills!C6=3,120+Inputs!$B$28+Inputs!$B$30,MAX(0,(Inputs!$B$3-100)*3)+Inputs!$B$29+Inputs!$B$30)))</f>
        <v/>
      </c>
      <c r="E782">
        <f>INDEX(FactorTable!$B$2:$Y$301, MATCH(ROUND(MIN(300,MAX(1,D782)),0), FactorTable!$A$2:$A$301,0), Skills!L6+1)</f>
        <v/>
      </c>
      <c r="F782">
        <f>IF(Skills!M6=TRUE,(Skills!K6/10)*(E782/1000),Skills!K6/10)+Skills!N6</f>
        <v/>
      </c>
      <c r="G782">
        <f>Calc!G6</f>
        <v/>
      </c>
      <c r="H782">
        <f>Calc!H6</f>
        <v/>
      </c>
      <c r="I782">
        <f>IF(Skills!T6&lt;&gt;"",1+(Skills!T6/10)*($Z$3/1000)/100,1)</f>
        <v/>
      </c>
      <c r="J782">
        <f>((Inputs!$B$6*(1+Inputs!$B$7/100))+(((Inputs!$B$13*(1+Inputs!$B$14/100))-(Inputs!$B$13*(1+Inputs!$B$14/100)))+0.25*(Inputs!$B$15-Inputs!$B$15))*(1+Inputs!$B$7/100))*(F782/100)</f>
        <v/>
      </c>
      <c r="K782">
        <f>J782*(1+(((Inputs!$B$13+IF(Inputs!$B$3&gt;=35,(10*INDEX(FactorTable!$B$2:$Y$301,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6="TRIUMPH_FEATHER",IF(C792=TRUE,F792,0),0)/100)*(1+IF(C803=TRUE,F803,0)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782)</f>
        <v/>
      </c>
      <c r="L782">
        <f>K782*(MIN(Inputs!$B$23+(F798-Calc!F22),(Inputs!$B$24+IF(ArtifactsInput!$M$15,CHOOSE(ArtifactsInput!$N$15+1,25,30,35,40,45,50)/100*(Inputs!$B$12-Inputs!$B$12),0)))/100+(Inputs!$B$24+IF(ArtifactsInput!$M$15,CHOOSE(ArtifactsInput!$N$15+1,25,30,35,40,45,50)/100*(Inputs!$B$12-Inputs!$B$12),0))/100)/2</f>
        <v/>
      </c>
      <c r="M782">
        <f>L782*(1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2">
        <f>L782*(1-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782*(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2">
        <f>(1-Summary!$B$11)*S782+Summary!$B$11*U782</f>
        <v/>
      </c>
      <c r="P782">
        <f>IF(B818=0,0,O782/B818)</f>
        <v/>
      </c>
      <c r="Q782">
        <f>IFERROR(1/(IF(Inputs!$B$39="pvp",15,MAX(0.1,Skills!D6-IF(Skills!E6=TRUE,Inputs!$B$33,0)))*(1-IF(AND(ArtifactsInput!$M$27,Inputs!$B$4="Chapter Hunt"),CHOOSE(ArtifactsInput!$N$27+1,20,24,28,32,36,40),0)/100)),0)</f>
        <v/>
      </c>
      <c r="R782">
        <f>IF(AND(Inputs!$B$39&lt;&gt;"pvp",Inputs!$B$44&gt;0),IF(MAX(0,Inputs!$B$44-B815)&lt;=0,0,(INT(MAX(0,Inputs!$B$44-B815)/(IF(Inputs!$B$39="pvp",15,MAX(0.1,Skills!D6-IF(Skills!E6=TRUE,Inputs!$B$33,0)))*(1-IF(AND(ArtifactsInput!$M$27,Inputs!$B$4="Chapter Hunt"),CHOOSE(ArtifactsInput!$N$27+1,20,24,28,32,36,40),0)/100)))+1)),0)</f>
        <v/>
      </c>
      <c r="S782">
        <f>IF(C782,(H782*N782*IF(AND(Inputs!$B$39&lt;&gt;"pvp",Inputs!$B$44&gt;0),((Skills!F6*((R782-1)*IF(Skills!G6&gt;0,Skills!H6/Skills!G6,1)+IF(Skills!G6&gt;0,MIN(Skills!H6,MAX(0,MAX(0,Inputs!$B$44-B815)-((R782-1)*(IF(Inputs!$B$39="pvp",15,MAX(0.1,Skills!D6-IF(Skills!E6=TRUE,Inputs!$B$33,0)))*(1-IF(AND(ArtifactsInput!$M$27,Inputs!$B$4="Chapter Hunt"),CHOOSE(ArtifactsInput!$N$27+1,20,24,28,32,36,40),0)/100)))))/Skills!G6,1)))/Inputs!$B$44),G782*Q782))*IF(Inputs!$B$39="pvp",1,1+(Inputs!$B$21+Skills!O6+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782*(1-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782*(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782*(1-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782*(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2">
        <f>IF(C782,(H782*N782*IF(AND(Inputs!$B$39&lt;&gt;"pvp",Inputs!$B$44&gt;0),((Skills!F6*((R782-1)*IF(Skills!G6&gt;0,Skills!H6/Skills!G6,1)+IF(Skills!G6&gt;0,MIN(Skills!H6,MAX(0,MAX(0,Inputs!$B$44-B815)-((R782-1)*(IF(Inputs!$B$39="pvp",15,MAX(0.1,Skills!D6-IF(Skills!E6=TRUE,Inputs!$B$33,0)))*(1-IF(AND(ArtifactsInput!$M$27,Inputs!$B$4="Chapter Hunt"),CHOOSE(ArtifactsInput!$N$27+1,20,24,28,32,36,40),0)/100)))))/Skills!G6,1)))/Inputs!$B$44),G782*Q782))*IF(Inputs!$B$39="pvp",1,(1+(Inputs!$B$22+Skills!P6+B807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3">
      <c r="A783">
        <f>Skills!A7</f>
        <v/>
      </c>
      <c r="B783">
        <f>Skills!B7</f>
        <v/>
      </c>
      <c r="C783">
        <f>Inputs!$B$3&gt;=122</f>
        <v/>
      </c>
      <c r="D783">
        <f>IF(Skills!C7=1,60+Inputs!$B$26+Inputs!$B$30,IF(Skills!C7=2,90+Inputs!$B$27+Inputs!$B$30,IF(Skills!C7=3,120+Inputs!$B$28+Inputs!$B$30,MAX(0,(Inputs!$B$3-100)*3)+Inputs!$B$29+Inputs!$B$30)))</f>
        <v/>
      </c>
      <c r="E783">
        <f>INDEX(FactorTable!$B$2:$Y$301, MATCH(ROUND(MIN(300,MAX(1,D783)),0), FactorTable!$A$2:$A$301,0), Skills!L7+1)</f>
        <v/>
      </c>
      <c r="F783">
        <f>IF(Skills!M7=TRUE,(Skills!K7/10)*(E783/1000),Skills!K7/10)+Skills!N7</f>
        <v/>
      </c>
      <c r="G783">
        <f>Calc!G7</f>
        <v/>
      </c>
      <c r="H783">
        <f>Calc!H7</f>
        <v/>
      </c>
      <c r="I783">
        <f>IF(Skills!T7&lt;&gt;"",1+(Skills!T7/10)*($Z$3/1000)/100,1)</f>
        <v/>
      </c>
      <c r="J783">
        <f>((Inputs!$B$6*(1+Inputs!$B$7/100))+(((Inputs!$B$13*(1+Inputs!$B$14/100))-(Inputs!$B$13*(1+Inputs!$B$14/100)))+0.25*(Inputs!$B$15-Inputs!$B$15))*(1+Inputs!$B$7/100))*(F783/100)</f>
        <v/>
      </c>
      <c r="K783">
        <f>J783*(1+(((Inputs!$B$13+IF(Inputs!$B$3&gt;=35,(10*INDEX(FactorTable!$B$2:$Y$301,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7="TRIUMPH_FEATHER",IF(C792=TRUE,F792,0),0)/100)*(1+IF(C803=TRUE,F803,0)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783)</f>
        <v/>
      </c>
      <c r="L783">
        <f>K783*(MIN(Inputs!$B$23+(F798-Calc!F22),(Inputs!$B$24+IF(ArtifactsInput!$M$15,CHOOSE(ArtifactsInput!$N$15+1,25,30,35,40,45,50)/100*(Inputs!$B$12-Inputs!$B$12),0)))/100+(Inputs!$B$24+IF(ArtifactsInput!$M$15,CHOOSE(ArtifactsInput!$N$15+1,25,30,35,40,45,50)/100*(Inputs!$B$12-Inputs!$B$12),0))/100)/2</f>
        <v/>
      </c>
      <c r="M783">
        <f>L783*(1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3">
        <f>L783*(1-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783*(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3">
        <f>(1-Summary!$B$11)*S783+Summary!$B$11*U783</f>
        <v/>
      </c>
      <c r="P783">
        <f>IF(B818=0,0,O783/B818)</f>
        <v/>
      </c>
      <c r="Q783">
        <f>IFERROR(1/(IF(Inputs!$B$39="pvp",15,MAX(0.1,Skills!D7-IF(Skills!E6=TRUE,Inputs!$B$33,0)))*(1-IF(AND(ArtifactsInput!$M$27,Inputs!$B$4="Chapter Hunt"),CHOOSE(ArtifactsInput!$N$27+1,20,24,28,32,36,40),0)/100)),0)</f>
        <v/>
      </c>
      <c r="R783">
        <f>IF(AND(Inputs!$B$39&lt;&gt;"pvp",Inputs!$B$44&gt;0),IF(MAX(0,Inputs!$B$44-B815)&lt;=0,0,(INT(MAX(0,Inputs!$B$44-B815)/(IF(Inputs!$B$39="pvp",15,MAX(0.1,Skills!D7-IF(Skills!E6=TRUE,Inputs!$B$33,0)))*(1-IF(AND(ArtifactsInput!$M$27,Inputs!$B$4="Chapter Hunt"),CHOOSE(ArtifactsInput!$N$27+1,20,24,28,32,36,40),0)/100)))+1)),0)</f>
        <v/>
      </c>
      <c r="S783">
        <f>IF(C783,H783*N783*IF(AND(Inputs!$B$39&lt;&gt;"pvp",Inputs!$B$44&gt;0),((Skills!F7*((R783-1)*IF(Skills!G7&gt;0,Skills!H7/Skills!G7,1)+IF(Skills!G7&gt;0,MIN(Skills!H7,MAX(0,MAX(0,Inputs!$B$44-B815)-((R783-1)*(IF(Inputs!$B$39="pvp",15,MAX(0.1,Skills!D7-IF(Skills!E6=TRUE,Inputs!$B$33,0)))*(1-IF(AND(ArtifactsInput!$M$27,Inputs!$B$4="Chapter Hunt"),CHOOSE(ArtifactsInput!$N$27+1,20,24,28,32,36,40),0)/100)))))/Skills!G7,1)))/Inputs!$B$44),G783*Q783)*IF(Inputs!$B$39="pvp",1,1+(Inputs!$B$21+Skills!O7+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783*(1-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783*(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783*(1-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783*(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3" t="n">
        <v>0</v>
      </c>
    </row>
    <row r="784">
      <c r="A784">
        <f>Skills!A8</f>
        <v/>
      </c>
      <c r="B784">
        <f>Skills!B8</f>
        <v/>
      </c>
      <c r="C784">
        <f>Inputs!$B$3&gt;=105</f>
        <v/>
      </c>
      <c r="D784">
        <f>IF(Skills!C8=1,60+Inputs!$B$26+Inputs!$B$30,IF(Skills!C8=2,90+Inputs!$B$27+Inputs!$B$30,IF(Skills!C8=3,120+Inputs!$B$28+Inputs!$B$30,MAX(0,(Inputs!$B$3-100)*3)+Inputs!$B$29+Inputs!$B$30)))</f>
        <v/>
      </c>
      <c r="E784">
        <f>INDEX(FactorTable!$B$2:$Y$301, MATCH(ROUND(MIN(300,MAX(1,D784)),0), FactorTable!$A$2:$A$301,0), Skills!L8+1)</f>
        <v/>
      </c>
      <c r="F784">
        <f>IF(Skills!M8=TRUE,(Skills!K8/10)*(E784/1000),Skills!K8/10)+Skills!N8</f>
        <v/>
      </c>
      <c r="G784">
        <f>Calc!G8</f>
        <v/>
      </c>
      <c r="H784">
        <f>Calc!H8</f>
        <v/>
      </c>
      <c r="I784">
        <f>IF(Skills!T8&lt;&gt;"",1+(Skills!T8/10)*($Z$3/1000)/100,1)</f>
        <v/>
      </c>
      <c r="J784">
        <f>((Inputs!$B$6*(1+Inputs!$B$7/100))+(((Inputs!$B$13*(1+Inputs!$B$14/100))-(Inputs!$B$13*(1+Inputs!$B$14/100)))+0.25*(Inputs!$B$15-Inputs!$B$15))*(1+Inputs!$B$7/100))*(F784/100)</f>
        <v/>
      </c>
      <c r="K784">
        <f>J784*(1+(((Inputs!$B$13+IF(Inputs!$B$3&gt;=35,(10*INDEX(FactorTable!$B$2:$Y$301,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8="TRIUMPH_FEATHER",IF(C792=TRUE,F792,0),0)/100)*(1+IF(C803=TRUE,F803,0)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784)</f>
        <v/>
      </c>
      <c r="L784">
        <f>K784*(MIN(Inputs!$B$23+(F798-Calc!F22),(Inputs!$B$24+IF(ArtifactsInput!$M$15,CHOOSE(ArtifactsInput!$N$15+1,25,30,35,40,45,50)/100*(Inputs!$B$12-Inputs!$B$12),0)))/100+(Inputs!$B$24+IF(ArtifactsInput!$M$15,CHOOSE(ArtifactsInput!$N$15+1,25,30,35,40,45,50)/100*(Inputs!$B$12-Inputs!$B$12),0))/100)/2</f>
        <v/>
      </c>
      <c r="M784">
        <f>L784*(1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4">
        <f>L784*(1-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784*(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4">
        <f>(1-Summary!$B$11)*S784+Summary!$B$11*U784</f>
        <v/>
      </c>
      <c r="P784">
        <f>IF(B818=0,0,O784/B818)</f>
        <v/>
      </c>
      <c r="Q784">
        <f>IFERROR(1/(IF(Inputs!$B$39="pvp",15,MAX(0.1,Skills!D8-IF(Skills!E8=TRUE,Inputs!$B$33,0)))*(1-IF(AND(ArtifactsInput!$M$27,Inputs!$B$4="Chapter Hunt"),CHOOSE(ArtifactsInput!$N$27+1,20,24,28,32,36,40),0)/100)),0)</f>
        <v/>
      </c>
      <c r="R784">
        <f>IF(AND(Inputs!$B$39&lt;&gt;"pvp",Inputs!$B$44&gt;0),IF(MAX(0,Inputs!$B$44-B815)&lt;=0,0,(INT(MAX(0,Inputs!$B$44-B815)/(IF(Inputs!$B$39="pvp",15,MAX(0.1,Skills!D8-IF(Skills!E8=TRUE,Inputs!$B$33,0)))*(1-IF(AND(ArtifactsInput!$M$27,Inputs!$B$4="Chapter Hunt"),CHOOSE(ArtifactsInput!$N$27+1,20,24,28,32,36,40),0)/100)))+1)),0)</f>
        <v/>
      </c>
      <c r="S784">
        <f>IF(C784,(H784*N784*IF(AND(Inputs!$B$39&lt;&gt;"pvp",Inputs!$B$44&gt;0),((Skills!F8*((R784-1)*IF(Skills!G8&gt;0,Skills!H8/Skills!G8,1)+IF(Skills!G8&gt;0,MIN(Skills!H8,MAX(0,MAX(0,Inputs!$B$44-B815)-((R784-1)*(IF(Inputs!$B$39="pvp",15,MAX(0.1,Skills!D8-IF(Skills!E8=TRUE,Inputs!$B$33,0)))*(1-IF(AND(ArtifactsInput!$M$27,Inputs!$B$4="Chapter Hunt"),CHOOSE(ArtifactsInput!$N$27+1,20,24,28,32,36,40),0)/100)))))/Skills!G8,1)))/Inputs!$B$44),G784*Q784))*IF(Inputs!$B$39="pvp",1,1+(Inputs!$B$21+Skills!O8+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784*(1-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784*(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784*(1-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784*(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4">
        <f>IF(C784,(H784*N784*IF(AND(Inputs!$B$39&lt;&gt;"pvp",Inputs!$B$44&gt;0),((Skills!F8*((R784-1)*IF(Skills!G8&gt;0,Skills!H8/Skills!G8,1)+IF(Skills!G8&gt;0,MIN(Skills!H8,MAX(0,MAX(0,Inputs!$B$44-B815)-((R784-1)*(IF(Inputs!$B$39="pvp",15,MAX(0.1,Skills!D8-IF(Skills!E8=TRUE,Inputs!$B$33,0)))*(1-IF(AND(ArtifactsInput!$M$27,Inputs!$B$4="Chapter Hunt"),CHOOSE(ArtifactsInput!$N$27+1,20,24,28,32,36,40),0)/100)))))/Skills!G8,1)))/Inputs!$B$44),G784*Q784))*IF(Inputs!$B$39="pvp",1,(1+(Inputs!$B$22+Skills!P8+B807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5">
      <c r="A785">
        <f>Skills!A9</f>
        <v/>
      </c>
      <c r="B785">
        <f>Skills!B9</f>
        <v/>
      </c>
      <c r="C785">
        <f>Inputs!$B$3&gt;=115</f>
        <v/>
      </c>
      <c r="D785">
        <f>IF(Skills!C9=1,60+Inputs!$B$26+Inputs!$B$30,IF(Skills!C9=2,90+Inputs!$B$27+Inputs!$B$30,IF(Skills!C9=3,120+Inputs!$B$28+Inputs!$B$30,MAX(0,(Inputs!$B$3-100)*3)+Inputs!$B$29+Inputs!$B$30)))</f>
        <v/>
      </c>
      <c r="E785">
        <f>INDEX(FactorTable!$B$2:$Y$301, MATCH(ROUND(MIN(300,MAX(1,D785)),0), FactorTable!$A$2:$A$301,0), Skills!L9+1)</f>
        <v/>
      </c>
      <c r="F785">
        <f>IF(Skills!M9=TRUE,(Skills!K9/10)*(E785/1000),Skills!K9/10)+Skills!N9</f>
        <v/>
      </c>
      <c r="G785">
        <f>Calc!G9</f>
        <v/>
      </c>
      <c r="H785">
        <f>Calc!H9</f>
        <v/>
      </c>
      <c r="I785">
        <f>IF(Skills!T9&lt;&gt;"",1+(Skills!T9/10)*($Z$3/1000)/100,1)</f>
        <v/>
      </c>
      <c r="J785">
        <f>((Inputs!$B$6*(1+Inputs!$B$7/100))+(((Inputs!$B$13*(1+Inputs!$B$14/100))-(Inputs!$B$13*(1+Inputs!$B$14/100)))+0.25*(Inputs!$B$15-Inputs!$B$15))*(1+Inputs!$B$7/100))*(F785/100)</f>
        <v/>
      </c>
      <c r="K785">
        <f>J785*(1+(((Inputs!$B$13+IF(Inputs!$B$3&gt;=35,(10*INDEX(FactorTable!$B$2:$Y$301,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9="TRIUMPH_FEATHER",IF(C792=TRUE,F792,0),0)/100)*(1+IF(C803=TRUE,F803,0)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785)</f>
        <v/>
      </c>
      <c r="L785">
        <f>K785*(MIN(Inputs!$B$23+(F798-Calc!F22),(Inputs!$B$24+IF(ArtifactsInput!$M$15,CHOOSE(ArtifactsInput!$N$15+1,25,30,35,40,45,50)/100*(Inputs!$B$12-Inputs!$B$12),0)))/100+(Inputs!$B$24+IF(ArtifactsInput!$M$15,CHOOSE(ArtifactsInput!$N$15+1,25,30,35,40,45,50)/100*(Inputs!$B$12-Inputs!$B$12),0))/100)/2</f>
        <v/>
      </c>
      <c r="M785">
        <f>L785*(1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5">
        <f>L785*(1-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785*(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5">
        <f>(1-Summary!$B$11)*S785+Summary!$B$11*U785</f>
        <v/>
      </c>
      <c r="P785">
        <f>IF(B818=0,0,O785/B818)</f>
        <v/>
      </c>
      <c r="Q785">
        <f>IFERROR(1/(IF(Inputs!$B$39="pvp",15,MAX(0.1,Skills!D9-IF(Skills!E9=TRUE,Inputs!$B$33,0)))*(1-IF(AND(ArtifactsInput!$M$27,Inputs!$B$4="Chapter Hunt"),CHOOSE(ArtifactsInput!$N$27+1,20,24,28,32,36,40),0)/100)),0)</f>
        <v/>
      </c>
      <c r="R785">
        <f>IF(AND(Inputs!$B$39&lt;&gt;"pvp",Inputs!$B$44&gt;0),IF(MAX(0,Inputs!$B$44-B815)&lt;=0,0,(INT(MAX(0,Inputs!$B$44-B815)/(IF(Inputs!$B$39="pvp",15,MAX(0.1,Skills!D9-IF(Skills!E9=TRUE,Inputs!$B$33,0)))*(1-IF(AND(ArtifactsInput!$M$27,Inputs!$B$4="Chapter Hunt"),CHOOSE(ArtifactsInput!$N$27+1,20,24,28,32,36,40),0)/100)))+1)),0)</f>
        <v/>
      </c>
      <c r="S785">
        <f>IF(C785,(H785*N785*IF(AND(Inputs!$B$39&lt;&gt;"pvp",Inputs!$B$44&gt;0),((Skills!F9*((R785-1)*IF(Skills!G9&gt;0,Skills!H9/Skills!G9,1)+IF(Skills!G9&gt;0,MIN(Skills!H9,MAX(0,MAX(0,Inputs!$B$44-B815)-((R785-1)*(IF(Inputs!$B$39="pvp",15,MAX(0.1,Skills!D9-IF(Skills!E9=TRUE,Inputs!$B$33,0)))*(1-IF(AND(ArtifactsInput!$M$27,Inputs!$B$4="Chapter Hunt"),CHOOSE(ArtifactsInput!$N$27+1,20,24,28,32,36,40),0)/100)))))/Skills!G9,1)))/Inputs!$B$44),G785*Q785))*IF(Inputs!$B$39="pvp",1,1+(Inputs!$B$21+Skills!O9+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785*(1-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785*(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785*(1-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785*(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5">
        <f>IF(C785,(H785*N785*IF(AND(Inputs!$B$39&lt;&gt;"pvp",Inputs!$B$44&gt;0),((Skills!F9*((R785-1)*IF(Skills!G9&gt;0,Skills!H9/Skills!G9,1)+IF(Skills!G9&gt;0,MIN(Skills!H9,MAX(0,MAX(0,Inputs!$B$44-B815)-((R785-1)*(IF(Inputs!$B$39="pvp",15,MAX(0.1,Skills!D9-IF(Skills!E9=TRUE,Inputs!$B$33,0)))*(1-IF(AND(ArtifactsInput!$M$27,Inputs!$B$4="Chapter Hunt"),CHOOSE(ArtifactsInput!$N$27+1,20,24,28,32,36,40),0)/100)))))/Skills!G9,1)))/Inputs!$B$44),G785*Q785))*IF(Inputs!$B$39="pvp",1,(1+(Inputs!$B$22+Skills!P9+B807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6">
      <c r="A786">
        <f>Skills!A10</f>
        <v/>
      </c>
      <c r="B786">
        <f>Skills!B10</f>
        <v/>
      </c>
      <c r="C786">
        <f>Inputs!$B$3&gt;=66</f>
        <v/>
      </c>
      <c r="D786">
        <f>IF(Skills!C10=1,60+Inputs!$B$26+Inputs!$B$30,IF(Skills!C10=2,90+Inputs!$B$27+Inputs!$B$30,IF(Skills!C10=3,120+Inputs!$B$28+Inputs!$B$30,MAX(0,(Inputs!$B$3-100)*3)+Inputs!$B$29+Inputs!$B$30)))</f>
        <v/>
      </c>
      <c r="E786">
        <f>INDEX(FactorTable!$B$2:$Y$301, MATCH(ROUND(MIN(300,MAX(1,D786)),0), FactorTable!$A$2:$A$301,0), Skills!L10+1)</f>
        <v/>
      </c>
      <c r="F786" t="n">
        <v>0</v>
      </c>
      <c r="G786">
        <f>Calc!G10</f>
        <v/>
      </c>
      <c r="H786">
        <f>Calc!H10</f>
        <v/>
      </c>
      <c r="I786">
        <f>IF(Skills!T10&lt;&gt;"",1+(Skills!T10/10)*($Z$3/1000)/100,1)</f>
        <v/>
      </c>
      <c r="J786" t="inlineStr"/>
      <c r="K786" t="inlineStr"/>
      <c r="L786" t="inlineStr"/>
      <c r="M786" t="inlineStr"/>
      <c r="N786" t="inlineStr"/>
      <c r="O786">
        <f>(1-Summary!$B$11)*S786+Summary!$B$11*U786</f>
        <v/>
      </c>
      <c r="P786">
        <f>IF(B818=0,0,O786/B818)</f>
        <v/>
      </c>
      <c r="Q786">
        <f>IFERROR(1/(IF(Inputs!$B$39="pvp",15,MAX(0.1,Skills!D10-IF(Skills!E10=TRUE,Inputs!$B$33,0)))*(1-IF(AND(ArtifactsInput!$M$27,Inputs!$B$4="Chapter Hunt"),CHOOSE(ArtifactsInput!$N$27+1,20,24,28,32,36,40),0)/100)),0)</f>
        <v/>
      </c>
      <c r="R786">
        <f>IF(AND(Inputs!$B$39&lt;&gt;"pvp",Inputs!$B$44&gt;0),IF(MAX(0,Inputs!$B$44-B815)&lt;=0,0,(INT(MAX(0,Inputs!$B$44-B815)/(IF(Inputs!$B$39="pvp",15,MAX(0.1,Skills!D10-IF(Skills!E10=TRUE,Inputs!$B$33,0)))*(1-IF(AND(ArtifactsInput!$M$27,Inputs!$B$4="Chapter Hunt"),CHOOSE(ArtifactsInput!$N$27+1,20,24,28,32,36,40),0)/100)))+1)),0)</f>
        <v/>
      </c>
      <c r="S786" t="n">
        <v>0</v>
      </c>
      <c r="U786" t="n">
        <v>0</v>
      </c>
    </row>
    <row r="787">
      <c r="A787">
        <f>Skills!A11</f>
        <v/>
      </c>
      <c r="B787">
        <f>Skills!B11</f>
        <v/>
      </c>
      <c r="C787">
        <f>Inputs!$B$3&gt;=69</f>
        <v/>
      </c>
      <c r="D787">
        <f>IF(Skills!C11=1,60+Inputs!$B$26+Inputs!$B$30,IF(Skills!C11=2,90+Inputs!$B$27+Inputs!$B$30,IF(Skills!C11=3,120+Inputs!$B$28+Inputs!$B$30,MAX(0,(Inputs!$B$3-100)*3)+Inputs!$B$29+Inputs!$B$30)))</f>
        <v/>
      </c>
      <c r="E787">
        <f>INDEX(FactorTable!$B$2:$Y$301, MATCH(ROUND(MIN(300,MAX(1,D787)),0), FactorTable!$A$2:$A$301,0), Skills!L11+1)</f>
        <v/>
      </c>
      <c r="F787">
        <f>IF(Skills!M11=TRUE,(Skills!K11/10)*(E787/1000),Skills!K11/10)+Skills!N11</f>
        <v/>
      </c>
      <c r="G787">
        <f>Calc!G11</f>
        <v/>
      </c>
      <c r="H787">
        <f>Calc!H11</f>
        <v/>
      </c>
      <c r="I787">
        <f>IF(Skills!T11&lt;&gt;"",1+(Skills!T11/10)*($Z$3/1000)/100,1)</f>
        <v/>
      </c>
      <c r="J787" t="inlineStr"/>
      <c r="K787" t="inlineStr"/>
      <c r="L787" t="inlineStr"/>
      <c r="M787" t="inlineStr"/>
      <c r="N787" t="inlineStr"/>
      <c r="O787">
        <f>(1-Summary!$B$11)*S787+Summary!$B$11*U787</f>
        <v/>
      </c>
      <c r="P787">
        <f>IF(B818=0,0,O787/B818)</f>
        <v/>
      </c>
      <c r="Q787">
        <f>IFERROR(1/(IF(Inputs!$B$39="pvp",15,MAX(0.1,Skills!D11-IF(Skills!E11=TRUE,Inputs!$B$33,0)))*(1-IF(AND(ArtifactsInput!$M$27,Inputs!$B$4="Chapter Hunt"),CHOOSE(ArtifactsInput!$N$27+1,20,24,28,32,36,40),0)/100)),0)</f>
        <v/>
      </c>
      <c r="R787">
        <f>IF(AND(Inputs!$B$39&lt;&gt;"pvp",Inputs!$B$44&gt;0),IF(Inputs!$B$44&lt;=0,0,(INT(Inputs!$B$44/(IF(Inputs!$B$39="pvp",15,MAX(0.1,Skills!D11-IF(Skills!E11=TRUE,Inputs!$B$33,0)))*(1-IF(AND(ArtifactsInput!$M$27,Inputs!$B$4="Chapter Hunt"),CHOOSE(ArtifactsInput!$N$27+1,20,24,28,32,36,40),0)/100)))+1)),0)</f>
        <v/>
      </c>
      <c r="S787" t="n">
        <v>0</v>
      </c>
      <c r="U787" t="n">
        <v>0</v>
      </c>
    </row>
    <row r="788">
      <c r="A788">
        <f>Skills!A12</f>
        <v/>
      </c>
      <c r="B788">
        <f>Skills!B12</f>
        <v/>
      </c>
      <c r="C788">
        <f>Inputs!$B$3&gt;=72</f>
        <v/>
      </c>
      <c r="D788">
        <f>IF(Skills!C12=1,60+Inputs!$B$26+Inputs!$B$30,IF(Skills!C12=2,90+Inputs!$B$27+Inputs!$B$30,IF(Skills!C12=3,120+Inputs!$B$28+Inputs!$B$30,MAX(0,(Inputs!$B$3-100)*3)+Inputs!$B$29+Inputs!$B$30)))</f>
        <v/>
      </c>
      <c r="E788">
        <f>INDEX(FactorTable!$B$2:$Y$301, MATCH(ROUND(MIN(300,MAX(1,D788)),0), FactorTable!$A$2:$A$301,0), Skills!L12+1)</f>
        <v/>
      </c>
      <c r="F788">
        <f>IF(Skills!M12=TRUE,(Skills!K12/10)*(E788/1000),Skills!K12/10)+Skills!N12</f>
        <v/>
      </c>
      <c r="G788">
        <f>Calc!G12</f>
        <v/>
      </c>
      <c r="H788">
        <f>Calc!H12</f>
        <v/>
      </c>
      <c r="I788">
        <f>IF(Skills!T12&lt;&gt;"",1+(Skills!T12/10)*($Z$3/1000)/100,1)</f>
        <v/>
      </c>
      <c r="J788" t="inlineStr"/>
      <c r="K788" t="inlineStr"/>
      <c r="L788" t="inlineStr"/>
      <c r="M788" t="inlineStr"/>
      <c r="N788" t="inlineStr"/>
      <c r="O788">
        <f>(1-Summary!$B$11)*S788+Summary!$B$11*U788</f>
        <v/>
      </c>
      <c r="P788">
        <f>IF(B818=0,0,O788/B818)</f>
        <v/>
      </c>
      <c r="Q788">
        <f>IFERROR(1/(IF(Inputs!$B$39="pvp",15,MAX(0.1,Skills!D12-IF(Skills!E12=TRUE,Inputs!$B$33,0)))*(1-IF(AND(ArtifactsInput!$M$27,Inputs!$B$4="Chapter Hunt"),CHOOSE(ArtifactsInput!$N$27+1,20,24,28,32,36,40),0)/100)),0)</f>
        <v/>
      </c>
      <c r="R788">
        <f>IF(AND(Inputs!$B$39&lt;&gt;"pvp",Inputs!$B$44&gt;0),IF(MAX(0,Inputs!$B$44-B815)&lt;=0,0,(INT(MAX(0,Inputs!$B$44-B815)/(IF(Inputs!$B$39="pvp",15,MAX(0.1,Skills!D12-IF(Skills!E12=TRUE,Inputs!$B$33,0)))*(1-IF(AND(ArtifactsInput!$M$27,Inputs!$B$4="Chapter Hunt"),CHOOSE(ArtifactsInput!$N$27+1,20,24,28,32,36,40),0)/100)))+1)),0)</f>
        <v/>
      </c>
      <c r="S788" t="n">
        <v>0</v>
      </c>
      <c r="U788" t="n">
        <v>0</v>
      </c>
    </row>
    <row r="789">
      <c r="A789">
        <f>Skills!A13</f>
        <v/>
      </c>
      <c r="B789">
        <f>Skills!B13</f>
        <v/>
      </c>
      <c r="C789">
        <f>Inputs!$B$3&gt;=60</f>
        <v/>
      </c>
      <c r="D789">
        <f>IF(Skills!C13=1,60+Inputs!$B$26+Inputs!$B$30,IF(Skills!C13=2,90+Inputs!$B$27+Inputs!$B$30,IF(Skills!C13=3,120+Inputs!$B$28+Inputs!$B$30,MAX(0,(Inputs!$B$3-100)*3)+Inputs!$B$29+Inputs!$B$30)))</f>
        <v/>
      </c>
      <c r="E789">
        <f>INDEX(FactorTable!$B$2:$Y$301, MATCH(ROUND(MIN(300,MAX(1,D789)),0), FactorTable!$A$2:$A$301,0), Skills!L13+1)</f>
        <v/>
      </c>
      <c r="F789">
        <f>IF(Skills!M13=TRUE,(Skills!K13/10)*(E789/1000),Skills!K13/10)+Skills!N13</f>
        <v/>
      </c>
      <c r="G789">
        <f>Calc!G13</f>
        <v/>
      </c>
      <c r="H789">
        <f>Calc!H13</f>
        <v/>
      </c>
      <c r="I789">
        <f>IF(Skills!T13&lt;&gt;"",1+(Skills!T13/10)*($Z$3/1000)/100,1)</f>
        <v/>
      </c>
      <c r="J789" t="inlineStr"/>
      <c r="K789" t="inlineStr"/>
      <c r="L789" t="inlineStr"/>
      <c r="M789" t="inlineStr"/>
      <c r="N789" t="inlineStr"/>
      <c r="O789">
        <f>(1-Summary!$B$11)*S789+Summary!$B$11*U789</f>
        <v/>
      </c>
      <c r="P789">
        <f>IF(B818=0,0,O789/B818)</f>
        <v/>
      </c>
      <c r="Q789">
        <f>IFERROR(1/(IF(Inputs!$B$39="pvp",15,MAX(0.1,Skills!D13-IF(Skills!E13=TRUE,Inputs!$B$33,0)))*(1-IF(AND(ArtifactsInput!$M$27,Inputs!$B$4="Chapter Hunt"),CHOOSE(ArtifactsInput!$N$27+1,20,24,28,32,36,40),0)/100)),0)</f>
        <v/>
      </c>
      <c r="R789">
        <f>IF(AND(Inputs!$B$39&lt;&gt;"pvp",Inputs!$B$44&gt;0),IF(MAX(0,Inputs!$B$44-B815)&lt;=0,0,(INT(MAX(0,Inputs!$B$44-B815)/(IF(Inputs!$B$39="pvp",15,MAX(0.1,Skills!D13-IF(Skills!E13=TRUE,Inputs!$B$33,0)))*(1-IF(AND(ArtifactsInput!$M$27,Inputs!$B$4="Chapter Hunt"),CHOOSE(ArtifactsInput!$N$27+1,20,24,28,32,36,40),0)/100)))+1)),0)</f>
        <v/>
      </c>
      <c r="S789" t="n">
        <v>0</v>
      </c>
      <c r="U789" t="n">
        <v>0</v>
      </c>
    </row>
    <row r="790">
      <c r="A790">
        <f>Skills!A14</f>
        <v/>
      </c>
      <c r="B790">
        <f>Skills!B14</f>
        <v/>
      </c>
      <c r="C790">
        <f>Inputs!$B$3&gt;=107</f>
        <v/>
      </c>
      <c r="D790">
        <f>IF(Skills!C14=1,60+Inputs!$B$26+Inputs!$B$30,IF(Skills!C14=2,90+Inputs!$B$27+Inputs!$B$30,IF(Skills!C14=3,120+Inputs!$B$28+Inputs!$B$30,MAX(0,(Inputs!$B$3-100)*3)+Inputs!$B$29+Inputs!$B$30)))</f>
        <v/>
      </c>
      <c r="E790">
        <f>INDEX(FactorTable!$B$2:$Y$301, MATCH(ROUND(MIN(300,MAX(1,D790)),0), FactorTable!$A$2:$A$301,0), Skills!L14+1)</f>
        <v/>
      </c>
      <c r="F790">
        <f>IF(Skills!M14=TRUE,(Skills!K14/10)*(E790/1000),Skills!K14/10)+Skills!N14</f>
        <v/>
      </c>
      <c r="G790">
        <f>Calc!G14</f>
        <v/>
      </c>
      <c r="H790">
        <f>Calc!H14</f>
        <v/>
      </c>
      <c r="I790">
        <f>IF(Skills!T14&lt;&gt;"",1+(Skills!T14/10)*($Z$3/1000)/100,1)</f>
        <v/>
      </c>
      <c r="J790" t="inlineStr"/>
      <c r="K790" t="inlineStr"/>
      <c r="L790" t="inlineStr"/>
      <c r="M790" t="inlineStr"/>
      <c r="N790" t="inlineStr"/>
      <c r="O790">
        <f>(1-Summary!$B$11)*S790+Summary!$B$11*U790</f>
        <v/>
      </c>
      <c r="P790">
        <f>IF(B818=0,0,O790/B818)</f>
        <v/>
      </c>
      <c r="Q790">
        <f>IFERROR(1/(IF(Inputs!$B$39="pvp",15,MAX(0.1,Skills!D14-IF(Skills!E14=TRUE,Inputs!$B$33,0)))*(1-IF(AND(ArtifactsInput!$M$27,Inputs!$B$4="Chapter Hunt"),CHOOSE(ArtifactsInput!$N$27+1,20,24,28,32,36,40),0)/100)),0)</f>
        <v/>
      </c>
      <c r="R790">
        <f>IF(AND(Inputs!$B$39&lt;&gt;"pvp",Inputs!$B$44&gt;0),IF(Inputs!$B$44&lt;=0,0,(INT(Inputs!$B$44/(IF(Inputs!$B$39="pvp",15,MAX(0.1,Skills!D14-IF(Skills!E14=TRUE,Inputs!$B$33,0)))*(1-IF(AND(ArtifactsInput!$M$27,Inputs!$B$4="Chapter Hunt"),CHOOSE(ArtifactsInput!$N$27+1,20,24,28,32,36,40),0)/100)))+1)),0)</f>
        <v/>
      </c>
      <c r="S790" t="n">
        <v>0</v>
      </c>
      <c r="U790" t="n">
        <v>0</v>
      </c>
    </row>
    <row r="791">
      <c r="A791">
        <f>Skills!A15</f>
        <v/>
      </c>
      <c r="B791">
        <f>Skills!B15</f>
        <v/>
      </c>
      <c r="C791">
        <f>Inputs!$B$3&gt;=63</f>
        <v/>
      </c>
      <c r="D791">
        <f>IF(Skills!C15=1,60+Inputs!$B$26+Inputs!$B$30,IF(Skills!C15=2,90+Inputs!$B$27+Inputs!$B$30,IF(Skills!C15=3,120+Inputs!$B$28+Inputs!$B$30,MAX(0,(Inputs!$B$3-100)*3)+Inputs!$B$29+Inputs!$B$30)))</f>
        <v/>
      </c>
      <c r="E791">
        <f>INDEX(FactorTable!$B$2:$Y$301, MATCH(ROUND(MIN(300,MAX(1,D791)),0), FactorTable!$A$2:$A$301,0), Skills!L15+1)</f>
        <v/>
      </c>
      <c r="F791">
        <f>IF(Skills!M15=TRUE,(Skills!K15/10)*(E791/1000),Skills!K15/10)+Skills!N15</f>
        <v/>
      </c>
      <c r="G791">
        <f>Calc!G15</f>
        <v/>
      </c>
      <c r="H791">
        <f>Calc!H15</f>
        <v/>
      </c>
      <c r="I791">
        <f>IF(Skills!T15&lt;&gt;"",1+(Skills!T15/10)*($Z$3/1000)/100,1)</f>
        <v/>
      </c>
      <c r="J791">
        <f>((Inputs!$B$6*(1+Inputs!$B$7/100))+(((Inputs!$B$13*(1+Inputs!$B$14/100))-(Inputs!$B$13*(1+Inputs!$B$14/100)))+0.25*(Inputs!$B$15-Inputs!$B$15))*(1+Inputs!$B$7/100))*(F791/100)</f>
        <v/>
      </c>
      <c r="K791">
        <f>J791*(1+(((Inputs!$B$13+IF(Inputs!$B$3&gt;=35,(10*INDEX(FactorTable!$B$2:$Y$301,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15="TRIUMPH_FEATHER",IF(C792=TRUE,F792,0),0)/100)*(1+IF(C803=TRUE,F803,0)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791)</f>
        <v/>
      </c>
      <c r="L791">
        <f>K791*(MIN(Inputs!$B$23+(F798-Calc!F22),(Inputs!$B$24+IF(ArtifactsInput!$M$15,CHOOSE(ArtifactsInput!$N$15+1,25,30,35,40,45,50)/100*(Inputs!$B$12-Inputs!$B$12),0)))/100+(Inputs!$B$24+IF(ArtifactsInput!$M$15,CHOOSE(ArtifactsInput!$N$15+1,25,30,35,40,45,50)/100*(Inputs!$B$12-Inputs!$B$12),0))/100)/2</f>
        <v/>
      </c>
      <c r="M791">
        <f>L791*(1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1">
        <f>L791*(1-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1">
        <f>(1-Summary!$B$11)*S791+Summary!$B$11*U791</f>
        <v/>
      </c>
      <c r="P791">
        <f>IF(B818=0,0,O791/B818)</f>
        <v/>
      </c>
      <c r="Q791">
        <f>IFERROR(1/(IF(Inputs!$B$39="pvp",15,MAX(0.1,Skills!D15-IF(Skills!E15=TRUE,Inputs!$B$33,0)))*(1-IF(AND(ArtifactsInput!$M$27,Inputs!$B$4="Chapter Hunt"),CHOOSE(ArtifactsInput!$N$27+1,20,24,28,32,36,40),0)/100)),0)</f>
        <v/>
      </c>
      <c r="R791" t="n">
        <v>0</v>
      </c>
      <c r="S791">
        <f>IF(C791,(Skills!F15*N791*((IF(Inputs!$B$3&gt;=78,25,15)/100*B811*10)/(1+IF(Inputs!$B$3&gt;=78,25,15)/100*B811*10))*(Skills!I15/100*B811)/(1+Skills!G15*Skills!I15/100*B811))*IF(Inputs!$B$39="pvp",1,1+(Inputs!$B$21+Skills!O15+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1">
        <f>IF(C791,(Skills!F15*N791*((IF(Inputs!$B$3&gt;=78,25,15)/100*B811*10)/(1+IF(Inputs!$B$3&gt;=78,25,15)/100*B811*10))*(Skills!I15/100*B811)/(1+Skills!G15*Skills!I15/100*B811))*IF(Inputs!$B$39="pvp",1,(1+(Inputs!$B$22+Skills!P15+B807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2">
      <c r="A792">
        <f>Skills!A16</f>
        <v/>
      </c>
      <c r="B792">
        <f>Skills!B16</f>
        <v/>
      </c>
      <c r="C792">
        <f>Inputs!$B$3&gt;=100</f>
        <v/>
      </c>
      <c r="D792">
        <f>IF(Skills!C16=1,60+Inputs!$B$26+Inputs!$B$30,IF(Skills!C16=2,90+Inputs!$B$27+Inputs!$B$30,IF(Skills!C16=3,120+Inputs!$B$28+Inputs!$B$30,MAX(0,(Inputs!$B$3-100)*3)+Inputs!$B$29+Inputs!$B$30)))</f>
        <v/>
      </c>
      <c r="E792">
        <f>INDEX(FactorTable!$B$2:$Y$301, MATCH(ROUND(MIN(300,MAX(1,D792)),0), FactorTable!$A$2:$A$301,0), Skills!L16+1)</f>
        <v/>
      </c>
      <c r="F792">
        <f>IF(Skills!M16=TRUE,(Skills!K16/10)*(E792/1000),Skills!K16/10)+Skills!N16</f>
        <v/>
      </c>
      <c r="G792">
        <f>Calc!G16</f>
        <v/>
      </c>
      <c r="H792">
        <f>Calc!H16</f>
        <v/>
      </c>
      <c r="I792">
        <f>IF(Skills!T16&lt;&gt;"",1+(Skills!T16/10)*($Z$3/1000)/100,1)</f>
        <v/>
      </c>
      <c r="J792" t="inlineStr"/>
      <c r="K792" t="inlineStr"/>
      <c r="L792" t="inlineStr"/>
      <c r="M792" t="inlineStr"/>
      <c r="N792" t="inlineStr"/>
      <c r="O792">
        <f>(1-Summary!$B$11)*S792+Summary!$B$11*U792</f>
        <v/>
      </c>
      <c r="P792">
        <f>IF(B818=0,0,O792/B818)</f>
        <v/>
      </c>
      <c r="Q792">
        <f>IFERROR(1/(IF(Inputs!$B$39="pvp",15,MAX(0.1,Skills!D16-IF(Skills!E16=TRUE,Inputs!$B$33,0)))*(1-IF(AND(ArtifactsInput!$M$27,Inputs!$B$4="Chapter Hunt"),CHOOSE(ArtifactsInput!$N$27+1,20,24,28,32,36,40),0)/100)),0)</f>
        <v/>
      </c>
      <c r="R792" t="n">
        <v>0</v>
      </c>
      <c r="S792" t="n">
        <v>0</v>
      </c>
      <c r="U792" t="n">
        <v>0</v>
      </c>
    </row>
    <row r="793">
      <c r="A793">
        <f>Skills!A17</f>
        <v/>
      </c>
      <c r="B793">
        <f>Skills!B17</f>
        <v/>
      </c>
      <c r="C793">
        <f>Inputs!$B$3&gt;=49</f>
        <v/>
      </c>
      <c r="D793">
        <f>IF(Skills!C17=1,60+Inputs!$B$26+Inputs!$B$30,IF(Skills!C17=2,90+Inputs!$B$27+Inputs!$B$30,IF(Skills!C17=3,120+Inputs!$B$28+Inputs!$B$30,MAX(0,(Inputs!$B$3-100)*3)+Inputs!$B$29+Inputs!$B$30)))</f>
        <v/>
      </c>
      <c r="E793">
        <f>INDEX(FactorTable!$B$2:$Y$301, MATCH(ROUND(MIN(300,MAX(1,D793)),0), FactorTable!$A$2:$A$301,0), Skills!L17+1)</f>
        <v/>
      </c>
      <c r="F793">
        <f>IF(Skills!M17=TRUE,(Skills!K17/10)*(E793/1000),Skills!K17/10)+Skills!N17</f>
        <v/>
      </c>
      <c r="G793">
        <f>Calc!G17</f>
        <v/>
      </c>
      <c r="H793">
        <f>Calc!H17</f>
        <v/>
      </c>
      <c r="I793">
        <f>IF(Skills!T17&lt;&gt;"",1+(Skills!T17/10)*($Z$3/1000)/100,1)</f>
        <v/>
      </c>
      <c r="J793" t="inlineStr"/>
      <c r="K793" t="inlineStr"/>
      <c r="L793" t="inlineStr"/>
      <c r="M793" t="inlineStr"/>
      <c r="N793" t="inlineStr"/>
      <c r="O793">
        <f>(1-Summary!$B$11)*S793+Summary!$B$11*U793</f>
        <v/>
      </c>
      <c r="P793">
        <f>IF(B818=0,0,O793/B818)</f>
        <v/>
      </c>
      <c r="Q793">
        <f>IFERROR(1/(IF(Inputs!$B$39="pvp",15,MAX(0.1,Skills!D17-IF(Skills!E17=TRUE,Inputs!$B$33,0)))*(1-IF(AND(ArtifactsInput!$M$27,Inputs!$B$4="Chapter Hunt"),CHOOSE(ArtifactsInput!$N$27+1,20,24,28,32,36,40),0)/100)),0)</f>
        <v/>
      </c>
      <c r="R793" t="n">
        <v>0</v>
      </c>
      <c r="S793" t="n">
        <v>0</v>
      </c>
      <c r="U793" t="n">
        <v>0</v>
      </c>
    </row>
    <row r="794">
      <c r="A794">
        <f>Skills!A18</f>
        <v/>
      </c>
      <c r="B794">
        <f>Skills!B18</f>
        <v/>
      </c>
      <c r="C794">
        <f>Inputs!$B$3&gt;=75</f>
        <v/>
      </c>
      <c r="D794">
        <f>IF(Skills!C18=1,60+Inputs!$B$26+Inputs!$B$30,IF(Skills!C18=2,90+Inputs!$B$27+Inputs!$B$30,IF(Skills!C18=3,120+Inputs!$B$28+Inputs!$B$30,MAX(0,(Inputs!$B$3-100)*3)+Inputs!$B$29+Inputs!$B$30)))</f>
        <v/>
      </c>
      <c r="E794">
        <f>INDEX(FactorTable!$B$2:$Y$301, MATCH(ROUND(MIN(300,MAX(1,D794)),0), FactorTable!$A$2:$A$301,0), Skills!L18+1)</f>
        <v/>
      </c>
      <c r="F794">
        <f>IF(Skills!M18=TRUE,(Skills!K18/10)*(E794/1000),Skills!K18/10)+Skills!N18</f>
        <v/>
      </c>
      <c r="G794">
        <f>Calc!G18</f>
        <v/>
      </c>
      <c r="H794">
        <f>Calc!H18</f>
        <v/>
      </c>
      <c r="I794">
        <f>IF(Skills!T18&lt;&gt;"",1+(Skills!T18/10)*($Z$3/1000)/100,1)</f>
        <v/>
      </c>
      <c r="J794" t="inlineStr"/>
      <c r="K794" t="inlineStr"/>
      <c r="L794" t="inlineStr"/>
      <c r="M794" t="inlineStr"/>
      <c r="N794" t="inlineStr"/>
      <c r="O794">
        <f>(1-Summary!$B$11)*S794+Summary!$B$11*U794</f>
        <v/>
      </c>
      <c r="P794">
        <f>IF(B818=0,0,O794/B818)</f>
        <v/>
      </c>
      <c r="Q794">
        <f>IFERROR(1/(IF(Inputs!$B$39="pvp",15,MAX(0.1,Skills!D18-IF(Skills!E18=TRUE,Inputs!$B$33,0)))*(1-IF(AND(ArtifactsInput!$M$27,Inputs!$B$4="Chapter Hunt"),CHOOSE(ArtifactsInput!$N$27+1,20,24,28,32,36,40),0)/100)),0)</f>
        <v/>
      </c>
      <c r="R794" t="n">
        <v>0</v>
      </c>
      <c r="S794" t="n">
        <v>0</v>
      </c>
      <c r="U794" t="n">
        <v>0</v>
      </c>
    </row>
    <row r="795">
      <c r="A795">
        <f>Skills!A19</f>
        <v/>
      </c>
      <c r="B795">
        <f>Skills!B19</f>
        <v/>
      </c>
      <c r="C795">
        <f>Inputs!$B$3&gt;=110</f>
        <v/>
      </c>
      <c r="D795">
        <f>IF(Skills!C19=1,60+Inputs!$B$26+Inputs!$B$30,IF(Skills!C19=2,90+Inputs!$B$27+Inputs!$B$30,IF(Skills!C19=3,120+Inputs!$B$28+Inputs!$B$30,MAX(0,(Inputs!$B$3-100)*3)+Inputs!$B$29+Inputs!$B$30)))</f>
        <v/>
      </c>
      <c r="E795">
        <f>INDEX(FactorTable!$B$2:$Y$301, MATCH(ROUND(MIN(300,MAX(1,D795)),0), FactorTable!$A$2:$A$301,0), Skills!L19+1)</f>
        <v/>
      </c>
      <c r="F795">
        <f>(Skills!K19/10)*(E795/1000)*64/45+Skills!N19</f>
        <v/>
      </c>
      <c r="G795">
        <f>Calc!G19</f>
        <v/>
      </c>
      <c r="H795">
        <f>Calc!H19</f>
        <v/>
      </c>
      <c r="I795">
        <f>IF(Skills!T19&lt;&gt;"",1+(Skills!T19/10)*($Z$3/1000)/100,1)</f>
        <v/>
      </c>
      <c r="J795" t="inlineStr"/>
      <c r="K795" t="inlineStr"/>
      <c r="L795" t="inlineStr"/>
      <c r="M795" t="inlineStr"/>
      <c r="N795" t="inlineStr"/>
      <c r="O795">
        <f>(1-Summary!$B$11)*S795+Summary!$B$11*U795</f>
        <v/>
      </c>
      <c r="P795">
        <f>IF(B818=0,0,O795/B818)</f>
        <v/>
      </c>
      <c r="Q795">
        <f>IFERROR(1/(IF(Inputs!$B$39="pvp",15,MAX(0.1,Skills!D19-IF(Skills!E19=TRUE,Inputs!$B$33,0)))*(1-IF(AND(ArtifactsInput!$M$27,Inputs!$B$4="Chapter Hunt"),CHOOSE(ArtifactsInput!$N$27+1,20,24,28,32,36,40),0)/100)),0)</f>
        <v/>
      </c>
      <c r="R795">
        <f>IF(AND(Inputs!$B$39&lt;&gt;"pvp",Inputs!$B$44&gt;0),IF(Inputs!$B$44&lt;=0,0,(INT(Inputs!$B$44/(IF(Inputs!$B$39="pvp",15,MAX(0.1,Skills!D19-IF(Skills!E19=TRUE,Inputs!$B$33,0)))*(1-IF(AND(ArtifactsInput!$M$27,Inputs!$B$4="Chapter Hunt"),CHOOSE(ArtifactsInput!$N$27+1,20,24,28,32,36,40),0)/100)))+1)),0)</f>
        <v/>
      </c>
      <c r="S795" t="n">
        <v>0</v>
      </c>
      <c r="U795" t="n">
        <v>0</v>
      </c>
    </row>
    <row r="796">
      <c r="A796">
        <f>Skills!A20</f>
        <v/>
      </c>
      <c r="B796">
        <f>Skills!B20</f>
        <v/>
      </c>
      <c r="C796">
        <f>Inputs!$B$3&gt;=125</f>
        <v/>
      </c>
      <c r="D796">
        <f>IF(Skills!C20=1,60+Inputs!$B$26+Inputs!$B$30,IF(Skills!C20=2,90+Inputs!$B$27+Inputs!$B$30,IF(Skills!C20=3,120+Inputs!$B$28+Inputs!$B$30,MAX(0,(Inputs!$B$3-100)*3)+Inputs!$B$29+Inputs!$B$30)))</f>
        <v/>
      </c>
      <c r="E796">
        <f>INDEX(FactorTable!$B$2:$Y$301, MATCH(ROUND(MIN(300,MAX(1,D796)),0), FactorTable!$A$2:$A$301,0), Skills!L20+1)</f>
        <v/>
      </c>
      <c r="F796">
        <f>IF(Skills!M20=TRUE,(Skills!K20/10)*(E796/1000),Skills!K20/10)+Skills!N20</f>
        <v/>
      </c>
      <c r="G796">
        <f>Calc!G20</f>
        <v/>
      </c>
      <c r="H796">
        <f>Calc!H20</f>
        <v/>
      </c>
      <c r="I796">
        <f>IF(Skills!T20&lt;&gt;"",1+(Skills!T20/10)*($Z$3/1000)/100,1)</f>
        <v/>
      </c>
      <c r="J796" t="inlineStr"/>
      <c r="K796" t="inlineStr"/>
      <c r="L796" t="inlineStr"/>
      <c r="M796" t="inlineStr"/>
      <c r="N796" t="inlineStr"/>
      <c r="O796">
        <f>(1-Summary!$B$11)*S796+Summary!$B$11*U796</f>
        <v/>
      </c>
      <c r="P796">
        <f>IF(B818=0,0,O796/B818)</f>
        <v/>
      </c>
      <c r="Q796">
        <f>IFERROR(1/(IF(Inputs!$B$39="pvp",15,MAX(0.1,Skills!D20-IF(Skills!E20=TRUE,Inputs!$B$33,0)))*(1-IF(AND(ArtifactsInput!$M$27,Inputs!$B$4="Chapter Hunt"),CHOOSE(ArtifactsInput!$N$27+1,20,24,28,32,36,40),0)/100)),0)</f>
        <v/>
      </c>
      <c r="R796" t="n">
        <v>0</v>
      </c>
      <c r="S796" t="n">
        <v>0</v>
      </c>
      <c r="U796" t="n">
        <v>0</v>
      </c>
    </row>
    <row r="797">
      <c r="A797">
        <f>Skills!A21</f>
        <v/>
      </c>
      <c r="B797">
        <f>Skills!B21</f>
        <v/>
      </c>
      <c r="C797">
        <f>Inputs!$B$3&gt;=33</f>
        <v/>
      </c>
      <c r="D797">
        <f>IF(Skills!C21=1,60+Inputs!$B$26+Inputs!$B$30,IF(Skills!C21=2,90+Inputs!$B$27+Inputs!$B$30,IF(Skills!C21=3,120+Inputs!$B$28+Inputs!$B$30,MAX(0,(Inputs!$B$3-100)*3)+Inputs!$B$29+Inputs!$B$30)))</f>
        <v/>
      </c>
      <c r="E797">
        <f>INDEX(FactorTable!$B$2:$Y$301, MATCH(ROUND(MIN(300,MAX(1,D797)),0), FactorTable!$A$2:$A$301,0), Skills!L21+1)</f>
        <v/>
      </c>
      <c r="F797">
        <f>IF(Skills!M21=TRUE,(Skills!K21/10)*(E797/1000),Skills!K21/10)+Skills!N21</f>
        <v/>
      </c>
      <c r="G797">
        <f>Calc!G21</f>
        <v/>
      </c>
      <c r="H797">
        <f>Calc!H21</f>
        <v/>
      </c>
      <c r="I797">
        <f>IF(Skills!T21&lt;&gt;"",1+(Skills!T21/10)*($Z$3/1000)/100,1)</f>
        <v/>
      </c>
      <c r="J797" t="inlineStr"/>
      <c r="K797" t="inlineStr"/>
      <c r="L797" t="inlineStr"/>
      <c r="M797" t="inlineStr"/>
      <c r="N797" t="inlineStr"/>
      <c r="O797">
        <f>(1-Summary!$B$11)*S797+Summary!$B$11*U797</f>
        <v/>
      </c>
      <c r="P797">
        <f>IF(B818=0,0,O797/B818)</f>
        <v/>
      </c>
      <c r="Q797">
        <f>IFERROR(1/(IF(Inputs!$B$39="pvp",15,MAX(0.1,Skills!D21-IF(Skills!E21=TRUE,Inputs!$B$33,0)))*(1-IF(AND(ArtifactsInput!$M$27,Inputs!$B$4="Chapter Hunt"),CHOOSE(ArtifactsInput!$N$27+1,20,24,28,32,36,40),0)/100)),0)</f>
        <v/>
      </c>
      <c r="R797" t="n">
        <v>0</v>
      </c>
      <c r="S797" t="n">
        <v>0</v>
      </c>
      <c r="U797" t="n">
        <v>0</v>
      </c>
    </row>
    <row r="798">
      <c r="A798">
        <f>Skills!A22</f>
        <v/>
      </c>
      <c r="B798">
        <f>Skills!B22</f>
        <v/>
      </c>
      <c r="C798">
        <f>Inputs!$B$3&gt;=43</f>
        <v/>
      </c>
      <c r="D798">
        <f>IF(Skills!C22=1,60+Inputs!$B$26+Inputs!$B$30,IF(Skills!C22=2,90+Inputs!$B$27+Inputs!$B$30,IF(Skills!C22=3,120+Inputs!$B$28+Inputs!$B$30,MAX(0,(Inputs!$B$3-100)*3)+Inputs!$B$29+Inputs!$B$30)))</f>
        <v/>
      </c>
      <c r="E798">
        <f>INDEX(FactorTable!$B$2:$Y$301, MATCH(ROUND(MIN(300,MAX(1,D798)),0), FactorTable!$A$2:$A$301,0), Skills!L22+1)</f>
        <v/>
      </c>
      <c r="F798">
        <f>IF(Skills!M22=TRUE,(Skills!K22/10)*(E798/1000),Skills!K22/10)+Skills!N22</f>
        <v/>
      </c>
      <c r="G798">
        <f>Calc!G22</f>
        <v/>
      </c>
      <c r="H798">
        <f>Calc!H22</f>
        <v/>
      </c>
      <c r="I798">
        <f>IF(Skills!T22&lt;&gt;"",1+(Skills!T22/10)*($Z$3/1000)/100,1)</f>
        <v/>
      </c>
      <c r="J798" t="inlineStr"/>
      <c r="K798" t="inlineStr"/>
      <c r="L798" t="inlineStr"/>
      <c r="M798" t="inlineStr"/>
      <c r="N798" t="inlineStr"/>
      <c r="O798">
        <f>(1-Summary!$B$11)*S798+Summary!$B$11*U798</f>
        <v/>
      </c>
      <c r="P798">
        <f>IF(B818=0,0,O798/B818)</f>
        <v/>
      </c>
      <c r="Q798">
        <f>IFERROR(1/(IF(Inputs!$B$39="pvp",15,MAX(0.1,Skills!D22-IF(Skills!E22=TRUE,Inputs!$B$33,0)))*(1-IF(AND(ArtifactsInput!$M$27,Inputs!$B$4="Chapter Hunt"),CHOOSE(ArtifactsInput!$N$27+1,20,24,28,32,36,40),0)/100)),0)</f>
        <v/>
      </c>
      <c r="R798" t="n">
        <v>0</v>
      </c>
      <c r="S798" t="n">
        <v>0</v>
      </c>
      <c r="U798" t="n">
        <v>0</v>
      </c>
    </row>
    <row r="799">
      <c r="A799">
        <f>Skills!A23</f>
        <v/>
      </c>
      <c r="B799">
        <f>Skills!B23</f>
        <v/>
      </c>
      <c r="C799">
        <f>Inputs!$B$3&gt;=50</f>
        <v/>
      </c>
      <c r="D799">
        <f>IF(Skills!C23=1,60+Inputs!$B$26+Inputs!$B$30,IF(Skills!C23=2,90+Inputs!$B$27+Inputs!$B$30,IF(Skills!C23=3,120+Inputs!$B$28+Inputs!$B$30,MAX(0,(Inputs!$B$3-100)*3)+Inputs!$B$29+Inputs!$B$30)))</f>
        <v/>
      </c>
      <c r="E799">
        <f>INDEX(FactorTable!$B$2:$Y$301, MATCH(ROUND(MIN(300,MAX(1,D799)),0), FactorTable!$A$2:$A$301,0), Skills!L23+1)</f>
        <v/>
      </c>
      <c r="F799">
        <f>IF(Skills!M23=TRUE,(Skills!K23/10)*(E799/1000),Skills!K23/10)+Skills!N23</f>
        <v/>
      </c>
      <c r="G799">
        <f>Calc!G23</f>
        <v/>
      </c>
      <c r="H799">
        <f>Calc!H23</f>
        <v/>
      </c>
      <c r="I799">
        <f>IF(Skills!T23&lt;&gt;"",1+(Skills!T23/10)*($Z$3/1000)/100,1)</f>
        <v/>
      </c>
      <c r="J799" t="inlineStr"/>
      <c r="K799" t="inlineStr"/>
      <c r="L799" t="inlineStr"/>
      <c r="M799" t="inlineStr"/>
      <c r="N799" t="inlineStr"/>
      <c r="O799">
        <f>(1-Summary!$B$11)*S799+Summary!$B$11*U799</f>
        <v/>
      </c>
      <c r="P799">
        <f>IF(B818=0,0,O799/B818)</f>
        <v/>
      </c>
      <c r="Q799">
        <f>IFERROR(1/(IF(Inputs!$B$39="pvp",15,MAX(0.1,Skills!D23-IF(Skills!E23=TRUE,Inputs!$B$33,0)))*(1-IF(AND(ArtifactsInput!$M$27,Inputs!$B$4="Chapter Hunt"),CHOOSE(ArtifactsInput!$N$27+1,20,24,28,32,36,40),0)/100)),0)</f>
        <v/>
      </c>
      <c r="R799" t="n">
        <v>0</v>
      </c>
      <c r="S799" t="n">
        <v>0</v>
      </c>
      <c r="U799" t="n">
        <v>0</v>
      </c>
    </row>
    <row r="800">
      <c r="A800">
        <f>Skills!A24</f>
        <v/>
      </c>
      <c r="B800">
        <f>Skills!B24</f>
        <v/>
      </c>
      <c r="C800">
        <f>Inputs!$B$3&gt;=74</f>
        <v/>
      </c>
      <c r="D800">
        <f>IF(Skills!C24=1,60+Inputs!$B$26+Inputs!$B$30,IF(Skills!C24=2,90+Inputs!$B$27+Inputs!$B$30,IF(Skills!C24=3,120+Inputs!$B$28+Inputs!$B$30,MAX(0,(Inputs!$B$3-100)*3)+Inputs!$B$29+Inputs!$B$30)))</f>
        <v/>
      </c>
      <c r="E800">
        <f>INDEX(FactorTable!$B$2:$Y$301, MATCH(ROUND(MIN(300,MAX(1,D800)),0), FactorTable!$A$2:$A$301,0), Skills!L24+1)</f>
        <v/>
      </c>
      <c r="F800">
        <f>IF(Skills!M24=TRUE,(Skills!K24/10)*(E800/1000),Skills!K24/10)+Skills!N24</f>
        <v/>
      </c>
      <c r="G800">
        <f>Calc!G24</f>
        <v/>
      </c>
      <c r="H800">
        <f>Calc!H24</f>
        <v/>
      </c>
      <c r="I800">
        <f>IF(Skills!T24&lt;&gt;"",1+(Skills!T24/10)*($Z$3/1000)/100,1)</f>
        <v/>
      </c>
      <c r="J800" t="inlineStr"/>
      <c r="K800" t="inlineStr"/>
      <c r="L800" t="inlineStr"/>
      <c r="M800" t="inlineStr"/>
      <c r="N800" t="inlineStr"/>
      <c r="O800">
        <f>(1-Summary!$B$11)*S800+Summary!$B$11*U800</f>
        <v/>
      </c>
      <c r="P800">
        <f>IF(B818=0,0,O800/B818)</f>
        <v/>
      </c>
      <c r="Q800">
        <f>IFERROR(1/(IF(Inputs!$B$39="pvp",15,MAX(0.1,Skills!D24-IF(Skills!E24=TRUE,Inputs!$B$33,0)))*(1-IF(AND(ArtifactsInput!$M$27,Inputs!$B$4="Chapter Hunt"),CHOOSE(ArtifactsInput!$N$27+1,20,24,28,32,36,40),0)/100)),0)</f>
        <v/>
      </c>
      <c r="R800" t="n">
        <v>0</v>
      </c>
      <c r="S800" t="n">
        <v>0</v>
      </c>
      <c r="U800" t="n">
        <v>0</v>
      </c>
    </row>
    <row r="801">
      <c r="A801">
        <f>Skills!A25</f>
        <v/>
      </c>
      <c r="B801">
        <f>Skills!B25</f>
        <v/>
      </c>
      <c r="C801">
        <f>Inputs!$B$3&gt;=74</f>
        <v/>
      </c>
      <c r="D801">
        <f>IF(Skills!C25=1,60+Inputs!$B$26+Inputs!$B$30,IF(Skills!C25=2,90+Inputs!$B$27+Inputs!$B$30,IF(Skills!C25=3,120+Inputs!$B$28+Inputs!$B$30,MAX(0,(Inputs!$B$3-100)*3)+Inputs!$B$29+Inputs!$B$30)))</f>
        <v/>
      </c>
      <c r="E801">
        <f>INDEX(FactorTable!$B$2:$Y$301, MATCH(ROUND(MIN(300,MAX(1,D801)),0), FactorTable!$A$2:$A$301,0), Skills!L25+1)</f>
        <v/>
      </c>
      <c r="F801">
        <f>IF(Skills!M25=TRUE,(Skills!K25/10)*(E801/1000),Skills!K25/10)+Skills!N25</f>
        <v/>
      </c>
      <c r="G801">
        <f>Calc!G25</f>
        <v/>
      </c>
      <c r="H801">
        <f>Calc!H25</f>
        <v/>
      </c>
      <c r="I801">
        <f>IF(Skills!T25&lt;&gt;"",1+(Skills!T25/10)*($Z$3/1000)/100,1)</f>
        <v/>
      </c>
      <c r="J801" t="inlineStr"/>
      <c r="K801" t="inlineStr"/>
      <c r="L801" t="inlineStr"/>
      <c r="M801" t="inlineStr"/>
      <c r="N801" t="inlineStr"/>
      <c r="O801">
        <f>(1-Summary!$B$11)*S801+Summary!$B$11*U801</f>
        <v/>
      </c>
      <c r="P801">
        <f>IF(B818=0,0,O801/B818)</f>
        <v/>
      </c>
      <c r="Q801">
        <f>IFERROR(1/(IF(Inputs!$B$39="pvp",15,MAX(0.1,Skills!D25-IF(Skills!E25=TRUE,Inputs!$B$33,0)))*(1-IF(AND(ArtifactsInput!$M$27,Inputs!$B$4="Chapter Hunt"),CHOOSE(ArtifactsInput!$N$27+1,20,24,28,32,36,40),0)/100)),0)</f>
        <v/>
      </c>
      <c r="R801" t="n">
        <v>0</v>
      </c>
      <c r="S801" t="n">
        <v>0</v>
      </c>
      <c r="U801" t="n">
        <v>0</v>
      </c>
    </row>
    <row r="802">
      <c r="A802">
        <f>Skills!A26</f>
        <v/>
      </c>
      <c r="B802">
        <f>Skills!B26</f>
        <v/>
      </c>
      <c r="C802">
        <f>Inputs!$B$3&gt;=117</f>
        <v/>
      </c>
      <c r="D802">
        <f>IF(Skills!C26=1,60+Inputs!$B$26+Inputs!$B$30,IF(Skills!C26=2,90+Inputs!$B$27+Inputs!$B$30,IF(Skills!C26=3,120+Inputs!$B$28+Inputs!$B$30,MAX(0,(Inputs!$B$3-100)*3)+Inputs!$B$29+Inputs!$B$30)))</f>
        <v/>
      </c>
      <c r="E802">
        <f>INDEX(FactorTable!$B$2:$Y$301, MATCH(ROUND(MIN(300,MAX(1,D802)),0), FactorTable!$A$2:$A$301,0), Skills!L26+1)</f>
        <v/>
      </c>
      <c r="F802">
        <f>IF(Skills!M26=TRUE,(Skills!K26/10)*(E802/1000),Skills!K26/10)+Skills!N26</f>
        <v/>
      </c>
      <c r="G802">
        <f>Calc!G26</f>
        <v/>
      </c>
      <c r="H802">
        <f>Calc!H26</f>
        <v/>
      </c>
      <c r="I802">
        <f>IF(Skills!T26&lt;&gt;"",1+(Skills!T26/10)*($Z$3/1000)/100,1)</f>
        <v/>
      </c>
      <c r="J802" t="inlineStr"/>
      <c r="K802" t="inlineStr"/>
      <c r="L802" t="inlineStr"/>
      <c r="M802" t="inlineStr"/>
      <c r="N802" t="inlineStr"/>
      <c r="O802">
        <f>(1-Summary!$B$11)*S802+Summary!$B$11*U802</f>
        <v/>
      </c>
      <c r="P802">
        <f>IF(B818=0,0,O802/B818)</f>
        <v/>
      </c>
      <c r="Q802">
        <f>IFERROR(1/(IF(Inputs!$B$39="pvp",15,MAX(0.1,Skills!D26-IF(Skills!E26=TRUE,Inputs!$B$33,0)))*(1-IF(AND(ArtifactsInput!$M$27,Inputs!$B$4="Chapter Hunt"),CHOOSE(ArtifactsInput!$N$27+1,20,24,28,32,36,40),0)/100)),0)</f>
        <v/>
      </c>
      <c r="R802" t="n">
        <v>0</v>
      </c>
      <c r="S802" t="n">
        <v>0</v>
      </c>
      <c r="U802" t="n">
        <v>0</v>
      </c>
    </row>
    <row r="803">
      <c r="A803">
        <f>Skills!A27</f>
        <v/>
      </c>
      <c r="B803">
        <f>Skills!B27</f>
        <v/>
      </c>
      <c r="C803">
        <f>Inputs!$B$3&gt;=120</f>
        <v/>
      </c>
      <c r="D803">
        <f>IF(Skills!C27=1,60+Inputs!$B$26+Inputs!$B$30,IF(Skills!C27=2,90+Inputs!$B$27+Inputs!$B$30,IF(Skills!C27=3,120+Inputs!$B$28+Inputs!$B$30,MAX(0,(Inputs!$B$3-100)*3)+Inputs!$B$29+Inputs!$B$30)))</f>
        <v/>
      </c>
      <c r="E803">
        <f>INDEX(FactorTable!$B$2:$Y$301, MATCH(ROUND(MIN(300,MAX(1,D803)),0), FactorTable!$A$2:$A$301,0), Skills!L27+1)</f>
        <v/>
      </c>
      <c r="F803">
        <f>IF(Skills!M27=TRUE,(Skills!K27/10)*(E803/1000),Skills!K27/10)+Skills!N27</f>
        <v/>
      </c>
      <c r="G803">
        <f>Calc!G27</f>
        <v/>
      </c>
      <c r="H803">
        <f>Calc!H27</f>
        <v/>
      </c>
      <c r="I803">
        <f>IF(Skills!T27&lt;&gt;"",1+(Skills!T27/10)*($Z$3/1000)/100,1)</f>
        <v/>
      </c>
      <c r="J803" t="inlineStr"/>
      <c r="K803" t="inlineStr"/>
      <c r="L803" t="inlineStr"/>
      <c r="M803" t="inlineStr"/>
      <c r="N803" t="inlineStr"/>
      <c r="O803">
        <f>(1-Summary!$B$11)*S803+Summary!$B$11*U803</f>
        <v/>
      </c>
      <c r="P803">
        <f>IF(B818=0,0,O803/B818)</f>
        <v/>
      </c>
      <c r="Q803">
        <f>IFERROR(1/(IF(Inputs!$B$39="pvp",15,MAX(0.1,Skills!D27-IF(Skills!E27=TRUE,Inputs!$B$33,0)))*(1-IF(AND(ArtifactsInput!$M$27,Inputs!$B$4="Chapter Hunt"),CHOOSE(ArtifactsInput!$N$27+1,20,24,28,32,36,40),0)/100)),0)</f>
        <v/>
      </c>
      <c r="R803" t="n">
        <v>0</v>
      </c>
      <c r="S803" t="n">
        <v>0</v>
      </c>
      <c r="U803" t="n">
        <v>0</v>
      </c>
    </row>
    <row r="805">
      <c r="A805" t="inlineStr">
        <is>
          <t>Average Buff Multiplier</t>
        </is>
      </c>
      <c r="B805">
        <f>(1+(IF(C779=TRUE,F779*IF(AND(Inputs!$B$39&lt;&gt;"pvp",Inputs!$B$44&gt;0),(((R779-1)*(Skills!S3*(1+((Inputs!$B$35+(ArtifactsInput!$M$7-ArtifactsInput!$M$7)*CHOOSE(ArtifactsInput!$N$7+1,6,7.2,8.4,9.6,10.8,12))+IF(Inputs!$B$3&gt;=117,F802,0))/100))+MIN((Skills!S3*(1+((Inputs!$B$35+(ArtifactsInput!$M$7-ArtifactsInput!$M$7)*CHOOSE(ArtifactsInput!$N$7+1,6,7.2,8.4,9.6,10.8,12))+IF(Inputs!$B$3&gt;=117,F802,0))/100)),MAX(0,Inputs!$B$44-((R779-1)*Skills!D3))))/Inputs!$B$44),IF(Inputs!$B$39="pvp",MIN((Skills!S3*(1+((Inputs!$B$35+(ArtifactsInput!$M$7-ArtifactsInput!$M$7)*CHOOSE(ArtifactsInput!$N$7+1,6,7.2,8.4,9.6,10.8,12))+IF(Inputs!$B$3&gt;=117,F802,0))/100)),15)/15,(Skills!S3*(1+((Inputs!$B$35+(ArtifactsInput!$M$7-ArtifactsInput!$M$7)*CHOOSE(ArtifactsInput!$N$7+1,6,7.2,8.4,9.6,10.8,12))+IF(Inputs!$B$3&gt;=117,F802,0))/100))/Skills!D3)),0)+IF(C780=TRUE,F780*IF(AND(Inputs!$B$39&lt;&gt;"pvp",Inputs!$B$44&gt;0),(((R780-1)*(Skills!S4*(1+((Inputs!$B$35+(ArtifactsInput!$M$7-ArtifactsInput!$M$7)*CHOOSE(ArtifactsInput!$N$7+1,6,7.2,8.4,9.6,10.8,12))+IF(Inputs!$B$3&gt;=117,F802,0))/100))+MIN((Skills!S4*(1+((Inputs!$B$35+(ArtifactsInput!$M$7-ArtifactsInput!$M$7)*CHOOSE(ArtifactsInput!$N$7+1,6,7.2,8.4,9.6,10.8,12))+IF(Inputs!$B$3&gt;=117,F802,0))/100)),MAX(0,Inputs!$B$44-((R780-1)*Skills!D4))))/Inputs!$B$44),IF(Inputs!$B$39="pvp",MIN((Skills!S4*(1+((Inputs!$B$35+(ArtifactsInput!$M$7-ArtifactsInput!$M$7)*CHOOSE(ArtifactsInput!$N$7+1,6,7.2,8.4,9.6,10.8,12))+IF(Inputs!$B$3&gt;=117,F802,0))/100)),15)/15,(Skills!S4*(1+((Inputs!$B$35+(ArtifactsInput!$M$7-ArtifactsInput!$M$7)*CHOOSE(ArtifactsInput!$N$7+1,6,7.2,8.4,9.6,10.8,12))+IF(Inputs!$B$3&gt;=117,F802,0))/100))/Skills!D4)),0)+IF(C781=TRUE,F781*IF(AND(Inputs!$B$39&lt;&gt;"pvp",Inputs!$B$44&gt;0),(((R781-1)*(Skills!S5*(1+((Inputs!$B$35+(ArtifactsInput!$M$7-ArtifactsInput!$M$7)*CHOOSE(ArtifactsInput!$N$7+1,6,7.2,8.4,9.6,10.8,12))+IF(Inputs!$B$3&gt;=117,F802,0))/100))+MIN((Skills!S5*(1+((Inputs!$B$35+(ArtifactsInput!$M$7-ArtifactsInput!$M$7)*CHOOSE(ArtifactsInput!$N$7+1,6,7.2,8.4,9.6,10.8,12))+IF(Inputs!$B$3&gt;=117,F802,0))/100)),MAX(0,Inputs!$B$44-((R781-1)*Skills!D5))))/Inputs!$B$44),IF(Inputs!$B$39="pvp",MIN((Skills!S5*(1+((Inputs!$B$35+(ArtifactsInput!$M$7-ArtifactsInput!$M$7)*CHOOSE(ArtifactsInput!$N$7+1,6,7.2,8.4,9.6,10.8,12))+IF(Inputs!$B$3&gt;=117,F802,0))/100)),15)/15,(Skills!S5*(1+((Inputs!$B$35+(ArtifactsInput!$M$7-ArtifactsInput!$M$7)*CHOOSE(ArtifactsInput!$N$7+1,6,7.2,8.4,9.6,10.8,12))+IF(Inputs!$B$3&gt;=117,F802,0))/100))/Skills!D5)),0)+IF(C787=TRUE,F787*IF(AND(Inputs!$B$39&lt;&gt;"pvp",Inputs!$B$44&gt;0),(((R787-1)*(Skills!S11*(1+((Inputs!$B$35+(ArtifactsInput!$M$7-ArtifactsInput!$M$7)*CHOOSE(ArtifactsInput!$N$7+1,6,7.2,8.4,9.6,10.8,12))+IF(Inputs!$B$3&gt;=117,F802,0))/100))+MIN((Skills!S11*(1+((Inputs!$B$35+(ArtifactsInput!$M$7-ArtifactsInput!$M$7)*CHOOSE(ArtifactsInput!$N$7+1,6,7.2,8.4,9.6,10.8,12))+IF(Inputs!$B$3&gt;=117,F802,0))/100)),MAX(0,Inputs!$B$44-((R787-1)*Skills!D11))))/Inputs!$B$44),IF(Inputs!$B$39="pvp",MIN((Skills!S11*(1+((Inputs!$B$35+(ArtifactsInput!$M$7-ArtifactsInput!$M$7)*CHOOSE(ArtifactsInput!$N$7+1,6,7.2,8.4,9.6,10.8,12))+IF(Inputs!$B$3&gt;=117,F802,0))/100)),15)/15,(Skills!S11*(1+((Inputs!$B$35+(ArtifactsInput!$M$7-ArtifactsInput!$M$7)*CHOOSE(ArtifactsInput!$N$7+1,6,7.2,8.4,9.6,10.8,12))+IF(Inputs!$B$3&gt;=117,F802,0)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790=TRUE,(1+F790*IF(AND(Inputs!$B$39&lt;&gt;"pvp",Inputs!$B$44&gt;0),(((R790-1)*(Skills!S14*(1+((Inputs!$B$35+(ArtifactsInput!$M$7-ArtifactsInput!$M$7)*CHOOSE(ArtifactsInput!$N$7+1,6,7.2,8.4,9.6,10.8,12))+IF(Inputs!$B$3&gt;=117,F802,0))/100))+MIN((Skills!S14*(1+((Inputs!$B$35+(ArtifactsInput!$M$7-ArtifactsInput!$M$7)*CHOOSE(ArtifactsInput!$N$7+1,6,7.2,8.4,9.6,10.8,12))+IF(Inputs!$B$3&gt;=117,F802,0))/100)),MAX(0,Inputs!$B$44-((R790-1)*Skills!D14))))/Inputs!$B$44),IF(Inputs!$B$39="pvp",MIN((Skills!S14*(1+((Inputs!$B$35+(ArtifactsInput!$M$7-ArtifactsInput!$M$7)*CHOOSE(ArtifactsInput!$N$7+1,6,7.2,8.4,9.6,10.8,12))+IF(Inputs!$B$3&gt;=117,F802,0))/100)),15)/15,(Skills!S14*(1+((Inputs!$B$35+(ArtifactsInput!$M$7-ArtifactsInput!$M$7)*CHOOSE(ArtifactsInput!$N$7+1,6,7.2,8.4,9.6,10.8,12))+IF(Inputs!$B$3&gt;=117,F802,0))/100))/Skills!D14))/100),1)*IF(C795=TRUE,(1+F795*IF(AND(Inputs!$B$39&lt;&gt;"pvp",Inputs!$B$44&gt;0),(((R795-1)*(Skills!S19*(1+((Inputs!$B$35+(ArtifactsInput!$M$7-ArtifactsInput!$M$7)*CHOOSE(ArtifactsInput!$N$7+1,6,7.2,8.4,9.6,10.8,12))+IF(Inputs!$B$3&gt;=117,F802,0))/100))+MIN((Skills!S19*(1+((Inputs!$B$35+(ArtifactsInput!$M$7-ArtifactsInput!$M$7)*CHOOSE(ArtifactsInput!$N$7+1,6,7.2,8.4,9.6,10.8,12))+IF(Inputs!$B$3&gt;=117,F802,0))/100)),MAX(0,Inputs!$B$44-((R795-1)*Skills!D19))))/Inputs!$B$44),IF(Inputs!$B$39="pvp",MIN((Skills!S19*(1+((Inputs!$B$35+(ArtifactsInput!$M$7-ArtifactsInput!$M$7)*CHOOSE(ArtifactsInput!$N$7+1,6,7.2,8.4,9.6,10.8,12))+IF(Inputs!$B$3&gt;=117,F802,0))/100)),15)/15,(Skills!S19*(1+((Inputs!$B$35+(ArtifactsInput!$M$7-ArtifactsInput!$M$7)*CHOOSE(ArtifactsInput!$N$7+1,6,7.2,8.4,9.6,10.8,12))+IF(Inputs!$B$3&gt;=117,F802,0))/100))/Skills!D19))/100),1)</f>
        <v/>
      </c>
    </row>
    <row r="806">
      <c r="A806" t="inlineStr">
        <is>
          <t>Monster Damage Taken Bonus % (Holy Fountain)</t>
        </is>
      </c>
      <c r="B806">
        <f>IF(Inputs!$B$3&gt;=68,20*IF(Inputs!$B$39="pvp",MIN((15*(1+((Inputs!$B$35+(ArtifactsInput!$M$7-ArtifactsInput!$M$7)*CHOOSE(ArtifactsInput!$N$7+1,6,7.2,8.4,9.6,10.8,12))+IF(Inputs!$B$3&gt;=117,F802,0))/100)),15)/15,(15*(1+((Inputs!$B$35+(ArtifactsInput!$M$7-ArtifactsInput!$M$7)*CHOOSE(ArtifactsInput!$N$7+1,6,7.2,8.4,9.6,10.8,12))+IF(Inputs!$B$3&gt;=117,F802,0))/100))/Skills!D10),0)</f>
        <v/>
      </c>
    </row>
    <row r="807">
      <c r="A807" t="inlineStr">
        <is>
          <t>Normal Monster Damage Bonus % (Holy Symbol)</t>
        </is>
      </c>
      <c r="B807">
        <f>IF(C788=TRUE,F788*IF(AND(Inputs!$B$39&lt;&gt;"pvp",Inputs!$B$44&gt;0),(((R788-1)*(Skills!S12*(1+((Inputs!$B$35+(ArtifactsInput!$M$7-ArtifactsInput!$M$7)*CHOOSE(ArtifactsInput!$N$7+1,6,7.2,8.4,9.6,10.8,12))+IF(Inputs!$B$3&gt;=117,F802,0))/100))+MIN((Skills!S12*(1+((Inputs!$B$35+(ArtifactsInput!$M$7-ArtifactsInput!$M$7)*CHOOSE(ArtifactsInput!$N$7+1,6,7.2,8.4,9.6,10.8,12))+IF(Inputs!$B$3&gt;=117,F802,0))/100)),MAX(0,Inputs!$B$44-((R788-1)*Skills!D12))))/Inputs!$B$44),IF(Inputs!$B$39="pvp",MIN((Skills!S12*(1+((Inputs!$B$35+(ArtifactsInput!$M$7-ArtifactsInput!$M$7)*CHOOSE(ArtifactsInput!$N$7+1,6,7.2,8.4,9.6,10.8,12))+IF(Inputs!$B$3&gt;=117,F802,0))/100)),15)/15,(Skills!S12*(1+((Inputs!$B$35+(ArtifactsInput!$M$7-ArtifactsInput!$M$7)*CHOOSE(ArtifactsInput!$N$7+1,6,7.2,8.4,9.6,10.8,12))+IF(Inputs!$B$3&gt;=117,F802,0))/100))/Skills!D12)),0)</f>
        <v/>
      </c>
    </row>
    <row r="808">
      <c r="A808" t="inlineStr">
        <is>
          <t>Damage % Bonus (Holy Symbol - Damage Boost)</t>
        </is>
      </c>
      <c r="B808">
        <f>Skills!O12</f>
        <v/>
      </c>
    </row>
    <row r="809">
      <c r="A809" t="inlineStr">
        <is>
          <t>Crit Damage % Bonus (Blood of the Divine)</t>
        </is>
      </c>
      <c r="B809">
        <f>4*IF(C796=TRUE,F796,0)</f>
        <v/>
      </c>
    </row>
    <row r="810">
      <c r="A810" t="inlineStr">
        <is>
          <t>Attack Speed Bonus %</t>
        </is>
      </c>
      <c r="B810">
        <f>IF(C793=TRUE,F793+(F797-Calc!F21),0)+IF(Inputs!$B$3&gt;=134,15,0)</f>
        <v/>
      </c>
    </row>
    <row r="811">
      <c r="A811" t="inlineStr">
        <is>
          <t>Actions Per Second</t>
        </is>
      </c>
      <c r="B811">
        <f>1+MIN(150,150*(1-(1-Inputs!$B$12/150)*(1-B810/150)))/100</f>
        <v/>
      </c>
    </row>
    <row r="812">
      <c r="A812" t="inlineStr">
        <is>
          <t>Skill + Buff Cast Rate</t>
        </is>
      </c>
      <c r="B812">
        <f>IF(AND(Inputs!$B$39&lt;&gt;"pvp",Inputs!$B$44&gt;0),SUMPRODUCT((Skills!E2:E27=TRUE)*(C778:C803=TRUE)*R778:R803)/Inputs!$B$44,SUMPRODUCT((Skills!E2:E27=TRUE)*(C778:C803=TRUE)*Q778:Q803))</f>
        <v/>
      </c>
    </row>
    <row r="813">
      <c r="A813" t="inlineStr">
        <is>
          <t>Big Bang Casts Per Second</t>
        </is>
      </c>
      <c r="B813">
        <f>MAX(0,B811-B812)</f>
        <v/>
      </c>
    </row>
    <row r="814">
      <c r="A814" t="inlineStr">
        <is>
          <t>Defense % Bonus (Divine Protection)</t>
        </is>
      </c>
      <c r="B814">
        <f>IF(C789=TRUE,F789*IF(AND(Inputs!$B$39&lt;&gt;"pvp",Inputs!$B$44&gt;0),(((R789-1)*(Skills!S13*(1+((Inputs!$B$35+(ArtifactsInput!$M$7-ArtifactsInput!$M$7)*CHOOSE(ArtifactsInput!$N$7+1,6,7.2,8.4,9.6,10.8,12))+IF(Inputs!$B$3&gt;=117,F802,0))/100))+MIN((Skills!S13*(1+((Inputs!$B$35+(ArtifactsInput!$M$7-ArtifactsInput!$M$7)*CHOOSE(ArtifactsInput!$N$7+1,6,7.2,8.4,9.6,10.8,12))+IF(Inputs!$B$3&gt;=117,F802,0))/100)),MAX(0,Inputs!$B$44-((R789-1)*Skills!D13))))/Inputs!$B$44),IF(Inputs!$B$39="pvp",MIN((Skills!S13*(1+((Inputs!$B$35+(ArtifactsInput!$M$7-ArtifactsInput!$M$7)*CHOOSE(ArtifactsInput!$N$7+1,6,7.2,8.4,9.6,10.8,12))+IF(Inputs!$B$3&gt;=117,F802,0))/100)),15)/15,(Skills!S13*(1+((Inputs!$B$35+(ArtifactsInput!$M$7-ArtifactsInput!$M$7)*CHOOSE(ArtifactsInput!$N$7+1,6,7.2,8.4,9.6,10.8,12))+IF(Inputs!$B$3&gt;=117,F802,0))/100))/Skills!D13)),0)</f>
        <v/>
      </c>
    </row>
    <row r="815">
      <c r="A815" t="inlineStr">
        <is>
          <t>Buff-Casting Startup Delay (s, fixed-duration only)</t>
        </is>
      </c>
      <c r="B815">
        <f>IF(AND(Inputs!$B$39&lt;&gt;"pvp",Inputs!$B$44&gt;0),SUMPRODUCT((Skills!S2:S27&gt;0)*(Skills!E2:E27=TRUE)*(C778:C803=TRUE))/B811,0)</f>
        <v/>
      </c>
    </row>
    <row r="816">
      <c r="A816" t="inlineStr">
        <is>
          <t>Boss-Only Total DPS (this block's swept value)</t>
        </is>
      </c>
      <c r="B816">
        <f>SUM(S778:S803)</f>
        <v/>
      </c>
    </row>
    <row r="817">
      <c r="A817" t="inlineStr">
        <is>
          <t>Normal-Only Total DPS (this block's swept value)</t>
        </is>
      </c>
      <c r="B817">
        <f>SUM(U778:U803)</f>
        <v/>
      </c>
    </row>
    <row r="818">
      <c r="A818" s="6" t="inlineStr">
        <is>
          <t>TOTAL DPS</t>
        </is>
      </c>
      <c r="B818" s="6">
        <f>SUM(O778:O803)</f>
        <v/>
      </c>
    </row>
    <row r="820">
      <c r="A820" s="6" t="inlineStr">
        <is>
          <t>Stat: Skill Level Bonus — 1st Job</t>
        </is>
      </c>
    </row>
    <row r="821">
      <c r="A821" s="5" t="inlineStr">
        <is>
          <t>Key</t>
        </is>
      </c>
      <c r="B821" s="5" t="inlineStr">
        <is>
          <t>Name</t>
        </is>
      </c>
      <c r="C821" s="5" t="inlineStr">
        <is>
          <t>Unlocked</t>
        </is>
      </c>
      <c r="D821" s="5" t="inlineStr">
        <is>
          <t>InputLevel</t>
        </is>
      </c>
      <c r="E821" s="5" t="inlineStr">
        <is>
          <t>Factor</t>
        </is>
      </c>
      <c r="F821" s="5" t="inlineStr">
        <is>
          <t>CoefficientPercent</t>
        </is>
      </c>
      <c r="G821" s="5" t="inlineStr">
        <is>
          <t>EffectiveHits</t>
        </is>
      </c>
      <c r="H821" s="5" t="inlineStr">
        <is>
          <t>ProcProbability</t>
        </is>
      </c>
      <c r="I821" s="5" t="inlineStr">
        <is>
          <t>MapleHeroMultiplier</t>
        </is>
      </c>
      <c r="J821" s="5" t="inlineStr">
        <is>
          <t>BaseDamage</t>
        </is>
      </c>
      <c r="K821" s="5" t="inlineStr">
        <is>
          <t>BaseHitDamage</t>
        </is>
      </c>
      <c r="L821" s="5" t="inlineStr">
        <is>
          <t>NonCritAvg</t>
        </is>
      </c>
      <c r="M821" s="5" t="inlineStr">
        <is>
          <t>CritAvg</t>
        </is>
      </c>
      <c r="N821" s="5" t="inlineStr">
        <is>
          <t>ExpectedDamage(perHit)</t>
        </is>
      </c>
      <c r="O821" s="5" t="inlineStr">
        <is>
          <t>DPS</t>
        </is>
      </c>
      <c r="P821" s="5" t="inlineStr">
        <is>
          <t>% of Total</t>
        </is>
      </c>
      <c r="R821" t="inlineStr">
        <is>
          <t>helpers</t>
        </is>
      </c>
    </row>
    <row r="822">
      <c r="A822">
        <f>Skills!A2</f>
        <v/>
      </c>
      <c r="B822">
        <f>Skills!B2</f>
        <v/>
      </c>
      <c r="C822">
        <f>Inputs!$B$3&gt;=100</f>
        <v/>
      </c>
      <c r="D822" t="inlineStr"/>
      <c r="E822" t="inlineStr"/>
      <c r="F822">
        <f>T824+Skills!N2</f>
        <v/>
      </c>
      <c r="G822">
        <f>Calc!G2</f>
        <v/>
      </c>
      <c r="H822">
        <f>Calc!H2</f>
        <v/>
      </c>
      <c r="I822">
        <f>IF(Skills!T2&lt;&gt;"",1+(Skills!T2/10)*($Z$3/1000)/100,1)</f>
        <v/>
      </c>
      <c r="J822">
        <f>((Inputs!$B$6*(1+Inputs!$B$7/100))+(((Inputs!$B$13*(1+Inputs!$B$14/100))-(Inputs!$B$13*(1+Inputs!$B$14/100)))+0.25*(Inputs!$B$15-Inputs!$B$15))*(1+Inputs!$B$7/100))*(F822/100)</f>
        <v/>
      </c>
      <c r="K822">
        <f>J822*(1+(((Inputs!$B$13+IF(Inputs!$B$3&gt;=35,(10*INDEX(FactorTable!$B$2:$Y$301,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2="TRIUMPH_FEATHER",IF(C836=TRUE,F836,0),0)/100)*(1+IF(C847=TRUE,F847,0)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822)</f>
        <v/>
      </c>
      <c r="L822">
        <f>K822*(MIN(Inputs!$B$23+(F842-Calc!F22),(Inputs!$B$24+IF(ArtifactsInput!$M$15,CHOOSE(ArtifactsInput!$N$15+1,25,30,35,40,45,50)/100*(Inputs!$B$12-Inputs!$B$12),0)))/100+(Inputs!$B$24+IF(ArtifactsInput!$M$15,CHOOSE(ArtifactsInput!$N$15+1,25,30,35,40,45,50)/100*(Inputs!$B$12-Inputs!$B$12),0))/100)/2</f>
        <v/>
      </c>
      <c r="M822">
        <f>L822*(1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2">
        <f>L822*(1-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822*(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2">
        <f>(1-Summary!$B$11)*S822+Summary!$B$11*U822</f>
        <v/>
      </c>
      <c r="P822">
        <f>IF(B862=0,0,O822/B862)</f>
        <v/>
      </c>
      <c r="Q822">
        <f>IFERROR(1/(IF(Inputs!$B$39="pvp",15,MAX(0.1,Skills!D2-IF(Skills!E2=TRUE,Inputs!$B$33,0)))*(1-IF(AND(ArtifactsInput!$M$27,Inputs!$B$4="Chapter Hunt"),CHOOSE(ArtifactsInput!$N$27+1,20,24,28,32,36,40),0)/100)),0)</f>
        <v/>
      </c>
      <c r="R822" t="n">
        <v>0</v>
      </c>
      <c r="S822">
        <f>IF(C822,(Skills!F2*N822*B857)*IF(Inputs!$B$39="pvp",1,1+(Inputs!$B$21+Skills!O2+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822*(1-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822*(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822*(1-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822*(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22">
        <f>MAX(0,(Inputs!$B$3-100)*3)+Inputs!$B$29+Inputs!$B$30</f>
        <v/>
      </c>
      <c r="U822">
        <f>IF(C822,(Skills!F2*N822*B857)*IF(Inputs!$B$39="pvp",1,(1+(Inputs!$B$22+Skills!P2+B851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3">
      <c r="A823">
        <f>Skills!A3</f>
        <v/>
      </c>
      <c r="B823">
        <f>Skills!B3</f>
        <v/>
      </c>
      <c r="C823">
        <f>Inputs!$B$3&gt;=15</f>
        <v/>
      </c>
      <c r="D823">
        <f>IF(Skills!C3=1,60+(Inputs!$B$26+1)+Inputs!$B$30,IF(Skills!C3=2,90+Inputs!$B$27+Inputs!$B$30,IF(Skills!C3=3,120+Inputs!$B$28+Inputs!$B$30,MAX(0,(Inputs!$B$3-100)*3)+Inputs!$B$29+Inputs!$B$30)))</f>
        <v/>
      </c>
      <c r="E823">
        <f>INDEX(FactorTable!$B$2:$Y$301, MATCH(ROUND(MIN(300,MAX(1,D823)),0), FactorTable!$A$2:$A$301,0), Skills!L3+1)</f>
        <v/>
      </c>
      <c r="F823">
        <f>IF(Skills!M3=TRUE,(Skills!K3/10)*(E823/1000),Skills!K3/10)+Skills!N3</f>
        <v/>
      </c>
      <c r="G823">
        <f>Calc!G3</f>
        <v/>
      </c>
      <c r="H823">
        <f>Calc!H3</f>
        <v/>
      </c>
      <c r="I823">
        <f>IF(Skills!T3&lt;&gt;"",1+(Skills!T3/10)*($Z$3/1000)/100,1)</f>
        <v/>
      </c>
      <c r="J823" t="inlineStr"/>
      <c r="K823" t="inlineStr"/>
      <c r="L823" t="inlineStr"/>
      <c r="M823" t="inlineStr"/>
      <c r="N823" t="inlineStr"/>
      <c r="O823">
        <f>(1-Summary!$B$11)*S823+Summary!$B$11*U823</f>
        <v/>
      </c>
      <c r="P823">
        <f>IF(B862=0,0,O823/B862)</f>
        <v/>
      </c>
      <c r="Q823">
        <f>IFERROR(1/(IF(Inputs!$B$39="pvp",15,MAX(0.1,Skills!D3-IF(Skills!E3=TRUE,Inputs!$B$33,0)))*(1-IF(AND(ArtifactsInput!$M$27,Inputs!$B$4="Chapter Hunt"),CHOOSE(ArtifactsInput!$N$27+1,20,24,28,32,36,40),0)/100)),0)</f>
        <v/>
      </c>
      <c r="R823">
        <f>IF(AND(Inputs!$B$39&lt;&gt;"pvp",Inputs!$B$44&gt;0),IF(Inputs!$B$44&lt;=0,0,(INT(Inputs!$B$44/(IF(Inputs!$B$39="pvp",15,MAX(0.1,Skills!D3-IF(Skills!E3=TRUE,Inputs!$B$33,0)))*(1-IF(AND(ArtifactsInput!$M$27,Inputs!$B$4="Chapter Hunt"),CHOOSE(ArtifactsInput!$N$27+1,20,24,28,32,36,40),0)/100)))+1)),0)</f>
        <v/>
      </c>
      <c r="S823" t="n">
        <v>0</v>
      </c>
      <c r="T823">
        <f>INDEX(FactorTable!$B$2:$Y$301, MATCH(ROUND(MIN(300,MAX(1,T822)),0), FactorTable!$A$2:$A$301,0), 22)</f>
        <v/>
      </c>
      <c r="U823" t="n">
        <v>0</v>
      </c>
    </row>
    <row r="824">
      <c r="A824">
        <f>Skills!A4</f>
        <v/>
      </c>
      <c r="B824">
        <f>Skills!B4</f>
        <v/>
      </c>
      <c r="C824">
        <f>Inputs!$B$3&gt;=38</f>
        <v/>
      </c>
      <c r="D824">
        <f>IF(Skills!C4=1,60+(Inputs!$B$26+1)+Inputs!$B$30,IF(Skills!C4=2,90+Inputs!$B$27+Inputs!$B$30,IF(Skills!C4=3,120+Inputs!$B$28+Inputs!$B$30,MAX(0,(Inputs!$B$3-100)*3)+Inputs!$B$29+Inputs!$B$30)))</f>
        <v/>
      </c>
      <c r="E824">
        <f>INDEX(FactorTable!$B$2:$Y$301, MATCH(ROUND(MIN(300,MAX(1,D824)),0), FactorTable!$A$2:$A$301,0), Skills!L4+1)</f>
        <v/>
      </c>
      <c r="F824">
        <f>IF(Skills!M4=TRUE,(Skills!K4/10)*(E824/1000),Skills!K4/10)+Skills!N4</f>
        <v/>
      </c>
      <c r="G824">
        <f>Calc!G4</f>
        <v/>
      </c>
      <c r="H824">
        <f>Calc!H4</f>
        <v/>
      </c>
      <c r="I824">
        <f>IF(Skills!T4&lt;&gt;"",1+(Skills!T4/10)*($Z$3/1000)/100,1)</f>
        <v/>
      </c>
      <c r="J824" t="inlineStr"/>
      <c r="K824" t="inlineStr"/>
      <c r="L824" t="inlineStr"/>
      <c r="M824" t="inlineStr"/>
      <c r="N824" t="inlineStr"/>
      <c r="O824">
        <f>(1-Summary!$B$11)*S824+Summary!$B$11*U824</f>
        <v/>
      </c>
      <c r="P824">
        <f>IF(B862=0,0,O824/B862)</f>
        <v/>
      </c>
      <c r="Q824">
        <f>IFERROR(1/(IF(Inputs!$B$39="pvp",15,MAX(0.1,Skills!D4-IF(Skills!E4=TRUE,Inputs!$B$33,0)))*(1-IF(AND(ArtifactsInput!$M$27,Inputs!$B$4="Chapter Hunt"),CHOOSE(ArtifactsInput!$N$27+1,20,24,28,32,36,40),0)/100)),0)</f>
        <v/>
      </c>
      <c r="R824">
        <f>IF(AND(Inputs!$B$39&lt;&gt;"pvp",Inputs!$B$44&gt;0),IF(Inputs!$B$44&lt;=0,0,(INT(Inputs!$B$44/(IF(Inputs!$B$39="pvp",15,MAX(0.1,Skills!D4-IF(Skills!E4=TRUE,Inputs!$B$33,0)))*(1-IF(AND(ArtifactsInput!$M$27,Inputs!$B$4="Chapter Hunt"),CHOOSE(ArtifactsInput!$N$27+1,20,24,28,32,36,40),0)/100)))+1)),0)</f>
        <v/>
      </c>
      <c r="S824" t="n">
        <v>0</v>
      </c>
      <c r="T824">
        <f>290*T823/1000</f>
        <v/>
      </c>
      <c r="U824" t="n">
        <v>0</v>
      </c>
    </row>
    <row r="825">
      <c r="A825">
        <f>Skills!A5</f>
        <v/>
      </c>
      <c r="B825">
        <f>Skills!B5</f>
        <v/>
      </c>
      <c r="C825">
        <f>Inputs!$B$3&gt;=40</f>
        <v/>
      </c>
      <c r="D825">
        <f>IF(Skills!C5=1,60+(Inputs!$B$26+1)+Inputs!$B$30,IF(Skills!C5=2,90+Inputs!$B$27+Inputs!$B$30,IF(Skills!C5=3,120+Inputs!$B$28+Inputs!$B$30,MAX(0,(Inputs!$B$3-100)*3)+Inputs!$B$29+Inputs!$B$30)))</f>
        <v/>
      </c>
      <c r="E825">
        <f>INDEX(FactorTable!$B$2:$Y$301, MATCH(ROUND(MIN(300,MAX(1,D825)),0), FactorTable!$A$2:$A$301,0), Skills!L5+1)</f>
        <v/>
      </c>
      <c r="F825">
        <f>IF(Skills!M5=TRUE,(Skills!K5/10)*(E825/1000),Skills!K5/10)+Skills!N5</f>
        <v/>
      </c>
      <c r="G825">
        <f>Calc!G5</f>
        <v/>
      </c>
      <c r="H825">
        <f>Calc!H5</f>
        <v/>
      </c>
      <c r="I825">
        <f>IF(Skills!T5&lt;&gt;"",1+(Skills!T5/10)*($Z$3/1000)/100,1)</f>
        <v/>
      </c>
      <c r="J825" t="inlineStr"/>
      <c r="K825" t="inlineStr"/>
      <c r="L825" t="inlineStr"/>
      <c r="M825" t="inlineStr"/>
      <c r="N825" t="inlineStr"/>
      <c r="O825">
        <f>(1-Summary!$B$11)*S825+Summary!$B$11*U825</f>
        <v/>
      </c>
      <c r="P825">
        <f>IF(B862=0,0,O825/B862)</f>
        <v/>
      </c>
      <c r="Q825">
        <f>IFERROR(1/(IF(Inputs!$B$39="pvp",15,MAX(0.1,Skills!D5-IF(Skills!E5=TRUE,Inputs!$B$33,0)))*(1-IF(AND(ArtifactsInput!$M$27,Inputs!$B$4="Chapter Hunt"),CHOOSE(ArtifactsInput!$N$27+1,20,24,28,32,36,40),0)/100)),0)</f>
        <v/>
      </c>
      <c r="R825">
        <f>IF(AND(Inputs!$B$39&lt;&gt;"pvp",Inputs!$B$44&gt;0),IF(Inputs!$B$44&lt;=0,0,(INT(Inputs!$B$44/(IF(Inputs!$B$39="pvp",15,MAX(0.1,Skills!D5-IF(Skills!E5=TRUE,Inputs!$B$33,0)))*(1-IF(AND(ArtifactsInput!$M$27,Inputs!$B$4="Chapter Hunt"),CHOOSE(ArtifactsInput!$N$27+1,20,24,28,32,36,40),0)/100)))+1)),0)</f>
        <v/>
      </c>
      <c r="S825" t="n">
        <v>0</v>
      </c>
      <c r="U825" t="n">
        <v>0</v>
      </c>
    </row>
    <row r="826">
      <c r="A826">
        <f>Skills!A6</f>
        <v/>
      </c>
      <c r="B826">
        <f>Skills!B6</f>
        <v/>
      </c>
      <c r="C826">
        <f>Inputs!$B$3&gt;=103</f>
        <v/>
      </c>
      <c r="D826">
        <f>IF(Skills!C6=1,60+(Inputs!$B$26+1)+Inputs!$B$30,IF(Skills!C6=2,90+Inputs!$B$27+Inputs!$B$30,IF(Skills!C6=3,120+Inputs!$B$28+Inputs!$B$30,MAX(0,(Inputs!$B$3-100)*3)+Inputs!$B$29+Inputs!$B$30)))</f>
        <v/>
      </c>
      <c r="E826">
        <f>INDEX(FactorTable!$B$2:$Y$301, MATCH(ROUND(MIN(300,MAX(1,D826)),0), FactorTable!$A$2:$A$301,0), Skills!L6+1)</f>
        <v/>
      </c>
      <c r="F826">
        <f>IF(Skills!M6=TRUE,(Skills!K6/10)*(E826/1000),Skills!K6/10)+Skills!N6</f>
        <v/>
      </c>
      <c r="G826">
        <f>Calc!G6</f>
        <v/>
      </c>
      <c r="H826">
        <f>Calc!H6</f>
        <v/>
      </c>
      <c r="I826">
        <f>IF(Skills!T6&lt;&gt;"",1+(Skills!T6/10)*($Z$3/1000)/100,1)</f>
        <v/>
      </c>
      <c r="J826">
        <f>((Inputs!$B$6*(1+Inputs!$B$7/100))+(((Inputs!$B$13*(1+Inputs!$B$14/100))-(Inputs!$B$13*(1+Inputs!$B$14/100)))+0.25*(Inputs!$B$15-Inputs!$B$15))*(1+Inputs!$B$7/100))*(F826/100)</f>
        <v/>
      </c>
      <c r="K826">
        <f>J826*(1+(((Inputs!$B$13+IF(Inputs!$B$3&gt;=35,(10*INDEX(FactorTable!$B$2:$Y$301,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6="TRIUMPH_FEATHER",IF(C836=TRUE,F836,0),0)/100)*(1+IF(C847=TRUE,F847,0)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826)</f>
        <v/>
      </c>
      <c r="L826">
        <f>K826*(MIN(Inputs!$B$23+(F842-Calc!F22),(Inputs!$B$24+IF(ArtifactsInput!$M$15,CHOOSE(ArtifactsInput!$N$15+1,25,30,35,40,45,50)/100*(Inputs!$B$12-Inputs!$B$12),0)))/100+(Inputs!$B$24+IF(ArtifactsInput!$M$15,CHOOSE(ArtifactsInput!$N$15+1,25,30,35,40,45,50)/100*(Inputs!$B$12-Inputs!$B$12),0))/100)/2</f>
        <v/>
      </c>
      <c r="M826">
        <f>L826*(1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6">
        <f>L826*(1-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826*(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6">
        <f>(1-Summary!$B$11)*S826+Summary!$B$11*U826</f>
        <v/>
      </c>
      <c r="P826">
        <f>IF(B862=0,0,O826/B862)</f>
        <v/>
      </c>
      <c r="Q826">
        <f>IFERROR(1/(IF(Inputs!$B$39="pvp",15,MAX(0.1,Skills!D6-IF(Skills!E6=TRUE,Inputs!$B$33,0)))*(1-IF(AND(ArtifactsInput!$M$27,Inputs!$B$4="Chapter Hunt"),CHOOSE(ArtifactsInput!$N$27+1,20,24,28,32,36,40),0)/100)),0)</f>
        <v/>
      </c>
      <c r="R826">
        <f>IF(AND(Inputs!$B$39&lt;&gt;"pvp",Inputs!$B$44&gt;0),IF(MAX(0,Inputs!$B$44-B859)&lt;=0,0,(INT(MAX(0,Inputs!$B$44-B859)/(IF(Inputs!$B$39="pvp",15,MAX(0.1,Skills!D6-IF(Skills!E6=TRUE,Inputs!$B$33,0)))*(1-IF(AND(ArtifactsInput!$M$27,Inputs!$B$4="Chapter Hunt"),CHOOSE(ArtifactsInput!$N$27+1,20,24,28,32,36,40),0)/100)))+1)),0)</f>
        <v/>
      </c>
      <c r="S826">
        <f>IF(C826,(H826*N826*IF(AND(Inputs!$B$39&lt;&gt;"pvp",Inputs!$B$44&gt;0),((Skills!F6*((R826-1)*IF(Skills!G6&gt;0,Skills!H6/Skills!G6,1)+IF(Skills!G6&gt;0,MIN(Skills!H6,MAX(0,MAX(0,Inputs!$B$44-B859)-((R826-1)*(IF(Inputs!$B$39="pvp",15,MAX(0.1,Skills!D6-IF(Skills!E6=TRUE,Inputs!$B$33,0)))*(1-IF(AND(ArtifactsInput!$M$27,Inputs!$B$4="Chapter Hunt"),CHOOSE(ArtifactsInput!$N$27+1,20,24,28,32,36,40),0)/100)))))/Skills!G6,1)))/Inputs!$B$44),G826*Q826))*IF(Inputs!$B$39="pvp",1,1+(Inputs!$B$21+Skills!O6+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826*(1-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826*(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826*(1-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826*(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6">
        <f>IF(C826,(H826*N826*IF(AND(Inputs!$B$39&lt;&gt;"pvp",Inputs!$B$44&gt;0),((Skills!F6*((R826-1)*IF(Skills!G6&gt;0,Skills!H6/Skills!G6,1)+IF(Skills!G6&gt;0,MIN(Skills!H6,MAX(0,MAX(0,Inputs!$B$44-B859)-((R826-1)*(IF(Inputs!$B$39="pvp",15,MAX(0.1,Skills!D6-IF(Skills!E6=TRUE,Inputs!$B$33,0)))*(1-IF(AND(ArtifactsInput!$M$27,Inputs!$B$4="Chapter Hunt"),CHOOSE(ArtifactsInput!$N$27+1,20,24,28,32,36,40),0)/100)))))/Skills!G6,1)))/Inputs!$B$44),G826*Q826))*IF(Inputs!$B$39="pvp",1,(1+(Inputs!$B$22+Skills!P6+B851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7">
      <c r="A827">
        <f>Skills!A7</f>
        <v/>
      </c>
      <c r="B827">
        <f>Skills!B7</f>
        <v/>
      </c>
      <c r="C827">
        <f>Inputs!$B$3&gt;=122</f>
        <v/>
      </c>
      <c r="D827">
        <f>IF(Skills!C7=1,60+(Inputs!$B$26+1)+Inputs!$B$30,IF(Skills!C7=2,90+Inputs!$B$27+Inputs!$B$30,IF(Skills!C7=3,120+Inputs!$B$28+Inputs!$B$30,MAX(0,(Inputs!$B$3-100)*3)+Inputs!$B$29+Inputs!$B$30)))</f>
        <v/>
      </c>
      <c r="E827">
        <f>INDEX(FactorTable!$B$2:$Y$301, MATCH(ROUND(MIN(300,MAX(1,D827)),0), FactorTable!$A$2:$A$301,0), Skills!L7+1)</f>
        <v/>
      </c>
      <c r="F827">
        <f>IF(Skills!M7=TRUE,(Skills!K7/10)*(E827/1000),Skills!K7/10)+Skills!N7</f>
        <v/>
      </c>
      <c r="G827">
        <f>Calc!G7</f>
        <v/>
      </c>
      <c r="H827">
        <f>Calc!H7</f>
        <v/>
      </c>
      <c r="I827">
        <f>IF(Skills!T7&lt;&gt;"",1+(Skills!T7/10)*($Z$3/1000)/100,1)</f>
        <v/>
      </c>
      <c r="J827">
        <f>((Inputs!$B$6*(1+Inputs!$B$7/100))+(((Inputs!$B$13*(1+Inputs!$B$14/100))-(Inputs!$B$13*(1+Inputs!$B$14/100)))+0.25*(Inputs!$B$15-Inputs!$B$15))*(1+Inputs!$B$7/100))*(F827/100)</f>
        <v/>
      </c>
      <c r="K827">
        <f>J827*(1+(((Inputs!$B$13+IF(Inputs!$B$3&gt;=35,(10*INDEX(FactorTable!$B$2:$Y$301,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7="TRIUMPH_FEATHER",IF(C836=TRUE,F836,0),0)/100)*(1+IF(C847=TRUE,F847,0)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827)</f>
        <v/>
      </c>
      <c r="L827">
        <f>K827*(MIN(Inputs!$B$23+(F842-Calc!F22),(Inputs!$B$24+IF(ArtifactsInput!$M$15,CHOOSE(ArtifactsInput!$N$15+1,25,30,35,40,45,50)/100*(Inputs!$B$12-Inputs!$B$12),0)))/100+(Inputs!$B$24+IF(ArtifactsInput!$M$15,CHOOSE(ArtifactsInput!$N$15+1,25,30,35,40,45,50)/100*(Inputs!$B$12-Inputs!$B$12),0))/100)/2</f>
        <v/>
      </c>
      <c r="M827">
        <f>L827*(1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7">
        <f>L827*(1-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827*(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7">
        <f>(1-Summary!$B$11)*S827+Summary!$B$11*U827</f>
        <v/>
      </c>
      <c r="P827">
        <f>IF(B862=0,0,O827/B862)</f>
        <v/>
      </c>
      <c r="Q827">
        <f>IFERROR(1/(IF(Inputs!$B$39="pvp",15,MAX(0.1,Skills!D7-IF(Skills!E6=TRUE,Inputs!$B$33,0)))*(1-IF(AND(ArtifactsInput!$M$27,Inputs!$B$4="Chapter Hunt"),CHOOSE(ArtifactsInput!$N$27+1,20,24,28,32,36,40),0)/100)),0)</f>
        <v/>
      </c>
      <c r="R827">
        <f>IF(AND(Inputs!$B$39&lt;&gt;"pvp",Inputs!$B$44&gt;0),IF(MAX(0,Inputs!$B$44-B859)&lt;=0,0,(INT(MAX(0,Inputs!$B$44-B859)/(IF(Inputs!$B$39="pvp",15,MAX(0.1,Skills!D7-IF(Skills!E6=TRUE,Inputs!$B$33,0)))*(1-IF(AND(ArtifactsInput!$M$27,Inputs!$B$4="Chapter Hunt"),CHOOSE(ArtifactsInput!$N$27+1,20,24,28,32,36,40),0)/100)))+1)),0)</f>
        <v/>
      </c>
      <c r="S827">
        <f>IF(C827,H827*N827*IF(AND(Inputs!$B$39&lt;&gt;"pvp",Inputs!$B$44&gt;0),((Skills!F7*((R827-1)*IF(Skills!G7&gt;0,Skills!H7/Skills!G7,1)+IF(Skills!G7&gt;0,MIN(Skills!H7,MAX(0,MAX(0,Inputs!$B$44-B859)-((R827-1)*(IF(Inputs!$B$39="pvp",15,MAX(0.1,Skills!D7-IF(Skills!E6=TRUE,Inputs!$B$33,0)))*(1-IF(AND(ArtifactsInput!$M$27,Inputs!$B$4="Chapter Hunt"),CHOOSE(ArtifactsInput!$N$27+1,20,24,28,32,36,40),0)/100)))))/Skills!G7,1)))/Inputs!$B$44),G827*Q827)*IF(Inputs!$B$39="pvp",1,1+(Inputs!$B$21+Skills!O7+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827*(1-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827*(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827*(1-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827*(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7" t="n">
        <v>0</v>
      </c>
    </row>
    <row r="828">
      <c r="A828">
        <f>Skills!A8</f>
        <v/>
      </c>
      <c r="B828">
        <f>Skills!B8</f>
        <v/>
      </c>
      <c r="C828">
        <f>Inputs!$B$3&gt;=105</f>
        <v/>
      </c>
      <c r="D828">
        <f>IF(Skills!C8=1,60+(Inputs!$B$26+1)+Inputs!$B$30,IF(Skills!C8=2,90+Inputs!$B$27+Inputs!$B$30,IF(Skills!C8=3,120+Inputs!$B$28+Inputs!$B$30,MAX(0,(Inputs!$B$3-100)*3)+Inputs!$B$29+Inputs!$B$30)))</f>
        <v/>
      </c>
      <c r="E828">
        <f>INDEX(FactorTable!$B$2:$Y$301, MATCH(ROUND(MIN(300,MAX(1,D828)),0), FactorTable!$A$2:$A$301,0), Skills!L8+1)</f>
        <v/>
      </c>
      <c r="F828">
        <f>IF(Skills!M8=TRUE,(Skills!K8/10)*(E828/1000),Skills!K8/10)+Skills!N8</f>
        <v/>
      </c>
      <c r="G828">
        <f>Calc!G8</f>
        <v/>
      </c>
      <c r="H828">
        <f>Calc!H8</f>
        <v/>
      </c>
      <c r="I828">
        <f>IF(Skills!T8&lt;&gt;"",1+(Skills!T8/10)*($Z$3/1000)/100,1)</f>
        <v/>
      </c>
      <c r="J828">
        <f>((Inputs!$B$6*(1+Inputs!$B$7/100))+(((Inputs!$B$13*(1+Inputs!$B$14/100))-(Inputs!$B$13*(1+Inputs!$B$14/100)))+0.25*(Inputs!$B$15-Inputs!$B$15))*(1+Inputs!$B$7/100))*(F828/100)</f>
        <v/>
      </c>
      <c r="K828">
        <f>J828*(1+(((Inputs!$B$13+IF(Inputs!$B$3&gt;=35,(10*INDEX(FactorTable!$B$2:$Y$301,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8="TRIUMPH_FEATHER",IF(C836=TRUE,F836,0),0)/100)*(1+IF(C847=TRUE,F847,0)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828)</f>
        <v/>
      </c>
      <c r="L828">
        <f>K828*(MIN(Inputs!$B$23+(F842-Calc!F22),(Inputs!$B$24+IF(ArtifactsInput!$M$15,CHOOSE(ArtifactsInput!$N$15+1,25,30,35,40,45,50)/100*(Inputs!$B$12-Inputs!$B$12),0)))/100+(Inputs!$B$24+IF(ArtifactsInput!$M$15,CHOOSE(ArtifactsInput!$N$15+1,25,30,35,40,45,50)/100*(Inputs!$B$12-Inputs!$B$12),0))/100)/2</f>
        <v/>
      </c>
      <c r="M828">
        <f>L828*(1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8">
        <f>L828*(1-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828*(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8">
        <f>(1-Summary!$B$11)*S828+Summary!$B$11*U828</f>
        <v/>
      </c>
      <c r="P828">
        <f>IF(B862=0,0,O828/B862)</f>
        <v/>
      </c>
      <c r="Q828">
        <f>IFERROR(1/(IF(Inputs!$B$39="pvp",15,MAX(0.1,Skills!D8-IF(Skills!E8=TRUE,Inputs!$B$33,0)))*(1-IF(AND(ArtifactsInput!$M$27,Inputs!$B$4="Chapter Hunt"),CHOOSE(ArtifactsInput!$N$27+1,20,24,28,32,36,40),0)/100)),0)</f>
        <v/>
      </c>
      <c r="R828">
        <f>IF(AND(Inputs!$B$39&lt;&gt;"pvp",Inputs!$B$44&gt;0),IF(MAX(0,Inputs!$B$44-B859)&lt;=0,0,(INT(MAX(0,Inputs!$B$44-B859)/(IF(Inputs!$B$39="pvp",15,MAX(0.1,Skills!D8-IF(Skills!E8=TRUE,Inputs!$B$33,0)))*(1-IF(AND(ArtifactsInput!$M$27,Inputs!$B$4="Chapter Hunt"),CHOOSE(ArtifactsInput!$N$27+1,20,24,28,32,36,40),0)/100)))+1)),0)</f>
        <v/>
      </c>
      <c r="S828">
        <f>IF(C828,(H828*N828*IF(AND(Inputs!$B$39&lt;&gt;"pvp",Inputs!$B$44&gt;0),((Skills!F8*((R828-1)*IF(Skills!G8&gt;0,Skills!H8/Skills!G8,1)+IF(Skills!G8&gt;0,MIN(Skills!H8,MAX(0,MAX(0,Inputs!$B$44-B859)-((R828-1)*(IF(Inputs!$B$39="pvp",15,MAX(0.1,Skills!D8-IF(Skills!E8=TRUE,Inputs!$B$33,0)))*(1-IF(AND(ArtifactsInput!$M$27,Inputs!$B$4="Chapter Hunt"),CHOOSE(ArtifactsInput!$N$27+1,20,24,28,32,36,40),0)/100)))))/Skills!G8,1)))/Inputs!$B$44),G828*Q828))*IF(Inputs!$B$39="pvp",1,1+(Inputs!$B$21+Skills!O8+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828*(1-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828*(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828*(1-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828*(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8">
        <f>IF(C828,(H828*N828*IF(AND(Inputs!$B$39&lt;&gt;"pvp",Inputs!$B$44&gt;0),((Skills!F8*((R828-1)*IF(Skills!G8&gt;0,Skills!H8/Skills!G8,1)+IF(Skills!G8&gt;0,MIN(Skills!H8,MAX(0,MAX(0,Inputs!$B$44-B859)-((R828-1)*(IF(Inputs!$B$39="pvp",15,MAX(0.1,Skills!D8-IF(Skills!E8=TRUE,Inputs!$B$33,0)))*(1-IF(AND(ArtifactsInput!$M$27,Inputs!$B$4="Chapter Hunt"),CHOOSE(ArtifactsInput!$N$27+1,20,24,28,32,36,40),0)/100)))))/Skills!G8,1)))/Inputs!$B$44),G828*Q828))*IF(Inputs!$B$39="pvp",1,(1+(Inputs!$B$22+Skills!P8+B851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9">
      <c r="A829">
        <f>Skills!A9</f>
        <v/>
      </c>
      <c r="B829">
        <f>Skills!B9</f>
        <v/>
      </c>
      <c r="C829">
        <f>Inputs!$B$3&gt;=115</f>
        <v/>
      </c>
      <c r="D829">
        <f>IF(Skills!C9=1,60+(Inputs!$B$26+1)+Inputs!$B$30,IF(Skills!C9=2,90+Inputs!$B$27+Inputs!$B$30,IF(Skills!C9=3,120+Inputs!$B$28+Inputs!$B$30,MAX(0,(Inputs!$B$3-100)*3)+Inputs!$B$29+Inputs!$B$30)))</f>
        <v/>
      </c>
      <c r="E829">
        <f>INDEX(FactorTable!$B$2:$Y$301, MATCH(ROUND(MIN(300,MAX(1,D829)),0), FactorTable!$A$2:$A$301,0), Skills!L9+1)</f>
        <v/>
      </c>
      <c r="F829">
        <f>IF(Skills!M9=TRUE,(Skills!K9/10)*(E829/1000),Skills!K9/10)+Skills!N9</f>
        <v/>
      </c>
      <c r="G829">
        <f>Calc!G9</f>
        <v/>
      </c>
      <c r="H829">
        <f>Calc!H9</f>
        <v/>
      </c>
      <c r="I829">
        <f>IF(Skills!T9&lt;&gt;"",1+(Skills!T9/10)*($Z$3/1000)/100,1)</f>
        <v/>
      </c>
      <c r="J829">
        <f>((Inputs!$B$6*(1+Inputs!$B$7/100))+(((Inputs!$B$13*(1+Inputs!$B$14/100))-(Inputs!$B$13*(1+Inputs!$B$14/100)))+0.25*(Inputs!$B$15-Inputs!$B$15))*(1+Inputs!$B$7/100))*(F829/100)</f>
        <v/>
      </c>
      <c r="K829">
        <f>J829*(1+(((Inputs!$B$13+IF(Inputs!$B$3&gt;=35,(10*INDEX(FactorTable!$B$2:$Y$301,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9="TRIUMPH_FEATHER",IF(C836=TRUE,F836,0),0)/100)*(1+IF(C847=TRUE,F847,0)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829)</f>
        <v/>
      </c>
      <c r="L829">
        <f>K829*(MIN(Inputs!$B$23+(F842-Calc!F22),(Inputs!$B$24+IF(ArtifactsInput!$M$15,CHOOSE(ArtifactsInput!$N$15+1,25,30,35,40,45,50)/100*(Inputs!$B$12-Inputs!$B$12),0)))/100+(Inputs!$B$24+IF(ArtifactsInput!$M$15,CHOOSE(ArtifactsInput!$N$15+1,25,30,35,40,45,50)/100*(Inputs!$B$12-Inputs!$B$12),0))/100)/2</f>
        <v/>
      </c>
      <c r="M829">
        <f>L829*(1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9">
        <f>L829*(1-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829*(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9">
        <f>(1-Summary!$B$11)*S829+Summary!$B$11*U829</f>
        <v/>
      </c>
      <c r="P829">
        <f>IF(B862=0,0,O829/B862)</f>
        <v/>
      </c>
      <c r="Q829">
        <f>IFERROR(1/(IF(Inputs!$B$39="pvp",15,MAX(0.1,Skills!D9-IF(Skills!E9=TRUE,Inputs!$B$33,0)))*(1-IF(AND(ArtifactsInput!$M$27,Inputs!$B$4="Chapter Hunt"),CHOOSE(ArtifactsInput!$N$27+1,20,24,28,32,36,40),0)/100)),0)</f>
        <v/>
      </c>
      <c r="R829">
        <f>IF(AND(Inputs!$B$39&lt;&gt;"pvp",Inputs!$B$44&gt;0),IF(MAX(0,Inputs!$B$44-B859)&lt;=0,0,(INT(MAX(0,Inputs!$B$44-B859)/(IF(Inputs!$B$39="pvp",15,MAX(0.1,Skills!D9-IF(Skills!E9=TRUE,Inputs!$B$33,0)))*(1-IF(AND(ArtifactsInput!$M$27,Inputs!$B$4="Chapter Hunt"),CHOOSE(ArtifactsInput!$N$27+1,20,24,28,32,36,40),0)/100)))+1)),0)</f>
        <v/>
      </c>
      <c r="S829">
        <f>IF(C829,(H829*N829*IF(AND(Inputs!$B$39&lt;&gt;"pvp",Inputs!$B$44&gt;0),((Skills!F9*((R829-1)*IF(Skills!G9&gt;0,Skills!H9/Skills!G9,1)+IF(Skills!G9&gt;0,MIN(Skills!H9,MAX(0,MAX(0,Inputs!$B$44-B859)-((R829-1)*(IF(Inputs!$B$39="pvp",15,MAX(0.1,Skills!D9-IF(Skills!E9=TRUE,Inputs!$B$33,0)))*(1-IF(AND(ArtifactsInput!$M$27,Inputs!$B$4="Chapter Hunt"),CHOOSE(ArtifactsInput!$N$27+1,20,24,28,32,36,40),0)/100)))))/Skills!G9,1)))/Inputs!$B$44),G829*Q829))*IF(Inputs!$B$39="pvp",1,1+(Inputs!$B$21+Skills!O9+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829*(1-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829*(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829*(1-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829*(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9">
        <f>IF(C829,(H829*N829*IF(AND(Inputs!$B$39&lt;&gt;"pvp",Inputs!$B$44&gt;0),((Skills!F9*((R829-1)*IF(Skills!G9&gt;0,Skills!H9/Skills!G9,1)+IF(Skills!G9&gt;0,MIN(Skills!H9,MAX(0,MAX(0,Inputs!$B$44-B859)-((R829-1)*(IF(Inputs!$B$39="pvp",15,MAX(0.1,Skills!D9-IF(Skills!E9=TRUE,Inputs!$B$33,0)))*(1-IF(AND(ArtifactsInput!$M$27,Inputs!$B$4="Chapter Hunt"),CHOOSE(ArtifactsInput!$N$27+1,20,24,28,32,36,40),0)/100)))))/Skills!G9,1)))/Inputs!$B$44),G829*Q829))*IF(Inputs!$B$39="pvp",1,(1+(Inputs!$B$22+Skills!P9+B851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0">
      <c r="A830">
        <f>Skills!A10</f>
        <v/>
      </c>
      <c r="B830">
        <f>Skills!B10</f>
        <v/>
      </c>
      <c r="C830">
        <f>Inputs!$B$3&gt;=66</f>
        <v/>
      </c>
      <c r="D830">
        <f>IF(Skills!C10=1,60+(Inputs!$B$26+1)+Inputs!$B$30,IF(Skills!C10=2,90+Inputs!$B$27+Inputs!$B$30,IF(Skills!C10=3,120+Inputs!$B$28+Inputs!$B$30,MAX(0,(Inputs!$B$3-100)*3)+Inputs!$B$29+Inputs!$B$30)))</f>
        <v/>
      </c>
      <c r="E830">
        <f>INDEX(FactorTable!$B$2:$Y$301, MATCH(ROUND(MIN(300,MAX(1,D830)),0), FactorTable!$A$2:$A$301,0), Skills!L10+1)</f>
        <v/>
      </c>
      <c r="F830" t="n">
        <v>0</v>
      </c>
      <c r="G830">
        <f>Calc!G10</f>
        <v/>
      </c>
      <c r="H830">
        <f>Calc!H10</f>
        <v/>
      </c>
      <c r="I830">
        <f>IF(Skills!T10&lt;&gt;"",1+(Skills!T10/10)*($Z$3/1000)/100,1)</f>
        <v/>
      </c>
      <c r="J830" t="inlineStr"/>
      <c r="K830" t="inlineStr"/>
      <c r="L830" t="inlineStr"/>
      <c r="M830" t="inlineStr"/>
      <c r="N830" t="inlineStr"/>
      <c r="O830">
        <f>(1-Summary!$B$11)*S830+Summary!$B$11*U830</f>
        <v/>
      </c>
      <c r="P830">
        <f>IF(B862=0,0,O830/B862)</f>
        <v/>
      </c>
      <c r="Q830">
        <f>IFERROR(1/(IF(Inputs!$B$39="pvp",15,MAX(0.1,Skills!D10-IF(Skills!E10=TRUE,Inputs!$B$33,0)))*(1-IF(AND(ArtifactsInput!$M$27,Inputs!$B$4="Chapter Hunt"),CHOOSE(ArtifactsInput!$N$27+1,20,24,28,32,36,40),0)/100)),0)</f>
        <v/>
      </c>
      <c r="R830">
        <f>IF(AND(Inputs!$B$39&lt;&gt;"pvp",Inputs!$B$44&gt;0),IF(MAX(0,Inputs!$B$44-B859)&lt;=0,0,(INT(MAX(0,Inputs!$B$44-B859)/(IF(Inputs!$B$39="pvp",15,MAX(0.1,Skills!D10-IF(Skills!E10=TRUE,Inputs!$B$33,0)))*(1-IF(AND(ArtifactsInput!$M$27,Inputs!$B$4="Chapter Hunt"),CHOOSE(ArtifactsInput!$N$27+1,20,24,28,32,36,40),0)/100)))+1)),0)</f>
        <v/>
      </c>
      <c r="S830" t="n">
        <v>0</v>
      </c>
      <c r="U830" t="n">
        <v>0</v>
      </c>
    </row>
    <row r="831">
      <c r="A831">
        <f>Skills!A11</f>
        <v/>
      </c>
      <c r="B831">
        <f>Skills!B11</f>
        <v/>
      </c>
      <c r="C831">
        <f>Inputs!$B$3&gt;=69</f>
        <v/>
      </c>
      <c r="D831">
        <f>IF(Skills!C11=1,60+(Inputs!$B$26+1)+Inputs!$B$30,IF(Skills!C11=2,90+Inputs!$B$27+Inputs!$B$30,IF(Skills!C11=3,120+Inputs!$B$28+Inputs!$B$30,MAX(0,(Inputs!$B$3-100)*3)+Inputs!$B$29+Inputs!$B$30)))</f>
        <v/>
      </c>
      <c r="E831">
        <f>INDEX(FactorTable!$B$2:$Y$301, MATCH(ROUND(MIN(300,MAX(1,D831)),0), FactorTable!$A$2:$A$301,0), Skills!L11+1)</f>
        <v/>
      </c>
      <c r="F831">
        <f>IF(Skills!M11=TRUE,(Skills!K11/10)*(E831/1000),Skills!K11/10)+Skills!N11</f>
        <v/>
      </c>
      <c r="G831">
        <f>Calc!G11</f>
        <v/>
      </c>
      <c r="H831">
        <f>Calc!H11</f>
        <v/>
      </c>
      <c r="I831">
        <f>IF(Skills!T11&lt;&gt;"",1+(Skills!T11/10)*($Z$3/1000)/100,1)</f>
        <v/>
      </c>
      <c r="J831" t="inlineStr"/>
      <c r="K831" t="inlineStr"/>
      <c r="L831" t="inlineStr"/>
      <c r="M831" t="inlineStr"/>
      <c r="N831" t="inlineStr"/>
      <c r="O831">
        <f>(1-Summary!$B$11)*S831+Summary!$B$11*U831</f>
        <v/>
      </c>
      <c r="P831">
        <f>IF(B862=0,0,O831/B862)</f>
        <v/>
      </c>
      <c r="Q831">
        <f>IFERROR(1/(IF(Inputs!$B$39="pvp",15,MAX(0.1,Skills!D11-IF(Skills!E11=TRUE,Inputs!$B$33,0)))*(1-IF(AND(ArtifactsInput!$M$27,Inputs!$B$4="Chapter Hunt"),CHOOSE(ArtifactsInput!$N$27+1,20,24,28,32,36,40),0)/100)),0)</f>
        <v/>
      </c>
      <c r="R831">
        <f>IF(AND(Inputs!$B$39&lt;&gt;"pvp",Inputs!$B$44&gt;0),IF(Inputs!$B$44&lt;=0,0,(INT(Inputs!$B$44/(IF(Inputs!$B$39="pvp",15,MAX(0.1,Skills!D11-IF(Skills!E11=TRUE,Inputs!$B$33,0)))*(1-IF(AND(ArtifactsInput!$M$27,Inputs!$B$4="Chapter Hunt"),CHOOSE(ArtifactsInput!$N$27+1,20,24,28,32,36,40),0)/100)))+1)),0)</f>
        <v/>
      </c>
      <c r="S831" t="n">
        <v>0</v>
      </c>
      <c r="U831" t="n">
        <v>0</v>
      </c>
    </row>
    <row r="832">
      <c r="A832">
        <f>Skills!A12</f>
        <v/>
      </c>
      <c r="B832">
        <f>Skills!B12</f>
        <v/>
      </c>
      <c r="C832">
        <f>Inputs!$B$3&gt;=72</f>
        <v/>
      </c>
      <c r="D832">
        <f>IF(Skills!C12=1,60+(Inputs!$B$26+1)+Inputs!$B$30,IF(Skills!C12=2,90+Inputs!$B$27+Inputs!$B$30,IF(Skills!C12=3,120+Inputs!$B$28+Inputs!$B$30,MAX(0,(Inputs!$B$3-100)*3)+Inputs!$B$29+Inputs!$B$30)))</f>
        <v/>
      </c>
      <c r="E832">
        <f>INDEX(FactorTable!$B$2:$Y$301, MATCH(ROUND(MIN(300,MAX(1,D832)),0), FactorTable!$A$2:$A$301,0), Skills!L12+1)</f>
        <v/>
      </c>
      <c r="F832">
        <f>IF(Skills!M12=TRUE,(Skills!K12/10)*(E832/1000),Skills!K12/10)+Skills!N12</f>
        <v/>
      </c>
      <c r="G832">
        <f>Calc!G12</f>
        <v/>
      </c>
      <c r="H832">
        <f>Calc!H12</f>
        <v/>
      </c>
      <c r="I832">
        <f>IF(Skills!T12&lt;&gt;"",1+(Skills!T12/10)*($Z$3/1000)/100,1)</f>
        <v/>
      </c>
      <c r="J832" t="inlineStr"/>
      <c r="K832" t="inlineStr"/>
      <c r="L832" t="inlineStr"/>
      <c r="M832" t="inlineStr"/>
      <c r="N832" t="inlineStr"/>
      <c r="O832">
        <f>(1-Summary!$B$11)*S832+Summary!$B$11*U832</f>
        <v/>
      </c>
      <c r="P832">
        <f>IF(B862=0,0,O832/B862)</f>
        <v/>
      </c>
      <c r="Q832">
        <f>IFERROR(1/(IF(Inputs!$B$39="pvp",15,MAX(0.1,Skills!D12-IF(Skills!E12=TRUE,Inputs!$B$33,0)))*(1-IF(AND(ArtifactsInput!$M$27,Inputs!$B$4="Chapter Hunt"),CHOOSE(ArtifactsInput!$N$27+1,20,24,28,32,36,40),0)/100)),0)</f>
        <v/>
      </c>
      <c r="R832">
        <f>IF(AND(Inputs!$B$39&lt;&gt;"pvp",Inputs!$B$44&gt;0),IF(MAX(0,Inputs!$B$44-B859)&lt;=0,0,(INT(MAX(0,Inputs!$B$44-B859)/(IF(Inputs!$B$39="pvp",15,MAX(0.1,Skills!D12-IF(Skills!E12=TRUE,Inputs!$B$33,0)))*(1-IF(AND(ArtifactsInput!$M$27,Inputs!$B$4="Chapter Hunt"),CHOOSE(ArtifactsInput!$N$27+1,20,24,28,32,36,40),0)/100)))+1)),0)</f>
        <v/>
      </c>
      <c r="S832" t="n">
        <v>0</v>
      </c>
      <c r="U832" t="n">
        <v>0</v>
      </c>
    </row>
    <row r="833">
      <c r="A833">
        <f>Skills!A13</f>
        <v/>
      </c>
      <c r="B833">
        <f>Skills!B13</f>
        <v/>
      </c>
      <c r="C833">
        <f>Inputs!$B$3&gt;=60</f>
        <v/>
      </c>
      <c r="D833">
        <f>IF(Skills!C13=1,60+(Inputs!$B$26+1)+Inputs!$B$30,IF(Skills!C13=2,90+Inputs!$B$27+Inputs!$B$30,IF(Skills!C13=3,120+Inputs!$B$28+Inputs!$B$30,MAX(0,(Inputs!$B$3-100)*3)+Inputs!$B$29+Inputs!$B$30)))</f>
        <v/>
      </c>
      <c r="E833">
        <f>INDEX(FactorTable!$B$2:$Y$301, MATCH(ROUND(MIN(300,MAX(1,D833)),0), FactorTable!$A$2:$A$301,0), Skills!L13+1)</f>
        <v/>
      </c>
      <c r="F833">
        <f>IF(Skills!M13=TRUE,(Skills!K13/10)*(E833/1000),Skills!K13/10)+Skills!N13</f>
        <v/>
      </c>
      <c r="G833">
        <f>Calc!G13</f>
        <v/>
      </c>
      <c r="H833">
        <f>Calc!H13</f>
        <v/>
      </c>
      <c r="I833">
        <f>IF(Skills!T13&lt;&gt;"",1+(Skills!T13/10)*($Z$3/1000)/100,1)</f>
        <v/>
      </c>
      <c r="J833" t="inlineStr"/>
      <c r="K833" t="inlineStr"/>
      <c r="L833" t="inlineStr"/>
      <c r="M833" t="inlineStr"/>
      <c r="N833" t="inlineStr"/>
      <c r="O833">
        <f>(1-Summary!$B$11)*S833+Summary!$B$11*U833</f>
        <v/>
      </c>
      <c r="P833">
        <f>IF(B862=0,0,O833/B862)</f>
        <v/>
      </c>
      <c r="Q833">
        <f>IFERROR(1/(IF(Inputs!$B$39="pvp",15,MAX(0.1,Skills!D13-IF(Skills!E13=TRUE,Inputs!$B$33,0)))*(1-IF(AND(ArtifactsInput!$M$27,Inputs!$B$4="Chapter Hunt"),CHOOSE(ArtifactsInput!$N$27+1,20,24,28,32,36,40),0)/100)),0)</f>
        <v/>
      </c>
      <c r="R833">
        <f>IF(AND(Inputs!$B$39&lt;&gt;"pvp",Inputs!$B$44&gt;0),IF(MAX(0,Inputs!$B$44-B859)&lt;=0,0,(INT(MAX(0,Inputs!$B$44-B859)/(IF(Inputs!$B$39="pvp",15,MAX(0.1,Skills!D13-IF(Skills!E13=TRUE,Inputs!$B$33,0)))*(1-IF(AND(ArtifactsInput!$M$27,Inputs!$B$4="Chapter Hunt"),CHOOSE(ArtifactsInput!$N$27+1,20,24,28,32,36,40),0)/100)))+1)),0)</f>
        <v/>
      </c>
      <c r="S833" t="n">
        <v>0</v>
      </c>
      <c r="U833" t="n">
        <v>0</v>
      </c>
    </row>
    <row r="834">
      <c r="A834">
        <f>Skills!A14</f>
        <v/>
      </c>
      <c r="B834">
        <f>Skills!B14</f>
        <v/>
      </c>
      <c r="C834">
        <f>Inputs!$B$3&gt;=107</f>
        <v/>
      </c>
      <c r="D834">
        <f>IF(Skills!C14=1,60+(Inputs!$B$26+1)+Inputs!$B$30,IF(Skills!C14=2,90+Inputs!$B$27+Inputs!$B$30,IF(Skills!C14=3,120+Inputs!$B$28+Inputs!$B$30,MAX(0,(Inputs!$B$3-100)*3)+Inputs!$B$29+Inputs!$B$30)))</f>
        <v/>
      </c>
      <c r="E834">
        <f>INDEX(FactorTable!$B$2:$Y$301, MATCH(ROUND(MIN(300,MAX(1,D834)),0), FactorTable!$A$2:$A$301,0), Skills!L14+1)</f>
        <v/>
      </c>
      <c r="F834">
        <f>IF(Skills!M14=TRUE,(Skills!K14/10)*(E834/1000),Skills!K14/10)+Skills!N14</f>
        <v/>
      </c>
      <c r="G834">
        <f>Calc!G14</f>
        <v/>
      </c>
      <c r="H834">
        <f>Calc!H14</f>
        <v/>
      </c>
      <c r="I834">
        <f>IF(Skills!T14&lt;&gt;"",1+(Skills!T14/10)*($Z$3/1000)/100,1)</f>
        <v/>
      </c>
      <c r="J834" t="inlineStr"/>
      <c r="K834" t="inlineStr"/>
      <c r="L834" t="inlineStr"/>
      <c r="M834" t="inlineStr"/>
      <c r="N834" t="inlineStr"/>
      <c r="O834">
        <f>(1-Summary!$B$11)*S834+Summary!$B$11*U834</f>
        <v/>
      </c>
      <c r="P834">
        <f>IF(B862=0,0,O834/B862)</f>
        <v/>
      </c>
      <c r="Q834">
        <f>IFERROR(1/(IF(Inputs!$B$39="pvp",15,MAX(0.1,Skills!D14-IF(Skills!E14=TRUE,Inputs!$B$33,0)))*(1-IF(AND(ArtifactsInput!$M$27,Inputs!$B$4="Chapter Hunt"),CHOOSE(ArtifactsInput!$N$27+1,20,24,28,32,36,40),0)/100)),0)</f>
        <v/>
      </c>
      <c r="R834">
        <f>IF(AND(Inputs!$B$39&lt;&gt;"pvp",Inputs!$B$44&gt;0),IF(Inputs!$B$44&lt;=0,0,(INT(Inputs!$B$44/(IF(Inputs!$B$39="pvp",15,MAX(0.1,Skills!D14-IF(Skills!E14=TRUE,Inputs!$B$33,0)))*(1-IF(AND(ArtifactsInput!$M$27,Inputs!$B$4="Chapter Hunt"),CHOOSE(ArtifactsInput!$N$27+1,20,24,28,32,36,40),0)/100)))+1)),0)</f>
        <v/>
      </c>
      <c r="S834" t="n">
        <v>0</v>
      </c>
      <c r="U834" t="n">
        <v>0</v>
      </c>
    </row>
    <row r="835">
      <c r="A835">
        <f>Skills!A15</f>
        <v/>
      </c>
      <c r="B835">
        <f>Skills!B15</f>
        <v/>
      </c>
      <c r="C835">
        <f>Inputs!$B$3&gt;=63</f>
        <v/>
      </c>
      <c r="D835">
        <f>IF(Skills!C15=1,60+(Inputs!$B$26+1)+Inputs!$B$30,IF(Skills!C15=2,90+Inputs!$B$27+Inputs!$B$30,IF(Skills!C15=3,120+Inputs!$B$28+Inputs!$B$30,MAX(0,(Inputs!$B$3-100)*3)+Inputs!$B$29+Inputs!$B$30)))</f>
        <v/>
      </c>
      <c r="E835">
        <f>INDEX(FactorTable!$B$2:$Y$301, MATCH(ROUND(MIN(300,MAX(1,D835)),0), FactorTable!$A$2:$A$301,0), Skills!L15+1)</f>
        <v/>
      </c>
      <c r="F835">
        <f>IF(Skills!M15=TRUE,(Skills!K15/10)*(E835/1000),Skills!K15/10)+Skills!N15</f>
        <v/>
      </c>
      <c r="G835">
        <f>Calc!G15</f>
        <v/>
      </c>
      <c r="H835">
        <f>Calc!H15</f>
        <v/>
      </c>
      <c r="I835">
        <f>IF(Skills!T15&lt;&gt;"",1+(Skills!T15/10)*($Z$3/1000)/100,1)</f>
        <v/>
      </c>
      <c r="J835">
        <f>((Inputs!$B$6*(1+Inputs!$B$7/100))+(((Inputs!$B$13*(1+Inputs!$B$14/100))-(Inputs!$B$13*(1+Inputs!$B$14/100)))+0.25*(Inputs!$B$15-Inputs!$B$15))*(1+Inputs!$B$7/100))*(F835/100)</f>
        <v/>
      </c>
      <c r="K835">
        <f>J835*(1+(((Inputs!$B$13+IF(Inputs!$B$3&gt;=35,(10*INDEX(FactorTable!$B$2:$Y$301,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15="TRIUMPH_FEATHER",IF(C836=TRUE,F836,0),0)/100)*(1+IF(C847=TRUE,F847,0)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835)</f>
        <v/>
      </c>
      <c r="L835">
        <f>K835*(MIN(Inputs!$B$23+(F842-Calc!F22),(Inputs!$B$24+IF(ArtifactsInput!$M$15,CHOOSE(ArtifactsInput!$N$15+1,25,30,35,40,45,50)/100*(Inputs!$B$12-Inputs!$B$12),0)))/100+(Inputs!$B$24+IF(ArtifactsInput!$M$15,CHOOSE(ArtifactsInput!$N$15+1,25,30,35,40,45,50)/100*(Inputs!$B$12-Inputs!$B$12),0))/100)/2</f>
        <v/>
      </c>
      <c r="M835">
        <f>L835*(1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5">
        <f>L835*(1-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(1-Summary!$B$11)*S835+Summary!$B$11*U835</f>
        <v/>
      </c>
      <c r="P835">
        <f>IF(B862=0,0,O835/B862)</f>
        <v/>
      </c>
      <c r="Q835">
        <f>IFERROR(1/(IF(Inputs!$B$39="pvp",15,MAX(0.1,Skills!D15-IF(Skills!E15=TRUE,Inputs!$B$33,0)))*(1-IF(AND(ArtifactsInput!$M$27,Inputs!$B$4="Chapter Hunt"),CHOOSE(ArtifactsInput!$N$27+1,20,24,28,32,36,40),0)/100)),0)</f>
        <v/>
      </c>
      <c r="R835" t="n">
        <v>0</v>
      </c>
      <c r="S835">
        <f>IF(C835,(Skills!F15*N835*((IF(Inputs!$B$3&gt;=78,25,15)/100*B855*10)/(1+IF(Inputs!$B$3&gt;=78,25,15)/100*B855*10))*(Skills!I15/100*B855)/(1+Skills!G15*Skills!I15/100*B855))*IF(Inputs!$B$39="pvp",1,1+(Inputs!$B$21+Skills!O15+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835*(1-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5">
        <f>IF(C835,(Skills!F15*N835*((IF(Inputs!$B$3&gt;=78,25,15)/100*B855*10)/(1+IF(Inputs!$B$3&gt;=78,25,15)/100*B855*10))*(Skills!I15/100*B855)/(1+Skills!G15*Skills!I15/100*B855))*IF(Inputs!$B$39="pvp",1,(1+(Inputs!$B$22+Skills!P15+B851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Skills!A16</f>
        <v/>
      </c>
      <c r="B836">
        <f>Skills!B16</f>
        <v/>
      </c>
      <c r="C836">
        <f>Inputs!$B$3&gt;=100</f>
        <v/>
      </c>
      <c r="D836">
        <f>IF(Skills!C16=1,60+(Inputs!$B$26+1)+Inputs!$B$30,IF(Skills!C16=2,90+Inputs!$B$27+Inputs!$B$30,IF(Skills!C16=3,120+Inputs!$B$28+Inputs!$B$30,MAX(0,(Inputs!$B$3-100)*3)+Inputs!$B$29+Inputs!$B$30)))</f>
        <v/>
      </c>
      <c r="E836">
        <f>INDEX(FactorTable!$B$2:$Y$301, MATCH(ROUND(MIN(300,MAX(1,D836)),0), FactorTable!$A$2:$A$301,0), Skills!L16+1)</f>
        <v/>
      </c>
      <c r="F836">
        <f>IF(Skills!M16=TRUE,(Skills!K16/10)*(E836/1000),Skills!K16/10)+Skills!N16</f>
        <v/>
      </c>
      <c r="G836">
        <f>Calc!G16</f>
        <v/>
      </c>
      <c r="H836">
        <f>Calc!H16</f>
        <v/>
      </c>
      <c r="I836">
        <f>IF(Skills!T16&lt;&gt;"",1+(Skills!T16/10)*($Z$3/1000)/100,1)</f>
        <v/>
      </c>
      <c r="J836" t="inlineStr"/>
      <c r="K836" t="inlineStr"/>
      <c r="L836" t="inlineStr"/>
      <c r="M836" t="inlineStr"/>
      <c r="N836" t="inlineStr"/>
      <c r="O836">
        <f>(1-Summary!$B$11)*S836+Summary!$B$11*U836</f>
        <v/>
      </c>
      <c r="P836">
        <f>IF(B862=0,0,O836/B862)</f>
        <v/>
      </c>
      <c r="Q836">
        <f>IFERROR(1/(IF(Inputs!$B$39="pvp",15,MAX(0.1,Skills!D16-IF(Skills!E16=TRUE,Inputs!$B$33,0)))*(1-IF(AND(ArtifactsInput!$M$27,Inputs!$B$4="Chapter Hunt"),CHOOSE(ArtifactsInput!$N$27+1,20,24,28,32,36,40),0)/100)),0)</f>
        <v/>
      </c>
      <c r="R836" t="n">
        <v>0</v>
      </c>
      <c r="S836" t="n">
        <v>0</v>
      </c>
      <c r="U836" t="n">
        <v>0</v>
      </c>
    </row>
    <row r="837">
      <c r="A837">
        <f>Skills!A17</f>
        <v/>
      </c>
      <c r="B837">
        <f>Skills!B17</f>
        <v/>
      </c>
      <c r="C837">
        <f>Inputs!$B$3&gt;=49</f>
        <v/>
      </c>
      <c r="D837">
        <f>IF(Skills!C17=1,60+(Inputs!$B$26+1)+Inputs!$B$30,IF(Skills!C17=2,90+Inputs!$B$27+Inputs!$B$30,IF(Skills!C17=3,120+Inputs!$B$28+Inputs!$B$30,MAX(0,(Inputs!$B$3-100)*3)+Inputs!$B$29+Inputs!$B$30)))</f>
        <v/>
      </c>
      <c r="E837">
        <f>INDEX(FactorTable!$B$2:$Y$301, MATCH(ROUND(MIN(300,MAX(1,D837)),0), FactorTable!$A$2:$A$301,0), Skills!L17+1)</f>
        <v/>
      </c>
      <c r="F837">
        <f>IF(Skills!M17=TRUE,(Skills!K17/10)*(E837/1000),Skills!K17/10)+Skills!N17</f>
        <v/>
      </c>
      <c r="G837">
        <f>Calc!G17</f>
        <v/>
      </c>
      <c r="H837">
        <f>Calc!H17</f>
        <v/>
      </c>
      <c r="I837">
        <f>IF(Skills!T17&lt;&gt;"",1+(Skills!T17/10)*($Z$3/1000)/100,1)</f>
        <v/>
      </c>
      <c r="J837" t="inlineStr"/>
      <c r="K837" t="inlineStr"/>
      <c r="L837" t="inlineStr"/>
      <c r="M837" t="inlineStr"/>
      <c r="N837" t="inlineStr"/>
      <c r="O837">
        <f>(1-Summary!$B$11)*S837+Summary!$B$11*U837</f>
        <v/>
      </c>
      <c r="P837">
        <f>IF(B862=0,0,O837/B862)</f>
        <v/>
      </c>
      <c r="Q837">
        <f>IFERROR(1/(IF(Inputs!$B$39="pvp",15,MAX(0.1,Skills!D17-IF(Skills!E17=TRUE,Inputs!$B$33,0)))*(1-IF(AND(ArtifactsInput!$M$27,Inputs!$B$4="Chapter Hunt"),CHOOSE(ArtifactsInput!$N$27+1,20,24,28,32,36,40),0)/100)),0)</f>
        <v/>
      </c>
      <c r="R837" t="n">
        <v>0</v>
      </c>
      <c r="S837" t="n">
        <v>0</v>
      </c>
      <c r="U837" t="n">
        <v>0</v>
      </c>
    </row>
    <row r="838">
      <c r="A838">
        <f>Skills!A18</f>
        <v/>
      </c>
      <c r="B838">
        <f>Skills!B18</f>
        <v/>
      </c>
      <c r="C838">
        <f>Inputs!$B$3&gt;=75</f>
        <v/>
      </c>
      <c r="D838">
        <f>IF(Skills!C18=1,60+(Inputs!$B$26+1)+Inputs!$B$30,IF(Skills!C18=2,90+Inputs!$B$27+Inputs!$B$30,IF(Skills!C18=3,120+Inputs!$B$28+Inputs!$B$30,MAX(0,(Inputs!$B$3-100)*3)+Inputs!$B$29+Inputs!$B$30)))</f>
        <v/>
      </c>
      <c r="E838">
        <f>INDEX(FactorTable!$B$2:$Y$301, MATCH(ROUND(MIN(300,MAX(1,D838)),0), FactorTable!$A$2:$A$301,0), Skills!L18+1)</f>
        <v/>
      </c>
      <c r="F838">
        <f>IF(Skills!M18=TRUE,(Skills!K18/10)*(E838/1000),Skills!K18/10)+Skills!N18</f>
        <v/>
      </c>
      <c r="G838">
        <f>Calc!G18</f>
        <v/>
      </c>
      <c r="H838">
        <f>Calc!H18</f>
        <v/>
      </c>
      <c r="I838">
        <f>IF(Skills!T18&lt;&gt;"",1+(Skills!T18/10)*($Z$3/1000)/100,1)</f>
        <v/>
      </c>
      <c r="J838" t="inlineStr"/>
      <c r="K838" t="inlineStr"/>
      <c r="L838" t="inlineStr"/>
      <c r="M838" t="inlineStr"/>
      <c r="N838" t="inlineStr"/>
      <c r="O838">
        <f>(1-Summary!$B$11)*S838+Summary!$B$11*U838</f>
        <v/>
      </c>
      <c r="P838">
        <f>IF(B862=0,0,O838/B862)</f>
        <v/>
      </c>
      <c r="Q838">
        <f>IFERROR(1/(IF(Inputs!$B$39="pvp",15,MAX(0.1,Skills!D18-IF(Skills!E18=TRUE,Inputs!$B$33,0)))*(1-IF(AND(ArtifactsInput!$M$27,Inputs!$B$4="Chapter Hunt"),CHOOSE(ArtifactsInput!$N$27+1,20,24,28,32,36,40),0)/100)),0)</f>
        <v/>
      </c>
      <c r="R838" t="n">
        <v>0</v>
      </c>
      <c r="S838" t="n">
        <v>0</v>
      </c>
      <c r="U838" t="n">
        <v>0</v>
      </c>
    </row>
    <row r="839">
      <c r="A839">
        <f>Skills!A19</f>
        <v/>
      </c>
      <c r="B839">
        <f>Skills!B19</f>
        <v/>
      </c>
      <c r="C839">
        <f>Inputs!$B$3&gt;=110</f>
        <v/>
      </c>
      <c r="D839">
        <f>IF(Skills!C19=1,60+(Inputs!$B$26+1)+Inputs!$B$30,IF(Skills!C19=2,90+Inputs!$B$27+Inputs!$B$30,IF(Skills!C19=3,120+Inputs!$B$28+Inputs!$B$30,MAX(0,(Inputs!$B$3-100)*3)+Inputs!$B$29+Inputs!$B$30)))</f>
        <v/>
      </c>
      <c r="E839">
        <f>INDEX(FactorTable!$B$2:$Y$301, MATCH(ROUND(MIN(300,MAX(1,D839)),0), FactorTable!$A$2:$A$301,0), Skills!L19+1)</f>
        <v/>
      </c>
      <c r="F839">
        <f>(Skills!K19/10)*(E839/1000)*64/45+Skills!N19</f>
        <v/>
      </c>
      <c r="G839">
        <f>Calc!G19</f>
        <v/>
      </c>
      <c r="H839">
        <f>Calc!H19</f>
        <v/>
      </c>
      <c r="I839">
        <f>IF(Skills!T19&lt;&gt;"",1+(Skills!T19/10)*($Z$3/1000)/100,1)</f>
        <v/>
      </c>
      <c r="J839" t="inlineStr"/>
      <c r="K839" t="inlineStr"/>
      <c r="L839" t="inlineStr"/>
      <c r="M839" t="inlineStr"/>
      <c r="N839" t="inlineStr"/>
      <c r="O839">
        <f>(1-Summary!$B$11)*S839+Summary!$B$11*U839</f>
        <v/>
      </c>
      <c r="P839">
        <f>IF(B862=0,0,O839/B862)</f>
        <v/>
      </c>
      <c r="Q839">
        <f>IFERROR(1/(IF(Inputs!$B$39="pvp",15,MAX(0.1,Skills!D19-IF(Skills!E19=TRUE,Inputs!$B$33,0)))*(1-IF(AND(ArtifactsInput!$M$27,Inputs!$B$4="Chapter Hunt"),CHOOSE(ArtifactsInput!$N$27+1,20,24,28,32,36,40),0)/100)),0)</f>
        <v/>
      </c>
      <c r="R839">
        <f>IF(AND(Inputs!$B$39&lt;&gt;"pvp",Inputs!$B$44&gt;0),IF(Inputs!$B$44&lt;=0,0,(INT(Inputs!$B$44/(IF(Inputs!$B$39="pvp",15,MAX(0.1,Skills!D19-IF(Skills!E19=TRUE,Inputs!$B$33,0)))*(1-IF(AND(ArtifactsInput!$M$27,Inputs!$B$4="Chapter Hunt"),CHOOSE(ArtifactsInput!$N$27+1,20,24,28,32,36,40),0)/100)))+1)),0)</f>
        <v/>
      </c>
      <c r="S839" t="n">
        <v>0</v>
      </c>
      <c r="U839" t="n">
        <v>0</v>
      </c>
    </row>
    <row r="840">
      <c r="A840">
        <f>Skills!A20</f>
        <v/>
      </c>
      <c r="B840">
        <f>Skills!B20</f>
        <v/>
      </c>
      <c r="C840">
        <f>Inputs!$B$3&gt;=125</f>
        <v/>
      </c>
      <c r="D840">
        <f>IF(Skills!C20=1,60+(Inputs!$B$26+1)+Inputs!$B$30,IF(Skills!C20=2,90+Inputs!$B$27+Inputs!$B$30,IF(Skills!C20=3,120+Inputs!$B$28+Inputs!$B$30,MAX(0,(Inputs!$B$3-100)*3)+Inputs!$B$29+Inputs!$B$30)))</f>
        <v/>
      </c>
      <c r="E840">
        <f>INDEX(FactorTable!$B$2:$Y$301, MATCH(ROUND(MIN(300,MAX(1,D840)),0), FactorTable!$A$2:$A$301,0), Skills!L20+1)</f>
        <v/>
      </c>
      <c r="F840">
        <f>IF(Skills!M20=TRUE,(Skills!K20/10)*(E840/1000),Skills!K20/10)+Skills!N20</f>
        <v/>
      </c>
      <c r="G840">
        <f>Calc!G20</f>
        <v/>
      </c>
      <c r="H840">
        <f>Calc!H20</f>
        <v/>
      </c>
      <c r="I840">
        <f>IF(Skills!T20&lt;&gt;"",1+(Skills!T20/10)*($Z$3/1000)/100,1)</f>
        <v/>
      </c>
      <c r="J840" t="inlineStr"/>
      <c r="K840" t="inlineStr"/>
      <c r="L840" t="inlineStr"/>
      <c r="M840" t="inlineStr"/>
      <c r="N840" t="inlineStr"/>
      <c r="O840">
        <f>(1-Summary!$B$11)*S840+Summary!$B$11*U840</f>
        <v/>
      </c>
      <c r="P840">
        <f>IF(B862=0,0,O840/B862)</f>
        <v/>
      </c>
      <c r="Q840">
        <f>IFERROR(1/(IF(Inputs!$B$39="pvp",15,MAX(0.1,Skills!D20-IF(Skills!E20=TRUE,Inputs!$B$33,0)))*(1-IF(AND(ArtifactsInput!$M$27,Inputs!$B$4="Chapter Hunt"),CHOOSE(ArtifactsInput!$N$27+1,20,24,28,32,36,40),0)/100)),0)</f>
        <v/>
      </c>
      <c r="R840" t="n">
        <v>0</v>
      </c>
      <c r="S840" t="n">
        <v>0</v>
      </c>
      <c r="U840" t="n">
        <v>0</v>
      </c>
    </row>
    <row r="841">
      <c r="A841">
        <f>Skills!A21</f>
        <v/>
      </c>
      <c r="B841">
        <f>Skills!B21</f>
        <v/>
      </c>
      <c r="C841">
        <f>Inputs!$B$3&gt;=33</f>
        <v/>
      </c>
      <c r="D841">
        <f>IF(Skills!C21=1,60+(Inputs!$B$26+1)+Inputs!$B$30,IF(Skills!C21=2,90+Inputs!$B$27+Inputs!$B$30,IF(Skills!C21=3,120+Inputs!$B$28+Inputs!$B$30,MAX(0,(Inputs!$B$3-100)*3)+Inputs!$B$29+Inputs!$B$30)))</f>
        <v/>
      </c>
      <c r="E841">
        <f>INDEX(FactorTable!$B$2:$Y$301, MATCH(ROUND(MIN(300,MAX(1,D841)),0), FactorTable!$A$2:$A$301,0), Skills!L21+1)</f>
        <v/>
      </c>
      <c r="F841">
        <f>IF(Skills!M21=TRUE,(Skills!K21/10)*(E841/1000),Skills!K21/10)+Skills!N21</f>
        <v/>
      </c>
      <c r="G841">
        <f>Calc!G21</f>
        <v/>
      </c>
      <c r="H841">
        <f>Calc!H21</f>
        <v/>
      </c>
      <c r="I841">
        <f>IF(Skills!T21&lt;&gt;"",1+(Skills!T21/10)*($Z$3/1000)/100,1)</f>
        <v/>
      </c>
      <c r="J841" t="inlineStr"/>
      <c r="K841" t="inlineStr"/>
      <c r="L841" t="inlineStr"/>
      <c r="M841" t="inlineStr"/>
      <c r="N841" t="inlineStr"/>
      <c r="O841">
        <f>(1-Summary!$B$11)*S841+Summary!$B$11*U841</f>
        <v/>
      </c>
      <c r="P841">
        <f>IF(B862=0,0,O841/B862)</f>
        <v/>
      </c>
      <c r="Q841">
        <f>IFERROR(1/(IF(Inputs!$B$39="pvp",15,MAX(0.1,Skills!D21-IF(Skills!E21=TRUE,Inputs!$B$33,0)))*(1-IF(AND(ArtifactsInput!$M$27,Inputs!$B$4="Chapter Hunt"),CHOOSE(ArtifactsInput!$N$27+1,20,24,28,32,36,40),0)/100)),0)</f>
        <v/>
      </c>
      <c r="R841" t="n">
        <v>0</v>
      </c>
      <c r="S841" t="n">
        <v>0</v>
      </c>
      <c r="U841" t="n">
        <v>0</v>
      </c>
    </row>
    <row r="842">
      <c r="A842">
        <f>Skills!A22</f>
        <v/>
      </c>
      <c r="B842">
        <f>Skills!B22</f>
        <v/>
      </c>
      <c r="C842">
        <f>Inputs!$B$3&gt;=43</f>
        <v/>
      </c>
      <c r="D842">
        <f>IF(Skills!C22=1,60+(Inputs!$B$26+1)+Inputs!$B$30,IF(Skills!C22=2,90+Inputs!$B$27+Inputs!$B$30,IF(Skills!C22=3,120+Inputs!$B$28+Inputs!$B$30,MAX(0,(Inputs!$B$3-100)*3)+Inputs!$B$29+Inputs!$B$30)))</f>
        <v/>
      </c>
      <c r="E842">
        <f>INDEX(FactorTable!$B$2:$Y$301, MATCH(ROUND(MIN(300,MAX(1,D842)),0), FactorTable!$A$2:$A$301,0), Skills!L22+1)</f>
        <v/>
      </c>
      <c r="F842">
        <f>IF(Skills!M22=TRUE,(Skills!K22/10)*(E842/1000),Skills!K22/10)+Skills!N22</f>
        <v/>
      </c>
      <c r="G842">
        <f>Calc!G22</f>
        <v/>
      </c>
      <c r="H842">
        <f>Calc!H22</f>
        <v/>
      </c>
      <c r="I842">
        <f>IF(Skills!T22&lt;&gt;"",1+(Skills!T22/10)*($Z$3/1000)/100,1)</f>
        <v/>
      </c>
      <c r="J842" t="inlineStr"/>
      <c r="K842" t="inlineStr"/>
      <c r="L842" t="inlineStr"/>
      <c r="M842" t="inlineStr"/>
      <c r="N842" t="inlineStr"/>
      <c r="O842">
        <f>(1-Summary!$B$11)*S842+Summary!$B$11*U842</f>
        <v/>
      </c>
      <c r="P842">
        <f>IF(B862=0,0,O842/B862)</f>
        <v/>
      </c>
      <c r="Q842">
        <f>IFERROR(1/(IF(Inputs!$B$39="pvp",15,MAX(0.1,Skills!D22-IF(Skills!E22=TRUE,Inputs!$B$33,0)))*(1-IF(AND(ArtifactsInput!$M$27,Inputs!$B$4="Chapter Hunt"),CHOOSE(ArtifactsInput!$N$27+1,20,24,28,32,36,40),0)/100)),0)</f>
        <v/>
      </c>
      <c r="R842" t="n">
        <v>0</v>
      </c>
      <c r="S842" t="n">
        <v>0</v>
      </c>
      <c r="U842" t="n">
        <v>0</v>
      </c>
    </row>
    <row r="843">
      <c r="A843">
        <f>Skills!A23</f>
        <v/>
      </c>
      <c r="B843">
        <f>Skills!B23</f>
        <v/>
      </c>
      <c r="C843">
        <f>Inputs!$B$3&gt;=50</f>
        <v/>
      </c>
      <c r="D843">
        <f>IF(Skills!C23=1,60+(Inputs!$B$26+1)+Inputs!$B$30,IF(Skills!C23=2,90+Inputs!$B$27+Inputs!$B$30,IF(Skills!C23=3,120+Inputs!$B$28+Inputs!$B$30,MAX(0,(Inputs!$B$3-100)*3)+Inputs!$B$29+Inputs!$B$30)))</f>
        <v/>
      </c>
      <c r="E843">
        <f>INDEX(FactorTable!$B$2:$Y$301, MATCH(ROUND(MIN(300,MAX(1,D843)),0), FactorTable!$A$2:$A$301,0), Skills!L23+1)</f>
        <v/>
      </c>
      <c r="F843">
        <f>IF(Skills!M23=TRUE,(Skills!K23/10)*(E843/1000),Skills!K23/10)+Skills!N23</f>
        <v/>
      </c>
      <c r="G843">
        <f>Calc!G23</f>
        <v/>
      </c>
      <c r="H843">
        <f>Calc!H23</f>
        <v/>
      </c>
      <c r="I843">
        <f>IF(Skills!T23&lt;&gt;"",1+(Skills!T23/10)*($Z$3/1000)/100,1)</f>
        <v/>
      </c>
      <c r="J843" t="inlineStr"/>
      <c r="K843" t="inlineStr"/>
      <c r="L843" t="inlineStr"/>
      <c r="M843" t="inlineStr"/>
      <c r="N843" t="inlineStr"/>
      <c r="O843">
        <f>(1-Summary!$B$11)*S843+Summary!$B$11*U843</f>
        <v/>
      </c>
      <c r="P843">
        <f>IF(B862=0,0,O843/B862)</f>
        <v/>
      </c>
      <c r="Q843">
        <f>IFERROR(1/(IF(Inputs!$B$39="pvp",15,MAX(0.1,Skills!D23-IF(Skills!E23=TRUE,Inputs!$B$33,0)))*(1-IF(AND(ArtifactsInput!$M$27,Inputs!$B$4="Chapter Hunt"),CHOOSE(ArtifactsInput!$N$27+1,20,24,28,32,36,40),0)/100)),0)</f>
        <v/>
      </c>
      <c r="R843" t="n">
        <v>0</v>
      </c>
      <c r="S843" t="n">
        <v>0</v>
      </c>
      <c r="U843" t="n">
        <v>0</v>
      </c>
    </row>
    <row r="844">
      <c r="A844">
        <f>Skills!A24</f>
        <v/>
      </c>
      <c r="B844">
        <f>Skills!B24</f>
        <v/>
      </c>
      <c r="C844">
        <f>Inputs!$B$3&gt;=74</f>
        <v/>
      </c>
      <c r="D844">
        <f>IF(Skills!C24=1,60+(Inputs!$B$26+1)+Inputs!$B$30,IF(Skills!C24=2,90+Inputs!$B$27+Inputs!$B$30,IF(Skills!C24=3,120+Inputs!$B$28+Inputs!$B$30,MAX(0,(Inputs!$B$3-100)*3)+Inputs!$B$29+Inputs!$B$30)))</f>
        <v/>
      </c>
      <c r="E844">
        <f>INDEX(FactorTable!$B$2:$Y$301, MATCH(ROUND(MIN(300,MAX(1,D844)),0), FactorTable!$A$2:$A$301,0), Skills!L24+1)</f>
        <v/>
      </c>
      <c r="F844">
        <f>IF(Skills!M24=TRUE,(Skills!K24/10)*(E844/1000),Skills!K24/10)+Skills!N24</f>
        <v/>
      </c>
      <c r="G844">
        <f>Calc!G24</f>
        <v/>
      </c>
      <c r="H844">
        <f>Calc!H24</f>
        <v/>
      </c>
      <c r="I844">
        <f>IF(Skills!T24&lt;&gt;"",1+(Skills!T24/10)*($Z$3/1000)/100,1)</f>
        <v/>
      </c>
      <c r="J844" t="inlineStr"/>
      <c r="K844" t="inlineStr"/>
      <c r="L844" t="inlineStr"/>
      <c r="M844" t="inlineStr"/>
      <c r="N844" t="inlineStr"/>
      <c r="O844">
        <f>(1-Summary!$B$11)*S844+Summary!$B$11*U844</f>
        <v/>
      </c>
      <c r="P844">
        <f>IF(B862=0,0,O844/B862)</f>
        <v/>
      </c>
      <c r="Q844">
        <f>IFERROR(1/(IF(Inputs!$B$39="pvp",15,MAX(0.1,Skills!D24-IF(Skills!E24=TRUE,Inputs!$B$33,0)))*(1-IF(AND(ArtifactsInput!$M$27,Inputs!$B$4="Chapter Hunt"),CHOOSE(ArtifactsInput!$N$27+1,20,24,28,32,36,40),0)/100)),0)</f>
        <v/>
      </c>
      <c r="R844" t="n">
        <v>0</v>
      </c>
      <c r="S844" t="n">
        <v>0</v>
      </c>
      <c r="U844" t="n">
        <v>0</v>
      </c>
    </row>
    <row r="845">
      <c r="A845">
        <f>Skills!A25</f>
        <v/>
      </c>
      <c r="B845">
        <f>Skills!B25</f>
        <v/>
      </c>
      <c r="C845">
        <f>Inputs!$B$3&gt;=74</f>
        <v/>
      </c>
      <c r="D845">
        <f>IF(Skills!C25=1,60+(Inputs!$B$26+1)+Inputs!$B$30,IF(Skills!C25=2,90+Inputs!$B$27+Inputs!$B$30,IF(Skills!C25=3,120+Inputs!$B$28+Inputs!$B$30,MAX(0,(Inputs!$B$3-100)*3)+Inputs!$B$29+Inputs!$B$30)))</f>
        <v/>
      </c>
      <c r="E845">
        <f>INDEX(FactorTable!$B$2:$Y$301, MATCH(ROUND(MIN(300,MAX(1,D845)),0), FactorTable!$A$2:$A$301,0), Skills!L25+1)</f>
        <v/>
      </c>
      <c r="F845">
        <f>IF(Skills!M25=TRUE,(Skills!K25/10)*(E845/1000),Skills!K25/10)+Skills!N25</f>
        <v/>
      </c>
      <c r="G845">
        <f>Calc!G25</f>
        <v/>
      </c>
      <c r="H845">
        <f>Calc!H25</f>
        <v/>
      </c>
      <c r="I845">
        <f>IF(Skills!T25&lt;&gt;"",1+(Skills!T25/10)*($Z$3/1000)/100,1)</f>
        <v/>
      </c>
      <c r="J845" t="inlineStr"/>
      <c r="K845" t="inlineStr"/>
      <c r="L845" t="inlineStr"/>
      <c r="M845" t="inlineStr"/>
      <c r="N845" t="inlineStr"/>
      <c r="O845">
        <f>(1-Summary!$B$11)*S845+Summary!$B$11*U845</f>
        <v/>
      </c>
      <c r="P845">
        <f>IF(B862=0,0,O845/B862)</f>
        <v/>
      </c>
      <c r="Q845">
        <f>IFERROR(1/(IF(Inputs!$B$39="pvp",15,MAX(0.1,Skills!D25-IF(Skills!E25=TRUE,Inputs!$B$33,0)))*(1-IF(AND(ArtifactsInput!$M$27,Inputs!$B$4="Chapter Hunt"),CHOOSE(ArtifactsInput!$N$27+1,20,24,28,32,36,40),0)/100)),0)</f>
        <v/>
      </c>
      <c r="R845" t="n">
        <v>0</v>
      </c>
      <c r="S845" t="n">
        <v>0</v>
      </c>
      <c r="U845" t="n">
        <v>0</v>
      </c>
    </row>
    <row r="846">
      <c r="A846">
        <f>Skills!A26</f>
        <v/>
      </c>
      <c r="B846">
        <f>Skills!B26</f>
        <v/>
      </c>
      <c r="C846">
        <f>Inputs!$B$3&gt;=117</f>
        <v/>
      </c>
      <c r="D846">
        <f>IF(Skills!C26=1,60+(Inputs!$B$26+1)+Inputs!$B$30,IF(Skills!C26=2,90+Inputs!$B$27+Inputs!$B$30,IF(Skills!C26=3,120+Inputs!$B$28+Inputs!$B$30,MAX(0,(Inputs!$B$3-100)*3)+Inputs!$B$29+Inputs!$B$30)))</f>
        <v/>
      </c>
      <c r="E846">
        <f>INDEX(FactorTable!$B$2:$Y$301, MATCH(ROUND(MIN(300,MAX(1,D846)),0), FactorTable!$A$2:$A$301,0), Skills!L26+1)</f>
        <v/>
      </c>
      <c r="F846">
        <f>IF(Skills!M26=TRUE,(Skills!K26/10)*(E846/1000),Skills!K26/10)+Skills!N26</f>
        <v/>
      </c>
      <c r="G846">
        <f>Calc!G26</f>
        <v/>
      </c>
      <c r="H846">
        <f>Calc!H26</f>
        <v/>
      </c>
      <c r="I846">
        <f>IF(Skills!T26&lt;&gt;"",1+(Skills!T26/10)*($Z$3/1000)/100,1)</f>
        <v/>
      </c>
      <c r="J846" t="inlineStr"/>
      <c r="K846" t="inlineStr"/>
      <c r="L846" t="inlineStr"/>
      <c r="M846" t="inlineStr"/>
      <c r="N846" t="inlineStr"/>
      <c r="O846">
        <f>(1-Summary!$B$11)*S846+Summary!$B$11*U846</f>
        <v/>
      </c>
      <c r="P846">
        <f>IF(B862=0,0,O846/B862)</f>
        <v/>
      </c>
      <c r="Q846">
        <f>IFERROR(1/(IF(Inputs!$B$39="pvp",15,MAX(0.1,Skills!D26-IF(Skills!E26=TRUE,Inputs!$B$33,0)))*(1-IF(AND(ArtifactsInput!$M$27,Inputs!$B$4="Chapter Hunt"),CHOOSE(ArtifactsInput!$N$27+1,20,24,28,32,36,40),0)/100)),0)</f>
        <v/>
      </c>
      <c r="R846" t="n">
        <v>0</v>
      </c>
      <c r="S846" t="n">
        <v>0</v>
      </c>
      <c r="U846" t="n">
        <v>0</v>
      </c>
    </row>
    <row r="847">
      <c r="A847">
        <f>Skills!A27</f>
        <v/>
      </c>
      <c r="B847">
        <f>Skills!B27</f>
        <v/>
      </c>
      <c r="C847">
        <f>Inputs!$B$3&gt;=120</f>
        <v/>
      </c>
      <c r="D847">
        <f>IF(Skills!C27=1,60+(Inputs!$B$26+1)+Inputs!$B$30,IF(Skills!C27=2,90+Inputs!$B$27+Inputs!$B$30,IF(Skills!C27=3,120+Inputs!$B$28+Inputs!$B$30,MAX(0,(Inputs!$B$3-100)*3)+Inputs!$B$29+Inputs!$B$30)))</f>
        <v/>
      </c>
      <c r="E847">
        <f>INDEX(FactorTable!$B$2:$Y$301, MATCH(ROUND(MIN(300,MAX(1,D847)),0), FactorTable!$A$2:$A$301,0), Skills!L27+1)</f>
        <v/>
      </c>
      <c r="F847">
        <f>IF(Skills!M27=TRUE,(Skills!K27/10)*(E847/1000),Skills!K27/10)+Skills!N27</f>
        <v/>
      </c>
      <c r="G847">
        <f>Calc!G27</f>
        <v/>
      </c>
      <c r="H847">
        <f>Calc!H27</f>
        <v/>
      </c>
      <c r="I847">
        <f>IF(Skills!T27&lt;&gt;"",1+(Skills!T27/10)*($Z$3/1000)/100,1)</f>
        <v/>
      </c>
      <c r="J847" t="inlineStr"/>
      <c r="K847" t="inlineStr"/>
      <c r="L847" t="inlineStr"/>
      <c r="M847" t="inlineStr"/>
      <c r="N847" t="inlineStr"/>
      <c r="O847">
        <f>(1-Summary!$B$11)*S847+Summary!$B$11*U847</f>
        <v/>
      </c>
      <c r="P847">
        <f>IF(B862=0,0,O847/B862)</f>
        <v/>
      </c>
      <c r="Q847">
        <f>IFERROR(1/(IF(Inputs!$B$39="pvp",15,MAX(0.1,Skills!D27-IF(Skills!E27=TRUE,Inputs!$B$33,0)))*(1-IF(AND(ArtifactsInput!$M$27,Inputs!$B$4="Chapter Hunt"),CHOOSE(ArtifactsInput!$N$27+1,20,24,28,32,36,40),0)/100)),0)</f>
        <v/>
      </c>
      <c r="R847" t="n">
        <v>0</v>
      </c>
      <c r="S847" t="n">
        <v>0</v>
      </c>
      <c r="U847" t="n">
        <v>0</v>
      </c>
    </row>
    <row r="849">
      <c r="A849" t="inlineStr">
        <is>
          <t>Average Buff Multiplier</t>
        </is>
      </c>
      <c r="B849">
        <f>(1+(IF(C823=TRUE,F823*IF(AND(Inputs!$B$39&lt;&gt;"pvp",Inputs!$B$44&gt;0),(((R823-1)*(Skills!S3*(1+((Inputs!$B$35+(ArtifactsInput!$M$7-ArtifactsInput!$M$7)*CHOOSE(ArtifactsInput!$N$7+1,6,7.2,8.4,9.6,10.8,12))+IF(Inputs!$B$3&gt;=117,F846,0))/100))+MIN((Skills!S3*(1+((Inputs!$B$35+(ArtifactsInput!$M$7-ArtifactsInput!$M$7)*CHOOSE(ArtifactsInput!$N$7+1,6,7.2,8.4,9.6,10.8,12))+IF(Inputs!$B$3&gt;=117,F846,0))/100)),MAX(0,Inputs!$B$44-((R823-1)*Skills!D3))))/Inputs!$B$44),IF(Inputs!$B$39="pvp",MIN((Skills!S3*(1+((Inputs!$B$35+(ArtifactsInput!$M$7-ArtifactsInput!$M$7)*CHOOSE(ArtifactsInput!$N$7+1,6,7.2,8.4,9.6,10.8,12))+IF(Inputs!$B$3&gt;=117,F846,0))/100)),15)/15,(Skills!S3*(1+((Inputs!$B$35+(ArtifactsInput!$M$7-ArtifactsInput!$M$7)*CHOOSE(ArtifactsInput!$N$7+1,6,7.2,8.4,9.6,10.8,12))+IF(Inputs!$B$3&gt;=117,F846,0))/100))/Skills!D3)),0)+IF(C824=TRUE,F824*IF(AND(Inputs!$B$39&lt;&gt;"pvp",Inputs!$B$44&gt;0),(((R824-1)*(Skills!S4*(1+((Inputs!$B$35+(ArtifactsInput!$M$7-ArtifactsInput!$M$7)*CHOOSE(ArtifactsInput!$N$7+1,6,7.2,8.4,9.6,10.8,12))+IF(Inputs!$B$3&gt;=117,F846,0))/100))+MIN((Skills!S4*(1+((Inputs!$B$35+(ArtifactsInput!$M$7-ArtifactsInput!$M$7)*CHOOSE(ArtifactsInput!$N$7+1,6,7.2,8.4,9.6,10.8,12))+IF(Inputs!$B$3&gt;=117,F846,0))/100)),MAX(0,Inputs!$B$44-((R824-1)*Skills!D4))))/Inputs!$B$44),IF(Inputs!$B$39="pvp",MIN((Skills!S4*(1+((Inputs!$B$35+(ArtifactsInput!$M$7-ArtifactsInput!$M$7)*CHOOSE(ArtifactsInput!$N$7+1,6,7.2,8.4,9.6,10.8,12))+IF(Inputs!$B$3&gt;=117,F846,0))/100)),15)/15,(Skills!S4*(1+((Inputs!$B$35+(ArtifactsInput!$M$7-ArtifactsInput!$M$7)*CHOOSE(ArtifactsInput!$N$7+1,6,7.2,8.4,9.6,10.8,12))+IF(Inputs!$B$3&gt;=117,F846,0))/100))/Skills!D4)),0)+IF(C825=TRUE,F825*IF(AND(Inputs!$B$39&lt;&gt;"pvp",Inputs!$B$44&gt;0),(((R825-1)*(Skills!S5*(1+((Inputs!$B$35+(ArtifactsInput!$M$7-ArtifactsInput!$M$7)*CHOOSE(ArtifactsInput!$N$7+1,6,7.2,8.4,9.6,10.8,12))+IF(Inputs!$B$3&gt;=117,F846,0))/100))+MIN((Skills!S5*(1+((Inputs!$B$35+(ArtifactsInput!$M$7-ArtifactsInput!$M$7)*CHOOSE(ArtifactsInput!$N$7+1,6,7.2,8.4,9.6,10.8,12))+IF(Inputs!$B$3&gt;=117,F846,0))/100)),MAX(0,Inputs!$B$44-((R825-1)*Skills!D5))))/Inputs!$B$44),IF(Inputs!$B$39="pvp",MIN((Skills!S5*(1+((Inputs!$B$35+(ArtifactsInput!$M$7-ArtifactsInput!$M$7)*CHOOSE(ArtifactsInput!$N$7+1,6,7.2,8.4,9.6,10.8,12))+IF(Inputs!$B$3&gt;=117,F846,0))/100)),15)/15,(Skills!S5*(1+((Inputs!$B$35+(ArtifactsInput!$M$7-ArtifactsInput!$M$7)*CHOOSE(ArtifactsInput!$N$7+1,6,7.2,8.4,9.6,10.8,12))+IF(Inputs!$B$3&gt;=117,F846,0))/100))/Skills!D5)),0)+IF(C831=TRUE,F831*IF(AND(Inputs!$B$39&lt;&gt;"pvp",Inputs!$B$44&gt;0),(((R831-1)*(Skills!S11*(1+((Inputs!$B$35+(ArtifactsInput!$M$7-ArtifactsInput!$M$7)*CHOOSE(ArtifactsInput!$N$7+1,6,7.2,8.4,9.6,10.8,12))+IF(Inputs!$B$3&gt;=117,F846,0))/100))+MIN((Skills!S11*(1+((Inputs!$B$35+(ArtifactsInput!$M$7-ArtifactsInput!$M$7)*CHOOSE(ArtifactsInput!$N$7+1,6,7.2,8.4,9.6,10.8,12))+IF(Inputs!$B$3&gt;=117,F846,0))/100)),MAX(0,Inputs!$B$44-((R831-1)*Skills!D11))))/Inputs!$B$44),IF(Inputs!$B$39="pvp",MIN((Skills!S11*(1+((Inputs!$B$35+(ArtifactsInput!$M$7-ArtifactsInput!$M$7)*CHOOSE(ArtifactsInput!$N$7+1,6,7.2,8.4,9.6,10.8,12))+IF(Inputs!$B$3&gt;=117,F846,0))/100)),15)/15,(Skills!S11*(1+((Inputs!$B$35+(ArtifactsInput!$M$7-ArtifactsInput!$M$7)*CHOOSE(ArtifactsInput!$N$7+1,6,7.2,8.4,9.6,10.8,12))+IF(Inputs!$B$3&gt;=117,F846,0)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834=TRUE,(1+F834*IF(AND(Inputs!$B$39&lt;&gt;"pvp",Inputs!$B$44&gt;0),(((R834-1)*(Skills!S14*(1+((Inputs!$B$35+(ArtifactsInput!$M$7-ArtifactsInput!$M$7)*CHOOSE(ArtifactsInput!$N$7+1,6,7.2,8.4,9.6,10.8,12))+IF(Inputs!$B$3&gt;=117,F846,0))/100))+MIN((Skills!S14*(1+((Inputs!$B$35+(ArtifactsInput!$M$7-ArtifactsInput!$M$7)*CHOOSE(ArtifactsInput!$N$7+1,6,7.2,8.4,9.6,10.8,12))+IF(Inputs!$B$3&gt;=117,F846,0))/100)),MAX(0,Inputs!$B$44-((R834-1)*Skills!D14))))/Inputs!$B$44),IF(Inputs!$B$39="pvp",MIN((Skills!S14*(1+((Inputs!$B$35+(ArtifactsInput!$M$7-ArtifactsInput!$M$7)*CHOOSE(ArtifactsInput!$N$7+1,6,7.2,8.4,9.6,10.8,12))+IF(Inputs!$B$3&gt;=117,F846,0))/100)),15)/15,(Skills!S14*(1+((Inputs!$B$35+(ArtifactsInput!$M$7-ArtifactsInput!$M$7)*CHOOSE(ArtifactsInput!$N$7+1,6,7.2,8.4,9.6,10.8,12))+IF(Inputs!$B$3&gt;=117,F846,0))/100))/Skills!D14))/100),1)*IF(C839=TRUE,(1+F839*IF(AND(Inputs!$B$39&lt;&gt;"pvp",Inputs!$B$44&gt;0),(((R839-1)*(Skills!S19*(1+((Inputs!$B$35+(ArtifactsInput!$M$7-ArtifactsInput!$M$7)*CHOOSE(ArtifactsInput!$N$7+1,6,7.2,8.4,9.6,10.8,12))+IF(Inputs!$B$3&gt;=117,F846,0))/100))+MIN((Skills!S19*(1+((Inputs!$B$35+(ArtifactsInput!$M$7-ArtifactsInput!$M$7)*CHOOSE(ArtifactsInput!$N$7+1,6,7.2,8.4,9.6,10.8,12))+IF(Inputs!$B$3&gt;=117,F846,0))/100)),MAX(0,Inputs!$B$44-((R839-1)*Skills!D19))))/Inputs!$B$44),IF(Inputs!$B$39="pvp",MIN((Skills!S19*(1+((Inputs!$B$35+(ArtifactsInput!$M$7-ArtifactsInput!$M$7)*CHOOSE(ArtifactsInput!$N$7+1,6,7.2,8.4,9.6,10.8,12))+IF(Inputs!$B$3&gt;=117,F846,0))/100)),15)/15,(Skills!S19*(1+((Inputs!$B$35+(ArtifactsInput!$M$7-ArtifactsInput!$M$7)*CHOOSE(ArtifactsInput!$N$7+1,6,7.2,8.4,9.6,10.8,12))+IF(Inputs!$B$3&gt;=117,F846,0))/100))/Skills!D19))/100),1)</f>
        <v/>
      </c>
    </row>
    <row r="850">
      <c r="A850" t="inlineStr">
        <is>
          <t>Monster Damage Taken Bonus % (Holy Fountain)</t>
        </is>
      </c>
      <c r="B850">
        <f>IF(Inputs!$B$3&gt;=68,20*IF(Inputs!$B$39="pvp",MIN((15*(1+((Inputs!$B$35+(ArtifactsInput!$M$7-ArtifactsInput!$M$7)*CHOOSE(ArtifactsInput!$N$7+1,6,7.2,8.4,9.6,10.8,12))+IF(Inputs!$B$3&gt;=117,F846,0))/100)),15)/15,(15*(1+((Inputs!$B$35+(ArtifactsInput!$M$7-ArtifactsInput!$M$7)*CHOOSE(ArtifactsInput!$N$7+1,6,7.2,8.4,9.6,10.8,12))+IF(Inputs!$B$3&gt;=117,F846,0))/100))/Skills!D10),0)</f>
        <v/>
      </c>
    </row>
    <row r="851">
      <c r="A851" t="inlineStr">
        <is>
          <t>Normal Monster Damage Bonus % (Holy Symbol)</t>
        </is>
      </c>
      <c r="B851">
        <f>IF(C832=TRUE,F832*IF(AND(Inputs!$B$39&lt;&gt;"pvp",Inputs!$B$44&gt;0),(((R832-1)*(Skills!S12*(1+((Inputs!$B$35+(ArtifactsInput!$M$7-ArtifactsInput!$M$7)*CHOOSE(ArtifactsInput!$N$7+1,6,7.2,8.4,9.6,10.8,12))+IF(Inputs!$B$3&gt;=117,F846,0))/100))+MIN((Skills!S12*(1+((Inputs!$B$35+(ArtifactsInput!$M$7-ArtifactsInput!$M$7)*CHOOSE(ArtifactsInput!$N$7+1,6,7.2,8.4,9.6,10.8,12))+IF(Inputs!$B$3&gt;=117,F846,0))/100)),MAX(0,Inputs!$B$44-((R832-1)*Skills!D12))))/Inputs!$B$44),IF(Inputs!$B$39="pvp",MIN((Skills!S12*(1+((Inputs!$B$35+(ArtifactsInput!$M$7-ArtifactsInput!$M$7)*CHOOSE(ArtifactsInput!$N$7+1,6,7.2,8.4,9.6,10.8,12))+IF(Inputs!$B$3&gt;=117,F846,0))/100)),15)/15,(Skills!S12*(1+((Inputs!$B$35+(ArtifactsInput!$M$7-ArtifactsInput!$M$7)*CHOOSE(ArtifactsInput!$N$7+1,6,7.2,8.4,9.6,10.8,12))+IF(Inputs!$B$3&gt;=117,F846,0))/100))/Skills!D12)),0)</f>
        <v/>
      </c>
    </row>
    <row r="852">
      <c r="A852" t="inlineStr">
        <is>
          <t>Damage % Bonus (Holy Symbol - Damage Boost)</t>
        </is>
      </c>
      <c r="B852">
        <f>Skills!O12</f>
        <v/>
      </c>
    </row>
    <row r="853">
      <c r="A853" t="inlineStr">
        <is>
          <t>Crit Damage % Bonus (Blood of the Divine)</t>
        </is>
      </c>
      <c r="B853">
        <f>4*IF(C840=TRUE,F840,0)</f>
        <v/>
      </c>
    </row>
    <row r="854">
      <c r="A854" t="inlineStr">
        <is>
          <t>Attack Speed Bonus %</t>
        </is>
      </c>
      <c r="B854">
        <f>IF(C837=TRUE,F837+(F841-Calc!F21),0)+IF(Inputs!$B$3&gt;=134,15,0)</f>
        <v/>
      </c>
    </row>
    <row r="855">
      <c r="A855" t="inlineStr">
        <is>
          <t>Actions Per Second</t>
        </is>
      </c>
      <c r="B855">
        <f>1+MIN(150,150*(1-(1-Inputs!$B$12/150)*(1-B854/150)))/100</f>
        <v/>
      </c>
    </row>
    <row r="856">
      <c r="A856" t="inlineStr">
        <is>
          <t>Skill + Buff Cast Rate</t>
        </is>
      </c>
      <c r="B856">
        <f>IF(AND(Inputs!$B$39&lt;&gt;"pvp",Inputs!$B$44&gt;0),SUMPRODUCT((Skills!E2:E27=TRUE)*(C822:C847=TRUE)*R822:R847)/Inputs!$B$44,SUMPRODUCT((Skills!E2:E27=TRUE)*(C822:C847=TRUE)*Q822:Q847))</f>
        <v/>
      </c>
    </row>
    <row r="857">
      <c r="A857" t="inlineStr">
        <is>
          <t>Big Bang Casts Per Second</t>
        </is>
      </c>
      <c r="B857">
        <f>MAX(0,B855-B856)</f>
        <v/>
      </c>
    </row>
    <row r="858">
      <c r="A858" t="inlineStr">
        <is>
          <t>Defense % Bonus (Divine Protection)</t>
        </is>
      </c>
      <c r="B858">
        <f>IF(C833=TRUE,F833*IF(AND(Inputs!$B$39&lt;&gt;"pvp",Inputs!$B$44&gt;0),(((R833-1)*(Skills!S13*(1+((Inputs!$B$35+(ArtifactsInput!$M$7-ArtifactsInput!$M$7)*CHOOSE(ArtifactsInput!$N$7+1,6,7.2,8.4,9.6,10.8,12))+IF(Inputs!$B$3&gt;=117,F846,0))/100))+MIN((Skills!S13*(1+((Inputs!$B$35+(ArtifactsInput!$M$7-ArtifactsInput!$M$7)*CHOOSE(ArtifactsInput!$N$7+1,6,7.2,8.4,9.6,10.8,12))+IF(Inputs!$B$3&gt;=117,F846,0))/100)),MAX(0,Inputs!$B$44-((R833-1)*Skills!D13))))/Inputs!$B$44),IF(Inputs!$B$39="pvp",MIN((Skills!S13*(1+((Inputs!$B$35+(ArtifactsInput!$M$7-ArtifactsInput!$M$7)*CHOOSE(ArtifactsInput!$N$7+1,6,7.2,8.4,9.6,10.8,12))+IF(Inputs!$B$3&gt;=117,F846,0))/100)),15)/15,(Skills!S13*(1+((Inputs!$B$35+(ArtifactsInput!$M$7-ArtifactsInput!$M$7)*CHOOSE(ArtifactsInput!$N$7+1,6,7.2,8.4,9.6,10.8,12))+IF(Inputs!$B$3&gt;=117,F846,0))/100))/Skills!D13)),0)</f>
        <v/>
      </c>
    </row>
    <row r="859">
      <c r="A859" t="inlineStr">
        <is>
          <t>Buff-Casting Startup Delay (s, fixed-duration only)</t>
        </is>
      </c>
      <c r="B859">
        <f>IF(AND(Inputs!$B$39&lt;&gt;"pvp",Inputs!$B$44&gt;0),SUMPRODUCT((Skills!S2:S27&gt;0)*(Skills!E2:E27=TRUE)*(C822:C847=TRUE))/B855,0)</f>
        <v/>
      </c>
    </row>
    <row r="860">
      <c r="A860" t="inlineStr">
        <is>
          <t>Boss-Only Total DPS (this block's swept value)</t>
        </is>
      </c>
      <c r="B860">
        <f>SUM(S822:S847)</f>
        <v/>
      </c>
    </row>
    <row r="861">
      <c r="A861" t="inlineStr">
        <is>
          <t>Normal-Only Total DPS (this block's swept value)</t>
        </is>
      </c>
      <c r="B861">
        <f>SUM(U822:U847)</f>
        <v/>
      </c>
    </row>
    <row r="862">
      <c r="A862" s="6" t="inlineStr">
        <is>
          <t>TOTAL DPS</t>
        </is>
      </c>
      <c r="B862" s="6">
        <f>SUM(O822:O847)</f>
        <v/>
      </c>
    </row>
    <row r="864">
      <c r="A864" s="6" t="inlineStr">
        <is>
          <t>Stat: Skill Level Bonus — 2nd Job</t>
        </is>
      </c>
    </row>
    <row r="865">
      <c r="A865" s="5" t="inlineStr">
        <is>
          <t>Key</t>
        </is>
      </c>
      <c r="B865" s="5" t="inlineStr">
        <is>
          <t>Name</t>
        </is>
      </c>
      <c r="C865" s="5" t="inlineStr">
        <is>
          <t>Unlocked</t>
        </is>
      </c>
      <c r="D865" s="5" t="inlineStr">
        <is>
          <t>InputLevel</t>
        </is>
      </c>
      <c r="E865" s="5" t="inlineStr">
        <is>
          <t>Factor</t>
        </is>
      </c>
      <c r="F865" s="5" t="inlineStr">
        <is>
          <t>CoefficientPercent</t>
        </is>
      </c>
      <c r="G865" s="5" t="inlineStr">
        <is>
          <t>EffectiveHits</t>
        </is>
      </c>
      <c r="H865" s="5" t="inlineStr">
        <is>
          <t>ProcProbability</t>
        </is>
      </c>
      <c r="I865" s="5" t="inlineStr">
        <is>
          <t>MapleHeroMultiplier</t>
        </is>
      </c>
      <c r="J865" s="5" t="inlineStr">
        <is>
          <t>BaseDamage</t>
        </is>
      </c>
      <c r="K865" s="5" t="inlineStr">
        <is>
          <t>BaseHitDamage</t>
        </is>
      </c>
      <c r="L865" s="5" t="inlineStr">
        <is>
          <t>NonCritAvg</t>
        </is>
      </c>
      <c r="M865" s="5" t="inlineStr">
        <is>
          <t>CritAvg</t>
        </is>
      </c>
      <c r="N865" s="5" t="inlineStr">
        <is>
          <t>ExpectedDamage(perHit)</t>
        </is>
      </c>
      <c r="O865" s="5" t="inlineStr">
        <is>
          <t>DPS</t>
        </is>
      </c>
      <c r="P865" s="5" t="inlineStr">
        <is>
          <t>% of Total</t>
        </is>
      </c>
      <c r="R865" t="inlineStr">
        <is>
          <t>helpers</t>
        </is>
      </c>
    </row>
    <row r="866">
      <c r="A866">
        <f>Skills!A2</f>
        <v/>
      </c>
      <c r="B866">
        <f>Skills!B2</f>
        <v/>
      </c>
      <c r="C866">
        <f>Inputs!$B$3&gt;=100</f>
        <v/>
      </c>
      <c r="D866" t="inlineStr"/>
      <c r="E866" t="inlineStr"/>
      <c r="F866">
        <f>T868+Skills!N2</f>
        <v/>
      </c>
      <c r="G866">
        <f>Calc!G2</f>
        <v/>
      </c>
      <c r="H866">
        <f>Calc!H2</f>
        <v/>
      </c>
      <c r="I866">
        <f>IF(Skills!T2&lt;&gt;"",1+(Skills!T2/10)*($Z$3/1000)/100,1)</f>
        <v/>
      </c>
      <c r="J866">
        <f>((Inputs!$B$6*(1+Inputs!$B$7/100))+(((Inputs!$B$13*(1+Inputs!$B$14/100))-(Inputs!$B$13*(1+Inputs!$B$14/100)))+0.25*(Inputs!$B$15-Inputs!$B$15))*(1+Inputs!$B$7/100))*(F866/100)</f>
        <v/>
      </c>
      <c r="K866">
        <f>J866*(1+(((Inputs!$B$13+IF(Inputs!$B$3&gt;=35,(10*INDEX(FactorTable!$B$2:$Y$301,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2="TRIUMPH_FEATHER",IF(C880=TRUE,F880,0),0)/100)*(1+IF(C891=TRUE,F891,0)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866)</f>
        <v/>
      </c>
      <c r="L866">
        <f>K866*(MIN(Inputs!$B$23+(F886-Calc!F22),(Inputs!$B$24+IF(ArtifactsInput!$M$15,CHOOSE(ArtifactsInput!$N$15+1,25,30,35,40,45,50)/100*(Inputs!$B$12-Inputs!$B$12),0)))/100+(Inputs!$B$24+IF(ArtifactsInput!$M$15,CHOOSE(ArtifactsInput!$N$15+1,25,30,35,40,45,50)/100*(Inputs!$B$12-Inputs!$B$12),0))/100)/2</f>
        <v/>
      </c>
      <c r="M866">
        <f>L866*(1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66">
        <f>L866*(1-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(1-Summary!$B$11)*S866+Summary!$B$11*U866</f>
        <v/>
      </c>
      <c r="P866">
        <f>IF(B906=0,0,O866/B906)</f>
        <v/>
      </c>
      <c r="Q866">
        <f>IFERROR(1/(IF(Inputs!$B$39="pvp",15,MAX(0.1,Skills!D2-IF(Skills!E2=TRUE,Inputs!$B$33,0)))*(1-IF(AND(ArtifactsInput!$M$27,Inputs!$B$4="Chapter Hunt"),CHOOSE(ArtifactsInput!$N$27+1,20,24,28,32,36,40),0)/100)),0)</f>
        <v/>
      </c>
      <c r="R866" t="n">
        <v>0</v>
      </c>
      <c r="S866">
        <f>IF(C866,(Skills!F2*N866*B901)*IF(Inputs!$B$39="pvp",1,1+(Inputs!$B$21+Skills!O2+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866*(1-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66">
        <f>MAX(0,(Inputs!$B$3-100)*3)+Inputs!$B$29+Inputs!$B$30</f>
        <v/>
      </c>
      <c r="U866">
        <f>IF(C866,(Skills!F2*N866*B901)*IF(Inputs!$B$39="pvp",1,(1+(Inputs!$B$22+Skills!P2+B895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Skills!A3</f>
        <v/>
      </c>
      <c r="B867">
        <f>Skills!B3</f>
        <v/>
      </c>
      <c r="C867">
        <f>Inputs!$B$3&gt;=15</f>
        <v/>
      </c>
      <c r="D867">
        <f>IF(Skills!C3=1,60+Inputs!$B$26+Inputs!$B$30,IF(Skills!C3=2,90+(Inputs!$B$27+1)+Inputs!$B$30,IF(Skills!C3=3,120+Inputs!$B$28+Inputs!$B$30,MAX(0,(Inputs!$B$3-100)*3)+Inputs!$B$29+Inputs!$B$30)))</f>
        <v/>
      </c>
      <c r="E867">
        <f>INDEX(FactorTable!$B$2:$Y$301, MATCH(ROUND(MIN(300,MAX(1,D867)),0), FactorTable!$A$2:$A$301,0), Skills!L3+1)</f>
        <v/>
      </c>
      <c r="F867">
        <f>IF(Skills!M3=TRUE,(Skills!K3/10)*(E867/1000),Skills!K3/10)+Skills!N3</f>
        <v/>
      </c>
      <c r="G867">
        <f>Calc!G3</f>
        <v/>
      </c>
      <c r="H867">
        <f>Calc!H3</f>
        <v/>
      </c>
      <c r="I867">
        <f>IF(Skills!T3&lt;&gt;"",1+(Skills!T3/10)*($Z$3/1000)/100,1)</f>
        <v/>
      </c>
      <c r="J867" t="inlineStr"/>
      <c r="K867" t="inlineStr"/>
      <c r="L867" t="inlineStr"/>
      <c r="M867" t="inlineStr"/>
      <c r="N867" t="inlineStr"/>
      <c r="O867">
        <f>(1-Summary!$B$11)*S867+Summary!$B$11*U867</f>
        <v/>
      </c>
      <c r="P867">
        <f>IF(B906=0,0,O867/B906)</f>
        <v/>
      </c>
      <c r="Q867">
        <f>IFERROR(1/(IF(Inputs!$B$39="pvp",15,MAX(0.1,Skills!D3-IF(Skills!E3=TRUE,Inputs!$B$33,0)))*(1-IF(AND(ArtifactsInput!$M$27,Inputs!$B$4="Chapter Hunt"),CHOOSE(ArtifactsInput!$N$27+1,20,24,28,32,36,40),0)/100)),0)</f>
        <v/>
      </c>
      <c r="R867">
        <f>IF(AND(Inputs!$B$39&lt;&gt;"pvp",Inputs!$B$44&gt;0),IF(Inputs!$B$44&lt;=0,0,(INT(Inputs!$B$44/(IF(Inputs!$B$39="pvp",15,MAX(0.1,Skills!D3-IF(Skills!E3=TRUE,Inputs!$B$33,0)))*(1-IF(AND(ArtifactsInput!$M$27,Inputs!$B$4="Chapter Hunt"),CHOOSE(ArtifactsInput!$N$27+1,20,24,28,32,36,40),0)/100)))+1)),0)</f>
        <v/>
      </c>
      <c r="S867" t="n">
        <v>0</v>
      </c>
      <c r="T867">
        <f>INDEX(FactorTable!$B$2:$Y$301, MATCH(ROUND(MIN(300,MAX(1,T866)),0), FactorTable!$A$2:$A$301,0), 22)</f>
        <v/>
      </c>
      <c r="U867" t="n">
        <v>0</v>
      </c>
    </row>
    <row r="868">
      <c r="A868">
        <f>Skills!A4</f>
        <v/>
      </c>
      <c r="B868">
        <f>Skills!B4</f>
        <v/>
      </c>
      <c r="C868">
        <f>Inputs!$B$3&gt;=38</f>
        <v/>
      </c>
      <c r="D868">
        <f>IF(Skills!C4=1,60+Inputs!$B$26+Inputs!$B$30,IF(Skills!C4=2,90+(Inputs!$B$27+1)+Inputs!$B$30,IF(Skills!C4=3,120+Inputs!$B$28+Inputs!$B$30,MAX(0,(Inputs!$B$3-100)*3)+Inputs!$B$29+Inputs!$B$30)))</f>
        <v/>
      </c>
      <c r="E868">
        <f>INDEX(FactorTable!$B$2:$Y$301, MATCH(ROUND(MIN(300,MAX(1,D868)),0), FactorTable!$A$2:$A$301,0), Skills!L4+1)</f>
        <v/>
      </c>
      <c r="F868">
        <f>IF(Skills!M4=TRUE,(Skills!K4/10)*(E868/1000),Skills!K4/10)+Skills!N4</f>
        <v/>
      </c>
      <c r="G868">
        <f>Calc!G4</f>
        <v/>
      </c>
      <c r="H868">
        <f>Calc!H4</f>
        <v/>
      </c>
      <c r="I868">
        <f>IF(Skills!T4&lt;&gt;"",1+(Skills!T4/10)*($Z$3/1000)/100,1)</f>
        <v/>
      </c>
      <c r="J868" t="inlineStr"/>
      <c r="K868" t="inlineStr"/>
      <c r="L868" t="inlineStr"/>
      <c r="M868" t="inlineStr"/>
      <c r="N868" t="inlineStr"/>
      <c r="O868">
        <f>(1-Summary!$B$11)*S868+Summary!$B$11*U868</f>
        <v/>
      </c>
      <c r="P868">
        <f>IF(B906=0,0,O868/B906)</f>
        <v/>
      </c>
      <c r="Q868">
        <f>IFERROR(1/(IF(Inputs!$B$39="pvp",15,MAX(0.1,Skills!D4-IF(Skills!E4=TRUE,Inputs!$B$33,0)))*(1-IF(AND(ArtifactsInput!$M$27,Inputs!$B$4="Chapter Hunt"),CHOOSE(ArtifactsInput!$N$27+1,20,24,28,32,36,40),0)/100)),0)</f>
        <v/>
      </c>
      <c r="R868">
        <f>IF(AND(Inputs!$B$39&lt;&gt;"pvp",Inputs!$B$44&gt;0),IF(Inputs!$B$44&lt;=0,0,(INT(Inputs!$B$44/(IF(Inputs!$B$39="pvp",15,MAX(0.1,Skills!D4-IF(Skills!E4=TRUE,Inputs!$B$33,0)))*(1-IF(AND(ArtifactsInput!$M$27,Inputs!$B$4="Chapter Hunt"),CHOOSE(ArtifactsInput!$N$27+1,20,24,28,32,36,40),0)/100)))+1)),0)</f>
        <v/>
      </c>
      <c r="S868" t="n">
        <v>0</v>
      </c>
      <c r="T868">
        <f>290*T867/1000</f>
        <v/>
      </c>
      <c r="U868" t="n">
        <v>0</v>
      </c>
    </row>
    <row r="869">
      <c r="A869">
        <f>Skills!A5</f>
        <v/>
      </c>
      <c r="B869">
        <f>Skills!B5</f>
        <v/>
      </c>
      <c r="C869">
        <f>Inputs!$B$3&gt;=40</f>
        <v/>
      </c>
      <c r="D869">
        <f>IF(Skills!C5=1,60+Inputs!$B$26+Inputs!$B$30,IF(Skills!C5=2,90+(Inputs!$B$27+1)+Inputs!$B$30,IF(Skills!C5=3,120+Inputs!$B$28+Inputs!$B$30,MAX(0,(Inputs!$B$3-100)*3)+Inputs!$B$29+Inputs!$B$30)))</f>
        <v/>
      </c>
      <c r="E869">
        <f>INDEX(FactorTable!$B$2:$Y$301, MATCH(ROUND(MIN(300,MAX(1,D869)),0), FactorTable!$A$2:$A$301,0), Skills!L5+1)</f>
        <v/>
      </c>
      <c r="F869">
        <f>IF(Skills!M5=TRUE,(Skills!K5/10)*(E869/1000),Skills!K5/10)+Skills!N5</f>
        <v/>
      </c>
      <c r="G869">
        <f>Calc!G5</f>
        <v/>
      </c>
      <c r="H869">
        <f>Calc!H5</f>
        <v/>
      </c>
      <c r="I869">
        <f>IF(Skills!T5&lt;&gt;"",1+(Skills!T5/10)*($Z$3/1000)/100,1)</f>
        <v/>
      </c>
      <c r="J869" t="inlineStr"/>
      <c r="K869" t="inlineStr"/>
      <c r="L869" t="inlineStr"/>
      <c r="M869" t="inlineStr"/>
      <c r="N869" t="inlineStr"/>
      <c r="O869">
        <f>(1-Summary!$B$11)*S869+Summary!$B$11*U869</f>
        <v/>
      </c>
      <c r="P869">
        <f>IF(B906=0,0,O869/B906)</f>
        <v/>
      </c>
      <c r="Q869">
        <f>IFERROR(1/(IF(Inputs!$B$39="pvp",15,MAX(0.1,Skills!D5-IF(Skills!E5=TRUE,Inputs!$B$33,0)))*(1-IF(AND(ArtifactsInput!$M$27,Inputs!$B$4="Chapter Hunt"),CHOOSE(ArtifactsInput!$N$27+1,20,24,28,32,36,40),0)/100)),0)</f>
        <v/>
      </c>
      <c r="R869">
        <f>IF(AND(Inputs!$B$39&lt;&gt;"pvp",Inputs!$B$44&gt;0),IF(Inputs!$B$44&lt;=0,0,(INT(Inputs!$B$44/(IF(Inputs!$B$39="pvp",15,MAX(0.1,Skills!D5-IF(Skills!E5=TRUE,Inputs!$B$33,0)))*(1-IF(AND(ArtifactsInput!$M$27,Inputs!$B$4="Chapter Hunt"),CHOOSE(ArtifactsInput!$N$27+1,20,24,28,32,36,40),0)/100)))+1)),0)</f>
        <v/>
      </c>
      <c r="S869" t="n">
        <v>0</v>
      </c>
      <c r="U869" t="n">
        <v>0</v>
      </c>
    </row>
    <row r="870">
      <c r="A870">
        <f>Skills!A6</f>
        <v/>
      </c>
      <c r="B870">
        <f>Skills!B6</f>
        <v/>
      </c>
      <c r="C870">
        <f>Inputs!$B$3&gt;=103</f>
        <v/>
      </c>
      <c r="D870">
        <f>IF(Skills!C6=1,60+Inputs!$B$26+Inputs!$B$30,IF(Skills!C6=2,90+(Inputs!$B$27+1)+Inputs!$B$30,IF(Skills!C6=3,120+Inputs!$B$28+Inputs!$B$30,MAX(0,(Inputs!$B$3-100)*3)+Inputs!$B$29+Inputs!$B$30)))</f>
        <v/>
      </c>
      <c r="E870">
        <f>INDEX(FactorTable!$B$2:$Y$301, MATCH(ROUND(MIN(300,MAX(1,D870)),0), FactorTable!$A$2:$A$301,0), Skills!L6+1)</f>
        <v/>
      </c>
      <c r="F870">
        <f>IF(Skills!M6=TRUE,(Skills!K6/10)*(E870/1000),Skills!K6/10)+Skills!N6</f>
        <v/>
      </c>
      <c r="G870">
        <f>Calc!G6</f>
        <v/>
      </c>
      <c r="H870">
        <f>Calc!H6</f>
        <v/>
      </c>
      <c r="I870">
        <f>IF(Skills!T6&lt;&gt;"",1+(Skills!T6/10)*($Z$3/1000)/100,1)</f>
        <v/>
      </c>
      <c r="J870">
        <f>((Inputs!$B$6*(1+Inputs!$B$7/100))+(((Inputs!$B$13*(1+Inputs!$B$14/100))-(Inputs!$B$13*(1+Inputs!$B$14/100)))+0.25*(Inputs!$B$15-Inputs!$B$15))*(1+Inputs!$B$7/100))*(F870/100)</f>
        <v/>
      </c>
      <c r="K870">
        <f>J870*(1+(((Inputs!$B$13+IF(Inputs!$B$3&gt;=35,(10*INDEX(FactorTable!$B$2:$Y$301,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6="TRIUMPH_FEATHER",IF(C880=TRUE,F880,0),0)/100)*(1+IF(C891=TRUE,F891,0)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870)</f>
        <v/>
      </c>
      <c r="L870">
        <f>K870*(MIN(Inputs!$B$23+(F886-Calc!F22),(Inputs!$B$24+IF(ArtifactsInput!$M$15,CHOOSE(ArtifactsInput!$N$15+1,25,30,35,40,45,50)/100*(Inputs!$B$12-Inputs!$B$12),0)))/100+(Inputs!$B$24+IF(ArtifactsInput!$M$15,CHOOSE(ArtifactsInput!$N$15+1,25,30,35,40,45,50)/100*(Inputs!$B$12-Inputs!$B$12),0))/100)/2</f>
        <v/>
      </c>
      <c r="M870">
        <f>L870*(1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0">
        <f>L870*(1-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(1-Summary!$B$11)*S870+Summary!$B$11*U870</f>
        <v/>
      </c>
      <c r="P870">
        <f>IF(B906=0,0,O870/B906)</f>
        <v/>
      </c>
      <c r="Q870">
        <f>IFERROR(1/(IF(Inputs!$B$39="pvp",15,MAX(0.1,Skills!D6-IF(Skills!E6=TRUE,Inputs!$B$33,0)))*(1-IF(AND(ArtifactsInput!$M$27,Inputs!$B$4="Chapter Hunt"),CHOOSE(ArtifactsInput!$N$27+1,20,24,28,32,36,40),0)/100)),0)</f>
        <v/>
      </c>
      <c r="R870">
        <f>IF(AND(Inputs!$B$39&lt;&gt;"pvp",Inputs!$B$44&gt;0),IF(MAX(0,Inputs!$B$44-B903)&lt;=0,0,(INT(MAX(0,Inputs!$B$44-B903)/(IF(Inputs!$B$39="pvp",15,MAX(0.1,Skills!D6-IF(Skills!E6=TRUE,Inputs!$B$33,0)))*(1-IF(AND(ArtifactsInput!$M$27,Inputs!$B$4="Chapter Hunt"),CHOOSE(ArtifactsInput!$N$27+1,20,24,28,32,36,40),0)/100)))+1)),0)</f>
        <v/>
      </c>
      <c r="S870">
        <f>IF(C870,(H870*N870*IF(AND(Inputs!$B$39&lt;&gt;"pvp",Inputs!$B$44&gt;0),((Skills!F6*((R870-1)*IF(Skills!G6&gt;0,Skills!H6/Skills!G6,1)+IF(Skills!G6&gt;0,MIN(Skills!H6,MAX(0,MAX(0,Inputs!$B$44-B903)-((R870-1)*(IF(Inputs!$B$39="pvp",15,MAX(0.1,Skills!D6-IF(Skills!E6=TRUE,Inputs!$B$33,0)))*(1-IF(AND(ArtifactsInput!$M$27,Inputs!$B$4="Chapter Hunt"),CHOOSE(ArtifactsInput!$N$27+1,20,24,28,32,36,40),0)/100)))))/Skills!G6,1)))/Inputs!$B$44),G870*Q870))*IF(Inputs!$B$39="pvp",1,1+(Inputs!$B$21+Skills!O6+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870*(1-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0">
        <f>IF(C870,(H870*N870*IF(AND(Inputs!$B$39&lt;&gt;"pvp",Inputs!$B$44&gt;0),((Skills!F6*((R870-1)*IF(Skills!G6&gt;0,Skills!H6/Skills!G6,1)+IF(Skills!G6&gt;0,MIN(Skills!H6,MAX(0,MAX(0,Inputs!$B$44-B903)-((R870-1)*(IF(Inputs!$B$39="pvp",15,MAX(0.1,Skills!D6-IF(Skills!E6=TRUE,Inputs!$B$33,0)))*(1-IF(AND(ArtifactsInput!$M$27,Inputs!$B$4="Chapter Hunt"),CHOOSE(ArtifactsInput!$N$27+1,20,24,28,32,36,40),0)/100)))))/Skills!G6,1)))/Inputs!$B$44),G870*Q870))*IF(Inputs!$B$39="pvp",1,(1+(Inputs!$B$22+Skills!P6+B895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Skills!A7</f>
        <v/>
      </c>
      <c r="B871">
        <f>Skills!B7</f>
        <v/>
      </c>
      <c r="C871">
        <f>Inputs!$B$3&gt;=122</f>
        <v/>
      </c>
      <c r="D871">
        <f>IF(Skills!C7=1,60+Inputs!$B$26+Inputs!$B$30,IF(Skills!C7=2,90+(Inputs!$B$27+1)+Inputs!$B$30,IF(Skills!C7=3,120+Inputs!$B$28+Inputs!$B$30,MAX(0,(Inputs!$B$3-100)*3)+Inputs!$B$29+Inputs!$B$30)))</f>
        <v/>
      </c>
      <c r="E871">
        <f>INDEX(FactorTable!$B$2:$Y$301, MATCH(ROUND(MIN(300,MAX(1,D871)),0), FactorTable!$A$2:$A$301,0), Skills!L7+1)</f>
        <v/>
      </c>
      <c r="F871">
        <f>IF(Skills!M7=TRUE,(Skills!K7/10)*(E871/1000),Skills!K7/10)+Skills!N7</f>
        <v/>
      </c>
      <c r="G871">
        <f>Calc!G7</f>
        <v/>
      </c>
      <c r="H871">
        <f>Calc!H7</f>
        <v/>
      </c>
      <c r="I871">
        <f>IF(Skills!T7&lt;&gt;"",1+(Skills!T7/10)*($Z$3/1000)/100,1)</f>
        <v/>
      </c>
      <c r="J871">
        <f>((Inputs!$B$6*(1+Inputs!$B$7/100))+(((Inputs!$B$13*(1+Inputs!$B$14/100))-(Inputs!$B$13*(1+Inputs!$B$14/100)))+0.25*(Inputs!$B$15-Inputs!$B$15))*(1+Inputs!$B$7/100))*(F871/100)</f>
        <v/>
      </c>
      <c r="K871">
        <f>J871*(1+(((Inputs!$B$13+IF(Inputs!$B$3&gt;=35,(10*INDEX(FactorTable!$B$2:$Y$301,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7="TRIUMPH_FEATHER",IF(C880=TRUE,F880,0),0)/100)*(1+IF(C891=TRUE,F891,0)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871)</f>
        <v/>
      </c>
      <c r="L871">
        <f>K871*(MIN(Inputs!$B$23+(F886-Calc!F22),(Inputs!$B$24+IF(ArtifactsInput!$M$15,CHOOSE(ArtifactsInput!$N$15+1,25,30,35,40,45,50)/100*(Inputs!$B$12-Inputs!$B$12),0)))/100+(Inputs!$B$24+IF(ArtifactsInput!$M$15,CHOOSE(ArtifactsInput!$N$15+1,25,30,35,40,45,50)/100*(Inputs!$B$12-Inputs!$B$12),0))/100)/2</f>
        <v/>
      </c>
      <c r="M871">
        <f>L871*(1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1">
        <f>L871*(1-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1">
        <f>(1-Summary!$B$11)*S871+Summary!$B$11*U871</f>
        <v/>
      </c>
      <c r="P871">
        <f>IF(B906=0,0,O871/B906)</f>
        <v/>
      </c>
      <c r="Q871">
        <f>IFERROR(1/(IF(Inputs!$B$39="pvp",15,MAX(0.1,Skills!D7-IF(Skills!E6=TRUE,Inputs!$B$33,0)))*(1-IF(AND(ArtifactsInput!$M$27,Inputs!$B$4="Chapter Hunt"),CHOOSE(ArtifactsInput!$N$27+1,20,24,28,32,36,40),0)/100)),0)</f>
        <v/>
      </c>
      <c r="R871">
        <f>IF(AND(Inputs!$B$39&lt;&gt;"pvp",Inputs!$B$44&gt;0),IF(MAX(0,Inputs!$B$44-B903)&lt;=0,0,(INT(MAX(0,Inputs!$B$44-B903)/(IF(Inputs!$B$39="pvp",15,MAX(0.1,Skills!D7-IF(Skills!E6=TRUE,Inputs!$B$33,0)))*(1-IF(AND(ArtifactsInput!$M$27,Inputs!$B$4="Chapter Hunt"),CHOOSE(ArtifactsInput!$N$27+1,20,24,28,32,36,40),0)/100)))+1)),0)</f>
        <v/>
      </c>
      <c r="S871">
        <f>IF(C871,H871*N871*IF(AND(Inputs!$B$39&lt;&gt;"pvp",Inputs!$B$44&gt;0),((Skills!F7*((R871-1)*IF(Skills!G7&gt;0,Skills!H7/Skills!G7,1)+IF(Skills!G7&gt;0,MIN(Skills!H7,MAX(0,MAX(0,Inputs!$B$44-B903)-((R871-1)*(IF(Inputs!$B$39="pvp",15,MAX(0.1,Skills!D7-IF(Skills!E6=TRUE,Inputs!$B$33,0)))*(1-IF(AND(ArtifactsInput!$M$27,Inputs!$B$4="Chapter Hunt"),CHOOSE(ArtifactsInput!$N$27+1,20,24,28,32,36,40),0)/100)))))/Skills!G7,1)))/Inputs!$B$44),G871*Q871)*IF(Inputs!$B$39="pvp",1,1+(Inputs!$B$21+Skills!O7+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1" t="n">
        <v>0</v>
      </c>
    </row>
    <row r="872">
      <c r="A872">
        <f>Skills!A8</f>
        <v/>
      </c>
      <c r="B872">
        <f>Skills!B8</f>
        <v/>
      </c>
      <c r="C872">
        <f>Inputs!$B$3&gt;=105</f>
        <v/>
      </c>
      <c r="D872">
        <f>IF(Skills!C8=1,60+Inputs!$B$26+Inputs!$B$30,IF(Skills!C8=2,90+(Inputs!$B$27+1)+Inputs!$B$30,IF(Skills!C8=3,120+Inputs!$B$28+Inputs!$B$30,MAX(0,(Inputs!$B$3-100)*3)+Inputs!$B$29+Inputs!$B$30)))</f>
        <v/>
      </c>
      <c r="E872">
        <f>INDEX(FactorTable!$B$2:$Y$301, MATCH(ROUND(MIN(300,MAX(1,D872)),0), FactorTable!$A$2:$A$301,0), Skills!L8+1)</f>
        <v/>
      </c>
      <c r="F872">
        <f>IF(Skills!M8=TRUE,(Skills!K8/10)*(E872/1000),Skills!K8/10)+Skills!N8</f>
        <v/>
      </c>
      <c r="G872">
        <f>Calc!G8</f>
        <v/>
      </c>
      <c r="H872">
        <f>Calc!H8</f>
        <v/>
      </c>
      <c r="I872">
        <f>IF(Skills!T8&lt;&gt;"",1+(Skills!T8/10)*($Z$3/1000)/100,1)</f>
        <v/>
      </c>
      <c r="J872">
        <f>((Inputs!$B$6*(1+Inputs!$B$7/100))+(((Inputs!$B$13*(1+Inputs!$B$14/100))-(Inputs!$B$13*(1+Inputs!$B$14/100)))+0.25*(Inputs!$B$15-Inputs!$B$15))*(1+Inputs!$B$7/100))*(F872/100)</f>
        <v/>
      </c>
      <c r="K872">
        <f>J872*(1+(((Inputs!$B$13+IF(Inputs!$B$3&gt;=35,(10*INDEX(FactorTable!$B$2:$Y$301,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8="TRIUMPH_FEATHER",IF(C880=TRUE,F880,0),0)/100)*(1+IF(C891=TRUE,F891,0)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872)</f>
        <v/>
      </c>
      <c r="L872">
        <f>K872*(MIN(Inputs!$B$23+(F886-Calc!F22),(Inputs!$B$24+IF(ArtifactsInput!$M$15,CHOOSE(ArtifactsInput!$N$15+1,25,30,35,40,45,50)/100*(Inputs!$B$12-Inputs!$B$12),0)))/100+(Inputs!$B$24+IF(ArtifactsInput!$M$15,CHOOSE(ArtifactsInput!$N$15+1,25,30,35,40,45,50)/100*(Inputs!$B$12-Inputs!$B$12),0))/100)/2</f>
        <v/>
      </c>
      <c r="M872">
        <f>L872*(1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2">
        <f>L872*(1-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872*(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2">
        <f>(1-Summary!$B$11)*S872+Summary!$B$11*U872</f>
        <v/>
      </c>
      <c r="P872">
        <f>IF(B906=0,0,O872/B906)</f>
        <v/>
      </c>
      <c r="Q872">
        <f>IFERROR(1/(IF(Inputs!$B$39="pvp",15,MAX(0.1,Skills!D8-IF(Skills!E8=TRUE,Inputs!$B$33,0)))*(1-IF(AND(ArtifactsInput!$M$27,Inputs!$B$4="Chapter Hunt"),CHOOSE(ArtifactsInput!$N$27+1,20,24,28,32,36,40),0)/100)),0)</f>
        <v/>
      </c>
      <c r="R872">
        <f>IF(AND(Inputs!$B$39&lt;&gt;"pvp",Inputs!$B$44&gt;0),IF(MAX(0,Inputs!$B$44-B903)&lt;=0,0,(INT(MAX(0,Inputs!$B$44-B903)/(IF(Inputs!$B$39="pvp",15,MAX(0.1,Skills!D8-IF(Skills!E8=TRUE,Inputs!$B$33,0)))*(1-IF(AND(ArtifactsInput!$M$27,Inputs!$B$4="Chapter Hunt"),CHOOSE(ArtifactsInput!$N$27+1,20,24,28,32,36,40),0)/100)))+1)),0)</f>
        <v/>
      </c>
      <c r="S872">
        <f>IF(C872,(H872*N872*IF(AND(Inputs!$B$39&lt;&gt;"pvp",Inputs!$B$44&gt;0),((Skills!F8*((R872-1)*IF(Skills!G8&gt;0,Skills!H8/Skills!G8,1)+IF(Skills!G8&gt;0,MIN(Skills!H8,MAX(0,MAX(0,Inputs!$B$44-B903)-((R872-1)*(IF(Inputs!$B$39="pvp",15,MAX(0.1,Skills!D8-IF(Skills!E8=TRUE,Inputs!$B$33,0)))*(1-IF(AND(ArtifactsInput!$M$27,Inputs!$B$4="Chapter Hunt"),CHOOSE(ArtifactsInput!$N$27+1,20,24,28,32,36,40),0)/100)))))/Skills!G8,1)))/Inputs!$B$44),G872*Q872))*IF(Inputs!$B$39="pvp",1,1+(Inputs!$B$21+Skills!O8+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872*(1-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872*(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872*(1-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872*(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2">
        <f>IF(C872,(H872*N872*IF(AND(Inputs!$B$39&lt;&gt;"pvp",Inputs!$B$44&gt;0),((Skills!F8*((R872-1)*IF(Skills!G8&gt;0,Skills!H8/Skills!G8,1)+IF(Skills!G8&gt;0,MIN(Skills!H8,MAX(0,MAX(0,Inputs!$B$44-B903)-((R872-1)*(IF(Inputs!$B$39="pvp",15,MAX(0.1,Skills!D8-IF(Skills!E8=TRUE,Inputs!$B$33,0)))*(1-IF(AND(ArtifactsInput!$M$27,Inputs!$B$4="Chapter Hunt"),CHOOSE(ArtifactsInput!$N$27+1,20,24,28,32,36,40),0)/100)))))/Skills!G8,1)))/Inputs!$B$44),G872*Q872))*IF(Inputs!$B$39="pvp",1,(1+(Inputs!$B$22+Skills!P8+B895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3">
      <c r="A873">
        <f>Skills!A9</f>
        <v/>
      </c>
      <c r="B873">
        <f>Skills!B9</f>
        <v/>
      </c>
      <c r="C873">
        <f>Inputs!$B$3&gt;=115</f>
        <v/>
      </c>
      <c r="D873">
        <f>IF(Skills!C9=1,60+Inputs!$B$26+Inputs!$B$30,IF(Skills!C9=2,90+(Inputs!$B$27+1)+Inputs!$B$30,IF(Skills!C9=3,120+Inputs!$B$28+Inputs!$B$30,MAX(0,(Inputs!$B$3-100)*3)+Inputs!$B$29+Inputs!$B$30)))</f>
        <v/>
      </c>
      <c r="E873">
        <f>INDEX(FactorTable!$B$2:$Y$301, MATCH(ROUND(MIN(300,MAX(1,D873)),0), FactorTable!$A$2:$A$301,0), Skills!L9+1)</f>
        <v/>
      </c>
      <c r="F873">
        <f>IF(Skills!M9=TRUE,(Skills!K9/10)*(E873/1000),Skills!K9/10)+Skills!N9</f>
        <v/>
      </c>
      <c r="G873">
        <f>Calc!G9</f>
        <v/>
      </c>
      <c r="H873">
        <f>Calc!H9</f>
        <v/>
      </c>
      <c r="I873">
        <f>IF(Skills!T9&lt;&gt;"",1+(Skills!T9/10)*($Z$3/1000)/100,1)</f>
        <v/>
      </c>
      <c r="J873">
        <f>((Inputs!$B$6*(1+Inputs!$B$7/100))+(((Inputs!$B$13*(1+Inputs!$B$14/100))-(Inputs!$B$13*(1+Inputs!$B$14/100)))+0.25*(Inputs!$B$15-Inputs!$B$15))*(1+Inputs!$B$7/100))*(F873/100)</f>
        <v/>
      </c>
      <c r="K873">
        <f>J873*(1+(((Inputs!$B$13+IF(Inputs!$B$3&gt;=35,(10*INDEX(FactorTable!$B$2:$Y$301,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9="TRIUMPH_FEATHER",IF(C880=TRUE,F880,0),0)/100)*(1+IF(C891=TRUE,F891,0)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873)</f>
        <v/>
      </c>
      <c r="L873">
        <f>K873*(MIN(Inputs!$B$23+(F886-Calc!F22),(Inputs!$B$24+IF(ArtifactsInput!$M$15,CHOOSE(ArtifactsInput!$N$15+1,25,30,35,40,45,50)/100*(Inputs!$B$12-Inputs!$B$12),0)))/100+(Inputs!$B$24+IF(ArtifactsInput!$M$15,CHOOSE(ArtifactsInput!$N$15+1,25,30,35,40,45,50)/100*(Inputs!$B$12-Inputs!$B$12),0))/100)/2</f>
        <v/>
      </c>
      <c r="M873">
        <f>L873*(1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3">
        <f>L873*(1-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(1-Summary!$B$11)*S873+Summary!$B$11*U873</f>
        <v/>
      </c>
      <c r="P873">
        <f>IF(B906=0,0,O873/B906)</f>
        <v/>
      </c>
      <c r="Q873">
        <f>IFERROR(1/(IF(Inputs!$B$39="pvp",15,MAX(0.1,Skills!D9-IF(Skills!E9=TRUE,Inputs!$B$33,0)))*(1-IF(AND(ArtifactsInput!$M$27,Inputs!$B$4="Chapter Hunt"),CHOOSE(ArtifactsInput!$N$27+1,20,24,28,32,36,40),0)/100)),0)</f>
        <v/>
      </c>
      <c r="R873">
        <f>IF(AND(Inputs!$B$39&lt;&gt;"pvp",Inputs!$B$44&gt;0),IF(MAX(0,Inputs!$B$44-B903)&lt;=0,0,(INT(MAX(0,Inputs!$B$44-B903)/(IF(Inputs!$B$39="pvp",15,MAX(0.1,Skills!D9-IF(Skills!E9=TRUE,Inputs!$B$33,0)))*(1-IF(AND(ArtifactsInput!$M$27,Inputs!$B$4="Chapter Hunt"),CHOOSE(ArtifactsInput!$N$27+1,20,24,28,32,36,40),0)/100)))+1)),0)</f>
        <v/>
      </c>
      <c r="S873">
        <f>IF(C873,(H873*N873*IF(AND(Inputs!$B$39&lt;&gt;"pvp",Inputs!$B$44&gt;0),((Skills!F9*((R873-1)*IF(Skills!G9&gt;0,Skills!H9/Skills!G9,1)+IF(Skills!G9&gt;0,MIN(Skills!H9,MAX(0,MAX(0,Inputs!$B$44-B903)-((R873-1)*(IF(Inputs!$B$39="pvp",15,MAX(0.1,Skills!D9-IF(Skills!E9=TRUE,Inputs!$B$33,0)))*(1-IF(AND(ArtifactsInput!$M$27,Inputs!$B$4="Chapter Hunt"),CHOOSE(ArtifactsInput!$N$27+1,20,24,28,32,36,40),0)/100)))))/Skills!G9,1)))/Inputs!$B$44),G873*Q873))*IF(Inputs!$B$39="pvp",1,1+(Inputs!$B$21+Skills!O9+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873*(1-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IF(C873,(H873*N873*IF(AND(Inputs!$B$39&lt;&gt;"pvp",Inputs!$B$44&gt;0),((Skills!F9*((R873-1)*IF(Skills!G9&gt;0,Skills!H9/Skills!G9,1)+IF(Skills!G9&gt;0,MIN(Skills!H9,MAX(0,MAX(0,Inputs!$B$44-B903)-((R873-1)*(IF(Inputs!$B$39="pvp",15,MAX(0.1,Skills!D9-IF(Skills!E9=TRUE,Inputs!$B$33,0)))*(1-IF(AND(ArtifactsInput!$M$27,Inputs!$B$4="Chapter Hunt"),CHOOSE(ArtifactsInput!$N$27+1,20,24,28,32,36,40),0)/100)))))/Skills!G9,1)))/Inputs!$B$44),G873*Q873))*IF(Inputs!$B$39="pvp",1,(1+(Inputs!$B$22+Skills!P9+B895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Skills!A10</f>
        <v/>
      </c>
      <c r="B874">
        <f>Skills!B10</f>
        <v/>
      </c>
      <c r="C874">
        <f>Inputs!$B$3&gt;=66</f>
        <v/>
      </c>
      <c r="D874">
        <f>IF(Skills!C10=1,60+Inputs!$B$26+Inputs!$B$30,IF(Skills!C10=2,90+(Inputs!$B$27+1)+Inputs!$B$30,IF(Skills!C10=3,120+Inputs!$B$28+Inputs!$B$30,MAX(0,(Inputs!$B$3-100)*3)+Inputs!$B$29+Inputs!$B$30)))</f>
        <v/>
      </c>
      <c r="E874">
        <f>INDEX(FactorTable!$B$2:$Y$301, MATCH(ROUND(MIN(300,MAX(1,D874)),0), FactorTable!$A$2:$A$301,0), Skills!L10+1)</f>
        <v/>
      </c>
      <c r="F874" t="n">
        <v>0</v>
      </c>
      <c r="G874">
        <f>Calc!G10</f>
        <v/>
      </c>
      <c r="H874">
        <f>Calc!H10</f>
        <v/>
      </c>
      <c r="I874">
        <f>IF(Skills!T10&lt;&gt;"",1+(Skills!T10/10)*($Z$3/1000)/100,1)</f>
        <v/>
      </c>
      <c r="J874" t="inlineStr"/>
      <c r="K874" t="inlineStr"/>
      <c r="L874" t="inlineStr"/>
      <c r="M874" t="inlineStr"/>
      <c r="N874" t="inlineStr"/>
      <c r="O874">
        <f>(1-Summary!$B$11)*S874+Summary!$B$11*U874</f>
        <v/>
      </c>
      <c r="P874">
        <f>IF(B906=0,0,O874/B906)</f>
        <v/>
      </c>
      <c r="Q874">
        <f>IFERROR(1/(IF(Inputs!$B$39="pvp",15,MAX(0.1,Skills!D10-IF(Skills!E10=TRUE,Inputs!$B$33,0)))*(1-IF(AND(ArtifactsInput!$M$27,Inputs!$B$4="Chapter Hunt"),CHOOSE(ArtifactsInput!$N$27+1,20,24,28,32,36,40),0)/100)),0)</f>
        <v/>
      </c>
      <c r="R874">
        <f>IF(AND(Inputs!$B$39&lt;&gt;"pvp",Inputs!$B$44&gt;0),IF(MAX(0,Inputs!$B$44-B903)&lt;=0,0,(INT(MAX(0,Inputs!$B$44-B903)/(IF(Inputs!$B$39="pvp",15,MAX(0.1,Skills!D10-IF(Skills!E10=TRUE,Inputs!$B$33,0)))*(1-IF(AND(ArtifactsInput!$M$27,Inputs!$B$4="Chapter Hunt"),CHOOSE(ArtifactsInput!$N$27+1,20,24,28,32,36,40),0)/100)))+1)),0)</f>
        <v/>
      </c>
      <c r="S874" t="n">
        <v>0</v>
      </c>
      <c r="U874" t="n">
        <v>0</v>
      </c>
    </row>
    <row r="875">
      <c r="A875">
        <f>Skills!A11</f>
        <v/>
      </c>
      <c r="B875">
        <f>Skills!B11</f>
        <v/>
      </c>
      <c r="C875">
        <f>Inputs!$B$3&gt;=69</f>
        <v/>
      </c>
      <c r="D875">
        <f>IF(Skills!C11=1,60+Inputs!$B$26+Inputs!$B$30,IF(Skills!C11=2,90+(Inputs!$B$27+1)+Inputs!$B$30,IF(Skills!C11=3,120+Inputs!$B$28+Inputs!$B$30,MAX(0,(Inputs!$B$3-100)*3)+Inputs!$B$29+Inputs!$B$30)))</f>
        <v/>
      </c>
      <c r="E875">
        <f>INDEX(FactorTable!$B$2:$Y$301, MATCH(ROUND(MIN(300,MAX(1,D875)),0), FactorTable!$A$2:$A$301,0), Skills!L11+1)</f>
        <v/>
      </c>
      <c r="F875">
        <f>IF(Skills!M11=TRUE,(Skills!K11/10)*(E875/1000),Skills!K11/10)+Skills!N11</f>
        <v/>
      </c>
      <c r="G875">
        <f>Calc!G11</f>
        <v/>
      </c>
      <c r="H875">
        <f>Calc!H11</f>
        <v/>
      </c>
      <c r="I875">
        <f>IF(Skills!T11&lt;&gt;"",1+(Skills!T11/10)*($Z$3/1000)/100,1)</f>
        <v/>
      </c>
      <c r="J875" t="inlineStr"/>
      <c r="K875" t="inlineStr"/>
      <c r="L875" t="inlineStr"/>
      <c r="M875" t="inlineStr"/>
      <c r="N875" t="inlineStr"/>
      <c r="O875">
        <f>(1-Summary!$B$11)*S875+Summary!$B$11*U875</f>
        <v/>
      </c>
      <c r="P875">
        <f>IF(B906=0,0,O875/B906)</f>
        <v/>
      </c>
      <c r="Q875">
        <f>IFERROR(1/(IF(Inputs!$B$39="pvp",15,MAX(0.1,Skills!D11-IF(Skills!E11=TRUE,Inputs!$B$33,0)))*(1-IF(AND(ArtifactsInput!$M$27,Inputs!$B$4="Chapter Hunt"),CHOOSE(ArtifactsInput!$N$27+1,20,24,28,32,36,40),0)/100)),0)</f>
        <v/>
      </c>
      <c r="R875">
        <f>IF(AND(Inputs!$B$39&lt;&gt;"pvp",Inputs!$B$44&gt;0),IF(Inputs!$B$44&lt;=0,0,(INT(Inputs!$B$44/(IF(Inputs!$B$39="pvp",15,MAX(0.1,Skills!D11-IF(Skills!E11=TRUE,Inputs!$B$33,0)))*(1-IF(AND(ArtifactsInput!$M$27,Inputs!$B$4="Chapter Hunt"),CHOOSE(ArtifactsInput!$N$27+1,20,24,28,32,36,40),0)/100)))+1)),0)</f>
        <v/>
      </c>
      <c r="S875" t="n">
        <v>0</v>
      </c>
      <c r="U875" t="n">
        <v>0</v>
      </c>
    </row>
    <row r="876">
      <c r="A876">
        <f>Skills!A12</f>
        <v/>
      </c>
      <c r="B876">
        <f>Skills!B12</f>
        <v/>
      </c>
      <c r="C876">
        <f>Inputs!$B$3&gt;=72</f>
        <v/>
      </c>
      <c r="D876">
        <f>IF(Skills!C12=1,60+Inputs!$B$26+Inputs!$B$30,IF(Skills!C12=2,90+(Inputs!$B$27+1)+Inputs!$B$30,IF(Skills!C12=3,120+Inputs!$B$28+Inputs!$B$30,MAX(0,(Inputs!$B$3-100)*3)+Inputs!$B$29+Inputs!$B$30)))</f>
        <v/>
      </c>
      <c r="E876">
        <f>INDEX(FactorTable!$B$2:$Y$301, MATCH(ROUND(MIN(300,MAX(1,D876)),0), FactorTable!$A$2:$A$301,0), Skills!L12+1)</f>
        <v/>
      </c>
      <c r="F876">
        <f>IF(Skills!M12=TRUE,(Skills!K12/10)*(E876/1000),Skills!K12/10)+Skills!N12</f>
        <v/>
      </c>
      <c r="G876">
        <f>Calc!G12</f>
        <v/>
      </c>
      <c r="H876">
        <f>Calc!H12</f>
        <v/>
      </c>
      <c r="I876">
        <f>IF(Skills!T12&lt;&gt;"",1+(Skills!T12/10)*($Z$3/1000)/100,1)</f>
        <v/>
      </c>
      <c r="J876" t="inlineStr"/>
      <c r="K876" t="inlineStr"/>
      <c r="L876" t="inlineStr"/>
      <c r="M876" t="inlineStr"/>
      <c r="N876" t="inlineStr"/>
      <c r="O876">
        <f>(1-Summary!$B$11)*S876+Summary!$B$11*U876</f>
        <v/>
      </c>
      <c r="P876">
        <f>IF(B906=0,0,O876/B906)</f>
        <v/>
      </c>
      <c r="Q876">
        <f>IFERROR(1/(IF(Inputs!$B$39="pvp",15,MAX(0.1,Skills!D12-IF(Skills!E12=TRUE,Inputs!$B$33,0)))*(1-IF(AND(ArtifactsInput!$M$27,Inputs!$B$4="Chapter Hunt"),CHOOSE(ArtifactsInput!$N$27+1,20,24,28,32,36,40),0)/100)),0)</f>
        <v/>
      </c>
      <c r="R876">
        <f>IF(AND(Inputs!$B$39&lt;&gt;"pvp",Inputs!$B$44&gt;0),IF(MAX(0,Inputs!$B$44-B903)&lt;=0,0,(INT(MAX(0,Inputs!$B$44-B903)/(IF(Inputs!$B$39="pvp",15,MAX(0.1,Skills!D12-IF(Skills!E12=TRUE,Inputs!$B$33,0)))*(1-IF(AND(ArtifactsInput!$M$27,Inputs!$B$4="Chapter Hunt"),CHOOSE(ArtifactsInput!$N$27+1,20,24,28,32,36,40),0)/100)))+1)),0)</f>
        <v/>
      </c>
      <c r="S876" t="n">
        <v>0</v>
      </c>
      <c r="U876" t="n">
        <v>0</v>
      </c>
    </row>
    <row r="877">
      <c r="A877">
        <f>Skills!A13</f>
        <v/>
      </c>
      <c r="B877">
        <f>Skills!B13</f>
        <v/>
      </c>
      <c r="C877">
        <f>Inputs!$B$3&gt;=60</f>
        <v/>
      </c>
      <c r="D877">
        <f>IF(Skills!C13=1,60+Inputs!$B$26+Inputs!$B$30,IF(Skills!C13=2,90+(Inputs!$B$27+1)+Inputs!$B$30,IF(Skills!C13=3,120+Inputs!$B$28+Inputs!$B$30,MAX(0,(Inputs!$B$3-100)*3)+Inputs!$B$29+Inputs!$B$30)))</f>
        <v/>
      </c>
      <c r="E877">
        <f>INDEX(FactorTable!$B$2:$Y$301, MATCH(ROUND(MIN(300,MAX(1,D877)),0), FactorTable!$A$2:$A$301,0), Skills!L13+1)</f>
        <v/>
      </c>
      <c r="F877">
        <f>IF(Skills!M13=TRUE,(Skills!K13/10)*(E877/1000),Skills!K13/10)+Skills!N13</f>
        <v/>
      </c>
      <c r="G877">
        <f>Calc!G13</f>
        <v/>
      </c>
      <c r="H877">
        <f>Calc!H13</f>
        <v/>
      </c>
      <c r="I877">
        <f>IF(Skills!T13&lt;&gt;"",1+(Skills!T13/10)*($Z$3/1000)/100,1)</f>
        <v/>
      </c>
      <c r="J877" t="inlineStr"/>
      <c r="K877" t="inlineStr"/>
      <c r="L877" t="inlineStr"/>
      <c r="M877" t="inlineStr"/>
      <c r="N877" t="inlineStr"/>
      <c r="O877">
        <f>(1-Summary!$B$11)*S877+Summary!$B$11*U877</f>
        <v/>
      </c>
      <c r="P877">
        <f>IF(B906=0,0,O877/B906)</f>
        <v/>
      </c>
      <c r="Q877">
        <f>IFERROR(1/(IF(Inputs!$B$39="pvp",15,MAX(0.1,Skills!D13-IF(Skills!E13=TRUE,Inputs!$B$33,0)))*(1-IF(AND(ArtifactsInput!$M$27,Inputs!$B$4="Chapter Hunt"),CHOOSE(ArtifactsInput!$N$27+1,20,24,28,32,36,40),0)/100)),0)</f>
        <v/>
      </c>
      <c r="R877">
        <f>IF(AND(Inputs!$B$39&lt;&gt;"pvp",Inputs!$B$44&gt;0),IF(MAX(0,Inputs!$B$44-B903)&lt;=0,0,(INT(MAX(0,Inputs!$B$44-B903)/(IF(Inputs!$B$39="pvp",15,MAX(0.1,Skills!D13-IF(Skills!E13=TRUE,Inputs!$B$33,0)))*(1-IF(AND(ArtifactsInput!$M$27,Inputs!$B$4="Chapter Hunt"),CHOOSE(ArtifactsInput!$N$27+1,20,24,28,32,36,40),0)/100)))+1)),0)</f>
        <v/>
      </c>
      <c r="S877" t="n">
        <v>0</v>
      </c>
      <c r="U877" t="n">
        <v>0</v>
      </c>
    </row>
    <row r="878">
      <c r="A878">
        <f>Skills!A14</f>
        <v/>
      </c>
      <c r="B878">
        <f>Skills!B14</f>
        <v/>
      </c>
      <c r="C878">
        <f>Inputs!$B$3&gt;=107</f>
        <v/>
      </c>
      <c r="D878">
        <f>IF(Skills!C14=1,60+Inputs!$B$26+Inputs!$B$30,IF(Skills!C14=2,90+(Inputs!$B$27+1)+Inputs!$B$30,IF(Skills!C14=3,120+Inputs!$B$28+Inputs!$B$30,MAX(0,(Inputs!$B$3-100)*3)+Inputs!$B$29+Inputs!$B$30)))</f>
        <v/>
      </c>
      <c r="E878">
        <f>INDEX(FactorTable!$B$2:$Y$301, MATCH(ROUND(MIN(300,MAX(1,D878)),0), FactorTable!$A$2:$A$301,0), Skills!L14+1)</f>
        <v/>
      </c>
      <c r="F878">
        <f>IF(Skills!M14=TRUE,(Skills!K14/10)*(E878/1000),Skills!K14/10)+Skills!N14</f>
        <v/>
      </c>
      <c r="G878">
        <f>Calc!G14</f>
        <v/>
      </c>
      <c r="H878">
        <f>Calc!H14</f>
        <v/>
      </c>
      <c r="I878">
        <f>IF(Skills!T14&lt;&gt;"",1+(Skills!T14/10)*($Z$3/1000)/100,1)</f>
        <v/>
      </c>
      <c r="J878" t="inlineStr"/>
      <c r="K878" t="inlineStr"/>
      <c r="L878" t="inlineStr"/>
      <c r="M878" t="inlineStr"/>
      <c r="N878" t="inlineStr"/>
      <c r="O878">
        <f>(1-Summary!$B$11)*S878+Summary!$B$11*U878</f>
        <v/>
      </c>
      <c r="P878">
        <f>IF(B906=0,0,O878/B906)</f>
        <v/>
      </c>
      <c r="Q878">
        <f>IFERROR(1/(IF(Inputs!$B$39="pvp",15,MAX(0.1,Skills!D14-IF(Skills!E14=TRUE,Inputs!$B$33,0)))*(1-IF(AND(ArtifactsInput!$M$27,Inputs!$B$4="Chapter Hunt"),CHOOSE(ArtifactsInput!$N$27+1,20,24,28,32,36,40),0)/100)),0)</f>
        <v/>
      </c>
      <c r="R878">
        <f>IF(AND(Inputs!$B$39&lt;&gt;"pvp",Inputs!$B$44&gt;0),IF(Inputs!$B$44&lt;=0,0,(INT(Inputs!$B$44/(IF(Inputs!$B$39="pvp",15,MAX(0.1,Skills!D14-IF(Skills!E14=TRUE,Inputs!$B$33,0)))*(1-IF(AND(ArtifactsInput!$M$27,Inputs!$B$4="Chapter Hunt"),CHOOSE(ArtifactsInput!$N$27+1,20,24,28,32,36,40),0)/100)))+1)),0)</f>
        <v/>
      </c>
      <c r="S878" t="n">
        <v>0</v>
      </c>
      <c r="U878" t="n">
        <v>0</v>
      </c>
    </row>
    <row r="879">
      <c r="A879">
        <f>Skills!A15</f>
        <v/>
      </c>
      <c r="B879">
        <f>Skills!B15</f>
        <v/>
      </c>
      <c r="C879">
        <f>Inputs!$B$3&gt;=63</f>
        <v/>
      </c>
      <c r="D879">
        <f>IF(Skills!C15=1,60+Inputs!$B$26+Inputs!$B$30,IF(Skills!C15=2,90+(Inputs!$B$27+1)+Inputs!$B$30,IF(Skills!C15=3,120+Inputs!$B$28+Inputs!$B$30,MAX(0,(Inputs!$B$3-100)*3)+Inputs!$B$29+Inputs!$B$30)))</f>
        <v/>
      </c>
      <c r="E879">
        <f>INDEX(FactorTable!$B$2:$Y$301, MATCH(ROUND(MIN(300,MAX(1,D879)),0), FactorTable!$A$2:$A$301,0), Skills!L15+1)</f>
        <v/>
      </c>
      <c r="F879">
        <f>IF(Skills!M15=TRUE,(Skills!K15/10)*(E879/1000),Skills!K15/10)+Skills!N15</f>
        <v/>
      </c>
      <c r="G879">
        <f>Calc!G15</f>
        <v/>
      </c>
      <c r="H879">
        <f>Calc!H15</f>
        <v/>
      </c>
      <c r="I879">
        <f>IF(Skills!T15&lt;&gt;"",1+(Skills!T15/10)*($Z$3/1000)/100,1)</f>
        <v/>
      </c>
      <c r="J879">
        <f>((Inputs!$B$6*(1+Inputs!$B$7/100))+(((Inputs!$B$13*(1+Inputs!$B$14/100))-(Inputs!$B$13*(1+Inputs!$B$14/100)))+0.25*(Inputs!$B$15-Inputs!$B$15))*(1+Inputs!$B$7/100))*(F879/100)</f>
        <v/>
      </c>
      <c r="K879">
        <f>J879*(1+(((Inputs!$B$13+IF(Inputs!$B$3&gt;=35,(10*INDEX(FactorTable!$B$2:$Y$301,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15="TRIUMPH_FEATHER",IF(C880=TRUE,F880,0),0)/100)*(1+IF(C891=TRUE,F891,0)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879)</f>
        <v/>
      </c>
      <c r="L879">
        <f>K879*(MIN(Inputs!$B$23+(F886-Calc!F22),(Inputs!$B$24+IF(ArtifactsInput!$M$15,CHOOSE(ArtifactsInput!$N$15+1,25,30,35,40,45,50)/100*(Inputs!$B$12-Inputs!$B$12),0)))/100+(Inputs!$B$24+IF(ArtifactsInput!$M$15,CHOOSE(ArtifactsInput!$N$15+1,25,30,35,40,45,50)/100*(Inputs!$B$12-Inputs!$B$12),0))/100)/2</f>
        <v/>
      </c>
      <c r="M879">
        <f>L879*(1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9">
        <f>L879*(1-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879*(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9">
        <f>(1-Summary!$B$11)*S879+Summary!$B$11*U879</f>
        <v/>
      </c>
      <c r="P879">
        <f>IF(B906=0,0,O879/B906)</f>
        <v/>
      </c>
      <c r="Q879">
        <f>IFERROR(1/(IF(Inputs!$B$39="pvp",15,MAX(0.1,Skills!D15-IF(Skills!E15=TRUE,Inputs!$B$33,0)))*(1-IF(AND(ArtifactsInput!$M$27,Inputs!$B$4="Chapter Hunt"),CHOOSE(ArtifactsInput!$N$27+1,20,24,28,32,36,40),0)/100)),0)</f>
        <v/>
      </c>
      <c r="R879" t="n">
        <v>0</v>
      </c>
      <c r="S879">
        <f>IF(C879,(Skills!F15*N879*((IF(Inputs!$B$3&gt;=78,25,15)/100*B899*10)/(1+IF(Inputs!$B$3&gt;=78,25,15)/100*B899*10))*(Skills!I15/100*B899)/(1+Skills!G15*Skills!I15/100*B899))*IF(Inputs!$B$39="pvp",1,1+(Inputs!$B$21+Skills!O15+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879*(1-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879*(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879*(1-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879*(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9">
        <f>IF(C879,(Skills!F15*N879*((IF(Inputs!$B$3&gt;=78,25,15)/100*B899*10)/(1+IF(Inputs!$B$3&gt;=78,25,15)/100*B899*10))*(Skills!I15/100*B899)/(1+Skills!G15*Skills!I15/100*B899))*IF(Inputs!$B$39="pvp",1,(1+(Inputs!$B$22+Skills!P15+B895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0">
      <c r="A880">
        <f>Skills!A16</f>
        <v/>
      </c>
      <c r="B880">
        <f>Skills!B16</f>
        <v/>
      </c>
      <c r="C880">
        <f>Inputs!$B$3&gt;=100</f>
        <v/>
      </c>
      <c r="D880">
        <f>IF(Skills!C16=1,60+Inputs!$B$26+Inputs!$B$30,IF(Skills!C16=2,90+(Inputs!$B$27+1)+Inputs!$B$30,IF(Skills!C16=3,120+Inputs!$B$28+Inputs!$B$30,MAX(0,(Inputs!$B$3-100)*3)+Inputs!$B$29+Inputs!$B$30)))</f>
        <v/>
      </c>
      <c r="E880">
        <f>INDEX(FactorTable!$B$2:$Y$301, MATCH(ROUND(MIN(300,MAX(1,D880)),0), FactorTable!$A$2:$A$301,0), Skills!L16+1)</f>
        <v/>
      </c>
      <c r="F880">
        <f>IF(Skills!M16=TRUE,(Skills!K16/10)*(E880/1000),Skills!K16/10)+Skills!N16</f>
        <v/>
      </c>
      <c r="G880">
        <f>Calc!G16</f>
        <v/>
      </c>
      <c r="H880">
        <f>Calc!H16</f>
        <v/>
      </c>
      <c r="I880">
        <f>IF(Skills!T16&lt;&gt;"",1+(Skills!T16/10)*($Z$3/1000)/100,1)</f>
        <v/>
      </c>
      <c r="J880" t="inlineStr"/>
      <c r="K880" t="inlineStr"/>
      <c r="L880" t="inlineStr"/>
      <c r="M880" t="inlineStr"/>
      <c r="N880" t="inlineStr"/>
      <c r="O880">
        <f>(1-Summary!$B$11)*S880+Summary!$B$11*U880</f>
        <v/>
      </c>
      <c r="P880">
        <f>IF(B906=0,0,O880/B906)</f>
        <v/>
      </c>
      <c r="Q880">
        <f>IFERROR(1/(IF(Inputs!$B$39="pvp",15,MAX(0.1,Skills!D16-IF(Skills!E16=TRUE,Inputs!$B$33,0)))*(1-IF(AND(ArtifactsInput!$M$27,Inputs!$B$4="Chapter Hunt"),CHOOSE(ArtifactsInput!$N$27+1,20,24,28,32,36,40),0)/100)),0)</f>
        <v/>
      </c>
      <c r="R880" t="n">
        <v>0</v>
      </c>
      <c r="S880" t="n">
        <v>0</v>
      </c>
      <c r="U880" t="n">
        <v>0</v>
      </c>
    </row>
    <row r="881">
      <c r="A881">
        <f>Skills!A17</f>
        <v/>
      </c>
      <c r="B881">
        <f>Skills!B17</f>
        <v/>
      </c>
      <c r="C881">
        <f>Inputs!$B$3&gt;=49</f>
        <v/>
      </c>
      <c r="D881">
        <f>IF(Skills!C17=1,60+Inputs!$B$26+Inputs!$B$30,IF(Skills!C17=2,90+(Inputs!$B$27+1)+Inputs!$B$30,IF(Skills!C17=3,120+Inputs!$B$28+Inputs!$B$30,MAX(0,(Inputs!$B$3-100)*3)+Inputs!$B$29+Inputs!$B$30)))</f>
        <v/>
      </c>
      <c r="E881">
        <f>INDEX(FactorTable!$B$2:$Y$301, MATCH(ROUND(MIN(300,MAX(1,D881)),0), FactorTable!$A$2:$A$301,0), Skills!L17+1)</f>
        <v/>
      </c>
      <c r="F881">
        <f>IF(Skills!M17=TRUE,(Skills!K17/10)*(E881/1000),Skills!K17/10)+Skills!N17</f>
        <v/>
      </c>
      <c r="G881">
        <f>Calc!G17</f>
        <v/>
      </c>
      <c r="H881">
        <f>Calc!H17</f>
        <v/>
      </c>
      <c r="I881">
        <f>IF(Skills!T17&lt;&gt;"",1+(Skills!T17/10)*($Z$3/1000)/100,1)</f>
        <v/>
      </c>
      <c r="J881" t="inlineStr"/>
      <c r="K881" t="inlineStr"/>
      <c r="L881" t="inlineStr"/>
      <c r="M881" t="inlineStr"/>
      <c r="N881" t="inlineStr"/>
      <c r="O881">
        <f>(1-Summary!$B$11)*S881+Summary!$B$11*U881</f>
        <v/>
      </c>
      <c r="P881">
        <f>IF(B906=0,0,O881/B906)</f>
        <v/>
      </c>
      <c r="Q881">
        <f>IFERROR(1/(IF(Inputs!$B$39="pvp",15,MAX(0.1,Skills!D17-IF(Skills!E17=TRUE,Inputs!$B$33,0)))*(1-IF(AND(ArtifactsInput!$M$27,Inputs!$B$4="Chapter Hunt"),CHOOSE(ArtifactsInput!$N$27+1,20,24,28,32,36,40),0)/100)),0)</f>
        <v/>
      </c>
      <c r="R881" t="n">
        <v>0</v>
      </c>
      <c r="S881" t="n">
        <v>0</v>
      </c>
      <c r="U881" t="n">
        <v>0</v>
      </c>
    </row>
    <row r="882">
      <c r="A882">
        <f>Skills!A18</f>
        <v/>
      </c>
      <c r="B882">
        <f>Skills!B18</f>
        <v/>
      </c>
      <c r="C882">
        <f>Inputs!$B$3&gt;=75</f>
        <v/>
      </c>
      <c r="D882">
        <f>IF(Skills!C18=1,60+Inputs!$B$26+Inputs!$B$30,IF(Skills!C18=2,90+(Inputs!$B$27+1)+Inputs!$B$30,IF(Skills!C18=3,120+Inputs!$B$28+Inputs!$B$30,MAX(0,(Inputs!$B$3-100)*3)+Inputs!$B$29+Inputs!$B$30)))</f>
        <v/>
      </c>
      <c r="E882">
        <f>INDEX(FactorTable!$B$2:$Y$301, MATCH(ROUND(MIN(300,MAX(1,D882)),0), FactorTable!$A$2:$A$301,0), Skills!L18+1)</f>
        <v/>
      </c>
      <c r="F882">
        <f>IF(Skills!M18=TRUE,(Skills!K18/10)*(E882/1000),Skills!K18/10)+Skills!N18</f>
        <v/>
      </c>
      <c r="G882">
        <f>Calc!G18</f>
        <v/>
      </c>
      <c r="H882">
        <f>Calc!H18</f>
        <v/>
      </c>
      <c r="I882">
        <f>IF(Skills!T18&lt;&gt;"",1+(Skills!T18/10)*($Z$3/1000)/100,1)</f>
        <v/>
      </c>
      <c r="J882" t="inlineStr"/>
      <c r="K882" t="inlineStr"/>
      <c r="L882" t="inlineStr"/>
      <c r="M882" t="inlineStr"/>
      <c r="N882" t="inlineStr"/>
      <c r="O882">
        <f>(1-Summary!$B$11)*S882+Summary!$B$11*U882</f>
        <v/>
      </c>
      <c r="P882">
        <f>IF(B906=0,0,O882/B906)</f>
        <v/>
      </c>
      <c r="Q882">
        <f>IFERROR(1/(IF(Inputs!$B$39="pvp",15,MAX(0.1,Skills!D18-IF(Skills!E18=TRUE,Inputs!$B$33,0)))*(1-IF(AND(ArtifactsInput!$M$27,Inputs!$B$4="Chapter Hunt"),CHOOSE(ArtifactsInput!$N$27+1,20,24,28,32,36,40),0)/100)),0)</f>
        <v/>
      </c>
      <c r="R882" t="n">
        <v>0</v>
      </c>
      <c r="S882" t="n">
        <v>0</v>
      </c>
      <c r="U882" t="n">
        <v>0</v>
      </c>
    </row>
    <row r="883">
      <c r="A883">
        <f>Skills!A19</f>
        <v/>
      </c>
      <c r="B883">
        <f>Skills!B19</f>
        <v/>
      </c>
      <c r="C883">
        <f>Inputs!$B$3&gt;=110</f>
        <v/>
      </c>
      <c r="D883">
        <f>IF(Skills!C19=1,60+Inputs!$B$26+Inputs!$B$30,IF(Skills!C19=2,90+(Inputs!$B$27+1)+Inputs!$B$30,IF(Skills!C19=3,120+Inputs!$B$28+Inputs!$B$30,MAX(0,(Inputs!$B$3-100)*3)+Inputs!$B$29+Inputs!$B$30)))</f>
        <v/>
      </c>
      <c r="E883">
        <f>INDEX(FactorTable!$B$2:$Y$301, MATCH(ROUND(MIN(300,MAX(1,D883)),0), FactorTable!$A$2:$A$301,0), Skills!L19+1)</f>
        <v/>
      </c>
      <c r="F883">
        <f>(Skills!K19/10)*(E883/1000)*64/45+Skills!N19</f>
        <v/>
      </c>
      <c r="G883">
        <f>Calc!G19</f>
        <v/>
      </c>
      <c r="H883">
        <f>Calc!H19</f>
        <v/>
      </c>
      <c r="I883">
        <f>IF(Skills!T19&lt;&gt;"",1+(Skills!T19/10)*($Z$3/1000)/100,1)</f>
        <v/>
      </c>
      <c r="J883" t="inlineStr"/>
      <c r="K883" t="inlineStr"/>
      <c r="L883" t="inlineStr"/>
      <c r="M883" t="inlineStr"/>
      <c r="N883" t="inlineStr"/>
      <c r="O883">
        <f>(1-Summary!$B$11)*S883+Summary!$B$11*U883</f>
        <v/>
      </c>
      <c r="P883">
        <f>IF(B906=0,0,O883/B906)</f>
        <v/>
      </c>
      <c r="Q883">
        <f>IFERROR(1/(IF(Inputs!$B$39="pvp",15,MAX(0.1,Skills!D19-IF(Skills!E19=TRUE,Inputs!$B$33,0)))*(1-IF(AND(ArtifactsInput!$M$27,Inputs!$B$4="Chapter Hunt"),CHOOSE(ArtifactsInput!$N$27+1,20,24,28,32,36,40),0)/100)),0)</f>
        <v/>
      </c>
      <c r="R883">
        <f>IF(AND(Inputs!$B$39&lt;&gt;"pvp",Inputs!$B$44&gt;0),IF(Inputs!$B$44&lt;=0,0,(INT(Inputs!$B$44/(IF(Inputs!$B$39="pvp",15,MAX(0.1,Skills!D19-IF(Skills!E19=TRUE,Inputs!$B$33,0)))*(1-IF(AND(ArtifactsInput!$M$27,Inputs!$B$4="Chapter Hunt"),CHOOSE(ArtifactsInput!$N$27+1,20,24,28,32,36,40),0)/100)))+1)),0)</f>
        <v/>
      </c>
      <c r="S883" t="n">
        <v>0</v>
      </c>
      <c r="U883" t="n">
        <v>0</v>
      </c>
    </row>
    <row r="884">
      <c r="A884">
        <f>Skills!A20</f>
        <v/>
      </c>
      <c r="B884">
        <f>Skills!B20</f>
        <v/>
      </c>
      <c r="C884">
        <f>Inputs!$B$3&gt;=125</f>
        <v/>
      </c>
      <c r="D884">
        <f>IF(Skills!C20=1,60+Inputs!$B$26+Inputs!$B$30,IF(Skills!C20=2,90+(Inputs!$B$27+1)+Inputs!$B$30,IF(Skills!C20=3,120+Inputs!$B$28+Inputs!$B$30,MAX(0,(Inputs!$B$3-100)*3)+Inputs!$B$29+Inputs!$B$30)))</f>
        <v/>
      </c>
      <c r="E884">
        <f>INDEX(FactorTable!$B$2:$Y$301, MATCH(ROUND(MIN(300,MAX(1,D884)),0), FactorTable!$A$2:$A$301,0), Skills!L20+1)</f>
        <v/>
      </c>
      <c r="F884">
        <f>IF(Skills!M20=TRUE,(Skills!K20/10)*(E884/1000),Skills!K20/10)+Skills!N20</f>
        <v/>
      </c>
      <c r="G884">
        <f>Calc!G20</f>
        <v/>
      </c>
      <c r="H884">
        <f>Calc!H20</f>
        <v/>
      </c>
      <c r="I884">
        <f>IF(Skills!T20&lt;&gt;"",1+(Skills!T20/10)*($Z$3/1000)/100,1)</f>
        <v/>
      </c>
      <c r="J884" t="inlineStr"/>
      <c r="K884" t="inlineStr"/>
      <c r="L884" t="inlineStr"/>
      <c r="M884" t="inlineStr"/>
      <c r="N884" t="inlineStr"/>
      <c r="O884">
        <f>(1-Summary!$B$11)*S884+Summary!$B$11*U884</f>
        <v/>
      </c>
      <c r="P884">
        <f>IF(B906=0,0,O884/B906)</f>
        <v/>
      </c>
      <c r="Q884">
        <f>IFERROR(1/(IF(Inputs!$B$39="pvp",15,MAX(0.1,Skills!D20-IF(Skills!E20=TRUE,Inputs!$B$33,0)))*(1-IF(AND(ArtifactsInput!$M$27,Inputs!$B$4="Chapter Hunt"),CHOOSE(ArtifactsInput!$N$27+1,20,24,28,32,36,40),0)/100)),0)</f>
        <v/>
      </c>
      <c r="R884" t="n">
        <v>0</v>
      </c>
      <c r="S884" t="n">
        <v>0</v>
      </c>
      <c r="U884" t="n">
        <v>0</v>
      </c>
    </row>
    <row r="885">
      <c r="A885">
        <f>Skills!A21</f>
        <v/>
      </c>
      <c r="B885">
        <f>Skills!B21</f>
        <v/>
      </c>
      <c r="C885">
        <f>Inputs!$B$3&gt;=33</f>
        <v/>
      </c>
      <c r="D885">
        <f>IF(Skills!C21=1,60+Inputs!$B$26+Inputs!$B$30,IF(Skills!C21=2,90+(Inputs!$B$27+1)+Inputs!$B$30,IF(Skills!C21=3,120+Inputs!$B$28+Inputs!$B$30,MAX(0,(Inputs!$B$3-100)*3)+Inputs!$B$29+Inputs!$B$30)))</f>
        <v/>
      </c>
      <c r="E885">
        <f>INDEX(FactorTable!$B$2:$Y$301, MATCH(ROUND(MIN(300,MAX(1,D885)),0), FactorTable!$A$2:$A$301,0), Skills!L21+1)</f>
        <v/>
      </c>
      <c r="F885">
        <f>IF(Skills!M21=TRUE,(Skills!K21/10)*(E885/1000),Skills!K21/10)+Skills!N21</f>
        <v/>
      </c>
      <c r="G885">
        <f>Calc!G21</f>
        <v/>
      </c>
      <c r="H885">
        <f>Calc!H21</f>
        <v/>
      </c>
      <c r="I885">
        <f>IF(Skills!T21&lt;&gt;"",1+(Skills!T21/10)*($Z$3/1000)/100,1)</f>
        <v/>
      </c>
      <c r="J885" t="inlineStr"/>
      <c r="K885" t="inlineStr"/>
      <c r="L885" t="inlineStr"/>
      <c r="M885" t="inlineStr"/>
      <c r="N885" t="inlineStr"/>
      <c r="O885">
        <f>(1-Summary!$B$11)*S885+Summary!$B$11*U885</f>
        <v/>
      </c>
      <c r="P885">
        <f>IF(B906=0,0,O885/B906)</f>
        <v/>
      </c>
      <c r="Q885">
        <f>IFERROR(1/(IF(Inputs!$B$39="pvp",15,MAX(0.1,Skills!D21-IF(Skills!E21=TRUE,Inputs!$B$33,0)))*(1-IF(AND(ArtifactsInput!$M$27,Inputs!$B$4="Chapter Hunt"),CHOOSE(ArtifactsInput!$N$27+1,20,24,28,32,36,40),0)/100)),0)</f>
        <v/>
      </c>
      <c r="R885" t="n">
        <v>0</v>
      </c>
      <c r="S885" t="n">
        <v>0</v>
      </c>
      <c r="U885" t="n">
        <v>0</v>
      </c>
    </row>
    <row r="886">
      <c r="A886">
        <f>Skills!A22</f>
        <v/>
      </c>
      <c r="B886">
        <f>Skills!B22</f>
        <v/>
      </c>
      <c r="C886">
        <f>Inputs!$B$3&gt;=43</f>
        <v/>
      </c>
      <c r="D886">
        <f>IF(Skills!C22=1,60+Inputs!$B$26+Inputs!$B$30,IF(Skills!C22=2,90+(Inputs!$B$27+1)+Inputs!$B$30,IF(Skills!C22=3,120+Inputs!$B$28+Inputs!$B$30,MAX(0,(Inputs!$B$3-100)*3)+Inputs!$B$29+Inputs!$B$30)))</f>
        <v/>
      </c>
      <c r="E886">
        <f>INDEX(FactorTable!$B$2:$Y$301, MATCH(ROUND(MIN(300,MAX(1,D886)),0), FactorTable!$A$2:$A$301,0), Skills!L22+1)</f>
        <v/>
      </c>
      <c r="F886">
        <f>IF(Skills!M22=TRUE,(Skills!K22/10)*(E886/1000),Skills!K22/10)+Skills!N22</f>
        <v/>
      </c>
      <c r="G886">
        <f>Calc!G22</f>
        <v/>
      </c>
      <c r="H886">
        <f>Calc!H22</f>
        <v/>
      </c>
      <c r="I886">
        <f>IF(Skills!T22&lt;&gt;"",1+(Skills!T22/10)*($Z$3/1000)/100,1)</f>
        <v/>
      </c>
      <c r="J886" t="inlineStr"/>
      <c r="K886" t="inlineStr"/>
      <c r="L886" t="inlineStr"/>
      <c r="M886" t="inlineStr"/>
      <c r="N886" t="inlineStr"/>
      <c r="O886">
        <f>(1-Summary!$B$11)*S886+Summary!$B$11*U886</f>
        <v/>
      </c>
      <c r="P886">
        <f>IF(B906=0,0,O886/B906)</f>
        <v/>
      </c>
      <c r="Q886">
        <f>IFERROR(1/(IF(Inputs!$B$39="pvp",15,MAX(0.1,Skills!D22-IF(Skills!E22=TRUE,Inputs!$B$33,0)))*(1-IF(AND(ArtifactsInput!$M$27,Inputs!$B$4="Chapter Hunt"),CHOOSE(ArtifactsInput!$N$27+1,20,24,28,32,36,40),0)/100)),0)</f>
        <v/>
      </c>
      <c r="R886" t="n">
        <v>0</v>
      </c>
      <c r="S886" t="n">
        <v>0</v>
      </c>
      <c r="U886" t="n">
        <v>0</v>
      </c>
    </row>
    <row r="887">
      <c r="A887">
        <f>Skills!A23</f>
        <v/>
      </c>
      <c r="B887">
        <f>Skills!B23</f>
        <v/>
      </c>
      <c r="C887">
        <f>Inputs!$B$3&gt;=50</f>
        <v/>
      </c>
      <c r="D887">
        <f>IF(Skills!C23=1,60+Inputs!$B$26+Inputs!$B$30,IF(Skills!C23=2,90+(Inputs!$B$27+1)+Inputs!$B$30,IF(Skills!C23=3,120+Inputs!$B$28+Inputs!$B$30,MAX(0,(Inputs!$B$3-100)*3)+Inputs!$B$29+Inputs!$B$30)))</f>
        <v/>
      </c>
      <c r="E887">
        <f>INDEX(FactorTable!$B$2:$Y$301, MATCH(ROUND(MIN(300,MAX(1,D887)),0), FactorTable!$A$2:$A$301,0), Skills!L23+1)</f>
        <v/>
      </c>
      <c r="F887">
        <f>IF(Skills!M23=TRUE,(Skills!K23/10)*(E887/1000),Skills!K23/10)+Skills!N23</f>
        <v/>
      </c>
      <c r="G887">
        <f>Calc!G23</f>
        <v/>
      </c>
      <c r="H887">
        <f>Calc!H23</f>
        <v/>
      </c>
      <c r="I887">
        <f>IF(Skills!T23&lt;&gt;"",1+(Skills!T23/10)*($Z$3/1000)/100,1)</f>
        <v/>
      </c>
      <c r="J887" t="inlineStr"/>
      <c r="K887" t="inlineStr"/>
      <c r="L887" t="inlineStr"/>
      <c r="M887" t="inlineStr"/>
      <c r="N887" t="inlineStr"/>
      <c r="O887">
        <f>(1-Summary!$B$11)*S887+Summary!$B$11*U887</f>
        <v/>
      </c>
      <c r="P887">
        <f>IF(B906=0,0,O887/B906)</f>
        <v/>
      </c>
      <c r="Q887">
        <f>IFERROR(1/(IF(Inputs!$B$39="pvp",15,MAX(0.1,Skills!D23-IF(Skills!E23=TRUE,Inputs!$B$33,0)))*(1-IF(AND(ArtifactsInput!$M$27,Inputs!$B$4="Chapter Hunt"),CHOOSE(ArtifactsInput!$N$27+1,20,24,28,32,36,40),0)/100)),0)</f>
        <v/>
      </c>
      <c r="R887" t="n">
        <v>0</v>
      </c>
      <c r="S887" t="n">
        <v>0</v>
      </c>
      <c r="U887" t="n">
        <v>0</v>
      </c>
    </row>
    <row r="888">
      <c r="A888">
        <f>Skills!A24</f>
        <v/>
      </c>
      <c r="B888">
        <f>Skills!B24</f>
        <v/>
      </c>
      <c r="C888">
        <f>Inputs!$B$3&gt;=74</f>
        <v/>
      </c>
      <c r="D888">
        <f>IF(Skills!C24=1,60+Inputs!$B$26+Inputs!$B$30,IF(Skills!C24=2,90+(Inputs!$B$27+1)+Inputs!$B$30,IF(Skills!C24=3,120+Inputs!$B$28+Inputs!$B$30,MAX(0,(Inputs!$B$3-100)*3)+Inputs!$B$29+Inputs!$B$30)))</f>
        <v/>
      </c>
      <c r="E888">
        <f>INDEX(FactorTable!$B$2:$Y$301, MATCH(ROUND(MIN(300,MAX(1,D888)),0), FactorTable!$A$2:$A$301,0), Skills!L24+1)</f>
        <v/>
      </c>
      <c r="F888">
        <f>IF(Skills!M24=TRUE,(Skills!K24/10)*(E888/1000),Skills!K24/10)+Skills!N24</f>
        <v/>
      </c>
      <c r="G888">
        <f>Calc!G24</f>
        <v/>
      </c>
      <c r="H888">
        <f>Calc!H24</f>
        <v/>
      </c>
      <c r="I888">
        <f>IF(Skills!T24&lt;&gt;"",1+(Skills!T24/10)*($Z$3/1000)/100,1)</f>
        <v/>
      </c>
      <c r="J888" t="inlineStr"/>
      <c r="K888" t="inlineStr"/>
      <c r="L888" t="inlineStr"/>
      <c r="M888" t="inlineStr"/>
      <c r="N888" t="inlineStr"/>
      <c r="O888">
        <f>(1-Summary!$B$11)*S888+Summary!$B$11*U888</f>
        <v/>
      </c>
      <c r="P888">
        <f>IF(B906=0,0,O888/B906)</f>
        <v/>
      </c>
      <c r="Q888">
        <f>IFERROR(1/(IF(Inputs!$B$39="pvp",15,MAX(0.1,Skills!D24-IF(Skills!E24=TRUE,Inputs!$B$33,0)))*(1-IF(AND(ArtifactsInput!$M$27,Inputs!$B$4="Chapter Hunt"),CHOOSE(ArtifactsInput!$N$27+1,20,24,28,32,36,40),0)/100)),0)</f>
        <v/>
      </c>
      <c r="R888" t="n">
        <v>0</v>
      </c>
      <c r="S888" t="n">
        <v>0</v>
      </c>
      <c r="U888" t="n">
        <v>0</v>
      </c>
    </row>
    <row r="889">
      <c r="A889">
        <f>Skills!A25</f>
        <v/>
      </c>
      <c r="B889">
        <f>Skills!B25</f>
        <v/>
      </c>
      <c r="C889">
        <f>Inputs!$B$3&gt;=74</f>
        <v/>
      </c>
      <c r="D889">
        <f>IF(Skills!C25=1,60+Inputs!$B$26+Inputs!$B$30,IF(Skills!C25=2,90+(Inputs!$B$27+1)+Inputs!$B$30,IF(Skills!C25=3,120+Inputs!$B$28+Inputs!$B$30,MAX(0,(Inputs!$B$3-100)*3)+Inputs!$B$29+Inputs!$B$30)))</f>
        <v/>
      </c>
      <c r="E889">
        <f>INDEX(FactorTable!$B$2:$Y$301, MATCH(ROUND(MIN(300,MAX(1,D889)),0), FactorTable!$A$2:$A$301,0), Skills!L25+1)</f>
        <v/>
      </c>
      <c r="F889">
        <f>IF(Skills!M25=TRUE,(Skills!K25/10)*(E889/1000),Skills!K25/10)+Skills!N25</f>
        <v/>
      </c>
      <c r="G889">
        <f>Calc!G25</f>
        <v/>
      </c>
      <c r="H889">
        <f>Calc!H25</f>
        <v/>
      </c>
      <c r="I889">
        <f>IF(Skills!T25&lt;&gt;"",1+(Skills!T25/10)*($Z$3/1000)/100,1)</f>
        <v/>
      </c>
      <c r="J889" t="inlineStr"/>
      <c r="K889" t="inlineStr"/>
      <c r="L889" t="inlineStr"/>
      <c r="M889" t="inlineStr"/>
      <c r="N889" t="inlineStr"/>
      <c r="O889">
        <f>(1-Summary!$B$11)*S889+Summary!$B$11*U889</f>
        <v/>
      </c>
      <c r="P889">
        <f>IF(B906=0,0,O889/B906)</f>
        <v/>
      </c>
      <c r="Q889">
        <f>IFERROR(1/(IF(Inputs!$B$39="pvp",15,MAX(0.1,Skills!D25-IF(Skills!E25=TRUE,Inputs!$B$33,0)))*(1-IF(AND(ArtifactsInput!$M$27,Inputs!$B$4="Chapter Hunt"),CHOOSE(ArtifactsInput!$N$27+1,20,24,28,32,36,40),0)/100)),0)</f>
        <v/>
      </c>
      <c r="R889" t="n">
        <v>0</v>
      </c>
      <c r="S889" t="n">
        <v>0</v>
      </c>
      <c r="U889" t="n">
        <v>0</v>
      </c>
    </row>
    <row r="890">
      <c r="A890">
        <f>Skills!A26</f>
        <v/>
      </c>
      <c r="B890">
        <f>Skills!B26</f>
        <v/>
      </c>
      <c r="C890">
        <f>Inputs!$B$3&gt;=117</f>
        <v/>
      </c>
      <c r="D890">
        <f>IF(Skills!C26=1,60+Inputs!$B$26+Inputs!$B$30,IF(Skills!C26=2,90+(Inputs!$B$27+1)+Inputs!$B$30,IF(Skills!C26=3,120+Inputs!$B$28+Inputs!$B$30,MAX(0,(Inputs!$B$3-100)*3)+Inputs!$B$29+Inputs!$B$30)))</f>
        <v/>
      </c>
      <c r="E890">
        <f>INDEX(FactorTable!$B$2:$Y$301, MATCH(ROUND(MIN(300,MAX(1,D890)),0), FactorTable!$A$2:$A$301,0), Skills!L26+1)</f>
        <v/>
      </c>
      <c r="F890">
        <f>IF(Skills!M26=TRUE,(Skills!K26/10)*(E890/1000),Skills!K26/10)+Skills!N26</f>
        <v/>
      </c>
      <c r="G890">
        <f>Calc!G26</f>
        <v/>
      </c>
      <c r="H890">
        <f>Calc!H26</f>
        <v/>
      </c>
      <c r="I890">
        <f>IF(Skills!T26&lt;&gt;"",1+(Skills!T26/10)*($Z$3/1000)/100,1)</f>
        <v/>
      </c>
      <c r="J890" t="inlineStr"/>
      <c r="K890" t="inlineStr"/>
      <c r="L890" t="inlineStr"/>
      <c r="M890" t="inlineStr"/>
      <c r="N890" t="inlineStr"/>
      <c r="O890">
        <f>(1-Summary!$B$11)*S890+Summary!$B$11*U890</f>
        <v/>
      </c>
      <c r="P890">
        <f>IF(B906=0,0,O890/B906)</f>
        <v/>
      </c>
      <c r="Q890">
        <f>IFERROR(1/(IF(Inputs!$B$39="pvp",15,MAX(0.1,Skills!D26-IF(Skills!E26=TRUE,Inputs!$B$33,0)))*(1-IF(AND(ArtifactsInput!$M$27,Inputs!$B$4="Chapter Hunt"),CHOOSE(ArtifactsInput!$N$27+1,20,24,28,32,36,40),0)/100)),0)</f>
        <v/>
      </c>
      <c r="R890" t="n">
        <v>0</v>
      </c>
      <c r="S890" t="n">
        <v>0</v>
      </c>
      <c r="U890" t="n">
        <v>0</v>
      </c>
    </row>
    <row r="891">
      <c r="A891">
        <f>Skills!A27</f>
        <v/>
      </c>
      <c r="B891">
        <f>Skills!B27</f>
        <v/>
      </c>
      <c r="C891">
        <f>Inputs!$B$3&gt;=120</f>
        <v/>
      </c>
      <c r="D891">
        <f>IF(Skills!C27=1,60+Inputs!$B$26+Inputs!$B$30,IF(Skills!C27=2,90+(Inputs!$B$27+1)+Inputs!$B$30,IF(Skills!C27=3,120+Inputs!$B$28+Inputs!$B$30,MAX(0,(Inputs!$B$3-100)*3)+Inputs!$B$29+Inputs!$B$30)))</f>
        <v/>
      </c>
      <c r="E891">
        <f>INDEX(FactorTable!$B$2:$Y$301, MATCH(ROUND(MIN(300,MAX(1,D891)),0), FactorTable!$A$2:$A$301,0), Skills!L27+1)</f>
        <v/>
      </c>
      <c r="F891">
        <f>IF(Skills!M27=TRUE,(Skills!K27/10)*(E891/1000),Skills!K27/10)+Skills!N27</f>
        <v/>
      </c>
      <c r="G891">
        <f>Calc!G27</f>
        <v/>
      </c>
      <c r="H891">
        <f>Calc!H27</f>
        <v/>
      </c>
      <c r="I891">
        <f>IF(Skills!T27&lt;&gt;"",1+(Skills!T27/10)*($Z$3/1000)/100,1)</f>
        <v/>
      </c>
      <c r="J891" t="inlineStr"/>
      <c r="K891" t="inlineStr"/>
      <c r="L891" t="inlineStr"/>
      <c r="M891" t="inlineStr"/>
      <c r="N891" t="inlineStr"/>
      <c r="O891">
        <f>(1-Summary!$B$11)*S891+Summary!$B$11*U891</f>
        <v/>
      </c>
      <c r="P891">
        <f>IF(B906=0,0,O891/B906)</f>
        <v/>
      </c>
      <c r="Q891">
        <f>IFERROR(1/(IF(Inputs!$B$39="pvp",15,MAX(0.1,Skills!D27-IF(Skills!E27=TRUE,Inputs!$B$33,0)))*(1-IF(AND(ArtifactsInput!$M$27,Inputs!$B$4="Chapter Hunt"),CHOOSE(ArtifactsInput!$N$27+1,20,24,28,32,36,40),0)/100)),0)</f>
        <v/>
      </c>
      <c r="R891" t="n">
        <v>0</v>
      </c>
      <c r="S891" t="n">
        <v>0</v>
      </c>
      <c r="U891" t="n">
        <v>0</v>
      </c>
    </row>
    <row r="893">
      <c r="A893" t="inlineStr">
        <is>
          <t>Average Buff Multiplier</t>
        </is>
      </c>
      <c r="B893">
        <f>(1+(IF(C867=TRUE,F867*IF(AND(Inputs!$B$39&lt;&gt;"pvp",Inputs!$B$44&gt;0),(((R867-1)*(Skills!S3*(1+((Inputs!$B$35+(ArtifactsInput!$M$7-ArtifactsInput!$M$7)*CHOOSE(ArtifactsInput!$N$7+1,6,7.2,8.4,9.6,10.8,12))+IF(Inputs!$B$3&gt;=117,F890,0))/100))+MIN((Skills!S3*(1+((Inputs!$B$35+(ArtifactsInput!$M$7-ArtifactsInput!$M$7)*CHOOSE(ArtifactsInput!$N$7+1,6,7.2,8.4,9.6,10.8,12))+IF(Inputs!$B$3&gt;=117,F890,0))/100)),MAX(0,Inputs!$B$44-((R867-1)*Skills!D3))))/Inputs!$B$44),IF(Inputs!$B$39="pvp",MIN((Skills!S3*(1+((Inputs!$B$35+(ArtifactsInput!$M$7-ArtifactsInput!$M$7)*CHOOSE(ArtifactsInput!$N$7+1,6,7.2,8.4,9.6,10.8,12))+IF(Inputs!$B$3&gt;=117,F890,0))/100)),15)/15,(Skills!S3*(1+((Inputs!$B$35+(ArtifactsInput!$M$7-ArtifactsInput!$M$7)*CHOOSE(ArtifactsInput!$N$7+1,6,7.2,8.4,9.6,10.8,12))+IF(Inputs!$B$3&gt;=117,F890,0))/100))/Skills!D3)),0)+IF(C868=TRUE,F868*IF(AND(Inputs!$B$39&lt;&gt;"pvp",Inputs!$B$44&gt;0),(((R868-1)*(Skills!S4*(1+((Inputs!$B$35+(ArtifactsInput!$M$7-ArtifactsInput!$M$7)*CHOOSE(ArtifactsInput!$N$7+1,6,7.2,8.4,9.6,10.8,12))+IF(Inputs!$B$3&gt;=117,F890,0))/100))+MIN((Skills!S4*(1+((Inputs!$B$35+(ArtifactsInput!$M$7-ArtifactsInput!$M$7)*CHOOSE(ArtifactsInput!$N$7+1,6,7.2,8.4,9.6,10.8,12))+IF(Inputs!$B$3&gt;=117,F890,0))/100)),MAX(0,Inputs!$B$44-((R868-1)*Skills!D4))))/Inputs!$B$44),IF(Inputs!$B$39="pvp",MIN((Skills!S4*(1+((Inputs!$B$35+(ArtifactsInput!$M$7-ArtifactsInput!$M$7)*CHOOSE(ArtifactsInput!$N$7+1,6,7.2,8.4,9.6,10.8,12))+IF(Inputs!$B$3&gt;=117,F890,0))/100)),15)/15,(Skills!S4*(1+((Inputs!$B$35+(ArtifactsInput!$M$7-ArtifactsInput!$M$7)*CHOOSE(ArtifactsInput!$N$7+1,6,7.2,8.4,9.6,10.8,12))+IF(Inputs!$B$3&gt;=117,F890,0))/100))/Skills!D4)),0)+IF(C869=TRUE,F869*IF(AND(Inputs!$B$39&lt;&gt;"pvp",Inputs!$B$44&gt;0),(((R869-1)*(Skills!S5*(1+((Inputs!$B$35+(ArtifactsInput!$M$7-ArtifactsInput!$M$7)*CHOOSE(ArtifactsInput!$N$7+1,6,7.2,8.4,9.6,10.8,12))+IF(Inputs!$B$3&gt;=117,F890,0))/100))+MIN((Skills!S5*(1+((Inputs!$B$35+(ArtifactsInput!$M$7-ArtifactsInput!$M$7)*CHOOSE(ArtifactsInput!$N$7+1,6,7.2,8.4,9.6,10.8,12))+IF(Inputs!$B$3&gt;=117,F890,0))/100)),MAX(0,Inputs!$B$44-((R869-1)*Skills!D5))))/Inputs!$B$44),IF(Inputs!$B$39="pvp",MIN((Skills!S5*(1+((Inputs!$B$35+(ArtifactsInput!$M$7-ArtifactsInput!$M$7)*CHOOSE(ArtifactsInput!$N$7+1,6,7.2,8.4,9.6,10.8,12))+IF(Inputs!$B$3&gt;=117,F890,0))/100)),15)/15,(Skills!S5*(1+((Inputs!$B$35+(ArtifactsInput!$M$7-ArtifactsInput!$M$7)*CHOOSE(ArtifactsInput!$N$7+1,6,7.2,8.4,9.6,10.8,12))+IF(Inputs!$B$3&gt;=117,F890,0))/100))/Skills!D5)),0)+IF(C875=TRUE,F875*IF(AND(Inputs!$B$39&lt;&gt;"pvp",Inputs!$B$44&gt;0),(((R875-1)*(Skills!S11*(1+((Inputs!$B$35+(ArtifactsInput!$M$7-ArtifactsInput!$M$7)*CHOOSE(ArtifactsInput!$N$7+1,6,7.2,8.4,9.6,10.8,12))+IF(Inputs!$B$3&gt;=117,F890,0))/100))+MIN((Skills!S11*(1+((Inputs!$B$35+(ArtifactsInput!$M$7-ArtifactsInput!$M$7)*CHOOSE(ArtifactsInput!$N$7+1,6,7.2,8.4,9.6,10.8,12))+IF(Inputs!$B$3&gt;=117,F890,0))/100)),MAX(0,Inputs!$B$44-((R875-1)*Skills!D11))))/Inputs!$B$44),IF(Inputs!$B$39="pvp",MIN((Skills!S11*(1+((Inputs!$B$35+(ArtifactsInput!$M$7-ArtifactsInput!$M$7)*CHOOSE(ArtifactsInput!$N$7+1,6,7.2,8.4,9.6,10.8,12))+IF(Inputs!$B$3&gt;=117,F890,0))/100)),15)/15,(Skills!S11*(1+((Inputs!$B$35+(ArtifactsInput!$M$7-ArtifactsInput!$M$7)*CHOOSE(ArtifactsInput!$N$7+1,6,7.2,8.4,9.6,10.8,12))+IF(Inputs!$B$3&gt;=117,F890,0)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878=TRUE,(1+F878*IF(AND(Inputs!$B$39&lt;&gt;"pvp",Inputs!$B$44&gt;0),(((R878-1)*(Skills!S14*(1+((Inputs!$B$35+(ArtifactsInput!$M$7-ArtifactsInput!$M$7)*CHOOSE(ArtifactsInput!$N$7+1,6,7.2,8.4,9.6,10.8,12))+IF(Inputs!$B$3&gt;=117,F890,0))/100))+MIN((Skills!S14*(1+((Inputs!$B$35+(ArtifactsInput!$M$7-ArtifactsInput!$M$7)*CHOOSE(ArtifactsInput!$N$7+1,6,7.2,8.4,9.6,10.8,12))+IF(Inputs!$B$3&gt;=117,F890,0))/100)),MAX(0,Inputs!$B$44-((R878-1)*Skills!D14))))/Inputs!$B$44),IF(Inputs!$B$39="pvp",MIN((Skills!S14*(1+((Inputs!$B$35+(ArtifactsInput!$M$7-ArtifactsInput!$M$7)*CHOOSE(ArtifactsInput!$N$7+1,6,7.2,8.4,9.6,10.8,12))+IF(Inputs!$B$3&gt;=117,F890,0))/100)),15)/15,(Skills!S14*(1+((Inputs!$B$35+(ArtifactsInput!$M$7-ArtifactsInput!$M$7)*CHOOSE(ArtifactsInput!$N$7+1,6,7.2,8.4,9.6,10.8,12))+IF(Inputs!$B$3&gt;=117,F890,0))/100))/Skills!D14))/100),1)*IF(C883=TRUE,(1+F883*IF(AND(Inputs!$B$39&lt;&gt;"pvp",Inputs!$B$44&gt;0),(((R883-1)*(Skills!S19*(1+((Inputs!$B$35+(ArtifactsInput!$M$7-ArtifactsInput!$M$7)*CHOOSE(ArtifactsInput!$N$7+1,6,7.2,8.4,9.6,10.8,12))+IF(Inputs!$B$3&gt;=117,F890,0))/100))+MIN((Skills!S19*(1+((Inputs!$B$35+(ArtifactsInput!$M$7-ArtifactsInput!$M$7)*CHOOSE(ArtifactsInput!$N$7+1,6,7.2,8.4,9.6,10.8,12))+IF(Inputs!$B$3&gt;=117,F890,0))/100)),MAX(0,Inputs!$B$44-((R883-1)*Skills!D19))))/Inputs!$B$44),IF(Inputs!$B$39="pvp",MIN((Skills!S19*(1+((Inputs!$B$35+(ArtifactsInput!$M$7-ArtifactsInput!$M$7)*CHOOSE(ArtifactsInput!$N$7+1,6,7.2,8.4,9.6,10.8,12))+IF(Inputs!$B$3&gt;=117,F890,0))/100)),15)/15,(Skills!S19*(1+((Inputs!$B$35+(ArtifactsInput!$M$7-ArtifactsInput!$M$7)*CHOOSE(ArtifactsInput!$N$7+1,6,7.2,8.4,9.6,10.8,12))+IF(Inputs!$B$3&gt;=117,F890,0))/100))/Skills!D19))/100),1)</f>
        <v/>
      </c>
    </row>
    <row r="894">
      <c r="A894" t="inlineStr">
        <is>
          <t>Monster Damage Taken Bonus % (Holy Fountain)</t>
        </is>
      </c>
      <c r="B894">
        <f>IF(Inputs!$B$3&gt;=68,20*IF(Inputs!$B$39="pvp",MIN((15*(1+((Inputs!$B$35+(ArtifactsInput!$M$7-ArtifactsInput!$M$7)*CHOOSE(ArtifactsInput!$N$7+1,6,7.2,8.4,9.6,10.8,12))+IF(Inputs!$B$3&gt;=117,F890,0))/100)),15)/15,(15*(1+((Inputs!$B$35+(ArtifactsInput!$M$7-ArtifactsInput!$M$7)*CHOOSE(ArtifactsInput!$N$7+1,6,7.2,8.4,9.6,10.8,12))+IF(Inputs!$B$3&gt;=117,F890,0))/100))/Skills!D10),0)</f>
        <v/>
      </c>
    </row>
    <row r="895">
      <c r="A895" t="inlineStr">
        <is>
          <t>Normal Monster Damage Bonus % (Holy Symbol)</t>
        </is>
      </c>
      <c r="B895">
        <f>IF(C876=TRUE,F876*IF(AND(Inputs!$B$39&lt;&gt;"pvp",Inputs!$B$44&gt;0),(((R876-1)*(Skills!S12*(1+((Inputs!$B$35+(ArtifactsInput!$M$7-ArtifactsInput!$M$7)*CHOOSE(ArtifactsInput!$N$7+1,6,7.2,8.4,9.6,10.8,12))+IF(Inputs!$B$3&gt;=117,F890,0))/100))+MIN((Skills!S12*(1+((Inputs!$B$35+(ArtifactsInput!$M$7-ArtifactsInput!$M$7)*CHOOSE(ArtifactsInput!$N$7+1,6,7.2,8.4,9.6,10.8,12))+IF(Inputs!$B$3&gt;=117,F890,0))/100)),MAX(0,Inputs!$B$44-((R876-1)*Skills!D12))))/Inputs!$B$44),IF(Inputs!$B$39="pvp",MIN((Skills!S12*(1+((Inputs!$B$35+(ArtifactsInput!$M$7-ArtifactsInput!$M$7)*CHOOSE(ArtifactsInput!$N$7+1,6,7.2,8.4,9.6,10.8,12))+IF(Inputs!$B$3&gt;=117,F890,0))/100)),15)/15,(Skills!S12*(1+((Inputs!$B$35+(ArtifactsInput!$M$7-ArtifactsInput!$M$7)*CHOOSE(ArtifactsInput!$N$7+1,6,7.2,8.4,9.6,10.8,12))+IF(Inputs!$B$3&gt;=117,F890,0))/100))/Skills!D12)),0)</f>
        <v/>
      </c>
    </row>
    <row r="896">
      <c r="A896" t="inlineStr">
        <is>
          <t>Damage % Bonus (Holy Symbol - Damage Boost)</t>
        </is>
      </c>
      <c r="B896">
        <f>Skills!O12</f>
        <v/>
      </c>
    </row>
    <row r="897">
      <c r="A897" t="inlineStr">
        <is>
          <t>Crit Damage % Bonus (Blood of the Divine)</t>
        </is>
      </c>
      <c r="B897">
        <f>4*IF(C884=TRUE,F884,0)</f>
        <v/>
      </c>
    </row>
    <row r="898">
      <c r="A898" t="inlineStr">
        <is>
          <t>Attack Speed Bonus %</t>
        </is>
      </c>
      <c r="B898">
        <f>IF(C881=TRUE,F881+(F885-Calc!F21),0)+IF(Inputs!$B$3&gt;=134,15,0)</f>
        <v/>
      </c>
    </row>
    <row r="899">
      <c r="A899" t="inlineStr">
        <is>
          <t>Actions Per Second</t>
        </is>
      </c>
      <c r="B899">
        <f>1+MIN(150,150*(1-(1-Inputs!$B$12/150)*(1-B898/150)))/100</f>
        <v/>
      </c>
    </row>
    <row r="900">
      <c r="A900" t="inlineStr">
        <is>
          <t>Skill + Buff Cast Rate</t>
        </is>
      </c>
      <c r="B900">
        <f>IF(AND(Inputs!$B$39&lt;&gt;"pvp",Inputs!$B$44&gt;0),SUMPRODUCT((Skills!E2:E27=TRUE)*(C866:C891=TRUE)*R866:R891)/Inputs!$B$44,SUMPRODUCT((Skills!E2:E27=TRUE)*(C866:C891=TRUE)*Q866:Q891))</f>
        <v/>
      </c>
    </row>
    <row r="901">
      <c r="A901" t="inlineStr">
        <is>
          <t>Big Bang Casts Per Second</t>
        </is>
      </c>
      <c r="B901">
        <f>MAX(0,B899-B900)</f>
        <v/>
      </c>
    </row>
    <row r="902">
      <c r="A902" t="inlineStr">
        <is>
          <t>Defense % Bonus (Divine Protection)</t>
        </is>
      </c>
      <c r="B902">
        <f>IF(C877=TRUE,F877*IF(AND(Inputs!$B$39&lt;&gt;"pvp",Inputs!$B$44&gt;0),(((R877-1)*(Skills!S13*(1+((Inputs!$B$35+(ArtifactsInput!$M$7-ArtifactsInput!$M$7)*CHOOSE(ArtifactsInput!$N$7+1,6,7.2,8.4,9.6,10.8,12))+IF(Inputs!$B$3&gt;=117,F890,0))/100))+MIN((Skills!S13*(1+((Inputs!$B$35+(ArtifactsInput!$M$7-ArtifactsInput!$M$7)*CHOOSE(ArtifactsInput!$N$7+1,6,7.2,8.4,9.6,10.8,12))+IF(Inputs!$B$3&gt;=117,F890,0))/100)),MAX(0,Inputs!$B$44-((R877-1)*Skills!D13))))/Inputs!$B$44),IF(Inputs!$B$39="pvp",MIN((Skills!S13*(1+((Inputs!$B$35+(ArtifactsInput!$M$7-ArtifactsInput!$M$7)*CHOOSE(ArtifactsInput!$N$7+1,6,7.2,8.4,9.6,10.8,12))+IF(Inputs!$B$3&gt;=117,F890,0))/100)),15)/15,(Skills!S13*(1+((Inputs!$B$35+(ArtifactsInput!$M$7-ArtifactsInput!$M$7)*CHOOSE(ArtifactsInput!$N$7+1,6,7.2,8.4,9.6,10.8,12))+IF(Inputs!$B$3&gt;=117,F890,0))/100))/Skills!D13)),0)</f>
        <v/>
      </c>
    </row>
    <row r="903">
      <c r="A903" t="inlineStr">
        <is>
          <t>Buff-Casting Startup Delay (s, fixed-duration only)</t>
        </is>
      </c>
      <c r="B903">
        <f>IF(AND(Inputs!$B$39&lt;&gt;"pvp",Inputs!$B$44&gt;0),SUMPRODUCT((Skills!S2:S27&gt;0)*(Skills!E2:E27=TRUE)*(C866:C891=TRUE))/B899,0)</f>
        <v/>
      </c>
    </row>
    <row r="904">
      <c r="A904" t="inlineStr">
        <is>
          <t>Boss-Only Total DPS (this block's swept value)</t>
        </is>
      </c>
      <c r="B904">
        <f>SUM(S866:S891)</f>
        <v/>
      </c>
    </row>
    <row r="905">
      <c r="A905" t="inlineStr">
        <is>
          <t>Normal-Only Total DPS (this block's swept value)</t>
        </is>
      </c>
      <c r="B905">
        <f>SUM(U866:U891)</f>
        <v/>
      </c>
    </row>
    <row r="906">
      <c r="A906" s="6" t="inlineStr">
        <is>
          <t>TOTAL DPS</t>
        </is>
      </c>
      <c r="B906" s="6">
        <f>SUM(O866:O891)</f>
        <v/>
      </c>
    </row>
    <row r="908">
      <c r="A908" s="6" t="inlineStr">
        <is>
          <t>Stat: Skill Level Bonus — 3rd Job</t>
        </is>
      </c>
    </row>
    <row r="909">
      <c r="A909" s="5" t="inlineStr">
        <is>
          <t>Key</t>
        </is>
      </c>
      <c r="B909" s="5" t="inlineStr">
        <is>
          <t>Name</t>
        </is>
      </c>
      <c r="C909" s="5" t="inlineStr">
        <is>
          <t>Unlocked</t>
        </is>
      </c>
      <c r="D909" s="5" t="inlineStr">
        <is>
          <t>InputLevel</t>
        </is>
      </c>
      <c r="E909" s="5" t="inlineStr">
        <is>
          <t>Factor</t>
        </is>
      </c>
      <c r="F909" s="5" t="inlineStr">
        <is>
          <t>CoefficientPercent</t>
        </is>
      </c>
      <c r="G909" s="5" t="inlineStr">
        <is>
          <t>EffectiveHits</t>
        </is>
      </c>
      <c r="H909" s="5" t="inlineStr">
        <is>
          <t>ProcProbability</t>
        </is>
      </c>
      <c r="I909" s="5" t="inlineStr">
        <is>
          <t>MapleHeroMultiplier</t>
        </is>
      </c>
      <c r="J909" s="5" t="inlineStr">
        <is>
          <t>BaseDamage</t>
        </is>
      </c>
      <c r="K909" s="5" t="inlineStr">
        <is>
          <t>BaseHitDamage</t>
        </is>
      </c>
      <c r="L909" s="5" t="inlineStr">
        <is>
          <t>NonCritAvg</t>
        </is>
      </c>
      <c r="M909" s="5" t="inlineStr">
        <is>
          <t>CritAvg</t>
        </is>
      </c>
      <c r="N909" s="5" t="inlineStr">
        <is>
          <t>ExpectedDamage(perHit)</t>
        </is>
      </c>
      <c r="O909" s="5" t="inlineStr">
        <is>
          <t>DPS</t>
        </is>
      </c>
      <c r="P909" s="5" t="inlineStr">
        <is>
          <t>% of Total</t>
        </is>
      </c>
      <c r="R909" t="inlineStr">
        <is>
          <t>helpers</t>
        </is>
      </c>
    </row>
    <row r="910">
      <c r="A910">
        <f>Skills!A2</f>
        <v/>
      </c>
      <c r="B910">
        <f>Skills!B2</f>
        <v/>
      </c>
      <c r="C910">
        <f>Inputs!$B$3&gt;=100</f>
        <v/>
      </c>
      <c r="D910" t="inlineStr"/>
      <c r="E910" t="inlineStr"/>
      <c r="F910">
        <f>T912+Skills!N2</f>
        <v/>
      </c>
      <c r="G910">
        <f>Calc!G2</f>
        <v/>
      </c>
      <c r="H910">
        <f>Calc!H2</f>
        <v/>
      </c>
      <c r="I910">
        <f>IF(Skills!T2&lt;&gt;"",1+(Skills!T2/10)*($Z$3/1000)/100,1)</f>
        <v/>
      </c>
      <c r="J910">
        <f>((Inputs!$B$6*(1+Inputs!$B$7/100))+(((Inputs!$B$13*(1+Inputs!$B$14/100))-(Inputs!$B$13*(1+Inputs!$B$14/100)))+0.25*(Inputs!$B$15-Inputs!$B$15))*(1+Inputs!$B$7/100))*(F910/100)</f>
        <v/>
      </c>
      <c r="K910">
        <f>J910*(1+(((Inputs!$B$13+IF(Inputs!$B$3&gt;=35,(10*INDEX(FactorTable!$B$2:$Y$301,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2="TRIUMPH_FEATHER",IF(C924=TRUE,F924,0),0)/100)*(1+IF(C935=TRUE,F935,0)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910)</f>
        <v/>
      </c>
      <c r="L910">
        <f>K910*(MIN(Inputs!$B$23+(F930-Calc!F22),(Inputs!$B$24+IF(ArtifactsInput!$M$15,CHOOSE(ArtifactsInput!$N$15+1,25,30,35,40,45,50)/100*(Inputs!$B$12-Inputs!$B$12),0)))/100+(Inputs!$B$24+IF(ArtifactsInput!$M$15,CHOOSE(ArtifactsInput!$N$15+1,25,30,35,40,45,50)/100*(Inputs!$B$12-Inputs!$B$12),0))/100)/2</f>
        <v/>
      </c>
      <c r="M910">
        <f>L910*(1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0">
        <f>L910*(1-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(1-Summary!$B$11)*S910+Summary!$B$11*U910</f>
        <v/>
      </c>
      <c r="P910">
        <f>IF(B950=0,0,O910/B950)</f>
        <v/>
      </c>
      <c r="Q910">
        <f>IFERROR(1/(IF(Inputs!$B$39="pvp",15,MAX(0.1,Skills!D2-IF(Skills!E2=TRUE,Inputs!$B$33,0)))*(1-IF(AND(ArtifactsInput!$M$27,Inputs!$B$4="Chapter Hunt"),CHOOSE(ArtifactsInput!$N$27+1,20,24,28,32,36,40),0)/100)),0)</f>
        <v/>
      </c>
      <c r="R910" t="n">
        <v>0</v>
      </c>
      <c r="S910">
        <f>IF(C910,(Skills!F2*N910*B945)*IF(Inputs!$B$39="pvp",1,1+(Inputs!$B$21+Skills!O2+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910*(1-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10">
        <f>MAX(0,(Inputs!$B$3-100)*3)+Inputs!$B$29+Inputs!$B$30</f>
        <v/>
      </c>
      <c r="U910">
        <f>IF(C910,(Skills!F2*N910*B945)*IF(Inputs!$B$39="pvp",1,(1+(Inputs!$B$22+Skills!P2+B939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Skills!A3</f>
        <v/>
      </c>
      <c r="B911">
        <f>Skills!B3</f>
        <v/>
      </c>
      <c r="C911">
        <f>Inputs!$B$3&gt;=15</f>
        <v/>
      </c>
      <c r="D911">
        <f>IF(Skills!C3=1,60+Inputs!$B$26+Inputs!$B$30,IF(Skills!C3=2,90+Inputs!$B$27+Inputs!$B$30,IF(Skills!C3=3,120+(Inputs!$B$28+1)+Inputs!$B$30,MAX(0,(Inputs!$B$3-100)*3)+Inputs!$B$29+Inputs!$B$30)))</f>
        <v/>
      </c>
      <c r="E911">
        <f>INDEX(FactorTable!$B$2:$Y$301, MATCH(ROUND(MIN(300,MAX(1,D911)),0), FactorTable!$A$2:$A$301,0), Skills!L3+1)</f>
        <v/>
      </c>
      <c r="F911">
        <f>IF(Skills!M3=TRUE,(Skills!K3/10)*(E911/1000),Skills!K3/10)+Skills!N3</f>
        <v/>
      </c>
      <c r="G911">
        <f>Calc!G3</f>
        <v/>
      </c>
      <c r="H911">
        <f>Calc!H3</f>
        <v/>
      </c>
      <c r="I911">
        <f>IF(Skills!T3&lt;&gt;"",1+(Skills!T3/10)*($Z$3/1000)/100,1)</f>
        <v/>
      </c>
      <c r="J911" t="inlineStr"/>
      <c r="K911" t="inlineStr"/>
      <c r="L911" t="inlineStr"/>
      <c r="M911" t="inlineStr"/>
      <c r="N911" t="inlineStr"/>
      <c r="O911">
        <f>(1-Summary!$B$11)*S911+Summary!$B$11*U911</f>
        <v/>
      </c>
      <c r="P911">
        <f>IF(B950=0,0,O911/B950)</f>
        <v/>
      </c>
      <c r="Q911">
        <f>IFERROR(1/(IF(Inputs!$B$39="pvp",15,MAX(0.1,Skills!D3-IF(Skills!E3=TRUE,Inputs!$B$33,0)))*(1-IF(AND(ArtifactsInput!$M$27,Inputs!$B$4="Chapter Hunt"),CHOOSE(ArtifactsInput!$N$27+1,20,24,28,32,36,40),0)/100)),0)</f>
        <v/>
      </c>
      <c r="R911">
        <f>IF(AND(Inputs!$B$39&lt;&gt;"pvp",Inputs!$B$44&gt;0),IF(Inputs!$B$44&lt;=0,0,(INT(Inputs!$B$44/(IF(Inputs!$B$39="pvp",15,MAX(0.1,Skills!D3-IF(Skills!E3=TRUE,Inputs!$B$33,0)))*(1-IF(AND(ArtifactsInput!$M$27,Inputs!$B$4="Chapter Hunt"),CHOOSE(ArtifactsInput!$N$27+1,20,24,28,32,36,40),0)/100)))+1)),0)</f>
        <v/>
      </c>
      <c r="S911" t="n">
        <v>0</v>
      </c>
      <c r="T911">
        <f>INDEX(FactorTable!$B$2:$Y$301, MATCH(ROUND(MIN(300,MAX(1,T910)),0), FactorTable!$A$2:$A$301,0), 22)</f>
        <v/>
      </c>
      <c r="U911" t="n">
        <v>0</v>
      </c>
    </row>
    <row r="912">
      <c r="A912">
        <f>Skills!A4</f>
        <v/>
      </c>
      <c r="B912">
        <f>Skills!B4</f>
        <v/>
      </c>
      <c r="C912">
        <f>Inputs!$B$3&gt;=38</f>
        <v/>
      </c>
      <c r="D912">
        <f>IF(Skills!C4=1,60+Inputs!$B$26+Inputs!$B$30,IF(Skills!C4=2,90+Inputs!$B$27+Inputs!$B$30,IF(Skills!C4=3,120+(Inputs!$B$28+1)+Inputs!$B$30,MAX(0,(Inputs!$B$3-100)*3)+Inputs!$B$29+Inputs!$B$30)))</f>
        <v/>
      </c>
      <c r="E912">
        <f>INDEX(FactorTable!$B$2:$Y$301, MATCH(ROUND(MIN(300,MAX(1,D912)),0), FactorTable!$A$2:$A$301,0), Skills!L4+1)</f>
        <v/>
      </c>
      <c r="F912">
        <f>IF(Skills!M4=TRUE,(Skills!K4/10)*(E912/1000),Skills!K4/10)+Skills!N4</f>
        <v/>
      </c>
      <c r="G912">
        <f>Calc!G4</f>
        <v/>
      </c>
      <c r="H912">
        <f>Calc!H4</f>
        <v/>
      </c>
      <c r="I912">
        <f>IF(Skills!T4&lt;&gt;"",1+(Skills!T4/10)*($Z$3/1000)/100,1)</f>
        <v/>
      </c>
      <c r="J912" t="inlineStr"/>
      <c r="K912" t="inlineStr"/>
      <c r="L912" t="inlineStr"/>
      <c r="M912" t="inlineStr"/>
      <c r="N912" t="inlineStr"/>
      <c r="O912">
        <f>(1-Summary!$B$11)*S912+Summary!$B$11*U912</f>
        <v/>
      </c>
      <c r="P912">
        <f>IF(B950=0,0,O912/B950)</f>
        <v/>
      </c>
      <c r="Q912">
        <f>IFERROR(1/(IF(Inputs!$B$39="pvp",15,MAX(0.1,Skills!D4-IF(Skills!E4=TRUE,Inputs!$B$33,0)))*(1-IF(AND(ArtifactsInput!$M$27,Inputs!$B$4="Chapter Hunt"),CHOOSE(ArtifactsInput!$N$27+1,20,24,28,32,36,40),0)/100)),0)</f>
        <v/>
      </c>
      <c r="R912">
        <f>IF(AND(Inputs!$B$39&lt;&gt;"pvp",Inputs!$B$44&gt;0),IF(Inputs!$B$44&lt;=0,0,(INT(Inputs!$B$44/(IF(Inputs!$B$39="pvp",15,MAX(0.1,Skills!D4-IF(Skills!E4=TRUE,Inputs!$B$33,0)))*(1-IF(AND(ArtifactsInput!$M$27,Inputs!$B$4="Chapter Hunt"),CHOOSE(ArtifactsInput!$N$27+1,20,24,28,32,36,40),0)/100)))+1)),0)</f>
        <v/>
      </c>
      <c r="S912" t="n">
        <v>0</v>
      </c>
      <c r="T912">
        <f>290*T911/1000</f>
        <v/>
      </c>
      <c r="U912" t="n">
        <v>0</v>
      </c>
    </row>
    <row r="913">
      <c r="A913">
        <f>Skills!A5</f>
        <v/>
      </c>
      <c r="B913">
        <f>Skills!B5</f>
        <v/>
      </c>
      <c r="C913">
        <f>Inputs!$B$3&gt;=40</f>
        <v/>
      </c>
      <c r="D913">
        <f>IF(Skills!C5=1,60+Inputs!$B$26+Inputs!$B$30,IF(Skills!C5=2,90+Inputs!$B$27+Inputs!$B$30,IF(Skills!C5=3,120+(Inputs!$B$28+1)+Inputs!$B$30,MAX(0,(Inputs!$B$3-100)*3)+Inputs!$B$29+Inputs!$B$30)))</f>
        <v/>
      </c>
      <c r="E913">
        <f>INDEX(FactorTable!$B$2:$Y$301, MATCH(ROUND(MIN(300,MAX(1,D913)),0), FactorTable!$A$2:$A$301,0), Skills!L5+1)</f>
        <v/>
      </c>
      <c r="F913">
        <f>IF(Skills!M5=TRUE,(Skills!K5/10)*(E913/1000),Skills!K5/10)+Skills!N5</f>
        <v/>
      </c>
      <c r="G913">
        <f>Calc!G5</f>
        <v/>
      </c>
      <c r="H913">
        <f>Calc!H5</f>
        <v/>
      </c>
      <c r="I913">
        <f>IF(Skills!T5&lt;&gt;"",1+(Skills!T5/10)*($Z$3/1000)/100,1)</f>
        <v/>
      </c>
      <c r="J913" t="inlineStr"/>
      <c r="K913" t="inlineStr"/>
      <c r="L913" t="inlineStr"/>
      <c r="M913" t="inlineStr"/>
      <c r="N913" t="inlineStr"/>
      <c r="O913">
        <f>(1-Summary!$B$11)*S913+Summary!$B$11*U913</f>
        <v/>
      </c>
      <c r="P913">
        <f>IF(B950=0,0,O913/B950)</f>
        <v/>
      </c>
      <c r="Q913">
        <f>IFERROR(1/(IF(Inputs!$B$39="pvp",15,MAX(0.1,Skills!D5-IF(Skills!E5=TRUE,Inputs!$B$33,0)))*(1-IF(AND(ArtifactsInput!$M$27,Inputs!$B$4="Chapter Hunt"),CHOOSE(ArtifactsInput!$N$27+1,20,24,28,32,36,40),0)/100)),0)</f>
        <v/>
      </c>
      <c r="R913">
        <f>IF(AND(Inputs!$B$39&lt;&gt;"pvp",Inputs!$B$44&gt;0),IF(Inputs!$B$44&lt;=0,0,(INT(Inputs!$B$44/(IF(Inputs!$B$39="pvp",15,MAX(0.1,Skills!D5-IF(Skills!E5=TRUE,Inputs!$B$33,0)))*(1-IF(AND(ArtifactsInput!$M$27,Inputs!$B$4="Chapter Hunt"),CHOOSE(ArtifactsInput!$N$27+1,20,24,28,32,36,40),0)/100)))+1)),0)</f>
        <v/>
      </c>
      <c r="S913" t="n">
        <v>0</v>
      </c>
      <c r="U913" t="n">
        <v>0</v>
      </c>
    </row>
    <row r="914">
      <c r="A914">
        <f>Skills!A6</f>
        <v/>
      </c>
      <c r="B914">
        <f>Skills!B6</f>
        <v/>
      </c>
      <c r="C914">
        <f>Inputs!$B$3&gt;=103</f>
        <v/>
      </c>
      <c r="D914">
        <f>IF(Skills!C6=1,60+Inputs!$B$26+Inputs!$B$30,IF(Skills!C6=2,90+Inputs!$B$27+Inputs!$B$30,IF(Skills!C6=3,120+(Inputs!$B$28+1)+Inputs!$B$30,MAX(0,(Inputs!$B$3-100)*3)+Inputs!$B$29+Inputs!$B$30)))</f>
        <v/>
      </c>
      <c r="E914">
        <f>INDEX(FactorTable!$B$2:$Y$301, MATCH(ROUND(MIN(300,MAX(1,D914)),0), FactorTable!$A$2:$A$301,0), Skills!L6+1)</f>
        <v/>
      </c>
      <c r="F914">
        <f>IF(Skills!M6=TRUE,(Skills!K6/10)*(E914/1000),Skills!K6/10)+Skills!N6</f>
        <v/>
      </c>
      <c r="G914">
        <f>Calc!G6</f>
        <v/>
      </c>
      <c r="H914">
        <f>Calc!H6</f>
        <v/>
      </c>
      <c r="I914">
        <f>IF(Skills!T6&lt;&gt;"",1+(Skills!T6/10)*($Z$3/1000)/100,1)</f>
        <v/>
      </c>
      <c r="J914">
        <f>((Inputs!$B$6*(1+Inputs!$B$7/100))+(((Inputs!$B$13*(1+Inputs!$B$14/100))-(Inputs!$B$13*(1+Inputs!$B$14/100)))+0.25*(Inputs!$B$15-Inputs!$B$15))*(1+Inputs!$B$7/100))*(F914/100)</f>
        <v/>
      </c>
      <c r="K914">
        <f>J914*(1+(((Inputs!$B$13+IF(Inputs!$B$3&gt;=35,(10*INDEX(FactorTable!$B$2:$Y$301,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6="TRIUMPH_FEATHER",IF(C924=TRUE,F924,0),0)/100)*(1+IF(C935=TRUE,F935,0)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914)</f>
        <v/>
      </c>
      <c r="L914">
        <f>K914*(MIN(Inputs!$B$23+(F930-Calc!F22),(Inputs!$B$24+IF(ArtifactsInput!$M$15,CHOOSE(ArtifactsInput!$N$15+1,25,30,35,40,45,50)/100*(Inputs!$B$12-Inputs!$B$12),0)))/100+(Inputs!$B$24+IF(ArtifactsInput!$M$15,CHOOSE(ArtifactsInput!$N$15+1,25,30,35,40,45,50)/100*(Inputs!$B$12-Inputs!$B$12),0))/100)/2</f>
        <v/>
      </c>
      <c r="M914">
        <f>L914*(1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4">
        <f>L914*(1-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(1-Summary!$B$11)*S914+Summary!$B$11*U914</f>
        <v/>
      </c>
      <c r="P914">
        <f>IF(B950=0,0,O914/B950)</f>
        <v/>
      </c>
      <c r="Q914">
        <f>IFERROR(1/(IF(Inputs!$B$39="pvp",15,MAX(0.1,Skills!D6-IF(Skills!E6=TRUE,Inputs!$B$33,0)))*(1-IF(AND(ArtifactsInput!$M$27,Inputs!$B$4="Chapter Hunt"),CHOOSE(ArtifactsInput!$N$27+1,20,24,28,32,36,40),0)/100)),0)</f>
        <v/>
      </c>
      <c r="R914">
        <f>IF(AND(Inputs!$B$39&lt;&gt;"pvp",Inputs!$B$44&gt;0),IF(MAX(0,Inputs!$B$44-B947)&lt;=0,0,(INT(MAX(0,Inputs!$B$44-B947)/(IF(Inputs!$B$39="pvp",15,MAX(0.1,Skills!D6-IF(Skills!E6=TRUE,Inputs!$B$33,0)))*(1-IF(AND(ArtifactsInput!$M$27,Inputs!$B$4="Chapter Hunt"),CHOOSE(ArtifactsInput!$N$27+1,20,24,28,32,36,40),0)/100)))+1)),0)</f>
        <v/>
      </c>
      <c r="S914">
        <f>IF(C914,(H914*N914*IF(AND(Inputs!$B$39&lt;&gt;"pvp",Inputs!$B$44&gt;0),((Skills!F6*((R914-1)*IF(Skills!G6&gt;0,Skills!H6/Skills!G6,1)+IF(Skills!G6&gt;0,MIN(Skills!H6,MAX(0,MAX(0,Inputs!$B$44-B947)-((R914-1)*(IF(Inputs!$B$39="pvp",15,MAX(0.1,Skills!D6-IF(Skills!E6=TRUE,Inputs!$B$33,0)))*(1-IF(AND(ArtifactsInput!$M$27,Inputs!$B$4="Chapter Hunt"),CHOOSE(ArtifactsInput!$N$27+1,20,24,28,32,36,40),0)/100)))))/Skills!G6,1)))/Inputs!$B$44),G914*Q914))*IF(Inputs!$B$39="pvp",1,1+(Inputs!$B$21+Skills!O6+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914*(1-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4">
        <f>IF(C914,(H914*N914*IF(AND(Inputs!$B$39&lt;&gt;"pvp",Inputs!$B$44&gt;0),((Skills!F6*((R914-1)*IF(Skills!G6&gt;0,Skills!H6/Skills!G6,1)+IF(Skills!G6&gt;0,MIN(Skills!H6,MAX(0,MAX(0,Inputs!$B$44-B947)-((R914-1)*(IF(Inputs!$B$39="pvp",15,MAX(0.1,Skills!D6-IF(Skills!E6=TRUE,Inputs!$B$33,0)))*(1-IF(AND(ArtifactsInput!$M$27,Inputs!$B$4="Chapter Hunt"),CHOOSE(ArtifactsInput!$N$27+1,20,24,28,32,36,40),0)/100)))))/Skills!G6,1)))/Inputs!$B$44),G914*Q914))*IF(Inputs!$B$39="pvp",1,(1+(Inputs!$B$22+Skills!P6+B939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Skills!A7</f>
        <v/>
      </c>
      <c r="B915">
        <f>Skills!B7</f>
        <v/>
      </c>
      <c r="C915">
        <f>Inputs!$B$3&gt;=122</f>
        <v/>
      </c>
      <c r="D915">
        <f>IF(Skills!C7=1,60+Inputs!$B$26+Inputs!$B$30,IF(Skills!C7=2,90+Inputs!$B$27+Inputs!$B$30,IF(Skills!C7=3,120+(Inputs!$B$28+1)+Inputs!$B$30,MAX(0,(Inputs!$B$3-100)*3)+Inputs!$B$29+Inputs!$B$30)))</f>
        <v/>
      </c>
      <c r="E915">
        <f>INDEX(FactorTable!$B$2:$Y$301, MATCH(ROUND(MIN(300,MAX(1,D915)),0), FactorTable!$A$2:$A$301,0), Skills!L7+1)</f>
        <v/>
      </c>
      <c r="F915">
        <f>IF(Skills!M7=TRUE,(Skills!K7/10)*(E915/1000),Skills!K7/10)+Skills!N7</f>
        <v/>
      </c>
      <c r="G915">
        <f>Calc!G7</f>
        <v/>
      </c>
      <c r="H915">
        <f>Calc!H7</f>
        <v/>
      </c>
      <c r="I915">
        <f>IF(Skills!T7&lt;&gt;"",1+(Skills!T7/10)*($Z$3/1000)/100,1)</f>
        <v/>
      </c>
      <c r="J915">
        <f>((Inputs!$B$6*(1+Inputs!$B$7/100))+(((Inputs!$B$13*(1+Inputs!$B$14/100))-(Inputs!$B$13*(1+Inputs!$B$14/100)))+0.25*(Inputs!$B$15-Inputs!$B$15))*(1+Inputs!$B$7/100))*(F915/100)</f>
        <v/>
      </c>
      <c r="K915">
        <f>J915*(1+(((Inputs!$B$13+IF(Inputs!$B$3&gt;=35,(10*INDEX(FactorTable!$B$2:$Y$301,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7="TRIUMPH_FEATHER",IF(C924=TRUE,F924,0),0)/100)*(1+IF(C935=TRUE,F935,0)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915)</f>
        <v/>
      </c>
      <c r="L915">
        <f>K915*(MIN(Inputs!$B$23+(F930-Calc!F22),(Inputs!$B$24+IF(ArtifactsInput!$M$15,CHOOSE(ArtifactsInput!$N$15+1,25,30,35,40,45,50)/100*(Inputs!$B$12-Inputs!$B$12),0)))/100+(Inputs!$B$24+IF(ArtifactsInput!$M$15,CHOOSE(ArtifactsInput!$N$15+1,25,30,35,40,45,50)/100*(Inputs!$B$12-Inputs!$B$12),0))/100)/2</f>
        <v/>
      </c>
      <c r="M915">
        <f>L915*(1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5">
        <f>L915*(1-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(1-Summary!$B$11)*S915+Summary!$B$11*U915</f>
        <v/>
      </c>
      <c r="P915">
        <f>IF(B950=0,0,O915/B950)</f>
        <v/>
      </c>
      <c r="Q915">
        <f>IFERROR(1/(IF(Inputs!$B$39="pvp",15,MAX(0.1,Skills!D7-IF(Skills!E6=TRUE,Inputs!$B$33,0)))*(1-IF(AND(ArtifactsInput!$M$27,Inputs!$B$4="Chapter Hunt"),CHOOSE(ArtifactsInput!$N$27+1,20,24,28,32,36,40),0)/100)),0)</f>
        <v/>
      </c>
      <c r="R915">
        <f>IF(AND(Inputs!$B$39&lt;&gt;"pvp",Inputs!$B$44&gt;0),IF(MAX(0,Inputs!$B$44-B947)&lt;=0,0,(INT(MAX(0,Inputs!$B$44-B947)/(IF(Inputs!$B$39="pvp",15,MAX(0.1,Skills!D7-IF(Skills!E6=TRUE,Inputs!$B$33,0)))*(1-IF(AND(ArtifactsInput!$M$27,Inputs!$B$4="Chapter Hunt"),CHOOSE(ArtifactsInput!$N$27+1,20,24,28,32,36,40),0)/100)))+1)),0)</f>
        <v/>
      </c>
      <c r="S915">
        <f>IF(C915,H915*N915*IF(AND(Inputs!$B$39&lt;&gt;"pvp",Inputs!$B$44&gt;0),((Skills!F7*((R915-1)*IF(Skills!G7&gt;0,Skills!H7/Skills!G7,1)+IF(Skills!G7&gt;0,MIN(Skills!H7,MAX(0,MAX(0,Inputs!$B$44-B947)-((R915-1)*(IF(Inputs!$B$39="pvp",15,MAX(0.1,Skills!D7-IF(Skills!E6=TRUE,Inputs!$B$33,0)))*(1-IF(AND(ArtifactsInput!$M$27,Inputs!$B$4="Chapter Hunt"),CHOOSE(ArtifactsInput!$N$27+1,20,24,28,32,36,40),0)/100)))))/Skills!G7,1)))/Inputs!$B$44),G915*Q915)*IF(Inputs!$B$39="pvp",1,1+(Inputs!$B$21+Skills!O7+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915*(1-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t="n">
        <v>0</v>
      </c>
    </row>
    <row r="916">
      <c r="A916">
        <f>Skills!A8</f>
        <v/>
      </c>
      <c r="B916">
        <f>Skills!B8</f>
        <v/>
      </c>
      <c r="C916">
        <f>Inputs!$B$3&gt;=105</f>
        <v/>
      </c>
      <c r="D916">
        <f>IF(Skills!C8=1,60+Inputs!$B$26+Inputs!$B$30,IF(Skills!C8=2,90+Inputs!$B$27+Inputs!$B$30,IF(Skills!C8=3,120+(Inputs!$B$28+1)+Inputs!$B$30,MAX(0,(Inputs!$B$3-100)*3)+Inputs!$B$29+Inputs!$B$30)))</f>
        <v/>
      </c>
      <c r="E916">
        <f>INDEX(FactorTable!$B$2:$Y$301, MATCH(ROUND(MIN(300,MAX(1,D916)),0), FactorTable!$A$2:$A$301,0), Skills!L8+1)</f>
        <v/>
      </c>
      <c r="F916">
        <f>IF(Skills!M8=TRUE,(Skills!K8/10)*(E916/1000),Skills!K8/10)+Skills!N8</f>
        <v/>
      </c>
      <c r="G916">
        <f>Calc!G8</f>
        <v/>
      </c>
      <c r="H916">
        <f>Calc!H8</f>
        <v/>
      </c>
      <c r="I916">
        <f>IF(Skills!T8&lt;&gt;"",1+(Skills!T8/10)*($Z$3/1000)/100,1)</f>
        <v/>
      </c>
      <c r="J916">
        <f>((Inputs!$B$6*(1+Inputs!$B$7/100))+(((Inputs!$B$13*(1+Inputs!$B$14/100))-(Inputs!$B$13*(1+Inputs!$B$14/100)))+0.25*(Inputs!$B$15-Inputs!$B$15))*(1+Inputs!$B$7/100))*(F916/100)</f>
        <v/>
      </c>
      <c r="K916">
        <f>J916*(1+(((Inputs!$B$13+IF(Inputs!$B$3&gt;=35,(10*INDEX(FactorTable!$B$2:$Y$301,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8="TRIUMPH_FEATHER",IF(C924=TRUE,F924,0),0)/100)*(1+IF(C935=TRUE,F935,0)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916)</f>
        <v/>
      </c>
      <c r="L916">
        <f>K916*(MIN(Inputs!$B$23+(F930-Calc!F22),(Inputs!$B$24+IF(ArtifactsInput!$M$15,CHOOSE(ArtifactsInput!$N$15+1,25,30,35,40,45,50)/100*(Inputs!$B$12-Inputs!$B$12),0)))/100+(Inputs!$B$24+IF(ArtifactsInput!$M$15,CHOOSE(ArtifactsInput!$N$15+1,25,30,35,40,45,50)/100*(Inputs!$B$12-Inputs!$B$12),0))/100)/2</f>
        <v/>
      </c>
      <c r="M916">
        <f>L916*(1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6">
        <f>L916*(1-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916*(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6">
        <f>(1-Summary!$B$11)*S916+Summary!$B$11*U916</f>
        <v/>
      </c>
      <c r="P916">
        <f>IF(B950=0,0,O916/B950)</f>
        <v/>
      </c>
      <c r="Q916">
        <f>IFERROR(1/(IF(Inputs!$B$39="pvp",15,MAX(0.1,Skills!D8-IF(Skills!E8=TRUE,Inputs!$B$33,0)))*(1-IF(AND(ArtifactsInput!$M$27,Inputs!$B$4="Chapter Hunt"),CHOOSE(ArtifactsInput!$N$27+1,20,24,28,32,36,40),0)/100)),0)</f>
        <v/>
      </c>
      <c r="R916">
        <f>IF(AND(Inputs!$B$39&lt;&gt;"pvp",Inputs!$B$44&gt;0),IF(MAX(0,Inputs!$B$44-B947)&lt;=0,0,(INT(MAX(0,Inputs!$B$44-B947)/(IF(Inputs!$B$39="pvp",15,MAX(0.1,Skills!D8-IF(Skills!E8=TRUE,Inputs!$B$33,0)))*(1-IF(AND(ArtifactsInput!$M$27,Inputs!$B$4="Chapter Hunt"),CHOOSE(ArtifactsInput!$N$27+1,20,24,28,32,36,40),0)/100)))+1)),0)</f>
        <v/>
      </c>
      <c r="S916">
        <f>IF(C916,(H916*N916*IF(AND(Inputs!$B$39&lt;&gt;"pvp",Inputs!$B$44&gt;0),((Skills!F8*((R916-1)*IF(Skills!G8&gt;0,Skills!H8/Skills!G8,1)+IF(Skills!G8&gt;0,MIN(Skills!H8,MAX(0,MAX(0,Inputs!$B$44-B947)-((R916-1)*(IF(Inputs!$B$39="pvp",15,MAX(0.1,Skills!D8-IF(Skills!E8=TRUE,Inputs!$B$33,0)))*(1-IF(AND(ArtifactsInput!$M$27,Inputs!$B$4="Chapter Hunt"),CHOOSE(ArtifactsInput!$N$27+1,20,24,28,32,36,40),0)/100)))))/Skills!G8,1)))/Inputs!$B$44),G916*Q916))*IF(Inputs!$B$39="pvp",1,1+(Inputs!$B$21+Skills!O8+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916*(1-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916*(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916*(1-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916*(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6">
        <f>IF(C916,(H916*N916*IF(AND(Inputs!$B$39&lt;&gt;"pvp",Inputs!$B$44&gt;0),((Skills!F8*((R916-1)*IF(Skills!G8&gt;0,Skills!H8/Skills!G8,1)+IF(Skills!G8&gt;0,MIN(Skills!H8,MAX(0,MAX(0,Inputs!$B$44-B947)-((R916-1)*(IF(Inputs!$B$39="pvp",15,MAX(0.1,Skills!D8-IF(Skills!E8=TRUE,Inputs!$B$33,0)))*(1-IF(AND(ArtifactsInput!$M$27,Inputs!$B$4="Chapter Hunt"),CHOOSE(ArtifactsInput!$N$27+1,20,24,28,32,36,40),0)/100)))))/Skills!G8,1)))/Inputs!$B$44),G916*Q916))*IF(Inputs!$B$39="pvp",1,(1+(Inputs!$B$22+Skills!P8+B939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7">
      <c r="A917">
        <f>Skills!A9</f>
        <v/>
      </c>
      <c r="B917">
        <f>Skills!B9</f>
        <v/>
      </c>
      <c r="C917">
        <f>Inputs!$B$3&gt;=115</f>
        <v/>
      </c>
      <c r="D917">
        <f>IF(Skills!C9=1,60+Inputs!$B$26+Inputs!$B$30,IF(Skills!C9=2,90+Inputs!$B$27+Inputs!$B$30,IF(Skills!C9=3,120+(Inputs!$B$28+1)+Inputs!$B$30,MAX(0,(Inputs!$B$3-100)*3)+Inputs!$B$29+Inputs!$B$30)))</f>
        <v/>
      </c>
      <c r="E917">
        <f>INDEX(FactorTable!$B$2:$Y$301, MATCH(ROUND(MIN(300,MAX(1,D917)),0), FactorTable!$A$2:$A$301,0), Skills!L9+1)</f>
        <v/>
      </c>
      <c r="F917">
        <f>IF(Skills!M9=TRUE,(Skills!K9/10)*(E917/1000),Skills!K9/10)+Skills!N9</f>
        <v/>
      </c>
      <c r="G917">
        <f>Calc!G9</f>
        <v/>
      </c>
      <c r="H917">
        <f>Calc!H9</f>
        <v/>
      </c>
      <c r="I917">
        <f>IF(Skills!T9&lt;&gt;"",1+(Skills!T9/10)*($Z$3/1000)/100,1)</f>
        <v/>
      </c>
      <c r="J917">
        <f>((Inputs!$B$6*(1+Inputs!$B$7/100))+(((Inputs!$B$13*(1+Inputs!$B$14/100))-(Inputs!$B$13*(1+Inputs!$B$14/100)))+0.25*(Inputs!$B$15-Inputs!$B$15))*(1+Inputs!$B$7/100))*(F917/100)</f>
        <v/>
      </c>
      <c r="K917">
        <f>J917*(1+(((Inputs!$B$13+IF(Inputs!$B$3&gt;=35,(10*INDEX(FactorTable!$B$2:$Y$301,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9="TRIUMPH_FEATHER",IF(C924=TRUE,F924,0),0)/100)*(1+IF(C935=TRUE,F935,0)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917)</f>
        <v/>
      </c>
      <c r="L917">
        <f>K917*(MIN(Inputs!$B$23+(F930-Calc!F22),(Inputs!$B$24+IF(ArtifactsInput!$M$15,CHOOSE(ArtifactsInput!$N$15+1,25,30,35,40,45,50)/100*(Inputs!$B$12-Inputs!$B$12),0)))/100+(Inputs!$B$24+IF(ArtifactsInput!$M$15,CHOOSE(ArtifactsInput!$N$15+1,25,30,35,40,45,50)/100*(Inputs!$B$12-Inputs!$B$12),0))/100)/2</f>
        <v/>
      </c>
      <c r="M917">
        <f>L917*(1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7">
        <f>L917*(1-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(1-Summary!$B$11)*S917+Summary!$B$11*U917</f>
        <v/>
      </c>
      <c r="P917">
        <f>IF(B950=0,0,O917/B950)</f>
        <v/>
      </c>
      <c r="Q917">
        <f>IFERROR(1/(IF(Inputs!$B$39="pvp",15,MAX(0.1,Skills!D9-IF(Skills!E9=TRUE,Inputs!$B$33,0)))*(1-IF(AND(ArtifactsInput!$M$27,Inputs!$B$4="Chapter Hunt"),CHOOSE(ArtifactsInput!$N$27+1,20,24,28,32,36,40),0)/100)),0)</f>
        <v/>
      </c>
      <c r="R917">
        <f>IF(AND(Inputs!$B$39&lt;&gt;"pvp",Inputs!$B$44&gt;0),IF(MAX(0,Inputs!$B$44-B947)&lt;=0,0,(INT(MAX(0,Inputs!$B$44-B947)/(IF(Inputs!$B$39="pvp",15,MAX(0.1,Skills!D9-IF(Skills!E9=TRUE,Inputs!$B$33,0)))*(1-IF(AND(ArtifactsInput!$M$27,Inputs!$B$4="Chapter Hunt"),CHOOSE(ArtifactsInput!$N$27+1,20,24,28,32,36,40),0)/100)))+1)),0)</f>
        <v/>
      </c>
      <c r="S917">
        <f>IF(C917,(H917*N917*IF(AND(Inputs!$B$39&lt;&gt;"pvp",Inputs!$B$44&gt;0),((Skills!F9*((R917-1)*IF(Skills!G9&gt;0,Skills!H9/Skills!G9,1)+IF(Skills!G9&gt;0,MIN(Skills!H9,MAX(0,MAX(0,Inputs!$B$44-B947)-((R917-1)*(IF(Inputs!$B$39="pvp",15,MAX(0.1,Skills!D9-IF(Skills!E9=TRUE,Inputs!$B$33,0)))*(1-IF(AND(ArtifactsInput!$M$27,Inputs!$B$4="Chapter Hunt"),CHOOSE(ArtifactsInput!$N$27+1,20,24,28,32,36,40),0)/100)))))/Skills!G9,1)))/Inputs!$B$44),G917*Q917))*IF(Inputs!$B$39="pvp",1,1+(Inputs!$B$21+Skills!O9+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917*(1-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7">
        <f>IF(C917,(H917*N917*IF(AND(Inputs!$B$39&lt;&gt;"pvp",Inputs!$B$44&gt;0),((Skills!F9*((R917-1)*IF(Skills!G9&gt;0,Skills!H9/Skills!G9,1)+IF(Skills!G9&gt;0,MIN(Skills!H9,MAX(0,MAX(0,Inputs!$B$44-B947)-((R917-1)*(IF(Inputs!$B$39="pvp",15,MAX(0.1,Skills!D9-IF(Skills!E9=TRUE,Inputs!$B$33,0)))*(1-IF(AND(ArtifactsInput!$M$27,Inputs!$B$4="Chapter Hunt"),CHOOSE(ArtifactsInput!$N$27+1,20,24,28,32,36,40),0)/100)))))/Skills!G9,1)))/Inputs!$B$44),G917*Q917))*IF(Inputs!$B$39="pvp",1,(1+(Inputs!$B$22+Skills!P9+B939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Skills!A10</f>
        <v/>
      </c>
      <c r="B918">
        <f>Skills!B10</f>
        <v/>
      </c>
      <c r="C918">
        <f>Inputs!$B$3&gt;=66</f>
        <v/>
      </c>
      <c r="D918">
        <f>IF(Skills!C10=1,60+Inputs!$B$26+Inputs!$B$30,IF(Skills!C10=2,90+Inputs!$B$27+Inputs!$B$30,IF(Skills!C10=3,120+(Inputs!$B$28+1)+Inputs!$B$30,MAX(0,(Inputs!$B$3-100)*3)+Inputs!$B$29+Inputs!$B$30)))</f>
        <v/>
      </c>
      <c r="E918">
        <f>INDEX(FactorTable!$B$2:$Y$301, MATCH(ROUND(MIN(300,MAX(1,D918)),0), FactorTable!$A$2:$A$301,0), Skills!L10+1)</f>
        <v/>
      </c>
      <c r="F918" t="n">
        <v>0</v>
      </c>
      <c r="G918">
        <f>Calc!G10</f>
        <v/>
      </c>
      <c r="H918">
        <f>Calc!H10</f>
        <v/>
      </c>
      <c r="I918">
        <f>IF(Skills!T10&lt;&gt;"",1+(Skills!T10/10)*($Z$3/1000)/100,1)</f>
        <v/>
      </c>
      <c r="J918" t="inlineStr"/>
      <c r="K918" t="inlineStr"/>
      <c r="L918" t="inlineStr"/>
      <c r="M918" t="inlineStr"/>
      <c r="N918" t="inlineStr"/>
      <c r="O918">
        <f>(1-Summary!$B$11)*S918+Summary!$B$11*U918</f>
        <v/>
      </c>
      <c r="P918">
        <f>IF(B950=0,0,O918/B950)</f>
        <v/>
      </c>
      <c r="Q918">
        <f>IFERROR(1/(IF(Inputs!$B$39="pvp",15,MAX(0.1,Skills!D10-IF(Skills!E10=TRUE,Inputs!$B$33,0)))*(1-IF(AND(ArtifactsInput!$M$27,Inputs!$B$4="Chapter Hunt"),CHOOSE(ArtifactsInput!$N$27+1,20,24,28,32,36,40),0)/100)),0)</f>
        <v/>
      </c>
      <c r="R918">
        <f>IF(AND(Inputs!$B$39&lt;&gt;"pvp",Inputs!$B$44&gt;0),IF(MAX(0,Inputs!$B$44-B947)&lt;=0,0,(INT(MAX(0,Inputs!$B$44-B947)/(IF(Inputs!$B$39="pvp",15,MAX(0.1,Skills!D10-IF(Skills!E10=TRUE,Inputs!$B$33,0)))*(1-IF(AND(ArtifactsInput!$M$27,Inputs!$B$4="Chapter Hunt"),CHOOSE(ArtifactsInput!$N$27+1,20,24,28,32,36,40),0)/100)))+1)),0)</f>
        <v/>
      </c>
      <c r="S918" t="n">
        <v>0</v>
      </c>
      <c r="U918" t="n">
        <v>0</v>
      </c>
    </row>
    <row r="919">
      <c r="A919">
        <f>Skills!A11</f>
        <v/>
      </c>
      <c r="B919">
        <f>Skills!B11</f>
        <v/>
      </c>
      <c r="C919">
        <f>Inputs!$B$3&gt;=69</f>
        <v/>
      </c>
      <c r="D919">
        <f>IF(Skills!C11=1,60+Inputs!$B$26+Inputs!$B$30,IF(Skills!C11=2,90+Inputs!$B$27+Inputs!$B$30,IF(Skills!C11=3,120+(Inputs!$B$28+1)+Inputs!$B$30,MAX(0,(Inputs!$B$3-100)*3)+Inputs!$B$29+Inputs!$B$30)))</f>
        <v/>
      </c>
      <c r="E919">
        <f>INDEX(FactorTable!$B$2:$Y$301, MATCH(ROUND(MIN(300,MAX(1,D919)),0), FactorTable!$A$2:$A$301,0), Skills!L11+1)</f>
        <v/>
      </c>
      <c r="F919">
        <f>IF(Skills!M11=TRUE,(Skills!K11/10)*(E919/1000),Skills!K11/10)+Skills!N11</f>
        <v/>
      </c>
      <c r="G919">
        <f>Calc!G11</f>
        <v/>
      </c>
      <c r="H919">
        <f>Calc!H11</f>
        <v/>
      </c>
      <c r="I919">
        <f>IF(Skills!T11&lt;&gt;"",1+(Skills!T11/10)*($Z$3/1000)/100,1)</f>
        <v/>
      </c>
      <c r="J919" t="inlineStr"/>
      <c r="K919" t="inlineStr"/>
      <c r="L919" t="inlineStr"/>
      <c r="M919" t="inlineStr"/>
      <c r="N919" t="inlineStr"/>
      <c r="O919">
        <f>(1-Summary!$B$11)*S919+Summary!$B$11*U919</f>
        <v/>
      </c>
      <c r="P919">
        <f>IF(B950=0,0,O919/B950)</f>
        <v/>
      </c>
      <c r="Q919">
        <f>IFERROR(1/(IF(Inputs!$B$39="pvp",15,MAX(0.1,Skills!D11-IF(Skills!E11=TRUE,Inputs!$B$33,0)))*(1-IF(AND(ArtifactsInput!$M$27,Inputs!$B$4="Chapter Hunt"),CHOOSE(ArtifactsInput!$N$27+1,20,24,28,32,36,40),0)/100)),0)</f>
        <v/>
      </c>
      <c r="R919">
        <f>IF(AND(Inputs!$B$39&lt;&gt;"pvp",Inputs!$B$44&gt;0),IF(Inputs!$B$44&lt;=0,0,(INT(Inputs!$B$44/(IF(Inputs!$B$39="pvp",15,MAX(0.1,Skills!D11-IF(Skills!E11=TRUE,Inputs!$B$33,0)))*(1-IF(AND(ArtifactsInput!$M$27,Inputs!$B$4="Chapter Hunt"),CHOOSE(ArtifactsInput!$N$27+1,20,24,28,32,36,40),0)/100)))+1)),0)</f>
        <v/>
      </c>
      <c r="S919" t="n">
        <v>0</v>
      </c>
      <c r="U919" t="n">
        <v>0</v>
      </c>
    </row>
    <row r="920">
      <c r="A920">
        <f>Skills!A12</f>
        <v/>
      </c>
      <c r="B920">
        <f>Skills!B12</f>
        <v/>
      </c>
      <c r="C920">
        <f>Inputs!$B$3&gt;=72</f>
        <v/>
      </c>
      <c r="D920">
        <f>IF(Skills!C12=1,60+Inputs!$B$26+Inputs!$B$30,IF(Skills!C12=2,90+Inputs!$B$27+Inputs!$B$30,IF(Skills!C12=3,120+(Inputs!$B$28+1)+Inputs!$B$30,MAX(0,(Inputs!$B$3-100)*3)+Inputs!$B$29+Inputs!$B$30)))</f>
        <v/>
      </c>
      <c r="E920">
        <f>INDEX(FactorTable!$B$2:$Y$301, MATCH(ROUND(MIN(300,MAX(1,D920)),0), FactorTable!$A$2:$A$301,0), Skills!L12+1)</f>
        <v/>
      </c>
      <c r="F920">
        <f>IF(Skills!M12=TRUE,(Skills!K12/10)*(E920/1000),Skills!K12/10)+Skills!N12</f>
        <v/>
      </c>
      <c r="G920">
        <f>Calc!G12</f>
        <v/>
      </c>
      <c r="H920">
        <f>Calc!H12</f>
        <v/>
      </c>
      <c r="I920">
        <f>IF(Skills!T12&lt;&gt;"",1+(Skills!T12/10)*($Z$3/1000)/100,1)</f>
        <v/>
      </c>
      <c r="J920" t="inlineStr"/>
      <c r="K920" t="inlineStr"/>
      <c r="L920" t="inlineStr"/>
      <c r="M920" t="inlineStr"/>
      <c r="N920" t="inlineStr"/>
      <c r="O920">
        <f>(1-Summary!$B$11)*S920+Summary!$B$11*U920</f>
        <v/>
      </c>
      <c r="P920">
        <f>IF(B950=0,0,O920/B950)</f>
        <v/>
      </c>
      <c r="Q920">
        <f>IFERROR(1/(IF(Inputs!$B$39="pvp",15,MAX(0.1,Skills!D12-IF(Skills!E12=TRUE,Inputs!$B$33,0)))*(1-IF(AND(ArtifactsInput!$M$27,Inputs!$B$4="Chapter Hunt"),CHOOSE(ArtifactsInput!$N$27+1,20,24,28,32,36,40),0)/100)),0)</f>
        <v/>
      </c>
      <c r="R920">
        <f>IF(AND(Inputs!$B$39&lt;&gt;"pvp",Inputs!$B$44&gt;0),IF(MAX(0,Inputs!$B$44-B947)&lt;=0,0,(INT(MAX(0,Inputs!$B$44-B947)/(IF(Inputs!$B$39="pvp",15,MAX(0.1,Skills!D12-IF(Skills!E12=TRUE,Inputs!$B$33,0)))*(1-IF(AND(ArtifactsInput!$M$27,Inputs!$B$4="Chapter Hunt"),CHOOSE(ArtifactsInput!$N$27+1,20,24,28,32,36,40),0)/100)))+1)),0)</f>
        <v/>
      </c>
      <c r="S920" t="n">
        <v>0</v>
      </c>
      <c r="U920" t="n">
        <v>0</v>
      </c>
    </row>
    <row r="921">
      <c r="A921">
        <f>Skills!A13</f>
        <v/>
      </c>
      <c r="B921">
        <f>Skills!B13</f>
        <v/>
      </c>
      <c r="C921">
        <f>Inputs!$B$3&gt;=60</f>
        <v/>
      </c>
      <c r="D921">
        <f>IF(Skills!C13=1,60+Inputs!$B$26+Inputs!$B$30,IF(Skills!C13=2,90+Inputs!$B$27+Inputs!$B$30,IF(Skills!C13=3,120+(Inputs!$B$28+1)+Inputs!$B$30,MAX(0,(Inputs!$B$3-100)*3)+Inputs!$B$29+Inputs!$B$30)))</f>
        <v/>
      </c>
      <c r="E921">
        <f>INDEX(FactorTable!$B$2:$Y$301, MATCH(ROUND(MIN(300,MAX(1,D921)),0), FactorTable!$A$2:$A$301,0), Skills!L13+1)</f>
        <v/>
      </c>
      <c r="F921">
        <f>IF(Skills!M13=TRUE,(Skills!K13/10)*(E921/1000),Skills!K13/10)+Skills!N13</f>
        <v/>
      </c>
      <c r="G921">
        <f>Calc!G13</f>
        <v/>
      </c>
      <c r="H921">
        <f>Calc!H13</f>
        <v/>
      </c>
      <c r="I921">
        <f>IF(Skills!T13&lt;&gt;"",1+(Skills!T13/10)*($Z$3/1000)/100,1)</f>
        <v/>
      </c>
      <c r="J921" t="inlineStr"/>
      <c r="K921" t="inlineStr"/>
      <c r="L921" t="inlineStr"/>
      <c r="M921" t="inlineStr"/>
      <c r="N921" t="inlineStr"/>
      <c r="O921">
        <f>(1-Summary!$B$11)*S921+Summary!$B$11*U921</f>
        <v/>
      </c>
      <c r="P921">
        <f>IF(B950=0,0,O921/B950)</f>
        <v/>
      </c>
      <c r="Q921">
        <f>IFERROR(1/(IF(Inputs!$B$39="pvp",15,MAX(0.1,Skills!D13-IF(Skills!E13=TRUE,Inputs!$B$33,0)))*(1-IF(AND(ArtifactsInput!$M$27,Inputs!$B$4="Chapter Hunt"),CHOOSE(ArtifactsInput!$N$27+1,20,24,28,32,36,40),0)/100)),0)</f>
        <v/>
      </c>
      <c r="R921">
        <f>IF(AND(Inputs!$B$39&lt;&gt;"pvp",Inputs!$B$44&gt;0),IF(MAX(0,Inputs!$B$44-B947)&lt;=0,0,(INT(MAX(0,Inputs!$B$44-B947)/(IF(Inputs!$B$39="pvp",15,MAX(0.1,Skills!D13-IF(Skills!E13=TRUE,Inputs!$B$33,0)))*(1-IF(AND(ArtifactsInput!$M$27,Inputs!$B$4="Chapter Hunt"),CHOOSE(ArtifactsInput!$N$27+1,20,24,28,32,36,40),0)/100)))+1)),0)</f>
        <v/>
      </c>
      <c r="S921" t="n">
        <v>0</v>
      </c>
      <c r="U921" t="n">
        <v>0</v>
      </c>
    </row>
    <row r="922">
      <c r="A922">
        <f>Skills!A14</f>
        <v/>
      </c>
      <c r="B922">
        <f>Skills!B14</f>
        <v/>
      </c>
      <c r="C922">
        <f>Inputs!$B$3&gt;=107</f>
        <v/>
      </c>
      <c r="D922">
        <f>IF(Skills!C14=1,60+Inputs!$B$26+Inputs!$B$30,IF(Skills!C14=2,90+Inputs!$B$27+Inputs!$B$30,IF(Skills!C14=3,120+(Inputs!$B$28+1)+Inputs!$B$30,MAX(0,(Inputs!$B$3-100)*3)+Inputs!$B$29+Inputs!$B$30)))</f>
        <v/>
      </c>
      <c r="E922">
        <f>INDEX(FactorTable!$B$2:$Y$301, MATCH(ROUND(MIN(300,MAX(1,D922)),0), FactorTable!$A$2:$A$301,0), Skills!L14+1)</f>
        <v/>
      </c>
      <c r="F922">
        <f>IF(Skills!M14=TRUE,(Skills!K14/10)*(E922/1000),Skills!K14/10)+Skills!N14</f>
        <v/>
      </c>
      <c r="G922">
        <f>Calc!G14</f>
        <v/>
      </c>
      <c r="H922">
        <f>Calc!H14</f>
        <v/>
      </c>
      <c r="I922">
        <f>IF(Skills!T14&lt;&gt;"",1+(Skills!T14/10)*($Z$3/1000)/100,1)</f>
        <v/>
      </c>
      <c r="J922" t="inlineStr"/>
      <c r="K922" t="inlineStr"/>
      <c r="L922" t="inlineStr"/>
      <c r="M922" t="inlineStr"/>
      <c r="N922" t="inlineStr"/>
      <c r="O922">
        <f>(1-Summary!$B$11)*S922+Summary!$B$11*U922</f>
        <v/>
      </c>
      <c r="P922">
        <f>IF(B950=0,0,O922/B950)</f>
        <v/>
      </c>
      <c r="Q922">
        <f>IFERROR(1/(IF(Inputs!$B$39="pvp",15,MAX(0.1,Skills!D14-IF(Skills!E14=TRUE,Inputs!$B$33,0)))*(1-IF(AND(ArtifactsInput!$M$27,Inputs!$B$4="Chapter Hunt"),CHOOSE(ArtifactsInput!$N$27+1,20,24,28,32,36,40),0)/100)),0)</f>
        <v/>
      </c>
      <c r="R922">
        <f>IF(AND(Inputs!$B$39&lt;&gt;"pvp",Inputs!$B$44&gt;0),IF(Inputs!$B$44&lt;=0,0,(INT(Inputs!$B$44/(IF(Inputs!$B$39="pvp",15,MAX(0.1,Skills!D14-IF(Skills!E14=TRUE,Inputs!$B$33,0)))*(1-IF(AND(ArtifactsInput!$M$27,Inputs!$B$4="Chapter Hunt"),CHOOSE(ArtifactsInput!$N$27+1,20,24,28,32,36,40),0)/100)))+1)),0)</f>
        <v/>
      </c>
      <c r="S922" t="n">
        <v>0</v>
      </c>
      <c r="U922" t="n">
        <v>0</v>
      </c>
    </row>
    <row r="923">
      <c r="A923">
        <f>Skills!A15</f>
        <v/>
      </c>
      <c r="B923">
        <f>Skills!B15</f>
        <v/>
      </c>
      <c r="C923">
        <f>Inputs!$B$3&gt;=63</f>
        <v/>
      </c>
      <c r="D923">
        <f>IF(Skills!C15=1,60+Inputs!$B$26+Inputs!$B$30,IF(Skills!C15=2,90+Inputs!$B$27+Inputs!$B$30,IF(Skills!C15=3,120+(Inputs!$B$28+1)+Inputs!$B$30,MAX(0,(Inputs!$B$3-100)*3)+Inputs!$B$29+Inputs!$B$30)))</f>
        <v/>
      </c>
      <c r="E923">
        <f>INDEX(FactorTable!$B$2:$Y$301, MATCH(ROUND(MIN(300,MAX(1,D923)),0), FactorTable!$A$2:$A$301,0), Skills!L15+1)</f>
        <v/>
      </c>
      <c r="F923">
        <f>IF(Skills!M15=TRUE,(Skills!K15/10)*(E923/1000),Skills!K15/10)+Skills!N15</f>
        <v/>
      </c>
      <c r="G923">
        <f>Calc!G15</f>
        <v/>
      </c>
      <c r="H923">
        <f>Calc!H15</f>
        <v/>
      </c>
      <c r="I923">
        <f>IF(Skills!T15&lt;&gt;"",1+(Skills!T15/10)*($Z$3/1000)/100,1)</f>
        <v/>
      </c>
      <c r="J923">
        <f>((Inputs!$B$6*(1+Inputs!$B$7/100))+(((Inputs!$B$13*(1+Inputs!$B$14/100))-(Inputs!$B$13*(1+Inputs!$B$14/100)))+0.25*(Inputs!$B$15-Inputs!$B$15))*(1+Inputs!$B$7/100))*(F923/100)</f>
        <v/>
      </c>
      <c r="K923">
        <f>J923*(1+(((Inputs!$B$13+IF(Inputs!$B$3&gt;=35,(10*INDEX(FactorTable!$B$2:$Y$301,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15="TRIUMPH_FEATHER",IF(C924=TRUE,F924,0),0)/100)*(1+IF(C935=TRUE,F935,0)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923)</f>
        <v/>
      </c>
      <c r="L923">
        <f>K923*(MIN(Inputs!$B$23+(F930-Calc!F22),(Inputs!$B$24+IF(ArtifactsInput!$M$15,CHOOSE(ArtifactsInput!$N$15+1,25,30,35,40,45,50)/100*(Inputs!$B$12-Inputs!$B$12),0)))/100+(Inputs!$B$24+IF(ArtifactsInput!$M$15,CHOOSE(ArtifactsInput!$N$15+1,25,30,35,40,45,50)/100*(Inputs!$B$12-Inputs!$B$12),0))/100)/2</f>
        <v/>
      </c>
      <c r="M923">
        <f>L923*(1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3">
        <f>L923*(1-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(1-Summary!$B$11)*S923+Summary!$B$11*U923</f>
        <v/>
      </c>
      <c r="P923">
        <f>IF(B950=0,0,O923/B950)</f>
        <v/>
      </c>
      <c r="Q923">
        <f>IFERROR(1/(IF(Inputs!$B$39="pvp",15,MAX(0.1,Skills!D15-IF(Skills!E15=TRUE,Inputs!$B$33,0)))*(1-IF(AND(ArtifactsInput!$M$27,Inputs!$B$4="Chapter Hunt"),CHOOSE(ArtifactsInput!$N$27+1,20,24,28,32,36,40),0)/100)),0)</f>
        <v/>
      </c>
      <c r="R923" t="n">
        <v>0</v>
      </c>
      <c r="S923">
        <f>IF(C923,(Skills!F15*N923*((IF(Inputs!$B$3&gt;=78,25,15)/100*B943*10)/(1+IF(Inputs!$B$3&gt;=78,25,15)/100*B943*10))*(Skills!I15/100*B943)/(1+Skills!G15*Skills!I15/100*B943))*IF(Inputs!$B$39="pvp",1,1+(Inputs!$B$21+Skills!O15+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923*(1-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3">
        <f>IF(C923,(Skills!F15*N923*((IF(Inputs!$B$3&gt;=78,25,15)/100*B943*10)/(1+IF(Inputs!$B$3&gt;=78,25,15)/100*B943*10))*(Skills!I15/100*B943)/(1+Skills!G15*Skills!I15/100*B943))*IF(Inputs!$B$39="pvp",1,(1+(Inputs!$B$22+Skills!P15+B939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Skills!A16</f>
        <v/>
      </c>
      <c r="B924">
        <f>Skills!B16</f>
        <v/>
      </c>
      <c r="C924">
        <f>Inputs!$B$3&gt;=100</f>
        <v/>
      </c>
      <c r="D924">
        <f>IF(Skills!C16=1,60+Inputs!$B$26+Inputs!$B$30,IF(Skills!C16=2,90+Inputs!$B$27+Inputs!$B$30,IF(Skills!C16=3,120+(Inputs!$B$28+1)+Inputs!$B$30,MAX(0,(Inputs!$B$3-100)*3)+Inputs!$B$29+Inputs!$B$30)))</f>
        <v/>
      </c>
      <c r="E924">
        <f>INDEX(FactorTable!$B$2:$Y$301, MATCH(ROUND(MIN(300,MAX(1,D924)),0), FactorTable!$A$2:$A$301,0), Skills!L16+1)</f>
        <v/>
      </c>
      <c r="F924">
        <f>IF(Skills!M16=TRUE,(Skills!K16/10)*(E924/1000),Skills!K16/10)+Skills!N16</f>
        <v/>
      </c>
      <c r="G924">
        <f>Calc!G16</f>
        <v/>
      </c>
      <c r="H924">
        <f>Calc!H16</f>
        <v/>
      </c>
      <c r="I924">
        <f>IF(Skills!T16&lt;&gt;"",1+(Skills!T16/10)*($Z$3/1000)/100,1)</f>
        <v/>
      </c>
      <c r="J924" t="inlineStr"/>
      <c r="K924" t="inlineStr"/>
      <c r="L924" t="inlineStr"/>
      <c r="M924" t="inlineStr"/>
      <c r="N924" t="inlineStr"/>
      <c r="O924">
        <f>(1-Summary!$B$11)*S924+Summary!$B$11*U924</f>
        <v/>
      </c>
      <c r="P924">
        <f>IF(B950=0,0,O924/B950)</f>
        <v/>
      </c>
      <c r="Q924">
        <f>IFERROR(1/(IF(Inputs!$B$39="pvp",15,MAX(0.1,Skills!D16-IF(Skills!E16=TRUE,Inputs!$B$33,0)))*(1-IF(AND(ArtifactsInput!$M$27,Inputs!$B$4="Chapter Hunt"),CHOOSE(ArtifactsInput!$N$27+1,20,24,28,32,36,40),0)/100)),0)</f>
        <v/>
      </c>
      <c r="R924" t="n">
        <v>0</v>
      </c>
      <c r="S924" t="n">
        <v>0</v>
      </c>
      <c r="U924" t="n">
        <v>0</v>
      </c>
    </row>
    <row r="925">
      <c r="A925">
        <f>Skills!A17</f>
        <v/>
      </c>
      <c r="B925">
        <f>Skills!B17</f>
        <v/>
      </c>
      <c r="C925">
        <f>Inputs!$B$3&gt;=49</f>
        <v/>
      </c>
      <c r="D925">
        <f>IF(Skills!C17=1,60+Inputs!$B$26+Inputs!$B$30,IF(Skills!C17=2,90+Inputs!$B$27+Inputs!$B$30,IF(Skills!C17=3,120+(Inputs!$B$28+1)+Inputs!$B$30,MAX(0,(Inputs!$B$3-100)*3)+Inputs!$B$29+Inputs!$B$30)))</f>
        <v/>
      </c>
      <c r="E925">
        <f>INDEX(FactorTable!$B$2:$Y$301, MATCH(ROUND(MIN(300,MAX(1,D925)),0), FactorTable!$A$2:$A$301,0), Skills!L17+1)</f>
        <v/>
      </c>
      <c r="F925">
        <f>IF(Skills!M17=TRUE,(Skills!K17/10)*(E925/1000),Skills!K17/10)+Skills!N17</f>
        <v/>
      </c>
      <c r="G925">
        <f>Calc!G17</f>
        <v/>
      </c>
      <c r="H925">
        <f>Calc!H17</f>
        <v/>
      </c>
      <c r="I925">
        <f>IF(Skills!T17&lt;&gt;"",1+(Skills!T17/10)*($Z$3/1000)/100,1)</f>
        <v/>
      </c>
      <c r="J925" t="inlineStr"/>
      <c r="K925" t="inlineStr"/>
      <c r="L925" t="inlineStr"/>
      <c r="M925" t="inlineStr"/>
      <c r="N925" t="inlineStr"/>
      <c r="O925">
        <f>(1-Summary!$B$11)*S925+Summary!$B$11*U925</f>
        <v/>
      </c>
      <c r="P925">
        <f>IF(B950=0,0,O925/B950)</f>
        <v/>
      </c>
      <c r="Q925">
        <f>IFERROR(1/(IF(Inputs!$B$39="pvp",15,MAX(0.1,Skills!D17-IF(Skills!E17=TRUE,Inputs!$B$33,0)))*(1-IF(AND(ArtifactsInput!$M$27,Inputs!$B$4="Chapter Hunt"),CHOOSE(ArtifactsInput!$N$27+1,20,24,28,32,36,40),0)/100)),0)</f>
        <v/>
      </c>
      <c r="R925" t="n">
        <v>0</v>
      </c>
      <c r="S925" t="n">
        <v>0</v>
      </c>
      <c r="U925" t="n">
        <v>0</v>
      </c>
    </row>
    <row r="926">
      <c r="A926">
        <f>Skills!A18</f>
        <v/>
      </c>
      <c r="B926">
        <f>Skills!B18</f>
        <v/>
      </c>
      <c r="C926">
        <f>Inputs!$B$3&gt;=75</f>
        <v/>
      </c>
      <c r="D926">
        <f>IF(Skills!C18=1,60+Inputs!$B$26+Inputs!$B$30,IF(Skills!C18=2,90+Inputs!$B$27+Inputs!$B$30,IF(Skills!C18=3,120+(Inputs!$B$28+1)+Inputs!$B$30,MAX(0,(Inputs!$B$3-100)*3)+Inputs!$B$29+Inputs!$B$30)))</f>
        <v/>
      </c>
      <c r="E926">
        <f>INDEX(FactorTable!$B$2:$Y$301, MATCH(ROUND(MIN(300,MAX(1,D926)),0), FactorTable!$A$2:$A$301,0), Skills!L18+1)</f>
        <v/>
      </c>
      <c r="F926">
        <f>IF(Skills!M18=TRUE,(Skills!K18/10)*(E926/1000),Skills!K18/10)+Skills!N18</f>
        <v/>
      </c>
      <c r="G926">
        <f>Calc!G18</f>
        <v/>
      </c>
      <c r="H926">
        <f>Calc!H18</f>
        <v/>
      </c>
      <c r="I926">
        <f>IF(Skills!T18&lt;&gt;"",1+(Skills!T18/10)*($Z$3/1000)/100,1)</f>
        <v/>
      </c>
      <c r="J926" t="inlineStr"/>
      <c r="K926" t="inlineStr"/>
      <c r="L926" t="inlineStr"/>
      <c r="M926" t="inlineStr"/>
      <c r="N926" t="inlineStr"/>
      <c r="O926">
        <f>(1-Summary!$B$11)*S926+Summary!$B$11*U926</f>
        <v/>
      </c>
      <c r="P926">
        <f>IF(B950=0,0,O926/B950)</f>
        <v/>
      </c>
      <c r="Q926">
        <f>IFERROR(1/(IF(Inputs!$B$39="pvp",15,MAX(0.1,Skills!D18-IF(Skills!E18=TRUE,Inputs!$B$33,0)))*(1-IF(AND(ArtifactsInput!$M$27,Inputs!$B$4="Chapter Hunt"),CHOOSE(ArtifactsInput!$N$27+1,20,24,28,32,36,40),0)/100)),0)</f>
        <v/>
      </c>
      <c r="R926" t="n">
        <v>0</v>
      </c>
      <c r="S926" t="n">
        <v>0</v>
      </c>
      <c r="U926" t="n">
        <v>0</v>
      </c>
    </row>
    <row r="927">
      <c r="A927">
        <f>Skills!A19</f>
        <v/>
      </c>
      <c r="B927">
        <f>Skills!B19</f>
        <v/>
      </c>
      <c r="C927">
        <f>Inputs!$B$3&gt;=110</f>
        <v/>
      </c>
      <c r="D927">
        <f>IF(Skills!C19=1,60+Inputs!$B$26+Inputs!$B$30,IF(Skills!C19=2,90+Inputs!$B$27+Inputs!$B$30,IF(Skills!C19=3,120+(Inputs!$B$28+1)+Inputs!$B$30,MAX(0,(Inputs!$B$3-100)*3)+Inputs!$B$29+Inputs!$B$30)))</f>
        <v/>
      </c>
      <c r="E927">
        <f>INDEX(FactorTable!$B$2:$Y$301, MATCH(ROUND(MIN(300,MAX(1,D927)),0), FactorTable!$A$2:$A$301,0), Skills!L19+1)</f>
        <v/>
      </c>
      <c r="F927">
        <f>(Skills!K19/10)*(E927/1000)*64/45+Skills!N19</f>
        <v/>
      </c>
      <c r="G927">
        <f>Calc!G19</f>
        <v/>
      </c>
      <c r="H927">
        <f>Calc!H19</f>
        <v/>
      </c>
      <c r="I927">
        <f>IF(Skills!T19&lt;&gt;"",1+(Skills!T19/10)*($Z$3/1000)/100,1)</f>
        <v/>
      </c>
      <c r="J927" t="inlineStr"/>
      <c r="K927" t="inlineStr"/>
      <c r="L927" t="inlineStr"/>
      <c r="M927" t="inlineStr"/>
      <c r="N927" t="inlineStr"/>
      <c r="O927">
        <f>(1-Summary!$B$11)*S927+Summary!$B$11*U927</f>
        <v/>
      </c>
      <c r="P927">
        <f>IF(B950=0,0,O927/B950)</f>
        <v/>
      </c>
      <c r="Q927">
        <f>IFERROR(1/(IF(Inputs!$B$39="pvp",15,MAX(0.1,Skills!D19-IF(Skills!E19=TRUE,Inputs!$B$33,0)))*(1-IF(AND(ArtifactsInput!$M$27,Inputs!$B$4="Chapter Hunt"),CHOOSE(ArtifactsInput!$N$27+1,20,24,28,32,36,40),0)/100)),0)</f>
        <v/>
      </c>
      <c r="R927">
        <f>IF(AND(Inputs!$B$39&lt;&gt;"pvp",Inputs!$B$44&gt;0),IF(Inputs!$B$44&lt;=0,0,(INT(Inputs!$B$44/(IF(Inputs!$B$39="pvp",15,MAX(0.1,Skills!D19-IF(Skills!E19=TRUE,Inputs!$B$33,0)))*(1-IF(AND(ArtifactsInput!$M$27,Inputs!$B$4="Chapter Hunt"),CHOOSE(ArtifactsInput!$N$27+1,20,24,28,32,36,40),0)/100)))+1)),0)</f>
        <v/>
      </c>
      <c r="S927" t="n">
        <v>0</v>
      </c>
      <c r="U927" t="n">
        <v>0</v>
      </c>
    </row>
    <row r="928">
      <c r="A928">
        <f>Skills!A20</f>
        <v/>
      </c>
      <c r="B928">
        <f>Skills!B20</f>
        <v/>
      </c>
      <c r="C928">
        <f>Inputs!$B$3&gt;=125</f>
        <v/>
      </c>
      <c r="D928">
        <f>IF(Skills!C20=1,60+Inputs!$B$26+Inputs!$B$30,IF(Skills!C20=2,90+Inputs!$B$27+Inputs!$B$30,IF(Skills!C20=3,120+(Inputs!$B$28+1)+Inputs!$B$30,MAX(0,(Inputs!$B$3-100)*3)+Inputs!$B$29+Inputs!$B$30)))</f>
        <v/>
      </c>
      <c r="E928">
        <f>INDEX(FactorTable!$B$2:$Y$301, MATCH(ROUND(MIN(300,MAX(1,D928)),0), FactorTable!$A$2:$A$301,0), Skills!L20+1)</f>
        <v/>
      </c>
      <c r="F928">
        <f>IF(Skills!M20=TRUE,(Skills!K20/10)*(E928/1000),Skills!K20/10)+Skills!N20</f>
        <v/>
      </c>
      <c r="G928">
        <f>Calc!G20</f>
        <v/>
      </c>
      <c r="H928">
        <f>Calc!H20</f>
        <v/>
      </c>
      <c r="I928">
        <f>IF(Skills!T20&lt;&gt;"",1+(Skills!T20/10)*($Z$3/1000)/100,1)</f>
        <v/>
      </c>
      <c r="J928" t="inlineStr"/>
      <c r="K928" t="inlineStr"/>
      <c r="L928" t="inlineStr"/>
      <c r="M928" t="inlineStr"/>
      <c r="N928" t="inlineStr"/>
      <c r="O928">
        <f>(1-Summary!$B$11)*S928+Summary!$B$11*U928</f>
        <v/>
      </c>
      <c r="P928">
        <f>IF(B950=0,0,O928/B950)</f>
        <v/>
      </c>
      <c r="Q928">
        <f>IFERROR(1/(IF(Inputs!$B$39="pvp",15,MAX(0.1,Skills!D20-IF(Skills!E20=TRUE,Inputs!$B$33,0)))*(1-IF(AND(ArtifactsInput!$M$27,Inputs!$B$4="Chapter Hunt"),CHOOSE(ArtifactsInput!$N$27+1,20,24,28,32,36,40),0)/100)),0)</f>
        <v/>
      </c>
      <c r="R928" t="n">
        <v>0</v>
      </c>
      <c r="S928" t="n">
        <v>0</v>
      </c>
      <c r="U928" t="n">
        <v>0</v>
      </c>
    </row>
    <row r="929">
      <c r="A929">
        <f>Skills!A21</f>
        <v/>
      </c>
      <c r="B929">
        <f>Skills!B21</f>
        <v/>
      </c>
      <c r="C929">
        <f>Inputs!$B$3&gt;=33</f>
        <v/>
      </c>
      <c r="D929">
        <f>IF(Skills!C21=1,60+Inputs!$B$26+Inputs!$B$30,IF(Skills!C21=2,90+Inputs!$B$27+Inputs!$B$30,IF(Skills!C21=3,120+(Inputs!$B$28+1)+Inputs!$B$30,MAX(0,(Inputs!$B$3-100)*3)+Inputs!$B$29+Inputs!$B$30)))</f>
        <v/>
      </c>
      <c r="E929">
        <f>INDEX(FactorTable!$B$2:$Y$301, MATCH(ROUND(MIN(300,MAX(1,D929)),0), FactorTable!$A$2:$A$301,0), Skills!L21+1)</f>
        <v/>
      </c>
      <c r="F929">
        <f>IF(Skills!M21=TRUE,(Skills!K21/10)*(E929/1000),Skills!K21/10)+Skills!N21</f>
        <v/>
      </c>
      <c r="G929">
        <f>Calc!G21</f>
        <v/>
      </c>
      <c r="H929">
        <f>Calc!H21</f>
        <v/>
      </c>
      <c r="I929">
        <f>IF(Skills!T21&lt;&gt;"",1+(Skills!T21/10)*($Z$3/1000)/100,1)</f>
        <v/>
      </c>
      <c r="J929" t="inlineStr"/>
      <c r="K929" t="inlineStr"/>
      <c r="L929" t="inlineStr"/>
      <c r="M929" t="inlineStr"/>
      <c r="N929" t="inlineStr"/>
      <c r="O929">
        <f>(1-Summary!$B$11)*S929+Summary!$B$11*U929</f>
        <v/>
      </c>
      <c r="P929">
        <f>IF(B950=0,0,O929/B950)</f>
        <v/>
      </c>
      <c r="Q929">
        <f>IFERROR(1/(IF(Inputs!$B$39="pvp",15,MAX(0.1,Skills!D21-IF(Skills!E21=TRUE,Inputs!$B$33,0)))*(1-IF(AND(ArtifactsInput!$M$27,Inputs!$B$4="Chapter Hunt"),CHOOSE(ArtifactsInput!$N$27+1,20,24,28,32,36,40),0)/100)),0)</f>
        <v/>
      </c>
      <c r="R929" t="n">
        <v>0</v>
      </c>
      <c r="S929" t="n">
        <v>0</v>
      </c>
      <c r="U929" t="n">
        <v>0</v>
      </c>
    </row>
    <row r="930">
      <c r="A930">
        <f>Skills!A22</f>
        <v/>
      </c>
      <c r="B930">
        <f>Skills!B22</f>
        <v/>
      </c>
      <c r="C930">
        <f>Inputs!$B$3&gt;=43</f>
        <v/>
      </c>
      <c r="D930">
        <f>IF(Skills!C22=1,60+Inputs!$B$26+Inputs!$B$30,IF(Skills!C22=2,90+Inputs!$B$27+Inputs!$B$30,IF(Skills!C22=3,120+(Inputs!$B$28+1)+Inputs!$B$30,MAX(0,(Inputs!$B$3-100)*3)+Inputs!$B$29+Inputs!$B$30)))</f>
        <v/>
      </c>
      <c r="E930">
        <f>INDEX(FactorTable!$B$2:$Y$301, MATCH(ROUND(MIN(300,MAX(1,D930)),0), FactorTable!$A$2:$A$301,0), Skills!L22+1)</f>
        <v/>
      </c>
      <c r="F930">
        <f>IF(Skills!M22=TRUE,(Skills!K22/10)*(E930/1000),Skills!K22/10)+Skills!N22</f>
        <v/>
      </c>
      <c r="G930">
        <f>Calc!G22</f>
        <v/>
      </c>
      <c r="H930">
        <f>Calc!H22</f>
        <v/>
      </c>
      <c r="I930">
        <f>IF(Skills!T22&lt;&gt;"",1+(Skills!T22/10)*($Z$3/1000)/100,1)</f>
        <v/>
      </c>
      <c r="J930" t="inlineStr"/>
      <c r="K930" t="inlineStr"/>
      <c r="L930" t="inlineStr"/>
      <c r="M930" t="inlineStr"/>
      <c r="N930" t="inlineStr"/>
      <c r="O930">
        <f>(1-Summary!$B$11)*S930+Summary!$B$11*U930</f>
        <v/>
      </c>
      <c r="P930">
        <f>IF(B950=0,0,O930/B950)</f>
        <v/>
      </c>
      <c r="Q930">
        <f>IFERROR(1/(IF(Inputs!$B$39="pvp",15,MAX(0.1,Skills!D22-IF(Skills!E22=TRUE,Inputs!$B$33,0)))*(1-IF(AND(ArtifactsInput!$M$27,Inputs!$B$4="Chapter Hunt"),CHOOSE(ArtifactsInput!$N$27+1,20,24,28,32,36,40),0)/100)),0)</f>
        <v/>
      </c>
      <c r="R930" t="n">
        <v>0</v>
      </c>
      <c r="S930" t="n">
        <v>0</v>
      </c>
      <c r="U930" t="n">
        <v>0</v>
      </c>
    </row>
    <row r="931">
      <c r="A931">
        <f>Skills!A23</f>
        <v/>
      </c>
      <c r="B931">
        <f>Skills!B23</f>
        <v/>
      </c>
      <c r="C931">
        <f>Inputs!$B$3&gt;=50</f>
        <v/>
      </c>
      <c r="D931">
        <f>IF(Skills!C23=1,60+Inputs!$B$26+Inputs!$B$30,IF(Skills!C23=2,90+Inputs!$B$27+Inputs!$B$30,IF(Skills!C23=3,120+(Inputs!$B$28+1)+Inputs!$B$30,MAX(0,(Inputs!$B$3-100)*3)+Inputs!$B$29+Inputs!$B$30)))</f>
        <v/>
      </c>
      <c r="E931">
        <f>INDEX(FactorTable!$B$2:$Y$301, MATCH(ROUND(MIN(300,MAX(1,D931)),0), FactorTable!$A$2:$A$301,0), Skills!L23+1)</f>
        <v/>
      </c>
      <c r="F931">
        <f>IF(Skills!M23=TRUE,(Skills!K23/10)*(E931/1000),Skills!K23/10)+Skills!N23</f>
        <v/>
      </c>
      <c r="G931">
        <f>Calc!G23</f>
        <v/>
      </c>
      <c r="H931">
        <f>Calc!H23</f>
        <v/>
      </c>
      <c r="I931">
        <f>IF(Skills!T23&lt;&gt;"",1+(Skills!T23/10)*($Z$3/1000)/100,1)</f>
        <v/>
      </c>
      <c r="J931" t="inlineStr"/>
      <c r="K931" t="inlineStr"/>
      <c r="L931" t="inlineStr"/>
      <c r="M931" t="inlineStr"/>
      <c r="N931" t="inlineStr"/>
      <c r="O931">
        <f>(1-Summary!$B$11)*S931+Summary!$B$11*U931</f>
        <v/>
      </c>
      <c r="P931">
        <f>IF(B950=0,0,O931/B950)</f>
        <v/>
      </c>
      <c r="Q931">
        <f>IFERROR(1/(IF(Inputs!$B$39="pvp",15,MAX(0.1,Skills!D23-IF(Skills!E23=TRUE,Inputs!$B$33,0)))*(1-IF(AND(ArtifactsInput!$M$27,Inputs!$B$4="Chapter Hunt"),CHOOSE(ArtifactsInput!$N$27+1,20,24,28,32,36,40),0)/100)),0)</f>
        <v/>
      </c>
      <c r="R931" t="n">
        <v>0</v>
      </c>
      <c r="S931" t="n">
        <v>0</v>
      </c>
      <c r="U931" t="n">
        <v>0</v>
      </c>
    </row>
    <row r="932">
      <c r="A932">
        <f>Skills!A24</f>
        <v/>
      </c>
      <c r="B932">
        <f>Skills!B24</f>
        <v/>
      </c>
      <c r="C932">
        <f>Inputs!$B$3&gt;=74</f>
        <v/>
      </c>
      <c r="D932">
        <f>IF(Skills!C24=1,60+Inputs!$B$26+Inputs!$B$30,IF(Skills!C24=2,90+Inputs!$B$27+Inputs!$B$30,IF(Skills!C24=3,120+(Inputs!$B$28+1)+Inputs!$B$30,MAX(0,(Inputs!$B$3-100)*3)+Inputs!$B$29+Inputs!$B$30)))</f>
        <v/>
      </c>
      <c r="E932">
        <f>INDEX(FactorTable!$B$2:$Y$301, MATCH(ROUND(MIN(300,MAX(1,D932)),0), FactorTable!$A$2:$A$301,0), Skills!L24+1)</f>
        <v/>
      </c>
      <c r="F932">
        <f>IF(Skills!M24=TRUE,(Skills!K24/10)*(E932/1000),Skills!K24/10)+Skills!N24</f>
        <v/>
      </c>
      <c r="G932">
        <f>Calc!G24</f>
        <v/>
      </c>
      <c r="H932">
        <f>Calc!H24</f>
        <v/>
      </c>
      <c r="I932">
        <f>IF(Skills!T24&lt;&gt;"",1+(Skills!T24/10)*($Z$3/1000)/100,1)</f>
        <v/>
      </c>
      <c r="J932" t="inlineStr"/>
      <c r="K932" t="inlineStr"/>
      <c r="L932" t="inlineStr"/>
      <c r="M932" t="inlineStr"/>
      <c r="N932" t="inlineStr"/>
      <c r="O932">
        <f>(1-Summary!$B$11)*S932+Summary!$B$11*U932</f>
        <v/>
      </c>
      <c r="P932">
        <f>IF(B950=0,0,O932/B950)</f>
        <v/>
      </c>
      <c r="Q932">
        <f>IFERROR(1/(IF(Inputs!$B$39="pvp",15,MAX(0.1,Skills!D24-IF(Skills!E24=TRUE,Inputs!$B$33,0)))*(1-IF(AND(ArtifactsInput!$M$27,Inputs!$B$4="Chapter Hunt"),CHOOSE(ArtifactsInput!$N$27+1,20,24,28,32,36,40),0)/100)),0)</f>
        <v/>
      </c>
      <c r="R932" t="n">
        <v>0</v>
      </c>
      <c r="S932" t="n">
        <v>0</v>
      </c>
      <c r="U932" t="n">
        <v>0</v>
      </c>
    </row>
    <row r="933">
      <c r="A933">
        <f>Skills!A25</f>
        <v/>
      </c>
      <c r="B933">
        <f>Skills!B25</f>
        <v/>
      </c>
      <c r="C933">
        <f>Inputs!$B$3&gt;=74</f>
        <v/>
      </c>
      <c r="D933">
        <f>IF(Skills!C25=1,60+Inputs!$B$26+Inputs!$B$30,IF(Skills!C25=2,90+Inputs!$B$27+Inputs!$B$30,IF(Skills!C25=3,120+(Inputs!$B$28+1)+Inputs!$B$30,MAX(0,(Inputs!$B$3-100)*3)+Inputs!$B$29+Inputs!$B$30)))</f>
        <v/>
      </c>
      <c r="E933">
        <f>INDEX(FactorTable!$B$2:$Y$301, MATCH(ROUND(MIN(300,MAX(1,D933)),0), FactorTable!$A$2:$A$301,0), Skills!L25+1)</f>
        <v/>
      </c>
      <c r="F933">
        <f>IF(Skills!M25=TRUE,(Skills!K25/10)*(E933/1000),Skills!K25/10)+Skills!N25</f>
        <v/>
      </c>
      <c r="G933">
        <f>Calc!G25</f>
        <v/>
      </c>
      <c r="H933">
        <f>Calc!H25</f>
        <v/>
      </c>
      <c r="I933">
        <f>IF(Skills!T25&lt;&gt;"",1+(Skills!T25/10)*($Z$3/1000)/100,1)</f>
        <v/>
      </c>
      <c r="J933" t="inlineStr"/>
      <c r="K933" t="inlineStr"/>
      <c r="L933" t="inlineStr"/>
      <c r="M933" t="inlineStr"/>
      <c r="N933" t="inlineStr"/>
      <c r="O933">
        <f>(1-Summary!$B$11)*S933+Summary!$B$11*U933</f>
        <v/>
      </c>
      <c r="P933">
        <f>IF(B950=0,0,O933/B950)</f>
        <v/>
      </c>
      <c r="Q933">
        <f>IFERROR(1/(IF(Inputs!$B$39="pvp",15,MAX(0.1,Skills!D25-IF(Skills!E25=TRUE,Inputs!$B$33,0)))*(1-IF(AND(ArtifactsInput!$M$27,Inputs!$B$4="Chapter Hunt"),CHOOSE(ArtifactsInput!$N$27+1,20,24,28,32,36,40),0)/100)),0)</f>
        <v/>
      </c>
      <c r="R933" t="n">
        <v>0</v>
      </c>
      <c r="S933" t="n">
        <v>0</v>
      </c>
      <c r="U933" t="n">
        <v>0</v>
      </c>
    </row>
    <row r="934">
      <c r="A934">
        <f>Skills!A26</f>
        <v/>
      </c>
      <c r="B934">
        <f>Skills!B26</f>
        <v/>
      </c>
      <c r="C934">
        <f>Inputs!$B$3&gt;=117</f>
        <v/>
      </c>
      <c r="D934">
        <f>IF(Skills!C26=1,60+Inputs!$B$26+Inputs!$B$30,IF(Skills!C26=2,90+Inputs!$B$27+Inputs!$B$30,IF(Skills!C26=3,120+(Inputs!$B$28+1)+Inputs!$B$30,MAX(0,(Inputs!$B$3-100)*3)+Inputs!$B$29+Inputs!$B$30)))</f>
        <v/>
      </c>
      <c r="E934">
        <f>INDEX(FactorTable!$B$2:$Y$301, MATCH(ROUND(MIN(300,MAX(1,D934)),0), FactorTable!$A$2:$A$301,0), Skills!L26+1)</f>
        <v/>
      </c>
      <c r="F934">
        <f>IF(Skills!M26=TRUE,(Skills!K26/10)*(E934/1000),Skills!K26/10)+Skills!N26</f>
        <v/>
      </c>
      <c r="G934">
        <f>Calc!G26</f>
        <v/>
      </c>
      <c r="H934">
        <f>Calc!H26</f>
        <v/>
      </c>
      <c r="I934">
        <f>IF(Skills!T26&lt;&gt;"",1+(Skills!T26/10)*($Z$3/1000)/100,1)</f>
        <v/>
      </c>
      <c r="J934" t="inlineStr"/>
      <c r="K934" t="inlineStr"/>
      <c r="L934" t="inlineStr"/>
      <c r="M934" t="inlineStr"/>
      <c r="N934" t="inlineStr"/>
      <c r="O934">
        <f>(1-Summary!$B$11)*S934+Summary!$B$11*U934</f>
        <v/>
      </c>
      <c r="P934">
        <f>IF(B950=0,0,O934/B950)</f>
        <v/>
      </c>
      <c r="Q934">
        <f>IFERROR(1/(IF(Inputs!$B$39="pvp",15,MAX(0.1,Skills!D26-IF(Skills!E26=TRUE,Inputs!$B$33,0)))*(1-IF(AND(ArtifactsInput!$M$27,Inputs!$B$4="Chapter Hunt"),CHOOSE(ArtifactsInput!$N$27+1,20,24,28,32,36,40),0)/100)),0)</f>
        <v/>
      </c>
      <c r="R934" t="n">
        <v>0</v>
      </c>
      <c r="S934" t="n">
        <v>0</v>
      </c>
      <c r="U934" t="n">
        <v>0</v>
      </c>
    </row>
    <row r="935">
      <c r="A935">
        <f>Skills!A27</f>
        <v/>
      </c>
      <c r="B935">
        <f>Skills!B27</f>
        <v/>
      </c>
      <c r="C935">
        <f>Inputs!$B$3&gt;=120</f>
        <v/>
      </c>
      <c r="D935">
        <f>IF(Skills!C27=1,60+Inputs!$B$26+Inputs!$B$30,IF(Skills!C27=2,90+Inputs!$B$27+Inputs!$B$30,IF(Skills!C27=3,120+(Inputs!$B$28+1)+Inputs!$B$30,MAX(0,(Inputs!$B$3-100)*3)+Inputs!$B$29+Inputs!$B$30)))</f>
        <v/>
      </c>
      <c r="E935">
        <f>INDEX(FactorTable!$B$2:$Y$301, MATCH(ROUND(MIN(300,MAX(1,D935)),0), FactorTable!$A$2:$A$301,0), Skills!L27+1)</f>
        <v/>
      </c>
      <c r="F935">
        <f>IF(Skills!M27=TRUE,(Skills!K27/10)*(E935/1000),Skills!K27/10)+Skills!N27</f>
        <v/>
      </c>
      <c r="G935">
        <f>Calc!G27</f>
        <v/>
      </c>
      <c r="H935">
        <f>Calc!H27</f>
        <v/>
      </c>
      <c r="I935">
        <f>IF(Skills!T27&lt;&gt;"",1+(Skills!T27/10)*($Z$3/1000)/100,1)</f>
        <v/>
      </c>
      <c r="J935" t="inlineStr"/>
      <c r="K935" t="inlineStr"/>
      <c r="L935" t="inlineStr"/>
      <c r="M935" t="inlineStr"/>
      <c r="N935" t="inlineStr"/>
      <c r="O935">
        <f>(1-Summary!$B$11)*S935+Summary!$B$11*U935</f>
        <v/>
      </c>
      <c r="P935">
        <f>IF(B950=0,0,O935/B950)</f>
        <v/>
      </c>
      <c r="Q935">
        <f>IFERROR(1/(IF(Inputs!$B$39="pvp",15,MAX(0.1,Skills!D27-IF(Skills!E27=TRUE,Inputs!$B$33,0)))*(1-IF(AND(ArtifactsInput!$M$27,Inputs!$B$4="Chapter Hunt"),CHOOSE(ArtifactsInput!$N$27+1,20,24,28,32,36,40),0)/100)),0)</f>
        <v/>
      </c>
      <c r="R935" t="n">
        <v>0</v>
      </c>
      <c r="S935" t="n">
        <v>0</v>
      </c>
      <c r="U935" t="n">
        <v>0</v>
      </c>
    </row>
    <row r="937">
      <c r="A937" t="inlineStr">
        <is>
          <t>Average Buff Multiplier</t>
        </is>
      </c>
      <c r="B937">
        <f>(1+(IF(C911=TRUE,F911*IF(AND(Inputs!$B$39&lt;&gt;"pvp",Inputs!$B$44&gt;0),(((R911-1)*(Skills!S3*(1+((Inputs!$B$35+(ArtifactsInput!$M$7-ArtifactsInput!$M$7)*CHOOSE(ArtifactsInput!$N$7+1,6,7.2,8.4,9.6,10.8,12))+IF(Inputs!$B$3&gt;=117,F934,0))/100))+MIN((Skills!S3*(1+((Inputs!$B$35+(ArtifactsInput!$M$7-ArtifactsInput!$M$7)*CHOOSE(ArtifactsInput!$N$7+1,6,7.2,8.4,9.6,10.8,12))+IF(Inputs!$B$3&gt;=117,F934,0))/100)),MAX(0,Inputs!$B$44-((R911-1)*Skills!D3))))/Inputs!$B$44),IF(Inputs!$B$39="pvp",MIN((Skills!S3*(1+((Inputs!$B$35+(ArtifactsInput!$M$7-ArtifactsInput!$M$7)*CHOOSE(ArtifactsInput!$N$7+1,6,7.2,8.4,9.6,10.8,12))+IF(Inputs!$B$3&gt;=117,F934,0))/100)),15)/15,(Skills!S3*(1+((Inputs!$B$35+(ArtifactsInput!$M$7-ArtifactsInput!$M$7)*CHOOSE(ArtifactsInput!$N$7+1,6,7.2,8.4,9.6,10.8,12))+IF(Inputs!$B$3&gt;=117,F934,0))/100))/Skills!D3)),0)+IF(C912=TRUE,F912*IF(AND(Inputs!$B$39&lt;&gt;"pvp",Inputs!$B$44&gt;0),(((R912-1)*(Skills!S4*(1+((Inputs!$B$35+(ArtifactsInput!$M$7-ArtifactsInput!$M$7)*CHOOSE(ArtifactsInput!$N$7+1,6,7.2,8.4,9.6,10.8,12))+IF(Inputs!$B$3&gt;=117,F934,0))/100))+MIN((Skills!S4*(1+((Inputs!$B$35+(ArtifactsInput!$M$7-ArtifactsInput!$M$7)*CHOOSE(ArtifactsInput!$N$7+1,6,7.2,8.4,9.6,10.8,12))+IF(Inputs!$B$3&gt;=117,F934,0))/100)),MAX(0,Inputs!$B$44-((R912-1)*Skills!D4))))/Inputs!$B$44),IF(Inputs!$B$39="pvp",MIN((Skills!S4*(1+((Inputs!$B$35+(ArtifactsInput!$M$7-ArtifactsInput!$M$7)*CHOOSE(ArtifactsInput!$N$7+1,6,7.2,8.4,9.6,10.8,12))+IF(Inputs!$B$3&gt;=117,F934,0))/100)),15)/15,(Skills!S4*(1+((Inputs!$B$35+(ArtifactsInput!$M$7-ArtifactsInput!$M$7)*CHOOSE(ArtifactsInput!$N$7+1,6,7.2,8.4,9.6,10.8,12))+IF(Inputs!$B$3&gt;=117,F934,0))/100))/Skills!D4)),0)+IF(C913=TRUE,F913*IF(AND(Inputs!$B$39&lt;&gt;"pvp",Inputs!$B$44&gt;0),(((R913-1)*(Skills!S5*(1+((Inputs!$B$35+(ArtifactsInput!$M$7-ArtifactsInput!$M$7)*CHOOSE(ArtifactsInput!$N$7+1,6,7.2,8.4,9.6,10.8,12))+IF(Inputs!$B$3&gt;=117,F934,0))/100))+MIN((Skills!S5*(1+((Inputs!$B$35+(ArtifactsInput!$M$7-ArtifactsInput!$M$7)*CHOOSE(ArtifactsInput!$N$7+1,6,7.2,8.4,9.6,10.8,12))+IF(Inputs!$B$3&gt;=117,F934,0))/100)),MAX(0,Inputs!$B$44-((R913-1)*Skills!D5))))/Inputs!$B$44),IF(Inputs!$B$39="pvp",MIN((Skills!S5*(1+((Inputs!$B$35+(ArtifactsInput!$M$7-ArtifactsInput!$M$7)*CHOOSE(ArtifactsInput!$N$7+1,6,7.2,8.4,9.6,10.8,12))+IF(Inputs!$B$3&gt;=117,F934,0))/100)),15)/15,(Skills!S5*(1+((Inputs!$B$35+(ArtifactsInput!$M$7-ArtifactsInput!$M$7)*CHOOSE(ArtifactsInput!$N$7+1,6,7.2,8.4,9.6,10.8,12))+IF(Inputs!$B$3&gt;=117,F934,0))/100))/Skills!D5)),0)+IF(C919=TRUE,F919*IF(AND(Inputs!$B$39&lt;&gt;"pvp",Inputs!$B$44&gt;0),(((R919-1)*(Skills!S11*(1+((Inputs!$B$35+(ArtifactsInput!$M$7-ArtifactsInput!$M$7)*CHOOSE(ArtifactsInput!$N$7+1,6,7.2,8.4,9.6,10.8,12))+IF(Inputs!$B$3&gt;=117,F934,0))/100))+MIN((Skills!S11*(1+((Inputs!$B$35+(ArtifactsInput!$M$7-ArtifactsInput!$M$7)*CHOOSE(ArtifactsInput!$N$7+1,6,7.2,8.4,9.6,10.8,12))+IF(Inputs!$B$3&gt;=117,F934,0))/100)),MAX(0,Inputs!$B$44-((R919-1)*Skills!D11))))/Inputs!$B$44),IF(Inputs!$B$39="pvp",MIN((Skills!S11*(1+((Inputs!$B$35+(ArtifactsInput!$M$7-ArtifactsInput!$M$7)*CHOOSE(ArtifactsInput!$N$7+1,6,7.2,8.4,9.6,10.8,12))+IF(Inputs!$B$3&gt;=117,F934,0))/100)),15)/15,(Skills!S11*(1+((Inputs!$B$35+(ArtifactsInput!$M$7-ArtifactsInput!$M$7)*CHOOSE(ArtifactsInput!$N$7+1,6,7.2,8.4,9.6,10.8,12))+IF(Inputs!$B$3&gt;=117,F934,0)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922=TRUE,(1+F922*IF(AND(Inputs!$B$39&lt;&gt;"pvp",Inputs!$B$44&gt;0),(((R922-1)*(Skills!S14*(1+((Inputs!$B$35+(ArtifactsInput!$M$7-ArtifactsInput!$M$7)*CHOOSE(ArtifactsInput!$N$7+1,6,7.2,8.4,9.6,10.8,12))+IF(Inputs!$B$3&gt;=117,F934,0))/100))+MIN((Skills!S14*(1+((Inputs!$B$35+(ArtifactsInput!$M$7-ArtifactsInput!$M$7)*CHOOSE(ArtifactsInput!$N$7+1,6,7.2,8.4,9.6,10.8,12))+IF(Inputs!$B$3&gt;=117,F934,0))/100)),MAX(0,Inputs!$B$44-((R922-1)*Skills!D14))))/Inputs!$B$44),IF(Inputs!$B$39="pvp",MIN((Skills!S14*(1+((Inputs!$B$35+(ArtifactsInput!$M$7-ArtifactsInput!$M$7)*CHOOSE(ArtifactsInput!$N$7+1,6,7.2,8.4,9.6,10.8,12))+IF(Inputs!$B$3&gt;=117,F934,0))/100)),15)/15,(Skills!S14*(1+((Inputs!$B$35+(ArtifactsInput!$M$7-ArtifactsInput!$M$7)*CHOOSE(ArtifactsInput!$N$7+1,6,7.2,8.4,9.6,10.8,12))+IF(Inputs!$B$3&gt;=117,F934,0))/100))/Skills!D14))/100),1)*IF(C927=TRUE,(1+F927*IF(AND(Inputs!$B$39&lt;&gt;"pvp",Inputs!$B$44&gt;0),(((R927-1)*(Skills!S19*(1+((Inputs!$B$35+(ArtifactsInput!$M$7-ArtifactsInput!$M$7)*CHOOSE(ArtifactsInput!$N$7+1,6,7.2,8.4,9.6,10.8,12))+IF(Inputs!$B$3&gt;=117,F934,0))/100))+MIN((Skills!S19*(1+((Inputs!$B$35+(ArtifactsInput!$M$7-ArtifactsInput!$M$7)*CHOOSE(ArtifactsInput!$N$7+1,6,7.2,8.4,9.6,10.8,12))+IF(Inputs!$B$3&gt;=117,F934,0))/100)),MAX(0,Inputs!$B$44-((R927-1)*Skills!D19))))/Inputs!$B$44),IF(Inputs!$B$39="pvp",MIN((Skills!S19*(1+((Inputs!$B$35+(ArtifactsInput!$M$7-ArtifactsInput!$M$7)*CHOOSE(ArtifactsInput!$N$7+1,6,7.2,8.4,9.6,10.8,12))+IF(Inputs!$B$3&gt;=117,F934,0))/100)),15)/15,(Skills!S19*(1+((Inputs!$B$35+(ArtifactsInput!$M$7-ArtifactsInput!$M$7)*CHOOSE(ArtifactsInput!$N$7+1,6,7.2,8.4,9.6,10.8,12))+IF(Inputs!$B$3&gt;=117,F934,0))/100))/Skills!D19))/100),1)</f>
        <v/>
      </c>
    </row>
    <row r="938">
      <c r="A938" t="inlineStr">
        <is>
          <t>Monster Damage Taken Bonus % (Holy Fountain)</t>
        </is>
      </c>
      <c r="B938">
        <f>IF(Inputs!$B$3&gt;=68,20*IF(Inputs!$B$39="pvp",MIN((15*(1+((Inputs!$B$35+(ArtifactsInput!$M$7-ArtifactsInput!$M$7)*CHOOSE(ArtifactsInput!$N$7+1,6,7.2,8.4,9.6,10.8,12))+IF(Inputs!$B$3&gt;=117,F934,0))/100)),15)/15,(15*(1+((Inputs!$B$35+(ArtifactsInput!$M$7-ArtifactsInput!$M$7)*CHOOSE(ArtifactsInput!$N$7+1,6,7.2,8.4,9.6,10.8,12))+IF(Inputs!$B$3&gt;=117,F934,0))/100))/Skills!D10),0)</f>
        <v/>
      </c>
    </row>
    <row r="939">
      <c r="A939" t="inlineStr">
        <is>
          <t>Normal Monster Damage Bonus % (Holy Symbol)</t>
        </is>
      </c>
      <c r="B939">
        <f>IF(C920=TRUE,F920*IF(AND(Inputs!$B$39&lt;&gt;"pvp",Inputs!$B$44&gt;0),(((R920-1)*(Skills!S12*(1+((Inputs!$B$35+(ArtifactsInput!$M$7-ArtifactsInput!$M$7)*CHOOSE(ArtifactsInput!$N$7+1,6,7.2,8.4,9.6,10.8,12))+IF(Inputs!$B$3&gt;=117,F934,0))/100))+MIN((Skills!S12*(1+((Inputs!$B$35+(ArtifactsInput!$M$7-ArtifactsInput!$M$7)*CHOOSE(ArtifactsInput!$N$7+1,6,7.2,8.4,9.6,10.8,12))+IF(Inputs!$B$3&gt;=117,F934,0))/100)),MAX(0,Inputs!$B$44-((R920-1)*Skills!D12))))/Inputs!$B$44),IF(Inputs!$B$39="pvp",MIN((Skills!S12*(1+((Inputs!$B$35+(ArtifactsInput!$M$7-ArtifactsInput!$M$7)*CHOOSE(ArtifactsInput!$N$7+1,6,7.2,8.4,9.6,10.8,12))+IF(Inputs!$B$3&gt;=117,F934,0))/100)),15)/15,(Skills!S12*(1+((Inputs!$B$35+(ArtifactsInput!$M$7-ArtifactsInput!$M$7)*CHOOSE(ArtifactsInput!$N$7+1,6,7.2,8.4,9.6,10.8,12))+IF(Inputs!$B$3&gt;=117,F934,0))/100))/Skills!D12)),0)</f>
        <v/>
      </c>
    </row>
    <row r="940">
      <c r="A940" t="inlineStr">
        <is>
          <t>Damage % Bonus (Holy Symbol - Damage Boost)</t>
        </is>
      </c>
      <c r="B940">
        <f>Skills!O12</f>
        <v/>
      </c>
    </row>
    <row r="941">
      <c r="A941" t="inlineStr">
        <is>
          <t>Crit Damage % Bonus (Blood of the Divine)</t>
        </is>
      </c>
      <c r="B941">
        <f>4*IF(C928=TRUE,F928,0)</f>
        <v/>
      </c>
    </row>
    <row r="942">
      <c r="A942" t="inlineStr">
        <is>
          <t>Attack Speed Bonus %</t>
        </is>
      </c>
      <c r="B942">
        <f>IF(C925=TRUE,F925+(F929-Calc!F21),0)+IF(Inputs!$B$3&gt;=134,15,0)</f>
        <v/>
      </c>
    </row>
    <row r="943">
      <c r="A943" t="inlineStr">
        <is>
          <t>Actions Per Second</t>
        </is>
      </c>
      <c r="B943">
        <f>1+MIN(150,150*(1-(1-Inputs!$B$12/150)*(1-B942/150)))/100</f>
        <v/>
      </c>
    </row>
    <row r="944">
      <c r="A944" t="inlineStr">
        <is>
          <t>Skill + Buff Cast Rate</t>
        </is>
      </c>
      <c r="B944">
        <f>IF(AND(Inputs!$B$39&lt;&gt;"pvp",Inputs!$B$44&gt;0),SUMPRODUCT((Skills!E2:E27=TRUE)*(C910:C935=TRUE)*R910:R935)/Inputs!$B$44,SUMPRODUCT((Skills!E2:E27=TRUE)*(C910:C935=TRUE)*Q910:Q935))</f>
        <v/>
      </c>
    </row>
    <row r="945">
      <c r="A945" t="inlineStr">
        <is>
          <t>Big Bang Casts Per Second</t>
        </is>
      </c>
      <c r="B945">
        <f>MAX(0,B943-B944)</f>
        <v/>
      </c>
    </row>
    <row r="946">
      <c r="A946" t="inlineStr">
        <is>
          <t>Defense % Bonus (Divine Protection)</t>
        </is>
      </c>
      <c r="B946">
        <f>IF(C921=TRUE,F921*IF(AND(Inputs!$B$39&lt;&gt;"pvp",Inputs!$B$44&gt;0),(((R921-1)*(Skills!S13*(1+((Inputs!$B$35+(ArtifactsInput!$M$7-ArtifactsInput!$M$7)*CHOOSE(ArtifactsInput!$N$7+1,6,7.2,8.4,9.6,10.8,12))+IF(Inputs!$B$3&gt;=117,F934,0))/100))+MIN((Skills!S13*(1+((Inputs!$B$35+(ArtifactsInput!$M$7-ArtifactsInput!$M$7)*CHOOSE(ArtifactsInput!$N$7+1,6,7.2,8.4,9.6,10.8,12))+IF(Inputs!$B$3&gt;=117,F934,0))/100)),MAX(0,Inputs!$B$44-((R921-1)*Skills!D13))))/Inputs!$B$44),IF(Inputs!$B$39="pvp",MIN((Skills!S13*(1+((Inputs!$B$35+(ArtifactsInput!$M$7-ArtifactsInput!$M$7)*CHOOSE(ArtifactsInput!$N$7+1,6,7.2,8.4,9.6,10.8,12))+IF(Inputs!$B$3&gt;=117,F934,0))/100)),15)/15,(Skills!S13*(1+((Inputs!$B$35+(ArtifactsInput!$M$7-ArtifactsInput!$M$7)*CHOOSE(ArtifactsInput!$N$7+1,6,7.2,8.4,9.6,10.8,12))+IF(Inputs!$B$3&gt;=117,F934,0))/100))/Skills!D13)),0)</f>
        <v/>
      </c>
    </row>
    <row r="947">
      <c r="A947" t="inlineStr">
        <is>
          <t>Buff-Casting Startup Delay (s, fixed-duration only)</t>
        </is>
      </c>
      <c r="B947">
        <f>IF(AND(Inputs!$B$39&lt;&gt;"pvp",Inputs!$B$44&gt;0),SUMPRODUCT((Skills!S2:S27&gt;0)*(Skills!E2:E27=TRUE)*(C910:C935=TRUE))/B943,0)</f>
        <v/>
      </c>
    </row>
    <row r="948">
      <c r="A948" t="inlineStr">
        <is>
          <t>Boss-Only Total DPS (this block's swept value)</t>
        </is>
      </c>
      <c r="B948">
        <f>SUM(S910:S935)</f>
        <v/>
      </c>
    </row>
    <row r="949">
      <c r="A949" t="inlineStr">
        <is>
          <t>Normal-Only Total DPS (this block's swept value)</t>
        </is>
      </c>
      <c r="B949">
        <f>SUM(U910:U935)</f>
        <v/>
      </c>
    </row>
    <row r="950">
      <c r="A950" s="6" t="inlineStr">
        <is>
          <t>TOTAL DPS</t>
        </is>
      </c>
      <c r="B950" s="6">
        <f>SUM(O910:O935)</f>
        <v/>
      </c>
    </row>
    <row r="952">
      <c r="A952" s="6" t="inlineStr">
        <is>
          <t>Stat: Skill Level Bonus — 4th Job</t>
        </is>
      </c>
    </row>
    <row r="953">
      <c r="A953" s="5" t="inlineStr">
        <is>
          <t>Key</t>
        </is>
      </c>
      <c r="B953" s="5" t="inlineStr">
        <is>
          <t>Name</t>
        </is>
      </c>
      <c r="C953" s="5" t="inlineStr">
        <is>
          <t>Unlocked</t>
        </is>
      </c>
      <c r="D953" s="5" t="inlineStr">
        <is>
          <t>InputLevel</t>
        </is>
      </c>
      <c r="E953" s="5" t="inlineStr">
        <is>
          <t>Factor</t>
        </is>
      </c>
      <c r="F953" s="5" t="inlineStr">
        <is>
          <t>CoefficientPercent</t>
        </is>
      </c>
      <c r="G953" s="5" t="inlineStr">
        <is>
          <t>EffectiveHits</t>
        </is>
      </c>
      <c r="H953" s="5" t="inlineStr">
        <is>
          <t>ProcProbability</t>
        </is>
      </c>
      <c r="I953" s="5" t="inlineStr">
        <is>
          <t>MapleHeroMultiplier</t>
        </is>
      </c>
      <c r="J953" s="5" t="inlineStr">
        <is>
          <t>BaseDamage</t>
        </is>
      </c>
      <c r="K953" s="5" t="inlineStr">
        <is>
          <t>BaseHitDamage</t>
        </is>
      </c>
      <c r="L953" s="5" t="inlineStr">
        <is>
          <t>NonCritAvg</t>
        </is>
      </c>
      <c r="M953" s="5" t="inlineStr">
        <is>
          <t>CritAvg</t>
        </is>
      </c>
      <c r="N953" s="5" t="inlineStr">
        <is>
          <t>ExpectedDamage(perHit)</t>
        </is>
      </c>
      <c r="O953" s="5" t="inlineStr">
        <is>
          <t>DPS</t>
        </is>
      </c>
      <c r="P953" s="5" t="inlineStr">
        <is>
          <t>% of Total</t>
        </is>
      </c>
      <c r="R953" t="inlineStr">
        <is>
          <t>helpers</t>
        </is>
      </c>
    </row>
    <row r="954">
      <c r="A954">
        <f>Skills!A2</f>
        <v/>
      </c>
      <c r="B954">
        <f>Skills!B2</f>
        <v/>
      </c>
      <c r="C954">
        <f>Inputs!$B$3&gt;=100</f>
        <v/>
      </c>
      <c r="D954" t="inlineStr"/>
      <c r="E954" t="inlineStr"/>
      <c r="F954">
        <f>T956+Skills!N2</f>
        <v/>
      </c>
      <c r="G954">
        <f>Calc!G2</f>
        <v/>
      </c>
      <c r="H954">
        <f>Calc!H2</f>
        <v/>
      </c>
      <c r="I954">
        <f>IF(Skills!T2&lt;&gt;"",1+(Skills!T2/10)*($Z$3/1000)/100,1)</f>
        <v/>
      </c>
      <c r="J954">
        <f>((Inputs!$B$6*(1+Inputs!$B$7/100))+(((Inputs!$B$13*(1+Inputs!$B$14/100))-(Inputs!$B$13*(1+Inputs!$B$14/100)))+0.25*(Inputs!$B$15-Inputs!$B$15))*(1+Inputs!$B$7/100))*(F954/100)</f>
        <v/>
      </c>
      <c r="K954">
        <f>J954*(1+(((Inputs!$B$13+IF(Inputs!$B$3&gt;=35,(10*INDEX(FactorTable!$B$2:$Y$301,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2="TRIUMPH_FEATHER",IF(C968=TRUE,F968,0),0)/100)*(1+IF(C979=TRUE,F979,0)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954)</f>
        <v/>
      </c>
      <c r="L954">
        <f>K954*(MIN(Inputs!$B$23+(F974-Calc!F22),(Inputs!$B$24+IF(ArtifactsInput!$M$15,CHOOSE(ArtifactsInput!$N$15+1,25,30,35,40,45,50)/100*(Inputs!$B$12-Inputs!$B$12),0)))/100+(Inputs!$B$24+IF(ArtifactsInput!$M$15,CHOOSE(ArtifactsInput!$N$15+1,25,30,35,40,45,50)/100*(Inputs!$B$12-Inputs!$B$12),0))/100)/2</f>
        <v/>
      </c>
      <c r="M954">
        <f>L954*(1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54">
        <f>L954*(1-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954*(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4">
        <f>(1-Summary!$B$11)*S954+Summary!$B$11*U954</f>
        <v/>
      </c>
      <c r="P954">
        <f>IF(B994=0,0,O954/B994)</f>
        <v/>
      </c>
      <c r="Q954">
        <f>IFERROR(1/(IF(Inputs!$B$39="pvp",15,MAX(0.1,Skills!D2-IF(Skills!E2=TRUE,Inputs!$B$33,0)))*(1-IF(AND(ArtifactsInput!$M$27,Inputs!$B$4="Chapter Hunt"),CHOOSE(ArtifactsInput!$N$27+1,20,24,28,32,36,40),0)/100)),0)</f>
        <v/>
      </c>
      <c r="R954" t="n">
        <v>0</v>
      </c>
      <c r="S954">
        <f>IF(C954,(Skills!F2*N954*B989)*IF(Inputs!$B$39="pvp",1,1+(Inputs!$B$21+Skills!O2+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954*(1-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954*(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954*(1-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954*(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54">
        <f>MAX(0,(Inputs!$B$3-100)*3)+(Inputs!$B$29+1)+Inputs!$B$30</f>
        <v/>
      </c>
      <c r="U954">
        <f>IF(C954,(Skills!F2*N954*B989)*IF(Inputs!$B$39="pvp",1,(1+(Inputs!$B$22+Skills!P2+B983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5">
      <c r="A955">
        <f>Skills!A3</f>
        <v/>
      </c>
      <c r="B955">
        <f>Skills!B3</f>
        <v/>
      </c>
      <c r="C955">
        <f>Inputs!$B$3&gt;=15</f>
        <v/>
      </c>
      <c r="D955">
        <f>IF(Skills!C3=1,60+Inputs!$B$26+Inputs!$B$30,IF(Skills!C3=2,90+Inputs!$B$27+Inputs!$B$30,IF(Skills!C3=3,120+Inputs!$B$28+Inputs!$B$30,MAX(0,(Inputs!$B$3-100)*3)+(Inputs!$B$29+1)+Inputs!$B$30)))</f>
        <v/>
      </c>
      <c r="E955">
        <f>INDEX(FactorTable!$B$2:$Y$301, MATCH(ROUND(MIN(300,MAX(1,D955)),0), FactorTable!$A$2:$A$301,0), Skills!L3+1)</f>
        <v/>
      </c>
      <c r="F955">
        <f>IF(Skills!M3=TRUE,(Skills!K3/10)*(E955/1000),Skills!K3/10)+Skills!N3</f>
        <v/>
      </c>
      <c r="G955">
        <f>Calc!G3</f>
        <v/>
      </c>
      <c r="H955">
        <f>Calc!H3</f>
        <v/>
      </c>
      <c r="I955">
        <f>IF(Skills!T3&lt;&gt;"",1+(Skills!T3/10)*($Z$3/1000)/100,1)</f>
        <v/>
      </c>
      <c r="J955" t="inlineStr"/>
      <c r="K955" t="inlineStr"/>
      <c r="L955" t="inlineStr"/>
      <c r="M955" t="inlineStr"/>
      <c r="N955" t="inlineStr"/>
      <c r="O955">
        <f>(1-Summary!$B$11)*S955+Summary!$B$11*U955</f>
        <v/>
      </c>
      <c r="P955">
        <f>IF(B994=0,0,O955/B994)</f>
        <v/>
      </c>
      <c r="Q955">
        <f>IFERROR(1/(IF(Inputs!$B$39="pvp",15,MAX(0.1,Skills!D3-IF(Skills!E3=TRUE,Inputs!$B$33,0)))*(1-IF(AND(ArtifactsInput!$M$27,Inputs!$B$4="Chapter Hunt"),CHOOSE(ArtifactsInput!$N$27+1,20,24,28,32,36,40),0)/100)),0)</f>
        <v/>
      </c>
      <c r="R955">
        <f>IF(AND(Inputs!$B$39&lt;&gt;"pvp",Inputs!$B$44&gt;0),IF(Inputs!$B$44&lt;=0,0,(INT(Inputs!$B$44/(IF(Inputs!$B$39="pvp",15,MAX(0.1,Skills!D3-IF(Skills!E3=TRUE,Inputs!$B$33,0)))*(1-IF(AND(ArtifactsInput!$M$27,Inputs!$B$4="Chapter Hunt"),CHOOSE(ArtifactsInput!$N$27+1,20,24,28,32,36,40),0)/100)))+1)),0)</f>
        <v/>
      </c>
      <c r="S955" t="n">
        <v>0</v>
      </c>
      <c r="T955">
        <f>INDEX(FactorTable!$B$2:$Y$301, MATCH(ROUND(MIN(300,MAX(1,T954)),0), FactorTable!$A$2:$A$301,0), 22)</f>
        <v/>
      </c>
      <c r="U955" t="n">
        <v>0</v>
      </c>
    </row>
    <row r="956">
      <c r="A956">
        <f>Skills!A4</f>
        <v/>
      </c>
      <c r="B956">
        <f>Skills!B4</f>
        <v/>
      </c>
      <c r="C956">
        <f>Inputs!$B$3&gt;=38</f>
        <v/>
      </c>
      <c r="D956">
        <f>IF(Skills!C4=1,60+Inputs!$B$26+Inputs!$B$30,IF(Skills!C4=2,90+Inputs!$B$27+Inputs!$B$30,IF(Skills!C4=3,120+Inputs!$B$28+Inputs!$B$30,MAX(0,(Inputs!$B$3-100)*3)+(Inputs!$B$29+1)+Inputs!$B$30)))</f>
        <v/>
      </c>
      <c r="E956">
        <f>INDEX(FactorTable!$B$2:$Y$301, MATCH(ROUND(MIN(300,MAX(1,D956)),0), FactorTable!$A$2:$A$301,0), Skills!L4+1)</f>
        <v/>
      </c>
      <c r="F956">
        <f>IF(Skills!M4=TRUE,(Skills!K4/10)*(E956/1000),Skills!K4/10)+Skills!N4</f>
        <v/>
      </c>
      <c r="G956">
        <f>Calc!G4</f>
        <v/>
      </c>
      <c r="H956">
        <f>Calc!H4</f>
        <v/>
      </c>
      <c r="I956">
        <f>IF(Skills!T4&lt;&gt;"",1+(Skills!T4/10)*($Z$3/1000)/100,1)</f>
        <v/>
      </c>
      <c r="J956" t="inlineStr"/>
      <c r="K956" t="inlineStr"/>
      <c r="L956" t="inlineStr"/>
      <c r="M956" t="inlineStr"/>
      <c r="N956" t="inlineStr"/>
      <c r="O956">
        <f>(1-Summary!$B$11)*S956+Summary!$B$11*U956</f>
        <v/>
      </c>
      <c r="P956">
        <f>IF(B994=0,0,O956/B994)</f>
        <v/>
      </c>
      <c r="Q956">
        <f>IFERROR(1/(IF(Inputs!$B$39="pvp",15,MAX(0.1,Skills!D4-IF(Skills!E4=TRUE,Inputs!$B$33,0)))*(1-IF(AND(ArtifactsInput!$M$27,Inputs!$B$4="Chapter Hunt"),CHOOSE(ArtifactsInput!$N$27+1,20,24,28,32,36,40),0)/100)),0)</f>
        <v/>
      </c>
      <c r="R956">
        <f>IF(AND(Inputs!$B$39&lt;&gt;"pvp",Inputs!$B$44&gt;0),IF(Inputs!$B$44&lt;=0,0,(INT(Inputs!$B$44/(IF(Inputs!$B$39="pvp",15,MAX(0.1,Skills!D4-IF(Skills!E4=TRUE,Inputs!$B$33,0)))*(1-IF(AND(ArtifactsInput!$M$27,Inputs!$B$4="Chapter Hunt"),CHOOSE(ArtifactsInput!$N$27+1,20,24,28,32,36,40),0)/100)))+1)),0)</f>
        <v/>
      </c>
      <c r="S956" t="n">
        <v>0</v>
      </c>
      <c r="T956">
        <f>290*T955/1000</f>
        <v/>
      </c>
      <c r="U956" t="n">
        <v>0</v>
      </c>
    </row>
    <row r="957">
      <c r="A957">
        <f>Skills!A5</f>
        <v/>
      </c>
      <c r="B957">
        <f>Skills!B5</f>
        <v/>
      </c>
      <c r="C957">
        <f>Inputs!$B$3&gt;=40</f>
        <v/>
      </c>
      <c r="D957">
        <f>IF(Skills!C5=1,60+Inputs!$B$26+Inputs!$B$30,IF(Skills!C5=2,90+Inputs!$B$27+Inputs!$B$30,IF(Skills!C5=3,120+Inputs!$B$28+Inputs!$B$30,MAX(0,(Inputs!$B$3-100)*3)+(Inputs!$B$29+1)+Inputs!$B$30)))</f>
        <v/>
      </c>
      <c r="E957">
        <f>INDEX(FactorTable!$B$2:$Y$301, MATCH(ROUND(MIN(300,MAX(1,D957)),0), FactorTable!$A$2:$A$301,0), Skills!L5+1)</f>
        <v/>
      </c>
      <c r="F957">
        <f>IF(Skills!M5=TRUE,(Skills!K5/10)*(E957/1000),Skills!K5/10)+Skills!N5</f>
        <v/>
      </c>
      <c r="G957">
        <f>Calc!G5</f>
        <v/>
      </c>
      <c r="H957">
        <f>Calc!H5</f>
        <v/>
      </c>
      <c r="I957">
        <f>IF(Skills!T5&lt;&gt;"",1+(Skills!T5/10)*($Z$3/1000)/100,1)</f>
        <v/>
      </c>
      <c r="J957" t="inlineStr"/>
      <c r="K957" t="inlineStr"/>
      <c r="L957" t="inlineStr"/>
      <c r="M957" t="inlineStr"/>
      <c r="N957" t="inlineStr"/>
      <c r="O957">
        <f>(1-Summary!$B$11)*S957+Summary!$B$11*U957</f>
        <v/>
      </c>
      <c r="P957">
        <f>IF(B994=0,0,O957/B994)</f>
        <v/>
      </c>
      <c r="Q957">
        <f>IFERROR(1/(IF(Inputs!$B$39="pvp",15,MAX(0.1,Skills!D5-IF(Skills!E5=TRUE,Inputs!$B$33,0)))*(1-IF(AND(ArtifactsInput!$M$27,Inputs!$B$4="Chapter Hunt"),CHOOSE(ArtifactsInput!$N$27+1,20,24,28,32,36,40),0)/100)),0)</f>
        <v/>
      </c>
      <c r="R957">
        <f>IF(AND(Inputs!$B$39&lt;&gt;"pvp",Inputs!$B$44&gt;0),IF(Inputs!$B$44&lt;=0,0,(INT(Inputs!$B$44/(IF(Inputs!$B$39="pvp",15,MAX(0.1,Skills!D5-IF(Skills!E5=TRUE,Inputs!$B$33,0)))*(1-IF(AND(ArtifactsInput!$M$27,Inputs!$B$4="Chapter Hunt"),CHOOSE(ArtifactsInput!$N$27+1,20,24,28,32,36,40),0)/100)))+1)),0)</f>
        <v/>
      </c>
      <c r="S957" t="n">
        <v>0</v>
      </c>
      <c r="U957" t="n">
        <v>0</v>
      </c>
    </row>
    <row r="958">
      <c r="A958">
        <f>Skills!A6</f>
        <v/>
      </c>
      <c r="B958">
        <f>Skills!B6</f>
        <v/>
      </c>
      <c r="C958">
        <f>Inputs!$B$3&gt;=103</f>
        <v/>
      </c>
      <c r="D958">
        <f>IF(Skills!C6=1,60+Inputs!$B$26+Inputs!$B$30,IF(Skills!C6=2,90+Inputs!$B$27+Inputs!$B$30,IF(Skills!C6=3,120+Inputs!$B$28+Inputs!$B$30,MAX(0,(Inputs!$B$3-100)*3)+(Inputs!$B$29+1)+Inputs!$B$30)))</f>
        <v/>
      </c>
      <c r="E958">
        <f>INDEX(FactorTable!$B$2:$Y$301, MATCH(ROUND(MIN(300,MAX(1,D958)),0), FactorTable!$A$2:$A$301,0), Skills!L6+1)</f>
        <v/>
      </c>
      <c r="F958">
        <f>IF(Skills!M6=TRUE,(Skills!K6/10)*(E958/1000),Skills!K6/10)+Skills!N6</f>
        <v/>
      </c>
      <c r="G958">
        <f>Calc!G6</f>
        <v/>
      </c>
      <c r="H958">
        <f>Calc!H6</f>
        <v/>
      </c>
      <c r="I958">
        <f>IF(Skills!T6&lt;&gt;"",1+(Skills!T6/10)*($Z$3/1000)/100,1)</f>
        <v/>
      </c>
      <c r="J958">
        <f>((Inputs!$B$6*(1+Inputs!$B$7/100))+(((Inputs!$B$13*(1+Inputs!$B$14/100))-(Inputs!$B$13*(1+Inputs!$B$14/100)))+0.25*(Inputs!$B$15-Inputs!$B$15))*(1+Inputs!$B$7/100))*(F958/100)</f>
        <v/>
      </c>
      <c r="K958">
        <f>J958*(1+(((Inputs!$B$13+IF(Inputs!$B$3&gt;=35,(10*INDEX(FactorTable!$B$2:$Y$301,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6="TRIUMPH_FEATHER",IF(C968=TRUE,F968,0),0)/100)*(1+IF(C979=TRUE,F979,0)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958)</f>
        <v/>
      </c>
      <c r="L958">
        <f>K958*(MIN(Inputs!$B$23+(F974-Calc!F22),(Inputs!$B$24+IF(ArtifactsInput!$M$15,CHOOSE(ArtifactsInput!$N$15+1,25,30,35,40,45,50)/100*(Inputs!$B$12-Inputs!$B$12),0)))/100+(Inputs!$B$24+IF(ArtifactsInput!$M$15,CHOOSE(ArtifactsInput!$N$15+1,25,30,35,40,45,50)/100*(Inputs!$B$12-Inputs!$B$12),0))/100)/2</f>
        <v/>
      </c>
      <c r="M958">
        <f>L958*(1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58">
        <f>L958*(1-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(1-Summary!$B$11)*S958+Summary!$B$11*U958</f>
        <v/>
      </c>
      <c r="P958">
        <f>IF(B994=0,0,O958/B994)</f>
        <v/>
      </c>
      <c r="Q958">
        <f>IFERROR(1/(IF(Inputs!$B$39="pvp",15,MAX(0.1,Skills!D6-IF(Skills!E6=TRUE,Inputs!$B$33,0)))*(1-IF(AND(ArtifactsInput!$M$27,Inputs!$B$4="Chapter Hunt"),CHOOSE(ArtifactsInput!$N$27+1,20,24,28,32,36,40),0)/100)),0)</f>
        <v/>
      </c>
      <c r="R958">
        <f>IF(AND(Inputs!$B$39&lt;&gt;"pvp",Inputs!$B$44&gt;0),IF(MAX(0,Inputs!$B$44-B991)&lt;=0,0,(INT(MAX(0,Inputs!$B$44-B991)/(IF(Inputs!$B$39="pvp",15,MAX(0.1,Skills!D6-IF(Skills!E6=TRUE,Inputs!$B$33,0)))*(1-IF(AND(ArtifactsInput!$M$27,Inputs!$B$4="Chapter Hunt"),CHOOSE(ArtifactsInput!$N$27+1,20,24,28,32,36,40),0)/100)))+1)),0)</f>
        <v/>
      </c>
      <c r="S958">
        <f>IF(C958,(H958*N958*IF(AND(Inputs!$B$39&lt;&gt;"pvp",Inputs!$B$44&gt;0),((Skills!F6*((R958-1)*IF(Skills!G6&gt;0,Skills!H6/Skills!G6,1)+IF(Skills!G6&gt;0,MIN(Skills!H6,MAX(0,MAX(0,Inputs!$B$44-B991)-((R958-1)*(IF(Inputs!$B$39="pvp",15,MAX(0.1,Skills!D6-IF(Skills!E6=TRUE,Inputs!$B$33,0)))*(1-IF(AND(ArtifactsInput!$M$27,Inputs!$B$4="Chapter Hunt"),CHOOSE(ArtifactsInput!$N$27+1,20,24,28,32,36,40),0)/100)))))/Skills!G6,1)))/Inputs!$B$44),G958*Q958))*IF(Inputs!$B$39="pvp",1,1+(Inputs!$B$21+Skills!O6+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958*(1-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IF(C958,(H958*N958*IF(AND(Inputs!$B$39&lt;&gt;"pvp",Inputs!$B$44&gt;0),((Skills!F6*((R958-1)*IF(Skills!G6&gt;0,Skills!H6/Skills!G6,1)+IF(Skills!G6&gt;0,MIN(Skills!H6,MAX(0,MAX(0,Inputs!$B$44-B991)-((R958-1)*(IF(Inputs!$B$39="pvp",15,MAX(0.1,Skills!D6-IF(Skills!E6=TRUE,Inputs!$B$33,0)))*(1-IF(AND(ArtifactsInput!$M$27,Inputs!$B$4="Chapter Hunt"),CHOOSE(ArtifactsInput!$N$27+1,20,24,28,32,36,40),0)/100)))))/Skills!G6,1)))/Inputs!$B$44),G958*Q958))*IF(Inputs!$B$39="pvp",1,(1+(Inputs!$B$22+Skills!P6+B983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Skills!A7</f>
        <v/>
      </c>
      <c r="B959">
        <f>Skills!B7</f>
        <v/>
      </c>
      <c r="C959">
        <f>Inputs!$B$3&gt;=122</f>
        <v/>
      </c>
      <c r="D959">
        <f>IF(Skills!C7=1,60+Inputs!$B$26+Inputs!$B$30,IF(Skills!C7=2,90+Inputs!$B$27+Inputs!$B$30,IF(Skills!C7=3,120+Inputs!$B$28+Inputs!$B$30,MAX(0,(Inputs!$B$3-100)*3)+(Inputs!$B$29+1)+Inputs!$B$30)))</f>
        <v/>
      </c>
      <c r="E959">
        <f>INDEX(FactorTable!$B$2:$Y$301, MATCH(ROUND(MIN(300,MAX(1,D959)),0), FactorTable!$A$2:$A$301,0), Skills!L7+1)</f>
        <v/>
      </c>
      <c r="F959">
        <f>IF(Skills!M7=TRUE,(Skills!K7/10)*(E959/1000),Skills!K7/10)+Skills!N7</f>
        <v/>
      </c>
      <c r="G959">
        <f>Calc!G7</f>
        <v/>
      </c>
      <c r="H959">
        <f>Calc!H7</f>
        <v/>
      </c>
      <c r="I959">
        <f>IF(Skills!T7&lt;&gt;"",1+(Skills!T7/10)*($Z$3/1000)/100,1)</f>
        <v/>
      </c>
      <c r="J959">
        <f>((Inputs!$B$6*(1+Inputs!$B$7/100))+(((Inputs!$B$13*(1+Inputs!$B$14/100))-(Inputs!$B$13*(1+Inputs!$B$14/100)))+0.25*(Inputs!$B$15-Inputs!$B$15))*(1+Inputs!$B$7/100))*(F959/100)</f>
        <v/>
      </c>
      <c r="K959">
        <f>J959*(1+(((Inputs!$B$13+IF(Inputs!$B$3&gt;=35,(10*INDEX(FactorTable!$B$2:$Y$301,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7="TRIUMPH_FEATHER",IF(C968=TRUE,F968,0),0)/100)*(1+IF(C979=TRUE,F979,0)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959)</f>
        <v/>
      </c>
      <c r="L959">
        <f>K959*(MIN(Inputs!$B$23+(F974-Calc!F22),(Inputs!$B$24+IF(ArtifactsInput!$M$15,CHOOSE(ArtifactsInput!$N$15+1,25,30,35,40,45,50)/100*(Inputs!$B$12-Inputs!$B$12),0)))/100+(Inputs!$B$24+IF(ArtifactsInput!$M$15,CHOOSE(ArtifactsInput!$N$15+1,25,30,35,40,45,50)/100*(Inputs!$B$12-Inputs!$B$12),0))/100)/2</f>
        <v/>
      </c>
      <c r="M959">
        <f>L959*(1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59">
        <f>L959*(1-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(1-Summary!$B$11)*S959+Summary!$B$11*U959</f>
        <v/>
      </c>
      <c r="P959">
        <f>IF(B994=0,0,O959/B994)</f>
        <v/>
      </c>
      <c r="Q959">
        <f>IFERROR(1/(IF(Inputs!$B$39="pvp",15,MAX(0.1,Skills!D7-IF(Skills!E6=TRUE,Inputs!$B$33,0)))*(1-IF(AND(ArtifactsInput!$M$27,Inputs!$B$4="Chapter Hunt"),CHOOSE(ArtifactsInput!$N$27+1,20,24,28,32,36,40),0)/100)),0)</f>
        <v/>
      </c>
      <c r="R959">
        <f>IF(AND(Inputs!$B$39&lt;&gt;"pvp",Inputs!$B$44&gt;0),IF(MAX(0,Inputs!$B$44-B991)&lt;=0,0,(INT(MAX(0,Inputs!$B$44-B991)/(IF(Inputs!$B$39="pvp",15,MAX(0.1,Skills!D7-IF(Skills!E6=TRUE,Inputs!$B$33,0)))*(1-IF(AND(ArtifactsInput!$M$27,Inputs!$B$4="Chapter Hunt"),CHOOSE(ArtifactsInput!$N$27+1,20,24,28,32,36,40),0)/100)))+1)),0)</f>
        <v/>
      </c>
      <c r="S959">
        <f>IF(C959,H959*N959*IF(AND(Inputs!$B$39&lt;&gt;"pvp",Inputs!$B$44&gt;0),((Skills!F7*((R959-1)*IF(Skills!G7&gt;0,Skills!H7/Skills!G7,1)+IF(Skills!G7&gt;0,MIN(Skills!H7,MAX(0,MAX(0,Inputs!$B$44-B991)-((R959-1)*(IF(Inputs!$B$39="pvp",15,MAX(0.1,Skills!D7-IF(Skills!E6=TRUE,Inputs!$B$33,0)))*(1-IF(AND(ArtifactsInput!$M$27,Inputs!$B$4="Chapter Hunt"),CHOOSE(ArtifactsInput!$N$27+1,20,24,28,32,36,40),0)/100)))))/Skills!G7,1)))/Inputs!$B$44),G959*Q959)*IF(Inputs!$B$39="pvp",1,1+(Inputs!$B$21+Skills!O7+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959*(1-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t="n">
        <v>0</v>
      </c>
    </row>
    <row r="960">
      <c r="A960">
        <f>Skills!A8</f>
        <v/>
      </c>
      <c r="B960">
        <f>Skills!B8</f>
        <v/>
      </c>
      <c r="C960">
        <f>Inputs!$B$3&gt;=105</f>
        <v/>
      </c>
      <c r="D960">
        <f>IF(Skills!C8=1,60+Inputs!$B$26+Inputs!$B$30,IF(Skills!C8=2,90+Inputs!$B$27+Inputs!$B$30,IF(Skills!C8=3,120+Inputs!$B$28+Inputs!$B$30,MAX(0,(Inputs!$B$3-100)*3)+(Inputs!$B$29+1)+Inputs!$B$30)))</f>
        <v/>
      </c>
      <c r="E960">
        <f>INDEX(FactorTable!$B$2:$Y$301, MATCH(ROUND(MIN(300,MAX(1,D960)),0), FactorTable!$A$2:$A$301,0), Skills!L8+1)</f>
        <v/>
      </c>
      <c r="F960">
        <f>IF(Skills!M8=TRUE,(Skills!K8/10)*(E960/1000),Skills!K8/10)+Skills!N8</f>
        <v/>
      </c>
      <c r="G960">
        <f>Calc!G8</f>
        <v/>
      </c>
      <c r="H960">
        <f>Calc!H8</f>
        <v/>
      </c>
      <c r="I960">
        <f>IF(Skills!T8&lt;&gt;"",1+(Skills!T8/10)*($Z$3/1000)/100,1)</f>
        <v/>
      </c>
      <c r="J960">
        <f>((Inputs!$B$6*(1+Inputs!$B$7/100))+(((Inputs!$B$13*(1+Inputs!$B$14/100))-(Inputs!$B$13*(1+Inputs!$B$14/100)))+0.25*(Inputs!$B$15-Inputs!$B$15))*(1+Inputs!$B$7/100))*(F960/100)</f>
        <v/>
      </c>
      <c r="K960">
        <f>J960*(1+(((Inputs!$B$13+IF(Inputs!$B$3&gt;=35,(10*INDEX(FactorTable!$B$2:$Y$301,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8="TRIUMPH_FEATHER",IF(C968=TRUE,F968,0),0)/100)*(1+IF(C979=TRUE,F979,0)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960)</f>
        <v/>
      </c>
      <c r="L960">
        <f>K960*(MIN(Inputs!$B$23+(F974-Calc!F22),(Inputs!$B$24+IF(ArtifactsInput!$M$15,CHOOSE(ArtifactsInput!$N$15+1,25,30,35,40,45,50)/100*(Inputs!$B$12-Inputs!$B$12),0)))/100+(Inputs!$B$24+IF(ArtifactsInput!$M$15,CHOOSE(ArtifactsInput!$N$15+1,25,30,35,40,45,50)/100*(Inputs!$B$12-Inputs!$B$12),0))/100)/2</f>
        <v/>
      </c>
      <c r="M960">
        <f>L960*(1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60">
        <f>L960*(1-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(1-Summary!$B$11)*S960+Summary!$B$11*U960</f>
        <v/>
      </c>
      <c r="P960">
        <f>IF(B994=0,0,O960/B994)</f>
        <v/>
      </c>
      <c r="Q960">
        <f>IFERROR(1/(IF(Inputs!$B$39="pvp",15,MAX(0.1,Skills!D8-IF(Skills!E8=TRUE,Inputs!$B$33,0)))*(1-IF(AND(ArtifactsInput!$M$27,Inputs!$B$4="Chapter Hunt"),CHOOSE(ArtifactsInput!$N$27+1,20,24,28,32,36,40),0)/100)),0)</f>
        <v/>
      </c>
      <c r="R960">
        <f>IF(AND(Inputs!$B$39&lt;&gt;"pvp",Inputs!$B$44&gt;0),IF(MAX(0,Inputs!$B$44-B991)&lt;=0,0,(INT(MAX(0,Inputs!$B$44-B991)/(IF(Inputs!$B$39="pvp",15,MAX(0.1,Skills!D8-IF(Skills!E8=TRUE,Inputs!$B$33,0)))*(1-IF(AND(ArtifactsInput!$M$27,Inputs!$B$4="Chapter Hunt"),CHOOSE(ArtifactsInput!$N$27+1,20,24,28,32,36,40),0)/100)))+1)),0)</f>
        <v/>
      </c>
      <c r="S960">
        <f>IF(C960,(H960*N960*IF(AND(Inputs!$B$39&lt;&gt;"pvp",Inputs!$B$44&gt;0),((Skills!F8*((R960-1)*IF(Skills!G8&gt;0,Skills!H8/Skills!G8,1)+IF(Skills!G8&gt;0,MIN(Skills!H8,MAX(0,MAX(0,Inputs!$B$44-B991)-((R960-1)*(IF(Inputs!$B$39="pvp",15,MAX(0.1,Skills!D8-IF(Skills!E8=TRUE,Inputs!$B$33,0)))*(1-IF(AND(ArtifactsInput!$M$27,Inputs!$B$4="Chapter Hunt"),CHOOSE(ArtifactsInput!$N$27+1,20,24,28,32,36,40),0)/100)))))/Skills!G8,1)))/Inputs!$B$44),G960*Q960))*IF(Inputs!$B$39="pvp",1,1+(Inputs!$B$21+Skills!O8+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960*(1-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60">
        <f>IF(C960,(H960*N960*IF(AND(Inputs!$B$39&lt;&gt;"pvp",Inputs!$B$44&gt;0),((Skills!F8*((R960-1)*IF(Skills!G8&gt;0,Skills!H8/Skills!G8,1)+IF(Skills!G8&gt;0,MIN(Skills!H8,MAX(0,MAX(0,Inputs!$B$44-B991)-((R960-1)*(IF(Inputs!$B$39="pvp",15,MAX(0.1,Skills!D8-IF(Skills!E8=TRUE,Inputs!$B$33,0)))*(1-IF(AND(ArtifactsInput!$M$27,Inputs!$B$4="Chapter Hunt"),CHOOSE(ArtifactsInput!$N$27+1,20,24,28,32,36,40),0)/100)))))/Skills!G8,1)))/Inputs!$B$44),G960*Q960))*IF(Inputs!$B$39="pvp",1,(1+(Inputs!$B$22+Skills!P8+B983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Skills!A9</f>
        <v/>
      </c>
      <c r="B961">
        <f>Skills!B9</f>
        <v/>
      </c>
      <c r="C961">
        <f>Inputs!$B$3&gt;=115</f>
        <v/>
      </c>
      <c r="D961">
        <f>IF(Skills!C9=1,60+Inputs!$B$26+Inputs!$B$30,IF(Skills!C9=2,90+Inputs!$B$27+Inputs!$B$30,IF(Skills!C9=3,120+Inputs!$B$28+Inputs!$B$30,MAX(0,(Inputs!$B$3-100)*3)+(Inputs!$B$29+1)+Inputs!$B$30)))</f>
        <v/>
      </c>
      <c r="E961">
        <f>INDEX(FactorTable!$B$2:$Y$301, MATCH(ROUND(MIN(300,MAX(1,D961)),0), FactorTable!$A$2:$A$301,0), Skills!L9+1)</f>
        <v/>
      </c>
      <c r="F961">
        <f>IF(Skills!M9=TRUE,(Skills!K9/10)*(E961/1000),Skills!K9/10)+Skills!N9</f>
        <v/>
      </c>
      <c r="G961">
        <f>Calc!G9</f>
        <v/>
      </c>
      <c r="H961">
        <f>Calc!H9</f>
        <v/>
      </c>
      <c r="I961">
        <f>IF(Skills!T9&lt;&gt;"",1+(Skills!T9/10)*($Z$3/1000)/100,1)</f>
        <v/>
      </c>
      <c r="J961">
        <f>((Inputs!$B$6*(1+Inputs!$B$7/100))+(((Inputs!$B$13*(1+Inputs!$B$14/100))-(Inputs!$B$13*(1+Inputs!$B$14/100)))+0.25*(Inputs!$B$15-Inputs!$B$15))*(1+Inputs!$B$7/100))*(F961/100)</f>
        <v/>
      </c>
      <c r="K961">
        <f>J961*(1+(((Inputs!$B$13+IF(Inputs!$B$3&gt;=35,(10*INDEX(FactorTable!$B$2:$Y$301,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9="TRIUMPH_FEATHER",IF(C968=TRUE,F968,0),0)/100)*(1+IF(C979=TRUE,F979,0)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961)</f>
        <v/>
      </c>
      <c r="L961">
        <f>K961*(MIN(Inputs!$B$23+(F974-Calc!F22),(Inputs!$B$24+IF(ArtifactsInput!$M$15,CHOOSE(ArtifactsInput!$N$15+1,25,30,35,40,45,50)/100*(Inputs!$B$12-Inputs!$B$12),0)))/100+(Inputs!$B$24+IF(ArtifactsInput!$M$15,CHOOSE(ArtifactsInput!$N$15+1,25,30,35,40,45,50)/100*(Inputs!$B$12-Inputs!$B$12),0))/100)/2</f>
        <v/>
      </c>
      <c r="M961">
        <f>L961*(1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61">
        <f>L961*(1-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(1-Summary!$B$11)*S961+Summary!$B$11*U961</f>
        <v/>
      </c>
      <c r="P961">
        <f>IF(B994=0,0,O961/B994)</f>
        <v/>
      </c>
      <c r="Q961">
        <f>IFERROR(1/(IF(Inputs!$B$39="pvp",15,MAX(0.1,Skills!D9-IF(Skills!E9=TRUE,Inputs!$B$33,0)))*(1-IF(AND(ArtifactsInput!$M$27,Inputs!$B$4="Chapter Hunt"),CHOOSE(ArtifactsInput!$N$27+1,20,24,28,32,36,40),0)/100)),0)</f>
        <v/>
      </c>
      <c r="R961">
        <f>IF(AND(Inputs!$B$39&lt;&gt;"pvp",Inputs!$B$44&gt;0),IF(MAX(0,Inputs!$B$44-B991)&lt;=0,0,(INT(MAX(0,Inputs!$B$44-B991)/(IF(Inputs!$B$39="pvp",15,MAX(0.1,Skills!D9-IF(Skills!E9=TRUE,Inputs!$B$33,0)))*(1-IF(AND(ArtifactsInput!$M$27,Inputs!$B$4="Chapter Hunt"),CHOOSE(ArtifactsInput!$N$27+1,20,24,28,32,36,40),0)/100)))+1)),0)</f>
        <v/>
      </c>
      <c r="S961">
        <f>IF(C961,(H961*N961*IF(AND(Inputs!$B$39&lt;&gt;"pvp",Inputs!$B$44&gt;0),((Skills!F9*((R961-1)*IF(Skills!G9&gt;0,Skills!H9/Skills!G9,1)+IF(Skills!G9&gt;0,MIN(Skills!H9,MAX(0,MAX(0,Inputs!$B$44-B991)-((R961-1)*(IF(Inputs!$B$39="pvp",15,MAX(0.1,Skills!D9-IF(Skills!E9=TRUE,Inputs!$B$33,0)))*(1-IF(AND(ArtifactsInput!$M$27,Inputs!$B$4="Chapter Hunt"),CHOOSE(ArtifactsInput!$N$27+1,20,24,28,32,36,40),0)/100)))))/Skills!G9,1)))/Inputs!$B$44),G961*Q961))*IF(Inputs!$B$39="pvp",1,1+(Inputs!$B$21+Skills!O9+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961*(1-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61">
        <f>IF(C961,(H961*N961*IF(AND(Inputs!$B$39&lt;&gt;"pvp",Inputs!$B$44&gt;0),((Skills!F9*((R961-1)*IF(Skills!G9&gt;0,Skills!H9/Skills!G9,1)+IF(Skills!G9&gt;0,MIN(Skills!H9,MAX(0,MAX(0,Inputs!$B$44-B991)-((R961-1)*(IF(Inputs!$B$39="pvp",15,MAX(0.1,Skills!D9-IF(Skills!E9=TRUE,Inputs!$B$33,0)))*(1-IF(AND(ArtifactsInput!$M$27,Inputs!$B$4="Chapter Hunt"),CHOOSE(ArtifactsInput!$N$27+1,20,24,28,32,36,40),0)/100)))))/Skills!G9,1)))/Inputs!$B$44),G961*Q961))*IF(Inputs!$B$39="pvp",1,(1+(Inputs!$B$22+Skills!P9+B983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Skills!A10</f>
        <v/>
      </c>
      <c r="B962">
        <f>Skills!B10</f>
        <v/>
      </c>
      <c r="C962">
        <f>Inputs!$B$3&gt;=66</f>
        <v/>
      </c>
      <c r="D962">
        <f>IF(Skills!C10=1,60+Inputs!$B$26+Inputs!$B$30,IF(Skills!C10=2,90+Inputs!$B$27+Inputs!$B$30,IF(Skills!C10=3,120+Inputs!$B$28+Inputs!$B$30,MAX(0,(Inputs!$B$3-100)*3)+(Inputs!$B$29+1)+Inputs!$B$30)))</f>
        <v/>
      </c>
      <c r="E962">
        <f>INDEX(FactorTable!$B$2:$Y$301, MATCH(ROUND(MIN(300,MAX(1,D962)),0), FactorTable!$A$2:$A$301,0), Skills!L10+1)</f>
        <v/>
      </c>
      <c r="F962" t="n">
        <v>0</v>
      </c>
      <c r="G962">
        <f>Calc!G10</f>
        <v/>
      </c>
      <c r="H962">
        <f>Calc!H10</f>
        <v/>
      </c>
      <c r="I962">
        <f>IF(Skills!T10&lt;&gt;"",1+(Skills!T10/10)*($Z$3/1000)/100,1)</f>
        <v/>
      </c>
      <c r="J962" t="inlineStr"/>
      <c r="K962" t="inlineStr"/>
      <c r="L962" t="inlineStr"/>
      <c r="M962" t="inlineStr"/>
      <c r="N962" t="inlineStr"/>
      <c r="O962">
        <f>(1-Summary!$B$11)*S962+Summary!$B$11*U962</f>
        <v/>
      </c>
      <c r="P962">
        <f>IF(B994=0,0,O962/B994)</f>
        <v/>
      </c>
      <c r="Q962">
        <f>IFERROR(1/(IF(Inputs!$B$39="pvp",15,MAX(0.1,Skills!D10-IF(Skills!E10=TRUE,Inputs!$B$33,0)))*(1-IF(AND(ArtifactsInput!$M$27,Inputs!$B$4="Chapter Hunt"),CHOOSE(ArtifactsInput!$N$27+1,20,24,28,32,36,40),0)/100)),0)</f>
        <v/>
      </c>
      <c r="R962">
        <f>IF(AND(Inputs!$B$39&lt;&gt;"pvp",Inputs!$B$44&gt;0),IF(MAX(0,Inputs!$B$44-B991)&lt;=0,0,(INT(MAX(0,Inputs!$B$44-B991)/(IF(Inputs!$B$39="pvp",15,MAX(0.1,Skills!D10-IF(Skills!E10=TRUE,Inputs!$B$33,0)))*(1-IF(AND(ArtifactsInput!$M$27,Inputs!$B$4="Chapter Hunt"),CHOOSE(ArtifactsInput!$N$27+1,20,24,28,32,36,40),0)/100)))+1)),0)</f>
        <v/>
      </c>
      <c r="S962" t="n">
        <v>0</v>
      </c>
      <c r="U962" t="n">
        <v>0</v>
      </c>
    </row>
    <row r="963">
      <c r="A963">
        <f>Skills!A11</f>
        <v/>
      </c>
      <c r="B963">
        <f>Skills!B11</f>
        <v/>
      </c>
      <c r="C963">
        <f>Inputs!$B$3&gt;=69</f>
        <v/>
      </c>
      <c r="D963">
        <f>IF(Skills!C11=1,60+Inputs!$B$26+Inputs!$B$30,IF(Skills!C11=2,90+Inputs!$B$27+Inputs!$B$30,IF(Skills!C11=3,120+Inputs!$B$28+Inputs!$B$30,MAX(0,(Inputs!$B$3-100)*3)+(Inputs!$B$29+1)+Inputs!$B$30)))</f>
        <v/>
      </c>
      <c r="E963">
        <f>INDEX(FactorTable!$B$2:$Y$301, MATCH(ROUND(MIN(300,MAX(1,D963)),0), FactorTable!$A$2:$A$301,0), Skills!L11+1)</f>
        <v/>
      </c>
      <c r="F963">
        <f>IF(Skills!M11=TRUE,(Skills!K11/10)*(E963/1000),Skills!K11/10)+Skills!N11</f>
        <v/>
      </c>
      <c r="G963">
        <f>Calc!G11</f>
        <v/>
      </c>
      <c r="H963">
        <f>Calc!H11</f>
        <v/>
      </c>
      <c r="I963">
        <f>IF(Skills!T11&lt;&gt;"",1+(Skills!T11/10)*($Z$3/1000)/100,1)</f>
        <v/>
      </c>
      <c r="J963" t="inlineStr"/>
      <c r="K963" t="inlineStr"/>
      <c r="L963" t="inlineStr"/>
      <c r="M963" t="inlineStr"/>
      <c r="N963" t="inlineStr"/>
      <c r="O963">
        <f>(1-Summary!$B$11)*S963+Summary!$B$11*U963</f>
        <v/>
      </c>
      <c r="P963">
        <f>IF(B994=0,0,O963/B994)</f>
        <v/>
      </c>
      <c r="Q963">
        <f>IFERROR(1/(IF(Inputs!$B$39="pvp",15,MAX(0.1,Skills!D11-IF(Skills!E11=TRUE,Inputs!$B$33,0)))*(1-IF(AND(ArtifactsInput!$M$27,Inputs!$B$4="Chapter Hunt"),CHOOSE(ArtifactsInput!$N$27+1,20,24,28,32,36,40),0)/100)),0)</f>
        <v/>
      </c>
      <c r="R963">
        <f>IF(AND(Inputs!$B$39&lt;&gt;"pvp",Inputs!$B$44&gt;0),IF(Inputs!$B$44&lt;=0,0,(INT(Inputs!$B$44/(IF(Inputs!$B$39="pvp",15,MAX(0.1,Skills!D11-IF(Skills!E11=TRUE,Inputs!$B$33,0)))*(1-IF(AND(ArtifactsInput!$M$27,Inputs!$B$4="Chapter Hunt"),CHOOSE(ArtifactsInput!$N$27+1,20,24,28,32,36,40),0)/100)))+1)),0)</f>
        <v/>
      </c>
      <c r="S963" t="n">
        <v>0</v>
      </c>
      <c r="U963" t="n">
        <v>0</v>
      </c>
    </row>
    <row r="964">
      <c r="A964">
        <f>Skills!A12</f>
        <v/>
      </c>
      <c r="B964">
        <f>Skills!B12</f>
        <v/>
      </c>
      <c r="C964">
        <f>Inputs!$B$3&gt;=72</f>
        <v/>
      </c>
      <c r="D964">
        <f>IF(Skills!C12=1,60+Inputs!$B$26+Inputs!$B$30,IF(Skills!C12=2,90+Inputs!$B$27+Inputs!$B$30,IF(Skills!C12=3,120+Inputs!$B$28+Inputs!$B$30,MAX(0,(Inputs!$B$3-100)*3)+(Inputs!$B$29+1)+Inputs!$B$30)))</f>
        <v/>
      </c>
      <c r="E964">
        <f>INDEX(FactorTable!$B$2:$Y$301, MATCH(ROUND(MIN(300,MAX(1,D964)),0), FactorTable!$A$2:$A$301,0), Skills!L12+1)</f>
        <v/>
      </c>
      <c r="F964">
        <f>IF(Skills!M12=TRUE,(Skills!K12/10)*(E964/1000),Skills!K12/10)+Skills!N12</f>
        <v/>
      </c>
      <c r="G964">
        <f>Calc!G12</f>
        <v/>
      </c>
      <c r="H964">
        <f>Calc!H12</f>
        <v/>
      </c>
      <c r="I964">
        <f>IF(Skills!T12&lt;&gt;"",1+(Skills!T12/10)*($Z$3/1000)/100,1)</f>
        <v/>
      </c>
      <c r="J964" t="inlineStr"/>
      <c r="K964" t="inlineStr"/>
      <c r="L964" t="inlineStr"/>
      <c r="M964" t="inlineStr"/>
      <c r="N964" t="inlineStr"/>
      <c r="O964">
        <f>(1-Summary!$B$11)*S964+Summary!$B$11*U964</f>
        <v/>
      </c>
      <c r="P964">
        <f>IF(B994=0,0,O964/B994)</f>
        <v/>
      </c>
      <c r="Q964">
        <f>IFERROR(1/(IF(Inputs!$B$39="pvp",15,MAX(0.1,Skills!D12-IF(Skills!E12=TRUE,Inputs!$B$33,0)))*(1-IF(AND(ArtifactsInput!$M$27,Inputs!$B$4="Chapter Hunt"),CHOOSE(ArtifactsInput!$N$27+1,20,24,28,32,36,40),0)/100)),0)</f>
        <v/>
      </c>
      <c r="R964">
        <f>IF(AND(Inputs!$B$39&lt;&gt;"pvp",Inputs!$B$44&gt;0),IF(MAX(0,Inputs!$B$44-B991)&lt;=0,0,(INT(MAX(0,Inputs!$B$44-B991)/(IF(Inputs!$B$39="pvp",15,MAX(0.1,Skills!D12-IF(Skills!E12=TRUE,Inputs!$B$33,0)))*(1-IF(AND(ArtifactsInput!$M$27,Inputs!$B$4="Chapter Hunt"),CHOOSE(ArtifactsInput!$N$27+1,20,24,28,32,36,40),0)/100)))+1)),0)</f>
        <v/>
      </c>
      <c r="S964" t="n">
        <v>0</v>
      </c>
      <c r="U964" t="n">
        <v>0</v>
      </c>
    </row>
    <row r="965">
      <c r="A965">
        <f>Skills!A13</f>
        <v/>
      </c>
      <c r="B965">
        <f>Skills!B13</f>
        <v/>
      </c>
      <c r="C965">
        <f>Inputs!$B$3&gt;=60</f>
        <v/>
      </c>
      <c r="D965">
        <f>IF(Skills!C13=1,60+Inputs!$B$26+Inputs!$B$30,IF(Skills!C13=2,90+Inputs!$B$27+Inputs!$B$30,IF(Skills!C13=3,120+Inputs!$B$28+Inputs!$B$30,MAX(0,(Inputs!$B$3-100)*3)+(Inputs!$B$29+1)+Inputs!$B$30)))</f>
        <v/>
      </c>
      <c r="E965">
        <f>INDEX(FactorTable!$B$2:$Y$301, MATCH(ROUND(MIN(300,MAX(1,D965)),0), FactorTable!$A$2:$A$301,0), Skills!L13+1)</f>
        <v/>
      </c>
      <c r="F965">
        <f>IF(Skills!M13=TRUE,(Skills!K13/10)*(E965/1000),Skills!K13/10)+Skills!N13</f>
        <v/>
      </c>
      <c r="G965">
        <f>Calc!G13</f>
        <v/>
      </c>
      <c r="H965">
        <f>Calc!H13</f>
        <v/>
      </c>
      <c r="I965">
        <f>IF(Skills!T13&lt;&gt;"",1+(Skills!T13/10)*($Z$3/1000)/100,1)</f>
        <v/>
      </c>
      <c r="J965" t="inlineStr"/>
      <c r="K965" t="inlineStr"/>
      <c r="L965" t="inlineStr"/>
      <c r="M965" t="inlineStr"/>
      <c r="N965" t="inlineStr"/>
      <c r="O965">
        <f>(1-Summary!$B$11)*S965+Summary!$B$11*U965</f>
        <v/>
      </c>
      <c r="P965">
        <f>IF(B994=0,0,O965/B994)</f>
        <v/>
      </c>
      <c r="Q965">
        <f>IFERROR(1/(IF(Inputs!$B$39="pvp",15,MAX(0.1,Skills!D13-IF(Skills!E13=TRUE,Inputs!$B$33,0)))*(1-IF(AND(ArtifactsInput!$M$27,Inputs!$B$4="Chapter Hunt"),CHOOSE(ArtifactsInput!$N$27+1,20,24,28,32,36,40),0)/100)),0)</f>
        <v/>
      </c>
      <c r="R965">
        <f>IF(AND(Inputs!$B$39&lt;&gt;"pvp",Inputs!$B$44&gt;0),IF(MAX(0,Inputs!$B$44-B991)&lt;=0,0,(INT(MAX(0,Inputs!$B$44-B991)/(IF(Inputs!$B$39="pvp",15,MAX(0.1,Skills!D13-IF(Skills!E13=TRUE,Inputs!$B$33,0)))*(1-IF(AND(ArtifactsInput!$M$27,Inputs!$B$4="Chapter Hunt"),CHOOSE(ArtifactsInput!$N$27+1,20,24,28,32,36,40),0)/100)))+1)),0)</f>
        <v/>
      </c>
      <c r="S965" t="n">
        <v>0</v>
      </c>
      <c r="U965" t="n">
        <v>0</v>
      </c>
    </row>
    <row r="966">
      <c r="A966">
        <f>Skills!A14</f>
        <v/>
      </c>
      <c r="B966">
        <f>Skills!B14</f>
        <v/>
      </c>
      <c r="C966">
        <f>Inputs!$B$3&gt;=107</f>
        <v/>
      </c>
      <c r="D966">
        <f>IF(Skills!C14=1,60+Inputs!$B$26+Inputs!$B$30,IF(Skills!C14=2,90+Inputs!$B$27+Inputs!$B$30,IF(Skills!C14=3,120+Inputs!$B$28+Inputs!$B$30,MAX(0,(Inputs!$B$3-100)*3)+(Inputs!$B$29+1)+Inputs!$B$30)))</f>
        <v/>
      </c>
      <c r="E966">
        <f>INDEX(FactorTable!$B$2:$Y$301, MATCH(ROUND(MIN(300,MAX(1,D966)),0), FactorTable!$A$2:$A$301,0), Skills!L14+1)</f>
        <v/>
      </c>
      <c r="F966">
        <f>IF(Skills!M14=TRUE,(Skills!K14/10)*(E966/1000),Skills!K14/10)+Skills!N14</f>
        <v/>
      </c>
      <c r="G966">
        <f>Calc!G14</f>
        <v/>
      </c>
      <c r="H966">
        <f>Calc!H14</f>
        <v/>
      </c>
      <c r="I966">
        <f>IF(Skills!T14&lt;&gt;"",1+(Skills!T14/10)*($Z$3/1000)/100,1)</f>
        <v/>
      </c>
      <c r="J966" t="inlineStr"/>
      <c r="K966" t="inlineStr"/>
      <c r="L966" t="inlineStr"/>
      <c r="M966" t="inlineStr"/>
      <c r="N966" t="inlineStr"/>
      <c r="O966">
        <f>(1-Summary!$B$11)*S966+Summary!$B$11*U966</f>
        <v/>
      </c>
      <c r="P966">
        <f>IF(B994=0,0,O966/B994)</f>
        <v/>
      </c>
      <c r="Q966">
        <f>IFERROR(1/(IF(Inputs!$B$39="pvp",15,MAX(0.1,Skills!D14-IF(Skills!E14=TRUE,Inputs!$B$33,0)))*(1-IF(AND(ArtifactsInput!$M$27,Inputs!$B$4="Chapter Hunt"),CHOOSE(ArtifactsInput!$N$27+1,20,24,28,32,36,40),0)/100)),0)</f>
        <v/>
      </c>
      <c r="R966">
        <f>IF(AND(Inputs!$B$39&lt;&gt;"pvp",Inputs!$B$44&gt;0),IF(Inputs!$B$44&lt;=0,0,(INT(Inputs!$B$44/(IF(Inputs!$B$39="pvp",15,MAX(0.1,Skills!D14-IF(Skills!E14=TRUE,Inputs!$B$33,0)))*(1-IF(AND(ArtifactsInput!$M$27,Inputs!$B$4="Chapter Hunt"),CHOOSE(ArtifactsInput!$N$27+1,20,24,28,32,36,40),0)/100)))+1)),0)</f>
        <v/>
      </c>
      <c r="S966" t="n">
        <v>0</v>
      </c>
      <c r="U966" t="n">
        <v>0</v>
      </c>
    </row>
    <row r="967">
      <c r="A967">
        <f>Skills!A15</f>
        <v/>
      </c>
      <c r="B967">
        <f>Skills!B15</f>
        <v/>
      </c>
      <c r="C967">
        <f>Inputs!$B$3&gt;=63</f>
        <v/>
      </c>
      <c r="D967">
        <f>IF(Skills!C15=1,60+Inputs!$B$26+Inputs!$B$30,IF(Skills!C15=2,90+Inputs!$B$27+Inputs!$B$30,IF(Skills!C15=3,120+Inputs!$B$28+Inputs!$B$30,MAX(0,(Inputs!$B$3-100)*3)+(Inputs!$B$29+1)+Inputs!$B$30)))</f>
        <v/>
      </c>
      <c r="E967">
        <f>INDEX(FactorTable!$B$2:$Y$301, MATCH(ROUND(MIN(300,MAX(1,D967)),0), FactorTable!$A$2:$A$301,0), Skills!L15+1)</f>
        <v/>
      </c>
      <c r="F967">
        <f>IF(Skills!M15=TRUE,(Skills!K15/10)*(E967/1000),Skills!K15/10)+Skills!N15</f>
        <v/>
      </c>
      <c r="G967">
        <f>Calc!G15</f>
        <v/>
      </c>
      <c r="H967">
        <f>Calc!H15</f>
        <v/>
      </c>
      <c r="I967">
        <f>IF(Skills!T15&lt;&gt;"",1+(Skills!T15/10)*($Z$3/1000)/100,1)</f>
        <v/>
      </c>
      <c r="J967">
        <f>((Inputs!$B$6*(1+Inputs!$B$7/100))+(((Inputs!$B$13*(1+Inputs!$B$14/100))-(Inputs!$B$13*(1+Inputs!$B$14/100)))+0.25*(Inputs!$B$15-Inputs!$B$15))*(1+Inputs!$B$7/100))*(F967/100)</f>
        <v/>
      </c>
      <c r="K967">
        <f>J967*(1+(((Inputs!$B$13+IF(Inputs!$B$3&gt;=35,(10*INDEX(FactorTable!$B$2:$Y$301,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15="TRIUMPH_FEATHER",IF(C968=TRUE,F968,0),0)/100)*(1+IF(C979=TRUE,F979,0)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967)</f>
        <v/>
      </c>
      <c r="L967">
        <f>K967*(MIN(Inputs!$B$23+(F974-Calc!F22),(Inputs!$B$24+IF(ArtifactsInput!$M$15,CHOOSE(ArtifactsInput!$N$15+1,25,30,35,40,45,50)/100*(Inputs!$B$12-Inputs!$B$12),0)))/100+(Inputs!$B$24+IF(ArtifactsInput!$M$15,CHOOSE(ArtifactsInput!$N$15+1,25,30,35,40,45,50)/100*(Inputs!$B$12-Inputs!$B$12),0))/100)/2</f>
        <v/>
      </c>
      <c r="M967">
        <f>L967*(1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67">
        <f>L967*(1-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(1-Summary!$B$11)*S967+Summary!$B$11*U967</f>
        <v/>
      </c>
      <c r="P967">
        <f>IF(B994=0,0,O967/B994)</f>
        <v/>
      </c>
      <c r="Q967">
        <f>IFERROR(1/(IF(Inputs!$B$39="pvp",15,MAX(0.1,Skills!D15-IF(Skills!E15=TRUE,Inputs!$B$33,0)))*(1-IF(AND(ArtifactsInput!$M$27,Inputs!$B$4="Chapter Hunt"),CHOOSE(ArtifactsInput!$N$27+1,20,24,28,32,36,40),0)/100)),0)</f>
        <v/>
      </c>
      <c r="R967" t="n">
        <v>0</v>
      </c>
      <c r="S967">
        <f>IF(C967,(Skills!F15*N967*((IF(Inputs!$B$3&gt;=78,25,15)/100*B987*10)/(1+IF(Inputs!$B$3&gt;=78,25,15)/100*B987*10))*(Skills!I15/100*B987)/(1+Skills!G15*Skills!I15/100*B987))*IF(Inputs!$B$39="pvp",1,1+(Inputs!$B$21+Skills!O15+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967*(1-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67">
        <f>IF(C967,(Skills!F15*N967*((IF(Inputs!$B$3&gt;=78,25,15)/100*B987*10)/(1+IF(Inputs!$B$3&gt;=78,25,15)/100*B987*10))*(Skills!I15/100*B987)/(1+Skills!G15*Skills!I15/100*B987))*IF(Inputs!$B$39="pvp",1,(1+(Inputs!$B$22+Skills!P15+B983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Skills!A16</f>
        <v/>
      </c>
      <c r="B968">
        <f>Skills!B16</f>
        <v/>
      </c>
      <c r="C968">
        <f>Inputs!$B$3&gt;=100</f>
        <v/>
      </c>
      <c r="D968">
        <f>IF(Skills!C16=1,60+Inputs!$B$26+Inputs!$B$30,IF(Skills!C16=2,90+Inputs!$B$27+Inputs!$B$30,IF(Skills!C16=3,120+Inputs!$B$28+Inputs!$B$30,MAX(0,(Inputs!$B$3-100)*3)+(Inputs!$B$29+1)+Inputs!$B$30)))</f>
        <v/>
      </c>
      <c r="E968">
        <f>INDEX(FactorTable!$B$2:$Y$301, MATCH(ROUND(MIN(300,MAX(1,D968)),0), FactorTable!$A$2:$A$301,0), Skills!L16+1)</f>
        <v/>
      </c>
      <c r="F968">
        <f>IF(Skills!M16=TRUE,(Skills!K16/10)*(E968/1000),Skills!K16/10)+Skills!N16</f>
        <v/>
      </c>
      <c r="G968">
        <f>Calc!G16</f>
        <v/>
      </c>
      <c r="H968">
        <f>Calc!H16</f>
        <v/>
      </c>
      <c r="I968">
        <f>IF(Skills!T16&lt;&gt;"",1+(Skills!T16/10)*($Z$3/1000)/100,1)</f>
        <v/>
      </c>
      <c r="J968" t="inlineStr"/>
      <c r="K968" t="inlineStr"/>
      <c r="L968" t="inlineStr"/>
      <c r="M968" t="inlineStr"/>
      <c r="N968" t="inlineStr"/>
      <c r="O968">
        <f>(1-Summary!$B$11)*S968+Summary!$B$11*U968</f>
        <v/>
      </c>
      <c r="P968">
        <f>IF(B994=0,0,O968/B994)</f>
        <v/>
      </c>
      <c r="Q968">
        <f>IFERROR(1/(IF(Inputs!$B$39="pvp",15,MAX(0.1,Skills!D16-IF(Skills!E16=TRUE,Inputs!$B$33,0)))*(1-IF(AND(ArtifactsInput!$M$27,Inputs!$B$4="Chapter Hunt"),CHOOSE(ArtifactsInput!$N$27+1,20,24,28,32,36,40),0)/100)),0)</f>
        <v/>
      </c>
      <c r="R968" t="n">
        <v>0</v>
      </c>
      <c r="S968" t="n">
        <v>0</v>
      </c>
      <c r="U968" t="n">
        <v>0</v>
      </c>
    </row>
    <row r="969">
      <c r="A969">
        <f>Skills!A17</f>
        <v/>
      </c>
      <c r="B969">
        <f>Skills!B17</f>
        <v/>
      </c>
      <c r="C969">
        <f>Inputs!$B$3&gt;=49</f>
        <v/>
      </c>
      <c r="D969">
        <f>IF(Skills!C17=1,60+Inputs!$B$26+Inputs!$B$30,IF(Skills!C17=2,90+Inputs!$B$27+Inputs!$B$30,IF(Skills!C17=3,120+Inputs!$B$28+Inputs!$B$30,MAX(0,(Inputs!$B$3-100)*3)+(Inputs!$B$29+1)+Inputs!$B$30)))</f>
        <v/>
      </c>
      <c r="E969">
        <f>INDEX(FactorTable!$B$2:$Y$301, MATCH(ROUND(MIN(300,MAX(1,D969)),0), FactorTable!$A$2:$A$301,0), Skills!L17+1)</f>
        <v/>
      </c>
      <c r="F969">
        <f>IF(Skills!M17=TRUE,(Skills!K17/10)*(E969/1000),Skills!K17/10)+Skills!N17</f>
        <v/>
      </c>
      <c r="G969">
        <f>Calc!G17</f>
        <v/>
      </c>
      <c r="H969">
        <f>Calc!H17</f>
        <v/>
      </c>
      <c r="I969">
        <f>IF(Skills!T17&lt;&gt;"",1+(Skills!T17/10)*($Z$3/1000)/100,1)</f>
        <v/>
      </c>
      <c r="J969" t="inlineStr"/>
      <c r="K969" t="inlineStr"/>
      <c r="L969" t="inlineStr"/>
      <c r="M969" t="inlineStr"/>
      <c r="N969" t="inlineStr"/>
      <c r="O969">
        <f>(1-Summary!$B$11)*S969+Summary!$B$11*U969</f>
        <v/>
      </c>
      <c r="P969">
        <f>IF(B994=0,0,O969/B994)</f>
        <v/>
      </c>
      <c r="Q969">
        <f>IFERROR(1/(IF(Inputs!$B$39="pvp",15,MAX(0.1,Skills!D17-IF(Skills!E17=TRUE,Inputs!$B$33,0)))*(1-IF(AND(ArtifactsInput!$M$27,Inputs!$B$4="Chapter Hunt"),CHOOSE(ArtifactsInput!$N$27+1,20,24,28,32,36,40),0)/100)),0)</f>
        <v/>
      </c>
      <c r="R969" t="n">
        <v>0</v>
      </c>
      <c r="S969" t="n">
        <v>0</v>
      </c>
      <c r="U969" t="n">
        <v>0</v>
      </c>
    </row>
    <row r="970">
      <c r="A970">
        <f>Skills!A18</f>
        <v/>
      </c>
      <c r="B970">
        <f>Skills!B18</f>
        <v/>
      </c>
      <c r="C970">
        <f>Inputs!$B$3&gt;=75</f>
        <v/>
      </c>
      <c r="D970">
        <f>IF(Skills!C18=1,60+Inputs!$B$26+Inputs!$B$30,IF(Skills!C18=2,90+Inputs!$B$27+Inputs!$B$30,IF(Skills!C18=3,120+Inputs!$B$28+Inputs!$B$30,MAX(0,(Inputs!$B$3-100)*3)+(Inputs!$B$29+1)+Inputs!$B$30)))</f>
        <v/>
      </c>
      <c r="E970">
        <f>INDEX(FactorTable!$B$2:$Y$301, MATCH(ROUND(MIN(300,MAX(1,D970)),0), FactorTable!$A$2:$A$301,0), Skills!L18+1)</f>
        <v/>
      </c>
      <c r="F970">
        <f>IF(Skills!M18=TRUE,(Skills!K18/10)*(E970/1000),Skills!K18/10)+Skills!N18</f>
        <v/>
      </c>
      <c r="G970">
        <f>Calc!G18</f>
        <v/>
      </c>
      <c r="H970">
        <f>Calc!H18</f>
        <v/>
      </c>
      <c r="I970">
        <f>IF(Skills!T18&lt;&gt;"",1+(Skills!T18/10)*($Z$3/1000)/100,1)</f>
        <v/>
      </c>
      <c r="J970" t="inlineStr"/>
      <c r="K970" t="inlineStr"/>
      <c r="L970" t="inlineStr"/>
      <c r="M970" t="inlineStr"/>
      <c r="N970" t="inlineStr"/>
      <c r="O970">
        <f>(1-Summary!$B$11)*S970+Summary!$B$11*U970</f>
        <v/>
      </c>
      <c r="P970">
        <f>IF(B994=0,0,O970/B994)</f>
        <v/>
      </c>
      <c r="Q970">
        <f>IFERROR(1/(IF(Inputs!$B$39="pvp",15,MAX(0.1,Skills!D18-IF(Skills!E18=TRUE,Inputs!$B$33,0)))*(1-IF(AND(ArtifactsInput!$M$27,Inputs!$B$4="Chapter Hunt"),CHOOSE(ArtifactsInput!$N$27+1,20,24,28,32,36,40),0)/100)),0)</f>
        <v/>
      </c>
      <c r="R970" t="n">
        <v>0</v>
      </c>
      <c r="S970" t="n">
        <v>0</v>
      </c>
      <c r="U970" t="n">
        <v>0</v>
      </c>
    </row>
    <row r="971">
      <c r="A971">
        <f>Skills!A19</f>
        <v/>
      </c>
      <c r="B971">
        <f>Skills!B19</f>
        <v/>
      </c>
      <c r="C971">
        <f>Inputs!$B$3&gt;=110</f>
        <v/>
      </c>
      <c r="D971">
        <f>IF(Skills!C19=1,60+Inputs!$B$26+Inputs!$B$30,IF(Skills!C19=2,90+Inputs!$B$27+Inputs!$B$30,IF(Skills!C19=3,120+Inputs!$B$28+Inputs!$B$30,MAX(0,(Inputs!$B$3-100)*3)+(Inputs!$B$29+1)+Inputs!$B$30)))</f>
        <v/>
      </c>
      <c r="E971">
        <f>INDEX(FactorTable!$B$2:$Y$301, MATCH(ROUND(MIN(300,MAX(1,D971)),0), FactorTable!$A$2:$A$301,0), Skills!L19+1)</f>
        <v/>
      </c>
      <c r="F971">
        <f>(Skills!K19/10)*(E971/1000)*64/45+Skills!N19</f>
        <v/>
      </c>
      <c r="G971">
        <f>Calc!G19</f>
        <v/>
      </c>
      <c r="H971">
        <f>Calc!H19</f>
        <v/>
      </c>
      <c r="I971">
        <f>IF(Skills!T19&lt;&gt;"",1+(Skills!T19/10)*($Z$3/1000)/100,1)</f>
        <v/>
      </c>
      <c r="J971" t="inlineStr"/>
      <c r="K971" t="inlineStr"/>
      <c r="L971" t="inlineStr"/>
      <c r="M971" t="inlineStr"/>
      <c r="N971" t="inlineStr"/>
      <c r="O971">
        <f>(1-Summary!$B$11)*S971+Summary!$B$11*U971</f>
        <v/>
      </c>
      <c r="P971">
        <f>IF(B994=0,0,O971/B994)</f>
        <v/>
      </c>
      <c r="Q971">
        <f>IFERROR(1/(IF(Inputs!$B$39="pvp",15,MAX(0.1,Skills!D19-IF(Skills!E19=TRUE,Inputs!$B$33,0)))*(1-IF(AND(ArtifactsInput!$M$27,Inputs!$B$4="Chapter Hunt"),CHOOSE(ArtifactsInput!$N$27+1,20,24,28,32,36,40),0)/100)),0)</f>
        <v/>
      </c>
      <c r="R971">
        <f>IF(AND(Inputs!$B$39&lt;&gt;"pvp",Inputs!$B$44&gt;0),IF(Inputs!$B$44&lt;=0,0,(INT(Inputs!$B$44/(IF(Inputs!$B$39="pvp",15,MAX(0.1,Skills!D19-IF(Skills!E19=TRUE,Inputs!$B$33,0)))*(1-IF(AND(ArtifactsInput!$M$27,Inputs!$B$4="Chapter Hunt"),CHOOSE(ArtifactsInput!$N$27+1,20,24,28,32,36,40),0)/100)))+1)),0)</f>
        <v/>
      </c>
      <c r="S971" t="n">
        <v>0</v>
      </c>
      <c r="U971" t="n">
        <v>0</v>
      </c>
    </row>
    <row r="972">
      <c r="A972">
        <f>Skills!A20</f>
        <v/>
      </c>
      <c r="B972">
        <f>Skills!B20</f>
        <v/>
      </c>
      <c r="C972">
        <f>Inputs!$B$3&gt;=125</f>
        <v/>
      </c>
      <c r="D972">
        <f>IF(Skills!C20=1,60+Inputs!$B$26+Inputs!$B$30,IF(Skills!C20=2,90+Inputs!$B$27+Inputs!$B$30,IF(Skills!C20=3,120+Inputs!$B$28+Inputs!$B$30,MAX(0,(Inputs!$B$3-100)*3)+(Inputs!$B$29+1)+Inputs!$B$30)))</f>
        <v/>
      </c>
      <c r="E972">
        <f>INDEX(FactorTable!$B$2:$Y$301, MATCH(ROUND(MIN(300,MAX(1,D972)),0), FactorTable!$A$2:$A$301,0), Skills!L20+1)</f>
        <v/>
      </c>
      <c r="F972">
        <f>IF(Skills!M20=TRUE,(Skills!K20/10)*(E972/1000),Skills!K20/10)+Skills!N20</f>
        <v/>
      </c>
      <c r="G972">
        <f>Calc!G20</f>
        <v/>
      </c>
      <c r="H972">
        <f>Calc!H20</f>
        <v/>
      </c>
      <c r="I972">
        <f>IF(Skills!T20&lt;&gt;"",1+(Skills!T20/10)*($Z$3/1000)/100,1)</f>
        <v/>
      </c>
      <c r="J972" t="inlineStr"/>
      <c r="K972" t="inlineStr"/>
      <c r="L972" t="inlineStr"/>
      <c r="M972" t="inlineStr"/>
      <c r="N972" t="inlineStr"/>
      <c r="O972">
        <f>(1-Summary!$B$11)*S972+Summary!$B$11*U972</f>
        <v/>
      </c>
      <c r="P972">
        <f>IF(B994=0,0,O972/B994)</f>
        <v/>
      </c>
      <c r="Q972">
        <f>IFERROR(1/(IF(Inputs!$B$39="pvp",15,MAX(0.1,Skills!D20-IF(Skills!E20=TRUE,Inputs!$B$33,0)))*(1-IF(AND(ArtifactsInput!$M$27,Inputs!$B$4="Chapter Hunt"),CHOOSE(ArtifactsInput!$N$27+1,20,24,28,32,36,40),0)/100)),0)</f>
        <v/>
      </c>
      <c r="R972" t="n">
        <v>0</v>
      </c>
      <c r="S972" t="n">
        <v>0</v>
      </c>
      <c r="U972" t="n">
        <v>0</v>
      </c>
    </row>
    <row r="973">
      <c r="A973">
        <f>Skills!A21</f>
        <v/>
      </c>
      <c r="B973">
        <f>Skills!B21</f>
        <v/>
      </c>
      <c r="C973">
        <f>Inputs!$B$3&gt;=33</f>
        <v/>
      </c>
      <c r="D973">
        <f>IF(Skills!C21=1,60+Inputs!$B$26+Inputs!$B$30,IF(Skills!C21=2,90+Inputs!$B$27+Inputs!$B$30,IF(Skills!C21=3,120+Inputs!$B$28+Inputs!$B$30,MAX(0,(Inputs!$B$3-100)*3)+(Inputs!$B$29+1)+Inputs!$B$30)))</f>
        <v/>
      </c>
      <c r="E973">
        <f>INDEX(FactorTable!$B$2:$Y$301, MATCH(ROUND(MIN(300,MAX(1,D973)),0), FactorTable!$A$2:$A$301,0), Skills!L21+1)</f>
        <v/>
      </c>
      <c r="F973">
        <f>IF(Skills!M21=TRUE,(Skills!K21/10)*(E973/1000),Skills!K21/10)+Skills!N21</f>
        <v/>
      </c>
      <c r="G973">
        <f>Calc!G21</f>
        <v/>
      </c>
      <c r="H973">
        <f>Calc!H21</f>
        <v/>
      </c>
      <c r="I973">
        <f>IF(Skills!T21&lt;&gt;"",1+(Skills!T21/10)*($Z$3/1000)/100,1)</f>
        <v/>
      </c>
      <c r="J973" t="inlineStr"/>
      <c r="K973" t="inlineStr"/>
      <c r="L973" t="inlineStr"/>
      <c r="M973" t="inlineStr"/>
      <c r="N973" t="inlineStr"/>
      <c r="O973">
        <f>(1-Summary!$B$11)*S973+Summary!$B$11*U973</f>
        <v/>
      </c>
      <c r="P973">
        <f>IF(B994=0,0,O973/B994)</f>
        <v/>
      </c>
      <c r="Q973">
        <f>IFERROR(1/(IF(Inputs!$B$39="pvp",15,MAX(0.1,Skills!D21-IF(Skills!E21=TRUE,Inputs!$B$33,0)))*(1-IF(AND(ArtifactsInput!$M$27,Inputs!$B$4="Chapter Hunt"),CHOOSE(ArtifactsInput!$N$27+1,20,24,28,32,36,40),0)/100)),0)</f>
        <v/>
      </c>
      <c r="R973" t="n">
        <v>0</v>
      </c>
      <c r="S973" t="n">
        <v>0</v>
      </c>
      <c r="U973" t="n">
        <v>0</v>
      </c>
    </row>
    <row r="974">
      <c r="A974">
        <f>Skills!A22</f>
        <v/>
      </c>
      <c r="B974">
        <f>Skills!B22</f>
        <v/>
      </c>
      <c r="C974">
        <f>Inputs!$B$3&gt;=43</f>
        <v/>
      </c>
      <c r="D974">
        <f>IF(Skills!C22=1,60+Inputs!$B$26+Inputs!$B$30,IF(Skills!C22=2,90+Inputs!$B$27+Inputs!$B$30,IF(Skills!C22=3,120+Inputs!$B$28+Inputs!$B$30,MAX(0,(Inputs!$B$3-100)*3)+(Inputs!$B$29+1)+Inputs!$B$30)))</f>
        <v/>
      </c>
      <c r="E974">
        <f>INDEX(FactorTable!$B$2:$Y$301, MATCH(ROUND(MIN(300,MAX(1,D974)),0), FactorTable!$A$2:$A$301,0), Skills!L22+1)</f>
        <v/>
      </c>
      <c r="F974">
        <f>IF(Skills!M22=TRUE,(Skills!K22/10)*(E974/1000),Skills!K22/10)+Skills!N22</f>
        <v/>
      </c>
      <c r="G974">
        <f>Calc!G22</f>
        <v/>
      </c>
      <c r="H974">
        <f>Calc!H22</f>
        <v/>
      </c>
      <c r="I974">
        <f>IF(Skills!T22&lt;&gt;"",1+(Skills!T22/10)*($Z$3/1000)/100,1)</f>
        <v/>
      </c>
      <c r="J974" t="inlineStr"/>
      <c r="K974" t="inlineStr"/>
      <c r="L974" t="inlineStr"/>
      <c r="M974" t="inlineStr"/>
      <c r="N974" t="inlineStr"/>
      <c r="O974">
        <f>(1-Summary!$B$11)*S974+Summary!$B$11*U974</f>
        <v/>
      </c>
      <c r="P974">
        <f>IF(B994=0,0,O974/B994)</f>
        <v/>
      </c>
      <c r="Q974">
        <f>IFERROR(1/(IF(Inputs!$B$39="pvp",15,MAX(0.1,Skills!D22-IF(Skills!E22=TRUE,Inputs!$B$33,0)))*(1-IF(AND(ArtifactsInput!$M$27,Inputs!$B$4="Chapter Hunt"),CHOOSE(ArtifactsInput!$N$27+1,20,24,28,32,36,40),0)/100)),0)</f>
        <v/>
      </c>
      <c r="R974" t="n">
        <v>0</v>
      </c>
      <c r="S974" t="n">
        <v>0</v>
      </c>
      <c r="U974" t="n">
        <v>0</v>
      </c>
    </row>
    <row r="975">
      <c r="A975">
        <f>Skills!A23</f>
        <v/>
      </c>
      <c r="B975">
        <f>Skills!B23</f>
        <v/>
      </c>
      <c r="C975">
        <f>Inputs!$B$3&gt;=50</f>
        <v/>
      </c>
      <c r="D975">
        <f>IF(Skills!C23=1,60+Inputs!$B$26+Inputs!$B$30,IF(Skills!C23=2,90+Inputs!$B$27+Inputs!$B$30,IF(Skills!C23=3,120+Inputs!$B$28+Inputs!$B$30,MAX(0,(Inputs!$B$3-100)*3)+(Inputs!$B$29+1)+Inputs!$B$30)))</f>
        <v/>
      </c>
      <c r="E975">
        <f>INDEX(FactorTable!$B$2:$Y$301, MATCH(ROUND(MIN(300,MAX(1,D975)),0), FactorTable!$A$2:$A$301,0), Skills!L23+1)</f>
        <v/>
      </c>
      <c r="F975">
        <f>IF(Skills!M23=TRUE,(Skills!K23/10)*(E975/1000),Skills!K23/10)+Skills!N23</f>
        <v/>
      </c>
      <c r="G975">
        <f>Calc!G23</f>
        <v/>
      </c>
      <c r="H975">
        <f>Calc!H23</f>
        <v/>
      </c>
      <c r="I975">
        <f>IF(Skills!T23&lt;&gt;"",1+(Skills!T23/10)*($Z$3/1000)/100,1)</f>
        <v/>
      </c>
      <c r="J975" t="inlineStr"/>
      <c r="K975" t="inlineStr"/>
      <c r="L975" t="inlineStr"/>
      <c r="M975" t="inlineStr"/>
      <c r="N975" t="inlineStr"/>
      <c r="O975">
        <f>(1-Summary!$B$11)*S975+Summary!$B$11*U975</f>
        <v/>
      </c>
      <c r="P975">
        <f>IF(B994=0,0,O975/B994)</f>
        <v/>
      </c>
      <c r="Q975">
        <f>IFERROR(1/(IF(Inputs!$B$39="pvp",15,MAX(0.1,Skills!D23-IF(Skills!E23=TRUE,Inputs!$B$33,0)))*(1-IF(AND(ArtifactsInput!$M$27,Inputs!$B$4="Chapter Hunt"),CHOOSE(ArtifactsInput!$N$27+1,20,24,28,32,36,40),0)/100)),0)</f>
        <v/>
      </c>
      <c r="R975" t="n">
        <v>0</v>
      </c>
      <c r="S975" t="n">
        <v>0</v>
      </c>
      <c r="U975" t="n">
        <v>0</v>
      </c>
    </row>
    <row r="976">
      <c r="A976">
        <f>Skills!A24</f>
        <v/>
      </c>
      <c r="B976">
        <f>Skills!B24</f>
        <v/>
      </c>
      <c r="C976">
        <f>Inputs!$B$3&gt;=74</f>
        <v/>
      </c>
      <c r="D976">
        <f>IF(Skills!C24=1,60+Inputs!$B$26+Inputs!$B$30,IF(Skills!C24=2,90+Inputs!$B$27+Inputs!$B$30,IF(Skills!C24=3,120+Inputs!$B$28+Inputs!$B$30,MAX(0,(Inputs!$B$3-100)*3)+(Inputs!$B$29+1)+Inputs!$B$30)))</f>
        <v/>
      </c>
      <c r="E976">
        <f>INDEX(FactorTable!$B$2:$Y$301, MATCH(ROUND(MIN(300,MAX(1,D976)),0), FactorTable!$A$2:$A$301,0), Skills!L24+1)</f>
        <v/>
      </c>
      <c r="F976">
        <f>IF(Skills!M24=TRUE,(Skills!K24/10)*(E976/1000),Skills!K24/10)+Skills!N24</f>
        <v/>
      </c>
      <c r="G976">
        <f>Calc!G24</f>
        <v/>
      </c>
      <c r="H976">
        <f>Calc!H24</f>
        <v/>
      </c>
      <c r="I976">
        <f>IF(Skills!T24&lt;&gt;"",1+(Skills!T24/10)*($Z$3/1000)/100,1)</f>
        <v/>
      </c>
      <c r="J976" t="inlineStr"/>
      <c r="K976" t="inlineStr"/>
      <c r="L976" t="inlineStr"/>
      <c r="M976" t="inlineStr"/>
      <c r="N976" t="inlineStr"/>
      <c r="O976">
        <f>(1-Summary!$B$11)*S976+Summary!$B$11*U976</f>
        <v/>
      </c>
      <c r="P976">
        <f>IF(B994=0,0,O976/B994)</f>
        <v/>
      </c>
      <c r="Q976">
        <f>IFERROR(1/(IF(Inputs!$B$39="pvp",15,MAX(0.1,Skills!D24-IF(Skills!E24=TRUE,Inputs!$B$33,0)))*(1-IF(AND(ArtifactsInput!$M$27,Inputs!$B$4="Chapter Hunt"),CHOOSE(ArtifactsInput!$N$27+1,20,24,28,32,36,40),0)/100)),0)</f>
        <v/>
      </c>
      <c r="R976" t="n">
        <v>0</v>
      </c>
      <c r="S976" t="n">
        <v>0</v>
      </c>
      <c r="U976" t="n">
        <v>0</v>
      </c>
    </row>
    <row r="977">
      <c r="A977">
        <f>Skills!A25</f>
        <v/>
      </c>
      <c r="B977">
        <f>Skills!B25</f>
        <v/>
      </c>
      <c r="C977">
        <f>Inputs!$B$3&gt;=74</f>
        <v/>
      </c>
      <c r="D977">
        <f>IF(Skills!C25=1,60+Inputs!$B$26+Inputs!$B$30,IF(Skills!C25=2,90+Inputs!$B$27+Inputs!$B$30,IF(Skills!C25=3,120+Inputs!$B$28+Inputs!$B$30,MAX(0,(Inputs!$B$3-100)*3)+(Inputs!$B$29+1)+Inputs!$B$30)))</f>
        <v/>
      </c>
      <c r="E977">
        <f>INDEX(FactorTable!$B$2:$Y$301, MATCH(ROUND(MIN(300,MAX(1,D977)),0), FactorTable!$A$2:$A$301,0), Skills!L25+1)</f>
        <v/>
      </c>
      <c r="F977">
        <f>IF(Skills!M25=TRUE,(Skills!K25/10)*(E977/1000),Skills!K25/10)+Skills!N25</f>
        <v/>
      </c>
      <c r="G977">
        <f>Calc!G25</f>
        <v/>
      </c>
      <c r="H977">
        <f>Calc!H25</f>
        <v/>
      </c>
      <c r="I977">
        <f>IF(Skills!T25&lt;&gt;"",1+(Skills!T25/10)*($Z$3/1000)/100,1)</f>
        <v/>
      </c>
      <c r="J977" t="inlineStr"/>
      <c r="K977" t="inlineStr"/>
      <c r="L977" t="inlineStr"/>
      <c r="M977" t="inlineStr"/>
      <c r="N977" t="inlineStr"/>
      <c r="O977">
        <f>(1-Summary!$B$11)*S977+Summary!$B$11*U977</f>
        <v/>
      </c>
      <c r="P977">
        <f>IF(B994=0,0,O977/B994)</f>
        <v/>
      </c>
      <c r="Q977">
        <f>IFERROR(1/(IF(Inputs!$B$39="pvp",15,MAX(0.1,Skills!D25-IF(Skills!E25=TRUE,Inputs!$B$33,0)))*(1-IF(AND(ArtifactsInput!$M$27,Inputs!$B$4="Chapter Hunt"),CHOOSE(ArtifactsInput!$N$27+1,20,24,28,32,36,40),0)/100)),0)</f>
        <v/>
      </c>
      <c r="R977" t="n">
        <v>0</v>
      </c>
      <c r="S977" t="n">
        <v>0</v>
      </c>
      <c r="U977" t="n">
        <v>0</v>
      </c>
    </row>
    <row r="978">
      <c r="A978">
        <f>Skills!A26</f>
        <v/>
      </c>
      <c r="B978">
        <f>Skills!B26</f>
        <v/>
      </c>
      <c r="C978">
        <f>Inputs!$B$3&gt;=117</f>
        <v/>
      </c>
      <c r="D978">
        <f>IF(Skills!C26=1,60+Inputs!$B$26+Inputs!$B$30,IF(Skills!C26=2,90+Inputs!$B$27+Inputs!$B$30,IF(Skills!C26=3,120+Inputs!$B$28+Inputs!$B$30,MAX(0,(Inputs!$B$3-100)*3)+(Inputs!$B$29+1)+Inputs!$B$30)))</f>
        <v/>
      </c>
      <c r="E978">
        <f>INDEX(FactorTable!$B$2:$Y$301, MATCH(ROUND(MIN(300,MAX(1,D978)),0), FactorTable!$A$2:$A$301,0), Skills!L26+1)</f>
        <v/>
      </c>
      <c r="F978">
        <f>IF(Skills!M26=TRUE,(Skills!K26/10)*(E978/1000),Skills!K26/10)+Skills!N26</f>
        <v/>
      </c>
      <c r="G978">
        <f>Calc!G26</f>
        <v/>
      </c>
      <c r="H978">
        <f>Calc!H26</f>
        <v/>
      </c>
      <c r="I978">
        <f>IF(Skills!T26&lt;&gt;"",1+(Skills!T26/10)*($Z$3/1000)/100,1)</f>
        <v/>
      </c>
      <c r="J978" t="inlineStr"/>
      <c r="K978" t="inlineStr"/>
      <c r="L978" t="inlineStr"/>
      <c r="M978" t="inlineStr"/>
      <c r="N978" t="inlineStr"/>
      <c r="O978">
        <f>(1-Summary!$B$11)*S978+Summary!$B$11*U978</f>
        <v/>
      </c>
      <c r="P978">
        <f>IF(B994=0,0,O978/B994)</f>
        <v/>
      </c>
      <c r="Q978">
        <f>IFERROR(1/(IF(Inputs!$B$39="pvp",15,MAX(0.1,Skills!D26-IF(Skills!E26=TRUE,Inputs!$B$33,0)))*(1-IF(AND(ArtifactsInput!$M$27,Inputs!$B$4="Chapter Hunt"),CHOOSE(ArtifactsInput!$N$27+1,20,24,28,32,36,40),0)/100)),0)</f>
        <v/>
      </c>
      <c r="R978" t="n">
        <v>0</v>
      </c>
      <c r="S978" t="n">
        <v>0</v>
      </c>
      <c r="U978" t="n">
        <v>0</v>
      </c>
    </row>
    <row r="979">
      <c r="A979">
        <f>Skills!A27</f>
        <v/>
      </c>
      <c r="B979">
        <f>Skills!B27</f>
        <v/>
      </c>
      <c r="C979">
        <f>Inputs!$B$3&gt;=120</f>
        <v/>
      </c>
      <c r="D979">
        <f>IF(Skills!C27=1,60+Inputs!$B$26+Inputs!$B$30,IF(Skills!C27=2,90+Inputs!$B$27+Inputs!$B$30,IF(Skills!C27=3,120+Inputs!$B$28+Inputs!$B$30,MAX(0,(Inputs!$B$3-100)*3)+(Inputs!$B$29+1)+Inputs!$B$30)))</f>
        <v/>
      </c>
      <c r="E979">
        <f>INDEX(FactorTable!$B$2:$Y$301, MATCH(ROUND(MIN(300,MAX(1,D979)),0), FactorTable!$A$2:$A$301,0), Skills!L27+1)</f>
        <v/>
      </c>
      <c r="F979">
        <f>IF(Skills!M27=TRUE,(Skills!K27/10)*(E979/1000),Skills!K27/10)+Skills!N27</f>
        <v/>
      </c>
      <c r="G979">
        <f>Calc!G27</f>
        <v/>
      </c>
      <c r="H979">
        <f>Calc!H27</f>
        <v/>
      </c>
      <c r="I979">
        <f>IF(Skills!T27&lt;&gt;"",1+(Skills!T27/10)*($Z$3/1000)/100,1)</f>
        <v/>
      </c>
      <c r="J979" t="inlineStr"/>
      <c r="K979" t="inlineStr"/>
      <c r="L979" t="inlineStr"/>
      <c r="M979" t="inlineStr"/>
      <c r="N979" t="inlineStr"/>
      <c r="O979">
        <f>(1-Summary!$B$11)*S979+Summary!$B$11*U979</f>
        <v/>
      </c>
      <c r="P979">
        <f>IF(B994=0,0,O979/B994)</f>
        <v/>
      </c>
      <c r="Q979">
        <f>IFERROR(1/(IF(Inputs!$B$39="pvp",15,MAX(0.1,Skills!D27-IF(Skills!E27=TRUE,Inputs!$B$33,0)))*(1-IF(AND(ArtifactsInput!$M$27,Inputs!$B$4="Chapter Hunt"),CHOOSE(ArtifactsInput!$N$27+1,20,24,28,32,36,40),0)/100)),0)</f>
        <v/>
      </c>
      <c r="R979" t="n">
        <v>0</v>
      </c>
      <c r="S979" t="n">
        <v>0</v>
      </c>
      <c r="U979" t="n">
        <v>0</v>
      </c>
    </row>
    <row r="981">
      <c r="A981" t="inlineStr">
        <is>
          <t>Average Buff Multiplier</t>
        </is>
      </c>
      <c r="B981">
        <f>(1+(IF(C955=TRUE,F955*IF(AND(Inputs!$B$39&lt;&gt;"pvp",Inputs!$B$44&gt;0),(((R955-1)*(Skills!S3*(1+((Inputs!$B$35+(ArtifactsInput!$M$7-ArtifactsInput!$M$7)*CHOOSE(ArtifactsInput!$N$7+1,6,7.2,8.4,9.6,10.8,12))+IF(Inputs!$B$3&gt;=117,F978,0))/100))+MIN((Skills!S3*(1+((Inputs!$B$35+(ArtifactsInput!$M$7-ArtifactsInput!$M$7)*CHOOSE(ArtifactsInput!$N$7+1,6,7.2,8.4,9.6,10.8,12))+IF(Inputs!$B$3&gt;=117,F978,0))/100)),MAX(0,Inputs!$B$44-((R955-1)*Skills!D3))))/Inputs!$B$44),IF(Inputs!$B$39="pvp",MIN((Skills!S3*(1+((Inputs!$B$35+(ArtifactsInput!$M$7-ArtifactsInput!$M$7)*CHOOSE(ArtifactsInput!$N$7+1,6,7.2,8.4,9.6,10.8,12))+IF(Inputs!$B$3&gt;=117,F978,0))/100)),15)/15,(Skills!S3*(1+((Inputs!$B$35+(ArtifactsInput!$M$7-ArtifactsInput!$M$7)*CHOOSE(ArtifactsInput!$N$7+1,6,7.2,8.4,9.6,10.8,12))+IF(Inputs!$B$3&gt;=117,F978,0))/100))/Skills!D3)),0)+IF(C956=TRUE,F956*IF(AND(Inputs!$B$39&lt;&gt;"pvp",Inputs!$B$44&gt;0),(((R956-1)*(Skills!S4*(1+((Inputs!$B$35+(ArtifactsInput!$M$7-ArtifactsInput!$M$7)*CHOOSE(ArtifactsInput!$N$7+1,6,7.2,8.4,9.6,10.8,12))+IF(Inputs!$B$3&gt;=117,F978,0))/100))+MIN((Skills!S4*(1+((Inputs!$B$35+(ArtifactsInput!$M$7-ArtifactsInput!$M$7)*CHOOSE(ArtifactsInput!$N$7+1,6,7.2,8.4,9.6,10.8,12))+IF(Inputs!$B$3&gt;=117,F978,0))/100)),MAX(0,Inputs!$B$44-((R956-1)*Skills!D4))))/Inputs!$B$44),IF(Inputs!$B$39="pvp",MIN((Skills!S4*(1+((Inputs!$B$35+(ArtifactsInput!$M$7-ArtifactsInput!$M$7)*CHOOSE(ArtifactsInput!$N$7+1,6,7.2,8.4,9.6,10.8,12))+IF(Inputs!$B$3&gt;=117,F978,0))/100)),15)/15,(Skills!S4*(1+((Inputs!$B$35+(ArtifactsInput!$M$7-ArtifactsInput!$M$7)*CHOOSE(ArtifactsInput!$N$7+1,6,7.2,8.4,9.6,10.8,12))+IF(Inputs!$B$3&gt;=117,F978,0))/100))/Skills!D4)),0)+IF(C957=TRUE,F957*IF(AND(Inputs!$B$39&lt;&gt;"pvp",Inputs!$B$44&gt;0),(((R957-1)*(Skills!S5*(1+((Inputs!$B$35+(ArtifactsInput!$M$7-ArtifactsInput!$M$7)*CHOOSE(ArtifactsInput!$N$7+1,6,7.2,8.4,9.6,10.8,12))+IF(Inputs!$B$3&gt;=117,F978,0))/100))+MIN((Skills!S5*(1+((Inputs!$B$35+(ArtifactsInput!$M$7-ArtifactsInput!$M$7)*CHOOSE(ArtifactsInput!$N$7+1,6,7.2,8.4,9.6,10.8,12))+IF(Inputs!$B$3&gt;=117,F978,0))/100)),MAX(0,Inputs!$B$44-((R957-1)*Skills!D5))))/Inputs!$B$44),IF(Inputs!$B$39="pvp",MIN((Skills!S5*(1+((Inputs!$B$35+(ArtifactsInput!$M$7-ArtifactsInput!$M$7)*CHOOSE(ArtifactsInput!$N$7+1,6,7.2,8.4,9.6,10.8,12))+IF(Inputs!$B$3&gt;=117,F978,0))/100)),15)/15,(Skills!S5*(1+((Inputs!$B$35+(ArtifactsInput!$M$7-ArtifactsInput!$M$7)*CHOOSE(ArtifactsInput!$N$7+1,6,7.2,8.4,9.6,10.8,12))+IF(Inputs!$B$3&gt;=117,F978,0))/100))/Skills!D5)),0)+IF(C963=TRUE,F963*IF(AND(Inputs!$B$39&lt;&gt;"pvp",Inputs!$B$44&gt;0),(((R963-1)*(Skills!S11*(1+((Inputs!$B$35+(ArtifactsInput!$M$7-ArtifactsInput!$M$7)*CHOOSE(ArtifactsInput!$N$7+1,6,7.2,8.4,9.6,10.8,12))+IF(Inputs!$B$3&gt;=117,F978,0))/100))+MIN((Skills!S11*(1+((Inputs!$B$35+(ArtifactsInput!$M$7-ArtifactsInput!$M$7)*CHOOSE(ArtifactsInput!$N$7+1,6,7.2,8.4,9.6,10.8,12))+IF(Inputs!$B$3&gt;=117,F978,0))/100)),MAX(0,Inputs!$B$44-((R963-1)*Skills!D11))))/Inputs!$B$44),IF(Inputs!$B$39="pvp",MIN((Skills!S11*(1+((Inputs!$B$35+(ArtifactsInput!$M$7-ArtifactsInput!$M$7)*CHOOSE(ArtifactsInput!$N$7+1,6,7.2,8.4,9.6,10.8,12))+IF(Inputs!$B$3&gt;=117,F978,0))/100)),15)/15,(Skills!S11*(1+((Inputs!$B$35+(ArtifactsInput!$M$7-ArtifactsInput!$M$7)*CHOOSE(ArtifactsInput!$N$7+1,6,7.2,8.4,9.6,10.8,12))+IF(Inputs!$B$3&gt;=117,F978,0)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966=TRUE,(1+F966*IF(AND(Inputs!$B$39&lt;&gt;"pvp",Inputs!$B$44&gt;0),(((R966-1)*(Skills!S14*(1+((Inputs!$B$35+(ArtifactsInput!$M$7-ArtifactsInput!$M$7)*CHOOSE(ArtifactsInput!$N$7+1,6,7.2,8.4,9.6,10.8,12))+IF(Inputs!$B$3&gt;=117,F978,0))/100))+MIN((Skills!S14*(1+((Inputs!$B$35+(ArtifactsInput!$M$7-ArtifactsInput!$M$7)*CHOOSE(ArtifactsInput!$N$7+1,6,7.2,8.4,9.6,10.8,12))+IF(Inputs!$B$3&gt;=117,F978,0))/100)),MAX(0,Inputs!$B$44-((R966-1)*Skills!D14))))/Inputs!$B$44),IF(Inputs!$B$39="pvp",MIN((Skills!S14*(1+((Inputs!$B$35+(ArtifactsInput!$M$7-ArtifactsInput!$M$7)*CHOOSE(ArtifactsInput!$N$7+1,6,7.2,8.4,9.6,10.8,12))+IF(Inputs!$B$3&gt;=117,F978,0))/100)),15)/15,(Skills!S14*(1+((Inputs!$B$35+(ArtifactsInput!$M$7-ArtifactsInput!$M$7)*CHOOSE(ArtifactsInput!$N$7+1,6,7.2,8.4,9.6,10.8,12))+IF(Inputs!$B$3&gt;=117,F978,0))/100))/Skills!D14))/100),1)*IF(C971=TRUE,(1+F971*IF(AND(Inputs!$B$39&lt;&gt;"pvp",Inputs!$B$44&gt;0),(((R971-1)*(Skills!S19*(1+((Inputs!$B$35+(ArtifactsInput!$M$7-ArtifactsInput!$M$7)*CHOOSE(ArtifactsInput!$N$7+1,6,7.2,8.4,9.6,10.8,12))+IF(Inputs!$B$3&gt;=117,F978,0))/100))+MIN((Skills!S19*(1+((Inputs!$B$35+(ArtifactsInput!$M$7-ArtifactsInput!$M$7)*CHOOSE(ArtifactsInput!$N$7+1,6,7.2,8.4,9.6,10.8,12))+IF(Inputs!$B$3&gt;=117,F978,0))/100)),MAX(0,Inputs!$B$44-((R971-1)*Skills!D19))))/Inputs!$B$44),IF(Inputs!$B$39="pvp",MIN((Skills!S19*(1+((Inputs!$B$35+(ArtifactsInput!$M$7-ArtifactsInput!$M$7)*CHOOSE(ArtifactsInput!$N$7+1,6,7.2,8.4,9.6,10.8,12))+IF(Inputs!$B$3&gt;=117,F978,0))/100)),15)/15,(Skills!S19*(1+((Inputs!$B$35+(ArtifactsInput!$M$7-ArtifactsInput!$M$7)*CHOOSE(ArtifactsInput!$N$7+1,6,7.2,8.4,9.6,10.8,12))+IF(Inputs!$B$3&gt;=117,F978,0))/100))/Skills!D19))/100),1)</f>
        <v/>
      </c>
    </row>
    <row r="982">
      <c r="A982" t="inlineStr">
        <is>
          <t>Monster Damage Taken Bonus % (Holy Fountain)</t>
        </is>
      </c>
      <c r="B982">
        <f>IF(Inputs!$B$3&gt;=68,20*IF(Inputs!$B$39="pvp",MIN((15*(1+((Inputs!$B$35+(ArtifactsInput!$M$7-ArtifactsInput!$M$7)*CHOOSE(ArtifactsInput!$N$7+1,6,7.2,8.4,9.6,10.8,12))+IF(Inputs!$B$3&gt;=117,F978,0))/100)),15)/15,(15*(1+((Inputs!$B$35+(ArtifactsInput!$M$7-ArtifactsInput!$M$7)*CHOOSE(ArtifactsInput!$N$7+1,6,7.2,8.4,9.6,10.8,12))+IF(Inputs!$B$3&gt;=117,F978,0))/100))/Skills!D10),0)</f>
        <v/>
      </c>
    </row>
    <row r="983">
      <c r="A983" t="inlineStr">
        <is>
          <t>Normal Monster Damage Bonus % (Holy Symbol)</t>
        </is>
      </c>
      <c r="B983">
        <f>IF(C964=TRUE,F964*IF(AND(Inputs!$B$39&lt;&gt;"pvp",Inputs!$B$44&gt;0),(((R964-1)*(Skills!S12*(1+((Inputs!$B$35+(ArtifactsInput!$M$7-ArtifactsInput!$M$7)*CHOOSE(ArtifactsInput!$N$7+1,6,7.2,8.4,9.6,10.8,12))+IF(Inputs!$B$3&gt;=117,F978,0))/100))+MIN((Skills!S12*(1+((Inputs!$B$35+(ArtifactsInput!$M$7-ArtifactsInput!$M$7)*CHOOSE(ArtifactsInput!$N$7+1,6,7.2,8.4,9.6,10.8,12))+IF(Inputs!$B$3&gt;=117,F978,0))/100)),MAX(0,Inputs!$B$44-((R964-1)*Skills!D12))))/Inputs!$B$44),IF(Inputs!$B$39="pvp",MIN((Skills!S12*(1+((Inputs!$B$35+(ArtifactsInput!$M$7-ArtifactsInput!$M$7)*CHOOSE(ArtifactsInput!$N$7+1,6,7.2,8.4,9.6,10.8,12))+IF(Inputs!$B$3&gt;=117,F978,0))/100)),15)/15,(Skills!S12*(1+((Inputs!$B$35+(ArtifactsInput!$M$7-ArtifactsInput!$M$7)*CHOOSE(ArtifactsInput!$N$7+1,6,7.2,8.4,9.6,10.8,12))+IF(Inputs!$B$3&gt;=117,F978,0))/100))/Skills!D12)),0)</f>
        <v/>
      </c>
    </row>
    <row r="984">
      <c r="A984" t="inlineStr">
        <is>
          <t>Damage % Bonus (Holy Symbol - Damage Boost)</t>
        </is>
      </c>
      <c r="B984">
        <f>Skills!O12</f>
        <v/>
      </c>
    </row>
    <row r="985">
      <c r="A985" t="inlineStr">
        <is>
          <t>Crit Damage % Bonus (Blood of the Divine)</t>
        </is>
      </c>
      <c r="B985">
        <f>4*IF(C972=TRUE,F972,0)</f>
        <v/>
      </c>
    </row>
    <row r="986">
      <c r="A986" t="inlineStr">
        <is>
          <t>Attack Speed Bonus %</t>
        </is>
      </c>
      <c r="B986">
        <f>IF(C969=TRUE,F969+(F973-Calc!F21),0)+IF(Inputs!$B$3&gt;=134,15,0)</f>
        <v/>
      </c>
    </row>
    <row r="987">
      <c r="A987" t="inlineStr">
        <is>
          <t>Actions Per Second</t>
        </is>
      </c>
      <c r="B987">
        <f>1+MIN(150,150*(1-(1-Inputs!$B$12/150)*(1-B986/150)))/100</f>
        <v/>
      </c>
    </row>
    <row r="988">
      <c r="A988" t="inlineStr">
        <is>
          <t>Skill + Buff Cast Rate</t>
        </is>
      </c>
      <c r="B988">
        <f>IF(AND(Inputs!$B$39&lt;&gt;"pvp",Inputs!$B$44&gt;0),SUMPRODUCT((Skills!E2:E27=TRUE)*(C954:C979=TRUE)*R954:R979)/Inputs!$B$44,SUMPRODUCT((Skills!E2:E27=TRUE)*(C954:C979=TRUE)*Q954:Q979))</f>
        <v/>
      </c>
    </row>
    <row r="989">
      <c r="A989" t="inlineStr">
        <is>
          <t>Big Bang Casts Per Second</t>
        </is>
      </c>
      <c r="B989">
        <f>MAX(0,B987-B988)</f>
        <v/>
      </c>
    </row>
    <row r="990">
      <c r="A990" t="inlineStr">
        <is>
          <t>Defense % Bonus (Divine Protection)</t>
        </is>
      </c>
      <c r="B990">
        <f>IF(C965=TRUE,F965*IF(AND(Inputs!$B$39&lt;&gt;"pvp",Inputs!$B$44&gt;0),(((R965-1)*(Skills!S13*(1+((Inputs!$B$35+(ArtifactsInput!$M$7-ArtifactsInput!$M$7)*CHOOSE(ArtifactsInput!$N$7+1,6,7.2,8.4,9.6,10.8,12))+IF(Inputs!$B$3&gt;=117,F978,0))/100))+MIN((Skills!S13*(1+((Inputs!$B$35+(ArtifactsInput!$M$7-ArtifactsInput!$M$7)*CHOOSE(ArtifactsInput!$N$7+1,6,7.2,8.4,9.6,10.8,12))+IF(Inputs!$B$3&gt;=117,F978,0))/100)),MAX(0,Inputs!$B$44-((R965-1)*Skills!D13))))/Inputs!$B$44),IF(Inputs!$B$39="pvp",MIN((Skills!S13*(1+((Inputs!$B$35+(ArtifactsInput!$M$7-ArtifactsInput!$M$7)*CHOOSE(ArtifactsInput!$N$7+1,6,7.2,8.4,9.6,10.8,12))+IF(Inputs!$B$3&gt;=117,F978,0))/100)),15)/15,(Skills!S13*(1+((Inputs!$B$35+(ArtifactsInput!$M$7-ArtifactsInput!$M$7)*CHOOSE(ArtifactsInput!$N$7+1,6,7.2,8.4,9.6,10.8,12))+IF(Inputs!$B$3&gt;=117,F978,0))/100))/Skills!D13)),0)</f>
        <v/>
      </c>
    </row>
    <row r="991">
      <c r="A991" t="inlineStr">
        <is>
          <t>Buff-Casting Startup Delay (s, fixed-duration only)</t>
        </is>
      </c>
      <c r="B991">
        <f>IF(AND(Inputs!$B$39&lt;&gt;"pvp",Inputs!$B$44&gt;0),SUMPRODUCT((Skills!S2:S27&gt;0)*(Skills!E2:E27=TRUE)*(C954:C979=TRUE))/B987,0)</f>
        <v/>
      </c>
    </row>
    <row r="992">
      <c r="A992" t="inlineStr">
        <is>
          <t>Boss-Only Total DPS (this block's swept value)</t>
        </is>
      </c>
      <c r="B992">
        <f>SUM(S954:S979)</f>
        <v/>
      </c>
    </row>
    <row r="993">
      <c r="A993" t="inlineStr">
        <is>
          <t>Normal-Only Total DPS (this block's swept value)</t>
        </is>
      </c>
      <c r="B993">
        <f>SUM(U954:U979)</f>
        <v/>
      </c>
    </row>
    <row r="994">
      <c r="A994" s="6" t="inlineStr">
        <is>
          <t>TOTAL DPS</t>
        </is>
      </c>
      <c r="B994" s="6">
        <f>SUM(O954:O979)</f>
        <v/>
      </c>
    </row>
    <row r="996">
      <c r="A996" s="6" t="inlineStr">
        <is>
          <t>Stat: Skill Level Bonus — All Skills</t>
        </is>
      </c>
    </row>
    <row r="997">
      <c r="A997" s="5" t="inlineStr">
        <is>
          <t>Key</t>
        </is>
      </c>
      <c r="B997" s="5" t="inlineStr">
        <is>
          <t>Name</t>
        </is>
      </c>
      <c r="C997" s="5" t="inlineStr">
        <is>
          <t>Unlocked</t>
        </is>
      </c>
      <c r="D997" s="5" t="inlineStr">
        <is>
          <t>InputLevel</t>
        </is>
      </c>
      <c r="E997" s="5" t="inlineStr">
        <is>
          <t>Factor</t>
        </is>
      </c>
      <c r="F997" s="5" t="inlineStr">
        <is>
          <t>CoefficientPercent</t>
        </is>
      </c>
      <c r="G997" s="5" t="inlineStr">
        <is>
          <t>EffectiveHits</t>
        </is>
      </c>
      <c r="H997" s="5" t="inlineStr">
        <is>
          <t>ProcProbability</t>
        </is>
      </c>
      <c r="I997" s="5" t="inlineStr">
        <is>
          <t>MapleHeroMultiplier</t>
        </is>
      </c>
      <c r="J997" s="5" t="inlineStr">
        <is>
          <t>BaseDamage</t>
        </is>
      </c>
      <c r="K997" s="5" t="inlineStr">
        <is>
          <t>BaseHitDamage</t>
        </is>
      </c>
      <c r="L997" s="5" t="inlineStr">
        <is>
          <t>NonCritAvg</t>
        </is>
      </c>
      <c r="M997" s="5" t="inlineStr">
        <is>
          <t>CritAvg</t>
        </is>
      </c>
      <c r="N997" s="5" t="inlineStr">
        <is>
          <t>ExpectedDamage(perHit)</t>
        </is>
      </c>
      <c r="O997" s="5" t="inlineStr">
        <is>
          <t>DPS</t>
        </is>
      </c>
      <c r="P997" s="5" t="inlineStr">
        <is>
          <t>% of Total</t>
        </is>
      </c>
      <c r="R997" t="inlineStr">
        <is>
          <t>helpers</t>
        </is>
      </c>
    </row>
    <row r="998">
      <c r="A998">
        <f>Skills!A2</f>
        <v/>
      </c>
      <c r="B998">
        <f>Skills!B2</f>
        <v/>
      </c>
      <c r="C998">
        <f>Inputs!$B$3&gt;=100</f>
        <v/>
      </c>
      <c r="D998" t="inlineStr"/>
      <c r="E998" t="inlineStr"/>
      <c r="F998">
        <f>T1000+Skills!N2</f>
        <v/>
      </c>
      <c r="G998">
        <f>Calc!G2</f>
        <v/>
      </c>
      <c r="H998">
        <f>Calc!H2</f>
        <v/>
      </c>
      <c r="I998">
        <f>IF(Skills!T2&lt;&gt;"",1+(Skills!T2/10)*($Z$3/1000)/100,1)</f>
        <v/>
      </c>
      <c r="J998">
        <f>((Inputs!$B$6*(1+Inputs!$B$7/100))+(((Inputs!$B$13*(1+Inputs!$B$14/100))-(Inputs!$B$13*(1+Inputs!$B$14/100)))+0.25*(Inputs!$B$15-Inputs!$B$15))*(1+Inputs!$B$7/100))*(F998/100)</f>
        <v/>
      </c>
      <c r="K998">
        <f>J998*(1+(((Inputs!$B$13+IF(Inputs!$B$3&gt;=35,(10*INDEX(FactorTable!$B$2:$Y$301,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2="TRIUMPH_FEATHER",IF(C1012=TRUE,F1012,0),0)/100)*(1+IF(C1023=TRUE,F1023,0)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998)</f>
        <v/>
      </c>
      <c r="L998">
        <f>K998*(MIN(Inputs!$B$23+(F1018-Calc!F22),(Inputs!$B$24+IF(ArtifactsInput!$M$15,CHOOSE(ArtifactsInput!$N$15+1,25,30,35,40,45,50)/100*(Inputs!$B$12-Inputs!$B$12),0)))/100+(Inputs!$B$24+IF(ArtifactsInput!$M$15,CHOOSE(ArtifactsInput!$N$15+1,25,30,35,40,45,50)/100*(Inputs!$B$12-Inputs!$B$12),0))/100)/2</f>
        <v/>
      </c>
      <c r="M998">
        <f>L998*(1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98">
        <f>L998*(1-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998*(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8">
        <f>(1-Summary!$B$11)*S998+Summary!$B$11*U998</f>
        <v/>
      </c>
      <c r="P998">
        <f>IF(B1038=0,0,O998/B1038)</f>
        <v/>
      </c>
      <c r="Q998">
        <f>IFERROR(1/(IF(Inputs!$B$39="pvp",15,MAX(0.1,Skills!D2-IF(Skills!E2=TRUE,Inputs!$B$33,0)))*(1-IF(AND(ArtifactsInput!$M$27,Inputs!$B$4="Chapter Hunt"),CHOOSE(ArtifactsInput!$N$27+1,20,24,28,32,36,40),0)/100)),0)</f>
        <v/>
      </c>
      <c r="R998" t="n">
        <v>0</v>
      </c>
      <c r="S998">
        <f>IF(C998,(Skills!F2*N998*B1033)*IF(Inputs!$B$39="pvp",1,1+(Inputs!$B$21+Skills!O2+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998*(1-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998*(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998*(1-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998*(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98">
        <f>MAX(0,(Inputs!$B$3-100)*3)+Inputs!$B$29+(Inputs!$B$30+1)</f>
        <v/>
      </c>
      <c r="U998">
        <f>IF(C998,(Skills!F2*N998*B1033)*IF(Inputs!$B$39="pvp",1,(1+(Inputs!$B$22+Skills!P2+B1027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9">
      <c r="A999">
        <f>Skills!A3</f>
        <v/>
      </c>
      <c r="B999">
        <f>Skills!B3</f>
        <v/>
      </c>
      <c r="C999">
        <f>Inputs!$B$3&gt;=15</f>
        <v/>
      </c>
      <c r="D999">
        <f>IF(Skills!C3=1,60+Inputs!$B$26+(Inputs!$B$30+1),IF(Skills!C3=2,90+Inputs!$B$27+(Inputs!$B$30+1),IF(Skills!C3=3,120+Inputs!$B$28+(Inputs!$B$30+1),MAX(0,(Inputs!$B$3-100)*3)+Inputs!$B$29+(Inputs!$B$30+1))))</f>
        <v/>
      </c>
      <c r="E999">
        <f>INDEX(FactorTable!$B$2:$Y$301, MATCH(ROUND(MIN(300,MAX(1,D999)),0), FactorTable!$A$2:$A$301,0), Skills!L3+1)</f>
        <v/>
      </c>
      <c r="F999">
        <f>IF(Skills!M3=TRUE,(Skills!K3/10)*(E999/1000),Skills!K3/10)+Skills!N3</f>
        <v/>
      </c>
      <c r="G999">
        <f>Calc!G3</f>
        <v/>
      </c>
      <c r="H999">
        <f>Calc!H3</f>
        <v/>
      </c>
      <c r="I999">
        <f>IF(Skills!T3&lt;&gt;"",1+(Skills!T3/10)*($Z$3/1000)/100,1)</f>
        <v/>
      </c>
      <c r="J999" t="inlineStr"/>
      <c r="K999" t="inlineStr"/>
      <c r="L999" t="inlineStr"/>
      <c r="M999" t="inlineStr"/>
      <c r="N999" t="inlineStr"/>
      <c r="O999">
        <f>(1-Summary!$B$11)*S999+Summary!$B$11*U999</f>
        <v/>
      </c>
      <c r="P999">
        <f>IF(B1038=0,0,O999/B1038)</f>
        <v/>
      </c>
      <c r="Q999">
        <f>IFERROR(1/(IF(Inputs!$B$39="pvp",15,MAX(0.1,Skills!D3-IF(Skills!E3=TRUE,Inputs!$B$33,0)))*(1-IF(AND(ArtifactsInput!$M$27,Inputs!$B$4="Chapter Hunt"),CHOOSE(ArtifactsInput!$N$27+1,20,24,28,32,36,40),0)/100)),0)</f>
        <v/>
      </c>
      <c r="R999">
        <f>IF(AND(Inputs!$B$39&lt;&gt;"pvp",Inputs!$B$44&gt;0),IF(Inputs!$B$44&lt;=0,0,(INT(Inputs!$B$44/(IF(Inputs!$B$39="pvp",15,MAX(0.1,Skills!D3-IF(Skills!E3=TRUE,Inputs!$B$33,0)))*(1-IF(AND(ArtifactsInput!$M$27,Inputs!$B$4="Chapter Hunt"),CHOOSE(ArtifactsInput!$N$27+1,20,24,28,32,36,40),0)/100)))+1)),0)</f>
        <v/>
      </c>
      <c r="S999" t="n">
        <v>0</v>
      </c>
      <c r="T999">
        <f>INDEX(FactorTable!$B$2:$Y$301, MATCH(ROUND(MIN(300,MAX(1,T998)),0), FactorTable!$A$2:$A$301,0), 22)</f>
        <v/>
      </c>
      <c r="U999" t="n">
        <v>0</v>
      </c>
    </row>
    <row r="1000">
      <c r="A1000">
        <f>Skills!A4</f>
        <v/>
      </c>
      <c r="B1000">
        <f>Skills!B4</f>
        <v/>
      </c>
      <c r="C1000">
        <f>Inputs!$B$3&gt;=38</f>
        <v/>
      </c>
      <c r="D1000">
        <f>IF(Skills!C4=1,60+Inputs!$B$26+(Inputs!$B$30+1),IF(Skills!C4=2,90+Inputs!$B$27+(Inputs!$B$30+1),IF(Skills!C4=3,120+Inputs!$B$28+(Inputs!$B$30+1),MAX(0,(Inputs!$B$3-100)*3)+Inputs!$B$29+(Inputs!$B$30+1))))</f>
        <v/>
      </c>
      <c r="E1000">
        <f>INDEX(FactorTable!$B$2:$Y$301, MATCH(ROUND(MIN(300,MAX(1,D1000)),0), FactorTable!$A$2:$A$301,0), Skills!L4+1)</f>
        <v/>
      </c>
      <c r="F1000">
        <f>IF(Skills!M4=TRUE,(Skills!K4/10)*(E1000/1000),Skills!K4/10)+Skills!N4</f>
        <v/>
      </c>
      <c r="G1000">
        <f>Calc!G4</f>
        <v/>
      </c>
      <c r="H1000">
        <f>Calc!H4</f>
        <v/>
      </c>
      <c r="I1000">
        <f>IF(Skills!T4&lt;&gt;"",1+(Skills!T4/10)*($Z$3/1000)/100,1)</f>
        <v/>
      </c>
      <c r="J1000" t="inlineStr"/>
      <c r="K1000" t="inlineStr"/>
      <c r="L1000" t="inlineStr"/>
      <c r="M1000" t="inlineStr"/>
      <c r="N1000" t="inlineStr"/>
      <c r="O1000">
        <f>(1-Summary!$B$11)*S1000+Summary!$B$11*U1000</f>
        <v/>
      </c>
      <c r="P1000">
        <f>IF(B1038=0,0,O1000/B1038)</f>
        <v/>
      </c>
      <c r="Q1000">
        <f>IFERROR(1/(IF(Inputs!$B$39="pvp",15,MAX(0.1,Skills!D4-IF(Skills!E4=TRUE,Inputs!$B$33,0)))*(1-IF(AND(ArtifactsInput!$M$27,Inputs!$B$4="Chapter Hunt"),CHOOSE(ArtifactsInput!$N$27+1,20,24,28,32,36,40),0)/100)),0)</f>
        <v/>
      </c>
      <c r="R1000">
        <f>IF(AND(Inputs!$B$39&lt;&gt;"pvp",Inputs!$B$44&gt;0),IF(Inputs!$B$44&lt;=0,0,(INT(Inputs!$B$44/(IF(Inputs!$B$39="pvp",15,MAX(0.1,Skills!D4-IF(Skills!E4=TRUE,Inputs!$B$33,0)))*(1-IF(AND(ArtifactsInput!$M$27,Inputs!$B$4="Chapter Hunt"),CHOOSE(ArtifactsInput!$N$27+1,20,24,28,32,36,40),0)/100)))+1)),0)</f>
        <v/>
      </c>
      <c r="S1000" t="n">
        <v>0</v>
      </c>
      <c r="T1000">
        <f>290*T999/1000</f>
        <v/>
      </c>
      <c r="U1000" t="n">
        <v>0</v>
      </c>
    </row>
    <row r="1001">
      <c r="A1001">
        <f>Skills!A5</f>
        <v/>
      </c>
      <c r="B1001">
        <f>Skills!B5</f>
        <v/>
      </c>
      <c r="C1001">
        <f>Inputs!$B$3&gt;=40</f>
        <v/>
      </c>
      <c r="D1001">
        <f>IF(Skills!C5=1,60+Inputs!$B$26+(Inputs!$B$30+1),IF(Skills!C5=2,90+Inputs!$B$27+(Inputs!$B$30+1),IF(Skills!C5=3,120+Inputs!$B$28+(Inputs!$B$30+1),MAX(0,(Inputs!$B$3-100)*3)+Inputs!$B$29+(Inputs!$B$30+1))))</f>
        <v/>
      </c>
      <c r="E1001">
        <f>INDEX(FactorTable!$B$2:$Y$301, MATCH(ROUND(MIN(300,MAX(1,D1001)),0), FactorTable!$A$2:$A$301,0), Skills!L5+1)</f>
        <v/>
      </c>
      <c r="F1001">
        <f>IF(Skills!M5=TRUE,(Skills!K5/10)*(E1001/1000),Skills!K5/10)+Skills!N5</f>
        <v/>
      </c>
      <c r="G1001">
        <f>Calc!G5</f>
        <v/>
      </c>
      <c r="H1001">
        <f>Calc!H5</f>
        <v/>
      </c>
      <c r="I1001">
        <f>IF(Skills!T5&lt;&gt;"",1+(Skills!T5/10)*($Z$3/1000)/100,1)</f>
        <v/>
      </c>
      <c r="J1001" t="inlineStr"/>
      <c r="K1001" t="inlineStr"/>
      <c r="L1001" t="inlineStr"/>
      <c r="M1001" t="inlineStr"/>
      <c r="N1001" t="inlineStr"/>
      <c r="O1001">
        <f>(1-Summary!$B$11)*S1001+Summary!$B$11*U1001</f>
        <v/>
      </c>
      <c r="P1001">
        <f>IF(B1038=0,0,O1001/B1038)</f>
        <v/>
      </c>
      <c r="Q1001">
        <f>IFERROR(1/(IF(Inputs!$B$39="pvp",15,MAX(0.1,Skills!D5-IF(Skills!E5=TRUE,Inputs!$B$33,0)))*(1-IF(AND(ArtifactsInput!$M$27,Inputs!$B$4="Chapter Hunt"),CHOOSE(ArtifactsInput!$N$27+1,20,24,28,32,36,40),0)/100)),0)</f>
        <v/>
      </c>
      <c r="R1001">
        <f>IF(AND(Inputs!$B$39&lt;&gt;"pvp",Inputs!$B$44&gt;0),IF(Inputs!$B$44&lt;=0,0,(INT(Inputs!$B$44/(IF(Inputs!$B$39="pvp",15,MAX(0.1,Skills!D5-IF(Skills!E5=TRUE,Inputs!$B$33,0)))*(1-IF(AND(ArtifactsInput!$M$27,Inputs!$B$4="Chapter Hunt"),CHOOSE(ArtifactsInput!$N$27+1,20,24,28,32,36,40),0)/100)))+1)),0)</f>
        <v/>
      </c>
      <c r="S1001" t="n">
        <v>0</v>
      </c>
      <c r="U1001" t="n">
        <v>0</v>
      </c>
    </row>
    <row r="1002">
      <c r="A1002">
        <f>Skills!A6</f>
        <v/>
      </c>
      <c r="B1002">
        <f>Skills!B6</f>
        <v/>
      </c>
      <c r="C1002">
        <f>Inputs!$B$3&gt;=103</f>
        <v/>
      </c>
      <c r="D1002">
        <f>IF(Skills!C6=1,60+Inputs!$B$26+(Inputs!$B$30+1),IF(Skills!C6=2,90+Inputs!$B$27+(Inputs!$B$30+1),IF(Skills!C6=3,120+Inputs!$B$28+(Inputs!$B$30+1),MAX(0,(Inputs!$B$3-100)*3)+Inputs!$B$29+(Inputs!$B$30+1))))</f>
        <v/>
      </c>
      <c r="E1002">
        <f>INDEX(FactorTable!$B$2:$Y$301, MATCH(ROUND(MIN(300,MAX(1,D1002)),0), FactorTable!$A$2:$A$301,0), Skills!L6+1)</f>
        <v/>
      </c>
      <c r="F1002">
        <f>IF(Skills!M6=TRUE,(Skills!K6/10)*(E1002/1000),Skills!K6/10)+Skills!N6</f>
        <v/>
      </c>
      <c r="G1002">
        <f>Calc!G6</f>
        <v/>
      </c>
      <c r="H1002">
        <f>Calc!H6</f>
        <v/>
      </c>
      <c r="I1002">
        <f>IF(Skills!T6&lt;&gt;"",1+(Skills!T6/10)*($Z$3/1000)/100,1)</f>
        <v/>
      </c>
      <c r="J1002">
        <f>((Inputs!$B$6*(1+Inputs!$B$7/100))+(((Inputs!$B$13*(1+Inputs!$B$14/100))-(Inputs!$B$13*(1+Inputs!$B$14/100)))+0.25*(Inputs!$B$15-Inputs!$B$15))*(1+Inputs!$B$7/100))*(F1002/100)</f>
        <v/>
      </c>
      <c r="K1002">
        <f>J1002*(1+(((Inputs!$B$13+IF(Inputs!$B$3&gt;=35,(10*INDEX(FactorTable!$B$2:$Y$301,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6="TRIUMPH_FEATHER",IF(C1012=TRUE,F1012,0),0)/100)*(1+IF(C1023=TRUE,F1023,0)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1002)</f>
        <v/>
      </c>
      <c r="L1002">
        <f>K1002*(MIN(Inputs!$B$23+(F1018-Calc!F22),(Inputs!$B$24+IF(ArtifactsInput!$M$15,CHOOSE(ArtifactsInput!$N$15+1,25,30,35,40,45,50)/100*(Inputs!$B$12-Inputs!$B$12),0)))/100+(Inputs!$B$24+IF(ArtifactsInput!$M$15,CHOOSE(ArtifactsInput!$N$15+1,25,30,35,40,45,50)/100*(Inputs!$B$12-Inputs!$B$12),0))/100)/2</f>
        <v/>
      </c>
      <c r="M1002">
        <f>L1002*(1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2">
        <f>L1002*(1-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(1-Summary!$B$11)*S1002+Summary!$B$11*U1002</f>
        <v/>
      </c>
      <c r="P1002">
        <f>IF(B1038=0,0,O1002/B1038)</f>
        <v/>
      </c>
      <c r="Q1002">
        <f>IFERROR(1/(IF(Inputs!$B$39="pvp",15,MAX(0.1,Skills!D6-IF(Skills!E6=TRUE,Inputs!$B$33,0)))*(1-IF(AND(ArtifactsInput!$M$27,Inputs!$B$4="Chapter Hunt"),CHOOSE(ArtifactsInput!$N$27+1,20,24,28,32,36,40),0)/100)),0)</f>
        <v/>
      </c>
      <c r="R1002">
        <f>IF(AND(Inputs!$B$39&lt;&gt;"pvp",Inputs!$B$44&gt;0),IF(MAX(0,Inputs!$B$44-B1035)&lt;=0,0,(INT(MAX(0,Inputs!$B$44-B1035)/(IF(Inputs!$B$39="pvp",15,MAX(0.1,Skills!D6-IF(Skills!E6=TRUE,Inputs!$B$33,0)))*(1-IF(AND(ArtifactsInput!$M$27,Inputs!$B$4="Chapter Hunt"),CHOOSE(ArtifactsInput!$N$27+1,20,24,28,32,36,40),0)/100)))+1)),0)</f>
        <v/>
      </c>
      <c r="S1002">
        <f>IF(C1002,(H1002*N1002*IF(AND(Inputs!$B$39&lt;&gt;"pvp",Inputs!$B$44&gt;0),((Skills!F6*((R1002-1)*IF(Skills!G6&gt;0,Skills!H6/Skills!G6,1)+IF(Skills!G6&gt;0,MIN(Skills!H6,MAX(0,MAX(0,Inputs!$B$44-B1035)-((R1002-1)*(IF(Inputs!$B$39="pvp",15,MAX(0.1,Skills!D6-IF(Skills!E6=TRUE,Inputs!$B$33,0)))*(1-IF(AND(ArtifactsInput!$M$27,Inputs!$B$4="Chapter Hunt"),CHOOSE(ArtifactsInput!$N$27+1,20,24,28,32,36,40),0)/100)))))/Skills!G6,1)))/Inputs!$B$44),G1002*Q1002))*IF(Inputs!$B$39="pvp",1,1+(Inputs!$B$21+Skills!O6+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1002*(1-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2">
        <f>IF(C1002,(H1002*N1002*IF(AND(Inputs!$B$39&lt;&gt;"pvp",Inputs!$B$44&gt;0),((Skills!F6*((R1002-1)*IF(Skills!G6&gt;0,Skills!H6/Skills!G6,1)+IF(Skills!G6&gt;0,MIN(Skills!H6,MAX(0,MAX(0,Inputs!$B$44-B1035)-((R1002-1)*(IF(Inputs!$B$39="pvp",15,MAX(0.1,Skills!D6-IF(Skills!E6=TRUE,Inputs!$B$33,0)))*(1-IF(AND(ArtifactsInput!$M$27,Inputs!$B$4="Chapter Hunt"),CHOOSE(ArtifactsInput!$N$27+1,20,24,28,32,36,40),0)/100)))))/Skills!G6,1)))/Inputs!$B$44),G1002*Q1002))*IF(Inputs!$B$39="pvp",1,(1+(Inputs!$B$22+Skills!P6+B1027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Skills!A7</f>
        <v/>
      </c>
      <c r="B1003">
        <f>Skills!B7</f>
        <v/>
      </c>
      <c r="C1003">
        <f>Inputs!$B$3&gt;=122</f>
        <v/>
      </c>
      <c r="D1003">
        <f>IF(Skills!C7=1,60+Inputs!$B$26+(Inputs!$B$30+1),IF(Skills!C7=2,90+Inputs!$B$27+(Inputs!$B$30+1),IF(Skills!C7=3,120+Inputs!$B$28+(Inputs!$B$30+1),MAX(0,(Inputs!$B$3-100)*3)+Inputs!$B$29+(Inputs!$B$30+1))))</f>
        <v/>
      </c>
      <c r="E1003">
        <f>INDEX(FactorTable!$B$2:$Y$301, MATCH(ROUND(MIN(300,MAX(1,D1003)),0), FactorTable!$A$2:$A$301,0), Skills!L7+1)</f>
        <v/>
      </c>
      <c r="F1003">
        <f>IF(Skills!M7=TRUE,(Skills!K7/10)*(E1003/1000),Skills!K7/10)+Skills!N7</f>
        <v/>
      </c>
      <c r="G1003">
        <f>Calc!G7</f>
        <v/>
      </c>
      <c r="H1003">
        <f>Calc!H7</f>
        <v/>
      </c>
      <c r="I1003">
        <f>IF(Skills!T7&lt;&gt;"",1+(Skills!T7/10)*($Z$3/1000)/100,1)</f>
        <v/>
      </c>
      <c r="J1003">
        <f>((Inputs!$B$6*(1+Inputs!$B$7/100))+(((Inputs!$B$13*(1+Inputs!$B$14/100))-(Inputs!$B$13*(1+Inputs!$B$14/100)))+0.25*(Inputs!$B$15-Inputs!$B$15))*(1+Inputs!$B$7/100))*(F1003/100)</f>
        <v/>
      </c>
      <c r="K1003">
        <f>J1003*(1+(((Inputs!$B$13+IF(Inputs!$B$3&gt;=35,(10*INDEX(FactorTable!$B$2:$Y$301,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7="TRIUMPH_FEATHER",IF(C1012=TRUE,F1012,0),0)/100)*(1+IF(C1023=TRUE,F1023,0)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1003)</f>
        <v/>
      </c>
      <c r="L1003">
        <f>K1003*(MIN(Inputs!$B$23+(F1018-Calc!F22),(Inputs!$B$24+IF(ArtifactsInput!$M$15,CHOOSE(ArtifactsInput!$N$15+1,25,30,35,40,45,50)/100*(Inputs!$B$12-Inputs!$B$12),0)))/100+(Inputs!$B$24+IF(ArtifactsInput!$M$15,CHOOSE(ArtifactsInput!$N$15+1,25,30,35,40,45,50)/100*(Inputs!$B$12-Inputs!$B$12),0))/100)/2</f>
        <v/>
      </c>
      <c r="M1003">
        <f>L1003*(1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3">
        <f>L1003*(1-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(1-Summary!$B$11)*S1003+Summary!$B$11*U1003</f>
        <v/>
      </c>
      <c r="P1003">
        <f>IF(B1038=0,0,O1003/B1038)</f>
        <v/>
      </c>
      <c r="Q1003">
        <f>IFERROR(1/(IF(Inputs!$B$39="pvp",15,MAX(0.1,Skills!D7-IF(Skills!E6=TRUE,Inputs!$B$33,0)))*(1-IF(AND(ArtifactsInput!$M$27,Inputs!$B$4="Chapter Hunt"),CHOOSE(ArtifactsInput!$N$27+1,20,24,28,32,36,40),0)/100)),0)</f>
        <v/>
      </c>
      <c r="R1003">
        <f>IF(AND(Inputs!$B$39&lt;&gt;"pvp",Inputs!$B$44&gt;0),IF(MAX(0,Inputs!$B$44-B1035)&lt;=0,0,(INT(MAX(0,Inputs!$B$44-B1035)/(IF(Inputs!$B$39="pvp",15,MAX(0.1,Skills!D7-IF(Skills!E6=TRUE,Inputs!$B$33,0)))*(1-IF(AND(ArtifactsInput!$M$27,Inputs!$B$4="Chapter Hunt"),CHOOSE(ArtifactsInput!$N$27+1,20,24,28,32,36,40),0)/100)))+1)),0)</f>
        <v/>
      </c>
      <c r="S1003">
        <f>IF(C1003,H1003*N1003*IF(AND(Inputs!$B$39&lt;&gt;"pvp",Inputs!$B$44&gt;0),((Skills!F7*((R1003-1)*IF(Skills!G7&gt;0,Skills!H7/Skills!G7,1)+IF(Skills!G7&gt;0,MIN(Skills!H7,MAX(0,MAX(0,Inputs!$B$44-B1035)-((R1003-1)*(IF(Inputs!$B$39="pvp",15,MAX(0.1,Skills!D7-IF(Skills!E6=TRUE,Inputs!$B$33,0)))*(1-IF(AND(ArtifactsInput!$M$27,Inputs!$B$4="Chapter Hunt"),CHOOSE(ArtifactsInput!$N$27+1,20,24,28,32,36,40),0)/100)))))/Skills!G7,1)))/Inputs!$B$44),G1003*Q1003)*IF(Inputs!$B$39="pvp",1,1+(Inputs!$B$21+Skills!O7+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1003*(1-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3" t="n">
        <v>0</v>
      </c>
    </row>
    <row r="1004">
      <c r="A1004">
        <f>Skills!A8</f>
        <v/>
      </c>
      <c r="B1004">
        <f>Skills!B8</f>
        <v/>
      </c>
      <c r="C1004">
        <f>Inputs!$B$3&gt;=105</f>
        <v/>
      </c>
      <c r="D1004">
        <f>IF(Skills!C8=1,60+Inputs!$B$26+(Inputs!$B$30+1),IF(Skills!C8=2,90+Inputs!$B$27+(Inputs!$B$30+1),IF(Skills!C8=3,120+Inputs!$B$28+(Inputs!$B$30+1),MAX(0,(Inputs!$B$3-100)*3)+Inputs!$B$29+(Inputs!$B$30+1))))</f>
        <v/>
      </c>
      <c r="E1004">
        <f>INDEX(FactorTable!$B$2:$Y$301, MATCH(ROUND(MIN(300,MAX(1,D1004)),0), FactorTable!$A$2:$A$301,0), Skills!L8+1)</f>
        <v/>
      </c>
      <c r="F1004">
        <f>IF(Skills!M8=TRUE,(Skills!K8/10)*(E1004/1000),Skills!K8/10)+Skills!N8</f>
        <v/>
      </c>
      <c r="G1004">
        <f>Calc!G8</f>
        <v/>
      </c>
      <c r="H1004">
        <f>Calc!H8</f>
        <v/>
      </c>
      <c r="I1004">
        <f>IF(Skills!T8&lt;&gt;"",1+(Skills!T8/10)*($Z$3/1000)/100,1)</f>
        <v/>
      </c>
      <c r="J1004">
        <f>((Inputs!$B$6*(1+Inputs!$B$7/100))+(((Inputs!$B$13*(1+Inputs!$B$14/100))-(Inputs!$B$13*(1+Inputs!$B$14/100)))+0.25*(Inputs!$B$15-Inputs!$B$15))*(1+Inputs!$B$7/100))*(F1004/100)</f>
        <v/>
      </c>
      <c r="K1004">
        <f>J1004*(1+(((Inputs!$B$13+IF(Inputs!$B$3&gt;=35,(10*INDEX(FactorTable!$B$2:$Y$301,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8="TRIUMPH_FEATHER",IF(C1012=TRUE,F1012,0),0)/100)*(1+IF(C1023=TRUE,F1023,0)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1004)</f>
        <v/>
      </c>
      <c r="L1004">
        <f>K1004*(MIN(Inputs!$B$23+(F1018-Calc!F22),(Inputs!$B$24+IF(ArtifactsInput!$M$15,CHOOSE(ArtifactsInput!$N$15+1,25,30,35,40,45,50)/100*(Inputs!$B$12-Inputs!$B$12),0)))/100+(Inputs!$B$24+IF(ArtifactsInput!$M$15,CHOOSE(ArtifactsInput!$N$15+1,25,30,35,40,45,50)/100*(Inputs!$B$12-Inputs!$B$12),0))/100)/2</f>
        <v/>
      </c>
      <c r="M1004">
        <f>L1004*(1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4">
        <f>L1004*(1-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(1-Summary!$B$11)*S1004+Summary!$B$11*U1004</f>
        <v/>
      </c>
      <c r="P1004">
        <f>IF(B1038=0,0,O1004/B1038)</f>
        <v/>
      </c>
      <c r="Q1004">
        <f>IFERROR(1/(IF(Inputs!$B$39="pvp",15,MAX(0.1,Skills!D8-IF(Skills!E8=TRUE,Inputs!$B$33,0)))*(1-IF(AND(ArtifactsInput!$M$27,Inputs!$B$4="Chapter Hunt"),CHOOSE(ArtifactsInput!$N$27+1,20,24,28,32,36,40),0)/100)),0)</f>
        <v/>
      </c>
      <c r="R1004">
        <f>IF(AND(Inputs!$B$39&lt;&gt;"pvp",Inputs!$B$44&gt;0),IF(MAX(0,Inputs!$B$44-B1035)&lt;=0,0,(INT(MAX(0,Inputs!$B$44-B1035)/(IF(Inputs!$B$39="pvp",15,MAX(0.1,Skills!D8-IF(Skills!E8=TRUE,Inputs!$B$33,0)))*(1-IF(AND(ArtifactsInput!$M$27,Inputs!$B$4="Chapter Hunt"),CHOOSE(ArtifactsInput!$N$27+1,20,24,28,32,36,40),0)/100)))+1)),0)</f>
        <v/>
      </c>
      <c r="S1004">
        <f>IF(C1004,(H1004*N1004*IF(AND(Inputs!$B$39&lt;&gt;"pvp",Inputs!$B$44&gt;0),((Skills!F8*((R1004-1)*IF(Skills!G8&gt;0,Skills!H8/Skills!G8,1)+IF(Skills!G8&gt;0,MIN(Skills!H8,MAX(0,MAX(0,Inputs!$B$44-B1035)-((R1004-1)*(IF(Inputs!$B$39="pvp",15,MAX(0.1,Skills!D8-IF(Skills!E8=TRUE,Inputs!$B$33,0)))*(1-IF(AND(ArtifactsInput!$M$27,Inputs!$B$4="Chapter Hunt"),CHOOSE(ArtifactsInput!$N$27+1,20,24,28,32,36,40),0)/100)))))/Skills!G8,1)))/Inputs!$B$44),G1004*Q1004))*IF(Inputs!$B$39="pvp",1,1+(Inputs!$B$21+Skills!O8+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1004*(1-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4">
        <f>IF(C1004,(H1004*N1004*IF(AND(Inputs!$B$39&lt;&gt;"pvp",Inputs!$B$44&gt;0),((Skills!F8*((R1004-1)*IF(Skills!G8&gt;0,Skills!H8/Skills!G8,1)+IF(Skills!G8&gt;0,MIN(Skills!H8,MAX(0,MAX(0,Inputs!$B$44-B1035)-((R1004-1)*(IF(Inputs!$B$39="pvp",15,MAX(0.1,Skills!D8-IF(Skills!E8=TRUE,Inputs!$B$33,0)))*(1-IF(AND(ArtifactsInput!$M$27,Inputs!$B$4="Chapter Hunt"),CHOOSE(ArtifactsInput!$N$27+1,20,24,28,32,36,40),0)/100)))))/Skills!G8,1)))/Inputs!$B$44),G1004*Q1004))*IF(Inputs!$B$39="pvp",1,(1+(Inputs!$B$22+Skills!P8+B1027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Skills!A9</f>
        <v/>
      </c>
      <c r="B1005">
        <f>Skills!B9</f>
        <v/>
      </c>
      <c r="C1005">
        <f>Inputs!$B$3&gt;=115</f>
        <v/>
      </c>
      <c r="D1005">
        <f>IF(Skills!C9=1,60+Inputs!$B$26+(Inputs!$B$30+1),IF(Skills!C9=2,90+Inputs!$B$27+(Inputs!$B$30+1),IF(Skills!C9=3,120+Inputs!$B$28+(Inputs!$B$30+1),MAX(0,(Inputs!$B$3-100)*3)+Inputs!$B$29+(Inputs!$B$30+1))))</f>
        <v/>
      </c>
      <c r="E1005">
        <f>INDEX(FactorTable!$B$2:$Y$301, MATCH(ROUND(MIN(300,MAX(1,D1005)),0), FactorTable!$A$2:$A$301,0), Skills!L9+1)</f>
        <v/>
      </c>
      <c r="F1005">
        <f>IF(Skills!M9=TRUE,(Skills!K9/10)*(E1005/1000),Skills!K9/10)+Skills!N9</f>
        <v/>
      </c>
      <c r="G1005">
        <f>Calc!G9</f>
        <v/>
      </c>
      <c r="H1005">
        <f>Calc!H9</f>
        <v/>
      </c>
      <c r="I1005">
        <f>IF(Skills!T9&lt;&gt;"",1+(Skills!T9/10)*($Z$3/1000)/100,1)</f>
        <v/>
      </c>
      <c r="J1005">
        <f>((Inputs!$B$6*(1+Inputs!$B$7/100))+(((Inputs!$B$13*(1+Inputs!$B$14/100))-(Inputs!$B$13*(1+Inputs!$B$14/100)))+0.25*(Inputs!$B$15-Inputs!$B$15))*(1+Inputs!$B$7/100))*(F1005/100)</f>
        <v/>
      </c>
      <c r="K1005">
        <f>J1005*(1+(((Inputs!$B$13+IF(Inputs!$B$3&gt;=35,(10*INDEX(FactorTable!$B$2:$Y$301,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9="TRIUMPH_FEATHER",IF(C1012=TRUE,F1012,0),0)/100)*(1+IF(C1023=TRUE,F1023,0)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1005)</f>
        <v/>
      </c>
      <c r="L1005">
        <f>K1005*(MIN(Inputs!$B$23+(F1018-Calc!F22),(Inputs!$B$24+IF(ArtifactsInput!$M$15,CHOOSE(ArtifactsInput!$N$15+1,25,30,35,40,45,50)/100*(Inputs!$B$12-Inputs!$B$12),0)))/100+(Inputs!$B$24+IF(ArtifactsInput!$M$15,CHOOSE(ArtifactsInput!$N$15+1,25,30,35,40,45,50)/100*(Inputs!$B$12-Inputs!$B$12),0))/100)/2</f>
        <v/>
      </c>
      <c r="M1005">
        <f>L1005*(1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5">
        <f>L1005*(1-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(1-Summary!$B$11)*S1005+Summary!$B$11*U1005</f>
        <v/>
      </c>
      <c r="P1005">
        <f>IF(B1038=0,0,O1005/B1038)</f>
        <v/>
      </c>
      <c r="Q1005">
        <f>IFERROR(1/(IF(Inputs!$B$39="pvp",15,MAX(0.1,Skills!D9-IF(Skills!E9=TRUE,Inputs!$B$33,0)))*(1-IF(AND(ArtifactsInput!$M$27,Inputs!$B$4="Chapter Hunt"),CHOOSE(ArtifactsInput!$N$27+1,20,24,28,32,36,40),0)/100)),0)</f>
        <v/>
      </c>
      <c r="R1005">
        <f>IF(AND(Inputs!$B$39&lt;&gt;"pvp",Inputs!$B$44&gt;0),IF(MAX(0,Inputs!$B$44-B1035)&lt;=0,0,(INT(MAX(0,Inputs!$B$44-B1035)/(IF(Inputs!$B$39="pvp",15,MAX(0.1,Skills!D9-IF(Skills!E9=TRUE,Inputs!$B$33,0)))*(1-IF(AND(ArtifactsInput!$M$27,Inputs!$B$4="Chapter Hunt"),CHOOSE(ArtifactsInput!$N$27+1,20,24,28,32,36,40),0)/100)))+1)),0)</f>
        <v/>
      </c>
      <c r="S1005">
        <f>IF(C1005,(H1005*N1005*IF(AND(Inputs!$B$39&lt;&gt;"pvp",Inputs!$B$44&gt;0),((Skills!F9*((R1005-1)*IF(Skills!G9&gt;0,Skills!H9/Skills!G9,1)+IF(Skills!G9&gt;0,MIN(Skills!H9,MAX(0,MAX(0,Inputs!$B$44-B1035)-((R1005-1)*(IF(Inputs!$B$39="pvp",15,MAX(0.1,Skills!D9-IF(Skills!E9=TRUE,Inputs!$B$33,0)))*(1-IF(AND(ArtifactsInput!$M$27,Inputs!$B$4="Chapter Hunt"),CHOOSE(ArtifactsInput!$N$27+1,20,24,28,32,36,40),0)/100)))))/Skills!G9,1)))/Inputs!$B$44),G1005*Q1005))*IF(Inputs!$B$39="pvp",1,1+(Inputs!$B$21+Skills!O9+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1005*(1-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IF(C1005,(H1005*N1005*IF(AND(Inputs!$B$39&lt;&gt;"pvp",Inputs!$B$44&gt;0),((Skills!F9*((R1005-1)*IF(Skills!G9&gt;0,Skills!H9/Skills!G9,1)+IF(Skills!G9&gt;0,MIN(Skills!H9,MAX(0,MAX(0,Inputs!$B$44-B1035)-((R1005-1)*(IF(Inputs!$B$39="pvp",15,MAX(0.1,Skills!D9-IF(Skills!E9=TRUE,Inputs!$B$33,0)))*(1-IF(AND(ArtifactsInput!$M$27,Inputs!$B$4="Chapter Hunt"),CHOOSE(ArtifactsInput!$N$27+1,20,24,28,32,36,40),0)/100)))))/Skills!G9,1)))/Inputs!$B$44),G1005*Q1005))*IF(Inputs!$B$39="pvp",1,(1+(Inputs!$B$22+Skills!P9+B1027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Skills!A10</f>
        <v/>
      </c>
      <c r="B1006">
        <f>Skills!B10</f>
        <v/>
      </c>
      <c r="C1006">
        <f>Inputs!$B$3&gt;=66</f>
        <v/>
      </c>
      <c r="D1006">
        <f>IF(Skills!C10=1,60+Inputs!$B$26+(Inputs!$B$30+1),IF(Skills!C10=2,90+Inputs!$B$27+(Inputs!$B$30+1),IF(Skills!C10=3,120+Inputs!$B$28+(Inputs!$B$30+1),MAX(0,(Inputs!$B$3-100)*3)+Inputs!$B$29+(Inputs!$B$30+1))))</f>
        <v/>
      </c>
      <c r="E1006">
        <f>INDEX(FactorTable!$B$2:$Y$301, MATCH(ROUND(MIN(300,MAX(1,D1006)),0), FactorTable!$A$2:$A$301,0), Skills!L10+1)</f>
        <v/>
      </c>
      <c r="F1006" t="n">
        <v>0</v>
      </c>
      <c r="G1006">
        <f>Calc!G10</f>
        <v/>
      </c>
      <c r="H1006">
        <f>Calc!H10</f>
        <v/>
      </c>
      <c r="I1006">
        <f>IF(Skills!T10&lt;&gt;"",1+(Skills!T10/10)*($Z$3/1000)/100,1)</f>
        <v/>
      </c>
      <c r="J1006" t="inlineStr"/>
      <c r="K1006" t="inlineStr"/>
      <c r="L1006" t="inlineStr"/>
      <c r="M1006" t="inlineStr"/>
      <c r="N1006" t="inlineStr"/>
      <c r="O1006">
        <f>(1-Summary!$B$11)*S1006+Summary!$B$11*U1006</f>
        <v/>
      </c>
      <c r="P1006">
        <f>IF(B1038=0,0,O1006/B1038)</f>
        <v/>
      </c>
      <c r="Q1006">
        <f>IFERROR(1/(IF(Inputs!$B$39="pvp",15,MAX(0.1,Skills!D10-IF(Skills!E10=TRUE,Inputs!$B$33,0)))*(1-IF(AND(ArtifactsInput!$M$27,Inputs!$B$4="Chapter Hunt"),CHOOSE(ArtifactsInput!$N$27+1,20,24,28,32,36,40),0)/100)),0)</f>
        <v/>
      </c>
      <c r="R1006">
        <f>IF(AND(Inputs!$B$39&lt;&gt;"pvp",Inputs!$B$44&gt;0),IF(MAX(0,Inputs!$B$44-B1035)&lt;=0,0,(INT(MAX(0,Inputs!$B$44-B1035)/(IF(Inputs!$B$39="pvp",15,MAX(0.1,Skills!D10-IF(Skills!E10=TRUE,Inputs!$B$33,0)))*(1-IF(AND(ArtifactsInput!$M$27,Inputs!$B$4="Chapter Hunt"),CHOOSE(ArtifactsInput!$N$27+1,20,24,28,32,36,40),0)/100)))+1)),0)</f>
        <v/>
      </c>
      <c r="S1006" t="n">
        <v>0</v>
      </c>
      <c r="U1006" t="n">
        <v>0</v>
      </c>
    </row>
    <row r="1007">
      <c r="A1007">
        <f>Skills!A11</f>
        <v/>
      </c>
      <c r="B1007">
        <f>Skills!B11</f>
        <v/>
      </c>
      <c r="C1007">
        <f>Inputs!$B$3&gt;=69</f>
        <v/>
      </c>
      <c r="D1007">
        <f>IF(Skills!C11=1,60+Inputs!$B$26+(Inputs!$B$30+1),IF(Skills!C11=2,90+Inputs!$B$27+(Inputs!$B$30+1),IF(Skills!C11=3,120+Inputs!$B$28+(Inputs!$B$30+1),MAX(0,(Inputs!$B$3-100)*3)+Inputs!$B$29+(Inputs!$B$30+1))))</f>
        <v/>
      </c>
      <c r="E1007">
        <f>INDEX(FactorTable!$B$2:$Y$301, MATCH(ROUND(MIN(300,MAX(1,D1007)),0), FactorTable!$A$2:$A$301,0), Skills!L11+1)</f>
        <v/>
      </c>
      <c r="F1007">
        <f>IF(Skills!M11=TRUE,(Skills!K11/10)*(E1007/1000),Skills!K11/10)+Skills!N11</f>
        <v/>
      </c>
      <c r="G1007">
        <f>Calc!G11</f>
        <v/>
      </c>
      <c r="H1007">
        <f>Calc!H11</f>
        <v/>
      </c>
      <c r="I1007">
        <f>IF(Skills!T11&lt;&gt;"",1+(Skills!T11/10)*($Z$3/1000)/100,1)</f>
        <v/>
      </c>
      <c r="J1007" t="inlineStr"/>
      <c r="K1007" t="inlineStr"/>
      <c r="L1007" t="inlineStr"/>
      <c r="M1007" t="inlineStr"/>
      <c r="N1007" t="inlineStr"/>
      <c r="O1007">
        <f>(1-Summary!$B$11)*S1007+Summary!$B$11*U1007</f>
        <v/>
      </c>
      <c r="P1007">
        <f>IF(B1038=0,0,O1007/B1038)</f>
        <v/>
      </c>
      <c r="Q1007">
        <f>IFERROR(1/(IF(Inputs!$B$39="pvp",15,MAX(0.1,Skills!D11-IF(Skills!E11=TRUE,Inputs!$B$33,0)))*(1-IF(AND(ArtifactsInput!$M$27,Inputs!$B$4="Chapter Hunt"),CHOOSE(ArtifactsInput!$N$27+1,20,24,28,32,36,40),0)/100)),0)</f>
        <v/>
      </c>
      <c r="R1007">
        <f>IF(AND(Inputs!$B$39&lt;&gt;"pvp",Inputs!$B$44&gt;0),IF(Inputs!$B$44&lt;=0,0,(INT(Inputs!$B$44/(IF(Inputs!$B$39="pvp",15,MAX(0.1,Skills!D11-IF(Skills!E11=TRUE,Inputs!$B$33,0)))*(1-IF(AND(ArtifactsInput!$M$27,Inputs!$B$4="Chapter Hunt"),CHOOSE(ArtifactsInput!$N$27+1,20,24,28,32,36,40),0)/100)))+1)),0)</f>
        <v/>
      </c>
      <c r="S1007" t="n">
        <v>0</v>
      </c>
      <c r="U1007" t="n">
        <v>0</v>
      </c>
    </row>
    <row r="1008">
      <c r="A1008">
        <f>Skills!A12</f>
        <v/>
      </c>
      <c r="B1008">
        <f>Skills!B12</f>
        <v/>
      </c>
      <c r="C1008">
        <f>Inputs!$B$3&gt;=72</f>
        <v/>
      </c>
      <c r="D1008">
        <f>IF(Skills!C12=1,60+Inputs!$B$26+(Inputs!$B$30+1),IF(Skills!C12=2,90+Inputs!$B$27+(Inputs!$B$30+1),IF(Skills!C12=3,120+Inputs!$B$28+(Inputs!$B$30+1),MAX(0,(Inputs!$B$3-100)*3)+Inputs!$B$29+(Inputs!$B$30+1))))</f>
        <v/>
      </c>
      <c r="E1008">
        <f>INDEX(FactorTable!$B$2:$Y$301, MATCH(ROUND(MIN(300,MAX(1,D1008)),0), FactorTable!$A$2:$A$301,0), Skills!L12+1)</f>
        <v/>
      </c>
      <c r="F1008">
        <f>IF(Skills!M12=TRUE,(Skills!K12/10)*(E1008/1000),Skills!K12/10)+Skills!N12</f>
        <v/>
      </c>
      <c r="G1008">
        <f>Calc!G12</f>
        <v/>
      </c>
      <c r="H1008">
        <f>Calc!H12</f>
        <v/>
      </c>
      <c r="I1008">
        <f>IF(Skills!T12&lt;&gt;"",1+(Skills!T12/10)*($Z$3/1000)/100,1)</f>
        <v/>
      </c>
      <c r="J1008" t="inlineStr"/>
      <c r="K1008" t="inlineStr"/>
      <c r="L1008" t="inlineStr"/>
      <c r="M1008" t="inlineStr"/>
      <c r="N1008" t="inlineStr"/>
      <c r="O1008">
        <f>(1-Summary!$B$11)*S1008+Summary!$B$11*U1008</f>
        <v/>
      </c>
      <c r="P1008">
        <f>IF(B1038=0,0,O1008/B1038)</f>
        <v/>
      </c>
      <c r="Q1008">
        <f>IFERROR(1/(IF(Inputs!$B$39="pvp",15,MAX(0.1,Skills!D12-IF(Skills!E12=TRUE,Inputs!$B$33,0)))*(1-IF(AND(ArtifactsInput!$M$27,Inputs!$B$4="Chapter Hunt"),CHOOSE(ArtifactsInput!$N$27+1,20,24,28,32,36,40),0)/100)),0)</f>
        <v/>
      </c>
      <c r="R1008">
        <f>IF(AND(Inputs!$B$39&lt;&gt;"pvp",Inputs!$B$44&gt;0),IF(MAX(0,Inputs!$B$44-B1035)&lt;=0,0,(INT(MAX(0,Inputs!$B$44-B1035)/(IF(Inputs!$B$39="pvp",15,MAX(0.1,Skills!D12-IF(Skills!E12=TRUE,Inputs!$B$33,0)))*(1-IF(AND(ArtifactsInput!$M$27,Inputs!$B$4="Chapter Hunt"),CHOOSE(ArtifactsInput!$N$27+1,20,24,28,32,36,40),0)/100)))+1)),0)</f>
        <v/>
      </c>
      <c r="S1008" t="n">
        <v>0</v>
      </c>
      <c r="U1008" t="n">
        <v>0</v>
      </c>
    </row>
    <row r="1009">
      <c r="A1009">
        <f>Skills!A13</f>
        <v/>
      </c>
      <c r="B1009">
        <f>Skills!B13</f>
        <v/>
      </c>
      <c r="C1009">
        <f>Inputs!$B$3&gt;=60</f>
        <v/>
      </c>
      <c r="D1009">
        <f>IF(Skills!C13=1,60+Inputs!$B$26+(Inputs!$B$30+1),IF(Skills!C13=2,90+Inputs!$B$27+(Inputs!$B$30+1),IF(Skills!C13=3,120+Inputs!$B$28+(Inputs!$B$30+1),MAX(0,(Inputs!$B$3-100)*3)+Inputs!$B$29+(Inputs!$B$30+1))))</f>
        <v/>
      </c>
      <c r="E1009">
        <f>INDEX(FactorTable!$B$2:$Y$301, MATCH(ROUND(MIN(300,MAX(1,D1009)),0), FactorTable!$A$2:$A$301,0), Skills!L13+1)</f>
        <v/>
      </c>
      <c r="F1009">
        <f>IF(Skills!M13=TRUE,(Skills!K13/10)*(E1009/1000),Skills!K13/10)+Skills!N13</f>
        <v/>
      </c>
      <c r="G1009">
        <f>Calc!G13</f>
        <v/>
      </c>
      <c r="H1009">
        <f>Calc!H13</f>
        <v/>
      </c>
      <c r="I1009">
        <f>IF(Skills!T13&lt;&gt;"",1+(Skills!T13/10)*($Z$3/1000)/100,1)</f>
        <v/>
      </c>
      <c r="J1009" t="inlineStr"/>
      <c r="K1009" t="inlineStr"/>
      <c r="L1009" t="inlineStr"/>
      <c r="M1009" t="inlineStr"/>
      <c r="N1009" t="inlineStr"/>
      <c r="O1009">
        <f>(1-Summary!$B$11)*S1009+Summary!$B$11*U1009</f>
        <v/>
      </c>
      <c r="P1009">
        <f>IF(B1038=0,0,O1009/B1038)</f>
        <v/>
      </c>
      <c r="Q1009">
        <f>IFERROR(1/(IF(Inputs!$B$39="pvp",15,MAX(0.1,Skills!D13-IF(Skills!E13=TRUE,Inputs!$B$33,0)))*(1-IF(AND(ArtifactsInput!$M$27,Inputs!$B$4="Chapter Hunt"),CHOOSE(ArtifactsInput!$N$27+1,20,24,28,32,36,40),0)/100)),0)</f>
        <v/>
      </c>
      <c r="R1009">
        <f>IF(AND(Inputs!$B$39&lt;&gt;"pvp",Inputs!$B$44&gt;0),IF(MAX(0,Inputs!$B$44-B1035)&lt;=0,0,(INT(MAX(0,Inputs!$B$44-B1035)/(IF(Inputs!$B$39="pvp",15,MAX(0.1,Skills!D13-IF(Skills!E13=TRUE,Inputs!$B$33,0)))*(1-IF(AND(ArtifactsInput!$M$27,Inputs!$B$4="Chapter Hunt"),CHOOSE(ArtifactsInput!$N$27+1,20,24,28,32,36,40),0)/100)))+1)),0)</f>
        <v/>
      </c>
      <c r="S1009" t="n">
        <v>0</v>
      </c>
      <c r="U1009" t="n">
        <v>0</v>
      </c>
    </row>
    <row r="1010">
      <c r="A1010">
        <f>Skills!A14</f>
        <v/>
      </c>
      <c r="B1010">
        <f>Skills!B14</f>
        <v/>
      </c>
      <c r="C1010">
        <f>Inputs!$B$3&gt;=107</f>
        <v/>
      </c>
      <c r="D1010">
        <f>IF(Skills!C14=1,60+Inputs!$B$26+(Inputs!$B$30+1),IF(Skills!C14=2,90+Inputs!$B$27+(Inputs!$B$30+1),IF(Skills!C14=3,120+Inputs!$B$28+(Inputs!$B$30+1),MAX(0,(Inputs!$B$3-100)*3)+Inputs!$B$29+(Inputs!$B$30+1))))</f>
        <v/>
      </c>
      <c r="E1010">
        <f>INDEX(FactorTable!$B$2:$Y$301, MATCH(ROUND(MIN(300,MAX(1,D1010)),0), FactorTable!$A$2:$A$301,0), Skills!L14+1)</f>
        <v/>
      </c>
      <c r="F1010">
        <f>IF(Skills!M14=TRUE,(Skills!K14/10)*(E1010/1000),Skills!K14/10)+Skills!N14</f>
        <v/>
      </c>
      <c r="G1010">
        <f>Calc!G14</f>
        <v/>
      </c>
      <c r="H1010">
        <f>Calc!H14</f>
        <v/>
      </c>
      <c r="I1010">
        <f>IF(Skills!T14&lt;&gt;"",1+(Skills!T14/10)*($Z$3/1000)/100,1)</f>
        <v/>
      </c>
      <c r="J1010" t="inlineStr"/>
      <c r="K1010" t="inlineStr"/>
      <c r="L1010" t="inlineStr"/>
      <c r="M1010" t="inlineStr"/>
      <c r="N1010" t="inlineStr"/>
      <c r="O1010">
        <f>(1-Summary!$B$11)*S1010+Summary!$B$11*U1010</f>
        <v/>
      </c>
      <c r="P1010">
        <f>IF(B1038=0,0,O1010/B1038)</f>
        <v/>
      </c>
      <c r="Q1010">
        <f>IFERROR(1/(IF(Inputs!$B$39="pvp",15,MAX(0.1,Skills!D14-IF(Skills!E14=TRUE,Inputs!$B$33,0)))*(1-IF(AND(ArtifactsInput!$M$27,Inputs!$B$4="Chapter Hunt"),CHOOSE(ArtifactsInput!$N$27+1,20,24,28,32,36,40),0)/100)),0)</f>
        <v/>
      </c>
      <c r="R1010">
        <f>IF(AND(Inputs!$B$39&lt;&gt;"pvp",Inputs!$B$44&gt;0),IF(Inputs!$B$44&lt;=0,0,(INT(Inputs!$B$44/(IF(Inputs!$B$39="pvp",15,MAX(0.1,Skills!D14-IF(Skills!E14=TRUE,Inputs!$B$33,0)))*(1-IF(AND(ArtifactsInput!$M$27,Inputs!$B$4="Chapter Hunt"),CHOOSE(ArtifactsInput!$N$27+1,20,24,28,32,36,40),0)/100)))+1)),0)</f>
        <v/>
      </c>
      <c r="S1010" t="n">
        <v>0</v>
      </c>
      <c r="U1010" t="n">
        <v>0</v>
      </c>
    </row>
    <row r="1011">
      <c r="A1011">
        <f>Skills!A15</f>
        <v/>
      </c>
      <c r="B1011">
        <f>Skills!B15</f>
        <v/>
      </c>
      <c r="C1011">
        <f>Inputs!$B$3&gt;=63</f>
        <v/>
      </c>
      <c r="D1011">
        <f>IF(Skills!C15=1,60+Inputs!$B$26+(Inputs!$B$30+1),IF(Skills!C15=2,90+Inputs!$B$27+(Inputs!$B$30+1),IF(Skills!C15=3,120+Inputs!$B$28+(Inputs!$B$30+1),MAX(0,(Inputs!$B$3-100)*3)+Inputs!$B$29+(Inputs!$B$30+1))))</f>
        <v/>
      </c>
      <c r="E1011">
        <f>INDEX(FactorTable!$B$2:$Y$301, MATCH(ROUND(MIN(300,MAX(1,D1011)),0), FactorTable!$A$2:$A$301,0), Skills!L15+1)</f>
        <v/>
      </c>
      <c r="F1011">
        <f>IF(Skills!M15=TRUE,(Skills!K15/10)*(E1011/1000),Skills!K15/10)+Skills!N15</f>
        <v/>
      </c>
      <c r="G1011">
        <f>Calc!G15</f>
        <v/>
      </c>
      <c r="H1011">
        <f>Calc!H15</f>
        <v/>
      </c>
      <c r="I1011">
        <f>IF(Skills!T15&lt;&gt;"",1+(Skills!T15/10)*($Z$3/1000)/100,1)</f>
        <v/>
      </c>
      <c r="J1011">
        <f>((Inputs!$B$6*(1+Inputs!$B$7/100))+(((Inputs!$B$13*(1+Inputs!$B$14/100))-(Inputs!$B$13*(1+Inputs!$B$14/100)))+0.25*(Inputs!$B$15-Inputs!$B$15))*(1+Inputs!$B$7/100))*(F1011/100)</f>
        <v/>
      </c>
      <c r="K1011">
        <f>J1011*(1+(((Inputs!$B$13+IF(Inputs!$B$3&gt;=35,(10*INDEX(FactorTable!$B$2:$Y$301,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15="TRIUMPH_FEATHER",IF(C1012=TRUE,F1012,0),0)/100)*(1+IF(C1023=TRUE,F1023,0)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1011)</f>
        <v/>
      </c>
      <c r="L1011">
        <f>K1011*(MIN(Inputs!$B$23+(F1018-Calc!F22),(Inputs!$B$24+IF(ArtifactsInput!$M$15,CHOOSE(ArtifactsInput!$N$15+1,25,30,35,40,45,50)/100*(Inputs!$B$12-Inputs!$B$12),0)))/100+(Inputs!$B$24+IF(ArtifactsInput!$M$15,CHOOSE(ArtifactsInput!$N$15+1,25,30,35,40,45,50)/100*(Inputs!$B$12-Inputs!$B$12),0))/100)/2</f>
        <v/>
      </c>
      <c r="M1011">
        <f>L1011*(1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1">
        <f>L1011*(1-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(1-Summary!$B$11)*S1011+Summary!$B$11*U1011</f>
        <v/>
      </c>
      <c r="P1011">
        <f>IF(B1038=0,0,O1011/B1038)</f>
        <v/>
      </c>
      <c r="Q1011">
        <f>IFERROR(1/(IF(Inputs!$B$39="pvp",15,MAX(0.1,Skills!D15-IF(Skills!E15=TRUE,Inputs!$B$33,0)))*(1-IF(AND(ArtifactsInput!$M$27,Inputs!$B$4="Chapter Hunt"),CHOOSE(ArtifactsInput!$N$27+1,20,24,28,32,36,40),0)/100)),0)</f>
        <v/>
      </c>
      <c r="R1011" t="n">
        <v>0</v>
      </c>
      <c r="S1011">
        <f>IF(C1011,(Skills!F15*N1011*((IF(Inputs!$B$3&gt;=78,25,15)/100*B1031*10)/(1+IF(Inputs!$B$3&gt;=78,25,15)/100*B1031*10))*(Skills!I15/100*B1031)/(1+Skills!G15*Skills!I15/100*B1031))*IF(Inputs!$B$39="pvp",1,1+(Inputs!$B$21+Skills!O15+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11">
        <f>IF(C1011,(Skills!F15*N1011*((IF(Inputs!$B$3&gt;=78,25,15)/100*B1031*10)/(1+IF(Inputs!$B$3&gt;=78,25,15)/100*B1031*10))*(Skills!I15/100*B1031)/(1+Skills!G15*Skills!I15/100*B1031))*IF(Inputs!$B$39="pvp",1,(1+(Inputs!$B$22+Skills!P15+B1027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Skills!A16</f>
        <v/>
      </c>
      <c r="B1012">
        <f>Skills!B16</f>
        <v/>
      </c>
      <c r="C1012">
        <f>Inputs!$B$3&gt;=100</f>
        <v/>
      </c>
      <c r="D1012">
        <f>IF(Skills!C16=1,60+Inputs!$B$26+(Inputs!$B$30+1),IF(Skills!C16=2,90+Inputs!$B$27+(Inputs!$B$30+1),IF(Skills!C16=3,120+Inputs!$B$28+(Inputs!$B$30+1),MAX(0,(Inputs!$B$3-100)*3)+Inputs!$B$29+(Inputs!$B$30+1))))</f>
        <v/>
      </c>
      <c r="E1012">
        <f>INDEX(FactorTable!$B$2:$Y$301, MATCH(ROUND(MIN(300,MAX(1,D1012)),0), FactorTable!$A$2:$A$301,0), Skills!L16+1)</f>
        <v/>
      </c>
      <c r="F1012">
        <f>IF(Skills!M16=TRUE,(Skills!K16/10)*(E1012/1000),Skills!K16/10)+Skills!N16</f>
        <v/>
      </c>
      <c r="G1012">
        <f>Calc!G16</f>
        <v/>
      </c>
      <c r="H1012">
        <f>Calc!H16</f>
        <v/>
      </c>
      <c r="I1012">
        <f>IF(Skills!T16&lt;&gt;"",1+(Skills!T16/10)*($Z$3/1000)/100,1)</f>
        <v/>
      </c>
      <c r="J1012" t="inlineStr"/>
      <c r="K1012" t="inlineStr"/>
      <c r="L1012" t="inlineStr"/>
      <c r="M1012" t="inlineStr"/>
      <c r="N1012" t="inlineStr"/>
      <c r="O1012">
        <f>(1-Summary!$B$11)*S1012+Summary!$B$11*U1012</f>
        <v/>
      </c>
      <c r="P1012">
        <f>IF(B1038=0,0,O1012/B1038)</f>
        <v/>
      </c>
      <c r="Q1012">
        <f>IFERROR(1/(IF(Inputs!$B$39="pvp",15,MAX(0.1,Skills!D16-IF(Skills!E16=TRUE,Inputs!$B$33,0)))*(1-IF(AND(ArtifactsInput!$M$27,Inputs!$B$4="Chapter Hunt"),CHOOSE(ArtifactsInput!$N$27+1,20,24,28,32,36,40),0)/100)),0)</f>
        <v/>
      </c>
      <c r="R1012" t="n">
        <v>0</v>
      </c>
      <c r="S1012" t="n">
        <v>0</v>
      </c>
      <c r="U1012" t="n">
        <v>0</v>
      </c>
    </row>
    <row r="1013">
      <c r="A1013">
        <f>Skills!A17</f>
        <v/>
      </c>
      <c r="B1013">
        <f>Skills!B17</f>
        <v/>
      </c>
      <c r="C1013">
        <f>Inputs!$B$3&gt;=49</f>
        <v/>
      </c>
      <c r="D1013">
        <f>IF(Skills!C17=1,60+Inputs!$B$26+(Inputs!$B$30+1),IF(Skills!C17=2,90+Inputs!$B$27+(Inputs!$B$30+1),IF(Skills!C17=3,120+Inputs!$B$28+(Inputs!$B$30+1),MAX(0,(Inputs!$B$3-100)*3)+Inputs!$B$29+(Inputs!$B$30+1))))</f>
        <v/>
      </c>
      <c r="E1013">
        <f>INDEX(FactorTable!$B$2:$Y$301, MATCH(ROUND(MIN(300,MAX(1,D1013)),0), FactorTable!$A$2:$A$301,0), Skills!L17+1)</f>
        <v/>
      </c>
      <c r="F1013">
        <f>IF(Skills!M17=TRUE,(Skills!K17/10)*(E1013/1000),Skills!K17/10)+Skills!N17</f>
        <v/>
      </c>
      <c r="G1013">
        <f>Calc!G17</f>
        <v/>
      </c>
      <c r="H1013">
        <f>Calc!H17</f>
        <v/>
      </c>
      <c r="I1013">
        <f>IF(Skills!T17&lt;&gt;"",1+(Skills!T17/10)*($Z$3/1000)/100,1)</f>
        <v/>
      </c>
      <c r="J1013" t="inlineStr"/>
      <c r="K1013" t="inlineStr"/>
      <c r="L1013" t="inlineStr"/>
      <c r="M1013" t="inlineStr"/>
      <c r="N1013" t="inlineStr"/>
      <c r="O1013">
        <f>(1-Summary!$B$11)*S1013+Summary!$B$11*U1013</f>
        <v/>
      </c>
      <c r="P1013">
        <f>IF(B1038=0,0,O1013/B1038)</f>
        <v/>
      </c>
      <c r="Q1013">
        <f>IFERROR(1/(IF(Inputs!$B$39="pvp",15,MAX(0.1,Skills!D17-IF(Skills!E17=TRUE,Inputs!$B$33,0)))*(1-IF(AND(ArtifactsInput!$M$27,Inputs!$B$4="Chapter Hunt"),CHOOSE(ArtifactsInput!$N$27+1,20,24,28,32,36,40),0)/100)),0)</f>
        <v/>
      </c>
      <c r="R1013" t="n">
        <v>0</v>
      </c>
      <c r="S1013" t="n">
        <v>0</v>
      </c>
      <c r="U1013" t="n">
        <v>0</v>
      </c>
    </row>
    <row r="1014">
      <c r="A1014">
        <f>Skills!A18</f>
        <v/>
      </c>
      <c r="B1014">
        <f>Skills!B18</f>
        <v/>
      </c>
      <c r="C1014">
        <f>Inputs!$B$3&gt;=75</f>
        <v/>
      </c>
      <c r="D1014">
        <f>IF(Skills!C18=1,60+Inputs!$B$26+(Inputs!$B$30+1),IF(Skills!C18=2,90+Inputs!$B$27+(Inputs!$B$30+1),IF(Skills!C18=3,120+Inputs!$B$28+(Inputs!$B$30+1),MAX(0,(Inputs!$B$3-100)*3)+Inputs!$B$29+(Inputs!$B$30+1))))</f>
        <v/>
      </c>
      <c r="E1014">
        <f>INDEX(FactorTable!$B$2:$Y$301, MATCH(ROUND(MIN(300,MAX(1,D1014)),0), FactorTable!$A$2:$A$301,0), Skills!L18+1)</f>
        <v/>
      </c>
      <c r="F1014">
        <f>IF(Skills!M18=TRUE,(Skills!K18/10)*(E1014/1000),Skills!K18/10)+Skills!N18</f>
        <v/>
      </c>
      <c r="G1014">
        <f>Calc!G18</f>
        <v/>
      </c>
      <c r="H1014">
        <f>Calc!H18</f>
        <v/>
      </c>
      <c r="I1014">
        <f>IF(Skills!T18&lt;&gt;"",1+(Skills!T18/10)*($Z$3/1000)/100,1)</f>
        <v/>
      </c>
      <c r="J1014" t="inlineStr"/>
      <c r="K1014" t="inlineStr"/>
      <c r="L1014" t="inlineStr"/>
      <c r="M1014" t="inlineStr"/>
      <c r="N1014" t="inlineStr"/>
      <c r="O1014">
        <f>(1-Summary!$B$11)*S1014+Summary!$B$11*U1014</f>
        <v/>
      </c>
      <c r="P1014">
        <f>IF(B1038=0,0,O1014/B1038)</f>
        <v/>
      </c>
      <c r="Q1014">
        <f>IFERROR(1/(IF(Inputs!$B$39="pvp",15,MAX(0.1,Skills!D18-IF(Skills!E18=TRUE,Inputs!$B$33,0)))*(1-IF(AND(ArtifactsInput!$M$27,Inputs!$B$4="Chapter Hunt"),CHOOSE(ArtifactsInput!$N$27+1,20,24,28,32,36,40),0)/100)),0)</f>
        <v/>
      </c>
      <c r="R1014" t="n">
        <v>0</v>
      </c>
      <c r="S1014" t="n">
        <v>0</v>
      </c>
      <c r="U1014" t="n">
        <v>0</v>
      </c>
    </row>
    <row r="1015">
      <c r="A1015">
        <f>Skills!A19</f>
        <v/>
      </c>
      <c r="B1015">
        <f>Skills!B19</f>
        <v/>
      </c>
      <c r="C1015">
        <f>Inputs!$B$3&gt;=110</f>
        <v/>
      </c>
      <c r="D1015">
        <f>IF(Skills!C19=1,60+Inputs!$B$26+(Inputs!$B$30+1),IF(Skills!C19=2,90+Inputs!$B$27+(Inputs!$B$30+1),IF(Skills!C19=3,120+Inputs!$B$28+(Inputs!$B$30+1),MAX(0,(Inputs!$B$3-100)*3)+Inputs!$B$29+(Inputs!$B$30+1))))</f>
        <v/>
      </c>
      <c r="E1015">
        <f>INDEX(FactorTable!$B$2:$Y$301, MATCH(ROUND(MIN(300,MAX(1,D1015)),0), FactorTable!$A$2:$A$301,0), Skills!L19+1)</f>
        <v/>
      </c>
      <c r="F1015">
        <f>(Skills!K19/10)*(E1015/1000)*64/45+Skills!N19</f>
        <v/>
      </c>
      <c r="G1015">
        <f>Calc!G19</f>
        <v/>
      </c>
      <c r="H1015">
        <f>Calc!H19</f>
        <v/>
      </c>
      <c r="I1015">
        <f>IF(Skills!T19&lt;&gt;"",1+(Skills!T19/10)*($Z$3/1000)/100,1)</f>
        <v/>
      </c>
      <c r="J1015" t="inlineStr"/>
      <c r="K1015" t="inlineStr"/>
      <c r="L1015" t="inlineStr"/>
      <c r="M1015" t="inlineStr"/>
      <c r="N1015" t="inlineStr"/>
      <c r="O1015">
        <f>(1-Summary!$B$11)*S1015+Summary!$B$11*U1015</f>
        <v/>
      </c>
      <c r="P1015">
        <f>IF(B1038=0,0,O1015/B1038)</f>
        <v/>
      </c>
      <c r="Q1015">
        <f>IFERROR(1/(IF(Inputs!$B$39="pvp",15,MAX(0.1,Skills!D19-IF(Skills!E19=TRUE,Inputs!$B$33,0)))*(1-IF(AND(ArtifactsInput!$M$27,Inputs!$B$4="Chapter Hunt"),CHOOSE(ArtifactsInput!$N$27+1,20,24,28,32,36,40),0)/100)),0)</f>
        <v/>
      </c>
      <c r="R1015">
        <f>IF(AND(Inputs!$B$39&lt;&gt;"pvp",Inputs!$B$44&gt;0),IF(Inputs!$B$44&lt;=0,0,(INT(Inputs!$B$44/(IF(Inputs!$B$39="pvp",15,MAX(0.1,Skills!D19-IF(Skills!E19=TRUE,Inputs!$B$33,0)))*(1-IF(AND(ArtifactsInput!$M$27,Inputs!$B$4="Chapter Hunt"),CHOOSE(ArtifactsInput!$N$27+1,20,24,28,32,36,40),0)/100)))+1)),0)</f>
        <v/>
      </c>
      <c r="S1015" t="n">
        <v>0</v>
      </c>
      <c r="U1015" t="n">
        <v>0</v>
      </c>
    </row>
    <row r="1016">
      <c r="A1016">
        <f>Skills!A20</f>
        <v/>
      </c>
      <c r="B1016">
        <f>Skills!B20</f>
        <v/>
      </c>
      <c r="C1016">
        <f>Inputs!$B$3&gt;=125</f>
        <v/>
      </c>
      <c r="D1016">
        <f>IF(Skills!C20=1,60+Inputs!$B$26+(Inputs!$B$30+1),IF(Skills!C20=2,90+Inputs!$B$27+(Inputs!$B$30+1),IF(Skills!C20=3,120+Inputs!$B$28+(Inputs!$B$30+1),MAX(0,(Inputs!$B$3-100)*3)+Inputs!$B$29+(Inputs!$B$30+1))))</f>
        <v/>
      </c>
      <c r="E1016">
        <f>INDEX(FactorTable!$B$2:$Y$301, MATCH(ROUND(MIN(300,MAX(1,D1016)),0), FactorTable!$A$2:$A$301,0), Skills!L20+1)</f>
        <v/>
      </c>
      <c r="F1016">
        <f>IF(Skills!M20=TRUE,(Skills!K20/10)*(E1016/1000),Skills!K20/10)+Skills!N20</f>
        <v/>
      </c>
      <c r="G1016">
        <f>Calc!G20</f>
        <v/>
      </c>
      <c r="H1016">
        <f>Calc!H20</f>
        <v/>
      </c>
      <c r="I1016">
        <f>IF(Skills!T20&lt;&gt;"",1+(Skills!T20/10)*($Z$3/1000)/100,1)</f>
        <v/>
      </c>
      <c r="J1016" t="inlineStr"/>
      <c r="K1016" t="inlineStr"/>
      <c r="L1016" t="inlineStr"/>
      <c r="M1016" t="inlineStr"/>
      <c r="N1016" t="inlineStr"/>
      <c r="O1016">
        <f>(1-Summary!$B$11)*S1016+Summary!$B$11*U1016</f>
        <v/>
      </c>
      <c r="P1016">
        <f>IF(B1038=0,0,O1016/B1038)</f>
        <v/>
      </c>
      <c r="Q1016">
        <f>IFERROR(1/(IF(Inputs!$B$39="pvp",15,MAX(0.1,Skills!D20-IF(Skills!E20=TRUE,Inputs!$B$33,0)))*(1-IF(AND(ArtifactsInput!$M$27,Inputs!$B$4="Chapter Hunt"),CHOOSE(ArtifactsInput!$N$27+1,20,24,28,32,36,40),0)/100)),0)</f>
        <v/>
      </c>
      <c r="R1016" t="n">
        <v>0</v>
      </c>
      <c r="S1016" t="n">
        <v>0</v>
      </c>
      <c r="U1016" t="n">
        <v>0</v>
      </c>
    </row>
    <row r="1017">
      <c r="A1017">
        <f>Skills!A21</f>
        <v/>
      </c>
      <c r="B1017">
        <f>Skills!B21</f>
        <v/>
      </c>
      <c r="C1017">
        <f>Inputs!$B$3&gt;=33</f>
        <v/>
      </c>
      <c r="D1017">
        <f>IF(Skills!C21=1,60+Inputs!$B$26+(Inputs!$B$30+1),IF(Skills!C21=2,90+Inputs!$B$27+(Inputs!$B$30+1),IF(Skills!C21=3,120+Inputs!$B$28+(Inputs!$B$30+1),MAX(0,(Inputs!$B$3-100)*3)+Inputs!$B$29+(Inputs!$B$30+1))))</f>
        <v/>
      </c>
      <c r="E1017">
        <f>INDEX(FactorTable!$B$2:$Y$301, MATCH(ROUND(MIN(300,MAX(1,D1017)),0), FactorTable!$A$2:$A$301,0), Skills!L21+1)</f>
        <v/>
      </c>
      <c r="F1017">
        <f>IF(Skills!M21=TRUE,(Skills!K21/10)*(E1017/1000),Skills!K21/10)+Skills!N21</f>
        <v/>
      </c>
      <c r="G1017">
        <f>Calc!G21</f>
        <v/>
      </c>
      <c r="H1017">
        <f>Calc!H21</f>
        <v/>
      </c>
      <c r="I1017">
        <f>IF(Skills!T21&lt;&gt;"",1+(Skills!T21/10)*($Z$3/1000)/100,1)</f>
        <v/>
      </c>
      <c r="J1017" t="inlineStr"/>
      <c r="K1017" t="inlineStr"/>
      <c r="L1017" t="inlineStr"/>
      <c r="M1017" t="inlineStr"/>
      <c r="N1017" t="inlineStr"/>
      <c r="O1017">
        <f>(1-Summary!$B$11)*S1017+Summary!$B$11*U1017</f>
        <v/>
      </c>
      <c r="P1017">
        <f>IF(B1038=0,0,O1017/B1038)</f>
        <v/>
      </c>
      <c r="Q1017">
        <f>IFERROR(1/(IF(Inputs!$B$39="pvp",15,MAX(0.1,Skills!D21-IF(Skills!E21=TRUE,Inputs!$B$33,0)))*(1-IF(AND(ArtifactsInput!$M$27,Inputs!$B$4="Chapter Hunt"),CHOOSE(ArtifactsInput!$N$27+1,20,24,28,32,36,40),0)/100)),0)</f>
        <v/>
      </c>
      <c r="R1017" t="n">
        <v>0</v>
      </c>
      <c r="S1017" t="n">
        <v>0</v>
      </c>
      <c r="U1017" t="n">
        <v>0</v>
      </c>
    </row>
    <row r="1018">
      <c r="A1018">
        <f>Skills!A22</f>
        <v/>
      </c>
      <c r="B1018">
        <f>Skills!B22</f>
        <v/>
      </c>
      <c r="C1018">
        <f>Inputs!$B$3&gt;=43</f>
        <v/>
      </c>
      <c r="D1018">
        <f>IF(Skills!C22=1,60+Inputs!$B$26+(Inputs!$B$30+1),IF(Skills!C22=2,90+Inputs!$B$27+(Inputs!$B$30+1),IF(Skills!C22=3,120+Inputs!$B$28+(Inputs!$B$30+1),MAX(0,(Inputs!$B$3-100)*3)+Inputs!$B$29+(Inputs!$B$30+1))))</f>
        <v/>
      </c>
      <c r="E1018">
        <f>INDEX(FactorTable!$B$2:$Y$301, MATCH(ROUND(MIN(300,MAX(1,D1018)),0), FactorTable!$A$2:$A$301,0), Skills!L22+1)</f>
        <v/>
      </c>
      <c r="F1018">
        <f>IF(Skills!M22=TRUE,(Skills!K22/10)*(E1018/1000),Skills!K22/10)+Skills!N22</f>
        <v/>
      </c>
      <c r="G1018">
        <f>Calc!G22</f>
        <v/>
      </c>
      <c r="H1018">
        <f>Calc!H22</f>
        <v/>
      </c>
      <c r="I1018">
        <f>IF(Skills!T22&lt;&gt;"",1+(Skills!T22/10)*($Z$3/1000)/100,1)</f>
        <v/>
      </c>
      <c r="J1018" t="inlineStr"/>
      <c r="K1018" t="inlineStr"/>
      <c r="L1018" t="inlineStr"/>
      <c r="M1018" t="inlineStr"/>
      <c r="N1018" t="inlineStr"/>
      <c r="O1018">
        <f>(1-Summary!$B$11)*S1018+Summary!$B$11*U1018</f>
        <v/>
      </c>
      <c r="P1018">
        <f>IF(B1038=0,0,O1018/B1038)</f>
        <v/>
      </c>
      <c r="Q1018">
        <f>IFERROR(1/(IF(Inputs!$B$39="pvp",15,MAX(0.1,Skills!D22-IF(Skills!E22=TRUE,Inputs!$B$33,0)))*(1-IF(AND(ArtifactsInput!$M$27,Inputs!$B$4="Chapter Hunt"),CHOOSE(ArtifactsInput!$N$27+1,20,24,28,32,36,40),0)/100)),0)</f>
        <v/>
      </c>
      <c r="R1018" t="n">
        <v>0</v>
      </c>
      <c r="S1018" t="n">
        <v>0</v>
      </c>
      <c r="U1018" t="n">
        <v>0</v>
      </c>
    </row>
    <row r="1019">
      <c r="A1019">
        <f>Skills!A23</f>
        <v/>
      </c>
      <c r="B1019">
        <f>Skills!B23</f>
        <v/>
      </c>
      <c r="C1019">
        <f>Inputs!$B$3&gt;=50</f>
        <v/>
      </c>
      <c r="D1019">
        <f>IF(Skills!C23=1,60+Inputs!$B$26+(Inputs!$B$30+1),IF(Skills!C23=2,90+Inputs!$B$27+(Inputs!$B$30+1),IF(Skills!C23=3,120+Inputs!$B$28+(Inputs!$B$30+1),MAX(0,(Inputs!$B$3-100)*3)+Inputs!$B$29+(Inputs!$B$30+1))))</f>
        <v/>
      </c>
      <c r="E1019">
        <f>INDEX(FactorTable!$B$2:$Y$301, MATCH(ROUND(MIN(300,MAX(1,D1019)),0), FactorTable!$A$2:$A$301,0), Skills!L23+1)</f>
        <v/>
      </c>
      <c r="F1019">
        <f>IF(Skills!M23=TRUE,(Skills!K23/10)*(E1019/1000),Skills!K23/10)+Skills!N23</f>
        <v/>
      </c>
      <c r="G1019">
        <f>Calc!G23</f>
        <v/>
      </c>
      <c r="H1019">
        <f>Calc!H23</f>
        <v/>
      </c>
      <c r="I1019">
        <f>IF(Skills!T23&lt;&gt;"",1+(Skills!T23/10)*($Z$3/1000)/100,1)</f>
        <v/>
      </c>
      <c r="J1019" t="inlineStr"/>
      <c r="K1019" t="inlineStr"/>
      <c r="L1019" t="inlineStr"/>
      <c r="M1019" t="inlineStr"/>
      <c r="N1019" t="inlineStr"/>
      <c r="O1019">
        <f>(1-Summary!$B$11)*S1019+Summary!$B$11*U1019</f>
        <v/>
      </c>
      <c r="P1019">
        <f>IF(B1038=0,0,O1019/B1038)</f>
        <v/>
      </c>
      <c r="Q1019">
        <f>IFERROR(1/(IF(Inputs!$B$39="pvp",15,MAX(0.1,Skills!D23-IF(Skills!E23=TRUE,Inputs!$B$33,0)))*(1-IF(AND(ArtifactsInput!$M$27,Inputs!$B$4="Chapter Hunt"),CHOOSE(ArtifactsInput!$N$27+1,20,24,28,32,36,40),0)/100)),0)</f>
        <v/>
      </c>
      <c r="R1019" t="n">
        <v>0</v>
      </c>
      <c r="S1019" t="n">
        <v>0</v>
      </c>
      <c r="U1019" t="n">
        <v>0</v>
      </c>
    </row>
    <row r="1020">
      <c r="A1020">
        <f>Skills!A24</f>
        <v/>
      </c>
      <c r="B1020">
        <f>Skills!B24</f>
        <v/>
      </c>
      <c r="C1020">
        <f>Inputs!$B$3&gt;=74</f>
        <v/>
      </c>
      <c r="D1020">
        <f>IF(Skills!C24=1,60+Inputs!$B$26+(Inputs!$B$30+1),IF(Skills!C24=2,90+Inputs!$B$27+(Inputs!$B$30+1),IF(Skills!C24=3,120+Inputs!$B$28+(Inputs!$B$30+1),MAX(0,(Inputs!$B$3-100)*3)+Inputs!$B$29+(Inputs!$B$30+1))))</f>
        <v/>
      </c>
      <c r="E1020">
        <f>INDEX(FactorTable!$B$2:$Y$301, MATCH(ROUND(MIN(300,MAX(1,D1020)),0), FactorTable!$A$2:$A$301,0), Skills!L24+1)</f>
        <v/>
      </c>
      <c r="F1020">
        <f>IF(Skills!M24=TRUE,(Skills!K24/10)*(E1020/1000),Skills!K24/10)+Skills!N24</f>
        <v/>
      </c>
      <c r="G1020">
        <f>Calc!G24</f>
        <v/>
      </c>
      <c r="H1020">
        <f>Calc!H24</f>
        <v/>
      </c>
      <c r="I1020">
        <f>IF(Skills!T24&lt;&gt;"",1+(Skills!T24/10)*($Z$3/1000)/100,1)</f>
        <v/>
      </c>
      <c r="J1020" t="inlineStr"/>
      <c r="K1020" t="inlineStr"/>
      <c r="L1020" t="inlineStr"/>
      <c r="M1020" t="inlineStr"/>
      <c r="N1020" t="inlineStr"/>
      <c r="O1020">
        <f>(1-Summary!$B$11)*S1020+Summary!$B$11*U1020</f>
        <v/>
      </c>
      <c r="P1020">
        <f>IF(B1038=0,0,O1020/B1038)</f>
        <v/>
      </c>
      <c r="Q1020">
        <f>IFERROR(1/(IF(Inputs!$B$39="pvp",15,MAX(0.1,Skills!D24-IF(Skills!E24=TRUE,Inputs!$B$33,0)))*(1-IF(AND(ArtifactsInput!$M$27,Inputs!$B$4="Chapter Hunt"),CHOOSE(ArtifactsInput!$N$27+1,20,24,28,32,36,40),0)/100)),0)</f>
        <v/>
      </c>
      <c r="R1020" t="n">
        <v>0</v>
      </c>
      <c r="S1020" t="n">
        <v>0</v>
      </c>
      <c r="U1020" t="n">
        <v>0</v>
      </c>
    </row>
    <row r="1021">
      <c r="A1021">
        <f>Skills!A25</f>
        <v/>
      </c>
      <c r="B1021">
        <f>Skills!B25</f>
        <v/>
      </c>
      <c r="C1021">
        <f>Inputs!$B$3&gt;=74</f>
        <v/>
      </c>
      <c r="D1021">
        <f>IF(Skills!C25=1,60+Inputs!$B$26+(Inputs!$B$30+1),IF(Skills!C25=2,90+Inputs!$B$27+(Inputs!$B$30+1),IF(Skills!C25=3,120+Inputs!$B$28+(Inputs!$B$30+1),MAX(0,(Inputs!$B$3-100)*3)+Inputs!$B$29+(Inputs!$B$30+1))))</f>
        <v/>
      </c>
      <c r="E1021">
        <f>INDEX(FactorTable!$B$2:$Y$301, MATCH(ROUND(MIN(300,MAX(1,D1021)),0), FactorTable!$A$2:$A$301,0), Skills!L25+1)</f>
        <v/>
      </c>
      <c r="F1021">
        <f>IF(Skills!M25=TRUE,(Skills!K25/10)*(E1021/1000),Skills!K25/10)+Skills!N25</f>
        <v/>
      </c>
      <c r="G1021">
        <f>Calc!G25</f>
        <v/>
      </c>
      <c r="H1021">
        <f>Calc!H25</f>
        <v/>
      </c>
      <c r="I1021">
        <f>IF(Skills!T25&lt;&gt;"",1+(Skills!T25/10)*($Z$3/1000)/100,1)</f>
        <v/>
      </c>
      <c r="J1021" t="inlineStr"/>
      <c r="K1021" t="inlineStr"/>
      <c r="L1021" t="inlineStr"/>
      <c r="M1021" t="inlineStr"/>
      <c r="N1021" t="inlineStr"/>
      <c r="O1021">
        <f>(1-Summary!$B$11)*S1021+Summary!$B$11*U1021</f>
        <v/>
      </c>
      <c r="P1021">
        <f>IF(B1038=0,0,O1021/B1038)</f>
        <v/>
      </c>
      <c r="Q1021">
        <f>IFERROR(1/(IF(Inputs!$B$39="pvp",15,MAX(0.1,Skills!D25-IF(Skills!E25=TRUE,Inputs!$B$33,0)))*(1-IF(AND(ArtifactsInput!$M$27,Inputs!$B$4="Chapter Hunt"),CHOOSE(ArtifactsInput!$N$27+1,20,24,28,32,36,40),0)/100)),0)</f>
        <v/>
      </c>
      <c r="R1021" t="n">
        <v>0</v>
      </c>
      <c r="S1021" t="n">
        <v>0</v>
      </c>
      <c r="U1021" t="n">
        <v>0</v>
      </c>
    </row>
    <row r="1022">
      <c r="A1022">
        <f>Skills!A26</f>
        <v/>
      </c>
      <c r="B1022">
        <f>Skills!B26</f>
        <v/>
      </c>
      <c r="C1022">
        <f>Inputs!$B$3&gt;=117</f>
        <v/>
      </c>
      <c r="D1022">
        <f>IF(Skills!C26=1,60+Inputs!$B$26+(Inputs!$B$30+1),IF(Skills!C26=2,90+Inputs!$B$27+(Inputs!$B$30+1),IF(Skills!C26=3,120+Inputs!$B$28+(Inputs!$B$30+1),MAX(0,(Inputs!$B$3-100)*3)+Inputs!$B$29+(Inputs!$B$30+1))))</f>
        <v/>
      </c>
      <c r="E1022">
        <f>INDEX(FactorTable!$B$2:$Y$301, MATCH(ROUND(MIN(300,MAX(1,D1022)),0), FactorTable!$A$2:$A$301,0), Skills!L26+1)</f>
        <v/>
      </c>
      <c r="F1022">
        <f>IF(Skills!M26=TRUE,(Skills!K26/10)*(E1022/1000),Skills!K26/10)+Skills!N26</f>
        <v/>
      </c>
      <c r="G1022">
        <f>Calc!G26</f>
        <v/>
      </c>
      <c r="H1022">
        <f>Calc!H26</f>
        <v/>
      </c>
      <c r="I1022">
        <f>IF(Skills!T26&lt;&gt;"",1+(Skills!T26/10)*($Z$3/1000)/100,1)</f>
        <v/>
      </c>
      <c r="J1022" t="inlineStr"/>
      <c r="K1022" t="inlineStr"/>
      <c r="L1022" t="inlineStr"/>
      <c r="M1022" t="inlineStr"/>
      <c r="N1022" t="inlineStr"/>
      <c r="O1022">
        <f>(1-Summary!$B$11)*S1022+Summary!$B$11*U1022</f>
        <v/>
      </c>
      <c r="P1022">
        <f>IF(B1038=0,0,O1022/B1038)</f>
        <v/>
      </c>
      <c r="Q1022">
        <f>IFERROR(1/(IF(Inputs!$B$39="pvp",15,MAX(0.1,Skills!D26-IF(Skills!E26=TRUE,Inputs!$B$33,0)))*(1-IF(AND(ArtifactsInput!$M$27,Inputs!$B$4="Chapter Hunt"),CHOOSE(ArtifactsInput!$N$27+1,20,24,28,32,36,40),0)/100)),0)</f>
        <v/>
      </c>
      <c r="R1022" t="n">
        <v>0</v>
      </c>
      <c r="S1022" t="n">
        <v>0</v>
      </c>
      <c r="U1022" t="n">
        <v>0</v>
      </c>
    </row>
    <row r="1023">
      <c r="A1023">
        <f>Skills!A27</f>
        <v/>
      </c>
      <c r="B1023">
        <f>Skills!B27</f>
        <v/>
      </c>
      <c r="C1023">
        <f>Inputs!$B$3&gt;=120</f>
        <v/>
      </c>
      <c r="D1023">
        <f>IF(Skills!C27=1,60+Inputs!$B$26+(Inputs!$B$30+1),IF(Skills!C27=2,90+Inputs!$B$27+(Inputs!$B$30+1),IF(Skills!C27=3,120+Inputs!$B$28+(Inputs!$B$30+1),MAX(0,(Inputs!$B$3-100)*3)+Inputs!$B$29+(Inputs!$B$30+1))))</f>
        <v/>
      </c>
      <c r="E1023">
        <f>INDEX(FactorTable!$B$2:$Y$301, MATCH(ROUND(MIN(300,MAX(1,D1023)),0), FactorTable!$A$2:$A$301,0), Skills!L27+1)</f>
        <v/>
      </c>
      <c r="F1023">
        <f>IF(Skills!M27=TRUE,(Skills!K27/10)*(E1023/1000),Skills!K27/10)+Skills!N27</f>
        <v/>
      </c>
      <c r="G1023">
        <f>Calc!G27</f>
        <v/>
      </c>
      <c r="H1023">
        <f>Calc!H27</f>
        <v/>
      </c>
      <c r="I1023">
        <f>IF(Skills!T27&lt;&gt;"",1+(Skills!T27/10)*($Z$3/1000)/100,1)</f>
        <v/>
      </c>
      <c r="J1023" t="inlineStr"/>
      <c r="K1023" t="inlineStr"/>
      <c r="L1023" t="inlineStr"/>
      <c r="M1023" t="inlineStr"/>
      <c r="N1023" t="inlineStr"/>
      <c r="O1023">
        <f>(1-Summary!$B$11)*S1023+Summary!$B$11*U1023</f>
        <v/>
      </c>
      <c r="P1023">
        <f>IF(B1038=0,0,O1023/B1038)</f>
        <v/>
      </c>
      <c r="Q1023">
        <f>IFERROR(1/(IF(Inputs!$B$39="pvp",15,MAX(0.1,Skills!D27-IF(Skills!E27=TRUE,Inputs!$B$33,0)))*(1-IF(AND(ArtifactsInput!$M$27,Inputs!$B$4="Chapter Hunt"),CHOOSE(ArtifactsInput!$N$27+1,20,24,28,32,36,40),0)/100)),0)</f>
        <v/>
      </c>
      <c r="R1023" t="n">
        <v>0</v>
      </c>
      <c r="S1023" t="n">
        <v>0</v>
      </c>
      <c r="U1023" t="n">
        <v>0</v>
      </c>
    </row>
    <row r="1025">
      <c r="A1025" t="inlineStr">
        <is>
          <t>Average Buff Multiplier</t>
        </is>
      </c>
      <c r="B1025">
        <f>(1+(IF(C999=TRUE,F999*IF(AND(Inputs!$B$39&lt;&gt;"pvp",Inputs!$B$44&gt;0),(((R999-1)*(Skills!S3*(1+((Inputs!$B$35+(ArtifactsInput!$M$7-ArtifactsInput!$M$7)*CHOOSE(ArtifactsInput!$N$7+1,6,7.2,8.4,9.6,10.8,12))+IF(Inputs!$B$3&gt;=117,F1022,0))/100))+MIN((Skills!S3*(1+((Inputs!$B$35+(ArtifactsInput!$M$7-ArtifactsInput!$M$7)*CHOOSE(ArtifactsInput!$N$7+1,6,7.2,8.4,9.6,10.8,12))+IF(Inputs!$B$3&gt;=117,F1022,0))/100)),MAX(0,Inputs!$B$44-((R999-1)*Skills!D3))))/Inputs!$B$44),IF(Inputs!$B$39="pvp",MIN((Skills!S3*(1+((Inputs!$B$35+(ArtifactsInput!$M$7-ArtifactsInput!$M$7)*CHOOSE(ArtifactsInput!$N$7+1,6,7.2,8.4,9.6,10.8,12))+IF(Inputs!$B$3&gt;=117,F1022,0))/100)),15)/15,(Skills!S3*(1+((Inputs!$B$35+(ArtifactsInput!$M$7-ArtifactsInput!$M$7)*CHOOSE(ArtifactsInput!$N$7+1,6,7.2,8.4,9.6,10.8,12))+IF(Inputs!$B$3&gt;=117,F1022,0))/100))/Skills!D3)),0)+IF(C1000=TRUE,F1000*IF(AND(Inputs!$B$39&lt;&gt;"pvp",Inputs!$B$44&gt;0),(((R1000-1)*(Skills!S4*(1+((Inputs!$B$35+(ArtifactsInput!$M$7-ArtifactsInput!$M$7)*CHOOSE(ArtifactsInput!$N$7+1,6,7.2,8.4,9.6,10.8,12))+IF(Inputs!$B$3&gt;=117,F1022,0))/100))+MIN((Skills!S4*(1+((Inputs!$B$35+(ArtifactsInput!$M$7-ArtifactsInput!$M$7)*CHOOSE(ArtifactsInput!$N$7+1,6,7.2,8.4,9.6,10.8,12))+IF(Inputs!$B$3&gt;=117,F1022,0))/100)),MAX(0,Inputs!$B$44-((R1000-1)*Skills!D4))))/Inputs!$B$44),IF(Inputs!$B$39="pvp",MIN((Skills!S4*(1+((Inputs!$B$35+(ArtifactsInput!$M$7-ArtifactsInput!$M$7)*CHOOSE(ArtifactsInput!$N$7+1,6,7.2,8.4,9.6,10.8,12))+IF(Inputs!$B$3&gt;=117,F1022,0))/100)),15)/15,(Skills!S4*(1+((Inputs!$B$35+(ArtifactsInput!$M$7-ArtifactsInput!$M$7)*CHOOSE(ArtifactsInput!$N$7+1,6,7.2,8.4,9.6,10.8,12))+IF(Inputs!$B$3&gt;=117,F1022,0))/100))/Skills!D4)),0)+IF(C1001=TRUE,F1001*IF(AND(Inputs!$B$39&lt;&gt;"pvp",Inputs!$B$44&gt;0),(((R1001-1)*(Skills!S5*(1+((Inputs!$B$35+(ArtifactsInput!$M$7-ArtifactsInput!$M$7)*CHOOSE(ArtifactsInput!$N$7+1,6,7.2,8.4,9.6,10.8,12))+IF(Inputs!$B$3&gt;=117,F1022,0))/100))+MIN((Skills!S5*(1+((Inputs!$B$35+(ArtifactsInput!$M$7-ArtifactsInput!$M$7)*CHOOSE(ArtifactsInput!$N$7+1,6,7.2,8.4,9.6,10.8,12))+IF(Inputs!$B$3&gt;=117,F1022,0))/100)),MAX(0,Inputs!$B$44-((R1001-1)*Skills!D5))))/Inputs!$B$44),IF(Inputs!$B$39="pvp",MIN((Skills!S5*(1+((Inputs!$B$35+(ArtifactsInput!$M$7-ArtifactsInput!$M$7)*CHOOSE(ArtifactsInput!$N$7+1,6,7.2,8.4,9.6,10.8,12))+IF(Inputs!$B$3&gt;=117,F1022,0))/100)),15)/15,(Skills!S5*(1+((Inputs!$B$35+(ArtifactsInput!$M$7-ArtifactsInput!$M$7)*CHOOSE(ArtifactsInput!$N$7+1,6,7.2,8.4,9.6,10.8,12))+IF(Inputs!$B$3&gt;=117,F1022,0))/100))/Skills!D5)),0)+IF(C1007=TRUE,F1007*IF(AND(Inputs!$B$39&lt;&gt;"pvp",Inputs!$B$44&gt;0),(((R1007-1)*(Skills!S11*(1+((Inputs!$B$35+(ArtifactsInput!$M$7-ArtifactsInput!$M$7)*CHOOSE(ArtifactsInput!$N$7+1,6,7.2,8.4,9.6,10.8,12))+IF(Inputs!$B$3&gt;=117,F1022,0))/100))+MIN((Skills!S11*(1+((Inputs!$B$35+(ArtifactsInput!$M$7-ArtifactsInput!$M$7)*CHOOSE(ArtifactsInput!$N$7+1,6,7.2,8.4,9.6,10.8,12))+IF(Inputs!$B$3&gt;=117,F1022,0))/100)),MAX(0,Inputs!$B$44-((R1007-1)*Skills!D11))))/Inputs!$B$44),IF(Inputs!$B$39="pvp",MIN((Skills!S11*(1+((Inputs!$B$35+(ArtifactsInput!$M$7-ArtifactsInput!$M$7)*CHOOSE(ArtifactsInput!$N$7+1,6,7.2,8.4,9.6,10.8,12))+IF(Inputs!$B$3&gt;=117,F1022,0))/100)),15)/15,(Skills!S11*(1+((Inputs!$B$35+(ArtifactsInput!$M$7-ArtifactsInput!$M$7)*CHOOSE(ArtifactsInput!$N$7+1,6,7.2,8.4,9.6,10.8,12))+IF(Inputs!$B$3&gt;=117,F1022,0)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1010=TRUE,(1+F1010*IF(AND(Inputs!$B$39&lt;&gt;"pvp",Inputs!$B$44&gt;0),(((R1010-1)*(Skills!S14*(1+((Inputs!$B$35+(ArtifactsInput!$M$7-ArtifactsInput!$M$7)*CHOOSE(ArtifactsInput!$N$7+1,6,7.2,8.4,9.6,10.8,12))+IF(Inputs!$B$3&gt;=117,F1022,0))/100))+MIN((Skills!S14*(1+((Inputs!$B$35+(ArtifactsInput!$M$7-ArtifactsInput!$M$7)*CHOOSE(ArtifactsInput!$N$7+1,6,7.2,8.4,9.6,10.8,12))+IF(Inputs!$B$3&gt;=117,F1022,0))/100)),MAX(0,Inputs!$B$44-((R1010-1)*Skills!D14))))/Inputs!$B$44),IF(Inputs!$B$39="pvp",MIN((Skills!S14*(1+((Inputs!$B$35+(ArtifactsInput!$M$7-ArtifactsInput!$M$7)*CHOOSE(ArtifactsInput!$N$7+1,6,7.2,8.4,9.6,10.8,12))+IF(Inputs!$B$3&gt;=117,F1022,0))/100)),15)/15,(Skills!S14*(1+((Inputs!$B$35+(ArtifactsInput!$M$7-ArtifactsInput!$M$7)*CHOOSE(ArtifactsInput!$N$7+1,6,7.2,8.4,9.6,10.8,12))+IF(Inputs!$B$3&gt;=117,F1022,0))/100))/Skills!D14))/100),1)*IF(C1015=TRUE,(1+F1015*IF(AND(Inputs!$B$39&lt;&gt;"pvp",Inputs!$B$44&gt;0),(((R1015-1)*(Skills!S19*(1+((Inputs!$B$35+(ArtifactsInput!$M$7-ArtifactsInput!$M$7)*CHOOSE(ArtifactsInput!$N$7+1,6,7.2,8.4,9.6,10.8,12))+IF(Inputs!$B$3&gt;=117,F1022,0))/100))+MIN((Skills!S19*(1+((Inputs!$B$35+(ArtifactsInput!$M$7-ArtifactsInput!$M$7)*CHOOSE(ArtifactsInput!$N$7+1,6,7.2,8.4,9.6,10.8,12))+IF(Inputs!$B$3&gt;=117,F1022,0))/100)),MAX(0,Inputs!$B$44-((R1015-1)*Skills!D19))))/Inputs!$B$44),IF(Inputs!$B$39="pvp",MIN((Skills!S19*(1+((Inputs!$B$35+(ArtifactsInput!$M$7-ArtifactsInput!$M$7)*CHOOSE(ArtifactsInput!$N$7+1,6,7.2,8.4,9.6,10.8,12))+IF(Inputs!$B$3&gt;=117,F1022,0))/100)),15)/15,(Skills!S19*(1+((Inputs!$B$35+(ArtifactsInput!$M$7-ArtifactsInput!$M$7)*CHOOSE(ArtifactsInput!$N$7+1,6,7.2,8.4,9.6,10.8,12))+IF(Inputs!$B$3&gt;=117,F1022,0))/100))/Skills!D19))/100),1)</f>
        <v/>
      </c>
    </row>
    <row r="1026">
      <c r="A1026" t="inlineStr">
        <is>
          <t>Monster Damage Taken Bonus % (Holy Fountain)</t>
        </is>
      </c>
      <c r="B1026">
        <f>IF(Inputs!$B$3&gt;=68,20*IF(Inputs!$B$39="pvp",MIN((15*(1+((Inputs!$B$35+(ArtifactsInput!$M$7-ArtifactsInput!$M$7)*CHOOSE(ArtifactsInput!$N$7+1,6,7.2,8.4,9.6,10.8,12))+IF(Inputs!$B$3&gt;=117,F1022,0))/100)),15)/15,(15*(1+((Inputs!$B$35+(ArtifactsInput!$M$7-ArtifactsInput!$M$7)*CHOOSE(ArtifactsInput!$N$7+1,6,7.2,8.4,9.6,10.8,12))+IF(Inputs!$B$3&gt;=117,F1022,0))/100))/Skills!D10),0)</f>
        <v/>
      </c>
    </row>
    <row r="1027">
      <c r="A1027" t="inlineStr">
        <is>
          <t>Normal Monster Damage Bonus % (Holy Symbol)</t>
        </is>
      </c>
      <c r="B1027">
        <f>IF(C1008=TRUE,F1008*IF(AND(Inputs!$B$39&lt;&gt;"pvp",Inputs!$B$44&gt;0),(((R1008-1)*(Skills!S12*(1+((Inputs!$B$35+(ArtifactsInput!$M$7-ArtifactsInput!$M$7)*CHOOSE(ArtifactsInput!$N$7+1,6,7.2,8.4,9.6,10.8,12))+IF(Inputs!$B$3&gt;=117,F1022,0))/100))+MIN((Skills!S12*(1+((Inputs!$B$35+(ArtifactsInput!$M$7-ArtifactsInput!$M$7)*CHOOSE(ArtifactsInput!$N$7+1,6,7.2,8.4,9.6,10.8,12))+IF(Inputs!$B$3&gt;=117,F1022,0))/100)),MAX(0,Inputs!$B$44-((R1008-1)*Skills!D12))))/Inputs!$B$44),IF(Inputs!$B$39="pvp",MIN((Skills!S12*(1+((Inputs!$B$35+(ArtifactsInput!$M$7-ArtifactsInput!$M$7)*CHOOSE(ArtifactsInput!$N$7+1,6,7.2,8.4,9.6,10.8,12))+IF(Inputs!$B$3&gt;=117,F1022,0))/100)),15)/15,(Skills!S12*(1+((Inputs!$B$35+(ArtifactsInput!$M$7-ArtifactsInput!$M$7)*CHOOSE(ArtifactsInput!$N$7+1,6,7.2,8.4,9.6,10.8,12))+IF(Inputs!$B$3&gt;=117,F1022,0))/100))/Skills!D12)),0)</f>
        <v/>
      </c>
    </row>
    <row r="1028">
      <c r="A1028" t="inlineStr">
        <is>
          <t>Damage % Bonus (Holy Symbol - Damage Boost)</t>
        </is>
      </c>
      <c r="B1028">
        <f>Skills!O12</f>
        <v/>
      </c>
    </row>
    <row r="1029">
      <c r="A1029" t="inlineStr">
        <is>
          <t>Crit Damage % Bonus (Blood of the Divine)</t>
        </is>
      </c>
      <c r="B1029">
        <f>4*IF(C1016=TRUE,F1016,0)</f>
        <v/>
      </c>
    </row>
    <row r="1030">
      <c r="A1030" t="inlineStr">
        <is>
          <t>Attack Speed Bonus %</t>
        </is>
      </c>
      <c r="B1030">
        <f>IF(C1013=TRUE,F1013+(F1017-Calc!F21),0)+IF(Inputs!$B$3&gt;=134,15,0)</f>
        <v/>
      </c>
    </row>
    <row r="1031">
      <c r="A1031" t="inlineStr">
        <is>
          <t>Actions Per Second</t>
        </is>
      </c>
      <c r="B1031">
        <f>1+MIN(150,150*(1-(1-Inputs!$B$12/150)*(1-B1030/150)))/100</f>
        <v/>
      </c>
    </row>
    <row r="1032">
      <c r="A1032" t="inlineStr">
        <is>
          <t>Skill + Buff Cast Rate</t>
        </is>
      </c>
      <c r="B1032">
        <f>IF(AND(Inputs!$B$39&lt;&gt;"pvp",Inputs!$B$44&gt;0),SUMPRODUCT((Skills!E2:E27=TRUE)*(C998:C1023=TRUE)*R998:R1023)/Inputs!$B$44,SUMPRODUCT((Skills!E2:E27=TRUE)*(C998:C1023=TRUE)*Q998:Q1023))</f>
        <v/>
      </c>
    </row>
    <row r="1033">
      <c r="A1033" t="inlineStr">
        <is>
          <t>Big Bang Casts Per Second</t>
        </is>
      </c>
      <c r="B1033">
        <f>MAX(0,B1031-B1032)</f>
        <v/>
      </c>
    </row>
    <row r="1034">
      <c r="A1034" t="inlineStr">
        <is>
          <t>Defense % Bonus (Divine Protection)</t>
        </is>
      </c>
      <c r="B1034">
        <f>IF(C1009=TRUE,F1009*IF(AND(Inputs!$B$39&lt;&gt;"pvp",Inputs!$B$44&gt;0),(((R1009-1)*(Skills!S13*(1+((Inputs!$B$35+(ArtifactsInput!$M$7-ArtifactsInput!$M$7)*CHOOSE(ArtifactsInput!$N$7+1,6,7.2,8.4,9.6,10.8,12))+IF(Inputs!$B$3&gt;=117,F1022,0))/100))+MIN((Skills!S13*(1+((Inputs!$B$35+(ArtifactsInput!$M$7-ArtifactsInput!$M$7)*CHOOSE(ArtifactsInput!$N$7+1,6,7.2,8.4,9.6,10.8,12))+IF(Inputs!$B$3&gt;=117,F1022,0))/100)),MAX(0,Inputs!$B$44-((R1009-1)*Skills!D13))))/Inputs!$B$44),IF(Inputs!$B$39="pvp",MIN((Skills!S13*(1+((Inputs!$B$35+(ArtifactsInput!$M$7-ArtifactsInput!$M$7)*CHOOSE(ArtifactsInput!$N$7+1,6,7.2,8.4,9.6,10.8,12))+IF(Inputs!$B$3&gt;=117,F1022,0))/100)),15)/15,(Skills!S13*(1+((Inputs!$B$35+(ArtifactsInput!$M$7-ArtifactsInput!$M$7)*CHOOSE(ArtifactsInput!$N$7+1,6,7.2,8.4,9.6,10.8,12))+IF(Inputs!$B$3&gt;=117,F1022,0))/100))/Skills!D13)),0)</f>
        <v/>
      </c>
    </row>
    <row r="1035">
      <c r="A1035" t="inlineStr">
        <is>
          <t>Buff-Casting Startup Delay (s, fixed-duration only)</t>
        </is>
      </c>
      <c r="B1035">
        <f>IF(AND(Inputs!$B$39&lt;&gt;"pvp",Inputs!$B$44&gt;0),SUMPRODUCT((Skills!S2:S27&gt;0)*(Skills!E2:E27=TRUE)*(C998:C1023=TRUE))/B1031,0)</f>
        <v/>
      </c>
    </row>
    <row r="1036">
      <c r="A1036" t="inlineStr">
        <is>
          <t>Boss-Only Total DPS (this block's swept value)</t>
        </is>
      </c>
      <c r="B1036">
        <f>SUM(S998:S1023)</f>
        <v/>
      </c>
    </row>
    <row r="1037">
      <c r="A1037" t="inlineStr">
        <is>
          <t>Normal-Only Total DPS (this block's swept value)</t>
        </is>
      </c>
      <c r="B1037">
        <f>SUM(U998:U1023)</f>
        <v/>
      </c>
    </row>
    <row r="1038">
      <c r="A1038" s="6" t="inlineStr">
        <is>
          <t>TOTAL DPS</t>
        </is>
      </c>
      <c r="B1038" s="6">
        <f>SUM(O998:O1023)</f>
        <v/>
      </c>
    </row>
    <row r="1040">
      <c r="A1040" s="6" t="inlineStr">
        <is>
          <t>Stat: Flat ATTACK</t>
        </is>
      </c>
    </row>
    <row r="1041">
      <c r="A1041" s="5" t="inlineStr">
        <is>
          <t>Key</t>
        </is>
      </c>
      <c r="B1041" s="5" t="inlineStr">
        <is>
          <t>Name</t>
        </is>
      </c>
      <c r="C1041" s="5" t="inlineStr">
        <is>
          <t>Unlocked</t>
        </is>
      </c>
      <c r="D1041" s="5" t="inlineStr">
        <is>
          <t>InputLevel</t>
        </is>
      </c>
      <c r="E1041" s="5" t="inlineStr">
        <is>
          <t>Factor</t>
        </is>
      </c>
      <c r="F1041" s="5" t="inlineStr">
        <is>
          <t>CoefficientPercent</t>
        </is>
      </c>
      <c r="G1041" s="5" t="inlineStr">
        <is>
          <t>EffectiveHits</t>
        </is>
      </c>
      <c r="H1041" s="5" t="inlineStr">
        <is>
          <t>ProcProbability</t>
        </is>
      </c>
      <c r="I1041" s="5" t="inlineStr">
        <is>
          <t>MapleHeroMultiplier</t>
        </is>
      </c>
      <c r="J1041" s="5" t="inlineStr">
        <is>
          <t>BaseDamage</t>
        </is>
      </c>
      <c r="K1041" s="5" t="inlineStr">
        <is>
          <t>BaseHitDamage</t>
        </is>
      </c>
      <c r="L1041" s="5" t="inlineStr">
        <is>
          <t>NonCritAvg</t>
        </is>
      </c>
      <c r="M1041" s="5" t="inlineStr">
        <is>
          <t>CritAvg</t>
        </is>
      </c>
      <c r="N1041" s="5" t="inlineStr">
        <is>
          <t>ExpectedDamage(perHit)</t>
        </is>
      </c>
      <c r="O1041" s="5" t="inlineStr">
        <is>
          <t>DPS</t>
        </is>
      </c>
      <c r="P1041" s="5" t="inlineStr">
        <is>
          <t>% of Total</t>
        </is>
      </c>
      <c r="R1041" t="inlineStr">
        <is>
          <t>helpers</t>
        </is>
      </c>
    </row>
    <row r="1042">
      <c r="A1042">
        <f>Skills!A2</f>
        <v/>
      </c>
      <c r="B1042">
        <f>Skills!B2</f>
        <v/>
      </c>
      <c r="C1042">
        <f>Inputs!$B$3&gt;=100</f>
        <v/>
      </c>
      <c r="D1042" t="inlineStr"/>
      <c r="E1042" t="inlineStr"/>
      <c r="F1042">
        <f>T1044+Skills!N2</f>
        <v/>
      </c>
      <c r="G1042">
        <f>Calc!G2</f>
        <v/>
      </c>
      <c r="H1042">
        <f>Calc!H2</f>
        <v/>
      </c>
      <c r="I1042">
        <f>IF(Skills!T2&lt;&gt;"",1+(Skills!T2/10)*($Z$3/1000)/100,1)</f>
        <v/>
      </c>
      <c r="J1042">
        <f>(((Inputs!$B$6+1)*(1+Inputs!$B$7/100))+(((Inputs!$B$13*(1+Inputs!$B$14/100))-(Inputs!$B$13*(1+Inputs!$B$14/100)))+0.25*(Inputs!$B$15-Inputs!$B$15))*(1+Inputs!$B$7/100))*(F1042/100)</f>
        <v/>
      </c>
      <c r="K1042">
        <f>J1042*(1+(((Inputs!$B$13+IF(Inputs!$B$3&gt;=35,(10*INDEX(FactorTable!$B$2:$Y$301,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2="TRIUMPH_FEATHER",IF(C1056=TRUE,F1056,0),0)/100)*(1+IF(C1067=TRUE,F1067,0)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1042)</f>
        <v/>
      </c>
      <c r="L1042">
        <f>K1042*(MIN(Inputs!$B$23+(F1062-Calc!F22),(Inputs!$B$24+IF(ArtifactsInput!$M$15,CHOOSE(ArtifactsInput!$N$15+1,25,30,35,40,45,50)/100*(Inputs!$B$12-Inputs!$B$12),0)))/100+(Inputs!$B$24+IF(ArtifactsInput!$M$15,CHOOSE(ArtifactsInput!$N$15+1,25,30,35,40,45,50)/100*(Inputs!$B$12-Inputs!$B$12),0))/100)/2</f>
        <v/>
      </c>
      <c r="M1042">
        <f>L1042*(1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2">
        <f>L1042*(1-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1042*(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2">
        <f>(1-Summary!$B$11)*S1042+Summary!$B$11*U1042</f>
        <v/>
      </c>
      <c r="P1042">
        <f>IF(B1082=0,0,O1042/B1082)</f>
        <v/>
      </c>
      <c r="Q1042">
        <f>IFERROR(1/(IF(Inputs!$B$39="pvp",15,MAX(0.1,Skills!D2-IF(Skills!E2=TRUE,Inputs!$B$33,0)))*(1-IF(AND(ArtifactsInput!$M$27,Inputs!$B$4="Chapter Hunt"),CHOOSE(ArtifactsInput!$N$27+1,20,24,28,32,36,40),0)/100)),0)</f>
        <v/>
      </c>
      <c r="R1042" t="n">
        <v>0</v>
      </c>
      <c r="S1042">
        <f>IF(C1042,(Skills!F2*N1042*B1077)*IF(Inputs!$B$39="pvp",1,1+(Inputs!$B$21+Skills!O2+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1042*(1-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1042*(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1042*(1-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1042*(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42">
        <f>MAX(0,(Inputs!$B$3-100)*3)+Inputs!$B$29+Inputs!$B$30</f>
        <v/>
      </c>
      <c r="U1042">
        <f>IF(C1042,(Skills!F2*N1042*B1077)*IF(Inputs!$B$39="pvp",1,(1+(Inputs!$B$22+Skills!P2+B1071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3">
      <c r="A1043">
        <f>Skills!A3</f>
        <v/>
      </c>
      <c r="B1043">
        <f>Skills!B3</f>
        <v/>
      </c>
      <c r="C1043">
        <f>Inputs!$B$3&gt;=15</f>
        <v/>
      </c>
      <c r="D1043">
        <f>IF(Skills!C3=1,60+Inputs!$B$26+Inputs!$B$30,IF(Skills!C3=2,90+Inputs!$B$27+Inputs!$B$30,IF(Skills!C3=3,120+Inputs!$B$28+Inputs!$B$30,MAX(0,(Inputs!$B$3-100)*3)+Inputs!$B$29+Inputs!$B$30)))</f>
        <v/>
      </c>
      <c r="E1043">
        <f>INDEX(FactorTable!$B$2:$Y$301, MATCH(ROUND(MIN(300,MAX(1,D1043)),0), FactorTable!$A$2:$A$301,0), Skills!L3+1)</f>
        <v/>
      </c>
      <c r="F1043">
        <f>IF(Skills!M3=TRUE,(Skills!K3/10)*(E1043/1000),Skills!K3/10)+Skills!N3</f>
        <v/>
      </c>
      <c r="G1043">
        <f>Calc!G3</f>
        <v/>
      </c>
      <c r="H1043">
        <f>Calc!H3</f>
        <v/>
      </c>
      <c r="I1043">
        <f>IF(Skills!T3&lt;&gt;"",1+(Skills!T3/10)*($Z$3/1000)/100,1)</f>
        <v/>
      </c>
      <c r="J1043" t="inlineStr"/>
      <c r="K1043" t="inlineStr"/>
      <c r="L1043" t="inlineStr"/>
      <c r="M1043" t="inlineStr"/>
      <c r="N1043" t="inlineStr"/>
      <c r="O1043">
        <f>(1-Summary!$B$11)*S1043+Summary!$B$11*U1043</f>
        <v/>
      </c>
      <c r="P1043">
        <f>IF(B1082=0,0,O1043/B1082)</f>
        <v/>
      </c>
      <c r="Q1043">
        <f>IFERROR(1/(IF(Inputs!$B$39="pvp",15,MAX(0.1,Skills!D3-IF(Skills!E3=TRUE,Inputs!$B$33,0)))*(1-IF(AND(ArtifactsInput!$M$27,Inputs!$B$4="Chapter Hunt"),CHOOSE(ArtifactsInput!$N$27+1,20,24,28,32,36,40),0)/100)),0)</f>
        <v/>
      </c>
      <c r="R1043">
        <f>IF(AND(Inputs!$B$39&lt;&gt;"pvp",Inputs!$B$44&gt;0),IF(Inputs!$B$44&lt;=0,0,(INT(Inputs!$B$44/(IF(Inputs!$B$39="pvp",15,MAX(0.1,Skills!D3-IF(Skills!E3=TRUE,Inputs!$B$33,0)))*(1-IF(AND(ArtifactsInput!$M$27,Inputs!$B$4="Chapter Hunt"),CHOOSE(ArtifactsInput!$N$27+1,20,24,28,32,36,40),0)/100)))+1)),0)</f>
        <v/>
      </c>
      <c r="S1043" t="n">
        <v>0</v>
      </c>
      <c r="T1043">
        <f>INDEX(FactorTable!$B$2:$Y$301, MATCH(ROUND(MIN(300,MAX(1,T1042)),0), FactorTable!$A$2:$A$301,0), 22)</f>
        <v/>
      </c>
      <c r="U1043" t="n">
        <v>0</v>
      </c>
    </row>
    <row r="1044">
      <c r="A1044">
        <f>Skills!A4</f>
        <v/>
      </c>
      <c r="B1044">
        <f>Skills!B4</f>
        <v/>
      </c>
      <c r="C1044">
        <f>Inputs!$B$3&gt;=38</f>
        <v/>
      </c>
      <c r="D1044">
        <f>IF(Skills!C4=1,60+Inputs!$B$26+Inputs!$B$30,IF(Skills!C4=2,90+Inputs!$B$27+Inputs!$B$30,IF(Skills!C4=3,120+Inputs!$B$28+Inputs!$B$30,MAX(0,(Inputs!$B$3-100)*3)+Inputs!$B$29+Inputs!$B$30)))</f>
        <v/>
      </c>
      <c r="E1044">
        <f>INDEX(FactorTable!$B$2:$Y$301, MATCH(ROUND(MIN(300,MAX(1,D1044)),0), FactorTable!$A$2:$A$301,0), Skills!L4+1)</f>
        <v/>
      </c>
      <c r="F1044">
        <f>IF(Skills!M4=TRUE,(Skills!K4/10)*(E1044/1000),Skills!K4/10)+Skills!N4</f>
        <v/>
      </c>
      <c r="G1044">
        <f>Calc!G4</f>
        <v/>
      </c>
      <c r="H1044">
        <f>Calc!H4</f>
        <v/>
      </c>
      <c r="I1044">
        <f>IF(Skills!T4&lt;&gt;"",1+(Skills!T4/10)*($Z$3/1000)/100,1)</f>
        <v/>
      </c>
      <c r="J1044" t="inlineStr"/>
      <c r="K1044" t="inlineStr"/>
      <c r="L1044" t="inlineStr"/>
      <c r="M1044" t="inlineStr"/>
      <c r="N1044" t="inlineStr"/>
      <c r="O1044">
        <f>(1-Summary!$B$11)*S1044+Summary!$B$11*U1044</f>
        <v/>
      </c>
      <c r="P1044">
        <f>IF(B1082=0,0,O1044/B1082)</f>
        <v/>
      </c>
      <c r="Q1044">
        <f>IFERROR(1/(IF(Inputs!$B$39="pvp",15,MAX(0.1,Skills!D4-IF(Skills!E4=TRUE,Inputs!$B$33,0)))*(1-IF(AND(ArtifactsInput!$M$27,Inputs!$B$4="Chapter Hunt"),CHOOSE(ArtifactsInput!$N$27+1,20,24,28,32,36,40),0)/100)),0)</f>
        <v/>
      </c>
      <c r="R1044">
        <f>IF(AND(Inputs!$B$39&lt;&gt;"pvp",Inputs!$B$44&gt;0),IF(Inputs!$B$44&lt;=0,0,(INT(Inputs!$B$44/(IF(Inputs!$B$39="pvp",15,MAX(0.1,Skills!D4-IF(Skills!E4=TRUE,Inputs!$B$33,0)))*(1-IF(AND(ArtifactsInput!$M$27,Inputs!$B$4="Chapter Hunt"),CHOOSE(ArtifactsInput!$N$27+1,20,24,28,32,36,40),0)/100)))+1)),0)</f>
        <v/>
      </c>
      <c r="S1044" t="n">
        <v>0</v>
      </c>
      <c r="T1044">
        <f>290*T1043/1000</f>
        <v/>
      </c>
      <c r="U1044" t="n">
        <v>0</v>
      </c>
    </row>
    <row r="1045">
      <c r="A1045">
        <f>Skills!A5</f>
        <v/>
      </c>
      <c r="B1045">
        <f>Skills!B5</f>
        <v/>
      </c>
      <c r="C1045">
        <f>Inputs!$B$3&gt;=40</f>
        <v/>
      </c>
      <c r="D1045">
        <f>IF(Skills!C5=1,60+Inputs!$B$26+Inputs!$B$30,IF(Skills!C5=2,90+Inputs!$B$27+Inputs!$B$30,IF(Skills!C5=3,120+Inputs!$B$28+Inputs!$B$30,MAX(0,(Inputs!$B$3-100)*3)+Inputs!$B$29+Inputs!$B$30)))</f>
        <v/>
      </c>
      <c r="E1045">
        <f>INDEX(FactorTable!$B$2:$Y$301, MATCH(ROUND(MIN(300,MAX(1,D1045)),0), FactorTable!$A$2:$A$301,0), Skills!L5+1)</f>
        <v/>
      </c>
      <c r="F1045">
        <f>IF(Skills!M5=TRUE,(Skills!K5/10)*(E1045/1000),Skills!K5/10)+Skills!N5</f>
        <v/>
      </c>
      <c r="G1045">
        <f>Calc!G5</f>
        <v/>
      </c>
      <c r="H1045">
        <f>Calc!H5</f>
        <v/>
      </c>
      <c r="I1045">
        <f>IF(Skills!T5&lt;&gt;"",1+(Skills!T5/10)*($Z$3/1000)/100,1)</f>
        <v/>
      </c>
      <c r="J1045" t="inlineStr"/>
      <c r="K1045" t="inlineStr"/>
      <c r="L1045" t="inlineStr"/>
      <c r="M1045" t="inlineStr"/>
      <c r="N1045" t="inlineStr"/>
      <c r="O1045">
        <f>(1-Summary!$B$11)*S1045+Summary!$B$11*U1045</f>
        <v/>
      </c>
      <c r="P1045">
        <f>IF(B1082=0,0,O1045/B1082)</f>
        <v/>
      </c>
      <c r="Q1045">
        <f>IFERROR(1/(IF(Inputs!$B$39="pvp",15,MAX(0.1,Skills!D5-IF(Skills!E5=TRUE,Inputs!$B$33,0)))*(1-IF(AND(ArtifactsInput!$M$27,Inputs!$B$4="Chapter Hunt"),CHOOSE(ArtifactsInput!$N$27+1,20,24,28,32,36,40),0)/100)),0)</f>
        <v/>
      </c>
      <c r="R1045">
        <f>IF(AND(Inputs!$B$39&lt;&gt;"pvp",Inputs!$B$44&gt;0),IF(Inputs!$B$44&lt;=0,0,(INT(Inputs!$B$44/(IF(Inputs!$B$39="pvp",15,MAX(0.1,Skills!D5-IF(Skills!E5=TRUE,Inputs!$B$33,0)))*(1-IF(AND(ArtifactsInput!$M$27,Inputs!$B$4="Chapter Hunt"),CHOOSE(ArtifactsInput!$N$27+1,20,24,28,32,36,40),0)/100)))+1)),0)</f>
        <v/>
      </c>
      <c r="S1045" t="n">
        <v>0</v>
      </c>
      <c r="U1045" t="n">
        <v>0</v>
      </c>
    </row>
    <row r="1046">
      <c r="A1046">
        <f>Skills!A6</f>
        <v/>
      </c>
      <c r="B1046">
        <f>Skills!B6</f>
        <v/>
      </c>
      <c r="C1046">
        <f>Inputs!$B$3&gt;=103</f>
        <v/>
      </c>
      <c r="D1046">
        <f>IF(Skills!C6=1,60+Inputs!$B$26+Inputs!$B$30,IF(Skills!C6=2,90+Inputs!$B$27+Inputs!$B$30,IF(Skills!C6=3,120+Inputs!$B$28+Inputs!$B$30,MAX(0,(Inputs!$B$3-100)*3)+Inputs!$B$29+Inputs!$B$30)))</f>
        <v/>
      </c>
      <c r="E1046">
        <f>INDEX(FactorTable!$B$2:$Y$301, MATCH(ROUND(MIN(300,MAX(1,D1046)),0), FactorTable!$A$2:$A$301,0), Skills!L6+1)</f>
        <v/>
      </c>
      <c r="F1046">
        <f>IF(Skills!M6=TRUE,(Skills!K6/10)*(E1046/1000),Skills!K6/10)+Skills!N6</f>
        <v/>
      </c>
      <c r="G1046">
        <f>Calc!G6</f>
        <v/>
      </c>
      <c r="H1046">
        <f>Calc!H6</f>
        <v/>
      </c>
      <c r="I1046">
        <f>IF(Skills!T6&lt;&gt;"",1+(Skills!T6/10)*($Z$3/1000)/100,1)</f>
        <v/>
      </c>
      <c r="J1046">
        <f>(((Inputs!$B$6+1)*(1+Inputs!$B$7/100))+(((Inputs!$B$13*(1+Inputs!$B$14/100))-(Inputs!$B$13*(1+Inputs!$B$14/100)))+0.25*(Inputs!$B$15-Inputs!$B$15))*(1+Inputs!$B$7/100))*(F1046/100)</f>
        <v/>
      </c>
      <c r="K1046">
        <f>J1046*(1+(((Inputs!$B$13+IF(Inputs!$B$3&gt;=35,(10*INDEX(FactorTable!$B$2:$Y$301,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6="TRIUMPH_FEATHER",IF(C1056=TRUE,F1056,0),0)/100)*(1+IF(C1067=TRUE,F1067,0)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1046)</f>
        <v/>
      </c>
      <c r="L1046">
        <f>K1046*(MIN(Inputs!$B$23+(F1062-Calc!F22),(Inputs!$B$24+IF(ArtifactsInput!$M$15,CHOOSE(ArtifactsInput!$N$15+1,25,30,35,40,45,50)/100*(Inputs!$B$12-Inputs!$B$12),0)))/100+(Inputs!$B$24+IF(ArtifactsInput!$M$15,CHOOSE(ArtifactsInput!$N$15+1,25,30,35,40,45,50)/100*(Inputs!$B$12-Inputs!$B$12),0))/100)/2</f>
        <v/>
      </c>
      <c r="M1046">
        <f>L1046*(1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6">
        <f>L1046*(1-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(1-Summary!$B$11)*S1046+Summary!$B$11*U1046</f>
        <v/>
      </c>
      <c r="P1046">
        <f>IF(B1082=0,0,O1046/B1082)</f>
        <v/>
      </c>
      <c r="Q1046">
        <f>IFERROR(1/(IF(Inputs!$B$39="pvp",15,MAX(0.1,Skills!D6-IF(Skills!E6=TRUE,Inputs!$B$33,0)))*(1-IF(AND(ArtifactsInput!$M$27,Inputs!$B$4="Chapter Hunt"),CHOOSE(ArtifactsInput!$N$27+1,20,24,28,32,36,40),0)/100)),0)</f>
        <v/>
      </c>
      <c r="R1046">
        <f>IF(AND(Inputs!$B$39&lt;&gt;"pvp",Inputs!$B$44&gt;0),IF(MAX(0,Inputs!$B$44-B1079)&lt;=0,0,(INT(MAX(0,Inputs!$B$44-B1079)/(IF(Inputs!$B$39="pvp",15,MAX(0.1,Skills!D6-IF(Skills!E6=TRUE,Inputs!$B$33,0)))*(1-IF(AND(ArtifactsInput!$M$27,Inputs!$B$4="Chapter Hunt"),CHOOSE(ArtifactsInput!$N$27+1,20,24,28,32,36,40),0)/100)))+1)),0)</f>
        <v/>
      </c>
      <c r="S1046">
        <f>IF(C1046,(H1046*N1046*IF(AND(Inputs!$B$39&lt;&gt;"pvp",Inputs!$B$44&gt;0),((Skills!F6*((R1046-1)*IF(Skills!G6&gt;0,Skills!H6/Skills!G6,1)+IF(Skills!G6&gt;0,MIN(Skills!H6,MAX(0,MAX(0,Inputs!$B$44-B1079)-((R1046-1)*(IF(Inputs!$B$39="pvp",15,MAX(0.1,Skills!D6-IF(Skills!E6=TRUE,Inputs!$B$33,0)))*(1-IF(AND(ArtifactsInput!$M$27,Inputs!$B$4="Chapter Hunt"),CHOOSE(ArtifactsInput!$N$27+1,20,24,28,32,36,40),0)/100)))))/Skills!G6,1)))/Inputs!$B$44),G1046*Q1046))*IF(Inputs!$B$39="pvp",1,1+(Inputs!$B$21+Skills!O6+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1046*(1-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6">
        <f>IF(C1046,(H1046*N1046*IF(AND(Inputs!$B$39&lt;&gt;"pvp",Inputs!$B$44&gt;0),((Skills!F6*((R1046-1)*IF(Skills!G6&gt;0,Skills!H6/Skills!G6,1)+IF(Skills!G6&gt;0,MIN(Skills!H6,MAX(0,MAX(0,Inputs!$B$44-B1079)-((R1046-1)*(IF(Inputs!$B$39="pvp",15,MAX(0.1,Skills!D6-IF(Skills!E6=TRUE,Inputs!$B$33,0)))*(1-IF(AND(ArtifactsInput!$M$27,Inputs!$B$4="Chapter Hunt"),CHOOSE(ArtifactsInput!$N$27+1,20,24,28,32,36,40),0)/100)))))/Skills!G6,1)))/Inputs!$B$44),G1046*Q1046))*IF(Inputs!$B$39="pvp",1,(1+(Inputs!$B$22+Skills!P6+B1071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Skills!A7</f>
        <v/>
      </c>
      <c r="B1047">
        <f>Skills!B7</f>
        <v/>
      </c>
      <c r="C1047">
        <f>Inputs!$B$3&gt;=122</f>
        <v/>
      </c>
      <c r="D1047">
        <f>IF(Skills!C7=1,60+Inputs!$B$26+Inputs!$B$30,IF(Skills!C7=2,90+Inputs!$B$27+Inputs!$B$30,IF(Skills!C7=3,120+Inputs!$B$28+Inputs!$B$30,MAX(0,(Inputs!$B$3-100)*3)+Inputs!$B$29+Inputs!$B$30)))</f>
        <v/>
      </c>
      <c r="E1047">
        <f>INDEX(FactorTable!$B$2:$Y$301, MATCH(ROUND(MIN(300,MAX(1,D1047)),0), FactorTable!$A$2:$A$301,0), Skills!L7+1)</f>
        <v/>
      </c>
      <c r="F1047">
        <f>IF(Skills!M7=TRUE,(Skills!K7/10)*(E1047/1000),Skills!K7/10)+Skills!N7</f>
        <v/>
      </c>
      <c r="G1047">
        <f>Calc!G7</f>
        <v/>
      </c>
      <c r="H1047">
        <f>Calc!H7</f>
        <v/>
      </c>
      <c r="I1047">
        <f>IF(Skills!T7&lt;&gt;"",1+(Skills!T7/10)*($Z$3/1000)/100,1)</f>
        <v/>
      </c>
      <c r="J1047">
        <f>(((Inputs!$B$6+1)*(1+Inputs!$B$7/100))+(((Inputs!$B$13*(1+Inputs!$B$14/100))-(Inputs!$B$13*(1+Inputs!$B$14/100)))+0.25*(Inputs!$B$15-Inputs!$B$15))*(1+Inputs!$B$7/100))*(F1047/100)</f>
        <v/>
      </c>
      <c r="K1047">
        <f>J1047*(1+(((Inputs!$B$13+IF(Inputs!$B$3&gt;=35,(10*INDEX(FactorTable!$B$2:$Y$301,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7="TRIUMPH_FEATHER",IF(C1056=TRUE,F1056,0),0)/100)*(1+IF(C1067=TRUE,F1067,0)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1047)</f>
        <v/>
      </c>
      <c r="L1047">
        <f>K1047*(MIN(Inputs!$B$23+(F1062-Calc!F22),(Inputs!$B$24+IF(ArtifactsInput!$M$15,CHOOSE(ArtifactsInput!$N$15+1,25,30,35,40,45,50)/100*(Inputs!$B$12-Inputs!$B$12),0)))/100+(Inputs!$B$24+IF(ArtifactsInput!$M$15,CHOOSE(ArtifactsInput!$N$15+1,25,30,35,40,45,50)/100*(Inputs!$B$12-Inputs!$B$12),0))/100)/2</f>
        <v/>
      </c>
      <c r="M1047">
        <f>L1047*(1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7">
        <f>L1047*(1-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1047*(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7">
        <f>(1-Summary!$B$11)*S1047+Summary!$B$11*U1047</f>
        <v/>
      </c>
      <c r="P1047">
        <f>IF(B1082=0,0,O1047/B1082)</f>
        <v/>
      </c>
      <c r="Q1047">
        <f>IFERROR(1/(IF(Inputs!$B$39="pvp",15,MAX(0.1,Skills!D7-IF(Skills!E6=TRUE,Inputs!$B$33,0)))*(1-IF(AND(ArtifactsInput!$M$27,Inputs!$B$4="Chapter Hunt"),CHOOSE(ArtifactsInput!$N$27+1,20,24,28,32,36,40),0)/100)),0)</f>
        <v/>
      </c>
      <c r="R1047">
        <f>IF(AND(Inputs!$B$39&lt;&gt;"pvp",Inputs!$B$44&gt;0),IF(MAX(0,Inputs!$B$44-B1079)&lt;=0,0,(INT(MAX(0,Inputs!$B$44-B1079)/(IF(Inputs!$B$39="pvp",15,MAX(0.1,Skills!D7-IF(Skills!E6=TRUE,Inputs!$B$33,0)))*(1-IF(AND(ArtifactsInput!$M$27,Inputs!$B$4="Chapter Hunt"),CHOOSE(ArtifactsInput!$N$27+1,20,24,28,32,36,40),0)/100)))+1)),0)</f>
        <v/>
      </c>
      <c r="S1047">
        <f>IF(C1047,H1047*N1047*IF(AND(Inputs!$B$39&lt;&gt;"pvp",Inputs!$B$44&gt;0),((Skills!F7*((R1047-1)*IF(Skills!G7&gt;0,Skills!H7/Skills!G7,1)+IF(Skills!G7&gt;0,MIN(Skills!H7,MAX(0,MAX(0,Inputs!$B$44-B1079)-((R1047-1)*(IF(Inputs!$B$39="pvp",15,MAX(0.1,Skills!D7-IF(Skills!E6=TRUE,Inputs!$B$33,0)))*(1-IF(AND(ArtifactsInput!$M$27,Inputs!$B$4="Chapter Hunt"),CHOOSE(ArtifactsInput!$N$27+1,20,24,28,32,36,40),0)/100)))))/Skills!G7,1)))/Inputs!$B$44),G1047*Q1047)*IF(Inputs!$B$39="pvp",1,1+(Inputs!$B$21+Skills!O7+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1047*(1-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1047*(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1047*(1-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1047*(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7" t="n">
        <v>0</v>
      </c>
    </row>
    <row r="1048">
      <c r="A1048">
        <f>Skills!A8</f>
        <v/>
      </c>
      <c r="B1048">
        <f>Skills!B8</f>
        <v/>
      </c>
      <c r="C1048">
        <f>Inputs!$B$3&gt;=105</f>
        <v/>
      </c>
      <c r="D1048">
        <f>IF(Skills!C8=1,60+Inputs!$B$26+Inputs!$B$30,IF(Skills!C8=2,90+Inputs!$B$27+Inputs!$B$30,IF(Skills!C8=3,120+Inputs!$B$28+Inputs!$B$30,MAX(0,(Inputs!$B$3-100)*3)+Inputs!$B$29+Inputs!$B$30)))</f>
        <v/>
      </c>
      <c r="E1048">
        <f>INDEX(FactorTable!$B$2:$Y$301, MATCH(ROUND(MIN(300,MAX(1,D1048)),0), FactorTable!$A$2:$A$301,0), Skills!L8+1)</f>
        <v/>
      </c>
      <c r="F1048">
        <f>IF(Skills!M8=TRUE,(Skills!K8/10)*(E1048/1000),Skills!K8/10)+Skills!N8</f>
        <v/>
      </c>
      <c r="G1048">
        <f>Calc!G8</f>
        <v/>
      </c>
      <c r="H1048">
        <f>Calc!H8</f>
        <v/>
      </c>
      <c r="I1048">
        <f>IF(Skills!T8&lt;&gt;"",1+(Skills!T8/10)*($Z$3/1000)/100,1)</f>
        <v/>
      </c>
      <c r="J1048">
        <f>(((Inputs!$B$6+1)*(1+Inputs!$B$7/100))+(((Inputs!$B$13*(1+Inputs!$B$14/100))-(Inputs!$B$13*(1+Inputs!$B$14/100)))+0.25*(Inputs!$B$15-Inputs!$B$15))*(1+Inputs!$B$7/100))*(F1048/100)</f>
        <v/>
      </c>
      <c r="K1048">
        <f>J1048*(1+(((Inputs!$B$13+IF(Inputs!$B$3&gt;=35,(10*INDEX(FactorTable!$B$2:$Y$301,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8="TRIUMPH_FEATHER",IF(C1056=TRUE,F1056,0),0)/100)*(1+IF(C1067=TRUE,F1067,0)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1048)</f>
        <v/>
      </c>
      <c r="L1048">
        <f>K1048*(MIN(Inputs!$B$23+(F1062-Calc!F22),(Inputs!$B$24+IF(ArtifactsInput!$M$15,CHOOSE(ArtifactsInput!$N$15+1,25,30,35,40,45,50)/100*(Inputs!$B$12-Inputs!$B$12),0)))/100+(Inputs!$B$24+IF(ArtifactsInput!$M$15,CHOOSE(ArtifactsInput!$N$15+1,25,30,35,40,45,50)/100*(Inputs!$B$12-Inputs!$B$12),0))/100)/2</f>
        <v/>
      </c>
      <c r="M1048">
        <f>L1048*(1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8">
        <f>L1048*(1-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(1-Summary!$B$11)*S1048+Summary!$B$11*U1048</f>
        <v/>
      </c>
      <c r="P1048">
        <f>IF(B1082=0,0,O1048/B1082)</f>
        <v/>
      </c>
      <c r="Q1048">
        <f>IFERROR(1/(IF(Inputs!$B$39="pvp",15,MAX(0.1,Skills!D8-IF(Skills!E8=TRUE,Inputs!$B$33,0)))*(1-IF(AND(ArtifactsInput!$M$27,Inputs!$B$4="Chapter Hunt"),CHOOSE(ArtifactsInput!$N$27+1,20,24,28,32,36,40),0)/100)),0)</f>
        <v/>
      </c>
      <c r="R1048">
        <f>IF(AND(Inputs!$B$39&lt;&gt;"pvp",Inputs!$B$44&gt;0),IF(MAX(0,Inputs!$B$44-B1079)&lt;=0,0,(INT(MAX(0,Inputs!$B$44-B1079)/(IF(Inputs!$B$39="pvp",15,MAX(0.1,Skills!D8-IF(Skills!E8=TRUE,Inputs!$B$33,0)))*(1-IF(AND(ArtifactsInput!$M$27,Inputs!$B$4="Chapter Hunt"),CHOOSE(ArtifactsInput!$N$27+1,20,24,28,32,36,40),0)/100)))+1)),0)</f>
        <v/>
      </c>
      <c r="S1048">
        <f>IF(C1048,(H1048*N1048*IF(AND(Inputs!$B$39&lt;&gt;"pvp",Inputs!$B$44&gt;0),((Skills!F8*((R1048-1)*IF(Skills!G8&gt;0,Skills!H8/Skills!G8,1)+IF(Skills!G8&gt;0,MIN(Skills!H8,MAX(0,MAX(0,Inputs!$B$44-B1079)-((R1048-1)*(IF(Inputs!$B$39="pvp",15,MAX(0.1,Skills!D8-IF(Skills!E8=TRUE,Inputs!$B$33,0)))*(1-IF(AND(ArtifactsInput!$M$27,Inputs!$B$4="Chapter Hunt"),CHOOSE(ArtifactsInput!$N$27+1,20,24,28,32,36,40),0)/100)))))/Skills!G8,1)))/Inputs!$B$44),G1048*Q1048))*IF(Inputs!$B$39="pvp",1,1+(Inputs!$B$21+Skills!O8+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1048*(1-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8">
        <f>IF(C1048,(H1048*N1048*IF(AND(Inputs!$B$39&lt;&gt;"pvp",Inputs!$B$44&gt;0),((Skills!F8*((R1048-1)*IF(Skills!G8&gt;0,Skills!H8/Skills!G8,1)+IF(Skills!G8&gt;0,MIN(Skills!H8,MAX(0,MAX(0,Inputs!$B$44-B1079)-((R1048-1)*(IF(Inputs!$B$39="pvp",15,MAX(0.1,Skills!D8-IF(Skills!E8=TRUE,Inputs!$B$33,0)))*(1-IF(AND(ArtifactsInput!$M$27,Inputs!$B$4="Chapter Hunt"),CHOOSE(ArtifactsInput!$N$27+1,20,24,28,32,36,40),0)/100)))))/Skills!G8,1)))/Inputs!$B$44),G1048*Q1048))*IF(Inputs!$B$39="pvp",1,(1+(Inputs!$B$22+Skills!P8+B1071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Skills!A9</f>
        <v/>
      </c>
      <c r="B1049">
        <f>Skills!B9</f>
        <v/>
      </c>
      <c r="C1049">
        <f>Inputs!$B$3&gt;=115</f>
        <v/>
      </c>
      <c r="D1049">
        <f>IF(Skills!C9=1,60+Inputs!$B$26+Inputs!$B$30,IF(Skills!C9=2,90+Inputs!$B$27+Inputs!$B$30,IF(Skills!C9=3,120+Inputs!$B$28+Inputs!$B$30,MAX(0,(Inputs!$B$3-100)*3)+Inputs!$B$29+Inputs!$B$30)))</f>
        <v/>
      </c>
      <c r="E1049">
        <f>INDEX(FactorTable!$B$2:$Y$301, MATCH(ROUND(MIN(300,MAX(1,D1049)),0), FactorTable!$A$2:$A$301,0), Skills!L9+1)</f>
        <v/>
      </c>
      <c r="F1049">
        <f>IF(Skills!M9=TRUE,(Skills!K9/10)*(E1049/1000),Skills!K9/10)+Skills!N9</f>
        <v/>
      </c>
      <c r="G1049">
        <f>Calc!G9</f>
        <v/>
      </c>
      <c r="H1049">
        <f>Calc!H9</f>
        <v/>
      </c>
      <c r="I1049">
        <f>IF(Skills!T9&lt;&gt;"",1+(Skills!T9/10)*($Z$3/1000)/100,1)</f>
        <v/>
      </c>
      <c r="J1049">
        <f>(((Inputs!$B$6+1)*(1+Inputs!$B$7/100))+(((Inputs!$B$13*(1+Inputs!$B$14/100))-(Inputs!$B$13*(1+Inputs!$B$14/100)))+0.25*(Inputs!$B$15-Inputs!$B$15))*(1+Inputs!$B$7/100))*(F1049/100)</f>
        <v/>
      </c>
      <c r="K1049">
        <f>J1049*(1+(((Inputs!$B$13+IF(Inputs!$B$3&gt;=35,(10*INDEX(FactorTable!$B$2:$Y$301,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9="TRIUMPH_FEATHER",IF(C1056=TRUE,F1056,0),0)/100)*(1+IF(C1067=TRUE,F1067,0)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1049)</f>
        <v/>
      </c>
      <c r="L1049">
        <f>K1049*(MIN(Inputs!$B$23+(F1062-Calc!F22),(Inputs!$B$24+IF(ArtifactsInput!$M$15,CHOOSE(ArtifactsInput!$N$15+1,25,30,35,40,45,50)/100*(Inputs!$B$12-Inputs!$B$12),0)))/100+(Inputs!$B$24+IF(ArtifactsInput!$M$15,CHOOSE(ArtifactsInput!$N$15+1,25,30,35,40,45,50)/100*(Inputs!$B$12-Inputs!$B$12),0))/100)/2</f>
        <v/>
      </c>
      <c r="M1049">
        <f>L1049*(1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9">
        <f>L1049*(1-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(1-Summary!$B$11)*S1049+Summary!$B$11*U1049</f>
        <v/>
      </c>
      <c r="P1049">
        <f>IF(B1082=0,0,O1049/B1082)</f>
        <v/>
      </c>
      <c r="Q1049">
        <f>IFERROR(1/(IF(Inputs!$B$39="pvp",15,MAX(0.1,Skills!D9-IF(Skills!E9=TRUE,Inputs!$B$33,0)))*(1-IF(AND(ArtifactsInput!$M$27,Inputs!$B$4="Chapter Hunt"),CHOOSE(ArtifactsInput!$N$27+1,20,24,28,32,36,40),0)/100)),0)</f>
        <v/>
      </c>
      <c r="R1049">
        <f>IF(AND(Inputs!$B$39&lt;&gt;"pvp",Inputs!$B$44&gt;0),IF(MAX(0,Inputs!$B$44-B1079)&lt;=0,0,(INT(MAX(0,Inputs!$B$44-B1079)/(IF(Inputs!$B$39="pvp",15,MAX(0.1,Skills!D9-IF(Skills!E9=TRUE,Inputs!$B$33,0)))*(1-IF(AND(ArtifactsInput!$M$27,Inputs!$B$4="Chapter Hunt"),CHOOSE(ArtifactsInput!$N$27+1,20,24,28,32,36,40),0)/100)))+1)),0)</f>
        <v/>
      </c>
      <c r="S1049">
        <f>IF(C1049,(H1049*N1049*IF(AND(Inputs!$B$39&lt;&gt;"pvp",Inputs!$B$44&gt;0),((Skills!F9*((R1049-1)*IF(Skills!G9&gt;0,Skills!H9/Skills!G9,1)+IF(Skills!G9&gt;0,MIN(Skills!H9,MAX(0,MAX(0,Inputs!$B$44-B1079)-((R1049-1)*(IF(Inputs!$B$39="pvp",15,MAX(0.1,Skills!D9-IF(Skills!E9=TRUE,Inputs!$B$33,0)))*(1-IF(AND(ArtifactsInput!$M$27,Inputs!$B$4="Chapter Hunt"),CHOOSE(ArtifactsInput!$N$27+1,20,24,28,32,36,40),0)/100)))))/Skills!G9,1)))/Inputs!$B$44),G1049*Q1049))*IF(Inputs!$B$39="pvp",1,1+(Inputs!$B$21+Skills!O9+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1049*(1-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9">
        <f>IF(C1049,(H1049*N1049*IF(AND(Inputs!$B$39&lt;&gt;"pvp",Inputs!$B$44&gt;0),((Skills!F9*((R1049-1)*IF(Skills!G9&gt;0,Skills!H9/Skills!G9,1)+IF(Skills!G9&gt;0,MIN(Skills!H9,MAX(0,MAX(0,Inputs!$B$44-B1079)-((R1049-1)*(IF(Inputs!$B$39="pvp",15,MAX(0.1,Skills!D9-IF(Skills!E9=TRUE,Inputs!$B$33,0)))*(1-IF(AND(ArtifactsInput!$M$27,Inputs!$B$4="Chapter Hunt"),CHOOSE(ArtifactsInput!$N$27+1,20,24,28,32,36,40),0)/100)))))/Skills!G9,1)))/Inputs!$B$44),G1049*Q1049))*IF(Inputs!$B$39="pvp",1,(1+(Inputs!$B$22+Skills!P9+B1071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Skills!A10</f>
        <v/>
      </c>
      <c r="B1050">
        <f>Skills!B10</f>
        <v/>
      </c>
      <c r="C1050">
        <f>Inputs!$B$3&gt;=66</f>
        <v/>
      </c>
      <c r="D1050">
        <f>IF(Skills!C10=1,60+Inputs!$B$26+Inputs!$B$30,IF(Skills!C10=2,90+Inputs!$B$27+Inputs!$B$30,IF(Skills!C10=3,120+Inputs!$B$28+Inputs!$B$30,MAX(0,(Inputs!$B$3-100)*3)+Inputs!$B$29+Inputs!$B$30)))</f>
        <v/>
      </c>
      <c r="E1050">
        <f>INDEX(FactorTable!$B$2:$Y$301, MATCH(ROUND(MIN(300,MAX(1,D1050)),0), FactorTable!$A$2:$A$301,0), Skills!L10+1)</f>
        <v/>
      </c>
      <c r="F1050" t="n">
        <v>0</v>
      </c>
      <c r="G1050">
        <f>Calc!G10</f>
        <v/>
      </c>
      <c r="H1050">
        <f>Calc!H10</f>
        <v/>
      </c>
      <c r="I1050">
        <f>IF(Skills!T10&lt;&gt;"",1+(Skills!T10/10)*($Z$3/1000)/100,1)</f>
        <v/>
      </c>
      <c r="J1050" t="inlineStr"/>
      <c r="K1050" t="inlineStr"/>
      <c r="L1050" t="inlineStr"/>
      <c r="M1050" t="inlineStr"/>
      <c r="N1050" t="inlineStr"/>
      <c r="O1050">
        <f>(1-Summary!$B$11)*S1050+Summary!$B$11*U1050</f>
        <v/>
      </c>
      <c r="P1050">
        <f>IF(B1082=0,0,O1050/B1082)</f>
        <v/>
      </c>
      <c r="Q1050">
        <f>IFERROR(1/(IF(Inputs!$B$39="pvp",15,MAX(0.1,Skills!D10-IF(Skills!E10=TRUE,Inputs!$B$33,0)))*(1-IF(AND(ArtifactsInput!$M$27,Inputs!$B$4="Chapter Hunt"),CHOOSE(ArtifactsInput!$N$27+1,20,24,28,32,36,40),0)/100)),0)</f>
        <v/>
      </c>
      <c r="R1050">
        <f>IF(AND(Inputs!$B$39&lt;&gt;"pvp",Inputs!$B$44&gt;0),IF(MAX(0,Inputs!$B$44-B1079)&lt;=0,0,(INT(MAX(0,Inputs!$B$44-B1079)/(IF(Inputs!$B$39="pvp",15,MAX(0.1,Skills!D10-IF(Skills!E10=TRUE,Inputs!$B$33,0)))*(1-IF(AND(ArtifactsInput!$M$27,Inputs!$B$4="Chapter Hunt"),CHOOSE(ArtifactsInput!$N$27+1,20,24,28,32,36,40),0)/100)))+1)),0)</f>
        <v/>
      </c>
      <c r="S1050" t="n">
        <v>0</v>
      </c>
      <c r="U1050" t="n">
        <v>0</v>
      </c>
    </row>
    <row r="1051">
      <c r="A1051">
        <f>Skills!A11</f>
        <v/>
      </c>
      <c r="B1051">
        <f>Skills!B11</f>
        <v/>
      </c>
      <c r="C1051">
        <f>Inputs!$B$3&gt;=69</f>
        <v/>
      </c>
      <c r="D1051">
        <f>IF(Skills!C11=1,60+Inputs!$B$26+Inputs!$B$30,IF(Skills!C11=2,90+Inputs!$B$27+Inputs!$B$30,IF(Skills!C11=3,120+Inputs!$B$28+Inputs!$B$30,MAX(0,(Inputs!$B$3-100)*3)+Inputs!$B$29+Inputs!$B$30)))</f>
        <v/>
      </c>
      <c r="E1051">
        <f>INDEX(FactorTable!$B$2:$Y$301, MATCH(ROUND(MIN(300,MAX(1,D1051)),0), FactorTable!$A$2:$A$301,0), Skills!L11+1)</f>
        <v/>
      </c>
      <c r="F1051">
        <f>IF(Skills!M11=TRUE,(Skills!K11/10)*(E1051/1000),Skills!K11/10)+Skills!N11</f>
        <v/>
      </c>
      <c r="G1051">
        <f>Calc!G11</f>
        <v/>
      </c>
      <c r="H1051">
        <f>Calc!H11</f>
        <v/>
      </c>
      <c r="I1051">
        <f>IF(Skills!T11&lt;&gt;"",1+(Skills!T11/10)*($Z$3/1000)/100,1)</f>
        <v/>
      </c>
      <c r="J1051" t="inlineStr"/>
      <c r="K1051" t="inlineStr"/>
      <c r="L1051" t="inlineStr"/>
      <c r="M1051" t="inlineStr"/>
      <c r="N1051" t="inlineStr"/>
      <c r="O1051">
        <f>(1-Summary!$B$11)*S1051+Summary!$B$11*U1051</f>
        <v/>
      </c>
      <c r="P1051">
        <f>IF(B1082=0,0,O1051/B1082)</f>
        <v/>
      </c>
      <c r="Q1051">
        <f>IFERROR(1/(IF(Inputs!$B$39="pvp",15,MAX(0.1,Skills!D11-IF(Skills!E11=TRUE,Inputs!$B$33,0)))*(1-IF(AND(ArtifactsInput!$M$27,Inputs!$B$4="Chapter Hunt"),CHOOSE(ArtifactsInput!$N$27+1,20,24,28,32,36,40),0)/100)),0)</f>
        <v/>
      </c>
      <c r="R1051">
        <f>IF(AND(Inputs!$B$39&lt;&gt;"pvp",Inputs!$B$44&gt;0),IF(Inputs!$B$44&lt;=0,0,(INT(Inputs!$B$44/(IF(Inputs!$B$39="pvp",15,MAX(0.1,Skills!D11-IF(Skills!E11=TRUE,Inputs!$B$33,0)))*(1-IF(AND(ArtifactsInput!$M$27,Inputs!$B$4="Chapter Hunt"),CHOOSE(ArtifactsInput!$N$27+1,20,24,28,32,36,40),0)/100)))+1)),0)</f>
        <v/>
      </c>
      <c r="S1051" t="n">
        <v>0</v>
      </c>
      <c r="U1051" t="n">
        <v>0</v>
      </c>
    </row>
    <row r="1052">
      <c r="A1052">
        <f>Skills!A12</f>
        <v/>
      </c>
      <c r="B1052">
        <f>Skills!B12</f>
        <v/>
      </c>
      <c r="C1052">
        <f>Inputs!$B$3&gt;=72</f>
        <v/>
      </c>
      <c r="D1052">
        <f>IF(Skills!C12=1,60+Inputs!$B$26+Inputs!$B$30,IF(Skills!C12=2,90+Inputs!$B$27+Inputs!$B$30,IF(Skills!C12=3,120+Inputs!$B$28+Inputs!$B$30,MAX(0,(Inputs!$B$3-100)*3)+Inputs!$B$29+Inputs!$B$30)))</f>
        <v/>
      </c>
      <c r="E1052">
        <f>INDEX(FactorTable!$B$2:$Y$301, MATCH(ROUND(MIN(300,MAX(1,D1052)),0), FactorTable!$A$2:$A$301,0), Skills!L12+1)</f>
        <v/>
      </c>
      <c r="F1052">
        <f>IF(Skills!M12=TRUE,(Skills!K12/10)*(E1052/1000),Skills!K12/10)+Skills!N12</f>
        <v/>
      </c>
      <c r="G1052">
        <f>Calc!G12</f>
        <v/>
      </c>
      <c r="H1052">
        <f>Calc!H12</f>
        <v/>
      </c>
      <c r="I1052">
        <f>IF(Skills!T12&lt;&gt;"",1+(Skills!T12/10)*($Z$3/1000)/100,1)</f>
        <v/>
      </c>
      <c r="J1052" t="inlineStr"/>
      <c r="K1052" t="inlineStr"/>
      <c r="L1052" t="inlineStr"/>
      <c r="M1052" t="inlineStr"/>
      <c r="N1052" t="inlineStr"/>
      <c r="O1052">
        <f>(1-Summary!$B$11)*S1052+Summary!$B$11*U1052</f>
        <v/>
      </c>
      <c r="P1052">
        <f>IF(B1082=0,0,O1052/B1082)</f>
        <v/>
      </c>
      <c r="Q1052">
        <f>IFERROR(1/(IF(Inputs!$B$39="pvp",15,MAX(0.1,Skills!D12-IF(Skills!E12=TRUE,Inputs!$B$33,0)))*(1-IF(AND(ArtifactsInput!$M$27,Inputs!$B$4="Chapter Hunt"),CHOOSE(ArtifactsInput!$N$27+1,20,24,28,32,36,40),0)/100)),0)</f>
        <v/>
      </c>
      <c r="R1052">
        <f>IF(AND(Inputs!$B$39&lt;&gt;"pvp",Inputs!$B$44&gt;0),IF(MAX(0,Inputs!$B$44-B1079)&lt;=0,0,(INT(MAX(0,Inputs!$B$44-B1079)/(IF(Inputs!$B$39="pvp",15,MAX(0.1,Skills!D12-IF(Skills!E12=TRUE,Inputs!$B$33,0)))*(1-IF(AND(ArtifactsInput!$M$27,Inputs!$B$4="Chapter Hunt"),CHOOSE(ArtifactsInput!$N$27+1,20,24,28,32,36,40),0)/100)))+1)),0)</f>
        <v/>
      </c>
      <c r="S1052" t="n">
        <v>0</v>
      </c>
      <c r="U1052" t="n">
        <v>0</v>
      </c>
    </row>
    <row r="1053">
      <c r="A1053">
        <f>Skills!A13</f>
        <v/>
      </c>
      <c r="B1053">
        <f>Skills!B13</f>
        <v/>
      </c>
      <c r="C1053">
        <f>Inputs!$B$3&gt;=60</f>
        <v/>
      </c>
      <c r="D1053">
        <f>IF(Skills!C13=1,60+Inputs!$B$26+Inputs!$B$30,IF(Skills!C13=2,90+Inputs!$B$27+Inputs!$B$30,IF(Skills!C13=3,120+Inputs!$B$28+Inputs!$B$30,MAX(0,(Inputs!$B$3-100)*3)+Inputs!$B$29+Inputs!$B$30)))</f>
        <v/>
      </c>
      <c r="E1053">
        <f>INDEX(FactorTable!$B$2:$Y$301, MATCH(ROUND(MIN(300,MAX(1,D1053)),0), FactorTable!$A$2:$A$301,0), Skills!L13+1)</f>
        <v/>
      </c>
      <c r="F1053">
        <f>IF(Skills!M13=TRUE,(Skills!K13/10)*(E1053/1000),Skills!K13/10)+Skills!N13</f>
        <v/>
      </c>
      <c r="G1053">
        <f>Calc!G13</f>
        <v/>
      </c>
      <c r="H1053">
        <f>Calc!H13</f>
        <v/>
      </c>
      <c r="I1053">
        <f>IF(Skills!T13&lt;&gt;"",1+(Skills!T13/10)*($Z$3/1000)/100,1)</f>
        <v/>
      </c>
      <c r="J1053" t="inlineStr"/>
      <c r="K1053" t="inlineStr"/>
      <c r="L1053" t="inlineStr"/>
      <c r="M1053" t="inlineStr"/>
      <c r="N1053" t="inlineStr"/>
      <c r="O1053">
        <f>(1-Summary!$B$11)*S1053+Summary!$B$11*U1053</f>
        <v/>
      </c>
      <c r="P1053">
        <f>IF(B1082=0,0,O1053/B1082)</f>
        <v/>
      </c>
      <c r="Q1053">
        <f>IFERROR(1/(IF(Inputs!$B$39="pvp",15,MAX(0.1,Skills!D13-IF(Skills!E13=TRUE,Inputs!$B$33,0)))*(1-IF(AND(ArtifactsInput!$M$27,Inputs!$B$4="Chapter Hunt"),CHOOSE(ArtifactsInput!$N$27+1,20,24,28,32,36,40),0)/100)),0)</f>
        <v/>
      </c>
      <c r="R1053">
        <f>IF(AND(Inputs!$B$39&lt;&gt;"pvp",Inputs!$B$44&gt;0),IF(MAX(0,Inputs!$B$44-B1079)&lt;=0,0,(INT(MAX(0,Inputs!$B$44-B1079)/(IF(Inputs!$B$39="pvp",15,MAX(0.1,Skills!D13-IF(Skills!E13=TRUE,Inputs!$B$33,0)))*(1-IF(AND(ArtifactsInput!$M$27,Inputs!$B$4="Chapter Hunt"),CHOOSE(ArtifactsInput!$N$27+1,20,24,28,32,36,40),0)/100)))+1)),0)</f>
        <v/>
      </c>
      <c r="S1053" t="n">
        <v>0</v>
      </c>
      <c r="U1053" t="n">
        <v>0</v>
      </c>
    </row>
    <row r="1054">
      <c r="A1054">
        <f>Skills!A14</f>
        <v/>
      </c>
      <c r="B1054">
        <f>Skills!B14</f>
        <v/>
      </c>
      <c r="C1054">
        <f>Inputs!$B$3&gt;=107</f>
        <v/>
      </c>
      <c r="D1054">
        <f>IF(Skills!C14=1,60+Inputs!$B$26+Inputs!$B$30,IF(Skills!C14=2,90+Inputs!$B$27+Inputs!$B$30,IF(Skills!C14=3,120+Inputs!$B$28+Inputs!$B$30,MAX(0,(Inputs!$B$3-100)*3)+Inputs!$B$29+Inputs!$B$30)))</f>
        <v/>
      </c>
      <c r="E1054">
        <f>INDEX(FactorTable!$B$2:$Y$301, MATCH(ROUND(MIN(300,MAX(1,D1054)),0), FactorTable!$A$2:$A$301,0), Skills!L14+1)</f>
        <v/>
      </c>
      <c r="F1054">
        <f>IF(Skills!M14=TRUE,(Skills!K14/10)*(E1054/1000),Skills!K14/10)+Skills!N14</f>
        <v/>
      </c>
      <c r="G1054">
        <f>Calc!G14</f>
        <v/>
      </c>
      <c r="H1054">
        <f>Calc!H14</f>
        <v/>
      </c>
      <c r="I1054">
        <f>IF(Skills!T14&lt;&gt;"",1+(Skills!T14/10)*($Z$3/1000)/100,1)</f>
        <v/>
      </c>
      <c r="J1054" t="inlineStr"/>
      <c r="K1054" t="inlineStr"/>
      <c r="L1054" t="inlineStr"/>
      <c r="M1054" t="inlineStr"/>
      <c r="N1054" t="inlineStr"/>
      <c r="O1054">
        <f>(1-Summary!$B$11)*S1054+Summary!$B$11*U1054</f>
        <v/>
      </c>
      <c r="P1054">
        <f>IF(B1082=0,0,O1054/B1082)</f>
        <v/>
      </c>
      <c r="Q1054">
        <f>IFERROR(1/(IF(Inputs!$B$39="pvp",15,MAX(0.1,Skills!D14-IF(Skills!E14=TRUE,Inputs!$B$33,0)))*(1-IF(AND(ArtifactsInput!$M$27,Inputs!$B$4="Chapter Hunt"),CHOOSE(ArtifactsInput!$N$27+1,20,24,28,32,36,40),0)/100)),0)</f>
        <v/>
      </c>
      <c r="R1054">
        <f>IF(AND(Inputs!$B$39&lt;&gt;"pvp",Inputs!$B$44&gt;0),IF(Inputs!$B$44&lt;=0,0,(INT(Inputs!$B$44/(IF(Inputs!$B$39="pvp",15,MAX(0.1,Skills!D14-IF(Skills!E14=TRUE,Inputs!$B$33,0)))*(1-IF(AND(ArtifactsInput!$M$27,Inputs!$B$4="Chapter Hunt"),CHOOSE(ArtifactsInput!$N$27+1,20,24,28,32,36,40),0)/100)))+1)),0)</f>
        <v/>
      </c>
      <c r="S1054" t="n">
        <v>0</v>
      </c>
      <c r="U1054" t="n">
        <v>0</v>
      </c>
    </row>
    <row r="1055">
      <c r="A1055">
        <f>Skills!A15</f>
        <v/>
      </c>
      <c r="B1055">
        <f>Skills!B15</f>
        <v/>
      </c>
      <c r="C1055">
        <f>Inputs!$B$3&gt;=63</f>
        <v/>
      </c>
      <c r="D1055">
        <f>IF(Skills!C15=1,60+Inputs!$B$26+Inputs!$B$30,IF(Skills!C15=2,90+Inputs!$B$27+Inputs!$B$30,IF(Skills!C15=3,120+Inputs!$B$28+Inputs!$B$30,MAX(0,(Inputs!$B$3-100)*3)+Inputs!$B$29+Inputs!$B$30)))</f>
        <v/>
      </c>
      <c r="E1055">
        <f>INDEX(FactorTable!$B$2:$Y$301, MATCH(ROUND(MIN(300,MAX(1,D1055)),0), FactorTable!$A$2:$A$301,0), Skills!L15+1)</f>
        <v/>
      </c>
      <c r="F1055">
        <f>IF(Skills!M15=TRUE,(Skills!K15/10)*(E1055/1000),Skills!K15/10)+Skills!N15</f>
        <v/>
      </c>
      <c r="G1055">
        <f>Calc!G15</f>
        <v/>
      </c>
      <c r="H1055">
        <f>Calc!H15</f>
        <v/>
      </c>
      <c r="I1055">
        <f>IF(Skills!T15&lt;&gt;"",1+(Skills!T15/10)*($Z$3/1000)/100,1)</f>
        <v/>
      </c>
      <c r="J1055">
        <f>(((Inputs!$B$6+1)*(1+Inputs!$B$7/100))+(((Inputs!$B$13*(1+Inputs!$B$14/100))-(Inputs!$B$13*(1+Inputs!$B$14/100)))+0.25*(Inputs!$B$15-Inputs!$B$15))*(1+Inputs!$B$7/100))*(F1055/100)</f>
        <v/>
      </c>
      <c r="K1055">
        <f>J1055*(1+(((Inputs!$B$13+IF(Inputs!$B$3&gt;=35,(10*INDEX(FactorTable!$B$2:$Y$301,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15="TRIUMPH_FEATHER",IF(C1056=TRUE,F1056,0),0)/100)*(1+IF(C1067=TRUE,F1067,0)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1055)</f>
        <v/>
      </c>
      <c r="L1055">
        <f>K1055*(MIN(Inputs!$B$23+(F1062-Calc!F22),(Inputs!$B$24+IF(ArtifactsInput!$M$15,CHOOSE(ArtifactsInput!$N$15+1,25,30,35,40,45,50)/100*(Inputs!$B$12-Inputs!$B$12),0)))/100+(Inputs!$B$24+IF(ArtifactsInput!$M$15,CHOOSE(ArtifactsInput!$N$15+1,25,30,35,40,45,50)/100*(Inputs!$B$12-Inputs!$B$12),0))/100)/2</f>
        <v/>
      </c>
      <c r="M1055">
        <f>L1055*(1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55">
        <f>L1055*(1-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(1-Summary!$B$11)*S1055+Summary!$B$11*U1055</f>
        <v/>
      </c>
      <c r="P1055">
        <f>IF(B1082=0,0,O1055/B1082)</f>
        <v/>
      </c>
      <c r="Q1055">
        <f>IFERROR(1/(IF(Inputs!$B$39="pvp",15,MAX(0.1,Skills!D15-IF(Skills!E15=TRUE,Inputs!$B$33,0)))*(1-IF(AND(ArtifactsInput!$M$27,Inputs!$B$4="Chapter Hunt"),CHOOSE(ArtifactsInput!$N$27+1,20,24,28,32,36,40),0)/100)),0)</f>
        <v/>
      </c>
      <c r="R1055" t="n">
        <v>0</v>
      </c>
      <c r="S1055">
        <f>IF(C1055,(Skills!F15*N1055*((IF(Inputs!$B$3&gt;=78,25,15)/100*B1075*10)/(1+IF(Inputs!$B$3&gt;=78,25,15)/100*B1075*10))*(Skills!I15/100*B1075)/(1+Skills!G15*Skills!I15/100*B1075))*IF(Inputs!$B$39="pvp",1,1+(Inputs!$B$21+Skills!O15+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1055*(1-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F(C1055,(Skills!F15*N1055*((IF(Inputs!$B$3&gt;=78,25,15)/100*B1075*10)/(1+IF(Inputs!$B$3&gt;=78,25,15)/100*B1075*10))*(Skills!I15/100*B1075)/(1+Skills!G15*Skills!I15/100*B1075))*IF(Inputs!$B$39="pvp",1,(1+(Inputs!$B$22+Skills!P15+B1071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Skills!A16</f>
        <v/>
      </c>
      <c r="B1056">
        <f>Skills!B16</f>
        <v/>
      </c>
      <c r="C1056">
        <f>Inputs!$B$3&gt;=100</f>
        <v/>
      </c>
      <c r="D1056">
        <f>IF(Skills!C16=1,60+Inputs!$B$26+Inputs!$B$30,IF(Skills!C16=2,90+Inputs!$B$27+Inputs!$B$30,IF(Skills!C16=3,120+Inputs!$B$28+Inputs!$B$30,MAX(0,(Inputs!$B$3-100)*3)+Inputs!$B$29+Inputs!$B$30)))</f>
        <v/>
      </c>
      <c r="E1056">
        <f>INDEX(FactorTable!$B$2:$Y$301, MATCH(ROUND(MIN(300,MAX(1,D1056)),0), FactorTable!$A$2:$A$301,0), Skills!L16+1)</f>
        <v/>
      </c>
      <c r="F1056">
        <f>IF(Skills!M16=TRUE,(Skills!K16/10)*(E1056/1000),Skills!K16/10)+Skills!N16</f>
        <v/>
      </c>
      <c r="G1056">
        <f>Calc!G16</f>
        <v/>
      </c>
      <c r="H1056">
        <f>Calc!H16</f>
        <v/>
      </c>
      <c r="I1056">
        <f>IF(Skills!T16&lt;&gt;"",1+(Skills!T16/10)*($Z$3/1000)/100,1)</f>
        <v/>
      </c>
      <c r="J1056" t="inlineStr"/>
      <c r="K1056" t="inlineStr"/>
      <c r="L1056" t="inlineStr"/>
      <c r="M1056" t="inlineStr"/>
      <c r="N1056" t="inlineStr"/>
      <c r="O1056">
        <f>(1-Summary!$B$11)*S1056+Summary!$B$11*U1056</f>
        <v/>
      </c>
      <c r="P1056">
        <f>IF(B1082=0,0,O1056/B1082)</f>
        <v/>
      </c>
      <c r="Q1056">
        <f>IFERROR(1/(IF(Inputs!$B$39="pvp",15,MAX(0.1,Skills!D16-IF(Skills!E16=TRUE,Inputs!$B$33,0)))*(1-IF(AND(ArtifactsInput!$M$27,Inputs!$B$4="Chapter Hunt"),CHOOSE(ArtifactsInput!$N$27+1,20,24,28,32,36,40),0)/100)),0)</f>
        <v/>
      </c>
      <c r="R1056" t="n">
        <v>0</v>
      </c>
      <c r="S1056" t="n">
        <v>0</v>
      </c>
      <c r="U1056" t="n">
        <v>0</v>
      </c>
    </row>
    <row r="1057">
      <c r="A1057">
        <f>Skills!A17</f>
        <v/>
      </c>
      <c r="B1057">
        <f>Skills!B17</f>
        <v/>
      </c>
      <c r="C1057">
        <f>Inputs!$B$3&gt;=49</f>
        <v/>
      </c>
      <c r="D1057">
        <f>IF(Skills!C17=1,60+Inputs!$B$26+Inputs!$B$30,IF(Skills!C17=2,90+Inputs!$B$27+Inputs!$B$30,IF(Skills!C17=3,120+Inputs!$B$28+Inputs!$B$30,MAX(0,(Inputs!$B$3-100)*3)+Inputs!$B$29+Inputs!$B$30)))</f>
        <v/>
      </c>
      <c r="E1057">
        <f>INDEX(FactorTable!$B$2:$Y$301, MATCH(ROUND(MIN(300,MAX(1,D1057)),0), FactorTable!$A$2:$A$301,0), Skills!L17+1)</f>
        <v/>
      </c>
      <c r="F1057">
        <f>IF(Skills!M17=TRUE,(Skills!K17/10)*(E1057/1000),Skills!K17/10)+Skills!N17</f>
        <v/>
      </c>
      <c r="G1057">
        <f>Calc!G17</f>
        <v/>
      </c>
      <c r="H1057">
        <f>Calc!H17</f>
        <v/>
      </c>
      <c r="I1057">
        <f>IF(Skills!T17&lt;&gt;"",1+(Skills!T17/10)*($Z$3/1000)/100,1)</f>
        <v/>
      </c>
      <c r="J1057" t="inlineStr"/>
      <c r="K1057" t="inlineStr"/>
      <c r="L1057" t="inlineStr"/>
      <c r="M1057" t="inlineStr"/>
      <c r="N1057" t="inlineStr"/>
      <c r="O1057">
        <f>(1-Summary!$B$11)*S1057+Summary!$B$11*U1057</f>
        <v/>
      </c>
      <c r="P1057">
        <f>IF(B1082=0,0,O1057/B1082)</f>
        <v/>
      </c>
      <c r="Q1057">
        <f>IFERROR(1/(IF(Inputs!$B$39="pvp",15,MAX(0.1,Skills!D17-IF(Skills!E17=TRUE,Inputs!$B$33,0)))*(1-IF(AND(ArtifactsInput!$M$27,Inputs!$B$4="Chapter Hunt"),CHOOSE(ArtifactsInput!$N$27+1,20,24,28,32,36,40),0)/100)),0)</f>
        <v/>
      </c>
      <c r="R1057" t="n">
        <v>0</v>
      </c>
      <c r="S1057" t="n">
        <v>0</v>
      </c>
      <c r="U1057" t="n">
        <v>0</v>
      </c>
    </row>
    <row r="1058">
      <c r="A1058">
        <f>Skills!A18</f>
        <v/>
      </c>
      <c r="B1058">
        <f>Skills!B18</f>
        <v/>
      </c>
      <c r="C1058">
        <f>Inputs!$B$3&gt;=75</f>
        <v/>
      </c>
      <c r="D1058">
        <f>IF(Skills!C18=1,60+Inputs!$B$26+Inputs!$B$30,IF(Skills!C18=2,90+Inputs!$B$27+Inputs!$B$30,IF(Skills!C18=3,120+Inputs!$B$28+Inputs!$B$30,MAX(0,(Inputs!$B$3-100)*3)+Inputs!$B$29+Inputs!$B$30)))</f>
        <v/>
      </c>
      <c r="E1058">
        <f>INDEX(FactorTable!$B$2:$Y$301, MATCH(ROUND(MIN(300,MAX(1,D1058)),0), FactorTable!$A$2:$A$301,0), Skills!L18+1)</f>
        <v/>
      </c>
      <c r="F1058">
        <f>IF(Skills!M18=TRUE,(Skills!K18/10)*(E1058/1000),Skills!K18/10)+Skills!N18</f>
        <v/>
      </c>
      <c r="G1058">
        <f>Calc!G18</f>
        <v/>
      </c>
      <c r="H1058">
        <f>Calc!H18</f>
        <v/>
      </c>
      <c r="I1058">
        <f>IF(Skills!T18&lt;&gt;"",1+(Skills!T18/10)*($Z$3/1000)/100,1)</f>
        <v/>
      </c>
      <c r="J1058" t="inlineStr"/>
      <c r="K1058" t="inlineStr"/>
      <c r="L1058" t="inlineStr"/>
      <c r="M1058" t="inlineStr"/>
      <c r="N1058" t="inlineStr"/>
      <c r="O1058">
        <f>(1-Summary!$B$11)*S1058+Summary!$B$11*U1058</f>
        <v/>
      </c>
      <c r="P1058">
        <f>IF(B1082=0,0,O1058/B1082)</f>
        <v/>
      </c>
      <c r="Q1058">
        <f>IFERROR(1/(IF(Inputs!$B$39="pvp",15,MAX(0.1,Skills!D18-IF(Skills!E18=TRUE,Inputs!$B$33,0)))*(1-IF(AND(ArtifactsInput!$M$27,Inputs!$B$4="Chapter Hunt"),CHOOSE(ArtifactsInput!$N$27+1,20,24,28,32,36,40),0)/100)),0)</f>
        <v/>
      </c>
      <c r="R1058" t="n">
        <v>0</v>
      </c>
      <c r="S1058" t="n">
        <v>0</v>
      </c>
      <c r="U1058" t="n">
        <v>0</v>
      </c>
    </row>
    <row r="1059">
      <c r="A1059">
        <f>Skills!A19</f>
        <v/>
      </c>
      <c r="B1059">
        <f>Skills!B19</f>
        <v/>
      </c>
      <c r="C1059">
        <f>Inputs!$B$3&gt;=110</f>
        <v/>
      </c>
      <c r="D1059">
        <f>IF(Skills!C19=1,60+Inputs!$B$26+Inputs!$B$30,IF(Skills!C19=2,90+Inputs!$B$27+Inputs!$B$30,IF(Skills!C19=3,120+Inputs!$B$28+Inputs!$B$30,MAX(0,(Inputs!$B$3-100)*3)+Inputs!$B$29+Inputs!$B$30)))</f>
        <v/>
      </c>
      <c r="E1059">
        <f>INDEX(FactorTable!$B$2:$Y$301, MATCH(ROUND(MIN(300,MAX(1,D1059)),0), FactorTable!$A$2:$A$301,0), Skills!L19+1)</f>
        <v/>
      </c>
      <c r="F1059">
        <f>(Skills!K19/10)*(E1059/1000)*64/45+Skills!N19</f>
        <v/>
      </c>
      <c r="G1059">
        <f>Calc!G19</f>
        <v/>
      </c>
      <c r="H1059">
        <f>Calc!H19</f>
        <v/>
      </c>
      <c r="I1059">
        <f>IF(Skills!T19&lt;&gt;"",1+(Skills!T19/10)*($Z$3/1000)/100,1)</f>
        <v/>
      </c>
      <c r="J1059" t="inlineStr"/>
      <c r="K1059" t="inlineStr"/>
      <c r="L1059" t="inlineStr"/>
      <c r="M1059" t="inlineStr"/>
      <c r="N1059" t="inlineStr"/>
      <c r="O1059">
        <f>(1-Summary!$B$11)*S1059+Summary!$B$11*U1059</f>
        <v/>
      </c>
      <c r="P1059">
        <f>IF(B1082=0,0,O1059/B1082)</f>
        <v/>
      </c>
      <c r="Q1059">
        <f>IFERROR(1/(IF(Inputs!$B$39="pvp",15,MAX(0.1,Skills!D19-IF(Skills!E19=TRUE,Inputs!$B$33,0)))*(1-IF(AND(ArtifactsInput!$M$27,Inputs!$B$4="Chapter Hunt"),CHOOSE(ArtifactsInput!$N$27+1,20,24,28,32,36,40),0)/100)),0)</f>
        <v/>
      </c>
      <c r="R1059">
        <f>IF(AND(Inputs!$B$39&lt;&gt;"pvp",Inputs!$B$44&gt;0),IF(Inputs!$B$44&lt;=0,0,(INT(Inputs!$B$44/(IF(Inputs!$B$39="pvp",15,MAX(0.1,Skills!D19-IF(Skills!E19=TRUE,Inputs!$B$33,0)))*(1-IF(AND(ArtifactsInput!$M$27,Inputs!$B$4="Chapter Hunt"),CHOOSE(ArtifactsInput!$N$27+1,20,24,28,32,36,40),0)/100)))+1)),0)</f>
        <v/>
      </c>
      <c r="S1059" t="n">
        <v>0</v>
      </c>
      <c r="U1059" t="n">
        <v>0</v>
      </c>
    </row>
    <row r="1060">
      <c r="A1060">
        <f>Skills!A20</f>
        <v/>
      </c>
      <c r="B1060">
        <f>Skills!B20</f>
        <v/>
      </c>
      <c r="C1060">
        <f>Inputs!$B$3&gt;=125</f>
        <v/>
      </c>
      <c r="D1060">
        <f>IF(Skills!C20=1,60+Inputs!$B$26+Inputs!$B$30,IF(Skills!C20=2,90+Inputs!$B$27+Inputs!$B$30,IF(Skills!C20=3,120+Inputs!$B$28+Inputs!$B$30,MAX(0,(Inputs!$B$3-100)*3)+Inputs!$B$29+Inputs!$B$30)))</f>
        <v/>
      </c>
      <c r="E1060">
        <f>INDEX(FactorTable!$B$2:$Y$301, MATCH(ROUND(MIN(300,MAX(1,D1060)),0), FactorTable!$A$2:$A$301,0), Skills!L20+1)</f>
        <v/>
      </c>
      <c r="F1060">
        <f>IF(Skills!M20=TRUE,(Skills!K20/10)*(E1060/1000),Skills!K20/10)+Skills!N20</f>
        <v/>
      </c>
      <c r="G1060">
        <f>Calc!G20</f>
        <v/>
      </c>
      <c r="H1060">
        <f>Calc!H20</f>
        <v/>
      </c>
      <c r="I1060">
        <f>IF(Skills!T20&lt;&gt;"",1+(Skills!T20/10)*($Z$3/1000)/100,1)</f>
        <v/>
      </c>
      <c r="J1060" t="inlineStr"/>
      <c r="K1060" t="inlineStr"/>
      <c r="L1060" t="inlineStr"/>
      <c r="M1060" t="inlineStr"/>
      <c r="N1060" t="inlineStr"/>
      <c r="O1060">
        <f>(1-Summary!$B$11)*S1060+Summary!$B$11*U1060</f>
        <v/>
      </c>
      <c r="P1060">
        <f>IF(B1082=0,0,O1060/B1082)</f>
        <v/>
      </c>
      <c r="Q1060">
        <f>IFERROR(1/(IF(Inputs!$B$39="pvp",15,MAX(0.1,Skills!D20-IF(Skills!E20=TRUE,Inputs!$B$33,0)))*(1-IF(AND(ArtifactsInput!$M$27,Inputs!$B$4="Chapter Hunt"),CHOOSE(ArtifactsInput!$N$27+1,20,24,28,32,36,40),0)/100)),0)</f>
        <v/>
      </c>
      <c r="R1060" t="n">
        <v>0</v>
      </c>
      <c r="S1060" t="n">
        <v>0</v>
      </c>
      <c r="U1060" t="n">
        <v>0</v>
      </c>
    </row>
    <row r="1061">
      <c r="A1061">
        <f>Skills!A21</f>
        <v/>
      </c>
      <c r="B1061">
        <f>Skills!B21</f>
        <v/>
      </c>
      <c r="C1061">
        <f>Inputs!$B$3&gt;=33</f>
        <v/>
      </c>
      <c r="D1061">
        <f>IF(Skills!C21=1,60+Inputs!$B$26+Inputs!$B$30,IF(Skills!C21=2,90+Inputs!$B$27+Inputs!$B$30,IF(Skills!C21=3,120+Inputs!$B$28+Inputs!$B$30,MAX(0,(Inputs!$B$3-100)*3)+Inputs!$B$29+Inputs!$B$30)))</f>
        <v/>
      </c>
      <c r="E1061">
        <f>INDEX(FactorTable!$B$2:$Y$301, MATCH(ROUND(MIN(300,MAX(1,D1061)),0), FactorTable!$A$2:$A$301,0), Skills!L21+1)</f>
        <v/>
      </c>
      <c r="F1061">
        <f>IF(Skills!M21=TRUE,(Skills!K21/10)*(E1061/1000),Skills!K21/10)+Skills!N21</f>
        <v/>
      </c>
      <c r="G1061">
        <f>Calc!G21</f>
        <v/>
      </c>
      <c r="H1061">
        <f>Calc!H21</f>
        <v/>
      </c>
      <c r="I1061">
        <f>IF(Skills!T21&lt;&gt;"",1+(Skills!T21/10)*($Z$3/1000)/100,1)</f>
        <v/>
      </c>
      <c r="J1061" t="inlineStr"/>
      <c r="K1061" t="inlineStr"/>
      <c r="L1061" t="inlineStr"/>
      <c r="M1061" t="inlineStr"/>
      <c r="N1061" t="inlineStr"/>
      <c r="O1061">
        <f>(1-Summary!$B$11)*S1061+Summary!$B$11*U1061</f>
        <v/>
      </c>
      <c r="P1061">
        <f>IF(B1082=0,0,O1061/B1082)</f>
        <v/>
      </c>
      <c r="Q1061">
        <f>IFERROR(1/(IF(Inputs!$B$39="pvp",15,MAX(0.1,Skills!D21-IF(Skills!E21=TRUE,Inputs!$B$33,0)))*(1-IF(AND(ArtifactsInput!$M$27,Inputs!$B$4="Chapter Hunt"),CHOOSE(ArtifactsInput!$N$27+1,20,24,28,32,36,40),0)/100)),0)</f>
        <v/>
      </c>
      <c r="R1061" t="n">
        <v>0</v>
      </c>
      <c r="S1061" t="n">
        <v>0</v>
      </c>
      <c r="U1061" t="n">
        <v>0</v>
      </c>
    </row>
    <row r="1062">
      <c r="A1062">
        <f>Skills!A22</f>
        <v/>
      </c>
      <c r="B1062">
        <f>Skills!B22</f>
        <v/>
      </c>
      <c r="C1062">
        <f>Inputs!$B$3&gt;=43</f>
        <v/>
      </c>
      <c r="D1062">
        <f>IF(Skills!C22=1,60+Inputs!$B$26+Inputs!$B$30,IF(Skills!C22=2,90+Inputs!$B$27+Inputs!$B$30,IF(Skills!C22=3,120+Inputs!$B$28+Inputs!$B$30,MAX(0,(Inputs!$B$3-100)*3)+Inputs!$B$29+Inputs!$B$30)))</f>
        <v/>
      </c>
      <c r="E1062">
        <f>INDEX(FactorTable!$B$2:$Y$301, MATCH(ROUND(MIN(300,MAX(1,D1062)),0), FactorTable!$A$2:$A$301,0), Skills!L22+1)</f>
        <v/>
      </c>
      <c r="F1062">
        <f>IF(Skills!M22=TRUE,(Skills!K22/10)*(E1062/1000),Skills!K22/10)+Skills!N22</f>
        <v/>
      </c>
      <c r="G1062">
        <f>Calc!G22</f>
        <v/>
      </c>
      <c r="H1062">
        <f>Calc!H22</f>
        <v/>
      </c>
      <c r="I1062">
        <f>IF(Skills!T22&lt;&gt;"",1+(Skills!T22/10)*($Z$3/1000)/100,1)</f>
        <v/>
      </c>
      <c r="J1062" t="inlineStr"/>
      <c r="K1062" t="inlineStr"/>
      <c r="L1062" t="inlineStr"/>
      <c r="M1062" t="inlineStr"/>
      <c r="N1062" t="inlineStr"/>
      <c r="O1062">
        <f>(1-Summary!$B$11)*S1062+Summary!$B$11*U1062</f>
        <v/>
      </c>
      <c r="P1062">
        <f>IF(B1082=0,0,O1062/B1082)</f>
        <v/>
      </c>
      <c r="Q1062">
        <f>IFERROR(1/(IF(Inputs!$B$39="pvp",15,MAX(0.1,Skills!D22-IF(Skills!E22=TRUE,Inputs!$B$33,0)))*(1-IF(AND(ArtifactsInput!$M$27,Inputs!$B$4="Chapter Hunt"),CHOOSE(ArtifactsInput!$N$27+1,20,24,28,32,36,40),0)/100)),0)</f>
        <v/>
      </c>
      <c r="R1062" t="n">
        <v>0</v>
      </c>
      <c r="S1062" t="n">
        <v>0</v>
      </c>
      <c r="U1062" t="n">
        <v>0</v>
      </c>
    </row>
    <row r="1063">
      <c r="A1063">
        <f>Skills!A23</f>
        <v/>
      </c>
      <c r="B1063">
        <f>Skills!B23</f>
        <v/>
      </c>
      <c r="C1063">
        <f>Inputs!$B$3&gt;=50</f>
        <v/>
      </c>
      <c r="D1063">
        <f>IF(Skills!C23=1,60+Inputs!$B$26+Inputs!$B$30,IF(Skills!C23=2,90+Inputs!$B$27+Inputs!$B$30,IF(Skills!C23=3,120+Inputs!$B$28+Inputs!$B$30,MAX(0,(Inputs!$B$3-100)*3)+Inputs!$B$29+Inputs!$B$30)))</f>
        <v/>
      </c>
      <c r="E1063">
        <f>INDEX(FactorTable!$B$2:$Y$301, MATCH(ROUND(MIN(300,MAX(1,D1063)),0), FactorTable!$A$2:$A$301,0), Skills!L23+1)</f>
        <v/>
      </c>
      <c r="F1063">
        <f>IF(Skills!M23=TRUE,(Skills!K23/10)*(E1063/1000),Skills!K23/10)+Skills!N23</f>
        <v/>
      </c>
      <c r="G1063">
        <f>Calc!G23</f>
        <v/>
      </c>
      <c r="H1063">
        <f>Calc!H23</f>
        <v/>
      </c>
      <c r="I1063">
        <f>IF(Skills!T23&lt;&gt;"",1+(Skills!T23/10)*($Z$3/1000)/100,1)</f>
        <v/>
      </c>
      <c r="J1063" t="inlineStr"/>
      <c r="K1063" t="inlineStr"/>
      <c r="L1063" t="inlineStr"/>
      <c r="M1063" t="inlineStr"/>
      <c r="N1063" t="inlineStr"/>
      <c r="O1063">
        <f>(1-Summary!$B$11)*S1063+Summary!$B$11*U1063</f>
        <v/>
      </c>
      <c r="P1063">
        <f>IF(B1082=0,0,O1063/B1082)</f>
        <v/>
      </c>
      <c r="Q1063">
        <f>IFERROR(1/(IF(Inputs!$B$39="pvp",15,MAX(0.1,Skills!D23-IF(Skills!E23=TRUE,Inputs!$B$33,0)))*(1-IF(AND(ArtifactsInput!$M$27,Inputs!$B$4="Chapter Hunt"),CHOOSE(ArtifactsInput!$N$27+1,20,24,28,32,36,40),0)/100)),0)</f>
        <v/>
      </c>
      <c r="R1063" t="n">
        <v>0</v>
      </c>
      <c r="S1063" t="n">
        <v>0</v>
      </c>
      <c r="U1063" t="n">
        <v>0</v>
      </c>
    </row>
    <row r="1064">
      <c r="A1064">
        <f>Skills!A24</f>
        <v/>
      </c>
      <c r="B1064">
        <f>Skills!B24</f>
        <v/>
      </c>
      <c r="C1064">
        <f>Inputs!$B$3&gt;=74</f>
        <v/>
      </c>
      <c r="D1064">
        <f>IF(Skills!C24=1,60+Inputs!$B$26+Inputs!$B$30,IF(Skills!C24=2,90+Inputs!$B$27+Inputs!$B$30,IF(Skills!C24=3,120+Inputs!$B$28+Inputs!$B$30,MAX(0,(Inputs!$B$3-100)*3)+Inputs!$B$29+Inputs!$B$30)))</f>
        <v/>
      </c>
      <c r="E1064">
        <f>INDEX(FactorTable!$B$2:$Y$301, MATCH(ROUND(MIN(300,MAX(1,D1064)),0), FactorTable!$A$2:$A$301,0), Skills!L24+1)</f>
        <v/>
      </c>
      <c r="F1064">
        <f>IF(Skills!M24=TRUE,(Skills!K24/10)*(E1064/1000),Skills!K24/10)+Skills!N24</f>
        <v/>
      </c>
      <c r="G1064">
        <f>Calc!G24</f>
        <v/>
      </c>
      <c r="H1064">
        <f>Calc!H24</f>
        <v/>
      </c>
      <c r="I1064">
        <f>IF(Skills!T24&lt;&gt;"",1+(Skills!T24/10)*($Z$3/1000)/100,1)</f>
        <v/>
      </c>
      <c r="J1064" t="inlineStr"/>
      <c r="K1064" t="inlineStr"/>
      <c r="L1064" t="inlineStr"/>
      <c r="M1064" t="inlineStr"/>
      <c r="N1064" t="inlineStr"/>
      <c r="O1064">
        <f>(1-Summary!$B$11)*S1064+Summary!$B$11*U1064</f>
        <v/>
      </c>
      <c r="P1064">
        <f>IF(B1082=0,0,O1064/B1082)</f>
        <v/>
      </c>
      <c r="Q1064">
        <f>IFERROR(1/(IF(Inputs!$B$39="pvp",15,MAX(0.1,Skills!D24-IF(Skills!E24=TRUE,Inputs!$B$33,0)))*(1-IF(AND(ArtifactsInput!$M$27,Inputs!$B$4="Chapter Hunt"),CHOOSE(ArtifactsInput!$N$27+1,20,24,28,32,36,40),0)/100)),0)</f>
        <v/>
      </c>
      <c r="R1064" t="n">
        <v>0</v>
      </c>
      <c r="S1064" t="n">
        <v>0</v>
      </c>
      <c r="U1064" t="n">
        <v>0</v>
      </c>
    </row>
    <row r="1065">
      <c r="A1065">
        <f>Skills!A25</f>
        <v/>
      </c>
      <c r="B1065">
        <f>Skills!B25</f>
        <v/>
      </c>
      <c r="C1065">
        <f>Inputs!$B$3&gt;=74</f>
        <v/>
      </c>
      <c r="D1065">
        <f>IF(Skills!C25=1,60+Inputs!$B$26+Inputs!$B$30,IF(Skills!C25=2,90+Inputs!$B$27+Inputs!$B$30,IF(Skills!C25=3,120+Inputs!$B$28+Inputs!$B$30,MAX(0,(Inputs!$B$3-100)*3)+Inputs!$B$29+Inputs!$B$30)))</f>
        <v/>
      </c>
      <c r="E1065">
        <f>INDEX(FactorTable!$B$2:$Y$301, MATCH(ROUND(MIN(300,MAX(1,D1065)),0), FactorTable!$A$2:$A$301,0), Skills!L25+1)</f>
        <v/>
      </c>
      <c r="F1065">
        <f>IF(Skills!M25=TRUE,(Skills!K25/10)*(E1065/1000),Skills!K25/10)+Skills!N25</f>
        <v/>
      </c>
      <c r="G1065">
        <f>Calc!G25</f>
        <v/>
      </c>
      <c r="H1065">
        <f>Calc!H25</f>
        <v/>
      </c>
      <c r="I1065">
        <f>IF(Skills!T25&lt;&gt;"",1+(Skills!T25/10)*($Z$3/1000)/100,1)</f>
        <v/>
      </c>
      <c r="J1065" t="inlineStr"/>
      <c r="K1065" t="inlineStr"/>
      <c r="L1065" t="inlineStr"/>
      <c r="M1065" t="inlineStr"/>
      <c r="N1065" t="inlineStr"/>
      <c r="O1065">
        <f>(1-Summary!$B$11)*S1065+Summary!$B$11*U1065</f>
        <v/>
      </c>
      <c r="P1065">
        <f>IF(B1082=0,0,O1065/B1082)</f>
        <v/>
      </c>
      <c r="Q1065">
        <f>IFERROR(1/(IF(Inputs!$B$39="pvp",15,MAX(0.1,Skills!D25-IF(Skills!E25=TRUE,Inputs!$B$33,0)))*(1-IF(AND(ArtifactsInput!$M$27,Inputs!$B$4="Chapter Hunt"),CHOOSE(ArtifactsInput!$N$27+1,20,24,28,32,36,40),0)/100)),0)</f>
        <v/>
      </c>
      <c r="R1065" t="n">
        <v>0</v>
      </c>
      <c r="S1065" t="n">
        <v>0</v>
      </c>
      <c r="U1065" t="n">
        <v>0</v>
      </c>
    </row>
    <row r="1066">
      <c r="A1066">
        <f>Skills!A26</f>
        <v/>
      </c>
      <c r="B1066">
        <f>Skills!B26</f>
        <v/>
      </c>
      <c r="C1066">
        <f>Inputs!$B$3&gt;=117</f>
        <v/>
      </c>
      <c r="D1066">
        <f>IF(Skills!C26=1,60+Inputs!$B$26+Inputs!$B$30,IF(Skills!C26=2,90+Inputs!$B$27+Inputs!$B$30,IF(Skills!C26=3,120+Inputs!$B$28+Inputs!$B$30,MAX(0,(Inputs!$B$3-100)*3)+Inputs!$B$29+Inputs!$B$30)))</f>
        <v/>
      </c>
      <c r="E1066">
        <f>INDEX(FactorTable!$B$2:$Y$301, MATCH(ROUND(MIN(300,MAX(1,D1066)),0), FactorTable!$A$2:$A$301,0), Skills!L26+1)</f>
        <v/>
      </c>
      <c r="F1066">
        <f>IF(Skills!M26=TRUE,(Skills!K26/10)*(E1066/1000),Skills!K26/10)+Skills!N26</f>
        <v/>
      </c>
      <c r="G1066">
        <f>Calc!G26</f>
        <v/>
      </c>
      <c r="H1066">
        <f>Calc!H26</f>
        <v/>
      </c>
      <c r="I1066">
        <f>IF(Skills!T26&lt;&gt;"",1+(Skills!T26/10)*($Z$3/1000)/100,1)</f>
        <v/>
      </c>
      <c r="J1066" t="inlineStr"/>
      <c r="K1066" t="inlineStr"/>
      <c r="L1066" t="inlineStr"/>
      <c r="M1066" t="inlineStr"/>
      <c r="N1066" t="inlineStr"/>
      <c r="O1066">
        <f>(1-Summary!$B$11)*S1066+Summary!$B$11*U1066</f>
        <v/>
      </c>
      <c r="P1066">
        <f>IF(B1082=0,0,O1066/B1082)</f>
        <v/>
      </c>
      <c r="Q1066">
        <f>IFERROR(1/(IF(Inputs!$B$39="pvp",15,MAX(0.1,Skills!D26-IF(Skills!E26=TRUE,Inputs!$B$33,0)))*(1-IF(AND(ArtifactsInput!$M$27,Inputs!$B$4="Chapter Hunt"),CHOOSE(ArtifactsInput!$N$27+1,20,24,28,32,36,40),0)/100)),0)</f>
        <v/>
      </c>
      <c r="R1066" t="n">
        <v>0</v>
      </c>
      <c r="S1066" t="n">
        <v>0</v>
      </c>
      <c r="U1066" t="n">
        <v>0</v>
      </c>
    </row>
    <row r="1067">
      <c r="A1067">
        <f>Skills!A27</f>
        <v/>
      </c>
      <c r="B1067">
        <f>Skills!B27</f>
        <v/>
      </c>
      <c r="C1067">
        <f>Inputs!$B$3&gt;=120</f>
        <v/>
      </c>
      <c r="D1067">
        <f>IF(Skills!C27=1,60+Inputs!$B$26+Inputs!$B$30,IF(Skills!C27=2,90+Inputs!$B$27+Inputs!$B$30,IF(Skills!C27=3,120+Inputs!$B$28+Inputs!$B$30,MAX(0,(Inputs!$B$3-100)*3)+Inputs!$B$29+Inputs!$B$30)))</f>
        <v/>
      </c>
      <c r="E1067">
        <f>INDEX(FactorTable!$B$2:$Y$301, MATCH(ROUND(MIN(300,MAX(1,D1067)),0), FactorTable!$A$2:$A$301,0), Skills!L27+1)</f>
        <v/>
      </c>
      <c r="F1067">
        <f>IF(Skills!M27=TRUE,(Skills!K27/10)*(E1067/1000),Skills!K27/10)+Skills!N27</f>
        <v/>
      </c>
      <c r="G1067">
        <f>Calc!G27</f>
        <v/>
      </c>
      <c r="H1067">
        <f>Calc!H27</f>
        <v/>
      </c>
      <c r="I1067">
        <f>IF(Skills!T27&lt;&gt;"",1+(Skills!T27/10)*($Z$3/1000)/100,1)</f>
        <v/>
      </c>
      <c r="J1067" t="inlineStr"/>
      <c r="K1067" t="inlineStr"/>
      <c r="L1067" t="inlineStr"/>
      <c r="M1067" t="inlineStr"/>
      <c r="N1067" t="inlineStr"/>
      <c r="O1067">
        <f>(1-Summary!$B$11)*S1067+Summary!$B$11*U1067</f>
        <v/>
      </c>
      <c r="P1067">
        <f>IF(B1082=0,0,O1067/B1082)</f>
        <v/>
      </c>
      <c r="Q1067">
        <f>IFERROR(1/(IF(Inputs!$B$39="pvp",15,MAX(0.1,Skills!D27-IF(Skills!E27=TRUE,Inputs!$B$33,0)))*(1-IF(AND(ArtifactsInput!$M$27,Inputs!$B$4="Chapter Hunt"),CHOOSE(ArtifactsInput!$N$27+1,20,24,28,32,36,40),0)/100)),0)</f>
        <v/>
      </c>
      <c r="R1067" t="n">
        <v>0</v>
      </c>
      <c r="S1067" t="n">
        <v>0</v>
      </c>
      <c r="U1067" t="n">
        <v>0</v>
      </c>
    </row>
    <row r="1069">
      <c r="A1069" t="inlineStr">
        <is>
          <t>Average Buff Multiplier</t>
        </is>
      </c>
      <c r="B1069">
        <f>(1+(IF(C1043=TRUE,F1043*IF(AND(Inputs!$B$39&lt;&gt;"pvp",Inputs!$B$44&gt;0),(((R1043-1)*(Skills!S3*(1+((Inputs!$B$35+(ArtifactsInput!$M$7-ArtifactsInput!$M$7)*CHOOSE(ArtifactsInput!$N$7+1,6,7.2,8.4,9.6,10.8,12))+IF(Inputs!$B$3&gt;=117,F1066,0))/100))+MIN((Skills!S3*(1+((Inputs!$B$35+(ArtifactsInput!$M$7-ArtifactsInput!$M$7)*CHOOSE(ArtifactsInput!$N$7+1,6,7.2,8.4,9.6,10.8,12))+IF(Inputs!$B$3&gt;=117,F1066,0))/100)),MAX(0,Inputs!$B$44-((R1043-1)*Skills!D3))))/Inputs!$B$44),IF(Inputs!$B$39="pvp",MIN((Skills!S3*(1+((Inputs!$B$35+(ArtifactsInput!$M$7-ArtifactsInput!$M$7)*CHOOSE(ArtifactsInput!$N$7+1,6,7.2,8.4,9.6,10.8,12))+IF(Inputs!$B$3&gt;=117,F1066,0))/100)),15)/15,(Skills!S3*(1+((Inputs!$B$35+(ArtifactsInput!$M$7-ArtifactsInput!$M$7)*CHOOSE(ArtifactsInput!$N$7+1,6,7.2,8.4,9.6,10.8,12))+IF(Inputs!$B$3&gt;=117,F1066,0))/100))/Skills!D3)),0)+IF(C1044=TRUE,F1044*IF(AND(Inputs!$B$39&lt;&gt;"pvp",Inputs!$B$44&gt;0),(((R1044-1)*(Skills!S4*(1+((Inputs!$B$35+(ArtifactsInput!$M$7-ArtifactsInput!$M$7)*CHOOSE(ArtifactsInput!$N$7+1,6,7.2,8.4,9.6,10.8,12))+IF(Inputs!$B$3&gt;=117,F1066,0))/100))+MIN((Skills!S4*(1+((Inputs!$B$35+(ArtifactsInput!$M$7-ArtifactsInput!$M$7)*CHOOSE(ArtifactsInput!$N$7+1,6,7.2,8.4,9.6,10.8,12))+IF(Inputs!$B$3&gt;=117,F1066,0))/100)),MAX(0,Inputs!$B$44-((R1044-1)*Skills!D4))))/Inputs!$B$44),IF(Inputs!$B$39="pvp",MIN((Skills!S4*(1+((Inputs!$B$35+(ArtifactsInput!$M$7-ArtifactsInput!$M$7)*CHOOSE(ArtifactsInput!$N$7+1,6,7.2,8.4,9.6,10.8,12))+IF(Inputs!$B$3&gt;=117,F1066,0))/100)),15)/15,(Skills!S4*(1+((Inputs!$B$35+(ArtifactsInput!$M$7-ArtifactsInput!$M$7)*CHOOSE(ArtifactsInput!$N$7+1,6,7.2,8.4,9.6,10.8,12))+IF(Inputs!$B$3&gt;=117,F1066,0))/100))/Skills!D4)),0)+IF(C1045=TRUE,F1045*IF(AND(Inputs!$B$39&lt;&gt;"pvp",Inputs!$B$44&gt;0),(((R1045-1)*(Skills!S5*(1+((Inputs!$B$35+(ArtifactsInput!$M$7-ArtifactsInput!$M$7)*CHOOSE(ArtifactsInput!$N$7+1,6,7.2,8.4,9.6,10.8,12))+IF(Inputs!$B$3&gt;=117,F1066,0))/100))+MIN((Skills!S5*(1+((Inputs!$B$35+(ArtifactsInput!$M$7-ArtifactsInput!$M$7)*CHOOSE(ArtifactsInput!$N$7+1,6,7.2,8.4,9.6,10.8,12))+IF(Inputs!$B$3&gt;=117,F1066,0))/100)),MAX(0,Inputs!$B$44-((R1045-1)*Skills!D5))))/Inputs!$B$44),IF(Inputs!$B$39="pvp",MIN((Skills!S5*(1+((Inputs!$B$35+(ArtifactsInput!$M$7-ArtifactsInput!$M$7)*CHOOSE(ArtifactsInput!$N$7+1,6,7.2,8.4,9.6,10.8,12))+IF(Inputs!$B$3&gt;=117,F1066,0))/100)),15)/15,(Skills!S5*(1+((Inputs!$B$35+(ArtifactsInput!$M$7-ArtifactsInput!$M$7)*CHOOSE(ArtifactsInput!$N$7+1,6,7.2,8.4,9.6,10.8,12))+IF(Inputs!$B$3&gt;=117,F1066,0))/100))/Skills!D5)),0)+IF(C1051=TRUE,F1051*IF(AND(Inputs!$B$39&lt;&gt;"pvp",Inputs!$B$44&gt;0),(((R1051-1)*(Skills!S11*(1+((Inputs!$B$35+(ArtifactsInput!$M$7-ArtifactsInput!$M$7)*CHOOSE(ArtifactsInput!$N$7+1,6,7.2,8.4,9.6,10.8,12))+IF(Inputs!$B$3&gt;=117,F1066,0))/100))+MIN((Skills!S11*(1+((Inputs!$B$35+(ArtifactsInput!$M$7-ArtifactsInput!$M$7)*CHOOSE(ArtifactsInput!$N$7+1,6,7.2,8.4,9.6,10.8,12))+IF(Inputs!$B$3&gt;=117,F1066,0))/100)),MAX(0,Inputs!$B$44-((R1051-1)*Skills!D11))))/Inputs!$B$44),IF(Inputs!$B$39="pvp",MIN((Skills!S11*(1+((Inputs!$B$35+(ArtifactsInput!$M$7-ArtifactsInput!$M$7)*CHOOSE(ArtifactsInput!$N$7+1,6,7.2,8.4,9.6,10.8,12))+IF(Inputs!$B$3&gt;=117,F1066,0))/100)),15)/15,(Skills!S11*(1+((Inputs!$B$35+(ArtifactsInput!$M$7-ArtifactsInput!$M$7)*CHOOSE(ArtifactsInput!$N$7+1,6,7.2,8.4,9.6,10.8,12))+IF(Inputs!$B$3&gt;=117,F1066,0)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1054=TRUE,(1+F1054*IF(AND(Inputs!$B$39&lt;&gt;"pvp",Inputs!$B$44&gt;0),(((R1054-1)*(Skills!S14*(1+((Inputs!$B$35+(ArtifactsInput!$M$7-ArtifactsInput!$M$7)*CHOOSE(ArtifactsInput!$N$7+1,6,7.2,8.4,9.6,10.8,12))+IF(Inputs!$B$3&gt;=117,F1066,0))/100))+MIN((Skills!S14*(1+((Inputs!$B$35+(ArtifactsInput!$M$7-ArtifactsInput!$M$7)*CHOOSE(ArtifactsInput!$N$7+1,6,7.2,8.4,9.6,10.8,12))+IF(Inputs!$B$3&gt;=117,F1066,0))/100)),MAX(0,Inputs!$B$44-((R1054-1)*Skills!D14))))/Inputs!$B$44),IF(Inputs!$B$39="pvp",MIN((Skills!S14*(1+((Inputs!$B$35+(ArtifactsInput!$M$7-ArtifactsInput!$M$7)*CHOOSE(ArtifactsInput!$N$7+1,6,7.2,8.4,9.6,10.8,12))+IF(Inputs!$B$3&gt;=117,F1066,0))/100)),15)/15,(Skills!S14*(1+((Inputs!$B$35+(ArtifactsInput!$M$7-ArtifactsInput!$M$7)*CHOOSE(ArtifactsInput!$N$7+1,6,7.2,8.4,9.6,10.8,12))+IF(Inputs!$B$3&gt;=117,F1066,0))/100))/Skills!D14))/100),1)*IF(C1059=TRUE,(1+F1059*IF(AND(Inputs!$B$39&lt;&gt;"pvp",Inputs!$B$44&gt;0),(((R1059-1)*(Skills!S19*(1+((Inputs!$B$35+(ArtifactsInput!$M$7-ArtifactsInput!$M$7)*CHOOSE(ArtifactsInput!$N$7+1,6,7.2,8.4,9.6,10.8,12))+IF(Inputs!$B$3&gt;=117,F1066,0))/100))+MIN((Skills!S19*(1+((Inputs!$B$35+(ArtifactsInput!$M$7-ArtifactsInput!$M$7)*CHOOSE(ArtifactsInput!$N$7+1,6,7.2,8.4,9.6,10.8,12))+IF(Inputs!$B$3&gt;=117,F1066,0))/100)),MAX(0,Inputs!$B$44-((R1059-1)*Skills!D19))))/Inputs!$B$44),IF(Inputs!$B$39="pvp",MIN((Skills!S19*(1+((Inputs!$B$35+(ArtifactsInput!$M$7-ArtifactsInput!$M$7)*CHOOSE(ArtifactsInput!$N$7+1,6,7.2,8.4,9.6,10.8,12))+IF(Inputs!$B$3&gt;=117,F1066,0))/100)),15)/15,(Skills!S19*(1+((Inputs!$B$35+(ArtifactsInput!$M$7-ArtifactsInput!$M$7)*CHOOSE(ArtifactsInput!$N$7+1,6,7.2,8.4,9.6,10.8,12))+IF(Inputs!$B$3&gt;=117,F1066,0))/100))/Skills!D19))/100),1)</f>
        <v/>
      </c>
    </row>
    <row r="1070">
      <c r="A1070" t="inlineStr">
        <is>
          <t>Monster Damage Taken Bonus % (Holy Fountain)</t>
        </is>
      </c>
      <c r="B1070">
        <f>IF(Inputs!$B$3&gt;=68,20*IF(Inputs!$B$39="pvp",MIN((15*(1+((Inputs!$B$35+(ArtifactsInput!$M$7-ArtifactsInput!$M$7)*CHOOSE(ArtifactsInput!$N$7+1,6,7.2,8.4,9.6,10.8,12))+IF(Inputs!$B$3&gt;=117,F1066,0))/100)),15)/15,(15*(1+((Inputs!$B$35+(ArtifactsInput!$M$7-ArtifactsInput!$M$7)*CHOOSE(ArtifactsInput!$N$7+1,6,7.2,8.4,9.6,10.8,12))+IF(Inputs!$B$3&gt;=117,F1066,0))/100))/Skills!D10),0)</f>
        <v/>
      </c>
    </row>
    <row r="1071">
      <c r="A1071" t="inlineStr">
        <is>
          <t>Normal Monster Damage Bonus % (Holy Symbol)</t>
        </is>
      </c>
      <c r="B1071">
        <f>IF(C1052=TRUE,F1052*IF(AND(Inputs!$B$39&lt;&gt;"pvp",Inputs!$B$44&gt;0),(((R1052-1)*(Skills!S12*(1+((Inputs!$B$35+(ArtifactsInput!$M$7-ArtifactsInput!$M$7)*CHOOSE(ArtifactsInput!$N$7+1,6,7.2,8.4,9.6,10.8,12))+IF(Inputs!$B$3&gt;=117,F1066,0))/100))+MIN((Skills!S12*(1+((Inputs!$B$35+(ArtifactsInput!$M$7-ArtifactsInput!$M$7)*CHOOSE(ArtifactsInput!$N$7+1,6,7.2,8.4,9.6,10.8,12))+IF(Inputs!$B$3&gt;=117,F1066,0))/100)),MAX(0,Inputs!$B$44-((R1052-1)*Skills!D12))))/Inputs!$B$44),IF(Inputs!$B$39="pvp",MIN((Skills!S12*(1+((Inputs!$B$35+(ArtifactsInput!$M$7-ArtifactsInput!$M$7)*CHOOSE(ArtifactsInput!$N$7+1,6,7.2,8.4,9.6,10.8,12))+IF(Inputs!$B$3&gt;=117,F1066,0))/100)),15)/15,(Skills!S12*(1+((Inputs!$B$35+(ArtifactsInput!$M$7-ArtifactsInput!$M$7)*CHOOSE(ArtifactsInput!$N$7+1,6,7.2,8.4,9.6,10.8,12))+IF(Inputs!$B$3&gt;=117,F1066,0))/100))/Skills!D12)),0)</f>
        <v/>
      </c>
    </row>
    <row r="1072">
      <c r="A1072" t="inlineStr">
        <is>
          <t>Damage % Bonus (Holy Symbol - Damage Boost)</t>
        </is>
      </c>
      <c r="B1072">
        <f>Skills!O12</f>
        <v/>
      </c>
    </row>
    <row r="1073">
      <c r="A1073" t="inlineStr">
        <is>
          <t>Crit Damage % Bonus (Blood of the Divine)</t>
        </is>
      </c>
      <c r="B1073">
        <f>4*IF(C1060=TRUE,F1060,0)</f>
        <v/>
      </c>
    </row>
    <row r="1074">
      <c r="A1074" t="inlineStr">
        <is>
          <t>Attack Speed Bonus %</t>
        </is>
      </c>
      <c r="B1074">
        <f>IF(C1057=TRUE,F1057+(F1061-Calc!F21),0)+IF(Inputs!$B$3&gt;=134,15,0)</f>
        <v/>
      </c>
    </row>
    <row r="1075">
      <c r="A1075" t="inlineStr">
        <is>
          <t>Actions Per Second</t>
        </is>
      </c>
      <c r="B1075">
        <f>1+MIN(150,150*(1-(1-Inputs!$B$12/150)*(1-B1074/150)))/100</f>
        <v/>
      </c>
    </row>
    <row r="1076">
      <c r="A1076" t="inlineStr">
        <is>
          <t>Skill + Buff Cast Rate</t>
        </is>
      </c>
      <c r="B1076">
        <f>IF(AND(Inputs!$B$39&lt;&gt;"pvp",Inputs!$B$44&gt;0),SUMPRODUCT((Skills!E2:E27=TRUE)*(C1042:C1067=TRUE)*R1042:R1067)/Inputs!$B$44,SUMPRODUCT((Skills!E2:E27=TRUE)*(C1042:C1067=TRUE)*Q1042:Q1067))</f>
        <v/>
      </c>
    </row>
    <row r="1077">
      <c r="A1077" t="inlineStr">
        <is>
          <t>Big Bang Casts Per Second</t>
        </is>
      </c>
      <c r="B1077">
        <f>MAX(0,B1075-B1076)</f>
        <v/>
      </c>
    </row>
    <row r="1078">
      <c r="A1078" t="inlineStr">
        <is>
          <t>Defense % Bonus (Divine Protection)</t>
        </is>
      </c>
      <c r="B1078">
        <f>IF(C1053=TRUE,F1053*IF(AND(Inputs!$B$39&lt;&gt;"pvp",Inputs!$B$44&gt;0),(((R1053-1)*(Skills!S13*(1+((Inputs!$B$35+(ArtifactsInput!$M$7-ArtifactsInput!$M$7)*CHOOSE(ArtifactsInput!$N$7+1,6,7.2,8.4,9.6,10.8,12))+IF(Inputs!$B$3&gt;=117,F1066,0))/100))+MIN((Skills!S13*(1+((Inputs!$B$35+(ArtifactsInput!$M$7-ArtifactsInput!$M$7)*CHOOSE(ArtifactsInput!$N$7+1,6,7.2,8.4,9.6,10.8,12))+IF(Inputs!$B$3&gt;=117,F1066,0))/100)),MAX(0,Inputs!$B$44-((R1053-1)*Skills!D13))))/Inputs!$B$44),IF(Inputs!$B$39="pvp",MIN((Skills!S13*(1+((Inputs!$B$35+(ArtifactsInput!$M$7-ArtifactsInput!$M$7)*CHOOSE(ArtifactsInput!$N$7+1,6,7.2,8.4,9.6,10.8,12))+IF(Inputs!$B$3&gt;=117,F1066,0))/100)),15)/15,(Skills!S13*(1+((Inputs!$B$35+(ArtifactsInput!$M$7-ArtifactsInput!$M$7)*CHOOSE(ArtifactsInput!$N$7+1,6,7.2,8.4,9.6,10.8,12))+IF(Inputs!$B$3&gt;=117,F1066,0))/100))/Skills!D13)),0)</f>
        <v/>
      </c>
    </row>
    <row r="1079">
      <c r="A1079" t="inlineStr">
        <is>
          <t>Buff-Casting Startup Delay (s, fixed-duration only)</t>
        </is>
      </c>
      <c r="B1079">
        <f>IF(AND(Inputs!$B$39&lt;&gt;"pvp",Inputs!$B$44&gt;0),SUMPRODUCT((Skills!S2:S27&gt;0)*(Skills!E2:E27=TRUE)*(C1042:C1067=TRUE))/B1075,0)</f>
        <v/>
      </c>
    </row>
    <row r="1080">
      <c r="A1080" t="inlineStr">
        <is>
          <t>Boss-Only Total DPS (this block's swept value)</t>
        </is>
      </c>
      <c r="B1080">
        <f>SUM(S1042:S1067)</f>
        <v/>
      </c>
    </row>
    <row r="1081">
      <c r="A1081" t="inlineStr">
        <is>
          <t>Normal-Only Total DPS (this block's swept value)</t>
        </is>
      </c>
      <c r="B1081">
        <f>SUM(U1042:U1067)</f>
        <v/>
      </c>
    </row>
    <row r="1082">
      <c r="A1082" s="6" t="inlineStr">
        <is>
          <t>TOTAL DPS</t>
        </is>
      </c>
      <c r="B1082" s="6">
        <f>SUM(O1042:O1067)</f>
        <v/>
      </c>
    </row>
    <row r="1084">
      <c r="A1084" s="6" t="inlineStr">
        <is>
          <t>Stat: ATTACK %</t>
        </is>
      </c>
    </row>
    <row r="1085">
      <c r="A1085" s="5" t="inlineStr">
        <is>
          <t>Key</t>
        </is>
      </c>
      <c r="B1085" s="5" t="inlineStr">
        <is>
          <t>Name</t>
        </is>
      </c>
      <c r="C1085" s="5" t="inlineStr">
        <is>
          <t>Unlocked</t>
        </is>
      </c>
      <c r="D1085" s="5" t="inlineStr">
        <is>
          <t>InputLevel</t>
        </is>
      </c>
      <c r="E1085" s="5" t="inlineStr">
        <is>
          <t>Factor</t>
        </is>
      </c>
      <c r="F1085" s="5" t="inlineStr">
        <is>
          <t>CoefficientPercent</t>
        </is>
      </c>
      <c r="G1085" s="5" t="inlineStr">
        <is>
          <t>EffectiveHits</t>
        </is>
      </c>
      <c r="H1085" s="5" t="inlineStr">
        <is>
          <t>ProcProbability</t>
        </is>
      </c>
      <c r="I1085" s="5" t="inlineStr">
        <is>
          <t>MapleHeroMultiplier</t>
        </is>
      </c>
      <c r="J1085" s="5" t="inlineStr">
        <is>
          <t>BaseDamage</t>
        </is>
      </c>
      <c r="K1085" s="5" t="inlineStr">
        <is>
          <t>BaseHitDamage</t>
        </is>
      </c>
      <c r="L1085" s="5" t="inlineStr">
        <is>
          <t>NonCritAvg</t>
        </is>
      </c>
      <c r="M1085" s="5" t="inlineStr">
        <is>
          <t>CritAvg</t>
        </is>
      </c>
      <c r="N1085" s="5" t="inlineStr">
        <is>
          <t>ExpectedDamage(perHit)</t>
        </is>
      </c>
      <c r="O1085" s="5" t="inlineStr">
        <is>
          <t>DPS</t>
        </is>
      </c>
      <c r="P1085" s="5" t="inlineStr">
        <is>
          <t>% of Total</t>
        </is>
      </c>
      <c r="R1085" t="inlineStr">
        <is>
          <t>helpers</t>
        </is>
      </c>
    </row>
    <row r="1086">
      <c r="A1086">
        <f>Skills!A2</f>
        <v/>
      </c>
      <c r="B1086">
        <f>Skills!B2</f>
        <v/>
      </c>
      <c r="C1086">
        <f>Inputs!$B$3&gt;=100</f>
        <v/>
      </c>
      <c r="D1086" t="inlineStr"/>
      <c r="E1086" t="inlineStr"/>
      <c r="F1086">
        <f>T1088+Skills!N2</f>
        <v/>
      </c>
      <c r="G1086">
        <f>Calc!G2</f>
        <v/>
      </c>
      <c r="H1086">
        <f>Calc!H2</f>
        <v/>
      </c>
      <c r="I1086">
        <f>IF(Skills!T2&lt;&gt;"",1+(Skills!T2/10)*($Z$3/1000)/100,1)</f>
        <v/>
      </c>
      <c r="J1086">
        <f>((Inputs!$B$6*(1+(Inputs!$B$7+1)/100))+(((Inputs!$B$13*(1+Inputs!$B$14/100))-(Inputs!$B$13*(1+Inputs!$B$14/100)))+0.25*(Inputs!$B$15-Inputs!$B$15))*(1+(Inputs!$B$7+1)/100))*(F1086/100)</f>
        <v/>
      </c>
      <c r="K1086">
        <f>J1086*(1+(((Inputs!$B$13+IF(Inputs!$B$3&gt;=35,(10*INDEX(FactorTable!$B$2:$Y$301,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2="TRIUMPH_FEATHER",IF(C1100=TRUE,F1100,0),0)/100)*(1+IF(C1111=TRUE,F1111,0)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1086)</f>
        <v/>
      </c>
      <c r="L1086">
        <f>K1086*(MIN(Inputs!$B$23+(F1106-Calc!F22),(Inputs!$B$24+IF(ArtifactsInput!$M$15,CHOOSE(ArtifactsInput!$N$15+1,25,30,35,40,45,50)/100*(Inputs!$B$12-Inputs!$B$12),0)))/100+(Inputs!$B$24+IF(ArtifactsInput!$M$15,CHOOSE(ArtifactsInput!$N$15+1,25,30,35,40,45,50)/100*(Inputs!$B$12-Inputs!$B$12),0))/100)/2</f>
        <v/>
      </c>
      <c r="M1086">
        <f>L1086*(1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86">
        <f>L1086*(1-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(1-Summary!$B$11)*S1086+Summary!$B$11*U1086</f>
        <v/>
      </c>
      <c r="P1086">
        <f>IF(B1126=0,0,O1086/B1126)</f>
        <v/>
      </c>
      <c r="Q1086">
        <f>IFERROR(1/(IF(Inputs!$B$39="pvp",15,MAX(0.1,Skills!D2-IF(Skills!E2=TRUE,Inputs!$B$33,0)))*(1-IF(AND(ArtifactsInput!$M$27,Inputs!$B$4="Chapter Hunt"),CHOOSE(ArtifactsInput!$N$27+1,20,24,28,32,36,40),0)/100)),0)</f>
        <v/>
      </c>
      <c r="R1086" t="n">
        <v>0</v>
      </c>
      <c r="S1086">
        <f>IF(C1086,(Skills!F2*N1086*B1121)*IF(Inputs!$B$39="pvp",1,1+(Inputs!$B$21+Skills!O2+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1086*(1-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86">
        <f>MAX(0,(Inputs!$B$3-100)*3)+Inputs!$B$29+Inputs!$B$30</f>
        <v/>
      </c>
      <c r="U1086">
        <f>IF(C1086,(Skills!F2*N1086*B1121)*IF(Inputs!$B$39="pvp",1,(1+(Inputs!$B$22+Skills!P2+B1115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Skills!A3</f>
        <v/>
      </c>
      <c r="B1087">
        <f>Skills!B3</f>
        <v/>
      </c>
      <c r="C1087">
        <f>Inputs!$B$3&gt;=15</f>
        <v/>
      </c>
      <c r="D1087">
        <f>IF(Skills!C3=1,60+Inputs!$B$26+Inputs!$B$30,IF(Skills!C3=2,90+Inputs!$B$27+Inputs!$B$30,IF(Skills!C3=3,120+Inputs!$B$28+Inputs!$B$30,MAX(0,(Inputs!$B$3-100)*3)+Inputs!$B$29+Inputs!$B$30)))</f>
        <v/>
      </c>
      <c r="E1087">
        <f>INDEX(FactorTable!$B$2:$Y$301, MATCH(ROUND(MIN(300,MAX(1,D1087)),0), FactorTable!$A$2:$A$301,0), Skills!L3+1)</f>
        <v/>
      </c>
      <c r="F1087">
        <f>IF(Skills!M3=TRUE,(Skills!K3/10)*(E1087/1000),Skills!K3/10)+Skills!N3</f>
        <v/>
      </c>
      <c r="G1087">
        <f>Calc!G3</f>
        <v/>
      </c>
      <c r="H1087">
        <f>Calc!H3</f>
        <v/>
      </c>
      <c r="I1087">
        <f>IF(Skills!T3&lt;&gt;"",1+(Skills!T3/10)*($Z$3/1000)/100,1)</f>
        <v/>
      </c>
      <c r="J1087" t="inlineStr"/>
      <c r="K1087" t="inlineStr"/>
      <c r="L1087" t="inlineStr"/>
      <c r="M1087" t="inlineStr"/>
      <c r="N1087" t="inlineStr"/>
      <c r="O1087">
        <f>(1-Summary!$B$11)*S1087+Summary!$B$11*U1087</f>
        <v/>
      </c>
      <c r="P1087">
        <f>IF(B1126=0,0,O1087/B1126)</f>
        <v/>
      </c>
      <c r="Q1087">
        <f>IFERROR(1/(IF(Inputs!$B$39="pvp",15,MAX(0.1,Skills!D3-IF(Skills!E3=TRUE,Inputs!$B$33,0)))*(1-IF(AND(ArtifactsInput!$M$27,Inputs!$B$4="Chapter Hunt"),CHOOSE(ArtifactsInput!$N$27+1,20,24,28,32,36,40),0)/100)),0)</f>
        <v/>
      </c>
      <c r="R1087">
        <f>IF(AND(Inputs!$B$39&lt;&gt;"pvp",Inputs!$B$44&gt;0),IF(Inputs!$B$44&lt;=0,0,(INT(Inputs!$B$44/(IF(Inputs!$B$39="pvp",15,MAX(0.1,Skills!D3-IF(Skills!E3=TRUE,Inputs!$B$33,0)))*(1-IF(AND(ArtifactsInput!$M$27,Inputs!$B$4="Chapter Hunt"),CHOOSE(ArtifactsInput!$N$27+1,20,24,28,32,36,40),0)/100)))+1)),0)</f>
        <v/>
      </c>
      <c r="S1087" t="n">
        <v>0</v>
      </c>
      <c r="T1087">
        <f>INDEX(FactorTable!$B$2:$Y$301, MATCH(ROUND(MIN(300,MAX(1,T1086)),0), FactorTable!$A$2:$A$301,0), 22)</f>
        <v/>
      </c>
      <c r="U1087" t="n">
        <v>0</v>
      </c>
    </row>
    <row r="1088">
      <c r="A1088">
        <f>Skills!A4</f>
        <v/>
      </c>
      <c r="B1088">
        <f>Skills!B4</f>
        <v/>
      </c>
      <c r="C1088">
        <f>Inputs!$B$3&gt;=38</f>
        <v/>
      </c>
      <c r="D1088">
        <f>IF(Skills!C4=1,60+Inputs!$B$26+Inputs!$B$30,IF(Skills!C4=2,90+Inputs!$B$27+Inputs!$B$30,IF(Skills!C4=3,120+Inputs!$B$28+Inputs!$B$30,MAX(0,(Inputs!$B$3-100)*3)+Inputs!$B$29+Inputs!$B$30)))</f>
        <v/>
      </c>
      <c r="E1088">
        <f>INDEX(FactorTable!$B$2:$Y$301, MATCH(ROUND(MIN(300,MAX(1,D1088)),0), FactorTable!$A$2:$A$301,0), Skills!L4+1)</f>
        <v/>
      </c>
      <c r="F1088">
        <f>IF(Skills!M4=TRUE,(Skills!K4/10)*(E1088/1000),Skills!K4/10)+Skills!N4</f>
        <v/>
      </c>
      <c r="G1088">
        <f>Calc!G4</f>
        <v/>
      </c>
      <c r="H1088">
        <f>Calc!H4</f>
        <v/>
      </c>
      <c r="I1088">
        <f>IF(Skills!T4&lt;&gt;"",1+(Skills!T4/10)*($Z$3/1000)/100,1)</f>
        <v/>
      </c>
      <c r="J1088" t="inlineStr"/>
      <c r="K1088" t="inlineStr"/>
      <c r="L1088" t="inlineStr"/>
      <c r="M1088" t="inlineStr"/>
      <c r="N1088" t="inlineStr"/>
      <c r="O1088">
        <f>(1-Summary!$B$11)*S1088+Summary!$B$11*U1088</f>
        <v/>
      </c>
      <c r="P1088">
        <f>IF(B1126=0,0,O1088/B1126)</f>
        <v/>
      </c>
      <c r="Q1088">
        <f>IFERROR(1/(IF(Inputs!$B$39="pvp",15,MAX(0.1,Skills!D4-IF(Skills!E4=TRUE,Inputs!$B$33,0)))*(1-IF(AND(ArtifactsInput!$M$27,Inputs!$B$4="Chapter Hunt"),CHOOSE(ArtifactsInput!$N$27+1,20,24,28,32,36,40),0)/100)),0)</f>
        <v/>
      </c>
      <c r="R1088">
        <f>IF(AND(Inputs!$B$39&lt;&gt;"pvp",Inputs!$B$44&gt;0),IF(Inputs!$B$44&lt;=0,0,(INT(Inputs!$B$44/(IF(Inputs!$B$39="pvp",15,MAX(0.1,Skills!D4-IF(Skills!E4=TRUE,Inputs!$B$33,0)))*(1-IF(AND(ArtifactsInput!$M$27,Inputs!$B$4="Chapter Hunt"),CHOOSE(ArtifactsInput!$N$27+1,20,24,28,32,36,40),0)/100)))+1)),0)</f>
        <v/>
      </c>
      <c r="S1088" t="n">
        <v>0</v>
      </c>
      <c r="T1088">
        <f>290*T1087/1000</f>
        <v/>
      </c>
      <c r="U1088" t="n">
        <v>0</v>
      </c>
    </row>
    <row r="1089">
      <c r="A1089">
        <f>Skills!A5</f>
        <v/>
      </c>
      <c r="B1089">
        <f>Skills!B5</f>
        <v/>
      </c>
      <c r="C1089">
        <f>Inputs!$B$3&gt;=40</f>
        <v/>
      </c>
      <c r="D1089">
        <f>IF(Skills!C5=1,60+Inputs!$B$26+Inputs!$B$30,IF(Skills!C5=2,90+Inputs!$B$27+Inputs!$B$30,IF(Skills!C5=3,120+Inputs!$B$28+Inputs!$B$30,MAX(0,(Inputs!$B$3-100)*3)+Inputs!$B$29+Inputs!$B$30)))</f>
        <v/>
      </c>
      <c r="E1089">
        <f>INDEX(FactorTable!$B$2:$Y$301, MATCH(ROUND(MIN(300,MAX(1,D1089)),0), FactorTable!$A$2:$A$301,0), Skills!L5+1)</f>
        <v/>
      </c>
      <c r="F1089">
        <f>IF(Skills!M5=TRUE,(Skills!K5/10)*(E1089/1000),Skills!K5/10)+Skills!N5</f>
        <v/>
      </c>
      <c r="G1089">
        <f>Calc!G5</f>
        <v/>
      </c>
      <c r="H1089">
        <f>Calc!H5</f>
        <v/>
      </c>
      <c r="I1089">
        <f>IF(Skills!T5&lt;&gt;"",1+(Skills!T5/10)*($Z$3/1000)/100,1)</f>
        <v/>
      </c>
      <c r="J1089" t="inlineStr"/>
      <c r="K1089" t="inlineStr"/>
      <c r="L1089" t="inlineStr"/>
      <c r="M1089" t="inlineStr"/>
      <c r="N1089" t="inlineStr"/>
      <c r="O1089">
        <f>(1-Summary!$B$11)*S1089+Summary!$B$11*U1089</f>
        <v/>
      </c>
      <c r="P1089">
        <f>IF(B1126=0,0,O1089/B1126)</f>
        <v/>
      </c>
      <c r="Q1089">
        <f>IFERROR(1/(IF(Inputs!$B$39="pvp",15,MAX(0.1,Skills!D5-IF(Skills!E5=TRUE,Inputs!$B$33,0)))*(1-IF(AND(ArtifactsInput!$M$27,Inputs!$B$4="Chapter Hunt"),CHOOSE(ArtifactsInput!$N$27+1,20,24,28,32,36,40),0)/100)),0)</f>
        <v/>
      </c>
      <c r="R1089">
        <f>IF(AND(Inputs!$B$39&lt;&gt;"pvp",Inputs!$B$44&gt;0),IF(Inputs!$B$44&lt;=0,0,(INT(Inputs!$B$44/(IF(Inputs!$B$39="pvp",15,MAX(0.1,Skills!D5-IF(Skills!E5=TRUE,Inputs!$B$33,0)))*(1-IF(AND(ArtifactsInput!$M$27,Inputs!$B$4="Chapter Hunt"),CHOOSE(ArtifactsInput!$N$27+1,20,24,28,32,36,40),0)/100)))+1)),0)</f>
        <v/>
      </c>
      <c r="S1089" t="n">
        <v>0</v>
      </c>
      <c r="U1089" t="n">
        <v>0</v>
      </c>
    </row>
    <row r="1090">
      <c r="A1090">
        <f>Skills!A6</f>
        <v/>
      </c>
      <c r="B1090">
        <f>Skills!B6</f>
        <v/>
      </c>
      <c r="C1090">
        <f>Inputs!$B$3&gt;=103</f>
        <v/>
      </c>
      <c r="D1090">
        <f>IF(Skills!C6=1,60+Inputs!$B$26+Inputs!$B$30,IF(Skills!C6=2,90+Inputs!$B$27+Inputs!$B$30,IF(Skills!C6=3,120+Inputs!$B$28+Inputs!$B$30,MAX(0,(Inputs!$B$3-100)*3)+Inputs!$B$29+Inputs!$B$30)))</f>
        <v/>
      </c>
      <c r="E1090">
        <f>INDEX(FactorTable!$B$2:$Y$301, MATCH(ROUND(MIN(300,MAX(1,D1090)),0), FactorTable!$A$2:$A$301,0), Skills!L6+1)</f>
        <v/>
      </c>
      <c r="F1090">
        <f>IF(Skills!M6=TRUE,(Skills!K6/10)*(E1090/1000),Skills!K6/10)+Skills!N6</f>
        <v/>
      </c>
      <c r="G1090">
        <f>Calc!G6</f>
        <v/>
      </c>
      <c r="H1090">
        <f>Calc!H6</f>
        <v/>
      </c>
      <c r="I1090">
        <f>IF(Skills!T6&lt;&gt;"",1+(Skills!T6/10)*($Z$3/1000)/100,1)</f>
        <v/>
      </c>
      <c r="J1090">
        <f>((Inputs!$B$6*(1+(Inputs!$B$7+1)/100))+(((Inputs!$B$13*(1+Inputs!$B$14/100))-(Inputs!$B$13*(1+Inputs!$B$14/100)))+0.25*(Inputs!$B$15-Inputs!$B$15))*(1+(Inputs!$B$7+1)/100))*(F1090/100)</f>
        <v/>
      </c>
      <c r="K1090">
        <f>J1090*(1+(((Inputs!$B$13+IF(Inputs!$B$3&gt;=35,(10*INDEX(FactorTable!$B$2:$Y$301,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6="TRIUMPH_FEATHER",IF(C1100=TRUE,F1100,0),0)/100)*(1+IF(C1111=TRUE,F1111,0)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1090)</f>
        <v/>
      </c>
      <c r="L1090">
        <f>K1090*(MIN(Inputs!$B$23+(F1106-Calc!F22),(Inputs!$B$24+IF(ArtifactsInput!$M$15,CHOOSE(ArtifactsInput!$N$15+1,25,30,35,40,45,50)/100*(Inputs!$B$12-Inputs!$B$12),0)))/100+(Inputs!$B$24+IF(ArtifactsInput!$M$15,CHOOSE(ArtifactsInput!$N$15+1,25,30,35,40,45,50)/100*(Inputs!$B$12-Inputs!$B$12),0))/100)/2</f>
        <v/>
      </c>
      <c r="M1090">
        <f>L1090*(1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0">
        <f>L1090*(1-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(1-Summary!$B$11)*S1090+Summary!$B$11*U1090</f>
        <v/>
      </c>
      <c r="P1090">
        <f>IF(B1126=0,0,O1090/B1126)</f>
        <v/>
      </c>
      <c r="Q1090">
        <f>IFERROR(1/(IF(Inputs!$B$39="pvp",15,MAX(0.1,Skills!D6-IF(Skills!E6=TRUE,Inputs!$B$33,0)))*(1-IF(AND(ArtifactsInput!$M$27,Inputs!$B$4="Chapter Hunt"),CHOOSE(ArtifactsInput!$N$27+1,20,24,28,32,36,40),0)/100)),0)</f>
        <v/>
      </c>
      <c r="R1090">
        <f>IF(AND(Inputs!$B$39&lt;&gt;"pvp",Inputs!$B$44&gt;0),IF(MAX(0,Inputs!$B$44-B1123)&lt;=0,0,(INT(MAX(0,Inputs!$B$44-B1123)/(IF(Inputs!$B$39="pvp",15,MAX(0.1,Skills!D6-IF(Skills!E6=TRUE,Inputs!$B$33,0)))*(1-IF(AND(ArtifactsInput!$M$27,Inputs!$B$4="Chapter Hunt"),CHOOSE(ArtifactsInput!$N$27+1,20,24,28,32,36,40),0)/100)))+1)),0)</f>
        <v/>
      </c>
      <c r="S1090">
        <f>IF(C1090,(H1090*N1090*IF(AND(Inputs!$B$39&lt;&gt;"pvp",Inputs!$B$44&gt;0),((Skills!F6*((R1090-1)*IF(Skills!G6&gt;0,Skills!H6/Skills!G6,1)+IF(Skills!G6&gt;0,MIN(Skills!H6,MAX(0,MAX(0,Inputs!$B$44-B1123)-((R1090-1)*(IF(Inputs!$B$39="pvp",15,MAX(0.1,Skills!D6-IF(Skills!E6=TRUE,Inputs!$B$33,0)))*(1-IF(AND(ArtifactsInput!$M$27,Inputs!$B$4="Chapter Hunt"),CHOOSE(ArtifactsInput!$N$27+1,20,24,28,32,36,40),0)/100)))))/Skills!G6,1)))/Inputs!$B$44),G1090*Q1090))*IF(Inputs!$B$39="pvp",1,1+(Inputs!$B$21+Skills!O6+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1090*(1-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0">
        <f>IF(C1090,(H1090*N1090*IF(AND(Inputs!$B$39&lt;&gt;"pvp",Inputs!$B$44&gt;0),((Skills!F6*((R1090-1)*IF(Skills!G6&gt;0,Skills!H6/Skills!G6,1)+IF(Skills!G6&gt;0,MIN(Skills!H6,MAX(0,MAX(0,Inputs!$B$44-B1123)-((R1090-1)*(IF(Inputs!$B$39="pvp",15,MAX(0.1,Skills!D6-IF(Skills!E6=TRUE,Inputs!$B$33,0)))*(1-IF(AND(ArtifactsInput!$M$27,Inputs!$B$4="Chapter Hunt"),CHOOSE(ArtifactsInput!$N$27+1,20,24,28,32,36,40),0)/100)))))/Skills!G6,1)))/Inputs!$B$44),G1090*Q1090))*IF(Inputs!$B$39="pvp",1,(1+(Inputs!$B$22+Skills!P6+B1115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Skills!A7</f>
        <v/>
      </c>
      <c r="B1091">
        <f>Skills!B7</f>
        <v/>
      </c>
      <c r="C1091">
        <f>Inputs!$B$3&gt;=122</f>
        <v/>
      </c>
      <c r="D1091">
        <f>IF(Skills!C7=1,60+Inputs!$B$26+Inputs!$B$30,IF(Skills!C7=2,90+Inputs!$B$27+Inputs!$B$30,IF(Skills!C7=3,120+Inputs!$B$28+Inputs!$B$30,MAX(0,(Inputs!$B$3-100)*3)+Inputs!$B$29+Inputs!$B$30)))</f>
        <v/>
      </c>
      <c r="E1091">
        <f>INDEX(FactorTable!$B$2:$Y$301, MATCH(ROUND(MIN(300,MAX(1,D1091)),0), FactorTable!$A$2:$A$301,0), Skills!L7+1)</f>
        <v/>
      </c>
      <c r="F1091">
        <f>IF(Skills!M7=TRUE,(Skills!K7/10)*(E1091/1000),Skills!K7/10)+Skills!N7</f>
        <v/>
      </c>
      <c r="G1091">
        <f>Calc!G7</f>
        <v/>
      </c>
      <c r="H1091">
        <f>Calc!H7</f>
        <v/>
      </c>
      <c r="I1091">
        <f>IF(Skills!T7&lt;&gt;"",1+(Skills!T7/10)*($Z$3/1000)/100,1)</f>
        <v/>
      </c>
      <c r="J1091">
        <f>((Inputs!$B$6*(1+(Inputs!$B$7+1)/100))+(((Inputs!$B$13*(1+Inputs!$B$14/100))-(Inputs!$B$13*(1+Inputs!$B$14/100)))+0.25*(Inputs!$B$15-Inputs!$B$15))*(1+(Inputs!$B$7+1)/100))*(F1091/100)</f>
        <v/>
      </c>
      <c r="K1091">
        <f>J1091*(1+(((Inputs!$B$13+IF(Inputs!$B$3&gt;=35,(10*INDEX(FactorTable!$B$2:$Y$301,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7="TRIUMPH_FEATHER",IF(C1100=TRUE,F1100,0),0)/100)*(1+IF(C1111=TRUE,F1111,0)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1091)</f>
        <v/>
      </c>
      <c r="L1091">
        <f>K1091*(MIN(Inputs!$B$23+(F1106-Calc!F22),(Inputs!$B$24+IF(ArtifactsInput!$M$15,CHOOSE(ArtifactsInput!$N$15+1,25,30,35,40,45,50)/100*(Inputs!$B$12-Inputs!$B$12),0)))/100+(Inputs!$B$24+IF(ArtifactsInput!$M$15,CHOOSE(ArtifactsInput!$N$15+1,25,30,35,40,45,50)/100*(Inputs!$B$12-Inputs!$B$12),0))/100)/2</f>
        <v/>
      </c>
      <c r="M1091">
        <f>L1091*(1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1">
        <f>L1091*(1-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(1-Summary!$B$11)*S1091+Summary!$B$11*U1091</f>
        <v/>
      </c>
      <c r="P1091">
        <f>IF(B1126=0,0,O1091/B1126)</f>
        <v/>
      </c>
      <c r="Q1091">
        <f>IFERROR(1/(IF(Inputs!$B$39="pvp",15,MAX(0.1,Skills!D7-IF(Skills!E6=TRUE,Inputs!$B$33,0)))*(1-IF(AND(ArtifactsInput!$M$27,Inputs!$B$4="Chapter Hunt"),CHOOSE(ArtifactsInput!$N$27+1,20,24,28,32,36,40),0)/100)),0)</f>
        <v/>
      </c>
      <c r="R1091">
        <f>IF(AND(Inputs!$B$39&lt;&gt;"pvp",Inputs!$B$44&gt;0),IF(MAX(0,Inputs!$B$44-B1123)&lt;=0,0,(INT(MAX(0,Inputs!$B$44-B1123)/(IF(Inputs!$B$39="pvp",15,MAX(0.1,Skills!D7-IF(Skills!E6=TRUE,Inputs!$B$33,0)))*(1-IF(AND(ArtifactsInput!$M$27,Inputs!$B$4="Chapter Hunt"),CHOOSE(ArtifactsInput!$N$27+1,20,24,28,32,36,40),0)/100)))+1)),0)</f>
        <v/>
      </c>
      <c r="S1091">
        <f>IF(C1091,H1091*N1091*IF(AND(Inputs!$B$39&lt;&gt;"pvp",Inputs!$B$44&gt;0),((Skills!F7*((R1091-1)*IF(Skills!G7&gt;0,Skills!H7/Skills!G7,1)+IF(Skills!G7&gt;0,MIN(Skills!H7,MAX(0,MAX(0,Inputs!$B$44-B1123)-((R1091-1)*(IF(Inputs!$B$39="pvp",15,MAX(0.1,Skills!D7-IF(Skills!E6=TRUE,Inputs!$B$33,0)))*(1-IF(AND(ArtifactsInput!$M$27,Inputs!$B$4="Chapter Hunt"),CHOOSE(ArtifactsInput!$N$27+1,20,24,28,32,36,40),0)/100)))))/Skills!G7,1)))/Inputs!$B$44),G1091*Q1091)*IF(Inputs!$B$39="pvp",1,1+(Inputs!$B$21+Skills!O7+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1091*(1-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1" t="n">
        <v>0</v>
      </c>
    </row>
    <row r="1092">
      <c r="A1092">
        <f>Skills!A8</f>
        <v/>
      </c>
      <c r="B1092">
        <f>Skills!B8</f>
        <v/>
      </c>
      <c r="C1092">
        <f>Inputs!$B$3&gt;=105</f>
        <v/>
      </c>
      <c r="D1092">
        <f>IF(Skills!C8=1,60+Inputs!$B$26+Inputs!$B$30,IF(Skills!C8=2,90+Inputs!$B$27+Inputs!$B$30,IF(Skills!C8=3,120+Inputs!$B$28+Inputs!$B$30,MAX(0,(Inputs!$B$3-100)*3)+Inputs!$B$29+Inputs!$B$30)))</f>
        <v/>
      </c>
      <c r="E1092">
        <f>INDEX(FactorTable!$B$2:$Y$301, MATCH(ROUND(MIN(300,MAX(1,D1092)),0), FactorTable!$A$2:$A$301,0), Skills!L8+1)</f>
        <v/>
      </c>
      <c r="F1092">
        <f>IF(Skills!M8=TRUE,(Skills!K8/10)*(E1092/1000),Skills!K8/10)+Skills!N8</f>
        <v/>
      </c>
      <c r="G1092">
        <f>Calc!G8</f>
        <v/>
      </c>
      <c r="H1092">
        <f>Calc!H8</f>
        <v/>
      </c>
      <c r="I1092">
        <f>IF(Skills!T8&lt;&gt;"",1+(Skills!T8/10)*($Z$3/1000)/100,1)</f>
        <v/>
      </c>
      <c r="J1092">
        <f>((Inputs!$B$6*(1+(Inputs!$B$7+1)/100))+(((Inputs!$B$13*(1+Inputs!$B$14/100))-(Inputs!$B$13*(1+Inputs!$B$14/100)))+0.25*(Inputs!$B$15-Inputs!$B$15))*(1+(Inputs!$B$7+1)/100))*(F1092/100)</f>
        <v/>
      </c>
      <c r="K1092">
        <f>J1092*(1+(((Inputs!$B$13+IF(Inputs!$B$3&gt;=35,(10*INDEX(FactorTable!$B$2:$Y$301,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8="TRIUMPH_FEATHER",IF(C1100=TRUE,F1100,0),0)/100)*(1+IF(C1111=TRUE,F1111,0)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1092)</f>
        <v/>
      </c>
      <c r="L1092">
        <f>K1092*(MIN(Inputs!$B$23+(F1106-Calc!F22),(Inputs!$B$24+IF(ArtifactsInput!$M$15,CHOOSE(ArtifactsInput!$N$15+1,25,30,35,40,45,50)/100*(Inputs!$B$12-Inputs!$B$12),0)))/100+(Inputs!$B$24+IF(ArtifactsInput!$M$15,CHOOSE(ArtifactsInput!$N$15+1,25,30,35,40,45,50)/100*(Inputs!$B$12-Inputs!$B$12),0))/100)/2</f>
        <v/>
      </c>
      <c r="M1092">
        <f>L1092*(1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2">
        <f>L1092*(1-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1092*(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2">
        <f>(1-Summary!$B$11)*S1092+Summary!$B$11*U1092</f>
        <v/>
      </c>
      <c r="P1092">
        <f>IF(B1126=0,0,O1092/B1126)</f>
        <v/>
      </c>
      <c r="Q1092">
        <f>IFERROR(1/(IF(Inputs!$B$39="pvp",15,MAX(0.1,Skills!D8-IF(Skills!E8=TRUE,Inputs!$B$33,0)))*(1-IF(AND(ArtifactsInput!$M$27,Inputs!$B$4="Chapter Hunt"),CHOOSE(ArtifactsInput!$N$27+1,20,24,28,32,36,40),0)/100)),0)</f>
        <v/>
      </c>
      <c r="R1092">
        <f>IF(AND(Inputs!$B$39&lt;&gt;"pvp",Inputs!$B$44&gt;0),IF(MAX(0,Inputs!$B$44-B1123)&lt;=0,0,(INT(MAX(0,Inputs!$B$44-B1123)/(IF(Inputs!$B$39="pvp",15,MAX(0.1,Skills!D8-IF(Skills!E8=TRUE,Inputs!$B$33,0)))*(1-IF(AND(ArtifactsInput!$M$27,Inputs!$B$4="Chapter Hunt"),CHOOSE(ArtifactsInput!$N$27+1,20,24,28,32,36,40),0)/100)))+1)),0)</f>
        <v/>
      </c>
      <c r="S1092">
        <f>IF(C1092,(H1092*N1092*IF(AND(Inputs!$B$39&lt;&gt;"pvp",Inputs!$B$44&gt;0),((Skills!F8*((R1092-1)*IF(Skills!G8&gt;0,Skills!H8/Skills!G8,1)+IF(Skills!G8&gt;0,MIN(Skills!H8,MAX(0,MAX(0,Inputs!$B$44-B1123)-((R1092-1)*(IF(Inputs!$B$39="pvp",15,MAX(0.1,Skills!D8-IF(Skills!E8=TRUE,Inputs!$B$33,0)))*(1-IF(AND(ArtifactsInput!$M$27,Inputs!$B$4="Chapter Hunt"),CHOOSE(ArtifactsInput!$N$27+1,20,24,28,32,36,40),0)/100)))))/Skills!G8,1)))/Inputs!$B$44),G1092*Q1092))*IF(Inputs!$B$39="pvp",1,1+(Inputs!$B$21+Skills!O8+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1092*(1-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1092*(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1092*(1-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1092*(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2">
        <f>IF(C1092,(H1092*N1092*IF(AND(Inputs!$B$39&lt;&gt;"pvp",Inputs!$B$44&gt;0),((Skills!F8*((R1092-1)*IF(Skills!G8&gt;0,Skills!H8/Skills!G8,1)+IF(Skills!G8&gt;0,MIN(Skills!H8,MAX(0,MAX(0,Inputs!$B$44-B1123)-((R1092-1)*(IF(Inputs!$B$39="pvp",15,MAX(0.1,Skills!D8-IF(Skills!E8=TRUE,Inputs!$B$33,0)))*(1-IF(AND(ArtifactsInput!$M$27,Inputs!$B$4="Chapter Hunt"),CHOOSE(ArtifactsInput!$N$27+1,20,24,28,32,36,40),0)/100)))))/Skills!G8,1)))/Inputs!$B$44),G1092*Q1092))*IF(Inputs!$B$39="pvp",1,(1+(Inputs!$B$22+Skills!P8+B1115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3">
      <c r="A1093">
        <f>Skills!A9</f>
        <v/>
      </c>
      <c r="B1093">
        <f>Skills!B9</f>
        <v/>
      </c>
      <c r="C1093">
        <f>Inputs!$B$3&gt;=115</f>
        <v/>
      </c>
      <c r="D1093">
        <f>IF(Skills!C9=1,60+Inputs!$B$26+Inputs!$B$30,IF(Skills!C9=2,90+Inputs!$B$27+Inputs!$B$30,IF(Skills!C9=3,120+Inputs!$B$28+Inputs!$B$30,MAX(0,(Inputs!$B$3-100)*3)+Inputs!$B$29+Inputs!$B$30)))</f>
        <v/>
      </c>
      <c r="E1093">
        <f>INDEX(FactorTable!$B$2:$Y$301, MATCH(ROUND(MIN(300,MAX(1,D1093)),0), FactorTable!$A$2:$A$301,0), Skills!L9+1)</f>
        <v/>
      </c>
      <c r="F1093">
        <f>IF(Skills!M9=TRUE,(Skills!K9/10)*(E1093/1000),Skills!K9/10)+Skills!N9</f>
        <v/>
      </c>
      <c r="G1093">
        <f>Calc!G9</f>
        <v/>
      </c>
      <c r="H1093">
        <f>Calc!H9</f>
        <v/>
      </c>
      <c r="I1093">
        <f>IF(Skills!T9&lt;&gt;"",1+(Skills!T9/10)*($Z$3/1000)/100,1)</f>
        <v/>
      </c>
      <c r="J1093">
        <f>((Inputs!$B$6*(1+(Inputs!$B$7+1)/100))+(((Inputs!$B$13*(1+Inputs!$B$14/100))-(Inputs!$B$13*(1+Inputs!$B$14/100)))+0.25*(Inputs!$B$15-Inputs!$B$15))*(1+(Inputs!$B$7+1)/100))*(F1093/100)</f>
        <v/>
      </c>
      <c r="K1093">
        <f>J1093*(1+(((Inputs!$B$13+IF(Inputs!$B$3&gt;=35,(10*INDEX(FactorTable!$B$2:$Y$301,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9="TRIUMPH_FEATHER",IF(C1100=TRUE,F1100,0),0)/100)*(1+IF(C1111=TRUE,F1111,0)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1093)</f>
        <v/>
      </c>
      <c r="L1093">
        <f>K1093*(MIN(Inputs!$B$23+(F1106-Calc!F22),(Inputs!$B$24+IF(ArtifactsInput!$M$15,CHOOSE(ArtifactsInput!$N$15+1,25,30,35,40,45,50)/100*(Inputs!$B$12-Inputs!$B$12),0)))/100+(Inputs!$B$24+IF(ArtifactsInput!$M$15,CHOOSE(ArtifactsInput!$N$15+1,25,30,35,40,45,50)/100*(Inputs!$B$12-Inputs!$B$12),0))/100)/2</f>
        <v/>
      </c>
      <c r="M1093">
        <f>L1093*(1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3">
        <f>L1093*(1-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(1-Summary!$B$11)*S1093+Summary!$B$11*U1093</f>
        <v/>
      </c>
      <c r="P1093">
        <f>IF(B1126=0,0,O1093/B1126)</f>
        <v/>
      </c>
      <c r="Q1093">
        <f>IFERROR(1/(IF(Inputs!$B$39="pvp",15,MAX(0.1,Skills!D9-IF(Skills!E9=TRUE,Inputs!$B$33,0)))*(1-IF(AND(ArtifactsInput!$M$27,Inputs!$B$4="Chapter Hunt"),CHOOSE(ArtifactsInput!$N$27+1,20,24,28,32,36,40),0)/100)),0)</f>
        <v/>
      </c>
      <c r="R1093">
        <f>IF(AND(Inputs!$B$39&lt;&gt;"pvp",Inputs!$B$44&gt;0),IF(MAX(0,Inputs!$B$44-B1123)&lt;=0,0,(INT(MAX(0,Inputs!$B$44-B1123)/(IF(Inputs!$B$39="pvp",15,MAX(0.1,Skills!D9-IF(Skills!E9=TRUE,Inputs!$B$33,0)))*(1-IF(AND(ArtifactsInput!$M$27,Inputs!$B$4="Chapter Hunt"),CHOOSE(ArtifactsInput!$N$27+1,20,24,28,32,36,40),0)/100)))+1)),0)</f>
        <v/>
      </c>
      <c r="S1093">
        <f>IF(C1093,(H1093*N1093*IF(AND(Inputs!$B$39&lt;&gt;"pvp",Inputs!$B$44&gt;0),((Skills!F9*((R1093-1)*IF(Skills!G9&gt;0,Skills!H9/Skills!G9,1)+IF(Skills!G9&gt;0,MIN(Skills!H9,MAX(0,MAX(0,Inputs!$B$44-B1123)-((R1093-1)*(IF(Inputs!$B$39="pvp",15,MAX(0.1,Skills!D9-IF(Skills!E9=TRUE,Inputs!$B$33,0)))*(1-IF(AND(ArtifactsInput!$M$27,Inputs!$B$4="Chapter Hunt"),CHOOSE(ArtifactsInput!$N$27+1,20,24,28,32,36,40),0)/100)))))/Skills!G9,1)))/Inputs!$B$44),G1093*Q1093))*IF(Inputs!$B$39="pvp",1,1+(Inputs!$B$21+Skills!O9+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1093*(1-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3">
        <f>IF(C1093,(H1093*N1093*IF(AND(Inputs!$B$39&lt;&gt;"pvp",Inputs!$B$44&gt;0),((Skills!F9*((R1093-1)*IF(Skills!G9&gt;0,Skills!H9/Skills!G9,1)+IF(Skills!G9&gt;0,MIN(Skills!H9,MAX(0,MAX(0,Inputs!$B$44-B1123)-((R1093-1)*(IF(Inputs!$B$39="pvp",15,MAX(0.1,Skills!D9-IF(Skills!E9=TRUE,Inputs!$B$33,0)))*(1-IF(AND(ArtifactsInput!$M$27,Inputs!$B$4="Chapter Hunt"),CHOOSE(ArtifactsInput!$N$27+1,20,24,28,32,36,40),0)/100)))))/Skills!G9,1)))/Inputs!$B$44),G1093*Q1093))*IF(Inputs!$B$39="pvp",1,(1+(Inputs!$B$22+Skills!P9+B1115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Skills!A10</f>
        <v/>
      </c>
      <c r="B1094">
        <f>Skills!B10</f>
        <v/>
      </c>
      <c r="C1094">
        <f>Inputs!$B$3&gt;=66</f>
        <v/>
      </c>
      <c r="D1094">
        <f>IF(Skills!C10=1,60+Inputs!$B$26+Inputs!$B$30,IF(Skills!C10=2,90+Inputs!$B$27+Inputs!$B$30,IF(Skills!C10=3,120+Inputs!$B$28+Inputs!$B$30,MAX(0,(Inputs!$B$3-100)*3)+Inputs!$B$29+Inputs!$B$30)))</f>
        <v/>
      </c>
      <c r="E1094">
        <f>INDEX(FactorTable!$B$2:$Y$301, MATCH(ROUND(MIN(300,MAX(1,D1094)),0), FactorTable!$A$2:$A$301,0), Skills!L10+1)</f>
        <v/>
      </c>
      <c r="F1094" t="n">
        <v>0</v>
      </c>
      <c r="G1094">
        <f>Calc!G10</f>
        <v/>
      </c>
      <c r="H1094">
        <f>Calc!H10</f>
        <v/>
      </c>
      <c r="I1094">
        <f>IF(Skills!T10&lt;&gt;"",1+(Skills!T10/10)*($Z$3/1000)/100,1)</f>
        <v/>
      </c>
      <c r="J1094" t="inlineStr"/>
      <c r="K1094" t="inlineStr"/>
      <c r="L1094" t="inlineStr"/>
      <c r="M1094" t="inlineStr"/>
      <c r="N1094" t="inlineStr"/>
      <c r="O1094">
        <f>(1-Summary!$B$11)*S1094+Summary!$B$11*U1094</f>
        <v/>
      </c>
      <c r="P1094">
        <f>IF(B1126=0,0,O1094/B1126)</f>
        <v/>
      </c>
      <c r="Q1094">
        <f>IFERROR(1/(IF(Inputs!$B$39="pvp",15,MAX(0.1,Skills!D10-IF(Skills!E10=TRUE,Inputs!$B$33,0)))*(1-IF(AND(ArtifactsInput!$M$27,Inputs!$B$4="Chapter Hunt"),CHOOSE(ArtifactsInput!$N$27+1,20,24,28,32,36,40),0)/100)),0)</f>
        <v/>
      </c>
      <c r="R1094">
        <f>IF(AND(Inputs!$B$39&lt;&gt;"pvp",Inputs!$B$44&gt;0),IF(MAX(0,Inputs!$B$44-B1123)&lt;=0,0,(INT(MAX(0,Inputs!$B$44-B1123)/(IF(Inputs!$B$39="pvp",15,MAX(0.1,Skills!D10-IF(Skills!E10=TRUE,Inputs!$B$33,0)))*(1-IF(AND(ArtifactsInput!$M$27,Inputs!$B$4="Chapter Hunt"),CHOOSE(ArtifactsInput!$N$27+1,20,24,28,32,36,40),0)/100)))+1)),0)</f>
        <v/>
      </c>
      <c r="S1094" t="n">
        <v>0</v>
      </c>
      <c r="U1094" t="n">
        <v>0</v>
      </c>
    </row>
    <row r="1095">
      <c r="A1095">
        <f>Skills!A11</f>
        <v/>
      </c>
      <c r="B1095">
        <f>Skills!B11</f>
        <v/>
      </c>
      <c r="C1095">
        <f>Inputs!$B$3&gt;=69</f>
        <v/>
      </c>
      <c r="D1095">
        <f>IF(Skills!C11=1,60+Inputs!$B$26+Inputs!$B$30,IF(Skills!C11=2,90+Inputs!$B$27+Inputs!$B$30,IF(Skills!C11=3,120+Inputs!$B$28+Inputs!$B$30,MAX(0,(Inputs!$B$3-100)*3)+Inputs!$B$29+Inputs!$B$30)))</f>
        <v/>
      </c>
      <c r="E1095">
        <f>INDEX(FactorTable!$B$2:$Y$301, MATCH(ROUND(MIN(300,MAX(1,D1095)),0), FactorTable!$A$2:$A$301,0), Skills!L11+1)</f>
        <v/>
      </c>
      <c r="F1095">
        <f>IF(Skills!M11=TRUE,(Skills!K11/10)*(E1095/1000),Skills!K11/10)+Skills!N11</f>
        <v/>
      </c>
      <c r="G1095">
        <f>Calc!G11</f>
        <v/>
      </c>
      <c r="H1095">
        <f>Calc!H11</f>
        <v/>
      </c>
      <c r="I1095">
        <f>IF(Skills!T11&lt;&gt;"",1+(Skills!T11/10)*($Z$3/1000)/100,1)</f>
        <v/>
      </c>
      <c r="J1095" t="inlineStr"/>
      <c r="K1095" t="inlineStr"/>
      <c r="L1095" t="inlineStr"/>
      <c r="M1095" t="inlineStr"/>
      <c r="N1095" t="inlineStr"/>
      <c r="O1095">
        <f>(1-Summary!$B$11)*S1095+Summary!$B$11*U1095</f>
        <v/>
      </c>
      <c r="P1095">
        <f>IF(B1126=0,0,O1095/B1126)</f>
        <v/>
      </c>
      <c r="Q1095">
        <f>IFERROR(1/(IF(Inputs!$B$39="pvp",15,MAX(0.1,Skills!D11-IF(Skills!E11=TRUE,Inputs!$B$33,0)))*(1-IF(AND(ArtifactsInput!$M$27,Inputs!$B$4="Chapter Hunt"),CHOOSE(ArtifactsInput!$N$27+1,20,24,28,32,36,40),0)/100)),0)</f>
        <v/>
      </c>
      <c r="R1095">
        <f>IF(AND(Inputs!$B$39&lt;&gt;"pvp",Inputs!$B$44&gt;0),IF(Inputs!$B$44&lt;=0,0,(INT(Inputs!$B$44/(IF(Inputs!$B$39="pvp",15,MAX(0.1,Skills!D11-IF(Skills!E11=TRUE,Inputs!$B$33,0)))*(1-IF(AND(ArtifactsInput!$M$27,Inputs!$B$4="Chapter Hunt"),CHOOSE(ArtifactsInput!$N$27+1,20,24,28,32,36,40),0)/100)))+1)),0)</f>
        <v/>
      </c>
      <c r="S1095" t="n">
        <v>0</v>
      </c>
      <c r="U1095" t="n">
        <v>0</v>
      </c>
    </row>
    <row r="1096">
      <c r="A1096">
        <f>Skills!A12</f>
        <v/>
      </c>
      <c r="B1096">
        <f>Skills!B12</f>
        <v/>
      </c>
      <c r="C1096">
        <f>Inputs!$B$3&gt;=72</f>
        <v/>
      </c>
      <c r="D1096">
        <f>IF(Skills!C12=1,60+Inputs!$B$26+Inputs!$B$30,IF(Skills!C12=2,90+Inputs!$B$27+Inputs!$B$30,IF(Skills!C12=3,120+Inputs!$B$28+Inputs!$B$30,MAX(0,(Inputs!$B$3-100)*3)+Inputs!$B$29+Inputs!$B$30)))</f>
        <v/>
      </c>
      <c r="E1096">
        <f>INDEX(FactorTable!$B$2:$Y$301, MATCH(ROUND(MIN(300,MAX(1,D1096)),0), FactorTable!$A$2:$A$301,0), Skills!L12+1)</f>
        <v/>
      </c>
      <c r="F1096">
        <f>IF(Skills!M12=TRUE,(Skills!K12/10)*(E1096/1000),Skills!K12/10)+Skills!N12</f>
        <v/>
      </c>
      <c r="G1096">
        <f>Calc!G12</f>
        <v/>
      </c>
      <c r="H1096">
        <f>Calc!H12</f>
        <v/>
      </c>
      <c r="I1096">
        <f>IF(Skills!T12&lt;&gt;"",1+(Skills!T12/10)*($Z$3/1000)/100,1)</f>
        <v/>
      </c>
      <c r="J1096" t="inlineStr"/>
      <c r="K1096" t="inlineStr"/>
      <c r="L1096" t="inlineStr"/>
      <c r="M1096" t="inlineStr"/>
      <c r="N1096" t="inlineStr"/>
      <c r="O1096">
        <f>(1-Summary!$B$11)*S1096+Summary!$B$11*U1096</f>
        <v/>
      </c>
      <c r="P1096">
        <f>IF(B1126=0,0,O1096/B1126)</f>
        <v/>
      </c>
      <c r="Q1096">
        <f>IFERROR(1/(IF(Inputs!$B$39="pvp",15,MAX(0.1,Skills!D12-IF(Skills!E12=TRUE,Inputs!$B$33,0)))*(1-IF(AND(ArtifactsInput!$M$27,Inputs!$B$4="Chapter Hunt"),CHOOSE(ArtifactsInput!$N$27+1,20,24,28,32,36,40),0)/100)),0)</f>
        <v/>
      </c>
      <c r="R1096">
        <f>IF(AND(Inputs!$B$39&lt;&gt;"pvp",Inputs!$B$44&gt;0),IF(MAX(0,Inputs!$B$44-B1123)&lt;=0,0,(INT(MAX(0,Inputs!$B$44-B1123)/(IF(Inputs!$B$39="pvp",15,MAX(0.1,Skills!D12-IF(Skills!E12=TRUE,Inputs!$B$33,0)))*(1-IF(AND(ArtifactsInput!$M$27,Inputs!$B$4="Chapter Hunt"),CHOOSE(ArtifactsInput!$N$27+1,20,24,28,32,36,40),0)/100)))+1)),0)</f>
        <v/>
      </c>
      <c r="S1096" t="n">
        <v>0</v>
      </c>
      <c r="U1096" t="n">
        <v>0</v>
      </c>
    </row>
    <row r="1097">
      <c r="A1097">
        <f>Skills!A13</f>
        <v/>
      </c>
      <c r="B1097">
        <f>Skills!B13</f>
        <v/>
      </c>
      <c r="C1097">
        <f>Inputs!$B$3&gt;=60</f>
        <v/>
      </c>
      <c r="D1097">
        <f>IF(Skills!C13=1,60+Inputs!$B$26+Inputs!$B$30,IF(Skills!C13=2,90+Inputs!$B$27+Inputs!$B$30,IF(Skills!C13=3,120+Inputs!$B$28+Inputs!$B$30,MAX(0,(Inputs!$B$3-100)*3)+Inputs!$B$29+Inputs!$B$30)))</f>
        <v/>
      </c>
      <c r="E1097">
        <f>INDEX(FactorTable!$B$2:$Y$301, MATCH(ROUND(MIN(300,MAX(1,D1097)),0), FactorTable!$A$2:$A$301,0), Skills!L13+1)</f>
        <v/>
      </c>
      <c r="F1097">
        <f>IF(Skills!M13=TRUE,(Skills!K13/10)*(E1097/1000),Skills!K13/10)+Skills!N13</f>
        <v/>
      </c>
      <c r="G1097">
        <f>Calc!G13</f>
        <v/>
      </c>
      <c r="H1097">
        <f>Calc!H13</f>
        <v/>
      </c>
      <c r="I1097">
        <f>IF(Skills!T13&lt;&gt;"",1+(Skills!T13/10)*($Z$3/1000)/100,1)</f>
        <v/>
      </c>
      <c r="J1097" t="inlineStr"/>
      <c r="K1097" t="inlineStr"/>
      <c r="L1097" t="inlineStr"/>
      <c r="M1097" t="inlineStr"/>
      <c r="N1097" t="inlineStr"/>
      <c r="O1097">
        <f>(1-Summary!$B$11)*S1097+Summary!$B$11*U1097</f>
        <v/>
      </c>
      <c r="P1097">
        <f>IF(B1126=0,0,O1097/B1126)</f>
        <v/>
      </c>
      <c r="Q1097">
        <f>IFERROR(1/(IF(Inputs!$B$39="pvp",15,MAX(0.1,Skills!D13-IF(Skills!E13=TRUE,Inputs!$B$33,0)))*(1-IF(AND(ArtifactsInput!$M$27,Inputs!$B$4="Chapter Hunt"),CHOOSE(ArtifactsInput!$N$27+1,20,24,28,32,36,40),0)/100)),0)</f>
        <v/>
      </c>
      <c r="R1097">
        <f>IF(AND(Inputs!$B$39&lt;&gt;"pvp",Inputs!$B$44&gt;0),IF(MAX(0,Inputs!$B$44-B1123)&lt;=0,0,(INT(MAX(0,Inputs!$B$44-B1123)/(IF(Inputs!$B$39="pvp",15,MAX(0.1,Skills!D13-IF(Skills!E13=TRUE,Inputs!$B$33,0)))*(1-IF(AND(ArtifactsInput!$M$27,Inputs!$B$4="Chapter Hunt"),CHOOSE(ArtifactsInput!$N$27+1,20,24,28,32,36,40),0)/100)))+1)),0)</f>
        <v/>
      </c>
      <c r="S1097" t="n">
        <v>0</v>
      </c>
      <c r="U1097" t="n">
        <v>0</v>
      </c>
    </row>
    <row r="1098">
      <c r="A1098">
        <f>Skills!A14</f>
        <v/>
      </c>
      <c r="B1098">
        <f>Skills!B14</f>
        <v/>
      </c>
      <c r="C1098">
        <f>Inputs!$B$3&gt;=107</f>
        <v/>
      </c>
      <c r="D1098">
        <f>IF(Skills!C14=1,60+Inputs!$B$26+Inputs!$B$30,IF(Skills!C14=2,90+Inputs!$B$27+Inputs!$B$30,IF(Skills!C14=3,120+Inputs!$B$28+Inputs!$B$30,MAX(0,(Inputs!$B$3-100)*3)+Inputs!$B$29+Inputs!$B$30)))</f>
        <v/>
      </c>
      <c r="E1098">
        <f>INDEX(FactorTable!$B$2:$Y$301, MATCH(ROUND(MIN(300,MAX(1,D1098)),0), FactorTable!$A$2:$A$301,0), Skills!L14+1)</f>
        <v/>
      </c>
      <c r="F1098">
        <f>IF(Skills!M14=TRUE,(Skills!K14/10)*(E1098/1000),Skills!K14/10)+Skills!N14</f>
        <v/>
      </c>
      <c r="G1098">
        <f>Calc!G14</f>
        <v/>
      </c>
      <c r="H1098">
        <f>Calc!H14</f>
        <v/>
      </c>
      <c r="I1098">
        <f>IF(Skills!T14&lt;&gt;"",1+(Skills!T14/10)*($Z$3/1000)/100,1)</f>
        <v/>
      </c>
      <c r="J1098" t="inlineStr"/>
      <c r="K1098" t="inlineStr"/>
      <c r="L1098" t="inlineStr"/>
      <c r="M1098" t="inlineStr"/>
      <c r="N1098" t="inlineStr"/>
      <c r="O1098">
        <f>(1-Summary!$B$11)*S1098+Summary!$B$11*U1098</f>
        <v/>
      </c>
      <c r="P1098">
        <f>IF(B1126=0,0,O1098/B1126)</f>
        <v/>
      </c>
      <c r="Q1098">
        <f>IFERROR(1/(IF(Inputs!$B$39="pvp",15,MAX(0.1,Skills!D14-IF(Skills!E14=TRUE,Inputs!$B$33,0)))*(1-IF(AND(ArtifactsInput!$M$27,Inputs!$B$4="Chapter Hunt"),CHOOSE(ArtifactsInput!$N$27+1,20,24,28,32,36,40),0)/100)),0)</f>
        <v/>
      </c>
      <c r="R1098">
        <f>IF(AND(Inputs!$B$39&lt;&gt;"pvp",Inputs!$B$44&gt;0),IF(Inputs!$B$44&lt;=0,0,(INT(Inputs!$B$44/(IF(Inputs!$B$39="pvp",15,MAX(0.1,Skills!D14-IF(Skills!E14=TRUE,Inputs!$B$33,0)))*(1-IF(AND(ArtifactsInput!$M$27,Inputs!$B$4="Chapter Hunt"),CHOOSE(ArtifactsInput!$N$27+1,20,24,28,32,36,40),0)/100)))+1)),0)</f>
        <v/>
      </c>
      <c r="S1098" t="n">
        <v>0</v>
      </c>
      <c r="U1098" t="n">
        <v>0</v>
      </c>
    </row>
    <row r="1099">
      <c r="A1099">
        <f>Skills!A15</f>
        <v/>
      </c>
      <c r="B1099">
        <f>Skills!B15</f>
        <v/>
      </c>
      <c r="C1099">
        <f>Inputs!$B$3&gt;=63</f>
        <v/>
      </c>
      <c r="D1099">
        <f>IF(Skills!C15=1,60+Inputs!$B$26+Inputs!$B$30,IF(Skills!C15=2,90+Inputs!$B$27+Inputs!$B$30,IF(Skills!C15=3,120+Inputs!$B$28+Inputs!$B$30,MAX(0,(Inputs!$B$3-100)*3)+Inputs!$B$29+Inputs!$B$30)))</f>
        <v/>
      </c>
      <c r="E1099">
        <f>INDEX(FactorTable!$B$2:$Y$301, MATCH(ROUND(MIN(300,MAX(1,D1099)),0), FactorTable!$A$2:$A$301,0), Skills!L15+1)</f>
        <v/>
      </c>
      <c r="F1099">
        <f>IF(Skills!M15=TRUE,(Skills!K15/10)*(E1099/1000),Skills!K15/10)+Skills!N15</f>
        <v/>
      </c>
      <c r="G1099">
        <f>Calc!G15</f>
        <v/>
      </c>
      <c r="H1099">
        <f>Calc!H15</f>
        <v/>
      </c>
      <c r="I1099">
        <f>IF(Skills!T15&lt;&gt;"",1+(Skills!T15/10)*($Z$3/1000)/100,1)</f>
        <v/>
      </c>
      <c r="J1099">
        <f>((Inputs!$B$6*(1+(Inputs!$B$7+1)/100))+(((Inputs!$B$13*(1+Inputs!$B$14/100))-(Inputs!$B$13*(1+Inputs!$B$14/100)))+0.25*(Inputs!$B$15-Inputs!$B$15))*(1+(Inputs!$B$7+1)/100))*(F1099/100)</f>
        <v/>
      </c>
      <c r="K1099">
        <f>J1099*(1+(((Inputs!$B$13+IF(Inputs!$B$3&gt;=35,(10*INDEX(FactorTable!$B$2:$Y$301,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15="TRIUMPH_FEATHER",IF(C1100=TRUE,F1100,0),0)/100)*(1+IF(C1111=TRUE,F1111,0)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1099)</f>
        <v/>
      </c>
      <c r="L1099">
        <f>K1099*(MIN(Inputs!$B$23+(F1106-Calc!F22),(Inputs!$B$24+IF(ArtifactsInput!$M$15,CHOOSE(ArtifactsInput!$N$15+1,25,30,35,40,45,50)/100*(Inputs!$B$12-Inputs!$B$12),0)))/100+(Inputs!$B$24+IF(ArtifactsInput!$M$15,CHOOSE(ArtifactsInput!$N$15+1,25,30,35,40,45,50)/100*(Inputs!$B$12-Inputs!$B$12),0))/100)/2</f>
        <v/>
      </c>
      <c r="M1099">
        <f>L1099*(1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9">
        <f>L1099*(1-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1099*(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9">
        <f>(1-Summary!$B$11)*S1099+Summary!$B$11*U1099</f>
        <v/>
      </c>
      <c r="P1099">
        <f>IF(B1126=0,0,O1099/B1126)</f>
        <v/>
      </c>
      <c r="Q1099">
        <f>IFERROR(1/(IF(Inputs!$B$39="pvp",15,MAX(0.1,Skills!D15-IF(Skills!E15=TRUE,Inputs!$B$33,0)))*(1-IF(AND(ArtifactsInput!$M$27,Inputs!$B$4="Chapter Hunt"),CHOOSE(ArtifactsInput!$N$27+1,20,24,28,32,36,40),0)/100)),0)</f>
        <v/>
      </c>
      <c r="R1099" t="n">
        <v>0</v>
      </c>
      <c r="S1099">
        <f>IF(C1099,(Skills!F15*N1099*((IF(Inputs!$B$3&gt;=78,25,15)/100*B1119*10)/(1+IF(Inputs!$B$3&gt;=78,25,15)/100*B1119*10))*(Skills!I15/100*B1119)/(1+Skills!G15*Skills!I15/100*B1119))*IF(Inputs!$B$39="pvp",1,1+(Inputs!$B$21+Skills!O15+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1099*(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1099*(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9">
        <f>IF(C1099,(Skills!F15*N1099*((IF(Inputs!$B$3&gt;=78,25,15)/100*B1119*10)/(1+IF(Inputs!$B$3&gt;=78,25,15)/100*B1119*10))*(Skills!I15/100*B1119)/(1+Skills!G15*Skills!I15/100*B1119))*IF(Inputs!$B$39="pvp",1,(1+(Inputs!$B$22+Skills!P15+B1115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0">
      <c r="A1100">
        <f>Skills!A16</f>
        <v/>
      </c>
      <c r="B1100">
        <f>Skills!B16</f>
        <v/>
      </c>
      <c r="C1100">
        <f>Inputs!$B$3&gt;=100</f>
        <v/>
      </c>
      <c r="D1100">
        <f>IF(Skills!C16=1,60+Inputs!$B$26+Inputs!$B$30,IF(Skills!C16=2,90+Inputs!$B$27+Inputs!$B$30,IF(Skills!C16=3,120+Inputs!$B$28+Inputs!$B$30,MAX(0,(Inputs!$B$3-100)*3)+Inputs!$B$29+Inputs!$B$30)))</f>
        <v/>
      </c>
      <c r="E1100">
        <f>INDEX(FactorTable!$B$2:$Y$301, MATCH(ROUND(MIN(300,MAX(1,D1100)),0), FactorTable!$A$2:$A$301,0), Skills!L16+1)</f>
        <v/>
      </c>
      <c r="F1100">
        <f>IF(Skills!M16=TRUE,(Skills!K16/10)*(E1100/1000),Skills!K16/10)+Skills!N16</f>
        <v/>
      </c>
      <c r="G1100">
        <f>Calc!G16</f>
        <v/>
      </c>
      <c r="H1100">
        <f>Calc!H16</f>
        <v/>
      </c>
      <c r="I1100">
        <f>IF(Skills!T16&lt;&gt;"",1+(Skills!T16/10)*($Z$3/1000)/100,1)</f>
        <v/>
      </c>
      <c r="J1100" t="inlineStr"/>
      <c r="K1100" t="inlineStr"/>
      <c r="L1100" t="inlineStr"/>
      <c r="M1100" t="inlineStr"/>
      <c r="N1100" t="inlineStr"/>
      <c r="O1100">
        <f>(1-Summary!$B$11)*S1100+Summary!$B$11*U1100</f>
        <v/>
      </c>
      <c r="P1100">
        <f>IF(B1126=0,0,O1100/B1126)</f>
        <v/>
      </c>
      <c r="Q1100">
        <f>IFERROR(1/(IF(Inputs!$B$39="pvp",15,MAX(0.1,Skills!D16-IF(Skills!E16=TRUE,Inputs!$B$33,0)))*(1-IF(AND(ArtifactsInput!$M$27,Inputs!$B$4="Chapter Hunt"),CHOOSE(ArtifactsInput!$N$27+1,20,24,28,32,36,40),0)/100)),0)</f>
        <v/>
      </c>
      <c r="R1100" t="n">
        <v>0</v>
      </c>
      <c r="S1100" t="n">
        <v>0</v>
      </c>
      <c r="U1100" t="n">
        <v>0</v>
      </c>
    </row>
    <row r="1101">
      <c r="A1101">
        <f>Skills!A17</f>
        <v/>
      </c>
      <c r="B1101">
        <f>Skills!B17</f>
        <v/>
      </c>
      <c r="C1101">
        <f>Inputs!$B$3&gt;=49</f>
        <v/>
      </c>
      <c r="D1101">
        <f>IF(Skills!C17=1,60+Inputs!$B$26+Inputs!$B$30,IF(Skills!C17=2,90+Inputs!$B$27+Inputs!$B$30,IF(Skills!C17=3,120+Inputs!$B$28+Inputs!$B$30,MAX(0,(Inputs!$B$3-100)*3)+Inputs!$B$29+Inputs!$B$30)))</f>
        <v/>
      </c>
      <c r="E1101">
        <f>INDEX(FactorTable!$B$2:$Y$301, MATCH(ROUND(MIN(300,MAX(1,D1101)),0), FactorTable!$A$2:$A$301,0), Skills!L17+1)</f>
        <v/>
      </c>
      <c r="F1101">
        <f>IF(Skills!M17=TRUE,(Skills!K17/10)*(E1101/1000),Skills!K17/10)+Skills!N17</f>
        <v/>
      </c>
      <c r="G1101">
        <f>Calc!G17</f>
        <v/>
      </c>
      <c r="H1101">
        <f>Calc!H17</f>
        <v/>
      </c>
      <c r="I1101">
        <f>IF(Skills!T17&lt;&gt;"",1+(Skills!T17/10)*($Z$3/1000)/100,1)</f>
        <v/>
      </c>
      <c r="J1101" t="inlineStr"/>
      <c r="K1101" t="inlineStr"/>
      <c r="L1101" t="inlineStr"/>
      <c r="M1101" t="inlineStr"/>
      <c r="N1101" t="inlineStr"/>
      <c r="O1101">
        <f>(1-Summary!$B$11)*S1101+Summary!$B$11*U1101</f>
        <v/>
      </c>
      <c r="P1101">
        <f>IF(B1126=0,0,O1101/B1126)</f>
        <v/>
      </c>
      <c r="Q1101">
        <f>IFERROR(1/(IF(Inputs!$B$39="pvp",15,MAX(0.1,Skills!D17-IF(Skills!E17=TRUE,Inputs!$B$33,0)))*(1-IF(AND(ArtifactsInput!$M$27,Inputs!$B$4="Chapter Hunt"),CHOOSE(ArtifactsInput!$N$27+1,20,24,28,32,36,40),0)/100)),0)</f>
        <v/>
      </c>
      <c r="R1101" t="n">
        <v>0</v>
      </c>
      <c r="S1101" t="n">
        <v>0</v>
      </c>
      <c r="U1101" t="n">
        <v>0</v>
      </c>
    </row>
    <row r="1102">
      <c r="A1102">
        <f>Skills!A18</f>
        <v/>
      </c>
      <c r="B1102">
        <f>Skills!B18</f>
        <v/>
      </c>
      <c r="C1102">
        <f>Inputs!$B$3&gt;=75</f>
        <v/>
      </c>
      <c r="D1102">
        <f>IF(Skills!C18=1,60+Inputs!$B$26+Inputs!$B$30,IF(Skills!C18=2,90+Inputs!$B$27+Inputs!$B$30,IF(Skills!C18=3,120+Inputs!$B$28+Inputs!$B$30,MAX(0,(Inputs!$B$3-100)*3)+Inputs!$B$29+Inputs!$B$30)))</f>
        <v/>
      </c>
      <c r="E1102">
        <f>INDEX(FactorTable!$B$2:$Y$301, MATCH(ROUND(MIN(300,MAX(1,D1102)),0), FactorTable!$A$2:$A$301,0), Skills!L18+1)</f>
        <v/>
      </c>
      <c r="F1102">
        <f>IF(Skills!M18=TRUE,(Skills!K18/10)*(E1102/1000),Skills!K18/10)+Skills!N18</f>
        <v/>
      </c>
      <c r="G1102">
        <f>Calc!G18</f>
        <v/>
      </c>
      <c r="H1102">
        <f>Calc!H18</f>
        <v/>
      </c>
      <c r="I1102">
        <f>IF(Skills!T18&lt;&gt;"",1+(Skills!T18/10)*($Z$3/1000)/100,1)</f>
        <v/>
      </c>
      <c r="J1102" t="inlineStr"/>
      <c r="K1102" t="inlineStr"/>
      <c r="L1102" t="inlineStr"/>
      <c r="M1102" t="inlineStr"/>
      <c r="N1102" t="inlineStr"/>
      <c r="O1102">
        <f>(1-Summary!$B$11)*S1102+Summary!$B$11*U1102</f>
        <v/>
      </c>
      <c r="P1102">
        <f>IF(B1126=0,0,O1102/B1126)</f>
        <v/>
      </c>
      <c r="Q1102">
        <f>IFERROR(1/(IF(Inputs!$B$39="pvp",15,MAX(0.1,Skills!D18-IF(Skills!E18=TRUE,Inputs!$B$33,0)))*(1-IF(AND(ArtifactsInput!$M$27,Inputs!$B$4="Chapter Hunt"),CHOOSE(ArtifactsInput!$N$27+1,20,24,28,32,36,40),0)/100)),0)</f>
        <v/>
      </c>
      <c r="R1102" t="n">
        <v>0</v>
      </c>
      <c r="S1102" t="n">
        <v>0</v>
      </c>
      <c r="U1102" t="n">
        <v>0</v>
      </c>
    </row>
    <row r="1103">
      <c r="A1103">
        <f>Skills!A19</f>
        <v/>
      </c>
      <c r="B1103">
        <f>Skills!B19</f>
        <v/>
      </c>
      <c r="C1103">
        <f>Inputs!$B$3&gt;=110</f>
        <v/>
      </c>
      <c r="D1103">
        <f>IF(Skills!C19=1,60+Inputs!$B$26+Inputs!$B$30,IF(Skills!C19=2,90+Inputs!$B$27+Inputs!$B$30,IF(Skills!C19=3,120+Inputs!$B$28+Inputs!$B$30,MAX(0,(Inputs!$B$3-100)*3)+Inputs!$B$29+Inputs!$B$30)))</f>
        <v/>
      </c>
      <c r="E1103">
        <f>INDEX(FactorTable!$B$2:$Y$301, MATCH(ROUND(MIN(300,MAX(1,D1103)),0), FactorTable!$A$2:$A$301,0), Skills!L19+1)</f>
        <v/>
      </c>
      <c r="F1103">
        <f>(Skills!K19/10)*(E1103/1000)*64/45+Skills!N19</f>
        <v/>
      </c>
      <c r="G1103">
        <f>Calc!G19</f>
        <v/>
      </c>
      <c r="H1103">
        <f>Calc!H19</f>
        <v/>
      </c>
      <c r="I1103">
        <f>IF(Skills!T19&lt;&gt;"",1+(Skills!T19/10)*($Z$3/1000)/100,1)</f>
        <v/>
      </c>
      <c r="J1103" t="inlineStr"/>
      <c r="K1103" t="inlineStr"/>
      <c r="L1103" t="inlineStr"/>
      <c r="M1103" t="inlineStr"/>
      <c r="N1103" t="inlineStr"/>
      <c r="O1103">
        <f>(1-Summary!$B$11)*S1103+Summary!$B$11*U1103</f>
        <v/>
      </c>
      <c r="P1103">
        <f>IF(B1126=0,0,O1103/B1126)</f>
        <v/>
      </c>
      <c r="Q1103">
        <f>IFERROR(1/(IF(Inputs!$B$39="pvp",15,MAX(0.1,Skills!D19-IF(Skills!E19=TRUE,Inputs!$B$33,0)))*(1-IF(AND(ArtifactsInput!$M$27,Inputs!$B$4="Chapter Hunt"),CHOOSE(ArtifactsInput!$N$27+1,20,24,28,32,36,40),0)/100)),0)</f>
        <v/>
      </c>
      <c r="R1103">
        <f>IF(AND(Inputs!$B$39&lt;&gt;"pvp",Inputs!$B$44&gt;0),IF(Inputs!$B$44&lt;=0,0,(INT(Inputs!$B$44/(IF(Inputs!$B$39="pvp",15,MAX(0.1,Skills!D19-IF(Skills!E19=TRUE,Inputs!$B$33,0)))*(1-IF(AND(ArtifactsInput!$M$27,Inputs!$B$4="Chapter Hunt"),CHOOSE(ArtifactsInput!$N$27+1,20,24,28,32,36,40),0)/100)))+1)),0)</f>
        <v/>
      </c>
      <c r="S1103" t="n">
        <v>0</v>
      </c>
      <c r="U1103" t="n">
        <v>0</v>
      </c>
    </row>
    <row r="1104">
      <c r="A1104">
        <f>Skills!A20</f>
        <v/>
      </c>
      <c r="B1104">
        <f>Skills!B20</f>
        <v/>
      </c>
      <c r="C1104">
        <f>Inputs!$B$3&gt;=125</f>
        <v/>
      </c>
      <c r="D1104">
        <f>IF(Skills!C20=1,60+Inputs!$B$26+Inputs!$B$30,IF(Skills!C20=2,90+Inputs!$B$27+Inputs!$B$30,IF(Skills!C20=3,120+Inputs!$B$28+Inputs!$B$30,MAX(0,(Inputs!$B$3-100)*3)+Inputs!$B$29+Inputs!$B$30)))</f>
        <v/>
      </c>
      <c r="E1104">
        <f>INDEX(FactorTable!$B$2:$Y$301, MATCH(ROUND(MIN(300,MAX(1,D1104)),0), FactorTable!$A$2:$A$301,0), Skills!L20+1)</f>
        <v/>
      </c>
      <c r="F1104">
        <f>IF(Skills!M20=TRUE,(Skills!K20/10)*(E1104/1000),Skills!K20/10)+Skills!N20</f>
        <v/>
      </c>
      <c r="G1104">
        <f>Calc!G20</f>
        <v/>
      </c>
      <c r="H1104">
        <f>Calc!H20</f>
        <v/>
      </c>
      <c r="I1104">
        <f>IF(Skills!T20&lt;&gt;"",1+(Skills!T20/10)*($Z$3/1000)/100,1)</f>
        <v/>
      </c>
      <c r="J1104" t="inlineStr"/>
      <c r="K1104" t="inlineStr"/>
      <c r="L1104" t="inlineStr"/>
      <c r="M1104" t="inlineStr"/>
      <c r="N1104" t="inlineStr"/>
      <c r="O1104">
        <f>(1-Summary!$B$11)*S1104+Summary!$B$11*U1104</f>
        <v/>
      </c>
      <c r="P1104">
        <f>IF(B1126=0,0,O1104/B1126)</f>
        <v/>
      </c>
      <c r="Q1104">
        <f>IFERROR(1/(IF(Inputs!$B$39="pvp",15,MAX(0.1,Skills!D20-IF(Skills!E20=TRUE,Inputs!$B$33,0)))*(1-IF(AND(ArtifactsInput!$M$27,Inputs!$B$4="Chapter Hunt"),CHOOSE(ArtifactsInput!$N$27+1,20,24,28,32,36,40),0)/100)),0)</f>
        <v/>
      </c>
      <c r="R1104" t="n">
        <v>0</v>
      </c>
      <c r="S1104" t="n">
        <v>0</v>
      </c>
      <c r="U1104" t="n">
        <v>0</v>
      </c>
    </row>
    <row r="1105">
      <c r="A1105">
        <f>Skills!A21</f>
        <v/>
      </c>
      <c r="B1105">
        <f>Skills!B21</f>
        <v/>
      </c>
      <c r="C1105">
        <f>Inputs!$B$3&gt;=33</f>
        <v/>
      </c>
      <c r="D1105">
        <f>IF(Skills!C21=1,60+Inputs!$B$26+Inputs!$B$30,IF(Skills!C21=2,90+Inputs!$B$27+Inputs!$B$30,IF(Skills!C21=3,120+Inputs!$B$28+Inputs!$B$30,MAX(0,(Inputs!$B$3-100)*3)+Inputs!$B$29+Inputs!$B$30)))</f>
        <v/>
      </c>
      <c r="E1105">
        <f>INDEX(FactorTable!$B$2:$Y$301, MATCH(ROUND(MIN(300,MAX(1,D1105)),0), FactorTable!$A$2:$A$301,0), Skills!L21+1)</f>
        <v/>
      </c>
      <c r="F1105">
        <f>IF(Skills!M21=TRUE,(Skills!K21/10)*(E1105/1000),Skills!K21/10)+Skills!N21</f>
        <v/>
      </c>
      <c r="G1105">
        <f>Calc!G21</f>
        <v/>
      </c>
      <c r="H1105">
        <f>Calc!H21</f>
        <v/>
      </c>
      <c r="I1105">
        <f>IF(Skills!T21&lt;&gt;"",1+(Skills!T21/10)*($Z$3/1000)/100,1)</f>
        <v/>
      </c>
      <c r="J1105" t="inlineStr"/>
      <c r="K1105" t="inlineStr"/>
      <c r="L1105" t="inlineStr"/>
      <c r="M1105" t="inlineStr"/>
      <c r="N1105" t="inlineStr"/>
      <c r="O1105">
        <f>(1-Summary!$B$11)*S1105+Summary!$B$11*U1105</f>
        <v/>
      </c>
      <c r="P1105">
        <f>IF(B1126=0,0,O1105/B1126)</f>
        <v/>
      </c>
      <c r="Q1105">
        <f>IFERROR(1/(IF(Inputs!$B$39="pvp",15,MAX(0.1,Skills!D21-IF(Skills!E21=TRUE,Inputs!$B$33,0)))*(1-IF(AND(ArtifactsInput!$M$27,Inputs!$B$4="Chapter Hunt"),CHOOSE(ArtifactsInput!$N$27+1,20,24,28,32,36,40),0)/100)),0)</f>
        <v/>
      </c>
      <c r="R1105" t="n">
        <v>0</v>
      </c>
      <c r="S1105" t="n">
        <v>0</v>
      </c>
      <c r="U1105" t="n">
        <v>0</v>
      </c>
    </row>
    <row r="1106">
      <c r="A1106">
        <f>Skills!A22</f>
        <v/>
      </c>
      <c r="B1106">
        <f>Skills!B22</f>
        <v/>
      </c>
      <c r="C1106">
        <f>Inputs!$B$3&gt;=43</f>
        <v/>
      </c>
      <c r="D1106">
        <f>IF(Skills!C22=1,60+Inputs!$B$26+Inputs!$B$30,IF(Skills!C22=2,90+Inputs!$B$27+Inputs!$B$30,IF(Skills!C22=3,120+Inputs!$B$28+Inputs!$B$30,MAX(0,(Inputs!$B$3-100)*3)+Inputs!$B$29+Inputs!$B$30)))</f>
        <v/>
      </c>
      <c r="E1106">
        <f>INDEX(FactorTable!$B$2:$Y$301, MATCH(ROUND(MIN(300,MAX(1,D1106)),0), FactorTable!$A$2:$A$301,0), Skills!L22+1)</f>
        <v/>
      </c>
      <c r="F1106">
        <f>IF(Skills!M22=TRUE,(Skills!K22/10)*(E1106/1000),Skills!K22/10)+Skills!N22</f>
        <v/>
      </c>
      <c r="G1106">
        <f>Calc!G22</f>
        <v/>
      </c>
      <c r="H1106">
        <f>Calc!H22</f>
        <v/>
      </c>
      <c r="I1106">
        <f>IF(Skills!T22&lt;&gt;"",1+(Skills!T22/10)*($Z$3/1000)/100,1)</f>
        <v/>
      </c>
      <c r="J1106" t="inlineStr"/>
      <c r="K1106" t="inlineStr"/>
      <c r="L1106" t="inlineStr"/>
      <c r="M1106" t="inlineStr"/>
      <c r="N1106" t="inlineStr"/>
      <c r="O1106">
        <f>(1-Summary!$B$11)*S1106+Summary!$B$11*U1106</f>
        <v/>
      </c>
      <c r="P1106">
        <f>IF(B1126=0,0,O1106/B1126)</f>
        <v/>
      </c>
      <c r="Q1106">
        <f>IFERROR(1/(IF(Inputs!$B$39="pvp",15,MAX(0.1,Skills!D22-IF(Skills!E22=TRUE,Inputs!$B$33,0)))*(1-IF(AND(ArtifactsInput!$M$27,Inputs!$B$4="Chapter Hunt"),CHOOSE(ArtifactsInput!$N$27+1,20,24,28,32,36,40),0)/100)),0)</f>
        <v/>
      </c>
      <c r="R1106" t="n">
        <v>0</v>
      </c>
      <c r="S1106" t="n">
        <v>0</v>
      </c>
      <c r="U1106" t="n">
        <v>0</v>
      </c>
    </row>
    <row r="1107">
      <c r="A1107">
        <f>Skills!A23</f>
        <v/>
      </c>
      <c r="B1107">
        <f>Skills!B23</f>
        <v/>
      </c>
      <c r="C1107">
        <f>Inputs!$B$3&gt;=50</f>
        <v/>
      </c>
      <c r="D1107">
        <f>IF(Skills!C23=1,60+Inputs!$B$26+Inputs!$B$30,IF(Skills!C23=2,90+Inputs!$B$27+Inputs!$B$30,IF(Skills!C23=3,120+Inputs!$B$28+Inputs!$B$30,MAX(0,(Inputs!$B$3-100)*3)+Inputs!$B$29+Inputs!$B$30)))</f>
        <v/>
      </c>
      <c r="E1107">
        <f>INDEX(FactorTable!$B$2:$Y$301, MATCH(ROUND(MIN(300,MAX(1,D1107)),0), FactorTable!$A$2:$A$301,0), Skills!L23+1)</f>
        <v/>
      </c>
      <c r="F1107">
        <f>IF(Skills!M23=TRUE,(Skills!K23/10)*(E1107/1000),Skills!K23/10)+Skills!N23</f>
        <v/>
      </c>
      <c r="G1107">
        <f>Calc!G23</f>
        <v/>
      </c>
      <c r="H1107">
        <f>Calc!H23</f>
        <v/>
      </c>
      <c r="I1107">
        <f>IF(Skills!T23&lt;&gt;"",1+(Skills!T23/10)*($Z$3/1000)/100,1)</f>
        <v/>
      </c>
      <c r="J1107" t="inlineStr"/>
      <c r="K1107" t="inlineStr"/>
      <c r="L1107" t="inlineStr"/>
      <c r="M1107" t="inlineStr"/>
      <c r="N1107" t="inlineStr"/>
      <c r="O1107">
        <f>(1-Summary!$B$11)*S1107+Summary!$B$11*U1107</f>
        <v/>
      </c>
      <c r="P1107">
        <f>IF(B1126=0,0,O1107/B1126)</f>
        <v/>
      </c>
      <c r="Q1107">
        <f>IFERROR(1/(IF(Inputs!$B$39="pvp",15,MAX(0.1,Skills!D23-IF(Skills!E23=TRUE,Inputs!$B$33,0)))*(1-IF(AND(ArtifactsInput!$M$27,Inputs!$B$4="Chapter Hunt"),CHOOSE(ArtifactsInput!$N$27+1,20,24,28,32,36,40),0)/100)),0)</f>
        <v/>
      </c>
      <c r="R1107" t="n">
        <v>0</v>
      </c>
      <c r="S1107" t="n">
        <v>0</v>
      </c>
      <c r="U1107" t="n">
        <v>0</v>
      </c>
    </row>
    <row r="1108">
      <c r="A1108">
        <f>Skills!A24</f>
        <v/>
      </c>
      <c r="B1108">
        <f>Skills!B24</f>
        <v/>
      </c>
      <c r="C1108">
        <f>Inputs!$B$3&gt;=74</f>
        <v/>
      </c>
      <c r="D1108">
        <f>IF(Skills!C24=1,60+Inputs!$B$26+Inputs!$B$30,IF(Skills!C24=2,90+Inputs!$B$27+Inputs!$B$30,IF(Skills!C24=3,120+Inputs!$B$28+Inputs!$B$30,MAX(0,(Inputs!$B$3-100)*3)+Inputs!$B$29+Inputs!$B$30)))</f>
        <v/>
      </c>
      <c r="E1108">
        <f>INDEX(FactorTable!$B$2:$Y$301, MATCH(ROUND(MIN(300,MAX(1,D1108)),0), FactorTable!$A$2:$A$301,0), Skills!L24+1)</f>
        <v/>
      </c>
      <c r="F1108">
        <f>IF(Skills!M24=TRUE,(Skills!K24/10)*(E1108/1000),Skills!K24/10)+Skills!N24</f>
        <v/>
      </c>
      <c r="G1108">
        <f>Calc!G24</f>
        <v/>
      </c>
      <c r="H1108">
        <f>Calc!H24</f>
        <v/>
      </c>
      <c r="I1108">
        <f>IF(Skills!T24&lt;&gt;"",1+(Skills!T24/10)*($Z$3/1000)/100,1)</f>
        <v/>
      </c>
      <c r="J1108" t="inlineStr"/>
      <c r="K1108" t="inlineStr"/>
      <c r="L1108" t="inlineStr"/>
      <c r="M1108" t="inlineStr"/>
      <c r="N1108" t="inlineStr"/>
      <c r="O1108">
        <f>(1-Summary!$B$11)*S1108+Summary!$B$11*U1108</f>
        <v/>
      </c>
      <c r="P1108">
        <f>IF(B1126=0,0,O1108/B1126)</f>
        <v/>
      </c>
      <c r="Q1108">
        <f>IFERROR(1/(IF(Inputs!$B$39="pvp",15,MAX(0.1,Skills!D24-IF(Skills!E24=TRUE,Inputs!$B$33,0)))*(1-IF(AND(ArtifactsInput!$M$27,Inputs!$B$4="Chapter Hunt"),CHOOSE(ArtifactsInput!$N$27+1,20,24,28,32,36,40),0)/100)),0)</f>
        <v/>
      </c>
      <c r="R1108" t="n">
        <v>0</v>
      </c>
      <c r="S1108" t="n">
        <v>0</v>
      </c>
      <c r="U1108" t="n">
        <v>0</v>
      </c>
    </row>
    <row r="1109">
      <c r="A1109">
        <f>Skills!A25</f>
        <v/>
      </c>
      <c r="B1109">
        <f>Skills!B25</f>
        <v/>
      </c>
      <c r="C1109">
        <f>Inputs!$B$3&gt;=74</f>
        <v/>
      </c>
      <c r="D1109">
        <f>IF(Skills!C25=1,60+Inputs!$B$26+Inputs!$B$30,IF(Skills!C25=2,90+Inputs!$B$27+Inputs!$B$30,IF(Skills!C25=3,120+Inputs!$B$28+Inputs!$B$30,MAX(0,(Inputs!$B$3-100)*3)+Inputs!$B$29+Inputs!$B$30)))</f>
        <v/>
      </c>
      <c r="E1109">
        <f>INDEX(FactorTable!$B$2:$Y$301, MATCH(ROUND(MIN(300,MAX(1,D1109)),0), FactorTable!$A$2:$A$301,0), Skills!L25+1)</f>
        <v/>
      </c>
      <c r="F1109">
        <f>IF(Skills!M25=TRUE,(Skills!K25/10)*(E1109/1000),Skills!K25/10)+Skills!N25</f>
        <v/>
      </c>
      <c r="G1109">
        <f>Calc!G25</f>
        <v/>
      </c>
      <c r="H1109">
        <f>Calc!H25</f>
        <v/>
      </c>
      <c r="I1109">
        <f>IF(Skills!T25&lt;&gt;"",1+(Skills!T25/10)*($Z$3/1000)/100,1)</f>
        <v/>
      </c>
      <c r="J1109" t="inlineStr"/>
      <c r="K1109" t="inlineStr"/>
      <c r="L1109" t="inlineStr"/>
      <c r="M1109" t="inlineStr"/>
      <c r="N1109" t="inlineStr"/>
      <c r="O1109">
        <f>(1-Summary!$B$11)*S1109+Summary!$B$11*U1109</f>
        <v/>
      </c>
      <c r="P1109">
        <f>IF(B1126=0,0,O1109/B1126)</f>
        <v/>
      </c>
      <c r="Q1109">
        <f>IFERROR(1/(IF(Inputs!$B$39="pvp",15,MAX(0.1,Skills!D25-IF(Skills!E25=TRUE,Inputs!$B$33,0)))*(1-IF(AND(ArtifactsInput!$M$27,Inputs!$B$4="Chapter Hunt"),CHOOSE(ArtifactsInput!$N$27+1,20,24,28,32,36,40),0)/100)),0)</f>
        <v/>
      </c>
      <c r="R1109" t="n">
        <v>0</v>
      </c>
      <c r="S1109" t="n">
        <v>0</v>
      </c>
      <c r="U1109" t="n">
        <v>0</v>
      </c>
    </row>
    <row r="1110">
      <c r="A1110">
        <f>Skills!A26</f>
        <v/>
      </c>
      <c r="B1110">
        <f>Skills!B26</f>
        <v/>
      </c>
      <c r="C1110">
        <f>Inputs!$B$3&gt;=117</f>
        <v/>
      </c>
      <c r="D1110">
        <f>IF(Skills!C26=1,60+Inputs!$B$26+Inputs!$B$30,IF(Skills!C26=2,90+Inputs!$B$27+Inputs!$B$30,IF(Skills!C26=3,120+Inputs!$B$28+Inputs!$B$30,MAX(0,(Inputs!$B$3-100)*3)+Inputs!$B$29+Inputs!$B$30)))</f>
        <v/>
      </c>
      <c r="E1110">
        <f>INDEX(FactorTable!$B$2:$Y$301, MATCH(ROUND(MIN(300,MAX(1,D1110)),0), FactorTable!$A$2:$A$301,0), Skills!L26+1)</f>
        <v/>
      </c>
      <c r="F1110">
        <f>IF(Skills!M26=TRUE,(Skills!K26/10)*(E1110/1000),Skills!K26/10)+Skills!N26</f>
        <v/>
      </c>
      <c r="G1110">
        <f>Calc!G26</f>
        <v/>
      </c>
      <c r="H1110">
        <f>Calc!H26</f>
        <v/>
      </c>
      <c r="I1110">
        <f>IF(Skills!T26&lt;&gt;"",1+(Skills!T26/10)*($Z$3/1000)/100,1)</f>
        <v/>
      </c>
      <c r="J1110" t="inlineStr"/>
      <c r="K1110" t="inlineStr"/>
      <c r="L1110" t="inlineStr"/>
      <c r="M1110" t="inlineStr"/>
      <c r="N1110" t="inlineStr"/>
      <c r="O1110">
        <f>(1-Summary!$B$11)*S1110+Summary!$B$11*U1110</f>
        <v/>
      </c>
      <c r="P1110">
        <f>IF(B1126=0,0,O1110/B1126)</f>
        <v/>
      </c>
      <c r="Q1110">
        <f>IFERROR(1/(IF(Inputs!$B$39="pvp",15,MAX(0.1,Skills!D26-IF(Skills!E26=TRUE,Inputs!$B$33,0)))*(1-IF(AND(ArtifactsInput!$M$27,Inputs!$B$4="Chapter Hunt"),CHOOSE(ArtifactsInput!$N$27+1,20,24,28,32,36,40),0)/100)),0)</f>
        <v/>
      </c>
      <c r="R1110" t="n">
        <v>0</v>
      </c>
      <c r="S1110" t="n">
        <v>0</v>
      </c>
      <c r="U1110" t="n">
        <v>0</v>
      </c>
    </row>
    <row r="1111">
      <c r="A1111">
        <f>Skills!A27</f>
        <v/>
      </c>
      <c r="B1111">
        <f>Skills!B27</f>
        <v/>
      </c>
      <c r="C1111">
        <f>Inputs!$B$3&gt;=120</f>
        <v/>
      </c>
      <c r="D1111">
        <f>IF(Skills!C27=1,60+Inputs!$B$26+Inputs!$B$30,IF(Skills!C27=2,90+Inputs!$B$27+Inputs!$B$30,IF(Skills!C27=3,120+Inputs!$B$28+Inputs!$B$30,MAX(0,(Inputs!$B$3-100)*3)+Inputs!$B$29+Inputs!$B$30)))</f>
        <v/>
      </c>
      <c r="E1111">
        <f>INDEX(FactorTable!$B$2:$Y$301, MATCH(ROUND(MIN(300,MAX(1,D1111)),0), FactorTable!$A$2:$A$301,0), Skills!L27+1)</f>
        <v/>
      </c>
      <c r="F1111">
        <f>IF(Skills!M27=TRUE,(Skills!K27/10)*(E1111/1000),Skills!K27/10)+Skills!N27</f>
        <v/>
      </c>
      <c r="G1111">
        <f>Calc!G27</f>
        <v/>
      </c>
      <c r="H1111">
        <f>Calc!H27</f>
        <v/>
      </c>
      <c r="I1111">
        <f>IF(Skills!T27&lt;&gt;"",1+(Skills!T27/10)*($Z$3/1000)/100,1)</f>
        <v/>
      </c>
      <c r="J1111" t="inlineStr"/>
      <c r="K1111" t="inlineStr"/>
      <c r="L1111" t="inlineStr"/>
      <c r="M1111" t="inlineStr"/>
      <c r="N1111" t="inlineStr"/>
      <c r="O1111">
        <f>(1-Summary!$B$11)*S1111+Summary!$B$11*U1111</f>
        <v/>
      </c>
      <c r="P1111">
        <f>IF(B1126=0,0,O1111/B1126)</f>
        <v/>
      </c>
      <c r="Q1111">
        <f>IFERROR(1/(IF(Inputs!$B$39="pvp",15,MAX(0.1,Skills!D27-IF(Skills!E27=TRUE,Inputs!$B$33,0)))*(1-IF(AND(ArtifactsInput!$M$27,Inputs!$B$4="Chapter Hunt"),CHOOSE(ArtifactsInput!$N$27+1,20,24,28,32,36,40),0)/100)),0)</f>
        <v/>
      </c>
      <c r="R1111" t="n">
        <v>0</v>
      </c>
      <c r="S1111" t="n">
        <v>0</v>
      </c>
      <c r="U1111" t="n">
        <v>0</v>
      </c>
    </row>
    <row r="1113">
      <c r="A1113" t="inlineStr">
        <is>
          <t>Average Buff Multiplier</t>
        </is>
      </c>
      <c r="B1113">
        <f>(1+(IF(C1087=TRUE,F1087*IF(AND(Inputs!$B$39&lt;&gt;"pvp",Inputs!$B$44&gt;0),(((R1087-1)*(Skills!S3*(1+((Inputs!$B$35+(ArtifactsInput!$M$7-ArtifactsInput!$M$7)*CHOOSE(ArtifactsInput!$N$7+1,6,7.2,8.4,9.6,10.8,12))+IF(Inputs!$B$3&gt;=117,F1110,0))/100))+MIN((Skills!S3*(1+((Inputs!$B$35+(ArtifactsInput!$M$7-ArtifactsInput!$M$7)*CHOOSE(ArtifactsInput!$N$7+1,6,7.2,8.4,9.6,10.8,12))+IF(Inputs!$B$3&gt;=117,F1110,0))/100)),MAX(0,Inputs!$B$44-((R1087-1)*Skills!D3))))/Inputs!$B$44),IF(Inputs!$B$39="pvp",MIN((Skills!S3*(1+((Inputs!$B$35+(ArtifactsInput!$M$7-ArtifactsInput!$M$7)*CHOOSE(ArtifactsInput!$N$7+1,6,7.2,8.4,9.6,10.8,12))+IF(Inputs!$B$3&gt;=117,F1110,0))/100)),15)/15,(Skills!S3*(1+((Inputs!$B$35+(ArtifactsInput!$M$7-ArtifactsInput!$M$7)*CHOOSE(ArtifactsInput!$N$7+1,6,7.2,8.4,9.6,10.8,12))+IF(Inputs!$B$3&gt;=117,F1110,0))/100))/Skills!D3)),0)+IF(C1088=TRUE,F1088*IF(AND(Inputs!$B$39&lt;&gt;"pvp",Inputs!$B$44&gt;0),(((R1088-1)*(Skills!S4*(1+((Inputs!$B$35+(ArtifactsInput!$M$7-ArtifactsInput!$M$7)*CHOOSE(ArtifactsInput!$N$7+1,6,7.2,8.4,9.6,10.8,12))+IF(Inputs!$B$3&gt;=117,F1110,0))/100))+MIN((Skills!S4*(1+((Inputs!$B$35+(ArtifactsInput!$M$7-ArtifactsInput!$M$7)*CHOOSE(ArtifactsInput!$N$7+1,6,7.2,8.4,9.6,10.8,12))+IF(Inputs!$B$3&gt;=117,F1110,0))/100)),MAX(0,Inputs!$B$44-((R1088-1)*Skills!D4))))/Inputs!$B$44),IF(Inputs!$B$39="pvp",MIN((Skills!S4*(1+((Inputs!$B$35+(ArtifactsInput!$M$7-ArtifactsInput!$M$7)*CHOOSE(ArtifactsInput!$N$7+1,6,7.2,8.4,9.6,10.8,12))+IF(Inputs!$B$3&gt;=117,F1110,0))/100)),15)/15,(Skills!S4*(1+((Inputs!$B$35+(ArtifactsInput!$M$7-ArtifactsInput!$M$7)*CHOOSE(ArtifactsInput!$N$7+1,6,7.2,8.4,9.6,10.8,12))+IF(Inputs!$B$3&gt;=117,F1110,0))/100))/Skills!D4)),0)+IF(C1089=TRUE,F1089*IF(AND(Inputs!$B$39&lt;&gt;"pvp",Inputs!$B$44&gt;0),(((R1089-1)*(Skills!S5*(1+((Inputs!$B$35+(ArtifactsInput!$M$7-ArtifactsInput!$M$7)*CHOOSE(ArtifactsInput!$N$7+1,6,7.2,8.4,9.6,10.8,12))+IF(Inputs!$B$3&gt;=117,F1110,0))/100))+MIN((Skills!S5*(1+((Inputs!$B$35+(ArtifactsInput!$M$7-ArtifactsInput!$M$7)*CHOOSE(ArtifactsInput!$N$7+1,6,7.2,8.4,9.6,10.8,12))+IF(Inputs!$B$3&gt;=117,F1110,0))/100)),MAX(0,Inputs!$B$44-((R1089-1)*Skills!D5))))/Inputs!$B$44),IF(Inputs!$B$39="pvp",MIN((Skills!S5*(1+((Inputs!$B$35+(ArtifactsInput!$M$7-ArtifactsInput!$M$7)*CHOOSE(ArtifactsInput!$N$7+1,6,7.2,8.4,9.6,10.8,12))+IF(Inputs!$B$3&gt;=117,F1110,0))/100)),15)/15,(Skills!S5*(1+((Inputs!$B$35+(ArtifactsInput!$M$7-ArtifactsInput!$M$7)*CHOOSE(ArtifactsInput!$N$7+1,6,7.2,8.4,9.6,10.8,12))+IF(Inputs!$B$3&gt;=117,F1110,0))/100))/Skills!D5)),0)+IF(C1095=TRUE,F1095*IF(AND(Inputs!$B$39&lt;&gt;"pvp",Inputs!$B$44&gt;0),(((R1095-1)*(Skills!S11*(1+((Inputs!$B$35+(ArtifactsInput!$M$7-ArtifactsInput!$M$7)*CHOOSE(ArtifactsInput!$N$7+1,6,7.2,8.4,9.6,10.8,12))+IF(Inputs!$B$3&gt;=117,F1110,0))/100))+MIN((Skills!S11*(1+((Inputs!$B$35+(ArtifactsInput!$M$7-ArtifactsInput!$M$7)*CHOOSE(ArtifactsInput!$N$7+1,6,7.2,8.4,9.6,10.8,12))+IF(Inputs!$B$3&gt;=117,F1110,0))/100)),MAX(0,Inputs!$B$44-((R1095-1)*Skills!D11))))/Inputs!$B$44),IF(Inputs!$B$39="pvp",MIN((Skills!S11*(1+((Inputs!$B$35+(ArtifactsInput!$M$7-ArtifactsInput!$M$7)*CHOOSE(ArtifactsInput!$N$7+1,6,7.2,8.4,9.6,10.8,12))+IF(Inputs!$B$3&gt;=117,F1110,0))/100)),15)/15,(Skills!S11*(1+((Inputs!$B$35+(ArtifactsInput!$M$7-ArtifactsInput!$M$7)*CHOOSE(ArtifactsInput!$N$7+1,6,7.2,8.4,9.6,10.8,12))+IF(Inputs!$B$3&gt;=117,F1110,0)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1098=TRUE,(1+F1098*IF(AND(Inputs!$B$39&lt;&gt;"pvp",Inputs!$B$44&gt;0),(((R1098-1)*(Skills!S14*(1+((Inputs!$B$35+(ArtifactsInput!$M$7-ArtifactsInput!$M$7)*CHOOSE(ArtifactsInput!$N$7+1,6,7.2,8.4,9.6,10.8,12))+IF(Inputs!$B$3&gt;=117,F1110,0))/100))+MIN((Skills!S14*(1+((Inputs!$B$35+(ArtifactsInput!$M$7-ArtifactsInput!$M$7)*CHOOSE(ArtifactsInput!$N$7+1,6,7.2,8.4,9.6,10.8,12))+IF(Inputs!$B$3&gt;=117,F1110,0))/100)),MAX(0,Inputs!$B$44-((R1098-1)*Skills!D14))))/Inputs!$B$44),IF(Inputs!$B$39="pvp",MIN((Skills!S14*(1+((Inputs!$B$35+(ArtifactsInput!$M$7-ArtifactsInput!$M$7)*CHOOSE(ArtifactsInput!$N$7+1,6,7.2,8.4,9.6,10.8,12))+IF(Inputs!$B$3&gt;=117,F1110,0))/100)),15)/15,(Skills!S14*(1+((Inputs!$B$35+(ArtifactsInput!$M$7-ArtifactsInput!$M$7)*CHOOSE(ArtifactsInput!$N$7+1,6,7.2,8.4,9.6,10.8,12))+IF(Inputs!$B$3&gt;=117,F1110,0))/100))/Skills!D14))/100),1)*IF(C1103=TRUE,(1+F1103*IF(AND(Inputs!$B$39&lt;&gt;"pvp",Inputs!$B$44&gt;0),(((R1103-1)*(Skills!S19*(1+((Inputs!$B$35+(ArtifactsInput!$M$7-ArtifactsInput!$M$7)*CHOOSE(ArtifactsInput!$N$7+1,6,7.2,8.4,9.6,10.8,12))+IF(Inputs!$B$3&gt;=117,F1110,0))/100))+MIN((Skills!S19*(1+((Inputs!$B$35+(ArtifactsInput!$M$7-ArtifactsInput!$M$7)*CHOOSE(ArtifactsInput!$N$7+1,6,7.2,8.4,9.6,10.8,12))+IF(Inputs!$B$3&gt;=117,F1110,0))/100)),MAX(0,Inputs!$B$44-((R1103-1)*Skills!D19))))/Inputs!$B$44),IF(Inputs!$B$39="pvp",MIN((Skills!S19*(1+((Inputs!$B$35+(ArtifactsInput!$M$7-ArtifactsInput!$M$7)*CHOOSE(ArtifactsInput!$N$7+1,6,7.2,8.4,9.6,10.8,12))+IF(Inputs!$B$3&gt;=117,F1110,0))/100)),15)/15,(Skills!S19*(1+((Inputs!$B$35+(ArtifactsInput!$M$7-ArtifactsInput!$M$7)*CHOOSE(ArtifactsInput!$N$7+1,6,7.2,8.4,9.6,10.8,12))+IF(Inputs!$B$3&gt;=117,F1110,0))/100))/Skills!D19))/100),1)</f>
        <v/>
      </c>
    </row>
    <row r="1114">
      <c r="A1114" t="inlineStr">
        <is>
          <t>Monster Damage Taken Bonus % (Holy Fountain)</t>
        </is>
      </c>
      <c r="B1114">
        <f>IF(Inputs!$B$3&gt;=68,20*IF(Inputs!$B$39="pvp",MIN((15*(1+((Inputs!$B$35+(ArtifactsInput!$M$7-ArtifactsInput!$M$7)*CHOOSE(ArtifactsInput!$N$7+1,6,7.2,8.4,9.6,10.8,12))+IF(Inputs!$B$3&gt;=117,F1110,0))/100)),15)/15,(15*(1+((Inputs!$B$35+(ArtifactsInput!$M$7-ArtifactsInput!$M$7)*CHOOSE(ArtifactsInput!$N$7+1,6,7.2,8.4,9.6,10.8,12))+IF(Inputs!$B$3&gt;=117,F1110,0))/100))/Skills!D10),0)</f>
        <v/>
      </c>
    </row>
    <row r="1115">
      <c r="A1115" t="inlineStr">
        <is>
          <t>Normal Monster Damage Bonus % (Holy Symbol)</t>
        </is>
      </c>
      <c r="B1115">
        <f>IF(C1096=TRUE,F1096*IF(AND(Inputs!$B$39&lt;&gt;"pvp",Inputs!$B$44&gt;0),(((R1096-1)*(Skills!S12*(1+((Inputs!$B$35+(ArtifactsInput!$M$7-ArtifactsInput!$M$7)*CHOOSE(ArtifactsInput!$N$7+1,6,7.2,8.4,9.6,10.8,12))+IF(Inputs!$B$3&gt;=117,F1110,0))/100))+MIN((Skills!S12*(1+((Inputs!$B$35+(ArtifactsInput!$M$7-ArtifactsInput!$M$7)*CHOOSE(ArtifactsInput!$N$7+1,6,7.2,8.4,9.6,10.8,12))+IF(Inputs!$B$3&gt;=117,F1110,0))/100)),MAX(0,Inputs!$B$44-((R1096-1)*Skills!D12))))/Inputs!$B$44),IF(Inputs!$B$39="pvp",MIN((Skills!S12*(1+((Inputs!$B$35+(ArtifactsInput!$M$7-ArtifactsInput!$M$7)*CHOOSE(ArtifactsInput!$N$7+1,6,7.2,8.4,9.6,10.8,12))+IF(Inputs!$B$3&gt;=117,F1110,0))/100)),15)/15,(Skills!S12*(1+((Inputs!$B$35+(ArtifactsInput!$M$7-ArtifactsInput!$M$7)*CHOOSE(ArtifactsInput!$N$7+1,6,7.2,8.4,9.6,10.8,12))+IF(Inputs!$B$3&gt;=117,F1110,0))/100))/Skills!D12)),0)</f>
        <v/>
      </c>
    </row>
    <row r="1116">
      <c r="A1116" t="inlineStr">
        <is>
          <t>Damage % Bonus (Holy Symbol - Damage Boost)</t>
        </is>
      </c>
      <c r="B1116">
        <f>Skills!O12</f>
        <v/>
      </c>
    </row>
    <row r="1117">
      <c r="A1117" t="inlineStr">
        <is>
          <t>Crit Damage % Bonus (Blood of the Divine)</t>
        </is>
      </c>
      <c r="B1117">
        <f>4*IF(C1104=TRUE,F1104,0)</f>
        <v/>
      </c>
    </row>
    <row r="1118">
      <c r="A1118" t="inlineStr">
        <is>
          <t>Attack Speed Bonus %</t>
        </is>
      </c>
      <c r="B1118">
        <f>IF(C1101=TRUE,F1101+(F1105-Calc!F21),0)+IF(Inputs!$B$3&gt;=134,15,0)</f>
        <v/>
      </c>
    </row>
    <row r="1119">
      <c r="A1119" t="inlineStr">
        <is>
          <t>Actions Per Second</t>
        </is>
      </c>
      <c r="B1119">
        <f>1+MIN(150,150*(1-(1-Inputs!$B$12/150)*(1-B1118/150)))/100</f>
        <v/>
      </c>
    </row>
    <row r="1120">
      <c r="A1120" t="inlineStr">
        <is>
          <t>Skill + Buff Cast Rate</t>
        </is>
      </c>
      <c r="B1120">
        <f>IF(AND(Inputs!$B$39&lt;&gt;"pvp",Inputs!$B$44&gt;0),SUMPRODUCT((Skills!E2:E27=TRUE)*(C1086:C1111=TRUE)*R1086:R1111)/Inputs!$B$44,SUMPRODUCT((Skills!E2:E27=TRUE)*(C1086:C1111=TRUE)*Q1086:Q1111))</f>
        <v/>
      </c>
    </row>
    <row r="1121">
      <c r="A1121" t="inlineStr">
        <is>
          <t>Big Bang Casts Per Second</t>
        </is>
      </c>
      <c r="B1121">
        <f>MAX(0,B1119-B1120)</f>
        <v/>
      </c>
    </row>
    <row r="1122">
      <c r="A1122" t="inlineStr">
        <is>
          <t>Defense % Bonus (Divine Protection)</t>
        </is>
      </c>
      <c r="B1122">
        <f>IF(C1097=TRUE,F1097*IF(AND(Inputs!$B$39&lt;&gt;"pvp",Inputs!$B$44&gt;0),(((R1097-1)*(Skills!S13*(1+((Inputs!$B$35+(ArtifactsInput!$M$7-ArtifactsInput!$M$7)*CHOOSE(ArtifactsInput!$N$7+1,6,7.2,8.4,9.6,10.8,12))+IF(Inputs!$B$3&gt;=117,F1110,0))/100))+MIN((Skills!S13*(1+((Inputs!$B$35+(ArtifactsInput!$M$7-ArtifactsInput!$M$7)*CHOOSE(ArtifactsInput!$N$7+1,6,7.2,8.4,9.6,10.8,12))+IF(Inputs!$B$3&gt;=117,F1110,0))/100)),MAX(0,Inputs!$B$44-((R1097-1)*Skills!D13))))/Inputs!$B$44),IF(Inputs!$B$39="pvp",MIN((Skills!S13*(1+((Inputs!$B$35+(ArtifactsInput!$M$7-ArtifactsInput!$M$7)*CHOOSE(ArtifactsInput!$N$7+1,6,7.2,8.4,9.6,10.8,12))+IF(Inputs!$B$3&gt;=117,F1110,0))/100)),15)/15,(Skills!S13*(1+((Inputs!$B$35+(ArtifactsInput!$M$7-ArtifactsInput!$M$7)*CHOOSE(ArtifactsInput!$N$7+1,6,7.2,8.4,9.6,10.8,12))+IF(Inputs!$B$3&gt;=117,F1110,0))/100))/Skills!D13)),0)</f>
        <v/>
      </c>
    </row>
    <row r="1123">
      <c r="A1123" t="inlineStr">
        <is>
          <t>Buff-Casting Startup Delay (s, fixed-duration only)</t>
        </is>
      </c>
      <c r="B1123">
        <f>IF(AND(Inputs!$B$39&lt;&gt;"pvp",Inputs!$B$44&gt;0),SUMPRODUCT((Skills!S2:S27&gt;0)*(Skills!E2:E27=TRUE)*(C1086:C1111=TRUE))/B1119,0)</f>
        <v/>
      </c>
    </row>
    <row r="1124">
      <c r="A1124" t="inlineStr">
        <is>
          <t>Boss-Only Total DPS (this block's swept value)</t>
        </is>
      </c>
      <c r="B1124">
        <f>SUM(S1086:S1111)</f>
        <v/>
      </c>
    </row>
    <row r="1125">
      <c r="A1125" t="inlineStr">
        <is>
          <t>Normal-Only Total DPS (this block's swept value)</t>
        </is>
      </c>
      <c r="B1125">
        <f>SUM(U1086:U1111)</f>
        <v/>
      </c>
    </row>
    <row r="1126">
      <c r="A1126" s="6" t="inlineStr">
        <is>
          <t>TOTAL DPS</t>
        </is>
      </c>
      <c r="B1126" s="6">
        <f>SUM(O1086:O1111)</f>
        <v/>
      </c>
    </row>
    <row r="1128">
      <c r="A1128" s="6" t="inlineStr">
        <is>
          <t>Stat: Skill Cooldown Decrease (seconds)</t>
        </is>
      </c>
    </row>
    <row r="1129">
      <c r="A1129" s="5" t="inlineStr">
        <is>
          <t>Key</t>
        </is>
      </c>
      <c r="B1129" s="5" t="inlineStr">
        <is>
          <t>Name</t>
        </is>
      </c>
      <c r="C1129" s="5" t="inlineStr">
        <is>
          <t>Unlocked</t>
        </is>
      </c>
      <c r="D1129" s="5" t="inlineStr">
        <is>
          <t>InputLevel</t>
        </is>
      </c>
      <c r="E1129" s="5" t="inlineStr">
        <is>
          <t>Factor</t>
        </is>
      </c>
      <c r="F1129" s="5" t="inlineStr">
        <is>
          <t>CoefficientPercent</t>
        </is>
      </c>
      <c r="G1129" s="5" t="inlineStr">
        <is>
          <t>EffectiveHits</t>
        </is>
      </c>
      <c r="H1129" s="5" t="inlineStr">
        <is>
          <t>ProcProbability</t>
        </is>
      </c>
      <c r="I1129" s="5" t="inlineStr">
        <is>
          <t>MapleHeroMultiplier</t>
        </is>
      </c>
      <c r="J1129" s="5" t="inlineStr">
        <is>
          <t>BaseDamage</t>
        </is>
      </c>
      <c r="K1129" s="5" t="inlineStr">
        <is>
          <t>BaseHitDamage</t>
        </is>
      </c>
      <c r="L1129" s="5" t="inlineStr">
        <is>
          <t>NonCritAvg</t>
        </is>
      </c>
      <c r="M1129" s="5" t="inlineStr">
        <is>
          <t>CritAvg</t>
        </is>
      </c>
      <c r="N1129" s="5" t="inlineStr">
        <is>
          <t>ExpectedDamage(perHit)</t>
        </is>
      </c>
      <c r="O1129" s="5" t="inlineStr">
        <is>
          <t>DPS</t>
        </is>
      </c>
      <c r="P1129" s="5" t="inlineStr">
        <is>
          <t>% of Total</t>
        </is>
      </c>
      <c r="R1129" t="inlineStr">
        <is>
          <t>helpers</t>
        </is>
      </c>
    </row>
    <row r="1130">
      <c r="A1130">
        <f>Skills!A2</f>
        <v/>
      </c>
      <c r="B1130">
        <f>Skills!B2</f>
        <v/>
      </c>
      <c r="C1130">
        <f>Inputs!$B$3&gt;=100</f>
        <v/>
      </c>
      <c r="D1130" t="inlineStr"/>
      <c r="E1130" t="inlineStr"/>
      <c r="F1130">
        <f>T1132+Skills!N2</f>
        <v/>
      </c>
      <c r="G1130">
        <f>Calc!G2</f>
        <v/>
      </c>
      <c r="H1130">
        <f>Calc!H2</f>
        <v/>
      </c>
      <c r="I1130">
        <f>IF(Skills!T2&lt;&gt;"",1+(Skills!T2/10)*($Z$3/1000)/100,1)</f>
        <v/>
      </c>
      <c r="J1130">
        <f>((Inputs!$B$6*(1+Inputs!$B$7/100))+(((Inputs!$B$13*(1+Inputs!$B$14/100))-(Inputs!$B$13*(1+Inputs!$B$14/100)))+0.25*(Inputs!$B$15-Inputs!$B$15))*(1+Inputs!$B$7/100))*(F1130/100)</f>
        <v/>
      </c>
      <c r="K1130">
        <f>J1130*(1+(((Inputs!$B$13+IF(Inputs!$B$3&gt;=35,(10*INDEX(FactorTable!$B$2:$Y$301,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2="TRIUMPH_FEATHER",IF(C1144=TRUE,F1144,0),0)/100)*(1+IF(C1155=TRUE,F1155,0)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1130)</f>
        <v/>
      </c>
      <c r="L1130">
        <f>K1130*(MIN(Inputs!$B$23+(F1150-Calc!F22),(Inputs!$B$24+IF(ArtifactsInput!$M$15,CHOOSE(ArtifactsInput!$N$15+1,25,30,35,40,45,50)/100*(Inputs!$B$12-Inputs!$B$12),0)))/100+(Inputs!$B$24+IF(ArtifactsInput!$M$15,CHOOSE(ArtifactsInput!$N$15+1,25,30,35,40,45,50)/100*(Inputs!$B$12-Inputs!$B$12),0))/100)/2</f>
        <v/>
      </c>
      <c r="M1130">
        <f>L1130*(1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0">
        <f>L1130*(1-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(1-Summary!$B$11)*S1130+Summary!$B$11*U1130</f>
        <v/>
      </c>
      <c r="P1130">
        <f>IF(B1170=0,0,O1130/B1170)</f>
        <v/>
      </c>
      <c r="Q1130">
        <f>IFERROR(1/(IF(Inputs!$B$39="pvp",15,MAX(0.1,Skills!D2-IF(Skills!E2=TRUE,(Inputs!$B$33+1),0)))*(1-IF(AND(ArtifactsInput!$M$27,Inputs!$B$4="Chapter Hunt"),CHOOSE(ArtifactsInput!$N$27+1,20,24,28,32,36,40),0)/100)),0)</f>
        <v/>
      </c>
      <c r="R1130" t="n">
        <v>0</v>
      </c>
      <c r="S1130">
        <f>IF(C1130,(Skills!F2*N1130*B1165)*IF(Inputs!$B$39="pvp",1,1+(Inputs!$B$21+Skills!O2+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1130*(1-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30">
        <f>MAX(0,(Inputs!$B$3-100)*3)+Inputs!$B$29+Inputs!$B$30</f>
        <v/>
      </c>
      <c r="U1130">
        <f>IF(C1130,(Skills!F2*N1130*B1165)*IF(Inputs!$B$39="pvp",1,(1+(Inputs!$B$22+Skills!P2+B1159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Skills!A3</f>
        <v/>
      </c>
      <c r="B1131">
        <f>Skills!B3</f>
        <v/>
      </c>
      <c r="C1131">
        <f>Inputs!$B$3&gt;=15</f>
        <v/>
      </c>
      <c r="D1131">
        <f>IF(Skills!C3=1,60+Inputs!$B$26+Inputs!$B$30,IF(Skills!C3=2,90+Inputs!$B$27+Inputs!$B$30,IF(Skills!C3=3,120+Inputs!$B$28+Inputs!$B$30,MAX(0,(Inputs!$B$3-100)*3)+Inputs!$B$29+Inputs!$B$30)))</f>
        <v/>
      </c>
      <c r="E1131">
        <f>INDEX(FactorTable!$B$2:$Y$301, MATCH(ROUND(MIN(300,MAX(1,D1131)),0), FactorTable!$A$2:$A$301,0), Skills!L3+1)</f>
        <v/>
      </c>
      <c r="F1131">
        <f>IF(Skills!M3=TRUE,(Skills!K3/10)*(E1131/1000),Skills!K3/10)+Skills!N3</f>
        <v/>
      </c>
      <c r="G1131">
        <f>Calc!G3</f>
        <v/>
      </c>
      <c r="H1131">
        <f>Calc!H3</f>
        <v/>
      </c>
      <c r="I1131">
        <f>IF(Skills!T3&lt;&gt;"",1+(Skills!T3/10)*($Z$3/1000)/100,1)</f>
        <v/>
      </c>
      <c r="J1131" t="inlineStr"/>
      <c r="K1131" t="inlineStr"/>
      <c r="L1131" t="inlineStr"/>
      <c r="M1131" t="inlineStr"/>
      <c r="N1131" t="inlineStr"/>
      <c r="O1131">
        <f>(1-Summary!$B$11)*S1131+Summary!$B$11*U1131</f>
        <v/>
      </c>
      <c r="P1131">
        <f>IF(B1170=0,0,O1131/B1170)</f>
        <v/>
      </c>
      <c r="Q1131">
        <f>IFERROR(1/(IF(Inputs!$B$39="pvp",15,MAX(0.1,Skills!D3-IF(Skills!E3=TRUE,(Inputs!$B$33+1),0)))*(1-IF(AND(ArtifactsInput!$M$27,Inputs!$B$4="Chapter Hunt"),CHOOSE(ArtifactsInput!$N$27+1,20,24,28,32,36,40),0)/100)),0)</f>
        <v/>
      </c>
      <c r="R1131">
        <f>IF(AND(Inputs!$B$39&lt;&gt;"pvp",Inputs!$B$44&gt;0),IF(Inputs!$B$44&lt;=0,0,(INT(Inputs!$B$44/(IF(Inputs!$B$39="pvp",15,MAX(0.1,Skills!D3-IF(Skills!E3=TRUE,(Inputs!$B$33+1),0)))*(1-IF(AND(ArtifactsInput!$M$27,Inputs!$B$4="Chapter Hunt"),CHOOSE(ArtifactsInput!$N$27+1,20,24,28,32,36,40),0)/100)))+1)),0)</f>
        <v/>
      </c>
      <c r="S1131" t="n">
        <v>0</v>
      </c>
      <c r="T1131">
        <f>INDEX(FactorTable!$B$2:$Y$301, MATCH(ROUND(MIN(300,MAX(1,T1130)),0), FactorTable!$A$2:$A$301,0), 22)</f>
        <v/>
      </c>
      <c r="U1131" t="n">
        <v>0</v>
      </c>
    </row>
    <row r="1132">
      <c r="A1132">
        <f>Skills!A4</f>
        <v/>
      </c>
      <c r="B1132">
        <f>Skills!B4</f>
        <v/>
      </c>
      <c r="C1132">
        <f>Inputs!$B$3&gt;=38</f>
        <v/>
      </c>
      <c r="D1132">
        <f>IF(Skills!C4=1,60+Inputs!$B$26+Inputs!$B$30,IF(Skills!C4=2,90+Inputs!$B$27+Inputs!$B$30,IF(Skills!C4=3,120+Inputs!$B$28+Inputs!$B$30,MAX(0,(Inputs!$B$3-100)*3)+Inputs!$B$29+Inputs!$B$30)))</f>
        <v/>
      </c>
      <c r="E1132">
        <f>INDEX(FactorTable!$B$2:$Y$301, MATCH(ROUND(MIN(300,MAX(1,D1132)),0), FactorTable!$A$2:$A$301,0), Skills!L4+1)</f>
        <v/>
      </c>
      <c r="F1132">
        <f>IF(Skills!M4=TRUE,(Skills!K4/10)*(E1132/1000),Skills!K4/10)+Skills!N4</f>
        <v/>
      </c>
      <c r="G1132">
        <f>Calc!G4</f>
        <v/>
      </c>
      <c r="H1132">
        <f>Calc!H4</f>
        <v/>
      </c>
      <c r="I1132">
        <f>IF(Skills!T4&lt;&gt;"",1+(Skills!T4/10)*($Z$3/1000)/100,1)</f>
        <v/>
      </c>
      <c r="J1132" t="inlineStr"/>
      <c r="K1132" t="inlineStr"/>
      <c r="L1132" t="inlineStr"/>
      <c r="M1132" t="inlineStr"/>
      <c r="N1132" t="inlineStr"/>
      <c r="O1132">
        <f>(1-Summary!$B$11)*S1132+Summary!$B$11*U1132</f>
        <v/>
      </c>
      <c r="P1132">
        <f>IF(B1170=0,0,O1132/B1170)</f>
        <v/>
      </c>
      <c r="Q1132">
        <f>IFERROR(1/(IF(Inputs!$B$39="pvp",15,MAX(0.1,Skills!D4-IF(Skills!E4=TRUE,(Inputs!$B$33+1),0)))*(1-IF(AND(ArtifactsInput!$M$27,Inputs!$B$4="Chapter Hunt"),CHOOSE(ArtifactsInput!$N$27+1,20,24,28,32,36,40),0)/100)),0)</f>
        <v/>
      </c>
      <c r="R1132">
        <f>IF(AND(Inputs!$B$39&lt;&gt;"pvp",Inputs!$B$44&gt;0),IF(Inputs!$B$44&lt;=0,0,(INT(Inputs!$B$44/(IF(Inputs!$B$39="pvp",15,MAX(0.1,Skills!D4-IF(Skills!E4=TRUE,(Inputs!$B$33+1),0)))*(1-IF(AND(ArtifactsInput!$M$27,Inputs!$B$4="Chapter Hunt"),CHOOSE(ArtifactsInput!$N$27+1,20,24,28,32,36,40),0)/100)))+1)),0)</f>
        <v/>
      </c>
      <c r="S1132" t="n">
        <v>0</v>
      </c>
      <c r="T1132">
        <f>290*T1131/1000</f>
        <v/>
      </c>
      <c r="U1132" t="n">
        <v>0</v>
      </c>
    </row>
    <row r="1133">
      <c r="A1133">
        <f>Skills!A5</f>
        <v/>
      </c>
      <c r="B1133">
        <f>Skills!B5</f>
        <v/>
      </c>
      <c r="C1133">
        <f>Inputs!$B$3&gt;=40</f>
        <v/>
      </c>
      <c r="D1133">
        <f>IF(Skills!C5=1,60+Inputs!$B$26+Inputs!$B$30,IF(Skills!C5=2,90+Inputs!$B$27+Inputs!$B$30,IF(Skills!C5=3,120+Inputs!$B$28+Inputs!$B$30,MAX(0,(Inputs!$B$3-100)*3)+Inputs!$B$29+Inputs!$B$30)))</f>
        <v/>
      </c>
      <c r="E1133">
        <f>INDEX(FactorTable!$B$2:$Y$301, MATCH(ROUND(MIN(300,MAX(1,D1133)),0), FactorTable!$A$2:$A$301,0), Skills!L5+1)</f>
        <v/>
      </c>
      <c r="F1133">
        <f>IF(Skills!M5=TRUE,(Skills!K5/10)*(E1133/1000),Skills!K5/10)+Skills!N5</f>
        <v/>
      </c>
      <c r="G1133">
        <f>Calc!G5</f>
        <v/>
      </c>
      <c r="H1133">
        <f>Calc!H5</f>
        <v/>
      </c>
      <c r="I1133">
        <f>IF(Skills!T5&lt;&gt;"",1+(Skills!T5/10)*($Z$3/1000)/100,1)</f>
        <v/>
      </c>
      <c r="J1133" t="inlineStr"/>
      <c r="K1133" t="inlineStr"/>
      <c r="L1133" t="inlineStr"/>
      <c r="M1133" t="inlineStr"/>
      <c r="N1133" t="inlineStr"/>
      <c r="O1133">
        <f>(1-Summary!$B$11)*S1133+Summary!$B$11*U1133</f>
        <v/>
      </c>
      <c r="P1133">
        <f>IF(B1170=0,0,O1133/B1170)</f>
        <v/>
      </c>
      <c r="Q1133">
        <f>IFERROR(1/(IF(Inputs!$B$39="pvp",15,MAX(0.1,Skills!D5-IF(Skills!E5=TRUE,(Inputs!$B$33+1),0)))*(1-IF(AND(ArtifactsInput!$M$27,Inputs!$B$4="Chapter Hunt"),CHOOSE(ArtifactsInput!$N$27+1,20,24,28,32,36,40),0)/100)),0)</f>
        <v/>
      </c>
      <c r="R1133">
        <f>IF(AND(Inputs!$B$39&lt;&gt;"pvp",Inputs!$B$44&gt;0),IF(Inputs!$B$44&lt;=0,0,(INT(Inputs!$B$44/(IF(Inputs!$B$39="pvp",15,MAX(0.1,Skills!D5-IF(Skills!E5=TRUE,(Inputs!$B$33+1),0)))*(1-IF(AND(ArtifactsInput!$M$27,Inputs!$B$4="Chapter Hunt"),CHOOSE(ArtifactsInput!$N$27+1,20,24,28,32,36,40),0)/100)))+1)),0)</f>
        <v/>
      </c>
      <c r="S1133" t="n">
        <v>0</v>
      </c>
      <c r="U1133" t="n">
        <v>0</v>
      </c>
    </row>
    <row r="1134">
      <c r="A1134">
        <f>Skills!A6</f>
        <v/>
      </c>
      <c r="B1134">
        <f>Skills!B6</f>
        <v/>
      </c>
      <c r="C1134">
        <f>Inputs!$B$3&gt;=103</f>
        <v/>
      </c>
      <c r="D1134">
        <f>IF(Skills!C6=1,60+Inputs!$B$26+Inputs!$B$30,IF(Skills!C6=2,90+Inputs!$B$27+Inputs!$B$30,IF(Skills!C6=3,120+Inputs!$B$28+Inputs!$B$30,MAX(0,(Inputs!$B$3-100)*3)+Inputs!$B$29+Inputs!$B$30)))</f>
        <v/>
      </c>
      <c r="E1134">
        <f>INDEX(FactorTable!$B$2:$Y$301, MATCH(ROUND(MIN(300,MAX(1,D1134)),0), FactorTable!$A$2:$A$301,0), Skills!L6+1)</f>
        <v/>
      </c>
      <c r="F1134">
        <f>IF(Skills!M6=TRUE,(Skills!K6/10)*(E1134/1000),Skills!K6/10)+Skills!N6</f>
        <v/>
      </c>
      <c r="G1134">
        <f>Calc!G6</f>
        <v/>
      </c>
      <c r="H1134">
        <f>Calc!H6</f>
        <v/>
      </c>
      <c r="I1134">
        <f>IF(Skills!T6&lt;&gt;"",1+(Skills!T6/10)*($Z$3/1000)/100,1)</f>
        <v/>
      </c>
      <c r="J1134">
        <f>((Inputs!$B$6*(1+Inputs!$B$7/100))+(((Inputs!$B$13*(1+Inputs!$B$14/100))-(Inputs!$B$13*(1+Inputs!$B$14/100)))+0.25*(Inputs!$B$15-Inputs!$B$15))*(1+Inputs!$B$7/100))*(F1134/100)</f>
        <v/>
      </c>
      <c r="K1134">
        <f>J1134*(1+(((Inputs!$B$13+IF(Inputs!$B$3&gt;=35,(10*INDEX(FactorTable!$B$2:$Y$301,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6="TRIUMPH_FEATHER",IF(C1144=TRUE,F1144,0),0)/100)*(1+IF(C1155=TRUE,F1155,0)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1134)</f>
        <v/>
      </c>
      <c r="L1134">
        <f>K1134*(MIN(Inputs!$B$23+(F1150-Calc!F22),(Inputs!$B$24+IF(ArtifactsInput!$M$15,CHOOSE(ArtifactsInput!$N$15+1,25,30,35,40,45,50)/100*(Inputs!$B$12-Inputs!$B$12),0)))/100+(Inputs!$B$24+IF(ArtifactsInput!$M$15,CHOOSE(ArtifactsInput!$N$15+1,25,30,35,40,45,50)/100*(Inputs!$B$12-Inputs!$B$12),0))/100)/2</f>
        <v/>
      </c>
      <c r="M1134">
        <f>L1134*(1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4">
        <f>L1134*(1-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1134*(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4">
        <f>(1-Summary!$B$11)*S1134+Summary!$B$11*U1134</f>
        <v/>
      </c>
      <c r="P1134">
        <f>IF(B1170=0,0,O1134/B1170)</f>
        <v/>
      </c>
      <c r="Q1134">
        <f>IFERROR(1/(IF(Inputs!$B$39="pvp",15,MAX(0.1,Skills!D6-IF(Skills!E6=TRUE,(Inputs!$B$33+1),0)))*(1-IF(AND(ArtifactsInput!$M$27,Inputs!$B$4="Chapter Hunt"),CHOOSE(ArtifactsInput!$N$27+1,20,24,28,32,36,40),0)/100)),0)</f>
        <v/>
      </c>
      <c r="R1134">
        <f>IF(AND(Inputs!$B$39&lt;&gt;"pvp",Inputs!$B$44&gt;0),IF(MAX(0,Inputs!$B$44-B1167)&lt;=0,0,(INT(MAX(0,Inputs!$B$44-B1167)/(IF(Inputs!$B$39="pvp",15,MAX(0.1,Skills!D6-IF(Skills!E6=TRUE,(Inputs!$B$33+1),0)))*(1-IF(AND(ArtifactsInput!$M$27,Inputs!$B$4="Chapter Hunt"),CHOOSE(ArtifactsInput!$N$27+1,20,24,28,32,36,40),0)/100)))+1)),0)</f>
        <v/>
      </c>
      <c r="S1134">
        <f>IF(C1134,(H1134*N1134*IF(AND(Inputs!$B$39&lt;&gt;"pvp",Inputs!$B$44&gt;0),((Skills!F6*((R1134-1)*IF(Skills!G6&gt;0,Skills!H6/Skills!G6,1)+IF(Skills!G6&gt;0,MIN(Skills!H6,MAX(0,MAX(0,Inputs!$B$44-B1167)-((R1134-1)*(IF(Inputs!$B$39="pvp",15,MAX(0.1,Skills!D6-IF(Skills!E6=TRUE,(Inputs!$B$33+1),0)))*(1-IF(AND(ArtifactsInput!$M$27,Inputs!$B$4="Chapter Hunt"),CHOOSE(ArtifactsInput!$N$27+1,20,24,28,32,36,40),0)/100)))))/Skills!G6,1)))/Inputs!$B$44),G1134*Q1134))*IF(Inputs!$B$39="pvp",1,1+(Inputs!$B$21+Skills!O6+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1134*(1-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1134*(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1134*(1-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1134*(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4">
        <f>IF(C1134,(H1134*N1134*IF(AND(Inputs!$B$39&lt;&gt;"pvp",Inputs!$B$44&gt;0),((Skills!F6*((R1134-1)*IF(Skills!G6&gt;0,Skills!H6/Skills!G6,1)+IF(Skills!G6&gt;0,MIN(Skills!H6,MAX(0,MAX(0,Inputs!$B$44-B1167)-((R1134-1)*(IF(Inputs!$B$39="pvp",15,MAX(0.1,Skills!D6-IF(Skills!E6=TRUE,(Inputs!$B$33+1),0)))*(1-IF(AND(ArtifactsInput!$M$27,Inputs!$B$4="Chapter Hunt"),CHOOSE(ArtifactsInput!$N$27+1,20,24,28,32,36,40),0)/100)))))/Skills!G6,1)))/Inputs!$B$44),G1134*Q1134))*IF(Inputs!$B$39="pvp",1,(1+(Inputs!$B$22+Skills!P6+B1159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5">
      <c r="A1135">
        <f>Skills!A7</f>
        <v/>
      </c>
      <c r="B1135">
        <f>Skills!B7</f>
        <v/>
      </c>
      <c r="C1135">
        <f>Inputs!$B$3&gt;=122</f>
        <v/>
      </c>
      <c r="D1135">
        <f>IF(Skills!C7=1,60+Inputs!$B$26+Inputs!$B$30,IF(Skills!C7=2,90+Inputs!$B$27+Inputs!$B$30,IF(Skills!C7=3,120+Inputs!$B$28+Inputs!$B$30,MAX(0,(Inputs!$B$3-100)*3)+Inputs!$B$29+Inputs!$B$30)))</f>
        <v/>
      </c>
      <c r="E1135">
        <f>INDEX(FactorTable!$B$2:$Y$301, MATCH(ROUND(MIN(300,MAX(1,D1135)),0), FactorTable!$A$2:$A$301,0), Skills!L7+1)</f>
        <v/>
      </c>
      <c r="F1135">
        <f>IF(Skills!M7=TRUE,(Skills!K7/10)*(E1135/1000),Skills!K7/10)+Skills!N7</f>
        <v/>
      </c>
      <c r="G1135">
        <f>Calc!G7</f>
        <v/>
      </c>
      <c r="H1135">
        <f>Calc!H7</f>
        <v/>
      </c>
      <c r="I1135">
        <f>IF(Skills!T7&lt;&gt;"",1+(Skills!T7/10)*($Z$3/1000)/100,1)</f>
        <v/>
      </c>
      <c r="J1135">
        <f>((Inputs!$B$6*(1+Inputs!$B$7/100))+(((Inputs!$B$13*(1+Inputs!$B$14/100))-(Inputs!$B$13*(1+Inputs!$B$14/100)))+0.25*(Inputs!$B$15-Inputs!$B$15))*(1+Inputs!$B$7/100))*(F1135/100)</f>
        <v/>
      </c>
      <c r="K1135">
        <f>J1135*(1+(((Inputs!$B$13+IF(Inputs!$B$3&gt;=35,(10*INDEX(FactorTable!$B$2:$Y$301,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7="TRIUMPH_FEATHER",IF(C1144=TRUE,F1144,0),0)/100)*(1+IF(C1155=TRUE,F1155,0)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1135)</f>
        <v/>
      </c>
      <c r="L1135">
        <f>K1135*(MIN(Inputs!$B$23+(F1150-Calc!F22),(Inputs!$B$24+IF(ArtifactsInput!$M$15,CHOOSE(ArtifactsInput!$N$15+1,25,30,35,40,45,50)/100*(Inputs!$B$12-Inputs!$B$12),0)))/100+(Inputs!$B$24+IF(ArtifactsInput!$M$15,CHOOSE(ArtifactsInput!$N$15+1,25,30,35,40,45,50)/100*(Inputs!$B$12-Inputs!$B$12),0))/100)/2</f>
        <v/>
      </c>
      <c r="M1135">
        <f>L1135*(1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5">
        <f>L1135*(1-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(1-Summary!$B$11)*S1135+Summary!$B$11*U1135</f>
        <v/>
      </c>
      <c r="P1135">
        <f>IF(B1170=0,0,O1135/B1170)</f>
        <v/>
      </c>
      <c r="Q1135">
        <f>IFERROR(1/(IF(Inputs!$B$39="pvp",15,MAX(0.1,Skills!D7-IF(Skills!E6=TRUE,(Inputs!$B$33+1),0)))*(1-IF(AND(ArtifactsInput!$M$27,Inputs!$B$4="Chapter Hunt"),CHOOSE(ArtifactsInput!$N$27+1,20,24,28,32,36,40),0)/100)),0)</f>
        <v/>
      </c>
      <c r="R1135">
        <f>IF(AND(Inputs!$B$39&lt;&gt;"pvp",Inputs!$B$44&gt;0),IF(MAX(0,Inputs!$B$44-B1167)&lt;=0,0,(INT(MAX(0,Inputs!$B$44-B1167)/(IF(Inputs!$B$39="pvp",15,MAX(0.1,Skills!D7-IF(Skills!E6=TRUE,(Inputs!$B$33+1),0)))*(1-IF(AND(ArtifactsInput!$M$27,Inputs!$B$4="Chapter Hunt"),CHOOSE(ArtifactsInput!$N$27+1,20,24,28,32,36,40),0)/100)))+1)),0)</f>
        <v/>
      </c>
      <c r="S1135">
        <f>IF(C1135,H1135*N1135*IF(AND(Inputs!$B$39&lt;&gt;"pvp",Inputs!$B$44&gt;0),((Skills!F7*((R1135-1)*IF(Skills!G7&gt;0,Skills!H7/Skills!G7,1)+IF(Skills!G7&gt;0,MIN(Skills!H7,MAX(0,MAX(0,Inputs!$B$44-B1167)-((R1135-1)*(IF(Inputs!$B$39="pvp",15,MAX(0.1,Skills!D7-IF(Skills!E6=TRUE,(Inputs!$B$33+1),0)))*(1-IF(AND(ArtifactsInput!$M$27,Inputs!$B$4="Chapter Hunt"),CHOOSE(ArtifactsInput!$N$27+1,20,24,28,32,36,40),0)/100)))))/Skills!G7,1)))/Inputs!$B$44),G1135*Q1135)*IF(Inputs!$B$39="pvp",1,1+(Inputs!$B$21+Skills!O7+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1135*(1-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5" t="n">
        <v>0</v>
      </c>
    </row>
    <row r="1136">
      <c r="A1136">
        <f>Skills!A8</f>
        <v/>
      </c>
      <c r="B1136">
        <f>Skills!B8</f>
        <v/>
      </c>
      <c r="C1136">
        <f>Inputs!$B$3&gt;=105</f>
        <v/>
      </c>
      <c r="D1136">
        <f>IF(Skills!C8=1,60+Inputs!$B$26+Inputs!$B$30,IF(Skills!C8=2,90+Inputs!$B$27+Inputs!$B$30,IF(Skills!C8=3,120+Inputs!$B$28+Inputs!$B$30,MAX(0,(Inputs!$B$3-100)*3)+Inputs!$B$29+Inputs!$B$30)))</f>
        <v/>
      </c>
      <c r="E1136">
        <f>INDEX(FactorTable!$B$2:$Y$301, MATCH(ROUND(MIN(300,MAX(1,D1136)),0), FactorTable!$A$2:$A$301,0), Skills!L8+1)</f>
        <v/>
      </c>
      <c r="F1136">
        <f>IF(Skills!M8=TRUE,(Skills!K8/10)*(E1136/1000),Skills!K8/10)+Skills!N8</f>
        <v/>
      </c>
      <c r="G1136">
        <f>Calc!G8</f>
        <v/>
      </c>
      <c r="H1136">
        <f>Calc!H8</f>
        <v/>
      </c>
      <c r="I1136">
        <f>IF(Skills!T8&lt;&gt;"",1+(Skills!T8/10)*($Z$3/1000)/100,1)</f>
        <v/>
      </c>
      <c r="J1136">
        <f>((Inputs!$B$6*(1+Inputs!$B$7/100))+(((Inputs!$B$13*(1+Inputs!$B$14/100))-(Inputs!$B$13*(1+Inputs!$B$14/100)))+0.25*(Inputs!$B$15-Inputs!$B$15))*(1+Inputs!$B$7/100))*(F1136/100)</f>
        <v/>
      </c>
      <c r="K1136">
        <f>J1136*(1+(((Inputs!$B$13+IF(Inputs!$B$3&gt;=35,(10*INDEX(FactorTable!$B$2:$Y$301,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8="TRIUMPH_FEATHER",IF(C1144=TRUE,F1144,0),0)/100)*(1+IF(C1155=TRUE,F1155,0)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1136)</f>
        <v/>
      </c>
      <c r="L1136">
        <f>K1136*(MIN(Inputs!$B$23+(F1150-Calc!F22),(Inputs!$B$24+IF(ArtifactsInput!$M$15,CHOOSE(ArtifactsInput!$N$15+1,25,30,35,40,45,50)/100*(Inputs!$B$12-Inputs!$B$12),0)))/100+(Inputs!$B$24+IF(ArtifactsInput!$M$15,CHOOSE(ArtifactsInput!$N$15+1,25,30,35,40,45,50)/100*(Inputs!$B$12-Inputs!$B$12),0))/100)/2</f>
        <v/>
      </c>
      <c r="M1136">
        <f>L1136*(1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6">
        <f>L1136*(1-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1136*(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6">
        <f>(1-Summary!$B$11)*S1136+Summary!$B$11*U1136</f>
        <v/>
      </c>
      <c r="P1136">
        <f>IF(B1170=0,0,O1136/B1170)</f>
        <v/>
      </c>
      <c r="Q1136">
        <f>IFERROR(1/(IF(Inputs!$B$39="pvp",15,MAX(0.1,Skills!D8-IF(Skills!E8=TRUE,(Inputs!$B$33+1),0)))*(1-IF(AND(ArtifactsInput!$M$27,Inputs!$B$4="Chapter Hunt"),CHOOSE(ArtifactsInput!$N$27+1,20,24,28,32,36,40),0)/100)),0)</f>
        <v/>
      </c>
      <c r="R1136">
        <f>IF(AND(Inputs!$B$39&lt;&gt;"pvp",Inputs!$B$44&gt;0),IF(MAX(0,Inputs!$B$44-B1167)&lt;=0,0,(INT(MAX(0,Inputs!$B$44-B1167)/(IF(Inputs!$B$39="pvp",15,MAX(0.1,Skills!D8-IF(Skills!E8=TRUE,(Inputs!$B$33+1),0)))*(1-IF(AND(ArtifactsInput!$M$27,Inputs!$B$4="Chapter Hunt"),CHOOSE(ArtifactsInput!$N$27+1,20,24,28,32,36,40),0)/100)))+1)),0)</f>
        <v/>
      </c>
      <c r="S1136">
        <f>IF(C1136,(H1136*N1136*IF(AND(Inputs!$B$39&lt;&gt;"pvp",Inputs!$B$44&gt;0),((Skills!F8*((R1136-1)*IF(Skills!G8&gt;0,Skills!H8/Skills!G8,1)+IF(Skills!G8&gt;0,MIN(Skills!H8,MAX(0,MAX(0,Inputs!$B$44-B1167)-((R1136-1)*(IF(Inputs!$B$39="pvp",15,MAX(0.1,Skills!D8-IF(Skills!E8=TRUE,(Inputs!$B$33+1),0)))*(1-IF(AND(ArtifactsInput!$M$27,Inputs!$B$4="Chapter Hunt"),CHOOSE(ArtifactsInput!$N$27+1,20,24,28,32,36,40),0)/100)))))/Skills!G8,1)))/Inputs!$B$44),G1136*Q1136))*IF(Inputs!$B$39="pvp",1,1+(Inputs!$B$21+Skills!O8+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1136*(1-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1136*(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1136*(1-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1136*(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6">
        <f>IF(C1136,(H1136*N1136*IF(AND(Inputs!$B$39&lt;&gt;"pvp",Inputs!$B$44&gt;0),((Skills!F8*((R1136-1)*IF(Skills!G8&gt;0,Skills!H8/Skills!G8,1)+IF(Skills!G8&gt;0,MIN(Skills!H8,MAX(0,MAX(0,Inputs!$B$44-B1167)-((R1136-1)*(IF(Inputs!$B$39="pvp",15,MAX(0.1,Skills!D8-IF(Skills!E8=TRUE,(Inputs!$B$33+1),0)))*(1-IF(AND(ArtifactsInput!$M$27,Inputs!$B$4="Chapter Hunt"),CHOOSE(ArtifactsInput!$N$27+1,20,24,28,32,36,40),0)/100)))))/Skills!G8,1)))/Inputs!$B$44),G1136*Q1136))*IF(Inputs!$B$39="pvp",1,(1+(Inputs!$B$22+Skills!P8+B1159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7">
      <c r="A1137">
        <f>Skills!A9</f>
        <v/>
      </c>
      <c r="B1137">
        <f>Skills!B9</f>
        <v/>
      </c>
      <c r="C1137">
        <f>Inputs!$B$3&gt;=115</f>
        <v/>
      </c>
      <c r="D1137">
        <f>IF(Skills!C9=1,60+Inputs!$B$26+Inputs!$B$30,IF(Skills!C9=2,90+Inputs!$B$27+Inputs!$B$30,IF(Skills!C9=3,120+Inputs!$B$28+Inputs!$B$30,MAX(0,(Inputs!$B$3-100)*3)+Inputs!$B$29+Inputs!$B$30)))</f>
        <v/>
      </c>
      <c r="E1137">
        <f>INDEX(FactorTable!$B$2:$Y$301, MATCH(ROUND(MIN(300,MAX(1,D1137)),0), FactorTable!$A$2:$A$301,0), Skills!L9+1)</f>
        <v/>
      </c>
      <c r="F1137">
        <f>IF(Skills!M9=TRUE,(Skills!K9/10)*(E1137/1000),Skills!K9/10)+Skills!N9</f>
        <v/>
      </c>
      <c r="G1137">
        <f>Calc!G9</f>
        <v/>
      </c>
      <c r="H1137">
        <f>Calc!H9</f>
        <v/>
      </c>
      <c r="I1137">
        <f>IF(Skills!T9&lt;&gt;"",1+(Skills!T9/10)*($Z$3/1000)/100,1)</f>
        <v/>
      </c>
      <c r="J1137">
        <f>((Inputs!$B$6*(1+Inputs!$B$7/100))+(((Inputs!$B$13*(1+Inputs!$B$14/100))-(Inputs!$B$13*(1+Inputs!$B$14/100)))+0.25*(Inputs!$B$15-Inputs!$B$15))*(1+Inputs!$B$7/100))*(F1137/100)</f>
        <v/>
      </c>
      <c r="K1137">
        <f>J1137*(1+(((Inputs!$B$13+IF(Inputs!$B$3&gt;=35,(10*INDEX(FactorTable!$B$2:$Y$301,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9="TRIUMPH_FEATHER",IF(C1144=TRUE,F1144,0),0)/100)*(1+IF(C1155=TRUE,F1155,0)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1137)</f>
        <v/>
      </c>
      <c r="L1137">
        <f>K1137*(MIN(Inputs!$B$23+(F1150-Calc!F22),(Inputs!$B$24+IF(ArtifactsInput!$M$15,CHOOSE(ArtifactsInput!$N$15+1,25,30,35,40,45,50)/100*(Inputs!$B$12-Inputs!$B$12),0)))/100+(Inputs!$B$24+IF(ArtifactsInput!$M$15,CHOOSE(ArtifactsInput!$N$15+1,25,30,35,40,45,50)/100*(Inputs!$B$12-Inputs!$B$12),0))/100)/2</f>
        <v/>
      </c>
      <c r="M1137">
        <f>L1137*(1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7">
        <f>L1137*(1-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1137*(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7">
        <f>(1-Summary!$B$11)*S1137+Summary!$B$11*U1137</f>
        <v/>
      </c>
      <c r="P1137">
        <f>IF(B1170=0,0,O1137/B1170)</f>
        <v/>
      </c>
      <c r="Q1137">
        <f>IFERROR(1/(IF(Inputs!$B$39="pvp",15,MAX(0.1,Skills!D9-IF(Skills!E9=TRUE,(Inputs!$B$33+1),0)))*(1-IF(AND(ArtifactsInput!$M$27,Inputs!$B$4="Chapter Hunt"),CHOOSE(ArtifactsInput!$N$27+1,20,24,28,32,36,40),0)/100)),0)</f>
        <v/>
      </c>
      <c r="R1137">
        <f>IF(AND(Inputs!$B$39&lt;&gt;"pvp",Inputs!$B$44&gt;0),IF(MAX(0,Inputs!$B$44-B1167)&lt;=0,0,(INT(MAX(0,Inputs!$B$44-B1167)/(IF(Inputs!$B$39="pvp",15,MAX(0.1,Skills!D9-IF(Skills!E9=TRUE,(Inputs!$B$33+1),0)))*(1-IF(AND(ArtifactsInput!$M$27,Inputs!$B$4="Chapter Hunt"),CHOOSE(ArtifactsInput!$N$27+1,20,24,28,32,36,40),0)/100)))+1)),0)</f>
        <v/>
      </c>
      <c r="S1137">
        <f>IF(C1137,(H1137*N1137*IF(AND(Inputs!$B$39&lt;&gt;"pvp",Inputs!$B$44&gt;0),((Skills!F9*((R1137-1)*IF(Skills!G9&gt;0,Skills!H9/Skills!G9,1)+IF(Skills!G9&gt;0,MIN(Skills!H9,MAX(0,MAX(0,Inputs!$B$44-B1167)-((R1137-1)*(IF(Inputs!$B$39="pvp",15,MAX(0.1,Skills!D9-IF(Skills!E9=TRUE,(Inputs!$B$33+1),0)))*(1-IF(AND(ArtifactsInput!$M$27,Inputs!$B$4="Chapter Hunt"),CHOOSE(ArtifactsInput!$N$27+1,20,24,28,32,36,40),0)/100)))))/Skills!G9,1)))/Inputs!$B$44),G1137*Q1137))*IF(Inputs!$B$39="pvp",1,1+(Inputs!$B$21+Skills!O9+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1137*(1-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1137*(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1137*(1-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1137*(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7">
        <f>IF(C1137,(H1137*N1137*IF(AND(Inputs!$B$39&lt;&gt;"pvp",Inputs!$B$44&gt;0),((Skills!F9*((R1137-1)*IF(Skills!G9&gt;0,Skills!H9/Skills!G9,1)+IF(Skills!G9&gt;0,MIN(Skills!H9,MAX(0,MAX(0,Inputs!$B$44-B1167)-((R1137-1)*(IF(Inputs!$B$39="pvp",15,MAX(0.1,Skills!D9-IF(Skills!E9=TRUE,(Inputs!$B$33+1),0)))*(1-IF(AND(ArtifactsInput!$M$27,Inputs!$B$4="Chapter Hunt"),CHOOSE(ArtifactsInput!$N$27+1,20,24,28,32,36,40),0)/100)))))/Skills!G9,1)))/Inputs!$B$44),G1137*Q1137))*IF(Inputs!$B$39="pvp",1,(1+(Inputs!$B$22+Skills!P9+B1159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8">
      <c r="A1138">
        <f>Skills!A10</f>
        <v/>
      </c>
      <c r="B1138">
        <f>Skills!B10</f>
        <v/>
      </c>
      <c r="C1138">
        <f>Inputs!$B$3&gt;=66</f>
        <v/>
      </c>
      <c r="D1138">
        <f>IF(Skills!C10=1,60+Inputs!$B$26+Inputs!$B$30,IF(Skills!C10=2,90+Inputs!$B$27+Inputs!$B$30,IF(Skills!C10=3,120+Inputs!$B$28+Inputs!$B$30,MAX(0,(Inputs!$B$3-100)*3)+Inputs!$B$29+Inputs!$B$30)))</f>
        <v/>
      </c>
      <c r="E1138">
        <f>INDEX(FactorTable!$B$2:$Y$301, MATCH(ROUND(MIN(300,MAX(1,D1138)),0), FactorTable!$A$2:$A$301,0), Skills!L10+1)</f>
        <v/>
      </c>
      <c r="F1138" t="n">
        <v>0</v>
      </c>
      <c r="G1138">
        <f>Calc!G10</f>
        <v/>
      </c>
      <c r="H1138">
        <f>Calc!H10</f>
        <v/>
      </c>
      <c r="I1138">
        <f>IF(Skills!T10&lt;&gt;"",1+(Skills!T10/10)*($Z$3/1000)/100,1)</f>
        <v/>
      </c>
      <c r="J1138" t="inlineStr"/>
      <c r="K1138" t="inlineStr"/>
      <c r="L1138" t="inlineStr"/>
      <c r="M1138" t="inlineStr"/>
      <c r="N1138" t="inlineStr"/>
      <c r="O1138">
        <f>(1-Summary!$B$11)*S1138+Summary!$B$11*U1138</f>
        <v/>
      </c>
      <c r="P1138">
        <f>IF(B1170=0,0,O1138/B1170)</f>
        <v/>
      </c>
      <c r="Q1138">
        <f>IFERROR(1/(IF(Inputs!$B$39="pvp",15,MAX(0.1,Skills!D10-IF(Skills!E10=TRUE,(Inputs!$B$33+1),0)))*(1-IF(AND(ArtifactsInput!$M$27,Inputs!$B$4="Chapter Hunt"),CHOOSE(ArtifactsInput!$N$27+1,20,24,28,32,36,40),0)/100)),0)</f>
        <v/>
      </c>
      <c r="R1138">
        <f>IF(AND(Inputs!$B$39&lt;&gt;"pvp",Inputs!$B$44&gt;0),IF(MAX(0,Inputs!$B$44-B1167)&lt;=0,0,(INT(MAX(0,Inputs!$B$44-B1167)/(IF(Inputs!$B$39="pvp",15,MAX(0.1,Skills!D10-IF(Skills!E10=TRUE,(Inputs!$B$33+1),0)))*(1-IF(AND(ArtifactsInput!$M$27,Inputs!$B$4="Chapter Hunt"),CHOOSE(ArtifactsInput!$N$27+1,20,24,28,32,36,40),0)/100)))+1)),0)</f>
        <v/>
      </c>
      <c r="S1138" t="n">
        <v>0</v>
      </c>
      <c r="U1138" t="n">
        <v>0</v>
      </c>
    </row>
    <row r="1139">
      <c r="A1139">
        <f>Skills!A11</f>
        <v/>
      </c>
      <c r="B1139">
        <f>Skills!B11</f>
        <v/>
      </c>
      <c r="C1139">
        <f>Inputs!$B$3&gt;=69</f>
        <v/>
      </c>
      <c r="D1139">
        <f>IF(Skills!C11=1,60+Inputs!$B$26+Inputs!$B$30,IF(Skills!C11=2,90+Inputs!$B$27+Inputs!$B$30,IF(Skills!C11=3,120+Inputs!$B$28+Inputs!$B$30,MAX(0,(Inputs!$B$3-100)*3)+Inputs!$B$29+Inputs!$B$30)))</f>
        <v/>
      </c>
      <c r="E1139">
        <f>INDEX(FactorTable!$B$2:$Y$301, MATCH(ROUND(MIN(300,MAX(1,D1139)),0), FactorTable!$A$2:$A$301,0), Skills!L11+1)</f>
        <v/>
      </c>
      <c r="F1139">
        <f>IF(Skills!M11=TRUE,(Skills!K11/10)*(E1139/1000),Skills!K11/10)+Skills!N11</f>
        <v/>
      </c>
      <c r="G1139">
        <f>Calc!G11</f>
        <v/>
      </c>
      <c r="H1139">
        <f>Calc!H11</f>
        <v/>
      </c>
      <c r="I1139">
        <f>IF(Skills!T11&lt;&gt;"",1+(Skills!T11/10)*($Z$3/1000)/100,1)</f>
        <v/>
      </c>
      <c r="J1139" t="inlineStr"/>
      <c r="K1139" t="inlineStr"/>
      <c r="L1139" t="inlineStr"/>
      <c r="M1139" t="inlineStr"/>
      <c r="N1139" t="inlineStr"/>
      <c r="O1139">
        <f>(1-Summary!$B$11)*S1139+Summary!$B$11*U1139</f>
        <v/>
      </c>
      <c r="P1139">
        <f>IF(B1170=0,0,O1139/B1170)</f>
        <v/>
      </c>
      <c r="Q1139">
        <f>IFERROR(1/(IF(Inputs!$B$39="pvp",15,MAX(0.1,Skills!D11-IF(Skills!E11=TRUE,(Inputs!$B$33+1),0)))*(1-IF(AND(ArtifactsInput!$M$27,Inputs!$B$4="Chapter Hunt"),CHOOSE(ArtifactsInput!$N$27+1,20,24,28,32,36,40),0)/100)),0)</f>
        <v/>
      </c>
      <c r="R1139">
        <f>IF(AND(Inputs!$B$39&lt;&gt;"pvp",Inputs!$B$44&gt;0),IF(Inputs!$B$44&lt;=0,0,(INT(Inputs!$B$44/(IF(Inputs!$B$39="pvp",15,MAX(0.1,Skills!D11-IF(Skills!E11=TRUE,(Inputs!$B$33+1),0)))*(1-IF(AND(ArtifactsInput!$M$27,Inputs!$B$4="Chapter Hunt"),CHOOSE(ArtifactsInput!$N$27+1,20,24,28,32,36,40),0)/100)))+1)),0)</f>
        <v/>
      </c>
      <c r="S1139" t="n">
        <v>0</v>
      </c>
      <c r="U1139" t="n">
        <v>0</v>
      </c>
    </row>
    <row r="1140">
      <c r="A1140">
        <f>Skills!A12</f>
        <v/>
      </c>
      <c r="B1140">
        <f>Skills!B12</f>
        <v/>
      </c>
      <c r="C1140">
        <f>Inputs!$B$3&gt;=72</f>
        <v/>
      </c>
      <c r="D1140">
        <f>IF(Skills!C12=1,60+Inputs!$B$26+Inputs!$B$30,IF(Skills!C12=2,90+Inputs!$B$27+Inputs!$B$30,IF(Skills!C12=3,120+Inputs!$B$28+Inputs!$B$30,MAX(0,(Inputs!$B$3-100)*3)+Inputs!$B$29+Inputs!$B$30)))</f>
        <v/>
      </c>
      <c r="E1140">
        <f>INDEX(FactorTable!$B$2:$Y$301, MATCH(ROUND(MIN(300,MAX(1,D1140)),0), FactorTable!$A$2:$A$301,0), Skills!L12+1)</f>
        <v/>
      </c>
      <c r="F1140">
        <f>IF(Skills!M12=TRUE,(Skills!K12/10)*(E1140/1000),Skills!K12/10)+Skills!N12</f>
        <v/>
      </c>
      <c r="G1140">
        <f>Calc!G12</f>
        <v/>
      </c>
      <c r="H1140">
        <f>Calc!H12</f>
        <v/>
      </c>
      <c r="I1140">
        <f>IF(Skills!T12&lt;&gt;"",1+(Skills!T12/10)*($Z$3/1000)/100,1)</f>
        <v/>
      </c>
      <c r="J1140" t="inlineStr"/>
      <c r="K1140" t="inlineStr"/>
      <c r="L1140" t="inlineStr"/>
      <c r="M1140" t="inlineStr"/>
      <c r="N1140" t="inlineStr"/>
      <c r="O1140">
        <f>(1-Summary!$B$11)*S1140+Summary!$B$11*U1140</f>
        <v/>
      </c>
      <c r="P1140">
        <f>IF(B1170=0,0,O1140/B1170)</f>
        <v/>
      </c>
      <c r="Q1140">
        <f>IFERROR(1/(IF(Inputs!$B$39="pvp",15,MAX(0.1,Skills!D12-IF(Skills!E12=TRUE,(Inputs!$B$33+1),0)))*(1-IF(AND(ArtifactsInput!$M$27,Inputs!$B$4="Chapter Hunt"),CHOOSE(ArtifactsInput!$N$27+1,20,24,28,32,36,40),0)/100)),0)</f>
        <v/>
      </c>
      <c r="R1140">
        <f>IF(AND(Inputs!$B$39&lt;&gt;"pvp",Inputs!$B$44&gt;0),IF(MAX(0,Inputs!$B$44-B1167)&lt;=0,0,(INT(MAX(0,Inputs!$B$44-B1167)/(IF(Inputs!$B$39="pvp",15,MAX(0.1,Skills!D12-IF(Skills!E12=TRUE,(Inputs!$B$33+1),0)))*(1-IF(AND(ArtifactsInput!$M$27,Inputs!$B$4="Chapter Hunt"),CHOOSE(ArtifactsInput!$N$27+1,20,24,28,32,36,40),0)/100)))+1)),0)</f>
        <v/>
      </c>
      <c r="S1140" t="n">
        <v>0</v>
      </c>
      <c r="U1140" t="n">
        <v>0</v>
      </c>
    </row>
    <row r="1141">
      <c r="A1141">
        <f>Skills!A13</f>
        <v/>
      </c>
      <c r="B1141">
        <f>Skills!B13</f>
        <v/>
      </c>
      <c r="C1141">
        <f>Inputs!$B$3&gt;=60</f>
        <v/>
      </c>
      <c r="D1141">
        <f>IF(Skills!C13=1,60+Inputs!$B$26+Inputs!$B$30,IF(Skills!C13=2,90+Inputs!$B$27+Inputs!$B$30,IF(Skills!C13=3,120+Inputs!$B$28+Inputs!$B$30,MAX(0,(Inputs!$B$3-100)*3)+Inputs!$B$29+Inputs!$B$30)))</f>
        <v/>
      </c>
      <c r="E1141">
        <f>INDEX(FactorTable!$B$2:$Y$301, MATCH(ROUND(MIN(300,MAX(1,D1141)),0), FactorTable!$A$2:$A$301,0), Skills!L13+1)</f>
        <v/>
      </c>
      <c r="F1141">
        <f>IF(Skills!M13=TRUE,(Skills!K13/10)*(E1141/1000),Skills!K13/10)+Skills!N13</f>
        <v/>
      </c>
      <c r="G1141">
        <f>Calc!G13</f>
        <v/>
      </c>
      <c r="H1141">
        <f>Calc!H13</f>
        <v/>
      </c>
      <c r="I1141">
        <f>IF(Skills!T13&lt;&gt;"",1+(Skills!T13/10)*($Z$3/1000)/100,1)</f>
        <v/>
      </c>
      <c r="J1141" t="inlineStr"/>
      <c r="K1141" t="inlineStr"/>
      <c r="L1141" t="inlineStr"/>
      <c r="M1141" t="inlineStr"/>
      <c r="N1141" t="inlineStr"/>
      <c r="O1141">
        <f>(1-Summary!$B$11)*S1141+Summary!$B$11*U1141</f>
        <v/>
      </c>
      <c r="P1141">
        <f>IF(B1170=0,0,O1141/B1170)</f>
        <v/>
      </c>
      <c r="Q1141">
        <f>IFERROR(1/(IF(Inputs!$B$39="pvp",15,MAX(0.1,Skills!D13-IF(Skills!E13=TRUE,(Inputs!$B$33+1),0)))*(1-IF(AND(ArtifactsInput!$M$27,Inputs!$B$4="Chapter Hunt"),CHOOSE(ArtifactsInput!$N$27+1,20,24,28,32,36,40),0)/100)),0)</f>
        <v/>
      </c>
      <c r="R1141">
        <f>IF(AND(Inputs!$B$39&lt;&gt;"pvp",Inputs!$B$44&gt;0),IF(MAX(0,Inputs!$B$44-B1167)&lt;=0,0,(INT(MAX(0,Inputs!$B$44-B1167)/(IF(Inputs!$B$39="pvp",15,MAX(0.1,Skills!D13-IF(Skills!E13=TRUE,(Inputs!$B$33+1),0)))*(1-IF(AND(ArtifactsInput!$M$27,Inputs!$B$4="Chapter Hunt"),CHOOSE(ArtifactsInput!$N$27+1,20,24,28,32,36,40),0)/100)))+1)),0)</f>
        <v/>
      </c>
      <c r="S1141" t="n">
        <v>0</v>
      </c>
      <c r="U1141" t="n">
        <v>0</v>
      </c>
    </row>
    <row r="1142">
      <c r="A1142">
        <f>Skills!A14</f>
        <v/>
      </c>
      <c r="B1142">
        <f>Skills!B14</f>
        <v/>
      </c>
      <c r="C1142">
        <f>Inputs!$B$3&gt;=107</f>
        <v/>
      </c>
      <c r="D1142">
        <f>IF(Skills!C14=1,60+Inputs!$B$26+Inputs!$B$30,IF(Skills!C14=2,90+Inputs!$B$27+Inputs!$B$30,IF(Skills!C14=3,120+Inputs!$B$28+Inputs!$B$30,MAX(0,(Inputs!$B$3-100)*3)+Inputs!$B$29+Inputs!$B$30)))</f>
        <v/>
      </c>
      <c r="E1142">
        <f>INDEX(FactorTable!$B$2:$Y$301, MATCH(ROUND(MIN(300,MAX(1,D1142)),0), FactorTable!$A$2:$A$301,0), Skills!L14+1)</f>
        <v/>
      </c>
      <c r="F1142">
        <f>IF(Skills!M14=TRUE,(Skills!K14/10)*(E1142/1000),Skills!K14/10)+Skills!N14</f>
        <v/>
      </c>
      <c r="G1142">
        <f>Calc!G14</f>
        <v/>
      </c>
      <c r="H1142">
        <f>Calc!H14</f>
        <v/>
      </c>
      <c r="I1142">
        <f>IF(Skills!T14&lt;&gt;"",1+(Skills!T14/10)*($Z$3/1000)/100,1)</f>
        <v/>
      </c>
      <c r="J1142" t="inlineStr"/>
      <c r="K1142" t="inlineStr"/>
      <c r="L1142" t="inlineStr"/>
      <c r="M1142" t="inlineStr"/>
      <c r="N1142" t="inlineStr"/>
      <c r="O1142">
        <f>(1-Summary!$B$11)*S1142+Summary!$B$11*U1142</f>
        <v/>
      </c>
      <c r="P1142">
        <f>IF(B1170=0,0,O1142/B1170)</f>
        <v/>
      </c>
      <c r="Q1142">
        <f>IFERROR(1/(IF(Inputs!$B$39="pvp",15,MAX(0.1,Skills!D14-IF(Skills!E14=TRUE,(Inputs!$B$33+1),0)))*(1-IF(AND(ArtifactsInput!$M$27,Inputs!$B$4="Chapter Hunt"),CHOOSE(ArtifactsInput!$N$27+1,20,24,28,32,36,40),0)/100)),0)</f>
        <v/>
      </c>
      <c r="R1142">
        <f>IF(AND(Inputs!$B$39&lt;&gt;"pvp",Inputs!$B$44&gt;0),IF(Inputs!$B$44&lt;=0,0,(INT(Inputs!$B$44/(IF(Inputs!$B$39="pvp",15,MAX(0.1,Skills!D14-IF(Skills!E14=TRUE,(Inputs!$B$33+1),0)))*(1-IF(AND(ArtifactsInput!$M$27,Inputs!$B$4="Chapter Hunt"),CHOOSE(ArtifactsInput!$N$27+1,20,24,28,32,36,40),0)/100)))+1)),0)</f>
        <v/>
      </c>
      <c r="S1142" t="n">
        <v>0</v>
      </c>
      <c r="U1142" t="n">
        <v>0</v>
      </c>
    </row>
    <row r="1143">
      <c r="A1143">
        <f>Skills!A15</f>
        <v/>
      </c>
      <c r="B1143">
        <f>Skills!B15</f>
        <v/>
      </c>
      <c r="C1143">
        <f>Inputs!$B$3&gt;=63</f>
        <v/>
      </c>
      <c r="D1143">
        <f>IF(Skills!C15=1,60+Inputs!$B$26+Inputs!$B$30,IF(Skills!C15=2,90+Inputs!$B$27+Inputs!$B$30,IF(Skills!C15=3,120+Inputs!$B$28+Inputs!$B$30,MAX(0,(Inputs!$B$3-100)*3)+Inputs!$B$29+Inputs!$B$30)))</f>
        <v/>
      </c>
      <c r="E1143">
        <f>INDEX(FactorTable!$B$2:$Y$301, MATCH(ROUND(MIN(300,MAX(1,D1143)),0), FactorTable!$A$2:$A$301,0), Skills!L15+1)</f>
        <v/>
      </c>
      <c r="F1143">
        <f>IF(Skills!M15=TRUE,(Skills!K15/10)*(E1143/1000),Skills!K15/10)+Skills!N15</f>
        <v/>
      </c>
      <c r="G1143">
        <f>Calc!G15</f>
        <v/>
      </c>
      <c r="H1143">
        <f>Calc!H15</f>
        <v/>
      </c>
      <c r="I1143">
        <f>IF(Skills!T15&lt;&gt;"",1+(Skills!T15/10)*($Z$3/1000)/100,1)</f>
        <v/>
      </c>
      <c r="J1143">
        <f>((Inputs!$B$6*(1+Inputs!$B$7/100))+(((Inputs!$B$13*(1+Inputs!$B$14/100))-(Inputs!$B$13*(1+Inputs!$B$14/100)))+0.25*(Inputs!$B$15-Inputs!$B$15))*(1+Inputs!$B$7/100))*(F1143/100)</f>
        <v/>
      </c>
      <c r="K1143">
        <f>J1143*(1+(((Inputs!$B$13+IF(Inputs!$B$3&gt;=35,(10*INDEX(FactorTable!$B$2:$Y$301,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15="TRIUMPH_FEATHER",IF(C1144=TRUE,F1144,0),0)/100)*(1+IF(C1155=TRUE,F1155,0)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1143)</f>
        <v/>
      </c>
      <c r="L1143">
        <f>K1143*(MIN(Inputs!$B$23+(F1150-Calc!F22),(Inputs!$B$24+IF(ArtifactsInput!$M$15,CHOOSE(ArtifactsInput!$N$15+1,25,30,35,40,45,50)/100*(Inputs!$B$12-Inputs!$B$12),0)))/100+(Inputs!$B$24+IF(ArtifactsInput!$M$15,CHOOSE(ArtifactsInput!$N$15+1,25,30,35,40,45,50)/100*(Inputs!$B$12-Inputs!$B$12),0))/100)/2</f>
        <v/>
      </c>
      <c r="M1143">
        <f>L1143*(1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43">
        <f>L1143*(1-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1143*(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3">
        <f>(1-Summary!$B$11)*S1143+Summary!$B$11*U1143</f>
        <v/>
      </c>
      <c r="P1143">
        <f>IF(B1170=0,0,O1143/B1170)</f>
        <v/>
      </c>
      <c r="Q1143">
        <f>IFERROR(1/(IF(Inputs!$B$39="pvp",15,MAX(0.1,Skills!D15-IF(Skills!E15=TRUE,(Inputs!$B$33+1),0)))*(1-IF(AND(ArtifactsInput!$M$27,Inputs!$B$4="Chapter Hunt"),CHOOSE(ArtifactsInput!$N$27+1,20,24,28,32,36,40),0)/100)),0)</f>
        <v/>
      </c>
      <c r="R1143" t="n">
        <v>0</v>
      </c>
      <c r="S1143">
        <f>IF(C1143,(Skills!F15*N1143*((IF(Inputs!$B$3&gt;=78,25,15)/100*B1163*10)/(1+IF(Inputs!$B$3&gt;=78,25,15)/100*B1163*10))*(Skills!I15/100*B1163)/(1+Skills!G15*Skills!I15/100*B1163))*IF(Inputs!$B$39="pvp",1,1+(Inputs!$B$21+Skills!O15+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1143*(1-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1143*(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1143*(1-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1143*(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43">
        <f>IF(C1143,(Skills!F15*N1143*((IF(Inputs!$B$3&gt;=78,25,15)/100*B1163*10)/(1+IF(Inputs!$B$3&gt;=78,25,15)/100*B1163*10))*(Skills!I15/100*B1163)/(1+Skills!G15*Skills!I15/100*B1163))*IF(Inputs!$B$39="pvp",1,(1+(Inputs!$B$22+Skills!P15+B1159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4">
      <c r="A1144">
        <f>Skills!A16</f>
        <v/>
      </c>
      <c r="B1144">
        <f>Skills!B16</f>
        <v/>
      </c>
      <c r="C1144">
        <f>Inputs!$B$3&gt;=100</f>
        <v/>
      </c>
      <c r="D1144">
        <f>IF(Skills!C16=1,60+Inputs!$B$26+Inputs!$B$30,IF(Skills!C16=2,90+Inputs!$B$27+Inputs!$B$30,IF(Skills!C16=3,120+Inputs!$B$28+Inputs!$B$30,MAX(0,(Inputs!$B$3-100)*3)+Inputs!$B$29+Inputs!$B$30)))</f>
        <v/>
      </c>
      <c r="E1144">
        <f>INDEX(FactorTable!$B$2:$Y$301, MATCH(ROUND(MIN(300,MAX(1,D1144)),0), FactorTable!$A$2:$A$301,0), Skills!L16+1)</f>
        <v/>
      </c>
      <c r="F1144">
        <f>IF(Skills!M16=TRUE,(Skills!K16/10)*(E1144/1000),Skills!K16/10)+Skills!N16</f>
        <v/>
      </c>
      <c r="G1144">
        <f>Calc!G16</f>
        <v/>
      </c>
      <c r="H1144">
        <f>Calc!H16</f>
        <v/>
      </c>
      <c r="I1144">
        <f>IF(Skills!T16&lt;&gt;"",1+(Skills!T16/10)*($Z$3/1000)/100,1)</f>
        <v/>
      </c>
      <c r="J1144" t="inlineStr"/>
      <c r="K1144" t="inlineStr"/>
      <c r="L1144" t="inlineStr"/>
      <c r="M1144" t="inlineStr"/>
      <c r="N1144" t="inlineStr"/>
      <c r="O1144">
        <f>(1-Summary!$B$11)*S1144+Summary!$B$11*U1144</f>
        <v/>
      </c>
      <c r="P1144">
        <f>IF(B1170=0,0,O1144/B1170)</f>
        <v/>
      </c>
      <c r="Q1144">
        <f>IFERROR(1/(IF(Inputs!$B$39="pvp",15,MAX(0.1,Skills!D16-IF(Skills!E16=TRUE,(Inputs!$B$33+1),0)))*(1-IF(AND(ArtifactsInput!$M$27,Inputs!$B$4="Chapter Hunt"),CHOOSE(ArtifactsInput!$N$27+1,20,24,28,32,36,40),0)/100)),0)</f>
        <v/>
      </c>
      <c r="R1144" t="n">
        <v>0</v>
      </c>
      <c r="S1144" t="n">
        <v>0</v>
      </c>
      <c r="U1144" t="n">
        <v>0</v>
      </c>
    </row>
    <row r="1145">
      <c r="A1145">
        <f>Skills!A17</f>
        <v/>
      </c>
      <c r="B1145">
        <f>Skills!B17</f>
        <v/>
      </c>
      <c r="C1145">
        <f>Inputs!$B$3&gt;=49</f>
        <v/>
      </c>
      <c r="D1145">
        <f>IF(Skills!C17=1,60+Inputs!$B$26+Inputs!$B$30,IF(Skills!C17=2,90+Inputs!$B$27+Inputs!$B$30,IF(Skills!C17=3,120+Inputs!$B$28+Inputs!$B$30,MAX(0,(Inputs!$B$3-100)*3)+Inputs!$B$29+Inputs!$B$30)))</f>
        <v/>
      </c>
      <c r="E1145">
        <f>INDEX(FactorTable!$B$2:$Y$301, MATCH(ROUND(MIN(300,MAX(1,D1145)),0), FactorTable!$A$2:$A$301,0), Skills!L17+1)</f>
        <v/>
      </c>
      <c r="F1145">
        <f>IF(Skills!M17=TRUE,(Skills!K17/10)*(E1145/1000),Skills!K17/10)+Skills!N17</f>
        <v/>
      </c>
      <c r="G1145">
        <f>Calc!G17</f>
        <v/>
      </c>
      <c r="H1145">
        <f>Calc!H17</f>
        <v/>
      </c>
      <c r="I1145">
        <f>IF(Skills!T17&lt;&gt;"",1+(Skills!T17/10)*($Z$3/1000)/100,1)</f>
        <v/>
      </c>
      <c r="J1145" t="inlineStr"/>
      <c r="K1145" t="inlineStr"/>
      <c r="L1145" t="inlineStr"/>
      <c r="M1145" t="inlineStr"/>
      <c r="N1145" t="inlineStr"/>
      <c r="O1145">
        <f>(1-Summary!$B$11)*S1145+Summary!$B$11*U1145</f>
        <v/>
      </c>
      <c r="P1145">
        <f>IF(B1170=0,0,O1145/B1170)</f>
        <v/>
      </c>
      <c r="Q1145">
        <f>IFERROR(1/(IF(Inputs!$B$39="pvp",15,MAX(0.1,Skills!D17-IF(Skills!E17=TRUE,(Inputs!$B$33+1),0)))*(1-IF(AND(ArtifactsInput!$M$27,Inputs!$B$4="Chapter Hunt"),CHOOSE(ArtifactsInput!$N$27+1,20,24,28,32,36,40),0)/100)),0)</f>
        <v/>
      </c>
      <c r="R1145" t="n">
        <v>0</v>
      </c>
      <c r="S1145" t="n">
        <v>0</v>
      </c>
      <c r="U1145" t="n">
        <v>0</v>
      </c>
    </row>
    <row r="1146">
      <c r="A1146">
        <f>Skills!A18</f>
        <v/>
      </c>
      <c r="B1146">
        <f>Skills!B18</f>
        <v/>
      </c>
      <c r="C1146">
        <f>Inputs!$B$3&gt;=75</f>
        <v/>
      </c>
      <c r="D1146">
        <f>IF(Skills!C18=1,60+Inputs!$B$26+Inputs!$B$30,IF(Skills!C18=2,90+Inputs!$B$27+Inputs!$B$30,IF(Skills!C18=3,120+Inputs!$B$28+Inputs!$B$30,MAX(0,(Inputs!$B$3-100)*3)+Inputs!$B$29+Inputs!$B$30)))</f>
        <v/>
      </c>
      <c r="E1146">
        <f>INDEX(FactorTable!$B$2:$Y$301, MATCH(ROUND(MIN(300,MAX(1,D1146)),0), FactorTable!$A$2:$A$301,0), Skills!L18+1)</f>
        <v/>
      </c>
      <c r="F1146">
        <f>IF(Skills!M18=TRUE,(Skills!K18/10)*(E1146/1000),Skills!K18/10)+Skills!N18</f>
        <v/>
      </c>
      <c r="G1146">
        <f>Calc!G18</f>
        <v/>
      </c>
      <c r="H1146">
        <f>Calc!H18</f>
        <v/>
      </c>
      <c r="I1146">
        <f>IF(Skills!T18&lt;&gt;"",1+(Skills!T18/10)*($Z$3/1000)/100,1)</f>
        <v/>
      </c>
      <c r="J1146" t="inlineStr"/>
      <c r="K1146" t="inlineStr"/>
      <c r="L1146" t="inlineStr"/>
      <c r="M1146" t="inlineStr"/>
      <c r="N1146" t="inlineStr"/>
      <c r="O1146">
        <f>(1-Summary!$B$11)*S1146+Summary!$B$11*U1146</f>
        <v/>
      </c>
      <c r="P1146">
        <f>IF(B1170=0,0,O1146/B1170)</f>
        <v/>
      </c>
      <c r="Q1146">
        <f>IFERROR(1/(IF(Inputs!$B$39="pvp",15,MAX(0.1,Skills!D18-IF(Skills!E18=TRUE,(Inputs!$B$33+1),0)))*(1-IF(AND(ArtifactsInput!$M$27,Inputs!$B$4="Chapter Hunt"),CHOOSE(ArtifactsInput!$N$27+1,20,24,28,32,36,40),0)/100)),0)</f>
        <v/>
      </c>
      <c r="R1146" t="n">
        <v>0</v>
      </c>
      <c r="S1146" t="n">
        <v>0</v>
      </c>
      <c r="U1146" t="n">
        <v>0</v>
      </c>
    </row>
    <row r="1147">
      <c r="A1147">
        <f>Skills!A19</f>
        <v/>
      </c>
      <c r="B1147">
        <f>Skills!B19</f>
        <v/>
      </c>
      <c r="C1147">
        <f>Inputs!$B$3&gt;=110</f>
        <v/>
      </c>
      <c r="D1147">
        <f>IF(Skills!C19=1,60+Inputs!$B$26+Inputs!$B$30,IF(Skills!C19=2,90+Inputs!$B$27+Inputs!$B$30,IF(Skills!C19=3,120+Inputs!$B$28+Inputs!$B$30,MAX(0,(Inputs!$B$3-100)*3)+Inputs!$B$29+Inputs!$B$30)))</f>
        <v/>
      </c>
      <c r="E1147">
        <f>INDEX(FactorTable!$B$2:$Y$301, MATCH(ROUND(MIN(300,MAX(1,D1147)),0), FactorTable!$A$2:$A$301,0), Skills!L19+1)</f>
        <v/>
      </c>
      <c r="F1147">
        <f>(Skills!K19/10)*(E1147/1000)*64/45+Skills!N19</f>
        <v/>
      </c>
      <c r="G1147">
        <f>Calc!G19</f>
        <v/>
      </c>
      <c r="H1147">
        <f>Calc!H19</f>
        <v/>
      </c>
      <c r="I1147">
        <f>IF(Skills!T19&lt;&gt;"",1+(Skills!T19/10)*($Z$3/1000)/100,1)</f>
        <v/>
      </c>
      <c r="J1147" t="inlineStr"/>
      <c r="K1147" t="inlineStr"/>
      <c r="L1147" t="inlineStr"/>
      <c r="M1147" t="inlineStr"/>
      <c r="N1147" t="inlineStr"/>
      <c r="O1147">
        <f>(1-Summary!$B$11)*S1147+Summary!$B$11*U1147</f>
        <v/>
      </c>
      <c r="P1147">
        <f>IF(B1170=0,0,O1147/B1170)</f>
        <v/>
      </c>
      <c r="Q1147">
        <f>IFERROR(1/(IF(Inputs!$B$39="pvp",15,MAX(0.1,Skills!D19-IF(Skills!E19=TRUE,(Inputs!$B$33+1),0)))*(1-IF(AND(ArtifactsInput!$M$27,Inputs!$B$4="Chapter Hunt"),CHOOSE(ArtifactsInput!$N$27+1,20,24,28,32,36,40),0)/100)),0)</f>
        <v/>
      </c>
      <c r="R1147">
        <f>IF(AND(Inputs!$B$39&lt;&gt;"pvp",Inputs!$B$44&gt;0),IF(Inputs!$B$44&lt;=0,0,(INT(Inputs!$B$44/(IF(Inputs!$B$39="pvp",15,MAX(0.1,Skills!D19-IF(Skills!E19=TRUE,(Inputs!$B$33+1),0)))*(1-IF(AND(ArtifactsInput!$M$27,Inputs!$B$4="Chapter Hunt"),CHOOSE(ArtifactsInput!$N$27+1,20,24,28,32,36,40),0)/100)))+1)),0)</f>
        <v/>
      </c>
      <c r="S1147" t="n">
        <v>0</v>
      </c>
      <c r="U1147" t="n">
        <v>0</v>
      </c>
    </row>
    <row r="1148">
      <c r="A1148">
        <f>Skills!A20</f>
        <v/>
      </c>
      <c r="B1148">
        <f>Skills!B20</f>
        <v/>
      </c>
      <c r="C1148">
        <f>Inputs!$B$3&gt;=125</f>
        <v/>
      </c>
      <c r="D1148">
        <f>IF(Skills!C20=1,60+Inputs!$B$26+Inputs!$B$30,IF(Skills!C20=2,90+Inputs!$B$27+Inputs!$B$30,IF(Skills!C20=3,120+Inputs!$B$28+Inputs!$B$30,MAX(0,(Inputs!$B$3-100)*3)+Inputs!$B$29+Inputs!$B$30)))</f>
        <v/>
      </c>
      <c r="E1148">
        <f>INDEX(FactorTable!$B$2:$Y$301, MATCH(ROUND(MIN(300,MAX(1,D1148)),0), FactorTable!$A$2:$A$301,0), Skills!L20+1)</f>
        <v/>
      </c>
      <c r="F1148">
        <f>IF(Skills!M20=TRUE,(Skills!K20/10)*(E1148/1000),Skills!K20/10)+Skills!N20</f>
        <v/>
      </c>
      <c r="G1148">
        <f>Calc!G20</f>
        <v/>
      </c>
      <c r="H1148">
        <f>Calc!H20</f>
        <v/>
      </c>
      <c r="I1148">
        <f>IF(Skills!T20&lt;&gt;"",1+(Skills!T20/10)*($Z$3/1000)/100,1)</f>
        <v/>
      </c>
      <c r="J1148" t="inlineStr"/>
      <c r="K1148" t="inlineStr"/>
      <c r="L1148" t="inlineStr"/>
      <c r="M1148" t="inlineStr"/>
      <c r="N1148" t="inlineStr"/>
      <c r="O1148">
        <f>(1-Summary!$B$11)*S1148+Summary!$B$11*U1148</f>
        <v/>
      </c>
      <c r="P1148">
        <f>IF(B1170=0,0,O1148/B1170)</f>
        <v/>
      </c>
      <c r="Q1148">
        <f>IFERROR(1/(IF(Inputs!$B$39="pvp",15,MAX(0.1,Skills!D20-IF(Skills!E20=TRUE,(Inputs!$B$33+1),0)))*(1-IF(AND(ArtifactsInput!$M$27,Inputs!$B$4="Chapter Hunt"),CHOOSE(ArtifactsInput!$N$27+1,20,24,28,32,36,40),0)/100)),0)</f>
        <v/>
      </c>
      <c r="R1148" t="n">
        <v>0</v>
      </c>
      <c r="S1148" t="n">
        <v>0</v>
      </c>
      <c r="U1148" t="n">
        <v>0</v>
      </c>
    </row>
    <row r="1149">
      <c r="A1149">
        <f>Skills!A21</f>
        <v/>
      </c>
      <c r="B1149">
        <f>Skills!B21</f>
        <v/>
      </c>
      <c r="C1149">
        <f>Inputs!$B$3&gt;=33</f>
        <v/>
      </c>
      <c r="D1149">
        <f>IF(Skills!C21=1,60+Inputs!$B$26+Inputs!$B$30,IF(Skills!C21=2,90+Inputs!$B$27+Inputs!$B$30,IF(Skills!C21=3,120+Inputs!$B$28+Inputs!$B$30,MAX(0,(Inputs!$B$3-100)*3)+Inputs!$B$29+Inputs!$B$30)))</f>
        <v/>
      </c>
      <c r="E1149">
        <f>INDEX(FactorTable!$B$2:$Y$301, MATCH(ROUND(MIN(300,MAX(1,D1149)),0), FactorTable!$A$2:$A$301,0), Skills!L21+1)</f>
        <v/>
      </c>
      <c r="F1149">
        <f>IF(Skills!M21=TRUE,(Skills!K21/10)*(E1149/1000),Skills!K21/10)+Skills!N21</f>
        <v/>
      </c>
      <c r="G1149">
        <f>Calc!G21</f>
        <v/>
      </c>
      <c r="H1149">
        <f>Calc!H21</f>
        <v/>
      </c>
      <c r="I1149">
        <f>IF(Skills!T21&lt;&gt;"",1+(Skills!T21/10)*($Z$3/1000)/100,1)</f>
        <v/>
      </c>
      <c r="J1149" t="inlineStr"/>
      <c r="K1149" t="inlineStr"/>
      <c r="L1149" t="inlineStr"/>
      <c r="M1149" t="inlineStr"/>
      <c r="N1149" t="inlineStr"/>
      <c r="O1149">
        <f>(1-Summary!$B$11)*S1149+Summary!$B$11*U1149</f>
        <v/>
      </c>
      <c r="P1149">
        <f>IF(B1170=0,0,O1149/B1170)</f>
        <v/>
      </c>
      <c r="Q1149">
        <f>IFERROR(1/(IF(Inputs!$B$39="pvp",15,MAX(0.1,Skills!D21-IF(Skills!E21=TRUE,(Inputs!$B$33+1),0)))*(1-IF(AND(ArtifactsInput!$M$27,Inputs!$B$4="Chapter Hunt"),CHOOSE(ArtifactsInput!$N$27+1,20,24,28,32,36,40),0)/100)),0)</f>
        <v/>
      </c>
      <c r="R1149" t="n">
        <v>0</v>
      </c>
      <c r="S1149" t="n">
        <v>0</v>
      </c>
      <c r="U1149" t="n">
        <v>0</v>
      </c>
    </row>
    <row r="1150">
      <c r="A1150">
        <f>Skills!A22</f>
        <v/>
      </c>
      <c r="B1150">
        <f>Skills!B22</f>
        <v/>
      </c>
      <c r="C1150">
        <f>Inputs!$B$3&gt;=43</f>
        <v/>
      </c>
      <c r="D1150">
        <f>IF(Skills!C22=1,60+Inputs!$B$26+Inputs!$B$30,IF(Skills!C22=2,90+Inputs!$B$27+Inputs!$B$30,IF(Skills!C22=3,120+Inputs!$B$28+Inputs!$B$30,MAX(0,(Inputs!$B$3-100)*3)+Inputs!$B$29+Inputs!$B$30)))</f>
        <v/>
      </c>
      <c r="E1150">
        <f>INDEX(FactorTable!$B$2:$Y$301, MATCH(ROUND(MIN(300,MAX(1,D1150)),0), FactorTable!$A$2:$A$301,0), Skills!L22+1)</f>
        <v/>
      </c>
      <c r="F1150">
        <f>IF(Skills!M22=TRUE,(Skills!K22/10)*(E1150/1000),Skills!K22/10)+Skills!N22</f>
        <v/>
      </c>
      <c r="G1150">
        <f>Calc!G22</f>
        <v/>
      </c>
      <c r="H1150">
        <f>Calc!H22</f>
        <v/>
      </c>
      <c r="I1150">
        <f>IF(Skills!T22&lt;&gt;"",1+(Skills!T22/10)*($Z$3/1000)/100,1)</f>
        <v/>
      </c>
      <c r="J1150" t="inlineStr"/>
      <c r="K1150" t="inlineStr"/>
      <c r="L1150" t="inlineStr"/>
      <c r="M1150" t="inlineStr"/>
      <c r="N1150" t="inlineStr"/>
      <c r="O1150">
        <f>(1-Summary!$B$11)*S1150+Summary!$B$11*U1150</f>
        <v/>
      </c>
      <c r="P1150">
        <f>IF(B1170=0,0,O1150/B1170)</f>
        <v/>
      </c>
      <c r="Q1150">
        <f>IFERROR(1/(IF(Inputs!$B$39="pvp",15,MAX(0.1,Skills!D22-IF(Skills!E22=TRUE,(Inputs!$B$33+1),0)))*(1-IF(AND(ArtifactsInput!$M$27,Inputs!$B$4="Chapter Hunt"),CHOOSE(ArtifactsInput!$N$27+1,20,24,28,32,36,40),0)/100)),0)</f>
        <v/>
      </c>
      <c r="R1150" t="n">
        <v>0</v>
      </c>
      <c r="S1150" t="n">
        <v>0</v>
      </c>
      <c r="U1150" t="n">
        <v>0</v>
      </c>
    </row>
    <row r="1151">
      <c r="A1151">
        <f>Skills!A23</f>
        <v/>
      </c>
      <c r="B1151">
        <f>Skills!B23</f>
        <v/>
      </c>
      <c r="C1151">
        <f>Inputs!$B$3&gt;=50</f>
        <v/>
      </c>
      <c r="D1151">
        <f>IF(Skills!C23=1,60+Inputs!$B$26+Inputs!$B$30,IF(Skills!C23=2,90+Inputs!$B$27+Inputs!$B$30,IF(Skills!C23=3,120+Inputs!$B$28+Inputs!$B$30,MAX(0,(Inputs!$B$3-100)*3)+Inputs!$B$29+Inputs!$B$30)))</f>
        <v/>
      </c>
      <c r="E1151">
        <f>INDEX(FactorTable!$B$2:$Y$301, MATCH(ROUND(MIN(300,MAX(1,D1151)),0), FactorTable!$A$2:$A$301,0), Skills!L23+1)</f>
        <v/>
      </c>
      <c r="F1151">
        <f>IF(Skills!M23=TRUE,(Skills!K23/10)*(E1151/1000),Skills!K23/10)+Skills!N23</f>
        <v/>
      </c>
      <c r="G1151">
        <f>Calc!G23</f>
        <v/>
      </c>
      <c r="H1151">
        <f>Calc!H23</f>
        <v/>
      </c>
      <c r="I1151">
        <f>IF(Skills!T23&lt;&gt;"",1+(Skills!T23/10)*($Z$3/1000)/100,1)</f>
        <v/>
      </c>
      <c r="J1151" t="inlineStr"/>
      <c r="K1151" t="inlineStr"/>
      <c r="L1151" t="inlineStr"/>
      <c r="M1151" t="inlineStr"/>
      <c r="N1151" t="inlineStr"/>
      <c r="O1151">
        <f>(1-Summary!$B$11)*S1151+Summary!$B$11*U1151</f>
        <v/>
      </c>
      <c r="P1151">
        <f>IF(B1170=0,0,O1151/B1170)</f>
        <v/>
      </c>
      <c r="Q1151">
        <f>IFERROR(1/(IF(Inputs!$B$39="pvp",15,MAX(0.1,Skills!D23-IF(Skills!E23=TRUE,(Inputs!$B$33+1),0)))*(1-IF(AND(ArtifactsInput!$M$27,Inputs!$B$4="Chapter Hunt"),CHOOSE(ArtifactsInput!$N$27+1,20,24,28,32,36,40),0)/100)),0)</f>
        <v/>
      </c>
      <c r="R1151" t="n">
        <v>0</v>
      </c>
      <c r="S1151" t="n">
        <v>0</v>
      </c>
      <c r="U1151" t="n">
        <v>0</v>
      </c>
    </row>
    <row r="1152">
      <c r="A1152">
        <f>Skills!A24</f>
        <v/>
      </c>
      <c r="B1152">
        <f>Skills!B24</f>
        <v/>
      </c>
      <c r="C1152">
        <f>Inputs!$B$3&gt;=74</f>
        <v/>
      </c>
      <c r="D1152">
        <f>IF(Skills!C24=1,60+Inputs!$B$26+Inputs!$B$30,IF(Skills!C24=2,90+Inputs!$B$27+Inputs!$B$30,IF(Skills!C24=3,120+Inputs!$B$28+Inputs!$B$30,MAX(0,(Inputs!$B$3-100)*3)+Inputs!$B$29+Inputs!$B$30)))</f>
        <v/>
      </c>
      <c r="E1152">
        <f>INDEX(FactorTable!$B$2:$Y$301, MATCH(ROUND(MIN(300,MAX(1,D1152)),0), FactorTable!$A$2:$A$301,0), Skills!L24+1)</f>
        <v/>
      </c>
      <c r="F1152">
        <f>IF(Skills!M24=TRUE,(Skills!K24/10)*(E1152/1000),Skills!K24/10)+Skills!N24</f>
        <v/>
      </c>
      <c r="G1152">
        <f>Calc!G24</f>
        <v/>
      </c>
      <c r="H1152">
        <f>Calc!H24</f>
        <v/>
      </c>
      <c r="I1152">
        <f>IF(Skills!T24&lt;&gt;"",1+(Skills!T24/10)*($Z$3/1000)/100,1)</f>
        <v/>
      </c>
      <c r="J1152" t="inlineStr"/>
      <c r="K1152" t="inlineStr"/>
      <c r="L1152" t="inlineStr"/>
      <c r="M1152" t="inlineStr"/>
      <c r="N1152" t="inlineStr"/>
      <c r="O1152">
        <f>(1-Summary!$B$11)*S1152+Summary!$B$11*U1152</f>
        <v/>
      </c>
      <c r="P1152">
        <f>IF(B1170=0,0,O1152/B1170)</f>
        <v/>
      </c>
      <c r="Q1152">
        <f>IFERROR(1/(IF(Inputs!$B$39="pvp",15,MAX(0.1,Skills!D24-IF(Skills!E24=TRUE,(Inputs!$B$33+1),0)))*(1-IF(AND(ArtifactsInput!$M$27,Inputs!$B$4="Chapter Hunt"),CHOOSE(ArtifactsInput!$N$27+1,20,24,28,32,36,40),0)/100)),0)</f>
        <v/>
      </c>
      <c r="R1152" t="n">
        <v>0</v>
      </c>
      <c r="S1152" t="n">
        <v>0</v>
      </c>
      <c r="U1152" t="n">
        <v>0</v>
      </c>
    </row>
    <row r="1153">
      <c r="A1153">
        <f>Skills!A25</f>
        <v/>
      </c>
      <c r="B1153">
        <f>Skills!B25</f>
        <v/>
      </c>
      <c r="C1153">
        <f>Inputs!$B$3&gt;=74</f>
        <v/>
      </c>
      <c r="D1153">
        <f>IF(Skills!C25=1,60+Inputs!$B$26+Inputs!$B$30,IF(Skills!C25=2,90+Inputs!$B$27+Inputs!$B$30,IF(Skills!C25=3,120+Inputs!$B$28+Inputs!$B$30,MAX(0,(Inputs!$B$3-100)*3)+Inputs!$B$29+Inputs!$B$30)))</f>
        <v/>
      </c>
      <c r="E1153">
        <f>INDEX(FactorTable!$B$2:$Y$301, MATCH(ROUND(MIN(300,MAX(1,D1153)),0), FactorTable!$A$2:$A$301,0), Skills!L25+1)</f>
        <v/>
      </c>
      <c r="F1153">
        <f>IF(Skills!M25=TRUE,(Skills!K25/10)*(E1153/1000),Skills!K25/10)+Skills!N25</f>
        <v/>
      </c>
      <c r="G1153">
        <f>Calc!G25</f>
        <v/>
      </c>
      <c r="H1153">
        <f>Calc!H25</f>
        <v/>
      </c>
      <c r="I1153">
        <f>IF(Skills!T25&lt;&gt;"",1+(Skills!T25/10)*($Z$3/1000)/100,1)</f>
        <v/>
      </c>
      <c r="J1153" t="inlineStr"/>
      <c r="K1153" t="inlineStr"/>
      <c r="L1153" t="inlineStr"/>
      <c r="M1153" t="inlineStr"/>
      <c r="N1153" t="inlineStr"/>
      <c r="O1153">
        <f>(1-Summary!$B$11)*S1153+Summary!$B$11*U1153</f>
        <v/>
      </c>
      <c r="P1153">
        <f>IF(B1170=0,0,O1153/B1170)</f>
        <v/>
      </c>
      <c r="Q1153">
        <f>IFERROR(1/(IF(Inputs!$B$39="pvp",15,MAX(0.1,Skills!D25-IF(Skills!E25=TRUE,(Inputs!$B$33+1),0)))*(1-IF(AND(ArtifactsInput!$M$27,Inputs!$B$4="Chapter Hunt"),CHOOSE(ArtifactsInput!$N$27+1,20,24,28,32,36,40),0)/100)),0)</f>
        <v/>
      </c>
      <c r="R1153" t="n">
        <v>0</v>
      </c>
      <c r="S1153" t="n">
        <v>0</v>
      </c>
      <c r="U1153" t="n">
        <v>0</v>
      </c>
    </row>
    <row r="1154">
      <c r="A1154">
        <f>Skills!A26</f>
        <v/>
      </c>
      <c r="B1154">
        <f>Skills!B26</f>
        <v/>
      </c>
      <c r="C1154">
        <f>Inputs!$B$3&gt;=117</f>
        <v/>
      </c>
      <c r="D1154">
        <f>IF(Skills!C26=1,60+Inputs!$B$26+Inputs!$B$30,IF(Skills!C26=2,90+Inputs!$B$27+Inputs!$B$30,IF(Skills!C26=3,120+Inputs!$B$28+Inputs!$B$30,MAX(0,(Inputs!$B$3-100)*3)+Inputs!$B$29+Inputs!$B$30)))</f>
        <v/>
      </c>
      <c r="E1154">
        <f>INDEX(FactorTable!$B$2:$Y$301, MATCH(ROUND(MIN(300,MAX(1,D1154)),0), FactorTable!$A$2:$A$301,0), Skills!L26+1)</f>
        <v/>
      </c>
      <c r="F1154">
        <f>IF(Skills!M26=TRUE,(Skills!K26/10)*(E1154/1000),Skills!K26/10)+Skills!N26</f>
        <v/>
      </c>
      <c r="G1154">
        <f>Calc!G26</f>
        <v/>
      </c>
      <c r="H1154">
        <f>Calc!H26</f>
        <v/>
      </c>
      <c r="I1154">
        <f>IF(Skills!T26&lt;&gt;"",1+(Skills!T26/10)*($Z$3/1000)/100,1)</f>
        <v/>
      </c>
      <c r="J1154" t="inlineStr"/>
      <c r="K1154" t="inlineStr"/>
      <c r="L1154" t="inlineStr"/>
      <c r="M1154" t="inlineStr"/>
      <c r="N1154" t="inlineStr"/>
      <c r="O1154">
        <f>(1-Summary!$B$11)*S1154+Summary!$B$11*U1154</f>
        <v/>
      </c>
      <c r="P1154">
        <f>IF(B1170=0,0,O1154/B1170)</f>
        <v/>
      </c>
      <c r="Q1154">
        <f>IFERROR(1/(IF(Inputs!$B$39="pvp",15,MAX(0.1,Skills!D26-IF(Skills!E26=TRUE,(Inputs!$B$33+1),0)))*(1-IF(AND(ArtifactsInput!$M$27,Inputs!$B$4="Chapter Hunt"),CHOOSE(ArtifactsInput!$N$27+1,20,24,28,32,36,40),0)/100)),0)</f>
        <v/>
      </c>
      <c r="R1154" t="n">
        <v>0</v>
      </c>
      <c r="S1154" t="n">
        <v>0</v>
      </c>
      <c r="U1154" t="n">
        <v>0</v>
      </c>
    </row>
    <row r="1155">
      <c r="A1155">
        <f>Skills!A27</f>
        <v/>
      </c>
      <c r="B1155">
        <f>Skills!B27</f>
        <v/>
      </c>
      <c r="C1155">
        <f>Inputs!$B$3&gt;=120</f>
        <v/>
      </c>
      <c r="D1155">
        <f>IF(Skills!C27=1,60+Inputs!$B$26+Inputs!$B$30,IF(Skills!C27=2,90+Inputs!$B$27+Inputs!$B$30,IF(Skills!C27=3,120+Inputs!$B$28+Inputs!$B$30,MAX(0,(Inputs!$B$3-100)*3)+Inputs!$B$29+Inputs!$B$30)))</f>
        <v/>
      </c>
      <c r="E1155">
        <f>INDEX(FactorTable!$B$2:$Y$301, MATCH(ROUND(MIN(300,MAX(1,D1155)),0), FactorTable!$A$2:$A$301,0), Skills!L27+1)</f>
        <v/>
      </c>
      <c r="F1155">
        <f>IF(Skills!M27=TRUE,(Skills!K27/10)*(E1155/1000),Skills!K27/10)+Skills!N27</f>
        <v/>
      </c>
      <c r="G1155">
        <f>Calc!G27</f>
        <v/>
      </c>
      <c r="H1155">
        <f>Calc!H27</f>
        <v/>
      </c>
      <c r="I1155">
        <f>IF(Skills!T27&lt;&gt;"",1+(Skills!T27/10)*($Z$3/1000)/100,1)</f>
        <v/>
      </c>
      <c r="J1155" t="inlineStr"/>
      <c r="K1155" t="inlineStr"/>
      <c r="L1155" t="inlineStr"/>
      <c r="M1155" t="inlineStr"/>
      <c r="N1155" t="inlineStr"/>
      <c r="O1155">
        <f>(1-Summary!$B$11)*S1155+Summary!$B$11*U1155</f>
        <v/>
      </c>
      <c r="P1155">
        <f>IF(B1170=0,0,O1155/B1170)</f>
        <v/>
      </c>
      <c r="Q1155">
        <f>IFERROR(1/(IF(Inputs!$B$39="pvp",15,MAX(0.1,Skills!D27-IF(Skills!E27=TRUE,(Inputs!$B$33+1),0)))*(1-IF(AND(ArtifactsInput!$M$27,Inputs!$B$4="Chapter Hunt"),CHOOSE(ArtifactsInput!$N$27+1,20,24,28,32,36,40),0)/100)),0)</f>
        <v/>
      </c>
      <c r="R1155" t="n">
        <v>0</v>
      </c>
      <c r="S1155" t="n">
        <v>0</v>
      </c>
      <c r="U1155" t="n">
        <v>0</v>
      </c>
    </row>
    <row r="1157">
      <c r="A1157" t="inlineStr">
        <is>
          <t>Average Buff Multiplier</t>
        </is>
      </c>
      <c r="B1157">
        <f>(1+(IF(C1131=TRUE,F1131*IF(AND(Inputs!$B$39&lt;&gt;"pvp",Inputs!$B$44&gt;0),(((R1131-1)*(Skills!S3*(1+((Inputs!$B$35+(ArtifactsInput!$M$7-ArtifactsInput!$M$7)*CHOOSE(ArtifactsInput!$N$7+1,6,7.2,8.4,9.6,10.8,12))+IF(Inputs!$B$3&gt;=117,F1154,0))/100))+MIN((Skills!S3*(1+((Inputs!$B$35+(ArtifactsInput!$M$7-ArtifactsInput!$M$7)*CHOOSE(ArtifactsInput!$N$7+1,6,7.2,8.4,9.6,10.8,12))+IF(Inputs!$B$3&gt;=117,F1154,0))/100)),MAX(0,Inputs!$B$44-((R1131-1)*Skills!D3))))/Inputs!$B$44),IF(Inputs!$B$39="pvp",MIN((Skills!S3*(1+((Inputs!$B$35+(ArtifactsInput!$M$7-ArtifactsInput!$M$7)*CHOOSE(ArtifactsInput!$N$7+1,6,7.2,8.4,9.6,10.8,12))+IF(Inputs!$B$3&gt;=117,F1154,0))/100)),15)/15,(Skills!S3*(1+((Inputs!$B$35+(ArtifactsInput!$M$7-ArtifactsInput!$M$7)*CHOOSE(ArtifactsInput!$N$7+1,6,7.2,8.4,9.6,10.8,12))+IF(Inputs!$B$3&gt;=117,F1154,0))/100))/Skills!D3)),0)+IF(C1132=TRUE,F1132*IF(AND(Inputs!$B$39&lt;&gt;"pvp",Inputs!$B$44&gt;0),(((R1132-1)*(Skills!S4*(1+((Inputs!$B$35+(ArtifactsInput!$M$7-ArtifactsInput!$M$7)*CHOOSE(ArtifactsInput!$N$7+1,6,7.2,8.4,9.6,10.8,12))+IF(Inputs!$B$3&gt;=117,F1154,0))/100))+MIN((Skills!S4*(1+((Inputs!$B$35+(ArtifactsInput!$M$7-ArtifactsInput!$M$7)*CHOOSE(ArtifactsInput!$N$7+1,6,7.2,8.4,9.6,10.8,12))+IF(Inputs!$B$3&gt;=117,F1154,0))/100)),MAX(0,Inputs!$B$44-((R1132-1)*Skills!D4))))/Inputs!$B$44),IF(Inputs!$B$39="pvp",MIN((Skills!S4*(1+((Inputs!$B$35+(ArtifactsInput!$M$7-ArtifactsInput!$M$7)*CHOOSE(ArtifactsInput!$N$7+1,6,7.2,8.4,9.6,10.8,12))+IF(Inputs!$B$3&gt;=117,F1154,0))/100)),15)/15,(Skills!S4*(1+((Inputs!$B$35+(ArtifactsInput!$M$7-ArtifactsInput!$M$7)*CHOOSE(ArtifactsInput!$N$7+1,6,7.2,8.4,9.6,10.8,12))+IF(Inputs!$B$3&gt;=117,F1154,0))/100))/Skills!D4)),0)+IF(C1133=TRUE,F1133*IF(AND(Inputs!$B$39&lt;&gt;"pvp",Inputs!$B$44&gt;0),(((R1133-1)*(Skills!S5*(1+((Inputs!$B$35+(ArtifactsInput!$M$7-ArtifactsInput!$M$7)*CHOOSE(ArtifactsInput!$N$7+1,6,7.2,8.4,9.6,10.8,12))+IF(Inputs!$B$3&gt;=117,F1154,0))/100))+MIN((Skills!S5*(1+((Inputs!$B$35+(ArtifactsInput!$M$7-ArtifactsInput!$M$7)*CHOOSE(ArtifactsInput!$N$7+1,6,7.2,8.4,9.6,10.8,12))+IF(Inputs!$B$3&gt;=117,F1154,0))/100)),MAX(0,Inputs!$B$44-((R1133-1)*Skills!D5))))/Inputs!$B$44),IF(Inputs!$B$39="pvp",MIN((Skills!S5*(1+((Inputs!$B$35+(ArtifactsInput!$M$7-ArtifactsInput!$M$7)*CHOOSE(ArtifactsInput!$N$7+1,6,7.2,8.4,9.6,10.8,12))+IF(Inputs!$B$3&gt;=117,F1154,0))/100)),15)/15,(Skills!S5*(1+((Inputs!$B$35+(ArtifactsInput!$M$7-ArtifactsInput!$M$7)*CHOOSE(ArtifactsInput!$N$7+1,6,7.2,8.4,9.6,10.8,12))+IF(Inputs!$B$3&gt;=117,F1154,0))/100))/Skills!D5)),0)+IF(C1139=TRUE,F1139*IF(AND(Inputs!$B$39&lt;&gt;"pvp",Inputs!$B$44&gt;0),(((R1139-1)*(Skills!S11*(1+((Inputs!$B$35+(ArtifactsInput!$M$7-ArtifactsInput!$M$7)*CHOOSE(ArtifactsInput!$N$7+1,6,7.2,8.4,9.6,10.8,12))+IF(Inputs!$B$3&gt;=117,F1154,0))/100))+MIN((Skills!S11*(1+((Inputs!$B$35+(ArtifactsInput!$M$7-ArtifactsInput!$M$7)*CHOOSE(ArtifactsInput!$N$7+1,6,7.2,8.4,9.6,10.8,12))+IF(Inputs!$B$3&gt;=117,F1154,0))/100)),MAX(0,Inputs!$B$44-((R1139-1)*Skills!D11))))/Inputs!$B$44),IF(Inputs!$B$39="pvp",MIN((Skills!S11*(1+((Inputs!$B$35+(ArtifactsInput!$M$7-ArtifactsInput!$M$7)*CHOOSE(ArtifactsInput!$N$7+1,6,7.2,8.4,9.6,10.8,12))+IF(Inputs!$B$3&gt;=117,F1154,0))/100)),15)/15,(Skills!S11*(1+((Inputs!$B$35+(ArtifactsInput!$M$7-ArtifactsInput!$M$7)*CHOOSE(ArtifactsInput!$N$7+1,6,7.2,8.4,9.6,10.8,12))+IF(Inputs!$B$3&gt;=117,F1154,0)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1142=TRUE,(1+F1142*IF(AND(Inputs!$B$39&lt;&gt;"pvp",Inputs!$B$44&gt;0),(((R1142-1)*(Skills!S14*(1+((Inputs!$B$35+(ArtifactsInput!$M$7-ArtifactsInput!$M$7)*CHOOSE(ArtifactsInput!$N$7+1,6,7.2,8.4,9.6,10.8,12))+IF(Inputs!$B$3&gt;=117,F1154,0))/100))+MIN((Skills!S14*(1+((Inputs!$B$35+(ArtifactsInput!$M$7-ArtifactsInput!$M$7)*CHOOSE(ArtifactsInput!$N$7+1,6,7.2,8.4,9.6,10.8,12))+IF(Inputs!$B$3&gt;=117,F1154,0))/100)),MAX(0,Inputs!$B$44-((R1142-1)*Skills!D14))))/Inputs!$B$44),IF(Inputs!$B$39="pvp",MIN((Skills!S14*(1+((Inputs!$B$35+(ArtifactsInput!$M$7-ArtifactsInput!$M$7)*CHOOSE(ArtifactsInput!$N$7+1,6,7.2,8.4,9.6,10.8,12))+IF(Inputs!$B$3&gt;=117,F1154,0))/100)),15)/15,(Skills!S14*(1+((Inputs!$B$35+(ArtifactsInput!$M$7-ArtifactsInput!$M$7)*CHOOSE(ArtifactsInput!$N$7+1,6,7.2,8.4,9.6,10.8,12))+IF(Inputs!$B$3&gt;=117,F1154,0))/100))/Skills!D14))/100),1)*IF(C1147=TRUE,(1+F1147*IF(AND(Inputs!$B$39&lt;&gt;"pvp",Inputs!$B$44&gt;0),(((R1147-1)*(Skills!S19*(1+((Inputs!$B$35+(ArtifactsInput!$M$7-ArtifactsInput!$M$7)*CHOOSE(ArtifactsInput!$N$7+1,6,7.2,8.4,9.6,10.8,12))+IF(Inputs!$B$3&gt;=117,F1154,0))/100))+MIN((Skills!S19*(1+((Inputs!$B$35+(ArtifactsInput!$M$7-ArtifactsInput!$M$7)*CHOOSE(ArtifactsInput!$N$7+1,6,7.2,8.4,9.6,10.8,12))+IF(Inputs!$B$3&gt;=117,F1154,0))/100)),MAX(0,Inputs!$B$44-((R1147-1)*Skills!D19))))/Inputs!$B$44),IF(Inputs!$B$39="pvp",MIN((Skills!S19*(1+((Inputs!$B$35+(ArtifactsInput!$M$7-ArtifactsInput!$M$7)*CHOOSE(ArtifactsInput!$N$7+1,6,7.2,8.4,9.6,10.8,12))+IF(Inputs!$B$3&gt;=117,F1154,0))/100)),15)/15,(Skills!S19*(1+((Inputs!$B$35+(ArtifactsInput!$M$7-ArtifactsInput!$M$7)*CHOOSE(ArtifactsInput!$N$7+1,6,7.2,8.4,9.6,10.8,12))+IF(Inputs!$B$3&gt;=117,F1154,0))/100))/Skills!D19))/100),1)</f>
        <v/>
      </c>
    </row>
    <row r="1158">
      <c r="A1158" t="inlineStr">
        <is>
          <t>Monster Damage Taken Bonus % (Holy Fountain)</t>
        </is>
      </c>
      <c r="B1158">
        <f>IF(Inputs!$B$3&gt;=68,20*IF(Inputs!$B$39="pvp",MIN((15*(1+((Inputs!$B$35+(ArtifactsInput!$M$7-ArtifactsInput!$M$7)*CHOOSE(ArtifactsInput!$N$7+1,6,7.2,8.4,9.6,10.8,12))+IF(Inputs!$B$3&gt;=117,F1154,0))/100)),15)/15,(15*(1+((Inputs!$B$35+(ArtifactsInput!$M$7-ArtifactsInput!$M$7)*CHOOSE(ArtifactsInput!$N$7+1,6,7.2,8.4,9.6,10.8,12))+IF(Inputs!$B$3&gt;=117,F1154,0))/100))/Skills!D10),0)</f>
        <v/>
      </c>
    </row>
    <row r="1159">
      <c r="A1159" t="inlineStr">
        <is>
          <t>Normal Monster Damage Bonus % (Holy Symbol)</t>
        </is>
      </c>
      <c r="B1159">
        <f>IF(C1140=TRUE,F1140*IF(AND(Inputs!$B$39&lt;&gt;"pvp",Inputs!$B$44&gt;0),(((R1140-1)*(Skills!S12*(1+((Inputs!$B$35+(ArtifactsInput!$M$7-ArtifactsInput!$M$7)*CHOOSE(ArtifactsInput!$N$7+1,6,7.2,8.4,9.6,10.8,12))+IF(Inputs!$B$3&gt;=117,F1154,0))/100))+MIN((Skills!S12*(1+((Inputs!$B$35+(ArtifactsInput!$M$7-ArtifactsInput!$M$7)*CHOOSE(ArtifactsInput!$N$7+1,6,7.2,8.4,9.6,10.8,12))+IF(Inputs!$B$3&gt;=117,F1154,0))/100)),MAX(0,Inputs!$B$44-((R1140-1)*Skills!D12))))/Inputs!$B$44),IF(Inputs!$B$39="pvp",MIN((Skills!S12*(1+((Inputs!$B$35+(ArtifactsInput!$M$7-ArtifactsInput!$M$7)*CHOOSE(ArtifactsInput!$N$7+1,6,7.2,8.4,9.6,10.8,12))+IF(Inputs!$B$3&gt;=117,F1154,0))/100)),15)/15,(Skills!S12*(1+((Inputs!$B$35+(ArtifactsInput!$M$7-ArtifactsInput!$M$7)*CHOOSE(ArtifactsInput!$N$7+1,6,7.2,8.4,9.6,10.8,12))+IF(Inputs!$B$3&gt;=117,F1154,0))/100))/Skills!D12)),0)</f>
        <v/>
      </c>
    </row>
    <row r="1160">
      <c r="A1160" t="inlineStr">
        <is>
          <t>Damage % Bonus (Holy Symbol - Damage Boost)</t>
        </is>
      </c>
      <c r="B1160">
        <f>Skills!O12</f>
        <v/>
      </c>
    </row>
    <row r="1161">
      <c r="A1161" t="inlineStr">
        <is>
          <t>Crit Damage % Bonus (Blood of the Divine)</t>
        </is>
      </c>
      <c r="B1161">
        <f>4*IF(C1148=TRUE,F1148,0)</f>
        <v/>
      </c>
    </row>
    <row r="1162">
      <c r="A1162" t="inlineStr">
        <is>
          <t>Attack Speed Bonus %</t>
        </is>
      </c>
      <c r="B1162">
        <f>IF(C1145=TRUE,F1145+(F1149-Calc!F21),0)+IF(Inputs!$B$3&gt;=134,15,0)</f>
        <v/>
      </c>
    </row>
    <row r="1163">
      <c r="A1163" t="inlineStr">
        <is>
          <t>Actions Per Second</t>
        </is>
      </c>
      <c r="B1163">
        <f>1+MIN(150,150*(1-(1-Inputs!$B$12/150)*(1-B1162/150)))/100</f>
        <v/>
      </c>
    </row>
    <row r="1164">
      <c r="A1164" t="inlineStr">
        <is>
          <t>Skill + Buff Cast Rate</t>
        </is>
      </c>
      <c r="B1164">
        <f>IF(AND(Inputs!$B$39&lt;&gt;"pvp",Inputs!$B$44&gt;0),SUMPRODUCT((Skills!E2:E27=TRUE)*(C1130:C1155=TRUE)*R1130:R1155)/Inputs!$B$44,SUMPRODUCT((Skills!E2:E27=TRUE)*(C1130:C1155=TRUE)*Q1130:Q1155))</f>
        <v/>
      </c>
    </row>
    <row r="1165">
      <c r="A1165" t="inlineStr">
        <is>
          <t>Big Bang Casts Per Second</t>
        </is>
      </c>
      <c r="B1165">
        <f>MAX(0,B1163-B1164)</f>
        <v/>
      </c>
    </row>
    <row r="1166">
      <c r="A1166" t="inlineStr">
        <is>
          <t>Defense % Bonus (Divine Protection)</t>
        </is>
      </c>
      <c r="B1166">
        <f>IF(C1141=TRUE,F1141*IF(AND(Inputs!$B$39&lt;&gt;"pvp",Inputs!$B$44&gt;0),(((R1141-1)*(Skills!S13*(1+((Inputs!$B$35+(ArtifactsInput!$M$7-ArtifactsInput!$M$7)*CHOOSE(ArtifactsInput!$N$7+1,6,7.2,8.4,9.6,10.8,12))+IF(Inputs!$B$3&gt;=117,F1154,0))/100))+MIN((Skills!S13*(1+((Inputs!$B$35+(ArtifactsInput!$M$7-ArtifactsInput!$M$7)*CHOOSE(ArtifactsInput!$N$7+1,6,7.2,8.4,9.6,10.8,12))+IF(Inputs!$B$3&gt;=117,F1154,0))/100)),MAX(0,Inputs!$B$44-((R1141-1)*Skills!D13))))/Inputs!$B$44),IF(Inputs!$B$39="pvp",MIN((Skills!S13*(1+((Inputs!$B$35+(ArtifactsInput!$M$7-ArtifactsInput!$M$7)*CHOOSE(ArtifactsInput!$N$7+1,6,7.2,8.4,9.6,10.8,12))+IF(Inputs!$B$3&gt;=117,F1154,0))/100)),15)/15,(Skills!S13*(1+((Inputs!$B$35+(ArtifactsInput!$M$7-ArtifactsInput!$M$7)*CHOOSE(ArtifactsInput!$N$7+1,6,7.2,8.4,9.6,10.8,12))+IF(Inputs!$B$3&gt;=117,F1154,0))/100))/Skills!D13)),0)</f>
        <v/>
      </c>
    </row>
    <row r="1167">
      <c r="A1167" t="inlineStr">
        <is>
          <t>Buff-Casting Startup Delay (s, fixed-duration only)</t>
        </is>
      </c>
      <c r="B1167">
        <f>IF(AND(Inputs!$B$39&lt;&gt;"pvp",Inputs!$B$44&gt;0),SUMPRODUCT((Skills!S2:S27&gt;0)*(Skills!E2:E27=TRUE)*(C1130:C1155=TRUE))/B1163,0)</f>
        <v/>
      </c>
    </row>
    <row r="1168">
      <c r="A1168" t="inlineStr">
        <is>
          <t>Boss-Only Total DPS (this block's swept value)</t>
        </is>
      </c>
      <c r="B1168">
        <f>SUM(S1130:S1155)</f>
        <v/>
      </c>
    </row>
    <row r="1169">
      <c r="A1169" t="inlineStr">
        <is>
          <t>Normal-Only Total DPS (this block's swept value)</t>
        </is>
      </c>
      <c r="B1169">
        <f>SUM(U1130:U1155)</f>
        <v/>
      </c>
    </row>
    <row r="1170">
      <c r="A1170" s="6" t="inlineStr">
        <is>
          <t>TOTAL DPS</t>
        </is>
      </c>
      <c r="B1170" s="6">
        <f>SUM(O1130:O1155)</f>
        <v/>
      </c>
    </row>
    <row r="1172">
      <c r="A1172" s="6" t="inlineStr">
        <is>
          <t>Stat: Basic Attack Target Increase (flat)</t>
        </is>
      </c>
    </row>
    <row r="1173">
      <c r="A1173" s="5" t="inlineStr">
        <is>
          <t>Key</t>
        </is>
      </c>
      <c r="B1173" s="5" t="inlineStr">
        <is>
          <t>Name</t>
        </is>
      </c>
      <c r="C1173" s="5" t="inlineStr">
        <is>
          <t>Unlocked</t>
        </is>
      </c>
      <c r="D1173" s="5" t="inlineStr">
        <is>
          <t>InputLevel</t>
        </is>
      </c>
      <c r="E1173" s="5" t="inlineStr">
        <is>
          <t>Factor</t>
        </is>
      </c>
      <c r="F1173" s="5" t="inlineStr">
        <is>
          <t>CoefficientPercent</t>
        </is>
      </c>
      <c r="G1173" s="5" t="inlineStr">
        <is>
          <t>EffectiveHits</t>
        </is>
      </c>
      <c r="H1173" s="5" t="inlineStr">
        <is>
          <t>ProcProbability</t>
        </is>
      </c>
      <c r="I1173" s="5" t="inlineStr">
        <is>
          <t>MapleHeroMultiplier</t>
        </is>
      </c>
      <c r="J1173" s="5" t="inlineStr">
        <is>
          <t>BaseDamage</t>
        </is>
      </c>
      <c r="K1173" s="5" t="inlineStr">
        <is>
          <t>BaseHitDamage</t>
        </is>
      </c>
      <c r="L1173" s="5" t="inlineStr">
        <is>
          <t>NonCritAvg</t>
        </is>
      </c>
      <c r="M1173" s="5" t="inlineStr">
        <is>
          <t>CritAvg</t>
        </is>
      </c>
      <c r="N1173" s="5" t="inlineStr">
        <is>
          <t>ExpectedDamage(perHit)</t>
        </is>
      </c>
      <c r="O1173" s="5" t="inlineStr">
        <is>
          <t>DPS</t>
        </is>
      </c>
      <c r="P1173" s="5" t="inlineStr">
        <is>
          <t>% of Total</t>
        </is>
      </c>
      <c r="R1173" t="inlineStr">
        <is>
          <t>helpers</t>
        </is>
      </c>
    </row>
    <row r="1174">
      <c r="A1174">
        <f>Skills!A2</f>
        <v/>
      </c>
      <c r="B1174">
        <f>Skills!B2</f>
        <v/>
      </c>
      <c r="C1174">
        <f>Inputs!$B$3&gt;=100</f>
        <v/>
      </c>
      <c r="D1174" t="inlineStr"/>
      <c r="E1174" t="inlineStr"/>
      <c r="F1174">
        <f>T1176+Skills!N2</f>
        <v/>
      </c>
      <c r="G1174">
        <f>Calc!G2</f>
        <v/>
      </c>
      <c r="H1174">
        <f>Calc!H2</f>
        <v/>
      </c>
      <c r="I1174">
        <f>IF(Skills!T2&lt;&gt;"",1+(Skills!T2/10)*($Z$3/1000)/100,1)</f>
        <v/>
      </c>
      <c r="J1174">
        <f>((Inputs!$B$6*(1+Inputs!$B$7/100))+(((Inputs!$B$13*(1+Inputs!$B$14/100))-(Inputs!$B$13*(1+Inputs!$B$14/100)))+0.25*(Inputs!$B$15-Inputs!$B$15))*(1+Inputs!$B$7/100))*(F1174/100)</f>
        <v/>
      </c>
      <c r="K1174">
        <f>J1174*(1+(((Inputs!$B$13+IF(Inputs!$B$3&gt;=35,(10*INDEX(FactorTable!$B$2:$Y$301,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2="TRIUMPH_FEATHER",IF(C1188=TRUE,F1188,0),0)/100)*(1+IF(C1199=TRUE,F1199,0)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1174)</f>
        <v/>
      </c>
      <c r="L1174">
        <f>K1174*(MIN(Inputs!$B$23+(F1194-Calc!F22),(Inputs!$B$24+IF(ArtifactsInput!$M$15,CHOOSE(ArtifactsInput!$N$15+1,25,30,35,40,45,50)/100*(Inputs!$B$12-Inputs!$B$12),0)))/100+(Inputs!$B$24+IF(ArtifactsInput!$M$15,CHOOSE(ArtifactsInput!$N$15+1,25,30,35,40,45,50)/100*(Inputs!$B$12-Inputs!$B$12),0))/100)/2</f>
        <v/>
      </c>
      <c r="M1174">
        <f>L1174*(1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74">
        <f>L1174*(1-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(1-Summary!$B$11)*S1174+Summary!$B$11*U1174</f>
        <v/>
      </c>
      <c r="P1174">
        <f>IF(B1214=0,0,O1174/B1214)</f>
        <v/>
      </c>
      <c r="Q1174">
        <f>IFERROR(1/(IF(Inputs!$B$39="pvp",15,MAX(0.1,Skills!D2-IF(Skills!E2=TRUE,Inputs!$B$33,0)))*(1-IF(AND(ArtifactsInput!$M$27,Inputs!$B$4="Chapter Hunt"),CHOOSE(ArtifactsInput!$N$27+1,20,24,28,32,36,40),0)/100)),0)</f>
        <v/>
      </c>
      <c r="R1174" t="n">
        <v>0</v>
      </c>
      <c r="S1174">
        <f>IF(C1174,(Skills!F2*N1174*B1209)*IF(Inputs!$B$39="pvp",1,1+(Inputs!$B$21+Skills!O2+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1174*(1-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74">
        <f>MAX(0,(Inputs!$B$3-100)*3)+Inputs!$B$29+Inputs!$B$30</f>
        <v/>
      </c>
      <c r="U1174">
        <f>IF(C1174,(Skills!F2*N1174*B1209)*IF(Inputs!$B$39="pvp",1,(1+(Inputs!$B$22+Skills!P2+B1203+(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Skills!A3</f>
        <v/>
      </c>
      <c r="B1175">
        <f>Skills!B3</f>
        <v/>
      </c>
      <c r="C1175">
        <f>Inputs!$B$3&gt;=15</f>
        <v/>
      </c>
      <c r="D1175">
        <f>IF(Skills!C3=1,60+Inputs!$B$26+Inputs!$B$30,IF(Skills!C3=2,90+Inputs!$B$27+Inputs!$B$30,IF(Skills!C3=3,120+Inputs!$B$28+Inputs!$B$30,MAX(0,(Inputs!$B$3-100)*3)+Inputs!$B$29+Inputs!$B$30)))</f>
        <v/>
      </c>
      <c r="E1175">
        <f>INDEX(FactorTable!$B$2:$Y$301, MATCH(ROUND(MIN(300,MAX(1,D1175)),0), FactorTable!$A$2:$A$301,0), Skills!L3+1)</f>
        <v/>
      </c>
      <c r="F1175">
        <f>IF(Skills!M3=TRUE,(Skills!K3/10)*(E1175/1000),Skills!K3/10)+Skills!N3</f>
        <v/>
      </c>
      <c r="G1175">
        <f>Calc!G3</f>
        <v/>
      </c>
      <c r="H1175">
        <f>Calc!H3</f>
        <v/>
      </c>
      <c r="I1175">
        <f>IF(Skills!T3&lt;&gt;"",1+(Skills!T3/10)*($Z$3/1000)/100,1)</f>
        <v/>
      </c>
      <c r="J1175" t="inlineStr"/>
      <c r="K1175" t="inlineStr"/>
      <c r="L1175" t="inlineStr"/>
      <c r="M1175" t="inlineStr"/>
      <c r="N1175" t="inlineStr"/>
      <c r="O1175">
        <f>(1-Summary!$B$11)*S1175+Summary!$B$11*U1175</f>
        <v/>
      </c>
      <c r="P1175">
        <f>IF(B1214=0,0,O1175/B1214)</f>
        <v/>
      </c>
      <c r="Q1175">
        <f>IFERROR(1/(IF(Inputs!$B$39="pvp",15,MAX(0.1,Skills!D3-IF(Skills!E3=TRUE,Inputs!$B$33,0)))*(1-IF(AND(ArtifactsInput!$M$27,Inputs!$B$4="Chapter Hunt"),CHOOSE(ArtifactsInput!$N$27+1,20,24,28,32,36,40),0)/100)),0)</f>
        <v/>
      </c>
      <c r="R1175">
        <f>IF(AND(Inputs!$B$39&lt;&gt;"pvp",Inputs!$B$44&gt;0),IF(Inputs!$B$44&lt;=0,0,(INT(Inputs!$B$44/(IF(Inputs!$B$39="pvp",15,MAX(0.1,Skills!D3-IF(Skills!E3=TRUE,Inputs!$B$33,0)))*(1-IF(AND(ArtifactsInput!$M$27,Inputs!$B$4="Chapter Hunt"),CHOOSE(ArtifactsInput!$N$27+1,20,24,28,32,36,40),0)/100)))+1)),0)</f>
        <v/>
      </c>
      <c r="S1175" t="n">
        <v>0</v>
      </c>
      <c r="T1175">
        <f>INDEX(FactorTable!$B$2:$Y$301, MATCH(ROUND(MIN(300,MAX(1,T1174)),0), FactorTable!$A$2:$A$301,0), 22)</f>
        <v/>
      </c>
      <c r="U1175" t="n">
        <v>0</v>
      </c>
    </row>
    <row r="1176">
      <c r="A1176">
        <f>Skills!A4</f>
        <v/>
      </c>
      <c r="B1176">
        <f>Skills!B4</f>
        <v/>
      </c>
      <c r="C1176">
        <f>Inputs!$B$3&gt;=38</f>
        <v/>
      </c>
      <c r="D1176">
        <f>IF(Skills!C4=1,60+Inputs!$B$26+Inputs!$B$30,IF(Skills!C4=2,90+Inputs!$B$27+Inputs!$B$30,IF(Skills!C4=3,120+Inputs!$B$28+Inputs!$B$30,MAX(0,(Inputs!$B$3-100)*3)+Inputs!$B$29+Inputs!$B$30)))</f>
        <v/>
      </c>
      <c r="E1176">
        <f>INDEX(FactorTable!$B$2:$Y$301, MATCH(ROUND(MIN(300,MAX(1,D1176)),0), FactorTable!$A$2:$A$301,0), Skills!L4+1)</f>
        <v/>
      </c>
      <c r="F1176">
        <f>IF(Skills!M4=TRUE,(Skills!K4/10)*(E1176/1000),Skills!K4/10)+Skills!N4</f>
        <v/>
      </c>
      <c r="G1176">
        <f>Calc!G4</f>
        <v/>
      </c>
      <c r="H1176">
        <f>Calc!H4</f>
        <v/>
      </c>
      <c r="I1176">
        <f>IF(Skills!T4&lt;&gt;"",1+(Skills!T4/10)*($Z$3/1000)/100,1)</f>
        <v/>
      </c>
      <c r="J1176" t="inlineStr"/>
      <c r="K1176" t="inlineStr"/>
      <c r="L1176" t="inlineStr"/>
      <c r="M1176" t="inlineStr"/>
      <c r="N1176" t="inlineStr"/>
      <c r="O1176">
        <f>(1-Summary!$B$11)*S1176+Summary!$B$11*U1176</f>
        <v/>
      </c>
      <c r="P1176">
        <f>IF(B1214=0,0,O1176/B1214)</f>
        <v/>
      </c>
      <c r="Q1176">
        <f>IFERROR(1/(IF(Inputs!$B$39="pvp",15,MAX(0.1,Skills!D4-IF(Skills!E4=TRUE,Inputs!$B$33,0)))*(1-IF(AND(ArtifactsInput!$M$27,Inputs!$B$4="Chapter Hunt"),CHOOSE(ArtifactsInput!$N$27+1,20,24,28,32,36,40),0)/100)),0)</f>
        <v/>
      </c>
      <c r="R1176">
        <f>IF(AND(Inputs!$B$39&lt;&gt;"pvp",Inputs!$B$44&gt;0),IF(Inputs!$B$44&lt;=0,0,(INT(Inputs!$B$44/(IF(Inputs!$B$39="pvp",15,MAX(0.1,Skills!D4-IF(Skills!E4=TRUE,Inputs!$B$33,0)))*(1-IF(AND(ArtifactsInput!$M$27,Inputs!$B$4="Chapter Hunt"),CHOOSE(ArtifactsInput!$N$27+1,20,24,28,32,36,40),0)/100)))+1)),0)</f>
        <v/>
      </c>
      <c r="S1176" t="n">
        <v>0</v>
      </c>
      <c r="T1176">
        <f>290*T1175/1000</f>
        <v/>
      </c>
      <c r="U1176" t="n">
        <v>0</v>
      </c>
    </row>
    <row r="1177">
      <c r="A1177">
        <f>Skills!A5</f>
        <v/>
      </c>
      <c r="B1177">
        <f>Skills!B5</f>
        <v/>
      </c>
      <c r="C1177">
        <f>Inputs!$B$3&gt;=40</f>
        <v/>
      </c>
      <c r="D1177">
        <f>IF(Skills!C5=1,60+Inputs!$B$26+Inputs!$B$30,IF(Skills!C5=2,90+Inputs!$B$27+Inputs!$B$30,IF(Skills!C5=3,120+Inputs!$B$28+Inputs!$B$30,MAX(0,(Inputs!$B$3-100)*3)+Inputs!$B$29+Inputs!$B$30)))</f>
        <v/>
      </c>
      <c r="E1177">
        <f>INDEX(FactorTable!$B$2:$Y$301, MATCH(ROUND(MIN(300,MAX(1,D1177)),0), FactorTable!$A$2:$A$301,0), Skills!L5+1)</f>
        <v/>
      </c>
      <c r="F1177">
        <f>IF(Skills!M5=TRUE,(Skills!K5/10)*(E1177/1000),Skills!K5/10)+Skills!N5</f>
        <v/>
      </c>
      <c r="G1177">
        <f>Calc!G5</f>
        <v/>
      </c>
      <c r="H1177">
        <f>Calc!H5</f>
        <v/>
      </c>
      <c r="I1177">
        <f>IF(Skills!T5&lt;&gt;"",1+(Skills!T5/10)*($Z$3/1000)/100,1)</f>
        <v/>
      </c>
      <c r="J1177" t="inlineStr"/>
      <c r="K1177" t="inlineStr"/>
      <c r="L1177" t="inlineStr"/>
      <c r="M1177" t="inlineStr"/>
      <c r="N1177" t="inlineStr"/>
      <c r="O1177">
        <f>(1-Summary!$B$11)*S1177+Summary!$B$11*U1177</f>
        <v/>
      </c>
      <c r="P1177">
        <f>IF(B1214=0,0,O1177/B1214)</f>
        <v/>
      </c>
      <c r="Q1177">
        <f>IFERROR(1/(IF(Inputs!$B$39="pvp",15,MAX(0.1,Skills!D5-IF(Skills!E5=TRUE,Inputs!$B$33,0)))*(1-IF(AND(ArtifactsInput!$M$27,Inputs!$B$4="Chapter Hunt"),CHOOSE(ArtifactsInput!$N$27+1,20,24,28,32,36,40),0)/100)),0)</f>
        <v/>
      </c>
      <c r="R1177">
        <f>IF(AND(Inputs!$B$39&lt;&gt;"pvp",Inputs!$B$44&gt;0),IF(Inputs!$B$44&lt;=0,0,(INT(Inputs!$B$44/(IF(Inputs!$B$39="pvp",15,MAX(0.1,Skills!D5-IF(Skills!E5=TRUE,Inputs!$B$33,0)))*(1-IF(AND(ArtifactsInput!$M$27,Inputs!$B$4="Chapter Hunt"),CHOOSE(ArtifactsInput!$N$27+1,20,24,28,32,36,40),0)/100)))+1)),0)</f>
        <v/>
      </c>
      <c r="S1177" t="n">
        <v>0</v>
      </c>
      <c r="U1177" t="n">
        <v>0</v>
      </c>
    </row>
    <row r="1178">
      <c r="A1178">
        <f>Skills!A6</f>
        <v/>
      </c>
      <c r="B1178">
        <f>Skills!B6</f>
        <v/>
      </c>
      <c r="C1178">
        <f>Inputs!$B$3&gt;=103</f>
        <v/>
      </c>
      <c r="D1178">
        <f>IF(Skills!C6=1,60+Inputs!$B$26+Inputs!$B$30,IF(Skills!C6=2,90+Inputs!$B$27+Inputs!$B$30,IF(Skills!C6=3,120+Inputs!$B$28+Inputs!$B$30,MAX(0,(Inputs!$B$3-100)*3)+Inputs!$B$29+Inputs!$B$30)))</f>
        <v/>
      </c>
      <c r="E1178">
        <f>INDEX(FactorTable!$B$2:$Y$301, MATCH(ROUND(MIN(300,MAX(1,D1178)),0), FactorTable!$A$2:$A$301,0), Skills!L6+1)</f>
        <v/>
      </c>
      <c r="F1178">
        <f>IF(Skills!M6=TRUE,(Skills!K6/10)*(E1178/1000),Skills!K6/10)+Skills!N6</f>
        <v/>
      </c>
      <c r="G1178">
        <f>Calc!G6</f>
        <v/>
      </c>
      <c r="H1178">
        <f>Calc!H6</f>
        <v/>
      </c>
      <c r="I1178">
        <f>IF(Skills!T6&lt;&gt;"",1+(Skills!T6/10)*($Z$3/1000)/100,1)</f>
        <v/>
      </c>
      <c r="J1178">
        <f>((Inputs!$B$6*(1+Inputs!$B$7/100))+(((Inputs!$B$13*(1+Inputs!$B$14/100))-(Inputs!$B$13*(1+Inputs!$B$14/100)))+0.25*(Inputs!$B$15-Inputs!$B$15))*(1+Inputs!$B$7/100))*(F1178/100)</f>
        <v/>
      </c>
      <c r="K1178">
        <f>J1178*(1+(((Inputs!$B$13+IF(Inputs!$B$3&gt;=35,(10*INDEX(FactorTable!$B$2:$Y$301,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6="TRIUMPH_FEATHER",IF(C1188=TRUE,F1188,0),0)/100)*(1+IF(C1199=TRUE,F1199,0)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1178)</f>
        <v/>
      </c>
      <c r="L1178">
        <f>K1178*(MIN(Inputs!$B$23+(F1194-Calc!F22),(Inputs!$B$24+IF(ArtifactsInput!$M$15,CHOOSE(ArtifactsInput!$N$15+1,25,30,35,40,45,50)/100*(Inputs!$B$12-Inputs!$B$12),0)))/100+(Inputs!$B$24+IF(ArtifactsInput!$M$15,CHOOSE(ArtifactsInput!$N$15+1,25,30,35,40,45,50)/100*(Inputs!$B$12-Inputs!$B$12),0))/100)/2</f>
        <v/>
      </c>
      <c r="M1178">
        <f>L1178*(1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78">
        <f>L1178*(1-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1178*(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8">
        <f>(1-Summary!$B$11)*S1178+Summary!$B$11*U1178</f>
        <v/>
      </c>
      <c r="P1178">
        <f>IF(B1214=0,0,O1178/B1214)</f>
        <v/>
      </c>
      <c r="Q1178">
        <f>IFERROR(1/(IF(Inputs!$B$39="pvp",15,MAX(0.1,Skills!D6-IF(Skills!E6=TRUE,Inputs!$B$33,0)))*(1-IF(AND(ArtifactsInput!$M$27,Inputs!$B$4="Chapter Hunt"),CHOOSE(ArtifactsInput!$N$27+1,20,24,28,32,36,40),0)/100)),0)</f>
        <v/>
      </c>
      <c r="R1178">
        <f>IF(AND(Inputs!$B$39&lt;&gt;"pvp",Inputs!$B$44&gt;0),IF(MAX(0,Inputs!$B$44-B1211)&lt;=0,0,(INT(MAX(0,Inputs!$B$44-B1211)/(IF(Inputs!$B$39="pvp",15,MAX(0.1,Skills!D6-IF(Skills!E6=TRUE,Inputs!$B$33,0)))*(1-IF(AND(ArtifactsInput!$M$27,Inputs!$B$4="Chapter Hunt"),CHOOSE(ArtifactsInput!$N$27+1,20,24,28,32,36,40),0)/100)))+1)),0)</f>
        <v/>
      </c>
      <c r="S1178">
        <f>IF(C1178,(H1178*N1178*IF(AND(Inputs!$B$39&lt;&gt;"pvp",Inputs!$B$44&gt;0),((Skills!F6*((R1178-1)*IF(Skills!G6&gt;0,Skills!H6/Skills!G6,1)+IF(Skills!G6&gt;0,MIN(Skills!H6,MAX(0,MAX(0,Inputs!$B$44-B1211)-((R1178-1)*(IF(Inputs!$B$39="pvp",15,MAX(0.1,Skills!D6-IF(Skills!E6=TRUE,Inputs!$B$33,0)))*(1-IF(AND(ArtifactsInput!$M$27,Inputs!$B$4="Chapter Hunt"),CHOOSE(ArtifactsInput!$N$27+1,20,24,28,32,36,40),0)/100)))))/Skills!G6,1)))/Inputs!$B$44),G1178*Q1178))*IF(Inputs!$B$39="pvp",1,1+(Inputs!$B$21+Skills!O6+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1178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1178*(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1178*(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8">
        <f>IF(C1178,(H1178*N1178*IF(AND(Inputs!$B$39&lt;&gt;"pvp",Inputs!$B$44&gt;0),((Skills!F6*((R1178-1)*IF(Skills!G6&gt;0,Skills!H6/Skills!G6,1)+IF(Skills!G6&gt;0,MIN(Skills!H6,MAX(0,MAX(0,Inputs!$B$44-B1211)-((R1178-1)*(IF(Inputs!$B$39="pvp",15,MAX(0.1,Skills!D6-IF(Skills!E6=TRUE,Inputs!$B$33,0)))*(1-IF(AND(ArtifactsInput!$M$27,Inputs!$B$4="Chapter Hunt"),CHOOSE(ArtifactsInput!$N$27+1,20,24,28,32,36,40),0)/100)))))/Skills!G6,1)))/Inputs!$B$44),G1178*Q1178))*IF(Inputs!$B$39="pvp",1,(1+(Inputs!$B$22+Skills!P6+B1203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9">
      <c r="A1179">
        <f>Skills!A7</f>
        <v/>
      </c>
      <c r="B1179">
        <f>Skills!B7</f>
        <v/>
      </c>
      <c r="C1179">
        <f>Inputs!$B$3&gt;=122</f>
        <v/>
      </c>
      <c r="D1179">
        <f>IF(Skills!C7=1,60+Inputs!$B$26+Inputs!$B$30,IF(Skills!C7=2,90+Inputs!$B$27+Inputs!$B$30,IF(Skills!C7=3,120+Inputs!$B$28+Inputs!$B$30,MAX(0,(Inputs!$B$3-100)*3)+Inputs!$B$29+Inputs!$B$30)))</f>
        <v/>
      </c>
      <c r="E1179">
        <f>INDEX(FactorTable!$B$2:$Y$301, MATCH(ROUND(MIN(300,MAX(1,D1179)),0), FactorTable!$A$2:$A$301,0), Skills!L7+1)</f>
        <v/>
      </c>
      <c r="F1179">
        <f>IF(Skills!M7=TRUE,(Skills!K7/10)*(E1179/1000),Skills!K7/10)+Skills!N7</f>
        <v/>
      </c>
      <c r="G1179">
        <f>Calc!G7</f>
        <v/>
      </c>
      <c r="H1179">
        <f>Calc!H7</f>
        <v/>
      </c>
      <c r="I1179">
        <f>IF(Skills!T7&lt;&gt;"",1+(Skills!T7/10)*($Z$3/1000)/100,1)</f>
        <v/>
      </c>
      <c r="J1179">
        <f>((Inputs!$B$6*(1+Inputs!$B$7/100))+(((Inputs!$B$13*(1+Inputs!$B$14/100))-(Inputs!$B$13*(1+Inputs!$B$14/100)))+0.25*(Inputs!$B$15-Inputs!$B$15))*(1+Inputs!$B$7/100))*(F1179/100)</f>
        <v/>
      </c>
      <c r="K1179">
        <f>J1179*(1+(((Inputs!$B$13+IF(Inputs!$B$3&gt;=35,(10*INDEX(FactorTable!$B$2:$Y$301,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7="TRIUMPH_FEATHER",IF(C1188=TRUE,F1188,0),0)/100)*(1+IF(C1199=TRUE,F1199,0)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1179)</f>
        <v/>
      </c>
      <c r="L1179">
        <f>K1179*(MIN(Inputs!$B$23+(F1194-Calc!F22),(Inputs!$B$24+IF(ArtifactsInput!$M$15,CHOOSE(ArtifactsInput!$N$15+1,25,30,35,40,45,50)/100*(Inputs!$B$12-Inputs!$B$12),0)))/100+(Inputs!$B$24+IF(ArtifactsInput!$M$15,CHOOSE(ArtifactsInput!$N$15+1,25,30,35,40,45,50)/100*(Inputs!$B$12-Inputs!$B$12),0))/100)/2</f>
        <v/>
      </c>
      <c r="M1179">
        <f>L1179*(1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79">
        <f>L1179*(1-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1179*(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9">
        <f>(1-Summary!$B$11)*S1179+Summary!$B$11*U1179</f>
        <v/>
      </c>
      <c r="P1179">
        <f>IF(B1214=0,0,O1179/B1214)</f>
        <v/>
      </c>
      <c r="Q1179">
        <f>IFERROR(1/(IF(Inputs!$B$39="pvp",15,MAX(0.1,Skills!D7-IF(Skills!E6=TRUE,Inputs!$B$33,0)))*(1-IF(AND(ArtifactsInput!$M$27,Inputs!$B$4="Chapter Hunt"),CHOOSE(ArtifactsInput!$N$27+1,20,24,28,32,36,40),0)/100)),0)</f>
        <v/>
      </c>
      <c r="R1179">
        <f>IF(AND(Inputs!$B$39&lt;&gt;"pvp",Inputs!$B$44&gt;0),IF(MAX(0,Inputs!$B$44-B1211)&lt;=0,0,(INT(MAX(0,Inputs!$B$44-B1211)/(IF(Inputs!$B$39="pvp",15,MAX(0.1,Skills!D7-IF(Skills!E6=TRUE,Inputs!$B$33,0)))*(1-IF(AND(ArtifactsInput!$M$27,Inputs!$B$4="Chapter Hunt"),CHOOSE(ArtifactsInput!$N$27+1,20,24,28,32,36,40),0)/100)))+1)),0)</f>
        <v/>
      </c>
      <c r="S1179">
        <f>IF(C1179,H1179*N1179*IF(AND(Inputs!$B$39&lt;&gt;"pvp",Inputs!$B$44&gt;0),((Skills!F7*((R1179-1)*IF(Skills!G7&gt;0,Skills!H7/Skills!G7,1)+IF(Skills!G7&gt;0,MIN(Skills!H7,MAX(0,MAX(0,Inputs!$B$44-B1211)-((R1179-1)*(IF(Inputs!$B$39="pvp",15,MAX(0.1,Skills!D7-IF(Skills!E6=TRUE,Inputs!$B$33,0)))*(1-IF(AND(ArtifactsInput!$M$27,Inputs!$B$4="Chapter Hunt"),CHOOSE(ArtifactsInput!$N$27+1,20,24,28,32,36,40),0)/100)))))/Skills!G7,1)))/Inputs!$B$44),G1179*Q1179)*IF(Inputs!$B$39="pvp",1,1+(Inputs!$B$21+Skills!O7+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1179*(1-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1179*(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1179*(1-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1179*(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9" t="n">
        <v>0</v>
      </c>
    </row>
    <row r="1180">
      <c r="A1180">
        <f>Skills!A8</f>
        <v/>
      </c>
      <c r="B1180">
        <f>Skills!B8</f>
        <v/>
      </c>
      <c r="C1180">
        <f>Inputs!$B$3&gt;=105</f>
        <v/>
      </c>
      <c r="D1180">
        <f>IF(Skills!C8=1,60+Inputs!$B$26+Inputs!$B$30,IF(Skills!C8=2,90+Inputs!$B$27+Inputs!$B$30,IF(Skills!C8=3,120+Inputs!$B$28+Inputs!$B$30,MAX(0,(Inputs!$B$3-100)*3)+Inputs!$B$29+Inputs!$B$30)))</f>
        <v/>
      </c>
      <c r="E1180">
        <f>INDEX(FactorTable!$B$2:$Y$301, MATCH(ROUND(MIN(300,MAX(1,D1180)),0), FactorTable!$A$2:$A$301,0), Skills!L8+1)</f>
        <v/>
      </c>
      <c r="F1180">
        <f>IF(Skills!M8=TRUE,(Skills!K8/10)*(E1180/1000),Skills!K8/10)+Skills!N8</f>
        <v/>
      </c>
      <c r="G1180">
        <f>Calc!G8</f>
        <v/>
      </c>
      <c r="H1180">
        <f>Calc!H8</f>
        <v/>
      </c>
      <c r="I1180">
        <f>IF(Skills!T8&lt;&gt;"",1+(Skills!T8/10)*($Z$3/1000)/100,1)</f>
        <v/>
      </c>
      <c r="J1180">
        <f>((Inputs!$B$6*(1+Inputs!$B$7/100))+(((Inputs!$B$13*(1+Inputs!$B$14/100))-(Inputs!$B$13*(1+Inputs!$B$14/100)))+0.25*(Inputs!$B$15-Inputs!$B$15))*(1+Inputs!$B$7/100))*(F1180/100)</f>
        <v/>
      </c>
      <c r="K1180">
        <f>J1180*(1+(((Inputs!$B$13+IF(Inputs!$B$3&gt;=35,(10*INDEX(FactorTable!$B$2:$Y$301,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8="TRIUMPH_FEATHER",IF(C1188=TRUE,F1188,0),0)/100)*(1+IF(C1199=TRUE,F1199,0)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1180)</f>
        <v/>
      </c>
      <c r="L1180">
        <f>K1180*(MIN(Inputs!$B$23+(F1194-Calc!F22),(Inputs!$B$24+IF(ArtifactsInput!$M$15,CHOOSE(ArtifactsInput!$N$15+1,25,30,35,40,45,50)/100*(Inputs!$B$12-Inputs!$B$12),0)))/100+(Inputs!$B$24+IF(ArtifactsInput!$M$15,CHOOSE(ArtifactsInput!$N$15+1,25,30,35,40,45,50)/100*(Inputs!$B$12-Inputs!$B$12),0))/100)/2</f>
        <v/>
      </c>
      <c r="M1180">
        <f>L1180*(1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0">
        <f>L1180*(1-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1180*(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0">
        <f>(1-Summary!$B$11)*S1180+Summary!$B$11*U1180</f>
        <v/>
      </c>
      <c r="P1180">
        <f>IF(B1214=0,0,O1180/B1214)</f>
        <v/>
      </c>
      <c r="Q1180">
        <f>IFERROR(1/(IF(Inputs!$B$39="pvp",15,MAX(0.1,Skills!D8-IF(Skills!E8=TRUE,Inputs!$B$33,0)))*(1-IF(AND(ArtifactsInput!$M$27,Inputs!$B$4="Chapter Hunt"),CHOOSE(ArtifactsInput!$N$27+1,20,24,28,32,36,40),0)/100)),0)</f>
        <v/>
      </c>
      <c r="R1180">
        <f>IF(AND(Inputs!$B$39&lt;&gt;"pvp",Inputs!$B$44&gt;0),IF(MAX(0,Inputs!$B$44-B1211)&lt;=0,0,(INT(MAX(0,Inputs!$B$44-B1211)/(IF(Inputs!$B$39="pvp",15,MAX(0.1,Skills!D8-IF(Skills!E8=TRUE,Inputs!$B$33,0)))*(1-IF(AND(ArtifactsInput!$M$27,Inputs!$B$4="Chapter Hunt"),CHOOSE(ArtifactsInput!$N$27+1,20,24,28,32,36,40),0)/100)))+1)),0)</f>
        <v/>
      </c>
      <c r="S1180">
        <f>IF(C1180,(H1180*N1180*IF(AND(Inputs!$B$39&lt;&gt;"pvp",Inputs!$B$44&gt;0),((Skills!F8*((R1180-1)*IF(Skills!G8&gt;0,Skills!H8/Skills!G8,1)+IF(Skills!G8&gt;0,MIN(Skills!H8,MAX(0,MAX(0,Inputs!$B$44-B1211)-((R1180-1)*(IF(Inputs!$B$39="pvp",15,MAX(0.1,Skills!D8-IF(Skills!E8=TRUE,Inputs!$B$33,0)))*(1-IF(AND(ArtifactsInput!$M$27,Inputs!$B$4="Chapter Hunt"),CHOOSE(ArtifactsInput!$N$27+1,20,24,28,32,36,40),0)/100)))))/Skills!G8,1)))/Inputs!$B$44),G1180*Q1180))*IF(Inputs!$B$39="pvp",1,1+(Inputs!$B$21+Skills!O8+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1180*(1-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1180*(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1180*(1-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1180*(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80">
        <f>IF(C1180,(H1180*N1180*IF(AND(Inputs!$B$39&lt;&gt;"pvp",Inputs!$B$44&gt;0),((Skills!F8*((R1180-1)*IF(Skills!G8&gt;0,Skills!H8/Skills!G8,1)+IF(Skills!G8&gt;0,MIN(Skills!H8,MAX(0,MAX(0,Inputs!$B$44-B1211)-((R1180-1)*(IF(Inputs!$B$39="pvp",15,MAX(0.1,Skills!D8-IF(Skills!E8=TRUE,Inputs!$B$33,0)))*(1-IF(AND(ArtifactsInput!$M$27,Inputs!$B$4="Chapter Hunt"),CHOOSE(ArtifactsInput!$N$27+1,20,24,28,32,36,40),0)/100)))))/Skills!G8,1)))/Inputs!$B$44),G1180*Q1180))*IF(Inputs!$B$39="pvp",1,(1+(Inputs!$B$22+Skills!P8+B1203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1">
      <c r="A1181">
        <f>Skills!A9</f>
        <v/>
      </c>
      <c r="B1181">
        <f>Skills!B9</f>
        <v/>
      </c>
      <c r="C1181">
        <f>Inputs!$B$3&gt;=115</f>
        <v/>
      </c>
      <c r="D1181">
        <f>IF(Skills!C9=1,60+Inputs!$B$26+Inputs!$B$30,IF(Skills!C9=2,90+Inputs!$B$27+Inputs!$B$30,IF(Skills!C9=3,120+Inputs!$B$28+Inputs!$B$30,MAX(0,(Inputs!$B$3-100)*3)+Inputs!$B$29+Inputs!$B$30)))</f>
        <v/>
      </c>
      <c r="E1181">
        <f>INDEX(FactorTable!$B$2:$Y$301, MATCH(ROUND(MIN(300,MAX(1,D1181)),0), FactorTable!$A$2:$A$301,0), Skills!L9+1)</f>
        <v/>
      </c>
      <c r="F1181">
        <f>IF(Skills!M9=TRUE,(Skills!K9/10)*(E1181/1000),Skills!K9/10)+Skills!N9</f>
        <v/>
      </c>
      <c r="G1181">
        <f>Calc!G9</f>
        <v/>
      </c>
      <c r="H1181">
        <f>Calc!H9</f>
        <v/>
      </c>
      <c r="I1181">
        <f>IF(Skills!T9&lt;&gt;"",1+(Skills!T9/10)*($Z$3/1000)/100,1)</f>
        <v/>
      </c>
      <c r="J1181">
        <f>((Inputs!$B$6*(1+Inputs!$B$7/100))+(((Inputs!$B$13*(1+Inputs!$B$14/100))-(Inputs!$B$13*(1+Inputs!$B$14/100)))+0.25*(Inputs!$B$15-Inputs!$B$15))*(1+Inputs!$B$7/100))*(F1181/100)</f>
        <v/>
      </c>
      <c r="K1181">
        <f>J1181*(1+(((Inputs!$B$13+IF(Inputs!$B$3&gt;=35,(10*INDEX(FactorTable!$B$2:$Y$301,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9="TRIUMPH_FEATHER",IF(C1188=TRUE,F1188,0),0)/100)*(1+IF(C1199=TRUE,F1199,0)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1181)</f>
        <v/>
      </c>
      <c r="L1181">
        <f>K1181*(MIN(Inputs!$B$23+(F1194-Calc!F22),(Inputs!$B$24+IF(ArtifactsInput!$M$15,CHOOSE(ArtifactsInput!$N$15+1,25,30,35,40,45,50)/100*(Inputs!$B$12-Inputs!$B$12),0)))/100+(Inputs!$B$24+IF(ArtifactsInput!$M$15,CHOOSE(ArtifactsInput!$N$15+1,25,30,35,40,45,50)/100*(Inputs!$B$12-Inputs!$B$12),0))/100)/2</f>
        <v/>
      </c>
      <c r="M1181">
        <f>L1181*(1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1">
        <f>L1181*(1-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1">
        <f>(1-Summary!$B$11)*S1181+Summary!$B$11*U1181</f>
        <v/>
      </c>
      <c r="P1181">
        <f>IF(B1214=0,0,O1181/B1214)</f>
        <v/>
      </c>
      <c r="Q1181">
        <f>IFERROR(1/(IF(Inputs!$B$39="pvp",15,MAX(0.1,Skills!D9-IF(Skills!E9=TRUE,Inputs!$B$33,0)))*(1-IF(AND(ArtifactsInput!$M$27,Inputs!$B$4="Chapter Hunt"),CHOOSE(ArtifactsInput!$N$27+1,20,24,28,32,36,40),0)/100)),0)</f>
        <v/>
      </c>
      <c r="R1181">
        <f>IF(AND(Inputs!$B$39&lt;&gt;"pvp",Inputs!$B$44&gt;0),IF(MAX(0,Inputs!$B$44-B1211)&lt;=0,0,(INT(MAX(0,Inputs!$B$44-B1211)/(IF(Inputs!$B$39="pvp",15,MAX(0.1,Skills!D9-IF(Skills!E9=TRUE,Inputs!$B$33,0)))*(1-IF(AND(ArtifactsInput!$M$27,Inputs!$B$4="Chapter Hunt"),CHOOSE(ArtifactsInput!$N$27+1,20,24,28,32,36,40),0)/100)))+1)),0)</f>
        <v/>
      </c>
      <c r="S1181">
        <f>IF(C1181,(H1181*N1181*IF(AND(Inputs!$B$39&lt;&gt;"pvp",Inputs!$B$44&gt;0),((Skills!F9*((R1181-1)*IF(Skills!G9&gt;0,Skills!H9/Skills!G9,1)+IF(Skills!G9&gt;0,MIN(Skills!H9,MAX(0,MAX(0,Inputs!$B$44-B1211)-((R1181-1)*(IF(Inputs!$B$39="pvp",15,MAX(0.1,Skills!D9-IF(Skills!E9=TRUE,Inputs!$B$33,0)))*(1-IF(AND(ArtifactsInput!$M$27,Inputs!$B$4="Chapter Hunt"),CHOOSE(ArtifactsInput!$N$27+1,20,24,28,32,36,40),0)/100)))))/Skills!G9,1)))/Inputs!$B$44),G1181*Q1181))*IF(Inputs!$B$39="pvp",1,1+(Inputs!$B$21+Skills!O9+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1181*(1-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81">
        <f>IF(C1181,(H1181*N1181*IF(AND(Inputs!$B$39&lt;&gt;"pvp",Inputs!$B$44&gt;0),((Skills!F9*((R1181-1)*IF(Skills!G9&gt;0,Skills!H9/Skills!G9,1)+IF(Skills!G9&gt;0,MIN(Skills!H9,MAX(0,MAX(0,Inputs!$B$44-B1211)-((R1181-1)*(IF(Inputs!$B$39="pvp",15,MAX(0.1,Skills!D9-IF(Skills!E9=TRUE,Inputs!$B$33,0)))*(1-IF(AND(ArtifactsInput!$M$27,Inputs!$B$4="Chapter Hunt"),CHOOSE(ArtifactsInput!$N$27+1,20,24,28,32,36,40),0)/100)))))/Skills!G9,1)))/Inputs!$B$44),G1181*Q1181))*IF(Inputs!$B$39="pvp",1,(1+(Inputs!$B$22+Skills!P9+B1203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2">
      <c r="A1182">
        <f>Skills!A10</f>
        <v/>
      </c>
      <c r="B1182">
        <f>Skills!B10</f>
        <v/>
      </c>
      <c r="C1182">
        <f>Inputs!$B$3&gt;=66</f>
        <v/>
      </c>
      <c r="D1182">
        <f>IF(Skills!C10=1,60+Inputs!$B$26+Inputs!$B$30,IF(Skills!C10=2,90+Inputs!$B$27+Inputs!$B$30,IF(Skills!C10=3,120+Inputs!$B$28+Inputs!$B$30,MAX(0,(Inputs!$B$3-100)*3)+Inputs!$B$29+Inputs!$B$30)))</f>
        <v/>
      </c>
      <c r="E1182">
        <f>INDEX(FactorTable!$B$2:$Y$301, MATCH(ROUND(MIN(300,MAX(1,D1182)),0), FactorTable!$A$2:$A$301,0), Skills!L10+1)</f>
        <v/>
      </c>
      <c r="F1182" t="n">
        <v>0</v>
      </c>
      <c r="G1182">
        <f>Calc!G10</f>
        <v/>
      </c>
      <c r="H1182">
        <f>Calc!H10</f>
        <v/>
      </c>
      <c r="I1182">
        <f>IF(Skills!T10&lt;&gt;"",1+(Skills!T10/10)*($Z$3/1000)/100,1)</f>
        <v/>
      </c>
      <c r="J1182" t="inlineStr"/>
      <c r="K1182" t="inlineStr"/>
      <c r="L1182" t="inlineStr"/>
      <c r="M1182" t="inlineStr"/>
      <c r="N1182" t="inlineStr"/>
      <c r="O1182">
        <f>(1-Summary!$B$11)*S1182+Summary!$B$11*U1182</f>
        <v/>
      </c>
      <c r="P1182">
        <f>IF(B1214=0,0,O1182/B1214)</f>
        <v/>
      </c>
      <c r="Q1182">
        <f>IFERROR(1/(IF(Inputs!$B$39="pvp",15,MAX(0.1,Skills!D10-IF(Skills!E10=TRUE,Inputs!$B$33,0)))*(1-IF(AND(ArtifactsInput!$M$27,Inputs!$B$4="Chapter Hunt"),CHOOSE(ArtifactsInput!$N$27+1,20,24,28,32,36,40),0)/100)),0)</f>
        <v/>
      </c>
      <c r="R1182">
        <f>IF(AND(Inputs!$B$39&lt;&gt;"pvp",Inputs!$B$44&gt;0),IF(MAX(0,Inputs!$B$44-B1211)&lt;=0,0,(INT(MAX(0,Inputs!$B$44-B1211)/(IF(Inputs!$B$39="pvp",15,MAX(0.1,Skills!D10-IF(Skills!E10=TRUE,Inputs!$B$33,0)))*(1-IF(AND(ArtifactsInput!$M$27,Inputs!$B$4="Chapter Hunt"),CHOOSE(ArtifactsInput!$N$27+1,20,24,28,32,36,40),0)/100)))+1)),0)</f>
        <v/>
      </c>
      <c r="S1182" t="n">
        <v>0</v>
      </c>
      <c r="U1182" t="n">
        <v>0</v>
      </c>
    </row>
    <row r="1183">
      <c r="A1183">
        <f>Skills!A11</f>
        <v/>
      </c>
      <c r="B1183">
        <f>Skills!B11</f>
        <v/>
      </c>
      <c r="C1183">
        <f>Inputs!$B$3&gt;=69</f>
        <v/>
      </c>
      <c r="D1183">
        <f>IF(Skills!C11=1,60+Inputs!$B$26+Inputs!$B$30,IF(Skills!C11=2,90+Inputs!$B$27+Inputs!$B$30,IF(Skills!C11=3,120+Inputs!$B$28+Inputs!$B$30,MAX(0,(Inputs!$B$3-100)*3)+Inputs!$B$29+Inputs!$B$30)))</f>
        <v/>
      </c>
      <c r="E1183">
        <f>INDEX(FactorTable!$B$2:$Y$301, MATCH(ROUND(MIN(300,MAX(1,D1183)),0), FactorTable!$A$2:$A$301,0), Skills!L11+1)</f>
        <v/>
      </c>
      <c r="F1183">
        <f>IF(Skills!M11=TRUE,(Skills!K11/10)*(E1183/1000),Skills!K11/10)+Skills!N11</f>
        <v/>
      </c>
      <c r="G1183">
        <f>Calc!G11</f>
        <v/>
      </c>
      <c r="H1183">
        <f>Calc!H11</f>
        <v/>
      </c>
      <c r="I1183">
        <f>IF(Skills!T11&lt;&gt;"",1+(Skills!T11/10)*($Z$3/1000)/100,1)</f>
        <v/>
      </c>
      <c r="J1183" t="inlineStr"/>
      <c r="K1183" t="inlineStr"/>
      <c r="L1183" t="inlineStr"/>
      <c r="M1183" t="inlineStr"/>
      <c r="N1183" t="inlineStr"/>
      <c r="O1183">
        <f>(1-Summary!$B$11)*S1183+Summary!$B$11*U1183</f>
        <v/>
      </c>
      <c r="P1183">
        <f>IF(B1214=0,0,O1183/B1214)</f>
        <v/>
      </c>
      <c r="Q1183">
        <f>IFERROR(1/(IF(Inputs!$B$39="pvp",15,MAX(0.1,Skills!D11-IF(Skills!E11=TRUE,Inputs!$B$33,0)))*(1-IF(AND(ArtifactsInput!$M$27,Inputs!$B$4="Chapter Hunt"),CHOOSE(ArtifactsInput!$N$27+1,20,24,28,32,36,40),0)/100)),0)</f>
        <v/>
      </c>
      <c r="R1183">
        <f>IF(AND(Inputs!$B$39&lt;&gt;"pvp",Inputs!$B$44&gt;0),IF(Inputs!$B$44&lt;=0,0,(INT(Inputs!$B$44/(IF(Inputs!$B$39="pvp",15,MAX(0.1,Skills!D11-IF(Skills!E11=TRUE,Inputs!$B$33,0)))*(1-IF(AND(ArtifactsInput!$M$27,Inputs!$B$4="Chapter Hunt"),CHOOSE(ArtifactsInput!$N$27+1,20,24,28,32,36,40),0)/100)))+1)),0)</f>
        <v/>
      </c>
      <c r="S1183" t="n">
        <v>0</v>
      </c>
      <c r="U1183" t="n">
        <v>0</v>
      </c>
    </row>
    <row r="1184">
      <c r="A1184">
        <f>Skills!A12</f>
        <v/>
      </c>
      <c r="B1184">
        <f>Skills!B12</f>
        <v/>
      </c>
      <c r="C1184">
        <f>Inputs!$B$3&gt;=72</f>
        <v/>
      </c>
      <c r="D1184">
        <f>IF(Skills!C12=1,60+Inputs!$B$26+Inputs!$B$30,IF(Skills!C12=2,90+Inputs!$B$27+Inputs!$B$30,IF(Skills!C12=3,120+Inputs!$B$28+Inputs!$B$30,MAX(0,(Inputs!$B$3-100)*3)+Inputs!$B$29+Inputs!$B$30)))</f>
        <v/>
      </c>
      <c r="E1184">
        <f>INDEX(FactorTable!$B$2:$Y$301, MATCH(ROUND(MIN(300,MAX(1,D1184)),0), FactorTable!$A$2:$A$301,0), Skills!L12+1)</f>
        <v/>
      </c>
      <c r="F1184">
        <f>IF(Skills!M12=TRUE,(Skills!K12/10)*(E1184/1000),Skills!K12/10)+Skills!N12</f>
        <v/>
      </c>
      <c r="G1184">
        <f>Calc!G12</f>
        <v/>
      </c>
      <c r="H1184">
        <f>Calc!H12</f>
        <v/>
      </c>
      <c r="I1184">
        <f>IF(Skills!T12&lt;&gt;"",1+(Skills!T12/10)*($Z$3/1000)/100,1)</f>
        <v/>
      </c>
      <c r="J1184" t="inlineStr"/>
      <c r="K1184" t="inlineStr"/>
      <c r="L1184" t="inlineStr"/>
      <c r="M1184" t="inlineStr"/>
      <c r="N1184" t="inlineStr"/>
      <c r="O1184">
        <f>(1-Summary!$B$11)*S1184+Summary!$B$11*U1184</f>
        <v/>
      </c>
      <c r="P1184">
        <f>IF(B1214=0,0,O1184/B1214)</f>
        <v/>
      </c>
      <c r="Q1184">
        <f>IFERROR(1/(IF(Inputs!$B$39="pvp",15,MAX(0.1,Skills!D12-IF(Skills!E12=TRUE,Inputs!$B$33,0)))*(1-IF(AND(ArtifactsInput!$M$27,Inputs!$B$4="Chapter Hunt"),CHOOSE(ArtifactsInput!$N$27+1,20,24,28,32,36,40),0)/100)),0)</f>
        <v/>
      </c>
      <c r="R1184">
        <f>IF(AND(Inputs!$B$39&lt;&gt;"pvp",Inputs!$B$44&gt;0),IF(MAX(0,Inputs!$B$44-B1211)&lt;=0,0,(INT(MAX(0,Inputs!$B$44-B1211)/(IF(Inputs!$B$39="pvp",15,MAX(0.1,Skills!D12-IF(Skills!E12=TRUE,Inputs!$B$33,0)))*(1-IF(AND(ArtifactsInput!$M$27,Inputs!$B$4="Chapter Hunt"),CHOOSE(ArtifactsInput!$N$27+1,20,24,28,32,36,40),0)/100)))+1)),0)</f>
        <v/>
      </c>
      <c r="S1184" t="n">
        <v>0</v>
      </c>
      <c r="U1184" t="n">
        <v>0</v>
      </c>
    </row>
    <row r="1185">
      <c r="A1185">
        <f>Skills!A13</f>
        <v/>
      </c>
      <c r="B1185">
        <f>Skills!B13</f>
        <v/>
      </c>
      <c r="C1185">
        <f>Inputs!$B$3&gt;=60</f>
        <v/>
      </c>
      <c r="D1185">
        <f>IF(Skills!C13=1,60+Inputs!$B$26+Inputs!$B$30,IF(Skills!C13=2,90+Inputs!$B$27+Inputs!$B$30,IF(Skills!C13=3,120+Inputs!$B$28+Inputs!$B$30,MAX(0,(Inputs!$B$3-100)*3)+Inputs!$B$29+Inputs!$B$30)))</f>
        <v/>
      </c>
      <c r="E1185">
        <f>INDEX(FactorTable!$B$2:$Y$301, MATCH(ROUND(MIN(300,MAX(1,D1185)),0), FactorTable!$A$2:$A$301,0), Skills!L13+1)</f>
        <v/>
      </c>
      <c r="F1185">
        <f>IF(Skills!M13=TRUE,(Skills!K13/10)*(E1185/1000),Skills!K13/10)+Skills!N13</f>
        <v/>
      </c>
      <c r="G1185">
        <f>Calc!G13</f>
        <v/>
      </c>
      <c r="H1185">
        <f>Calc!H13</f>
        <v/>
      </c>
      <c r="I1185">
        <f>IF(Skills!T13&lt;&gt;"",1+(Skills!T13/10)*($Z$3/1000)/100,1)</f>
        <v/>
      </c>
      <c r="J1185" t="inlineStr"/>
      <c r="K1185" t="inlineStr"/>
      <c r="L1185" t="inlineStr"/>
      <c r="M1185" t="inlineStr"/>
      <c r="N1185" t="inlineStr"/>
      <c r="O1185">
        <f>(1-Summary!$B$11)*S1185+Summary!$B$11*U1185</f>
        <v/>
      </c>
      <c r="P1185">
        <f>IF(B1214=0,0,O1185/B1214)</f>
        <v/>
      </c>
      <c r="Q1185">
        <f>IFERROR(1/(IF(Inputs!$B$39="pvp",15,MAX(0.1,Skills!D13-IF(Skills!E13=TRUE,Inputs!$B$33,0)))*(1-IF(AND(ArtifactsInput!$M$27,Inputs!$B$4="Chapter Hunt"),CHOOSE(ArtifactsInput!$N$27+1,20,24,28,32,36,40),0)/100)),0)</f>
        <v/>
      </c>
      <c r="R1185">
        <f>IF(AND(Inputs!$B$39&lt;&gt;"pvp",Inputs!$B$44&gt;0),IF(MAX(0,Inputs!$B$44-B1211)&lt;=0,0,(INT(MAX(0,Inputs!$B$44-B1211)/(IF(Inputs!$B$39="pvp",15,MAX(0.1,Skills!D13-IF(Skills!E13=TRUE,Inputs!$B$33,0)))*(1-IF(AND(ArtifactsInput!$M$27,Inputs!$B$4="Chapter Hunt"),CHOOSE(ArtifactsInput!$N$27+1,20,24,28,32,36,40),0)/100)))+1)),0)</f>
        <v/>
      </c>
      <c r="S1185" t="n">
        <v>0</v>
      </c>
      <c r="U1185" t="n">
        <v>0</v>
      </c>
    </row>
    <row r="1186">
      <c r="A1186">
        <f>Skills!A14</f>
        <v/>
      </c>
      <c r="B1186">
        <f>Skills!B14</f>
        <v/>
      </c>
      <c r="C1186">
        <f>Inputs!$B$3&gt;=107</f>
        <v/>
      </c>
      <c r="D1186">
        <f>IF(Skills!C14=1,60+Inputs!$B$26+Inputs!$B$30,IF(Skills!C14=2,90+Inputs!$B$27+Inputs!$B$30,IF(Skills!C14=3,120+Inputs!$B$28+Inputs!$B$30,MAX(0,(Inputs!$B$3-100)*3)+Inputs!$B$29+Inputs!$B$30)))</f>
        <v/>
      </c>
      <c r="E1186">
        <f>INDEX(FactorTable!$B$2:$Y$301, MATCH(ROUND(MIN(300,MAX(1,D1186)),0), FactorTable!$A$2:$A$301,0), Skills!L14+1)</f>
        <v/>
      </c>
      <c r="F1186">
        <f>IF(Skills!M14=TRUE,(Skills!K14/10)*(E1186/1000),Skills!K14/10)+Skills!N14</f>
        <v/>
      </c>
      <c r="G1186">
        <f>Calc!G14</f>
        <v/>
      </c>
      <c r="H1186">
        <f>Calc!H14</f>
        <v/>
      </c>
      <c r="I1186">
        <f>IF(Skills!T14&lt;&gt;"",1+(Skills!T14/10)*($Z$3/1000)/100,1)</f>
        <v/>
      </c>
      <c r="J1186" t="inlineStr"/>
      <c r="K1186" t="inlineStr"/>
      <c r="L1186" t="inlineStr"/>
      <c r="M1186" t="inlineStr"/>
      <c r="N1186" t="inlineStr"/>
      <c r="O1186">
        <f>(1-Summary!$B$11)*S1186+Summary!$B$11*U1186</f>
        <v/>
      </c>
      <c r="P1186">
        <f>IF(B1214=0,0,O1186/B1214)</f>
        <v/>
      </c>
      <c r="Q1186">
        <f>IFERROR(1/(IF(Inputs!$B$39="pvp",15,MAX(0.1,Skills!D14-IF(Skills!E14=TRUE,Inputs!$B$33,0)))*(1-IF(AND(ArtifactsInput!$M$27,Inputs!$B$4="Chapter Hunt"),CHOOSE(ArtifactsInput!$N$27+1,20,24,28,32,36,40),0)/100)),0)</f>
        <v/>
      </c>
      <c r="R1186">
        <f>IF(AND(Inputs!$B$39&lt;&gt;"pvp",Inputs!$B$44&gt;0),IF(Inputs!$B$44&lt;=0,0,(INT(Inputs!$B$44/(IF(Inputs!$B$39="pvp",15,MAX(0.1,Skills!D14-IF(Skills!E14=TRUE,Inputs!$B$33,0)))*(1-IF(AND(ArtifactsInput!$M$27,Inputs!$B$4="Chapter Hunt"),CHOOSE(ArtifactsInput!$N$27+1,20,24,28,32,36,40),0)/100)))+1)),0)</f>
        <v/>
      </c>
      <c r="S1186" t="n">
        <v>0</v>
      </c>
      <c r="U1186" t="n">
        <v>0</v>
      </c>
    </row>
    <row r="1187">
      <c r="A1187">
        <f>Skills!A15</f>
        <v/>
      </c>
      <c r="B1187">
        <f>Skills!B15</f>
        <v/>
      </c>
      <c r="C1187">
        <f>Inputs!$B$3&gt;=63</f>
        <v/>
      </c>
      <c r="D1187">
        <f>IF(Skills!C15=1,60+Inputs!$B$26+Inputs!$B$30,IF(Skills!C15=2,90+Inputs!$B$27+Inputs!$B$30,IF(Skills!C15=3,120+Inputs!$B$28+Inputs!$B$30,MAX(0,(Inputs!$B$3-100)*3)+Inputs!$B$29+Inputs!$B$30)))</f>
        <v/>
      </c>
      <c r="E1187">
        <f>INDEX(FactorTable!$B$2:$Y$301, MATCH(ROUND(MIN(300,MAX(1,D1187)),0), FactorTable!$A$2:$A$301,0), Skills!L15+1)</f>
        <v/>
      </c>
      <c r="F1187">
        <f>IF(Skills!M15=TRUE,(Skills!K15/10)*(E1187/1000),Skills!K15/10)+Skills!N15</f>
        <v/>
      </c>
      <c r="G1187">
        <f>Calc!G15</f>
        <v/>
      </c>
      <c r="H1187">
        <f>Calc!H15</f>
        <v/>
      </c>
      <c r="I1187">
        <f>IF(Skills!T15&lt;&gt;"",1+(Skills!T15/10)*($Z$3/1000)/100,1)</f>
        <v/>
      </c>
      <c r="J1187">
        <f>((Inputs!$B$6*(1+Inputs!$B$7/100))+(((Inputs!$B$13*(1+Inputs!$B$14/100))-(Inputs!$B$13*(1+Inputs!$B$14/100)))+0.25*(Inputs!$B$15-Inputs!$B$15))*(1+Inputs!$B$7/100))*(F1187/100)</f>
        <v/>
      </c>
      <c r="K1187">
        <f>J1187*(1+(((Inputs!$B$13+IF(Inputs!$B$3&gt;=35,(10*INDEX(FactorTable!$B$2:$Y$301,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15="TRIUMPH_FEATHER",IF(C1188=TRUE,F1188,0),0)/100)*(1+IF(C1199=TRUE,F1199,0)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1187)</f>
        <v/>
      </c>
      <c r="L1187">
        <f>K1187*(MIN(Inputs!$B$23+(F1194-Calc!F22),(Inputs!$B$24+IF(ArtifactsInput!$M$15,CHOOSE(ArtifactsInput!$N$15+1,25,30,35,40,45,50)/100*(Inputs!$B$12-Inputs!$B$12),0)))/100+(Inputs!$B$24+IF(ArtifactsInput!$M$15,CHOOSE(ArtifactsInput!$N$15+1,25,30,35,40,45,50)/100*(Inputs!$B$12-Inputs!$B$12),0))/100)/2</f>
        <v/>
      </c>
      <c r="M1187">
        <f>L1187*(1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7">
        <f>L1187*(1-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1187*(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7">
        <f>(1-Summary!$B$11)*S1187+Summary!$B$11*U1187</f>
        <v/>
      </c>
      <c r="P1187">
        <f>IF(B1214=0,0,O1187/B1214)</f>
        <v/>
      </c>
      <c r="Q1187">
        <f>IFERROR(1/(IF(Inputs!$B$39="pvp",15,MAX(0.1,Skills!D15-IF(Skills!E15=TRUE,Inputs!$B$33,0)))*(1-IF(AND(ArtifactsInput!$M$27,Inputs!$B$4="Chapter Hunt"),CHOOSE(ArtifactsInput!$N$27+1,20,24,28,32,36,40),0)/100)),0)</f>
        <v/>
      </c>
      <c r="R1187" t="n">
        <v>0</v>
      </c>
      <c r="S1187">
        <f>IF(C1187,(Skills!F15*N1187*((IF(Inputs!$B$3&gt;=78,25,15)/100*B1207*10)/(1+IF(Inputs!$B$3&gt;=78,25,15)/100*B1207*10))*(Skills!I15/100*B1207)/(1+Skills!G15*Skills!I15/100*B1207))*IF(Inputs!$B$39="pvp",1,1+(Inputs!$B$21+Skills!O15+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1187*(1-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1187*(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1187*(1-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1187*(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87">
        <f>IF(C1187,(Skills!F15*N1187*((IF(Inputs!$B$3&gt;=78,25,15)/100*B1207*10)/(1+IF(Inputs!$B$3&gt;=78,25,15)/100*B1207*10))*(Skills!I15/100*B1207)/(1+Skills!G15*Skills!I15/100*B1207))*IF(Inputs!$B$39="pvp",1,(1+(Inputs!$B$22+Skills!P15+B1203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8">
      <c r="A1188">
        <f>Skills!A16</f>
        <v/>
      </c>
      <c r="B1188">
        <f>Skills!B16</f>
        <v/>
      </c>
      <c r="C1188">
        <f>Inputs!$B$3&gt;=100</f>
        <v/>
      </c>
      <c r="D1188">
        <f>IF(Skills!C16=1,60+Inputs!$B$26+Inputs!$B$30,IF(Skills!C16=2,90+Inputs!$B$27+Inputs!$B$30,IF(Skills!C16=3,120+Inputs!$B$28+Inputs!$B$30,MAX(0,(Inputs!$B$3-100)*3)+Inputs!$B$29+Inputs!$B$30)))</f>
        <v/>
      </c>
      <c r="E1188">
        <f>INDEX(FactorTable!$B$2:$Y$301, MATCH(ROUND(MIN(300,MAX(1,D1188)),0), FactorTable!$A$2:$A$301,0), Skills!L16+1)</f>
        <v/>
      </c>
      <c r="F1188">
        <f>IF(Skills!M16=TRUE,(Skills!K16/10)*(E1188/1000),Skills!K16/10)+Skills!N16</f>
        <v/>
      </c>
      <c r="G1188">
        <f>Calc!G16</f>
        <v/>
      </c>
      <c r="H1188">
        <f>Calc!H16</f>
        <v/>
      </c>
      <c r="I1188">
        <f>IF(Skills!T16&lt;&gt;"",1+(Skills!T16/10)*($Z$3/1000)/100,1)</f>
        <v/>
      </c>
      <c r="J1188" t="inlineStr"/>
      <c r="K1188" t="inlineStr"/>
      <c r="L1188" t="inlineStr"/>
      <c r="M1188" t="inlineStr"/>
      <c r="N1188" t="inlineStr"/>
      <c r="O1188">
        <f>(1-Summary!$B$11)*S1188+Summary!$B$11*U1188</f>
        <v/>
      </c>
      <c r="P1188">
        <f>IF(B1214=0,0,O1188/B1214)</f>
        <v/>
      </c>
      <c r="Q1188">
        <f>IFERROR(1/(IF(Inputs!$B$39="pvp",15,MAX(0.1,Skills!D16-IF(Skills!E16=TRUE,Inputs!$B$33,0)))*(1-IF(AND(ArtifactsInput!$M$27,Inputs!$B$4="Chapter Hunt"),CHOOSE(ArtifactsInput!$N$27+1,20,24,28,32,36,40),0)/100)),0)</f>
        <v/>
      </c>
      <c r="R1188" t="n">
        <v>0</v>
      </c>
      <c r="S1188" t="n">
        <v>0</v>
      </c>
      <c r="U1188" t="n">
        <v>0</v>
      </c>
    </row>
    <row r="1189">
      <c r="A1189">
        <f>Skills!A17</f>
        <v/>
      </c>
      <c r="B1189">
        <f>Skills!B17</f>
        <v/>
      </c>
      <c r="C1189">
        <f>Inputs!$B$3&gt;=49</f>
        <v/>
      </c>
      <c r="D1189">
        <f>IF(Skills!C17=1,60+Inputs!$B$26+Inputs!$B$30,IF(Skills!C17=2,90+Inputs!$B$27+Inputs!$B$30,IF(Skills!C17=3,120+Inputs!$B$28+Inputs!$B$30,MAX(0,(Inputs!$B$3-100)*3)+Inputs!$B$29+Inputs!$B$30)))</f>
        <v/>
      </c>
      <c r="E1189">
        <f>INDEX(FactorTable!$B$2:$Y$301, MATCH(ROUND(MIN(300,MAX(1,D1189)),0), FactorTable!$A$2:$A$301,0), Skills!L17+1)</f>
        <v/>
      </c>
      <c r="F1189">
        <f>IF(Skills!M17=TRUE,(Skills!K17/10)*(E1189/1000),Skills!K17/10)+Skills!N17</f>
        <v/>
      </c>
      <c r="G1189">
        <f>Calc!G17</f>
        <v/>
      </c>
      <c r="H1189">
        <f>Calc!H17</f>
        <v/>
      </c>
      <c r="I1189">
        <f>IF(Skills!T17&lt;&gt;"",1+(Skills!T17/10)*($Z$3/1000)/100,1)</f>
        <v/>
      </c>
      <c r="J1189" t="inlineStr"/>
      <c r="K1189" t="inlineStr"/>
      <c r="L1189" t="inlineStr"/>
      <c r="M1189" t="inlineStr"/>
      <c r="N1189" t="inlineStr"/>
      <c r="O1189">
        <f>(1-Summary!$B$11)*S1189+Summary!$B$11*U1189</f>
        <v/>
      </c>
      <c r="P1189">
        <f>IF(B1214=0,0,O1189/B1214)</f>
        <v/>
      </c>
      <c r="Q1189">
        <f>IFERROR(1/(IF(Inputs!$B$39="pvp",15,MAX(0.1,Skills!D17-IF(Skills!E17=TRUE,Inputs!$B$33,0)))*(1-IF(AND(ArtifactsInput!$M$27,Inputs!$B$4="Chapter Hunt"),CHOOSE(ArtifactsInput!$N$27+1,20,24,28,32,36,40),0)/100)),0)</f>
        <v/>
      </c>
      <c r="R1189" t="n">
        <v>0</v>
      </c>
      <c r="S1189" t="n">
        <v>0</v>
      </c>
      <c r="U1189" t="n">
        <v>0</v>
      </c>
    </row>
    <row r="1190">
      <c r="A1190">
        <f>Skills!A18</f>
        <v/>
      </c>
      <c r="B1190">
        <f>Skills!B18</f>
        <v/>
      </c>
      <c r="C1190">
        <f>Inputs!$B$3&gt;=75</f>
        <v/>
      </c>
      <c r="D1190">
        <f>IF(Skills!C18=1,60+Inputs!$B$26+Inputs!$B$30,IF(Skills!C18=2,90+Inputs!$B$27+Inputs!$B$30,IF(Skills!C18=3,120+Inputs!$B$28+Inputs!$B$30,MAX(0,(Inputs!$B$3-100)*3)+Inputs!$B$29+Inputs!$B$30)))</f>
        <v/>
      </c>
      <c r="E1190">
        <f>INDEX(FactorTable!$B$2:$Y$301, MATCH(ROUND(MIN(300,MAX(1,D1190)),0), FactorTable!$A$2:$A$301,0), Skills!L18+1)</f>
        <v/>
      </c>
      <c r="F1190">
        <f>IF(Skills!M18=TRUE,(Skills!K18/10)*(E1190/1000),Skills!K18/10)+Skills!N18</f>
        <v/>
      </c>
      <c r="G1190">
        <f>Calc!G18</f>
        <v/>
      </c>
      <c r="H1190">
        <f>Calc!H18</f>
        <v/>
      </c>
      <c r="I1190">
        <f>IF(Skills!T18&lt;&gt;"",1+(Skills!T18/10)*($Z$3/1000)/100,1)</f>
        <v/>
      </c>
      <c r="J1190" t="inlineStr"/>
      <c r="K1190" t="inlineStr"/>
      <c r="L1190" t="inlineStr"/>
      <c r="M1190" t="inlineStr"/>
      <c r="N1190" t="inlineStr"/>
      <c r="O1190">
        <f>(1-Summary!$B$11)*S1190+Summary!$B$11*U1190</f>
        <v/>
      </c>
      <c r="P1190">
        <f>IF(B1214=0,0,O1190/B1214)</f>
        <v/>
      </c>
      <c r="Q1190">
        <f>IFERROR(1/(IF(Inputs!$B$39="pvp",15,MAX(0.1,Skills!D18-IF(Skills!E18=TRUE,Inputs!$B$33,0)))*(1-IF(AND(ArtifactsInput!$M$27,Inputs!$B$4="Chapter Hunt"),CHOOSE(ArtifactsInput!$N$27+1,20,24,28,32,36,40),0)/100)),0)</f>
        <v/>
      </c>
      <c r="R1190" t="n">
        <v>0</v>
      </c>
      <c r="S1190" t="n">
        <v>0</v>
      </c>
      <c r="U1190" t="n">
        <v>0</v>
      </c>
    </row>
    <row r="1191">
      <c r="A1191">
        <f>Skills!A19</f>
        <v/>
      </c>
      <c r="B1191">
        <f>Skills!B19</f>
        <v/>
      </c>
      <c r="C1191">
        <f>Inputs!$B$3&gt;=110</f>
        <v/>
      </c>
      <c r="D1191">
        <f>IF(Skills!C19=1,60+Inputs!$B$26+Inputs!$B$30,IF(Skills!C19=2,90+Inputs!$B$27+Inputs!$B$30,IF(Skills!C19=3,120+Inputs!$B$28+Inputs!$B$30,MAX(0,(Inputs!$B$3-100)*3)+Inputs!$B$29+Inputs!$B$30)))</f>
        <v/>
      </c>
      <c r="E1191">
        <f>INDEX(FactorTable!$B$2:$Y$301, MATCH(ROUND(MIN(300,MAX(1,D1191)),0), FactorTable!$A$2:$A$301,0), Skills!L19+1)</f>
        <v/>
      </c>
      <c r="F1191">
        <f>(Skills!K19/10)*(E1191/1000)*64/45+Skills!N19</f>
        <v/>
      </c>
      <c r="G1191">
        <f>Calc!G19</f>
        <v/>
      </c>
      <c r="H1191">
        <f>Calc!H19</f>
        <v/>
      </c>
      <c r="I1191">
        <f>IF(Skills!T19&lt;&gt;"",1+(Skills!T19/10)*($Z$3/1000)/100,1)</f>
        <v/>
      </c>
      <c r="J1191" t="inlineStr"/>
      <c r="K1191" t="inlineStr"/>
      <c r="L1191" t="inlineStr"/>
      <c r="M1191" t="inlineStr"/>
      <c r="N1191" t="inlineStr"/>
      <c r="O1191">
        <f>(1-Summary!$B$11)*S1191+Summary!$B$11*U1191</f>
        <v/>
      </c>
      <c r="P1191">
        <f>IF(B1214=0,0,O1191/B1214)</f>
        <v/>
      </c>
      <c r="Q1191">
        <f>IFERROR(1/(IF(Inputs!$B$39="pvp",15,MAX(0.1,Skills!D19-IF(Skills!E19=TRUE,Inputs!$B$33,0)))*(1-IF(AND(ArtifactsInput!$M$27,Inputs!$B$4="Chapter Hunt"),CHOOSE(ArtifactsInput!$N$27+1,20,24,28,32,36,40),0)/100)),0)</f>
        <v/>
      </c>
      <c r="R1191">
        <f>IF(AND(Inputs!$B$39&lt;&gt;"pvp",Inputs!$B$44&gt;0),IF(Inputs!$B$44&lt;=0,0,(INT(Inputs!$B$44/(IF(Inputs!$B$39="pvp",15,MAX(0.1,Skills!D19-IF(Skills!E19=TRUE,Inputs!$B$33,0)))*(1-IF(AND(ArtifactsInput!$M$27,Inputs!$B$4="Chapter Hunt"),CHOOSE(ArtifactsInput!$N$27+1,20,24,28,32,36,40),0)/100)))+1)),0)</f>
        <v/>
      </c>
      <c r="S1191" t="n">
        <v>0</v>
      </c>
      <c r="U1191" t="n">
        <v>0</v>
      </c>
    </row>
    <row r="1192">
      <c r="A1192">
        <f>Skills!A20</f>
        <v/>
      </c>
      <c r="B1192">
        <f>Skills!B20</f>
        <v/>
      </c>
      <c r="C1192">
        <f>Inputs!$B$3&gt;=125</f>
        <v/>
      </c>
      <c r="D1192">
        <f>IF(Skills!C20=1,60+Inputs!$B$26+Inputs!$B$30,IF(Skills!C20=2,90+Inputs!$B$27+Inputs!$B$30,IF(Skills!C20=3,120+Inputs!$B$28+Inputs!$B$30,MAX(0,(Inputs!$B$3-100)*3)+Inputs!$B$29+Inputs!$B$30)))</f>
        <v/>
      </c>
      <c r="E1192">
        <f>INDEX(FactorTable!$B$2:$Y$301, MATCH(ROUND(MIN(300,MAX(1,D1192)),0), FactorTable!$A$2:$A$301,0), Skills!L20+1)</f>
        <v/>
      </c>
      <c r="F1192">
        <f>IF(Skills!M20=TRUE,(Skills!K20/10)*(E1192/1000),Skills!K20/10)+Skills!N20</f>
        <v/>
      </c>
      <c r="G1192">
        <f>Calc!G20</f>
        <v/>
      </c>
      <c r="H1192">
        <f>Calc!H20</f>
        <v/>
      </c>
      <c r="I1192">
        <f>IF(Skills!T20&lt;&gt;"",1+(Skills!T20/10)*($Z$3/1000)/100,1)</f>
        <v/>
      </c>
      <c r="J1192" t="inlineStr"/>
      <c r="K1192" t="inlineStr"/>
      <c r="L1192" t="inlineStr"/>
      <c r="M1192" t="inlineStr"/>
      <c r="N1192" t="inlineStr"/>
      <c r="O1192">
        <f>(1-Summary!$B$11)*S1192+Summary!$B$11*U1192</f>
        <v/>
      </c>
      <c r="P1192">
        <f>IF(B1214=0,0,O1192/B1214)</f>
        <v/>
      </c>
      <c r="Q1192">
        <f>IFERROR(1/(IF(Inputs!$B$39="pvp",15,MAX(0.1,Skills!D20-IF(Skills!E20=TRUE,Inputs!$B$33,0)))*(1-IF(AND(ArtifactsInput!$M$27,Inputs!$B$4="Chapter Hunt"),CHOOSE(ArtifactsInput!$N$27+1,20,24,28,32,36,40),0)/100)),0)</f>
        <v/>
      </c>
      <c r="R1192" t="n">
        <v>0</v>
      </c>
      <c r="S1192" t="n">
        <v>0</v>
      </c>
      <c r="U1192" t="n">
        <v>0</v>
      </c>
    </row>
    <row r="1193">
      <c r="A1193">
        <f>Skills!A21</f>
        <v/>
      </c>
      <c r="B1193">
        <f>Skills!B21</f>
        <v/>
      </c>
      <c r="C1193">
        <f>Inputs!$B$3&gt;=33</f>
        <v/>
      </c>
      <c r="D1193">
        <f>IF(Skills!C21=1,60+Inputs!$B$26+Inputs!$B$30,IF(Skills!C21=2,90+Inputs!$B$27+Inputs!$B$30,IF(Skills!C21=3,120+Inputs!$B$28+Inputs!$B$30,MAX(0,(Inputs!$B$3-100)*3)+Inputs!$B$29+Inputs!$B$30)))</f>
        <v/>
      </c>
      <c r="E1193">
        <f>INDEX(FactorTable!$B$2:$Y$301, MATCH(ROUND(MIN(300,MAX(1,D1193)),0), FactorTable!$A$2:$A$301,0), Skills!L21+1)</f>
        <v/>
      </c>
      <c r="F1193">
        <f>IF(Skills!M21=TRUE,(Skills!K21/10)*(E1193/1000),Skills!K21/10)+Skills!N21</f>
        <v/>
      </c>
      <c r="G1193">
        <f>Calc!G21</f>
        <v/>
      </c>
      <c r="H1193">
        <f>Calc!H21</f>
        <v/>
      </c>
      <c r="I1193">
        <f>IF(Skills!T21&lt;&gt;"",1+(Skills!T21/10)*($Z$3/1000)/100,1)</f>
        <v/>
      </c>
      <c r="J1193" t="inlineStr"/>
      <c r="K1193" t="inlineStr"/>
      <c r="L1193" t="inlineStr"/>
      <c r="M1193" t="inlineStr"/>
      <c r="N1193" t="inlineStr"/>
      <c r="O1193">
        <f>(1-Summary!$B$11)*S1193+Summary!$B$11*U1193</f>
        <v/>
      </c>
      <c r="P1193">
        <f>IF(B1214=0,0,O1193/B1214)</f>
        <v/>
      </c>
      <c r="Q1193">
        <f>IFERROR(1/(IF(Inputs!$B$39="pvp",15,MAX(0.1,Skills!D21-IF(Skills!E21=TRUE,Inputs!$B$33,0)))*(1-IF(AND(ArtifactsInput!$M$27,Inputs!$B$4="Chapter Hunt"),CHOOSE(ArtifactsInput!$N$27+1,20,24,28,32,36,40),0)/100)),0)</f>
        <v/>
      </c>
      <c r="R1193" t="n">
        <v>0</v>
      </c>
      <c r="S1193" t="n">
        <v>0</v>
      </c>
      <c r="U1193" t="n">
        <v>0</v>
      </c>
    </row>
    <row r="1194">
      <c r="A1194">
        <f>Skills!A22</f>
        <v/>
      </c>
      <c r="B1194">
        <f>Skills!B22</f>
        <v/>
      </c>
      <c r="C1194">
        <f>Inputs!$B$3&gt;=43</f>
        <v/>
      </c>
      <c r="D1194">
        <f>IF(Skills!C22=1,60+Inputs!$B$26+Inputs!$B$30,IF(Skills!C22=2,90+Inputs!$B$27+Inputs!$B$30,IF(Skills!C22=3,120+Inputs!$B$28+Inputs!$B$30,MAX(0,(Inputs!$B$3-100)*3)+Inputs!$B$29+Inputs!$B$30)))</f>
        <v/>
      </c>
      <c r="E1194">
        <f>INDEX(FactorTable!$B$2:$Y$301, MATCH(ROUND(MIN(300,MAX(1,D1194)),0), FactorTable!$A$2:$A$301,0), Skills!L22+1)</f>
        <v/>
      </c>
      <c r="F1194">
        <f>IF(Skills!M22=TRUE,(Skills!K22/10)*(E1194/1000),Skills!K22/10)+Skills!N22</f>
        <v/>
      </c>
      <c r="G1194">
        <f>Calc!G22</f>
        <v/>
      </c>
      <c r="H1194">
        <f>Calc!H22</f>
        <v/>
      </c>
      <c r="I1194">
        <f>IF(Skills!T22&lt;&gt;"",1+(Skills!T22/10)*($Z$3/1000)/100,1)</f>
        <v/>
      </c>
      <c r="J1194" t="inlineStr"/>
      <c r="K1194" t="inlineStr"/>
      <c r="L1194" t="inlineStr"/>
      <c r="M1194" t="inlineStr"/>
      <c r="N1194" t="inlineStr"/>
      <c r="O1194">
        <f>(1-Summary!$B$11)*S1194+Summary!$B$11*U1194</f>
        <v/>
      </c>
      <c r="P1194">
        <f>IF(B1214=0,0,O1194/B1214)</f>
        <v/>
      </c>
      <c r="Q1194">
        <f>IFERROR(1/(IF(Inputs!$B$39="pvp",15,MAX(0.1,Skills!D22-IF(Skills!E22=TRUE,Inputs!$B$33,0)))*(1-IF(AND(ArtifactsInput!$M$27,Inputs!$B$4="Chapter Hunt"),CHOOSE(ArtifactsInput!$N$27+1,20,24,28,32,36,40),0)/100)),0)</f>
        <v/>
      </c>
      <c r="R1194" t="n">
        <v>0</v>
      </c>
      <c r="S1194" t="n">
        <v>0</v>
      </c>
      <c r="U1194" t="n">
        <v>0</v>
      </c>
    </row>
    <row r="1195">
      <c r="A1195">
        <f>Skills!A23</f>
        <v/>
      </c>
      <c r="B1195">
        <f>Skills!B23</f>
        <v/>
      </c>
      <c r="C1195">
        <f>Inputs!$B$3&gt;=50</f>
        <v/>
      </c>
      <c r="D1195">
        <f>IF(Skills!C23=1,60+Inputs!$B$26+Inputs!$B$30,IF(Skills!C23=2,90+Inputs!$B$27+Inputs!$B$30,IF(Skills!C23=3,120+Inputs!$B$28+Inputs!$B$30,MAX(0,(Inputs!$B$3-100)*3)+Inputs!$B$29+Inputs!$B$30)))</f>
        <v/>
      </c>
      <c r="E1195">
        <f>INDEX(FactorTable!$B$2:$Y$301, MATCH(ROUND(MIN(300,MAX(1,D1195)),0), FactorTable!$A$2:$A$301,0), Skills!L23+1)</f>
        <v/>
      </c>
      <c r="F1195">
        <f>IF(Skills!M23=TRUE,(Skills!K23/10)*(E1195/1000),Skills!K23/10)+Skills!N23</f>
        <v/>
      </c>
      <c r="G1195">
        <f>Calc!G23</f>
        <v/>
      </c>
      <c r="H1195">
        <f>Calc!H23</f>
        <v/>
      </c>
      <c r="I1195">
        <f>IF(Skills!T23&lt;&gt;"",1+(Skills!T23/10)*($Z$3/1000)/100,1)</f>
        <v/>
      </c>
      <c r="J1195" t="inlineStr"/>
      <c r="K1195" t="inlineStr"/>
      <c r="L1195" t="inlineStr"/>
      <c r="M1195" t="inlineStr"/>
      <c r="N1195" t="inlineStr"/>
      <c r="O1195">
        <f>(1-Summary!$B$11)*S1195+Summary!$B$11*U1195</f>
        <v/>
      </c>
      <c r="P1195">
        <f>IF(B1214=0,0,O1195/B1214)</f>
        <v/>
      </c>
      <c r="Q1195">
        <f>IFERROR(1/(IF(Inputs!$B$39="pvp",15,MAX(0.1,Skills!D23-IF(Skills!E23=TRUE,Inputs!$B$33,0)))*(1-IF(AND(ArtifactsInput!$M$27,Inputs!$B$4="Chapter Hunt"),CHOOSE(ArtifactsInput!$N$27+1,20,24,28,32,36,40),0)/100)),0)</f>
        <v/>
      </c>
      <c r="R1195" t="n">
        <v>0</v>
      </c>
      <c r="S1195" t="n">
        <v>0</v>
      </c>
      <c r="U1195" t="n">
        <v>0</v>
      </c>
    </row>
    <row r="1196">
      <c r="A1196">
        <f>Skills!A24</f>
        <v/>
      </c>
      <c r="B1196">
        <f>Skills!B24</f>
        <v/>
      </c>
      <c r="C1196">
        <f>Inputs!$B$3&gt;=74</f>
        <v/>
      </c>
      <c r="D1196">
        <f>IF(Skills!C24=1,60+Inputs!$B$26+Inputs!$B$30,IF(Skills!C24=2,90+Inputs!$B$27+Inputs!$B$30,IF(Skills!C24=3,120+Inputs!$B$28+Inputs!$B$30,MAX(0,(Inputs!$B$3-100)*3)+Inputs!$B$29+Inputs!$B$30)))</f>
        <v/>
      </c>
      <c r="E1196">
        <f>INDEX(FactorTable!$B$2:$Y$301, MATCH(ROUND(MIN(300,MAX(1,D1196)),0), FactorTable!$A$2:$A$301,0), Skills!L24+1)</f>
        <v/>
      </c>
      <c r="F1196">
        <f>IF(Skills!M24=TRUE,(Skills!K24/10)*(E1196/1000),Skills!K24/10)+Skills!N24</f>
        <v/>
      </c>
      <c r="G1196">
        <f>Calc!G24</f>
        <v/>
      </c>
      <c r="H1196">
        <f>Calc!H24</f>
        <v/>
      </c>
      <c r="I1196">
        <f>IF(Skills!T24&lt;&gt;"",1+(Skills!T24/10)*($Z$3/1000)/100,1)</f>
        <v/>
      </c>
      <c r="J1196" t="inlineStr"/>
      <c r="K1196" t="inlineStr"/>
      <c r="L1196" t="inlineStr"/>
      <c r="M1196" t="inlineStr"/>
      <c r="N1196" t="inlineStr"/>
      <c r="O1196">
        <f>(1-Summary!$B$11)*S1196+Summary!$B$11*U1196</f>
        <v/>
      </c>
      <c r="P1196">
        <f>IF(B1214=0,0,O1196/B1214)</f>
        <v/>
      </c>
      <c r="Q1196">
        <f>IFERROR(1/(IF(Inputs!$B$39="pvp",15,MAX(0.1,Skills!D24-IF(Skills!E24=TRUE,Inputs!$B$33,0)))*(1-IF(AND(ArtifactsInput!$M$27,Inputs!$B$4="Chapter Hunt"),CHOOSE(ArtifactsInput!$N$27+1,20,24,28,32,36,40),0)/100)),0)</f>
        <v/>
      </c>
      <c r="R1196" t="n">
        <v>0</v>
      </c>
      <c r="S1196" t="n">
        <v>0</v>
      </c>
      <c r="U1196" t="n">
        <v>0</v>
      </c>
    </row>
    <row r="1197">
      <c r="A1197">
        <f>Skills!A25</f>
        <v/>
      </c>
      <c r="B1197">
        <f>Skills!B25</f>
        <v/>
      </c>
      <c r="C1197">
        <f>Inputs!$B$3&gt;=74</f>
        <v/>
      </c>
      <c r="D1197">
        <f>IF(Skills!C25=1,60+Inputs!$B$26+Inputs!$B$30,IF(Skills!C25=2,90+Inputs!$B$27+Inputs!$B$30,IF(Skills!C25=3,120+Inputs!$B$28+Inputs!$B$30,MAX(0,(Inputs!$B$3-100)*3)+Inputs!$B$29+Inputs!$B$30)))</f>
        <v/>
      </c>
      <c r="E1197">
        <f>INDEX(FactorTable!$B$2:$Y$301, MATCH(ROUND(MIN(300,MAX(1,D1197)),0), FactorTable!$A$2:$A$301,0), Skills!L25+1)</f>
        <v/>
      </c>
      <c r="F1197">
        <f>IF(Skills!M25=TRUE,(Skills!K25/10)*(E1197/1000),Skills!K25/10)+Skills!N25</f>
        <v/>
      </c>
      <c r="G1197">
        <f>Calc!G25</f>
        <v/>
      </c>
      <c r="H1197">
        <f>Calc!H25</f>
        <v/>
      </c>
      <c r="I1197">
        <f>IF(Skills!T25&lt;&gt;"",1+(Skills!T25/10)*($Z$3/1000)/100,1)</f>
        <v/>
      </c>
      <c r="J1197" t="inlineStr"/>
      <c r="K1197" t="inlineStr"/>
      <c r="L1197" t="inlineStr"/>
      <c r="M1197" t="inlineStr"/>
      <c r="N1197" t="inlineStr"/>
      <c r="O1197">
        <f>(1-Summary!$B$11)*S1197+Summary!$B$11*U1197</f>
        <v/>
      </c>
      <c r="P1197">
        <f>IF(B1214=0,0,O1197/B1214)</f>
        <v/>
      </c>
      <c r="Q1197">
        <f>IFERROR(1/(IF(Inputs!$B$39="pvp",15,MAX(0.1,Skills!D25-IF(Skills!E25=TRUE,Inputs!$B$33,0)))*(1-IF(AND(ArtifactsInput!$M$27,Inputs!$B$4="Chapter Hunt"),CHOOSE(ArtifactsInput!$N$27+1,20,24,28,32,36,40),0)/100)),0)</f>
        <v/>
      </c>
      <c r="R1197" t="n">
        <v>0</v>
      </c>
      <c r="S1197" t="n">
        <v>0</v>
      </c>
      <c r="U1197" t="n">
        <v>0</v>
      </c>
    </row>
    <row r="1198">
      <c r="A1198">
        <f>Skills!A26</f>
        <v/>
      </c>
      <c r="B1198">
        <f>Skills!B26</f>
        <v/>
      </c>
      <c r="C1198">
        <f>Inputs!$B$3&gt;=117</f>
        <v/>
      </c>
      <c r="D1198">
        <f>IF(Skills!C26=1,60+Inputs!$B$26+Inputs!$B$30,IF(Skills!C26=2,90+Inputs!$B$27+Inputs!$B$30,IF(Skills!C26=3,120+Inputs!$B$28+Inputs!$B$30,MAX(0,(Inputs!$B$3-100)*3)+Inputs!$B$29+Inputs!$B$30)))</f>
        <v/>
      </c>
      <c r="E1198">
        <f>INDEX(FactorTable!$B$2:$Y$301, MATCH(ROUND(MIN(300,MAX(1,D1198)),0), FactorTable!$A$2:$A$301,0), Skills!L26+1)</f>
        <v/>
      </c>
      <c r="F1198">
        <f>IF(Skills!M26=TRUE,(Skills!K26/10)*(E1198/1000),Skills!K26/10)+Skills!N26</f>
        <v/>
      </c>
      <c r="G1198">
        <f>Calc!G26</f>
        <v/>
      </c>
      <c r="H1198">
        <f>Calc!H26</f>
        <v/>
      </c>
      <c r="I1198">
        <f>IF(Skills!T26&lt;&gt;"",1+(Skills!T26/10)*($Z$3/1000)/100,1)</f>
        <v/>
      </c>
      <c r="J1198" t="inlineStr"/>
      <c r="K1198" t="inlineStr"/>
      <c r="L1198" t="inlineStr"/>
      <c r="M1198" t="inlineStr"/>
      <c r="N1198" t="inlineStr"/>
      <c r="O1198">
        <f>(1-Summary!$B$11)*S1198+Summary!$B$11*U1198</f>
        <v/>
      </c>
      <c r="P1198">
        <f>IF(B1214=0,0,O1198/B1214)</f>
        <v/>
      </c>
      <c r="Q1198">
        <f>IFERROR(1/(IF(Inputs!$B$39="pvp",15,MAX(0.1,Skills!D26-IF(Skills!E26=TRUE,Inputs!$B$33,0)))*(1-IF(AND(ArtifactsInput!$M$27,Inputs!$B$4="Chapter Hunt"),CHOOSE(ArtifactsInput!$N$27+1,20,24,28,32,36,40),0)/100)),0)</f>
        <v/>
      </c>
      <c r="R1198" t="n">
        <v>0</v>
      </c>
      <c r="S1198" t="n">
        <v>0</v>
      </c>
      <c r="U1198" t="n">
        <v>0</v>
      </c>
    </row>
    <row r="1199">
      <c r="A1199">
        <f>Skills!A27</f>
        <v/>
      </c>
      <c r="B1199">
        <f>Skills!B27</f>
        <v/>
      </c>
      <c r="C1199">
        <f>Inputs!$B$3&gt;=120</f>
        <v/>
      </c>
      <c r="D1199">
        <f>IF(Skills!C27=1,60+Inputs!$B$26+Inputs!$B$30,IF(Skills!C27=2,90+Inputs!$B$27+Inputs!$B$30,IF(Skills!C27=3,120+Inputs!$B$28+Inputs!$B$30,MAX(0,(Inputs!$B$3-100)*3)+Inputs!$B$29+Inputs!$B$30)))</f>
        <v/>
      </c>
      <c r="E1199">
        <f>INDEX(FactorTable!$B$2:$Y$301, MATCH(ROUND(MIN(300,MAX(1,D1199)),0), FactorTable!$A$2:$A$301,0), Skills!L27+1)</f>
        <v/>
      </c>
      <c r="F1199">
        <f>IF(Skills!M27=TRUE,(Skills!K27/10)*(E1199/1000),Skills!K27/10)+Skills!N27</f>
        <v/>
      </c>
      <c r="G1199">
        <f>Calc!G27</f>
        <v/>
      </c>
      <c r="H1199">
        <f>Calc!H27</f>
        <v/>
      </c>
      <c r="I1199">
        <f>IF(Skills!T27&lt;&gt;"",1+(Skills!T27/10)*($Z$3/1000)/100,1)</f>
        <v/>
      </c>
      <c r="J1199" t="inlineStr"/>
      <c r="K1199" t="inlineStr"/>
      <c r="L1199" t="inlineStr"/>
      <c r="M1199" t="inlineStr"/>
      <c r="N1199" t="inlineStr"/>
      <c r="O1199">
        <f>(1-Summary!$B$11)*S1199+Summary!$B$11*U1199</f>
        <v/>
      </c>
      <c r="P1199">
        <f>IF(B1214=0,0,O1199/B1214)</f>
        <v/>
      </c>
      <c r="Q1199">
        <f>IFERROR(1/(IF(Inputs!$B$39="pvp",15,MAX(0.1,Skills!D27-IF(Skills!E27=TRUE,Inputs!$B$33,0)))*(1-IF(AND(ArtifactsInput!$M$27,Inputs!$B$4="Chapter Hunt"),CHOOSE(ArtifactsInput!$N$27+1,20,24,28,32,36,40),0)/100)),0)</f>
        <v/>
      </c>
      <c r="R1199" t="n">
        <v>0</v>
      </c>
      <c r="S1199" t="n">
        <v>0</v>
      </c>
      <c r="U1199" t="n">
        <v>0</v>
      </c>
    </row>
    <row r="1201">
      <c r="A1201" t="inlineStr">
        <is>
          <t>Average Buff Multiplier</t>
        </is>
      </c>
      <c r="B1201">
        <f>(1+(IF(C1175=TRUE,F1175*IF(AND(Inputs!$B$39&lt;&gt;"pvp",Inputs!$B$44&gt;0),(((R1175-1)*(Skills!S3*(1+((Inputs!$B$35+(ArtifactsInput!$M$7-ArtifactsInput!$M$7)*CHOOSE(ArtifactsInput!$N$7+1,6,7.2,8.4,9.6,10.8,12))+IF(Inputs!$B$3&gt;=117,F1198,0))/100))+MIN((Skills!S3*(1+((Inputs!$B$35+(ArtifactsInput!$M$7-ArtifactsInput!$M$7)*CHOOSE(ArtifactsInput!$N$7+1,6,7.2,8.4,9.6,10.8,12))+IF(Inputs!$B$3&gt;=117,F1198,0))/100)),MAX(0,Inputs!$B$44-((R1175-1)*Skills!D3))))/Inputs!$B$44),IF(Inputs!$B$39="pvp",MIN((Skills!S3*(1+((Inputs!$B$35+(ArtifactsInput!$M$7-ArtifactsInput!$M$7)*CHOOSE(ArtifactsInput!$N$7+1,6,7.2,8.4,9.6,10.8,12))+IF(Inputs!$B$3&gt;=117,F1198,0))/100)),15)/15,(Skills!S3*(1+((Inputs!$B$35+(ArtifactsInput!$M$7-ArtifactsInput!$M$7)*CHOOSE(ArtifactsInput!$N$7+1,6,7.2,8.4,9.6,10.8,12))+IF(Inputs!$B$3&gt;=117,F1198,0))/100))/Skills!D3)),0)+IF(C1176=TRUE,F1176*IF(AND(Inputs!$B$39&lt;&gt;"pvp",Inputs!$B$44&gt;0),(((R1176-1)*(Skills!S4*(1+((Inputs!$B$35+(ArtifactsInput!$M$7-ArtifactsInput!$M$7)*CHOOSE(ArtifactsInput!$N$7+1,6,7.2,8.4,9.6,10.8,12))+IF(Inputs!$B$3&gt;=117,F1198,0))/100))+MIN((Skills!S4*(1+((Inputs!$B$35+(ArtifactsInput!$M$7-ArtifactsInput!$M$7)*CHOOSE(ArtifactsInput!$N$7+1,6,7.2,8.4,9.6,10.8,12))+IF(Inputs!$B$3&gt;=117,F1198,0))/100)),MAX(0,Inputs!$B$44-((R1176-1)*Skills!D4))))/Inputs!$B$44),IF(Inputs!$B$39="pvp",MIN((Skills!S4*(1+((Inputs!$B$35+(ArtifactsInput!$M$7-ArtifactsInput!$M$7)*CHOOSE(ArtifactsInput!$N$7+1,6,7.2,8.4,9.6,10.8,12))+IF(Inputs!$B$3&gt;=117,F1198,0))/100)),15)/15,(Skills!S4*(1+((Inputs!$B$35+(ArtifactsInput!$M$7-ArtifactsInput!$M$7)*CHOOSE(ArtifactsInput!$N$7+1,6,7.2,8.4,9.6,10.8,12))+IF(Inputs!$B$3&gt;=117,F1198,0))/100))/Skills!D4)),0)+IF(C1177=TRUE,F1177*IF(AND(Inputs!$B$39&lt;&gt;"pvp",Inputs!$B$44&gt;0),(((R1177-1)*(Skills!S5*(1+((Inputs!$B$35+(ArtifactsInput!$M$7-ArtifactsInput!$M$7)*CHOOSE(ArtifactsInput!$N$7+1,6,7.2,8.4,9.6,10.8,12))+IF(Inputs!$B$3&gt;=117,F1198,0))/100))+MIN((Skills!S5*(1+((Inputs!$B$35+(ArtifactsInput!$M$7-ArtifactsInput!$M$7)*CHOOSE(ArtifactsInput!$N$7+1,6,7.2,8.4,9.6,10.8,12))+IF(Inputs!$B$3&gt;=117,F1198,0))/100)),MAX(0,Inputs!$B$44-((R1177-1)*Skills!D5))))/Inputs!$B$44),IF(Inputs!$B$39="pvp",MIN((Skills!S5*(1+((Inputs!$B$35+(ArtifactsInput!$M$7-ArtifactsInput!$M$7)*CHOOSE(ArtifactsInput!$N$7+1,6,7.2,8.4,9.6,10.8,12))+IF(Inputs!$B$3&gt;=117,F1198,0))/100)),15)/15,(Skills!S5*(1+((Inputs!$B$35+(ArtifactsInput!$M$7-ArtifactsInput!$M$7)*CHOOSE(ArtifactsInput!$N$7+1,6,7.2,8.4,9.6,10.8,12))+IF(Inputs!$B$3&gt;=117,F1198,0))/100))/Skills!D5)),0)+IF(C1183=TRUE,F1183*IF(AND(Inputs!$B$39&lt;&gt;"pvp",Inputs!$B$44&gt;0),(((R1183-1)*(Skills!S11*(1+((Inputs!$B$35+(ArtifactsInput!$M$7-ArtifactsInput!$M$7)*CHOOSE(ArtifactsInput!$N$7+1,6,7.2,8.4,9.6,10.8,12))+IF(Inputs!$B$3&gt;=117,F1198,0))/100))+MIN((Skills!S11*(1+((Inputs!$B$35+(ArtifactsInput!$M$7-ArtifactsInput!$M$7)*CHOOSE(ArtifactsInput!$N$7+1,6,7.2,8.4,9.6,10.8,12))+IF(Inputs!$B$3&gt;=117,F1198,0))/100)),MAX(0,Inputs!$B$44-((R1183-1)*Skills!D11))))/Inputs!$B$44),IF(Inputs!$B$39="pvp",MIN((Skills!S11*(1+((Inputs!$B$35+(ArtifactsInput!$M$7-ArtifactsInput!$M$7)*CHOOSE(ArtifactsInput!$N$7+1,6,7.2,8.4,9.6,10.8,12))+IF(Inputs!$B$3&gt;=117,F1198,0))/100)),15)/15,(Skills!S11*(1+((Inputs!$B$35+(ArtifactsInput!$M$7-ArtifactsInput!$M$7)*CHOOSE(ArtifactsInput!$N$7+1,6,7.2,8.4,9.6,10.8,12))+IF(Inputs!$B$3&gt;=117,F1198,0)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1186=TRUE,(1+F1186*IF(AND(Inputs!$B$39&lt;&gt;"pvp",Inputs!$B$44&gt;0),(((R1186-1)*(Skills!S14*(1+((Inputs!$B$35+(ArtifactsInput!$M$7-ArtifactsInput!$M$7)*CHOOSE(ArtifactsInput!$N$7+1,6,7.2,8.4,9.6,10.8,12))+IF(Inputs!$B$3&gt;=117,F1198,0))/100))+MIN((Skills!S14*(1+((Inputs!$B$35+(ArtifactsInput!$M$7-ArtifactsInput!$M$7)*CHOOSE(ArtifactsInput!$N$7+1,6,7.2,8.4,9.6,10.8,12))+IF(Inputs!$B$3&gt;=117,F1198,0))/100)),MAX(0,Inputs!$B$44-((R1186-1)*Skills!D14))))/Inputs!$B$44),IF(Inputs!$B$39="pvp",MIN((Skills!S14*(1+((Inputs!$B$35+(ArtifactsInput!$M$7-ArtifactsInput!$M$7)*CHOOSE(ArtifactsInput!$N$7+1,6,7.2,8.4,9.6,10.8,12))+IF(Inputs!$B$3&gt;=117,F1198,0))/100)),15)/15,(Skills!S14*(1+((Inputs!$B$35+(ArtifactsInput!$M$7-ArtifactsInput!$M$7)*CHOOSE(ArtifactsInput!$N$7+1,6,7.2,8.4,9.6,10.8,12))+IF(Inputs!$B$3&gt;=117,F1198,0))/100))/Skills!D14))/100),1)*IF(C1191=TRUE,(1+F1191*IF(AND(Inputs!$B$39&lt;&gt;"pvp",Inputs!$B$44&gt;0),(((R1191-1)*(Skills!S19*(1+((Inputs!$B$35+(ArtifactsInput!$M$7-ArtifactsInput!$M$7)*CHOOSE(ArtifactsInput!$N$7+1,6,7.2,8.4,9.6,10.8,12))+IF(Inputs!$B$3&gt;=117,F1198,0))/100))+MIN((Skills!S19*(1+((Inputs!$B$35+(ArtifactsInput!$M$7-ArtifactsInput!$M$7)*CHOOSE(ArtifactsInput!$N$7+1,6,7.2,8.4,9.6,10.8,12))+IF(Inputs!$B$3&gt;=117,F1198,0))/100)),MAX(0,Inputs!$B$44-((R1191-1)*Skills!D19))))/Inputs!$B$44),IF(Inputs!$B$39="pvp",MIN((Skills!S19*(1+((Inputs!$B$35+(ArtifactsInput!$M$7-ArtifactsInput!$M$7)*CHOOSE(ArtifactsInput!$N$7+1,6,7.2,8.4,9.6,10.8,12))+IF(Inputs!$B$3&gt;=117,F1198,0))/100)),15)/15,(Skills!S19*(1+((Inputs!$B$35+(ArtifactsInput!$M$7-ArtifactsInput!$M$7)*CHOOSE(ArtifactsInput!$N$7+1,6,7.2,8.4,9.6,10.8,12))+IF(Inputs!$B$3&gt;=117,F1198,0))/100))/Skills!D19))/100),1)</f>
        <v/>
      </c>
    </row>
    <row r="1202">
      <c r="A1202" t="inlineStr">
        <is>
          <t>Monster Damage Taken Bonus % (Holy Fountain)</t>
        </is>
      </c>
      <c r="B1202">
        <f>IF(Inputs!$B$3&gt;=68,20*IF(Inputs!$B$39="pvp",MIN((15*(1+((Inputs!$B$35+(ArtifactsInput!$M$7-ArtifactsInput!$M$7)*CHOOSE(ArtifactsInput!$N$7+1,6,7.2,8.4,9.6,10.8,12))+IF(Inputs!$B$3&gt;=117,F1198,0))/100)),15)/15,(15*(1+((Inputs!$B$35+(ArtifactsInput!$M$7-ArtifactsInput!$M$7)*CHOOSE(ArtifactsInput!$N$7+1,6,7.2,8.4,9.6,10.8,12))+IF(Inputs!$B$3&gt;=117,F1198,0))/100))/Skills!D10),0)</f>
        <v/>
      </c>
    </row>
    <row r="1203">
      <c r="A1203" t="inlineStr">
        <is>
          <t>Normal Monster Damage Bonus % (Holy Symbol)</t>
        </is>
      </c>
      <c r="B1203">
        <f>IF(C1184=TRUE,F1184*IF(AND(Inputs!$B$39&lt;&gt;"pvp",Inputs!$B$44&gt;0),(((R1184-1)*(Skills!S12*(1+((Inputs!$B$35+(ArtifactsInput!$M$7-ArtifactsInput!$M$7)*CHOOSE(ArtifactsInput!$N$7+1,6,7.2,8.4,9.6,10.8,12))+IF(Inputs!$B$3&gt;=117,F1198,0))/100))+MIN((Skills!S12*(1+((Inputs!$B$35+(ArtifactsInput!$M$7-ArtifactsInput!$M$7)*CHOOSE(ArtifactsInput!$N$7+1,6,7.2,8.4,9.6,10.8,12))+IF(Inputs!$B$3&gt;=117,F1198,0))/100)),MAX(0,Inputs!$B$44-((R1184-1)*Skills!D12))))/Inputs!$B$44),IF(Inputs!$B$39="pvp",MIN((Skills!S12*(1+((Inputs!$B$35+(ArtifactsInput!$M$7-ArtifactsInput!$M$7)*CHOOSE(ArtifactsInput!$N$7+1,6,7.2,8.4,9.6,10.8,12))+IF(Inputs!$B$3&gt;=117,F1198,0))/100)),15)/15,(Skills!S12*(1+((Inputs!$B$35+(ArtifactsInput!$M$7-ArtifactsInput!$M$7)*CHOOSE(ArtifactsInput!$N$7+1,6,7.2,8.4,9.6,10.8,12))+IF(Inputs!$B$3&gt;=117,F1198,0))/100))/Skills!D12)),0)</f>
        <v/>
      </c>
    </row>
    <row r="1204">
      <c r="A1204" t="inlineStr">
        <is>
          <t>Damage % Bonus (Holy Symbol - Damage Boost)</t>
        </is>
      </c>
      <c r="B1204">
        <f>Skills!O12</f>
        <v/>
      </c>
    </row>
    <row r="1205">
      <c r="A1205" t="inlineStr">
        <is>
          <t>Crit Damage % Bonus (Blood of the Divine)</t>
        </is>
      </c>
      <c r="B1205">
        <f>4*IF(C1192=TRUE,F1192,0)</f>
        <v/>
      </c>
    </row>
    <row r="1206">
      <c r="A1206" t="inlineStr">
        <is>
          <t>Attack Speed Bonus %</t>
        </is>
      </c>
      <c r="B1206">
        <f>IF(C1189=TRUE,F1189+(F1193-Calc!F21),0)+IF(Inputs!$B$3&gt;=134,15,0)</f>
        <v/>
      </c>
    </row>
    <row r="1207">
      <c r="A1207" t="inlineStr">
        <is>
          <t>Actions Per Second</t>
        </is>
      </c>
      <c r="B1207">
        <f>1+MIN(150,150*(1-(1-Inputs!$B$12/150)*(1-B1206/150)))/100</f>
        <v/>
      </c>
    </row>
    <row r="1208">
      <c r="A1208" t="inlineStr">
        <is>
          <t>Skill + Buff Cast Rate</t>
        </is>
      </c>
      <c r="B1208">
        <f>IF(AND(Inputs!$B$39&lt;&gt;"pvp",Inputs!$B$44&gt;0),SUMPRODUCT((Skills!E2:E27=TRUE)*(C1174:C1199=TRUE)*R1174:R1199)/Inputs!$B$44,SUMPRODUCT((Skills!E2:E27=TRUE)*(C1174:C1199=TRUE)*Q1174:Q1199))</f>
        <v/>
      </c>
    </row>
    <row r="1209">
      <c r="A1209" t="inlineStr">
        <is>
          <t>Big Bang Casts Per Second</t>
        </is>
      </c>
      <c r="B1209">
        <f>MAX(0,B1207-B1208)</f>
        <v/>
      </c>
    </row>
    <row r="1210">
      <c r="A1210" t="inlineStr">
        <is>
          <t>Defense % Bonus (Divine Protection)</t>
        </is>
      </c>
      <c r="B1210">
        <f>IF(C1185=TRUE,F1185*IF(AND(Inputs!$B$39&lt;&gt;"pvp",Inputs!$B$44&gt;0),(((R1185-1)*(Skills!S13*(1+((Inputs!$B$35+(ArtifactsInput!$M$7-ArtifactsInput!$M$7)*CHOOSE(ArtifactsInput!$N$7+1,6,7.2,8.4,9.6,10.8,12))+IF(Inputs!$B$3&gt;=117,F1198,0))/100))+MIN((Skills!S13*(1+((Inputs!$B$35+(ArtifactsInput!$M$7-ArtifactsInput!$M$7)*CHOOSE(ArtifactsInput!$N$7+1,6,7.2,8.4,9.6,10.8,12))+IF(Inputs!$B$3&gt;=117,F1198,0))/100)),MAX(0,Inputs!$B$44-((R1185-1)*Skills!D13))))/Inputs!$B$44),IF(Inputs!$B$39="pvp",MIN((Skills!S13*(1+((Inputs!$B$35+(ArtifactsInput!$M$7-ArtifactsInput!$M$7)*CHOOSE(ArtifactsInput!$N$7+1,6,7.2,8.4,9.6,10.8,12))+IF(Inputs!$B$3&gt;=117,F1198,0))/100)),15)/15,(Skills!S13*(1+((Inputs!$B$35+(ArtifactsInput!$M$7-ArtifactsInput!$M$7)*CHOOSE(ArtifactsInput!$N$7+1,6,7.2,8.4,9.6,10.8,12))+IF(Inputs!$B$3&gt;=117,F1198,0))/100))/Skills!D13)),0)</f>
        <v/>
      </c>
    </row>
    <row r="1211">
      <c r="A1211" t="inlineStr">
        <is>
          <t>Buff-Casting Startup Delay (s, fixed-duration only)</t>
        </is>
      </c>
      <c r="B1211">
        <f>IF(AND(Inputs!$B$39&lt;&gt;"pvp",Inputs!$B$44&gt;0),SUMPRODUCT((Skills!S2:S27&gt;0)*(Skills!E2:E27=TRUE)*(C1174:C1199=TRUE))/B1207,0)</f>
        <v/>
      </c>
    </row>
    <row r="1212">
      <c r="A1212" t="inlineStr">
        <is>
          <t>Boss-Only Total DPS (this block's swept value)</t>
        </is>
      </c>
      <c r="B1212">
        <f>SUM(S1174:S1199)</f>
        <v/>
      </c>
    </row>
    <row r="1213">
      <c r="A1213" t="inlineStr">
        <is>
          <t>Normal-Only Total DPS (this block's swept value)</t>
        </is>
      </c>
      <c r="B1213">
        <f>SUM(U1174:U1199)</f>
        <v/>
      </c>
    </row>
    <row r="1214">
      <c r="A1214" s="6" t="inlineStr">
        <is>
          <t>TOTAL DPS</t>
        </is>
      </c>
      <c r="B1214" s="6">
        <f>SUM(O1174:O1199)</f>
        <v/>
      </c>
    </row>
    <row r="1216">
      <c r="A1216" s="6" t="inlineStr">
        <is>
          <t>Stat: Buff Duration Increase %</t>
        </is>
      </c>
    </row>
    <row r="1217">
      <c r="A1217" s="5" t="inlineStr">
        <is>
          <t>Key</t>
        </is>
      </c>
      <c r="B1217" s="5" t="inlineStr">
        <is>
          <t>Name</t>
        </is>
      </c>
      <c r="C1217" s="5" t="inlineStr">
        <is>
          <t>Unlocked</t>
        </is>
      </c>
      <c r="D1217" s="5" t="inlineStr">
        <is>
          <t>InputLevel</t>
        </is>
      </c>
      <c r="E1217" s="5" t="inlineStr">
        <is>
          <t>Factor</t>
        </is>
      </c>
      <c r="F1217" s="5" t="inlineStr">
        <is>
          <t>CoefficientPercent</t>
        </is>
      </c>
      <c r="G1217" s="5" t="inlineStr">
        <is>
          <t>EffectiveHits</t>
        </is>
      </c>
      <c r="H1217" s="5" t="inlineStr">
        <is>
          <t>ProcProbability</t>
        </is>
      </c>
      <c r="I1217" s="5" t="inlineStr">
        <is>
          <t>MapleHeroMultiplier</t>
        </is>
      </c>
      <c r="J1217" s="5" t="inlineStr">
        <is>
          <t>BaseDamage</t>
        </is>
      </c>
      <c r="K1217" s="5" t="inlineStr">
        <is>
          <t>BaseHitDamage</t>
        </is>
      </c>
      <c r="L1217" s="5" t="inlineStr">
        <is>
          <t>NonCritAvg</t>
        </is>
      </c>
      <c r="M1217" s="5" t="inlineStr">
        <is>
          <t>CritAvg</t>
        </is>
      </c>
      <c r="N1217" s="5" t="inlineStr">
        <is>
          <t>ExpectedDamage(perHit)</t>
        </is>
      </c>
      <c r="O1217" s="5" t="inlineStr">
        <is>
          <t>DPS</t>
        </is>
      </c>
      <c r="P1217" s="5" t="inlineStr">
        <is>
          <t>% of Total</t>
        </is>
      </c>
      <c r="R1217" t="inlineStr">
        <is>
          <t>helpers</t>
        </is>
      </c>
    </row>
    <row r="1218">
      <c r="A1218">
        <f>Skills!A2</f>
        <v/>
      </c>
      <c r="B1218">
        <f>Skills!B2</f>
        <v/>
      </c>
      <c r="C1218">
        <f>Inputs!$B$3&gt;=100</f>
        <v/>
      </c>
      <c r="D1218" t="inlineStr"/>
      <c r="E1218" t="inlineStr"/>
      <c r="F1218">
        <f>T1220+Skills!N2</f>
        <v/>
      </c>
      <c r="G1218">
        <f>Calc!G2</f>
        <v/>
      </c>
      <c r="H1218">
        <f>Calc!H2</f>
        <v/>
      </c>
      <c r="I1218">
        <f>IF(Skills!T2&lt;&gt;"",1+(Skills!T2/10)*($Z$3/1000)/100,1)</f>
        <v/>
      </c>
      <c r="J1218">
        <f>((Inputs!$B$6*(1+Inputs!$B$7/100))+(((Inputs!$B$13*(1+Inputs!$B$14/100))-(Inputs!$B$13*(1+Inputs!$B$14/100)))+0.25*(Inputs!$B$15-Inputs!$B$15))*(1+Inputs!$B$7/100))*(F1218/100)</f>
        <v/>
      </c>
      <c r="K1218">
        <f>J1218*(1+(((Inputs!$B$13+IF(Inputs!$B$3&gt;=35,(10*INDEX(FactorTable!$B$2:$Y$301,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2="TRIUMPH_FEATHER",IF(C1232=TRUE,F1232,0),0)/100)*(1+IF(C1243=TRUE,F1243,0)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1218)</f>
        <v/>
      </c>
      <c r="L1218">
        <f>K1218*(MIN(Inputs!$B$23+(F1238-Calc!F22),(Inputs!$B$24+IF(ArtifactsInput!$M$15,CHOOSE(ArtifactsInput!$N$15+1,25,30,35,40,45,50)/100*(Inputs!$B$12-Inputs!$B$12),0)))/100+(Inputs!$B$24+IF(ArtifactsInput!$M$15,CHOOSE(ArtifactsInput!$N$15+1,25,30,35,40,45,50)/100*(Inputs!$B$12-Inputs!$B$12),0))/100)/2</f>
        <v/>
      </c>
      <c r="M1218">
        <f>L1218*(1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8">
        <f>L1218*(1-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1218*(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8">
        <f>(1-Summary!$B$11)*S1218+Summary!$B$11*U1218</f>
        <v/>
      </c>
      <c r="P1218">
        <f>IF(B1258=0,0,O1218/B1258)</f>
        <v/>
      </c>
      <c r="Q1218">
        <f>IFERROR(1/(IF(Inputs!$B$39="pvp",15,MAX(0.1,Skills!D2-IF(Skills!E2=TRUE,Inputs!$B$33,0)))*(1-IF(AND(ArtifactsInput!$M$27,Inputs!$B$4="Chapter Hunt"),CHOOSE(ArtifactsInput!$N$27+1,20,24,28,32,36,40),0)/100)),0)</f>
        <v/>
      </c>
      <c r="R1218" t="n">
        <v>0</v>
      </c>
      <c r="S1218">
        <f>IF(C1218,(Skills!F2*N1218*B1253)*IF(Inputs!$B$39="pvp",1,1+(Inputs!$B$21+Skills!O2+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1218*(1-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1218*(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1218*(1-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1218*(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18">
        <f>MAX(0,(Inputs!$B$3-100)*3)+Inputs!$B$29+Inputs!$B$30</f>
        <v/>
      </c>
      <c r="U1218">
        <f>IF(C1218,(Skills!F2*N1218*B1253)*IF(Inputs!$B$39="pvp",1,(1+(Inputs!$B$22+Skills!P2+B1247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9">
      <c r="A1219">
        <f>Skills!A3</f>
        <v/>
      </c>
      <c r="B1219">
        <f>Skills!B3</f>
        <v/>
      </c>
      <c r="C1219">
        <f>Inputs!$B$3&gt;=15</f>
        <v/>
      </c>
      <c r="D1219">
        <f>IF(Skills!C3=1,60+Inputs!$B$26+Inputs!$B$30,IF(Skills!C3=2,90+Inputs!$B$27+Inputs!$B$30,IF(Skills!C3=3,120+Inputs!$B$28+Inputs!$B$30,MAX(0,(Inputs!$B$3-100)*3)+Inputs!$B$29+Inputs!$B$30)))</f>
        <v/>
      </c>
      <c r="E1219">
        <f>INDEX(FactorTable!$B$2:$Y$301, MATCH(ROUND(MIN(300,MAX(1,D1219)),0), FactorTable!$A$2:$A$301,0), Skills!L3+1)</f>
        <v/>
      </c>
      <c r="F1219">
        <f>IF(Skills!M3=TRUE,(Skills!K3/10)*(E1219/1000),Skills!K3/10)+Skills!N3</f>
        <v/>
      </c>
      <c r="G1219">
        <f>Calc!G3</f>
        <v/>
      </c>
      <c r="H1219">
        <f>Calc!H3</f>
        <v/>
      </c>
      <c r="I1219">
        <f>IF(Skills!T3&lt;&gt;"",1+(Skills!T3/10)*($Z$3/1000)/100,1)</f>
        <v/>
      </c>
      <c r="J1219" t="inlineStr"/>
      <c r="K1219" t="inlineStr"/>
      <c r="L1219" t="inlineStr"/>
      <c r="M1219" t="inlineStr"/>
      <c r="N1219" t="inlineStr"/>
      <c r="O1219">
        <f>(1-Summary!$B$11)*S1219+Summary!$B$11*U1219</f>
        <v/>
      </c>
      <c r="P1219">
        <f>IF(B1258=0,0,O1219/B1258)</f>
        <v/>
      </c>
      <c r="Q1219">
        <f>IFERROR(1/(IF(Inputs!$B$39="pvp",15,MAX(0.1,Skills!D3-IF(Skills!E3=TRUE,Inputs!$B$33,0)))*(1-IF(AND(ArtifactsInput!$M$27,Inputs!$B$4="Chapter Hunt"),CHOOSE(ArtifactsInput!$N$27+1,20,24,28,32,36,40),0)/100)),0)</f>
        <v/>
      </c>
      <c r="R1219">
        <f>IF(AND(Inputs!$B$39&lt;&gt;"pvp",Inputs!$B$44&gt;0),IF(Inputs!$B$44&lt;=0,0,(INT(Inputs!$B$44/(IF(Inputs!$B$39="pvp",15,MAX(0.1,Skills!D3-IF(Skills!E3=TRUE,Inputs!$B$33,0)))*(1-IF(AND(ArtifactsInput!$M$27,Inputs!$B$4="Chapter Hunt"),CHOOSE(ArtifactsInput!$N$27+1,20,24,28,32,36,40),0)/100)))+1)),0)</f>
        <v/>
      </c>
      <c r="S1219" t="n">
        <v>0</v>
      </c>
      <c r="T1219">
        <f>INDEX(FactorTable!$B$2:$Y$301, MATCH(ROUND(MIN(300,MAX(1,T1218)),0), FactorTable!$A$2:$A$301,0), 22)</f>
        <v/>
      </c>
      <c r="U1219" t="n">
        <v>0</v>
      </c>
    </row>
    <row r="1220">
      <c r="A1220">
        <f>Skills!A4</f>
        <v/>
      </c>
      <c r="B1220">
        <f>Skills!B4</f>
        <v/>
      </c>
      <c r="C1220">
        <f>Inputs!$B$3&gt;=38</f>
        <v/>
      </c>
      <c r="D1220">
        <f>IF(Skills!C4=1,60+Inputs!$B$26+Inputs!$B$30,IF(Skills!C4=2,90+Inputs!$B$27+Inputs!$B$30,IF(Skills!C4=3,120+Inputs!$B$28+Inputs!$B$30,MAX(0,(Inputs!$B$3-100)*3)+Inputs!$B$29+Inputs!$B$30)))</f>
        <v/>
      </c>
      <c r="E1220">
        <f>INDEX(FactorTable!$B$2:$Y$301, MATCH(ROUND(MIN(300,MAX(1,D1220)),0), FactorTable!$A$2:$A$301,0), Skills!L4+1)</f>
        <v/>
      </c>
      <c r="F1220">
        <f>IF(Skills!M4=TRUE,(Skills!K4/10)*(E1220/1000),Skills!K4/10)+Skills!N4</f>
        <v/>
      </c>
      <c r="G1220">
        <f>Calc!G4</f>
        <v/>
      </c>
      <c r="H1220">
        <f>Calc!H4</f>
        <v/>
      </c>
      <c r="I1220">
        <f>IF(Skills!T4&lt;&gt;"",1+(Skills!T4/10)*($Z$3/1000)/100,1)</f>
        <v/>
      </c>
      <c r="J1220" t="inlineStr"/>
      <c r="K1220" t="inlineStr"/>
      <c r="L1220" t="inlineStr"/>
      <c r="M1220" t="inlineStr"/>
      <c r="N1220" t="inlineStr"/>
      <c r="O1220">
        <f>(1-Summary!$B$11)*S1220+Summary!$B$11*U1220</f>
        <v/>
      </c>
      <c r="P1220">
        <f>IF(B1258=0,0,O1220/B1258)</f>
        <v/>
      </c>
      <c r="Q1220">
        <f>IFERROR(1/(IF(Inputs!$B$39="pvp",15,MAX(0.1,Skills!D4-IF(Skills!E4=TRUE,Inputs!$B$33,0)))*(1-IF(AND(ArtifactsInput!$M$27,Inputs!$B$4="Chapter Hunt"),CHOOSE(ArtifactsInput!$N$27+1,20,24,28,32,36,40),0)/100)),0)</f>
        <v/>
      </c>
      <c r="R1220">
        <f>IF(AND(Inputs!$B$39&lt;&gt;"pvp",Inputs!$B$44&gt;0),IF(Inputs!$B$44&lt;=0,0,(INT(Inputs!$B$44/(IF(Inputs!$B$39="pvp",15,MAX(0.1,Skills!D4-IF(Skills!E4=TRUE,Inputs!$B$33,0)))*(1-IF(AND(ArtifactsInput!$M$27,Inputs!$B$4="Chapter Hunt"),CHOOSE(ArtifactsInput!$N$27+1,20,24,28,32,36,40),0)/100)))+1)),0)</f>
        <v/>
      </c>
      <c r="S1220" t="n">
        <v>0</v>
      </c>
      <c r="T1220">
        <f>290*T1219/1000</f>
        <v/>
      </c>
      <c r="U1220" t="n">
        <v>0</v>
      </c>
    </row>
    <row r="1221">
      <c r="A1221">
        <f>Skills!A5</f>
        <v/>
      </c>
      <c r="B1221">
        <f>Skills!B5</f>
        <v/>
      </c>
      <c r="C1221">
        <f>Inputs!$B$3&gt;=40</f>
        <v/>
      </c>
      <c r="D1221">
        <f>IF(Skills!C5=1,60+Inputs!$B$26+Inputs!$B$30,IF(Skills!C5=2,90+Inputs!$B$27+Inputs!$B$30,IF(Skills!C5=3,120+Inputs!$B$28+Inputs!$B$30,MAX(0,(Inputs!$B$3-100)*3)+Inputs!$B$29+Inputs!$B$30)))</f>
        <v/>
      </c>
      <c r="E1221">
        <f>INDEX(FactorTable!$B$2:$Y$301, MATCH(ROUND(MIN(300,MAX(1,D1221)),0), FactorTable!$A$2:$A$301,0), Skills!L5+1)</f>
        <v/>
      </c>
      <c r="F1221">
        <f>IF(Skills!M5=TRUE,(Skills!K5/10)*(E1221/1000),Skills!K5/10)+Skills!N5</f>
        <v/>
      </c>
      <c r="G1221">
        <f>Calc!G5</f>
        <v/>
      </c>
      <c r="H1221">
        <f>Calc!H5</f>
        <v/>
      </c>
      <c r="I1221">
        <f>IF(Skills!T5&lt;&gt;"",1+(Skills!T5/10)*($Z$3/1000)/100,1)</f>
        <v/>
      </c>
      <c r="J1221" t="inlineStr"/>
      <c r="K1221" t="inlineStr"/>
      <c r="L1221" t="inlineStr"/>
      <c r="M1221" t="inlineStr"/>
      <c r="N1221" t="inlineStr"/>
      <c r="O1221">
        <f>(1-Summary!$B$11)*S1221+Summary!$B$11*U1221</f>
        <v/>
      </c>
      <c r="P1221">
        <f>IF(B1258=0,0,O1221/B1258)</f>
        <v/>
      </c>
      <c r="Q1221">
        <f>IFERROR(1/(IF(Inputs!$B$39="pvp",15,MAX(0.1,Skills!D5-IF(Skills!E5=TRUE,Inputs!$B$33,0)))*(1-IF(AND(ArtifactsInput!$M$27,Inputs!$B$4="Chapter Hunt"),CHOOSE(ArtifactsInput!$N$27+1,20,24,28,32,36,40),0)/100)),0)</f>
        <v/>
      </c>
      <c r="R1221">
        <f>IF(AND(Inputs!$B$39&lt;&gt;"pvp",Inputs!$B$44&gt;0),IF(Inputs!$B$44&lt;=0,0,(INT(Inputs!$B$44/(IF(Inputs!$B$39="pvp",15,MAX(0.1,Skills!D5-IF(Skills!E5=TRUE,Inputs!$B$33,0)))*(1-IF(AND(ArtifactsInput!$M$27,Inputs!$B$4="Chapter Hunt"),CHOOSE(ArtifactsInput!$N$27+1,20,24,28,32,36,40),0)/100)))+1)),0)</f>
        <v/>
      </c>
      <c r="S1221" t="n">
        <v>0</v>
      </c>
      <c r="U1221" t="n">
        <v>0</v>
      </c>
    </row>
    <row r="1222">
      <c r="A1222">
        <f>Skills!A6</f>
        <v/>
      </c>
      <c r="B1222">
        <f>Skills!B6</f>
        <v/>
      </c>
      <c r="C1222">
        <f>Inputs!$B$3&gt;=103</f>
        <v/>
      </c>
      <c r="D1222">
        <f>IF(Skills!C6=1,60+Inputs!$B$26+Inputs!$B$30,IF(Skills!C6=2,90+Inputs!$B$27+Inputs!$B$30,IF(Skills!C6=3,120+Inputs!$B$28+Inputs!$B$30,MAX(0,(Inputs!$B$3-100)*3)+Inputs!$B$29+Inputs!$B$30)))</f>
        <v/>
      </c>
      <c r="E1222">
        <f>INDEX(FactorTable!$B$2:$Y$301, MATCH(ROUND(MIN(300,MAX(1,D1222)),0), FactorTable!$A$2:$A$301,0), Skills!L6+1)</f>
        <v/>
      </c>
      <c r="F1222">
        <f>IF(Skills!M6=TRUE,(Skills!K6/10)*(E1222/1000),Skills!K6/10)+Skills!N6</f>
        <v/>
      </c>
      <c r="G1222">
        <f>Calc!G6</f>
        <v/>
      </c>
      <c r="H1222">
        <f>Calc!H6</f>
        <v/>
      </c>
      <c r="I1222">
        <f>IF(Skills!T6&lt;&gt;"",1+(Skills!T6/10)*($Z$3/1000)/100,1)</f>
        <v/>
      </c>
      <c r="J1222">
        <f>((Inputs!$B$6*(1+Inputs!$B$7/100))+(((Inputs!$B$13*(1+Inputs!$B$14/100))-(Inputs!$B$13*(1+Inputs!$B$14/100)))+0.25*(Inputs!$B$15-Inputs!$B$15))*(1+Inputs!$B$7/100))*(F1222/100)</f>
        <v/>
      </c>
      <c r="K1222">
        <f>J1222*(1+(((Inputs!$B$13+IF(Inputs!$B$3&gt;=35,(10*INDEX(FactorTable!$B$2:$Y$301,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6="TRIUMPH_FEATHER",IF(C1232=TRUE,F1232,0),0)/100)*(1+IF(C1243=TRUE,F1243,0)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1222)</f>
        <v/>
      </c>
      <c r="L1222">
        <f>K1222*(MIN(Inputs!$B$23+(F1238-Calc!F22),(Inputs!$B$24+IF(ArtifactsInput!$M$15,CHOOSE(ArtifactsInput!$N$15+1,25,30,35,40,45,50)/100*(Inputs!$B$12-Inputs!$B$12),0)))/100+(Inputs!$B$24+IF(ArtifactsInput!$M$15,CHOOSE(ArtifactsInput!$N$15+1,25,30,35,40,45,50)/100*(Inputs!$B$12-Inputs!$B$12),0))/100)/2</f>
        <v/>
      </c>
      <c r="M1222">
        <f>L1222*(1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2">
        <f>L1222*(1-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1222*(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2">
        <f>(1-Summary!$B$11)*S1222+Summary!$B$11*U1222</f>
        <v/>
      </c>
      <c r="P1222">
        <f>IF(B1258=0,0,O1222/B1258)</f>
        <v/>
      </c>
      <c r="Q1222">
        <f>IFERROR(1/(IF(Inputs!$B$39="pvp",15,MAX(0.1,Skills!D6-IF(Skills!E6=TRUE,Inputs!$B$33,0)))*(1-IF(AND(ArtifactsInput!$M$27,Inputs!$B$4="Chapter Hunt"),CHOOSE(ArtifactsInput!$N$27+1,20,24,28,32,36,40),0)/100)),0)</f>
        <v/>
      </c>
      <c r="R1222">
        <f>IF(AND(Inputs!$B$39&lt;&gt;"pvp",Inputs!$B$44&gt;0),IF(MAX(0,Inputs!$B$44-B1255)&lt;=0,0,(INT(MAX(0,Inputs!$B$44-B1255)/(IF(Inputs!$B$39="pvp",15,MAX(0.1,Skills!D6-IF(Skills!E6=TRUE,Inputs!$B$33,0)))*(1-IF(AND(ArtifactsInput!$M$27,Inputs!$B$4="Chapter Hunt"),CHOOSE(ArtifactsInput!$N$27+1,20,24,28,32,36,40),0)/100)))+1)),0)</f>
        <v/>
      </c>
      <c r="S1222">
        <f>IF(C1222,(H1222*N1222*IF(AND(Inputs!$B$39&lt;&gt;"pvp",Inputs!$B$44&gt;0),((Skills!F6*((R1222-1)*IF(Skills!G6&gt;0,Skills!H6/Skills!G6,1)+IF(Skills!G6&gt;0,MIN(Skills!H6,MAX(0,MAX(0,Inputs!$B$44-B1255)-((R1222-1)*(IF(Inputs!$B$39="pvp",15,MAX(0.1,Skills!D6-IF(Skills!E6=TRUE,Inputs!$B$33,0)))*(1-IF(AND(ArtifactsInput!$M$27,Inputs!$B$4="Chapter Hunt"),CHOOSE(ArtifactsInput!$N$27+1,20,24,28,32,36,40),0)/100)))))/Skills!G6,1)))/Inputs!$B$44),G1222*Q1222))*IF(Inputs!$B$39="pvp",1,1+(Inputs!$B$21+Skills!O6+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1222*(1-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1222*(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1222*(1-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1222*(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2">
        <f>IF(C1222,(H1222*N1222*IF(AND(Inputs!$B$39&lt;&gt;"pvp",Inputs!$B$44&gt;0),((Skills!F6*((R1222-1)*IF(Skills!G6&gt;0,Skills!H6/Skills!G6,1)+IF(Skills!G6&gt;0,MIN(Skills!H6,MAX(0,MAX(0,Inputs!$B$44-B1255)-((R1222-1)*(IF(Inputs!$B$39="pvp",15,MAX(0.1,Skills!D6-IF(Skills!E6=TRUE,Inputs!$B$33,0)))*(1-IF(AND(ArtifactsInput!$M$27,Inputs!$B$4="Chapter Hunt"),CHOOSE(ArtifactsInput!$N$27+1,20,24,28,32,36,40),0)/100)))))/Skills!G6,1)))/Inputs!$B$44),G1222*Q1222))*IF(Inputs!$B$39="pvp",1,(1+(Inputs!$B$22+Skills!P6+B1247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3">
      <c r="A1223">
        <f>Skills!A7</f>
        <v/>
      </c>
      <c r="B1223">
        <f>Skills!B7</f>
        <v/>
      </c>
      <c r="C1223">
        <f>Inputs!$B$3&gt;=122</f>
        <v/>
      </c>
      <c r="D1223">
        <f>IF(Skills!C7=1,60+Inputs!$B$26+Inputs!$B$30,IF(Skills!C7=2,90+Inputs!$B$27+Inputs!$B$30,IF(Skills!C7=3,120+Inputs!$B$28+Inputs!$B$30,MAX(0,(Inputs!$B$3-100)*3)+Inputs!$B$29+Inputs!$B$30)))</f>
        <v/>
      </c>
      <c r="E1223">
        <f>INDEX(FactorTable!$B$2:$Y$301, MATCH(ROUND(MIN(300,MAX(1,D1223)),0), FactorTable!$A$2:$A$301,0), Skills!L7+1)</f>
        <v/>
      </c>
      <c r="F1223">
        <f>IF(Skills!M7=TRUE,(Skills!K7/10)*(E1223/1000),Skills!K7/10)+Skills!N7</f>
        <v/>
      </c>
      <c r="G1223">
        <f>Calc!G7</f>
        <v/>
      </c>
      <c r="H1223">
        <f>Calc!H7</f>
        <v/>
      </c>
      <c r="I1223">
        <f>IF(Skills!T7&lt;&gt;"",1+(Skills!T7/10)*($Z$3/1000)/100,1)</f>
        <v/>
      </c>
      <c r="J1223">
        <f>((Inputs!$B$6*(1+Inputs!$B$7/100))+(((Inputs!$B$13*(1+Inputs!$B$14/100))-(Inputs!$B$13*(1+Inputs!$B$14/100)))+0.25*(Inputs!$B$15-Inputs!$B$15))*(1+Inputs!$B$7/100))*(F1223/100)</f>
        <v/>
      </c>
      <c r="K1223">
        <f>J1223*(1+(((Inputs!$B$13+IF(Inputs!$B$3&gt;=35,(10*INDEX(FactorTable!$B$2:$Y$301,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7="TRIUMPH_FEATHER",IF(C1232=TRUE,F1232,0),0)/100)*(1+IF(C1243=TRUE,F1243,0)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1223)</f>
        <v/>
      </c>
      <c r="L1223">
        <f>K1223*(MIN(Inputs!$B$23+(F1238-Calc!F22),(Inputs!$B$24+IF(ArtifactsInput!$M$15,CHOOSE(ArtifactsInput!$N$15+1,25,30,35,40,45,50)/100*(Inputs!$B$12-Inputs!$B$12),0)))/100+(Inputs!$B$24+IF(ArtifactsInput!$M$15,CHOOSE(ArtifactsInput!$N$15+1,25,30,35,40,45,50)/100*(Inputs!$B$12-Inputs!$B$12),0))/100)/2</f>
        <v/>
      </c>
      <c r="M1223">
        <f>L1223*(1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3">
        <f>L1223*(1-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1223*(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3">
        <f>(1-Summary!$B$11)*S1223+Summary!$B$11*U1223</f>
        <v/>
      </c>
      <c r="P1223">
        <f>IF(B1258=0,0,O1223/B1258)</f>
        <v/>
      </c>
      <c r="Q1223">
        <f>IFERROR(1/(IF(Inputs!$B$39="pvp",15,MAX(0.1,Skills!D7-IF(Skills!E6=TRUE,Inputs!$B$33,0)))*(1-IF(AND(ArtifactsInput!$M$27,Inputs!$B$4="Chapter Hunt"),CHOOSE(ArtifactsInput!$N$27+1,20,24,28,32,36,40),0)/100)),0)</f>
        <v/>
      </c>
      <c r="R1223">
        <f>IF(AND(Inputs!$B$39&lt;&gt;"pvp",Inputs!$B$44&gt;0),IF(MAX(0,Inputs!$B$44-B1255)&lt;=0,0,(INT(MAX(0,Inputs!$B$44-B1255)/(IF(Inputs!$B$39="pvp",15,MAX(0.1,Skills!D7-IF(Skills!E6=TRUE,Inputs!$B$33,0)))*(1-IF(AND(ArtifactsInput!$M$27,Inputs!$B$4="Chapter Hunt"),CHOOSE(ArtifactsInput!$N$27+1,20,24,28,32,36,40),0)/100)))+1)),0)</f>
        <v/>
      </c>
      <c r="S1223">
        <f>IF(C1223,H1223*N1223*IF(AND(Inputs!$B$39&lt;&gt;"pvp",Inputs!$B$44&gt;0),((Skills!F7*((R1223-1)*IF(Skills!G7&gt;0,Skills!H7/Skills!G7,1)+IF(Skills!G7&gt;0,MIN(Skills!H7,MAX(0,MAX(0,Inputs!$B$44-B1255)-((R1223-1)*(IF(Inputs!$B$39="pvp",15,MAX(0.1,Skills!D7-IF(Skills!E6=TRUE,Inputs!$B$33,0)))*(1-IF(AND(ArtifactsInput!$M$27,Inputs!$B$4="Chapter Hunt"),CHOOSE(ArtifactsInput!$N$27+1,20,24,28,32,36,40),0)/100)))))/Skills!G7,1)))/Inputs!$B$44),G1223*Q1223)*IF(Inputs!$B$39="pvp",1,1+(Inputs!$B$21+Skills!O7+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1223*(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1223*(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3" t="n">
        <v>0</v>
      </c>
    </row>
    <row r="1224">
      <c r="A1224">
        <f>Skills!A8</f>
        <v/>
      </c>
      <c r="B1224">
        <f>Skills!B8</f>
        <v/>
      </c>
      <c r="C1224">
        <f>Inputs!$B$3&gt;=105</f>
        <v/>
      </c>
      <c r="D1224">
        <f>IF(Skills!C8=1,60+Inputs!$B$26+Inputs!$B$30,IF(Skills!C8=2,90+Inputs!$B$27+Inputs!$B$30,IF(Skills!C8=3,120+Inputs!$B$28+Inputs!$B$30,MAX(0,(Inputs!$B$3-100)*3)+Inputs!$B$29+Inputs!$B$30)))</f>
        <v/>
      </c>
      <c r="E1224">
        <f>INDEX(FactorTable!$B$2:$Y$301, MATCH(ROUND(MIN(300,MAX(1,D1224)),0), FactorTable!$A$2:$A$301,0), Skills!L8+1)</f>
        <v/>
      </c>
      <c r="F1224">
        <f>IF(Skills!M8=TRUE,(Skills!K8/10)*(E1224/1000),Skills!K8/10)+Skills!N8</f>
        <v/>
      </c>
      <c r="G1224">
        <f>Calc!G8</f>
        <v/>
      </c>
      <c r="H1224">
        <f>Calc!H8</f>
        <v/>
      </c>
      <c r="I1224">
        <f>IF(Skills!T8&lt;&gt;"",1+(Skills!T8/10)*($Z$3/1000)/100,1)</f>
        <v/>
      </c>
      <c r="J1224">
        <f>((Inputs!$B$6*(1+Inputs!$B$7/100))+(((Inputs!$B$13*(1+Inputs!$B$14/100))-(Inputs!$B$13*(1+Inputs!$B$14/100)))+0.25*(Inputs!$B$15-Inputs!$B$15))*(1+Inputs!$B$7/100))*(F1224/100)</f>
        <v/>
      </c>
      <c r="K1224">
        <f>J1224*(1+(((Inputs!$B$13+IF(Inputs!$B$3&gt;=35,(10*INDEX(FactorTable!$B$2:$Y$301,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8="TRIUMPH_FEATHER",IF(C1232=TRUE,F1232,0),0)/100)*(1+IF(C1243=TRUE,F1243,0)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1224)</f>
        <v/>
      </c>
      <c r="L1224">
        <f>K1224*(MIN(Inputs!$B$23+(F1238-Calc!F22),(Inputs!$B$24+IF(ArtifactsInput!$M$15,CHOOSE(ArtifactsInput!$N$15+1,25,30,35,40,45,50)/100*(Inputs!$B$12-Inputs!$B$12),0)))/100+(Inputs!$B$24+IF(ArtifactsInput!$M$15,CHOOSE(ArtifactsInput!$N$15+1,25,30,35,40,45,50)/100*(Inputs!$B$12-Inputs!$B$12),0))/100)/2</f>
        <v/>
      </c>
      <c r="M1224">
        <f>L1224*(1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4">
        <f>L1224*(1-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1224*(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4">
        <f>(1-Summary!$B$11)*S1224+Summary!$B$11*U1224</f>
        <v/>
      </c>
      <c r="P1224">
        <f>IF(B1258=0,0,O1224/B1258)</f>
        <v/>
      </c>
      <c r="Q1224">
        <f>IFERROR(1/(IF(Inputs!$B$39="pvp",15,MAX(0.1,Skills!D8-IF(Skills!E8=TRUE,Inputs!$B$33,0)))*(1-IF(AND(ArtifactsInput!$M$27,Inputs!$B$4="Chapter Hunt"),CHOOSE(ArtifactsInput!$N$27+1,20,24,28,32,36,40),0)/100)),0)</f>
        <v/>
      </c>
      <c r="R1224">
        <f>IF(AND(Inputs!$B$39&lt;&gt;"pvp",Inputs!$B$44&gt;0),IF(MAX(0,Inputs!$B$44-B1255)&lt;=0,0,(INT(MAX(0,Inputs!$B$44-B1255)/(IF(Inputs!$B$39="pvp",15,MAX(0.1,Skills!D8-IF(Skills!E8=TRUE,Inputs!$B$33,0)))*(1-IF(AND(ArtifactsInput!$M$27,Inputs!$B$4="Chapter Hunt"),CHOOSE(ArtifactsInput!$N$27+1,20,24,28,32,36,40),0)/100)))+1)),0)</f>
        <v/>
      </c>
      <c r="S1224">
        <f>IF(C1224,(H1224*N1224*IF(AND(Inputs!$B$39&lt;&gt;"pvp",Inputs!$B$44&gt;0),((Skills!F8*((R1224-1)*IF(Skills!G8&gt;0,Skills!H8/Skills!G8,1)+IF(Skills!G8&gt;0,MIN(Skills!H8,MAX(0,MAX(0,Inputs!$B$44-B1255)-((R1224-1)*(IF(Inputs!$B$39="pvp",15,MAX(0.1,Skills!D8-IF(Skills!E8=TRUE,Inputs!$B$33,0)))*(1-IF(AND(ArtifactsInput!$M$27,Inputs!$B$4="Chapter Hunt"),CHOOSE(ArtifactsInput!$N$27+1,20,24,28,32,36,40),0)/100)))))/Skills!G8,1)))/Inputs!$B$44),G1224*Q1224))*IF(Inputs!$B$39="pvp",1,1+(Inputs!$B$21+Skills!O8+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1224*(1-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1224*(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1224*(1-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1224*(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4">
        <f>IF(C1224,(H1224*N1224*IF(AND(Inputs!$B$39&lt;&gt;"pvp",Inputs!$B$44&gt;0),((Skills!F8*((R1224-1)*IF(Skills!G8&gt;0,Skills!H8/Skills!G8,1)+IF(Skills!G8&gt;0,MIN(Skills!H8,MAX(0,MAX(0,Inputs!$B$44-B1255)-((R1224-1)*(IF(Inputs!$B$39="pvp",15,MAX(0.1,Skills!D8-IF(Skills!E8=TRUE,Inputs!$B$33,0)))*(1-IF(AND(ArtifactsInput!$M$27,Inputs!$B$4="Chapter Hunt"),CHOOSE(ArtifactsInput!$N$27+1,20,24,28,32,36,40),0)/100)))))/Skills!G8,1)))/Inputs!$B$44),G1224*Q1224))*IF(Inputs!$B$39="pvp",1,(1+(Inputs!$B$22+Skills!P8+B1247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5">
      <c r="A1225">
        <f>Skills!A9</f>
        <v/>
      </c>
      <c r="B1225">
        <f>Skills!B9</f>
        <v/>
      </c>
      <c r="C1225">
        <f>Inputs!$B$3&gt;=115</f>
        <v/>
      </c>
      <c r="D1225">
        <f>IF(Skills!C9=1,60+Inputs!$B$26+Inputs!$B$30,IF(Skills!C9=2,90+Inputs!$B$27+Inputs!$B$30,IF(Skills!C9=3,120+Inputs!$B$28+Inputs!$B$30,MAX(0,(Inputs!$B$3-100)*3)+Inputs!$B$29+Inputs!$B$30)))</f>
        <v/>
      </c>
      <c r="E1225">
        <f>INDEX(FactorTable!$B$2:$Y$301, MATCH(ROUND(MIN(300,MAX(1,D1225)),0), FactorTable!$A$2:$A$301,0), Skills!L9+1)</f>
        <v/>
      </c>
      <c r="F1225">
        <f>IF(Skills!M9=TRUE,(Skills!K9/10)*(E1225/1000),Skills!K9/10)+Skills!N9</f>
        <v/>
      </c>
      <c r="G1225">
        <f>Calc!G9</f>
        <v/>
      </c>
      <c r="H1225">
        <f>Calc!H9</f>
        <v/>
      </c>
      <c r="I1225">
        <f>IF(Skills!T9&lt;&gt;"",1+(Skills!T9/10)*($Z$3/1000)/100,1)</f>
        <v/>
      </c>
      <c r="J1225">
        <f>((Inputs!$B$6*(1+Inputs!$B$7/100))+(((Inputs!$B$13*(1+Inputs!$B$14/100))-(Inputs!$B$13*(1+Inputs!$B$14/100)))+0.25*(Inputs!$B$15-Inputs!$B$15))*(1+Inputs!$B$7/100))*(F1225/100)</f>
        <v/>
      </c>
      <c r="K1225">
        <f>J1225*(1+(((Inputs!$B$13+IF(Inputs!$B$3&gt;=35,(10*INDEX(FactorTable!$B$2:$Y$301,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9="TRIUMPH_FEATHER",IF(C1232=TRUE,F1232,0),0)/100)*(1+IF(C1243=TRUE,F1243,0)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1225)</f>
        <v/>
      </c>
      <c r="L1225">
        <f>K1225*(MIN(Inputs!$B$23+(F1238-Calc!F22),(Inputs!$B$24+IF(ArtifactsInput!$M$15,CHOOSE(ArtifactsInput!$N$15+1,25,30,35,40,45,50)/100*(Inputs!$B$12-Inputs!$B$12),0)))/100+(Inputs!$B$24+IF(ArtifactsInput!$M$15,CHOOSE(ArtifactsInput!$N$15+1,25,30,35,40,45,50)/100*(Inputs!$B$12-Inputs!$B$12),0))/100)/2</f>
        <v/>
      </c>
      <c r="M1225">
        <f>L1225*(1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5">
        <f>L1225*(1-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1225*(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5">
        <f>(1-Summary!$B$11)*S1225+Summary!$B$11*U1225</f>
        <v/>
      </c>
      <c r="P1225">
        <f>IF(B1258=0,0,O1225/B1258)</f>
        <v/>
      </c>
      <c r="Q1225">
        <f>IFERROR(1/(IF(Inputs!$B$39="pvp",15,MAX(0.1,Skills!D9-IF(Skills!E9=TRUE,Inputs!$B$33,0)))*(1-IF(AND(ArtifactsInput!$M$27,Inputs!$B$4="Chapter Hunt"),CHOOSE(ArtifactsInput!$N$27+1,20,24,28,32,36,40),0)/100)),0)</f>
        <v/>
      </c>
      <c r="R1225">
        <f>IF(AND(Inputs!$B$39&lt;&gt;"pvp",Inputs!$B$44&gt;0),IF(MAX(0,Inputs!$B$44-B1255)&lt;=0,0,(INT(MAX(0,Inputs!$B$44-B1255)/(IF(Inputs!$B$39="pvp",15,MAX(0.1,Skills!D9-IF(Skills!E9=TRUE,Inputs!$B$33,0)))*(1-IF(AND(ArtifactsInput!$M$27,Inputs!$B$4="Chapter Hunt"),CHOOSE(ArtifactsInput!$N$27+1,20,24,28,32,36,40),0)/100)))+1)),0)</f>
        <v/>
      </c>
      <c r="S1225">
        <f>IF(C1225,(H1225*N1225*IF(AND(Inputs!$B$39&lt;&gt;"pvp",Inputs!$B$44&gt;0),((Skills!F9*((R1225-1)*IF(Skills!G9&gt;0,Skills!H9/Skills!G9,1)+IF(Skills!G9&gt;0,MIN(Skills!H9,MAX(0,MAX(0,Inputs!$B$44-B1255)-((R1225-1)*(IF(Inputs!$B$39="pvp",15,MAX(0.1,Skills!D9-IF(Skills!E9=TRUE,Inputs!$B$33,0)))*(1-IF(AND(ArtifactsInput!$M$27,Inputs!$B$4="Chapter Hunt"),CHOOSE(ArtifactsInput!$N$27+1,20,24,28,32,36,40),0)/100)))))/Skills!G9,1)))/Inputs!$B$44),G1225*Q1225))*IF(Inputs!$B$39="pvp",1,1+(Inputs!$B$21+Skills!O9+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1225*(1-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1225*(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1225*(1-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1225*(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5">
        <f>IF(C1225,(H1225*N1225*IF(AND(Inputs!$B$39&lt;&gt;"pvp",Inputs!$B$44&gt;0),((Skills!F9*((R1225-1)*IF(Skills!G9&gt;0,Skills!H9/Skills!G9,1)+IF(Skills!G9&gt;0,MIN(Skills!H9,MAX(0,MAX(0,Inputs!$B$44-B1255)-((R1225-1)*(IF(Inputs!$B$39="pvp",15,MAX(0.1,Skills!D9-IF(Skills!E9=TRUE,Inputs!$B$33,0)))*(1-IF(AND(ArtifactsInput!$M$27,Inputs!$B$4="Chapter Hunt"),CHOOSE(ArtifactsInput!$N$27+1,20,24,28,32,36,40),0)/100)))))/Skills!G9,1)))/Inputs!$B$44),G1225*Q1225))*IF(Inputs!$B$39="pvp",1,(1+(Inputs!$B$22+Skills!P9+B1247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6">
      <c r="A1226">
        <f>Skills!A10</f>
        <v/>
      </c>
      <c r="B1226">
        <f>Skills!B10</f>
        <v/>
      </c>
      <c r="C1226">
        <f>Inputs!$B$3&gt;=66</f>
        <v/>
      </c>
      <c r="D1226">
        <f>IF(Skills!C10=1,60+Inputs!$B$26+Inputs!$B$30,IF(Skills!C10=2,90+Inputs!$B$27+Inputs!$B$30,IF(Skills!C10=3,120+Inputs!$B$28+Inputs!$B$30,MAX(0,(Inputs!$B$3-100)*3)+Inputs!$B$29+Inputs!$B$30)))</f>
        <v/>
      </c>
      <c r="E1226">
        <f>INDEX(FactorTable!$B$2:$Y$301, MATCH(ROUND(MIN(300,MAX(1,D1226)),0), FactorTable!$A$2:$A$301,0), Skills!L10+1)</f>
        <v/>
      </c>
      <c r="F1226" t="n">
        <v>0</v>
      </c>
      <c r="G1226">
        <f>Calc!G10</f>
        <v/>
      </c>
      <c r="H1226">
        <f>Calc!H10</f>
        <v/>
      </c>
      <c r="I1226">
        <f>IF(Skills!T10&lt;&gt;"",1+(Skills!T10/10)*($Z$3/1000)/100,1)</f>
        <v/>
      </c>
      <c r="J1226" t="inlineStr"/>
      <c r="K1226" t="inlineStr"/>
      <c r="L1226" t="inlineStr"/>
      <c r="M1226" t="inlineStr"/>
      <c r="N1226" t="inlineStr"/>
      <c r="O1226">
        <f>(1-Summary!$B$11)*S1226+Summary!$B$11*U1226</f>
        <v/>
      </c>
      <c r="P1226">
        <f>IF(B1258=0,0,O1226/B1258)</f>
        <v/>
      </c>
      <c r="Q1226">
        <f>IFERROR(1/(IF(Inputs!$B$39="pvp",15,MAX(0.1,Skills!D10-IF(Skills!E10=TRUE,Inputs!$B$33,0)))*(1-IF(AND(ArtifactsInput!$M$27,Inputs!$B$4="Chapter Hunt"),CHOOSE(ArtifactsInput!$N$27+1,20,24,28,32,36,40),0)/100)),0)</f>
        <v/>
      </c>
      <c r="R1226">
        <f>IF(AND(Inputs!$B$39&lt;&gt;"pvp",Inputs!$B$44&gt;0),IF(MAX(0,Inputs!$B$44-B1255)&lt;=0,0,(INT(MAX(0,Inputs!$B$44-B1255)/(IF(Inputs!$B$39="pvp",15,MAX(0.1,Skills!D10-IF(Skills!E10=TRUE,Inputs!$B$33,0)))*(1-IF(AND(ArtifactsInput!$M$27,Inputs!$B$4="Chapter Hunt"),CHOOSE(ArtifactsInput!$N$27+1,20,24,28,32,36,40),0)/100)))+1)),0)</f>
        <v/>
      </c>
      <c r="S1226" t="n">
        <v>0</v>
      </c>
      <c r="U1226" t="n">
        <v>0</v>
      </c>
    </row>
    <row r="1227">
      <c r="A1227">
        <f>Skills!A11</f>
        <v/>
      </c>
      <c r="B1227">
        <f>Skills!B11</f>
        <v/>
      </c>
      <c r="C1227">
        <f>Inputs!$B$3&gt;=69</f>
        <v/>
      </c>
      <c r="D1227">
        <f>IF(Skills!C11=1,60+Inputs!$B$26+Inputs!$B$30,IF(Skills!C11=2,90+Inputs!$B$27+Inputs!$B$30,IF(Skills!C11=3,120+Inputs!$B$28+Inputs!$B$30,MAX(0,(Inputs!$B$3-100)*3)+Inputs!$B$29+Inputs!$B$30)))</f>
        <v/>
      </c>
      <c r="E1227">
        <f>INDEX(FactorTable!$B$2:$Y$301, MATCH(ROUND(MIN(300,MAX(1,D1227)),0), FactorTable!$A$2:$A$301,0), Skills!L11+1)</f>
        <v/>
      </c>
      <c r="F1227">
        <f>IF(Skills!M11=TRUE,(Skills!K11/10)*(E1227/1000),Skills!K11/10)+Skills!N11</f>
        <v/>
      </c>
      <c r="G1227">
        <f>Calc!G11</f>
        <v/>
      </c>
      <c r="H1227">
        <f>Calc!H11</f>
        <v/>
      </c>
      <c r="I1227">
        <f>IF(Skills!T11&lt;&gt;"",1+(Skills!T11/10)*($Z$3/1000)/100,1)</f>
        <v/>
      </c>
      <c r="J1227" t="inlineStr"/>
      <c r="K1227" t="inlineStr"/>
      <c r="L1227" t="inlineStr"/>
      <c r="M1227" t="inlineStr"/>
      <c r="N1227" t="inlineStr"/>
      <c r="O1227">
        <f>(1-Summary!$B$11)*S1227+Summary!$B$11*U1227</f>
        <v/>
      </c>
      <c r="P1227">
        <f>IF(B1258=0,0,O1227/B1258)</f>
        <v/>
      </c>
      <c r="Q1227">
        <f>IFERROR(1/(IF(Inputs!$B$39="pvp",15,MAX(0.1,Skills!D11-IF(Skills!E11=TRUE,Inputs!$B$33,0)))*(1-IF(AND(ArtifactsInput!$M$27,Inputs!$B$4="Chapter Hunt"),CHOOSE(ArtifactsInput!$N$27+1,20,24,28,32,36,40),0)/100)),0)</f>
        <v/>
      </c>
      <c r="R1227">
        <f>IF(AND(Inputs!$B$39&lt;&gt;"pvp",Inputs!$B$44&gt;0),IF(Inputs!$B$44&lt;=0,0,(INT(Inputs!$B$44/(IF(Inputs!$B$39="pvp",15,MAX(0.1,Skills!D11-IF(Skills!E11=TRUE,Inputs!$B$33,0)))*(1-IF(AND(ArtifactsInput!$M$27,Inputs!$B$4="Chapter Hunt"),CHOOSE(ArtifactsInput!$N$27+1,20,24,28,32,36,40),0)/100)))+1)),0)</f>
        <v/>
      </c>
      <c r="S1227" t="n">
        <v>0</v>
      </c>
      <c r="U1227" t="n">
        <v>0</v>
      </c>
    </row>
    <row r="1228">
      <c r="A1228">
        <f>Skills!A12</f>
        <v/>
      </c>
      <c r="B1228">
        <f>Skills!B12</f>
        <v/>
      </c>
      <c r="C1228">
        <f>Inputs!$B$3&gt;=72</f>
        <v/>
      </c>
      <c r="D1228">
        <f>IF(Skills!C12=1,60+Inputs!$B$26+Inputs!$B$30,IF(Skills!C12=2,90+Inputs!$B$27+Inputs!$B$30,IF(Skills!C12=3,120+Inputs!$B$28+Inputs!$B$30,MAX(0,(Inputs!$B$3-100)*3)+Inputs!$B$29+Inputs!$B$30)))</f>
        <v/>
      </c>
      <c r="E1228">
        <f>INDEX(FactorTable!$B$2:$Y$301, MATCH(ROUND(MIN(300,MAX(1,D1228)),0), FactorTable!$A$2:$A$301,0), Skills!L12+1)</f>
        <v/>
      </c>
      <c r="F1228">
        <f>IF(Skills!M12=TRUE,(Skills!K12/10)*(E1228/1000),Skills!K12/10)+Skills!N12</f>
        <v/>
      </c>
      <c r="G1228">
        <f>Calc!G12</f>
        <v/>
      </c>
      <c r="H1228">
        <f>Calc!H12</f>
        <v/>
      </c>
      <c r="I1228">
        <f>IF(Skills!T12&lt;&gt;"",1+(Skills!T12/10)*($Z$3/1000)/100,1)</f>
        <v/>
      </c>
      <c r="J1228" t="inlineStr"/>
      <c r="K1228" t="inlineStr"/>
      <c r="L1228" t="inlineStr"/>
      <c r="M1228" t="inlineStr"/>
      <c r="N1228" t="inlineStr"/>
      <c r="O1228">
        <f>(1-Summary!$B$11)*S1228+Summary!$B$11*U1228</f>
        <v/>
      </c>
      <c r="P1228">
        <f>IF(B1258=0,0,O1228/B1258)</f>
        <v/>
      </c>
      <c r="Q1228">
        <f>IFERROR(1/(IF(Inputs!$B$39="pvp",15,MAX(0.1,Skills!D12-IF(Skills!E12=TRUE,Inputs!$B$33,0)))*(1-IF(AND(ArtifactsInput!$M$27,Inputs!$B$4="Chapter Hunt"),CHOOSE(ArtifactsInput!$N$27+1,20,24,28,32,36,40),0)/100)),0)</f>
        <v/>
      </c>
      <c r="R1228">
        <f>IF(AND(Inputs!$B$39&lt;&gt;"pvp",Inputs!$B$44&gt;0),IF(MAX(0,Inputs!$B$44-B1255)&lt;=0,0,(INT(MAX(0,Inputs!$B$44-B1255)/(IF(Inputs!$B$39="pvp",15,MAX(0.1,Skills!D12-IF(Skills!E12=TRUE,Inputs!$B$33,0)))*(1-IF(AND(ArtifactsInput!$M$27,Inputs!$B$4="Chapter Hunt"),CHOOSE(ArtifactsInput!$N$27+1,20,24,28,32,36,40),0)/100)))+1)),0)</f>
        <v/>
      </c>
      <c r="S1228" t="n">
        <v>0</v>
      </c>
      <c r="U1228" t="n">
        <v>0</v>
      </c>
    </row>
    <row r="1229">
      <c r="A1229">
        <f>Skills!A13</f>
        <v/>
      </c>
      <c r="B1229">
        <f>Skills!B13</f>
        <v/>
      </c>
      <c r="C1229">
        <f>Inputs!$B$3&gt;=60</f>
        <v/>
      </c>
      <c r="D1229">
        <f>IF(Skills!C13=1,60+Inputs!$B$26+Inputs!$B$30,IF(Skills!C13=2,90+Inputs!$B$27+Inputs!$B$30,IF(Skills!C13=3,120+Inputs!$B$28+Inputs!$B$30,MAX(0,(Inputs!$B$3-100)*3)+Inputs!$B$29+Inputs!$B$30)))</f>
        <v/>
      </c>
      <c r="E1229">
        <f>INDEX(FactorTable!$B$2:$Y$301, MATCH(ROUND(MIN(300,MAX(1,D1229)),0), FactorTable!$A$2:$A$301,0), Skills!L13+1)</f>
        <v/>
      </c>
      <c r="F1229">
        <f>IF(Skills!M13=TRUE,(Skills!K13/10)*(E1229/1000),Skills!K13/10)+Skills!N13</f>
        <v/>
      </c>
      <c r="G1229">
        <f>Calc!G13</f>
        <v/>
      </c>
      <c r="H1229">
        <f>Calc!H13</f>
        <v/>
      </c>
      <c r="I1229">
        <f>IF(Skills!T13&lt;&gt;"",1+(Skills!T13/10)*($Z$3/1000)/100,1)</f>
        <v/>
      </c>
      <c r="J1229" t="inlineStr"/>
      <c r="K1229" t="inlineStr"/>
      <c r="L1229" t="inlineStr"/>
      <c r="M1229" t="inlineStr"/>
      <c r="N1229" t="inlineStr"/>
      <c r="O1229">
        <f>(1-Summary!$B$11)*S1229+Summary!$B$11*U1229</f>
        <v/>
      </c>
      <c r="P1229">
        <f>IF(B1258=0,0,O1229/B1258)</f>
        <v/>
      </c>
      <c r="Q1229">
        <f>IFERROR(1/(IF(Inputs!$B$39="pvp",15,MAX(0.1,Skills!D13-IF(Skills!E13=TRUE,Inputs!$B$33,0)))*(1-IF(AND(ArtifactsInput!$M$27,Inputs!$B$4="Chapter Hunt"),CHOOSE(ArtifactsInput!$N$27+1,20,24,28,32,36,40),0)/100)),0)</f>
        <v/>
      </c>
      <c r="R1229">
        <f>IF(AND(Inputs!$B$39&lt;&gt;"pvp",Inputs!$B$44&gt;0),IF(MAX(0,Inputs!$B$44-B1255)&lt;=0,0,(INT(MAX(0,Inputs!$B$44-B1255)/(IF(Inputs!$B$39="pvp",15,MAX(0.1,Skills!D13-IF(Skills!E13=TRUE,Inputs!$B$33,0)))*(1-IF(AND(ArtifactsInput!$M$27,Inputs!$B$4="Chapter Hunt"),CHOOSE(ArtifactsInput!$N$27+1,20,24,28,32,36,40),0)/100)))+1)),0)</f>
        <v/>
      </c>
      <c r="S1229" t="n">
        <v>0</v>
      </c>
      <c r="U1229" t="n">
        <v>0</v>
      </c>
    </row>
    <row r="1230">
      <c r="A1230">
        <f>Skills!A14</f>
        <v/>
      </c>
      <c r="B1230">
        <f>Skills!B14</f>
        <v/>
      </c>
      <c r="C1230">
        <f>Inputs!$B$3&gt;=107</f>
        <v/>
      </c>
      <c r="D1230">
        <f>IF(Skills!C14=1,60+Inputs!$B$26+Inputs!$B$30,IF(Skills!C14=2,90+Inputs!$B$27+Inputs!$B$30,IF(Skills!C14=3,120+Inputs!$B$28+Inputs!$B$30,MAX(0,(Inputs!$B$3-100)*3)+Inputs!$B$29+Inputs!$B$30)))</f>
        <v/>
      </c>
      <c r="E1230">
        <f>INDEX(FactorTable!$B$2:$Y$301, MATCH(ROUND(MIN(300,MAX(1,D1230)),0), FactorTable!$A$2:$A$301,0), Skills!L14+1)</f>
        <v/>
      </c>
      <c r="F1230">
        <f>IF(Skills!M14=TRUE,(Skills!K14/10)*(E1230/1000),Skills!K14/10)+Skills!N14</f>
        <v/>
      </c>
      <c r="G1230">
        <f>Calc!G14</f>
        <v/>
      </c>
      <c r="H1230">
        <f>Calc!H14</f>
        <v/>
      </c>
      <c r="I1230">
        <f>IF(Skills!T14&lt;&gt;"",1+(Skills!T14/10)*($Z$3/1000)/100,1)</f>
        <v/>
      </c>
      <c r="J1230" t="inlineStr"/>
      <c r="K1230" t="inlineStr"/>
      <c r="L1230" t="inlineStr"/>
      <c r="M1230" t="inlineStr"/>
      <c r="N1230" t="inlineStr"/>
      <c r="O1230">
        <f>(1-Summary!$B$11)*S1230+Summary!$B$11*U1230</f>
        <v/>
      </c>
      <c r="P1230">
        <f>IF(B1258=0,0,O1230/B1258)</f>
        <v/>
      </c>
      <c r="Q1230">
        <f>IFERROR(1/(IF(Inputs!$B$39="pvp",15,MAX(0.1,Skills!D14-IF(Skills!E14=TRUE,Inputs!$B$33,0)))*(1-IF(AND(ArtifactsInput!$M$27,Inputs!$B$4="Chapter Hunt"),CHOOSE(ArtifactsInput!$N$27+1,20,24,28,32,36,40),0)/100)),0)</f>
        <v/>
      </c>
      <c r="R1230">
        <f>IF(AND(Inputs!$B$39&lt;&gt;"pvp",Inputs!$B$44&gt;0),IF(Inputs!$B$44&lt;=0,0,(INT(Inputs!$B$44/(IF(Inputs!$B$39="pvp",15,MAX(0.1,Skills!D14-IF(Skills!E14=TRUE,Inputs!$B$33,0)))*(1-IF(AND(ArtifactsInput!$M$27,Inputs!$B$4="Chapter Hunt"),CHOOSE(ArtifactsInput!$N$27+1,20,24,28,32,36,40),0)/100)))+1)),0)</f>
        <v/>
      </c>
      <c r="S1230" t="n">
        <v>0</v>
      </c>
      <c r="U1230" t="n">
        <v>0</v>
      </c>
    </row>
    <row r="1231">
      <c r="A1231">
        <f>Skills!A15</f>
        <v/>
      </c>
      <c r="B1231">
        <f>Skills!B15</f>
        <v/>
      </c>
      <c r="C1231">
        <f>Inputs!$B$3&gt;=63</f>
        <v/>
      </c>
      <c r="D1231">
        <f>IF(Skills!C15=1,60+Inputs!$B$26+Inputs!$B$30,IF(Skills!C15=2,90+Inputs!$B$27+Inputs!$B$30,IF(Skills!C15=3,120+Inputs!$B$28+Inputs!$B$30,MAX(0,(Inputs!$B$3-100)*3)+Inputs!$B$29+Inputs!$B$30)))</f>
        <v/>
      </c>
      <c r="E1231">
        <f>INDEX(FactorTable!$B$2:$Y$301, MATCH(ROUND(MIN(300,MAX(1,D1231)),0), FactorTable!$A$2:$A$301,0), Skills!L15+1)</f>
        <v/>
      </c>
      <c r="F1231">
        <f>IF(Skills!M15=TRUE,(Skills!K15/10)*(E1231/1000),Skills!K15/10)+Skills!N15</f>
        <v/>
      </c>
      <c r="G1231">
        <f>Calc!G15</f>
        <v/>
      </c>
      <c r="H1231">
        <f>Calc!H15</f>
        <v/>
      </c>
      <c r="I1231">
        <f>IF(Skills!T15&lt;&gt;"",1+(Skills!T15/10)*($Z$3/1000)/100,1)</f>
        <v/>
      </c>
      <c r="J1231">
        <f>((Inputs!$B$6*(1+Inputs!$B$7/100))+(((Inputs!$B$13*(1+Inputs!$B$14/100))-(Inputs!$B$13*(1+Inputs!$B$14/100)))+0.25*(Inputs!$B$15-Inputs!$B$15))*(1+Inputs!$B$7/100))*(F1231/100)</f>
        <v/>
      </c>
      <c r="K1231">
        <f>J1231*(1+(((Inputs!$B$13+IF(Inputs!$B$3&gt;=35,(10*INDEX(FactorTable!$B$2:$Y$301,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15="TRIUMPH_FEATHER",IF(C1232=TRUE,F1232,0),0)/100)*(1+IF(C1243=TRUE,F1243,0)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1231)</f>
        <v/>
      </c>
      <c r="L1231">
        <f>K1231*(MIN(Inputs!$B$23+(F1238-Calc!F22),(Inputs!$B$24+IF(ArtifactsInput!$M$15,CHOOSE(ArtifactsInput!$N$15+1,25,30,35,40,45,50)/100*(Inputs!$B$12-Inputs!$B$12),0)))/100+(Inputs!$B$24+IF(ArtifactsInput!$M$15,CHOOSE(ArtifactsInput!$N$15+1,25,30,35,40,45,50)/100*(Inputs!$B$12-Inputs!$B$12),0))/100)/2</f>
        <v/>
      </c>
      <c r="M1231">
        <f>L1231*(1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1">
        <f>L1231*(1-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1">
        <f>(1-Summary!$B$11)*S1231+Summary!$B$11*U1231</f>
        <v/>
      </c>
      <c r="P1231">
        <f>IF(B1258=0,0,O1231/B1258)</f>
        <v/>
      </c>
      <c r="Q1231">
        <f>IFERROR(1/(IF(Inputs!$B$39="pvp",15,MAX(0.1,Skills!D15-IF(Skills!E15=TRUE,Inputs!$B$33,0)))*(1-IF(AND(ArtifactsInput!$M$27,Inputs!$B$4="Chapter Hunt"),CHOOSE(ArtifactsInput!$N$27+1,20,24,28,32,36,40),0)/100)),0)</f>
        <v/>
      </c>
      <c r="R1231" t="n">
        <v>0</v>
      </c>
      <c r="S1231">
        <f>IF(C1231,(Skills!F15*N1231*((IF(Inputs!$B$3&gt;=78,25,15)/100*B1251*10)/(1+IF(Inputs!$B$3&gt;=78,25,15)/100*B1251*10))*(Skills!I15/100*B1251)/(1+Skills!G15*Skills!I15/100*B1251))*IF(Inputs!$B$39="pvp",1,1+(Inputs!$B$21+Skills!O15+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1">
        <f>IF(C1231,(Skills!F15*N1231*((IF(Inputs!$B$3&gt;=78,25,15)/100*B1251*10)/(1+IF(Inputs!$B$3&gt;=78,25,15)/100*B1251*10))*(Skills!I15/100*B1251)/(1+Skills!G15*Skills!I15/100*B1251))*IF(Inputs!$B$39="pvp",1,(1+(Inputs!$B$22+Skills!P15+B1247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2">
      <c r="A1232">
        <f>Skills!A16</f>
        <v/>
      </c>
      <c r="B1232">
        <f>Skills!B16</f>
        <v/>
      </c>
      <c r="C1232">
        <f>Inputs!$B$3&gt;=100</f>
        <v/>
      </c>
      <c r="D1232">
        <f>IF(Skills!C16=1,60+Inputs!$B$26+Inputs!$B$30,IF(Skills!C16=2,90+Inputs!$B$27+Inputs!$B$30,IF(Skills!C16=3,120+Inputs!$B$28+Inputs!$B$30,MAX(0,(Inputs!$B$3-100)*3)+Inputs!$B$29+Inputs!$B$30)))</f>
        <v/>
      </c>
      <c r="E1232">
        <f>INDEX(FactorTable!$B$2:$Y$301, MATCH(ROUND(MIN(300,MAX(1,D1232)),0), FactorTable!$A$2:$A$301,0), Skills!L16+1)</f>
        <v/>
      </c>
      <c r="F1232">
        <f>IF(Skills!M16=TRUE,(Skills!K16/10)*(E1232/1000),Skills!K16/10)+Skills!N16</f>
        <v/>
      </c>
      <c r="G1232">
        <f>Calc!G16</f>
        <v/>
      </c>
      <c r="H1232">
        <f>Calc!H16</f>
        <v/>
      </c>
      <c r="I1232">
        <f>IF(Skills!T16&lt;&gt;"",1+(Skills!T16/10)*($Z$3/1000)/100,1)</f>
        <v/>
      </c>
      <c r="J1232" t="inlineStr"/>
      <c r="K1232" t="inlineStr"/>
      <c r="L1232" t="inlineStr"/>
      <c r="M1232" t="inlineStr"/>
      <c r="N1232" t="inlineStr"/>
      <c r="O1232">
        <f>(1-Summary!$B$11)*S1232+Summary!$B$11*U1232</f>
        <v/>
      </c>
      <c r="P1232">
        <f>IF(B1258=0,0,O1232/B1258)</f>
        <v/>
      </c>
      <c r="Q1232">
        <f>IFERROR(1/(IF(Inputs!$B$39="pvp",15,MAX(0.1,Skills!D16-IF(Skills!E16=TRUE,Inputs!$B$33,0)))*(1-IF(AND(ArtifactsInput!$M$27,Inputs!$B$4="Chapter Hunt"),CHOOSE(ArtifactsInput!$N$27+1,20,24,28,32,36,40),0)/100)),0)</f>
        <v/>
      </c>
      <c r="R1232" t="n">
        <v>0</v>
      </c>
      <c r="S1232" t="n">
        <v>0</v>
      </c>
      <c r="U1232" t="n">
        <v>0</v>
      </c>
    </row>
    <row r="1233">
      <c r="A1233">
        <f>Skills!A17</f>
        <v/>
      </c>
      <c r="B1233">
        <f>Skills!B17</f>
        <v/>
      </c>
      <c r="C1233">
        <f>Inputs!$B$3&gt;=49</f>
        <v/>
      </c>
      <c r="D1233">
        <f>IF(Skills!C17=1,60+Inputs!$B$26+Inputs!$B$30,IF(Skills!C17=2,90+Inputs!$B$27+Inputs!$B$30,IF(Skills!C17=3,120+Inputs!$B$28+Inputs!$B$30,MAX(0,(Inputs!$B$3-100)*3)+Inputs!$B$29+Inputs!$B$30)))</f>
        <v/>
      </c>
      <c r="E1233">
        <f>INDEX(FactorTable!$B$2:$Y$301, MATCH(ROUND(MIN(300,MAX(1,D1233)),0), FactorTable!$A$2:$A$301,0), Skills!L17+1)</f>
        <v/>
      </c>
      <c r="F1233">
        <f>IF(Skills!M17=TRUE,(Skills!K17/10)*(E1233/1000),Skills!K17/10)+Skills!N17</f>
        <v/>
      </c>
      <c r="G1233">
        <f>Calc!G17</f>
        <v/>
      </c>
      <c r="H1233">
        <f>Calc!H17</f>
        <v/>
      </c>
      <c r="I1233">
        <f>IF(Skills!T17&lt;&gt;"",1+(Skills!T17/10)*($Z$3/1000)/100,1)</f>
        <v/>
      </c>
      <c r="J1233" t="inlineStr"/>
      <c r="K1233" t="inlineStr"/>
      <c r="L1233" t="inlineStr"/>
      <c r="M1233" t="inlineStr"/>
      <c r="N1233" t="inlineStr"/>
      <c r="O1233">
        <f>(1-Summary!$B$11)*S1233+Summary!$B$11*U1233</f>
        <v/>
      </c>
      <c r="P1233">
        <f>IF(B1258=0,0,O1233/B1258)</f>
        <v/>
      </c>
      <c r="Q1233">
        <f>IFERROR(1/(IF(Inputs!$B$39="pvp",15,MAX(0.1,Skills!D17-IF(Skills!E17=TRUE,Inputs!$B$33,0)))*(1-IF(AND(ArtifactsInput!$M$27,Inputs!$B$4="Chapter Hunt"),CHOOSE(ArtifactsInput!$N$27+1,20,24,28,32,36,40),0)/100)),0)</f>
        <v/>
      </c>
      <c r="R1233" t="n">
        <v>0</v>
      </c>
      <c r="S1233" t="n">
        <v>0</v>
      </c>
      <c r="U1233" t="n">
        <v>0</v>
      </c>
    </row>
    <row r="1234">
      <c r="A1234">
        <f>Skills!A18</f>
        <v/>
      </c>
      <c r="B1234">
        <f>Skills!B18</f>
        <v/>
      </c>
      <c r="C1234">
        <f>Inputs!$B$3&gt;=75</f>
        <v/>
      </c>
      <c r="D1234">
        <f>IF(Skills!C18=1,60+Inputs!$B$26+Inputs!$B$30,IF(Skills!C18=2,90+Inputs!$B$27+Inputs!$B$30,IF(Skills!C18=3,120+Inputs!$B$28+Inputs!$B$30,MAX(0,(Inputs!$B$3-100)*3)+Inputs!$B$29+Inputs!$B$30)))</f>
        <v/>
      </c>
      <c r="E1234">
        <f>INDEX(FactorTable!$B$2:$Y$301, MATCH(ROUND(MIN(300,MAX(1,D1234)),0), FactorTable!$A$2:$A$301,0), Skills!L18+1)</f>
        <v/>
      </c>
      <c r="F1234">
        <f>IF(Skills!M18=TRUE,(Skills!K18/10)*(E1234/1000),Skills!K18/10)+Skills!N18</f>
        <v/>
      </c>
      <c r="G1234">
        <f>Calc!G18</f>
        <v/>
      </c>
      <c r="H1234">
        <f>Calc!H18</f>
        <v/>
      </c>
      <c r="I1234">
        <f>IF(Skills!T18&lt;&gt;"",1+(Skills!T18/10)*($Z$3/1000)/100,1)</f>
        <v/>
      </c>
      <c r="J1234" t="inlineStr"/>
      <c r="K1234" t="inlineStr"/>
      <c r="L1234" t="inlineStr"/>
      <c r="M1234" t="inlineStr"/>
      <c r="N1234" t="inlineStr"/>
      <c r="O1234">
        <f>(1-Summary!$B$11)*S1234+Summary!$B$11*U1234</f>
        <v/>
      </c>
      <c r="P1234">
        <f>IF(B1258=0,0,O1234/B1258)</f>
        <v/>
      </c>
      <c r="Q1234">
        <f>IFERROR(1/(IF(Inputs!$B$39="pvp",15,MAX(0.1,Skills!D18-IF(Skills!E18=TRUE,Inputs!$B$33,0)))*(1-IF(AND(ArtifactsInput!$M$27,Inputs!$B$4="Chapter Hunt"),CHOOSE(ArtifactsInput!$N$27+1,20,24,28,32,36,40),0)/100)),0)</f>
        <v/>
      </c>
      <c r="R1234" t="n">
        <v>0</v>
      </c>
      <c r="S1234" t="n">
        <v>0</v>
      </c>
      <c r="U1234" t="n">
        <v>0</v>
      </c>
    </row>
    <row r="1235">
      <c r="A1235">
        <f>Skills!A19</f>
        <v/>
      </c>
      <c r="B1235">
        <f>Skills!B19</f>
        <v/>
      </c>
      <c r="C1235">
        <f>Inputs!$B$3&gt;=110</f>
        <v/>
      </c>
      <c r="D1235">
        <f>IF(Skills!C19=1,60+Inputs!$B$26+Inputs!$B$30,IF(Skills!C19=2,90+Inputs!$B$27+Inputs!$B$30,IF(Skills!C19=3,120+Inputs!$B$28+Inputs!$B$30,MAX(0,(Inputs!$B$3-100)*3)+Inputs!$B$29+Inputs!$B$30)))</f>
        <v/>
      </c>
      <c r="E1235">
        <f>INDEX(FactorTable!$B$2:$Y$301, MATCH(ROUND(MIN(300,MAX(1,D1235)),0), FactorTable!$A$2:$A$301,0), Skills!L19+1)</f>
        <v/>
      </c>
      <c r="F1235">
        <f>(Skills!K19/10)*(E1235/1000)*64/45+Skills!N19</f>
        <v/>
      </c>
      <c r="G1235">
        <f>Calc!G19</f>
        <v/>
      </c>
      <c r="H1235">
        <f>Calc!H19</f>
        <v/>
      </c>
      <c r="I1235">
        <f>IF(Skills!T19&lt;&gt;"",1+(Skills!T19/10)*($Z$3/1000)/100,1)</f>
        <v/>
      </c>
      <c r="J1235" t="inlineStr"/>
      <c r="K1235" t="inlineStr"/>
      <c r="L1235" t="inlineStr"/>
      <c r="M1235" t="inlineStr"/>
      <c r="N1235" t="inlineStr"/>
      <c r="O1235">
        <f>(1-Summary!$B$11)*S1235+Summary!$B$11*U1235</f>
        <v/>
      </c>
      <c r="P1235">
        <f>IF(B1258=0,0,O1235/B1258)</f>
        <v/>
      </c>
      <c r="Q1235">
        <f>IFERROR(1/(IF(Inputs!$B$39="pvp",15,MAX(0.1,Skills!D19-IF(Skills!E19=TRUE,Inputs!$B$33,0)))*(1-IF(AND(ArtifactsInput!$M$27,Inputs!$B$4="Chapter Hunt"),CHOOSE(ArtifactsInput!$N$27+1,20,24,28,32,36,40),0)/100)),0)</f>
        <v/>
      </c>
      <c r="R1235">
        <f>IF(AND(Inputs!$B$39&lt;&gt;"pvp",Inputs!$B$44&gt;0),IF(Inputs!$B$44&lt;=0,0,(INT(Inputs!$B$44/(IF(Inputs!$B$39="pvp",15,MAX(0.1,Skills!D19-IF(Skills!E19=TRUE,Inputs!$B$33,0)))*(1-IF(AND(ArtifactsInput!$M$27,Inputs!$B$4="Chapter Hunt"),CHOOSE(ArtifactsInput!$N$27+1,20,24,28,32,36,40),0)/100)))+1)),0)</f>
        <v/>
      </c>
      <c r="S1235" t="n">
        <v>0</v>
      </c>
      <c r="U1235" t="n">
        <v>0</v>
      </c>
    </row>
    <row r="1236">
      <c r="A1236">
        <f>Skills!A20</f>
        <v/>
      </c>
      <c r="B1236">
        <f>Skills!B20</f>
        <v/>
      </c>
      <c r="C1236">
        <f>Inputs!$B$3&gt;=125</f>
        <v/>
      </c>
      <c r="D1236">
        <f>IF(Skills!C20=1,60+Inputs!$B$26+Inputs!$B$30,IF(Skills!C20=2,90+Inputs!$B$27+Inputs!$B$30,IF(Skills!C20=3,120+Inputs!$B$28+Inputs!$B$30,MAX(0,(Inputs!$B$3-100)*3)+Inputs!$B$29+Inputs!$B$30)))</f>
        <v/>
      </c>
      <c r="E1236">
        <f>INDEX(FactorTable!$B$2:$Y$301, MATCH(ROUND(MIN(300,MAX(1,D1236)),0), FactorTable!$A$2:$A$301,0), Skills!L20+1)</f>
        <v/>
      </c>
      <c r="F1236">
        <f>IF(Skills!M20=TRUE,(Skills!K20/10)*(E1236/1000),Skills!K20/10)+Skills!N20</f>
        <v/>
      </c>
      <c r="G1236">
        <f>Calc!G20</f>
        <v/>
      </c>
      <c r="H1236">
        <f>Calc!H20</f>
        <v/>
      </c>
      <c r="I1236">
        <f>IF(Skills!T20&lt;&gt;"",1+(Skills!T20/10)*($Z$3/1000)/100,1)</f>
        <v/>
      </c>
      <c r="J1236" t="inlineStr"/>
      <c r="K1236" t="inlineStr"/>
      <c r="L1236" t="inlineStr"/>
      <c r="M1236" t="inlineStr"/>
      <c r="N1236" t="inlineStr"/>
      <c r="O1236">
        <f>(1-Summary!$B$11)*S1236+Summary!$B$11*U1236</f>
        <v/>
      </c>
      <c r="P1236">
        <f>IF(B1258=0,0,O1236/B1258)</f>
        <v/>
      </c>
      <c r="Q1236">
        <f>IFERROR(1/(IF(Inputs!$B$39="pvp",15,MAX(0.1,Skills!D20-IF(Skills!E20=TRUE,Inputs!$B$33,0)))*(1-IF(AND(ArtifactsInput!$M$27,Inputs!$B$4="Chapter Hunt"),CHOOSE(ArtifactsInput!$N$27+1,20,24,28,32,36,40),0)/100)),0)</f>
        <v/>
      </c>
      <c r="R1236" t="n">
        <v>0</v>
      </c>
      <c r="S1236" t="n">
        <v>0</v>
      </c>
      <c r="U1236" t="n">
        <v>0</v>
      </c>
    </row>
    <row r="1237">
      <c r="A1237">
        <f>Skills!A21</f>
        <v/>
      </c>
      <c r="B1237">
        <f>Skills!B21</f>
        <v/>
      </c>
      <c r="C1237">
        <f>Inputs!$B$3&gt;=33</f>
        <v/>
      </c>
      <c r="D1237">
        <f>IF(Skills!C21=1,60+Inputs!$B$26+Inputs!$B$30,IF(Skills!C21=2,90+Inputs!$B$27+Inputs!$B$30,IF(Skills!C21=3,120+Inputs!$B$28+Inputs!$B$30,MAX(0,(Inputs!$B$3-100)*3)+Inputs!$B$29+Inputs!$B$30)))</f>
        <v/>
      </c>
      <c r="E1237">
        <f>INDEX(FactorTable!$B$2:$Y$301, MATCH(ROUND(MIN(300,MAX(1,D1237)),0), FactorTable!$A$2:$A$301,0), Skills!L21+1)</f>
        <v/>
      </c>
      <c r="F1237">
        <f>IF(Skills!M21=TRUE,(Skills!K21/10)*(E1237/1000),Skills!K21/10)+Skills!N21</f>
        <v/>
      </c>
      <c r="G1237">
        <f>Calc!G21</f>
        <v/>
      </c>
      <c r="H1237">
        <f>Calc!H21</f>
        <v/>
      </c>
      <c r="I1237">
        <f>IF(Skills!T21&lt;&gt;"",1+(Skills!T21/10)*($Z$3/1000)/100,1)</f>
        <v/>
      </c>
      <c r="J1237" t="inlineStr"/>
      <c r="K1237" t="inlineStr"/>
      <c r="L1237" t="inlineStr"/>
      <c r="M1237" t="inlineStr"/>
      <c r="N1237" t="inlineStr"/>
      <c r="O1237">
        <f>(1-Summary!$B$11)*S1237+Summary!$B$11*U1237</f>
        <v/>
      </c>
      <c r="P1237">
        <f>IF(B1258=0,0,O1237/B1258)</f>
        <v/>
      </c>
      <c r="Q1237">
        <f>IFERROR(1/(IF(Inputs!$B$39="pvp",15,MAX(0.1,Skills!D21-IF(Skills!E21=TRUE,Inputs!$B$33,0)))*(1-IF(AND(ArtifactsInput!$M$27,Inputs!$B$4="Chapter Hunt"),CHOOSE(ArtifactsInput!$N$27+1,20,24,28,32,36,40),0)/100)),0)</f>
        <v/>
      </c>
      <c r="R1237" t="n">
        <v>0</v>
      </c>
      <c r="S1237" t="n">
        <v>0</v>
      </c>
      <c r="U1237" t="n">
        <v>0</v>
      </c>
    </row>
    <row r="1238">
      <c r="A1238">
        <f>Skills!A22</f>
        <v/>
      </c>
      <c r="B1238">
        <f>Skills!B22</f>
        <v/>
      </c>
      <c r="C1238">
        <f>Inputs!$B$3&gt;=43</f>
        <v/>
      </c>
      <c r="D1238">
        <f>IF(Skills!C22=1,60+Inputs!$B$26+Inputs!$B$30,IF(Skills!C22=2,90+Inputs!$B$27+Inputs!$B$30,IF(Skills!C22=3,120+Inputs!$B$28+Inputs!$B$30,MAX(0,(Inputs!$B$3-100)*3)+Inputs!$B$29+Inputs!$B$30)))</f>
        <v/>
      </c>
      <c r="E1238">
        <f>INDEX(FactorTable!$B$2:$Y$301, MATCH(ROUND(MIN(300,MAX(1,D1238)),0), FactorTable!$A$2:$A$301,0), Skills!L22+1)</f>
        <v/>
      </c>
      <c r="F1238">
        <f>IF(Skills!M22=TRUE,(Skills!K22/10)*(E1238/1000),Skills!K22/10)+Skills!N22</f>
        <v/>
      </c>
      <c r="G1238">
        <f>Calc!G22</f>
        <v/>
      </c>
      <c r="H1238">
        <f>Calc!H22</f>
        <v/>
      </c>
      <c r="I1238">
        <f>IF(Skills!T22&lt;&gt;"",1+(Skills!T22/10)*($Z$3/1000)/100,1)</f>
        <v/>
      </c>
      <c r="J1238" t="inlineStr"/>
      <c r="K1238" t="inlineStr"/>
      <c r="L1238" t="inlineStr"/>
      <c r="M1238" t="inlineStr"/>
      <c r="N1238" t="inlineStr"/>
      <c r="O1238">
        <f>(1-Summary!$B$11)*S1238+Summary!$B$11*U1238</f>
        <v/>
      </c>
      <c r="P1238">
        <f>IF(B1258=0,0,O1238/B1258)</f>
        <v/>
      </c>
      <c r="Q1238">
        <f>IFERROR(1/(IF(Inputs!$B$39="pvp",15,MAX(0.1,Skills!D22-IF(Skills!E22=TRUE,Inputs!$B$33,0)))*(1-IF(AND(ArtifactsInput!$M$27,Inputs!$B$4="Chapter Hunt"),CHOOSE(ArtifactsInput!$N$27+1,20,24,28,32,36,40),0)/100)),0)</f>
        <v/>
      </c>
      <c r="R1238" t="n">
        <v>0</v>
      </c>
      <c r="S1238" t="n">
        <v>0</v>
      </c>
      <c r="U1238" t="n">
        <v>0</v>
      </c>
    </row>
    <row r="1239">
      <c r="A1239">
        <f>Skills!A23</f>
        <v/>
      </c>
      <c r="B1239">
        <f>Skills!B23</f>
        <v/>
      </c>
      <c r="C1239">
        <f>Inputs!$B$3&gt;=50</f>
        <v/>
      </c>
      <c r="D1239">
        <f>IF(Skills!C23=1,60+Inputs!$B$26+Inputs!$B$30,IF(Skills!C23=2,90+Inputs!$B$27+Inputs!$B$30,IF(Skills!C23=3,120+Inputs!$B$28+Inputs!$B$30,MAX(0,(Inputs!$B$3-100)*3)+Inputs!$B$29+Inputs!$B$30)))</f>
        <v/>
      </c>
      <c r="E1239">
        <f>INDEX(FactorTable!$B$2:$Y$301, MATCH(ROUND(MIN(300,MAX(1,D1239)),0), FactorTable!$A$2:$A$301,0), Skills!L23+1)</f>
        <v/>
      </c>
      <c r="F1239">
        <f>IF(Skills!M23=TRUE,(Skills!K23/10)*(E1239/1000),Skills!K23/10)+Skills!N23</f>
        <v/>
      </c>
      <c r="G1239">
        <f>Calc!G23</f>
        <v/>
      </c>
      <c r="H1239">
        <f>Calc!H23</f>
        <v/>
      </c>
      <c r="I1239">
        <f>IF(Skills!T23&lt;&gt;"",1+(Skills!T23/10)*($Z$3/1000)/100,1)</f>
        <v/>
      </c>
      <c r="J1239" t="inlineStr"/>
      <c r="K1239" t="inlineStr"/>
      <c r="L1239" t="inlineStr"/>
      <c r="M1239" t="inlineStr"/>
      <c r="N1239" t="inlineStr"/>
      <c r="O1239">
        <f>(1-Summary!$B$11)*S1239+Summary!$B$11*U1239</f>
        <v/>
      </c>
      <c r="P1239">
        <f>IF(B1258=0,0,O1239/B1258)</f>
        <v/>
      </c>
      <c r="Q1239">
        <f>IFERROR(1/(IF(Inputs!$B$39="pvp",15,MAX(0.1,Skills!D23-IF(Skills!E23=TRUE,Inputs!$B$33,0)))*(1-IF(AND(ArtifactsInput!$M$27,Inputs!$B$4="Chapter Hunt"),CHOOSE(ArtifactsInput!$N$27+1,20,24,28,32,36,40),0)/100)),0)</f>
        <v/>
      </c>
      <c r="R1239" t="n">
        <v>0</v>
      </c>
      <c r="S1239" t="n">
        <v>0</v>
      </c>
      <c r="U1239" t="n">
        <v>0</v>
      </c>
    </row>
    <row r="1240">
      <c r="A1240">
        <f>Skills!A24</f>
        <v/>
      </c>
      <c r="B1240">
        <f>Skills!B24</f>
        <v/>
      </c>
      <c r="C1240">
        <f>Inputs!$B$3&gt;=74</f>
        <v/>
      </c>
      <c r="D1240">
        <f>IF(Skills!C24=1,60+Inputs!$B$26+Inputs!$B$30,IF(Skills!C24=2,90+Inputs!$B$27+Inputs!$B$30,IF(Skills!C24=3,120+Inputs!$B$28+Inputs!$B$30,MAX(0,(Inputs!$B$3-100)*3)+Inputs!$B$29+Inputs!$B$30)))</f>
        <v/>
      </c>
      <c r="E1240">
        <f>INDEX(FactorTable!$B$2:$Y$301, MATCH(ROUND(MIN(300,MAX(1,D1240)),0), FactorTable!$A$2:$A$301,0), Skills!L24+1)</f>
        <v/>
      </c>
      <c r="F1240">
        <f>IF(Skills!M24=TRUE,(Skills!K24/10)*(E1240/1000),Skills!K24/10)+Skills!N24</f>
        <v/>
      </c>
      <c r="G1240">
        <f>Calc!G24</f>
        <v/>
      </c>
      <c r="H1240">
        <f>Calc!H24</f>
        <v/>
      </c>
      <c r="I1240">
        <f>IF(Skills!T24&lt;&gt;"",1+(Skills!T24/10)*($Z$3/1000)/100,1)</f>
        <v/>
      </c>
      <c r="J1240" t="inlineStr"/>
      <c r="K1240" t="inlineStr"/>
      <c r="L1240" t="inlineStr"/>
      <c r="M1240" t="inlineStr"/>
      <c r="N1240" t="inlineStr"/>
      <c r="O1240">
        <f>(1-Summary!$B$11)*S1240+Summary!$B$11*U1240</f>
        <v/>
      </c>
      <c r="P1240">
        <f>IF(B1258=0,0,O1240/B1258)</f>
        <v/>
      </c>
      <c r="Q1240">
        <f>IFERROR(1/(IF(Inputs!$B$39="pvp",15,MAX(0.1,Skills!D24-IF(Skills!E24=TRUE,Inputs!$B$33,0)))*(1-IF(AND(ArtifactsInput!$M$27,Inputs!$B$4="Chapter Hunt"),CHOOSE(ArtifactsInput!$N$27+1,20,24,28,32,36,40),0)/100)),0)</f>
        <v/>
      </c>
      <c r="R1240" t="n">
        <v>0</v>
      </c>
      <c r="S1240" t="n">
        <v>0</v>
      </c>
      <c r="U1240" t="n">
        <v>0</v>
      </c>
    </row>
    <row r="1241">
      <c r="A1241">
        <f>Skills!A25</f>
        <v/>
      </c>
      <c r="B1241">
        <f>Skills!B25</f>
        <v/>
      </c>
      <c r="C1241">
        <f>Inputs!$B$3&gt;=74</f>
        <v/>
      </c>
      <c r="D1241">
        <f>IF(Skills!C25=1,60+Inputs!$B$26+Inputs!$B$30,IF(Skills!C25=2,90+Inputs!$B$27+Inputs!$B$30,IF(Skills!C25=3,120+Inputs!$B$28+Inputs!$B$30,MAX(0,(Inputs!$B$3-100)*3)+Inputs!$B$29+Inputs!$B$30)))</f>
        <v/>
      </c>
      <c r="E1241">
        <f>INDEX(FactorTable!$B$2:$Y$301, MATCH(ROUND(MIN(300,MAX(1,D1241)),0), FactorTable!$A$2:$A$301,0), Skills!L25+1)</f>
        <v/>
      </c>
      <c r="F1241">
        <f>IF(Skills!M25=TRUE,(Skills!K25/10)*(E1241/1000),Skills!K25/10)+Skills!N25</f>
        <v/>
      </c>
      <c r="G1241">
        <f>Calc!G25</f>
        <v/>
      </c>
      <c r="H1241">
        <f>Calc!H25</f>
        <v/>
      </c>
      <c r="I1241">
        <f>IF(Skills!T25&lt;&gt;"",1+(Skills!T25/10)*($Z$3/1000)/100,1)</f>
        <v/>
      </c>
      <c r="J1241" t="inlineStr"/>
      <c r="K1241" t="inlineStr"/>
      <c r="L1241" t="inlineStr"/>
      <c r="M1241" t="inlineStr"/>
      <c r="N1241" t="inlineStr"/>
      <c r="O1241">
        <f>(1-Summary!$B$11)*S1241+Summary!$B$11*U1241</f>
        <v/>
      </c>
      <c r="P1241">
        <f>IF(B1258=0,0,O1241/B1258)</f>
        <v/>
      </c>
      <c r="Q1241">
        <f>IFERROR(1/(IF(Inputs!$B$39="pvp",15,MAX(0.1,Skills!D25-IF(Skills!E25=TRUE,Inputs!$B$33,0)))*(1-IF(AND(ArtifactsInput!$M$27,Inputs!$B$4="Chapter Hunt"),CHOOSE(ArtifactsInput!$N$27+1,20,24,28,32,36,40),0)/100)),0)</f>
        <v/>
      </c>
      <c r="R1241" t="n">
        <v>0</v>
      </c>
      <c r="S1241" t="n">
        <v>0</v>
      </c>
      <c r="U1241" t="n">
        <v>0</v>
      </c>
    </row>
    <row r="1242">
      <c r="A1242">
        <f>Skills!A26</f>
        <v/>
      </c>
      <c r="B1242">
        <f>Skills!B26</f>
        <v/>
      </c>
      <c r="C1242">
        <f>Inputs!$B$3&gt;=117</f>
        <v/>
      </c>
      <c r="D1242">
        <f>IF(Skills!C26=1,60+Inputs!$B$26+Inputs!$B$30,IF(Skills!C26=2,90+Inputs!$B$27+Inputs!$B$30,IF(Skills!C26=3,120+Inputs!$B$28+Inputs!$B$30,MAX(0,(Inputs!$B$3-100)*3)+Inputs!$B$29+Inputs!$B$30)))</f>
        <v/>
      </c>
      <c r="E1242">
        <f>INDEX(FactorTable!$B$2:$Y$301, MATCH(ROUND(MIN(300,MAX(1,D1242)),0), FactorTable!$A$2:$A$301,0), Skills!L26+1)</f>
        <v/>
      </c>
      <c r="F1242">
        <f>IF(Skills!M26=TRUE,(Skills!K26/10)*(E1242/1000),Skills!K26/10)+Skills!N26</f>
        <v/>
      </c>
      <c r="G1242">
        <f>Calc!G26</f>
        <v/>
      </c>
      <c r="H1242">
        <f>Calc!H26</f>
        <v/>
      </c>
      <c r="I1242">
        <f>IF(Skills!T26&lt;&gt;"",1+(Skills!T26/10)*($Z$3/1000)/100,1)</f>
        <v/>
      </c>
      <c r="J1242" t="inlineStr"/>
      <c r="K1242" t="inlineStr"/>
      <c r="L1242" t="inlineStr"/>
      <c r="M1242" t="inlineStr"/>
      <c r="N1242" t="inlineStr"/>
      <c r="O1242">
        <f>(1-Summary!$B$11)*S1242+Summary!$B$11*U1242</f>
        <v/>
      </c>
      <c r="P1242">
        <f>IF(B1258=0,0,O1242/B1258)</f>
        <v/>
      </c>
      <c r="Q1242">
        <f>IFERROR(1/(IF(Inputs!$B$39="pvp",15,MAX(0.1,Skills!D26-IF(Skills!E26=TRUE,Inputs!$B$33,0)))*(1-IF(AND(ArtifactsInput!$M$27,Inputs!$B$4="Chapter Hunt"),CHOOSE(ArtifactsInput!$N$27+1,20,24,28,32,36,40),0)/100)),0)</f>
        <v/>
      </c>
      <c r="R1242" t="n">
        <v>0</v>
      </c>
      <c r="S1242" t="n">
        <v>0</v>
      </c>
      <c r="U1242" t="n">
        <v>0</v>
      </c>
    </row>
    <row r="1243">
      <c r="A1243">
        <f>Skills!A27</f>
        <v/>
      </c>
      <c r="B1243">
        <f>Skills!B27</f>
        <v/>
      </c>
      <c r="C1243">
        <f>Inputs!$B$3&gt;=120</f>
        <v/>
      </c>
      <c r="D1243">
        <f>IF(Skills!C27=1,60+Inputs!$B$26+Inputs!$B$30,IF(Skills!C27=2,90+Inputs!$B$27+Inputs!$B$30,IF(Skills!C27=3,120+Inputs!$B$28+Inputs!$B$30,MAX(0,(Inputs!$B$3-100)*3)+Inputs!$B$29+Inputs!$B$30)))</f>
        <v/>
      </c>
      <c r="E1243">
        <f>INDEX(FactorTable!$B$2:$Y$301, MATCH(ROUND(MIN(300,MAX(1,D1243)),0), FactorTable!$A$2:$A$301,0), Skills!L27+1)</f>
        <v/>
      </c>
      <c r="F1243">
        <f>IF(Skills!M27=TRUE,(Skills!K27/10)*(E1243/1000),Skills!K27/10)+Skills!N27</f>
        <v/>
      </c>
      <c r="G1243">
        <f>Calc!G27</f>
        <v/>
      </c>
      <c r="H1243">
        <f>Calc!H27</f>
        <v/>
      </c>
      <c r="I1243">
        <f>IF(Skills!T27&lt;&gt;"",1+(Skills!T27/10)*($Z$3/1000)/100,1)</f>
        <v/>
      </c>
      <c r="J1243" t="inlineStr"/>
      <c r="K1243" t="inlineStr"/>
      <c r="L1243" t="inlineStr"/>
      <c r="M1243" t="inlineStr"/>
      <c r="N1243" t="inlineStr"/>
      <c r="O1243">
        <f>(1-Summary!$B$11)*S1243+Summary!$B$11*U1243</f>
        <v/>
      </c>
      <c r="P1243">
        <f>IF(B1258=0,0,O1243/B1258)</f>
        <v/>
      </c>
      <c r="Q1243">
        <f>IFERROR(1/(IF(Inputs!$B$39="pvp",15,MAX(0.1,Skills!D27-IF(Skills!E27=TRUE,Inputs!$B$33,0)))*(1-IF(AND(ArtifactsInput!$M$27,Inputs!$B$4="Chapter Hunt"),CHOOSE(ArtifactsInput!$N$27+1,20,24,28,32,36,40),0)/100)),0)</f>
        <v/>
      </c>
      <c r="R1243" t="n">
        <v>0</v>
      </c>
      <c r="S1243" t="n">
        <v>0</v>
      </c>
      <c r="U1243" t="n">
        <v>0</v>
      </c>
    </row>
    <row r="1245">
      <c r="A1245" t="inlineStr">
        <is>
          <t>Average Buff Multiplier</t>
        </is>
      </c>
      <c r="B1245">
        <f>(1+(IF(C1219=TRUE,F1219*IF(AND(Inputs!$B$39&lt;&gt;"pvp",Inputs!$B$44&gt;0),(((R1219-1)*(Skills!S3*(1+(((Inputs!$B$35+1)+(ArtifactsInput!$M$7-ArtifactsInput!$M$7)*CHOOSE(ArtifactsInput!$N$7+1,6,7.2,8.4,9.6,10.8,12))+IF(Inputs!$B$3&gt;=117,F1242,0))/100))+MIN((Skills!S3*(1+(((Inputs!$B$35+1)+(ArtifactsInput!$M$7-ArtifactsInput!$M$7)*CHOOSE(ArtifactsInput!$N$7+1,6,7.2,8.4,9.6,10.8,12))+IF(Inputs!$B$3&gt;=117,F1242,0))/100)),MAX(0,Inputs!$B$44-((R1219-1)*Skills!D3))))/Inputs!$B$44),IF(Inputs!$B$39="pvp",MIN((Skills!S3*(1+(((Inputs!$B$35+1)+(ArtifactsInput!$M$7-ArtifactsInput!$M$7)*CHOOSE(ArtifactsInput!$N$7+1,6,7.2,8.4,9.6,10.8,12))+IF(Inputs!$B$3&gt;=117,F1242,0))/100)),15)/15,(Skills!S3*(1+(((Inputs!$B$35+1)+(ArtifactsInput!$M$7-ArtifactsInput!$M$7)*CHOOSE(ArtifactsInput!$N$7+1,6,7.2,8.4,9.6,10.8,12))+IF(Inputs!$B$3&gt;=117,F1242,0))/100))/Skills!D3)),0)+IF(C1220=TRUE,F1220*IF(AND(Inputs!$B$39&lt;&gt;"pvp",Inputs!$B$44&gt;0),(((R1220-1)*(Skills!S4*(1+(((Inputs!$B$35+1)+(ArtifactsInput!$M$7-ArtifactsInput!$M$7)*CHOOSE(ArtifactsInput!$N$7+1,6,7.2,8.4,9.6,10.8,12))+IF(Inputs!$B$3&gt;=117,F1242,0))/100))+MIN((Skills!S4*(1+(((Inputs!$B$35+1)+(ArtifactsInput!$M$7-ArtifactsInput!$M$7)*CHOOSE(ArtifactsInput!$N$7+1,6,7.2,8.4,9.6,10.8,12))+IF(Inputs!$B$3&gt;=117,F1242,0))/100)),MAX(0,Inputs!$B$44-((R1220-1)*Skills!D4))))/Inputs!$B$44),IF(Inputs!$B$39="pvp",MIN((Skills!S4*(1+(((Inputs!$B$35+1)+(ArtifactsInput!$M$7-ArtifactsInput!$M$7)*CHOOSE(ArtifactsInput!$N$7+1,6,7.2,8.4,9.6,10.8,12))+IF(Inputs!$B$3&gt;=117,F1242,0))/100)),15)/15,(Skills!S4*(1+(((Inputs!$B$35+1)+(ArtifactsInput!$M$7-ArtifactsInput!$M$7)*CHOOSE(ArtifactsInput!$N$7+1,6,7.2,8.4,9.6,10.8,12))+IF(Inputs!$B$3&gt;=117,F1242,0))/100))/Skills!D4)),0)+IF(C1221=TRUE,F1221*IF(AND(Inputs!$B$39&lt;&gt;"pvp",Inputs!$B$44&gt;0),(((R1221-1)*(Skills!S5*(1+(((Inputs!$B$35+1)+(ArtifactsInput!$M$7-ArtifactsInput!$M$7)*CHOOSE(ArtifactsInput!$N$7+1,6,7.2,8.4,9.6,10.8,12))+IF(Inputs!$B$3&gt;=117,F1242,0))/100))+MIN((Skills!S5*(1+(((Inputs!$B$35+1)+(ArtifactsInput!$M$7-ArtifactsInput!$M$7)*CHOOSE(ArtifactsInput!$N$7+1,6,7.2,8.4,9.6,10.8,12))+IF(Inputs!$B$3&gt;=117,F1242,0))/100)),MAX(0,Inputs!$B$44-((R1221-1)*Skills!D5))))/Inputs!$B$44),IF(Inputs!$B$39="pvp",MIN((Skills!S5*(1+(((Inputs!$B$35+1)+(ArtifactsInput!$M$7-ArtifactsInput!$M$7)*CHOOSE(ArtifactsInput!$N$7+1,6,7.2,8.4,9.6,10.8,12))+IF(Inputs!$B$3&gt;=117,F1242,0))/100)),15)/15,(Skills!S5*(1+(((Inputs!$B$35+1)+(ArtifactsInput!$M$7-ArtifactsInput!$M$7)*CHOOSE(ArtifactsInput!$N$7+1,6,7.2,8.4,9.6,10.8,12))+IF(Inputs!$B$3&gt;=117,F1242,0))/100))/Skills!D5)),0)+IF(C1227=TRUE,F1227*IF(AND(Inputs!$B$39&lt;&gt;"pvp",Inputs!$B$44&gt;0),(((R1227-1)*(Skills!S11*(1+(((Inputs!$B$35+1)+(ArtifactsInput!$M$7-ArtifactsInput!$M$7)*CHOOSE(ArtifactsInput!$N$7+1,6,7.2,8.4,9.6,10.8,12))+IF(Inputs!$B$3&gt;=117,F1242,0))/100))+MIN((Skills!S11*(1+(((Inputs!$B$35+1)+(ArtifactsInput!$M$7-ArtifactsInput!$M$7)*CHOOSE(ArtifactsInput!$N$7+1,6,7.2,8.4,9.6,10.8,12))+IF(Inputs!$B$3&gt;=117,F1242,0))/100)),MAX(0,Inputs!$B$44-((R1227-1)*Skills!D11))))/Inputs!$B$44),IF(Inputs!$B$39="pvp",MIN((Skills!S11*(1+(((Inputs!$B$35+1)+(ArtifactsInput!$M$7-ArtifactsInput!$M$7)*CHOOSE(ArtifactsInput!$N$7+1,6,7.2,8.4,9.6,10.8,12))+IF(Inputs!$B$3&gt;=117,F1242,0))/100)),15)/15,(Skills!S11*(1+(((Inputs!$B$35+1)+(ArtifactsInput!$M$7-ArtifactsInput!$M$7)*CHOOSE(ArtifactsInput!$N$7+1,6,7.2,8.4,9.6,10.8,12))+IF(Inputs!$B$3&gt;=117,F1242,0)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1230=TRUE,(1+F1230*IF(AND(Inputs!$B$39&lt;&gt;"pvp",Inputs!$B$44&gt;0),(((R1230-1)*(Skills!S14*(1+(((Inputs!$B$35+1)+(ArtifactsInput!$M$7-ArtifactsInput!$M$7)*CHOOSE(ArtifactsInput!$N$7+1,6,7.2,8.4,9.6,10.8,12))+IF(Inputs!$B$3&gt;=117,F1242,0))/100))+MIN((Skills!S14*(1+(((Inputs!$B$35+1)+(ArtifactsInput!$M$7-ArtifactsInput!$M$7)*CHOOSE(ArtifactsInput!$N$7+1,6,7.2,8.4,9.6,10.8,12))+IF(Inputs!$B$3&gt;=117,F1242,0))/100)),MAX(0,Inputs!$B$44-((R1230-1)*Skills!D14))))/Inputs!$B$44),IF(Inputs!$B$39="pvp",MIN((Skills!S14*(1+(((Inputs!$B$35+1)+(ArtifactsInput!$M$7-ArtifactsInput!$M$7)*CHOOSE(ArtifactsInput!$N$7+1,6,7.2,8.4,9.6,10.8,12))+IF(Inputs!$B$3&gt;=117,F1242,0))/100)),15)/15,(Skills!S14*(1+(((Inputs!$B$35+1)+(ArtifactsInput!$M$7-ArtifactsInput!$M$7)*CHOOSE(ArtifactsInput!$N$7+1,6,7.2,8.4,9.6,10.8,12))+IF(Inputs!$B$3&gt;=117,F1242,0))/100))/Skills!D14))/100),1)*IF(C1235=TRUE,(1+F1235*IF(AND(Inputs!$B$39&lt;&gt;"pvp",Inputs!$B$44&gt;0),(((R1235-1)*(Skills!S19*(1+(((Inputs!$B$35+1)+(ArtifactsInput!$M$7-ArtifactsInput!$M$7)*CHOOSE(ArtifactsInput!$N$7+1,6,7.2,8.4,9.6,10.8,12))+IF(Inputs!$B$3&gt;=117,F1242,0))/100))+MIN((Skills!S19*(1+(((Inputs!$B$35+1)+(ArtifactsInput!$M$7-ArtifactsInput!$M$7)*CHOOSE(ArtifactsInput!$N$7+1,6,7.2,8.4,9.6,10.8,12))+IF(Inputs!$B$3&gt;=117,F1242,0))/100)),MAX(0,Inputs!$B$44-((R1235-1)*Skills!D19))))/Inputs!$B$44),IF(Inputs!$B$39="pvp",MIN((Skills!S19*(1+(((Inputs!$B$35+1)+(ArtifactsInput!$M$7-ArtifactsInput!$M$7)*CHOOSE(ArtifactsInput!$N$7+1,6,7.2,8.4,9.6,10.8,12))+IF(Inputs!$B$3&gt;=117,F1242,0))/100)),15)/15,(Skills!S19*(1+(((Inputs!$B$35+1)+(ArtifactsInput!$M$7-ArtifactsInput!$M$7)*CHOOSE(ArtifactsInput!$N$7+1,6,7.2,8.4,9.6,10.8,12))+IF(Inputs!$B$3&gt;=117,F1242,0))/100))/Skills!D19))/100),1)</f>
        <v/>
      </c>
    </row>
    <row r="1246">
      <c r="A1246" t="inlineStr">
        <is>
          <t>Monster Damage Taken Bonus % (Holy Fountain)</t>
        </is>
      </c>
      <c r="B1246">
        <f>IF(Inputs!$B$3&gt;=68,20*IF(Inputs!$B$39="pvp",MIN((15*(1+(((Inputs!$B$35+1)+(ArtifactsInput!$M$7-ArtifactsInput!$M$7)*CHOOSE(ArtifactsInput!$N$7+1,6,7.2,8.4,9.6,10.8,12))+IF(Inputs!$B$3&gt;=117,F1242,0))/100)),15)/15,(15*(1+(((Inputs!$B$35+1)+(ArtifactsInput!$M$7-ArtifactsInput!$M$7)*CHOOSE(ArtifactsInput!$N$7+1,6,7.2,8.4,9.6,10.8,12))+IF(Inputs!$B$3&gt;=117,F1242,0))/100))/Skills!D10),0)</f>
        <v/>
      </c>
    </row>
    <row r="1247">
      <c r="A1247" t="inlineStr">
        <is>
          <t>Normal Monster Damage Bonus % (Holy Symbol)</t>
        </is>
      </c>
      <c r="B1247">
        <f>IF(C1228=TRUE,F1228*IF(AND(Inputs!$B$39&lt;&gt;"pvp",Inputs!$B$44&gt;0),(((R1228-1)*(Skills!S12*(1+(((Inputs!$B$35+1)+(ArtifactsInput!$M$7-ArtifactsInput!$M$7)*CHOOSE(ArtifactsInput!$N$7+1,6,7.2,8.4,9.6,10.8,12))+IF(Inputs!$B$3&gt;=117,F1242,0))/100))+MIN((Skills!S12*(1+(((Inputs!$B$35+1)+(ArtifactsInput!$M$7-ArtifactsInput!$M$7)*CHOOSE(ArtifactsInput!$N$7+1,6,7.2,8.4,9.6,10.8,12))+IF(Inputs!$B$3&gt;=117,F1242,0))/100)),MAX(0,Inputs!$B$44-((R1228-1)*Skills!D12))))/Inputs!$B$44),IF(Inputs!$B$39="pvp",MIN((Skills!S12*(1+(((Inputs!$B$35+1)+(ArtifactsInput!$M$7-ArtifactsInput!$M$7)*CHOOSE(ArtifactsInput!$N$7+1,6,7.2,8.4,9.6,10.8,12))+IF(Inputs!$B$3&gt;=117,F1242,0))/100)),15)/15,(Skills!S12*(1+(((Inputs!$B$35+1)+(ArtifactsInput!$M$7-ArtifactsInput!$M$7)*CHOOSE(ArtifactsInput!$N$7+1,6,7.2,8.4,9.6,10.8,12))+IF(Inputs!$B$3&gt;=117,F1242,0))/100))/Skills!D12)),0)</f>
        <v/>
      </c>
    </row>
    <row r="1248">
      <c r="A1248" t="inlineStr">
        <is>
          <t>Damage % Bonus (Holy Symbol - Damage Boost)</t>
        </is>
      </c>
      <c r="B1248">
        <f>Skills!O12</f>
        <v/>
      </c>
    </row>
    <row r="1249">
      <c r="A1249" t="inlineStr">
        <is>
          <t>Crit Damage % Bonus (Blood of the Divine)</t>
        </is>
      </c>
      <c r="B1249">
        <f>4*IF(C1236=TRUE,F1236,0)</f>
        <v/>
      </c>
    </row>
    <row r="1250">
      <c r="A1250" t="inlineStr">
        <is>
          <t>Attack Speed Bonus %</t>
        </is>
      </c>
      <c r="B1250">
        <f>IF(C1233=TRUE,F1233+(F1237-Calc!F21),0)+IF(Inputs!$B$3&gt;=134,15,0)</f>
        <v/>
      </c>
    </row>
    <row r="1251">
      <c r="A1251" t="inlineStr">
        <is>
          <t>Actions Per Second</t>
        </is>
      </c>
      <c r="B1251">
        <f>1+MIN(150,150*(1-(1-Inputs!$B$12/150)*(1-B1250/150)))/100</f>
        <v/>
      </c>
    </row>
    <row r="1252">
      <c r="A1252" t="inlineStr">
        <is>
          <t>Skill + Buff Cast Rate</t>
        </is>
      </c>
      <c r="B1252">
        <f>IF(AND(Inputs!$B$39&lt;&gt;"pvp",Inputs!$B$44&gt;0),SUMPRODUCT((Skills!E2:E27=TRUE)*(C1218:C1243=TRUE)*R1218:R1243)/Inputs!$B$44,SUMPRODUCT((Skills!E2:E27=TRUE)*(C1218:C1243=TRUE)*Q1218:Q1243))</f>
        <v/>
      </c>
    </row>
    <row r="1253">
      <c r="A1253" t="inlineStr">
        <is>
          <t>Big Bang Casts Per Second</t>
        </is>
      </c>
      <c r="B1253">
        <f>MAX(0,B1251-B1252)</f>
        <v/>
      </c>
    </row>
    <row r="1254">
      <c r="A1254" t="inlineStr">
        <is>
          <t>Defense % Bonus (Divine Protection)</t>
        </is>
      </c>
      <c r="B1254">
        <f>IF(C1229=TRUE,F1229*IF(AND(Inputs!$B$39&lt;&gt;"pvp",Inputs!$B$44&gt;0),(((R1229-1)*(Skills!S13*(1+(((Inputs!$B$35+1)+(ArtifactsInput!$M$7-ArtifactsInput!$M$7)*CHOOSE(ArtifactsInput!$N$7+1,6,7.2,8.4,9.6,10.8,12))+IF(Inputs!$B$3&gt;=117,F1242,0))/100))+MIN((Skills!S13*(1+(((Inputs!$B$35+1)+(ArtifactsInput!$M$7-ArtifactsInput!$M$7)*CHOOSE(ArtifactsInput!$N$7+1,6,7.2,8.4,9.6,10.8,12))+IF(Inputs!$B$3&gt;=117,F1242,0))/100)),MAX(0,Inputs!$B$44-((R1229-1)*Skills!D13))))/Inputs!$B$44),IF(Inputs!$B$39="pvp",MIN((Skills!S13*(1+(((Inputs!$B$35+1)+(ArtifactsInput!$M$7-ArtifactsInput!$M$7)*CHOOSE(ArtifactsInput!$N$7+1,6,7.2,8.4,9.6,10.8,12))+IF(Inputs!$B$3&gt;=117,F1242,0))/100)),15)/15,(Skills!S13*(1+(((Inputs!$B$35+1)+(ArtifactsInput!$M$7-ArtifactsInput!$M$7)*CHOOSE(ArtifactsInput!$N$7+1,6,7.2,8.4,9.6,10.8,12))+IF(Inputs!$B$3&gt;=117,F1242,0))/100))/Skills!D13)),0)</f>
        <v/>
      </c>
    </row>
    <row r="1255">
      <c r="A1255" t="inlineStr">
        <is>
          <t>Buff-Casting Startup Delay (s, fixed-duration only)</t>
        </is>
      </c>
      <c r="B1255">
        <f>IF(AND(Inputs!$B$39&lt;&gt;"pvp",Inputs!$B$44&gt;0),SUMPRODUCT((Skills!S2:S27&gt;0)*(Skills!E2:E27=TRUE)*(C1218:C1243=TRUE))/B1251,0)</f>
        <v/>
      </c>
    </row>
    <row r="1256">
      <c r="A1256" t="inlineStr">
        <is>
          <t>Boss-Only Total DPS (this block's swept value)</t>
        </is>
      </c>
      <c r="B1256">
        <f>SUM(S1218:S1243)</f>
        <v/>
      </c>
    </row>
    <row r="1257">
      <c r="A1257" t="inlineStr">
        <is>
          <t>Normal-Only Total DPS (this block's swept value)</t>
        </is>
      </c>
      <c r="B1257">
        <f>SUM(U1218:U1243)</f>
        <v/>
      </c>
    </row>
    <row r="1258">
      <c r="A1258" s="6" t="inlineStr">
        <is>
          <t>TOTAL DPS</t>
        </is>
      </c>
      <c r="B1258" s="6">
        <f>SUM(O1218:O1243)</f>
        <v/>
      </c>
    </row>
    <row r="1260">
      <c r="A1260" s="6" t="inlineStr">
        <is>
          <t>Stat: Charm of the Undead (Equip)</t>
        </is>
      </c>
    </row>
    <row r="1261">
      <c r="A1261" s="5" t="inlineStr">
        <is>
          <t>Key</t>
        </is>
      </c>
      <c r="B1261" s="5" t="inlineStr">
        <is>
          <t>Name</t>
        </is>
      </c>
      <c r="C1261" s="5" t="inlineStr">
        <is>
          <t>Unlocked</t>
        </is>
      </c>
      <c r="D1261" s="5" t="inlineStr">
        <is>
          <t>InputLevel</t>
        </is>
      </c>
      <c r="E1261" s="5" t="inlineStr">
        <is>
          <t>Factor</t>
        </is>
      </c>
      <c r="F1261" s="5" t="inlineStr">
        <is>
          <t>CoefficientPercent</t>
        </is>
      </c>
      <c r="G1261" s="5" t="inlineStr">
        <is>
          <t>EffectiveHits</t>
        </is>
      </c>
      <c r="H1261" s="5" t="inlineStr">
        <is>
          <t>ProcProbability</t>
        </is>
      </c>
      <c r="I1261" s="5" t="inlineStr">
        <is>
          <t>MapleHeroMultiplier</t>
        </is>
      </c>
      <c r="J1261" s="5" t="inlineStr">
        <is>
          <t>BaseDamage</t>
        </is>
      </c>
      <c r="K1261" s="5" t="inlineStr">
        <is>
          <t>BaseHitDamage</t>
        </is>
      </c>
      <c r="L1261" s="5" t="inlineStr">
        <is>
          <t>NonCritAvg</t>
        </is>
      </c>
      <c r="M1261" s="5" t="inlineStr">
        <is>
          <t>CritAvg</t>
        </is>
      </c>
      <c r="N1261" s="5" t="inlineStr">
        <is>
          <t>ExpectedDamage(perHit)</t>
        </is>
      </c>
      <c r="O1261" s="5" t="inlineStr">
        <is>
          <t>DPS</t>
        </is>
      </c>
      <c r="P1261" s="5" t="inlineStr">
        <is>
          <t>% of Total</t>
        </is>
      </c>
      <c r="R1261" t="inlineStr">
        <is>
          <t>helpers</t>
        </is>
      </c>
    </row>
    <row r="1262">
      <c r="A1262">
        <f>Skills!A2</f>
        <v/>
      </c>
      <c r="B1262">
        <f>Skills!B2</f>
        <v/>
      </c>
      <c r="C1262">
        <f>Inputs!$B$3&gt;=100</f>
        <v/>
      </c>
      <c r="D1262" t="inlineStr"/>
      <c r="E1262" t="inlineStr"/>
      <c r="F1262">
        <f>T1264+Skills!N2</f>
        <v/>
      </c>
      <c r="G1262">
        <f>Calc!G2</f>
        <v/>
      </c>
      <c r="H1262">
        <f>Calc!H2</f>
        <v/>
      </c>
      <c r="I1262">
        <f>IF(Skills!T2&lt;&gt;"",1+(Skills!T2/10)*($Z$3/1000)/100,1)</f>
        <v/>
      </c>
      <c r="J1262">
        <f>((Inputs!$B$6*(1+Inputs!$B$7/100))+(((Inputs!$B$13*(1+Inputs!$B$14/100))-(Inputs!$B$13*(1+Inputs!$B$14/100)))+0.25*(Inputs!$B$15-Inputs!$B$15))*(1+Inputs!$B$7/100))*(F1262/100)</f>
        <v/>
      </c>
      <c r="K1262">
        <f>J1262*(1+(((Inputs!$B$13+IF(Inputs!$B$3&gt;=35,(10*INDEX(FactorTable!$B$2:$Y$301,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2="TRIUMPH_FEATHER",IF(C1276=TRUE,F1276,0),0)/100)*(1+IF(C1287=TRUE,F1287,0)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1262)</f>
        <v/>
      </c>
      <c r="L1262">
        <f>K1262*(MIN(Inputs!$B$23+(F1282-Calc!F22),(Inputs!$B$24+IF(ArtifactsInput!$M$15,CHOOSE(ArtifactsInput!$N$15+1,25,30,35,40,45,50)/100*(Inputs!$B$12-Inputs!$B$12),0)))/100+(Inputs!$B$24+IF(ArtifactsInput!$M$15,CHOOSE(ArtifactsInput!$N$15+1,25,30,35,40,45,50)/100*(Inputs!$B$12-Inputs!$B$12),0))/100)/2</f>
        <v/>
      </c>
      <c r="M1262">
        <f>L1262*(1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2">
        <f>L1262*(1-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(1-Summary!$B$11)*S1262+Summary!$B$11*U1262</f>
        <v/>
      </c>
      <c r="P1262">
        <f>IF(B1302=0,0,O1262/B1302)</f>
        <v/>
      </c>
      <c r="Q1262">
        <f>IFERROR(1/(IF(Inputs!$B$39="pvp",15,MAX(0.1,Skills!D2-IF(Skills!E2=TRUE,Inputs!$B$33,0)))*(1-IF(AND(ArtifactsInput!$M$27,Inputs!$B$4="Chapter Hunt"),CHOOSE(ArtifactsInput!$N$27+1,20,24,28,32,36,40),0)/100)),0)</f>
        <v/>
      </c>
      <c r="R1262" t="n">
        <v>0</v>
      </c>
      <c r="S1262">
        <f>IF(C1262,(Skills!F2*N1262*B1297)*IF(Inputs!$B$39="pvp",1,1+(Inputs!$B$21+Skills!O2+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1262*(1-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62">
        <f>MAX(0,(Inputs!$B$3-100)*3)+Inputs!$B$29+Inputs!$B$30</f>
        <v/>
      </c>
      <c r="U1262">
        <f>IF(C1262,(Skills!F2*N1262*B1297)*IF(Inputs!$B$39="pvp",1,(1+(Inputs!$B$22+Skills!P2+B1291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Skills!A3</f>
        <v/>
      </c>
      <c r="B1263">
        <f>Skills!B3</f>
        <v/>
      </c>
      <c r="C1263">
        <f>Inputs!$B$3&gt;=15</f>
        <v/>
      </c>
      <c r="D1263">
        <f>IF(Skills!C3=1,60+Inputs!$B$26+Inputs!$B$30,IF(Skills!C3=2,90+Inputs!$B$27+Inputs!$B$30,IF(Skills!C3=3,120+Inputs!$B$28+Inputs!$B$30,MAX(0,(Inputs!$B$3-100)*3)+Inputs!$B$29+Inputs!$B$30)))</f>
        <v/>
      </c>
      <c r="E1263">
        <f>INDEX(FactorTable!$B$2:$Y$301, MATCH(ROUND(MIN(300,MAX(1,D1263)),0), FactorTable!$A$2:$A$301,0), Skills!L3+1)</f>
        <v/>
      </c>
      <c r="F1263">
        <f>IF(Skills!M3=TRUE,(Skills!K3/10)*(E1263/1000),Skills!K3/10)+Skills!N3</f>
        <v/>
      </c>
      <c r="G1263">
        <f>Calc!G3</f>
        <v/>
      </c>
      <c r="H1263">
        <f>Calc!H3</f>
        <v/>
      </c>
      <c r="I1263">
        <f>IF(Skills!T3&lt;&gt;"",1+(Skills!T3/10)*($Z$3/1000)/100,1)</f>
        <v/>
      </c>
      <c r="J1263" t="inlineStr"/>
      <c r="K1263" t="inlineStr"/>
      <c r="L1263" t="inlineStr"/>
      <c r="M1263" t="inlineStr"/>
      <c r="N1263" t="inlineStr"/>
      <c r="O1263">
        <f>(1-Summary!$B$11)*S1263+Summary!$B$11*U1263</f>
        <v/>
      </c>
      <c r="P1263">
        <f>IF(B1302=0,0,O1263/B1302)</f>
        <v/>
      </c>
      <c r="Q1263">
        <f>IFERROR(1/(IF(Inputs!$B$39="pvp",15,MAX(0.1,Skills!D3-IF(Skills!E3=TRUE,Inputs!$B$33,0)))*(1-IF(AND(ArtifactsInput!$M$27,Inputs!$B$4="Chapter Hunt"),CHOOSE(ArtifactsInput!$N$27+1,20,24,28,32,36,40),0)/100)),0)</f>
        <v/>
      </c>
      <c r="R1263">
        <f>IF(AND(Inputs!$B$39&lt;&gt;"pvp",Inputs!$B$44&gt;0),IF(Inputs!$B$44&lt;=0,0,(INT(Inputs!$B$44/(IF(Inputs!$B$39="pvp",15,MAX(0.1,Skills!D3-IF(Skills!E3=TRUE,Inputs!$B$33,0)))*(1-IF(AND(ArtifactsInput!$M$27,Inputs!$B$4="Chapter Hunt"),CHOOSE(ArtifactsInput!$N$27+1,20,24,28,32,36,40),0)/100)))+1)),0)</f>
        <v/>
      </c>
      <c r="S1263" t="n">
        <v>0</v>
      </c>
      <c r="T1263">
        <f>INDEX(FactorTable!$B$2:$Y$301, MATCH(ROUND(MIN(300,MAX(1,T1262)),0), FactorTable!$A$2:$A$301,0), 22)</f>
        <v/>
      </c>
      <c r="U1263" t="n">
        <v>0</v>
      </c>
    </row>
    <row r="1264">
      <c r="A1264">
        <f>Skills!A4</f>
        <v/>
      </c>
      <c r="B1264">
        <f>Skills!B4</f>
        <v/>
      </c>
      <c r="C1264">
        <f>Inputs!$B$3&gt;=38</f>
        <v/>
      </c>
      <c r="D1264">
        <f>IF(Skills!C4=1,60+Inputs!$B$26+Inputs!$B$30,IF(Skills!C4=2,90+Inputs!$B$27+Inputs!$B$30,IF(Skills!C4=3,120+Inputs!$B$28+Inputs!$B$30,MAX(0,(Inputs!$B$3-100)*3)+Inputs!$B$29+Inputs!$B$30)))</f>
        <v/>
      </c>
      <c r="E1264">
        <f>INDEX(FactorTable!$B$2:$Y$301, MATCH(ROUND(MIN(300,MAX(1,D1264)),0), FactorTable!$A$2:$A$301,0), Skills!L4+1)</f>
        <v/>
      </c>
      <c r="F1264">
        <f>IF(Skills!M4=TRUE,(Skills!K4/10)*(E1264/1000),Skills!K4/10)+Skills!N4</f>
        <v/>
      </c>
      <c r="G1264">
        <f>Calc!G4</f>
        <v/>
      </c>
      <c r="H1264">
        <f>Calc!H4</f>
        <v/>
      </c>
      <c r="I1264">
        <f>IF(Skills!T4&lt;&gt;"",1+(Skills!T4/10)*($Z$3/1000)/100,1)</f>
        <v/>
      </c>
      <c r="J1264" t="inlineStr"/>
      <c r="K1264" t="inlineStr"/>
      <c r="L1264" t="inlineStr"/>
      <c r="M1264" t="inlineStr"/>
      <c r="N1264" t="inlineStr"/>
      <c r="O1264">
        <f>(1-Summary!$B$11)*S1264+Summary!$B$11*U1264</f>
        <v/>
      </c>
      <c r="P1264">
        <f>IF(B1302=0,0,O1264/B1302)</f>
        <v/>
      </c>
      <c r="Q1264">
        <f>IFERROR(1/(IF(Inputs!$B$39="pvp",15,MAX(0.1,Skills!D4-IF(Skills!E4=TRUE,Inputs!$B$33,0)))*(1-IF(AND(ArtifactsInput!$M$27,Inputs!$B$4="Chapter Hunt"),CHOOSE(ArtifactsInput!$N$27+1,20,24,28,32,36,40),0)/100)),0)</f>
        <v/>
      </c>
      <c r="R1264">
        <f>IF(AND(Inputs!$B$39&lt;&gt;"pvp",Inputs!$B$44&gt;0),IF(Inputs!$B$44&lt;=0,0,(INT(Inputs!$B$44/(IF(Inputs!$B$39="pvp",15,MAX(0.1,Skills!D4-IF(Skills!E4=TRUE,Inputs!$B$33,0)))*(1-IF(AND(ArtifactsInput!$M$27,Inputs!$B$4="Chapter Hunt"),CHOOSE(ArtifactsInput!$N$27+1,20,24,28,32,36,40),0)/100)))+1)),0)</f>
        <v/>
      </c>
      <c r="S1264" t="n">
        <v>0</v>
      </c>
      <c r="T1264">
        <f>290*T1263/1000</f>
        <v/>
      </c>
      <c r="U1264" t="n">
        <v>0</v>
      </c>
    </row>
    <row r="1265">
      <c r="A1265">
        <f>Skills!A5</f>
        <v/>
      </c>
      <c r="B1265">
        <f>Skills!B5</f>
        <v/>
      </c>
      <c r="C1265">
        <f>Inputs!$B$3&gt;=40</f>
        <v/>
      </c>
      <c r="D1265">
        <f>IF(Skills!C5=1,60+Inputs!$B$26+Inputs!$B$30,IF(Skills!C5=2,90+Inputs!$B$27+Inputs!$B$30,IF(Skills!C5=3,120+Inputs!$B$28+Inputs!$B$30,MAX(0,(Inputs!$B$3-100)*3)+Inputs!$B$29+Inputs!$B$30)))</f>
        <v/>
      </c>
      <c r="E1265">
        <f>INDEX(FactorTable!$B$2:$Y$301, MATCH(ROUND(MIN(300,MAX(1,D1265)),0), FactorTable!$A$2:$A$301,0), Skills!L5+1)</f>
        <v/>
      </c>
      <c r="F1265">
        <f>IF(Skills!M5=TRUE,(Skills!K5/10)*(E1265/1000),Skills!K5/10)+Skills!N5</f>
        <v/>
      </c>
      <c r="G1265">
        <f>Calc!G5</f>
        <v/>
      </c>
      <c r="H1265">
        <f>Calc!H5</f>
        <v/>
      </c>
      <c r="I1265">
        <f>IF(Skills!T5&lt;&gt;"",1+(Skills!T5/10)*($Z$3/1000)/100,1)</f>
        <v/>
      </c>
      <c r="J1265" t="inlineStr"/>
      <c r="K1265" t="inlineStr"/>
      <c r="L1265" t="inlineStr"/>
      <c r="M1265" t="inlineStr"/>
      <c r="N1265" t="inlineStr"/>
      <c r="O1265">
        <f>(1-Summary!$B$11)*S1265+Summary!$B$11*U1265</f>
        <v/>
      </c>
      <c r="P1265">
        <f>IF(B1302=0,0,O1265/B1302)</f>
        <v/>
      </c>
      <c r="Q1265">
        <f>IFERROR(1/(IF(Inputs!$B$39="pvp",15,MAX(0.1,Skills!D5-IF(Skills!E5=TRUE,Inputs!$B$33,0)))*(1-IF(AND(ArtifactsInput!$M$27,Inputs!$B$4="Chapter Hunt"),CHOOSE(ArtifactsInput!$N$27+1,20,24,28,32,36,40),0)/100)),0)</f>
        <v/>
      </c>
      <c r="R1265">
        <f>IF(AND(Inputs!$B$39&lt;&gt;"pvp",Inputs!$B$44&gt;0),IF(Inputs!$B$44&lt;=0,0,(INT(Inputs!$B$44/(IF(Inputs!$B$39="pvp",15,MAX(0.1,Skills!D5-IF(Skills!E5=TRUE,Inputs!$B$33,0)))*(1-IF(AND(ArtifactsInput!$M$27,Inputs!$B$4="Chapter Hunt"),CHOOSE(ArtifactsInput!$N$27+1,20,24,28,32,36,40),0)/100)))+1)),0)</f>
        <v/>
      </c>
      <c r="S1265" t="n">
        <v>0</v>
      </c>
      <c r="U1265" t="n">
        <v>0</v>
      </c>
    </row>
    <row r="1266">
      <c r="A1266">
        <f>Skills!A6</f>
        <v/>
      </c>
      <c r="B1266">
        <f>Skills!B6</f>
        <v/>
      </c>
      <c r="C1266">
        <f>Inputs!$B$3&gt;=103</f>
        <v/>
      </c>
      <c r="D1266">
        <f>IF(Skills!C6=1,60+Inputs!$B$26+Inputs!$B$30,IF(Skills!C6=2,90+Inputs!$B$27+Inputs!$B$30,IF(Skills!C6=3,120+Inputs!$B$28+Inputs!$B$30,MAX(0,(Inputs!$B$3-100)*3)+Inputs!$B$29+Inputs!$B$30)))</f>
        <v/>
      </c>
      <c r="E1266">
        <f>INDEX(FactorTable!$B$2:$Y$301, MATCH(ROUND(MIN(300,MAX(1,D1266)),0), FactorTable!$A$2:$A$301,0), Skills!L6+1)</f>
        <v/>
      </c>
      <c r="F1266">
        <f>IF(Skills!M6=TRUE,(Skills!K6/10)*(E1266/1000),Skills!K6/10)+Skills!N6</f>
        <v/>
      </c>
      <c r="G1266">
        <f>Calc!G6</f>
        <v/>
      </c>
      <c r="H1266">
        <f>Calc!H6</f>
        <v/>
      </c>
      <c r="I1266">
        <f>IF(Skills!T6&lt;&gt;"",1+(Skills!T6/10)*($Z$3/1000)/100,1)</f>
        <v/>
      </c>
      <c r="J1266">
        <f>((Inputs!$B$6*(1+Inputs!$B$7/100))+(((Inputs!$B$13*(1+Inputs!$B$14/100))-(Inputs!$B$13*(1+Inputs!$B$14/100)))+0.25*(Inputs!$B$15-Inputs!$B$15))*(1+Inputs!$B$7/100))*(F1266/100)</f>
        <v/>
      </c>
      <c r="K1266">
        <f>J1266*(1+(((Inputs!$B$13+IF(Inputs!$B$3&gt;=35,(10*INDEX(FactorTable!$B$2:$Y$301,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6="TRIUMPH_FEATHER",IF(C1276=TRUE,F1276,0),0)/100)*(1+IF(C1287=TRUE,F1287,0)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1266)</f>
        <v/>
      </c>
      <c r="L1266">
        <f>K1266*(MIN(Inputs!$B$23+(F1282-Calc!F22),(Inputs!$B$24+IF(ArtifactsInput!$M$15,CHOOSE(ArtifactsInput!$N$15+1,25,30,35,40,45,50)/100*(Inputs!$B$12-Inputs!$B$12),0)))/100+(Inputs!$B$24+IF(ArtifactsInput!$M$15,CHOOSE(ArtifactsInput!$N$15+1,25,30,35,40,45,50)/100*(Inputs!$B$12-Inputs!$B$12),0))/100)/2</f>
        <v/>
      </c>
      <c r="M1266">
        <f>L1266*(1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6">
        <f>L1266*(1-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1266*(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6">
        <f>(1-Summary!$B$11)*S1266+Summary!$B$11*U1266</f>
        <v/>
      </c>
      <c r="P1266">
        <f>IF(B1302=0,0,O1266/B1302)</f>
        <v/>
      </c>
      <c r="Q1266">
        <f>IFERROR(1/(IF(Inputs!$B$39="pvp",15,MAX(0.1,Skills!D6-IF(Skills!E6=TRUE,Inputs!$B$33,0)))*(1-IF(AND(ArtifactsInput!$M$27,Inputs!$B$4="Chapter Hunt"),CHOOSE(ArtifactsInput!$N$27+1,20,24,28,32,36,40),0)/100)),0)</f>
        <v/>
      </c>
      <c r="R1266">
        <f>IF(AND(Inputs!$B$39&lt;&gt;"pvp",Inputs!$B$44&gt;0),IF(MAX(0,Inputs!$B$44-B1299)&lt;=0,0,(INT(MAX(0,Inputs!$B$44-B1299)/(IF(Inputs!$B$39="pvp",15,MAX(0.1,Skills!D6-IF(Skills!E6=TRUE,Inputs!$B$33,0)))*(1-IF(AND(ArtifactsInput!$M$27,Inputs!$B$4="Chapter Hunt"),CHOOSE(ArtifactsInput!$N$27+1,20,24,28,32,36,40),0)/100)))+1)),0)</f>
        <v/>
      </c>
      <c r="S1266">
        <f>IF(C1266,(H1266*N1266*IF(AND(Inputs!$B$39&lt;&gt;"pvp",Inputs!$B$44&gt;0),((Skills!F6*((R1266-1)*IF(Skills!G6&gt;0,Skills!H6/Skills!G6,1)+IF(Skills!G6&gt;0,MIN(Skills!H6,MAX(0,MAX(0,Inputs!$B$44-B1299)-((R1266-1)*(IF(Inputs!$B$39="pvp",15,MAX(0.1,Skills!D6-IF(Skills!E6=TRUE,Inputs!$B$33,0)))*(1-IF(AND(ArtifactsInput!$M$27,Inputs!$B$4="Chapter Hunt"),CHOOSE(ArtifactsInput!$N$27+1,20,24,28,32,36,40),0)/100)))))/Skills!G6,1)))/Inputs!$B$44),G1266*Q1266))*IF(Inputs!$B$39="pvp",1,1+(Inputs!$B$21+Skills!O6+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1266*(1-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1266*(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1266*(1-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1266*(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6">
        <f>IF(C1266,(H1266*N1266*IF(AND(Inputs!$B$39&lt;&gt;"pvp",Inputs!$B$44&gt;0),((Skills!F6*((R1266-1)*IF(Skills!G6&gt;0,Skills!H6/Skills!G6,1)+IF(Skills!G6&gt;0,MIN(Skills!H6,MAX(0,MAX(0,Inputs!$B$44-B1299)-((R1266-1)*(IF(Inputs!$B$39="pvp",15,MAX(0.1,Skills!D6-IF(Skills!E6=TRUE,Inputs!$B$33,0)))*(1-IF(AND(ArtifactsInput!$M$27,Inputs!$B$4="Chapter Hunt"),CHOOSE(ArtifactsInput!$N$27+1,20,24,28,32,36,40),0)/100)))))/Skills!G6,1)))/Inputs!$B$44),G1266*Q1266))*IF(Inputs!$B$39="pvp",1,(1+(Inputs!$B$22+Skills!P6+B1291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7">
      <c r="A1267">
        <f>Skills!A7</f>
        <v/>
      </c>
      <c r="B1267">
        <f>Skills!B7</f>
        <v/>
      </c>
      <c r="C1267">
        <f>Inputs!$B$3&gt;=122</f>
        <v/>
      </c>
      <c r="D1267">
        <f>IF(Skills!C7=1,60+Inputs!$B$26+Inputs!$B$30,IF(Skills!C7=2,90+Inputs!$B$27+Inputs!$B$30,IF(Skills!C7=3,120+Inputs!$B$28+Inputs!$B$30,MAX(0,(Inputs!$B$3-100)*3)+Inputs!$B$29+Inputs!$B$30)))</f>
        <v/>
      </c>
      <c r="E1267">
        <f>INDEX(FactorTable!$B$2:$Y$301, MATCH(ROUND(MIN(300,MAX(1,D1267)),0), FactorTable!$A$2:$A$301,0), Skills!L7+1)</f>
        <v/>
      </c>
      <c r="F1267">
        <f>IF(Skills!M7=TRUE,(Skills!K7/10)*(E1267/1000),Skills!K7/10)+Skills!N7</f>
        <v/>
      </c>
      <c r="G1267">
        <f>Calc!G7</f>
        <v/>
      </c>
      <c r="H1267">
        <f>Calc!H7</f>
        <v/>
      </c>
      <c r="I1267">
        <f>IF(Skills!T7&lt;&gt;"",1+(Skills!T7/10)*($Z$3/1000)/100,1)</f>
        <v/>
      </c>
      <c r="J1267">
        <f>((Inputs!$B$6*(1+Inputs!$B$7/100))+(((Inputs!$B$13*(1+Inputs!$B$14/100))-(Inputs!$B$13*(1+Inputs!$B$14/100)))+0.25*(Inputs!$B$15-Inputs!$B$15))*(1+Inputs!$B$7/100))*(F1267/100)</f>
        <v/>
      </c>
      <c r="K1267">
        <f>J1267*(1+(((Inputs!$B$13+IF(Inputs!$B$3&gt;=35,(10*INDEX(FactorTable!$B$2:$Y$301,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7="TRIUMPH_FEATHER",IF(C1276=TRUE,F1276,0),0)/100)*(1+IF(C1287=TRUE,F1287,0)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1267)</f>
        <v/>
      </c>
      <c r="L1267">
        <f>K1267*(MIN(Inputs!$B$23+(F1282-Calc!F22),(Inputs!$B$24+IF(ArtifactsInput!$M$15,CHOOSE(ArtifactsInput!$N$15+1,25,30,35,40,45,50)/100*(Inputs!$B$12-Inputs!$B$12),0)))/100+(Inputs!$B$24+IF(ArtifactsInput!$M$15,CHOOSE(ArtifactsInput!$N$15+1,25,30,35,40,45,50)/100*(Inputs!$B$12-Inputs!$B$12),0))/100)/2</f>
        <v/>
      </c>
      <c r="M1267">
        <f>L1267*(1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7">
        <f>L1267*(1-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1267*(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7">
        <f>(1-Summary!$B$11)*S1267+Summary!$B$11*U1267</f>
        <v/>
      </c>
      <c r="P1267">
        <f>IF(B1302=0,0,O1267/B1302)</f>
        <v/>
      </c>
      <c r="Q1267">
        <f>IFERROR(1/(IF(Inputs!$B$39="pvp",15,MAX(0.1,Skills!D7-IF(Skills!E6=TRUE,Inputs!$B$33,0)))*(1-IF(AND(ArtifactsInput!$M$27,Inputs!$B$4="Chapter Hunt"),CHOOSE(ArtifactsInput!$N$27+1,20,24,28,32,36,40),0)/100)),0)</f>
        <v/>
      </c>
      <c r="R1267">
        <f>IF(AND(Inputs!$B$39&lt;&gt;"pvp",Inputs!$B$44&gt;0),IF(MAX(0,Inputs!$B$44-B1299)&lt;=0,0,(INT(MAX(0,Inputs!$B$44-B1299)/(IF(Inputs!$B$39="pvp",15,MAX(0.1,Skills!D7-IF(Skills!E6=TRUE,Inputs!$B$33,0)))*(1-IF(AND(ArtifactsInput!$M$27,Inputs!$B$4="Chapter Hunt"),CHOOSE(ArtifactsInput!$N$27+1,20,24,28,32,36,40),0)/100)))+1)),0)</f>
        <v/>
      </c>
      <c r="S1267">
        <f>IF(C1267,H1267*N1267*IF(AND(Inputs!$B$39&lt;&gt;"pvp",Inputs!$B$44&gt;0),((Skills!F7*((R1267-1)*IF(Skills!G7&gt;0,Skills!H7/Skills!G7,1)+IF(Skills!G7&gt;0,MIN(Skills!H7,MAX(0,MAX(0,Inputs!$B$44-B1299)-((R1267-1)*(IF(Inputs!$B$39="pvp",15,MAX(0.1,Skills!D7-IF(Skills!E6=TRUE,Inputs!$B$33,0)))*(1-IF(AND(ArtifactsInput!$M$27,Inputs!$B$4="Chapter Hunt"),CHOOSE(ArtifactsInput!$N$27+1,20,24,28,32,36,40),0)/100)))))/Skills!G7,1)))/Inputs!$B$44),G1267*Q1267)*IF(Inputs!$B$39="pvp",1,1+(Inputs!$B$21+Skills!O7+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1267*(1-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1267*(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1267*(1-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1267*(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7" t="n">
        <v>0</v>
      </c>
    </row>
    <row r="1268">
      <c r="A1268">
        <f>Skills!A8</f>
        <v/>
      </c>
      <c r="B1268">
        <f>Skills!B8</f>
        <v/>
      </c>
      <c r="C1268">
        <f>Inputs!$B$3&gt;=105</f>
        <v/>
      </c>
      <c r="D1268">
        <f>IF(Skills!C8=1,60+Inputs!$B$26+Inputs!$B$30,IF(Skills!C8=2,90+Inputs!$B$27+Inputs!$B$30,IF(Skills!C8=3,120+Inputs!$B$28+Inputs!$B$30,MAX(0,(Inputs!$B$3-100)*3)+Inputs!$B$29+Inputs!$B$30)))</f>
        <v/>
      </c>
      <c r="E1268">
        <f>INDEX(FactorTable!$B$2:$Y$301, MATCH(ROUND(MIN(300,MAX(1,D1268)),0), FactorTable!$A$2:$A$301,0), Skills!L8+1)</f>
        <v/>
      </c>
      <c r="F1268">
        <f>IF(Skills!M8=TRUE,(Skills!K8/10)*(E1268/1000),Skills!K8/10)+Skills!N8</f>
        <v/>
      </c>
      <c r="G1268">
        <f>Calc!G8</f>
        <v/>
      </c>
      <c r="H1268">
        <f>Calc!H8</f>
        <v/>
      </c>
      <c r="I1268">
        <f>IF(Skills!T8&lt;&gt;"",1+(Skills!T8/10)*($Z$3/1000)/100,1)</f>
        <v/>
      </c>
      <c r="J1268">
        <f>((Inputs!$B$6*(1+Inputs!$B$7/100))+(((Inputs!$B$13*(1+Inputs!$B$14/100))-(Inputs!$B$13*(1+Inputs!$B$14/100)))+0.25*(Inputs!$B$15-Inputs!$B$15))*(1+Inputs!$B$7/100))*(F1268/100)</f>
        <v/>
      </c>
      <c r="K1268">
        <f>J1268*(1+(((Inputs!$B$13+IF(Inputs!$B$3&gt;=35,(10*INDEX(FactorTable!$B$2:$Y$301,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8="TRIUMPH_FEATHER",IF(C1276=TRUE,F1276,0),0)/100)*(1+IF(C1287=TRUE,F1287,0)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1268)</f>
        <v/>
      </c>
      <c r="L1268">
        <f>K1268*(MIN(Inputs!$B$23+(F1282-Calc!F22),(Inputs!$B$24+IF(ArtifactsInput!$M$15,CHOOSE(ArtifactsInput!$N$15+1,25,30,35,40,45,50)/100*(Inputs!$B$12-Inputs!$B$12),0)))/100+(Inputs!$B$24+IF(ArtifactsInput!$M$15,CHOOSE(ArtifactsInput!$N$15+1,25,30,35,40,45,50)/100*(Inputs!$B$12-Inputs!$B$12),0))/100)/2</f>
        <v/>
      </c>
      <c r="M1268">
        <f>L1268*(1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8">
        <f>L1268*(1-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1268*(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8">
        <f>(1-Summary!$B$11)*S1268+Summary!$B$11*U1268</f>
        <v/>
      </c>
      <c r="P1268">
        <f>IF(B1302=0,0,O1268/B1302)</f>
        <v/>
      </c>
      <c r="Q1268">
        <f>IFERROR(1/(IF(Inputs!$B$39="pvp",15,MAX(0.1,Skills!D8-IF(Skills!E8=TRUE,Inputs!$B$33,0)))*(1-IF(AND(ArtifactsInput!$M$27,Inputs!$B$4="Chapter Hunt"),CHOOSE(ArtifactsInput!$N$27+1,20,24,28,32,36,40),0)/100)),0)</f>
        <v/>
      </c>
      <c r="R1268">
        <f>IF(AND(Inputs!$B$39&lt;&gt;"pvp",Inputs!$B$44&gt;0),IF(MAX(0,Inputs!$B$44-B1299)&lt;=0,0,(INT(MAX(0,Inputs!$B$44-B1299)/(IF(Inputs!$B$39="pvp",15,MAX(0.1,Skills!D8-IF(Skills!E8=TRUE,Inputs!$B$33,0)))*(1-IF(AND(ArtifactsInput!$M$27,Inputs!$B$4="Chapter Hunt"),CHOOSE(ArtifactsInput!$N$27+1,20,24,28,32,36,40),0)/100)))+1)),0)</f>
        <v/>
      </c>
      <c r="S1268">
        <f>IF(C1268,(H1268*N1268*IF(AND(Inputs!$B$39&lt;&gt;"pvp",Inputs!$B$44&gt;0),((Skills!F8*((R1268-1)*IF(Skills!G8&gt;0,Skills!H8/Skills!G8,1)+IF(Skills!G8&gt;0,MIN(Skills!H8,MAX(0,MAX(0,Inputs!$B$44-B1299)-((R1268-1)*(IF(Inputs!$B$39="pvp",15,MAX(0.1,Skills!D8-IF(Skills!E8=TRUE,Inputs!$B$33,0)))*(1-IF(AND(ArtifactsInput!$M$27,Inputs!$B$4="Chapter Hunt"),CHOOSE(ArtifactsInput!$N$27+1,20,24,28,32,36,40),0)/100)))))/Skills!G8,1)))/Inputs!$B$44),G1268*Q1268))*IF(Inputs!$B$39="pvp",1,1+(Inputs!$B$21+Skills!O8+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1268*(1-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1268*(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1268*(1-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1268*(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8">
        <f>IF(C1268,(H1268*N1268*IF(AND(Inputs!$B$39&lt;&gt;"pvp",Inputs!$B$44&gt;0),((Skills!F8*((R1268-1)*IF(Skills!G8&gt;0,Skills!H8/Skills!G8,1)+IF(Skills!G8&gt;0,MIN(Skills!H8,MAX(0,MAX(0,Inputs!$B$44-B1299)-((R1268-1)*(IF(Inputs!$B$39="pvp",15,MAX(0.1,Skills!D8-IF(Skills!E8=TRUE,Inputs!$B$33,0)))*(1-IF(AND(ArtifactsInput!$M$27,Inputs!$B$4="Chapter Hunt"),CHOOSE(ArtifactsInput!$N$27+1,20,24,28,32,36,40),0)/100)))))/Skills!G8,1)))/Inputs!$B$44),G1268*Q1268))*IF(Inputs!$B$39="pvp",1,(1+(Inputs!$B$22+Skills!P8+B1291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9">
      <c r="A1269">
        <f>Skills!A9</f>
        <v/>
      </c>
      <c r="B1269">
        <f>Skills!B9</f>
        <v/>
      </c>
      <c r="C1269">
        <f>Inputs!$B$3&gt;=115</f>
        <v/>
      </c>
      <c r="D1269">
        <f>IF(Skills!C9=1,60+Inputs!$B$26+Inputs!$B$30,IF(Skills!C9=2,90+Inputs!$B$27+Inputs!$B$30,IF(Skills!C9=3,120+Inputs!$B$28+Inputs!$B$30,MAX(0,(Inputs!$B$3-100)*3)+Inputs!$B$29+Inputs!$B$30)))</f>
        <v/>
      </c>
      <c r="E1269">
        <f>INDEX(FactorTable!$B$2:$Y$301, MATCH(ROUND(MIN(300,MAX(1,D1269)),0), FactorTable!$A$2:$A$301,0), Skills!L9+1)</f>
        <v/>
      </c>
      <c r="F1269">
        <f>IF(Skills!M9=TRUE,(Skills!K9/10)*(E1269/1000),Skills!K9/10)+Skills!N9</f>
        <v/>
      </c>
      <c r="G1269">
        <f>Calc!G9</f>
        <v/>
      </c>
      <c r="H1269">
        <f>Calc!H9</f>
        <v/>
      </c>
      <c r="I1269">
        <f>IF(Skills!T9&lt;&gt;"",1+(Skills!T9/10)*($Z$3/1000)/100,1)</f>
        <v/>
      </c>
      <c r="J1269">
        <f>((Inputs!$B$6*(1+Inputs!$B$7/100))+(((Inputs!$B$13*(1+Inputs!$B$14/100))-(Inputs!$B$13*(1+Inputs!$B$14/100)))+0.25*(Inputs!$B$15-Inputs!$B$15))*(1+Inputs!$B$7/100))*(F1269/100)</f>
        <v/>
      </c>
      <c r="K1269">
        <f>J1269*(1+(((Inputs!$B$13+IF(Inputs!$B$3&gt;=35,(10*INDEX(FactorTable!$B$2:$Y$301,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9="TRIUMPH_FEATHER",IF(C1276=TRUE,F1276,0),0)/100)*(1+IF(C1287=TRUE,F1287,0)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1269)</f>
        <v/>
      </c>
      <c r="L1269">
        <f>K1269*(MIN(Inputs!$B$23+(F1282-Calc!F22),(Inputs!$B$24+IF(ArtifactsInput!$M$15,CHOOSE(ArtifactsInput!$N$15+1,25,30,35,40,45,50)/100*(Inputs!$B$12-Inputs!$B$12),0)))/100+(Inputs!$B$24+IF(ArtifactsInput!$M$15,CHOOSE(ArtifactsInput!$N$15+1,25,30,35,40,45,50)/100*(Inputs!$B$12-Inputs!$B$12),0))/100)/2</f>
        <v/>
      </c>
      <c r="M1269">
        <f>L1269*(1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9">
        <f>L1269*(1-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1269*(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9">
        <f>(1-Summary!$B$11)*S1269+Summary!$B$11*U1269</f>
        <v/>
      </c>
      <c r="P1269">
        <f>IF(B1302=0,0,O1269/B1302)</f>
        <v/>
      </c>
      <c r="Q1269">
        <f>IFERROR(1/(IF(Inputs!$B$39="pvp",15,MAX(0.1,Skills!D9-IF(Skills!E9=TRUE,Inputs!$B$33,0)))*(1-IF(AND(ArtifactsInput!$M$27,Inputs!$B$4="Chapter Hunt"),CHOOSE(ArtifactsInput!$N$27+1,20,24,28,32,36,40),0)/100)),0)</f>
        <v/>
      </c>
      <c r="R1269">
        <f>IF(AND(Inputs!$B$39&lt;&gt;"pvp",Inputs!$B$44&gt;0),IF(MAX(0,Inputs!$B$44-B1299)&lt;=0,0,(INT(MAX(0,Inputs!$B$44-B1299)/(IF(Inputs!$B$39="pvp",15,MAX(0.1,Skills!D9-IF(Skills!E9=TRUE,Inputs!$B$33,0)))*(1-IF(AND(ArtifactsInput!$M$27,Inputs!$B$4="Chapter Hunt"),CHOOSE(ArtifactsInput!$N$27+1,20,24,28,32,36,40),0)/100)))+1)),0)</f>
        <v/>
      </c>
      <c r="S1269">
        <f>IF(C1269,(H1269*N1269*IF(AND(Inputs!$B$39&lt;&gt;"pvp",Inputs!$B$44&gt;0),((Skills!F9*((R1269-1)*IF(Skills!G9&gt;0,Skills!H9/Skills!G9,1)+IF(Skills!G9&gt;0,MIN(Skills!H9,MAX(0,MAX(0,Inputs!$B$44-B1299)-((R1269-1)*(IF(Inputs!$B$39="pvp",15,MAX(0.1,Skills!D9-IF(Skills!E9=TRUE,Inputs!$B$33,0)))*(1-IF(AND(ArtifactsInput!$M$27,Inputs!$B$4="Chapter Hunt"),CHOOSE(ArtifactsInput!$N$27+1,20,24,28,32,36,40),0)/100)))))/Skills!G9,1)))/Inputs!$B$44),G1269*Q1269))*IF(Inputs!$B$39="pvp",1,1+(Inputs!$B$21+Skills!O9+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1269*(1-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1269*(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1269*(1-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1269*(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9">
        <f>IF(C1269,(H1269*N1269*IF(AND(Inputs!$B$39&lt;&gt;"pvp",Inputs!$B$44&gt;0),((Skills!F9*((R1269-1)*IF(Skills!G9&gt;0,Skills!H9/Skills!G9,1)+IF(Skills!G9&gt;0,MIN(Skills!H9,MAX(0,MAX(0,Inputs!$B$44-B1299)-((R1269-1)*(IF(Inputs!$B$39="pvp",15,MAX(0.1,Skills!D9-IF(Skills!E9=TRUE,Inputs!$B$33,0)))*(1-IF(AND(ArtifactsInput!$M$27,Inputs!$B$4="Chapter Hunt"),CHOOSE(ArtifactsInput!$N$27+1,20,24,28,32,36,40),0)/100)))))/Skills!G9,1)))/Inputs!$B$44),G1269*Q1269))*IF(Inputs!$B$39="pvp",1,(1+(Inputs!$B$22+Skills!P9+B1291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0">
      <c r="A1270">
        <f>Skills!A10</f>
        <v/>
      </c>
      <c r="B1270">
        <f>Skills!B10</f>
        <v/>
      </c>
      <c r="C1270">
        <f>Inputs!$B$3&gt;=66</f>
        <v/>
      </c>
      <c r="D1270">
        <f>IF(Skills!C10=1,60+Inputs!$B$26+Inputs!$B$30,IF(Skills!C10=2,90+Inputs!$B$27+Inputs!$B$30,IF(Skills!C10=3,120+Inputs!$B$28+Inputs!$B$30,MAX(0,(Inputs!$B$3-100)*3)+Inputs!$B$29+Inputs!$B$30)))</f>
        <v/>
      </c>
      <c r="E1270">
        <f>INDEX(FactorTable!$B$2:$Y$301, MATCH(ROUND(MIN(300,MAX(1,D1270)),0), FactorTable!$A$2:$A$301,0), Skills!L10+1)</f>
        <v/>
      </c>
      <c r="F1270" t="n">
        <v>0</v>
      </c>
      <c r="G1270">
        <f>Calc!G10</f>
        <v/>
      </c>
      <c r="H1270">
        <f>Calc!H10</f>
        <v/>
      </c>
      <c r="I1270">
        <f>IF(Skills!T10&lt;&gt;"",1+(Skills!T10/10)*($Z$3/1000)/100,1)</f>
        <v/>
      </c>
      <c r="J1270" t="inlineStr"/>
      <c r="K1270" t="inlineStr"/>
      <c r="L1270" t="inlineStr"/>
      <c r="M1270" t="inlineStr"/>
      <c r="N1270" t="inlineStr"/>
      <c r="O1270">
        <f>(1-Summary!$B$11)*S1270+Summary!$B$11*U1270</f>
        <v/>
      </c>
      <c r="P1270">
        <f>IF(B1302=0,0,O1270/B1302)</f>
        <v/>
      </c>
      <c r="Q1270">
        <f>IFERROR(1/(IF(Inputs!$B$39="pvp",15,MAX(0.1,Skills!D10-IF(Skills!E10=TRUE,Inputs!$B$33,0)))*(1-IF(AND(ArtifactsInput!$M$27,Inputs!$B$4="Chapter Hunt"),CHOOSE(ArtifactsInput!$N$27+1,20,24,28,32,36,40),0)/100)),0)</f>
        <v/>
      </c>
      <c r="R1270">
        <f>IF(AND(Inputs!$B$39&lt;&gt;"pvp",Inputs!$B$44&gt;0),IF(MAX(0,Inputs!$B$44-B1299)&lt;=0,0,(INT(MAX(0,Inputs!$B$44-B1299)/(IF(Inputs!$B$39="pvp",15,MAX(0.1,Skills!D10-IF(Skills!E10=TRUE,Inputs!$B$33,0)))*(1-IF(AND(ArtifactsInput!$M$27,Inputs!$B$4="Chapter Hunt"),CHOOSE(ArtifactsInput!$N$27+1,20,24,28,32,36,40),0)/100)))+1)),0)</f>
        <v/>
      </c>
      <c r="S1270" t="n">
        <v>0</v>
      </c>
      <c r="U1270" t="n">
        <v>0</v>
      </c>
    </row>
    <row r="1271">
      <c r="A1271">
        <f>Skills!A11</f>
        <v/>
      </c>
      <c r="B1271">
        <f>Skills!B11</f>
        <v/>
      </c>
      <c r="C1271">
        <f>Inputs!$B$3&gt;=69</f>
        <v/>
      </c>
      <c r="D1271">
        <f>IF(Skills!C11=1,60+Inputs!$B$26+Inputs!$B$30,IF(Skills!C11=2,90+Inputs!$B$27+Inputs!$B$30,IF(Skills!C11=3,120+Inputs!$B$28+Inputs!$B$30,MAX(0,(Inputs!$B$3-100)*3)+Inputs!$B$29+Inputs!$B$30)))</f>
        <v/>
      </c>
      <c r="E1271">
        <f>INDEX(FactorTable!$B$2:$Y$301, MATCH(ROUND(MIN(300,MAX(1,D1271)),0), FactorTable!$A$2:$A$301,0), Skills!L11+1)</f>
        <v/>
      </c>
      <c r="F1271">
        <f>IF(Skills!M11=TRUE,(Skills!K11/10)*(E1271/1000),Skills!K11/10)+Skills!N11</f>
        <v/>
      </c>
      <c r="G1271">
        <f>Calc!G11</f>
        <v/>
      </c>
      <c r="H1271">
        <f>Calc!H11</f>
        <v/>
      </c>
      <c r="I1271">
        <f>IF(Skills!T11&lt;&gt;"",1+(Skills!T11/10)*($Z$3/1000)/100,1)</f>
        <v/>
      </c>
      <c r="J1271" t="inlineStr"/>
      <c r="K1271" t="inlineStr"/>
      <c r="L1271" t="inlineStr"/>
      <c r="M1271" t="inlineStr"/>
      <c r="N1271" t="inlineStr"/>
      <c r="O1271">
        <f>(1-Summary!$B$11)*S1271+Summary!$B$11*U1271</f>
        <v/>
      </c>
      <c r="P1271">
        <f>IF(B1302=0,0,O1271/B1302)</f>
        <v/>
      </c>
      <c r="Q1271">
        <f>IFERROR(1/(IF(Inputs!$B$39="pvp",15,MAX(0.1,Skills!D11-IF(Skills!E11=TRUE,Inputs!$B$33,0)))*(1-IF(AND(ArtifactsInput!$M$27,Inputs!$B$4="Chapter Hunt"),CHOOSE(ArtifactsInput!$N$27+1,20,24,28,32,36,40),0)/100)),0)</f>
        <v/>
      </c>
      <c r="R1271">
        <f>IF(AND(Inputs!$B$39&lt;&gt;"pvp",Inputs!$B$44&gt;0),IF(Inputs!$B$44&lt;=0,0,(INT(Inputs!$B$44/(IF(Inputs!$B$39="pvp",15,MAX(0.1,Skills!D11-IF(Skills!E11=TRUE,Inputs!$B$33,0)))*(1-IF(AND(ArtifactsInput!$M$27,Inputs!$B$4="Chapter Hunt"),CHOOSE(ArtifactsInput!$N$27+1,20,24,28,32,36,40),0)/100)))+1)),0)</f>
        <v/>
      </c>
      <c r="S1271" t="n">
        <v>0</v>
      </c>
      <c r="U1271" t="n">
        <v>0</v>
      </c>
    </row>
    <row r="1272">
      <c r="A1272">
        <f>Skills!A12</f>
        <v/>
      </c>
      <c r="B1272">
        <f>Skills!B12</f>
        <v/>
      </c>
      <c r="C1272">
        <f>Inputs!$B$3&gt;=72</f>
        <v/>
      </c>
      <c r="D1272">
        <f>IF(Skills!C12=1,60+Inputs!$B$26+Inputs!$B$30,IF(Skills!C12=2,90+Inputs!$B$27+Inputs!$B$30,IF(Skills!C12=3,120+Inputs!$B$28+Inputs!$B$30,MAX(0,(Inputs!$B$3-100)*3)+Inputs!$B$29+Inputs!$B$30)))</f>
        <v/>
      </c>
      <c r="E1272">
        <f>INDEX(FactorTable!$B$2:$Y$301, MATCH(ROUND(MIN(300,MAX(1,D1272)),0), FactorTable!$A$2:$A$301,0), Skills!L12+1)</f>
        <v/>
      </c>
      <c r="F1272">
        <f>IF(Skills!M12=TRUE,(Skills!K12/10)*(E1272/1000),Skills!K12/10)+Skills!N12</f>
        <v/>
      </c>
      <c r="G1272">
        <f>Calc!G12</f>
        <v/>
      </c>
      <c r="H1272">
        <f>Calc!H12</f>
        <v/>
      </c>
      <c r="I1272">
        <f>IF(Skills!T12&lt;&gt;"",1+(Skills!T12/10)*($Z$3/1000)/100,1)</f>
        <v/>
      </c>
      <c r="J1272" t="inlineStr"/>
      <c r="K1272" t="inlineStr"/>
      <c r="L1272" t="inlineStr"/>
      <c r="M1272" t="inlineStr"/>
      <c r="N1272" t="inlineStr"/>
      <c r="O1272">
        <f>(1-Summary!$B$11)*S1272+Summary!$B$11*U1272</f>
        <v/>
      </c>
      <c r="P1272">
        <f>IF(B1302=0,0,O1272/B1302)</f>
        <v/>
      </c>
      <c r="Q1272">
        <f>IFERROR(1/(IF(Inputs!$B$39="pvp",15,MAX(0.1,Skills!D12-IF(Skills!E12=TRUE,Inputs!$B$33,0)))*(1-IF(AND(ArtifactsInput!$M$27,Inputs!$B$4="Chapter Hunt"),CHOOSE(ArtifactsInput!$N$27+1,20,24,28,32,36,40),0)/100)),0)</f>
        <v/>
      </c>
      <c r="R1272">
        <f>IF(AND(Inputs!$B$39&lt;&gt;"pvp",Inputs!$B$44&gt;0),IF(MAX(0,Inputs!$B$44-B1299)&lt;=0,0,(INT(MAX(0,Inputs!$B$44-B1299)/(IF(Inputs!$B$39="pvp",15,MAX(0.1,Skills!D12-IF(Skills!E12=TRUE,Inputs!$B$33,0)))*(1-IF(AND(ArtifactsInput!$M$27,Inputs!$B$4="Chapter Hunt"),CHOOSE(ArtifactsInput!$N$27+1,20,24,28,32,36,40),0)/100)))+1)),0)</f>
        <v/>
      </c>
      <c r="S1272" t="n">
        <v>0</v>
      </c>
      <c r="U1272" t="n">
        <v>0</v>
      </c>
    </row>
    <row r="1273">
      <c r="A1273">
        <f>Skills!A13</f>
        <v/>
      </c>
      <c r="B1273">
        <f>Skills!B13</f>
        <v/>
      </c>
      <c r="C1273">
        <f>Inputs!$B$3&gt;=60</f>
        <v/>
      </c>
      <c r="D1273">
        <f>IF(Skills!C13=1,60+Inputs!$B$26+Inputs!$B$30,IF(Skills!C13=2,90+Inputs!$B$27+Inputs!$B$30,IF(Skills!C13=3,120+Inputs!$B$28+Inputs!$B$30,MAX(0,(Inputs!$B$3-100)*3)+Inputs!$B$29+Inputs!$B$30)))</f>
        <v/>
      </c>
      <c r="E1273">
        <f>INDEX(FactorTable!$B$2:$Y$301, MATCH(ROUND(MIN(300,MAX(1,D1273)),0), FactorTable!$A$2:$A$301,0), Skills!L13+1)</f>
        <v/>
      </c>
      <c r="F1273">
        <f>IF(Skills!M13=TRUE,(Skills!K13/10)*(E1273/1000),Skills!K13/10)+Skills!N13</f>
        <v/>
      </c>
      <c r="G1273">
        <f>Calc!G13</f>
        <v/>
      </c>
      <c r="H1273">
        <f>Calc!H13</f>
        <v/>
      </c>
      <c r="I1273">
        <f>IF(Skills!T13&lt;&gt;"",1+(Skills!T13/10)*($Z$3/1000)/100,1)</f>
        <v/>
      </c>
      <c r="J1273" t="inlineStr"/>
      <c r="K1273" t="inlineStr"/>
      <c r="L1273" t="inlineStr"/>
      <c r="M1273" t="inlineStr"/>
      <c r="N1273" t="inlineStr"/>
      <c r="O1273">
        <f>(1-Summary!$B$11)*S1273+Summary!$B$11*U1273</f>
        <v/>
      </c>
      <c r="P1273">
        <f>IF(B1302=0,0,O1273/B1302)</f>
        <v/>
      </c>
      <c r="Q1273">
        <f>IFERROR(1/(IF(Inputs!$B$39="pvp",15,MAX(0.1,Skills!D13-IF(Skills!E13=TRUE,Inputs!$B$33,0)))*(1-IF(AND(ArtifactsInput!$M$27,Inputs!$B$4="Chapter Hunt"),CHOOSE(ArtifactsInput!$N$27+1,20,24,28,32,36,40),0)/100)),0)</f>
        <v/>
      </c>
      <c r="R1273">
        <f>IF(AND(Inputs!$B$39&lt;&gt;"pvp",Inputs!$B$44&gt;0),IF(MAX(0,Inputs!$B$44-B1299)&lt;=0,0,(INT(MAX(0,Inputs!$B$44-B1299)/(IF(Inputs!$B$39="pvp",15,MAX(0.1,Skills!D13-IF(Skills!E13=TRUE,Inputs!$B$33,0)))*(1-IF(AND(ArtifactsInput!$M$27,Inputs!$B$4="Chapter Hunt"),CHOOSE(ArtifactsInput!$N$27+1,20,24,28,32,36,40),0)/100)))+1)),0)</f>
        <v/>
      </c>
      <c r="S1273" t="n">
        <v>0</v>
      </c>
      <c r="U1273" t="n">
        <v>0</v>
      </c>
    </row>
    <row r="1274">
      <c r="A1274">
        <f>Skills!A14</f>
        <v/>
      </c>
      <c r="B1274">
        <f>Skills!B14</f>
        <v/>
      </c>
      <c r="C1274">
        <f>Inputs!$B$3&gt;=107</f>
        <v/>
      </c>
      <c r="D1274">
        <f>IF(Skills!C14=1,60+Inputs!$B$26+Inputs!$B$30,IF(Skills!C14=2,90+Inputs!$B$27+Inputs!$B$30,IF(Skills!C14=3,120+Inputs!$B$28+Inputs!$B$30,MAX(0,(Inputs!$B$3-100)*3)+Inputs!$B$29+Inputs!$B$30)))</f>
        <v/>
      </c>
      <c r="E1274">
        <f>INDEX(FactorTable!$B$2:$Y$301, MATCH(ROUND(MIN(300,MAX(1,D1274)),0), FactorTable!$A$2:$A$301,0), Skills!L14+1)</f>
        <v/>
      </c>
      <c r="F1274">
        <f>IF(Skills!M14=TRUE,(Skills!K14/10)*(E1274/1000),Skills!K14/10)+Skills!N14</f>
        <v/>
      </c>
      <c r="G1274">
        <f>Calc!G14</f>
        <v/>
      </c>
      <c r="H1274">
        <f>Calc!H14</f>
        <v/>
      </c>
      <c r="I1274">
        <f>IF(Skills!T14&lt;&gt;"",1+(Skills!T14/10)*($Z$3/1000)/100,1)</f>
        <v/>
      </c>
      <c r="J1274" t="inlineStr"/>
      <c r="K1274" t="inlineStr"/>
      <c r="L1274" t="inlineStr"/>
      <c r="M1274" t="inlineStr"/>
      <c r="N1274" t="inlineStr"/>
      <c r="O1274">
        <f>(1-Summary!$B$11)*S1274+Summary!$B$11*U1274</f>
        <v/>
      </c>
      <c r="P1274">
        <f>IF(B1302=0,0,O1274/B1302)</f>
        <v/>
      </c>
      <c r="Q1274">
        <f>IFERROR(1/(IF(Inputs!$B$39="pvp",15,MAX(0.1,Skills!D14-IF(Skills!E14=TRUE,Inputs!$B$33,0)))*(1-IF(AND(ArtifactsInput!$M$27,Inputs!$B$4="Chapter Hunt"),CHOOSE(ArtifactsInput!$N$27+1,20,24,28,32,36,40),0)/100)),0)</f>
        <v/>
      </c>
      <c r="R1274">
        <f>IF(AND(Inputs!$B$39&lt;&gt;"pvp",Inputs!$B$44&gt;0),IF(Inputs!$B$44&lt;=0,0,(INT(Inputs!$B$44/(IF(Inputs!$B$39="pvp",15,MAX(0.1,Skills!D14-IF(Skills!E14=TRUE,Inputs!$B$33,0)))*(1-IF(AND(ArtifactsInput!$M$27,Inputs!$B$4="Chapter Hunt"),CHOOSE(ArtifactsInput!$N$27+1,20,24,28,32,36,40),0)/100)))+1)),0)</f>
        <v/>
      </c>
      <c r="S1274" t="n">
        <v>0</v>
      </c>
      <c r="U1274" t="n">
        <v>0</v>
      </c>
    </row>
    <row r="1275">
      <c r="A1275">
        <f>Skills!A15</f>
        <v/>
      </c>
      <c r="B1275">
        <f>Skills!B15</f>
        <v/>
      </c>
      <c r="C1275">
        <f>Inputs!$B$3&gt;=63</f>
        <v/>
      </c>
      <c r="D1275">
        <f>IF(Skills!C15=1,60+Inputs!$B$26+Inputs!$B$30,IF(Skills!C15=2,90+Inputs!$B$27+Inputs!$B$30,IF(Skills!C15=3,120+Inputs!$B$28+Inputs!$B$30,MAX(0,(Inputs!$B$3-100)*3)+Inputs!$B$29+Inputs!$B$30)))</f>
        <v/>
      </c>
      <c r="E1275">
        <f>INDEX(FactorTable!$B$2:$Y$301, MATCH(ROUND(MIN(300,MAX(1,D1275)),0), FactorTable!$A$2:$A$301,0), Skills!L15+1)</f>
        <v/>
      </c>
      <c r="F1275">
        <f>IF(Skills!M15=TRUE,(Skills!K15/10)*(E1275/1000),Skills!K15/10)+Skills!N15</f>
        <v/>
      </c>
      <c r="G1275">
        <f>Calc!G15</f>
        <v/>
      </c>
      <c r="H1275">
        <f>Calc!H15</f>
        <v/>
      </c>
      <c r="I1275">
        <f>IF(Skills!T15&lt;&gt;"",1+(Skills!T15/10)*($Z$3/1000)/100,1)</f>
        <v/>
      </c>
      <c r="J1275">
        <f>((Inputs!$B$6*(1+Inputs!$B$7/100))+(((Inputs!$B$13*(1+Inputs!$B$14/100))-(Inputs!$B$13*(1+Inputs!$B$14/100)))+0.25*(Inputs!$B$15-Inputs!$B$15))*(1+Inputs!$B$7/100))*(F1275/100)</f>
        <v/>
      </c>
      <c r="K1275">
        <f>J1275*(1+(((Inputs!$B$13+IF(Inputs!$B$3&gt;=35,(10*INDEX(FactorTable!$B$2:$Y$301,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15="TRIUMPH_FEATHER",IF(C1276=TRUE,F1276,0),0)/100)*(1+IF(C1287=TRUE,F1287,0)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1275)</f>
        <v/>
      </c>
      <c r="L1275">
        <f>K1275*(MIN(Inputs!$B$23+(F1282-Calc!F22),(Inputs!$B$24+IF(ArtifactsInput!$M$15,CHOOSE(ArtifactsInput!$N$15+1,25,30,35,40,45,50)/100*(Inputs!$B$12-Inputs!$B$12),0)))/100+(Inputs!$B$24+IF(ArtifactsInput!$M$15,CHOOSE(ArtifactsInput!$N$15+1,25,30,35,40,45,50)/100*(Inputs!$B$12-Inputs!$B$12),0))/100)/2</f>
        <v/>
      </c>
      <c r="M1275">
        <f>L1275*(1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75">
        <f>L1275*(1-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1275*(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5">
        <f>(1-Summary!$B$11)*S1275+Summary!$B$11*U1275</f>
        <v/>
      </c>
      <c r="P1275">
        <f>IF(B1302=0,0,O1275/B1302)</f>
        <v/>
      </c>
      <c r="Q1275">
        <f>IFERROR(1/(IF(Inputs!$B$39="pvp",15,MAX(0.1,Skills!D15-IF(Skills!E15=TRUE,Inputs!$B$33,0)))*(1-IF(AND(ArtifactsInput!$M$27,Inputs!$B$4="Chapter Hunt"),CHOOSE(ArtifactsInput!$N$27+1,20,24,28,32,36,40),0)/100)),0)</f>
        <v/>
      </c>
      <c r="R1275" t="n">
        <v>0</v>
      </c>
      <c r="S1275">
        <f>IF(C1275,(Skills!F15*N1275*((IF(Inputs!$B$3&gt;=78,25,15)/100*B1295*10)/(1+IF(Inputs!$B$3&gt;=78,25,15)/100*B1295*10))*(Skills!I15/100*B1295)/(1+Skills!G15*Skills!I15/100*B1295))*IF(Inputs!$B$39="pvp",1,1+(Inputs!$B$21+Skills!O15+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1275*(1-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1275*(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1275*(1-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1275*(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5">
        <f>IF(C1275,(Skills!F15*N1275*((IF(Inputs!$B$3&gt;=78,25,15)/100*B1295*10)/(1+IF(Inputs!$B$3&gt;=78,25,15)/100*B1295*10))*(Skills!I15/100*B1295)/(1+Skills!G15*Skills!I15/100*B1295))*IF(Inputs!$B$39="pvp",1,(1+(Inputs!$B$22+Skills!P15+B1291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6">
      <c r="A1276">
        <f>Skills!A16</f>
        <v/>
      </c>
      <c r="B1276">
        <f>Skills!B16</f>
        <v/>
      </c>
      <c r="C1276">
        <f>Inputs!$B$3&gt;=100</f>
        <v/>
      </c>
      <c r="D1276">
        <f>IF(Skills!C16=1,60+Inputs!$B$26+Inputs!$B$30,IF(Skills!C16=2,90+Inputs!$B$27+Inputs!$B$30,IF(Skills!C16=3,120+Inputs!$B$28+Inputs!$B$30,MAX(0,(Inputs!$B$3-100)*3)+Inputs!$B$29+Inputs!$B$30)))</f>
        <v/>
      </c>
      <c r="E1276">
        <f>INDEX(FactorTable!$B$2:$Y$301, MATCH(ROUND(MIN(300,MAX(1,D1276)),0), FactorTable!$A$2:$A$301,0), Skills!L16+1)</f>
        <v/>
      </c>
      <c r="F1276">
        <f>IF(Skills!M16=TRUE,(Skills!K16/10)*(E1276/1000),Skills!K16/10)+Skills!N16</f>
        <v/>
      </c>
      <c r="G1276">
        <f>Calc!G16</f>
        <v/>
      </c>
      <c r="H1276">
        <f>Calc!H16</f>
        <v/>
      </c>
      <c r="I1276">
        <f>IF(Skills!T16&lt;&gt;"",1+(Skills!T16/10)*($Z$3/1000)/100,1)</f>
        <v/>
      </c>
      <c r="J1276" t="inlineStr"/>
      <c r="K1276" t="inlineStr"/>
      <c r="L1276" t="inlineStr"/>
      <c r="M1276" t="inlineStr"/>
      <c r="N1276" t="inlineStr"/>
      <c r="O1276">
        <f>(1-Summary!$B$11)*S1276+Summary!$B$11*U1276</f>
        <v/>
      </c>
      <c r="P1276">
        <f>IF(B1302=0,0,O1276/B1302)</f>
        <v/>
      </c>
      <c r="Q1276">
        <f>IFERROR(1/(IF(Inputs!$B$39="pvp",15,MAX(0.1,Skills!D16-IF(Skills!E16=TRUE,Inputs!$B$33,0)))*(1-IF(AND(ArtifactsInput!$M$27,Inputs!$B$4="Chapter Hunt"),CHOOSE(ArtifactsInput!$N$27+1,20,24,28,32,36,40),0)/100)),0)</f>
        <v/>
      </c>
      <c r="R1276" t="n">
        <v>0</v>
      </c>
      <c r="S1276" t="n">
        <v>0</v>
      </c>
      <c r="U1276" t="n">
        <v>0</v>
      </c>
    </row>
    <row r="1277">
      <c r="A1277">
        <f>Skills!A17</f>
        <v/>
      </c>
      <c r="B1277">
        <f>Skills!B17</f>
        <v/>
      </c>
      <c r="C1277">
        <f>Inputs!$B$3&gt;=49</f>
        <v/>
      </c>
      <c r="D1277">
        <f>IF(Skills!C17=1,60+Inputs!$B$26+Inputs!$B$30,IF(Skills!C17=2,90+Inputs!$B$27+Inputs!$B$30,IF(Skills!C17=3,120+Inputs!$B$28+Inputs!$B$30,MAX(0,(Inputs!$B$3-100)*3)+Inputs!$B$29+Inputs!$B$30)))</f>
        <v/>
      </c>
      <c r="E1277">
        <f>INDEX(FactorTable!$B$2:$Y$301, MATCH(ROUND(MIN(300,MAX(1,D1277)),0), FactorTable!$A$2:$A$301,0), Skills!L17+1)</f>
        <v/>
      </c>
      <c r="F1277">
        <f>IF(Skills!M17=TRUE,(Skills!K17/10)*(E1277/1000),Skills!K17/10)+Skills!N17</f>
        <v/>
      </c>
      <c r="G1277">
        <f>Calc!G17</f>
        <v/>
      </c>
      <c r="H1277">
        <f>Calc!H17</f>
        <v/>
      </c>
      <c r="I1277">
        <f>IF(Skills!T17&lt;&gt;"",1+(Skills!T17/10)*($Z$3/1000)/100,1)</f>
        <v/>
      </c>
      <c r="J1277" t="inlineStr"/>
      <c r="K1277" t="inlineStr"/>
      <c r="L1277" t="inlineStr"/>
      <c r="M1277" t="inlineStr"/>
      <c r="N1277" t="inlineStr"/>
      <c r="O1277">
        <f>(1-Summary!$B$11)*S1277+Summary!$B$11*U1277</f>
        <v/>
      </c>
      <c r="P1277">
        <f>IF(B1302=0,0,O1277/B1302)</f>
        <v/>
      </c>
      <c r="Q1277">
        <f>IFERROR(1/(IF(Inputs!$B$39="pvp",15,MAX(0.1,Skills!D17-IF(Skills!E17=TRUE,Inputs!$B$33,0)))*(1-IF(AND(ArtifactsInput!$M$27,Inputs!$B$4="Chapter Hunt"),CHOOSE(ArtifactsInput!$N$27+1,20,24,28,32,36,40),0)/100)),0)</f>
        <v/>
      </c>
      <c r="R1277" t="n">
        <v>0</v>
      </c>
      <c r="S1277" t="n">
        <v>0</v>
      </c>
      <c r="U1277" t="n">
        <v>0</v>
      </c>
    </row>
    <row r="1278">
      <c r="A1278">
        <f>Skills!A18</f>
        <v/>
      </c>
      <c r="B1278">
        <f>Skills!B18</f>
        <v/>
      </c>
      <c r="C1278">
        <f>Inputs!$B$3&gt;=75</f>
        <v/>
      </c>
      <c r="D1278">
        <f>IF(Skills!C18=1,60+Inputs!$B$26+Inputs!$B$30,IF(Skills!C18=2,90+Inputs!$B$27+Inputs!$B$30,IF(Skills!C18=3,120+Inputs!$B$28+Inputs!$B$30,MAX(0,(Inputs!$B$3-100)*3)+Inputs!$B$29+Inputs!$B$30)))</f>
        <v/>
      </c>
      <c r="E1278">
        <f>INDEX(FactorTable!$B$2:$Y$301, MATCH(ROUND(MIN(300,MAX(1,D1278)),0), FactorTable!$A$2:$A$301,0), Skills!L18+1)</f>
        <v/>
      </c>
      <c r="F1278">
        <f>IF(Skills!M18=TRUE,(Skills!K18/10)*(E1278/1000),Skills!K18/10)+Skills!N18</f>
        <v/>
      </c>
      <c r="G1278">
        <f>Calc!G18</f>
        <v/>
      </c>
      <c r="H1278">
        <f>Calc!H18</f>
        <v/>
      </c>
      <c r="I1278">
        <f>IF(Skills!T18&lt;&gt;"",1+(Skills!T18/10)*($Z$3/1000)/100,1)</f>
        <v/>
      </c>
      <c r="J1278" t="inlineStr"/>
      <c r="K1278" t="inlineStr"/>
      <c r="L1278" t="inlineStr"/>
      <c r="M1278" t="inlineStr"/>
      <c r="N1278" t="inlineStr"/>
      <c r="O1278">
        <f>(1-Summary!$B$11)*S1278+Summary!$B$11*U1278</f>
        <v/>
      </c>
      <c r="P1278">
        <f>IF(B1302=0,0,O1278/B1302)</f>
        <v/>
      </c>
      <c r="Q1278">
        <f>IFERROR(1/(IF(Inputs!$B$39="pvp",15,MAX(0.1,Skills!D18-IF(Skills!E18=TRUE,Inputs!$B$33,0)))*(1-IF(AND(ArtifactsInput!$M$27,Inputs!$B$4="Chapter Hunt"),CHOOSE(ArtifactsInput!$N$27+1,20,24,28,32,36,40),0)/100)),0)</f>
        <v/>
      </c>
      <c r="R1278" t="n">
        <v>0</v>
      </c>
      <c r="S1278" t="n">
        <v>0</v>
      </c>
      <c r="U1278" t="n">
        <v>0</v>
      </c>
    </row>
    <row r="1279">
      <c r="A1279">
        <f>Skills!A19</f>
        <v/>
      </c>
      <c r="B1279">
        <f>Skills!B19</f>
        <v/>
      </c>
      <c r="C1279">
        <f>Inputs!$B$3&gt;=110</f>
        <v/>
      </c>
      <c r="D1279">
        <f>IF(Skills!C19=1,60+Inputs!$B$26+Inputs!$B$30,IF(Skills!C19=2,90+Inputs!$B$27+Inputs!$B$30,IF(Skills!C19=3,120+Inputs!$B$28+Inputs!$B$30,MAX(0,(Inputs!$B$3-100)*3)+Inputs!$B$29+Inputs!$B$30)))</f>
        <v/>
      </c>
      <c r="E1279">
        <f>INDEX(FactorTable!$B$2:$Y$301, MATCH(ROUND(MIN(300,MAX(1,D1279)),0), FactorTable!$A$2:$A$301,0), Skills!L19+1)</f>
        <v/>
      </c>
      <c r="F1279">
        <f>(Skills!K19/10)*(E1279/1000)*64/45+Skills!N19</f>
        <v/>
      </c>
      <c r="G1279">
        <f>Calc!G19</f>
        <v/>
      </c>
      <c r="H1279">
        <f>Calc!H19</f>
        <v/>
      </c>
      <c r="I1279">
        <f>IF(Skills!T19&lt;&gt;"",1+(Skills!T19/10)*($Z$3/1000)/100,1)</f>
        <v/>
      </c>
      <c r="J1279" t="inlineStr"/>
      <c r="K1279" t="inlineStr"/>
      <c r="L1279" t="inlineStr"/>
      <c r="M1279" t="inlineStr"/>
      <c r="N1279" t="inlineStr"/>
      <c r="O1279">
        <f>(1-Summary!$B$11)*S1279+Summary!$B$11*U1279</f>
        <v/>
      </c>
      <c r="P1279">
        <f>IF(B1302=0,0,O1279/B1302)</f>
        <v/>
      </c>
      <c r="Q1279">
        <f>IFERROR(1/(IF(Inputs!$B$39="pvp",15,MAX(0.1,Skills!D19-IF(Skills!E19=TRUE,Inputs!$B$33,0)))*(1-IF(AND(ArtifactsInput!$M$27,Inputs!$B$4="Chapter Hunt"),CHOOSE(ArtifactsInput!$N$27+1,20,24,28,32,36,40),0)/100)),0)</f>
        <v/>
      </c>
      <c r="R1279">
        <f>IF(AND(Inputs!$B$39&lt;&gt;"pvp",Inputs!$B$44&gt;0),IF(Inputs!$B$44&lt;=0,0,(INT(Inputs!$B$44/(IF(Inputs!$B$39="pvp",15,MAX(0.1,Skills!D19-IF(Skills!E19=TRUE,Inputs!$B$33,0)))*(1-IF(AND(ArtifactsInput!$M$27,Inputs!$B$4="Chapter Hunt"),CHOOSE(ArtifactsInput!$N$27+1,20,24,28,32,36,40),0)/100)))+1)),0)</f>
        <v/>
      </c>
      <c r="S1279" t="n">
        <v>0</v>
      </c>
      <c r="U1279" t="n">
        <v>0</v>
      </c>
    </row>
    <row r="1280">
      <c r="A1280">
        <f>Skills!A20</f>
        <v/>
      </c>
      <c r="B1280">
        <f>Skills!B20</f>
        <v/>
      </c>
      <c r="C1280">
        <f>Inputs!$B$3&gt;=125</f>
        <v/>
      </c>
      <c r="D1280">
        <f>IF(Skills!C20=1,60+Inputs!$B$26+Inputs!$B$30,IF(Skills!C20=2,90+Inputs!$B$27+Inputs!$B$30,IF(Skills!C20=3,120+Inputs!$B$28+Inputs!$B$30,MAX(0,(Inputs!$B$3-100)*3)+Inputs!$B$29+Inputs!$B$30)))</f>
        <v/>
      </c>
      <c r="E1280">
        <f>INDEX(FactorTable!$B$2:$Y$301, MATCH(ROUND(MIN(300,MAX(1,D1280)),0), FactorTable!$A$2:$A$301,0), Skills!L20+1)</f>
        <v/>
      </c>
      <c r="F1280">
        <f>IF(Skills!M20=TRUE,(Skills!K20/10)*(E1280/1000),Skills!K20/10)+Skills!N20</f>
        <v/>
      </c>
      <c r="G1280">
        <f>Calc!G20</f>
        <v/>
      </c>
      <c r="H1280">
        <f>Calc!H20</f>
        <v/>
      </c>
      <c r="I1280">
        <f>IF(Skills!T20&lt;&gt;"",1+(Skills!T20/10)*($Z$3/1000)/100,1)</f>
        <v/>
      </c>
      <c r="J1280" t="inlineStr"/>
      <c r="K1280" t="inlineStr"/>
      <c r="L1280" t="inlineStr"/>
      <c r="M1280" t="inlineStr"/>
      <c r="N1280" t="inlineStr"/>
      <c r="O1280">
        <f>(1-Summary!$B$11)*S1280+Summary!$B$11*U1280</f>
        <v/>
      </c>
      <c r="P1280">
        <f>IF(B1302=0,0,O1280/B1302)</f>
        <v/>
      </c>
      <c r="Q1280">
        <f>IFERROR(1/(IF(Inputs!$B$39="pvp",15,MAX(0.1,Skills!D20-IF(Skills!E20=TRUE,Inputs!$B$33,0)))*(1-IF(AND(ArtifactsInput!$M$27,Inputs!$B$4="Chapter Hunt"),CHOOSE(ArtifactsInput!$N$27+1,20,24,28,32,36,40),0)/100)),0)</f>
        <v/>
      </c>
      <c r="R1280" t="n">
        <v>0</v>
      </c>
      <c r="S1280" t="n">
        <v>0</v>
      </c>
      <c r="U1280" t="n">
        <v>0</v>
      </c>
    </row>
    <row r="1281">
      <c r="A1281">
        <f>Skills!A21</f>
        <v/>
      </c>
      <c r="B1281">
        <f>Skills!B21</f>
        <v/>
      </c>
      <c r="C1281">
        <f>Inputs!$B$3&gt;=33</f>
        <v/>
      </c>
      <c r="D1281">
        <f>IF(Skills!C21=1,60+Inputs!$B$26+Inputs!$B$30,IF(Skills!C21=2,90+Inputs!$B$27+Inputs!$B$30,IF(Skills!C21=3,120+Inputs!$B$28+Inputs!$B$30,MAX(0,(Inputs!$B$3-100)*3)+Inputs!$B$29+Inputs!$B$30)))</f>
        <v/>
      </c>
      <c r="E1281">
        <f>INDEX(FactorTable!$B$2:$Y$301, MATCH(ROUND(MIN(300,MAX(1,D1281)),0), FactorTable!$A$2:$A$301,0), Skills!L21+1)</f>
        <v/>
      </c>
      <c r="F1281">
        <f>IF(Skills!M21=TRUE,(Skills!K21/10)*(E1281/1000),Skills!K21/10)+Skills!N21</f>
        <v/>
      </c>
      <c r="G1281">
        <f>Calc!G21</f>
        <v/>
      </c>
      <c r="H1281">
        <f>Calc!H21</f>
        <v/>
      </c>
      <c r="I1281">
        <f>IF(Skills!T21&lt;&gt;"",1+(Skills!T21/10)*($Z$3/1000)/100,1)</f>
        <v/>
      </c>
      <c r="J1281" t="inlineStr"/>
      <c r="K1281" t="inlineStr"/>
      <c r="L1281" t="inlineStr"/>
      <c r="M1281" t="inlineStr"/>
      <c r="N1281" t="inlineStr"/>
      <c r="O1281">
        <f>(1-Summary!$B$11)*S1281+Summary!$B$11*U1281</f>
        <v/>
      </c>
      <c r="P1281">
        <f>IF(B1302=0,0,O1281/B1302)</f>
        <v/>
      </c>
      <c r="Q1281">
        <f>IFERROR(1/(IF(Inputs!$B$39="pvp",15,MAX(0.1,Skills!D21-IF(Skills!E21=TRUE,Inputs!$B$33,0)))*(1-IF(AND(ArtifactsInput!$M$27,Inputs!$B$4="Chapter Hunt"),CHOOSE(ArtifactsInput!$N$27+1,20,24,28,32,36,40),0)/100)),0)</f>
        <v/>
      </c>
      <c r="R1281" t="n">
        <v>0</v>
      </c>
      <c r="S1281" t="n">
        <v>0</v>
      </c>
      <c r="U1281" t="n">
        <v>0</v>
      </c>
    </row>
    <row r="1282">
      <c r="A1282">
        <f>Skills!A22</f>
        <v/>
      </c>
      <c r="B1282">
        <f>Skills!B22</f>
        <v/>
      </c>
      <c r="C1282">
        <f>Inputs!$B$3&gt;=43</f>
        <v/>
      </c>
      <c r="D1282">
        <f>IF(Skills!C22=1,60+Inputs!$B$26+Inputs!$B$30,IF(Skills!C22=2,90+Inputs!$B$27+Inputs!$B$30,IF(Skills!C22=3,120+Inputs!$B$28+Inputs!$B$30,MAX(0,(Inputs!$B$3-100)*3)+Inputs!$B$29+Inputs!$B$30)))</f>
        <v/>
      </c>
      <c r="E1282">
        <f>INDEX(FactorTable!$B$2:$Y$301, MATCH(ROUND(MIN(300,MAX(1,D1282)),0), FactorTable!$A$2:$A$301,0), Skills!L22+1)</f>
        <v/>
      </c>
      <c r="F1282">
        <f>IF(Skills!M22=TRUE,(Skills!K22/10)*(E1282/1000),Skills!K22/10)+Skills!N22</f>
        <v/>
      </c>
      <c r="G1282">
        <f>Calc!G22</f>
        <v/>
      </c>
      <c r="H1282">
        <f>Calc!H22</f>
        <v/>
      </c>
      <c r="I1282">
        <f>IF(Skills!T22&lt;&gt;"",1+(Skills!T22/10)*($Z$3/1000)/100,1)</f>
        <v/>
      </c>
      <c r="J1282" t="inlineStr"/>
      <c r="K1282" t="inlineStr"/>
      <c r="L1282" t="inlineStr"/>
      <c r="M1282" t="inlineStr"/>
      <c r="N1282" t="inlineStr"/>
      <c r="O1282">
        <f>(1-Summary!$B$11)*S1282+Summary!$B$11*U1282</f>
        <v/>
      </c>
      <c r="P1282">
        <f>IF(B1302=0,0,O1282/B1302)</f>
        <v/>
      </c>
      <c r="Q1282">
        <f>IFERROR(1/(IF(Inputs!$B$39="pvp",15,MAX(0.1,Skills!D22-IF(Skills!E22=TRUE,Inputs!$B$33,0)))*(1-IF(AND(ArtifactsInput!$M$27,Inputs!$B$4="Chapter Hunt"),CHOOSE(ArtifactsInput!$N$27+1,20,24,28,32,36,40),0)/100)),0)</f>
        <v/>
      </c>
      <c r="R1282" t="n">
        <v>0</v>
      </c>
      <c r="S1282" t="n">
        <v>0</v>
      </c>
      <c r="U1282" t="n">
        <v>0</v>
      </c>
    </row>
    <row r="1283">
      <c r="A1283">
        <f>Skills!A23</f>
        <v/>
      </c>
      <c r="B1283">
        <f>Skills!B23</f>
        <v/>
      </c>
      <c r="C1283">
        <f>Inputs!$B$3&gt;=50</f>
        <v/>
      </c>
      <c r="D1283">
        <f>IF(Skills!C23=1,60+Inputs!$B$26+Inputs!$B$30,IF(Skills!C23=2,90+Inputs!$B$27+Inputs!$B$30,IF(Skills!C23=3,120+Inputs!$B$28+Inputs!$B$30,MAX(0,(Inputs!$B$3-100)*3)+Inputs!$B$29+Inputs!$B$30)))</f>
        <v/>
      </c>
      <c r="E1283">
        <f>INDEX(FactorTable!$B$2:$Y$301, MATCH(ROUND(MIN(300,MAX(1,D1283)),0), FactorTable!$A$2:$A$301,0), Skills!L23+1)</f>
        <v/>
      </c>
      <c r="F1283">
        <f>IF(Skills!M23=TRUE,(Skills!K23/10)*(E1283/1000),Skills!K23/10)+Skills!N23</f>
        <v/>
      </c>
      <c r="G1283">
        <f>Calc!G23</f>
        <v/>
      </c>
      <c r="H1283">
        <f>Calc!H23</f>
        <v/>
      </c>
      <c r="I1283">
        <f>IF(Skills!T23&lt;&gt;"",1+(Skills!T23/10)*($Z$3/1000)/100,1)</f>
        <v/>
      </c>
      <c r="J1283" t="inlineStr"/>
      <c r="K1283" t="inlineStr"/>
      <c r="L1283" t="inlineStr"/>
      <c r="M1283" t="inlineStr"/>
      <c r="N1283" t="inlineStr"/>
      <c r="O1283">
        <f>(1-Summary!$B$11)*S1283+Summary!$B$11*U1283</f>
        <v/>
      </c>
      <c r="P1283">
        <f>IF(B1302=0,0,O1283/B1302)</f>
        <v/>
      </c>
      <c r="Q1283">
        <f>IFERROR(1/(IF(Inputs!$B$39="pvp",15,MAX(0.1,Skills!D23-IF(Skills!E23=TRUE,Inputs!$B$33,0)))*(1-IF(AND(ArtifactsInput!$M$27,Inputs!$B$4="Chapter Hunt"),CHOOSE(ArtifactsInput!$N$27+1,20,24,28,32,36,40),0)/100)),0)</f>
        <v/>
      </c>
      <c r="R1283" t="n">
        <v>0</v>
      </c>
      <c r="S1283" t="n">
        <v>0</v>
      </c>
      <c r="U1283" t="n">
        <v>0</v>
      </c>
    </row>
    <row r="1284">
      <c r="A1284">
        <f>Skills!A24</f>
        <v/>
      </c>
      <c r="B1284">
        <f>Skills!B24</f>
        <v/>
      </c>
      <c r="C1284">
        <f>Inputs!$B$3&gt;=74</f>
        <v/>
      </c>
      <c r="D1284">
        <f>IF(Skills!C24=1,60+Inputs!$B$26+Inputs!$B$30,IF(Skills!C24=2,90+Inputs!$B$27+Inputs!$B$30,IF(Skills!C24=3,120+Inputs!$B$28+Inputs!$B$30,MAX(0,(Inputs!$B$3-100)*3)+Inputs!$B$29+Inputs!$B$30)))</f>
        <v/>
      </c>
      <c r="E1284">
        <f>INDEX(FactorTable!$B$2:$Y$301, MATCH(ROUND(MIN(300,MAX(1,D1284)),0), FactorTable!$A$2:$A$301,0), Skills!L24+1)</f>
        <v/>
      </c>
      <c r="F1284">
        <f>IF(Skills!M24=TRUE,(Skills!K24/10)*(E1284/1000),Skills!K24/10)+Skills!N24</f>
        <v/>
      </c>
      <c r="G1284">
        <f>Calc!G24</f>
        <v/>
      </c>
      <c r="H1284">
        <f>Calc!H24</f>
        <v/>
      </c>
      <c r="I1284">
        <f>IF(Skills!T24&lt;&gt;"",1+(Skills!T24/10)*($Z$3/1000)/100,1)</f>
        <v/>
      </c>
      <c r="J1284" t="inlineStr"/>
      <c r="K1284" t="inlineStr"/>
      <c r="L1284" t="inlineStr"/>
      <c r="M1284" t="inlineStr"/>
      <c r="N1284" t="inlineStr"/>
      <c r="O1284">
        <f>(1-Summary!$B$11)*S1284+Summary!$B$11*U1284</f>
        <v/>
      </c>
      <c r="P1284">
        <f>IF(B1302=0,0,O1284/B1302)</f>
        <v/>
      </c>
      <c r="Q1284">
        <f>IFERROR(1/(IF(Inputs!$B$39="pvp",15,MAX(0.1,Skills!D24-IF(Skills!E24=TRUE,Inputs!$B$33,0)))*(1-IF(AND(ArtifactsInput!$M$27,Inputs!$B$4="Chapter Hunt"),CHOOSE(ArtifactsInput!$N$27+1,20,24,28,32,36,40),0)/100)),0)</f>
        <v/>
      </c>
      <c r="R1284" t="n">
        <v>0</v>
      </c>
      <c r="S1284" t="n">
        <v>0</v>
      </c>
      <c r="U1284" t="n">
        <v>0</v>
      </c>
    </row>
    <row r="1285">
      <c r="A1285">
        <f>Skills!A25</f>
        <v/>
      </c>
      <c r="B1285">
        <f>Skills!B25</f>
        <v/>
      </c>
      <c r="C1285">
        <f>Inputs!$B$3&gt;=74</f>
        <v/>
      </c>
      <c r="D1285">
        <f>IF(Skills!C25=1,60+Inputs!$B$26+Inputs!$B$30,IF(Skills!C25=2,90+Inputs!$B$27+Inputs!$B$30,IF(Skills!C25=3,120+Inputs!$B$28+Inputs!$B$30,MAX(0,(Inputs!$B$3-100)*3)+Inputs!$B$29+Inputs!$B$30)))</f>
        <v/>
      </c>
      <c r="E1285">
        <f>INDEX(FactorTable!$B$2:$Y$301, MATCH(ROUND(MIN(300,MAX(1,D1285)),0), FactorTable!$A$2:$A$301,0), Skills!L25+1)</f>
        <v/>
      </c>
      <c r="F1285">
        <f>IF(Skills!M25=TRUE,(Skills!K25/10)*(E1285/1000),Skills!K25/10)+Skills!N25</f>
        <v/>
      </c>
      <c r="G1285">
        <f>Calc!G25</f>
        <v/>
      </c>
      <c r="H1285">
        <f>Calc!H25</f>
        <v/>
      </c>
      <c r="I1285">
        <f>IF(Skills!T25&lt;&gt;"",1+(Skills!T25/10)*($Z$3/1000)/100,1)</f>
        <v/>
      </c>
      <c r="J1285" t="inlineStr"/>
      <c r="K1285" t="inlineStr"/>
      <c r="L1285" t="inlineStr"/>
      <c r="M1285" t="inlineStr"/>
      <c r="N1285" t="inlineStr"/>
      <c r="O1285">
        <f>(1-Summary!$B$11)*S1285+Summary!$B$11*U1285</f>
        <v/>
      </c>
      <c r="P1285">
        <f>IF(B1302=0,0,O1285/B1302)</f>
        <v/>
      </c>
      <c r="Q1285">
        <f>IFERROR(1/(IF(Inputs!$B$39="pvp",15,MAX(0.1,Skills!D25-IF(Skills!E25=TRUE,Inputs!$B$33,0)))*(1-IF(AND(ArtifactsInput!$M$27,Inputs!$B$4="Chapter Hunt"),CHOOSE(ArtifactsInput!$N$27+1,20,24,28,32,36,40),0)/100)),0)</f>
        <v/>
      </c>
      <c r="R1285" t="n">
        <v>0</v>
      </c>
      <c r="S1285" t="n">
        <v>0</v>
      </c>
      <c r="U1285" t="n">
        <v>0</v>
      </c>
    </row>
    <row r="1286">
      <c r="A1286">
        <f>Skills!A26</f>
        <v/>
      </c>
      <c r="B1286">
        <f>Skills!B26</f>
        <v/>
      </c>
      <c r="C1286">
        <f>Inputs!$B$3&gt;=117</f>
        <v/>
      </c>
      <c r="D1286">
        <f>IF(Skills!C26=1,60+Inputs!$B$26+Inputs!$B$30,IF(Skills!C26=2,90+Inputs!$B$27+Inputs!$B$30,IF(Skills!C26=3,120+Inputs!$B$28+Inputs!$B$30,MAX(0,(Inputs!$B$3-100)*3)+Inputs!$B$29+Inputs!$B$30)))</f>
        <v/>
      </c>
      <c r="E1286">
        <f>INDEX(FactorTable!$B$2:$Y$301, MATCH(ROUND(MIN(300,MAX(1,D1286)),0), FactorTable!$A$2:$A$301,0), Skills!L26+1)</f>
        <v/>
      </c>
      <c r="F1286">
        <f>IF(Skills!M26=TRUE,(Skills!K26/10)*(E1286/1000),Skills!K26/10)+Skills!N26</f>
        <v/>
      </c>
      <c r="G1286">
        <f>Calc!G26</f>
        <v/>
      </c>
      <c r="H1286">
        <f>Calc!H26</f>
        <v/>
      </c>
      <c r="I1286">
        <f>IF(Skills!T26&lt;&gt;"",1+(Skills!T26/10)*($Z$3/1000)/100,1)</f>
        <v/>
      </c>
      <c r="J1286" t="inlineStr"/>
      <c r="K1286" t="inlineStr"/>
      <c r="L1286" t="inlineStr"/>
      <c r="M1286" t="inlineStr"/>
      <c r="N1286" t="inlineStr"/>
      <c r="O1286">
        <f>(1-Summary!$B$11)*S1286+Summary!$B$11*U1286</f>
        <v/>
      </c>
      <c r="P1286">
        <f>IF(B1302=0,0,O1286/B1302)</f>
        <v/>
      </c>
      <c r="Q1286">
        <f>IFERROR(1/(IF(Inputs!$B$39="pvp",15,MAX(0.1,Skills!D26-IF(Skills!E26=TRUE,Inputs!$B$33,0)))*(1-IF(AND(ArtifactsInput!$M$27,Inputs!$B$4="Chapter Hunt"),CHOOSE(ArtifactsInput!$N$27+1,20,24,28,32,36,40),0)/100)),0)</f>
        <v/>
      </c>
      <c r="R1286" t="n">
        <v>0</v>
      </c>
      <c r="S1286" t="n">
        <v>0</v>
      </c>
      <c r="U1286" t="n">
        <v>0</v>
      </c>
    </row>
    <row r="1287">
      <c r="A1287">
        <f>Skills!A27</f>
        <v/>
      </c>
      <c r="B1287">
        <f>Skills!B27</f>
        <v/>
      </c>
      <c r="C1287">
        <f>Inputs!$B$3&gt;=120</f>
        <v/>
      </c>
      <c r="D1287">
        <f>IF(Skills!C27=1,60+Inputs!$B$26+Inputs!$B$30,IF(Skills!C27=2,90+Inputs!$B$27+Inputs!$B$30,IF(Skills!C27=3,120+Inputs!$B$28+Inputs!$B$30,MAX(0,(Inputs!$B$3-100)*3)+Inputs!$B$29+Inputs!$B$30)))</f>
        <v/>
      </c>
      <c r="E1287">
        <f>INDEX(FactorTable!$B$2:$Y$301, MATCH(ROUND(MIN(300,MAX(1,D1287)),0), FactorTable!$A$2:$A$301,0), Skills!L27+1)</f>
        <v/>
      </c>
      <c r="F1287">
        <f>IF(Skills!M27=TRUE,(Skills!K27/10)*(E1287/1000),Skills!K27/10)+Skills!N27</f>
        <v/>
      </c>
      <c r="G1287">
        <f>Calc!G27</f>
        <v/>
      </c>
      <c r="H1287">
        <f>Calc!H27</f>
        <v/>
      </c>
      <c r="I1287">
        <f>IF(Skills!T27&lt;&gt;"",1+(Skills!T27/10)*($Z$3/1000)/100,1)</f>
        <v/>
      </c>
      <c r="J1287" t="inlineStr"/>
      <c r="K1287" t="inlineStr"/>
      <c r="L1287" t="inlineStr"/>
      <c r="M1287" t="inlineStr"/>
      <c r="N1287" t="inlineStr"/>
      <c r="O1287">
        <f>(1-Summary!$B$11)*S1287+Summary!$B$11*U1287</f>
        <v/>
      </c>
      <c r="P1287">
        <f>IF(B1302=0,0,O1287/B1302)</f>
        <v/>
      </c>
      <c r="Q1287">
        <f>IFERROR(1/(IF(Inputs!$B$39="pvp",15,MAX(0.1,Skills!D27-IF(Skills!E27=TRUE,Inputs!$B$33,0)))*(1-IF(AND(ArtifactsInput!$M$27,Inputs!$B$4="Chapter Hunt"),CHOOSE(ArtifactsInput!$N$27+1,20,24,28,32,36,40),0)/100)),0)</f>
        <v/>
      </c>
      <c r="R1287" t="n">
        <v>0</v>
      </c>
      <c r="S1287" t="n">
        <v>0</v>
      </c>
      <c r="U1287" t="n">
        <v>0</v>
      </c>
    </row>
    <row r="1289">
      <c r="A1289" t="inlineStr">
        <is>
          <t>Average Buff Multiplier</t>
        </is>
      </c>
      <c r="B1289">
        <f>(1+(IF(C1263=TRUE,F1263*IF(AND(Inputs!$B$39&lt;&gt;"pvp",Inputs!$B$44&gt;0),(((R1263-1)*(Skills!S3*(1+((Inputs!$B$35+(ArtifactsInput!$M$7-ArtifactsInput!$M$7)*CHOOSE(ArtifactsInput!$N$7+1,6,7.2,8.4,9.6,10.8,12))+IF(Inputs!$B$3&gt;=117,F1286,0))/100))+MIN((Skills!S3*(1+((Inputs!$B$35+(ArtifactsInput!$M$7-ArtifactsInput!$M$7)*CHOOSE(ArtifactsInput!$N$7+1,6,7.2,8.4,9.6,10.8,12))+IF(Inputs!$B$3&gt;=117,F1286,0))/100)),MAX(0,Inputs!$B$44-((R1263-1)*Skills!D3))))/Inputs!$B$44),IF(Inputs!$B$39="pvp",MIN((Skills!S3*(1+((Inputs!$B$35+(ArtifactsInput!$M$7-ArtifactsInput!$M$7)*CHOOSE(ArtifactsInput!$N$7+1,6,7.2,8.4,9.6,10.8,12))+IF(Inputs!$B$3&gt;=117,F1286,0))/100)),15)/15,(Skills!S3*(1+((Inputs!$B$35+(ArtifactsInput!$M$7-ArtifactsInput!$M$7)*CHOOSE(ArtifactsInput!$N$7+1,6,7.2,8.4,9.6,10.8,12))+IF(Inputs!$B$3&gt;=117,F1286,0))/100))/Skills!D3)),0)+IF(C1264=TRUE,F1264*IF(AND(Inputs!$B$39&lt;&gt;"pvp",Inputs!$B$44&gt;0),(((R1264-1)*(Skills!S4*(1+((Inputs!$B$35+(ArtifactsInput!$M$7-ArtifactsInput!$M$7)*CHOOSE(ArtifactsInput!$N$7+1,6,7.2,8.4,9.6,10.8,12))+IF(Inputs!$B$3&gt;=117,F1286,0))/100))+MIN((Skills!S4*(1+((Inputs!$B$35+(ArtifactsInput!$M$7-ArtifactsInput!$M$7)*CHOOSE(ArtifactsInput!$N$7+1,6,7.2,8.4,9.6,10.8,12))+IF(Inputs!$B$3&gt;=117,F1286,0))/100)),MAX(0,Inputs!$B$44-((R1264-1)*Skills!D4))))/Inputs!$B$44),IF(Inputs!$B$39="pvp",MIN((Skills!S4*(1+((Inputs!$B$35+(ArtifactsInput!$M$7-ArtifactsInput!$M$7)*CHOOSE(ArtifactsInput!$N$7+1,6,7.2,8.4,9.6,10.8,12))+IF(Inputs!$B$3&gt;=117,F1286,0))/100)),15)/15,(Skills!S4*(1+((Inputs!$B$35+(ArtifactsInput!$M$7-ArtifactsInput!$M$7)*CHOOSE(ArtifactsInput!$N$7+1,6,7.2,8.4,9.6,10.8,12))+IF(Inputs!$B$3&gt;=117,F1286,0))/100))/Skills!D4)),0)+IF(C1265=TRUE,F1265*IF(AND(Inputs!$B$39&lt;&gt;"pvp",Inputs!$B$44&gt;0),(((R1265-1)*(Skills!S5*(1+((Inputs!$B$35+(ArtifactsInput!$M$7-ArtifactsInput!$M$7)*CHOOSE(ArtifactsInput!$N$7+1,6,7.2,8.4,9.6,10.8,12))+IF(Inputs!$B$3&gt;=117,F1286,0))/100))+MIN((Skills!S5*(1+((Inputs!$B$35+(ArtifactsInput!$M$7-ArtifactsInput!$M$7)*CHOOSE(ArtifactsInput!$N$7+1,6,7.2,8.4,9.6,10.8,12))+IF(Inputs!$B$3&gt;=117,F1286,0))/100)),MAX(0,Inputs!$B$44-((R1265-1)*Skills!D5))))/Inputs!$B$44),IF(Inputs!$B$39="pvp",MIN((Skills!S5*(1+((Inputs!$B$35+(ArtifactsInput!$M$7-ArtifactsInput!$M$7)*CHOOSE(ArtifactsInput!$N$7+1,6,7.2,8.4,9.6,10.8,12))+IF(Inputs!$B$3&gt;=117,F1286,0))/100)),15)/15,(Skills!S5*(1+((Inputs!$B$35+(ArtifactsInput!$M$7-ArtifactsInput!$M$7)*CHOOSE(ArtifactsInput!$N$7+1,6,7.2,8.4,9.6,10.8,12))+IF(Inputs!$B$3&gt;=117,F1286,0))/100))/Skills!D5)),0)+IF(C1271=TRUE,F1271*IF(AND(Inputs!$B$39&lt;&gt;"pvp",Inputs!$B$44&gt;0),(((R1271-1)*(Skills!S11*(1+((Inputs!$B$35+(ArtifactsInput!$M$7-ArtifactsInput!$M$7)*CHOOSE(ArtifactsInput!$N$7+1,6,7.2,8.4,9.6,10.8,12))+IF(Inputs!$B$3&gt;=117,F1286,0))/100))+MIN((Skills!S11*(1+((Inputs!$B$35+(ArtifactsInput!$M$7-ArtifactsInput!$M$7)*CHOOSE(ArtifactsInput!$N$7+1,6,7.2,8.4,9.6,10.8,12))+IF(Inputs!$B$3&gt;=117,F1286,0))/100)),MAX(0,Inputs!$B$44-((R1271-1)*Skills!D11))))/Inputs!$B$44),IF(Inputs!$B$39="pvp",MIN((Skills!S11*(1+((Inputs!$B$35+(ArtifactsInput!$M$7-ArtifactsInput!$M$7)*CHOOSE(ArtifactsInput!$N$7+1,6,7.2,8.4,9.6,10.8,12))+IF(Inputs!$B$3&gt;=117,F1286,0))/100)),15)/15,(Skills!S11*(1+((Inputs!$B$35+(ArtifactsInput!$M$7-ArtifactsInput!$M$7)*CHOOSE(ArtifactsInput!$N$7+1,6,7.2,8.4,9.6,10.8,12))+IF(Inputs!$B$3&gt;=117,F1286,0)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1274=TRUE,(1+F1274*IF(AND(Inputs!$B$39&lt;&gt;"pvp",Inputs!$B$44&gt;0),(((R1274-1)*(Skills!S14*(1+((Inputs!$B$35+(ArtifactsInput!$M$7-ArtifactsInput!$M$7)*CHOOSE(ArtifactsInput!$N$7+1,6,7.2,8.4,9.6,10.8,12))+IF(Inputs!$B$3&gt;=117,F1286,0))/100))+MIN((Skills!S14*(1+((Inputs!$B$35+(ArtifactsInput!$M$7-ArtifactsInput!$M$7)*CHOOSE(ArtifactsInput!$N$7+1,6,7.2,8.4,9.6,10.8,12))+IF(Inputs!$B$3&gt;=117,F1286,0))/100)),MAX(0,Inputs!$B$44-((R1274-1)*Skills!D14))))/Inputs!$B$44),IF(Inputs!$B$39="pvp",MIN((Skills!S14*(1+((Inputs!$B$35+(ArtifactsInput!$M$7-ArtifactsInput!$M$7)*CHOOSE(ArtifactsInput!$N$7+1,6,7.2,8.4,9.6,10.8,12))+IF(Inputs!$B$3&gt;=117,F1286,0))/100)),15)/15,(Skills!S14*(1+((Inputs!$B$35+(ArtifactsInput!$M$7-ArtifactsInput!$M$7)*CHOOSE(ArtifactsInput!$N$7+1,6,7.2,8.4,9.6,10.8,12))+IF(Inputs!$B$3&gt;=117,F1286,0))/100))/Skills!D14))/100),1)*IF(C1279=TRUE,(1+F1279*IF(AND(Inputs!$B$39&lt;&gt;"pvp",Inputs!$B$44&gt;0),(((R1279-1)*(Skills!S19*(1+((Inputs!$B$35+(ArtifactsInput!$M$7-ArtifactsInput!$M$7)*CHOOSE(ArtifactsInput!$N$7+1,6,7.2,8.4,9.6,10.8,12))+IF(Inputs!$B$3&gt;=117,F1286,0))/100))+MIN((Skills!S19*(1+((Inputs!$B$35+(ArtifactsInput!$M$7-ArtifactsInput!$M$7)*CHOOSE(ArtifactsInput!$N$7+1,6,7.2,8.4,9.6,10.8,12))+IF(Inputs!$B$3&gt;=117,F1286,0))/100)),MAX(0,Inputs!$B$44-((R1279-1)*Skills!D19))))/Inputs!$B$44),IF(Inputs!$B$39="pvp",MIN((Skills!S19*(1+((Inputs!$B$35+(ArtifactsInput!$M$7-ArtifactsInput!$M$7)*CHOOSE(ArtifactsInput!$N$7+1,6,7.2,8.4,9.6,10.8,12))+IF(Inputs!$B$3&gt;=117,F1286,0))/100)),15)/15,(Skills!S19*(1+((Inputs!$B$35+(ArtifactsInput!$M$7-ArtifactsInput!$M$7)*CHOOSE(ArtifactsInput!$N$7+1,6,7.2,8.4,9.6,10.8,12))+IF(Inputs!$B$3&gt;=117,F1286,0))/100))/Skills!D19))/100),1)</f>
        <v/>
      </c>
    </row>
    <row r="1290">
      <c r="A1290" t="inlineStr">
        <is>
          <t>Monster Damage Taken Bonus % (Holy Fountain)</t>
        </is>
      </c>
      <c r="B1290">
        <f>IF(Inputs!$B$3&gt;=68,20*IF(Inputs!$B$39="pvp",MIN((15*(1+((Inputs!$B$35+(ArtifactsInput!$M$7-ArtifactsInput!$M$7)*CHOOSE(ArtifactsInput!$N$7+1,6,7.2,8.4,9.6,10.8,12))+IF(Inputs!$B$3&gt;=117,F1286,0))/100)),15)/15,(15*(1+((Inputs!$B$35+(ArtifactsInput!$M$7-ArtifactsInput!$M$7)*CHOOSE(ArtifactsInput!$N$7+1,6,7.2,8.4,9.6,10.8,12))+IF(Inputs!$B$3&gt;=117,F1286,0))/100))/Skills!D10),0)</f>
        <v/>
      </c>
    </row>
    <row r="1291">
      <c r="A1291" t="inlineStr">
        <is>
          <t>Normal Monster Damage Bonus % (Holy Symbol)</t>
        </is>
      </c>
      <c r="B1291">
        <f>IF(C1272=TRUE,F1272*IF(AND(Inputs!$B$39&lt;&gt;"pvp",Inputs!$B$44&gt;0),(((R1272-1)*(Skills!S12*(1+((Inputs!$B$35+(ArtifactsInput!$M$7-ArtifactsInput!$M$7)*CHOOSE(ArtifactsInput!$N$7+1,6,7.2,8.4,9.6,10.8,12))+IF(Inputs!$B$3&gt;=117,F1286,0))/100))+MIN((Skills!S12*(1+((Inputs!$B$35+(ArtifactsInput!$M$7-ArtifactsInput!$M$7)*CHOOSE(ArtifactsInput!$N$7+1,6,7.2,8.4,9.6,10.8,12))+IF(Inputs!$B$3&gt;=117,F1286,0))/100)),MAX(0,Inputs!$B$44-((R1272-1)*Skills!D12))))/Inputs!$B$44),IF(Inputs!$B$39="pvp",MIN((Skills!S12*(1+((Inputs!$B$35+(ArtifactsInput!$M$7-ArtifactsInput!$M$7)*CHOOSE(ArtifactsInput!$N$7+1,6,7.2,8.4,9.6,10.8,12))+IF(Inputs!$B$3&gt;=117,F1286,0))/100)),15)/15,(Skills!S12*(1+((Inputs!$B$35+(ArtifactsInput!$M$7-ArtifactsInput!$M$7)*CHOOSE(ArtifactsInput!$N$7+1,6,7.2,8.4,9.6,10.8,12))+IF(Inputs!$B$3&gt;=117,F1286,0))/100))/Skills!D12)),0)</f>
        <v/>
      </c>
    </row>
    <row r="1292">
      <c r="A1292" t="inlineStr">
        <is>
          <t>Damage % Bonus (Holy Symbol - Damage Boost)</t>
        </is>
      </c>
      <c r="B1292">
        <f>Skills!O12</f>
        <v/>
      </c>
    </row>
    <row r="1293">
      <c r="A1293" t="inlineStr">
        <is>
          <t>Crit Damage % Bonus (Blood of the Divine)</t>
        </is>
      </c>
      <c r="B1293">
        <f>4*IF(C1280=TRUE,F1280,0)</f>
        <v/>
      </c>
    </row>
    <row r="1294">
      <c r="A1294" t="inlineStr">
        <is>
          <t>Attack Speed Bonus %</t>
        </is>
      </c>
      <c r="B1294">
        <f>IF(C1277=TRUE,F1277+(F1281-Calc!F21),0)+IF(Inputs!$B$3&gt;=134,15,0)</f>
        <v/>
      </c>
    </row>
    <row r="1295">
      <c r="A1295" t="inlineStr">
        <is>
          <t>Actions Per Second</t>
        </is>
      </c>
      <c r="B1295">
        <f>1+MIN(150,150*(1-(1-Inputs!$B$12/150)*(1-B1294/150)))/100</f>
        <v/>
      </c>
    </row>
    <row r="1296">
      <c r="A1296" t="inlineStr">
        <is>
          <t>Skill + Buff Cast Rate</t>
        </is>
      </c>
      <c r="B1296">
        <f>IF(AND(Inputs!$B$39&lt;&gt;"pvp",Inputs!$B$44&gt;0),SUMPRODUCT((Skills!E2:E27=TRUE)*(C1262:C1287=TRUE)*R1262:R1287)/Inputs!$B$44,SUMPRODUCT((Skills!E2:E27=TRUE)*(C1262:C1287=TRUE)*Q1262:Q1287))</f>
        <v/>
      </c>
    </row>
    <row r="1297">
      <c r="A1297" t="inlineStr">
        <is>
          <t>Big Bang Casts Per Second</t>
        </is>
      </c>
      <c r="B1297">
        <f>MAX(0,B1295-B1296)</f>
        <v/>
      </c>
    </row>
    <row r="1298">
      <c r="A1298" t="inlineStr">
        <is>
          <t>Defense % Bonus (Divine Protection)</t>
        </is>
      </c>
      <c r="B1298">
        <f>IF(C1273=TRUE,F1273*IF(AND(Inputs!$B$39&lt;&gt;"pvp",Inputs!$B$44&gt;0),(((R1273-1)*(Skills!S13*(1+((Inputs!$B$35+(ArtifactsInput!$M$7-ArtifactsInput!$M$7)*CHOOSE(ArtifactsInput!$N$7+1,6,7.2,8.4,9.6,10.8,12))+IF(Inputs!$B$3&gt;=117,F1286,0))/100))+MIN((Skills!S13*(1+((Inputs!$B$35+(ArtifactsInput!$M$7-ArtifactsInput!$M$7)*CHOOSE(ArtifactsInput!$N$7+1,6,7.2,8.4,9.6,10.8,12))+IF(Inputs!$B$3&gt;=117,F1286,0))/100)),MAX(0,Inputs!$B$44-((R1273-1)*Skills!D13))))/Inputs!$B$44),IF(Inputs!$B$39="pvp",MIN((Skills!S13*(1+((Inputs!$B$35+(ArtifactsInput!$M$7-ArtifactsInput!$M$7)*CHOOSE(ArtifactsInput!$N$7+1,6,7.2,8.4,9.6,10.8,12))+IF(Inputs!$B$3&gt;=117,F1286,0))/100)),15)/15,(Skills!S13*(1+((Inputs!$B$35+(ArtifactsInput!$M$7-ArtifactsInput!$M$7)*CHOOSE(ArtifactsInput!$N$7+1,6,7.2,8.4,9.6,10.8,12))+IF(Inputs!$B$3&gt;=117,F1286,0))/100))/Skills!D13)),0)</f>
        <v/>
      </c>
    </row>
    <row r="1299">
      <c r="A1299" t="inlineStr">
        <is>
          <t>Buff-Casting Startup Delay (s, fixed-duration only)</t>
        </is>
      </c>
      <c r="B1299">
        <f>IF(AND(Inputs!$B$39&lt;&gt;"pvp",Inputs!$B$44&gt;0),SUMPRODUCT((Skills!S2:S27&gt;0)*(Skills!E2:E27=TRUE)*(C1262:C1287=TRUE))/B1295,0)</f>
        <v/>
      </c>
    </row>
    <row r="1300">
      <c r="A1300" t="inlineStr">
        <is>
          <t>Boss-Only Total DPS (this block's swept value)</t>
        </is>
      </c>
      <c r="B1300">
        <f>SUM(S1262:S1287)</f>
        <v/>
      </c>
    </row>
    <row r="1301">
      <c r="A1301" t="inlineStr">
        <is>
          <t>Normal-Only Total DPS (this block's swept value)</t>
        </is>
      </c>
      <c r="B1301">
        <f>SUM(U1262:U1287)</f>
        <v/>
      </c>
    </row>
    <row r="1302">
      <c r="A1302" s="6" t="inlineStr">
        <is>
          <t>TOTAL DPS</t>
        </is>
      </c>
      <c r="B1302" s="6">
        <f>SUM(O1262:O1287)</f>
        <v/>
      </c>
    </row>
    <row r="1304">
      <c r="A1304" s="6" t="inlineStr">
        <is>
          <t>Stat: Pig's Ribbon (Equip)</t>
        </is>
      </c>
    </row>
    <row r="1305">
      <c r="A1305" s="5" t="inlineStr">
        <is>
          <t>Key</t>
        </is>
      </c>
      <c r="B1305" s="5" t="inlineStr">
        <is>
          <t>Name</t>
        </is>
      </c>
      <c r="C1305" s="5" t="inlineStr">
        <is>
          <t>Unlocked</t>
        </is>
      </c>
      <c r="D1305" s="5" t="inlineStr">
        <is>
          <t>InputLevel</t>
        </is>
      </c>
      <c r="E1305" s="5" t="inlineStr">
        <is>
          <t>Factor</t>
        </is>
      </c>
      <c r="F1305" s="5" t="inlineStr">
        <is>
          <t>CoefficientPercent</t>
        </is>
      </c>
      <c r="G1305" s="5" t="inlineStr">
        <is>
          <t>EffectiveHits</t>
        </is>
      </c>
      <c r="H1305" s="5" t="inlineStr">
        <is>
          <t>ProcProbability</t>
        </is>
      </c>
      <c r="I1305" s="5" t="inlineStr">
        <is>
          <t>MapleHeroMultiplier</t>
        </is>
      </c>
      <c r="J1305" s="5" t="inlineStr">
        <is>
          <t>BaseDamage</t>
        </is>
      </c>
      <c r="K1305" s="5" t="inlineStr">
        <is>
          <t>BaseHitDamage</t>
        </is>
      </c>
      <c r="L1305" s="5" t="inlineStr">
        <is>
          <t>NonCritAvg</t>
        </is>
      </c>
      <c r="M1305" s="5" t="inlineStr">
        <is>
          <t>CritAvg</t>
        </is>
      </c>
      <c r="N1305" s="5" t="inlineStr">
        <is>
          <t>ExpectedDamage(perHit)</t>
        </is>
      </c>
      <c r="O1305" s="5" t="inlineStr">
        <is>
          <t>DPS</t>
        </is>
      </c>
      <c r="P1305" s="5" t="inlineStr">
        <is>
          <t>% of Total</t>
        </is>
      </c>
      <c r="R1305" t="inlineStr">
        <is>
          <t>helpers</t>
        </is>
      </c>
    </row>
    <row r="1306">
      <c r="A1306">
        <f>Skills!A2</f>
        <v/>
      </c>
      <c r="B1306">
        <f>Skills!B2</f>
        <v/>
      </c>
      <c r="C1306">
        <f>Inputs!$B$3&gt;=100</f>
        <v/>
      </c>
      <c r="D1306" t="inlineStr"/>
      <c r="E1306" t="inlineStr"/>
      <c r="F1306">
        <f>T1308+Skills!N2</f>
        <v/>
      </c>
      <c r="G1306">
        <f>Calc!G2</f>
        <v/>
      </c>
      <c r="H1306">
        <f>Calc!H2</f>
        <v/>
      </c>
      <c r="I1306">
        <f>IF(Skills!T2&lt;&gt;"",1+(Skills!T2/10)*($Z$3/1000)/100,1)</f>
        <v/>
      </c>
      <c r="J1306">
        <f>((Inputs!$B$6*(1+Inputs!$B$7/100))+(((Inputs!$B$13*(1+Inputs!$B$14/100))-(Inputs!$B$13*(1+Inputs!$B$14/100)))+0.25*(Inputs!$B$15-Inputs!$B$15))*(1+Inputs!$B$7/100))*(F1306/100)</f>
        <v/>
      </c>
      <c r="K1306">
        <f>J1306*(1+(((Inputs!$B$13+IF(Inputs!$B$3&gt;=35,(10*INDEX(FactorTable!$B$2:$Y$301,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2="TRIUMPH_FEATHER",IF(C1320=TRUE,F1320,0),0)/100)*(1+IF(C1331=TRUE,F1331,0)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1306)</f>
        <v/>
      </c>
      <c r="L1306">
        <f>K1306*(MIN(Inputs!$B$23+(F1326-Calc!F22),(Inputs!$B$24+IF(ArtifactsInput!$M$15,CHOOSE(ArtifactsInput!$N$15+1,25,30,35,40,45,50)/100*(Inputs!$B$12-Inputs!$B$12),0)))/100+(Inputs!$B$24+IF(ArtifactsInput!$M$15,CHOOSE(ArtifactsInput!$N$15+1,25,30,35,40,45,50)/100*(Inputs!$B$12-Inputs!$B$12),0))/100)/2</f>
        <v/>
      </c>
      <c r="M1306">
        <f>L1306*(1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6">
        <f>L1306*(1-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(1-Summary!$B$11)*S1306+Summary!$B$11*U1306</f>
        <v/>
      </c>
      <c r="P1306">
        <f>IF(B1346=0,0,O1306/B1346)</f>
        <v/>
      </c>
      <c r="Q1306">
        <f>IFERROR(1/(IF(Inputs!$B$39="pvp",15,MAX(0.1,Skills!D2-IF(Skills!E2=TRUE,Inputs!$B$33,0)))*(1-IF(AND(ArtifactsInput!$M$27,Inputs!$B$4="Chapter Hunt"),CHOOSE(ArtifactsInput!$N$27+1,20,24,28,32,36,40),0)/100)),0)</f>
        <v/>
      </c>
      <c r="R1306" t="n">
        <v>0</v>
      </c>
      <c r="S1306">
        <f>IF(C1306,(Skills!F2*N1306*B1341)*IF(Inputs!$B$39="pvp",1,1+(Inputs!$B$21+Skills!O2+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1306*(1-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06">
        <f>MAX(0,(Inputs!$B$3-100)*3)+Inputs!$B$29+Inputs!$B$30</f>
        <v/>
      </c>
      <c r="U1306">
        <f>IF(C1306,(Skills!F2*N1306*B1341)*IF(Inputs!$B$39="pvp",1,(1+(Inputs!$B$22+Skills!P2+B1335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Skills!A3</f>
        <v/>
      </c>
      <c r="B1307">
        <f>Skills!B3</f>
        <v/>
      </c>
      <c r="C1307">
        <f>Inputs!$B$3&gt;=15</f>
        <v/>
      </c>
      <c r="D1307">
        <f>IF(Skills!C3=1,60+Inputs!$B$26+Inputs!$B$30,IF(Skills!C3=2,90+Inputs!$B$27+Inputs!$B$30,IF(Skills!C3=3,120+Inputs!$B$28+Inputs!$B$30,MAX(0,(Inputs!$B$3-100)*3)+Inputs!$B$29+Inputs!$B$30)))</f>
        <v/>
      </c>
      <c r="E1307">
        <f>INDEX(FactorTable!$B$2:$Y$301, MATCH(ROUND(MIN(300,MAX(1,D1307)),0), FactorTable!$A$2:$A$301,0), Skills!L3+1)</f>
        <v/>
      </c>
      <c r="F1307">
        <f>IF(Skills!M3=TRUE,(Skills!K3/10)*(E1307/1000),Skills!K3/10)+Skills!N3</f>
        <v/>
      </c>
      <c r="G1307">
        <f>Calc!G3</f>
        <v/>
      </c>
      <c r="H1307">
        <f>Calc!H3</f>
        <v/>
      </c>
      <c r="I1307">
        <f>IF(Skills!T3&lt;&gt;"",1+(Skills!T3/10)*($Z$3/1000)/100,1)</f>
        <v/>
      </c>
      <c r="J1307" t="inlineStr"/>
      <c r="K1307" t="inlineStr"/>
      <c r="L1307" t="inlineStr"/>
      <c r="M1307" t="inlineStr"/>
      <c r="N1307" t="inlineStr"/>
      <c r="O1307">
        <f>(1-Summary!$B$11)*S1307+Summary!$B$11*U1307</f>
        <v/>
      </c>
      <c r="P1307">
        <f>IF(B1346=0,0,O1307/B1346)</f>
        <v/>
      </c>
      <c r="Q1307">
        <f>IFERROR(1/(IF(Inputs!$B$39="pvp",15,MAX(0.1,Skills!D3-IF(Skills!E3=TRUE,Inputs!$B$33,0)))*(1-IF(AND(ArtifactsInput!$M$27,Inputs!$B$4="Chapter Hunt"),CHOOSE(ArtifactsInput!$N$27+1,20,24,28,32,36,40),0)/100)),0)</f>
        <v/>
      </c>
      <c r="R1307">
        <f>IF(AND(Inputs!$B$39&lt;&gt;"pvp",Inputs!$B$44&gt;0),IF(Inputs!$B$44&lt;=0,0,(INT(Inputs!$B$44/(IF(Inputs!$B$39="pvp",15,MAX(0.1,Skills!D3-IF(Skills!E3=TRUE,Inputs!$B$33,0)))*(1-IF(AND(ArtifactsInput!$M$27,Inputs!$B$4="Chapter Hunt"),CHOOSE(ArtifactsInput!$N$27+1,20,24,28,32,36,40),0)/100)))+1)),0)</f>
        <v/>
      </c>
      <c r="S1307" t="n">
        <v>0</v>
      </c>
      <c r="T1307">
        <f>INDEX(FactorTable!$B$2:$Y$301, MATCH(ROUND(MIN(300,MAX(1,T1306)),0), FactorTable!$A$2:$A$301,0), 22)</f>
        <v/>
      </c>
      <c r="U1307" t="n">
        <v>0</v>
      </c>
    </row>
    <row r="1308">
      <c r="A1308">
        <f>Skills!A4</f>
        <v/>
      </c>
      <c r="B1308">
        <f>Skills!B4</f>
        <v/>
      </c>
      <c r="C1308">
        <f>Inputs!$B$3&gt;=38</f>
        <v/>
      </c>
      <c r="D1308">
        <f>IF(Skills!C4=1,60+Inputs!$B$26+Inputs!$B$30,IF(Skills!C4=2,90+Inputs!$B$27+Inputs!$B$30,IF(Skills!C4=3,120+Inputs!$B$28+Inputs!$B$30,MAX(0,(Inputs!$B$3-100)*3)+Inputs!$B$29+Inputs!$B$30)))</f>
        <v/>
      </c>
      <c r="E1308">
        <f>INDEX(FactorTable!$B$2:$Y$301, MATCH(ROUND(MIN(300,MAX(1,D1308)),0), FactorTable!$A$2:$A$301,0), Skills!L4+1)</f>
        <v/>
      </c>
      <c r="F1308">
        <f>IF(Skills!M4=TRUE,(Skills!K4/10)*(E1308/1000),Skills!K4/10)+Skills!N4</f>
        <v/>
      </c>
      <c r="G1308">
        <f>Calc!G4</f>
        <v/>
      </c>
      <c r="H1308">
        <f>Calc!H4</f>
        <v/>
      </c>
      <c r="I1308">
        <f>IF(Skills!T4&lt;&gt;"",1+(Skills!T4/10)*($Z$3/1000)/100,1)</f>
        <v/>
      </c>
      <c r="J1308" t="inlineStr"/>
      <c r="K1308" t="inlineStr"/>
      <c r="L1308" t="inlineStr"/>
      <c r="M1308" t="inlineStr"/>
      <c r="N1308" t="inlineStr"/>
      <c r="O1308">
        <f>(1-Summary!$B$11)*S1308+Summary!$B$11*U1308</f>
        <v/>
      </c>
      <c r="P1308">
        <f>IF(B1346=0,0,O1308/B1346)</f>
        <v/>
      </c>
      <c r="Q1308">
        <f>IFERROR(1/(IF(Inputs!$B$39="pvp",15,MAX(0.1,Skills!D4-IF(Skills!E4=TRUE,Inputs!$B$33,0)))*(1-IF(AND(ArtifactsInput!$M$27,Inputs!$B$4="Chapter Hunt"),CHOOSE(ArtifactsInput!$N$27+1,20,24,28,32,36,40),0)/100)),0)</f>
        <v/>
      </c>
      <c r="R1308">
        <f>IF(AND(Inputs!$B$39&lt;&gt;"pvp",Inputs!$B$44&gt;0),IF(Inputs!$B$44&lt;=0,0,(INT(Inputs!$B$44/(IF(Inputs!$B$39="pvp",15,MAX(0.1,Skills!D4-IF(Skills!E4=TRUE,Inputs!$B$33,0)))*(1-IF(AND(ArtifactsInput!$M$27,Inputs!$B$4="Chapter Hunt"),CHOOSE(ArtifactsInput!$N$27+1,20,24,28,32,36,40),0)/100)))+1)),0)</f>
        <v/>
      </c>
      <c r="S1308" t="n">
        <v>0</v>
      </c>
      <c r="T1308">
        <f>290*T1307/1000</f>
        <v/>
      </c>
      <c r="U1308" t="n">
        <v>0</v>
      </c>
    </row>
    <row r="1309">
      <c r="A1309">
        <f>Skills!A5</f>
        <v/>
      </c>
      <c r="B1309">
        <f>Skills!B5</f>
        <v/>
      </c>
      <c r="C1309">
        <f>Inputs!$B$3&gt;=40</f>
        <v/>
      </c>
      <c r="D1309">
        <f>IF(Skills!C5=1,60+Inputs!$B$26+Inputs!$B$30,IF(Skills!C5=2,90+Inputs!$B$27+Inputs!$B$30,IF(Skills!C5=3,120+Inputs!$B$28+Inputs!$B$30,MAX(0,(Inputs!$B$3-100)*3)+Inputs!$B$29+Inputs!$B$30)))</f>
        <v/>
      </c>
      <c r="E1309">
        <f>INDEX(FactorTable!$B$2:$Y$301, MATCH(ROUND(MIN(300,MAX(1,D1309)),0), FactorTable!$A$2:$A$301,0), Skills!L5+1)</f>
        <v/>
      </c>
      <c r="F1309">
        <f>IF(Skills!M5=TRUE,(Skills!K5/10)*(E1309/1000),Skills!K5/10)+Skills!N5</f>
        <v/>
      </c>
      <c r="G1309">
        <f>Calc!G5</f>
        <v/>
      </c>
      <c r="H1309">
        <f>Calc!H5</f>
        <v/>
      </c>
      <c r="I1309">
        <f>IF(Skills!T5&lt;&gt;"",1+(Skills!T5/10)*($Z$3/1000)/100,1)</f>
        <v/>
      </c>
      <c r="J1309" t="inlineStr"/>
      <c r="K1309" t="inlineStr"/>
      <c r="L1309" t="inlineStr"/>
      <c r="M1309" t="inlineStr"/>
      <c r="N1309" t="inlineStr"/>
      <c r="O1309">
        <f>(1-Summary!$B$11)*S1309+Summary!$B$11*U1309</f>
        <v/>
      </c>
      <c r="P1309">
        <f>IF(B1346=0,0,O1309/B1346)</f>
        <v/>
      </c>
      <c r="Q1309">
        <f>IFERROR(1/(IF(Inputs!$B$39="pvp",15,MAX(0.1,Skills!D5-IF(Skills!E5=TRUE,Inputs!$B$33,0)))*(1-IF(AND(ArtifactsInput!$M$27,Inputs!$B$4="Chapter Hunt"),CHOOSE(ArtifactsInput!$N$27+1,20,24,28,32,36,40),0)/100)),0)</f>
        <v/>
      </c>
      <c r="R1309">
        <f>IF(AND(Inputs!$B$39&lt;&gt;"pvp",Inputs!$B$44&gt;0),IF(Inputs!$B$44&lt;=0,0,(INT(Inputs!$B$44/(IF(Inputs!$B$39="pvp",15,MAX(0.1,Skills!D5-IF(Skills!E5=TRUE,Inputs!$B$33,0)))*(1-IF(AND(ArtifactsInput!$M$27,Inputs!$B$4="Chapter Hunt"),CHOOSE(ArtifactsInput!$N$27+1,20,24,28,32,36,40),0)/100)))+1)),0)</f>
        <v/>
      </c>
      <c r="S1309" t="n">
        <v>0</v>
      </c>
      <c r="U1309" t="n">
        <v>0</v>
      </c>
    </row>
    <row r="1310">
      <c r="A1310">
        <f>Skills!A6</f>
        <v/>
      </c>
      <c r="B1310">
        <f>Skills!B6</f>
        <v/>
      </c>
      <c r="C1310">
        <f>Inputs!$B$3&gt;=103</f>
        <v/>
      </c>
      <c r="D1310">
        <f>IF(Skills!C6=1,60+Inputs!$B$26+Inputs!$B$30,IF(Skills!C6=2,90+Inputs!$B$27+Inputs!$B$30,IF(Skills!C6=3,120+Inputs!$B$28+Inputs!$B$30,MAX(0,(Inputs!$B$3-100)*3)+Inputs!$B$29+Inputs!$B$30)))</f>
        <v/>
      </c>
      <c r="E1310">
        <f>INDEX(FactorTable!$B$2:$Y$301, MATCH(ROUND(MIN(300,MAX(1,D1310)),0), FactorTable!$A$2:$A$301,0), Skills!L6+1)</f>
        <v/>
      </c>
      <c r="F1310">
        <f>IF(Skills!M6=TRUE,(Skills!K6/10)*(E1310/1000),Skills!K6/10)+Skills!N6</f>
        <v/>
      </c>
      <c r="G1310">
        <f>Calc!G6</f>
        <v/>
      </c>
      <c r="H1310">
        <f>Calc!H6</f>
        <v/>
      </c>
      <c r="I1310">
        <f>IF(Skills!T6&lt;&gt;"",1+(Skills!T6/10)*($Z$3/1000)/100,1)</f>
        <v/>
      </c>
      <c r="J1310">
        <f>((Inputs!$B$6*(1+Inputs!$B$7/100))+(((Inputs!$B$13*(1+Inputs!$B$14/100))-(Inputs!$B$13*(1+Inputs!$B$14/100)))+0.25*(Inputs!$B$15-Inputs!$B$15))*(1+Inputs!$B$7/100))*(F1310/100)</f>
        <v/>
      </c>
      <c r="K1310">
        <f>J1310*(1+(((Inputs!$B$13+IF(Inputs!$B$3&gt;=35,(10*INDEX(FactorTable!$B$2:$Y$301,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6="TRIUMPH_FEATHER",IF(C1320=TRUE,F1320,0),0)/100)*(1+IF(C1331=TRUE,F1331,0)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1310)</f>
        <v/>
      </c>
      <c r="L1310">
        <f>K1310*(MIN(Inputs!$B$23+(F1326-Calc!F22),(Inputs!$B$24+IF(ArtifactsInput!$M$15,CHOOSE(ArtifactsInput!$N$15+1,25,30,35,40,45,50)/100*(Inputs!$B$12-Inputs!$B$12),0)))/100+(Inputs!$B$24+IF(ArtifactsInput!$M$15,CHOOSE(ArtifactsInput!$N$15+1,25,30,35,40,45,50)/100*(Inputs!$B$12-Inputs!$B$12),0))/100)/2</f>
        <v/>
      </c>
      <c r="M1310">
        <f>L1310*(1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0">
        <f>L1310*(1-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(1-Summary!$B$11)*S1310+Summary!$B$11*U1310</f>
        <v/>
      </c>
      <c r="P1310">
        <f>IF(B1346=0,0,O1310/B1346)</f>
        <v/>
      </c>
      <c r="Q1310">
        <f>IFERROR(1/(IF(Inputs!$B$39="pvp",15,MAX(0.1,Skills!D6-IF(Skills!E6=TRUE,Inputs!$B$33,0)))*(1-IF(AND(ArtifactsInput!$M$27,Inputs!$B$4="Chapter Hunt"),CHOOSE(ArtifactsInput!$N$27+1,20,24,28,32,36,40),0)/100)),0)</f>
        <v/>
      </c>
      <c r="R1310">
        <f>IF(AND(Inputs!$B$39&lt;&gt;"pvp",Inputs!$B$44&gt;0),IF(MAX(0,Inputs!$B$44-B1343)&lt;=0,0,(INT(MAX(0,Inputs!$B$44-B1343)/(IF(Inputs!$B$39="pvp",15,MAX(0.1,Skills!D6-IF(Skills!E6=TRUE,Inputs!$B$33,0)))*(1-IF(AND(ArtifactsInput!$M$27,Inputs!$B$4="Chapter Hunt"),CHOOSE(ArtifactsInput!$N$27+1,20,24,28,32,36,40),0)/100)))+1)),0)</f>
        <v/>
      </c>
      <c r="S1310">
        <f>IF(C1310,(H1310*N1310*IF(AND(Inputs!$B$39&lt;&gt;"pvp",Inputs!$B$44&gt;0),((Skills!F6*((R1310-1)*IF(Skills!G6&gt;0,Skills!H6/Skills!G6,1)+IF(Skills!G6&gt;0,MIN(Skills!H6,MAX(0,MAX(0,Inputs!$B$44-B1343)-((R1310-1)*(IF(Inputs!$B$39="pvp",15,MAX(0.1,Skills!D6-IF(Skills!E6=TRUE,Inputs!$B$33,0)))*(1-IF(AND(ArtifactsInput!$M$27,Inputs!$B$4="Chapter Hunt"),CHOOSE(ArtifactsInput!$N$27+1,20,24,28,32,36,40),0)/100)))))/Skills!G6,1)))/Inputs!$B$44),G1310*Q1310))*IF(Inputs!$B$39="pvp",1,1+(Inputs!$B$21+Skills!O6+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1310*(1-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0">
        <f>IF(C1310,(H1310*N1310*IF(AND(Inputs!$B$39&lt;&gt;"pvp",Inputs!$B$44&gt;0),((Skills!F6*((R1310-1)*IF(Skills!G6&gt;0,Skills!H6/Skills!G6,1)+IF(Skills!G6&gt;0,MIN(Skills!H6,MAX(0,MAX(0,Inputs!$B$44-B1343)-((R1310-1)*(IF(Inputs!$B$39="pvp",15,MAX(0.1,Skills!D6-IF(Skills!E6=TRUE,Inputs!$B$33,0)))*(1-IF(AND(ArtifactsInput!$M$27,Inputs!$B$4="Chapter Hunt"),CHOOSE(ArtifactsInput!$N$27+1,20,24,28,32,36,40),0)/100)))))/Skills!G6,1)))/Inputs!$B$44),G1310*Q1310))*IF(Inputs!$B$39="pvp",1,(1+(Inputs!$B$22+Skills!P6+B1335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Skills!A7</f>
        <v/>
      </c>
      <c r="B1311">
        <f>Skills!B7</f>
        <v/>
      </c>
      <c r="C1311">
        <f>Inputs!$B$3&gt;=122</f>
        <v/>
      </c>
      <c r="D1311">
        <f>IF(Skills!C7=1,60+Inputs!$B$26+Inputs!$B$30,IF(Skills!C7=2,90+Inputs!$B$27+Inputs!$B$30,IF(Skills!C7=3,120+Inputs!$B$28+Inputs!$B$30,MAX(0,(Inputs!$B$3-100)*3)+Inputs!$B$29+Inputs!$B$30)))</f>
        <v/>
      </c>
      <c r="E1311">
        <f>INDEX(FactorTable!$B$2:$Y$301, MATCH(ROUND(MIN(300,MAX(1,D1311)),0), FactorTable!$A$2:$A$301,0), Skills!L7+1)</f>
        <v/>
      </c>
      <c r="F1311">
        <f>IF(Skills!M7=TRUE,(Skills!K7/10)*(E1311/1000),Skills!K7/10)+Skills!N7</f>
        <v/>
      </c>
      <c r="G1311">
        <f>Calc!G7</f>
        <v/>
      </c>
      <c r="H1311">
        <f>Calc!H7</f>
        <v/>
      </c>
      <c r="I1311">
        <f>IF(Skills!T7&lt;&gt;"",1+(Skills!T7/10)*($Z$3/1000)/100,1)</f>
        <v/>
      </c>
      <c r="J1311">
        <f>((Inputs!$B$6*(1+Inputs!$B$7/100))+(((Inputs!$B$13*(1+Inputs!$B$14/100))-(Inputs!$B$13*(1+Inputs!$B$14/100)))+0.25*(Inputs!$B$15-Inputs!$B$15))*(1+Inputs!$B$7/100))*(F1311/100)</f>
        <v/>
      </c>
      <c r="K1311">
        <f>J1311*(1+(((Inputs!$B$13+IF(Inputs!$B$3&gt;=35,(10*INDEX(FactorTable!$B$2:$Y$301,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7="TRIUMPH_FEATHER",IF(C1320=TRUE,F1320,0),0)/100)*(1+IF(C1331=TRUE,F1331,0)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1311)</f>
        <v/>
      </c>
      <c r="L1311">
        <f>K1311*(MIN(Inputs!$B$23+(F1326-Calc!F22),(Inputs!$B$24+IF(ArtifactsInput!$M$15,CHOOSE(ArtifactsInput!$N$15+1,25,30,35,40,45,50)/100*(Inputs!$B$12-Inputs!$B$12),0)))/100+(Inputs!$B$24+IF(ArtifactsInput!$M$15,CHOOSE(ArtifactsInput!$N$15+1,25,30,35,40,45,50)/100*(Inputs!$B$12-Inputs!$B$12),0))/100)/2</f>
        <v/>
      </c>
      <c r="M1311">
        <f>L1311*(1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1">
        <f>L1311*(1-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(1-Summary!$B$11)*S1311+Summary!$B$11*U1311</f>
        <v/>
      </c>
      <c r="P1311">
        <f>IF(B1346=0,0,O1311/B1346)</f>
        <v/>
      </c>
      <c r="Q1311">
        <f>IFERROR(1/(IF(Inputs!$B$39="pvp",15,MAX(0.1,Skills!D7-IF(Skills!E6=TRUE,Inputs!$B$33,0)))*(1-IF(AND(ArtifactsInput!$M$27,Inputs!$B$4="Chapter Hunt"),CHOOSE(ArtifactsInput!$N$27+1,20,24,28,32,36,40),0)/100)),0)</f>
        <v/>
      </c>
      <c r="R1311">
        <f>IF(AND(Inputs!$B$39&lt;&gt;"pvp",Inputs!$B$44&gt;0),IF(MAX(0,Inputs!$B$44-B1343)&lt;=0,0,(INT(MAX(0,Inputs!$B$44-B1343)/(IF(Inputs!$B$39="pvp",15,MAX(0.1,Skills!D7-IF(Skills!E6=TRUE,Inputs!$B$33,0)))*(1-IF(AND(ArtifactsInput!$M$27,Inputs!$B$4="Chapter Hunt"),CHOOSE(ArtifactsInput!$N$27+1,20,24,28,32,36,40),0)/100)))+1)),0)</f>
        <v/>
      </c>
      <c r="S1311">
        <f>IF(C1311,H1311*N1311*IF(AND(Inputs!$B$39&lt;&gt;"pvp",Inputs!$B$44&gt;0),((Skills!F7*((R1311-1)*IF(Skills!G7&gt;0,Skills!H7/Skills!G7,1)+IF(Skills!G7&gt;0,MIN(Skills!H7,MAX(0,MAX(0,Inputs!$B$44-B1343)-((R1311-1)*(IF(Inputs!$B$39="pvp",15,MAX(0.1,Skills!D7-IF(Skills!E6=TRUE,Inputs!$B$33,0)))*(1-IF(AND(ArtifactsInput!$M$27,Inputs!$B$4="Chapter Hunt"),CHOOSE(ArtifactsInput!$N$27+1,20,24,28,32,36,40),0)/100)))))/Skills!G7,1)))/Inputs!$B$44),G1311*Q1311)*IF(Inputs!$B$39="pvp",1,1+(Inputs!$B$21+Skills!O7+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1" t="n">
        <v>0</v>
      </c>
    </row>
    <row r="1312">
      <c r="A1312">
        <f>Skills!A8</f>
        <v/>
      </c>
      <c r="B1312">
        <f>Skills!B8</f>
        <v/>
      </c>
      <c r="C1312">
        <f>Inputs!$B$3&gt;=105</f>
        <v/>
      </c>
      <c r="D1312">
        <f>IF(Skills!C8=1,60+Inputs!$B$26+Inputs!$B$30,IF(Skills!C8=2,90+Inputs!$B$27+Inputs!$B$30,IF(Skills!C8=3,120+Inputs!$B$28+Inputs!$B$30,MAX(0,(Inputs!$B$3-100)*3)+Inputs!$B$29+Inputs!$B$30)))</f>
        <v/>
      </c>
      <c r="E1312">
        <f>INDEX(FactorTable!$B$2:$Y$301, MATCH(ROUND(MIN(300,MAX(1,D1312)),0), FactorTable!$A$2:$A$301,0), Skills!L8+1)</f>
        <v/>
      </c>
      <c r="F1312">
        <f>IF(Skills!M8=TRUE,(Skills!K8/10)*(E1312/1000),Skills!K8/10)+Skills!N8</f>
        <v/>
      </c>
      <c r="G1312">
        <f>Calc!G8</f>
        <v/>
      </c>
      <c r="H1312">
        <f>Calc!H8</f>
        <v/>
      </c>
      <c r="I1312">
        <f>IF(Skills!T8&lt;&gt;"",1+(Skills!T8/10)*($Z$3/1000)/100,1)</f>
        <v/>
      </c>
      <c r="J1312">
        <f>((Inputs!$B$6*(1+Inputs!$B$7/100))+(((Inputs!$B$13*(1+Inputs!$B$14/100))-(Inputs!$B$13*(1+Inputs!$B$14/100)))+0.25*(Inputs!$B$15-Inputs!$B$15))*(1+Inputs!$B$7/100))*(F1312/100)</f>
        <v/>
      </c>
      <c r="K1312">
        <f>J1312*(1+(((Inputs!$B$13+IF(Inputs!$B$3&gt;=35,(10*INDEX(FactorTable!$B$2:$Y$301,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8="TRIUMPH_FEATHER",IF(C1320=TRUE,F1320,0),0)/100)*(1+IF(C1331=TRUE,F1331,0)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1312)</f>
        <v/>
      </c>
      <c r="L1312">
        <f>K1312*(MIN(Inputs!$B$23+(F1326-Calc!F22),(Inputs!$B$24+IF(ArtifactsInput!$M$15,CHOOSE(ArtifactsInput!$N$15+1,25,30,35,40,45,50)/100*(Inputs!$B$12-Inputs!$B$12),0)))/100+(Inputs!$B$24+IF(ArtifactsInput!$M$15,CHOOSE(ArtifactsInput!$N$15+1,25,30,35,40,45,50)/100*(Inputs!$B$12-Inputs!$B$12),0))/100)/2</f>
        <v/>
      </c>
      <c r="M1312">
        <f>L1312*(1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2">
        <f>L1312*(1-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1312*(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2">
        <f>(1-Summary!$B$11)*S1312+Summary!$B$11*U1312</f>
        <v/>
      </c>
      <c r="P1312">
        <f>IF(B1346=0,0,O1312/B1346)</f>
        <v/>
      </c>
      <c r="Q1312">
        <f>IFERROR(1/(IF(Inputs!$B$39="pvp",15,MAX(0.1,Skills!D8-IF(Skills!E8=TRUE,Inputs!$B$33,0)))*(1-IF(AND(ArtifactsInput!$M$27,Inputs!$B$4="Chapter Hunt"),CHOOSE(ArtifactsInput!$N$27+1,20,24,28,32,36,40),0)/100)),0)</f>
        <v/>
      </c>
      <c r="R1312">
        <f>IF(AND(Inputs!$B$39&lt;&gt;"pvp",Inputs!$B$44&gt;0),IF(MAX(0,Inputs!$B$44-B1343)&lt;=0,0,(INT(MAX(0,Inputs!$B$44-B1343)/(IF(Inputs!$B$39="pvp",15,MAX(0.1,Skills!D8-IF(Skills!E8=TRUE,Inputs!$B$33,0)))*(1-IF(AND(ArtifactsInput!$M$27,Inputs!$B$4="Chapter Hunt"),CHOOSE(ArtifactsInput!$N$27+1,20,24,28,32,36,40),0)/100)))+1)),0)</f>
        <v/>
      </c>
      <c r="S1312">
        <f>IF(C1312,(H1312*N1312*IF(AND(Inputs!$B$39&lt;&gt;"pvp",Inputs!$B$44&gt;0),((Skills!F8*((R1312-1)*IF(Skills!G8&gt;0,Skills!H8/Skills!G8,1)+IF(Skills!G8&gt;0,MIN(Skills!H8,MAX(0,MAX(0,Inputs!$B$44-B1343)-((R1312-1)*(IF(Inputs!$B$39="pvp",15,MAX(0.1,Skills!D8-IF(Skills!E8=TRUE,Inputs!$B$33,0)))*(1-IF(AND(ArtifactsInput!$M$27,Inputs!$B$4="Chapter Hunt"),CHOOSE(ArtifactsInput!$N$27+1,20,24,28,32,36,40),0)/100)))))/Skills!G8,1)))/Inputs!$B$44),G1312*Q1312))*IF(Inputs!$B$39="pvp",1,1+(Inputs!$B$21+Skills!O8+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1312*(1-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1312*(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1312*(1-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1312*(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2">
        <f>IF(C1312,(H1312*N1312*IF(AND(Inputs!$B$39&lt;&gt;"pvp",Inputs!$B$44&gt;0),((Skills!F8*((R1312-1)*IF(Skills!G8&gt;0,Skills!H8/Skills!G8,1)+IF(Skills!G8&gt;0,MIN(Skills!H8,MAX(0,MAX(0,Inputs!$B$44-B1343)-((R1312-1)*(IF(Inputs!$B$39="pvp",15,MAX(0.1,Skills!D8-IF(Skills!E8=TRUE,Inputs!$B$33,0)))*(1-IF(AND(ArtifactsInput!$M$27,Inputs!$B$4="Chapter Hunt"),CHOOSE(ArtifactsInput!$N$27+1,20,24,28,32,36,40),0)/100)))))/Skills!G8,1)))/Inputs!$B$44),G1312*Q1312))*IF(Inputs!$B$39="pvp",1,(1+(Inputs!$B$22+Skills!P8+B1335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3">
      <c r="A1313">
        <f>Skills!A9</f>
        <v/>
      </c>
      <c r="B1313">
        <f>Skills!B9</f>
        <v/>
      </c>
      <c r="C1313">
        <f>Inputs!$B$3&gt;=115</f>
        <v/>
      </c>
      <c r="D1313">
        <f>IF(Skills!C9=1,60+Inputs!$B$26+Inputs!$B$30,IF(Skills!C9=2,90+Inputs!$B$27+Inputs!$B$30,IF(Skills!C9=3,120+Inputs!$B$28+Inputs!$B$30,MAX(0,(Inputs!$B$3-100)*3)+Inputs!$B$29+Inputs!$B$30)))</f>
        <v/>
      </c>
      <c r="E1313">
        <f>INDEX(FactorTable!$B$2:$Y$301, MATCH(ROUND(MIN(300,MAX(1,D1313)),0), FactorTable!$A$2:$A$301,0), Skills!L9+1)</f>
        <v/>
      </c>
      <c r="F1313">
        <f>IF(Skills!M9=TRUE,(Skills!K9/10)*(E1313/1000),Skills!K9/10)+Skills!N9</f>
        <v/>
      </c>
      <c r="G1313">
        <f>Calc!G9</f>
        <v/>
      </c>
      <c r="H1313">
        <f>Calc!H9</f>
        <v/>
      </c>
      <c r="I1313">
        <f>IF(Skills!T9&lt;&gt;"",1+(Skills!T9/10)*($Z$3/1000)/100,1)</f>
        <v/>
      </c>
      <c r="J1313">
        <f>((Inputs!$B$6*(1+Inputs!$B$7/100))+(((Inputs!$B$13*(1+Inputs!$B$14/100))-(Inputs!$B$13*(1+Inputs!$B$14/100)))+0.25*(Inputs!$B$15-Inputs!$B$15))*(1+Inputs!$B$7/100))*(F1313/100)</f>
        <v/>
      </c>
      <c r="K1313">
        <f>J1313*(1+(((Inputs!$B$13+IF(Inputs!$B$3&gt;=35,(10*INDEX(FactorTable!$B$2:$Y$301,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9="TRIUMPH_FEATHER",IF(C1320=TRUE,F1320,0),0)/100)*(1+IF(C1331=TRUE,F1331,0)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1313)</f>
        <v/>
      </c>
      <c r="L1313">
        <f>K1313*(MIN(Inputs!$B$23+(F1326-Calc!F22),(Inputs!$B$24+IF(ArtifactsInput!$M$15,CHOOSE(ArtifactsInput!$N$15+1,25,30,35,40,45,50)/100*(Inputs!$B$12-Inputs!$B$12),0)))/100+(Inputs!$B$24+IF(ArtifactsInput!$M$15,CHOOSE(ArtifactsInput!$N$15+1,25,30,35,40,45,50)/100*(Inputs!$B$12-Inputs!$B$12),0))/100)/2</f>
        <v/>
      </c>
      <c r="M1313">
        <f>L1313*(1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3">
        <f>L1313*(1-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1313*(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3">
        <f>(1-Summary!$B$11)*S1313+Summary!$B$11*U1313</f>
        <v/>
      </c>
      <c r="P1313">
        <f>IF(B1346=0,0,O1313/B1346)</f>
        <v/>
      </c>
      <c r="Q1313">
        <f>IFERROR(1/(IF(Inputs!$B$39="pvp",15,MAX(0.1,Skills!D9-IF(Skills!E9=TRUE,Inputs!$B$33,0)))*(1-IF(AND(ArtifactsInput!$M$27,Inputs!$B$4="Chapter Hunt"),CHOOSE(ArtifactsInput!$N$27+1,20,24,28,32,36,40),0)/100)),0)</f>
        <v/>
      </c>
      <c r="R1313">
        <f>IF(AND(Inputs!$B$39&lt;&gt;"pvp",Inputs!$B$44&gt;0),IF(MAX(0,Inputs!$B$44-B1343)&lt;=0,0,(INT(MAX(0,Inputs!$B$44-B1343)/(IF(Inputs!$B$39="pvp",15,MAX(0.1,Skills!D9-IF(Skills!E9=TRUE,Inputs!$B$33,0)))*(1-IF(AND(ArtifactsInput!$M$27,Inputs!$B$4="Chapter Hunt"),CHOOSE(ArtifactsInput!$N$27+1,20,24,28,32,36,40),0)/100)))+1)),0)</f>
        <v/>
      </c>
      <c r="S1313">
        <f>IF(C1313,(H1313*N1313*IF(AND(Inputs!$B$39&lt;&gt;"pvp",Inputs!$B$44&gt;0),((Skills!F9*((R1313-1)*IF(Skills!G9&gt;0,Skills!H9/Skills!G9,1)+IF(Skills!G9&gt;0,MIN(Skills!H9,MAX(0,MAX(0,Inputs!$B$44-B1343)-((R1313-1)*(IF(Inputs!$B$39="pvp",15,MAX(0.1,Skills!D9-IF(Skills!E9=TRUE,Inputs!$B$33,0)))*(1-IF(AND(ArtifactsInput!$M$27,Inputs!$B$4="Chapter Hunt"),CHOOSE(ArtifactsInput!$N$27+1,20,24,28,32,36,40),0)/100)))))/Skills!G9,1)))/Inputs!$B$44),G1313*Q1313))*IF(Inputs!$B$39="pvp",1,1+(Inputs!$B$21+Skills!O9+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1313*(1-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1313*(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1313*(1-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1313*(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3">
        <f>IF(C1313,(H1313*N1313*IF(AND(Inputs!$B$39&lt;&gt;"pvp",Inputs!$B$44&gt;0),((Skills!F9*((R1313-1)*IF(Skills!G9&gt;0,Skills!H9/Skills!G9,1)+IF(Skills!G9&gt;0,MIN(Skills!H9,MAX(0,MAX(0,Inputs!$B$44-B1343)-((R1313-1)*(IF(Inputs!$B$39="pvp",15,MAX(0.1,Skills!D9-IF(Skills!E9=TRUE,Inputs!$B$33,0)))*(1-IF(AND(ArtifactsInput!$M$27,Inputs!$B$4="Chapter Hunt"),CHOOSE(ArtifactsInput!$N$27+1,20,24,28,32,36,40),0)/100)))))/Skills!G9,1)))/Inputs!$B$44),G1313*Q1313))*IF(Inputs!$B$39="pvp",1,(1+(Inputs!$B$22+Skills!P9+B1335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4">
      <c r="A1314">
        <f>Skills!A10</f>
        <v/>
      </c>
      <c r="B1314">
        <f>Skills!B10</f>
        <v/>
      </c>
      <c r="C1314">
        <f>Inputs!$B$3&gt;=66</f>
        <v/>
      </c>
      <c r="D1314">
        <f>IF(Skills!C10=1,60+Inputs!$B$26+Inputs!$B$30,IF(Skills!C10=2,90+Inputs!$B$27+Inputs!$B$30,IF(Skills!C10=3,120+Inputs!$B$28+Inputs!$B$30,MAX(0,(Inputs!$B$3-100)*3)+Inputs!$B$29+Inputs!$B$30)))</f>
        <v/>
      </c>
      <c r="E1314">
        <f>INDEX(FactorTable!$B$2:$Y$301, MATCH(ROUND(MIN(300,MAX(1,D1314)),0), FactorTable!$A$2:$A$301,0), Skills!L10+1)</f>
        <v/>
      </c>
      <c r="F1314" t="n">
        <v>0</v>
      </c>
      <c r="G1314">
        <f>Calc!G10</f>
        <v/>
      </c>
      <c r="H1314">
        <f>Calc!H10</f>
        <v/>
      </c>
      <c r="I1314">
        <f>IF(Skills!T10&lt;&gt;"",1+(Skills!T10/10)*($Z$3/1000)/100,1)</f>
        <v/>
      </c>
      <c r="J1314" t="inlineStr"/>
      <c r="K1314" t="inlineStr"/>
      <c r="L1314" t="inlineStr"/>
      <c r="M1314" t="inlineStr"/>
      <c r="N1314" t="inlineStr"/>
      <c r="O1314">
        <f>(1-Summary!$B$11)*S1314+Summary!$B$11*U1314</f>
        <v/>
      </c>
      <c r="P1314">
        <f>IF(B1346=0,0,O1314/B1346)</f>
        <v/>
      </c>
      <c r="Q1314">
        <f>IFERROR(1/(IF(Inputs!$B$39="pvp",15,MAX(0.1,Skills!D10-IF(Skills!E10=TRUE,Inputs!$B$33,0)))*(1-IF(AND(ArtifactsInput!$M$27,Inputs!$B$4="Chapter Hunt"),CHOOSE(ArtifactsInput!$N$27+1,20,24,28,32,36,40),0)/100)),0)</f>
        <v/>
      </c>
      <c r="R1314">
        <f>IF(AND(Inputs!$B$39&lt;&gt;"pvp",Inputs!$B$44&gt;0),IF(MAX(0,Inputs!$B$44-B1343)&lt;=0,0,(INT(MAX(0,Inputs!$B$44-B1343)/(IF(Inputs!$B$39="pvp",15,MAX(0.1,Skills!D10-IF(Skills!E10=TRUE,Inputs!$B$33,0)))*(1-IF(AND(ArtifactsInput!$M$27,Inputs!$B$4="Chapter Hunt"),CHOOSE(ArtifactsInput!$N$27+1,20,24,28,32,36,40),0)/100)))+1)),0)</f>
        <v/>
      </c>
      <c r="S1314" t="n">
        <v>0</v>
      </c>
      <c r="U1314" t="n">
        <v>0</v>
      </c>
    </row>
    <row r="1315">
      <c r="A1315">
        <f>Skills!A11</f>
        <v/>
      </c>
      <c r="B1315">
        <f>Skills!B11</f>
        <v/>
      </c>
      <c r="C1315">
        <f>Inputs!$B$3&gt;=69</f>
        <v/>
      </c>
      <c r="D1315">
        <f>IF(Skills!C11=1,60+Inputs!$B$26+Inputs!$B$30,IF(Skills!C11=2,90+Inputs!$B$27+Inputs!$B$30,IF(Skills!C11=3,120+Inputs!$B$28+Inputs!$B$30,MAX(0,(Inputs!$B$3-100)*3)+Inputs!$B$29+Inputs!$B$30)))</f>
        <v/>
      </c>
      <c r="E1315">
        <f>INDEX(FactorTable!$B$2:$Y$301, MATCH(ROUND(MIN(300,MAX(1,D1315)),0), FactorTable!$A$2:$A$301,0), Skills!L11+1)</f>
        <v/>
      </c>
      <c r="F1315">
        <f>IF(Skills!M11=TRUE,(Skills!K11/10)*(E1315/1000),Skills!K11/10)+Skills!N11</f>
        <v/>
      </c>
      <c r="G1315">
        <f>Calc!G11</f>
        <v/>
      </c>
      <c r="H1315">
        <f>Calc!H11</f>
        <v/>
      </c>
      <c r="I1315">
        <f>IF(Skills!T11&lt;&gt;"",1+(Skills!T11/10)*($Z$3/1000)/100,1)</f>
        <v/>
      </c>
      <c r="J1315" t="inlineStr"/>
      <c r="K1315" t="inlineStr"/>
      <c r="L1315" t="inlineStr"/>
      <c r="M1315" t="inlineStr"/>
      <c r="N1315" t="inlineStr"/>
      <c r="O1315">
        <f>(1-Summary!$B$11)*S1315+Summary!$B$11*U1315</f>
        <v/>
      </c>
      <c r="P1315">
        <f>IF(B1346=0,0,O1315/B1346)</f>
        <v/>
      </c>
      <c r="Q1315">
        <f>IFERROR(1/(IF(Inputs!$B$39="pvp",15,MAX(0.1,Skills!D11-IF(Skills!E11=TRUE,Inputs!$B$33,0)))*(1-IF(AND(ArtifactsInput!$M$27,Inputs!$B$4="Chapter Hunt"),CHOOSE(ArtifactsInput!$N$27+1,20,24,28,32,36,40),0)/100)),0)</f>
        <v/>
      </c>
      <c r="R1315">
        <f>IF(AND(Inputs!$B$39&lt;&gt;"pvp",Inputs!$B$44&gt;0),IF(Inputs!$B$44&lt;=0,0,(INT(Inputs!$B$44/(IF(Inputs!$B$39="pvp",15,MAX(0.1,Skills!D11-IF(Skills!E11=TRUE,Inputs!$B$33,0)))*(1-IF(AND(ArtifactsInput!$M$27,Inputs!$B$4="Chapter Hunt"),CHOOSE(ArtifactsInput!$N$27+1,20,24,28,32,36,40),0)/100)))+1)),0)</f>
        <v/>
      </c>
      <c r="S1315" t="n">
        <v>0</v>
      </c>
      <c r="U1315" t="n">
        <v>0</v>
      </c>
    </row>
    <row r="1316">
      <c r="A1316">
        <f>Skills!A12</f>
        <v/>
      </c>
      <c r="B1316">
        <f>Skills!B12</f>
        <v/>
      </c>
      <c r="C1316">
        <f>Inputs!$B$3&gt;=72</f>
        <v/>
      </c>
      <c r="D1316">
        <f>IF(Skills!C12=1,60+Inputs!$B$26+Inputs!$B$30,IF(Skills!C12=2,90+Inputs!$B$27+Inputs!$B$30,IF(Skills!C12=3,120+Inputs!$B$28+Inputs!$B$30,MAX(0,(Inputs!$B$3-100)*3)+Inputs!$B$29+Inputs!$B$30)))</f>
        <v/>
      </c>
      <c r="E1316">
        <f>INDEX(FactorTable!$B$2:$Y$301, MATCH(ROUND(MIN(300,MAX(1,D1316)),0), FactorTable!$A$2:$A$301,0), Skills!L12+1)</f>
        <v/>
      </c>
      <c r="F1316">
        <f>IF(Skills!M12=TRUE,(Skills!K12/10)*(E1316/1000),Skills!K12/10)+Skills!N12</f>
        <v/>
      </c>
      <c r="G1316">
        <f>Calc!G12</f>
        <v/>
      </c>
      <c r="H1316">
        <f>Calc!H12</f>
        <v/>
      </c>
      <c r="I1316">
        <f>IF(Skills!T12&lt;&gt;"",1+(Skills!T12/10)*($Z$3/1000)/100,1)</f>
        <v/>
      </c>
      <c r="J1316" t="inlineStr"/>
      <c r="K1316" t="inlineStr"/>
      <c r="L1316" t="inlineStr"/>
      <c r="M1316" t="inlineStr"/>
      <c r="N1316" t="inlineStr"/>
      <c r="O1316">
        <f>(1-Summary!$B$11)*S1316+Summary!$B$11*U1316</f>
        <v/>
      </c>
      <c r="P1316">
        <f>IF(B1346=0,0,O1316/B1346)</f>
        <v/>
      </c>
      <c r="Q1316">
        <f>IFERROR(1/(IF(Inputs!$B$39="pvp",15,MAX(0.1,Skills!D12-IF(Skills!E12=TRUE,Inputs!$B$33,0)))*(1-IF(AND(ArtifactsInput!$M$27,Inputs!$B$4="Chapter Hunt"),CHOOSE(ArtifactsInput!$N$27+1,20,24,28,32,36,40),0)/100)),0)</f>
        <v/>
      </c>
      <c r="R1316">
        <f>IF(AND(Inputs!$B$39&lt;&gt;"pvp",Inputs!$B$44&gt;0),IF(MAX(0,Inputs!$B$44-B1343)&lt;=0,0,(INT(MAX(0,Inputs!$B$44-B1343)/(IF(Inputs!$B$39="pvp",15,MAX(0.1,Skills!D12-IF(Skills!E12=TRUE,Inputs!$B$33,0)))*(1-IF(AND(ArtifactsInput!$M$27,Inputs!$B$4="Chapter Hunt"),CHOOSE(ArtifactsInput!$N$27+1,20,24,28,32,36,40),0)/100)))+1)),0)</f>
        <v/>
      </c>
      <c r="S1316" t="n">
        <v>0</v>
      </c>
      <c r="U1316" t="n">
        <v>0</v>
      </c>
    </row>
    <row r="1317">
      <c r="A1317">
        <f>Skills!A13</f>
        <v/>
      </c>
      <c r="B1317">
        <f>Skills!B13</f>
        <v/>
      </c>
      <c r="C1317">
        <f>Inputs!$B$3&gt;=60</f>
        <v/>
      </c>
      <c r="D1317">
        <f>IF(Skills!C13=1,60+Inputs!$B$26+Inputs!$B$30,IF(Skills!C13=2,90+Inputs!$B$27+Inputs!$B$30,IF(Skills!C13=3,120+Inputs!$B$28+Inputs!$B$30,MAX(0,(Inputs!$B$3-100)*3)+Inputs!$B$29+Inputs!$B$30)))</f>
        <v/>
      </c>
      <c r="E1317">
        <f>INDEX(FactorTable!$B$2:$Y$301, MATCH(ROUND(MIN(300,MAX(1,D1317)),0), FactorTable!$A$2:$A$301,0), Skills!L13+1)</f>
        <v/>
      </c>
      <c r="F1317">
        <f>IF(Skills!M13=TRUE,(Skills!K13/10)*(E1317/1000),Skills!K13/10)+Skills!N13</f>
        <v/>
      </c>
      <c r="G1317">
        <f>Calc!G13</f>
        <v/>
      </c>
      <c r="H1317">
        <f>Calc!H13</f>
        <v/>
      </c>
      <c r="I1317">
        <f>IF(Skills!T13&lt;&gt;"",1+(Skills!T13/10)*($Z$3/1000)/100,1)</f>
        <v/>
      </c>
      <c r="J1317" t="inlineStr"/>
      <c r="K1317" t="inlineStr"/>
      <c r="L1317" t="inlineStr"/>
      <c r="M1317" t="inlineStr"/>
      <c r="N1317" t="inlineStr"/>
      <c r="O1317">
        <f>(1-Summary!$B$11)*S1317+Summary!$B$11*U1317</f>
        <v/>
      </c>
      <c r="P1317">
        <f>IF(B1346=0,0,O1317/B1346)</f>
        <v/>
      </c>
      <c r="Q1317">
        <f>IFERROR(1/(IF(Inputs!$B$39="pvp",15,MAX(0.1,Skills!D13-IF(Skills!E13=TRUE,Inputs!$B$33,0)))*(1-IF(AND(ArtifactsInput!$M$27,Inputs!$B$4="Chapter Hunt"),CHOOSE(ArtifactsInput!$N$27+1,20,24,28,32,36,40),0)/100)),0)</f>
        <v/>
      </c>
      <c r="R1317">
        <f>IF(AND(Inputs!$B$39&lt;&gt;"pvp",Inputs!$B$44&gt;0),IF(MAX(0,Inputs!$B$44-B1343)&lt;=0,0,(INT(MAX(0,Inputs!$B$44-B1343)/(IF(Inputs!$B$39="pvp",15,MAX(0.1,Skills!D13-IF(Skills!E13=TRUE,Inputs!$B$33,0)))*(1-IF(AND(ArtifactsInput!$M$27,Inputs!$B$4="Chapter Hunt"),CHOOSE(ArtifactsInput!$N$27+1,20,24,28,32,36,40),0)/100)))+1)),0)</f>
        <v/>
      </c>
      <c r="S1317" t="n">
        <v>0</v>
      </c>
      <c r="U1317" t="n">
        <v>0</v>
      </c>
    </row>
    <row r="1318">
      <c r="A1318">
        <f>Skills!A14</f>
        <v/>
      </c>
      <c r="B1318">
        <f>Skills!B14</f>
        <v/>
      </c>
      <c r="C1318">
        <f>Inputs!$B$3&gt;=107</f>
        <v/>
      </c>
      <c r="D1318">
        <f>IF(Skills!C14=1,60+Inputs!$B$26+Inputs!$B$30,IF(Skills!C14=2,90+Inputs!$B$27+Inputs!$B$30,IF(Skills!C14=3,120+Inputs!$B$28+Inputs!$B$30,MAX(0,(Inputs!$B$3-100)*3)+Inputs!$B$29+Inputs!$B$30)))</f>
        <v/>
      </c>
      <c r="E1318">
        <f>INDEX(FactorTable!$B$2:$Y$301, MATCH(ROUND(MIN(300,MAX(1,D1318)),0), FactorTable!$A$2:$A$301,0), Skills!L14+1)</f>
        <v/>
      </c>
      <c r="F1318">
        <f>IF(Skills!M14=TRUE,(Skills!K14/10)*(E1318/1000),Skills!K14/10)+Skills!N14</f>
        <v/>
      </c>
      <c r="G1318">
        <f>Calc!G14</f>
        <v/>
      </c>
      <c r="H1318">
        <f>Calc!H14</f>
        <v/>
      </c>
      <c r="I1318">
        <f>IF(Skills!T14&lt;&gt;"",1+(Skills!T14/10)*($Z$3/1000)/100,1)</f>
        <v/>
      </c>
      <c r="J1318" t="inlineStr"/>
      <c r="K1318" t="inlineStr"/>
      <c r="L1318" t="inlineStr"/>
      <c r="M1318" t="inlineStr"/>
      <c r="N1318" t="inlineStr"/>
      <c r="O1318">
        <f>(1-Summary!$B$11)*S1318+Summary!$B$11*U1318</f>
        <v/>
      </c>
      <c r="P1318">
        <f>IF(B1346=0,0,O1318/B1346)</f>
        <v/>
      </c>
      <c r="Q1318">
        <f>IFERROR(1/(IF(Inputs!$B$39="pvp",15,MAX(0.1,Skills!D14-IF(Skills!E14=TRUE,Inputs!$B$33,0)))*(1-IF(AND(ArtifactsInput!$M$27,Inputs!$B$4="Chapter Hunt"),CHOOSE(ArtifactsInput!$N$27+1,20,24,28,32,36,40),0)/100)),0)</f>
        <v/>
      </c>
      <c r="R1318">
        <f>IF(AND(Inputs!$B$39&lt;&gt;"pvp",Inputs!$B$44&gt;0),IF(Inputs!$B$44&lt;=0,0,(INT(Inputs!$B$44/(IF(Inputs!$B$39="pvp",15,MAX(0.1,Skills!D14-IF(Skills!E14=TRUE,Inputs!$B$33,0)))*(1-IF(AND(ArtifactsInput!$M$27,Inputs!$B$4="Chapter Hunt"),CHOOSE(ArtifactsInput!$N$27+1,20,24,28,32,36,40),0)/100)))+1)),0)</f>
        <v/>
      </c>
      <c r="S1318" t="n">
        <v>0</v>
      </c>
      <c r="U1318" t="n">
        <v>0</v>
      </c>
    </row>
    <row r="1319">
      <c r="A1319">
        <f>Skills!A15</f>
        <v/>
      </c>
      <c r="B1319">
        <f>Skills!B15</f>
        <v/>
      </c>
      <c r="C1319">
        <f>Inputs!$B$3&gt;=63</f>
        <v/>
      </c>
      <c r="D1319">
        <f>IF(Skills!C15=1,60+Inputs!$B$26+Inputs!$B$30,IF(Skills!C15=2,90+Inputs!$B$27+Inputs!$B$30,IF(Skills!C15=3,120+Inputs!$B$28+Inputs!$B$30,MAX(0,(Inputs!$B$3-100)*3)+Inputs!$B$29+Inputs!$B$30)))</f>
        <v/>
      </c>
      <c r="E1319">
        <f>INDEX(FactorTable!$B$2:$Y$301, MATCH(ROUND(MIN(300,MAX(1,D1319)),0), FactorTable!$A$2:$A$301,0), Skills!L15+1)</f>
        <v/>
      </c>
      <c r="F1319">
        <f>IF(Skills!M15=TRUE,(Skills!K15/10)*(E1319/1000),Skills!K15/10)+Skills!N15</f>
        <v/>
      </c>
      <c r="G1319">
        <f>Calc!G15</f>
        <v/>
      </c>
      <c r="H1319">
        <f>Calc!H15</f>
        <v/>
      </c>
      <c r="I1319">
        <f>IF(Skills!T15&lt;&gt;"",1+(Skills!T15/10)*($Z$3/1000)/100,1)</f>
        <v/>
      </c>
      <c r="J1319">
        <f>((Inputs!$B$6*(1+Inputs!$B$7/100))+(((Inputs!$B$13*(1+Inputs!$B$14/100))-(Inputs!$B$13*(1+Inputs!$B$14/100)))+0.25*(Inputs!$B$15-Inputs!$B$15))*(1+Inputs!$B$7/100))*(F1319/100)</f>
        <v/>
      </c>
      <c r="K1319">
        <f>J1319*(1+(((Inputs!$B$13+IF(Inputs!$B$3&gt;=35,(10*INDEX(FactorTable!$B$2:$Y$301,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15="TRIUMPH_FEATHER",IF(C1320=TRUE,F1320,0),0)/100)*(1+IF(C1331=TRUE,F1331,0)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1319)</f>
        <v/>
      </c>
      <c r="L1319">
        <f>K1319*(MIN(Inputs!$B$23+(F1326-Calc!F22),(Inputs!$B$24+IF(ArtifactsInput!$M$15,CHOOSE(ArtifactsInput!$N$15+1,25,30,35,40,45,50)/100*(Inputs!$B$12-Inputs!$B$12),0)))/100+(Inputs!$B$24+IF(ArtifactsInput!$M$15,CHOOSE(ArtifactsInput!$N$15+1,25,30,35,40,45,50)/100*(Inputs!$B$12-Inputs!$B$12),0))/100)/2</f>
        <v/>
      </c>
      <c r="M1319">
        <f>L1319*(1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9">
        <f>L1319*(1-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1319*(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9">
        <f>(1-Summary!$B$11)*S1319+Summary!$B$11*U1319</f>
        <v/>
      </c>
      <c r="P1319">
        <f>IF(B1346=0,0,O1319/B1346)</f>
        <v/>
      </c>
      <c r="Q1319">
        <f>IFERROR(1/(IF(Inputs!$B$39="pvp",15,MAX(0.1,Skills!D15-IF(Skills!E15=TRUE,Inputs!$B$33,0)))*(1-IF(AND(ArtifactsInput!$M$27,Inputs!$B$4="Chapter Hunt"),CHOOSE(ArtifactsInput!$N$27+1,20,24,28,32,36,40),0)/100)),0)</f>
        <v/>
      </c>
      <c r="R1319" t="n">
        <v>0</v>
      </c>
      <c r="S1319">
        <f>IF(C1319,(Skills!F15*N1319*((IF(Inputs!$B$3&gt;=78,25,15)/100*B1339*10)/(1+IF(Inputs!$B$3&gt;=78,25,15)/100*B1339*10))*(Skills!I15/100*B1339)/(1+Skills!G15*Skills!I15/100*B1339))*IF(Inputs!$B$39="pvp",1,1+(Inputs!$B$21+Skills!O15+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1319*(1-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1319*(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1319*(1-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1319*(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9">
        <f>IF(C1319,(Skills!F15*N1319*((IF(Inputs!$B$3&gt;=78,25,15)/100*B1339*10)/(1+IF(Inputs!$B$3&gt;=78,25,15)/100*B1339*10))*(Skills!I15/100*B1339)/(1+Skills!G15*Skills!I15/100*B1339))*IF(Inputs!$B$39="pvp",1,(1+(Inputs!$B$22+Skills!P15+B1335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0">
      <c r="A1320">
        <f>Skills!A16</f>
        <v/>
      </c>
      <c r="B1320">
        <f>Skills!B16</f>
        <v/>
      </c>
      <c r="C1320">
        <f>Inputs!$B$3&gt;=100</f>
        <v/>
      </c>
      <c r="D1320">
        <f>IF(Skills!C16=1,60+Inputs!$B$26+Inputs!$B$30,IF(Skills!C16=2,90+Inputs!$B$27+Inputs!$B$30,IF(Skills!C16=3,120+Inputs!$B$28+Inputs!$B$30,MAX(0,(Inputs!$B$3-100)*3)+Inputs!$B$29+Inputs!$B$30)))</f>
        <v/>
      </c>
      <c r="E1320">
        <f>INDEX(FactorTable!$B$2:$Y$301, MATCH(ROUND(MIN(300,MAX(1,D1320)),0), FactorTable!$A$2:$A$301,0), Skills!L16+1)</f>
        <v/>
      </c>
      <c r="F1320">
        <f>IF(Skills!M16=TRUE,(Skills!K16/10)*(E1320/1000),Skills!K16/10)+Skills!N16</f>
        <v/>
      </c>
      <c r="G1320">
        <f>Calc!G16</f>
        <v/>
      </c>
      <c r="H1320">
        <f>Calc!H16</f>
        <v/>
      </c>
      <c r="I1320">
        <f>IF(Skills!T16&lt;&gt;"",1+(Skills!T16/10)*($Z$3/1000)/100,1)</f>
        <v/>
      </c>
      <c r="J1320" t="inlineStr"/>
      <c r="K1320" t="inlineStr"/>
      <c r="L1320" t="inlineStr"/>
      <c r="M1320" t="inlineStr"/>
      <c r="N1320" t="inlineStr"/>
      <c r="O1320">
        <f>(1-Summary!$B$11)*S1320+Summary!$B$11*U1320</f>
        <v/>
      </c>
      <c r="P1320">
        <f>IF(B1346=0,0,O1320/B1346)</f>
        <v/>
      </c>
      <c r="Q1320">
        <f>IFERROR(1/(IF(Inputs!$B$39="pvp",15,MAX(0.1,Skills!D16-IF(Skills!E16=TRUE,Inputs!$B$33,0)))*(1-IF(AND(ArtifactsInput!$M$27,Inputs!$B$4="Chapter Hunt"),CHOOSE(ArtifactsInput!$N$27+1,20,24,28,32,36,40),0)/100)),0)</f>
        <v/>
      </c>
      <c r="R1320" t="n">
        <v>0</v>
      </c>
      <c r="S1320" t="n">
        <v>0</v>
      </c>
      <c r="U1320" t="n">
        <v>0</v>
      </c>
    </row>
    <row r="1321">
      <c r="A1321">
        <f>Skills!A17</f>
        <v/>
      </c>
      <c r="B1321">
        <f>Skills!B17</f>
        <v/>
      </c>
      <c r="C1321">
        <f>Inputs!$B$3&gt;=49</f>
        <v/>
      </c>
      <c r="D1321">
        <f>IF(Skills!C17=1,60+Inputs!$B$26+Inputs!$B$30,IF(Skills!C17=2,90+Inputs!$B$27+Inputs!$B$30,IF(Skills!C17=3,120+Inputs!$B$28+Inputs!$B$30,MAX(0,(Inputs!$B$3-100)*3)+Inputs!$B$29+Inputs!$B$30)))</f>
        <v/>
      </c>
      <c r="E1321">
        <f>INDEX(FactorTable!$B$2:$Y$301, MATCH(ROUND(MIN(300,MAX(1,D1321)),0), FactorTable!$A$2:$A$301,0), Skills!L17+1)</f>
        <v/>
      </c>
      <c r="F1321">
        <f>IF(Skills!M17=TRUE,(Skills!K17/10)*(E1321/1000),Skills!K17/10)+Skills!N17</f>
        <v/>
      </c>
      <c r="G1321">
        <f>Calc!G17</f>
        <v/>
      </c>
      <c r="H1321">
        <f>Calc!H17</f>
        <v/>
      </c>
      <c r="I1321">
        <f>IF(Skills!T17&lt;&gt;"",1+(Skills!T17/10)*($Z$3/1000)/100,1)</f>
        <v/>
      </c>
      <c r="J1321" t="inlineStr"/>
      <c r="K1321" t="inlineStr"/>
      <c r="L1321" t="inlineStr"/>
      <c r="M1321" t="inlineStr"/>
      <c r="N1321" t="inlineStr"/>
      <c r="O1321">
        <f>(1-Summary!$B$11)*S1321+Summary!$B$11*U1321</f>
        <v/>
      </c>
      <c r="P1321">
        <f>IF(B1346=0,0,O1321/B1346)</f>
        <v/>
      </c>
      <c r="Q1321">
        <f>IFERROR(1/(IF(Inputs!$B$39="pvp",15,MAX(0.1,Skills!D17-IF(Skills!E17=TRUE,Inputs!$B$33,0)))*(1-IF(AND(ArtifactsInput!$M$27,Inputs!$B$4="Chapter Hunt"),CHOOSE(ArtifactsInput!$N$27+1,20,24,28,32,36,40),0)/100)),0)</f>
        <v/>
      </c>
      <c r="R1321" t="n">
        <v>0</v>
      </c>
      <c r="S1321" t="n">
        <v>0</v>
      </c>
      <c r="U1321" t="n">
        <v>0</v>
      </c>
    </row>
    <row r="1322">
      <c r="A1322">
        <f>Skills!A18</f>
        <v/>
      </c>
      <c r="B1322">
        <f>Skills!B18</f>
        <v/>
      </c>
      <c r="C1322">
        <f>Inputs!$B$3&gt;=75</f>
        <v/>
      </c>
      <c r="D1322">
        <f>IF(Skills!C18=1,60+Inputs!$B$26+Inputs!$B$30,IF(Skills!C18=2,90+Inputs!$B$27+Inputs!$B$30,IF(Skills!C18=3,120+Inputs!$B$28+Inputs!$B$30,MAX(0,(Inputs!$B$3-100)*3)+Inputs!$B$29+Inputs!$B$30)))</f>
        <v/>
      </c>
      <c r="E1322">
        <f>INDEX(FactorTable!$B$2:$Y$301, MATCH(ROUND(MIN(300,MAX(1,D1322)),0), FactorTable!$A$2:$A$301,0), Skills!L18+1)</f>
        <v/>
      </c>
      <c r="F1322">
        <f>IF(Skills!M18=TRUE,(Skills!K18/10)*(E1322/1000),Skills!K18/10)+Skills!N18</f>
        <v/>
      </c>
      <c r="G1322">
        <f>Calc!G18</f>
        <v/>
      </c>
      <c r="H1322">
        <f>Calc!H18</f>
        <v/>
      </c>
      <c r="I1322">
        <f>IF(Skills!T18&lt;&gt;"",1+(Skills!T18/10)*($Z$3/1000)/100,1)</f>
        <v/>
      </c>
      <c r="J1322" t="inlineStr"/>
      <c r="K1322" t="inlineStr"/>
      <c r="L1322" t="inlineStr"/>
      <c r="M1322" t="inlineStr"/>
      <c r="N1322" t="inlineStr"/>
      <c r="O1322">
        <f>(1-Summary!$B$11)*S1322+Summary!$B$11*U1322</f>
        <v/>
      </c>
      <c r="P1322">
        <f>IF(B1346=0,0,O1322/B1346)</f>
        <v/>
      </c>
      <c r="Q1322">
        <f>IFERROR(1/(IF(Inputs!$B$39="pvp",15,MAX(0.1,Skills!D18-IF(Skills!E18=TRUE,Inputs!$B$33,0)))*(1-IF(AND(ArtifactsInput!$M$27,Inputs!$B$4="Chapter Hunt"),CHOOSE(ArtifactsInput!$N$27+1,20,24,28,32,36,40),0)/100)),0)</f>
        <v/>
      </c>
      <c r="R1322" t="n">
        <v>0</v>
      </c>
      <c r="S1322" t="n">
        <v>0</v>
      </c>
      <c r="U1322" t="n">
        <v>0</v>
      </c>
    </row>
    <row r="1323">
      <c r="A1323">
        <f>Skills!A19</f>
        <v/>
      </c>
      <c r="B1323">
        <f>Skills!B19</f>
        <v/>
      </c>
      <c r="C1323">
        <f>Inputs!$B$3&gt;=110</f>
        <v/>
      </c>
      <c r="D1323">
        <f>IF(Skills!C19=1,60+Inputs!$B$26+Inputs!$B$30,IF(Skills!C19=2,90+Inputs!$B$27+Inputs!$B$30,IF(Skills!C19=3,120+Inputs!$B$28+Inputs!$B$30,MAX(0,(Inputs!$B$3-100)*3)+Inputs!$B$29+Inputs!$B$30)))</f>
        <v/>
      </c>
      <c r="E1323">
        <f>INDEX(FactorTable!$B$2:$Y$301, MATCH(ROUND(MIN(300,MAX(1,D1323)),0), FactorTable!$A$2:$A$301,0), Skills!L19+1)</f>
        <v/>
      </c>
      <c r="F1323">
        <f>(Skills!K19/10)*(E1323/1000)*64/45+Skills!N19</f>
        <v/>
      </c>
      <c r="G1323">
        <f>Calc!G19</f>
        <v/>
      </c>
      <c r="H1323">
        <f>Calc!H19</f>
        <v/>
      </c>
      <c r="I1323">
        <f>IF(Skills!T19&lt;&gt;"",1+(Skills!T19/10)*($Z$3/1000)/100,1)</f>
        <v/>
      </c>
      <c r="J1323" t="inlineStr"/>
      <c r="K1323" t="inlineStr"/>
      <c r="L1323" t="inlineStr"/>
      <c r="M1323" t="inlineStr"/>
      <c r="N1323" t="inlineStr"/>
      <c r="O1323">
        <f>(1-Summary!$B$11)*S1323+Summary!$B$11*U1323</f>
        <v/>
      </c>
      <c r="P1323">
        <f>IF(B1346=0,0,O1323/B1346)</f>
        <v/>
      </c>
      <c r="Q1323">
        <f>IFERROR(1/(IF(Inputs!$B$39="pvp",15,MAX(0.1,Skills!D19-IF(Skills!E19=TRUE,Inputs!$B$33,0)))*(1-IF(AND(ArtifactsInput!$M$27,Inputs!$B$4="Chapter Hunt"),CHOOSE(ArtifactsInput!$N$27+1,20,24,28,32,36,40),0)/100)),0)</f>
        <v/>
      </c>
      <c r="R1323">
        <f>IF(AND(Inputs!$B$39&lt;&gt;"pvp",Inputs!$B$44&gt;0),IF(Inputs!$B$44&lt;=0,0,(INT(Inputs!$B$44/(IF(Inputs!$B$39="pvp",15,MAX(0.1,Skills!D19-IF(Skills!E19=TRUE,Inputs!$B$33,0)))*(1-IF(AND(ArtifactsInput!$M$27,Inputs!$B$4="Chapter Hunt"),CHOOSE(ArtifactsInput!$N$27+1,20,24,28,32,36,40),0)/100)))+1)),0)</f>
        <v/>
      </c>
      <c r="S1323" t="n">
        <v>0</v>
      </c>
      <c r="U1323" t="n">
        <v>0</v>
      </c>
    </row>
    <row r="1324">
      <c r="A1324">
        <f>Skills!A20</f>
        <v/>
      </c>
      <c r="B1324">
        <f>Skills!B20</f>
        <v/>
      </c>
      <c r="C1324">
        <f>Inputs!$B$3&gt;=125</f>
        <v/>
      </c>
      <c r="D1324">
        <f>IF(Skills!C20=1,60+Inputs!$B$26+Inputs!$B$30,IF(Skills!C20=2,90+Inputs!$B$27+Inputs!$B$30,IF(Skills!C20=3,120+Inputs!$B$28+Inputs!$B$30,MAX(0,(Inputs!$B$3-100)*3)+Inputs!$B$29+Inputs!$B$30)))</f>
        <v/>
      </c>
      <c r="E1324">
        <f>INDEX(FactorTable!$B$2:$Y$301, MATCH(ROUND(MIN(300,MAX(1,D1324)),0), FactorTable!$A$2:$A$301,0), Skills!L20+1)</f>
        <v/>
      </c>
      <c r="F1324">
        <f>IF(Skills!M20=TRUE,(Skills!K20/10)*(E1324/1000),Skills!K20/10)+Skills!N20</f>
        <v/>
      </c>
      <c r="G1324">
        <f>Calc!G20</f>
        <v/>
      </c>
      <c r="H1324">
        <f>Calc!H20</f>
        <v/>
      </c>
      <c r="I1324">
        <f>IF(Skills!T20&lt;&gt;"",1+(Skills!T20/10)*($Z$3/1000)/100,1)</f>
        <v/>
      </c>
      <c r="J1324" t="inlineStr"/>
      <c r="K1324" t="inlineStr"/>
      <c r="L1324" t="inlineStr"/>
      <c r="M1324" t="inlineStr"/>
      <c r="N1324" t="inlineStr"/>
      <c r="O1324">
        <f>(1-Summary!$B$11)*S1324+Summary!$B$11*U1324</f>
        <v/>
      </c>
      <c r="P1324">
        <f>IF(B1346=0,0,O1324/B1346)</f>
        <v/>
      </c>
      <c r="Q1324">
        <f>IFERROR(1/(IF(Inputs!$B$39="pvp",15,MAX(0.1,Skills!D20-IF(Skills!E20=TRUE,Inputs!$B$33,0)))*(1-IF(AND(ArtifactsInput!$M$27,Inputs!$B$4="Chapter Hunt"),CHOOSE(ArtifactsInput!$N$27+1,20,24,28,32,36,40),0)/100)),0)</f>
        <v/>
      </c>
      <c r="R1324" t="n">
        <v>0</v>
      </c>
      <c r="S1324" t="n">
        <v>0</v>
      </c>
      <c r="U1324" t="n">
        <v>0</v>
      </c>
    </row>
    <row r="1325">
      <c r="A1325">
        <f>Skills!A21</f>
        <v/>
      </c>
      <c r="B1325">
        <f>Skills!B21</f>
        <v/>
      </c>
      <c r="C1325">
        <f>Inputs!$B$3&gt;=33</f>
        <v/>
      </c>
      <c r="D1325">
        <f>IF(Skills!C21=1,60+Inputs!$B$26+Inputs!$B$30,IF(Skills!C21=2,90+Inputs!$B$27+Inputs!$B$30,IF(Skills!C21=3,120+Inputs!$B$28+Inputs!$B$30,MAX(0,(Inputs!$B$3-100)*3)+Inputs!$B$29+Inputs!$B$30)))</f>
        <v/>
      </c>
      <c r="E1325">
        <f>INDEX(FactorTable!$B$2:$Y$301, MATCH(ROUND(MIN(300,MAX(1,D1325)),0), FactorTable!$A$2:$A$301,0), Skills!L21+1)</f>
        <v/>
      </c>
      <c r="F1325">
        <f>IF(Skills!M21=TRUE,(Skills!K21/10)*(E1325/1000),Skills!K21/10)+Skills!N21</f>
        <v/>
      </c>
      <c r="G1325">
        <f>Calc!G21</f>
        <v/>
      </c>
      <c r="H1325">
        <f>Calc!H21</f>
        <v/>
      </c>
      <c r="I1325">
        <f>IF(Skills!T21&lt;&gt;"",1+(Skills!T21/10)*($Z$3/1000)/100,1)</f>
        <v/>
      </c>
      <c r="J1325" t="inlineStr"/>
      <c r="K1325" t="inlineStr"/>
      <c r="L1325" t="inlineStr"/>
      <c r="M1325" t="inlineStr"/>
      <c r="N1325" t="inlineStr"/>
      <c r="O1325">
        <f>(1-Summary!$B$11)*S1325+Summary!$B$11*U1325</f>
        <v/>
      </c>
      <c r="P1325">
        <f>IF(B1346=0,0,O1325/B1346)</f>
        <v/>
      </c>
      <c r="Q1325">
        <f>IFERROR(1/(IF(Inputs!$B$39="pvp",15,MAX(0.1,Skills!D21-IF(Skills!E21=TRUE,Inputs!$B$33,0)))*(1-IF(AND(ArtifactsInput!$M$27,Inputs!$B$4="Chapter Hunt"),CHOOSE(ArtifactsInput!$N$27+1,20,24,28,32,36,40),0)/100)),0)</f>
        <v/>
      </c>
      <c r="R1325" t="n">
        <v>0</v>
      </c>
      <c r="S1325" t="n">
        <v>0</v>
      </c>
      <c r="U1325" t="n">
        <v>0</v>
      </c>
    </row>
    <row r="1326">
      <c r="A1326">
        <f>Skills!A22</f>
        <v/>
      </c>
      <c r="B1326">
        <f>Skills!B22</f>
        <v/>
      </c>
      <c r="C1326">
        <f>Inputs!$B$3&gt;=43</f>
        <v/>
      </c>
      <c r="D1326">
        <f>IF(Skills!C22=1,60+Inputs!$B$26+Inputs!$B$30,IF(Skills!C22=2,90+Inputs!$B$27+Inputs!$B$30,IF(Skills!C22=3,120+Inputs!$B$28+Inputs!$B$30,MAX(0,(Inputs!$B$3-100)*3)+Inputs!$B$29+Inputs!$B$30)))</f>
        <v/>
      </c>
      <c r="E1326">
        <f>INDEX(FactorTable!$B$2:$Y$301, MATCH(ROUND(MIN(300,MAX(1,D1326)),0), FactorTable!$A$2:$A$301,0), Skills!L22+1)</f>
        <v/>
      </c>
      <c r="F1326">
        <f>IF(Skills!M22=TRUE,(Skills!K22/10)*(E1326/1000),Skills!K22/10)+Skills!N22</f>
        <v/>
      </c>
      <c r="G1326">
        <f>Calc!G22</f>
        <v/>
      </c>
      <c r="H1326">
        <f>Calc!H22</f>
        <v/>
      </c>
      <c r="I1326">
        <f>IF(Skills!T22&lt;&gt;"",1+(Skills!T22/10)*($Z$3/1000)/100,1)</f>
        <v/>
      </c>
      <c r="J1326" t="inlineStr"/>
      <c r="K1326" t="inlineStr"/>
      <c r="L1326" t="inlineStr"/>
      <c r="M1326" t="inlineStr"/>
      <c r="N1326" t="inlineStr"/>
      <c r="O1326">
        <f>(1-Summary!$B$11)*S1326+Summary!$B$11*U1326</f>
        <v/>
      </c>
      <c r="P1326">
        <f>IF(B1346=0,0,O1326/B1346)</f>
        <v/>
      </c>
      <c r="Q1326">
        <f>IFERROR(1/(IF(Inputs!$B$39="pvp",15,MAX(0.1,Skills!D22-IF(Skills!E22=TRUE,Inputs!$B$33,0)))*(1-IF(AND(ArtifactsInput!$M$27,Inputs!$B$4="Chapter Hunt"),CHOOSE(ArtifactsInput!$N$27+1,20,24,28,32,36,40),0)/100)),0)</f>
        <v/>
      </c>
      <c r="R1326" t="n">
        <v>0</v>
      </c>
      <c r="S1326" t="n">
        <v>0</v>
      </c>
      <c r="U1326" t="n">
        <v>0</v>
      </c>
    </row>
    <row r="1327">
      <c r="A1327">
        <f>Skills!A23</f>
        <v/>
      </c>
      <c r="B1327">
        <f>Skills!B23</f>
        <v/>
      </c>
      <c r="C1327">
        <f>Inputs!$B$3&gt;=50</f>
        <v/>
      </c>
      <c r="D1327">
        <f>IF(Skills!C23=1,60+Inputs!$B$26+Inputs!$B$30,IF(Skills!C23=2,90+Inputs!$B$27+Inputs!$B$30,IF(Skills!C23=3,120+Inputs!$B$28+Inputs!$B$30,MAX(0,(Inputs!$B$3-100)*3)+Inputs!$B$29+Inputs!$B$30)))</f>
        <v/>
      </c>
      <c r="E1327">
        <f>INDEX(FactorTable!$B$2:$Y$301, MATCH(ROUND(MIN(300,MAX(1,D1327)),0), FactorTable!$A$2:$A$301,0), Skills!L23+1)</f>
        <v/>
      </c>
      <c r="F1327">
        <f>IF(Skills!M23=TRUE,(Skills!K23/10)*(E1327/1000),Skills!K23/10)+Skills!N23</f>
        <v/>
      </c>
      <c r="G1327">
        <f>Calc!G23</f>
        <v/>
      </c>
      <c r="H1327">
        <f>Calc!H23</f>
        <v/>
      </c>
      <c r="I1327">
        <f>IF(Skills!T23&lt;&gt;"",1+(Skills!T23/10)*($Z$3/1000)/100,1)</f>
        <v/>
      </c>
      <c r="J1327" t="inlineStr"/>
      <c r="K1327" t="inlineStr"/>
      <c r="L1327" t="inlineStr"/>
      <c r="M1327" t="inlineStr"/>
      <c r="N1327" t="inlineStr"/>
      <c r="O1327">
        <f>(1-Summary!$B$11)*S1327+Summary!$B$11*U1327</f>
        <v/>
      </c>
      <c r="P1327">
        <f>IF(B1346=0,0,O1327/B1346)</f>
        <v/>
      </c>
      <c r="Q1327">
        <f>IFERROR(1/(IF(Inputs!$B$39="pvp",15,MAX(0.1,Skills!D23-IF(Skills!E23=TRUE,Inputs!$B$33,0)))*(1-IF(AND(ArtifactsInput!$M$27,Inputs!$B$4="Chapter Hunt"),CHOOSE(ArtifactsInput!$N$27+1,20,24,28,32,36,40),0)/100)),0)</f>
        <v/>
      </c>
      <c r="R1327" t="n">
        <v>0</v>
      </c>
      <c r="S1327" t="n">
        <v>0</v>
      </c>
      <c r="U1327" t="n">
        <v>0</v>
      </c>
    </row>
    <row r="1328">
      <c r="A1328">
        <f>Skills!A24</f>
        <v/>
      </c>
      <c r="B1328">
        <f>Skills!B24</f>
        <v/>
      </c>
      <c r="C1328">
        <f>Inputs!$B$3&gt;=74</f>
        <v/>
      </c>
      <c r="D1328">
        <f>IF(Skills!C24=1,60+Inputs!$B$26+Inputs!$B$30,IF(Skills!C24=2,90+Inputs!$B$27+Inputs!$B$30,IF(Skills!C24=3,120+Inputs!$B$28+Inputs!$B$30,MAX(0,(Inputs!$B$3-100)*3)+Inputs!$B$29+Inputs!$B$30)))</f>
        <v/>
      </c>
      <c r="E1328">
        <f>INDEX(FactorTable!$B$2:$Y$301, MATCH(ROUND(MIN(300,MAX(1,D1328)),0), FactorTable!$A$2:$A$301,0), Skills!L24+1)</f>
        <v/>
      </c>
      <c r="F1328">
        <f>IF(Skills!M24=TRUE,(Skills!K24/10)*(E1328/1000),Skills!K24/10)+Skills!N24</f>
        <v/>
      </c>
      <c r="G1328">
        <f>Calc!G24</f>
        <v/>
      </c>
      <c r="H1328">
        <f>Calc!H24</f>
        <v/>
      </c>
      <c r="I1328">
        <f>IF(Skills!T24&lt;&gt;"",1+(Skills!T24/10)*($Z$3/1000)/100,1)</f>
        <v/>
      </c>
      <c r="J1328" t="inlineStr"/>
      <c r="K1328" t="inlineStr"/>
      <c r="L1328" t="inlineStr"/>
      <c r="M1328" t="inlineStr"/>
      <c r="N1328" t="inlineStr"/>
      <c r="O1328">
        <f>(1-Summary!$B$11)*S1328+Summary!$B$11*U1328</f>
        <v/>
      </c>
      <c r="P1328">
        <f>IF(B1346=0,0,O1328/B1346)</f>
        <v/>
      </c>
      <c r="Q1328">
        <f>IFERROR(1/(IF(Inputs!$B$39="pvp",15,MAX(0.1,Skills!D24-IF(Skills!E24=TRUE,Inputs!$B$33,0)))*(1-IF(AND(ArtifactsInput!$M$27,Inputs!$B$4="Chapter Hunt"),CHOOSE(ArtifactsInput!$N$27+1,20,24,28,32,36,40),0)/100)),0)</f>
        <v/>
      </c>
      <c r="R1328" t="n">
        <v>0</v>
      </c>
      <c r="S1328" t="n">
        <v>0</v>
      </c>
      <c r="U1328" t="n">
        <v>0</v>
      </c>
    </row>
    <row r="1329">
      <c r="A1329">
        <f>Skills!A25</f>
        <v/>
      </c>
      <c r="B1329">
        <f>Skills!B25</f>
        <v/>
      </c>
      <c r="C1329">
        <f>Inputs!$B$3&gt;=74</f>
        <v/>
      </c>
      <c r="D1329">
        <f>IF(Skills!C25=1,60+Inputs!$B$26+Inputs!$B$30,IF(Skills!C25=2,90+Inputs!$B$27+Inputs!$B$30,IF(Skills!C25=3,120+Inputs!$B$28+Inputs!$B$30,MAX(0,(Inputs!$B$3-100)*3)+Inputs!$B$29+Inputs!$B$30)))</f>
        <v/>
      </c>
      <c r="E1329">
        <f>INDEX(FactorTable!$B$2:$Y$301, MATCH(ROUND(MIN(300,MAX(1,D1329)),0), FactorTable!$A$2:$A$301,0), Skills!L25+1)</f>
        <v/>
      </c>
      <c r="F1329">
        <f>IF(Skills!M25=TRUE,(Skills!K25/10)*(E1329/1000),Skills!K25/10)+Skills!N25</f>
        <v/>
      </c>
      <c r="G1329">
        <f>Calc!G25</f>
        <v/>
      </c>
      <c r="H1329">
        <f>Calc!H25</f>
        <v/>
      </c>
      <c r="I1329">
        <f>IF(Skills!T25&lt;&gt;"",1+(Skills!T25/10)*($Z$3/1000)/100,1)</f>
        <v/>
      </c>
      <c r="J1329" t="inlineStr"/>
      <c r="K1329" t="inlineStr"/>
      <c r="L1329" t="inlineStr"/>
      <c r="M1329" t="inlineStr"/>
      <c r="N1329" t="inlineStr"/>
      <c r="O1329">
        <f>(1-Summary!$B$11)*S1329+Summary!$B$11*U1329</f>
        <v/>
      </c>
      <c r="P1329">
        <f>IF(B1346=0,0,O1329/B1346)</f>
        <v/>
      </c>
      <c r="Q1329">
        <f>IFERROR(1/(IF(Inputs!$B$39="pvp",15,MAX(0.1,Skills!D25-IF(Skills!E25=TRUE,Inputs!$B$33,0)))*(1-IF(AND(ArtifactsInput!$M$27,Inputs!$B$4="Chapter Hunt"),CHOOSE(ArtifactsInput!$N$27+1,20,24,28,32,36,40),0)/100)),0)</f>
        <v/>
      </c>
      <c r="R1329" t="n">
        <v>0</v>
      </c>
      <c r="S1329" t="n">
        <v>0</v>
      </c>
      <c r="U1329" t="n">
        <v>0</v>
      </c>
    </row>
    <row r="1330">
      <c r="A1330">
        <f>Skills!A26</f>
        <v/>
      </c>
      <c r="B1330">
        <f>Skills!B26</f>
        <v/>
      </c>
      <c r="C1330">
        <f>Inputs!$B$3&gt;=117</f>
        <v/>
      </c>
      <c r="D1330">
        <f>IF(Skills!C26=1,60+Inputs!$B$26+Inputs!$B$30,IF(Skills!C26=2,90+Inputs!$B$27+Inputs!$B$30,IF(Skills!C26=3,120+Inputs!$B$28+Inputs!$B$30,MAX(0,(Inputs!$B$3-100)*3)+Inputs!$B$29+Inputs!$B$30)))</f>
        <v/>
      </c>
      <c r="E1330">
        <f>INDEX(FactorTable!$B$2:$Y$301, MATCH(ROUND(MIN(300,MAX(1,D1330)),0), FactorTable!$A$2:$A$301,0), Skills!L26+1)</f>
        <v/>
      </c>
      <c r="F1330">
        <f>IF(Skills!M26=TRUE,(Skills!K26/10)*(E1330/1000),Skills!K26/10)+Skills!N26</f>
        <v/>
      </c>
      <c r="G1330">
        <f>Calc!G26</f>
        <v/>
      </c>
      <c r="H1330">
        <f>Calc!H26</f>
        <v/>
      </c>
      <c r="I1330">
        <f>IF(Skills!T26&lt;&gt;"",1+(Skills!T26/10)*($Z$3/1000)/100,1)</f>
        <v/>
      </c>
      <c r="J1330" t="inlineStr"/>
      <c r="K1330" t="inlineStr"/>
      <c r="L1330" t="inlineStr"/>
      <c r="M1330" t="inlineStr"/>
      <c r="N1330" t="inlineStr"/>
      <c r="O1330">
        <f>(1-Summary!$B$11)*S1330+Summary!$B$11*U1330</f>
        <v/>
      </c>
      <c r="P1330">
        <f>IF(B1346=0,0,O1330/B1346)</f>
        <v/>
      </c>
      <c r="Q1330">
        <f>IFERROR(1/(IF(Inputs!$B$39="pvp",15,MAX(0.1,Skills!D26-IF(Skills!E26=TRUE,Inputs!$B$33,0)))*(1-IF(AND(ArtifactsInput!$M$27,Inputs!$B$4="Chapter Hunt"),CHOOSE(ArtifactsInput!$N$27+1,20,24,28,32,36,40),0)/100)),0)</f>
        <v/>
      </c>
      <c r="R1330" t="n">
        <v>0</v>
      </c>
      <c r="S1330" t="n">
        <v>0</v>
      </c>
      <c r="U1330" t="n">
        <v>0</v>
      </c>
    </row>
    <row r="1331">
      <c r="A1331">
        <f>Skills!A27</f>
        <v/>
      </c>
      <c r="B1331">
        <f>Skills!B27</f>
        <v/>
      </c>
      <c r="C1331">
        <f>Inputs!$B$3&gt;=120</f>
        <v/>
      </c>
      <c r="D1331">
        <f>IF(Skills!C27=1,60+Inputs!$B$26+Inputs!$B$30,IF(Skills!C27=2,90+Inputs!$B$27+Inputs!$B$30,IF(Skills!C27=3,120+Inputs!$B$28+Inputs!$B$30,MAX(0,(Inputs!$B$3-100)*3)+Inputs!$B$29+Inputs!$B$30)))</f>
        <v/>
      </c>
      <c r="E1331">
        <f>INDEX(FactorTable!$B$2:$Y$301, MATCH(ROUND(MIN(300,MAX(1,D1331)),0), FactorTable!$A$2:$A$301,0), Skills!L27+1)</f>
        <v/>
      </c>
      <c r="F1331">
        <f>IF(Skills!M27=TRUE,(Skills!K27/10)*(E1331/1000),Skills!K27/10)+Skills!N27</f>
        <v/>
      </c>
      <c r="G1331">
        <f>Calc!G27</f>
        <v/>
      </c>
      <c r="H1331">
        <f>Calc!H27</f>
        <v/>
      </c>
      <c r="I1331">
        <f>IF(Skills!T27&lt;&gt;"",1+(Skills!T27/10)*($Z$3/1000)/100,1)</f>
        <v/>
      </c>
      <c r="J1331" t="inlineStr"/>
      <c r="K1331" t="inlineStr"/>
      <c r="L1331" t="inlineStr"/>
      <c r="M1331" t="inlineStr"/>
      <c r="N1331" t="inlineStr"/>
      <c r="O1331">
        <f>(1-Summary!$B$11)*S1331+Summary!$B$11*U1331</f>
        <v/>
      </c>
      <c r="P1331">
        <f>IF(B1346=0,0,O1331/B1346)</f>
        <v/>
      </c>
      <c r="Q1331">
        <f>IFERROR(1/(IF(Inputs!$B$39="pvp",15,MAX(0.1,Skills!D27-IF(Skills!E27=TRUE,Inputs!$B$33,0)))*(1-IF(AND(ArtifactsInput!$M$27,Inputs!$B$4="Chapter Hunt"),CHOOSE(ArtifactsInput!$N$27+1,20,24,28,32,36,40),0)/100)),0)</f>
        <v/>
      </c>
      <c r="R1331" t="n">
        <v>0</v>
      </c>
      <c r="S1331" t="n">
        <v>0</v>
      </c>
      <c r="U1331" t="n">
        <v>0</v>
      </c>
    </row>
    <row r="1333">
      <c r="A1333" t="inlineStr">
        <is>
          <t>Average Buff Multiplier</t>
        </is>
      </c>
      <c r="B1333">
        <f>(1+(IF(C1307=TRUE,F1307*IF(AND(Inputs!$B$39&lt;&gt;"pvp",Inputs!$B$44&gt;0),(((R1307-1)*(Skills!S3*(1+((Inputs!$B$35+(ArtifactsInput!$M$7-ArtifactsInput!$M$7)*CHOOSE(ArtifactsInput!$N$7+1,6,7.2,8.4,9.6,10.8,12))+IF(Inputs!$B$3&gt;=117,F1330,0))/100))+MIN((Skills!S3*(1+((Inputs!$B$35+(ArtifactsInput!$M$7-ArtifactsInput!$M$7)*CHOOSE(ArtifactsInput!$N$7+1,6,7.2,8.4,9.6,10.8,12))+IF(Inputs!$B$3&gt;=117,F1330,0))/100)),MAX(0,Inputs!$B$44-((R1307-1)*Skills!D3))))/Inputs!$B$44),IF(Inputs!$B$39="pvp",MIN((Skills!S3*(1+((Inputs!$B$35+(ArtifactsInput!$M$7-ArtifactsInput!$M$7)*CHOOSE(ArtifactsInput!$N$7+1,6,7.2,8.4,9.6,10.8,12))+IF(Inputs!$B$3&gt;=117,F1330,0))/100)),15)/15,(Skills!S3*(1+((Inputs!$B$35+(ArtifactsInput!$M$7-ArtifactsInput!$M$7)*CHOOSE(ArtifactsInput!$N$7+1,6,7.2,8.4,9.6,10.8,12))+IF(Inputs!$B$3&gt;=117,F1330,0))/100))/Skills!D3)),0)+IF(C1308=TRUE,F1308*IF(AND(Inputs!$B$39&lt;&gt;"pvp",Inputs!$B$44&gt;0),(((R1308-1)*(Skills!S4*(1+((Inputs!$B$35+(ArtifactsInput!$M$7-ArtifactsInput!$M$7)*CHOOSE(ArtifactsInput!$N$7+1,6,7.2,8.4,9.6,10.8,12))+IF(Inputs!$B$3&gt;=117,F1330,0))/100))+MIN((Skills!S4*(1+((Inputs!$B$35+(ArtifactsInput!$M$7-ArtifactsInput!$M$7)*CHOOSE(ArtifactsInput!$N$7+1,6,7.2,8.4,9.6,10.8,12))+IF(Inputs!$B$3&gt;=117,F1330,0))/100)),MAX(0,Inputs!$B$44-((R1308-1)*Skills!D4))))/Inputs!$B$44),IF(Inputs!$B$39="pvp",MIN((Skills!S4*(1+((Inputs!$B$35+(ArtifactsInput!$M$7-ArtifactsInput!$M$7)*CHOOSE(ArtifactsInput!$N$7+1,6,7.2,8.4,9.6,10.8,12))+IF(Inputs!$B$3&gt;=117,F1330,0))/100)),15)/15,(Skills!S4*(1+((Inputs!$B$35+(ArtifactsInput!$M$7-ArtifactsInput!$M$7)*CHOOSE(ArtifactsInput!$N$7+1,6,7.2,8.4,9.6,10.8,12))+IF(Inputs!$B$3&gt;=117,F1330,0))/100))/Skills!D4)),0)+IF(C1309=TRUE,F1309*IF(AND(Inputs!$B$39&lt;&gt;"pvp",Inputs!$B$44&gt;0),(((R1309-1)*(Skills!S5*(1+((Inputs!$B$35+(ArtifactsInput!$M$7-ArtifactsInput!$M$7)*CHOOSE(ArtifactsInput!$N$7+1,6,7.2,8.4,9.6,10.8,12))+IF(Inputs!$B$3&gt;=117,F1330,0))/100))+MIN((Skills!S5*(1+((Inputs!$B$35+(ArtifactsInput!$M$7-ArtifactsInput!$M$7)*CHOOSE(ArtifactsInput!$N$7+1,6,7.2,8.4,9.6,10.8,12))+IF(Inputs!$B$3&gt;=117,F1330,0))/100)),MAX(0,Inputs!$B$44-((R1309-1)*Skills!D5))))/Inputs!$B$44),IF(Inputs!$B$39="pvp",MIN((Skills!S5*(1+((Inputs!$B$35+(ArtifactsInput!$M$7-ArtifactsInput!$M$7)*CHOOSE(ArtifactsInput!$N$7+1,6,7.2,8.4,9.6,10.8,12))+IF(Inputs!$B$3&gt;=117,F1330,0))/100)),15)/15,(Skills!S5*(1+((Inputs!$B$35+(ArtifactsInput!$M$7-ArtifactsInput!$M$7)*CHOOSE(ArtifactsInput!$N$7+1,6,7.2,8.4,9.6,10.8,12))+IF(Inputs!$B$3&gt;=117,F1330,0))/100))/Skills!D5)),0)+IF(C1315=TRUE,F1315*IF(AND(Inputs!$B$39&lt;&gt;"pvp",Inputs!$B$44&gt;0),(((R1315-1)*(Skills!S11*(1+((Inputs!$B$35+(ArtifactsInput!$M$7-ArtifactsInput!$M$7)*CHOOSE(ArtifactsInput!$N$7+1,6,7.2,8.4,9.6,10.8,12))+IF(Inputs!$B$3&gt;=117,F1330,0))/100))+MIN((Skills!S11*(1+((Inputs!$B$35+(ArtifactsInput!$M$7-ArtifactsInput!$M$7)*CHOOSE(ArtifactsInput!$N$7+1,6,7.2,8.4,9.6,10.8,12))+IF(Inputs!$B$3&gt;=117,F1330,0))/100)),MAX(0,Inputs!$B$44-((R1315-1)*Skills!D11))))/Inputs!$B$44),IF(Inputs!$B$39="pvp",MIN((Skills!S11*(1+((Inputs!$B$35+(ArtifactsInput!$M$7-ArtifactsInput!$M$7)*CHOOSE(ArtifactsInput!$N$7+1,6,7.2,8.4,9.6,10.8,12))+IF(Inputs!$B$3&gt;=117,F1330,0))/100)),15)/15,(Skills!S11*(1+((Inputs!$B$35+(ArtifactsInput!$M$7-ArtifactsInput!$M$7)*CHOOSE(ArtifactsInput!$N$7+1,6,7.2,8.4,9.6,10.8,12))+IF(Inputs!$B$3&gt;=117,F1330,0)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1318=TRUE,(1+F1318*IF(AND(Inputs!$B$39&lt;&gt;"pvp",Inputs!$B$44&gt;0),(((R1318-1)*(Skills!S14*(1+((Inputs!$B$35+(ArtifactsInput!$M$7-ArtifactsInput!$M$7)*CHOOSE(ArtifactsInput!$N$7+1,6,7.2,8.4,9.6,10.8,12))+IF(Inputs!$B$3&gt;=117,F1330,0))/100))+MIN((Skills!S14*(1+((Inputs!$B$35+(ArtifactsInput!$M$7-ArtifactsInput!$M$7)*CHOOSE(ArtifactsInput!$N$7+1,6,7.2,8.4,9.6,10.8,12))+IF(Inputs!$B$3&gt;=117,F1330,0))/100)),MAX(0,Inputs!$B$44-((R1318-1)*Skills!D14))))/Inputs!$B$44),IF(Inputs!$B$39="pvp",MIN((Skills!S14*(1+((Inputs!$B$35+(ArtifactsInput!$M$7-ArtifactsInput!$M$7)*CHOOSE(ArtifactsInput!$N$7+1,6,7.2,8.4,9.6,10.8,12))+IF(Inputs!$B$3&gt;=117,F1330,0))/100)),15)/15,(Skills!S14*(1+((Inputs!$B$35+(ArtifactsInput!$M$7-ArtifactsInput!$M$7)*CHOOSE(ArtifactsInput!$N$7+1,6,7.2,8.4,9.6,10.8,12))+IF(Inputs!$B$3&gt;=117,F1330,0))/100))/Skills!D14))/100),1)*IF(C1323=TRUE,(1+F1323*IF(AND(Inputs!$B$39&lt;&gt;"pvp",Inputs!$B$44&gt;0),(((R1323-1)*(Skills!S19*(1+((Inputs!$B$35+(ArtifactsInput!$M$7-ArtifactsInput!$M$7)*CHOOSE(ArtifactsInput!$N$7+1,6,7.2,8.4,9.6,10.8,12))+IF(Inputs!$B$3&gt;=117,F1330,0))/100))+MIN((Skills!S19*(1+((Inputs!$B$35+(ArtifactsInput!$M$7-ArtifactsInput!$M$7)*CHOOSE(ArtifactsInput!$N$7+1,6,7.2,8.4,9.6,10.8,12))+IF(Inputs!$B$3&gt;=117,F1330,0))/100)),MAX(0,Inputs!$B$44-((R1323-1)*Skills!D19))))/Inputs!$B$44),IF(Inputs!$B$39="pvp",MIN((Skills!S19*(1+((Inputs!$B$35+(ArtifactsInput!$M$7-ArtifactsInput!$M$7)*CHOOSE(ArtifactsInput!$N$7+1,6,7.2,8.4,9.6,10.8,12))+IF(Inputs!$B$3&gt;=117,F1330,0))/100)),15)/15,(Skills!S19*(1+((Inputs!$B$35+(ArtifactsInput!$M$7-ArtifactsInput!$M$7)*CHOOSE(ArtifactsInput!$N$7+1,6,7.2,8.4,9.6,10.8,12))+IF(Inputs!$B$3&gt;=117,F1330,0))/100))/Skills!D19))/100),1)</f>
        <v/>
      </c>
    </row>
    <row r="1334">
      <c r="A1334" t="inlineStr">
        <is>
          <t>Monster Damage Taken Bonus % (Holy Fountain)</t>
        </is>
      </c>
      <c r="B1334">
        <f>IF(Inputs!$B$3&gt;=68,20*IF(Inputs!$B$39="pvp",MIN((15*(1+((Inputs!$B$35+(ArtifactsInput!$M$7-ArtifactsInput!$M$7)*CHOOSE(ArtifactsInput!$N$7+1,6,7.2,8.4,9.6,10.8,12))+IF(Inputs!$B$3&gt;=117,F1330,0))/100)),15)/15,(15*(1+((Inputs!$B$35+(ArtifactsInput!$M$7-ArtifactsInput!$M$7)*CHOOSE(ArtifactsInput!$N$7+1,6,7.2,8.4,9.6,10.8,12))+IF(Inputs!$B$3&gt;=117,F1330,0))/100))/Skills!D10),0)</f>
        <v/>
      </c>
    </row>
    <row r="1335">
      <c r="A1335" t="inlineStr">
        <is>
          <t>Normal Monster Damage Bonus % (Holy Symbol)</t>
        </is>
      </c>
      <c r="B1335">
        <f>IF(C1316=TRUE,F1316*IF(AND(Inputs!$B$39&lt;&gt;"pvp",Inputs!$B$44&gt;0),(((R1316-1)*(Skills!S12*(1+((Inputs!$B$35+(ArtifactsInput!$M$7-ArtifactsInput!$M$7)*CHOOSE(ArtifactsInput!$N$7+1,6,7.2,8.4,9.6,10.8,12))+IF(Inputs!$B$3&gt;=117,F1330,0))/100))+MIN((Skills!S12*(1+((Inputs!$B$35+(ArtifactsInput!$M$7-ArtifactsInput!$M$7)*CHOOSE(ArtifactsInput!$N$7+1,6,7.2,8.4,9.6,10.8,12))+IF(Inputs!$B$3&gt;=117,F1330,0))/100)),MAX(0,Inputs!$B$44-((R1316-1)*Skills!D12))))/Inputs!$B$44),IF(Inputs!$B$39="pvp",MIN((Skills!S12*(1+((Inputs!$B$35+(ArtifactsInput!$M$7-ArtifactsInput!$M$7)*CHOOSE(ArtifactsInput!$N$7+1,6,7.2,8.4,9.6,10.8,12))+IF(Inputs!$B$3&gt;=117,F1330,0))/100)),15)/15,(Skills!S12*(1+((Inputs!$B$35+(ArtifactsInput!$M$7-ArtifactsInput!$M$7)*CHOOSE(ArtifactsInput!$N$7+1,6,7.2,8.4,9.6,10.8,12))+IF(Inputs!$B$3&gt;=117,F1330,0))/100))/Skills!D12)),0)</f>
        <v/>
      </c>
    </row>
    <row r="1336">
      <c r="A1336" t="inlineStr">
        <is>
          <t>Damage % Bonus (Holy Symbol - Damage Boost)</t>
        </is>
      </c>
      <c r="B1336">
        <f>Skills!O12</f>
        <v/>
      </c>
    </row>
    <row r="1337">
      <c r="A1337" t="inlineStr">
        <is>
          <t>Crit Damage % Bonus (Blood of the Divine)</t>
        </is>
      </c>
      <c r="B1337">
        <f>4*IF(C1324=TRUE,F1324,0)</f>
        <v/>
      </c>
    </row>
    <row r="1338">
      <c r="A1338" t="inlineStr">
        <is>
          <t>Attack Speed Bonus %</t>
        </is>
      </c>
      <c r="B1338">
        <f>IF(C1321=TRUE,F1321+(F1325-Calc!F21),0)+IF(Inputs!$B$3&gt;=134,15,0)</f>
        <v/>
      </c>
    </row>
    <row r="1339">
      <c r="A1339" t="inlineStr">
        <is>
          <t>Actions Per Second</t>
        </is>
      </c>
      <c r="B1339">
        <f>1+MIN(150,150*(1-(1-Inputs!$B$12/150)*(1-B1338/150)))/100</f>
        <v/>
      </c>
    </row>
    <row r="1340">
      <c r="A1340" t="inlineStr">
        <is>
          <t>Skill + Buff Cast Rate</t>
        </is>
      </c>
      <c r="B1340">
        <f>IF(AND(Inputs!$B$39&lt;&gt;"pvp",Inputs!$B$44&gt;0),SUMPRODUCT((Skills!E2:E27=TRUE)*(C1306:C1331=TRUE)*R1306:R1331)/Inputs!$B$44,SUMPRODUCT((Skills!E2:E27=TRUE)*(C1306:C1331=TRUE)*Q1306:Q1331))</f>
        <v/>
      </c>
    </row>
    <row r="1341">
      <c r="A1341" t="inlineStr">
        <is>
          <t>Big Bang Casts Per Second</t>
        </is>
      </c>
      <c r="B1341">
        <f>MAX(0,B1339-B1340)</f>
        <v/>
      </c>
    </row>
    <row r="1342">
      <c r="A1342" t="inlineStr">
        <is>
          <t>Defense % Bonus (Divine Protection)</t>
        </is>
      </c>
      <c r="B1342">
        <f>IF(C1317=TRUE,F1317*IF(AND(Inputs!$B$39&lt;&gt;"pvp",Inputs!$B$44&gt;0),(((R1317-1)*(Skills!S13*(1+((Inputs!$B$35+(ArtifactsInput!$M$7-ArtifactsInput!$M$7)*CHOOSE(ArtifactsInput!$N$7+1,6,7.2,8.4,9.6,10.8,12))+IF(Inputs!$B$3&gt;=117,F1330,0))/100))+MIN((Skills!S13*(1+((Inputs!$B$35+(ArtifactsInput!$M$7-ArtifactsInput!$M$7)*CHOOSE(ArtifactsInput!$N$7+1,6,7.2,8.4,9.6,10.8,12))+IF(Inputs!$B$3&gt;=117,F1330,0))/100)),MAX(0,Inputs!$B$44-((R1317-1)*Skills!D13))))/Inputs!$B$44),IF(Inputs!$B$39="pvp",MIN((Skills!S13*(1+((Inputs!$B$35+(ArtifactsInput!$M$7-ArtifactsInput!$M$7)*CHOOSE(ArtifactsInput!$N$7+1,6,7.2,8.4,9.6,10.8,12))+IF(Inputs!$B$3&gt;=117,F1330,0))/100)),15)/15,(Skills!S13*(1+((Inputs!$B$35+(ArtifactsInput!$M$7-ArtifactsInput!$M$7)*CHOOSE(ArtifactsInput!$N$7+1,6,7.2,8.4,9.6,10.8,12))+IF(Inputs!$B$3&gt;=117,F1330,0))/100))/Skills!D13)),0)</f>
        <v/>
      </c>
    </row>
    <row r="1343">
      <c r="A1343" t="inlineStr">
        <is>
          <t>Buff-Casting Startup Delay (s, fixed-duration only)</t>
        </is>
      </c>
      <c r="B1343">
        <f>IF(AND(Inputs!$B$39&lt;&gt;"pvp",Inputs!$B$44&gt;0),SUMPRODUCT((Skills!S2:S27&gt;0)*(Skills!E2:E27=TRUE)*(C1306:C1331=TRUE))/B1339,0)</f>
        <v/>
      </c>
    </row>
    <row r="1344">
      <c r="A1344" t="inlineStr">
        <is>
          <t>Boss-Only Total DPS (this block's swept value)</t>
        </is>
      </c>
      <c r="B1344">
        <f>SUM(S1306:S1331)</f>
        <v/>
      </c>
    </row>
    <row r="1345">
      <c r="A1345" t="inlineStr">
        <is>
          <t>Normal-Only Total DPS (this block's swept value)</t>
        </is>
      </c>
      <c r="B1345">
        <f>SUM(U1306:U1331)</f>
        <v/>
      </c>
    </row>
    <row r="1346">
      <c r="A1346" s="6" t="inlineStr">
        <is>
          <t>TOTAL DPS</t>
        </is>
      </c>
      <c r="B1346" s="6">
        <f>SUM(O1306:O1331)</f>
        <v/>
      </c>
    </row>
    <row r="1348">
      <c r="A1348" s="6" t="inlineStr">
        <is>
          <t>Stat: Shamaness Marble (Equip)</t>
        </is>
      </c>
    </row>
    <row r="1349">
      <c r="A1349" s="5" t="inlineStr">
        <is>
          <t>Key</t>
        </is>
      </c>
      <c r="B1349" s="5" t="inlineStr">
        <is>
          <t>Name</t>
        </is>
      </c>
      <c r="C1349" s="5" t="inlineStr">
        <is>
          <t>Unlocked</t>
        </is>
      </c>
      <c r="D1349" s="5" t="inlineStr">
        <is>
          <t>InputLevel</t>
        </is>
      </c>
      <c r="E1349" s="5" t="inlineStr">
        <is>
          <t>Factor</t>
        </is>
      </c>
      <c r="F1349" s="5" t="inlineStr">
        <is>
          <t>CoefficientPercent</t>
        </is>
      </c>
      <c r="G1349" s="5" t="inlineStr">
        <is>
          <t>EffectiveHits</t>
        </is>
      </c>
      <c r="H1349" s="5" t="inlineStr">
        <is>
          <t>ProcProbability</t>
        </is>
      </c>
      <c r="I1349" s="5" t="inlineStr">
        <is>
          <t>MapleHeroMultiplier</t>
        </is>
      </c>
      <c r="J1349" s="5" t="inlineStr">
        <is>
          <t>BaseDamage</t>
        </is>
      </c>
      <c r="K1349" s="5" t="inlineStr">
        <is>
          <t>BaseHitDamage</t>
        </is>
      </c>
      <c r="L1349" s="5" t="inlineStr">
        <is>
          <t>NonCritAvg</t>
        </is>
      </c>
      <c r="M1349" s="5" t="inlineStr">
        <is>
          <t>CritAvg</t>
        </is>
      </c>
      <c r="N1349" s="5" t="inlineStr">
        <is>
          <t>ExpectedDamage(perHit)</t>
        </is>
      </c>
      <c r="O1349" s="5" t="inlineStr">
        <is>
          <t>DPS</t>
        </is>
      </c>
      <c r="P1349" s="5" t="inlineStr">
        <is>
          <t>% of Total</t>
        </is>
      </c>
      <c r="R1349" t="inlineStr">
        <is>
          <t>helpers</t>
        </is>
      </c>
    </row>
    <row r="1350">
      <c r="A1350">
        <f>Skills!A2</f>
        <v/>
      </c>
      <c r="B1350">
        <f>Skills!B2</f>
        <v/>
      </c>
      <c r="C1350">
        <f>Inputs!$B$3&gt;=100</f>
        <v/>
      </c>
      <c r="D1350" t="inlineStr"/>
      <c r="E1350" t="inlineStr"/>
      <c r="F1350">
        <f>T1352+Skills!N2</f>
        <v/>
      </c>
      <c r="G1350">
        <f>Calc!G2</f>
        <v/>
      </c>
      <c r="H1350">
        <f>Calc!H2</f>
        <v/>
      </c>
      <c r="I1350">
        <f>IF(Skills!T2&lt;&gt;"",1+(Skills!T2/10)*($Z$3/1000)/100,1)</f>
        <v/>
      </c>
      <c r="J1350">
        <f>((Inputs!$B$6*(1+Inputs!$B$7/100))+(((Inputs!$B$13*(1+Inputs!$B$14/100))-(Inputs!$B$13*(1+Inputs!$B$14/100)))+0.25*(Inputs!$B$15-Inputs!$B$15))*(1+Inputs!$B$7/100))*(F1350/100)</f>
        <v/>
      </c>
      <c r="K1350">
        <f>J1350*(1+(((Inputs!$B$13+IF(Inputs!$B$3&gt;=35,(10*INDEX(FactorTable!$B$2:$Y$301,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2="TRIUMPH_FEATHER",IF(C1364=TRUE,F1364,0),0)/100)*(1+IF(C1375=TRUE,F1375,0)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1350)</f>
        <v/>
      </c>
      <c r="L1350">
        <f>K1350*(MIN(Inputs!$B$23+(F1370-Calc!F22),(Inputs!$B$24+IF(ArtifactsInput!$M$15,CHOOSE(ArtifactsInput!$N$15+1,25,30,35,40,45,50)/100*(Inputs!$B$12-Inputs!$B$12),0)))/100+(Inputs!$B$24+IF(ArtifactsInput!$M$15,CHOOSE(ArtifactsInput!$N$15+1,25,30,35,40,45,50)/100*(Inputs!$B$12-Inputs!$B$12),0))/100)/2</f>
        <v/>
      </c>
      <c r="M1350">
        <f>L1350*(1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0">
        <f>L1350*(1-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(1-Summary!$B$11)*S1350+Summary!$B$11*U1350</f>
        <v/>
      </c>
      <c r="P1350">
        <f>IF(B1390=0,0,O1350/B1390)</f>
        <v/>
      </c>
      <c r="Q1350">
        <f>IFERROR(1/(IF(Inputs!$B$39="pvp",15,MAX(0.1,Skills!D2-IF(Skills!E2=TRUE,Inputs!$B$33,0)))*(1-IF(AND(ArtifactsInput!$M$27,Inputs!$B$4="Chapter Hunt"),CHOOSE(ArtifactsInput!$N$27+1,20,24,28,32,36,40),0)/100)),0)</f>
        <v/>
      </c>
      <c r="R1350" t="n">
        <v>0</v>
      </c>
      <c r="S1350">
        <f>IF(C1350,(Skills!F2*N1350*B1385)*IF(Inputs!$B$39="pvp",1,1+(Inputs!$B$21+Skills!O2+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1350*(1-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50">
        <f>MAX(0,(Inputs!$B$3-100)*3)+Inputs!$B$29+Inputs!$B$30</f>
        <v/>
      </c>
      <c r="U1350">
        <f>IF(C1350,(Skills!F2*N1350*B1385)*IF(Inputs!$B$39="pvp",1,(1+(Inputs!$B$22+Skills!P2+B1379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Skills!A3</f>
        <v/>
      </c>
      <c r="B1351">
        <f>Skills!B3</f>
        <v/>
      </c>
      <c r="C1351">
        <f>Inputs!$B$3&gt;=15</f>
        <v/>
      </c>
      <c r="D1351">
        <f>IF(Skills!C3=1,60+Inputs!$B$26+Inputs!$B$30,IF(Skills!C3=2,90+Inputs!$B$27+Inputs!$B$30,IF(Skills!C3=3,120+Inputs!$B$28+Inputs!$B$30,MAX(0,(Inputs!$B$3-100)*3)+Inputs!$B$29+Inputs!$B$30)))</f>
        <v/>
      </c>
      <c r="E1351">
        <f>INDEX(FactorTable!$B$2:$Y$301, MATCH(ROUND(MIN(300,MAX(1,D1351)),0), FactorTable!$A$2:$A$301,0), Skills!L3+1)</f>
        <v/>
      </c>
      <c r="F1351">
        <f>IF(Skills!M3=TRUE,(Skills!K3/10)*(E1351/1000),Skills!K3/10)+Skills!N3</f>
        <v/>
      </c>
      <c r="G1351">
        <f>Calc!G3</f>
        <v/>
      </c>
      <c r="H1351">
        <f>Calc!H3</f>
        <v/>
      </c>
      <c r="I1351">
        <f>IF(Skills!T3&lt;&gt;"",1+(Skills!T3/10)*($Z$3/1000)/100,1)</f>
        <v/>
      </c>
      <c r="J1351" t="inlineStr"/>
      <c r="K1351" t="inlineStr"/>
      <c r="L1351" t="inlineStr"/>
      <c r="M1351" t="inlineStr"/>
      <c r="N1351" t="inlineStr"/>
      <c r="O1351">
        <f>(1-Summary!$B$11)*S1351+Summary!$B$11*U1351</f>
        <v/>
      </c>
      <c r="P1351">
        <f>IF(B1390=0,0,O1351/B1390)</f>
        <v/>
      </c>
      <c r="Q1351">
        <f>IFERROR(1/(IF(Inputs!$B$39="pvp",15,MAX(0.1,Skills!D3-IF(Skills!E3=TRUE,Inputs!$B$33,0)))*(1-IF(AND(ArtifactsInput!$M$27,Inputs!$B$4="Chapter Hunt"),CHOOSE(ArtifactsInput!$N$27+1,20,24,28,32,36,40),0)/100)),0)</f>
        <v/>
      </c>
      <c r="R1351">
        <f>IF(AND(Inputs!$B$39&lt;&gt;"pvp",Inputs!$B$44&gt;0),IF(Inputs!$B$44&lt;=0,0,(INT(Inputs!$B$44/(IF(Inputs!$B$39="pvp",15,MAX(0.1,Skills!D3-IF(Skills!E3=TRUE,Inputs!$B$33,0)))*(1-IF(AND(ArtifactsInput!$M$27,Inputs!$B$4="Chapter Hunt"),CHOOSE(ArtifactsInput!$N$27+1,20,24,28,32,36,40),0)/100)))+1)),0)</f>
        <v/>
      </c>
      <c r="S1351" t="n">
        <v>0</v>
      </c>
      <c r="T1351">
        <f>INDEX(FactorTable!$B$2:$Y$301, MATCH(ROUND(MIN(300,MAX(1,T1350)),0), FactorTable!$A$2:$A$301,0), 22)</f>
        <v/>
      </c>
      <c r="U1351" t="n">
        <v>0</v>
      </c>
    </row>
    <row r="1352">
      <c r="A1352">
        <f>Skills!A4</f>
        <v/>
      </c>
      <c r="B1352">
        <f>Skills!B4</f>
        <v/>
      </c>
      <c r="C1352">
        <f>Inputs!$B$3&gt;=38</f>
        <v/>
      </c>
      <c r="D1352">
        <f>IF(Skills!C4=1,60+Inputs!$B$26+Inputs!$B$30,IF(Skills!C4=2,90+Inputs!$B$27+Inputs!$B$30,IF(Skills!C4=3,120+Inputs!$B$28+Inputs!$B$30,MAX(0,(Inputs!$B$3-100)*3)+Inputs!$B$29+Inputs!$B$30)))</f>
        <v/>
      </c>
      <c r="E1352">
        <f>INDEX(FactorTable!$B$2:$Y$301, MATCH(ROUND(MIN(300,MAX(1,D1352)),0), FactorTable!$A$2:$A$301,0), Skills!L4+1)</f>
        <v/>
      </c>
      <c r="F1352">
        <f>IF(Skills!M4=TRUE,(Skills!K4/10)*(E1352/1000),Skills!K4/10)+Skills!N4</f>
        <v/>
      </c>
      <c r="G1352">
        <f>Calc!G4</f>
        <v/>
      </c>
      <c r="H1352">
        <f>Calc!H4</f>
        <v/>
      </c>
      <c r="I1352">
        <f>IF(Skills!T4&lt;&gt;"",1+(Skills!T4/10)*($Z$3/1000)/100,1)</f>
        <v/>
      </c>
      <c r="J1352" t="inlineStr"/>
      <c r="K1352" t="inlineStr"/>
      <c r="L1352" t="inlineStr"/>
      <c r="M1352" t="inlineStr"/>
      <c r="N1352" t="inlineStr"/>
      <c r="O1352">
        <f>(1-Summary!$B$11)*S1352+Summary!$B$11*U1352</f>
        <v/>
      </c>
      <c r="P1352">
        <f>IF(B1390=0,0,O1352/B1390)</f>
        <v/>
      </c>
      <c r="Q1352">
        <f>IFERROR(1/(IF(Inputs!$B$39="pvp",15,MAX(0.1,Skills!D4-IF(Skills!E4=TRUE,Inputs!$B$33,0)))*(1-IF(AND(ArtifactsInput!$M$27,Inputs!$B$4="Chapter Hunt"),CHOOSE(ArtifactsInput!$N$27+1,20,24,28,32,36,40),0)/100)),0)</f>
        <v/>
      </c>
      <c r="R1352">
        <f>IF(AND(Inputs!$B$39&lt;&gt;"pvp",Inputs!$B$44&gt;0),IF(Inputs!$B$44&lt;=0,0,(INT(Inputs!$B$44/(IF(Inputs!$B$39="pvp",15,MAX(0.1,Skills!D4-IF(Skills!E4=TRUE,Inputs!$B$33,0)))*(1-IF(AND(ArtifactsInput!$M$27,Inputs!$B$4="Chapter Hunt"),CHOOSE(ArtifactsInput!$N$27+1,20,24,28,32,36,40),0)/100)))+1)),0)</f>
        <v/>
      </c>
      <c r="S1352" t="n">
        <v>0</v>
      </c>
      <c r="T1352">
        <f>290*T1351/1000</f>
        <v/>
      </c>
      <c r="U1352" t="n">
        <v>0</v>
      </c>
    </row>
    <row r="1353">
      <c r="A1353">
        <f>Skills!A5</f>
        <v/>
      </c>
      <c r="B1353">
        <f>Skills!B5</f>
        <v/>
      </c>
      <c r="C1353">
        <f>Inputs!$B$3&gt;=40</f>
        <v/>
      </c>
      <c r="D1353">
        <f>IF(Skills!C5=1,60+Inputs!$B$26+Inputs!$B$30,IF(Skills!C5=2,90+Inputs!$B$27+Inputs!$B$30,IF(Skills!C5=3,120+Inputs!$B$28+Inputs!$B$30,MAX(0,(Inputs!$B$3-100)*3)+Inputs!$B$29+Inputs!$B$30)))</f>
        <v/>
      </c>
      <c r="E1353">
        <f>INDEX(FactorTable!$B$2:$Y$301, MATCH(ROUND(MIN(300,MAX(1,D1353)),0), FactorTable!$A$2:$A$301,0), Skills!L5+1)</f>
        <v/>
      </c>
      <c r="F1353">
        <f>IF(Skills!M5=TRUE,(Skills!K5/10)*(E1353/1000),Skills!K5/10)+Skills!N5</f>
        <v/>
      </c>
      <c r="G1353">
        <f>Calc!G5</f>
        <v/>
      </c>
      <c r="H1353">
        <f>Calc!H5</f>
        <v/>
      </c>
      <c r="I1353">
        <f>IF(Skills!T5&lt;&gt;"",1+(Skills!T5/10)*($Z$3/1000)/100,1)</f>
        <v/>
      </c>
      <c r="J1353" t="inlineStr"/>
      <c r="K1353" t="inlineStr"/>
      <c r="L1353" t="inlineStr"/>
      <c r="M1353" t="inlineStr"/>
      <c r="N1353" t="inlineStr"/>
      <c r="O1353">
        <f>(1-Summary!$B$11)*S1353+Summary!$B$11*U1353</f>
        <v/>
      </c>
      <c r="P1353">
        <f>IF(B1390=0,0,O1353/B1390)</f>
        <v/>
      </c>
      <c r="Q1353">
        <f>IFERROR(1/(IF(Inputs!$B$39="pvp",15,MAX(0.1,Skills!D5-IF(Skills!E5=TRUE,Inputs!$B$33,0)))*(1-IF(AND(ArtifactsInput!$M$27,Inputs!$B$4="Chapter Hunt"),CHOOSE(ArtifactsInput!$N$27+1,20,24,28,32,36,40),0)/100)),0)</f>
        <v/>
      </c>
      <c r="R1353">
        <f>IF(AND(Inputs!$B$39&lt;&gt;"pvp",Inputs!$B$44&gt;0),IF(Inputs!$B$44&lt;=0,0,(INT(Inputs!$B$44/(IF(Inputs!$B$39="pvp",15,MAX(0.1,Skills!D5-IF(Skills!E5=TRUE,Inputs!$B$33,0)))*(1-IF(AND(ArtifactsInput!$M$27,Inputs!$B$4="Chapter Hunt"),CHOOSE(ArtifactsInput!$N$27+1,20,24,28,32,36,40),0)/100)))+1)),0)</f>
        <v/>
      </c>
      <c r="S1353" t="n">
        <v>0</v>
      </c>
      <c r="U1353" t="n">
        <v>0</v>
      </c>
    </row>
    <row r="1354">
      <c r="A1354">
        <f>Skills!A6</f>
        <v/>
      </c>
      <c r="B1354">
        <f>Skills!B6</f>
        <v/>
      </c>
      <c r="C1354">
        <f>Inputs!$B$3&gt;=103</f>
        <v/>
      </c>
      <c r="D1354">
        <f>IF(Skills!C6=1,60+Inputs!$B$26+Inputs!$B$30,IF(Skills!C6=2,90+Inputs!$B$27+Inputs!$B$30,IF(Skills!C6=3,120+Inputs!$B$28+Inputs!$B$30,MAX(0,(Inputs!$B$3-100)*3)+Inputs!$B$29+Inputs!$B$30)))</f>
        <v/>
      </c>
      <c r="E1354">
        <f>INDEX(FactorTable!$B$2:$Y$301, MATCH(ROUND(MIN(300,MAX(1,D1354)),0), FactorTable!$A$2:$A$301,0), Skills!L6+1)</f>
        <v/>
      </c>
      <c r="F1354">
        <f>IF(Skills!M6=TRUE,(Skills!K6/10)*(E1354/1000),Skills!K6/10)+Skills!N6</f>
        <v/>
      </c>
      <c r="G1354">
        <f>Calc!G6</f>
        <v/>
      </c>
      <c r="H1354">
        <f>Calc!H6</f>
        <v/>
      </c>
      <c r="I1354">
        <f>IF(Skills!T6&lt;&gt;"",1+(Skills!T6/10)*($Z$3/1000)/100,1)</f>
        <v/>
      </c>
      <c r="J1354">
        <f>((Inputs!$B$6*(1+Inputs!$B$7/100))+(((Inputs!$B$13*(1+Inputs!$B$14/100))-(Inputs!$B$13*(1+Inputs!$B$14/100)))+0.25*(Inputs!$B$15-Inputs!$B$15))*(1+Inputs!$B$7/100))*(F1354/100)</f>
        <v/>
      </c>
      <c r="K1354">
        <f>J1354*(1+(((Inputs!$B$13+IF(Inputs!$B$3&gt;=35,(10*INDEX(FactorTable!$B$2:$Y$301,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6="TRIUMPH_FEATHER",IF(C1364=TRUE,F1364,0),0)/100)*(1+IF(C1375=TRUE,F1375,0)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1354)</f>
        <v/>
      </c>
      <c r="L1354">
        <f>K1354*(MIN(Inputs!$B$23+(F1370-Calc!F22),(Inputs!$B$24+IF(ArtifactsInput!$M$15,CHOOSE(ArtifactsInput!$N$15+1,25,30,35,40,45,50)/100*(Inputs!$B$12-Inputs!$B$12),0)))/100+(Inputs!$B$24+IF(ArtifactsInput!$M$15,CHOOSE(ArtifactsInput!$N$15+1,25,30,35,40,45,50)/100*(Inputs!$B$12-Inputs!$B$12),0))/100)/2</f>
        <v/>
      </c>
      <c r="M1354">
        <f>L1354*(1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4">
        <f>L1354*(1-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(1-Summary!$B$11)*S1354+Summary!$B$11*U1354</f>
        <v/>
      </c>
      <c r="P1354">
        <f>IF(B1390=0,0,O1354/B1390)</f>
        <v/>
      </c>
      <c r="Q1354">
        <f>IFERROR(1/(IF(Inputs!$B$39="pvp",15,MAX(0.1,Skills!D6-IF(Skills!E6=TRUE,Inputs!$B$33,0)))*(1-IF(AND(ArtifactsInput!$M$27,Inputs!$B$4="Chapter Hunt"),CHOOSE(ArtifactsInput!$N$27+1,20,24,28,32,36,40),0)/100)),0)</f>
        <v/>
      </c>
      <c r="R1354">
        <f>IF(AND(Inputs!$B$39&lt;&gt;"pvp",Inputs!$B$44&gt;0),IF(MAX(0,Inputs!$B$44-B1387)&lt;=0,0,(INT(MAX(0,Inputs!$B$44-B1387)/(IF(Inputs!$B$39="pvp",15,MAX(0.1,Skills!D6-IF(Skills!E6=TRUE,Inputs!$B$33,0)))*(1-IF(AND(ArtifactsInput!$M$27,Inputs!$B$4="Chapter Hunt"),CHOOSE(ArtifactsInput!$N$27+1,20,24,28,32,36,40),0)/100)))+1)),0)</f>
        <v/>
      </c>
      <c r="S1354">
        <f>IF(C1354,(H1354*N1354*IF(AND(Inputs!$B$39&lt;&gt;"pvp",Inputs!$B$44&gt;0),((Skills!F6*((R1354-1)*IF(Skills!G6&gt;0,Skills!H6/Skills!G6,1)+IF(Skills!G6&gt;0,MIN(Skills!H6,MAX(0,MAX(0,Inputs!$B$44-B1387)-((R1354-1)*(IF(Inputs!$B$39="pvp",15,MAX(0.1,Skills!D6-IF(Skills!E6=TRUE,Inputs!$B$33,0)))*(1-IF(AND(ArtifactsInput!$M$27,Inputs!$B$4="Chapter Hunt"),CHOOSE(ArtifactsInput!$N$27+1,20,24,28,32,36,40),0)/100)))))/Skills!G6,1)))/Inputs!$B$44),G1354*Q1354))*IF(Inputs!$B$39="pvp",1,1+(Inputs!$B$21+Skills!O6+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1354*(1-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4">
        <f>IF(C1354,(H1354*N1354*IF(AND(Inputs!$B$39&lt;&gt;"pvp",Inputs!$B$44&gt;0),((Skills!F6*((R1354-1)*IF(Skills!G6&gt;0,Skills!H6/Skills!G6,1)+IF(Skills!G6&gt;0,MIN(Skills!H6,MAX(0,MAX(0,Inputs!$B$44-B1387)-((R1354-1)*(IF(Inputs!$B$39="pvp",15,MAX(0.1,Skills!D6-IF(Skills!E6=TRUE,Inputs!$B$33,0)))*(1-IF(AND(ArtifactsInput!$M$27,Inputs!$B$4="Chapter Hunt"),CHOOSE(ArtifactsInput!$N$27+1,20,24,28,32,36,40),0)/100)))))/Skills!G6,1)))/Inputs!$B$44),G1354*Q1354))*IF(Inputs!$B$39="pvp",1,(1+(Inputs!$B$22+Skills!P6+B1379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Skills!A7</f>
        <v/>
      </c>
      <c r="B1355">
        <f>Skills!B7</f>
        <v/>
      </c>
      <c r="C1355">
        <f>Inputs!$B$3&gt;=122</f>
        <v/>
      </c>
      <c r="D1355">
        <f>IF(Skills!C7=1,60+Inputs!$B$26+Inputs!$B$30,IF(Skills!C7=2,90+Inputs!$B$27+Inputs!$B$30,IF(Skills!C7=3,120+Inputs!$B$28+Inputs!$B$30,MAX(0,(Inputs!$B$3-100)*3)+Inputs!$B$29+Inputs!$B$30)))</f>
        <v/>
      </c>
      <c r="E1355">
        <f>INDEX(FactorTable!$B$2:$Y$301, MATCH(ROUND(MIN(300,MAX(1,D1355)),0), FactorTable!$A$2:$A$301,0), Skills!L7+1)</f>
        <v/>
      </c>
      <c r="F1355">
        <f>IF(Skills!M7=TRUE,(Skills!K7/10)*(E1355/1000),Skills!K7/10)+Skills!N7</f>
        <v/>
      </c>
      <c r="G1355">
        <f>Calc!G7</f>
        <v/>
      </c>
      <c r="H1355">
        <f>Calc!H7</f>
        <v/>
      </c>
      <c r="I1355">
        <f>IF(Skills!T7&lt;&gt;"",1+(Skills!T7/10)*($Z$3/1000)/100,1)</f>
        <v/>
      </c>
      <c r="J1355">
        <f>((Inputs!$B$6*(1+Inputs!$B$7/100))+(((Inputs!$B$13*(1+Inputs!$B$14/100))-(Inputs!$B$13*(1+Inputs!$B$14/100)))+0.25*(Inputs!$B$15-Inputs!$B$15))*(1+Inputs!$B$7/100))*(F1355/100)</f>
        <v/>
      </c>
      <c r="K1355">
        <f>J1355*(1+(((Inputs!$B$13+IF(Inputs!$B$3&gt;=35,(10*INDEX(FactorTable!$B$2:$Y$301,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7="TRIUMPH_FEATHER",IF(C1364=TRUE,F1364,0),0)/100)*(1+IF(C1375=TRUE,F1375,0)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1355)</f>
        <v/>
      </c>
      <c r="L1355">
        <f>K1355*(MIN(Inputs!$B$23+(F1370-Calc!F22),(Inputs!$B$24+IF(ArtifactsInput!$M$15,CHOOSE(ArtifactsInput!$N$15+1,25,30,35,40,45,50)/100*(Inputs!$B$12-Inputs!$B$12),0)))/100+(Inputs!$B$24+IF(ArtifactsInput!$M$15,CHOOSE(ArtifactsInput!$N$15+1,25,30,35,40,45,50)/100*(Inputs!$B$12-Inputs!$B$12),0))/100)/2</f>
        <v/>
      </c>
      <c r="M1355">
        <f>L1355*(1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5">
        <f>L1355*(1-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(1-Summary!$B$11)*S1355+Summary!$B$11*U1355</f>
        <v/>
      </c>
      <c r="P1355">
        <f>IF(B1390=0,0,O1355/B1390)</f>
        <v/>
      </c>
      <c r="Q1355">
        <f>IFERROR(1/(IF(Inputs!$B$39="pvp",15,MAX(0.1,Skills!D7-IF(Skills!E6=TRUE,Inputs!$B$33,0)))*(1-IF(AND(ArtifactsInput!$M$27,Inputs!$B$4="Chapter Hunt"),CHOOSE(ArtifactsInput!$N$27+1,20,24,28,32,36,40),0)/100)),0)</f>
        <v/>
      </c>
      <c r="R1355">
        <f>IF(AND(Inputs!$B$39&lt;&gt;"pvp",Inputs!$B$44&gt;0),IF(MAX(0,Inputs!$B$44-B1387)&lt;=0,0,(INT(MAX(0,Inputs!$B$44-B1387)/(IF(Inputs!$B$39="pvp",15,MAX(0.1,Skills!D7-IF(Skills!E6=TRUE,Inputs!$B$33,0)))*(1-IF(AND(ArtifactsInput!$M$27,Inputs!$B$4="Chapter Hunt"),CHOOSE(ArtifactsInput!$N$27+1,20,24,28,32,36,40),0)/100)))+1)),0)</f>
        <v/>
      </c>
      <c r="S1355">
        <f>IF(C1355,H1355*N1355*IF(AND(Inputs!$B$39&lt;&gt;"pvp",Inputs!$B$44&gt;0),((Skills!F7*((R1355-1)*IF(Skills!G7&gt;0,Skills!H7/Skills!G7,1)+IF(Skills!G7&gt;0,MIN(Skills!H7,MAX(0,MAX(0,Inputs!$B$44-B1387)-((R1355-1)*(IF(Inputs!$B$39="pvp",15,MAX(0.1,Skills!D7-IF(Skills!E6=TRUE,Inputs!$B$33,0)))*(1-IF(AND(ArtifactsInput!$M$27,Inputs!$B$4="Chapter Hunt"),CHOOSE(ArtifactsInput!$N$27+1,20,24,28,32,36,40),0)/100)))))/Skills!G7,1)))/Inputs!$B$44),G1355*Q1355)*IF(Inputs!$B$39="pvp",1,1+(Inputs!$B$21+Skills!O7+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1355*(1-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5" t="n">
        <v>0</v>
      </c>
    </row>
    <row r="1356">
      <c r="A1356">
        <f>Skills!A8</f>
        <v/>
      </c>
      <c r="B1356">
        <f>Skills!B8</f>
        <v/>
      </c>
      <c r="C1356">
        <f>Inputs!$B$3&gt;=105</f>
        <v/>
      </c>
      <c r="D1356">
        <f>IF(Skills!C8=1,60+Inputs!$B$26+Inputs!$B$30,IF(Skills!C8=2,90+Inputs!$B$27+Inputs!$B$30,IF(Skills!C8=3,120+Inputs!$B$28+Inputs!$B$30,MAX(0,(Inputs!$B$3-100)*3)+Inputs!$B$29+Inputs!$B$30)))</f>
        <v/>
      </c>
      <c r="E1356">
        <f>INDEX(FactorTable!$B$2:$Y$301, MATCH(ROUND(MIN(300,MAX(1,D1356)),0), FactorTable!$A$2:$A$301,0), Skills!L8+1)</f>
        <v/>
      </c>
      <c r="F1356">
        <f>IF(Skills!M8=TRUE,(Skills!K8/10)*(E1356/1000),Skills!K8/10)+Skills!N8</f>
        <v/>
      </c>
      <c r="G1356">
        <f>Calc!G8</f>
        <v/>
      </c>
      <c r="H1356">
        <f>Calc!H8</f>
        <v/>
      </c>
      <c r="I1356">
        <f>IF(Skills!T8&lt;&gt;"",1+(Skills!T8/10)*($Z$3/1000)/100,1)</f>
        <v/>
      </c>
      <c r="J1356">
        <f>((Inputs!$B$6*(1+Inputs!$B$7/100))+(((Inputs!$B$13*(1+Inputs!$B$14/100))-(Inputs!$B$13*(1+Inputs!$B$14/100)))+0.25*(Inputs!$B$15-Inputs!$B$15))*(1+Inputs!$B$7/100))*(F1356/100)</f>
        <v/>
      </c>
      <c r="K1356">
        <f>J1356*(1+(((Inputs!$B$13+IF(Inputs!$B$3&gt;=35,(10*INDEX(FactorTable!$B$2:$Y$301,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8="TRIUMPH_FEATHER",IF(C1364=TRUE,F1364,0),0)/100)*(1+IF(C1375=TRUE,F1375,0)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1356)</f>
        <v/>
      </c>
      <c r="L1356">
        <f>K1356*(MIN(Inputs!$B$23+(F1370-Calc!F22),(Inputs!$B$24+IF(ArtifactsInput!$M$15,CHOOSE(ArtifactsInput!$N$15+1,25,30,35,40,45,50)/100*(Inputs!$B$12-Inputs!$B$12),0)))/100+(Inputs!$B$24+IF(ArtifactsInput!$M$15,CHOOSE(ArtifactsInput!$N$15+1,25,30,35,40,45,50)/100*(Inputs!$B$12-Inputs!$B$12),0))/100)/2</f>
        <v/>
      </c>
      <c r="M1356">
        <f>L1356*(1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6">
        <f>L1356*(1-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(1-Summary!$B$11)*S1356+Summary!$B$11*U1356</f>
        <v/>
      </c>
      <c r="P1356">
        <f>IF(B1390=0,0,O1356/B1390)</f>
        <v/>
      </c>
      <c r="Q1356">
        <f>IFERROR(1/(IF(Inputs!$B$39="pvp",15,MAX(0.1,Skills!D8-IF(Skills!E8=TRUE,Inputs!$B$33,0)))*(1-IF(AND(ArtifactsInput!$M$27,Inputs!$B$4="Chapter Hunt"),CHOOSE(ArtifactsInput!$N$27+1,20,24,28,32,36,40),0)/100)),0)</f>
        <v/>
      </c>
      <c r="R1356">
        <f>IF(AND(Inputs!$B$39&lt;&gt;"pvp",Inputs!$B$44&gt;0),IF(MAX(0,Inputs!$B$44-B1387)&lt;=0,0,(INT(MAX(0,Inputs!$B$44-B1387)/(IF(Inputs!$B$39="pvp",15,MAX(0.1,Skills!D8-IF(Skills!E8=TRUE,Inputs!$B$33,0)))*(1-IF(AND(ArtifactsInput!$M$27,Inputs!$B$4="Chapter Hunt"),CHOOSE(ArtifactsInput!$N$27+1,20,24,28,32,36,40),0)/100)))+1)),0)</f>
        <v/>
      </c>
      <c r="S1356">
        <f>IF(C1356,(H1356*N1356*IF(AND(Inputs!$B$39&lt;&gt;"pvp",Inputs!$B$44&gt;0),((Skills!F8*((R1356-1)*IF(Skills!G8&gt;0,Skills!H8/Skills!G8,1)+IF(Skills!G8&gt;0,MIN(Skills!H8,MAX(0,MAX(0,Inputs!$B$44-B1387)-((R1356-1)*(IF(Inputs!$B$39="pvp",15,MAX(0.1,Skills!D8-IF(Skills!E8=TRUE,Inputs!$B$33,0)))*(1-IF(AND(ArtifactsInput!$M$27,Inputs!$B$4="Chapter Hunt"),CHOOSE(ArtifactsInput!$N$27+1,20,24,28,32,36,40),0)/100)))))/Skills!G8,1)))/Inputs!$B$44),G1356*Q1356))*IF(Inputs!$B$39="pvp",1,1+(Inputs!$B$21+Skills!O8+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1356*(1-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6">
        <f>IF(C1356,(H1356*N1356*IF(AND(Inputs!$B$39&lt;&gt;"pvp",Inputs!$B$44&gt;0),((Skills!F8*((R1356-1)*IF(Skills!G8&gt;0,Skills!H8/Skills!G8,1)+IF(Skills!G8&gt;0,MIN(Skills!H8,MAX(0,MAX(0,Inputs!$B$44-B1387)-((R1356-1)*(IF(Inputs!$B$39="pvp",15,MAX(0.1,Skills!D8-IF(Skills!E8=TRUE,Inputs!$B$33,0)))*(1-IF(AND(ArtifactsInput!$M$27,Inputs!$B$4="Chapter Hunt"),CHOOSE(ArtifactsInput!$N$27+1,20,24,28,32,36,40),0)/100)))))/Skills!G8,1)))/Inputs!$B$44),G1356*Q1356))*IF(Inputs!$B$39="pvp",1,(1+(Inputs!$B$22+Skills!P8+B1379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Skills!A9</f>
        <v/>
      </c>
      <c r="B1357">
        <f>Skills!B9</f>
        <v/>
      </c>
      <c r="C1357">
        <f>Inputs!$B$3&gt;=115</f>
        <v/>
      </c>
      <c r="D1357">
        <f>IF(Skills!C9=1,60+Inputs!$B$26+Inputs!$B$30,IF(Skills!C9=2,90+Inputs!$B$27+Inputs!$B$30,IF(Skills!C9=3,120+Inputs!$B$28+Inputs!$B$30,MAX(0,(Inputs!$B$3-100)*3)+Inputs!$B$29+Inputs!$B$30)))</f>
        <v/>
      </c>
      <c r="E1357">
        <f>INDEX(FactorTable!$B$2:$Y$301, MATCH(ROUND(MIN(300,MAX(1,D1357)),0), FactorTable!$A$2:$A$301,0), Skills!L9+1)</f>
        <v/>
      </c>
      <c r="F1357">
        <f>IF(Skills!M9=TRUE,(Skills!K9/10)*(E1357/1000),Skills!K9/10)+Skills!N9</f>
        <v/>
      </c>
      <c r="G1357">
        <f>Calc!G9</f>
        <v/>
      </c>
      <c r="H1357">
        <f>Calc!H9</f>
        <v/>
      </c>
      <c r="I1357">
        <f>IF(Skills!T9&lt;&gt;"",1+(Skills!T9/10)*($Z$3/1000)/100,1)</f>
        <v/>
      </c>
      <c r="J1357">
        <f>((Inputs!$B$6*(1+Inputs!$B$7/100))+(((Inputs!$B$13*(1+Inputs!$B$14/100))-(Inputs!$B$13*(1+Inputs!$B$14/100)))+0.25*(Inputs!$B$15-Inputs!$B$15))*(1+Inputs!$B$7/100))*(F1357/100)</f>
        <v/>
      </c>
      <c r="K1357">
        <f>J1357*(1+(((Inputs!$B$13+IF(Inputs!$B$3&gt;=35,(10*INDEX(FactorTable!$B$2:$Y$301,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9="TRIUMPH_FEATHER",IF(C1364=TRUE,F1364,0),0)/100)*(1+IF(C1375=TRUE,F1375,0)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1357)</f>
        <v/>
      </c>
      <c r="L1357">
        <f>K1357*(MIN(Inputs!$B$23+(F1370-Calc!F22),(Inputs!$B$24+IF(ArtifactsInput!$M$15,CHOOSE(ArtifactsInput!$N$15+1,25,30,35,40,45,50)/100*(Inputs!$B$12-Inputs!$B$12),0)))/100+(Inputs!$B$24+IF(ArtifactsInput!$M$15,CHOOSE(ArtifactsInput!$N$15+1,25,30,35,40,45,50)/100*(Inputs!$B$12-Inputs!$B$12),0))/100)/2</f>
        <v/>
      </c>
      <c r="M1357">
        <f>L1357*(1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7">
        <f>L1357*(1-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1357*(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7">
        <f>(1-Summary!$B$11)*S1357+Summary!$B$11*U1357</f>
        <v/>
      </c>
      <c r="P1357">
        <f>IF(B1390=0,0,O1357/B1390)</f>
        <v/>
      </c>
      <c r="Q1357">
        <f>IFERROR(1/(IF(Inputs!$B$39="pvp",15,MAX(0.1,Skills!D9-IF(Skills!E9=TRUE,Inputs!$B$33,0)))*(1-IF(AND(ArtifactsInput!$M$27,Inputs!$B$4="Chapter Hunt"),CHOOSE(ArtifactsInput!$N$27+1,20,24,28,32,36,40),0)/100)),0)</f>
        <v/>
      </c>
      <c r="R1357">
        <f>IF(AND(Inputs!$B$39&lt;&gt;"pvp",Inputs!$B$44&gt;0),IF(MAX(0,Inputs!$B$44-B1387)&lt;=0,0,(INT(MAX(0,Inputs!$B$44-B1387)/(IF(Inputs!$B$39="pvp",15,MAX(0.1,Skills!D9-IF(Skills!E9=TRUE,Inputs!$B$33,0)))*(1-IF(AND(ArtifactsInput!$M$27,Inputs!$B$4="Chapter Hunt"),CHOOSE(ArtifactsInput!$N$27+1,20,24,28,32,36,40),0)/100)))+1)),0)</f>
        <v/>
      </c>
      <c r="S1357">
        <f>IF(C1357,(H1357*N1357*IF(AND(Inputs!$B$39&lt;&gt;"pvp",Inputs!$B$44&gt;0),((Skills!F9*((R1357-1)*IF(Skills!G9&gt;0,Skills!H9/Skills!G9,1)+IF(Skills!G9&gt;0,MIN(Skills!H9,MAX(0,MAX(0,Inputs!$B$44-B1387)-((R1357-1)*(IF(Inputs!$B$39="pvp",15,MAX(0.1,Skills!D9-IF(Skills!E9=TRUE,Inputs!$B$33,0)))*(1-IF(AND(ArtifactsInput!$M$27,Inputs!$B$4="Chapter Hunt"),CHOOSE(ArtifactsInput!$N$27+1,20,24,28,32,36,40),0)/100)))))/Skills!G9,1)))/Inputs!$B$44),G1357*Q1357))*IF(Inputs!$B$39="pvp",1,1+(Inputs!$B$21+Skills!O9+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1357*(1-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1357*(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1357*(1-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1357*(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7">
        <f>IF(C1357,(H1357*N1357*IF(AND(Inputs!$B$39&lt;&gt;"pvp",Inputs!$B$44&gt;0),((Skills!F9*((R1357-1)*IF(Skills!G9&gt;0,Skills!H9/Skills!G9,1)+IF(Skills!G9&gt;0,MIN(Skills!H9,MAX(0,MAX(0,Inputs!$B$44-B1387)-((R1357-1)*(IF(Inputs!$B$39="pvp",15,MAX(0.1,Skills!D9-IF(Skills!E9=TRUE,Inputs!$B$33,0)))*(1-IF(AND(ArtifactsInput!$M$27,Inputs!$B$4="Chapter Hunt"),CHOOSE(ArtifactsInput!$N$27+1,20,24,28,32,36,40),0)/100)))))/Skills!G9,1)))/Inputs!$B$44),G1357*Q1357))*IF(Inputs!$B$39="pvp",1,(1+(Inputs!$B$22+Skills!P9+B1379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8">
      <c r="A1358">
        <f>Skills!A10</f>
        <v/>
      </c>
      <c r="B1358">
        <f>Skills!B10</f>
        <v/>
      </c>
      <c r="C1358">
        <f>Inputs!$B$3&gt;=66</f>
        <v/>
      </c>
      <c r="D1358">
        <f>IF(Skills!C10=1,60+Inputs!$B$26+Inputs!$B$30,IF(Skills!C10=2,90+Inputs!$B$27+Inputs!$B$30,IF(Skills!C10=3,120+Inputs!$B$28+Inputs!$B$30,MAX(0,(Inputs!$B$3-100)*3)+Inputs!$B$29+Inputs!$B$30)))</f>
        <v/>
      </c>
      <c r="E1358">
        <f>INDEX(FactorTable!$B$2:$Y$301, MATCH(ROUND(MIN(300,MAX(1,D1358)),0), FactorTable!$A$2:$A$301,0), Skills!L10+1)</f>
        <v/>
      </c>
      <c r="F1358" t="n">
        <v>0</v>
      </c>
      <c r="G1358">
        <f>Calc!G10</f>
        <v/>
      </c>
      <c r="H1358">
        <f>Calc!H10</f>
        <v/>
      </c>
      <c r="I1358">
        <f>IF(Skills!T10&lt;&gt;"",1+(Skills!T10/10)*($Z$3/1000)/100,1)</f>
        <v/>
      </c>
      <c r="J1358" t="inlineStr"/>
      <c r="K1358" t="inlineStr"/>
      <c r="L1358" t="inlineStr"/>
      <c r="M1358" t="inlineStr"/>
      <c r="N1358" t="inlineStr"/>
      <c r="O1358">
        <f>(1-Summary!$B$11)*S1358+Summary!$B$11*U1358</f>
        <v/>
      </c>
      <c r="P1358">
        <f>IF(B1390=0,0,O1358/B1390)</f>
        <v/>
      </c>
      <c r="Q1358">
        <f>IFERROR(1/(IF(Inputs!$B$39="pvp",15,MAX(0.1,Skills!D10-IF(Skills!E10=TRUE,Inputs!$B$33,0)))*(1-IF(AND(ArtifactsInput!$M$27,Inputs!$B$4="Chapter Hunt"),CHOOSE(ArtifactsInput!$N$27+1,20,24,28,32,36,40),0)/100)),0)</f>
        <v/>
      </c>
      <c r="R1358">
        <f>IF(AND(Inputs!$B$39&lt;&gt;"pvp",Inputs!$B$44&gt;0),IF(MAX(0,Inputs!$B$44-B1387)&lt;=0,0,(INT(MAX(0,Inputs!$B$44-B1387)/(IF(Inputs!$B$39="pvp",15,MAX(0.1,Skills!D10-IF(Skills!E10=TRUE,Inputs!$B$33,0)))*(1-IF(AND(ArtifactsInput!$M$27,Inputs!$B$4="Chapter Hunt"),CHOOSE(ArtifactsInput!$N$27+1,20,24,28,32,36,40),0)/100)))+1)),0)</f>
        <v/>
      </c>
      <c r="S1358" t="n">
        <v>0</v>
      </c>
      <c r="U1358" t="n">
        <v>0</v>
      </c>
    </row>
    <row r="1359">
      <c r="A1359">
        <f>Skills!A11</f>
        <v/>
      </c>
      <c r="B1359">
        <f>Skills!B11</f>
        <v/>
      </c>
      <c r="C1359">
        <f>Inputs!$B$3&gt;=69</f>
        <v/>
      </c>
      <c r="D1359">
        <f>IF(Skills!C11=1,60+Inputs!$B$26+Inputs!$B$30,IF(Skills!C11=2,90+Inputs!$B$27+Inputs!$B$30,IF(Skills!C11=3,120+Inputs!$B$28+Inputs!$B$30,MAX(0,(Inputs!$B$3-100)*3)+Inputs!$B$29+Inputs!$B$30)))</f>
        <v/>
      </c>
      <c r="E1359">
        <f>INDEX(FactorTable!$B$2:$Y$301, MATCH(ROUND(MIN(300,MAX(1,D1359)),0), FactorTable!$A$2:$A$301,0), Skills!L11+1)</f>
        <v/>
      </c>
      <c r="F1359">
        <f>IF(Skills!M11=TRUE,(Skills!K11/10)*(E1359/1000),Skills!K11/10)+Skills!N11</f>
        <v/>
      </c>
      <c r="G1359">
        <f>Calc!G11</f>
        <v/>
      </c>
      <c r="H1359">
        <f>Calc!H11</f>
        <v/>
      </c>
      <c r="I1359">
        <f>IF(Skills!T11&lt;&gt;"",1+(Skills!T11/10)*($Z$3/1000)/100,1)</f>
        <v/>
      </c>
      <c r="J1359" t="inlineStr"/>
      <c r="K1359" t="inlineStr"/>
      <c r="L1359" t="inlineStr"/>
      <c r="M1359" t="inlineStr"/>
      <c r="N1359" t="inlineStr"/>
      <c r="O1359">
        <f>(1-Summary!$B$11)*S1359+Summary!$B$11*U1359</f>
        <v/>
      </c>
      <c r="P1359">
        <f>IF(B1390=0,0,O1359/B1390)</f>
        <v/>
      </c>
      <c r="Q1359">
        <f>IFERROR(1/(IF(Inputs!$B$39="pvp",15,MAX(0.1,Skills!D11-IF(Skills!E11=TRUE,Inputs!$B$33,0)))*(1-IF(AND(ArtifactsInput!$M$27,Inputs!$B$4="Chapter Hunt"),CHOOSE(ArtifactsInput!$N$27+1,20,24,28,32,36,40),0)/100)),0)</f>
        <v/>
      </c>
      <c r="R1359">
        <f>IF(AND(Inputs!$B$39&lt;&gt;"pvp",Inputs!$B$44&gt;0),IF(Inputs!$B$44&lt;=0,0,(INT(Inputs!$B$44/(IF(Inputs!$B$39="pvp",15,MAX(0.1,Skills!D11-IF(Skills!E11=TRUE,Inputs!$B$33,0)))*(1-IF(AND(ArtifactsInput!$M$27,Inputs!$B$4="Chapter Hunt"),CHOOSE(ArtifactsInput!$N$27+1,20,24,28,32,36,40),0)/100)))+1)),0)</f>
        <v/>
      </c>
      <c r="S1359" t="n">
        <v>0</v>
      </c>
      <c r="U1359" t="n">
        <v>0</v>
      </c>
    </row>
    <row r="1360">
      <c r="A1360">
        <f>Skills!A12</f>
        <v/>
      </c>
      <c r="B1360">
        <f>Skills!B12</f>
        <v/>
      </c>
      <c r="C1360">
        <f>Inputs!$B$3&gt;=72</f>
        <v/>
      </c>
      <c r="D1360">
        <f>IF(Skills!C12=1,60+Inputs!$B$26+Inputs!$B$30,IF(Skills!C12=2,90+Inputs!$B$27+Inputs!$B$30,IF(Skills!C12=3,120+Inputs!$B$28+Inputs!$B$30,MAX(0,(Inputs!$B$3-100)*3)+Inputs!$B$29+Inputs!$B$30)))</f>
        <v/>
      </c>
      <c r="E1360">
        <f>INDEX(FactorTable!$B$2:$Y$301, MATCH(ROUND(MIN(300,MAX(1,D1360)),0), FactorTable!$A$2:$A$301,0), Skills!L12+1)</f>
        <v/>
      </c>
      <c r="F1360">
        <f>IF(Skills!M12=TRUE,(Skills!K12/10)*(E1360/1000),Skills!K12/10)+Skills!N12</f>
        <v/>
      </c>
      <c r="G1360">
        <f>Calc!G12</f>
        <v/>
      </c>
      <c r="H1360">
        <f>Calc!H12</f>
        <v/>
      </c>
      <c r="I1360">
        <f>IF(Skills!T12&lt;&gt;"",1+(Skills!T12/10)*($Z$3/1000)/100,1)</f>
        <v/>
      </c>
      <c r="J1360" t="inlineStr"/>
      <c r="K1360" t="inlineStr"/>
      <c r="L1360" t="inlineStr"/>
      <c r="M1360" t="inlineStr"/>
      <c r="N1360" t="inlineStr"/>
      <c r="O1360">
        <f>(1-Summary!$B$11)*S1360+Summary!$B$11*U1360</f>
        <v/>
      </c>
      <c r="P1360">
        <f>IF(B1390=0,0,O1360/B1390)</f>
        <v/>
      </c>
      <c r="Q1360">
        <f>IFERROR(1/(IF(Inputs!$B$39="pvp",15,MAX(0.1,Skills!D12-IF(Skills!E12=TRUE,Inputs!$B$33,0)))*(1-IF(AND(ArtifactsInput!$M$27,Inputs!$B$4="Chapter Hunt"),CHOOSE(ArtifactsInput!$N$27+1,20,24,28,32,36,40),0)/100)),0)</f>
        <v/>
      </c>
      <c r="R1360">
        <f>IF(AND(Inputs!$B$39&lt;&gt;"pvp",Inputs!$B$44&gt;0),IF(MAX(0,Inputs!$B$44-B1387)&lt;=0,0,(INT(MAX(0,Inputs!$B$44-B1387)/(IF(Inputs!$B$39="pvp",15,MAX(0.1,Skills!D12-IF(Skills!E12=TRUE,Inputs!$B$33,0)))*(1-IF(AND(ArtifactsInput!$M$27,Inputs!$B$4="Chapter Hunt"),CHOOSE(ArtifactsInput!$N$27+1,20,24,28,32,36,40),0)/100)))+1)),0)</f>
        <v/>
      </c>
      <c r="S1360" t="n">
        <v>0</v>
      </c>
      <c r="U1360" t="n">
        <v>0</v>
      </c>
    </row>
    <row r="1361">
      <c r="A1361">
        <f>Skills!A13</f>
        <v/>
      </c>
      <c r="B1361">
        <f>Skills!B13</f>
        <v/>
      </c>
      <c r="C1361">
        <f>Inputs!$B$3&gt;=60</f>
        <v/>
      </c>
      <c r="D1361">
        <f>IF(Skills!C13=1,60+Inputs!$B$26+Inputs!$B$30,IF(Skills!C13=2,90+Inputs!$B$27+Inputs!$B$30,IF(Skills!C13=3,120+Inputs!$B$28+Inputs!$B$30,MAX(0,(Inputs!$B$3-100)*3)+Inputs!$B$29+Inputs!$B$30)))</f>
        <v/>
      </c>
      <c r="E1361">
        <f>INDEX(FactorTable!$B$2:$Y$301, MATCH(ROUND(MIN(300,MAX(1,D1361)),0), FactorTable!$A$2:$A$301,0), Skills!L13+1)</f>
        <v/>
      </c>
      <c r="F1361">
        <f>IF(Skills!M13=TRUE,(Skills!K13/10)*(E1361/1000),Skills!K13/10)+Skills!N13</f>
        <v/>
      </c>
      <c r="G1361">
        <f>Calc!G13</f>
        <v/>
      </c>
      <c r="H1361">
        <f>Calc!H13</f>
        <v/>
      </c>
      <c r="I1361">
        <f>IF(Skills!T13&lt;&gt;"",1+(Skills!T13/10)*($Z$3/1000)/100,1)</f>
        <v/>
      </c>
      <c r="J1361" t="inlineStr"/>
      <c r="K1361" t="inlineStr"/>
      <c r="L1361" t="inlineStr"/>
      <c r="M1361" t="inlineStr"/>
      <c r="N1361" t="inlineStr"/>
      <c r="O1361">
        <f>(1-Summary!$B$11)*S1361+Summary!$B$11*U1361</f>
        <v/>
      </c>
      <c r="P1361">
        <f>IF(B1390=0,0,O1361/B1390)</f>
        <v/>
      </c>
      <c r="Q1361">
        <f>IFERROR(1/(IF(Inputs!$B$39="pvp",15,MAX(0.1,Skills!D13-IF(Skills!E13=TRUE,Inputs!$B$33,0)))*(1-IF(AND(ArtifactsInput!$M$27,Inputs!$B$4="Chapter Hunt"),CHOOSE(ArtifactsInput!$N$27+1,20,24,28,32,36,40),0)/100)),0)</f>
        <v/>
      </c>
      <c r="R1361">
        <f>IF(AND(Inputs!$B$39&lt;&gt;"pvp",Inputs!$B$44&gt;0),IF(MAX(0,Inputs!$B$44-B1387)&lt;=0,0,(INT(MAX(0,Inputs!$B$44-B1387)/(IF(Inputs!$B$39="pvp",15,MAX(0.1,Skills!D13-IF(Skills!E13=TRUE,Inputs!$B$33,0)))*(1-IF(AND(ArtifactsInput!$M$27,Inputs!$B$4="Chapter Hunt"),CHOOSE(ArtifactsInput!$N$27+1,20,24,28,32,36,40),0)/100)))+1)),0)</f>
        <v/>
      </c>
      <c r="S1361" t="n">
        <v>0</v>
      </c>
      <c r="U1361" t="n">
        <v>0</v>
      </c>
    </row>
    <row r="1362">
      <c r="A1362">
        <f>Skills!A14</f>
        <v/>
      </c>
      <c r="B1362">
        <f>Skills!B14</f>
        <v/>
      </c>
      <c r="C1362">
        <f>Inputs!$B$3&gt;=107</f>
        <v/>
      </c>
      <c r="D1362">
        <f>IF(Skills!C14=1,60+Inputs!$B$26+Inputs!$B$30,IF(Skills!C14=2,90+Inputs!$B$27+Inputs!$B$30,IF(Skills!C14=3,120+Inputs!$B$28+Inputs!$B$30,MAX(0,(Inputs!$B$3-100)*3)+Inputs!$B$29+Inputs!$B$30)))</f>
        <v/>
      </c>
      <c r="E1362">
        <f>INDEX(FactorTable!$B$2:$Y$301, MATCH(ROUND(MIN(300,MAX(1,D1362)),0), FactorTable!$A$2:$A$301,0), Skills!L14+1)</f>
        <v/>
      </c>
      <c r="F1362">
        <f>IF(Skills!M14=TRUE,(Skills!K14/10)*(E1362/1000),Skills!K14/10)+Skills!N14</f>
        <v/>
      </c>
      <c r="G1362">
        <f>Calc!G14</f>
        <v/>
      </c>
      <c r="H1362">
        <f>Calc!H14</f>
        <v/>
      </c>
      <c r="I1362">
        <f>IF(Skills!T14&lt;&gt;"",1+(Skills!T14/10)*($Z$3/1000)/100,1)</f>
        <v/>
      </c>
      <c r="J1362" t="inlineStr"/>
      <c r="K1362" t="inlineStr"/>
      <c r="L1362" t="inlineStr"/>
      <c r="M1362" t="inlineStr"/>
      <c r="N1362" t="inlineStr"/>
      <c r="O1362">
        <f>(1-Summary!$B$11)*S1362+Summary!$B$11*U1362</f>
        <v/>
      </c>
      <c r="P1362">
        <f>IF(B1390=0,0,O1362/B1390)</f>
        <v/>
      </c>
      <c r="Q1362">
        <f>IFERROR(1/(IF(Inputs!$B$39="pvp",15,MAX(0.1,Skills!D14-IF(Skills!E14=TRUE,Inputs!$B$33,0)))*(1-IF(AND(ArtifactsInput!$M$27,Inputs!$B$4="Chapter Hunt"),CHOOSE(ArtifactsInput!$N$27+1,20,24,28,32,36,40),0)/100)),0)</f>
        <v/>
      </c>
      <c r="R1362">
        <f>IF(AND(Inputs!$B$39&lt;&gt;"pvp",Inputs!$B$44&gt;0),IF(Inputs!$B$44&lt;=0,0,(INT(Inputs!$B$44/(IF(Inputs!$B$39="pvp",15,MAX(0.1,Skills!D14-IF(Skills!E14=TRUE,Inputs!$B$33,0)))*(1-IF(AND(ArtifactsInput!$M$27,Inputs!$B$4="Chapter Hunt"),CHOOSE(ArtifactsInput!$N$27+1,20,24,28,32,36,40),0)/100)))+1)),0)</f>
        <v/>
      </c>
      <c r="S1362" t="n">
        <v>0</v>
      </c>
      <c r="U1362" t="n">
        <v>0</v>
      </c>
    </row>
    <row r="1363">
      <c r="A1363">
        <f>Skills!A15</f>
        <v/>
      </c>
      <c r="B1363">
        <f>Skills!B15</f>
        <v/>
      </c>
      <c r="C1363">
        <f>Inputs!$B$3&gt;=63</f>
        <v/>
      </c>
      <c r="D1363">
        <f>IF(Skills!C15=1,60+Inputs!$B$26+Inputs!$B$30,IF(Skills!C15=2,90+Inputs!$B$27+Inputs!$B$30,IF(Skills!C15=3,120+Inputs!$B$28+Inputs!$B$30,MAX(0,(Inputs!$B$3-100)*3)+Inputs!$B$29+Inputs!$B$30)))</f>
        <v/>
      </c>
      <c r="E1363">
        <f>INDEX(FactorTable!$B$2:$Y$301, MATCH(ROUND(MIN(300,MAX(1,D1363)),0), FactorTable!$A$2:$A$301,0), Skills!L15+1)</f>
        <v/>
      </c>
      <c r="F1363">
        <f>IF(Skills!M15=TRUE,(Skills!K15/10)*(E1363/1000),Skills!K15/10)+Skills!N15</f>
        <v/>
      </c>
      <c r="G1363">
        <f>Calc!G15</f>
        <v/>
      </c>
      <c r="H1363">
        <f>Calc!H15</f>
        <v/>
      </c>
      <c r="I1363">
        <f>IF(Skills!T15&lt;&gt;"",1+(Skills!T15/10)*($Z$3/1000)/100,1)</f>
        <v/>
      </c>
      <c r="J1363">
        <f>((Inputs!$B$6*(1+Inputs!$B$7/100))+(((Inputs!$B$13*(1+Inputs!$B$14/100))-(Inputs!$B$13*(1+Inputs!$B$14/100)))+0.25*(Inputs!$B$15-Inputs!$B$15))*(1+Inputs!$B$7/100))*(F1363/100)</f>
        <v/>
      </c>
      <c r="K1363">
        <f>J1363*(1+(((Inputs!$B$13+IF(Inputs!$B$3&gt;=35,(10*INDEX(FactorTable!$B$2:$Y$301,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15="TRIUMPH_FEATHER",IF(C1364=TRUE,F1364,0),0)/100)*(1+IF(C1375=TRUE,F1375,0)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1363)</f>
        <v/>
      </c>
      <c r="L1363">
        <f>K1363*(MIN(Inputs!$B$23+(F1370-Calc!F22),(Inputs!$B$24+IF(ArtifactsInput!$M$15,CHOOSE(ArtifactsInput!$N$15+1,25,30,35,40,45,50)/100*(Inputs!$B$12-Inputs!$B$12),0)))/100+(Inputs!$B$24+IF(ArtifactsInput!$M$15,CHOOSE(ArtifactsInput!$N$15+1,25,30,35,40,45,50)/100*(Inputs!$B$12-Inputs!$B$12),0))/100)/2</f>
        <v/>
      </c>
      <c r="M1363">
        <f>L1363*(1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63">
        <f>L1363*(1-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(1-Summary!$B$11)*S1363+Summary!$B$11*U1363</f>
        <v/>
      </c>
      <c r="P1363">
        <f>IF(B1390=0,0,O1363/B1390)</f>
        <v/>
      </c>
      <c r="Q1363">
        <f>IFERROR(1/(IF(Inputs!$B$39="pvp",15,MAX(0.1,Skills!D15-IF(Skills!E15=TRUE,Inputs!$B$33,0)))*(1-IF(AND(ArtifactsInput!$M$27,Inputs!$B$4="Chapter Hunt"),CHOOSE(ArtifactsInput!$N$27+1,20,24,28,32,36,40),0)/100)),0)</f>
        <v/>
      </c>
      <c r="R1363" t="n">
        <v>0</v>
      </c>
      <c r="S1363">
        <f>IF(C1363,(Skills!F15*N1363*((IF(Inputs!$B$3&gt;=78,25,15)/100*B1383*10)/(1+IF(Inputs!$B$3&gt;=78,25,15)/100*B1383*10))*(Skills!I15/100*B1383)/(1+Skills!G15*Skills!I15/100*B1383))*IF(Inputs!$B$39="pvp",1,1+(Inputs!$B$21+Skills!O15+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1363*(1-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63">
        <f>IF(C1363,(Skills!F15*N1363*((IF(Inputs!$B$3&gt;=78,25,15)/100*B1383*10)/(1+IF(Inputs!$B$3&gt;=78,25,15)/100*B1383*10))*(Skills!I15/100*B1383)/(1+Skills!G15*Skills!I15/100*B1383))*IF(Inputs!$B$39="pvp",1,(1+(Inputs!$B$22+Skills!P15+B1379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Skills!A16</f>
        <v/>
      </c>
      <c r="B1364">
        <f>Skills!B16</f>
        <v/>
      </c>
      <c r="C1364">
        <f>Inputs!$B$3&gt;=100</f>
        <v/>
      </c>
      <c r="D1364">
        <f>IF(Skills!C16=1,60+Inputs!$B$26+Inputs!$B$30,IF(Skills!C16=2,90+Inputs!$B$27+Inputs!$B$30,IF(Skills!C16=3,120+Inputs!$B$28+Inputs!$B$30,MAX(0,(Inputs!$B$3-100)*3)+Inputs!$B$29+Inputs!$B$30)))</f>
        <v/>
      </c>
      <c r="E1364">
        <f>INDEX(FactorTable!$B$2:$Y$301, MATCH(ROUND(MIN(300,MAX(1,D1364)),0), FactorTable!$A$2:$A$301,0), Skills!L16+1)</f>
        <v/>
      </c>
      <c r="F1364">
        <f>IF(Skills!M16=TRUE,(Skills!K16/10)*(E1364/1000),Skills!K16/10)+Skills!N16</f>
        <v/>
      </c>
      <c r="G1364">
        <f>Calc!G16</f>
        <v/>
      </c>
      <c r="H1364">
        <f>Calc!H16</f>
        <v/>
      </c>
      <c r="I1364">
        <f>IF(Skills!T16&lt;&gt;"",1+(Skills!T16/10)*($Z$3/1000)/100,1)</f>
        <v/>
      </c>
      <c r="J1364" t="inlineStr"/>
      <c r="K1364" t="inlineStr"/>
      <c r="L1364" t="inlineStr"/>
      <c r="M1364" t="inlineStr"/>
      <c r="N1364" t="inlineStr"/>
      <c r="O1364">
        <f>(1-Summary!$B$11)*S1364+Summary!$B$11*U1364</f>
        <v/>
      </c>
      <c r="P1364">
        <f>IF(B1390=0,0,O1364/B1390)</f>
        <v/>
      </c>
      <c r="Q1364">
        <f>IFERROR(1/(IF(Inputs!$B$39="pvp",15,MAX(0.1,Skills!D16-IF(Skills!E16=TRUE,Inputs!$B$33,0)))*(1-IF(AND(ArtifactsInput!$M$27,Inputs!$B$4="Chapter Hunt"),CHOOSE(ArtifactsInput!$N$27+1,20,24,28,32,36,40),0)/100)),0)</f>
        <v/>
      </c>
      <c r="R1364" t="n">
        <v>0</v>
      </c>
      <c r="S1364" t="n">
        <v>0</v>
      </c>
      <c r="U1364" t="n">
        <v>0</v>
      </c>
    </row>
    <row r="1365">
      <c r="A1365">
        <f>Skills!A17</f>
        <v/>
      </c>
      <c r="B1365">
        <f>Skills!B17</f>
        <v/>
      </c>
      <c r="C1365">
        <f>Inputs!$B$3&gt;=49</f>
        <v/>
      </c>
      <c r="D1365">
        <f>IF(Skills!C17=1,60+Inputs!$B$26+Inputs!$B$30,IF(Skills!C17=2,90+Inputs!$B$27+Inputs!$B$30,IF(Skills!C17=3,120+Inputs!$B$28+Inputs!$B$30,MAX(0,(Inputs!$B$3-100)*3)+Inputs!$B$29+Inputs!$B$30)))</f>
        <v/>
      </c>
      <c r="E1365">
        <f>INDEX(FactorTable!$B$2:$Y$301, MATCH(ROUND(MIN(300,MAX(1,D1365)),0), FactorTable!$A$2:$A$301,0), Skills!L17+1)</f>
        <v/>
      </c>
      <c r="F1365">
        <f>IF(Skills!M17=TRUE,(Skills!K17/10)*(E1365/1000),Skills!K17/10)+Skills!N17</f>
        <v/>
      </c>
      <c r="G1365">
        <f>Calc!G17</f>
        <v/>
      </c>
      <c r="H1365">
        <f>Calc!H17</f>
        <v/>
      </c>
      <c r="I1365">
        <f>IF(Skills!T17&lt;&gt;"",1+(Skills!T17/10)*($Z$3/1000)/100,1)</f>
        <v/>
      </c>
      <c r="J1365" t="inlineStr"/>
      <c r="K1365" t="inlineStr"/>
      <c r="L1365" t="inlineStr"/>
      <c r="M1365" t="inlineStr"/>
      <c r="N1365" t="inlineStr"/>
      <c r="O1365">
        <f>(1-Summary!$B$11)*S1365+Summary!$B$11*U1365</f>
        <v/>
      </c>
      <c r="P1365">
        <f>IF(B1390=0,0,O1365/B1390)</f>
        <v/>
      </c>
      <c r="Q1365">
        <f>IFERROR(1/(IF(Inputs!$B$39="pvp",15,MAX(0.1,Skills!D17-IF(Skills!E17=TRUE,Inputs!$B$33,0)))*(1-IF(AND(ArtifactsInput!$M$27,Inputs!$B$4="Chapter Hunt"),CHOOSE(ArtifactsInput!$N$27+1,20,24,28,32,36,40),0)/100)),0)</f>
        <v/>
      </c>
      <c r="R1365" t="n">
        <v>0</v>
      </c>
      <c r="S1365" t="n">
        <v>0</v>
      </c>
      <c r="U1365" t="n">
        <v>0</v>
      </c>
    </row>
    <row r="1366">
      <c r="A1366">
        <f>Skills!A18</f>
        <v/>
      </c>
      <c r="B1366">
        <f>Skills!B18</f>
        <v/>
      </c>
      <c r="C1366">
        <f>Inputs!$B$3&gt;=75</f>
        <v/>
      </c>
      <c r="D1366">
        <f>IF(Skills!C18=1,60+Inputs!$B$26+Inputs!$B$30,IF(Skills!C18=2,90+Inputs!$B$27+Inputs!$B$30,IF(Skills!C18=3,120+Inputs!$B$28+Inputs!$B$30,MAX(0,(Inputs!$B$3-100)*3)+Inputs!$B$29+Inputs!$B$30)))</f>
        <v/>
      </c>
      <c r="E1366">
        <f>INDEX(FactorTable!$B$2:$Y$301, MATCH(ROUND(MIN(300,MAX(1,D1366)),0), FactorTable!$A$2:$A$301,0), Skills!L18+1)</f>
        <v/>
      </c>
      <c r="F1366">
        <f>IF(Skills!M18=TRUE,(Skills!K18/10)*(E1366/1000),Skills!K18/10)+Skills!N18</f>
        <v/>
      </c>
      <c r="G1366">
        <f>Calc!G18</f>
        <v/>
      </c>
      <c r="H1366">
        <f>Calc!H18</f>
        <v/>
      </c>
      <c r="I1366">
        <f>IF(Skills!T18&lt;&gt;"",1+(Skills!T18/10)*($Z$3/1000)/100,1)</f>
        <v/>
      </c>
      <c r="J1366" t="inlineStr"/>
      <c r="K1366" t="inlineStr"/>
      <c r="L1366" t="inlineStr"/>
      <c r="M1366" t="inlineStr"/>
      <c r="N1366" t="inlineStr"/>
      <c r="O1366">
        <f>(1-Summary!$B$11)*S1366+Summary!$B$11*U1366</f>
        <v/>
      </c>
      <c r="P1366">
        <f>IF(B1390=0,0,O1366/B1390)</f>
        <v/>
      </c>
      <c r="Q1366">
        <f>IFERROR(1/(IF(Inputs!$B$39="pvp",15,MAX(0.1,Skills!D18-IF(Skills!E18=TRUE,Inputs!$B$33,0)))*(1-IF(AND(ArtifactsInput!$M$27,Inputs!$B$4="Chapter Hunt"),CHOOSE(ArtifactsInput!$N$27+1,20,24,28,32,36,40),0)/100)),0)</f>
        <v/>
      </c>
      <c r="R1366" t="n">
        <v>0</v>
      </c>
      <c r="S1366" t="n">
        <v>0</v>
      </c>
      <c r="U1366" t="n">
        <v>0</v>
      </c>
    </row>
    <row r="1367">
      <c r="A1367">
        <f>Skills!A19</f>
        <v/>
      </c>
      <c r="B1367">
        <f>Skills!B19</f>
        <v/>
      </c>
      <c r="C1367">
        <f>Inputs!$B$3&gt;=110</f>
        <v/>
      </c>
      <c r="D1367">
        <f>IF(Skills!C19=1,60+Inputs!$B$26+Inputs!$B$30,IF(Skills!C19=2,90+Inputs!$B$27+Inputs!$B$30,IF(Skills!C19=3,120+Inputs!$B$28+Inputs!$B$30,MAX(0,(Inputs!$B$3-100)*3)+Inputs!$B$29+Inputs!$B$30)))</f>
        <v/>
      </c>
      <c r="E1367">
        <f>INDEX(FactorTable!$B$2:$Y$301, MATCH(ROUND(MIN(300,MAX(1,D1367)),0), FactorTable!$A$2:$A$301,0), Skills!L19+1)</f>
        <v/>
      </c>
      <c r="F1367">
        <f>(Skills!K19/10)*(E1367/1000)*64/45+Skills!N19</f>
        <v/>
      </c>
      <c r="G1367">
        <f>Calc!G19</f>
        <v/>
      </c>
      <c r="H1367">
        <f>Calc!H19</f>
        <v/>
      </c>
      <c r="I1367">
        <f>IF(Skills!T19&lt;&gt;"",1+(Skills!T19/10)*($Z$3/1000)/100,1)</f>
        <v/>
      </c>
      <c r="J1367" t="inlineStr"/>
      <c r="K1367" t="inlineStr"/>
      <c r="L1367" t="inlineStr"/>
      <c r="M1367" t="inlineStr"/>
      <c r="N1367" t="inlineStr"/>
      <c r="O1367">
        <f>(1-Summary!$B$11)*S1367+Summary!$B$11*U1367</f>
        <v/>
      </c>
      <c r="P1367">
        <f>IF(B1390=0,0,O1367/B1390)</f>
        <v/>
      </c>
      <c r="Q1367">
        <f>IFERROR(1/(IF(Inputs!$B$39="pvp",15,MAX(0.1,Skills!D19-IF(Skills!E19=TRUE,Inputs!$B$33,0)))*(1-IF(AND(ArtifactsInput!$M$27,Inputs!$B$4="Chapter Hunt"),CHOOSE(ArtifactsInput!$N$27+1,20,24,28,32,36,40),0)/100)),0)</f>
        <v/>
      </c>
      <c r="R1367">
        <f>IF(AND(Inputs!$B$39&lt;&gt;"pvp",Inputs!$B$44&gt;0),IF(Inputs!$B$44&lt;=0,0,(INT(Inputs!$B$44/(IF(Inputs!$B$39="pvp",15,MAX(0.1,Skills!D19-IF(Skills!E19=TRUE,Inputs!$B$33,0)))*(1-IF(AND(ArtifactsInput!$M$27,Inputs!$B$4="Chapter Hunt"),CHOOSE(ArtifactsInput!$N$27+1,20,24,28,32,36,40),0)/100)))+1)),0)</f>
        <v/>
      </c>
      <c r="S1367" t="n">
        <v>0</v>
      </c>
      <c r="U1367" t="n">
        <v>0</v>
      </c>
    </row>
    <row r="1368">
      <c r="A1368">
        <f>Skills!A20</f>
        <v/>
      </c>
      <c r="B1368">
        <f>Skills!B20</f>
        <v/>
      </c>
      <c r="C1368">
        <f>Inputs!$B$3&gt;=125</f>
        <v/>
      </c>
      <c r="D1368">
        <f>IF(Skills!C20=1,60+Inputs!$B$26+Inputs!$B$30,IF(Skills!C20=2,90+Inputs!$B$27+Inputs!$B$30,IF(Skills!C20=3,120+Inputs!$B$28+Inputs!$B$30,MAX(0,(Inputs!$B$3-100)*3)+Inputs!$B$29+Inputs!$B$30)))</f>
        <v/>
      </c>
      <c r="E1368">
        <f>INDEX(FactorTable!$B$2:$Y$301, MATCH(ROUND(MIN(300,MAX(1,D1368)),0), FactorTable!$A$2:$A$301,0), Skills!L20+1)</f>
        <v/>
      </c>
      <c r="F1368">
        <f>IF(Skills!M20=TRUE,(Skills!K20/10)*(E1368/1000),Skills!K20/10)+Skills!N20</f>
        <v/>
      </c>
      <c r="G1368">
        <f>Calc!G20</f>
        <v/>
      </c>
      <c r="H1368">
        <f>Calc!H20</f>
        <v/>
      </c>
      <c r="I1368">
        <f>IF(Skills!T20&lt;&gt;"",1+(Skills!T20/10)*($Z$3/1000)/100,1)</f>
        <v/>
      </c>
      <c r="J1368" t="inlineStr"/>
      <c r="K1368" t="inlineStr"/>
      <c r="L1368" t="inlineStr"/>
      <c r="M1368" t="inlineStr"/>
      <c r="N1368" t="inlineStr"/>
      <c r="O1368">
        <f>(1-Summary!$B$11)*S1368+Summary!$B$11*U1368</f>
        <v/>
      </c>
      <c r="P1368">
        <f>IF(B1390=0,0,O1368/B1390)</f>
        <v/>
      </c>
      <c r="Q1368">
        <f>IFERROR(1/(IF(Inputs!$B$39="pvp",15,MAX(0.1,Skills!D20-IF(Skills!E20=TRUE,Inputs!$B$33,0)))*(1-IF(AND(ArtifactsInput!$M$27,Inputs!$B$4="Chapter Hunt"),CHOOSE(ArtifactsInput!$N$27+1,20,24,28,32,36,40),0)/100)),0)</f>
        <v/>
      </c>
      <c r="R1368" t="n">
        <v>0</v>
      </c>
      <c r="S1368" t="n">
        <v>0</v>
      </c>
      <c r="U1368" t="n">
        <v>0</v>
      </c>
    </row>
    <row r="1369">
      <c r="A1369">
        <f>Skills!A21</f>
        <v/>
      </c>
      <c r="B1369">
        <f>Skills!B21</f>
        <v/>
      </c>
      <c r="C1369">
        <f>Inputs!$B$3&gt;=33</f>
        <v/>
      </c>
      <c r="D1369">
        <f>IF(Skills!C21=1,60+Inputs!$B$26+Inputs!$B$30,IF(Skills!C21=2,90+Inputs!$B$27+Inputs!$B$30,IF(Skills!C21=3,120+Inputs!$B$28+Inputs!$B$30,MAX(0,(Inputs!$B$3-100)*3)+Inputs!$B$29+Inputs!$B$30)))</f>
        <v/>
      </c>
      <c r="E1369">
        <f>INDEX(FactorTable!$B$2:$Y$301, MATCH(ROUND(MIN(300,MAX(1,D1369)),0), FactorTable!$A$2:$A$301,0), Skills!L21+1)</f>
        <v/>
      </c>
      <c r="F1369">
        <f>IF(Skills!M21=TRUE,(Skills!K21/10)*(E1369/1000),Skills!K21/10)+Skills!N21</f>
        <v/>
      </c>
      <c r="G1369">
        <f>Calc!G21</f>
        <v/>
      </c>
      <c r="H1369">
        <f>Calc!H21</f>
        <v/>
      </c>
      <c r="I1369">
        <f>IF(Skills!T21&lt;&gt;"",1+(Skills!T21/10)*($Z$3/1000)/100,1)</f>
        <v/>
      </c>
      <c r="J1369" t="inlineStr"/>
      <c r="K1369" t="inlineStr"/>
      <c r="L1369" t="inlineStr"/>
      <c r="M1369" t="inlineStr"/>
      <c r="N1369" t="inlineStr"/>
      <c r="O1369">
        <f>(1-Summary!$B$11)*S1369+Summary!$B$11*U1369</f>
        <v/>
      </c>
      <c r="P1369">
        <f>IF(B1390=0,0,O1369/B1390)</f>
        <v/>
      </c>
      <c r="Q1369">
        <f>IFERROR(1/(IF(Inputs!$B$39="pvp",15,MAX(0.1,Skills!D21-IF(Skills!E21=TRUE,Inputs!$B$33,0)))*(1-IF(AND(ArtifactsInput!$M$27,Inputs!$B$4="Chapter Hunt"),CHOOSE(ArtifactsInput!$N$27+1,20,24,28,32,36,40),0)/100)),0)</f>
        <v/>
      </c>
      <c r="R1369" t="n">
        <v>0</v>
      </c>
      <c r="S1369" t="n">
        <v>0</v>
      </c>
      <c r="U1369" t="n">
        <v>0</v>
      </c>
    </row>
    <row r="1370">
      <c r="A1370">
        <f>Skills!A22</f>
        <v/>
      </c>
      <c r="B1370">
        <f>Skills!B22</f>
        <v/>
      </c>
      <c r="C1370">
        <f>Inputs!$B$3&gt;=43</f>
        <v/>
      </c>
      <c r="D1370">
        <f>IF(Skills!C22=1,60+Inputs!$B$26+Inputs!$B$30,IF(Skills!C22=2,90+Inputs!$B$27+Inputs!$B$30,IF(Skills!C22=3,120+Inputs!$B$28+Inputs!$B$30,MAX(0,(Inputs!$B$3-100)*3)+Inputs!$B$29+Inputs!$B$30)))</f>
        <v/>
      </c>
      <c r="E1370">
        <f>INDEX(FactorTable!$B$2:$Y$301, MATCH(ROUND(MIN(300,MAX(1,D1370)),0), FactorTable!$A$2:$A$301,0), Skills!L22+1)</f>
        <v/>
      </c>
      <c r="F1370">
        <f>IF(Skills!M22=TRUE,(Skills!K22/10)*(E1370/1000),Skills!K22/10)+Skills!N22</f>
        <v/>
      </c>
      <c r="G1370">
        <f>Calc!G22</f>
        <v/>
      </c>
      <c r="H1370">
        <f>Calc!H22</f>
        <v/>
      </c>
      <c r="I1370">
        <f>IF(Skills!T22&lt;&gt;"",1+(Skills!T22/10)*($Z$3/1000)/100,1)</f>
        <v/>
      </c>
      <c r="J1370" t="inlineStr"/>
      <c r="K1370" t="inlineStr"/>
      <c r="L1370" t="inlineStr"/>
      <c r="M1370" t="inlineStr"/>
      <c r="N1370" t="inlineStr"/>
      <c r="O1370">
        <f>(1-Summary!$B$11)*S1370+Summary!$B$11*U1370</f>
        <v/>
      </c>
      <c r="P1370">
        <f>IF(B1390=0,0,O1370/B1390)</f>
        <v/>
      </c>
      <c r="Q1370">
        <f>IFERROR(1/(IF(Inputs!$B$39="pvp",15,MAX(0.1,Skills!D22-IF(Skills!E22=TRUE,Inputs!$B$33,0)))*(1-IF(AND(ArtifactsInput!$M$27,Inputs!$B$4="Chapter Hunt"),CHOOSE(ArtifactsInput!$N$27+1,20,24,28,32,36,40),0)/100)),0)</f>
        <v/>
      </c>
      <c r="R1370" t="n">
        <v>0</v>
      </c>
      <c r="S1370" t="n">
        <v>0</v>
      </c>
      <c r="U1370" t="n">
        <v>0</v>
      </c>
    </row>
    <row r="1371">
      <c r="A1371">
        <f>Skills!A23</f>
        <v/>
      </c>
      <c r="B1371">
        <f>Skills!B23</f>
        <v/>
      </c>
      <c r="C1371">
        <f>Inputs!$B$3&gt;=50</f>
        <v/>
      </c>
      <c r="D1371">
        <f>IF(Skills!C23=1,60+Inputs!$B$26+Inputs!$B$30,IF(Skills!C23=2,90+Inputs!$B$27+Inputs!$B$30,IF(Skills!C23=3,120+Inputs!$B$28+Inputs!$B$30,MAX(0,(Inputs!$B$3-100)*3)+Inputs!$B$29+Inputs!$B$30)))</f>
        <v/>
      </c>
      <c r="E1371">
        <f>INDEX(FactorTable!$B$2:$Y$301, MATCH(ROUND(MIN(300,MAX(1,D1371)),0), FactorTable!$A$2:$A$301,0), Skills!L23+1)</f>
        <v/>
      </c>
      <c r="F1371">
        <f>IF(Skills!M23=TRUE,(Skills!K23/10)*(E1371/1000),Skills!K23/10)+Skills!N23</f>
        <v/>
      </c>
      <c r="G1371">
        <f>Calc!G23</f>
        <v/>
      </c>
      <c r="H1371">
        <f>Calc!H23</f>
        <v/>
      </c>
      <c r="I1371">
        <f>IF(Skills!T23&lt;&gt;"",1+(Skills!T23/10)*($Z$3/1000)/100,1)</f>
        <v/>
      </c>
      <c r="J1371" t="inlineStr"/>
      <c r="K1371" t="inlineStr"/>
      <c r="L1371" t="inlineStr"/>
      <c r="M1371" t="inlineStr"/>
      <c r="N1371" t="inlineStr"/>
      <c r="O1371">
        <f>(1-Summary!$B$11)*S1371+Summary!$B$11*U1371</f>
        <v/>
      </c>
      <c r="P1371">
        <f>IF(B1390=0,0,O1371/B1390)</f>
        <v/>
      </c>
      <c r="Q1371">
        <f>IFERROR(1/(IF(Inputs!$B$39="pvp",15,MAX(0.1,Skills!D23-IF(Skills!E23=TRUE,Inputs!$B$33,0)))*(1-IF(AND(ArtifactsInput!$M$27,Inputs!$B$4="Chapter Hunt"),CHOOSE(ArtifactsInput!$N$27+1,20,24,28,32,36,40),0)/100)),0)</f>
        <v/>
      </c>
      <c r="R1371" t="n">
        <v>0</v>
      </c>
      <c r="S1371" t="n">
        <v>0</v>
      </c>
      <c r="U1371" t="n">
        <v>0</v>
      </c>
    </row>
    <row r="1372">
      <c r="A1372">
        <f>Skills!A24</f>
        <v/>
      </c>
      <c r="B1372">
        <f>Skills!B24</f>
        <v/>
      </c>
      <c r="C1372">
        <f>Inputs!$B$3&gt;=74</f>
        <v/>
      </c>
      <c r="D1372">
        <f>IF(Skills!C24=1,60+Inputs!$B$26+Inputs!$B$30,IF(Skills!C24=2,90+Inputs!$B$27+Inputs!$B$30,IF(Skills!C24=3,120+Inputs!$B$28+Inputs!$B$30,MAX(0,(Inputs!$B$3-100)*3)+Inputs!$B$29+Inputs!$B$30)))</f>
        <v/>
      </c>
      <c r="E1372">
        <f>INDEX(FactorTable!$B$2:$Y$301, MATCH(ROUND(MIN(300,MAX(1,D1372)),0), FactorTable!$A$2:$A$301,0), Skills!L24+1)</f>
        <v/>
      </c>
      <c r="F1372">
        <f>IF(Skills!M24=TRUE,(Skills!K24/10)*(E1372/1000),Skills!K24/10)+Skills!N24</f>
        <v/>
      </c>
      <c r="G1372">
        <f>Calc!G24</f>
        <v/>
      </c>
      <c r="H1372">
        <f>Calc!H24</f>
        <v/>
      </c>
      <c r="I1372">
        <f>IF(Skills!T24&lt;&gt;"",1+(Skills!T24/10)*($Z$3/1000)/100,1)</f>
        <v/>
      </c>
      <c r="J1372" t="inlineStr"/>
      <c r="K1372" t="inlineStr"/>
      <c r="L1372" t="inlineStr"/>
      <c r="M1372" t="inlineStr"/>
      <c r="N1372" t="inlineStr"/>
      <c r="O1372">
        <f>(1-Summary!$B$11)*S1372+Summary!$B$11*U1372</f>
        <v/>
      </c>
      <c r="P1372">
        <f>IF(B1390=0,0,O1372/B1390)</f>
        <v/>
      </c>
      <c r="Q1372">
        <f>IFERROR(1/(IF(Inputs!$B$39="pvp",15,MAX(0.1,Skills!D24-IF(Skills!E24=TRUE,Inputs!$B$33,0)))*(1-IF(AND(ArtifactsInput!$M$27,Inputs!$B$4="Chapter Hunt"),CHOOSE(ArtifactsInput!$N$27+1,20,24,28,32,36,40),0)/100)),0)</f>
        <v/>
      </c>
      <c r="R1372" t="n">
        <v>0</v>
      </c>
      <c r="S1372" t="n">
        <v>0</v>
      </c>
      <c r="U1372" t="n">
        <v>0</v>
      </c>
    </row>
    <row r="1373">
      <c r="A1373">
        <f>Skills!A25</f>
        <v/>
      </c>
      <c r="B1373">
        <f>Skills!B25</f>
        <v/>
      </c>
      <c r="C1373">
        <f>Inputs!$B$3&gt;=74</f>
        <v/>
      </c>
      <c r="D1373">
        <f>IF(Skills!C25=1,60+Inputs!$B$26+Inputs!$B$30,IF(Skills!C25=2,90+Inputs!$B$27+Inputs!$B$30,IF(Skills!C25=3,120+Inputs!$B$28+Inputs!$B$30,MAX(0,(Inputs!$B$3-100)*3)+Inputs!$B$29+Inputs!$B$30)))</f>
        <v/>
      </c>
      <c r="E1373">
        <f>INDEX(FactorTable!$B$2:$Y$301, MATCH(ROUND(MIN(300,MAX(1,D1373)),0), FactorTable!$A$2:$A$301,0), Skills!L25+1)</f>
        <v/>
      </c>
      <c r="F1373">
        <f>IF(Skills!M25=TRUE,(Skills!K25/10)*(E1373/1000),Skills!K25/10)+Skills!N25</f>
        <v/>
      </c>
      <c r="G1373">
        <f>Calc!G25</f>
        <v/>
      </c>
      <c r="H1373">
        <f>Calc!H25</f>
        <v/>
      </c>
      <c r="I1373">
        <f>IF(Skills!T25&lt;&gt;"",1+(Skills!T25/10)*($Z$3/1000)/100,1)</f>
        <v/>
      </c>
      <c r="J1373" t="inlineStr"/>
      <c r="K1373" t="inlineStr"/>
      <c r="L1373" t="inlineStr"/>
      <c r="M1373" t="inlineStr"/>
      <c r="N1373" t="inlineStr"/>
      <c r="O1373">
        <f>(1-Summary!$B$11)*S1373+Summary!$B$11*U1373</f>
        <v/>
      </c>
      <c r="P1373">
        <f>IF(B1390=0,0,O1373/B1390)</f>
        <v/>
      </c>
      <c r="Q1373">
        <f>IFERROR(1/(IF(Inputs!$B$39="pvp",15,MAX(0.1,Skills!D25-IF(Skills!E25=TRUE,Inputs!$B$33,0)))*(1-IF(AND(ArtifactsInput!$M$27,Inputs!$B$4="Chapter Hunt"),CHOOSE(ArtifactsInput!$N$27+1,20,24,28,32,36,40),0)/100)),0)</f>
        <v/>
      </c>
      <c r="R1373" t="n">
        <v>0</v>
      </c>
      <c r="S1373" t="n">
        <v>0</v>
      </c>
      <c r="U1373" t="n">
        <v>0</v>
      </c>
    </row>
    <row r="1374">
      <c r="A1374">
        <f>Skills!A26</f>
        <v/>
      </c>
      <c r="B1374">
        <f>Skills!B26</f>
        <v/>
      </c>
      <c r="C1374">
        <f>Inputs!$B$3&gt;=117</f>
        <v/>
      </c>
      <c r="D1374">
        <f>IF(Skills!C26=1,60+Inputs!$B$26+Inputs!$B$30,IF(Skills!C26=2,90+Inputs!$B$27+Inputs!$B$30,IF(Skills!C26=3,120+Inputs!$B$28+Inputs!$B$30,MAX(0,(Inputs!$B$3-100)*3)+Inputs!$B$29+Inputs!$B$30)))</f>
        <v/>
      </c>
      <c r="E1374">
        <f>INDEX(FactorTable!$B$2:$Y$301, MATCH(ROUND(MIN(300,MAX(1,D1374)),0), FactorTable!$A$2:$A$301,0), Skills!L26+1)</f>
        <v/>
      </c>
      <c r="F1374">
        <f>IF(Skills!M26=TRUE,(Skills!K26/10)*(E1374/1000),Skills!K26/10)+Skills!N26</f>
        <v/>
      </c>
      <c r="G1374">
        <f>Calc!G26</f>
        <v/>
      </c>
      <c r="H1374">
        <f>Calc!H26</f>
        <v/>
      </c>
      <c r="I1374">
        <f>IF(Skills!T26&lt;&gt;"",1+(Skills!T26/10)*($Z$3/1000)/100,1)</f>
        <v/>
      </c>
      <c r="J1374" t="inlineStr"/>
      <c r="K1374" t="inlineStr"/>
      <c r="L1374" t="inlineStr"/>
      <c r="M1374" t="inlineStr"/>
      <c r="N1374" t="inlineStr"/>
      <c r="O1374">
        <f>(1-Summary!$B$11)*S1374+Summary!$B$11*U1374</f>
        <v/>
      </c>
      <c r="P1374">
        <f>IF(B1390=0,0,O1374/B1390)</f>
        <v/>
      </c>
      <c r="Q1374">
        <f>IFERROR(1/(IF(Inputs!$B$39="pvp",15,MAX(0.1,Skills!D26-IF(Skills!E26=TRUE,Inputs!$B$33,0)))*(1-IF(AND(ArtifactsInput!$M$27,Inputs!$B$4="Chapter Hunt"),CHOOSE(ArtifactsInput!$N$27+1,20,24,28,32,36,40),0)/100)),0)</f>
        <v/>
      </c>
      <c r="R1374" t="n">
        <v>0</v>
      </c>
      <c r="S1374" t="n">
        <v>0</v>
      </c>
      <c r="U1374" t="n">
        <v>0</v>
      </c>
    </row>
    <row r="1375">
      <c r="A1375">
        <f>Skills!A27</f>
        <v/>
      </c>
      <c r="B1375">
        <f>Skills!B27</f>
        <v/>
      </c>
      <c r="C1375">
        <f>Inputs!$B$3&gt;=120</f>
        <v/>
      </c>
      <c r="D1375">
        <f>IF(Skills!C27=1,60+Inputs!$B$26+Inputs!$B$30,IF(Skills!C27=2,90+Inputs!$B$27+Inputs!$B$30,IF(Skills!C27=3,120+Inputs!$B$28+Inputs!$B$30,MAX(0,(Inputs!$B$3-100)*3)+Inputs!$B$29+Inputs!$B$30)))</f>
        <v/>
      </c>
      <c r="E1375">
        <f>INDEX(FactorTable!$B$2:$Y$301, MATCH(ROUND(MIN(300,MAX(1,D1375)),0), FactorTable!$A$2:$A$301,0), Skills!L27+1)</f>
        <v/>
      </c>
      <c r="F1375">
        <f>IF(Skills!M27=TRUE,(Skills!K27/10)*(E1375/1000),Skills!K27/10)+Skills!N27</f>
        <v/>
      </c>
      <c r="G1375">
        <f>Calc!G27</f>
        <v/>
      </c>
      <c r="H1375">
        <f>Calc!H27</f>
        <v/>
      </c>
      <c r="I1375">
        <f>IF(Skills!T27&lt;&gt;"",1+(Skills!T27/10)*($Z$3/1000)/100,1)</f>
        <v/>
      </c>
      <c r="J1375" t="inlineStr"/>
      <c r="K1375" t="inlineStr"/>
      <c r="L1375" t="inlineStr"/>
      <c r="M1375" t="inlineStr"/>
      <c r="N1375" t="inlineStr"/>
      <c r="O1375">
        <f>(1-Summary!$B$11)*S1375+Summary!$B$11*U1375</f>
        <v/>
      </c>
      <c r="P1375">
        <f>IF(B1390=0,0,O1375/B1390)</f>
        <v/>
      </c>
      <c r="Q1375">
        <f>IFERROR(1/(IF(Inputs!$B$39="pvp",15,MAX(0.1,Skills!D27-IF(Skills!E27=TRUE,Inputs!$B$33,0)))*(1-IF(AND(ArtifactsInput!$M$27,Inputs!$B$4="Chapter Hunt"),CHOOSE(ArtifactsInput!$N$27+1,20,24,28,32,36,40),0)/100)),0)</f>
        <v/>
      </c>
      <c r="R1375" t="n">
        <v>0</v>
      </c>
      <c r="S1375" t="n">
        <v>0</v>
      </c>
      <c r="U1375" t="n">
        <v>0</v>
      </c>
    </row>
    <row r="1377">
      <c r="A1377" t="inlineStr">
        <is>
          <t>Average Buff Multiplier</t>
        </is>
      </c>
      <c r="B1377">
        <f>(1+(IF(C1351=TRUE,F1351*IF(AND(Inputs!$B$39&lt;&gt;"pvp",Inputs!$B$44&gt;0),(((R1351-1)*(Skills!S3*(1+((Inputs!$B$35+(IF(ArtifactsInput!$M$7,FALSE,TRUE)-ArtifactsInput!$M$7)*CHOOSE(ArtifactsInput!$N$7+1,6,7.2,8.4,9.6,10.8,12))+IF(Inputs!$B$3&gt;=117,F1374,0))/100))+MIN((Skills!S3*(1+((Inputs!$B$35+(IF(ArtifactsInput!$M$7,FALSE,TRUE)-ArtifactsInput!$M$7)*CHOOSE(ArtifactsInput!$N$7+1,6,7.2,8.4,9.6,10.8,12))+IF(Inputs!$B$3&gt;=117,F1374,0))/100)),MAX(0,Inputs!$B$44-((R1351-1)*Skills!D3))))/Inputs!$B$44),IF(Inputs!$B$39="pvp",MIN((Skills!S3*(1+((Inputs!$B$35+(IF(ArtifactsInput!$M$7,FALSE,TRUE)-ArtifactsInput!$M$7)*CHOOSE(ArtifactsInput!$N$7+1,6,7.2,8.4,9.6,10.8,12))+IF(Inputs!$B$3&gt;=117,F1374,0))/100)),15)/15,(Skills!S3*(1+((Inputs!$B$35+(IF(ArtifactsInput!$M$7,FALSE,TRUE)-ArtifactsInput!$M$7)*CHOOSE(ArtifactsInput!$N$7+1,6,7.2,8.4,9.6,10.8,12))+IF(Inputs!$B$3&gt;=117,F1374,0))/100))/Skills!D3)),0)+IF(C1352=TRUE,F1352*IF(AND(Inputs!$B$39&lt;&gt;"pvp",Inputs!$B$44&gt;0),(((R1352-1)*(Skills!S4*(1+((Inputs!$B$35+(IF(ArtifactsInput!$M$7,FALSE,TRUE)-ArtifactsInput!$M$7)*CHOOSE(ArtifactsInput!$N$7+1,6,7.2,8.4,9.6,10.8,12))+IF(Inputs!$B$3&gt;=117,F1374,0))/100))+MIN((Skills!S4*(1+((Inputs!$B$35+(IF(ArtifactsInput!$M$7,FALSE,TRUE)-ArtifactsInput!$M$7)*CHOOSE(ArtifactsInput!$N$7+1,6,7.2,8.4,9.6,10.8,12))+IF(Inputs!$B$3&gt;=117,F1374,0))/100)),MAX(0,Inputs!$B$44-((R1352-1)*Skills!D4))))/Inputs!$B$44),IF(Inputs!$B$39="pvp",MIN((Skills!S4*(1+((Inputs!$B$35+(IF(ArtifactsInput!$M$7,FALSE,TRUE)-ArtifactsInput!$M$7)*CHOOSE(ArtifactsInput!$N$7+1,6,7.2,8.4,9.6,10.8,12))+IF(Inputs!$B$3&gt;=117,F1374,0))/100)),15)/15,(Skills!S4*(1+((Inputs!$B$35+(IF(ArtifactsInput!$M$7,FALSE,TRUE)-ArtifactsInput!$M$7)*CHOOSE(ArtifactsInput!$N$7+1,6,7.2,8.4,9.6,10.8,12))+IF(Inputs!$B$3&gt;=117,F1374,0))/100))/Skills!D4)),0)+IF(C1353=TRUE,F1353*IF(AND(Inputs!$B$39&lt;&gt;"pvp",Inputs!$B$44&gt;0),(((R1353-1)*(Skills!S5*(1+((Inputs!$B$35+(IF(ArtifactsInput!$M$7,FALSE,TRUE)-ArtifactsInput!$M$7)*CHOOSE(ArtifactsInput!$N$7+1,6,7.2,8.4,9.6,10.8,12))+IF(Inputs!$B$3&gt;=117,F1374,0))/100))+MIN((Skills!S5*(1+((Inputs!$B$35+(IF(ArtifactsInput!$M$7,FALSE,TRUE)-ArtifactsInput!$M$7)*CHOOSE(ArtifactsInput!$N$7+1,6,7.2,8.4,9.6,10.8,12))+IF(Inputs!$B$3&gt;=117,F1374,0))/100)),MAX(0,Inputs!$B$44-((R1353-1)*Skills!D5))))/Inputs!$B$44),IF(Inputs!$B$39="pvp",MIN((Skills!S5*(1+((Inputs!$B$35+(IF(ArtifactsInput!$M$7,FALSE,TRUE)-ArtifactsInput!$M$7)*CHOOSE(ArtifactsInput!$N$7+1,6,7.2,8.4,9.6,10.8,12))+IF(Inputs!$B$3&gt;=117,F1374,0))/100)),15)/15,(Skills!S5*(1+((Inputs!$B$35+(IF(ArtifactsInput!$M$7,FALSE,TRUE)-ArtifactsInput!$M$7)*CHOOSE(ArtifactsInput!$N$7+1,6,7.2,8.4,9.6,10.8,12))+IF(Inputs!$B$3&gt;=117,F1374,0))/100))/Skills!D5)),0)+IF(C1359=TRUE,F1359*IF(AND(Inputs!$B$39&lt;&gt;"pvp",Inputs!$B$44&gt;0),(((R1359-1)*(Skills!S11*(1+((Inputs!$B$35+(IF(ArtifactsInput!$M$7,FALSE,TRUE)-ArtifactsInput!$M$7)*CHOOSE(ArtifactsInput!$N$7+1,6,7.2,8.4,9.6,10.8,12))+IF(Inputs!$B$3&gt;=117,F1374,0))/100))+MIN((Skills!S11*(1+((Inputs!$B$35+(IF(ArtifactsInput!$M$7,FALSE,TRUE)-ArtifactsInput!$M$7)*CHOOSE(ArtifactsInput!$N$7+1,6,7.2,8.4,9.6,10.8,12))+IF(Inputs!$B$3&gt;=117,F1374,0))/100)),MAX(0,Inputs!$B$44-((R1359-1)*Skills!D11))))/Inputs!$B$44),IF(Inputs!$B$39="pvp",MIN((Skills!S11*(1+((Inputs!$B$35+(IF(ArtifactsInput!$M$7,FALSE,TRUE)-ArtifactsInput!$M$7)*CHOOSE(ArtifactsInput!$N$7+1,6,7.2,8.4,9.6,10.8,12))+IF(Inputs!$B$3&gt;=117,F1374,0))/100)),15)/15,(Skills!S11*(1+((Inputs!$B$35+(IF(ArtifactsInput!$M$7,FALSE,TRUE)-ArtifactsInput!$M$7)*CHOOSE(ArtifactsInput!$N$7+1,6,7.2,8.4,9.6,10.8,12))+IF(Inputs!$B$3&gt;=117,F1374,0)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1362=TRUE,(1+F1362*IF(AND(Inputs!$B$39&lt;&gt;"pvp",Inputs!$B$44&gt;0),(((R1362-1)*(Skills!S14*(1+((Inputs!$B$35+(IF(ArtifactsInput!$M$7,FALSE,TRUE)-ArtifactsInput!$M$7)*CHOOSE(ArtifactsInput!$N$7+1,6,7.2,8.4,9.6,10.8,12))+IF(Inputs!$B$3&gt;=117,F1374,0))/100))+MIN((Skills!S14*(1+((Inputs!$B$35+(IF(ArtifactsInput!$M$7,FALSE,TRUE)-ArtifactsInput!$M$7)*CHOOSE(ArtifactsInput!$N$7+1,6,7.2,8.4,9.6,10.8,12))+IF(Inputs!$B$3&gt;=117,F1374,0))/100)),MAX(0,Inputs!$B$44-((R1362-1)*Skills!D14))))/Inputs!$B$44),IF(Inputs!$B$39="pvp",MIN((Skills!S14*(1+((Inputs!$B$35+(IF(ArtifactsInput!$M$7,FALSE,TRUE)-ArtifactsInput!$M$7)*CHOOSE(ArtifactsInput!$N$7+1,6,7.2,8.4,9.6,10.8,12))+IF(Inputs!$B$3&gt;=117,F1374,0))/100)),15)/15,(Skills!S14*(1+((Inputs!$B$35+(IF(ArtifactsInput!$M$7,FALSE,TRUE)-ArtifactsInput!$M$7)*CHOOSE(ArtifactsInput!$N$7+1,6,7.2,8.4,9.6,10.8,12))+IF(Inputs!$B$3&gt;=117,F1374,0))/100))/Skills!D14))/100),1)*IF(C1367=TRUE,(1+F1367*IF(AND(Inputs!$B$39&lt;&gt;"pvp",Inputs!$B$44&gt;0),(((R1367-1)*(Skills!S19*(1+((Inputs!$B$35+(IF(ArtifactsInput!$M$7,FALSE,TRUE)-ArtifactsInput!$M$7)*CHOOSE(ArtifactsInput!$N$7+1,6,7.2,8.4,9.6,10.8,12))+IF(Inputs!$B$3&gt;=117,F1374,0))/100))+MIN((Skills!S19*(1+((Inputs!$B$35+(IF(ArtifactsInput!$M$7,FALSE,TRUE)-ArtifactsInput!$M$7)*CHOOSE(ArtifactsInput!$N$7+1,6,7.2,8.4,9.6,10.8,12))+IF(Inputs!$B$3&gt;=117,F1374,0))/100)),MAX(0,Inputs!$B$44-((R1367-1)*Skills!D19))))/Inputs!$B$44),IF(Inputs!$B$39="pvp",MIN((Skills!S19*(1+((Inputs!$B$35+(IF(ArtifactsInput!$M$7,FALSE,TRUE)-ArtifactsInput!$M$7)*CHOOSE(ArtifactsInput!$N$7+1,6,7.2,8.4,9.6,10.8,12))+IF(Inputs!$B$3&gt;=117,F1374,0))/100)),15)/15,(Skills!S19*(1+((Inputs!$B$35+(IF(ArtifactsInput!$M$7,FALSE,TRUE)-ArtifactsInput!$M$7)*CHOOSE(ArtifactsInput!$N$7+1,6,7.2,8.4,9.6,10.8,12))+IF(Inputs!$B$3&gt;=117,F1374,0))/100))/Skills!D19))/100),1)</f>
        <v/>
      </c>
    </row>
    <row r="1378">
      <c r="A1378" t="inlineStr">
        <is>
          <t>Monster Damage Taken Bonus % (Holy Fountain)</t>
        </is>
      </c>
      <c r="B1378">
        <f>IF(Inputs!$B$3&gt;=68,20*IF(Inputs!$B$39="pvp",MIN((15*(1+((Inputs!$B$35+(IF(ArtifactsInput!$M$7,FALSE,TRUE)-ArtifactsInput!$M$7)*CHOOSE(ArtifactsInput!$N$7+1,6,7.2,8.4,9.6,10.8,12))+IF(Inputs!$B$3&gt;=117,F1374,0))/100)),15)/15,(15*(1+((Inputs!$B$35+(IF(ArtifactsInput!$M$7,FALSE,TRUE)-ArtifactsInput!$M$7)*CHOOSE(ArtifactsInput!$N$7+1,6,7.2,8.4,9.6,10.8,12))+IF(Inputs!$B$3&gt;=117,F1374,0))/100))/Skills!D10),0)</f>
        <v/>
      </c>
    </row>
    <row r="1379">
      <c r="A1379" t="inlineStr">
        <is>
          <t>Normal Monster Damage Bonus % (Holy Symbol)</t>
        </is>
      </c>
      <c r="B1379">
        <f>IF(C1360=TRUE,F1360*IF(AND(Inputs!$B$39&lt;&gt;"pvp",Inputs!$B$44&gt;0),(((R1360-1)*(Skills!S12*(1+((Inputs!$B$35+(IF(ArtifactsInput!$M$7,FALSE,TRUE)-ArtifactsInput!$M$7)*CHOOSE(ArtifactsInput!$N$7+1,6,7.2,8.4,9.6,10.8,12))+IF(Inputs!$B$3&gt;=117,F1374,0))/100))+MIN((Skills!S12*(1+((Inputs!$B$35+(IF(ArtifactsInput!$M$7,FALSE,TRUE)-ArtifactsInput!$M$7)*CHOOSE(ArtifactsInput!$N$7+1,6,7.2,8.4,9.6,10.8,12))+IF(Inputs!$B$3&gt;=117,F1374,0))/100)),MAX(0,Inputs!$B$44-((R1360-1)*Skills!D12))))/Inputs!$B$44),IF(Inputs!$B$39="pvp",MIN((Skills!S12*(1+((Inputs!$B$35+(IF(ArtifactsInput!$M$7,FALSE,TRUE)-ArtifactsInput!$M$7)*CHOOSE(ArtifactsInput!$N$7+1,6,7.2,8.4,9.6,10.8,12))+IF(Inputs!$B$3&gt;=117,F1374,0))/100)),15)/15,(Skills!S12*(1+((Inputs!$B$35+(IF(ArtifactsInput!$M$7,FALSE,TRUE)-ArtifactsInput!$M$7)*CHOOSE(ArtifactsInput!$N$7+1,6,7.2,8.4,9.6,10.8,12))+IF(Inputs!$B$3&gt;=117,F1374,0))/100))/Skills!D12)),0)</f>
        <v/>
      </c>
    </row>
    <row r="1380">
      <c r="A1380" t="inlineStr">
        <is>
          <t>Damage % Bonus (Holy Symbol - Damage Boost)</t>
        </is>
      </c>
      <c r="B1380">
        <f>Skills!O12</f>
        <v/>
      </c>
    </row>
    <row r="1381">
      <c r="A1381" t="inlineStr">
        <is>
          <t>Crit Damage % Bonus (Blood of the Divine)</t>
        </is>
      </c>
      <c r="B1381">
        <f>4*IF(C1368=TRUE,F1368,0)</f>
        <v/>
      </c>
    </row>
    <row r="1382">
      <c r="A1382" t="inlineStr">
        <is>
          <t>Attack Speed Bonus %</t>
        </is>
      </c>
      <c r="B1382">
        <f>IF(C1365=TRUE,F1365+(F1369-Calc!F21),0)+IF(Inputs!$B$3&gt;=134,15,0)</f>
        <v/>
      </c>
    </row>
    <row r="1383">
      <c r="A1383" t="inlineStr">
        <is>
          <t>Actions Per Second</t>
        </is>
      </c>
      <c r="B1383">
        <f>1+MIN(150,150*(1-(1-Inputs!$B$12/150)*(1-B1382/150)))/100</f>
        <v/>
      </c>
    </row>
    <row r="1384">
      <c r="A1384" t="inlineStr">
        <is>
          <t>Skill + Buff Cast Rate</t>
        </is>
      </c>
      <c r="B1384">
        <f>IF(AND(Inputs!$B$39&lt;&gt;"pvp",Inputs!$B$44&gt;0),SUMPRODUCT((Skills!E2:E27=TRUE)*(C1350:C1375=TRUE)*R1350:R1375)/Inputs!$B$44,SUMPRODUCT((Skills!E2:E27=TRUE)*(C1350:C1375=TRUE)*Q1350:Q1375))</f>
        <v/>
      </c>
    </row>
    <row r="1385">
      <c r="A1385" t="inlineStr">
        <is>
          <t>Big Bang Casts Per Second</t>
        </is>
      </c>
      <c r="B1385">
        <f>MAX(0,B1383-B1384)</f>
        <v/>
      </c>
    </row>
    <row r="1386">
      <c r="A1386" t="inlineStr">
        <is>
          <t>Defense % Bonus (Divine Protection)</t>
        </is>
      </c>
      <c r="B1386">
        <f>IF(C1361=TRUE,F1361*IF(AND(Inputs!$B$39&lt;&gt;"pvp",Inputs!$B$44&gt;0),(((R1361-1)*(Skills!S13*(1+((Inputs!$B$35+(IF(ArtifactsInput!$M$7,FALSE,TRUE)-ArtifactsInput!$M$7)*CHOOSE(ArtifactsInput!$N$7+1,6,7.2,8.4,9.6,10.8,12))+IF(Inputs!$B$3&gt;=117,F1374,0))/100))+MIN((Skills!S13*(1+((Inputs!$B$35+(IF(ArtifactsInput!$M$7,FALSE,TRUE)-ArtifactsInput!$M$7)*CHOOSE(ArtifactsInput!$N$7+1,6,7.2,8.4,9.6,10.8,12))+IF(Inputs!$B$3&gt;=117,F1374,0))/100)),MAX(0,Inputs!$B$44-((R1361-1)*Skills!D13))))/Inputs!$B$44),IF(Inputs!$B$39="pvp",MIN((Skills!S13*(1+((Inputs!$B$35+(IF(ArtifactsInput!$M$7,FALSE,TRUE)-ArtifactsInput!$M$7)*CHOOSE(ArtifactsInput!$N$7+1,6,7.2,8.4,9.6,10.8,12))+IF(Inputs!$B$3&gt;=117,F1374,0))/100)),15)/15,(Skills!S13*(1+((Inputs!$B$35+(IF(ArtifactsInput!$M$7,FALSE,TRUE)-ArtifactsInput!$M$7)*CHOOSE(ArtifactsInput!$N$7+1,6,7.2,8.4,9.6,10.8,12))+IF(Inputs!$B$3&gt;=117,F1374,0))/100))/Skills!D13)),0)</f>
        <v/>
      </c>
    </row>
    <row r="1387">
      <c r="A1387" t="inlineStr">
        <is>
          <t>Buff-Casting Startup Delay (s, fixed-duration only)</t>
        </is>
      </c>
      <c r="B1387">
        <f>IF(AND(Inputs!$B$39&lt;&gt;"pvp",Inputs!$B$44&gt;0),SUMPRODUCT((Skills!S2:S27&gt;0)*(Skills!E2:E27=TRUE)*(C1350:C1375=TRUE))/B1383,0)</f>
        <v/>
      </c>
    </row>
    <row r="1388">
      <c r="A1388" t="inlineStr">
        <is>
          <t>Boss-Only Total DPS (this block's swept value)</t>
        </is>
      </c>
      <c r="B1388">
        <f>SUM(S1350:S1375)</f>
        <v/>
      </c>
    </row>
    <row r="1389">
      <c r="A1389" t="inlineStr">
        <is>
          <t>Normal-Only Total DPS (this block's swept value)</t>
        </is>
      </c>
      <c r="B1389">
        <f>SUM(U1350:U1375)</f>
        <v/>
      </c>
    </row>
    <row r="1390">
      <c r="A1390" s="6" t="inlineStr">
        <is>
          <t>TOTAL DPS</t>
        </is>
      </c>
      <c r="B1390" s="6">
        <f>SUM(O1350:O1375)</f>
        <v/>
      </c>
    </row>
    <row r="1392">
      <c r="A1392" s="6" t="inlineStr">
        <is>
          <t>Stat: The Contract of Darkness (Equip)</t>
        </is>
      </c>
    </row>
    <row r="1393">
      <c r="A1393" s="5" t="inlineStr">
        <is>
          <t>Key</t>
        </is>
      </c>
      <c r="B1393" s="5" t="inlineStr">
        <is>
          <t>Name</t>
        </is>
      </c>
      <c r="C1393" s="5" t="inlineStr">
        <is>
          <t>Unlocked</t>
        </is>
      </c>
      <c r="D1393" s="5" t="inlineStr">
        <is>
          <t>InputLevel</t>
        </is>
      </c>
      <c r="E1393" s="5" t="inlineStr">
        <is>
          <t>Factor</t>
        </is>
      </c>
      <c r="F1393" s="5" t="inlineStr">
        <is>
          <t>CoefficientPercent</t>
        </is>
      </c>
      <c r="G1393" s="5" t="inlineStr">
        <is>
          <t>EffectiveHits</t>
        </is>
      </c>
      <c r="H1393" s="5" t="inlineStr">
        <is>
          <t>ProcProbability</t>
        </is>
      </c>
      <c r="I1393" s="5" t="inlineStr">
        <is>
          <t>MapleHeroMultiplier</t>
        </is>
      </c>
      <c r="J1393" s="5" t="inlineStr">
        <is>
          <t>BaseDamage</t>
        </is>
      </c>
      <c r="K1393" s="5" t="inlineStr">
        <is>
          <t>BaseHitDamage</t>
        </is>
      </c>
      <c r="L1393" s="5" t="inlineStr">
        <is>
          <t>NonCritAvg</t>
        </is>
      </c>
      <c r="M1393" s="5" t="inlineStr">
        <is>
          <t>CritAvg</t>
        </is>
      </c>
      <c r="N1393" s="5" t="inlineStr">
        <is>
          <t>ExpectedDamage(perHit)</t>
        </is>
      </c>
      <c r="O1393" s="5" t="inlineStr">
        <is>
          <t>DPS</t>
        </is>
      </c>
      <c r="P1393" s="5" t="inlineStr">
        <is>
          <t>% of Total</t>
        </is>
      </c>
      <c r="R1393" t="inlineStr">
        <is>
          <t>helpers</t>
        </is>
      </c>
    </row>
    <row r="1394">
      <c r="A1394">
        <f>Skills!A2</f>
        <v/>
      </c>
      <c r="B1394">
        <f>Skills!B2</f>
        <v/>
      </c>
      <c r="C1394">
        <f>Inputs!$B$3&gt;=100</f>
        <v/>
      </c>
      <c r="D1394" t="inlineStr"/>
      <c r="E1394" t="inlineStr"/>
      <c r="F1394">
        <f>T1396+Skills!N2</f>
        <v/>
      </c>
      <c r="G1394">
        <f>Calc!G2</f>
        <v/>
      </c>
      <c r="H1394">
        <f>Calc!H2</f>
        <v/>
      </c>
      <c r="I1394">
        <f>IF(Skills!T2&lt;&gt;"",1+(Skills!T2/10)*($Z$3/1000)/100,1)</f>
        <v/>
      </c>
      <c r="J1394">
        <f>((Inputs!$B$6*(1+Inputs!$B$7/100))+(((Inputs!$B$13*(1+Inputs!$B$14/100))-(Inputs!$B$13*(1+Inputs!$B$14/100)))+0.25*(Inputs!$B$15-Inputs!$B$15))*(1+Inputs!$B$7/100))*(F1394/100)</f>
        <v/>
      </c>
      <c r="K1394">
        <f>J1394*(1+(((Inputs!$B$13+IF(Inputs!$B$3&gt;=35,(10*INDEX(FactorTable!$B$2:$Y$301,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2="TRIUMPH_FEATHER",IF(C1408=TRUE,F1408,0),0)/100)*(1+IF(C1419=TRUE,F1419,0)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1394)</f>
        <v/>
      </c>
      <c r="L1394">
        <f>K1394*(MIN(Inputs!$B$23+(F1414-Calc!F22),(Inputs!$B$24+IF(ArtifactsInput!$M$15,CHOOSE(ArtifactsInput!$N$15+1,25,30,35,40,45,50)/100*(Inputs!$B$12-Inputs!$B$12),0)))/100+(Inputs!$B$24+IF(ArtifactsInput!$M$15,CHOOSE(ArtifactsInput!$N$15+1,25,30,35,40,45,50)/100*(Inputs!$B$12-Inputs!$B$12),0))/100)/2</f>
        <v/>
      </c>
      <c r="M1394">
        <f>L1394*(1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4">
        <f>L1394*(1-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1394*(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4">
        <f>(1-Summary!$B$11)*S1394+Summary!$B$11*U1394</f>
        <v/>
      </c>
      <c r="P1394">
        <f>IF(B1434=0,0,O1394/B1434)</f>
        <v/>
      </c>
      <c r="Q1394">
        <f>IFERROR(1/(IF(Inputs!$B$39="pvp",15,MAX(0.1,Skills!D2-IF(Skills!E2=TRUE,Inputs!$B$33,0)))*(1-IF(AND(ArtifactsInput!$M$27,Inputs!$B$4="Chapter Hunt"),CHOOSE(ArtifactsInput!$N$27+1,20,24,28,32,36,40),0)/100)),0)</f>
        <v/>
      </c>
      <c r="R1394" t="n">
        <v>0</v>
      </c>
      <c r="S1394">
        <f>IF(C1394,(Skills!F2*N1394*B1429)*IF(Inputs!$B$39="pvp",1,1+(Inputs!$B$21+Skills!O2+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1394*(1-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1394*(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1394*(1-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1394*(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94">
        <f>MAX(0,(Inputs!$B$3-100)*3)+Inputs!$B$29+Inputs!$B$30</f>
        <v/>
      </c>
      <c r="U1394">
        <f>IF(C1394,(Skills!F2*N1394*B1429)*IF(Inputs!$B$39="pvp",1,(1+(Inputs!$B$22+Skills!P2+B1423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5">
      <c r="A1395">
        <f>Skills!A3</f>
        <v/>
      </c>
      <c r="B1395">
        <f>Skills!B3</f>
        <v/>
      </c>
      <c r="C1395">
        <f>Inputs!$B$3&gt;=15</f>
        <v/>
      </c>
      <c r="D1395">
        <f>IF(Skills!C3=1,60+Inputs!$B$26+Inputs!$B$30,IF(Skills!C3=2,90+Inputs!$B$27+Inputs!$B$30,IF(Skills!C3=3,120+Inputs!$B$28+Inputs!$B$30,MAX(0,(Inputs!$B$3-100)*3)+Inputs!$B$29+Inputs!$B$30)))</f>
        <v/>
      </c>
      <c r="E1395">
        <f>INDEX(FactorTable!$B$2:$Y$301, MATCH(ROUND(MIN(300,MAX(1,D1395)),0), FactorTable!$A$2:$A$301,0), Skills!L3+1)</f>
        <v/>
      </c>
      <c r="F1395">
        <f>IF(Skills!M3=TRUE,(Skills!K3/10)*(E1395/1000),Skills!K3/10)+Skills!N3</f>
        <v/>
      </c>
      <c r="G1395">
        <f>Calc!G3</f>
        <v/>
      </c>
      <c r="H1395">
        <f>Calc!H3</f>
        <v/>
      </c>
      <c r="I1395">
        <f>IF(Skills!T3&lt;&gt;"",1+(Skills!T3/10)*($Z$3/1000)/100,1)</f>
        <v/>
      </c>
      <c r="J1395" t="inlineStr"/>
      <c r="K1395" t="inlineStr"/>
      <c r="L1395" t="inlineStr"/>
      <c r="M1395" t="inlineStr"/>
      <c r="N1395" t="inlineStr"/>
      <c r="O1395">
        <f>(1-Summary!$B$11)*S1395+Summary!$B$11*U1395</f>
        <v/>
      </c>
      <c r="P1395">
        <f>IF(B1434=0,0,O1395/B1434)</f>
        <v/>
      </c>
      <c r="Q1395">
        <f>IFERROR(1/(IF(Inputs!$B$39="pvp",15,MAX(0.1,Skills!D3-IF(Skills!E3=TRUE,Inputs!$B$33,0)))*(1-IF(AND(ArtifactsInput!$M$27,Inputs!$B$4="Chapter Hunt"),CHOOSE(ArtifactsInput!$N$27+1,20,24,28,32,36,40),0)/100)),0)</f>
        <v/>
      </c>
      <c r="R1395">
        <f>IF(AND(Inputs!$B$39&lt;&gt;"pvp",Inputs!$B$44&gt;0),IF(Inputs!$B$44&lt;=0,0,(INT(Inputs!$B$44/(IF(Inputs!$B$39="pvp",15,MAX(0.1,Skills!D3-IF(Skills!E3=TRUE,Inputs!$B$33,0)))*(1-IF(AND(ArtifactsInput!$M$27,Inputs!$B$4="Chapter Hunt"),CHOOSE(ArtifactsInput!$N$27+1,20,24,28,32,36,40),0)/100)))+1)),0)</f>
        <v/>
      </c>
      <c r="S1395" t="n">
        <v>0</v>
      </c>
      <c r="T1395">
        <f>INDEX(FactorTable!$B$2:$Y$301, MATCH(ROUND(MIN(300,MAX(1,T1394)),0), FactorTable!$A$2:$A$301,0), 22)</f>
        <v/>
      </c>
      <c r="U1395" t="n">
        <v>0</v>
      </c>
    </row>
    <row r="1396">
      <c r="A1396">
        <f>Skills!A4</f>
        <v/>
      </c>
      <c r="B1396">
        <f>Skills!B4</f>
        <v/>
      </c>
      <c r="C1396">
        <f>Inputs!$B$3&gt;=38</f>
        <v/>
      </c>
      <c r="D1396">
        <f>IF(Skills!C4=1,60+Inputs!$B$26+Inputs!$B$30,IF(Skills!C4=2,90+Inputs!$B$27+Inputs!$B$30,IF(Skills!C4=3,120+Inputs!$B$28+Inputs!$B$30,MAX(0,(Inputs!$B$3-100)*3)+Inputs!$B$29+Inputs!$B$30)))</f>
        <v/>
      </c>
      <c r="E1396">
        <f>INDEX(FactorTable!$B$2:$Y$301, MATCH(ROUND(MIN(300,MAX(1,D1396)),0), FactorTable!$A$2:$A$301,0), Skills!L4+1)</f>
        <v/>
      </c>
      <c r="F1396">
        <f>IF(Skills!M4=TRUE,(Skills!K4/10)*(E1396/1000),Skills!K4/10)+Skills!N4</f>
        <v/>
      </c>
      <c r="G1396">
        <f>Calc!G4</f>
        <v/>
      </c>
      <c r="H1396">
        <f>Calc!H4</f>
        <v/>
      </c>
      <c r="I1396">
        <f>IF(Skills!T4&lt;&gt;"",1+(Skills!T4/10)*($Z$3/1000)/100,1)</f>
        <v/>
      </c>
      <c r="J1396" t="inlineStr"/>
      <c r="K1396" t="inlineStr"/>
      <c r="L1396" t="inlineStr"/>
      <c r="M1396" t="inlineStr"/>
      <c r="N1396" t="inlineStr"/>
      <c r="O1396">
        <f>(1-Summary!$B$11)*S1396+Summary!$B$11*U1396</f>
        <v/>
      </c>
      <c r="P1396">
        <f>IF(B1434=0,0,O1396/B1434)</f>
        <v/>
      </c>
      <c r="Q1396">
        <f>IFERROR(1/(IF(Inputs!$B$39="pvp",15,MAX(0.1,Skills!D4-IF(Skills!E4=TRUE,Inputs!$B$33,0)))*(1-IF(AND(ArtifactsInput!$M$27,Inputs!$B$4="Chapter Hunt"),CHOOSE(ArtifactsInput!$N$27+1,20,24,28,32,36,40),0)/100)),0)</f>
        <v/>
      </c>
      <c r="R1396">
        <f>IF(AND(Inputs!$B$39&lt;&gt;"pvp",Inputs!$B$44&gt;0),IF(Inputs!$B$44&lt;=0,0,(INT(Inputs!$B$44/(IF(Inputs!$B$39="pvp",15,MAX(0.1,Skills!D4-IF(Skills!E4=TRUE,Inputs!$B$33,0)))*(1-IF(AND(ArtifactsInput!$M$27,Inputs!$B$4="Chapter Hunt"),CHOOSE(ArtifactsInput!$N$27+1,20,24,28,32,36,40),0)/100)))+1)),0)</f>
        <v/>
      </c>
      <c r="S1396" t="n">
        <v>0</v>
      </c>
      <c r="T1396">
        <f>290*T1395/1000</f>
        <v/>
      </c>
      <c r="U1396" t="n">
        <v>0</v>
      </c>
    </row>
    <row r="1397">
      <c r="A1397">
        <f>Skills!A5</f>
        <v/>
      </c>
      <c r="B1397">
        <f>Skills!B5</f>
        <v/>
      </c>
      <c r="C1397">
        <f>Inputs!$B$3&gt;=40</f>
        <v/>
      </c>
      <c r="D1397">
        <f>IF(Skills!C5=1,60+Inputs!$B$26+Inputs!$B$30,IF(Skills!C5=2,90+Inputs!$B$27+Inputs!$B$30,IF(Skills!C5=3,120+Inputs!$B$28+Inputs!$B$30,MAX(0,(Inputs!$B$3-100)*3)+Inputs!$B$29+Inputs!$B$30)))</f>
        <v/>
      </c>
      <c r="E1397">
        <f>INDEX(FactorTable!$B$2:$Y$301, MATCH(ROUND(MIN(300,MAX(1,D1397)),0), FactorTable!$A$2:$A$301,0), Skills!L5+1)</f>
        <v/>
      </c>
      <c r="F1397">
        <f>IF(Skills!M5=TRUE,(Skills!K5/10)*(E1397/1000),Skills!K5/10)+Skills!N5</f>
        <v/>
      </c>
      <c r="G1397">
        <f>Calc!G5</f>
        <v/>
      </c>
      <c r="H1397">
        <f>Calc!H5</f>
        <v/>
      </c>
      <c r="I1397">
        <f>IF(Skills!T5&lt;&gt;"",1+(Skills!T5/10)*($Z$3/1000)/100,1)</f>
        <v/>
      </c>
      <c r="J1397" t="inlineStr"/>
      <c r="K1397" t="inlineStr"/>
      <c r="L1397" t="inlineStr"/>
      <c r="M1397" t="inlineStr"/>
      <c r="N1397" t="inlineStr"/>
      <c r="O1397">
        <f>(1-Summary!$B$11)*S1397+Summary!$B$11*U1397</f>
        <v/>
      </c>
      <c r="P1397">
        <f>IF(B1434=0,0,O1397/B1434)</f>
        <v/>
      </c>
      <c r="Q1397">
        <f>IFERROR(1/(IF(Inputs!$B$39="pvp",15,MAX(0.1,Skills!D5-IF(Skills!E5=TRUE,Inputs!$B$33,0)))*(1-IF(AND(ArtifactsInput!$M$27,Inputs!$B$4="Chapter Hunt"),CHOOSE(ArtifactsInput!$N$27+1,20,24,28,32,36,40),0)/100)),0)</f>
        <v/>
      </c>
      <c r="R1397">
        <f>IF(AND(Inputs!$B$39&lt;&gt;"pvp",Inputs!$B$44&gt;0),IF(Inputs!$B$44&lt;=0,0,(INT(Inputs!$B$44/(IF(Inputs!$B$39="pvp",15,MAX(0.1,Skills!D5-IF(Skills!E5=TRUE,Inputs!$B$33,0)))*(1-IF(AND(ArtifactsInput!$M$27,Inputs!$B$4="Chapter Hunt"),CHOOSE(ArtifactsInput!$N$27+1,20,24,28,32,36,40),0)/100)))+1)),0)</f>
        <v/>
      </c>
      <c r="S1397" t="n">
        <v>0</v>
      </c>
      <c r="U1397" t="n">
        <v>0</v>
      </c>
    </row>
    <row r="1398">
      <c r="A1398">
        <f>Skills!A6</f>
        <v/>
      </c>
      <c r="B1398">
        <f>Skills!B6</f>
        <v/>
      </c>
      <c r="C1398">
        <f>Inputs!$B$3&gt;=103</f>
        <v/>
      </c>
      <c r="D1398">
        <f>IF(Skills!C6=1,60+Inputs!$B$26+Inputs!$B$30,IF(Skills!C6=2,90+Inputs!$B$27+Inputs!$B$30,IF(Skills!C6=3,120+Inputs!$B$28+Inputs!$B$30,MAX(0,(Inputs!$B$3-100)*3)+Inputs!$B$29+Inputs!$B$30)))</f>
        <v/>
      </c>
      <c r="E1398">
        <f>INDEX(FactorTable!$B$2:$Y$301, MATCH(ROUND(MIN(300,MAX(1,D1398)),0), FactorTable!$A$2:$A$301,0), Skills!L6+1)</f>
        <v/>
      </c>
      <c r="F1398">
        <f>IF(Skills!M6=TRUE,(Skills!K6/10)*(E1398/1000),Skills!K6/10)+Skills!N6</f>
        <v/>
      </c>
      <c r="G1398">
        <f>Calc!G6</f>
        <v/>
      </c>
      <c r="H1398">
        <f>Calc!H6</f>
        <v/>
      </c>
      <c r="I1398">
        <f>IF(Skills!T6&lt;&gt;"",1+(Skills!T6/10)*($Z$3/1000)/100,1)</f>
        <v/>
      </c>
      <c r="J1398">
        <f>((Inputs!$B$6*(1+Inputs!$B$7/100))+(((Inputs!$B$13*(1+Inputs!$B$14/100))-(Inputs!$B$13*(1+Inputs!$B$14/100)))+0.25*(Inputs!$B$15-Inputs!$B$15))*(1+Inputs!$B$7/100))*(F1398/100)</f>
        <v/>
      </c>
      <c r="K1398">
        <f>J1398*(1+(((Inputs!$B$13+IF(Inputs!$B$3&gt;=35,(10*INDEX(FactorTable!$B$2:$Y$301,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6="TRIUMPH_FEATHER",IF(C1408=TRUE,F1408,0),0)/100)*(1+IF(C1419=TRUE,F1419,0)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1398)</f>
        <v/>
      </c>
      <c r="L1398">
        <f>K1398*(MIN(Inputs!$B$23+(F1414-Calc!F22),(Inputs!$B$24+IF(ArtifactsInput!$M$15,CHOOSE(ArtifactsInput!$N$15+1,25,30,35,40,45,50)/100*(Inputs!$B$12-Inputs!$B$12),0)))/100+(Inputs!$B$24+IF(ArtifactsInput!$M$15,CHOOSE(ArtifactsInput!$N$15+1,25,30,35,40,45,50)/100*(Inputs!$B$12-Inputs!$B$12),0))/100)/2</f>
        <v/>
      </c>
      <c r="M1398">
        <f>L1398*(1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8">
        <f>L1398*(1-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(1-Summary!$B$11)*S1398+Summary!$B$11*U1398</f>
        <v/>
      </c>
      <c r="P1398">
        <f>IF(B1434=0,0,O1398/B1434)</f>
        <v/>
      </c>
      <c r="Q1398">
        <f>IFERROR(1/(IF(Inputs!$B$39="pvp",15,MAX(0.1,Skills!D6-IF(Skills!E6=TRUE,Inputs!$B$33,0)))*(1-IF(AND(ArtifactsInput!$M$27,Inputs!$B$4="Chapter Hunt"),CHOOSE(ArtifactsInput!$N$27+1,20,24,28,32,36,40),0)/100)),0)</f>
        <v/>
      </c>
      <c r="R1398">
        <f>IF(AND(Inputs!$B$39&lt;&gt;"pvp",Inputs!$B$44&gt;0),IF(MAX(0,Inputs!$B$44-B1431)&lt;=0,0,(INT(MAX(0,Inputs!$B$44-B1431)/(IF(Inputs!$B$39="pvp",15,MAX(0.1,Skills!D6-IF(Skills!E6=TRUE,Inputs!$B$33,0)))*(1-IF(AND(ArtifactsInput!$M$27,Inputs!$B$4="Chapter Hunt"),CHOOSE(ArtifactsInput!$N$27+1,20,24,28,32,36,40),0)/100)))+1)),0)</f>
        <v/>
      </c>
      <c r="S1398">
        <f>IF(C1398,(H1398*N1398*IF(AND(Inputs!$B$39&lt;&gt;"pvp",Inputs!$B$44&gt;0),((Skills!F6*((R1398-1)*IF(Skills!G6&gt;0,Skills!H6/Skills!G6,1)+IF(Skills!G6&gt;0,MIN(Skills!H6,MAX(0,MAX(0,Inputs!$B$44-B1431)-((R1398-1)*(IF(Inputs!$B$39="pvp",15,MAX(0.1,Skills!D6-IF(Skills!E6=TRUE,Inputs!$B$33,0)))*(1-IF(AND(ArtifactsInput!$M$27,Inputs!$B$4="Chapter Hunt"),CHOOSE(ArtifactsInput!$N$27+1,20,24,28,32,36,40),0)/100)))))/Skills!G6,1)))/Inputs!$B$44),G1398*Q1398))*IF(Inputs!$B$39="pvp",1,1+(Inputs!$B$21+Skills!O6+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1398*(1-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1398*(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1398*(1-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F(C1398,(H1398*N1398*IF(AND(Inputs!$B$39&lt;&gt;"pvp",Inputs!$B$44&gt;0),((Skills!F6*((R1398-1)*IF(Skills!G6&gt;0,Skills!H6/Skills!G6,1)+IF(Skills!G6&gt;0,MIN(Skills!H6,MAX(0,MAX(0,Inputs!$B$44-B1431)-((R1398-1)*(IF(Inputs!$B$39="pvp",15,MAX(0.1,Skills!D6-IF(Skills!E6=TRUE,Inputs!$B$33,0)))*(1-IF(AND(ArtifactsInput!$M$27,Inputs!$B$4="Chapter Hunt"),CHOOSE(ArtifactsInput!$N$27+1,20,24,28,32,36,40),0)/100)))))/Skills!G6,1)))/Inputs!$B$44),G1398*Q1398))*IF(Inputs!$B$39="pvp",1,(1+(Inputs!$B$22+Skills!P6+B1423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Skills!A7</f>
        <v/>
      </c>
      <c r="B1399">
        <f>Skills!B7</f>
        <v/>
      </c>
      <c r="C1399">
        <f>Inputs!$B$3&gt;=122</f>
        <v/>
      </c>
      <c r="D1399">
        <f>IF(Skills!C7=1,60+Inputs!$B$26+Inputs!$B$30,IF(Skills!C7=2,90+Inputs!$B$27+Inputs!$B$30,IF(Skills!C7=3,120+Inputs!$B$28+Inputs!$B$30,MAX(0,(Inputs!$B$3-100)*3)+Inputs!$B$29+Inputs!$B$30)))</f>
        <v/>
      </c>
      <c r="E1399">
        <f>INDEX(FactorTable!$B$2:$Y$301, MATCH(ROUND(MIN(300,MAX(1,D1399)),0), FactorTable!$A$2:$A$301,0), Skills!L7+1)</f>
        <v/>
      </c>
      <c r="F1399">
        <f>IF(Skills!M7=TRUE,(Skills!K7/10)*(E1399/1000),Skills!K7/10)+Skills!N7</f>
        <v/>
      </c>
      <c r="G1399">
        <f>Calc!G7</f>
        <v/>
      </c>
      <c r="H1399">
        <f>Calc!H7</f>
        <v/>
      </c>
      <c r="I1399">
        <f>IF(Skills!T7&lt;&gt;"",1+(Skills!T7/10)*($Z$3/1000)/100,1)</f>
        <v/>
      </c>
      <c r="J1399">
        <f>((Inputs!$B$6*(1+Inputs!$B$7/100))+(((Inputs!$B$13*(1+Inputs!$B$14/100))-(Inputs!$B$13*(1+Inputs!$B$14/100)))+0.25*(Inputs!$B$15-Inputs!$B$15))*(1+Inputs!$B$7/100))*(F1399/100)</f>
        <v/>
      </c>
      <c r="K1399">
        <f>J1399*(1+(((Inputs!$B$13+IF(Inputs!$B$3&gt;=35,(10*INDEX(FactorTable!$B$2:$Y$301,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7="TRIUMPH_FEATHER",IF(C1408=TRUE,F1408,0),0)/100)*(1+IF(C1419=TRUE,F1419,0)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1399)</f>
        <v/>
      </c>
      <c r="L1399">
        <f>K1399*(MIN(Inputs!$B$23+(F1414-Calc!F22),(Inputs!$B$24+IF(ArtifactsInput!$M$15,CHOOSE(ArtifactsInput!$N$15+1,25,30,35,40,45,50)/100*(Inputs!$B$12-Inputs!$B$12),0)))/100+(Inputs!$B$24+IF(ArtifactsInput!$M$15,CHOOSE(ArtifactsInput!$N$15+1,25,30,35,40,45,50)/100*(Inputs!$B$12-Inputs!$B$12),0))/100)/2</f>
        <v/>
      </c>
      <c r="M1399">
        <f>L1399*(1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9">
        <f>L1399*(1-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(1-Summary!$B$11)*S1399+Summary!$B$11*U1399</f>
        <v/>
      </c>
      <c r="P1399">
        <f>IF(B1434=0,0,O1399/B1434)</f>
        <v/>
      </c>
      <c r="Q1399">
        <f>IFERROR(1/(IF(Inputs!$B$39="pvp",15,MAX(0.1,Skills!D7-IF(Skills!E6=TRUE,Inputs!$B$33,0)))*(1-IF(AND(ArtifactsInput!$M$27,Inputs!$B$4="Chapter Hunt"),CHOOSE(ArtifactsInput!$N$27+1,20,24,28,32,36,40),0)/100)),0)</f>
        <v/>
      </c>
      <c r="R1399">
        <f>IF(AND(Inputs!$B$39&lt;&gt;"pvp",Inputs!$B$44&gt;0),IF(MAX(0,Inputs!$B$44-B1431)&lt;=0,0,(INT(MAX(0,Inputs!$B$44-B1431)/(IF(Inputs!$B$39="pvp",15,MAX(0.1,Skills!D7-IF(Skills!E6=TRUE,Inputs!$B$33,0)))*(1-IF(AND(ArtifactsInput!$M$27,Inputs!$B$4="Chapter Hunt"),CHOOSE(ArtifactsInput!$N$27+1,20,24,28,32,36,40),0)/100)))+1)),0)</f>
        <v/>
      </c>
      <c r="S1399">
        <f>IF(C1399,H1399*N1399*IF(AND(Inputs!$B$39&lt;&gt;"pvp",Inputs!$B$44&gt;0),((Skills!F7*((R1399-1)*IF(Skills!G7&gt;0,Skills!H7/Skills!G7,1)+IF(Skills!G7&gt;0,MIN(Skills!H7,MAX(0,MAX(0,Inputs!$B$44-B1431)-((R1399-1)*(IF(Inputs!$B$39="pvp",15,MAX(0.1,Skills!D7-IF(Skills!E6=TRUE,Inputs!$B$33,0)))*(1-IF(AND(ArtifactsInput!$M$27,Inputs!$B$4="Chapter Hunt"),CHOOSE(ArtifactsInput!$N$27+1,20,24,28,32,36,40),0)/100)))))/Skills!G7,1)))/Inputs!$B$44),G1399*Q1399)*IF(Inputs!$B$39="pvp",1,1+(Inputs!$B$21+Skills!O7+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1399*(1-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1399*(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1399*(1-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t="n">
        <v>0</v>
      </c>
    </row>
    <row r="1400">
      <c r="A1400">
        <f>Skills!A8</f>
        <v/>
      </c>
      <c r="B1400">
        <f>Skills!B8</f>
        <v/>
      </c>
      <c r="C1400">
        <f>Inputs!$B$3&gt;=105</f>
        <v/>
      </c>
      <c r="D1400">
        <f>IF(Skills!C8=1,60+Inputs!$B$26+Inputs!$B$30,IF(Skills!C8=2,90+Inputs!$B$27+Inputs!$B$30,IF(Skills!C8=3,120+Inputs!$B$28+Inputs!$B$30,MAX(0,(Inputs!$B$3-100)*3)+Inputs!$B$29+Inputs!$B$30)))</f>
        <v/>
      </c>
      <c r="E1400">
        <f>INDEX(FactorTable!$B$2:$Y$301, MATCH(ROUND(MIN(300,MAX(1,D1400)),0), FactorTable!$A$2:$A$301,0), Skills!L8+1)</f>
        <v/>
      </c>
      <c r="F1400">
        <f>IF(Skills!M8=TRUE,(Skills!K8/10)*(E1400/1000),Skills!K8/10)+Skills!N8</f>
        <v/>
      </c>
      <c r="G1400">
        <f>Calc!G8</f>
        <v/>
      </c>
      <c r="H1400">
        <f>Calc!H8</f>
        <v/>
      </c>
      <c r="I1400">
        <f>IF(Skills!T8&lt;&gt;"",1+(Skills!T8/10)*($Z$3/1000)/100,1)</f>
        <v/>
      </c>
      <c r="J1400">
        <f>((Inputs!$B$6*(1+Inputs!$B$7/100))+(((Inputs!$B$13*(1+Inputs!$B$14/100))-(Inputs!$B$13*(1+Inputs!$B$14/100)))+0.25*(Inputs!$B$15-Inputs!$B$15))*(1+Inputs!$B$7/100))*(F1400/100)</f>
        <v/>
      </c>
      <c r="K1400">
        <f>J1400*(1+(((Inputs!$B$13+IF(Inputs!$B$3&gt;=35,(10*INDEX(FactorTable!$B$2:$Y$301,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8="TRIUMPH_FEATHER",IF(C1408=TRUE,F1408,0),0)/100)*(1+IF(C1419=TRUE,F1419,0)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1400)</f>
        <v/>
      </c>
      <c r="L1400">
        <f>K1400*(MIN(Inputs!$B$23+(F1414-Calc!F22),(Inputs!$B$24+IF(ArtifactsInput!$M$15,CHOOSE(ArtifactsInput!$N$15+1,25,30,35,40,45,50)/100*(Inputs!$B$12-Inputs!$B$12),0)))/100+(Inputs!$B$24+IF(ArtifactsInput!$M$15,CHOOSE(ArtifactsInput!$N$15+1,25,30,35,40,45,50)/100*(Inputs!$B$12-Inputs!$B$12),0))/100)/2</f>
        <v/>
      </c>
      <c r="M1400">
        <f>L1400*(1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00">
        <f>L1400*(1-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(1-Summary!$B$11)*S1400+Summary!$B$11*U1400</f>
        <v/>
      </c>
      <c r="P1400">
        <f>IF(B1434=0,0,O1400/B1434)</f>
        <v/>
      </c>
      <c r="Q1400">
        <f>IFERROR(1/(IF(Inputs!$B$39="pvp",15,MAX(0.1,Skills!D8-IF(Skills!E8=TRUE,Inputs!$B$33,0)))*(1-IF(AND(ArtifactsInput!$M$27,Inputs!$B$4="Chapter Hunt"),CHOOSE(ArtifactsInput!$N$27+1,20,24,28,32,36,40),0)/100)),0)</f>
        <v/>
      </c>
      <c r="R1400">
        <f>IF(AND(Inputs!$B$39&lt;&gt;"pvp",Inputs!$B$44&gt;0),IF(MAX(0,Inputs!$B$44-B1431)&lt;=0,0,(INT(MAX(0,Inputs!$B$44-B1431)/(IF(Inputs!$B$39="pvp",15,MAX(0.1,Skills!D8-IF(Skills!E8=TRUE,Inputs!$B$33,0)))*(1-IF(AND(ArtifactsInput!$M$27,Inputs!$B$4="Chapter Hunt"),CHOOSE(ArtifactsInput!$N$27+1,20,24,28,32,36,40),0)/100)))+1)),0)</f>
        <v/>
      </c>
      <c r="S1400">
        <f>IF(C1400,(H1400*N1400*IF(AND(Inputs!$B$39&lt;&gt;"pvp",Inputs!$B$44&gt;0),((Skills!F8*((R1400-1)*IF(Skills!G8&gt;0,Skills!H8/Skills!G8,1)+IF(Skills!G8&gt;0,MIN(Skills!H8,MAX(0,MAX(0,Inputs!$B$44-B1431)-((R1400-1)*(IF(Inputs!$B$39="pvp",15,MAX(0.1,Skills!D8-IF(Skills!E8=TRUE,Inputs!$B$33,0)))*(1-IF(AND(ArtifactsInput!$M$27,Inputs!$B$4="Chapter Hunt"),CHOOSE(ArtifactsInput!$N$27+1,20,24,28,32,36,40),0)/100)))))/Skills!G8,1)))/Inputs!$B$44),G1400*Q1400))*IF(Inputs!$B$39="pvp",1,1+(Inputs!$B$21+Skills!O8+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1400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1400*(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1400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F(C1400,(H1400*N1400*IF(AND(Inputs!$B$39&lt;&gt;"pvp",Inputs!$B$44&gt;0),((Skills!F8*((R1400-1)*IF(Skills!G8&gt;0,Skills!H8/Skills!G8,1)+IF(Skills!G8&gt;0,MIN(Skills!H8,MAX(0,MAX(0,Inputs!$B$44-B1431)-((R1400-1)*(IF(Inputs!$B$39="pvp",15,MAX(0.1,Skills!D8-IF(Skills!E8=TRUE,Inputs!$B$33,0)))*(1-IF(AND(ArtifactsInput!$M$27,Inputs!$B$4="Chapter Hunt"),CHOOSE(ArtifactsInput!$N$27+1,20,24,28,32,36,40),0)/100)))))/Skills!G8,1)))/Inputs!$B$44),G1400*Q1400))*IF(Inputs!$B$39="pvp",1,(1+(Inputs!$B$22+Skills!P8+B1423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Skills!A9</f>
        <v/>
      </c>
      <c r="B1401">
        <f>Skills!B9</f>
        <v/>
      </c>
      <c r="C1401">
        <f>Inputs!$B$3&gt;=115</f>
        <v/>
      </c>
      <c r="D1401">
        <f>IF(Skills!C9=1,60+Inputs!$B$26+Inputs!$B$30,IF(Skills!C9=2,90+Inputs!$B$27+Inputs!$B$30,IF(Skills!C9=3,120+Inputs!$B$28+Inputs!$B$30,MAX(0,(Inputs!$B$3-100)*3)+Inputs!$B$29+Inputs!$B$30)))</f>
        <v/>
      </c>
      <c r="E1401">
        <f>INDEX(FactorTable!$B$2:$Y$301, MATCH(ROUND(MIN(300,MAX(1,D1401)),0), FactorTable!$A$2:$A$301,0), Skills!L9+1)</f>
        <v/>
      </c>
      <c r="F1401">
        <f>IF(Skills!M9=TRUE,(Skills!K9/10)*(E1401/1000),Skills!K9/10)+Skills!N9</f>
        <v/>
      </c>
      <c r="G1401">
        <f>Calc!G9</f>
        <v/>
      </c>
      <c r="H1401">
        <f>Calc!H9</f>
        <v/>
      </c>
      <c r="I1401">
        <f>IF(Skills!T9&lt;&gt;"",1+(Skills!T9/10)*($Z$3/1000)/100,1)</f>
        <v/>
      </c>
      <c r="J1401">
        <f>((Inputs!$B$6*(1+Inputs!$B$7/100))+(((Inputs!$B$13*(1+Inputs!$B$14/100))-(Inputs!$B$13*(1+Inputs!$B$14/100)))+0.25*(Inputs!$B$15-Inputs!$B$15))*(1+Inputs!$B$7/100))*(F1401/100)</f>
        <v/>
      </c>
      <c r="K1401">
        <f>J1401*(1+(((Inputs!$B$13+IF(Inputs!$B$3&gt;=35,(10*INDEX(FactorTable!$B$2:$Y$301,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9="TRIUMPH_FEATHER",IF(C1408=TRUE,F1408,0),0)/100)*(1+IF(C1419=TRUE,F1419,0)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1401)</f>
        <v/>
      </c>
      <c r="L1401">
        <f>K1401*(MIN(Inputs!$B$23+(F1414-Calc!F22),(Inputs!$B$24+IF(ArtifactsInput!$M$15,CHOOSE(ArtifactsInput!$N$15+1,25,30,35,40,45,50)/100*(Inputs!$B$12-Inputs!$B$12),0)))/100+(Inputs!$B$24+IF(ArtifactsInput!$M$15,CHOOSE(ArtifactsInput!$N$15+1,25,30,35,40,45,50)/100*(Inputs!$B$12-Inputs!$B$12),0))/100)/2</f>
        <v/>
      </c>
      <c r="M1401">
        <f>L1401*(1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01">
        <f>L1401*(1-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1">
        <f>(1-Summary!$B$11)*S1401+Summary!$B$11*U1401</f>
        <v/>
      </c>
      <c r="P1401">
        <f>IF(B1434=0,0,O1401/B1434)</f>
        <v/>
      </c>
      <c r="Q1401">
        <f>IFERROR(1/(IF(Inputs!$B$39="pvp",15,MAX(0.1,Skills!D9-IF(Skills!E9=TRUE,Inputs!$B$33,0)))*(1-IF(AND(ArtifactsInput!$M$27,Inputs!$B$4="Chapter Hunt"),CHOOSE(ArtifactsInput!$N$27+1,20,24,28,32,36,40),0)/100)),0)</f>
        <v/>
      </c>
      <c r="R1401">
        <f>IF(AND(Inputs!$B$39&lt;&gt;"pvp",Inputs!$B$44&gt;0),IF(MAX(0,Inputs!$B$44-B1431)&lt;=0,0,(INT(MAX(0,Inputs!$B$44-B1431)/(IF(Inputs!$B$39="pvp",15,MAX(0.1,Skills!D9-IF(Skills!E9=TRUE,Inputs!$B$33,0)))*(1-IF(AND(ArtifactsInput!$M$27,Inputs!$B$4="Chapter Hunt"),CHOOSE(ArtifactsInput!$N$27+1,20,24,28,32,36,40),0)/100)))+1)),0)</f>
        <v/>
      </c>
      <c r="S1401">
        <f>IF(C1401,(H1401*N1401*IF(AND(Inputs!$B$39&lt;&gt;"pvp",Inputs!$B$44&gt;0),((Skills!F9*((R1401-1)*IF(Skills!G9&gt;0,Skills!H9/Skills!G9,1)+IF(Skills!G9&gt;0,MIN(Skills!H9,MAX(0,MAX(0,Inputs!$B$44-B1431)-((R1401-1)*(IF(Inputs!$B$39="pvp",15,MAX(0.1,Skills!D9-IF(Skills!E9=TRUE,Inputs!$B$33,0)))*(1-IF(AND(ArtifactsInput!$M$27,Inputs!$B$4="Chapter Hunt"),CHOOSE(ArtifactsInput!$N$27+1,20,24,28,32,36,40),0)/100)))))/Skills!G9,1)))/Inputs!$B$44),G1401*Q1401))*IF(Inputs!$B$39="pvp",1,1+(Inputs!$B$21+Skills!O9+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1401*(1-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1401*(1-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1">
        <f>IF(C1401,(H1401*N1401*IF(AND(Inputs!$B$39&lt;&gt;"pvp",Inputs!$B$44&gt;0),((Skills!F9*((R1401-1)*IF(Skills!G9&gt;0,Skills!H9/Skills!G9,1)+IF(Skills!G9&gt;0,MIN(Skills!H9,MAX(0,MAX(0,Inputs!$B$44-B1431)-((R1401-1)*(IF(Inputs!$B$39="pvp",15,MAX(0.1,Skills!D9-IF(Skills!E9=TRUE,Inputs!$B$33,0)))*(1-IF(AND(ArtifactsInput!$M$27,Inputs!$B$4="Chapter Hunt"),CHOOSE(ArtifactsInput!$N$27+1,20,24,28,32,36,40),0)/100)))))/Skills!G9,1)))/Inputs!$B$44),G1401*Q1401))*IF(Inputs!$B$39="pvp",1,(1+(Inputs!$B$22+Skills!P9+B1423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2">
      <c r="A1402">
        <f>Skills!A10</f>
        <v/>
      </c>
      <c r="B1402">
        <f>Skills!B10</f>
        <v/>
      </c>
      <c r="C1402">
        <f>Inputs!$B$3&gt;=66</f>
        <v/>
      </c>
      <c r="D1402">
        <f>IF(Skills!C10=1,60+Inputs!$B$26+Inputs!$B$30,IF(Skills!C10=2,90+Inputs!$B$27+Inputs!$B$30,IF(Skills!C10=3,120+Inputs!$B$28+Inputs!$B$30,MAX(0,(Inputs!$B$3-100)*3)+Inputs!$B$29+Inputs!$B$30)))</f>
        <v/>
      </c>
      <c r="E1402">
        <f>INDEX(FactorTable!$B$2:$Y$301, MATCH(ROUND(MIN(300,MAX(1,D1402)),0), FactorTable!$A$2:$A$301,0), Skills!L10+1)</f>
        <v/>
      </c>
      <c r="F1402" t="n">
        <v>0</v>
      </c>
      <c r="G1402">
        <f>Calc!G10</f>
        <v/>
      </c>
      <c r="H1402">
        <f>Calc!H10</f>
        <v/>
      </c>
      <c r="I1402">
        <f>IF(Skills!T10&lt;&gt;"",1+(Skills!T10/10)*($Z$3/1000)/100,1)</f>
        <v/>
      </c>
      <c r="J1402" t="inlineStr"/>
      <c r="K1402" t="inlineStr"/>
      <c r="L1402" t="inlineStr"/>
      <c r="M1402" t="inlineStr"/>
      <c r="N1402" t="inlineStr"/>
      <c r="O1402">
        <f>(1-Summary!$B$11)*S1402+Summary!$B$11*U1402</f>
        <v/>
      </c>
      <c r="P1402">
        <f>IF(B1434=0,0,O1402/B1434)</f>
        <v/>
      </c>
      <c r="Q1402">
        <f>IFERROR(1/(IF(Inputs!$B$39="pvp",15,MAX(0.1,Skills!D10-IF(Skills!E10=TRUE,Inputs!$B$33,0)))*(1-IF(AND(ArtifactsInput!$M$27,Inputs!$B$4="Chapter Hunt"),CHOOSE(ArtifactsInput!$N$27+1,20,24,28,32,36,40),0)/100)),0)</f>
        <v/>
      </c>
      <c r="R1402">
        <f>IF(AND(Inputs!$B$39&lt;&gt;"pvp",Inputs!$B$44&gt;0),IF(MAX(0,Inputs!$B$44-B1431)&lt;=0,0,(INT(MAX(0,Inputs!$B$44-B1431)/(IF(Inputs!$B$39="pvp",15,MAX(0.1,Skills!D10-IF(Skills!E10=TRUE,Inputs!$B$33,0)))*(1-IF(AND(ArtifactsInput!$M$27,Inputs!$B$4="Chapter Hunt"),CHOOSE(ArtifactsInput!$N$27+1,20,24,28,32,36,40),0)/100)))+1)),0)</f>
        <v/>
      </c>
      <c r="S1402" t="n">
        <v>0</v>
      </c>
      <c r="U1402" t="n">
        <v>0</v>
      </c>
    </row>
    <row r="1403">
      <c r="A1403">
        <f>Skills!A11</f>
        <v/>
      </c>
      <c r="B1403">
        <f>Skills!B11</f>
        <v/>
      </c>
      <c r="C1403">
        <f>Inputs!$B$3&gt;=69</f>
        <v/>
      </c>
      <c r="D1403">
        <f>IF(Skills!C11=1,60+Inputs!$B$26+Inputs!$B$30,IF(Skills!C11=2,90+Inputs!$B$27+Inputs!$B$30,IF(Skills!C11=3,120+Inputs!$B$28+Inputs!$B$30,MAX(0,(Inputs!$B$3-100)*3)+Inputs!$B$29+Inputs!$B$30)))</f>
        <v/>
      </c>
      <c r="E1403">
        <f>INDEX(FactorTable!$B$2:$Y$301, MATCH(ROUND(MIN(300,MAX(1,D1403)),0), FactorTable!$A$2:$A$301,0), Skills!L11+1)</f>
        <v/>
      </c>
      <c r="F1403">
        <f>IF(Skills!M11=TRUE,(Skills!K11/10)*(E1403/1000),Skills!K11/10)+Skills!N11</f>
        <v/>
      </c>
      <c r="G1403">
        <f>Calc!G11</f>
        <v/>
      </c>
      <c r="H1403">
        <f>Calc!H11</f>
        <v/>
      </c>
      <c r="I1403">
        <f>IF(Skills!T11&lt;&gt;"",1+(Skills!T11/10)*($Z$3/1000)/100,1)</f>
        <v/>
      </c>
      <c r="J1403" t="inlineStr"/>
      <c r="K1403" t="inlineStr"/>
      <c r="L1403" t="inlineStr"/>
      <c r="M1403" t="inlineStr"/>
      <c r="N1403" t="inlineStr"/>
      <c r="O1403">
        <f>(1-Summary!$B$11)*S1403+Summary!$B$11*U1403</f>
        <v/>
      </c>
      <c r="P1403">
        <f>IF(B1434=0,0,O1403/B1434)</f>
        <v/>
      </c>
      <c r="Q1403">
        <f>IFERROR(1/(IF(Inputs!$B$39="pvp",15,MAX(0.1,Skills!D11-IF(Skills!E11=TRUE,Inputs!$B$33,0)))*(1-IF(AND(ArtifactsInput!$M$27,Inputs!$B$4="Chapter Hunt"),CHOOSE(ArtifactsInput!$N$27+1,20,24,28,32,36,40),0)/100)),0)</f>
        <v/>
      </c>
      <c r="R1403">
        <f>IF(AND(Inputs!$B$39&lt;&gt;"pvp",Inputs!$B$44&gt;0),IF(Inputs!$B$44&lt;=0,0,(INT(Inputs!$B$44/(IF(Inputs!$B$39="pvp",15,MAX(0.1,Skills!D11-IF(Skills!E11=TRUE,Inputs!$B$33,0)))*(1-IF(AND(ArtifactsInput!$M$27,Inputs!$B$4="Chapter Hunt"),CHOOSE(ArtifactsInput!$N$27+1,20,24,28,32,36,40),0)/100)))+1)),0)</f>
        <v/>
      </c>
      <c r="S1403" t="n">
        <v>0</v>
      </c>
      <c r="U1403" t="n">
        <v>0</v>
      </c>
    </row>
    <row r="1404">
      <c r="A1404">
        <f>Skills!A12</f>
        <v/>
      </c>
      <c r="B1404">
        <f>Skills!B12</f>
        <v/>
      </c>
      <c r="C1404">
        <f>Inputs!$B$3&gt;=72</f>
        <v/>
      </c>
      <c r="D1404">
        <f>IF(Skills!C12=1,60+Inputs!$B$26+Inputs!$B$30,IF(Skills!C12=2,90+Inputs!$B$27+Inputs!$B$30,IF(Skills!C12=3,120+Inputs!$B$28+Inputs!$B$30,MAX(0,(Inputs!$B$3-100)*3)+Inputs!$B$29+Inputs!$B$30)))</f>
        <v/>
      </c>
      <c r="E1404">
        <f>INDEX(FactorTable!$B$2:$Y$301, MATCH(ROUND(MIN(300,MAX(1,D1404)),0), FactorTable!$A$2:$A$301,0), Skills!L12+1)</f>
        <v/>
      </c>
      <c r="F1404">
        <f>IF(Skills!M12=TRUE,(Skills!K12/10)*(E1404/1000),Skills!K12/10)+Skills!N12</f>
        <v/>
      </c>
      <c r="G1404">
        <f>Calc!G12</f>
        <v/>
      </c>
      <c r="H1404">
        <f>Calc!H12</f>
        <v/>
      </c>
      <c r="I1404">
        <f>IF(Skills!T12&lt;&gt;"",1+(Skills!T12/10)*($Z$3/1000)/100,1)</f>
        <v/>
      </c>
      <c r="J1404" t="inlineStr"/>
      <c r="K1404" t="inlineStr"/>
      <c r="L1404" t="inlineStr"/>
      <c r="M1404" t="inlineStr"/>
      <c r="N1404" t="inlineStr"/>
      <c r="O1404">
        <f>(1-Summary!$B$11)*S1404+Summary!$B$11*U1404</f>
        <v/>
      </c>
      <c r="P1404">
        <f>IF(B1434=0,0,O1404/B1434)</f>
        <v/>
      </c>
      <c r="Q1404">
        <f>IFERROR(1/(IF(Inputs!$B$39="pvp",15,MAX(0.1,Skills!D12-IF(Skills!E12=TRUE,Inputs!$B$33,0)))*(1-IF(AND(ArtifactsInput!$M$27,Inputs!$B$4="Chapter Hunt"),CHOOSE(ArtifactsInput!$N$27+1,20,24,28,32,36,40),0)/100)),0)</f>
        <v/>
      </c>
      <c r="R1404">
        <f>IF(AND(Inputs!$B$39&lt;&gt;"pvp",Inputs!$B$44&gt;0),IF(MAX(0,Inputs!$B$44-B1431)&lt;=0,0,(INT(MAX(0,Inputs!$B$44-B1431)/(IF(Inputs!$B$39="pvp",15,MAX(0.1,Skills!D12-IF(Skills!E12=TRUE,Inputs!$B$33,0)))*(1-IF(AND(ArtifactsInput!$M$27,Inputs!$B$4="Chapter Hunt"),CHOOSE(ArtifactsInput!$N$27+1,20,24,28,32,36,40),0)/100)))+1)),0)</f>
        <v/>
      </c>
      <c r="S1404" t="n">
        <v>0</v>
      </c>
      <c r="U1404" t="n">
        <v>0</v>
      </c>
    </row>
    <row r="1405">
      <c r="A1405">
        <f>Skills!A13</f>
        <v/>
      </c>
      <c r="B1405">
        <f>Skills!B13</f>
        <v/>
      </c>
      <c r="C1405">
        <f>Inputs!$B$3&gt;=60</f>
        <v/>
      </c>
      <c r="D1405">
        <f>IF(Skills!C13=1,60+Inputs!$B$26+Inputs!$B$30,IF(Skills!C13=2,90+Inputs!$B$27+Inputs!$B$30,IF(Skills!C13=3,120+Inputs!$B$28+Inputs!$B$30,MAX(0,(Inputs!$B$3-100)*3)+Inputs!$B$29+Inputs!$B$30)))</f>
        <v/>
      </c>
      <c r="E1405">
        <f>INDEX(FactorTable!$B$2:$Y$301, MATCH(ROUND(MIN(300,MAX(1,D1405)),0), FactorTable!$A$2:$A$301,0), Skills!L13+1)</f>
        <v/>
      </c>
      <c r="F1405">
        <f>IF(Skills!M13=TRUE,(Skills!K13/10)*(E1405/1000),Skills!K13/10)+Skills!N13</f>
        <v/>
      </c>
      <c r="G1405">
        <f>Calc!G13</f>
        <v/>
      </c>
      <c r="H1405">
        <f>Calc!H13</f>
        <v/>
      </c>
      <c r="I1405">
        <f>IF(Skills!T13&lt;&gt;"",1+(Skills!T13/10)*($Z$3/1000)/100,1)</f>
        <v/>
      </c>
      <c r="J1405" t="inlineStr"/>
      <c r="K1405" t="inlineStr"/>
      <c r="L1405" t="inlineStr"/>
      <c r="M1405" t="inlineStr"/>
      <c r="N1405" t="inlineStr"/>
      <c r="O1405">
        <f>(1-Summary!$B$11)*S1405+Summary!$B$11*U1405</f>
        <v/>
      </c>
      <c r="P1405">
        <f>IF(B1434=0,0,O1405/B1434)</f>
        <v/>
      </c>
      <c r="Q1405">
        <f>IFERROR(1/(IF(Inputs!$B$39="pvp",15,MAX(0.1,Skills!D13-IF(Skills!E13=TRUE,Inputs!$B$33,0)))*(1-IF(AND(ArtifactsInput!$M$27,Inputs!$B$4="Chapter Hunt"),CHOOSE(ArtifactsInput!$N$27+1,20,24,28,32,36,40),0)/100)),0)</f>
        <v/>
      </c>
      <c r="R1405">
        <f>IF(AND(Inputs!$B$39&lt;&gt;"pvp",Inputs!$B$44&gt;0),IF(MAX(0,Inputs!$B$44-B1431)&lt;=0,0,(INT(MAX(0,Inputs!$B$44-B1431)/(IF(Inputs!$B$39="pvp",15,MAX(0.1,Skills!D13-IF(Skills!E13=TRUE,Inputs!$B$33,0)))*(1-IF(AND(ArtifactsInput!$M$27,Inputs!$B$4="Chapter Hunt"),CHOOSE(ArtifactsInput!$N$27+1,20,24,28,32,36,40),0)/100)))+1)),0)</f>
        <v/>
      </c>
      <c r="S1405" t="n">
        <v>0</v>
      </c>
      <c r="U1405" t="n">
        <v>0</v>
      </c>
    </row>
    <row r="1406">
      <c r="A1406">
        <f>Skills!A14</f>
        <v/>
      </c>
      <c r="B1406">
        <f>Skills!B14</f>
        <v/>
      </c>
      <c r="C1406">
        <f>Inputs!$B$3&gt;=107</f>
        <v/>
      </c>
      <c r="D1406">
        <f>IF(Skills!C14=1,60+Inputs!$B$26+Inputs!$B$30,IF(Skills!C14=2,90+Inputs!$B$27+Inputs!$B$30,IF(Skills!C14=3,120+Inputs!$B$28+Inputs!$B$30,MAX(0,(Inputs!$B$3-100)*3)+Inputs!$B$29+Inputs!$B$30)))</f>
        <v/>
      </c>
      <c r="E1406">
        <f>INDEX(FactorTable!$B$2:$Y$301, MATCH(ROUND(MIN(300,MAX(1,D1406)),0), FactorTable!$A$2:$A$301,0), Skills!L14+1)</f>
        <v/>
      </c>
      <c r="F1406">
        <f>IF(Skills!M14=TRUE,(Skills!K14/10)*(E1406/1000),Skills!K14/10)+Skills!N14</f>
        <v/>
      </c>
      <c r="G1406">
        <f>Calc!G14</f>
        <v/>
      </c>
      <c r="H1406">
        <f>Calc!H14</f>
        <v/>
      </c>
      <c r="I1406">
        <f>IF(Skills!T14&lt;&gt;"",1+(Skills!T14/10)*($Z$3/1000)/100,1)</f>
        <v/>
      </c>
      <c r="J1406" t="inlineStr"/>
      <c r="K1406" t="inlineStr"/>
      <c r="L1406" t="inlineStr"/>
      <c r="M1406" t="inlineStr"/>
      <c r="N1406" t="inlineStr"/>
      <c r="O1406">
        <f>(1-Summary!$B$11)*S1406+Summary!$B$11*U1406</f>
        <v/>
      </c>
      <c r="P1406">
        <f>IF(B1434=0,0,O1406/B1434)</f>
        <v/>
      </c>
      <c r="Q1406">
        <f>IFERROR(1/(IF(Inputs!$B$39="pvp",15,MAX(0.1,Skills!D14-IF(Skills!E14=TRUE,Inputs!$B$33,0)))*(1-IF(AND(ArtifactsInput!$M$27,Inputs!$B$4="Chapter Hunt"),CHOOSE(ArtifactsInput!$N$27+1,20,24,28,32,36,40),0)/100)),0)</f>
        <v/>
      </c>
      <c r="R1406">
        <f>IF(AND(Inputs!$B$39&lt;&gt;"pvp",Inputs!$B$44&gt;0),IF(Inputs!$B$44&lt;=0,0,(INT(Inputs!$B$44/(IF(Inputs!$B$39="pvp",15,MAX(0.1,Skills!D14-IF(Skills!E14=TRUE,Inputs!$B$33,0)))*(1-IF(AND(ArtifactsInput!$M$27,Inputs!$B$4="Chapter Hunt"),CHOOSE(ArtifactsInput!$N$27+1,20,24,28,32,36,40),0)/100)))+1)),0)</f>
        <v/>
      </c>
      <c r="S1406" t="n">
        <v>0</v>
      </c>
      <c r="U1406" t="n">
        <v>0</v>
      </c>
    </row>
    <row r="1407">
      <c r="A1407">
        <f>Skills!A15</f>
        <v/>
      </c>
      <c r="B1407">
        <f>Skills!B15</f>
        <v/>
      </c>
      <c r="C1407">
        <f>Inputs!$B$3&gt;=63</f>
        <v/>
      </c>
      <c r="D1407">
        <f>IF(Skills!C15=1,60+Inputs!$B$26+Inputs!$B$30,IF(Skills!C15=2,90+Inputs!$B$27+Inputs!$B$30,IF(Skills!C15=3,120+Inputs!$B$28+Inputs!$B$30,MAX(0,(Inputs!$B$3-100)*3)+Inputs!$B$29+Inputs!$B$30)))</f>
        <v/>
      </c>
      <c r="E1407">
        <f>INDEX(FactorTable!$B$2:$Y$301, MATCH(ROUND(MIN(300,MAX(1,D1407)),0), FactorTable!$A$2:$A$301,0), Skills!L15+1)</f>
        <v/>
      </c>
      <c r="F1407">
        <f>IF(Skills!M15=TRUE,(Skills!K15/10)*(E1407/1000),Skills!K15/10)+Skills!N15</f>
        <v/>
      </c>
      <c r="G1407">
        <f>Calc!G15</f>
        <v/>
      </c>
      <c r="H1407">
        <f>Calc!H15</f>
        <v/>
      </c>
      <c r="I1407">
        <f>IF(Skills!T15&lt;&gt;"",1+(Skills!T15/10)*($Z$3/1000)/100,1)</f>
        <v/>
      </c>
      <c r="J1407">
        <f>((Inputs!$B$6*(1+Inputs!$B$7/100))+(((Inputs!$B$13*(1+Inputs!$B$14/100))-(Inputs!$B$13*(1+Inputs!$B$14/100)))+0.25*(Inputs!$B$15-Inputs!$B$15))*(1+Inputs!$B$7/100))*(F1407/100)</f>
        <v/>
      </c>
      <c r="K1407">
        <f>J1407*(1+(((Inputs!$B$13+IF(Inputs!$B$3&gt;=35,(10*INDEX(FactorTable!$B$2:$Y$301,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15="TRIUMPH_FEATHER",IF(C1408=TRUE,F1408,0),0)/100)*(1+IF(C1419=TRUE,F1419,0)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1407)</f>
        <v/>
      </c>
      <c r="L1407">
        <f>K1407*(MIN(Inputs!$B$23+(F1414-Calc!F22),(Inputs!$B$24+IF(ArtifactsInput!$M$15,CHOOSE(ArtifactsInput!$N$15+1,25,30,35,40,45,50)/100*(Inputs!$B$12-Inputs!$B$12),0)))/100+(Inputs!$B$24+IF(ArtifactsInput!$M$15,CHOOSE(ArtifactsInput!$N$15+1,25,30,35,40,45,50)/100*(Inputs!$B$12-Inputs!$B$12),0))/100)/2</f>
        <v/>
      </c>
      <c r="M1407">
        <f>L1407*(1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07">
        <f>L1407*(1-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(1-Summary!$B$11)*S1407+Summary!$B$11*U1407</f>
        <v/>
      </c>
      <c r="P1407">
        <f>IF(B1434=0,0,O1407/B1434)</f>
        <v/>
      </c>
      <c r="Q1407">
        <f>IFERROR(1/(IF(Inputs!$B$39="pvp",15,MAX(0.1,Skills!D15-IF(Skills!E15=TRUE,Inputs!$B$33,0)))*(1-IF(AND(ArtifactsInput!$M$27,Inputs!$B$4="Chapter Hunt"),CHOOSE(ArtifactsInput!$N$27+1,20,24,28,32,36,40),0)/100)),0)</f>
        <v/>
      </c>
      <c r="R1407" t="n">
        <v>0</v>
      </c>
      <c r="S1407">
        <f>IF(C1407,(Skills!F15*N1407*((IF(Inputs!$B$3&gt;=78,25,15)/100*B1427*10)/(1+IF(Inputs!$B$3&gt;=78,25,15)/100*B1427*10))*(Skills!I15/100*B1427)/(1+Skills!G15*Skills!I15/100*B1427))*IF(Inputs!$B$39="pvp",1,1+(Inputs!$B$21+Skills!O15+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1407*(1-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1407*(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1407*(1-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7">
        <f>IF(C1407,(Skills!F15*N1407*((IF(Inputs!$B$3&gt;=78,25,15)/100*B1427*10)/(1+IF(Inputs!$B$3&gt;=78,25,15)/100*B1427*10))*(Skills!I15/100*B1427)/(1+Skills!G15*Skills!I15/100*B1427))*IF(Inputs!$B$39="pvp",1,(1+(Inputs!$B$22+Skills!P15+B1423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Skills!A16</f>
        <v/>
      </c>
      <c r="B1408">
        <f>Skills!B16</f>
        <v/>
      </c>
      <c r="C1408">
        <f>Inputs!$B$3&gt;=100</f>
        <v/>
      </c>
      <c r="D1408">
        <f>IF(Skills!C16=1,60+Inputs!$B$26+Inputs!$B$30,IF(Skills!C16=2,90+Inputs!$B$27+Inputs!$B$30,IF(Skills!C16=3,120+Inputs!$B$28+Inputs!$B$30,MAX(0,(Inputs!$B$3-100)*3)+Inputs!$B$29+Inputs!$B$30)))</f>
        <v/>
      </c>
      <c r="E1408">
        <f>INDEX(FactorTable!$B$2:$Y$301, MATCH(ROUND(MIN(300,MAX(1,D1408)),0), FactorTable!$A$2:$A$301,0), Skills!L16+1)</f>
        <v/>
      </c>
      <c r="F1408">
        <f>IF(Skills!M16=TRUE,(Skills!K16/10)*(E1408/1000),Skills!K16/10)+Skills!N16</f>
        <v/>
      </c>
      <c r="G1408">
        <f>Calc!G16</f>
        <v/>
      </c>
      <c r="H1408">
        <f>Calc!H16</f>
        <v/>
      </c>
      <c r="I1408">
        <f>IF(Skills!T16&lt;&gt;"",1+(Skills!T16/10)*($Z$3/1000)/100,1)</f>
        <v/>
      </c>
      <c r="J1408" t="inlineStr"/>
      <c r="K1408" t="inlineStr"/>
      <c r="L1408" t="inlineStr"/>
      <c r="M1408" t="inlineStr"/>
      <c r="N1408" t="inlineStr"/>
      <c r="O1408">
        <f>(1-Summary!$B$11)*S1408+Summary!$B$11*U1408</f>
        <v/>
      </c>
      <c r="P1408">
        <f>IF(B1434=0,0,O1408/B1434)</f>
        <v/>
      </c>
      <c r="Q1408">
        <f>IFERROR(1/(IF(Inputs!$B$39="pvp",15,MAX(0.1,Skills!D16-IF(Skills!E16=TRUE,Inputs!$B$33,0)))*(1-IF(AND(ArtifactsInput!$M$27,Inputs!$B$4="Chapter Hunt"),CHOOSE(ArtifactsInput!$N$27+1,20,24,28,32,36,40),0)/100)),0)</f>
        <v/>
      </c>
      <c r="R1408" t="n">
        <v>0</v>
      </c>
      <c r="S1408" t="n">
        <v>0</v>
      </c>
      <c r="U1408" t="n">
        <v>0</v>
      </c>
    </row>
    <row r="1409">
      <c r="A1409">
        <f>Skills!A17</f>
        <v/>
      </c>
      <c r="B1409">
        <f>Skills!B17</f>
        <v/>
      </c>
      <c r="C1409">
        <f>Inputs!$B$3&gt;=49</f>
        <v/>
      </c>
      <c r="D1409">
        <f>IF(Skills!C17=1,60+Inputs!$B$26+Inputs!$B$30,IF(Skills!C17=2,90+Inputs!$B$27+Inputs!$B$30,IF(Skills!C17=3,120+Inputs!$B$28+Inputs!$B$30,MAX(0,(Inputs!$B$3-100)*3)+Inputs!$B$29+Inputs!$B$30)))</f>
        <v/>
      </c>
      <c r="E1409">
        <f>INDEX(FactorTable!$B$2:$Y$301, MATCH(ROUND(MIN(300,MAX(1,D1409)),0), FactorTable!$A$2:$A$301,0), Skills!L17+1)</f>
        <v/>
      </c>
      <c r="F1409">
        <f>IF(Skills!M17=TRUE,(Skills!K17/10)*(E1409/1000),Skills!K17/10)+Skills!N17</f>
        <v/>
      </c>
      <c r="G1409">
        <f>Calc!G17</f>
        <v/>
      </c>
      <c r="H1409">
        <f>Calc!H17</f>
        <v/>
      </c>
      <c r="I1409">
        <f>IF(Skills!T17&lt;&gt;"",1+(Skills!T17/10)*($Z$3/1000)/100,1)</f>
        <v/>
      </c>
      <c r="J1409" t="inlineStr"/>
      <c r="K1409" t="inlineStr"/>
      <c r="L1409" t="inlineStr"/>
      <c r="M1409" t="inlineStr"/>
      <c r="N1409" t="inlineStr"/>
      <c r="O1409">
        <f>(1-Summary!$B$11)*S1409+Summary!$B$11*U1409</f>
        <v/>
      </c>
      <c r="P1409">
        <f>IF(B1434=0,0,O1409/B1434)</f>
        <v/>
      </c>
      <c r="Q1409">
        <f>IFERROR(1/(IF(Inputs!$B$39="pvp",15,MAX(0.1,Skills!D17-IF(Skills!E17=TRUE,Inputs!$B$33,0)))*(1-IF(AND(ArtifactsInput!$M$27,Inputs!$B$4="Chapter Hunt"),CHOOSE(ArtifactsInput!$N$27+1,20,24,28,32,36,40),0)/100)),0)</f>
        <v/>
      </c>
      <c r="R1409" t="n">
        <v>0</v>
      </c>
      <c r="S1409" t="n">
        <v>0</v>
      </c>
      <c r="U1409" t="n">
        <v>0</v>
      </c>
    </row>
    <row r="1410">
      <c r="A1410">
        <f>Skills!A18</f>
        <v/>
      </c>
      <c r="B1410">
        <f>Skills!B18</f>
        <v/>
      </c>
      <c r="C1410">
        <f>Inputs!$B$3&gt;=75</f>
        <v/>
      </c>
      <c r="D1410">
        <f>IF(Skills!C18=1,60+Inputs!$B$26+Inputs!$B$30,IF(Skills!C18=2,90+Inputs!$B$27+Inputs!$B$30,IF(Skills!C18=3,120+Inputs!$B$28+Inputs!$B$30,MAX(0,(Inputs!$B$3-100)*3)+Inputs!$B$29+Inputs!$B$30)))</f>
        <v/>
      </c>
      <c r="E1410">
        <f>INDEX(FactorTable!$B$2:$Y$301, MATCH(ROUND(MIN(300,MAX(1,D1410)),0), FactorTable!$A$2:$A$301,0), Skills!L18+1)</f>
        <v/>
      </c>
      <c r="F1410">
        <f>IF(Skills!M18=TRUE,(Skills!K18/10)*(E1410/1000),Skills!K18/10)+Skills!N18</f>
        <v/>
      </c>
      <c r="G1410">
        <f>Calc!G18</f>
        <v/>
      </c>
      <c r="H1410">
        <f>Calc!H18</f>
        <v/>
      </c>
      <c r="I1410">
        <f>IF(Skills!T18&lt;&gt;"",1+(Skills!T18/10)*($Z$3/1000)/100,1)</f>
        <v/>
      </c>
      <c r="J1410" t="inlineStr"/>
      <c r="K1410" t="inlineStr"/>
      <c r="L1410" t="inlineStr"/>
      <c r="M1410" t="inlineStr"/>
      <c r="N1410" t="inlineStr"/>
      <c r="O1410">
        <f>(1-Summary!$B$11)*S1410+Summary!$B$11*U1410</f>
        <v/>
      </c>
      <c r="P1410">
        <f>IF(B1434=0,0,O1410/B1434)</f>
        <v/>
      </c>
      <c r="Q1410">
        <f>IFERROR(1/(IF(Inputs!$B$39="pvp",15,MAX(0.1,Skills!D18-IF(Skills!E18=TRUE,Inputs!$B$33,0)))*(1-IF(AND(ArtifactsInput!$M$27,Inputs!$B$4="Chapter Hunt"),CHOOSE(ArtifactsInput!$N$27+1,20,24,28,32,36,40),0)/100)),0)</f>
        <v/>
      </c>
      <c r="R1410" t="n">
        <v>0</v>
      </c>
      <c r="S1410" t="n">
        <v>0</v>
      </c>
      <c r="U1410" t="n">
        <v>0</v>
      </c>
    </row>
    <row r="1411">
      <c r="A1411">
        <f>Skills!A19</f>
        <v/>
      </c>
      <c r="B1411">
        <f>Skills!B19</f>
        <v/>
      </c>
      <c r="C1411">
        <f>Inputs!$B$3&gt;=110</f>
        <v/>
      </c>
      <c r="D1411">
        <f>IF(Skills!C19=1,60+Inputs!$B$26+Inputs!$B$30,IF(Skills!C19=2,90+Inputs!$B$27+Inputs!$B$30,IF(Skills!C19=3,120+Inputs!$B$28+Inputs!$B$30,MAX(0,(Inputs!$B$3-100)*3)+Inputs!$B$29+Inputs!$B$30)))</f>
        <v/>
      </c>
      <c r="E1411">
        <f>INDEX(FactorTable!$B$2:$Y$301, MATCH(ROUND(MIN(300,MAX(1,D1411)),0), FactorTable!$A$2:$A$301,0), Skills!L19+1)</f>
        <v/>
      </c>
      <c r="F1411">
        <f>(Skills!K19/10)*(E1411/1000)*64/45+Skills!N19</f>
        <v/>
      </c>
      <c r="G1411">
        <f>Calc!G19</f>
        <v/>
      </c>
      <c r="H1411">
        <f>Calc!H19</f>
        <v/>
      </c>
      <c r="I1411">
        <f>IF(Skills!T19&lt;&gt;"",1+(Skills!T19/10)*($Z$3/1000)/100,1)</f>
        <v/>
      </c>
      <c r="J1411" t="inlineStr"/>
      <c r="K1411" t="inlineStr"/>
      <c r="L1411" t="inlineStr"/>
      <c r="M1411" t="inlineStr"/>
      <c r="N1411" t="inlineStr"/>
      <c r="O1411">
        <f>(1-Summary!$B$11)*S1411+Summary!$B$11*U1411</f>
        <v/>
      </c>
      <c r="P1411">
        <f>IF(B1434=0,0,O1411/B1434)</f>
        <v/>
      </c>
      <c r="Q1411">
        <f>IFERROR(1/(IF(Inputs!$B$39="pvp",15,MAX(0.1,Skills!D19-IF(Skills!E19=TRUE,Inputs!$B$33,0)))*(1-IF(AND(ArtifactsInput!$M$27,Inputs!$B$4="Chapter Hunt"),CHOOSE(ArtifactsInput!$N$27+1,20,24,28,32,36,40),0)/100)),0)</f>
        <v/>
      </c>
      <c r="R1411">
        <f>IF(AND(Inputs!$B$39&lt;&gt;"pvp",Inputs!$B$44&gt;0),IF(Inputs!$B$44&lt;=0,0,(INT(Inputs!$B$44/(IF(Inputs!$B$39="pvp",15,MAX(0.1,Skills!D19-IF(Skills!E19=TRUE,Inputs!$B$33,0)))*(1-IF(AND(ArtifactsInput!$M$27,Inputs!$B$4="Chapter Hunt"),CHOOSE(ArtifactsInput!$N$27+1,20,24,28,32,36,40),0)/100)))+1)),0)</f>
        <v/>
      </c>
      <c r="S1411" t="n">
        <v>0</v>
      </c>
      <c r="U1411" t="n">
        <v>0</v>
      </c>
    </row>
    <row r="1412">
      <c r="A1412">
        <f>Skills!A20</f>
        <v/>
      </c>
      <c r="B1412">
        <f>Skills!B20</f>
        <v/>
      </c>
      <c r="C1412">
        <f>Inputs!$B$3&gt;=125</f>
        <v/>
      </c>
      <c r="D1412">
        <f>IF(Skills!C20=1,60+Inputs!$B$26+Inputs!$B$30,IF(Skills!C20=2,90+Inputs!$B$27+Inputs!$B$30,IF(Skills!C20=3,120+Inputs!$B$28+Inputs!$B$30,MAX(0,(Inputs!$B$3-100)*3)+Inputs!$B$29+Inputs!$B$30)))</f>
        <v/>
      </c>
      <c r="E1412">
        <f>INDEX(FactorTable!$B$2:$Y$301, MATCH(ROUND(MIN(300,MAX(1,D1412)),0), FactorTable!$A$2:$A$301,0), Skills!L20+1)</f>
        <v/>
      </c>
      <c r="F1412">
        <f>IF(Skills!M20=TRUE,(Skills!K20/10)*(E1412/1000),Skills!K20/10)+Skills!N20</f>
        <v/>
      </c>
      <c r="G1412">
        <f>Calc!G20</f>
        <v/>
      </c>
      <c r="H1412">
        <f>Calc!H20</f>
        <v/>
      </c>
      <c r="I1412">
        <f>IF(Skills!T20&lt;&gt;"",1+(Skills!T20/10)*($Z$3/1000)/100,1)</f>
        <v/>
      </c>
      <c r="J1412" t="inlineStr"/>
      <c r="K1412" t="inlineStr"/>
      <c r="L1412" t="inlineStr"/>
      <c r="M1412" t="inlineStr"/>
      <c r="N1412" t="inlineStr"/>
      <c r="O1412">
        <f>(1-Summary!$B$11)*S1412+Summary!$B$11*U1412</f>
        <v/>
      </c>
      <c r="P1412">
        <f>IF(B1434=0,0,O1412/B1434)</f>
        <v/>
      </c>
      <c r="Q1412">
        <f>IFERROR(1/(IF(Inputs!$B$39="pvp",15,MAX(0.1,Skills!D20-IF(Skills!E20=TRUE,Inputs!$B$33,0)))*(1-IF(AND(ArtifactsInput!$M$27,Inputs!$B$4="Chapter Hunt"),CHOOSE(ArtifactsInput!$N$27+1,20,24,28,32,36,40),0)/100)),0)</f>
        <v/>
      </c>
      <c r="R1412" t="n">
        <v>0</v>
      </c>
      <c r="S1412" t="n">
        <v>0</v>
      </c>
      <c r="U1412" t="n">
        <v>0</v>
      </c>
    </row>
    <row r="1413">
      <c r="A1413">
        <f>Skills!A21</f>
        <v/>
      </c>
      <c r="B1413">
        <f>Skills!B21</f>
        <v/>
      </c>
      <c r="C1413">
        <f>Inputs!$B$3&gt;=33</f>
        <v/>
      </c>
      <c r="D1413">
        <f>IF(Skills!C21=1,60+Inputs!$B$26+Inputs!$B$30,IF(Skills!C21=2,90+Inputs!$B$27+Inputs!$B$30,IF(Skills!C21=3,120+Inputs!$B$28+Inputs!$B$30,MAX(0,(Inputs!$B$3-100)*3)+Inputs!$B$29+Inputs!$B$30)))</f>
        <v/>
      </c>
      <c r="E1413">
        <f>INDEX(FactorTable!$B$2:$Y$301, MATCH(ROUND(MIN(300,MAX(1,D1413)),0), FactorTable!$A$2:$A$301,0), Skills!L21+1)</f>
        <v/>
      </c>
      <c r="F1413">
        <f>IF(Skills!M21=TRUE,(Skills!K21/10)*(E1413/1000),Skills!K21/10)+Skills!N21</f>
        <v/>
      </c>
      <c r="G1413">
        <f>Calc!G21</f>
        <v/>
      </c>
      <c r="H1413">
        <f>Calc!H21</f>
        <v/>
      </c>
      <c r="I1413">
        <f>IF(Skills!T21&lt;&gt;"",1+(Skills!T21/10)*($Z$3/1000)/100,1)</f>
        <v/>
      </c>
      <c r="J1413" t="inlineStr"/>
      <c r="K1413" t="inlineStr"/>
      <c r="L1413" t="inlineStr"/>
      <c r="M1413" t="inlineStr"/>
      <c r="N1413" t="inlineStr"/>
      <c r="O1413">
        <f>(1-Summary!$B$11)*S1413+Summary!$B$11*U1413</f>
        <v/>
      </c>
      <c r="P1413">
        <f>IF(B1434=0,0,O1413/B1434)</f>
        <v/>
      </c>
      <c r="Q1413">
        <f>IFERROR(1/(IF(Inputs!$B$39="pvp",15,MAX(0.1,Skills!D21-IF(Skills!E21=TRUE,Inputs!$B$33,0)))*(1-IF(AND(ArtifactsInput!$M$27,Inputs!$B$4="Chapter Hunt"),CHOOSE(ArtifactsInput!$N$27+1,20,24,28,32,36,40),0)/100)),0)</f>
        <v/>
      </c>
      <c r="R1413" t="n">
        <v>0</v>
      </c>
      <c r="S1413" t="n">
        <v>0</v>
      </c>
      <c r="U1413" t="n">
        <v>0</v>
      </c>
    </row>
    <row r="1414">
      <c r="A1414">
        <f>Skills!A22</f>
        <v/>
      </c>
      <c r="B1414">
        <f>Skills!B22</f>
        <v/>
      </c>
      <c r="C1414">
        <f>Inputs!$B$3&gt;=43</f>
        <v/>
      </c>
      <c r="D1414">
        <f>IF(Skills!C22=1,60+Inputs!$B$26+Inputs!$B$30,IF(Skills!C22=2,90+Inputs!$B$27+Inputs!$B$30,IF(Skills!C22=3,120+Inputs!$B$28+Inputs!$B$30,MAX(0,(Inputs!$B$3-100)*3)+Inputs!$B$29+Inputs!$B$30)))</f>
        <v/>
      </c>
      <c r="E1414">
        <f>INDEX(FactorTable!$B$2:$Y$301, MATCH(ROUND(MIN(300,MAX(1,D1414)),0), FactorTable!$A$2:$A$301,0), Skills!L22+1)</f>
        <v/>
      </c>
      <c r="F1414">
        <f>IF(Skills!M22=TRUE,(Skills!K22/10)*(E1414/1000),Skills!K22/10)+Skills!N22</f>
        <v/>
      </c>
      <c r="G1414">
        <f>Calc!G22</f>
        <v/>
      </c>
      <c r="H1414">
        <f>Calc!H22</f>
        <v/>
      </c>
      <c r="I1414">
        <f>IF(Skills!T22&lt;&gt;"",1+(Skills!T22/10)*($Z$3/1000)/100,1)</f>
        <v/>
      </c>
      <c r="J1414" t="inlineStr"/>
      <c r="K1414" t="inlineStr"/>
      <c r="L1414" t="inlineStr"/>
      <c r="M1414" t="inlineStr"/>
      <c r="N1414" t="inlineStr"/>
      <c r="O1414">
        <f>(1-Summary!$B$11)*S1414+Summary!$B$11*U1414</f>
        <v/>
      </c>
      <c r="P1414">
        <f>IF(B1434=0,0,O1414/B1434)</f>
        <v/>
      </c>
      <c r="Q1414">
        <f>IFERROR(1/(IF(Inputs!$B$39="pvp",15,MAX(0.1,Skills!D22-IF(Skills!E22=TRUE,Inputs!$B$33,0)))*(1-IF(AND(ArtifactsInput!$M$27,Inputs!$B$4="Chapter Hunt"),CHOOSE(ArtifactsInput!$N$27+1,20,24,28,32,36,40),0)/100)),0)</f>
        <v/>
      </c>
      <c r="R1414" t="n">
        <v>0</v>
      </c>
      <c r="S1414" t="n">
        <v>0</v>
      </c>
      <c r="U1414" t="n">
        <v>0</v>
      </c>
    </row>
    <row r="1415">
      <c r="A1415">
        <f>Skills!A23</f>
        <v/>
      </c>
      <c r="B1415">
        <f>Skills!B23</f>
        <v/>
      </c>
      <c r="C1415">
        <f>Inputs!$B$3&gt;=50</f>
        <v/>
      </c>
      <c r="D1415">
        <f>IF(Skills!C23=1,60+Inputs!$B$26+Inputs!$B$30,IF(Skills!C23=2,90+Inputs!$B$27+Inputs!$B$30,IF(Skills!C23=3,120+Inputs!$B$28+Inputs!$B$30,MAX(0,(Inputs!$B$3-100)*3)+Inputs!$B$29+Inputs!$B$30)))</f>
        <v/>
      </c>
      <c r="E1415">
        <f>INDEX(FactorTable!$B$2:$Y$301, MATCH(ROUND(MIN(300,MAX(1,D1415)),0), FactorTable!$A$2:$A$301,0), Skills!L23+1)</f>
        <v/>
      </c>
      <c r="F1415">
        <f>IF(Skills!M23=TRUE,(Skills!K23/10)*(E1415/1000),Skills!K23/10)+Skills!N23</f>
        <v/>
      </c>
      <c r="G1415">
        <f>Calc!G23</f>
        <v/>
      </c>
      <c r="H1415">
        <f>Calc!H23</f>
        <v/>
      </c>
      <c r="I1415">
        <f>IF(Skills!T23&lt;&gt;"",1+(Skills!T23/10)*($Z$3/1000)/100,1)</f>
        <v/>
      </c>
      <c r="J1415" t="inlineStr"/>
      <c r="K1415" t="inlineStr"/>
      <c r="L1415" t="inlineStr"/>
      <c r="M1415" t="inlineStr"/>
      <c r="N1415" t="inlineStr"/>
      <c r="O1415">
        <f>(1-Summary!$B$11)*S1415+Summary!$B$11*U1415</f>
        <v/>
      </c>
      <c r="P1415">
        <f>IF(B1434=0,0,O1415/B1434)</f>
        <v/>
      </c>
      <c r="Q1415">
        <f>IFERROR(1/(IF(Inputs!$B$39="pvp",15,MAX(0.1,Skills!D23-IF(Skills!E23=TRUE,Inputs!$B$33,0)))*(1-IF(AND(ArtifactsInput!$M$27,Inputs!$B$4="Chapter Hunt"),CHOOSE(ArtifactsInput!$N$27+1,20,24,28,32,36,40),0)/100)),0)</f>
        <v/>
      </c>
      <c r="R1415" t="n">
        <v>0</v>
      </c>
      <c r="S1415" t="n">
        <v>0</v>
      </c>
      <c r="U1415" t="n">
        <v>0</v>
      </c>
    </row>
    <row r="1416">
      <c r="A1416">
        <f>Skills!A24</f>
        <v/>
      </c>
      <c r="B1416">
        <f>Skills!B24</f>
        <v/>
      </c>
      <c r="C1416">
        <f>Inputs!$B$3&gt;=74</f>
        <v/>
      </c>
      <c r="D1416">
        <f>IF(Skills!C24=1,60+Inputs!$B$26+Inputs!$B$30,IF(Skills!C24=2,90+Inputs!$B$27+Inputs!$B$30,IF(Skills!C24=3,120+Inputs!$B$28+Inputs!$B$30,MAX(0,(Inputs!$B$3-100)*3)+Inputs!$B$29+Inputs!$B$30)))</f>
        <v/>
      </c>
      <c r="E1416">
        <f>INDEX(FactorTable!$B$2:$Y$301, MATCH(ROUND(MIN(300,MAX(1,D1416)),0), FactorTable!$A$2:$A$301,0), Skills!L24+1)</f>
        <v/>
      </c>
      <c r="F1416">
        <f>IF(Skills!M24=TRUE,(Skills!K24/10)*(E1416/1000),Skills!K24/10)+Skills!N24</f>
        <v/>
      </c>
      <c r="G1416">
        <f>Calc!G24</f>
        <v/>
      </c>
      <c r="H1416">
        <f>Calc!H24</f>
        <v/>
      </c>
      <c r="I1416">
        <f>IF(Skills!T24&lt;&gt;"",1+(Skills!T24/10)*($Z$3/1000)/100,1)</f>
        <v/>
      </c>
      <c r="J1416" t="inlineStr"/>
      <c r="K1416" t="inlineStr"/>
      <c r="L1416" t="inlineStr"/>
      <c r="M1416" t="inlineStr"/>
      <c r="N1416" t="inlineStr"/>
      <c r="O1416">
        <f>(1-Summary!$B$11)*S1416+Summary!$B$11*U1416</f>
        <v/>
      </c>
      <c r="P1416">
        <f>IF(B1434=0,0,O1416/B1434)</f>
        <v/>
      </c>
      <c r="Q1416">
        <f>IFERROR(1/(IF(Inputs!$B$39="pvp",15,MAX(0.1,Skills!D24-IF(Skills!E24=TRUE,Inputs!$B$33,0)))*(1-IF(AND(ArtifactsInput!$M$27,Inputs!$B$4="Chapter Hunt"),CHOOSE(ArtifactsInput!$N$27+1,20,24,28,32,36,40),0)/100)),0)</f>
        <v/>
      </c>
      <c r="R1416" t="n">
        <v>0</v>
      </c>
      <c r="S1416" t="n">
        <v>0</v>
      </c>
      <c r="U1416" t="n">
        <v>0</v>
      </c>
    </row>
    <row r="1417">
      <c r="A1417">
        <f>Skills!A25</f>
        <v/>
      </c>
      <c r="B1417">
        <f>Skills!B25</f>
        <v/>
      </c>
      <c r="C1417">
        <f>Inputs!$B$3&gt;=74</f>
        <v/>
      </c>
      <c r="D1417">
        <f>IF(Skills!C25=1,60+Inputs!$B$26+Inputs!$B$30,IF(Skills!C25=2,90+Inputs!$B$27+Inputs!$B$30,IF(Skills!C25=3,120+Inputs!$B$28+Inputs!$B$30,MAX(0,(Inputs!$B$3-100)*3)+Inputs!$B$29+Inputs!$B$30)))</f>
        <v/>
      </c>
      <c r="E1417">
        <f>INDEX(FactorTable!$B$2:$Y$301, MATCH(ROUND(MIN(300,MAX(1,D1417)),0), FactorTable!$A$2:$A$301,0), Skills!L25+1)</f>
        <v/>
      </c>
      <c r="F1417">
        <f>IF(Skills!M25=TRUE,(Skills!K25/10)*(E1417/1000),Skills!K25/10)+Skills!N25</f>
        <v/>
      </c>
      <c r="G1417">
        <f>Calc!G25</f>
        <v/>
      </c>
      <c r="H1417">
        <f>Calc!H25</f>
        <v/>
      </c>
      <c r="I1417">
        <f>IF(Skills!T25&lt;&gt;"",1+(Skills!T25/10)*($Z$3/1000)/100,1)</f>
        <v/>
      </c>
      <c r="J1417" t="inlineStr"/>
      <c r="K1417" t="inlineStr"/>
      <c r="L1417" t="inlineStr"/>
      <c r="M1417" t="inlineStr"/>
      <c r="N1417" t="inlineStr"/>
      <c r="O1417">
        <f>(1-Summary!$B$11)*S1417+Summary!$B$11*U1417</f>
        <v/>
      </c>
      <c r="P1417">
        <f>IF(B1434=0,0,O1417/B1434)</f>
        <v/>
      </c>
      <c r="Q1417">
        <f>IFERROR(1/(IF(Inputs!$B$39="pvp",15,MAX(0.1,Skills!D25-IF(Skills!E25=TRUE,Inputs!$B$33,0)))*(1-IF(AND(ArtifactsInput!$M$27,Inputs!$B$4="Chapter Hunt"),CHOOSE(ArtifactsInput!$N$27+1,20,24,28,32,36,40),0)/100)),0)</f>
        <v/>
      </c>
      <c r="R1417" t="n">
        <v>0</v>
      </c>
      <c r="S1417" t="n">
        <v>0</v>
      </c>
      <c r="U1417" t="n">
        <v>0</v>
      </c>
    </row>
    <row r="1418">
      <c r="A1418">
        <f>Skills!A26</f>
        <v/>
      </c>
      <c r="B1418">
        <f>Skills!B26</f>
        <v/>
      </c>
      <c r="C1418">
        <f>Inputs!$B$3&gt;=117</f>
        <v/>
      </c>
      <c r="D1418">
        <f>IF(Skills!C26=1,60+Inputs!$B$26+Inputs!$B$30,IF(Skills!C26=2,90+Inputs!$B$27+Inputs!$B$30,IF(Skills!C26=3,120+Inputs!$B$28+Inputs!$B$30,MAX(0,(Inputs!$B$3-100)*3)+Inputs!$B$29+Inputs!$B$30)))</f>
        <v/>
      </c>
      <c r="E1418">
        <f>INDEX(FactorTable!$B$2:$Y$301, MATCH(ROUND(MIN(300,MAX(1,D1418)),0), FactorTable!$A$2:$A$301,0), Skills!L26+1)</f>
        <v/>
      </c>
      <c r="F1418">
        <f>IF(Skills!M26=TRUE,(Skills!K26/10)*(E1418/1000),Skills!K26/10)+Skills!N26</f>
        <v/>
      </c>
      <c r="G1418">
        <f>Calc!G26</f>
        <v/>
      </c>
      <c r="H1418">
        <f>Calc!H26</f>
        <v/>
      </c>
      <c r="I1418">
        <f>IF(Skills!T26&lt;&gt;"",1+(Skills!T26/10)*($Z$3/1000)/100,1)</f>
        <v/>
      </c>
      <c r="J1418" t="inlineStr"/>
      <c r="K1418" t="inlineStr"/>
      <c r="L1418" t="inlineStr"/>
      <c r="M1418" t="inlineStr"/>
      <c r="N1418" t="inlineStr"/>
      <c r="O1418">
        <f>(1-Summary!$B$11)*S1418+Summary!$B$11*U1418</f>
        <v/>
      </c>
      <c r="P1418">
        <f>IF(B1434=0,0,O1418/B1434)</f>
        <v/>
      </c>
      <c r="Q1418">
        <f>IFERROR(1/(IF(Inputs!$B$39="pvp",15,MAX(0.1,Skills!D26-IF(Skills!E26=TRUE,Inputs!$B$33,0)))*(1-IF(AND(ArtifactsInput!$M$27,Inputs!$B$4="Chapter Hunt"),CHOOSE(ArtifactsInput!$N$27+1,20,24,28,32,36,40),0)/100)),0)</f>
        <v/>
      </c>
      <c r="R1418" t="n">
        <v>0</v>
      </c>
      <c r="S1418" t="n">
        <v>0</v>
      </c>
      <c r="U1418" t="n">
        <v>0</v>
      </c>
    </row>
    <row r="1419">
      <c r="A1419">
        <f>Skills!A27</f>
        <v/>
      </c>
      <c r="B1419">
        <f>Skills!B27</f>
        <v/>
      </c>
      <c r="C1419">
        <f>Inputs!$B$3&gt;=120</f>
        <v/>
      </c>
      <c r="D1419">
        <f>IF(Skills!C27=1,60+Inputs!$B$26+Inputs!$B$30,IF(Skills!C27=2,90+Inputs!$B$27+Inputs!$B$30,IF(Skills!C27=3,120+Inputs!$B$28+Inputs!$B$30,MAX(0,(Inputs!$B$3-100)*3)+Inputs!$B$29+Inputs!$B$30)))</f>
        <v/>
      </c>
      <c r="E1419">
        <f>INDEX(FactorTable!$B$2:$Y$301, MATCH(ROUND(MIN(300,MAX(1,D1419)),0), FactorTable!$A$2:$A$301,0), Skills!L27+1)</f>
        <v/>
      </c>
      <c r="F1419">
        <f>IF(Skills!M27=TRUE,(Skills!K27/10)*(E1419/1000),Skills!K27/10)+Skills!N27</f>
        <v/>
      </c>
      <c r="G1419">
        <f>Calc!G27</f>
        <v/>
      </c>
      <c r="H1419">
        <f>Calc!H27</f>
        <v/>
      </c>
      <c r="I1419">
        <f>IF(Skills!T27&lt;&gt;"",1+(Skills!T27/10)*($Z$3/1000)/100,1)</f>
        <v/>
      </c>
      <c r="J1419" t="inlineStr"/>
      <c r="K1419" t="inlineStr"/>
      <c r="L1419" t="inlineStr"/>
      <c r="M1419" t="inlineStr"/>
      <c r="N1419" t="inlineStr"/>
      <c r="O1419">
        <f>(1-Summary!$B$11)*S1419+Summary!$B$11*U1419</f>
        <v/>
      </c>
      <c r="P1419">
        <f>IF(B1434=0,0,O1419/B1434)</f>
        <v/>
      </c>
      <c r="Q1419">
        <f>IFERROR(1/(IF(Inputs!$B$39="pvp",15,MAX(0.1,Skills!D27-IF(Skills!E27=TRUE,Inputs!$B$33,0)))*(1-IF(AND(ArtifactsInput!$M$27,Inputs!$B$4="Chapter Hunt"),CHOOSE(ArtifactsInput!$N$27+1,20,24,28,32,36,40),0)/100)),0)</f>
        <v/>
      </c>
      <c r="R1419" t="n">
        <v>0</v>
      </c>
      <c r="S1419" t="n">
        <v>0</v>
      </c>
      <c r="U1419" t="n">
        <v>0</v>
      </c>
    </row>
    <row r="1421">
      <c r="A1421" t="inlineStr">
        <is>
          <t>Average Buff Multiplier</t>
        </is>
      </c>
      <c r="B1421">
        <f>(1+(IF(C1395=TRUE,F1395*IF(AND(Inputs!$B$39&lt;&gt;"pvp",Inputs!$B$44&gt;0),(((R1395-1)*(Skills!S3*(1+((Inputs!$B$35+(ArtifactsInput!$M$7-ArtifactsInput!$M$7)*CHOOSE(ArtifactsInput!$N$7+1,6,7.2,8.4,9.6,10.8,12))+IF(Inputs!$B$3&gt;=117,F1418,0))/100))+MIN((Skills!S3*(1+((Inputs!$B$35+(ArtifactsInput!$M$7-ArtifactsInput!$M$7)*CHOOSE(ArtifactsInput!$N$7+1,6,7.2,8.4,9.6,10.8,12))+IF(Inputs!$B$3&gt;=117,F1418,0))/100)),MAX(0,Inputs!$B$44-((R1395-1)*Skills!D3))))/Inputs!$B$44),IF(Inputs!$B$39="pvp",MIN((Skills!S3*(1+((Inputs!$B$35+(ArtifactsInput!$M$7-ArtifactsInput!$M$7)*CHOOSE(ArtifactsInput!$N$7+1,6,7.2,8.4,9.6,10.8,12))+IF(Inputs!$B$3&gt;=117,F1418,0))/100)),15)/15,(Skills!S3*(1+((Inputs!$B$35+(ArtifactsInput!$M$7-ArtifactsInput!$M$7)*CHOOSE(ArtifactsInput!$N$7+1,6,7.2,8.4,9.6,10.8,12))+IF(Inputs!$B$3&gt;=117,F1418,0))/100))/Skills!D3)),0)+IF(C1396=TRUE,F1396*IF(AND(Inputs!$B$39&lt;&gt;"pvp",Inputs!$B$44&gt;0),(((R1396-1)*(Skills!S4*(1+((Inputs!$B$35+(ArtifactsInput!$M$7-ArtifactsInput!$M$7)*CHOOSE(ArtifactsInput!$N$7+1,6,7.2,8.4,9.6,10.8,12))+IF(Inputs!$B$3&gt;=117,F1418,0))/100))+MIN((Skills!S4*(1+((Inputs!$B$35+(ArtifactsInput!$M$7-ArtifactsInput!$M$7)*CHOOSE(ArtifactsInput!$N$7+1,6,7.2,8.4,9.6,10.8,12))+IF(Inputs!$B$3&gt;=117,F1418,0))/100)),MAX(0,Inputs!$B$44-((R1396-1)*Skills!D4))))/Inputs!$B$44),IF(Inputs!$B$39="pvp",MIN((Skills!S4*(1+((Inputs!$B$35+(ArtifactsInput!$M$7-ArtifactsInput!$M$7)*CHOOSE(ArtifactsInput!$N$7+1,6,7.2,8.4,9.6,10.8,12))+IF(Inputs!$B$3&gt;=117,F1418,0))/100)),15)/15,(Skills!S4*(1+((Inputs!$B$35+(ArtifactsInput!$M$7-ArtifactsInput!$M$7)*CHOOSE(ArtifactsInput!$N$7+1,6,7.2,8.4,9.6,10.8,12))+IF(Inputs!$B$3&gt;=117,F1418,0))/100))/Skills!D4)),0)+IF(C1397=TRUE,F1397*IF(AND(Inputs!$B$39&lt;&gt;"pvp",Inputs!$B$44&gt;0),(((R1397-1)*(Skills!S5*(1+((Inputs!$B$35+(ArtifactsInput!$M$7-ArtifactsInput!$M$7)*CHOOSE(ArtifactsInput!$N$7+1,6,7.2,8.4,9.6,10.8,12))+IF(Inputs!$B$3&gt;=117,F1418,0))/100))+MIN((Skills!S5*(1+((Inputs!$B$35+(ArtifactsInput!$M$7-ArtifactsInput!$M$7)*CHOOSE(ArtifactsInput!$N$7+1,6,7.2,8.4,9.6,10.8,12))+IF(Inputs!$B$3&gt;=117,F1418,0))/100)),MAX(0,Inputs!$B$44-((R1397-1)*Skills!D5))))/Inputs!$B$44),IF(Inputs!$B$39="pvp",MIN((Skills!S5*(1+((Inputs!$B$35+(ArtifactsInput!$M$7-ArtifactsInput!$M$7)*CHOOSE(ArtifactsInput!$N$7+1,6,7.2,8.4,9.6,10.8,12))+IF(Inputs!$B$3&gt;=117,F1418,0))/100)),15)/15,(Skills!S5*(1+((Inputs!$B$35+(ArtifactsInput!$M$7-ArtifactsInput!$M$7)*CHOOSE(ArtifactsInput!$N$7+1,6,7.2,8.4,9.6,10.8,12))+IF(Inputs!$B$3&gt;=117,F1418,0))/100))/Skills!D5)),0)+IF(C1403=TRUE,F1403*IF(AND(Inputs!$B$39&lt;&gt;"pvp",Inputs!$B$44&gt;0),(((R1403-1)*(Skills!S11*(1+((Inputs!$B$35+(ArtifactsInput!$M$7-ArtifactsInput!$M$7)*CHOOSE(ArtifactsInput!$N$7+1,6,7.2,8.4,9.6,10.8,12))+IF(Inputs!$B$3&gt;=117,F1418,0))/100))+MIN((Skills!S11*(1+((Inputs!$B$35+(ArtifactsInput!$M$7-ArtifactsInput!$M$7)*CHOOSE(ArtifactsInput!$N$7+1,6,7.2,8.4,9.6,10.8,12))+IF(Inputs!$B$3&gt;=117,F1418,0))/100)),MAX(0,Inputs!$B$44-((R1403-1)*Skills!D11))))/Inputs!$B$44),IF(Inputs!$B$39="pvp",MIN((Skills!S11*(1+((Inputs!$B$35+(ArtifactsInput!$M$7-ArtifactsInput!$M$7)*CHOOSE(ArtifactsInput!$N$7+1,6,7.2,8.4,9.6,10.8,12))+IF(Inputs!$B$3&gt;=117,F1418,0))/100)),15)/15,(Skills!S11*(1+((Inputs!$B$35+(ArtifactsInput!$M$7-ArtifactsInput!$M$7)*CHOOSE(ArtifactsInput!$N$7+1,6,7.2,8.4,9.6,10.8,12))+IF(Inputs!$B$3&gt;=117,F1418,0)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1406=TRUE,(1+F1406*IF(AND(Inputs!$B$39&lt;&gt;"pvp",Inputs!$B$44&gt;0),(((R1406-1)*(Skills!S14*(1+((Inputs!$B$35+(ArtifactsInput!$M$7-ArtifactsInput!$M$7)*CHOOSE(ArtifactsInput!$N$7+1,6,7.2,8.4,9.6,10.8,12))+IF(Inputs!$B$3&gt;=117,F1418,0))/100))+MIN((Skills!S14*(1+((Inputs!$B$35+(ArtifactsInput!$M$7-ArtifactsInput!$M$7)*CHOOSE(ArtifactsInput!$N$7+1,6,7.2,8.4,9.6,10.8,12))+IF(Inputs!$B$3&gt;=117,F1418,0))/100)),MAX(0,Inputs!$B$44-((R1406-1)*Skills!D14))))/Inputs!$B$44),IF(Inputs!$B$39="pvp",MIN((Skills!S14*(1+((Inputs!$B$35+(ArtifactsInput!$M$7-ArtifactsInput!$M$7)*CHOOSE(ArtifactsInput!$N$7+1,6,7.2,8.4,9.6,10.8,12))+IF(Inputs!$B$3&gt;=117,F1418,0))/100)),15)/15,(Skills!S14*(1+((Inputs!$B$35+(ArtifactsInput!$M$7-ArtifactsInput!$M$7)*CHOOSE(ArtifactsInput!$N$7+1,6,7.2,8.4,9.6,10.8,12))+IF(Inputs!$B$3&gt;=117,F1418,0))/100))/Skills!D14))/100),1)*IF(C1411=TRUE,(1+F1411*IF(AND(Inputs!$B$39&lt;&gt;"pvp",Inputs!$B$44&gt;0),(((R1411-1)*(Skills!S19*(1+((Inputs!$B$35+(ArtifactsInput!$M$7-ArtifactsInput!$M$7)*CHOOSE(ArtifactsInput!$N$7+1,6,7.2,8.4,9.6,10.8,12))+IF(Inputs!$B$3&gt;=117,F1418,0))/100))+MIN((Skills!S19*(1+((Inputs!$B$35+(ArtifactsInput!$M$7-ArtifactsInput!$M$7)*CHOOSE(ArtifactsInput!$N$7+1,6,7.2,8.4,9.6,10.8,12))+IF(Inputs!$B$3&gt;=117,F1418,0))/100)),MAX(0,Inputs!$B$44-((R1411-1)*Skills!D19))))/Inputs!$B$44),IF(Inputs!$B$39="pvp",MIN((Skills!S19*(1+((Inputs!$B$35+(ArtifactsInput!$M$7-ArtifactsInput!$M$7)*CHOOSE(ArtifactsInput!$N$7+1,6,7.2,8.4,9.6,10.8,12))+IF(Inputs!$B$3&gt;=117,F1418,0))/100)),15)/15,(Skills!S19*(1+((Inputs!$B$35+(ArtifactsInput!$M$7-ArtifactsInput!$M$7)*CHOOSE(ArtifactsInput!$N$7+1,6,7.2,8.4,9.6,10.8,12))+IF(Inputs!$B$3&gt;=117,F1418,0))/100))/Skills!D19))/100),1)</f>
        <v/>
      </c>
    </row>
    <row r="1422">
      <c r="A1422" t="inlineStr">
        <is>
          <t>Monster Damage Taken Bonus % (Holy Fountain)</t>
        </is>
      </c>
      <c r="B1422">
        <f>IF(Inputs!$B$3&gt;=68,20*IF(Inputs!$B$39="pvp",MIN((15*(1+((Inputs!$B$35+(ArtifactsInput!$M$7-ArtifactsInput!$M$7)*CHOOSE(ArtifactsInput!$N$7+1,6,7.2,8.4,9.6,10.8,12))+IF(Inputs!$B$3&gt;=117,F1418,0))/100)),15)/15,(15*(1+((Inputs!$B$35+(ArtifactsInput!$M$7-ArtifactsInput!$M$7)*CHOOSE(ArtifactsInput!$N$7+1,6,7.2,8.4,9.6,10.8,12))+IF(Inputs!$B$3&gt;=117,F1418,0))/100))/Skills!D10),0)</f>
        <v/>
      </c>
    </row>
    <row r="1423">
      <c r="A1423" t="inlineStr">
        <is>
          <t>Normal Monster Damage Bonus % (Holy Symbol)</t>
        </is>
      </c>
      <c r="B1423">
        <f>IF(C1404=TRUE,F1404*IF(AND(Inputs!$B$39&lt;&gt;"pvp",Inputs!$B$44&gt;0),(((R1404-1)*(Skills!S12*(1+((Inputs!$B$35+(ArtifactsInput!$M$7-ArtifactsInput!$M$7)*CHOOSE(ArtifactsInput!$N$7+1,6,7.2,8.4,9.6,10.8,12))+IF(Inputs!$B$3&gt;=117,F1418,0))/100))+MIN((Skills!S12*(1+((Inputs!$B$35+(ArtifactsInput!$M$7-ArtifactsInput!$M$7)*CHOOSE(ArtifactsInput!$N$7+1,6,7.2,8.4,9.6,10.8,12))+IF(Inputs!$B$3&gt;=117,F1418,0))/100)),MAX(0,Inputs!$B$44-((R1404-1)*Skills!D12))))/Inputs!$B$44),IF(Inputs!$B$39="pvp",MIN((Skills!S12*(1+((Inputs!$B$35+(ArtifactsInput!$M$7-ArtifactsInput!$M$7)*CHOOSE(ArtifactsInput!$N$7+1,6,7.2,8.4,9.6,10.8,12))+IF(Inputs!$B$3&gt;=117,F1418,0))/100)),15)/15,(Skills!S12*(1+((Inputs!$B$35+(ArtifactsInput!$M$7-ArtifactsInput!$M$7)*CHOOSE(ArtifactsInput!$N$7+1,6,7.2,8.4,9.6,10.8,12))+IF(Inputs!$B$3&gt;=117,F1418,0))/100))/Skills!D12)),0)</f>
        <v/>
      </c>
    </row>
    <row r="1424">
      <c r="A1424" t="inlineStr">
        <is>
          <t>Damage % Bonus (Holy Symbol - Damage Boost)</t>
        </is>
      </c>
      <c r="B1424">
        <f>Skills!O12</f>
        <v/>
      </c>
    </row>
    <row r="1425">
      <c r="A1425" t="inlineStr">
        <is>
          <t>Crit Damage % Bonus (Blood of the Divine)</t>
        </is>
      </c>
      <c r="B1425">
        <f>4*IF(C1412=TRUE,F1412,0)</f>
        <v/>
      </c>
    </row>
    <row r="1426">
      <c r="A1426" t="inlineStr">
        <is>
          <t>Attack Speed Bonus %</t>
        </is>
      </c>
      <c r="B1426">
        <f>IF(C1409=TRUE,F1409+(F1413-Calc!F21),0)+IF(Inputs!$B$3&gt;=134,15,0)</f>
        <v/>
      </c>
    </row>
    <row r="1427">
      <c r="A1427" t="inlineStr">
        <is>
          <t>Actions Per Second</t>
        </is>
      </c>
      <c r="B1427">
        <f>1+MIN(150,150*(1-(1-Inputs!$B$12/150)*(1-B1426/150)))/100</f>
        <v/>
      </c>
    </row>
    <row r="1428">
      <c r="A1428" t="inlineStr">
        <is>
          <t>Skill + Buff Cast Rate</t>
        </is>
      </c>
      <c r="B1428">
        <f>IF(AND(Inputs!$B$39&lt;&gt;"pvp",Inputs!$B$44&gt;0),SUMPRODUCT((Skills!E2:E27=TRUE)*(C1394:C1419=TRUE)*R1394:R1419)/Inputs!$B$44,SUMPRODUCT((Skills!E2:E27=TRUE)*(C1394:C1419=TRUE)*Q1394:Q1419))</f>
        <v/>
      </c>
    </row>
    <row r="1429">
      <c r="A1429" t="inlineStr">
        <is>
          <t>Big Bang Casts Per Second</t>
        </is>
      </c>
      <c r="B1429">
        <f>MAX(0,B1427-B1428)</f>
        <v/>
      </c>
    </row>
    <row r="1430">
      <c r="A1430" t="inlineStr">
        <is>
          <t>Defense % Bonus (Divine Protection)</t>
        </is>
      </c>
      <c r="B1430">
        <f>IF(C1405=TRUE,F1405*IF(AND(Inputs!$B$39&lt;&gt;"pvp",Inputs!$B$44&gt;0),(((R1405-1)*(Skills!S13*(1+((Inputs!$B$35+(ArtifactsInput!$M$7-ArtifactsInput!$M$7)*CHOOSE(ArtifactsInput!$N$7+1,6,7.2,8.4,9.6,10.8,12))+IF(Inputs!$B$3&gt;=117,F1418,0))/100))+MIN((Skills!S13*(1+((Inputs!$B$35+(ArtifactsInput!$M$7-ArtifactsInput!$M$7)*CHOOSE(ArtifactsInput!$N$7+1,6,7.2,8.4,9.6,10.8,12))+IF(Inputs!$B$3&gt;=117,F1418,0))/100)),MAX(0,Inputs!$B$44-((R1405-1)*Skills!D13))))/Inputs!$B$44),IF(Inputs!$B$39="pvp",MIN((Skills!S13*(1+((Inputs!$B$35+(ArtifactsInput!$M$7-ArtifactsInput!$M$7)*CHOOSE(ArtifactsInput!$N$7+1,6,7.2,8.4,9.6,10.8,12))+IF(Inputs!$B$3&gt;=117,F1418,0))/100)),15)/15,(Skills!S13*(1+((Inputs!$B$35+(ArtifactsInput!$M$7-ArtifactsInput!$M$7)*CHOOSE(ArtifactsInput!$N$7+1,6,7.2,8.4,9.6,10.8,12))+IF(Inputs!$B$3&gt;=117,F1418,0))/100))/Skills!D13)),0)</f>
        <v/>
      </c>
    </row>
    <row r="1431">
      <c r="A1431" t="inlineStr">
        <is>
          <t>Buff-Casting Startup Delay (s, fixed-duration only)</t>
        </is>
      </c>
      <c r="B1431">
        <f>IF(AND(Inputs!$B$39&lt;&gt;"pvp",Inputs!$B$44&gt;0),SUMPRODUCT((Skills!S2:S27&gt;0)*(Skills!E2:E27=TRUE)*(C1394:C1419=TRUE))/B1427,0)</f>
        <v/>
      </c>
    </row>
    <row r="1432">
      <c r="A1432" t="inlineStr">
        <is>
          <t>Boss-Only Total DPS (this block's swept value)</t>
        </is>
      </c>
      <c r="B1432">
        <f>SUM(S1394:S1419)</f>
        <v/>
      </c>
    </row>
    <row r="1433">
      <c r="A1433" t="inlineStr">
        <is>
          <t>Normal-Only Total DPS (this block's swept value)</t>
        </is>
      </c>
      <c r="B1433">
        <f>SUM(U1394:U1419)</f>
        <v/>
      </c>
    </row>
    <row r="1434">
      <c r="A1434" s="6" t="inlineStr">
        <is>
          <t>TOTAL DPS</t>
        </is>
      </c>
      <c r="B1434" s="6">
        <f>SUM(O1394:O1419)</f>
        <v/>
      </c>
    </row>
    <row r="1436">
      <c r="A1436" s="6" t="inlineStr">
        <is>
          <t>Stat: Rainbow-colored Snail Shell (Equip)</t>
        </is>
      </c>
    </row>
    <row r="1437">
      <c r="A1437" s="5" t="inlineStr">
        <is>
          <t>Key</t>
        </is>
      </c>
      <c r="B1437" s="5" t="inlineStr">
        <is>
          <t>Name</t>
        </is>
      </c>
      <c r="C1437" s="5" t="inlineStr">
        <is>
          <t>Unlocked</t>
        </is>
      </c>
      <c r="D1437" s="5" t="inlineStr">
        <is>
          <t>InputLevel</t>
        </is>
      </c>
      <c r="E1437" s="5" t="inlineStr">
        <is>
          <t>Factor</t>
        </is>
      </c>
      <c r="F1437" s="5" t="inlineStr">
        <is>
          <t>CoefficientPercent</t>
        </is>
      </c>
      <c r="G1437" s="5" t="inlineStr">
        <is>
          <t>EffectiveHits</t>
        </is>
      </c>
      <c r="H1437" s="5" t="inlineStr">
        <is>
          <t>ProcProbability</t>
        </is>
      </c>
      <c r="I1437" s="5" t="inlineStr">
        <is>
          <t>MapleHeroMultiplier</t>
        </is>
      </c>
      <c r="J1437" s="5" t="inlineStr">
        <is>
          <t>BaseDamage</t>
        </is>
      </c>
      <c r="K1437" s="5" t="inlineStr">
        <is>
          <t>BaseHitDamage</t>
        </is>
      </c>
      <c r="L1437" s="5" t="inlineStr">
        <is>
          <t>NonCritAvg</t>
        </is>
      </c>
      <c r="M1437" s="5" t="inlineStr">
        <is>
          <t>CritAvg</t>
        </is>
      </c>
      <c r="N1437" s="5" t="inlineStr">
        <is>
          <t>ExpectedDamage(perHit)</t>
        </is>
      </c>
      <c r="O1437" s="5" t="inlineStr">
        <is>
          <t>DPS</t>
        </is>
      </c>
      <c r="P1437" s="5" t="inlineStr">
        <is>
          <t>% of Total</t>
        </is>
      </c>
      <c r="R1437" t="inlineStr">
        <is>
          <t>helpers</t>
        </is>
      </c>
    </row>
    <row r="1438">
      <c r="A1438">
        <f>Skills!A2</f>
        <v/>
      </c>
      <c r="B1438">
        <f>Skills!B2</f>
        <v/>
      </c>
      <c r="C1438">
        <f>Inputs!$B$3&gt;=100</f>
        <v/>
      </c>
      <c r="D1438" t="inlineStr"/>
      <c r="E1438" t="inlineStr"/>
      <c r="F1438">
        <f>T1440+Skills!N2</f>
        <v/>
      </c>
      <c r="G1438">
        <f>Calc!G2</f>
        <v/>
      </c>
      <c r="H1438">
        <f>Calc!H2</f>
        <v/>
      </c>
      <c r="I1438">
        <f>IF(Skills!T2&lt;&gt;"",1+(Skills!T2/10)*($Z$3/1000)/100,1)</f>
        <v/>
      </c>
      <c r="J1438">
        <f>((Inputs!$B$6*(1+Inputs!$B$7/100))+(((Inputs!$B$13*(1+Inputs!$B$14/100))-(Inputs!$B$13*(1+Inputs!$B$14/100)))+0.25*(Inputs!$B$15-Inputs!$B$15))*(1+Inputs!$B$7/100))*(F1438/100)</f>
        <v/>
      </c>
      <c r="K1438">
        <f>J1438*(1+(((Inputs!$B$13+IF(Inputs!$B$3&gt;=35,(10*INDEX(FactorTable!$B$2:$Y$301,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2="TRIUMPH_FEATHER",IF(C1452=TRUE,F1452,0),0)/100)*(1+IF(C1463=TRUE,F1463,0)/100)^5*(1+(IF(Skills!A2="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1438)</f>
        <v/>
      </c>
      <c r="L1438">
        <f>K1438*(MIN(Inputs!$B$23+(F1458-Calc!F22),(Inputs!$B$24+IF(ArtifactsInput!$M$15,CHOOSE(ArtifactsInput!$N$15+1,25,30,35,40,45,50)/100*(Inputs!$B$12-Inputs!$B$12),0)))/100+(Inputs!$B$24+IF(ArtifactsInput!$M$15,CHOOSE(ArtifactsInput!$N$15+1,25,30,35,40,45,50)/100*(Inputs!$B$12-Inputs!$B$12),0))/100)/2</f>
        <v/>
      </c>
      <c r="M1438">
        <f>L1438*(1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38">
        <f>L1438*(1-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1438*(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38">
        <f>(1-Summary!$B$11)*S1438+Summary!$B$11*U1438</f>
        <v/>
      </c>
      <c r="P1438">
        <f>IF(B1478=0,0,O1438/B1478)</f>
        <v/>
      </c>
      <c r="Q1438">
        <f>IFERROR(1/(IF(Inputs!$B$39="pvp",15,MAX(0.1,Skills!D2-IF(Skills!E2=TRUE,Inputs!$B$33,0)))*(1-IF(AND(ArtifactsInput!$M$27,Inputs!$B$4="Chapter Hunt"),CHOOSE(ArtifactsInput!$N$27+1,20,24,28,32,36,40),0)/100)),0)</f>
        <v/>
      </c>
      <c r="R1438" t="n">
        <v>0</v>
      </c>
      <c r="S1438">
        <f>IF(C1438,(Skills!F2*N1438*B1473)*IF(Inputs!$B$39="pvp",1,1+(Inputs!$B$21+Skills!O2+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1438*(1-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1438*(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1438*(1-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1438*(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38">
        <f>MAX(0,(Inputs!$B$3-100)*3)+Inputs!$B$29+Inputs!$B$30</f>
        <v/>
      </c>
      <c r="U1438">
        <f>IF(C1438,(Skills!F2*N1438*B1473)*IF(Inputs!$B$39="pvp",1,(1+(Inputs!$B$22+Skills!P2+B1467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9">
      <c r="A1439">
        <f>Skills!A3</f>
        <v/>
      </c>
      <c r="B1439">
        <f>Skills!B3</f>
        <v/>
      </c>
      <c r="C1439">
        <f>Inputs!$B$3&gt;=15</f>
        <v/>
      </c>
      <c r="D1439">
        <f>IF(Skills!C3=1,60+Inputs!$B$26+Inputs!$B$30,IF(Skills!C3=2,90+Inputs!$B$27+Inputs!$B$30,IF(Skills!C3=3,120+Inputs!$B$28+Inputs!$B$30,MAX(0,(Inputs!$B$3-100)*3)+Inputs!$B$29+Inputs!$B$30)))</f>
        <v/>
      </c>
      <c r="E1439">
        <f>INDEX(FactorTable!$B$2:$Y$301, MATCH(ROUND(MIN(300,MAX(1,D1439)),0), FactorTable!$A$2:$A$301,0), Skills!L3+1)</f>
        <v/>
      </c>
      <c r="F1439">
        <f>IF(Skills!M3=TRUE,(Skills!K3/10)*(E1439/1000),Skills!K3/10)+Skills!N3</f>
        <v/>
      </c>
      <c r="G1439">
        <f>Calc!G3</f>
        <v/>
      </c>
      <c r="H1439">
        <f>Calc!H3</f>
        <v/>
      </c>
      <c r="I1439">
        <f>IF(Skills!T3&lt;&gt;"",1+(Skills!T3/10)*($Z$3/1000)/100,1)</f>
        <v/>
      </c>
      <c r="J1439" t="inlineStr"/>
      <c r="K1439" t="inlineStr"/>
      <c r="L1439" t="inlineStr"/>
      <c r="M1439" t="inlineStr"/>
      <c r="N1439" t="inlineStr"/>
      <c r="O1439">
        <f>(1-Summary!$B$11)*S1439+Summary!$B$11*U1439</f>
        <v/>
      </c>
      <c r="P1439">
        <f>IF(B1478=0,0,O1439/B1478)</f>
        <v/>
      </c>
      <c r="Q1439">
        <f>IFERROR(1/(IF(Inputs!$B$39="pvp",15,MAX(0.1,Skills!D3-IF(Skills!E3=TRUE,Inputs!$B$33,0)))*(1-IF(AND(ArtifactsInput!$M$27,Inputs!$B$4="Chapter Hunt"),CHOOSE(ArtifactsInput!$N$27+1,20,24,28,32,36,40),0)/100)),0)</f>
        <v/>
      </c>
      <c r="R1439">
        <f>IF(AND(Inputs!$B$39&lt;&gt;"pvp",Inputs!$B$44&gt;0),IF(Inputs!$B$44&lt;=0,0,(INT(Inputs!$B$44/(IF(Inputs!$B$39="pvp",15,MAX(0.1,Skills!D3-IF(Skills!E3=TRUE,Inputs!$B$33,0)))*(1-IF(AND(ArtifactsInput!$M$27,Inputs!$B$4="Chapter Hunt"),CHOOSE(ArtifactsInput!$N$27+1,20,24,28,32,36,40),0)/100)))+1)),0)</f>
        <v/>
      </c>
      <c r="S1439" t="n">
        <v>0</v>
      </c>
      <c r="T1439">
        <f>INDEX(FactorTable!$B$2:$Y$301, MATCH(ROUND(MIN(300,MAX(1,T1438)),0), FactorTable!$A$2:$A$301,0), 22)</f>
        <v/>
      </c>
      <c r="U1439" t="n">
        <v>0</v>
      </c>
    </row>
    <row r="1440">
      <c r="A1440">
        <f>Skills!A4</f>
        <v/>
      </c>
      <c r="B1440">
        <f>Skills!B4</f>
        <v/>
      </c>
      <c r="C1440">
        <f>Inputs!$B$3&gt;=38</f>
        <v/>
      </c>
      <c r="D1440">
        <f>IF(Skills!C4=1,60+Inputs!$B$26+Inputs!$B$30,IF(Skills!C4=2,90+Inputs!$B$27+Inputs!$B$30,IF(Skills!C4=3,120+Inputs!$B$28+Inputs!$B$30,MAX(0,(Inputs!$B$3-100)*3)+Inputs!$B$29+Inputs!$B$30)))</f>
        <v/>
      </c>
      <c r="E1440">
        <f>INDEX(FactorTable!$B$2:$Y$301, MATCH(ROUND(MIN(300,MAX(1,D1440)),0), FactorTable!$A$2:$A$301,0), Skills!L4+1)</f>
        <v/>
      </c>
      <c r="F1440">
        <f>IF(Skills!M4=TRUE,(Skills!K4/10)*(E1440/1000),Skills!K4/10)+Skills!N4</f>
        <v/>
      </c>
      <c r="G1440">
        <f>Calc!G4</f>
        <v/>
      </c>
      <c r="H1440">
        <f>Calc!H4</f>
        <v/>
      </c>
      <c r="I1440">
        <f>IF(Skills!T4&lt;&gt;"",1+(Skills!T4/10)*($Z$3/1000)/100,1)</f>
        <v/>
      </c>
      <c r="J1440" t="inlineStr"/>
      <c r="K1440" t="inlineStr"/>
      <c r="L1440" t="inlineStr"/>
      <c r="M1440" t="inlineStr"/>
      <c r="N1440" t="inlineStr"/>
      <c r="O1440">
        <f>(1-Summary!$B$11)*S1440+Summary!$B$11*U1440</f>
        <v/>
      </c>
      <c r="P1440">
        <f>IF(B1478=0,0,O1440/B1478)</f>
        <v/>
      </c>
      <c r="Q1440">
        <f>IFERROR(1/(IF(Inputs!$B$39="pvp",15,MAX(0.1,Skills!D4-IF(Skills!E4=TRUE,Inputs!$B$33,0)))*(1-IF(AND(ArtifactsInput!$M$27,Inputs!$B$4="Chapter Hunt"),CHOOSE(ArtifactsInput!$N$27+1,20,24,28,32,36,40),0)/100)),0)</f>
        <v/>
      </c>
      <c r="R1440">
        <f>IF(AND(Inputs!$B$39&lt;&gt;"pvp",Inputs!$B$44&gt;0),IF(Inputs!$B$44&lt;=0,0,(INT(Inputs!$B$44/(IF(Inputs!$B$39="pvp",15,MAX(0.1,Skills!D4-IF(Skills!E4=TRUE,Inputs!$B$33,0)))*(1-IF(AND(ArtifactsInput!$M$27,Inputs!$B$4="Chapter Hunt"),CHOOSE(ArtifactsInput!$N$27+1,20,24,28,32,36,40),0)/100)))+1)),0)</f>
        <v/>
      </c>
      <c r="S1440" t="n">
        <v>0</v>
      </c>
      <c r="T1440">
        <f>290*T1439/1000</f>
        <v/>
      </c>
      <c r="U1440" t="n">
        <v>0</v>
      </c>
    </row>
    <row r="1441">
      <c r="A1441">
        <f>Skills!A5</f>
        <v/>
      </c>
      <c r="B1441">
        <f>Skills!B5</f>
        <v/>
      </c>
      <c r="C1441">
        <f>Inputs!$B$3&gt;=40</f>
        <v/>
      </c>
      <c r="D1441">
        <f>IF(Skills!C5=1,60+Inputs!$B$26+Inputs!$B$30,IF(Skills!C5=2,90+Inputs!$B$27+Inputs!$B$30,IF(Skills!C5=3,120+Inputs!$B$28+Inputs!$B$30,MAX(0,(Inputs!$B$3-100)*3)+Inputs!$B$29+Inputs!$B$30)))</f>
        <v/>
      </c>
      <c r="E1441">
        <f>INDEX(FactorTable!$B$2:$Y$301, MATCH(ROUND(MIN(300,MAX(1,D1441)),0), FactorTable!$A$2:$A$301,0), Skills!L5+1)</f>
        <v/>
      </c>
      <c r="F1441">
        <f>IF(Skills!M5=TRUE,(Skills!K5/10)*(E1441/1000),Skills!K5/10)+Skills!N5</f>
        <v/>
      </c>
      <c r="G1441">
        <f>Calc!G5</f>
        <v/>
      </c>
      <c r="H1441">
        <f>Calc!H5</f>
        <v/>
      </c>
      <c r="I1441">
        <f>IF(Skills!T5&lt;&gt;"",1+(Skills!T5/10)*($Z$3/1000)/100,1)</f>
        <v/>
      </c>
      <c r="J1441" t="inlineStr"/>
      <c r="K1441" t="inlineStr"/>
      <c r="L1441" t="inlineStr"/>
      <c r="M1441" t="inlineStr"/>
      <c r="N1441" t="inlineStr"/>
      <c r="O1441">
        <f>(1-Summary!$B$11)*S1441+Summary!$B$11*U1441</f>
        <v/>
      </c>
      <c r="P1441">
        <f>IF(B1478=0,0,O1441/B1478)</f>
        <v/>
      </c>
      <c r="Q1441">
        <f>IFERROR(1/(IF(Inputs!$B$39="pvp",15,MAX(0.1,Skills!D5-IF(Skills!E5=TRUE,Inputs!$B$33,0)))*(1-IF(AND(ArtifactsInput!$M$27,Inputs!$B$4="Chapter Hunt"),CHOOSE(ArtifactsInput!$N$27+1,20,24,28,32,36,40),0)/100)),0)</f>
        <v/>
      </c>
      <c r="R1441">
        <f>IF(AND(Inputs!$B$39&lt;&gt;"pvp",Inputs!$B$44&gt;0),IF(Inputs!$B$44&lt;=0,0,(INT(Inputs!$B$44/(IF(Inputs!$B$39="pvp",15,MAX(0.1,Skills!D5-IF(Skills!E5=TRUE,Inputs!$B$33,0)))*(1-IF(AND(ArtifactsInput!$M$27,Inputs!$B$4="Chapter Hunt"),CHOOSE(ArtifactsInput!$N$27+1,20,24,28,32,36,40),0)/100)))+1)),0)</f>
        <v/>
      </c>
      <c r="S1441" t="n">
        <v>0</v>
      </c>
      <c r="U1441" t="n">
        <v>0</v>
      </c>
    </row>
    <row r="1442">
      <c r="A1442">
        <f>Skills!A6</f>
        <v/>
      </c>
      <c r="B1442">
        <f>Skills!B6</f>
        <v/>
      </c>
      <c r="C1442">
        <f>Inputs!$B$3&gt;=103</f>
        <v/>
      </c>
      <c r="D1442">
        <f>IF(Skills!C6=1,60+Inputs!$B$26+Inputs!$B$30,IF(Skills!C6=2,90+Inputs!$B$27+Inputs!$B$30,IF(Skills!C6=3,120+Inputs!$B$28+Inputs!$B$30,MAX(0,(Inputs!$B$3-100)*3)+Inputs!$B$29+Inputs!$B$30)))</f>
        <v/>
      </c>
      <c r="E1442">
        <f>INDEX(FactorTable!$B$2:$Y$301, MATCH(ROUND(MIN(300,MAX(1,D1442)),0), FactorTable!$A$2:$A$301,0), Skills!L6+1)</f>
        <v/>
      </c>
      <c r="F1442">
        <f>IF(Skills!M6=TRUE,(Skills!K6/10)*(E1442/1000),Skills!K6/10)+Skills!N6</f>
        <v/>
      </c>
      <c r="G1442">
        <f>Calc!G6</f>
        <v/>
      </c>
      <c r="H1442">
        <f>Calc!H6</f>
        <v/>
      </c>
      <c r="I1442">
        <f>IF(Skills!T6&lt;&gt;"",1+(Skills!T6/10)*($Z$3/1000)/100,1)</f>
        <v/>
      </c>
      <c r="J1442">
        <f>((Inputs!$B$6*(1+Inputs!$B$7/100))+(((Inputs!$B$13*(1+Inputs!$B$14/100))-(Inputs!$B$13*(1+Inputs!$B$14/100)))+0.25*(Inputs!$B$15-Inputs!$B$15))*(1+Inputs!$B$7/100))*(F1442/100)</f>
        <v/>
      </c>
      <c r="K1442">
        <f>J1442*(1+(((Inputs!$B$13+IF(Inputs!$B$3&gt;=35,(10*INDEX(FactorTable!$B$2:$Y$301,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6="TRIUMPH_FEATHER",IF(C1452=TRUE,F1452,0),0)/100)*(1+IF(C1463=TRUE,F1463,0)/100)^5*(1+(IF(Skills!A6="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1442)</f>
        <v/>
      </c>
      <c r="L1442">
        <f>K1442*(MIN(Inputs!$B$23+(F1458-Calc!F22),(Inputs!$B$24+IF(ArtifactsInput!$M$15,CHOOSE(ArtifactsInput!$N$15+1,25,30,35,40,45,50)/100*(Inputs!$B$12-Inputs!$B$12),0)))/100+(Inputs!$B$24+IF(ArtifactsInput!$M$15,CHOOSE(ArtifactsInput!$N$15+1,25,30,35,40,45,50)/100*(Inputs!$B$12-Inputs!$B$12),0))/100)/2</f>
        <v/>
      </c>
      <c r="M1442">
        <f>L1442*(1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2">
        <f>L1442*(1-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1442*(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2">
        <f>(1-Summary!$B$11)*S1442+Summary!$B$11*U1442</f>
        <v/>
      </c>
      <c r="P1442">
        <f>IF(B1478=0,0,O1442/B1478)</f>
        <v/>
      </c>
      <c r="Q1442">
        <f>IFERROR(1/(IF(Inputs!$B$39="pvp",15,MAX(0.1,Skills!D6-IF(Skills!E6=TRUE,Inputs!$B$33,0)))*(1-IF(AND(ArtifactsInput!$M$27,Inputs!$B$4="Chapter Hunt"),CHOOSE(ArtifactsInput!$N$27+1,20,24,28,32,36,40),0)/100)),0)</f>
        <v/>
      </c>
      <c r="R1442">
        <f>IF(AND(Inputs!$B$39&lt;&gt;"pvp",Inputs!$B$44&gt;0),IF(MAX(0,Inputs!$B$44-B1475)&lt;=0,0,(INT(MAX(0,Inputs!$B$44-B1475)/(IF(Inputs!$B$39="pvp",15,MAX(0.1,Skills!D6-IF(Skills!E6=TRUE,Inputs!$B$33,0)))*(1-IF(AND(ArtifactsInput!$M$27,Inputs!$B$4="Chapter Hunt"),CHOOSE(ArtifactsInput!$N$27+1,20,24,28,32,36,40),0)/100)))+1)),0)</f>
        <v/>
      </c>
      <c r="S1442">
        <f>IF(C1442,(H1442*N1442*IF(AND(Inputs!$B$39&lt;&gt;"pvp",Inputs!$B$44&gt;0),((Skills!F6*((R1442-1)*IF(Skills!G6&gt;0,Skills!H6/Skills!G6,1)+IF(Skills!G6&gt;0,MIN(Skills!H6,MAX(0,MAX(0,Inputs!$B$44-B1475)-((R1442-1)*(IF(Inputs!$B$39="pvp",15,MAX(0.1,Skills!D6-IF(Skills!E6=TRUE,Inputs!$B$33,0)))*(1-IF(AND(ArtifactsInput!$M$27,Inputs!$B$4="Chapter Hunt"),CHOOSE(ArtifactsInput!$N$27+1,20,24,28,32,36,40),0)/100)))))/Skills!G6,1)))/Inputs!$B$44),G1442*Q1442))*IF(Inputs!$B$39="pvp",1,1+(Inputs!$B$21+Skills!O6+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1442*(1-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1442*(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1442*(1-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1442*(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2">
        <f>IF(C1442,(H1442*N1442*IF(AND(Inputs!$B$39&lt;&gt;"pvp",Inputs!$B$44&gt;0),((Skills!F6*((R1442-1)*IF(Skills!G6&gt;0,Skills!H6/Skills!G6,1)+IF(Skills!G6&gt;0,MIN(Skills!H6,MAX(0,MAX(0,Inputs!$B$44-B1475)-((R1442-1)*(IF(Inputs!$B$39="pvp",15,MAX(0.1,Skills!D6-IF(Skills!E6=TRUE,Inputs!$B$33,0)))*(1-IF(AND(ArtifactsInput!$M$27,Inputs!$B$4="Chapter Hunt"),CHOOSE(ArtifactsInput!$N$27+1,20,24,28,32,36,40),0)/100)))))/Skills!G6,1)))/Inputs!$B$44),G1442*Q1442))*IF(Inputs!$B$39="pvp",1,(1+(Inputs!$B$22+Skills!P6+B1467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3">
      <c r="A1443">
        <f>Skills!A7</f>
        <v/>
      </c>
      <c r="B1443">
        <f>Skills!B7</f>
        <v/>
      </c>
      <c r="C1443">
        <f>Inputs!$B$3&gt;=122</f>
        <v/>
      </c>
      <c r="D1443">
        <f>IF(Skills!C7=1,60+Inputs!$B$26+Inputs!$B$30,IF(Skills!C7=2,90+Inputs!$B$27+Inputs!$B$30,IF(Skills!C7=3,120+Inputs!$B$28+Inputs!$B$30,MAX(0,(Inputs!$B$3-100)*3)+Inputs!$B$29+Inputs!$B$30)))</f>
        <v/>
      </c>
      <c r="E1443">
        <f>INDEX(FactorTable!$B$2:$Y$301, MATCH(ROUND(MIN(300,MAX(1,D1443)),0), FactorTable!$A$2:$A$301,0), Skills!L7+1)</f>
        <v/>
      </c>
      <c r="F1443">
        <f>IF(Skills!M7=TRUE,(Skills!K7/10)*(E1443/1000),Skills!K7/10)+Skills!N7</f>
        <v/>
      </c>
      <c r="G1443">
        <f>Calc!G7</f>
        <v/>
      </c>
      <c r="H1443">
        <f>Calc!H7</f>
        <v/>
      </c>
      <c r="I1443">
        <f>IF(Skills!T7&lt;&gt;"",1+(Skills!T7/10)*($Z$3/1000)/100,1)</f>
        <v/>
      </c>
      <c r="J1443">
        <f>((Inputs!$B$6*(1+Inputs!$B$7/100))+(((Inputs!$B$13*(1+Inputs!$B$14/100))-(Inputs!$B$13*(1+Inputs!$B$14/100)))+0.25*(Inputs!$B$15-Inputs!$B$15))*(1+Inputs!$B$7/100))*(F1443/100)</f>
        <v/>
      </c>
      <c r="K1443">
        <f>J1443*(1+(((Inputs!$B$13+IF(Inputs!$B$3&gt;=35,(10*INDEX(FactorTable!$B$2:$Y$301,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7="TRIUMPH_FEATHER",IF(C1452=TRUE,F1452,0),0)/100)*(1+IF(C1463=TRUE,F1463,0)/100)^5*(1+(IF(Skills!A7="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1443)</f>
        <v/>
      </c>
      <c r="L1443">
        <f>K1443*(MIN(Inputs!$B$23+(F1458-Calc!F22),(Inputs!$B$24+IF(ArtifactsInput!$M$15,CHOOSE(ArtifactsInput!$N$15+1,25,30,35,40,45,50)/100*(Inputs!$B$12-Inputs!$B$12),0)))/100+(Inputs!$B$24+IF(ArtifactsInput!$M$15,CHOOSE(ArtifactsInput!$N$15+1,25,30,35,40,45,50)/100*(Inputs!$B$12-Inputs!$B$12),0))/100)/2</f>
        <v/>
      </c>
      <c r="M1443">
        <f>L1443*(1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3">
        <f>L1443*(1-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1443*(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3">
        <f>(1-Summary!$B$11)*S1443+Summary!$B$11*U1443</f>
        <v/>
      </c>
      <c r="P1443">
        <f>IF(B1478=0,0,O1443/B1478)</f>
        <v/>
      </c>
      <c r="Q1443">
        <f>IFERROR(1/(IF(Inputs!$B$39="pvp",15,MAX(0.1,Skills!D7-IF(Skills!E6=TRUE,Inputs!$B$33,0)))*(1-IF(AND(ArtifactsInput!$M$27,Inputs!$B$4="Chapter Hunt"),CHOOSE(ArtifactsInput!$N$27+1,20,24,28,32,36,40),0)/100)),0)</f>
        <v/>
      </c>
      <c r="R1443">
        <f>IF(AND(Inputs!$B$39&lt;&gt;"pvp",Inputs!$B$44&gt;0),IF(MAX(0,Inputs!$B$44-B1475)&lt;=0,0,(INT(MAX(0,Inputs!$B$44-B1475)/(IF(Inputs!$B$39="pvp",15,MAX(0.1,Skills!D7-IF(Skills!E6=TRUE,Inputs!$B$33,0)))*(1-IF(AND(ArtifactsInput!$M$27,Inputs!$B$4="Chapter Hunt"),CHOOSE(ArtifactsInput!$N$27+1,20,24,28,32,36,40),0)/100)))+1)),0)</f>
        <v/>
      </c>
      <c r="S1443">
        <f>IF(C1443,H1443*N1443*IF(AND(Inputs!$B$39&lt;&gt;"pvp",Inputs!$B$44&gt;0),((Skills!F7*((R1443-1)*IF(Skills!G7&gt;0,Skills!H7/Skills!G7,1)+IF(Skills!G7&gt;0,MIN(Skills!H7,MAX(0,MAX(0,Inputs!$B$44-B1475)-((R1443-1)*(IF(Inputs!$B$39="pvp",15,MAX(0.1,Skills!D7-IF(Skills!E6=TRUE,Inputs!$B$33,0)))*(1-IF(AND(ArtifactsInput!$M$27,Inputs!$B$4="Chapter Hunt"),CHOOSE(ArtifactsInput!$N$27+1,20,24,28,32,36,40),0)/100)))))/Skills!G7,1)))/Inputs!$B$44),G1443*Q1443)*IF(Inputs!$B$39="pvp",1,1+(Inputs!$B$21+Skills!O7+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1443*(1-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1443*(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1443*(1-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1443*(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3" t="n">
        <v>0</v>
      </c>
    </row>
    <row r="1444">
      <c r="A1444">
        <f>Skills!A8</f>
        <v/>
      </c>
      <c r="B1444">
        <f>Skills!B8</f>
        <v/>
      </c>
      <c r="C1444">
        <f>Inputs!$B$3&gt;=105</f>
        <v/>
      </c>
      <c r="D1444">
        <f>IF(Skills!C8=1,60+Inputs!$B$26+Inputs!$B$30,IF(Skills!C8=2,90+Inputs!$B$27+Inputs!$B$30,IF(Skills!C8=3,120+Inputs!$B$28+Inputs!$B$30,MAX(0,(Inputs!$B$3-100)*3)+Inputs!$B$29+Inputs!$B$30)))</f>
        <v/>
      </c>
      <c r="E1444">
        <f>INDEX(FactorTable!$B$2:$Y$301, MATCH(ROUND(MIN(300,MAX(1,D1444)),0), FactorTable!$A$2:$A$301,0), Skills!L8+1)</f>
        <v/>
      </c>
      <c r="F1444">
        <f>IF(Skills!M8=TRUE,(Skills!K8/10)*(E1444/1000),Skills!K8/10)+Skills!N8</f>
        <v/>
      </c>
      <c r="G1444">
        <f>Calc!G8</f>
        <v/>
      </c>
      <c r="H1444">
        <f>Calc!H8</f>
        <v/>
      </c>
      <c r="I1444">
        <f>IF(Skills!T8&lt;&gt;"",1+(Skills!T8/10)*($Z$3/1000)/100,1)</f>
        <v/>
      </c>
      <c r="J1444">
        <f>((Inputs!$B$6*(1+Inputs!$B$7/100))+(((Inputs!$B$13*(1+Inputs!$B$14/100))-(Inputs!$B$13*(1+Inputs!$B$14/100)))+0.25*(Inputs!$B$15-Inputs!$B$15))*(1+Inputs!$B$7/100))*(F1444/100)</f>
        <v/>
      </c>
      <c r="K1444">
        <f>J1444*(1+(((Inputs!$B$13+IF(Inputs!$B$3&gt;=35,(10*INDEX(FactorTable!$B$2:$Y$301,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8="TRIUMPH_FEATHER",IF(C1452=TRUE,F1452,0),0)/100)*(1+IF(C1463=TRUE,F1463,0)/100)^5*(1+(IF(Skills!A8="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1444)</f>
        <v/>
      </c>
      <c r="L1444">
        <f>K1444*(MIN(Inputs!$B$23+(F1458-Calc!F22),(Inputs!$B$24+IF(ArtifactsInput!$M$15,CHOOSE(ArtifactsInput!$N$15+1,25,30,35,40,45,50)/100*(Inputs!$B$12-Inputs!$B$12),0)))/100+(Inputs!$B$24+IF(ArtifactsInput!$M$15,CHOOSE(ArtifactsInput!$N$15+1,25,30,35,40,45,50)/100*(Inputs!$B$12-Inputs!$B$12),0))/100)/2</f>
        <v/>
      </c>
      <c r="M1444">
        <f>L1444*(1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4">
        <f>L1444*(1-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1444*(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4">
        <f>(1-Summary!$B$11)*S1444+Summary!$B$11*U1444</f>
        <v/>
      </c>
      <c r="P1444">
        <f>IF(B1478=0,0,O1444/B1478)</f>
        <v/>
      </c>
      <c r="Q1444">
        <f>IFERROR(1/(IF(Inputs!$B$39="pvp",15,MAX(0.1,Skills!D8-IF(Skills!E8=TRUE,Inputs!$B$33,0)))*(1-IF(AND(ArtifactsInput!$M$27,Inputs!$B$4="Chapter Hunt"),CHOOSE(ArtifactsInput!$N$27+1,20,24,28,32,36,40),0)/100)),0)</f>
        <v/>
      </c>
      <c r="R1444">
        <f>IF(AND(Inputs!$B$39&lt;&gt;"pvp",Inputs!$B$44&gt;0),IF(MAX(0,Inputs!$B$44-B1475)&lt;=0,0,(INT(MAX(0,Inputs!$B$44-B1475)/(IF(Inputs!$B$39="pvp",15,MAX(0.1,Skills!D8-IF(Skills!E8=TRUE,Inputs!$B$33,0)))*(1-IF(AND(ArtifactsInput!$M$27,Inputs!$B$4="Chapter Hunt"),CHOOSE(ArtifactsInput!$N$27+1,20,24,28,32,36,40),0)/100)))+1)),0)</f>
        <v/>
      </c>
      <c r="S1444">
        <f>IF(C1444,(H1444*N1444*IF(AND(Inputs!$B$39&lt;&gt;"pvp",Inputs!$B$44&gt;0),((Skills!F8*((R1444-1)*IF(Skills!G8&gt;0,Skills!H8/Skills!G8,1)+IF(Skills!G8&gt;0,MIN(Skills!H8,MAX(0,MAX(0,Inputs!$B$44-B1475)-((R1444-1)*(IF(Inputs!$B$39="pvp",15,MAX(0.1,Skills!D8-IF(Skills!E8=TRUE,Inputs!$B$33,0)))*(1-IF(AND(ArtifactsInput!$M$27,Inputs!$B$4="Chapter Hunt"),CHOOSE(ArtifactsInput!$N$27+1,20,24,28,32,36,40),0)/100)))))/Skills!G8,1)))/Inputs!$B$44),G1444*Q1444))*IF(Inputs!$B$39="pvp",1,1+(Inputs!$B$21+Skills!O8+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1444*(1-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1444*(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1444*(1-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1444*(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4">
        <f>IF(C1444,(H1444*N1444*IF(AND(Inputs!$B$39&lt;&gt;"pvp",Inputs!$B$44&gt;0),((Skills!F8*((R1444-1)*IF(Skills!G8&gt;0,Skills!H8/Skills!G8,1)+IF(Skills!G8&gt;0,MIN(Skills!H8,MAX(0,MAX(0,Inputs!$B$44-B1475)-((R1444-1)*(IF(Inputs!$B$39="pvp",15,MAX(0.1,Skills!D8-IF(Skills!E8=TRUE,Inputs!$B$33,0)))*(1-IF(AND(ArtifactsInput!$M$27,Inputs!$B$4="Chapter Hunt"),CHOOSE(ArtifactsInput!$N$27+1,20,24,28,32,36,40),0)/100)))))/Skills!G8,1)))/Inputs!$B$44),G1444*Q1444))*IF(Inputs!$B$39="pvp",1,(1+(Inputs!$B$22+Skills!P8+B1467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5">
      <c r="A1445">
        <f>Skills!A9</f>
        <v/>
      </c>
      <c r="B1445">
        <f>Skills!B9</f>
        <v/>
      </c>
      <c r="C1445">
        <f>Inputs!$B$3&gt;=115</f>
        <v/>
      </c>
      <c r="D1445">
        <f>IF(Skills!C9=1,60+Inputs!$B$26+Inputs!$B$30,IF(Skills!C9=2,90+Inputs!$B$27+Inputs!$B$30,IF(Skills!C9=3,120+Inputs!$B$28+Inputs!$B$30,MAX(0,(Inputs!$B$3-100)*3)+Inputs!$B$29+Inputs!$B$30)))</f>
        <v/>
      </c>
      <c r="E1445">
        <f>INDEX(FactorTable!$B$2:$Y$301, MATCH(ROUND(MIN(300,MAX(1,D1445)),0), FactorTable!$A$2:$A$301,0), Skills!L9+1)</f>
        <v/>
      </c>
      <c r="F1445">
        <f>IF(Skills!M9=TRUE,(Skills!K9/10)*(E1445/1000),Skills!K9/10)+Skills!N9</f>
        <v/>
      </c>
      <c r="G1445">
        <f>Calc!G9</f>
        <v/>
      </c>
      <c r="H1445">
        <f>Calc!H9</f>
        <v/>
      </c>
      <c r="I1445">
        <f>IF(Skills!T9&lt;&gt;"",1+(Skills!T9/10)*($Z$3/1000)/100,1)</f>
        <v/>
      </c>
      <c r="J1445">
        <f>((Inputs!$B$6*(1+Inputs!$B$7/100))+(((Inputs!$B$13*(1+Inputs!$B$14/100))-(Inputs!$B$13*(1+Inputs!$B$14/100)))+0.25*(Inputs!$B$15-Inputs!$B$15))*(1+Inputs!$B$7/100))*(F1445/100)</f>
        <v/>
      </c>
      <c r="K1445">
        <f>J1445*(1+(((Inputs!$B$13+IF(Inputs!$B$3&gt;=35,(10*INDEX(FactorTable!$B$2:$Y$301,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9="TRIUMPH_FEATHER",IF(C1452=TRUE,F1452,0),0)/100)*(1+IF(C1463=TRUE,F1463,0)/100)^5*(1+(IF(Skills!A9="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1445)</f>
        <v/>
      </c>
      <c r="L1445">
        <f>K1445*(MIN(Inputs!$B$23+(F1458-Calc!F22),(Inputs!$B$24+IF(ArtifactsInput!$M$15,CHOOSE(ArtifactsInput!$N$15+1,25,30,35,40,45,50)/100*(Inputs!$B$12-Inputs!$B$12),0)))/100+(Inputs!$B$24+IF(ArtifactsInput!$M$15,CHOOSE(ArtifactsInput!$N$15+1,25,30,35,40,45,50)/100*(Inputs!$B$12-Inputs!$B$12),0))/100)/2</f>
        <v/>
      </c>
      <c r="M1445">
        <f>L1445*(1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5">
        <f>L1445*(1-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1445*(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5">
        <f>(1-Summary!$B$11)*S1445+Summary!$B$11*U1445</f>
        <v/>
      </c>
      <c r="P1445">
        <f>IF(B1478=0,0,O1445/B1478)</f>
        <v/>
      </c>
      <c r="Q1445">
        <f>IFERROR(1/(IF(Inputs!$B$39="pvp",15,MAX(0.1,Skills!D9-IF(Skills!E9=TRUE,Inputs!$B$33,0)))*(1-IF(AND(ArtifactsInput!$M$27,Inputs!$B$4="Chapter Hunt"),CHOOSE(ArtifactsInput!$N$27+1,20,24,28,32,36,40),0)/100)),0)</f>
        <v/>
      </c>
      <c r="R1445">
        <f>IF(AND(Inputs!$B$39&lt;&gt;"pvp",Inputs!$B$44&gt;0),IF(MAX(0,Inputs!$B$44-B1475)&lt;=0,0,(INT(MAX(0,Inputs!$B$44-B1475)/(IF(Inputs!$B$39="pvp",15,MAX(0.1,Skills!D9-IF(Skills!E9=TRUE,Inputs!$B$33,0)))*(1-IF(AND(ArtifactsInput!$M$27,Inputs!$B$4="Chapter Hunt"),CHOOSE(ArtifactsInput!$N$27+1,20,24,28,32,36,40),0)/100)))+1)),0)</f>
        <v/>
      </c>
      <c r="S1445">
        <f>IF(C1445,(H1445*N1445*IF(AND(Inputs!$B$39&lt;&gt;"pvp",Inputs!$B$44&gt;0),((Skills!F9*((R1445-1)*IF(Skills!G9&gt;0,Skills!H9/Skills!G9,1)+IF(Skills!G9&gt;0,MIN(Skills!H9,MAX(0,MAX(0,Inputs!$B$44-B1475)-((R1445-1)*(IF(Inputs!$B$39="pvp",15,MAX(0.1,Skills!D9-IF(Skills!E9=TRUE,Inputs!$B$33,0)))*(1-IF(AND(ArtifactsInput!$M$27,Inputs!$B$4="Chapter Hunt"),CHOOSE(ArtifactsInput!$N$27+1,20,24,28,32,36,40),0)/100)))))/Skills!G9,1)))/Inputs!$B$44),G1445*Q1445))*IF(Inputs!$B$39="pvp",1,1+(Inputs!$B$21+Skills!O9+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1445*(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1445*(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5">
        <f>IF(C1445,(H1445*N1445*IF(AND(Inputs!$B$39&lt;&gt;"pvp",Inputs!$B$44&gt;0),((Skills!F9*((R1445-1)*IF(Skills!G9&gt;0,Skills!H9/Skills!G9,1)+IF(Skills!G9&gt;0,MIN(Skills!H9,MAX(0,MAX(0,Inputs!$B$44-B1475)-((R1445-1)*(IF(Inputs!$B$39="pvp",15,MAX(0.1,Skills!D9-IF(Skills!E9=TRUE,Inputs!$B$33,0)))*(1-IF(AND(ArtifactsInput!$M$27,Inputs!$B$4="Chapter Hunt"),CHOOSE(ArtifactsInput!$N$27+1,20,24,28,32,36,40),0)/100)))))/Skills!G9,1)))/Inputs!$B$44),G1445*Q1445))*IF(Inputs!$B$39="pvp",1,(1+(Inputs!$B$22+Skills!P9+B1467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6">
      <c r="A1446">
        <f>Skills!A10</f>
        <v/>
      </c>
      <c r="B1446">
        <f>Skills!B10</f>
        <v/>
      </c>
      <c r="C1446">
        <f>Inputs!$B$3&gt;=66</f>
        <v/>
      </c>
      <c r="D1446">
        <f>IF(Skills!C10=1,60+Inputs!$B$26+Inputs!$B$30,IF(Skills!C10=2,90+Inputs!$B$27+Inputs!$B$30,IF(Skills!C10=3,120+Inputs!$B$28+Inputs!$B$30,MAX(0,(Inputs!$B$3-100)*3)+Inputs!$B$29+Inputs!$B$30)))</f>
        <v/>
      </c>
      <c r="E1446">
        <f>INDEX(FactorTable!$B$2:$Y$301, MATCH(ROUND(MIN(300,MAX(1,D1446)),0), FactorTable!$A$2:$A$301,0), Skills!L10+1)</f>
        <v/>
      </c>
      <c r="F1446" t="n">
        <v>0</v>
      </c>
      <c r="G1446">
        <f>Calc!G10</f>
        <v/>
      </c>
      <c r="H1446">
        <f>Calc!H10</f>
        <v/>
      </c>
      <c r="I1446">
        <f>IF(Skills!T10&lt;&gt;"",1+(Skills!T10/10)*($Z$3/1000)/100,1)</f>
        <v/>
      </c>
      <c r="J1446" t="inlineStr"/>
      <c r="K1446" t="inlineStr"/>
      <c r="L1446" t="inlineStr"/>
      <c r="M1446" t="inlineStr"/>
      <c r="N1446" t="inlineStr"/>
      <c r="O1446">
        <f>(1-Summary!$B$11)*S1446+Summary!$B$11*U1446</f>
        <v/>
      </c>
      <c r="P1446">
        <f>IF(B1478=0,0,O1446/B1478)</f>
        <v/>
      </c>
      <c r="Q1446">
        <f>IFERROR(1/(IF(Inputs!$B$39="pvp",15,MAX(0.1,Skills!D10-IF(Skills!E10=TRUE,Inputs!$B$33,0)))*(1-IF(AND(ArtifactsInput!$M$27,Inputs!$B$4="Chapter Hunt"),CHOOSE(ArtifactsInput!$N$27+1,20,24,28,32,36,40),0)/100)),0)</f>
        <v/>
      </c>
      <c r="R1446">
        <f>IF(AND(Inputs!$B$39&lt;&gt;"pvp",Inputs!$B$44&gt;0),IF(MAX(0,Inputs!$B$44-B1475)&lt;=0,0,(INT(MAX(0,Inputs!$B$44-B1475)/(IF(Inputs!$B$39="pvp",15,MAX(0.1,Skills!D10-IF(Skills!E10=TRUE,Inputs!$B$33,0)))*(1-IF(AND(ArtifactsInput!$M$27,Inputs!$B$4="Chapter Hunt"),CHOOSE(ArtifactsInput!$N$27+1,20,24,28,32,36,40),0)/100)))+1)),0)</f>
        <v/>
      </c>
      <c r="S1446" t="n">
        <v>0</v>
      </c>
      <c r="U1446" t="n">
        <v>0</v>
      </c>
    </row>
    <row r="1447">
      <c r="A1447">
        <f>Skills!A11</f>
        <v/>
      </c>
      <c r="B1447">
        <f>Skills!B11</f>
        <v/>
      </c>
      <c r="C1447">
        <f>Inputs!$B$3&gt;=69</f>
        <v/>
      </c>
      <c r="D1447">
        <f>IF(Skills!C11=1,60+Inputs!$B$26+Inputs!$B$30,IF(Skills!C11=2,90+Inputs!$B$27+Inputs!$B$30,IF(Skills!C11=3,120+Inputs!$B$28+Inputs!$B$30,MAX(0,(Inputs!$B$3-100)*3)+Inputs!$B$29+Inputs!$B$30)))</f>
        <v/>
      </c>
      <c r="E1447">
        <f>INDEX(FactorTable!$B$2:$Y$301, MATCH(ROUND(MIN(300,MAX(1,D1447)),0), FactorTable!$A$2:$A$301,0), Skills!L11+1)</f>
        <v/>
      </c>
      <c r="F1447">
        <f>IF(Skills!M11=TRUE,(Skills!K11/10)*(E1447/1000),Skills!K11/10)+Skills!N11</f>
        <v/>
      </c>
      <c r="G1447">
        <f>Calc!G11</f>
        <v/>
      </c>
      <c r="H1447">
        <f>Calc!H11</f>
        <v/>
      </c>
      <c r="I1447">
        <f>IF(Skills!T11&lt;&gt;"",1+(Skills!T11/10)*($Z$3/1000)/100,1)</f>
        <v/>
      </c>
      <c r="J1447" t="inlineStr"/>
      <c r="K1447" t="inlineStr"/>
      <c r="L1447" t="inlineStr"/>
      <c r="M1447" t="inlineStr"/>
      <c r="N1447" t="inlineStr"/>
      <c r="O1447">
        <f>(1-Summary!$B$11)*S1447+Summary!$B$11*U1447</f>
        <v/>
      </c>
      <c r="P1447">
        <f>IF(B1478=0,0,O1447/B1478)</f>
        <v/>
      </c>
      <c r="Q1447">
        <f>IFERROR(1/(IF(Inputs!$B$39="pvp",15,MAX(0.1,Skills!D11-IF(Skills!E11=TRUE,Inputs!$B$33,0)))*(1-IF(AND(ArtifactsInput!$M$27,Inputs!$B$4="Chapter Hunt"),CHOOSE(ArtifactsInput!$N$27+1,20,24,28,32,36,40),0)/100)),0)</f>
        <v/>
      </c>
      <c r="R1447">
        <f>IF(AND(Inputs!$B$39&lt;&gt;"pvp",Inputs!$B$44&gt;0),IF(Inputs!$B$44&lt;=0,0,(INT(Inputs!$B$44/(IF(Inputs!$B$39="pvp",15,MAX(0.1,Skills!D11-IF(Skills!E11=TRUE,Inputs!$B$33,0)))*(1-IF(AND(ArtifactsInput!$M$27,Inputs!$B$4="Chapter Hunt"),CHOOSE(ArtifactsInput!$N$27+1,20,24,28,32,36,40),0)/100)))+1)),0)</f>
        <v/>
      </c>
      <c r="S1447" t="n">
        <v>0</v>
      </c>
      <c r="U1447" t="n">
        <v>0</v>
      </c>
    </row>
    <row r="1448">
      <c r="A1448">
        <f>Skills!A12</f>
        <v/>
      </c>
      <c r="B1448">
        <f>Skills!B12</f>
        <v/>
      </c>
      <c r="C1448">
        <f>Inputs!$B$3&gt;=72</f>
        <v/>
      </c>
      <c r="D1448">
        <f>IF(Skills!C12=1,60+Inputs!$B$26+Inputs!$B$30,IF(Skills!C12=2,90+Inputs!$B$27+Inputs!$B$30,IF(Skills!C12=3,120+Inputs!$B$28+Inputs!$B$30,MAX(0,(Inputs!$B$3-100)*3)+Inputs!$B$29+Inputs!$B$30)))</f>
        <v/>
      </c>
      <c r="E1448">
        <f>INDEX(FactorTable!$B$2:$Y$301, MATCH(ROUND(MIN(300,MAX(1,D1448)),0), FactorTable!$A$2:$A$301,0), Skills!L12+1)</f>
        <v/>
      </c>
      <c r="F1448">
        <f>IF(Skills!M12=TRUE,(Skills!K12/10)*(E1448/1000),Skills!K12/10)+Skills!N12</f>
        <v/>
      </c>
      <c r="G1448">
        <f>Calc!G12</f>
        <v/>
      </c>
      <c r="H1448">
        <f>Calc!H12</f>
        <v/>
      </c>
      <c r="I1448">
        <f>IF(Skills!T12&lt;&gt;"",1+(Skills!T12/10)*($Z$3/1000)/100,1)</f>
        <v/>
      </c>
      <c r="J1448" t="inlineStr"/>
      <c r="K1448" t="inlineStr"/>
      <c r="L1448" t="inlineStr"/>
      <c r="M1448" t="inlineStr"/>
      <c r="N1448" t="inlineStr"/>
      <c r="O1448">
        <f>(1-Summary!$B$11)*S1448+Summary!$B$11*U1448</f>
        <v/>
      </c>
      <c r="P1448">
        <f>IF(B1478=0,0,O1448/B1478)</f>
        <v/>
      </c>
      <c r="Q1448">
        <f>IFERROR(1/(IF(Inputs!$B$39="pvp",15,MAX(0.1,Skills!D12-IF(Skills!E12=TRUE,Inputs!$B$33,0)))*(1-IF(AND(ArtifactsInput!$M$27,Inputs!$B$4="Chapter Hunt"),CHOOSE(ArtifactsInput!$N$27+1,20,24,28,32,36,40),0)/100)),0)</f>
        <v/>
      </c>
      <c r="R1448">
        <f>IF(AND(Inputs!$B$39&lt;&gt;"pvp",Inputs!$B$44&gt;0),IF(MAX(0,Inputs!$B$44-B1475)&lt;=0,0,(INT(MAX(0,Inputs!$B$44-B1475)/(IF(Inputs!$B$39="pvp",15,MAX(0.1,Skills!D12-IF(Skills!E12=TRUE,Inputs!$B$33,0)))*(1-IF(AND(ArtifactsInput!$M$27,Inputs!$B$4="Chapter Hunt"),CHOOSE(ArtifactsInput!$N$27+1,20,24,28,32,36,40),0)/100)))+1)),0)</f>
        <v/>
      </c>
      <c r="S1448" t="n">
        <v>0</v>
      </c>
      <c r="U1448" t="n">
        <v>0</v>
      </c>
    </row>
    <row r="1449">
      <c r="A1449">
        <f>Skills!A13</f>
        <v/>
      </c>
      <c r="B1449">
        <f>Skills!B13</f>
        <v/>
      </c>
      <c r="C1449">
        <f>Inputs!$B$3&gt;=60</f>
        <v/>
      </c>
      <c r="D1449">
        <f>IF(Skills!C13=1,60+Inputs!$B$26+Inputs!$B$30,IF(Skills!C13=2,90+Inputs!$B$27+Inputs!$B$30,IF(Skills!C13=3,120+Inputs!$B$28+Inputs!$B$30,MAX(0,(Inputs!$B$3-100)*3)+Inputs!$B$29+Inputs!$B$30)))</f>
        <v/>
      </c>
      <c r="E1449">
        <f>INDEX(FactorTable!$B$2:$Y$301, MATCH(ROUND(MIN(300,MAX(1,D1449)),0), FactorTable!$A$2:$A$301,0), Skills!L13+1)</f>
        <v/>
      </c>
      <c r="F1449">
        <f>IF(Skills!M13=TRUE,(Skills!K13/10)*(E1449/1000),Skills!K13/10)+Skills!N13</f>
        <v/>
      </c>
      <c r="G1449">
        <f>Calc!G13</f>
        <v/>
      </c>
      <c r="H1449">
        <f>Calc!H13</f>
        <v/>
      </c>
      <c r="I1449">
        <f>IF(Skills!T13&lt;&gt;"",1+(Skills!T13/10)*($Z$3/1000)/100,1)</f>
        <v/>
      </c>
      <c r="J1449" t="inlineStr"/>
      <c r="K1449" t="inlineStr"/>
      <c r="L1449" t="inlineStr"/>
      <c r="M1449" t="inlineStr"/>
      <c r="N1449" t="inlineStr"/>
      <c r="O1449">
        <f>(1-Summary!$B$11)*S1449+Summary!$B$11*U1449</f>
        <v/>
      </c>
      <c r="P1449">
        <f>IF(B1478=0,0,O1449/B1478)</f>
        <v/>
      </c>
      <c r="Q1449">
        <f>IFERROR(1/(IF(Inputs!$B$39="pvp",15,MAX(0.1,Skills!D13-IF(Skills!E13=TRUE,Inputs!$B$33,0)))*(1-IF(AND(ArtifactsInput!$M$27,Inputs!$B$4="Chapter Hunt"),CHOOSE(ArtifactsInput!$N$27+1,20,24,28,32,36,40),0)/100)),0)</f>
        <v/>
      </c>
      <c r="R1449">
        <f>IF(AND(Inputs!$B$39&lt;&gt;"pvp",Inputs!$B$44&gt;0),IF(MAX(0,Inputs!$B$44-B1475)&lt;=0,0,(INT(MAX(0,Inputs!$B$44-B1475)/(IF(Inputs!$B$39="pvp",15,MAX(0.1,Skills!D13-IF(Skills!E13=TRUE,Inputs!$B$33,0)))*(1-IF(AND(ArtifactsInput!$M$27,Inputs!$B$4="Chapter Hunt"),CHOOSE(ArtifactsInput!$N$27+1,20,24,28,32,36,40),0)/100)))+1)),0)</f>
        <v/>
      </c>
      <c r="S1449" t="n">
        <v>0</v>
      </c>
      <c r="U1449" t="n">
        <v>0</v>
      </c>
    </row>
    <row r="1450">
      <c r="A1450">
        <f>Skills!A14</f>
        <v/>
      </c>
      <c r="B1450">
        <f>Skills!B14</f>
        <v/>
      </c>
      <c r="C1450">
        <f>Inputs!$B$3&gt;=107</f>
        <v/>
      </c>
      <c r="D1450">
        <f>IF(Skills!C14=1,60+Inputs!$B$26+Inputs!$B$30,IF(Skills!C14=2,90+Inputs!$B$27+Inputs!$B$30,IF(Skills!C14=3,120+Inputs!$B$28+Inputs!$B$30,MAX(0,(Inputs!$B$3-100)*3)+Inputs!$B$29+Inputs!$B$30)))</f>
        <v/>
      </c>
      <c r="E1450">
        <f>INDEX(FactorTable!$B$2:$Y$301, MATCH(ROUND(MIN(300,MAX(1,D1450)),0), FactorTable!$A$2:$A$301,0), Skills!L14+1)</f>
        <v/>
      </c>
      <c r="F1450">
        <f>IF(Skills!M14=TRUE,(Skills!K14/10)*(E1450/1000),Skills!K14/10)+Skills!N14</f>
        <v/>
      </c>
      <c r="G1450">
        <f>Calc!G14</f>
        <v/>
      </c>
      <c r="H1450">
        <f>Calc!H14</f>
        <v/>
      </c>
      <c r="I1450">
        <f>IF(Skills!T14&lt;&gt;"",1+(Skills!T14/10)*($Z$3/1000)/100,1)</f>
        <v/>
      </c>
      <c r="J1450" t="inlineStr"/>
      <c r="K1450" t="inlineStr"/>
      <c r="L1450" t="inlineStr"/>
      <c r="M1450" t="inlineStr"/>
      <c r="N1450" t="inlineStr"/>
      <c r="O1450">
        <f>(1-Summary!$B$11)*S1450+Summary!$B$11*U1450</f>
        <v/>
      </c>
      <c r="P1450">
        <f>IF(B1478=0,0,O1450/B1478)</f>
        <v/>
      </c>
      <c r="Q1450">
        <f>IFERROR(1/(IF(Inputs!$B$39="pvp",15,MAX(0.1,Skills!D14-IF(Skills!E14=TRUE,Inputs!$B$33,0)))*(1-IF(AND(ArtifactsInput!$M$27,Inputs!$B$4="Chapter Hunt"),CHOOSE(ArtifactsInput!$N$27+1,20,24,28,32,36,40),0)/100)),0)</f>
        <v/>
      </c>
      <c r="R1450">
        <f>IF(AND(Inputs!$B$39&lt;&gt;"pvp",Inputs!$B$44&gt;0),IF(Inputs!$B$44&lt;=0,0,(INT(Inputs!$B$44/(IF(Inputs!$B$39="pvp",15,MAX(0.1,Skills!D14-IF(Skills!E14=TRUE,Inputs!$B$33,0)))*(1-IF(AND(ArtifactsInput!$M$27,Inputs!$B$4="Chapter Hunt"),CHOOSE(ArtifactsInput!$N$27+1,20,24,28,32,36,40),0)/100)))+1)),0)</f>
        <v/>
      </c>
      <c r="S1450" t="n">
        <v>0</v>
      </c>
      <c r="U1450" t="n">
        <v>0</v>
      </c>
    </row>
    <row r="1451">
      <c r="A1451">
        <f>Skills!A15</f>
        <v/>
      </c>
      <c r="B1451">
        <f>Skills!B15</f>
        <v/>
      </c>
      <c r="C1451">
        <f>Inputs!$B$3&gt;=63</f>
        <v/>
      </c>
      <c r="D1451">
        <f>IF(Skills!C15=1,60+Inputs!$B$26+Inputs!$B$30,IF(Skills!C15=2,90+Inputs!$B$27+Inputs!$B$30,IF(Skills!C15=3,120+Inputs!$B$28+Inputs!$B$30,MAX(0,(Inputs!$B$3-100)*3)+Inputs!$B$29+Inputs!$B$30)))</f>
        <v/>
      </c>
      <c r="E1451">
        <f>INDEX(FactorTable!$B$2:$Y$301, MATCH(ROUND(MIN(300,MAX(1,D1451)),0), FactorTable!$A$2:$A$301,0), Skills!L15+1)</f>
        <v/>
      </c>
      <c r="F1451">
        <f>IF(Skills!M15=TRUE,(Skills!K15/10)*(E1451/1000),Skills!K15/10)+Skills!N15</f>
        <v/>
      </c>
      <c r="G1451">
        <f>Calc!G15</f>
        <v/>
      </c>
      <c r="H1451">
        <f>Calc!H15</f>
        <v/>
      </c>
      <c r="I1451">
        <f>IF(Skills!T15&lt;&gt;"",1+(Skills!T15/10)*($Z$3/1000)/100,1)</f>
        <v/>
      </c>
      <c r="J1451">
        <f>((Inputs!$B$6*(1+Inputs!$B$7/100))+(((Inputs!$B$13*(1+Inputs!$B$14/100))-(Inputs!$B$13*(1+Inputs!$B$14/100)))+0.25*(Inputs!$B$15-Inputs!$B$15))*(1+Inputs!$B$7/100))*(F1451/100)</f>
        <v/>
      </c>
      <c r="K1451">
        <f>J1451*(1+(((Inputs!$B$13+IF(Inputs!$B$3&gt;=35,(10*INDEX(FactorTable!$B$2:$Y$301,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15="TRIUMPH_FEATHER",IF(C1452=TRUE,F1452,0),0)/100)*(1+IF(C1463=TRUE,F1463,0)/100)^5*(1+(IF(Skills!A15="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1451)</f>
        <v/>
      </c>
      <c r="L1451">
        <f>K1451*(MIN(Inputs!$B$23+(F1458-Calc!F22),(Inputs!$B$24+IF(ArtifactsInput!$M$15,CHOOSE(ArtifactsInput!$N$15+1,25,30,35,40,45,50)/100*(Inputs!$B$12-Inputs!$B$12),0)))/100+(Inputs!$B$24+IF(ArtifactsInput!$M$15,CHOOSE(ArtifactsInput!$N$15+1,25,30,35,40,45,50)/100*(Inputs!$B$12-Inputs!$B$12),0))/100)/2</f>
        <v/>
      </c>
      <c r="M1451">
        <f>L1451*(1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51">
        <f>L1451*(1-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1451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51">
        <f>(1-Summary!$B$11)*S1451+Summary!$B$11*U1451</f>
        <v/>
      </c>
      <c r="P1451">
        <f>IF(B1478=0,0,O1451/B1478)</f>
        <v/>
      </c>
      <c r="Q1451">
        <f>IFERROR(1/(IF(Inputs!$B$39="pvp",15,MAX(0.1,Skills!D15-IF(Skills!E15=TRUE,Inputs!$B$33,0)))*(1-IF(AND(ArtifactsInput!$M$27,Inputs!$B$4="Chapter Hunt"),CHOOSE(ArtifactsInput!$N$27+1,20,24,28,32,36,40),0)/100)),0)</f>
        <v/>
      </c>
      <c r="R1451" t="n">
        <v>0</v>
      </c>
      <c r="S1451">
        <f>IF(C1451,(Skills!F15*N1451*((IF(Inputs!$B$3&gt;=78,25,15)/100*B1471*10)/(1+IF(Inputs!$B$3&gt;=78,25,15)/100*B1471*10))*(Skills!I15/100*B1471)/(1+Skills!G15*Skills!I15/100*B1471))*IF(Inputs!$B$39="pvp",1,1+(Inputs!$B$21+Skills!O15+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1451*(1-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1451*(1-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51">
        <f>IF(C1451,(Skills!F15*N1451*((IF(Inputs!$B$3&gt;=78,25,15)/100*B1471*10)/(1+IF(Inputs!$B$3&gt;=78,25,15)/100*B1471*10))*(Skills!I15/100*B1471)/(1+Skills!G15*Skills!I15/100*B1471))*IF(Inputs!$B$39="pvp",1,(1+(Inputs!$B$22+Skills!P15+B1467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2">
      <c r="A1452">
        <f>Skills!A16</f>
        <v/>
      </c>
      <c r="B1452">
        <f>Skills!B16</f>
        <v/>
      </c>
      <c r="C1452">
        <f>Inputs!$B$3&gt;=100</f>
        <v/>
      </c>
      <c r="D1452">
        <f>IF(Skills!C16=1,60+Inputs!$B$26+Inputs!$B$30,IF(Skills!C16=2,90+Inputs!$B$27+Inputs!$B$30,IF(Skills!C16=3,120+Inputs!$B$28+Inputs!$B$30,MAX(0,(Inputs!$B$3-100)*3)+Inputs!$B$29+Inputs!$B$30)))</f>
        <v/>
      </c>
      <c r="E1452">
        <f>INDEX(FactorTable!$B$2:$Y$301, MATCH(ROUND(MIN(300,MAX(1,D1452)),0), FactorTable!$A$2:$A$301,0), Skills!L16+1)</f>
        <v/>
      </c>
      <c r="F1452">
        <f>IF(Skills!M16=TRUE,(Skills!K16/10)*(E1452/1000),Skills!K16/10)+Skills!N16</f>
        <v/>
      </c>
      <c r="G1452">
        <f>Calc!G16</f>
        <v/>
      </c>
      <c r="H1452">
        <f>Calc!H16</f>
        <v/>
      </c>
      <c r="I1452">
        <f>IF(Skills!T16&lt;&gt;"",1+(Skills!T16/10)*($Z$3/1000)/100,1)</f>
        <v/>
      </c>
      <c r="J1452" t="inlineStr"/>
      <c r="K1452" t="inlineStr"/>
      <c r="L1452" t="inlineStr"/>
      <c r="M1452" t="inlineStr"/>
      <c r="N1452" t="inlineStr"/>
      <c r="O1452">
        <f>(1-Summary!$B$11)*S1452+Summary!$B$11*U1452</f>
        <v/>
      </c>
      <c r="P1452">
        <f>IF(B1478=0,0,O1452/B1478)</f>
        <v/>
      </c>
      <c r="Q1452">
        <f>IFERROR(1/(IF(Inputs!$B$39="pvp",15,MAX(0.1,Skills!D16-IF(Skills!E16=TRUE,Inputs!$B$33,0)))*(1-IF(AND(ArtifactsInput!$M$27,Inputs!$B$4="Chapter Hunt"),CHOOSE(ArtifactsInput!$N$27+1,20,24,28,32,36,40),0)/100)),0)</f>
        <v/>
      </c>
      <c r="R1452" t="n">
        <v>0</v>
      </c>
      <c r="S1452" t="n">
        <v>0</v>
      </c>
      <c r="U1452" t="n">
        <v>0</v>
      </c>
    </row>
    <row r="1453">
      <c r="A1453">
        <f>Skills!A17</f>
        <v/>
      </c>
      <c r="B1453">
        <f>Skills!B17</f>
        <v/>
      </c>
      <c r="C1453">
        <f>Inputs!$B$3&gt;=49</f>
        <v/>
      </c>
      <c r="D1453">
        <f>IF(Skills!C17=1,60+Inputs!$B$26+Inputs!$B$30,IF(Skills!C17=2,90+Inputs!$B$27+Inputs!$B$30,IF(Skills!C17=3,120+Inputs!$B$28+Inputs!$B$30,MAX(0,(Inputs!$B$3-100)*3)+Inputs!$B$29+Inputs!$B$30)))</f>
        <v/>
      </c>
      <c r="E1453">
        <f>INDEX(FactorTable!$B$2:$Y$301, MATCH(ROUND(MIN(300,MAX(1,D1453)),0), FactorTable!$A$2:$A$301,0), Skills!L17+1)</f>
        <v/>
      </c>
      <c r="F1453">
        <f>IF(Skills!M17=TRUE,(Skills!K17/10)*(E1453/1000),Skills!K17/10)+Skills!N17</f>
        <v/>
      </c>
      <c r="G1453">
        <f>Calc!G17</f>
        <v/>
      </c>
      <c r="H1453">
        <f>Calc!H17</f>
        <v/>
      </c>
      <c r="I1453">
        <f>IF(Skills!T17&lt;&gt;"",1+(Skills!T17/10)*($Z$3/1000)/100,1)</f>
        <v/>
      </c>
      <c r="J1453" t="inlineStr"/>
      <c r="K1453" t="inlineStr"/>
      <c r="L1453" t="inlineStr"/>
      <c r="M1453" t="inlineStr"/>
      <c r="N1453" t="inlineStr"/>
      <c r="O1453">
        <f>(1-Summary!$B$11)*S1453+Summary!$B$11*U1453</f>
        <v/>
      </c>
      <c r="P1453">
        <f>IF(B1478=0,0,O1453/B1478)</f>
        <v/>
      </c>
      <c r="Q1453">
        <f>IFERROR(1/(IF(Inputs!$B$39="pvp",15,MAX(0.1,Skills!D17-IF(Skills!E17=TRUE,Inputs!$B$33,0)))*(1-IF(AND(ArtifactsInput!$M$27,Inputs!$B$4="Chapter Hunt"),CHOOSE(ArtifactsInput!$N$27+1,20,24,28,32,36,40),0)/100)),0)</f>
        <v/>
      </c>
      <c r="R1453" t="n">
        <v>0</v>
      </c>
      <c r="S1453" t="n">
        <v>0</v>
      </c>
      <c r="U1453" t="n">
        <v>0</v>
      </c>
    </row>
    <row r="1454">
      <c r="A1454">
        <f>Skills!A18</f>
        <v/>
      </c>
      <c r="B1454">
        <f>Skills!B18</f>
        <v/>
      </c>
      <c r="C1454">
        <f>Inputs!$B$3&gt;=75</f>
        <v/>
      </c>
      <c r="D1454">
        <f>IF(Skills!C18=1,60+Inputs!$B$26+Inputs!$B$30,IF(Skills!C18=2,90+Inputs!$B$27+Inputs!$B$30,IF(Skills!C18=3,120+Inputs!$B$28+Inputs!$B$30,MAX(0,(Inputs!$B$3-100)*3)+Inputs!$B$29+Inputs!$B$30)))</f>
        <v/>
      </c>
      <c r="E1454">
        <f>INDEX(FactorTable!$B$2:$Y$301, MATCH(ROUND(MIN(300,MAX(1,D1454)),0), FactorTable!$A$2:$A$301,0), Skills!L18+1)</f>
        <v/>
      </c>
      <c r="F1454">
        <f>IF(Skills!M18=TRUE,(Skills!K18/10)*(E1454/1000),Skills!K18/10)+Skills!N18</f>
        <v/>
      </c>
      <c r="G1454">
        <f>Calc!G18</f>
        <v/>
      </c>
      <c r="H1454">
        <f>Calc!H18</f>
        <v/>
      </c>
      <c r="I1454">
        <f>IF(Skills!T18&lt;&gt;"",1+(Skills!T18/10)*($Z$3/1000)/100,1)</f>
        <v/>
      </c>
      <c r="J1454" t="inlineStr"/>
      <c r="K1454" t="inlineStr"/>
      <c r="L1454" t="inlineStr"/>
      <c r="M1454" t="inlineStr"/>
      <c r="N1454" t="inlineStr"/>
      <c r="O1454">
        <f>(1-Summary!$B$11)*S1454+Summary!$B$11*U1454</f>
        <v/>
      </c>
      <c r="P1454">
        <f>IF(B1478=0,0,O1454/B1478)</f>
        <v/>
      </c>
      <c r="Q1454">
        <f>IFERROR(1/(IF(Inputs!$B$39="pvp",15,MAX(0.1,Skills!D18-IF(Skills!E18=TRUE,Inputs!$B$33,0)))*(1-IF(AND(ArtifactsInput!$M$27,Inputs!$B$4="Chapter Hunt"),CHOOSE(ArtifactsInput!$N$27+1,20,24,28,32,36,40),0)/100)),0)</f>
        <v/>
      </c>
      <c r="R1454" t="n">
        <v>0</v>
      </c>
      <c r="S1454" t="n">
        <v>0</v>
      </c>
      <c r="U1454" t="n">
        <v>0</v>
      </c>
    </row>
    <row r="1455">
      <c r="A1455">
        <f>Skills!A19</f>
        <v/>
      </c>
      <c r="B1455">
        <f>Skills!B19</f>
        <v/>
      </c>
      <c r="C1455">
        <f>Inputs!$B$3&gt;=110</f>
        <v/>
      </c>
      <c r="D1455">
        <f>IF(Skills!C19=1,60+Inputs!$B$26+Inputs!$B$30,IF(Skills!C19=2,90+Inputs!$B$27+Inputs!$B$30,IF(Skills!C19=3,120+Inputs!$B$28+Inputs!$B$30,MAX(0,(Inputs!$B$3-100)*3)+Inputs!$B$29+Inputs!$B$30)))</f>
        <v/>
      </c>
      <c r="E1455">
        <f>INDEX(FactorTable!$B$2:$Y$301, MATCH(ROUND(MIN(300,MAX(1,D1455)),0), FactorTable!$A$2:$A$301,0), Skills!L19+1)</f>
        <v/>
      </c>
      <c r="F1455">
        <f>(Skills!K19/10)*(E1455/1000)*64/45+Skills!N19</f>
        <v/>
      </c>
      <c r="G1455">
        <f>Calc!G19</f>
        <v/>
      </c>
      <c r="H1455">
        <f>Calc!H19</f>
        <v/>
      </c>
      <c r="I1455">
        <f>IF(Skills!T19&lt;&gt;"",1+(Skills!T19/10)*($Z$3/1000)/100,1)</f>
        <v/>
      </c>
      <c r="J1455" t="inlineStr"/>
      <c r="K1455" t="inlineStr"/>
      <c r="L1455" t="inlineStr"/>
      <c r="M1455" t="inlineStr"/>
      <c r="N1455" t="inlineStr"/>
      <c r="O1455">
        <f>(1-Summary!$B$11)*S1455+Summary!$B$11*U1455</f>
        <v/>
      </c>
      <c r="P1455">
        <f>IF(B1478=0,0,O1455/B1478)</f>
        <v/>
      </c>
      <c r="Q1455">
        <f>IFERROR(1/(IF(Inputs!$B$39="pvp",15,MAX(0.1,Skills!D19-IF(Skills!E19=TRUE,Inputs!$B$33,0)))*(1-IF(AND(ArtifactsInput!$M$27,Inputs!$B$4="Chapter Hunt"),CHOOSE(ArtifactsInput!$N$27+1,20,24,28,32,36,40),0)/100)),0)</f>
        <v/>
      </c>
      <c r="R1455">
        <f>IF(AND(Inputs!$B$39&lt;&gt;"pvp",Inputs!$B$44&gt;0),IF(Inputs!$B$44&lt;=0,0,(INT(Inputs!$B$44/(IF(Inputs!$B$39="pvp",15,MAX(0.1,Skills!D19-IF(Skills!E19=TRUE,Inputs!$B$33,0)))*(1-IF(AND(ArtifactsInput!$M$27,Inputs!$B$4="Chapter Hunt"),CHOOSE(ArtifactsInput!$N$27+1,20,24,28,32,36,40),0)/100)))+1)),0)</f>
        <v/>
      </c>
      <c r="S1455" t="n">
        <v>0</v>
      </c>
      <c r="U1455" t="n">
        <v>0</v>
      </c>
    </row>
    <row r="1456">
      <c r="A1456">
        <f>Skills!A20</f>
        <v/>
      </c>
      <c r="B1456">
        <f>Skills!B20</f>
        <v/>
      </c>
      <c r="C1456">
        <f>Inputs!$B$3&gt;=125</f>
        <v/>
      </c>
      <c r="D1456">
        <f>IF(Skills!C20=1,60+Inputs!$B$26+Inputs!$B$30,IF(Skills!C20=2,90+Inputs!$B$27+Inputs!$B$30,IF(Skills!C20=3,120+Inputs!$B$28+Inputs!$B$30,MAX(0,(Inputs!$B$3-100)*3)+Inputs!$B$29+Inputs!$B$30)))</f>
        <v/>
      </c>
      <c r="E1456">
        <f>INDEX(FactorTable!$B$2:$Y$301, MATCH(ROUND(MIN(300,MAX(1,D1456)),0), FactorTable!$A$2:$A$301,0), Skills!L20+1)</f>
        <v/>
      </c>
      <c r="F1456">
        <f>IF(Skills!M20=TRUE,(Skills!K20/10)*(E1456/1000),Skills!K20/10)+Skills!N20</f>
        <v/>
      </c>
      <c r="G1456">
        <f>Calc!G20</f>
        <v/>
      </c>
      <c r="H1456">
        <f>Calc!H20</f>
        <v/>
      </c>
      <c r="I1456">
        <f>IF(Skills!T20&lt;&gt;"",1+(Skills!T20/10)*($Z$3/1000)/100,1)</f>
        <v/>
      </c>
      <c r="J1456" t="inlineStr"/>
      <c r="K1456" t="inlineStr"/>
      <c r="L1456" t="inlineStr"/>
      <c r="M1456" t="inlineStr"/>
      <c r="N1456" t="inlineStr"/>
      <c r="O1456">
        <f>(1-Summary!$B$11)*S1456+Summary!$B$11*U1456</f>
        <v/>
      </c>
      <c r="P1456">
        <f>IF(B1478=0,0,O1456/B1478)</f>
        <v/>
      </c>
      <c r="Q1456">
        <f>IFERROR(1/(IF(Inputs!$B$39="pvp",15,MAX(0.1,Skills!D20-IF(Skills!E20=TRUE,Inputs!$B$33,0)))*(1-IF(AND(ArtifactsInput!$M$27,Inputs!$B$4="Chapter Hunt"),CHOOSE(ArtifactsInput!$N$27+1,20,24,28,32,36,40),0)/100)),0)</f>
        <v/>
      </c>
      <c r="R1456" t="n">
        <v>0</v>
      </c>
      <c r="S1456" t="n">
        <v>0</v>
      </c>
      <c r="U1456" t="n">
        <v>0</v>
      </c>
    </row>
    <row r="1457">
      <c r="A1457">
        <f>Skills!A21</f>
        <v/>
      </c>
      <c r="B1457">
        <f>Skills!B21</f>
        <v/>
      </c>
      <c r="C1457">
        <f>Inputs!$B$3&gt;=33</f>
        <v/>
      </c>
      <c r="D1457">
        <f>IF(Skills!C21=1,60+Inputs!$B$26+Inputs!$B$30,IF(Skills!C21=2,90+Inputs!$B$27+Inputs!$B$30,IF(Skills!C21=3,120+Inputs!$B$28+Inputs!$B$30,MAX(0,(Inputs!$B$3-100)*3)+Inputs!$B$29+Inputs!$B$30)))</f>
        <v/>
      </c>
      <c r="E1457">
        <f>INDEX(FactorTable!$B$2:$Y$301, MATCH(ROUND(MIN(300,MAX(1,D1457)),0), FactorTable!$A$2:$A$301,0), Skills!L21+1)</f>
        <v/>
      </c>
      <c r="F1457">
        <f>IF(Skills!M21=TRUE,(Skills!K21/10)*(E1457/1000),Skills!K21/10)+Skills!N21</f>
        <v/>
      </c>
      <c r="G1457">
        <f>Calc!G21</f>
        <v/>
      </c>
      <c r="H1457">
        <f>Calc!H21</f>
        <v/>
      </c>
      <c r="I1457">
        <f>IF(Skills!T21&lt;&gt;"",1+(Skills!T21/10)*($Z$3/1000)/100,1)</f>
        <v/>
      </c>
      <c r="J1457" t="inlineStr"/>
      <c r="K1457" t="inlineStr"/>
      <c r="L1457" t="inlineStr"/>
      <c r="M1457" t="inlineStr"/>
      <c r="N1457" t="inlineStr"/>
      <c r="O1457">
        <f>(1-Summary!$B$11)*S1457+Summary!$B$11*U1457</f>
        <v/>
      </c>
      <c r="P1457">
        <f>IF(B1478=0,0,O1457/B1478)</f>
        <v/>
      </c>
      <c r="Q1457">
        <f>IFERROR(1/(IF(Inputs!$B$39="pvp",15,MAX(0.1,Skills!D21-IF(Skills!E21=TRUE,Inputs!$B$33,0)))*(1-IF(AND(ArtifactsInput!$M$27,Inputs!$B$4="Chapter Hunt"),CHOOSE(ArtifactsInput!$N$27+1,20,24,28,32,36,40),0)/100)),0)</f>
        <v/>
      </c>
      <c r="R1457" t="n">
        <v>0</v>
      </c>
      <c r="S1457" t="n">
        <v>0</v>
      </c>
      <c r="U1457" t="n">
        <v>0</v>
      </c>
    </row>
    <row r="1458">
      <c r="A1458">
        <f>Skills!A22</f>
        <v/>
      </c>
      <c r="B1458">
        <f>Skills!B22</f>
        <v/>
      </c>
      <c r="C1458">
        <f>Inputs!$B$3&gt;=43</f>
        <v/>
      </c>
      <c r="D1458">
        <f>IF(Skills!C22=1,60+Inputs!$B$26+Inputs!$B$30,IF(Skills!C22=2,90+Inputs!$B$27+Inputs!$B$30,IF(Skills!C22=3,120+Inputs!$B$28+Inputs!$B$30,MAX(0,(Inputs!$B$3-100)*3)+Inputs!$B$29+Inputs!$B$30)))</f>
        <v/>
      </c>
      <c r="E1458">
        <f>INDEX(FactorTable!$B$2:$Y$301, MATCH(ROUND(MIN(300,MAX(1,D1458)),0), FactorTable!$A$2:$A$301,0), Skills!L22+1)</f>
        <v/>
      </c>
      <c r="F1458">
        <f>IF(Skills!M22=TRUE,(Skills!K22/10)*(E1458/1000),Skills!K22/10)+Skills!N22</f>
        <v/>
      </c>
      <c r="G1458">
        <f>Calc!G22</f>
        <v/>
      </c>
      <c r="H1458">
        <f>Calc!H22</f>
        <v/>
      </c>
      <c r="I1458">
        <f>IF(Skills!T22&lt;&gt;"",1+(Skills!T22/10)*($Z$3/1000)/100,1)</f>
        <v/>
      </c>
      <c r="J1458" t="inlineStr"/>
      <c r="K1458" t="inlineStr"/>
      <c r="L1458" t="inlineStr"/>
      <c r="M1458" t="inlineStr"/>
      <c r="N1458" t="inlineStr"/>
      <c r="O1458">
        <f>(1-Summary!$B$11)*S1458+Summary!$B$11*U1458</f>
        <v/>
      </c>
      <c r="P1458">
        <f>IF(B1478=0,0,O1458/B1478)</f>
        <v/>
      </c>
      <c r="Q1458">
        <f>IFERROR(1/(IF(Inputs!$B$39="pvp",15,MAX(0.1,Skills!D22-IF(Skills!E22=TRUE,Inputs!$B$33,0)))*(1-IF(AND(ArtifactsInput!$M$27,Inputs!$B$4="Chapter Hunt"),CHOOSE(ArtifactsInput!$N$27+1,20,24,28,32,36,40),0)/100)),0)</f>
        <v/>
      </c>
      <c r="R1458" t="n">
        <v>0</v>
      </c>
      <c r="S1458" t="n">
        <v>0</v>
      </c>
      <c r="U1458" t="n">
        <v>0</v>
      </c>
    </row>
    <row r="1459">
      <c r="A1459">
        <f>Skills!A23</f>
        <v/>
      </c>
      <c r="B1459">
        <f>Skills!B23</f>
        <v/>
      </c>
      <c r="C1459">
        <f>Inputs!$B$3&gt;=50</f>
        <v/>
      </c>
      <c r="D1459">
        <f>IF(Skills!C23=1,60+Inputs!$B$26+Inputs!$B$30,IF(Skills!C23=2,90+Inputs!$B$27+Inputs!$B$30,IF(Skills!C23=3,120+Inputs!$B$28+Inputs!$B$30,MAX(0,(Inputs!$B$3-100)*3)+Inputs!$B$29+Inputs!$B$30)))</f>
        <v/>
      </c>
      <c r="E1459">
        <f>INDEX(FactorTable!$B$2:$Y$301, MATCH(ROUND(MIN(300,MAX(1,D1459)),0), FactorTable!$A$2:$A$301,0), Skills!L23+1)</f>
        <v/>
      </c>
      <c r="F1459">
        <f>IF(Skills!M23=TRUE,(Skills!K23/10)*(E1459/1000),Skills!K23/10)+Skills!N23</f>
        <v/>
      </c>
      <c r="G1459">
        <f>Calc!G23</f>
        <v/>
      </c>
      <c r="H1459">
        <f>Calc!H23</f>
        <v/>
      </c>
      <c r="I1459">
        <f>IF(Skills!T23&lt;&gt;"",1+(Skills!T23/10)*($Z$3/1000)/100,1)</f>
        <v/>
      </c>
      <c r="J1459" t="inlineStr"/>
      <c r="K1459" t="inlineStr"/>
      <c r="L1459" t="inlineStr"/>
      <c r="M1459" t="inlineStr"/>
      <c r="N1459" t="inlineStr"/>
      <c r="O1459">
        <f>(1-Summary!$B$11)*S1459+Summary!$B$11*U1459</f>
        <v/>
      </c>
      <c r="P1459">
        <f>IF(B1478=0,0,O1459/B1478)</f>
        <v/>
      </c>
      <c r="Q1459">
        <f>IFERROR(1/(IF(Inputs!$B$39="pvp",15,MAX(0.1,Skills!D23-IF(Skills!E23=TRUE,Inputs!$B$33,0)))*(1-IF(AND(ArtifactsInput!$M$27,Inputs!$B$4="Chapter Hunt"),CHOOSE(ArtifactsInput!$N$27+1,20,24,28,32,36,40),0)/100)),0)</f>
        <v/>
      </c>
      <c r="R1459" t="n">
        <v>0</v>
      </c>
      <c r="S1459" t="n">
        <v>0</v>
      </c>
      <c r="U1459" t="n">
        <v>0</v>
      </c>
    </row>
    <row r="1460">
      <c r="A1460">
        <f>Skills!A24</f>
        <v/>
      </c>
      <c r="B1460">
        <f>Skills!B24</f>
        <v/>
      </c>
      <c r="C1460">
        <f>Inputs!$B$3&gt;=74</f>
        <v/>
      </c>
      <c r="D1460">
        <f>IF(Skills!C24=1,60+Inputs!$B$26+Inputs!$B$30,IF(Skills!C24=2,90+Inputs!$B$27+Inputs!$B$30,IF(Skills!C24=3,120+Inputs!$B$28+Inputs!$B$30,MAX(0,(Inputs!$B$3-100)*3)+Inputs!$B$29+Inputs!$B$30)))</f>
        <v/>
      </c>
      <c r="E1460">
        <f>INDEX(FactorTable!$B$2:$Y$301, MATCH(ROUND(MIN(300,MAX(1,D1460)),0), FactorTable!$A$2:$A$301,0), Skills!L24+1)</f>
        <v/>
      </c>
      <c r="F1460">
        <f>IF(Skills!M24=TRUE,(Skills!K24/10)*(E1460/1000),Skills!K24/10)+Skills!N24</f>
        <v/>
      </c>
      <c r="G1460">
        <f>Calc!G24</f>
        <v/>
      </c>
      <c r="H1460">
        <f>Calc!H24</f>
        <v/>
      </c>
      <c r="I1460">
        <f>IF(Skills!T24&lt;&gt;"",1+(Skills!T24/10)*($Z$3/1000)/100,1)</f>
        <v/>
      </c>
      <c r="J1460" t="inlineStr"/>
      <c r="K1460" t="inlineStr"/>
      <c r="L1460" t="inlineStr"/>
      <c r="M1460" t="inlineStr"/>
      <c r="N1460" t="inlineStr"/>
      <c r="O1460">
        <f>(1-Summary!$B$11)*S1460+Summary!$B$11*U1460</f>
        <v/>
      </c>
      <c r="P1460">
        <f>IF(B1478=0,0,O1460/B1478)</f>
        <v/>
      </c>
      <c r="Q1460">
        <f>IFERROR(1/(IF(Inputs!$B$39="pvp",15,MAX(0.1,Skills!D24-IF(Skills!E24=TRUE,Inputs!$B$33,0)))*(1-IF(AND(ArtifactsInput!$M$27,Inputs!$B$4="Chapter Hunt"),CHOOSE(ArtifactsInput!$N$27+1,20,24,28,32,36,40),0)/100)),0)</f>
        <v/>
      </c>
      <c r="R1460" t="n">
        <v>0</v>
      </c>
      <c r="S1460" t="n">
        <v>0</v>
      </c>
      <c r="U1460" t="n">
        <v>0</v>
      </c>
    </row>
    <row r="1461">
      <c r="A1461">
        <f>Skills!A25</f>
        <v/>
      </c>
      <c r="B1461">
        <f>Skills!B25</f>
        <v/>
      </c>
      <c r="C1461">
        <f>Inputs!$B$3&gt;=74</f>
        <v/>
      </c>
      <c r="D1461">
        <f>IF(Skills!C25=1,60+Inputs!$B$26+Inputs!$B$30,IF(Skills!C25=2,90+Inputs!$B$27+Inputs!$B$30,IF(Skills!C25=3,120+Inputs!$B$28+Inputs!$B$30,MAX(0,(Inputs!$B$3-100)*3)+Inputs!$B$29+Inputs!$B$30)))</f>
        <v/>
      </c>
      <c r="E1461">
        <f>INDEX(FactorTable!$B$2:$Y$301, MATCH(ROUND(MIN(300,MAX(1,D1461)),0), FactorTable!$A$2:$A$301,0), Skills!L25+1)</f>
        <v/>
      </c>
      <c r="F1461">
        <f>IF(Skills!M25=TRUE,(Skills!K25/10)*(E1461/1000),Skills!K25/10)+Skills!N25</f>
        <v/>
      </c>
      <c r="G1461">
        <f>Calc!G25</f>
        <v/>
      </c>
      <c r="H1461">
        <f>Calc!H25</f>
        <v/>
      </c>
      <c r="I1461">
        <f>IF(Skills!T25&lt;&gt;"",1+(Skills!T25/10)*($Z$3/1000)/100,1)</f>
        <v/>
      </c>
      <c r="J1461" t="inlineStr"/>
      <c r="K1461" t="inlineStr"/>
      <c r="L1461" t="inlineStr"/>
      <c r="M1461" t="inlineStr"/>
      <c r="N1461" t="inlineStr"/>
      <c r="O1461">
        <f>(1-Summary!$B$11)*S1461+Summary!$B$11*U1461</f>
        <v/>
      </c>
      <c r="P1461">
        <f>IF(B1478=0,0,O1461/B1478)</f>
        <v/>
      </c>
      <c r="Q1461">
        <f>IFERROR(1/(IF(Inputs!$B$39="pvp",15,MAX(0.1,Skills!D25-IF(Skills!E25=TRUE,Inputs!$B$33,0)))*(1-IF(AND(ArtifactsInput!$M$27,Inputs!$B$4="Chapter Hunt"),CHOOSE(ArtifactsInput!$N$27+1,20,24,28,32,36,40),0)/100)),0)</f>
        <v/>
      </c>
      <c r="R1461" t="n">
        <v>0</v>
      </c>
      <c r="S1461" t="n">
        <v>0</v>
      </c>
      <c r="U1461" t="n">
        <v>0</v>
      </c>
    </row>
    <row r="1462">
      <c r="A1462">
        <f>Skills!A26</f>
        <v/>
      </c>
      <c r="B1462">
        <f>Skills!B26</f>
        <v/>
      </c>
      <c r="C1462">
        <f>Inputs!$B$3&gt;=117</f>
        <v/>
      </c>
      <c r="D1462">
        <f>IF(Skills!C26=1,60+Inputs!$B$26+Inputs!$B$30,IF(Skills!C26=2,90+Inputs!$B$27+Inputs!$B$30,IF(Skills!C26=3,120+Inputs!$B$28+Inputs!$B$30,MAX(0,(Inputs!$B$3-100)*3)+Inputs!$B$29+Inputs!$B$30)))</f>
        <v/>
      </c>
      <c r="E1462">
        <f>INDEX(FactorTable!$B$2:$Y$301, MATCH(ROUND(MIN(300,MAX(1,D1462)),0), FactorTable!$A$2:$A$301,0), Skills!L26+1)</f>
        <v/>
      </c>
      <c r="F1462">
        <f>IF(Skills!M26=TRUE,(Skills!K26/10)*(E1462/1000),Skills!K26/10)+Skills!N26</f>
        <v/>
      </c>
      <c r="G1462">
        <f>Calc!G26</f>
        <v/>
      </c>
      <c r="H1462">
        <f>Calc!H26</f>
        <v/>
      </c>
      <c r="I1462">
        <f>IF(Skills!T26&lt;&gt;"",1+(Skills!T26/10)*($Z$3/1000)/100,1)</f>
        <v/>
      </c>
      <c r="J1462" t="inlineStr"/>
      <c r="K1462" t="inlineStr"/>
      <c r="L1462" t="inlineStr"/>
      <c r="M1462" t="inlineStr"/>
      <c r="N1462" t="inlineStr"/>
      <c r="O1462">
        <f>(1-Summary!$B$11)*S1462+Summary!$B$11*U1462</f>
        <v/>
      </c>
      <c r="P1462">
        <f>IF(B1478=0,0,O1462/B1478)</f>
        <v/>
      </c>
      <c r="Q1462">
        <f>IFERROR(1/(IF(Inputs!$B$39="pvp",15,MAX(0.1,Skills!D26-IF(Skills!E26=TRUE,Inputs!$B$33,0)))*(1-IF(AND(ArtifactsInput!$M$27,Inputs!$B$4="Chapter Hunt"),CHOOSE(ArtifactsInput!$N$27+1,20,24,28,32,36,40),0)/100)),0)</f>
        <v/>
      </c>
      <c r="R1462" t="n">
        <v>0</v>
      </c>
      <c r="S1462" t="n">
        <v>0</v>
      </c>
      <c r="U1462" t="n">
        <v>0</v>
      </c>
    </row>
    <row r="1463">
      <c r="A1463">
        <f>Skills!A27</f>
        <v/>
      </c>
      <c r="B1463">
        <f>Skills!B27</f>
        <v/>
      </c>
      <c r="C1463">
        <f>Inputs!$B$3&gt;=120</f>
        <v/>
      </c>
      <c r="D1463">
        <f>IF(Skills!C27=1,60+Inputs!$B$26+Inputs!$B$30,IF(Skills!C27=2,90+Inputs!$B$27+Inputs!$B$30,IF(Skills!C27=3,120+Inputs!$B$28+Inputs!$B$30,MAX(0,(Inputs!$B$3-100)*3)+Inputs!$B$29+Inputs!$B$30)))</f>
        <v/>
      </c>
      <c r="E1463">
        <f>INDEX(FactorTable!$B$2:$Y$301, MATCH(ROUND(MIN(300,MAX(1,D1463)),0), FactorTable!$A$2:$A$301,0), Skills!L27+1)</f>
        <v/>
      </c>
      <c r="F1463">
        <f>IF(Skills!M27=TRUE,(Skills!K27/10)*(E1463/1000),Skills!K27/10)+Skills!N27</f>
        <v/>
      </c>
      <c r="G1463">
        <f>Calc!G27</f>
        <v/>
      </c>
      <c r="H1463">
        <f>Calc!H27</f>
        <v/>
      </c>
      <c r="I1463">
        <f>IF(Skills!T27&lt;&gt;"",1+(Skills!T27/10)*($Z$3/1000)/100,1)</f>
        <v/>
      </c>
      <c r="J1463" t="inlineStr"/>
      <c r="K1463" t="inlineStr"/>
      <c r="L1463" t="inlineStr"/>
      <c r="M1463" t="inlineStr"/>
      <c r="N1463" t="inlineStr"/>
      <c r="O1463">
        <f>(1-Summary!$B$11)*S1463+Summary!$B$11*U1463</f>
        <v/>
      </c>
      <c r="P1463">
        <f>IF(B1478=0,0,O1463/B1478)</f>
        <v/>
      </c>
      <c r="Q1463">
        <f>IFERROR(1/(IF(Inputs!$B$39="pvp",15,MAX(0.1,Skills!D27-IF(Skills!E27=TRUE,Inputs!$B$33,0)))*(1-IF(AND(ArtifactsInput!$M$27,Inputs!$B$4="Chapter Hunt"),CHOOSE(ArtifactsInput!$N$27+1,20,24,28,32,36,40),0)/100)),0)</f>
        <v/>
      </c>
      <c r="R1463" t="n">
        <v>0</v>
      </c>
      <c r="S1463" t="n">
        <v>0</v>
      </c>
      <c r="U1463" t="n">
        <v>0</v>
      </c>
    </row>
    <row r="1465">
      <c r="A1465" t="inlineStr">
        <is>
          <t>Average Buff Multiplier</t>
        </is>
      </c>
      <c r="B1465">
        <f>(1+(IF(C1439=TRUE,F1439*IF(AND(Inputs!$B$39&lt;&gt;"pvp",Inputs!$B$44&gt;0),(((R1439-1)*(Skills!S3*(1+((Inputs!$B$35+(ArtifactsInput!$M$7-ArtifactsInput!$M$7)*CHOOSE(ArtifactsInput!$N$7+1,6,7.2,8.4,9.6,10.8,12))+IF(Inputs!$B$3&gt;=117,F1462,0))/100))+MIN((Skills!S3*(1+((Inputs!$B$35+(ArtifactsInput!$M$7-ArtifactsInput!$M$7)*CHOOSE(ArtifactsInput!$N$7+1,6,7.2,8.4,9.6,10.8,12))+IF(Inputs!$B$3&gt;=117,F1462,0))/100)),MAX(0,Inputs!$B$44-((R1439-1)*Skills!D3))))/Inputs!$B$44),IF(Inputs!$B$39="pvp",MIN((Skills!S3*(1+((Inputs!$B$35+(ArtifactsInput!$M$7-ArtifactsInput!$M$7)*CHOOSE(ArtifactsInput!$N$7+1,6,7.2,8.4,9.6,10.8,12))+IF(Inputs!$B$3&gt;=117,F1462,0))/100)),15)/15,(Skills!S3*(1+((Inputs!$B$35+(ArtifactsInput!$M$7-ArtifactsInput!$M$7)*CHOOSE(ArtifactsInput!$N$7+1,6,7.2,8.4,9.6,10.8,12))+IF(Inputs!$B$3&gt;=117,F1462,0))/100))/Skills!D3)),0)+IF(C1440=TRUE,F1440*IF(AND(Inputs!$B$39&lt;&gt;"pvp",Inputs!$B$44&gt;0),(((R1440-1)*(Skills!S4*(1+((Inputs!$B$35+(ArtifactsInput!$M$7-ArtifactsInput!$M$7)*CHOOSE(ArtifactsInput!$N$7+1,6,7.2,8.4,9.6,10.8,12))+IF(Inputs!$B$3&gt;=117,F1462,0))/100))+MIN((Skills!S4*(1+((Inputs!$B$35+(ArtifactsInput!$M$7-ArtifactsInput!$M$7)*CHOOSE(ArtifactsInput!$N$7+1,6,7.2,8.4,9.6,10.8,12))+IF(Inputs!$B$3&gt;=117,F1462,0))/100)),MAX(0,Inputs!$B$44-((R1440-1)*Skills!D4))))/Inputs!$B$44),IF(Inputs!$B$39="pvp",MIN((Skills!S4*(1+((Inputs!$B$35+(ArtifactsInput!$M$7-ArtifactsInput!$M$7)*CHOOSE(ArtifactsInput!$N$7+1,6,7.2,8.4,9.6,10.8,12))+IF(Inputs!$B$3&gt;=117,F1462,0))/100)),15)/15,(Skills!S4*(1+((Inputs!$B$35+(ArtifactsInput!$M$7-ArtifactsInput!$M$7)*CHOOSE(ArtifactsInput!$N$7+1,6,7.2,8.4,9.6,10.8,12))+IF(Inputs!$B$3&gt;=117,F1462,0))/100))/Skills!D4)),0)+IF(C1441=TRUE,F1441*IF(AND(Inputs!$B$39&lt;&gt;"pvp",Inputs!$B$44&gt;0),(((R1441-1)*(Skills!S5*(1+((Inputs!$B$35+(ArtifactsInput!$M$7-ArtifactsInput!$M$7)*CHOOSE(ArtifactsInput!$N$7+1,6,7.2,8.4,9.6,10.8,12))+IF(Inputs!$B$3&gt;=117,F1462,0))/100))+MIN((Skills!S5*(1+((Inputs!$B$35+(ArtifactsInput!$M$7-ArtifactsInput!$M$7)*CHOOSE(ArtifactsInput!$N$7+1,6,7.2,8.4,9.6,10.8,12))+IF(Inputs!$B$3&gt;=117,F1462,0))/100)),MAX(0,Inputs!$B$44-((R1441-1)*Skills!D5))))/Inputs!$B$44),IF(Inputs!$B$39="pvp",MIN((Skills!S5*(1+((Inputs!$B$35+(ArtifactsInput!$M$7-ArtifactsInput!$M$7)*CHOOSE(ArtifactsInput!$N$7+1,6,7.2,8.4,9.6,10.8,12))+IF(Inputs!$B$3&gt;=117,F1462,0))/100)),15)/15,(Skills!S5*(1+((Inputs!$B$35+(ArtifactsInput!$M$7-ArtifactsInput!$M$7)*CHOOSE(ArtifactsInput!$N$7+1,6,7.2,8.4,9.6,10.8,12))+IF(Inputs!$B$3&gt;=117,F1462,0))/100))/Skills!D5)),0)+IF(C1447=TRUE,F1447*IF(AND(Inputs!$B$39&lt;&gt;"pvp",Inputs!$B$44&gt;0),(((R1447-1)*(Skills!S11*(1+((Inputs!$B$35+(ArtifactsInput!$M$7-ArtifactsInput!$M$7)*CHOOSE(ArtifactsInput!$N$7+1,6,7.2,8.4,9.6,10.8,12))+IF(Inputs!$B$3&gt;=117,F1462,0))/100))+MIN((Skills!S11*(1+((Inputs!$B$35+(ArtifactsInput!$M$7-ArtifactsInput!$M$7)*CHOOSE(ArtifactsInput!$N$7+1,6,7.2,8.4,9.6,10.8,12))+IF(Inputs!$B$3&gt;=117,F1462,0))/100)),MAX(0,Inputs!$B$44-((R1447-1)*Skills!D11))))/Inputs!$B$44),IF(Inputs!$B$39="pvp",MIN((Skills!S11*(1+((Inputs!$B$35+(ArtifactsInput!$M$7-ArtifactsInput!$M$7)*CHOOSE(ArtifactsInput!$N$7+1,6,7.2,8.4,9.6,10.8,12))+IF(Inputs!$B$3&gt;=117,F1462,0))/100)),15)/15,(Skills!S11*(1+((Inputs!$B$35+(ArtifactsInput!$M$7-ArtifactsInput!$M$7)*CHOOSE(ArtifactsInput!$N$7+1,6,7.2,8.4,9.6,10.8,12))+IF(Inputs!$B$3&gt;=117,F1462,0)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1450=TRUE,(1+F1450*IF(AND(Inputs!$B$39&lt;&gt;"pvp",Inputs!$B$44&gt;0),(((R1450-1)*(Skills!S14*(1+((Inputs!$B$35+(ArtifactsInput!$M$7-ArtifactsInput!$M$7)*CHOOSE(ArtifactsInput!$N$7+1,6,7.2,8.4,9.6,10.8,12))+IF(Inputs!$B$3&gt;=117,F1462,0))/100))+MIN((Skills!S14*(1+((Inputs!$B$35+(ArtifactsInput!$M$7-ArtifactsInput!$M$7)*CHOOSE(ArtifactsInput!$N$7+1,6,7.2,8.4,9.6,10.8,12))+IF(Inputs!$B$3&gt;=117,F1462,0))/100)),MAX(0,Inputs!$B$44-((R1450-1)*Skills!D14))))/Inputs!$B$44),IF(Inputs!$B$39="pvp",MIN((Skills!S14*(1+((Inputs!$B$35+(ArtifactsInput!$M$7-ArtifactsInput!$M$7)*CHOOSE(ArtifactsInput!$N$7+1,6,7.2,8.4,9.6,10.8,12))+IF(Inputs!$B$3&gt;=117,F1462,0))/100)),15)/15,(Skills!S14*(1+((Inputs!$B$35+(ArtifactsInput!$M$7-ArtifactsInput!$M$7)*CHOOSE(ArtifactsInput!$N$7+1,6,7.2,8.4,9.6,10.8,12))+IF(Inputs!$B$3&gt;=117,F1462,0))/100))/Skills!D14))/100),1)*IF(C1455=TRUE,(1+F1455*IF(AND(Inputs!$B$39&lt;&gt;"pvp",Inputs!$B$44&gt;0),(((R1455-1)*(Skills!S19*(1+((Inputs!$B$35+(ArtifactsInput!$M$7-ArtifactsInput!$M$7)*CHOOSE(ArtifactsInput!$N$7+1,6,7.2,8.4,9.6,10.8,12))+IF(Inputs!$B$3&gt;=117,F1462,0))/100))+MIN((Skills!S19*(1+((Inputs!$B$35+(ArtifactsInput!$M$7-ArtifactsInput!$M$7)*CHOOSE(ArtifactsInput!$N$7+1,6,7.2,8.4,9.6,10.8,12))+IF(Inputs!$B$3&gt;=117,F1462,0))/100)),MAX(0,Inputs!$B$44-((R1455-1)*Skills!D19))))/Inputs!$B$44),IF(Inputs!$B$39="pvp",MIN((Skills!S19*(1+((Inputs!$B$35+(ArtifactsInput!$M$7-ArtifactsInput!$M$7)*CHOOSE(ArtifactsInput!$N$7+1,6,7.2,8.4,9.6,10.8,12))+IF(Inputs!$B$3&gt;=117,F1462,0))/100)),15)/15,(Skills!S19*(1+((Inputs!$B$35+(ArtifactsInput!$M$7-ArtifactsInput!$M$7)*CHOOSE(ArtifactsInput!$N$7+1,6,7.2,8.4,9.6,10.8,12))+IF(Inputs!$B$3&gt;=117,F1462,0))/100))/Skills!D19))/100),1)</f>
        <v/>
      </c>
    </row>
    <row r="1466">
      <c r="A1466" t="inlineStr">
        <is>
          <t>Monster Damage Taken Bonus % (Holy Fountain)</t>
        </is>
      </c>
      <c r="B1466">
        <f>IF(Inputs!$B$3&gt;=68,20*IF(Inputs!$B$39="pvp",MIN((15*(1+((Inputs!$B$35+(ArtifactsInput!$M$7-ArtifactsInput!$M$7)*CHOOSE(ArtifactsInput!$N$7+1,6,7.2,8.4,9.6,10.8,12))+IF(Inputs!$B$3&gt;=117,F1462,0))/100)),15)/15,(15*(1+((Inputs!$B$35+(ArtifactsInput!$M$7-ArtifactsInput!$M$7)*CHOOSE(ArtifactsInput!$N$7+1,6,7.2,8.4,9.6,10.8,12))+IF(Inputs!$B$3&gt;=117,F1462,0))/100))/Skills!D10),0)</f>
        <v/>
      </c>
    </row>
    <row r="1467">
      <c r="A1467" t="inlineStr">
        <is>
          <t>Normal Monster Damage Bonus % (Holy Symbol)</t>
        </is>
      </c>
      <c r="B1467">
        <f>IF(C1448=TRUE,F1448*IF(AND(Inputs!$B$39&lt;&gt;"pvp",Inputs!$B$44&gt;0),(((R1448-1)*(Skills!S12*(1+((Inputs!$B$35+(ArtifactsInput!$M$7-ArtifactsInput!$M$7)*CHOOSE(ArtifactsInput!$N$7+1,6,7.2,8.4,9.6,10.8,12))+IF(Inputs!$B$3&gt;=117,F1462,0))/100))+MIN((Skills!S12*(1+((Inputs!$B$35+(ArtifactsInput!$M$7-ArtifactsInput!$M$7)*CHOOSE(ArtifactsInput!$N$7+1,6,7.2,8.4,9.6,10.8,12))+IF(Inputs!$B$3&gt;=117,F1462,0))/100)),MAX(0,Inputs!$B$44-((R1448-1)*Skills!D12))))/Inputs!$B$44),IF(Inputs!$B$39="pvp",MIN((Skills!S12*(1+((Inputs!$B$35+(ArtifactsInput!$M$7-ArtifactsInput!$M$7)*CHOOSE(ArtifactsInput!$N$7+1,6,7.2,8.4,9.6,10.8,12))+IF(Inputs!$B$3&gt;=117,F1462,0))/100)),15)/15,(Skills!S12*(1+((Inputs!$B$35+(ArtifactsInput!$M$7-ArtifactsInput!$M$7)*CHOOSE(ArtifactsInput!$N$7+1,6,7.2,8.4,9.6,10.8,12))+IF(Inputs!$B$3&gt;=117,F1462,0))/100))/Skills!D12)),0)</f>
        <v/>
      </c>
    </row>
    <row r="1468">
      <c r="A1468" t="inlineStr">
        <is>
          <t>Damage % Bonus (Holy Symbol - Damage Boost)</t>
        </is>
      </c>
      <c r="B1468">
        <f>Skills!O12</f>
        <v/>
      </c>
    </row>
    <row r="1469">
      <c r="A1469" t="inlineStr">
        <is>
          <t>Crit Damage % Bonus (Blood of the Divine)</t>
        </is>
      </c>
      <c r="B1469">
        <f>4*IF(C1456=TRUE,F1456,0)</f>
        <v/>
      </c>
    </row>
    <row r="1470">
      <c r="A1470" t="inlineStr">
        <is>
          <t>Attack Speed Bonus %</t>
        </is>
      </c>
      <c r="B1470">
        <f>IF(C1453=TRUE,F1453+(F1457-Calc!F21),0)+IF(Inputs!$B$3&gt;=134,15,0)</f>
        <v/>
      </c>
    </row>
    <row r="1471">
      <c r="A1471" t="inlineStr">
        <is>
          <t>Actions Per Second</t>
        </is>
      </c>
      <c r="B1471">
        <f>1+MIN(150,150*(1-(1-Inputs!$B$12/150)*(1-B1470/150)))/100</f>
        <v/>
      </c>
    </row>
    <row r="1472">
      <c r="A1472" t="inlineStr">
        <is>
          <t>Skill + Buff Cast Rate</t>
        </is>
      </c>
      <c r="B1472">
        <f>IF(AND(Inputs!$B$39&lt;&gt;"pvp",Inputs!$B$44&gt;0),SUMPRODUCT((Skills!E2:E27=TRUE)*(C1438:C1463=TRUE)*R1438:R1463)/Inputs!$B$44,SUMPRODUCT((Skills!E2:E27=TRUE)*(C1438:C1463=TRUE)*Q1438:Q1463))</f>
        <v/>
      </c>
    </row>
    <row r="1473">
      <c r="A1473" t="inlineStr">
        <is>
          <t>Big Bang Casts Per Second</t>
        </is>
      </c>
      <c r="B1473">
        <f>MAX(0,B1471-B1472)</f>
        <v/>
      </c>
    </row>
    <row r="1474">
      <c r="A1474" t="inlineStr">
        <is>
          <t>Defense % Bonus (Divine Protection)</t>
        </is>
      </c>
      <c r="B1474">
        <f>IF(C1449=TRUE,F1449*IF(AND(Inputs!$B$39&lt;&gt;"pvp",Inputs!$B$44&gt;0),(((R1449-1)*(Skills!S13*(1+((Inputs!$B$35+(ArtifactsInput!$M$7-ArtifactsInput!$M$7)*CHOOSE(ArtifactsInput!$N$7+1,6,7.2,8.4,9.6,10.8,12))+IF(Inputs!$B$3&gt;=117,F1462,0))/100))+MIN((Skills!S13*(1+((Inputs!$B$35+(ArtifactsInput!$M$7-ArtifactsInput!$M$7)*CHOOSE(ArtifactsInput!$N$7+1,6,7.2,8.4,9.6,10.8,12))+IF(Inputs!$B$3&gt;=117,F1462,0))/100)),MAX(0,Inputs!$B$44-((R1449-1)*Skills!D13))))/Inputs!$B$44),IF(Inputs!$B$39="pvp",MIN((Skills!S13*(1+((Inputs!$B$35+(ArtifactsInput!$M$7-ArtifactsInput!$M$7)*CHOOSE(ArtifactsInput!$N$7+1,6,7.2,8.4,9.6,10.8,12))+IF(Inputs!$B$3&gt;=117,F1462,0))/100)),15)/15,(Skills!S13*(1+((Inputs!$B$35+(ArtifactsInput!$M$7-ArtifactsInput!$M$7)*CHOOSE(ArtifactsInput!$N$7+1,6,7.2,8.4,9.6,10.8,12))+IF(Inputs!$B$3&gt;=117,F1462,0))/100))/Skills!D13)),0)</f>
        <v/>
      </c>
    </row>
    <row r="1475">
      <c r="A1475" t="inlineStr">
        <is>
          <t>Buff-Casting Startup Delay (s, fixed-duration only)</t>
        </is>
      </c>
      <c r="B1475">
        <f>IF(AND(Inputs!$B$39&lt;&gt;"pvp",Inputs!$B$44&gt;0),SUMPRODUCT((Skills!S2:S27&gt;0)*(Skills!E2:E27=TRUE)*(C1438:C1463=TRUE))/B1471,0)</f>
        <v/>
      </c>
    </row>
    <row r="1476">
      <c r="A1476" t="inlineStr">
        <is>
          <t>Boss-Only Total DPS (this block's swept value)</t>
        </is>
      </c>
      <c r="B1476">
        <f>SUM(S1438:S1463)</f>
        <v/>
      </c>
    </row>
    <row r="1477">
      <c r="A1477" t="inlineStr">
        <is>
          <t>Normal-Only Total DPS (this block's swept value)</t>
        </is>
      </c>
      <c r="B1477">
        <f>SUM(U1438:U1463)</f>
        <v/>
      </c>
    </row>
    <row r="1478">
      <c r="A1478" s="6" t="inlineStr">
        <is>
          <t>TOTAL DPS</t>
        </is>
      </c>
      <c r="B1478" s="6">
        <f>SUM(O1438:O1463)</f>
        <v/>
      </c>
    </row>
    <row r="1480">
      <c r="A1480" s="6" t="inlineStr">
        <is>
          <t>Stat: Hexagon Necklace (Equip)</t>
        </is>
      </c>
    </row>
    <row r="1481">
      <c r="A1481" s="5" t="inlineStr">
        <is>
          <t>Key</t>
        </is>
      </c>
      <c r="B1481" s="5" t="inlineStr">
        <is>
          <t>Name</t>
        </is>
      </c>
      <c r="C1481" s="5" t="inlineStr">
        <is>
          <t>Unlocked</t>
        </is>
      </c>
      <c r="D1481" s="5" t="inlineStr">
        <is>
          <t>InputLevel</t>
        </is>
      </c>
      <c r="E1481" s="5" t="inlineStr">
        <is>
          <t>Factor</t>
        </is>
      </c>
      <c r="F1481" s="5" t="inlineStr">
        <is>
          <t>CoefficientPercent</t>
        </is>
      </c>
      <c r="G1481" s="5" t="inlineStr">
        <is>
          <t>EffectiveHits</t>
        </is>
      </c>
      <c r="H1481" s="5" t="inlineStr">
        <is>
          <t>ProcProbability</t>
        </is>
      </c>
      <c r="I1481" s="5" t="inlineStr">
        <is>
          <t>MapleHeroMultiplier</t>
        </is>
      </c>
      <c r="J1481" s="5" t="inlineStr">
        <is>
          <t>BaseDamage</t>
        </is>
      </c>
      <c r="K1481" s="5" t="inlineStr">
        <is>
          <t>BaseHitDamage</t>
        </is>
      </c>
      <c r="L1481" s="5" t="inlineStr">
        <is>
          <t>NonCritAvg</t>
        </is>
      </c>
      <c r="M1481" s="5" t="inlineStr">
        <is>
          <t>CritAvg</t>
        </is>
      </c>
      <c r="N1481" s="5" t="inlineStr">
        <is>
          <t>ExpectedDamage(perHit)</t>
        </is>
      </c>
      <c r="O1481" s="5" t="inlineStr">
        <is>
          <t>DPS</t>
        </is>
      </c>
      <c r="P1481" s="5" t="inlineStr">
        <is>
          <t>% of Total</t>
        </is>
      </c>
      <c r="R1481" t="inlineStr">
        <is>
          <t>helpers</t>
        </is>
      </c>
    </row>
    <row r="1482">
      <c r="A1482">
        <f>Skills!A2</f>
        <v/>
      </c>
      <c r="B1482">
        <f>Skills!B2</f>
        <v/>
      </c>
      <c r="C1482">
        <f>Inputs!$B$3&gt;=100</f>
        <v/>
      </c>
      <c r="D1482" t="inlineStr"/>
      <c r="E1482" t="inlineStr"/>
      <c r="F1482">
        <f>T1484+Skills!N2</f>
        <v/>
      </c>
      <c r="G1482">
        <f>Calc!G2</f>
        <v/>
      </c>
      <c r="H1482">
        <f>Calc!H2</f>
        <v/>
      </c>
      <c r="I1482">
        <f>IF(Skills!T2&lt;&gt;"",1+(Skills!T2/10)*($Z$3/1000)/100,1)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2="TRIUMPH_FEATHER",IF(C1496=TRUE,F1496,0),0)/100)*(1+IF(C1507=TRUE,F1507,0)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1482)</f>
        <v/>
      </c>
      <c r="L1482">
        <f>K1482*(MIN(Inputs!$B$23+(F1502-Calc!F22),(Inputs!$B$24+IF(ArtifactsInput!$M$15,CHOOSE(ArtifactsInput!$N$15+1,25,30,35,40,45,50)/100*(Inputs!$B$12-Inputs!$B$12),0)))/100+(Inputs!$B$24+IF(ArtifactsInput!$M$15,CHOOSE(ArtifactsInput!$N$15+1,25,30,35,40,45,50)/100*(Inputs!$B$12-Inputs!$B$12),0))/100)/2</f>
        <v/>
      </c>
      <c r="M1482">
        <f>L1482*(1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1482*(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2">
        <f>(1-Summary!$B$11)*S1482+Summary!$B$11*U1482</f>
        <v/>
      </c>
      <c r="P1482">
        <f>IF(B1522=0,0,O1482/B1522)</f>
        <v/>
      </c>
      <c r="Q1482">
        <f>IFERROR(1/(IF(Inputs!$B$39="pvp",15,MAX(0.1,Skills!D2-IF(Skills!E2=TRUE,Inputs!$B$33,0)))*(1-IF(AND(ArtifactsInput!$M$27,Inputs!$B$4="Chapter Hunt"),CHOOSE(ArtifactsInput!$N$27+1,20,24,28,32,36,40),0)/100)),0)</f>
        <v/>
      </c>
      <c r="R1482" t="n">
        <v>0</v>
      </c>
      <c r="S1482">
        <f>IF(C1482,(Skills!F2*N1482*B1517)*IF(Inputs!$B$39="pvp",1,1+(Inputs!$B$21+Skills!O2+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1482*(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1482*(1-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1482*(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82">
        <f>MAX(0,(Inputs!$B$3-100)*3)+Inputs!$B$29+Inputs!$B$30</f>
        <v/>
      </c>
      <c r="U1482">
        <f>IF(C1482,(Skills!F2*N1482*B1517)*IF(Inputs!$B$39="pvp",1,(1+(Inputs!$B$22+Skills!P2+B1511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Skills!A3</f>
        <v/>
      </c>
      <c r="B1483">
        <f>Skills!B3</f>
        <v/>
      </c>
      <c r="C1483">
        <f>Inputs!$B$3&gt;=15</f>
        <v/>
      </c>
      <c r="D1483">
        <f>IF(Skills!C3=1,60+Inputs!$B$26+Inputs!$B$30,IF(Skills!C3=2,90+Inputs!$B$27+Inputs!$B$30,IF(Skills!C3=3,120+Inputs!$B$28+Inputs!$B$30,MAX(0,(Inputs!$B$3-100)*3)+Inputs!$B$29+Inputs!$B$30)))</f>
        <v/>
      </c>
      <c r="E1483">
        <f>INDEX(FactorTable!$B$2:$Y$301, MATCH(ROUND(MIN(300,MAX(1,D1483)),0), FactorTable!$A$2:$A$301,0), Skills!L3+1)</f>
        <v/>
      </c>
      <c r="F1483">
        <f>IF(Skills!M3=TRUE,(Skills!K3/10)*(E1483/1000),Skills!K3/10)+Skills!N3</f>
        <v/>
      </c>
      <c r="G1483">
        <f>Calc!G3</f>
        <v/>
      </c>
      <c r="H1483">
        <f>Calc!H3</f>
        <v/>
      </c>
      <c r="I1483">
        <f>IF(Skills!T3&lt;&gt;"",1+(Skills!T3/10)*($Z$3/1000)/100,1)</f>
        <v/>
      </c>
      <c r="J1483" t="inlineStr"/>
      <c r="K1483" t="inlineStr"/>
      <c r="L1483" t="inlineStr"/>
      <c r="M1483" t="inlineStr"/>
      <c r="N1483" t="inlineStr"/>
      <c r="O1483">
        <f>(1-Summary!$B$11)*S1483+Summary!$B$11*U1483</f>
        <v/>
      </c>
      <c r="P1483">
        <f>IF(B1522=0,0,O1483/B1522)</f>
        <v/>
      </c>
      <c r="Q1483">
        <f>IFERROR(1/(IF(Inputs!$B$39="pvp",15,MAX(0.1,Skills!D3-IF(Skills!E3=TRUE,Inputs!$B$33,0)))*(1-IF(AND(ArtifactsInput!$M$27,Inputs!$B$4="Chapter Hunt"),CHOOSE(ArtifactsInput!$N$27+1,20,24,28,32,36,40),0)/100)),0)</f>
        <v/>
      </c>
      <c r="R1483">
        <f>IF(AND(Inputs!$B$39&lt;&gt;"pvp",Inputs!$B$44&gt;0),IF(Inputs!$B$44&lt;=0,0,(INT(Inputs!$B$44/(IF(Inputs!$B$39="pvp",15,MAX(0.1,Skills!D3-IF(Skills!E3=TRUE,Inputs!$B$33,0)))*(1-IF(AND(ArtifactsInput!$M$27,Inputs!$B$4="Chapter Hunt"),CHOOSE(ArtifactsInput!$N$27+1,20,24,28,32,36,40),0)/100)))+1)),0)</f>
        <v/>
      </c>
      <c r="S1483" t="n">
        <v>0</v>
      </c>
      <c r="T1483">
        <f>INDEX(FactorTable!$B$2:$Y$301, MATCH(ROUND(MIN(300,MAX(1,T1482)),0), FactorTable!$A$2:$A$301,0), 22)</f>
        <v/>
      </c>
      <c r="U1483" t="n">
        <v>0</v>
      </c>
    </row>
    <row r="1484">
      <c r="A1484">
        <f>Skills!A4</f>
        <v/>
      </c>
      <c r="B1484">
        <f>Skills!B4</f>
        <v/>
      </c>
      <c r="C1484">
        <f>Inputs!$B$3&gt;=38</f>
        <v/>
      </c>
      <c r="D1484">
        <f>IF(Skills!C4=1,60+Inputs!$B$26+Inputs!$B$30,IF(Skills!C4=2,90+Inputs!$B$27+Inputs!$B$30,IF(Skills!C4=3,120+Inputs!$B$28+Inputs!$B$30,MAX(0,(Inputs!$B$3-100)*3)+Inputs!$B$29+Inputs!$B$30)))</f>
        <v/>
      </c>
      <c r="E1484">
        <f>INDEX(FactorTable!$B$2:$Y$301, MATCH(ROUND(MIN(300,MAX(1,D1484)),0), FactorTable!$A$2:$A$301,0), Skills!L4+1)</f>
        <v/>
      </c>
      <c r="F1484">
        <f>IF(Skills!M4=TRUE,(Skills!K4/10)*(E1484/1000),Skills!K4/10)+Skills!N4</f>
        <v/>
      </c>
      <c r="G1484">
        <f>Calc!G4</f>
        <v/>
      </c>
      <c r="H1484">
        <f>Calc!H4</f>
        <v/>
      </c>
      <c r="I1484">
        <f>IF(Skills!T4&lt;&gt;"",1+(Skills!T4/10)*($Z$3/1000)/100,1)</f>
        <v/>
      </c>
      <c r="J1484" t="inlineStr"/>
      <c r="K1484" t="inlineStr"/>
      <c r="L1484" t="inlineStr"/>
      <c r="M1484" t="inlineStr"/>
      <c r="N1484" t="inlineStr"/>
      <c r="O1484">
        <f>(1-Summary!$B$11)*S1484+Summary!$B$11*U1484</f>
        <v/>
      </c>
      <c r="P1484">
        <f>IF(B1522=0,0,O1484/B1522)</f>
        <v/>
      </c>
      <c r="Q1484">
        <f>IFERROR(1/(IF(Inputs!$B$39="pvp",15,MAX(0.1,Skills!D4-IF(Skills!E4=TRUE,Inputs!$B$33,0)))*(1-IF(AND(ArtifactsInput!$M$27,Inputs!$B$4="Chapter Hunt"),CHOOSE(ArtifactsInput!$N$27+1,20,24,28,32,36,40),0)/100)),0)</f>
        <v/>
      </c>
      <c r="R1484">
        <f>IF(AND(Inputs!$B$39&lt;&gt;"pvp",Inputs!$B$44&gt;0),IF(Inputs!$B$44&lt;=0,0,(INT(Inputs!$B$44/(IF(Inputs!$B$39="pvp",15,MAX(0.1,Skills!D4-IF(Skills!E4=TRUE,Inputs!$B$33,0)))*(1-IF(AND(ArtifactsInput!$M$27,Inputs!$B$4="Chapter Hunt"),CHOOSE(ArtifactsInput!$N$27+1,20,24,28,32,36,40),0)/100)))+1)),0)</f>
        <v/>
      </c>
      <c r="S1484" t="n">
        <v>0</v>
      </c>
      <c r="T1484">
        <f>290*T1483/1000</f>
        <v/>
      </c>
      <c r="U1484" t="n">
        <v>0</v>
      </c>
    </row>
    <row r="1485">
      <c r="A1485">
        <f>Skills!A5</f>
        <v/>
      </c>
      <c r="B1485">
        <f>Skills!B5</f>
        <v/>
      </c>
      <c r="C1485">
        <f>Inputs!$B$3&gt;=40</f>
        <v/>
      </c>
      <c r="D1485">
        <f>IF(Skills!C5=1,60+Inputs!$B$26+Inputs!$B$30,IF(Skills!C5=2,90+Inputs!$B$27+Inputs!$B$30,IF(Skills!C5=3,120+Inputs!$B$28+Inputs!$B$30,MAX(0,(Inputs!$B$3-100)*3)+Inputs!$B$29+Inputs!$B$30)))</f>
        <v/>
      </c>
      <c r="E1485">
        <f>INDEX(FactorTable!$B$2:$Y$301, MATCH(ROUND(MIN(300,MAX(1,D1485)),0), FactorTable!$A$2:$A$301,0), Skills!L5+1)</f>
        <v/>
      </c>
      <c r="F1485">
        <f>IF(Skills!M5=TRUE,(Skills!K5/10)*(E1485/1000),Skills!K5/10)+Skills!N5</f>
        <v/>
      </c>
      <c r="G1485">
        <f>Calc!G5</f>
        <v/>
      </c>
      <c r="H1485">
        <f>Calc!H5</f>
        <v/>
      </c>
      <c r="I1485">
        <f>IF(Skills!T5&lt;&gt;"",1+(Skills!T5/10)*($Z$3/1000)/100,1)</f>
        <v/>
      </c>
      <c r="J1485" t="inlineStr"/>
      <c r="K1485" t="inlineStr"/>
      <c r="L1485" t="inlineStr"/>
      <c r="M1485" t="inlineStr"/>
      <c r="N1485" t="inlineStr"/>
      <c r="O1485">
        <f>(1-Summary!$B$11)*S1485+Summary!$B$11*U1485</f>
        <v/>
      </c>
      <c r="P1485">
        <f>IF(B1522=0,0,O1485/B1522)</f>
        <v/>
      </c>
      <c r="Q1485">
        <f>IFERROR(1/(IF(Inputs!$B$39="pvp",15,MAX(0.1,Skills!D5-IF(Skills!E5=TRUE,Inputs!$B$33,0)))*(1-IF(AND(ArtifactsInput!$M$27,Inputs!$B$4="Chapter Hunt"),CHOOSE(ArtifactsInput!$N$27+1,20,24,28,32,36,40),0)/100)),0)</f>
        <v/>
      </c>
      <c r="R1485">
        <f>IF(AND(Inputs!$B$39&lt;&gt;"pvp",Inputs!$B$44&gt;0),IF(Inputs!$B$44&lt;=0,0,(INT(Inputs!$B$44/(IF(Inputs!$B$39="pvp",15,MAX(0.1,Skills!D5-IF(Skills!E5=TRUE,Inputs!$B$33,0)))*(1-IF(AND(ArtifactsInput!$M$27,Inputs!$B$4="Chapter Hunt"),CHOOSE(ArtifactsInput!$N$27+1,20,24,28,32,36,40),0)/100)))+1)),0)</f>
        <v/>
      </c>
      <c r="S1485" t="n">
        <v>0</v>
      </c>
      <c r="U1485" t="n">
        <v>0</v>
      </c>
    </row>
    <row r="1486">
      <c r="A1486">
        <f>Skills!A6</f>
        <v/>
      </c>
      <c r="B1486">
        <f>Skills!B6</f>
        <v/>
      </c>
      <c r="C1486">
        <f>Inputs!$B$3&gt;=103</f>
        <v/>
      </c>
      <c r="D1486">
        <f>IF(Skills!C6=1,60+Inputs!$B$26+Inputs!$B$30,IF(Skills!C6=2,90+Inputs!$B$27+Inputs!$B$30,IF(Skills!C6=3,120+Inputs!$B$28+Inputs!$B$30,MAX(0,(Inputs!$B$3-100)*3)+Inputs!$B$29+Inputs!$B$30)))</f>
        <v/>
      </c>
      <c r="E1486">
        <f>INDEX(FactorTable!$B$2:$Y$301, MATCH(ROUND(MIN(300,MAX(1,D1486)),0), FactorTable!$A$2:$A$301,0), Skills!L6+1)</f>
        <v/>
      </c>
      <c r="F1486">
        <f>IF(Skills!M6=TRUE,(Skills!K6/10)*(E1486/1000),Skills!K6/10)+Skills!N6</f>
        <v/>
      </c>
      <c r="G1486">
        <f>Calc!G6</f>
        <v/>
      </c>
      <c r="H1486">
        <f>Calc!H6</f>
        <v/>
      </c>
      <c r="I1486">
        <f>IF(Skills!T6&lt;&gt;"",1+(Skills!T6/10)*($Z$3/1000)/100,1)</f>
        <v/>
      </c>
      <c r="J1486">
        <f>((Inputs!$B$6*(1+Inputs!$B$7/100))+(((Inputs!$B$13*(1+Inputs!$B$14/100))-(Inputs!$B$13*(1+Inputs!$B$14/100)))+0.25*(Inputs!$B$15-Inputs!$B$15))*(1+Inputs!$B$7/100))*(F1486/100)</f>
        <v/>
      </c>
      <c r="K1486">
        <f>J1486*(1+(((Inputs!$B$13+IF(Inputs!$B$3&gt;=35,(10*INDEX(FactorTable!$B$2:$Y$301,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6="TRIUMPH_FEATHER",IF(C1496=TRUE,F1496,0),0)/100)*(1+IF(C1507=TRUE,F1507,0)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1486)</f>
        <v/>
      </c>
      <c r="L1486">
        <f>K1486*(MIN(Inputs!$B$23+(F1502-Calc!F22),(Inputs!$B$24+IF(ArtifactsInput!$M$15,CHOOSE(ArtifactsInput!$N$15+1,25,30,35,40,45,50)/100*(Inputs!$B$12-Inputs!$B$12),0)))/100+(Inputs!$B$24+IF(ArtifactsInput!$M$15,CHOOSE(ArtifactsInput!$N$15+1,25,30,35,40,45,50)/100*(Inputs!$B$12-Inputs!$B$12),0))/100)/2</f>
        <v/>
      </c>
      <c r="M1486">
        <f>L1486*(1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6">
        <f>L1486*(1-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1486*(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6">
        <f>(1-Summary!$B$11)*S1486+Summary!$B$11*U1486</f>
        <v/>
      </c>
      <c r="P1486">
        <f>IF(B1522=0,0,O1486/B1522)</f>
        <v/>
      </c>
      <c r="Q1486">
        <f>IFERROR(1/(IF(Inputs!$B$39="pvp",15,MAX(0.1,Skills!D6-IF(Skills!E6=TRUE,Inputs!$B$33,0)))*(1-IF(AND(ArtifactsInput!$M$27,Inputs!$B$4="Chapter Hunt"),CHOOSE(ArtifactsInput!$N$27+1,20,24,28,32,36,40),0)/100)),0)</f>
        <v/>
      </c>
      <c r="R1486">
        <f>IF(AND(Inputs!$B$39&lt;&gt;"pvp",Inputs!$B$44&gt;0),IF(MAX(0,Inputs!$B$44-B1519)&lt;=0,0,(INT(MAX(0,Inputs!$B$44-B1519)/(IF(Inputs!$B$39="pvp",15,MAX(0.1,Skills!D6-IF(Skills!E6=TRUE,Inputs!$B$33,0)))*(1-IF(AND(ArtifactsInput!$M$27,Inputs!$B$4="Chapter Hunt"),CHOOSE(ArtifactsInput!$N$27+1,20,24,28,32,36,40),0)/100)))+1)),0)</f>
        <v/>
      </c>
      <c r="S1486">
        <f>IF(C1486,(H1486*N1486*IF(AND(Inputs!$B$39&lt;&gt;"pvp",Inputs!$B$44&gt;0),((Skills!F6*((R1486-1)*IF(Skills!G6&gt;0,Skills!H6/Skills!G6,1)+IF(Skills!G6&gt;0,MIN(Skills!H6,MAX(0,MAX(0,Inputs!$B$44-B1519)-((R1486-1)*(IF(Inputs!$B$39="pvp",15,MAX(0.1,Skills!D6-IF(Skills!E6=TRUE,Inputs!$B$33,0)))*(1-IF(AND(ArtifactsInput!$M$27,Inputs!$B$4="Chapter Hunt"),CHOOSE(ArtifactsInput!$N$27+1,20,24,28,32,36,40),0)/100)))))/Skills!G6,1)))/Inputs!$B$44),G1486*Q1486))*IF(Inputs!$B$39="pvp",1,1+(Inputs!$B$21+Skills!O6+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1486*(1-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1486*(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1486*(1-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1486*(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6">
        <f>IF(C1486,(H1486*N1486*IF(AND(Inputs!$B$39&lt;&gt;"pvp",Inputs!$B$44&gt;0),((Skills!F6*((R1486-1)*IF(Skills!G6&gt;0,Skills!H6/Skills!G6,1)+IF(Skills!G6&gt;0,MIN(Skills!H6,MAX(0,MAX(0,Inputs!$B$44-B1519)-((R1486-1)*(IF(Inputs!$B$39="pvp",15,MAX(0.1,Skills!D6-IF(Skills!E6=TRUE,Inputs!$B$33,0)))*(1-IF(AND(ArtifactsInput!$M$27,Inputs!$B$4="Chapter Hunt"),CHOOSE(ArtifactsInput!$N$27+1,20,24,28,32,36,40),0)/100)))))/Skills!G6,1)))/Inputs!$B$44),G1486*Q1486))*IF(Inputs!$B$39="pvp",1,(1+(Inputs!$B$22+Skills!P6+B1511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7">
      <c r="A1487">
        <f>Skills!A7</f>
        <v/>
      </c>
      <c r="B1487">
        <f>Skills!B7</f>
        <v/>
      </c>
      <c r="C1487">
        <f>Inputs!$B$3&gt;=122</f>
        <v/>
      </c>
      <c r="D1487">
        <f>IF(Skills!C7=1,60+Inputs!$B$26+Inputs!$B$30,IF(Skills!C7=2,90+Inputs!$B$27+Inputs!$B$30,IF(Skills!C7=3,120+Inputs!$B$28+Inputs!$B$30,MAX(0,(Inputs!$B$3-100)*3)+Inputs!$B$29+Inputs!$B$30)))</f>
        <v/>
      </c>
      <c r="E1487">
        <f>INDEX(FactorTable!$B$2:$Y$301, MATCH(ROUND(MIN(300,MAX(1,D1487)),0), FactorTable!$A$2:$A$301,0), Skills!L7+1)</f>
        <v/>
      </c>
      <c r="F1487">
        <f>IF(Skills!M7=TRUE,(Skills!K7/10)*(E1487/1000),Skills!K7/10)+Skills!N7</f>
        <v/>
      </c>
      <c r="G1487">
        <f>Calc!G7</f>
        <v/>
      </c>
      <c r="H1487">
        <f>Calc!H7</f>
        <v/>
      </c>
      <c r="I1487">
        <f>IF(Skills!T7&lt;&gt;"",1+(Skills!T7/10)*($Z$3/1000)/100,1)</f>
        <v/>
      </c>
      <c r="J1487">
        <f>((Inputs!$B$6*(1+Inputs!$B$7/100))+(((Inputs!$B$13*(1+Inputs!$B$14/100))-(Inputs!$B$13*(1+Inputs!$B$14/100)))+0.25*(Inputs!$B$15-Inputs!$B$15))*(1+Inputs!$B$7/100))*(F1487/100)</f>
        <v/>
      </c>
      <c r="K1487">
        <f>J1487*(1+(((Inputs!$B$13+IF(Inputs!$B$3&gt;=35,(10*INDEX(FactorTable!$B$2:$Y$301,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7="TRIUMPH_FEATHER",IF(C1496=TRUE,F1496,0),0)/100)*(1+IF(C1507=TRUE,F1507,0)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1487)</f>
        <v/>
      </c>
      <c r="L1487">
        <f>K1487*(MIN(Inputs!$B$23+(F1502-Calc!F22),(Inputs!$B$24+IF(ArtifactsInput!$M$15,CHOOSE(ArtifactsInput!$N$15+1,25,30,35,40,45,50)/100*(Inputs!$B$12-Inputs!$B$12),0)))/100+(Inputs!$B$24+IF(ArtifactsInput!$M$15,CHOOSE(ArtifactsInput!$N$15+1,25,30,35,40,45,50)/100*(Inputs!$B$12-Inputs!$B$12),0))/100)/2</f>
        <v/>
      </c>
      <c r="M1487">
        <f>L1487*(1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7">
        <f>L1487*(1-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1487*(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7">
        <f>(1-Summary!$B$11)*S1487+Summary!$B$11*U1487</f>
        <v/>
      </c>
      <c r="P1487">
        <f>IF(B1522=0,0,O1487/B1522)</f>
        <v/>
      </c>
      <c r="Q1487">
        <f>IFERROR(1/(IF(Inputs!$B$39="pvp",15,MAX(0.1,Skills!D7-IF(Skills!E6=TRUE,Inputs!$B$33,0)))*(1-IF(AND(ArtifactsInput!$M$27,Inputs!$B$4="Chapter Hunt"),CHOOSE(ArtifactsInput!$N$27+1,20,24,28,32,36,40),0)/100)),0)</f>
        <v/>
      </c>
      <c r="R1487">
        <f>IF(AND(Inputs!$B$39&lt;&gt;"pvp",Inputs!$B$44&gt;0),IF(MAX(0,Inputs!$B$44-B1519)&lt;=0,0,(INT(MAX(0,Inputs!$B$44-B1519)/(IF(Inputs!$B$39="pvp",15,MAX(0.1,Skills!D7-IF(Skills!E6=TRUE,Inputs!$B$33,0)))*(1-IF(AND(ArtifactsInput!$M$27,Inputs!$B$4="Chapter Hunt"),CHOOSE(ArtifactsInput!$N$27+1,20,24,28,32,36,40),0)/100)))+1)),0)</f>
        <v/>
      </c>
      <c r="S1487">
        <f>IF(C1487,H1487*N1487*IF(AND(Inputs!$B$39&lt;&gt;"pvp",Inputs!$B$44&gt;0),((Skills!F7*((R1487-1)*IF(Skills!G7&gt;0,Skills!H7/Skills!G7,1)+IF(Skills!G7&gt;0,MIN(Skills!H7,MAX(0,MAX(0,Inputs!$B$44-B1519)-((R1487-1)*(IF(Inputs!$B$39="pvp",15,MAX(0.1,Skills!D7-IF(Skills!E6=TRUE,Inputs!$B$33,0)))*(1-IF(AND(ArtifactsInput!$M$27,Inputs!$B$4="Chapter Hunt"),CHOOSE(ArtifactsInput!$N$27+1,20,24,28,32,36,40),0)/100)))))/Skills!G7,1)))/Inputs!$B$44),G1487*Q1487)*IF(Inputs!$B$39="pvp",1,1+(Inputs!$B$21+Skills!O7+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1487*(1-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1487*(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1487*(1-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1487*(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7" t="n">
        <v>0</v>
      </c>
    </row>
    <row r="1488">
      <c r="A1488">
        <f>Skills!A8</f>
        <v/>
      </c>
      <c r="B1488">
        <f>Skills!B8</f>
        <v/>
      </c>
      <c r="C1488">
        <f>Inputs!$B$3&gt;=105</f>
        <v/>
      </c>
      <c r="D1488">
        <f>IF(Skills!C8=1,60+Inputs!$B$26+Inputs!$B$30,IF(Skills!C8=2,90+Inputs!$B$27+Inputs!$B$30,IF(Skills!C8=3,120+Inputs!$B$28+Inputs!$B$30,MAX(0,(Inputs!$B$3-100)*3)+Inputs!$B$29+Inputs!$B$30)))</f>
        <v/>
      </c>
      <c r="E1488">
        <f>INDEX(FactorTable!$B$2:$Y$301, MATCH(ROUND(MIN(300,MAX(1,D1488)),0), FactorTable!$A$2:$A$301,0), Skills!L8+1)</f>
        <v/>
      </c>
      <c r="F1488">
        <f>IF(Skills!M8=TRUE,(Skills!K8/10)*(E1488/1000),Skills!K8/10)+Skills!N8</f>
        <v/>
      </c>
      <c r="G1488">
        <f>Calc!G8</f>
        <v/>
      </c>
      <c r="H1488">
        <f>Calc!H8</f>
        <v/>
      </c>
      <c r="I1488">
        <f>IF(Skills!T8&lt;&gt;"",1+(Skills!T8/10)*($Z$3/1000)/100,1)</f>
        <v/>
      </c>
      <c r="J1488">
        <f>((Inputs!$B$6*(1+Inputs!$B$7/100))+(((Inputs!$B$13*(1+Inputs!$B$14/100))-(Inputs!$B$13*(1+Inputs!$B$14/100)))+0.25*(Inputs!$B$15-Inputs!$B$15))*(1+Inputs!$B$7/100))*(F1488/100)</f>
        <v/>
      </c>
      <c r="K1488">
        <f>J1488*(1+(((Inputs!$B$13+IF(Inputs!$B$3&gt;=35,(10*INDEX(FactorTable!$B$2:$Y$301,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8="TRIUMPH_FEATHER",IF(C1496=TRUE,F1496,0),0)/100)*(1+IF(C1507=TRUE,F1507,0)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1488)</f>
        <v/>
      </c>
      <c r="L1488">
        <f>K1488*(MIN(Inputs!$B$23+(F1502-Calc!F22),(Inputs!$B$24+IF(ArtifactsInput!$M$15,CHOOSE(ArtifactsInput!$N$15+1,25,30,35,40,45,50)/100*(Inputs!$B$12-Inputs!$B$12),0)))/100+(Inputs!$B$24+IF(ArtifactsInput!$M$15,CHOOSE(ArtifactsInput!$N$15+1,25,30,35,40,45,50)/100*(Inputs!$B$12-Inputs!$B$12),0))/100)/2</f>
        <v/>
      </c>
      <c r="M1488">
        <f>L1488*(1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8">
        <f>L1488*(1-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1488*(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8">
        <f>(1-Summary!$B$11)*S1488+Summary!$B$11*U1488</f>
        <v/>
      </c>
      <c r="P1488">
        <f>IF(B1522=0,0,O1488/B1522)</f>
        <v/>
      </c>
      <c r="Q1488">
        <f>IFERROR(1/(IF(Inputs!$B$39="pvp",15,MAX(0.1,Skills!D8-IF(Skills!E8=TRUE,Inputs!$B$33,0)))*(1-IF(AND(ArtifactsInput!$M$27,Inputs!$B$4="Chapter Hunt"),CHOOSE(ArtifactsInput!$N$27+1,20,24,28,32,36,40),0)/100)),0)</f>
        <v/>
      </c>
      <c r="R1488">
        <f>IF(AND(Inputs!$B$39&lt;&gt;"pvp",Inputs!$B$44&gt;0),IF(MAX(0,Inputs!$B$44-B1519)&lt;=0,0,(INT(MAX(0,Inputs!$B$44-B1519)/(IF(Inputs!$B$39="pvp",15,MAX(0.1,Skills!D8-IF(Skills!E8=TRUE,Inputs!$B$33,0)))*(1-IF(AND(ArtifactsInput!$M$27,Inputs!$B$4="Chapter Hunt"),CHOOSE(ArtifactsInput!$N$27+1,20,24,28,32,36,40),0)/100)))+1)),0)</f>
        <v/>
      </c>
      <c r="S1488">
        <f>IF(C1488,(H1488*N1488*IF(AND(Inputs!$B$39&lt;&gt;"pvp",Inputs!$B$44&gt;0),((Skills!F8*((R1488-1)*IF(Skills!G8&gt;0,Skills!H8/Skills!G8,1)+IF(Skills!G8&gt;0,MIN(Skills!H8,MAX(0,MAX(0,Inputs!$B$44-B1519)-((R1488-1)*(IF(Inputs!$B$39="pvp",15,MAX(0.1,Skills!D8-IF(Skills!E8=TRUE,Inputs!$B$33,0)))*(1-IF(AND(ArtifactsInput!$M$27,Inputs!$B$4="Chapter Hunt"),CHOOSE(ArtifactsInput!$N$27+1,20,24,28,32,36,40),0)/100)))))/Skills!G8,1)))/Inputs!$B$44),G1488*Q1488))*IF(Inputs!$B$39="pvp",1,1+(Inputs!$B$21+Skills!O8+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1488*(1-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1488*(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1488*(1-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1488*(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8">
        <f>IF(C1488,(H1488*N1488*IF(AND(Inputs!$B$39&lt;&gt;"pvp",Inputs!$B$44&gt;0),((Skills!F8*((R1488-1)*IF(Skills!G8&gt;0,Skills!H8/Skills!G8,1)+IF(Skills!G8&gt;0,MIN(Skills!H8,MAX(0,MAX(0,Inputs!$B$44-B1519)-((R1488-1)*(IF(Inputs!$B$39="pvp",15,MAX(0.1,Skills!D8-IF(Skills!E8=TRUE,Inputs!$B$33,0)))*(1-IF(AND(ArtifactsInput!$M$27,Inputs!$B$4="Chapter Hunt"),CHOOSE(ArtifactsInput!$N$27+1,20,24,28,32,36,40),0)/100)))))/Skills!G8,1)))/Inputs!$B$44),G1488*Q1488))*IF(Inputs!$B$39="pvp",1,(1+(Inputs!$B$22+Skills!P8+B1511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9">
      <c r="A1489">
        <f>Skills!A9</f>
        <v/>
      </c>
      <c r="B1489">
        <f>Skills!B9</f>
        <v/>
      </c>
      <c r="C1489">
        <f>Inputs!$B$3&gt;=115</f>
        <v/>
      </c>
      <c r="D1489">
        <f>IF(Skills!C9=1,60+Inputs!$B$26+Inputs!$B$30,IF(Skills!C9=2,90+Inputs!$B$27+Inputs!$B$30,IF(Skills!C9=3,120+Inputs!$B$28+Inputs!$B$30,MAX(0,(Inputs!$B$3-100)*3)+Inputs!$B$29+Inputs!$B$30)))</f>
        <v/>
      </c>
      <c r="E1489">
        <f>INDEX(FactorTable!$B$2:$Y$301, MATCH(ROUND(MIN(300,MAX(1,D1489)),0), FactorTable!$A$2:$A$301,0), Skills!L9+1)</f>
        <v/>
      </c>
      <c r="F1489">
        <f>IF(Skills!M9=TRUE,(Skills!K9/10)*(E1489/1000),Skills!K9/10)+Skills!N9</f>
        <v/>
      </c>
      <c r="G1489">
        <f>Calc!G9</f>
        <v/>
      </c>
      <c r="H1489">
        <f>Calc!H9</f>
        <v/>
      </c>
      <c r="I1489">
        <f>IF(Skills!T9&lt;&gt;"",1+(Skills!T9/10)*($Z$3/1000)/100,1)</f>
        <v/>
      </c>
      <c r="J1489">
        <f>((Inputs!$B$6*(1+Inputs!$B$7/100))+(((Inputs!$B$13*(1+Inputs!$B$14/100))-(Inputs!$B$13*(1+Inputs!$B$14/100)))+0.25*(Inputs!$B$15-Inputs!$B$15))*(1+Inputs!$B$7/100))*(F1489/100)</f>
        <v/>
      </c>
      <c r="K1489">
        <f>J1489*(1+(((Inputs!$B$13+IF(Inputs!$B$3&gt;=35,(10*INDEX(FactorTable!$B$2:$Y$301,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9="TRIUMPH_FEATHER",IF(C1496=TRUE,F1496,0),0)/100)*(1+IF(C1507=TRUE,F1507,0)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1489)</f>
        <v/>
      </c>
      <c r="L1489">
        <f>K1489*(MIN(Inputs!$B$23+(F1502-Calc!F22),(Inputs!$B$24+IF(ArtifactsInput!$M$15,CHOOSE(ArtifactsInput!$N$15+1,25,30,35,40,45,50)/100*(Inputs!$B$12-Inputs!$B$12),0)))/100+(Inputs!$B$24+IF(ArtifactsInput!$M$15,CHOOSE(ArtifactsInput!$N$15+1,25,30,35,40,45,50)/100*(Inputs!$B$12-Inputs!$B$12),0))/100)/2</f>
        <v/>
      </c>
      <c r="M1489">
        <f>L1489*(1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9">
        <f>L1489*(1-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1489*(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9">
        <f>(1-Summary!$B$11)*S1489+Summary!$B$11*U1489</f>
        <v/>
      </c>
      <c r="P1489">
        <f>IF(B1522=0,0,O1489/B1522)</f>
        <v/>
      </c>
      <c r="Q1489">
        <f>IFERROR(1/(IF(Inputs!$B$39="pvp",15,MAX(0.1,Skills!D9-IF(Skills!E9=TRUE,Inputs!$B$33,0)))*(1-IF(AND(ArtifactsInput!$M$27,Inputs!$B$4="Chapter Hunt"),CHOOSE(ArtifactsInput!$N$27+1,20,24,28,32,36,40),0)/100)),0)</f>
        <v/>
      </c>
      <c r="R1489">
        <f>IF(AND(Inputs!$B$39&lt;&gt;"pvp",Inputs!$B$44&gt;0),IF(MAX(0,Inputs!$B$44-B1519)&lt;=0,0,(INT(MAX(0,Inputs!$B$44-B1519)/(IF(Inputs!$B$39="pvp",15,MAX(0.1,Skills!D9-IF(Skills!E9=TRUE,Inputs!$B$33,0)))*(1-IF(AND(ArtifactsInput!$M$27,Inputs!$B$4="Chapter Hunt"),CHOOSE(ArtifactsInput!$N$27+1,20,24,28,32,36,40),0)/100)))+1)),0)</f>
        <v/>
      </c>
      <c r="S1489">
        <f>IF(C1489,(H1489*N1489*IF(AND(Inputs!$B$39&lt;&gt;"pvp",Inputs!$B$44&gt;0),((Skills!F9*((R1489-1)*IF(Skills!G9&gt;0,Skills!H9/Skills!G9,1)+IF(Skills!G9&gt;0,MIN(Skills!H9,MAX(0,MAX(0,Inputs!$B$44-B1519)-((R1489-1)*(IF(Inputs!$B$39="pvp",15,MAX(0.1,Skills!D9-IF(Skills!E9=TRUE,Inputs!$B$33,0)))*(1-IF(AND(ArtifactsInput!$M$27,Inputs!$B$4="Chapter Hunt"),CHOOSE(ArtifactsInput!$N$27+1,20,24,28,32,36,40),0)/100)))))/Skills!G9,1)))/Inputs!$B$44),G1489*Q1489))*IF(Inputs!$B$39="pvp",1,1+(Inputs!$B$21+Skills!O9+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1489*(1-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1489*(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1489*(1-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1489*(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9">
        <f>IF(C1489,(H1489*N1489*IF(AND(Inputs!$B$39&lt;&gt;"pvp",Inputs!$B$44&gt;0),((Skills!F9*((R1489-1)*IF(Skills!G9&gt;0,Skills!H9/Skills!G9,1)+IF(Skills!G9&gt;0,MIN(Skills!H9,MAX(0,MAX(0,Inputs!$B$44-B1519)-((R1489-1)*(IF(Inputs!$B$39="pvp",15,MAX(0.1,Skills!D9-IF(Skills!E9=TRUE,Inputs!$B$33,0)))*(1-IF(AND(ArtifactsInput!$M$27,Inputs!$B$4="Chapter Hunt"),CHOOSE(ArtifactsInput!$N$27+1,20,24,28,32,36,40),0)/100)))))/Skills!G9,1)))/Inputs!$B$44),G1489*Q1489))*IF(Inputs!$B$39="pvp",1,(1+(Inputs!$B$22+Skills!P9+B1511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0">
      <c r="A1490">
        <f>Skills!A10</f>
        <v/>
      </c>
      <c r="B1490">
        <f>Skills!B10</f>
        <v/>
      </c>
      <c r="C1490">
        <f>Inputs!$B$3&gt;=66</f>
        <v/>
      </c>
      <c r="D1490">
        <f>IF(Skills!C10=1,60+Inputs!$B$26+Inputs!$B$30,IF(Skills!C10=2,90+Inputs!$B$27+Inputs!$B$30,IF(Skills!C10=3,120+Inputs!$B$28+Inputs!$B$30,MAX(0,(Inputs!$B$3-100)*3)+Inputs!$B$29+Inputs!$B$30)))</f>
        <v/>
      </c>
      <c r="E1490">
        <f>INDEX(FactorTable!$B$2:$Y$301, MATCH(ROUND(MIN(300,MAX(1,D1490)),0), FactorTable!$A$2:$A$301,0), Skills!L10+1)</f>
        <v/>
      </c>
      <c r="F1490" t="n">
        <v>0</v>
      </c>
      <c r="G1490">
        <f>Calc!G10</f>
        <v/>
      </c>
      <c r="H1490">
        <f>Calc!H10</f>
        <v/>
      </c>
      <c r="I1490">
        <f>IF(Skills!T10&lt;&gt;"",1+(Skills!T10/10)*($Z$3/1000)/100,1)</f>
        <v/>
      </c>
      <c r="J1490" t="inlineStr"/>
      <c r="K1490" t="inlineStr"/>
      <c r="L1490" t="inlineStr"/>
      <c r="M1490" t="inlineStr"/>
      <c r="N1490" t="inlineStr"/>
      <c r="O1490">
        <f>(1-Summary!$B$11)*S1490+Summary!$B$11*U1490</f>
        <v/>
      </c>
      <c r="P1490">
        <f>IF(B1522=0,0,O1490/B1522)</f>
        <v/>
      </c>
      <c r="Q1490">
        <f>IFERROR(1/(IF(Inputs!$B$39="pvp",15,MAX(0.1,Skills!D10-IF(Skills!E10=TRUE,Inputs!$B$33,0)))*(1-IF(AND(ArtifactsInput!$M$27,Inputs!$B$4="Chapter Hunt"),CHOOSE(ArtifactsInput!$N$27+1,20,24,28,32,36,40),0)/100)),0)</f>
        <v/>
      </c>
      <c r="R1490">
        <f>IF(AND(Inputs!$B$39&lt;&gt;"pvp",Inputs!$B$44&gt;0),IF(MAX(0,Inputs!$B$44-B1519)&lt;=0,0,(INT(MAX(0,Inputs!$B$44-B1519)/(IF(Inputs!$B$39="pvp",15,MAX(0.1,Skills!D10-IF(Skills!E10=TRUE,Inputs!$B$33,0)))*(1-IF(AND(ArtifactsInput!$M$27,Inputs!$B$4="Chapter Hunt"),CHOOSE(ArtifactsInput!$N$27+1,20,24,28,32,36,40),0)/100)))+1)),0)</f>
        <v/>
      </c>
      <c r="S1490" t="n">
        <v>0</v>
      </c>
      <c r="U1490" t="n">
        <v>0</v>
      </c>
    </row>
    <row r="1491">
      <c r="A1491">
        <f>Skills!A11</f>
        <v/>
      </c>
      <c r="B1491">
        <f>Skills!B11</f>
        <v/>
      </c>
      <c r="C1491">
        <f>Inputs!$B$3&gt;=69</f>
        <v/>
      </c>
      <c r="D1491">
        <f>IF(Skills!C11=1,60+Inputs!$B$26+Inputs!$B$30,IF(Skills!C11=2,90+Inputs!$B$27+Inputs!$B$30,IF(Skills!C11=3,120+Inputs!$B$28+Inputs!$B$30,MAX(0,(Inputs!$B$3-100)*3)+Inputs!$B$29+Inputs!$B$30)))</f>
        <v/>
      </c>
      <c r="E1491">
        <f>INDEX(FactorTable!$B$2:$Y$301, MATCH(ROUND(MIN(300,MAX(1,D1491)),0), FactorTable!$A$2:$A$301,0), Skills!L11+1)</f>
        <v/>
      </c>
      <c r="F1491">
        <f>IF(Skills!M11=TRUE,(Skills!K11/10)*(E1491/1000),Skills!K11/10)+Skills!N11</f>
        <v/>
      </c>
      <c r="G1491">
        <f>Calc!G11</f>
        <v/>
      </c>
      <c r="H1491">
        <f>Calc!H11</f>
        <v/>
      </c>
      <c r="I1491">
        <f>IF(Skills!T11&lt;&gt;"",1+(Skills!T11/10)*($Z$3/1000)/100,1)</f>
        <v/>
      </c>
      <c r="J1491" t="inlineStr"/>
      <c r="K1491" t="inlineStr"/>
      <c r="L1491" t="inlineStr"/>
      <c r="M1491" t="inlineStr"/>
      <c r="N1491" t="inlineStr"/>
      <c r="O1491">
        <f>(1-Summary!$B$11)*S1491+Summary!$B$11*U1491</f>
        <v/>
      </c>
      <c r="P1491">
        <f>IF(B1522=0,0,O1491/B1522)</f>
        <v/>
      </c>
      <c r="Q1491">
        <f>IFERROR(1/(IF(Inputs!$B$39="pvp",15,MAX(0.1,Skills!D11-IF(Skills!E11=TRUE,Inputs!$B$33,0)))*(1-IF(AND(ArtifactsInput!$M$27,Inputs!$B$4="Chapter Hunt"),CHOOSE(ArtifactsInput!$N$27+1,20,24,28,32,36,40),0)/100)),0)</f>
        <v/>
      </c>
      <c r="R1491">
        <f>IF(AND(Inputs!$B$39&lt;&gt;"pvp",Inputs!$B$44&gt;0),IF(Inputs!$B$44&lt;=0,0,(INT(Inputs!$B$44/(IF(Inputs!$B$39="pvp",15,MAX(0.1,Skills!D11-IF(Skills!E11=TRUE,Inputs!$B$33,0)))*(1-IF(AND(ArtifactsInput!$M$27,Inputs!$B$4="Chapter Hunt"),CHOOSE(ArtifactsInput!$N$27+1,20,24,28,32,36,40),0)/100)))+1)),0)</f>
        <v/>
      </c>
      <c r="S1491" t="n">
        <v>0</v>
      </c>
      <c r="U1491" t="n">
        <v>0</v>
      </c>
    </row>
    <row r="1492">
      <c r="A1492">
        <f>Skills!A12</f>
        <v/>
      </c>
      <c r="B1492">
        <f>Skills!B12</f>
        <v/>
      </c>
      <c r="C1492">
        <f>Inputs!$B$3&gt;=72</f>
        <v/>
      </c>
      <c r="D1492">
        <f>IF(Skills!C12=1,60+Inputs!$B$26+Inputs!$B$30,IF(Skills!C12=2,90+Inputs!$B$27+Inputs!$B$30,IF(Skills!C12=3,120+Inputs!$B$28+Inputs!$B$30,MAX(0,(Inputs!$B$3-100)*3)+Inputs!$B$29+Inputs!$B$30)))</f>
        <v/>
      </c>
      <c r="E1492">
        <f>INDEX(FactorTable!$B$2:$Y$301, MATCH(ROUND(MIN(300,MAX(1,D1492)),0), FactorTable!$A$2:$A$301,0), Skills!L12+1)</f>
        <v/>
      </c>
      <c r="F1492">
        <f>IF(Skills!M12=TRUE,(Skills!K12/10)*(E1492/1000),Skills!K12/10)+Skills!N12</f>
        <v/>
      </c>
      <c r="G1492">
        <f>Calc!G12</f>
        <v/>
      </c>
      <c r="H1492">
        <f>Calc!H12</f>
        <v/>
      </c>
      <c r="I1492">
        <f>IF(Skills!T12&lt;&gt;"",1+(Skills!T12/10)*($Z$3/1000)/100,1)</f>
        <v/>
      </c>
      <c r="J1492" t="inlineStr"/>
      <c r="K1492" t="inlineStr"/>
      <c r="L1492" t="inlineStr"/>
      <c r="M1492" t="inlineStr"/>
      <c r="N1492" t="inlineStr"/>
      <c r="O1492">
        <f>(1-Summary!$B$11)*S1492+Summary!$B$11*U1492</f>
        <v/>
      </c>
      <c r="P1492">
        <f>IF(B1522=0,0,O1492/B1522)</f>
        <v/>
      </c>
      <c r="Q1492">
        <f>IFERROR(1/(IF(Inputs!$B$39="pvp",15,MAX(0.1,Skills!D12-IF(Skills!E12=TRUE,Inputs!$B$33,0)))*(1-IF(AND(ArtifactsInput!$M$27,Inputs!$B$4="Chapter Hunt"),CHOOSE(ArtifactsInput!$N$27+1,20,24,28,32,36,40),0)/100)),0)</f>
        <v/>
      </c>
      <c r="R1492">
        <f>IF(AND(Inputs!$B$39&lt;&gt;"pvp",Inputs!$B$44&gt;0),IF(MAX(0,Inputs!$B$44-B1519)&lt;=0,0,(INT(MAX(0,Inputs!$B$44-B1519)/(IF(Inputs!$B$39="pvp",15,MAX(0.1,Skills!D12-IF(Skills!E12=TRUE,Inputs!$B$33,0)))*(1-IF(AND(ArtifactsInput!$M$27,Inputs!$B$4="Chapter Hunt"),CHOOSE(ArtifactsInput!$N$27+1,20,24,28,32,36,40),0)/100)))+1)),0)</f>
        <v/>
      </c>
      <c r="S1492" t="n">
        <v>0</v>
      </c>
      <c r="U1492" t="n">
        <v>0</v>
      </c>
    </row>
    <row r="1493">
      <c r="A1493">
        <f>Skills!A13</f>
        <v/>
      </c>
      <c r="B1493">
        <f>Skills!B13</f>
        <v/>
      </c>
      <c r="C1493">
        <f>Inputs!$B$3&gt;=60</f>
        <v/>
      </c>
      <c r="D1493">
        <f>IF(Skills!C13=1,60+Inputs!$B$26+Inputs!$B$30,IF(Skills!C13=2,90+Inputs!$B$27+Inputs!$B$30,IF(Skills!C13=3,120+Inputs!$B$28+Inputs!$B$30,MAX(0,(Inputs!$B$3-100)*3)+Inputs!$B$29+Inputs!$B$30)))</f>
        <v/>
      </c>
      <c r="E1493">
        <f>INDEX(FactorTable!$B$2:$Y$301, MATCH(ROUND(MIN(300,MAX(1,D1493)),0), FactorTable!$A$2:$A$301,0), Skills!L13+1)</f>
        <v/>
      </c>
      <c r="F1493">
        <f>IF(Skills!M13=TRUE,(Skills!K13/10)*(E1493/1000),Skills!K13/10)+Skills!N13</f>
        <v/>
      </c>
      <c r="G1493">
        <f>Calc!G13</f>
        <v/>
      </c>
      <c r="H1493">
        <f>Calc!H13</f>
        <v/>
      </c>
      <c r="I1493">
        <f>IF(Skills!T13&lt;&gt;"",1+(Skills!T13/10)*($Z$3/1000)/100,1)</f>
        <v/>
      </c>
      <c r="J1493" t="inlineStr"/>
      <c r="K1493" t="inlineStr"/>
      <c r="L1493" t="inlineStr"/>
      <c r="M1493" t="inlineStr"/>
      <c r="N1493" t="inlineStr"/>
      <c r="O1493">
        <f>(1-Summary!$B$11)*S1493+Summary!$B$11*U1493</f>
        <v/>
      </c>
      <c r="P1493">
        <f>IF(B1522=0,0,O1493/B1522)</f>
        <v/>
      </c>
      <c r="Q1493">
        <f>IFERROR(1/(IF(Inputs!$B$39="pvp",15,MAX(0.1,Skills!D13-IF(Skills!E13=TRUE,Inputs!$B$33,0)))*(1-IF(AND(ArtifactsInput!$M$27,Inputs!$B$4="Chapter Hunt"),CHOOSE(ArtifactsInput!$N$27+1,20,24,28,32,36,40),0)/100)),0)</f>
        <v/>
      </c>
      <c r="R1493">
        <f>IF(AND(Inputs!$B$39&lt;&gt;"pvp",Inputs!$B$44&gt;0),IF(MAX(0,Inputs!$B$44-B1519)&lt;=0,0,(INT(MAX(0,Inputs!$B$44-B1519)/(IF(Inputs!$B$39="pvp",15,MAX(0.1,Skills!D13-IF(Skills!E13=TRUE,Inputs!$B$33,0)))*(1-IF(AND(ArtifactsInput!$M$27,Inputs!$B$4="Chapter Hunt"),CHOOSE(ArtifactsInput!$N$27+1,20,24,28,32,36,40),0)/100)))+1)),0)</f>
        <v/>
      </c>
      <c r="S1493" t="n">
        <v>0</v>
      </c>
      <c r="U1493" t="n">
        <v>0</v>
      </c>
    </row>
    <row r="1494">
      <c r="A1494">
        <f>Skills!A14</f>
        <v/>
      </c>
      <c r="B1494">
        <f>Skills!B14</f>
        <v/>
      </c>
      <c r="C1494">
        <f>Inputs!$B$3&gt;=107</f>
        <v/>
      </c>
      <c r="D1494">
        <f>IF(Skills!C14=1,60+Inputs!$B$26+Inputs!$B$30,IF(Skills!C14=2,90+Inputs!$B$27+Inputs!$B$30,IF(Skills!C14=3,120+Inputs!$B$28+Inputs!$B$30,MAX(0,(Inputs!$B$3-100)*3)+Inputs!$B$29+Inputs!$B$30)))</f>
        <v/>
      </c>
      <c r="E1494">
        <f>INDEX(FactorTable!$B$2:$Y$301, MATCH(ROUND(MIN(300,MAX(1,D1494)),0), FactorTable!$A$2:$A$301,0), Skills!L14+1)</f>
        <v/>
      </c>
      <c r="F1494">
        <f>IF(Skills!M14=TRUE,(Skills!K14/10)*(E1494/1000),Skills!K14/10)+Skills!N14</f>
        <v/>
      </c>
      <c r="G1494">
        <f>Calc!G14</f>
        <v/>
      </c>
      <c r="H1494">
        <f>Calc!H14</f>
        <v/>
      </c>
      <c r="I1494">
        <f>IF(Skills!T14&lt;&gt;"",1+(Skills!T14/10)*($Z$3/1000)/100,1)</f>
        <v/>
      </c>
      <c r="J1494" t="inlineStr"/>
      <c r="K1494" t="inlineStr"/>
      <c r="L1494" t="inlineStr"/>
      <c r="M1494" t="inlineStr"/>
      <c r="N1494" t="inlineStr"/>
      <c r="O1494">
        <f>(1-Summary!$B$11)*S1494+Summary!$B$11*U1494</f>
        <v/>
      </c>
      <c r="P1494">
        <f>IF(B1522=0,0,O1494/B1522)</f>
        <v/>
      </c>
      <c r="Q1494">
        <f>IFERROR(1/(IF(Inputs!$B$39="pvp",15,MAX(0.1,Skills!D14-IF(Skills!E14=TRUE,Inputs!$B$33,0)))*(1-IF(AND(ArtifactsInput!$M$27,Inputs!$B$4="Chapter Hunt"),CHOOSE(ArtifactsInput!$N$27+1,20,24,28,32,36,40),0)/100)),0)</f>
        <v/>
      </c>
      <c r="R1494">
        <f>IF(AND(Inputs!$B$39&lt;&gt;"pvp",Inputs!$B$44&gt;0),IF(Inputs!$B$44&lt;=0,0,(INT(Inputs!$B$44/(IF(Inputs!$B$39="pvp",15,MAX(0.1,Skills!D14-IF(Skills!E14=TRUE,Inputs!$B$33,0)))*(1-IF(AND(ArtifactsInput!$M$27,Inputs!$B$4="Chapter Hunt"),CHOOSE(ArtifactsInput!$N$27+1,20,24,28,32,36,40),0)/100)))+1)),0)</f>
        <v/>
      </c>
      <c r="S1494" t="n">
        <v>0</v>
      </c>
      <c r="U1494" t="n">
        <v>0</v>
      </c>
    </row>
    <row r="1495">
      <c r="A1495">
        <f>Skills!A15</f>
        <v/>
      </c>
      <c r="B1495">
        <f>Skills!B15</f>
        <v/>
      </c>
      <c r="C1495">
        <f>Inputs!$B$3&gt;=63</f>
        <v/>
      </c>
      <c r="D1495">
        <f>IF(Skills!C15=1,60+Inputs!$B$26+Inputs!$B$30,IF(Skills!C15=2,90+Inputs!$B$27+Inputs!$B$30,IF(Skills!C15=3,120+Inputs!$B$28+Inputs!$B$30,MAX(0,(Inputs!$B$3-100)*3)+Inputs!$B$29+Inputs!$B$30)))</f>
        <v/>
      </c>
      <c r="E1495">
        <f>INDEX(FactorTable!$B$2:$Y$301, MATCH(ROUND(MIN(300,MAX(1,D1495)),0), FactorTable!$A$2:$A$301,0), Skills!L15+1)</f>
        <v/>
      </c>
      <c r="F1495">
        <f>IF(Skills!M15=TRUE,(Skills!K15/10)*(E1495/1000),Skills!K15/10)+Skills!N15</f>
        <v/>
      </c>
      <c r="G1495">
        <f>Calc!G15</f>
        <v/>
      </c>
      <c r="H1495">
        <f>Calc!H15</f>
        <v/>
      </c>
      <c r="I1495">
        <f>IF(Skills!T15&lt;&gt;"",1+(Skills!T15/10)*($Z$3/1000)/100,1)</f>
        <v/>
      </c>
      <c r="J1495">
        <f>((Inputs!$B$6*(1+Inputs!$B$7/100))+(((Inputs!$B$13*(1+Inputs!$B$14/100))-(Inputs!$B$13*(1+Inputs!$B$14/100)))+0.25*(Inputs!$B$15-Inputs!$B$15))*(1+Inputs!$B$7/100))*(F1495/100)</f>
        <v/>
      </c>
      <c r="K1495">
        <f>J1495*(1+(((Inputs!$B$13+IF(Inputs!$B$3&gt;=35,(10*INDEX(FactorTable!$B$2:$Y$301,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15="TRIUMPH_FEATHER",IF(C1496=TRUE,F1496,0),0)/100)*(1+IF(C1507=TRUE,F1507,0)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1495)</f>
        <v/>
      </c>
      <c r="L1495">
        <f>K1495*(MIN(Inputs!$B$23+(F1502-Calc!F22),(Inputs!$B$24+IF(ArtifactsInput!$M$15,CHOOSE(ArtifactsInput!$N$15+1,25,30,35,40,45,50)/100*(Inputs!$B$12-Inputs!$B$12),0)))/100+(Inputs!$B$24+IF(ArtifactsInput!$M$15,CHOOSE(ArtifactsInput!$N$15+1,25,30,35,40,45,50)/100*(Inputs!$B$12-Inputs!$B$12),0))/100)/2</f>
        <v/>
      </c>
      <c r="M1495">
        <f>L1495*(1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95">
        <f>L1495*(1-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(1-Summary!$B$11)*S1495+Summary!$B$11*U1495</f>
        <v/>
      </c>
      <c r="P1495">
        <f>IF(B1522=0,0,O1495/B1522)</f>
        <v/>
      </c>
      <c r="Q1495">
        <f>IFERROR(1/(IF(Inputs!$B$39="pvp",15,MAX(0.1,Skills!D15-IF(Skills!E15=TRUE,Inputs!$B$33,0)))*(1-IF(AND(ArtifactsInput!$M$27,Inputs!$B$4="Chapter Hunt"),CHOOSE(ArtifactsInput!$N$27+1,20,24,28,32,36,40),0)/100)),0)</f>
        <v/>
      </c>
      <c r="R1495" t="n">
        <v>0</v>
      </c>
      <c r="S1495">
        <f>IF(C1495,(Skills!F15*N1495*((IF(Inputs!$B$3&gt;=78,25,15)/100*B1515*10)/(1+IF(Inputs!$B$3&gt;=78,25,15)/100*B1515*10))*(Skills!I15/100*B1515)/(1+Skills!G15*Skills!I15/100*B1515))*IF(Inputs!$B$39="pvp",1,1+(Inputs!$B$21+Skills!O15+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1495*(1-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IF(C1495,(Skills!F15*N1495*((IF(Inputs!$B$3&gt;=78,25,15)/100*B1515*10)/(1+IF(Inputs!$B$3&gt;=78,25,15)/100*B1515*10))*(Skills!I15/100*B1515)/(1+Skills!G15*Skills!I15/100*B1515))*IF(Inputs!$B$39="pvp",1,(1+(Inputs!$B$22+Skills!P15+B1511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Skills!A16</f>
        <v/>
      </c>
      <c r="B1496">
        <f>Skills!B16</f>
        <v/>
      </c>
      <c r="C1496">
        <f>Inputs!$B$3&gt;=100</f>
        <v/>
      </c>
      <c r="D1496">
        <f>IF(Skills!C16=1,60+Inputs!$B$26+Inputs!$B$30,IF(Skills!C16=2,90+Inputs!$B$27+Inputs!$B$30,IF(Skills!C16=3,120+Inputs!$B$28+Inputs!$B$30,MAX(0,(Inputs!$B$3-100)*3)+Inputs!$B$29+Inputs!$B$30)))</f>
        <v/>
      </c>
      <c r="E1496">
        <f>INDEX(FactorTable!$B$2:$Y$301, MATCH(ROUND(MIN(300,MAX(1,D1496)),0), FactorTable!$A$2:$A$301,0), Skills!L16+1)</f>
        <v/>
      </c>
      <c r="F1496">
        <f>IF(Skills!M16=TRUE,(Skills!K16/10)*(E1496/1000),Skills!K16/10)+Skills!N16</f>
        <v/>
      </c>
      <c r="G1496">
        <f>Calc!G16</f>
        <v/>
      </c>
      <c r="H1496">
        <f>Calc!H16</f>
        <v/>
      </c>
      <c r="I1496">
        <f>IF(Skills!T16&lt;&gt;"",1+(Skills!T16/10)*($Z$3/1000)/100,1)</f>
        <v/>
      </c>
      <c r="J1496" t="inlineStr"/>
      <c r="K1496" t="inlineStr"/>
      <c r="L1496" t="inlineStr"/>
      <c r="M1496" t="inlineStr"/>
      <c r="N1496" t="inlineStr"/>
      <c r="O1496">
        <f>(1-Summary!$B$11)*S1496+Summary!$B$11*U1496</f>
        <v/>
      </c>
      <c r="P1496">
        <f>IF(B1522=0,0,O1496/B1522)</f>
        <v/>
      </c>
      <c r="Q1496">
        <f>IFERROR(1/(IF(Inputs!$B$39="pvp",15,MAX(0.1,Skills!D16-IF(Skills!E16=TRUE,Inputs!$B$33,0)))*(1-IF(AND(ArtifactsInput!$M$27,Inputs!$B$4="Chapter Hunt"),CHOOSE(ArtifactsInput!$N$27+1,20,24,28,32,36,40),0)/100)),0)</f>
        <v/>
      </c>
      <c r="R1496" t="n">
        <v>0</v>
      </c>
      <c r="S1496" t="n">
        <v>0</v>
      </c>
      <c r="U1496" t="n">
        <v>0</v>
      </c>
    </row>
    <row r="1497">
      <c r="A1497">
        <f>Skills!A17</f>
        <v/>
      </c>
      <c r="B1497">
        <f>Skills!B17</f>
        <v/>
      </c>
      <c r="C1497">
        <f>Inputs!$B$3&gt;=49</f>
        <v/>
      </c>
      <c r="D1497">
        <f>IF(Skills!C17=1,60+Inputs!$B$26+Inputs!$B$30,IF(Skills!C17=2,90+Inputs!$B$27+Inputs!$B$30,IF(Skills!C17=3,120+Inputs!$B$28+Inputs!$B$30,MAX(0,(Inputs!$B$3-100)*3)+Inputs!$B$29+Inputs!$B$30)))</f>
        <v/>
      </c>
      <c r="E1497">
        <f>INDEX(FactorTable!$B$2:$Y$301, MATCH(ROUND(MIN(300,MAX(1,D1497)),0), FactorTable!$A$2:$A$301,0), Skills!L17+1)</f>
        <v/>
      </c>
      <c r="F1497">
        <f>IF(Skills!M17=TRUE,(Skills!K17/10)*(E1497/1000),Skills!K17/10)+Skills!N17</f>
        <v/>
      </c>
      <c r="G1497">
        <f>Calc!G17</f>
        <v/>
      </c>
      <c r="H1497">
        <f>Calc!H17</f>
        <v/>
      </c>
      <c r="I1497">
        <f>IF(Skills!T17&lt;&gt;"",1+(Skills!T17/10)*($Z$3/1000)/100,1)</f>
        <v/>
      </c>
      <c r="J1497" t="inlineStr"/>
      <c r="K1497" t="inlineStr"/>
      <c r="L1497" t="inlineStr"/>
      <c r="M1497" t="inlineStr"/>
      <c r="N1497" t="inlineStr"/>
      <c r="O1497">
        <f>(1-Summary!$B$11)*S1497+Summary!$B$11*U1497</f>
        <v/>
      </c>
      <c r="P1497">
        <f>IF(B1522=0,0,O1497/B1522)</f>
        <v/>
      </c>
      <c r="Q1497">
        <f>IFERROR(1/(IF(Inputs!$B$39="pvp",15,MAX(0.1,Skills!D17-IF(Skills!E17=TRUE,Inputs!$B$33,0)))*(1-IF(AND(ArtifactsInput!$M$27,Inputs!$B$4="Chapter Hunt"),CHOOSE(ArtifactsInput!$N$27+1,20,24,28,32,36,40),0)/100)),0)</f>
        <v/>
      </c>
      <c r="R1497" t="n">
        <v>0</v>
      </c>
      <c r="S1497" t="n">
        <v>0</v>
      </c>
      <c r="U1497" t="n">
        <v>0</v>
      </c>
    </row>
    <row r="1498">
      <c r="A1498">
        <f>Skills!A18</f>
        <v/>
      </c>
      <c r="B1498">
        <f>Skills!B18</f>
        <v/>
      </c>
      <c r="C1498">
        <f>Inputs!$B$3&gt;=75</f>
        <v/>
      </c>
      <c r="D1498">
        <f>IF(Skills!C18=1,60+Inputs!$B$26+Inputs!$B$30,IF(Skills!C18=2,90+Inputs!$B$27+Inputs!$B$30,IF(Skills!C18=3,120+Inputs!$B$28+Inputs!$B$30,MAX(0,(Inputs!$B$3-100)*3)+Inputs!$B$29+Inputs!$B$30)))</f>
        <v/>
      </c>
      <c r="E1498">
        <f>INDEX(FactorTable!$B$2:$Y$301, MATCH(ROUND(MIN(300,MAX(1,D1498)),0), FactorTable!$A$2:$A$301,0), Skills!L18+1)</f>
        <v/>
      </c>
      <c r="F1498">
        <f>IF(Skills!M18=TRUE,(Skills!K18/10)*(E1498/1000),Skills!K18/10)+Skills!N18</f>
        <v/>
      </c>
      <c r="G1498">
        <f>Calc!G18</f>
        <v/>
      </c>
      <c r="H1498">
        <f>Calc!H18</f>
        <v/>
      </c>
      <c r="I1498">
        <f>IF(Skills!T18&lt;&gt;"",1+(Skills!T18/10)*($Z$3/1000)/100,1)</f>
        <v/>
      </c>
      <c r="J1498" t="inlineStr"/>
      <c r="K1498" t="inlineStr"/>
      <c r="L1498" t="inlineStr"/>
      <c r="M1498" t="inlineStr"/>
      <c r="N1498" t="inlineStr"/>
      <c r="O1498">
        <f>(1-Summary!$B$11)*S1498+Summary!$B$11*U1498</f>
        <v/>
      </c>
      <c r="P1498">
        <f>IF(B1522=0,0,O1498/B1522)</f>
        <v/>
      </c>
      <c r="Q1498">
        <f>IFERROR(1/(IF(Inputs!$B$39="pvp",15,MAX(0.1,Skills!D18-IF(Skills!E18=TRUE,Inputs!$B$33,0)))*(1-IF(AND(ArtifactsInput!$M$27,Inputs!$B$4="Chapter Hunt"),CHOOSE(ArtifactsInput!$N$27+1,20,24,28,32,36,40),0)/100)),0)</f>
        <v/>
      </c>
      <c r="R1498" t="n">
        <v>0</v>
      </c>
      <c r="S1498" t="n">
        <v>0</v>
      </c>
      <c r="U1498" t="n">
        <v>0</v>
      </c>
    </row>
    <row r="1499">
      <c r="A1499">
        <f>Skills!A19</f>
        <v/>
      </c>
      <c r="B1499">
        <f>Skills!B19</f>
        <v/>
      </c>
      <c r="C1499">
        <f>Inputs!$B$3&gt;=110</f>
        <v/>
      </c>
      <c r="D1499">
        <f>IF(Skills!C19=1,60+Inputs!$B$26+Inputs!$B$30,IF(Skills!C19=2,90+Inputs!$B$27+Inputs!$B$30,IF(Skills!C19=3,120+Inputs!$B$28+Inputs!$B$30,MAX(0,(Inputs!$B$3-100)*3)+Inputs!$B$29+Inputs!$B$30)))</f>
        <v/>
      </c>
      <c r="E1499">
        <f>INDEX(FactorTable!$B$2:$Y$301, MATCH(ROUND(MIN(300,MAX(1,D1499)),0), FactorTable!$A$2:$A$301,0), Skills!L19+1)</f>
        <v/>
      </c>
      <c r="F1499">
        <f>(Skills!K19/10)*(E1499/1000)*64/45+Skills!N19</f>
        <v/>
      </c>
      <c r="G1499">
        <f>Calc!G19</f>
        <v/>
      </c>
      <c r="H1499">
        <f>Calc!H19</f>
        <v/>
      </c>
      <c r="I1499">
        <f>IF(Skills!T19&lt;&gt;"",1+(Skills!T19/10)*($Z$3/1000)/100,1)</f>
        <v/>
      </c>
      <c r="J1499" t="inlineStr"/>
      <c r="K1499" t="inlineStr"/>
      <c r="L1499" t="inlineStr"/>
      <c r="M1499" t="inlineStr"/>
      <c r="N1499" t="inlineStr"/>
      <c r="O1499">
        <f>(1-Summary!$B$11)*S1499+Summary!$B$11*U1499</f>
        <v/>
      </c>
      <c r="P1499">
        <f>IF(B1522=0,0,O1499/B1522)</f>
        <v/>
      </c>
      <c r="Q1499">
        <f>IFERROR(1/(IF(Inputs!$B$39="pvp",15,MAX(0.1,Skills!D19-IF(Skills!E19=TRUE,Inputs!$B$33,0)))*(1-IF(AND(ArtifactsInput!$M$27,Inputs!$B$4="Chapter Hunt"),CHOOSE(ArtifactsInput!$N$27+1,20,24,28,32,36,40),0)/100)),0)</f>
        <v/>
      </c>
      <c r="R1499">
        <f>IF(AND(Inputs!$B$39&lt;&gt;"pvp",Inputs!$B$44&gt;0),IF(Inputs!$B$44&lt;=0,0,(INT(Inputs!$B$44/(IF(Inputs!$B$39="pvp",15,MAX(0.1,Skills!D19-IF(Skills!E19=TRUE,Inputs!$B$33,0)))*(1-IF(AND(ArtifactsInput!$M$27,Inputs!$B$4="Chapter Hunt"),CHOOSE(ArtifactsInput!$N$27+1,20,24,28,32,36,40),0)/100)))+1)),0)</f>
        <v/>
      </c>
      <c r="S1499" t="n">
        <v>0</v>
      </c>
      <c r="U1499" t="n">
        <v>0</v>
      </c>
    </row>
    <row r="1500">
      <c r="A1500">
        <f>Skills!A20</f>
        <v/>
      </c>
      <c r="B1500">
        <f>Skills!B20</f>
        <v/>
      </c>
      <c r="C1500">
        <f>Inputs!$B$3&gt;=125</f>
        <v/>
      </c>
      <c r="D1500">
        <f>IF(Skills!C20=1,60+Inputs!$B$26+Inputs!$B$30,IF(Skills!C20=2,90+Inputs!$B$27+Inputs!$B$30,IF(Skills!C20=3,120+Inputs!$B$28+Inputs!$B$30,MAX(0,(Inputs!$B$3-100)*3)+Inputs!$B$29+Inputs!$B$30)))</f>
        <v/>
      </c>
      <c r="E1500">
        <f>INDEX(FactorTable!$B$2:$Y$301, MATCH(ROUND(MIN(300,MAX(1,D1500)),0), FactorTable!$A$2:$A$301,0), Skills!L20+1)</f>
        <v/>
      </c>
      <c r="F1500">
        <f>IF(Skills!M20=TRUE,(Skills!K20/10)*(E1500/1000),Skills!K20/10)+Skills!N20</f>
        <v/>
      </c>
      <c r="G1500">
        <f>Calc!G20</f>
        <v/>
      </c>
      <c r="H1500">
        <f>Calc!H20</f>
        <v/>
      </c>
      <c r="I1500">
        <f>IF(Skills!T20&lt;&gt;"",1+(Skills!T20/10)*($Z$3/1000)/100,1)</f>
        <v/>
      </c>
      <c r="J1500" t="inlineStr"/>
      <c r="K1500" t="inlineStr"/>
      <c r="L1500" t="inlineStr"/>
      <c r="M1500" t="inlineStr"/>
      <c r="N1500" t="inlineStr"/>
      <c r="O1500">
        <f>(1-Summary!$B$11)*S1500+Summary!$B$11*U1500</f>
        <v/>
      </c>
      <c r="P1500">
        <f>IF(B1522=0,0,O1500/B1522)</f>
        <v/>
      </c>
      <c r="Q1500">
        <f>IFERROR(1/(IF(Inputs!$B$39="pvp",15,MAX(0.1,Skills!D20-IF(Skills!E20=TRUE,Inputs!$B$33,0)))*(1-IF(AND(ArtifactsInput!$M$27,Inputs!$B$4="Chapter Hunt"),CHOOSE(ArtifactsInput!$N$27+1,20,24,28,32,36,40),0)/100)),0)</f>
        <v/>
      </c>
      <c r="R1500" t="n">
        <v>0</v>
      </c>
      <c r="S1500" t="n">
        <v>0</v>
      </c>
      <c r="U1500" t="n">
        <v>0</v>
      </c>
    </row>
    <row r="1501">
      <c r="A1501">
        <f>Skills!A21</f>
        <v/>
      </c>
      <c r="B1501">
        <f>Skills!B21</f>
        <v/>
      </c>
      <c r="C1501">
        <f>Inputs!$B$3&gt;=33</f>
        <v/>
      </c>
      <c r="D1501">
        <f>IF(Skills!C21=1,60+Inputs!$B$26+Inputs!$B$30,IF(Skills!C21=2,90+Inputs!$B$27+Inputs!$B$30,IF(Skills!C21=3,120+Inputs!$B$28+Inputs!$B$30,MAX(0,(Inputs!$B$3-100)*3)+Inputs!$B$29+Inputs!$B$30)))</f>
        <v/>
      </c>
      <c r="E1501">
        <f>INDEX(FactorTable!$B$2:$Y$301, MATCH(ROUND(MIN(300,MAX(1,D1501)),0), FactorTable!$A$2:$A$301,0), Skills!L21+1)</f>
        <v/>
      </c>
      <c r="F1501">
        <f>IF(Skills!M21=TRUE,(Skills!K21/10)*(E1501/1000),Skills!K21/10)+Skills!N21</f>
        <v/>
      </c>
      <c r="G1501">
        <f>Calc!G21</f>
        <v/>
      </c>
      <c r="H1501">
        <f>Calc!H21</f>
        <v/>
      </c>
      <c r="I1501">
        <f>IF(Skills!T21&lt;&gt;"",1+(Skills!T21/10)*($Z$3/1000)/100,1)</f>
        <v/>
      </c>
      <c r="J1501" t="inlineStr"/>
      <c r="K1501" t="inlineStr"/>
      <c r="L1501" t="inlineStr"/>
      <c r="M1501" t="inlineStr"/>
      <c r="N1501" t="inlineStr"/>
      <c r="O1501">
        <f>(1-Summary!$B$11)*S1501+Summary!$B$11*U1501</f>
        <v/>
      </c>
      <c r="P1501">
        <f>IF(B1522=0,0,O1501/B1522)</f>
        <v/>
      </c>
      <c r="Q1501">
        <f>IFERROR(1/(IF(Inputs!$B$39="pvp",15,MAX(0.1,Skills!D21-IF(Skills!E21=TRUE,Inputs!$B$33,0)))*(1-IF(AND(ArtifactsInput!$M$27,Inputs!$B$4="Chapter Hunt"),CHOOSE(ArtifactsInput!$N$27+1,20,24,28,32,36,40),0)/100)),0)</f>
        <v/>
      </c>
      <c r="R1501" t="n">
        <v>0</v>
      </c>
      <c r="S1501" t="n">
        <v>0</v>
      </c>
      <c r="U1501" t="n">
        <v>0</v>
      </c>
    </row>
    <row r="1502">
      <c r="A1502">
        <f>Skills!A22</f>
        <v/>
      </c>
      <c r="B1502">
        <f>Skills!B22</f>
        <v/>
      </c>
      <c r="C1502">
        <f>Inputs!$B$3&gt;=43</f>
        <v/>
      </c>
      <c r="D1502">
        <f>IF(Skills!C22=1,60+Inputs!$B$26+Inputs!$B$30,IF(Skills!C22=2,90+Inputs!$B$27+Inputs!$B$30,IF(Skills!C22=3,120+Inputs!$B$28+Inputs!$B$30,MAX(0,(Inputs!$B$3-100)*3)+Inputs!$B$29+Inputs!$B$30)))</f>
        <v/>
      </c>
      <c r="E1502">
        <f>INDEX(FactorTable!$B$2:$Y$301, MATCH(ROUND(MIN(300,MAX(1,D1502)),0), FactorTable!$A$2:$A$301,0), Skills!L22+1)</f>
        <v/>
      </c>
      <c r="F1502">
        <f>IF(Skills!M22=TRUE,(Skills!K22/10)*(E1502/1000),Skills!K22/10)+Skills!N22</f>
        <v/>
      </c>
      <c r="G1502">
        <f>Calc!G22</f>
        <v/>
      </c>
      <c r="H1502">
        <f>Calc!H22</f>
        <v/>
      </c>
      <c r="I1502">
        <f>IF(Skills!T22&lt;&gt;"",1+(Skills!T22/10)*($Z$3/1000)/100,1)</f>
        <v/>
      </c>
      <c r="J1502" t="inlineStr"/>
      <c r="K1502" t="inlineStr"/>
      <c r="L1502" t="inlineStr"/>
      <c r="M1502" t="inlineStr"/>
      <c r="N1502" t="inlineStr"/>
      <c r="O1502">
        <f>(1-Summary!$B$11)*S1502+Summary!$B$11*U1502</f>
        <v/>
      </c>
      <c r="P1502">
        <f>IF(B1522=0,0,O1502/B1522)</f>
        <v/>
      </c>
      <c r="Q1502">
        <f>IFERROR(1/(IF(Inputs!$B$39="pvp",15,MAX(0.1,Skills!D22-IF(Skills!E22=TRUE,Inputs!$B$33,0)))*(1-IF(AND(ArtifactsInput!$M$27,Inputs!$B$4="Chapter Hunt"),CHOOSE(ArtifactsInput!$N$27+1,20,24,28,32,36,40),0)/100)),0)</f>
        <v/>
      </c>
      <c r="R1502" t="n">
        <v>0</v>
      </c>
      <c r="S1502" t="n">
        <v>0</v>
      </c>
      <c r="U1502" t="n">
        <v>0</v>
      </c>
    </row>
    <row r="1503">
      <c r="A1503">
        <f>Skills!A23</f>
        <v/>
      </c>
      <c r="B1503">
        <f>Skills!B23</f>
        <v/>
      </c>
      <c r="C1503">
        <f>Inputs!$B$3&gt;=50</f>
        <v/>
      </c>
      <c r="D1503">
        <f>IF(Skills!C23=1,60+Inputs!$B$26+Inputs!$B$30,IF(Skills!C23=2,90+Inputs!$B$27+Inputs!$B$30,IF(Skills!C23=3,120+Inputs!$B$28+Inputs!$B$30,MAX(0,(Inputs!$B$3-100)*3)+Inputs!$B$29+Inputs!$B$30)))</f>
        <v/>
      </c>
      <c r="E1503">
        <f>INDEX(FactorTable!$B$2:$Y$301, MATCH(ROUND(MIN(300,MAX(1,D1503)),0), FactorTable!$A$2:$A$301,0), Skills!L23+1)</f>
        <v/>
      </c>
      <c r="F1503">
        <f>IF(Skills!M23=TRUE,(Skills!K23/10)*(E1503/1000),Skills!K23/10)+Skills!N23</f>
        <v/>
      </c>
      <c r="G1503">
        <f>Calc!G23</f>
        <v/>
      </c>
      <c r="H1503">
        <f>Calc!H23</f>
        <v/>
      </c>
      <c r="I1503">
        <f>IF(Skills!T23&lt;&gt;"",1+(Skills!T23/10)*($Z$3/1000)/100,1)</f>
        <v/>
      </c>
      <c r="J1503" t="inlineStr"/>
      <c r="K1503" t="inlineStr"/>
      <c r="L1503" t="inlineStr"/>
      <c r="M1503" t="inlineStr"/>
      <c r="N1503" t="inlineStr"/>
      <c r="O1503">
        <f>(1-Summary!$B$11)*S1503+Summary!$B$11*U1503</f>
        <v/>
      </c>
      <c r="P1503">
        <f>IF(B1522=0,0,O1503/B1522)</f>
        <v/>
      </c>
      <c r="Q1503">
        <f>IFERROR(1/(IF(Inputs!$B$39="pvp",15,MAX(0.1,Skills!D23-IF(Skills!E23=TRUE,Inputs!$B$33,0)))*(1-IF(AND(ArtifactsInput!$M$27,Inputs!$B$4="Chapter Hunt"),CHOOSE(ArtifactsInput!$N$27+1,20,24,28,32,36,40),0)/100)),0)</f>
        <v/>
      </c>
      <c r="R1503" t="n">
        <v>0</v>
      </c>
      <c r="S1503" t="n">
        <v>0</v>
      </c>
      <c r="U1503" t="n">
        <v>0</v>
      </c>
    </row>
    <row r="1504">
      <c r="A1504">
        <f>Skills!A24</f>
        <v/>
      </c>
      <c r="B1504">
        <f>Skills!B24</f>
        <v/>
      </c>
      <c r="C1504">
        <f>Inputs!$B$3&gt;=74</f>
        <v/>
      </c>
      <c r="D1504">
        <f>IF(Skills!C24=1,60+Inputs!$B$26+Inputs!$B$30,IF(Skills!C24=2,90+Inputs!$B$27+Inputs!$B$30,IF(Skills!C24=3,120+Inputs!$B$28+Inputs!$B$30,MAX(0,(Inputs!$B$3-100)*3)+Inputs!$B$29+Inputs!$B$30)))</f>
        <v/>
      </c>
      <c r="E1504">
        <f>INDEX(FactorTable!$B$2:$Y$301, MATCH(ROUND(MIN(300,MAX(1,D1504)),0), FactorTable!$A$2:$A$301,0), Skills!L24+1)</f>
        <v/>
      </c>
      <c r="F1504">
        <f>IF(Skills!M24=TRUE,(Skills!K24/10)*(E1504/1000),Skills!K24/10)+Skills!N24</f>
        <v/>
      </c>
      <c r="G1504">
        <f>Calc!G24</f>
        <v/>
      </c>
      <c r="H1504">
        <f>Calc!H24</f>
        <v/>
      </c>
      <c r="I1504">
        <f>IF(Skills!T24&lt;&gt;"",1+(Skills!T24/10)*($Z$3/1000)/100,1)</f>
        <v/>
      </c>
      <c r="J1504" t="inlineStr"/>
      <c r="K1504" t="inlineStr"/>
      <c r="L1504" t="inlineStr"/>
      <c r="M1504" t="inlineStr"/>
      <c r="N1504" t="inlineStr"/>
      <c r="O1504">
        <f>(1-Summary!$B$11)*S1504+Summary!$B$11*U1504</f>
        <v/>
      </c>
      <c r="P1504">
        <f>IF(B1522=0,0,O1504/B1522)</f>
        <v/>
      </c>
      <c r="Q1504">
        <f>IFERROR(1/(IF(Inputs!$B$39="pvp",15,MAX(0.1,Skills!D24-IF(Skills!E24=TRUE,Inputs!$B$33,0)))*(1-IF(AND(ArtifactsInput!$M$27,Inputs!$B$4="Chapter Hunt"),CHOOSE(ArtifactsInput!$N$27+1,20,24,28,32,36,40),0)/100)),0)</f>
        <v/>
      </c>
      <c r="R1504" t="n">
        <v>0</v>
      </c>
      <c r="S1504" t="n">
        <v>0</v>
      </c>
      <c r="U1504" t="n">
        <v>0</v>
      </c>
    </row>
    <row r="1505">
      <c r="A1505">
        <f>Skills!A25</f>
        <v/>
      </c>
      <c r="B1505">
        <f>Skills!B25</f>
        <v/>
      </c>
      <c r="C1505">
        <f>Inputs!$B$3&gt;=74</f>
        <v/>
      </c>
      <c r="D1505">
        <f>IF(Skills!C25=1,60+Inputs!$B$26+Inputs!$B$30,IF(Skills!C25=2,90+Inputs!$B$27+Inputs!$B$30,IF(Skills!C25=3,120+Inputs!$B$28+Inputs!$B$30,MAX(0,(Inputs!$B$3-100)*3)+Inputs!$B$29+Inputs!$B$30)))</f>
        <v/>
      </c>
      <c r="E1505">
        <f>INDEX(FactorTable!$B$2:$Y$301, MATCH(ROUND(MIN(300,MAX(1,D1505)),0), FactorTable!$A$2:$A$301,0), Skills!L25+1)</f>
        <v/>
      </c>
      <c r="F1505">
        <f>IF(Skills!M25=TRUE,(Skills!K25/10)*(E1505/1000),Skills!K25/10)+Skills!N25</f>
        <v/>
      </c>
      <c r="G1505">
        <f>Calc!G25</f>
        <v/>
      </c>
      <c r="H1505">
        <f>Calc!H25</f>
        <v/>
      </c>
      <c r="I1505">
        <f>IF(Skills!T25&lt;&gt;"",1+(Skills!T25/10)*($Z$3/1000)/100,1)</f>
        <v/>
      </c>
      <c r="J1505" t="inlineStr"/>
      <c r="K1505" t="inlineStr"/>
      <c r="L1505" t="inlineStr"/>
      <c r="M1505" t="inlineStr"/>
      <c r="N1505" t="inlineStr"/>
      <c r="O1505">
        <f>(1-Summary!$B$11)*S1505+Summary!$B$11*U1505</f>
        <v/>
      </c>
      <c r="P1505">
        <f>IF(B1522=0,0,O1505/B1522)</f>
        <v/>
      </c>
      <c r="Q1505">
        <f>IFERROR(1/(IF(Inputs!$B$39="pvp",15,MAX(0.1,Skills!D25-IF(Skills!E25=TRUE,Inputs!$B$33,0)))*(1-IF(AND(ArtifactsInput!$M$27,Inputs!$B$4="Chapter Hunt"),CHOOSE(ArtifactsInput!$N$27+1,20,24,28,32,36,40),0)/100)),0)</f>
        <v/>
      </c>
      <c r="R1505" t="n">
        <v>0</v>
      </c>
      <c r="S1505" t="n">
        <v>0</v>
      </c>
      <c r="U1505" t="n">
        <v>0</v>
      </c>
    </row>
    <row r="1506">
      <c r="A1506">
        <f>Skills!A26</f>
        <v/>
      </c>
      <c r="B1506">
        <f>Skills!B26</f>
        <v/>
      </c>
      <c r="C1506">
        <f>Inputs!$B$3&gt;=117</f>
        <v/>
      </c>
      <c r="D1506">
        <f>IF(Skills!C26=1,60+Inputs!$B$26+Inputs!$B$30,IF(Skills!C26=2,90+Inputs!$B$27+Inputs!$B$30,IF(Skills!C26=3,120+Inputs!$B$28+Inputs!$B$30,MAX(0,(Inputs!$B$3-100)*3)+Inputs!$B$29+Inputs!$B$30)))</f>
        <v/>
      </c>
      <c r="E1506">
        <f>INDEX(FactorTable!$B$2:$Y$301, MATCH(ROUND(MIN(300,MAX(1,D1506)),0), FactorTable!$A$2:$A$301,0), Skills!L26+1)</f>
        <v/>
      </c>
      <c r="F1506">
        <f>IF(Skills!M26=TRUE,(Skills!K26/10)*(E1506/1000),Skills!K26/10)+Skills!N26</f>
        <v/>
      </c>
      <c r="G1506">
        <f>Calc!G26</f>
        <v/>
      </c>
      <c r="H1506">
        <f>Calc!H26</f>
        <v/>
      </c>
      <c r="I1506">
        <f>IF(Skills!T26&lt;&gt;"",1+(Skills!T26/10)*($Z$3/1000)/100,1)</f>
        <v/>
      </c>
      <c r="J1506" t="inlineStr"/>
      <c r="K1506" t="inlineStr"/>
      <c r="L1506" t="inlineStr"/>
      <c r="M1506" t="inlineStr"/>
      <c r="N1506" t="inlineStr"/>
      <c r="O1506">
        <f>(1-Summary!$B$11)*S1506+Summary!$B$11*U1506</f>
        <v/>
      </c>
      <c r="P1506">
        <f>IF(B1522=0,0,O1506/B1522)</f>
        <v/>
      </c>
      <c r="Q1506">
        <f>IFERROR(1/(IF(Inputs!$B$39="pvp",15,MAX(0.1,Skills!D26-IF(Skills!E26=TRUE,Inputs!$B$33,0)))*(1-IF(AND(ArtifactsInput!$M$27,Inputs!$B$4="Chapter Hunt"),CHOOSE(ArtifactsInput!$N$27+1,20,24,28,32,36,40),0)/100)),0)</f>
        <v/>
      </c>
      <c r="R1506" t="n">
        <v>0</v>
      </c>
      <c r="S1506" t="n">
        <v>0</v>
      </c>
      <c r="U1506" t="n">
        <v>0</v>
      </c>
    </row>
    <row r="1507">
      <c r="A1507">
        <f>Skills!A27</f>
        <v/>
      </c>
      <c r="B1507">
        <f>Skills!B27</f>
        <v/>
      </c>
      <c r="C1507">
        <f>Inputs!$B$3&gt;=120</f>
        <v/>
      </c>
      <c r="D1507">
        <f>IF(Skills!C27=1,60+Inputs!$B$26+Inputs!$B$30,IF(Skills!C27=2,90+Inputs!$B$27+Inputs!$B$30,IF(Skills!C27=3,120+Inputs!$B$28+Inputs!$B$30,MAX(0,(Inputs!$B$3-100)*3)+Inputs!$B$29+Inputs!$B$30)))</f>
        <v/>
      </c>
      <c r="E1507">
        <f>INDEX(FactorTable!$B$2:$Y$301, MATCH(ROUND(MIN(300,MAX(1,D1507)),0), FactorTable!$A$2:$A$301,0), Skills!L27+1)</f>
        <v/>
      </c>
      <c r="F1507">
        <f>IF(Skills!M27=TRUE,(Skills!K27/10)*(E1507/1000),Skills!K27/10)+Skills!N27</f>
        <v/>
      </c>
      <c r="G1507">
        <f>Calc!G27</f>
        <v/>
      </c>
      <c r="H1507">
        <f>Calc!H27</f>
        <v/>
      </c>
      <c r="I1507">
        <f>IF(Skills!T27&lt;&gt;"",1+(Skills!T27/10)*($Z$3/1000)/100,1)</f>
        <v/>
      </c>
      <c r="J1507" t="inlineStr"/>
      <c r="K1507" t="inlineStr"/>
      <c r="L1507" t="inlineStr"/>
      <c r="M1507" t="inlineStr"/>
      <c r="N1507" t="inlineStr"/>
      <c r="O1507">
        <f>(1-Summary!$B$11)*S1507+Summary!$B$11*U1507</f>
        <v/>
      </c>
      <c r="P1507">
        <f>IF(B1522=0,0,O1507/B1522)</f>
        <v/>
      </c>
      <c r="Q1507">
        <f>IFERROR(1/(IF(Inputs!$B$39="pvp",15,MAX(0.1,Skills!D27-IF(Skills!E27=TRUE,Inputs!$B$33,0)))*(1-IF(AND(ArtifactsInput!$M$27,Inputs!$B$4="Chapter Hunt"),CHOOSE(ArtifactsInput!$N$27+1,20,24,28,32,36,40),0)/100)),0)</f>
        <v/>
      </c>
      <c r="R1507" t="n">
        <v>0</v>
      </c>
      <c r="S1507" t="n">
        <v>0</v>
      </c>
      <c r="U1507" t="n">
        <v>0</v>
      </c>
    </row>
    <row r="1509">
      <c r="A1509" t="inlineStr">
        <is>
          <t>Average Buff Multiplier</t>
        </is>
      </c>
      <c r="B1509">
        <f>(1+(IF(C1483=TRUE,F1483*IF(AND(Inputs!$B$39&lt;&gt;"pvp",Inputs!$B$44&gt;0),(((R1483-1)*(Skills!S3*(1+((Inputs!$B$35+(ArtifactsInput!$M$7-ArtifactsInput!$M$7)*CHOOSE(ArtifactsInput!$N$7+1,6,7.2,8.4,9.6,10.8,12))+IF(Inputs!$B$3&gt;=117,F1506,0))/100))+MIN((Skills!S3*(1+((Inputs!$B$35+(ArtifactsInput!$M$7-ArtifactsInput!$M$7)*CHOOSE(ArtifactsInput!$N$7+1,6,7.2,8.4,9.6,10.8,12))+IF(Inputs!$B$3&gt;=117,F1506,0))/100)),MAX(0,Inputs!$B$44-((R1483-1)*Skills!D3))))/Inputs!$B$44),IF(Inputs!$B$39="pvp",MIN((Skills!S3*(1+((Inputs!$B$35+(ArtifactsInput!$M$7-ArtifactsInput!$M$7)*CHOOSE(ArtifactsInput!$N$7+1,6,7.2,8.4,9.6,10.8,12))+IF(Inputs!$B$3&gt;=117,F1506,0))/100)),15)/15,(Skills!S3*(1+((Inputs!$B$35+(ArtifactsInput!$M$7-ArtifactsInput!$M$7)*CHOOSE(ArtifactsInput!$N$7+1,6,7.2,8.4,9.6,10.8,12))+IF(Inputs!$B$3&gt;=117,F1506,0))/100))/Skills!D3)),0)+IF(C1484=TRUE,F1484*IF(AND(Inputs!$B$39&lt;&gt;"pvp",Inputs!$B$44&gt;0),(((R1484-1)*(Skills!S4*(1+((Inputs!$B$35+(ArtifactsInput!$M$7-ArtifactsInput!$M$7)*CHOOSE(ArtifactsInput!$N$7+1,6,7.2,8.4,9.6,10.8,12))+IF(Inputs!$B$3&gt;=117,F1506,0))/100))+MIN((Skills!S4*(1+((Inputs!$B$35+(ArtifactsInput!$M$7-ArtifactsInput!$M$7)*CHOOSE(ArtifactsInput!$N$7+1,6,7.2,8.4,9.6,10.8,12))+IF(Inputs!$B$3&gt;=117,F1506,0))/100)),MAX(0,Inputs!$B$44-((R1484-1)*Skills!D4))))/Inputs!$B$44),IF(Inputs!$B$39="pvp",MIN((Skills!S4*(1+((Inputs!$B$35+(ArtifactsInput!$M$7-ArtifactsInput!$M$7)*CHOOSE(ArtifactsInput!$N$7+1,6,7.2,8.4,9.6,10.8,12))+IF(Inputs!$B$3&gt;=117,F1506,0))/100)),15)/15,(Skills!S4*(1+((Inputs!$B$35+(ArtifactsInput!$M$7-ArtifactsInput!$M$7)*CHOOSE(ArtifactsInput!$N$7+1,6,7.2,8.4,9.6,10.8,12))+IF(Inputs!$B$3&gt;=117,F1506,0))/100))/Skills!D4)),0)+IF(C1485=TRUE,F1485*IF(AND(Inputs!$B$39&lt;&gt;"pvp",Inputs!$B$44&gt;0),(((R1485-1)*(Skills!S5*(1+((Inputs!$B$35+(ArtifactsInput!$M$7-ArtifactsInput!$M$7)*CHOOSE(ArtifactsInput!$N$7+1,6,7.2,8.4,9.6,10.8,12))+IF(Inputs!$B$3&gt;=117,F1506,0))/100))+MIN((Skills!S5*(1+((Inputs!$B$35+(ArtifactsInput!$M$7-ArtifactsInput!$M$7)*CHOOSE(ArtifactsInput!$N$7+1,6,7.2,8.4,9.6,10.8,12))+IF(Inputs!$B$3&gt;=117,F1506,0))/100)),MAX(0,Inputs!$B$44-((R1485-1)*Skills!D5))))/Inputs!$B$44),IF(Inputs!$B$39="pvp",MIN((Skills!S5*(1+((Inputs!$B$35+(ArtifactsInput!$M$7-ArtifactsInput!$M$7)*CHOOSE(ArtifactsInput!$N$7+1,6,7.2,8.4,9.6,10.8,12))+IF(Inputs!$B$3&gt;=117,F1506,0))/100)),15)/15,(Skills!S5*(1+((Inputs!$B$35+(ArtifactsInput!$M$7-ArtifactsInput!$M$7)*CHOOSE(ArtifactsInput!$N$7+1,6,7.2,8.4,9.6,10.8,12))+IF(Inputs!$B$3&gt;=117,F1506,0))/100))/Skills!D5)),0)+IF(C1491=TRUE,F1491*IF(AND(Inputs!$B$39&lt;&gt;"pvp",Inputs!$B$44&gt;0),(((R1491-1)*(Skills!S11*(1+((Inputs!$B$35+(ArtifactsInput!$M$7-ArtifactsInput!$M$7)*CHOOSE(ArtifactsInput!$N$7+1,6,7.2,8.4,9.6,10.8,12))+IF(Inputs!$B$3&gt;=117,F1506,0))/100))+MIN((Skills!S11*(1+((Inputs!$B$35+(ArtifactsInput!$M$7-ArtifactsInput!$M$7)*CHOOSE(ArtifactsInput!$N$7+1,6,7.2,8.4,9.6,10.8,12))+IF(Inputs!$B$3&gt;=117,F1506,0))/100)),MAX(0,Inputs!$B$44-((R1491-1)*Skills!D11))))/Inputs!$B$44),IF(Inputs!$B$39="pvp",MIN((Skills!S11*(1+((Inputs!$B$35+(ArtifactsInput!$M$7-ArtifactsInput!$M$7)*CHOOSE(ArtifactsInput!$N$7+1,6,7.2,8.4,9.6,10.8,12))+IF(Inputs!$B$3&gt;=117,F1506,0))/100)),15)/15,(Skills!S11*(1+((Inputs!$B$35+(ArtifactsInput!$M$7-ArtifactsInput!$M$7)*CHOOSE(ArtifactsInput!$N$7+1,6,7.2,8.4,9.6,10.8,12))+IF(Inputs!$B$3&gt;=117,F1506,0)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1494=TRUE,(1+F1494*IF(AND(Inputs!$B$39&lt;&gt;"pvp",Inputs!$B$44&gt;0),(((R1494-1)*(Skills!S14*(1+((Inputs!$B$35+(ArtifactsInput!$M$7-ArtifactsInput!$M$7)*CHOOSE(ArtifactsInput!$N$7+1,6,7.2,8.4,9.6,10.8,12))+IF(Inputs!$B$3&gt;=117,F1506,0))/100))+MIN((Skills!S14*(1+((Inputs!$B$35+(ArtifactsInput!$M$7-ArtifactsInput!$M$7)*CHOOSE(ArtifactsInput!$N$7+1,6,7.2,8.4,9.6,10.8,12))+IF(Inputs!$B$3&gt;=117,F1506,0))/100)),MAX(0,Inputs!$B$44-((R1494-1)*Skills!D14))))/Inputs!$B$44),IF(Inputs!$B$39="pvp",MIN((Skills!S14*(1+((Inputs!$B$35+(ArtifactsInput!$M$7-ArtifactsInput!$M$7)*CHOOSE(ArtifactsInput!$N$7+1,6,7.2,8.4,9.6,10.8,12))+IF(Inputs!$B$3&gt;=117,F1506,0))/100)),15)/15,(Skills!S14*(1+((Inputs!$B$35+(ArtifactsInput!$M$7-ArtifactsInput!$M$7)*CHOOSE(ArtifactsInput!$N$7+1,6,7.2,8.4,9.6,10.8,12))+IF(Inputs!$B$3&gt;=117,F1506,0))/100))/Skills!D14))/100),1)*IF(C1499=TRUE,(1+F1499*IF(AND(Inputs!$B$39&lt;&gt;"pvp",Inputs!$B$44&gt;0),(((R1499-1)*(Skills!S19*(1+((Inputs!$B$35+(ArtifactsInput!$M$7-ArtifactsInput!$M$7)*CHOOSE(ArtifactsInput!$N$7+1,6,7.2,8.4,9.6,10.8,12))+IF(Inputs!$B$3&gt;=117,F1506,0))/100))+MIN((Skills!S19*(1+((Inputs!$B$35+(ArtifactsInput!$M$7-ArtifactsInput!$M$7)*CHOOSE(ArtifactsInput!$N$7+1,6,7.2,8.4,9.6,10.8,12))+IF(Inputs!$B$3&gt;=117,F1506,0))/100)),MAX(0,Inputs!$B$44-((R1499-1)*Skills!D19))))/Inputs!$B$44),IF(Inputs!$B$39="pvp",MIN((Skills!S19*(1+((Inputs!$B$35+(ArtifactsInput!$M$7-ArtifactsInput!$M$7)*CHOOSE(ArtifactsInput!$N$7+1,6,7.2,8.4,9.6,10.8,12))+IF(Inputs!$B$3&gt;=117,F1506,0))/100)),15)/15,(Skills!S19*(1+((Inputs!$B$35+(ArtifactsInput!$M$7-ArtifactsInput!$M$7)*CHOOSE(ArtifactsInput!$N$7+1,6,7.2,8.4,9.6,10.8,12))+IF(Inputs!$B$3&gt;=117,F1506,0))/100))/Skills!D19))/100),1)</f>
        <v/>
      </c>
    </row>
    <row r="1510">
      <c r="A1510" t="inlineStr">
        <is>
          <t>Monster Damage Taken Bonus % (Holy Fountain)</t>
        </is>
      </c>
      <c r="B1510">
        <f>IF(Inputs!$B$3&gt;=68,20*IF(Inputs!$B$39="pvp",MIN((15*(1+((Inputs!$B$35+(ArtifactsInput!$M$7-ArtifactsInput!$M$7)*CHOOSE(ArtifactsInput!$N$7+1,6,7.2,8.4,9.6,10.8,12))+IF(Inputs!$B$3&gt;=117,F1506,0))/100)),15)/15,(15*(1+((Inputs!$B$35+(ArtifactsInput!$M$7-ArtifactsInput!$M$7)*CHOOSE(ArtifactsInput!$N$7+1,6,7.2,8.4,9.6,10.8,12))+IF(Inputs!$B$3&gt;=117,F1506,0))/100))/Skills!D10),0)</f>
        <v/>
      </c>
    </row>
    <row r="1511">
      <c r="A1511" t="inlineStr">
        <is>
          <t>Normal Monster Damage Bonus % (Holy Symbol)</t>
        </is>
      </c>
      <c r="B1511">
        <f>IF(C1492=TRUE,F1492*IF(AND(Inputs!$B$39&lt;&gt;"pvp",Inputs!$B$44&gt;0),(((R1492-1)*(Skills!S12*(1+((Inputs!$B$35+(ArtifactsInput!$M$7-ArtifactsInput!$M$7)*CHOOSE(ArtifactsInput!$N$7+1,6,7.2,8.4,9.6,10.8,12))+IF(Inputs!$B$3&gt;=117,F1506,0))/100))+MIN((Skills!S12*(1+((Inputs!$B$35+(ArtifactsInput!$M$7-ArtifactsInput!$M$7)*CHOOSE(ArtifactsInput!$N$7+1,6,7.2,8.4,9.6,10.8,12))+IF(Inputs!$B$3&gt;=117,F1506,0))/100)),MAX(0,Inputs!$B$44-((R1492-1)*Skills!D12))))/Inputs!$B$44),IF(Inputs!$B$39="pvp",MIN((Skills!S12*(1+((Inputs!$B$35+(ArtifactsInput!$M$7-ArtifactsInput!$M$7)*CHOOSE(ArtifactsInput!$N$7+1,6,7.2,8.4,9.6,10.8,12))+IF(Inputs!$B$3&gt;=117,F1506,0))/100)),15)/15,(Skills!S12*(1+((Inputs!$B$35+(ArtifactsInput!$M$7-ArtifactsInput!$M$7)*CHOOSE(ArtifactsInput!$N$7+1,6,7.2,8.4,9.6,10.8,12))+IF(Inputs!$B$3&gt;=117,F1506,0))/100))/Skills!D12)),0)</f>
        <v/>
      </c>
    </row>
    <row r="1512">
      <c r="A1512" t="inlineStr">
        <is>
          <t>Damage % Bonus (Holy Symbol - Damage Boost)</t>
        </is>
      </c>
      <c r="B1512">
        <f>Skills!O12</f>
        <v/>
      </c>
    </row>
    <row r="1513">
      <c r="A1513" t="inlineStr">
        <is>
          <t>Crit Damage % Bonus (Blood of the Divine)</t>
        </is>
      </c>
      <c r="B1513">
        <f>4*IF(C1500=TRUE,F1500,0)</f>
        <v/>
      </c>
    </row>
    <row r="1514">
      <c r="A1514" t="inlineStr">
        <is>
          <t>Attack Speed Bonus %</t>
        </is>
      </c>
      <c r="B1514">
        <f>IF(C1497=TRUE,F1497+(F1501-Calc!F21),0)+IF(Inputs!$B$3&gt;=134,15,0)</f>
        <v/>
      </c>
    </row>
    <row r="1515">
      <c r="A1515" t="inlineStr">
        <is>
          <t>Actions Per Second</t>
        </is>
      </c>
      <c r="B1515">
        <f>1+MIN(150,150*(1-(1-Inputs!$B$12/150)*(1-B1514/150)))/100</f>
        <v/>
      </c>
    </row>
    <row r="1516">
      <c r="A1516" t="inlineStr">
        <is>
          <t>Skill + Buff Cast Rate</t>
        </is>
      </c>
      <c r="B1516">
        <f>IF(AND(Inputs!$B$39&lt;&gt;"pvp",Inputs!$B$44&gt;0),SUMPRODUCT((Skills!E2:E27=TRUE)*(C1482:C1507=TRUE)*R1482:R1507)/Inputs!$B$44,SUMPRODUCT((Skills!E2:E27=TRUE)*(C1482:C1507=TRUE)*Q1482:Q1507))</f>
        <v/>
      </c>
    </row>
    <row r="1517">
      <c r="A1517" t="inlineStr">
        <is>
          <t>Big Bang Casts Per Second</t>
        </is>
      </c>
      <c r="B1517">
        <f>MAX(0,B1515-B1516)</f>
        <v/>
      </c>
    </row>
    <row r="1518">
      <c r="A1518" t="inlineStr">
        <is>
          <t>Defense % Bonus (Divine Protection)</t>
        </is>
      </c>
      <c r="B1518">
        <f>IF(C1493=TRUE,F1493*IF(AND(Inputs!$B$39&lt;&gt;"pvp",Inputs!$B$44&gt;0),(((R1493-1)*(Skills!S13*(1+((Inputs!$B$35+(ArtifactsInput!$M$7-ArtifactsInput!$M$7)*CHOOSE(ArtifactsInput!$N$7+1,6,7.2,8.4,9.6,10.8,12))+IF(Inputs!$B$3&gt;=117,F1506,0))/100))+MIN((Skills!S13*(1+((Inputs!$B$35+(ArtifactsInput!$M$7-ArtifactsInput!$M$7)*CHOOSE(ArtifactsInput!$N$7+1,6,7.2,8.4,9.6,10.8,12))+IF(Inputs!$B$3&gt;=117,F1506,0))/100)),MAX(0,Inputs!$B$44-((R1493-1)*Skills!D13))))/Inputs!$B$44),IF(Inputs!$B$39="pvp",MIN((Skills!S13*(1+((Inputs!$B$35+(ArtifactsInput!$M$7-ArtifactsInput!$M$7)*CHOOSE(ArtifactsInput!$N$7+1,6,7.2,8.4,9.6,10.8,12))+IF(Inputs!$B$3&gt;=117,F1506,0))/100)),15)/15,(Skills!S13*(1+((Inputs!$B$35+(ArtifactsInput!$M$7-ArtifactsInput!$M$7)*CHOOSE(ArtifactsInput!$N$7+1,6,7.2,8.4,9.6,10.8,12))+IF(Inputs!$B$3&gt;=117,F1506,0))/100))/Skills!D13)),0)</f>
        <v/>
      </c>
    </row>
    <row r="1519">
      <c r="A1519" t="inlineStr">
        <is>
          <t>Buff-Casting Startup Delay (s, fixed-duration only)</t>
        </is>
      </c>
      <c r="B1519">
        <f>IF(AND(Inputs!$B$39&lt;&gt;"pvp",Inputs!$B$44&gt;0),SUMPRODUCT((Skills!S2:S27&gt;0)*(Skills!E2:E27=TRUE)*(C1482:C1507=TRUE))/B1515,0)</f>
        <v/>
      </c>
    </row>
    <row r="1520">
      <c r="A1520" t="inlineStr">
        <is>
          <t>Boss-Only Total DPS (this block's swept value)</t>
        </is>
      </c>
      <c r="B1520">
        <f>SUM(S1482:S1507)</f>
        <v/>
      </c>
    </row>
    <row r="1521">
      <c r="A1521" t="inlineStr">
        <is>
          <t>Normal-Only Total DPS (this block's swept value)</t>
        </is>
      </c>
      <c r="B1521">
        <f>SUM(U1482:U1507)</f>
        <v/>
      </c>
    </row>
    <row r="1522">
      <c r="A1522" s="6" t="inlineStr">
        <is>
          <t>TOTAL DPS</t>
        </is>
      </c>
      <c r="B1522" s="6">
        <f>SUM(O1482:O1507)</f>
        <v/>
      </c>
    </row>
    <row r="1524">
      <c r="A1524" s="6" t="inlineStr">
        <is>
          <t>Stat: Arwen's Glass Shoes (Equip)</t>
        </is>
      </c>
    </row>
    <row r="1525">
      <c r="A1525" s="5" t="inlineStr">
        <is>
          <t>Key</t>
        </is>
      </c>
      <c r="B1525" s="5" t="inlineStr">
        <is>
          <t>Name</t>
        </is>
      </c>
      <c r="C1525" s="5" t="inlineStr">
        <is>
          <t>Unlocked</t>
        </is>
      </c>
      <c r="D1525" s="5" t="inlineStr">
        <is>
          <t>InputLevel</t>
        </is>
      </c>
      <c r="E1525" s="5" t="inlineStr">
        <is>
          <t>Factor</t>
        </is>
      </c>
      <c r="F1525" s="5" t="inlineStr">
        <is>
          <t>CoefficientPercent</t>
        </is>
      </c>
      <c r="G1525" s="5" t="inlineStr">
        <is>
          <t>EffectiveHits</t>
        </is>
      </c>
      <c r="H1525" s="5" t="inlineStr">
        <is>
          <t>ProcProbability</t>
        </is>
      </c>
      <c r="I1525" s="5" t="inlineStr">
        <is>
          <t>MapleHeroMultiplier</t>
        </is>
      </c>
      <c r="J1525" s="5" t="inlineStr">
        <is>
          <t>BaseDamage</t>
        </is>
      </c>
      <c r="K1525" s="5" t="inlineStr">
        <is>
          <t>BaseHitDamage</t>
        </is>
      </c>
      <c r="L1525" s="5" t="inlineStr">
        <is>
          <t>NonCritAvg</t>
        </is>
      </c>
      <c r="M1525" s="5" t="inlineStr">
        <is>
          <t>CritAvg</t>
        </is>
      </c>
      <c r="N1525" s="5" t="inlineStr">
        <is>
          <t>ExpectedDamage(perHit)</t>
        </is>
      </c>
      <c r="O1525" s="5" t="inlineStr">
        <is>
          <t>DPS</t>
        </is>
      </c>
      <c r="P1525" s="5" t="inlineStr">
        <is>
          <t>% of Total</t>
        </is>
      </c>
      <c r="R1525" t="inlineStr">
        <is>
          <t>helpers</t>
        </is>
      </c>
    </row>
    <row r="1526">
      <c r="A1526">
        <f>Skills!A2</f>
        <v/>
      </c>
      <c r="B1526">
        <f>Skills!B2</f>
        <v/>
      </c>
      <c r="C1526">
        <f>Inputs!$B$3&gt;=100</f>
        <v/>
      </c>
      <c r="D1526" t="inlineStr"/>
      <c r="E1526" t="inlineStr"/>
      <c r="F1526">
        <f>T1528+Skills!N2</f>
        <v/>
      </c>
      <c r="G1526">
        <f>Calc!G2</f>
        <v/>
      </c>
      <c r="H1526">
        <f>Calc!H2</f>
        <v/>
      </c>
      <c r="I1526">
        <f>IF(Skills!T2&lt;&gt;"",1+(Skills!T2/10)*($Z$3/1000)/100,1)</f>
        <v/>
      </c>
      <c r="J1526">
        <f>((Inputs!$B$6*(1+Inputs!$B$7/100))+(((Inputs!$B$13*(1+Inputs!$B$14/100))-(Inputs!$B$13*(1+Inputs!$B$14/100)))+0.25*(Inputs!$B$15-Inputs!$B$15))*(1+Inputs!$B$7/100))*(F1526/100)</f>
        <v/>
      </c>
      <c r="K1526">
        <f>J1526*(1+(((Inputs!$B$13+IF(Inputs!$B$3&gt;=35,(10*INDEX(FactorTable!$B$2:$Y$301,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2="TRIUMPH_FEATHER",IF(C1540=TRUE,F1540,0),0)/100)*(1+IF(C1551=TRUE,F1551,0)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1526)</f>
        <v/>
      </c>
      <c r="L1526">
        <f>K1526*(MIN(Inputs!$B$23+(F1546-Calc!F22),(Inputs!$B$24+IF(ArtifactsInput!$M$15,CHOOSE(ArtifactsInput!$N$15+1,25,30,35,40,45,50)/100*(Inputs!$B$12-Inputs!$B$12),0)))/100+(Inputs!$B$24+IF(ArtifactsInput!$M$15,CHOOSE(ArtifactsInput!$N$15+1,25,30,35,40,45,50)/100*(Inputs!$B$12-Inputs!$B$12),0))/100)/2</f>
        <v/>
      </c>
      <c r="M1526">
        <f>L1526*(1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6">
        <f>L1526*(1-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1526*(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6">
        <f>(1-Summary!$B$11)*S1526+Summary!$B$11*U1526</f>
        <v/>
      </c>
      <c r="P1526">
        <f>IF(B1566=0,0,O1526/B1566)</f>
        <v/>
      </c>
      <c r="Q1526">
        <f>IFERROR(1/(IF(Inputs!$B$39="pvp",15,MAX(0.1,Skills!D2-IF(Skills!E2=TRUE,Inputs!$B$33,0)))*(1-IF(AND(ArtifactsInput!$M$27,Inputs!$B$4="Chapter Hunt"),CHOOSE(ArtifactsInput!$N$27+1,20,24,28,32,36,40),0)/100)),0)</f>
        <v/>
      </c>
      <c r="R1526" t="n">
        <v>0</v>
      </c>
      <c r="S1526">
        <f>IF(C1526,(Skills!F2*N1526*B1561)*IF(Inputs!$B$39="pvp",1,1+(Inputs!$B$21+Skills!O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1526*(1-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1526*(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1526*(1-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1526*(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26">
        <f>MAX(0,(Inputs!$B$3-100)*3)+Inputs!$B$29+Inputs!$B$30</f>
        <v/>
      </c>
      <c r="U1526">
        <f>IF(C1526,(Skills!F2*N1526*B1561)*IF(Inputs!$B$39="pvp",1,(1+(Inputs!$B$22+Skills!P2+B1555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7">
      <c r="A1527">
        <f>Skills!A3</f>
        <v/>
      </c>
      <c r="B1527">
        <f>Skills!B3</f>
        <v/>
      </c>
      <c r="C1527">
        <f>Inputs!$B$3&gt;=15</f>
        <v/>
      </c>
      <c r="D1527">
        <f>IF(Skills!C3=1,60+Inputs!$B$26+Inputs!$B$30,IF(Skills!C3=2,90+Inputs!$B$27+Inputs!$B$30,IF(Skills!C3=3,120+Inputs!$B$28+Inputs!$B$30,MAX(0,(Inputs!$B$3-100)*3)+Inputs!$B$29+Inputs!$B$30)))</f>
        <v/>
      </c>
      <c r="E1527">
        <f>INDEX(FactorTable!$B$2:$Y$301, MATCH(ROUND(MIN(300,MAX(1,D1527)),0), FactorTable!$A$2:$A$301,0), Skills!L3+1)</f>
        <v/>
      </c>
      <c r="F1527">
        <f>IF(Skills!M3=TRUE,(Skills!K3/10)*(E1527/1000),Skills!K3/10)+Skills!N3</f>
        <v/>
      </c>
      <c r="G1527">
        <f>Calc!G3</f>
        <v/>
      </c>
      <c r="H1527">
        <f>Calc!H3</f>
        <v/>
      </c>
      <c r="I1527">
        <f>IF(Skills!T3&lt;&gt;"",1+(Skills!T3/10)*($Z$3/1000)/100,1)</f>
        <v/>
      </c>
      <c r="J1527" t="inlineStr"/>
      <c r="K1527" t="inlineStr"/>
      <c r="L1527" t="inlineStr"/>
      <c r="M1527" t="inlineStr"/>
      <c r="N1527" t="inlineStr"/>
      <c r="O1527">
        <f>(1-Summary!$B$11)*S1527+Summary!$B$11*U1527</f>
        <v/>
      </c>
      <c r="P1527">
        <f>IF(B1566=0,0,O1527/B1566)</f>
        <v/>
      </c>
      <c r="Q1527">
        <f>IFERROR(1/(IF(Inputs!$B$39="pvp",15,MAX(0.1,Skills!D3-IF(Skills!E3=TRUE,Inputs!$B$33,0)))*(1-IF(AND(ArtifactsInput!$M$27,Inputs!$B$4="Chapter Hunt"),CHOOSE(ArtifactsInput!$N$27+1,20,24,28,32,36,40),0)/100)),0)</f>
        <v/>
      </c>
      <c r="R1527">
        <f>IF(AND(Inputs!$B$39&lt;&gt;"pvp",Inputs!$B$44&gt;0),IF(Inputs!$B$44&lt;=0,0,(INT(Inputs!$B$44/(IF(Inputs!$B$39="pvp",15,MAX(0.1,Skills!D3-IF(Skills!E3=TRUE,Inputs!$B$33,0)))*(1-IF(AND(ArtifactsInput!$M$27,Inputs!$B$4="Chapter Hunt"),CHOOSE(ArtifactsInput!$N$27+1,20,24,28,32,36,40),0)/100)))+1)),0)</f>
        <v/>
      </c>
      <c r="S1527" t="n">
        <v>0</v>
      </c>
      <c r="T1527">
        <f>INDEX(FactorTable!$B$2:$Y$301, MATCH(ROUND(MIN(300,MAX(1,T1526)),0), FactorTable!$A$2:$A$301,0), 22)</f>
        <v/>
      </c>
      <c r="U1527" t="n">
        <v>0</v>
      </c>
    </row>
    <row r="1528">
      <c r="A1528">
        <f>Skills!A4</f>
        <v/>
      </c>
      <c r="B1528">
        <f>Skills!B4</f>
        <v/>
      </c>
      <c r="C1528">
        <f>Inputs!$B$3&gt;=38</f>
        <v/>
      </c>
      <c r="D1528">
        <f>IF(Skills!C4=1,60+Inputs!$B$26+Inputs!$B$30,IF(Skills!C4=2,90+Inputs!$B$27+Inputs!$B$30,IF(Skills!C4=3,120+Inputs!$B$28+Inputs!$B$30,MAX(0,(Inputs!$B$3-100)*3)+Inputs!$B$29+Inputs!$B$30)))</f>
        <v/>
      </c>
      <c r="E1528">
        <f>INDEX(FactorTable!$B$2:$Y$301, MATCH(ROUND(MIN(300,MAX(1,D1528)),0), FactorTable!$A$2:$A$301,0), Skills!L4+1)</f>
        <v/>
      </c>
      <c r="F1528">
        <f>IF(Skills!M4=TRUE,(Skills!K4/10)*(E1528/1000),Skills!K4/10)+Skills!N4</f>
        <v/>
      </c>
      <c r="G1528">
        <f>Calc!G4</f>
        <v/>
      </c>
      <c r="H1528">
        <f>Calc!H4</f>
        <v/>
      </c>
      <c r="I1528">
        <f>IF(Skills!T4&lt;&gt;"",1+(Skills!T4/10)*($Z$3/1000)/100,1)</f>
        <v/>
      </c>
      <c r="J1528" t="inlineStr"/>
      <c r="K1528" t="inlineStr"/>
      <c r="L1528" t="inlineStr"/>
      <c r="M1528" t="inlineStr"/>
      <c r="N1528" t="inlineStr"/>
      <c r="O1528">
        <f>(1-Summary!$B$11)*S1528+Summary!$B$11*U1528</f>
        <v/>
      </c>
      <c r="P1528">
        <f>IF(B1566=0,0,O1528/B1566)</f>
        <v/>
      </c>
      <c r="Q1528">
        <f>IFERROR(1/(IF(Inputs!$B$39="pvp",15,MAX(0.1,Skills!D4-IF(Skills!E4=TRUE,Inputs!$B$33,0)))*(1-IF(AND(ArtifactsInput!$M$27,Inputs!$B$4="Chapter Hunt"),CHOOSE(ArtifactsInput!$N$27+1,20,24,28,32,36,40),0)/100)),0)</f>
        <v/>
      </c>
      <c r="R1528">
        <f>IF(AND(Inputs!$B$39&lt;&gt;"pvp",Inputs!$B$44&gt;0),IF(Inputs!$B$44&lt;=0,0,(INT(Inputs!$B$44/(IF(Inputs!$B$39="pvp",15,MAX(0.1,Skills!D4-IF(Skills!E4=TRUE,Inputs!$B$33,0)))*(1-IF(AND(ArtifactsInput!$M$27,Inputs!$B$4="Chapter Hunt"),CHOOSE(ArtifactsInput!$N$27+1,20,24,28,32,36,40),0)/100)))+1)),0)</f>
        <v/>
      </c>
      <c r="S1528" t="n">
        <v>0</v>
      </c>
      <c r="T1528">
        <f>290*T1527/1000</f>
        <v/>
      </c>
      <c r="U1528" t="n">
        <v>0</v>
      </c>
    </row>
    <row r="1529">
      <c r="A1529">
        <f>Skills!A5</f>
        <v/>
      </c>
      <c r="B1529">
        <f>Skills!B5</f>
        <v/>
      </c>
      <c r="C1529">
        <f>Inputs!$B$3&gt;=40</f>
        <v/>
      </c>
      <c r="D1529">
        <f>IF(Skills!C5=1,60+Inputs!$B$26+Inputs!$B$30,IF(Skills!C5=2,90+Inputs!$B$27+Inputs!$B$30,IF(Skills!C5=3,120+Inputs!$B$28+Inputs!$B$30,MAX(0,(Inputs!$B$3-100)*3)+Inputs!$B$29+Inputs!$B$30)))</f>
        <v/>
      </c>
      <c r="E1529">
        <f>INDEX(FactorTable!$B$2:$Y$301, MATCH(ROUND(MIN(300,MAX(1,D1529)),0), FactorTable!$A$2:$A$301,0), Skills!L5+1)</f>
        <v/>
      </c>
      <c r="F1529">
        <f>IF(Skills!M5=TRUE,(Skills!K5/10)*(E1529/1000),Skills!K5/10)+Skills!N5</f>
        <v/>
      </c>
      <c r="G1529">
        <f>Calc!G5</f>
        <v/>
      </c>
      <c r="H1529">
        <f>Calc!H5</f>
        <v/>
      </c>
      <c r="I1529">
        <f>IF(Skills!T5&lt;&gt;"",1+(Skills!T5/10)*($Z$3/1000)/100,1)</f>
        <v/>
      </c>
      <c r="J1529" t="inlineStr"/>
      <c r="K1529" t="inlineStr"/>
      <c r="L1529" t="inlineStr"/>
      <c r="M1529" t="inlineStr"/>
      <c r="N1529" t="inlineStr"/>
      <c r="O1529">
        <f>(1-Summary!$B$11)*S1529+Summary!$B$11*U1529</f>
        <v/>
      </c>
      <c r="P1529">
        <f>IF(B1566=0,0,O1529/B1566)</f>
        <v/>
      </c>
      <c r="Q1529">
        <f>IFERROR(1/(IF(Inputs!$B$39="pvp",15,MAX(0.1,Skills!D5-IF(Skills!E5=TRUE,Inputs!$B$33,0)))*(1-IF(AND(ArtifactsInput!$M$27,Inputs!$B$4="Chapter Hunt"),CHOOSE(ArtifactsInput!$N$27+1,20,24,28,32,36,40),0)/100)),0)</f>
        <v/>
      </c>
      <c r="R1529">
        <f>IF(AND(Inputs!$B$39&lt;&gt;"pvp",Inputs!$B$44&gt;0),IF(Inputs!$B$44&lt;=0,0,(INT(Inputs!$B$44/(IF(Inputs!$B$39="pvp",15,MAX(0.1,Skills!D5-IF(Skills!E5=TRUE,Inputs!$B$33,0)))*(1-IF(AND(ArtifactsInput!$M$27,Inputs!$B$4="Chapter Hunt"),CHOOSE(ArtifactsInput!$N$27+1,20,24,28,32,36,40),0)/100)))+1)),0)</f>
        <v/>
      </c>
      <c r="S1529" t="n">
        <v>0</v>
      </c>
      <c r="U1529" t="n">
        <v>0</v>
      </c>
    </row>
    <row r="1530">
      <c r="A1530">
        <f>Skills!A6</f>
        <v/>
      </c>
      <c r="B1530">
        <f>Skills!B6</f>
        <v/>
      </c>
      <c r="C1530">
        <f>Inputs!$B$3&gt;=103</f>
        <v/>
      </c>
      <c r="D1530">
        <f>IF(Skills!C6=1,60+Inputs!$B$26+Inputs!$B$30,IF(Skills!C6=2,90+Inputs!$B$27+Inputs!$B$30,IF(Skills!C6=3,120+Inputs!$B$28+Inputs!$B$30,MAX(0,(Inputs!$B$3-100)*3)+Inputs!$B$29+Inputs!$B$30)))</f>
        <v/>
      </c>
      <c r="E1530">
        <f>INDEX(FactorTable!$B$2:$Y$301, MATCH(ROUND(MIN(300,MAX(1,D1530)),0), FactorTable!$A$2:$A$301,0), Skills!L6+1)</f>
        <v/>
      </c>
      <c r="F1530">
        <f>IF(Skills!M6=TRUE,(Skills!K6/10)*(E1530/1000),Skills!K6/10)+Skills!N6</f>
        <v/>
      </c>
      <c r="G1530">
        <f>Calc!G6</f>
        <v/>
      </c>
      <c r="H1530">
        <f>Calc!H6</f>
        <v/>
      </c>
      <c r="I1530">
        <f>IF(Skills!T6&lt;&gt;"",1+(Skills!T6/10)*($Z$3/1000)/100,1)</f>
        <v/>
      </c>
      <c r="J1530">
        <f>((Inputs!$B$6*(1+Inputs!$B$7/100))+(((Inputs!$B$13*(1+Inputs!$B$14/100))-(Inputs!$B$13*(1+Inputs!$B$14/100)))+0.25*(Inputs!$B$15-Inputs!$B$15))*(1+Inputs!$B$7/100))*(F1530/100)</f>
        <v/>
      </c>
      <c r="K1530">
        <f>J1530*(1+(((Inputs!$B$13+IF(Inputs!$B$3&gt;=35,(10*INDEX(FactorTable!$B$2:$Y$301,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6="TRIUMPH_FEATHER",IF(C1540=TRUE,F1540,0),0)/100)*(1+IF(C1551=TRUE,F1551,0)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1530)</f>
        <v/>
      </c>
      <c r="L1530">
        <f>K1530*(MIN(Inputs!$B$23+(F1546-Calc!F22),(Inputs!$B$24+IF(ArtifactsInput!$M$15,CHOOSE(ArtifactsInput!$N$15+1,25,30,35,40,45,50)/100*(Inputs!$B$12-Inputs!$B$12),0)))/100+(Inputs!$B$24+IF(ArtifactsInput!$M$15,CHOOSE(ArtifactsInput!$N$15+1,25,30,35,40,45,50)/100*(Inputs!$B$12-Inputs!$B$12),0))/100)/2</f>
        <v/>
      </c>
      <c r="M1530">
        <f>L1530*(1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0">
        <f>L1530*(1-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1530*(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0">
        <f>(1-Summary!$B$11)*S1530+Summary!$B$11*U1530</f>
        <v/>
      </c>
      <c r="P1530">
        <f>IF(B1566=0,0,O1530/B1566)</f>
        <v/>
      </c>
      <c r="Q1530">
        <f>IFERROR(1/(IF(Inputs!$B$39="pvp",15,MAX(0.1,Skills!D6-IF(Skills!E6=TRUE,Inputs!$B$33,0)))*(1-IF(AND(ArtifactsInput!$M$27,Inputs!$B$4="Chapter Hunt"),CHOOSE(ArtifactsInput!$N$27+1,20,24,28,32,36,40),0)/100)),0)</f>
        <v/>
      </c>
      <c r="R1530">
        <f>IF(AND(Inputs!$B$39&lt;&gt;"pvp",Inputs!$B$44&gt;0),IF(MAX(0,Inputs!$B$44-B1563)&lt;=0,0,(INT(MAX(0,Inputs!$B$44-B1563)/(IF(Inputs!$B$39="pvp",15,MAX(0.1,Skills!D6-IF(Skills!E6=TRUE,Inputs!$B$33,0)))*(1-IF(AND(ArtifactsInput!$M$27,Inputs!$B$4="Chapter Hunt"),CHOOSE(ArtifactsInput!$N$27+1,20,24,28,32,36,40),0)/100)))+1)),0)</f>
        <v/>
      </c>
      <c r="S1530">
        <f>IF(C1530,(H1530*N1530*IF(AND(Inputs!$B$39&lt;&gt;"pvp",Inputs!$B$44&gt;0),((Skills!F6*((R1530-1)*IF(Skills!G6&gt;0,Skills!H6/Skills!G6,1)+IF(Skills!G6&gt;0,MIN(Skills!H6,MAX(0,MAX(0,Inputs!$B$44-B1563)-((R1530-1)*(IF(Inputs!$B$39="pvp",15,MAX(0.1,Skills!D6-IF(Skills!E6=TRUE,Inputs!$B$33,0)))*(1-IF(AND(ArtifactsInput!$M$27,Inputs!$B$4="Chapter Hunt"),CHOOSE(ArtifactsInput!$N$27+1,20,24,28,32,36,40),0)/100)))))/Skills!G6,1)))/Inputs!$B$44),G1530*Q1530))*IF(Inputs!$B$39="pvp",1,1+(Inputs!$B$21+Skills!O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1530*(1-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1530*(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1530*(1-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1530*(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0">
        <f>IF(C1530,(H1530*N1530*IF(AND(Inputs!$B$39&lt;&gt;"pvp",Inputs!$B$44&gt;0),((Skills!F6*((R1530-1)*IF(Skills!G6&gt;0,Skills!H6/Skills!G6,1)+IF(Skills!G6&gt;0,MIN(Skills!H6,MAX(0,MAX(0,Inputs!$B$44-B1563)-((R1530-1)*(IF(Inputs!$B$39="pvp",15,MAX(0.1,Skills!D6-IF(Skills!E6=TRUE,Inputs!$B$33,0)))*(1-IF(AND(ArtifactsInput!$M$27,Inputs!$B$4="Chapter Hunt"),CHOOSE(ArtifactsInput!$N$27+1,20,24,28,32,36,40),0)/100)))))/Skills!G6,1)))/Inputs!$B$44),G1530*Q1530))*IF(Inputs!$B$39="pvp",1,(1+(Inputs!$B$22+Skills!P6+B1555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1">
      <c r="A1531">
        <f>Skills!A7</f>
        <v/>
      </c>
      <c r="B1531">
        <f>Skills!B7</f>
        <v/>
      </c>
      <c r="C1531">
        <f>Inputs!$B$3&gt;=122</f>
        <v/>
      </c>
      <c r="D1531">
        <f>IF(Skills!C7=1,60+Inputs!$B$26+Inputs!$B$30,IF(Skills!C7=2,90+Inputs!$B$27+Inputs!$B$30,IF(Skills!C7=3,120+Inputs!$B$28+Inputs!$B$30,MAX(0,(Inputs!$B$3-100)*3)+Inputs!$B$29+Inputs!$B$30)))</f>
        <v/>
      </c>
      <c r="E1531">
        <f>INDEX(FactorTable!$B$2:$Y$301, MATCH(ROUND(MIN(300,MAX(1,D1531)),0), FactorTable!$A$2:$A$301,0), Skills!L7+1)</f>
        <v/>
      </c>
      <c r="F1531">
        <f>IF(Skills!M7=TRUE,(Skills!K7/10)*(E1531/1000),Skills!K7/10)+Skills!N7</f>
        <v/>
      </c>
      <c r="G1531">
        <f>Calc!G7</f>
        <v/>
      </c>
      <c r="H1531">
        <f>Calc!H7</f>
        <v/>
      </c>
      <c r="I1531">
        <f>IF(Skills!T7&lt;&gt;"",1+(Skills!T7/10)*($Z$3/1000)/100,1)</f>
        <v/>
      </c>
      <c r="J1531">
        <f>((Inputs!$B$6*(1+Inputs!$B$7/100))+(((Inputs!$B$13*(1+Inputs!$B$14/100))-(Inputs!$B$13*(1+Inputs!$B$14/100)))+0.25*(Inputs!$B$15-Inputs!$B$15))*(1+Inputs!$B$7/100))*(F1531/100)</f>
        <v/>
      </c>
      <c r="K1531">
        <f>J1531*(1+(((Inputs!$B$13+IF(Inputs!$B$3&gt;=35,(10*INDEX(FactorTable!$B$2:$Y$301,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7="TRIUMPH_FEATHER",IF(C1540=TRUE,F1540,0),0)/100)*(1+IF(C1551=TRUE,F1551,0)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1531)</f>
        <v/>
      </c>
      <c r="L1531">
        <f>K1531*(MIN(Inputs!$B$23+(F1546-Calc!F22),(Inputs!$B$24+IF(ArtifactsInput!$M$15,CHOOSE(ArtifactsInput!$N$15+1,25,30,35,40,45,50)/100*(Inputs!$B$12-Inputs!$B$12),0)))/100+(Inputs!$B$24+IF(ArtifactsInput!$M$15,CHOOSE(ArtifactsInput!$N$15+1,25,30,35,40,45,50)/100*(Inputs!$B$12-Inputs!$B$12),0))/100)/2</f>
        <v/>
      </c>
      <c r="M1531">
        <f>L1531*(1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1">
        <f>L1531*(1-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1">
        <f>(1-Summary!$B$11)*S1531+Summary!$B$11*U1531</f>
        <v/>
      </c>
      <c r="P1531">
        <f>IF(B1566=0,0,O1531/B1566)</f>
        <v/>
      </c>
      <c r="Q1531">
        <f>IFERROR(1/(IF(Inputs!$B$39="pvp",15,MAX(0.1,Skills!D7-IF(Skills!E6=TRUE,Inputs!$B$33,0)))*(1-IF(AND(ArtifactsInput!$M$27,Inputs!$B$4="Chapter Hunt"),CHOOSE(ArtifactsInput!$N$27+1,20,24,28,32,36,40),0)/100)),0)</f>
        <v/>
      </c>
      <c r="R1531">
        <f>IF(AND(Inputs!$B$39&lt;&gt;"pvp",Inputs!$B$44&gt;0),IF(MAX(0,Inputs!$B$44-B1563)&lt;=0,0,(INT(MAX(0,Inputs!$B$44-B1563)/(IF(Inputs!$B$39="pvp",15,MAX(0.1,Skills!D7-IF(Skills!E6=TRUE,Inputs!$B$33,0)))*(1-IF(AND(ArtifactsInput!$M$27,Inputs!$B$4="Chapter Hunt"),CHOOSE(ArtifactsInput!$N$27+1,20,24,28,32,36,40),0)/100)))+1)),0)</f>
        <v/>
      </c>
      <c r="S1531">
        <f>IF(C1531,H1531*N1531*IF(AND(Inputs!$B$39&lt;&gt;"pvp",Inputs!$B$44&gt;0),((Skills!F7*((R1531-1)*IF(Skills!G7&gt;0,Skills!H7/Skills!G7,1)+IF(Skills!G7&gt;0,MIN(Skills!H7,MAX(0,MAX(0,Inputs!$B$44-B1563)-((R1531-1)*(IF(Inputs!$B$39="pvp",15,MAX(0.1,Skills!D7-IF(Skills!E6=TRUE,Inputs!$B$33,0)))*(1-IF(AND(ArtifactsInput!$M$27,Inputs!$B$4="Chapter Hunt"),CHOOSE(ArtifactsInput!$N$27+1,20,24,28,32,36,40),0)/100)))))/Skills!G7,1)))/Inputs!$B$44),G1531*Q1531)*IF(Inputs!$B$39="pvp",1,1+(Inputs!$B$21+Skills!O7+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1531*(1-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1531*(1-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1" t="n">
        <v>0</v>
      </c>
    </row>
    <row r="1532">
      <c r="A1532">
        <f>Skills!A8</f>
        <v/>
      </c>
      <c r="B1532">
        <f>Skills!B8</f>
        <v/>
      </c>
      <c r="C1532">
        <f>Inputs!$B$3&gt;=105</f>
        <v/>
      </c>
      <c r="D1532">
        <f>IF(Skills!C8=1,60+Inputs!$B$26+Inputs!$B$30,IF(Skills!C8=2,90+Inputs!$B$27+Inputs!$B$30,IF(Skills!C8=3,120+Inputs!$B$28+Inputs!$B$30,MAX(0,(Inputs!$B$3-100)*3)+Inputs!$B$29+Inputs!$B$30)))</f>
        <v/>
      </c>
      <c r="E1532">
        <f>INDEX(FactorTable!$B$2:$Y$301, MATCH(ROUND(MIN(300,MAX(1,D1532)),0), FactorTable!$A$2:$A$301,0), Skills!L8+1)</f>
        <v/>
      </c>
      <c r="F1532">
        <f>IF(Skills!M8=TRUE,(Skills!K8/10)*(E1532/1000),Skills!K8/10)+Skills!N8</f>
        <v/>
      </c>
      <c r="G1532">
        <f>Calc!G8</f>
        <v/>
      </c>
      <c r="H1532">
        <f>Calc!H8</f>
        <v/>
      </c>
      <c r="I1532">
        <f>IF(Skills!T8&lt;&gt;"",1+(Skills!T8/10)*($Z$3/1000)/100,1)</f>
        <v/>
      </c>
      <c r="J1532">
        <f>((Inputs!$B$6*(1+Inputs!$B$7/100))+(((Inputs!$B$13*(1+Inputs!$B$14/100))-(Inputs!$B$13*(1+Inputs!$B$14/100)))+0.25*(Inputs!$B$15-Inputs!$B$15))*(1+Inputs!$B$7/100))*(F1532/100)</f>
        <v/>
      </c>
      <c r="K1532">
        <f>J1532*(1+(((Inputs!$B$13+IF(Inputs!$B$3&gt;=35,(10*INDEX(FactorTable!$B$2:$Y$301,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8="TRIUMPH_FEATHER",IF(C1540=TRUE,F1540,0),0)/100)*(1+IF(C1551=TRUE,F1551,0)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1532)</f>
        <v/>
      </c>
      <c r="L1532">
        <f>K1532*(MIN(Inputs!$B$23+(F1546-Calc!F22),(Inputs!$B$24+IF(ArtifactsInput!$M$15,CHOOSE(ArtifactsInput!$N$15+1,25,30,35,40,45,50)/100*(Inputs!$B$12-Inputs!$B$12),0)))/100+(Inputs!$B$24+IF(ArtifactsInput!$M$15,CHOOSE(ArtifactsInput!$N$15+1,25,30,35,40,45,50)/100*(Inputs!$B$12-Inputs!$B$12),0))/100)/2</f>
        <v/>
      </c>
      <c r="M1532">
        <f>L1532*(1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2">
        <f>L1532*(1-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1532*(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2">
        <f>(1-Summary!$B$11)*S1532+Summary!$B$11*U1532</f>
        <v/>
      </c>
      <c r="P1532">
        <f>IF(B1566=0,0,O1532/B1566)</f>
        <v/>
      </c>
      <c r="Q1532">
        <f>IFERROR(1/(IF(Inputs!$B$39="pvp",15,MAX(0.1,Skills!D8-IF(Skills!E8=TRUE,Inputs!$B$33,0)))*(1-IF(AND(ArtifactsInput!$M$27,Inputs!$B$4="Chapter Hunt"),CHOOSE(ArtifactsInput!$N$27+1,20,24,28,32,36,40),0)/100)),0)</f>
        <v/>
      </c>
      <c r="R1532">
        <f>IF(AND(Inputs!$B$39&lt;&gt;"pvp",Inputs!$B$44&gt;0),IF(MAX(0,Inputs!$B$44-B1563)&lt;=0,0,(INT(MAX(0,Inputs!$B$44-B1563)/(IF(Inputs!$B$39="pvp",15,MAX(0.1,Skills!D8-IF(Skills!E8=TRUE,Inputs!$B$33,0)))*(1-IF(AND(ArtifactsInput!$M$27,Inputs!$B$4="Chapter Hunt"),CHOOSE(ArtifactsInput!$N$27+1,20,24,28,32,36,40),0)/100)))+1)),0)</f>
        <v/>
      </c>
      <c r="S1532">
        <f>IF(C1532,(H1532*N1532*IF(AND(Inputs!$B$39&lt;&gt;"pvp",Inputs!$B$44&gt;0),((Skills!F8*((R1532-1)*IF(Skills!G8&gt;0,Skills!H8/Skills!G8,1)+IF(Skills!G8&gt;0,MIN(Skills!H8,MAX(0,MAX(0,Inputs!$B$44-B1563)-((R1532-1)*(IF(Inputs!$B$39="pvp",15,MAX(0.1,Skills!D8-IF(Skills!E8=TRUE,Inputs!$B$33,0)))*(1-IF(AND(ArtifactsInput!$M$27,Inputs!$B$4="Chapter Hunt"),CHOOSE(ArtifactsInput!$N$27+1,20,24,28,32,36,40),0)/100)))))/Skills!G8,1)))/Inputs!$B$44),G1532*Q1532))*IF(Inputs!$B$39="pvp",1,1+(Inputs!$B$21+Skills!O8+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1532*(1-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1532*(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1532*(1-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1532*(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2">
        <f>IF(C1532,(H1532*N1532*IF(AND(Inputs!$B$39&lt;&gt;"pvp",Inputs!$B$44&gt;0),((Skills!F8*((R1532-1)*IF(Skills!G8&gt;0,Skills!H8/Skills!G8,1)+IF(Skills!G8&gt;0,MIN(Skills!H8,MAX(0,MAX(0,Inputs!$B$44-B1563)-((R1532-1)*(IF(Inputs!$B$39="pvp",15,MAX(0.1,Skills!D8-IF(Skills!E8=TRUE,Inputs!$B$33,0)))*(1-IF(AND(ArtifactsInput!$M$27,Inputs!$B$4="Chapter Hunt"),CHOOSE(ArtifactsInput!$N$27+1,20,24,28,32,36,40),0)/100)))))/Skills!G8,1)))/Inputs!$B$44),G1532*Q1532))*IF(Inputs!$B$39="pvp",1,(1+(Inputs!$B$22+Skills!P8+B1555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3">
      <c r="A1533">
        <f>Skills!A9</f>
        <v/>
      </c>
      <c r="B1533">
        <f>Skills!B9</f>
        <v/>
      </c>
      <c r="C1533">
        <f>Inputs!$B$3&gt;=115</f>
        <v/>
      </c>
      <c r="D1533">
        <f>IF(Skills!C9=1,60+Inputs!$B$26+Inputs!$B$30,IF(Skills!C9=2,90+Inputs!$B$27+Inputs!$B$30,IF(Skills!C9=3,120+Inputs!$B$28+Inputs!$B$30,MAX(0,(Inputs!$B$3-100)*3)+Inputs!$B$29+Inputs!$B$30)))</f>
        <v/>
      </c>
      <c r="E1533">
        <f>INDEX(FactorTable!$B$2:$Y$301, MATCH(ROUND(MIN(300,MAX(1,D1533)),0), FactorTable!$A$2:$A$301,0), Skills!L9+1)</f>
        <v/>
      </c>
      <c r="F1533">
        <f>IF(Skills!M9=TRUE,(Skills!K9/10)*(E1533/1000),Skills!K9/10)+Skills!N9</f>
        <v/>
      </c>
      <c r="G1533">
        <f>Calc!G9</f>
        <v/>
      </c>
      <c r="H1533">
        <f>Calc!H9</f>
        <v/>
      </c>
      <c r="I1533">
        <f>IF(Skills!T9&lt;&gt;"",1+(Skills!T9/10)*($Z$3/1000)/100,1)</f>
        <v/>
      </c>
      <c r="J1533">
        <f>((Inputs!$B$6*(1+Inputs!$B$7/100))+(((Inputs!$B$13*(1+Inputs!$B$14/100))-(Inputs!$B$13*(1+Inputs!$B$14/100)))+0.25*(Inputs!$B$15-Inputs!$B$15))*(1+Inputs!$B$7/100))*(F1533/100)</f>
        <v/>
      </c>
      <c r="K1533">
        <f>J1533*(1+(((Inputs!$B$13+IF(Inputs!$B$3&gt;=35,(10*INDEX(FactorTable!$B$2:$Y$301,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9="TRIUMPH_FEATHER",IF(C1540=TRUE,F1540,0),0)/100)*(1+IF(C1551=TRUE,F1551,0)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1533)</f>
        <v/>
      </c>
      <c r="L1533">
        <f>K1533*(MIN(Inputs!$B$23+(F1546-Calc!F22),(Inputs!$B$24+IF(ArtifactsInput!$M$15,CHOOSE(ArtifactsInput!$N$15+1,25,30,35,40,45,50)/100*(Inputs!$B$12-Inputs!$B$12),0)))/100+(Inputs!$B$24+IF(ArtifactsInput!$M$15,CHOOSE(ArtifactsInput!$N$15+1,25,30,35,40,45,50)/100*(Inputs!$B$12-Inputs!$B$12),0))/100)/2</f>
        <v/>
      </c>
      <c r="M1533">
        <f>L1533*(1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3">
        <f>L1533*(1-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1533*(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3">
        <f>(1-Summary!$B$11)*S1533+Summary!$B$11*U1533</f>
        <v/>
      </c>
      <c r="P1533">
        <f>IF(B1566=0,0,O1533/B1566)</f>
        <v/>
      </c>
      <c r="Q1533">
        <f>IFERROR(1/(IF(Inputs!$B$39="pvp",15,MAX(0.1,Skills!D9-IF(Skills!E9=TRUE,Inputs!$B$33,0)))*(1-IF(AND(ArtifactsInput!$M$27,Inputs!$B$4="Chapter Hunt"),CHOOSE(ArtifactsInput!$N$27+1,20,24,28,32,36,40),0)/100)),0)</f>
        <v/>
      </c>
      <c r="R1533">
        <f>IF(AND(Inputs!$B$39&lt;&gt;"pvp",Inputs!$B$44&gt;0),IF(MAX(0,Inputs!$B$44-B1563)&lt;=0,0,(INT(MAX(0,Inputs!$B$44-B1563)/(IF(Inputs!$B$39="pvp",15,MAX(0.1,Skills!D9-IF(Skills!E9=TRUE,Inputs!$B$33,0)))*(1-IF(AND(ArtifactsInput!$M$27,Inputs!$B$4="Chapter Hunt"),CHOOSE(ArtifactsInput!$N$27+1,20,24,28,32,36,40),0)/100)))+1)),0)</f>
        <v/>
      </c>
      <c r="S1533">
        <f>IF(C1533,(H1533*N1533*IF(AND(Inputs!$B$39&lt;&gt;"pvp",Inputs!$B$44&gt;0),((Skills!F9*((R1533-1)*IF(Skills!G9&gt;0,Skills!H9/Skills!G9,1)+IF(Skills!G9&gt;0,MIN(Skills!H9,MAX(0,MAX(0,Inputs!$B$44-B1563)-((R1533-1)*(IF(Inputs!$B$39="pvp",15,MAX(0.1,Skills!D9-IF(Skills!E9=TRUE,Inputs!$B$33,0)))*(1-IF(AND(ArtifactsInput!$M$27,Inputs!$B$4="Chapter Hunt"),CHOOSE(ArtifactsInput!$N$27+1,20,24,28,32,36,40),0)/100)))))/Skills!G9,1)))/Inputs!$B$44),G1533*Q1533))*IF(Inputs!$B$39="pvp",1,1+(Inputs!$B$21+Skills!O9+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1533*(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1533*(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3">
        <f>IF(C1533,(H1533*N1533*IF(AND(Inputs!$B$39&lt;&gt;"pvp",Inputs!$B$44&gt;0),((Skills!F9*((R1533-1)*IF(Skills!G9&gt;0,Skills!H9/Skills!G9,1)+IF(Skills!G9&gt;0,MIN(Skills!H9,MAX(0,MAX(0,Inputs!$B$44-B1563)-((R1533-1)*(IF(Inputs!$B$39="pvp",15,MAX(0.1,Skills!D9-IF(Skills!E9=TRUE,Inputs!$B$33,0)))*(1-IF(AND(ArtifactsInput!$M$27,Inputs!$B$4="Chapter Hunt"),CHOOSE(ArtifactsInput!$N$27+1,20,24,28,32,36,40),0)/100)))))/Skills!G9,1)))/Inputs!$B$44),G1533*Q1533))*IF(Inputs!$B$39="pvp",1,(1+(Inputs!$B$22+Skills!P9+B1555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4">
      <c r="A1534">
        <f>Skills!A10</f>
        <v/>
      </c>
      <c r="B1534">
        <f>Skills!B10</f>
        <v/>
      </c>
      <c r="C1534">
        <f>Inputs!$B$3&gt;=66</f>
        <v/>
      </c>
      <c r="D1534">
        <f>IF(Skills!C10=1,60+Inputs!$B$26+Inputs!$B$30,IF(Skills!C10=2,90+Inputs!$B$27+Inputs!$B$30,IF(Skills!C10=3,120+Inputs!$B$28+Inputs!$B$30,MAX(0,(Inputs!$B$3-100)*3)+Inputs!$B$29+Inputs!$B$30)))</f>
        <v/>
      </c>
      <c r="E1534">
        <f>INDEX(FactorTable!$B$2:$Y$301, MATCH(ROUND(MIN(300,MAX(1,D1534)),0), FactorTable!$A$2:$A$301,0), Skills!L10+1)</f>
        <v/>
      </c>
      <c r="F1534" t="n">
        <v>0</v>
      </c>
      <c r="G1534">
        <f>Calc!G10</f>
        <v/>
      </c>
      <c r="H1534">
        <f>Calc!H10</f>
        <v/>
      </c>
      <c r="I1534">
        <f>IF(Skills!T10&lt;&gt;"",1+(Skills!T10/10)*($Z$3/1000)/100,1)</f>
        <v/>
      </c>
      <c r="J1534" t="inlineStr"/>
      <c r="K1534" t="inlineStr"/>
      <c r="L1534" t="inlineStr"/>
      <c r="M1534" t="inlineStr"/>
      <c r="N1534" t="inlineStr"/>
      <c r="O1534">
        <f>(1-Summary!$B$11)*S1534+Summary!$B$11*U1534</f>
        <v/>
      </c>
      <c r="P1534">
        <f>IF(B1566=0,0,O1534/B1566)</f>
        <v/>
      </c>
      <c r="Q1534">
        <f>IFERROR(1/(IF(Inputs!$B$39="pvp",15,MAX(0.1,Skills!D10-IF(Skills!E10=TRUE,Inputs!$B$33,0)))*(1-IF(AND(ArtifactsInput!$M$27,Inputs!$B$4="Chapter Hunt"),CHOOSE(ArtifactsInput!$N$27+1,20,24,28,32,36,40),0)/100)),0)</f>
        <v/>
      </c>
      <c r="R1534">
        <f>IF(AND(Inputs!$B$39&lt;&gt;"pvp",Inputs!$B$44&gt;0),IF(MAX(0,Inputs!$B$44-B1563)&lt;=0,0,(INT(MAX(0,Inputs!$B$44-B1563)/(IF(Inputs!$B$39="pvp",15,MAX(0.1,Skills!D10-IF(Skills!E10=TRUE,Inputs!$B$33,0)))*(1-IF(AND(ArtifactsInput!$M$27,Inputs!$B$4="Chapter Hunt"),CHOOSE(ArtifactsInput!$N$27+1,20,24,28,32,36,40),0)/100)))+1)),0)</f>
        <v/>
      </c>
      <c r="S1534" t="n">
        <v>0</v>
      </c>
      <c r="U1534" t="n">
        <v>0</v>
      </c>
    </row>
    <row r="1535">
      <c r="A1535">
        <f>Skills!A11</f>
        <v/>
      </c>
      <c r="B1535">
        <f>Skills!B11</f>
        <v/>
      </c>
      <c r="C1535">
        <f>Inputs!$B$3&gt;=69</f>
        <v/>
      </c>
      <c r="D1535">
        <f>IF(Skills!C11=1,60+Inputs!$B$26+Inputs!$B$30,IF(Skills!C11=2,90+Inputs!$B$27+Inputs!$B$30,IF(Skills!C11=3,120+Inputs!$B$28+Inputs!$B$30,MAX(0,(Inputs!$B$3-100)*3)+Inputs!$B$29+Inputs!$B$30)))</f>
        <v/>
      </c>
      <c r="E1535">
        <f>INDEX(FactorTable!$B$2:$Y$301, MATCH(ROUND(MIN(300,MAX(1,D1535)),0), FactorTable!$A$2:$A$301,0), Skills!L11+1)</f>
        <v/>
      </c>
      <c r="F1535">
        <f>IF(Skills!M11=TRUE,(Skills!K11/10)*(E1535/1000),Skills!K11/10)+Skills!N11</f>
        <v/>
      </c>
      <c r="G1535">
        <f>Calc!G11</f>
        <v/>
      </c>
      <c r="H1535">
        <f>Calc!H11</f>
        <v/>
      </c>
      <c r="I1535">
        <f>IF(Skills!T11&lt;&gt;"",1+(Skills!T11/10)*($Z$3/1000)/100,1)</f>
        <v/>
      </c>
      <c r="J1535" t="inlineStr"/>
      <c r="K1535" t="inlineStr"/>
      <c r="L1535" t="inlineStr"/>
      <c r="M1535" t="inlineStr"/>
      <c r="N1535" t="inlineStr"/>
      <c r="O1535">
        <f>(1-Summary!$B$11)*S1535+Summary!$B$11*U1535</f>
        <v/>
      </c>
      <c r="P1535">
        <f>IF(B1566=0,0,O1535/B1566)</f>
        <v/>
      </c>
      <c r="Q1535">
        <f>IFERROR(1/(IF(Inputs!$B$39="pvp",15,MAX(0.1,Skills!D11-IF(Skills!E11=TRUE,Inputs!$B$33,0)))*(1-IF(AND(ArtifactsInput!$M$27,Inputs!$B$4="Chapter Hunt"),CHOOSE(ArtifactsInput!$N$27+1,20,24,28,32,36,40),0)/100)),0)</f>
        <v/>
      </c>
      <c r="R1535">
        <f>IF(AND(Inputs!$B$39&lt;&gt;"pvp",Inputs!$B$44&gt;0),IF(Inputs!$B$44&lt;=0,0,(INT(Inputs!$B$44/(IF(Inputs!$B$39="pvp",15,MAX(0.1,Skills!D11-IF(Skills!E11=TRUE,Inputs!$B$33,0)))*(1-IF(AND(ArtifactsInput!$M$27,Inputs!$B$4="Chapter Hunt"),CHOOSE(ArtifactsInput!$N$27+1,20,24,28,32,36,40),0)/100)))+1)),0)</f>
        <v/>
      </c>
      <c r="S1535" t="n">
        <v>0</v>
      </c>
      <c r="U1535" t="n">
        <v>0</v>
      </c>
    </row>
    <row r="1536">
      <c r="A1536">
        <f>Skills!A12</f>
        <v/>
      </c>
      <c r="B1536">
        <f>Skills!B12</f>
        <v/>
      </c>
      <c r="C1536">
        <f>Inputs!$B$3&gt;=72</f>
        <v/>
      </c>
      <c r="D1536">
        <f>IF(Skills!C12=1,60+Inputs!$B$26+Inputs!$B$30,IF(Skills!C12=2,90+Inputs!$B$27+Inputs!$B$30,IF(Skills!C12=3,120+Inputs!$B$28+Inputs!$B$30,MAX(0,(Inputs!$B$3-100)*3)+Inputs!$B$29+Inputs!$B$30)))</f>
        <v/>
      </c>
      <c r="E1536">
        <f>INDEX(FactorTable!$B$2:$Y$301, MATCH(ROUND(MIN(300,MAX(1,D1536)),0), FactorTable!$A$2:$A$301,0), Skills!L12+1)</f>
        <v/>
      </c>
      <c r="F1536">
        <f>IF(Skills!M12=TRUE,(Skills!K12/10)*(E1536/1000),Skills!K12/10)+Skills!N12</f>
        <v/>
      </c>
      <c r="G1536">
        <f>Calc!G12</f>
        <v/>
      </c>
      <c r="H1536">
        <f>Calc!H12</f>
        <v/>
      </c>
      <c r="I1536">
        <f>IF(Skills!T12&lt;&gt;"",1+(Skills!T12/10)*($Z$3/1000)/100,1)</f>
        <v/>
      </c>
      <c r="J1536" t="inlineStr"/>
      <c r="K1536" t="inlineStr"/>
      <c r="L1536" t="inlineStr"/>
      <c r="M1536" t="inlineStr"/>
      <c r="N1536" t="inlineStr"/>
      <c r="O1536">
        <f>(1-Summary!$B$11)*S1536+Summary!$B$11*U1536</f>
        <v/>
      </c>
      <c r="P1536">
        <f>IF(B1566=0,0,O1536/B1566)</f>
        <v/>
      </c>
      <c r="Q1536">
        <f>IFERROR(1/(IF(Inputs!$B$39="pvp",15,MAX(0.1,Skills!D12-IF(Skills!E12=TRUE,Inputs!$B$33,0)))*(1-IF(AND(ArtifactsInput!$M$27,Inputs!$B$4="Chapter Hunt"),CHOOSE(ArtifactsInput!$N$27+1,20,24,28,32,36,40),0)/100)),0)</f>
        <v/>
      </c>
      <c r="R1536">
        <f>IF(AND(Inputs!$B$39&lt;&gt;"pvp",Inputs!$B$44&gt;0),IF(MAX(0,Inputs!$B$44-B1563)&lt;=0,0,(INT(MAX(0,Inputs!$B$44-B1563)/(IF(Inputs!$B$39="pvp",15,MAX(0.1,Skills!D12-IF(Skills!E12=TRUE,Inputs!$B$33,0)))*(1-IF(AND(ArtifactsInput!$M$27,Inputs!$B$4="Chapter Hunt"),CHOOSE(ArtifactsInput!$N$27+1,20,24,28,32,36,40),0)/100)))+1)),0)</f>
        <v/>
      </c>
      <c r="S1536" t="n">
        <v>0</v>
      </c>
      <c r="U1536" t="n">
        <v>0</v>
      </c>
    </row>
    <row r="1537">
      <c r="A1537">
        <f>Skills!A13</f>
        <v/>
      </c>
      <c r="B1537">
        <f>Skills!B13</f>
        <v/>
      </c>
      <c r="C1537">
        <f>Inputs!$B$3&gt;=60</f>
        <v/>
      </c>
      <c r="D1537">
        <f>IF(Skills!C13=1,60+Inputs!$B$26+Inputs!$B$30,IF(Skills!C13=2,90+Inputs!$B$27+Inputs!$B$30,IF(Skills!C13=3,120+Inputs!$B$28+Inputs!$B$30,MAX(0,(Inputs!$B$3-100)*3)+Inputs!$B$29+Inputs!$B$30)))</f>
        <v/>
      </c>
      <c r="E1537">
        <f>INDEX(FactorTable!$B$2:$Y$301, MATCH(ROUND(MIN(300,MAX(1,D1537)),0), FactorTable!$A$2:$A$301,0), Skills!L13+1)</f>
        <v/>
      </c>
      <c r="F1537">
        <f>IF(Skills!M13=TRUE,(Skills!K13/10)*(E1537/1000),Skills!K13/10)+Skills!N13</f>
        <v/>
      </c>
      <c r="G1537">
        <f>Calc!G13</f>
        <v/>
      </c>
      <c r="H1537">
        <f>Calc!H13</f>
        <v/>
      </c>
      <c r="I1537">
        <f>IF(Skills!T13&lt;&gt;"",1+(Skills!T13/10)*($Z$3/1000)/100,1)</f>
        <v/>
      </c>
      <c r="J1537" t="inlineStr"/>
      <c r="K1537" t="inlineStr"/>
      <c r="L1537" t="inlineStr"/>
      <c r="M1537" t="inlineStr"/>
      <c r="N1537" t="inlineStr"/>
      <c r="O1537">
        <f>(1-Summary!$B$11)*S1537+Summary!$B$11*U1537</f>
        <v/>
      </c>
      <c r="P1537">
        <f>IF(B1566=0,0,O1537/B1566)</f>
        <v/>
      </c>
      <c r="Q1537">
        <f>IFERROR(1/(IF(Inputs!$B$39="pvp",15,MAX(0.1,Skills!D13-IF(Skills!E13=TRUE,Inputs!$B$33,0)))*(1-IF(AND(ArtifactsInput!$M$27,Inputs!$B$4="Chapter Hunt"),CHOOSE(ArtifactsInput!$N$27+1,20,24,28,32,36,40),0)/100)),0)</f>
        <v/>
      </c>
      <c r="R1537">
        <f>IF(AND(Inputs!$B$39&lt;&gt;"pvp",Inputs!$B$44&gt;0),IF(MAX(0,Inputs!$B$44-B1563)&lt;=0,0,(INT(MAX(0,Inputs!$B$44-B1563)/(IF(Inputs!$B$39="pvp",15,MAX(0.1,Skills!D13-IF(Skills!E13=TRUE,Inputs!$B$33,0)))*(1-IF(AND(ArtifactsInput!$M$27,Inputs!$B$4="Chapter Hunt"),CHOOSE(ArtifactsInput!$N$27+1,20,24,28,32,36,40),0)/100)))+1)),0)</f>
        <v/>
      </c>
      <c r="S1537" t="n">
        <v>0</v>
      </c>
      <c r="U1537" t="n">
        <v>0</v>
      </c>
    </row>
    <row r="1538">
      <c r="A1538">
        <f>Skills!A14</f>
        <v/>
      </c>
      <c r="B1538">
        <f>Skills!B14</f>
        <v/>
      </c>
      <c r="C1538">
        <f>Inputs!$B$3&gt;=107</f>
        <v/>
      </c>
      <c r="D1538">
        <f>IF(Skills!C14=1,60+Inputs!$B$26+Inputs!$B$30,IF(Skills!C14=2,90+Inputs!$B$27+Inputs!$B$30,IF(Skills!C14=3,120+Inputs!$B$28+Inputs!$B$30,MAX(0,(Inputs!$B$3-100)*3)+Inputs!$B$29+Inputs!$B$30)))</f>
        <v/>
      </c>
      <c r="E1538">
        <f>INDEX(FactorTable!$B$2:$Y$301, MATCH(ROUND(MIN(300,MAX(1,D1538)),0), FactorTable!$A$2:$A$301,0), Skills!L14+1)</f>
        <v/>
      </c>
      <c r="F1538">
        <f>IF(Skills!M14=TRUE,(Skills!K14/10)*(E1538/1000),Skills!K14/10)+Skills!N14</f>
        <v/>
      </c>
      <c r="G1538">
        <f>Calc!G14</f>
        <v/>
      </c>
      <c r="H1538">
        <f>Calc!H14</f>
        <v/>
      </c>
      <c r="I1538">
        <f>IF(Skills!T14&lt;&gt;"",1+(Skills!T14/10)*($Z$3/1000)/100,1)</f>
        <v/>
      </c>
      <c r="J1538" t="inlineStr"/>
      <c r="K1538" t="inlineStr"/>
      <c r="L1538" t="inlineStr"/>
      <c r="M1538" t="inlineStr"/>
      <c r="N1538" t="inlineStr"/>
      <c r="O1538">
        <f>(1-Summary!$B$11)*S1538+Summary!$B$11*U1538</f>
        <v/>
      </c>
      <c r="P1538">
        <f>IF(B1566=0,0,O1538/B1566)</f>
        <v/>
      </c>
      <c r="Q1538">
        <f>IFERROR(1/(IF(Inputs!$B$39="pvp",15,MAX(0.1,Skills!D14-IF(Skills!E14=TRUE,Inputs!$B$33,0)))*(1-IF(AND(ArtifactsInput!$M$27,Inputs!$B$4="Chapter Hunt"),CHOOSE(ArtifactsInput!$N$27+1,20,24,28,32,36,40),0)/100)),0)</f>
        <v/>
      </c>
      <c r="R1538">
        <f>IF(AND(Inputs!$B$39&lt;&gt;"pvp",Inputs!$B$44&gt;0),IF(Inputs!$B$44&lt;=0,0,(INT(Inputs!$B$44/(IF(Inputs!$B$39="pvp",15,MAX(0.1,Skills!D14-IF(Skills!E14=TRUE,Inputs!$B$33,0)))*(1-IF(AND(ArtifactsInput!$M$27,Inputs!$B$4="Chapter Hunt"),CHOOSE(ArtifactsInput!$N$27+1,20,24,28,32,36,40),0)/100)))+1)),0)</f>
        <v/>
      </c>
      <c r="S1538" t="n">
        <v>0</v>
      </c>
      <c r="U1538" t="n">
        <v>0</v>
      </c>
    </row>
    <row r="1539">
      <c r="A1539">
        <f>Skills!A15</f>
        <v/>
      </c>
      <c r="B1539">
        <f>Skills!B15</f>
        <v/>
      </c>
      <c r="C1539">
        <f>Inputs!$B$3&gt;=63</f>
        <v/>
      </c>
      <c r="D1539">
        <f>IF(Skills!C15=1,60+Inputs!$B$26+Inputs!$B$30,IF(Skills!C15=2,90+Inputs!$B$27+Inputs!$B$30,IF(Skills!C15=3,120+Inputs!$B$28+Inputs!$B$30,MAX(0,(Inputs!$B$3-100)*3)+Inputs!$B$29+Inputs!$B$30)))</f>
        <v/>
      </c>
      <c r="E1539">
        <f>INDEX(FactorTable!$B$2:$Y$301, MATCH(ROUND(MIN(300,MAX(1,D1539)),0), FactorTable!$A$2:$A$301,0), Skills!L15+1)</f>
        <v/>
      </c>
      <c r="F1539">
        <f>IF(Skills!M15=TRUE,(Skills!K15/10)*(E1539/1000),Skills!K15/10)+Skills!N15</f>
        <v/>
      </c>
      <c r="G1539">
        <f>Calc!G15</f>
        <v/>
      </c>
      <c r="H1539">
        <f>Calc!H15</f>
        <v/>
      </c>
      <c r="I1539">
        <f>IF(Skills!T15&lt;&gt;"",1+(Skills!T15/10)*($Z$3/1000)/100,1)</f>
        <v/>
      </c>
      <c r="J1539">
        <f>((Inputs!$B$6*(1+Inputs!$B$7/100))+(((Inputs!$B$13*(1+Inputs!$B$14/100))-(Inputs!$B$13*(1+Inputs!$B$14/100)))+0.25*(Inputs!$B$15-Inputs!$B$15))*(1+Inputs!$B$7/100))*(F1539/100)</f>
        <v/>
      </c>
      <c r="K1539">
        <f>J1539*(1+(((Inputs!$B$13+IF(Inputs!$B$3&gt;=35,(10*INDEX(FactorTable!$B$2:$Y$301,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15="TRIUMPH_FEATHER",IF(C1540=TRUE,F1540,0),0)/100)*(1+IF(C1551=TRUE,F1551,0)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1539)</f>
        <v/>
      </c>
      <c r="L1539">
        <f>K1539*(MIN(Inputs!$B$23+(F1546-Calc!F22),(Inputs!$B$24+IF(ArtifactsInput!$M$15,CHOOSE(ArtifactsInput!$N$15+1,25,30,35,40,45,50)/100*(Inputs!$B$12-Inputs!$B$12),0)))/100+(Inputs!$B$24+IF(ArtifactsInput!$M$15,CHOOSE(ArtifactsInput!$N$15+1,25,30,35,40,45,50)/100*(Inputs!$B$12-Inputs!$B$12),0))/100)/2</f>
        <v/>
      </c>
      <c r="M1539">
        <f>L1539*(1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9">
        <f>L1539*(1-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1539*(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9">
        <f>(1-Summary!$B$11)*S1539+Summary!$B$11*U1539</f>
        <v/>
      </c>
      <c r="P1539">
        <f>IF(B1566=0,0,O1539/B1566)</f>
        <v/>
      </c>
      <c r="Q1539">
        <f>IFERROR(1/(IF(Inputs!$B$39="pvp",15,MAX(0.1,Skills!D15-IF(Skills!E15=TRUE,Inputs!$B$33,0)))*(1-IF(AND(ArtifactsInput!$M$27,Inputs!$B$4="Chapter Hunt"),CHOOSE(ArtifactsInput!$N$27+1,20,24,28,32,36,40),0)/100)),0)</f>
        <v/>
      </c>
      <c r="R1539" t="n">
        <v>0</v>
      </c>
      <c r="S1539">
        <f>IF(C1539,(Skills!F15*N1539*((IF(Inputs!$B$3&gt;=78,25,15)/100*B1559*10)/(1+IF(Inputs!$B$3&gt;=78,25,15)/100*B1559*10))*(Skills!I15/100*B1559)/(1+Skills!G15*Skills!I15/100*B1559))*IF(Inputs!$B$39="pvp",1,1+(Inputs!$B$21+Skills!O15+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1539*(1-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1539*(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1539*(1-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1539*(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9">
        <f>IF(C1539,(Skills!F15*N1539*((IF(Inputs!$B$3&gt;=78,25,15)/100*B1559*10)/(1+IF(Inputs!$B$3&gt;=78,25,15)/100*B1559*10))*(Skills!I15/100*B1559)/(1+Skills!G15*Skills!I15/100*B1559))*IF(Inputs!$B$39="pvp",1,(1+(Inputs!$B$22+Skills!P15+B1555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0">
      <c r="A1540">
        <f>Skills!A16</f>
        <v/>
      </c>
      <c r="B1540">
        <f>Skills!B16</f>
        <v/>
      </c>
      <c r="C1540">
        <f>Inputs!$B$3&gt;=100</f>
        <v/>
      </c>
      <c r="D1540">
        <f>IF(Skills!C16=1,60+Inputs!$B$26+Inputs!$B$30,IF(Skills!C16=2,90+Inputs!$B$27+Inputs!$B$30,IF(Skills!C16=3,120+Inputs!$B$28+Inputs!$B$30,MAX(0,(Inputs!$B$3-100)*3)+Inputs!$B$29+Inputs!$B$30)))</f>
        <v/>
      </c>
      <c r="E1540">
        <f>INDEX(FactorTable!$B$2:$Y$301, MATCH(ROUND(MIN(300,MAX(1,D1540)),0), FactorTable!$A$2:$A$301,0), Skills!L16+1)</f>
        <v/>
      </c>
      <c r="F1540">
        <f>IF(Skills!M16=TRUE,(Skills!K16/10)*(E1540/1000),Skills!K16/10)+Skills!N16</f>
        <v/>
      </c>
      <c r="G1540">
        <f>Calc!G16</f>
        <v/>
      </c>
      <c r="H1540">
        <f>Calc!H16</f>
        <v/>
      </c>
      <c r="I1540">
        <f>IF(Skills!T16&lt;&gt;"",1+(Skills!T16/10)*($Z$3/1000)/100,1)</f>
        <v/>
      </c>
      <c r="J1540" t="inlineStr"/>
      <c r="K1540" t="inlineStr"/>
      <c r="L1540" t="inlineStr"/>
      <c r="M1540" t="inlineStr"/>
      <c r="N1540" t="inlineStr"/>
      <c r="O1540">
        <f>(1-Summary!$B$11)*S1540+Summary!$B$11*U1540</f>
        <v/>
      </c>
      <c r="P1540">
        <f>IF(B1566=0,0,O1540/B1566)</f>
        <v/>
      </c>
      <c r="Q1540">
        <f>IFERROR(1/(IF(Inputs!$B$39="pvp",15,MAX(0.1,Skills!D16-IF(Skills!E16=TRUE,Inputs!$B$33,0)))*(1-IF(AND(ArtifactsInput!$M$27,Inputs!$B$4="Chapter Hunt"),CHOOSE(ArtifactsInput!$N$27+1,20,24,28,32,36,40),0)/100)),0)</f>
        <v/>
      </c>
      <c r="R1540" t="n">
        <v>0</v>
      </c>
      <c r="S1540" t="n">
        <v>0</v>
      </c>
      <c r="U1540" t="n">
        <v>0</v>
      </c>
    </row>
    <row r="1541">
      <c r="A1541">
        <f>Skills!A17</f>
        <v/>
      </c>
      <c r="B1541">
        <f>Skills!B17</f>
        <v/>
      </c>
      <c r="C1541">
        <f>Inputs!$B$3&gt;=49</f>
        <v/>
      </c>
      <c r="D1541">
        <f>IF(Skills!C17=1,60+Inputs!$B$26+Inputs!$B$30,IF(Skills!C17=2,90+Inputs!$B$27+Inputs!$B$30,IF(Skills!C17=3,120+Inputs!$B$28+Inputs!$B$30,MAX(0,(Inputs!$B$3-100)*3)+Inputs!$B$29+Inputs!$B$30)))</f>
        <v/>
      </c>
      <c r="E1541">
        <f>INDEX(FactorTable!$B$2:$Y$301, MATCH(ROUND(MIN(300,MAX(1,D1541)),0), FactorTable!$A$2:$A$301,0), Skills!L17+1)</f>
        <v/>
      </c>
      <c r="F1541">
        <f>IF(Skills!M17=TRUE,(Skills!K17/10)*(E1541/1000),Skills!K17/10)+Skills!N17</f>
        <v/>
      </c>
      <c r="G1541">
        <f>Calc!G17</f>
        <v/>
      </c>
      <c r="H1541">
        <f>Calc!H17</f>
        <v/>
      </c>
      <c r="I1541">
        <f>IF(Skills!T17&lt;&gt;"",1+(Skills!T17/10)*($Z$3/1000)/100,1)</f>
        <v/>
      </c>
      <c r="J1541" t="inlineStr"/>
      <c r="K1541" t="inlineStr"/>
      <c r="L1541" t="inlineStr"/>
      <c r="M1541" t="inlineStr"/>
      <c r="N1541" t="inlineStr"/>
      <c r="O1541">
        <f>(1-Summary!$B$11)*S1541+Summary!$B$11*U1541</f>
        <v/>
      </c>
      <c r="P1541">
        <f>IF(B1566=0,0,O1541/B1566)</f>
        <v/>
      </c>
      <c r="Q1541">
        <f>IFERROR(1/(IF(Inputs!$B$39="pvp",15,MAX(0.1,Skills!D17-IF(Skills!E17=TRUE,Inputs!$B$33,0)))*(1-IF(AND(ArtifactsInput!$M$27,Inputs!$B$4="Chapter Hunt"),CHOOSE(ArtifactsInput!$N$27+1,20,24,28,32,36,40),0)/100)),0)</f>
        <v/>
      </c>
      <c r="R1541" t="n">
        <v>0</v>
      </c>
      <c r="S1541" t="n">
        <v>0</v>
      </c>
      <c r="U1541" t="n">
        <v>0</v>
      </c>
    </row>
    <row r="1542">
      <c r="A1542">
        <f>Skills!A18</f>
        <v/>
      </c>
      <c r="B1542">
        <f>Skills!B18</f>
        <v/>
      </c>
      <c r="C1542">
        <f>Inputs!$B$3&gt;=75</f>
        <v/>
      </c>
      <c r="D1542">
        <f>IF(Skills!C18=1,60+Inputs!$B$26+Inputs!$B$30,IF(Skills!C18=2,90+Inputs!$B$27+Inputs!$B$30,IF(Skills!C18=3,120+Inputs!$B$28+Inputs!$B$30,MAX(0,(Inputs!$B$3-100)*3)+Inputs!$B$29+Inputs!$B$30)))</f>
        <v/>
      </c>
      <c r="E1542">
        <f>INDEX(FactorTable!$B$2:$Y$301, MATCH(ROUND(MIN(300,MAX(1,D1542)),0), FactorTable!$A$2:$A$301,0), Skills!L18+1)</f>
        <v/>
      </c>
      <c r="F1542">
        <f>IF(Skills!M18=TRUE,(Skills!K18/10)*(E1542/1000),Skills!K18/10)+Skills!N18</f>
        <v/>
      </c>
      <c r="G1542">
        <f>Calc!G18</f>
        <v/>
      </c>
      <c r="H1542">
        <f>Calc!H18</f>
        <v/>
      </c>
      <c r="I1542">
        <f>IF(Skills!T18&lt;&gt;"",1+(Skills!T18/10)*($Z$3/1000)/100,1)</f>
        <v/>
      </c>
      <c r="J1542" t="inlineStr"/>
      <c r="K1542" t="inlineStr"/>
      <c r="L1542" t="inlineStr"/>
      <c r="M1542" t="inlineStr"/>
      <c r="N1542" t="inlineStr"/>
      <c r="O1542">
        <f>(1-Summary!$B$11)*S1542+Summary!$B$11*U1542</f>
        <v/>
      </c>
      <c r="P1542">
        <f>IF(B1566=0,0,O1542/B1566)</f>
        <v/>
      </c>
      <c r="Q1542">
        <f>IFERROR(1/(IF(Inputs!$B$39="pvp",15,MAX(0.1,Skills!D18-IF(Skills!E18=TRUE,Inputs!$B$33,0)))*(1-IF(AND(ArtifactsInput!$M$27,Inputs!$B$4="Chapter Hunt"),CHOOSE(ArtifactsInput!$N$27+1,20,24,28,32,36,40),0)/100)),0)</f>
        <v/>
      </c>
      <c r="R1542" t="n">
        <v>0</v>
      </c>
      <c r="S1542" t="n">
        <v>0</v>
      </c>
      <c r="U1542" t="n">
        <v>0</v>
      </c>
    </row>
    <row r="1543">
      <c r="A1543">
        <f>Skills!A19</f>
        <v/>
      </c>
      <c r="B1543">
        <f>Skills!B19</f>
        <v/>
      </c>
      <c r="C1543">
        <f>Inputs!$B$3&gt;=110</f>
        <v/>
      </c>
      <c r="D1543">
        <f>IF(Skills!C19=1,60+Inputs!$B$26+Inputs!$B$30,IF(Skills!C19=2,90+Inputs!$B$27+Inputs!$B$30,IF(Skills!C19=3,120+Inputs!$B$28+Inputs!$B$30,MAX(0,(Inputs!$B$3-100)*3)+Inputs!$B$29+Inputs!$B$30)))</f>
        <v/>
      </c>
      <c r="E1543">
        <f>INDEX(FactorTable!$B$2:$Y$301, MATCH(ROUND(MIN(300,MAX(1,D1543)),0), FactorTable!$A$2:$A$301,0), Skills!L19+1)</f>
        <v/>
      </c>
      <c r="F1543">
        <f>(Skills!K19/10)*(E1543/1000)*64/45+Skills!N19</f>
        <v/>
      </c>
      <c r="G1543">
        <f>Calc!G19</f>
        <v/>
      </c>
      <c r="H1543">
        <f>Calc!H19</f>
        <v/>
      </c>
      <c r="I1543">
        <f>IF(Skills!T19&lt;&gt;"",1+(Skills!T19/10)*($Z$3/1000)/100,1)</f>
        <v/>
      </c>
      <c r="J1543" t="inlineStr"/>
      <c r="K1543" t="inlineStr"/>
      <c r="L1543" t="inlineStr"/>
      <c r="M1543" t="inlineStr"/>
      <c r="N1543" t="inlineStr"/>
      <c r="O1543">
        <f>(1-Summary!$B$11)*S1543+Summary!$B$11*U1543</f>
        <v/>
      </c>
      <c r="P1543">
        <f>IF(B1566=0,0,O1543/B1566)</f>
        <v/>
      </c>
      <c r="Q1543">
        <f>IFERROR(1/(IF(Inputs!$B$39="pvp",15,MAX(0.1,Skills!D19-IF(Skills!E19=TRUE,Inputs!$B$33,0)))*(1-IF(AND(ArtifactsInput!$M$27,Inputs!$B$4="Chapter Hunt"),CHOOSE(ArtifactsInput!$N$27+1,20,24,28,32,36,40),0)/100)),0)</f>
        <v/>
      </c>
      <c r="R1543">
        <f>IF(AND(Inputs!$B$39&lt;&gt;"pvp",Inputs!$B$44&gt;0),IF(Inputs!$B$44&lt;=0,0,(INT(Inputs!$B$44/(IF(Inputs!$B$39="pvp",15,MAX(0.1,Skills!D19-IF(Skills!E19=TRUE,Inputs!$B$33,0)))*(1-IF(AND(ArtifactsInput!$M$27,Inputs!$B$4="Chapter Hunt"),CHOOSE(ArtifactsInput!$N$27+1,20,24,28,32,36,40),0)/100)))+1)),0)</f>
        <v/>
      </c>
      <c r="S1543" t="n">
        <v>0</v>
      </c>
      <c r="U1543" t="n">
        <v>0</v>
      </c>
    </row>
    <row r="1544">
      <c r="A1544">
        <f>Skills!A20</f>
        <v/>
      </c>
      <c r="B1544">
        <f>Skills!B20</f>
        <v/>
      </c>
      <c r="C1544">
        <f>Inputs!$B$3&gt;=125</f>
        <v/>
      </c>
      <c r="D1544">
        <f>IF(Skills!C20=1,60+Inputs!$B$26+Inputs!$B$30,IF(Skills!C20=2,90+Inputs!$B$27+Inputs!$B$30,IF(Skills!C20=3,120+Inputs!$B$28+Inputs!$B$30,MAX(0,(Inputs!$B$3-100)*3)+Inputs!$B$29+Inputs!$B$30)))</f>
        <v/>
      </c>
      <c r="E1544">
        <f>INDEX(FactorTable!$B$2:$Y$301, MATCH(ROUND(MIN(300,MAX(1,D1544)),0), FactorTable!$A$2:$A$301,0), Skills!L20+1)</f>
        <v/>
      </c>
      <c r="F1544">
        <f>IF(Skills!M20=TRUE,(Skills!K20/10)*(E1544/1000),Skills!K20/10)+Skills!N20</f>
        <v/>
      </c>
      <c r="G1544">
        <f>Calc!G20</f>
        <v/>
      </c>
      <c r="H1544">
        <f>Calc!H20</f>
        <v/>
      </c>
      <c r="I1544">
        <f>IF(Skills!T20&lt;&gt;"",1+(Skills!T20/10)*($Z$3/1000)/100,1)</f>
        <v/>
      </c>
      <c r="J1544" t="inlineStr"/>
      <c r="K1544" t="inlineStr"/>
      <c r="L1544" t="inlineStr"/>
      <c r="M1544" t="inlineStr"/>
      <c r="N1544" t="inlineStr"/>
      <c r="O1544">
        <f>(1-Summary!$B$11)*S1544+Summary!$B$11*U1544</f>
        <v/>
      </c>
      <c r="P1544">
        <f>IF(B1566=0,0,O1544/B1566)</f>
        <v/>
      </c>
      <c r="Q1544">
        <f>IFERROR(1/(IF(Inputs!$B$39="pvp",15,MAX(0.1,Skills!D20-IF(Skills!E20=TRUE,Inputs!$B$33,0)))*(1-IF(AND(ArtifactsInput!$M$27,Inputs!$B$4="Chapter Hunt"),CHOOSE(ArtifactsInput!$N$27+1,20,24,28,32,36,40),0)/100)),0)</f>
        <v/>
      </c>
      <c r="R1544" t="n">
        <v>0</v>
      </c>
      <c r="S1544" t="n">
        <v>0</v>
      </c>
      <c r="U1544" t="n">
        <v>0</v>
      </c>
    </row>
    <row r="1545">
      <c r="A1545">
        <f>Skills!A21</f>
        <v/>
      </c>
      <c r="B1545">
        <f>Skills!B21</f>
        <v/>
      </c>
      <c r="C1545">
        <f>Inputs!$B$3&gt;=33</f>
        <v/>
      </c>
      <c r="D1545">
        <f>IF(Skills!C21=1,60+Inputs!$B$26+Inputs!$B$30,IF(Skills!C21=2,90+Inputs!$B$27+Inputs!$B$30,IF(Skills!C21=3,120+Inputs!$B$28+Inputs!$B$30,MAX(0,(Inputs!$B$3-100)*3)+Inputs!$B$29+Inputs!$B$30)))</f>
        <v/>
      </c>
      <c r="E1545">
        <f>INDEX(FactorTable!$B$2:$Y$301, MATCH(ROUND(MIN(300,MAX(1,D1545)),0), FactorTable!$A$2:$A$301,0), Skills!L21+1)</f>
        <v/>
      </c>
      <c r="F1545">
        <f>IF(Skills!M21=TRUE,(Skills!K21/10)*(E1545/1000),Skills!K21/10)+Skills!N21</f>
        <v/>
      </c>
      <c r="G1545">
        <f>Calc!G21</f>
        <v/>
      </c>
      <c r="H1545">
        <f>Calc!H21</f>
        <v/>
      </c>
      <c r="I1545">
        <f>IF(Skills!T21&lt;&gt;"",1+(Skills!T21/10)*($Z$3/1000)/100,1)</f>
        <v/>
      </c>
      <c r="J1545" t="inlineStr"/>
      <c r="K1545" t="inlineStr"/>
      <c r="L1545" t="inlineStr"/>
      <c r="M1545" t="inlineStr"/>
      <c r="N1545" t="inlineStr"/>
      <c r="O1545">
        <f>(1-Summary!$B$11)*S1545+Summary!$B$11*U1545</f>
        <v/>
      </c>
      <c r="P1545">
        <f>IF(B1566=0,0,O1545/B1566)</f>
        <v/>
      </c>
      <c r="Q1545">
        <f>IFERROR(1/(IF(Inputs!$B$39="pvp",15,MAX(0.1,Skills!D21-IF(Skills!E21=TRUE,Inputs!$B$33,0)))*(1-IF(AND(ArtifactsInput!$M$27,Inputs!$B$4="Chapter Hunt"),CHOOSE(ArtifactsInput!$N$27+1,20,24,28,32,36,40),0)/100)),0)</f>
        <v/>
      </c>
      <c r="R1545" t="n">
        <v>0</v>
      </c>
      <c r="S1545" t="n">
        <v>0</v>
      </c>
      <c r="U1545" t="n">
        <v>0</v>
      </c>
    </row>
    <row r="1546">
      <c r="A1546">
        <f>Skills!A22</f>
        <v/>
      </c>
      <c r="B1546">
        <f>Skills!B22</f>
        <v/>
      </c>
      <c r="C1546">
        <f>Inputs!$B$3&gt;=43</f>
        <v/>
      </c>
      <c r="D1546">
        <f>IF(Skills!C22=1,60+Inputs!$B$26+Inputs!$B$30,IF(Skills!C22=2,90+Inputs!$B$27+Inputs!$B$30,IF(Skills!C22=3,120+Inputs!$B$28+Inputs!$B$30,MAX(0,(Inputs!$B$3-100)*3)+Inputs!$B$29+Inputs!$B$30)))</f>
        <v/>
      </c>
      <c r="E1546">
        <f>INDEX(FactorTable!$B$2:$Y$301, MATCH(ROUND(MIN(300,MAX(1,D1546)),0), FactorTable!$A$2:$A$301,0), Skills!L22+1)</f>
        <v/>
      </c>
      <c r="F1546">
        <f>IF(Skills!M22=TRUE,(Skills!K22/10)*(E1546/1000),Skills!K22/10)+Skills!N22</f>
        <v/>
      </c>
      <c r="G1546">
        <f>Calc!G22</f>
        <v/>
      </c>
      <c r="H1546">
        <f>Calc!H22</f>
        <v/>
      </c>
      <c r="I1546">
        <f>IF(Skills!T22&lt;&gt;"",1+(Skills!T22/10)*($Z$3/1000)/100,1)</f>
        <v/>
      </c>
      <c r="J1546" t="inlineStr"/>
      <c r="K1546" t="inlineStr"/>
      <c r="L1546" t="inlineStr"/>
      <c r="M1546" t="inlineStr"/>
      <c r="N1546" t="inlineStr"/>
      <c r="O1546">
        <f>(1-Summary!$B$11)*S1546+Summary!$B$11*U1546</f>
        <v/>
      </c>
      <c r="P1546">
        <f>IF(B1566=0,0,O1546/B1566)</f>
        <v/>
      </c>
      <c r="Q1546">
        <f>IFERROR(1/(IF(Inputs!$B$39="pvp",15,MAX(0.1,Skills!D22-IF(Skills!E22=TRUE,Inputs!$B$33,0)))*(1-IF(AND(ArtifactsInput!$M$27,Inputs!$B$4="Chapter Hunt"),CHOOSE(ArtifactsInput!$N$27+1,20,24,28,32,36,40),0)/100)),0)</f>
        <v/>
      </c>
      <c r="R1546" t="n">
        <v>0</v>
      </c>
      <c r="S1546" t="n">
        <v>0</v>
      </c>
      <c r="U1546" t="n">
        <v>0</v>
      </c>
    </row>
    <row r="1547">
      <c r="A1547">
        <f>Skills!A23</f>
        <v/>
      </c>
      <c r="B1547">
        <f>Skills!B23</f>
        <v/>
      </c>
      <c r="C1547">
        <f>Inputs!$B$3&gt;=50</f>
        <v/>
      </c>
      <c r="D1547">
        <f>IF(Skills!C23=1,60+Inputs!$B$26+Inputs!$B$30,IF(Skills!C23=2,90+Inputs!$B$27+Inputs!$B$30,IF(Skills!C23=3,120+Inputs!$B$28+Inputs!$B$30,MAX(0,(Inputs!$B$3-100)*3)+Inputs!$B$29+Inputs!$B$30)))</f>
        <v/>
      </c>
      <c r="E1547">
        <f>INDEX(FactorTable!$B$2:$Y$301, MATCH(ROUND(MIN(300,MAX(1,D1547)),0), FactorTable!$A$2:$A$301,0), Skills!L23+1)</f>
        <v/>
      </c>
      <c r="F1547">
        <f>IF(Skills!M23=TRUE,(Skills!K23/10)*(E1547/1000),Skills!K23/10)+Skills!N23</f>
        <v/>
      </c>
      <c r="G1547">
        <f>Calc!G23</f>
        <v/>
      </c>
      <c r="H1547">
        <f>Calc!H23</f>
        <v/>
      </c>
      <c r="I1547">
        <f>IF(Skills!T23&lt;&gt;"",1+(Skills!T23/10)*($Z$3/1000)/100,1)</f>
        <v/>
      </c>
      <c r="J1547" t="inlineStr"/>
      <c r="K1547" t="inlineStr"/>
      <c r="L1547" t="inlineStr"/>
      <c r="M1547" t="inlineStr"/>
      <c r="N1547" t="inlineStr"/>
      <c r="O1547">
        <f>(1-Summary!$B$11)*S1547+Summary!$B$11*U1547</f>
        <v/>
      </c>
      <c r="P1547">
        <f>IF(B1566=0,0,O1547/B1566)</f>
        <v/>
      </c>
      <c r="Q1547">
        <f>IFERROR(1/(IF(Inputs!$B$39="pvp",15,MAX(0.1,Skills!D23-IF(Skills!E23=TRUE,Inputs!$B$33,0)))*(1-IF(AND(ArtifactsInput!$M$27,Inputs!$B$4="Chapter Hunt"),CHOOSE(ArtifactsInput!$N$27+1,20,24,28,32,36,40),0)/100)),0)</f>
        <v/>
      </c>
      <c r="R1547" t="n">
        <v>0</v>
      </c>
      <c r="S1547" t="n">
        <v>0</v>
      </c>
      <c r="U1547" t="n">
        <v>0</v>
      </c>
    </row>
    <row r="1548">
      <c r="A1548">
        <f>Skills!A24</f>
        <v/>
      </c>
      <c r="B1548">
        <f>Skills!B24</f>
        <v/>
      </c>
      <c r="C1548">
        <f>Inputs!$B$3&gt;=74</f>
        <v/>
      </c>
      <c r="D1548">
        <f>IF(Skills!C24=1,60+Inputs!$B$26+Inputs!$B$30,IF(Skills!C24=2,90+Inputs!$B$27+Inputs!$B$30,IF(Skills!C24=3,120+Inputs!$B$28+Inputs!$B$30,MAX(0,(Inputs!$B$3-100)*3)+Inputs!$B$29+Inputs!$B$30)))</f>
        <v/>
      </c>
      <c r="E1548">
        <f>INDEX(FactorTable!$B$2:$Y$301, MATCH(ROUND(MIN(300,MAX(1,D1548)),0), FactorTable!$A$2:$A$301,0), Skills!L24+1)</f>
        <v/>
      </c>
      <c r="F1548">
        <f>IF(Skills!M24=TRUE,(Skills!K24/10)*(E1548/1000),Skills!K24/10)+Skills!N24</f>
        <v/>
      </c>
      <c r="G1548">
        <f>Calc!G24</f>
        <v/>
      </c>
      <c r="H1548">
        <f>Calc!H24</f>
        <v/>
      </c>
      <c r="I1548">
        <f>IF(Skills!T24&lt;&gt;"",1+(Skills!T24/10)*($Z$3/1000)/100,1)</f>
        <v/>
      </c>
      <c r="J1548" t="inlineStr"/>
      <c r="K1548" t="inlineStr"/>
      <c r="L1548" t="inlineStr"/>
      <c r="M1548" t="inlineStr"/>
      <c r="N1548" t="inlineStr"/>
      <c r="O1548">
        <f>(1-Summary!$B$11)*S1548+Summary!$B$11*U1548</f>
        <v/>
      </c>
      <c r="P1548">
        <f>IF(B1566=0,0,O1548/B1566)</f>
        <v/>
      </c>
      <c r="Q1548">
        <f>IFERROR(1/(IF(Inputs!$B$39="pvp",15,MAX(0.1,Skills!D24-IF(Skills!E24=TRUE,Inputs!$B$33,0)))*(1-IF(AND(ArtifactsInput!$M$27,Inputs!$B$4="Chapter Hunt"),CHOOSE(ArtifactsInput!$N$27+1,20,24,28,32,36,40),0)/100)),0)</f>
        <v/>
      </c>
      <c r="R1548" t="n">
        <v>0</v>
      </c>
      <c r="S1548" t="n">
        <v>0</v>
      </c>
      <c r="U1548" t="n">
        <v>0</v>
      </c>
    </row>
    <row r="1549">
      <c r="A1549">
        <f>Skills!A25</f>
        <v/>
      </c>
      <c r="B1549">
        <f>Skills!B25</f>
        <v/>
      </c>
      <c r="C1549">
        <f>Inputs!$B$3&gt;=74</f>
        <v/>
      </c>
      <c r="D1549">
        <f>IF(Skills!C25=1,60+Inputs!$B$26+Inputs!$B$30,IF(Skills!C25=2,90+Inputs!$B$27+Inputs!$B$30,IF(Skills!C25=3,120+Inputs!$B$28+Inputs!$B$30,MAX(0,(Inputs!$B$3-100)*3)+Inputs!$B$29+Inputs!$B$30)))</f>
        <v/>
      </c>
      <c r="E1549">
        <f>INDEX(FactorTable!$B$2:$Y$301, MATCH(ROUND(MIN(300,MAX(1,D1549)),0), FactorTable!$A$2:$A$301,0), Skills!L25+1)</f>
        <v/>
      </c>
      <c r="F1549">
        <f>IF(Skills!M25=TRUE,(Skills!K25/10)*(E1549/1000),Skills!K25/10)+Skills!N25</f>
        <v/>
      </c>
      <c r="G1549">
        <f>Calc!G25</f>
        <v/>
      </c>
      <c r="H1549">
        <f>Calc!H25</f>
        <v/>
      </c>
      <c r="I1549">
        <f>IF(Skills!T25&lt;&gt;"",1+(Skills!T25/10)*($Z$3/1000)/100,1)</f>
        <v/>
      </c>
      <c r="J1549" t="inlineStr"/>
      <c r="K1549" t="inlineStr"/>
      <c r="L1549" t="inlineStr"/>
      <c r="M1549" t="inlineStr"/>
      <c r="N1549" t="inlineStr"/>
      <c r="O1549">
        <f>(1-Summary!$B$11)*S1549+Summary!$B$11*U1549</f>
        <v/>
      </c>
      <c r="P1549">
        <f>IF(B1566=0,0,O1549/B1566)</f>
        <v/>
      </c>
      <c r="Q1549">
        <f>IFERROR(1/(IF(Inputs!$B$39="pvp",15,MAX(0.1,Skills!D25-IF(Skills!E25=TRUE,Inputs!$B$33,0)))*(1-IF(AND(ArtifactsInput!$M$27,Inputs!$B$4="Chapter Hunt"),CHOOSE(ArtifactsInput!$N$27+1,20,24,28,32,36,40),0)/100)),0)</f>
        <v/>
      </c>
      <c r="R1549" t="n">
        <v>0</v>
      </c>
      <c r="S1549" t="n">
        <v>0</v>
      </c>
      <c r="U1549" t="n">
        <v>0</v>
      </c>
    </row>
    <row r="1550">
      <c r="A1550">
        <f>Skills!A26</f>
        <v/>
      </c>
      <c r="B1550">
        <f>Skills!B26</f>
        <v/>
      </c>
      <c r="C1550">
        <f>Inputs!$B$3&gt;=117</f>
        <v/>
      </c>
      <c r="D1550">
        <f>IF(Skills!C26=1,60+Inputs!$B$26+Inputs!$B$30,IF(Skills!C26=2,90+Inputs!$B$27+Inputs!$B$30,IF(Skills!C26=3,120+Inputs!$B$28+Inputs!$B$30,MAX(0,(Inputs!$B$3-100)*3)+Inputs!$B$29+Inputs!$B$30)))</f>
        <v/>
      </c>
      <c r="E1550">
        <f>INDEX(FactorTable!$B$2:$Y$301, MATCH(ROUND(MIN(300,MAX(1,D1550)),0), FactorTable!$A$2:$A$301,0), Skills!L26+1)</f>
        <v/>
      </c>
      <c r="F1550">
        <f>IF(Skills!M26=TRUE,(Skills!K26/10)*(E1550/1000),Skills!K26/10)+Skills!N26</f>
        <v/>
      </c>
      <c r="G1550">
        <f>Calc!G26</f>
        <v/>
      </c>
      <c r="H1550">
        <f>Calc!H26</f>
        <v/>
      </c>
      <c r="I1550">
        <f>IF(Skills!T26&lt;&gt;"",1+(Skills!T26/10)*($Z$3/1000)/100,1)</f>
        <v/>
      </c>
      <c r="J1550" t="inlineStr"/>
      <c r="K1550" t="inlineStr"/>
      <c r="L1550" t="inlineStr"/>
      <c r="M1550" t="inlineStr"/>
      <c r="N1550" t="inlineStr"/>
      <c r="O1550">
        <f>(1-Summary!$B$11)*S1550+Summary!$B$11*U1550</f>
        <v/>
      </c>
      <c r="P1550">
        <f>IF(B1566=0,0,O1550/B1566)</f>
        <v/>
      </c>
      <c r="Q1550">
        <f>IFERROR(1/(IF(Inputs!$B$39="pvp",15,MAX(0.1,Skills!D26-IF(Skills!E26=TRUE,Inputs!$B$33,0)))*(1-IF(AND(ArtifactsInput!$M$27,Inputs!$B$4="Chapter Hunt"),CHOOSE(ArtifactsInput!$N$27+1,20,24,28,32,36,40),0)/100)),0)</f>
        <v/>
      </c>
      <c r="R1550" t="n">
        <v>0</v>
      </c>
      <c r="S1550" t="n">
        <v>0</v>
      </c>
      <c r="U1550" t="n">
        <v>0</v>
      </c>
    </row>
    <row r="1551">
      <c r="A1551">
        <f>Skills!A27</f>
        <v/>
      </c>
      <c r="B1551">
        <f>Skills!B27</f>
        <v/>
      </c>
      <c r="C1551">
        <f>Inputs!$B$3&gt;=120</f>
        <v/>
      </c>
      <c r="D1551">
        <f>IF(Skills!C27=1,60+Inputs!$B$26+Inputs!$B$30,IF(Skills!C27=2,90+Inputs!$B$27+Inputs!$B$30,IF(Skills!C27=3,120+Inputs!$B$28+Inputs!$B$30,MAX(0,(Inputs!$B$3-100)*3)+Inputs!$B$29+Inputs!$B$30)))</f>
        <v/>
      </c>
      <c r="E1551">
        <f>INDEX(FactorTable!$B$2:$Y$301, MATCH(ROUND(MIN(300,MAX(1,D1551)),0), FactorTable!$A$2:$A$301,0), Skills!L27+1)</f>
        <v/>
      </c>
      <c r="F1551">
        <f>IF(Skills!M27=TRUE,(Skills!K27/10)*(E1551/1000),Skills!K27/10)+Skills!N27</f>
        <v/>
      </c>
      <c r="G1551">
        <f>Calc!G27</f>
        <v/>
      </c>
      <c r="H1551">
        <f>Calc!H27</f>
        <v/>
      </c>
      <c r="I1551">
        <f>IF(Skills!T27&lt;&gt;"",1+(Skills!T27/10)*($Z$3/1000)/100,1)</f>
        <v/>
      </c>
      <c r="J1551" t="inlineStr"/>
      <c r="K1551" t="inlineStr"/>
      <c r="L1551" t="inlineStr"/>
      <c r="M1551" t="inlineStr"/>
      <c r="N1551" t="inlineStr"/>
      <c r="O1551">
        <f>(1-Summary!$B$11)*S1551+Summary!$B$11*U1551</f>
        <v/>
      </c>
      <c r="P1551">
        <f>IF(B1566=0,0,O1551/B1566)</f>
        <v/>
      </c>
      <c r="Q1551">
        <f>IFERROR(1/(IF(Inputs!$B$39="pvp",15,MAX(0.1,Skills!D27-IF(Skills!E27=TRUE,Inputs!$B$33,0)))*(1-IF(AND(ArtifactsInput!$M$27,Inputs!$B$4="Chapter Hunt"),CHOOSE(ArtifactsInput!$N$27+1,20,24,28,32,36,40),0)/100)),0)</f>
        <v/>
      </c>
      <c r="R1551" t="n">
        <v>0</v>
      </c>
      <c r="S1551" t="n">
        <v>0</v>
      </c>
      <c r="U1551" t="n">
        <v>0</v>
      </c>
    </row>
    <row r="1553">
      <c r="A1553" t="inlineStr">
        <is>
          <t>Average Buff Multiplier</t>
        </is>
      </c>
      <c r="B1553">
        <f>(1+(IF(C1527=TRUE,F1527*IF(AND(Inputs!$B$39&lt;&gt;"pvp",Inputs!$B$44&gt;0),(((R1527-1)*(Skills!S3*(1+((Inputs!$B$35+(ArtifactsInput!$M$7-ArtifactsInput!$M$7)*CHOOSE(ArtifactsInput!$N$7+1,6,7.2,8.4,9.6,10.8,12))+IF(Inputs!$B$3&gt;=117,F1550,0))/100))+MIN((Skills!S3*(1+((Inputs!$B$35+(ArtifactsInput!$M$7-ArtifactsInput!$M$7)*CHOOSE(ArtifactsInput!$N$7+1,6,7.2,8.4,9.6,10.8,12))+IF(Inputs!$B$3&gt;=117,F1550,0))/100)),MAX(0,Inputs!$B$44-((R1527-1)*Skills!D3))))/Inputs!$B$44),IF(Inputs!$B$39="pvp",MIN((Skills!S3*(1+((Inputs!$B$35+(ArtifactsInput!$M$7-ArtifactsInput!$M$7)*CHOOSE(ArtifactsInput!$N$7+1,6,7.2,8.4,9.6,10.8,12))+IF(Inputs!$B$3&gt;=117,F1550,0))/100)),15)/15,(Skills!S3*(1+((Inputs!$B$35+(ArtifactsInput!$M$7-ArtifactsInput!$M$7)*CHOOSE(ArtifactsInput!$N$7+1,6,7.2,8.4,9.6,10.8,12))+IF(Inputs!$B$3&gt;=117,F1550,0))/100))/Skills!D3)),0)+IF(C1528=TRUE,F1528*IF(AND(Inputs!$B$39&lt;&gt;"pvp",Inputs!$B$44&gt;0),(((R1528-1)*(Skills!S4*(1+((Inputs!$B$35+(ArtifactsInput!$M$7-ArtifactsInput!$M$7)*CHOOSE(ArtifactsInput!$N$7+1,6,7.2,8.4,9.6,10.8,12))+IF(Inputs!$B$3&gt;=117,F1550,0))/100))+MIN((Skills!S4*(1+((Inputs!$B$35+(ArtifactsInput!$M$7-ArtifactsInput!$M$7)*CHOOSE(ArtifactsInput!$N$7+1,6,7.2,8.4,9.6,10.8,12))+IF(Inputs!$B$3&gt;=117,F1550,0))/100)),MAX(0,Inputs!$B$44-((R1528-1)*Skills!D4))))/Inputs!$B$44),IF(Inputs!$B$39="pvp",MIN((Skills!S4*(1+((Inputs!$B$35+(ArtifactsInput!$M$7-ArtifactsInput!$M$7)*CHOOSE(ArtifactsInput!$N$7+1,6,7.2,8.4,9.6,10.8,12))+IF(Inputs!$B$3&gt;=117,F1550,0))/100)),15)/15,(Skills!S4*(1+((Inputs!$B$35+(ArtifactsInput!$M$7-ArtifactsInput!$M$7)*CHOOSE(ArtifactsInput!$N$7+1,6,7.2,8.4,9.6,10.8,12))+IF(Inputs!$B$3&gt;=117,F1550,0))/100))/Skills!D4)),0)+IF(C1529=TRUE,F1529*IF(AND(Inputs!$B$39&lt;&gt;"pvp",Inputs!$B$44&gt;0),(((R1529-1)*(Skills!S5*(1+((Inputs!$B$35+(ArtifactsInput!$M$7-ArtifactsInput!$M$7)*CHOOSE(ArtifactsInput!$N$7+1,6,7.2,8.4,9.6,10.8,12))+IF(Inputs!$B$3&gt;=117,F1550,0))/100))+MIN((Skills!S5*(1+((Inputs!$B$35+(ArtifactsInput!$M$7-ArtifactsInput!$M$7)*CHOOSE(ArtifactsInput!$N$7+1,6,7.2,8.4,9.6,10.8,12))+IF(Inputs!$B$3&gt;=117,F1550,0))/100)),MAX(0,Inputs!$B$44-((R1529-1)*Skills!D5))))/Inputs!$B$44),IF(Inputs!$B$39="pvp",MIN((Skills!S5*(1+((Inputs!$B$35+(ArtifactsInput!$M$7-ArtifactsInput!$M$7)*CHOOSE(ArtifactsInput!$N$7+1,6,7.2,8.4,9.6,10.8,12))+IF(Inputs!$B$3&gt;=117,F1550,0))/100)),15)/15,(Skills!S5*(1+((Inputs!$B$35+(ArtifactsInput!$M$7-ArtifactsInput!$M$7)*CHOOSE(ArtifactsInput!$N$7+1,6,7.2,8.4,9.6,10.8,12))+IF(Inputs!$B$3&gt;=117,F1550,0))/100))/Skills!D5)),0)+IF(C1535=TRUE,F1535*IF(AND(Inputs!$B$39&lt;&gt;"pvp",Inputs!$B$44&gt;0),(((R1535-1)*(Skills!S11*(1+((Inputs!$B$35+(ArtifactsInput!$M$7-ArtifactsInput!$M$7)*CHOOSE(ArtifactsInput!$N$7+1,6,7.2,8.4,9.6,10.8,12))+IF(Inputs!$B$3&gt;=117,F1550,0))/100))+MIN((Skills!S11*(1+((Inputs!$B$35+(ArtifactsInput!$M$7-ArtifactsInput!$M$7)*CHOOSE(ArtifactsInput!$N$7+1,6,7.2,8.4,9.6,10.8,12))+IF(Inputs!$B$3&gt;=117,F1550,0))/100)),MAX(0,Inputs!$B$44-((R1535-1)*Skills!D11))))/Inputs!$B$44),IF(Inputs!$B$39="pvp",MIN((Skills!S11*(1+((Inputs!$B$35+(ArtifactsInput!$M$7-ArtifactsInput!$M$7)*CHOOSE(ArtifactsInput!$N$7+1,6,7.2,8.4,9.6,10.8,12))+IF(Inputs!$B$3&gt;=117,F1550,0))/100)),15)/15,(Skills!S11*(1+((Inputs!$B$35+(ArtifactsInput!$M$7-ArtifactsInput!$M$7)*CHOOSE(ArtifactsInput!$N$7+1,6,7.2,8.4,9.6,10.8,12))+IF(Inputs!$B$3&gt;=117,F1550,0)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1538=TRUE,(1+F1538*IF(AND(Inputs!$B$39&lt;&gt;"pvp",Inputs!$B$44&gt;0),(((R1538-1)*(Skills!S14*(1+((Inputs!$B$35+(ArtifactsInput!$M$7-ArtifactsInput!$M$7)*CHOOSE(ArtifactsInput!$N$7+1,6,7.2,8.4,9.6,10.8,12))+IF(Inputs!$B$3&gt;=117,F1550,0))/100))+MIN((Skills!S14*(1+((Inputs!$B$35+(ArtifactsInput!$M$7-ArtifactsInput!$M$7)*CHOOSE(ArtifactsInput!$N$7+1,6,7.2,8.4,9.6,10.8,12))+IF(Inputs!$B$3&gt;=117,F1550,0))/100)),MAX(0,Inputs!$B$44-((R1538-1)*Skills!D14))))/Inputs!$B$44),IF(Inputs!$B$39="pvp",MIN((Skills!S14*(1+((Inputs!$B$35+(ArtifactsInput!$M$7-ArtifactsInput!$M$7)*CHOOSE(ArtifactsInput!$N$7+1,6,7.2,8.4,9.6,10.8,12))+IF(Inputs!$B$3&gt;=117,F1550,0))/100)),15)/15,(Skills!S14*(1+((Inputs!$B$35+(ArtifactsInput!$M$7-ArtifactsInput!$M$7)*CHOOSE(ArtifactsInput!$N$7+1,6,7.2,8.4,9.6,10.8,12))+IF(Inputs!$B$3&gt;=117,F1550,0))/100))/Skills!D14))/100),1)*IF(C1543=TRUE,(1+F1543*IF(AND(Inputs!$B$39&lt;&gt;"pvp",Inputs!$B$44&gt;0),(((R1543-1)*(Skills!S19*(1+((Inputs!$B$35+(ArtifactsInput!$M$7-ArtifactsInput!$M$7)*CHOOSE(ArtifactsInput!$N$7+1,6,7.2,8.4,9.6,10.8,12))+IF(Inputs!$B$3&gt;=117,F1550,0))/100))+MIN((Skills!S19*(1+((Inputs!$B$35+(ArtifactsInput!$M$7-ArtifactsInput!$M$7)*CHOOSE(ArtifactsInput!$N$7+1,6,7.2,8.4,9.6,10.8,12))+IF(Inputs!$B$3&gt;=117,F1550,0))/100)),MAX(0,Inputs!$B$44-((R1543-1)*Skills!D19))))/Inputs!$B$44),IF(Inputs!$B$39="pvp",MIN((Skills!S19*(1+((Inputs!$B$35+(ArtifactsInput!$M$7-ArtifactsInput!$M$7)*CHOOSE(ArtifactsInput!$N$7+1,6,7.2,8.4,9.6,10.8,12))+IF(Inputs!$B$3&gt;=117,F1550,0))/100)),15)/15,(Skills!S19*(1+((Inputs!$B$35+(ArtifactsInput!$M$7-ArtifactsInput!$M$7)*CHOOSE(ArtifactsInput!$N$7+1,6,7.2,8.4,9.6,10.8,12))+IF(Inputs!$B$3&gt;=117,F1550,0))/100))/Skills!D19))/100),1)</f>
        <v/>
      </c>
    </row>
    <row r="1554">
      <c r="A1554" t="inlineStr">
        <is>
          <t>Monster Damage Taken Bonus % (Holy Fountain)</t>
        </is>
      </c>
      <c r="B1554">
        <f>IF(Inputs!$B$3&gt;=68,20*IF(Inputs!$B$39="pvp",MIN((15*(1+((Inputs!$B$35+(ArtifactsInput!$M$7-ArtifactsInput!$M$7)*CHOOSE(ArtifactsInput!$N$7+1,6,7.2,8.4,9.6,10.8,12))+IF(Inputs!$B$3&gt;=117,F1550,0))/100)),15)/15,(15*(1+((Inputs!$B$35+(ArtifactsInput!$M$7-ArtifactsInput!$M$7)*CHOOSE(ArtifactsInput!$N$7+1,6,7.2,8.4,9.6,10.8,12))+IF(Inputs!$B$3&gt;=117,F1550,0))/100))/Skills!D10),0)</f>
        <v/>
      </c>
    </row>
    <row r="1555">
      <c r="A1555" t="inlineStr">
        <is>
          <t>Normal Monster Damage Bonus % (Holy Symbol)</t>
        </is>
      </c>
      <c r="B1555">
        <f>IF(C1536=TRUE,F1536*IF(AND(Inputs!$B$39&lt;&gt;"pvp",Inputs!$B$44&gt;0),(((R1536-1)*(Skills!S12*(1+((Inputs!$B$35+(ArtifactsInput!$M$7-ArtifactsInput!$M$7)*CHOOSE(ArtifactsInput!$N$7+1,6,7.2,8.4,9.6,10.8,12))+IF(Inputs!$B$3&gt;=117,F1550,0))/100))+MIN((Skills!S12*(1+((Inputs!$B$35+(ArtifactsInput!$M$7-ArtifactsInput!$M$7)*CHOOSE(ArtifactsInput!$N$7+1,6,7.2,8.4,9.6,10.8,12))+IF(Inputs!$B$3&gt;=117,F1550,0))/100)),MAX(0,Inputs!$B$44-((R1536-1)*Skills!D12))))/Inputs!$B$44),IF(Inputs!$B$39="pvp",MIN((Skills!S12*(1+((Inputs!$B$35+(ArtifactsInput!$M$7-ArtifactsInput!$M$7)*CHOOSE(ArtifactsInput!$N$7+1,6,7.2,8.4,9.6,10.8,12))+IF(Inputs!$B$3&gt;=117,F1550,0))/100)),15)/15,(Skills!S12*(1+((Inputs!$B$35+(ArtifactsInput!$M$7-ArtifactsInput!$M$7)*CHOOSE(ArtifactsInput!$N$7+1,6,7.2,8.4,9.6,10.8,12))+IF(Inputs!$B$3&gt;=117,F1550,0))/100))/Skills!D12)),0)</f>
        <v/>
      </c>
    </row>
    <row r="1556">
      <c r="A1556" t="inlineStr">
        <is>
          <t>Damage % Bonus (Holy Symbol - Damage Boost)</t>
        </is>
      </c>
      <c r="B1556">
        <f>Skills!O12</f>
        <v/>
      </c>
    </row>
    <row r="1557">
      <c r="A1557" t="inlineStr">
        <is>
          <t>Crit Damage % Bonus (Blood of the Divine)</t>
        </is>
      </c>
      <c r="B1557">
        <f>4*IF(C1544=TRUE,F1544,0)</f>
        <v/>
      </c>
    </row>
    <row r="1558">
      <c r="A1558" t="inlineStr">
        <is>
          <t>Attack Speed Bonus %</t>
        </is>
      </c>
      <c r="B1558">
        <f>IF(C1541=TRUE,F1541+(F1545-Calc!F21),0)+IF(Inputs!$B$3&gt;=134,15,0)</f>
        <v/>
      </c>
    </row>
    <row r="1559">
      <c r="A1559" t="inlineStr">
        <is>
          <t>Actions Per Second</t>
        </is>
      </c>
      <c r="B1559">
        <f>1+MIN(150,150*(1-(1-Inputs!$B$12/150)*(1-B1558/150)))/100</f>
        <v/>
      </c>
    </row>
    <row r="1560">
      <c r="A1560" t="inlineStr">
        <is>
          <t>Skill + Buff Cast Rate</t>
        </is>
      </c>
      <c r="B1560">
        <f>IF(AND(Inputs!$B$39&lt;&gt;"pvp",Inputs!$B$44&gt;0),SUMPRODUCT((Skills!E2:E27=TRUE)*(C1526:C1551=TRUE)*R1526:R1551)/Inputs!$B$44,SUMPRODUCT((Skills!E2:E27=TRUE)*(C1526:C1551=TRUE)*Q1526:Q1551))</f>
        <v/>
      </c>
    </row>
    <row r="1561">
      <c r="A1561" t="inlineStr">
        <is>
          <t>Big Bang Casts Per Second</t>
        </is>
      </c>
      <c r="B1561">
        <f>MAX(0,B1559-B1560)</f>
        <v/>
      </c>
    </row>
    <row r="1562">
      <c r="A1562" t="inlineStr">
        <is>
          <t>Defense % Bonus (Divine Protection)</t>
        </is>
      </c>
      <c r="B1562">
        <f>IF(C1537=TRUE,F1537*IF(AND(Inputs!$B$39&lt;&gt;"pvp",Inputs!$B$44&gt;0),(((R1537-1)*(Skills!S13*(1+((Inputs!$B$35+(ArtifactsInput!$M$7-ArtifactsInput!$M$7)*CHOOSE(ArtifactsInput!$N$7+1,6,7.2,8.4,9.6,10.8,12))+IF(Inputs!$B$3&gt;=117,F1550,0))/100))+MIN((Skills!S13*(1+((Inputs!$B$35+(ArtifactsInput!$M$7-ArtifactsInput!$M$7)*CHOOSE(ArtifactsInput!$N$7+1,6,7.2,8.4,9.6,10.8,12))+IF(Inputs!$B$3&gt;=117,F1550,0))/100)),MAX(0,Inputs!$B$44-((R1537-1)*Skills!D13))))/Inputs!$B$44),IF(Inputs!$B$39="pvp",MIN((Skills!S13*(1+((Inputs!$B$35+(ArtifactsInput!$M$7-ArtifactsInput!$M$7)*CHOOSE(ArtifactsInput!$N$7+1,6,7.2,8.4,9.6,10.8,12))+IF(Inputs!$B$3&gt;=117,F1550,0))/100)),15)/15,(Skills!S13*(1+((Inputs!$B$35+(ArtifactsInput!$M$7-ArtifactsInput!$M$7)*CHOOSE(ArtifactsInput!$N$7+1,6,7.2,8.4,9.6,10.8,12))+IF(Inputs!$B$3&gt;=117,F1550,0))/100))/Skills!D13)),0)</f>
        <v/>
      </c>
    </row>
    <row r="1563">
      <c r="A1563" t="inlineStr">
        <is>
          <t>Buff-Casting Startup Delay (s, fixed-duration only)</t>
        </is>
      </c>
      <c r="B1563">
        <f>IF(AND(Inputs!$B$39&lt;&gt;"pvp",Inputs!$B$44&gt;0),SUMPRODUCT((Skills!S2:S27&gt;0)*(Skills!E2:E27=TRUE)*(C1526:C1551=TRUE))/B1559,0)</f>
        <v/>
      </c>
    </row>
    <row r="1564">
      <c r="A1564" t="inlineStr">
        <is>
          <t>Boss-Only Total DPS (this block's swept value)</t>
        </is>
      </c>
      <c r="B1564">
        <f>SUM(S1526:S1551)</f>
        <v/>
      </c>
    </row>
    <row r="1565">
      <c r="A1565" t="inlineStr">
        <is>
          <t>Normal-Only Total DPS (this block's swept value)</t>
        </is>
      </c>
      <c r="B1565">
        <f>SUM(U1526:U1551)</f>
        <v/>
      </c>
    </row>
    <row r="1566">
      <c r="A1566" s="6" t="inlineStr">
        <is>
          <t>TOTAL DPS</t>
        </is>
      </c>
      <c r="B1566" s="6">
        <f>SUM(O1526:O1551)</f>
        <v/>
      </c>
    </row>
    <row r="1568">
      <c r="A1568" s="6" t="inlineStr">
        <is>
          <t>Stat: Mushmom's Cap (Equip)</t>
        </is>
      </c>
    </row>
    <row r="1569">
      <c r="A1569" s="5" t="inlineStr">
        <is>
          <t>Key</t>
        </is>
      </c>
      <c r="B1569" s="5" t="inlineStr">
        <is>
          <t>Name</t>
        </is>
      </c>
      <c r="C1569" s="5" t="inlineStr">
        <is>
          <t>Unlocked</t>
        </is>
      </c>
      <c r="D1569" s="5" t="inlineStr">
        <is>
          <t>InputLevel</t>
        </is>
      </c>
      <c r="E1569" s="5" t="inlineStr">
        <is>
          <t>Factor</t>
        </is>
      </c>
      <c r="F1569" s="5" t="inlineStr">
        <is>
          <t>CoefficientPercent</t>
        </is>
      </c>
      <c r="G1569" s="5" t="inlineStr">
        <is>
          <t>EffectiveHits</t>
        </is>
      </c>
      <c r="H1569" s="5" t="inlineStr">
        <is>
          <t>ProcProbability</t>
        </is>
      </c>
      <c r="I1569" s="5" t="inlineStr">
        <is>
          <t>MapleHeroMultiplier</t>
        </is>
      </c>
      <c r="J1569" s="5" t="inlineStr">
        <is>
          <t>BaseDamage</t>
        </is>
      </c>
      <c r="K1569" s="5" t="inlineStr">
        <is>
          <t>BaseHitDamage</t>
        </is>
      </c>
      <c r="L1569" s="5" t="inlineStr">
        <is>
          <t>NonCritAvg</t>
        </is>
      </c>
      <c r="M1569" s="5" t="inlineStr">
        <is>
          <t>CritAvg</t>
        </is>
      </c>
      <c r="N1569" s="5" t="inlineStr">
        <is>
          <t>ExpectedDamage(perHit)</t>
        </is>
      </c>
      <c r="O1569" s="5" t="inlineStr">
        <is>
          <t>DPS</t>
        </is>
      </c>
      <c r="P1569" s="5" t="inlineStr">
        <is>
          <t>% of Total</t>
        </is>
      </c>
      <c r="R1569" t="inlineStr">
        <is>
          <t>helpers</t>
        </is>
      </c>
    </row>
    <row r="1570">
      <c r="A1570">
        <f>Skills!A2</f>
        <v/>
      </c>
      <c r="B1570">
        <f>Skills!B2</f>
        <v/>
      </c>
      <c r="C1570">
        <f>Inputs!$B$3&gt;=100</f>
        <v/>
      </c>
      <c r="D1570" t="inlineStr"/>
      <c r="E1570" t="inlineStr"/>
      <c r="F1570">
        <f>T1572+Skills!N2</f>
        <v/>
      </c>
      <c r="G1570">
        <f>Calc!G2</f>
        <v/>
      </c>
      <c r="H1570">
        <f>Calc!H2</f>
        <v/>
      </c>
      <c r="I1570">
        <f>IF(Skills!T2&lt;&gt;"",1+(Skills!T2/10)*($Z$3/1000)/100,1)</f>
        <v/>
      </c>
      <c r="J1570">
        <f>((Inputs!$B$6*(1+Inputs!$B$7/100))+(((Inputs!$B$13*(1+Inputs!$B$14/100))-(Inputs!$B$13*(1+Inputs!$B$14/100)))+0.25*(Inputs!$B$15-Inputs!$B$15))*(1+Inputs!$B$7/100))*(F1570/100)</f>
        <v/>
      </c>
      <c r="K1570">
        <f>J1570*(1+(((Inputs!$B$13+IF(Inputs!$B$3&gt;=35,(10*INDEX(FactorTable!$B$2:$Y$301,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2="TRIUMPH_FEATHER",IF(C1584=TRUE,F1584,0),0)/100)*(1+IF(C1595=TRUE,F1595,0)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1570)</f>
        <v/>
      </c>
      <c r="L1570">
        <f>K1570*(MIN(Inputs!$B$23+(F1590-Calc!F22),(Inputs!$B$24+IF(ArtifactsInput!$M$15,CHOOSE(ArtifactsInput!$N$15+1,25,30,35,40,45,50)/100*(Inputs!$B$12-Inputs!$B$12),0)))/100+(Inputs!$B$24+IF(ArtifactsInput!$M$15,CHOOSE(ArtifactsInput!$N$15+1,25,30,35,40,45,50)/100*(Inputs!$B$12-Inputs!$B$12),0))/100)/2</f>
        <v/>
      </c>
      <c r="M1570">
        <f>L1570*(1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0">
        <f>L1570*(1-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1570*(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0">
        <f>(1-Summary!$B$11)*S1570+Summary!$B$11*U1570</f>
        <v/>
      </c>
      <c r="P1570">
        <f>IF(B1610=0,0,O1570/B1610)</f>
        <v/>
      </c>
      <c r="Q1570">
        <f>IFERROR(1/(IF(Inputs!$B$39="pvp",15,MAX(0.1,Skills!D2-IF(Skills!E2=TRUE,Inputs!$B$33,0)))*(1-IF(AND(ArtifactsInput!$M$27,Inputs!$B$4="Chapter Hunt"),CHOOSE(ArtifactsInput!$N$27+1,20,24,28,32,36,40),0)/100)),0)</f>
        <v/>
      </c>
      <c r="R1570" t="n">
        <v>0</v>
      </c>
      <c r="S1570">
        <f>IF(C1570,(Skills!F2*N1570*B1605)*IF(Inputs!$B$39="pvp",1,1+(Inputs!$B$21+Skills!O2+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1570*(1-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1570*(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1570*(1-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1570*(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70">
        <f>MAX(0,(Inputs!$B$3-100)*3)+Inputs!$B$29+Inputs!$B$30</f>
        <v/>
      </c>
      <c r="U1570">
        <f>IF(C1570,(Skills!F2*N1570*B1605)*IF(Inputs!$B$39="pvp",1,(1+(Inputs!$B$22+Skills!P2+B1599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1">
      <c r="A1571">
        <f>Skills!A3</f>
        <v/>
      </c>
      <c r="B1571">
        <f>Skills!B3</f>
        <v/>
      </c>
      <c r="C1571">
        <f>Inputs!$B$3&gt;=15</f>
        <v/>
      </c>
      <c r="D1571">
        <f>IF(Skills!C3=1,60+Inputs!$B$26+Inputs!$B$30,IF(Skills!C3=2,90+Inputs!$B$27+Inputs!$B$30,IF(Skills!C3=3,120+Inputs!$B$28+Inputs!$B$30,MAX(0,(Inputs!$B$3-100)*3)+Inputs!$B$29+Inputs!$B$30)))</f>
        <v/>
      </c>
      <c r="E1571">
        <f>INDEX(FactorTable!$B$2:$Y$301, MATCH(ROUND(MIN(300,MAX(1,D1571)),0), FactorTable!$A$2:$A$301,0), Skills!L3+1)</f>
        <v/>
      </c>
      <c r="F1571">
        <f>IF(Skills!M3=TRUE,(Skills!K3/10)*(E1571/1000),Skills!K3/10)+Skills!N3</f>
        <v/>
      </c>
      <c r="G1571">
        <f>Calc!G3</f>
        <v/>
      </c>
      <c r="H1571">
        <f>Calc!H3</f>
        <v/>
      </c>
      <c r="I1571">
        <f>IF(Skills!T3&lt;&gt;"",1+(Skills!T3/10)*($Z$3/1000)/100,1)</f>
        <v/>
      </c>
      <c r="J1571" t="inlineStr"/>
      <c r="K1571" t="inlineStr"/>
      <c r="L1571" t="inlineStr"/>
      <c r="M1571" t="inlineStr"/>
      <c r="N1571" t="inlineStr"/>
      <c r="O1571">
        <f>(1-Summary!$B$11)*S1571+Summary!$B$11*U1571</f>
        <v/>
      </c>
      <c r="P1571">
        <f>IF(B1610=0,0,O1571/B1610)</f>
        <v/>
      </c>
      <c r="Q1571">
        <f>IFERROR(1/(IF(Inputs!$B$39="pvp",15,MAX(0.1,Skills!D3-IF(Skills!E3=TRUE,Inputs!$B$33,0)))*(1-IF(AND(ArtifactsInput!$M$27,Inputs!$B$4="Chapter Hunt"),CHOOSE(ArtifactsInput!$N$27+1,20,24,28,32,36,40),0)/100)),0)</f>
        <v/>
      </c>
      <c r="R1571">
        <f>IF(AND(Inputs!$B$39&lt;&gt;"pvp",Inputs!$B$44&gt;0),IF(Inputs!$B$44&lt;=0,0,(INT(Inputs!$B$44/(IF(Inputs!$B$39="pvp",15,MAX(0.1,Skills!D3-IF(Skills!E3=TRUE,Inputs!$B$33,0)))*(1-IF(AND(ArtifactsInput!$M$27,Inputs!$B$4="Chapter Hunt"),CHOOSE(ArtifactsInput!$N$27+1,20,24,28,32,36,40),0)/100)))+1)),0)</f>
        <v/>
      </c>
      <c r="S1571" t="n">
        <v>0</v>
      </c>
      <c r="T1571">
        <f>INDEX(FactorTable!$B$2:$Y$301, MATCH(ROUND(MIN(300,MAX(1,T1570)),0), FactorTable!$A$2:$A$301,0), 22)</f>
        <v/>
      </c>
      <c r="U1571" t="n">
        <v>0</v>
      </c>
    </row>
    <row r="1572">
      <c r="A1572">
        <f>Skills!A4</f>
        <v/>
      </c>
      <c r="B1572">
        <f>Skills!B4</f>
        <v/>
      </c>
      <c r="C1572">
        <f>Inputs!$B$3&gt;=38</f>
        <v/>
      </c>
      <c r="D1572">
        <f>IF(Skills!C4=1,60+Inputs!$B$26+Inputs!$B$30,IF(Skills!C4=2,90+Inputs!$B$27+Inputs!$B$30,IF(Skills!C4=3,120+Inputs!$B$28+Inputs!$B$30,MAX(0,(Inputs!$B$3-100)*3)+Inputs!$B$29+Inputs!$B$30)))</f>
        <v/>
      </c>
      <c r="E1572">
        <f>INDEX(FactorTable!$B$2:$Y$301, MATCH(ROUND(MIN(300,MAX(1,D1572)),0), FactorTable!$A$2:$A$301,0), Skills!L4+1)</f>
        <v/>
      </c>
      <c r="F1572">
        <f>IF(Skills!M4=TRUE,(Skills!K4/10)*(E1572/1000),Skills!K4/10)+Skills!N4</f>
        <v/>
      </c>
      <c r="G1572">
        <f>Calc!G4</f>
        <v/>
      </c>
      <c r="H1572">
        <f>Calc!H4</f>
        <v/>
      </c>
      <c r="I1572">
        <f>IF(Skills!T4&lt;&gt;"",1+(Skills!T4/10)*($Z$3/1000)/100,1)</f>
        <v/>
      </c>
      <c r="J1572" t="inlineStr"/>
      <c r="K1572" t="inlineStr"/>
      <c r="L1572" t="inlineStr"/>
      <c r="M1572" t="inlineStr"/>
      <c r="N1572" t="inlineStr"/>
      <c r="O1572">
        <f>(1-Summary!$B$11)*S1572+Summary!$B$11*U1572</f>
        <v/>
      </c>
      <c r="P1572">
        <f>IF(B1610=0,0,O1572/B1610)</f>
        <v/>
      </c>
      <c r="Q1572">
        <f>IFERROR(1/(IF(Inputs!$B$39="pvp",15,MAX(0.1,Skills!D4-IF(Skills!E4=TRUE,Inputs!$B$33,0)))*(1-IF(AND(ArtifactsInput!$M$27,Inputs!$B$4="Chapter Hunt"),CHOOSE(ArtifactsInput!$N$27+1,20,24,28,32,36,40),0)/100)),0)</f>
        <v/>
      </c>
      <c r="R1572">
        <f>IF(AND(Inputs!$B$39&lt;&gt;"pvp",Inputs!$B$44&gt;0),IF(Inputs!$B$44&lt;=0,0,(INT(Inputs!$B$44/(IF(Inputs!$B$39="pvp",15,MAX(0.1,Skills!D4-IF(Skills!E4=TRUE,Inputs!$B$33,0)))*(1-IF(AND(ArtifactsInput!$M$27,Inputs!$B$4="Chapter Hunt"),CHOOSE(ArtifactsInput!$N$27+1,20,24,28,32,36,40),0)/100)))+1)),0)</f>
        <v/>
      </c>
      <c r="S1572" t="n">
        <v>0</v>
      </c>
      <c r="T1572">
        <f>290*T1571/1000</f>
        <v/>
      </c>
      <c r="U1572" t="n">
        <v>0</v>
      </c>
    </row>
    <row r="1573">
      <c r="A1573">
        <f>Skills!A5</f>
        <v/>
      </c>
      <c r="B1573">
        <f>Skills!B5</f>
        <v/>
      </c>
      <c r="C1573">
        <f>Inputs!$B$3&gt;=40</f>
        <v/>
      </c>
      <c r="D1573">
        <f>IF(Skills!C5=1,60+Inputs!$B$26+Inputs!$B$30,IF(Skills!C5=2,90+Inputs!$B$27+Inputs!$B$30,IF(Skills!C5=3,120+Inputs!$B$28+Inputs!$B$30,MAX(0,(Inputs!$B$3-100)*3)+Inputs!$B$29+Inputs!$B$30)))</f>
        <v/>
      </c>
      <c r="E1573">
        <f>INDEX(FactorTable!$B$2:$Y$301, MATCH(ROUND(MIN(300,MAX(1,D1573)),0), FactorTable!$A$2:$A$301,0), Skills!L5+1)</f>
        <v/>
      </c>
      <c r="F1573">
        <f>IF(Skills!M5=TRUE,(Skills!K5/10)*(E1573/1000),Skills!K5/10)+Skills!N5</f>
        <v/>
      </c>
      <c r="G1573">
        <f>Calc!G5</f>
        <v/>
      </c>
      <c r="H1573">
        <f>Calc!H5</f>
        <v/>
      </c>
      <c r="I1573">
        <f>IF(Skills!T5&lt;&gt;"",1+(Skills!T5/10)*($Z$3/1000)/100,1)</f>
        <v/>
      </c>
      <c r="J1573" t="inlineStr"/>
      <c r="K1573" t="inlineStr"/>
      <c r="L1573" t="inlineStr"/>
      <c r="M1573" t="inlineStr"/>
      <c r="N1573" t="inlineStr"/>
      <c r="O1573">
        <f>(1-Summary!$B$11)*S1573+Summary!$B$11*U1573</f>
        <v/>
      </c>
      <c r="P1573">
        <f>IF(B1610=0,0,O1573/B1610)</f>
        <v/>
      </c>
      <c r="Q1573">
        <f>IFERROR(1/(IF(Inputs!$B$39="pvp",15,MAX(0.1,Skills!D5-IF(Skills!E5=TRUE,Inputs!$B$33,0)))*(1-IF(AND(ArtifactsInput!$M$27,Inputs!$B$4="Chapter Hunt"),CHOOSE(ArtifactsInput!$N$27+1,20,24,28,32,36,40),0)/100)),0)</f>
        <v/>
      </c>
      <c r="R1573">
        <f>IF(AND(Inputs!$B$39&lt;&gt;"pvp",Inputs!$B$44&gt;0),IF(Inputs!$B$44&lt;=0,0,(INT(Inputs!$B$44/(IF(Inputs!$B$39="pvp",15,MAX(0.1,Skills!D5-IF(Skills!E5=TRUE,Inputs!$B$33,0)))*(1-IF(AND(ArtifactsInput!$M$27,Inputs!$B$4="Chapter Hunt"),CHOOSE(ArtifactsInput!$N$27+1,20,24,28,32,36,40),0)/100)))+1)),0)</f>
        <v/>
      </c>
      <c r="S1573" t="n">
        <v>0</v>
      </c>
      <c r="U1573" t="n">
        <v>0</v>
      </c>
    </row>
    <row r="1574">
      <c r="A1574">
        <f>Skills!A6</f>
        <v/>
      </c>
      <c r="B1574">
        <f>Skills!B6</f>
        <v/>
      </c>
      <c r="C1574">
        <f>Inputs!$B$3&gt;=103</f>
        <v/>
      </c>
      <c r="D1574">
        <f>IF(Skills!C6=1,60+Inputs!$B$26+Inputs!$B$30,IF(Skills!C6=2,90+Inputs!$B$27+Inputs!$B$30,IF(Skills!C6=3,120+Inputs!$B$28+Inputs!$B$30,MAX(0,(Inputs!$B$3-100)*3)+Inputs!$B$29+Inputs!$B$30)))</f>
        <v/>
      </c>
      <c r="E1574">
        <f>INDEX(FactorTable!$B$2:$Y$301, MATCH(ROUND(MIN(300,MAX(1,D1574)),0), FactorTable!$A$2:$A$301,0), Skills!L6+1)</f>
        <v/>
      </c>
      <c r="F1574">
        <f>IF(Skills!M6=TRUE,(Skills!K6/10)*(E1574/1000),Skills!K6/10)+Skills!N6</f>
        <v/>
      </c>
      <c r="G1574">
        <f>Calc!G6</f>
        <v/>
      </c>
      <c r="H1574">
        <f>Calc!H6</f>
        <v/>
      </c>
      <c r="I1574">
        <f>IF(Skills!T6&lt;&gt;"",1+(Skills!T6/10)*($Z$3/1000)/100,1)</f>
        <v/>
      </c>
      <c r="J1574">
        <f>((Inputs!$B$6*(1+Inputs!$B$7/100))+(((Inputs!$B$13*(1+Inputs!$B$14/100))-(Inputs!$B$13*(1+Inputs!$B$14/100)))+0.25*(Inputs!$B$15-Inputs!$B$15))*(1+Inputs!$B$7/100))*(F1574/100)</f>
        <v/>
      </c>
      <c r="K1574">
        <f>J1574*(1+(((Inputs!$B$13+IF(Inputs!$B$3&gt;=35,(10*INDEX(FactorTable!$B$2:$Y$301,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6="TRIUMPH_FEATHER",IF(C1584=TRUE,F1584,0),0)/100)*(1+IF(C1595=TRUE,F1595,0)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1574)</f>
        <v/>
      </c>
      <c r="L1574">
        <f>K1574*(MIN(Inputs!$B$23+(F1590-Calc!F22),(Inputs!$B$24+IF(ArtifactsInput!$M$15,CHOOSE(ArtifactsInput!$N$15+1,25,30,35,40,45,50)/100*(Inputs!$B$12-Inputs!$B$12),0)))/100+(Inputs!$B$24+IF(ArtifactsInput!$M$15,CHOOSE(ArtifactsInput!$N$15+1,25,30,35,40,45,50)/100*(Inputs!$B$12-Inputs!$B$12),0))/100)/2</f>
        <v/>
      </c>
      <c r="M1574">
        <f>L1574*(1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4">
        <f>L1574*(1-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1574*(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4">
        <f>(1-Summary!$B$11)*S1574+Summary!$B$11*U1574</f>
        <v/>
      </c>
      <c r="P1574">
        <f>IF(B1610=0,0,O1574/B1610)</f>
        <v/>
      </c>
      <c r="Q1574">
        <f>IFERROR(1/(IF(Inputs!$B$39="pvp",15,MAX(0.1,Skills!D6-IF(Skills!E6=TRUE,Inputs!$B$33,0)))*(1-IF(AND(ArtifactsInput!$M$27,Inputs!$B$4="Chapter Hunt"),CHOOSE(ArtifactsInput!$N$27+1,20,24,28,32,36,40),0)/100)),0)</f>
        <v/>
      </c>
      <c r="R1574">
        <f>IF(AND(Inputs!$B$39&lt;&gt;"pvp",Inputs!$B$44&gt;0),IF(MAX(0,Inputs!$B$44-B1607)&lt;=0,0,(INT(MAX(0,Inputs!$B$44-B1607)/(IF(Inputs!$B$39="pvp",15,MAX(0.1,Skills!D6-IF(Skills!E6=TRUE,Inputs!$B$33,0)))*(1-IF(AND(ArtifactsInput!$M$27,Inputs!$B$4="Chapter Hunt"),CHOOSE(ArtifactsInput!$N$27+1,20,24,28,32,36,40),0)/100)))+1)),0)</f>
        <v/>
      </c>
      <c r="S1574">
        <f>IF(C1574,(H1574*N1574*IF(AND(Inputs!$B$39&lt;&gt;"pvp",Inputs!$B$44&gt;0),((Skills!F6*((R1574-1)*IF(Skills!G6&gt;0,Skills!H6/Skills!G6,1)+IF(Skills!G6&gt;0,MIN(Skills!H6,MAX(0,MAX(0,Inputs!$B$44-B1607)-((R1574-1)*(IF(Inputs!$B$39="pvp",15,MAX(0.1,Skills!D6-IF(Skills!E6=TRUE,Inputs!$B$33,0)))*(1-IF(AND(ArtifactsInput!$M$27,Inputs!$B$4="Chapter Hunt"),CHOOSE(ArtifactsInput!$N$27+1,20,24,28,32,36,40),0)/100)))))/Skills!G6,1)))/Inputs!$B$44),G1574*Q1574))*IF(Inputs!$B$39="pvp",1,1+(Inputs!$B$21+Skills!O6+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1574*(1-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1574*(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1574*(1-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1574*(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4">
        <f>IF(C1574,(H1574*N1574*IF(AND(Inputs!$B$39&lt;&gt;"pvp",Inputs!$B$44&gt;0),((Skills!F6*((R1574-1)*IF(Skills!G6&gt;0,Skills!H6/Skills!G6,1)+IF(Skills!G6&gt;0,MIN(Skills!H6,MAX(0,MAX(0,Inputs!$B$44-B1607)-((R1574-1)*(IF(Inputs!$B$39="pvp",15,MAX(0.1,Skills!D6-IF(Skills!E6=TRUE,Inputs!$B$33,0)))*(1-IF(AND(ArtifactsInput!$M$27,Inputs!$B$4="Chapter Hunt"),CHOOSE(ArtifactsInput!$N$27+1,20,24,28,32,36,40),0)/100)))))/Skills!G6,1)))/Inputs!$B$44),G1574*Q1574))*IF(Inputs!$B$39="pvp",1,(1+(Inputs!$B$22+Skills!P6+B1599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5">
      <c r="A1575">
        <f>Skills!A7</f>
        <v/>
      </c>
      <c r="B1575">
        <f>Skills!B7</f>
        <v/>
      </c>
      <c r="C1575">
        <f>Inputs!$B$3&gt;=122</f>
        <v/>
      </c>
      <c r="D1575">
        <f>IF(Skills!C7=1,60+Inputs!$B$26+Inputs!$B$30,IF(Skills!C7=2,90+Inputs!$B$27+Inputs!$B$30,IF(Skills!C7=3,120+Inputs!$B$28+Inputs!$B$30,MAX(0,(Inputs!$B$3-100)*3)+Inputs!$B$29+Inputs!$B$30)))</f>
        <v/>
      </c>
      <c r="E1575">
        <f>INDEX(FactorTable!$B$2:$Y$301, MATCH(ROUND(MIN(300,MAX(1,D1575)),0), FactorTable!$A$2:$A$301,0), Skills!L7+1)</f>
        <v/>
      </c>
      <c r="F1575">
        <f>IF(Skills!M7=TRUE,(Skills!K7/10)*(E1575/1000),Skills!K7/10)+Skills!N7</f>
        <v/>
      </c>
      <c r="G1575">
        <f>Calc!G7</f>
        <v/>
      </c>
      <c r="H1575">
        <f>Calc!H7</f>
        <v/>
      </c>
      <c r="I1575">
        <f>IF(Skills!T7&lt;&gt;"",1+(Skills!T7/10)*($Z$3/1000)/100,1)</f>
        <v/>
      </c>
      <c r="J1575">
        <f>((Inputs!$B$6*(1+Inputs!$B$7/100))+(((Inputs!$B$13*(1+Inputs!$B$14/100))-(Inputs!$B$13*(1+Inputs!$B$14/100)))+0.25*(Inputs!$B$15-Inputs!$B$15))*(1+Inputs!$B$7/100))*(F1575/100)</f>
        <v/>
      </c>
      <c r="K1575">
        <f>J1575*(1+(((Inputs!$B$13+IF(Inputs!$B$3&gt;=35,(10*INDEX(FactorTable!$B$2:$Y$301,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7="TRIUMPH_FEATHER",IF(C1584=TRUE,F1584,0),0)/100)*(1+IF(C1595=TRUE,F1595,0)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1575)</f>
        <v/>
      </c>
      <c r="L1575">
        <f>K1575*(MIN(Inputs!$B$23+(F1590-Calc!F22),(Inputs!$B$24+IF(ArtifactsInput!$M$15,CHOOSE(ArtifactsInput!$N$15+1,25,30,35,40,45,50)/100*(Inputs!$B$12-Inputs!$B$12),0)))/100+(Inputs!$B$24+IF(ArtifactsInput!$M$15,CHOOSE(ArtifactsInput!$N$15+1,25,30,35,40,45,50)/100*(Inputs!$B$12-Inputs!$B$12),0))/100)/2</f>
        <v/>
      </c>
      <c r="M1575">
        <f>L1575*(1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5">
        <f>L1575*(1-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1575*(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5">
        <f>(1-Summary!$B$11)*S1575+Summary!$B$11*U1575</f>
        <v/>
      </c>
      <c r="P1575">
        <f>IF(B1610=0,0,O1575/B1610)</f>
        <v/>
      </c>
      <c r="Q1575">
        <f>IFERROR(1/(IF(Inputs!$B$39="pvp",15,MAX(0.1,Skills!D7-IF(Skills!E6=TRUE,Inputs!$B$33,0)))*(1-IF(AND(ArtifactsInput!$M$27,Inputs!$B$4="Chapter Hunt"),CHOOSE(ArtifactsInput!$N$27+1,20,24,28,32,36,40),0)/100)),0)</f>
        <v/>
      </c>
      <c r="R1575">
        <f>IF(AND(Inputs!$B$39&lt;&gt;"pvp",Inputs!$B$44&gt;0),IF(MAX(0,Inputs!$B$44-B1607)&lt;=0,0,(INT(MAX(0,Inputs!$B$44-B1607)/(IF(Inputs!$B$39="pvp",15,MAX(0.1,Skills!D7-IF(Skills!E6=TRUE,Inputs!$B$33,0)))*(1-IF(AND(ArtifactsInput!$M$27,Inputs!$B$4="Chapter Hunt"),CHOOSE(ArtifactsInput!$N$27+1,20,24,28,32,36,40),0)/100)))+1)),0)</f>
        <v/>
      </c>
      <c r="S1575">
        <f>IF(C1575,H1575*N1575*IF(AND(Inputs!$B$39&lt;&gt;"pvp",Inputs!$B$44&gt;0),((Skills!F7*((R1575-1)*IF(Skills!G7&gt;0,Skills!H7/Skills!G7,1)+IF(Skills!G7&gt;0,MIN(Skills!H7,MAX(0,MAX(0,Inputs!$B$44-B1607)-((R1575-1)*(IF(Inputs!$B$39="pvp",15,MAX(0.1,Skills!D7-IF(Skills!E6=TRUE,Inputs!$B$33,0)))*(1-IF(AND(ArtifactsInput!$M$27,Inputs!$B$4="Chapter Hunt"),CHOOSE(ArtifactsInput!$N$27+1,20,24,28,32,36,40),0)/100)))))/Skills!G7,1)))/Inputs!$B$44),G1575*Q1575)*IF(Inputs!$B$39="pvp",1,1+(Inputs!$B$21+Skills!O7+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1575*(1-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1575*(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1575*(1-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1575*(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5" t="n">
        <v>0</v>
      </c>
    </row>
    <row r="1576">
      <c r="A1576">
        <f>Skills!A8</f>
        <v/>
      </c>
      <c r="B1576">
        <f>Skills!B8</f>
        <v/>
      </c>
      <c r="C1576">
        <f>Inputs!$B$3&gt;=105</f>
        <v/>
      </c>
      <c r="D1576">
        <f>IF(Skills!C8=1,60+Inputs!$B$26+Inputs!$B$30,IF(Skills!C8=2,90+Inputs!$B$27+Inputs!$B$30,IF(Skills!C8=3,120+Inputs!$B$28+Inputs!$B$30,MAX(0,(Inputs!$B$3-100)*3)+Inputs!$B$29+Inputs!$B$30)))</f>
        <v/>
      </c>
      <c r="E1576">
        <f>INDEX(FactorTable!$B$2:$Y$301, MATCH(ROUND(MIN(300,MAX(1,D1576)),0), FactorTable!$A$2:$A$301,0), Skills!L8+1)</f>
        <v/>
      </c>
      <c r="F1576">
        <f>IF(Skills!M8=TRUE,(Skills!K8/10)*(E1576/1000),Skills!K8/10)+Skills!N8</f>
        <v/>
      </c>
      <c r="G1576">
        <f>Calc!G8</f>
        <v/>
      </c>
      <c r="H1576">
        <f>Calc!H8</f>
        <v/>
      </c>
      <c r="I1576">
        <f>IF(Skills!T8&lt;&gt;"",1+(Skills!T8/10)*($Z$3/1000)/100,1)</f>
        <v/>
      </c>
      <c r="J1576">
        <f>((Inputs!$B$6*(1+Inputs!$B$7/100))+(((Inputs!$B$13*(1+Inputs!$B$14/100))-(Inputs!$B$13*(1+Inputs!$B$14/100)))+0.25*(Inputs!$B$15-Inputs!$B$15))*(1+Inputs!$B$7/100))*(F1576/100)</f>
        <v/>
      </c>
      <c r="K1576">
        <f>J1576*(1+(((Inputs!$B$13+IF(Inputs!$B$3&gt;=35,(10*INDEX(FactorTable!$B$2:$Y$301,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8="TRIUMPH_FEATHER",IF(C1584=TRUE,F1584,0),0)/100)*(1+IF(C1595=TRUE,F1595,0)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1576)</f>
        <v/>
      </c>
      <c r="L1576">
        <f>K1576*(MIN(Inputs!$B$23+(F1590-Calc!F22),(Inputs!$B$24+IF(ArtifactsInput!$M$15,CHOOSE(ArtifactsInput!$N$15+1,25,30,35,40,45,50)/100*(Inputs!$B$12-Inputs!$B$12),0)))/100+(Inputs!$B$24+IF(ArtifactsInput!$M$15,CHOOSE(ArtifactsInput!$N$15+1,25,30,35,40,45,50)/100*(Inputs!$B$12-Inputs!$B$12),0))/100)/2</f>
        <v/>
      </c>
      <c r="M1576">
        <f>L1576*(1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6">
        <f>L1576*(1-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1576*(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6">
        <f>(1-Summary!$B$11)*S1576+Summary!$B$11*U1576</f>
        <v/>
      </c>
      <c r="P1576">
        <f>IF(B1610=0,0,O1576/B1610)</f>
        <v/>
      </c>
      <c r="Q1576">
        <f>IFERROR(1/(IF(Inputs!$B$39="pvp",15,MAX(0.1,Skills!D8-IF(Skills!E8=TRUE,Inputs!$B$33,0)))*(1-IF(AND(ArtifactsInput!$M$27,Inputs!$B$4="Chapter Hunt"),CHOOSE(ArtifactsInput!$N$27+1,20,24,28,32,36,40),0)/100)),0)</f>
        <v/>
      </c>
      <c r="R1576">
        <f>IF(AND(Inputs!$B$39&lt;&gt;"pvp",Inputs!$B$44&gt;0),IF(MAX(0,Inputs!$B$44-B1607)&lt;=0,0,(INT(MAX(0,Inputs!$B$44-B1607)/(IF(Inputs!$B$39="pvp",15,MAX(0.1,Skills!D8-IF(Skills!E8=TRUE,Inputs!$B$33,0)))*(1-IF(AND(ArtifactsInput!$M$27,Inputs!$B$4="Chapter Hunt"),CHOOSE(ArtifactsInput!$N$27+1,20,24,28,32,36,40),0)/100)))+1)),0)</f>
        <v/>
      </c>
      <c r="S1576">
        <f>IF(C1576,(H1576*N1576*IF(AND(Inputs!$B$39&lt;&gt;"pvp",Inputs!$B$44&gt;0),((Skills!F8*((R1576-1)*IF(Skills!G8&gt;0,Skills!H8/Skills!G8,1)+IF(Skills!G8&gt;0,MIN(Skills!H8,MAX(0,MAX(0,Inputs!$B$44-B1607)-((R1576-1)*(IF(Inputs!$B$39="pvp",15,MAX(0.1,Skills!D8-IF(Skills!E8=TRUE,Inputs!$B$33,0)))*(1-IF(AND(ArtifactsInput!$M$27,Inputs!$B$4="Chapter Hunt"),CHOOSE(ArtifactsInput!$N$27+1,20,24,28,32,36,40),0)/100)))))/Skills!G8,1)))/Inputs!$B$44),G1576*Q1576))*IF(Inputs!$B$39="pvp",1,1+(Inputs!$B$21+Skills!O8+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1576*(1-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1576*(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1576*(1-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1576*(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6">
        <f>IF(C1576,(H1576*N1576*IF(AND(Inputs!$B$39&lt;&gt;"pvp",Inputs!$B$44&gt;0),((Skills!F8*((R1576-1)*IF(Skills!G8&gt;0,Skills!H8/Skills!G8,1)+IF(Skills!G8&gt;0,MIN(Skills!H8,MAX(0,MAX(0,Inputs!$B$44-B1607)-((R1576-1)*(IF(Inputs!$B$39="pvp",15,MAX(0.1,Skills!D8-IF(Skills!E8=TRUE,Inputs!$B$33,0)))*(1-IF(AND(ArtifactsInput!$M$27,Inputs!$B$4="Chapter Hunt"),CHOOSE(ArtifactsInput!$N$27+1,20,24,28,32,36,40),0)/100)))))/Skills!G8,1)))/Inputs!$B$44),G1576*Q1576))*IF(Inputs!$B$39="pvp",1,(1+(Inputs!$B$22+Skills!P8+B1599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7">
      <c r="A1577">
        <f>Skills!A9</f>
        <v/>
      </c>
      <c r="B1577">
        <f>Skills!B9</f>
        <v/>
      </c>
      <c r="C1577">
        <f>Inputs!$B$3&gt;=115</f>
        <v/>
      </c>
      <c r="D1577">
        <f>IF(Skills!C9=1,60+Inputs!$B$26+Inputs!$B$30,IF(Skills!C9=2,90+Inputs!$B$27+Inputs!$B$30,IF(Skills!C9=3,120+Inputs!$B$28+Inputs!$B$30,MAX(0,(Inputs!$B$3-100)*3)+Inputs!$B$29+Inputs!$B$30)))</f>
        <v/>
      </c>
      <c r="E1577">
        <f>INDEX(FactorTable!$B$2:$Y$301, MATCH(ROUND(MIN(300,MAX(1,D1577)),0), FactorTable!$A$2:$A$301,0), Skills!L9+1)</f>
        <v/>
      </c>
      <c r="F1577">
        <f>IF(Skills!M9=TRUE,(Skills!K9/10)*(E1577/1000),Skills!K9/10)+Skills!N9</f>
        <v/>
      </c>
      <c r="G1577">
        <f>Calc!G9</f>
        <v/>
      </c>
      <c r="H1577">
        <f>Calc!H9</f>
        <v/>
      </c>
      <c r="I1577">
        <f>IF(Skills!T9&lt;&gt;"",1+(Skills!T9/10)*($Z$3/1000)/100,1)</f>
        <v/>
      </c>
      <c r="J1577">
        <f>((Inputs!$B$6*(1+Inputs!$B$7/100))+(((Inputs!$B$13*(1+Inputs!$B$14/100))-(Inputs!$B$13*(1+Inputs!$B$14/100)))+0.25*(Inputs!$B$15-Inputs!$B$15))*(1+Inputs!$B$7/100))*(F1577/100)</f>
        <v/>
      </c>
      <c r="K1577">
        <f>J1577*(1+(((Inputs!$B$13+IF(Inputs!$B$3&gt;=35,(10*INDEX(FactorTable!$B$2:$Y$301,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9="TRIUMPH_FEATHER",IF(C1584=TRUE,F1584,0),0)/100)*(1+IF(C1595=TRUE,F1595,0)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1577)</f>
        <v/>
      </c>
      <c r="L1577">
        <f>K1577*(MIN(Inputs!$B$23+(F1590-Calc!F22),(Inputs!$B$24+IF(ArtifactsInput!$M$15,CHOOSE(ArtifactsInput!$N$15+1,25,30,35,40,45,50)/100*(Inputs!$B$12-Inputs!$B$12),0)))/100+(Inputs!$B$24+IF(ArtifactsInput!$M$15,CHOOSE(ArtifactsInput!$N$15+1,25,30,35,40,45,50)/100*(Inputs!$B$12-Inputs!$B$12),0))/100)/2</f>
        <v/>
      </c>
      <c r="M1577">
        <f>L1577*(1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7">
        <f>L1577*(1-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1577*(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7">
        <f>(1-Summary!$B$11)*S1577+Summary!$B$11*U1577</f>
        <v/>
      </c>
      <c r="P1577">
        <f>IF(B1610=0,0,O1577/B1610)</f>
        <v/>
      </c>
      <c r="Q1577">
        <f>IFERROR(1/(IF(Inputs!$B$39="pvp",15,MAX(0.1,Skills!D9-IF(Skills!E9=TRUE,Inputs!$B$33,0)))*(1-IF(AND(ArtifactsInput!$M$27,Inputs!$B$4="Chapter Hunt"),CHOOSE(ArtifactsInput!$N$27+1,20,24,28,32,36,40),0)/100)),0)</f>
        <v/>
      </c>
      <c r="R1577">
        <f>IF(AND(Inputs!$B$39&lt;&gt;"pvp",Inputs!$B$44&gt;0),IF(MAX(0,Inputs!$B$44-B1607)&lt;=0,0,(INT(MAX(0,Inputs!$B$44-B1607)/(IF(Inputs!$B$39="pvp",15,MAX(0.1,Skills!D9-IF(Skills!E9=TRUE,Inputs!$B$33,0)))*(1-IF(AND(ArtifactsInput!$M$27,Inputs!$B$4="Chapter Hunt"),CHOOSE(ArtifactsInput!$N$27+1,20,24,28,32,36,40),0)/100)))+1)),0)</f>
        <v/>
      </c>
      <c r="S1577">
        <f>IF(C1577,(H1577*N1577*IF(AND(Inputs!$B$39&lt;&gt;"pvp",Inputs!$B$44&gt;0),((Skills!F9*((R1577-1)*IF(Skills!G9&gt;0,Skills!H9/Skills!G9,1)+IF(Skills!G9&gt;0,MIN(Skills!H9,MAX(0,MAX(0,Inputs!$B$44-B1607)-((R1577-1)*(IF(Inputs!$B$39="pvp",15,MAX(0.1,Skills!D9-IF(Skills!E9=TRUE,Inputs!$B$33,0)))*(1-IF(AND(ArtifactsInput!$M$27,Inputs!$B$4="Chapter Hunt"),CHOOSE(ArtifactsInput!$N$27+1,20,24,28,32,36,40),0)/100)))))/Skills!G9,1)))/Inputs!$B$44),G1577*Q1577))*IF(Inputs!$B$39="pvp",1,1+(Inputs!$B$21+Skills!O9+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1577*(1-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1577*(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1577*(1-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1577*(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7">
        <f>IF(C1577,(H1577*N1577*IF(AND(Inputs!$B$39&lt;&gt;"pvp",Inputs!$B$44&gt;0),((Skills!F9*((R1577-1)*IF(Skills!G9&gt;0,Skills!H9/Skills!G9,1)+IF(Skills!G9&gt;0,MIN(Skills!H9,MAX(0,MAX(0,Inputs!$B$44-B1607)-((R1577-1)*(IF(Inputs!$B$39="pvp",15,MAX(0.1,Skills!D9-IF(Skills!E9=TRUE,Inputs!$B$33,0)))*(1-IF(AND(ArtifactsInput!$M$27,Inputs!$B$4="Chapter Hunt"),CHOOSE(ArtifactsInput!$N$27+1,20,24,28,32,36,40),0)/100)))))/Skills!G9,1)))/Inputs!$B$44),G1577*Q1577))*IF(Inputs!$B$39="pvp",1,(1+(Inputs!$B$22+Skills!P9+B1599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8">
      <c r="A1578">
        <f>Skills!A10</f>
        <v/>
      </c>
      <c r="B1578">
        <f>Skills!B10</f>
        <v/>
      </c>
      <c r="C1578">
        <f>Inputs!$B$3&gt;=66</f>
        <v/>
      </c>
      <c r="D1578">
        <f>IF(Skills!C10=1,60+Inputs!$B$26+Inputs!$B$30,IF(Skills!C10=2,90+Inputs!$B$27+Inputs!$B$30,IF(Skills!C10=3,120+Inputs!$B$28+Inputs!$B$30,MAX(0,(Inputs!$B$3-100)*3)+Inputs!$B$29+Inputs!$B$30)))</f>
        <v/>
      </c>
      <c r="E1578">
        <f>INDEX(FactorTable!$B$2:$Y$301, MATCH(ROUND(MIN(300,MAX(1,D1578)),0), FactorTable!$A$2:$A$301,0), Skills!L10+1)</f>
        <v/>
      </c>
      <c r="F1578" t="n">
        <v>0</v>
      </c>
      <c r="G1578">
        <f>Calc!G10</f>
        <v/>
      </c>
      <c r="H1578">
        <f>Calc!H10</f>
        <v/>
      </c>
      <c r="I1578">
        <f>IF(Skills!T10&lt;&gt;"",1+(Skills!T10/10)*($Z$3/1000)/100,1)</f>
        <v/>
      </c>
      <c r="J1578" t="inlineStr"/>
      <c r="K1578" t="inlineStr"/>
      <c r="L1578" t="inlineStr"/>
      <c r="M1578" t="inlineStr"/>
      <c r="N1578" t="inlineStr"/>
      <c r="O1578">
        <f>(1-Summary!$B$11)*S1578+Summary!$B$11*U1578</f>
        <v/>
      </c>
      <c r="P1578">
        <f>IF(B1610=0,0,O1578/B1610)</f>
        <v/>
      </c>
      <c r="Q1578">
        <f>IFERROR(1/(IF(Inputs!$B$39="pvp",15,MAX(0.1,Skills!D10-IF(Skills!E10=TRUE,Inputs!$B$33,0)))*(1-IF(AND(ArtifactsInput!$M$27,Inputs!$B$4="Chapter Hunt"),CHOOSE(ArtifactsInput!$N$27+1,20,24,28,32,36,40),0)/100)),0)</f>
        <v/>
      </c>
      <c r="R1578">
        <f>IF(AND(Inputs!$B$39&lt;&gt;"pvp",Inputs!$B$44&gt;0),IF(MAX(0,Inputs!$B$44-B1607)&lt;=0,0,(INT(MAX(0,Inputs!$B$44-B1607)/(IF(Inputs!$B$39="pvp",15,MAX(0.1,Skills!D10-IF(Skills!E10=TRUE,Inputs!$B$33,0)))*(1-IF(AND(ArtifactsInput!$M$27,Inputs!$B$4="Chapter Hunt"),CHOOSE(ArtifactsInput!$N$27+1,20,24,28,32,36,40),0)/100)))+1)),0)</f>
        <v/>
      </c>
      <c r="S1578" t="n">
        <v>0</v>
      </c>
      <c r="U1578" t="n">
        <v>0</v>
      </c>
    </row>
    <row r="1579">
      <c r="A1579">
        <f>Skills!A11</f>
        <v/>
      </c>
      <c r="B1579">
        <f>Skills!B11</f>
        <v/>
      </c>
      <c r="C1579">
        <f>Inputs!$B$3&gt;=69</f>
        <v/>
      </c>
      <c r="D1579">
        <f>IF(Skills!C11=1,60+Inputs!$B$26+Inputs!$B$30,IF(Skills!C11=2,90+Inputs!$B$27+Inputs!$B$30,IF(Skills!C11=3,120+Inputs!$B$28+Inputs!$B$30,MAX(0,(Inputs!$B$3-100)*3)+Inputs!$B$29+Inputs!$B$30)))</f>
        <v/>
      </c>
      <c r="E1579">
        <f>INDEX(FactorTable!$B$2:$Y$301, MATCH(ROUND(MIN(300,MAX(1,D1579)),0), FactorTable!$A$2:$A$301,0), Skills!L11+1)</f>
        <v/>
      </c>
      <c r="F1579">
        <f>IF(Skills!M11=TRUE,(Skills!K11/10)*(E1579/1000),Skills!K11/10)+Skills!N11</f>
        <v/>
      </c>
      <c r="G1579">
        <f>Calc!G11</f>
        <v/>
      </c>
      <c r="H1579">
        <f>Calc!H11</f>
        <v/>
      </c>
      <c r="I1579">
        <f>IF(Skills!T11&lt;&gt;"",1+(Skills!T11/10)*($Z$3/1000)/100,1)</f>
        <v/>
      </c>
      <c r="J1579" t="inlineStr"/>
      <c r="K1579" t="inlineStr"/>
      <c r="L1579" t="inlineStr"/>
      <c r="M1579" t="inlineStr"/>
      <c r="N1579" t="inlineStr"/>
      <c r="O1579">
        <f>(1-Summary!$B$11)*S1579+Summary!$B$11*U1579</f>
        <v/>
      </c>
      <c r="P1579">
        <f>IF(B1610=0,0,O1579/B1610)</f>
        <v/>
      </c>
      <c r="Q1579">
        <f>IFERROR(1/(IF(Inputs!$B$39="pvp",15,MAX(0.1,Skills!D11-IF(Skills!E11=TRUE,Inputs!$B$33,0)))*(1-IF(AND(ArtifactsInput!$M$27,Inputs!$B$4="Chapter Hunt"),CHOOSE(ArtifactsInput!$N$27+1,20,24,28,32,36,40),0)/100)),0)</f>
        <v/>
      </c>
      <c r="R1579">
        <f>IF(AND(Inputs!$B$39&lt;&gt;"pvp",Inputs!$B$44&gt;0),IF(Inputs!$B$44&lt;=0,0,(INT(Inputs!$B$44/(IF(Inputs!$B$39="pvp",15,MAX(0.1,Skills!D11-IF(Skills!E11=TRUE,Inputs!$B$33,0)))*(1-IF(AND(ArtifactsInput!$M$27,Inputs!$B$4="Chapter Hunt"),CHOOSE(ArtifactsInput!$N$27+1,20,24,28,32,36,40),0)/100)))+1)),0)</f>
        <v/>
      </c>
      <c r="S1579" t="n">
        <v>0</v>
      </c>
      <c r="U1579" t="n">
        <v>0</v>
      </c>
    </row>
    <row r="1580">
      <c r="A1580">
        <f>Skills!A12</f>
        <v/>
      </c>
      <c r="B1580">
        <f>Skills!B12</f>
        <v/>
      </c>
      <c r="C1580">
        <f>Inputs!$B$3&gt;=72</f>
        <v/>
      </c>
      <c r="D1580">
        <f>IF(Skills!C12=1,60+Inputs!$B$26+Inputs!$B$30,IF(Skills!C12=2,90+Inputs!$B$27+Inputs!$B$30,IF(Skills!C12=3,120+Inputs!$B$28+Inputs!$B$30,MAX(0,(Inputs!$B$3-100)*3)+Inputs!$B$29+Inputs!$B$30)))</f>
        <v/>
      </c>
      <c r="E1580">
        <f>INDEX(FactorTable!$B$2:$Y$301, MATCH(ROUND(MIN(300,MAX(1,D1580)),0), FactorTable!$A$2:$A$301,0), Skills!L12+1)</f>
        <v/>
      </c>
      <c r="F1580">
        <f>IF(Skills!M12=TRUE,(Skills!K12/10)*(E1580/1000),Skills!K12/10)+Skills!N12</f>
        <v/>
      </c>
      <c r="G1580">
        <f>Calc!G12</f>
        <v/>
      </c>
      <c r="H1580">
        <f>Calc!H12</f>
        <v/>
      </c>
      <c r="I1580">
        <f>IF(Skills!T12&lt;&gt;"",1+(Skills!T12/10)*($Z$3/1000)/100,1)</f>
        <v/>
      </c>
      <c r="J1580" t="inlineStr"/>
      <c r="K1580" t="inlineStr"/>
      <c r="L1580" t="inlineStr"/>
      <c r="M1580" t="inlineStr"/>
      <c r="N1580" t="inlineStr"/>
      <c r="O1580">
        <f>(1-Summary!$B$11)*S1580+Summary!$B$11*U1580</f>
        <v/>
      </c>
      <c r="P1580">
        <f>IF(B1610=0,0,O1580/B1610)</f>
        <v/>
      </c>
      <c r="Q1580">
        <f>IFERROR(1/(IF(Inputs!$B$39="pvp",15,MAX(0.1,Skills!D12-IF(Skills!E12=TRUE,Inputs!$B$33,0)))*(1-IF(AND(ArtifactsInput!$M$27,Inputs!$B$4="Chapter Hunt"),CHOOSE(ArtifactsInput!$N$27+1,20,24,28,32,36,40),0)/100)),0)</f>
        <v/>
      </c>
      <c r="R1580">
        <f>IF(AND(Inputs!$B$39&lt;&gt;"pvp",Inputs!$B$44&gt;0),IF(MAX(0,Inputs!$B$44-B1607)&lt;=0,0,(INT(MAX(0,Inputs!$B$44-B1607)/(IF(Inputs!$B$39="pvp",15,MAX(0.1,Skills!D12-IF(Skills!E12=TRUE,Inputs!$B$33,0)))*(1-IF(AND(ArtifactsInput!$M$27,Inputs!$B$4="Chapter Hunt"),CHOOSE(ArtifactsInput!$N$27+1,20,24,28,32,36,40),0)/100)))+1)),0)</f>
        <v/>
      </c>
      <c r="S1580" t="n">
        <v>0</v>
      </c>
      <c r="U1580" t="n">
        <v>0</v>
      </c>
    </row>
    <row r="1581">
      <c r="A1581">
        <f>Skills!A13</f>
        <v/>
      </c>
      <c r="B1581">
        <f>Skills!B13</f>
        <v/>
      </c>
      <c r="C1581">
        <f>Inputs!$B$3&gt;=60</f>
        <v/>
      </c>
      <c r="D1581">
        <f>IF(Skills!C13=1,60+Inputs!$B$26+Inputs!$B$30,IF(Skills!C13=2,90+Inputs!$B$27+Inputs!$B$30,IF(Skills!C13=3,120+Inputs!$B$28+Inputs!$B$30,MAX(0,(Inputs!$B$3-100)*3)+Inputs!$B$29+Inputs!$B$30)))</f>
        <v/>
      </c>
      <c r="E1581">
        <f>INDEX(FactorTable!$B$2:$Y$301, MATCH(ROUND(MIN(300,MAX(1,D1581)),0), FactorTable!$A$2:$A$301,0), Skills!L13+1)</f>
        <v/>
      </c>
      <c r="F1581">
        <f>IF(Skills!M13=TRUE,(Skills!K13/10)*(E1581/1000),Skills!K13/10)+Skills!N13</f>
        <v/>
      </c>
      <c r="G1581">
        <f>Calc!G13</f>
        <v/>
      </c>
      <c r="H1581">
        <f>Calc!H13</f>
        <v/>
      </c>
      <c r="I1581">
        <f>IF(Skills!T13&lt;&gt;"",1+(Skills!T13/10)*($Z$3/1000)/100,1)</f>
        <v/>
      </c>
      <c r="J1581" t="inlineStr"/>
      <c r="K1581" t="inlineStr"/>
      <c r="L1581" t="inlineStr"/>
      <c r="M1581" t="inlineStr"/>
      <c r="N1581" t="inlineStr"/>
      <c r="O1581">
        <f>(1-Summary!$B$11)*S1581+Summary!$B$11*U1581</f>
        <v/>
      </c>
      <c r="P1581">
        <f>IF(B1610=0,0,O1581/B1610)</f>
        <v/>
      </c>
      <c r="Q1581">
        <f>IFERROR(1/(IF(Inputs!$B$39="pvp",15,MAX(0.1,Skills!D13-IF(Skills!E13=TRUE,Inputs!$B$33,0)))*(1-IF(AND(ArtifactsInput!$M$27,Inputs!$B$4="Chapter Hunt"),CHOOSE(ArtifactsInput!$N$27+1,20,24,28,32,36,40),0)/100)),0)</f>
        <v/>
      </c>
      <c r="R1581">
        <f>IF(AND(Inputs!$B$39&lt;&gt;"pvp",Inputs!$B$44&gt;0),IF(MAX(0,Inputs!$B$44-B1607)&lt;=0,0,(INT(MAX(0,Inputs!$B$44-B1607)/(IF(Inputs!$B$39="pvp",15,MAX(0.1,Skills!D13-IF(Skills!E13=TRUE,Inputs!$B$33,0)))*(1-IF(AND(ArtifactsInput!$M$27,Inputs!$B$4="Chapter Hunt"),CHOOSE(ArtifactsInput!$N$27+1,20,24,28,32,36,40),0)/100)))+1)),0)</f>
        <v/>
      </c>
      <c r="S1581" t="n">
        <v>0</v>
      </c>
      <c r="U1581" t="n">
        <v>0</v>
      </c>
    </row>
    <row r="1582">
      <c r="A1582">
        <f>Skills!A14</f>
        <v/>
      </c>
      <c r="B1582">
        <f>Skills!B14</f>
        <v/>
      </c>
      <c r="C1582">
        <f>Inputs!$B$3&gt;=107</f>
        <v/>
      </c>
      <c r="D1582">
        <f>IF(Skills!C14=1,60+Inputs!$B$26+Inputs!$B$30,IF(Skills!C14=2,90+Inputs!$B$27+Inputs!$B$30,IF(Skills!C14=3,120+Inputs!$B$28+Inputs!$B$30,MAX(0,(Inputs!$B$3-100)*3)+Inputs!$B$29+Inputs!$B$30)))</f>
        <v/>
      </c>
      <c r="E1582">
        <f>INDEX(FactorTable!$B$2:$Y$301, MATCH(ROUND(MIN(300,MAX(1,D1582)),0), FactorTable!$A$2:$A$301,0), Skills!L14+1)</f>
        <v/>
      </c>
      <c r="F1582">
        <f>IF(Skills!M14=TRUE,(Skills!K14/10)*(E1582/1000),Skills!K14/10)+Skills!N14</f>
        <v/>
      </c>
      <c r="G1582">
        <f>Calc!G14</f>
        <v/>
      </c>
      <c r="H1582">
        <f>Calc!H14</f>
        <v/>
      </c>
      <c r="I1582">
        <f>IF(Skills!T14&lt;&gt;"",1+(Skills!T14/10)*($Z$3/1000)/100,1)</f>
        <v/>
      </c>
      <c r="J1582" t="inlineStr"/>
      <c r="K1582" t="inlineStr"/>
      <c r="L1582" t="inlineStr"/>
      <c r="M1582" t="inlineStr"/>
      <c r="N1582" t="inlineStr"/>
      <c r="O1582">
        <f>(1-Summary!$B$11)*S1582+Summary!$B$11*U1582</f>
        <v/>
      </c>
      <c r="P1582">
        <f>IF(B1610=0,0,O1582/B1610)</f>
        <v/>
      </c>
      <c r="Q1582">
        <f>IFERROR(1/(IF(Inputs!$B$39="pvp",15,MAX(0.1,Skills!D14-IF(Skills!E14=TRUE,Inputs!$B$33,0)))*(1-IF(AND(ArtifactsInput!$M$27,Inputs!$B$4="Chapter Hunt"),CHOOSE(ArtifactsInput!$N$27+1,20,24,28,32,36,40),0)/100)),0)</f>
        <v/>
      </c>
      <c r="R1582">
        <f>IF(AND(Inputs!$B$39&lt;&gt;"pvp",Inputs!$B$44&gt;0),IF(Inputs!$B$44&lt;=0,0,(INT(Inputs!$B$44/(IF(Inputs!$B$39="pvp",15,MAX(0.1,Skills!D14-IF(Skills!E14=TRUE,Inputs!$B$33,0)))*(1-IF(AND(ArtifactsInput!$M$27,Inputs!$B$4="Chapter Hunt"),CHOOSE(ArtifactsInput!$N$27+1,20,24,28,32,36,40),0)/100)))+1)),0)</f>
        <v/>
      </c>
      <c r="S1582" t="n">
        <v>0</v>
      </c>
      <c r="U1582" t="n">
        <v>0</v>
      </c>
    </row>
    <row r="1583">
      <c r="A1583">
        <f>Skills!A15</f>
        <v/>
      </c>
      <c r="B1583">
        <f>Skills!B15</f>
        <v/>
      </c>
      <c r="C1583">
        <f>Inputs!$B$3&gt;=63</f>
        <v/>
      </c>
      <c r="D1583">
        <f>IF(Skills!C15=1,60+Inputs!$B$26+Inputs!$B$30,IF(Skills!C15=2,90+Inputs!$B$27+Inputs!$B$30,IF(Skills!C15=3,120+Inputs!$B$28+Inputs!$B$30,MAX(0,(Inputs!$B$3-100)*3)+Inputs!$B$29+Inputs!$B$30)))</f>
        <v/>
      </c>
      <c r="E1583">
        <f>INDEX(FactorTable!$B$2:$Y$301, MATCH(ROUND(MIN(300,MAX(1,D1583)),0), FactorTable!$A$2:$A$301,0), Skills!L15+1)</f>
        <v/>
      </c>
      <c r="F1583">
        <f>IF(Skills!M15=TRUE,(Skills!K15/10)*(E1583/1000),Skills!K15/10)+Skills!N15</f>
        <v/>
      </c>
      <c r="G1583">
        <f>Calc!G15</f>
        <v/>
      </c>
      <c r="H1583">
        <f>Calc!H15</f>
        <v/>
      </c>
      <c r="I1583">
        <f>IF(Skills!T15&lt;&gt;"",1+(Skills!T15/10)*($Z$3/1000)/100,1)</f>
        <v/>
      </c>
      <c r="J1583">
        <f>((Inputs!$B$6*(1+Inputs!$B$7/100))+(((Inputs!$B$13*(1+Inputs!$B$14/100))-(Inputs!$B$13*(1+Inputs!$B$14/100)))+0.25*(Inputs!$B$15-Inputs!$B$15))*(1+Inputs!$B$7/100))*(F1583/100)</f>
        <v/>
      </c>
      <c r="K1583">
        <f>J1583*(1+(((Inputs!$B$13+IF(Inputs!$B$3&gt;=35,(10*INDEX(FactorTable!$B$2:$Y$301,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15="TRIUMPH_FEATHER",IF(C1584=TRUE,F1584,0),0)/100)*(1+IF(C1595=TRUE,F1595,0)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1583)</f>
        <v/>
      </c>
      <c r="L1583">
        <f>K1583*(MIN(Inputs!$B$23+(F1590-Calc!F22),(Inputs!$B$24+IF(ArtifactsInput!$M$15,CHOOSE(ArtifactsInput!$N$15+1,25,30,35,40,45,50)/100*(Inputs!$B$12-Inputs!$B$12),0)))/100+(Inputs!$B$24+IF(ArtifactsInput!$M$15,CHOOSE(ArtifactsInput!$N$15+1,25,30,35,40,45,50)/100*(Inputs!$B$12-Inputs!$B$12),0))/100)/2</f>
        <v/>
      </c>
      <c r="M1583">
        <f>L1583*(1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83">
        <f>L1583*(1-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1583*(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3">
        <f>(1-Summary!$B$11)*S1583+Summary!$B$11*U1583</f>
        <v/>
      </c>
      <c r="P1583">
        <f>IF(B1610=0,0,O1583/B1610)</f>
        <v/>
      </c>
      <c r="Q1583">
        <f>IFERROR(1/(IF(Inputs!$B$39="pvp",15,MAX(0.1,Skills!D15-IF(Skills!E15=TRUE,Inputs!$B$33,0)))*(1-IF(AND(ArtifactsInput!$M$27,Inputs!$B$4="Chapter Hunt"),CHOOSE(ArtifactsInput!$N$27+1,20,24,28,32,36,40),0)/100)),0)</f>
        <v/>
      </c>
      <c r="R1583" t="n">
        <v>0</v>
      </c>
      <c r="S1583">
        <f>IF(C1583,(Skills!F15*N1583*((IF(Inputs!$B$3&gt;=78,25,15)/100*B1603*10)/(1+IF(Inputs!$B$3&gt;=78,25,15)/100*B1603*10))*(Skills!I15/100*B1603)/(1+Skills!G15*Skills!I15/100*B1603))*IF(Inputs!$B$39="pvp",1,1+(Inputs!$B$21+Skills!O15+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1583*(1-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1583*(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1583*(1-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1583*(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3">
        <f>IF(C1583,(Skills!F15*N1583*((IF(Inputs!$B$3&gt;=78,25,15)/100*B1603*10)/(1+IF(Inputs!$B$3&gt;=78,25,15)/100*B1603*10))*(Skills!I15/100*B1603)/(1+Skills!G15*Skills!I15/100*B1603))*IF(Inputs!$B$39="pvp",1,(1+(Inputs!$B$22+Skills!P15+B1599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4">
      <c r="A1584">
        <f>Skills!A16</f>
        <v/>
      </c>
      <c r="B1584">
        <f>Skills!B16</f>
        <v/>
      </c>
      <c r="C1584">
        <f>Inputs!$B$3&gt;=100</f>
        <v/>
      </c>
      <c r="D1584">
        <f>IF(Skills!C16=1,60+Inputs!$B$26+Inputs!$B$30,IF(Skills!C16=2,90+Inputs!$B$27+Inputs!$B$30,IF(Skills!C16=3,120+Inputs!$B$28+Inputs!$B$30,MAX(0,(Inputs!$B$3-100)*3)+Inputs!$B$29+Inputs!$B$30)))</f>
        <v/>
      </c>
      <c r="E1584">
        <f>INDEX(FactorTable!$B$2:$Y$301, MATCH(ROUND(MIN(300,MAX(1,D1584)),0), FactorTable!$A$2:$A$301,0), Skills!L16+1)</f>
        <v/>
      </c>
      <c r="F1584">
        <f>IF(Skills!M16=TRUE,(Skills!K16/10)*(E1584/1000),Skills!K16/10)+Skills!N16</f>
        <v/>
      </c>
      <c r="G1584">
        <f>Calc!G16</f>
        <v/>
      </c>
      <c r="H1584">
        <f>Calc!H16</f>
        <v/>
      </c>
      <c r="I1584">
        <f>IF(Skills!T16&lt;&gt;"",1+(Skills!T16/10)*($Z$3/1000)/100,1)</f>
        <v/>
      </c>
      <c r="J1584" t="inlineStr"/>
      <c r="K1584" t="inlineStr"/>
      <c r="L1584" t="inlineStr"/>
      <c r="M1584" t="inlineStr"/>
      <c r="N1584" t="inlineStr"/>
      <c r="O1584">
        <f>(1-Summary!$B$11)*S1584+Summary!$B$11*U1584</f>
        <v/>
      </c>
      <c r="P1584">
        <f>IF(B1610=0,0,O1584/B1610)</f>
        <v/>
      </c>
      <c r="Q1584">
        <f>IFERROR(1/(IF(Inputs!$B$39="pvp",15,MAX(0.1,Skills!D16-IF(Skills!E16=TRUE,Inputs!$B$33,0)))*(1-IF(AND(ArtifactsInput!$M$27,Inputs!$B$4="Chapter Hunt"),CHOOSE(ArtifactsInput!$N$27+1,20,24,28,32,36,40),0)/100)),0)</f>
        <v/>
      </c>
      <c r="R1584" t="n">
        <v>0</v>
      </c>
      <c r="S1584" t="n">
        <v>0</v>
      </c>
      <c r="U1584" t="n">
        <v>0</v>
      </c>
    </row>
    <row r="1585">
      <c r="A1585">
        <f>Skills!A17</f>
        <v/>
      </c>
      <c r="B1585">
        <f>Skills!B17</f>
        <v/>
      </c>
      <c r="C1585">
        <f>Inputs!$B$3&gt;=49</f>
        <v/>
      </c>
      <c r="D1585">
        <f>IF(Skills!C17=1,60+Inputs!$B$26+Inputs!$B$30,IF(Skills!C17=2,90+Inputs!$B$27+Inputs!$B$30,IF(Skills!C17=3,120+Inputs!$B$28+Inputs!$B$30,MAX(0,(Inputs!$B$3-100)*3)+Inputs!$B$29+Inputs!$B$30)))</f>
        <v/>
      </c>
      <c r="E1585">
        <f>INDEX(FactorTable!$B$2:$Y$301, MATCH(ROUND(MIN(300,MAX(1,D1585)),0), FactorTable!$A$2:$A$301,0), Skills!L17+1)</f>
        <v/>
      </c>
      <c r="F1585">
        <f>IF(Skills!M17=TRUE,(Skills!K17/10)*(E1585/1000),Skills!K17/10)+Skills!N17</f>
        <v/>
      </c>
      <c r="G1585">
        <f>Calc!G17</f>
        <v/>
      </c>
      <c r="H1585">
        <f>Calc!H17</f>
        <v/>
      </c>
      <c r="I1585">
        <f>IF(Skills!T17&lt;&gt;"",1+(Skills!T17/10)*($Z$3/1000)/100,1)</f>
        <v/>
      </c>
      <c r="J1585" t="inlineStr"/>
      <c r="K1585" t="inlineStr"/>
      <c r="L1585" t="inlineStr"/>
      <c r="M1585" t="inlineStr"/>
      <c r="N1585" t="inlineStr"/>
      <c r="O1585">
        <f>(1-Summary!$B$11)*S1585+Summary!$B$11*U1585</f>
        <v/>
      </c>
      <c r="P1585">
        <f>IF(B1610=0,0,O1585/B1610)</f>
        <v/>
      </c>
      <c r="Q1585">
        <f>IFERROR(1/(IF(Inputs!$B$39="pvp",15,MAX(0.1,Skills!D17-IF(Skills!E17=TRUE,Inputs!$B$33,0)))*(1-IF(AND(ArtifactsInput!$M$27,Inputs!$B$4="Chapter Hunt"),CHOOSE(ArtifactsInput!$N$27+1,20,24,28,32,36,40),0)/100)),0)</f>
        <v/>
      </c>
      <c r="R1585" t="n">
        <v>0</v>
      </c>
      <c r="S1585" t="n">
        <v>0</v>
      </c>
      <c r="U1585" t="n">
        <v>0</v>
      </c>
    </row>
    <row r="1586">
      <c r="A1586">
        <f>Skills!A18</f>
        <v/>
      </c>
      <c r="B1586">
        <f>Skills!B18</f>
        <v/>
      </c>
      <c r="C1586">
        <f>Inputs!$B$3&gt;=75</f>
        <v/>
      </c>
      <c r="D1586">
        <f>IF(Skills!C18=1,60+Inputs!$B$26+Inputs!$B$30,IF(Skills!C18=2,90+Inputs!$B$27+Inputs!$B$30,IF(Skills!C18=3,120+Inputs!$B$28+Inputs!$B$30,MAX(0,(Inputs!$B$3-100)*3)+Inputs!$B$29+Inputs!$B$30)))</f>
        <v/>
      </c>
      <c r="E1586">
        <f>INDEX(FactorTable!$B$2:$Y$301, MATCH(ROUND(MIN(300,MAX(1,D1586)),0), FactorTable!$A$2:$A$301,0), Skills!L18+1)</f>
        <v/>
      </c>
      <c r="F1586">
        <f>IF(Skills!M18=TRUE,(Skills!K18/10)*(E1586/1000),Skills!K18/10)+Skills!N18</f>
        <v/>
      </c>
      <c r="G1586">
        <f>Calc!G18</f>
        <v/>
      </c>
      <c r="H1586">
        <f>Calc!H18</f>
        <v/>
      </c>
      <c r="I1586">
        <f>IF(Skills!T18&lt;&gt;"",1+(Skills!T18/10)*($Z$3/1000)/100,1)</f>
        <v/>
      </c>
      <c r="J1586" t="inlineStr"/>
      <c r="K1586" t="inlineStr"/>
      <c r="L1586" t="inlineStr"/>
      <c r="M1586" t="inlineStr"/>
      <c r="N1586" t="inlineStr"/>
      <c r="O1586">
        <f>(1-Summary!$B$11)*S1586+Summary!$B$11*U1586</f>
        <v/>
      </c>
      <c r="P1586">
        <f>IF(B1610=0,0,O1586/B1610)</f>
        <v/>
      </c>
      <c r="Q1586">
        <f>IFERROR(1/(IF(Inputs!$B$39="pvp",15,MAX(0.1,Skills!D18-IF(Skills!E18=TRUE,Inputs!$B$33,0)))*(1-IF(AND(ArtifactsInput!$M$27,Inputs!$B$4="Chapter Hunt"),CHOOSE(ArtifactsInput!$N$27+1,20,24,28,32,36,40),0)/100)),0)</f>
        <v/>
      </c>
      <c r="R1586" t="n">
        <v>0</v>
      </c>
      <c r="S1586" t="n">
        <v>0</v>
      </c>
      <c r="U1586" t="n">
        <v>0</v>
      </c>
    </row>
    <row r="1587">
      <c r="A1587">
        <f>Skills!A19</f>
        <v/>
      </c>
      <c r="B1587">
        <f>Skills!B19</f>
        <v/>
      </c>
      <c r="C1587">
        <f>Inputs!$B$3&gt;=110</f>
        <v/>
      </c>
      <c r="D1587">
        <f>IF(Skills!C19=1,60+Inputs!$B$26+Inputs!$B$30,IF(Skills!C19=2,90+Inputs!$B$27+Inputs!$B$30,IF(Skills!C19=3,120+Inputs!$B$28+Inputs!$B$30,MAX(0,(Inputs!$B$3-100)*3)+Inputs!$B$29+Inputs!$B$30)))</f>
        <v/>
      </c>
      <c r="E1587">
        <f>INDEX(FactorTable!$B$2:$Y$301, MATCH(ROUND(MIN(300,MAX(1,D1587)),0), FactorTable!$A$2:$A$301,0), Skills!L19+1)</f>
        <v/>
      </c>
      <c r="F1587">
        <f>(Skills!K19/10)*(E1587/1000)*64/45+Skills!N19</f>
        <v/>
      </c>
      <c r="G1587">
        <f>Calc!G19</f>
        <v/>
      </c>
      <c r="H1587">
        <f>Calc!H19</f>
        <v/>
      </c>
      <c r="I1587">
        <f>IF(Skills!T19&lt;&gt;"",1+(Skills!T19/10)*($Z$3/1000)/100,1)</f>
        <v/>
      </c>
      <c r="J1587" t="inlineStr"/>
      <c r="K1587" t="inlineStr"/>
      <c r="L1587" t="inlineStr"/>
      <c r="M1587" t="inlineStr"/>
      <c r="N1587" t="inlineStr"/>
      <c r="O1587">
        <f>(1-Summary!$B$11)*S1587+Summary!$B$11*U1587</f>
        <v/>
      </c>
      <c r="P1587">
        <f>IF(B1610=0,0,O1587/B1610)</f>
        <v/>
      </c>
      <c r="Q1587">
        <f>IFERROR(1/(IF(Inputs!$B$39="pvp",15,MAX(0.1,Skills!D19-IF(Skills!E19=TRUE,Inputs!$B$33,0)))*(1-IF(AND(ArtifactsInput!$M$27,Inputs!$B$4="Chapter Hunt"),CHOOSE(ArtifactsInput!$N$27+1,20,24,28,32,36,40),0)/100)),0)</f>
        <v/>
      </c>
      <c r="R1587">
        <f>IF(AND(Inputs!$B$39&lt;&gt;"pvp",Inputs!$B$44&gt;0),IF(Inputs!$B$44&lt;=0,0,(INT(Inputs!$B$44/(IF(Inputs!$B$39="pvp",15,MAX(0.1,Skills!D19-IF(Skills!E19=TRUE,Inputs!$B$33,0)))*(1-IF(AND(ArtifactsInput!$M$27,Inputs!$B$4="Chapter Hunt"),CHOOSE(ArtifactsInput!$N$27+1,20,24,28,32,36,40),0)/100)))+1)),0)</f>
        <v/>
      </c>
      <c r="S1587" t="n">
        <v>0</v>
      </c>
      <c r="U1587" t="n">
        <v>0</v>
      </c>
    </row>
    <row r="1588">
      <c r="A1588">
        <f>Skills!A20</f>
        <v/>
      </c>
      <c r="B1588">
        <f>Skills!B20</f>
        <v/>
      </c>
      <c r="C1588">
        <f>Inputs!$B$3&gt;=125</f>
        <v/>
      </c>
      <c r="D1588">
        <f>IF(Skills!C20=1,60+Inputs!$B$26+Inputs!$B$30,IF(Skills!C20=2,90+Inputs!$B$27+Inputs!$B$30,IF(Skills!C20=3,120+Inputs!$B$28+Inputs!$B$30,MAX(0,(Inputs!$B$3-100)*3)+Inputs!$B$29+Inputs!$B$30)))</f>
        <v/>
      </c>
      <c r="E1588">
        <f>INDEX(FactorTable!$B$2:$Y$301, MATCH(ROUND(MIN(300,MAX(1,D1588)),0), FactorTable!$A$2:$A$301,0), Skills!L20+1)</f>
        <v/>
      </c>
      <c r="F1588">
        <f>IF(Skills!M20=TRUE,(Skills!K20/10)*(E1588/1000),Skills!K20/10)+Skills!N20</f>
        <v/>
      </c>
      <c r="G1588">
        <f>Calc!G20</f>
        <v/>
      </c>
      <c r="H1588">
        <f>Calc!H20</f>
        <v/>
      </c>
      <c r="I1588">
        <f>IF(Skills!T20&lt;&gt;"",1+(Skills!T20/10)*($Z$3/1000)/100,1)</f>
        <v/>
      </c>
      <c r="J1588" t="inlineStr"/>
      <c r="K1588" t="inlineStr"/>
      <c r="L1588" t="inlineStr"/>
      <c r="M1588" t="inlineStr"/>
      <c r="N1588" t="inlineStr"/>
      <c r="O1588">
        <f>(1-Summary!$B$11)*S1588+Summary!$B$11*U1588</f>
        <v/>
      </c>
      <c r="P1588">
        <f>IF(B1610=0,0,O1588/B1610)</f>
        <v/>
      </c>
      <c r="Q1588">
        <f>IFERROR(1/(IF(Inputs!$B$39="pvp",15,MAX(0.1,Skills!D20-IF(Skills!E20=TRUE,Inputs!$B$33,0)))*(1-IF(AND(ArtifactsInput!$M$27,Inputs!$B$4="Chapter Hunt"),CHOOSE(ArtifactsInput!$N$27+1,20,24,28,32,36,40),0)/100)),0)</f>
        <v/>
      </c>
      <c r="R1588" t="n">
        <v>0</v>
      </c>
      <c r="S1588" t="n">
        <v>0</v>
      </c>
      <c r="U1588" t="n">
        <v>0</v>
      </c>
    </row>
    <row r="1589">
      <c r="A1589">
        <f>Skills!A21</f>
        <v/>
      </c>
      <c r="B1589">
        <f>Skills!B21</f>
        <v/>
      </c>
      <c r="C1589">
        <f>Inputs!$B$3&gt;=33</f>
        <v/>
      </c>
      <c r="D1589">
        <f>IF(Skills!C21=1,60+Inputs!$B$26+Inputs!$B$30,IF(Skills!C21=2,90+Inputs!$B$27+Inputs!$B$30,IF(Skills!C21=3,120+Inputs!$B$28+Inputs!$B$30,MAX(0,(Inputs!$B$3-100)*3)+Inputs!$B$29+Inputs!$B$30)))</f>
        <v/>
      </c>
      <c r="E1589">
        <f>INDEX(FactorTable!$B$2:$Y$301, MATCH(ROUND(MIN(300,MAX(1,D1589)),0), FactorTable!$A$2:$A$301,0), Skills!L21+1)</f>
        <v/>
      </c>
      <c r="F1589">
        <f>IF(Skills!M21=TRUE,(Skills!K21/10)*(E1589/1000),Skills!K21/10)+Skills!N21</f>
        <v/>
      </c>
      <c r="G1589">
        <f>Calc!G21</f>
        <v/>
      </c>
      <c r="H1589">
        <f>Calc!H21</f>
        <v/>
      </c>
      <c r="I1589">
        <f>IF(Skills!T21&lt;&gt;"",1+(Skills!T21/10)*($Z$3/1000)/100,1)</f>
        <v/>
      </c>
      <c r="J1589" t="inlineStr"/>
      <c r="K1589" t="inlineStr"/>
      <c r="L1589" t="inlineStr"/>
      <c r="M1589" t="inlineStr"/>
      <c r="N1589" t="inlineStr"/>
      <c r="O1589">
        <f>(1-Summary!$B$11)*S1589+Summary!$B$11*U1589</f>
        <v/>
      </c>
      <c r="P1589">
        <f>IF(B1610=0,0,O1589/B1610)</f>
        <v/>
      </c>
      <c r="Q1589">
        <f>IFERROR(1/(IF(Inputs!$B$39="pvp",15,MAX(0.1,Skills!D21-IF(Skills!E21=TRUE,Inputs!$B$33,0)))*(1-IF(AND(ArtifactsInput!$M$27,Inputs!$B$4="Chapter Hunt"),CHOOSE(ArtifactsInput!$N$27+1,20,24,28,32,36,40),0)/100)),0)</f>
        <v/>
      </c>
      <c r="R1589" t="n">
        <v>0</v>
      </c>
      <c r="S1589" t="n">
        <v>0</v>
      </c>
      <c r="U1589" t="n">
        <v>0</v>
      </c>
    </row>
    <row r="1590">
      <c r="A1590">
        <f>Skills!A22</f>
        <v/>
      </c>
      <c r="B1590">
        <f>Skills!B22</f>
        <v/>
      </c>
      <c r="C1590">
        <f>Inputs!$B$3&gt;=43</f>
        <v/>
      </c>
      <c r="D1590">
        <f>IF(Skills!C22=1,60+Inputs!$B$26+Inputs!$B$30,IF(Skills!C22=2,90+Inputs!$B$27+Inputs!$B$30,IF(Skills!C22=3,120+Inputs!$B$28+Inputs!$B$30,MAX(0,(Inputs!$B$3-100)*3)+Inputs!$B$29+Inputs!$B$30)))</f>
        <v/>
      </c>
      <c r="E1590">
        <f>INDEX(FactorTable!$B$2:$Y$301, MATCH(ROUND(MIN(300,MAX(1,D1590)),0), FactorTable!$A$2:$A$301,0), Skills!L22+1)</f>
        <v/>
      </c>
      <c r="F1590">
        <f>IF(Skills!M22=TRUE,(Skills!K22/10)*(E1590/1000),Skills!K22/10)+Skills!N22</f>
        <v/>
      </c>
      <c r="G1590">
        <f>Calc!G22</f>
        <v/>
      </c>
      <c r="H1590">
        <f>Calc!H22</f>
        <v/>
      </c>
      <c r="I1590">
        <f>IF(Skills!T22&lt;&gt;"",1+(Skills!T22/10)*($Z$3/1000)/100,1)</f>
        <v/>
      </c>
      <c r="J1590" t="inlineStr"/>
      <c r="K1590" t="inlineStr"/>
      <c r="L1590" t="inlineStr"/>
      <c r="M1590" t="inlineStr"/>
      <c r="N1590" t="inlineStr"/>
      <c r="O1590">
        <f>(1-Summary!$B$11)*S1590+Summary!$B$11*U1590</f>
        <v/>
      </c>
      <c r="P1590">
        <f>IF(B1610=0,0,O1590/B1610)</f>
        <v/>
      </c>
      <c r="Q1590">
        <f>IFERROR(1/(IF(Inputs!$B$39="pvp",15,MAX(0.1,Skills!D22-IF(Skills!E22=TRUE,Inputs!$B$33,0)))*(1-IF(AND(ArtifactsInput!$M$27,Inputs!$B$4="Chapter Hunt"),CHOOSE(ArtifactsInput!$N$27+1,20,24,28,32,36,40),0)/100)),0)</f>
        <v/>
      </c>
      <c r="R1590" t="n">
        <v>0</v>
      </c>
      <c r="S1590" t="n">
        <v>0</v>
      </c>
      <c r="U1590" t="n">
        <v>0</v>
      </c>
    </row>
    <row r="1591">
      <c r="A1591">
        <f>Skills!A23</f>
        <v/>
      </c>
      <c r="B1591">
        <f>Skills!B23</f>
        <v/>
      </c>
      <c r="C1591">
        <f>Inputs!$B$3&gt;=50</f>
        <v/>
      </c>
      <c r="D1591">
        <f>IF(Skills!C23=1,60+Inputs!$B$26+Inputs!$B$30,IF(Skills!C23=2,90+Inputs!$B$27+Inputs!$B$30,IF(Skills!C23=3,120+Inputs!$B$28+Inputs!$B$30,MAX(0,(Inputs!$B$3-100)*3)+Inputs!$B$29+Inputs!$B$30)))</f>
        <v/>
      </c>
      <c r="E1591">
        <f>INDEX(FactorTable!$B$2:$Y$301, MATCH(ROUND(MIN(300,MAX(1,D1591)),0), FactorTable!$A$2:$A$301,0), Skills!L23+1)</f>
        <v/>
      </c>
      <c r="F1591">
        <f>IF(Skills!M23=TRUE,(Skills!K23/10)*(E1591/1000),Skills!K23/10)+Skills!N23</f>
        <v/>
      </c>
      <c r="G1591">
        <f>Calc!G23</f>
        <v/>
      </c>
      <c r="H1591">
        <f>Calc!H23</f>
        <v/>
      </c>
      <c r="I1591">
        <f>IF(Skills!T23&lt;&gt;"",1+(Skills!T23/10)*($Z$3/1000)/100,1)</f>
        <v/>
      </c>
      <c r="J1591" t="inlineStr"/>
      <c r="K1591" t="inlineStr"/>
      <c r="L1591" t="inlineStr"/>
      <c r="M1591" t="inlineStr"/>
      <c r="N1591" t="inlineStr"/>
      <c r="O1591">
        <f>(1-Summary!$B$11)*S1591+Summary!$B$11*U1591</f>
        <v/>
      </c>
      <c r="P1591">
        <f>IF(B1610=0,0,O1591/B1610)</f>
        <v/>
      </c>
      <c r="Q1591">
        <f>IFERROR(1/(IF(Inputs!$B$39="pvp",15,MAX(0.1,Skills!D23-IF(Skills!E23=TRUE,Inputs!$B$33,0)))*(1-IF(AND(ArtifactsInput!$M$27,Inputs!$B$4="Chapter Hunt"),CHOOSE(ArtifactsInput!$N$27+1,20,24,28,32,36,40),0)/100)),0)</f>
        <v/>
      </c>
      <c r="R1591" t="n">
        <v>0</v>
      </c>
      <c r="S1591" t="n">
        <v>0</v>
      </c>
      <c r="U1591" t="n">
        <v>0</v>
      </c>
    </row>
    <row r="1592">
      <c r="A1592">
        <f>Skills!A24</f>
        <v/>
      </c>
      <c r="B1592">
        <f>Skills!B24</f>
        <v/>
      </c>
      <c r="C1592">
        <f>Inputs!$B$3&gt;=74</f>
        <v/>
      </c>
      <c r="D1592">
        <f>IF(Skills!C24=1,60+Inputs!$B$26+Inputs!$B$30,IF(Skills!C24=2,90+Inputs!$B$27+Inputs!$B$30,IF(Skills!C24=3,120+Inputs!$B$28+Inputs!$B$30,MAX(0,(Inputs!$B$3-100)*3)+Inputs!$B$29+Inputs!$B$30)))</f>
        <v/>
      </c>
      <c r="E1592">
        <f>INDEX(FactorTable!$B$2:$Y$301, MATCH(ROUND(MIN(300,MAX(1,D1592)),0), FactorTable!$A$2:$A$301,0), Skills!L24+1)</f>
        <v/>
      </c>
      <c r="F1592">
        <f>IF(Skills!M24=TRUE,(Skills!K24/10)*(E1592/1000),Skills!K24/10)+Skills!N24</f>
        <v/>
      </c>
      <c r="G1592">
        <f>Calc!G24</f>
        <v/>
      </c>
      <c r="H1592">
        <f>Calc!H24</f>
        <v/>
      </c>
      <c r="I1592">
        <f>IF(Skills!T24&lt;&gt;"",1+(Skills!T24/10)*($Z$3/1000)/100,1)</f>
        <v/>
      </c>
      <c r="J1592" t="inlineStr"/>
      <c r="K1592" t="inlineStr"/>
      <c r="L1592" t="inlineStr"/>
      <c r="M1592" t="inlineStr"/>
      <c r="N1592" t="inlineStr"/>
      <c r="O1592">
        <f>(1-Summary!$B$11)*S1592+Summary!$B$11*U1592</f>
        <v/>
      </c>
      <c r="P1592">
        <f>IF(B1610=0,0,O1592/B1610)</f>
        <v/>
      </c>
      <c r="Q1592">
        <f>IFERROR(1/(IF(Inputs!$B$39="pvp",15,MAX(0.1,Skills!D24-IF(Skills!E24=TRUE,Inputs!$B$33,0)))*(1-IF(AND(ArtifactsInput!$M$27,Inputs!$B$4="Chapter Hunt"),CHOOSE(ArtifactsInput!$N$27+1,20,24,28,32,36,40),0)/100)),0)</f>
        <v/>
      </c>
      <c r="R1592" t="n">
        <v>0</v>
      </c>
      <c r="S1592" t="n">
        <v>0</v>
      </c>
      <c r="U1592" t="n">
        <v>0</v>
      </c>
    </row>
    <row r="1593">
      <c r="A1593">
        <f>Skills!A25</f>
        <v/>
      </c>
      <c r="B1593">
        <f>Skills!B25</f>
        <v/>
      </c>
      <c r="C1593">
        <f>Inputs!$B$3&gt;=74</f>
        <v/>
      </c>
      <c r="D1593">
        <f>IF(Skills!C25=1,60+Inputs!$B$26+Inputs!$B$30,IF(Skills!C25=2,90+Inputs!$B$27+Inputs!$B$30,IF(Skills!C25=3,120+Inputs!$B$28+Inputs!$B$30,MAX(0,(Inputs!$B$3-100)*3)+Inputs!$B$29+Inputs!$B$30)))</f>
        <v/>
      </c>
      <c r="E1593">
        <f>INDEX(FactorTable!$B$2:$Y$301, MATCH(ROUND(MIN(300,MAX(1,D1593)),0), FactorTable!$A$2:$A$301,0), Skills!L25+1)</f>
        <v/>
      </c>
      <c r="F1593">
        <f>IF(Skills!M25=TRUE,(Skills!K25/10)*(E1593/1000),Skills!K25/10)+Skills!N25</f>
        <v/>
      </c>
      <c r="G1593">
        <f>Calc!G25</f>
        <v/>
      </c>
      <c r="H1593">
        <f>Calc!H25</f>
        <v/>
      </c>
      <c r="I1593">
        <f>IF(Skills!T25&lt;&gt;"",1+(Skills!T25/10)*($Z$3/1000)/100,1)</f>
        <v/>
      </c>
      <c r="J1593" t="inlineStr"/>
      <c r="K1593" t="inlineStr"/>
      <c r="L1593" t="inlineStr"/>
      <c r="M1593" t="inlineStr"/>
      <c r="N1593" t="inlineStr"/>
      <c r="O1593">
        <f>(1-Summary!$B$11)*S1593+Summary!$B$11*U1593</f>
        <v/>
      </c>
      <c r="P1593">
        <f>IF(B1610=0,0,O1593/B1610)</f>
        <v/>
      </c>
      <c r="Q1593">
        <f>IFERROR(1/(IF(Inputs!$B$39="pvp",15,MAX(0.1,Skills!D25-IF(Skills!E25=TRUE,Inputs!$B$33,0)))*(1-IF(AND(ArtifactsInput!$M$27,Inputs!$B$4="Chapter Hunt"),CHOOSE(ArtifactsInput!$N$27+1,20,24,28,32,36,40),0)/100)),0)</f>
        <v/>
      </c>
      <c r="R1593" t="n">
        <v>0</v>
      </c>
      <c r="S1593" t="n">
        <v>0</v>
      </c>
      <c r="U1593" t="n">
        <v>0</v>
      </c>
    </row>
    <row r="1594">
      <c r="A1594">
        <f>Skills!A26</f>
        <v/>
      </c>
      <c r="B1594">
        <f>Skills!B26</f>
        <v/>
      </c>
      <c r="C1594">
        <f>Inputs!$B$3&gt;=117</f>
        <v/>
      </c>
      <c r="D1594">
        <f>IF(Skills!C26=1,60+Inputs!$B$26+Inputs!$B$30,IF(Skills!C26=2,90+Inputs!$B$27+Inputs!$B$30,IF(Skills!C26=3,120+Inputs!$B$28+Inputs!$B$30,MAX(0,(Inputs!$B$3-100)*3)+Inputs!$B$29+Inputs!$B$30)))</f>
        <v/>
      </c>
      <c r="E1594">
        <f>INDEX(FactorTable!$B$2:$Y$301, MATCH(ROUND(MIN(300,MAX(1,D1594)),0), FactorTable!$A$2:$A$301,0), Skills!L26+1)</f>
        <v/>
      </c>
      <c r="F1594">
        <f>IF(Skills!M26=TRUE,(Skills!K26/10)*(E1594/1000),Skills!K26/10)+Skills!N26</f>
        <v/>
      </c>
      <c r="G1594">
        <f>Calc!G26</f>
        <v/>
      </c>
      <c r="H1594">
        <f>Calc!H26</f>
        <v/>
      </c>
      <c r="I1594">
        <f>IF(Skills!T26&lt;&gt;"",1+(Skills!T26/10)*($Z$3/1000)/100,1)</f>
        <v/>
      </c>
      <c r="J1594" t="inlineStr"/>
      <c r="K1594" t="inlineStr"/>
      <c r="L1594" t="inlineStr"/>
      <c r="M1594" t="inlineStr"/>
      <c r="N1594" t="inlineStr"/>
      <c r="O1594">
        <f>(1-Summary!$B$11)*S1594+Summary!$B$11*U1594</f>
        <v/>
      </c>
      <c r="P1594">
        <f>IF(B1610=0,0,O1594/B1610)</f>
        <v/>
      </c>
      <c r="Q1594">
        <f>IFERROR(1/(IF(Inputs!$B$39="pvp",15,MAX(0.1,Skills!D26-IF(Skills!E26=TRUE,Inputs!$B$33,0)))*(1-IF(AND(ArtifactsInput!$M$27,Inputs!$B$4="Chapter Hunt"),CHOOSE(ArtifactsInput!$N$27+1,20,24,28,32,36,40),0)/100)),0)</f>
        <v/>
      </c>
      <c r="R1594" t="n">
        <v>0</v>
      </c>
      <c r="S1594" t="n">
        <v>0</v>
      </c>
      <c r="U1594" t="n">
        <v>0</v>
      </c>
    </row>
    <row r="1595">
      <c r="A1595">
        <f>Skills!A27</f>
        <v/>
      </c>
      <c r="B1595">
        <f>Skills!B27</f>
        <v/>
      </c>
      <c r="C1595">
        <f>Inputs!$B$3&gt;=120</f>
        <v/>
      </c>
      <c r="D1595">
        <f>IF(Skills!C27=1,60+Inputs!$B$26+Inputs!$B$30,IF(Skills!C27=2,90+Inputs!$B$27+Inputs!$B$30,IF(Skills!C27=3,120+Inputs!$B$28+Inputs!$B$30,MAX(0,(Inputs!$B$3-100)*3)+Inputs!$B$29+Inputs!$B$30)))</f>
        <v/>
      </c>
      <c r="E1595">
        <f>INDEX(FactorTable!$B$2:$Y$301, MATCH(ROUND(MIN(300,MAX(1,D1595)),0), FactorTable!$A$2:$A$301,0), Skills!L27+1)</f>
        <v/>
      </c>
      <c r="F1595">
        <f>IF(Skills!M27=TRUE,(Skills!K27/10)*(E1595/1000),Skills!K27/10)+Skills!N27</f>
        <v/>
      </c>
      <c r="G1595">
        <f>Calc!G27</f>
        <v/>
      </c>
      <c r="H1595">
        <f>Calc!H27</f>
        <v/>
      </c>
      <c r="I1595">
        <f>IF(Skills!T27&lt;&gt;"",1+(Skills!T27/10)*($Z$3/1000)/100,1)</f>
        <v/>
      </c>
      <c r="J1595" t="inlineStr"/>
      <c r="K1595" t="inlineStr"/>
      <c r="L1595" t="inlineStr"/>
      <c r="M1595" t="inlineStr"/>
      <c r="N1595" t="inlineStr"/>
      <c r="O1595">
        <f>(1-Summary!$B$11)*S1595+Summary!$B$11*U1595</f>
        <v/>
      </c>
      <c r="P1595">
        <f>IF(B1610=0,0,O1595/B1610)</f>
        <v/>
      </c>
      <c r="Q1595">
        <f>IFERROR(1/(IF(Inputs!$B$39="pvp",15,MAX(0.1,Skills!D27-IF(Skills!E27=TRUE,Inputs!$B$33,0)))*(1-IF(AND(ArtifactsInput!$M$27,Inputs!$B$4="Chapter Hunt"),CHOOSE(ArtifactsInput!$N$27+1,20,24,28,32,36,40),0)/100)),0)</f>
        <v/>
      </c>
      <c r="R1595" t="n">
        <v>0</v>
      </c>
      <c r="S1595" t="n">
        <v>0</v>
      </c>
      <c r="U1595" t="n">
        <v>0</v>
      </c>
    </row>
    <row r="1597">
      <c r="A1597" t="inlineStr">
        <is>
          <t>Average Buff Multiplier</t>
        </is>
      </c>
      <c r="B1597">
        <f>(1+(IF(C1571=TRUE,F1571*IF(AND(Inputs!$B$39&lt;&gt;"pvp",Inputs!$B$44&gt;0),(((R1571-1)*(Skills!S3*(1+((Inputs!$B$35+(ArtifactsInput!$M$7-ArtifactsInput!$M$7)*CHOOSE(ArtifactsInput!$N$7+1,6,7.2,8.4,9.6,10.8,12))+IF(Inputs!$B$3&gt;=117,F1594,0))/100))+MIN((Skills!S3*(1+((Inputs!$B$35+(ArtifactsInput!$M$7-ArtifactsInput!$M$7)*CHOOSE(ArtifactsInput!$N$7+1,6,7.2,8.4,9.6,10.8,12))+IF(Inputs!$B$3&gt;=117,F1594,0))/100)),MAX(0,Inputs!$B$44-((R1571-1)*Skills!D3))))/Inputs!$B$44),IF(Inputs!$B$39="pvp",MIN((Skills!S3*(1+((Inputs!$B$35+(ArtifactsInput!$M$7-ArtifactsInput!$M$7)*CHOOSE(ArtifactsInput!$N$7+1,6,7.2,8.4,9.6,10.8,12))+IF(Inputs!$B$3&gt;=117,F1594,0))/100)),15)/15,(Skills!S3*(1+((Inputs!$B$35+(ArtifactsInput!$M$7-ArtifactsInput!$M$7)*CHOOSE(ArtifactsInput!$N$7+1,6,7.2,8.4,9.6,10.8,12))+IF(Inputs!$B$3&gt;=117,F1594,0))/100))/Skills!D3)),0)+IF(C1572=TRUE,F1572*IF(AND(Inputs!$B$39&lt;&gt;"pvp",Inputs!$B$44&gt;0),(((R1572-1)*(Skills!S4*(1+((Inputs!$B$35+(ArtifactsInput!$M$7-ArtifactsInput!$M$7)*CHOOSE(ArtifactsInput!$N$7+1,6,7.2,8.4,9.6,10.8,12))+IF(Inputs!$B$3&gt;=117,F1594,0))/100))+MIN((Skills!S4*(1+((Inputs!$B$35+(ArtifactsInput!$M$7-ArtifactsInput!$M$7)*CHOOSE(ArtifactsInput!$N$7+1,6,7.2,8.4,9.6,10.8,12))+IF(Inputs!$B$3&gt;=117,F1594,0))/100)),MAX(0,Inputs!$B$44-((R1572-1)*Skills!D4))))/Inputs!$B$44),IF(Inputs!$B$39="pvp",MIN((Skills!S4*(1+((Inputs!$B$35+(ArtifactsInput!$M$7-ArtifactsInput!$M$7)*CHOOSE(ArtifactsInput!$N$7+1,6,7.2,8.4,9.6,10.8,12))+IF(Inputs!$B$3&gt;=117,F1594,0))/100)),15)/15,(Skills!S4*(1+((Inputs!$B$35+(ArtifactsInput!$M$7-ArtifactsInput!$M$7)*CHOOSE(ArtifactsInput!$N$7+1,6,7.2,8.4,9.6,10.8,12))+IF(Inputs!$B$3&gt;=117,F1594,0))/100))/Skills!D4)),0)+IF(C1573=TRUE,F1573*IF(AND(Inputs!$B$39&lt;&gt;"pvp",Inputs!$B$44&gt;0),(((R1573-1)*(Skills!S5*(1+((Inputs!$B$35+(ArtifactsInput!$M$7-ArtifactsInput!$M$7)*CHOOSE(ArtifactsInput!$N$7+1,6,7.2,8.4,9.6,10.8,12))+IF(Inputs!$B$3&gt;=117,F1594,0))/100))+MIN((Skills!S5*(1+((Inputs!$B$35+(ArtifactsInput!$M$7-ArtifactsInput!$M$7)*CHOOSE(ArtifactsInput!$N$7+1,6,7.2,8.4,9.6,10.8,12))+IF(Inputs!$B$3&gt;=117,F1594,0))/100)),MAX(0,Inputs!$B$44-((R1573-1)*Skills!D5))))/Inputs!$B$44),IF(Inputs!$B$39="pvp",MIN((Skills!S5*(1+((Inputs!$B$35+(ArtifactsInput!$M$7-ArtifactsInput!$M$7)*CHOOSE(ArtifactsInput!$N$7+1,6,7.2,8.4,9.6,10.8,12))+IF(Inputs!$B$3&gt;=117,F1594,0))/100)),15)/15,(Skills!S5*(1+((Inputs!$B$35+(ArtifactsInput!$M$7-ArtifactsInput!$M$7)*CHOOSE(ArtifactsInput!$N$7+1,6,7.2,8.4,9.6,10.8,12))+IF(Inputs!$B$3&gt;=117,F1594,0))/100))/Skills!D5)),0)+IF(C1579=TRUE,F1579*IF(AND(Inputs!$B$39&lt;&gt;"pvp",Inputs!$B$44&gt;0),(((R1579-1)*(Skills!S11*(1+((Inputs!$B$35+(ArtifactsInput!$M$7-ArtifactsInput!$M$7)*CHOOSE(ArtifactsInput!$N$7+1,6,7.2,8.4,9.6,10.8,12))+IF(Inputs!$B$3&gt;=117,F1594,0))/100))+MIN((Skills!S11*(1+((Inputs!$B$35+(ArtifactsInput!$M$7-ArtifactsInput!$M$7)*CHOOSE(ArtifactsInput!$N$7+1,6,7.2,8.4,9.6,10.8,12))+IF(Inputs!$B$3&gt;=117,F1594,0))/100)),MAX(0,Inputs!$B$44-((R1579-1)*Skills!D11))))/Inputs!$B$44),IF(Inputs!$B$39="pvp",MIN((Skills!S11*(1+((Inputs!$B$35+(ArtifactsInput!$M$7-ArtifactsInput!$M$7)*CHOOSE(ArtifactsInput!$N$7+1,6,7.2,8.4,9.6,10.8,12))+IF(Inputs!$B$3&gt;=117,F1594,0))/100)),15)/15,(Skills!S11*(1+((Inputs!$B$35+(ArtifactsInput!$M$7-ArtifactsInput!$M$7)*CHOOSE(ArtifactsInput!$N$7+1,6,7.2,8.4,9.6,10.8,12))+IF(Inputs!$B$3&gt;=117,F1594,0)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1582=TRUE,(1+F1582*IF(AND(Inputs!$B$39&lt;&gt;"pvp",Inputs!$B$44&gt;0),(((R1582-1)*(Skills!S14*(1+((Inputs!$B$35+(ArtifactsInput!$M$7-ArtifactsInput!$M$7)*CHOOSE(ArtifactsInput!$N$7+1,6,7.2,8.4,9.6,10.8,12))+IF(Inputs!$B$3&gt;=117,F1594,0))/100))+MIN((Skills!S14*(1+((Inputs!$B$35+(ArtifactsInput!$M$7-ArtifactsInput!$M$7)*CHOOSE(ArtifactsInput!$N$7+1,6,7.2,8.4,9.6,10.8,12))+IF(Inputs!$B$3&gt;=117,F1594,0))/100)),MAX(0,Inputs!$B$44-((R1582-1)*Skills!D14))))/Inputs!$B$44),IF(Inputs!$B$39="pvp",MIN((Skills!S14*(1+((Inputs!$B$35+(ArtifactsInput!$M$7-ArtifactsInput!$M$7)*CHOOSE(ArtifactsInput!$N$7+1,6,7.2,8.4,9.6,10.8,12))+IF(Inputs!$B$3&gt;=117,F1594,0))/100)),15)/15,(Skills!S14*(1+((Inputs!$B$35+(ArtifactsInput!$M$7-ArtifactsInput!$M$7)*CHOOSE(ArtifactsInput!$N$7+1,6,7.2,8.4,9.6,10.8,12))+IF(Inputs!$B$3&gt;=117,F1594,0))/100))/Skills!D14))/100),1)*IF(C1587=TRUE,(1+F1587*IF(AND(Inputs!$B$39&lt;&gt;"pvp",Inputs!$B$44&gt;0),(((R1587-1)*(Skills!S19*(1+((Inputs!$B$35+(ArtifactsInput!$M$7-ArtifactsInput!$M$7)*CHOOSE(ArtifactsInput!$N$7+1,6,7.2,8.4,9.6,10.8,12))+IF(Inputs!$B$3&gt;=117,F1594,0))/100))+MIN((Skills!S19*(1+((Inputs!$B$35+(ArtifactsInput!$M$7-ArtifactsInput!$M$7)*CHOOSE(ArtifactsInput!$N$7+1,6,7.2,8.4,9.6,10.8,12))+IF(Inputs!$B$3&gt;=117,F1594,0))/100)),MAX(0,Inputs!$B$44-((R1587-1)*Skills!D19))))/Inputs!$B$44),IF(Inputs!$B$39="pvp",MIN((Skills!S19*(1+((Inputs!$B$35+(ArtifactsInput!$M$7-ArtifactsInput!$M$7)*CHOOSE(ArtifactsInput!$N$7+1,6,7.2,8.4,9.6,10.8,12))+IF(Inputs!$B$3&gt;=117,F1594,0))/100)),15)/15,(Skills!S19*(1+((Inputs!$B$35+(ArtifactsInput!$M$7-ArtifactsInput!$M$7)*CHOOSE(ArtifactsInput!$N$7+1,6,7.2,8.4,9.6,10.8,12))+IF(Inputs!$B$3&gt;=117,F1594,0))/100))/Skills!D19))/100),1)</f>
        <v/>
      </c>
    </row>
    <row r="1598">
      <c r="A1598" t="inlineStr">
        <is>
          <t>Monster Damage Taken Bonus % (Holy Fountain)</t>
        </is>
      </c>
      <c r="B1598">
        <f>IF(Inputs!$B$3&gt;=68,20*IF(Inputs!$B$39="pvp",MIN((15*(1+((Inputs!$B$35+(ArtifactsInput!$M$7-ArtifactsInput!$M$7)*CHOOSE(ArtifactsInput!$N$7+1,6,7.2,8.4,9.6,10.8,12))+IF(Inputs!$B$3&gt;=117,F1594,0))/100)),15)/15,(15*(1+((Inputs!$B$35+(ArtifactsInput!$M$7-ArtifactsInput!$M$7)*CHOOSE(ArtifactsInput!$N$7+1,6,7.2,8.4,9.6,10.8,12))+IF(Inputs!$B$3&gt;=117,F1594,0))/100))/Skills!D10),0)</f>
        <v/>
      </c>
    </row>
    <row r="1599">
      <c r="A1599" t="inlineStr">
        <is>
          <t>Normal Monster Damage Bonus % (Holy Symbol)</t>
        </is>
      </c>
      <c r="B1599">
        <f>IF(C1580=TRUE,F1580*IF(AND(Inputs!$B$39&lt;&gt;"pvp",Inputs!$B$44&gt;0),(((R1580-1)*(Skills!S12*(1+((Inputs!$B$35+(ArtifactsInput!$M$7-ArtifactsInput!$M$7)*CHOOSE(ArtifactsInput!$N$7+1,6,7.2,8.4,9.6,10.8,12))+IF(Inputs!$B$3&gt;=117,F1594,0))/100))+MIN((Skills!S12*(1+((Inputs!$B$35+(ArtifactsInput!$M$7-ArtifactsInput!$M$7)*CHOOSE(ArtifactsInput!$N$7+1,6,7.2,8.4,9.6,10.8,12))+IF(Inputs!$B$3&gt;=117,F1594,0))/100)),MAX(0,Inputs!$B$44-((R1580-1)*Skills!D12))))/Inputs!$B$44),IF(Inputs!$B$39="pvp",MIN((Skills!S12*(1+((Inputs!$B$35+(ArtifactsInput!$M$7-ArtifactsInput!$M$7)*CHOOSE(ArtifactsInput!$N$7+1,6,7.2,8.4,9.6,10.8,12))+IF(Inputs!$B$3&gt;=117,F1594,0))/100)),15)/15,(Skills!S12*(1+((Inputs!$B$35+(ArtifactsInput!$M$7-ArtifactsInput!$M$7)*CHOOSE(ArtifactsInput!$N$7+1,6,7.2,8.4,9.6,10.8,12))+IF(Inputs!$B$3&gt;=117,F1594,0))/100))/Skills!D12)),0)</f>
        <v/>
      </c>
    </row>
    <row r="1600">
      <c r="A1600" t="inlineStr">
        <is>
          <t>Damage % Bonus (Holy Symbol - Damage Boost)</t>
        </is>
      </c>
      <c r="B1600">
        <f>Skills!O12</f>
        <v/>
      </c>
    </row>
    <row r="1601">
      <c r="A1601" t="inlineStr">
        <is>
          <t>Crit Damage % Bonus (Blood of the Divine)</t>
        </is>
      </c>
      <c r="B1601">
        <f>4*IF(C1588=TRUE,F1588,0)</f>
        <v/>
      </c>
    </row>
    <row r="1602">
      <c r="A1602" t="inlineStr">
        <is>
          <t>Attack Speed Bonus %</t>
        </is>
      </c>
      <c r="B1602">
        <f>IF(C1585=TRUE,F1585+(F1589-Calc!F21),0)+IF(Inputs!$B$3&gt;=134,15,0)</f>
        <v/>
      </c>
    </row>
    <row r="1603">
      <c r="A1603" t="inlineStr">
        <is>
          <t>Actions Per Second</t>
        </is>
      </c>
      <c r="B1603">
        <f>1+MIN(150,150*(1-(1-Inputs!$B$12/150)*(1-B1602/150)))/100</f>
        <v/>
      </c>
    </row>
    <row r="1604">
      <c r="A1604" t="inlineStr">
        <is>
          <t>Skill + Buff Cast Rate</t>
        </is>
      </c>
      <c r="B1604">
        <f>IF(AND(Inputs!$B$39&lt;&gt;"pvp",Inputs!$B$44&gt;0),SUMPRODUCT((Skills!E2:E27=TRUE)*(C1570:C1595=TRUE)*R1570:R1595)/Inputs!$B$44,SUMPRODUCT((Skills!E2:E27=TRUE)*(C1570:C1595=TRUE)*Q1570:Q1595))</f>
        <v/>
      </c>
    </row>
    <row r="1605">
      <c r="A1605" t="inlineStr">
        <is>
          <t>Big Bang Casts Per Second</t>
        </is>
      </c>
      <c r="B1605">
        <f>MAX(0,B1603-B1604)</f>
        <v/>
      </c>
    </row>
    <row r="1606">
      <c r="A1606" t="inlineStr">
        <is>
          <t>Defense % Bonus (Divine Protection)</t>
        </is>
      </c>
      <c r="B1606">
        <f>IF(C1581=TRUE,F1581*IF(AND(Inputs!$B$39&lt;&gt;"pvp",Inputs!$B$44&gt;0),(((R1581-1)*(Skills!S13*(1+((Inputs!$B$35+(ArtifactsInput!$M$7-ArtifactsInput!$M$7)*CHOOSE(ArtifactsInput!$N$7+1,6,7.2,8.4,9.6,10.8,12))+IF(Inputs!$B$3&gt;=117,F1594,0))/100))+MIN((Skills!S13*(1+((Inputs!$B$35+(ArtifactsInput!$M$7-ArtifactsInput!$M$7)*CHOOSE(ArtifactsInput!$N$7+1,6,7.2,8.4,9.6,10.8,12))+IF(Inputs!$B$3&gt;=117,F1594,0))/100)),MAX(0,Inputs!$B$44-((R1581-1)*Skills!D13))))/Inputs!$B$44),IF(Inputs!$B$39="pvp",MIN((Skills!S13*(1+((Inputs!$B$35+(ArtifactsInput!$M$7-ArtifactsInput!$M$7)*CHOOSE(ArtifactsInput!$N$7+1,6,7.2,8.4,9.6,10.8,12))+IF(Inputs!$B$3&gt;=117,F1594,0))/100)),15)/15,(Skills!S13*(1+((Inputs!$B$35+(ArtifactsInput!$M$7-ArtifactsInput!$M$7)*CHOOSE(ArtifactsInput!$N$7+1,6,7.2,8.4,9.6,10.8,12))+IF(Inputs!$B$3&gt;=117,F1594,0))/100))/Skills!D13)),0)</f>
        <v/>
      </c>
    </row>
    <row r="1607">
      <c r="A1607" t="inlineStr">
        <is>
          <t>Buff-Casting Startup Delay (s, fixed-duration only)</t>
        </is>
      </c>
      <c r="B1607">
        <f>IF(AND(Inputs!$B$39&lt;&gt;"pvp",Inputs!$B$44&gt;0),SUMPRODUCT((Skills!S2:S27&gt;0)*(Skills!E2:E27=TRUE)*(C1570:C1595=TRUE))/B1603,0)</f>
        <v/>
      </c>
    </row>
    <row r="1608">
      <c r="A1608" t="inlineStr">
        <is>
          <t>Boss-Only Total DPS (this block's swept value)</t>
        </is>
      </c>
      <c r="B1608">
        <f>SUM(S1570:S1595)</f>
        <v/>
      </c>
    </row>
    <row r="1609">
      <c r="A1609" t="inlineStr">
        <is>
          <t>Normal-Only Total DPS (this block's swept value)</t>
        </is>
      </c>
      <c r="B1609">
        <f>SUM(U1570:U1595)</f>
        <v/>
      </c>
    </row>
    <row r="1610">
      <c r="A1610" s="6" t="inlineStr">
        <is>
          <t>TOTAL DPS</t>
        </is>
      </c>
      <c r="B1610" s="6">
        <f>SUM(O1570:O1595)</f>
        <v/>
      </c>
    </row>
    <row r="1612">
      <c r="A1612" s="6" t="inlineStr">
        <is>
          <t>Stat: Clear Spring Water (Equip)</t>
        </is>
      </c>
    </row>
    <row r="1613">
      <c r="A1613" s="5" t="inlineStr">
        <is>
          <t>Key</t>
        </is>
      </c>
      <c r="B1613" s="5" t="inlineStr">
        <is>
          <t>Name</t>
        </is>
      </c>
      <c r="C1613" s="5" t="inlineStr">
        <is>
          <t>Unlocked</t>
        </is>
      </c>
      <c r="D1613" s="5" t="inlineStr">
        <is>
          <t>InputLevel</t>
        </is>
      </c>
      <c r="E1613" s="5" t="inlineStr">
        <is>
          <t>Factor</t>
        </is>
      </c>
      <c r="F1613" s="5" t="inlineStr">
        <is>
          <t>CoefficientPercent</t>
        </is>
      </c>
      <c r="G1613" s="5" t="inlineStr">
        <is>
          <t>EffectiveHits</t>
        </is>
      </c>
      <c r="H1613" s="5" t="inlineStr">
        <is>
          <t>ProcProbability</t>
        </is>
      </c>
      <c r="I1613" s="5" t="inlineStr">
        <is>
          <t>MapleHeroMultiplier</t>
        </is>
      </c>
      <c r="J1613" s="5" t="inlineStr">
        <is>
          <t>BaseDamage</t>
        </is>
      </c>
      <c r="K1613" s="5" t="inlineStr">
        <is>
          <t>BaseHitDamage</t>
        </is>
      </c>
      <c r="L1613" s="5" t="inlineStr">
        <is>
          <t>NonCritAvg</t>
        </is>
      </c>
      <c r="M1613" s="5" t="inlineStr">
        <is>
          <t>CritAvg</t>
        </is>
      </c>
      <c r="N1613" s="5" t="inlineStr">
        <is>
          <t>ExpectedDamage(perHit)</t>
        </is>
      </c>
      <c r="O1613" s="5" t="inlineStr">
        <is>
          <t>DPS</t>
        </is>
      </c>
      <c r="P1613" s="5" t="inlineStr">
        <is>
          <t>% of Total</t>
        </is>
      </c>
      <c r="R1613" t="inlineStr">
        <is>
          <t>helpers</t>
        </is>
      </c>
    </row>
    <row r="1614">
      <c r="A1614">
        <f>Skills!A2</f>
        <v/>
      </c>
      <c r="B1614">
        <f>Skills!B2</f>
        <v/>
      </c>
      <c r="C1614">
        <f>Inputs!$B$3&gt;=100</f>
        <v/>
      </c>
      <c r="D1614" t="inlineStr"/>
      <c r="E1614" t="inlineStr"/>
      <c r="F1614">
        <f>T1616+Skills!N2</f>
        <v/>
      </c>
      <c r="G1614">
        <f>Calc!G2</f>
        <v/>
      </c>
      <c r="H1614">
        <f>Calc!H2</f>
        <v/>
      </c>
      <c r="I1614">
        <f>IF(Skills!T2&lt;&gt;"",1+(Skills!T2/10)*($Z$3/1000)/100,1)</f>
        <v/>
      </c>
      <c r="J1614">
        <f>((Inputs!$B$6*(1+Inputs!$B$7/100))+(((Inputs!$B$13*(1+Inputs!$B$14/100))-(Inputs!$B$13*(1+Inputs!$B$14/100)))+0.25*(Inputs!$B$15-Inputs!$B$15))*(1+Inputs!$B$7/100))*(F1614/100)</f>
        <v/>
      </c>
      <c r="K1614">
        <f>J1614*(1+(((Inputs!$B$13+IF(Inputs!$B$3&gt;=35,(10*INDEX(FactorTable!$B$2:$Y$301,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2="TRIUMPH_FEATHER",IF(C1628=TRUE,F1628,0),0)/100)*(1+IF(C1639=TRUE,F1639,0)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1614)</f>
        <v/>
      </c>
      <c r="L1614">
        <f>K1614*(MIN(Inputs!$B$23+(F1634-Calc!F22),(Inputs!$B$24+IF(ArtifactsInput!$M$15,CHOOSE(ArtifactsInput!$N$15+1,25,30,35,40,45,50)/100*(Inputs!$B$12-Inputs!$B$12),0)))/100+(Inputs!$B$24+IF(ArtifactsInput!$M$15,CHOOSE(ArtifactsInput!$N$15+1,25,30,35,40,45,50)/100*(Inputs!$B$12-Inputs!$B$12),0))/100)/2</f>
        <v/>
      </c>
      <c r="M1614">
        <f>L1614*(1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4">
        <f>L1614*(1-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1614*(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4">
        <f>(1-Summary!$B$11)*S1614+Summary!$B$11*U1614</f>
        <v/>
      </c>
      <c r="P1614">
        <f>IF(B1654=0,0,O1614/B1654)</f>
        <v/>
      </c>
      <c r="Q1614">
        <f>IFERROR(1/(IF(Inputs!$B$39="pvp",15,MAX(0.1,Skills!D2-IF(Skills!E2=TRUE,Inputs!$B$33,0)))*(1-IF(AND(ArtifactsInput!$M$27,Inputs!$B$4="Chapter Hunt"),CHOOSE(ArtifactsInput!$N$27+1,20,24,28,32,36,40),0)/100)),0)</f>
        <v/>
      </c>
      <c r="R1614" t="n">
        <v>0</v>
      </c>
      <c r="S1614">
        <f>IF(C1614,(Skills!F2*N1614*B1649)*IF(Inputs!$B$39="pvp",1,1+(Inputs!$B$21+Skills!O2+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1614*(1-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1614*(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1614*(1-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1614*(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14">
        <f>MAX(0,(Inputs!$B$3-100)*3)+Inputs!$B$29+Inputs!$B$30</f>
        <v/>
      </c>
      <c r="U1614">
        <f>IF(C1614,(Skills!F2*N1614*B1649)*IF(Inputs!$B$39="pvp",1,(1+(Inputs!$B$22+Skills!P2+B1643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5">
      <c r="A1615">
        <f>Skills!A3</f>
        <v/>
      </c>
      <c r="B1615">
        <f>Skills!B3</f>
        <v/>
      </c>
      <c r="C1615">
        <f>Inputs!$B$3&gt;=15</f>
        <v/>
      </c>
      <c r="D1615">
        <f>IF(Skills!C3=1,60+Inputs!$B$26+Inputs!$B$30,IF(Skills!C3=2,90+Inputs!$B$27+Inputs!$B$30,IF(Skills!C3=3,120+Inputs!$B$28+Inputs!$B$30,MAX(0,(Inputs!$B$3-100)*3)+Inputs!$B$29+Inputs!$B$30)))</f>
        <v/>
      </c>
      <c r="E1615">
        <f>INDEX(FactorTable!$B$2:$Y$301, MATCH(ROUND(MIN(300,MAX(1,D1615)),0), FactorTable!$A$2:$A$301,0), Skills!L3+1)</f>
        <v/>
      </c>
      <c r="F1615">
        <f>IF(Skills!M3=TRUE,(Skills!K3/10)*(E1615/1000),Skills!K3/10)+Skills!N3</f>
        <v/>
      </c>
      <c r="G1615">
        <f>Calc!G3</f>
        <v/>
      </c>
      <c r="H1615">
        <f>Calc!H3</f>
        <v/>
      </c>
      <c r="I1615">
        <f>IF(Skills!T3&lt;&gt;"",1+(Skills!T3/10)*($Z$3/1000)/100,1)</f>
        <v/>
      </c>
      <c r="J1615" t="inlineStr"/>
      <c r="K1615" t="inlineStr"/>
      <c r="L1615" t="inlineStr"/>
      <c r="M1615" t="inlineStr"/>
      <c r="N1615" t="inlineStr"/>
      <c r="O1615">
        <f>(1-Summary!$B$11)*S1615+Summary!$B$11*U1615</f>
        <v/>
      </c>
      <c r="P1615">
        <f>IF(B1654=0,0,O1615/B1654)</f>
        <v/>
      </c>
      <c r="Q1615">
        <f>IFERROR(1/(IF(Inputs!$B$39="pvp",15,MAX(0.1,Skills!D3-IF(Skills!E3=TRUE,Inputs!$B$33,0)))*(1-IF(AND(ArtifactsInput!$M$27,Inputs!$B$4="Chapter Hunt"),CHOOSE(ArtifactsInput!$N$27+1,20,24,28,32,36,40),0)/100)),0)</f>
        <v/>
      </c>
      <c r="R1615">
        <f>IF(AND(Inputs!$B$39&lt;&gt;"pvp",Inputs!$B$44&gt;0),IF(Inputs!$B$44&lt;=0,0,(INT(Inputs!$B$44/(IF(Inputs!$B$39="pvp",15,MAX(0.1,Skills!D3-IF(Skills!E3=TRUE,Inputs!$B$33,0)))*(1-IF(AND(ArtifactsInput!$M$27,Inputs!$B$4="Chapter Hunt"),CHOOSE(ArtifactsInput!$N$27+1,20,24,28,32,36,40),0)/100)))+1)),0)</f>
        <v/>
      </c>
      <c r="S1615" t="n">
        <v>0</v>
      </c>
      <c r="T1615">
        <f>INDEX(FactorTable!$B$2:$Y$301, MATCH(ROUND(MIN(300,MAX(1,T1614)),0), FactorTable!$A$2:$A$301,0), 22)</f>
        <v/>
      </c>
      <c r="U1615" t="n">
        <v>0</v>
      </c>
    </row>
    <row r="1616">
      <c r="A1616">
        <f>Skills!A4</f>
        <v/>
      </c>
      <c r="B1616">
        <f>Skills!B4</f>
        <v/>
      </c>
      <c r="C1616">
        <f>Inputs!$B$3&gt;=38</f>
        <v/>
      </c>
      <c r="D1616">
        <f>IF(Skills!C4=1,60+Inputs!$B$26+Inputs!$B$30,IF(Skills!C4=2,90+Inputs!$B$27+Inputs!$B$30,IF(Skills!C4=3,120+Inputs!$B$28+Inputs!$B$30,MAX(0,(Inputs!$B$3-100)*3)+Inputs!$B$29+Inputs!$B$30)))</f>
        <v/>
      </c>
      <c r="E1616">
        <f>INDEX(FactorTable!$B$2:$Y$301, MATCH(ROUND(MIN(300,MAX(1,D1616)),0), FactorTable!$A$2:$A$301,0), Skills!L4+1)</f>
        <v/>
      </c>
      <c r="F1616">
        <f>IF(Skills!M4=TRUE,(Skills!K4/10)*(E1616/1000),Skills!K4/10)+Skills!N4</f>
        <v/>
      </c>
      <c r="G1616">
        <f>Calc!G4</f>
        <v/>
      </c>
      <c r="H1616">
        <f>Calc!H4</f>
        <v/>
      </c>
      <c r="I1616">
        <f>IF(Skills!T4&lt;&gt;"",1+(Skills!T4/10)*($Z$3/1000)/100,1)</f>
        <v/>
      </c>
      <c r="J1616" t="inlineStr"/>
      <c r="K1616" t="inlineStr"/>
      <c r="L1616" t="inlineStr"/>
      <c r="M1616" t="inlineStr"/>
      <c r="N1616" t="inlineStr"/>
      <c r="O1616">
        <f>(1-Summary!$B$11)*S1616+Summary!$B$11*U1616</f>
        <v/>
      </c>
      <c r="P1616">
        <f>IF(B1654=0,0,O1616/B1654)</f>
        <v/>
      </c>
      <c r="Q1616">
        <f>IFERROR(1/(IF(Inputs!$B$39="pvp",15,MAX(0.1,Skills!D4-IF(Skills!E4=TRUE,Inputs!$B$33,0)))*(1-IF(AND(ArtifactsInput!$M$27,Inputs!$B$4="Chapter Hunt"),CHOOSE(ArtifactsInput!$N$27+1,20,24,28,32,36,40),0)/100)),0)</f>
        <v/>
      </c>
      <c r="R1616">
        <f>IF(AND(Inputs!$B$39&lt;&gt;"pvp",Inputs!$B$44&gt;0),IF(Inputs!$B$44&lt;=0,0,(INT(Inputs!$B$44/(IF(Inputs!$B$39="pvp",15,MAX(0.1,Skills!D4-IF(Skills!E4=TRUE,Inputs!$B$33,0)))*(1-IF(AND(ArtifactsInput!$M$27,Inputs!$B$4="Chapter Hunt"),CHOOSE(ArtifactsInput!$N$27+1,20,24,28,32,36,40),0)/100)))+1)),0)</f>
        <v/>
      </c>
      <c r="S1616" t="n">
        <v>0</v>
      </c>
      <c r="T1616">
        <f>290*T1615/1000</f>
        <v/>
      </c>
      <c r="U1616" t="n">
        <v>0</v>
      </c>
    </row>
    <row r="1617">
      <c r="A1617">
        <f>Skills!A5</f>
        <v/>
      </c>
      <c r="B1617">
        <f>Skills!B5</f>
        <v/>
      </c>
      <c r="C1617">
        <f>Inputs!$B$3&gt;=40</f>
        <v/>
      </c>
      <c r="D1617">
        <f>IF(Skills!C5=1,60+Inputs!$B$26+Inputs!$B$30,IF(Skills!C5=2,90+Inputs!$B$27+Inputs!$B$30,IF(Skills!C5=3,120+Inputs!$B$28+Inputs!$B$30,MAX(0,(Inputs!$B$3-100)*3)+Inputs!$B$29+Inputs!$B$30)))</f>
        <v/>
      </c>
      <c r="E1617">
        <f>INDEX(FactorTable!$B$2:$Y$301, MATCH(ROUND(MIN(300,MAX(1,D1617)),0), FactorTable!$A$2:$A$301,0), Skills!L5+1)</f>
        <v/>
      </c>
      <c r="F1617">
        <f>IF(Skills!M5=TRUE,(Skills!K5/10)*(E1617/1000),Skills!K5/10)+Skills!N5</f>
        <v/>
      </c>
      <c r="G1617">
        <f>Calc!G5</f>
        <v/>
      </c>
      <c r="H1617">
        <f>Calc!H5</f>
        <v/>
      </c>
      <c r="I1617">
        <f>IF(Skills!T5&lt;&gt;"",1+(Skills!T5/10)*($Z$3/1000)/100,1)</f>
        <v/>
      </c>
      <c r="J1617" t="inlineStr"/>
      <c r="K1617" t="inlineStr"/>
      <c r="L1617" t="inlineStr"/>
      <c r="M1617" t="inlineStr"/>
      <c r="N1617" t="inlineStr"/>
      <c r="O1617">
        <f>(1-Summary!$B$11)*S1617+Summary!$B$11*U1617</f>
        <v/>
      </c>
      <c r="P1617">
        <f>IF(B1654=0,0,O1617/B1654)</f>
        <v/>
      </c>
      <c r="Q1617">
        <f>IFERROR(1/(IF(Inputs!$B$39="pvp",15,MAX(0.1,Skills!D5-IF(Skills!E5=TRUE,Inputs!$B$33,0)))*(1-IF(AND(ArtifactsInput!$M$27,Inputs!$B$4="Chapter Hunt"),CHOOSE(ArtifactsInput!$N$27+1,20,24,28,32,36,40),0)/100)),0)</f>
        <v/>
      </c>
      <c r="R1617">
        <f>IF(AND(Inputs!$B$39&lt;&gt;"pvp",Inputs!$B$44&gt;0),IF(Inputs!$B$44&lt;=0,0,(INT(Inputs!$B$44/(IF(Inputs!$B$39="pvp",15,MAX(0.1,Skills!D5-IF(Skills!E5=TRUE,Inputs!$B$33,0)))*(1-IF(AND(ArtifactsInput!$M$27,Inputs!$B$4="Chapter Hunt"),CHOOSE(ArtifactsInput!$N$27+1,20,24,28,32,36,40),0)/100)))+1)),0)</f>
        <v/>
      </c>
      <c r="S1617" t="n">
        <v>0</v>
      </c>
      <c r="U1617" t="n">
        <v>0</v>
      </c>
    </row>
    <row r="1618">
      <c r="A1618">
        <f>Skills!A6</f>
        <v/>
      </c>
      <c r="B1618">
        <f>Skills!B6</f>
        <v/>
      </c>
      <c r="C1618">
        <f>Inputs!$B$3&gt;=103</f>
        <v/>
      </c>
      <c r="D1618">
        <f>IF(Skills!C6=1,60+Inputs!$B$26+Inputs!$B$30,IF(Skills!C6=2,90+Inputs!$B$27+Inputs!$B$30,IF(Skills!C6=3,120+Inputs!$B$28+Inputs!$B$30,MAX(0,(Inputs!$B$3-100)*3)+Inputs!$B$29+Inputs!$B$30)))</f>
        <v/>
      </c>
      <c r="E1618">
        <f>INDEX(FactorTable!$B$2:$Y$301, MATCH(ROUND(MIN(300,MAX(1,D1618)),0), FactorTable!$A$2:$A$301,0), Skills!L6+1)</f>
        <v/>
      </c>
      <c r="F1618">
        <f>IF(Skills!M6=TRUE,(Skills!K6/10)*(E1618/1000),Skills!K6/10)+Skills!N6</f>
        <v/>
      </c>
      <c r="G1618">
        <f>Calc!G6</f>
        <v/>
      </c>
      <c r="H1618">
        <f>Calc!H6</f>
        <v/>
      </c>
      <c r="I1618">
        <f>IF(Skills!T6&lt;&gt;"",1+(Skills!T6/10)*($Z$3/1000)/100,1)</f>
        <v/>
      </c>
      <c r="J1618">
        <f>((Inputs!$B$6*(1+Inputs!$B$7/100))+(((Inputs!$B$13*(1+Inputs!$B$14/100))-(Inputs!$B$13*(1+Inputs!$B$14/100)))+0.25*(Inputs!$B$15-Inputs!$B$15))*(1+Inputs!$B$7/100))*(F1618/100)</f>
        <v/>
      </c>
      <c r="K1618">
        <f>J1618*(1+(((Inputs!$B$13+IF(Inputs!$B$3&gt;=35,(10*INDEX(FactorTable!$B$2:$Y$301,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6="TRIUMPH_FEATHER",IF(C1628=TRUE,F1628,0),0)/100)*(1+IF(C1639=TRUE,F1639,0)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1618)</f>
        <v/>
      </c>
      <c r="L1618">
        <f>K1618*(MIN(Inputs!$B$23+(F1634-Calc!F22),(Inputs!$B$24+IF(ArtifactsInput!$M$15,CHOOSE(ArtifactsInput!$N$15+1,25,30,35,40,45,50)/100*(Inputs!$B$12-Inputs!$B$12),0)))/100+(Inputs!$B$24+IF(ArtifactsInput!$M$15,CHOOSE(ArtifactsInput!$N$15+1,25,30,35,40,45,50)/100*(Inputs!$B$12-Inputs!$B$12),0))/100)/2</f>
        <v/>
      </c>
      <c r="M1618">
        <f>L1618*(1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8">
        <f>L1618*(1-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1618*(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8">
        <f>(1-Summary!$B$11)*S1618+Summary!$B$11*U1618</f>
        <v/>
      </c>
      <c r="P1618">
        <f>IF(B1654=0,0,O1618/B1654)</f>
        <v/>
      </c>
      <c r="Q1618">
        <f>IFERROR(1/(IF(Inputs!$B$39="pvp",15,MAX(0.1,Skills!D6-IF(Skills!E6=TRUE,Inputs!$B$33,0)))*(1-IF(AND(ArtifactsInput!$M$27,Inputs!$B$4="Chapter Hunt"),CHOOSE(ArtifactsInput!$N$27+1,20,24,28,32,36,40),0)/100)),0)</f>
        <v/>
      </c>
      <c r="R1618">
        <f>IF(AND(Inputs!$B$39&lt;&gt;"pvp",Inputs!$B$44&gt;0),IF(MAX(0,Inputs!$B$44-B1651)&lt;=0,0,(INT(MAX(0,Inputs!$B$44-B1651)/(IF(Inputs!$B$39="pvp",15,MAX(0.1,Skills!D6-IF(Skills!E6=TRUE,Inputs!$B$33,0)))*(1-IF(AND(ArtifactsInput!$M$27,Inputs!$B$4="Chapter Hunt"),CHOOSE(ArtifactsInput!$N$27+1,20,24,28,32,36,40),0)/100)))+1)),0)</f>
        <v/>
      </c>
      <c r="S1618">
        <f>IF(C1618,(H1618*N1618*IF(AND(Inputs!$B$39&lt;&gt;"pvp",Inputs!$B$44&gt;0),((Skills!F6*((R1618-1)*IF(Skills!G6&gt;0,Skills!H6/Skills!G6,1)+IF(Skills!G6&gt;0,MIN(Skills!H6,MAX(0,MAX(0,Inputs!$B$44-B1651)-((R1618-1)*(IF(Inputs!$B$39="pvp",15,MAX(0.1,Skills!D6-IF(Skills!E6=TRUE,Inputs!$B$33,0)))*(1-IF(AND(ArtifactsInput!$M$27,Inputs!$B$4="Chapter Hunt"),CHOOSE(ArtifactsInput!$N$27+1,20,24,28,32,36,40),0)/100)))))/Skills!G6,1)))/Inputs!$B$44),G1618*Q1618))*IF(Inputs!$B$39="pvp",1,1+(Inputs!$B$21+Skills!O6+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1618*(1-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1618*(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1618*(1-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1618*(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8">
        <f>IF(C1618,(H1618*N1618*IF(AND(Inputs!$B$39&lt;&gt;"pvp",Inputs!$B$44&gt;0),((Skills!F6*((R1618-1)*IF(Skills!G6&gt;0,Skills!H6/Skills!G6,1)+IF(Skills!G6&gt;0,MIN(Skills!H6,MAX(0,MAX(0,Inputs!$B$44-B1651)-((R1618-1)*(IF(Inputs!$B$39="pvp",15,MAX(0.1,Skills!D6-IF(Skills!E6=TRUE,Inputs!$B$33,0)))*(1-IF(AND(ArtifactsInput!$M$27,Inputs!$B$4="Chapter Hunt"),CHOOSE(ArtifactsInput!$N$27+1,20,24,28,32,36,40),0)/100)))))/Skills!G6,1)))/Inputs!$B$44),G1618*Q1618))*IF(Inputs!$B$39="pvp",1,(1+(Inputs!$B$22+Skills!P6+B1643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9">
      <c r="A1619">
        <f>Skills!A7</f>
        <v/>
      </c>
      <c r="B1619">
        <f>Skills!B7</f>
        <v/>
      </c>
      <c r="C1619">
        <f>Inputs!$B$3&gt;=122</f>
        <v/>
      </c>
      <c r="D1619">
        <f>IF(Skills!C7=1,60+Inputs!$B$26+Inputs!$B$30,IF(Skills!C7=2,90+Inputs!$B$27+Inputs!$B$30,IF(Skills!C7=3,120+Inputs!$B$28+Inputs!$B$30,MAX(0,(Inputs!$B$3-100)*3)+Inputs!$B$29+Inputs!$B$30)))</f>
        <v/>
      </c>
      <c r="E1619">
        <f>INDEX(FactorTable!$B$2:$Y$301, MATCH(ROUND(MIN(300,MAX(1,D1619)),0), FactorTable!$A$2:$A$301,0), Skills!L7+1)</f>
        <v/>
      </c>
      <c r="F1619">
        <f>IF(Skills!M7=TRUE,(Skills!K7/10)*(E1619/1000),Skills!K7/10)+Skills!N7</f>
        <v/>
      </c>
      <c r="G1619">
        <f>Calc!G7</f>
        <v/>
      </c>
      <c r="H1619">
        <f>Calc!H7</f>
        <v/>
      </c>
      <c r="I1619">
        <f>IF(Skills!T7&lt;&gt;"",1+(Skills!T7/10)*($Z$3/1000)/100,1)</f>
        <v/>
      </c>
      <c r="J1619">
        <f>((Inputs!$B$6*(1+Inputs!$B$7/100))+(((Inputs!$B$13*(1+Inputs!$B$14/100))-(Inputs!$B$13*(1+Inputs!$B$14/100)))+0.25*(Inputs!$B$15-Inputs!$B$15))*(1+Inputs!$B$7/100))*(F1619/100)</f>
        <v/>
      </c>
      <c r="K1619">
        <f>J1619*(1+(((Inputs!$B$13+IF(Inputs!$B$3&gt;=35,(10*INDEX(FactorTable!$B$2:$Y$301,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7="TRIUMPH_FEATHER",IF(C1628=TRUE,F1628,0),0)/100)*(1+IF(C1639=TRUE,F1639,0)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1619)</f>
        <v/>
      </c>
      <c r="L1619">
        <f>K1619*(MIN(Inputs!$B$23+(F1634-Calc!F22),(Inputs!$B$24+IF(ArtifactsInput!$M$15,CHOOSE(ArtifactsInput!$N$15+1,25,30,35,40,45,50)/100*(Inputs!$B$12-Inputs!$B$12),0)))/100+(Inputs!$B$24+IF(ArtifactsInput!$M$15,CHOOSE(ArtifactsInput!$N$15+1,25,30,35,40,45,50)/100*(Inputs!$B$12-Inputs!$B$12),0))/100)/2</f>
        <v/>
      </c>
      <c r="M1619">
        <f>L1619*(1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9">
        <f>L1619*(1-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1619*(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9">
        <f>(1-Summary!$B$11)*S1619+Summary!$B$11*U1619</f>
        <v/>
      </c>
      <c r="P1619">
        <f>IF(B1654=0,0,O1619/B1654)</f>
        <v/>
      </c>
      <c r="Q1619">
        <f>IFERROR(1/(IF(Inputs!$B$39="pvp",15,MAX(0.1,Skills!D7-IF(Skills!E6=TRUE,Inputs!$B$33,0)))*(1-IF(AND(ArtifactsInput!$M$27,Inputs!$B$4="Chapter Hunt"),CHOOSE(ArtifactsInput!$N$27+1,20,24,28,32,36,40),0)/100)),0)</f>
        <v/>
      </c>
      <c r="R1619">
        <f>IF(AND(Inputs!$B$39&lt;&gt;"pvp",Inputs!$B$44&gt;0),IF(MAX(0,Inputs!$B$44-B1651)&lt;=0,0,(INT(MAX(0,Inputs!$B$44-B1651)/(IF(Inputs!$B$39="pvp",15,MAX(0.1,Skills!D7-IF(Skills!E6=TRUE,Inputs!$B$33,0)))*(1-IF(AND(ArtifactsInput!$M$27,Inputs!$B$4="Chapter Hunt"),CHOOSE(ArtifactsInput!$N$27+1,20,24,28,32,36,40),0)/100)))+1)),0)</f>
        <v/>
      </c>
      <c r="S1619">
        <f>IF(C1619,H1619*N1619*IF(AND(Inputs!$B$39&lt;&gt;"pvp",Inputs!$B$44&gt;0),((Skills!F7*((R1619-1)*IF(Skills!G7&gt;0,Skills!H7/Skills!G7,1)+IF(Skills!G7&gt;0,MIN(Skills!H7,MAX(0,MAX(0,Inputs!$B$44-B1651)-((R1619-1)*(IF(Inputs!$B$39="pvp",15,MAX(0.1,Skills!D7-IF(Skills!E6=TRUE,Inputs!$B$33,0)))*(1-IF(AND(ArtifactsInput!$M$27,Inputs!$B$4="Chapter Hunt"),CHOOSE(ArtifactsInput!$N$27+1,20,24,28,32,36,40),0)/100)))))/Skills!G7,1)))/Inputs!$B$44),G1619*Q1619)*IF(Inputs!$B$39="pvp",1,1+(Inputs!$B$21+Skills!O7+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1619*(1-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1619*(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1619*(1-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1619*(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9" t="n">
        <v>0</v>
      </c>
    </row>
    <row r="1620">
      <c r="A1620">
        <f>Skills!A8</f>
        <v/>
      </c>
      <c r="B1620">
        <f>Skills!B8</f>
        <v/>
      </c>
      <c r="C1620">
        <f>Inputs!$B$3&gt;=105</f>
        <v/>
      </c>
      <c r="D1620">
        <f>IF(Skills!C8=1,60+Inputs!$B$26+Inputs!$B$30,IF(Skills!C8=2,90+Inputs!$B$27+Inputs!$B$30,IF(Skills!C8=3,120+Inputs!$B$28+Inputs!$B$30,MAX(0,(Inputs!$B$3-100)*3)+Inputs!$B$29+Inputs!$B$30)))</f>
        <v/>
      </c>
      <c r="E1620">
        <f>INDEX(FactorTable!$B$2:$Y$301, MATCH(ROUND(MIN(300,MAX(1,D1620)),0), FactorTable!$A$2:$A$301,0), Skills!L8+1)</f>
        <v/>
      </c>
      <c r="F1620">
        <f>IF(Skills!M8=TRUE,(Skills!K8/10)*(E1620/1000),Skills!K8/10)+Skills!N8</f>
        <v/>
      </c>
      <c r="G1620">
        <f>Calc!G8</f>
        <v/>
      </c>
      <c r="H1620">
        <f>Calc!H8</f>
        <v/>
      </c>
      <c r="I1620">
        <f>IF(Skills!T8&lt;&gt;"",1+(Skills!T8/10)*($Z$3/1000)/100,1)</f>
        <v/>
      </c>
      <c r="J1620">
        <f>((Inputs!$B$6*(1+Inputs!$B$7/100))+(((Inputs!$B$13*(1+Inputs!$B$14/100))-(Inputs!$B$13*(1+Inputs!$B$14/100)))+0.25*(Inputs!$B$15-Inputs!$B$15))*(1+Inputs!$B$7/100))*(F1620/100)</f>
        <v/>
      </c>
      <c r="K1620">
        <f>J1620*(1+(((Inputs!$B$13+IF(Inputs!$B$3&gt;=35,(10*INDEX(FactorTable!$B$2:$Y$301,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8="TRIUMPH_FEATHER",IF(C1628=TRUE,F1628,0),0)/100)*(1+IF(C1639=TRUE,F1639,0)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1620)</f>
        <v/>
      </c>
      <c r="L1620">
        <f>K1620*(MIN(Inputs!$B$23+(F1634-Calc!F22),(Inputs!$B$24+IF(ArtifactsInput!$M$15,CHOOSE(ArtifactsInput!$N$15+1,25,30,35,40,45,50)/100*(Inputs!$B$12-Inputs!$B$12),0)))/100+(Inputs!$B$24+IF(ArtifactsInput!$M$15,CHOOSE(ArtifactsInput!$N$15+1,25,30,35,40,45,50)/100*(Inputs!$B$12-Inputs!$B$12),0))/100)/2</f>
        <v/>
      </c>
      <c r="M1620">
        <f>L1620*(1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0">
        <f>L1620*(1-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1620*(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0">
        <f>(1-Summary!$B$11)*S1620+Summary!$B$11*U1620</f>
        <v/>
      </c>
      <c r="P1620">
        <f>IF(B1654=0,0,O1620/B1654)</f>
        <v/>
      </c>
      <c r="Q1620">
        <f>IFERROR(1/(IF(Inputs!$B$39="pvp",15,MAX(0.1,Skills!D8-IF(Skills!E8=TRUE,Inputs!$B$33,0)))*(1-IF(AND(ArtifactsInput!$M$27,Inputs!$B$4="Chapter Hunt"),CHOOSE(ArtifactsInput!$N$27+1,20,24,28,32,36,40),0)/100)),0)</f>
        <v/>
      </c>
      <c r="R1620">
        <f>IF(AND(Inputs!$B$39&lt;&gt;"pvp",Inputs!$B$44&gt;0),IF(MAX(0,Inputs!$B$44-B1651)&lt;=0,0,(INT(MAX(0,Inputs!$B$44-B1651)/(IF(Inputs!$B$39="pvp",15,MAX(0.1,Skills!D8-IF(Skills!E8=TRUE,Inputs!$B$33,0)))*(1-IF(AND(ArtifactsInput!$M$27,Inputs!$B$4="Chapter Hunt"),CHOOSE(ArtifactsInput!$N$27+1,20,24,28,32,36,40),0)/100)))+1)),0)</f>
        <v/>
      </c>
      <c r="S1620">
        <f>IF(C1620,(H1620*N1620*IF(AND(Inputs!$B$39&lt;&gt;"pvp",Inputs!$B$44&gt;0),((Skills!F8*((R1620-1)*IF(Skills!G8&gt;0,Skills!H8/Skills!G8,1)+IF(Skills!G8&gt;0,MIN(Skills!H8,MAX(0,MAX(0,Inputs!$B$44-B1651)-((R1620-1)*(IF(Inputs!$B$39="pvp",15,MAX(0.1,Skills!D8-IF(Skills!E8=TRUE,Inputs!$B$33,0)))*(1-IF(AND(ArtifactsInput!$M$27,Inputs!$B$4="Chapter Hunt"),CHOOSE(ArtifactsInput!$N$27+1,20,24,28,32,36,40),0)/100)))))/Skills!G8,1)))/Inputs!$B$44),G1620*Q1620))*IF(Inputs!$B$39="pvp",1,1+(Inputs!$B$21+Skills!O8+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1620*(1-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1620*(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1620*(1-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1620*(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0">
        <f>IF(C1620,(H1620*N1620*IF(AND(Inputs!$B$39&lt;&gt;"pvp",Inputs!$B$44&gt;0),((Skills!F8*((R1620-1)*IF(Skills!G8&gt;0,Skills!H8/Skills!G8,1)+IF(Skills!G8&gt;0,MIN(Skills!H8,MAX(0,MAX(0,Inputs!$B$44-B1651)-((R1620-1)*(IF(Inputs!$B$39="pvp",15,MAX(0.1,Skills!D8-IF(Skills!E8=TRUE,Inputs!$B$33,0)))*(1-IF(AND(ArtifactsInput!$M$27,Inputs!$B$4="Chapter Hunt"),CHOOSE(ArtifactsInput!$N$27+1,20,24,28,32,36,40),0)/100)))))/Skills!G8,1)))/Inputs!$B$44),G1620*Q1620))*IF(Inputs!$B$39="pvp",1,(1+(Inputs!$B$22+Skills!P8+B1643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1">
      <c r="A1621">
        <f>Skills!A9</f>
        <v/>
      </c>
      <c r="B1621">
        <f>Skills!B9</f>
        <v/>
      </c>
      <c r="C1621">
        <f>Inputs!$B$3&gt;=115</f>
        <v/>
      </c>
      <c r="D1621">
        <f>IF(Skills!C9=1,60+Inputs!$B$26+Inputs!$B$30,IF(Skills!C9=2,90+Inputs!$B$27+Inputs!$B$30,IF(Skills!C9=3,120+Inputs!$B$28+Inputs!$B$30,MAX(0,(Inputs!$B$3-100)*3)+Inputs!$B$29+Inputs!$B$30)))</f>
        <v/>
      </c>
      <c r="E1621">
        <f>INDEX(FactorTable!$B$2:$Y$301, MATCH(ROUND(MIN(300,MAX(1,D1621)),0), FactorTable!$A$2:$A$301,0), Skills!L9+1)</f>
        <v/>
      </c>
      <c r="F1621">
        <f>IF(Skills!M9=TRUE,(Skills!K9/10)*(E1621/1000),Skills!K9/10)+Skills!N9</f>
        <v/>
      </c>
      <c r="G1621">
        <f>Calc!G9</f>
        <v/>
      </c>
      <c r="H1621">
        <f>Calc!H9</f>
        <v/>
      </c>
      <c r="I1621">
        <f>IF(Skills!T9&lt;&gt;"",1+(Skills!T9/10)*($Z$3/1000)/100,1)</f>
        <v/>
      </c>
      <c r="J1621">
        <f>((Inputs!$B$6*(1+Inputs!$B$7/100))+(((Inputs!$B$13*(1+Inputs!$B$14/100))-(Inputs!$B$13*(1+Inputs!$B$14/100)))+0.25*(Inputs!$B$15-Inputs!$B$15))*(1+Inputs!$B$7/100))*(F1621/100)</f>
        <v/>
      </c>
      <c r="K1621">
        <f>J1621*(1+(((Inputs!$B$13+IF(Inputs!$B$3&gt;=35,(10*INDEX(FactorTable!$B$2:$Y$301,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9="TRIUMPH_FEATHER",IF(C1628=TRUE,F1628,0),0)/100)*(1+IF(C1639=TRUE,F1639,0)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1621)</f>
        <v/>
      </c>
      <c r="L1621">
        <f>K1621*(MIN(Inputs!$B$23+(F1634-Calc!F22),(Inputs!$B$24+IF(ArtifactsInput!$M$15,CHOOSE(ArtifactsInput!$N$15+1,25,30,35,40,45,50)/100*(Inputs!$B$12-Inputs!$B$12),0)))/100+(Inputs!$B$24+IF(ArtifactsInput!$M$15,CHOOSE(ArtifactsInput!$N$15+1,25,30,35,40,45,50)/100*(Inputs!$B$12-Inputs!$B$12),0))/100)/2</f>
        <v/>
      </c>
      <c r="M1621">
        <f>L1621*(1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1">
        <f>L1621*(1-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1">
        <f>(1-Summary!$B$11)*S1621+Summary!$B$11*U1621</f>
        <v/>
      </c>
      <c r="P1621">
        <f>IF(B1654=0,0,O1621/B1654)</f>
        <v/>
      </c>
      <c r="Q1621">
        <f>IFERROR(1/(IF(Inputs!$B$39="pvp",15,MAX(0.1,Skills!D9-IF(Skills!E9=TRUE,Inputs!$B$33,0)))*(1-IF(AND(ArtifactsInput!$M$27,Inputs!$B$4="Chapter Hunt"),CHOOSE(ArtifactsInput!$N$27+1,20,24,28,32,36,40),0)/100)),0)</f>
        <v/>
      </c>
      <c r="R1621">
        <f>IF(AND(Inputs!$B$39&lt;&gt;"pvp",Inputs!$B$44&gt;0),IF(MAX(0,Inputs!$B$44-B1651)&lt;=0,0,(INT(MAX(0,Inputs!$B$44-B1651)/(IF(Inputs!$B$39="pvp",15,MAX(0.1,Skills!D9-IF(Skills!E9=TRUE,Inputs!$B$33,0)))*(1-IF(AND(ArtifactsInput!$M$27,Inputs!$B$4="Chapter Hunt"),CHOOSE(ArtifactsInput!$N$27+1,20,24,28,32,36,40),0)/100)))+1)),0)</f>
        <v/>
      </c>
      <c r="S1621">
        <f>IF(C1621,(H1621*N1621*IF(AND(Inputs!$B$39&lt;&gt;"pvp",Inputs!$B$44&gt;0),((Skills!F9*((R1621-1)*IF(Skills!G9&gt;0,Skills!H9/Skills!G9,1)+IF(Skills!G9&gt;0,MIN(Skills!H9,MAX(0,MAX(0,Inputs!$B$44-B1651)-((R1621-1)*(IF(Inputs!$B$39="pvp",15,MAX(0.1,Skills!D9-IF(Skills!E9=TRUE,Inputs!$B$33,0)))*(1-IF(AND(ArtifactsInput!$M$27,Inputs!$B$4="Chapter Hunt"),CHOOSE(ArtifactsInput!$N$27+1,20,24,28,32,36,40),0)/100)))))/Skills!G9,1)))/Inputs!$B$44),G1621*Q1621))*IF(Inputs!$B$39="pvp",1,1+(Inputs!$B$21+Skills!O9+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1621*(1-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1">
        <f>IF(C1621,(H1621*N1621*IF(AND(Inputs!$B$39&lt;&gt;"pvp",Inputs!$B$44&gt;0),((Skills!F9*((R1621-1)*IF(Skills!G9&gt;0,Skills!H9/Skills!G9,1)+IF(Skills!G9&gt;0,MIN(Skills!H9,MAX(0,MAX(0,Inputs!$B$44-B1651)-((R1621-1)*(IF(Inputs!$B$39="pvp",15,MAX(0.1,Skills!D9-IF(Skills!E9=TRUE,Inputs!$B$33,0)))*(1-IF(AND(ArtifactsInput!$M$27,Inputs!$B$4="Chapter Hunt"),CHOOSE(ArtifactsInput!$N$27+1,20,24,28,32,36,40),0)/100)))))/Skills!G9,1)))/Inputs!$B$44),G1621*Q1621))*IF(Inputs!$B$39="pvp",1,(1+(Inputs!$B$22+Skills!P9+B1643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2">
      <c r="A1622">
        <f>Skills!A10</f>
        <v/>
      </c>
      <c r="B1622">
        <f>Skills!B10</f>
        <v/>
      </c>
      <c r="C1622">
        <f>Inputs!$B$3&gt;=66</f>
        <v/>
      </c>
      <c r="D1622">
        <f>IF(Skills!C10=1,60+Inputs!$B$26+Inputs!$B$30,IF(Skills!C10=2,90+Inputs!$B$27+Inputs!$B$30,IF(Skills!C10=3,120+Inputs!$B$28+Inputs!$B$30,MAX(0,(Inputs!$B$3-100)*3)+Inputs!$B$29+Inputs!$B$30)))</f>
        <v/>
      </c>
      <c r="E1622">
        <f>INDEX(FactorTable!$B$2:$Y$301, MATCH(ROUND(MIN(300,MAX(1,D1622)),0), FactorTable!$A$2:$A$301,0), Skills!L10+1)</f>
        <v/>
      </c>
      <c r="F1622" t="n">
        <v>0</v>
      </c>
      <c r="G1622">
        <f>Calc!G10</f>
        <v/>
      </c>
      <c r="H1622">
        <f>Calc!H10</f>
        <v/>
      </c>
      <c r="I1622">
        <f>IF(Skills!T10&lt;&gt;"",1+(Skills!T10/10)*($Z$3/1000)/100,1)</f>
        <v/>
      </c>
      <c r="J1622" t="inlineStr"/>
      <c r="K1622" t="inlineStr"/>
      <c r="L1622" t="inlineStr"/>
      <c r="M1622" t="inlineStr"/>
      <c r="N1622" t="inlineStr"/>
      <c r="O1622">
        <f>(1-Summary!$B$11)*S1622+Summary!$B$11*U1622</f>
        <v/>
      </c>
      <c r="P1622">
        <f>IF(B1654=0,0,O1622/B1654)</f>
        <v/>
      </c>
      <c r="Q1622">
        <f>IFERROR(1/(IF(Inputs!$B$39="pvp",15,MAX(0.1,Skills!D10-IF(Skills!E10=TRUE,Inputs!$B$33,0)))*(1-IF(AND(ArtifactsInput!$M$27,Inputs!$B$4="Chapter Hunt"),CHOOSE(ArtifactsInput!$N$27+1,20,24,28,32,36,40),0)/100)),0)</f>
        <v/>
      </c>
      <c r="R1622">
        <f>IF(AND(Inputs!$B$39&lt;&gt;"pvp",Inputs!$B$44&gt;0),IF(MAX(0,Inputs!$B$44-B1651)&lt;=0,0,(INT(MAX(0,Inputs!$B$44-B1651)/(IF(Inputs!$B$39="pvp",15,MAX(0.1,Skills!D10-IF(Skills!E10=TRUE,Inputs!$B$33,0)))*(1-IF(AND(ArtifactsInput!$M$27,Inputs!$B$4="Chapter Hunt"),CHOOSE(ArtifactsInput!$N$27+1,20,24,28,32,36,40),0)/100)))+1)),0)</f>
        <v/>
      </c>
      <c r="S1622" t="n">
        <v>0</v>
      </c>
      <c r="U1622" t="n">
        <v>0</v>
      </c>
    </row>
    <row r="1623">
      <c r="A1623">
        <f>Skills!A11</f>
        <v/>
      </c>
      <c r="B1623">
        <f>Skills!B11</f>
        <v/>
      </c>
      <c r="C1623">
        <f>Inputs!$B$3&gt;=69</f>
        <v/>
      </c>
      <c r="D1623">
        <f>IF(Skills!C11=1,60+Inputs!$B$26+Inputs!$B$30,IF(Skills!C11=2,90+Inputs!$B$27+Inputs!$B$30,IF(Skills!C11=3,120+Inputs!$B$28+Inputs!$B$30,MAX(0,(Inputs!$B$3-100)*3)+Inputs!$B$29+Inputs!$B$30)))</f>
        <v/>
      </c>
      <c r="E1623">
        <f>INDEX(FactorTable!$B$2:$Y$301, MATCH(ROUND(MIN(300,MAX(1,D1623)),0), FactorTable!$A$2:$A$301,0), Skills!L11+1)</f>
        <v/>
      </c>
      <c r="F1623">
        <f>IF(Skills!M11=TRUE,(Skills!K11/10)*(E1623/1000),Skills!K11/10)+Skills!N11</f>
        <v/>
      </c>
      <c r="G1623">
        <f>Calc!G11</f>
        <v/>
      </c>
      <c r="H1623">
        <f>Calc!H11</f>
        <v/>
      </c>
      <c r="I1623">
        <f>IF(Skills!T11&lt;&gt;"",1+(Skills!T11/10)*($Z$3/1000)/100,1)</f>
        <v/>
      </c>
      <c r="J1623" t="inlineStr"/>
      <c r="K1623" t="inlineStr"/>
      <c r="L1623" t="inlineStr"/>
      <c r="M1623" t="inlineStr"/>
      <c r="N1623" t="inlineStr"/>
      <c r="O1623">
        <f>(1-Summary!$B$11)*S1623+Summary!$B$11*U1623</f>
        <v/>
      </c>
      <c r="P1623">
        <f>IF(B1654=0,0,O1623/B1654)</f>
        <v/>
      </c>
      <c r="Q1623">
        <f>IFERROR(1/(IF(Inputs!$B$39="pvp",15,MAX(0.1,Skills!D11-IF(Skills!E11=TRUE,Inputs!$B$33,0)))*(1-IF(AND(ArtifactsInput!$M$27,Inputs!$B$4="Chapter Hunt"),CHOOSE(ArtifactsInput!$N$27+1,20,24,28,32,36,40),0)/100)),0)</f>
        <v/>
      </c>
      <c r="R1623">
        <f>IF(AND(Inputs!$B$39&lt;&gt;"pvp",Inputs!$B$44&gt;0),IF(Inputs!$B$44&lt;=0,0,(INT(Inputs!$B$44/(IF(Inputs!$B$39="pvp",15,MAX(0.1,Skills!D11-IF(Skills!E11=TRUE,Inputs!$B$33,0)))*(1-IF(AND(ArtifactsInput!$M$27,Inputs!$B$4="Chapter Hunt"),CHOOSE(ArtifactsInput!$N$27+1,20,24,28,32,36,40),0)/100)))+1)),0)</f>
        <v/>
      </c>
      <c r="S1623" t="n">
        <v>0</v>
      </c>
      <c r="U1623" t="n">
        <v>0</v>
      </c>
    </row>
    <row r="1624">
      <c r="A1624">
        <f>Skills!A12</f>
        <v/>
      </c>
      <c r="B1624">
        <f>Skills!B12</f>
        <v/>
      </c>
      <c r="C1624">
        <f>Inputs!$B$3&gt;=72</f>
        <v/>
      </c>
      <c r="D1624">
        <f>IF(Skills!C12=1,60+Inputs!$B$26+Inputs!$B$30,IF(Skills!C12=2,90+Inputs!$B$27+Inputs!$B$30,IF(Skills!C12=3,120+Inputs!$B$28+Inputs!$B$30,MAX(0,(Inputs!$B$3-100)*3)+Inputs!$B$29+Inputs!$B$30)))</f>
        <v/>
      </c>
      <c r="E1624">
        <f>INDEX(FactorTable!$B$2:$Y$301, MATCH(ROUND(MIN(300,MAX(1,D1624)),0), FactorTable!$A$2:$A$301,0), Skills!L12+1)</f>
        <v/>
      </c>
      <c r="F1624">
        <f>IF(Skills!M12=TRUE,(Skills!K12/10)*(E1624/1000),Skills!K12/10)+Skills!N12</f>
        <v/>
      </c>
      <c r="G1624">
        <f>Calc!G12</f>
        <v/>
      </c>
      <c r="H1624">
        <f>Calc!H12</f>
        <v/>
      </c>
      <c r="I1624">
        <f>IF(Skills!T12&lt;&gt;"",1+(Skills!T12/10)*($Z$3/1000)/100,1)</f>
        <v/>
      </c>
      <c r="J1624" t="inlineStr"/>
      <c r="K1624" t="inlineStr"/>
      <c r="L1624" t="inlineStr"/>
      <c r="M1624" t="inlineStr"/>
      <c r="N1624" t="inlineStr"/>
      <c r="O1624">
        <f>(1-Summary!$B$11)*S1624+Summary!$B$11*U1624</f>
        <v/>
      </c>
      <c r="P1624">
        <f>IF(B1654=0,0,O1624/B1654)</f>
        <v/>
      </c>
      <c r="Q1624">
        <f>IFERROR(1/(IF(Inputs!$B$39="pvp",15,MAX(0.1,Skills!D12-IF(Skills!E12=TRUE,Inputs!$B$33,0)))*(1-IF(AND(ArtifactsInput!$M$27,Inputs!$B$4="Chapter Hunt"),CHOOSE(ArtifactsInput!$N$27+1,20,24,28,32,36,40),0)/100)),0)</f>
        <v/>
      </c>
      <c r="R1624">
        <f>IF(AND(Inputs!$B$39&lt;&gt;"pvp",Inputs!$B$44&gt;0),IF(MAX(0,Inputs!$B$44-B1651)&lt;=0,0,(INT(MAX(0,Inputs!$B$44-B1651)/(IF(Inputs!$B$39="pvp",15,MAX(0.1,Skills!D12-IF(Skills!E12=TRUE,Inputs!$B$33,0)))*(1-IF(AND(ArtifactsInput!$M$27,Inputs!$B$4="Chapter Hunt"),CHOOSE(ArtifactsInput!$N$27+1,20,24,28,32,36,40),0)/100)))+1)),0)</f>
        <v/>
      </c>
      <c r="S1624" t="n">
        <v>0</v>
      </c>
      <c r="U1624" t="n">
        <v>0</v>
      </c>
    </row>
    <row r="1625">
      <c r="A1625">
        <f>Skills!A13</f>
        <v/>
      </c>
      <c r="B1625">
        <f>Skills!B13</f>
        <v/>
      </c>
      <c r="C1625">
        <f>Inputs!$B$3&gt;=60</f>
        <v/>
      </c>
      <c r="D1625">
        <f>IF(Skills!C13=1,60+Inputs!$B$26+Inputs!$B$30,IF(Skills!C13=2,90+Inputs!$B$27+Inputs!$B$30,IF(Skills!C13=3,120+Inputs!$B$28+Inputs!$B$30,MAX(0,(Inputs!$B$3-100)*3)+Inputs!$B$29+Inputs!$B$30)))</f>
        <v/>
      </c>
      <c r="E1625">
        <f>INDEX(FactorTable!$B$2:$Y$301, MATCH(ROUND(MIN(300,MAX(1,D1625)),0), FactorTable!$A$2:$A$301,0), Skills!L13+1)</f>
        <v/>
      </c>
      <c r="F1625">
        <f>IF(Skills!M13=TRUE,(Skills!K13/10)*(E1625/1000),Skills!K13/10)+Skills!N13</f>
        <v/>
      </c>
      <c r="G1625">
        <f>Calc!G13</f>
        <v/>
      </c>
      <c r="H1625">
        <f>Calc!H13</f>
        <v/>
      </c>
      <c r="I1625">
        <f>IF(Skills!T13&lt;&gt;"",1+(Skills!T13/10)*($Z$3/1000)/100,1)</f>
        <v/>
      </c>
      <c r="J1625" t="inlineStr"/>
      <c r="K1625" t="inlineStr"/>
      <c r="L1625" t="inlineStr"/>
      <c r="M1625" t="inlineStr"/>
      <c r="N1625" t="inlineStr"/>
      <c r="O1625">
        <f>(1-Summary!$B$11)*S1625+Summary!$B$11*U1625</f>
        <v/>
      </c>
      <c r="P1625">
        <f>IF(B1654=0,0,O1625/B1654)</f>
        <v/>
      </c>
      <c r="Q1625">
        <f>IFERROR(1/(IF(Inputs!$B$39="pvp",15,MAX(0.1,Skills!D13-IF(Skills!E13=TRUE,Inputs!$B$33,0)))*(1-IF(AND(ArtifactsInput!$M$27,Inputs!$B$4="Chapter Hunt"),CHOOSE(ArtifactsInput!$N$27+1,20,24,28,32,36,40),0)/100)),0)</f>
        <v/>
      </c>
      <c r="R1625">
        <f>IF(AND(Inputs!$B$39&lt;&gt;"pvp",Inputs!$B$44&gt;0),IF(MAX(0,Inputs!$B$44-B1651)&lt;=0,0,(INT(MAX(0,Inputs!$B$44-B1651)/(IF(Inputs!$B$39="pvp",15,MAX(0.1,Skills!D13-IF(Skills!E13=TRUE,Inputs!$B$33,0)))*(1-IF(AND(ArtifactsInput!$M$27,Inputs!$B$4="Chapter Hunt"),CHOOSE(ArtifactsInput!$N$27+1,20,24,28,32,36,40),0)/100)))+1)),0)</f>
        <v/>
      </c>
      <c r="S1625" t="n">
        <v>0</v>
      </c>
      <c r="U1625" t="n">
        <v>0</v>
      </c>
    </row>
    <row r="1626">
      <c r="A1626">
        <f>Skills!A14</f>
        <v/>
      </c>
      <c r="B1626">
        <f>Skills!B14</f>
        <v/>
      </c>
      <c r="C1626">
        <f>Inputs!$B$3&gt;=107</f>
        <v/>
      </c>
      <c r="D1626">
        <f>IF(Skills!C14=1,60+Inputs!$B$26+Inputs!$B$30,IF(Skills!C14=2,90+Inputs!$B$27+Inputs!$B$30,IF(Skills!C14=3,120+Inputs!$B$28+Inputs!$B$30,MAX(0,(Inputs!$B$3-100)*3)+Inputs!$B$29+Inputs!$B$30)))</f>
        <v/>
      </c>
      <c r="E1626">
        <f>INDEX(FactorTable!$B$2:$Y$301, MATCH(ROUND(MIN(300,MAX(1,D1626)),0), FactorTable!$A$2:$A$301,0), Skills!L14+1)</f>
        <v/>
      </c>
      <c r="F1626">
        <f>IF(Skills!M14=TRUE,(Skills!K14/10)*(E1626/1000),Skills!K14/10)+Skills!N14</f>
        <v/>
      </c>
      <c r="G1626">
        <f>Calc!G14</f>
        <v/>
      </c>
      <c r="H1626">
        <f>Calc!H14</f>
        <v/>
      </c>
      <c r="I1626">
        <f>IF(Skills!T14&lt;&gt;"",1+(Skills!T14/10)*($Z$3/1000)/100,1)</f>
        <v/>
      </c>
      <c r="J1626" t="inlineStr"/>
      <c r="K1626" t="inlineStr"/>
      <c r="L1626" t="inlineStr"/>
      <c r="M1626" t="inlineStr"/>
      <c r="N1626" t="inlineStr"/>
      <c r="O1626">
        <f>(1-Summary!$B$11)*S1626+Summary!$B$11*U1626</f>
        <v/>
      </c>
      <c r="P1626">
        <f>IF(B1654=0,0,O1626/B1654)</f>
        <v/>
      </c>
      <c r="Q1626">
        <f>IFERROR(1/(IF(Inputs!$B$39="pvp",15,MAX(0.1,Skills!D14-IF(Skills!E14=TRUE,Inputs!$B$33,0)))*(1-IF(AND(ArtifactsInput!$M$27,Inputs!$B$4="Chapter Hunt"),CHOOSE(ArtifactsInput!$N$27+1,20,24,28,32,36,40),0)/100)),0)</f>
        <v/>
      </c>
      <c r="R1626">
        <f>IF(AND(Inputs!$B$39&lt;&gt;"pvp",Inputs!$B$44&gt;0),IF(Inputs!$B$44&lt;=0,0,(INT(Inputs!$B$44/(IF(Inputs!$B$39="pvp",15,MAX(0.1,Skills!D14-IF(Skills!E14=TRUE,Inputs!$B$33,0)))*(1-IF(AND(ArtifactsInput!$M$27,Inputs!$B$4="Chapter Hunt"),CHOOSE(ArtifactsInput!$N$27+1,20,24,28,32,36,40),0)/100)))+1)),0)</f>
        <v/>
      </c>
      <c r="S1626" t="n">
        <v>0</v>
      </c>
      <c r="U1626" t="n">
        <v>0</v>
      </c>
    </row>
    <row r="1627">
      <c r="A1627">
        <f>Skills!A15</f>
        <v/>
      </c>
      <c r="B1627">
        <f>Skills!B15</f>
        <v/>
      </c>
      <c r="C1627">
        <f>Inputs!$B$3&gt;=63</f>
        <v/>
      </c>
      <c r="D1627">
        <f>IF(Skills!C15=1,60+Inputs!$B$26+Inputs!$B$30,IF(Skills!C15=2,90+Inputs!$B$27+Inputs!$B$30,IF(Skills!C15=3,120+Inputs!$B$28+Inputs!$B$30,MAX(0,(Inputs!$B$3-100)*3)+Inputs!$B$29+Inputs!$B$30)))</f>
        <v/>
      </c>
      <c r="E1627">
        <f>INDEX(FactorTable!$B$2:$Y$301, MATCH(ROUND(MIN(300,MAX(1,D1627)),0), FactorTable!$A$2:$A$301,0), Skills!L15+1)</f>
        <v/>
      </c>
      <c r="F1627">
        <f>IF(Skills!M15=TRUE,(Skills!K15/10)*(E1627/1000),Skills!K15/10)+Skills!N15</f>
        <v/>
      </c>
      <c r="G1627">
        <f>Calc!G15</f>
        <v/>
      </c>
      <c r="H1627">
        <f>Calc!H15</f>
        <v/>
      </c>
      <c r="I1627">
        <f>IF(Skills!T15&lt;&gt;"",1+(Skills!T15/10)*($Z$3/1000)/100,1)</f>
        <v/>
      </c>
      <c r="J1627">
        <f>((Inputs!$B$6*(1+Inputs!$B$7/100))+(((Inputs!$B$13*(1+Inputs!$B$14/100))-(Inputs!$B$13*(1+Inputs!$B$14/100)))+0.25*(Inputs!$B$15-Inputs!$B$15))*(1+Inputs!$B$7/100))*(F1627/100)</f>
        <v/>
      </c>
      <c r="K1627">
        <f>J1627*(1+(((Inputs!$B$13+IF(Inputs!$B$3&gt;=35,(10*INDEX(FactorTable!$B$2:$Y$301,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15="TRIUMPH_FEATHER",IF(C1628=TRUE,F1628,0),0)/100)*(1+IF(C1639=TRUE,F1639,0)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1627)</f>
        <v/>
      </c>
      <c r="L1627">
        <f>K1627*(MIN(Inputs!$B$23+(F1634-Calc!F22),(Inputs!$B$24+IF(ArtifactsInput!$M$15,CHOOSE(ArtifactsInput!$N$15+1,25,30,35,40,45,50)/100*(Inputs!$B$12-Inputs!$B$12),0)))/100+(Inputs!$B$24+IF(ArtifactsInput!$M$15,CHOOSE(ArtifactsInput!$N$15+1,25,30,35,40,45,50)/100*(Inputs!$B$12-Inputs!$B$12),0))/100)/2</f>
        <v/>
      </c>
      <c r="M1627">
        <f>L1627*(1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7">
        <f>L1627*(1-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1627*(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7">
        <f>(1-Summary!$B$11)*S1627+Summary!$B$11*U1627</f>
        <v/>
      </c>
      <c r="P1627">
        <f>IF(B1654=0,0,O1627/B1654)</f>
        <v/>
      </c>
      <c r="Q1627">
        <f>IFERROR(1/(IF(Inputs!$B$39="pvp",15,MAX(0.1,Skills!D15-IF(Skills!E15=TRUE,Inputs!$B$33,0)))*(1-IF(AND(ArtifactsInput!$M$27,Inputs!$B$4="Chapter Hunt"),CHOOSE(ArtifactsInput!$N$27+1,20,24,28,32,36,40),0)/100)),0)</f>
        <v/>
      </c>
      <c r="R1627" t="n">
        <v>0</v>
      </c>
      <c r="S1627">
        <f>IF(C1627,(Skills!F15*N1627*((IF(Inputs!$B$3&gt;=78,25,15)/100*B1647*10)/(1+IF(Inputs!$B$3&gt;=78,25,15)/100*B1647*10))*(Skills!I15/100*B1647)/(1+Skills!G15*Skills!I15/100*B1647))*IF(Inputs!$B$39="pvp",1,1+(Inputs!$B$21+Skills!O15+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1627*(1-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1627*(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1627*(1-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1627*(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7">
        <f>IF(C1627,(Skills!F15*N1627*((IF(Inputs!$B$3&gt;=78,25,15)/100*B1647*10)/(1+IF(Inputs!$B$3&gt;=78,25,15)/100*B1647*10))*(Skills!I15/100*B1647)/(1+Skills!G15*Skills!I15/100*B1647))*IF(Inputs!$B$39="pvp",1,(1+(Inputs!$B$22+Skills!P15+B1643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8">
      <c r="A1628">
        <f>Skills!A16</f>
        <v/>
      </c>
      <c r="B1628">
        <f>Skills!B16</f>
        <v/>
      </c>
      <c r="C1628">
        <f>Inputs!$B$3&gt;=100</f>
        <v/>
      </c>
      <c r="D1628">
        <f>IF(Skills!C16=1,60+Inputs!$B$26+Inputs!$B$30,IF(Skills!C16=2,90+Inputs!$B$27+Inputs!$B$30,IF(Skills!C16=3,120+Inputs!$B$28+Inputs!$B$30,MAX(0,(Inputs!$B$3-100)*3)+Inputs!$B$29+Inputs!$B$30)))</f>
        <v/>
      </c>
      <c r="E1628">
        <f>INDEX(FactorTable!$B$2:$Y$301, MATCH(ROUND(MIN(300,MAX(1,D1628)),0), FactorTable!$A$2:$A$301,0), Skills!L16+1)</f>
        <v/>
      </c>
      <c r="F1628">
        <f>IF(Skills!M16=TRUE,(Skills!K16/10)*(E1628/1000),Skills!K16/10)+Skills!N16</f>
        <v/>
      </c>
      <c r="G1628">
        <f>Calc!G16</f>
        <v/>
      </c>
      <c r="H1628">
        <f>Calc!H16</f>
        <v/>
      </c>
      <c r="I1628">
        <f>IF(Skills!T16&lt;&gt;"",1+(Skills!T16/10)*($Z$3/1000)/100,1)</f>
        <v/>
      </c>
      <c r="J1628" t="inlineStr"/>
      <c r="K1628" t="inlineStr"/>
      <c r="L1628" t="inlineStr"/>
      <c r="M1628" t="inlineStr"/>
      <c r="N1628" t="inlineStr"/>
      <c r="O1628">
        <f>(1-Summary!$B$11)*S1628+Summary!$B$11*U1628</f>
        <v/>
      </c>
      <c r="P1628">
        <f>IF(B1654=0,0,O1628/B1654)</f>
        <v/>
      </c>
      <c r="Q1628">
        <f>IFERROR(1/(IF(Inputs!$B$39="pvp",15,MAX(0.1,Skills!D16-IF(Skills!E16=TRUE,Inputs!$B$33,0)))*(1-IF(AND(ArtifactsInput!$M$27,Inputs!$B$4="Chapter Hunt"),CHOOSE(ArtifactsInput!$N$27+1,20,24,28,32,36,40),0)/100)),0)</f>
        <v/>
      </c>
      <c r="R1628" t="n">
        <v>0</v>
      </c>
      <c r="S1628" t="n">
        <v>0</v>
      </c>
      <c r="U1628" t="n">
        <v>0</v>
      </c>
    </row>
    <row r="1629">
      <c r="A1629">
        <f>Skills!A17</f>
        <v/>
      </c>
      <c r="B1629">
        <f>Skills!B17</f>
        <v/>
      </c>
      <c r="C1629">
        <f>Inputs!$B$3&gt;=49</f>
        <v/>
      </c>
      <c r="D1629">
        <f>IF(Skills!C17=1,60+Inputs!$B$26+Inputs!$B$30,IF(Skills!C17=2,90+Inputs!$B$27+Inputs!$B$30,IF(Skills!C17=3,120+Inputs!$B$28+Inputs!$B$30,MAX(0,(Inputs!$B$3-100)*3)+Inputs!$B$29+Inputs!$B$30)))</f>
        <v/>
      </c>
      <c r="E1629">
        <f>INDEX(FactorTable!$B$2:$Y$301, MATCH(ROUND(MIN(300,MAX(1,D1629)),0), FactorTable!$A$2:$A$301,0), Skills!L17+1)</f>
        <v/>
      </c>
      <c r="F1629">
        <f>IF(Skills!M17=TRUE,(Skills!K17/10)*(E1629/1000),Skills!K17/10)+Skills!N17</f>
        <v/>
      </c>
      <c r="G1629">
        <f>Calc!G17</f>
        <v/>
      </c>
      <c r="H1629">
        <f>Calc!H17</f>
        <v/>
      </c>
      <c r="I1629">
        <f>IF(Skills!T17&lt;&gt;"",1+(Skills!T17/10)*($Z$3/1000)/100,1)</f>
        <v/>
      </c>
      <c r="J1629" t="inlineStr"/>
      <c r="K1629" t="inlineStr"/>
      <c r="L1629" t="inlineStr"/>
      <c r="M1629" t="inlineStr"/>
      <c r="N1629" t="inlineStr"/>
      <c r="O1629">
        <f>(1-Summary!$B$11)*S1629+Summary!$B$11*U1629</f>
        <v/>
      </c>
      <c r="P1629">
        <f>IF(B1654=0,0,O1629/B1654)</f>
        <v/>
      </c>
      <c r="Q1629">
        <f>IFERROR(1/(IF(Inputs!$B$39="pvp",15,MAX(0.1,Skills!D17-IF(Skills!E17=TRUE,Inputs!$B$33,0)))*(1-IF(AND(ArtifactsInput!$M$27,Inputs!$B$4="Chapter Hunt"),CHOOSE(ArtifactsInput!$N$27+1,20,24,28,32,36,40),0)/100)),0)</f>
        <v/>
      </c>
      <c r="R1629" t="n">
        <v>0</v>
      </c>
      <c r="S1629" t="n">
        <v>0</v>
      </c>
      <c r="U1629" t="n">
        <v>0</v>
      </c>
    </row>
    <row r="1630">
      <c r="A1630">
        <f>Skills!A18</f>
        <v/>
      </c>
      <c r="B1630">
        <f>Skills!B18</f>
        <v/>
      </c>
      <c r="C1630">
        <f>Inputs!$B$3&gt;=75</f>
        <v/>
      </c>
      <c r="D1630">
        <f>IF(Skills!C18=1,60+Inputs!$B$26+Inputs!$B$30,IF(Skills!C18=2,90+Inputs!$B$27+Inputs!$B$30,IF(Skills!C18=3,120+Inputs!$B$28+Inputs!$B$30,MAX(0,(Inputs!$B$3-100)*3)+Inputs!$B$29+Inputs!$B$30)))</f>
        <v/>
      </c>
      <c r="E1630">
        <f>INDEX(FactorTable!$B$2:$Y$301, MATCH(ROUND(MIN(300,MAX(1,D1630)),0), FactorTable!$A$2:$A$301,0), Skills!L18+1)</f>
        <v/>
      </c>
      <c r="F1630">
        <f>IF(Skills!M18=TRUE,(Skills!K18/10)*(E1630/1000),Skills!K18/10)+Skills!N18</f>
        <v/>
      </c>
      <c r="G1630">
        <f>Calc!G18</f>
        <v/>
      </c>
      <c r="H1630">
        <f>Calc!H18</f>
        <v/>
      </c>
      <c r="I1630">
        <f>IF(Skills!T18&lt;&gt;"",1+(Skills!T18/10)*($Z$3/1000)/100,1)</f>
        <v/>
      </c>
      <c r="J1630" t="inlineStr"/>
      <c r="K1630" t="inlineStr"/>
      <c r="L1630" t="inlineStr"/>
      <c r="M1630" t="inlineStr"/>
      <c r="N1630" t="inlineStr"/>
      <c r="O1630">
        <f>(1-Summary!$B$11)*S1630+Summary!$B$11*U1630</f>
        <v/>
      </c>
      <c r="P1630">
        <f>IF(B1654=0,0,O1630/B1654)</f>
        <v/>
      </c>
      <c r="Q1630">
        <f>IFERROR(1/(IF(Inputs!$B$39="pvp",15,MAX(0.1,Skills!D18-IF(Skills!E18=TRUE,Inputs!$B$33,0)))*(1-IF(AND(ArtifactsInput!$M$27,Inputs!$B$4="Chapter Hunt"),CHOOSE(ArtifactsInput!$N$27+1,20,24,28,32,36,40),0)/100)),0)</f>
        <v/>
      </c>
      <c r="R1630" t="n">
        <v>0</v>
      </c>
      <c r="S1630" t="n">
        <v>0</v>
      </c>
      <c r="U1630" t="n">
        <v>0</v>
      </c>
    </row>
    <row r="1631">
      <c r="A1631">
        <f>Skills!A19</f>
        <v/>
      </c>
      <c r="B1631">
        <f>Skills!B19</f>
        <v/>
      </c>
      <c r="C1631">
        <f>Inputs!$B$3&gt;=110</f>
        <v/>
      </c>
      <c r="D1631">
        <f>IF(Skills!C19=1,60+Inputs!$B$26+Inputs!$B$30,IF(Skills!C19=2,90+Inputs!$B$27+Inputs!$B$30,IF(Skills!C19=3,120+Inputs!$B$28+Inputs!$B$30,MAX(0,(Inputs!$B$3-100)*3)+Inputs!$B$29+Inputs!$B$30)))</f>
        <v/>
      </c>
      <c r="E1631">
        <f>INDEX(FactorTable!$B$2:$Y$301, MATCH(ROUND(MIN(300,MAX(1,D1631)),0), FactorTable!$A$2:$A$301,0), Skills!L19+1)</f>
        <v/>
      </c>
      <c r="F1631">
        <f>(Skills!K19/10)*(E1631/1000)*64/45+Skills!N19</f>
        <v/>
      </c>
      <c r="G1631">
        <f>Calc!G19</f>
        <v/>
      </c>
      <c r="H1631">
        <f>Calc!H19</f>
        <v/>
      </c>
      <c r="I1631">
        <f>IF(Skills!T19&lt;&gt;"",1+(Skills!T19/10)*($Z$3/1000)/100,1)</f>
        <v/>
      </c>
      <c r="J1631" t="inlineStr"/>
      <c r="K1631" t="inlineStr"/>
      <c r="L1631" t="inlineStr"/>
      <c r="M1631" t="inlineStr"/>
      <c r="N1631" t="inlineStr"/>
      <c r="O1631">
        <f>(1-Summary!$B$11)*S1631+Summary!$B$11*U1631</f>
        <v/>
      </c>
      <c r="P1631">
        <f>IF(B1654=0,0,O1631/B1654)</f>
        <v/>
      </c>
      <c r="Q1631">
        <f>IFERROR(1/(IF(Inputs!$B$39="pvp",15,MAX(0.1,Skills!D19-IF(Skills!E19=TRUE,Inputs!$B$33,0)))*(1-IF(AND(ArtifactsInput!$M$27,Inputs!$B$4="Chapter Hunt"),CHOOSE(ArtifactsInput!$N$27+1,20,24,28,32,36,40),0)/100)),0)</f>
        <v/>
      </c>
      <c r="R1631">
        <f>IF(AND(Inputs!$B$39&lt;&gt;"pvp",Inputs!$B$44&gt;0),IF(Inputs!$B$44&lt;=0,0,(INT(Inputs!$B$44/(IF(Inputs!$B$39="pvp",15,MAX(0.1,Skills!D19-IF(Skills!E19=TRUE,Inputs!$B$33,0)))*(1-IF(AND(ArtifactsInput!$M$27,Inputs!$B$4="Chapter Hunt"),CHOOSE(ArtifactsInput!$N$27+1,20,24,28,32,36,40),0)/100)))+1)),0)</f>
        <v/>
      </c>
      <c r="S1631" t="n">
        <v>0</v>
      </c>
      <c r="U1631" t="n">
        <v>0</v>
      </c>
    </row>
    <row r="1632">
      <c r="A1632">
        <f>Skills!A20</f>
        <v/>
      </c>
      <c r="B1632">
        <f>Skills!B20</f>
        <v/>
      </c>
      <c r="C1632">
        <f>Inputs!$B$3&gt;=125</f>
        <v/>
      </c>
      <c r="D1632">
        <f>IF(Skills!C20=1,60+Inputs!$B$26+Inputs!$B$30,IF(Skills!C20=2,90+Inputs!$B$27+Inputs!$B$30,IF(Skills!C20=3,120+Inputs!$B$28+Inputs!$B$30,MAX(0,(Inputs!$B$3-100)*3)+Inputs!$B$29+Inputs!$B$30)))</f>
        <v/>
      </c>
      <c r="E1632">
        <f>INDEX(FactorTable!$B$2:$Y$301, MATCH(ROUND(MIN(300,MAX(1,D1632)),0), FactorTable!$A$2:$A$301,0), Skills!L20+1)</f>
        <v/>
      </c>
      <c r="F1632">
        <f>IF(Skills!M20=TRUE,(Skills!K20/10)*(E1632/1000),Skills!K20/10)+Skills!N20</f>
        <v/>
      </c>
      <c r="G1632">
        <f>Calc!G20</f>
        <v/>
      </c>
      <c r="H1632">
        <f>Calc!H20</f>
        <v/>
      </c>
      <c r="I1632">
        <f>IF(Skills!T20&lt;&gt;"",1+(Skills!T20/10)*($Z$3/1000)/100,1)</f>
        <v/>
      </c>
      <c r="J1632" t="inlineStr"/>
      <c r="K1632" t="inlineStr"/>
      <c r="L1632" t="inlineStr"/>
      <c r="M1632" t="inlineStr"/>
      <c r="N1632" t="inlineStr"/>
      <c r="O1632">
        <f>(1-Summary!$B$11)*S1632+Summary!$B$11*U1632</f>
        <v/>
      </c>
      <c r="P1632">
        <f>IF(B1654=0,0,O1632/B1654)</f>
        <v/>
      </c>
      <c r="Q1632">
        <f>IFERROR(1/(IF(Inputs!$B$39="pvp",15,MAX(0.1,Skills!D20-IF(Skills!E20=TRUE,Inputs!$B$33,0)))*(1-IF(AND(ArtifactsInput!$M$27,Inputs!$B$4="Chapter Hunt"),CHOOSE(ArtifactsInput!$N$27+1,20,24,28,32,36,40),0)/100)),0)</f>
        <v/>
      </c>
      <c r="R1632" t="n">
        <v>0</v>
      </c>
      <c r="S1632" t="n">
        <v>0</v>
      </c>
      <c r="U1632" t="n">
        <v>0</v>
      </c>
    </row>
    <row r="1633">
      <c r="A1633">
        <f>Skills!A21</f>
        <v/>
      </c>
      <c r="B1633">
        <f>Skills!B21</f>
        <v/>
      </c>
      <c r="C1633">
        <f>Inputs!$B$3&gt;=33</f>
        <v/>
      </c>
      <c r="D1633">
        <f>IF(Skills!C21=1,60+Inputs!$B$26+Inputs!$B$30,IF(Skills!C21=2,90+Inputs!$B$27+Inputs!$B$30,IF(Skills!C21=3,120+Inputs!$B$28+Inputs!$B$30,MAX(0,(Inputs!$B$3-100)*3)+Inputs!$B$29+Inputs!$B$30)))</f>
        <v/>
      </c>
      <c r="E1633">
        <f>INDEX(FactorTable!$B$2:$Y$301, MATCH(ROUND(MIN(300,MAX(1,D1633)),0), FactorTable!$A$2:$A$301,0), Skills!L21+1)</f>
        <v/>
      </c>
      <c r="F1633">
        <f>IF(Skills!M21=TRUE,(Skills!K21/10)*(E1633/1000),Skills!K21/10)+Skills!N21</f>
        <v/>
      </c>
      <c r="G1633">
        <f>Calc!G21</f>
        <v/>
      </c>
      <c r="H1633">
        <f>Calc!H21</f>
        <v/>
      </c>
      <c r="I1633">
        <f>IF(Skills!T21&lt;&gt;"",1+(Skills!T21/10)*($Z$3/1000)/100,1)</f>
        <v/>
      </c>
      <c r="J1633" t="inlineStr"/>
      <c r="K1633" t="inlineStr"/>
      <c r="L1633" t="inlineStr"/>
      <c r="M1633" t="inlineStr"/>
      <c r="N1633" t="inlineStr"/>
      <c r="O1633">
        <f>(1-Summary!$B$11)*S1633+Summary!$B$11*U1633</f>
        <v/>
      </c>
      <c r="P1633">
        <f>IF(B1654=0,0,O1633/B1654)</f>
        <v/>
      </c>
      <c r="Q1633">
        <f>IFERROR(1/(IF(Inputs!$B$39="pvp",15,MAX(0.1,Skills!D21-IF(Skills!E21=TRUE,Inputs!$B$33,0)))*(1-IF(AND(ArtifactsInput!$M$27,Inputs!$B$4="Chapter Hunt"),CHOOSE(ArtifactsInput!$N$27+1,20,24,28,32,36,40),0)/100)),0)</f>
        <v/>
      </c>
      <c r="R1633" t="n">
        <v>0</v>
      </c>
      <c r="S1633" t="n">
        <v>0</v>
      </c>
      <c r="U1633" t="n">
        <v>0</v>
      </c>
    </row>
    <row r="1634">
      <c r="A1634">
        <f>Skills!A22</f>
        <v/>
      </c>
      <c r="B1634">
        <f>Skills!B22</f>
        <v/>
      </c>
      <c r="C1634">
        <f>Inputs!$B$3&gt;=43</f>
        <v/>
      </c>
      <c r="D1634">
        <f>IF(Skills!C22=1,60+Inputs!$B$26+Inputs!$B$30,IF(Skills!C22=2,90+Inputs!$B$27+Inputs!$B$30,IF(Skills!C22=3,120+Inputs!$B$28+Inputs!$B$30,MAX(0,(Inputs!$B$3-100)*3)+Inputs!$B$29+Inputs!$B$30)))</f>
        <v/>
      </c>
      <c r="E1634">
        <f>INDEX(FactorTable!$B$2:$Y$301, MATCH(ROUND(MIN(300,MAX(1,D1634)),0), FactorTable!$A$2:$A$301,0), Skills!L22+1)</f>
        <v/>
      </c>
      <c r="F1634">
        <f>IF(Skills!M22=TRUE,(Skills!K22/10)*(E1634/1000),Skills!K22/10)+Skills!N22</f>
        <v/>
      </c>
      <c r="G1634">
        <f>Calc!G22</f>
        <v/>
      </c>
      <c r="H1634">
        <f>Calc!H22</f>
        <v/>
      </c>
      <c r="I1634">
        <f>IF(Skills!T22&lt;&gt;"",1+(Skills!T22/10)*($Z$3/1000)/100,1)</f>
        <v/>
      </c>
      <c r="J1634" t="inlineStr"/>
      <c r="K1634" t="inlineStr"/>
      <c r="L1634" t="inlineStr"/>
      <c r="M1634" t="inlineStr"/>
      <c r="N1634" t="inlineStr"/>
      <c r="O1634">
        <f>(1-Summary!$B$11)*S1634+Summary!$B$11*U1634</f>
        <v/>
      </c>
      <c r="P1634">
        <f>IF(B1654=0,0,O1634/B1654)</f>
        <v/>
      </c>
      <c r="Q1634">
        <f>IFERROR(1/(IF(Inputs!$B$39="pvp",15,MAX(0.1,Skills!D22-IF(Skills!E22=TRUE,Inputs!$B$33,0)))*(1-IF(AND(ArtifactsInput!$M$27,Inputs!$B$4="Chapter Hunt"),CHOOSE(ArtifactsInput!$N$27+1,20,24,28,32,36,40),0)/100)),0)</f>
        <v/>
      </c>
      <c r="R1634" t="n">
        <v>0</v>
      </c>
      <c r="S1634" t="n">
        <v>0</v>
      </c>
      <c r="U1634" t="n">
        <v>0</v>
      </c>
    </row>
    <row r="1635">
      <c r="A1635">
        <f>Skills!A23</f>
        <v/>
      </c>
      <c r="B1635">
        <f>Skills!B23</f>
        <v/>
      </c>
      <c r="C1635">
        <f>Inputs!$B$3&gt;=50</f>
        <v/>
      </c>
      <c r="D1635">
        <f>IF(Skills!C23=1,60+Inputs!$B$26+Inputs!$B$30,IF(Skills!C23=2,90+Inputs!$B$27+Inputs!$B$30,IF(Skills!C23=3,120+Inputs!$B$28+Inputs!$B$30,MAX(0,(Inputs!$B$3-100)*3)+Inputs!$B$29+Inputs!$B$30)))</f>
        <v/>
      </c>
      <c r="E1635">
        <f>INDEX(FactorTable!$B$2:$Y$301, MATCH(ROUND(MIN(300,MAX(1,D1635)),0), FactorTable!$A$2:$A$301,0), Skills!L23+1)</f>
        <v/>
      </c>
      <c r="F1635">
        <f>IF(Skills!M23=TRUE,(Skills!K23/10)*(E1635/1000),Skills!K23/10)+Skills!N23</f>
        <v/>
      </c>
      <c r="G1635">
        <f>Calc!G23</f>
        <v/>
      </c>
      <c r="H1635">
        <f>Calc!H23</f>
        <v/>
      </c>
      <c r="I1635">
        <f>IF(Skills!T23&lt;&gt;"",1+(Skills!T23/10)*($Z$3/1000)/100,1)</f>
        <v/>
      </c>
      <c r="J1635" t="inlineStr"/>
      <c r="K1635" t="inlineStr"/>
      <c r="L1635" t="inlineStr"/>
      <c r="M1635" t="inlineStr"/>
      <c r="N1635" t="inlineStr"/>
      <c r="O1635">
        <f>(1-Summary!$B$11)*S1635+Summary!$B$11*U1635</f>
        <v/>
      </c>
      <c r="P1635">
        <f>IF(B1654=0,0,O1635/B1654)</f>
        <v/>
      </c>
      <c r="Q1635">
        <f>IFERROR(1/(IF(Inputs!$B$39="pvp",15,MAX(0.1,Skills!D23-IF(Skills!E23=TRUE,Inputs!$B$33,0)))*(1-IF(AND(ArtifactsInput!$M$27,Inputs!$B$4="Chapter Hunt"),CHOOSE(ArtifactsInput!$N$27+1,20,24,28,32,36,40),0)/100)),0)</f>
        <v/>
      </c>
      <c r="R1635" t="n">
        <v>0</v>
      </c>
      <c r="S1635" t="n">
        <v>0</v>
      </c>
      <c r="U1635" t="n">
        <v>0</v>
      </c>
    </row>
    <row r="1636">
      <c r="A1636">
        <f>Skills!A24</f>
        <v/>
      </c>
      <c r="B1636">
        <f>Skills!B24</f>
        <v/>
      </c>
      <c r="C1636">
        <f>Inputs!$B$3&gt;=74</f>
        <v/>
      </c>
      <c r="D1636">
        <f>IF(Skills!C24=1,60+Inputs!$B$26+Inputs!$B$30,IF(Skills!C24=2,90+Inputs!$B$27+Inputs!$B$30,IF(Skills!C24=3,120+Inputs!$B$28+Inputs!$B$30,MAX(0,(Inputs!$B$3-100)*3)+Inputs!$B$29+Inputs!$B$30)))</f>
        <v/>
      </c>
      <c r="E1636">
        <f>INDEX(FactorTable!$B$2:$Y$301, MATCH(ROUND(MIN(300,MAX(1,D1636)),0), FactorTable!$A$2:$A$301,0), Skills!L24+1)</f>
        <v/>
      </c>
      <c r="F1636">
        <f>IF(Skills!M24=TRUE,(Skills!K24/10)*(E1636/1000),Skills!K24/10)+Skills!N24</f>
        <v/>
      </c>
      <c r="G1636">
        <f>Calc!G24</f>
        <v/>
      </c>
      <c r="H1636">
        <f>Calc!H24</f>
        <v/>
      </c>
      <c r="I1636">
        <f>IF(Skills!T24&lt;&gt;"",1+(Skills!T24/10)*($Z$3/1000)/100,1)</f>
        <v/>
      </c>
      <c r="J1636" t="inlineStr"/>
      <c r="K1636" t="inlineStr"/>
      <c r="L1636" t="inlineStr"/>
      <c r="M1636" t="inlineStr"/>
      <c r="N1636" t="inlineStr"/>
      <c r="O1636">
        <f>(1-Summary!$B$11)*S1636+Summary!$B$11*U1636</f>
        <v/>
      </c>
      <c r="P1636">
        <f>IF(B1654=0,0,O1636/B1654)</f>
        <v/>
      </c>
      <c r="Q1636">
        <f>IFERROR(1/(IF(Inputs!$B$39="pvp",15,MAX(0.1,Skills!D24-IF(Skills!E24=TRUE,Inputs!$B$33,0)))*(1-IF(AND(ArtifactsInput!$M$27,Inputs!$B$4="Chapter Hunt"),CHOOSE(ArtifactsInput!$N$27+1,20,24,28,32,36,40),0)/100)),0)</f>
        <v/>
      </c>
      <c r="R1636" t="n">
        <v>0</v>
      </c>
      <c r="S1636" t="n">
        <v>0</v>
      </c>
      <c r="U1636" t="n">
        <v>0</v>
      </c>
    </row>
    <row r="1637">
      <c r="A1637">
        <f>Skills!A25</f>
        <v/>
      </c>
      <c r="B1637">
        <f>Skills!B25</f>
        <v/>
      </c>
      <c r="C1637">
        <f>Inputs!$B$3&gt;=74</f>
        <v/>
      </c>
      <c r="D1637">
        <f>IF(Skills!C25=1,60+Inputs!$B$26+Inputs!$B$30,IF(Skills!C25=2,90+Inputs!$B$27+Inputs!$B$30,IF(Skills!C25=3,120+Inputs!$B$28+Inputs!$B$30,MAX(0,(Inputs!$B$3-100)*3)+Inputs!$B$29+Inputs!$B$30)))</f>
        <v/>
      </c>
      <c r="E1637">
        <f>INDEX(FactorTable!$B$2:$Y$301, MATCH(ROUND(MIN(300,MAX(1,D1637)),0), FactorTable!$A$2:$A$301,0), Skills!L25+1)</f>
        <v/>
      </c>
      <c r="F1637">
        <f>IF(Skills!M25=TRUE,(Skills!K25/10)*(E1637/1000),Skills!K25/10)+Skills!N25</f>
        <v/>
      </c>
      <c r="G1637">
        <f>Calc!G25</f>
        <v/>
      </c>
      <c r="H1637">
        <f>Calc!H25</f>
        <v/>
      </c>
      <c r="I1637">
        <f>IF(Skills!T25&lt;&gt;"",1+(Skills!T25/10)*($Z$3/1000)/100,1)</f>
        <v/>
      </c>
      <c r="J1637" t="inlineStr"/>
      <c r="K1637" t="inlineStr"/>
      <c r="L1637" t="inlineStr"/>
      <c r="M1637" t="inlineStr"/>
      <c r="N1637" t="inlineStr"/>
      <c r="O1637">
        <f>(1-Summary!$B$11)*S1637+Summary!$B$11*U1637</f>
        <v/>
      </c>
      <c r="P1637">
        <f>IF(B1654=0,0,O1637/B1654)</f>
        <v/>
      </c>
      <c r="Q1637">
        <f>IFERROR(1/(IF(Inputs!$B$39="pvp",15,MAX(0.1,Skills!D25-IF(Skills!E25=TRUE,Inputs!$B$33,0)))*(1-IF(AND(ArtifactsInput!$M$27,Inputs!$B$4="Chapter Hunt"),CHOOSE(ArtifactsInput!$N$27+1,20,24,28,32,36,40),0)/100)),0)</f>
        <v/>
      </c>
      <c r="R1637" t="n">
        <v>0</v>
      </c>
      <c r="S1637" t="n">
        <v>0</v>
      </c>
      <c r="U1637" t="n">
        <v>0</v>
      </c>
    </row>
    <row r="1638">
      <c r="A1638">
        <f>Skills!A26</f>
        <v/>
      </c>
      <c r="B1638">
        <f>Skills!B26</f>
        <v/>
      </c>
      <c r="C1638">
        <f>Inputs!$B$3&gt;=117</f>
        <v/>
      </c>
      <c r="D1638">
        <f>IF(Skills!C26=1,60+Inputs!$B$26+Inputs!$B$30,IF(Skills!C26=2,90+Inputs!$B$27+Inputs!$B$30,IF(Skills!C26=3,120+Inputs!$B$28+Inputs!$B$30,MAX(0,(Inputs!$B$3-100)*3)+Inputs!$B$29+Inputs!$B$30)))</f>
        <v/>
      </c>
      <c r="E1638">
        <f>INDEX(FactorTable!$B$2:$Y$301, MATCH(ROUND(MIN(300,MAX(1,D1638)),0), FactorTable!$A$2:$A$301,0), Skills!L26+1)</f>
        <v/>
      </c>
      <c r="F1638">
        <f>IF(Skills!M26=TRUE,(Skills!K26/10)*(E1638/1000),Skills!K26/10)+Skills!N26</f>
        <v/>
      </c>
      <c r="G1638">
        <f>Calc!G26</f>
        <v/>
      </c>
      <c r="H1638">
        <f>Calc!H26</f>
        <v/>
      </c>
      <c r="I1638">
        <f>IF(Skills!T26&lt;&gt;"",1+(Skills!T26/10)*($Z$3/1000)/100,1)</f>
        <v/>
      </c>
      <c r="J1638" t="inlineStr"/>
      <c r="K1638" t="inlineStr"/>
      <c r="L1638" t="inlineStr"/>
      <c r="M1638" t="inlineStr"/>
      <c r="N1638" t="inlineStr"/>
      <c r="O1638">
        <f>(1-Summary!$B$11)*S1638+Summary!$B$11*U1638</f>
        <v/>
      </c>
      <c r="P1638">
        <f>IF(B1654=0,0,O1638/B1654)</f>
        <v/>
      </c>
      <c r="Q1638">
        <f>IFERROR(1/(IF(Inputs!$B$39="pvp",15,MAX(0.1,Skills!D26-IF(Skills!E26=TRUE,Inputs!$B$33,0)))*(1-IF(AND(ArtifactsInput!$M$27,Inputs!$B$4="Chapter Hunt"),CHOOSE(ArtifactsInput!$N$27+1,20,24,28,32,36,40),0)/100)),0)</f>
        <v/>
      </c>
      <c r="R1638" t="n">
        <v>0</v>
      </c>
      <c r="S1638" t="n">
        <v>0</v>
      </c>
      <c r="U1638" t="n">
        <v>0</v>
      </c>
    </row>
    <row r="1639">
      <c r="A1639">
        <f>Skills!A27</f>
        <v/>
      </c>
      <c r="B1639">
        <f>Skills!B27</f>
        <v/>
      </c>
      <c r="C1639">
        <f>Inputs!$B$3&gt;=120</f>
        <v/>
      </c>
      <c r="D1639">
        <f>IF(Skills!C27=1,60+Inputs!$B$26+Inputs!$B$30,IF(Skills!C27=2,90+Inputs!$B$27+Inputs!$B$30,IF(Skills!C27=3,120+Inputs!$B$28+Inputs!$B$30,MAX(0,(Inputs!$B$3-100)*3)+Inputs!$B$29+Inputs!$B$30)))</f>
        <v/>
      </c>
      <c r="E1639">
        <f>INDEX(FactorTable!$B$2:$Y$301, MATCH(ROUND(MIN(300,MAX(1,D1639)),0), FactorTable!$A$2:$A$301,0), Skills!L27+1)</f>
        <v/>
      </c>
      <c r="F1639">
        <f>IF(Skills!M27=TRUE,(Skills!K27/10)*(E1639/1000),Skills!K27/10)+Skills!N27</f>
        <v/>
      </c>
      <c r="G1639">
        <f>Calc!G27</f>
        <v/>
      </c>
      <c r="H1639">
        <f>Calc!H27</f>
        <v/>
      </c>
      <c r="I1639">
        <f>IF(Skills!T27&lt;&gt;"",1+(Skills!T27/10)*($Z$3/1000)/100,1)</f>
        <v/>
      </c>
      <c r="J1639" t="inlineStr"/>
      <c r="K1639" t="inlineStr"/>
      <c r="L1639" t="inlineStr"/>
      <c r="M1639" t="inlineStr"/>
      <c r="N1639" t="inlineStr"/>
      <c r="O1639">
        <f>(1-Summary!$B$11)*S1639+Summary!$B$11*U1639</f>
        <v/>
      </c>
      <c r="P1639">
        <f>IF(B1654=0,0,O1639/B1654)</f>
        <v/>
      </c>
      <c r="Q1639">
        <f>IFERROR(1/(IF(Inputs!$B$39="pvp",15,MAX(0.1,Skills!D27-IF(Skills!E27=TRUE,Inputs!$B$33,0)))*(1-IF(AND(ArtifactsInput!$M$27,Inputs!$B$4="Chapter Hunt"),CHOOSE(ArtifactsInput!$N$27+1,20,24,28,32,36,40),0)/100)),0)</f>
        <v/>
      </c>
      <c r="R1639" t="n">
        <v>0</v>
      </c>
      <c r="S1639" t="n">
        <v>0</v>
      </c>
      <c r="U1639" t="n">
        <v>0</v>
      </c>
    </row>
    <row r="1641">
      <c r="A1641" t="inlineStr">
        <is>
          <t>Average Buff Multiplier</t>
        </is>
      </c>
      <c r="B1641">
        <f>(1+(IF(C1615=TRUE,F1615*IF(AND(Inputs!$B$39&lt;&gt;"pvp",Inputs!$B$44&gt;0),(((R1615-1)*(Skills!S3*(1+((Inputs!$B$35+(ArtifactsInput!$M$7-ArtifactsInput!$M$7)*CHOOSE(ArtifactsInput!$N$7+1,6,7.2,8.4,9.6,10.8,12))+IF(Inputs!$B$3&gt;=117,F1638,0))/100))+MIN((Skills!S3*(1+((Inputs!$B$35+(ArtifactsInput!$M$7-ArtifactsInput!$M$7)*CHOOSE(ArtifactsInput!$N$7+1,6,7.2,8.4,9.6,10.8,12))+IF(Inputs!$B$3&gt;=117,F1638,0))/100)),MAX(0,Inputs!$B$44-((R1615-1)*Skills!D3))))/Inputs!$B$44),IF(Inputs!$B$39="pvp",MIN((Skills!S3*(1+((Inputs!$B$35+(ArtifactsInput!$M$7-ArtifactsInput!$M$7)*CHOOSE(ArtifactsInput!$N$7+1,6,7.2,8.4,9.6,10.8,12))+IF(Inputs!$B$3&gt;=117,F1638,0))/100)),15)/15,(Skills!S3*(1+((Inputs!$B$35+(ArtifactsInput!$M$7-ArtifactsInput!$M$7)*CHOOSE(ArtifactsInput!$N$7+1,6,7.2,8.4,9.6,10.8,12))+IF(Inputs!$B$3&gt;=117,F1638,0))/100))/Skills!D3)),0)+IF(C1616=TRUE,F1616*IF(AND(Inputs!$B$39&lt;&gt;"pvp",Inputs!$B$44&gt;0),(((R1616-1)*(Skills!S4*(1+((Inputs!$B$35+(ArtifactsInput!$M$7-ArtifactsInput!$M$7)*CHOOSE(ArtifactsInput!$N$7+1,6,7.2,8.4,9.6,10.8,12))+IF(Inputs!$B$3&gt;=117,F1638,0))/100))+MIN((Skills!S4*(1+((Inputs!$B$35+(ArtifactsInput!$M$7-ArtifactsInput!$M$7)*CHOOSE(ArtifactsInput!$N$7+1,6,7.2,8.4,9.6,10.8,12))+IF(Inputs!$B$3&gt;=117,F1638,0))/100)),MAX(0,Inputs!$B$44-((R1616-1)*Skills!D4))))/Inputs!$B$44),IF(Inputs!$B$39="pvp",MIN((Skills!S4*(1+((Inputs!$B$35+(ArtifactsInput!$M$7-ArtifactsInput!$M$7)*CHOOSE(ArtifactsInput!$N$7+1,6,7.2,8.4,9.6,10.8,12))+IF(Inputs!$B$3&gt;=117,F1638,0))/100)),15)/15,(Skills!S4*(1+((Inputs!$B$35+(ArtifactsInput!$M$7-ArtifactsInput!$M$7)*CHOOSE(ArtifactsInput!$N$7+1,6,7.2,8.4,9.6,10.8,12))+IF(Inputs!$B$3&gt;=117,F1638,0))/100))/Skills!D4)),0)+IF(C1617=TRUE,F1617*IF(AND(Inputs!$B$39&lt;&gt;"pvp",Inputs!$B$44&gt;0),(((R1617-1)*(Skills!S5*(1+((Inputs!$B$35+(ArtifactsInput!$M$7-ArtifactsInput!$M$7)*CHOOSE(ArtifactsInput!$N$7+1,6,7.2,8.4,9.6,10.8,12))+IF(Inputs!$B$3&gt;=117,F1638,0))/100))+MIN((Skills!S5*(1+((Inputs!$B$35+(ArtifactsInput!$M$7-ArtifactsInput!$M$7)*CHOOSE(ArtifactsInput!$N$7+1,6,7.2,8.4,9.6,10.8,12))+IF(Inputs!$B$3&gt;=117,F1638,0))/100)),MAX(0,Inputs!$B$44-((R1617-1)*Skills!D5))))/Inputs!$B$44),IF(Inputs!$B$39="pvp",MIN((Skills!S5*(1+((Inputs!$B$35+(ArtifactsInput!$M$7-ArtifactsInput!$M$7)*CHOOSE(ArtifactsInput!$N$7+1,6,7.2,8.4,9.6,10.8,12))+IF(Inputs!$B$3&gt;=117,F1638,0))/100)),15)/15,(Skills!S5*(1+((Inputs!$B$35+(ArtifactsInput!$M$7-ArtifactsInput!$M$7)*CHOOSE(ArtifactsInput!$N$7+1,6,7.2,8.4,9.6,10.8,12))+IF(Inputs!$B$3&gt;=117,F1638,0))/100))/Skills!D5)),0)+IF(C1623=TRUE,F1623*IF(AND(Inputs!$B$39&lt;&gt;"pvp",Inputs!$B$44&gt;0),(((R1623-1)*(Skills!S11*(1+((Inputs!$B$35+(ArtifactsInput!$M$7-ArtifactsInput!$M$7)*CHOOSE(ArtifactsInput!$N$7+1,6,7.2,8.4,9.6,10.8,12))+IF(Inputs!$B$3&gt;=117,F1638,0))/100))+MIN((Skills!S11*(1+((Inputs!$B$35+(ArtifactsInput!$M$7-ArtifactsInput!$M$7)*CHOOSE(ArtifactsInput!$N$7+1,6,7.2,8.4,9.6,10.8,12))+IF(Inputs!$B$3&gt;=117,F1638,0))/100)),MAX(0,Inputs!$B$44-((R1623-1)*Skills!D11))))/Inputs!$B$44),IF(Inputs!$B$39="pvp",MIN((Skills!S11*(1+((Inputs!$B$35+(ArtifactsInput!$M$7-ArtifactsInput!$M$7)*CHOOSE(ArtifactsInput!$N$7+1,6,7.2,8.4,9.6,10.8,12))+IF(Inputs!$B$3&gt;=117,F1638,0))/100)),15)/15,(Skills!S11*(1+((Inputs!$B$35+(ArtifactsInput!$M$7-ArtifactsInput!$M$7)*CHOOSE(ArtifactsInput!$N$7+1,6,7.2,8.4,9.6,10.8,12))+IF(Inputs!$B$3&gt;=117,F1638,0)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1626=TRUE,(1+F1626*IF(AND(Inputs!$B$39&lt;&gt;"pvp",Inputs!$B$44&gt;0),(((R1626-1)*(Skills!S14*(1+((Inputs!$B$35+(ArtifactsInput!$M$7-ArtifactsInput!$M$7)*CHOOSE(ArtifactsInput!$N$7+1,6,7.2,8.4,9.6,10.8,12))+IF(Inputs!$B$3&gt;=117,F1638,0))/100))+MIN((Skills!S14*(1+((Inputs!$B$35+(ArtifactsInput!$M$7-ArtifactsInput!$M$7)*CHOOSE(ArtifactsInput!$N$7+1,6,7.2,8.4,9.6,10.8,12))+IF(Inputs!$B$3&gt;=117,F1638,0))/100)),MAX(0,Inputs!$B$44-((R1626-1)*Skills!D14))))/Inputs!$B$44),IF(Inputs!$B$39="pvp",MIN((Skills!S14*(1+((Inputs!$B$35+(ArtifactsInput!$M$7-ArtifactsInput!$M$7)*CHOOSE(ArtifactsInput!$N$7+1,6,7.2,8.4,9.6,10.8,12))+IF(Inputs!$B$3&gt;=117,F1638,0))/100)),15)/15,(Skills!S14*(1+((Inputs!$B$35+(ArtifactsInput!$M$7-ArtifactsInput!$M$7)*CHOOSE(ArtifactsInput!$N$7+1,6,7.2,8.4,9.6,10.8,12))+IF(Inputs!$B$3&gt;=117,F1638,0))/100))/Skills!D14))/100),1)*IF(C1631=TRUE,(1+F1631*IF(AND(Inputs!$B$39&lt;&gt;"pvp",Inputs!$B$44&gt;0),(((R1631-1)*(Skills!S19*(1+((Inputs!$B$35+(ArtifactsInput!$M$7-ArtifactsInput!$M$7)*CHOOSE(ArtifactsInput!$N$7+1,6,7.2,8.4,9.6,10.8,12))+IF(Inputs!$B$3&gt;=117,F1638,0))/100))+MIN((Skills!S19*(1+((Inputs!$B$35+(ArtifactsInput!$M$7-ArtifactsInput!$M$7)*CHOOSE(ArtifactsInput!$N$7+1,6,7.2,8.4,9.6,10.8,12))+IF(Inputs!$B$3&gt;=117,F1638,0))/100)),MAX(0,Inputs!$B$44-((R1631-1)*Skills!D19))))/Inputs!$B$44),IF(Inputs!$B$39="pvp",MIN((Skills!S19*(1+((Inputs!$B$35+(ArtifactsInput!$M$7-ArtifactsInput!$M$7)*CHOOSE(ArtifactsInput!$N$7+1,6,7.2,8.4,9.6,10.8,12))+IF(Inputs!$B$3&gt;=117,F1638,0))/100)),15)/15,(Skills!S19*(1+((Inputs!$B$35+(ArtifactsInput!$M$7-ArtifactsInput!$M$7)*CHOOSE(ArtifactsInput!$N$7+1,6,7.2,8.4,9.6,10.8,12))+IF(Inputs!$B$3&gt;=117,F1638,0))/100))/Skills!D19))/100),1)</f>
        <v/>
      </c>
    </row>
    <row r="1642">
      <c r="A1642" t="inlineStr">
        <is>
          <t>Monster Damage Taken Bonus % (Holy Fountain)</t>
        </is>
      </c>
      <c r="B1642">
        <f>IF(Inputs!$B$3&gt;=68,20*IF(Inputs!$B$39="pvp",MIN((15*(1+((Inputs!$B$35+(ArtifactsInput!$M$7-ArtifactsInput!$M$7)*CHOOSE(ArtifactsInput!$N$7+1,6,7.2,8.4,9.6,10.8,12))+IF(Inputs!$B$3&gt;=117,F1638,0))/100)),15)/15,(15*(1+((Inputs!$B$35+(ArtifactsInput!$M$7-ArtifactsInput!$M$7)*CHOOSE(ArtifactsInput!$N$7+1,6,7.2,8.4,9.6,10.8,12))+IF(Inputs!$B$3&gt;=117,F1638,0))/100))/Skills!D10),0)</f>
        <v/>
      </c>
    </row>
    <row r="1643">
      <c r="A1643" t="inlineStr">
        <is>
          <t>Normal Monster Damage Bonus % (Holy Symbol)</t>
        </is>
      </c>
      <c r="B1643">
        <f>IF(C1624=TRUE,F1624*IF(AND(Inputs!$B$39&lt;&gt;"pvp",Inputs!$B$44&gt;0),(((R1624-1)*(Skills!S12*(1+((Inputs!$B$35+(ArtifactsInput!$M$7-ArtifactsInput!$M$7)*CHOOSE(ArtifactsInput!$N$7+1,6,7.2,8.4,9.6,10.8,12))+IF(Inputs!$B$3&gt;=117,F1638,0))/100))+MIN((Skills!S12*(1+((Inputs!$B$35+(ArtifactsInput!$M$7-ArtifactsInput!$M$7)*CHOOSE(ArtifactsInput!$N$7+1,6,7.2,8.4,9.6,10.8,12))+IF(Inputs!$B$3&gt;=117,F1638,0))/100)),MAX(0,Inputs!$B$44-((R1624-1)*Skills!D12))))/Inputs!$B$44),IF(Inputs!$B$39="pvp",MIN((Skills!S12*(1+((Inputs!$B$35+(ArtifactsInput!$M$7-ArtifactsInput!$M$7)*CHOOSE(ArtifactsInput!$N$7+1,6,7.2,8.4,9.6,10.8,12))+IF(Inputs!$B$3&gt;=117,F1638,0))/100)),15)/15,(Skills!S12*(1+((Inputs!$B$35+(ArtifactsInput!$M$7-ArtifactsInput!$M$7)*CHOOSE(ArtifactsInput!$N$7+1,6,7.2,8.4,9.6,10.8,12))+IF(Inputs!$B$3&gt;=117,F1638,0))/100))/Skills!D12)),0)</f>
        <v/>
      </c>
    </row>
    <row r="1644">
      <c r="A1644" t="inlineStr">
        <is>
          <t>Damage % Bonus (Holy Symbol - Damage Boost)</t>
        </is>
      </c>
      <c r="B1644">
        <f>Skills!O12</f>
        <v/>
      </c>
    </row>
    <row r="1645">
      <c r="A1645" t="inlineStr">
        <is>
          <t>Crit Damage % Bonus (Blood of the Divine)</t>
        </is>
      </c>
      <c r="B1645">
        <f>4*IF(C1632=TRUE,F1632,0)</f>
        <v/>
      </c>
    </row>
    <row r="1646">
      <c r="A1646" t="inlineStr">
        <is>
          <t>Attack Speed Bonus %</t>
        </is>
      </c>
      <c r="B1646">
        <f>IF(C1629=TRUE,F1629+(F1633-Calc!F21),0)+IF(Inputs!$B$3&gt;=134,15,0)</f>
        <v/>
      </c>
    </row>
    <row r="1647">
      <c r="A1647" t="inlineStr">
        <is>
          <t>Actions Per Second</t>
        </is>
      </c>
      <c r="B1647">
        <f>1+MIN(150,150*(1-(1-Inputs!$B$12/150)*(1-B1646/150)))/100</f>
        <v/>
      </c>
    </row>
    <row r="1648">
      <c r="A1648" t="inlineStr">
        <is>
          <t>Skill + Buff Cast Rate</t>
        </is>
      </c>
      <c r="B1648">
        <f>IF(AND(Inputs!$B$39&lt;&gt;"pvp",Inputs!$B$44&gt;0),SUMPRODUCT((Skills!E2:E27=TRUE)*(C1614:C1639=TRUE)*R1614:R1639)/Inputs!$B$44,SUMPRODUCT((Skills!E2:E27=TRUE)*(C1614:C1639=TRUE)*Q1614:Q1639))</f>
        <v/>
      </c>
    </row>
    <row r="1649">
      <c r="A1649" t="inlineStr">
        <is>
          <t>Big Bang Casts Per Second</t>
        </is>
      </c>
      <c r="B1649">
        <f>MAX(0,B1647-B1648)</f>
        <v/>
      </c>
    </row>
    <row r="1650">
      <c r="A1650" t="inlineStr">
        <is>
          <t>Defense % Bonus (Divine Protection)</t>
        </is>
      </c>
      <c r="B1650">
        <f>IF(C1625=TRUE,F1625*IF(AND(Inputs!$B$39&lt;&gt;"pvp",Inputs!$B$44&gt;0),(((R1625-1)*(Skills!S13*(1+((Inputs!$B$35+(ArtifactsInput!$M$7-ArtifactsInput!$M$7)*CHOOSE(ArtifactsInput!$N$7+1,6,7.2,8.4,9.6,10.8,12))+IF(Inputs!$B$3&gt;=117,F1638,0))/100))+MIN((Skills!S13*(1+((Inputs!$B$35+(ArtifactsInput!$M$7-ArtifactsInput!$M$7)*CHOOSE(ArtifactsInput!$N$7+1,6,7.2,8.4,9.6,10.8,12))+IF(Inputs!$B$3&gt;=117,F1638,0))/100)),MAX(0,Inputs!$B$44-((R1625-1)*Skills!D13))))/Inputs!$B$44),IF(Inputs!$B$39="pvp",MIN((Skills!S13*(1+((Inputs!$B$35+(ArtifactsInput!$M$7-ArtifactsInput!$M$7)*CHOOSE(ArtifactsInput!$N$7+1,6,7.2,8.4,9.6,10.8,12))+IF(Inputs!$B$3&gt;=117,F1638,0))/100)),15)/15,(Skills!S13*(1+((Inputs!$B$35+(ArtifactsInput!$M$7-ArtifactsInput!$M$7)*CHOOSE(ArtifactsInput!$N$7+1,6,7.2,8.4,9.6,10.8,12))+IF(Inputs!$B$3&gt;=117,F1638,0))/100))/Skills!D13)),0)</f>
        <v/>
      </c>
    </row>
    <row r="1651">
      <c r="A1651" t="inlineStr">
        <is>
          <t>Buff-Casting Startup Delay (s, fixed-duration only)</t>
        </is>
      </c>
      <c r="B1651">
        <f>IF(AND(Inputs!$B$39&lt;&gt;"pvp",Inputs!$B$44&gt;0),SUMPRODUCT((Skills!S2:S27&gt;0)*(Skills!E2:E27=TRUE)*(C1614:C1639=TRUE))/B1647,0)</f>
        <v/>
      </c>
    </row>
    <row r="1652">
      <c r="A1652" t="inlineStr">
        <is>
          <t>Boss-Only Total DPS (this block's swept value)</t>
        </is>
      </c>
      <c r="B1652">
        <f>SUM(S1614:S1639)</f>
        <v/>
      </c>
    </row>
    <row r="1653">
      <c r="A1653" t="inlineStr">
        <is>
          <t>Normal-Only Total DPS (this block's swept value)</t>
        </is>
      </c>
      <c r="B1653">
        <f>SUM(U1614:U1639)</f>
        <v/>
      </c>
    </row>
    <row r="1654">
      <c r="A1654" s="6" t="inlineStr">
        <is>
          <t>TOTAL DPS</t>
        </is>
      </c>
      <c r="B1654" s="6">
        <f>SUM(O1614:O1639)</f>
        <v/>
      </c>
    </row>
    <row r="1656">
      <c r="A1656" s="6" t="inlineStr">
        <is>
          <t>Stat: Athena Pierce's Old Gloves (Equip)</t>
        </is>
      </c>
    </row>
    <row r="1657">
      <c r="A1657" s="5" t="inlineStr">
        <is>
          <t>Key</t>
        </is>
      </c>
      <c r="B1657" s="5" t="inlineStr">
        <is>
          <t>Name</t>
        </is>
      </c>
      <c r="C1657" s="5" t="inlineStr">
        <is>
          <t>Unlocked</t>
        </is>
      </c>
      <c r="D1657" s="5" t="inlineStr">
        <is>
          <t>InputLevel</t>
        </is>
      </c>
      <c r="E1657" s="5" t="inlineStr">
        <is>
          <t>Factor</t>
        </is>
      </c>
      <c r="F1657" s="5" t="inlineStr">
        <is>
          <t>CoefficientPercent</t>
        </is>
      </c>
      <c r="G1657" s="5" t="inlineStr">
        <is>
          <t>EffectiveHits</t>
        </is>
      </c>
      <c r="H1657" s="5" t="inlineStr">
        <is>
          <t>ProcProbability</t>
        </is>
      </c>
      <c r="I1657" s="5" t="inlineStr">
        <is>
          <t>MapleHeroMultiplier</t>
        </is>
      </c>
      <c r="J1657" s="5" t="inlineStr">
        <is>
          <t>BaseDamage</t>
        </is>
      </c>
      <c r="K1657" s="5" t="inlineStr">
        <is>
          <t>BaseHitDamage</t>
        </is>
      </c>
      <c r="L1657" s="5" t="inlineStr">
        <is>
          <t>NonCritAvg</t>
        </is>
      </c>
      <c r="M1657" s="5" t="inlineStr">
        <is>
          <t>CritAvg</t>
        </is>
      </c>
      <c r="N1657" s="5" t="inlineStr">
        <is>
          <t>ExpectedDamage(perHit)</t>
        </is>
      </c>
      <c r="O1657" s="5" t="inlineStr">
        <is>
          <t>DPS</t>
        </is>
      </c>
      <c r="P1657" s="5" t="inlineStr">
        <is>
          <t>% of Total</t>
        </is>
      </c>
      <c r="R1657" t="inlineStr">
        <is>
          <t>helpers</t>
        </is>
      </c>
    </row>
    <row r="1658">
      <c r="A1658">
        <f>Skills!A2</f>
        <v/>
      </c>
      <c r="B1658">
        <f>Skills!B2</f>
        <v/>
      </c>
      <c r="C1658">
        <f>Inputs!$B$3&gt;=100</f>
        <v/>
      </c>
      <c r="D1658" t="inlineStr"/>
      <c r="E1658" t="inlineStr"/>
      <c r="F1658">
        <f>T1660+Skills!N2</f>
        <v/>
      </c>
      <c r="G1658">
        <f>Calc!G2</f>
        <v/>
      </c>
      <c r="H1658">
        <f>Calc!H2</f>
        <v/>
      </c>
      <c r="I1658">
        <f>IF(Skills!T2&lt;&gt;"",1+(Skills!T2/10)*($Z$3/1000)/100,1)</f>
        <v/>
      </c>
      <c r="J1658">
        <f>((Inputs!$B$6*(1+Inputs!$B$7/100))+(((Inputs!$B$13*(1+Inputs!$B$14/100))-(Inputs!$B$13*(1+Inputs!$B$14/100)))+0.25*(Inputs!$B$15-Inputs!$B$15))*(1+Inputs!$B$7/100))*(F1658/100)</f>
        <v/>
      </c>
      <c r="K1658">
        <f>J1658*(1+(((Inputs!$B$13+IF(Inputs!$B$3&gt;=35,(10*INDEX(FactorTable!$B$2:$Y$301,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2="TRIUMPH_FEATHER",IF(C1672=TRUE,F1672,0),0)/100)*(1+IF(C1683=TRUE,F1683,0)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1658)</f>
        <v/>
      </c>
      <c r="L1658">
        <f>K1658*(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58">
        <f>L1658*(1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8">
        <f>L1658*(1-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1658*(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8">
        <f>(1-Summary!$B$11)*S1658+Summary!$B$11*U1658</f>
        <v/>
      </c>
      <c r="P1658">
        <f>IF(B1698=0,0,O1658/B1698)</f>
        <v/>
      </c>
      <c r="Q1658">
        <f>IFERROR(1/(IF(Inputs!$B$39="pvp",15,MAX(0.1,Skills!D2-IF(Skills!E2=TRUE,Inputs!$B$33,0)))*(1-IF(AND(ArtifactsInput!$M$27,Inputs!$B$4="Chapter Hunt"),CHOOSE(ArtifactsInput!$N$27+1,20,24,28,32,36,40),0)/100)),0)</f>
        <v/>
      </c>
      <c r="R1658" t="n">
        <v>0</v>
      </c>
      <c r="S1658">
        <f>IF(C1658,(Skills!F2*N1658*B1693)*IF(Inputs!$B$39="pvp",1,1+(Inputs!$B$21+Skills!O2+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1658*(1-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1658*(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1658*(1-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1658*(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58">
        <f>MAX(0,(Inputs!$B$3-100)*3)+Inputs!$B$29+Inputs!$B$30</f>
        <v/>
      </c>
      <c r="U1658">
        <f>IF(C1658,(Skills!F2*N1658*B1693)*IF(Inputs!$B$39="pvp",1,(1+(Inputs!$B$22+Skills!P2+B1687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9">
      <c r="A1659">
        <f>Skills!A3</f>
        <v/>
      </c>
      <c r="B1659">
        <f>Skills!B3</f>
        <v/>
      </c>
      <c r="C1659">
        <f>Inputs!$B$3&gt;=15</f>
        <v/>
      </c>
      <c r="D1659">
        <f>IF(Skills!C3=1,60+Inputs!$B$26+Inputs!$B$30,IF(Skills!C3=2,90+Inputs!$B$27+Inputs!$B$30,IF(Skills!C3=3,120+Inputs!$B$28+Inputs!$B$30,MAX(0,(Inputs!$B$3-100)*3)+Inputs!$B$29+Inputs!$B$30)))</f>
        <v/>
      </c>
      <c r="E1659">
        <f>INDEX(FactorTable!$B$2:$Y$301, MATCH(ROUND(MIN(300,MAX(1,D1659)),0), FactorTable!$A$2:$A$301,0), Skills!L3+1)</f>
        <v/>
      </c>
      <c r="F1659">
        <f>IF(Skills!M3=TRUE,(Skills!K3/10)*(E1659/1000),Skills!K3/10)+Skills!N3</f>
        <v/>
      </c>
      <c r="G1659">
        <f>Calc!G3</f>
        <v/>
      </c>
      <c r="H1659">
        <f>Calc!H3</f>
        <v/>
      </c>
      <c r="I1659">
        <f>IF(Skills!T3&lt;&gt;"",1+(Skills!T3/10)*($Z$3/1000)/100,1)</f>
        <v/>
      </c>
      <c r="J1659" t="inlineStr"/>
      <c r="K1659" t="inlineStr"/>
      <c r="L1659" t="inlineStr"/>
      <c r="M1659" t="inlineStr"/>
      <c r="N1659" t="inlineStr"/>
      <c r="O1659">
        <f>(1-Summary!$B$11)*S1659+Summary!$B$11*U1659</f>
        <v/>
      </c>
      <c r="P1659">
        <f>IF(B1698=0,0,O1659/B1698)</f>
        <v/>
      </c>
      <c r="Q1659">
        <f>IFERROR(1/(IF(Inputs!$B$39="pvp",15,MAX(0.1,Skills!D3-IF(Skills!E3=TRUE,Inputs!$B$33,0)))*(1-IF(AND(ArtifactsInput!$M$27,Inputs!$B$4="Chapter Hunt"),CHOOSE(ArtifactsInput!$N$27+1,20,24,28,32,36,40),0)/100)),0)</f>
        <v/>
      </c>
      <c r="R1659">
        <f>IF(AND(Inputs!$B$39&lt;&gt;"pvp",Inputs!$B$44&gt;0),IF(Inputs!$B$44&lt;=0,0,(INT(Inputs!$B$44/(IF(Inputs!$B$39="pvp",15,MAX(0.1,Skills!D3-IF(Skills!E3=TRUE,Inputs!$B$33,0)))*(1-IF(AND(ArtifactsInput!$M$27,Inputs!$B$4="Chapter Hunt"),CHOOSE(ArtifactsInput!$N$27+1,20,24,28,32,36,40),0)/100)))+1)),0)</f>
        <v/>
      </c>
      <c r="S1659" t="n">
        <v>0</v>
      </c>
      <c r="T1659">
        <f>INDEX(FactorTable!$B$2:$Y$301, MATCH(ROUND(MIN(300,MAX(1,T1658)),0), FactorTable!$A$2:$A$301,0), 22)</f>
        <v/>
      </c>
      <c r="U1659" t="n">
        <v>0</v>
      </c>
    </row>
    <row r="1660">
      <c r="A1660">
        <f>Skills!A4</f>
        <v/>
      </c>
      <c r="B1660">
        <f>Skills!B4</f>
        <v/>
      </c>
      <c r="C1660">
        <f>Inputs!$B$3&gt;=38</f>
        <v/>
      </c>
      <c r="D1660">
        <f>IF(Skills!C4=1,60+Inputs!$B$26+Inputs!$B$30,IF(Skills!C4=2,90+Inputs!$B$27+Inputs!$B$30,IF(Skills!C4=3,120+Inputs!$B$28+Inputs!$B$30,MAX(0,(Inputs!$B$3-100)*3)+Inputs!$B$29+Inputs!$B$30)))</f>
        <v/>
      </c>
      <c r="E1660">
        <f>INDEX(FactorTable!$B$2:$Y$301, MATCH(ROUND(MIN(300,MAX(1,D1660)),0), FactorTable!$A$2:$A$301,0), Skills!L4+1)</f>
        <v/>
      </c>
      <c r="F1660">
        <f>IF(Skills!M4=TRUE,(Skills!K4/10)*(E1660/1000),Skills!K4/10)+Skills!N4</f>
        <v/>
      </c>
      <c r="G1660">
        <f>Calc!G4</f>
        <v/>
      </c>
      <c r="H1660">
        <f>Calc!H4</f>
        <v/>
      </c>
      <c r="I1660">
        <f>IF(Skills!T4&lt;&gt;"",1+(Skills!T4/10)*($Z$3/1000)/100,1)</f>
        <v/>
      </c>
      <c r="J1660" t="inlineStr"/>
      <c r="K1660" t="inlineStr"/>
      <c r="L1660" t="inlineStr"/>
      <c r="M1660" t="inlineStr"/>
      <c r="N1660" t="inlineStr"/>
      <c r="O1660">
        <f>(1-Summary!$B$11)*S1660+Summary!$B$11*U1660</f>
        <v/>
      </c>
      <c r="P1660">
        <f>IF(B1698=0,0,O1660/B1698)</f>
        <v/>
      </c>
      <c r="Q1660">
        <f>IFERROR(1/(IF(Inputs!$B$39="pvp",15,MAX(0.1,Skills!D4-IF(Skills!E4=TRUE,Inputs!$B$33,0)))*(1-IF(AND(ArtifactsInput!$M$27,Inputs!$B$4="Chapter Hunt"),CHOOSE(ArtifactsInput!$N$27+1,20,24,28,32,36,40),0)/100)),0)</f>
        <v/>
      </c>
      <c r="R1660">
        <f>IF(AND(Inputs!$B$39&lt;&gt;"pvp",Inputs!$B$44&gt;0),IF(Inputs!$B$44&lt;=0,0,(INT(Inputs!$B$44/(IF(Inputs!$B$39="pvp",15,MAX(0.1,Skills!D4-IF(Skills!E4=TRUE,Inputs!$B$33,0)))*(1-IF(AND(ArtifactsInput!$M$27,Inputs!$B$4="Chapter Hunt"),CHOOSE(ArtifactsInput!$N$27+1,20,24,28,32,36,40),0)/100)))+1)),0)</f>
        <v/>
      </c>
      <c r="S1660" t="n">
        <v>0</v>
      </c>
      <c r="T1660">
        <f>290*T1659/1000</f>
        <v/>
      </c>
      <c r="U1660" t="n">
        <v>0</v>
      </c>
    </row>
    <row r="1661">
      <c r="A1661">
        <f>Skills!A5</f>
        <v/>
      </c>
      <c r="B1661">
        <f>Skills!B5</f>
        <v/>
      </c>
      <c r="C1661">
        <f>Inputs!$B$3&gt;=40</f>
        <v/>
      </c>
      <c r="D1661">
        <f>IF(Skills!C5=1,60+Inputs!$B$26+Inputs!$B$30,IF(Skills!C5=2,90+Inputs!$B$27+Inputs!$B$30,IF(Skills!C5=3,120+Inputs!$B$28+Inputs!$B$30,MAX(0,(Inputs!$B$3-100)*3)+Inputs!$B$29+Inputs!$B$30)))</f>
        <v/>
      </c>
      <c r="E1661">
        <f>INDEX(FactorTable!$B$2:$Y$301, MATCH(ROUND(MIN(300,MAX(1,D1661)),0), FactorTable!$A$2:$A$301,0), Skills!L5+1)</f>
        <v/>
      </c>
      <c r="F1661">
        <f>IF(Skills!M5=TRUE,(Skills!K5/10)*(E1661/1000),Skills!K5/10)+Skills!N5</f>
        <v/>
      </c>
      <c r="G1661">
        <f>Calc!G5</f>
        <v/>
      </c>
      <c r="H1661">
        <f>Calc!H5</f>
        <v/>
      </c>
      <c r="I1661">
        <f>IF(Skills!T5&lt;&gt;"",1+(Skills!T5/10)*($Z$3/1000)/100,1)</f>
        <v/>
      </c>
      <c r="J1661" t="inlineStr"/>
      <c r="K1661" t="inlineStr"/>
      <c r="L1661" t="inlineStr"/>
      <c r="M1661" t="inlineStr"/>
      <c r="N1661" t="inlineStr"/>
      <c r="O1661">
        <f>(1-Summary!$B$11)*S1661+Summary!$B$11*U1661</f>
        <v/>
      </c>
      <c r="P1661">
        <f>IF(B1698=0,0,O1661/B1698)</f>
        <v/>
      </c>
      <c r="Q1661">
        <f>IFERROR(1/(IF(Inputs!$B$39="pvp",15,MAX(0.1,Skills!D5-IF(Skills!E5=TRUE,Inputs!$B$33,0)))*(1-IF(AND(ArtifactsInput!$M$27,Inputs!$B$4="Chapter Hunt"),CHOOSE(ArtifactsInput!$N$27+1,20,24,28,32,36,40),0)/100)),0)</f>
        <v/>
      </c>
      <c r="R1661">
        <f>IF(AND(Inputs!$B$39&lt;&gt;"pvp",Inputs!$B$44&gt;0),IF(Inputs!$B$44&lt;=0,0,(INT(Inputs!$B$44/(IF(Inputs!$B$39="pvp",15,MAX(0.1,Skills!D5-IF(Skills!E5=TRUE,Inputs!$B$33,0)))*(1-IF(AND(ArtifactsInput!$M$27,Inputs!$B$4="Chapter Hunt"),CHOOSE(ArtifactsInput!$N$27+1,20,24,28,32,36,40),0)/100)))+1)),0)</f>
        <v/>
      </c>
      <c r="S1661" t="n">
        <v>0</v>
      </c>
      <c r="U1661" t="n">
        <v>0</v>
      </c>
    </row>
    <row r="1662">
      <c r="A1662">
        <f>Skills!A6</f>
        <v/>
      </c>
      <c r="B1662">
        <f>Skills!B6</f>
        <v/>
      </c>
      <c r="C1662">
        <f>Inputs!$B$3&gt;=103</f>
        <v/>
      </c>
      <c r="D1662">
        <f>IF(Skills!C6=1,60+Inputs!$B$26+Inputs!$B$30,IF(Skills!C6=2,90+Inputs!$B$27+Inputs!$B$30,IF(Skills!C6=3,120+Inputs!$B$28+Inputs!$B$30,MAX(0,(Inputs!$B$3-100)*3)+Inputs!$B$29+Inputs!$B$30)))</f>
        <v/>
      </c>
      <c r="E1662">
        <f>INDEX(FactorTable!$B$2:$Y$301, MATCH(ROUND(MIN(300,MAX(1,D1662)),0), FactorTable!$A$2:$A$301,0), Skills!L6+1)</f>
        <v/>
      </c>
      <c r="F1662">
        <f>IF(Skills!M6=TRUE,(Skills!K6/10)*(E1662/1000),Skills!K6/10)+Skills!N6</f>
        <v/>
      </c>
      <c r="G1662">
        <f>Calc!G6</f>
        <v/>
      </c>
      <c r="H1662">
        <f>Calc!H6</f>
        <v/>
      </c>
      <c r="I1662">
        <f>IF(Skills!T6&lt;&gt;"",1+(Skills!T6/10)*($Z$3/1000)/100,1)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6="TRIUMPH_FEATHER",IF(C1672=TRUE,F1672,0),0)/100)*(1+IF(C1683=TRUE,F1683,0)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1662)</f>
        <v/>
      </c>
      <c r="L1662">
        <f>K1662*(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2">
        <f>L1662*(1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IF(B1698=0,0,O1662/B1698)</f>
        <v/>
      </c>
      <c r="Q1662">
        <f>IFERROR(1/(IF(Inputs!$B$39="pvp",15,MAX(0.1,Skills!D6-IF(Skills!E6=TRUE,Inputs!$B$33,0)))*(1-IF(AND(ArtifactsInput!$M$27,Inputs!$B$4="Chapter Hunt"),CHOOSE(ArtifactsInput!$N$27+1,20,24,28,32,36,40),0)/100)),0)</f>
        <v/>
      </c>
      <c r="R1662">
        <f>IF(AND(Inputs!$B$39&lt;&gt;"pvp",Inputs!$B$44&gt;0),IF(MAX(0,Inputs!$B$44-B1695)&lt;=0,0,(INT(MAX(0,Inputs!$B$44-B1695)/(IF(Inputs!$B$39="pvp",15,MAX(0.1,Skills!D6-IF(Skills!E6=TRUE,Inputs!$B$33,0)))*(1-IF(AND(ArtifactsInput!$M$27,Inputs!$B$4="Chapter Hunt"),CHOOSE(ArtifactsInput!$N$27+1,20,24,28,32,36,40),0)/100)))+1)),0)</f>
        <v/>
      </c>
      <c r="S1662">
        <f>IF(C1662,(H1662*N1662*IF(AND(Inputs!$B$39&lt;&gt;"pvp",Inputs!$B$44&gt;0),((Skills!F6*((R1662-1)*IF(Skills!G6&gt;0,Skills!H6/Skills!G6,1)+IF(Skills!G6&gt;0,MIN(Skills!H6,MAX(0,MAX(0,Inputs!$B$44-B1695)-((R1662-1)*(IF(Inputs!$B$39="pvp",15,MAX(0.1,Skills!D6-IF(Skills!E6=TRUE,Inputs!$B$33,0)))*(1-IF(AND(ArtifactsInput!$M$27,Inputs!$B$4="Chapter Hunt"),CHOOSE(ArtifactsInput!$N$27+1,20,24,28,32,36,40),0)/100)))))/Skills!G6,1)))/Inputs!$B$44),G1662*Q1662))*IF(Inputs!$B$39="pvp",1,1+(Inputs!$B$21+Skills!O6+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H1662*N1662*IF(AND(Inputs!$B$39&lt;&gt;"pvp",Inputs!$B$44&gt;0),((Skills!F6*((R1662-1)*IF(Skills!G6&gt;0,Skills!H6/Skills!G6,1)+IF(Skills!G6&gt;0,MIN(Skills!H6,MAX(0,MAX(0,Inputs!$B$44-B1695)-((R1662-1)*(IF(Inputs!$B$39="pvp",15,MAX(0.1,Skills!D6-IF(Skills!E6=TRUE,Inputs!$B$33,0)))*(1-IF(AND(ArtifactsInput!$M$27,Inputs!$B$4="Chapter Hunt"),CHOOSE(ArtifactsInput!$N$27+1,20,24,28,32,36,40),0)/100)))))/Skills!G6,1)))/Inputs!$B$44),G1662*Q1662))*IF(Inputs!$B$39="pvp",1,(1+(Inputs!$B$22+Skills!P6+B1687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Skills!A7</f>
        <v/>
      </c>
      <c r="B1663">
        <f>Skills!B7</f>
        <v/>
      </c>
      <c r="C1663">
        <f>Inputs!$B$3&gt;=122</f>
        <v/>
      </c>
      <c r="D1663">
        <f>IF(Skills!C7=1,60+Inputs!$B$26+Inputs!$B$30,IF(Skills!C7=2,90+Inputs!$B$27+Inputs!$B$30,IF(Skills!C7=3,120+Inputs!$B$28+Inputs!$B$30,MAX(0,(Inputs!$B$3-100)*3)+Inputs!$B$29+Inputs!$B$30)))</f>
        <v/>
      </c>
      <c r="E1663">
        <f>INDEX(FactorTable!$B$2:$Y$301, MATCH(ROUND(MIN(300,MAX(1,D1663)),0), FactorTable!$A$2:$A$301,0), Skills!L7+1)</f>
        <v/>
      </c>
      <c r="F1663">
        <f>IF(Skills!M7=TRUE,(Skills!K7/10)*(E1663/1000),Skills!K7/10)+Skills!N7</f>
        <v/>
      </c>
      <c r="G1663">
        <f>Calc!G7</f>
        <v/>
      </c>
      <c r="H1663">
        <f>Calc!H7</f>
        <v/>
      </c>
      <c r="I1663">
        <f>IF(Skills!T7&lt;&gt;"",1+(Skills!T7/10)*($Z$3/1000)/100,1)</f>
        <v/>
      </c>
      <c r="J1663">
        <f>((Inputs!$B$6*(1+Inputs!$B$7/100))+(((Inputs!$B$13*(1+Inputs!$B$14/100))-(Inputs!$B$13*(1+Inputs!$B$14/100)))+0.25*(Inputs!$B$15-Inputs!$B$15))*(1+Inputs!$B$7/100))*(F1663/100)</f>
        <v/>
      </c>
      <c r="K1663">
        <f>J1663*(1+(((Inputs!$B$13+IF(Inputs!$B$3&gt;=35,(10*INDEX(FactorTable!$B$2:$Y$301,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7="TRIUMPH_FEATHER",IF(C1672=TRUE,F1672,0),0)/100)*(1+IF(C1683=TRUE,F1683,0)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1663)</f>
        <v/>
      </c>
      <c r="L1663">
        <f>K1663*(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3">
        <f>L1663*(1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3">
        <f>L1663*(1-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1663*(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3">
        <f>(1-Summary!$B$11)*S1663+Summary!$B$11*U1663</f>
        <v/>
      </c>
      <c r="P1663">
        <f>IF(B1698=0,0,O1663/B1698)</f>
        <v/>
      </c>
      <c r="Q1663">
        <f>IFERROR(1/(IF(Inputs!$B$39="pvp",15,MAX(0.1,Skills!D7-IF(Skills!E6=TRUE,Inputs!$B$33,0)))*(1-IF(AND(ArtifactsInput!$M$27,Inputs!$B$4="Chapter Hunt"),CHOOSE(ArtifactsInput!$N$27+1,20,24,28,32,36,40),0)/100)),0)</f>
        <v/>
      </c>
      <c r="R1663">
        <f>IF(AND(Inputs!$B$39&lt;&gt;"pvp",Inputs!$B$44&gt;0),IF(MAX(0,Inputs!$B$44-B1695)&lt;=0,0,(INT(MAX(0,Inputs!$B$44-B1695)/(IF(Inputs!$B$39="pvp",15,MAX(0.1,Skills!D7-IF(Skills!E6=TRUE,Inputs!$B$33,0)))*(1-IF(AND(ArtifactsInput!$M$27,Inputs!$B$4="Chapter Hunt"),CHOOSE(ArtifactsInput!$N$27+1,20,24,28,32,36,40),0)/100)))+1)),0)</f>
        <v/>
      </c>
      <c r="S1663">
        <f>IF(C1663,H1663*N1663*IF(AND(Inputs!$B$39&lt;&gt;"pvp",Inputs!$B$44&gt;0),((Skills!F7*((R1663-1)*IF(Skills!G7&gt;0,Skills!H7/Skills!G7,1)+IF(Skills!G7&gt;0,MIN(Skills!H7,MAX(0,MAX(0,Inputs!$B$44-B1695)-((R1663-1)*(IF(Inputs!$B$39="pvp",15,MAX(0.1,Skills!D7-IF(Skills!E6=TRUE,Inputs!$B$33,0)))*(1-IF(AND(ArtifactsInput!$M$27,Inputs!$B$4="Chapter Hunt"),CHOOSE(ArtifactsInput!$N$27+1,20,24,28,32,36,40),0)/100)))))/Skills!G7,1)))/Inputs!$B$44),G1663*Q1663)*IF(Inputs!$B$39="pvp",1,1+(Inputs!$B$21+Skills!O7+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1663*(1-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1663*(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1663*(1-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1663*(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3" t="n">
        <v>0</v>
      </c>
    </row>
    <row r="1664">
      <c r="A1664">
        <f>Skills!A8</f>
        <v/>
      </c>
      <c r="B1664">
        <f>Skills!B8</f>
        <v/>
      </c>
      <c r="C1664">
        <f>Inputs!$B$3&gt;=105</f>
        <v/>
      </c>
      <c r="D1664">
        <f>IF(Skills!C8=1,60+Inputs!$B$26+Inputs!$B$30,IF(Skills!C8=2,90+Inputs!$B$27+Inputs!$B$30,IF(Skills!C8=3,120+Inputs!$B$28+Inputs!$B$30,MAX(0,(Inputs!$B$3-100)*3)+Inputs!$B$29+Inputs!$B$30)))</f>
        <v/>
      </c>
      <c r="E1664">
        <f>INDEX(FactorTable!$B$2:$Y$301, MATCH(ROUND(MIN(300,MAX(1,D1664)),0), FactorTable!$A$2:$A$301,0), Skills!L8+1)</f>
        <v/>
      </c>
      <c r="F1664">
        <f>IF(Skills!M8=TRUE,(Skills!K8/10)*(E1664/1000),Skills!K8/10)+Skills!N8</f>
        <v/>
      </c>
      <c r="G1664">
        <f>Calc!G8</f>
        <v/>
      </c>
      <c r="H1664">
        <f>Calc!H8</f>
        <v/>
      </c>
      <c r="I1664">
        <f>IF(Skills!T8&lt;&gt;"",1+(Skills!T8/10)*($Z$3/1000)/100,1)</f>
        <v/>
      </c>
      <c r="J1664">
        <f>((Inputs!$B$6*(1+Inputs!$B$7/100))+(((Inputs!$B$13*(1+Inputs!$B$14/100))-(Inputs!$B$13*(1+Inputs!$B$14/100)))+0.25*(Inputs!$B$15-Inputs!$B$15))*(1+Inputs!$B$7/100))*(F1664/100)</f>
        <v/>
      </c>
      <c r="K1664">
        <f>J1664*(1+(((Inputs!$B$13+IF(Inputs!$B$3&gt;=35,(10*INDEX(FactorTable!$B$2:$Y$301,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8="TRIUMPH_FEATHER",IF(C1672=TRUE,F1672,0),0)/100)*(1+IF(C1683=TRUE,F1683,0)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1664)</f>
        <v/>
      </c>
      <c r="L1664">
        <f>K1664*(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4">
        <f>L1664*(1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4">
        <f>L1664*(1-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1664*(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4">
        <f>(1-Summary!$B$11)*S1664+Summary!$B$11*U1664</f>
        <v/>
      </c>
      <c r="P1664">
        <f>IF(B1698=0,0,O1664/B1698)</f>
        <v/>
      </c>
      <c r="Q1664">
        <f>IFERROR(1/(IF(Inputs!$B$39="pvp",15,MAX(0.1,Skills!D8-IF(Skills!E8=TRUE,Inputs!$B$33,0)))*(1-IF(AND(ArtifactsInput!$M$27,Inputs!$B$4="Chapter Hunt"),CHOOSE(ArtifactsInput!$N$27+1,20,24,28,32,36,40),0)/100)),0)</f>
        <v/>
      </c>
      <c r="R1664">
        <f>IF(AND(Inputs!$B$39&lt;&gt;"pvp",Inputs!$B$44&gt;0),IF(MAX(0,Inputs!$B$44-B1695)&lt;=0,0,(INT(MAX(0,Inputs!$B$44-B1695)/(IF(Inputs!$B$39="pvp",15,MAX(0.1,Skills!D8-IF(Skills!E8=TRUE,Inputs!$B$33,0)))*(1-IF(AND(ArtifactsInput!$M$27,Inputs!$B$4="Chapter Hunt"),CHOOSE(ArtifactsInput!$N$27+1,20,24,28,32,36,40),0)/100)))+1)),0)</f>
        <v/>
      </c>
      <c r="S1664">
        <f>IF(C1664,(H1664*N1664*IF(AND(Inputs!$B$39&lt;&gt;"pvp",Inputs!$B$44&gt;0),((Skills!F8*((R1664-1)*IF(Skills!G8&gt;0,Skills!H8/Skills!G8,1)+IF(Skills!G8&gt;0,MIN(Skills!H8,MAX(0,MAX(0,Inputs!$B$44-B1695)-((R1664-1)*(IF(Inputs!$B$39="pvp",15,MAX(0.1,Skills!D8-IF(Skills!E8=TRUE,Inputs!$B$33,0)))*(1-IF(AND(ArtifactsInput!$M$27,Inputs!$B$4="Chapter Hunt"),CHOOSE(ArtifactsInput!$N$27+1,20,24,28,32,36,40),0)/100)))))/Skills!G8,1)))/Inputs!$B$44),G1664*Q1664))*IF(Inputs!$B$39="pvp",1,1+(Inputs!$B$21+Skills!O8+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1664*(1-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1664*(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1664*(1-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1664*(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4">
        <f>IF(C1664,(H1664*N1664*IF(AND(Inputs!$B$39&lt;&gt;"pvp",Inputs!$B$44&gt;0),((Skills!F8*((R1664-1)*IF(Skills!G8&gt;0,Skills!H8/Skills!G8,1)+IF(Skills!G8&gt;0,MIN(Skills!H8,MAX(0,MAX(0,Inputs!$B$44-B1695)-((R1664-1)*(IF(Inputs!$B$39="pvp",15,MAX(0.1,Skills!D8-IF(Skills!E8=TRUE,Inputs!$B$33,0)))*(1-IF(AND(ArtifactsInput!$M$27,Inputs!$B$4="Chapter Hunt"),CHOOSE(ArtifactsInput!$N$27+1,20,24,28,32,36,40),0)/100)))))/Skills!G8,1)))/Inputs!$B$44),G1664*Q1664))*IF(Inputs!$B$39="pvp",1,(1+(Inputs!$B$22+Skills!P8+B1687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5">
      <c r="A1665">
        <f>Skills!A9</f>
        <v/>
      </c>
      <c r="B1665">
        <f>Skills!B9</f>
        <v/>
      </c>
      <c r="C1665">
        <f>Inputs!$B$3&gt;=115</f>
        <v/>
      </c>
      <c r="D1665">
        <f>IF(Skills!C9=1,60+Inputs!$B$26+Inputs!$B$30,IF(Skills!C9=2,90+Inputs!$B$27+Inputs!$B$30,IF(Skills!C9=3,120+Inputs!$B$28+Inputs!$B$30,MAX(0,(Inputs!$B$3-100)*3)+Inputs!$B$29+Inputs!$B$30)))</f>
        <v/>
      </c>
      <c r="E1665">
        <f>INDEX(FactorTable!$B$2:$Y$301, MATCH(ROUND(MIN(300,MAX(1,D1665)),0), FactorTable!$A$2:$A$301,0), Skills!L9+1)</f>
        <v/>
      </c>
      <c r="F1665">
        <f>IF(Skills!M9=TRUE,(Skills!K9/10)*(E1665/1000),Skills!K9/10)+Skills!N9</f>
        <v/>
      </c>
      <c r="G1665">
        <f>Calc!G9</f>
        <v/>
      </c>
      <c r="H1665">
        <f>Calc!H9</f>
        <v/>
      </c>
      <c r="I1665">
        <f>IF(Skills!T9&lt;&gt;"",1+(Skills!T9/10)*($Z$3/1000)/100,1)</f>
        <v/>
      </c>
      <c r="J1665">
        <f>((Inputs!$B$6*(1+Inputs!$B$7/100))+(((Inputs!$B$13*(1+Inputs!$B$14/100))-(Inputs!$B$13*(1+Inputs!$B$14/100)))+0.25*(Inputs!$B$15-Inputs!$B$15))*(1+Inputs!$B$7/100))*(F1665/100)</f>
        <v/>
      </c>
      <c r="K1665">
        <f>J1665*(1+(((Inputs!$B$13+IF(Inputs!$B$3&gt;=35,(10*INDEX(FactorTable!$B$2:$Y$301,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9="TRIUMPH_FEATHER",IF(C1672=TRUE,F1672,0),0)/100)*(1+IF(C1683=TRUE,F1683,0)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1665)</f>
        <v/>
      </c>
      <c r="L1665">
        <f>K1665*(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5">
        <f>L1665*(1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5">
        <f>L1665*(1-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1665*(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5">
        <f>(1-Summary!$B$11)*S1665+Summary!$B$11*U1665</f>
        <v/>
      </c>
      <c r="P1665">
        <f>IF(B1698=0,0,O1665/B1698)</f>
        <v/>
      </c>
      <c r="Q1665">
        <f>IFERROR(1/(IF(Inputs!$B$39="pvp",15,MAX(0.1,Skills!D9-IF(Skills!E9=TRUE,Inputs!$B$33,0)))*(1-IF(AND(ArtifactsInput!$M$27,Inputs!$B$4="Chapter Hunt"),CHOOSE(ArtifactsInput!$N$27+1,20,24,28,32,36,40),0)/100)),0)</f>
        <v/>
      </c>
      <c r="R1665">
        <f>IF(AND(Inputs!$B$39&lt;&gt;"pvp",Inputs!$B$44&gt;0),IF(MAX(0,Inputs!$B$44-B1695)&lt;=0,0,(INT(MAX(0,Inputs!$B$44-B1695)/(IF(Inputs!$B$39="pvp",15,MAX(0.1,Skills!D9-IF(Skills!E9=TRUE,Inputs!$B$33,0)))*(1-IF(AND(ArtifactsInput!$M$27,Inputs!$B$4="Chapter Hunt"),CHOOSE(ArtifactsInput!$N$27+1,20,24,28,32,36,40),0)/100)))+1)),0)</f>
        <v/>
      </c>
      <c r="S1665">
        <f>IF(C1665,(H1665*N1665*IF(AND(Inputs!$B$39&lt;&gt;"pvp",Inputs!$B$44&gt;0),((Skills!F9*((R1665-1)*IF(Skills!G9&gt;0,Skills!H9/Skills!G9,1)+IF(Skills!G9&gt;0,MIN(Skills!H9,MAX(0,MAX(0,Inputs!$B$44-B1695)-((R1665-1)*(IF(Inputs!$B$39="pvp",15,MAX(0.1,Skills!D9-IF(Skills!E9=TRUE,Inputs!$B$33,0)))*(1-IF(AND(ArtifactsInput!$M$27,Inputs!$B$4="Chapter Hunt"),CHOOSE(ArtifactsInput!$N$27+1,20,24,28,32,36,40),0)/100)))))/Skills!G9,1)))/Inputs!$B$44),G1665*Q1665))*IF(Inputs!$B$39="pvp",1,1+(Inputs!$B$21+Skills!O9+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1665*(1-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1665*(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1665*(1-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1665*(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5">
        <f>IF(C1665,(H1665*N1665*IF(AND(Inputs!$B$39&lt;&gt;"pvp",Inputs!$B$44&gt;0),((Skills!F9*((R1665-1)*IF(Skills!G9&gt;0,Skills!H9/Skills!G9,1)+IF(Skills!G9&gt;0,MIN(Skills!H9,MAX(0,MAX(0,Inputs!$B$44-B1695)-((R1665-1)*(IF(Inputs!$B$39="pvp",15,MAX(0.1,Skills!D9-IF(Skills!E9=TRUE,Inputs!$B$33,0)))*(1-IF(AND(ArtifactsInput!$M$27,Inputs!$B$4="Chapter Hunt"),CHOOSE(ArtifactsInput!$N$27+1,20,24,28,32,36,40),0)/100)))))/Skills!G9,1)))/Inputs!$B$44),G1665*Q1665))*IF(Inputs!$B$39="pvp",1,(1+(Inputs!$B$22+Skills!P9+B1687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6">
      <c r="A1666">
        <f>Skills!A10</f>
        <v/>
      </c>
      <c r="B1666">
        <f>Skills!B10</f>
        <v/>
      </c>
      <c r="C1666">
        <f>Inputs!$B$3&gt;=66</f>
        <v/>
      </c>
      <c r="D1666">
        <f>IF(Skills!C10=1,60+Inputs!$B$26+Inputs!$B$30,IF(Skills!C10=2,90+Inputs!$B$27+Inputs!$B$30,IF(Skills!C10=3,120+Inputs!$B$28+Inputs!$B$30,MAX(0,(Inputs!$B$3-100)*3)+Inputs!$B$29+Inputs!$B$30)))</f>
        <v/>
      </c>
      <c r="E1666">
        <f>INDEX(FactorTable!$B$2:$Y$301, MATCH(ROUND(MIN(300,MAX(1,D1666)),0), FactorTable!$A$2:$A$301,0), Skills!L10+1)</f>
        <v/>
      </c>
      <c r="F1666" t="n">
        <v>0</v>
      </c>
      <c r="G1666">
        <f>Calc!G10</f>
        <v/>
      </c>
      <c r="H1666">
        <f>Calc!H10</f>
        <v/>
      </c>
      <c r="I1666">
        <f>IF(Skills!T10&lt;&gt;"",1+(Skills!T10/10)*($Z$3/1000)/100,1)</f>
        <v/>
      </c>
      <c r="J1666" t="inlineStr"/>
      <c r="K1666" t="inlineStr"/>
      <c r="L1666" t="inlineStr"/>
      <c r="M1666" t="inlineStr"/>
      <c r="N1666" t="inlineStr"/>
      <c r="O1666">
        <f>(1-Summary!$B$11)*S1666+Summary!$B$11*U1666</f>
        <v/>
      </c>
      <c r="P1666">
        <f>IF(B1698=0,0,O1666/B1698)</f>
        <v/>
      </c>
      <c r="Q1666">
        <f>IFERROR(1/(IF(Inputs!$B$39="pvp",15,MAX(0.1,Skills!D10-IF(Skills!E10=TRUE,Inputs!$B$33,0)))*(1-IF(AND(ArtifactsInput!$M$27,Inputs!$B$4="Chapter Hunt"),CHOOSE(ArtifactsInput!$N$27+1,20,24,28,32,36,40),0)/100)),0)</f>
        <v/>
      </c>
      <c r="R1666">
        <f>IF(AND(Inputs!$B$39&lt;&gt;"pvp",Inputs!$B$44&gt;0),IF(MAX(0,Inputs!$B$44-B1695)&lt;=0,0,(INT(MAX(0,Inputs!$B$44-B1695)/(IF(Inputs!$B$39="pvp",15,MAX(0.1,Skills!D10-IF(Skills!E10=TRUE,Inputs!$B$33,0)))*(1-IF(AND(ArtifactsInput!$M$27,Inputs!$B$4="Chapter Hunt"),CHOOSE(ArtifactsInput!$N$27+1,20,24,28,32,36,40),0)/100)))+1)),0)</f>
        <v/>
      </c>
      <c r="S1666" t="n">
        <v>0</v>
      </c>
      <c r="U1666" t="n">
        <v>0</v>
      </c>
    </row>
    <row r="1667">
      <c r="A1667">
        <f>Skills!A11</f>
        <v/>
      </c>
      <c r="B1667">
        <f>Skills!B11</f>
        <v/>
      </c>
      <c r="C1667">
        <f>Inputs!$B$3&gt;=69</f>
        <v/>
      </c>
      <c r="D1667">
        <f>IF(Skills!C11=1,60+Inputs!$B$26+Inputs!$B$30,IF(Skills!C11=2,90+Inputs!$B$27+Inputs!$B$30,IF(Skills!C11=3,120+Inputs!$B$28+Inputs!$B$30,MAX(0,(Inputs!$B$3-100)*3)+Inputs!$B$29+Inputs!$B$30)))</f>
        <v/>
      </c>
      <c r="E1667">
        <f>INDEX(FactorTable!$B$2:$Y$301, MATCH(ROUND(MIN(300,MAX(1,D1667)),0), FactorTable!$A$2:$A$301,0), Skills!L11+1)</f>
        <v/>
      </c>
      <c r="F1667">
        <f>IF(Skills!M11=TRUE,(Skills!K11/10)*(E1667/1000),Skills!K11/10)+Skills!N11</f>
        <v/>
      </c>
      <c r="G1667">
        <f>Calc!G11</f>
        <v/>
      </c>
      <c r="H1667">
        <f>Calc!H11</f>
        <v/>
      </c>
      <c r="I1667">
        <f>IF(Skills!T11&lt;&gt;"",1+(Skills!T11/10)*($Z$3/1000)/100,1)</f>
        <v/>
      </c>
      <c r="J1667" t="inlineStr"/>
      <c r="K1667" t="inlineStr"/>
      <c r="L1667" t="inlineStr"/>
      <c r="M1667" t="inlineStr"/>
      <c r="N1667" t="inlineStr"/>
      <c r="O1667">
        <f>(1-Summary!$B$11)*S1667+Summary!$B$11*U1667</f>
        <v/>
      </c>
      <c r="P1667">
        <f>IF(B1698=0,0,O1667/B1698)</f>
        <v/>
      </c>
      <c r="Q1667">
        <f>IFERROR(1/(IF(Inputs!$B$39="pvp",15,MAX(0.1,Skills!D11-IF(Skills!E11=TRUE,Inputs!$B$33,0)))*(1-IF(AND(ArtifactsInput!$M$27,Inputs!$B$4="Chapter Hunt"),CHOOSE(ArtifactsInput!$N$27+1,20,24,28,32,36,40),0)/100)),0)</f>
        <v/>
      </c>
      <c r="R1667">
        <f>IF(AND(Inputs!$B$39&lt;&gt;"pvp",Inputs!$B$44&gt;0),IF(Inputs!$B$44&lt;=0,0,(INT(Inputs!$B$44/(IF(Inputs!$B$39="pvp",15,MAX(0.1,Skills!D11-IF(Skills!E11=TRUE,Inputs!$B$33,0)))*(1-IF(AND(ArtifactsInput!$M$27,Inputs!$B$4="Chapter Hunt"),CHOOSE(ArtifactsInput!$N$27+1,20,24,28,32,36,40),0)/100)))+1)),0)</f>
        <v/>
      </c>
      <c r="S1667" t="n">
        <v>0</v>
      </c>
      <c r="U1667" t="n">
        <v>0</v>
      </c>
    </row>
    <row r="1668">
      <c r="A1668">
        <f>Skills!A12</f>
        <v/>
      </c>
      <c r="B1668">
        <f>Skills!B12</f>
        <v/>
      </c>
      <c r="C1668">
        <f>Inputs!$B$3&gt;=72</f>
        <v/>
      </c>
      <c r="D1668">
        <f>IF(Skills!C12=1,60+Inputs!$B$26+Inputs!$B$30,IF(Skills!C12=2,90+Inputs!$B$27+Inputs!$B$30,IF(Skills!C12=3,120+Inputs!$B$28+Inputs!$B$30,MAX(0,(Inputs!$B$3-100)*3)+Inputs!$B$29+Inputs!$B$30)))</f>
        <v/>
      </c>
      <c r="E1668">
        <f>INDEX(FactorTable!$B$2:$Y$301, MATCH(ROUND(MIN(300,MAX(1,D1668)),0), FactorTable!$A$2:$A$301,0), Skills!L12+1)</f>
        <v/>
      </c>
      <c r="F1668">
        <f>IF(Skills!M12=TRUE,(Skills!K12/10)*(E1668/1000),Skills!K12/10)+Skills!N12</f>
        <v/>
      </c>
      <c r="G1668">
        <f>Calc!G12</f>
        <v/>
      </c>
      <c r="H1668">
        <f>Calc!H12</f>
        <v/>
      </c>
      <c r="I1668">
        <f>IF(Skills!T12&lt;&gt;"",1+(Skills!T12/10)*($Z$3/1000)/100,1)</f>
        <v/>
      </c>
      <c r="J1668" t="inlineStr"/>
      <c r="K1668" t="inlineStr"/>
      <c r="L1668" t="inlineStr"/>
      <c r="M1668" t="inlineStr"/>
      <c r="N1668" t="inlineStr"/>
      <c r="O1668">
        <f>(1-Summary!$B$11)*S1668+Summary!$B$11*U1668</f>
        <v/>
      </c>
      <c r="P1668">
        <f>IF(B1698=0,0,O1668/B1698)</f>
        <v/>
      </c>
      <c r="Q1668">
        <f>IFERROR(1/(IF(Inputs!$B$39="pvp",15,MAX(0.1,Skills!D12-IF(Skills!E12=TRUE,Inputs!$B$33,0)))*(1-IF(AND(ArtifactsInput!$M$27,Inputs!$B$4="Chapter Hunt"),CHOOSE(ArtifactsInput!$N$27+1,20,24,28,32,36,40),0)/100)),0)</f>
        <v/>
      </c>
      <c r="R1668">
        <f>IF(AND(Inputs!$B$39&lt;&gt;"pvp",Inputs!$B$44&gt;0),IF(MAX(0,Inputs!$B$44-B1695)&lt;=0,0,(INT(MAX(0,Inputs!$B$44-B1695)/(IF(Inputs!$B$39="pvp",15,MAX(0.1,Skills!D12-IF(Skills!E12=TRUE,Inputs!$B$33,0)))*(1-IF(AND(ArtifactsInput!$M$27,Inputs!$B$4="Chapter Hunt"),CHOOSE(ArtifactsInput!$N$27+1,20,24,28,32,36,40),0)/100)))+1)),0)</f>
        <v/>
      </c>
      <c r="S1668" t="n">
        <v>0</v>
      </c>
      <c r="U1668" t="n">
        <v>0</v>
      </c>
    </row>
    <row r="1669">
      <c r="A1669">
        <f>Skills!A13</f>
        <v/>
      </c>
      <c r="B1669">
        <f>Skills!B13</f>
        <v/>
      </c>
      <c r="C1669">
        <f>Inputs!$B$3&gt;=60</f>
        <v/>
      </c>
      <c r="D1669">
        <f>IF(Skills!C13=1,60+Inputs!$B$26+Inputs!$B$30,IF(Skills!C13=2,90+Inputs!$B$27+Inputs!$B$30,IF(Skills!C13=3,120+Inputs!$B$28+Inputs!$B$30,MAX(0,(Inputs!$B$3-100)*3)+Inputs!$B$29+Inputs!$B$30)))</f>
        <v/>
      </c>
      <c r="E1669">
        <f>INDEX(FactorTable!$B$2:$Y$301, MATCH(ROUND(MIN(300,MAX(1,D1669)),0), FactorTable!$A$2:$A$301,0), Skills!L13+1)</f>
        <v/>
      </c>
      <c r="F1669">
        <f>IF(Skills!M13=TRUE,(Skills!K13/10)*(E1669/1000),Skills!K13/10)+Skills!N13</f>
        <v/>
      </c>
      <c r="G1669">
        <f>Calc!G13</f>
        <v/>
      </c>
      <c r="H1669">
        <f>Calc!H13</f>
        <v/>
      </c>
      <c r="I1669">
        <f>IF(Skills!T13&lt;&gt;"",1+(Skills!T13/10)*($Z$3/1000)/100,1)</f>
        <v/>
      </c>
      <c r="J1669" t="inlineStr"/>
      <c r="K1669" t="inlineStr"/>
      <c r="L1669" t="inlineStr"/>
      <c r="M1669" t="inlineStr"/>
      <c r="N1669" t="inlineStr"/>
      <c r="O1669">
        <f>(1-Summary!$B$11)*S1669+Summary!$B$11*U1669</f>
        <v/>
      </c>
      <c r="P1669">
        <f>IF(B1698=0,0,O1669/B1698)</f>
        <v/>
      </c>
      <c r="Q1669">
        <f>IFERROR(1/(IF(Inputs!$B$39="pvp",15,MAX(0.1,Skills!D13-IF(Skills!E13=TRUE,Inputs!$B$33,0)))*(1-IF(AND(ArtifactsInput!$M$27,Inputs!$B$4="Chapter Hunt"),CHOOSE(ArtifactsInput!$N$27+1,20,24,28,32,36,40),0)/100)),0)</f>
        <v/>
      </c>
      <c r="R1669">
        <f>IF(AND(Inputs!$B$39&lt;&gt;"pvp",Inputs!$B$44&gt;0),IF(MAX(0,Inputs!$B$44-B1695)&lt;=0,0,(INT(MAX(0,Inputs!$B$44-B1695)/(IF(Inputs!$B$39="pvp",15,MAX(0.1,Skills!D13-IF(Skills!E13=TRUE,Inputs!$B$33,0)))*(1-IF(AND(ArtifactsInput!$M$27,Inputs!$B$4="Chapter Hunt"),CHOOSE(ArtifactsInput!$N$27+1,20,24,28,32,36,40),0)/100)))+1)),0)</f>
        <v/>
      </c>
      <c r="S1669" t="n">
        <v>0</v>
      </c>
      <c r="U1669" t="n">
        <v>0</v>
      </c>
    </row>
    <row r="1670">
      <c r="A1670">
        <f>Skills!A14</f>
        <v/>
      </c>
      <c r="B1670">
        <f>Skills!B14</f>
        <v/>
      </c>
      <c r="C1670">
        <f>Inputs!$B$3&gt;=107</f>
        <v/>
      </c>
      <c r="D1670">
        <f>IF(Skills!C14=1,60+Inputs!$B$26+Inputs!$B$30,IF(Skills!C14=2,90+Inputs!$B$27+Inputs!$B$30,IF(Skills!C14=3,120+Inputs!$B$28+Inputs!$B$30,MAX(0,(Inputs!$B$3-100)*3)+Inputs!$B$29+Inputs!$B$30)))</f>
        <v/>
      </c>
      <c r="E1670">
        <f>INDEX(FactorTable!$B$2:$Y$301, MATCH(ROUND(MIN(300,MAX(1,D1670)),0), FactorTable!$A$2:$A$301,0), Skills!L14+1)</f>
        <v/>
      </c>
      <c r="F1670">
        <f>IF(Skills!M14=TRUE,(Skills!K14/10)*(E1670/1000),Skills!K14/10)+Skills!N14</f>
        <v/>
      </c>
      <c r="G1670">
        <f>Calc!G14</f>
        <v/>
      </c>
      <c r="H1670">
        <f>Calc!H14</f>
        <v/>
      </c>
      <c r="I1670">
        <f>IF(Skills!T14&lt;&gt;"",1+(Skills!T14/10)*($Z$3/1000)/100,1)</f>
        <v/>
      </c>
      <c r="J1670" t="inlineStr"/>
      <c r="K1670" t="inlineStr"/>
      <c r="L1670" t="inlineStr"/>
      <c r="M1670" t="inlineStr"/>
      <c r="N1670" t="inlineStr"/>
      <c r="O1670">
        <f>(1-Summary!$B$11)*S1670+Summary!$B$11*U1670</f>
        <v/>
      </c>
      <c r="P1670">
        <f>IF(B1698=0,0,O1670/B1698)</f>
        <v/>
      </c>
      <c r="Q1670">
        <f>IFERROR(1/(IF(Inputs!$B$39="pvp",15,MAX(0.1,Skills!D14-IF(Skills!E14=TRUE,Inputs!$B$33,0)))*(1-IF(AND(ArtifactsInput!$M$27,Inputs!$B$4="Chapter Hunt"),CHOOSE(ArtifactsInput!$N$27+1,20,24,28,32,36,40),0)/100)),0)</f>
        <v/>
      </c>
      <c r="R1670">
        <f>IF(AND(Inputs!$B$39&lt;&gt;"pvp",Inputs!$B$44&gt;0),IF(Inputs!$B$44&lt;=0,0,(INT(Inputs!$B$44/(IF(Inputs!$B$39="pvp",15,MAX(0.1,Skills!D14-IF(Skills!E14=TRUE,Inputs!$B$33,0)))*(1-IF(AND(ArtifactsInput!$M$27,Inputs!$B$4="Chapter Hunt"),CHOOSE(ArtifactsInput!$N$27+1,20,24,28,32,36,40),0)/100)))+1)),0)</f>
        <v/>
      </c>
      <c r="S1670" t="n">
        <v>0</v>
      </c>
      <c r="U1670" t="n">
        <v>0</v>
      </c>
    </row>
    <row r="1671">
      <c r="A1671">
        <f>Skills!A15</f>
        <v/>
      </c>
      <c r="B1671">
        <f>Skills!B15</f>
        <v/>
      </c>
      <c r="C1671">
        <f>Inputs!$B$3&gt;=63</f>
        <v/>
      </c>
      <c r="D1671">
        <f>IF(Skills!C15=1,60+Inputs!$B$26+Inputs!$B$30,IF(Skills!C15=2,90+Inputs!$B$27+Inputs!$B$30,IF(Skills!C15=3,120+Inputs!$B$28+Inputs!$B$30,MAX(0,(Inputs!$B$3-100)*3)+Inputs!$B$29+Inputs!$B$30)))</f>
        <v/>
      </c>
      <c r="E1671">
        <f>INDEX(FactorTable!$B$2:$Y$301, MATCH(ROUND(MIN(300,MAX(1,D1671)),0), FactorTable!$A$2:$A$301,0), Skills!L15+1)</f>
        <v/>
      </c>
      <c r="F1671">
        <f>IF(Skills!M15=TRUE,(Skills!K15/10)*(E1671/1000),Skills!K15/10)+Skills!N15</f>
        <v/>
      </c>
      <c r="G1671">
        <f>Calc!G15</f>
        <v/>
      </c>
      <c r="H1671">
        <f>Calc!H15</f>
        <v/>
      </c>
      <c r="I1671">
        <f>IF(Skills!T15&lt;&gt;"",1+(Skills!T15/10)*($Z$3/1000)/100,1)</f>
        <v/>
      </c>
      <c r="J1671">
        <f>((Inputs!$B$6*(1+Inputs!$B$7/100))+(((Inputs!$B$13*(1+Inputs!$B$14/100))-(Inputs!$B$13*(1+Inputs!$B$14/100)))+0.25*(Inputs!$B$15-Inputs!$B$15))*(1+Inputs!$B$7/100))*(F1671/100)</f>
        <v/>
      </c>
      <c r="K1671">
        <f>J1671*(1+(((Inputs!$B$13+IF(Inputs!$B$3&gt;=35,(10*INDEX(FactorTable!$B$2:$Y$301,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15="TRIUMPH_FEATHER",IF(C1672=TRUE,F1672,0),0)/100)*(1+IF(C1683=TRUE,F1683,0)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1671)</f>
        <v/>
      </c>
      <c r="L1671">
        <f>K1671*(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71">
        <f>L1671*(1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71">
        <f>L1671*(1-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(1-Summary!$B$11)*S1671+Summary!$B$11*U1671</f>
        <v/>
      </c>
      <c r="P1671">
        <f>IF(B1698=0,0,O1671/B1698)</f>
        <v/>
      </c>
      <c r="Q1671">
        <f>IFERROR(1/(IF(Inputs!$B$39="pvp",15,MAX(0.1,Skills!D15-IF(Skills!E15=TRUE,Inputs!$B$33,0)))*(1-IF(AND(ArtifactsInput!$M$27,Inputs!$B$4="Chapter Hunt"),CHOOSE(ArtifactsInput!$N$27+1,20,24,28,32,36,40),0)/100)),0)</f>
        <v/>
      </c>
      <c r="R1671" t="n">
        <v>0</v>
      </c>
      <c r="S1671">
        <f>IF(C1671,(Skills!F15*N1671*((IF(Inputs!$B$3&gt;=78,25,15)/100*B1691*10)/(1+IF(Inputs!$B$3&gt;=78,25,15)/100*B1691*10))*(Skills!I15/100*B1691)/(1+Skills!G15*Skills!I15/100*B1691))*IF(Inputs!$B$39="pvp",1,1+(Inputs!$B$21+Skills!O15+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1671*(1-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IF(C1671,(Skills!F15*N1671*((IF(Inputs!$B$3&gt;=78,25,15)/100*B1691*10)/(1+IF(Inputs!$B$3&gt;=78,25,15)/100*B1691*10))*(Skills!I15/100*B1691)/(1+Skills!G15*Skills!I15/100*B1691))*IF(Inputs!$B$39="pvp",1,(1+(Inputs!$B$22+Skills!P15+B1687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Skills!A16</f>
        <v/>
      </c>
      <c r="B1672">
        <f>Skills!B16</f>
        <v/>
      </c>
      <c r="C1672">
        <f>Inputs!$B$3&gt;=100</f>
        <v/>
      </c>
      <c r="D1672">
        <f>IF(Skills!C16=1,60+Inputs!$B$26+Inputs!$B$30,IF(Skills!C16=2,90+Inputs!$B$27+Inputs!$B$30,IF(Skills!C16=3,120+Inputs!$B$28+Inputs!$B$30,MAX(0,(Inputs!$B$3-100)*3)+Inputs!$B$29+Inputs!$B$30)))</f>
        <v/>
      </c>
      <c r="E1672">
        <f>INDEX(FactorTable!$B$2:$Y$301, MATCH(ROUND(MIN(300,MAX(1,D1672)),0), FactorTable!$A$2:$A$301,0), Skills!L16+1)</f>
        <v/>
      </c>
      <c r="F1672">
        <f>IF(Skills!M16=TRUE,(Skills!K16/10)*(E1672/1000),Skills!K16/10)+Skills!N16</f>
        <v/>
      </c>
      <c r="G1672">
        <f>Calc!G16</f>
        <v/>
      </c>
      <c r="H1672">
        <f>Calc!H16</f>
        <v/>
      </c>
      <c r="I1672">
        <f>IF(Skills!T16&lt;&gt;"",1+(Skills!T16/10)*($Z$3/1000)/100,1)</f>
        <v/>
      </c>
      <c r="J1672" t="inlineStr"/>
      <c r="K1672" t="inlineStr"/>
      <c r="L1672" t="inlineStr"/>
      <c r="M1672" t="inlineStr"/>
      <c r="N1672" t="inlineStr"/>
      <c r="O1672">
        <f>(1-Summary!$B$11)*S1672+Summary!$B$11*U1672</f>
        <v/>
      </c>
      <c r="P1672">
        <f>IF(B1698=0,0,O1672/B1698)</f>
        <v/>
      </c>
      <c r="Q1672">
        <f>IFERROR(1/(IF(Inputs!$B$39="pvp",15,MAX(0.1,Skills!D16-IF(Skills!E16=TRUE,Inputs!$B$33,0)))*(1-IF(AND(ArtifactsInput!$M$27,Inputs!$B$4="Chapter Hunt"),CHOOSE(ArtifactsInput!$N$27+1,20,24,28,32,36,40),0)/100)),0)</f>
        <v/>
      </c>
      <c r="R1672" t="n">
        <v>0</v>
      </c>
      <c r="S1672" t="n">
        <v>0</v>
      </c>
      <c r="U1672" t="n">
        <v>0</v>
      </c>
    </row>
    <row r="1673">
      <c r="A1673">
        <f>Skills!A17</f>
        <v/>
      </c>
      <c r="B1673">
        <f>Skills!B17</f>
        <v/>
      </c>
      <c r="C1673">
        <f>Inputs!$B$3&gt;=49</f>
        <v/>
      </c>
      <c r="D1673">
        <f>IF(Skills!C17=1,60+Inputs!$B$26+Inputs!$B$30,IF(Skills!C17=2,90+Inputs!$B$27+Inputs!$B$30,IF(Skills!C17=3,120+Inputs!$B$28+Inputs!$B$30,MAX(0,(Inputs!$B$3-100)*3)+Inputs!$B$29+Inputs!$B$30)))</f>
        <v/>
      </c>
      <c r="E1673">
        <f>INDEX(FactorTable!$B$2:$Y$301, MATCH(ROUND(MIN(300,MAX(1,D1673)),0), FactorTable!$A$2:$A$301,0), Skills!L17+1)</f>
        <v/>
      </c>
      <c r="F1673">
        <f>IF(Skills!M17=TRUE,(Skills!K17/10)*(E1673/1000),Skills!K17/10)+Skills!N17</f>
        <v/>
      </c>
      <c r="G1673">
        <f>Calc!G17</f>
        <v/>
      </c>
      <c r="H1673">
        <f>Calc!H17</f>
        <v/>
      </c>
      <c r="I1673">
        <f>IF(Skills!T17&lt;&gt;"",1+(Skills!T17/10)*($Z$3/1000)/100,1)</f>
        <v/>
      </c>
      <c r="J1673" t="inlineStr"/>
      <c r="K1673" t="inlineStr"/>
      <c r="L1673" t="inlineStr"/>
      <c r="M1673" t="inlineStr"/>
      <c r="N1673" t="inlineStr"/>
      <c r="O1673">
        <f>(1-Summary!$B$11)*S1673+Summary!$B$11*U1673</f>
        <v/>
      </c>
      <c r="P1673">
        <f>IF(B1698=0,0,O1673/B1698)</f>
        <v/>
      </c>
      <c r="Q1673">
        <f>IFERROR(1/(IF(Inputs!$B$39="pvp",15,MAX(0.1,Skills!D17-IF(Skills!E17=TRUE,Inputs!$B$33,0)))*(1-IF(AND(ArtifactsInput!$M$27,Inputs!$B$4="Chapter Hunt"),CHOOSE(ArtifactsInput!$N$27+1,20,24,28,32,36,40),0)/100)),0)</f>
        <v/>
      </c>
      <c r="R1673" t="n">
        <v>0</v>
      </c>
      <c r="S1673" t="n">
        <v>0</v>
      </c>
      <c r="U1673" t="n">
        <v>0</v>
      </c>
    </row>
    <row r="1674">
      <c r="A1674">
        <f>Skills!A18</f>
        <v/>
      </c>
      <c r="B1674">
        <f>Skills!B18</f>
        <v/>
      </c>
      <c r="C1674">
        <f>Inputs!$B$3&gt;=75</f>
        <v/>
      </c>
      <c r="D1674">
        <f>IF(Skills!C18=1,60+Inputs!$B$26+Inputs!$B$30,IF(Skills!C18=2,90+Inputs!$B$27+Inputs!$B$30,IF(Skills!C18=3,120+Inputs!$B$28+Inputs!$B$30,MAX(0,(Inputs!$B$3-100)*3)+Inputs!$B$29+Inputs!$B$30)))</f>
        <v/>
      </c>
      <c r="E1674">
        <f>INDEX(FactorTable!$B$2:$Y$301, MATCH(ROUND(MIN(300,MAX(1,D1674)),0), FactorTable!$A$2:$A$301,0), Skills!L18+1)</f>
        <v/>
      </c>
      <c r="F1674">
        <f>IF(Skills!M18=TRUE,(Skills!K18/10)*(E1674/1000),Skills!K18/10)+Skills!N18</f>
        <v/>
      </c>
      <c r="G1674">
        <f>Calc!G18</f>
        <v/>
      </c>
      <c r="H1674">
        <f>Calc!H18</f>
        <v/>
      </c>
      <c r="I1674">
        <f>IF(Skills!T18&lt;&gt;"",1+(Skills!T18/10)*($Z$3/1000)/100,1)</f>
        <v/>
      </c>
      <c r="J1674" t="inlineStr"/>
      <c r="K1674" t="inlineStr"/>
      <c r="L1674" t="inlineStr"/>
      <c r="M1674" t="inlineStr"/>
      <c r="N1674" t="inlineStr"/>
      <c r="O1674">
        <f>(1-Summary!$B$11)*S1674+Summary!$B$11*U1674</f>
        <v/>
      </c>
      <c r="P1674">
        <f>IF(B1698=0,0,O1674/B1698)</f>
        <v/>
      </c>
      <c r="Q1674">
        <f>IFERROR(1/(IF(Inputs!$B$39="pvp",15,MAX(0.1,Skills!D18-IF(Skills!E18=TRUE,Inputs!$B$33,0)))*(1-IF(AND(ArtifactsInput!$M$27,Inputs!$B$4="Chapter Hunt"),CHOOSE(ArtifactsInput!$N$27+1,20,24,28,32,36,40),0)/100)),0)</f>
        <v/>
      </c>
      <c r="R1674" t="n">
        <v>0</v>
      </c>
      <c r="S1674" t="n">
        <v>0</v>
      </c>
      <c r="U1674" t="n">
        <v>0</v>
      </c>
    </row>
    <row r="1675">
      <c r="A1675">
        <f>Skills!A19</f>
        <v/>
      </c>
      <c r="B1675">
        <f>Skills!B19</f>
        <v/>
      </c>
      <c r="C1675">
        <f>Inputs!$B$3&gt;=110</f>
        <v/>
      </c>
      <c r="D1675">
        <f>IF(Skills!C19=1,60+Inputs!$B$26+Inputs!$B$30,IF(Skills!C19=2,90+Inputs!$B$27+Inputs!$B$30,IF(Skills!C19=3,120+Inputs!$B$28+Inputs!$B$30,MAX(0,(Inputs!$B$3-100)*3)+Inputs!$B$29+Inputs!$B$30)))</f>
        <v/>
      </c>
      <c r="E1675">
        <f>INDEX(FactorTable!$B$2:$Y$301, MATCH(ROUND(MIN(300,MAX(1,D1675)),0), FactorTable!$A$2:$A$301,0), Skills!L19+1)</f>
        <v/>
      </c>
      <c r="F1675">
        <f>(Skills!K19/10)*(E1675/1000)*64/45+Skills!N19</f>
        <v/>
      </c>
      <c r="G1675">
        <f>Calc!G19</f>
        <v/>
      </c>
      <c r="H1675">
        <f>Calc!H19</f>
        <v/>
      </c>
      <c r="I1675">
        <f>IF(Skills!T19&lt;&gt;"",1+(Skills!T19/10)*($Z$3/1000)/100,1)</f>
        <v/>
      </c>
      <c r="J1675" t="inlineStr"/>
      <c r="K1675" t="inlineStr"/>
      <c r="L1675" t="inlineStr"/>
      <c r="M1675" t="inlineStr"/>
      <c r="N1675" t="inlineStr"/>
      <c r="O1675">
        <f>(1-Summary!$B$11)*S1675+Summary!$B$11*U1675</f>
        <v/>
      </c>
      <c r="P1675">
        <f>IF(B1698=0,0,O1675/B1698)</f>
        <v/>
      </c>
      <c r="Q1675">
        <f>IFERROR(1/(IF(Inputs!$B$39="pvp",15,MAX(0.1,Skills!D19-IF(Skills!E19=TRUE,Inputs!$B$33,0)))*(1-IF(AND(ArtifactsInput!$M$27,Inputs!$B$4="Chapter Hunt"),CHOOSE(ArtifactsInput!$N$27+1,20,24,28,32,36,40),0)/100)),0)</f>
        <v/>
      </c>
      <c r="R1675">
        <f>IF(AND(Inputs!$B$39&lt;&gt;"pvp",Inputs!$B$44&gt;0),IF(Inputs!$B$44&lt;=0,0,(INT(Inputs!$B$44/(IF(Inputs!$B$39="pvp",15,MAX(0.1,Skills!D19-IF(Skills!E19=TRUE,Inputs!$B$33,0)))*(1-IF(AND(ArtifactsInput!$M$27,Inputs!$B$4="Chapter Hunt"),CHOOSE(ArtifactsInput!$N$27+1,20,24,28,32,36,40),0)/100)))+1)),0)</f>
        <v/>
      </c>
      <c r="S1675" t="n">
        <v>0</v>
      </c>
      <c r="U1675" t="n">
        <v>0</v>
      </c>
    </row>
    <row r="1676">
      <c r="A1676">
        <f>Skills!A20</f>
        <v/>
      </c>
      <c r="B1676">
        <f>Skills!B20</f>
        <v/>
      </c>
      <c r="C1676">
        <f>Inputs!$B$3&gt;=125</f>
        <v/>
      </c>
      <c r="D1676">
        <f>IF(Skills!C20=1,60+Inputs!$B$26+Inputs!$B$30,IF(Skills!C20=2,90+Inputs!$B$27+Inputs!$B$30,IF(Skills!C20=3,120+Inputs!$B$28+Inputs!$B$30,MAX(0,(Inputs!$B$3-100)*3)+Inputs!$B$29+Inputs!$B$30)))</f>
        <v/>
      </c>
      <c r="E1676">
        <f>INDEX(FactorTable!$B$2:$Y$301, MATCH(ROUND(MIN(300,MAX(1,D1676)),0), FactorTable!$A$2:$A$301,0), Skills!L20+1)</f>
        <v/>
      </c>
      <c r="F1676">
        <f>IF(Skills!M20=TRUE,(Skills!K20/10)*(E1676/1000),Skills!K20/10)+Skills!N20</f>
        <v/>
      </c>
      <c r="G1676">
        <f>Calc!G20</f>
        <v/>
      </c>
      <c r="H1676">
        <f>Calc!H20</f>
        <v/>
      </c>
      <c r="I1676">
        <f>IF(Skills!T20&lt;&gt;"",1+(Skills!T20/10)*($Z$3/1000)/100,1)</f>
        <v/>
      </c>
      <c r="J1676" t="inlineStr"/>
      <c r="K1676" t="inlineStr"/>
      <c r="L1676" t="inlineStr"/>
      <c r="M1676" t="inlineStr"/>
      <c r="N1676" t="inlineStr"/>
      <c r="O1676">
        <f>(1-Summary!$B$11)*S1676+Summary!$B$11*U1676</f>
        <v/>
      </c>
      <c r="P1676">
        <f>IF(B1698=0,0,O1676/B1698)</f>
        <v/>
      </c>
      <c r="Q1676">
        <f>IFERROR(1/(IF(Inputs!$B$39="pvp",15,MAX(0.1,Skills!D20-IF(Skills!E20=TRUE,Inputs!$B$33,0)))*(1-IF(AND(ArtifactsInput!$M$27,Inputs!$B$4="Chapter Hunt"),CHOOSE(ArtifactsInput!$N$27+1,20,24,28,32,36,40),0)/100)),0)</f>
        <v/>
      </c>
      <c r="R1676" t="n">
        <v>0</v>
      </c>
      <c r="S1676" t="n">
        <v>0</v>
      </c>
      <c r="U1676" t="n">
        <v>0</v>
      </c>
    </row>
    <row r="1677">
      <c r="A1677">
        <f>Skills!A21</f>
        <v/>
      </c>
      <c r="B1677">
        <f>Skills!B21</f>
        <v/>
      </c>
      <c r="C1677">
        <f>Inputs!$B$3&gt;=33</f>
        <v/>
      </c>
      <c r="D1677">
        <f>IF(Skills!C21=1,60+Inputs!$B$26+Inputs!$B$30,IF(Skills!C21=2,90+Inputs!$B$27+Inputs!$B$30,IF(Skills!C21=3,120+Inputs!$B$28+Inputs!$B$30,MAX(0,(Inputs!$B$3-100)*3)+Inputs!$B$29+Inputs!$B$30)))</f>
        <v/>
      </c>
      <c r="E1677">
        <f>INDEX(FactorTable!$B$2:$Y$301, MATCH(ROUND(MIN(300,MAX(1,D1677)),0), FactorTable!$A$2:$A$301,0), Skills!L21+1)</f>
        <v/>
      </c>
      <c r="F1677">
        <f>IF(Skills!M21=TRUE,(Skills!K21/10)*(E1677/1000),Skills!K21/10)+Skills!N21</f>
        <v/>
      </c>
      <c r="G1677">
        <f>Calc!G21</f>
        <v/>
      </c>
      <c r="H1677">
        <f>Calc!H21</f>
        <v/>
      </c>
      <c r="I1677">
        <f>IF(Skills!T21&lt;&gt;"",1+(Skills!T21/10)*($Z$3/1000)/100,1)</f>
        <v/>
      </c>
      <c r="J1677" t="inlineStr"/>
      <c r="K1677" t="inlineStr"/>
      <c r="L1677" t="inlineStr"/>
      <c r="M1677" t="inlineStr"/>
      <c r="N1677" t="inlineStr"/>
      <c r="O1677">
        <f>(1-Summary!$B$11)*S1677+Summary!$B$11*U1677</f>
        <v/>
      </c>
      <c r="P1677">
        <f>IF(B1698=0,0,O1677/B1698)</f>
        <v/>
      </c>
      <c r="Q1677">
        <f>IFERROR(1/(IF(Inputs!$B$39="pvp",15,MAX(0.1,Skills!D21-IF(Skills!E21=TRUE,Inputs!$B$33,0)))*(1-IF(AND(ArtifactsInput!$M$27,Inputs!$B$4="Chapter Hunt"),CHOOSE(ArtifactsInput!$N$27+1,20,24,28,32,36,40),0)/100)),0)</f>
        <v/>
      </c>
      <c r="R1677" t="n">
        <v>0</v>
      </c>
      <c r="S1677" t="n">
        <v>0</v>
      </c>
      <c r="U1677" t="n">
        <v>0</v>
      </c>
    </row>
    <row r="1678">
      <c r="A1678">
        <f>Skills!A22</f>
        <v/>
      </c>
      <c r="B1678">
        <f>Skills!B22</f>
        <v/>
      </c>
      <c r="C1678">
        <f>Inputs!$B$3&gt;=43</f>
        <v/>
      </c>
      <c r="D1678">
        <f>IF(Skills!C22=1,60+Inputs!$B$26+Inputs!$B$30,IF(Skills!C22=2,90+Inputs!$B$27+Inputs!$B$30,IF(Skills!C22=3,120+Inputs!$B$28+Inputs!$B$30,MAX(0,(Inputs!$B$3-100)*3)+Inputs!$B$29+Inputs!$B$30)))</f>
        <v/>
      </c>
      <c r="E1678">
        <f>INDEX(FactorTable!$B$2:$Y$301, MATCH(ROUND(MIN(300,MAX(1,D1678)),0), FactorTable!$A$2:$A$301,0), Skills!L22+1)</f>
        <v/>
      </c>
      <c r="F1678">
        <f>IF(Skills!M22=TRUE,(Skills!K22/10)*(E1678/1000),Skills!K22/10)+Skills!N22</f>
        <v/>
      </c>
      <c r="G1678">
        <f>Calc!G22</f>
        <v/>
      </c>
      <c r="H1678">
        <f>Calc!H22</f>
        <v/>
      </c>
      <c r="I1678">
        <f>IF(Skills!T22&lt;&gt;"",1+(Skills!T22/10)*($Z$3/1000)/100,1)</f>
        <v/>
      </c>
      <c r="J1678" t="inlineStr"/>
      <c r="K1678" t="inlineStr"/>
      <c r="L1678" t="inlineStr"/>
      <c r="M1678" t="inlineStr"/>
      <c r="N1678" t="inlineStr"/>
      <c r="O1678">
        <f>(1-Summary!$B$11)*S1678+Summary!$B$11*U1678</f>
        <v/>
      </c>
      <c r="P1678">
        <f>IF(B1698=0,0,O1678/B1698)</f>
        <v/>
      </c>
      <c r="Q1678">
        <f>IFERROR(1/(IF(Inputs!$B$39="pvp",15,MAX(0.1,Skills!D22-IF(Skills!E22=TRUE,Inputs!$B$33,0)))*(1-IF(AND(ArtifactsInput!$M$27,Inputs!$B$4="Chapter Hunt"),CHOOSE(ArtifactsInput!$N$27+1,20,24,28,32,36,40),0)/100)),0)</f>
        <v/>
      </c>
      <c r="R1678" t="n">
        <v>0</v>
      </c>
      <c r="S1678" t="n">
        <v>0</v>
      </c>
      <c r="U1678" t="n">
        <v>0</v>
      </c>
    </row>
    <row r="1679">
      <c r="A1679">
        <f>Skills!A23</f>
        <v/>
      </c>
      <c r="B1679">
        <f>Skills!B23</f>
        <v/>
      </c>
      <c r="C1679">
        <f>Inputs!$B$3&gt;=50</f>
        <v/>
      </c>
      <c r="D1679">
        <f>IF(Skills!C23=1,60+Inputs!$B$26+Inputs!$B$30,IF(Skills!C23=2,90+Inputs!$B$27+Inputs!$B$30,IF(Skills!C23=3,120+Inputs!$B$28+Inputs!$B$30,MAX(0,(Inputs!$B$3-100)*3)+Inputs!$B$29+Inputs!$B$30)))</f>
        <v/>
      </c>
      <c r="E1679">
        <f>INDEX(FactorTable!$B$2:$Y$301, MATCH(ROUND(MIN(300,MAX(1,D1679)),0), FactorTable!$A$2:$A$301,0), Skills!L23+1)</f>
        <v/>
      </c>
      <c r="F1679">
        <f>IF(Skills!M23=TRUE,(Skills!K23/10)*(E1679/1000),Skills!K23/10)+Skills!N23</f>
        <v/>
      </c>
      <c r="G1679">
        <f>Calc!G23</f>
        <v/>
      </c>
      <c r="H1679">
        <f>Calc!H23</f>
        <v/>
      </c>
      <c r="I1679">
        <f>IF(Skills!T23&lt;&gt;"",1+(Skills!T23/10)*($Z$3/1000)/100,1)</f>
        <v/>
      </c>
      <c r="J1679" t="inlineStr"/>
      <c r="K1679" t="inlineStr"/>
      <c r="L1679" t="inlineStr"/>
      <c r="M1679" t="inlineStr"/>
      <c r="N1679" t="inlineStr"/>
      <c r="O1679">
        <f>(1-Summary!$B$11)*S1679+Summary!$B$11*U1679</f>
        <v/>
      </c>
      <c r="P1679">
        <f>IF(B1698=0,0,O1679/B1698)</f>
        <v/>
      </c>
      <c r="Q1679">
        <f>IFERROR(1/(IF(Inputs!$B$39="pvp",15,MAX(0.1,Skills!D23-IF(Skills!E23=TRUE,Inputs!$B$33,0)))*(1-IF(AND(ArtifactsInput!$M$27,Inputs!$B$4="Chapter Hunt"),CHOOSE(ArtifactsInput!$N$27+1,20,24,28,32,36,40),0)/100)),0)</f>
        <v/>
      </c>
      <c r="R1679" t="n">
        <v>0</v>
      </c>
      <c r="S1679" t="n">
        <v>0</v>
      </c>
      <c r="U1679" t="n">
        <v>0</v>
      </c>
    </row>
    <row r="1680">
      <c r="A1680">
        <f>Skills!A24</f>
        <v/>
      </c>
      <c r="B1680">
        <f>Skills!B24</f>
        <v/>
      </c>
      <c r="C1680">
        <f>Inputs!$B$3&gt;=74</f>
        <v/>
      </c>
      <c r="D1680">
        <f>IF(Skills!C24=1,60+Inputs!$B$26+Inputs!$B$30,IF(Skills!C24=2,90+Inputs!$B$27+Inputs!$B$30,IF(Skills!C24=3,120+Inputs!$B$28+Inputs!$B$30,MAX(0,(Inputs!$B$3-100)*3)+Inputs!$B$29+Inputs!$B$30)))</f>
        <v/>
      </c>
      <c r="E1680">
        <f>INDEX(FactorTable!$B$2:$Y$301, MATCH(ROUND(MIN(300,MAX(1,D1680)),0), FactorTable!$A$2:$A$301,0), Skills!L24+1)</f>
        <v/>
      </c>
      <c r="F1680">
        <f>IF(Skills!M24=TRUE,(Skills!K24/10)*(E1680/1000),Skills!K24/10)+Skills!N24</f>
        <v/>
      </c>
      <c r="G1680">
        <f>Calc!G24</f>
        <v/>
      </c>
      <c r="H1680">
        <f>Calc!H24</f>
        <v/>
      </c>
      <c r="I1680">
        <f>IF(Skills!T24&lt;&gt;"",1+(Skills!T24/10)*($Z$3/1000)/100,1)</f>
        <v/>
      </c>
      <c r="J1680" t="inlineStr"/>
      <c r="K1680" t="inlineStr"/>
      <c r="L1680" t="inlineStr"/>
      <c r="M1680" t="inlineStr"/>
      <c r="N1680" t="inlineStr"/>
      <c r="O1680">
        <f>(1-Summary!$B$11)*S1680+Summary!$B$11*U1680</f>
        <v/>
      </c>
      <c r="P1680">
        <f>IF(B1698=0,0,O1680/B1698)</f>
        <v/>
      </c>
      <c r="Q1680">
        <f>IFERROR(1/(IF(Inputs!$B$39="pvp",15,MAX(0.1,Skills!D24-IF(Skills!E24=TRUE,Inputs!$B$33,0)))*(1-IF(AND(ArtifactsInput!$M$27,Inputs!$B$4="Chapter Hunt"),CHOOSE(ArtifactsInput!$N$27+1,20,24,28,32,36,40),0)/100)),0)</f>
        <v/>
      </c>
      <c r="R1680" t="n">
        <v>0</v>
      </c>
      <c r="S1680" t="n">
        <v>0</v>
      </c>
      <c r="U1680" t="n">
        <v>0</v>
      </c>
    </row>
    <row r="1681">
      <c r="A1681">
        <f>Skills!A25</f>
        <v/>
      </c>
      <c r="B1681">
        <f>Skills!B25</f>
        <v/>
      </c>
      <c r="C1681">
        <f>Inputs!$B$3&gt;=74</f>
        <v/>
      </c>
      <c r="D1681">
        <f>IF(Skills!C25=1,60+Inputs!$B$26+Inputs!$B$30,IF(Skills!C25=2,90+Inputs!$B$27+Inputs!$B$30,IF(Skills!C25=3,120+Inputs!$B$28+Inputs!$B$30,MAX(0,(Inputs!$B$3-100)*3)+Inputs!$B$29+Inputs!$B$30)))</f>
        <v/>
      </c>
      <c r="E1681">
        <f>INDEX(FactorTable!$B$2:$Y$301, MATCH(ROUND(MIN(300,MAX(1,D1681)),0), FactorTable!$A$2:$A$301,0), Skills!L25+1)</f>
        <v/>
      </c>
      <c r="F1681">
        <f>IF(Skills!M25=TRUE,(Skills!K25/10)*(E1681/1000),Skills!K25/10)+Skills!N25</f>
        <v/>
      </c>
      <c r="G1681">
        <f>Calc!G25</f>
        <v/>
      </c>
      <c r="H1681">
        <f>Calc!H25</f>
        <v/>
      </c>
      <c r="I1681">
        <f>IF(Skills!T25&lt;&gt;"",1+(Skills!T25/10)*($Z$3/1000)/100,1)</f>
        <v/>
      </c>
      <c r="J1681" t="inlineStr"/>
      <c r="K1681" t="inlineStr"/>
      <c r="L1681" t="inlineStr"/>
      <c r="M1681" t="inlineStr"/>
      <c r="N1681" t="inlineStr"/>
      <c r="O1681">
        <f>(1-Summary!$B$11)*S1681+Summary!$B$11*U1681</f>
        <v/>
      </c>
      <c r="P1681">
        <f>IF(B1698=0,0,O1681/B1698)</f>
        <v/>
      </c>
      <c r="Q1681">
        <f>IFERROR(1/(IF(Inputs!$B$39="pvp",15,MAX(0.1,Skills!D25-IF(Skills!E25=TRUE,Inputs!$B$33,0)))*(1-IF(AND(ArtifactsInput!$M$27,Inputs!$B$4="Chapter Hunt"),CHOOSE(ArtifactsInput!$N$27+1,20,24,28,32,36,40),0)/100)),0)</f>
        <v/>
      </c>
      <c r="R1681" t="n">
        <v>0</v>
      </c>
      <c r="S1681" t="n">
        <v>0</v>
      </c>
      <c r="U1681" t="n">
        <v>0</v>
      </c>
    </row>
    <row r="1682">
      <c r="A1682">
        <f>Skills!A26</f>
        <v/>
      </c>
      <c r="B1682">
        <f>Skills!B26</f>
        <v/>
      </c>
      <c r="C1682">
        <f>Inputs!$B$3&gt;=117</f>
        <v/>
      </c>
      <c r="D1682">
        <f>IF(Skills!C26=1,60+Inputs!$B$26+Inputs!$B$30,IF(Skills!C26=2,90+Inputs!$B$27+Inputs!$B$30,IF(Skills!C26=3,120+Inputs!$B$28+Inputs!$B$30,MAX(0,(Inputs!$B$3-100)*3)+Inputs!$B$29+Inputs!$B$30)))</f>
        <v/>
      </c>
      <c r="E1682">
        <f>INDEX(FactorTable!$B$2:$Y$301, MATCH(ROUND(MIN(300,MAX(1,D1682)),0), FactorTable!$A$2:$A$301,0), Skills!L26+1)</f>
        <v/>
      </c>
      <c r="F1682">
        <f>IF(Skills!M26=TRUE,(Skills!K26/10)*(E1682/1000),Skills!K26/10)+Skills!N26</f>
        <v/>
      </c>
      <c r="G1682">
        <f>Calc!G26</f>
        <v/>
      </c>
      <c r="H1682">
        <f>Calc!H26</f>
        <v/>
      </c>
      <c r="I1682">
        <f>IF(Skills!T26&lt;&gt;"",1+(Skills!T26/10)*($Z$3/1000)/100,1)</f>
        <v/>
      </c>
      <c r="J1682" t="inlineStr"/>
      <c r="K1682" t="inlineStr"/>
      <c r="L1682" t="inlineStr"/>
      <c r="M1682" t="inlineStr"/>
      <c r="N1682" t="inlineStr"/>
      <c r="O1682">
        <f>(1-Summary!$B$11)*S1682+Summary!$B$11*U1682</f>
        <v/>
      </c>
      <c r="P1682">
        <f>IF(B1698=0,0,O1682/B1698)</f>
        <v/>
      </c>
      <c r="Q1682">
        <f>IFERROR(1/(IF(Inputs!$B$39="pvp",15,MAX(0.1,Skills!D26-IF(Skills!E26=TRUE,Inputs!$B$33,0)))*(1-IF(AND(ArtifactsInput!$M$27,Inputs!$B$4="Chapter Hunt"),CHOOSE(ArtifactsInput!$N$27+1,20,24,28,32,36,40),0)/100)),0)</f>
        <v/>
      </c>
      <c r="R1682" t="n">
        <v>0</v>
      </c>
      <c r="S1682" t="n">
        <v>0</v>
      </c>
      <c r="U1682" t="n">
        <v>0</v>
      </c>
    </row>
    <row r="1683">
      <c r="A1683">
        <f>Skills!A27</f>
        <v/>
      </c>
      <c r="B1683">
        <f>Skills!B27</f>
        <v/>
      </c>
      <c r="C1683">
        <f>Inputs!$B$3&gt;=120</f>
        <v/>
      </c>
      <c r="D1683">
        <f>IF(Skills!C27=1,60+Inputs!$B$26+Inputs!$B$30,IF(Skills!C27=2,90+Inputs!$B$27+Inputs!$B$30,IF(Skills!C27=3,120+Inputs!$B$28+Inputs!$B$30,MAX(0,(Inputs!$B$3-100)*3)+Inputs!$B$29+Inputs!$B$30)))</f>
        <v/>
      </c>
      <c r="E1683">
        <f>INDEX(FactorTable!$B$2:$Y$301, MATCH(ROUND(MIN(300,MAX(1,D1683)),0), FactorTable!$A$2:$A$301,0), Skills!L27+1)</f>
        <v/>
      </c>
      <c r="F1683">
        <f>IF(Skills!M27=TRUE,(Skills!K27/10)*(E1683/1000),Skills!K27/10)+Skills!N27</f>
        <v/>
      </c>
      <c r="G1683">
        <f>Calc!G27</f>
        <v/>
      </c>
      <c r="H1683">
        <f>Calc!H27</f>
        <v/>
      </c>
      <c r="I1683">
        <f>IF(Skills!T27&lt;&gt;"",1+(Skills!T27/10)*($Z$3/1000)/100,1)</f>
        <v/>
      </c>
      <c r="J1683" t="inlineStr"/>
      <c r="K1683" t="inlineStr"/>
      <c r="L1683" t="inlineStr"/>
      <c r="M1683" t="inlineStr"/>
      <c r="N1683" t="inlineStr"/>
      <c r="O1683">
        <f>(1-Summary!$B$11)*S1683+Summary!$B$11*U1683</f>
        <v/>
      </c>
      <c r="P1683">
        <f>IF(B1698=0,0,O1683/B1698)</f>
        <v/>
      </c>
      <c r="Q1683">
        <f>IFERROR(1/(IF(Inputs!$B$39="pvp",15,MAX(0.1,Skills!D27-IF(Skills!E27=TRUE,Inputs!$B$33,0)))*(1-IF(AND(ArtifactsInput!$M$27,Inputs!$B$4="Chapter Hunt"),CHOOSE(ArtifactsInput!$N$27+1,20,24,28,32,36,40),0)/100)),0)</f>
        <v/>
      </c>
      <c r="R1683" t="n">
        <v>0</v>
      </c>
      <c r="S1683" t="n">
        <v>0</v>
      </c>
      <c r="U1683" t="n">
        <v>0</v>
      </c>
    </row>
    <row r="1685">
      <c r="A1685" t="inlineStr">
        <is>
          <t>Average Buff Multiplier</t>
        </is>
      </c>
      <c r="B1685">
        <f>(1+(IF(C1659=TRUE,F1659*IF(AND(Inputs!$B$39&lt;&gt;"pvp",Inputs!$B$44&gt;0),(((R1659-1)*(Skills!S3*(1+((Inputs!$B$35+(ArtifactsInput!$M$7-ArtifactsInput!$M$7)*CHOOSE(ArtifactsInput!$N$7+1,6,7.2,8.4,9.6,10.8,12))+IF(Inputs!$B$3&gt;=117,F1682,0))/100))+MIN((Skills!S3*(1+((Inputs!$B$35+(ArtifactsInput!$M$7-ArtifactsInput!$M$7)*CHOOSE(ArtifactsInput!$N$7+1,6,7.2,8.4,9.6,10.8,12))+IF(Inputs!$B$3&gt;=117,F1682,0))/100)),MAX(0,Inputs!$B$44-((R1659-1)*Skills!D3))))/Inputs!$B$44),IF(Inputs!$B$39="pvp",MIN((Skills!S3*(1+((Inputs!$B$35+(ArtifactsInput!$M$7-ArtifactsInput!$M$7)*CHOOSE(ArtifactsInput!$N$7+1,6,7.2,8.4,9.6,10.8,12))+IF(Inputs!$B$3&gt;=117,F1682,0))/100)),15)/15,(Skills!S3*(1+((Inputs!$B$35+(ArtifactsInput!$M$7-ArtifactsInput!$M$7)*CHOOSE(ArtifactsInput!$N$7+1,6,7.2,8.4,9.6,10.8,12))+IF(Inputs!$B$3&gt;=117,F1682,0))/100))/Skills!D3)),0)+IF(C1660=TRUE,F1660*IF(AND(Inputs!$B$39&lt;&gt;"pvp",Inputs!$B$44&gt;0),(((R1660-1)*(Skills!S4*(1+((Inputs!$B$35+(ArtifactsInput!$M$7-ArtifactsInput!$M$7)*CHOOSE(ArtifactsInput!$N$7+1,6,7.2,8.4,9.6,10.8,12))+IF(Inputs!$B$3&gt;=117,F1682,0))/100))+MIN((Skills!S4*(1+((Inputs!$B$35+(ArtifactsInput!$M$7-ArtifactsInput!$M$7)*CHOOSE(ArtifactsInput!$N$7+1,6,7.2,8.4,9.6,10.8,12))+IF(Inputs!$B$3&gt;=117,F1682,0))/100)),MAX(0,Inputs!$B$44-((R1660-1)*Skills!D4))))/Inputs!$B$44),IF(Inputs!$B$39="pvp",MIN((Skills!S4*(1+((Inputs!$B$35+(ArtifactsInput!$M$7-ArtifactsInput!$M$7)*CHOOSE(ArtifactsInput!$N$7+1,6,7.2,8.4,9.6,10.8,12))+IF(Inputs!$B$3&gt;=117,F1682,0))/100)),15)/15,(Skills!S4*(1+((Inputs!$B$35+(ArtifactsInput!$M$7-ArtifactsInput!$M$7)*CHOOSE(ArtifactsInput!$N$7+1,6,7.2,8.4,9.6,10.8,12))+IF(Inputs!$B$3&gt;=117,F1682,0))/100))/Skills!D4)),0)+IF(C1661=TRUE,F1661*IF(AND(Inputs!$B$39&lt;&gt;"pvp",Inputs!$B$44&gt;0),(((R1661-1)*(Skills!S5*(1+((Inputs!$B$35+(ArtifactsInput!$M$7-ArtifactsInput!$M$7)*CHOOSE(ArtifactsInput!$N$7+1,6,7.2,8.4,9.6,10.8,12))+IF(Inputs!$B$3&gt;=117,F1682,0))/100))+MIN((Skills!S5*(1+((Inputs!$B$35+(ArtifactsInput!$M$7-ArtifactsInput!$M$7)*CHOOSE(ArtifactsInput!$N$7+1,6,7.2,8.4,9.6,10.8,12))+IF(Inputs!$B$3&gt;=117,F1682,0))/100)),MAX(0,Inputs!$B$44-((R1661-1)*Skills!D5))))/Inputs!$B$44),IF(Inputs!$B$39="pvp",MIN((Skills!S5*(1+((Inputs!$B$35+(ArtifactsInput!$M$7-ArtifactsInput!$M$7)*CHOOSE(ArtifactsInput!$N$7+1,6,7.2,8.4,9.6,10.8,12))+IF(Inputs!$B$3&gt;=117,F1682,0))/100)),15)/15,(Skills!S5*(1+((Inputs!$B$35+(ArtifactsInput!$M$7-ArtifactsInput!$M$7)*CHOOSE(ArtifactsInput!$N$7+1,6,7.2,8.4,9.6,10.8,12))+IF(Inputs!$B$3&gt;=117,F1682,0))/100))/Skills!D5)),0)+IF(C1667=TRUE,F1667*IF(AND(Inputs!$B$39&lt;&gt;"pvp",Inputs!$B$44&gt;0),(((R1667-1)*(Skills!S11*(1+((Inputs!$B$35+(ArtifactsInput!$M$7-ArtifactsInput!$M$7)*CHOOSE(ArtifactsInput!$N$7+1,6,7.2,8.4,9.6,10.8,12))+IF(Inputs!$B$3&gt;=117,F1682,0))/100))+MIN((Skills!S11*(1+((Inputs!$B$35+(ArtifactsInput!$M$7-ArtifactsInput!$M$7)*CHOOSE(ArtifactsInput!$N$7+1,6,7.2,8.4,9.6,10.8,12))+IF(Inputs!$B$3&gt;=117,F1682,0))/100)),MAX(0,Inputs!$B$44-((R1667-1)*Skills!D11))))/Inputs!$B$44),IF(Inputs!$B$39="pvp",MIN((Skills!S11*(1+((Inputs!$B$35+(ArtifactsInput!$M$7-ArtifactsInput!$M$7)*CHOOSE(ArtifactsInput!$N$7+1,6,7.2,8.4,9.6,10.8,12))+IF(Inputs!$B$3&gt;=117,F1682,0))/100)),15)/15,(Skills!S11*(1+((Inputs!$B$35+(ArtifactsInput!$M$7-ArtifactsInput!$M$7)*CHOOSE(ArtifactsInput!$N$7+1,6,7.2,8.4,9.6,10.8,12))+IF(Inputs!$B$3&gt;=117,F1682,0)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1670=TRUE,(1+F1670*IF(AND(Inputs!$B$39&lt;&gt;"pvp",Inputs!$B$44&gt;0),(((R1670-1)*(Skills!S14*(1+((Inputs!$B$35+(ArtifactsInput!$M$7-ArtifactsInput!$M$7)*CHOOSE(ArtifactsInput!$N$7+1,6,7.2,8.4,9.6,10.8,12))+IF(Inputs!$B$3&gt;=117,F1682,0))/100))+MIN((Skills!S14*(1+((Inputs!$B$35+(ArtifactsInput!$M$7-ArtifactsInput!$M$7)*CHOOSE(ArtifactsInput!$N$7+1,6,7.2,8.4,9.6,10.8,12))+IF(Inputs!$B$3&gt;=117,F1682,0))/100)),MAX(0,Inputs!$B$44-((R1670-1)*Skills!D14))))/Inputs!$B$44),IF(Inputs!$B$39="pvp",MIN((Skills!S14*(1+((Inputs!$B$35+(ArtifactsInput!$M$7-ArtifactsInput!$M$7)*CHOOSE(ArtifactsInput!$N$7+1,6,7.2,8.4,9.6,10.8,12))+IF(Inputs!$B$3&gt;=117,F1682,0))/100)),15)/15,(Skills!S14*(1+((Inputs!$B$35+(ArtifactsInput!$M$7-ArtifactsInput!$M$7)*CHOOSE(ArtifactsInput!$N$7+1,6,7.2,8.4,9.6,10.8,12))+IF(Inputs!$B$3&gt;=117,F1682,0))/100))/Skills!D14))/100),1)*IF(C1675=TRUE,(1+F1675*IF(AND(Inputs!$B$39&lt;&gt;"pvp",Inputs!$B$44&gt;0),(((R1675-1)*(Skills!S19*(1+((Inputs!$B$35+(ArtifactsInput!$M$7-ArtifactsInput!$M$7)*CHOOSE(ArtifactsInput!$N$7+1,6,7.2,8.4,9.6,10.8,12))+IF(Inputs!$B$3&gt;=117,F1682,0))/100))+MIN((Skills!S19*(1+((Inputs!$B$35+(ArtifactsInput!$M$7-ArtifactsInput!$M$7)*CHOOSE(ArtifactsInput!$N$7+1,6,7.2,8.4,9.6,10.8,12))+IF(Inputs!$B$3&gt;=117,F1682,0))/100)),MAX(0,Inputs!$B$44-((R1675-1)*Skills!D19))))/Inputs!$B$44),IF(Inputs!$B$39="pvp",MIN((Skills!S19*(1+((Inputs!$B$35+(ArtifactsInput!$M$7-ArtifactsInput!$M$7)*CHOOSE(ArtifactsInput!$N$7+1,6,7.2,8.4,9.6,10.8,12))+IF(Inputs!$B$3&gt;=117,F1682,0))/100)),15)/15,(Skills!S19*(1+((Inputs!$B$35+(ArtifactsInput!$M$7-ArtifactsInput!$M$7)*CHOOSE(ArtifactsInput!$N$7+1,6,7.2,8.4,9.6,10.8,12))+IF(Inputs!$B$3&gt;=117,F1682,0))/100))/Skills!D19))/100),1)</f>
        <v/>
      </c>
    </row>
    <row r="1686">
      <c r="A1686" t="inlineStr">
        <is>
          <t>Monster Damage Taken Bonus % (Holy Fountain)</t>
        </is>
      </c>
      <c r="B1686">
        <f>IF(Inputs!$B$3&gt;=68,20*IF(Inputs!$B$39="pvp",MIN((15*(1+((Inputs!$B$35+(ArtifactsInput!$M$7-ArtifactsInput!$M$7)*CHOOSE(ArtifactsInput!$N$7+1,6,7.2,8.4,9.6,10.8,12))+IF(Inputs!$B$3&gt;=117,F1682,0))/100)),15)/15,(15*(1+((Inputs!$B$35+(ArtifactsInput!$M$7-ArtifactsInput!$M$7)*CHOOSE(ArtifactsInput!$N$7+1,6,7.2,8.4,9.6,10.8,12))+IF(Inputs!$B$3&gt;=117,F1682,0))/100))/Skills!D10),0)</f>
        <v/>
      </c>
    </row>
    <row r="1687">
      <c r="A1687" t="inlineStr">
        <is>
          <t>Normal Monster Damage Bonus % (Holy Symbol)</t>
        </is>
      </c>
      <c r="B1687">
        <f>IF(C1668=TRUE,F1668*IF(AND(Inputs!$B$39&lt;&gt;"pvp",Inputs!$B$44&gt;0),(((R1668-1)*(Skills!S12*(1+((Inputs!$B$35+(ArtifactsInput!$M$7-ArtifactsInput!$M$7)*CHOOSE(ArtifactsInput!$N$7+1,6,7.2,8.4,9.6,10.8,12))+IF(Inputs!$B$3&gt;=117,F1682,0))/100))+MIN((Skills!S12*(1+((Inputs!$B$35+(ArtifactsInput!$M$7-ArtifactsInput!$M$7)*CHOOSE(ArtifactsInput!$N$7+1,6,7.2,8.4,9.6,10.8,12))+IF(Inputs!$B$3&gt;=117,F1682,0))/100)),MAX(0,Inputs!$B$44-((R1668-1)*Skills!D12))))/Inputs!$B$44),IF(Inputs!$B$39="pvp",MIN((Skills!S12*(1+((Inputs!$B$35+(ArtifactsInput!$M$7-ArtifactsInput!$M$7)*CHOOSE(ArtifactsInput!$N$7+1,6,7.2,8.4,9.6,10.8,12))+IF(Inputs!$B$3&gt;=117,F1682,0))/100)),15)/15,(Skills!S12*(1+((Inputs!$B$35+(ArtifactsInput!$M$7-ArtifactsInput!$M$7)*CHOOSE(ArtifactsInput!$N$7+1,6,7.2,8.4,9.6,10.8,12))+IF(Inputs!$B$3&gt;=117,F1682,0))/100))/Skills!D12)),0)</f>
        <v/>
      </c>
    </row>
    <row r="1688">
      <c r="A1688" t="inlineStr">
        <is>
          <t>Damage % Bonus (Holy Symbol - Damage Boost)</t>
        </is>
      </c>
      <c r="B1688">
        <f>Skills!O12</f>
        <v/>
      </c>
    </row>
    <row r="1689">
      <c r="A1689" t="inlineStr">
        <is>
          <t>Crit Damage % Bonus (Blood of the Divine)</t>
        </is>
      </c>
      <c r="B1689">
        <f>4*IF(C1676=TRUE,F1676,0)</f>
        <v/>
      </c>
    </row>
    <row r="1690">
      <c r="A1690" t="inlineStr">
        <is>
          <t>Attack Speed Bonus %</t>
        </is>
      </c>
      <c r="B1690">
        <f>IF(C1673=TRUE,F1673+(F1677-Calc!F21),0)+IF(Inputs!$B$3&gt;=134,15,0)</f>
        <v/>
      </c>
    </row>
    <row r="1691">
      <c r="A1691" t="inlineStr">
        <is>
          <t>Actions Per Second</t>
        </is>
      </c>
      <c r="B1691">
        <f>1+MIN(150,150*(1-(1-Inputs!$B$12/150)*(1-B1690/150)))/100</f>
        <v/>
      </c>
    </row>
    <row r="1692">
      <c r="A1692" t="inlineStr">
        <is>
          <t>Skill + Buff Cast Rate</t>
        </is>
      </c>
      <c r="B1692">
        <f>IF(AND(Inputs!$B$39&lt;&gt;"pvp",Inputs!$B$44&gt;0),SUMPRODUCT((Skills!E2:E27=TRUE)*(C1658:C1683=TRUE)*R1658:R1683)/Inputs!$B$44,SUMPRODUCT((Skills!E2:E27=TRUE)*(C1658:C1683=TRUE)*Q1658:Q1683))</f>
        <v/>
      </c>
    </row>
    <row r="1693">
      <c r="A1693" t="inlineStr">
        <is>
          <t>Big Bang Casts Per Second</t>
        </is>
      </c>
      <c r="B1693">
        <f>MAX(0,B1691-B1692)</f>
        <v/>
      </c>
    </row>
    <row r="1694">
      <c r="A1694" t="inlineStr">
        <is>
          <t>Defense % Bonus (Divine Protection)</t>
        </is>
      </c>
      <c r="B1694">
        <f>IF(C1669=TRUE,F1669*IF(AND(Inputs!$B$39&lt;&gt;"pvp",Inputs!$B$44&gt;0),(((R1669-1)*(Skills!S13*(1+((Inputs!$B$35+(ArtifactsInput!$M$7-ArtifactsInput!$M$7)*CHOOSE(ArtifactsInput!$N$7+1,6,7.2,8.4,9.6,10.8,12))+IF(Inputs!$B$3&gt;=117,F1682,0))/100))+MIN((Skills!S13*(1+((Inputs!$B$35+(ArtifactsInput!$M$7-ArtifactsInput!$M$7)*CHOOSE(ArtifactsInput!$N$7+1,6,7.2,8.4,9.6,10.8,12))+IF(Inputs!$B$3&gt;=117,F1682,0))/100)),MAX(0,Inputs!$B$44-((R1669-1)*Skills!D13))))/Inputs!$B$44),IF(Inputs!$B$39="pvp",MIN((Skills!S13*(1+((Inputs!$B$35+(ArtifactsInput!$M$7-ArtifactsInput!$M$7)*CHOOSE(ArtifactsInput!$N$7+1,6,7.2,8.4,9.6,10.8,12))+IF(Inputs!$B$3&gt;=117,F1682,0))/100)),15)/15,(Skills!S13*(1+((Inputs!$B$35+(ArtifactsInput!$M$7-ArtifactsInput!$M$7)*CHOOSE(ArtifactsInput!$N$7+1,6,7.2,8.4,9.6,10.8,12))+IF(Inputs!$B$3&gt;=117,F1682,0))/100))/Skills!D13)),0)</f>
        <v/>
      </c>
    </row>
    <row r="1695">
      <c r="A1695" t="inlineStr">
        <is>
          <t>Buff-Casting Startup Delay (s, fixed-duration only)</t>
        </is>
      </c>
      <c r="B1695">
        <f>IF(AND(Inputs!$B$39&lt;&gt;"pvp",Inputs!$B$44&gt;0),SUMPRODUCT((Skills!S2:S27&gt;0)*(Skills!E2:E27=TRUE)*(C1658:C1683=TRUE))/B1691,0)</f>
        <v/>
      </c>
    </row>
    <row r="1696">
      <c r="A1696" t="inlineStr">
        <is>
          <t>Boss-Only Total DPS (this block's swept value)</t>
        </is>
      </c>
      <c r="B1696">
        <f>SUM(S1658:S1683)</f>
        <v/>
      </c>
    </row>
    <row r="1697">
      <c r="A1697" t="inlineStr">
        <is>
          <t>Normal-Only Total DPS (this block's swept value)</t>
        </is>
      </c>
      <c r="B1697">
        <f>SUM(U1658:U1683)</f>
        <v/>
      </c>
    </row>
    <row r="1698">
      <c r="A1698" s="6" t="inlineStr">
        <is>
          <t>TOTAL DPS</t>
        </is>
      </c>
      <c r="B1698" s="6">
        <f>SUM(O1658:O1683)</f>
        <v/>
      </c>
    </row>
    <row r="1700">
      <c r="A1700" s="6" t="inlineStr">
        <is>
          <t>Stat: Zakum's Stone Piece (Equip)</t>
        </is>
      </c>
    </row>
    <row r="1701">
      <c r="A1701" s="5" t="inlineStr">
        <is>
          <t>Key</t>
        </is>
      </c>
      <c r="B1701" s="5" t="inlineStr">
        <is>
          <t>Name</t>
        </is>
      </c>
      <c r="C1701" s="5" t="inlineStr">
        <is>
          <t>Unlocked</t>
        </is>
      </c>
      <c r="D1701" s="5" t="inlineStr">
        <is>
          <t>InputLevel</t>
        </is>
      </c>
      <c r="E1701" s="5" t="inlineStr">
        <is>
          <t>Factor</t>
        </is>
      </c>
      <c r="F1701" s="5" t="inlineStr">
        <is>
          <t>CoefficientPercent</t>
        </is>
      </c>
      <c r="G1701" s="5" t="inlineStr">
        <is>
          <t>EffectiveHits</t>
        </is>
      </c>
      <c r="H1701" s="5" t="inlineStr">
        <is>
          <t>ProcProbability</t>
        </is>
      </c>
      <c r="I1701" s="5" t="inlineStr">
        <is>
          <t>MapleHeroMultiplier</t>
        </is>
      </c>
      <c r="J1701" s="5" t="inlineStr">
        <is>
          <t>BaseDamage</t>
        </is>
      </c>
      <c r="K1701" s="5" t="inlineStr">
        <is>
          <t>BaseHitDamage</t>
        </is>
      </c>
      <c r="L1701" s="5" t="inlineStr">
        <is>
          <t>NonCritAvg</t>
        </is>
      </c>
      <c r="M1701" s="5" t="inlineStr">
        <is>
          <t>CritAvg</t>
        </is>
      </c>
      <c r="N1701" s="5" t="inlineStr">
        <is>
          <t>ExpectedDamage(perHit)</t>
        </is>
      </c>
      <c r="O1701" s="5" t="inlineStr">
        <is>
          <t>DPS</t>
        </is>
      </c>
      <c r="P1701" s="5" t="inlineStr">
        <is>
          <t>% of Total</t>
        </is>
      </c>
      <c r="R1701" t="inlineStr">
        <is>
          <t>helpers</t>
        </is>
      </c>
    </row>
    <row r="1702">
      <c r="A1702">
        <f>Skills!A2</f>
        <v/>
      </c>
      <c r="B1702">
        <f>Skills!B2</f>
        <v/>
      </c>
      <c r="C1702">
        <f>Inputs!$B$3&gt;=100</f>
        <v/>
      </c>
      <c r="D1702" t="inlineStr"/>
      <c r="E1702" t="inlineStr"/>
      <c r="F1702">
        <f>T1704+Skills!N2</f>
        <v/>
      </c>
      <c r="G1702">
        <f>Calc!G2</f>
        <v/>
      </c>
      <c r="H1702">
        <f>Calc!H2</f>
        <v/>
      </c>
      <c r="I1702">
        <f>IF(Skills!T2&lt;&gt;"",1+(Skills!T2/10)*($Z$3/1000)/100,1)</f>
        <v/>
      </c>
      <c r="J1702">
        <f>((Inputs!$B$6*(1+Inputs!$B$7/100))+(((Inputs!$B$13*(1+Inputs!$B$14/100))-(Inputs!$B$13*(1+Inputs!$B$14/100)))+0.25*(Inputs!$B$15-Inputs!$B$15))*(1+Inputs!$B$7/100))*(F1702/100)</f>
        <v/>
      </c>
      <c r="K1702">
        <f>J1702*(1+(((Inputs!$B$13+IF(Inputs!$B$3&gt;=35,(10*INDEX(FactorTable!$B$2:$Y$301,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2="TRIUMPH_FEATHER",IF(C1716=TRUE,F1716,0),0)/100)*(1+IF(C1727=TRUE,F1727,0)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1702)</f>
        <v/>
      </c>
      <c r="L1702">
        <f>K1702*(MIN(Inputs!$B$23+(F1722-Calc!F22),(Inputs!$B$24+IF(ArtifactsInput!$M$15,CHOOSE(ArtifactsInput!$N$15+1,25,30,35,40,45,50)/100*(Inputs!$B$12-Inputs!$B$12),0)))/100+(Inputs!$B$24+IF(ArtifactsInput!$M$15,CHOOSE(ArtifactsInput!$N$15+1,25,30,35,40,45,50)/100*(Inputs!$B$12-Inputs!$B$12),0))/100)/2</f>
        <v/>
      </c>
      <c r="M1702">
        <f>L1702*(1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2">
        <f>L1702*(1-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(1-Summary!$B$11)*S1702+Summary!$B$11*U1702</f>
        <v/>
      </c>
      <c r="P1702">
        <f>IF(B1742=0,0,O1702/B1742)</f>
        <v/>
      </c>
      <c r="Q1702">
        <f>IFERROR(1/(IF(Inputs!$B$39="pvp",15,MAX(0.1,Skills!D2-IF(Skills!E2=TRUE,Inputs!$B$33,0)))*(1-IF(AND(ArtifactsInput!$M$27,Inputs!$B$4="Chapter Hunt"),CHOOSE(ArtifactsInput!$N$27+1,20,24,28,32,36,40),0)/100)),0)</f>
        <v/>
      </c>
      <c r="R1702" t="n">
        <v>0</v>
      </c>
      <c r="S1702">
        <f>IF(C1702,(Skills!F2*N1702*B1737)*IF(Inputs!$B$39="pvp",1,1+(Inputs!$B$21+Skills!O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1702*(1-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02">
        <f>MAX(0,(Inputs!$B$3-100)*3)+Inputs!$B$29+Inputs!$B$30</f>
        <v/>
      </c>
      <c r="U1702">
        <f>IF(C1702,(Skills!F2*N1702*B1737)*IF(Inputs!$B$39="pvp",1,(1+(Inputs!$B$22+Skills!P2+B1731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Skills!A3</f>
        <v/>
      </c>
      <c r="B1703">
        <f>Skills!B3</f>
        <v/>
      </c>
      <c r="C1703">
        <f>Inputs!$B$3&gt;=15</f>
        <v/>
      </c>
      <c r="D1703">
        <f>IF(Skills!C3=1,60+Inputs!$B$26+Inputs!$B$30,IF(Skills!C3=2,90+Inputs!$B$27+Inputs!$B$30,IF(Skills!C3=3,120+Inputs!$B$28+Inputs!$B$30,MAX(0,(Inputs!$B$3-100)*3)+Inputs!$B$29+Inputs!$B$30)))</f>
        <v/>
      </c>
      <c r="E1703">
        <f>INDEX(FactorTable!$B$2:$Y$301, MATCH(ROUND(MIN(300,MAX(1,D1703)),0), FactorTable!$A$2:$A$301,0), Skills!L3+1)</f>
        <v/>
      </c>
      <c r="F1703">
        <f>IF(Skills!M3=TRUE,(Skills!K3/10)*(E1703/1000),Skills!K3/10)+Skills!N3</f>
        <v/>
      </c>
      <c r="G1703">
        <f>Calc!G3</f>
        <v/>
      </c>
      <c r="H1703">
        <f>Calc!H3</f>
        <v/>
      </c>
      <c r="I1703">
        <f>IF(Skills!T3&lt;&gt;"",1+(Skills!T3/10)*($Z$3/1000)/100,1)</f>
        <v/>
      </c>
      <c r="J1703" t="inlineStr"/>
      <c r="K1703" t="inlineStr"/>
      <c r="L1703" t="inlineStr"/>
      <c r="M1703" t="inlineStr"/>
      <c r="N1703" t="inlineStr"/>
      <c r="O1703">
        <f>(1-Summary!$B$11)*S1703+Summary!$B$11*U1703</f>
        <v/>
      </c>
      <c r="P1703">
        <f>IF(B1742=0,0,O1703/B1742)</f>
        <v/>
      </c>
      <c r="Q1703">
        <f>IFERROR(1/(IF(Inputs!$B$39="pvp",15,MAX(0.1,Skills!D3-IF(Skills!E3=TRUE,Inputs!$B$33,0)))*(1-IF(AND(ArtifactsInput!$M$27,Inputs!$B$4="Chapter Hunt"),CHOOSE(ArtifactsInput!$N$27+1,20,24,28,32,36,40),0)/100)),0)</f>
        <v/>
      </c>
      <c r="R1703">
        <f>IF(AND(Inputs!$B$39&lt;&gt;"pvp",Inputs!$B$44&gt;0),IF(Inputs!$B$44&lt;=0,0,(INT(Inputs!$B$44/(IF(Inputs!$B$39="pvp",15,MAX(0.1,Skills!D3-IF(Skills!E3=TRUE,Inputs!$B$33,0)))*(1-IF(AND(ArtifactsInput!$M$27,Inputs!$B$4="Chapter Hunt"),CHOOSE(ArtifactsInput!$N$27+1,20,24,28,32,36,40),0)/100)))+1)),0)</f>
        <v/>
      </c>
      <c r="S1703" t="n">
        <v>0</v>
      </c>
      <c r="T1703">
        <f>INDEX(FactorTable!$B$2:$Y$301, MATCH(ROUND(MIN(300,MAX(1,T1702)),0), FactorTable!$A$2:$A$301,0), 22)</f>
        <v/>
      </c>
      <c r="U1703" t="n">
        <v>0</v>
      </c>
    </row>
    <row r="1704">
      <c r="A1704">
        <f>Skills!A4</f>
        <v/>
      </c>
      <c r="B1704">
        <f>Skills!B4</f>
        <v/>
      </c>
      <c r="C1704">
        <f>Inputs!$B$3&gt;=38</f>
        <v/>
      </c>
      <c r="D1704">
        <f>IF(Skills!C4=1,60+Inputs!$B$26+Inputs!$B$30,IF(Skills!C4=2,90+Inputs!$B$27+Inputs!$B$30,IF(Skills!C4=3,120+Inputs!$B$28+Inputs!$B$30,MAX(0,(Inputs!$B$3-100)*3)+Inputs!$B$29+Inputs!$B$30)))</f>
        <v/>
      </c>
      <c r="E1704">
        <f>INDEX(FactorTable!$B$2:$Y$301, MATCH(ROUND(MIN(300,MAX(1,D1704)),0), FactorTable!$A$2:$A$301,0), Skills!L4+1)</f>
        <v/>
      </c>
      <c r="F1704">
        <f>IF(Skills!M4=TRUE,(Skills!K4/10)*(E1704/1000),Skills!K4/10)+Skills!N4</f>
        <v/>
      </c>
      <c r="G1704">
        <f>Calc!G4</f>
        <v/>
      </c>
      <c r="H1704">
        <f>Calc!H4</f>
        <v/>
      </c>
      <c r="I1704">
        <f>IF(Skills!T4&lt;&gt;"",1+(Skills!T4/10)*($Z$3/1000)/100,1)</f>
        <v/>
      </c>
      <c r="J1704" t="inlineStr"/>
      <c r="K1704" t="inlineStr"/>
      <c r="L1704" t="inlineStr"/>
      <c r="M1704" t="inlineStr"/>
      <c r="N1704" t="inlineStr"/>
      <c r="O1704">
        <f>(1-Summary!$B$11)*S1704+Summary!$B$11*U1704</f>
        <v/>
      </c>
      <c r="P1704">
        <f>IF(B1742=0,0,O1704/B1742)</f>
        <v/>
      </c>
      <c r="Q1704">
        <f>IFERROR(1/(IF(Inputs!$B$39="pvp",15,MAX(0.1,Skills!D4-IF(Skills!E4=TRUE,Inputs!$B$33,0)))*(1-IF(AND(ArtifactsInput!$M$27,Inputs!$B$4="Chapter Hunt"),CHOOSE(ArtifactsInput!$N$27+1,20,24,28,32,36,40),0)/100)),0)</f>
        <v/>
      </c>
      <c r="R1704">
        <f>IF(AND(Inputs!$B$39&lt;&gt;"pvp",Inputs!$B$44&gt;0),IF(Inputs!$B$44&lt;=0,0,(INT(Inputs!$B$44/(IF(Inputs!$B$39="pvp",15,MAX(0.1,Skills!D4-IF(Skills!E4=TRUE,Inputs!$B$33,0)))*(1-IF(AND(ArtifactsInput!$M$27,Inputs!$B$4="Chapter Hunt"),CHOOSE(ArtifactsInput!$N$27+1,20,24,28,32,36,40),0)/100)))+1)),0)</f>
        <v/>
      </c>
      <c r="S1704" t="n">
        <v>0</v>
      </c>
      <c r="T1704">
        <f>290*T1703/1000</f>
        <v/>
      </c>
      <c r="U1704" t="n">
        <v>0</v>
      </c>
    </row>
    <row r="1705">
      <c r="A1705">
        <f>Skills!A5</f>
        <v/>
      </c>
      <c r="B1705">
        <f>Skills!B5</f>
        <v/>
      </c>
      <c r="C1705">
        <f>Inputs!$B$3&gt;=40</f>
        <v/>
      </c>
      <c r="D1705">
        <f>IF(Skills!C5=1,60+Inputs!$B$26+Inputs!$B$30,IF(Skills!C5=2,90+Inputs!$B$27+Inputs!$B$30,IF(Skills!C5=3,120+Inputs!$B$28+Inputs!$B$30,MAX(0,(Inputs!$B$3-100)*3)+Inputs!$B$29+Inputs!$B$30)))</f>
        <v/>
      </c>
      <c r="E1705">
        <f>INDEX(FactorTable!$B$2:$Y$301, MATCH(ROUND(MIN(300,MAX(1,D1705)),0), FactorTable!$A$2:$A$301,0), Skills!L5+1)</f>
        <v/>
      </c>
      <c r="F1705">
        <f>IF(Skills!M5=TRUE,(Skills!K5/10)*(E1705/1000),Skills!K5/10)+Skills!N5</f>
        <v/>
      </c>
      <c r="G1705">
        <f>Calc!G5</f>
        <v/>
      </c>
      <c r="H1705">
        <f>Calc!H5</f>
        <v/>
      </c>
      <c r="I1705">
        <f>IF(Skills!T5&lt;&gt;"",1+(Skills!T5/10)*($Z$3/1000)/100,1)</f>
        <v/>
      </c>
      <c r="J1705" t="inlineStr"/>
      <c r="K1705" t="inlineStr"/>
      <c r="L1705" t="inlineStr"/>
      <c r="M1705" t="inlineStr"/>
      <c r="N1705" t="inlineStr"/>
      <c r="O1705">
        <f>(1-Summary!$B$11)*S1705+Summary!$B$11*U1705</f>
        <v/>
      </c>
      <c r="P1705">
        <f>IF(B1742=0,0,O1705/B1742)</f>
        <v/>
      </c>
      <c r="Q1705">
        <f>IFERROR(1/(IF(Inputs!$B$39="pvp",15,MAX(0.1,Skills!D5-IF(Skills!E5=TRUE,Inputs!$B$33,0)))*(1-IF(AND(ArtifactsInput!$M$27,Inputs!$B$4="Chapter Hunt"),CHOOSE(ArtifactsInput!$N$27+1,20,24,28,32,36,40),0)/100)),0)</f>
        <v/>
      </c>
      <c r="R1705">
        <f>IF(AND(Inputs!$B$39&lt;&gt;"pvp",Inputs!$B$44&gt;0),IF(Inputs!$B$44&lt;=0,0,(INT(Inputs!$B$44/(IF(Inputs!$B$39="pvp",15,MAX(0.1,Skills!D5-IF(Skills!E5=TRUE,Inputs!$B$33,0)))*(1-IF(AND(ArtifactsInput!$M$27,Inputs!$B$4="Chapter Hunt"),CHOOSE(ArtifactsInput!$N$27+1,20,24,28,32,36,40),0)/100)))+1)),0)</f>
        <v/>
      </c>
      <c r="S1705" t="n">
        <v>0</v>
      </c>
      <c r="U1705" t="n">
        <v>0</v>
      </c>
    </row>
    <row r="1706">
      <c r="A1706">
        <f>Skills!A6</f>
        <v/>
      </c>
      <c r="B1706">
        <f>Skills!B6</f>
        <v/>
      </c>
      <c r="C1706">
        <f>Inputs!$B$3&gt;=103</f>
        <v/>
      </c>
      <c r="D1706">
        <f>IF(Skills!C6=1,60+Inputs!$B$26+Inputs!$B$30,IF(Skills!C6=2,90+Inputs!$B$27+Inputs!$B$30,IF(Skills!C6=3,120+Inputs!$B$28+Inputs!$B$30,MAX(0,(Inputs!$B$3-100)*3)+Inputs!$B$29+Inputs!$B$30)))</f>
        <v/>
      </c>
      <c r="E1706">
        <f>INDEX(FactorTable!$B$2:$Y$301, MATCH(ROUND(MIN(300,MAX(1,D1706)),0), FactorTable!$A$2:$A$301,0), Skills!L6+1)</f>
        <v/>
      </c>
      <c r="F1706">
        <f>IF(Skills!M6=TRUE,(Skills!K6/10)*(E1706/1000),Skills!K6/10)+Skills!N6</f>
        <v/>
      </c>
      <c r="G1706">
        <f>Calc!G6</f>
        <v/>
      </c>
      <c r="H1706">
        <f>Calc!H6</f>
        <v/>
      </c>
      <c r="I1706">
        <f>IF(Skills!T6&lt;&gt;"",1+(Skills!T6/10)*($Z$3/1000)/100,1)</f>
        <v/>
      </c>
      <c r="J1706">
        <f>((Inputs!$B$6*(1+Inputs!$B$7/100))+(((Inputs!$B$13*(1+Inputs!$B$14/100))-(Inputs!$B$13*(1+Inputs!$B$14/100)))+0.25*(Inputs!$B$15-Inputs!$B$15))*(1+Inputs!$B$7/100))*(F1706/100)</f>
        <v/>
      </c>
      <c r="K1706">
        <f>J1706*(1+(((Inputs!$B$13+IF(Inputs!$B$3&gt;=35,(10*INDEX(FactorTable!$B$2:$Y$301,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6="TRIUMPH_FEATHER",IF(C1716=TRUE,F1716,0),0)/100)*(1+IF(C1727=TRUE,F1727,0)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1706)</f>
        <v/>
      </c>
      <c r="L1706">
        <f>K1706*(MIN(Inputs!$B$23+(F1722-Calc!F22),(Inputs!$B$24+IF(ArtifactsInput!$M$15,CHOOSE(ArtifactsInput!$N$15+1,25,30,35,40,45,50)/100*(Inputs!$B$12-Inputs!$B$12),0)))/100+(Inputs!$B$24+IF(ArtifactsInput!$M$15,CHOOSE(ArtifactsInput!$N$15+1,25,30,35,40,45,50)/100*(Inputs!$B$12-Inputs!$B$12),0))/100)/2</f>
        <v/>
      </c>
      <c r="M1706">
        <f>L1706*(1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6">
        <f>L1706*(1-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(1-Summary!$B$11)*S1706+Summary!$B$11*U1706</f>
        <v/>
      </c>
      <c r="P1706">
        <f>IF(B1742=0,0,O1706/B1742)</f>
        <v/>
      </c>
      <c r="Q1706">
        <f>IFERROR(1/(IF(Inputs!$B$39="pvp",15,MAX(0.1,Skills!D6-IF(Skills!E6=TRUE,Inputs!$B$33,0)))*(1-IF(AND(ArtifactsInput!$M$27,Inputs!$B$4="Chapter Hunt"),CHOOSE(ArtifactsInput!$N$27+1,20,24,28,32,36,40),0)/100)),0)</f>
        <v/>
      </c>
      <c r="R1706">
        <f>IF(AND(Inputs!$B$39&lt;&gt;"pvp",Inputs!$B$44&gt;0),IF(MAX(0,Inputs!$B$44-B1739)&lt;=0,0,(INT(MAX(0,Inputs!$B$44-B1739)/(IF(Inputs!$B$39="pvp",15,MAX(0.1,Skills!D6-IF(Skills!E6=TRUE,Inputs!$B$33,0)))*(1-IF(AND(ArtifactsInput!$M$27,Inputs!$B$4="Chapter Hunt"),CHOOSE(ArtifactsInput!$N$27+1,20,24,28,32,36,40),0)/100)))+1)),0)</f>
        <v/>
      </c>
      <c r="S1706">
        <f>IF(C1706,(H1706*N1706*IF(AND(Inputs!$B$39&lt;&gt;"pvp",Inputs!$B$44&gt;0),((Skills!F6*((R1706-1)*IF(Skills!G6&gt;0,Skills!H6/Skills!G6,1)+IF(Skills!G6&gt;0,MIN(Skills!H6,MAX(0,MAX(0,Inputs!$B$44-B1739)-((R1706-1)*(IF(Inputs!$B$39="pvp",15,MAX(0.1,Skills!D6-IF(Skills!E6=TRUE,Inputs!$B$33,0)))*(1-IF(AND(ArtifactsInput!$M$27,Inputs!$B$4="Chapter Hunt"),CHOOSE(ArtifactsInput!$N$27+1,20,24,28,32,36,40),0)/100)))))/Skills!G6,1)))/Inputs!$B$44),G1706*Q1706))*IF(Inputs!$B$39="pvp",1,1+(Inputs!$B$21+Skills!O6+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1706*(1-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6">
        <f>IF(C1706,(H1706*N1706*IF(AND(Inputs!$B$39&lt;&gt;"pvp",Inputs!$B$44&gt;0),((Skills!F6*((R1706-1)*IF(Skills!G6&gt;0,Skills!H6/Skills!G6,1)+IF(Skills!G6&gt;0,MIN(Skills!H6,MAX(0,MAX(0,Inputs!$B$44-B1739)-((R1706-1)*(IF(Inputs!$B$39="pvp",15,MAX(0.1,Skills!D6-IF(Skills!E6=TRUE,Inputs!$B$33,0)))*(1-IF(AND(ArtifactsInput!$M$27,Inputs!$B$4="Chapter Hunt"),CHOOSE(ArtifactsInput!$N$27+1,20,24,28,32,36,40),0)/100)))))/Skills!G6,1)))/Inputs!$B$44),G1706*Q1706))*IF(Inputs!$B$39="pvp",1,(1+(Inputs!$B$22+Skills!P6+B1731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Skills!A7</f>
        <v/>
      </c>
      <c r="B1707">
        <f>Skills!B7</f>
        <v/>
      </c>
      <c r="C1707">
        <f>Inputs!$B$3&gt;=122</f>
        <v/>
      </c>
      <c r="D1707">
        <f>IF(Skills!C7=1,60+Inputs!$B$26+Inputs!$B$30,IF(Skills!C7=2,90+Inputs!$B$27+Inputs!$B$30,IF(Skills!C7=3,120+Inputs!$B$28+Inputs!$B$30,MAX(0,(Inputs!$B$3-100)*3)+Inputs!$B$29+Inputs!$B$30)))</f>
        <v/>
      </c>
      <c r="E1707">
        <f>INDEX(FactorTable!$B$2:$Y$301, MATCH(ROUND(MIN(300,MAX(1,D1707)),0), FactorTable!$A$2:$A$301,0), Skills!L7+1)</f>
        <v/>
      </c>
      <c r="F1707">
        <f>IF(Skills!M7=TRUE,(Skills!K7/10)*(E1707/1000),Skills!K7/10)+Skills!N7</f>
        <v/>
      </c>
      <c r="G1707">
        <f>Calc!G7</f>
        <v/>
      </c>
      <c r="H1707">
        <f>Calc!H7</f>
        <v/>
      </c>
      <c r="I1707">
        <f>IF(Skills!T7&lt;&gt;"",1+(Skills!T7/10)*($Z$3/1000)/100,1)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7="TRIUMPH_FEATHER",IF(C1716=TRUE,F1716,0),0)/100)*(1+IF(C1727=TRUE,F1727,0)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1707)</f>
        <v/>
      </c>
      <c r="L1707">
        <f>K1707*(MIN(Inputs!$B$23+(F1722-Calc!F22),(Inputs!$B$24+IF(ArtifactsInput!$M$15,CHOOSE(ArtifactsInput!$N$15+1,25,30,35,40,45,50)/100*(Inputs!$B$12-Inputs!$B$12),0)))/100+(Inputs!$B$24+IF(ArtifactsInput!$M$15,CHOOSE(ArtifactsInput!$N$15+1,25,30,35,40,45,50)/100*(Inputs!$B$12-Inputs!$B$12),0))/100)/2</f>
        <v/>
      </c>
      <c r="M1707">
        <f>L1707*(1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IF(B1742=0,0,O1707/B1742)</f>
        <v/>
      </c>
      <c r="Q1707">
        <f>IFERROR(1/(IF(Inputs!$B$39="pvp",15,MAX(0.1,Skills!D7-IF(Skills!E6=TRUE,Inputs!$B$33,0)))*(1-IF(AND(ArtifactsInput!$M$27,Inputs!$B$4="Chapter Hunt"),CHOOSE(ArtifactsInput!$N$27+1,20,24,28,32,36,40),0)/100)),0)</f>
        <v/>
      </c>
      <c r="R1707">
        <f>IF(AND(Inputs!$B$39&lt;&gt;"pvp",Inputs!$B$44&gt;0),IF(MAX(0,Inputs!$B$44-B1739)&lt;=0,0,(INT(MAX(0,Inputs!$B$44-B1739)/(IF(Inputs!$B$39="pvp",15,MAX(0.1,Skills!D7-IF(Skills!E6=TRUE,Inputs!$B$33,0)))*(1-IF(AND(ArtifactsInput!$M$27,Inputs!$B$4="Chapter Hunt"),CHOOSE(ArtifactsInput!$N$27+1,20,24,28,32,36,40),0)/100)))+1)),0)</f>
        <v/>
      </c>
      <c r="S1707">
        <f>IF(C1707,H1707*N1707*IF(AND(Inputs!$B$39&lt;&gt;"pvp",Inputs!$B$44&gt;0),((Skills!F7*((R1707-1)*IF(Skills!G7&gt;0,Skills!H7/Skills!G7,1)+IF(Skills!G7&gt;0,MIN(Skills!H7,MAX(0,MAX(0,Inputs!$B$44-B1739)-((R1707-1)*(IF(Inputs!$B$39="pvp",15,MAX(0.1,Skills!D7-IF(Skills!E6=TRUE,Inputs!$B$33,0)))*(1-IF(AND(ArtifactsInput!$M$27,Inputs!$B$4="Chapter Hunt"),CHOOSE(ArtifactsInput!$N$27+1,20,24,28,32,36,40),0)/100)))))/Skills!G7,1)))/Inputs!$B$44),G1707*Q1707)*IF(Inputs!$B$39="pvp",1,1+(Inputs!$B$21+Skills!O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t="n">
        <v>0</v>
      </c>
    </row>
    <row r="1708">
      <c r="A1708">
        <f>Skills!A8</f>
        <v/>
      </c>
      <c r="B1708">
        <f>Skills!B8</f>
        <v/>
      </c>
      <c r="C1708">
        <f>Inputs!$B$3&gt;=105</f>
        <v/>
      </c>
      <c r="D1708">
        <f>IF(Skills!C8=1,60+Inputs!$B$26+Inputs!$B$30,IF(Skills!C8=2,90+Inputs!$B$27+Inputs!$B$30,IF(Skills!C8=3,120+Inputs!$B$28+Inputs!$B$30,MAX(0,(Inputs!$B$3-100)*3)+Inputs!$B$29+Inputs!$B$30)))</f>
        <v/>
      </c>
      <c r="E1708">
        <f>INDEX(FactorTable!$B$2:$Y$301, MATCH(ROUND(MIN(300,MAX(1,D1708)),0), FactorTable!$A$2:$A$301,0), Skills!L8+1)</f>
        <v/>
      </c>
      <c r="F1708">
        <f>IF(Skills!M8=TRUE,(Skills!K8/10)*(E1708/1000),Skills!K8/10)+Skills!N8</f>
        <v/>
      </c>
      <c r="G1708">
        <f>Calc!G8</f>
        <v/>
      </c>
      <c r="H1708">
        <f>Calc!H8</f>
        <v/>
      </c>
      <c r="I1708">
        <f>IF(Skills!T8&lt;&gt;"",1+(Skills!T8/10)*($Z$3/1000)/100,1)</f>
        <v/>
      </c>
      <c r="J1708">
        <f>((Inputs!$B$6*(1+Inputs!$B$7/100))+(((Inputs!$B$13*(1+Inputs!$B$14/100))-(Inputs!$B$13*(1+Inputs!$B$14/100)))+0.25*(Inputs!$B$15-Inputs!$B$15))*(1+Inputs!$B$7/100))*(F1708/100)</f>
        <v/>
      </c>
      <c r="K1708">
        <f>J1708*(1+(((Inputs!$B$13+IF(Inputs!$B$3&gt;=35,(10*INDEX(FactorTable!$B$2:$Y$301,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8="TRIUMPH_FEATHER",IF(C1716=TRUE,F1716,0),0)/100)*(1+IF(C1727=TRUE,F1727,0)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1708)</f>
        <v/>
      </c>
      <c r="L1708">
        <f>K1708*(MIN(Inputs!$B$23+(F1722-Calc!F22),(Inputs!$B$24+IF(ArtifactsInput!$M$15,CHOOSE(ArtifactsInput!$N$15+1,25,30,35,40,45,50)/100*(Inputs!$B$12-Inputs!$B$12),0)))/100+(Inputs!$B$24+IF(ArtifactsInput!$M$15,CHOOSE(ArtifactsInput!$N$15+1,25,30,35,40,45,50)/100*(Inputs!$B$12-Inputs!$B$12),0))/100)/2</f>
        <v/>
      </c>
      <c r="M1708">
        <f>L1708*(1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8">
        <f>L1708*(1-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1708*(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8">
        <f>(1-Summary!$B$11)*S1708+Summary!$B$11*U1708</f>
        <v/>
      </c>
      <c r="P1708">
        <f>IF(B1742=0,0,O1708/B1742)</f>
        <v/>
      </c>
      <c r="Q1708">
        <f>IFERROR(1/(IF(Inputs!$B$39="pvp",15,MAX(0.1,Skills!D8-IF(Skills!E8=TRUE,Inputs!$B$33,0)))*(1-IF(AND(ArtifactsInput!$M$27,Inputs!$B$4="Chapter Hunt"),CHOOSE(ArtifactsInput!$N$27+1,20,24,28,32,36,40),0)/100)),0)</f>
        <v/>
      </c>
      <c r="R1708">
        <f>IF(AND(Inputs!$B$39&lt;&gt;"pvp",Inputs!$B$44&gt;0),IF(MAX(0,Inputs!$B$44-B1739)&lt;=0,0,(INT(MAX(0,Inputs!$B$44-B1739)/(IF(Inputs!$B$39="pvp",15,MAX(0.1,Skills!D8-IF(Skills!E8=TRUE,Inputs!$B$33,0)))*(1-IF(AND(ArtifactsInput!$M$27,Inputs!$B$4="Chapter Hunt"),CHOOSE(ArtifactsInput!$N$27+1,20,24,28,32,36,40),0)/100)))+1)),0)</f>
        <v/>
      </c>
      <c r="S1708">
        <f>IF(C1708,(H1708*N1708*IF(AND(Inputs!$B$39&lt;&gt;"pvp",Inputs!$B$44&gt;0),((Skills!F8*((R1708-1)*IF(Skills!G8&gt;0,Skills!H8/Skills!G8,1)+IF(Skills!G8&gt;0,MIN(Skills!H8,MAX(0,MAX(0,Inputs!$B$44-B1739)-((R1708-1)*(IF(Inputs!$B$39="pvp",15,MAX(0.1,Skills!D8-IF(Skills!E8=TRUE,Inputs!$B$33,0)))*(1-IF(AND(ArtifactsInput!$M$27,Inputs!$B$4="Chapter Hunt"),CHOOSE(ArtifactsInput!$N$27+1,20,24,28,32,36,40),0)/100)))))/Skills!G8,1)))/Inputs!$B$44),G1708*Q1708))*IF(Inputs!$B$39="pvp",1,1+(Inputs!$B$21+Skills!O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1708*(1-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1708*(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1708*(1-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1708*(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8">
        <f>IF(C1708,(H1708*N1708*IF(AND(Inputs!$B$39&lt;&gt;"pvp",Inputs!$B$44&gt;0),((Skills!F8*((R1708-1)*IF(Skills!G8&gt;0,Skills!H8/Skills!G8,1)+IF(Skills!G8&gt;0,MIN(Skills!H8,MAX(0,MAX(0,Inputs!$B$44-B1739)-((R1708-1)*(IF(Inputs!$B$39="pvp",15,MAX(0.1,Skills!D8-IF(Skills!E8=TRUE,Inputs!$B$33,0)))*(1-IF(AND(ArtifactsInput!$M$27,Inputs!$B$4="Chapter Hunt"),CHOOSE(ArtifactsInput!$N$27+1,20,24,28,32,36,40),0)/100)))))/Skills!G8,1)))/Inputs!$B$44),G1708*Q1708))*IF(Inputs!$B$39="pvp",1,(1+(Inputs!$B$22+Skills!P8+B1731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9">
      <c r="A1709">
        <f>Skills!A9</f>
        <v/>
      </c>
      <c r="B1709">
        <f>Skills!B9</f>
        <v/>
      </c>
      <c r="C1709">
        <f>Inputs!$B$3&gt;=115</f>
        <v/>
      </c>
      <c r="D1709">
        <f>IF(Skills!C9=1,60+Inputs!$B$26+Inputs!$B$30,IF(Skills!C9=2,90+Inputs!$B$27+Inputs!$B$30,IF(Skills!C9=3,120+Inputs!$B$28+Inputs!$B$30,MAX(0,(Inputs!$B$3-100)*3)+Inputs!$B$29+Inputs!$B$30)))</f>
        <v/>
      </c>
      <c r="E1709">
        <f>INDEX(FactorTable!$B$2:$Y$301, MATCH(ROUND(MIN(300,MAX(1,D1709)),0), FactorTable!$A$2:$A$301,0), Skills!L9+1)</f>
        <v/>
      </c>
      <c r="F1709">
        <f>IF(Skills!M9=TRUE,(Skills!K9/10)*(E1709/1000),Skills!K9/10)+Skills!N9</f>
        <v/>
      </c>
      <c r="G1709">
        <f>Calc!G9</f>
        <v/>
      </c>
      <c r="H1709">
        <f>Calc!H9</f>
        <v/>
      </c>
      <c r="I1709">
        <f>IF(Skills!T9&lt;&gt;"",1+(Skills!T9/10)*($Z$3/1000)/100,1)</f>
        <v/>
      </c>
      <c r="J1709">
        <f>((Inputs!$B$6*(1+Inputs!$B$7/100))+(((Inputs!$B$13*(1+Inputs!$B$14/100))-(Inputs!$B$13*(1+Inputs!$B$14/100)))+0.25*(Inputs!$B$15-Inputs!$B$15))*(1+Inputs!$B$7/100))*(F1709/100)</f>
        <v/>
      </c>
      <c r="K1709">
        <f>J1709*(1+(((Inputs!$B$13+IF(Inputs!$B$3&gt;=35,(10*INDEX(FactorTable!$B$2:$Y$301,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9="TRIUMPH_FEATHER",IF(C1716=TRUE,F1716,0),0)/100)*(1+IF(C1727=TRUE,F1727,0)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1709)</f>
        <v/>
      </c>
      <c r="L1709">
        <f>K1709*(MIN(Inputs!$B$23+(F1722-Calc!F22),(Inputs!$B$24+IF(ArtifactsInput!$M$15,CHOOSE(ArtifactsInput!$N$15+1,25,30,35,40,45,50)/100*(Inputs!$B$12-Inputs!$B$12),0)))/100+(Inputs!$B$24+IF(ArtifactsInput!$M$15,CHOOSE(ArtifactsInput!$N$15+1,25,30,35,40,45,50)/100*(Inputs!$B$12-Inputs!$B$12),0))/100)/2</f>
        <v/>
      </c>
      <c r="M1709">
        <f>L1709*(1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9">
        <f>L1709*(1-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1709*(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9">
        <f>(1-Summary!$B$11)*S1709+Summary!$B$11*U1709</f>
        <v/>
      </c>
      <c r="P1709">
        <f>IF(B1742=0,0,O1709/B1742)</f>
        <v/>
      </c>
      <c r="Q1709">
        <f>IFERROR(1/(IF(Inputs!$B$39="pvp",15,MAX(0.1,Skills!D9-IF(Skills!E9=TRUE,Inputs!$B$33,0)))*(1-IF(AND(ArtifactsInput!$M$27,Inputs!$B$4="Chapter Hunt"),CHOOSE(ArtifactsInput!$N$27+1,20,24,28,32,36,40),0)/100)),0)</f>
        <v/>
      </c>
      <c r="R1709">
        <f>IF(AND(Inputs!$B$39&lt;&gt;"pvp",Inputs!$B$44&gt;0),IF(MAX(0,Inputs!$B$44-B1739)&lt;=0,0,(INT(MAX(0,Inputs!$B$44-B1739)/(IF(Inputs!$B$39="pvp",15,MAX(0.1,Skills!D9-IF(Skills!E9=TRUE,Inputs!$B$33,0)))*(1-IF(AND(ArtifactsInput!$M$27,Inputs!$B$4="Chapter Hunt"),CHOOSE(ArtifactsInput!$N$27+1,20,24,28,32,36,40),0)/100)))+1)),0)</f>
        <v/>
      </c>
      <c r="S1709">
        <f>IF(C1709,(H1709*N1709*IF(AND(Inputs!$B$39&lt;&gt;"pvp",Inputs!$B$44&gt;0),((Skills!F9*((R1709-1)*IF(Skills!G9&gt;0,Skills!H9/Skills!G9,1)+IF(Skills!G9&gt;0,MIN(Skills!H9,MAX(0,MAX(0,Inputs!$B$44-B1739)-((R1709-1)*(IF(Inputs!$B$39="pvp",15,MAX(0.1,Skills!D9-IF(Skills!E9=TRUE,Inputs!$B$33,0)))*(1-IF(AND(ArtifactsInput!$M$27,Inputs!$B$4="Chapter Hunt"),CHOOSE(ArtifactsInput!$N$27+1,20,24,28,32,36,40),0)/100)))))/Skills!G9,1)))/Inputs!$B$44),G1709*Q1709))*IF(Inputs!$B$39="pvp",1,1+(Inputs!$B$21+Skills!O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1709*(1-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1709*(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1709*(1-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1709*(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9">
        <f>IF(C1709,(H1709*N1709*IF(AND(Inputs!$B$39&lt;&gt;"pvp",Inputs!$B$44&gt;0),((Skills!F9*((R1709-1)*IF(Skills!G9&gt;0,Skills!H9/Skills!G9,1)+IF(Skills!G9&gt;0,MIN(Skills!H9,MAX(0,MAX(0,Inputs!$B$44-B1739)-((R1709-1)*(IF(Inputs!$B$39="pvp",15,MAX(0.1,Skills!D9-IF(Skills!E9=TRUE,Inputs!$B$33,0)))*(1-IF(AND(ArtifactsInput!$M$27,Inputs!$B$4="Chapter Hunt"),CHOOSE(ArtifactsInput!$N$27+1,20,24,28,32,36,40),0)/100)))))/Skills!G9,1)))/Inputs!$B$44),G1709*Q1709))*IF(Inputs!$B$39="pvp",1,(1+(Inputs!$B$22+Skills!P9+B1731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0">
      <c r="A1710">
        <f>Skills!A10</f>
        <v/>
      </c>
      <c r="B1710">
        <f>Skills!B10</f>
        <v/>
      </c>
      <c r="C1710">
        <f>Inputs!$B$3&gt;=66</f>
        <v/>
      </c>
      <c r="D1710">
        <f>IF(Skills!C10=1,60+Inputs!$B$26+Inputs!$B$30,IF(Skills!C10=2,90+Inputs!$B$27+Inputs!$B$30,IF(Skills!C10=3,120+Inputs!$B$28+Inputs!$B$30,MAX(0,(Inputs!$B$3-100)*3)+Inputs!$B$29+Inputs!$B$30)))</f>
        <v/>
      </c>
      <c r="E1710">
        <f>INDEX(FactorTable!$B$2:$Y$301, MATCH(ROUND(MIN(300,MAX(1,D1710)),0), FactorTable!$A$2:$A$301,0), Skills!L10+1)</f>
        <v/>
      </c>
      <c r="F1710" t="n">
        <v>0</v>
      </c>
      <c r="G1710">
        <f>Calc!G10</f>
        <v/>
      </c>
      <c r="H1710">
        <f>Calc!H10</f>
        <v/>
      </c>
      <c r="I1710">
        <f>IF(Skills!T10&lt;&gt;"",1+(Skills!T10/10)*($Z$3/1000)/100,1)</f>
        <v/>
      </c>
      <c r="J1710" t="inlineStr"/>
      <c r="K1710" t="inlineStr"/>
      <c r="L1710" t="inlineStr"/>
      <c r="M1710" t="inlineStr"/>
      <c r="N1710" t="inlineStr"/>
      <c r="O1710">
        <f>(1-Summary!$B$11)*S1710+Summary!$B$11*U1710</f>
        <v/>
      </c>
      <c r="P1710">
        <f>IF(B1742=0,0,O1710/B1742)</f>
        <v/>
      </c>
      <c r="Q1710">
        <f>IFERROR(1/(IF(Inputs!$B$39="pvp",15,MAX(0.1,Skills!D10-IF(Skills!E10=TRUE,Inputs!$B$33,0)))*(1-IF(AND(ArtifactsInput!$M$27,Inputs!$B$4="Chapter Hunt"),CHOOSE(ArtifactsInput!$N$27+1,20,24,28,32,36,40),0)/100)),0)</f>
        <v/>
      </c>
      <c r="R1710">
        <f>IF(AND(Inputs!$B$39&lt;&gt;"pvp",Inputs!$B$44&gt;0),IF(MAX(0,Inputs!$B$44-B1739)&lt;=0,0,(INT(MAX(0,Inputs!$B$44-B1739)/(IF(Inputs!$B$39="pvp",15,MAX(0.1,Skills!D10-IF(Skills!E10=TRUE,Inputs!$B$33,0)))*(1-IF(AND(ArtifactsInput!$M$27,Inputs!$B$4="Chapter Hunt"),CHOOSE(ArtifactsInput!$N$27+1,20,24,28,32,36,40),0)/100)))+1)),0)</f>
        <v/>
      </c>
      <c r="S1710" t="n">
        <v>0</v>
      </c>
      <c r="U1710" t="n">
        <v>0</v>
      </c>
    </row>
    <row r="1711">
      <c r="A1711">
        <f>Skills!A11</f>
        <v/>
      </c>
      <c r="B1711">
        <f>Skills!B11</f>
        <v/>
      </c>
      <c r="C1711">
        <f>Inputs!$B$3&gt;=69</f>
        <v/>
      </c>
      <c r="D1711">
        <f>IF(Skills!C11=1,60+Inputs!$B$26+Inputs!$B$30,IF(Skills!C11=2,90+Inputs!$B$27+Inputs!$B$30,IF(Skills!C11=3,120+Inputs!$B$28+Inputs!$B$30,MAX(0,(Inputs!$B$3-100)*3)+Inputs!$B$29+Inputs!$B$30)))</f>
        <v/>
      </c>
      <c r="E1711">
        <f>INDEX(FactorTable!$B$2:$Y$301, MATCH(ROUND(MIN(300,MAX(1,D1711)),0), FactorTable!$A$2:$A$301,0), Skills!L11+1)</f>
        <v/>
      </c>
      <c r="F1711">
        <f>IF(Skills!M11=TRUE,(Skills!K11/10)*(E1711/1000),Skills!K11/10)+Skills!N11</f>
        <v/>
      </c>
      <c r="G1711">
        <f>Calc!G11</f>
        <v/>
      </c>
      <c r="H1711">
        <f>Calc!H11</f>
        <v/>
      </c>
      <c r="I1711">
        <f>IF(Skills!T11&lt;&gt;"",1+(Skills!T11/10)*($Z$3/1000)/100,1)</f>
        <v/>
      </c>
      <c r="J1711" t="inlineStr"/>
      <c r="K1711" t="inlineStr"/>
      <c r="L1711" t="inlineStr"/>
      <c r="M1711" t="inlineStr"/>
      <c r="N1711" t="inlineStr"/>
      <c r="O1711">
        <f>(1-Summary!$B$11)*S1711+Summary!$B$11*U1711</f>
        <v/>
      </c>
      <c r="P1711">
        <f>IF(B1742=0,0,O1711/B1742)</f>
        <v/>
      </c>
      <c r="Q1711">
        <f>IFERROR(1/(IF(Inputs!$B$39="pvp",15,MAX(0.1,Skills!D11-IF(Skills!E11=TRUE,Inputs!$B$33,0)))*(1-IF(AND(ArtifactsInput!$M$27,Inputs!$B$4="Chapter Hunt"),CHOOSE(ArtifactsInput!$N$27+1,20,24,28,32,36,40),0)/100)),0)</f>
        <v/>
      </c>
      <c r="R1711">
        <f>IF(AND(Inputs!$B$39&lt;&gt;"pvp",Inputs!$B$44&gt;0),IF(Inputs!$B$44&lt;=0,0,(INT(Inputs!$B$44/(IF(Inputs!$B$39="pvp",15,MAX(0.1,Skills!D11-IF(Skills!E11=TRUE,Inputs!$B$33,0)))*(1-IF(AND(ArtifactsInput!$M$27,Inputs!$B$4="Chapter Hunt"),CHOOSE(ArtifactsInput!$N$27+1,20,24,28,32,36,40),0)/100)))+1)),0)</f>
        <v/>
      </c>
      <c r="S1711" t="n">
        <v>0</v>
      </c>
      <c r="U1711" t="n">
        <v>0</v>
      </c>
    </row>
    <row r="1712">
      <c r="A1712">
        <f>Skills!A12</f>
        <v/>
      </c>
      <c r="B1712">
        <f>Skills!B12</f>
        <v/>
      </c>
      <c r="C1712">
        <f>Inputs!$B$3&gt;=72</f>
        <v/>
      </c>
      <c r="D1712">
        <f>IF(Skills!C12=1,60+Inputs!$B$26+Inputs!$B$30,IF(Skills!C12=2,90+Inputs!$B$27+Inputs!$B$30,IF(Skills!C12=3,120+Inputs!$B$28+Inputs!$B$30,MAX(0,(Inputs!$B$3-100)*3)+Inputs!$B$29+Inputs!$B$30)))</f>
        <v/>
      </c>
      <c r="E1712">
        <f>INDEX(FactorTable!$B$2:$Y$301, MATCH(ROUND(MIN(300,MAX(1,D1712)),0), FactorTable!$A$2:$A$301,0), Skills!L12+1)</f>
        <v/>
      </c>
      <c r="F1712">
        <f>IF(Skills!M12=TRUE,(Skills!K12/10)*(E1712/1000),Skills!K12/10)+Skills!N12</f>
        <v/>
      </c>
      <c r="G1712">
        <f>Calc!G12</f>
        <v/>
      </c>
      <c r="H1712">
        <f>Calc!H12</f>
        <v/>
      </c>
      <c r="I1712">
        <f>IF(Skills!T12&lt;&gt;"",1+(Skills!T12/10)*($Z$3/1000)/100,1)</f>
        <v/>
      </c>
      <c r="J1712" t="inlineStr"/>
      <c r="K1712" t="inlineStr"/>
      <c r="L1712" t="inlineStr"/>
      <c r="M1712" t="inlineStr"/>
      <c r="N1712" t="inlineStr"/>
      <c r="O1712">
        <f>(1-Summary!$B$11)*S1712+Summary!$B$11*U1712</f>
        <v/>
      </c>
      <c r="P1712">
        <f>IF(B1742=0,0,O1712/B1742)</f>
        <v/>
      </c>
      <c r="Q1712">
        <f>IFERROR(1/(IF(Inputs!$B$39="pvp",15,MAX(0.1,Skills!D12-IF(Skills!E12=TRUE,Inputs!$B$33,0)))*(1-IF(AND(ArtifactsInput!$M$27,Inputs!$B$4="Chapter Hunt"),CHOOSE(ArtifactsInput!$N$27+1,20,24,28,32,36,40),0)/100)),0)</f>
        <v/>
      </c>
      <c r="R1712">
        <f>IF(AND(Inputs!$B$39&lt;&gt;"pvp",Inputs!$B$44&gt;0),IF(MAX(0,Inputs!$B$44-B1739)&lt;=0,0,(INT(MAX(0,Inputs!$B$44-B1739)/(IF(Inputs!$B$39="pvp",15,MAX(0.1,Skills!D12-IF(Skills!E12=TRUE,Inputs!$B$33,0)))*(1-IF(AND(ArtifactsInput!$M$27,Inputs!$B$4="Chapter Hunt"),CHOOSE(ArtifactsInput!$N$27+1,20,24,28,32,36,40),0)/100)))+1)),0)</f>
        <v/>
      </c>
      <c r="S1712" t="n">
        <v>0</v>
      </c>
      <c r="U1712" t="n">
        <v>0</v>
      </c>
    </row>
    <row r="1713">
      <c r="A1713">
        <f>Skills!A13</f>
        <v/>
      </c>
      <c r="B1713">
        <f>Skills!B13</f>
        <v/>
      </c>
      <c r="C1713">
        <f>Inputs!$B$3&gt;=60</f>
        <v/>
      </c>
      <c r="D1713">
        <f>IF(Skills!C13=1,60+Inputs!$B$26+Inputs!$B$30,IF(Skills!C13=2,90+Inputs!$B$27+Inputs!$B$30,IF(Skills!C13=3,120+Inputs!$B$28+Inputs!$B$30,MAX(0,(Inputs!$B$3-100)*3)+Inputs!$B$29+Inputs!$B$30)))</f>
        <v/>
      </c>
      <c r="E1713">
        <f>INDEX(FactorTable!$B$2:$Y$301, MATCH(ROUND(MIN(300,MAX(1,D1713)),0), FactorTable!$A$2:$A$301,0), Skills!L13+1)</f>
        <v/>
      </c>
      <c r="F1713">
        <f>IF(Skills!M13=TRUE,(Skills!K13/10)*(E1713/1000),Skills!K13/10)+Skills!N13</f>
        <v/>
      </c>
      <c r="G1713">
        <f>Calc!G13</f>
        <v/>
      </c>
      <c r="H1713">
        <f>Calc!H13</f>
        <v/>
      </c>
      <c r="I1713">
        <f>IF(Skills!T13&lt;&gt;"",1+(Skills!T13/10)*($Z$3/1000)/100,1)</f>
        <v/>
      </c>
      <c r="J1713" t="inlineStr"/>
      <c r="K1713" t="inlineStr"/>
      <c r="L1713" t="inlineStr"/>
      <c r="M1713" t="inlineStr"/>
      <c r="N1713" t="inlineStr"/>
      <c r="O1713">
        <f>(1-Summary!$B$11)*S1713+Summary!$B$11*U1713</f>
        <v/>
      </c>
      <c r="P1713">
        <f>IF(B1742=0,0,O1713/B1742)</f>
        <v/>
      </c>
      <c r="Q1713">
        <f>IFERROR(1/(IF(Inputs!$B$39="pvp",15,MAX(0.1,Skills!D13-IF(Skills!E13=TRUE,Inputs!$B$33,0)))*(1-IF(AND(ArtifactsInput!$M$27,Inputs!$B$4="Chapter Hunt"),CHOOSE(ArtifactsInput!$N$27+1,20,24,28,32,36,40),0)/100)),0)</f>
        <v/>
      </c>
      <c r="R1713">
        <f>IF(AND(Inputs!$B$39&lt;&gt;"pvp",Inputs!$B$44&gt;0),IF(MAX(0,Inputs!$B$44-B1739)&lt;=0,0,(INT(MAX(0,Inputs!$B$44-B1739)/(IF(Inputs!$B$39="pvp",15,MAX(0.1,Skills!D13-IF(Skills!E13=TRUE,Inputs!$B$33,0)))*(1-IF(AND(ArtifactsInput!$M$27,Inputs!$B$4="Chapter Hunt"),CHOOSE(ArtifactsInput!$N$27+1,20,24,28,32,36,40),0)/100)))+1)),0)</f>
        <v/>
      </c>
      <c r="S1713" t="n">
        <v>0</v>
      </c>
      <c r="U1713" t="n">
        <v>0</v>
      </c>
    </row>
    <row r="1714">
      <c r="A1714">
        <f>Skills!A14</f>
        <v/>
      </c>
      <c r="B1714">
        <f>Skills!B14</f>
        <v/>
      </c>
      <c r="C1714">
        <f>Inputs!$B$3&gt;=107</f>
        <v/>
      </c>
      <c r="D1714">
        <f>IF(Skills!C14=1,60+Inputs!$B$26+Inputs!$B$30,IF(Skills!C14=2,90+Inputs!$B$27+Inputs!$B$30,IF(Skills!C14=3,120+Inputs!$B$28+Inputs!$B$30,MAX(0,(Inputs!$B$3-100)*3)+Inputs!$B$29+Inputs!$B$30)))</f>
        <v/>
      </c>
      <c r="E1714">
        <f>INDEX(FactorTable!$B$2:$Y$301, MATCH(ROUND(MIN(300,MAX(1,D1714)),0), FactorTable!$A$2:$A$301,0), Skills!L14+1)</f>
        <v/>
      </c>
      <c r="F1714">
        <f>IF(Skills!M14=TRUE,(Skills!K14/10)*(E1714/1000),Skills!K14/10)+Skills!N14</f>
        <v/>
      </c>
      <c r="G1714">
        <f>Calc!G14</f>
        <v/>
      </c>
      <c r="H1714">
        <f>Calc!H14</f>
        <v/>
      </c>
      <c r="I1714">
        <f>IF(Skills!T14&lt;&gt;"",1+(Skills!T14/10)*($Z$3/1000)/100,1)</f>
        <v/>
      </c>
      <c r="J1714" t="inlineStr"/>
      <c r="K1714" t="inlineStr"/>
      <c r="L1714" t="inlineStr"/>
      <c r="M1714" t="inlineStr"/>
      <c r="N1714" t="inlineStr"/>
      <c r="O1714">
        <f>(1-Summary!$B$11)*S1714+Summary!$B$11*U1714</f>
        <v/>
      </c>
      <c r="P1714">
        <f>IF(B1742=0,0,O1714/B1742)</f>
        <v/>
      </c>
      <c r="Q1714">
        <f>IFERROR(1/(IF(Inputs!$B$39="pvp",15,MAX(0.1,Skills!D14-IF(Skills!E14=TRUE,Inputs!$B$33,0)))*(1-IF(AND(ArtifactsInput!$M$27,Inputs!$B$4="Chapter Hunt"),CHOOSE(ArtifactsInput!$N$27+1,20,24,28,32,36,40),0)/100)),0)</f>
        <v/>
      </c>
      <c r="R1714">
        <f>IF(AND(Inputs!$B$39&lt;&gt;"pvp",Inputs!$B$44&gt;0),IF(Inputs!$B$44&lt;=0,0,(INT(Inputs!$B$44/(IF(Inputs!$B$39="pvp",15,MAX(0.1,Skills!D14-IF(Skills!E14=TRUE,Inputs!$B$33,0)))*(1-IF(AND(ArtifactsInput!$M$27,Inputs!$B$4="Chapter Hunt"),CHOOSE(ArtifactsInput!$N$27+1,20,24,28,32,36,40),0)/100)))+1)),0)</f>
        <v/>
      </c>
      <c r="S1714" t="n">
        <v>0</v>
      </c>
      <c r="U1714" t="n">
        <v>0</v>
      </c>
    </row>
    <row r="1715">
      <c r="A1715">
        <f>Skills!A15</f>
        <v/>
      </c>
      <c r="B1715">
        <f>Skills!B15</f>
        <v/>
      </c>
      <c r="C1715">
        <f>Inputs!$B$3&gt;=63</f>
        <v/>
      </c>
      <c r="D1715">
        <f>IF(Skills!C15=1,60+Inputs!$B$26+Inputs!$B$30,IF(Skills!C15=2,90+Inputs!$B$27+Inputs!$B$30,IF(Skills!C15=3,120+Inputs!$B$28+Inputs!$B$30,MAX(0,(Inputs!$B$3-100)*3)+Inputs!$B$29+Inputs!$B$30)))</f>
        <v/>
      </c>
      <c r="E1715">
        <f>INDEX(FactorTable!$B$2:$Y$301, MATCH(ROUND(MIN(300,MAX(1,D1715)),0), FactorTable!$A$2:$A$301,0), Skills!L15+1)</f>
        <v/>
      </c>
      <c r="F1715">
        <f>IF(Skills!M15=TRUE,(Skills!K15/10)*(E1715/1000),Skills!K15/10)+Skills!N15</f>
        <v/>
      </c>
      <c r="G1715">
        <f>Calc!G15</f>
        <v/>
      </c>
      <c r="H1715">
        <f>Calc!H15</f>
        <v/>
      </c>
      <c r="I1715">
        <f>IF(Skills!T15&lt;&gt;"",1+(Skills!T15/10)*($Z$3/1000)/100,1)</f>
        <v/>
      </c>
      <c r="J1715">
        <f>((Inputs!$B$6*(1+Inputs!$B$7/100))+(((Inputs!$B$13*(1+Inputs!$B$14/100))-(Inputs!$B$13*(1+Inputs!$B$14/100)))+0.25*(Inputs!$B$15-Inputs!$B$15))*(1+Inputs!$B$7/100))*(F1715/100)</f>
        <v/>
      </c>
      <c r="K1715">
        <f>J1715*(1+(((Inputs!$B$13+IF(Inputs!$B$3&gt;=35,(10*INDEX(FactorTable!$B$2:$Y$301,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15="TRIUMPH_FEATHER",IF(C1716=TRUE,F1716,0),0)/100)*(1+IF(C1727=TRUE,F1727,0)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1715)</f>
        <v/>
      </c>
      <c r="L1715">
        <f>K1715*(MIN(Inputs!$B$23+(F1722-Calc!F22),(Inputs!$B$24+IF(ArtifactsInput!$M$15,CHOOSE(ArtifactsInput!$N$15+1,25,30,35,40,45,50)/100*(Inputs!$B$12-Inputs!$B$12),0)))/100+(Inputs!$B$24+IF(ArtifactsInput!$M$15,CHOOSE(ArtifactsInput!$N$15+1,25,30,35,40,45,50)/100*(Inputs!$B$12-Inputs!$B$12),0))/100)/2</f>
        <v/>
      </c>
      <c r="M1715">
        <f>L1715*(1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5">
        <f>L1715*(1-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1715*(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5">
        <f>(1-Summary!$B$11)*S1715+Summary!$B$11*U1715</f>
        <v/>
      </c>
      <c r="P1715">
        <f>IF(B1742=0,0,O1715/B1742)</f>
        <v/>
      </c>
      <c r="Q1715">
        <f>IFERROR(1/(IF(Inputs!$B$39="pvp",15,MAX(0.1,Skills!D15-IF(Skills!E15=TRUE,Inputs!$B$33,0)))*(1-IF(AND(ArtifactsInput!$M$27,Inputs!$B$4="Chapter Hunt"),CHOOSE(ArtifactsInput!$N$27+1,20,24,28,32,36,40),0)/100)),0)</f>
        <v/>
      </c>
      <c r="R1715" t="n">
        <v>0</v>
      </c>
      <c r="S1715">
        <f>IF(C1715,(Skills!F15*N1715*((IF(Inputs!$B$3&gt;=78,25,15)/100*B1735*10)/(1+IF(Inputs!$B$3&gt;=78,25,15)/100*B1735*10))*(Skills!I15/100*B1735)/(1+Skills!G15*Skills!I15/100*B1735))*IF(Inputs!$B$39="pvp",1,1+(Inputs!$B$21+Skills!O15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1715*(1-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1715*(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1715*(1-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1715*(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5">
        <f>IF(C1715,(Skills!F15*N1715*((IF(Inputs!$B$3&gt;=78,25,15)/100*B1735*10)/(1+IF(Inputs!$B$3&gt;=78,25,15)/100*B1735*10))*(Skills!I15/100*B1735)/(1+Skills!G15*Skills!I15/100*B1735))*IF(Inputs!$B$39="pvp",1,(1+(Inputs!$B$22+Skills!P15+B1731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6">
      <c r="A1716">
        <f>Skills!A16</f>
        <v/>
      </c>
      <c r="B1716">
        <f>Skills!B16</f>
        <v/>
      </c>
      <c r="C1716">
        <f>Inputs!$B$3&gt;=100</f>
        <v/>
      </c>
      <c r="D1716">
        <f>IF(Skills!C16=1,60+Inputs!$B$26+Inputs!$B$30,IF(Skills!C16=2,90+Inputs!$B$27+Inputs!$B$30,IF(Skills!C16=3,120+Inputs!$B$28+Inputs!$B$30,MAX(0,(Inputs!$B$3-100)*3)+Inputs!$B$29+Inputs!$B$30)))</f>
        <v/>
      </c>
      <c r="E1716">
        <f>INDEX(FactorTable!$B$2:$Y$301, MATCH(ROUND(MIN(300,MAX(1,D1716)),0), FactorTable!$A$2:$A$301,0), Skills!L16+1)</f>
        <v/>
      </c>
      <c r="F1716">
        <f>IF(Skills!M16=TRUE,(Skills!K16/10)*(E1716/1000),Skills!K16/10)+Skills!N16</f>
        <v/>
      </c>
      <c r="G1716">
        <f>Calc!G16</f>
        <v/>
      </c>
      <c r="H1716">
        <f>Calc!H16</f>
        <v/>
      </c>
      <c r="I1716">
        <f>IF(Skills!T16&lt;&gt;"",1+(Skills!T16/10)*($Z$3/1000)/100,1)</f>
        <v/>
      </c>
      <c r="J1716" t="inlineStr"/>
      <c r="K1716" t="inlineStr"/>
      <c r="L1716" t="inlineStr"/>
      <c r="M1716" t="inlineStr"/>
      <c r="N1716" t="inlineStr"/>
      <c r="O1716">
        <f>(1-Summary!$B$11)*S1716+Summary!$B$11*U1716</f>
        <v/>
      </c>
      <c r="P1716">
        <f>IF(B1742=0,0,O1716/B1742)</f>
        <v/>
      </c>
      <c r="Q1716">
        <f>IFERROR(1/(IF(Inputs!$B$39="pvp",15,MAX(0.1,Skills!D16-IF(Skills!E16=TRUE,Inputs!$B$33,0)))*(1-IF(AND(ArtifactsInput!$M$27,Inputs!$B$4="Chapter Hunt"),CHOOSE(ArtifactsInput!$N$27+1,20,24,28,32,36,40),0)/100)),0)</f>
        <v/>
      </c>
      <c r="R1716" t="n">
        <v>0</v>
      </c>
      <c r="S1716" t="n">
        <v>0</v>
      </c>
      <c r="U1716" t="n">
        <v>0</v>
      </c>
    </row>
    <row r="1717">
      <c r="A1717">
        <f>Skills!A17</f>
        <v/>
      </c>
      <c r="B1717">
        <f>Skills!B17</f>
        <v/>
      </c>
      <c r="C1717">
        <f>Inputs!$B$3&gt;=49</f>
        <v/>
      </c>
      <c r="D1717">
        <f>IF(Skills!C17=1,60+Inputs!$B$26+Inputs!$B$30,IF(Skills!C17=2,90+Inputs!$B$27+Inputs!$B$30,IF(Skills!C17=3,120+Inputs!$B$28+Inputs!$B$30,MAX(0,(Inputs!$B$3-100)*3)+Inputs!$B$29+Inputs!$B$30)))</f>
        <v/>
      </c>
      <c r="E1717">
        <f>INDEX(FactorTable!$B$2:$Y$301, MATCH(ROUND(MIN(300,MAX(1,D1717)),0), FactorTable!$A$2:$A$301,0), Skills!L17+1)</f>
        <v/>
      </c>
      <c r="F1717">
        <f>IF(Skills!M17=TRUE,(Skills!K17/10)*(E1717/1000),Skills!K17/10)+Skills!N17</f>
        <v/>
      </c>
      <c r="G1717">
        <f>Calc!G17</f>
        <v/>
      </c>
      <c r="H1717">
        <f>Calc!H17</f>
        <v/>
      </c>
      <c r="I1717">
        <f>IF(Skills!T17&lt;&gt;"",1+(Skills!T17/10)*($Z$3/1000)/100,1)</f>
        <v/>
      </c>
      <c r="J1717" t="inlineStr"/>
      <c r="K1717" t="inlineStr"/>
      <c r="L1717" t="inlineStr"/>
      <c r="M1717" t="inlineStr"/>
      <c r="N1717" t="inlineStr"/>
      <c r="O1717">
        <f>(1-Summary!$B$11)*S1717+Summary!$B$11*U1717</f>
        <v/>
      </c>
      <c r="P1717">
        <f>IF(B1742=0,0,O1717/B1742)</f>
        <v/>
      </c>
      <c r="Q1717">
        <f>IFERROR(1/(IF(Inputs!$B$39="pvp",15,MAX(0.1,Skills!D17-IF(Skills!E17=TRUE,Inputs!$B$33,0)))*(1-IF(AND(ArtifactsInput!$M$27,Inputs!$B$4="Chapter Hunt"),CHOOSE(ArtifactsInput!$N$27+1,20,24,28,32,36,40),0)/100)),0)</f>
        <v/>
      </c>
      <c r="R1717" t="n">
        <v>0</v>
      </c>
      <c r="S1717" t="n">
        <v>0</v>
      </c>
      <c r="U1717" t="n">
        <v>0</v>
      </c>
    </row>
    <row r="1718">
      <c r="A1718">
        <f>Skills!A18</f>
        <v/>
      </c>
      <c r="B1718">
        <f>Skills!B18</f>
        <v/>
      </c>
      <c r="C1718">
        <f>Inputs!$B$3&gt;=75</f>
        <v/>
      </c>
      <c r="D1718">
        <f>IF(Skills!C18=1,60+Inputs!$B$26+Inputs!$B$30,IF(Skills!C18=2,90+Inputs!$B$27+Inputs!$B$30,IF(Skills!C18=3,120+Inputs!$B$28+Inputs!$B$30,MAX(0,(Inputs!$B$3-100)*3)+Inputs!$B$29+Inputs!$B$30)))</f>
        <v/>
      </c>
      <c r="E1718">
        <f>INDEX(FactorTable!$B$2:$Y$301, MATCH(ROUND(MIN(300,MAX(1,D1718)),0), FactorTable!$A$2:$A$301,0), Skills!L18+1)</f>
        <v/>
      </c>
      <c r="F1718">
        <f>IF(Skills!M18=TRUE,(Skills!K18/10)*(E1718/1000),Skills!K18/10)+Skills!N18</f>
        <v/>
      </c>
      <c r="G1718">
        <f>Calc!G18</f>
        <v/>
      </c>
      <c r="H1718">
        <f>Calc!H18</f>
        <v/>
      </c>
      <c r="I1718">
        <f>IF(Skills!T18&lt;&gt;"",1+(Skills!T18/10)*($Z$3/1000)/100,1)</f>
        <v/>
      </c>
      <c r="J1718" t="inlineStr"/>
      <c r="K1718" t="inlineStr"/>
      <c r="L1718" t="inlineStr"/>
      <c r="M1718" t="inlineStr"/>
      <c r="N1718" t="inlineStr"/>
      <c r="O1718">
        <f>(1-Summary!$B$11)*S1718+Summary!$B$11*U1718</f>
        <v/>
      </c>
      <c r="P1718">
        <f>IF(B1742=0,0,O1718/B1742)</f>
        <v/>
      </c>
      <c r="Q1718">
        <f>IFERROR(1/(IF(Inputs!$B$39="pvp",15,MAX(0.1,Skills!D18-IF(Skills!E18=TRUE,Inputs!$B$33,0)))*(1-IF(AND(ArtifactsInput!$M$27,Inputs!$B$4="Chapter Hunt"),CHOOSE(ArtifactsInput!$N$27+1,20,24,28,32,36,40),0)/100)),0)</f>
        <v/>
      </c>
      <c r="R1718" t="n">
        <v>0</v>
      </c>
      <c r="S1718" t="n">
        <v>0</v>
      </c>
      <c r="U1718" t="n">
        <v>0</v>
      </c>
    </row>
    <row r="1719">
      <c r="A1719">
        <f>Skills!A19</f>
        <v/>
      </c>
      <c r="B1719">
        <f>Skills!B19</f>
        <v/>
      </c>
      <c r="C1719">
        <f>Inputs!$B$3&gt;=110</f>
        <v/>
      </c>
      <c r="D1719">
        <f>IF(Skills!C19=1,60+Inputs!$B$26+Inputs!$B$30,IF(Skills!C19=2,90+Inputs!$B$27+Inputs!$B$30,IF(Skills!C19=3,120+Inputs!$B$28+Inputs!$B$30,MAX(0,(Inputs!$B$3-100)*3)+Inputs!$B$29+Inputs!$B$30)))</f>
        <v/>
      </c>
      <c r="E1719">
        <f>INDEX(FactorTable!$B$2:$Y$301, MATCH(ROUND(MIN(300,MAX(1,D1719)),0), FactorTable!$A$2:$A$301,0), Skills!L19+1)</f>
        <v/>
      </c>
      <c r="F1719">
        <f>(Skills!K19/10)*(E1719/1000)*64/45+Skills!N19</f>
        <v/>
      </c>
      <c r="G1719">
        <f>Calc!G19</f>
        <v/>
      </c>
      <c r="H1719">
        <f>Calc!H19</f>
        <v/>
      </c>
      <c r="I1719">
        <f>IF(Skills!T19&lt;&gt;"",1+(Skills!T19/10)*($Z$3/1000)/100,1)</f>
        <v/>
      </c>
      <c r="J1719" t="inlineStr"/>
      <c r="K1719" t="inlineStr"/>
      <c r="L1719" t="inlineStr"/>
      <c r="M1719" t="inlineStr"/>
      <c r="N1719" t="inlineStr"/>
      <c r="O1719">
        <f>(1-Summary!$B$11)*S1719+Summary!$B$11*U1719</f>
        <v/>
      </c>
      <c r="P1719">
        <f>IF(B1742=0,0,O1719/B1742)</f>
        <v/>
      </c>
      <c r="Q1719">
        <f>IFERROR(1/(IF(Inputs!$B$39="pvp",15,MAX(0.1,Skills!D19-IF(Skills!E19=TRUE,Inputs!$B$33,0)))*(1-IF(AND(ArtifactsInput!$M$27,Inputs!$B$4="Chapter Hunt"),CHOOSE(ArtifactsInput!$N$27+1,20,24,28,32,36,40),0)/100)),0)</f>
        <v/>
      </c>
      <c r="R1719">
        <f>IF(AND(Inputs!$B$39&lt;&gt;"pvp",Inputs!$B$44&gt;0),IF(Inputs!$B$44&lt;=0,0,(INT(Inputs!$B$44/(IF(Inputs!$B$39="pvp",15,MAX(0.1,Skills!D19-IF(Skills!E19=TRUE,Inputs!$B$33,0)))*(1-IF(AND(ArtifactsInput!$M$27,Inputs!$B$4="Chapter Hunt"),CHOOSE(ArtifactsInput!$N$27+1,20,24,28,32,36,40),0)/100)))+1)),0)</f>
        <v/>
      </c>
      <c r="S1719" t="n">
        <v>0</v>
      </c>
      <c r="U1719" t="n">
        <v>0</v>
      </c>
    </row>
    <row r="1720">
      <c r="A1720">
        <f>Skills!A20</f>
        <v/>
      </c>
      <c r="B1720">
        <f>Skills!B20</f>
        <v/>
      </c>
      <c r="C1720">
        <f>Inputs!$B$3&gt;=125</f>
        <v/>
      </c>
      <c r="D1720">
        <f>IF(Skills!C20=1,60+Inputs!$B$26+Inputs!$B$30,IF(Skills!C20=2,90+Inputs!$B$27+Inputs!$B$30,IF(Skills!C20=3,120+Inputs!$B$28+Inputs!$B$30,MAX(0,(Inputs!$B$3-100)*3)+Inputs!$B$29+Inputs!$B$30)))</f>
        <v/>
      </c>
      <c r="E1720">
        <f>INDEX(FactorTable!$B$2:$Y$301, MATCH(ROUND(MIN(300,MAX(1,D1720)),0), FactorTable!$A$2:$A$301,0), Skills!L20+1)</f>
        <v/>
      </c>
      <c r="F1720">
        <f>IF(Skills!M20=TRUE,(Skills!K20/10)*(E1720/1000),Skills!K20/10)+Skills!N20</f>
        <v/>
      </c>
      <c r="G1720">
        <f>Calc!G20</f>
        <v/>
      </c>
      <c r="H1720">
        <f>Calc!H20</f>
        <v/>
      </c>
      <c r="I1720">
        <f>IF(Skills!T20&lt;&gt;"",1+(Skills!T20/10)*($Z$3/1000)/100,1)</f>
        <v/>
      </c>
      <c r="J1720" t="inlineStr"/>
      <c r="K1720" t="inlineStr"/>
      <c r="L1720" t="inlineStr"/>
      <c r="M1720" t="inlineStr"/>
      <c r="N1720" t="inlineStr"/>
      <c r="O1720">
        <f>(1-Summary!$B$11)*S1720+Summary!$B$11*U1720</f>
        <v/>
      </c>
      <c r="P1720">
        <f>IF(B1742=0,0,O1720/B1742)</f>
        <v/>
      </c>
      <c r="Q1720">
        <f>IFERROR(1/(IF(Inputs!$B$39="pvp",15,MAX(0.1,Skills!D20-IF(Skills!E20=TRUE,Inputs!$B$33,0)))*(1-IF(AND(ArtifactsInput!$M$27,Inputs!$B$4="Chapter Hunt"),CHOOSE(ArtifactsInput!$N$27+1,20,24,28,32,36,40),0)/100)),0)</f>
        <v/>
      </c>
      <c r="R1720" t="n">
        <v>0</v>
      </c>
      <c r="S1720" t="n">
        <v>0</v>
      </c>
      <c r="U1720" t="n">
        <v>0</v>
      </c>
    </row>
    <row r="1721">
      <c r="A1721">
        <f>Skills!A21</f>
        <v/>
      </c>
      <c r="B1721">
        <f>Skills!B21</f>
        <v/>
      </c>
      <c r="C1721">
        <f>Inputs!$B$3&gt;=33</f>
        <v/>
      </c>
      <c r="D1721">
        <f>IF(Skills!C21=1,60+Inputs!$B$26+Inputs!$B$30,IF(Skills!C21=2,90+Inputs!$B$27+Inputs!$B$30,IF(Skills!C21=3,120+Inputs!$B$28+Inputs!$B$30,MAX(0,(Inputs!$B$3-100)*3)+Inputs!$B$29+Inputs!$B$30)))</f>
        <v/>
      </c>
      <c r="E1721">
        <f>INDEX(FactorTable!$B$2:$Y$301, MATCH(ROUND(MIN(300,MAX(1,D1721)),0), FactorTable!$A$2:$A$301,0), Skills!L21+1)</f>
        <v/>
      </c>
      <c r="F1721">
        <f>IF(Skills!M21=TRUE,(Skills!K21/10)*(E1721/1000),Skills!K21/10)+Skills!N21</f>
        <v/>
      </c>
      <c r="G1721">
        <f>Calc!G21</f>
        <v/>
      </c>
      <c r="H1721">
        <f>Calc!H21</f>
        <v/>
      </c>
      <c r="I1721">
        <f>IF(Skills!T21&lt;&gt;"",1+(Skills!T21/10)*($Z$3/1000)/100,1)</f>
        <v/>
      </c>
      <c r="J1721" t="inlineStr"/>
      <c r="K1721" t="inlineStr"/>
      <c r="L1721" t="inlineStr"/>
      <c r="M1721" t="inlineStr"/>
      <c r="N1721" t="inlineStr"/>
      <c r="O1721">
        <f>(1-Summary!$B$11)*S1721+Summary!$B$11*U1721</f>
        <v/>
      </c>
      <c r="P1721">
        <f>IF(B1742=0,0,O1721/B1742)</f>
        <v/>
      </c>
      <c r="Q1721">
        <f>IFERROR(1/(IF(Inputs!$B$39="pvp",15,MAX(0.1,Skills!D21-IF(Skills!E21=TRUE,Inputs!$B$33,0)))*(1-IF(AND(ArtifactsInput!$M$27,Inputs!$B$4="Chapter Hunt"),CHOOSE(ArtifactsInput!$N$27+1,20,24,28,32,36,40),0)/100)),0)</f>
        <v/>
      </c>
      <c r="R1721" t="n">
        <v>0</v>
      </c>
      <c r="S1721" t="n">
        <v>0</v>
      </c>
      <c r="U1721" t="n">
        <v>0</v>
      </c>
    </row>
    <row r="1722">
      <c r="A1722">
        <f>Skills!A22</f>
        <v/>
      </c>
      <c r="B1722">
        <f>Skills!B22</f>
        <v/>
      </c>
      <c r="C1722">
        <f>Inputs!$B$3&gt;=43</f>
        <v/>
      </c>
      <c r="D1722">
        <f>IF(Skills!C22=1,60+Inputs!$B$26+Inputs!$B$30,IF(Skills!C22=2,90+Inputs!$B$27+Inputs!$B$30,IF(Skills!C22=3,120+Inputs!$B$28+Inputs!$B$30,MAX(0,(Inputs!$B$3-100)*3)+Inputs!$B$29+Inputs!$B$30)))</f>
        <v/>
      </c>
      <c r="E1722">
        <f>INDEX(FactorTable!$B$2:$Y$301, MATCH(ROUND(MIN(300,MAX(1,D1722)),0), FactorTable!$A$2:$A$301,0), Skills!L22+1)</f>
        <v/>
      </c>
      <c r="F1722">
        <f>IF(Skills!M22=TRUE,(Skills!K22/10)*(E1722/1000),Skills!K22/10)+Skills!N22</f>
        <v/>
      </c>
      <c r="G1722">
        <f>Calc!G22</f>
        <v/>
      </c>
      <c r="H1722">
        <f>Calc!H22</f>
        <v/>
      </c>
      <c r="I1722">
        <f>IF(Skills!T22&lt;&gt;"",1+(Skills!T22/10)*($Z$3/1000)/100,1)</f>
        <v/>
      </c>
      <c r="J1722" t="inlineStr"/>
      <c r="K1722" t="inlineStr"/>
      <c r="L1722" t="inlineStr"/>
      <c r="M1722" t="inlineStr"/>
      <c r="N1722" t="inlineStr"/>
      <c r="O1722">
        <f>(1-Summary!$B$11)*S1722+Summary!$B$11*U1722</f>
        <v/>
      </c>
      <c r="P1722">
        <f>IF(B1742=0,0,O1722/B1742)</f>
        <v/>
      </c>
      <c r="Q1722">
        <f>IFERROR(1/(IF(Inputs!$B$39="pvp",15,MAX(0.1,Skills!D22-IF(Skills!E22=TRUE,Inputs!$B$33,0)))*(1-IF(AND(ArtifactsInput!$M$27,Inputs!$B$4="Chapter Hunt"),CHOOSE(ArtifactsInput!$N$27+1,20,24,28,32,36,40),0)/100)),0)</f>
        <v/>
      </c>
      <c r="R1722" t="n">
        <v>0</v>
      </c>
      <c r="S1722" t="n">
        <v>0</v>
      </c>
      <c r="U1722" t="n">
        <v>0</v>
      </c>
    </row>
    <row r="1723">
      <c r="A1723">
        <f>Skills!A23</f>
        <v/>
      </c>
      <c r="B1723">
        <f>Skills!B23</f>
        <v/>
      </c>
      <c r="C1723">
        <f>Inputs!$B$3&gt;=50</f>
        <v/>
      </c>
      <c r="D1723">
        <f>IF(Skills!C23=1,60+Inputs!$B$26+Inputs!$B$30,IF(Skills!C23=2,90+Inputs!$B$27+Inputs!$B$30,IF(Skills!C23=3,120+Inputs!$B$28+Inputs!$B$30,MAX(0,(Inputs!$B$3-100)*3)+Inputs!$B$29+Inputs!$B$30)))</f>
        <v/>
      </c>
      <c r="E1723">
        <f>INDEX(FactorTable!$B$2:$Y$301, MATCH(ROUND(MIN(300,MAX(1,D1723)),0), FactorTable!$A$2:$A$301,0), Skills!L23+1)</f>
        <v/>
      </c>
      <c r="F1723">
        <f>IF(Skills!M23=TRUE,(Skills!K23/10)*(E1723/1000),Skills!K23/10)+Skills!N23</f>
        <v/>
      </c>
      <c r="G1723">
        <f>Calc!G23</f>
        <v/>
      </c>
      <c r="H1723">
        <f>Calc!H23</f>
        <v/>
      </c>
      <c r="I1723">
        <f>IF(Skills!T23&lt;&gt;"",1+(Skills!T23/10)*($Z$3/1000)/100,1)</f>
        <v/>
      </c>
      <c r="J1723" t="inlineStr"/>
      <c r="K1723" t="inlineStr"/>
      <c r="L1723" t="inlineStr"/>
      <c r="M1723" t="inlineStr"/>
      <c r="N1723" t="inlineStr"/>
      <c r="O1723">
        <f>(1-Summary!$B$11)*S1723+Summary!$B$11*U1723</f>
        <v/>
      </c>
      <c r="P1723">
        <f>IF(B1742=0,0,O1723/B1742)</f>
        <v/>
      </c>
      <c r="Q1723">
        <f>IFERROR(1/(IF(Inputs!$B$39="pvp",15,MAX(0.1,Skills!D23-IF(Skills!E23=TRUE,Inputs!$B$33,0)))*(1-IF(AND(ArtifactsInput!$M$27,Inputs!$B$4="Chapter Hunt"),CHOOSE(ArtifactsInput!$N$27+1,20,24,28,32,36,40),0)/100)),0)</f>
        <v/>
      </c>
      <c r="R1723" t="n">
        <v>0</v>
      </c>
      <c r="S1723" t="n">
        <v>0</v>
      </c>
      <c r="U1723" t="n">
        <v>0</v>
      </c>
    </row>
    <row r="1724">
      <c r="A1724">
        <f>Skills!A24</f>
        <v/>
      </c>
      <c r="B1724">
        <f>Skills!B24</f>
        <v/>
      </c>
      <c r="C1724">
        <f>Inputs!$B$3&gt;=74</f>
        <v/>
      </c>
      <c r="D1724">
        <f>IF(Skills!C24=1,60+Inputs!$B$26+Inputs!$B$30,IF(Skills!C24=2,90+Inputs!$B$27+Inputs!$B$30,IF(Skills!C24=3,120+Inputs!$B$28+Inputs!$B$30,MAX(0,(Inputs!$B$3-100)*3)+Inputs!$B$29+Inputs!$B$30)))</f>
        <v/>
      </c>
      <c r="E1724">
        <f>INDEX(FactorTable!$B$2:$Y$301, MATCH(ROUND(MIN(300,MAX(1,D1724)),0), FactorTable!$A$2:$A$301,0), Skills!L24+1)</f>
        <v/>
      </c>
      <c r="F1724">
        <f>IF(Skills!M24=TRUE,(Skills!K24/10)*(E1724/1000),Skills!K24/10)+Skills!N24</f>
        <v/>
      </c>
      <c r="G1724">
        <f>Calc!G24</f>
        <v/>
      </c>
      <c r="H1724">
        <f>Calc!H24</f>
        <v/>
      </c>
      <c r="I1724">
        <f>IF(Skills!T24&lt;&gt;"",1+(Skills!T24/10)*($Z$3/1000)/100,1)</f>
        <v/>
      </c>
      <c r="J1724" t="inlineStr"/>
      <c r="K1724" t="inlineStr"/>
      <c r="L1724" t="inlineStr"/>
      <c r="M1724" t="inlineStr"/>
      <c r="N1724" t="inlineStr"/>
      <c r="O1724">
        <f>(1-Summary!$B$11)*S1724+Summary!$B$11*U1724</f>
        <v/>
      </c>
      <c r="P1724">
        <f>IF(B1742=0,0,O1724/B1742)</f>
        <v/>
      </c>
      <c r="Q1724">
        <f>IFERROR(1/(IF(Inputs!$B$39="pvp",15,MAX(0.1,Skills!D24-IF(Skills!E24=TRUE,Inputs!$B$33,0)))*(1-IF(AND(ArtifactsInput!$M$27,Inputs!$B$4="Chapter Hunt"),CHOOSE(ArtifactsInput!$N$27+1,20,24,28,32,36,40),0)/100)),0)</f>
        <v/>
      </c>
      <c r="R1724" t="n">
        <v>0</v>
      </c>
      <c r="S1724" t="n">
        <v>0</v>
      </c>
      <c r="U1724" t="n">
        <v>0</v>
      </c>
    </row>
    <row r="1725">
      <c r="A1725">
        <f>Skills!A25</f>
        <v/>
      </c>
      <c r="B1725">
        <f>Skills!B25</f>
        <v/>
      </c>
      <c r="C1725">
        <f>Inputs!$B$3&gt;=74</f>
        <v/>
      </c>
      <c r="D1725">
        <f>IF(Skills!C25=1,60+Inputs!$B$26+Inputs!$B$30,IF(Skills!C25=2,90+Inputs!$B$27+Inputs!$B$30,IF(Skills!C25=3,120+Inputs!$B$28+Inputs!$B$30,MAX(0,(Inputs!$B$3-100)*3)+Inputs!$B$29+Inputs!$B$30)))</f>
        <v/>
      </c>
      <c r="E1725">
        <f>INDEX(FactorTable!$B$2:$Y$301, MATCH(ROUND(MIN(300,MAX(1,D1725)),0), FactorTable!$A$2:$A$301,0), Skills!L25+1)</f>
        <v/>
      </c>
      <c r="F1725">
        <f>IF(Skills!M25=TRUE,(Skills!K25/10)*(E1725/1000),Skills!K25/10)+Skills!N25</f>
        <v/>
      </c>
      <c r="G1725">
        <f>Calc!G25</f>
        <v/>
      </c>
      <c r="H1725">
        <f>Calc!H25</f>
        <v/>
      </c>
      <c r="I1725">
        <f>IF(Skills!T25&lt;&gt;"",1+(Skills!T25/10)*($Z$3/1000)/100,1)</f>
        <v/>
      </c>
      <c r="J1725" t="inlineStr"/>
      <c r="K1725" t="inlineStr"/>
      <c r="L1725" t="inlineStr"/>
      <c r="M1725" t="inlineStr"/>
      <c r="N1725" t="inlineStr"/>
      <c r="O1725">
        <f>(1-Summary!$B$11)*S1725+Summary!$B$11*U1725</f>
        <v/>
      </c>
      <c r="P1725">
        <f>IF(B1742=0,0,O1725/B1742)</f>
        <v/>
      </c>
      <c r="Q1725">
        <f>IFERROR(1/(IF(Inputs!$B$39="pvp",15,MAX(0.1,Skills!D25-IF(Skills!E25=TRUE,Inputs!$B$33,0)))*(1-IF(AND(ArtifactsInput!$M$27,Inputs!$B$4="Chapter Hunt"),CHOOSE(ArtifactsInput!$N$27+1,20,24,28,32,36,40),0)/100)),0)</f>
        <v/>
      </c>
      <c r="R1725" t="n">
        <v>0</v>
      </c>
      <c r="S1725" t="n">
        <v>0</v>
      </c>
      <c r="U1725" t="n">
        <v>0</v>
      </c>
    </row>
    <row r="1726">
      <c r="A1726">
        <f>Skills!A26</f>
        <v/>
      </c>
      <c r="B1726">
        <f>Skills!B26</f>
        <v/>
      </c>
      <c r="C1726">
        <f>Inputs!$B$3&gt;=117</f>
        <v/>
      </c>
      <c r="D1726">
        <f>IF(Skills!C26=1,60+Inputs!$B$26+Inputs!$B$30,IF(Skills!C26=2,90+Inputs!$B$27+Inputs!$B$30,IF(Skills!C26=3,120+Inputs!$B$28+Inputs!$B$30,MAX(0,(Inputs!$B$3-100)*3)+Inputs!$B$29+Inputs!$B$30)))</f>
        <v/>
      </c>
      <c r="E1726">
        <f>INDEX(FactorTable!$B$2:$Y$301, MATCH(ROUND(MIN(300,MAX(1,D1726)),0), FactorTable!$A$2:$A$301,0), Skills!L26+1)</f>
        <v/>
      </c>
      <c r="F1726">
        <f>IF(Skills!M26=TRUE,(Skills!K26/10)*(E1726/1000),Skills!K26/10)+Skills!N26</f>
        <v/>
      </c>
      <c r="G1726">
        <f>Calc!G26</f>
        <v/>
      </c>
      <c r="H1726">
        <f>Calc!H26</f>
        <v/>
      </c>
      <c r="I1726">
        <f>IF(Skills!T26&lt;&gt;"",1+(Skills!T26/10)*($Z$3/1000)/100,1)</f>
        <v/>
      </c>
      <c r="J1726" t="inlineStr"/>
      <c r="K1726" t="inlineStr"/>
      <c r="L1726" t="inlineStr"/>
      <c r="M1726" t="inlineStr"/>
      <c r="N1726" t="inlineStr"/>
      <c r="O1726">
        <f>(1-Summary!$B$11)*S1726+Summary!$B$11*U1726</f>
        <v/>
      </c>
      <c r="P1726">
        <f>IF(B1742=0,0,O1726/B1742)</f>
        <v/>
      </c>
      <c r="Q1726">
        <f>IFERROR(1/(IF(Inputs!$B$39="pvp",15,MAX(0.1,Skills!D26-IF(Skills!E26=TRUE,Inputs!$B$33,0)))*(1-IF(AND(ArtifactsInput!$M$27,Inputs!$B$4="Chapter Hunt"),CHOOSE(ArtifactsInput!$N$27+1,20,24,28,32,36,40),0)/100)),0)</f>
        <v/>
      </c>
      <c r="R1726" t="n">
        <v>0</v>
      </c>
      <c r="S1726" t="n">
        <v>0</v>
      </c>
      <c r="U1726" t="n">
        <v>0</v>
      </c>
    </row>
    <row r="1727">
      <c r="A1727">
        <f>Skills!A27</f>
        <v/>
      </c>
      <c r="B1727">
        <f>Skills!B27</f>
        <v/>
      </c>
      <c r="C1727">
        <f>Inputs!$B$3&gt;=120</f>
        <v/>
      </c>
      <c r="D1727">
        <f>IF(Skills!C27=1,60+Inputs!$B$26+Inputs!$B$30,IF(Skills!C27=2,90+Inputs!$B$27+Inputs!$B$30,IF(Skills!C27=3,120+Inputs!$B$28+Inputs!$B$30,MAX(0,(Inputs!$B$3-100)*3)+Inputs!$B$29+Inputs!$B$30)))</f>
        <v/>
      </c>
      <c r="E1727">
        <f>INDEX(FactorTable!$B$2:$Y$301, MATCH(ROUND(MIN(300,MAX(1,D1727)),0), FactorTable!$A$2:$A$301,0), Skills!L27+1)</f>
        <v/>
      </c>
      <c r="F1727">
        <f>IF(Skills!M27=TRUE,(Skills!K27/10)*(E1727/1000),Skills!K27/10)+Skills!N27</f>
        <v/>
      </c>
      <c r="G1727">
        <f>Calc!G27</f>
        <v/>
      </c>
      <c r="H1727">
        <f>Calc!H27</f>
        <v/>
      </c>
      <c r="I1727">
        <f>IF(Skills!T27&lt;&gt;"",1+(Skills!T27/10)*($Z$3/1000)/100,1)</f>
        <v/>
      </c>
      <c r="J1727" t="inlineStr"/>
      <c r="K1727" t="inlineStr"/>
      <c r="L1727" t="inlineStr"/>
      <c r="M1727" t="inlineStr"/>
      <c r="N1727" t="inlineStr"/>
      <c r="O1727">
        <f>(1-Summary!$B$11)*S1727+Summary!$B$11*U1727</f>
        <v/>
      </c>
      <c r="P1727">
        <f>IF(B1742=0,0,O1727/B1742)</f>
        <v/>
      </c>
      <c r="Q1727">
        <f>IFERROR(1/(IF(Inputs!$B$39="pvp",15,MAX(0.1,Skills!D27-IF(Skills!E27=TRUE,Inputs!$B$33,0)))*(1-IF(AND(ArtifactsInput!$M$27,Inputs!$B$4="Chapter Hunt"),CHOOSE(ArtifactsInput!$N$27+1,20,24,28,32,36,40),0)/100)),0)</f>
        <v/>
      </c>
      <c r="R1727" t="n">
        <v>0</v>
      </c>
      <c r="S1727" t="n">
        <v>0</v>
      </c>
      <c r="U1727" t="n">
        <v>0</v>
      </c>
    </row>
    <row r="1729">
      <c r="A1729" t="inlineStr">
        <is>
          <t>Average Buff Multiplier</t>
        </is>
      </c>
      <c r="B1729">
        <f>(1+(IF(C1703=TRUE,F1703*IF(AND(Inputs!$B$39&lt;&gt;"pvp",Inputs!$B$44&gt;0),(((R1703-1)*(Skills!S3*(1+((Inputs!$B$35+(ArtifactsInput!$M$7-ArtifactsInput!$M$7)*CHOOSE(ArtifactsInput!$N$7+1,6,7.2,8.4,9.6,10.8,12))+IF(Inputs!$B$3&gt;=117,F1726,0))/100))+MIN((Skills!S3*(1+((Inputs!$B$35+(ArtifactsInput!$M$7-ArtifactsInput!$M$7)*CHOOSE(ArtifactsInput!$N$7+1,6,7.2,8.4,9.6,10.8,12))+IF(Inputs!$B$3&gt;=117,F1726,0))/100)),MAX(0,Inputs!$B$44-((R1703-1)*Skills!D3))))/Inputs!$B$44),IF(Inputs!$B$39="pvp",MIN((Skills!S3*(1+((Inputs!$B$35+(ArtifactsInput!$M$7-ArtifactsInput!$M$7)*CHOOSE(ArtifactsInput!$N$7+1,6,7.2,8.4,9.6,10.8,12))+IF(Inputs!$B$3&gt;=117,F1726,0))/100)),15)/15,(Skills!S3*(1+((Inputs!$B$35+(ArtifactsInput!$M$7-ArtifactsInput!$M$7)*CHOOSE(ArtifactsInput!$N$7+1,6,7.2,8.4,9.6,10.8,12))+IF(Inputs!$B$3&gt;=117,F1726,0))/100))/Skills!D3)),0)+IF(C1704=TRUE,F1704*IF(AND(Inputs!$B$39&lt;&gt;"pvp",Inputs!$B$44&gt;0),(((R1704-1)*(Skills!S4*(1+((Inputs!$B$35+(ArtifactsInput!$M$7-ArtifactsInput!$M$7)*CHOOSE(ArtifactsInput!$N$7+1,6,7.2,8.4,9.6,10.8,12))+IF(Inputs!$B$3&gt;=117,F1726,0))/100))+MIN((Skills!S4*(1+((Inputs!$B$35+(ArtifactsInput!$M$7-ArtifactsInput!$M$7)*CHOOSE(ArtifactsInput!$N$7+1,6,7.2,8.4,9.6,10.8,12))+IF(Inputs!$B$3&gt;=117,F1726,0))/100)),MAX(0,Inputs!$B$44-((R1704-1)*Skills!D4))))/Inputs!$B$44),IF(Inputs!$B$39="pvp",MIN((Skills!S4*(1+((Inputs!$B$35+(ArtifactsInput!$M$7-ArtifactsInput!$M$7)*CHOOSE(ArtifactsInput!$N$7+1,6,7.2,8.4,9.6,10.8,12))+IF(Inputs!$B$3&gt;=117,F1726,0))/100)),15)/15,(Skills!S4*(1+((Inputs!$B$35+(ArtifactsInput!$M$7-ArtifactsInput!$M$7)*CHOOSE(ArtifactsInput!$N$7+1,6,7.2,8.4,9.6,10.8,12))+IF(Inputs!$B$3&gt;=117,F1726,0))/100))/Skills!D4)),0)+IF(C1705=TRUE,F1705*IF(AND(Inputs!$B$39&lt;&gt;"pvp",Inputs!$B$44&gt;0),(((R1705-1)*(Skills!S5*(1+((Inputs!$B$35+(ArtifactsInput!$M$7-ArtifactsInput!$M$7)*CHOOSE(ArtifactsInput!$N$7+1,6,7.2,8.4,9.6,10.8,12))+IF(Inputs!$B$3&gt;=117,F1726,0))/100))+MIN((Skills!S5*(1+((Inputs!$B$35+(ArtifactsInput!$M$7-ArtifactsInput!$M$7)*CHOOSE(ArtifactsInput!$N$7+1,6,7.2,8.4,9.6,10.8,12))+IF(Inputs!$B$3&gt;=117,F1726,0))/100)),MAX(0,Inputs!$B$44-((R1705-1)*Skills!D5))))/Inputs!$B$44),IF(Inputs!$B$39="pvp",MIN((Skills!S5*(1+((Inputs!$B$35+(ArtifactsInput!$M$7-ArtifactsInput!$M$7)*CHOOSE(ArtifactsInput!$N$7+1,6,7.2,8.4,9.6,10.8,12))+IF(Inputs!$B$3&gt;=117,F1726,0))/100)),15)/15,(Skills!S5*(1+((Inputs!$B$35+(ArtifactsInput!$M$7-ArtifactsInput!$M$7)*CHOOSE(ArtifactsInput!$N$7+1,6,7.2,8.4,9.6,10.8,12))+IF(Inputs!$B$3&gt;=117,F1726,0))/100))/Skills!D5)),0)+IF(C1711=TRUE,F1711*IF(AND(Inputs!$B$39&lt;&gt;"pvp",Inputs!$B$44&gt;0),(((R1711-1)*(Skills!S11*(1+((Inputs!$B$35+(ArtifactsInput!$M$7-ArtifactsInput!$M$7)*CHOOSE(ArtifactsInput!$N$7+1,6,7.2,8.4,9.6,10.8,12))+IF(Inputs!$B$3&gt;=117,F1726,0))/100))+MIN((Skills!S11*(1+((Inputs!$B$35+(ArtifactsInput!$M$7-ArtifactsInput!$M$7)*CHOOSE(ArtifactsInput!$N$7+1,6,7.2,8.4,9.6,10.8,12))+IF(Inputs!$B$3&gt;=117,F1726,0))/100)),MAX(0,Inputs!$B$44-((R1711-1)*Skills!D11))))/Inputs!$B$44),IF(Inputs!$B$39="pvp",MIN((Skills!S11*(1+((Inputs!$B$35+(ArtifactsInput!$M$7-ArtifactsInput!$M$7)*CHOOSE(ArtifactsInput!$N$7+1,6,7.2,8.4,9.6,10.8,12))+IF(Inputs!$B$3&gt;=117,F1726,0))/100)),15)/15,(Skills!S11*(1+((Inputs!$B$35+(ArtifactsInput!$M$7-ArtifactsInput!$M$7)*CHOOSE(ArtifactsInput!$N$7+1,6,7.2,8.4,9.6,10.8,12))+IF(Inputs!$B$3&gt;=117,F1726,0)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1714=TRUE,(1+F1714*IF(AND(Inputs!$B$39&lt;&gt;"pvp",Inputs!$B$44&gt;0),(((R1714-1)*(Skills!S14*(1+((Inputs!$B$35+(ArtifactsInput!$M$7-ArtifactsInput!$M$7)*CHOOSE(ArtifactsInput!$N$7+1,6,7.2,8.4,9.6,10.8,12))+IF(Inputs!$B$3&gt;=117,F1726,0))/100))+MIN((Skills!S14*(1+((Inputs!$B$35+(ArtifactsInput!$M$7-ArtifactsInput!$M$7)*CHOOSE(ArtifactsInput!$N$7+1,6,7.2,8.4,9.6,10.8,12))+IF(Inputs!$B$3&gt;=117,F1726,0))/100)),MAX(0,Inputs!$B$44-((R1714-1)*Skills!D14))))/Inputs!$B$44),IF(Inputs!$B$39="pvp",MIN((Skills!S14*(1+((Inputs!$B$35+(ArtifactsInput!$M$7-ArtifactsInput!$M$7)*CHOOSE(ArtifactsInput!$N$7+1,6,7.2,8.4,9.6,10.8,12))+IF(Inputs!$B$3&gt;=117,F1726,0))/100)),15)/15,(Skills!S14*(1+((Inputs!$B$35+(ArtifactsInput!$M$7-ArtifactsInput!$M$7)*CHOOSE(ArtifactsInput!$N$7+1,6,7.2,8.4,9.6,10.8,12))+IF(Inputs!$B$3&gt;=117,F1726,0))/100))/Skills!D14))/100),1)*IF(C1719=TRUE,(1+F1719*IF(AND(Inputs!$B$39&lt;&gt;"pvp",Inputs!$B$44&gt;0),(((R1719-1)*(Skills!S19*(1+((Inputs!$B$35+(ArtifactsInput!$M$7-ArtifactsInput!$M$7)*CHOOSE(ArtifactsInput!$N$7+1,6,7.2,8.4,9.6,10.8,12))+IF(Inputs!$B$3&gt;=117,F1726,0))/100))+MIN((Skills!S19*(1+((Inputs!$B$35+(ArtifactsInput!$M$7-ArtifactsInput!$M$7)*CHOOSE(ArtifactsInput!$N$7+1,6,7.2,8.4,9.6,10.8,12))+IF(Inputs!$B$3&gt;=117,F1726,0))/100)),MAX(0,Inputs!$B$44-((R1719-1)*Skills!D19))))/Inputs!$B$44),IF(Inputs!$B$39="pvp",MIN((Skills!S19*(1+((Inputs!$B$35+(ArtifactsInput!$M$7-ArtifactsInput!$M$7)*CHOOSE(ArtifactsInput!$N$7+1,6,7.2,8.4,9.6,10.8,12))+IF(Inputs!$B$3&gt;=117,F1726,0))/100)),15)/15,(Skills!S19*(1+((Inputs!$B$35+(ArtifactsInput!$M$7-ArtifactsInput!$M$7)*CHOOSE(ArtifactsInput!$N$7+1,6,7.2,8.4,9.6,10.8,12))+IF(Inputs!$B$3&gt;=117,F1726,0))/100))/Skills!D19))/100),1)</f>
        <v/>
      </c>
    </row>
    <row r="1730">
      <c r="A1730" t="inlineStr">
        <is>
          <t>Monster Damage Taken Bonus % (Holy Fountain)</t>
        </is>
      </c>
      <c r="B1730">
        <f>IF(Inputs!$B$3&gt;=68,20*IF(Inputs!$B$39="pvp",MIN((15*(1+((Inputs!$B$35+(ArtifactsInput!$M$7-ArtifactsInput!$M$7)*CHOOSE(ArtifactsInput!$N$7+1,6,7.2,8.4,9.6,10.8,12))+IF(Inputs!$B$3&gt;=117,F1726,0))/100)),15)/15,(15*(1+((Inputs!$B$35+(ArtifactsInput!$M$7-ArtifactsInput!$M$7)*CHOOSE(ArtifactsInput!$N$7+1,6,7.2,8.4,9.6,10.8,12))+IF(Inputs!$B$3&gt;=117,F1726,0))/100))/Skills!D10),0)</f>
        <v/>
      </c>
    </row>
    <row r="1731">
      <c r="A1731" t="inlineStr">
        <is>
          <t>Normal Monster Damage Bonus % (Holy Symbol)</t>
        </is>
      </c>
      <c r="B1731">
        <f>IF(C1712=TRUE,F1712*IF(AND(Inputs!$B$39&lt;&gt;"pvp",Inputs!$B$44&gt;0),(((R1712-1)*(Skills!S12*(1+((Inputs!$B$35+(ArtifactsInput!$M$7-ArtifactsInput!$M$7)*CHOOSE(ArtifactsInput!$N$7+1,6,7.2,8.4,9.6,10.8,12))+IF(Inputs!$B$3&gt;=117,F1726,0))/100))+MIN((Skills!S12*(1+((Inputs!$B$35+(ArtifactsInput!$M$7-ArtifactsInput!$M$7)*CHOOSE(ArtifactsInput!$N$7+1,6,7.2,8.4,9.6,10.8,12))+IF(Inputs!$B$3&gt;=117,F1726,0))/100)),MAX(0,Inputs!$B$44-((R1712-1)*Skills!D12))))/Inputs!$B$44),IF(Inputs!$B$39="pvp",MIN((Skills!S12*(1+((Inputs!$B$35+(ArtifactsInput!$M$7-ArtifactsInput!$M$7)*CHOOSE(ArtifactsInput!$N$7+1,6,7.2,8.4,9.6,10.8,12))+IF(Inputs!$B$3&gt;=117,F1726,0))/100)),15)/15,(Skills!S12*(1+((Inputs!$B$35+(ArtifactsInput!$M$7-ArtifactsInput!$M$7)*CHOOSE(ArtifactsInput!$N$7+1,6,7.2,8.4,9.6,10.8,12))+IF(Inputs!$B$3&gt;=117,F1726,0))/100))/Skills!D12)),0)</f>
        <v/>
      </c>
    </row>
    <row r="1732">
      <c r="A1732" t="inlineStr">
        <is>
          <t>Damage % Bonus (Holy Symbol - Damage Boost)</t>
        </is>
      </c>
      <c r="B1732">
        <f>Skills!O12</f>
        <v/>
      </c>
    </row>
    <row r="1733">
      <c r="A1733" t="inlineStr">
        <is>
          <t>Crit Damage % Bonus (Blood of the Divine)</t>
        </is>
      </c>
      <c r="B1733">
        <f>4*IF(C1720=TRUE,F1720,0)</f>
        <v/>
      </c>
    </row>
    <row r="1734">
      <c r="A1734" t="inlineStr">
        <is>
          <t>Attack Speed Bonus %</t>
        </is>
      </c>
      <c r="B1734">
        <f>IF(C1717=TRUE,F1717+(F1721-Calc!F21),0)+IF(Inputs!$B$3&gt;=134,15,0)</f>
        <v/>
      </c>
    </row>
    <row r="1735">
      <c r="A1735" t="inlineStr">
        <is>
          <t>Actions Per Second</t>
        </is>
      </c>
      <c r="B1735">
        <f>1+MIN(150,150*(1-(1-Inputs!$B$12/150)*(1-B1734/150)))/100</f>
        <v/>
      </c>
    </row>
    <row r="1736">
      <c r="A1736" t="inlineStr">
        <is>
          <t>Skill + Buff Cast Rate</t>
        </is>
      </c>
      <c r="B1736">
        <f>IF(AND(Inputs!$B$39&lt;&gt;"pvp",Inputs!$B$44&gt;0),SUMPRODUCT((Skills!E2:E27=TRUE)*(C1702:C1727=TRUE)*R1702:R1727)/Inputs!$B$44,SUMPRODUCT((Skills!E2:E27=TRUE)*(C1702:C1727=TRUE)*Q1702:Q1727))</f>
        <v/>
      </c>
    </row>
    <row r="1737">
      <c r="A1737" t="inlineStr">
        <is>
          <t>Big Bang Casts Per Second</t>
        </is>
      </c>
      <c r="B1737">
        <f>MAX(0,B1735-B1736)</f>
        <v/>
      </c>
    </row>
    <row r="1738">
      <c r="A1738" t="inlineStr">
        <is>
          <t>Defense % Bonus (Divine Protection)</t>
        </is>
      </c>
      <c r="B1738">
        <f>IF(C1713=TRUE,F1713*IF(AND(Inputs!$B$39&lt;&gt;"pvp",Inputs!$B$44&gt;0),(((R1713-1)*(Skills!S13*(1+((Inputs!$B$35+(ArtifactsInput!$M$7-ArtifactsInput!$M$7)*CHOOSE(ArtifactsInput!$N$7+1,6,7.2,8.4,9.6,10.8,12))+IF(Inputs!$B$3&gt;=117,F1726,0))/100))+MIN((Skills!S13*(1+((Inputs!$B$35+(ArtifactsInput!$M$7-ArtifactsInput!$M$7)*CHOOSE(ArtifactsInput!$N$7+1,6,7.2,8.4,9.6,10.8,12))+IF(Inputs!$B$3&gt;=117,F1726,0))/100)),MAX(0,Inputs!$B$44-((R1713-1)*Skills!D13))))/Inputs!$B$44),IF(Inputs!$B$39="pvp",MIN((Skills!S13*(1+((Inputs!$B$35+(ArtifactsInput!$M$7-ArtifactsInput!$M$7)*CHOOSE(ArtifactsInput!$N$7+1,6,7.2,8.4,9.6,10.8,12))+IF(Inputs!$B$3&gt;=117,F1726,0))/100)),15)/15,(Skills!S13*(1+((Inputs!$B$35+(ArtifactsInput!$M$7-ArtifactsInput!$M$7)*CHOOSE(ArtifactsInput!$N$7+1,6,7.2,8.4,9.6,10.8,12))+IF(Inputs!$B$3&gt;=117,F1726,0))/100))/Skills!D13)),0)</f>
        <v/>
      </c>
    </row>
    <row r="1739">
      <c r="A1739" t="inlineStr">
        <is>
          <t>Buff-Casting Startup Delay (s, fixed-duration only)</t>
        </is>
      </c>
      <c r="B1739">
        <f>IF(AND(Inputs!$B$39&lt;&gt;"pvp",Inputs!$B$44&gt;0),SUMPRODUCT((Skills!S2:S27&gt;0)*(Skills!E2:E27=TRUE)*(C1702:C1727=TRUE))/B1735,0)</f>
        <v/>
      </c>
    </row>
    <row r="1740">
      <c r="A1740" t="inlineStr">
        <is>
          <t>Boss-Only Total DPS (this block's swept value)</t>
        </is>
      </c>
      <c r="B1740">
        <f>SUM(S1702:S1727)</f>
        <v/>
      </c>
    </row>
    <row r="1741">
      <c r="A1741" t="inlineStr">
        <is>
          <t>Normal-Only Total DPS (this block's swept value)</t>
        </is>
      </c>
      <c r="B1741">
        <f>SUM(U1702:U1727)</f>
        <v/>
      </c>
    </row>
    <row r="1742">
      <c r="A1742" s="6" t="inlineStr">
        <is>
          <t>TOTAL DPS</t>
        </is>
      </c>
      <c r="B1742" s="6">
        <f>SUM(O1702:O1727)</f>
        <v/>
      </c>
    </row>
    <row r="1744">
      <c r="A1744" s="6" t="inlineStr">
        <is>
          <t>Stat: Horntail's Scale (Equip)</t>
        </is>
      </c>
    </row>
    <row r="1745">
      <c r="A1745" s="5" t="inlineStr">
        <is>
          <t>Key</t>
        </is>
      </c>
      <c r="B1745" s="5" t="inlineStr">
        <is>
          <t>Name</t>
        </is>
      </c>
      <c r="C1745" s="5" t="inlineStr">
        <is>
          <t>Unlocked</t>
        </is>
      </c>
      <c r="D1745" s="5" t="inlineStr">
        <is>
          <t>InputLevel</t>
        </is>
      </c>
      <c r="E1745" s="5" t="inlineStr">
        <is>
          <t>Factor</t>
        </is>
      </c>
      <c r="F1745" s="5" t="inlineStr">
        <is>
          <t>CoefficientPercent</t>
        </is>
      </c>
      <c r="G1745" s="5" t="inlineStr">
        <is>
          <t>EffectiveHits</t>
        </is>
      </c>
      <c r="H1745" s="5" t="inlineStr">
        <is>
          <t>ProcProbability</t>
        </is>
      </c>
      <c r="I1745" s="5" t="inlineStr">
        <is>
          <t>MapleHeroMultiplier</t>
        </is>
      </c>
      <c r="J1745" s="5" t="inlineStr">
        <is>
          <t>BaseDamage</t>
        </is>
      </c>
      <c r="K1745" s="5" t="inlineStr">
        <is>
          <t>BaseHitDamage</t>
        </is>
      </c>
      <c r="L1745" s="5" t="inlineStr">
        <is>
          <t>NonCritAvg</t>
        </is>
      </c>
      <c r="M1745" s="5" t="inlineStr">
        <is>
          <t>CritAvg</t>
        </is>
      </c>
      <c r="N1745" s="5" t="inlineStr">
        <is>
          <t>ExpectedDamage(perHit)</t>
        </is>
      </c>
      <c r="O1745" s="5" t="inlineStr">
        <is>
          <t>DPS</t>
        </is>
      </c>
      <c r="P1745" s="5" t="inlineStr">
        <is>
          <t>% of Total</t>
        </is>
      </c>
      <c r="R1745" t="inlineStr">
        <is>
          <t>helpers</t>
        </is>
      </c>
    </row>
    <row r="1746">
      <c r="A1746">
        <f>Skills!A2</f>
        <v/>
      </c>
      <c r="B1746">
        <f>Skills!B2</f>
        <v/>
      </c>
      <c r="C1746">
        <f>Inputs!$B$3&gt;=100</f>
        <v/>
      </c>
      <c r="D1746" t="inlineStr"/>
      <c r="E1746" t="inlineStr"/>
      <c r="F1746">
        <f>T1748+Skills!N2</f>
        <v/>
      </c>
      <c r="G1746">
        <f>Calc!G2</f>
        <v/>
      </c>
      <c r="H1746">
        <f>Calc!H2</f>
        <v/>
      </c>
      <c r="I1746">
        <f>IF(Skills!T2&lt;&gt;"",1+(Skills!T2/10)*($Z$3/1000)/100,1)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2="TRIUMPH_FEATHER",IF(C1760=TRUE,F1760,0),0)/100)*(1+IF(C1771=TRUE,F1771,0)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1746)</f>
        <v/>
      </c>
      <c r="L1746">
        <f>K1746*(MIN(Inputs!$B$23+(F1766-Calc!F22),(Inputs!$B$24+IF(ArtifactsInput!$M$15,CHOOSE(ArtifactsInput!$N$15+1,25,30,35,40,45,50)/100*(Inputs!$B$12-Inputs!$B$12),0)))/100+(Inputs!$B$24+IF(ArtifactsInput!$M$15,CHOOSE(ArtifactsInput!$N$15+1,25,30,35,40,45,50)/100*(Inputs!$B$12-Inputs!$B$12),0))/100)/2</f>
        <v/>
      </c>
      <c r="M1746">
        <f>L1746*(1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IF(B1786=0,0,O1746/B1786)</f>
        <v/>
      </c>
      <c r="Q1746">
        <f>IFERROR(1/(IF(Inputs!$B$39="pvp",15,MAX(0.1,Skills!D2-IF(Skills!E2=TRUE,Inputs!$B$33,0)))*(1-IF(AND(ArtifactsInput!$M$27,Inputs!$B$4="Chapter Hunt"),CHOOSE(ArtifactsInput!$N$27+1,20,24,28,32,36,40),0)/100)),0)</f>
        <v/>
      </c>
      <c r="R1746" t="n">
        <v>0</v>
      </c>
      <c r="S1746">
        <f>IF(C1746,(Skills!F2*N1746*B1781)*IF(Inputs!$B$39="pvp",1,1+(Inputs!$B$21+Skills!O2+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46">
        <f>MAX(0,(Inputs!$B$3-100)*3)+Inputs!$B$29+Inputs!$B$30</f>
        <v/>
      </c>
      <c r="U1746">
        <f>IF(C1746,(Skills!F2*N1746*B1781)*IF(Inputs!$B$39="pvp",1,(1+(Inputs!$B$22+Skills!P2+B1775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Skills!A3</f>
        <v/>
      </c>
      <c r="B1747">
        <f>Skills!B3</f>
        <v/>
      </c>
      <c r="C1747">
        <f>Inputs!$B$3&gt;=15</f>
        <v/>
      </c>
      <c r="D1747">
        <f>IF(Skills!C3=1,60+Inputs!$B$26+Inputs!$B$30,IF(Skills!C3=2,90+Inputs!$B$27+Inputs!$B$30,IF(Skills!C3=3,120+Inputs!$B$28+Inputs!$B$30,MAX(0,(Inputs!$B$3-100)*3)+Inputs!$B$29+Inputs!$B$30)))</f>
        <v/>
      </c>
      <c r="E1747">
        <f>INDEX(FactorTable!$B$2:$Y$301, MATCH(ROUND(MIN(300,MAX(1,D1747)),0), FactorTable!$A$2:$A$301,0), Skills!L3+1)</f>
        <v/>
      </c>
      <c r="F1747">
        <f>IF(Skills!M3=TRUE,(Skills!K3/10)*(E1747/1000),Skills!K3/10)+Skills!N3</f>
        <v/>
      </c>
      <c r="G1747">
        <f>Calc!G3</f>
        <v/>
      </c>
      <c r="H1747">
        <f>Calc!H3</f>
        <v/>
      </c>
      <c r="I1747">
        <f>IF(Skills!T3&lt;&gt;"",1+(Skills!T3/10)*($Z$3/1000)/100,1)</f>
        <v/>
      </c>
      <c r="J1747" t="inlineStr"/>
      <c r="K1747" t="inlineStr"/>
      <c r="L1747" t="inlineStr"/>
      <c r="M1747" t="inlineStr"/>
      <c r="N1747" t="inlineStr"/>
      <c r="O1747">
        <f>(1-Summary!$B$11)*S1747+Summary!$B$11*U1747</f>
        <v/>
      </c>
      <c r="P1747">
        <f>IF(B1786=0,0,O1747/B1786)</f>
        <v/>
      </c>
      <c r="Q1747">
        <f>IFERROR(1/(IF(Inputs!$B$39="pvp",15,MAX(0.1,Skills!D3-IF(Skills!E3=TRUE,Inputs!$B$33,0)))*(1-IF(AND(ArtifactsInput!$M$27,Inputs!$B$4="Chapter Hunt"),CHOOSE(ArtifactsInput!$N$27+1,20,24,28,32,36,40),0)/100)),0)</f>
        <v/>
      </c>
      <c r="R1747">
        <f>IF(AND(Inputs!$B$39&lt;&gt;"pvp",Inputs!$B$44&gt;0),IF(Inputs!$B$44&lt;=0,0,(INT(Inputs!$B$44/(IF(Inputs!$B$39="pvp",15,MAX(0.1,Skills!D3-IF(Skills!E3=TRUE,Inputs!$B$33,0)))*(1-IF(AND(ArtifactsInput!$M$27,Inputs!$B$4="Chapter Hunt"),CHOOSE(ArtifactsInput!$N$27+1,20,24,28,32,36,40),0)/100)))+1)),0)</f>
        <v/>
      </c>
      <c r="S1747" t="n">
        <v>0</v>
      </c>
      <c r="T1747">
        <f>INDEX(FactorTable!$B$2:$Y$301, MATCH(ROUND(MIN(300,MAX(1,T1746)),0), FactorTable!$A$2:$A$301,0), 22)</f>
        <v/>
      </c>
      <c r="U1747" t="n">
        <v>0</v>
      </c>
    </row>
    <row r="1748">
      <c r="A1748">
        <f>Skills!A4</f>
        <v/>
      </c>
      <c r="B1748">
        <f>Skills!B4</f>
        <v/>
      </c>
      <c r="C1748">
        <f>Inputs!$B$3&gt;=38</f>
        <v/>
      </c>
      <c r="D1748">
        <f>IF(Skills!C4=1,60+Inputs!$B$26+Inputs!$B$30,IF(Skills!C4=2,90+Inputs!$B$27+Inputs!$B$30,IF(Skills!C4=3,120+Inputs!$B$28+Inputs!$B$30,MAX(0,(Inputs!$B$3-100)*3)+Inputs!$B$29+Inputs!$B$30)))</f>
        <v/>
      </c>
      <c r="E1748">
        <f>INDEX(FactorTable!$B$2:$Y$301, MATCH(ROUND(MIN(300,MAX(1,D1748)),0), FactorTable!$A$2:$A$301,0), Skills!L4+1)</f>
        <v/>
      </c>
      <c r="F1748">
        <f>IF(Skills!M4=TRUE,(Skills!K4/10)*(E1748/1000),Skills!K4/10)+Skills!N4</f>
        <v/>
      </c>
      <c r="G1748">
        <f>Calc!G4</f>
        <v/>
      </c>
      <c r="H1748">
        <f>Calc!H4</f>
        <v/>
      </c>
      <c r="I1748">
        <f>IF(Skills!T4&lt;&gt;"",1+(Skills!T4/10)*($Z$3/1000)/100,1)</f>
        <v/>
      </c>
      <c r="J1748" t="inlineStr"/>
      <c r="K1748" t="inlineStr"/>
      <c r="L1748" t="inlineStr"/>
      <c r="M1748" t="inlineStr"/>
      <c r="N1748" t="inlineStr"/>
      <c r="O1748">
        <f>(1-Summary!$B$11)*S1748+Summary!$B$11*U1748</f>
        <v/>
      </c>
      <c r="P1748">
        <f>IF(B1786=0,0,O1748/B1786)</f>
        <v/>
      </c>
      <c r="Q1748">
        <f>IFERROR(1/(IF(Inputs!$B$39="pvp",15,MAX(0.1,Skills!D4-IF(Skills!E4=TRUE,Inputs!$B$33,0)))*(1-IF(AND(ArtifactsInput!$M$27,Inputs!$B$4="Chapter Hunt"),CHOOSE(ArtifactsInput!$N$27+1,20,24,28,32,36,40),0)/100)),0)</f>
        <v/>
      </c>
      <c r="R1748">
        <f>IF(AND(Inputs!$B$39&lt;&gt;"pvp",Inputs!$B$44&gt;0),IF(Inputs!$B$44&lt;=0,0,(INT(Inputs!$B$44/(IF(Inputs!$B$39="pvp",15,MAX(0.1,Skills!D4-IF(Skills!E4=TRUE,Inputs!$B$33,0)))*(1-IF(AND(ArtifactsInput!$M$27,Inputs!$B$4="Chapter Hunt"),CHOOSE(ArtifactsInput!$N$27+1,20,24,28,32,36,40),0)/100)))+1)),0)</f>
        <v/>
      </c>
      <c r="S1748" t="n">
        <v>0</v>
      </c>
      <c r="T1748">
        <f>290*T1747/1000</f>
        <v/>
      </c>
      <c r="U1748" t="n">
        <v>0</v>
      </c>
    </row>
    <row r="1749">
      <c r="A1749">
        <f>Skills!A5</f>
        <v/>
      </c>
      <c r="B1749">
        <f>Skills!B5</f>
        <v/>
      </c>
      <c r="C1749">
        <f>Inputs!$B$3&gt;=40</f>
        <v/>
      </c>
      <c r="D1749">
        <f>IF(Skills!C5=1,60+Inputs!$B$26+Inputs!$B$30,IF(Skills!C5=2,90+Inputs!$B$27+Inputs!$B$30,IF(Skills!C5=3,120+Inputs!$B$28+Inputs!$B$30,MAX(0,(Inputs!$B$3-100)*3)+Inputs!$B$29+Inputs!$B$30)))</f>
        <v/>
      </c>
      <c r="E1749">
        <f>INDEX(FactorTable!$B$2:$Y$301, MATCH(ROUND(MIN(300,MAX(1,D1749)),0), FactorTable!$A$2:$A$301,0), Skills!L5+1)</f>
        <v/>
      </c>
      <c r="F1749">
        <f>IF(Skills!M5=TRUE,(Skills!K5/10)*(E1749/1000),Skills!K5/10)+Skills!N5</f>
        <v/>
      </c>
      <c r="G1749">
        <f>Calc!G5</f>
        <v/>
      </c>
      <c r="H1749">
        <f>Calc!H5</f>
        <v/>
      </c>
      <c r="I1749">
        <f>IF(Skills!T5&lt;&gt;"",1+(Skills!T5/10)*($Z$3/1000)/100,1)</f>
        <v/>
      </c>
      <c r="J1749" t="inlineStr"/>
      <c r="K1749" t="inlineStr"/>
      <c r="L1749" t="inlineStr"/>
      <c r="M1749" t="inlineStr"/>
      <c r="N1749" t="inlineStr"/>
      <c r="O1749">
        <f>(1-Summary!$B$11)*S1749+Summary!$B$11*U1749</f>
        <v/>
      </c>
      <c r="P1749">
        <f>IF(B1786=0,0,O1749/B1786)</f>
        <v/>
      </c>
      <c r="Q1749">
        <f>IFERROR(1/(IF(Inputs!$B$39="pvp",15,MAX(0.1,Skills!D5-IF(Skills!E5=TRUE,Inputs!$B$33,0)))*(1-IF(AND(ArtifactsInput!$M$27,Inputs!$B$4="Chapter Hunt"),CHOOSE(ArtifactsInput!$N$27+1,20,24,28,32,36,40),0)/100)),0)</f>
        <v/>
      </c>
      <c r="R1749">
        <f>IF(AND(Inputs!$B$39&lt;&gt;"pvp",Inputs!$B$44&gt;0),IF(Inputs!$B$44&lt;=0,0,(INT(Inputs!$B$44/(IF(Inputs!$B$39="pvp",15,MAX(0.1,Skills!D5-IF(Skills!E5=TRUE,Inputs!$B$33,0)))*(1-IF(AND(ArtifactsInput!$M$27,Inputs!$B$4="Chapter Hunt"),CHOOSE(ArtifactsInput!$N$27+1,20,24,28,32,36,40),0)/100)))+1)),0)</f>
        <v/>
      </c>
      <c r="S1749" t="n">
        <v>0</v>
      </c>
      <c r="U1749" t="n">
        <v>0</v>
      </c>
    </row>
    <row r="1750">
      <c r="A1750">
        <f>Skills!A6</f>
        <v/>
      </c>
      <c r="B1750">
        <f>Skills!B6</f>
        <v/>
      </c>
      <c r="C1750">
        <f>Inputs!$B$3&gt;=103</f>
        <v/>
      </c>
      <c r="D1750">
        <f>IF(Skills!C6=1,60+Inputs!$B$26+Inputs!$B$30,IF(Skills!C6=2,90+Inputs!$B$27+Inputs!$B$30,IF(Skills!C6=3,120+Inputs!$B$28+Inputs!$B$30,MAX(0,(Inputs!$B$3-100)*3)+Inputs!$B$29+Inputs!$B$30)))</f>
        <v/>
      </c>
      <c r="E1750">
        <f>INDEX(FactorTable!$B$2:$Y$301, MATCH(ROUND(MIN(300,MAX(1,D1750)),0), FactorTable!$A$2:$A$301,0), Skills!L6+1)</f>
        <v/>
      </c>
      <c r="F1750">
        <f>IF(Skills!M6=TRUE,(Skills!K6/10)*(E1750/1000),Skills!K6/10)+Skills!N6</f>
        <v/>
      </c>
      <c r="G1750">
        <f>Calc!G6</f>
        <v/>
      </c>
      <c r="H1750">
        <f>Calc!H6</f>
        <v/>
      </c>
      <c r="I1750">
        <f>IF(Skills!T6&lt;&gt;"",1+(Skills!T6/10)*($Z$3/1000)/100,1)</f>
        <v/>
      </c>
      <c r="J1750">
        <f>((Inputs!$B$6*(1+Inputs!$B$7/100))+(((Inputs!$B$13*(1+Inputs!$B$14/100))-(Inputs!$B$13*(1+Inputs!$B$14/100)))+0.25*(Inputs!$B$15-Inputs!$B$15))*(1+Inputs!$B$7/100))*(F1750/100)</f>
        <v/>
      </c>
      <c r="K1750">
        <f>J1750*(1+(((Inputs!$B$13+IF(Inputs!$B$3&gt;=35,(10*INDEX(FactorTable!$B$2:$Y$301,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6="TRIUMPH_FEATHER",IF(C1760=TRUE,F1760,0),0)/100)*(1+IF(C1771=TRUE,F1771,0)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1750)</f>
        <v/>
      </c>
      <c r="L1750">
        <f>K1750*(MIN(Inputs!$B$23+(F1766-Calc!F22),(Inputs!$B$24+IF(ArtifactsInput!$M$15,CHOOSE(ArtifactsInput!$N$15+1,25,30,35,40,45,50)/100*(Inputs!$B$12-Inputs!$B$12),0)))/100+(Inputs!$B$24+IF(ArtifactsInput!$M$15,CHOOSE(ArtifactsInput!$N$15+1,25,30,35,40,45,50)/100*(Inputs!$B$12-Inputs!$B$12),0))/100)/2</f>
        <v/>
      </c>
      <c r="M1750">
        <f>L1750*(1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0">
        <f>L1750*(1-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(1-Summary!$B$11)*S1750+Summary!$B$11*U1750</f>
        <v/>
      </c>
      <c r="P1750">
        <f>IF(B1786=0,0,O1750/B1786)</f>
        <v/>
      </c>
      <c r="Q1750">
        <f>IFERROR(1/(IF(Inputs!$B$39="pvp",15,MAX(0.1,Skills!D6-IF(Skills!E6=TRUE,Inputs!$B$33,0)))*(1-IF(AND(ArtifactsInput!$M$27,Inputs!$B$4="Chapter Hunt"),CHOOSE(ArtifactsInput!$N$27+1,20,24,28,32,36,40),0)/100)),0)</f>
        <v/>
      </c>
      <c r="R1750">
        <f>IF(AND(Inputs!$B$39&lt;&gt;"pvp",Inputs!$B$44&gt;0),IF(MAX(0,Inputs!$B$44-B1783)&lt;=0,0,(INT(MAX(0,Inputs!$B$44-B1783)/(IF(Inputs!$B$39="pvp",15,MAX(0.1,Skills!D6-IF(Skills!E6=TRUE,Inputs!$B$33,0)))*(1-IF(AND(ArtifactsInput!$M$27,Inputs!$B$4="Chapter Hunt"),CHOOSE(ArtifactsInput!$N$27+1,20,24,28,32,36,40),0)/100)))+1)),0)</f>
        <v/>
      </c>
      <c r="S1750">
        <f>IF(C1750,(H1750*N1750*IF(AND(Inputs!$B$39&lt;&gt;"pvp",Inputs!$B$44&gt;0),((Skills!F6*((R1750-1)*IF(Skills!G6&gt;0,Skills!H6/Skills!G6,1)+IF(Skills!G6&gt;0,MIN(Skills!H6,MAX(0,MAX(0,Inputs!$B$44-B1783)-((R1750-1)*(IF(Inputs!$B$39="pvp",15,MAX(0.1,Skills!D6-IF(Skills!E6=TRUE,Inputs!$B$33,0)))*(1-IF(AND(ArtifactsInput!$M$27,Inputs!$B$4="Chapter Hunt"),CHOOSE(ArtifactsInput!$N$27+1,20,24,28,32,36,40),0)/100)))))/Skills!G6,1)))/Inputs!$B$44),G1750*Q1750))*IF(Inputs!$B$39="pvp",1,1+(Inputs!$B$21+Skills!O6+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1750*(1-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0">
        <f>IF(C1750,(H1750*N1750*IF(AND(Inputs!$B$39&lt;&gt;"pvp",Inputs!$B$44&gt;0),((Skills!F6*((R1750-1)*IF(Skills!G6&gt;0,Skills!H6/Skills!G6,1)+IF(Skills!G6&gt;0,MIN(Skills!H6,MAX(0,MAX(0,Inputs!$B$44-B1783)-((R1750-1)*(IF(Inputs!$B$39="pvp",15,MAX(0.1,Skills!D6-IF(Skills!E6=TRUE,Inputs!$B$33,0)))*(1-IF(AND(ArtifactsInput!$M$27,Inputs!$B$4="Chapter Hunt"),CHOOSE(ArtifactsInput!$N$27+1,20,24,28,32,36,40),0)/100)))))/Skills!G6,1)))/Inputs!$B$44),G1750*Q1750))*IF(Inputs!$B$39="pvp",1,(1+(Inputs!$B$22+Skills!P6+B1775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Skills!A7</f>
        <v/>
      </c>
      <c r="B1751">
        <f>Skills!B7</f>
        <v/>
      </c>
      <c r="C1751">
        <f>Inputs!$B$3&gt;=122</f>
        <v/>
      </c>
      <c r="D1751">
        <f>IF(Skills!C7=1,60+Inputs!$B$26+Inputs!$B$30,IF(Skills!C7=2,90+Inputs!$B$27+Inputs!$B$30,IF(Skills!C7=3,120+Inputs!$B$28+Inputs!$B$30,MAX(0,(Inputs!$B$3-100)*3)+Inputs!$B$29+Inputs!$B$30)))</f>
        <v/>
      </c>
      <c r="E1751">
        <f>INDEX(FactorTable!$B$2:$Y$301, MATCH(ROUND(MIN(300,MAX(1,D1751)),0), FactorTable!$A$2:$A$301,0), Skills!L7+1)</f>
        <v/>
      </c>
      <c r="F1751">
        <f>IF(Skills!M7=TRUE,(Skills!K7/10)*(E1751/1000),Skills!K7/10)+Skills!N7</f>
        <v/>
      </c>
      <c r="G1751">
        <f>Calc!G7</f>
        <v/>
      </c>
      <c r="H1751">
        <f>Calc!H7</f>
        <v/>
      </c>
      <c r="I1751">
        <f>IF(Skills!T7&lt;&gt;"",1+(Skills!T7/10)*($Z$3/1000)/100,1)</f>
        <v/>
      </c>
      <c r="J1751">
        <f>((Inputs!$B$6*(1+Inputs!$B$7/100))+(((Inputs!$B$13*(1+Inputs!$B$14/100))-(Inputs!$B$13*(1+Inputs!$B$14/100)))+0.25*(Inputs!$B$15-Inputs!$B$15))*(1+Inputs!$B$7/100))*(F1751/100)</f>
        <v/>
      </c>
      <c r="K1751">
        <f>J1751*(1+(((Inputs!$B$13+IF(Inputs!$B$3&gt;=35,(10*INDEX(FactorTable!$B$2:$Y$301,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7="TRIUMPH_FEATHER",IF(C1760=TRUE,F1760,0),0)/100)*(1+IF(C1771=TRUE,F1771,0)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1751)</f>
        <v/>
      </c>
      <c r="L1751">
        <f>K1751*(MIN(Inputs!$B$23+(F1766-Calc!F22),(Inputs!$B$24+IF(ArtifactsInput!$M$15,CHOOSE(ArtifactsInput!$N$15+1,25,30,35,40,45,50)/100*(Inputs!$B$12-Inputs!$B$12),0)))/100+(Inputs!$B$24+IF(ArtifactsInput!$M$15,CHOOSE(ArtifactsInput!$N$15+1,25,30,35,40,45,50)/100*(Inputs!$B$12-Inputs!$B$12),0))/100)/2</f>
        <v/>
      </c>
      <c r="M1751">
        <f>L1751*(1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1">
        <f>L1751*(1-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(1-Summary!$B$11)*S1751+Summary!$B$11*U1751</f>
        <v/>
      </c>
      <c r="P1751">
        <f>IF(B1786=0,0,O1751/B1786)</f>
        <v/>
      </c>
      <c r="Q1751">
        <f>IFERROR(1/(IF(Inputs!$B$39="pvp",15,MAX(0.1,Skills!D7-IF(Skills!E6=TRUE,Inputs!$B$33,0)))*(1-IF(AND(ArtifactsInput!$M$27,Inputs!$B$4="Chapter Hunt"),CHOOSE(ArtifactsInput!$N$27+1,20,24,28,32,36,40),0)/100)),0)</f>
        <v/>
      </c>
      <c r="R1751">
        <f>IF(AND(Inputs!$B$39&lt;&gt;"pvp",Inputs!$B$44&gt;0),IF(MAX(0,Inputs!$B$44-B1783)&lt;=0,0,(INT(MAX(0,Inputs!$B$44-B1783)/(IF(Inputs!$B$39="pvp",15,MAX(0.1,Skills!D7-IF(Skills!E6=TRUE,Inputs!$B$33,0)))*(1-IF(AND(ArtifactsInput!$M$27,Inputs!$B$4="Chapter Hunt"),CHOOSE(ArtifactsInput!$N$27+1,20,24,28,32,36,40),0)/100)))+1)),0)</f>
        <v/>
      </c>
      <c r="S1751">
        <f>IF(C1751,H1751*N1751*IF(AND(Inputs!$B$39&lt;&gt;"pvp",Inputs!$B$44&gt;0),((Skills!F7*((R1751-1)*IF(Skills!G7&gt;0,Skills!H7/Skills!G7,1)+IF(Skills!G7&gt;0,MIN(Skills!H7,MAX(0,MAX(0,Inputs!$B$44-B1783)-((R1751-1)*(IF(Inputs!$B$39="pvp",15,MAX(0.1,Skills!D7-IF(Skills!E6=TRUE,Inputs!$B$33,0)))*(1-IF(AND(ArtifactsInput!$M$27,Inputs!$B$4="Chapter Hunt"),CHOOSE(ArtifactsInput!$N$27+1,20,24,28,32,36,40),0)/100)))))/Skills!G7,1)))/Inputs!$B$44),G1751*Q1751)*IF(Inputs!$B$39="pvp",1,1+(Inputs!$B$21+Skills!O7+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1751*(1-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1" t="n">
        <v>0</v>
      </c>
    </row>
    <row r="1752">
      <c r="A1752">
        <f>Skills!A8</f>
        <v/>
      </c>
      <c r="B1752">
        <f>Skills!B8</f>
        <v/>
      </c>
      <c r="C1752">
        <f>Inputs!$B$3&gt;=105</f>
        <v/>
      </c>
      <c r="D1752">
        <f>IF(Skills!C8=1,60+Inputs!$B$26+Inputs!$B$30,IF(Skills!C8=2,90+Inputs!$B$27+Inputs!$B$30,IF(Skills!C8=3,120+Inputs!$B$28+Inputs!$B$30,MAX(0,(Inputs!$B$3-100)*3)+Inputs!$B$29+Inputs!$B$30)))</f>
        <v/>
      </c>
      <c r="E1752">
        <f>INDEX(FactorTable!$B$2:$Y$301, MATCH(ROUND(MIN(300,MAX(1,D1752)),0), FactorTable!$A$2:$A$301,0), Skills!L8+1)</f>
        <v/>
      </c>
      <c r="F1752">
        <f>IF(Skills!M8=TRUE,(Skills!K8/10)*(E1752/1000),Skills!K8/10)+Skills!N8</f>
        <v/>
      </c>
      <c r="G1752">
        <f>Calc!G8</f>
        <v/>
      </c>
      <c r="H1752">
        <f>Calc!H8</f>
        <v/>
      </c>
      <c r="I1752">
        <f>IF(Skills!T8&lt;&gt;"",1+(Skills!T8/10)*($Z$3/1000)/100,1)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8="TRIUMPH_FEATHER",IF(C1760=TRUE,F1760,0),0)/100)*(1+IF(C1771=TRUE,F1771,0)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1752)</f>
        <v/>
      </c>
      <c r="L1752">
        <f>K1752*(MIN(Inputs!$B$23+(F1766-Calc!F22),(Inputs!$B$24+IF(ArtifactsInput!$M$15,CHOOSE(ArtifactsInput!$N$15+1,25,30,35,40,45,50)/100*(Inputs!$B$12-Inputs!$B$12),0)))/100+(Inputs!$B$24+IF(ArtifactsInput!$M$15,CHOOSE(ArtifactsInput!$N$15+1,25,30,35,40,45,50)/100*(Inputs!$B$12-Inputs!$B$12),0))/100)/2</f>
        <v/>
      </c>
      <c r="M1752">
        <f>L1752*(1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IF(B1786=0,0,O1752/B1786)</f>
        <v/>
      </c>
      <c r="Q1752">
        <f>IFERROR(1/(IF(Inputs!$B$39="pvp",15,MAX(0.1,Skills!D8-IF(Skills!E8=TRUE,Inputs!$B$33,0)))*(1-IF(AND(ArtifactsInput!$M$27,Inputs!$B$4="Chapter Hunt"),CHOOSE(ArtifactsInput!$N$27+1,20,24,28,32,36,40),0)/100)),0)</f>
        <v/>
      </c>
      <c r="R1752">
        <f>IF(AND(Inputs!$B$39&lt;&gt;"pvp",Inputs!$B$44&gt;0),IF(MAX(0,Inputs!$B$44-B1783)&lt;=0,0,(INT(MAX(0,Inputs!$B$44-B1783)/(IF(Inputs!$B$39="pvp",15,MAX(0.1,Skills!D8-IF(Skills!E8=TRUE,Inputs!$B$33,0)))*(1-IF(AND(ArtifactsInput!$M$27,Inputs!$B$4="Chapter Hunt"),CHOOSE(ArtifactsInput!$N$27+1,20,24,28,32,36,40),0)/100)))+1)),0)</f>
        <v/>
      </c>
      <c r="S1752">
        <f>IF(C1752,(H1752*N1752*IF(AND(Inputs!$B$39&lt;&gt;"pvp",Inputs!$B$44&gt;0),((Skills!F8*((R1752-1)*IF(Skills!G8&gt;0,Skills!H8/Skills!G8,1)+IF(Skills!G8&gt;0,MIN(Skills!H8,MAX(0,MAX(0,Inputs!$B$44-B1783)-((R1752-1)*(IF(Inputs!$B$39="pvp",15,MAX(0.1,Skills!D8-IF(Skills!E8=TRUE,Inputs!$B$33,0)))*(1-IF(AND(ArtifactsInput!$M$27,Inputs!$B$4="Chapter Hunt"),CHOOSE(ArtifactsInput!$N$27+1,20,24,28,32,36,40),0)/100)))))/Skills!G8,1)))/Inputs!$B$44),G1752*Q1752))*IF(Inputs!$B$39="pvp",1,1+(Inputs!$B$21+Skills!O8+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H1752*N1752*IF(AND(Inputs!$B$39&lt;&gt;"pvp",Inputs!$B$44&gt;0),((Skills!F8*((R1752-1)*IF(Skills!G8&gt;0,Skills!H8/Skills!G8,1)+IF(Skills!G8&gt;0,MIN(Skills!H8,MAX(0,MAX(0,Inputs!$B$44-B1783)-((R1752-1)*(IF(Inputs!$B$39="pvp",15,MAX(0.1,Skills!D8-IF(Skills!E8=TRUE,Inputs!$B$33,0)))*(1-IF(AND(ArtifactsInput!$M$27,Inputs!$B$4="Chapter Hunt"),CHOOSE(ArtifactsInput!$N$27+1,20,24,28,32,36,40),0)/100)))))/Skills!G8,1)))/Inputs!$B$44),G1752*Q1752))*IF(Inputs!$B$39="pvp",1,(1+(Inputs!$B$22+Skills!P8+B1775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Skills!A9</f>
        <v/>
      </c>
      <c r="B1753">
        <f>Skills!B9</f>
        <v/>
      </c>
      <c r="C1753">
        <f>Inputs!$B$3&gt;=115</f>
        <v/>
      </c>
      <c r="D1753">
        <f>IF(Skills!C9=1,60+Inputs!$B$26+Inputs!$B$30,IF(Skills!C9=2,90+Inputs!$B$27+Inputs!$B$30,IF(Skills!C9=3,120+Inputs!$B$28+Inputs!$B$30,MAX(0,(Inputs!$B$3-100)*3)+Inputs!$B$29+Inputs!$B$30)))</f>
        <v/>
      </c>
      <c r="E1753">
        <f>INDEX(FactorTable!$B$2:$Y$301, MATCH(ROUND(MIN(300,MAX(1,D1753)),0), FactorTable!$A$2:$A$301,0), Skills!L9+1)</f>
        <v/>
      </c>
      <c r="F1753">
        <f>IF(Skills!M9=TRUE,(Skills!K9/10)*(E1753/1000),Skills!K9/10)+Skills!N9</f>
        <v/>
      </c>
      <c r="G1753">
        <f>Calc!G9</f>
        <v/>
      </c>
      <c r="H1753">
        <f>Calc!H9</f>
        <v/>
      </c>
      <c r="I1753">
        <f>IF(Skills!T9&lt;&gt;"",1+(Skills!T9/10)*($Z$3/1000)/100,1)</f>
        <v/>
      </c>
      <c r="J1753">
        <f>((Inputs!$B$6*(1+Inputs!$B$7/100))+(((Inputs!$B$13*(1+Inputs!$B$14/100))-(Inputs!$B$13*(1+Inputs!$B$14/100)))+0.25*(Inputs!$B$15-Inputs!$B$15))*(1+Inputs!$B$7/100))*(F1753/100)</f>
        <v/>
      </c>
      <c r="K1753">
        <f>J1753*(1+(((Inputs!$B$13+IF(Inputs!$B$3&gt;=35,(10*INDEX(FactorTable!$B$2:$Y$301,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9="TRIUMPH_FEATHER",IF(C1760=TRUE,F1760,0),0)/100)*(1+IF(C1771=TRUE,F1771,0)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1753)</f>
        <v/>
      </c>
      <c r="L1753">
        <f>K1753*(MIN(Inputs!$B$23+(F1766-Calc!F22),(Inputs!$B$24+IF(ArtifactsInput!$M$15,CHOOSE(ArtifactsInput!$N$15+1,25,30,35,40,45,50)/100*(Inputs!$B$12-Inputs!$B$12),0)))/100+(Inputs!$B$24+IF(ArtifactsInput!$M$15,CHOOSE(ArtifactsInput!$N$15+1,25,30,35,40,45,50)/100*(Inputs!$B$12-Inputs!$B$12),0))/100)/2</f>
        <v/>
      </c>
      <c r="M1753">
        <f>L1753*(1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3">
        <f>L1753*(1-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1753*(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3">
        <f>(1-Summary!$B$11)*S1753+Summary!$B$11*U1753</f>
        <v/>
      </c>
      <c r="P1753">
        <f>IF(B1786=0,0,O1753/B1786)</f>
        <v/>
      </c>
      <c r="Q1753">
        <f>IFERROR(1/(IF(Inputs!$B$39="pvp",15,MAX(0.1,Skills!D9-IF(Skills!E9=TRUE,Inputs!$B$33,0)))*(1-IF(AND(ArtifactsInput!$M$27,Inputs!$B$4="Chapter Hunt"),CHOOSE(ArtifactsInput!$N$27+1,20,24,28,32,36,40),0)/100)),0)</f>
        <v/>
      </c>
      <c r="R1753">
        <f>IF(AND(Inputs!$B$39&lt;&gt;"pvp",Inputs!$B$44&gt;0),IF(MAX(0,Inputs!$B$44-B1783)&lt;=0,0,(INT(MAX(0,Inputs!$B$44-B1783)/(IF(Inputs!$B$39="pvp",15,MAX(0.1,Skills!D9-IF(Skills!E9=TRUE,Inputs!$B$33,0)))*(1-IF(AND(ArtifactsInput!$M$27,Inputs!$B$4="Chapter Hunt"),CHOOSE(ArtifactsInput!$N$27+1,20,24,28,32,36,40),0)/100)))+1)),0)</f>
        <v/>
      </c>
      <c r="S1753">
        <f>IF(C1753,(H1753*N1753*IF(AND(Inputs!$B$39&lt;&gt;"pvp",Inputs!$B$44&gt;0),((Skills!F9*((R1753-1)*IF(Skills!G9&gt;0,Skills!H9/Skills!G9,1)+IF(Skills!G9&gt;0,MIN(Skills!H9,MAX(0,MAX(0,Inputs!$B$44-B1783)-((R1753-1)*(IF(Inputs!$B$39="pvp",15,MAX(0.1,Skills!D9-IF(Skills!E9=TRUE,Inputs!$B$33,0)))*(1-IF(AND(ArtifactsInput!$M$27,Inputs!$B$4="Chapter Hunt"),CHOOSE(ArtifactsInput!$N$27+1,20,24,28,32,36,40),0)/100)))))/Skills!G9,1)))/Inputs!$B$44),G1753*Q1753))*IF(Inputs!$B$39="pvp",1,1+(Inputs!$B$21+Skills!O9+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1753*(1-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1753*(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1753*(1-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1753*(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3">
        <f>IF(C1753,(H1753*N1753*IF(AND(Inputs!$B$39&lt;&gt;"pvp",Inputs!$B$44&gt;0),((Skills!F9*((R1753-1)*IF(Skills!G9&gt;0,Skills!H9/Skills!G9,1)+IF(Skills!G9&gt;0,MIN(Skills!H9,MAX(0,MAX(0,Inputs!$B$44-B1783)-((R1753-1)*(IF(Inputs!$B$39="pvp",15,MAX(0.1,Skills!D9-IF(Skills!E9=TRUE,Inputs!$B$33,0)))*(1-IF(AND(ArtifactsInput!$M$27,Inputs!$B$4="Chapter Hunt"),CHOOSE(ArtifactsInput!$N$27+1,20,24,28,32,36,40),0)/100)))))/Skills!G9,1)))/Inputs!$B$44),G1753*Q1753))*IF(Inputs!$B$39="pvp",1,(1+(Inputs!$B$22+Skills!P9+B1775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4">
      <c r="A1754">
        <f>Skills!A10</f>
        <v/>
      </c>
      <c r="B1754">
        <f>Skills!B10</f>
        <v/>
      </c>
      <c r="C1754">
        <f>Inputs!$B$3&gt;=66</f>
        <v/>
      </c>
      <c r="D1754">
        <f>IF(Skills!C10=1,60+Inputs!$B$26+Inputs!$B$30,IF(Skills!C10=2,90+Inputs!$B$27+Inputs!$B$30,IF(Skills!C10=3,120+Inputs!$B$28+Inputs!$B$30,MAX(0,(Inputs!$B$3-100)*3)+Inputs!$B$29+Inputs!$B$30)))</f>
        <v/>
      </c>
      <c r="E1754">
        <f>INDEX(FactorTable!$B$2:$Y$301, MATCH(ROUND(MIN(300,MAX(1,D1754)),0), FactorTable!$A$2:$A$301,0), Skills!L10+1)</f>
        <v/>
      </c>
      <c r="F1754" t="n">
        <v>0</v>
      </c>
      <c r="G1754">
        <f>Calc!G10</f>
        <v/>
      </c>
      <c r="H1754">
        <f>Calc!H10</f>
        <v/>
      </c>
      <c r="I1754">
        <f>IF(Skills!T10&lt;&gt;"",1+(Skills!T10/10)*($Z$3/1000)/100,1)</f>
        <v/>
      </c>
      <c r="J1754" t="inlineStr"/>
      <c r="K1754" t="inlineStr"/>
      <c r="L1754" t="inlineStr"/>
      <c r="M1754" t="inlineStr"/>
      <c r="N1754" t="inlineStr"/>
      <c r="O1754">
        <f>(1-Summary!$B$11)*S1754+Summary!$B$11*U1754</f>
        <v/>
      </c>
      <c r="P1754">
        <f>IF(B1786=0,0,O1754/B1786)</f>
        <v/>
      </c>
      <c r="Q1754">
        <f>IFERROR(1/(IF(Inputs!$B$39="pvp",15,MAX(0.1,Skills!D10-IF(Skills!E10=TRUE,Inputs!$B$33,0)))*(1-IF(AND(ArtifactsInput!$M$27,Inputs!$B$4="Chapter Hunt"),CHOOSE(ArtifactsInput!$N$27+1,20,24,28,32,36,40),0)/100)),0)</f>
        <v/>
      </c>
      <c r="R1754">
        <f>IF(AND(Inputs!$B$39&lt;&gt;"pvp",Inputs!$B$44&gt;0),IF(MAX(0,Inputs!$B$44-B1783)&lt;=0,0,(INT(MAX(0,Inputs!$B$44-B1783)/(IF(Inputs!$B$39="pvp",15,MAX(0.1,Skills!D10-IF(Skills!E10=TRUE,Inputs!$B$33,0)))*(1-IF(AND(ArtifactsInput!$M$27,Inputs!$B$4="Chapter Hunt"),CHOOSE(ArtifactsInput!$N$27+1,20,24,28,32,36,40),0)/100)))+1)),0)</f>
        <v/>
      </c>
      <c r="S1754" t="n">
        <v>0</v>
      </c>
      <c r="U1754" t="n">
        <v>0</v>
      </c>
    </row>
    <row r="1755">
      <c r="A1755">
        <f>Skills!A11</f>
        <v/>
      </c>
      <c r="B1755">
        <f>Skills!B11</f>
        <v/>
      </c>
      <c r="C1755">
        <f>Inputs!$B$3&gt;=69</f>
        <v/>
      </c>
      <c r="D1755">
        <f>IF(Skills!C11=1,60+Inputs!$B$26+Inputs!$B$30,IF(Skills!C11=2,90+Inputs!$B$27+Inputs!$B$30,IF(Skills!C11=3,120+Inputs!$B$28+Inputs!$B$30,MAX(0,(Inputs!$B$3-100)*3)+Inputs!$B$29+Inputs!$B$30)))</f>
        <v/>
      </c>
      <c r="E1755">
        <f>INDEX(FactorTable!$B$2:$Y$301, MATCH(ROUND(MIN(300,MAX(1,D1755)),0), FactorTable!$A$2:$A$301,0), Skills!L11+1)</f>
        <v/>
      </c>
      <c r="F1755">
        <f>IF(Skills!M11=TRUE,(Skills!K11/10)*(E1755/1000),Skills!K11/10)+Skills!N11</f>
        <v/>
      </c>
      <c r="G1755">
        <f>Calc!G11</f>
        <v/>
      </c>
      <c r="H1755">
        <f>Calc!H11</f>
        <v/>
      </c>
      <c r="I1755">
        <f>IF(Skills!T11&lt;&gt;"",1+(Skills!T11/10)*($Z$3/1000)/100,1)</f>
        <v/>
      </c>
      <c r="J1755" t="inlineStr"/>
      <c r="K1755" t="inlineStr"/>
      <c r="L1755" t="inlineStr"/>
      <c r="M1755" t="inlineStr"/>
      <c r="N1755" t="inlineStr"/>
      <c r="O1755">
        <f>(1-Summary!$B$11)*S1755+Summary!$B$11*U1755</f>
        <v/>
      </c>
      <c r="P1755">
        <f>IF(B1786=0,0,O1755/B1786)</f>
        <v/>
      </c>
      <c r="Q1755">
        <f>IFERROR(1/(IF(Inputs!$B$39="pvp",15,MAX(0.1,Skills!D11-IF(Skills!E11=TRUE,Inputs!$B$33,0)))*(1-IF(AND(ArtifactsInput!$M$27,Inputs!$B$4="Chapter Hunt"),CHOOSE(ArtifactsInput!$N$27+1,20,24,28,32,36,40),0)/100)),0)</f>
        <v/>
      </c>
      <c r="R1755">
        <f>IF(AND(Inputs!$B$39&lt;&gt;"pvp",Inputs!$B$44&gt;0),IF(Inputs!$B$44&lt;=0,0,(INT(Inputs!$B$44/(IF(Inputs!$B$39="pvp",15,MAX(0.1,Skills!D11-IF(Skills!E11=TRUE,Inputs!$B$33,0)))*(1-IF(AND(ArtifactsInput!$M$27,Inputs!$B$4="Chapter Hunt"),CHOOSE(ArtifactsInput!$N$27+1,20,24,28,32,36,40),0)/100)))+1)),0)</f>
        <v/>
      </c>
      <c r="S1755" t="n">
        <v>0</v>
      </c>
      <c r="U1755" t="n">
        <v>0</v>
      </c>
    </row>
    <row r="1756">
      <c r="A1756">
        <f>Skills!A12</f>
        <v/>
      </c>
      <c r="B1756">
        <f>Skills!B12</f>
        <v/>
      </c>
      <c r="C1756">
        <f>Inputs!$B$3&gt;=72</f>
        <v/>
      </c>
      <c r="D1756">
        <f>IF(Skills!C12=1,60+Inputs!$B$26+Inputs!$B$30,IF(Skills!C12=2,90+Inputs!$B$27+Inputs!$B$30,IF(Skills!C12=3,120+Inputs!$B$28+Inputs!$B$30,MAX(0,(Inputs!$B$3-100)*3)+Inputs!$B$29+Inputs!$B$30)))</f>
        <v/>
      </c>
      <c r="E1756">
        <f>INDEX(FactorTable!$B$2:$Y$301, MATCH(ROUND(MIN(300,MAX(1,D1756)),0), FactorTable!$A$2:$A$301,0), Skills!L12+1)</f>
        <v/>
      </c>
      <c r="F1756">
        <f>IF(Skills!M12=TRUE,(Skills!K12/10)*(E1756/1000),Skills!K12/10)+Skills!N12</f>
        <v/>
      </c>
      <c r="G1756">
        <f>Calc!G12</f>
        <v/>
      </c>
      <c r="H1756">
        <f>Calc!H12</f>
        <v/>
      </c>
      <c r="I1756">
        <f>IF(Skills!T12&lt;&gt;"",1+(Skills!T12/10)*($Z$3/1000)/100,1)</f>
        <v/>
      </c>
      <c r="J1756" t="inlineStr"/>
      <c r="K1756" t="inlineStr"/>
      <c r="L1756" t="inlineStr"/>
      <c r="M1756" t="inlineStr"/>
      <c r="N1756" t="inlineStr"/>
      <c r="O1756">
        <f>(1-Summary!$B$11)*S1756+Summary!$B$11*U1756</f>
        <v/>
      </c>
      <c r="P1756">
        <f>IF(B1786=0,0,O1756/B1786)</f>
        <v/>
      </c>
      <c r="Q1756">
        <f>IFERROR(1/(IF(Inputs!$B$39="pvp",15,MAX(0.1,Skills!D12-IF(Skills!E12=TRUE,Inputs!$B$33,0)))*(1-IF(AND(ArtifactsInput!$M$27,Inputs!$B$4="Chapter Hunt"),CHOOSE(ArtifactsInput!$N$27+1,20,24,28,32,36,40),0)/100)),0)</f>
        <v/>
      </c>
      <c r="R1756">
        <f>IF(AND(Inputs!$B$39&lt;&gt;"pvp",Inputs!$B$44&gt;0),IF(MAX(0,Inputs!$B$44-B1783)&lt;=0,0,(INT(MAX(0,Inputs!$B$44-B1783)/(IF(Inputs!$B$39="pvp",15,MAX(0.1,Skills!D12-IF(Skills!E12=TRUE,Inputs!$B$33,0)))*(1-IF(AND(ArtifactsInput!$M$27,Inputs!$B$4="Chapter Hunt"),CHOOSE(ArtifactsInput!$N$27+1,20,24,28,32,36,40),0)/100)))+1)),0)</f>
        <v/>
      </c>
      <c r="S1756" t="n">
        <v>0</v>
      </c>
      <c r="U1756" t="n">
        <v>0</v>
      </c>
    </row>
    <row r="1757">
      <c r="A1757">
        <f>Skills!A13</f>
        <v/>
      </c>
      <c r="B1757">
        <f>Skills!B13</f>
        <v/>
      </c>
      <c r="C1757">
        <f>Inputs!$B$3&gt;=60</f>
        <v/>
      </c>
      <c r="D1757">
        <f>IF(Skills!C13=1,60+Inputs!$B$26+Inputs!$B$30,IF(Skills!C13=2,90+Inputs!$B$27+Inputs!$B$30,IF(Skills!C13=3,120+Inputs!$B$28+Inputs!$B$30,MAX(0,(Inputs!$B$3-100)*3)+Inputs!$B$29+Inputs!$B$30)))</f>
        <v/>
      </c>
      <c r="E1757">
        <f>INDEX(FactorTable!$B$2:$Y$301, MATCH(ROUND(MIN(300,MAX(1,D1757)),0), FactorTable!$A$2:$A$301,0), Skills!L13+1)</f>
        <v/>
      </c>
      <c r="F1757">
        <f>IF(Skills!M13=TRUE,(Skills!K13/10)*(E1757/1000),Skills!K13/10)+Skills!N13</f>
        <v/>
      </c>
      <c r="G1757">
        <f>Calc!G13</f>
        <v/>
      </c>
      <c r="H1757">
        <f>Calc!H13</f>
        <v/>
      </c>
      <c r="I1757">
        <f>IF(Skills!T13&lt;&gt;"",1+(Skills!T13/10)*($Z$3/1000)/100,1)</f>
        <v/>
      </c>
      <c r="J1757" t="inlineStr"/>
      <c r="K1757" t="inlineStr"/>
      <c r="L1757" t="inlineStr"/>
      <c r="M1757" t="inlineStr"/>
      <c r="N1757" t="inlineStr"/>
      <c r="O1757">
        <f>(1-Summary!$B$11)*S1757+Summary!$B$11*U1757</f>
        <v/>
      </c>
      <c r="P1757">
        <f>IF(B1786=0,0,O1757/B1786)</f>
        <v/>
      </c>
      <c r="Q1757">
        <f>IFERROR(1/(IF(Inputs!$B$39="pvp",15,MAX(0.1,Skills!D13-IF(Skills!E13=TRUE,Inputs!$B$33,0)))*(1-IF(AND(ArtifactsInput!$M$27,Inputs!$B$4="Chapter Hunt"),CHOOSE(ArtifactsInput!$N$27+1,20,24,28,32,36,40),0)/100)),0)</f>
        <v/>
      </c>
      <c r="R1757">
        <f>IF(AND(Inputs!$B$39&lt;&gt;"pvp",Inputs!$B$44&gt;0),IF(MAX(0,Inputs!$B$44-B1783)&lt;=0,0,(INT(MAX(0,Inputs!$B$44-B1783)/(IF(Inputs!$B$39="pvp",15,MAX(0.1,Skills!D13-IF(Skills!E13=TRUE,Inputs!$B$33,0)))*(1-IF(AND(ArtifactsInput!$M$27,Inputs!$B$4="Chapter Hunt"),CHOOSE(ArtifactsInput!$N$27+1,20,24,28,32,36,40),0)/100)))+1)),0)</f>
        <v/>
      </c>
      <c r="S1757" t="n">
        <v>0</v>
      </c>
      <c r="U1757" t="n">
        <v>0</v>
      </c>
    </row>
    <row r="1758">
      <c r="A1758">
        <f>Skills!A14</f>
        <v/>
      </c>
      <c r="B1758">
        <f>Skills!B14</f>
        <v/>
      </c>
      <c r="C1758">
        <f>Inputs!$B$3&gt;=107</f>
        <v/>
      </c>
      <c r="D1758">
        <f>IF(Skills!C14=1,60+Inputs!$B$26+Inputs!$B$30,IF(Skills!C14=2,90+Inputs!$B$27+Inputs!$B$30,IF(Skills!C14=3,120+Inputs!$B$28+Inputs!$B$30,MAX(0,(Inputs!$B$3-100)*3)+Inputs!$B$29+Inputs!$B$30)))</f>
        <v/>
      </c>
      <c r="E1758">
        <f>INDEX(FactorTable!$B$2:$Y$301, MATCH(ROUND(MIN(300,MAX(1,D1758)),0), FactorTable!$A$2:$A$301,0), Skills!L14+1)</f>
        <v/>
      </c>
      <c r="F1758">
        <f>IF(Skills!M14=TRUE,(Skills!K14/10)*(E1758/1000),Skills!K14/10)+Skills!N14</f>
        <v/>
      </c>
      <c r="G1758">
        <f>Calc!G14</f>
        <v/>
      </c>
      <c r="H1758">
        <f>Calc!H14</f>
        <v/>
      </c>
      <c r="I1758">
        <f>IF(Skills!T14&lt;&gt;"",1+(Skills!T14/10)*($Z$3/1000)/100,1)</f>
        <v/>
      </c>
      <c r="J1758" t="inlineStr"/>
      <c r="K1758" t="inlineStr"/>
      <c r="L1758" t="inlineStr"/>
      <c r="M1758" t="inlineStr"/>
      <c r="N1758" t="inlineStr"/>
      <c r="O1758">
        <f>(1-Summary!$B$11)*S1758+Summary!$B$11*U1758</f>
        <v/>
      </c>
      <c r="P1758">
        <f>IF(B1786=0,0,O1758/B1786)</f>
        <v/>
      </c>
      <c r="Q1758">
        <f>IFERROR(1/(IF(Inputs!$B$39="pvp",15,MAX(0.1,Skills!D14-IF(Skills!E14=TRUE,Inputs!$B$33,0)))*(1-IF(AND(ArtifactsInput!$M$27,Inputs!$B$4="Chapter Hunt"),CHOOSE(ArtifactsInput!$N$27+1,20,24,28,32,36,40),0)/100)),0)</f>
        <v/>
      </c>
      <c r="R1758">
        <f>IF(AND(Inputs!$B$39&lt;&gt;"pvp",Inputs!$B$44&gt;0),IF(Inputs!$B$44&lt;=0,0,(INT(Inputs!$B$44/(IF(Inputs!$B$39="pvp",15,MAX(0.1,Skills!D14-IF(Skills!E14=TRUE,Inputs!$B$33,0)))*(1-IF(AND(ArtifactsInput!$M$27,Inputs!$B$4="Chapter Hunt"),CHOOSE(ArtifactsInput!$N$27+1,20,24,28,32,36,40),0)/100)))+1)),0)</f>
        <v/>
      </c>
      <c r="S1758" t="n">
        <v>0</v>
      </c>
      <c r="U1758" t="n">
        <v>0</v>
      </c>
    </row>
    <row r="1759">
      <c r="A1759">
        <f>Skills!A15</f>
        <v/>
      </c>
      <c r="B1759">
        <f>Skills!B15</f>
        <v/>
      </c>
      <c r="C1759">
        <f>Inputs!$B$3&gt;=63</f>
        <v/>
      </c>
      <c r="D1759">
        <f>IF(Skills!C15=1,60+Inputs!$B$26+Inputs!$B$30,IF(Skills!C15=2,90+Inputs!$B$27+Inputs!$B$30,IF(Skills!C15=3,120+Inputs!$B$28+Inputs!$B$30,MAX(0,(Inputs!$B$3-100)*3)+Inputs!$B$29+Inputs!$B$30)))</f>
        <v/>
      </c>
      <c r="E1759">
        <f>INDEX(FactorTable!$B$2:$Y$301, MATCH(ROUND(MIN(300,MAX(1,D1759)),0), FactorTable!$A$2:$A$301,0), Skills!L15+1)</f>
        <v/>
      </c>
      <c r="F1759">
        <f>IF(Skills!M15=TRUE,(Skills!K15/10)*(E1759/1000),Skills!K15/10)+Skills!N15</f>
        <v/>
      </c>
      <c r="G1759">
        <f>Calc!G15</f>
        <v/>
      </c>
      <c r="H1759">
        <f>Calc!H15</f>
        <v/>
      </c>
      <c r="I1759">
        <f>IF(Skills!T15&lt;&gt;"",1+(Skills!T15/10)*($Z$3/1000)/100,1)</f>
        <v/>
      </c>
      <c r="J1759">
        <f>((Inputs!$B$6*(1+Inputs!$B$7/100))+(((Inputs!$B$13*(1+Inputs!$B$14/100))-(Inputs!$B$13*(1+Inputs!$B$14/100)))+0.25*(Inputs!$B$15-Inputs!$B$15))*(1+Inputs!$B$7/100))*(F1759/100)</f>
        <v/>
      </c>
      <c r="K1759">
        <f>J1759*(1+(((Inputs!$B$13+IF(Inputs!$B$3&gt;=35,(10*INDEX(FactorTable!$B$2:$Y$301,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15="TRIUMPH_FEATHER",IF(C1760=TRUE,F1760,0),0)/100)*(1+IF(C1771=TRUE,F1771,0)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1759)</f>
        <v/>
      </c>
      <c r="L1759">
        <f>K1759*(MIN(Inputs!$B$23+(F1766-Calc!F22),(Inputs!$B$24+IF(ArtifactsInput!$M$15,CHOOSE(ArtifactsInput!$N$15+1,25,30,35,40,45,50)/100*(Inputs!$B$12-Inputs!$B$12),0)))/100+(Inputs!$B$24+IF(ArtifactsInput!$M$15,CHOOSE(ArtifactsInput!$N$15+1,25,30,35,40,45,50)/100*(Inputs!$B$12-Inputs!$B$12),0))/100)/2</f>
        <v/>
      </c>
      <c r="M1759">
        <f>L1759*(1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9">
        <f>L1759*(1-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(1-Summary!$B$11)*S1759+Summary!$B$11*U1759</f>
        <v/>
      </c>
      <c r="P1759">
        <f>IF(B1786=0,0,O1759/B1786)</f>
        <v/>
      </c>
      <c r="Q1759">
        <f>IFERROR(1/(IF(Inputs!$B$39="pvp",15,MAX(0.1,Skills!D15-IF(Skills!E15=TRUE,Inputs!$B$33,0)))*(1-IF(AND(ArtifactsInput!$M$27,Inputs!$B$4="Chapter Hunt"),CHOOSE(ArtifactsInput!$N$27+1,20,24,28,32,36,40),0)/100)),0)</f>
        <v/>
      </c>
      <c r="R1759" t="n">
        <v>0</v>
      </c>
      <c r="S1759">
        <f>IF(C1759,(Skills!F15*N1759*((IF(Inputs!$B$3&gt;=78,25,15)/100*B1779*10)/(1+IF(Inputs!$B$3&gt;=78,25,15)/100*B1779*10))*(Skills!I15/100*B1779)/(1+Skills!G15*Skills!I15/100*B1779))*IF(Inputs!$B$39="pvp",1,1+(Inputs!$B$21+Skills!O15+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1759*(1-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9">
        <f>IF(C1759,(Skills!F15*N1759*((IF(Inputs!$B$3&gt;=78,25,15)/100*B1779*10)/(1+IF(Inputs!$B$3&gt;=78,25,15)/100*B1779*10))*(Skills!I15/100*B1779)/(1+Skills!G15*Skills!I15/100*B1779))*IF(Inputs!$B$39="pvp",1,(1+(Inputs!$B$22+Skills!P15+B1775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Skills!A16</f>
        <v/>
      </c>
      <c r="B1760">
        <f>Skills!B16</f>
        <v/>
      </c>
      <c r="C1760">
        <f>Inputs!$B$3&gt;=100</f>
        <v/>
      </c>
      <c r="D1760">
        <f>IF(Skills!C16=1,60+Inputs!$B$26+Inputs!$B$30,IF(Skills!C16=2,90+Inputs!$B$27+Inputs!$B$30,IF(Skills!C16=3,120+Inputs!$B$28+Inputs!$B$30,MAX(0,(Inputs!$B$3-100)*3)+Inputs!$B$29+Inputs!$B$30)))</f>
        <v/>
      </c>
      <c r="E1760">
        <f>INDEX(FactorTable!$B$2:$Y$301, MATCH(ROUND(MIN(300,MAX(1,D1760)),0), FactorTable!$A$2:$A$301,0), Skills!L16+1)</f>
        <v/>
      </c>
      <c r="F1760">
        <f>IF(Skills!M16=TRUE,(Skills!K16/10)*(E1760/1000),Skills!K16/10)+Skills!N16</f>
        <v/>
      </c>
      <c r="G1760">
        <f>Calc!G16</f>
        <v/>
      </c>
      <c r="H1760">
        <f>Calc!H16</f>
        <v/>
      </c>
      <c r="I1760">
        <f>IF(Skills!T16&lt;&gt;"",1+(Skills!T16/10)*($Z$3/1000)/100,1)</f>
        <v/>
      </c>
      <c r="J1760" t="inlineStr"/>
      <c r="K1760" t="inlineStr"/>
      <c r="L1760" t="inlineStr"/>
      <c r="M1760" t="inlineStr"/>
      <c r="N1760" t="inlineStr"/>
      <c r="O1760">
        <f>(1-Summary!$B$11)*S1760+Summary!$B$11*U1760</f>
        <v/>
      </c>
      <c r="P1760">
        <f>IF(B1786=0,0,O1760/B1786)</f>
        <v/>
      </c>
      <c r="Q1760">
        <f>IFERROR(1/(IF(Inputs!$B$39="pvp",15,MAX(0.1,Skills!D16-IF(Skills!E16=TRUE,Inputs!$B$33,0)))*(1-IF(AND(ArtifactsInput!$M$27,Inputs!$B$4="Chapter Hunt"),CHOOSE(ArtifactsInput!$N$27+1,20,24,28,32,36,40),0)/100)),0)</f>
        <v/>
      </c>
      <c r="R1760" t="n">
        <v>0</v>
      </c>
      <c r="S1760" t="n">
        <v>0</v>
      </c>
      <c r="U1760" t="n">
        <v>0</v>
      </c>
    </row>
    <row r="1761">
      <c r="A1761">
        <f>Skills!A17</f>
        <v/>
      </c>
      <c r="B1761">
        <f>Skills!B17</f>
        <v/>
      </c>
      <c r="C1761">
        <f>Inputs!$B$3&gt;=49</f>
        <v/>
      </c>
      <c r="D1761">
        <f>IF(Skills!C17=1,60+Inputs!$B$26+Inputs!$B$30,IF(Skills!C17=2,90+Inputs!$B$27+Inputs!$B$30,IF(Skills!C17=3,120+Inputs!$B$28+Inputs!$B$30,MAX(0,(Inputs!$B$3-100)*3)+Inputs!$B$29+Inputs!$B$30)))</f>
        <v/>
      </c>
      <c r="E1761">
        <f>INDEX(FactorTable!$B$2:$Y$301, MATCH(ROUND(MIN(300,MAX(1,D1761)),0), FactorTable!$A$2:$A$301,0), Skills!L17+1)</f>
        <v/>
      </c>
      <c r="F1761">
        <f>IF(Skills!M17=TRUE,(Skills!K17/10)*(E1761/1000),Skills!K17/10)+Skills!N17</f>
        <v/>
      </c>
      <c r="G1761">
        <f>Calc!G17</f>
        <v/>
      </c>
      <c r="H1761">
        <f>Calc!H17</f>
        <v/>
      </c>
      <c r="I1761">
        <f>IF(Skills!T17&lt;&gt;"",1+(Skills!T17/10)*($Z$3/1000)/100,1)</f>
        <v/>
      </c>
      <c r="J1761" t="inlineStr"/>
      <c r="K1761" t="inlineStr"/>
      <c r="L1761" t="inlineStr"/>
      <c r="M1761" t="inlineStr"/>
      <c r="N1761" t="inlineStr"/>
      <c r="O1761">
        <f>(1-Summary!$B$11)*S1761+Summary!$B$11*U1761</f>
        <v/>
      </c>
      <c r="P1761">
        <f>IF(B1786=0,0,O1761/B1786)</f>
        <v/>
      </c>
      <c r="Q1761">
        <f>IFERROR(1/(IF(Inputs!$B$39="pvp",15,MAX(0.1,Skills!D17-IF(Skills!E17=TRUE,Inputs!$B$33,0)))*(1-IF(AND(ArtifactsInput!$M$27,Inputs!$B$4="Chapter Hunt"),CHOOSE(ArtifactsInput!$N$27+1,20,24,28,32,36,40),0)/100)),0)</f>
        <v/>
      </c>
      <c r="R1761" t="n">
        <v>0</v>
      </c>
      <c r="S1761" t="n">
        <v>0</v>
      </c>
      <c r="U1761" t="n">
        <v>0</v>
      </c>
    </row>
    <row r="1762">
      <c r="A1762">
        <f>Skills!A18</f>
        <v/>
      </c>
      <c r="B1762">
        <f>Skills!B18</f>
        <v/>
      </c>
      <c r="C1762">
        <f>Inputs!$B$3&gt;=75</f>
        <v/>
      </c>
      <c r="D1762">
        <f>IF(Skills!C18=1,60+Inputs!$B$26+Inputs!$B$30,IF(Skills!C18=2,90+Inputs!$B$27+Inputs!$B$30,IF(Skills!C18=3,120+Inputs!$B$28+Inputs!$B$30,MAX(0,(Inputs!$B$3-100)*3)+Inputs!$B$29+Inputs!$B$30)))</f>
        <v/>
      </c>
      <c r="E1762">
        <f>INDEX(FactorTable!$B$2:$Y$301, MATCH(ROUND(MIN(300,MAX(1,D1762)),0), FactorTable!$A$2:$A$301,0), Skills!L18+1)</f>
        <v/>
      </c>
      <c r="F1762">
        <f>IF(Skills!M18=TRUE,(Skills!K18/10)*(E1762/1000),Skills!K18/10)+Skills!N18</f>
        <v/>
      </c>
      <c r="G1762">
        <f>Calc!G18</f>
        <v/>
      </c>
      <c r="H1762">
        <f>Calc!H18</f>
        <v/>
      </c>
      <c r="I1762">
        <f>IF(Skills!T18&lt;&gt;"",1+(Skills!T18/10)*($Z$3/1000)/100,1)</f>
        <v/>
      </c>
      <c r="J1762" t="inlineStr"/>
      <c r="K1762" t="inlineStr"/>
      <c r="L1762" t="inlineStr"/>
      <c r="M1762" t="inlineStr"/>
      <c r="N1762" t="inlineStr"/>
      <c r="O1762">
        <f>(1-Summary!$B$11)*S1762+Summary!$B$11*U1762</f>
        <v/>
      </c>
      <c r="P1762">
        <f>IF(B1786=0,0,O1762/B1786)</f>
        <v/>
      </c>
      <c r="Q1762">
        <f>IFERROR(1/(IF(Inputs!$B$39="pvp",15,MAX(0.1,Skills!D18-IF(Skills!E18=TRUE,Inputs!$B$33,0)))*(1-IF(AND(ArtifactsInput!$M$27,Inputs!$B$4="Chapter Hunt"),CHOOSE(ArtifactsInput!$N$27+1,20,24,28,32,36,40),0)/100)),0)</f>
        <v/>
      </c>
      <c r="R1762" t="n">
        <v>0</v>
      </c>
      <c r="S1762" t="n">
        <v>0</v>
      </c>
      <c r="U1762" t="n">
        <v>0</v>
      </c>
    </row>
    <row r="1763">
      <c r="A1763">
        <f>Skills!A19</f>
        <v/>
      </c>
      <c r="B1763">
        <f>Skills!B19</f>
        <v/>
      </c>
      <c r="C1763">
        <f>Inputs!$B$3&gt;=110</f>
        <v/>
      </c>
      <c r="D1763">
        <f>IF(Skills!C19=1,60+Inputs!$B$26+Inputs!$B$30,IF(Skills!C19=2,90+Inputs!$B$27+Inputs!$B$30,IF(Skills!C19=3,120+Inputs!$B$28+Inputs!$B$30,MAX(0,(Inputs!$B$3-100)*3)+Inputs!$B$29+Inputs!$B$30)))</f>
        <v/>
      </c>
      <c r="E1763">
        <f>INDEX(FactorTable!$B$2:$Y$301, MATCH(ROUND(MIN(300,MAX(1,D1763)),0), FactorTable!$A$2:$A$301,0), Skills!L19+1)</f>
        <v/>
      </c>
      <c r="F1763">
        <f>(Skills!K19/10)*(E1763/1000)*64/45+Skills!N19</f>
        <v/>
      </c>
      <c r="G1763">
        <f>Calc!G19</f>
        <v/>
      </c>
      <c r="H1763">
        <f>Calc!H19</f>
        <v/>
      </c>
      <c r="I1763">
        <f>IF(Skills!T19&lt;&gt;"",1+(Skills!T19/10)*($Z$3/1000)/100,1)</f>
        <v/>
      </c>
      <c r="J1763" t="inlineStr"/>
      <c r="K1763" t="inlineStr"/>
      <c r="L1763" t="inlineStr"/>
      <c r="M1763" t="inlineStr"/>
      <c r="N1763" t="inlineStr"/>
      <c r="O1763">
        <f>(1-Summary!$B$11)*S1763+Summary!$B$11*U1763</f>
        <v/>
      </c>
      <c r="P1763">
        <f>IF(B1786=0,0,O1763/B1786)</f>
        <v/>
      </c>
      <c r="Q1763">
        <f>IFERROR(1/(IF(Inputs!$B$39="pvp",15,MAX(0.1,Skills!D19-IF(Skills!E19=TRUE,Inputs!$B$33,0)))*(1-IF(AND(ArtifactsInput!$M$27,Inputs!$B$4="Chapter Hunt"),CHOOSE(ArtifactsInput!$N$27+1,20,24,28,32,36,40),0)/100)),0)</f>
        <v/>
      </c>
      <c r="R1763">
        <f>IF(AND(Inputs!$B$39&lt;&gt;"pvp",Inputs!$B$44&gt;0),IF(Inputs!$B$44&lt;=0,0,(INT(Inputs!$B$44/(IF(Inputs!$B$39="pvp",15,MAX(0.1,Skills!D19-IF(Skills!E19=TRUE,Inputs!$B$33,0)))*(1-IF(AND(ArtifactsInput!$M$27,Inputs!$B$4="Chapter Hunt"),CHOOSE(ArtifactsInput!$N$27+1,20,24,28,32,36,40),0)/100)))+1)),0)</f>
        <v/>
      </c>
      <c r="S1763" t="n">
        <v>0</v>
      </c>
      <c r="U1763" t="n">
        <v>0</v>
      </c>
    </row>
    <row r="1764">
      <c r="A1764">
        <f>Skills!A20</f>
        <v/>
      </c>
      <c r="B1764">
        <f>Skills!B20</f>
        <v/>
      </c>
      <c r="C1764">
        <f>Inputs!$B$3&gt;=125</f>
        <v/>
      </c>
      <c r="D1764">
        <f>IF(Skills!C20=1,60+Inputs!$B$26+Inputs!$B$30,IF(Skills!C20=2,90+Inputs!$B$27+Inputs!$B$30,IF(Skills!C20=3,120+Inputs!$B$28+Inputs!$B$30,MAX(0,(Inputs!$B$3-100)*3)+Inputs!$B$29+Inputs!$B$30)))</f>
        <v/>
      </c>
      <c r="E1764">
        <f>INDEX(FactorTable!$B$2:$Y$301, MATCH(ROUND(MIN(300,MAX(1,D1764)),0), FactorTable!$A$2:$A$301,0), Skills!L20+1)</f>
        <v/>
      </c>
      <c r="F1764">
        <f>IF(Skills!M20=TRUE,(Skills!K20/10)*(E1764/1000),Skills!K20/10)+Skills!N20</f>
        <v/>
      </c>
      <c r="G1764">
        <f>Calc!G20</f>
        <v/>
      </c>
      <c r="H1764">
        <f>Calc!H20</f>
        <v/>
      </c>
      <c r="I1764">
        <f>IF(Skills!T20&lt;&gt;"",1+(Skills!T20/10)*($Z$3/1000)/100,1)</f>
        <v/>
      </c>
      <c r="J1764" t="inlineStr"/>
      <c r="K1764" t="inlineStr"/>
      <c r="L1764" t="inlineStr"/>
      <c r="M1764" t="inlineStr"/>
      <c r="N1764" t="inlineStr"/>
      <c r="O1764">
        <f>(1-Summary!$B$11)*S1764+Summary!$B$11*U1764</f>
        <v/>
      </c>
      <c r="P1764">
        <f>IF(B1786=0,0,O1764/B1786)</f>
        <v/>
      </c>
      <c r="Q1764">
        <f>IFERROR(1/(IF(Inputs!$B$39="pvp",15,MAX(0.1,Skills!D20-IF(Skills!E20=TRUE,Inputs!$B$33,0)))*(1-IF(AND(ArtifactsInput!$M$27,Inputs!$B$4="Chapter Hunt"),CHOOSE(ArtifactsInput!$N$27+1,20,24,28,32,36,40),0)/100)),0)</f>
        <v/>
      </c>
      <c r="R1764" t="n">
        <v>0</v>
      </c>
      <c r="S1764" t="n">
        <v>0</v>
      </c>
      <c r="U1764" t="n">
        <v>0</v>
      </c>
    </row>
    <row r="1765">
      <c r="A1765">
        <f>Skills!A21</f>
        <v/>
      </c>
      <c r="B1765">
        <f>Skills!B21</f>
        <v/>
      </c>
      <c r="C1765">
        <f>Inputs!$B$3&gt;=33</f>
        <v/>
      </c>
      <c r="D1765">
        <f>IF(Skills!C21=1,60+Inputs!$B$26+Inputs!$B$30,IF(Skills!C21=2,90+Inputs!$B$27+Inputs!$B$30,IF(Skills!C21=3,120+Inputs!$B$28+Inputs!$B$30,MAX(0,(Inputs!$B$3-100)*3)+Inputs!$B$29+Inputs!$B$30)))</f>
        <v/>
      </c>
      <c r="E1765">
        <f>INDEX(FactorTable!$B$2:$Y$301, MATCH(ROUND(MIN(300,MAX(1,D1765)),0), FactorTable!$A$2:$A$301,0), Skills!L21+1)</f>
        <v/>
      </c>
      <c r="F1765">
        <f>IF(Skills!M21=TRUE,(Skills!K21/10)*(E1765/1000),Skills!K21/10)+Skills!N21</f>
        <v/>
      </c>
      <c r="G1765">
        <f>Calc!G21</f>
        <v/>
      </c>
      <c r="H1765">
        <f>Calc!H21</f>
        <v/>
      </c>
      <c r="I1765">
        <f>IF(Skills!T21&lt;&gt;"",1+(Skills!T21/10)*($Z$3/1000)/100,1)</f>
        <v/>
      </c>
      <c r="J1765" t="inlineStr"/>
      <c r="K1765" t="inlineStr"/>
      <c r="L1765" t="inlineStr"/>
      <c r="M1765" t="inlineStr"/>
      <c r="N1765" t="inlineStr"/>
      <c r="O1765">
        <f>(1-Summary!$B$11)*S1765+Summary!$B$11*U1765</f>
        <v/>
      </c>
      <c r="P1765">
        <f>IF(B1786=0,0,O1765/B1786)</f>
        <v/>
      </c>
      <c r="Q1765">
        <f>IFERROR(1/(IF(Inputs!$B$39="pvp",15,MAX(0.1,Skills!D21-IF(Skills!E21=TRUE,Inputs!$B$33,0)))*(1-IF(AND(ArtifactsInput!$M$27,Inputs!$B$4="Chapter Hunt"),CHOOSE(ArtifactsInput!$N$27+1,20,24,28,32,36,40),0)/100)),0)</f>
        <v/>
      </c>
      <c r="R1765" t="n">
        <v>0</v>
      </c>
      <c r="S1765" t="n">
        <v>0</v>
      </c>
      <c r="U1765" t="n">
        <v>0</v>
      </c>
    </row>
    <row r="1766">
      <c r="A1766">
        <f>Skills!A22</f>
        <v/>
      </c>
      <c r="B1766">
        <f>Skills!B22</f>
        <v/>
      </c>
      <c r="C1766">
        <f>Inputs!$B$3&gt;=43</f>
        <v/>
      </c>
      <c r="D1766">
        <f>IF(Skills!C22=1,60+Inputs!$B$26+Inputs!$B$30,IF(Skills!C22=2,90+Inputs!$B$27+Inputs!$B$30,IF(Skills!C22=3,120+Inputs!$B$28+Inputs!$B$30,MAX(0,(Inputs!$B$3-100)*3)+Inputs!$B$29+Inputs!$B$30)))</f>
        <v/>
      </c>
      <c r="E1766">
        <f>INDEX(FactorTable!$B$2:$Y$301, MATCH(ROUND(MIN(300,MAX(1,D1766)),0), FactorTable!$A$2:$A$301,0), Skills!L22+1)</f>
        <v/>
      </c>
      <c r="F1766">
        <f>IF(Skills!M22=TRUE,(Skills!K22/10)*(E1766/1000),Skills!K22/10)+Skills!N22</f>
        <v/>
      </c>
      <c r="G1766">
        <f>Calc!G22</f>
        <v/>
      </c>
      <c r="H1766">
        <f>Calc!H22</f>
        <v/>
      </c>
      <c r="I1766">
        <f>IF(Skills!T22&lt;&gt;"",1+(Skills!T22/10)*($Z$3/1000)/100,1)</f>
        <v/>
      </c>
      <c r="J1766" t="inlineStr"/>
      <c r="K1766" t="inlineStr"/>
      <c r="L1766" t="inlineStr"/>
      <c r="M1766" t="inlineStr"/>
      <c r="N1766" t="inlineStr"/>
      <c r="O1766">
        <f>(1-Summary!$B$11)*S1766+Summary!$B$11*U1766</f>
        <v/>
      </c>
      <c r="P1766">
        <f>IF(B1786=0,0,O1766/B1786)</f>
        <v/>
      </c>
      <c r="Q1766">
        <f>IFERROR(1/(IF(Inputs!$B$39="pvp",15,MAX(0.1,Skills!D22-IF(Skills!E22=TRUE,Inputs!$B$33,0)))*(1-IF(AND(ArtifactsInput!$M$27,Inputs!$B$4="Chapter Hunt"),CHOOSE(ArtifactsInput!$N$27+1,20,24,28,32,36,40),0)/100)),0)</f>
        <v/>
      </c>
      <c r="R1766" t="n">
        <v>0</v>
      </c>
      <c r="S1766" t="n">
        <v>0</v>
      </c>
      <c r="U1766" t="n">
        <v>0</v>
      </c>
    </row>
    <row r="1767">
      <c r="A1767">
        <f>Skills!A23</f>
        <v/>
      </c>
      <c r="B1767">
        <f>Skills!B23</f>
        <v/>
      </c>
      <c r="C1767">
        <f>Inputs!$B$3&gt;=50</f>
        <v/>
      </c>
      <c r="D1767">
        <f>IF(Skills!C23=1,60+Inputs!$B$26+Inputs!$B$30,IF(Skills!C23=2,90+Inputs!$B$27+Inputs!$B$30,IF(Skills!C23=3,120+Inputs!$B$28+Inputs!$B$30,MAX(0,(Inputs!$B$3-100)*3)+Inputs!$B$29+Inputs!$B$30)))</f>
        <v/>
      </c>
      <c r="E1767">
        <f>INDEX(FactorTable!$B$2:$Y$301, MATCH(ROUND(MIN(300,MAX(1,D1767)),0), FactorTable!$A$2:$A$301,0), Skills!L23+1)</f>
        <v/>
      </c>
      <c r="F1767">
        <f>IF(Skills!M23=TRUE,(Skills!K23/10)*(E1767/1000),Skills!K23/10)+Skills!N23</f>
        <v/>
      </c>
      <c r="G1767">
        <f>Calc!G23</f>
        <v/>
      </c>
      <c r="H1767">
        <f>Calc!H23</f>
        <v/>
      </c>
      <c r="I1767">
        <f>IF(Skills!T23&lt;&gt;"",1+(Skills!T23/10)*($Z$3/1000)/100,1)</f>
        <v/>
      </c>
      <c r="J1767" t="inlineStr"/>
      <c r="K1767" t="inlineStr"/>
      <c r="L1767" t="inlineStr"/>
      <c r="M1767" t="inlineStr"/>
      <c r="N1767" t="inlineStr"/>
      <c r="O1767">
        <f>(1-Summary!$B$11)*S1767+Summary!$B$11*U1767</f>
        <v/>
      </c>
      <c r="P1767">
        <f>IF(B1786=0,0,O1767/B1786)</f>
        <v/>
      </c>
      <c r="Q1767">
        <f>IFERROR(1/(IF(Inputs!$B$39="pvp",15,MAX(0.1,Skills!D23-IF(Skills!E23=TRUE,Inputs!$B$33,0)))*(1-IF(AND(ArtifactsInput!$M$27,Inputs!$B$4="Chapter Hunt"),CHOOSE(ArtifactsInput!$N$27+1,20,24,28,32,36,40),0)/100)),0)</f>
        <v/>
      </c>
      <c r="R1767" t="n">
        <v>0</v>
      </c>
      <c r="S1767" t="n">
        <v>0</v>
      </c>
      <c r="U1767" t="n">
        <v>0</v>
      </c>
    </row>
    <row r="1768">
      <c r="A1768">
        <f>Skills!A24</f>
        <v/>
      </c>
      <c r="B1768">
        <f>Skills!B24</f>
        <v/>
      </c>
      <c r="C1768">
        <f>Inputs!$B$3&gt;=74</f>
        <v/>
      </c>
      <c r="D1768">
        <f>IF(Skills!C24=1,60+Inputs!$B$26+Inputs!$B$30,IF(Skills!C24=2,90+Inputs!$B$27+Inputs!$B$30,IF(Skills!C24=3,120+Inputs!$B$28+Inputs!$B$30,MAX(0,(Inputs!$B$3-100)*3)+Inputs!$B$29+Inputs!$B$30)))</f>
        <v/>
      </c>
      <c r="E1768">
        <f>INDEX(FactorTable!$B$2:$Y$301, MATCH(ROUND(MIN(300,MAX(1,D1768)),0), FactorTable!$A$2:$A$301,0), Skills!L24+1)</f>
        <v/>
      </c>
      <c r="F1768">
        <f>IF(Skills!M24=TRUE,(Skills!K24/10)*(E1768/1000),Skills!K24/10)+Skills!N24</f>
        <v/>
      </c>
      <c r="G1768">
        <f>Calc!G24</f>
        <v/>
      </c>
      <c r="H1768">
        <f>Calc!H24</f>
        <v/>
      </c>
      <c r="I1768">
        <f>IF(Skills!T24&lt;&gt;"",1+(Skills!T24/10)*($Z$3/1000)/100,1)</f>
        <v/>
      </c>
      <c r="J1768" t="inlineStr"/>
      <c r="K1768" t="inlineStr"/>
      <c r="L1768" t="inlineStr"/>
      <c r="M1768" t="inlineStr"/>
      <c r="N1768" t="inlineStr"/>
      <c r="O1768">
        <f>(1-Summary!$B$11)*S1768+Summary!$B$11*U1768</f>
        <v/>
      </c>
      <c r="P1768">
        <f>IF(B1786=0,0,O1768/B1786)</f>
        <v/>
      </c>
      <c r="Q1768">
        <f>IFERROR(1/(IF(Inputs!$B$39="pvp",15,MAX(0.1,Skills!D24-IF(Skills!E24=TRUE,Inputs!$B$33,0)))*(1-IF(AND(ArtifactsInput!$M$27,Inputs!$B$4="Chapter Hunt"),CHOOSE(ArtifactsInput!$N$27+1,20,24,28,32,36,40),0)/100)),0)</f>
        <v/>
      </c>
      <c r="R1768" t="n">
        <v>0</v>
      </c>
      <c r="S1768" t="n">
        <v>0</v>
      </c>
      <c r="U1768" t="n">
        <v>0</v>
      </c>
    </row>
    <row r="1769">
      <c r="A1769">
        <f>Skills!A25</f>
        <v/>
      </c>
      <c r="B1769">
        <f>Skills!B25</f>
        <v/>
      </c>
      <c r="C1769">
        <f>Inputs!$B$3&gt;=74</f>
        <v/>
      </c>
      <c r="D1769">
        <f>IF(Skills!C25=1,60+Inputs!$B$26+Inputs!$B$30,IF(Skills!C25=2,90+Inputs!$B$27+Inputs!$B$30,IF(Skills!C25=3,120+Inputs!$B$28+Inputs!$B$30,MAX(0,(Inputs!$B$3-100)*3)+Inputs!$B$29+Inputs!$B$30)))</f>
        <v/>
      </c>
      <c r="E1769">
        <f>INDEX(FactorTable!$B$2:$Y$301, MATCH(ROUND(MIN(300,MAX(1,D1769)),0), FactorTable!$A$2:$A$301,0), Skills!L25+1)</f>
        <v/>
      </c>
      <c r="F1769">
        <f>IF(Skills!M25=TRUE,(Skills!K25/10)*(E1769/1000),Skills!K25/10)+Skills!N25</f>
        <v/>
      </c>
      <c r="G1769">
        <f>Calc!G25</f>
        <v/>
      </c>
      <c r="H1769">
        <f>Calc!H25</f>
        <v/>
      </c>
      <c r="I1769">
        <f>IF(Skills!T25&lt;&gt;"",1+(Skills!T25/10)*($Z$3/1000)/100,1)</f>
        <v/>
      </c>
      <c r="J1769" t="inlineStr"/>
      <c r="K1769" t="inlineStr"/>
      <c r="L1769" t="inlineStr"/>
      <c r="M1769" t="inlineStr"/>
      <c r="N1769" t="inlineStr"/>
      <c r="O1769">
        <f>(1-Summary!$B$11)*S1769+Summary!$B$11*U1769</f>
        <v/>
      </c>
      <c r="P1769">
        <f>IF(B1786=0,0,O1769/B1786)</f>
        <v/>
      </c>
      <c r="Q1769">
        <f>IFERROR(1/(IF(Inputs!$B$39="pvp",15,MAX(0.1,Skills!D25-IF(Skills!E25=TRUE,Inputs!$B$33,0)))*(1-IF(AND(ArtifactsInput!$M$27,Inputs!$B$4="Chapter Hunt"),CHOOSE(ArtifactsInput!$N$27+1,20,24,28,32,36,40),0)/100)),0)</f>
        <v/>
      </c>
      <c r="R1769" t="n">
        <v>0</v>
      </c>
      <c r="S1769" t="n">
        <v>0</v>
      </c>
      <c r="U1769" t="n">
        <v>0</v>
      </c>
    </row>
    <row r="1770">
      <c r="A1770">
        <f>Skills!A26</f>
        <v/>
      </c>
      <c r="B1770">
        <f>Skills!B26</f>
        <v/>
      </c>
      <c r="C1770">
        <f>Inputs!$B$3&gt;=117</f>
        <v/>
      </c>
      <c r="D1770">
        <f>IF(Skills!C26=1,60+Inputs!$B$26+Inputs!$B$30,IF(Skills!C26=2,90+Inputs!$B$27+Inputs!$B$30,IF(Skills!C26=3,120+Inputs!$B$28+Inputs!$B$30,MAX(0,(Inputs!$B$3-100)*3)+Inputs!$B$29+Inputs!$B$30)))</f>
        <v/>
      </c>
      <c r="E1770">
        <f>INDEX(FactorTable!$B$2:$Y$301, MATCH(ROUND(MIN(300,MAX(1,D1770)),0), FactorTable!$A$2:$A$301,0), Skills!L26+1)</f>
        <v/>
      </c>
      <c r="F1770">
        <f>IF(Skills!M26=TRUE,(Skills!K26/10)*(E1770/1000),Skills!K26/10)+Skills!N26</f>
        <v/>
      </c>
      <c r="G1770">
        <f>Calc!G26</f>
        <v/>
      </c>
      <c r="H1770">
        <f>Calc!H26</f>
        <v/>
      </c>
      <c r="I1770">
        <f>IF(Skills!T26&lt;&gt;"",1+(Skills!T26/10)*($Z$3/1000)/100,1)</f>
        <v/>
      </c>
      <c r="J1770" t="inlineStr"/>
      <c r="K1770" t="inlineStr"/>
      <c r="L1770" t="inlineStr"/>
      <c r="M1770" t="inlineStr"/>
      <c r="N1770" t="inlineStr"/>
      <c r="O1770">
        <f>(1-Summary!$B$11)*S1770+Summary!$B$11*U1770</f>
        <v/>
      </c>
      <c r="P1770">
        <f>IF(B1786=0,0,O1770/B1786)</f>
        <v/>
      </c>
      <c r="Q1770">
        <f>IFERROR(1/(IF(Inputs!$B$39="pvp",15,MAX(0.1,Skills!D26-IF(Skills!E26=TRUE,Inputs!$B$33,0)))*(1-IF(AND(ArtifactsInput!$M$27,Inputs!$B$4="Chapter Hunt"),CHOOSE(ArtifactsInput!$N$27+1,20,24,28,32,36,40),0)/100)),0)</f>
        <v/>
      </c>
      <c r="R1770" t="n">
        <v>0</v>
      </c>
      <c r="S1770" t="n">
        <v>0</v>
      </c>
      <c r="U1770" t="n">
        <v>0</v>
      </c>
    </row>
    <row r="1771">
      <c r="A1771">
        <f>Skills!A27</f>
        <v/>
      </c>
      <c r="B1771">
        <f>Skills!B27</f>
        <v/>
      </c>
      <c r="C1771">
        <f>Inputs!$B$3&gt;=120</f>
        <v/>
      </c>
      <c r="D1771">
        <f>IF(Skills!C27=1,60+Inputs!$B$26+Inputs!$B$30,IF(Skills!C27=2,90+Inputs!$B$27+Inputs!$B$30,IF(Skills!C27=3,120+Inputs!$B$28+Inputs!$B$30,MAX(0,(Inputs!$B$3-100)*3)+Inputs!$B$29+Inputs!$B$30)))</f>
        <v/>
      </c>
      <c r="E1771">
        <f>INDEX(FactorTable!$B$2:$Y$301, MATCH(ROUND(MIN(300,MAX(1,D1771)),0), FactorTable!$A$2:$A$301,0), Skills!L27+1)</f>
        <v/>
      </c>
      <c r="F1771">
        <f>IF(Skills!M27=TRUE,(Skills!K27/10)*(E1771/1000),Skills!K27/10)+Skills!N27</f>
        <v/>
      </c>
      <c r="G1771">
        <f>Calc!G27</f>
        <v/>
      </c>
      <c r="H1771">
        <f>Calc!H27</f>
        <v/>
      </c>
      <c r="I1771">
        <f>IF(Skills!T27&lt;&gt;"",1+(Skills!T27/10)*($Z$3/1000)/100,1)</f>
        <v/>
      </c>
      <c r="J1771" t="inlineStr"/>
      <c r="K1771" t="inlineStr"/>
      <c r="L1771" t="inlineStr"/>
      <c r="M1771" t="inlineStr"/>
      <c r="N1771" t="inlineStr"/>
      <c r="O1771">
        <f>(1-Summary!$B$11)*S1771+Summary!$B$11*U1771</f>
        <v/>
      </c>
      <c r="P1771">
        <f>IF(B1786=0,0,O1771/B1786)</f>
        <v/>
      </c>
      <c r="Q1771">
        <f>IFERROR(1/(IF(Inputs!$B$39="pvp",15,MAX(0.1,Skills!D27-IF(Skills!E27=TRUE,Inputs!$B$33,0)))*(1-IF(AND(ArtifactsInput!$M$27,Inputs!$B$4="Chapter Hunt"),CHOOSE(ArtifactsInput!$N$27+1,20,24,28,32,36,40),0)/100)),0)</f>
        <v/>
      </c>
      <c r="R1771" t="n">
        <v>0</v>
      </c>
      <c r="S1771" t="n">
        <v>0</v>
      </c>
      <c r="U1771" t="n">
        <v>0</v>
      </c>
    </row>
    <row r="1773">
      <c r="A1773" t="inlineStr">
        <is>
          <t>Average Buff Multiplier</t>
        </is>
      </c>
      <c r="B1773">
        <f>(1+(IF(C1747=TRUE,F1747*IF(AND(Inputs!$B$39&lt;&gt;"pvp",Inputs!$B$44&gt;0),(((R1747-1)*(Skills!S3*(1+((Inputs!$B$35+(ArtifactsInput!$M$7-ArtifactsInput!$M$7)*CHOOSE(ArtifactsInput!$N$7+1,6,7.2,8.4,9.6,10.8,12))+IF(Inputs!$B$3&gt;=117,F1770,0))/100))+MIN((Skills!S3*(1+((Inputs!$B$35+(ArtifactsInput!$M$7-ArtifactsInput!$M$7)*CHOOSE(ArtifactsInput!$N$7+1,6,7.2,8.4,9.6,10.8,12))+IF(Inputs!$B$3&gt;=117,F1770,0))/100)),MAX(0,Inputs!$B$44-((R1747-1)*Skills!D3))))/Inputs!$B$44),IF(Inputs!$B$39="pvp",MIN((Skills!S3*(1+((Inputs!$B$35+(ArtifactsInput!$M$7-ArtifactsInput!$M$7)*CHOOSE(ArtifactsInput!$N$7+1,6,7.2,8.4,9.6,10.8,12))+IF(Inputs!$B$3&gt;=117,F1770,0))/100)),15)/15,(Skills!S3*(1+((Inputs!$B$35+(ArtifactsInput!$M$7-ArtifactsInput!$M$7)*CHOOSE(ArtifactsInput!$N$7+1,6,7.2,8.4,9.6,10.8,12))+IF(Inputs!$B$3&gt;=117,F1770,0))/100))/Skills!D3)),0)+IF(C1748=TRUE,F1748*IF(AND(Inputs!$B$39&lt;&gt;"pvp",Inputs!$B$44&gt;0),(((R1748-1)*(Skills!S4*(1+((Inputs!$B$35+(ArtifactsInput!$M$7-ArtifactsInput!$M$7)*CHOOSE(ArtifactsInput!$N$7+1,6,7.2,8.4,9.6,10.8,12))+IF(Inputs!$B$3&gt;=117,F1770,0))/100))+MIN((Skills!S4*(1+((Inputs!$B$35+(ArtifactsInput!$M$7-ArtifactsInput!$M$7)*CHOOSE(ArtifactsInput!$N$7+1,6,7.2,8.4,9.6,10.8,12))+IF(Inputs!$B$3&gt;=117,F1770,0))/100)),MAX(0,Inputs!$B$44-((R1748-1)*Skills!D4))))/Inputs!$B$44),IF(Inputs!$B$39="pvp",MIN((Skills!S4*(1+((Inputs!$B$35+(ArtifactsInput!$M$7-ArtifactsInput!$M$7)*CHOOSE(ArtifactsInput!$N$7+1,6,7.2,8.4,9.6,10.8,12))+IF(Inputs!$B$3&gt;=117,F1770,0))/100)),15)/15,(Skills!S4*(1+((Inputs!$B$35+(ArtifactsInput!$M$7-ArtifactsInput!$M$7)*CHOOSE(ArtifactsInput!$N$7+1,6,7.2,8.4,9.6,10.8,12))+IF(Inputs!$B$3&gt;=117,F1770,0))/100))/Skills!D4)),0)+IF(C1749=TRUE,F1749*IF(AND(Inputs!$B$39&lt;&gt;"pvp",Inputs!$B$44&gt;0),(((R1749-1)*(Skills!S5*(1+((Inputs!$B$35+(ArtifactsInput!$M$7-ArtifactsInput!$M$7)*CHOOSE(ArtifactsInput!$N$7+1,6,7.2,8.4,9.6,10.8,12))+IF(Inputs!$B$3&gt;=117,F1770,0))/100))+MIN((Skills!S5*(1+((Inputs!$B$35+(ArtifactsInput!$M$7-ArtifactsInput!$M$7)*CHOOSE(ArtifactsInput!$N$7+1,6,7.2,8.4,9.6,10.8,12))+IF(Inputs!$B$3&gt;=117,F1770,0))/100)),MAX(0,Inputs!$B$44-((R1749-1)*Skills!D5))))/Inputs!$B$44),IF(Inputs!$B$39="pvp",MIN((Skills!S5*(1+((Inputs!$B$35+(ArtifactsInput!$M$7-ArtifactsInput!$M$7)*CHOOSE(ArtifactsInput!$N$7+1,6,7.2,8.4,9.6,10.8,12))+IF(Inputs!$B$3&gt;=117,F1770,0))/100)),15)/15,(Skills!S5*(1+((Inputs!$B$35+(ArtifactsInput!$M$7-ArtifactsInput!$M$7)*CHOOSE(ArtifactsInput!$N$7+1,6,7.2,8.4,9.6,10.8,12))+IF(Inputs!$B$3&gt;=117,F1770,0))/100))/Skills!D5)),0)+IF(C1755=TRUE,F1755*IF(AND(Inputs!$B$39&lt;&gt;"pvp",Inputs!$B$44&gt;0),(((R1755-1)*(Skills!S11*(1+((Inputs!$B$35+(ArtifactsInput!$M$7-ArtifactsInput!$M$7)*CHOOSE(ArtifactsInput!$N$7+1,6,7.2,8.4,9.6,10.8,12))+IF(Inputs!$B$3&gt;=117,F1770,0))/100))+MIN((Skills!S11*(1+((Inputs!$B$35+(ArtifactsInput!$M$7-ArtifactsInput!$M$7)*CHOOSE(ArtifactsInput!$N$7+1,6,7.2,8.4,9.6,10.8,12))+IF(Inputs!$B$3&gt;=117,F1770,0))/100)),MAX(0,Inputs!$B$44-((R1755-1)*Skills!D11))))/Inputs!$B$44),IF(Inputs!$B$39="pvp",MIN((Skills!S11*(1+((Inputs!$B$35+(ArtifactsInput!$M$7-ArtifactsInput!$M$7)*CHOOSE(ArtifactsInput!$N$7+1,6,7.2,8.4,9.6,10.8,12))+IF(Inputs!$B$3&gt;=117,F1770,0))/100)),15)/15,(Skills!S11*(1+((Inputs!$B$35+(ArtifactsInput!$M$7-ArtifactsInput!$M$7)*CHOOSE(ArtifactsInput!$N$7+1,6,7.2,8.4,9.6,10.8,12))+IF(Inputs!$B$3&gt;=117,F1770,0)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1758=TRUE,(1+F1758*IF(AND(Inputs!$B$39&lt;&gt;"pvp",Inputs!$B$44&gt;0),(((R1758-1)*(Skills!S14*(1+((Inputs!$B$35+(ArtifactsInput!$M$7-ArtifactsInput!$M$7)*CHOOSE(ArtifactsInput!$N$7+1,6,7.2,8.4,9.6,10.8,12))+IF(Inputs!$B$3&gt;=117,F1770,0))/100))+MIN((Skills!S14*(1+((Inputs!$B$35+(ArtifactsInput!$M$7-ArtifactsInput!$M$7)*CHOOSE(ArtifactsInput!$N$7+1,6,7.2,8.4,9.6,10.8,12))+IF(Inputs!$B$3&gt;=117,F1770,0))/100)),MAX(0,Inputs!$B$44-((R1758-1)*Skills!D14))))/Inputs!$B$44),IF(Inputs!$B$39="pvp",MIN((Skills!S14*(1+((Inputs!$B$35+(ArtifactsInput!$M$7-ArtifactsInput!$M$7)*CHOOSE(ArtifactsInput!$N$7+1,6,7.2,8.4,9.6,10.8,12))+IF(Inputs!$B$3&gt;=117,F1770,0))/100)),15)/15,(Skills!S14*(1+((Inputs!$B$35+(ArtifactsInput!$M$7-ArtifactsInput!$M$7)*CHOOSE(ArtifactsInput!$N$7+1,6,7.2,8.4,9.6,10.8,12))+IF(Inputs!$B$3&gt;=117,F1770,0))/100))/Skills!D14))/100),1)*IF(C1763=TRUE,(1+F1763*IF(AND(Inputs!$B$39&lt;&gt;"pvp",Inputs!$B$44&gt;0),(((R1763-1)*(Skills!S19*(1+((Inputs!$B$35+(ArtifactsInput!$M$7-ArtifactsInput!$M$7)*CHOOSE(ArtifactsInput!$N$7+1,6,7.2,8.4,9.6,10.8,12))+IF(Inputs!$B$3&gt;=117,F1770,0))/100))+MIN((Skills!S19*(1+((Inputs!$B$35+(ArtifactsInput!$M$7-ArtifactsInput!$M$7)*CHOOSE(ArtifactsInput!$N$7+1,6,7.2,8.4,9.6,10.8,12))+IF(Inputs!$B$3&gt;=117,F1770,0))/100)),MAX(0,Inputs!$B$44-((R1763-1)*Skills!D19))))/Inputs!$B$44),IF(Inputs!$B$39="pvp",MIN((Skills!S19*(1+((Inputs!$B$35+(ArtifactsInput!$M$7-ArtifactsInput!$M$7)*CHOOSE(ArtifactsInput!$N$7+1,6,7.2,8.4,9.6,10.8,12))+IF(Inputs!$B$3&gt;=117,F1770,0))/100)),15)/15,(Skills!S19*(1+((Inputs!$B$35+(ArtifactsInput!$M$7-ArtifactsInput!$M$7)*CHOOSE(ArtifactsInput!$N$7+1,6,7.2,8.4,9.6,10.8,12))+IF(Inputs!$B$3&gt;=117,F1770,0))/100))/Skills!D19))/100),1)</f>
        <v/>
      </c>
    </row>
    <row r="1774">
      <c r="A1774" t="inlineStr">
        <is>
          <t>Monster Damage Taken Bonus % (Holy Fountain)</t>
        </is>
      </c>
      <c r="B1774">
        <f>IF(Inputs!$B$3&gt;=68,20*IF(Inputs!$B$39="pvp",MIN((15*(1+((Inputs!$B$35+(ArtifactsInput!$M$7-ArtifactsInput!$M$7)*CHOOSE(ArtifactsInput!$N$7+1,6,7.2,8.4,9.6,10.8,12))+IF(Inputs!$B$3&gt;=117,F1770,0))/100)),15)/15,(15*(1+((Inputs!$B$35+(ArtifactsInput!$M$7-ArtifactsInput!$M$7)*CHOOSE(ArtifactsInput!$N$7+1,6,7.2,8.4,9.6,10.8,12))+IF(Inputs!$B$3&gt;=117,F1770,0))/100))/Skills!D10),0)</f>
        <v/>
      </c>
    </row>
    <row r="1775">
      <c r="A1775" t="inlineStr">
        <is>
          <t>Normal Monster Damage Bonus % (Holy Symbol)</t>
        </is>
      </c>
      <c r="B1775">
        <f>IF(C1756=TRUE,F1756*IF(AND(Inputs!$B$39&lt;&gt;"pvp",Inputs!$B$44&gt;0),(((R1756-1)*(Skills!S12*(1+((Inputs!$B$35+(ArtifactsInput!$M$7-ArtifactsInput!$M$7)*CHOOSE(ArtifactsInput!$N$7+1,6,7.2,8.4,9.6,10.8,12))+IF(Inputs!$B$3&gt;=117,F1770,0))/100))+MIN((Skills!S12*(1+((Inputs!$B$35+(ArtifactsInput!$M$7-ArtifactsInput!$M$7)*CHOOSE(ArtifactsInput!$N$7+1,6,7.2,8.4,9.6,10.8,12))+IF(Inputs!$B$3&gt;=117,F1770,0))/100)),MAX(0,Inputs!$B$44-((R1756-1)*Skills!D12))))/Inputs!$B$44),IF(Inputs!$B$39="pvp",MIN((Skills!S12*(1+((Inputs!$B$35+(ArtifactsInput!$M$7-ArtifactsInput!$M$7)*CHOOSE(ArtifactsInput!$N$7+1,6,7.2,8.4,9.6,10.8,12))+IF(Inputs!$B$3&gt;=117,F1770,0))/100)),15)/15,(Skills!S12*(1+((Inputs!$B$35+(ArtifactsInput!$M$7-ArtifactsInput!$M$7)*CHOOSE(ArtifactsInput!$N$7+1,6,7.2,8.4,9.6,10.8,12))+IF(Inputs!$B$3&gt;=117,F1770,0))/100))/Skills!D12)),0)</f>
        <v/>
      </c>
    </row>
    <row r="1776">
      <c r="A1776" t="inlineStr">
        <is>
          <t>Damage % Bonus (Holy Symbol - Damage Boost)</t>
        </is>
      </c>
      <c r="B1776">
        <f>Skills!O12</f>
        <v/>
      </c>
    </row>
    <row r="1777">
      <c r="A1777" t="inlineStr">
        <is>
          <t>Crit Damage % Bonus (Blood of the Divine)</t>
        </is>
      </c>
      <c r="B1777">
        <f>4*IF(C1764=TRUE,F1764,0)</f>
        <v/>
      </c>
    </row>
    <row r="1778">
      <c r="A1778" t="inlineStr">
        <is>
          <t>Attack Speed Bonus %</t>
        </is>
      </c>
      <c r="B1778">
        <f>IF(C1761=TRUE,F1761+(F1765-Calc!F21),0)+IF(Inputs!$B$3&gt;=134,15,0)</f>
        <v/>
      </c>
    </row>
    <row r="1779">
      <c r="A1779" t="inlineStr">
        <is>
          <t>Actions Per Second</t>
        </is>
      </c>
      <c r="B1779">
        <f>1+MIN(150,150*(1-(1-Inputs!$B$12/150)*(1-B1778/150)))/100</f>
        <v/>
      </c>
    </row>
    <row r="1780">
      <c r="A1780" t="inlineStr">
        <is>
          <t>Skill + Buff Cast Rate</t>
        </is>
      </c>
      <c r="B1780">
        <f>IF(AND(Inputs!$B$39&lt;&gt;"pvp",Inputs!$B$44&gt;0),SUMPRODUCT((Skills!E2:E27=TRUE)*(C1746:C1771=TRUE)*R1746:R1771)/Inputs!$B$44,SUMPRODUCT((Skills!E2:E27=TRUE)*(C1746:C1771=TRUE)*Q1746:Q1771))</f>
        <v/>
      </c>
    </row>
    <row r="1781">
      <c r="A1781" t="inlineStr">
        <is>
          <t>Big Bang Casts Per Second</t>
        </is>
      </c>
      <c r="B1781">
        <f>MAX(0,B1779-B1780)</f>
        <v/>
      </c>
    </row>
    <row r="1782">
      <c r="A1782" t="inlineStr">
        <is>
          <t>Defense % Bonus (Divine Protection)</t>
        </is>
      </c>
      <c r="B1782">
        <f>IF(C1757=TRUE,F1757*IF(AND(Inputs!$B$39&lt;&gt;"pvp",Inputs!$B$44&gt;0),(((R1757-1)*(Skills!S13*(1+((Inputs!$B$35+(ArtifactsInput!$M$7-ArtifactsInput!$M$7)*CHOOSE(ArtifactsInput!$N$7+1,6,7.2,8.4,9.6,10.8,12))+IF(Inputs!$B$3&gt;=117,F1770,0))/100))+MIN((Skills!S13*(1+((Inputs!$B$35+(ArtifactsInput!$M$7-ArtifactsInput!$M$7)*CHOOSE(ArtifactsInput!$N$7+1,6,7.2,8.4,9.6,10.8,12))+IF(Inputs!$B$3&gt;=117,F1770,0))/100)),MAX(0,Inputs!$B$44-((R1757-1)*Skills!D13))))/Inputs!$B$44),IF(Inputs!$B$39="pvp",MIN((Skills!S13*(1+((Inputs!$B$35+(ArtifactsInput!$M$7-ArtifactsInput!$M$7)*CHOOSE(ArtifactsInput!$N$7+1,6,7.2,8.4,9.6,10.8,12))+IF(Inputs!$B$3&gt;=117,F1770,0))/100)),15)/15,(Skills!S13*(1+((Inputs!$B$35+(ArtifactsInput!$M$7-ArtifactsInput!$M$7)*CHOOSE(ArtifactsInput!$N$7+1,6,7.2,8.4,9.6,10.8,12))+IF(Inputs!$B$3&gt;=117,F1770,0))/100))/Skills!D13)),0)</f>
        <v/>
      </c>
    </row>
    <row r="1783">
      <c r="A1783" t="inlineStr">
        <is>
          <t>Buff-Casting Startup Delay (s, fixed-duration only)</t>
        </is>
      </c>
      <c r="B1783">
        <f>IF(AND(Inputs!$B$39&lt;&gt;"pvp",Inputs!$B$44&gt;0),SUMPRODUCT((Skills!S2:S27&gt;0)*(Skills!E2:E27=TRUE)*(C1746:C1771=TRUE))/B1779,0)</f>
        <v/>
      </c>
    </row>
    <row r="1784">
      <c r="A1784" t="inlineStr">
        <is>
          <t>Boss-Only Total DPS (this block's swept value)</t>
        </is>
      </c>
      <c r="B1784">
        <f>SUM(S1746:S1771)</f>
        <v/>
      </c>
    </row>
    <row r="1785">
      <c r="A1785" t="inlineStr">
        <is>
          <t>Normal-Only Total DPS (this block's swept value)</t>
        </is>
      </c>
      <c r="B1785">
        <f>SUM(U1746:U1771)</f>
        <v/>
      </c>
    </row>
    <row r="1786">
      <c r="A1786" s="6" t="inlineStr">
        <is>
          <t>TOTAL DPS</t>
        </is>
      </c>
      <c r="B1786" s="6">
        <f>SUM(O1746:O1771)</f>
        <v/>
      </c>
    </row>
    <row r="1788">
      <c r="A1788" s="6" t="inlineStr">
        <is>
          <t>Stat: Pink Bean's Giant Rib (Equip)</t>
        </is>
      </c>
    </row>
    <row r="1789">
      <c r="A1789" s="5" t="inlineStr">
        <is>
          <t>Key</t>
        </is>
      </c>
      <c r="B1789" s="5" t="inlineStr">
        <is>
          <t>Name</t>
        </is>
      </c>
      <c r="C1789" s="5" t="inlineStr">
        <is>
          <t>Unlocked</t>
        </is>
      </c>
      <c r="D1789" s="5" t="inlineStr">
        <is>
          <t>InputLevel</t>
        </is>
      </c>
      <c r="E1789" s="5" t="inlineStr">
        <is>
          <t>Factor</t>
        </is>
      </c>
      <c r="F1789" s="5" t="inlineStr">
        <is>
          <t>CoefficientPercent</t>
        </is>
      </c>
      <c r="G1789" s="5" t="inlineStr">
        <is>
          <t>EffectiveHits</t>
        </is>
      </c>
      <c r="H1789" s="5" t="inlineStr">
        <is>
          <t>ProcProbability</t>
        </is>
      </c>
      <c r="I1789" s="5" t="inlineStr">
        <is>
          <t>MapleHeroMultiplier</t>
        </is>
      </c>
      <c r="J1789" s="5" t="inlineStr">
        <is>
          <t>BaseDamage</t>
        </is>
      </c>
      <c r="K1789" s="5" t="inlineStr">
        <is>
          <t>BaseHitDamage</t>
        </is>
      </c>
      <c r="L1789" s="5" t="inlineStr">
        <is>
          <t>NonCritAvg</t>
        </is>
      </c>
      <c r="M1789" s="5" t="inlineStr">
        <is>
          <t>CritAvg</t>
        </is>
      </c>
      <c r="N1789" s="5" t="inlineStr">
        <is>
          <t>ExpectedDamage(perHit)</t>
        </is>
      </c>
      <c r="O1789" s="5" t="inlineStr">
        <is>
          <t>DPS</t>
        </is>
      </c>
      <c r="P1789" s="5" t="inlineStr">
        <is>
          <t>% of Total</t>
        </is>
      </c>
      <c r="R1789" t="inlineStr">
        <is>
          <t>helpers</t>
        </is>
      </c>
    </row>
    <row r="1790">
      <c r="A1790">
        <f>Skills!A2</f>
        <v/>
      </c>
      <c r="B1790">
        <f>Skills!B2</f>
        <v/>
      </c>
      <c r="C1790">
        <f>Inputs!$B$3&gt;=100</f>
        <v/>
      </c>
      <c r="D1790" t="inlineStr"/>
      <c r="E1790" t="inlineStr"/>
      <c r="F1790">
        <f>T1792+Skills!N2</f>
        <v/>
      </c>
      <c r="G1790">
        <f>Calc!G2</f>
        <v/>
      </c>
      <c r="H1790">
        <f>Calc!H2</f>
        <v/>
      </c>
      <c r="I1790">
        <f>IF(Skills!T2&lt;&gt;"",1+(Skills!T2/10)*($Z$3/1000)/100,1)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2="TRIUMPH_FEATHER",IF(C1804=TRUE,F1804,0),0)/100)*(1+IF(C1815=TRUE,F1815,0)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1790)</f>
        <v/>
      </c>
      <c r="L1790">
        <f>K1790*(MIN(Inputs!$B$23+(F1810-Calc!F22),(Inputs!$B$24+IF(ArtifactsInput!$M$15,CHOOSE(ArtifactsInput!$N$15+1,25,30,35,40,45,50)/100*(Inputs!$B$12-Inputs!$B$12),0)))/100+(Inputs!$B$24+IF(ArtifactsInput!$M$15,CHOOSE(ArtifactsInput!$N$15+1,25,30,35,40,45,50)/100*(Inputs!$B$12-Inputs!$B$12),0))/100)/2</f>
        <v/>
      </c>
      <c r="M1790">
        <f>L1790*(1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IF(B1830=0,0,O1790/B1830)</f>
        <v/>
      </c>
      <c r="Q1790">
        <f>IFERROR(1/(IF(Inputs!$B$39="pvp",15,MAX(0.1,Skills!D2-IF(Skills!E2=TRUE,Inputs!$B$33,0)))*(1-IF(AND(ArtifactsInput!$M$27,Inputs!$B$4="Chapter Hunt"),CHOOSE(ArtifactsInput!$N$27+1,20,24,28,32,36,40),0)/100)),0)</f>
        <v/>
      </c>
      <c r="R1790" t="n">
        <v>0</v>
      </c>
      <c r="S1790">
        <f>IF(C1790,(Skills!F2*N1790*B1825)*IF(Inputs!$B$39="pvp",1,1+(Inputs!$B$21+Skills!O2+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90">
        <f>MAX(0,(Inputs!$B$3-100)*3)+Inputs!$B$29+Inputs!$B$30</f>
        <v/>
      </c>
      <c r="U1790">
        <f>IF(C1790,(Skills!F2*N1790*B1825)*IF(Inputs!$B$39="pvp",1,(1+(Inputs!$B$22+Skills!P2+B1819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Skills!A3</f>
        <v/>
      </c>
      <c r="B1791">
        <f>Skills!B3</f>
        <v/>
      </c>
      <c r="C1791">
        <f>Inputs!$B$3&gt;=15</f>
        <v/>
      </c>
      <c r="D1791">
        <f>IF(Skills!C3=1,60+Inputs!$B$26+Inputs!$B$30,IF(Skills!C3=2,90+Inputs!$B$27+Inputs!$B$30,IF(Skills!C3=3,120+Inputs!$B$28+Inputs!$B$30,MAX(0,(Inputs!$B$3-100)*3)+Inputs!$B$29+Inputs!$B$30)))</f>
        <v/>
      </c>
      <c r="E1791">
        <f>INDEX(FactorTable!$B$2:$Y$301, MATCH(ROUND(MIN(300,MAX(1,D1791)),0), FactorTable!$A$2:$A$301,0), Skills!L3+1)</f>
        <v/>
      </c>
      <c r="F1791">
        <f>IF(Skills!M3=TRUE,(Skills!K3/10)*(E1791/1000),Skills!K3/10)+Skills!N3</f>
        <v/>
      </c>
      <c r="G1791">
        <f>Calc!G3</f>
        <v/>
      </c>
      <c r="H1791">
        <f>Calc!H3</f>
        <v/>
      </c>
      <c r="I1791">
        <f>IF(Skills!T3&lt;&gt;"",1+(Skills!T3/10)*($Z$3/1000)/100,1)</f>
        <v/>
      </c>
      <c r="J1791" t="inlineStr"/>
      <c r="K1791" t="inlineStr"/>
      <c r="L1791" t="inlineStr"/>
      <c r="M1791" t="inlineStr"/>
      <c r="N1791" t="inlineStr"/>
      <c r="O1791">
        <f>(1-Summary!$B$11)*S1791+Summary!$B$11*U1791</f>
        <v/>
      </c>
      <c r="P1791">
        <f>IF(B1830=0,0,O1791/B1830)</f>
        <v/>
      </c>
      <c r="Q1791">
        <f>IFERROR(1/(IF(Inputs!$B$39="pvp",15,MAX(0.1,Skills!D3-IF(Skills!E3=TRUE,Inputs!$B$33,0)))*(1-IF(AND(ArtifactsInput!$M$27,Inputs!$B$4="Chapter Hunt"),CHOOSE(ArtifactsInput!$N$27+1,20,24,28,32,36,40),0)/100)),0)</f>
        <v/>
      </c>
      <c r="R1791">
        <f>IF(AND(Inputs!$B$39&lt;&gt;"pvp",Inputs!$B$44&gt;0),IF(Inputs!$B$44&lt;=0,0,(INT(Inputs!$B$44/(IF(Inputs!$B$39="pvp",15,MAX(0.1,Skills!D3-IF(Skills!E3=TRUE,Inputs!$B$33,0)))*(1-IF(AND(ArtifactsInput!$M$27,Inputs!$B$4="Chapter Hunt"),CHOOSE(ArtifactsInput!$N$27+1,20,24,28,32,36,40),0)/100)))+1)),0)</f>
        <v/>
      </c>
      <c r="S1791" t="n">
        <v>0</v>
      </c>
      <c r="T1791">
        <f>INDEX(FactorTable!$B$2:$Y$301, MATCH(ROUND(MIN(300,MAX(1,T1790)),0), FactorTable!$A$2:$A$301,0), 22)</f>
        <v/>
      </c>
      <c r="U1791" t="n">
        <v>0</v>
      </c>
    </row>
    <row r="1792">
      <c r="A1792">
        <f>Skills!A4</f>
        <v/>
      </c>
      <c r="B1792">
        <f>Skills!B4</f>
        <v/>
      </c>
      <c r="C1792">
        <f>Inputs!$B$3&gt;=38</f>
        <v/>
      </c>
      <c r="D1792">
        <f>IF(Skills!C4=1,60+Inputs!$B$26+Inputs!$B$30,IF(Skills!C4=2,90+Inputs!$B$27+Inputs!$B$30,IF(Skills!C4=3,120+Inputs!$B$28+Inputs!$B$30,MAX(0,(Inputs!$B$3-100)*3)+Inputs!$B$29+Inputs!$B$30)))</f>
        <v/>
      </c>
      <c r="E1792">
        <f>INDEX(FactorTable!$B$2:$Y$301, MATCH(ROUND(MIN(300,MAX(1,D1792)),0), FactorTable!$A$2:$A$301,0), Skills!L4+1)</f>
        <v/>
      </c>
      <c r="F1792">
        <f>IF(Skills!M4=TRUE,(Skills!K4/10)*(E1792/1000),Skills!K4/10)+Skills!N4</f>
        <v/>
      </c>
      <c r="G1792">
        <f>Calc!G4</f>
        <v/>
      </c>
      <c r="H1792">
        <f>Calc!H4</f>
        <v/>
      </c>
      <c r="I1792">
        <f>IF(Skills!T4&lt;&gt;"",1+(Skills!T4/10)*($Z$3/1000)/100,1)</f>
        <v/>
      </c>
      <c r="J1792" t="inlineStr"/>
      <c r="K1792" t="inlineStr"/>
      <c r="L1792" t="inlineStr"/>
      <c r="M1792" t="inlineStr"/>
      <c r="N1792" t="inlineStr"/>
      <c r="O1792">
        <f>(1-Summary!$B$11)*S1792+Summary!$B$11*U1792</f>
        <v/>
      </c>
      <c r="P1792">
        <f>IF(B1830=0,0,O1792/B1830)</f>
        <v/>
      </c>
      <c r="Q1792">
        <f>IFERROR(1/(IF(Inputs!$B$39="pvp",15,MAX(0.1,Skills!D4-IF(Skills!E4=TRUE,Inputs!$B$33,0)))*(1-IF(AND(ArtifactsInput!$M$27,Inputs!$B$4="Chapter Hunt"),CHOOSE(ArtifactsInput!$N$27+1,20,24,28,32,36,40),0)/100)),0)</f>
        <v/>
      </c>
      <c r="R1792">
        <f>IF(AND(Inputs!$B$39&lt;&gt;"pvp",Inputs!$B$44&gt;0),IF(Inputs!$B$44&lt;=0,0,(INT(Inputs!$B$44/(IF(Inputs!$B$39="pvp",15,MAX(0.1,Skills!D4-IF(Skills!E4=TRUE,Inputs!$B$33,0)))*(1-IF(AND(ArtifactsInput!$M$27,Inputs!$B$4="Chapter Hunt"),CHOOSE(ArtifactsInput!$N$27+1,20,24,28,32,36,40),0)/100)))+1)),0)</f>
        <v/>
      </c>
      <c r="S1792" t="n">
        <v>0</v>
      </c>
      <c r="T1792">
        <f>290*T1791/1000</f>
        <v/>
      </c>
      <c r="U1792" t="n">
        <v>0</v>
      </c>
    </row>
    <row r="1793">
      <c r="A1793">
        <f>Skills!A5</f>
        <v/>
      </c>
      <c r="B1793">
        <f>Skills!B5</f>
        <v/>
      </c>
      <c r="C1793">
        <f>Inputs!$B$3&gt;=40</f>
        <v/>
      </c>
      <c r="D1793">
        <f>IF(Skills!C5=1,60+Inputs!$B$26+Inputs!$B$30,IF(Skills!C5=2,90+Inputs!$B$27+Inputs!$B$30,IF(Skills!C5=3,120+Inputs!$B$28+Inputs!$B$30,MAX(0,(Inputs!$B$3-100)*3)+Inputs!$B$29+Inputs!$B$30)))</f>
        <v/>
      </c>
      <c r="E1793">
        <f>INDEX(FactorTable!$B$2:$Y$301, MATCH(ROUND(MIN(300,MAX(1,D1793)),0), FactorTable!$A$2:$A$301,0), Skills!L5+1)</f>
        <v/>
      </c>
      <c r="F1793">
        <f>IF(Skills!M5=TRUE,(Skills!K5/10)*(E1793/1000),Skills!K5/10)+Skills!N5</f>
        <v/>
      </c>
      <c r="G1793">
        <f>Calc!G5</f>
        <v/>
      </c>
      <c r="H1793">
        <f>Calc!H5</f>
        <v/>
      </c>
      <c r="I1793">
        <f>IF(Skills!T5&lt;&gt;"",1+(Skills!T5/10)*($Z$3/1000)/100,1)</f>
        <v/>
      </c>
      <c r="J1793" t="inlineStr"/>
      <c r="K1793" t="inlineStr"/>
      <c r="L1793" t="inlineStr"/>
      <c r="M1793" t="inlineStr"/>
      <c r="N1793" t="inlineStr"/>
      <c r="O1793">
        <f>(1-Summary!$B$11)*S1793+Summary!$B$11*U1793</f>
        <v/>
      </c>
      <c r="P1793">
        <f>IF(B1830=0,0,O1793/B1830)</f>
        <v/>
      </c>
      <c r="Q1793">
        <f>IFERROR(1/(IF(Inputs!$B$39="pvp",15,MAX(0.1,Skills!D5-IF(Skills!E5=TRUE,Inputs!$B$33,0)))*(1-IF(AND(ArtifactsInput!$M$27,Inputs!$B$4="Chapter Hunt"),CHOOSE(ArtifactsInput!$N$27+1,20,24,28,32,36,40),0)/100)),0)</f>
        <v/>
      </c>
      <c r="R1793">
        <f>IF(AND(Inputs!$B$39&lt;&gt;"pvp",Inputs!$B$44&gt;0),IF(Inputs!$B$44&lt;=0,0,(INT(Inputs!$B$44/(IF(Inputs!$B$39="pvp",15,MAX(0.1,Skills!D5-IF(Skills!E5=TRUE,Inputs!$B$33,0)))*(1-IF(AND(ArtifactsInput!$M$27,Inputs!$B$4="Chapter Hunt"),CHOOSE(ArtifactsInput!$N$27+1,20,24,28,32,36,40),0)/100)))+1)),0)</f>
        <v/>
      </c>
      <c r="S1793" t="n">
        <v>0</v>
      </c>
      <c r="U1793" t="n">
        <v>0</v>
      </c>
    </row>
    <row r="1794">
      <c r="A1794">
        <f>Skills!A6</f>
        <v/>
      </c>
      <c r="B1794">
        <f>Skills!B6</f>
        <v/>
      </c>
      <c r="C1794">
        <f>Inputs!$B$3&gt;=103</f>
        <v/>
      </c>
      <c r="D1794">
        <f>IF(Skills!C6=1,60+Inputs!$B$26+Inputs!$B$30,IF(Skills!C6=2,90+Inputs!$B$27+Inputs!$B$30,IF(Skills!C6=3,120+Inputs!$B$28+Inputs!$B$30,MAX(0,(Inputs!$B$3-100)*3)+Inputs!$B$29+Inputs!$B$30)))</f>
        <v/>
      </c>
      <c r="E1794">
        <f>INDEX(FactorTable!$B$2:$Y$301, MATCH(ROUND(MIN(300,MAX(1,D1794)),0), FactorTable!$A$2:$A$301,0), Skills!L6+1)</f>
        <v/>
      </c>
      <c r="F1794">
        <f>IF(Skills!M6=TRUE,(Skills!K6/10)*(E1794/1000),Skills!K6/10)+Skills!N6</f>
        <v/>
      </c>
      <c r="G1794">
        <f>Calc!G6</f>
        <v/>
      </c>
      <c r="H1794">
        <f>Calc!H6</f>
        <v/>
      </c>
      <c r="I1794">
        <f>IF(Skills!T6&lt;&gt;"",1+(Skills!T6/10)*($Z$3/1000)/100,1)</f>
        <v/>
      </c>
      <c r="J1794">
        <f>((Inputs!$B$6*(1+Inputs!$B$7/100))+(((Inputs!$B$13*(1+Inputs!$B$14/100))-(Inputs!$B$13*(1+Inputs!$B$14/100)))+0.25*(Inputs!$B$15-Inputs!$B$15))*(1+Inputs!$B$7/100))*(F1794/100)</f>
        <v/>
      </c>
      <c r="K1794">
        <f>J1794*(1+(((Inputs!$B$13+IF(Inputs!$B$3&gt;=35,(10*INDEX(FactorTable!$B$2:$Y$301,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6="TRIUMPH_FEATHER",IF(C1804=TRUE,F1804,0),0)/100)*(1+IF(C1815=TRUE,F1815,0)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1794)</f>
        <v/>
      </c>
      <c r="L1794">
        <f>K1794*(MIN(Inputs!$B$23+(F1810-Calc!F22),(Inputs!$B$24+IF(ArtifactsInput!$M$15,CHOOSE(ArtifactsInput!$N$15+1,25,30,35,40,45,50)/100*(Inputs!$B$12-Inputs!$B$12),0)))/100+(Inputs!$B$24+IF(ArtifactsInput!$M$15,CHOOSE(ArtifactsInput!$N$15+1,25,30,35,40,45,50)/100*(Inputs!$B$12-Inputs!$B$12),0))/100)/2</f>
        <v/>
      </c>
      <c r="M1794">
        <f>L1794*(1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4">
        <f>L1794*(1-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1794*(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4">
        <f>(1-Summary!$B$11)*S1794+Summary!$B$11*U1794</f>
        <v/>
      </c>
      <c r="P1794">
        <f>IF(B1830=0,0,O1794/B1830)</f>
        <v/>
      </c>
      <c r="Q1794">
        <f>IFERROR(1/(IF(Inputs!$B$39="pvp",15,MAX(0.1,Skills!D6-IF(Skills!E6=TRUE,Inputs!$B$33,0)))*(1-IF(AND(ArtifactsInput!$M$27,Inputs!$B$4="Chapter Hunt"),CHOOSE(ArtifactsInput!$N$27+1,20,24,28,32,36,40),0)/100)),0)</f>
        <v/>
      </c>
      <c r="R1794">
        <f>IF(AND(Inputs!$B$39&lt;&gt;"pvp",Inputs!$B$44&gt;0),IF(MAX(0,Inputs!$B$44-B1827)&lt;=0,0,(INT(MAX(0,Inputs!$B$44-B1827)/(IF(Inputs!$B$39="pvp",15,MAX(0.1,Skills!D6-IF(Skills!E6=TRUE,Inputs!$B$33,0)))*(1-IF(AND(ArtifactsInput!$M$27,Inputs!$B$4="Chapter Hunt"),CHOOSE(ArtifactsInput!$N$27+1,20,24,28,32,36,40),0)/100)))+1)),0)</f>
        <v/>
      </c>
      <c r="S1794">
        <f>IF(C1794,(H1794*N1794*IF(AND(Inputs!$B$39&lt;&gt;"pvp",Inputs!$B$44&gt;0),((Skills!F6*((R1794-1)*IF(Skills!G6&gt;0,Skills!H6/Skills!G6,1)+IF(Skills!G6&gt;0,MIN(Skills!H6,MAX(0,MAX(0,Inputs!$B$44-B1827)-((R1794-1)*(IF(Inputs!$B$39="pvp",15,MAX(0.1,Skills!D6-IF(Skills!E6=TRUE,Inputs!$B$33,0)))*(1-IF(AND(ArtifactsInput!$M$27,Inputs!$B$4="Chapter Hunt"),CHOOSE(ArtifactsInput!$N$27+1,20,24,28,32,36,40),0)/100)))))/Skills!G6,1)))/Inputs!$B$44),G1794*Q1794))*IF(Inputs!$B$39="pvp",1,1+(Inputs!$B$21+Skills!O6+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1794*(1-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1794*(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1794*(1-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1794*(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4">
        <f>IF(C1794,(H1794*N1794*IF(AND(Inputs!$B$39&lt;&gt;"pvp",Inputs!$B$44&gt;0),((Skills!F6*((R1794-1)*IF(Skills!G6&gt;0,Skills!H6/Skills!G6,1)+IF(Skills!G6&gt;0,MIN(Skills!H6,MAX(0,MAX(0,Inputs!$B$44-B1827)-((R1794-1)*(IF(Inputs!$B$39="pvp",15,MAX(0.1,Skills!D6-IF(Skills!E6=TRUE,Inputs!$B$33,0)))*(1-IF(AND(ArtifactsInput!$M$27,Inputs!$B$4="Chapter Hunt"),CHOOSE(ArtifactsInput!$N$27+1,20,24,28,32,36,40),0)/100)))))/Skills!G6,1)))/Inputs!$B$44),G1794*Q1794))*IF(Inputs!$B$39="pvp",1,(1+(Inputs!$B$22+Skills!P6+B1819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5">
      <c r="A1795">
        <f>Skills!A7</f>
        <v/>
      </c>
      <c r="B1795">
        <f>Skills!B7</f>
        <v/>
      </c>
      <c r="C1795">
        <f>Inputs!$B$3&gt;=122</f>
        <v/>
      </c>
      <c r="D1795">
        <f>IF(Skills!C7=1,60+Inputs!$B$26+Inputs!$B$30,IF(Skills!C7=2,90+Inputs!$B$27+Inputs!$B$30,IF(Skills!C7=3,120+Inputs!$B$28+Inputs!$B$30,MAX(0,(Inputs!$B$3-100)*3)+Inputs!$B$29+Inputs!$B$30)))</f>
        <v/>
      </c>
      <c r="E1795">
        <f>INDEX(FactorTable!$B$2:$Y$301, MATCH(ROUND(MIN(300,MAX(1,D1795)),0), FactorTable!$A$2:$A$301,0), Skills!L7+1)</f>
        <v/>
      </c>
      <c r="F1795">
        <f>IF(Skills!M7=TRUE,(Skills!K7/10)*(E1795/1000),Skills!K7/10)+Skills!N7</f>
        <v/>
      </c>
      <c r="G1795">
        <f>Calc!G7</f>
        <v/>
      </c>
      <c r="H1795">
        <f>Calc!H7</f>
        <v/>
      </c>
      <c r="I1795">
        <f>IF(Skills!T7&lt;&gt;"",1+(Skills!T7/10)*($Z$3/1000)/100,1)</f>
        <v/>
      </c>
      <c r="J1795">
        <f>((Inputs!$B$6*(1+Inputs!$B$7/100))+(((Inputs!$B$13*(1+Inputs!$B$14/100))-(Inputs!$B$13*(1+Inputs!$B$14/100)))+0.25*(Inputs!$B$15-Inputs!$B$15))*(1+Inputs!$B$7/100))*(F1795/100)</f>
        <v/>
      </c>
      <c r="K1795">
        <f>J1795*(1+(((Inputs!$B$13+IF(Inputs!$B$3&gt;=35,(10*INDEX(FactorTable!$B$2:$Y$301,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7="TRIUMPH_FEATHER",IF(C1804=TRUE,F1804,0),0)/100)*(1+IF(C1815=TRUE,F1815,0)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1795)</f>
        <v/>
      </c>
      <c r="L1795">
        <f>K1795*(MIN(Inputs!$B$23+(F1810-Calc!F22),(Inputs!$B$24+IF(ArtifactsInput!$M$15,CHOOSE(ArtifactsInput!$N$15+1,25,30,35,40,45,50)/100*(Inputs!$B$12-Inputs!$B$12),0)))/100+(Inputs!$B$24+IF(ArtifactsInput!$M$15,CHOOSE(ArtifactsInput!$N$15+1,25,30,35,40,45,50)/100*(Inputs!$B$12-Inputs!$B$12),0))/100)/2</f>
        <v/>
      </c>
      <c r="M1795">
        <f>L1795*(1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5">
        <f>L1795*(1-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(1-Summary!$B$11)*S1795+Summary!$B$11*U1795</f>
        <v/>
      </c>
      <c r="P1795">
        <f>IF(B1830=0,0,O1795/B1830)</f>
        <v/>
      </c>
      <c r="Q1795">
        <f>IFERROR(1/(IF(Inputs!$B$39="pvp",15,MAX(0.1,Skills!D7-IF(Skills!E6=TRUE,Inputs!$B$33,0)))*(1-IF(AND(ArtifactsInput!$M$27,Inputs!$B$4="Chapter Hunt"),CHOOSE(ArtifactsInput!$N$27+1,20,24,28,32,36,40),0)/100)),0)</f>
        <v/>
      </c>
      <c r="R1795">
        <f>IF(AND(Inputs!$B$39&lt;&gt;"pvp",Inputs!$B$44&gt;0),IF(MAX(0,Inputs!$B$44-B1827)&lt;=0,0,(INT(MAX(0,Inputs!$B$44-B1827)/(IF(Inputs!$B$39="pvp",15,MAX(0.1,Skills!D7-IF(Skills!E6=TRUE,Inputs!$B$33,0)))*(1-IF(AND(ArtifactsInput!$M$27,Inputs!$B$4="Chapter Hunt"),CHOOSE(ArtifactsInput!$N$27+1,20,24,28,32,36,40),0)/100)))+1)),0)</f>
        <v/>
      </c>
      <c r="S1795">
        <f>IF(C1795,H1795*N1795*IF(AND(Inputs!$B$39&lt;&gt;"pvp",Inputs!$B$44&gt;0),((Skills!F7*((R1795-1)*IF(Skills!G7&gt;0,Skills!H7/Skills!G7,1)+IF(Skills!G7&gt;0,MIN(Skills!H7,MAX(0,MAX(0,Inputs!$B$44-B1827)-((R1795-1)*(IF(Inputs!$B$39="pvp",15,MAX(0.1,Skills!D7-IF(Skills!E6=TRUE,Inputs!$B$33,0)))*(1-IF(AND(ArtifactsInput!$M$27,Inputs!$B$4="Chapter Hunt"),CHOOSE(ArtifactsInput!$N$27+1,20,24,28,32,36,40),0)/100)))))/Skills!G7,1)))/Inputs!$B$44),G1795*Q1795)*IF(Inputs!$B$39="pvp",1,1+(Inputs!$B$21+Skills!O7+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1795*(1-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5" t="n">
        <v>0</v>
      </c>
    </row>
    <row r="1796">
      <c r="A1796">
        <f>Skills!A8</f>
        <v/>
      </c>
      <c r="B1796">
        <f>Skills!B8</f>
        <v/>
      </c>
      <c r="C1796">
        <f>Inputs!$B$3&gt;=105</f>
        <v/>
      </c>
      <c r="D1796">
        <f>IF(Skills!C8=1,60+Inputs!$B$26+Inputs!$B$30,IF(Skills!C8=2,90+Inputs!$B$27+Inputs!$B$30,IF(Skills!C8=3,120+Inputs!$B$28+Inputs!$B$30,MAX(0,(Inputs!$B$3-100)*3)+Inputs!$B$29+Inputs!$B$30)))</f>
        <v/>
      </c>
      <c r="E1796">
        <f>INDEX(FactorTable!$B$2:$Y$301, MATCH(ROUND(MIN(300,MAX(1,D1796)),0), FactorTable!$A$2:$A$301,0), Skills!L8+1)</f>
        <v/>
      </c>
      <c r="F1796">
        <f>IF(Skills!M8=TRUE,(Skills!K8/10)*(E1796/1000),Skills!K8/10)+Skills!N8</f>
        <v/>
      </c>
      <c r="G1796">
        <f>Calc!G8</f>
        <v/>
      </c>
      <c r="H1796">
        <f>Calc!H8</f>
        <v/>
      </c>
      <c r="I1796">
        <f>IF(Skills!T8&lt;&gt;"",1+(Skills!T8/10)*($Z$3/1000)/100,1)</f>
        <v/>
      </c>
      <c r="J1796">
        <f>((Inputs!$B$6*(1+Inputs!$B$7/100))+(((Inputs!$B$13*(1+Inputs!$B$14/100))-(Inputs!$B$13*(1+Inputs!$B$14/100)))+0.25*(Inputs!$B$15-Inputs!$B$15))*(1+Inputs!$B$7/100))*(F1796/100)</f>
        <v/>
      </c>
      <c r="K1796">
        <f>J1796*(1+(((Inputs!$B$13+IF(Inputs!$B$3&gt;=35,(10*INDEX(FactorTable!$B$2:$Y$301,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8="TRIUMPH_FEATHER",IF(C1804=TRUE,F1804,0),0)/100)*(1+IF(C1815=TRUE,F1815,0)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1796)</f>
        <v/>
      </c>
      <c r="L1796">
        <f>K1796*(MIN(Inputs!$B$23+(F1810-Calc!F22),(Inputs!$B$24+IF(ArtifactsInput!$M$15,CHOOSE(ArtifactsInput!$N$15+1,25,30,35,40,45,50)/100*(Inputs!$B$12-Inputs!$B$12),0)))/100+(Inputs!$B$24+IF(ArtifactsInput!$M$15,CHOOSE(ArtifactsInput!$N$15+1,25,30,35,40,45,50)/100*(Inputs!$B$12-Inputs!$B$12),0))/100)/2</f>
        <v/>
      </c>
      <c r="M1796">
        <f>L1796*(1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6">
        <f>L1796*(1-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(1-Summary!$B$11)*S1796+Summary!$B$11*U1796</f>
        <v/>
      </c>
      <c r="P1796">
        <f>IF(B1830=0,0,O1796/B1830)</f>
        <v/>
      </c>
      <c r="Q1796">
        <f>IFERROR(1/(IF(Inputs!$B$39="pvp",15,MAX(0.1,Skills!D8-IF(Skills!E8=TRUE,Inputs!$B$33,0)))*(1-IF(AND(ArtifactsInput!$M$27,Inputs!$B$4="Chapter Hunt"),CHOOSE(ArtifactsInput!$N$27+1,20,24,28,32,36,40),0)/100)),0)</f>
        <v/>
      </c>
      <c r="R1796">
        <f>IF(AND(Inputs!$B$39&lt;&gt;"pvp",Inputs!$B$44&gt;0),IF(MAX(0,Inputs!$B$44-B1827)&lt;=0,0,(INT(MAX(0,Inputs!$B$44-B1827)/(IF(Inputs!$B$39="pvp",15,MAX(0.1,Skills!D8-IF(Skills!E8=TRUE,Inputs!$B$33,0)))*(1-IF(AND(ArtifactsInput!$M$27,Inputs!$B$4="Chapter Hunt"),CHOOSE(ArtifactsInput!$N$27+1,20,24,28,32,36,40),0)/100)))+1)),0)</f>
        <v/>
      </c>
      <c r="S1796">
        <f>IF(C1796,(H1796*N1796*IF(AND(Inputs!$B$39&lt;&gt;"pvp",Inputs!$B$44&gt;0),((Skills!F8*((R1796-1)*IF(Skills!G8&gt;0,Skills!H8/Skills!G8,1)+IF(Skills!G8&gt;0,MIN(Skills!H8,MAX(0,MAX(0,Inputs!$B$44-B1827)-((R1796-1)*(IF(Inputs!$B$39="pvp",15,MAX(0.1,Skills!D8-IF(Skills!E8=TRUE,Inputs!$B$33,0)))*(1-IF(AND(ArtifactsInput!$M$27,Inputs!$B$4="Chapter Hunt"),CHOOSE(ArtifactsInput!$N$27+1,20,24,28,32,36,40),0)/100)))))/Skills!G8,1)))/Inputs!$B$44),G1796*Q1796))*IF(Inputs!$B$39="pvp",1,1+(Inputs!$B$21+Skills!O8+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1796*(1-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6">
        <f>IF(C1796,(H1796*N1796*IF(AND(Inputs!$B$39&lt;&gt;"pvp",Inputs!$B$44&gt;0),((Skills!F8*((R1796-1)*IF(Skills!G8&gt;0,Skills!H8/Skills!G8,1)+IF(Skills!G8&gt;0,MIN(Skills!H8,MAX(0,MAX(0,Inputs!$B$44-B1827)-((R1796-1)*(IF(Inputs!$B$39="pvp",15,MAX(0.1,Skills!D8-IF(Skills!E8=TRUE,Inputs!$B$33,0)))*(1-IF(AND(ArtifactsInput!$M$27,Inputs!$B$4="Chapter Hunt"),CHOOSE(ArtifactsInput!$N$27+1,20,24,28,32,36,40),0)/100)))))/Skills!G8,1)))/Inputs!$B$44),G1796*Q1796))*IF(Inputs!$B$39="pvp",1,(1+(Inputs!$B$22+Skills!P8+B1819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Skills!A9</f>
        <v/>
      </c>
      <c r="B1797">
        <f>Skills!B9</f>
        <v/>
      </c>
      <c r="C1797">
        <f>Inputs!$B$3&gt;=115</f>
        <v/>
      </c>
      <c r="D1797">
        <f>IF(Skills!C9=1,60+Inputs!$B$26+Inputs!$B$30,IF(Skills!C9=2,90+Inputs!$B$27+Inputs!$B$30,IF(Skills!C9=3,120+Inputs!$B$28+Inputs!$B$30,MAX(0,(Inputs!$B$3-100)*3)+Inputs!$B$29+Inputs!$B$30)))</f>
        <v/>
      </c>
      <c r="E1797">
        <f>INDEX(FactorTable!$B$2:$Y$301, MATCH(ROUND(MIN(300,MAX(1,D1797)),0), FactorTable!$A$2:$A$301,0), Skills!L9+1)</f>
        <v/>
      </c>
      <c r="F1797">
        <f>IF(Skills!M9=TRUE,(Skills!K9/10)*(E1797/1000),Skills!K9/10)+Skills!N9</f>
        <v/>
      </c>
      <c r="G1797">
        <f>Calc!G9</f>
        <v/>
      </c>
      <c r="H1797">
        <f>Calc!H9</f>
        <v/>
      </c>
      <c r="I1797">
        <f>IF(Skills!T9&lt;&gt;"",1+(Skills!T9/10)*($Z$3/1000)/100,1)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9="TRIUMPH_FEATHER",IF(C1804=TRUE,F1804,0),0)/100)*(1+IF(C1815=TRUE,F1815,0)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1797)</f>
        <v/>
      </c>
      <c r="L1797">
        <f>K1797*(MIN(Inputs!$B$23+(F1810-Calc!F22),(Inputs!$B$24+IF(ArtifactsInput!$M$15,CHOOSE(ArtifactsInput!$N$15+1,25,30,35,40,45,50)/100*(Inputs!$B$12-Inputs!$B$12),0)))/100+(Inputs!$B$24+IF(ArtifactsInput!$M$15,CHOOSE(ArtifactsInput!$N$15+1,25,30,35,40,45,50)/100*(Inputs!$B$12-Inputs!$B$12),0))/100)/2</f>
        <v/>
      </c>
      <c r="M1797">
        <f>L1797*(1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IF(B1830=0,0,O1797/B1830)</f>
        <v/>
      </c>
      <c r="Q1797">
        <f>IFERROR(1/(IF(Inputs!$B$39="pvp",15,MAX(0.1,Skills!D9-IF(Skills!E9=TRUE,Inputs!$B$33,0)))*(1-IF(AND(ArtifactsInput!$M$27,Inputs!$B$4="Chapter Hunt"),CHOOSE(ArtifactsInput!$N$27+1,20,24,28,32,36,40),0)/100)),0)</f>
        <v/>
      </c>
      <c r="R1797">
        <f>IF(AND(Inputs!$B$39&lt;&gt;"pvp",Inputs!$B$44&gt;0),IF(MAX(0,Inputs!$B$44-B1827)&lt;=0,0,(INT(MAX(0,Inputs!$B$44-B1827)/(IF(Inputs!$B$39="pvp",15,MAX(0.1,Skills!D9-IF(Skills!E9=TRUE,Inputs!$B$33,0)))*(1-IF(AND(ArtifactsInput!$M$27,Inputs!$B$4="Chapter Hunt"),CHOOSE(ArtifactsInput!$N$27+1,20,24,28,32,36,40),0)/100)))+1)),0)</f>
        <v/>
      </c>
      <c r="S1797">
        <f>IF(C1797,(H1797*N1797*IF(AND(Inputs!$B$39&lt;&gt;"pvp",Inputs!$B$44&gt;0),((Skills!F9*((R1797-1)*IF(Skills!G9&gt;0,Skills!H9/Skills!G9,1)+IF(Skills!G9&gt;0,MIN(Skills!H9,MAX(0,MAX(0,Inputs!$B$44-B1827)-((R1797-1)*(IF(Inputs!$B$39="pvp",15,MAX(0.1,Skills!D9-IF(Skills!E9=TRUE,Inputs!$B$33,0)))*(1-IF(AND(ArtifactsInput!$M$27,Inputs!$B$4="Chapter Hunt"),CHOOSE(ArtifactsInput!$N$27+1,20,24,28,32,36,40),0)/100)))))/Skills!G9,1)))/Inputs!$B$44),G1797*Q1797))*IF(Inputs!$B$39="pvp",1,1+(Inputs!$B$21+Skills!O9+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H1797*N1797*IF(AND(Inputs!$B$39&lt;&gt;"pvp",Inputs!$B$44&gt;0),((Skills!F9*((R1797-1)*IF(Skills!G9&gt;0,Skills!H9/Skills!G9,1)+IF(Skills!G9&gt;0,MIN(Skills!H9,MAX(0,MAX(0,Inputs!$B$44-B1827)-((R1797-1)*(IF(Inputs!$B$39="pvp",15,MAX(0.1,Skills!D9-IF(Skills!E9=TRUE,Inputs!$B$33,0)))*(1-IF(AND(ArtifactsInput!$M$27,Inputs!$B$4="Chapter Hunt"),CHOOSE(ArtifactsInput!$N$27+1,20,24,28,32,36,40),0)/100)))))/Skills!G9,1)))/Inputs!$B$44),G1797*Q1797))*IF(Inputs!$B$39="pvp",1,(1+(Inputs!$B$22+Skills!P9+B1819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Skills!A10</f>
        <v/>
      </c>
      <c r="B1798">
        <f>Skills!B10</f>
        <v/>
      </c>
      <c r="C1798">
        <f>Inputs!$B$3&gt;=66</f>
        <v/>
      </c>
      <c r="D1798">
        <f>IF(Skills!C10=1,60+Inputs!$B$26+Inputs!$B$30,IF(Skills!C10=2,90+Inputs!$B$27+Inputs!$B$30,IF(Skills!C10=3,120+Inputs!$B$28+Inputs!$B$30,MAX(0,(Inputs!$B$3-100)*3)+Inputs!$B$29+Inputs!$B$30)))</f>
        <v/>
      </c>
      <c r="E1798">
        <f>INDEX(FactorTable!$B$2:$Y$301, MATCH(ROUND(MIN(300,MAX(1,D1798)),0), FactorTable!$A$2:$A$301,0), Skills!L10+1)</f>
        <v/>
      </c>
      <c r="F1798" t="n">
        <v>0</v>
      </c>
      <c r="G1798">
        <f>Calc!G10</f>
        <v/>
      </c>
      <c r="H1798">
        <f>Calc!H10</f>
        <v/>
      </c>
      <c r="I1798">
        <f>IF(Skills!T10&lt;&gt;"",1+(Skills!T10/10)*($Z$3/1000)/100,1)</f>
        <v/>
      </c>
      <c r="J1798" t="inlineStr"/>
      <c r="K1798" t="inlineStr"/>
      <c r="L1798" t="inlineStr"/>
      <c r="M1798" t="inlineStr"/>
      <c r="N1798" t="inlineStr"/>
      <c r="O1798">
        <f>(1-Summary!$B$11)*S1798+Summary!$B$11*U1798</f>
        <v/>
      </c>
      <c r="P1798">
        <f>IF(B1830=0,0,O1798/B1830)</f>
        <v/>
      </c>
      <c r="Q1798">
        <f>IFERROR(1/(IF(Inputs!$B$39="pvp",15,MAX(0.1,Skills!D10-IF(Skills!E10=TRUE,Inputs!$B$33,0)))*(1-IF(AND(ArtifactsInput!$M$27,Inputs!$B$4="Chapter Hunt"),CHOOSE(ArtifactsInput!$N$27+1,20,24,28,32,36,40),0)/100)),0)</f>
        <v/>
      </c>
      <c r="R1798">
        <f>IF(AND(Inputs!$B$39&lt;&gt;"pvp",Inputs!$B$44&gt;0),IF(MAX(0,Inputs!$B$44-B1827)&lt;=0,0,(INT(MAX(0,Inputs!$B$44-B1827)/(IF(Inputs!$B$39="pvp",15,MAX(0.1,Skills!D10-IF(Skills!E10=TRUE,Inputs!$B$33,0)))*(1-IF(AND(ArtifactsInput!$M$27,Inputs!$B$4="Chapter Hunt"),CHOOSE(ArtifactsInput!$N$27+1,20,24,28,32,36,40),0)/100)))+1)),0)</f>
        <v/>
      </c>
      <c r="S1798" t="n">
        <v>0</v>
      </c>
      <c r="U1798" t="n">
        <v>0</v>
      </c>
    </row>
    <row r="1799">
      <c r="A1799">
        <f>Skills!A11</f>
        <v/>
      </c>
      <c r="B1799">
        <f>Skills!B11</f>
        <v/>
      </c>
      <c r="C1799">
        <f>Inputs!$B$3&gt;=69</f>
        <v/>
      </c>
      <c r="D1799">
        <f>IF(Skills!C11=1,60+Inputs!$B$26+Inputs!$B$30,IF(Skills!C11=2,90+Inputs!$B$27+Inputs!$B$30,IF(Skills!C11=3,120+Inputs!$B$28+Inputs!$B$30,MAX(0,(Inputs!$B$3-100)*3)+Inputs!$B$29+Inputs!$B$30)))</f>
        <v/>
      </c>
      <c r="E1799">
        <f>INDEX(FactorTable!$B$2:$Y$301, MATCH(ROUND(MIN(300,MAX(1,D1799)),0), FactorTable!$A$2:$A$301,0), Skills!L11+1)</f>
        <v/>
      </c>
      <c r="F1799">
        <f>IF(Skills!M11=TRUE,(Skills!K11/10)*(E1799/1000),Skills!K11/10)+Skills!N11</f>
        <v/>
      </c>
      <c r="G1799">
        <f>Calc!G11</f>
        <v/>
      </c>
      <c r="H1799">
        <f>Calc!H11</f>
        <v/>
      </c>
      <c r="I1799">
        <f>IF(Skills!T11&lt;&gt;"",1+(Skills!T11/10)*($Z$3/1000)/100,1)</f>
        <v/>
      </c>
      <c r="J1799" t="inlineStr"/>
      <c r="K1799" t="inlineStr"/>
      <c r="L1799" t="inlineStr"/>
      <c r="M1799" t="inlineStr"/>
      <c r="N1799" t="inlineStr"/>
      <c r="O1799">
        <f>(1-Summary!$B$11)*S1799+Summary!$B$11*U1799</f>
        <v/>
      </c>
      <c r="P1799">
        <f>IF(B1830=0,0,O1799/B1830)</f>
        <v/>
      </c>
      <c r="Q1799">
        <f>IFERROR(1/(IF(Inputs!$B$39="pvp",15,MAX(0.1,Skills!D11-IF(Skills!E11=TRUE,Inputs!$B$33,0)))*(1-IF(AND(ArtifactsInput!$M$27,Inputs!$B$4="Chapter Hunt"),CHOOSE(ArtifactsInput!$N$27+1,20,24,28,32,36,40),0)/100)),0)</f>
        <v/>
      </c>
      <c r="R1799">
        <f>IF(AND(Inputs!$B$39&lt;&gt;"pvp",Inputs!$B$44&gt;0),IF(Inputs!$B$44&lt;=0,0,(INT(Inputs!$B$44/(IF(Inputs!$B$39="pvp",15,MAX(0.1,Skills!D11-IF(Skills!E11=TRUE,Inputs!$B$33,0)))*(1-IF(AND(ArtifactsInput!$M$27,Inputs!$B$4="Chapter Hunt"),CHOOSE(ArtifactsInput!$N$27+1,20,24,28,32,36,40),0)/100)))+1)),0)</f>
        <v/>
      </c>
      <c r="S1799" t="n">
        <v>0</v>
      </c>
      <c r="U1799" t="n">
        <v>0</v>
      </c>
    </row>
    <row r="1800">
      <c r="A1800">
        <f>Skills!A12</f>
        <v/>
      </c>
      <c r="B1800">
        <f>Skills!B12</f>
        <v/>
      </c>
      <c r="C1800">
        <f>Inputs!$B$3&gt;=72</f>
        <v/>
      </c>
      <c r="D1800">
        <f>IF(Skills!C12=1,60+Inputs!$B$26+Inputs!$B$30,IF(Skills!C12=2,90+Inputs!$B$27+Inputs!$B$30,IF(Skills!C12=3,120+Inputs!$B$28+Inputs!$B$30,MAX(0,(Inputs!$B$3-100)*3)+Inputs!$B$29+Inputs!$B$30)))</f>
        <v/>
      </c>
      <c r="E1800">
        <f>INDEX(FactorTable!$B$2:$Y$301, MATCH(ROUND(MIN(300,MAX(1,D1800)),0), FactorTable!$A$2:$A$301,0), Skills!L12+1)</f>
        <v/>
      </c>
      <c r="F1800">
        <f>IF(Skills!M12=TRUE,(Skills!K12/10)*(E1800/1000),Skills!K12/10)+Skills!N12</f>
        <v/>
      </c>
      <c r="G1800">
        <f>Calc!G12</f>
        <v/>
      </c>
      <c r="H1800">
        <f>Calc!H12</f>
        <v/>
      </c>
      <c r="I1800">
        <f>IF(Skills!T12&lt;&gt;"",1+(Skills!T12/10)*($Z$3/1000)/100,1)</f>
        <v/>
      </c>
      <c r="J1800" t="inlineStr"/>
      <c r="K1800" t="inlineStr"/>
      <c r="L1800" t="inlineStr"/>
      <c r="M1800" t="inlineStr"/>
      <c r="N1800" t="inlineStr"/>
      <c r="O1800">
        <f>(1-Summary!$B$11)*S1800+Summary!$B$11*U1800</f>
        <v/>
      </c>
      <c r="P1800">
        <f>IF(B1830=0,0,O1800/B1830)</f>
        <v/>
      </c>
      <c r="Q1800">
        <f>IFERROR(1/(IF(Inputs!$B$39="pvp",15,MAX(0.1,Skills!D12-IF(Skills!E12=TRUE,Inputs!$B$33,0)))*(1-IF(AND(ArtifactsInput!$M$27,Inputs!$B$4="Chapter Hunt"),CHOOSE(ArtifactsInput!$N$27+1,20,24,28,32,36,40),0)/100)),0)</f>
        <v/>
      </c>
      <c r="R1800">
        <f>IF(AND(Inputs!$B$39&lt;&gt;"pvp",Inputs!$B$44&gt;0),IF(MAX(0,Inputs!$B$44-B1827)&lt;=0,0,(INT(MAX(0,Inputs!$B$44-B1827)/(IF(Inputs!$B$39="pvp",15,MAX(0.1,Skills!D12-IF(Skills!E12=TRUE,Inputs!$B$33,0)))*(1-IF(AND(ArtifactsInput!$M$27,Inputs!$B$4="Chapter Hunt"),CHOOSE(ArtifactsInput!$N$27+1,20,24,28,32,36,40),0)/100)))+1)),0)</f>
        <v/>
      </c>
      <c r="S1800" t="n">
        <v>0</v>
      </c>
      <c r="U1800" t="n">
        <v>0</v>
      </c>
    </row>
    <row r="1801">
      <c r="A1801">
        <f>Skills!A13</f>
        <v/>
      </c>
      <c r="B1801">
        <f>Skills!B13</f>
        <v/>
      </c>
      <c r="C1801">
        <f>Inputs!$B$3&gt;=60</f>
        <v/>
      </c>
      <c r="D1801">
        <f>IF(Skills!C13=1,60+Inputs!$B$26+Inputs!$B$30,IF(Skills!C13=2,90+Inputs!$B$27+Inputs!$B$30,IF(Skills!C13=3,120+Inputs!$B$28+Inputs!$B$30,MAX(0,(Inputs!$B$3-100)*3)+Inputs!$B$29+Inputs!$B$30)))</f>
        <v/>
      </c>
      <c r="E1801">
        <f>INDEX(FactorTable!$B$2:$Y$301, MATCH(ROUND(MIN(300,MAX(1,D1801)),0), FactorTable!$A$2:$A$301,0), Skills!L13+1)</f>
        <v/>
      </c>
      <c r="F1801">
        <f>IF(Skills!M13=TRUE,(Skills!K13/10)*(E1801/1000),Skills!K13/10)+Skills!N13</f>
        <v/>
      </c>
      <c r="G1801">
        <f>Calc!G13</f>
        <v/>
      </c>
      <c r="H1801">
        <f>Calc!H13</f>
        <v/>
      </c>
      <c r="I1801">
        <f>IF(Skills!T13&lt;&gt;"",1+(Skills!T13/10)*($Z$3/1000)/100,1)</f>
        <v/>
      </c>
      <c r="J1801" t="inlineStr"/>
      <c r="K1801" t="inlineStr"/>
      <c r="L1801" t="inlineStr"/>
      <c r="M1801" t="inlineStr"/>
      <c r="N1801" t="inlineStr"/>
      <c r="O1801">
        <f>(1-Summary!$B$11)*S1801+Summary!$B$11*U1801</f>
        <v/>
      </c>
      <c r="P1801">
        <f>IF(B1830=0,0,O1801/B1830)</f>
        <v/>
      </c>
      <c r="Q1801">
        <f>IFERROR(1/(IF(Inputs!$B$39="pvp",15,MAX(0.1,Skills!D13-IF(Skills!E13=TRUE,Inputs!$B$33,0)))*(1-IF(AND(ArtifactsInput!$M$27,Inputs!$B$4="Chapter Hunt"),CHOOSE(ArtifactsInput!$N$27+1,20,24,28,32,36,40),0)/100)),0)</f>
        <v/>
      </c>
      <c r="R1801">
        <f>IF(AND(Inputs!$B$39&lt;&gt;"pvp",Inputs!$B$44&gt;0),IF(MAX(0,Inputs!$B$44-B1827)&lt;=0,0,(INT(MAX(0,Inputs!$B$44-B1827)/(IF(Inputs!$B$39="pvp",15,MAX(0.1,Skills!D13-IF(Skills!E13=TRUE,Inputs!$B$33,0)))*(1-IF(AND(ArtifactsInput!$M$27,Inputs!$B$4="Chapter Hunt"),CHOOSE(ArtifactsInput!$N$27+1,20,24,28,32,36,40),0)/100)))+1)),0)</f>
        <v/>
      </c>
      <c r="S1801" t="n">
        <v>0</v>
      </c>
      <c r="U1801" t="n">
        <v>0</v>
      </c>
    </row>
    <row r="1802">
      <c r="A1802">
        <f>Skills!A14</f>
        <v/>
      </c>
      <c r="B1802">
        <f>Skills!B14</f>
        <v/>
      </c>
      <c r="C1802">
        <f>Inputs!$B$3&gt;=107</f>
        <v/>
      </c>
      <c r="D1802">
        <f>IF(Skills!C14=1,60+Inputs!$B$26+Inputs!$B$30,IF(Skills!C14=2,90+Inputs!$B$27+Inputs!$B$30,IF(Skills!C14=3,120+Inputs!$B$28+Inputs!$B$30,MAX(0,(Inputs!$B$3-100)*3)+Inputs!$B$29+Inputs!$B$30)))</f>
        <v/>
      </c>
      <c r="E1802">
        <f>INDEX(FactorTable!$B$2:$Y$301, MATCH(ROUND(MIN(300,MAX(1,D1802)),0), FactorTable!$A$2:$A$301,0), Skills!L14+1)</f>
        <v/>
      </c>
      <c r="F1802">
        <f>IF(Skills!M14=TRUE,(Skills!K14/10)*(E1802/1000),Skills!K14/10)+Skills!N14</f>
        <v/>
      </c>
      <c r="G1802">
        <f>Calc!G14</f>
        <v/>
      </c>
      <c r="H1802">
        <f>Calc!H14</f>
        <v/>
      </c>
      <c r="I1802">
        <f>IF(Skills!T14&lt;&gt;"",1+(Skills!T14/10)*($Z$3/1000)/100,1)</f>
        <v/>
      </c>
      <c r="J1802" t="inlineStr"/>
      <c r="K1802" t="inlineStr"/>
      <c r="L1802" t="inlineStr"/>
      <c r="M1802" t="inlineStr"/>
      <c r="N1802" t="inlineStr"/>
      <c r="O1802">
        <f>(1-Summary!$B$11)*S1802+Summary!$B$11*U1802</f>
        <v/>
      </c>
      <c r="P1802">
        <f>IF(B1830=0,0,O1802/B1830)</f>
        <v/>
      </c>
      <c r="Q1802">
        <f>IFERROR(1/(IF(Inputs!$B$39="pvp",15,MAX(0.1,Skills!D14-IF(Skills!E14=TRUE,Inputs!$B$33,0)))*(1-IF(AND(ArtifactsInput!$M$27,Inputs!$B$4="Chapter Hunt"),CHOOSE(ArtifactsInput!$N$27+1,20,24,28,32,36,40),0)/100)),0)</f>
        <v/>
      </c>
      <c r="R1802">
        <f>IF(AND(Inputs!$B$39&lt;&gt;"pvp",Inputs!$B$44&gt;0),IF(Inputs!$B$44&lt;=0,0,(INT(Inputs!$B$44/(IF(Inputs!$B$39="pvp",15,MAX(0.1,Skills!D14-IF(Skills!E14=TRUE,Inputs!$B$33,0)))*(1-IF(AND(ArtifactsInput!$M$27,Inputs!$B$4="Chapter Hunt"),CHOOSE(ArtifactsInput!$N$27+1,20,24,28,32,36,40),0)/100)))+1)),0)</f>
        <v/>
      </c>
      <c r="S1802" t="n">
        <v>0</v>
      </c>
      <c r="U1802" t="n">
        <v>0</v>
      </c>
    </row>
    <row r="1803">
      <c r="A1803">
        <f>Skills!A15</f>
        <v/>
      </c>
      <c r="B1803">
        <f>Skills!B15</f>
        <v/>
      </c>
      <c r="C1803">
        <f>Inputs!$B$3&gt;=63</f>
        <v/>
      </c>
      <c r="D1803">
        <f>IF(Skills!C15=1,60+Inputs!$B$26+Inputs!$B$30,IF(Skills!C15=2,90+Inputs!$B$27+Inputs!$B$30,IF(Skills!C15=3,120+Inputs!$B$28+Inputs!$B$30,MAX(0,(Inputs!$B$3-100)*3)+Inputs!$B$29+Inputs!$B$30)))</f>
        <v/>
      </c>
      <c r="E1803">
        <f>INDEX(FactorTable!$B$2:$Y$301, MATCH(ROUND(MIN(300,MAX(1,D1803)),0), FactorTable!$A$2:$A$301,0), Skills!L15+1)</f>
        <v/>
      </c>
      <c r="F1803">
        <f>IF(Skills!M15=TRUE,(Skills!K15/10)*(E1803/1000),Skills!K15/10)+Skills!N15</f>
        <v/>
      </c>
      <c r="G1803">
        <f>Calc!G15</f>
        <v/>
      </c>
      <c r="H1803">
        <f>Calc!H15</f>
        <v/>
      </c>
      <c r="I1803">
        <f>IF(Skills!T15&lt;&gt;"",1+(Skills!T15/10)*($Z$3/1000)/100,1)</f>
        <v/>
      </c>
      <c r="J1803">
        <f>((Inputs!$B$6*(1+Inputs!$B$7/100))+(((Inputs!$B$13*(1+Inputs!$B$14/100))-(Inputs!$B$13*(1+Inputs!$B$14/100)))+0.25*(Inputs!$B$15-Inputs!$B$15))*(1+Inputs!$B$7/100))*(F1803/100)</f>
        <v/>
      </c>
      <c r="K1803">
        <f>J1803*(1+(((Inputs!$B$13+IF(Inputs!$B$3&gt;=35,(10*INDEX(FactorTable!$B$2:$Y$301,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15="TRIUMPH_FEATHER",IF(C1804=TRUE,F1804,0),0)/100)*(1+IF(C1815=TRUE,F1815,0)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1803)</f>
        <v/>
      </c>
      <c r="L1803">
        <f>K1803*(MIN(Inputs!$B$23+(F1810-Calc!F22),(Inputs!$B$24+IF(ArtifactsInput!$M$15,CHOOSE(ArtifactsInput!$N$15+1,25,30,35,40,45,50)/100*(Inputs!$B$12-Inputs!$B$12),0)))/100+(Inputs!$B$24+IF(ArtifactsInput!$M$15,CHOOSE(ArtifactsInput!$N$15+1,25,30,35,40,45,50)/100*(Inputs!$B$12-Inputs!$B$12),0))/100)/2</f>
        <v/>
      </c>
      <c r="M1803">
        <f>L1803*(1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03">
        <f>L1803*(1-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1803*(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3">
        <f>(1-Summary!$B$11)*S1803+Summary!$B$11*U1803</f>
        <v/>
      </c>
      <c r="P1803">
        <f>IF(B1830=0,0,O1803/B1830)</f>
        <v/>
      </c>
      <c r="Q1803">
        <f>IFERROR(1/(IF(Inputs!$B$39="pvp",15,MAX(0.1,Skills!D15-IF(Skills!E15=TRUE,Inputs!$B$33,0)))*(1-IF(AND(ArtifactsInput!$M$27,Inputs!$B$4="Chapter Hunt"),CHOOSE(ArtifactsInput!$N$27+1,20,24,28,32,36,40),0)/100)),0)</f>
        <v/>
      </c>
      <c r="R1803" t="n">
        <v>0</v>
      </c>
      <c r="S1803">
        <f>IF(C1803,(Skills!F15*N1803*((IF(Inputs!$B$3&gt;=78,25,15)/100*B1823*10)/(1+IF(Inputs!$B$3&gt;=78,25,15)/100*B1823*10))*(Skills!I15/100*B1823)/(1+Skills!G15*Skills!I15/100*B1823))*IF(Inputs!$B$39="pvp",1,1+(Inputs!$B$21+Skills!O15+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1803*(1-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1803*(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1803*(1-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1803*(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03">
        <f>IF(C1803,(Skills!F15*N1803*((IF(Inputs!$B$3&gt;=78,25,15)/100*B1823*10)/(1+IF(Inputs!$B$3&gt;=78,25,15)/100*B1823*10))*(Skills!I15/100*B1823)/(1+Skills!G15*Skills!I15/100*B1823))*IF(Inputs!$B$39="pvp",1,(1+(Inputs!$B$22+Skills!P15+B1819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4">
      <c r="A1804">
        <f>Skills!A16</f>
        <v/>
      </c>
      <c r="B1804">
        <f>Skills!B16</f>
        <v/>
      </c>
      <c r="C1804">
        <f>Inputs!$B$3&gt;=100</f>
        <v/>
      </c>
      <c r="D1804">
        <f>IF(Skills!C16=1,60+Inputs!$B$26+Inputs!$B$30,IF(Skills!C16=2,90+Inputs!$B$27+Inputs!$B$30,IF(Skills!C16=3,120+Inputs!$B$28+Inputs!$B$30,MAX(0,(Inputs!$B$3-100)*3)+Inputs!$B$29+Inputs!$B$30)))</f>
        <v/>
      </c>
      <c r="E1804">
        <f>INDEX(FactorTable!$B$2:$Y$301, MATCH(ROUND(MIN(300,MAX(1,D1804)),0), FactorTable!$A$2:$A$301,0), Skills!L16+1)</f>
        <v/>
      </c>
      <c r="F1804">
        <f>IF(Skills!M16=TRUE,(Skills!K16/10)*(E1804/1000),Skills!K16/10)+Skills!N16</f>
        <v/>
      </c>
      <c r="G1804">
        <f>Calc!G16</f>
        <v/>
      </c>
      <c r="H1804">
        <f>Calc!H16</f>
        <v/>
      </c>
      <c r="I1804">
        <f>IF(Skills!T16&lt;&gt;"",1+(Skills!T16/10)*($Z$3/1000)/100,1)</f>
        <v/>
      </c>
      <c r="J1804" t="inlineStr"/>
      <c r="K1804" t="inlineStr"/>
      <c r="L1804" t="inlineStr"/>
      <c r="M1804" t="inlineStr"/>
      <c r="N1804" t="inlineStr"/>
      <c r="O1804">
        <f>(1-Summary!$B$11)*S1804+Summary!$B$11*U1804</f>
        <v/>
      </c>
      <c r="P1804">
        <f>IF(B1830=0,0,O1804/B1830)</f>
        <v/>
      </c>
      <c r="Q1804">
        <f>IFERROR(1/(IF(Inputs!$B$39="pvp",15,MAX(0.1,Skills!D16-IF(Skills!E16=TRUE,Inputs!$B$33,0)))*(1-IF(AND(ArtifactsInput!$M$27,Inputs!$B$4="Chapter Hunt"),CHOOSE(ArtifactsInput!$N$27+1,20,24,28,32,36,40),0)/100)),0)</f>
        <v/>
      </c>
      <c r="R1804" t="n">
        <v>0</v>
      </c>
      <c r="S1804" t="n">
        <v>0</v>
      </c>
      <c r="U1804" t="n">
        <v>0</v>
      </c>
    </row>
    <row r="1805">
      <c r="A1805">
        <f>Skills!A17</f>
        <v/>
      </c>
      <c r="B1805">
        <f>Skills!B17</f>
        <v/>
      </c>
      <c r="C1805">
        <f>Inputs!$B$3&gt;=49</f>
        <v/>
      </c>
      <c r="D1805">
        <f>IF(Skills!C17=1,60+Inputs!$B$26+Inputs!$B$30,IF(Skills!C17=2,90+Inputs!$B$27+Inputs!$B$30,IF(Skills!C17=3,120+Inputs!$B$28+Inputs!$B$30,MAX(0,(Inputs!$B$3-100)*3)+Inputs!$B$29+Inputs!$B$30)))</f>
        <v/>
      </c>
      <c r="E1805">
        <f>INDEX(FactorTable!$B$2:$Y$301, MATCH(ROUND(MIN(300,MAX(1,D1805)),0), FactorTable!$A$2:$A$301,0), Skills!L17+1)</f>
        <v/>
      </c>
      <c r="F1805">
        <f>IF(Skills!M17=TRUE,(Skills!K17/10)*(E1805/1000),Skills!K17/10)+Skills!N17</f>
        <v/>
      </c>
      <c r="G1805">
        <f>Calc!G17</f>
        <v/>
      </c>
      <c r="H1805">
        <f>Calc!H17</f>
        <v/>
      </c>
      <c r="I1805">
        <f>IF(Skills!T17&lt;&gt;"",1+(Skills!T17/10)*($Z$3/1000)/100,1)</f>
        <v/>
      </c>
      <c r="J1805" t="inlineStr"/>
      <c r="K1805" t="inlineStr"/>
      <c r="L1805" t="inlineStr"/>
      <c r="M1805" t="inlineStr"/>
      <c r="N1805" t="inlineStr"/>
      <c r="O1805">
        <f>(1-Summary!$B$11)*S1805+Summary!$B$11*U1805</f>
        <v/>
      </c>
      <c r="P1805">
        <f>IF(B1830=0,0,O1805/B1830)</f>
        <v/>
      </c>
      <c r="Q1805">
        <f>IFERROR(1/(IF(Inputs!$B$39="pvp",15,MAX(0.1,Skills!D17-IF(Skills!E17=TRUE,Inputs!$B$33,0)))*(1-IF(AND(ArtifactsInput!$M$27,Inputs!$B$4="Chapter Hunt"),CHOOSE(ArtifactsInput!$N$27+1,20,24,28,32,36,40),0)/100)),0)</f>
        <v/>
      </c>
      <c r="R1805" t="n">
        <v>0</v>
      </c>
      <c r="S1805" t="n">
        <v>0</v>
      </c>
      <c r="U1805" t="n">
        <v>0</v>
      </c>
    </row>
    <row r="1806">
      <c r="A1806">
        <f>Skills!A18</f>
        <v/>
      </c>
      <c r="B1806">
        <f>Skills!B18</f>
        <v/>
      </c>
      <c r="C1806">
        <f>Inputs!$B$3&gt;=75</f>
        <v/>
      </c>
      <c r="D1806">
        <f>IF(Skills!C18=1,60+Inputs!$B$26+Inputs!$B$30,IF(Skills!C18=2,90+Inputs!$B$27+Inputs!$B$30,IF(Skills!C18=3,120+Inputs!$B$28+Inputs!$B$30,MAX(0,(Inputs!$B$3-100)*3)+Inputs!$B$29+Inputs!$B$30)))</f>
        <v/>
      </c>
      <c r="E1806">
        <f>INDEX(FactorTable!$B$2:$Y$301, MATCH(ROUND(MIN(300,MAX(1,D1806)),0), FactorTable!$A$2:$A$301,0), Skills!L18+1)</f>
        <v/>
      </c>
      <c r="F1806">
        <f>IF(Skills!M18=TRUE,(Skills!K18/10)*(E1806/1000),Skills!K18/10)+Skills!N18</f>
        <v/>
      </c>
      <c r="G1806">
        <f>Calc!G18</f>
        <v/>
      </c>
      <c r="H1806">
        <f>Calc!H18</f>
        <v/>
      </c>
      <c r="I1806">
        <f>IF(Skills!T18&lt;&gt;"",1+(Skills!T18/10)*($Z$3/1000)/100,1)</f>
        <v/>
      </c>
      <c r="J1806" t="inlineStr"/>
      <c r="K1806" t="inlineStr"/>
      <c r="L1806" t="inlineStr"/>
      <c r="M1806" t="inlineStr"/>
      <c r="N1806" t="inlineStr"/>
      <c r="O1806">
        <f>(1-Summary!$B$11)*S1806+Summary!$B$11*U1806</f>
        <v/>
      </c>
      <c r="P1806">
        <f>IF(B1830=0,0,O1806/B1830)</f>
        <v/>
      </c>
      <c r="Q1806">
        <f>IFERROR(1/(IF(Inputs!$B$39="pvp",15,MAX(0.1,Skills!D18-IF(Skills!E18=TRUE,Inputs!$B$33,0)))*(1-IF(AND(ArtifactsInput!$M$27,Inputs!$B$4="Chapter Hunt"),CHOOSE(ArtifactsInput!$N$27+1,20,24,28,32,36,40),0)/100)),0)</f>
        <v/>
      </c>
      <c r="R1806" t="n">
        <v>0</v>
      </c>
      <c r="S1806" t="n">
        <v>0</v>
      </c>
      <c r="U1806" t="n">
        <v>0</v>
      </c>
    </row>
    <row r="1807">
      <c r="A1807">
        <f>Skills!A19</f>
        <v/>
      </c>
      <c r="B1807">
        <f>Skills!B19</f>
        <v/>
      </c>
      <c r="C1807">
        <f>Inputs!$B$3&gt;=110</f>
        <v/>
      </c>
      <c r="D1807">
        <f>IF(Skills!C19=1,60+Inputs!$B$26+Inputs!$B$30,IF(Skills!C19=2,90+Inputs!$B$27+Inputs!$B$30,IF(Skills!C19=3,120+Inputs!$B$28+Inputs!$B$30,MAX(0,(Inputs!$B$3-100)*3)+Inputs!$B$29+Inputs!$B$30)))</f>
        <v/>
      </c>
      <c r="E1807">
        <f>INDEX(FactorTable!$B$2:$Y$301, MATCH(ROUND(MIN(300,MAX(1,D1807)),0), FactorTable!$A$2:$A$301,0), Skills!L19+1)</f>
        <v/>
      </c>
      <c r="F1807">
        <f>(Skills!K19/10)*(E1807/1000)*64/45+Skills!N19</f>
        <v/>
      </c>
      <c r="G1807">
        <f>Calc!G19</f>
        <v/>
      </c>
      <c r="H1807">
        <f>Calc!H19</f>
        <v/>
      </c>
      <c r="I1807">
        <f>IF(Skills!T19&lt;&gt;"",1+(Skills!T19/10)*($Z$3/1000)/100,1)</f>
        <v/>
      </c>
      <c r="J1807" t="inlineStr"/>
      <c r="K1807" t="inlineStr"/>
      <c r="L1807" t="inlineStr"/>
      <c r="M1807" t="inlineStr"/>
      <c r="N1807" t="inlineStr"/>
      <c r="O1807">
        <f>(1-Summary!$B$11)*S1807+Summary!$B$11*U1807</f>
        <v/>
      </c>
      <c r="P1807">
        <f>IF(B1830=0,0,O1807/B1830)</f>
        <v/>
      </c>
      <c r="Q1807">
        <f>IFERROR(1/(IF(Inputs!$B$39="pvp",15,MAX(0.1,Skills!D19-IF(Skills!E19=TRUE,Inputs!$B$33,0)))*(1-IF(AND(ArtifactsInput!$M$27,Inputs!$B$4="Chapter Hunt"),CHOOSE(ArtifactsInput!$N$27+1,20,24,28,32,36,40),0)/100)),0)</f>
        <v/>
      </c>
      <c r="R1807">
        <f>IF(AND(Inputs!$B$39&lt;&gt;"pvp",Inputs!$B$44&gt;0),IF(Inputs!$B$44&lt;=0,0,(INT(Inputs!$B$44/(IF(Inputs!$B$39="pvp",15,MAX(0.1,Skills!D19-IF(Skills!E19=TRUE,Inputs!$B$33,0)))*(1-IF(AND(ArtifactsInput!$M$27,Inputs!$B$4="Chapter Hunt"),CHOOSE(ArtifactsInput!$N$27+1,20,24,28,32,36,40),0)/100)))+1)),0)</f>
        <v/>
      </c>
      <c r="S1807" t="n">
        <v>0</v>
      </c>
      <c r="U1807" t="n">
        <v>0</v>
      </c>
    </row>
    <row r="1808">
      <c r="A1808">
        <f>Skills!A20</f>
        <v/>
      </c>
      <c r="B1808">
        <f>Skills!B20</f>
        <v/>
      </c>
      <c r="C1808">
        <f>Inputs!$B$3&gt;=125</f>
        <v/>
      </c>
      <c r="D1808">
        <f>IF(Skills!C20=1,60+Inputs!$B$26+Inputs!$B$30,IF(Skills!C20=2,90+Inputs!$B$27+Inputs!$B$30,IF(Skills!C20=3,120+Inputs!$B$28+Inputs!$B$30,MAX(0,(Inputs!$B$3-100)*3)+Inputs!$B$29+Inputs!$B$30)))</f>
        <v/>
      </c>
      <c r="E1808">
        <f>INDEX(FactorTable!$B$2:$Y$301, MATCH(ROUND(MIN(300,MAX(1,D1808)),0), FactorTable!$A$2:$A$301,0), Skills!L20+1)</f>
        <v/>
      </c>
      <c r="F1808">
        <f>IF(Skills!M20=TRUE,(Skills!K20/10)*(E1808/1000),Skills!K20/10)+Skills!N20</f>
        <v/>
      </c>
      <c r="G1808">
        <f>Calc!G20</f>
        <v/>
      </c>
      <c r="H1808">
        <f>Calc!H20</f>
        <v/>
      </c>
      <c r="I1808">
        <f>IF(Skills!T20&lt;&gt;"",1+(Skills!T20/10)*($Z$3/1000)/100,1)</f>
        <v/>
      </c>
      <c r="J1808" t="inlineStr"/>
      <c r="K1808" t="inlineStr"/>
      <c r="L1808" t="inlineStr"/>
      <c r="M1808" t="inlineStr"/>
      <c r="N1808" t="inlineStr"/>
      <c r="O1808">
        <f>(1-Summary!$B$11)*S1808+Summary!$B$11*U1808</f>
        <v/>
      </c>
      <c r="P1808">
        <f>IF(B1830=0,0,O1808/B1830)</f>
        <v/>
      </c>
      <c r="Q1808">
        <f>IFERROR(1/(IF(Inputs!$B$39="pvp",15,MAX(0.1,Skills!D20-IF(Skills!E20=TRUE,Inputs!$B$33,0)))*(1-IF(AND(ArtifactsInput!$M$27,Inputs!$B$4="Chapter Hunt"),CHOOSE(ArtifactsInput!$N$27+1,20,24,28,32,36,40),0)/100)),0)</f>
        <v/>
      </c>
      <c r="R1808" t="n">
        <v>0</v>
      </c>
      <c r="S1808" t="n">
        <v>0</v>
      </c>
      <c r="U1808" t="n">
        <v>0</v>
      </c>
    </row>
    <row r="1809">
      <c r="A1809">
        <f>Skills!A21</f>
        <v/>
      </c>
      <c r="B1809">
        <f>Skills!B21</f>
        <v/>
      </c>
      <c r="C1809">
        <f>Inputs!$B$3&gt;=33</f>
        <v/>
      </c>
      <c r="D1809">
        <f>IF(Skills!C21=1,60+Inputs!$B$26+Inputs!$B$30,IF(Skills!C21=2,90+Inputs!$B$27+Inputs!$B$30,IF(Skills!C21=3,120+Inputs!$B$28+Inputs!$B$30,MAX(0,(Inputs!$B$3-100)*3)+Inputs!$B$29+Inputs!$B$30)))</f>
        <v/>
      </c>
      <c r="E1809">
        <f>INDEX(FactorTable!$B$2:$Y$301, MATCH(ROUND(MIN(300,MAX(1,D1809)),0), FactorTable!$A$2:$A$301,0), Skills!L21+1)</f>
        <v/>
      </c>
      <c r="F1809">
        <f>IF(Skills!M21=TRUE,(Skills!K21/10)*(E1809/1000),Skills!K21/10)+Skills!N21</f>
        <v/>
      </c>
      <c r="G1809">
        <f>Calc!G21</f>
        <v/>
      </c>
      <c r="H1809">
        <f>Calc!H21</f>
        <v/>
      </c>
      <c r="I1809">
        <f>IF(Skills!T21&lt;&gt;"",1+(Skills!T21/10)*($Z$3/1000)/100,1)</f>
        <v/>
      </c>
      <c r="J1809" t="inlineStr"/>
      <c r="K1809" t="inlineStr"/>
      <c r="L1809" t="inlineStr"/>
      <c r="M1809" t="inlineStr"/>
      <c r="N1809" t="inlineStr"/>
      <c r="O1809">
        <f>(1-Summary!$B$11)*S1809+Summary!$B$11*U1809</f>
        <v/>
      </c>
      <c r="P1809">
        <f>IF(B1830=0,0,O1809/B1830)</f>
        <v/>
      </c>
      <c r="Q1809">
        <f>IFERROR(1/(IF(Inputs!$B$39="pvp",15,MAX(0.1,Skills!D21-IF(Skills!E21=TRUE,Inputs!$B$33,0)))*(1-IF(AND(ArtifactsInput!$M$27,Inputs!$B$4="Chapter Hunt"),CHOOSE(ArtifactsInput!$N$27+1,20,24,28,32,36,40),0)/100)),0)</f>
        <v/>
      </c>
      <c r="R1809" t="n">
        <v>0</v>
      </c>
      <c r="S1809" t="n">
        <v>0</v>
      </c>
      <c r="U1809" t="n">
        <v>0</v>
      </c>
    </row>
    <row r="1810">
      <c r="A1810">
        <f>Skills!A22</f>
        <v/>
      </c>
      <c r="B1810">
        <f>Skills!B22</f>
        <v/>
      </c>
      <c r="C1810">
        <f>Inputs!$B$3&gt;=43</f>
        <v/>
      </c>
      <c r="D1810">
        <f>IF(Skills!C22=1,60+Inputs!$B$26+Inputs!$B$30,IF(Skills!C22=2,90+Inputs!$B$27+Inputs!$B$30,IF(Skills!C22=3,120+Inputs!$B$28+Inputs!$B$30,MAX(0,(Inputs!$B$3-100)*3)+Inputs!$B$29+Inputs!$B$30)))</f>
        <v/>
      </c>
      <c r="E1810">
        <f>INDEX(FactorTable!$B$2:$Y$301, MATCH(ROUND(MIN(300,MAX(1,D1810)),0), FactorTable!$A$2:$A$301,0), Skills!L22+1)</f>
        <v/>
      </c>
      <c r="F1810">
        <f>IF(Skills!M22=TRUE,(Skills!K22/10)*(E1810/1000),Skills!K22/10)+Skills!N22</f>
        <v/>
      </c>
      <c r="G1810">
        <f>Calc!G22</f>
        <v/>
      </c>
      <c r="H1810">
        <f>Calc!H22</f>
        <v/>
      </c>
      <c r="I1810">
        <f>IF(Skills!T22&lt;&gt;"",1+(Skills!T22/10)*($Z$3/1000)/100,1)</f>
        <v/>
      </c>
      <c r="J1810" t="inlineStr"/>
      <c r="K1810" t="inlineStr"/>
      <c r="L1810" t="inlineStr"/>
      <c r="M1810" t="inlineStr"/>
      <c r="N1810" t="inlineStr"/>
      <c r="O1810">
        <f>(1-Summary!$B$11)*S1810+Summary!$B$11*U1810</f>
        <v/>
      </c>
      <c r="P1810">
        <f>IF(B1830=0,0,O1810/B1830)</f>
        <v/>
      </c>
      <c r="Q1810">
        <f>IFERROR(1/(IF(Inputs!$B$39="pvp",15,MAX(0.1,Skills!D22-IF(Skills!E22=TRUE,Inputs!$B$33,0)))*(1-IF(AND(ArtifactsInput!$M$27,Inputs!$B$4="Chapter Hunt"),CHOOSE(ArtifactsInput!$N$27+1,20,24,28,32,36,40),0)/100)),0)</f>
        <v/>
      </c>
      <c r="R1810" t="n">
        <v>0</v>
      </c>
      <c r="S1810" t="n">
        <v>0</v>
      </c>
      <c r="U1810" t="n">
        <v>0</v>
      </c>
    </row>
    <row r="1811">
      <c r="A1811">
        <f>Skills!A23</f>
        <v/>
      </c>
      <c r="B1811">
        <f>Skills!B23</f>
        <v/>
      </c>
      <c r="C1811">
        <f>Inputs!$B$3&gt;=50</f>
        <v/>
      </c>
      <c r="D1811">
        <f>IF(Skills!C23=1,60+Inputs!$B$26+Inputs!$B$30,IF(Skills!C23=2,90+Inputs!$B$27+Inputs!$B$30,IF(Skills!C23=3,120+Inputs!$B$28+Inputs!$B$30,MAX(0,(Inputs!$B$3-100)*3)+Inputs!$B$29+Inputs!$B$30)))</f>
        <v/>
      </c>
      <c r="E1811">
        <f>INDEX(FactorTable!$B$2:$Y$301, MATCH(ROUND(MIN(300,MAX(1,D1811)),0), FactorTable!$A$2:$A$301,0), Skills!L23+1)</f>
        <v/>
      </c>
      <c r="F1811">
        <f>IF(Skills!M23=TRUE,(Skills!K23/10)*(E1811/1000),Skills!K23/10)+Skills!N23</f>
        <v/>
      </c>
      <c r="G1811">
        <f>Calc!G23</f>
        <v/>
      </c>
      <c r="H1811">
        <f>Calc!H23</f>
        <v/>
      </c>
      <c r="I1811">
        <f>IF(Skills!T23&lt;&gt;"",1+(Skills!T23/10)*($Z$3/1000)/100,1)</f>
        <v/>
      </c>
      <c r="J1811" t="inlineStr"/>
      <c r="K1811" t="inlineStr"/>
      <c r="L1811" t="inlineStr"/>
      <c r="M1811" t="inlineStr"/>
      <c r="N1811" t="inlineStr"/>
      <c r="O1811">
        <f>(1-Summary!$B$11)*S1811+Summary!$B$11*U1811</f>
        <v/>
      </c>
      <c r="P1811">
        <f>IF(B1830=0,0,O1811/B1830)</f>
        <v/>
      </c>
      <c r="Q1811">
        <f>IFERROR(1/(IF(Inputs!$B$39="pvp",15,MAX(0.1,Skills!D23-IF(Skills!E23=TRUE,Inputs!$B$33,0)))*(1-IF(AND(ArtifactsInput!$M$27,Inputs!$B$4="Chapter Hunt"),CHOOSE(ArtifactsInput!$N$27+1,20,24,28,32,36,40),0)/100)),0)</f>
        <v/>
      </c>
      <c r="R1811" t="n">
        <v>0</v>
      </c>
      <c r="S1811" t="n">
        <v>0</v>
      </c>
      <c r="U1811" t="n">
        <v>0</v>
      </c>
    </row>
    <row r="1812">
      <c r="A1812">
        <f>Skills!A24</f>
        <v/>
      </c>
      <c r="B1812">
        <f>Skills!B24</f>
        <v/>
      </c>
      <c r="C1812">
        <f>Inputs!$B$3&gt;=74</f>
        <v/>
      </c>
      <c r="D1812">
        <f>IF(Skills!C24=1,60+Inputs!$B$26+Inputs!$B$30,IF(Skills!C24=2,90+Inputs!$B$27+Inputs!$B$30,IF(Skills!C24=3,120+Inputs!$B$28+Inputs!$B$30,MAX(0,(Inputs!$B$3-100)*3)+Inputs!$B$29+Inputs!$B$30)))</f>
        <v/>
      </c>
      <c r="E1812">
        <f>INDEX(FactorTable!$B$2:$Y$301, MATCH(ROUND(MIN(300,MAX(1,D1812)),0), FactorTable!$A$2:$A$301,0), Skills!L24+1)</f>
        <v/>
      </c>
      <c r="F1812">
        <f>IF(Skills!M24=TRUE,(Skills!K24/10)*(E1812/1000),Skills!K24/10)+Skills!N24</f>
        <v/>
      </c>
      <c r="G1812">
        <f>Calc!G24</f>
        <v/>
      </c>
      <c r="H1812">
        <f>Calc!H24</f>
        <v/>
      </c>
      <c r="I1812">
        <f>IF(Skills!T24&lt;&gt;"",1+(Skills!T24/10)*($Z$3/1000)/100,1)</f>
        <v/>
      </c>
      <c r="J1812" t="inlineStr"/>
      <c r="K1812" t="inlineStr"/>
      <c r="L1812" t="inlineStr"/>
      <c r="M1812" t="inlineStr"/>
      <c r="N1812" t="inlineStr"/>
      <c r="O1812">
        <f>(1-Summary!$B$11)*S1812+Summary!$B$11*U1812</f>
        <v/>
      </c>
      <c r="P1812">
        <f>IF(B1830=0,0,O1812/B1830)</f>
        <v/>
      </c>
      <c r="Q1812">
        <f>IFERROR(1/(IF(Inputs!$B$39="pvp",15,MAX(0.1,Skills!D24-IF(Skills!E24=TRUE,Inputs!$B$33,0)))*(1-IF(AND(ArtifactsInput!$M$27,Inputs!$B$4="Chapter Hunt"),CHOOSE(ArtifactsInput!$N$27+1,20,24,28,32,36,40),0)/100)),0)</f>
        <v/>
      </c>
      <c r="R1812" t="n">
        <v>0</v>
      </c>
      <c r="S1812" t="n">
        <v>0</v>
      </c>
      <c r="U1812" t="n">
        <v>0</v>
      </c>
    </row>
    <row r="1813">
      <c r="A1813">
        <f>Skills!A25</f>
        <v/>
      </c>
      <c r="B1813">
        <f>Skills!B25</f>
        <v/>
      </c>
      <c r="C1813">
        <f>Inputs!$B$3&gt;=74</f>
        <v/>
      </c>
      <c r="D1813">
        <f>IF(Skills!C25=1,60+Inputs!$B$26+Inputs!$B$30,IF(Skills!C25=2,90+Inputs!$B$27+Inputs!$B$30,IF(Skills!C25=3,120+Inputs!$B$28+Inputs!$B$30,MAX(0,(Inputs!$B$3-100)*3)+Inputs!$B$29+Inputs!$B$30)))</f>
        <v/>
      </c>
      <c r="E1813">
        <f>INDEX(FactorTable!$B$2:$Y$301, MATCH(ROUND(MIN(300,MAX(1,D1813)),0), FactorTable!$A$2:$A$301,0), Skills!L25+1)</f>
        <v/>
      </c>
      <c r="F1813">
        <f>IF(Skills!M25=TRUE,(Skills!K25/10)*(E1813/1000),Skills!K25/10)+Skills!N25</f>
        <v/>
      </c>
      <c r="G1813">
        <f>Calc!G25</f>
        <v/>
      </c>
      <c r="H1813">
        <f>Calc!H25</f>
        <v/>
      </c>
      <c r="I1813">
        <f>IF(Skills!T25&lt;&gt;"",1+(Skills!T25/10)*($Z$3/1000)/100,1)</f>
        <v/>
      </c>
      <c r="J1813" t="inlineStr"/>
      <c r="K1813" t="inlineStr"/>
      <c r="L1813" t="inlineStr"/>
      <c r="M1813" t="inlineStr"/>
      <c r="N1813" t="inlineStr"/>
      <c r="O1813">
        <f>(1-Summary!$B$11)*S1813+Summary!$B$11*U1813</f>
        <v/>
      </c>
      <c r="P1813">
        <f>IF(B1830=0,0,O1813/B1830)</f>
        <v/>
      </c>
      <c r="Q1813">
        <f>IFERROR(1/(IF(Inputs!$B$39="pvp",15,MAX(0.1,Skills!D25-IF(Skills!E25=TRUE,Inputs!$B$33,0)))*(1-IF(AND(ArtifactsInput!$M$27,Inputs!$B$4="Chapter Hunt"),CHOOSE(ArtifactsInput!$N$27+1,20,24,28,32,36,40),0)/100)),0)</f>
        <v/>
      </c>
      <c r="R1813" t="n">
        <v>0</v>
      </c>
      <c r="S1813" t="n">
        <v>0</v>
      </c>
      <c r="U1813" t="n">
        <v>0</v>
      </c>
    </row>
    <row r="1814">
      <c r="A1814">
        <f>Skills!A26</f>
        <v/>
      </c>
      <c r="B1814">
        <f>Skills!B26</f>
        <v/>
      </c>
      <c r="C1814">
        <f>Inputs!$B$3&gt;=117</f>
        <v/>
      </c>
      <c r="D1814">
        <f>IF(Skills!C26=1,60+Inputs!$B$26+Inputs!$B$30,IF(Skills!C26=2,90+Inputs!$B$27+Inputs!$B$30,IF(Skills!C26=3,120+Inputs!$B$28+Inputs!$B$30,MAX(0,(Inputs!$B$3-100)*3)+Inputs!$B$29+Inputs!$B$30)))</f>
        <v/>
      </c>
      <c r="E1814">
        <f>INDEX(FactorTable!$B$2:$Y$301, MATCH(ROUND(MIN(300,MAX(1,D1814)),0), FactorTable!$A$2:$A$301,0), Skills!L26+1)</f>
        <v/>
      </c>
      <c r="F1814">
        <f>IF(Skills!M26=TRUE,(Skills!K26/10)*(E1814/1000),Skills!K26/10)+Skills!N26</f>
        <v/>
      </c>
      <c r="G1814">
        <f>Calc!G26</f>
        <v/>
      </c>
      <c r="H1814">
        <f>Calc!H26</f>
        <v/>
      </c>
      <c r="I1814">
        <f>IF(Skills!T26&lt;&gt;"",1+(Skills!T26/10)*($Z$3/1000)/100,1)</f>
        <v/>
      </c>
      <c r="J1814" t="inlineStr"/>
      <c r="K1814" t="inlineStr"/>
      <c r="L1814" t="inlineStr"/>
      <c r="M1814" t="inlineStr"/>
      <c r="N1814" t="inlineStr"/>
      <c r="O1814">
        <f>(1-Summary!$B$11)*S1814+Summary!$B$11*U1814</f>
        <v/>
      </c>
      <c r="P1814">
        <f>IF(B1830=0,0,O1814/B1830)</f>
        <v/>
      </c>
      <c r="Q1814">
        <f>IFERROR(1/(IF(Inputs!$B$39="pvp",15,MAX(0.1,Skills!D26-IF(Skills!E26=TRUE,Inputs!$B$33,0)))*(1-IF(AND(ArtifactsInput!$M$27,Inputs!$B$4="Chapter Hunt"),CHOOSE(ArtifactsInput!$N$27+1,20,24,28,32,36,40),0)/100)),0)</f>
        <v/>
      </c>
      <c r="R1814" t="n">
        <v>0</v>
      </c>
      <c r="S1814" t="n">
        <v>0</v>
      </c>
      <c r="U1814" t="n">
        <v>0</v>
      </c>
    </row>
    <row r="1815">
      <c r="A1815">
        <f>Skills!A27</f>
        <v/>
      </c>
      <c r="B1815">
        <f>Skills!B27</f>
        <v/>
      </c>
      <c r="C1815">
        <f>Inputs!$B$3&gt;=120</f>
        <v/>
      </c>
      <c r="D1815">
        <f>IF(Skills!C27=1,60+Inputs!$B$26+Inputs!$B$30,IF(Skills!C27=2,90+Inputs!$B$27+Inputs!$B$30,IF(Skills!C27=3,120+Inputs!$B$28+Inputs!$B$30,MAX(0,(Inputs!$B$3-100)*3)+Inputs!$B$29+Inputs!$B$30)))</f>
        <v/>
      </c>
      <c r="E1815">
        <f>INDEX(FactorTable!$B$2:$Y$301, MATCH(ROUND(MIN(300,MAX(1,D1815)),0), FactorTable!$A$2:$A$301,0), Skills!L27+1)</f>
        <v/>
      </c>
      <c r="F1815">
        <f>IF(Skills!M27=TRUE,(Skills!K27/10)*(E1815/1000),Skills!K27/10)+Skills!N27</f>
        <v/>
      </c>
      <c r="G1815">
        <f>Calc!G27</f>
        <v/>
      </c>
      <c r="H1815">
        <f>Calc!H27</f>
        <v/>
      </c>
      <c r="I1815">
        <f>IF(Skills!T27&lt;&gt;"",1+(Skills!T27/10)*($Z$3/1000)/100,1)</f>
        <v/>
      </c>
      <c r="J1815" t="inlineStr"/>
      <c r="K1815" t="inlineStr"/>
      <c r="L1815" t="inlineStr"/>
      <c r="M1815" t="inlineStr"/>
      <c r="N1815" t="inlineStr"/>
      <c r="O1815">
        <f>(1-Summary!$B$11)*S1815+Summary!$B$11*U1815</f>
        <v/>
      </c>
      <c r="P1815">
        <f>IF(B1830=0,0,O1815/B1830)</f>
        <v/>
      </c>
      <c r="Q1815">
        <f>IFERROR(1/(IF(Inputs!$B$39="pvp",15,MAX(0.1,Skills!D27-IF(Skills!E27=TRUE,Inputs!$B$33,0)))*(1-IF(AND(ArtifactsInput!$M$27,Inputs!$B$4="Chapter Hunt"),CHOOSE(ArtifactsInput!$N$27+1,20,24,28,32,36,40),0)/100)),0)</f>
        <v/>
      </c>
      <c r="R1815" t="n">
        <v>0</v>
      </c>
      <c r="S1815" t="n">
        <v>0</v>
      </c>
      <c r="U1815" t="n">
        <v>0</v>
      </c>
    </row>
    <row r="1817">
      <c r="A1817" t="inlineStr">
        <is>
          <t>Average Buff Multiplier</t>
        </is>
      </c>
      <c r="B1817">
        <f>(1+(IF(C1791=TRUE,F1791*IF(AND(Inputs!$B$39&lt;&gt;"pvp",Inputs!$B$44&gt;0),(((R1791-1)*(Skills!S3*(1+((Inputs!$B$35+(ArtifactsInput!$M$7-ArtifactsInput!$M$7)*CHOOSE(ArtifactsInput!$N$7+1,6,7.2,8.4,9.6,10.8,12))+IF(Inputs!$B$3&gt;=117,F1814,0))/100))+MIN((Skills!S3*(1+((Inputs!$B$35+(ArtifactsInput!$M$7-ArtifactsInput!$M$7)*CHOOSE(ArtifactsInput!$N$7+1,6,7.2,8.4,9.6,10.8,12))+IF(Inputs!$B$3&gt;=117,F1814,0))/100)),MAX(0,Inputs!$B$44-((R1791-1)*Skills!D3))))/Inputs!$B$44),IF(Inputs!$B$39="pvp",MIN((Skills!S3*(1+((Inputs!$B$35+(ArtifactsInput!$M$7-ArtifactsInput!$M$7)*CHOOSE(ArtifactsInput!$N$7+1,6,7.2,8.4,9.6,10.8,12))+IF(Inputs!$B$3&gt;=117,F1814,0))/100)),15)/15,(Skills!S3*(1+((Inputs!$B$35+(ArtifactsInput!$M$7-ArtifactsInput!$M$7)*CHOOSE(ArtifactsInput!$N$7+1,6,7.2,8.4,9.6,10.8,12))+IF(Inputs!$B$3&gt;=117,F1814,0))/100))/Skills!D3)),0)+IF(C1792=TRUE,F1792*IF(AND(Inputs!$B$39&lt;&gt;"pvp",Inputs!$B$44&gt;0),(((R1792-1)*(Skills!S4*(1+((Inputs!$B$35+(ArtifactsInput!$M$7-ArtifactsInput!$M$7)*CHOOSE(ArtifactsInput!$N$7+1,6,7.2,8.4,9.6,10.8,12))+IF(Inputs!$B$3&gt;=117,F1814,0))/100))+MIN((Skills!S4*(1+((Inputs!$B$35+(ArtifactsInput!$M$7-ArtifactsInput!$M$7)*CHOOSE(ArtifactsInput!$N$7+1,6,7.2,8.4,9.6,10.8,12))+IF(Inputs!$B$3&gt;=117,F1814,0))/100)),MAX(0,Inputs!$B$44-((R1792-1)*Skills!D4))))/Inputs!$B$44),IF(Inputs!$B$39="pvp",MIN((Skills!S4*(1+((Inputs!$B$35+(ArtifactsInput!$M$7-ArtifactsInput!$M$7)*CHOOSE(ArtifactsInput!$N$7+1,6,7.2,8.4,9.6,10.8,12))+IF(Inputs!$B$3&gt;=117,F1814,0))/100)),15)/15,(Skills!S4*(1+((Inputs!$B$35+(ArtifactsInput!$M$7-ArtifactsInput!$M$7)*CHOOSE(ArtifactsInput!$N$7+1,6,7.2,8.4,9.6,10.8,12))+IF(Inputs!$B$3&gt;=117,F1814,0))/100))/Skills!D4)),0)+IF(C1793=TRUE,F1793*IF(AND(Inputs!$B$39&lt;&gt;"pvp",Inputs!$B$44&gt;0),(((R1793-1)*(Skills!S5*(1+((Inputs!$B$35+(ArtifactsInput!$M$7-ArtifactsInput!$M$7)*CHOOSE(ArtifactsInput!$N$7+1,6,7.2,8.4,9.6,10.8,12))+IF(Inputs!$B$3&gt;=117,F1814,0))/100))+MIN((Skills!S5*(1+((Inputs!$B$35+(ArtifactsInput!$M$7-ArtifactsInput!$M$7)*CHOOSE(ArtifactsInput!$N$7+1,6,7.2,8.4,9.6,10.8,12))+IF(Inputs!$B$3&gt;=117,F1814,0))/100)),MAX(0,Inputs!$B$44-((R1793-1)*Skills!D5))))/Inputs!$B$44),IF(Inputs!$B$39="pvp",MIN((Skills!S5*(1+((Inputs!$B$35+(ArtifactsInput!$M$7-ArtifactsInput!$M$7)*CHOOSE(ArtifactsInput!$N$7+1,6,7.2,8.4,9.6,10.8,12))+IF(Inputs!$B$3&gt;=117,F1814,0))/100)),15)/15,(Skills!S5*(1+((Inputs!$B$35+(ArtifactsInput!$M$7-ArtifactsInput!$M$7)*CHOOSE(ArtifactsInput!$N$7+1,6,7.2,8.4,9.6,10.8,12))+IF(Inputs!$B$3&gt;=117,F1814,0))/100))/Skills!D5)),0)+IF(C1799=TRUE,F1799*IF(AND(Inputs!$B$39&lt;&gt;"pvp",Inputs!$B$44&gt;0),(((R1799-1)*(Skills!S11*(1+((Inputs!$B$35+(ArtifactsInput!$M$7-ArtifactsInput!$M$7)*CHOOSE(ArtifactsInput!$N$7+1,6,7.2,8.4,9.6,10.8,12))+IF(Inputs!$B$3&gt;=117,F1814,0))/100))+MIN((Skills!S11*(1+((Inputs!$B$35+(ArtifactsInput!$M$7-ArtifactsInput!$M$7)*CHOOSE(ArtifactsInput!$N$7+1,6,7.2,8.4,9.6,10.8,12))+IF(Inputs!$B$3&gt;=117,F1814,0))/100)),MAX(0,Inputs!$B$44-((R1799-1)*Skills!D11))))/Inputs!$B$44),IF(Inputs!$B$39="pvp",MIN((Skills!S11*(1+((Inputs!$B$35+(ArtifactsInput!$M$7-ArtifactsInput!$M$7)*CHOOSE(ArtifactsInput!$N$7+1,6,7.2,8.4,9.6,10.8,12))+IF(Inputs!$B$3&gt;=117,F1814,0))/100)),15)/15,(Skills!S11*(1+((Inputs!$B$35+(ArtifactsInput!$M$7-ArtifactsInput!$M$7)*CHOOSE(ArtifactsInput!$N$7+1,6,7.2,8.4,9.6,10.8,12))+IF(Inputs!$B$3&gt;=117,F1814,0)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1802=TRUE,(1+F1802*IF(AND(Inputs!$B$39&lt;&gt;"pvp",Inputs!$B$44&gt;0),(((R1802-1)*(Skills!S14*(1+((Inputs!$B$35+(ArtifactsInput!$M$7-ArtifactsInput!$M$7)*CHOOSE(ArtifactsInput!$N$7+1,6,7.2,8.4,9.6,10.8,12))+IF(Inputs!$B$3&gt;=117,F1814,0))/100))+MIN((Skills!S14*(1+((Inputs!$B$35+(ArtifactsInput!$M$7-ArtifactsInput!$M$7)*CHOOSE(ArtifactsInput!$N$7+1,6,7.2,8.4,9.6,10.8,12))+IF(Inputs!$B$3&gt;=117,F1814,0))/100)),MAX(0,Inputs!$B$44-((R1802-1)*Skills!D14))))/Inputs!$B$44),IF(Inputs!$B$39="pvp",MIN((Skills!S14*(1+((Inputs!$B$35+(ArtifactsInput!$M$7-ArtifactsInput!$M$7)*CHOOSE(ArtifactsInput!$N$7+1,6,7.2,8.4,9.6,10.8,12))+IF(Inputs!$B$3&gt;=117,F1814,0))/100)),15)/15,(Skills!S14*(1+((Inputs!$B$35+(ArtifactsInput!$M$7-ArtifactsInput!$M$7)*CHOOSE(ArtifactsInput!$N$7+1,6,7.2,8.4,9.6,10.8,12))+IF(Inputs!$B$3&gt;=117,F1814,0))/100))/Skills!D14))/100),1)*IF(C1807=TRUE,(1+F1807*IF(AND(Inputs!$B$39&lt;&gt;"pvp",Inputs!$B$44&gt;0),(((R1807-1)*(Skills!S19*(1+((Inputs!$B$35+(ArtifactsInput!$M$7-ArtifactsInput!$M$7)*CHOOSE(ArtifactsInput!$N$7+1,6,7.2,8.4,9.6,10.8,12))+IF(Inputs!$B$3&gt;=117,F1814,0))/100))+MIN((Skills!S19*(1+((Inputs!$B$35+(ArtifactsInput!$M$7-ArtifactsInput!$M$7)*CHOOSE(ArtifactsInput!$N$7+1,6,7.2,8.4,9.6,10.8,12))+IF(Inputs!$B$3&gt;=117,F1814,0))/100)),MAX(0,Inputs!$B$44-((R1807-1)*Skills!D19))))/Inputs!$B$44),IF(Inputs!$B$39="pvp",MIN((Skills!S19*(1+((Inputs!$B$35+(ArtifactsInput!$M$7-ArtifactsInput!$M$7)*CHOOSE(ArtifactsInput!$N$7+1,6,7.2,8.4,9.6,10.8,12))+IF(Inputs!$B$3&gt;=117,F1814,0))/100)),15)/15,(Skills!S19*(1+((Inputs!$B$35+(ArtifactsInput!$M$7-ArtifactsInput!$M$7)*CHOOSE(ArtifactsInput!$N$7+1,6,7.2,8.4,9.6,10.8,12))+IF(Inputs!$B$3&gt;=117,F1814,0))/100))/Skills!D19))/100),1)</f>
        <v/>
      </c>
    </row>
    <row r="1818">
      <c r="A1818" t="inlineStr">
        <is>
          <t>Monster Damage Taken Bonus % (Holy Fountain)</t>
        </is>
      </c>
      <c r="B1818">
        <f>IF(Inputs!$B$3&gt;=68,20*IF(Inputs!$B$39="pvp",MIN((15*(1+((Inputs!$B$35+(ArtifactsInput!$M$7-ArtifactsInput!$M$7)*CHOOSE(ArtifactsInput!$N$7+1,6,7.2,8.4,9.6,10.8,12))+IF(Inputs!$B$3&gt;=117,F1814,0))/100)),15)/15,(15*(1+((Inputs!$B$35+(ArtifactsInput!$M$7-ArtifactsInput!$M$7)*CHOOSE(ArtifactsInput!$N$7+1,6,7.2,8.4,9.6,10.8,12))+IF(Inputs!$B$3&gt;=117,F1814,0))/100))/Skills!D10),0)</f>
        <v/>
      </c>
    </row>
    <row r="1819">
      <c r="A1819" t="inlineStr">
        <is>
          <t>Normal Monster Damage Bonus % (Holy Symbol)</t>
        </is>
      </c>
      <c r="B1819">
        <f>IF(C1800=TRUE,F1800*IF(AND(Inputs!$B$39&lt;&gt;"pvp",Inputs!$B$44&gt;0),(((R1800-1)*(Skills!S12*(1+((Inputs!$B$35+(ArtifactsInput!$M$7-ArtifactsInput!$M$7)*CHOOSE(ArtifactsInput!$N$7+1,6,7.2,8.4,9.6,10.8,12))+IF(Inputs!$B$3&gt;=117,F1814,0))/100))+MIN((Skills!S12*(1+((Inputs!$B$35+(ArtifactsInput!$M$7-ArtifactsInput!$M$7)*CHOOSE(ArtifactsInput!$N$7+1,6,7.2,8.4,9.6,10.8,12))+IF(Inputs!$B$3&gt;=117,F1814,0))/100)),MAX(0,Inputs!$B$44-((R1800-1)*Skills!D12))))/Inputs!$B$44),IF(Inputs!$B$39="pvp",MIN((Skills!S12*(1+((Inputs!$B$35+(ArtifactsInput!$M$7-ArtifactsInput!$M$7)*CHOOSE(ArtifactsInput!$N$7+1,6,7.2,8.4,9.6,10.8,12))+IF(Inputs!$B$3&gt;=117,F1814,0))/100)),15)/15,(Skills!S12*(1+((Inputs!$B$35+(ArtifactsInput!$M$7-ArtifactsInput!$M$7)*CHOOSE(ArtifactsInput!$N$7+1,6,7.2,8.4,9.6,10.8,12))+IF(Inputs!$B$3&gt;=117,F1814,0))/100))/Skills!D12)),0)</f>
        <v/>
      </c>
    </row>
    <row r="1820">
      <c r="A1820" t="inlineStr">
        <is>
          <t>Damage % Bonus (Holy Symbol - Damage Boost)</t>
        </is>
      </c>
      <c r="B1820">
        <f>Skills!O12</f>
        <v/>
      </c>
    </row>
    <row r="1821">
      <c r="A1821" t="inlineStr">
        <is>
          <t>Crit Damage % Bonus (Blood of the Divine)</t>
        </is>
      </c>
      <c r="B1821">
        <f>4*IF(C1808=TRUE,F1808,0)</f>
        <v/>
      </c>
    </row>
    <row r="1822">
      <c r="A1822" t="inlineStr">
        <is>
          <t>Attack Speed Bonus %</t>
        </is>
      </c>
      <c r="B1822">
        <f>IF(C1805=TRUE,F1805+(F1809-Calc!F21),0)+IF(Inputs!$B$3&gt;=134,15,0)</f>
        <v/>
      </c>
    </row>
    <row r="1823">
      <c r="A1823" t="inlineStr">
        <is>
          <t>Actions Per Second</t>
        </is>
      </c>
      <c r="B1823">
        <f>1+MIN(150,150*(1-(1-Inputs!$B$12/150)*(1-B1822/150)))/100</f>
        <v/>
      </c>
    </row>
    <row r="1824">
      <c r="A1824" t="inlineStr">
        <is>
          <t>Skill + Buff Cast Rate</t>
        </is>
      </c>
      <c r="B1824">
        <f>IF(AND(Inputs!$B$39&lt;&gt;"pvp",Inputs!$B$44&gt;0),SUMPRODUCT((Skills!E2:E27=TRUE)*(C1790:C1815=TRUE)*R1790:R1815)/Inputs!$B$44,SUMPRODUCT((Skills!E2:E27=TRUE)*(C1790:C1815=TRUE)*Q1790:Q1815))</f>
        <v/>
      </c>
    </row>
    <row r="1825">
      <c r="A1825" t="inlineStr">
        <is>
          <t>Big Bang Casts Per Second</t>
        </is>
      </c>
      <c r="B1825">
        <f>MAX(0,B1823-B1824)</f>
        <v/>
      </c>
    </row>
    <row r="1826">
      <c r="A1826" t="inlineStr">
        <is>
          <t>Defense % Bonus (Divine Protection)</t>
        </is>
      </c>
      <c r="B1826">
        <f>IF(C1801=TRUE,F1801*IF(AND(Inputs!$B$39&lt;&gt;"pvp",Inputs!$B$44&gt;0),(((R1801-1)*(Skills!S13*(1+((Inputs!$B$35+(ArtifactsInput!$M$7-ArtifactsInput!$M$7)*CHOOSE(ArtifactsInput!$N$7+1,6,7.2,8.4,9.6,10.8,12))+IF(Inputs!$B$3&gt;=117,F1814,0))/100))+MIN((Skills!S13*(1+((Inputs!$B$35+(ArtifactsInput!$M$7-ArtifactsInput!$M$7)*CHOOSE(ArtifactsInput!$N$7+1,6,7.2,8.4,9.6,10.8,12))+IF(Inputs!$B$3&gt;=117,F1814,0))/100)),MAX(0,Inputs!$B$44-((R1801-1)*Skills!D13))))/Inputs!$B$44),IF(Inputs!$B$39="pvp",MIN((Skills!S13*(1+((Inputs!$B$35+(ArtifactsInput!$M$7-ArtifactsInput!$M$7)*CHOOSE(ArtifactsInput!$N$7+1,6,7.2,8.4,9.6,10.8,12))+IF(Inputs!$B$3&gt;=117,F1814,0))/100)),15)/15,(Skills!S13*(1+((Inputs!$B$35+(ArtifactsInput!$M$7-ArtifactsInput!$M$7)*CHOOSE(ArtifactsInput!$N$7+1,6,7.2,8.4,9.6,10.8,12))+IF(Inputs!$B$3&gt;=117,F1814,0))/100))/Skills!D13)),0)</f>
        <v/>
      </c>
    </row>
    <row r="1827">
      <c r="A1827" t="inlineStr">
        <is>
          <t>Buff-Casting Startup Delay (s, fixed-duration only)</t>
        </is>
      </c>
      <c r="B1827">
        <f>IF(AND(Inputs!$B$39&lt;&gt;"pvp",Inputs!$B$44&gt;0),SUMPRODUCT((Skills!S2:S27&gt;0)*(Skills!E2:E27=TRUE)*(C1790:C1815=TRUE))/B1823,0)</f>
        <v/>
      </c>
    </row>
    <row r="1828">
      <c r="A1828" t="inlineStr">
        <is>
          <t>Boss-Only Total DPS (this block's swept value)</t>
        </is>
      </c>
      <c r="B1828">
        <f>SUM(S1790:S1815)</f>
        <v/>
      </c>
    </row>
    <row r="1829">
      <c r="A1829" t="inlineStr">
        <is>
          <t>Normal-Only Total DPS (this block's swept value)</t>
        </is>
      </c>
      <c r="B1829">
        <f>SUM(U1790:U1815)</f>
        <v/>
      </c>
    </row>
    <row r="1830">
      <c r="A1830" s="6" t="inlineStr">
        <is>
          <t>TOTAL DPS</t>
        </is>
      </c>
      <c r="B1830" s="6">
        <f>SUM(O1790:O1815)</f>
        <v/>
      </c>
    </row>
    <row r="1832">
      <c r="A1832" s="6" t="inlineStr">
        <is>
          <t>Stat: Chalice (Equip)</t>
        </is>
      </c>
    </row>
    <row r="1833">
      <c r="A1833" s="5" t="inlineStr">
        <is>
          <t>Key</t>
        </is>
      </c>
      <c r="B1833" s="5" t="inlineStr">
        <is>
          <t>Name</t>
        </is>
      </c>
      <c r="C1833" s="5" t="inlineStr">
        <is>
          <t>Unlocked</t>
        </is>
      </c>
      <c r="D1833" s="5" t="inlineStr">
        <is>
          <t>InputLevel</t>
        </is>
      </c>
      <c r="E1833" s="5" t="inlineStr">
        <is>
          <t>Factor</t>
        </is>
      </c>
      <c r="F1833" s="5" t="inlineStr">
        <is>
          <t>CoefficientPercent</t>
        </is>
      </c>
      <c r="G1833" s="5" t="inlineStr">
        <is>
          <t>EffectiveHits</t>
        </is>
      </c>
      <c r="H1833" s="5" t="inlineStr">
        <is>
          <t>ProcProbability</t>
        </is>
      </c>
      <c r="I1833" s="5" t="inlineStr">
        <is>
          <t>MapleHeroMultiplier</t>
        </is>
      </c>
      <c r="J1833" s="5" t="inlineStr">
        <is>
          <t>BaseDamage</t>
        </is>
      </c>
      <c r="K1833" s="5" t="inlineStr">
        <is>
          <t>BaseHitDamage</t>
        </is>
      </c>
      <c r="L1833" s="5" t="inlineStr">
        <is>
          <t>NonCritAvg</t>
        </is>
      </c>
      <c r="M1833" s="5" t="inlineStr">
        <is>
          <t>CritAvg</t>
        </is>
      </c>
      <c r="N1833" s="5" t="inlineStr">
        <is>
          <t>ExpectedDamage(perHit)</t>
        </is>
      </c>
      <c r="O1833" s="5" t="inlineStr">
        <is>
          <t>DPS</t>
        </is>
      </c>
      <c r="P1833" s="5" t="inlineStr">
        <is>
          <t>% of Total</t>
        </is>
      </c>
      <c r="R1833" t="inlineStr">
        <is>
          <t>helpers</t>
        </is>
      </c>
    </row>
    <row r="1834">
      <c r="A1834">
        <f>Skills!A2</f>
        <v/>
      </c>
      <c r="B1834">
        <f>Skills!B2</f>
        <v/>
      </c>
      <c r="C1834">
        <f>Inputs!$B$3&gt;=100</f>
        <v/>
      </c>
      <c r="D1834" t="inlineStr"/>
      <c r="E1834" t="inlineStr"/>
      <c r="F1834">
        <f>T1836+Skills!N2</f>
        <v/>
      </c>
      <c r="G1834">
        <f>Calc!G2</f>
        <v/>
      </c>
      <c r="H1834">
        <f>Calc!H2</f>
        <v/>
      </c>
      <c r="I1834">
        <f>IF(Skills!T2&lt;&gt;"",1+(Skills!T2/10)*($Z$3/1000)/100,1)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2="TRIUMPH_FEATHER",IF(C1848=TRUE,F1848,0),0)/100)*(1+IF(C1859=TRUE,F1859,0)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1834)</f>
        <v/>
      </c>
      <c r="L1834">
        <f>K1834*(MIN(Inputs!$B$23+(F1854-Calc!F22),(Inputs!$B$24+IF(ArtifactsInput!$M$15,CHOOSE(ArtifactsInput!$N$15+1,25,30,35,40,45,50)/100*(Inputs!$B$12-Inputs!$B$12),0)))/100+(Inputs!$B$24+IF(ArtifactsInput!$M$15,CHOOSE(ArtifactsInput!$N$15+1,25,30,35,40,45,50)/100*(Inputs!$B$12-Inputs!$B$12),0))/100)/2</f>
        <v/>
      </c>
      <c r="M1834">
        <f>L1834*(1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IF(B1874=0,0,O1834/B1874)</f>
        <v/>
      </c>
      <c r="Q1834">
        <f>IFERROR(1/(IF(Inputs!$B$39="pvp",15,MAX(0.1,Skills!D2-IF(Skills!E2=TRUE,Inputs!$B$33,0)))*(1-IF(AND(ArtifactsInput!$M$27,Inputs!$B$4="Chapter Hunt"),CHOOSE(ArtifactsInput!$N$27+1,20,24,28,32,36,40),0)/100)),0)</f>
        <v/>
      </c>
      <c r="R1834" t="n">
        <v>0</v>
      </c>
      <c r="S1834">
        <f>IF(C1834,(Skills!F2*N1834*B1869)*IF(Inputs!$B$39="pvp",1,1+(Inputs!$B$21+Skills!O2+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34">
        <f>MAX(0,(Inputs!$B$3-100)*3)+Inputs!$B$29+Inputs!$B$30</f>
        <v/>
      </c>
      <c r="U1834">
        <f>IF(C1834,(Skills!F2*N1834*B1869)*IF(Inputs!$B$39="pvp",1,(1+(Inputs!$B$22+Skills!P2+B1863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5">
      <c r="A1835">
        <f>Skills!A3</f>
        <v/>
      </c>
      <c r="B1835">
        <f>Skills!B3</f>
        <v/>
      </c>
      <c r="C1835">
        <f>Inputs!$B$3&gt;=15</f>
        <v/>
      </c>
      <c r="D1835">
        <f>IF(Skills!C3=1,60+Inputs!$B$26+Inputs!$B$30,IF(Skills!C3=2,90+Inputs!$B$27+Inputs!$B$30,IF(Skills!C3=3,120+Inputs!$B$28+Inputs!$B$30,MAX(0,(Inputs!$B$3-100)*3)+Inputs!$B$29+Inputs!$B$30)))</f>
        <v/>
      </c>
      <c r="E1835">
        <f>INDEX(FactorTable!$B$2:$Y$301, MATCH(ROUND(MIN(300,MAX(1,D1835)),0), FactorTable!$A$2:$A$301,0), Skills!L3+1)</f>
        <v/>
      </c>
      <c r="F1835">
        <f>IF(Skills!M3=TRUE,(Skills!K3/10)*(E1835/1000),Skills!K3/10)+Skills!N3</f>
        <v/>
      </c>
      <c r="G1835">
        <f>Calc!G3</f>
        <v/>
      </c>
      <c r="H1835">
        <f>Calc!H3</f>
        <v/>
      </c>
      <c r="I1835">
        <f>IF(Skills!T3&lt;&gt;"",1+(Skills!T3/10)*($Z$3/1000)/100,1)</f>
        <v/>
      </c>
      <c r="J1835" t="inlineStr"/>
      <c r="K1835" t="inlineStr"/>
      <c r="L1835" t="inlineStr"/>
      <c r="M1835" t="inlineStr"/>
      <c r="N1835" t="inlineStr"/>
      <c r="O1835">
        <f>(1-Summary!$B$11)*S1835+Summary!$B$11*U1835</f>
        <v/>
      </c>
      <c r="P1835">
        <f>IF(B1874=0,0,O1835/B1874)</f>
        <v/>
      </c>
      <c r="Q1835">
        <f>IFERROR(1/(IF(Inputs!$B$39="pvp",15,MAX(0.1,Skills!D3-IF(Skills!E3=TRUE,Inputs!$B$33,0)))*(1-IF(AND(ArtifactsInput!$M$27,Inputs!$B$4="Chapter Hunt"),CHOOSE(ArtifactsInput!$N$27+1,20,24,28,32,36,40),0)/100)),0)</f>
        <v/>
      </c>
      <c r="R1835">
        <f>IF(AND(Inputs!$B$39&lt;&gt;"pvp",Inputs!$B$44&gt;0),IF(Inputs!$B$44&lt;=0,0,(INT(Inputs!$B$44/(IF(Inputs!$B$39="pvp",15,MAX(0.1,Skills!D3-IF(Skills!E3=TRUE,Inputs!$B$33,0)))*(1-IF(AND(ArtifactsInput!$M$27,Inputs!$B$4="Chapter Hunt"),CHOOSE(ArtifactsInput!$N$27+1,20,24,28,32,36,40),0)/100)))+1)),0)</f>
        <v/>
      </c>
      <c r="S1835" t="n">
        <v>0</v>
      </c>
      <c r="T1835">
        <f>INDEX(FactorTable!$B$2:$Y$301, MATCH(ROUND(MIN(300,MAX(1,T1834)),0), FactorTable!$A$2:$A$301,0), 22)</f>
        <v/>
      </c>
      <c r="U1835" t="n">
        <v>0</v>
      </c>
    </row>
    <row r="1836">
      <c r="A1836">
        <f>Skills!A4</f>
        <v/>
      </c>
      <c r="B1836">
        <f>Skills!B4</f>
        <v/>
      </c>
      <c r="C1836">
        <f>Inputs!$B$3&gt;=38</f>
        <v/>
      </c>
      <c r="D1836">
        <f>IF(Skills!C4=1,60+Inputs!$B$26+Inputs!$B$30,IF(Skills!C4=2,90+Inputs!$B$27+Inputs!$B$30,IF(Skills!C4=3,120+Inputs!$B$28+Inputs!$B$30,MAX(0,(Inputs!$B$3-100)*3)+Inputs!$B$29+Inputs!$B$30)))</f>
        <v/>
      </c>
      <c r="E1836">
        <f>INDEX(FactorTable!$B$2:$Y$301, MATCH(ROUND(MIN(300,MAX(1,D1836)),0), FactorTable!$A$2:$A$301,0), Skills!L4+1)</f>
        <v/>
      </c>
      <c r="F1836">
        <f>IF(Skills!M4=TRUE,(Skills!K4/10)*(E1836/1000),Skills!K4/10)+Skills!N4</f>
        <v/>
      </c>
      <c r="G1836">
        <f>Calc!G4</f>
        <v/>
      </c>
      <c r="H1836">
        <f>Calc!H4</f>
        <v/>
      </c>
      <c r="I1836">
        <f>IF(Skills!T4&lt;&gt;"",1+(Skills!T4/10)*($Z$3/1000)/100,1)</f>
        <v/>
      </c>
      <c r="J1836" t="inlineStr"/>
      <c r="K1836" t="inlineStr"/>
      <c r="L1836" t="inlineStr"/>
      <c r="M1836" t="inlineStr"/>
      <c r="N1836" t="inlineStr"/>
      <c r="O1836">
        <f>(1-Summary!$B$11)*S1836+Summary!$B$11*U1836</f>
        <v/>
      </c>
      <c r="P1836">
        <f>IF(B1874=0,0,O1836/B1874)</f>
        <v/>
      </c>
      <c r="Q1836">
        <f>IFERROR(1/(IF(Inputs!$B$39="pvp",15,MAX(0.1,Skills!D4-IF(Skills!E4=TRUE,Inputs!$B$33,0)))*(1-IF(AND(ArtifactsInput!$M$27,Inputs!$B$4="Chapter Hunt"),CHOOSE(ArtifactsInput!$N$27+1,20,24,28,32,36,40),0)/100)),0)</f>
        <v/>
      </c>
      <c r="R1836">
        <f>IF(AND(Inputs!$B$39&lt;&gt;"pvp",Inputs!$B$44&gt;0),IF(Inputs!$B$44&lt;=0,0,(INT(Inputs!$B$44/(IF(Inputs!$B$39="pvp",15,MAX(0.1,Skills!D4-IF(Skills!E4=TRUE,Inputs!$B$33,0)))*(1-IF(AND(ArtifactsInput!$M$27,Inputs!$B$4="Chapter Hunt"),CHOOSE(ArtifactsInput!$N$27+1,20,24,28,32,36,40),0)/100)))+1)),0)</f>
        <v/>
      </c>
      <c r="S1836" t="n">
        <v>0</v>
      </c>
      <c r="T1836">
        <f>290*T1835/1000</f>
        <v/>
      </c>
      <c r="U1836" t="n">
        <v>0</v>
      </c>
    </row>
    <row r="1837">
      <c r="A1837">
        <f>Skills!A5</f>
        <v/>
      </c>
      <c r="B1837">
        <f>Skills!B5</f>
        <v/>
      </c>
      <c r="C1837">
        <f>Inputs!$B$3&gt;=40</f>
        <v/>
      </c>
      <c r="D1837">
        <f>IF(Skills!C5=1,60+Inputs!$B$26+Inputs!$B$30,IF(Skills!C5=2,90+Inputs!$B$27+Inputs!$B$30,IF(Skills!C5=3,120+Inputs!$B$28+Inputs!$B$30,MAX(0,(Inputs!$B$3-100)*3)+Inputs!$B$29+Inputs!$B$30)))</f>
        <v/>
      </c>
      <c r="E1837">
        <f>INDEX(FactorTable!$B$2:$Y$301, MATCH(ROUND(MIN(300,MAX(1,D1837)),0), FactorTable!$A$2:$A$301,0), Skills!L5+1)</f>
        <v/>
      </c>
      <c r="F1837">
        <f>IF(Skills!M5=TRUE,(Skills!K5/10)*(E1837/1000),Skills!K5/10)+Skills!N5</f>
        <v/>
      </c>
      <c r="G1837">
        <f>Calc!G5</f>
        <v/>
      </c>
      <c r="H1837">
        <f>Calc!H5</f>
        <v/>
      </c>
      <c r="I1837">
        <f>IF(Skills!T5&lt;&gt;"",1+(Skills!T5/10)*($Z$3/1000)/100,1)</f>
        <v/>
      </c>
      <c r="J1837" t="inlineStr"/>
      <c r="K1837" t="inlineStr"/>
      <c r="L1837" t="inlineStr"/>
      <c r="M1837" t="inlineStr"/>
      <c r="N1837" t="inlineStr"/>
      <c r="O1837">
        <f>(1-Summary!$B$11)*S1837+Summary!$B$11*U1837</f>
        <v/>
      </c>
      <c r="P1837">
        <f>IF(B1874=0,0,O1837/B1874)</f>
        <v/>
      </c>
      <c r="Q1837">
        <f>IFERROR(1/(IF(Inputs!$B$39="pvp",15,MAX(0.1,Skills!D5-IF(Skills!E5=TRUE,Inputs!$B$33,0)))*(1-IF(AND(ArtifactsInput!$M$27,Inputs!$B$4="Chapter Hunt"),CHOOSE(ArtifactsInput!$N$27+1,20,24,28,32,36,40),0)/100)),0)</f>
        <v/>
      </c>
      <c r="R1837">
        <f>IF(AND(Inputs!$B$39&lt;&gt;"pvp",Inputs!$B$44&gt;0),IF(Inputs!$B$44&lt;=0,0,(INT(Inputs!$B$44/(IF(Inputs!$B$39="pvp",15,MAX(0.1,Skills!D5-IF(Skills!E5=TRUE,Inputs!$B$33,0)))*(1-IF(AND(ArtifactsInput!$M$27,Inputs!$B$4="Chapter Hunt"),CHOOSE(ArtifactsInput!$N$27+1,20,24,28,32,36,40),0)/100)))+1)),0)</f>
        <v/>
      </c>
      <c r="S1837" t="n">
        <v>0</v>
      </c>
      <c r="U1837" t="n">
        <v>0</v>
      </c>
    </row>
    <row r="1838">
      <c r="A1838">
        <f>Skills!A6</f>
        <v/>
      </c>
      <c r="B1838">
        <f>Skills!B6</f>
        <v/>
      </c>
      <c r="C1838">
        <f>Inputs!$B$3&gt;=103</f>
        <v/>
      </c>
      <c r="D1838">
        <f>IF(Skills!C6=1,60+Inputs!$B$26+Inputs!$B$30,IF(Skills!C6=2,90+Inputs!$B$27+Inputs!$B$30,IF(Skills!C6=3,120+Inputs!$B$28+Inputs!$B$30,MAX(0,(Inputs!$B$3-100)*3)+Inputs!$B$29+Inputs!$B$30)))</f>
        <v/>
      </c>
      <c r="E1838">
        <f>INDEX(FactorTable!$B$2:$Y$301, MATCH(ROUND(MIN(300,MAX(1,D1838)),0), FactorTable!$A$2:$A$301,0), Skills!L6+1)</f>
        <v/>
      </c>
      <c r="F1838">
        <f>IF(Skills!M6=TRUE,(Skills!K6/10)*(E1838/1000),Skills!K6/10)+Skills!N6</f>
        <v/>
      </c>
      <c r="G1838">
        <f>Calc!G6</f>
        <v/>
      </c>
      <c r="H1838">
        <f>Calc!H6</f>
        <v/>
      </c>
      <c r="I1838">
        <f>IF(Skills!T6&lt;&gt;"",1+(Skills!T6/10)*($Z$3/1000)/100,1)</f>
        <v/>
      </c>
      <c r="J1838">
        <f>((Inputs!$B$6*(1+Inputs!$B$7/100))+(((Inputs!$B$13*(1+Inputs!$B$14/100))-(Inputs!$B$13*(1+Inputs!$B$14/100)))+0.25*(Inputs!$B$15-Inputs!$B$15))*(1+Inputs!$B$7/100))*(F1838/100)</f>
        <v/>
      </c>
      <c r="K1838">
        <f>J1838*(1+(((Inputs!$B$13+IF(Inputs!$B$3&gt;=35,(10*INDEX(FactorTable!$B$2:$Y$301,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6="TRIUMPH_FEATHER",IF(C1848=TRUE,F1848,0),0)/100)*(1+IF(C1859=TRUE,F1859,0)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1838)</f>
        <v/>
      </c>
      <c r="L1838">
        <f>K1838*(MIN(Inputs!$B$23+(F1854-Calc!F22),(Inputs!$B$24+IF(ArtifactsInput!$M$15,CHOOSE(ArtifactsInput!$N$15+1,25,30,35,40,45,50)/100*(Inputs!$B$12-Inputs!$B$12),0)))/100+(Inputs!$B$24+IF(ArtifactsInput!$M$15,CHOOSE(ArtifactsInput!$N$15+1,25,30,35,40,45,50)/100*(Inputs!$B$12-Inputs!$B$12),0))/100)/2</f>
        <v/>
      </c>
      <c r="M1838">
        <f>L1838*(1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8">
        <f>L1838*(1-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(1-Summary!$B$11)*S1838+Summary!$B$11*U1838</f>
        <v/>
      </c>
      <c r="P1838">
        <f>IF(B1874=0,0,O1838/B1874)</f>
        <v/>
      </c>
      <c r="Q1838">
        <f>IFERROR(1/(IF(Inputs!$B$39="pvp",15,MAX(0.1,Skills!D6-IF(Skills!E6=TRUE,Inputs!$B$33,0)))*(1-IF(AND(ArtifactsInput!$M$27,Inputs!$B$4="Chapter Hunt"),CHOOSE(ArtifactsInput!$N$27+1,20,24,28,32,36,40),0)/100)),0)</f>
        <v/>
      </c>
      <c r="R1838">
        <f>IF(AND(Inputs!$B$39&lt;&gt;"pvp",Inputs!$B$44&gt;0),IF(MAX(0,Inputs!$B$44-B1871)&lt;=0,0,(INT(MAX(0,Inputs!$B$44-B1871)/(IF(Inputs!$B$39="pvp",15,MAX(0.1,Skills!D6-IF(Skills!E6=TRUE,Inputs!$B$33,0)))*(1-IF(AND(ArtifactsInput!$M$27,Inputs!$B$4="Chapter Hunt"),CHOOSE(ArtifactsInput!$N$27+1,20,24,28,32,36,40),0)/100)))+1)),0)</f>
        <v/>
      </c>
      <c r="S1838">
        <f>IF(C1838,(H1838*N1838*IF(AND(Inputs!$B$39&lt;&gt;"pvp",Inputs!$B$44&gt;0),((Skills!F6*((R1838-1)*IF(Skills!G6&gt;0,Skills!H6/Skills!G6,1)+IF(Skills!G6&gt;0,MIN(Skills!H6,MAX(0,MAX(0,Inputs!$B$44-B1871)-((R1838-1)*(IF(Inputs!$B$39="pvp",15,MAX(0.1,Skills!D6-IF(Skills!E6=TRUE,Inputs!$B$33,0)))*(1-IF(AND(ArtifactsInput!$M$27,Inputs!$B$4="Chapter Hunt"),CHOOSE(ArtifactsInput!$N$27+1,20,24,28,32,36,40),0)/100)))))/Skills!G6,1)))/Inputs!$B$44),G1838*Q1838))*IF(Inputs!$B$39="pvp",1,1+(Inputs!$B$21+Skills!O6+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1838*(1-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IF(C1838,(H1838*N1838*IF(AND(Inputs!$B$39&lt;&gt;"pvp",Inputs!$B$44&gt;0),((Skills!F6*((R1838-1)*IF(Skills!G6&gt;0,Skills!H6/Skills!G6,1)+IF(Skills!G6&gt;0,MIN(Skills!H6,MAX(0,MAX(0,Inputs!$B$44-B1871)-((R1838-1)*(IF(Inputs!$B$39="pvp",15,MAX(0.1,Skills!D6-IF(Skills!E6=TRUE,Inputs!$B$33,0)))*(1-IF(AND(ArtifactsInput!$M$27,Inputs!$B$4="Chapter Hunt"),CHOOSE(ArtifactsInput!$N$27+1,20,24,28,32,36,40),0)/100)))))/Skills!G6,1)))/Inputs!$B$44),G1838*Q1838))*IF(Inputs!$B$39="pvp",1,(1+(Inputs!$B$22+Skills!P6+B1863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Skills!A7</f>
        <v/>
      </c>
      <c r="B1839">
        <f>Skills!B7</f>
        <v/>
      </c>
      <c r="C1839">
        <f>Inputs!$B$3&gt;=122</f>
        <v/>
      </c>
      <c r="D1839">
        <f>IF(Skills!C7=1,60+Inputs!$B$26+Inputs!$B$30,IF(Skills!C7=2,90+Inputs!$B$27+Inputs!$B$30,IF(Skills!C7=3,120+Inputs!$B$28+Inputs!$B$30,MAX(0,(Inputs!$B$3-100)*3)+Inputs!$B$29+Inputs!$B$30)))</f>
        <v/>
      </c>
      <c r="E1839">
        <f>INDEX(FactorTable!$B$2:$Y$301, MATCH(ROUND(MIN(300,MAX(1,D1839)),0), FactorTable!$A$2:$A$301,0), Skills!L7+1)</f>
        <v/>
      </c>
      <c r="F1839">
        <f>IF(Skills!M7=TRUE,(Skills!K7/10)*(E1839/1000),Skills!K7/10)+Skills!N7</f>
        <v/>
      </c>
      <c r="G1839">
        <f>Calc!G7</f>
        <v/>
      </c>
      <c r="H1839">
        <f>Calc!H7</f>
        <v/>
      </c>
      <c r="I1839">
        <f>IF(Skills!T7&lt;&gt;"",1+(Skills!T7/10)*($Z$3/1000)/100,1)</f>
        <v/>
      </c>
      <c r="J1839">
        <f>((Inputs!$B$6*(1+Inputs!$B$7/100))+(((Inputs!$B$13*(1+Inputs!$B$14/100))-(Inputs!$B$13*(1+Inputs!$B$14/100)))+0.25*(Inputs!$B$15-Inputs!$B$15))*(1+Inputs!$B$7/100))*(F1839/100)</f>
        <v/>
      </c>
      <c r="K1839">
        <f>J1839*(1+(((Inputs!$B$13+IF(Inputs!$B$3&gt;=35,(10*INDEX(FactorTable!$B$2:$Y$301,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7="TRIUMPH_FEATHER",IF(C1848=TRUE,F1848,0),0)/100)*(1+IF(C1859=TRUE,F1859,0)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1839)</f>
        <v/>
      </c>
      <c r="L1839">
        <f>K1839*(MIN(Inputs!$B$23+(F1854-Calc!F22),(Inputs!$B$24+IF(ArtifactsInput!$M$15,CHOOSE(ArtifactsInput!$N$15+1,25,30,35,40,45,50)/100*(Inputs!$B$12-Inputs!$B$12),0)))/100+(Inputs!$B$24+IF(ArtifactsInput!$M$15,CHOOSE(ArtifactsInput!$N$15+1,25,30,35,40,45,50)/100*(Inputs!$B$12-Inputs!$B$12),0))/100)/2</f>
        <v/>
      </c>
      <c r="M1839">
        <f>L1839*(1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9">
        <f>L1839*(1-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(1-Summary!$B$11)*S1839+Summary!$B$11*U1839</f>
        <v/>
      </c>
      <c r="P1839">
        <f>IF(B1874=0,0,O1839/B1874)</f>
        <v/>
      </c>
      <c r="Q1839">
        <f>IFERROR(1/(IF(Inputs!$B$39="pvp",15,MAX(0.1,Skills!D7-IF(Skills!E6=TRUE,Inputs!$B$33,0)))*(1-IF(AND(ArtifactsInput!$M$27,Inputs!$B$4="Chapter Hunt"),CHOOSE(ArtifactsInput!$N$27+1,20,24,28,32,36,40),0)/100)),0)</f>
        <v/>
      </c>
      <c r="R1839">
        <f>IF(AND(Inputs!$B$39&lt;&gt;"pvp",Inputs!$B$44&gt;0),IF(MAX(0,Inputs!$B$44-B1871)&lt;=0,0,(INT(MAX(0,Inputs!$B$44-B1871)/(IF(Inputs!$B$39="pvp",15,MAX(0.1,Skills!D7-IF(Skills!E6=TRUE,Inputs!$B$33,0)))*(1-IF(AND(ArtifactsInput!$M$27,Inputs!$B$4="Chapter Hunt"),CHOOSE(ArtifactsInput!$N$27+1,20,24,28,32,36,40),0)/100)))+1)),0)</f>
        <v/>
      </c>
      <c r="S1839">
        <f>IF(C1839,H1839*N1839*IF(AND(Inputs!$B$39&lt;&gt;"pvp",Inputs!$B$44&gt;0),((Skills!F7*((R1839-1)*IF(Skills!G7&gt;0,Skills!H7/Skills!G7,1)+IF(Skills!G7&gt;0,MIN(Skills!H7,MAX(0,MAX(0,Inputs!$B$44-B1871)-((R1839-1)*(IF(Inputs!$B$39="pvp",15,MAX(0.1,Skills!D7-IF(Skills!E6=TRUE,Inputs!$B$33,0)))*(1-IF(AND(ArtifactsInput!$M$27,Inputs!$B$4="Chapter Hunt"),CHOOSE(ArtifactsInput!$N$27+1,20,24,28,32,36,40),0)/100)))))/Skills!G7,1)))/Inputs!$B$44),G1839*Q1839)*IF(Inputs!$B$39="pvp",1,1+(Inputs!$B$21+Skills!O7+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1839*(1-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t="n">
        <v>0</v>
      </c>
    </row>
    <row r="1840">
      <c r="A1840">
        <f>Skills!A8</f>
        <v/>
      </c>
      <c r="B1840">
        <f>Skills!B8</f>
        <v/>
      </c>
      <c r="C1840">
        <f>Inputs!$B$3&gt;=105</f>
        <v/>
      </c>
      <c r="D1840">
        <f>IF(Skills!C8=1,60+Inputs!$B$26+Inputs!$B$30,IF(Skills!C8=2,90+Inputs!$B$27+Inputs!$B$30,IF(Skills!C8=3,120+Inputs!$B$28+Inputs!$B$30,MAX(0,(Inputs!$B$3-100)*3)+Inputs!$B$29+Inputs!$B$30)))</f>
        <v/>
      </c>
      <c r="E1840">
        <f>INDEX(FactorTable!$B$2:$Y$301, MATCH(ROUND(MIN(300,MAX(1,D1840)),0), FactorTable!$A$2:$A$301,0), Skills!L8+1)</f>
        <v/>
      </c>
      <c r="F1840">
        <f>IF(Skills!M8=TRUE,(Skills!K8/10)*(E1840/1000),Skills!K8/10)+Skills!N8</f>
        <v/>
      </c>
      <c r="G1840">
        <f>Calc!G8</f>
        <v/>
      </c>
      <c r="H1840">
        <f>Calc!H8</f>
        <v/>
      </c>
      <c r="I1840">
        <f>IF(Skills!T8&lt;&gt;"",1+(Skills!T8/10)*($Z$3/1000)/100,1)</f>
        <v/>
      </c>
      <c r="J1840">
        <f>((Inputs!$B$6*(1+Inputs!$B$7/100))+(((Inputs!$B$13*(1+Inputs!$B$14/100))-(Inputs!$B$13*(1+Inputs!$B$14/100)))+0.25*(Inputs!$B$15-Inputs!$B$15))*(1+Inputs!$B$7/100))*(F1840/100)</f>
        <v/>
      </c>
      <c r="K1840">
        <f>J1840*(1+(((Inputs!$B$13+IF(Inputs!$B$3&gt;=35,(10*INDEX(FactorTable!$B$2:$Y$301,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8="TRIUMPH_FEATHER",IF(C1848=TRUE,F1848,0),0)/100)*(1+IF(C1859=TRUE,F1859,0)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1840)</f>
        <v/>
      </c>
      <c r="L1840">
        <f>K1840*(MIN(Inputs!$B$23+(F1854-Calc!F22),(Inputs!$B$24+IF(ArtifactsInput!$M$15,CHOOSE(ArtifactsInput!$N$15+1,25,30,35,40,45,50)/100*(Inputs!$B$12-Inputs!$B$12),0)))/100+(Inputs!$B$24+IF(ArtifactsInput!$M$15,CHOOSE(ArtifactsInput!$N$15+1,25,30,35,40,45,50)/100*(Inputs!$B$12-Inputs!$B$12),0))/100)/2</f>
        <v/>
      </c>
      <c r="M1840">
        <f>L1840*(1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0">
        <f>L1840*(1-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(1-Summary!$B$11)*S1840+Summary!$B$11*U1840</f>
        <v/>
      </c>
      <c r="P1840">
        <f>IF(B1874=0,0,O1840/B1874)</f>
        <v/>
      </c>
      <c r="Q1840">
        <f>IFERROR(1/(IF(Inputs!$B$39="pvp",15,MAX(0.1,Skills!D8-IF(Skills!E8=TRUE,Inputs!$B$33,0)))*(1-IF(AND(ArtifactsInput!$M$27,Inputs!$B$4="Chapter Hunt"),CHOOSE(ArtifactsInput!$N$27+1,20,24,28,32,36,40),0)/100)),0)</f>
        <v/>
      </c>
      <c r="R1840">
        <f>IF(AND(Inputs!$B$39&lt;&gt;"pvp",Inputs!$B$44&gt;0),IF(MAX(0,Inputs!$B$44-B1871)&lt;=0,0,(INT(MAX(0,Inputs!$B$44-B1871)/(IF(Inputs!$B$39="pvp",15,MAX(0.1,Skills!D8-IF(Skills!E8=TRUE,Inputs!$B$33,0)))*(1-IF(AND(ArtifactsInput!$M$27,Inputs!$B$4="Chapter Hunt"),CHOOSE(ArtifactsInput!$N$27+1,20,24,28,32,36,40),0)/100)))+1)),0)</f>
        <v/>
      </c>
      <c r="S1840">
        <f>IF(C1840,(H1840*N1840*IF(AND(Inputs!$B$39&lt;&gt;"pvp",Inputs!$B$44&gt;0),((Skills!F8*((R1840-1)*IF(Skills!G8&gt;0,Skills!H8/Skills!G8,1)+IF(Skills!G8&gt;0,MIN(Skills!H8,MAX(0,MAX(0,Inputs!$B$44-B1871)-((R1840-1)*(IF(Inputs!$B$39="pvp",15,MAX(0.1,Skills!D8-IF(Skills!E8=TRUE,Inputs!$B$33,0)))*(1-IF(AND(ArtifactsInput!$M$27,Inputs!$B$4="Chapter Hunt"),CHOOSE(ArtifactsInput!$N$27+1,20,24,28,32,36,40),0)/100)))))/Skills!G8,1)))/Inputs!$B$44),G1840*Q1840))*IF(Inputs!$B$39="pvp",1,1+(Inputs!$B$21+Skills!O8+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1840*(1-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IF(C1840,(H1840*N1840*IF(AND(Inputs!$B$39&lt;&gt;"pvp",Inputs!$B$44&gt;0),((Skills!F8*((R1840-1)*IF(Skills!G8&gt;0,Skills!H8/Skills!G8,1)+IF(Skills!G8&gt;0,MIN(Skills!H8,MAX(0,MAX(0,Inputs!$B$44-B1871)-((R1840-1)*(IF(Inputs!$B$39="pvp",15,MAX(0.1,Skills!D8-IF(Skills!E8=TRUE,Inputs!$B$33,0)))*(1-IF(AND(ArtifactsInput!$M$27,Inputs!$B$4="Chapter Hunt"),CHOOSE(ArtifactsInput!$N$27+1,20,24,28,32,36,40),0)/100)))))/Skills!G8,1)))/Inputs!$B$44),G1840*Q1840))*IF(Inputs!$B$39="pvp",1,(1+(Inputs!$B$22+Skills!P8+B1863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Skills!A9</f>
        <v/>
      </c>
      <c r="B1841">
        <f>Skills!B9</f>
        <v/>
      </c>
      <c r="C1841">
        <f>Inputs!$B$3&gt;=115</f>
        <v/>
      </c>
      <c r="D1841">
        <f>IF(Skills!C9=1,60+Inputs!$B$26+Inputs!$B$30,IF(Skills!C9=2,90+Inputs!$B$27+Inputs!$B$30,IF(Skills!C9=3,120+Inputs!$B$28+Inputs!$B$30,MAX(0,(Inputs!$B$3-100)*3)+Inputs!$B$29+Inputs!$B$30)))</f>
        <v/>
      </c>
      <c r="E1841">
        <f>INDEX(FactorTable!$B$2:$Y$301, MATCH(ROUND(MIN(300,MAX(1,D1841)),0), FactorTable!$A$2:$A$301,0), Skills!L9+1)</f>
        <v/>
      </c>
      <c r="F1841">
        <f>IF(Skills!M9=TRUE,(Skills!K9/10)*(E1841/1000),Skills!K9/10)+Skills!N9</f>
        <v/>
      </c>
      <c r="G1841">
        <f>Calc!G9</f>
        <v/>
      </c>
      <c r="H1841">
        <f>Calc!H9</f>
        <v/>
      </c>
      <c r="I1841">
        <f>IF(Skills!T9&lt;&gt;"",1+(Skills!T9/10)*($Z$3/1000)/100,1)</f>
        <v/>
      </c>
      <c r="J1841">
        <f>((Inputs!$B$6*(1+Inputs!$B$7/100))+(((Inputs!$B$13*(1+Inputs!$B$14/100))-(Inputs!$B$13*(1+Inputs!$B$14/100)))+0.25*(Inputs!$B$15-Inputs!$B$15))*(1+Inputs!$B$7/100))*(F1841/100)</f>
        <v/>
      </c>
      <c r="K1841">
        <f>J1841*(1+(((Inputs!$B$13+IF(Inputs!$B$3&gt;=35,(10*INDEX(FactorTable!$B$2:$Y$301,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9="TRIUMPH_FEATHER",IF(C1848=TRUE,F1848,0),0)/100)*(1+IF(C1859=TRUE,F1859,0)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1841)</f>
        <v/>
      </c>
      <c r="L1841">
        <f>K1841*(MIN(Inputs!$B$23+(F1854-Calc!F22),(Inputs!$B$24+IF(ArtifactsInput!$M$15,CHOOSE(ArtifactsInput!$N$15+1,25,30,35,40,45,50)/100*(Inputs!$B$12-Inputs!$B$12),0)))/100+(Inputs!$B$24+IF(ArtifactsInput!$M$15,CHOOSE(ArtifactsInput!$N$15+1,25,30,35,40,45,50)/100*(Inputs!$B$12-Inputs!$B$12),0))/100)/2</f>
        <v/>
      </c>
      <c r="M1841">
        <f>L1841*(1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1">
        <f>L1841*(1-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(1-Summary!$B$11)*S1841+Summary!$B$11*U1841</f>
        <v/>
      </c>
      <c r="P1841">
        <f>IF(B1874=0,0,O1841/B1874)</f>
        <v/>
      </c>
      <c r="Q1841">
        <f>IFERROR(1/(IF(Inputs!$B$39="pvp",15,MAX(0.1,Skills!D9-IF(Skills!E9=TRUE,Inputs!$B$33,0)))*(1-IF(AND(ArtifactsInput!$M$27,Inputs!$B$4="Chapter Hunt"),CHOOSE(ArtifactsInput!$N$27+1,20,24,28,32,36,40),0)/100)),0)</f>
        <v/>
      </c>
      <c r="R1841">
        <f>IF(AND(Inputs!$B$39&lt;&gt;"pvp",Inputs!$B$44&gt;0),IF(MAX(0,Inputs!$B$44-B1871)&lt;=0,0,(INT(MAX(0,Inputs!$B$44-B1871)/(IF(Inputs!$B$39="pvp",15,MAX(0.1,Skills!D9-IF(Skills!E9=TRUE,Inputs!$B$33,0)))*(1-IF(AND(ArtifactsInput!$M$27,Inputs!$B$4="Chapter Hunt"),CHOOSE(ArtifactsInput!$N$27+1,20,24,28,32,36,40),0)/100)))+1)),0)</f>
        <v/>
      </c>
      <c r="S1841">
        <f>IF(C1841,(H1841*N1841*IF(AND(Inputs!$B$39&lt;&gt;"pvp",Inputs!$B$44&gt;0),((Skills!F9*((R1841-1)*IF(Skills!G9&gt;0,Skills!H9/Skills!G9,1)+IF(Skills!G9&gt;0,MIN(Skills!H9,MAX(0,MAX(0,Inputs!$B$44-B1871)-((R1841-1)*(IF(Inputs!$B$39="pvp",15,MAX(0.1,Skills!D9-IF(Skills!E9=TRUE,Inputs!$B$33,0)))*(1-IF(AND(ArtifactsInput!$M$27,Inputs!$B$4="Chapter Hunt"),CHOOSE(ArtifactsInput!$N$27+1,20,24,28,32,36,40),0)/100)))))/Skills!G9,1)))/Inputs!$B$44),G1841*Q1841))*IF(Inputs!$B$39="pvp",1,1+(Inputs!$B$21+Skills!O9+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1841*(1-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F(C1841,(H1841*N1841*IF(AND(Inputs!$B$39&lt;&gt;"pvp",Inputs!$B$44&gt;0),((Skills!F9*((R1841-1)*IF(Skills!G9&gt;0,Skills!H9/Skills!G9,1)+IF(Skills!G9&gt;0,MIN(Skills!H9,MAX(0,MAX(0,Inputs!$B$44-B1871)-((R1841-1)*(IF(Inputs!$B$39="pvp",15,MAX(0.1,Skills!D9-IF(Skills!E9=TRUE,Inputs!$B$33,0)))*(1-IF(AND(ArtifactsInput!$M$27,Inputs!$B$4="Chapter Hunt"),CHOOSE(ArtifactsInput!$N$27+1,20,24,28,32,36,40),0)/100)))))/Skills!G9,1)))/Inputs!$B$44),G1841*Q1841))*IF(Inputs!$B$39="pvp",1,(1+(Inputs!$B$22+Skills!P9+B1863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Skills!A10</f>
        <v/>
      </c>
      <c r="B1842">
        <f>Skills!B10</f>
        <v/>
      </c>
      <c r="C1842">
        <f>Inputs!$B$3&gt;=66</f>
        <v/>
      </c>
      <c r="D1842">
        <f>IF(Skills!C10=1,60+Inputs!$B$26+Inputs!$B$30,IF(Skills!C10=2,90+Inputs!$B$27+Inputs!$B$30,IF(Skills!C10=3,120+Inputs!$B$28+Inputs!$B$30,MAX(0,(Inputs!$B$3-100)*3)+Inputs!$B$29+Inputs!$B$30)))</f>
        <v/>
      </c>
      <c r="E1842">
        <f>INDEX(FactorTable!$B$2:$Y$301, MATCH(ROUND(MIN(300,MAX(1,D1842)),0), FactorTable!$A$2:$A$301,0), Skills!L10+1)</f>
        <v/>
      </c>
      <c r="F1842" t="n">
        <v>0</v>
      </c>
      <c r="G1842">
        <f>Calc!G10</f>
        <v/>
      </c>
      <c r="H1842">
        <f>Calc!H10</f>
        <v/>
      </c>
      <c r="I1842">
        <f>IF(Skills!T10&lt;&gt;"",1+(Skills!T10/10)*($Z$3/1000)/100,1)</f>
        <v/>
      </c>
      <c r="J1842" t="inlineStr"/>
      <c r="K1842" t="inlineStr"/>
      <c r="L1842" t="inlineStr"/>
      <c r="M1842" t="inlineStr"/>
      <c r="N1842" t="inlineStr"/>
      <c r="O1842">
        <f>(1-Summary!$B$11)*S1842+Summary!$B$11*U1842</f>
        <v/>
      </c>
      <c r="P1842">
        <f>IF(B1874=0,0,O1842/B1874)</f>
        <v/>
      </c>
      <c r="Q1842">
        <f>IFERROR(1/(IF(Inputs!$B$39="pvp",15,MAX(0.1,Skills!D10-IF(Skills!E10=TRUE,Inputs!$B$33,0)))*(1-IF(AND(ArtifactsInput!$M$27,Inputs!$B$4="Chapter Hunt"),CHOOSE(ArtifactsInput!$N$27+1,20,24,28,32,36,40),0)/100)),0)</f>
        <v/>
      </c>
      <c r="R1842">
        <f>IF(AND(Inputs!$B$39&lt;&gt;"pvp",Inputs!$B$44&gt;0),IF(MAX(0,Inputs!$B$44-B1871)&lt;=0,0,(INT(MAX(0,Inputs!$B$44-B1871)/(IF(Inputs!$B$39="pvp",15,MAX(0.1,Skills!D10-IF(Skills!E10=TRUE,Inputs!$B$33,0)))*(1-IF(AND(ArtifactsInput!$M$27,Inputs!$B$4="Chapter Hunt"),CHOOSE(ArtifactsInput!$N$27+1,20,24,28,32,36,40),0)/100)))+1)),0)</f>
        <v/>
      </c>
      <c r="S1842" t="n">
        <v>0</v>
      </c>
      <c r="U1842" t="n">
        <v>0</v>
      </c>
    </row>
    <row r="1843">
      <c r="A1843">
        <f>Skills!A11</f>
        <v/>
      </c>
      <c r="B1843">
        <f>Skills!B11</f>
        <v/>
      </c>
      <c r="C1843">
        <f>Inputs!$B$3&gt;=69</f>
        <v/>
      </c>
      <c r="D1843">
        <f>IF(Skills!C11=1,60+Inputs!$B$26+Inputs!$B$30,IF(Skills!C11=2,90+Inputs!$B$27+Inputs!$B$30,IF(Skills!C11=3,120+Inputs!$B$28+Inputs!$B$30,MAX(0,(Inputs!$B$3-100)*3)+Inputs!$B$29+Inputs!$B$30)))</f>
        <v/>
      </c>
      <c r="E1843">
        <f>INDEX(FactorTable!$B$2:$Y$301, MATCH(ROUND(MIN(300,MAX(1,D1843)),0), FactorTable!$A$2:$A$301,0), Skills!L11+1)</f>
        <v/>
      </c>
      <c r="F1843">
        <f>IF(Skills!M11=TRUE,(Skills!K11/10)*(E1843/1000),Skills!K11/10)+Skills!N11</f>
        <v/>
      </c>
      <c r="G1843">
        <f>Calc!G11</f>
        <v/>
      </c>
      <c r="H1843">
        <f>Calc!H11</f>
        <v/>
      </c>
      <c r="I1843">
        <f>IF(Skills!T11&lt;&gt;"",1+(Skills!T11/10)*($Z$3/1000)/100,1)</f>
        <v/>
      </c>
      <c r="J1843" t="inlineStr"/>
      <c r="K1843" t="inlineStr"/>
      <c r="L1843" t="inlineStr"/>
      <c r="M1843" t="inlineStr"/>
      <c r="N1843" t="inlineStr"/>
      <c r="O1843">
        <f>(1-Summary!$B$11)*S1843+Summary!$B$11*U1843</f>
        <v/>
      </c>
      <c r="P1843">
        <f>IF(B1874=0,0,O1843/B1874)</f>
        <v/>
      </c>
      <c r="Q1843">
        <f>IFERROR(1/(IF(Inputs!$B$39="pvp",15,MAX(0.1,Skills!D11-IF(Skills!E11=TRUE,Inputs!$B$33,0)))*(1-IF(AND(ArtifactsInput!$M$27,Inputs!$B$4="Chapter Hunt"),CHOOSE(ArtifactsInput!$N$27+1,20,24,28,32,36,40),0)/100)),0)</f>
        <v/>
      </c>
      <c r="R1843">
        <f>IF(AND(Inputs!$B$39&lt;&gt;"pvp",Inputs!$B$44&gt;0),IF(Inputs!$B$44&lt;=0,0,(INT(Inputs!$B$44/(IF(Inputs!$B$39="pvp",15,MAX(0.1,Skills!D11-IF(Skills!E11=TRUE,Inputs!$B$33,0)))*(1-IF(AND(ArtifactsInput!$M$27,Inputs!$B$4="Chapter Hunt"),CHOOSE(ArtifactsInput!$N$27+1,20,24,28,32,36,40),0)/100)))+1)),0)</f>
        <v/>
      </c>
      <c r="S1843" t="n">
        <v>0</v>
      </c>
      <c r="U1843" t="n">
        <v>0</v>
      </c>
    </row>
    <row r="1844">
      <c r="A1844">
        <f>Skills!A12</f>
        <v/>
      </c>
      <c r="B1844">
        <f>Skills!B12</f>
        <v/>
      </c>
      <c r="C1844">
        <f>Inputs!$B$3&gt;=72</f>
        <v/>
      </c>
      <c r="D1844">
        <f>IF(Skills!C12=1,60+Inputs!$B$26+Inputs!$B$30,IF(Skills!C12=2,90+Inputs!$B$27+Inputs!$B$30,IF(Skills!C12=3,120+Inputs!$B$28+Inputs!$B$30,MAX(0,(Inputs!$B$3-100)*3)+Inputs!$B$29+Inputs!$B$30)))</f>
        <v/>
      </c>
      <c r="E1844">
        <f>INDEX(FactorTable!$B$2:$Y$301, MATCH(ROUND(MIN(300,MAX(1,D1844)),0), FactorTable!$A$2:$A$301,0), Skills!L12+1)</f>
        <v/>
      </c>
      <c r="F1844">
        <f>IF(Skills!M12=TRUE,(Skills!K12/10)*(E1844/1000),Skills!K12/10)+Skills!N12</f>
        <v/>
      </c>
      <c r="G1844">
        <f>Calc!G12</f>
        <v/>
      </c>
      <c r="H1844">
        <f>Calc!H12</f>
        <v/>
      </c>
      <c r="I1844">
        <f>IF(Skills!T12&lt;&gt;"",1+(Skills!T12/10)*($Z$3/1000)/100,1)</f>
        <v/>
      </c>
      <c r="J1844" t="inlineStr"/>
      <c r="K1844" t="inlineStr"/>
      <c r="L1844" t="inlineStr"/>
      <c r="M1844" t="inlineStr"/>
      <c r="N1844" t="inlineStr"/>
      <c r="O1844">
        <f>(1-Summary!$B$11)*S1844+Summary!$B$11*U1844</f>
        <v/>
      </c>
      <c r="P1844">
        <f>IF(B1874=0,0,O1844/B1874)</f>
        <v/>
      </c>
      <c r="Q1844">
        <f>IFERROR(1/(IF(Inputs!$B$39="pvp",15,MAX(0.1,Skills!D12-IF(Skills!E12=TRUE,Inputs!$B$33,0)))*(1-IF(AND(ArtifactsInput!$M$27,Inputs!$B$4="Chapter Hunt"),CHOOSE(ArtifactsInput!$N$27+1,20,24,28,32,36,40),0)/100)),0)</f>
        <v/>
      </c>
      <c r="R1844">
        <f>IF(AND(Inputs!$B$39&lt;&gt;"pvp",Inputs!$B$44&gt;0),IF(MAX(0,Inputs!$B$44-B1871)&lt;=0,0,(INT(MAX(0,Inputs!$B$44-B1871)/(IF(Inputs!$B$39="pvp",15,MAX(0.1,Skills!D12-IF(Skills!E12=TRUE,Inputs!$B$33,0)))*(1-IF(AND(ArtifactsInput!$M$27,Inputs!$B$4="Chapter Hunt"),CHOOSE(ArtifactsInput!$N$27+1,20,24,28,32,36,40),0)/100)))+1)),0)</f>
        <v/>
      </c>
      <c r="S1844" t="n">
        <v>0</v>
      </c>
      <c r="U1844" t="n">
        <v>0</v>
      </c>
    </row>
    <row r="1845">
      <c r="A1845">
        <f>Skills!A13</f>
        <v/>
      </c>
      <c r="B1845">
        <f>Skills!B13</f>
        <v/>
      </c>
      <c r="C1845">
        <f>Inputs!$B$3&gt;=60</f>
        <v/>
      </c>
      <c r="D1845">
        <f>IF(Skills!C13=1,60+Inputs!$B$26+Inputs!$B$30,IF(Skills!C13=2,90+Inputs!$B$27+Inputs!$B$30,IF(Skills!C13=3,120+Inputs!$B$28+Inputs!$B$30,MAX(0,(Inputs!$B$3-100)*3)+Inputs!$B$29+Inputs!$B$30)))</f>
        <v/>
      </c>
      <c r="E1845">
        <f>INDEX(FactorTable!$B$2:$Y$301, MATCH(ROUND(MIN(300,MAX(1,D1845)),0), FactorTable!$A$2:$A$301,0), Skills!L13+1)</f>
        <v/>
      </c>
      <c r="F1845">
        <f>IF(Skills!M13=TRUE,(Skills!K13/10)*(E1845/1000),Skills!K13/10)+Skills!N13</f>
        <v/>
      </c>
      <c r="G1845">
        <f>Calc!G13</f>
        <v/>
      </c>
      <c r="H1845">
        <f>Calc!H13</f>
        <v/>
      </c>
      <c r="I1845">
        <f>IF(Skills!T13&lt;&gt;"",1+(Skills!T13/10)*($Z$3/1000)/100,1)</f>
        <v/>
      </c>
      <c r="J1845" t="inlineStr"/>
      <c r="K1845" t="inlineStr"/>
      <c r="L1845" t="inlineStr"/>
      <c r="M1845" t="inlineStr"/>
      <c r="N1845" t="inlineStr"/>
      <c r="O1845">
        <f>(1-Summary!$B$11)*S1845+Summary!$B$11*U1845</f>
        <v/>
      </c>
      <c r="P1845">
        <f>IF(B1874=0,0,O1845/B1874)</f>
        <v/>
      </c>
      <c r="Q1845">
        <f>IFERROR(1/(IF(Inputs!$B$39="pvp",15,MAX(0.1,Skills!D13-IF(Skills!E13=TRUE,Inputs!$B$33,0)))*(1-IF(AND(ArtifactsInput!$M$27,Inputs!$B$4="Chapter Hunt"),CHOOSE(ArtifactsInput!$N$27+1,20,24,28,32,36,40),0)/100)),0)</f>
        <v/>
      </c>
      <c r="R1845">
        <f>IF(AND(Inputs!$B$39&lt;&gt;"pvp",Inputs!$B$44&gt;0),IF(MAX(0,Inputs!$B$44-B1871)&lt;=0,0,(INT(MAX(0,Inputs!$B$44-B1871)/(IF(Inputs!$B$39="pvp",15,MAX(0.1,Skills!D13-IF(Skills!E13=TRUE,Inputs!$B$33,0)))*(1-IF(AND(ArtifactsInput!$M$27,Inputs!$B$4="Chapter Hunt"),CHOOSE(ArtifactsInput!$N$27+1,20,24,28,32,36,40),0)/100)))+1)),0)</f>
        <v/>
      </c>
      <c r="S1845" t="n">
        <v>0</v>
      </c>
      <c r="U1845" t="n">
        <v>0</v>
      </c>
    </row>
    <row r="1846">
      <c r="A1846">
        <f>Skills!A14</f>
        <v/>
      </c>
      <c r="B1846">
        <f>Skills!B14</f>
        <v/>
      </c>
      <c r="C1846">
        <f>Inputs!$B$3&gt;=107</f>
        <v/>
      </c>
      <c r="D1846">
        <f>IF(Skills!C14=1,60+Inputs!$B$26+Inputs!$B$30,IF(Skills!C14=2,90+Inputs!$B$27+Inputs!$B$30,IF(Skills!C14=3,120+Inputs!$B$28+Inputs!$B$30,MAX(0,(Inputs!$B$3-100)*3)+Inputs!$B$29+Inputs!$B$30)))</f>
        <v/>
      </c>
      <c r="E1846">
        <f>INDEX(FactorTable!$B$2:$Y$301, MATCH(ROUND(MIN(300,MAX(1,D1846)),0), FactorTable!$A$2:$A$301,0), Skills!L14+1)</f>
        <v/>
      </c>
      <c r="F1846">
        <f>IF(Skills!M14=TRUE,(Skills!K14/10)*(E1846/1000),Skills!K14/10)+Skills!N14</f>
        <v/>
      </c>
      <c r="G1846">
        <f>Calc!G14</f>
        <v/>
      </c>
      <c r="H1846">
        <f>Calc!H14</f>
        <v/>
      </c>
      <c r="I1846">
        <f>IF(Skills!T14&lt;&gt;"",1+(Skills!T14/10)*($Z$3/1000)/100,1)</f>
        <v/>
      </c>
      <c r="J1846" t="inlineStr"/>
      <c r="K1846" t="inlineStr"/>
      <c r="L1846" t="inlineStr"/>
      <c r="M1846" t="inlineStr"/>
      <c r="N1846" t="inlineStr"/>
      <c r="O1846">
        <f>(1-Summary!$B$11)*S1846+Summary!$B$11*U1846</f>
        <v/>
      </c>
      <c r="P1846">
        <f>IF(B1874=0,0,O1846/B1874)</f>
        <v/>
      </c>
      <c r="Q1846">
        <f>IFERROR(1/(IF(Inputs!$B$39="pvp",15,MAX(0.1,Skills!D14-IF(Skills!E14=TRUE,Inputs!$B$33,0)))*(1-IF(AND(ArtifactsInput!$M$27,Inputs!$B$4="Chapter Hunt"),CHOOSE(ArtifactsInput!$N$27+1,20,24,28,32,36,40),0)/100)),0)</f>
        <v/>
      </c>
      <c r="R1846">
        <f>IF(AND(Inputs!$B$39&lt;&gt;"pvp",Inputs!$B$44&gt;0),IF(Inputs!$B$44&lt;=0,0,(INT(Inputs!$B$44/(IF(Inputs!$B$39="pvp",15,MAX(0.1,Skills!D14-IF(Skills!E14=TRUE,Inputs!$B$33,0)))*(1-IF(AND(ArtifactsInput!$M$27,Inputs!$B$4="Chapter Hunt"),CHOOSE(ArtifactsInput!$N$27+1,20,24,28,32,36,40),0)/100)))+1)),0)</f>
        <v/>
      </c>
      <c r="S1846" t="n">
        <v>0</v>
      </c>
      <c r="U1846" t="n">
        <v>0</v>
      </c>
    </row>
    <row r="1847">
      <c r="A1847">
        <f>Skills!A15</f>
        <v/>
      </c>
      <c r="B1847">
        <f>Skills!B15</f>
        <v/>
      </c>
      <c r="C1847">
        <f>Inputs!$B$3&gt;=63</f>
        <v/>
      </c>
      <c r="D1847">
        <f>IF(Skills!C15=1,60+Inputs!$B$26+Inputs!$B$30,IF(Skills!C15=2,90+Inputs!$B$27+Inputs!$B$30,IF(Skills!C15=3,120+Inputs!$B$28+Inputs!$B$30,MAX(0,(Inputs!$B$3-100)*3)+Inputs!$B$29+Inputs!$B$30)))</f>
        <v/>
      </c>
      <c r="E1847">
        <f>INDEX(FactorTable!$B$2:$Y$301, MATCH(ROUND(MIN(300,MAX(1,D1847)),0), FactorTable!$A$2:$A$301,0), Skills!L15+1)</f>
        <v/>
      </c>
      <c r="F1847">
        <f>IF(Skills!M15=TRUE,(Skills!K15/10)*(E1847/1000),Skills!K15/10)+Skills!N15</f>
        <v/>
      </c>
      <c r="G1847">
        <f>Calc!G15</f>
        <v/>
      </c>
      <c r="H1847">
        <f>Calc!H15</f>
        <v/>
      </c>
      <c r="I1847">
        <f>IF(Skills!T15&lt;&gt;"",1+(Skills!T15/10)*($Z$3/1000)/100,1)</f>
        <v/>
      </c>
      <c r="J1847">
        <f>((Inputs!$B$6*(1+Inputs!$B$7/100))+(((Inputs!$B$13*(1+Inputs!$B$14/100))-(Inputs!$B$13*(1+Inputs!$B$14/100)))+0.25*(Inputs!$B$15-Inputs!$B$15))*(1+Inputs!$B$7/100))*(F1847/100)</f>
        <v/>
      </c>
      <c r="K1847">
        <f>J1847*(1+(((Inputs!$B$13+IF(Inputs!$B$3&gt;=35,(10*INDEX(FactorTable!$B$2:$Y$301,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15="TRIUMPH_FEATHER",IF(C1848=TRUE,F1848,0),0)/100)*(1+IF(C1859=TRUE,F1859,0)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1847)</f>
        <v/>
      </c>
      <c r="L1847">
        <f>K1847*(MIN(Inputs!$B$23+(F1854-Calc!F22),(Inputs!$B$24+IF(ArtifactsInput!$M$15,CHOOSE(ArtifactsInput!$N$15+1,25,30,35,40,45,50)/100*(Inputs!$B$12-Inputs!$B$12),0)))/100+(Inputs!$B$24+IF(ArtifactsInput!$M$15,CHOOSE(ArtifactsInput!$N$15+1,25,30,35,40,45,50)/100*(Inputs!$B$12-Inputs!$B$12),0))/100)/2</f>
        <v/>
      </c>
      <c r="M1847">
        <f>L1847*(1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7">
        <f>L1847*(1-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(1-Summary!$B$11)*S1847+Summary!$B$11*U1847</f>
        <v/>
      </c>
      <c r="P1847">
        <f>IF(B1874=0,0,O1847/B1874)</f>
        <v/>
      </c>
      <c r="Q1847">
        <f>IFERROR(1/(IF(Inputs!$B$39="pvp",15,MAX(0.1,Skills!D15-IF(Skills!E15=TRUE,Inputs!$B$33,0)))*(1-IF(AND(ArtifactsInput!$M$27,Inputs!$B$4="Chapter Hunt"),CHOOSE(ArtifactsInput!$N$27+1,20,24,28,32,36,40),0)/100)),0)</f>
        <v/>
      </c>
      <c r="R1847" t="n">
        <v>0</v>
      </c>
      <c r="S1847">
        <f>IF(C1847,(Skills!F15*N1847*((IF(Inputs!$B$3&gt;=78,25,15)/100*B1867*10)/(1+IF(Inputs!$B$3&gt;=78,25,15)/100*B1867*10))*(Skills!I15/100*B1867)/(1+Skills!G15*Skills!I15/100*B1867))*IF(Inputs!$B$39="pvp",1,1+(Inputs!$B$21+Skills!O15+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1847*(1-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7">
        <f>IF(C1847,(Skills!F15*N1847*((IF(Inputs!$B$3&gt;=78,25,15)/100*B1867*10)/(1+IF(Inputs!$B$3&gt;=78,25,15)/100*B1867*10))*(Skills!I15/100*B1867)/(1+Skills!G15*Skills!I15/100*B1867))*IF(Inputs!$B$39="pvp",1,(1+(Inputs!$B$22+Skills!P15+B1863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Skills!A16</f>
        <v/>
      </c>
      <c r="B1848">
        <f>Skills!B16</f>
        <v/>
      </c>
      <c r="C1848">
        <f>Inputs!$B$3&gt;=100</f>
        <v/>
      </c>
      <c r="D1848">
        <f>IF(Skills!C16=1,60+Inputs!$B$26+Inputs!$B$30,IF(Skills!C16=2,90+Inputs!$B$27+Inputs!$B$30,IF(Skills!C16=3,120+Inputs!$B$28+Inputs!$B$30,MAX(0,(Inputs!$B$3-100)*3)+Inputs!$B$29+Inputs!$B$30)))</f>
        <v/>
      </c>
      <c r="E1848">
        <f>INDEX(FactorTable!$B$2:$Y$301, MATCH(ROUND(MIN(300,MAX(1,D1848)),0), FactorTable!$A$2:$A$301,0), Skills!L16+1)</f>
        <v/>
      </c>
      <c r="F1848">
        <f>IF(Skills!M16=TRUE,(Skills!K16/10)*(E1848/1000),Skills!K16/10)+Skills!N16</f>
        <v/>
      </c>
      <c r="G1848">
        <f>Calc!G16</f>
        <v/>
      </c>
      <c r="H1848">
        <f>Calc!H16</f>
        <v/>
      </c>
      <c r="I1848">
        <f>IF(Skills!T16&lt;&gt;"",1+(Skills!T16/10)*($Z$3/1000)/100,1)</f>
        <v/>
      </c>
      <c r="J1848" t="inlineStr"/>
      <c r="K1848" t="inlineStr"/>
      <c r="L1848" t="inlineStr"/>
      <c r="M1848" t="inlineStr"/>
      <c r="N1848" t="inlineStr"/>
      <c r="O1848">
        <f>(1-Summary!$B$11)*S1848+Summary!$B$11*U1848</f>
        <v/>
      </c>
      <c r="P1848">
        <f>IF(B1874=0,0,O1848/B1874)</f>
        <v/>
      </c>
      <c r="Q1848">
        <f>IFERROR(1/(IF(Inputs!$B$39="pvp",15,MAX(0.1,Skills!D16-IF(Skills!E16=TRUE,Inputs!$B$33,0)))*(1-IF(AND(ArtifactsInput!$M$27,Inputs!$B$4="Chapter Hunt"),CHOOSE(ArtifactsInput!$N$27+1,20,24,28,32,36,40),0)/100)),0)</f>
        <v/>
      </c>
      <c r="R1848" t="n">
        <v>0</v>
      </c>
      <c r="S1848" t="n">
        <v>0</v>
      </c>
      <c r="U1848" t="n">
        <v>0</v>
      </c>
    </row>
    <row r="1849">
      <c r="A1849">
        <f>Skills!A17</f>
        <v/>
      </c>
      <c r="B1849">
        <f>Skills!B17</f>
        <v/>
      </c>
      <c r="C1849">
        <f>Inputs!$B$3&gt;=49</f>
        <v/>
      </c>
      <c r="D1849">
        <f>IF(Skills!C17=1,60+Inputs!$B$26+Inputs!$B$30,IF(Skills!C17=2,90+Inputs!$B$27+Inputs!$B$30,IF(Skills!C17=3,120+Inputs!$B$28+Inputs!$B$30,MAX(0,(Inputs!$B$3-100)*3)+Inputs!$B$29+Inputs!$B$30)))</f>
        <v/>
      </c>
      <c r="E1849">
        <f>INDEX(FactorTable!$B$2:$Y$301, MATCH(ROUND(MIN(300,MAX(1,D1849)),0), FactorTable!$A$2:$A$301,0), Skills!L17+1)</f>
        <v/>
      </c>
      <c r="F1849">
        <f>IF(Skills!M17=TRUE,(Skills!K17/10)*(E1849/1000),Skills!K17/10)+Skills!N17</f>
        <v/>
      </c>
      <c r="G1849">
        <f>Calc!G17</f>
        <v/>
      </c>
      <c r="H1849">
        <f>Calc!H17</f>
        <v/>
      </c>
      <c r="I1849">
        <f>IF(Skills!T17&lt;&gt;"",1+(Skills!T17/10)*($Z$3/1000)/100,1)</f>
        <v/>
      </c>
      <c r="J1849" t="inlineStr"/>
      <c r="K1849" t="inlineStr"/>
      <c r="L1849" t="inlineStr"/>
      <c r="M1849" t="inlineStr"/>
      <c r="N1849" t="inlineStr"/>
      <c r="O1849">
        <f>(1-Summary!$B$11)*S1849+Summary!$B$11*U1849</f>
        <v/>
      </c>
      <c r="P1849">
        <f>IF(B1874=0,0,O1849/B1874)</f>
        <v/>
      </c>
      <c r="Q1849">
        <f>IFERROR(1/(IF(Inputs!$B$39="pvp",15,MAX(0.1,Skills!D17-IF(Skills!E17=TRUE,Inputs!$B$33,0)))*(1-IF(AND(ArtifactsInput!$M$27,Inputs!$B$4="Chapter Hunt"),CHOOSE(ArtifactsInput!$N$27+1,20,24,28,32,36,40),0)/100)),0)</f>
        <v/>
      </c>
      <c r="R1849" t="n">
        <v>0</v>
      </c>
      <c r="S1849" t="n">
        <v>0</v>
      </c>
      <c r="U1849" t="n">
        <v>0</v>
      </c>
    </row>
    <row r="1850">
      <c r="A1850">
        <f>Skills!A18</f>
        <v/>
      </c>
      <c r="B1850">
        <f>Skills!B18</f>
        <v/>
      </c>
      <c r="C1850">
        <f>Inputs!$B$3&gt;=75</f>
        <v/>
      </c>
      <c r="D1850">
        <f>IF(Skills!C18=1,60+Inputs!$B$26+Inputs!$B$30,IF(Skills!C18=2,90+Inputs!$B$27+Inputs!$B$30,IF(Skills!C18=3,120+Inputs!$B$28+Inputs!$B$30,MAX(0,(Inputs!$B$3-100)*3)+Inputs!$B$29+Inputs!$B$30)))</f>
        <v/>
      </c>
      <c r="E1850">
        <f>INDEX(FactorTable!$B$2:$Y$301, MATCH(ROUND(MIN(300,MAX(1,D1850)),0), FactorTable!$A$2:$A$301,0), Skills!L18+1)</f>
        <v/>
      </c>
      <c r="F1850">
        <f>IF(Skills!M18=TRUE,(Skills!K18/10)*(E1850/1000),Skills!K18/10)+Skills!N18</f>
        <v/>
      </c>
      <c r="G1850">
        <f>Calc!G18</f>
        <v/>
      </c>
      <c r="H1850">
        <f>Calc!H18</f>
        <v/>
      </c>
      <c r="I1850">
        <f>IF(Skills!T18&lt;&gt;"",1+(Skills!T18/10)*($Z$3/1000)/100,1)</f>
        <v/>
      </c>
      <c r="J1850" t="inlineStr"/>
      <c r="K1850" t="inlineStr"/>
      <c r="L1850" t="inlineStr"/>
      <c r="M1850" t="inlineStr"/>
      <c r="N1850" t="inlineStr"/>
      <c r="O1850">
        <f>(1-Summary!$B$11)*S1850+Summary!$B$11*U1850</f>
        <v/>
      </c>
      <c r="P1850">
        <f>IF(B1874=0,0,O1850/B1874)</f>
        <v/>
      </c>
      <c r="Q1850">
        <f>IFERROR(1/(IF(Inputs!$B$39="pvp",15,MAX(0.1,Skills!D18-IF(Skills!E18=TRUE,Inputs!$B$33,0)))*(1-IF(AND(ArtifactsInput!$M$27,Inputs!$B$4="Chapter Hunt"),CHOOSE(ArtifactsInput!$N$27+1,20,24,28,32,36,40),0)/100)),0)</f>
        <v/>
      </c>
      <c r="R1850" t="n">
        <v>0</v>
      </c>
      <c r="S1850" t="n">
        <v>0</v>
      </c>
      <c r="U1850" t="n">
        <v>0</v>
      </c>
    </row>
    <row r="1851">
      <c r="A1851">
        <f>Skills!A19</f>
        <v/>
      </c>
      <c r="B1851">
        <f>Skills!B19</f>
        <v/>
      </c>
      <c r="C1851">
        <f>Inputs!$B$3&gt;=110</f>
        <v/>
      </c>
      <c r="D1851">
        <f>IF(Skills!C19=1,60+Inputs!$B$26+Inputs!$B$30,IF(Skills!C19=2,90+Inputs!$B$27+Inputs!$B$30,IF(Skills!C19=3,120+Inputs!$B$28+Inputs!$B$30,MAX(0,(Inputs!$B$3-100)*3)+Inputs!$B$29+Inputs!$B$30)))</f>
        <v/>
      </c>
      <c r="E1851">
        <f>INDEX(FactorTable!$B$2:$Y$301, MATCH(ROUND(MIN(300,MAX(1,D1851)),0), FactorTable!$A$2:$A$301,0), Skills!L19+1)</f>
        <v/>
      </c>
      <c r="F1851">
        <f>(Skills!K19/10)*(E1851/1000)*64/45+Skills!N19</f>
        <v/>
      </c>
      <c r="G1851">
        <f>Calc!G19</f>
        <v/>
      </c>
      <c r="H1851">
        <f>Calc!H19</f>
        <v/>
      </c>
      <c r="I1851">
        <f>IF(Skills!T19&lt;&gt;"",1+(Skills!T19/10)*($Z$3/1000)/100,1)</f>
        <v/>
      </c>
      <c r="J1851" t="inlineStr"/>
      <c r="K1851" t="inlineStr"/>
      <c r="L1851" t="inlineStr"/>
      <c r="M1851" t="inlineStr"/>
      <c r="N1851" t="inlineStr"/>
      <c r="O1851">
        <f>(1-Summary!$B$11)*S1851+Summary!$B$11*U1851</f>
        <v/>
      </c>
      <c r="P1851">
        <f>IF(B1874=0,0,O1851/B1874)</f>
        <v/>
      </c>
      <c r="Q1851">
        <f>IFERROR(1/(IF(Inputs!$B$39="pvp",15,MAX(0.1,Skills!D19-IF(Skills!E19=TRUE,Inputs!$B$33,0)))*(1-IF(AND(ArtifactsInput!$M$27,Inputs!$B$4="Chapter Hunt"),CHOOSE(ArtifactsInput!$N$27+1,20,24,28,32,36,40),0)/100)),0)</f>
        <v/>
      </c>
      <c r="R1851">
        <f>IF(AND(Inputs!$B$39&lt;&gt;"pvp",Inputs!$B$44&gt;0),IF(Inputs!$B$44&lt;=0,0,(INT(Inputs!$B$44/(IF(Inputs!$B$39="pvp",15,MAX(0.1,Skills!D19-IF(Skills!E19=TRUE,Inputs!$B$33,0)))*(1-IF(AND(ArtifactsInput!$M$27,Inputs!$B$4="Chapter Hunt"),CHOOSE(ArtifactsInput!$N$27+1,20,24,28,32,36,40),0)/100)))+1)),0)</f>
        <v/>
      </c>
      <c r="S1851" t="n">
        <v>0</v>
      </c>
      <c r="U1851" t="n">
        <v>0</v>
      </c>
    </row>
    <row r="1852">
      <c r="A1852">
        <f>Skills!A20</f>
        <v/>
      </c>
      <c r="B1852">
        <f>Skills!B20</f>
        <v/>
      </c>
      <c r="C1852">
        <f>Inputs!$B$3&gt;=125</f>
        <v/>
      </c>
      <c r="D1852">
        <f>IF(Skills!C20=1,60+Inputs!$B$26+Inputs!$B$30,IF(Skills!C20=2,90+Inputs!$B$27+Inputs!$B$30,IF(Skills!C20=3,120+Inputs!$B$28+Inputs!$B$30,MAX(0,(Inputs!$B$3-100)*3)+Inputs!$B$29+Inputs!$B$30)))</f>
        <v/>
      </c>
      <c r="E1852">
        <f>INDEX(FactorTable!$B$2:$Y$301, MATCH(ROUND(MIN(300,MAX(1,D1852)),0), FactorTable!$A$2:$A$301,0), Skills!L20+1)</f>
        <v/>
      </c>
      <c r="F1852">
        <f>IF(Skills!M20=TRUE,(Skills!K20/10)*(E1852/1000),Skills!K20/10)+Skills!N20</f>
        <v/>
      </c>
      <c r="G1852">
        <f>Calc!G20</f>
        <v/>
      </c>
      <c r="H1852">
        <f>Calc!H20</f>
        <v/>
      </c>
      <c r="I1852">
        <f>IF(Skills!T20&lt;&gt;"",1+(Skills!T20/10)*($Z$3/1000)/100,1)</f>
        <v/>
      </c>
      <c r="J1852" t="inlineStr"/>
      <c r="K1852" t="inlineStr"/>
      <c r="L1852" t="inlineStr"/>
      <c r="M1852" t="inlineStr"/>
      <c r="N1852" t="inlineStr"/>
      <c r="O1852">
        <f>(1-Summary!$B$11)*S1852+Summary!$B$11*U1852</f>
        <v/>
      </c>
      <c r="P1852">
        <f>IF(B1874=0,0,O1852/B1874)</f>
        <v/>
      </c>
      <c r="Q1852">
        <f>IFERROR(1/(IF(Inputs!$B$39="pvp",15,MAX(0.1,Skills!D20-IF(Skills!E20=TRUE,Inputs!$B$33,0)))*(1-IF(AND(ArtifactsInput!$M$27,Inputs!$B$4="Chapter Hunt"),CHOOSE(ArtifactsInput!$N$27+1,20,24,28,32,36,40),0)/100)),0)</f>
        <v/>
      </c>
      <c r="R1852" t="n">
        <v>0</v>
      </c>
      <c r="S1852" t="n">
        <v>0</v>
      </c>
      <c r="U1852" t="n">
        <v>0</v>
      </c>
    </row>
    <row r="1853">
      <c r="A1853">
        <f>Skills!A21</f>
        <v/>
      </c>
      <c r="B1853">
        <f>Skills!B21</f>
        <v/>
      </c>
      <c r="C1853">
        <f>Inputs!$B$3&gt;=33</f>
        <v/>
      </c>
      <c r="D1853">
        <f>IF(Skills!C21=1,60+Inputs!$B$26+Inputs!$B$30,IF(Skills!C21=2,90+Inputs!$B$27+Inputs!$B$30,IF(Skills!C21=3,120+Inputs!$B$28+Inputs!$B$30,MAX(0,(Inputs!$B$3-100)*3)+Inputs!$B$29+Inputs!$B$30)))</f>
        <v/>
      </c>
      <c r="E1853">
        <f>INDEX(FactorTable!$B$2:$Y$301, MATCH(ROUND(MIN(300,MAX(1,D1853)),0), FactorTable!$A$2:$A$301,0), Skills!L21+1)</f>
        <v/>
      </c>
      <c r="F1853">
        <f>IF(Skills!M21=TRUE,(Skills!K21/10)*(E1853/1000),Skills!K21/10)+Skills!N21</f>
        <v/>
      </c>
      <c r="G1853">
        <f>Calc!G21</f>
        <v/>
      </c>
      <c r="H1853">
        <f>Calc!H21</f>
        <v/>
      </c>
      <c r="I1853">
        <f>IF(Skills!T21&lt;&gt;"",1+(Skills!T21/10)*($Z$3/1000)/100,1)</f>
        <v/>
      </c>
      <c r="J1853" t="inlineStr"/>
      <c r="K1853" t="inlineStr"/>
      <c r="L1853" t="inlineStr"/>
      <c r="M1853" t="inlineStr"/>
      <c r="N1853" t="inlineStr"/>
      <c r="O1853">
        <f>(1-Summary!$B$11)*S1853+Summary!$B$11*U1853</f>
        <v/>
      </c>
      <c r="P1853">
        <f>IF(B1874=0,0,O1853/B1874)</f>
        <v/>
      </c>
      <c r="Q1853">
        <f>IFERROR(1/(IF(Inputs!$B$39="pvp",15,MAX(0.1,Skills!D21-IF(Skills!E21=TRUE,Inputs!$B$33,0)))*(1-IF(AND(ArtifactsInput!$M$27,Inputs!$B$4="Chapter Hunt"),CHOOSE(ArtifactsInput!$N$27+1,20,24,28,32,36,40),0)/100)),0)</f>
        <v/>
      </c>
      <c r="R1853" t="n">
        <v>0</v>
      </c>
      <c r="S1853" t="n">
        <v>0</v>
      </c>
      <c r="U1853" t="n">
        <v>0</v>
      </c>
    </row>
    <row r="1854">
      <c r="A1854">
        <f>Skills!A22</f>
        <v/>
      </c>
      <c r="B1854">
        <f>Skills!B22</f>
        <v/>
      </c>
      <c r="C1854">
        <f>Inputs!$B$3&gt;=43</f>
        <v/>
      </c>
      <c r="D1854">
        <f>IF(Skills!C22=1,60+Inputs!$B$26+Inputs!$B$30,IF(Skills!C22=2,90+Inputs!$B$27+Inputs!$B$30,IF(Skills!C22=3,120+Inputs!$B$28+Inputs!$B$30,MAX(0,(Inputs!$B$3-100)*3)+Inputs!$B$29+Inputs!$B$30)))</f>
        <v/>
      </c>
      <c r="E1854">
        <f>INDEX(FactorTable!$B$2:$Y$301, MATCH(ROUND(MIN(300,MAX(1,D1854)),0), FactorTable!$A$2:$A$301,0), Skills!L22+1)</f>
        <v/>
      </c>
      <c r="F1854">
        <f>IF(Skills!M22=TRUE,(Skills!K22/10)*(E1854/1000),Skills!K22/10)+Skills!N22</f>
        <v/>
      </c>
      <c r="G1854">
        <f>Calc!G22</f>
        <v/>
      </c>
      <c r="H1854">
        <f>Calc!H22</f>
        <v/>
      </c>
      <c r="I1854">
        <f>IF(Skills!T22&lt;&gt;"",1+(Skills!T22/10)*($Z$3/1000)/100,1)</f>
        <v/>
      </c>
      <c r="J1854" t="inlineStr"/>
      <c r="K1854" t="inlineStr"/>
      <c r="L1854" t="inlineStr"/>
      <c r="M1854" t="inlineStr"/>
      <c r="N1854" t="inlineStr"/>
      <c r="O1854">
        <f>(1-Summary!$B$11)*S1854+Summary!$B$11*U1854</f>
        <v/>
      </c>
      <c r="P1854">
        <f>IF(B1874=0,0,O1854/B1874)</f>
        <v/>
      </c>
      <c r="Q1854">
        <f>IFERROR(1/(IF(Inputs!$B$39="pvp",15,MAX(0.1,Skills!D22-IF(Skills!E22=TRUE,Inputs!$B$33,0)))*(1-IF(AND(ArtifactsInput!$M$27,Inputs!$B$4="Chapter Hunt"),CHOOSE(ArtifactsInput!$N$27+1,20,24,28,32,36,40),0)/100)),0)</f>
        <v/>
      </c>
      <c r="R1854" t="n">
        <v>0</v>
      </c>
      <c r="S1854" t="n">
        <v>0</v>
      </c>
      <c r="U1854" t="n">
        <v>0</v>
      </c>
    </row>
    <row r="1855">
      <c r="A1855">
        <f>Skills!A23</f>
        <v/>
      </c>
      <c r="B1855">
        <f>Skills!B23</f>
        <v/>
      </c>
      <c r="C1855">
        <f>Inputs!$B$3&gt;=50</f>
        <v/>
      </c>
      <c r="D1855">
        <f>IF(Skills!C23=1,60+Inputs!$B$26+Inputs!$B$30,IF(Skills!C23=2,90+Inputs!$B$27+Inputs!$B$30,IF(Skills!C23=3,120+Inputs!$B$28+Inputs!$B$30,MAX(0,(Inputs!$B$3-100)*3)+Inputs!$B$29+Inputs!$B$30)))</f>
        <v/>
      </c>
      <c r="E1855">
        <f>INDEX(FactorTable!$B$2:$Y$301, MATCH(ROUND(MIN(300,MAX(1,D1855)),0), FactorTable!$A$2:$A$301,0), Skills!L23+1)</f>
        <v/>
      </c>
      <c r="F1855">
        <f>IF(Skills!M23=TRUE,(Skills!K23/10)*(E1855/1000),Skills!K23/10)+Skills!N23</f>
        <v/>
      </c>
      <c r="G1855">
        <f>Calc!G23</f>
        <v/>
      </c>
      <c r="H1855">
        <f>Calc!H23</f>
        <v/>
      </c>
      <c r="I1855">
        <f>IF(Skills!T23&lt;&gt;"",1+(Skills!T23/10)*($Z$3/1000)/100,1)</f>
        <v/>
      </c>
      <c r="J1855" t="inlineStr"/>
      <c r="K1855" t="inlineStr"/>
      <c r="L1855" t="inlineStr"/>
      <c r="M1855" t="inlineStr"/>
      <c r="N1855" t="inlineStr"/>
      <c r="O1855">
        <f>(1-Summary!$B$11)*S1855+Summary!$B$11*U1855</f>
        <v/>
      </c>
      <c r="P1855">
        <f>IF(B1874=0,0,O1855/B1874)</f>
        <v/>
      </c>
      <c r="Q1855">
        <f>IFERROR(1/(IF(Inputs!$B$39="pvp",15,MAX(0.1,Skills!D23-IF(Skills!E23=TRUE,Inputs!$B$33,0)))*(1-IF(AND(ArtifactsInput!$M$27,Inputs!$B$4="Chapter Hunt"),CHOOSE(ArtifactsInput!$N$27+1,20,24,28,32,36,40),0)/100)),0)</f>
        <v/>
      </c>
      <c r="R1855" t="n">
        <v>0</v>
      </c>
      <c r="S1855" t="n">
        <v>0</v>
      </c>
      <c r="U1855" t="n">
        <v>0</v>
      </c>
    </row>
    <row r="1856">
      <c r="A1856">
        <f>Skills!A24</f>
        <v/>
      </c>
      <c r="B1856">
        <f>Skills!B24</f>
        <v/>
      </c>
      <c r="C1856">
        <f>Inputs!$B$3&gt;=74</f>
        <v/>
      </c>
      <c r="D1856">
        <f>IF(Skills!C24=1,60+Inputs!$B$26+Inputs!$B$30,IF(Skills!C24=2,90+Inputs!$B$27+Inputs!$B$30,IF(Skills!C24=3,120+Inputs!$B$28+Inputs!$B$30,MAX(0,(Inputs!$B$3-100)*3)+Inputs!$B$29+Inputs!$B$30)))</f>
        <v/>
      </c>
      <c r="E1856">
        <f>INDEX(FactorTable!$B$2:$Y$301, MATCH(ROUND(MIN(300,MAX(1,D1856)),0), FactorTable!$A$2:$A$301,0), Skills!L24+1)</f>
        <v/>
      </c>
      <c r="F1856">
        <f>IF(Skills!M24=TRUE,(Skills!K24/10)*(E1856/1000),Skills!K24/10)+Skills!N24</f>
        <v/>
      </c>
      <c r="G1856">
        <f>Calc!G24</f>
        <v/>
      </c>
      <c r="H1856">
        <f>Calc!H24</f>
        <v/>
      </c>
      <c r="I1856">
        <f>IF(Skills!T24&lt;&gt;"",1+(Skills!T24/10)*($Z$3/1000)/100,1)</f>
        <v/>
      </c>
      <c r="J1856" t="inlineStr"/>
      <c r="K1856" t="inlineStr"/>
      <c r="L1856" t="inlineStr"/>
      <c r="M1856" t="inlineStr"/>
      <c r="N1856" t="inlineStr"/>
      <c r="O1856">
        <f>(1-Summary!$B$11)*S1856+Summary!$B$11*U1856</f>
        <v/>
      </c>
      <c r="P1856">
        <f>IF(B1874=0,0,O1856/B1874)</f>
        <v/>
      </c>
      <c r="Q1856">
        <f>IFERROR(1/(IF(Inputs!$B$39="pvp",15,MAX(0.1,Skills!D24-IF(Skills!E24=TRUE,Inputs!$B$33,0)))*(1-IF(AND(ArtifactsInput!$M$27,Inputs!$B$4="Chapter Hunt"),CHOOSE(ArtifactsInput!$N$27+1,20,24,28,32,36,40),0)/100)),0)</f>
        <v/>
      </c>
      <c r="R1856" t="n">
        <v>0</v>
      </c>
      <c r="S1856" t="n">
        <v>0</v>
      </c>
      <c r="U1856" t="n">
        <v>0</v>
      </c>
    </row>
    <row r="1857">
      <c r="A1857">
        <f>Skills!A25</f>
        <v/>
      </c>
      <c r="B1857">
        <f>Skills!B25</f>
        <v/>
      </c>
      <c r="C1857">
        <f>Inputs!$B$3&gt;=74</f>
        <v/>
      </c>
      <c r="D1857">
        <f>IF(Skills!C25=1,60+Inputs!$B$26+Inputs!$B$30,IF(Skills!C25=2,90+Inputs!$B$27+Inputs!$B$30,IF(Skills!C25=3,120+Inputs!$B$28+Inputs!$B$30,MAX(0,(Inputs!$B$3-100)*3)+Inputs!$B$29+Inputs!$B$30)))</f>
        <v/>
      </c>
      <c r="E1857">
        <f>INDEX(FactorTable!$B$2:$Y$301, MATCH(ROUND(MIN(300,MAX(1,D1857)),0), FactorTable!$A$2:$A$301,0), Skills!L25+1)</f>
        <v/>
      </c>
      <c r="F1857">
        <f>IF(Skills!M25=TRUE,(Skills!K25/10)*(E1857/1000),Skills!K25/10)+Skills!N25</f>
        <v/>
      </c>
      <c r="G1857">
        <f>Calc!G25</f>
        <v/>
      </c>
      <c r="H1857">
        <f>Calc!H25</f>
        <v/>
      </c>
      <c r="I1857">
        <f>IF(Skills!T25&lt;&gt;"",1+(Skills!T25/10)*($Z$3/1000)/100,1)</f>
        <v/>
      </c>
      <c r="J1857" t="inlineStr"/>
      <c r="K1857" t="inlineStr"/>
      <c r="L1857" t="inlineStr"/>
      <c r="M1857" t="inlineStr"/>
      <c r="N1857" t="inlineStr"/>
      <c r="O1857">
        <f>(1-Summary!$B$11)*S1857+Summary!$B$11*U1857</f>
        <v/>
      </c>
      <c r="P1857">
        <f>IF(B1874=0,0,O1857/B1874)</f>
        <v/>
      </c>
      <c r="Q1857">
        <f>IFERROR(1/(IF(Inputs!$B$39="pvp",15,MAX(0.1,Skills!D25-IF(Skills!E25=TRUE,Inputs!$B$33,0)))*(1-IF(AND(ArtifactsInput!$M$27,Inputs!$B$4="Chapter Hunt"),CHOOSE(ArtifactsInput!$N$27+1,20,24,28,32,36,40),0)/100)),0)</f>
        <v/>
      </c>
      <c r="R1857" t="n">
        <v>0</v>
      </c>
      <c r="S1857" t="n">
        <v>0</v>
      </c>
      <c r="U1857" t="n">
        <v>0</v>
      </c>
    </row>
    <row r="1858">
      <c r="A1858">
        <f>Skills!A26</f>
        <v/>
      </c>
      <c r="B1858">
        <f>Skills!B26</f>
        <v/>
      </c>
      <c r="C1858">
        <f>Inputs!$B$3&gt;=117</f>
        <v/>
      </c>
      <c r="D1858">
        <f>IF(Skills!C26=1,60+Inputs!$B$26+Inputs!$B$30,IF(Skills!C26=2,90+Inputs!$B$27+Inputs!$B$30,IF(Skills!C26=3,120+Inputs!$B$28+Inputs!$B$30,MAX(0,(Inputs!$B$3-100)*3)+Inputs!$B$29+Inputs!$B$30)))</f>
        <v/>
      </c>
      <c r="E1858">
        <f>INDEX(FactorTable!$B$2:$Y$301, MATCH(ROUND(MIN(300,MAX(1,D1858)),0), FactorTable!$A$2:$A$301,0), Skills!L26+1)</f>
        <v/>
      </c>
      <c r="F1858">
        <f>IF(Skills!M26=TRUE,(Skills!K26/10)*(E1858/1000),Skills!K26/10)+Skills!N26</f>
        <v/>
      </c>
      <c r="G1858">
        <f>Calc!G26</f>
        <v/>
      </c>
      <c r="H1858">
        <f>Calc!H26</f>
        <v/>
      </c>
      <c r="I1858">
        <f>IF(Skills!T26&lt;&gt;"",1+(Skills!T26/10)*($Z$3/1000)/100,1)</f>
        <v/>
      </c>
      <c r="J1858" t="inlineStr"/>
      <c r="K1858" t="inlineStr"/>
      <c r="L1858" t="inlineStr"/>
      <c r="M1858" t="inlineStr"/>
      <c r="N1858" t="inlineStr"/>
      <c r="O1858">
        <f>(1-Summary!$B$11)*S1858+Summary!$B$11*U1858</f>
        <v/>
      </c>
      <c r="P1858">
        <f>IF(B1874=0,0,O1858/B1874)</f>
        <v/>
      </c>
      <c r="Q1858">
        <f>IFERROR(1/(IF(Inputs!$B$39="pvp",15,MAX(0.1,Skills!D26-IF(Skills!E26=TRUE,Inputs!$B$33,0)))*(1-IF(AND(ArtifactsInput!$M$27,Inputs!$B$4="Chapter Hunt"),CHOOSE(ArtifactsInput!$N$27+1,20,24,28,32,36,40),0)/100)),0)</f>
        <v/>
      </c>
      <c r="R1858" t="n">
        <v>0</v>
      </c>
      <c r="S1858" t="n">
        <v>0</v>
      </c>
      <c r="U1858" t="n">
        <v>0</v>
      </c>
    </row>
    <row r="1859">
      <c r="A1859">
        <f>Skills!A27</f>
        <v/>
      </c>
      <c r="B1859">
        <f>Skills!B27</f>
        <v/>
      </c>
      <c r="C1859">
        <f>Inputs!$B$3&gt;=120</f>
        <v/>
      </c>
      <c r="D1859">
        <f>IF(Skills!C27=1,60+Inputs!$B$26+Inputs!$B$30,IF(Skills!C27=2,90+Inputs!$B$27+Inputs!$B$30,IF(Skills!C27=3,120+Inputs!$B$28+Inputs!$B$30,MAX(0,(Inputs!$B$3-100)*3)+Inputs!$B$29+Inputs!$B$30)))</f>
        <v/>
      </c>
      <c r="E1859">
        <f>INDEX(FactorTable!$B$2:$Y$301, MATCH(ROUND(MIN(300,MAX(1,D1859)),0), FactorTable!$A$2:$A$301,0), Skills!L27+1)</f>
        <v/>
      </c>
      <c r="F1859">
        <f>IF(Skills!M27=TRUE,(Skills!K27/10)*(E1859/1000),Skills!K27/10)+Skills!N27</f>
        <v/>
      </c>
      <c r="G1859">
        <f>Calc!G27</f>
        <v/>
      </c>
      <c r="H1859">
        <f>Calc!H27</f>
        <v/>
      </c>
      <c r="I1859">
        <f>IF(Skills!T27&lt;&gt;"",1+(Skills!T27/10)*($Z$3/1000)/100,1)</f>
        <v/>
      </c>
      <c r="J1859" t="inlineStr"/>
      <c r="K1859" t="inlineStr"/>
      <c r="L1859" t="inlineStr"/>
      <c r="M1859" t="inlineStr"/>
      <c r="N1859" t="inlineStr"/>
      <c r="O1859">
        <f>(1-Summary!$B$11)*S1859+Summary!$B$11*U1859</f>
        <v/>
      </c>
      <c r="P1859">
        <f>IF(B1874=0,0,O1859/B1874)</f>
        <v/>
      </c>
      <c r="Q1859">
        <f>IFERROR(1/(IF(Inputs!$B$39="pvp",15,MAX(0.1,Skills!D27-IF(Skills!E27=TRUE,Inputs!$B$33,0)))*(1-IF(AND(ArtifactsInput!$M$27,Inputs!$B$4="Chapter Hunt"),CHOOSE(ArtifactsInput!$N$27+1,20,24,28,32,36,40),0)/100)),0)</f>
        <v/>
      </c>
      <c r="R1859" t="n">
        <v>0</v>
      </c>
      <c r="S1859" t="n">
        <v>0</v>
      </c>
      <c r="U1859" t="n">
        <v>0</v>
      </c>
    </row>
    <row r="1861">
      <c r="A1861" t="inlineStr">
        <is>
          <t>Average Buff Multiplier</t>
        </is>
      </c>
      <c r="B1861">
        <f>(1+(IF(C1835=TRUE,F1835*IF(AND(Inputs!$B$39&lt;&gt;"pvp",Inputs!$B$44&gt;0),(((R1835-1)*(Skills!S3*(1+((Inputs!$B$35+(ArtifactsInput!$M$7-ArtifactsInput!$M$7)*CHOOSE(ArtifactsInput!$N$7+1,6,7.2,8.4,9.6,10.8,12))+IF(Inputs!$B$3&gt;=117,F1858,0))/100))+MIN((Skills!S3*(1+((Inputs!$B$35+(ArtifactsInput!$M$7-ArtifactsInput!$M$7)*CHOOSE(ArtifactsInput!$N$7+1,6,7.2,8.4,9.6,10.8,12))+IF(Inputs!$B$3&gt;=117,F1858,0))/100)),MAX(0,Inputs!$B$44-((R1835-1)*Skills!D3))))/Inputs!$B$44),IF(Inputs!$B$39="pvp",MIN((Skills!S3*(1+((Inputs!$B$35+(ArtifactsInput!$M$7-ArtifactsInput!$M$7)*CHOOSE(ArtifactsInput!$N$7+1,6,7.2,8.4,9.6,10.8,12))+IF(Inputs!$B$3&gt;=117,F1858,0))/100)),15)/15,(Skills!S3*(1+((Inputs!$B$35+(ArtifactsInput!$M$7-ArtifactsInput!$M$7)*CHOOSE(ArtifactsInput!$N$7+1,6,7.2,8.4,9.6,10.8,12))+IF(Inputs!$B$3&gt;=117,F1858,0))/100))/Skills!D3)),0)+IF(C1836=TRUE,F1836*IF(AND(Inputs!$B$39&lt;&gt;"pvp",Inputs!$B$44&gt;0),(((R1836-1)*(Skills!S4*(1+((Inputs!$B$35+(ArtifactsInput!$M$7-ArtifactsInput!$M$7)*CHOOSE(ArtifactsInput!$N$7+1,6,7.2,8.4,9.6,10.8,12))+IF(Inputs!$B$3&gt;=117,F1858,0))/100))+MIN((Skills!S4*(1+((Inputs!$B$35+(ArtifactsInput!$M$7-ArtifactsInput!$M$7)*CHOOSE(ArtifactsInput!$N$7+1,6,7.2,8.4,9.6,10.8,12))+IF(Inputs!$B$3&gt;=117,F1858,0))/100)),MAX(0,Inputs!$B$44-((R1836-1)*Skills!D4))))/Inputs!$B$44),IF(Inputs!$B$39="pvp",MIN((Skills!S4*(1+((Inputs!$B$35+(ArtifactsInput!$M$7-ArtifactsInput!$M$7)*CHOOSE(ArtifactsInput!$N$7+1,6,7.2,8.4,9.6,10.8,12))+IF(Inputs!$B$3&gt;=117,F1858,0))/100)),15)/15,(Skills!S4*(1+((Inputs!$B$35+(ArtifactsInput!$M$7-ArtifactsInput!$M$7)*CHOOSE(ArtifactsInput!$N$7+1,6,7.2,8.4,9.6,10.8,12))+IF(Inputs!$B$3&gt;=117,F1858,0))/100))/Skills!D4)),0)+IF(C1837=TRUE,F1837*IF(AND(Inputs!$B$39&lt;&gt;"pvp",Inputs!$B$44&gt;0),(((R1837-1)*(Skills!S5*(1+((Inputs!$B$35+(ArtifactsInput!$M$7-ArtifactsInput!$M$7)*CHOOSE(ArtifactsInput!$N$7+1,6,7.2,8.4,9.6,10.8,12))+IF(Inputs!$B$3&gt;=117,F1858,0))/100))+MIN((Skills!S5*(1+((Inputs!$B$35+(ArtifactsInput!$M$7-ArtifactsInput!$M$7)*CHOOSE(ArtifactsInput!$N$7+1,6,7.2,8.4,9.6,10.8,12))+IF(Inputs!$B$3&gt;=117,F1858,0))/100)),MAX(0,Inputs!$B$44-((R1837-1)*Skills!D5))))/Inputs!$B$44),IF(Inputs!$B$39="pvp",MIN((Skills!S5*(1+((Inputs!$B$35+(ArtifactsInput!$M$7-ArtifactsInput!$M$7)*CHOOSE(ArtifactsInput!$N$7+1,6,7.2,8.4,9.6,10.8,12))+IF(Inputs!$B$3&gt;=117,F1858,0))/100)),15)/15,(Skills!S5*(1+((Inputs!$B$35+(ArtifactsInput!$M$7-ArtifactsInput!$M$7)*CHOOSE(ArtifactsInput!$N$7+1,6,7.2,8.4,9.6,10.8,12))+IF(Inputs!$B$3&gt;=117,F1858,0))/100))/Skills!D5)),0)+IF(C1843=TRUE,F1843*IF(AND(Inputs!$B$39&lt;&gt;"pvp",Inputs!$B$44&gt;0),(((R1843-1)*(Skills!S11*(1+((Inputs!$B$35+(ArtifactsInput!$M$7-ArtifactsInput!$M$7)*CHOOSE(ArtifactsInput!$N$7+1,6,7.2,8.4,9.6,10.8,12))+IF(Inputs!$B$3&gt;=117,F1858,0))/100))+MIN((Skills!S11*(1+((Inputs!$B$35+(ArtifactsInput!$M$7-ArtifactsInput!$M$7)*CHOOSE(ArtifactsInput!$N$7+1,6,7.2,8.4,9.6,10.8,12))+IF(Inputs!$B$3&gt;=117,F1858,0))/100)),MAX(0,Inputs!$B$44-((R1843-1)*Skills!D11))))/Inputs!$B$44),IF(Inputs!$B$39="pvp",MIN((Skills!S11*(1+((Inputs!$B$35+(ArtifactsInput!$M$7-ArtifactsInput!$M$7)*CHOOSE(ArtifactsInput!$N$7+1,6,7.2,8.4,9.6,10.8,12))+IF(Inputs!$B$3&gt;=117,F1858,0))/100)),15)/15,(Skills!S11*(1+((Inputs!$B$35+(ArtifactsInput!$M$7-ArtifactsInput!$M$7)*CHOOSE(ArtifactsInput!$N$7+1,6,7.2,8.4,9.6,10.8,12))+IF(Inputs!$B$3&gt;=117,F1858,0)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1846=TRUE,(1+F1846*IF(AND(Inputs!$B$39&lt;&gt;"pvp",Inputs!$B$44&gt;0),(((R1846-1)*(Skills!S14*(1+((Inputs!$B$35+(ArtifactsInput!$M$7-ArtifactsInput!$M$7)*CHOOSE(ArtifactsInput!$N$7+1,6,7.2,8.4,9.6,10.8,12))+IF(Inputs!$B$3&gt;=117,F1858,0))/100))+MIN((Skills!S14*(1+((Inputs!$B$35+(ArtifactsInput!$M$7-ArtifactsInput!$M$7)*CHOOSE(ArtifactsInput!$N$7+1,6,7.2,8.4,9.6,10.8,12))+IF(Inputs!$B$3&gt;=117,F1858,0))/100)),MAX(0,Inputs!$B$44-((R1846-1)*Skills!D14))))/Inputs!$B$44),IF(Inputs!$B$39="pvp",MIN((Skills!S14*(1+((Inputs!$B$35+(ArtifactsInput!$M$7-ArtifactsInput!$M$7)*CHOOSE(ArtifactsInput!$N$7+1,6,7.2,8.4,9.6,10.8,12))+IF(Inputs!$B$3&gt;=117,F1858,0))/100)),15)/15,(Skills!S14*(1+((Inputs!$B$35+(ArtifactsInput!$M$7-ArtifactsInput!$M$7)*CHOOSE(ArtifactsInput!$N$7+1,6,7.2,8.4,9.6,10.8,12))+IF(Inputs!$B$3&gt;=117,F1858,0))/100))/Skills!D14))/100),1)*IF(C1851=TRUE,(1+F1851*IF(AND(Inputs!$B$39&lt;&gt;"pvp",Inputs!$B$44&gt;0),(((R1851-1)*(Skills!S19*(1+((Inputs!$B$35+(ArtifactsInput!$M$7-ArtifactsInput!$M$7)*CHOOSE(ArtifactsInput!$N$7+1,6,7.2,8.4,9.6,10.8,12))+IF(Inputs!$B$3&gt;=117,F1858,0))/100))+MIN((Skills!S19*(1+((Inputs!$B$35+(ArtifactsInput!$M$7-ArtifactsInput!$M$7)*CHOOSE(ArtifactsInput!$N$7+1,6,7.2,8.4,9.6,10.8,12))+IF(Inputs!$B$3&gt;=117,F1858,0))/100)),MAX(0,Inputs!$B$44-((R1851-1)*Skills!D19))))/Inputs!$B$44),IF(Inputs!$B$39="pvp",MIN((Skills!S19*(1+((Inputs!$B$35+(ArtifactsInput!$M$7-ArtifactsInput!$M$7)*CHOOSE(ArtifactsInput!$N$7+1,6,7.2,8.4,9.6,10.8,12))+IF(Inputs!$B$3&gt;=117,F1858,0))/100)),15)/15,(Skills!S19*(1+((Inputs!$B$35+(ArtifactsInput!$M$7-ArtifactsInput!$M$7)*CHOOSE(ArtifactsInput!$N$7+1,6,7.2,8.4,9.6,10.8,12))+IF(Inputs!$B$3&gt;=117,F1858,0))/100))/Skills!D19))/100),1)</f>
        <v/>
      </c>
    </row>
    <row r="1862">
      <c r="A1862" t="inlineStr">
        <is>
          <t>Monster Damage Taken Bonus % (Holy Fountain)</t>
        </is>
      </c>
      <c r="B1862">
        <f>IF(Inputs!$B$3&gt;=68,20*IF(Inputs!$B$39="pvp",MIN((15*(1+((Inputs!$B$35+(ArtifactsInput!$M$7-ArtifactsInput!$M$7)*CHOOSE(ArtifactsInput!$N$7+1,6,7.2,8.4,9.6,10.8,12))+IF(Inputs!$B$3&gt;=117,F1858,0))/100)),15)/15,(15*(1+((Inputs!$B$35+(ArtifactsInput!$M$7-ArtifactsInput!$M$7)*CHOOSE(ArtifactsInput!$N$7+1,6,7.2,8.4,9.6,10.8,12))+IF(Inputs!$B$3&gt;=117,F1858,0))/100))/Skills!D10),0)</f>
        <v/>
      </c>
    </row>
    <row r="1863">
      <c r="A1863" t="inlineStr">
        <is>
          <t>Normal Monster Damage Bonus % (Holy Symbol)</t>
        </is>
      </c>
      <c r="B1863">
        <f>IF(C1844=TRUE,F1844*IF(AND(Inputs!$B$39&lt;&gt;"pvp",Inputs!$B$44&gt;0),(((R1844-1)*(Skills!S12*(1+((Inputs!$B$35+(ArtifactsInput!$M$7-ArtifactsInput!$M$7)*CHOOSE(ArtifactsInput!$N$7+1,6,7.2,8.4,9.6,10.8,12))+IF(Inputs!$B$3&gt;=117,F1858,0))/100))+MIN((Skills!S12*(1+((Inputs!$B$35+(ArtifactsInput!$M$7-ArtifactsInput!$M$7)*CHOOSE(ArtifactsInput!$N$7+1,6,7.2,8.4,9.6,10.8,12))+IF(Inputs!$B$3&gt;=117,F1858,0))/100)),MAX(0,Inputs!$B$44-((R1844-1)*Skills!D12))))/Inputs!$B$44),IF(Inputs!$B$39="pvp",MIN((Skills!S12*(1+((Inputs!$B$35+(ArtifactsInput!$M$7-ArtifactsInput!$M$7)*CHOOSE(ArtifactsInput!$N$7+1,6,7.2,8.4,9.6,10.8,12))+IF(Inputs!$B$3&gt;=117,F1858,0))/100)),15)/15,(Skills!S12*(1+((Inputs!$B$35+(ArtifactsInput!$M$7-ArtifactsInput!$M$7)*CHOOSE(ArtifactsInput!$N$7+1,6,7.2,8.4,9.6,10.8,12))+IF(Inputs!$B$3&gt;=117,F1858,0))/100))/Skills!D12)),0)</f>
        <v/>
      </c>
    </row>
    <row r="1864">
      <c r="A1864" t="inlineStr">
        <is>
          <t>Damage % Bonus (Holy Symbol - Damage Boost)</t>
        </is>
      </c>
      <c r="B1864">
        <f>Skills!O12</f>
        <v/>
      </c>
    </row>
    <row r="1865">
      <c r="A1865" t="inlineStr">
        <is>
          <t>Crit Damage % Bonus (Blood of the Divine)</t>
        </is>
      </c>
      <c r="B1865">
        <f>4*IF(C1852=TRUE,F1852,0)</f>
        <v/>
      </c>
    </row>
    <row r="1866">
      <c r="A1866" t="inlineStr">
        <is>
          <t>Attack Speed Bonus %</t>
        </is>
      </c>
      <c r="B1866">
        <f>IF(C1849=TRUE,F1849+(F1853-Calc!F21),0)+IF(Inputs!$B$3&gt;=134,15,0)</f>
        <v/>
      </c>
    </row>
    <row r="1867">
      <c r="A1867" t="inlineStr">
        <is>
          <t>Actions Per Second</t>
        </is>
      </c>
      <c r="B1867">
        <f>1+MIN(150,150*(1-(1-Inputs!$B$12/150)*(1-B1866/150)))/100</f>
        <v/>
      </c>
    </row>
    <row r="1868">
      <c r="A1868" t="inlineStr">
        <is>
          <t>Skill + Buff Cast Rate</t>
        </is>
      </c>
      <c r="B1868">
        <f>IF(AND(Inputs!$B$39&lt;&gt;"pvp",Inputs!$B$44&gt;0),SUMPRODUCT((Skills!E2:E27=TRUE)*(C1834:C1859=TRUE)*R1834:R1859)/Inputs!$B$44,SUMPRODUCT((Skills!E2:E27=TRUE)*(C1834:C1859=TRUE)*Q1834:Q1859))</f>
        <v/>
      </c>
    </row>
    <row r="1869">
      <c r="A1869" t="inlineStr">
        <is>
          <t>Big Bang Casts Per Second</t>
        </is>
      </c>
      <c r="B1869">
        <f>MAX(0,B1867-B1868)</f>
        <v/>
      </c>
    </row>
    <row r="1870">
      <c r="A1870" t="inlineStr">
        <is>
          <t>Defense % Bonus (Divine Protection)</t>
        </is>
      </c>
      <c r="B1870">
        <f>IF(C1845=TRUE,F1845*IF(AND(Inputs!$B$39&lt;&gt;"pvp",Inputs!$B$44&gt;0),(((R1845-1)*(Skills!S13*(1+((Inputs!$B$35+(ArtifactsInput!$M$7-ArtifactsInput!$M$7)*CHOOSE(ArtifactsInput!$N$7+1,6,7.2,8.4,9.6,10.8,12))+IF(Inputs!$B$3&gt;=117,F1858,0))/100))+MIN((Skills!S13*(1+((Inputs!$B$35+(ArtifactsInput!$M$7-ArtifactsInput!$M$7)*CHOOSE(ArtifactsInput!$N$7+1,6,7.2,8.4,9.6,10.8,12))+IF(Inputs!$B$3&gt;=117,F1858,0))/100)),MAX(0,Inputs!$B$44-((R1845-1)*Skills!D13))))/Inputs!$B$44),IF(Inputs!$B$39="pvp",MIN((Skills!S13*(1+((Inputs!$B$35+(ArtifactsInput!$M$7-ArtifactsInput!$M$7)*CHOOSE(ArtifactsInput!$N$7+1,6,7.2,8.4,9.6,10.8,12))+IF(Inputs!$B$3&gt;=117,F1858,0))/100)),15)/15,(Skills!S13*(1+((Inputs!$B$35+(ArtifactsInput!$M$7-ArtifactsInput!$M$7)*CHOOSE(ArtifactsInput!$N$7+1,6,7.2,8.4,9.6,10.8,12))+IF(Inputs!$B$3&gt;=117,F1858,0))/100))/Skills!D13)),0)</f>
        <v/>
      </c>
    </row>
    <row r="1871">
      <c r="A1871" t="inlineStr">
        <is>
          <t>Buff-Casting Startup Delay (s, fixed-duration only)</t>
        </is>
      </c>
      <c r="B1871">
        <f>IF(AND(Inputs!$B$39&lt;&gt;"pvp",Inputs!$B$44&gt;0),SUMPRODUCT((Skills!S2:S27&gt;0)*(Skills!E2:E27=TRUE)*(C1834:C1859=TRUE))/B1867,0)</f>
        <v/>
      </c>
    </row>
    <row r="1872">
      <c r="A1872" t="inlineStr">
        <is>
          <t>Boss-Only Total DPS (this block's swept value)</t>
        </is>
      </c>
      <c r="B1872">
        <f>SUM(S1834:S1859)</f>
        <v/>
      </c>
    </row>
    <row r="1873">
      <c r="A1873" t="inlineStr">
        <is>
          <t>Normal-Only Total DPS (this block's swept value)</t>
        </is>
      </c>
      <c r="B1873">
        <f>SUM(U1834:U1859)</f>
        <v/>
      </c>
    </row>
    <row r="1874">
      <c r="A1874" s="6" t="inlineStr">
        <is>
          <t>TOTAL DPS</t>
        </is>
      </c>
      <c r="B1874" s="6">
        <f>SUM(O1834:O1859)</f>
        <v/>
      </c>
    </row>
    <row r="1876">
      <c r="A1876" s="6" t="inlineStr">
        <is>
          <t>Stat: Old Music Box (Equip)</t>
        </is>
      </c>
    </row>
    <row r="1877">
      <c r="A1877" s="5" t="inlineStr">
        <is>
          <t>Key</t>
        </is>
      </c>
      <c r="B1877" s="5" t="inlineStr">
        <is>
          <t>Name</t>
        </is>
      </c>
      <c r="C1877" s="5" t="inlineStr">
        <is>
          <t>Unlocked</t>
        </is>
      </c>
      <c r="D1877" s="5" t="inlineStr">
        <is>
          <t>InputLevel</t>
        </is>
      </c>
      <c r="E1877" s="5" t="inlineStr">
        <is>
          <t>Factor</t>
        </is>
      </c>
      <c r="F1877" s="5" t="inlineStr">
        <is>
          <t>CoefficientPercent</t>
        </is>
      </c>
      <c r="G1877" s="5" t="inlineStr">
        <is>
          <t>EffectiveHits</t>
        </is>
      </c>
      <c r="H1877" s="5" t="inlineStr">
        <is>
          <t>ProcProbability</t>
        </is>
      </c>
      <c r="I1877" s="5" t="inlineStr">
        <is>
          <t>MapleHeroMultiplier</t>
        </is>
      </c>
      <c r="J1877" s="5" t="inlineStr">
        <is>
          <t>BaseDamage</t>
        </is>
      </c>
      <c r="K1877" s="5" t="inlineStr">
        <is>
          <t>BaseHitDamage</t>
        </is>
      </c>
      <c r="L1877" s="5" t="inlineStr">
        <is>
          <t>NonCritAvg</t>
        </is>
      </c>
      <c r="M1877" s="5" t="inlineStr">
        <is>
          <t>CritAvg</t>
        </is>
      </c>
      <c r="N1877" s="5" t="inlineStr">
        <is>
          <t>ExpectedDamage(perHit)</t>
        </is>
      </c>
      <c r="O1877" s="5" t="inlineStr">
        <is>
          <t>DPS</t>
        </is>
      </c>
      <c r="P1877" s="5" t="inlineStr">
        <is>
          <t>% of Total</t>
        </is>
      </c>
      <c r="R1877" t="inlineStr">
        <is>
          <t>helpers</t>
        </is>
      </c>
    </row>
    <row r="1878">
      <c r="A1878">
        <f>Skills!A2</f>
        <v/>
      </c>
      <c r="B1878">
        <f>Skills!B2</f>
        <v/>
      </c>
      <c r="C1878">
        <f>Inputs!$B$3&gt;=100</f>
        <v/>
      </c>
      <c r="D1878" t="inlineStr"/>
      <c r="E1878" t="inlineStr"/>
      <c r="F1878">
        <f>T1880+Skills!N2</f>
        <v/>
      </c>
      <c r="G1878">
        <f>Calc!G2</f>
        <v/>
      </c>
      <c r="H1878">
        <f>Calc!H2</f>
        <v/>
      </c>
      <c r="I1878">
        <f>IF(Skills!T2&lt;&gt;"",1+(Skills!T2/10)*($Z$3/1000)/100,1)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2="TRIUMPH_FEATHER",IF(C1892=TRUE,F1892,0),0)/100)*(1+IF(C1903=TRUE,F1903,0)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1878)</f>
        <v/>
      </c>
      <c r="L1878">
        <f>K1878*(MIN(Inputs!$B$23+(F1898-Calc!F22),(Inputs!$B$24+IF(ArtifactsInput!$M$15,CHOOSE(ArtifactsInput!$N$15+1,25,30,35,40,45,50)/100*(Inputs!$B$12-Inputs!$B$12),0)))/100+(Inputs!$B$24+IF(ArtifactsInput!$M$15,CHOOSE(ArtifactsInput!$N$15+1,25,30,35,40,45,50)/100*(Inputs!$B$12-Inputs!$B$12),0))/100)/2</f>
        <v/>
      </c>
      <c r="M1878">
        <f>L1878*(1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IF(B1918=0,0,O1878/B1918)</f>
        <v/>
      </c>
      <c r="Q1878">
        <f>IFERROR(1/(IF(Inputs!$B$39="pvp",15,MAX(0.1,Skills!D2-IF(Skills!E2=TRUE,Inputs!$B$33,0)))*(1-IF(AND(ArtifactsInput!$M$27,Inputs!$B$4="Chapter Hunt"),CHOOSE(ArtifactsInput!$N$27+1,20,24,28,32,36,40),0)/100)),0)</f>
        <v/>
      </c>
      <c r="R1878" t="n">
        <v>0</v>
      </c>
      <c r="S1878">
        <f>IF(C1878,(Skills!F2*N1878*B1913)*IF(Inputs!$B$39="pvp",1,1+(Inputs!$B$21+Skills!O2+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8">
        <f>MAX(0,(Inputs!$B$3-100)*3)+Inputs!$B$29+Inputs!$B$30</f>
        <v/>
      </c>
      <c r="U1878">
        <f>IF(C1878,(Skills!F2*N1878*B1913)*IF(Inputs!$B$39="pvp",1,(1+(Inputs!$B$22+Skills!P2+B1907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Skills!A3</f>
        <v/>
      </c>
      <c r="B1879">
        <f>Skills!B3</f>
        <v/>
      </c>
      <c r="C1879">
        <f>Inputs!$B$3&gt;=15</f>
        <v/>
      </c>
      <c r="D1879">
        <f>IF(Skills!C3=1,60+Inputs!$B$26+Inputs!$B$30,IF(Skills!C3=2,90+Inputs!$B$27+Inputs!$B$30,IF(Skills!C3=3,120+Inputs!$B$28+Inputs!$B$30,MAX(0,(Inputs!$B$3-100)*3)+Inputs!$B$29+Inputs!$B$30)))</f>
        <v/>
      </c>
      <c r="E1879">
        <f>INDEX(FactorTable!$B$2:$Y$301, MATCH(ROUND(MIN(300,MAX(1,D1879)),0), FactorTable!$A$2:$A$301,0), Skills!L3+1)</f>
        <v/>
      </c>
      <c r="F1879">
        <f>IF(Skills!M3=TRUE,(Skills!K3/10)*(E1879/1000),Skills!K3/10)+Skills!N3</f>
        <v/>
      </c>
      <c r="G1879">
        <f>Calc!G3</f>
        <v/>
      </c>
      <c r="H1879">
        <f>Calc!H3</f>
        <v/>
      </c>
      <c r="I1879">
        <f>IF(Skills!T3&lt;&gt;"",1+(Skills!T3/10)*($Z$3/1000)/100,1)</f>
        <v/>
      </c>
      <c r="J1879" t="inlineStr"/>
      <c r="K1879" t="inlineStr"/>
      <c r="L1879" t="inlineStr"/>
      <c r="M1879" t="inlineStr"/>
      <c r="N1879" t="inlineStr"/>
      <c r="O1879">
        <f>(1-Summary!$B$11)*S1879+Summary!$B$11*U1879</f>
        <v/>
      </c>
      <c r="P1879">
        <f>IF(B1918=0,0,O1879/B1918)</f>
        <v/>
      </c>
      <c r="Q1879">
        <f>IFERROR(1/(IF(Inputs!$B$39="pvp",15,MAX(0.1,Skills!D3-IF(Skills!E3=TRUE,Inputs!$B$33,0)))*(1-IF(AND(ArtifactsInput!$M$27,Inputs!$B$4="Chapter Hunt"),CHOOSE(ArtifactsInput!$N$27+1,20,24,28,32,36,40),0)/100)),0)</f>
        <v/>
      </c>
      <c r="R1879">
        <f>IF(AND(Inputs!$B$39&lt;&gt;"pvp",Inputs!$B$44&gt;0),IF(Inputs!$B$44&lt;=0,0,(INT(Inputs!$B$44/(IF(Inputs!$B$39="pvp",15,MAX(0.1,Skills!D3-IF(Skills!E3=TRUE,Inputs!$B$33,0)))*(1-IF(AND(ArtifactsInput!$M$27,Inputs!$B$4="Chapter Hunt"),CHOOSE(ArtifactsInput!$N$27+1,20,24,28,32,36,40),0)/100)))+1)),0)</f>
        <v/>
      </c>
      <c r="S1879" t="n">
        <v>0</v>
      </c>
      <c r="T1879">
        <f>INDEX(FactorTable!$B$2:$Y$301, MATCH(ROUND(MIN(300,MAX(1,T1878)),0), FactorTable!$A$2:$A$301,0), 22)</f>
        <v/>
      </c>
      <c r="U1879" t="n">
        <v>0</v>
      </c>
    </row>
    <row r="1880">
      <c r="A1880">
        <f>Skills!A4</f>
        <v/>
      </c>
      <c r="B1880">
        <f>Skills!B4</f>
        <v/>
      </c>
      <c r="C1880">
        <f>Inputs!$B$3&gt;=38</f>
        <v/>
      </c>
      <c r="D1880">
        <f>IF(Skills!C4=1,60+Inputs!$B$26+Inputs!$B$30,IF(Skills!C4=2,90+Inputs!$B$27+Inputs!$B$30,IF(Skills!C4=3,120+Inputs!$B$28+Inputs!$B$30,MAX(0,(Inputs!$B$3-100)*3)+Inputs!$B$29+Inputs!$B$30)))</f>
        <v/>
      </c>
      <c r="E1880">
        <f>INDEX(FactorTable!$B$2:$Y$301, MATCH(ROUND(MIN(300,MAX(1,D1880)),0), FactorTable!$A$2:$A$301,0), Skills!L4+1)</f>
        <v/>
      </c>
      <c r="F1880">
        <f>IF(Skills!M4=TRUE,(Skills!K4/10)*(E1880/1000),Skills!K4/10)+Skills!N4</f>
        <v/>
      </c>
      <c r="G1880">
        <f>Calc!G4</f>
        <v/>
      </c>
      <c r="H1880">
        <f>Calc!H4</f>
        <v/>
      </c>
      <c r="I1880">
        <f>IF(Skills!T4&lt;&gt;"",1+(Skills!T4/10)*($Z$3/1000)/100,1)</f>
        <v/>
      </c>
      <c r="J1880" t="inlineStr"/>
      <c r="K1880" t="inlineStr"/>
      <c r="L1880" t="inlineStr"/>
      <c r="M1880" t="inlineStr"/>
      <c r="N1880" t="inlineStr"/>
      <c r="O1880">
        <f>(1-Summary!$B$11)*S1880+Summary!$B$11*U1880</f>
        <v/>
      </c>
      <c r="P1880">
        <f>IF(B1918=0,0,O1880/B1918)</f>
        <v/>
      </c>
      <c r="Q1880">
        <f>IFERROR(1/(IF(Inputs!$B$39="pvp",15,MAX(0.1,Skills!D4-IF(Skills!E4=TRUE,Inputs!$B$33,0)))*(1-IF(AND(ArtifactsInput!$M$27,Inputs!$B$4="Chapter Hunt"),CHOOSE(ArtifactsInput!$N$27+1,20,24,28,32,36,40),0)/100)),0)</f>
        <v/>
      </c>
      <c r="R1880">
        <f>IF(AND(Inputs!$B$39&lt;&gt;"pvp",Inputs!$B$44&gt;0),IF(Inputs!$B$44&lt;=0,0,(INT(Inputs!$B$44/(IF(Inputs!$B$39="pvp",15,MAX(0.1,Skills!D4-IF(Skills!E4=TRUE,Inputs!$B$33,0)))*(1-IF(AND(ArtifactsInput!$M$27,Inputs!$B$4="Chapter Hunt"),CHOOSE(ArtifactsInput!$N$27+1,20,24,28,32,36,40),0)/100)))+1)),0)</f>
        <v/>
      </c>
      <c r="S1880" t="n">
        <v>0</v>
      </c>
      <c r="T1880">
        <f>290*T1879/1000</f>
        <v/>
      </c>
      <c r="U1880" t="n">
        <v>0</v>
      </c>
    </row>
    <row r="1881">
      <c r="A1881">
        <f>Skills!A5</f>
        <v/>
      </c>
      <c r="B1881">
        <f>Skills!B5</f>
        <v/>
      </c>
      <c r="C1881">
        <f>Inputs!$B$3&gt;=40</f>
        <v/>
      </c>
      <c r="D1881">
        <f>IF(Skills!C5=1,60+Inputs!$B$26+Inputs!$B$30,IF(Skills!C5=2,90+Inputs!$B$27+Inputs!$B$30,IF(Skills!C5=3,120+Inputs!$B$28+Inputs!$B$30,MAX(0,(Inputs!$B$3-100)*3)+Inputs!$B$29+Inputs!$B$30)))</f>
        <v/>
      </c>
      <c r="E1881">
        <f>INDEX(FactorTable!$B$2:$Y$301, MATCH(ROUND(MIN(300,MAX(1,D1881)),0), FactorTable!$A$2:$A$301,0), Skills!L5+1)</f>
        <v/>
      </c>
      <c r="F1881">
        <f>IF(Skills!M5=TRUE,(Skills!K5/10)*(E1881/1000),Skills!K5/10)+Skills!N5</f>
        <v/>
      </c>
      <c r="G1881">
        <f>Calc!G5</f>
        <v/>
      </c>
      <c r="H1881">
        <f>Calc!H5</f>
        <v/>
      </c>
      <c r="I1881">
        <f>IF(Skills!T5&lt;&gt;"",1+(Skills!T5/10)*($Z$3/1000)/100,1)</f>
        <v/>
      </c>
      <c r="J1881" t="inlineStr"/>
      <c r="K1881" t="inlineStr"/>
      <c r="L1881" t="inlineStr"/>
      <c r="M1881" t="inlineStr"/>
      <c r="N1881" t="inlineStr"/>
      <c r="O1881">
        <f>(1-Summary!$B$11)*S1881+Summary!$B$11*U1881</f>
        <v/>
      </c>
      <c r="P1881">
        <f>IF(B1918=0,0,O1881/B1918)</f>
        <v/>
      </c>
      <c r="Q1881">
        <f>IFERROR(1/(IF(Inputs!$B$39="pvp",15,MAX(0.1,Skills!D5-IF(Skills!E5=TRUE,Inputs!$B$33,0)))*(1-IF(AND(ArtifactsInput!$M$27,Inputs!$B$4="Chapter Hunt"),CHOOSE(ArtifactsInput!$N$27+1,20,24,28,32,36,40),0)/100)),0)</f>
        <v/>
      </c>
      <c r="R1881">
        <f>IF(AND(Inputs!$B$39&lt;&gt;"pvp",Inputs!$B$44&gt;0),IF(Inputs!$B$44&lt;=0,0,(INT(Inputs!$B$44/(IF(Inputs!$B$39="pvp",15,MAX(0.1,Skills!D5-IF(Skills!E5=TRUE,Inputs!$B$33,0)))*(1-IF(AND(ArtifactsInput!$M$27,Inputs!$B$4="Chapter Hunt"),CHOOSE(ArtifactsInput!$N$27+1,20,24,28,32,36,40),0)/100)))+1)),0)</f>
        <v/>
      </c>
      <c r="S1881" t="n">
        <v>0</v>
      </c>
      <c r="U1881" t="n">
        <v>0</v>
      </c>
    </row>
    <row r="1882">
      <c r="A1882">
        <f>Skills!A6</f>
        <v/>
      </c>
      <c r="B1882">
        <f>Skills!B6</f>
        <v/>
      </c>
      <c r="C1882">
        <f>Inputs!$B$3&gt;=103</f>
        <v/>
      </c>
      <c r="D1882">
        <f>IF(Skills!C6=1,60+Inputs!$B$26+Inputs!$B$30,IF(Skills!C6=2,90+Inputs!$B$27+Inputs!$B$30,IF(Skills!C6=3,120+Inputs!$B$28+Inputs!$B$30,MAX(0,(Inputs!$B$3-100)*3)+Inputs!$B$29+Inputs!$B$30)))</f>
        <v/>
      </c>
      <c r="E1882">
        <f>INDEX(FactorTable!$B$2:$Y$301, MATCH(ROUND(MIN(300,MAX(1,D1882)),0), FactorTable!$A$2:$A$301,0), Skills!L6+1)</f>
        <v/>
      </c>
      <c r="F1882">
        <f>IF(Skills!M6=TRUE,(Skills!K6/10)*(E1882/1000),Skills!K6/10)+Skills!N6</f>
        <v/>
      </c>
      <c r="G1882">
        <f>Calc!G6</f>
        <v/>
      </c>
      <c r="H1882">
        <f>Calc!H6</f>
        <v/>
      </c>
      <c r="I1882">
        <f>IF(Skills!T6&lt;&gt;"",1+(Skills!T6/10)*($Z$3/1000)/100,1)</f>
        <v/>
      </c>
      <c r="J1882">
        <f>((Inputs!$B$6*(1+Inputs!$B$7/100))+(((Inputs!$B$13*(1+Inputs!$B$14/100))-(Inputs!$B$13*(1+Inputs!$B$14/100)))+0.25*(Inputs!$B$15-Inputs!$B$15))*(1+Inputs!$B$7/100))*(F1882/100)</f>
        <v/>
      </c>
      <c r="K1882">
        <f>J1882*(1+(((Inputs!$B$13+IF(Inputs!$B$3&gt;=35,(10*INDEX(FactorTable!$B$2:$Y$301,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6="TRIUMPH_FEATHER",IF(C1892=TRUE,F1892,0),0)/100)*(1+IF(C1903=TRUE,F1903,0)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1882)</f>
        <v/>
      </c>
      <c r="L1882">
        <f>K1882*(MIN(Inputs!$B$23+(F1898-Calc!F22),(Inputs!$B$24+IF(ArtifactsInput!$M$15,CHOOSE(ArtifactsInput!$N$15+1,25,30,35,40,45,50)/100*(Inputs!$B$12-Inputs!$B$12),0)))/100+(Inputs!$B$24+IF(ArtifactsInput!$M$15,CHOOSE(ArtifactsInput!$N$15+1,25,30,35,40,45,50)/100*(Inputs!$B$12-Inputs!$B$12),0))/100)/2</f>
        <v/>
      </c>
      <c r="M1882">
        <f>L1882*(1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2">
        <f>L1882*(1-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1882*(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2">
        <f>(1-Summary!$B$11)*S1882+Summary!$B$11*U1882</f>
        <v/>
      </c>
      <c r="P1882">
        <f>IF(B1918=0,0,O1882/B1918)</f>
        <v/>
      </c>
      <c r="Q1882">
        <f>IFERROR(1/(IF(Inputs!$B$39="pvp",15,MAX(0.1,Skills!D6-IF(Skills!E6=TRUE,Inputs!$B$33,0)))*(1-IF(AND(ArtifactsInput!$M$27,Inputs!$B$4="Chapter Hunt"),CHOOSE(ArtifactsInput!$N$27+1,20,24,28,32,36,40),0)/100)),0)</f>
        <v/>
      </c>
      <c r="R1882">
        <f>IF(AND(Inputs!$B$39&lt;&gt;"pvp",Inputs!$B$44&gt;0),IF(MAX(0,Inputs!$B$44-B1915)&lt;=0,0,(INT(MAX(0,Inputs!$B$44-B1915)/(IF(Inputs!$B$39="pvp",15,MAX(0.1,Skills!D6-IF(Skills!E6=TRUE,Inputs!$B$33,0)))*(1-IF(AND(ArtifactsInput!$M$27,Inputs!$B$4="Chapter Hunt"),CHOOSE(ArtifactsInput!$N$27+1,20,24,28,32,36,40),0)/100)))+1)),0)</f>
        <v/>
      </c>
      <c r="S1882">
        <f>IF(C1882,(H1882*N1882*IF(AND(Inputs!$B$39&lt;&gt;"pvp",Inputs!$B$44&gt;0),((Skills!F6*((R1882-1)*IF(Skills!G6&gt;0,Skills!H6/Skills!G6,1)+IF(Skills!G6&gt;0,MIN(Skills!H6,MAX(0,MAX(0,Inputs!$B$44-B1915)-((R1882-1)*(IF(Inputs!$B$39="pvp",15,MAX(0.1,Skills!D6-IF(Skills!E6=TRUE,Inputs!$B$33,0)))*(1-IF(AND(ArtifactsInput!$M$27,Inputs!$B$4="Chapter Hunt"),CHOOSE(ArtifactsInput!$N$27+1,20,24,28,32,36,40),0)/100)))))/Skills!G6,1)))/Inputs!$B$44),G1882*Q1882))*IF(Inputs!$B$39="pvp",1,1+(Inputs!$B$21+Skills!O6+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1882*(1-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1882*(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1882*(1-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1882*(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2">
        <f>IF(C1882,(H1882*N1882*IF(AND(Inputs!$B$39&lt;&gt;"pvp",Inputs!$B$44&gt;0),((Skills!F6*((R1882-1)*IF(Skills!G6&gt;0,Skills!H6/Skills!G6,1)+IF(Skills!G6&gt;0,MIN(Skills!H6,MAX(0,MAX(0,Inputs!$B$44-B1915)-((R1882-1)*(IF(Inputs!$B$39="pvp",15,MAX(0.1,Skills!D6-IF(Skills!E6=TRUE,Inputs!$B$33,0)))*(1-IF(AND(ArtifactsInput!$M$27,Inputs!$B$4="Chapter Hunt"),CHOOSE(ArtifactsInput!$N$27+1,20,24,28,32,36,40),0)/100)))))/Skills!G6,1)))/Inputs!$B$44),G1882*Q1882))*IF(Inputs!$B$39="pvp",1,(1+(Inputs!$B$22+Skills!P6+B1907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3">
      <c r="A1883">
        <f>Skills!A7</f>
        <v/>
      </c>
      <c r="B1883">
        <f>Skills!B7</f>
        <v/>
      </c>
      <c r="C1883">
        <f>Inputs!$B$3&gt;=122</f>
        <v/>
      </c>
      <c r="D1883">
        <f>IF(Skills!C7=1,60+Inputs!$B$26+Inputs!$B$30,IF(Skills!C7=2,90+Inputs!$B$27+Inputs!$B$30,IF(Skills!C7=3,120+Inputs!$B$28+Inputs!$B$30,MAX(0,(Inputs!$B$3-100)*3)+Inputs!$B$29+Inputs!$B$30)))</f>
        <v/>
      </c>
      <c r="E1883">
        <f>INDEX(FactorTable!$B$2:$Y$301, MATCH(ROUND(MIN(300,MAX(1,D1883)),0), FactorTable!$A$2:$A$301,0), Skills!L7+1)</f>
        <v/>
      </c>
      <c r="F1883">
        <f>IF(Skills!M7=TRUE,(Skills!K7/10)*(E1883/1000),Skills!K7/10)+Skills!N7</f>
        <v/>
      </c>
      <c r="G1883">
        <f>Calc!G7</f>
        <v/>
      </c>
      <c r="H1883">
        <f>Calc!H7</f>
        <v/>
      </c>
      <c r="I1883">
        <f>IF(Skills!T7&lt;&gt;"",1+(Skills!T7/10)*($Z$3/1000)/100,1)</f>
        <v/>
      </c>
      <c r="J1883">
        <f>((Inputs!$B$6*(1+Inputs!$B$7/100))+(((Inputs!$B$13*(1+Inputs!$B$14/100))-(Inputs!$B$13*(1+Inputs!$B$14/100)))+0.25*(Inputs!$B$15-Inputs!$B$15))*(1+Inputs!$B$7/100))*(F1883/100)</f>
        <v/>
      </c>
      <c r="K1883">
        <f>J1883*(1+(((Inputs!$B$13+IF(Inputs!$B$3&gt;=35,(10*INDEX(FactorTable!$B$2:$Y$301,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7="TRIUMPH_FEATHER",IF(C1892=TRUE,F1892,0),0)/100)*(1+IF(C1903=TRUE,F1903,0)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1883)</f>
        <v/>
      </c>
      <c r="L1883">
        <f>K1883*(MIN(Inputs!$B$23+(F1898-Calc!F22),(Inputs!$B$24+IF(ArtifactsInput!$M$15,CHOOSE(ArtifactsInput!$N$15+1,25,30,35,40,45,50)/100*(Inputs!$B$12-Inputs!$B$12),0)))/100+(Inputs!$B$24+IF(ArtifactsInput!$M$15,CHOOSE(ArtifactsInput!$N$15+1,25,30,35,40,45,50)/100*(Inputs!$B$12-Inputs!$B$12),0))/100)/2</f>
        <v/>
      </c>
      <c r="M1883">
        <f>L1883*(1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3">
        <f>L1883*(1-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1883*(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3">
        <f>(1-Summary!$B$11)*S1883+Summary!$B$11*U1883</f>
        <v/>
      </c>
      <c r="P1883">
        <f>IF(B1918=0,0,O1883/B1918)</f>
        <v/>
      </c>
      <c r="Q1883">
        <f>IFERROR(1/(IF(Inputs!$B$39="pvp",15,MAX(0.1,Skills!D7-IF(Skills!E6=TRUE,Inputs!$B$33,0)))*(1-IF(AND(ArtifactsInput!$M$27,Inputs!$B$4="Chapter Hunt"),CHOOSE(ArtifactsInput!$N$27+1,20,24,28,32,36,40),0)/100)),0)</f>
        <v/>
      </c>
      <c r="R1883">
        <f>IF(AND(Inputs!$B$39&lt;&gt;"pvp",Inputs!$B$44&gt;0),IF(MAX(0,Inputs!$B$44-B1915)&lt;=0,0,(INT(MAX(0,Inputs!$B$44-B1915)/(IF(Inputs!$B$39="pvp",15,MAX(0.1,Skills!D7-IF(Skills!E6=TRUE,Inputs!$B$33,0)))*(1-IF(AND(ArtifactsInput!$M$27,Inputs!$B$4="Chapter Hunt"),CHOOSE(ArtifactsInput!$N$27+1,20,24,28,32,36,40),0)/100)))+1)),0)</f>
        <v/>
      </c>
      <c r="S1883">
        <f>IF(C1883,H1883*N1883*IF(AND(Inputs!$B$39&lt;&gt;"pvp",Inputs!$B$44&gt;0),((Skills!F7*((R1883-1)*IF(Skills!G7&gt;0,Skills!H7/Skills!G7,1)+IF(Skills!G7&gt;0,MIN(Skills!H7,MAX(0,MAX(0,Inputs!$B$44-B1915)-((R1883-1)*(IF(Inputs!$B$39="pvp",15,MAX(0.1,Skills!D7-IF(Skills!E6=TRUE,Inputs!$B$33,0)))*(1-IF(AND(ArtifactsInput!$M$27,Inputs!$B$4="Chapter Hunt"),CHOOSE(ArtifactsInput!$N$27+1,20,24,28,32,36,40),0)/100)))))/Skills!G7,1)))/Inputs!$B$44),G1883*Q1883)*IF(Inputs!$B$39="pvp",1,1+(Inputs!$B$21+Skills!O7+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1883*(1-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1883*(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1883*(1-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1883*(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3" t="n">
        <v>0</v>
      </c>
    </row>
    <row r="1884">
      <c r="A1884">
        <f>Skills!A8</f>
        <v/>
      </c>
      <c r="B1884">
        <f>Skills!B8</f>
        <v/>
      </c>
      <c r="C1884">
        <f>Inputs!$B$3&gt;=105</f>
        <v/>
      </c>
      <c r="D1884">
        <f>IF(Skills!C8=1,60+Inputs!$B$26+Inputs!$B$30,IF(Skills!C8=2,90+Inputs!$B$27+Inputs!$B$30,IF(Skills!C8=3,120+Inputs!$B$28+Inputs!$B$30,MAX(0,(Inputs!$B$3-100)*3)+Inputs!$B$29+Inputs!$B$30)))</f>
        <v/>
      </c>
      <c r="E1884">
        <f>INDEX(FactorTable!$B$2:$Y$301, MATCH(ROUND(MIN(300,MAX(1,D1884)),0), FactorTable!$A$2:$A$301,0), Skills!L8+1)</f>
        <v/>
      </c>
      <c r="F1884">
        <f>IF(Skills!M8=TRUE,(Skills!K8/10)*(E1884/1000),Skills!K8/10)+Skills!N8</f>
        <v/>
      </c>
      <c r="G1884">
        <f>Calc!G8</f>
        <v/>
      </c>
      <c r="H1884">
        <f>Calc!H8</f>
        <v/>
      </c>
      <c r="I1884">
        <f>IF(Skills!T8&lt;&gt;"",1+(Skills!T8/10)*($Z$3/1000)/100,1)</f>
        <v/>
      </c>
      <c r="J1884">
        <f>((Inputs!$B$6*(1+Inputs!$B$7/100))+(((Inputs!$B$13*(1+Inputs!$B$14/100))-(Inputs!$B$13*(1+Inputs!$B$14/100)))+0.25*(Inputs!$B$15-Inputs!$B$15))*(1+Inputs!$B$7/100))*(F1884/100)</f>
        <v/>
      </c>
      <c r="K1884">
        <f>J1884*(1+(((Inputs!$B$13+IF(Inputs!$B$3&gt;=35,(10*INDEX(FactorTable!$B$2:$Y$301,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8="TRIUMPH_FEATHER",IF(C1892=TRUE,F1892,0),0)/100)*(1+IF(C1903=TRUE,F1903,0)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1884)</f>
        <v/>
      </c>
      <c r="L1884">
        <f>K1884*(MIN(Inputs!$B$23+(F1898-Calc!F22),(Inputs!$B$24+IF(ArtifactsInput!$M$15,CHOOSE(ArtifactsInput!$N$15+1,25,30,35,40,45,50)/100*(Inputs!$B$12-Inputs!$B$12),0)))/100+(Inputs!$B$24+IF(ArtifactsInput!$M$15,CHOOSE(ArtifactsInput!$N$15+1,25,30,35,40,45,50)/100*(Inputs!$B$12-Inputs!$B$12),0))/100)/2</f>
        <v/>
      </c>
      <c r="M1884">
        <f>L1884*(1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4">
        <f>L1884*(1-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(1-Summary!$B$11)*S1884+Summary!$B$11*U1884</f>
        <v/>
      </c>
      <c r="P1884">
        <f>IF(B1918=0,0,O1884/B1918)</f>
        <v/>
      </c>
      <c r="Q1884">
        <f>IFERROR(1/(IF(Inputs!$B$39="pvp",15,MAX(0.1,Skills!D8-IF(Skills!E8=TRUE,Inputs!$B$33,0)))*(1-IF(AND(ArtifactsInput!$M$27,Inputs!$B$4="Chapter Hunt"),CHOOSE(ArtifactsInput!$N$27+1,20,24,28,32,36,40),0)/100)),0)</f>
        <v/>
      </c>
      <c r="R1884">
        <f>IF(AND(Inputs!$B$39&lt;&gt;"pvp",Inputs!$B$44&gt;0),IF(MAX(0,Inputs!$B$44-B1915)&lt;=0,0,(INT(MAX(0,Inputs!$B$44-B1915)/(IF(Inputs!$B$39="pvp",15,MAX(0.1,Skills!D8-IF(Skills!E8=TRUE,Inputs!$B$33,0)))*(1-IF(AND(ArtifactsInput!$M$27,Inputs!$B$4="Chapter Hunt"),CHOOSE(ArtifactsInput!$N$27+1,20,24,28,32,36,40),0)/100)))+1)),0)</f>
        <v/>
      </c>
      <c r="S1884">
        <f>IF(C1884,(H1884*N1884*IF(AND(Inputs!$B$39&lt;&gt;"pvp",Inputs!$B$44&gt;0),((Skills!F8*((R1884-1)*IF(Skills!G8&gt;0,Skills!H8/Skills!G8,1)+IF(Skills!G8&gt;0,MIN(Skills!H8,MAX(0,MAX(0,Inputs!$B$44-B1915)-((R1884-1)*(IF(Inputs!$B$39="pvp",15,MAX(0.1,Skills!D8-IF(Skills!E8=TRUE,Inputs!$B$33,0)))*(1-IF(AND(ArtifactsInput!$M$27,Inputs!$B$4="Chapter Hunt"),CHOOSE(ArtifactsInput!$N$27+1,20,24,28,32,36,40),0)/100)))))/Skills!G8,1)))/Inputs!$B$44),G1884*Q1884))*IF(Inputs!$B$39="pvp",1,1+(Inputs!$B$21+Skills!O8+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1884*(1-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4">
        <f>IF(C1884,(H1884*N1884*IF(AND(Inputs!$B$39&lt;&gt;"pvp",Inputs!$B$44&gt;0),((Skills!F8*((R1884-1)*IF(Skills!G8&gt;0,Skills!H8/Skills!G8,1)+IF(Skills!G8&gt;0,MIN(Skills!H8,MAX(0,MAX(0,Inputs!$B$44-B1915)-((R1884-1)*(IF(Inputs!$B$39="pvp",15,MAX(0.1,Skills!D8-IF(Skills!E8=TRUE,Inputs!$B$33,0)))*(1-IF(AND(ArtifactsInput!$M$27,Inputs!$B$4="Chapter Hunt"),CHOOSE(ArtifactsInput!$N$27+1,20,24,28,32,36,40),0)/100)))))/Skills!G8,1)))/Inputs!$B$44),G1884*Q1884))*IF(Inputs!$B$39="pvp",1,(1+(Inputs!$B$22+Skills!P8+B1907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Skills!A9</f>
        <v/>
      </c>
      <c r="B1885">
        <f>Skills!B9</f>
        <v/>
      </c>
      <c r="C1885">
        <f>Inputs!$B$3&gt;=115</f>
        <v/>
      </c>
      <c r="D1885">
        <f>IF(Skills!C9=1,60+Inputs!$B$26+Inputs!$B$30,IF(Skills!C9=2,90+Inputs!$B$27+Inputs!$B$30,IF(Skills!C9=3,120+Inputs!$B$28+Inputs!$B$30,MAX(0,(Inputs!$B$3-100)*3)+Inputs!$B$29+Inputs!$B$30)))</f>
        <v/>
      </c>
      <c r="E1885">
        <f>INDEX(FactorTable!$B$2:$Y$301, MATCH(ROUND(MIN(300,MAX(1,D1885)),0), FactorTable!$A$2:$A$301,0), Skills!L9+1)</f>
        <v/>
      </c>
      <c r="F1885">
        <f>IF(Skills!M9=TRUE,(Skills!K9/10)*(E1885/1000),Skills!K9/10)+Skills!N9</f>
        <v/>
      </c>
      <c r="G1885">
        <f>Calc!G9</f>
        <v/>
      </c>
      <c r="H1885">
        <f>Calc!H9</f>
        <v/>
      </c>
      <c r="I1885">
        <f>IF(Skills!T9&lt;&gt;"",1+(Skills!T9/10)*($Z$3/1000)/100,1)</f>
        <v/>
      </c>
      <c r="J1885">
        <f>((Inputs!$B$6*(1+Inputs!$B$7/100))+(((Inputs!$B$13*(1+Inputs!$B$14/100))-(Inputs!$B$13*(1+Inputs!$B$14/100)))+0.25*(Inputs!$B$15-Inputs!$B$15))*(1+Inputs!$B$7/100))*(F1885/100)</f>
        <v/>
      </c>
      <c r="K1885">
        <f>J1885*(1+(((Inputs!$B$13+IF(Inputs!$B$3&gt;=35,(10*INDEX(FactorTable!$B$2:$Y$301,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9="TRIUMPH_FEATHER",IF(C1892=TRUE,F1892,0),0)/100)*(1+IF(C1903=TRUE,F1903,0)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1885)</f>
        <v/>
      </c>
      <c r="L1885">
        <f>K1885*(MIN(Inputs!$B$23+(F1898-Calc!F22),(Inputs!$B$24+IF(ArtifactsInput!$M$15,CHOOSE(ArtifactsInput!$N$15+1,25,30,35,40,45,50)/100*(Inputs!$B$12-Inputs!$B$12),0)))/100+(Inputs!$B$24+IF(ArtifactsInput!$M$15,CHOOSE(ArtifactsInput!$N$15+1,25,30,35,40,45,50)/100*(Inputs!$B$12-Inputs!$B$12),0))/100)/2</f>
        <v/>
      </c>
      <c r="M1885">
        <f>L1885*(1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5">
        <f>L1885*(1-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(1-Summary!$B$11)*S1885+Summary!$B$11*U1885</f>
        <v/>
      </c>
      <c r="P1885">
        <f>IF(B1918=0,0,O1885/B1918)</f>
        <v/>
      </c>
      <c r="Q1885">
        <f>IFERROR(1/(IF(Inputs!$B$39="pvp",15,MAX(0.1,Skills!D9-IF(Skills!E9=TRUE,Inputs!$B$33,0)))*(1-IF(AND(ArtifactsInput!$M$27,Inputs!$B$4="Chapter Hunt"),CHOOSE(ArtifactsInput!$N$27+1,20,24,28,32,36,40),0)/100)),0)</f>
        <v/>
      </c>
      <c r="R1885">
        <f>IF(AND(Inputs!$B$39&lt;&gt;"pvp",Inputs!$B$44&gt;0),IF(MAX(0,Inputs!$B$44-B1915)&lt;=0,0,(INT(MAX(0,Inputs!$B$44-B1915)/(IF(Inputs!$B$39="pvp",15,MAX(0.1,Skills!D9-IF(Skills!E9=TRUE,Inputs!$B$33,0)))*(1-IF(AND(ArtifactsInput!$M$27,Inputs!$B$4="Chapter Hunt"),CHOOSE(ArtifactsInput!$N$27+1,20,24,28,32,36,40),0)/100)))+1)),0)</f>
        <v/>
      </c>
      <c r="S1885">
        <f>IF(C1885,(H1885*N1885*IF(AND(Inputs!$B$39&lt;&gt;"pvp",Inputs!$B$44&gt;0),((Skills!F9*((R1885-1)*IF(Skills!G9&gt;0,Skills!H9/Skills!G9,1)+IF(Skills!G9&gt;0,MIN(Skills!H9,MAX(0,MAX(0,Inputs!$B$44-B1915)-((R1885-1)*(IF(Inputs!$B$39="pvp",15,MAX(0.1,Skills!D9-IF(Skills!E9=TRUE,Inputs!$B$33,0)))*(1-IF(AND(ArtifactsInput!$M$27,Inputs!$B$4="Chapter Hunt"),CHOOSE(ArtifactsInput!$N$27+1,20,24,28,32,36,40),0)/100)))))/Skills!G9,1)))/Inputs!$B$44),G1885*Q1885))*IF(Inputs!$B$39="pvp",1,1+(Inputs!$B$21+Skills!O9+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1885*(1-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5">
        <f>IF(C1885,(H1885*N1885*IF(AND(Inputs!$B$39&lt;&gt;"pvp",Inputs!$B$44&gt;0),((Skills!F9*((R1885-1)*IF(Skills!G9&gt;0,Skills!H9/Skills!G9,1)+IF(Skills!G9&gt;0,MIN(Skills!H9,MAX(0,MAX(0,Inputs!$B$44-B1915)-((R1885-1)*(IF(Inputs!$B$39="pvp",15,MAX(0.1,Skills!D9-IF(Skills!E9=TRUE,Inputs!$B$33,0)))*(1-IF(AND(ArtifactsInput!$M$27,Inputs!$B$4="Chapter Hunt"),CHOOSE(ArtifactsInput!$N$27+1,20,24,28,32,36,40),0)/100)))))/Skills!G9,1)))/Inputs!$B$44),G1885*Q1885))*IF(Inputs!$B$39="pvp",1,(1+(Inputs!$B$22+Skills!P9+B1907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Skills!A10</f>
        <v/>
      </c>
      <c r="B1886">
        <f>Skills!B10</f>
        <v/>
      </c>
      <c r="C1886">
        <f>Inputs!$B$3&gt;=66</f>
        <v/>
      </c>
      <c r="D1886">
        <f>IF(Skills!C10=1,60+Inputs!$B$26+Inputs!$B$30,IF(Skills!C10=2,90+Inputs!$B$27+Inputs!$B$30,IF(Skills!C10=3,120+Inputs!$B$28+Inputs!$B$30,MAX(0,(Inputs!$B$3-100)*3)+Inputs!$B$29+Inputs!$B$30)))</f>
        <v/>
      </c>
      <c r="E1886">
        <f>INDEX(FactorTable!$B$2:$Y$301, MATCH(ROUND(MIN(300,MAX(1,D1886)),0), FactorTable!$A$2:$A$301,0), Skills!L10+1)</f>
        <v/>
      </c>
      <c r="F1886" t="n">
        <v>0</v>
      </c>
      <c r="G1886">
        <f>Calc!G10</f>
        <v/>
      </c>
      <c r="H1886">
        <f>Calc!H10</f>
        <v/>
      </c>
      <c r="I1886">
        <f>IF(Skills!T10&lt;&gt;"",1+(Skills!T10/10)*($Z$3/1000)/100,1)</f>
        <v/>
      </c>
      <c r="J1886" t="inlineStr"/>
      <c r="K1886" t="inlineStr"/>
      <c r="L1886" t="inlineStr"/>
      <c r="M1886" t="inlineStr"/>
      <c r="N1886" t="inlineStr"/>
      <c r="O1886">
        <f>(1-Summary!$B$11)*S1886+Summary!$B$11*U1886</f>
        <v/>
      </c>
      <c r="P1886">
        <f>IF(B1918=0,0,O1886/B1918)</f>
        <v/>
      </c>
      <c r="Q1886">
        <f>IFERROR(1/(IF(Inputs!$B$39="pvp",15,MAX(0.1,Skills!D10-IF(Skills!E10=TRUE,Inputs!$B$33,0)))*(1-IF(AND(ArtifactsInput!$M$27,Inputs!$B$4="Chapter Hunt"),CHOOSE(ArtifactsInput!$N$27+1,20,24,28,32,36,40),0)/100)),0)</f>
        <v/>
      </c>
      <c r="R1886">
        <f>IF(AND(Inputs!$B$39&lt;&gt;"pvp",Inputs!$B$44&gt;0),IF(MAX(0,Inputs!$B$44-B1915)&lt;=0,0,(INT(MAX(0,Inputs!$B$44-B1915)/(IF(Inputs!$B$39="pvp",15,MAX(0.1,Skills!D10-IF(Skills!E10=TRUE,Inputs!$B$33,0)))*(1-IF(AND(ArtifactsInput!$M$27,Inputs!$B$4="Chapter Hunt"),CHOOSE(ArtifactsInput!$N$27+1,20,24,28,32,36,40),0)/100)))+1)),0)</f>
        <v/>
      </c>
      <c r="S1886" t="n">
        <v>0</v>
      </c>
      <c r="U1886" t="n">
        <v>0</v>
      </c>
    </row>
    <row r="1887">
      <c r="A1887">
        <f>Skills!A11</f>
        <v/>
      </c>
      <c r="B1887">
        <f>Skills!B11</f>
        <v/>
      </c>
      <c r="C1887">
        <f>Inputs!$B$3&gt;=69</f>
        <v/>
      </c>
      <c r="D1887">
        <f>IF(Skills!C11=1,60+Inputs!$B$26+Inputs!$B$30,IF(Skills!C11=2,90+Inputs!$B$27+Inputs!$B$30,IF(Skills!C11=3,120+Inputs!$B$28+Inputs!$B$30,MAX(0,(Inputs!$B$3-100)*3)+Inputs!$B$29+Inputs!$B$30)))</f>
        <v/>
      </c>
      <c r="E1887">
        <f>INDEX(FactorTable!$B$2:$Y$301, MATCH(ROUND(MIN(300,MAX(1,D1887)),0), FactorTable!$A$2:$A$301,0), Skills!L11+1)</f>
        <v/>
      </c>
      <c r="F1887">
        <f>IF(Skills!M11=TRUE,(Skills!K11/10)*(E1887/1000),Skills!K11/10)+Skills!N11</f>
        <v/>
      </c>
      <c r="G1887">
        <f>Calc!G11</f>
        <v/>
      </c>
      <c r="H1887">
        <f>Calc!H11</f>
        <v/>
      </c>
      <c r="I1887">
        <f>IF(Skills!T11&lt;&gt;"",1+(Skills!T11/10)*($Z$3/1000)/100,1)</f>
        <v/>
      </c>
      <c r="J1887" t="inlineStr"/>
      <c r="K1887" t="inlineStr"/>
      <c r="L1887" t="inlineStr"/>
      <c r="M1887" t="inlineStr"/>
      <c r="N1887" t="inlineStr"/>
      <c r="O1887">
        <f>(1-Summary!$B$11)*S1887+Summary!$B$11*U1887</f>
        <v/>
      </c>
      <c r="P1887">
        <f>IF(B1918=0,0,O1887/B1918)</f>
        <v/>
      </c>
      <c r="Q1887">
        <f>IFERROR(1/(IF(Inputs!$B$39="pvp",15,MAX(0.1,Skills!D11-IF(Skills!E11=TRUE,Inputs!$B$33,0)))*(1-IF(AND(ArtifactsInput!$M$27,Inputs!$B$4="Chapter Hunt"),CHOOSE(ArtifactsInput!$N$27+1,20,24,28,32,36,40),0)/100)),0)</f>
        <v/>
      </c>
      <c r="R1887">
        <f>IF(AND(Inputs!$B$39&lt;&gt;"pvp",Inputs!$B$44&gt;0),IF(Inputs!$B$44&lt;=0,0,(INT(Inputs!$B$44/(IF(Inputs!$B$39="pvp",15,MAX(0.1,Skills!D11-IF(Skills!E11=TRUE,Inputs!$B$33,0)))*(1-IF(AND(ArtifactsInput!$M$27,Inputs!$B$4="Chapter Hunt"),CHOOSE(ArtifactsInput!$N$27+1,20,24,28,32,36,40),0)/100)))+1)),0)</f>
        <v/>
      </c>
      <c r="S1887" t="n">
        <v>0</v>
      </c>
      <c r="U1887" t="n">
        <v>0</v>
      </c>
    </row>
    <row r="1888">
      <c r="A1888">
        <f>Skills!A12</f>
        <v/>
      </c>
      <c r="B1888">
        <f>Skills!B12</f>
        <v/>
      </c>
      <c r="C1888">
        <f>Inputs!$B$3&gt;=72</f>
        <v/>
      </c>
      <c r="D1888">
        <f>IF(Skills!C12=1,60+Inputs!$B$26+Inputs!$B$30,IF(Skills!C12=2,90+Inputs!$B$27+Inputs!$B$30,IF(Skills!C12=3,120+Inputs!$B$28+Inputs!$B$30,MAX(0,(Inputs!$B$3-100)*3)+Inputs!$B$29+Inputs!$B$30)))</f>
        <v/>
      </c>
      <c r="E1888">
        <f>INDEX(FactorTable!$B$2:$Y$301, MATCH(ROUND(MIN(300,MAX(1,D1888)),0), FactorTable!$A$2:$A$301,0), Skills!L12+1)</f>
        <v/>
      </c>
      <c r="F1888">
        <f>IF(Skills!M12=TRUE,(Skills!K12/10)*(E1888/1000),Skills!K12/10)+Skills!N12</f>
        <v/>
      </c>
      <c r="G1888">
        <f>Calc!G12</f>
        <v/>
      </c>
      <c r="H1888">
        <f>Calc!H12</f>
        <v/>
      </c>
      <c r="I1888">
        <f>IF(Skills!T12&lt;&gt;"",1+(Skills!T12/10)*($Z$3/1000)/100,1)</f>
        <v/>
      </c>
      <c r="J1888" t="inlineStr"/>
      <c r="K1888" t="inlineStr"/>
      <c r="L1888" t="inlineStr"/>
      <c r="M1888" t="inlineStr"/>
      <c r="N1888" t="inlineStr"/>
      <c r="O1888">
        <f>(1-Summary!$B$11)*S1888+Summary!$B$11*U1888</f>
        <v/>
      </c>
      <c r="P1888">
        <f>IF(B1918=0,0,O1888/B1918)</f>
        <v/>
      </c>
      <c r="Q1888">
        <f>IFERROR(1/(IF(Inputs!$B$39="pvp",15,MAX(0.1,Skills!D12-IF(Skills!E12=TRUE,Inputs!$B$33,0)))*(1-IF(AND(ArtifactsInput!$M$27,Inputs!$B$4="Chapter Hunt"),CHOOSE(ArtifactsInput!$N$27+1,20,24,28,32,36,40),0)/100)),0)</f>
        <v/>
      </c>
      <c r="R1888">
        <f>IF(AND(Inputs!$B$39&lt;&gt;"pvp",Inputs!$B$44&gt;0),IF(MAX(0,Inputs!$B$44-B1915)&lt;=0,0,(INT(MAX(0,Inputs!$B$44-B1915)/(IF(Inputs!$B$39="pvp",15,MAX(0.1,Skills!D12-IF(Skills!E12=TRUE,Inputs!$B$33,0)))*(1-IF(AND(ArtifactsInput!$M$27,Inputs!$B$4="Chapter Hunt"),CHOOSE(ArtifactsInput!$N$27+1,20,24,28,32,36,40),0)/100)))+1)),0)</f>
        <v/>
      </c>
      <c r="S1888" t="n">
        <v>0</v>
      </c>
      <c r="U1888" t="n">
        <v>0</v>
      </c>
    </row>
    <row r="1889">
      <c r="A1889">
        <f>Skills!A13</f>
        <v/>
      </c>
      <c r="B1889">
        <f>Skills!B13</f>
        <v/>
      </c>
      <c r="C1889">
        <f>Inputs!$B$3&gt;=60</f>
        <v/>
      </c>
      <c r="D1889">
        <f>IF(Skills!C13=1,60+Inputs!$B$26+Inputs!$B$30,IF(Skills!C13=2,90+Inputs!$B$27+Inputs!$B$30,IF(Skills!C13=3,120+Inputs!$B$28+Inputs!$B$30,MAX(0,(Inputs!$B$3-100)*3)+Inputs!$B$29+Inputs!$B$30)))</f>
        <v/>
      </c>
      <c r="E1889">
        <f>INDEX(FactorTable!$B$2:$Y$301, MATCH(ROUND(MIN(300,MAX(1,D1889)),0), FactorTable!$A$2:$A$301,0), Skills!L13+1)</f>
        <v/>
      </c>
      <c r="F1889">
        <f>IF(Skills!M13=TRUE,(Skills!K13/10)*(E1889/1000),Skills!K13/10)+Skills!N13</f>
        <v/>
      </c>
      <c r="G1889">
        <f>Calc!G13</f>
        <v/>
      </c>
      <c r="H1889">
        <f>Calc!H13</f>
        <v/>
      </c>
      <c r="I1889">
        <f>IF(Skills!T13&lt;&gt;"",1+(Skills!T13/10)*($Z$3/1000)/100,1)</f>
        <v/>
      </c>
      <c r="J1889" t="inlineStr"/>
      <c r="K1889" t="inlineStr"/>
      <c r="L1889" t="inlineStr"/>
      <c r="M1889" t="inlineStr"/>
      <c r="N1889" t="inlineStr"/>
      <c r="O1889">
        <f>(1-Summary!$B$11)*S1889+Summary!$B$11*U1889</f>
        <v/>
      </c>
      <c r="P1889">
        <f>IF(B1918=0,0,O1889/B1918)</f>
        <v/>
      </c>
      <c r="Q1889">
        <f>IFERROR(1/(IF(Inputs!$B$39="pvp",15,MAX(0.1,Skills!D13-IF(Skills!E13=TRUE,Inputs!$B$33,0)))*(1-IF(AND(ArtifactsInput!$M$27,Inputs!$B$4="Chapter Hunt"),CHOOSE(ArtifactsInput!$N$27+1,20,24,28,32,36,40),0)/100)),0)</f>
        <v/>
      </c>
      <c r="R1889">
        <f>IF(AND(Inputs!$B$39&lt;&gt;"pvp",Inputs!$B$44&gt;0),IF(MAX(0,Inputs!$B$44-B1915)&lt;=0,0,(INT(MAX(0,Inputs!$B$44-B1915)/(IF(Inputs!$B$39="pvp",15,MAX(0.1,Skills!D13-IF(Skills!E13=TRUE,Inputs!$B$33,0)))*(1-IF(AND(ArtifactsInput!$M$27,Inputs!$B$4="Chapter Hunt"),CHOOSE(ArtifactsInput!$N$27+1,20,24,28,32,36,40),0)/100)))+1)),0)</f>
        <v/>
      </c>
      <c r="S1889" t="n">
        <v>0</v>
      </c>
      <c r="U1889" t="n">
        <v>0</v>
      </c>
    </row>
    <row r="1890">
      <c r="A1890">
        <f>Skills!A14</f>
        <v/>
      </c>
      <c r="B1890">
        <f>Skills!B14</f>
        <v/>
      </c>
      <c r="C1890">
        <f>Inputs!$B$3&gt;=107</f>
        <v/>
      </c>
      <c r="D1890">
        <f>IF(Skills!C14=1,60+Inputs!$B$26+Inputs!$B$30,IF(Skills!C14=2,90+Inputs!$B$27+Inputs!$B$30,IF(Skills!C14=3,120+Inputs!$B$28+Inputs!$B$30,MAX(0,(Inputs!$B$3-100)*3)+Inputs!$B$29+Inputs!$B$30)))</f>
        <v/>
      </c>
      <c r="E1890">
        <f>INDEX(FactorTable!$B$2:$Y$301, MATCH(ROUND(MIN(300,MAX(1,D1890)),0), FactorTable!$A$2:$A$301,0), Skills!L14+1)</f>
        <v/>
      </c>
      <c r="F1890">
        <f>IF(Skills!M14=TRUE,(Skills!K14/10)*(E1890/1000),Skills!K14/10)+Skills!N14</f>
        <v/>
      </c>
      <c r="G1890">
        <f>Calc!G14</f>
        <v/>
      </c>
      <c r="H1890">
        <f>Calc!H14</f>
        <v/>
      </c>
      <c r="I1890">
        <f>IF(Skills!T14&lt;&gt;"",1+(Skills!T14/10)*($Z$3/1000)/100,1)</f>
        <v/>
      </c>
      <c r="J1890" t="inlineStr"/>
      <c r="K1890" t="inlineStr"/>
      <c r="L1890" t="inlineStr"/>
      <c r="M1890" t="inlineStr"/>
      <c r="N1890" t="inlineStr"/>
      <c r="O1890">
        <f>(1-Summary!$B$11)*S1890+Summary!$B$11*U1890</f>
        <v/>
      </c>
      <c r="P1890">
        <f>IF(B1918=0,0,O1890/B1918)</f>
        <v/>
      </c>
      <c r="Q1890">
        <f>IFERROR(1/(IF(Inputs!$B$39="pvp",15,MAX(0.1,Skills!D14-IF(Skills!E14=TRUE,Inputs!$B$33,0)))*(1-IF(AND(ArtifactsInput!$M$27,Inputs!$B$4="Chapter Hunt"),CHOOSE(ArtifactsInput!$N$27+1,20,24,28,32,36,40),0)/100)),0)</f>
        <v/>
      </c>
      <c r="R1890">
        <f>IF(AND(Inputs!$B$39&lt;&gt;"pvp",Inputs!$B$44&gt;0),IF(Inputs!$B$44&lt;=0,0,(INT(Inputs!$B$44/(IF(Inputs!$B$39="pvp",15,MAX(0.1,Skills!D14-IF(Skills!E14=TRUE,Inputs!$B$33,0)))*(1-IF(AND(ArtifactsInput!$M$27,Inputs!$B$4="Chapter Hunt"),CHOOSE(ArtifactsInput!$N$27+1,20,24,28,32,36,40),0)/100)))+1)),0)</f>
        <v/>
      </c>
      <c r="S1890" t="n">
        <v>0</v>
      </c>
      <c r="U1890" t="n">
        <v>0</v>
      </c>
    </row>
    <row r="1891">
      <c r="A1891">
        <f>Skills!A15</f>
        <v/>
      </c>
      <c r="B1891">
        <f>Skills!B15</f>
        <v/>
      </c>
      <c r="C1891">
        <f>Inputs!$B$3&gt;=63</f>
        <v/>
      </c>
      <c r="D1891">
        <f>IF(Skills!C15=1,60+Inputs!$B$26+Inputs!$B$30,IF(Skills!C15=2,90+Inputs!$B$27+Inputs!$B$30,IF(Skills!C15=3,120+Inputs!$B$28+Inputs!$B$30,MAX(0,(Inputs!$B$3-100)*3)+Inputs!$B$29+Inputs!$B$30)))</f>
        <v/>
      </c>
      <c r="E1891">
        <f>INDEX(FactorTable!$B$2:$Y$301, MATCH(ROUND(MIN(300,MAX(1,D1891)),0), FactorTable!$A$2:$A$301,0), Skills!L15+1)</f>
        <v/>
      </c>
      <c r="F1891">
        <f>IF(Skills!M15=TRUE,(Skills!K15/10)*(E1891/1000),Skills!K15/10)+Skills!N15</f>
        <v/>
      </c>
      <c r="G1891">
        <f>Calc!G15</f>
        <v/>
      </c>
      <c r="H1891">
        <f>Calc!H15</f>
        <v/>
      </c>
      <c r="I1891">
        <f>IF(Skills!T15&lt;&gt;"",1+(Skills!T15/10)*($Z$3/1000)/100,1)</f>
        <v/>
      </c>
      <c r="J1891">
        <f>((Inputs!$B$6*(1+Inputs!$B$7/100))+(((Inputs!$B$13*(1+Inputs!$B$14/100))-(Inputs!$B$13*(1+Inputs!$B$14/100)))+0.25*(Inputs!$B$15-Inputs!$B$15))*(1+Inputs!$B$7/100))*(F1891/100)</f>
        <v/>
      </c>
      <c r="K1891">
        <f>J1891*(1+(((Inputs!$B$13+IF(Inputs!$B$3&gt;=35,(10*INDEX(FactorTable!$B$2:$Y$301,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15="TRIUMPH_FEATHER",IF(C1892=TRUE,F1892,0),0)/100)*(1+IF(C1903=TRUE,F1903,0)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1891)</f>
        <v/>
      </c>
      <c r="L1891">
        <f>K1891*(MIN(Inputs!$B$23+(F1898-Calc!F22),(Inputs!$B$24+IF(ArtifactsInput!$M$15,CHOOSE(ArtifactsInput!$N$15+1,25,30,35,40,45,50)/100*(Inputs!$B$12-Inputs!$B$12),0)))/100+(Inputs!$B$24+IF(ArtifactsInput!$M$15,CHOOSE(ArtifactsInput!$N$15+1,25,30,35,40,45,50)/100*(Inputs!$B$12-Inputs!$B$12),0))/100)/2</f>
        <v/>
      </c>
      <c r="M1891">
        <f>L1891*(1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91">
        <f>L1891*(1-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(1-Summary!$B$11)*S1891+Summary!$B$11*U1891</f>
        <v/>
      </c>
      <c r="P1891">
        <f>IF(B1918=0,0,O1891/B1918)</f>
        <v/>
      </c>
      <c r="Q1891">
        <f>IFERROR(1/(IF(Inputs!$B$39="pvp",15,MAX(0.1,Skills!D15-IF(Skills!E15=TRUE,Inputs!$B$33,0)))*(1-IF(AND(ArtifactsInput!$M$27,Inputs!$B$4="Chapter Hunt"),CHOOSE(ArtifactsInput!$N$27+1,20,24,28,32,36,40),0)/100)),0)</f>
        <v/>
      </c>
      <c r="R1891" t="n">
        <v>0</v>
      </c>
      <c r="S1891">
        <f>IF(C1891,(Skills!F15*N1891*((IF(Inputs!$B$3&gt;=78,25,15)/100*B1911*10)/(1+IF(Inputs!$B$3&gt;=78,25,15)/100*B1911*10))*(Skills!I15/100*B1911)/(1+Skills!G15*Skills!I15/100*B1911))*IF(Inputs!$B$39="pvp",1,1+(Inputs!$B$21+Skills!O15+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1891*(1-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1">
        <f>IF(C1891,(Skills!F15*N1891*((IF(Inputs!$B$3&gt;=78,25,15)/100*B1911*10)/(1+IF(Inputs!$B$3&gt;=78,25,15)/100*B1911*10))*(Skills!I15/100*B1911)/(1+Skills!G15*Skills!I15/100*B1911))*IF(Inputs!$B$39="pvp",1,(1+(Inputs!$B$22+Skills!P15+B1907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Skills!A16</f>
        <v/>
      </c>
      <c r="B1892">
        <f>Skills!B16</f>
        <v/>
      </c>
      <c r="C1892">
        <f>Inputs!$B$3&gt;=100</f>
        <v/>
      </c>
      <c r="D1892">
        <f>IF(Skills!C16=1,60+Inputs!$B$26+Inputs!$B$30,IF(Skills!C16=2,90+Inputs!$B$27+Inputs!$B$30,IF(Skills!C16=3,120+Inputs!$B$28+Inputs!$B$30,MAX(0,(Inputs!$B$3-100)*3)+Inputs!$B$29+Inputs!$B$30)))</f>
        <v/>
      </c>
      <c r="E1892">
        <f>INDEX(FactorTable!$B$2:$Y$301, MATCH(ROUND(MIN(300,MAX(1,D1892)),0), FactorTable!$A$2:$A$301,0), Skills!L16+1)</f>
        <v/>
      </c>
      <c r="F1892">
        <f>IF(Skills!M16=TRUE,(Skills!K16/10)*(E1892/1000),Skills!K16/10)+Skills!N16</f>
        <v/>
      </c>
      <c r="G1892">
        <f>Calc!G16</f>
        <v/>
      </c>
      <c r="H1892">
        <f>Calc!H16</f>
        <v/>
      </c>
      <c r="I1892">
        <f>IF(Skills!T16&lt;&gt;"",1+(Skills!T16/10)*($Z$3/1000)/100,1)</f>
        <v/>
      </c>
      <c r="J1892" t="inlineStr"/>
      <c r="K1892" t="inlineStr"/>
      <c r="L1892" t="inlineStr"/>
      <c r="M1892" t="inlineStr"/>
      <c r="N1892" t="inlineStr"/>
      <c r="O1892">
        <f>(1-Summary!$B$11)*S1892+Summary!$B$11*U1892</f>
        <v/>
      </c>
      <c r="P1892">
        <f>IF(B1918=0,0,O1892/B1918)</f>
        <v/>
      </c>
      <c r="Q1892">
        <f>IFERROR(1/(IF(Inputs!$B$39="pvp",15,MAX(0.1,Skills!D16-IF(Skills!E16=TRUE,Inputs!$B$33,0)))*(1-IF(AND(ArtifactsInput!$M$27,Inputs!$B$4="Chapter Hunt"),CHOOSE(ArtifactsInput!$N$27+1,20,24,28,32,36,40),0)/100)),0)</f>
        <v/>
      </c>
      <c r="R1892" t="n">
        <v>0</v>
      </c>
      <c r="S1892" t="n">
        <v>0</v>
      </c>
      <c r="U1892" t="n">
        <v>0</v>
      </c>
    </row>
    <row r="1893">
      <c r="A1893">
        <f>Skills!A17</f>
        <v/>
      </c>
      <c r="B1893">
        <f>Skills!B17</f>
        <v/>
      </c>
      <c r="C1893">
        <f>Inputs!$B$3&gt;=49</f>
        <v/>
      </c>
      <c r="D1893">
        <f>IF(Skills!C17=1,60+Inputs!$B$26+Inputs!$B$30,IF(Skills!C17=2,90+Inputs!$B$27+Inputs!$B$30,IF(Skills!C17=3,120+Inputs!$B$28+Inputs!$B$30,MAX(0,(Inputs!$B$3-100)*3)+Inputs!$B$29+Inputs!$B$30)))</f>
        <v/>
      </c>
      <c r="E1893">
        <f>INDEX(FactorTable!$B$2:$Y$301, MATCH(ROUND(MIN(300,MAX(1,D1893)),0), FactorTable!$A$2:$A$301,0), Skills!L17+1)</f>
        <v/>
      </c>
      <c r="F1893">
        <f>IF(Skills!M17=TRUE,(Skills!K17/10)*(E1893/1000),Skills!K17/10)+Skills!N17</f>
        <v/>
      </c>
      <c r="G1893">
        <f>Calc!G17</f>
        <v/>
      </c>
      <c r="H1893">
        <f>Calc!H17</f>
        <v/>
      </c>
      <c r="I1893">
        <f>IF(Skills!T17&lt;&gt;"",1+(Skills!T17/10)*($Z$3/1000)/100,1)</f>
        <v/>
      </c>
      <c r="J1893" t="inlineStr"/>
      <c r="K1893" t="inlineStr"/>
      <c r="L1893" t="inlineStr"/>
      <c r="M1893" t="inlineStr"/>
      <c r="N1893" t="inlineStr"/>
      <c r="O1893">
        <f>(1-Summary!$B$11)*S1893+Summary!$B$11*U1893</f>
        <v/>
      </c>
      <c r="P1893">
        <f>IF(B1918=0,0,O1893/B1918)</f>
        <v/>
      </c>
      <c r="Q1893">
        <f>IFERROR(1/(IF(Inputs!$B$39="pvp",15,MAX(0.1,Skills!D17-IF(Skills!E17=TRUE,Inputs!$B$33,0)))*(1-IF(AND(ArtifactsInput!$M$27,Inputs!$B$4="Chapter Hunt"),CHOOSE(ArtifactsInput!$N$27+1,20,24,28,32,36,40),0)/100)),0)</f>
        <v/>
      </c>
      <c r="R1893" t="n">
        <v>0</v>
      </c>
      <c r="S1893" t="n">
        <v>0</v>
      </c>
      <c r="U1893" t="n">
        <v>0</v>
      </c>
    </row>
    <row r="1894">
      <c r="A1894">
        <f>Skills!A18</f>
        <v/>
      </c>
      <c r="B1894">
        <f>Skills!B18</f>
        <v/>
      </c>
      <c r="C1894">
        <f>Inputs!$B$3&gt;=75</f>
        <v/>
      </c>
      <c r="D1894">
        <f>IF(Skills!C18=1,60+Inputs!$B$26+Inputs!$B$30,IF(Skills!C18=2,90+Inputs!$B$27+Inputs!$B$30,IF(Skills!C18=3,120+Inputs!$B$28+Inputs!$B$30,MAX(0,(Inputs!$B$3-100)*3)+Inputs!$B$29+Inputs!$B$30)))</f>
        <v/>
      </c>
      <c r="E1894">
        <f>INDEX(FactorTable!$B$2:$Y$301, MATCH(ROUND(MIN(300,MAX(1,D1894)),0), FactorTable!$A$2:$A$301,0), Skills!L18+1)</f>
        <v/>
      </c>
      <c r="F1894">
        <f>IF(Skills!M18=TRUE,(Skills!K18/10)*(E1894/1000),Skills!K18/10)+Skills!N18</f>
        <v/>
      </c>
      <c r="G1894">
        <f>Calc!G18</f>
        <v/>
      </c>
      <c r="H1894">
        <f>Calc!H18</f>
        <v/>
      </c>
      <c r="I1894">
        <f>IF(Skills!T18&lt;&gt;"",1+(Skills!T18/10)*($Z$3/1000)/100,1)</f>
        <v/>
      </c>
      <c r="J1894" t="inlineStr"/>
      <c r="K1894" t="inlineStr"/>
      <c r="L1894" t="inlineStr"/>
      <c r="M1894" t="inlineStr"/>
      <c r="N1894" t="inlineStr"/>
      <c r="O1894">
        <f>(1-Summary!$B$11)*S1894+Summary!$B$11*U1894</f>
        <v/>
      </c>
      <c r="P1894">
        <f>IF(B1918=0,0,O1894/B1918)</f>
        <v/>
      </c>
      <c r="Q1894">
        <f>IFERROR(1/(IF(Inputs!$B$39="pvp",15,MAX(0.1,Skills!D18-IF(Skills!E18=TRUE,Inputs!$B$33,0)))*(1-IF(AND(ArtifactsInput!$M$27,Inputs!$B$4="Chapter Hunt"),CHOOSE(ArtifactsInput!$N$27+1,20,24,28,32,36,40),0)/100)),0)</f>
        <v/>
      </c>
      <c r="R1894" t="n">
        <v>0</v>
      </c>
      <c r="S1894" t="n">
        <v>0</v>
      </c>
      <c r="U1894" t="n">
        <v>0</v>
      </c>
    </row>
    <row r="1895">
      <c r="A1895">
        <f>Skills!A19</f>
        <v/>
      </c>
      <c r="B1895">
        <f>Skills!B19</f>
        <v/>
      </c>
      <c r="C1895">
        <f>Inputs!$B$3&gt;=110</f>
        <v/>
      </c>
      <c r="D1895">
        <f>IF(Skills!C19=1,60+Inputs!$B$26+Inputs!$B$30,IF(Skills!C19=2,90+Inputs!$B$27+Inputs!$B$30,IF(Skills!C19=3,120+Inputs!$B$28+Inputs!$B$30,MAX(0,(Inputs!$B$3-100)*3)+Inputs!$B$29+Inputs!$B$30)))</f>
        <v/>
      </c>
      <c r="E1895">
        <f>INDEX(FactorTable!$B$2:$Y$301, MATCH(ROUND(MIN(300,MAX(1,D1895)),0), FactorTable!$A$2:$A$301,0), Skills!L19+1)</f>
        <v/>
      </c>
      <c r="F1895">
        <f>(Skills!K19/10)*(E1895/1000)*64/45+Skills!N19</f>
        <v/>
      </c>
      <c r="G1895">
        <f>Calc!G19</f>
        <v/>
      </c>
      <c r="H1895">
        <f>Calc!H19</f>
        <v/>
      </c>
      <c r="I1895">
        <f>IF(Skills!T19&lt;&gt;"",1+(Skills!T19/10)*($Z$3/1000)/100,1)</f>
        <v/>
      </c>
      <c r="J1895" t="inlineStr"/>
      <c r="K1895" t="inlineStr"/>
      <c r="L1895" t="inlineStr"/>
      <c r="M1895" t="inlineStr"/>
      <c r="N1895" t="inlineStr"/>
      <c r="O1895">
        <f>(1-Summary!$B$11)*S1895+Summary!$B$11*U1895</f>
        <v/>
      </c>
      <c r="P1895">
        <f>IF(B1918=0,0,O1895/B1918)</f>
        <v/>
      </c>
      <c r="Q1895">
        <f>IFERROR(1/(IF(Inputs!$B$39="pvp",15,MAX(0.1,Skills!D19-IF(Skills!E19=TRUE,Inputs!$B$33,0)))*(1-IF(AND(ArtifactsInput!$M$27,Inputs!$B$4="Chapter Hunt"),CHOOSE(ArtifactsInput!$N$27+1,20,24,28,32,36,40),0)/100)),0)</f>
        <v/>
      </c>
      <c r="R1895">
        <f>IF(AND(Inputs!$B$39&lt;&gt;"pvp",Inputs!$B$44&gt;0),IF(Inputs!$B$44&lt;=0,0,(INT(Inputs!$B$44/(IF(Inputs!$B$39="pvp",15,MAX(0.1,Skills!D19-IF(Skills!E19=TRUE,Inputs!$B$33,0)))*(1-IF(AND(ArtifactsInput!$M$27,Inputs!$B$4="Chapter Hunt"),CHOOSE(ArtifactsInput!$N$27+1,20,24,28,32,36,40),0)/100)))+1)),0)</f>
        <v/>
      </c>
      <c r="S1895" t="n">
        <v>0</v>
      </c>
      <c r="U1895" t="n">
        <v>0</v>
      </c>
    </row>
    <row r="1896">
      <c r="A1896">
        <f>Skills!A20</f>
        <v/>
      </c>
      <c r="B1896">
        <f>Skills!B20</f>
        <v/>
      </c>
      <c r="C1896">
        <f>Inputs!$B$3&gt;=125</f>
        <v/>
      </c>
      <c r="D1896">
        <f>IF(Skills!C20=1,60+Inputs!$B$26+Inputs!$B$30,IF(Skills!C20=2,90+Inputs!$B$27+Inputs!$B$30,IF(Skills!C20=3,120+Inputs!$B$28+Inputs!$B$30,MAX(0,(Inputs!$B$3-100)*3)+Inputs!$B$29+Inputs!$B$30)))</f>
        <v/>
      </c>
      <c r="E1896">
        <f>INDEX(FactorTable!$B$2:$Y$301, MATCH(ROUND(MIN(300,MAX(1,D1896)),0), FactorTable!$A$2:$A$301,0), Skills!L20+1)</f>
        <v/>
      </c>
      <c r="F1896">
        <f>IF(Skills!M20=TRUE,(Skills!K20/10)*(E1896/1000),Skills!K20/10)+Skills!N20</f>
        <v/>
      </c>
      <c r="G1896">
        <f>Calc!G20</f>
        <v/>
      </c>
      <c r="H1896">
        <f>Calc!H20</f>
        <v/>
      </c>
      <c r="I1896">
        <f>IF(Skills!T20&lt;&gt;"",1+(Skills!T20/10)*($Z$3/1000)/100,1)</f>
        <v/>
      </c>
      <c r="J1896" t="inlineStr"/>
      <c r="K1896" t="inlineStr"/>
      <c r="L1896" t="inlineStr"/>
      <c r="M1896" t="inlineStr"/>
      <c r="N1896" t="inlineStr"/>
      <c r="O1896">
        <f>(1-Summary!$B$11)*S1896+Summary!$B$11*U1896</f>
        <v/>
      </c>
      <c r="P1896">
        <f>IF(B1918=0,0,O1896/B1918)</f>
        <v/>
      </c>
      <c r="Q1896">
        <f>IFERROR(1/(IF(Inputs!$B$39="pvp",15,MAX(0.1,Skills!D20-IF(Skills!E20=TRUE,Inputs!$B$33,0)))*(1-IF(AND(ArtifactsInput!$M$27,Inputs!$B$4="Chapter Hunt"),CHOOSE(ArtifactsInput!$N$27+1,20,24,28,32,36,40),0)/100)),0)</f>
        <v/>
      </c>
      <c r="R1896" t="n">
        <v>0</v>
      </c>
      <c r="S1896" t="n">
        <v>0</v>
      </c>
      <c r="U1896" t="n">
        <v>0</v>
      </c>
    </row>
    <row r="1897">
      <c r="A1897">
        <f>Skills!A21</f>
        <v/>
      </c>
      <c r="B1897">
        <f>Skills!B21</f>
        <v/>
      </c>
      <c r="C1897">
        <f>Inputs!$B$3&gt;=33</f>
        <v/>
      </c>
      <c r="D1897">
        <f>IF(Skills!C21=1,60+Inputs!$B$26+Inputs!$B$30,IF(Skills!C21=2,90+Inputs!$B$27+Inputs!$B$30,IF(Skills!C21=3,120+Inputs!$B$28+Inputs!$B$30,MAX(0,(Inputs!$B$3-100)*3)+Inputs!$B$29+Inputs!$B$30)))</f>
        <v/>
      </c>
      <c r="E1897">
        <f>INDEX(FactorTable!$B$2:$Y$301, MATCH(ROUND(MIN(300,MAX(1,D1897)),0), FactorTable!$A$2:$A$301,0), Skills!L21+1)</f>
        <v/>
      </c>
      <c r="F1897">
        <f>IF(Skills!M21=TRUE,(Skills!K21/10)*(E1897/1000),Skills!K21/10)+Skills!N21</f>
        <v/>
      </c>
      <c r="G1897">
        <f>Calc!G21</f>
        <v/>
      </c>
      <c r="H1897">
        <f>Calc!H21</f>
        <v/>
      </c>
      <c r="I1897">
        <f>IF(Skills!T21&lt;&gt;"",1+(Skills!T21/10)*($Z$3/1000)/100,1)</f>
        <v/>
      </c>
      <c r="J1897" t="inlineStr"/>
      <c r="K1897" t="inlineStr"/>
      <c r="L1897" t="inlineStr"/>
      <c r="M1897" t="inlineStr"/>
      <c r="N1897" t="inlineStr"/>
      <c r="O1897">
        <f>(1-Summary!$B$11)*S1897+Summary!$B$11*U1897</f>
        <v/>
      </c>
      <c r="P1897">
        <f>IF(B1918=0,0,O1897/B1918)</f>
        <v/>
      </c>
      <c r="Q1897">
        <f>IFERROR(1/(IF(Inputs!$B$39="pvp",15,MAX(0.1,Skills!D21-IF(Skills!E21=TRUE,Inputs!$B$33,0)))*(1-IF(AND(ArtifactsInput!$M$27,Inputs!$B$4="Chapter Hunt"),CHOOSE(ArtifactsInput!$N$27+1,20,24,28,32,36,40),0)/100)),0)</f>
        <v/>
      </c>
      <c r="R1897" t="n">
        <v>0</v>
      </c>
      <c r="S1897" t="n">
        <v>0</v>
      </c>
      <c r="U1897" t="n">
        <v>0</v>
      </c>
    </row>
    <row r="1898">
      <c r="A1898">
        <f>Skills!A22</f>
        <v/>
      </c>
      <c r="B1898">
        <f>Skills!B22</f>
        <v/>
      </c>
      <c r="C1898">
        <f>Inputs!$B$3&gt;=43</f>
        <v/>
      </c>
      <c r="D1898">
        <f>IF(Skills!C22=1,60+Inputs!$B$26+Inputs!$B$30,IF(Skills!C22=2,90+Inputs!$B$27+Inputs!$B$30,IF(Skills!C22=3,120+Inputs!$B$28+Inputs!$B$30,MAX(0,(Inputs!$B$3-100)*3)+Inputs!$B$29+Inputs!$B$30)))</f>
        <v/>
      </c>
      <c r="E1898">
        <f>INDEX(FactorTable!$B$2:$Y$301, MATCH(ROUND(MIN(300,MAX(1,D1898)),0), FactorTable!$A$2:$A$301,0), Skills!L22+1)</f>
        <v/>
      </c>
      <c r="F1898">
        <f>IF(Skills!M22=TRUE,(Skills!K22/10)*(E1898/1000),Skills!K22/10)+Skills!N22</f>
        <v/>
      </c>
      <c r="G1898">
        <f>Calc!G22</f>
        <v/>
      </c>
      <c r="H1898">
        <f>Calc!H22</f>
        <v/>
      </c>
      <c r="I1898">
        <f>IF(Skills!T22&lt;&gt;"",1+(Skills!T22/10)*($Z$3/1000)/100,1)</f>
        <v/>
      </c>
      <c r="J1898" t="inlineStr"/>
      <c r="K1898" t="inlineStr"/>
      <c r="L1898" t="inlineStr"/>
      <c r="M1898" t="inlineStr"/>
      <c r="N1898" t="inlineStr"/>
      <c r="O1898">
        <f>(1-Summary!$B$11)*S1898+Summary!$B$11*U1898</f>
        <v/>
      </c>
      <c r="P1898">
        <f>IF(B1918=0,0,O1898/B1918)</f>
        <v/>
      </c>
      <c r="Q1898">
        <f>IFERROR(1/(IF(Inputs!$B$39="pvp",15,MAX(0.1,Skills!D22-IF(Skills!E22=TRUE,Inputs!$B$33,0)))*(1-IF(AND(ArtifactsInput!$M$27,Inputs!$B$4="Chapter Hunt"),CHOOSE(ArtifactsInput!$N$27+1,20,24,28,32,36,40),0)/100)),0)</f>
        <v/>
      </c>
      <c r="R1898" t="n">
        <v>0</v>
      </c>
      <c r="S1898" t="n">
        <v>0</v>
      </c>
      <c r="U1898" t="n">
        <v>0</v>
      </c>
    </row>
    <row r="1899">
      <c r="A1899">
        <f>Skills!A23</f>
        <v/>
      </c>
      <c r="B1899">
        <f>Skills!B23</f>
        <v/>
      </c>
      <c r="C1899">
        <f>Inputs!$B$3&gt;=50</f>
        <v/>
      </c>
      <c r="D1899">
        <f>IF(Skills!C23=1,60+Inputs!$B$26+Inputs!$B$30,IF(Skills!C23=2,90+Inputs!$B$27+Inputs!$B$30,IF(Skills!C23=3,120+Inputs!$B$28+Inputs!$B$30,MAX(0,(Inputs!$B$3-100)*3)+Inputs!$B$29+Inputs!$B$30)))</f>
        <v/>
      </c>
      <c r="E1899">
        <f>INDEX(FactorTable!$B$2:$Y$301, MATCH(ROUND(MIN(300,MAX(1,D1899)),0), FactorTable!$A$2:$A$301,0), Skills!L23+1)</f>
        <v/>
      </c>
      <c r="F1899">
        <f>IF(Skills!M23=TRUE,(Skills!K23/10)*(E1899/1000),Skills!K23/10)+Skills!N23</f>
        <v/>
      </c>
      <c r="G1899">
        <f>Calc!G23</f>
        <v/>
      </c>
      <c r="H1899">
        <f>Calc!H23</f>
        <v/>
      </c>
      <c r="I1899">
        <f>IF(Skills!T23&lt;&gt;"",1+(Skills!T23/10)*($Z$3/1000)/100,1)</f>
        <v/>
      </c>
      <c r="J1899" t="inlineStr"/>
      <c r="K1899" t="inlineStr"/>
      <c r="L1899" t="inlineStr"/>
      <c r="M1899" t="inlineStr"/>
      <c r="N1899" t="inlineStr"/>
      <c r="O1899">
        <f>(1-Summary!$B$11)*S1899+Summary!$B$11*U1899</f>
        <v/>
      </c>
      <c r="P1899">
        <f>IF(B1918=0,0,O1899/B1918)</f>
        <v/>
      </c>
      <c r="Q1899">
        <f>IFERROR(1/(IF(Inputs!$B$39="pvp",15,MAX(0.1,Skills!D23-IF(Skills!E23=TRUE,Inputs!$B$33,0)))*(1-IF(AND(ArtifactsInput!$M$27,Inputs!$B$4="Chapter Hunt"),CHOOSE(ArtifactsInput!$N$27+1,20,24,28,32,36,40),0)/100)),0)</f>
        <v/>
      </c>
      <c r="R1899" t="n">
        <v>0</v>
      </c>
      <c r="S1899" t="n">
        <v>0</v>
      </c>
      <c r="U1899" t="n">
        <v>0</v>
      </c>
    </row>
    <row r="1900">
      <c r="A1900">
        <f>Skills!A24</f>
        <v/>
      </c>
      <c r="B1900">
        <f>Skills!B24</f>
        <v/>
      </c>
      <c r="C1900">
        <f>Inputs!$B$3&gt;=74</f>
        <v/>
      </c>
      <c r="D1900">
        <f>IF(Skills!C24=1,60+Inputs!$B$26+Inputs!$B$30,IF(Skills!C24=2,90+Inputs!$B$27+Inputs!$B$30,IF(Skills!C24=3,120+Inputs!$B$28+Inputs!$B$30,MAX(0,(Inputs!$B$3-100)*3)+Inputs!$B$29+Inputs!$B$30)))</f>
        <v/>
      </c>
      <c r="E1900">
        <f>INDEX(FactorTable!$B$2:$Y$301, MATCH(ROUND(MIN(300,MAX(1,D1900)),0), FactorTable!$A$2:$A$301,0), Skills!L24+1)</f>
        <v/>
      </c>
      <c r="F1900">
        <f>IF(Skills!M24=TRUE,(Skills!K24/10)*(E1900/1000),Skills!K24/10)+Skills!N24</f>
        <v/>
      </c>
      <c r="G1900">
        <f>Calc!G24</f>
        <v/>
      </c>
      <c r="H1900">
        <f>Calc!H24</f>
        <v/>
      </c>
      <c r="I1900">
        <f>IF(Skills!T24&lt;&gt;"",1+(Skills!T24/10)*($Z$3/1000)/100,1)</f>
        <v/>
      </c>
      <c r="J1900" t="inlineStr"/>
      <c r="K1900" t="inlineStr"/>
      <c r="L1900" t="inlineStr"/>
      <c r="M1900" t="inlineStr"/>
      <c r="N1900" t="inlineStr"/>
      <c r="O1900">
        <f>(1-Summary!$B$11)*S1900+Summary!$B$11*U1900</f>
        <v/>
      </c>
      <c r="P1900">
        <f>IF(B1918=0,0,O1900/B1918)</f>
        <v/>
      </c>
      <c r="Q1900">
        <f>IFERROR(1/(IF(Inputs!$B$39="pvp",15,MAX(0.1,Skills!D24-IF(Skills!E24=TRUE,Inputs!$B$33,0)))*(1-IF(AND(ArtifactsInput!$M$27,Inputs!$B$4="Chapter Hunt"),CHOOSE(ArtifactsInput!$N$27+1,20,24,28,32,36,40),0)/100)),0)</f>
        <v/>
      </c>
      <c r="R1900" t="n">
        <v>0</v>
      </c>
      <c r="S1900" t="n">
        <v>0</v>
      </c>
      <c r="U1900" t="n">
        <v>0</v>
      </c>
    </row>
    <row r="1901">
      <c r="A1901">
        <f>Skills!A25</f>
        <v/>
      </c>
      <c r="B1901">
        <f>Skills!B25</f>
        <v/>
      </c>
      <c r="C1901">
        <f>Inputs!$B$3&gt;=74</f>
        <v/>
      </c>
      <c r="D1901">
        <f>IF(Skills!C25=1,60+Inputs!$B$26+Inputs!$B$30,IF(Skills!C25=2,90+Inputs!$B$27+Inputs!$B$30,IF(Skills!C25=3,120+Inputs!$B$28+Inputs!$B$30,MAX(0,(Inputs!$B$3-100)*3)+Inputs!$B$29+Inputs!$B$30)))</f>
        <v/>
      </c>
      <c r="E1901">
        <f>INDEX(FactorTable!$B$2:$Y$301, MATCH(ROUND(MIN(300,MAX(1,D1901)),0), FactorTable!$A$2:$A$301,0), Skills!L25+1)</f>
        <v/>
      </c>
      <c r="F1901">
        <f>IF(Skills!M25=TRUE,(Skills!K25/10)*(E1901/1000),Skills!K25/10)+Skills!N25</f>
        <v/>
      </c>
      <c r="G1901">
        <f>Calc!G25</f>
        <v/>
      </c>
      <c r="H1901">
        <f>Calc!H25</f>
        <v/>
      </c>
      <c r="I1901">
        <f>IF(Skills!T25&lt;&gt;"",1+(Skills!T25/10)*($Z$3/1000)/100,1)</f>
        <v/>
      </c>
      <c r="J1901" t="inlineStr"/>
      <c r="K1901" t="inlineStr"/>
      <c r="L1901" t="inlineStr"/>
      <c r="M1901" t="inlineStr"/>
      <c r="N1901" t="inlineStr"/>
      <c r="O1901">
        <f>(1-Summary!$B$11)*S1901+Summary!$B$11*U1901</f>
        <v/>
      </c>
      <c r="P1901">
        <f>IF(B1918=0,0,O1901/B1918)</f>
        <v/>
      </c>
      <c r="Q1901">
        <f>IFERROR(1/(IF(Inputs!$B$39="pvp",15,MAX(0.1,Skills!D25-IF(Skills!E25=TRUE,Inputs!$B$33,0)))*(1-IF(AND(ArtifactsInput!$M$27,Inputs!$B$4="Chapter Hunt"),CHOOSE(ArtifactsInput!$N$27+1,20,24,28,32,36,40),0)/100)),0)</f>
        <v/>
      </c>
      <c r="R1901" t="n">
        <v>0</v>
      </c>
      <c r="S1901" t="n">
        <v>0</v>
      </c>
      <c r="U1901" t="n">
        <v>0</v>
      </c>
    </row>
    <row r="1902">
      <c r="A1902">
        <f>Skills!A26</f>
        <v/>
      </c>
      <c r="B1902">
        <f>Skills!B26</f>
        <v/>
      </c>
      <c r="C1902">
        <f>Inputs!$B$3&gt;=117</f>
        <v/>
      </c>
      <c r="D1902">
        <f>IF(Skills!C26=1,60+Inputs!$B$26+Inputs!$B$30,IF(Skills!C26=2,90+Inputs!$B$27+Inputs!$B$30,IF(Skills!C26=3,120+Inputs!$B$28+Inputs!$B$30,MAX(0,(Inputs!$B$3-100)*3)+Inputs!$B$29+Inputs!$B$30)))</f>
        <v/>
      </c>
      <c r="E1902">
        <f>INDEX(FactorTable!$B$2:$Y$301, MATCH(ROUND(MIN(300,MAX(1,D1902)),0), FactorTable!$A$2:$A$301,0), Skills!L26+1)</f>
        <v/>
      </c>
      <c r="F1902">
        <f>IF(Skills!M26=TRUE,(Skills!K26/10)*(E1902/1000),Skills!K26/10)+Skills!N26</f>
        <v/>
      </c>
      <c r="G1902">
        <f>Calc!G26</f>
        <v/>
      </c>
      <c r="H1902">
        <f>Calc!H26</f>
        <v/>
      </c>
      <c r="I1902">
        <f>IF(Skills!T26&lt;&gt;"",1+(Skills!T26/10)*($Z$3/1000)/100,1)</f>
        <v/>
      </c>
      <c r="J1902" t="inlineStr"/>
      <c r="K1902" t="inlineStr"/>
      <c r="L1902" t="inlineStr"/>
      <c r="M1902" t="inlineStr"/>
      <c r="N1902" t="inlineStr"/>
      <c r="O1902">
        <f>(1-Summary!$B$11)*S1902+Summary!$B$11*U1902</f>
        <v/>
      </c>
      <c r="P1902">
        <f>IF(B1918=0,0,O1902/B1918)</f>
        <v/>
      </c>
      <c r="Q1902">
        <f>IFERROR(1/(IF(Inputs!$B$39="pvp",15,MAX(0.1,Skills!D26-IF(Skills!E26=TRUE,Inputs!$B$33,0)))*(1-IF(AND(ArtifactsInput!$M$27,Inputs!$B$4="Chapter Hunt"),CHOOSE(ArtifactsInput!$N$27+1,20,24,28,32,36,40),0)/100)),0)</f>
        <v/>
      </c>
      <c r="R1902" t="n">
        <v>0</v>
      </c>
      <c r="S1902" t="n">
        <v>0</v>
      </c>
      <c r="U1902" t="n">
        <v>0</v>
      </c>
    </row>
    <row r="1903">
      <c r="A1903">
        <f>Skills!A27</f>
        <v/>
      </c>
      <c r="B1903">
        <f>Skills!B27</f>
        <v/>
      </c>
      <c r="C1903">
        <f>Inputs!$B$3&gt;=120</f>
        <v/>
      </c>
      <c r="D1903">
        <f>IF(Skills!C27=1,60+Inputs!$B$26+Inputs!$B$30,IF(Skills!C27=2,90+Inputs!$B$27+Inputs!$B$30,IF(Skills!C27=3,120+Inputs!$B$28+Inputs!$B$30,MAX(0,(Inputs!$B$3-100)*3)+Inputs!$B$29+Inputs!$B$30)))</f>
        <v/>
      </c>
      <c r="E1903">
        <f>INDEX(FactorTable!$B$2:$Y$301, MATCH(ROUND(MIN(300,MAX(1,D1903)),0), FactorTable!$A$2:$A$301,0), Skills!L27+1)</f>
        <v/>
      </c>
      <c r="F1903">
        <f>IF(Skills!M27=TRUE,(Skills!K27/10)*(E1903/1000),Skills!K27/10)+Skills!N27</f>
        <v/>
      </c>
      <c r="G1903">
        <f>Calc!G27</f>
        <v/>
      </c>
      <c r="H1903">
        <f>Calc!H27</f>
        <v/>
      </c>
      <c r="I1903">
        <f>IF(Skills!T27&lt;&gt;"",1+(Skills!T27/10)*($Z$3/1000)/100,1)</f>
        <v/>
      </c>
      <c r="J1903" t="inlineStr"/>
      <c r="K1903" t="inlineStr"/>
      <c r="L1903" t="inlineStr"/>
      <c r="M1903" t="inlineStr"/>
      <c r="N1903" t="inlineStr"/>
      <c r="O1903">
        <f>(1-Summary!$B$11)*S1903+Summary!$B$11*U1903</f>
        <v/>
      </c>
      <c r="P1903">
        <f>IF(B1918=0,0,O1903/B1918)</f>
        <v/>
      </c>
      <c r="Q1903">
        <f>IFERROR(1/(IF(Inputs!$B$39="pvp",15,MAX(0.1,Skills!D27-IF(Skills!E27=TRUE,Inputs!$B$33,0)))*(1-IF(AND(ArtifactsInput!$M$27,Inputs!$B$4="Chapter Hunt"),CHOOSE(ArtifactsInput!$N$27+1,20,24,28,32,36,40),0)/100)),0)</f>
        <v/>
      </c>
      <c r="R1903" t="n">
        <v>0</v>
      </c>
      <c r="S1903" t="n">
        <v>0</v>
      </c>
      <c r="U1903" t="n">
        <v>0</v>
      </c>
    </row>
    <row r="1905">
      <c r="A1905" t="inlineStr">
        <is>
          <t>Average Buff Multiplier</t>
        </is>
      </c>
      <c r="B1905">
        <f>(1+(IF(C1879=TRUE,F1879*IF(AND(Inputs!$B$39&lt;&gt;"pvp",Inputs!$B$44&gt;0),(((R1879-1)*(Skills!S3*(1+((Inputs!$B$35+(ArtifactsInput!$M$7-ArtifactsInput!$M$7)*CHOOSE(ArtifactsInput!$N$7+1,6,7.2,8.4,9.6,10.8,12))+IF(Inputs!$B$3&gt;=117,F1902,0))/100))+MIN((Skills!S3*(1+((Inputs!$B$35+(ArtifactsInput!$M$7-ArtifactsInput!$M$7)*CHOOSE(ArtifactsInput!$N$7+1,6,7.2,8.4,9.6,10.8,12))+IF(Inputs!$B$3&gt;=117,F1902,0))/100)),MAX(0,Inputs!$B$44-((R1879-1)*Skills!D3))))/Inputs!$B$44),IF(Inputs!$B$39="pvp",MIN((Skills!S3*(1+((Inputs!$B$35+(ArtifactsInput!$M$7-ArtifactsInput!$M$7)*CHOOSE(ArtifactsInput!$N$7+1,6,7.2,8.4,9.6,10.8,12))+IF(Inputs!$B$3&gt;=117,F1902,0))/100)),15)/15,(Skills!S3*(1+((Inputs!$B$35+(ArtifactsInput!$M$7-ArtifactsInput!$M$7)*CHOOSE(ArtifactsInput!$N$7+1,6,7.2,8.4,9.6,10.8,12))+IF(Inputs!$B$3&gt;=117,F1902,0))/100))/Skills!D3)),0)+IF(C1880=TRUE,F1880*IF(AND(Inputs!$B$39&lt;&gt;"pvp",Inputs!$B$44&gt;0),(((R1880-1)*(Skills!S4*(1+((Inputs!$B$35+(ArtifactsInput!$M$7-ArtifactsInput!$M$7)*CHOOSE(ArtifactsInput!$N$7+1,6,7.2,8.4,9.6,10.8,12))+IF(Inputs!$B$3&gt;=117,F1902,0))/100))+MIN((Skills!S4*(1+((Inputs!$B$35+(ArtifactsInput!$M$7-ArtifactsInput!$M$7)*CHOOSE(ArtifactsInput!$N$7+1,6,7.2,8.4,9.6,10.8,12))+IF(Inputs!$B$3&gt;=117,F1902,0))/100)),MAX(0,Inputs!$B$44-((R1880-1)*Skills!D4))))/Inputs!$B$44),IF(Inputs!$B$39="pvp",MIN((Skills!S4*(1+((Inputs!$B$35+(ArtifactsInput!$M$7-ArtifactsInput!$M$7)*CHOOSE(ArtifactsInput!$N$7+1,6,7.2,8.4,9.6,10.8,12))+IF(Inputs!$B$3&gt;=117,F1902,0))/100)),15)/15,(Skills!S4*(1+((Inputs!$B$35+(ArtifactsInput!$M$7-ArtifactsInput!$M$7)*CHOOSE(ArtifactsInput!$N$7+1,6,7.2,8.4,9.6,10.8,12))+IF(Inputs!$B$3&gt;=117,F1902,0))/100))/Skills!D4)),0)+IF(C1881=TRUE,F1881*IF(AND(Inputs!$B$39&lt;&gt;"pvp",Inputs!$B$44&gt;0),(((R1881-1)*(Skills!S5*(1+((Inputs!$B$35+(ArtifactsInput!$M$7-ArtifactsInput!$M$7)*CHOOSE(ArtifactsInput!$N$7+1,6,7.2,8.4,9.6,10.8,12))+IF(Inputs!$B$3&gt;=117,F1902,0))/100))+MIN((Skills!S5*(1+((Inputs!$B$35+(ArtifactsInput!$M$7-ArtifactsInput!$M$7)*CHOOSE(ArtifactsInput!$N$7+1,6,7.2,8.4,9.6,10.8,12))+IF(Inputs!$B$3&gt;=117,F1902,0))/100)),MAX(0,Inputs!$B$44-((R1881-1)*Skills!D5))))/Inputs!$B$44),IF(Inputs!$B$39="pvp",MIN((Skills!S5*(1+((Inputs!$B$35+(ArtifactsInput!$M$7-ArtifactsInput!$M$7)*CHOOSE(ArtifactsInput!$N$7+1,6,7.2,8.4,9.6,10.8,12))+IF(Inputs!$B$3&gt;=117,F1902,0))/100)),15)/15,(Skills!S5*(1+((Inputs!$B$35+(ArtifactsInput!$M$7-ArtifactsInput!$M$7)*CHOOSE(ArtifactsInput!$N$7+1,6,7.2,8.4,9.6,10.8,12))+IF(Inputs!$B$3&gt;=117,F1902,0))/100))/Skills!D5)),0)+IF(C1887=TRUE,F1887*IF(AND(Inputs!$B$39&lt;&gt;"pvp",Inputs!$B$44&gt;0),(((R1887-1)*(Skills!S11*(1+((Inputs!$B$35+(ArtifactsInput!$M$7-ArtifactsInput!$M$7)*CHOOSE(ArtifactsInput!$N$7+1,6,7.2,8.4,9.6,10.8,12))+IF(Inputs!$B$3&gt;=117,F1902,0))/100))+MIN((Skills!S11*(1+((Inputs!$B$35+(ArtifactsInput!$M$7-ArtifactsInput!$M$7)*CHOOSE(ArtifactsInput!$N$7+1,6,7.2,8.4,9.6,10.8,12))+IF(Inputs!$B$3&gt;=117,F1902,0))/100)),MAX(0,Inputs!$B$44-((R1887-1)*Skills!D11))))/Inputs!$B$44),IF(Inputs!$B$39="pvp",MIN((Skills!S11*(1+((Inputs!$B$35+(ArtifactsInput!$M$7-ArtifactsInput!$M$7)*CHOOSE(ArtifactsInput!$N$7+1,6,7.2,8.4,9.6,10.8,12))+IF(Inputs!$B$3&gt;=117,F1902,0))/100)),15)/15,(Skills!S11*(1+((Inputs!$B$35+(ArtifactsInput!$M$7-ArtifactsInput!$M$7)*CHOOSE(ArtifactsInput!$N$7+1,6,7.2,8.4,9.6,10.8,12))+IF(Inputs!$B$3&gt;=117,F1902,0))/100))/Skills!D11)),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1890=TRUE,(1+F1890*IF(AND(Inputs!$B$39&lt;&gt;"pvp",Inputs!$B$44&gt;0),(((R1890-1)*(Skills!S14*(1+((Inputs!$B$35+(ArtifactsInput!$M$7-ArtifactsInput!$M$7)*CHOOSE(ArtifactsInput!$N$7+1,6,7.2,8.4,9.6,10.8,12))+IF(Inputs!$B$3&gt;=117,F1902,0))/100))+MIN((Skills!S14*(1+((Inputs!$B$35+(ArtifactsInput!$M$7-ArtifactsInput!$M$7)*CHOOSE(ArtifactsInput!$N$7+1,6,7.2,8.4,9.6,10.8,12))+IF(Inputs!$B$3&gt;=117,F1902,0))/100)),MAX(0,Inputs!$B$44-((R1890-1)*Skills!D14))))/Inputs!$B$44),IF(Inputs!$B$39="pvp",MIN((Skills!S14*(1+((Inputs!$B$35+(ArtifactsInput!$M$7-ArtifactsInput!$M$7)*CHOOSE(ArtifactsInput!$N$7+1,6,7.2,8.4,9.6,10.8,12))+IF(Inputs!$B$3&gt;=117,F1902,0))/100)),15)/15,(Skills!S14*(1+((Inputs!$B$35+(ArtifactsInput!$M$7-ArtifactsInput!$M$7)*CHOOSE(ArtifactsInput!$N$7+1,6,7.2,8.4,9.6,10.8,12))+IF(Inputs!$B$3&gt;=117,F1902,0))/100))/Skills!D14))/100),1)*IF(C1895=TRUE,(1+F1895*IF(AND(Inputs!$B$39&lt;&gt;"pvp",Inputs!$B$44&gt;0),(((R1895-1)*(Skills!S19*(1+((Inputs!$B$35+(ArtifactsInput!$M$7-ArtifactsInput!$M$7)*CHOOSE(ArtifactsInput!$N$7+1,6,7.2,8.4,9.6,10.8,12))+IF(Inputs!$B$3&gt;=117,F1902,0))/100))+MIN((Skills!S19*(1+((Inputs!$B$35+(ArtifactsInput!$M$7-ArtifactsInput!$M$7)*CHOOSE(ArtifactsInput!$N$7+1,6,7.2,8.4,9.6,10.8,12))+IF(Inputs!$B$3&gt;=117,F1902,0))/100)),MAX(0,Inputs!$B$44-((R1895-1)*Skills!D19))))/Inputs!$B$44),IF(Inputs!$B$39="pvp",MIN((Skills!S19*(1+((Inputs!$B$35+(ArtifactsInput!$M$7-ArtifactsInput!$M$7)*CHOOSE(ArtifactsInput!$N$7+1,6,7.2,8.4,9.6,10.8,12))+IF(Inputs!$B$3&gt;=117,F1902,0))/100)),15)/15,(Skills!S19*(1+((Inputs!$B$35+(ArtifactsInput!$M$7-ArtifactsInput!$M$7)*CHOOSE(ArtifactsInput!$N$7+1,6,7.2,8.4,9.6,10.8,12))+IF(Inputs!$B$3&gt;=117,F1902,0))/100))/Skills!D19))/100),1)</f>
        <v/>
      </c>
    </row>
    <row r="1906">
      <c r="A1906" t="inlineStr">
        <is>
          <t>Monster Damage Taken Bonus % (Holy Fountain)</t>
        </is>
      </c>
      <c r="B1906">
        <f>IF(Inputs!$B$3&gt;=68,20*IF(Inputs!$B$39="pvp",MIN((15*(1+((Inputs!$B$35+(ArtifactsInput!$M$7-ArtifactsInput!$M$7)*CHOOSE(ArtifactsInput!$N$7+1,6,7.2,8.4,9.6,10.8,12))+IF(Inputs!$B$3&gt;=117,F1902,0))/100)),15)/15,(15*(1+((Inputs!$B$35+(ArtifactsInput!$M$7-ArtifactsInput!$M$7)*CHOOSE(ArtifactsInput!$N$7+1,6,7.2,8.4,9.6,10.8,12))+IF(Inputs!$B$3&gt;=117,F1902,0))/100))/Skills!D10),0)</f>
        <v/>
      </c>
    </row>
    <row r="1907">
      <c r="A1907" t="inlineStr">
        <is>
          <t>Normal Monster Damage Bonus % (Holy Symbol)</t>
        </is>
      </c>
      <c r="B1907">
        <f>IF(C1888=TRUE,F1888*IF(AND(Inputs!$B$39&lt;&gt;"pvp",Inputs!$B$44&gt;0),(((R1888-1)*(Skills!S12*(1+((Inputs!$B$35+(ArtifactsInput!$M$7-ArtifactsInput!$M$7)*CHOOSE(ArtifactsInput!$N$7+1,6,7.2,8.4,9.6,10.8,12))+IF(Inputs!$B$3&gt;=117,F1902,0))/100))+MIN((Skills!S12*(1+((Inputs!$B$35+(ArtifactsInput!$M$7-ArtifactsInput!$M$7)*CHOOSE(ArtifactsInput!$N$7+1,6,7.2,8.4,9.6,10.8,12))+IF(Inputs!$B$3&gt;=117,F1902,0))/100)),MAX(0,Inputs!$B$44-((R1888-1)*Skills!D12))))/Inputs!$B$44),IF(Inputs!$B$39="pvp",MIN((Skills!S12*(1+((Inputs!$B$35+(ArtifactsInput!$M$7-ArtifactsInput!$M$7)*CHOOSE(ArtifactsInput!$N$7+1,6,7.2,8.4,9.6,10.8,12))+IF(Inputs!$B$3&gt;=117,F1902,0))/100)),15)/15,(Skills!S12*(1+((Inputs!$B$35+(ArtifactsInput!$M$7-ArtifactsInput!$M$7)*CHOOSE(ArtifactsInput!$N$7+1,6,7.2,8.4,9.6,10.8,12))+IF(Inputs!$B$3&gt;=117,F1902,0))/100))/Skills!D12)),0)</f>
        <v/>
      </c>
    </row>
    <row r="1908">
      <c r="A1908" t="inlineStr">
        <is>
          <t>Damage % Bonus (Holy Symbol - Damage Boost)</t>
        </is>
      </c>
      <c r="B1908">
        <f>Skills!O12</f>
        <v/>
      </c>
    </row>
    <row r="1909">
      <c r="A1909" t="inlineStr">
        <is>
          <t>Crit Damage % Bonus (Blood of the Divine)</t>
        </is>
      </c>
      <c r="B1909">
        <f>4*IF(C1896=TRUE,F1896,0)</f>
        <v/>
      </c>
    </row>
    <row r="1910">
      <c r="A1910" t="inlineStr">
        <is>
          <t>Attack Speed Bonus %</t>
        </is>
      </c>
      <c r="B1910">
        <f>IF(C1893=TRUE,F1893+(F1897-Calc!F21),0)+IF(Inputs!$B$3&gt;=134,15,0)</f>
        <v/>
      </c>
    </row>
    <row r="1911">
      <c r="A1911" t="inlineStr">
        <is>
          <t>Actions Per Second</t>
        </is>
      </c>
      <c r="B1911">
        <f>1+MIN(150,150*(1-(1-Inputs!$B$12/150)*(1-B1910/150)))/100</f>
        <v/>
      </c>
    </row>
    <row r="1912">
      <c r="A1912" t="inlineStr">
        <is>
          <t>Skill + Buff Cast Rate</t>
        </is>
      </c>
      <c r="B1912">
        <f>IF(AND(Inputs!$B$39&lt;&gt;"pvp",Inputs!$B$44&gt;0),SUMPRODUCT((Skills!E2:E27=TRUE)*(C1878:C1903=TRUE)*R1878:R1903)/Inputs!$B$44,SUMPRODUCT((Skills!E2:E27=TRUE)*(C1878:C1903=TRUE)*Q1878:Q1903))</f>
        <v/>
      </c>
    </row>
    <row r="1913">
      <c r="A1913" t="inlineStr">
        <is>
          <t>Big Bang Casts Per Second</t>
        </is>
      </c>
      <c r="B1913">
        <f>MAX(0,B1911-B1912)</f>
        <v/>
      </c>
    </row>
    <row r="1914">
      <c r="A1914" t="inlineStr">
        <is>
          <t>Defense % Bonus (Divine Protection)</t>
        </is>
      </c>
      <c r="B1914">
        <f>IF(C1889=TRUE,F1889*IF(AND(Inputs!$B$39&lt;&gt;"pvp",Inputs!$B$44&gt;0),(((R1889-1)*(Skills!S13*(1+((Inputs!$B$35+(ArtifactsInput!$M$7-ArtifactsInput!$M$7)*CHOOSE(ArtifactsInput!$N$7+1,6,7.2,8.4,9.6,10.8,12))+IF(Inputs!$B$3&gt;=117,F1902,0))/100))+MIN((Skills!S13*(1+((Inputs!$B$35+(ArtifactsInput!$M$7-ArtifactsInput!$M$7)*CHOOSE(ArtifactsInput!$N$7+1,6,7.2,8.4,9.6,10.8,12))+IF(Inputs!$B$3&gt;=117,F1902,0))/100)),MAX(0,Inputs!$B$44-((R1889-1)*Skills!D13))))/Inputs!$B$44),IF(Inputs!$B$39="pvp",MIN((Skills!S13*(1+((Inputs!$B$35+(ArtifactsInput!$M$7-ArtifactsInput!$M$7)*CHOOSE(ArtifactsInput!$N$7+1,6,7.2,8.4,9.6,10.8,12))+IF(Inputs!$B$3&gt;=117,F1902,0))/100)),15)/15,(Skills!S13*(1+((Inputs!$B$35+(ArtifactsInput!$M$7-ArtifactsInput!$M$7)*CHOOSE(ArtifactsInput!$N$7+1,6,7.2,8.4,9.6,10.8,12))+IF(Inputs!$B$3&gt;=117,F1902,0))/100))/Skills!D13)),0)</f>
        <v/>
      </c>
    </row>
    <row r="1915">
      <c r="A1915" t="inlineStr">
        <is>
          <t>Buff-Casting Startup Delay (s, fixed-duration only)</t>
        </is>
      </c>
      <c r="B1915">
        <f>IF(AND(Inputs!$B$39&lt;&gt;"pvp",Inputs!$B$44&gt;0),SUMPRODUCT((Skills!S2:S27&gt;0)*(Skills!E2:E27=TRUE)*(C1878:C1903=TRUE))/B1911,0)</f>
        <v/>
      </c>
    </row>
    <row r="1916">
      <c r="A1916" t="inlineStr">
        <is>
          <t>Boss-Only Total DPS (this block's swept value)</t>
        </is>
      </c>
      <c r="B1916">
        <f>SUM(S1878:S1903)</f>
        <v/>
      </c>
    </row>
    <row r="1917">
      <c r="A1917" t="inlineStr">
        <is>
          <t>Normal-Only Total DPS (this block's swept value)</t>
        </is>
      </c>
      <c r="B1917">
        <f>SUM(U1878:U1903)</f>
        <v/>
      </c>
    </row>
    <row r="1918">
      <c r="A1918" s="6" t="inlineStr">
        <is>
          <t>TOTAL DPS</t>
        </is>
      </c>
      <c r="B1918" s="6">
        <f>SUM(O1878:O1903)</f>
        <v/>
      </c>
    </row>
    <row r="1920">
      <c r="A1920" s="6" t="inlineStr">
        <is>
          <t>Stat: Silver Pendant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R1921" t="inlineStr">
        <is>
          <t>helpers</t>
        </is>
      </c>
    </row>
    <row r="1922">
      <c r="A1922">
        <f>Skills!A2</f>
        <v/>
      </c>
      <c r="B1922">
        <f>Skills!B2</f>
        <v/>
      </c>
      <c r="C1922">
        <f>Inputs!$B$3&gt;=100</f>
        <v/>
      </c>
      <c r="D1922" t="inlineStr"/>
      <c r="E1922" t="inlineStr"/>
      <c r="F1922">
        <f>T1924+Skills!N2</f>
        <v/>
      </c>
      <c r="G1922">
        <f>Calc!G2</f>
        <v/>
      </c>
      <c r="H1922">
        <f>Calc!H2</f>
        <v/>
      </c>
      <c r="I1922">
        <f>IF(Skills!T2&lt;&gt;"",1+(Skills!T2/10)*($Z$3/1000)/100,1)</f>
        <v/>
      </c>
      <c r="J1922">
        <f>((Inputs!$B$6*(1+Inputs!$B$7/100))+(((Inputs!$B$13*(1+Inputs!$B$14/100))-(Inputs!$B$13*(1+Inputs!$B$14/100)))+0.25*(Inputs!$B$15-Inputs!$B$15))*(1+Inputs!$B$7/100))*(F1922/100)</f>
        <v/>
      </c>
      <c r="K1922">
        <f>J1922*(1+(((Inputs!$B$13+IF(Inputs!$B$3&gt;=35,(10*INDEX(FactorTable!$B$2:$Y$301,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2="TRIUMPH_FEATHER",IF(C1936=TRUE,F1936,0),0)/100)*(1+IF(C1947=TRUE,F1947,0)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1922)</f>
        <v/>
      </c>
      <c r="L1922">
        <f>K1922*(MIN(Inputs!$B$23+(F1942-Calc!F22),(Inputs!$B$24+IF(ArtifactsInput!$M$15,CHOOSE(ArtifactsInput!$N$15+1,25,30,35,40,45,50)/100*(Inputs!$B$12-Inputs!$B$12),0)))/100+(Inputs!$B$24+IF(ArtifactsInput!$M$15,CHOOSE(ArtifactsInput!$N$15+1,25,30,35,40,45,50)/100*(Inputs!$B$12-Inputs!$B$12),0))/100)/2</f>
        <v/>
      </c>
      <c r="M1922">
        <f>L1922*(1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2">
        <f>L1922*(1-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1922*(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2">
        <f>(1-Summary!$B$11)*S1922+Summary!$B$11*U1922</f>
        <v/>
      </c>
      <c r="P1922">
        <f>IF(B1962=0,0,O1922/B1962)</f>
        <v/>
      </c>
      <c r="Q1922">
        <f>IFERROR(1/(IF(Inputs!$B$39="pvp",15,MAX(0.1,Skills!D2-IF(Skills!E2=TRUE,Inputs!$B$33,0)))*(1-IF(AND(ArtifactsInput!$M$27,Inputs!$B$4="Chapter Hunt"),CHOOSE(ArtifactsInput!$N$27+1,20,24,28,32,36,40),0)/100)),0)</f>
        <v/>
      </c>
      <c r="R1922" t="n">
        <v>0</v>
      </c>
      <c r="S1922">
        <f>IF(C1922,(Skills!F2*N1922*B1957)*IF(Inputs!$B$39="pvp",1,1+(Inputs!$B$21+Skills!O2+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1922*(1-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1922*(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1922*(1-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1922*(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22">
        <f>MAX(0,(Inputs!$B$3-100)*3)+Inputs!$B$29+Inputs!$B$30</f>
        <v/>
      </c>
      <c r="U1922">
        <f>IF(C1922,(Skills!F2*N1922*B1957)*IF(Inputs!$B$39="pvp",1,(1+(Inputs!$B$22+Skills!P2+B1951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3">
      <c r="A1923">
        <f>Skills!A3</f>
        <v/>
      </c>
      <c r="B1923">
        <f>Skills!B3</f>
        <v/>
      </c>
      <c r="C1923">
        <f>Inputs!$B$3&gt;=15</f>
        <v/>
      </c>
      <c r="D1923">
        <f>IF(Skills!C3=1,60+Inputs!$B$26+Inputs!$B$30,IF(Skills!C3=2,90+Inputs!$B$27+Inputs!$B$30,IF(Skills!C3=3,120+Inputs!$B$28+Inputs!$B$30,MAX(0,(Inputs!$B$3-100)*3)+Inputs!$B$29+Inputs!$B$30)))</f>
        <v/>
      </c>
      <c r="E1923">
        <f>INDEX(FactorTable!$B$2:$Y$301, MATCH(ROUND(MIN(300,MAX(1,D1923)),0), FactorTable!$A$2:$A$301,0), Skills!L3+1)</f>
        <v/>
      </c>
      <c r="F1923">
        <f>IF(Skills!M3=TRUE,(Skills!K3/10)*(E1923/1000),Skills!K3/10)+Skills!N3</f>
        <v/>
      </c>
      <c r="G1923">
        <f>Calc!G3</f>
        <v/>
      </c>
      <c r="H1923">
        <f>Calc!H3</f>
        <v/>
      </c>
      <c r="I1923">
        <f>IF(Skills!T3&lt;&gt;"",1+(Skills!T3/10)*($Z$3/1000)/100,1)</f>
        <v/>
      </c>
      <c r="J1923" t="inlineStr"/>
      <c r="K1923" t="inlineStr"/>
      <c r="L1923" t="inlineStr"/>
      <c r="M1923" t="inlineStr"/>
      <c r="N1923" t="inlineStr"/>
      <c r="O1923">
        <f>(1-Summary!$B$11)*S1923+Summary!$B$11*U1923</f>
        <v/>
      </c>
      <c r="P1923">
        <f>IF(B1962=0,0,O1923/B1962)</f>
        <v/>
      </c>
      <c r="Q1923">
        <f>IFERROR(1/(IF(Inputs!$B$39="pvp",15,MAX(0.1,Skills!D3-IF(Skills!E3=TRUE,Inputs!$B$33,0)))*(1-IF(AND(ArtifactsInput!$M$27,Inputs!$B$4="Chapter Hunt"),CHOOSE(ArtifactsInput!$N$27+1,20,24,28,32,36,40),0)/100)),0)</f>
        <v/>
      </c>
      <c r="R1923">
        <f>IF(AND(Inputs!$B$39&lt;&gt;"pvp",Inputs!$B$44&gt;0),IF(Inputs!$B$44&lt;=0,0,(INT(Inputs!$B$44/(IF(Inputs!$B$39="pvp",15,MAX(0.1,Skills!D3-IF(Skills!E3=TRUE,Inputs!$B$33,0)))*(1-IF(AND(ArtifactsInput!$M$27,Inputs!$B$4="Chapter Hunt"),CHOOSE(ArtifactsInput!$N$27+1,20,24,28,32,36,40),0)/100)))+1)),0)</f>
        <v/>
      </c>
      <c r="S1923" t="n">
        <v>0</v>
      </c>
      <c r="T1923">
        <f>INDEX(FactorTable!$B$2:$Y$301, MATCH(ROUND(MIN(300,MAX(1,T1922)),0), FactorTable!$A$2:$A$301,0), 22)</f>
        <v/>
      </c>
      <c r="U1923" t="n">
        <v>0</v>
      </c>
    </row>
    <row r="1924">
      <c r="A1924">
        <f>Skills!A4</f>
        <v/>
      </c>
      <c r="B1924">
        <f>Skills!B4</f>
        <v/>
      </c>
      <c r="C1924">
        <f>Inputs!$B$3&gt;=38</f>
        <v/>
      </c>
      <c r="D1924">
        <f>IF(Skills!C4=1,60+Inputs!$B$26+Inputs!$B$30,IF(Skills!C4=2,90+Inputs!$B$27+Inputs!$B$30,IF(Skills!C4=3,120+Inputs!$B$28+Inputs!$B$30,MAX(0,(Inputs!$B$3-100)*3)+Inputs!$B$29+Inputs!$B$30)))</f>
        <v/>
      </c>
      <c r="E1924">
        <f>INDEX(FactorTable!$B$2:$Y$301, MATCH(ROUND(MIN(300,MAX(1,D1924)),0), FactorTable!$A$2:$A$301,0), Skills!L4+1)</f>
        <v/>
      </c>
      <c r="F1924">
        <f>IF(Skills!M4=TRUE,(Skills!K4/10)*(E1924/1000),Skills!K4/10)+Skills!N4</f>
        <v/>
      </c>
      <c r="G1924">
        <f>Calc!G4</f>
        <v/>
      </c>
      <c r="H1924">
        <f>Calc!H4</f>
        <v/>
      </c>
      <c r="I1924">
        <f>IF(Skills!T4&lt;&gt;"",1+(Skills!T4/10)*($Z$3/1000)/100,1)</f>
        <v/>
      </c>
      <c r="J1924" t="inlineStr"/>
      <c r="K1924" t="inlineStr"/>
      <c r="L1924" t="inlineStr"/>
      <c r="M1924" t="inlineStr"/>
      <c r="N1924" t="inlineStr"/>
      <c r="O1924">
        <f>(1-Summary!$B$11)*S1924+Summary!$B$11*U1924</f>
        <v/>
      </c>
      <c r="P1924">
        <f>IF(B1962=0,0,O1924/B1962)</f>
        <v/>
      </c>
      <c r="Q1924">
        <f>IFERROR(1/(IF(Inputs!$B$39="pvp",15,MAX(0.1,Skills!D4-IF(Skills!E4=TRUE,Inputs!$B$33,0)))*(1-IF(AND(ArtifactsInput!$M$27,Inputs!$B$4="Chapter Hunt"),CHOOSE(ArtifactsInput!$N$27+1,20,24,28,32,36,40),0)/100)),0)</f>
        <v/>
      </c>
      <c r="R1924">
        <f>IF(AND(Inputs!$B$39&lt;&gt;"pvp",Inputs!$B$44&gt;0),IF(Inputs!$B$44&lt;=0,0,(INT(Inputs!$B$44/(IF(Inputs!$B$39="pvp",15,MAX(0.1,Skills!D4-IF(Skills!E4=TRUE,Inputs!$B$33,0)))*(1-IF(AND(ArtifactsInput!$M$27,Inputs!$B$4="Chapter Hunt"),CHOOSE(ArtifactsInput!$N$27+1,20,24,28,32,36,40),0)/100)))+1)),0)</f>
        <v/>
      </c>
      <c r="S1924" t="n">
        <v>0</v>
      </c>
      <c r="T1924">
        <f>290*T1923/1000</f>
        <v/>
      </c>
      <c r="U1924" t="n">
        <v>0</v>
      </c>
    </row>
    <row r="1925">
      <c r="A1925">
        <f>Skills!A5</f>
        <v/>
      </c>
      <c r="B1925">
        <f>Skills!B5</f>
        <v/>
      </c>
      <c r="C1925">
        <f>Inputs!$B$3&gt;=40</f>
        <v/>
      </c>
      <c r="D1925">
        <f>IF(Skills!C5=1,60+Inputs!$B$26+Inputs!$B$30,IF(Skills!C5=2,90+Inputs!$B$27+Inputs!$B$30,IF(Skills!C5=3,120+Inputs!$B$28+Inputs!$B$30,MAX(0,(Inputs!$B$3-100)*3)+Inputs!$B$29+Inputs!$B$30)))</f>
        <v/>
      </c>
      <c r="E1925">
        <f>INDEX(FactorTable!$B$2:$Y$301, MATCH(ROUND(MIN(300,MAX(1,D1925)),0), FactorTable!$A$2:$A$301,0), Skills!L5+1)</f>
        <v/>
      </c>
      <c r="F1925">
        <f>IF(Skills!M5=TRUE,(Skills!K5/10)*(E1925/1000),Skills!K5/10)+Skills!N5</f>
        <v/>
      </c>
      <c r="G1925">
        <f>Calc!G5</f>
        <v/>
      </c>
      <c r="H1925">
        <f>Calc!H5</f>
        <v/>
      </c>
      <c r="I1925">
        <f>IF(Skills!T5&lt;&gt;"",1+(Skills!T5/10)*($Z$3/1000)/100,1)</f>
        <v/>
      </c>
      <c r="J1925" t="inlineStr"/>
      <c r="K1925" t="inlineStr"/>
      <c r="L1925" t="inlineStr"/>
      <c r="M1925" t="inlineStr"/>
      <c r="N1925" t="inlineStr"/>
      <c r="O1925">
        <f>(1-Summary!$B$11)*S1925+Summary!$B$11*U1925</f>
        <v/>
      </c>
      <c r="P1925">
        <f>IF(B1962=0,0,O1925/B1962)</f>
        <v/>
      </c>
      <c r="Q1925">
        <f>IFERROR(1/(IF(Inputs!$B$39="pvp",15,MAX(0.1,Skills!D5-IF(Skills!E5=TRUE,Inputs!$B$33,0)))*(1-IF(AND(ArtifactsInput!$M$27,Inputs!$B$4="Chapter Hunt"),CHOOSE(ArtifactsInput!$N$27+1,20,24,28,32,36,40),0)/100)),0)</f>
        <v/>
      </c>
      <c r="R1925">
        <f>IF(AND(Inputs!$B$39&lt;&gt;"pvp",Inputs!$B$44&gt;0),IF(Inputs!$B$44&lt;=0,0,(INT(Inputs!$B$44/(IF(Inputs!$B$39="pvp",15,MAX(0.1,Skills!D5-IF(Skills!E5=TRUE,Inputs!$B$33,0)))*(1-IF(AND(ArtifactsInput!$M$27,Inputs!$B$4="Chapter Hunt"),CHOOSE(ArtifactsInput!$N$27+1,20,24,28,32,36,40),0)/100)))+1)),0)</f>
        <v/>
      </c>
      <c r="S1925" t="n">
        <v>0</v>
      </c>
      <c r="U1925" t="n">
        <v>0</v>
      </c>
    </row>
    <row r="1926">
      <c r="A1926">
        <f>Skills!A6</f>
        <v/>
      </c>
      <c r="B1926">
        <f>Skills!B6</f>
        <v/>
      </c>
      <c r="C1926">
        <f>Inputs!$B$3&gt;=103</f>
        <v/>
      </c>
      <c r="D1926">
        <f>IF(Skills!C6=1,60+Inputs!$B$26+Inputs!$B$30,IF(Skills!C6=2,90+Inputs!$B$27+Inputs!$B$30,IF(Skills!C6=3,120+Inputs!$B$28+Inputs!$B$30,MAX(0,(Inputs!$B$3-100)*3)+Inputs!$B$29+Inputs!$B$30)))</f>
        <v/>
      </c>
      <c r="E1926">
        <f>INDEX(FactorTable!$B$2:$Y$301, MATCH(ROUND(MIN(300,MAX(1,D1926)),0), FactorTable!$A$2:$A$301,0), Skills!L6+1)</f>
        <v/>
      </c>
      <c r="F1926">
        <f>IF(Skills!M6=TRUE,(Skills!K6/10)*(E1926/1000),Skills!K6/10)+Skills!N6</f>
        <v/>
      </c>
      <c r="G1926">
        <f>Calc!G6</f>
        <v/>
      </c>
      <c r="H1926">
        <f>Calc!H6</f>
        <v/>
      </c>
      <c r="I1926">
        <f>IF(Skills!T6&lt;&gt;"",1+(Skills!T6/10)*($Z$3/1000)/100,1)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6="TRIUMPH_FEATHER",IF(C1936=TRUE,F1936,0),0)/100)*(1+IF(C1947=TRUE,F1947,0)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1926)</f>
        <v/>
      </c>
      <c r="L1926">
        <f>K1926*(MIN(Inputs!$B$23+(F1942-Calc!F22),(Inputs!$B$24+IF(ArtifactsInput!$M$15,CHOOSE(ArtifactsInput!$N$15+1,25,30,35,40,45,50)/100*(Inputs!$B$12-Inputs!$B$12),0)))/100+(Inputs!$B$24+IF(ArtifactsInput!$M$15,CHOOSE(ArtifactsInput!$N$15+1,25,30,35,40,45,50)/100*(Inputs!$B$12-Inputs!$B$12),0))/100)/2</f>
        <v/>
      </c>
      <c r="M1926">
        <f>L1926*(1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IF(B1962=0,0,O1926/B1962)</f>
        <v/>
      </c>
      <c r="Q1926">
        <f>IFERROR(1/(IF(Inputs!$B$39="pvp",15,MAX(0.1,Skills!D6-IF(Skills!E6=TRUE,Inputs!$B$33,0)))*(1-IF(AND(ArtifactsInput!$M$27,Inputs!$B$4="Chapter Hunt"),CHOOSE(ArtifactsInput!$N$27+1,20,24,28,32,36,40),0)/100)),0)</f>
        <v/>
      </c>
      <c r="R1926">
        <f>IF(AND(Inputs!$B$39&lt;&gt;"pvp",Inputs!$B$44&gt;0),IF(MAX(0,Inputs!$B$44-B1959)&lt;=0,0,(INT(MAX(0,Inputs!$B$44-B1959)/(IF(Inputs!$B$39="pvp",15,MAX(0.1,Skills!D6-IF(Skills!E6=TRUE,Inputs!$B$33,0)))*(1-IF(AND(ArtifactsInput!$M$27,Inputs!$B$4="Chapter Hunt"),CHOOSE(ArtifactsInput!$N$27+1,20,24,28,32,36,40),0)/100)))+1)),0)</f>
        <v/>
      </c>
      <c r="S1926">
        <f>IF(C1926,(H1926*N1926*IF(AND(Inputs!$B$39&lt;&gt;"pvp",Inputs!$B$44&gt;0),((Skills!F6*((R1926-1)*IF(Skills!G6&gt;0,Skills!H6/Skills!G6,1)+IF(Skills!G6&gt;0,MIN(Skills!H6,MAX(0,MAX(0,Inputs!$B$44-B1959)-((R1926-1)*(IF(Inputs!$B$39="pvp",15,MAX(0.1,Skills!D6-IF(Skills!E6=TRUE,Inputs!$B$33,0)))*(1-IF(AND(ArtifactsInput!$M$27,Inputs!$B$4="Chapter Hunt"),CHOOSE(ArtifactsInput!$N$27+1,20,24,28,32,36,40),0)/100)))))/Skills!G6,1)))/Inputs!$B$44),G1926*Q1926))*IF(Inputs!$B$39="pvp",1,1+(Inputs!$B$21+Skills!O6+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6*((R1926-1)*IF(Skills!G6&gt;0,Skills!H6/Skills!G6,1)+IF(Skills!G6&gt;0,MIN(Skills!H6,MAX(0,MAX(0,Inputs!$B$44-B1959)-((R1926-1)*(IF(Inputs!$B$39="pvp",15,MAX(0.1,Skills!D6-IF(Skills!E6=TRUE,Inputs!$B$33,0)))*(1-IF(AND(ArtifactsInput!$M$27,Inputs!$B$4="Chapter Hunt"),CHOOSE(ArtifactsInput!$N$27+1,20,24,28,32,36,40),0)/100)))))/Skills!G6,1)))/Inputs!$B$44),G1926*Q1926))*IF(Inputs!$B$39="pvp",1,(1+(Inputs!$B$22+Skills!P6+B1951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Skills!A7</f>
        <v/>
      </c>
      <c r="B1927">
        <f>Skills!B7</f>
        <v/>
      </c>
      <c r="C1927">
        <f>Inputs!$B$3&gt;=122</f>
        <v/>
      </c>
      <c r="D1927">
        <f>IF(Skills!C7=1,60+Inputs!$B$26+Inputs!$B$30,IF(Skills!C7=2,90+Inputs!$B$27+Inputs!$B$30,IF(Skills!C7=3,120+Inputs!$B$28+Inputs!$B$30,MAX(0,(Inputs!$B$3-100)*3)+Inputs!$B$29+Inputs!$B$30)))</f>
        <v/>
      </c>
      <c r="E1927">
        <f>INDEX(FactorTable!$B$2:$Y$301, MATCH(ROUND(MIN(300,MAX(1,D1927)),0), FactorTable!$A$2:$A$301,0), Skills!L7+1)</f>
        <v/>
      </c>
      <c r="F1927">
        <f>IF(Skills!M7=TRUE,(Skills!K7/10)*(E1927/1000),Skills!K7/10)+Skills!N7</f>
        <v/>
      </c>
      <c r="G1927">
        <f>Calc!G7</f>
        <v/>
      </c>
      <c r="H1927">
        <f>Calc!H7</f>
        <v/>
      </c>
      <c r="I1927">
        <f>IF(Skills!T7&lt;&gt;"",1+(Skills!T7/10)*($Z$3/1000)/100,1)</f>
        <v/>
      </c>
      <c r="J1927">
        <f>((Inputs!$B$6*(1+Inputs!$B$7/100))+(((Inputs!$B$13*(1+Inputs!$B$14/100))-(Inputs!$B$13*(1+Inputs!$B$14/100)))+0.25*(Inputs!$B$15-Inputs!$B$15))*(1+Inputs!$B$7/100))*(F1927/100)</f>
        <v/>
      </c>
      <c r="K1927">
        <f>J1927*(1+(((Inputs!$B$13+IF(Inputs!$B$3&gt;=35,(10*INDEX(FactorTable!$B$2:$Y$301,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7="TRIUMPH_FEATHER",IF(C1936=TRUE,F1936,0),0)/100)*(1+IF(C1947=TRUE,F1947,0)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1927)</f>
        <v/>
      </c>
      <c r="L1927">
        <f>K1927*(MIN(Inputs!$B$23+(F1942-Calc!F22),(Inputs!$B$24+IF(ArtifactsInput!$M$15,CHOOSE(ArtifactsInput!$N$15+1,25,30,35,40,45,50)/100*(Inputs!$B$12-Inputs!$B$12),0)))/100+(Inputs!$B$24+IF(ArtifactsInput!$M$15,CHOOSE(ArtifactsInput!$N$15+1,25,30,35,40,45,50)/100*(Inputs!$B$12-Inputs!$B$12),0))/100)/2</f>
        <v/>
      </c>
      <c r="M1927">
        <f>L1927*(1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7">
        <f>L1927*(1-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(1-Summary!$B$11)*S1927+Summary!$B$11*U1927</f>
        <v/>
      </c>
      <c r="P1927">
        <f>IF(B1962=0,0,O1927/B1962)</f>
        <v/>
      </c>
      <c r="Q1927">
        <f>IFERROR(1/(IF(Inputs!$B$39="pvp",15,MAX(0.1,Skills!D7-IF(Skills!E6=TRUE,Inputs!$B$33,0)))*(1-IF(AND(ArtifactsInput!$M$27,Inputs!$B$4="Chapter Hunt"),CHOOSE(ArtifactsInput!$N$27+1,20,24,28,32,36,40),0)/100)),0)</f>
        <v/>
      </c>
      <c r="R1927">
        <f>IF(AND(Inputs!$B$39&lt;&gt;"pvp",Inputs!$B$44&gt;0),IF(MAX(0,Inputs!$B$44-B1959)&lt;=0,0,(INT(MAX(0,Inputs!$B$44-B1959)/(IF(Inputs!$B$39="pvp",15,MAX(0.1,Skills!D7-IF(Skills!E6=TRUE,Inputs!$B$33,0)))*(1-IF(AND(ArtifactsInput!$M$27,Inputs!$B$4="Chapter Hunt"),CHOOSE(ArtifactsInput!$N$27+1,20,24,28,32,36,40),0)/100)))+1)),0)</f>
        <v/>
      </c>
      <c r="S1927">
        <f>IF(C1927,H1927*N1927*IF(AND(Inputs!$B$39&lt;&gt;"pvp",Inputs!$B$44&gt;0),((Skills!F7*((R1927-1)*IF(Skills!G7&gt;0,Skills!H7/Skills!G7,1)+IF(Skills!G7&gt;0,MIN(Skills!H7,MAX(0,MAX(0,Inputs!$B$44-B1959)-((R1927-1)*(IF(Inputs!$B$39="pvp",15,MAX(0.1,Skills!D7-IF(Skills!E6=TRUE,Inputs!$B$33,0)))*(1-IF(AND(ArtifactsInput!$M$27,Inputs!$B$4="Chapter Hunt"),CHOOSE(ArtifactsInput!$N$27+1,20,24,28,32,36,40),0)/100)))))/Skills!G7,1)))/Inputs!$B$44),G1927*Q1927)*IF(Inputs!$B$39="pvp",1,1+(Inputs!$B$21+Skills!O7+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1927*(1-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7" t="n">
        <v>0</v>
      </c>
    </row>
    <row r="1928">
      <c r="A1928">
        <f>Skills!A8</f>
        <v/>
      </c>
      <c r="B1928">
        <f>Skills!B8</f>
        <v/>
      </c>
      <c r="C1928">
        <f>Inputs!$B$3&gt;=105</f>
        <v/>
      </c>
      <c r="D1928">
        <f>IF(Skills!C8=1,60+Inputs!$B$26+Inputs!$B$30,IF(Skills!C8=2,90+Inputs!$B$27+Inputs!$B$30,IF(Skills!C8=3,120+Inputs!$B$28+Inputs!$B$30,MAX(0,(Inputs!$B$3-100)*3)+Inputs!$B$29+Inputs!$B$30)))</f>
        <v/>
      </c>
      <c r="E1928">
        <f>INDEX(FactorTable!$B$2:$Y$301, MATCH(ROUND(MIN(300,MAX(1,D1928)),0), FactorTable!$A$2:$A$301,0), Skills!L8+1)</f>
        <v/>
      </c>
      <c r="F1928">
        <f>IF(Skills!M8=TRUE,(Skills!K8/10)*(E1928/1000),Skills!K8/10)+Skills!N8</f>
        <v/>
      </c>
      <c r="G1928">
        <f>Calc!G8</f>
        <v/>
      </c>
      <c r="H1928">
        <f>Calc!H8</f>
        <v/>
      </c>
      <c r="I1928">
        <f>IF(Skills!T8&lt;&gt;"",1+(Skills!T8/10)*($Z$3/1000)/100,1)</f>
        <v/>
      </c>
      <c r="J1928">
        <f>((Inputs!$B$6*(1+Inputs!$B$7/100))+(((Inputs!$B$13*(1+Inputs!$B$14/100))-(Inputs!$B$13*(1+Inputs!$B$14/100)))+0.25*(Inputs!$B$15-Inputs!$B$15))*(1+Inputs!$B$7/100))*(F1928/100)</f>
        <v/>
      </c>
      <c r="K1928">
        <f>J1928*(1+(((Inputs!$B$13+IF(Inputs!$B$3&gt;=35,(10*INDEX(FactorTable!$B$2:$Y$301,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8="TRIUMPH_FEATHER",IF(C1936=TRUE,F1936,0),0)/100)*(1+IF(C1947=TRUE,F1947,0)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1928)</f>
        <v/>
      </c>
      <c r="L1928">
        <f>K1928*(MIN(Inputs!$B$23+(F1942-Calc!F22),(Inputs!$B$24+IF(ArtifactsInput!$M$15,CHOOSE(ArtifactsInput!$N$15+1,25,30,35,40,45,50)/100*(Inputs!$B$12-Inputs!$B$12),0)))/100+(Inputs!$B$24+IF(ArtifactsInput!$M$15,CHOOSE(ArtifactsInput!$N$15+1,25,30,35,40,45,50)/100*(Inputs!$B$12-Inputs!$B$12),0))/100)/2</f>
        <v/>
      </c>
      <c r="M1928">
        <f>L1928*(1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8">
        <f>L1928*(1-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(1-Summary!$B$11)*S1928+Summary!$B$11*U1928</f>
        <v/>
      </c>
      <c r="P1928">
        <f>IF(B1962=0,0,O1928/B1962)</f>
        <v/>
      </c>
      <c r="Q1928">
        <f>IFERROR(1/(IF(Inputs!$B$39="pvp",15,MAX(0.1,Skills!D8-IF(Skills!E8=TRUE,Inputs!$B$33,0)))*(1-IF(AND(ArtifactsInput!$M$27,Inputs!$B$4="Chapter Hunt"),CHOOSE(ArtifactsInput!$N$27+1,20,24,28,32,36,40),0)/100)),0)</f>
        <v/>
      </c>
      <c r="R1928">
        <f>IF(AND(Inputs!$B$39&lt;&gt;"pvp",Inputs!$B$44&gt;0),IF(MAX(0,Inputs!$B$44-B1959)&lt;=0,0,(INT(MAX(0,Inputs!$B$44-B1959)/(IF(Inputs!$B$39="pvp",15,MAX(0.1,Skills!D8-IF(Skills!E8=TRUE,Inputs!$B$33,0)))*(1-IF(AND(ArtifactsInput!$M$27,Inputs!$B$4="Chapter Hunt"),CHOOSE(ArtifactsInput!$N$27+1,20,24,28,32,36,40),0)/100)))+1)),0)</f>
        <v/>
      </c>
      <c r="S1928">
        <f>IF(C1928,(H1928*N1928*IF(AND(Inputs!$B$39&lt;&gt;"pvp",Inputs!$B$44&gt;0),((Skills!F8*((R1928-1)*IF(Skills!G8&gt;0,Skills!H8/Skills!G8,1)+IF(Skills!G8&gt;0,MIN(Skills!H8,MAX(0,MAX(0,Inputs!$B$44-B1959)-((R1928-1)*(IF(Inputs!$B$39="pvp",15,MAX(0.1,Skills!D8-IF(Skills!E8=TRUE,Inputs!$B$33,0)))*(1-IF(AND(ArtifactsInput!$M$27,Inputs!$B$4="Chapter Hunt"),CHOOSE(ArtifactsInput!$N$27+1,20,24,28,32,36,40),0)/100)))))/Skills!G8,1)))/Inputs!$B$44),G1928*Q1928))*IF(Inputs!$B$39="pvp",1,1+(Inputs!$B$21+Skills!O8+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1928*(1-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8">
        <f>IF(C1928,(H1928*N1928*IF(AND(Inputs!$B$39&lt;&gt;"pvp",Inputs!$B$44&gt;0),((Skills!F8*((R1928-1)*IF(Skills!G8&gt;0,Skills!H8/Skills!G8,1)+IF(Skills!G8&gt;0,MIN(Skills!H8,MAX(0,MAX(0,Inputs!$B$44-B1959)-((R1928-1)*(IF(Inputs!$B$39="pvp",15,MAX(0.1,Skills!D8-IF(Skills!E8=TRUE,Inputs!$B$33,0)))*(1-IF(AND(ArtifactsInput!$M$27,Inputs!$B$4="Chapter Hunt"),CHOOSE(ArtifactsInput!$N$27+1,20,24,28,32,36,40),0)/100)))))/Skills!G8,1)))/Inputs!$B$44),G1928*Q1928))*IF(Inputs!$B$39="pvp",1,(1+(Inputs!$B$22+Skills!P8+B1951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Skills!A9</f>
        <v/>
      </c>
      <c r="B1929">
        <f>Skills!B9</f>
        <v/>
      </c>
      <c r="C1929">
        <f>Inputs!$B$3&gt;=115</f>
        <v/>
      </c>
      <c r="D1929">
        <f>IF(Skills!C9=1,60+Inputs!$B$26+Inputs!$B$30,IF(Skills!C9=2,90+Inputs!$B$27+Inputs!$B$30,IF(Skills!C9=3,120+Inputs!$B$28+Inputs!$B$30,MAX(0,(Inputs!$B$3-100)*3)+Inputs!$B$29+Inputs!$B$30)))</f>
        <v/>
      </c>
      <c r="E1929">
        <f>INDEX(FactorTable!$B$2:$Y$301, MATCH(ROUND(MIN(300,MAX(1,D1929)),0), FactorTable!$A$2:$A$301,0), Skills!L9+1)</f>
        <v/>
      </c>
      <c r="F1929">
        <f>IF(Skills!M9=TRUE,(Skills!K9/10)*(E1929/1000),Skills!K9/10)+Skills!N9</f>
        <v/>
      </c>
      <c r="G1929">
        <f>Calc!G9</f>
        <v/>
      </c>
      <c r="H1929">
        <f>Calc!H9</f>
        <v/>
      </c>
      <c r="I1929">
        <f>IF(Skills!T9&lt;&gt;"",1+(Skills!T9/10)*($Z$3/1000)/100,1)</f>
        <v/>
      </c>
      <c r="J1929">
        <f>((Inputs!$B$6*(1+Inputs!$B$7/100))+(((Inputs!$B$13*(1+Inputs!$B$14/100))-(Inputs!$B$13*(1+Inputs!$B$14/100)))+0.25*(Inputs!$B$15-Inputs!$B$15))*(1+Inputs!$B$7/100))*(F1929/100)</f>
        <v/>
      </c>
      <c r="K1929">
        <f>J1929*(1+(((Inputs!$B$13+IF(Inputs!$B$3&gt;=35,(10*INDEX(FactorTable!$B$2:$Y$301,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9="TRIUMPH_FEATHER",IF(C1936=TRUE,F1936,0),0)/100)*(1+IF(C1947=TRUE,F1947,0)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1929)</f>
        <v/>
      </c>
      <c r="L1929">
        <f>K1929*(MIN(Inputs!$B$23+(F1942-Calc!F22),(Inputs!$B$24+IF(ArtifactsInput!$M$15,CHOOSE(ArtifactsInput!$N$15+1,25,30,35,40,45,50)/100*(Inputs!$B$12-Inputs!$B$12),0)))/100+(Inputs!$B$24+IF(ArtifactsInput!$M$15,CHOOSE(ArtifactsInput!$N$15+1,25,30,35,40,45,50)/100*(Inputs!$B$12-Inputs!$B$12),0))/100)/2</f>
        <v/>
      </c>
      <c r="M1929">
        <f>L1929*(1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9">
        <f>L1929*(1-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1929*(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9">
        <f>(1-Summary!$B$11)*S1929+Summary!$B$11*U1929</f>
        <v/>
      </c>
      <c r="P1929">
        <f>IF(B1962=0,0,O1929/B1962)</f>
        <v/>
      </c>
      <c r="Q1929">
        <f>IFERROR(1/(IF(Inputs!$B$39="pvp",15,MAX(0.1,Skills!D9-IF(Skills!E9=TRUE,Inputs!$B$33,0)))*(1-IF(AND(ArtifactsInput!$M$27,Inputs!$B$4="Chapter Hunt"),CHOOSE(ArtifactsInput!$N$27+1,20,24,28,32,36,40),0)/100)),0)</f>
        <v/>
      </c>
      <c r="R1929">
        <f>IF(AND(Inputs!$B$39&lt;&gt;"pvp",Inputs!$B$44&gt;0),IF(MAX(0,Inputs!$B$44-B1959)&lt;=0,0,(INT(MAX(0,Inputs!$B$44-B1959)/(IF(Inputs!$B$39="pvp",15,MAX(0.1,Skills!D9-IF(Skills!E9=TRUE,Inputs!$B$33,0)))*(1-IF(AND(ArtifactsInput!$M$27,Inputs!$B$4="Chapter Hunt"),CHOOSE(ArtifactsInput!$N$27+1,20,24,28,32,36,40),0)/100)))+1)),0)</f>
        <v/>
      </c>
      <c r="S1929">
        <f>IF(C1929,(H1929*N1929*IF(AND(Inputs!$B$39&lt;&gt;"pvp",Inputs!$B$44&gt;0),((Skills!F9*((R1929-1)*IF(Skills!G9&gt;0,Skills!H9/Skills!G9,1)+IF(Skills!G9&gt;0,MIN(Skills!H9,MAX(0,MAX(0,Inputs!$B$44-B1959)-((R1929-1)*(IF(Inputs!$B$39="pvp",15,MAX(0.1,Skills!D9-IF(Skills!E9=TRUE,Inputs!$B$33,0)))*(1-IF(AND(ArtifactsInput!$M$27,Inputs!$B$4="Chapter Hunt"),CHOOSE(ArtifactsInput!$N$27+1,20,24,28,32,36,40),0)/100)))))/Skills!G9,1)))/Inputs!$B$44),G1929*Q1929))*IF(Inputs!$B$39="pvp",1,1+(Inputs!$B$21+Skills!O9+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1929*(1-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1929*(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1929*(1-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1929*(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9">
        <f>IF(C1929,(H1929*N1929*IF(AND(Inputs!$B$39&lt;&gt;"pvp",Inputs!$B$44&gt;0),((Skills!F9*((R1929-1)*IF(Skills!G9&gt;0,Skills!H9/Skills!G9,1)+IF(Skills!G9&gt;0,MIN(Skills!H9,MAX(0,MAX(0,Inputs!$B$44-B1959)-((R1929-1)*(IF(Inputs!$B$39="pvp",15,MAX(0.1,Skills!D9-IF(Skills!E9=TRUE,Inputs!$B$33,0)))*(1-IF(AND(ArtifactsInput!$M$27,Inputs!$B$4="Chapter Hunt"),CHOOSE(ArtifactsInput!$N$27+1,20,24,28,32,36,40),0)/100)))))/Skills!G9,1)))/Inputs!$B$44),G1929*Q1929))*IF(Inputs!$B$39="pvp",1,(1+(Inputs!$B$22+Skills!P9+B1951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0">
      <c r="A1930">
        <f>Skills!A10</f>
        <v/>
      </c>
      <c r="B1930">
        <f>Skills!B10</f>
        <v/>
      </c>
      <c r="C1930">
        <f>Inputs!$B$3&gt;=66</f>
        <v/>
      </c>
      <c r="D1930">
        <f>IF(Skills!C10=1,60+Inputs!$B$26+Inputs!$B$30,IF(Skills!C10=2,90+Inputs!$B$27+Inputs!$B$30,IF(Skills!C10=3,120+Inputs!$B$28+Inputs!$B$30,MAX(0,(Inputs!$B$3-100)*3)+Inputs!$B$29+Inputs!$B$30)))</f>
        <v/>
      </c>
      <c r="E1930">
        <f>INDEX(FactorTable!$B$2:$Y$301, MATCH(ROUND(MIN(300,MAX(1,D1930)),0), FactorTable!$A$2:$A$301,0), Skills!L10+1)</f>
        <v/>
      </c>
      <c r="F1930" t="n">
        <v>0</v>
      </c>
      <c r="G1930">
        <f>Calc!G10</f>
        <v/>
      </c>
      <c r="H1930">
        <f>Calc!H10</f>
        <v/>
      </c>
      <c r="I1930">
        <f>IF(Skills!T10&lt;&gt;"",1+(Skills!T10/10)*($Z$3/1000)/100,1)</f>
        <v/>
      </c>
      <c r="J1930" t="inlineStr"/>
      <c r="K1930" t="inlineStr"/>
      <c r="L1930" t="inlineStr"/>
      <c r="M1930" t="inlineStr"/>
      <c r="N1930" t="inlineStr"/>
      <c r="O1930">
        <f>(1-Summary!$B$11)*S1930+Summary!$B$11*U1930</f>
        <v/>
      </c>
      <c r="P1930">
        <f>IF(B1962=0,0,O1930/B1962)</f>
        <v/>
      </c>
      <c r="Q1930">
        <f>IFERROR(1/(IF(Inputs!$B$39="pvp",15,MAX(0.1,Skills!D10-IF(Skills!E10=TRUE,Inputs!$B$33,0)))*(1-IF(AND(ArtifactsInput!$M$27,Inputs!$B$4="Chapter Hunt"),CHOOSE(ArtifactsInput!$N$27+1,20,24,28,32,36,40),0)/100)),0)</f>
        <v/>
      </c>
      <c r="R1930">
        <f>IF(AND(Inputs!$B$39&lt;&gt;"pvp",Inputs!$B$44&gt;0),IF(MAX(0,Inputs!$B$44-B1959)&lt;=0,0,(INT(MAX(0,Inputs!$B$44-B1959)/(IF(Inputs!$B$39="pvp",15,MAX(0.1,Skills!D10-IF(Skills!E10=TRUE,Inputs!$B$33,0)))*(1-IF(AND(ArtifactsInput!$M$27,Inputs!$B$4="Chapter Hunt"),CHOOSE(ArtifactsInput!$N$27+1,20,24,28,32,36,40),0)/100)))+1)),0)</f>
        <v/>
      </c>
      <c r="S1930" t="n">
        <v>0</v>
      </c>
      <c r="U1930" t="n">
        <v>0</v>
      </c>
    </row>
    <row r="1931">
      <c r="A1931">
        <f>Skills!A11</f>
        <v/>
      </c>
      <c r="B1931">
        <f>Skills!B11</f>
        <v/>
      </c>
      <c r="C1931">
        <f>Inputs!$B$3&gt;=69</f>
        <v/>
      </c>
      <c r="D1931">
        <f>IF(Skills!C11=1,60+Inputs!$B$26+Inputs!$B$30,IF(Skills!C11=2,90+Inputs!$B$27+Inputs!$B$30,IF(Skills!C11=3,120+Inputs!$B$28+Inputs!$B$30,MAX(0,(Inputs!$B$3-100)*3)+Inputs!$B$29+Inputs!$B$30)))</f>
        <v/>
      </c>
      <c r="E1931">
        <f>INDEX(FactorTable!$B$2:$Y$301, MATCH(ROUND(MIN(300,MAX(1,D1931)),0), FactorTable!$A$2:$A$301,0), Skills!L11+1)</f>
        <v/>
      </c>
      <c r="F1931">
        <f>IF(Skills!M11=TRUE,(Skills!K11/10)*(E1931/1000),Skills!K11/10)+Skills!N11</f>
        <v/>
      </c>
      <c r="G1931">
        <f>Calc!G11</f>
        <v/>
      </c>
      <c r="H1931">
        <f>Calc!H11</f>
        <v/>
      </c>
      <c r="I1931">
        <f>IF(Skills!T11&lt;&gt;"",1+(Skills!T11/10)*($Z$3/1000)/100,1)</f>
        <v/>
      </c>
      <c r="J1931" t="inlineStr"/>
      <c r="K1931" t="inlineStr"/>
      <c r="L1931" t="inlineStr"/>
      <c r="M1931" t="inlineStr"/>
      <c r="N1931" t="inlineStr"/>
      <c r="O1931">
        <f>(1-Summary!$B$11)*S1931+Summary!$B$11*U1931</f>
        <v/>
      </c>
      <c r="P1931">
        <f>IF(B1962=0,0,O1931/B1962)</f>
        <v/>
      </c>
      <c r="Q1931">
        <f>IFERROR(1/(IF(Inputs!$B$39="pvp",15,MAX(0.1,Skills!D11-IF(Skills!E11=TRUE,Inputs!$B$33,0)))*(1-IF(AND(ArtifactsInput!$M$27,Inputs!$B$4="Chapter Hunt"),CHOOSE(ArtifactsInput!$N$27+1,20,24,28,32,36,40),0)/100)),0)</f>
        <v/>
      </c>
      <c r="R1931">
        <f>IF(AND(Inputs!$B$39&lt;&gt;"pvp",Inputs!$B$44&gt;0),IF(Inputs!$B$44&lt;=0,0,(INT(Inputs!$B$44/(IF(Inputs!$B$39="pvp",15,MAX(0.1,Skills!D11-IF(Skills!E11=TRUE,Inputs!$B$33,0)))*(1-IF(AND(ArtifactsInput!$M$27,Inputs!$B$4="Chapter Hunt"),CHOOSE(ArtifactsInput!$N$27+1,20,24,28,32,36,40),0)/100)))+1)),0)</f>
        <v/>
      </c>
      <c r="S1931" t="n">
        <v>0</v>
      </c>
      <c r="U1931" t="n">
        <v>0</v>
      </c>
    </row>
    <row r="1932">
      <c r="A1932">
        <f>Skills!A12</f>
        <v/>
      </c>
      <c r="B1932">
        <f>Skills!B12</f>
        <v/>
      </c>
      <c r="C1932">
        <f>Inputs!$B$3&gt;=72</f>
        <v/>
      </c>
      <c r="D1932">
        <f>IF(Skills!C12=1,60+Inputs!$B$26+Inputs!$B$30,IF(Skills!C12=2,90+Inputs!$B$27+Inputs!$B$30,IF(Skills!C12=3,120+Inputs!$B$28+Inputs!$B$30,MAX(0,(Inputs!$B$3-100)*3)+Inputs!$B$29+Inputs!$B$30)))</f>
        <v/>
      </c>
      <c r="E1932">
        <f>INDEX(FactorTable!$B$2:$Y$301, MATCH(ROUND(MIN(300,MAX(1,D1932)),0), FactorTable!$A$2:$A$301,0), Skills!L12+1)</f>
        <v/>
      </c>
      <c r="F1932">
        <f>IF(Skills!M12=TRUE,(Skills!K12/10)*(E1932/1000),Skills!K12/10)+Skills!N12</f>
        <v/>
      </c>
      <c r="G1932">
        <f>Calc!G12</f>
        <v/>
      </c>
      <c r="H1932">
        <f>Calc!H12</f>
        <v/>
      </c>
      <c r="I1932">
        <f>IF(Skills!T12&lt;&gt;"",1+(Skills!T12/10)*($Z$3/1000)/100,1)</f>
        <v/>
      </c>
      <c r="J1932" t="inlineStr"/>
      <c r="K1932" t="inlineStr"/>
      <c r="L1932" t="inlineStr"/>
      <c r="M1932" t="inlineStr"/>
      <c r="N1932" t="inlineStr"/>
      <c r="O1932">
        <f>(1-Summary!$B$11)*S1932+Summary!$B$11*U1932</f>
        <v/>
      </c>
      <c r="P1932">
        <f>IF(B1962=0,0,O1932/B1962)</f>
        <v/>
      </c>
      <c r="Q1932">
        <f>IFERROR(1/(IF(Inputs!$B$39="pvp",15,MAX(0.1,Skills!D12-IF(Skills!E12=TRUE,Inputs!$B$33,0)))*(1-IF(AND(ArtifactsInput!$M$27,Inputs!$B$4="Chapter Hunt"),CHOOSE(ArtifactsInput!$N$27+1,20,24,28,32,36,40),0)/100)),0)</f>
        <v/>
      </c>
      <c r="R1932">
        <f>IF(AND(Inputs!$B$39&lt;&gt;"pvp",Inputs!$B$44&gt;0),IF(MAX(0,Inputs!$B$44-B1959)&lt;=0,0,(INT(MAX(0,Inputs!$B$44-B1959)/(IF(Inputs!$B$39="pvp",15,MAX(0.1,Skills!D12-IF(Skills!E12=TRUE,Inputs!$B$33,0)))*(1-IF(AND(ArtifactsInput!$M$27,Inputs!$B$4="Chapter Hunt"),CHOOSE(ArtifactsInput!$N$27+1,20,24,28,32,36,40),0)/100)))+1)),0)</f>
        <v/>
      </c>
      <c r="S1932" t="n">
        <v>0</v>
      </c>
      <c r="U1932" t="n">
        <v>0</v>
      </c>
    </row>
    <row r="1933">
      <c r="A1933">
        <f>Skills!A13</f>
        <v/>
      </c>
      <c r="B1933">
        <f>Skills!B13</f>
        <v/>
      </c>
      <c r="C1933">
        <f>Inputs!$B$3&gt;=60</f>
        <v/>
      </c>
      <c r="D1933">
        <f>IF(Skills!C13=1,60+Inputs!$B$26+Inputs!$B$30,IF(Skills!C13=2,90+Inputs!$B$27+Inputs!$B$30,IF(Skills!C13=3,120+Inputs!$B$28+Inputs!$B$30,MAX(0,(Inputs!$B$3-100)*3)+Inputs!$B$29+Inputs!$B$30)))</f>
        <v/>
      </c>
      <c r="E1933">
        <f>INDEX(FactorTable!$B$2:$Y$301, MATCH(ROUND(MIN(300,MAX(1,D1933)),0), FactorTable!$A$2:$A$301,0), Skills!L13+1)</f>
        <v/>
      </c>
      <c r="F1933">
        <f>IF(Skills!M13=TRUE,(Skills!K13/10)*(E1933/1000),Skills!K13/10)+Skills!N13</f>
        <v/>
      </c>
      <c r="G1933">
        <f>Calc!G13</f>
        <v/>
      </c>
      <c r="H1933">
        <f>Calc!H13</f>
        <v/>
      </c>
      <c r="I1933">
        <f>IF(Skills!T13&lt;&gt;"",1+(Skills!T13/10)*($Z$3/1000)/100,1)</f>
        <v/>
      </c>
      <c r="J1933" t="inlineStr"/>
      <c r="K1933" t="inlineStr"/>
      <c r="L1933" t="inlineStr"/>
      <c r="M1933" t="inlineStr"/>
      <c r="N1933" t="inlineStr"/>
      <c r="O1933">
        <f>(1-Summary!$B$11)*S1933+Summary!$B$11*U1933</f>
        <v/>
      </c>
      <c r="P1933">
        <f>IF(B1962=0,0,O1933/B1962)</f>
        <v/>
      </c>
      <c r="Q1933">
        <f>IFERROR(1/(IF(Inputs!$B$39="pvp",15,MAX(0.1,Skills!D13-IF(Skills!E13=TRUE,Inputs!$B$33,0)))*(1-IF(AND(ArtifactsInput!$M$27,Inputs!$B$4="Chapter Hunt"),CHOOSE(ArtifactsInput!$N$27+1,20,24,28,32,36,40),0)/100)),0)</f>
        <v/>
      </c>
      <c r="R1933">
        <f>IF(AND(Inputs!$B$39&lt;&gt;"pvp",Inputs!$B$44&gt;0),IF(MAX(0,Inputs!$B$44-B1959)&lt;=0,0,(INT(MAX(0,Inputs!$B$44-B1959)/(IF(Inputs!$B$39="pvp",15,MAX(0.1,Skills!D13-IF(Skills!E13=TRUE,Inputs!$B$33,0)))*(1-IF(AND(ArtifactsInput!$M$27,Inputs!$B$4="Chapter Hunt"),CHOOSE(ArtifactsInput!$N$27+1,20,24,28,32,36,40),0)/100)))+1)),0)</f>
        <v/>
      </c>
      <c r="S1933" t="n">
        <v>0</v>
      </c>
      <c r="U1933" t="n">
        <v>0</v>
      </c>
    </row>
    <row r="1934">
      <c r="A1934">
        <f>Skills!A14</f>
        <v/>
      </c>
      <c r="B1934">
        <f>Skills!B14</f>
        <v/>
      </c>
      <c r="C1934">
        <f>Inputs!$B$3&gt;=107</f>
        <v/>
      </c>
      <c r="D1934">
        <f>IF(Skills!C14=1,60+Inputs!$B$26+Inputs!$B$30,IF(Skills!C14=2,90+Inputs!$B$27+Inputs!$B$30,IF(Skills!C14=3,120+Inputs!$B$28+Inputs!$B$30,MAX(0,(Inputs!$B$3-100)*3)+Inputs!$B$29+Inputs!$B$30)))</f>
        <v/>
      </c>
      <c r="E1934">
        <f>INDEX(FactorTable!$B$2:$Y$301, MATCH(ROUND(MIN(300,MAX(1,D1934)),0), FactorTable!$A$2:$A$301,0), Skills!L14+1)</f>
        <v/>
      </c>
      <c r="F1934">
        <f>IF(Skills!M14=TRUE,(Skills!K14/10)*(E1934/1000),Skills!K14/10)+Skills!N14</f>
        <v/>
      </c>
      <c r="G1934">
        <f>Calc!G14</f>
        <v/>
      </c>
      <c r="H1934">
        <f>Calc!H14</f>
        <v/>
      </c>
      <c r="I1934">
        <f>IF(Skills!T14&lt;&gt;"",1+(Skills!T14/10)*($Z$3/1000)/100,1)</f>
        <v/>
      </c>
      <c r="J1934" t="inlineStr"/>
      <c r="K1934" t="inlineStr"/>
      <c r="L1934" t="inlineStr"/>
      <c r="M1934" t="inlineStr"/>
      <c r="N1934" t="inlineStr"/>
      <c r="O1934">
        <f>(1-Summary!$B$11)*S1934+Summary!$B$11*U1934</f>
        <v/>
      </c>
      <c r="P1934">
        <f>IF(B1962=0,0,O1934/B1962)</f>
        <v/>
      </c>
      <c r="Q1934">
        <f>IFERROR(1/(IF(Inputs!$B$39="pvp",15,MAX(0.1,Skills!D14-IF(Skills!E14=TRUE,Inputs!$B$33,0)))*(1-IF(AND(ArtifactsInput!$M$27,Inputs!$B$4="Chapter Hunt"),CHOOSE(ArtifactsInput!$N$27+1,20,24,28,32,36,40),0)/100)),0)</f>
        <v/>
      </c>
      <c r="R1934">
        <f>IF(AND(Inputs!$B$39&lt;&gt;"pvp",Inputs!$B$44&gt;0),IF(Inputs!$B$44&lt;=0,0,(INT(Inputs!$B$44/(IF(Inputs!$B$39="pvp",15,MAX(0.1,Skills!D14-IF(Skills!E14=TRUE,Inputs!$B$33,0)))*(1-IF(AND(ArtifactsInput!$M$27,Inputs!$B$4="Chapter Hunt"),CHOOSE(ArtifactsInput!$N$27+1,20,24,28,32,36,40),0)/100)))+1)),0)</f>
        <v/>
      </c>
      <c r="S1934" t="n">
        <v>0</v>
      </c>
      <c r="U1934" t="n">
        <v>0</v>
      </c>
    </row>
    <row r="1935">
      <c r="A1935">
        <f>Skills!A15</f>
        <v/>
      </c>
      <c r="B1935">
        <f>Skills!B15</f>
        <v/>
      </c>
      <c r="C1935">
        <f>Inputs!$B$3&gt;=63</f>
        <v/>
      </c>
      <c r="D1935">
        <f>IF(Skills!C15=1,60+Inputs!$B$26+Inputs!$B$30,IF(Skills!C15=2,90+Inputs!$B$27+Inputs!$B$30,IF(Skills!C15=3,120+Inputs!$B$28+Inputs!$B$30,MAX(0,(Inputs!$B$3-100)*3)+Inputs!$B$29+Inputs!$B$30)))</f>
        <v/>
      </c>
      <c r="E1935">
        <f>INDEX(FactorTable!$B$2:$Y$301, MATCH(ROUND(MIN(300,MAX(1,D1935)),0), FactorTable!$A$2:$A$301,0), Skills!L15+1)</f>
        <v/>
      </c>
      <c r="F1935">
        <f>IF(Skills!M15=TRUE,(Skills!K15/10)*(E1935/1000),Skills!K15/10)+Skills!N15</f>
        <v/>
      </c>
      <c r="G1935">
        <f>Calc!G15</f>
        <v/>
      </c>
      <c r="H1935">
        <f>Calc!H15</f>
        <v/>
      </c>
      <c r="I1935">
        <f>IF(Skills!T15&lt;&gt;"",1+(Skills!T15/10)*($Z$3/1000)/100,1)</f>
        <v/>
      </c>
      <c r="J1935">
        <f>((Inputs!$B$6*(1+Inputs!$B$7/100))+(((Inputs!$B$13*(1+Inputs!$B$14/100))-(Inputs!$B$13*(1+Inputs!$B$14/100)))+0.25*(Inputs!$B$15-Inputs!$B$15))*(1+Inputs!$B$7/100))*(F1935/100)</f>
        <v/>
      </c>
      <c r="K1935">
        <f>J1935*(1+(((Inputs!$B$13+IF(Inputs!$B$3&gt;=35,(10*INDEX(FactorTable!$B$2:$Y$301,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15="TRIUMPH_FEATHER",IF(C1936=TRUE,F1936,0),0)/100)*(1+IF(C1947=TRUE,F1947,0)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1935)</f>
        <v/>
      </c>
      <c r="L1935">
        <f>K1935*(MIN(Inputs!$B$23+(F1942-Calc!F22),(Inputs!$B$24+IF(ArtifactsInput!$M$15,CHOOSE(ArtifactsInput!$N$15+1,25,30,35,40,45,50)/100*(Inputs!$B$12-Inputs!$B$12),0)))/100+(Inputs!$B$24+IF(ArtifactsInput!$M$15,CHOOSE(ArtifactsInput!$N$15+1,25,30,35,40,45,50)/100*(Inputs!$B$12-Inputs!$B$12),0))/100)/2</f>
        <v/>
      </c>
      <c r="M1935">
        <f>L1935*(1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5">
        <f>L1935*(1-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1935*(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5">
        <f>(1-Summary!$B$11)*S1935+Summary!$B$11*U1935</f>
        <v/>
      </c>
      <c r="P1935">
        <f>IF(B1962=0,0,O1935/B1962)</f>
        <v/>
      </c>
      <c r="Q1935">
        <f>IFERROR(1/(IF(Inputs!$B$39="pvp",15,MAX(0.1,Skills!D15-IF(Skills!E15=TRUE,Inputs!$B$33,0)))*(1-IF(AND(ArtifactsInput!$M$27,Inputs!$B$4="Chapter Hunt"),CHOOSE(ArtifactsInput!$N$27+1,20,24,28,32,36,40),0)/100)),0)</f>
        <v/>
      </c>
      <c r="R1935" t="n">
        <v>0</v>
      </c>
      <c r="S1935">
        <f>IF(C1935,(Skills!F15*N1935*((IF(Inputs!$B$3&gt;=78,25,15)/100*B1955*10)/(1+IF(Inputs!$B$3&gt;=78,25,15)/100*B1955*10))*(Skills!I15/100*B1955)/(1+Skills!G15*Skills!I15/100*B1955))*IF(Inputs!$B$39="pvp",1,1+(Inputs!$B$21+Skills!O15+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1935*(1-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1935*(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1935*(1-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1935*(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5">
        <f>IF(C1935,(Skills!F15*N1935*((IF(Inputs!$B$3&gt;=78,25,15)/100*B1955*10)/(1+IF(Inputs!$B$3&gt;=78,25,15)/100*B1955*10))*(Skills!I15/100*B1955)/(1+Skills!G15*Skills!I15/100*B1955))*IF(Inputs!$B$39="pvp",1,(1+(Inputs!$B$22+Skills!P15+B1951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6">
      <c r="A1936">
        <f>Skills!A16</f>
        <v/>
      </c>
      <c r="B1936">
        <f>Skills!B16</f>
        <v/>
      </c>
      <c r="C1936">
        <f>Inputs!$B$3&gt;=100</f>
        <v/>
      </c>
      <c r="D1936">
        <f>IF(Skills!C16=1,60+Inputs!$B$26+Inputs!$B$30,IF(Skills!C16=2,90+Inputs!$B$27+Inputs!$B$30,IF(Skills!C16=3,120+Inputs!$B$28+Inputs!$B$30,MAX(0,(Inputs!$B$3-100)*3)+Inputs!$B$29+Inputs!$B$30)))</f>
        <v/>
      </c>
      <c r="E1936">
        <f>INDEX(FactorTable!$B$2:$Y$301, MATCH(ROUND(MIN(300,MAX(1,D1936)),0), FactorTable!$A$2:$A$301,0), Skills!L16+1)</f>
        <v/>
      </c>
      <c r="F1936">
        <f>IF(Skills!M16=TRUE,(Skills!K16/10)*(E1936/1000),Skills!K16/10)+Skills!N16</f>
        <v/>
      </c>
      <c r="G1936">
        <f>Calc!G16</f>
        <v/>
      </c>
      <c r="H1936">
        <f>Calc!H16</f>
        <v/>
      </c>
      <c r="I1936">
        <f>IF(Skills!T16&lt;&gt;"",1+(Skills!T16/10)*($Z$3/1000)/100,1)</f>
        <v/>
      </c>
      <c r="J1936" t="inlineStr"/>
      <c r="K1936" t="inlineStr"/>
      <c r="L1936" t="inlineStr"/>
      <c r="M1936" t="inlineStr"/>
      <c r="N1936" t="inlineStr"/>
      <c r="O1936">
        <f>(1-Summary!$B$11)*S1936+Summary!$B$11*U1936</f>
        <v/>
      </c>
      <c r="P1936">
        <f>IF(B1962=0,0,O1936/B1962)</f>
        <v/>
      </c>
      <c r="Q1936">
        <f>IFERROR(1/(IF(Inputs!$B$39="pvp",15,MAX(0.1,Skills!D16-IF(Skills!E16=TRUE,Inputs!$B$33,0)))*(1-IF(AND(ArtifactsInput!$M$27,Inputs!$B$4="Chapter Hunt"),CHOOSE(ArtifactsInput!$N$27+1,20,24,28,32,36,40),0)/100)),0)</f>
        <v/>
      </c>
      <c r="R1936" t="n">
        <v>0</v>
      </c>
      <c r="S1936" t="n">
        <v>0</v>
      </c>
      <c r="U1936" t="n">
        <v>0</v>
      </c>
    </row>
    <row r="1937">
      <c r="A1937">
        <f>Skills!A17</f>
        <v/>
      </c>
      <c r="B1937">
        <f>Skills!B17</f>
        <v/>
      </c>
      <c r="C1937">
        <f>Inputs!$B$3&gt;=49</f>
        <v/>
      </c>
      <c r="D1937">
        <f>IF(Skills!C17=1,60+Inputs!$B$26+Inputs!$B$30,IF(Skills!C17=2,90+Inputs!$B$27+Inputs!$B$30,IF(Skills!C17=3,120+Inputs!$B$28+Inputs!$B$30,MAX(0,(Inputs!$B$3-100)*3)+Inputs!$B$29+Inputs!$B$30)))</f>
        <v/>
      </c>
      <c r="E1937">
        <f>INDEX(FactorTable!$B$2:$Y$301, MATCH(ROUND(MIN(300,MAX(1,D1937)),0), FactorTable!$A$2:$A$301,0), Skills!L17+1)</f>
        <v/>
      </c>
      <c r="F1937">
        <f>IF(Skills!M17=TRUE,(Skills!K17/10)*(E1937/1000),Skills!K17/10)+Skills!N17</f>
        <v/>
      </c>
      <c r="G1937">
        <f>Calc!G17</f>
        <v/>
      </c>
      <c r="H1937">
        <f>Calc!H17</f>
        <v/>
      </c>
      <c r="I1937">
        <f>IF(Skills!T17&lt;&gt;"",1+(Skills!T17/10)*($Z$3/1000)/100,1)</f>
        <v/>
      </c>
      <c r="J1937" t="inlineStr"/>
      <c r="K1937" t="inlineStr"/>
      <c r="L1937" t="inlineStr"/>
      <c r="M1937" t="inlineStr"/>
      <c r="N1937" t="inlineStr"/>
      <c r="O1937">
        <f>(1-Summary!$B$11)*S1937+Summary!$B$11*U1937</f>
        <v/>
      </c>
      <c r="P1937">
        <f>IF(B1962=0,0,O1937/B1962)</f>
        <v/>
      </c>
      <c r="Q1937">
        <f>IFERROR(1/(IF(Inputs!$B$39="pvp",15,MAX(0.1,Skills!D17-IF(Skills!E17=TRUE,Inputs!$B$33,0)))*(1-IF(AND(ArtifactsInput!$M$27,Inputs!$B$4="Chapter Hunt"),CHOOSE(ArtifactsInput!$N$27+1,20,24,28,32,36,40),0)/100)),0)</f>
        <v/>
      </c>
      <c r="R1937" t="n">
        <v>0</v>
      </c>
      <c r="S1937" t="n">
        <v>0</v>
      </c>
      <c r="U1937" t="n">
        <v>0</v>
      </c>
    </row>
    <row r="1938">
      <c r="A1938">
        <f>Skills!A18</f>
        <v/>
      </c>
      <c r="B1938">
        <f>Skills!B18</f>
        <v/>
      </c>
      <c r="C1938">
        <f>Inputs!$B$3&gt;=75</f>
        <v/>
      </c>
      <c r="D1938">
        <f>IF(Skills!C18=1,60+Inputs!$B$26+Inputs!$B$30,IF(Skills!C18=2,90+Inputs!$B$27+Inputs!$B$30,IF(Skills!C18=3,120+Inputs!$B$28+Inputs!$B$30,MAX(0,(Inputs!$B$3-100)*3)+Inputs!$B$29+Inputs!$B$30)))</f>
        <v/>
      </c>
      <c r="E1938">
        <f>INDEX(FactorTable!$B$2:$Y$301, MATCH(ROUND(MIN(300,MAX(1,D1938)),0), FactorTable!$A$2:$A$301,0), Skills!L18+1)</f>
        <v/>
      </c>
      <c r="F1938">
        <f>IF(Skills!M18=TRUE,(Skills!K18/10)*(E1938/1000),Skills!K18/10)+Skills!N18</f>
        <v/>
      </c>
      <c r="G1938">
        <f>Calc!G18</f>
        <v/>
      </c>
      <c r="H1938">
        <f>Calc!H18</f>
        <v/>
      </c>
      <c r="I1938">
        <f>IF(Skills!T18&lt;&gt;"",1+(Skills!T18/10)*($Z$3/1000)/100,1)</f>
        <v/>
      </c>
      <c r="J1938" t="inlineStr"/>
      <c r="K1938" t="inlineStr"/>
      <c r="L1938" t="inlineStr"/>
      <c r="M1938" t="inlineStr"/>
      <c r="N1938" t="inlineStr"/>
      <c r="O1938">
        <f>(1-Summary!$B$11)*S1938+Summary!$B$11*U1938</f>
        <v/>
      </c>
      <c r="P1938">
        <f>IF(B1962=0,0,O1938/B1962)</f>
        <v/>
      </c>
      <c r="Q1938">
        <f>IFERROR(1/(IF(Inputs!$B$39="pvp",15,MAX(0.1,Skills!D18-IF(Skills!E18=TRUE,Inputs!$B$33,0)))*(1-IF(AND(ArtifactsInput!$M$27,Inputs!$B$4="Chapter Hunt"),CHOOSE(ArtifactsInput!$N$27+1,20,24,28,32,36,40),0)/100)),0)</f>
        <v/>
      </c>
      <c r="R1938" t="n">
        <v>0</v>
      </c>
      <c r="S1938" t="n">
        <v>0</v>
      </c>
      <c r="U1938" t="n">
        <v>0</v>
      </c>
    </row>
    <row r="1939">
      <c r="A1939">
        <f>Skills!A19</f>
        <v/>
      </c>
      <c r="B1939">
        <f>Skills!B19</f>
        <v/>
      </c>
      <c r="C1939">
        <f>Inputs!$B$3&gt;=110</f>
        <v/>
      </c>
      <c r="D1939">
        <f>IF(Skills!C19=1,60+Inputs!$B$26+Inputs!$B$30,IF(Skills!C19=2,90+Inputs!$B$27+Inputs!$B$30,IF(Skills!C19=3,120+Inputs!$B$28+Inputs!$B$30,MAX(0,(Inputs!$B$3-100)*3)+Inputs!$B$29+Inputs!$B$30)))</f>
        <v/>
      </c>
      <c r="E1939">
        <f>INDEX(FactorTable!$B$2:$Y$301, MATCH(ROUND(MIN(300,MAX(1,D1939)),0), FactorTable!$A$2:$A$301,0), Skills!L19+1)</f>
        <v/>
      </c>
      <c r="F1939">
        <f>(Skills!K19/10)*(E1939/1000)*64/45+Skills!N19</f>
        <v/>
      </c>
      <c r="G1939">
        <f>Calc!G19</f>
        <v/>
      </c>
      <c r="H1939">
        <f>Calc!H19</f>
        <v/>
      </c>
      <c r="I1939">
        <f>IF(Skills!T19&lt;&gt;"",1+(Skills!T19/10)*($Z$3/1000)/100,1)</f>
        <v/>
      </c>
      <c r="J1939" t="inlineStr"/>
      <c r="K1939" t="inlineStr"/>
      <c r="L1939" t="inlineStr"/>
      <c r="M1939" t="inlineStr"/>
      <c r="N1939" t="inlineStr"/>
      <c r="O1939">
        <f>(1-Summary!$B$11)*S1939+Summary!$B$11*U1939</f>
        <v/>
      </c>
      <c r="P1939">
        <f>IF(B1962=0,0,O1939/B1962)</f>
        <v/>
      </c>
      <c r="Q1939">
        <f>IFERROR(1/(IF(Inputs!$B$39="pvp",15,MAX(0.1,Skills!D19-IF(Skills!E19=TRUE,Inputs!$B$33,0)))*(1-IF(AND(ArtifactsInput!$M$27,Inputs!$B$4="Chapter Hunt"),CHOOSE(ArtifactsInput!$N$27+1,20,24,28,32,36,40),0)/100)),0)</f>
        <v/>
      </c>
      <c r="R1939">
        <f>IF(AND(Inputs!$B$39&lt;&gt;"pvp",Inputs!$B$44&gt;0),IF(Inputs!$B$44&lt;=0,0,(INT(Inputs!$B$44/(IF(Inputs!$B$39="pvp",15,MAX(0.1,Skills!D19-IF(Skills!E19=TRUE,Inputs!$B$33,0)))*(1-IF(AND(ArtifactsInput!$M$27,Inputs!$B$4="Chapter Hunt"),CHOOSE(ArtifactsInput!$N$27+1,20,24,28,32,36,40),0)/100)))+1)),0)</f>
        <v/>
      </c>
      <c r="S1939" t="n">
        <v>0</v>
      </c>
      <c r="U1939" t="n">
        <v>0</v>
      </c>
    </row>
    <row r="1940">
      <c r="A1940">
        <f>Skills!A20</f>
        <v/>
      </c>
      <c r="B1940">
        <f>Skills!B20</f>
        <v/>
      </c>
      <c r="C1940">
        <f>Inputs!$B$3&gt;=125</f>
        <v/>
      </c>
      <c r="D1940">
        <f>IF(Skills!C20=1,60+Inputs!$B$26+Inputs!$B$30,IF(Skills!C20=2,90+Inputs!$B$27+Inputs!$B$30,IF(Skills!C20=3,120+Inputs!$B$28+Inputs!$B$30,MAX(0,(Inputs!$B$3-100)*3)+Inputs!$B$29+Inputs!$B$30)))</f>
        <v/>
      </c>
      <c r="E1940">
        <f>INDEX(FactorTable!$B$2:$Y$301, MATCH(ROUND(MIN(300,MAX(1,D1940)),0), FactorTable!$A$2:$A$301,0), Skills!L20+1)</f>
        <v/>
      </c>
      <c r="F1940">
        <f>IF(Skills!M20=TRUE,(Skills!K20/10)*(E1940/1000),Skills!K20/10)+Skills!N20</f>
        <v/>
      </c>
      <c r="G1940">
        <f>Calc!G20</f>
        <v/>
      </c>
      <c r="H1940">
        <f>Calc!H20</f>
        <v/>
      </c>
      <c r="I1940">
        <f>IF(Skills!T20&lt;&gt;"",1+(Skills!T20/10)*($Z$3/1000)/100,1)</f>
        <v/>
      </c>
      <c r="J1940" t="inlineStr"/>
      <c r="K1940" t="inlineStr"/>
      <c r="L1940" t="inlineStr"/>
      <c r="M1940" t="inlineStr"/>
      <c r="N1940" t="inlineStr"/>
      <c r="O1940">
        <f>(1-Summary!$B$11)*S1940+Summary!$B$11*U1940</f>
        <v/>
      </c>
      <c r="P1940">
        <f>IF(B1962=0,0,O1940/B1962)</f>
        <v/>
      </c>
      <c r="Q1940">
        <f>IFERROR(1/(IF(Inputs!$B$39="pvp",15,MAX(0.1,Skills!D20-IF(Skills!E20=TRUE,Inputs!$B$33,0)))*(1-IF(AND(ArtifactsInput!$M$27,Inputs!$B$4="Chapter Hunt"),CHOOSE(ArtifactsInput!$N$27+1,20,24,28,32,36,40),0)/100)),0)</f>
        <v/>
      </c>
      <c r="R1940" t="n">
        <v>0</v>
      </c>
      <c r="S1940" t="n">
        <v>0</v>
      </c>
      <c r="U1940" t="n">
        <v>0</v>
      </c>
    </row>
    <row r="1941">
      <c r="A1941">
        <f>Skills!A21</f>
        <v/>
      </c>
      <c r="B1941">
        <f>Skills!B21</f>
        <v/>
      </c>
      <c r="C1941">
        <f>Inputs!$B$3&gt;=33</f>
        <v/>
      </c>
      <c r="D1941">
        <f>IF(Skills!C21=1,60+Inputs!$B$26+Inputs!$B$30,IF(Skills!C21=2,90+Inputs!$B$27+Inputs!$B$30,IF(Skills!C21=3,120+Inputs!$B$28+Inputs!$B$30,MAX(0,(Inputs!$B$3-100)*3)+Inputs!$B$29+Inputs!$B$30)))</f>
        <v/>
      </c>
      <c r="E1941">
        <f>INDEX(FactorTable!$B$2:$Y$301, MATCH(ROUND(MIN(300,MAX(1,D1941)),0), FactorTable!$A$2:$A$301,0), Skills!L21+1)</f>
        <v/>
      </c>
      <c r="F1941">
        <f>IF(Skills!M21=TRUE,(Skills!K21/10)*(E1941/1000),Skills!K21/10)+Skills!N21</f>
        <v/>
      </c>
      <c r="G1941">
        <f>Calc!G21</f>
        <v/>
      </c>
      <c r="H1941">
        <f>Calc!H21</f>
        <v/>
      </c>
      <c r="I1941">
        <f>IF(Skills!T21&lt;&gt;"",1+(Skills!T21/10)*($Z$3/1000)/100,1)</f>
        <v/>
      </c>
      <c r="J1941" t="inlineStr"/>
      <c r="K1941" t="inlineStr"/>
      <c r="L1941" t="inlineStr"/>
      <c r="M1941" t="inlineStr"/>
      <c r="N1941" t="inlineStr"/>
      <c r="O1941">
        <f>(1-Summary!$B$11)*S1941+Summary!$B$11*U1941</f>
        <v/>
      </c>
      <c r="P1941">
        <f>IF(B1962=0,0,O1941/B1962)</f>
        <v/>
      </c>
      <c r="Q1941">
        <f>IFERROR(1/(IF(Inputs!$B$39="pvp",15,MAX(0.1,Skills!D21-IF(Skills!E21=TRUE,Inputs!$B$33,0)))*(1-IF(AND(ArtifactsInput!$M$27,Inputs!$B$4="Chapter Hunt"),CHOOSE(ArtifactsInput!$N$27+1,20,24,28,32,36,40),0)/100)),0)</f>
        <v/>
      </c>
      <c r="R1941" t="n">
        <v>0</v>
      </c>
      <c r="S1941" t="n">
        <v>0</v>
      </c>
      <c r="U1941" t="n">
        <v>0</v>
      </c>
    </row>
    <row r="1942">
      <c r="A1942">
        <f>Skills!A22</f>
        <v/>
      </c>
      <c r="B1942">
        <f>Skills!B22</f>
        <v/>
      </c>
      <c r="C1942">
        <f>Inputs!$B$3&gt;=43</f>
        <v/>
      </c>
      <c r="D1942">
        <f>IF(Skills!C22=1,60+Inputs!$B$26+Inputs!$B$30,IF(Skills!C22=2,90+Inputs!$B$27+Inputs!$B$30,IF(Skills!C22=3,120+Inputs!$B$28+Inputs!$B$30,MAX(0,(Inputs!$B$3-100)*3)+Inputs!$B$29+Inputs!$B$30)))</f>
        <v/>
      </c>
      <c r="E1942">
        <f>INDEX(FactorTable!$B$2:$Y$301, MATCH(ROUND(MIN(300,MAX(1,D1942)),0), FactorTable!$A$2:$A$301,0), Skills!L22+1)</f>
        <v/>
      </c>
      <c r="F1942">
        <f>IF(Skills!M22=TRUE,(Skills!K22/10)*(E1942/1000),Skills!K22/10)+Skills!N22</f>
        <v/>
      </c>
      <c r="G1942">
        <f>Calc!G22</f>
        <v/>
      </c>
      <c r="H1942">
        <f>Calc!H22</f>
        <v/>
      </c>
      <c r="I1942">
        <f>IF(Skills!T22&lt;&gt;"",1+(Skills!T22/10)*($Z$3/1000)/100,1)</f>
        <v/>
      </c>
      <c r="J1942" t="inlineStr"/>
      <c r="K1942" t="inlineStr"/>
      <c r="L1942" t="inlineStr"/>
      <c r="M1942" t="inlineStr"/>
      <c r="N1942" t="inlineStr"/>
      <c r="O1942">
        <f>(1-Summary!$B$11)*S1942+Summary!$B$11*U1942</f>
        <v/>
      </c>
      <c r="P1942">
        <f>IF(B1962=0,0,O1942/B1962)</f>
        <v/>
      </c>
      <c r="Q1942">
        <f>IFERROR(1/(IF(Inputs!$B$39="pvp",15,MAX(0.1,Skills!D22-IF(Skills!E22=TRUE,Inputs!$B$33,0)))*(1-IF(AND(ArtifactsInput!$M$27,Inputs!$B$4="Chapter Hunt"),CHOOSE(ArtifactsInput!$N$27+1,20,24,28,32,36,40),0)/100)),0)</f>
        <v/>
      </c>
      <c r="R1942" t="n">
        <v>0</v>
      </c>
      <c r="S1942" t="n">
        <v>0</v>
      </c>
      <c r="U1942" t="n">
        <v>0</v>
      </c>
    </row>
    <row r="1943">
      <c r="A1943">
        <f>Skills!A23</f>
        <v/>
      </c>
      <c r="B1943">
        <f>Skills!B23</f>
        <v/>
      </c>
      <c r="C1943">
        <f>Inputs!$B$3&gt;=50</f>
        <v/>
      </c>
      <c r="D1943">
        <f>IF(Skills!C23=1,60+Inputs!$B$26+Inputs!$B$30,IF(Skills!C23=2,90+Inputs!$B$27+Inputs!$B$30,IF(Skills!C23=3,120+Inputs!$B$28+Inputs!$B$30,MAX(0,(Inputs!$B$3-100)*3)+Inputs!$B$29+Inputs!$B$30)))</f>
        <v/>
      </c>
      <c r="E1943">
        <f>INDEX(FactorTable!$B$2:$Y$301, MATCH(ROUND(MIN(300,MAX(1,D1943)),0), FactorTable!$A$2:$A$301,0), Skills!L23+1)</f>
        <v/>
      </c>
      <c r="F1943">
        <f>IF(Skills!M23=TRUE,(Skills!K23/10)*(E1943/1000),Skills!K23/10)+Skills!N23</f>
        <v/>
      </c>
      <c r="G1943">
        <f>Calc!G23</f>
        <v/>
      </c>
      <c r="H1943">
        <f>Calc!H23</f>
        <v/>
      </c>
      <c r="I1943">
        <f>IF(Skills!T23&lt;&gt;"",1+(Skills!T23/10)*($Z$3/1000)/100,1)</f>
        <v/>
      </c>
      <c r="J1943" t="inlineStr"/>
      <c r="K1943" t="inlineStr"/>
      <c r="L1943" t="inlineStr"/>
      <c r="M1943" t="inlineStr"/>
      <c r="N1943" t="inlineStr"/>
      <c r="O1943">
        <f>(1-Summary!$B$11)*S1943+Summary!$B$11*U1943</f>
        <v/>
      </c>
      <c r="P1943">
        <f>IF(B1962=0,0,O1943/B1962)</f>
        <v/>
      </c>
      <c r="Q1943">
        <f>IFERROR(1/(IF(Inputs!$B$39="pvp",15,MAX(0.1,Skills!D23-IF(Skills!E23=TRUE,Inputs!$B$33,0)))*(1-IF(AND(ArtifactsInput!$M$27,Inputs!$B$4="Chapter Hunt"),CHOOSE(ArtifactsInput!$N$27+1,20,24,28,32,36,40),0)/100)),0)</f>
        <v/>
      </c>
      <c r="R1943" t="n">
        <v>0</v>
      </c>
      <c r="S1943" t="n">
        <v>0</v>
      </c>
      <c r="U1943" t="n">
        <v>0</v>
      </c>
    </row>
    <row r="1944">
      <c r="A1944">
        <f>Skills!A24</f>
        <v/>
      </c>
      <c r="B1944">
        <f>Skills!B24</f>
        <v/>
      </c>
      <c r="C1944">
        <f>Inputs!$B$3&gt;=74</f>
        <v/>
      </c>
      <c r="D1944">
        <f>IF(Skills!C24=1,60+Inputs!$B$26+Inputs!$B$30,IF(Skills!C24=2,90+Inputs!$B$27+Inputs!$B$30,IF(Skills!C24=3,120+Inputs!$B$28+Inputs!$B$30,MAX(0,(Inputs!$B$3-100)*3)+Inputs!$B$29+Inputs!$B$30)))</f>
        <v/>
      </c>
      <c r="E1944">
        <f>INDEX(FactorTable!$B$2:$Y$301, MATCH(ROUND(MIN(300,MAX(1,D1944)),0), FactorTable!$A$2:$A$301,0), Skills!L24+1)</f>
        <v/>
      </c>
      <c r="F1944">
        <f>IF(Skills!M24=TRUE,(Skills!K24/10)*(E1944/1000),Skills!K24/10)+Skills!N24</f>
        <v/>
      </c>
      <c r="G1944">
        <f>Calc!G24</f>
        <v/>
      </c>
      <c r="H1944">
        <f>Calc!H24</f>
        <v/>
      </c>
      <c r="I1944">
        <f>IF(Skills!T24&lt;&gt;"",1+(Skills!T24/10)*($Z$3/1000)/100,1)</f>
        <v/>
      </c>
      <c r="J1944" t="inlineStr"/>
      <c r="K1944" t="inlineStr"/>
      <c r="L1944" t="inlineStr"/>
      <c r="M1944" t="inlineStr"/>
      <c r="N1944" t="inlineStr"/>
      <c r="O1944">
        <f>(1-Summary!$B$11)*S1944+Summary!$B$11*U1944</f>
        <v/>
      </c>
      <c r="P1944">
        <f>IF(B1962=0,0,O1944/B1962)</f>
        <v/>
      </c>
      <c r="Q1944">
        <f>IFERROR(1/(IF(Inputs!$B$39="pvp",15,MAX(0.1,Skills!D24-IF(Skills!E24=TRUE,Inputs!$B$33,0)))*(1-IF(AND(ArtifactsInput!$M$27,Inputs!$B$4="Chapter Hunt"),CHOOSE(ArtifactsInput!$N$27+1,20,24,28,32,36,40),0)/100)),0)</f>
        <v/>
      </c>
      <c r="R1944" t="n">
        <v>0</v>
      </c>
      <c r="S1944" t="n">
        <v>0</v>
      </c>
      <c r="U1944" t="n">
        <v>0</v>
      </c>
    </row>
    <row r="1945">
      <c r="A1945">
        <f>Skills!A25</f>
        <v/>
      </c>
      <c r="B1945">
        <f>Skills!B25</f>
        <v/>
      </c>
      <c r="C1945">
        <f>Inputs!$B$3&gt;=74</f>
        <v/>
      </c>
      <c r="D1945">
        <f>IF(Skills!C25=1,60+Inputs!$B$26+Inputs!$B$30,IF(Skills!C25=2,90+Inputs!$B$27+Inputs!$B$30,IF(Skills!C25=3,120+Inputs!$B$28+Inputs!$B$30,MAX(0,(Inputs!$B$3-100)*3)+Inputs!$B$29+Inputs!$B$30)))</f>
        <v/>
      </c>
      <c r="E1945">
        <f>INDEX(FactorTable!$B$2:$Y$301, MATCH(ROUND(MIN(300,MAX(1,D1945)),0), FactorTable!$A$2:$A$301,0), Skills!L25+1)</f>
        <v/>
      </c>
      <c r="F1945">
        <f>IF(Skills!M25=TRUE,(Skills!K25/10)*(E1945/1000),Skills!K25/10)+Skills!N25</f>
        <v/>
      </c>
      <c r="G1945">
        <f>Calc!G25</f>
        <v/>
      </c>
      <c r="H1945">
        <f>Calc!H25</f>
        <v/>
      </c>
      <c r="I1945">
        <f>IF(Skills!T25&lt;&gt;"",1+(Skills!T25/10)*($Z$3/1000)/100,1)</f>
        <v/>
      </c>
      <c r="J1945" t="inlineStr"/>
      <c r="K1945" t="inlineStr"/>
      <c r="L1945" t="inlineStr"/>
      <c r="M1945" t="inlineStr"/>
      <c r="N1945" t="inlineStr"/>
      <c r="O1945">
        <f>(1-Summary!$B$11)*S1945+Summary!$B$11*U1945</f>
        <v/>
      </c>
      <c r="P1945">
        <f>IF(B1962=0,0,O1945/B1962)</f>
        <v/>
      </c>
      <c r="Q1945">
        <f>IFERROR(1/(IF(Inputs!$B$39="pvp",15,MAX(0.1,Skills!D25-IF(Skills!E25=TRUE,Inputs!$B$33,0)))*(1-IF(AND(ArtifactsInput!$M$27,Inputs!$B$4="Chapter Hunt"),CHOOSE(ArtifactsInput!$N$27+1,20,24,28,32,36,40),0)/100)),0)</f>
        <v/>
      </c>
      <c r="R1945" t="n">
        <v>0</v>
      </c>
      <c r="S1945" t="n">
        <v>0</v>
      </c>
      <c r="U1945" t="n">
        <v>0</v>
      </c>
    </row>
    <row r="1946">
      <c r="A1946">
        <f>Skills!A26</f>
        <v/>
      </c>
      <c r="B1946">
        <f>Skills!B26</f>
        <v/>
      </c>
      <c r="C1946">
        <f>Inputs!$B$3&gt;=117</f>
        <v/>
      </c>
      <c r="D1946">
        <f>IF(Skills!C26=1,60+Inputs!$B$26+Inputs!$B$30,IF(Skills!C26=2,90+Inputs!$B$27+Inputs!$B$30,IF(Skills!C26=3,120+Inputs!$B$28+Inputs!$B$30,MAX(0,(Inputs!$B$3-100)*3)+Inputs!$B$29+Inputs!$B$30)))</f>
        <v/>
      </c>
      <c r="E1946">
        <f>INDEX(FactorTable!$B$2:$Y$301, MATCH(ROUND(MIN(300,MAX(1,D1946)),0), FactorTable!$A$2:$A$301,0), Skills!L26+1)</f>
        <v/>
      </c>
      <c r="F1946">
        <f>IF(Skills!M26=TRUE,(Skills!K26/10)*(E1946/1000),Skills!K26/10)+Skills!N26</f>
        <v/>
      </c>
      <c r="G1946">
        <f>Calc!G26</f>
        <v/>
      </c>
      <c r="H1946">
        <f>Calc!H26</f>
        <v/>
      </c>
      <c r="I1946">
        <f>IF(Skills!T26&lt;&gt;"",1+(Skills!T26/10)*($Z$3/1000)/100,1)</f>
        <v/>
      </c>
      <c r="J1946" t="inlineStr"/>
      <c r="K1946" t="inlineStr"/>
      <c r="L1946" t="inlineStr"/>
      <c r="M1946" t="inlineStr"/>
      <c r="N1946" t="inlineStr"/>
      <c r="O1946">
        <f>(1-Summary!$B$11)*S1946+Summary!$B$11*U1946</f>
        <v/>
      </c>
      <c r="P1946">
        <f>IF(B1962=0,0,O1946/B1962)</f>
        <v/>
      </c>
      <c r="Q1946">
        <f>IFERROR(1/(IF(Inputs!$B$39="pvp",15,MAX(0.1,Skills!D26-IF(Skills!E26=TRUE,Inputs!$B$33,0)))*(1-IF(AND(ArtifactsInput!$M$27,Inputs!$B$4="Chapter Hunt"),CHOOSE(ArtifactsInput!$N$27+1,20,24,28,32,36,40),0)/100)),0)</f>
        <v/>
      </c>
      <c r="R1946" t="n">
        <v>0</v>
      </c>
      <c r="S1946" t="n">
        <v>0</v>
      </c>
      <c r="U1946" t="n">
        <v>0</v>
      </c>
    </row>
    <row r="1947">
      <c r="A1947">
        <f>Skills!A27</f>
        <v/>
      </c>
      <c r="B1947">
        <f>Skills!B27</f>
        <v/>
      </c>
      <c r="C1947">
        <f>Inputs!$B$3&gt;=120</f>
        <v/>
      </c>
      <c r="D1947">
        <f>IF(Skills!C27=1,60+Inputs!$B$26+Inputs!$B$30,IF(Skills!C27=2,90+Inputs!$B$27+Inputs!$B$30,IF(Skills!C27=3,120+Inputs!$B$28+Inputs!$B$30,MAX(0,(Inputs!$B$3-100)*3)+Inputs!$B$29+Inputs!$B$30)))</f>
        <v/>
      </c>
      <c r="E1947">
        <f>INDEX(FactorTable!$B$2:$Y$301, MATCH(ROUND(MIN(300,MAX(1,D1947)),0), FactorTable!$A$2:$A$301,0), Skills!L27+1)</f>
        <v/>
      </c>
      <c r="F1947">
        <f>IF(Skills!M27=TRUE,(Skills!K27/10)*(E1947/1000),Skills!K27/10)+Skills!N27</f>
        <v/>
      </c>
      <c r="G1947">
        <f>Calc!G27</f>
        <v/>
      </c>
      <c r="H1947">
        <f>Calc!H27</f>
        <v/>
      </c>
      <c r="I1947">
        <f>IF(Skills!T27&lt;&gt;"",1+(Skills!T27/10)*($Z$3/1000)/100,1)</f>
        <v/>
      </c>
      <c r="J1947" t="inlineStr"/>
      <c r="K1947" t="inlineStr"/>
      <c r="L1947" t="inlineStr"/>
      <c r="M1947" t="inlineStr"/>
      <c r="N1947" t="inlineStr"/>
      <c r="O1947">
        <f>(1-Summary!$B$11)*S1947+Summary!$B$11*U1947</f>
        <v/>
      </c>
      <c r="P1947">
        <f>IF(B1962=0,0,O1947/B1962)</f>
        <v/>
      </c>
      <c r="Q1947">
        <f>IFERROR(1/(IF(Inputs!$B$39="pvp",15,MAX(0.1,Skills!D27-IF(Skills!E27=TRUE,Inputs!$B$33,0)))*(1-IF(AND(ArtifactsInput!$M$27,Inputs!$B$4="Chapter Hunt"),CHOOSE(ArtifactsInput!$N$27+1,20,24,28,32,36,40),0)/100)),0)</f>
        <v/>
      </c>
      <c r="R1947" t="n">
        <v>0</v>
      </c>
      <c r="S1947" t="n">
        <v>0</v>
      </c>
      <c r="U1947" t="n">
        <v>0</v>
      </c>
    </row>
    <row r="1949">
      <c r="A1949" t="inlineStr">
        <is>
          <t>Average Buff Multiplier</t>
        </is>
      </c>
      <c r="B1949">
        <f>(1+(IF(C1923=TRUE,F1923*IF(AND(Inputs!$B$39&lt;&gt;"pvp",Inputs!$B$44&gt;0),(((R1923-1)*(Skills!S3*(1+((Inputs!$B$35+(ArtifactsInput!$M$7-ArtifactsInput!$M$7)*CHOOSE(ArtifactsInput!$N$7+1,6,7.2,8.4,9.6,10.8,12))+IF(Inputs!$B$3&gt;=117,F1946,0))/100))+MIN((Skills!S3*(1+((Inputs!$B$35+(ArtifactsInput!$M$7-ArtifactsInput!$M$7)*CHOOSE(ArtifactsInput!$N$7+1,6,7.2,8.4,9.6,10.8,12))+IF(Inputs!$B$3&gt;=117,F1946,0))/100)),MAX(0,Inputs!$B$44-((R1923-1)*Skills!D3))))/Inputs!$B$44),IF(Inputs!$B$39="pvp",MIN((Skills!S3*(1+((Inputs!$B$35+(ArtifactsInput!$M$7-ArtifactsInput!$M$7)*CHOOSE(ArtifactsInput!$N$7+1,6,7.2,8.4,9.6,10.8,12))+IF(Inputs!$B$3&gt;=117,F1946,0))/100)),15)/15,(Skills!S3*(1+((Inputs!$B$35+(ArtifactsInput!$M$7-ArtifactsInput!$M$7)*CHOOSE(ArtifactsInput!$N$7+1,6,7.2,8.4,9.6,10.8,12))+IF(Inputs!$B$3&gt;=117,F1946,0))/100))/Skills!D3)),0)+IF(C1924=TRUE,F1924*IF(AND(Inputs!$B$39&lt;&gt;"pvp",Inputs!$B$44&gt;0),(((R1924-1)*(Skills!S4*(1+((Inputs!$B$35+(ArtifactsInput!$M$7-ArtifactsInput!$M$7)*CHOOSE(ArtifactsInput!$N$7+1,6,7.2,8.4,9.6,10.8,12))+IF(Inputs!$B$3&gt;=117,F1946,0))/100))+MIN((Skills!S4*(1+((Inputs!$B$35+(ArtifactsInput!$M$7-ArtifactsInput!$M$7)*CHOOSE(ArtifactsInput!$N$7+1,6,7.2,8.4,9.6,10.8,12))+IF(Inputs!$B$3&gt;=117,F1946,0))/100)),MAX(0,Inputs!$B$44-((R1924-1)*Skills!D4))))/Inputs!$B$44),IF(Inputs!$B$39="pvp",MIN((Skills!S4*(1+((Inputs!$B$35+(ArtifactsInput!$M$7-ArtifactsInput!$M$7)*CHOOSE(ArtifactsInput!$N$7+1,6,7.2,8.4,9.6,10.8,12))+IF(Inputs!$B$3&gt;=117,F1946,0))/100)),15)/15,(Skills!S4*(1+((Inputs!$B$35+(ArtifactsInput!$M$7-ArtifactsInput!$M$7)*CHOOSE(ArtifactsInput!$N$7+1,6,7.2,8.4,9.6,10.8,12))+IF(Inputs!$B$3&gt;=117,F1946,0))/100))/Skills!D4)),0)+IF(C1925=TRUE,F1925*IF(AND(Inputs!$B$39&lt;&gt;"pvp",Inputs!$B$44&gt;0),(((R1925-1)*(Skills!S5*(1+((Inputs!$B$35+(ArtifactsInput!$M$7-ArtifactsInput!$M$7)*CHOOSE(ArtifactsInput!$N$7+1,6,7.2,8.4,9.6,10.8,12))+IF(Inputs!$B$3&gt;=117,F1946,0))/100))+MIN((Skills!S5*(1+((Inputs!$B$35+(ArtifactsInput!$M$7-ArtifactsInput!$M$7)*CHOOSE(ArtifactsInput!$N$7+1,6,7.2,8.4,9.6,10.8,12))+IF(Inputs!$B$3&gt;=117,F1946,0))/100)),MAX(0,Inputs!$B$44-((R1925-1)*Skills!D5))))/Inputs!$B$44),IF(Inputs!$B$39="pvp",MIN((Skills!S5*(1+((Inputs!$B$35+(ArtifactsInput!$M$7-ArtifactsInput!$M$7)*CHOOSE(ArtifactsInput!$N$7+1,6,7.2,8.4,9.6,10.8,12))+IF(Inputs!$B$3&gt;=117,F1946,0))/100)),15)/15,(Skills!S5*(1+((Inputs!$B$35+(ArtifactsInput!$M$7-ArtifactsInput!$M$7)*CHOOSE(ArtifactsInput!$N$7+1,6,7.2,8.4,9.6,10.8,12))+IF(Inputs!$B$3&gt;=117,F1946,0))/100))/Skills!D5)),0)+IF(C1931=TRUE,F1931*IF(AND(Inputs!$B$39&lt;&gt;"pvp",Inputs!$B$44&gt;0),(((R1931-1)*(Skills!S11*(1+((Inputs!$B$35+(ArtifactsInput!$M$7-ArtifactsInput!$M$7)*CHOOSE(ArtifactsInput!$N$7+1,6,7.2,8.4,9.6,10.8,12))+IF(Inputs!$B$3&gt;=117,F1946,0))/100))+MIN((Skills!S11*(1+((Inputs!$B$35+(ArtifactsInput!$M$7-ArtifactsInput!$M$7)*CHOOSE(ArtifactsInput!$N$7+1,6,7.2,8.4,9.6,10.8,12))+IF(Inputs!$B$3&gt;=117,F1946,0))/100)),MAX(0,Inputs!$B$44-((R1931-1)*Skills!D11))))/Inputs!$B$44),IF(Inputs!$B$39="pvp",MIN((Skills!S11*(1+((Inputs!$B$35+(ArtifactsInput!$M$7-ArtifactsInput!$M$7)*CHOOSE(ArtifactsInput!$N$7+1,6,7.2,8.4,9.6,10.8,12))+IF(Inputs!$B$3&gt;=117,F1946,0))/100)),15)/15,(Skills!S11*(1+((Inputs!$B$35+(ArtifactsInput!$M$7-ArtifactsInput!$M$7)*CHOOSE(ArtifactsInput!$N$7+1,6,7.2,8.4,9.6,10.8,12))+IF(Inputs!$B$3&gt;=117,F1946,0)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1934=TRUE,(1+F1934*IF(AND(Inputs!$B$39&lt;&gt;"pvp",Inputs!$B$44&gt;0),(((R1934-1)*(Skills!S14*(1+((Inputs!$B$35+(ArtifactsInput!$M$7-ArtifactsInput!$M$7)*CHOOSE(ArtifactsInput!$N$7+1,6,7.2,8.4,9.6,10.8,12))+IF(Inputs!$B$3&gt;=117,F1946,0))/100))+MIN((Skills!S14*(1+((Inputs!$B$35+(ArtifactsInput!$M$7-ArtifactsInput!$M$7)*CHOOSE(ArtifactsInput!$N$7+1,6,7.2,8.4,9.6,10.8,12))+IF(Inputs!$B$3&gt;=117,F1946,0))/100)),MAX(0,Inputs!$B$44-((R1934-1)*Skills!D14))))/Inputs!$B$44),IF(Inputs!$B$39="pvp",MIN((Skills!S14*(1+((Inputs!$B$35+(ArtifactsInput!$M$7-ArtifactsInput!$M$7)*CHOOSE(ArtifactsInput!$N$7+1,6,7.2,8.4,9.6,10.8,12))+IF(Inputs!$B$3&gt;=117,F1946,0))/100)),15)/15,(Skills!S14*(1+((Inputs!$B$35+(ArtifactsInput!$M$7-ArtifactsInput!$M$7)*CHOOSE(ArtifactsInput!$N$7+1,6,7.2,8.4,9.6,10.8,12))+IF(Inputs!$B$3&gt;=117,F1946,0))/100))/Skills!D14))/100),1)*IF(C1939=TRUE,(1+F1939*IF(AND(Inputs!$B$39&lt;&gt;"pvp",Inputs!$B$44&gt;0),(((R1939-1)*(Skills!S19*(1+((Inputs!$B$35+(ArtifactsInput!$M$7-ArtifactsInput!$M$7)*CHOOSE(ArtifactsInput!$N$7+1,6,7.2,8.4,9.6,10.8,12))+IF(Inputs!$B$3&gt;=117,F1946,0))/100))+MIN((Skills!S19*(1+((Inputs!$B$35+(ArtifactsInput!$M$7-ArtifactsInput!$M$7)*CHOOSE(ArtifactsInput!$N$7+1,6,7.2,8.4,9.6,10.8,12))+IF(Inputs!$B$3&gt;=117,F1946,0))/100)),MAX(0,Inputs!$B$44-((R1939-1)*Skills!D19))))/Inputs!$B$44),IF(Inputs!$B$39="pvp",MIN((Skills!S19*(1+((Inputs!$B$35+(ArtifactsInput!$M$7-ArtifactsInput!$M$7)*CHOOSE(ArtifactsInput!$N$7+1,6,7.2,8.4,9.6,10.8,12))+IF(Inputs!$B$3&gt;=117,F1946,0))/100)),15)/15,(Skills!S19*(1+((Inputs!$B$35+(ArtifactsInput!$M$7-ArtifactsInput!$M$7)*CHOOSE(ArtifactsInput!$N$7+1,6,7.2,8.4,9.6,10.8,12))+IF(Inputs!$B$3&gt;=117,F1946,0))/100))/Skills!D19))/100),1)</f>
        <v/>
      </c>
    </row>
    <row r="1950">
      <c r="A1950" t="inlineStr">
        <is>
          <t>Monster Damage Taken Bonus % (Holy Fountain)</t>
        </is>
      </c>
      <c r="B1950">
        <f>IF(Inputs!$B$3&gt;=68,20*IF(Inputs!$B$39="pvp",MIN((15*(1+((Inputs!$B$35+(ArtifactsInput!$M$7-ArtifactsInput!$M$7)*CHOOSE(ArtifactsInput!$N$7+1,6,7.2,8.4,9.6,10.8,12))+IF(Inputs!$B$3&gt;=117,F1946,0))/100)),15)/15,(15*(1+((Inputs!$B$35+(ArtifactsInput!$M$7-ArtifactsInput!$M$7)*CHOOSE(ArtifactsInput!$N$7+1,6,7.2,8.4,9.6,10.8,12))+IF(Inputs!$B$3&gt;=117,F1946,0))/100))/Skills!D10),0)</f>
        <v/>
      </c>
    </row>
    <row r="1951">
      <c r="A1951" t="inlineStr">
        <is>
          <t>Normal Monster Damage Bonus % (Holy Symbol)</t>
        </is>
      </c>
      <c r="B1951">
        <f>IF(C1932=TRUE,F1932*IF(AND(Inputs!$B$39&lt;&gt;"pvp",Inputs!$B$44&gt;0),(((R1932-1)*(Skills!S12*(1+((Inputs!$B$35+(ArtifactsInput!$M$7-ArtifactsInput!$M$7)*CHOOSE(ArtifactsInput!$N$7+1,6,7.2,8.4,9.6,10.8,12))+IF(Inputs!$B$3&gt;=117,F1946,0))/100))+MIN((Skills!S12*(1+((Inputs!$B$35+(ArtifactsInput!$M$7-ArtifactsInput!$M$7)*CHOOSE(ArtifactsInput!$N$7+1,6,7.2,8.4,9.6,10.8,12))+IF(Inputs!$B$3&gt;=117,F1946,0))/100)),MAX(0,Inputs!$B$44-((R1932-1)*Skills!D12))))/Inputs!$B$44),IF(Inputs!$B$39="pvp",MIN((Skills!S12*(1+((Inputs!$B$35+(ArtifactsInput!$M$7-ArtifactsInput!$M$7)*CHOOSE(ArtifactsInput!$N$7+1,6,7.2,8.4,9.6,10.8,12))+IF(Inputs!$B$3&gt;=117,F1946,0))/100)),15)/15,(Skills!S12*(1+((Inputs!$B$35+(ArtifactsInput!$M$7-ArtifactsInput!$M$7)*CHOOSE(ArtifactsInput!$N$7+1,6,7.2,8.4,9.6,10.8,12))+IF(Inputs!$B$3&gt;=117,F1946,0))/100))/Skills!D12)),0)</f>
        <v/>
      </c>
    </row>
    <row r="1952">
      <c r="A1952" t="inlineStr">
        <is>
          <t>Damage % Bonus (Holy Symbol - Damage Boost)</t>
        </is>
      </c>
      <c r="B1952">
        <f>Skills!O12</f>
        <v/>
      </c>
    </row>
    <row r="1953">
      <c r="A1953" t="inlineStr">
        <is>
          <t>Crit Damage % Bonus (Blood of the Divine)</t>
        </is>
      </c>
      <c r="B1953">
        <f>4*IF(C1940=TRUE,F1940,0)</f>
        <v/>
      </c>
    </row>
    <row r="1954">
      <c r="A1954" t="inlineStr">
        <is>
          <t>Attack Speed Bonus %</t>
        </is>
      </c>
      <c r="B1954">
        <f>IF(C1937=TRUE,F1937+(F1941-Calc!F21),0)+IF(Inputs!$B$3&gt;=134,15,0)</f>
        <v/>
      </c>
    </row>
    <row r="1955">
      <c r="A1955" t="inlineStr">
        <is>
          <t>Actions Per Second</t>
        </is>
      </c>
      <c r="B1955">
        <f>1+MIN(150,150*(1-(1-Inputs!$B$12/150)*(1-B1954/150)))/100</f>
        <v/>
      </c>
    </row>
    <row r="1956">
      <c r="A1956" t="inlineStr">
        <is>
          <t>Skill + Buff Cast Rate</t>
        </is>
      </c>
      <c r="B1956">
        <f>IF(AND(Inputs!$B$39&lt;&gt;"pvp",Inputs!$B$44&gt;0),SUMPRODUCT((Skills!E2:E27=TRUE)*(C1922:C1947=TRUE)*R1922:R1947)/Inputs!$B$44,SUMPRODUCT((Skills!E2:E27=TRUE)*(C1922:C1947=TRUE)*Q1922:Q1947))</f>
        <v/>
      </c>
    </row>
    <row r="1957">
      <c r="A1957" t="inlineStr">
        <is>
          <t>Big Bang Casts Per Second</t>
        </is>
      </c>
      <c r="B1957">
        <f>MAX(0,B1955-B1956)</f>
        <v/>
      </c>
    </row>
    <row r="1958">
      <c r="A1958" t="inlineStr">
        <is>
          <t>Defense % Bonus (Divine Protection)</t>
        </is>
      </c>
      <c r="B1958">
        <f>IF(C1933=TRUE,F1933*IF(AND(Inputs!$B$39&lt;&gt;"pvp",Inputs!$B$44&gt;0),(((R1933-1)*(Skills!S13*(1+((Inputs!$B$35+(ArtifactsInput!$M$7-ArtifactsInput!$M$7)*CHOOSE(ArtifactsInput!$N$7+1,6,7.2,8.4,9.6,10.8,12))+IF(Inputs!$B$3&gt;=117,F1946,0))/100))+MIN((Skills!S13*(1+((Inputs!$B$35+(ArtifactsInput!$M$7-ArtifactsInput!$M$7)*CHOOSE(ArtifactsInput!$N$7+1,6,7.2,8.4,9.6,10.8,12))+IF(Inputs!$B$3&gt;=117,F1946,0))/100)),MAX(0,Inputs!$B$44-((R1933-1)*Skills!D13))))/Inputs!$B$44),IF(Inputs!$B$39="pvp",MIN((Skills!S13*(1+((Inputs!$B$35+(ArtifactsInput!$M$7-ArtifactsInput!$M$7)*CHOOSE(ArtifactsInput!$N$7+1,6,7.2,8.4,9.6,10.8,12))+IF(Inputs!$B$3&gt;=117,F1946,0))/100)),15)/15,(Skills!S13*(1+((Inputs!$B$35+(ArtifactsInput!$M$7-ArtifactsInput!$M$7)*CHOOSE(ArtifactsInput!$N$7+1,6,7.2,8.4,9.6,10.8,12))+IF(Inputs!$B$3&gt;=117,F1946,0))/100))/Skills!D13)),0)</f>
        <v/>
      </c>
    </row>
    <row r="1959">
      <c r="A1959" t="inlineStr">
        <is>
          <t>Buff-Casting Startup Delay (s, fixed-duration only)</t>
        </is>
      </c>
      <c r="B1959">
        <f>IF(AND(Inputs!$B$39&lt;&gt;"pvp",Inputs!$B$44&gt;0),SUMPRODUCT((Skills!S2:S27&gt;0)*(Skills!E2:E27=TRUE)*(C1922:C1947=TRUE))/B1955,0)</f>
        <v/>
      </c>
    </row>
    <row r="1960">
      <c r="A1960" t="inlineStr">
        <is>
          <t>Boss-Only Total DPS (this block's swept value)</t>
        </is>
      </c>
      <c r="B1960">
        <f>SUM(S1922:S1947)</f>
        <v/>
      </c>
    </row>
    <row r="1961">
      <c r="A1961" t="inlineStr">
        <is>
          <t>Normal-Only Total DPS (this block's swept value)</t>
        </is>
      </c>
      <c r="B1961">
        <f>SUM(U1922:U1947)</f>
        <v/>
      </c>
    </row>
    <row r="1962">
      <c r="A1962" s="6" t="inlineStr">
        <is>
          <t>TOTAL DPS</t>
        </is>
      </c>
      <c r="B1962" s="6">
        <f>SUM(O1922:O1947)</f>
        <v/>
      </c>
    </row>
    <row r="1964">
      <c r="A1964" s="6" t="inlineStr">
        <is>
          <t>Stat: Star Rock (Equip)</t>
        </is>
      </c>
    </row>
    <row r="1965">
      <c r="A1965" s="5" t="inlineStr">
        <is>
          <t>Key</t>
        </is>
      </c>
      <c r="B1965" s="5" t="inlineStr">
        <is>
          <t>Name</t>
        </is>
      </c>
      <c r="C1965" s="5" t="inlineStr">
        <is>
          <t>Unlocked</t>
        </is>
      </c>
      <c r="D1965" s="5" t="inlineStr">
        <is>
          <t>InputLevel</t>
        </is>
      </c>
      <c r="E1965" s="5" t="inlineStr">
        <is>
          <t>Factor</t>
        </is>
      </c>
      <c r="F1965" s="5" t="inlineStr">
        <is>
          <t>CoefficientPercent</t>
        </is>
      </c>
      <c r="G1965" s="5" t="inlineStr">
        <is>
          <t>EffectiveHits</t>
        </is>
      </c>
      <c r="H1965" s="5" t="inlineStr">
        <is>
          <t>ProcProbability</t>
        </is>
      </c>
      <c r="I1965" s="5" t="inlineStr">
        <is>
          <t>MapleHeroMultiplier</t>
        </is>
      </c>
      <c r="J1965" s="5" t="inlineStr">
        <is>
          <t>BaseDamage</t>
        </is>
      </c>
      <c r="K1965" s="5" t="inlineStr">
        <is>
          <t>BaseHitDamage</t>
        </is>
      </c>
      <c r="L1965" s="5" t="inlineStr">
        <is>
          <t>NonCritAvg</t>
        </is>
      </c>
      <c r="M1965" s="5" t="inlineStr">
        <is>
          <t>CritAvg</t>
        </is>
      </c>
      <c r="N1965" s="5" t="inlineStr">
        <is>
          <t>ExpectedDamage(perHit)</t>
        </is>
      </c>
      <c r="O1965" s="5" t="inlineStr">
        <is>
          <t>DPS</t>
        </is>
      </c>
      <c r="P1965" s="5" t="inlineStr">
        <is>
          <t>% of Total</t>
        </is>
      </c>
      <c r="R1965" t="inlineStr">
        <is>
          <t>helpers</t>
        </is>
      </c>
    </row>
    <row r="1966">
      <c r="A1966">
        <f>Skills!A2</f>
        <v/>
      </c>
      <c r="B1966">
        <f>Skills!B2</f>
        <v/>
      </c>
      <c r="C1966">
        <f>Inputs!$B$3&gt;=100</f>
        <v/>
      </c>
      <c r="D1966" t="inlineStr"/>
      <c r="E1966" t="inlineStr"/>
      <c r="F1966">
        <f>T1968+Skills!N2</f>
        <v/>
      </c>
      <c r="G1966">
        <f>Calc!G2</f>
        <v/>
      </c>
      <c r="H1966">
        <f>Calc!H2</f>
        <v/>
      </c>
      <c r="I1966">
        <f>IF(Skills!T2&lt;&gt;"",1+(Skills!T2/10)*($Z$3/1000)/100,1)</f>
        <v/>
      </c>
      <c r="J1966">
        <f>((Inputs!$B$6*(1+Inputs!$B$7/100))+(((Inputs!$B$13*(1+Inputs!$B$14/100))-(Inputs!$B$13*(1+Inputs!$B$14/100)))+0.25*(Inputs!$B$15-Inputs!$B$15))*(1+Inputs!$B$7/100))*(F1966/100)</f>
        <v/>
      </c>
      <c r="K1966">
        <f>J1966*(1+(((Inputs!$B$13+IF(Inputs!$B$3&gt;=35,(10*INDEX(FactorTable!$B$2:$Y$301,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2="TRIUMPH_FEATHER",IF(C1980=TRUE,F1980,0),0)/100)*(1+IF(C1991=TRUE,F1991,0)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1966)</f>
        <v/>
      </c>
      <c r="L1966">
        <f>K1966*(MIN(Inputs!$B$23+(F1986-Calc!F22),(Inputs!$B$24+IF(ArtifactsInput!$M$15,CHOOSE(ArtifactsInput!$N$15+1,25,30,35,40,45,50)/100*(Inputs!$B$12-Inputs!$B$12),0)))/100+(Inputs!$B$24+IF(ArtifactsInput!$M$15,CHOOSE(ArtifactsInput!$N$15+1,25,30,35,40,45,50)/100*(Inputs!$B$12-Inputs!$B$12),0))/100)/2</f>
        <v/>
      </c>
      <c r="M1966">
        <f>L1966*(1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6">
        <f>L1966*(1-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1966*(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6">
        <f>(1-Summary!$B$11)*S1966+Summary!$B$11*U1966</f>
        <v/>
      </c>
      <c r="P1966">
        <f>IF(B2006=0,0,O1966/B2006)</f>
        <v/>
      </c>
      <c r="Q1966">
        <f>IFERROR(1/(IF(Inputs!$B$39="pvp",15,MAX(0.1,Skills!D2-IF(Skills!E2=TRUE,Inputs!$B$33,0)))*(1-IF(AND(ArtifactsInput!$M$27,Inputs!$B$4="Chapter Hunt"),CHOOSE(ArtifactsInput!$N$27+1,20,24,28,32,36,40),0)/100)),0)</f>
        <v/>
      </c>
      <c r="R1966" t="n">
        <v>0</v>
      </c>
      <c r="S1966">
        <f>IF(C1966,(Skills!F2*N1966*B2001)*IF(Inputs!$B$39="pvp",1,1+(Inputs!$B$21+Skills!O2+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1966*(1-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1966*(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1966*(1-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1966*(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6">
        <f>MAX(0,(Inputs!$B$3-100)*3)+Inputs!$B$29+Inputs!$B$30</f>
        <v/>
      </c>
      <c r="U1966">
        <f>IF(C1966,(Skills!F2*N1966*B2001)*IF(Inputs!$B$39="pvp",1,(1+(Inputs!$B$22+Skills!P2+B1995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7">
      <c r="A1967">
        <f>Skills!A3</f>
        <v/>
      </c>
      <c r="B1967">
        <f>Skills!B3</f>
        <v/>
      </c>
      <c r="C1967">
        <f>Inputs!$B$3&gt;=15</f>
        <v/>
      </c>
      <c r="D1967">
        <f>IF(Skills!C3=1,60+Inputs!$B$26+Inputs!$B$30,IF(Skills!C3=2,90+Inputs!$B$27+Inputs!$B$30,IF(Skills!C3=3,120+Inputs!$B$28+Inputs!$B$30,MAX(0,(Inputs!$B$3-100)*3)+Inputs!$B$29+Inputs!$B$30)))</f>
        <v/>
      </c>
      <c r="E1967">
        <f>INDEX(FactorTable!$B$2:$Y$301, MATCH(ROUND(MIN(300,MAX(1,D1967)),0), FactorTable!$A$2:$A$301,0), Skills!L3+1)</f>
        <v/>
      </c>
      <c r="F1967">
        <f>IF(Skills!M3=TRUE,(Skills!K3/10)*(E1967/1000),Skills!K3/10)+Skills!N3</f>
        <v/>
      </c>
      <c r="G1967">
        <f>Calc!G3</f>
        <v/>
      </c>
      <c r="H1967">
        <f>Calc!H3</f>
        <v/>
      </c>
      <c r="I1967">
        <f>IF(Skills!T3&lt;&gt;"",1+(Skills!T3/10)*($Z$3/1000)/100,1)</f>
        <v/>
      </c>
      <c r="J1967" t="inlineStr"/>
      <c r="K1967" t="inlineStr"/>
      <c r="L1967" t="inlineStr"/>
      <c r="M1967" t="inlineStr"/>
      <c r="N1967" t="inlineStr"/>
      <c r="O1967">
        <f>(1-Summary!$B$11)*S1967+Summary!$B$11*U1967</f>
        <v/>
      </c>
      <c r="P1967">
        <f>IF(B2006=0,0,O1967/B2006)</f>
        <v/>
      </c>
      <c r="Q1967">
        <f>IFERROR(1/(IF(Inputs!$B$39="pvp",15,MAX(0.1,Skills!D3-IF(Skills!E3=TRUE,Inputs!$B$33,0)))*(1-IF(AND(ArtifactsInput!$M$27,Inputs!$B$4="Chapter Hunt"),CHOOSE(ArtifactsInput!$N$27+1,20,24,28,32,36,40),0)/100)),0)</f>
        <v/>
      </c>
      <c r="R1967">
        <f>IF(AND(Inputs!$B$39&lt;&gt;"pvp",Inputs!$B$44&gt;0),IF(Inputs!$B$44&lt;=0,0,(INT(Inputs!$B$44/(IF(Inputs!$B$39="pvp",15,MAX(0.1,Skills!D3-IF(Skills!E3=TRUE,Inputs!$B$33,0)))*(1-IF(AND(ArtifactsInput!$M$27,Inputs!$B$4="Chapter Hunt"),CHOOSE(ArtifactsInput!$N$27+1,20,24,28,32,36,40),0)/100)))+1)),0)</f>
        <v/>
      </c>
      <c r="S1967" t="n">
        <v>0</v>
      </c>
      <c r="T1967">
        <f>INDEX(FactorTable!$B$2:$Y$301, MATCH(ROUND(MIN(300,MAX(1,T1966)),0), FactorTable!$A$2:$A$301,0), 22)</f>
        <v/>
      </c>
      <c r="U1967" t="n">
        <v>0</v>
      </c>
    </row>
    <row r="1968">
      <c r="A1968">
        <f>Skills!A4</f>
        <v/>
      </c>
      <c r="B1968">
        <f>Skills!B4</f>
        <v/>
      </c>
      <c r="C1968">
        <f>Inputs!$B$3&gt;=38</f>
        <v/>
      </c>
      <c r="D1968">
        <f>IF(Skills!C4=1,60+Inputs!$B$26+Inputs!$B$30,IF(Skills!C4=2,90+Inputs!$B$27+Inputs!$B$30,IF(Skills!C4=3,120+Inputs!$B$28+Inputs!$B$30,MAX(0,(Inputs!$B$3-100)*3)+Inputs!$B$29+Inputs!$B$30)))</f>
        <v/>
      </c>
      <c r="E1968">
        <f>INDEX(FactorTable!$B$2:$Y$301, MATCH(ROUND(MIN(300,MAX(1,D1968)),0), FactorTable!$A$2:$A$301,0), Skills!L4+1)</f>
        <v/>
      </c>
      <c r="F1968">
        <f>IF(Skills!M4=TRUE,(Skills!K4/10)*(E1968/1000),Skills!K4/10)+Skills!N4</f>
        <v/>
      </c>
      <c r="G1968">
        <f>Calc!G4</f>
        <v/>
      </c>
      <c r="H1968">
        <f>Calc!H4</f>
        <v/>
      </c>
      <c r="I1968">
        <f>IF(Skills!T4&lt;&gt;"",1+(Skills!T4/10)*($Z$3/1000)/100,1)</f>
        <v/>
      </c>
      <c r="J1968" t="inlineStr"/>
      <c r="K1968" t="inlineStr"/>
      <c r="L1968" t="inlineStr"/>
      <c r="M1968" t="inlineStr"/>
      <c r="N1968" t="inlineStr"/>
      <c r="O1968">
        <f>(1-Summary!$B$11)*S1968+Summary!$B$11*U1968</f>
        <v/>
      </c>
      <c r="P1968">
        <f>IF(B2006=0,0,O1968/B2006)</f>
        <v/>
      </c>
      <c r="Q1968">
        <f>IFERROR(1/(IF(Inputs!$B$39="pvp",15,MAX(0.1,Skills!D4-IF(Skills!E4=TRUE,Inputs!$B$33,0)))*(1-IF(AND(ArtifactsInput!$M$27,Inputs!$B$4="Chapter Hunt"),CHOOSE(ArtifactsInput!$N$27+1,20,24,28,32,36,40),0)/100)),0)</f>
        <v/>
      </c>
      <c r="R1968">
        <f>IF(AND(Inputs!$B$39&lt;&gt;"pvp",Inputs!$B$44&gt;0),IF(Inputs!$B$44&lt;=0,0,(INT(Inputs!$B$44/(IF(Inputs!$B$39="pvp",15,MAX(0.1,Skills!D4-IF(Skills!E4=TRUE,Inputs!$B$33,0)))*(1-IF(AND(ArtifactsInput!$M$27,Inputs!$B$4="Chapter Hunt"),CHOOSE(ArtifactsInput!$N$27+1,20,24,28,32,36,40),0)/100)))+1)),0)</f>
        <v/>
      </c>
      <c r="S1968" t="n">
        <v>0</v>
      </c>
      <c r="T1968">
        <f>290*T1967/1000</f>
        <v/>
      </c>
      <c r="U1968" t="n">
        <v>0</v>
      </c>
    </row>
    <row r="1969">
      <c r="A1969">
        <f>Skills!A5</f>
        <v/>
      </c>
      <c r="B1969">
        <f>Skills!B5</f>
        <v/>
      </c>
      <c r="C1969">
        <f>Inputs!$B$3&gt;=40</f>
        <v/>
      </c>
      <c r="D1969">
        <f>IF(Skills!C5=1,60+Inputs!$B$26+Inputs!$B$30,IF(Skills!C5=2,90+Inputs!$B$27+Inputs!$B$30,IF(Skills!C5=3,120+Inputs!$B$28+Inputs!$B$30,MAX(0,(Inputs!$B$3-100)*3)+Inputs!$B$29+Inputs!$B$30)))</f>
        <v/>
      </c>
      <c r="E1969">
        <f>INDEX(FactorTable!$B$2:$Y$301, MATCH(ROUND(MIN(300,MAX(1,D1969)),0), FactorTable!$A$2:$A$301,0), Skills!L5+1)</f>
        <v/>
      </c>
      <c r="F1969">
        <f>IF(Skills!M5=TRUE,(Skills!K5/10)*(E1969/1000),Skills!K5/10)+Skills!N5</f>
        <v/>
      </c>
      <c r="G1969">
        <f>Calc!G5</f>
        <v/>
      </c>
      <c r="H1969">
        <f>Calc!H5</f>
        <v/>
      </c>
      <c r="I1969">
        <f>IF(Skills!T5&lt;&gt;"",1+(Skills!T5/10)*($Z$3/1000)/100,1)</f>
        <v/>
      </c>
      <c r="J1969" t="inlineStr"/>
      <c r="K1969" t="inlineStr"/>
      <c r="L1969" t="inlineStr"/>
      <c r="M1969" t="inlineStr"/>
      <c r="N1969" t="inlineStr"/>
      <c r="O1969">
        <f>(1-Summary!$B$11)*S1969+Summary!$B$11*U1969</f>
        <v/>
      </c>
      <c r="P1969">
        <f>IF(B2006=0,0,O1969/B2006)</f>
        <v/>
      </c>
      <c r="Q1969">
        <f>IFERROR(1/(IF(Inputs!$B$39="pvp",15,MAX(0.1,Skills!D5-IF(Skills!E5=TRUE,Inputs!$B$33,0)))*(1-IF(AND(ArtifactsInput!$M$27,Inputs!$B$4="Chapter Hunt"),CHOOSE(ArtifactsInput!$N$27+1,20,24,28,32,36,40),0)/100)),0)</f>
        <v/>
      </c>
      <c r="R1969">
        <f>IF(AND(Inputs!$B$39&lt;&gt;"pvp",Inputs!$B$44&gt;0),IF(Inputs!$B$44&lt;=0,0,(INT(Inputs!$B$44/(IF(Inputs!$B$39="pvp",15,MAX(0.1,Skills!D5-IF(Skills!E5=TRUE,Inputs!$B$33,0)))*(1-IF(AND(ArtifactsInput!$M$27,Inputs!$B$4="Chapter Hunt"),CHOOSE(ArtifactsInput!$N$27+1,20,24,28,32,36,40),0)/100)))+1)),0)</f>
        <v/>
      </c>
      <c r="S1969" t="n">
        <v>0</v>
      </c>
      <c r="U1969" t="n">
        <v>0</v>
      </c>
    </row>
    <row r="1970">
      <c r="A1970">
        <f>Skills!A6</f>
        <v/>
      </c>
      <c r="B1970">
        <f>Skills!B6</f>
        <v/>
      </c>
      <c r="C1970">
        <f>Inputs!$B$3&gt;=103</f>
        <v/>
      </c>
      <c r="D1970">
        <f>IF(Skills!C6=1,60+Inputs!$B$26+Inputs!$B$30,IF(Skills!C6=2,90+Inputs!$B$27+Inputs!$B$30,IF(Skills!C6=3,120+Inputs!$B$28+Inputs!$B$30,MAX(0,(Inputs!$B$3-100)*3)+Inputs!$B$29+Inputs!$B$30)))</f>
        <v/>
      </c>
      <c r="E1970">
        <f>INDEX(FactorTable!$B$2:$Y$301, MATCH(ROUND(MIN(300,MAX(1,D1970)),0), FactorTable!$A$2:$A$301,0), Skills!L6+1)</f>
        <v/>
      </c>
      <c r="F1970">
        <f>IF(Skills!M6=TRUE,(Skills!K6/10)*(E1970/1000),Skills!K6/10)+Skills!N6</f>
        <v/>
      </c>
      <c r="G1970">
        <f>Calc!G6</f>
        <v/>
      </c>
      <c r="H1970">
        <f>Calc!H6</f>
        <v/>
      </c>
      <c r="I1970">
        <f>IF(Skills!T6&lt;&gt;"",1+(Skills!T6/10)*($Z$3/1000)/100,1)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6="TRIUMPH_FEATHER",IF(C1980=TRUE,F1980,0),0)/100)*(1+IF(C1991=TRUE,F1991,0)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1970)</f>
        <v/>
      </c>
      <c r="L1970">
        <f>K1970*(MIN(Inputs!$B$23+(F1986-Calc!F22),(Inputs!$B$24+IF(ArtifactsInput!$M$15,CHOOSE(ArtifactsInput!$N$15+1,25,30,35,40,45,50)/100*(Inputs!$B$12-Inputs!$B$12),0)))/100+(Inputs!$B$24+IF(ArtifactsInput!$M$15,CHOOSE(ArtifactsInput!$N$15+1,25,30,35,40,45,50)/100*(Inputs!$B$12-Inputs!$B$12),0))/100)/2</f>
        <v/>
      </c>
      <c r="M1970">
        <f>L1970*(1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IF(B2006=0,0,O1970/B2006)</f>
        <v/>
      </c>
      <c r="Q1970">
        <f>IFERROR(1/(IF(Inputs!$B$39="pvp",15,MAX(0.1,Skills!D6-IF(Skills!E6=TRUE,Inputs!$B$33,0)))*(1-IF(AND(ArtifactsInput!$M$27,Inputs!$B$4="Chapter Hunt"),CHOOSE(ArtifactsInput!$N$27+1,20,24,28,32,36,40),0)/100)),0)</f>
        <v/>
      </c>
      <c r="R1970">
        <f>IF(AND(Inputs!$B$39&lt;&gt;"pvp",Inputs!$B$44&gt;0),IF(MAX(0,Inputs!$B$44-B2003)&lt;=0,0,(INT(MAX(0,Inputs!$B$44-B2003)/(IF(Inputs!$B$39="pvp",15,MAX(0.1,Skills!D6-IF(Skills!E6=TRUE,Inputs!$B$33,0)))*(1-IF(AND(ArtifactsInput!$M$27,Inputs!$B$4="Chapter Hunt"),CHOOSE(ArtifactsInput!$N$27+1,20,24,28,32,36,40),0)/100)))+1)),0)</f>
        <v/>
      </c>
      <c r="S1970">
        <f>IF(C1970,(H1970*N1970*IF(AND(Inputs!$B$39&lt;&gt;"pvp",Inputs!$B$44&gt;0),((Skills!F6*((R1970-1)*IF(Skills!G6&gt;0,Skills!H6/Skills!G6,1)+IF(Skills!G6&gt;0,MIN(Skills!H6,MAX(0,MAX(0,Inputs!$B$44-B2003)-((R1970-1)*(IF(Inputs!$B$39="pvp",15,MAX(0.1,Skills!D6-IF(Skills!E6=TRUE,Inputs!$B$33,0)))*(1-IF(AND(ArtifactsInput!$M$27,Inputs!$B$4="Chapter Hunt"),CHOOSE(ArtifactsInput!$N$27+1,20,24,28,32,36,40),0)/100)))))/Skills!G6,1)))/Inputs!$B$44),G1970*Q1970))*IF(Inputs!$B$39="pvp",1,1+(Inputs!$B$21+Skills!O6+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6*((R1970-1)*IF(Skills!G6&gt;0,Skills!H6/Skills!G6,1)+IF(Skills!G6&gt;0,MIN(Skills!H6,MAX(0,MAX(0,Inputs!$B$44-B2003)-((R1970-1)*(IF(Inputs!$B$39="pvp",15,MAX(0.1,Skills!D6-IF(Skills!E6=TRUE,Inputs!$B$33,0)))*(1-IF(AND(ArtifactsInput!$M$27,Inputs!$B$4="Chapter Hunt"),CHOOSE(ArtifactsInput!$N$27+1,20,24,28,32,36,40),0)/100)))))/Skills!G6,1)))/Inputs!$B$44),G1970*Q1970))*IF(Inputs!$B$39="pvp",1,(1+(Inputs!$B$22+Skills!P6+B1995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Skills!A7</f>
        <v/>
      </c>
      <c r="B1971">
        <f>Skills!B7</f>
        <v/>
      </c>
      <c r="C1971">
        <f>Inputs!$B$3&gt;=122</f>
        <v/>
      </c>
      <c r="D1971">
        <f>IF(Skills!C7=1,60+Inputs!$B$26+Inputs!$B$30,IF(Skills!C7=2,90+Inputs!$B$27+Inputs!$B$30,IF(Skills!C7=3,120+Inputs!$B$28+Inputs!$B$30,MAX(0,(Inputs!$B$3-100)*3)+Inputs!$B$29+Inputs!$B$30)))</f>
        <v/>
      </c>
      <c r="E1971">
        <f>INDEX(FactorTable!$B$2:$Y$301, MATCH(ROUND(MIN(300,MAX(1,D1971)),0), FactorTable!$A$2:$A$301,0), Skills!L7+1)</f>
        <v/>
      </c>
      <c r="F1971">
        <f>IF(Skills!M7=TRUE,(Skills!K7/10)*(E1971/1000),Skills!K7/10)+Skills!N7</f>
        <v/>
      </c>
      <c r="G1971">
        <f>Calc!G7</f>
        <v/>
      </c>
      <c r="H1971">
        <f>Calc!H7</f>
        <v/>
      </c>
      <c r="I1971">
        <f>IF(Skills!T7&lt;&gt;"",1+(Skills!T7/10)*($Z$3/1000)/100,1)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7="TRIUMPH_FEATHER",IF(C1980=TRUE,F1980,0),0)/100)*(1+IF(C1991=TRUE,F1991,0)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1971)</f>
        <v/>
      </c>
      <c r="L1971">
        <f>K1971*(MIN(Inputs!$B$23+(F1986-Calc!F22),(Inputs!$B$24+IF(ArtifactsInput!$M$15,CHOOSE(ArtifactsInput!$N$15+1,25,30,35,40,45,50)/100*(Inputs!$B$12-Inputs!$B$12),0)))/100+(Inputs!$B$24+IF(ArtifactsInput!$M$15,CHOOSE(ArtifactsInput!$N$15+1,25,30,35,40,45,50)/100*(Inputs!$B$12-Inputs!$B$12),0))/100)/2</f>
        <v/>
      </c>
      <c r="M1971">
        <f>L1971*(1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IF(B2006=0,0,O1971/B2006)</f>
        <v/>
      </c>
      <c r="Q1971">
        <f>IFERROR(1/(IF(Inputs!$B$39="pvp",15,MAX(0.1,Skills!D7-IF(Skills!E6=TRUE,Inputs!$B$33,0)))*(1-IF(AND(ArtifactsInput!$M$27,Inputs!$B$4="Chapter Hunt"),CHOOSE(ArtifactsInput!$N$27+1,20,24,28,32,36,40),0)/100)),0)</f>
        <v/>
      </c>
      <c r="R1971">
        <f>IF(AND(Inputs!$B$39&lt;&gt;"pvp",Inputs!$B$44&gt;0),IF(MAX(0,Inputs!$B$44-B2003)&lt;=0,0,(INT(MAX(0,Inputs!$B$44-B2003)/(IF(Inputs!$B$39="pvp",15,MAX(0.1,Skills!D7-IF(Skills!E6=TRUE,Inputs!$B$33,0)))*(1-IF(AND(ArtifactsInput!$M$27,Inputs!$B$4="Chapter Hunt"),CHOOSE(ArtifactsInput!$N$27+1,20,24,28,32,36,40),0)/100)))+1)),0)</f>
        <v/>
      </c>
      <c r="S1971">
        <f>IF(C1971,H1971*N1971*IF(AND(Inputs!$B$39&lt;&gt;"pvp",Inputs!$B$44&gt;0),((Skills!F7*((R1971-1)*IF(Skills!G7&gt;0,Skills!H7/Skills!G7,1)+IF(Skills!G7&gt;0,MIN(Skills!H7,MAX(0,MAX(0,Inputs!$B$44-B2003)-((R1971-1)*(IF(Inputs!$B$39="pvp",15,MAX(0.1,Skills!D7-IF(Skills!E6=TRUE,Inputs!$B$33,0)))*(1-IF(AND(ArtifactsInput!$M$27,Inputs!$B$4="Chapter Hunt"),CHOOSE(ArtifactsInput!$N$27+1,20,24,28,32,36,40),0)/100)))))/Skills!G7,1)))/Inputs!$B$44),G1971*Q1971)*IF(Inputs!$B$39="pvp",1,1+(Inputs!$B$21+Skills!O7+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t="n">
        <v>0</v>
      </c>
    </row>
    <row r="1972">
      <c r="A1972">
        <f>Skills!A8</f>
        <v/>
      </c>
      <c r="B1972">
        <f>Skills!B8</f>
        <v/>
      </c>
      <c r="C1972">
        <f>Inputs!$B$3&gt;=105</f>
        <v/>
      </c>
      <c r="D1972">
        <f>IF(Skills!C8=1,60+Inputs!$B$26+Inputs!$B$30,IF(Skills!C8=2,90+Inputs!$B$27+Inputs!$B$30,IF(Skills!C8=3,120+Inputs!$B$28+Inputs!$B$30,MAX(0,(Inputs!$B$3-100)*3)+Inputs!$B$29+Inputs!$B$30)))</f>
        <v/>
      </c>
      <c r="E1972">
        <f>INDEX(FactorTable!$B$2:$Y$301, MATCH(ROUND(MIN(300,MAX(1,D1972)),0), FactorTable!$A$2:$A$301,0), Skills!L8+1)</f>
        <v/>
      </c>
      <c r="F1972">
        <f>IF(Skills!M8=TRUE,(Skills!K8/10)*(E1972/1000),Skills!K8/10)+Skills!N8</f>
        <v/>
      </c>
      <c r="G1972">
        <f>Calc!G8</f>
        <v/>
      </c>
      <c r="H1972">
        <f>Calc!H8</f>
        <v/>
      </c>
      <c r="I1972">
        <f>IF(Skills!T8&lt;&gt;"",1+(Skills!T8/10)*($Z$3/1000)/100,1)</f>
        <v/>
      </c>
      <c r="J1972">
        <f>((Inputs!$B$6*(1+Inputs!$B$7/100))+(((Inputs!$B$13*(1+Inputs!$B$14/100))-(Inputs!$B$13*(1+Inputs!$B$14/100)))+0.25*(Inputs!$B$15-Inputs!$B$15))*(1+Inputs!$B$7/100))*(F1972/100)</f>
        <v/>
      </c>
      <c r="K1972">
        <f>J1972*(1+(((Inputs!$B$13+IF(Inputs!$B$3&gt;=35,(10*INDEX(FactorTable!$B$2:$Y$301,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8="TRIUMPH_FEATHER",IF(C1980=TRUE,F1980,0),0)/100)*(1+IF(C1991=TRUE,F1991,0)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1972)</f>
        <v/>
      </c>
      <c r="L1972">
        <f>K1972*(MIN(Inputs!$B$23+(F1986-Calc!F22),(Inputs!$B$24+IF(ArtifactsInput!$M$15,CHOOSE(ArtifactsInput!$N$15+1,25,30,35,40,45,50)/100*(Inputs!$B$12-Inputs!$B$12),0)))/100+(Inputs!$B$24+IF(ArtifactsInput!$M$15,CHOOSE(ArtifactsInput!$N$15+1,25,30,35,40,45,50)/100*(Inputs!$B$12-Inputs!$B$12),0))/100)/2</f>
        <v/>
      </c>
      <c r="M1972">
        <f>L1972*(1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2">
        <f>L1972*(1-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(1-Summary!$B$11)*S1972+Summary!$B$11*U1972</f>
        <v/>
      </c>
      <c r="P1972">
        <f>IF(B2006=0,0,O1972/B2006)</f>
        <v/>
      </c>
      <c r="Q1972">
        <f>IFERROR(1/(IF(Inputs!$B$39="pvp",15,MAX(0.1,Skills!D8-IF(Skills!E8=TRUE,Inputs!$B$33,0)))*(1-IF(AND(ArtifactsInput!$M$27,Inputs!$B$4="Chapter Hunt"),CHOOSE(ArtifactsInput!$N$27+1,20,24,28,32,36,40),0)/100)),0)</f>
        <v/>
      </c>
      <c r="R1972">
        <f>IF(AND(Inputs!$B$39&lt;&gt;"pvp",Inputs!$B$44&gt;0),IF(MAX(0,Inputs!$B$44-B2003)&lt;=0,0,(INT(MAX(0,Inputs!$B$44-B2003)/(IF(Inputs!$B$39="pvp",15,MAX(0.1,Skills!D8-IF(Skills!E8=TRUE,Inputs!$B$33,0)))*(1-IF(AND(ArtifactsInput!$M$27,Inputs!$B$4="Chapter Hunt"),CHOOSE(ArtifactsInput!$N$27+1,20,24,28,32,36,40),0)/100)))+1)),0)</f>
        <v/>
      </c>
      <c r="S1972">
        <f>IF(C1972,(H1972*N1972*IF(AND(Inputs!$B$39&lt;&gt;"pvp",Inputs!$B$44&gt;0),((Skills!F8*((R1972-1)*IF(Skills!G8&gt;0,Skills!H8/Skills!G8,1)+IF(Skills!G8&gt;0,MIN(Skills!H8,MAX(0,MAX(0,Inputs!$B$44-B2003)-((R1972-1)*(IF(Inputs!$B$39="pvp",15,MAX(0.1,Skills!D8-IF(Skills!E8=TRUE,Inputs!$B$33,0)))*(1-IF(AND(ArtifactsInput!$M$27,Inputs!$B$4="Chapter Hunt"),CHOOSE(ArtifactsInput!$N$27+1,20,24,28,32,36,40),0)/100)))))/Skills!G8,1)))/Inputs!$B$44),G1972*Q1972))*IF(Inputs!$B$39="pvp",1,1+(Inputs!$B$21+Skills!O8+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1972*(1-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2">
        <f>IF(C1972,(H1972*N1972*IF(AND(Inputs!$B$39&lt;&gt;"pvp",Inputs!$B$44&gt;0),((Skills!F8*((R1972-1)*IF(Skills!G8&gt;0,Skills!H8/Skills!G8,1)+IF(Skills!G8&gt;0,MIN(Skills!H8,MAX(0,MAX(0,Inputs!$B$44-B2003)-((R1972-1)*(IF(Inputs!$B$39="pvp",15,MAX(0.1,Skills!D8-IF(Skills!E8=TRUE,Inputs!$B$33,0)))*(1-IF(AND(ArtifactsInput!$M$27,Inputs!$B$4="Chapter Hunt"),CHOOSE(ArtifactsInput!$N$27+1,20,24,28,32,36,40),0)/100)))))/Skills!G8,1)))/Inputs!$B$44),G1972*Q1972))*IF(Inputs!$B$39="pvp",1,(1+(Inputs!$B$22+Skills!P8+B1995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Skills!A9</f>
        <v/>
      </c>
      <c r="B1973">
        <f>Skills!B9</f>
        <v/>
      </c>
      <c r="C1973">
        <f>Inputs!$B$3&gt;=115</f>
        <v/>
      </c>
      <c r="D1973">
        <f>IF(Skills!C9=1,60+Inputs!$B$26+Inputs!$B$30,IF(Skills!C9=2,90+Inputs!$B$27+Inputs!$B$30,IF(Skills!C9=3,120+Inputs!$B$28+Inputs!$B$30,MAX(0,(Inputs!$B$3-100)*3)+Inputs!$B$29+Inputs!$B$30)))</f>
        <v/>
      </c>
      <c r="E1973">
        <f>INDEX(FactorTable!$B$2:$Y$301, MATCH(ROUND(MIN(300,MAX(1,D1973)),0), FactorTable!$A$2:$A$301,0), Skills!L9+1)</f>
        <v/>
      </c>
      <c r="F1973">
        <f>IF(Skills!M9=TRUE,(Skills!K9/10)*(E1973/1000),Skills!K9/10)+Skills!N9</f>
        <v/>
      </c>
      <c r="G1973">
        <f>Calc!G9</f>
        <v/>
      </c>
      <c r="H1973">
        <f>Calc!H9</f>
        <v/>
      </c>
      <c r="I1973">
        <f>IF(Skills!T9&lt;&gt;"",1+(Skills!T9/10)*($Z$3/1000)/100,1)</f>
        <v/>
      </c>
      <c r="J1973">
        <f>((Inputs!$B$6*(1+Inputs!$B$7/100))+(((Inputs!$B$13*(1+Inputs!$B$14/100))-(Inputs!$B$13*(1+Inputs!$B$14/100)))+0.25*(Inputs!$B$15-Inputs!$B$15))*(1+Inputs!$B$7/100))*(F1973/100)</f>
        <v/>
      </c>
      <c r="K1973">
        <f>J1973*(1+(((Inputs!$B$13+IF(Inputs!$B$3&gt;=35,(10*INDEX(FactorTable!$B$2:$Y$301,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9="TRIUMPH_FEATHER",IF(C1980=TRUE,F1980,0),0)/100)*(1+IF(C1991=TRUE,F1991,0)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1973)</f>
        <v/>
      </c>
      <c r="L1973">
        <f>K1973*(MIN(Inputs!$B$23+(F1986-Calc!F22),(Inputs!$B$24+IF(ArtifactsInput!$M$15,CHOOSE(ArtifactsInput!$N$15+1,25,30,35,40,45,50)/100*(Inputs!$B$12-Inputs!$B$12),0)))/100+(Inputs!$B$24+IF(ArtifactsInput!$M$15,CHOOSE(ArtifactsInput!$N$15+1,25,30,35,40,45,50)/100*(Inputs!$B$12-Inputs!$B$12),0))/100)/2</f>
        <v/>
      </c>
      <c r="M1973">
        <f>L1973*(1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3">
        <f>L1973*(1-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(1-Summary!$B$11)*S1973+Summary!$B$11*U1973</f>
        <v/>
      </c>
      <c r="P1973">
        <f>IF(B2006=0,0,O1973/B2006)</f>
        <v/>
      </c>
      <c r="Q1973">
        <f>IFERROR(1/(IF(Inputs!$B$39="pvp",15,MAX(0.1,Skills!D9-IF(Skills!E9=TRUE,Inputs!$B$33,0)))*(1-IF(AND(ArtifactsInput!$M$27,Inputs!$B$4="Chapter Hunt"),CHOOSE(ArtifactsInput!$N$27+1,20,24,28,32,36,40),0)/100)),0)</f>
        <v/>
      </c>
      <c r="R1973">
        <f>IF(AND(Inputs!$B$39&lt;&gt;"pvp",Inputs!$B$44&gt;0),IF(MAX(0,Inputs!$B$44-B2003)&lt;=0,0,(INT(MAX(0,Inputs!$B$44-B2003)/(IF(Inputs!$B$39="pvp",15,MAX(0.1,Skills!D9-IF(Skills!E9=TRUE,Inputs!$B$33,0)))*(1-IF(AND(ArtifactsInput!$M$27,Inputs!$B$4="Chapter Hunt"),CHOOSE(ArtifactsInput!$N$27+1,20,24,28,32,36,40),0)/100)))+1)),0)</f>
        <v/>
      </c>
      <c r="S1973">
        <f>IF(C1973,(H1973*N1973*IF(AND(Inputs!$B$39&lt;&gt;"pvp",Inputs!$B$44&gt;0),((Skills!F9*((R1973-1)*IF(Skills!G9&gt;0,Skills!H9/Skills!G9,1)+IF(Skills!G9&gt;0,MIN(Skills!H9,MAX(0,MAX(0,Inputs!$B$44-B2003)-((R1973-1)*(IF(Inputs!$B$39="pvp",15,MAX(0.1,Skills!D9-IF(Skills!E9=TRUE,Inputs!$B$33,0)))*(1-IF(AND(ArtifactsInput!$M$27,Inputs!$B$4="Chapter Hunt"),CHOOSE(ArtifactsInput!$N$27+1,20,24,28,32,36,40),0)/100)))))/Skills!G9,1)))/Inputs!$B$44),G1973*Q1973))*IF(Inputs!$B$39="pvp",1,1+(Inputs!$B$21+Skills!O9+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1973*(1-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3">
        <f>IF(C1973,(H1973*N1973*IF(AND(Inputs!$B$39&lt;&gt;"pvp",Inputs!$B$44&gt;0),((Skills!F9*((R1973-1)*IF(Skills!G9&gt;0,Skills!H9/Skills!G9,1)+IF(Skills!G9&gt;0,MIN(Skills!H9,MAX(0,MAX(0,Inputs!$B$44-B2003)-((R1973-1)*(IF(Inputs!$B$39="pvp",15,MAX(0.1,Skills!D9-IF(Skills!E9=TRUE,Inputs!$B$33,0)))*(1-IF(AND(ArtifactsInput!$M$27,Inputs!$B$4="Chapter Hunt"),CHOOSE(ArtifactsInput!$N$27+1,20,24,28,32,36,40),0)/100)))))/Skills!G9,1)))/Inputs!$B$44),G1973*Q1973))*IF(Inputs!$B$39="pvp",1,(1+(Inputs!$B$22+Skills!P9+B1995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Skills!A10</f>
        <v/>
      </c>
      <c r="B1974">
        <f>Skills!B10</f>
        <v/>
      </c>
      <c r="C1974">
        <f>Inputs!$B$3&gt;=66</f>
        <v/>
      </c>
      <c r="D1974">
        <f>IF(Skills!C10=1,60+Inputs!$B$26+Inputs!$B$30,IF(Skills!C10=2,90+Inputs!$B$27+Inputs!$B$30,IF(Skills!C10=3,120+Inputs!$B$28+Inputs!$B$30,MAX(0,(Inputs!$B$3-100)*3)+Inputs!$B$29+Inputs!$B$30)))</f>
        <v/>
      </c>
      <c r="E1974">
        <f>INDEX(FactorTable!$B$2:$Y$301, MATCH(ROUND(MIN(300,MAX(1,D1974)),0), FactorTable!$A$2:$A$301,0), Skills!L10+1)</f>
        <v/>
      </c>
      <c r="F1974" t="n">
        <v>0</v>
      </c>
      <c r="G1974">
        <f>Calc!G10</f>
        <v/>
      </c>
      <c r="H1974">
        <f>Calc!H10</f>
        <v/>
      </c>
      <c r="I1974">
        <f>IF(Skills!T10&lt;&gt;"",1+(Skills!T10/10)*($Z$3/1000)/100,1)</f>
        <v/>
      </c>
      <c r="J1974" t="inlineStr"/>
      <c r="K1974" t="inlineStr"/>
      <c r="L1974" t="inlineStr"/>
      <c r="M1974" t="inlineStr"/>
      <c r="N1974" t="inlineStr"/>
      <c r="O1974">
        <f>(1-Summary!$B$11)*S1974+Summary!$B$11*U1974</f>
        <v/>
      </c>
      <c r="P1974">
        <f>IF(B2006=0,0,O1974/B2006)</f>
        <v/>
      </c>
      <c r="Q1974">
        <f>IFERROR(1/(IF(Inputs!$B$39="pvp",15,MAX(0.1,Skills!D10-IF(Skills!E10=TRUE,Inputs!$B$33,0)))*(1-IF(AND(ArtifactsInput!$M$27,Inputs!$B$4="Chapter Hunt"),CHOOSE(ArtifactsInput!$N$27+1,20,24,28,32,36,40),0)/100)),0)</f>
        <v/>
      </c>
      <c r="R1974">
        <f>IF(AND(Inputs!$B$39&lt;&gt;"pvp",Inputs!$B$44&gt;0),IF(MAX(0,Inputs!$B$44-B2003)&lt;=0,0,(INT(MAX(0,Inputs!$B$44-B2003)/(IF(Inputs!$B$39="pvp",15,MAX(0.1,Skills!D10-IF(Skills!E10=TRUE,Inputs!$B$33,0)))*(1-IF(AND(ArtifactsInput!$M$27,Inputs!$B$4="Chapter Hunt"),CHOOSE(ArtifactsInput!$N$27+1,20,24,28,32,36,40),0)/100)))+1)),0)</f>
        <v/>
      </c>
      <c r="S1974" t="n">
        <v>0</v>
      </c>
      <c r="U1974" t="n">
        <v>0</v>
      </c>
    </row>
    <row r="1975">
      <c r="A1975">
        <f>Skills!A11</f>
        <v/>
      </c>
      <c r="B1975">
        <f>Skills!B11</f>
        <v/>
      </c>
      <c r="C1975">
        <f>Inputs!$B$3&gt;=69</f>
        <v/>
      </c>
      <c r="D1975">
        <f>IF(Skills!C11=1,60+Inputs!$B$26+Inputs!$B$30,IF(Skills!C11=2,90+Inputs!$B$27+Inputs!$B$30,IF(Skills!C11=3,120+Inputs!$B$28+Inputs!$B$30,MAX(0,(Inputs!$B$3-100)*3)+Inputs!$B$29+Inputs!$B$30)))</f>
        <v/>
      </c>
      <c r="E1975">
        <f>INDEX(FactorTable!$B$2:$Y$301, MATCH(ROUND(MIN(300,MAX(1,D1975)),0), FactorTable!$A$2:$A$301,0), Skills!L11+1)</f>
        <v/>
      </c>
      <c r="F1975">
        <f>IF(Skills!M11=TRUE,(Skills!K11/10)*(E1975/1000),Skills!K11/10)+Skills!N11</f>
        <v/>
      </c>
      <c r="G1975">
        <f>Calc!G11</f>
        <v/>
      </c>
      <c r="H1975">
        <f>Calc!H11</f>
        <v/>
      </c>
      <c r="I1975">
        <f>IF(Skills!T11&lt;&gt;"",1+(Skills!T11/10)*($Z$3/1000)/100,1)</f>
        <v/>
      </c>
      <c r="J1975" t="inlineStr"/>
      <c r="K1975" t="inlineStr"/>
      <c r="L1975" t="inlineStr"/>
      <c r="M1975" t="inlineStr"/>
      <c r="N1975" t="inlineStr"/>
      <c r="O1975">
        <f>(1-Summary!$B$11)*S1975+Summary!$B$11*U1975</f>
        <v/>
      </c>
      <c r="P1975">
        <f>IF(B2006=0,0,O1975/B2006)</f>
        <v/>
      </c>
      <c r="Q1975">
        <f>IFERROR(1/(IF(Inputs!$B$39="pvp",15,MAX(0.1,Skills!D11-IF(Skills!E11=TRUE,Inputs!$B$33,0)))*(1-IF(AND(ArtifactsInput!$M$27,Inputs!$B$4="Chapter Hunt"),CHOOSE(ArtifactsInput!$N$27+1,20,24,28,32,36,40),0)/100)),0)</f>
        <v/>
      </c>
      <c r="R1975">
        <f>IF(AND(Inputs!$B$39&lt;&gt;"pvp",Inputs!$B$44&gt;0),IF(Inputs!$B$44&lt;=0,0,(INT(Inputs!$B$44/(IF(Inputs!$B$39="pvp",15,MAX(0.1,Skills!D11-IF(Skills!E11=TRUE,Inputs!$B$33,0)))*(1-IF(AND(ArtifactsInput!$M$27,Inputs!$B$4="Chapter Hunt"),CHOOSE(ArtifactsInput!$N$27+1,20,24,28,32,36,40),0)/100)))+1)),0)</f>
        <v/>
      </c>
      <c r="S1975" t="n">
        <v>0</v>
      </c>
      <c r="U1975" t="n">
        <v>0</v>
      </c>
    </row>
    <row r="1976">
      <c r="A1976">
        <f>Skills!A12</f>
        <v/>
      </c>
      <c r="B1976">
        <f>Skills!B12</f>
        <v/>
      </c>
      <c r="C1976">
        <f>Inputs!$B$3&gt;=72</f>
        <v/>
      </c>
      <c r="D1976">
        <f>IF(Skills!C12=1,60+Inputs!$B$26+Inputs!$B$30,IF(Skills!C12=2,90+Inputs!$B$27+Inputs!$B$30,IF(Skills!C12=3,120+Inputs!$B$28+Inputs!$B$30,MAX(0,(Inputs!$B$3-100)*3)+Inputs!$B$29+Inputs!$B$30)))</f>
        <v/>
      </c>
      <c r="E1976">
        <f>INDEX(FactorTable!$B$2:$Y$301, MATCH(ROUND(MIN(300,MAX(1,D1976)),0), FactorTable!$A$2:$A$301,0), Skills!L12+1)</f>
        <v/>
      </c>
      <c r="F1976">
        <f>IF(Skills!M12=TRUE,(Skills!K12/10)*(E1976/1000),Skills!K12/10)+Skills!N12</f>
        <v/>
      </c>
      <c r="G1976">
        <f>Calc!G12</f>
        <v/>
      </c>
      <c r="H1976">
        <f>Calc!H12</f>
        <v/>
      </c>
      <c r="I1976">
        <f>IF(Skills!T12&lt;&gt;"",1+(Skills!T12/10)*($Z$3/1000)/100,1)</f>
        <v/>
      </c>
      <c r="J1976" t="inlineStr"/>
      <c r="K1976" t="inlineStr"/>
      <c r="L1976" t="inlineStr"/>
      <c r="M1976" t="inlineStr"/>
      <c r="N1976" t="inlineStr"/>
      <c r="O1976">
        <f>(1-Summary!$B$11)*S1976+Summary!$B$11*U1976</f>
        <v/>
      </c>
      <c r="P1976">
        <f>IF(B2006=0,0,O1976/B2006)</f>
        <v/>
      </c>
      <c r="Q1976">
        <f>IFERROR(1/(IF(Inputs!$B$39="pvp",15,MAX(0.1,Skills!D12-IF(Skills!E12=TRUE,Inputs!$B$33,0)))*(1-IF(AND(ArtifactsInput!$M$27,Inputs!$B$4="Chapter Hunt"),CHOOSE(ArtifactsInput!$N$27+1,20,24,28,32,36,40),0)/100)),0)</f>
        <v/>
      </c>
      <c r="R1976">
        <f>IF(AND(Inputs!$B$39&lt;&gt;"pvp",Inputs!$B$44&gt;0),IF(MAX(0,Inputs!$B$44-B2003)&lt;=0,0,(INT(MAX(0,Inputs!$B$44-B2003)/(IF(Inputs!$B$39="pvp",15,MAX(0.1,Skills!D12-IF(Skills!E12=TRUE,Inputs!$B$33,0)))*(1-IF(AND(ArtifactsInput!$M$27,Inputs!$B$4="Chapter Hunt"),CHOOSE(ArtifactsInput!$N$27+1,20,24,28,32,36,40),0)/100)))+1)),0)</f>
        <v/>
      </c>
      <c r="S1976" t="n">
        <v>0</v>
      </c>
      <c r="U1976" t="n">
        <v>0</v>
      </c>
    </row>
    <row r="1977">
      <c r="A1977">
        <f>Skills!A13</f>
        <v/>
      </c>
      <c r="B1977">
        <f>Skills!B13</f>
        <v/>
      </c>
      <c r="C1977">
        <f>Inputs!$B$3&gt;=60</f>
        <v/>
      </c>
      <c r="D1977">
        <f>IF(Skills!C13=1,60+Inputs!$B$26+Inputs!$B$30,IF(Skills!C13=2,90+Inputs!$B$27+Inputs!$B$30,IF(Skills!C13=3,120+Inputs!$B$28+Inputs!$B$30,MAX(0,(Inputs!$B$3-100)*3)+Inputs!$B$29+Inputs!$B$30)))</f>
        <v/>
      </c>
      <c r="E1977">
        <f>INDEX(FactorTable!$B$2:$Y$301, MATCH(ROUND(MIN(300,MAX(1,D1977)),0), FactorTable!$A$2:$A$301,0), Skills!L13+1)</f>
        <v/>
      </c>
      <c r="F1977">
        <f>IF(Skills!M13=TRUE,(Skills!K13/10)*(E1977/1000),Skills!K13/10)+Skills!N13</f>
        <v/>
      </c>
      <c r="G1977">
        <f>Calc!G13</f>
        <v/>
      </c>
      <c r="H1977">
        <f>Calc!H13</f>
        <v/>
      </c>
      <c r="I1977">
        <f>IF(Skills!T13&lt;&gt;"",1+(Skills!T13/10)*($Z$3/1000)/100,1)</f>
        <v/>
      </c>
      <c r="J1977" t="inlineStr"/>
      <c r="K1977" t="inlineStr"/>
      <c r="L1977" t="inlineStr"/>
      <c r="M1977" t="inlineStr"/>
      <c r="N1977" t="inlineStr"/>
      <c r="O1977">
        <f>(1-Summary!$B$11)*S1977+Summary!$B$11*U1977</f>
        <v/>
      </c>
      <c r="P1977">
        <f>IF(B2006=0,0,O1977/B2006)</f>
        <v/>
      </c>
      <c r="Q1977">
        <f>IFERROR(1/(IF(Inputs!$B$39="pvp",15,MAX(0.1,Skills!D13-IF(Skills!E13=TRUE,Inputs!$B$33,0)))*(1-IF(AND(ArtifactsInput!$M$27,Inputs!$B$4="Chapter Hunt"),CHOOSE(ArtifactsInput!$N$27+1,20,24,28,32,36,40),0)/100)),0)</f>
        <v/>
      </c>
      <c r="R1977">
        <f>IF(AND(Inputs!$B$39&lt;&gt;"pvp",Inputs!$B$44&gt;0),IF(MAX(0,Inputs!$B$44-B2003)&lt;=0,0,(INT(MAX(0,Inputs!$B$44-B2003)/(IF(Inputs!$B$39="pvp",15,MAX(0.1,Skills!D13-IF(Skills!E13=TRUE,Inputs!$B$33,0)))*(1-IF(AND(ArtifactsInput!$M$27,Inputs!$B$4="Chapter Hunt"),CHOOSE(ArtifactsInput!$N$27+1,20,24,28,32,36,40),0)/100)))+1)),0)</f>
        <v/>
      </c>
      <c r="S1977" t="n">
        <v>0</v>
      </c>
      <c r="U1977" t="n">
        <v>0</v>
      </c>
    </row>
    <row r="1978">
      <c r="A1978">
        <f>Skills!A14</f>
        <v/>
      </c>
      <c r="B1978">
        <f>Skills!B14</f>
        <v/>
      </c>
      <c r="C1978">
        <f>Inputs!$B$3&gt;=107</f>
        <v/>
      </c>
      <c r="D1978">
        <f>IF(Skills!C14=1,60+Inputs!$B$26+Inputs!$B$30,IF(Skills!C14=2,90+Inputs!$B$27+Inputs!$B$30,IF(Skills!C14=3,120+Inputs!$B$28+Inputs!$B$30,MAX(0,(Inputs!$B$3-100)*3)+Inputs!$B$29+Inputs!$B$30)))</f>
        <v/>
      </c>
      <c r="E1978">
        <f>INDEX(FactorTable!$B$2:$Y$301, MATCH(ROUND(MIN(300,MAX(1,D1978)),0), FactorTable!$A$2:$A$301,0), Skills!L14+1)</f>
        <v/>
      </c>
      <c r="F1978">
        <f>IF(Skills!M14=TRUE,(Skills!K14/10)*(E1978/1000),Skills!K14/10)+Skills!N14</f>
        <v/>
      </c>
      <c r="G1978">
        <f>Calc!G14</f>
        <v/>
      </c>
      <c r="H1978">
        <f>Calc!H14</f>
        <v/>
      </c>
      <c r="I1978">
        <f>IF(Skills!T14&lt;&gt;"",1+(Skills!T14/10)*($Z$3/1000)/100,1)</f>
        <v/>
      </c>
      <c r="J1978" t="inlineStr"/>
      <c r="K1978" t="inlineStr"/>
      <c r="L1978" t="inlineStr"/>
      <c r="M1978" t="inlineStr"/>
      <c r="N1978" t="inlineStr"/>
      <c r="O1978">
        <f>(1-Summary!$B$11)*S1978+Summary!$B$11*U1978</f>
        <v/>
      </c>
      <c r="P1978">
        <f>IF(B2006=0,0,O1978/B2006)</f>
        <v/>
      </c>
      <c r="Q1978">
        <f>IFERROR(1/(IF(Inputs!$B$39="pvp",15,MAX(0.1,Skills!D14-IF(Skills!E14=TRUE,Inputs!$B$33,0)))*(1-IF(AND(ArtifactsInput!$M$27,Inputs!$B$4="Chapter Hunt"),CHOOSE(ArtifactsInput!$N$27+1,20,24,28,32,36,40),0)/100)),0)</f>
        <v/>
      </c>
      <c r="R1978">
        <f>IF(AND(Inputs!$B$39&lt;&gt;"pvp",Inputs!$B$44&gt;0),IF(Inputs!$B$44&lt;=0,0,(INT(Inputs!$B$44/(IF(Inputs!$B$39="pvp",15,MAX(0.1,Skills!D14-IF(Skills!E14=TRUE,Inputs!$B$33,0)))*(1-IF(AND(ArtifactsInput!$M$27,Inputs!$B$4="Chapter Hunt"),CHOOSE(ArtifactsInput!$N$27+1,20,24,28,32,36,40),0)/100)))+1)),0)</f>
        <v/>
      </c>
      <c r="S1978" t="n">
        <v>0</v>
      </c>
      <c r="U1978" t="n">
        <v>0</v>
      </c>
    </row>
    <row r="1979">
      <c r="A1979">
        <f>Skills!A15</f>
        <v/>
      </c>
      <c r="B1979">
        <f>Skills!B15</f>
        <v/>
      </c>
      <c r="C1979">
        <f>Inputs!$B$3&gt;=63</f>
        <v/>
      </c>
      <c r="D1979">
        <f>IF(Skills!C15=1,60+Inputs!$B$26+Inputs!$B$30,IF(Skills!C15=2,90+Inputs!$B$27+Inputs!$B$30,IF(Skills!C15=3,120+Inputs!$B$28+Inputs!$B$30,MAX(0,(Inputs!$B$3-100)*3)+Inputs!$B$29+Inputs!$B$30)))</f>
        <v/>
      </c>
      <c r="E1979">
        <f>INDEX(FactorTable!$B$2:$Y$301, MATCH(ROUND(MIN(300,MAX(1,D1979)),0), FactorTable!$A$2:$A$301,0), Skills!L15+1)</f>
        <v/>
      </c>
      <c r="F1979">
        <f>IF(Skills!M15=TRUE,(Skills!K15/10)*(E1979/1000),Skills!K15/10)+Skills!N15</f>
        <v/>
      </c>
      <c r="G1979">
        <f>Calc!G15</f>
        <v/>
      </c>
      <c r="H1979">
        <f>Calc!H15</f>
        <v/>
      </c>
      <c r="I1979">
        <f>IF(Skills!T15&lt;&gt;"",1+(Skills!T15/10)*($Z$3/1000)/100,1)</f>
        <v/>
      </c>
      <c r="J1979">
        <f>((Inputs!$B$6*(1+Inputs!$B$7/100))+(((Inputs!$B$13*(1+Inputs!$B$14/100))-(Inputs!$B$13*(1+Inputs!$B$14/100)))+0.25*(Inputs!$B$15-Inputs!$B$15))*(1+Inputs!$B$7/100))*(F1979/100)</f>
        <v/>
      </c>
      <c r="K1979">
        <f>J1979*(1+(((Inputs!$B$13+IF(Inputs!$B$3&gt;=35,(10*INDEX(FactorTable!$B$2:$Y$301,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15="TRIUMPH_FEATHER",IF(C1980=TRUE,F1980,0),0)/100)*(1+IF(C1991=TRUE,F1991,0)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1979)</f>
        <v/>
      </c>
      <c r="L1979">
        <f>K1979*(MIN(Inputs!$B$23+(F1986-Calc!F22),(Inputs!$B$24+IF(ArtifactsInput!$M$15,CHOOSE(ArtifactsInput!$N$15+1,25,30,35,40,45,50)/100*(Inputs!$B$12-Inputs!$B$12),0)))/100+(Inputs!$B$24+IF(ArtifactsInput!$M$15,CHOOSE(ArtifactsInput!$N$15+1,25,30,35,40,45,50)/100*(Inputs!$B$12-Inputs!$B$12),0))/100)/2</f>
        <v/>
      </c>
      <c r="M1979">
        <f>L1979*(1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9">
        <f>L1979*(1-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1979*(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9">
        <f>(1-Summary!$B$11)*S1979+Summary!$B$11*U1979</f>
        <v/>
      </c>
      <c r="P1979">
        <f>IF(B2006=0,0,O1979/B2006)</f>
        <v/>
      </c>
      <c r="Q1979">
        <f>IFERROR(1/(IF(Inputs!$B$39="pvp",15,MAX(0.1,Skills!D15-IF(Skills!E15=TRUE,Inputs!$B$33,0)))*(1-IF(AND(ArtifactsInput!$M$27,Inputs!$B$4="Chapter Hunt"),CHOOSE(ArtifactsInput!$N$27+1,20,24,28,32,36,40),0)/100)),0)</f>
        <v/>
      </c>
      <c r="R1979" t="n">
        <v>0</v>
      </c>
      <c r="S1979">
        <f>IF(C1979,(Skills!F15*N1979*((IF(Inputs!$B$3&gt;=78,25,15)/100*B1999*10)/(1+IF(Inputs!$B$3&gt;=78,25,15)/100*B1999*10))*(Skills!I15/100*B1999)/(1+Skills!G15*Skills!I15/100*B1999))*IF(Inputs!$B$39="pvp",1,1+(Inputs!$B$21+Skills!O15+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1979*(1-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1979*(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1979*(1-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1979*(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9">
        <f>IF(C1979,(Skills!F15*N1979*((IF(Inputs!$B$3&gt;=78,25,15)/100*B1999*10)/(1+IF(Inputs!$B$3&gt;=78,25,15)/100*B1999*10))*(Skills!I15/100*B1999)/(1+Skills!G15*Skills!I15/100*B1999))*IF(Inputs!$B$39="pvp",1,(1+(Inputs!$B$22+Skills!P15+B1995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0">
      <c r="A1980">
        <f>Skills!A16</f>
        <v/>
      </c>
      <c r="B1980">
        <f>Skills!B16</f>
        <v/>
      </c>
      <c r="C1980">
        <f>Inputs!$B$3&gt;=100</f>
        <v/>
      </c>
      <c r="D1980">
        <f>IF(Skills!C16=1,60+Inputs!$B$26+Inputs!$B$30,IF(Skills!C16=2,90+Inputs!$B$27+Inputs!$B$30,IF(Skills!C16=3,120+Inputs!$B$28+Inputs!$B$30,MAX(0,(Inputs!$B$3-100)*3)+Inputs!$B$29+Inputs!$B$30)))</f>
        <v/>
      </c>
      <c r="E1980">
        <f>INDEX(FactorTable!$B$2:$Y$301, MATCH(ROUND(MIN(300,MAX(1,D1980)),0), FactorTable!$A$2:$A$301,0), Skills!L16+1)</f>
        <v/>
      </c>
      <c r="F1980">
        <f>IF(Skills!M16=TRUE,(Skills!K16/10)*(E1980/1000),Skills!K16/10)+Skills!N16</f>
        <v/>
      </c>
      <c r="G1980">
        <f>Calc!G16</f>
        <v/>
      </c>
      <c r="H1980">
        <f>Calc!H16</f>
        <v/>
      </c>
      <c r="I1980">
        <f>IF(Skills!T16&lt;&gt;"",1+(Skills!T16/10)*($Z$3/1000)/100,1)</f>
        <v/>
      </c>
      <c r="J1980" t="inlineStr"/>
      <c r="K1980" t="inlineStr"/>
      <c r="L1980" t="inlineStr"/>
      <c r="M1980" t="inlineStr"/>
      <c r="N1980" t="inlineStr"/>
      <c r="O1980">
        <f>(1-Summary!$B$11)*S1980+Summary!$B$11*U1980</f>
        <v/>
      </c>
      <c r="P1980">
        <f>IF(B2006=0,0,O1980/B2006)</f>
        <v/>
      </c>
      <c r="Q1980">
        <f>IFERROR(1/(IF(Inputs!$B$39="pvp",15,MAX(0.1,Skills!D16-IF(Skills!E16=TRUE,Inputs!$B$33,0)))*(1-IF(AND(ArtifactsInput!$M$27,Inputs!$B$4="Chapter Hunt"),CHOOSE(ArtifactsInput!$N$27+1,20,24,28,32,36,40),0)/100)),0)</f>
        <v/>
      </c>
      <c r="R1980" t="n">
        <v>0</v>
      </c>
      <c r="S1980" t="n">
        <v>0</v>
      </c>
      <c r="U1980" t="n">
        <v>0</v>
      </c>
    </row>
    <row r="1981">
      <c r="A1981">
        <f>Skills!A17</f>
        <v/>
      </c>
      <c r="B1981">
        <f>Skills!B17</f>
        <v/>
      </c>
      <c r="C1981">
        <f>Inputs!$B$3&gt;=49</f>
        <v/>
      </c>
      <c r="D1981">
        <f>IF(Skills!C17=1,60+Inputs!$B$26+Inputs!$B$30,IF(Skills!C17=2,90+Inputs!$B$27+Inputs!$B$30,IF(Skills!C17=3,120+Inputs!$B$28+Inputs!$B$30,MAX(0,(Inputs!$B$3-100)*3)+Inputs!$B$29+Inputs!$B$30)))</f>
        <v/>
      </c>
      <c r="E1981">
        <f>INDEX(FactorTable!$B$2:$Y$301, MATCH(ROUND(MIN(300,MAX(1,D1981)),0), FactorTable!$A$2:$A$301,0), Skills!L17+1)</f>
        <v/>
      </c>
      <c r="F1981">
        <f>IF(Skills!M17=TRUE,(Skills!K17/10)*(E1981/1000),Skills!K17/10)+Skills!N17</f>
        <v/>
      </c>
      <c r="G1981">
        <f>Calc!G17</f>
        <v/>
      </c>
      <c r="H1981">
        <f>Calc!H17</f>
        <v/>
      </c>
      <c r="I1981">
        <f>IF(Skills!T17&lt;&gt;"",1+(Skills!T17/10)*($Z$3/1000)/100,1)</f>
        <v/>
      </c>
      <c r="J1981" t="inlineStr"/>
      <c r="K1981" t="inlineStr"/>
      <c r="L1981" t="inlineStr"/>
      <c r="M1981" t="inlineStr"/>
      <c r="N1981" t="inlineStr"/>
      <c r="O1981">
        <f>(1-Summary!$B$11)*S1981+Summary!$B$11*U1981</f>
        <v/>
      </c>
      <c r="P1981">
        <f>IF(B2006=0,0,O1981/B2006)</f>
        <v/>
      </c>
      <c r="Q1981">
        <f>IFERROR(1/(IF(Inputs!$B$39="pvp",15,MAX(0.1,Skills!D17-IF(Skills!E17=TRUE,Inputs!$B$33,0)))*(1-IF(AND(ArtifactsInput!$M$27,Inputs!$B$4="Chapter Hunt"),CHOOSE(ArtifactsInput!$N$27+1,20,24,28,32,36,40),0)/100)),0)</f>
        <v/>
      </c>
      <c r="R1981" t="n">
        <v>0</v>
      </c>
      <c r="S1981" t="n">
        <v>0</v>
      </c>
      <c r="U1981" t="n">
        <v>0</v>
      </c>
    </row>
    <row r="1982">
      <c r="A1982">
        <f>Skills!A18</f>
        <v/>
      </c>
      <c r="B1982">
        <f>Skills!B18</f>
        <v/>
      </c>
      <c r="C1982">
        <f>Inputs!$B$3&gt;=75</f>
        <v/>
      </c>
      <c r="D1982">
        <f>IF(Skills!C18=1,60+Inputs!$B$26+Inputs!$B$30,IF(Skills!C18=2,90+Inputs!$B$27+Inputs!$B$30,IF(Skills!C18=3,120+Inputs!$B$28+Inputs!$B$30,MAX(0,(Inputs!$B$3-100)*3)+Inputs!$B$29+Inputs!$B$30)))</f>
        <v/>
      </c>
      <c r="E1982">
        <f>INDEX(FactorTable!$B$2:$Y$301, MATCH(ROUND(MIN(300,MAX(1,D1982)),0), FactorTable!$A$2:$A$301,0), Skills!L18+1)</f>
        <v/>
      </c>
      <c r="F1982">
        <f>IF(Skills!M18=TRUE,(Skills!K18/10)*(E1982/1000),Skills!K18/10)+Skills!N18</f>
        <v/>
      </c>
      <c r="G1982">
        <f>Calc!G18</f>
        <v/>
      </c>
      <c r="H1982">
        <f>Calc!H18</f>
        <v/>
      </c>
      <c r="I1982">
        <f>IF(Skills!T18&lt;&gt;"",1+(Skills!T18/10)*($Z$3/1000)/100,1)</f>
        <v/>
      </c>
      <c r="J1982" t="inlineStr"/>
      <c r="K1982" t="inlineStr"/>
      <c r="L1982" t="inlineStr"/>
      <c r="M1982" t="inlineStr"/>
      <c r="N1982" t="inlineStr"/>
      <c r="O1982">
        <f>(1-Summary!$B$11)*S1982+Summary!$B$11*U1982</f>
        <v/>
      </c>
      <c r="P1982">
        <f>IF(B2006=0,0,O1982/B2006)</f>
        <v/>
      </c>
      <c r="Q1982">
        <f>IFERROR(1/(IF(Inputs!$B$39="pvp",15,MAX(0.1,Skills!D18-IF(Skills!E18=TRUE,Inputs!$B$33,0)))*(1-IF(AND(ArtifactsInput!$M$27,Inputs!$B$4="Chapter Hunt"),CHOOSE(ArtifactsInput!$N$27+1,20,24,28,32,36,40),0)/100)),0)</f>
        <v/>
      </c>
      <c r="R1982" t="n">
        <v>0</v>
      </c>
      <c r="S1982" t="n">
        <v>0</v>
      </c>
      <c r="U1982" t="n">
        <v>0</v>
      </c>
    </row>
    <row r="1983">
      <c r="A1983">
        <f>Skills!A19</f>
        <v/>
      </c>
      <c r="B1983">
        <f>Skills!B19</f>
        <v/>
      </c>
      <c r="C1983">
        <f>Inputs!$B$3&gt;=110</f>
        <v/>
      </c>
      <c r="D1983">
        <f>IF(Skills!C19=1,60+Inputs!$B$26+Inputs!$B$30,IF(Skills!C19=2,90+Inputs!$B$27+Inputs!$B$30,IF(Skills!C19=3,120+Inputs!$B$28+Inputs!$B$30,MAX(0,(Inputs!$B$3-100)*3)+Inputs!$B$29+Inputs!$B$30)))</f>
        <v/>
      </c>
      <c r="E1983">
        <f>INDEX(FactorTable!$B$2:$Y$301, MATCH(ROUND(MIN(300,MAX(1,D1983)),0), FactorTable!$A$2:$A$301,0), Skills!L19+1)</f>
        <v/>
      </c>
      <c r="F1983">
        <f>(Skills!K19/10)*(E1983/1000)*64/45+Skills!N19</f>
        <v/>
      </c>
      <c r="G1983">
        <f>Calc!G19</f>
        <v/>
      </c>
      <c r="H1983">
        <f>Calc!H19</f>
        <v/>
      </c>
      <c r="I1983">
        <f>IF(Skills!T19&lt;&gt;"",1+(Skills!T19/10)*($Z$3/1000)/100,1)</f>
        <v/>
      </c>
      <c r="J1983" t="inlineStr"/>
      <c r="K1983" t="inlineStr"/>
      <c r="L1983" t="inlineStr"/>
      <c r="M1983" t="inlineStr"/>
      <c r="N1983" t="inlineStr"/>
      <c r="O1983">
        <f>(1-Summary!$B$11)*S1983+Summary!$B$11*U1983</f>
        <v/>
      </c>
      <c r="P1983">
        <f>IF(B2006=0,0,O1983/B2006)</f>
        <v/>
      </c>
      <c r="Q1983">
        <f>IFERROR(1/(IF(Inputs!$B$39="pvp",15,MAX(0.1,Skills!D19-IF(Skills!E19=TRUE,Inputs!$B$33,0)))*(1-IF(AND(ArtifactsInput!$M$27,Inputs!$B$4="Chapter Hunt"),CHOOSE(ArtifactsInput!$N$27+1,20,24,28,32,36,40),0)/100)),0)</f>
        <v/>
      </c>
      <c r="R1983">
        <f>IF(AND(Inputs!$B$39&lt;&gt;"pvp",Inputs!$B$44&gt;0),IF(Inputs!$B$44&lt;=0,0,(INT(Inputs!$B$44/(IF(Inputs!$B$39="pvp",15,MAX(0.1,Skills!D19-IF(Skills!E19=TRUE,Inputs!$B$33,0)))*(1-IF(AND(ArtifactsInput!$M$27,Inputs!$B$4="Chapter Hunt"),CHOOSE(ArtifactsInput!$N$27+1,20,24,28,32,36,40),0)/100)))+1)),0)</f>
        <v/>
      </c>
      <c r="S1983" t="n">
        <v>0</v>
      </c>
      <c r="U1983" t="n">
        <v>0</v>
      </c>
    </row>
    <row r="1984">
      <c r="A1984">
        <f>Skills!A20</f>
        <v/>
      </c>
      <c r="B1984">
        <f>Skills!B20</f>
        <v/>
      </c>
      <c r="C1984">
        <f>Inputs!$B$3&gt;=125</f>
        <v/>
      </c>
      <c r="D1984">
        <f>IF(Skills!C20=1,60+Inputs!$B$26+Inputs!$B$30,IF(Skills!C20=2,90+Inputs!$B$27+Inputs!$B$30,IF(Skills!C20=3,120+Inputs!$B$28+Inputs!$B$30,MAX(0,(Inputs!$B$3-100)*3)+Inputs!$B$29+Inputs!$B$30)))</f>
        <v/>
      </c>
      <c r="E1984">
        <f>INDEX(FactorTable!$B$2:$Y$301, MATCH(ROUND(MIN(300,MAX(1,D1984)),0), FactorTable!$A$2:$A$301,0), Skills!L20+1)</f>
        <v/>
      </c>
      <c r="F1984">
        <f>IF(Skills!M20=TRUE,(Skills!K20/10)*(E1984/1000),Skills!K20/10)+Skills!N20</f>
        <v/>
      </c>
      <c r="G1984">
        <f>Calc!G20</f>
        <v/>
      </c>
      <c r="H1984">
        <f>Calc!H20</f>
        <v/>
      </c>
      <c r="I1984">
        <f>IF(Skills!T20&lt;&gt;"",1+(Skills!T20/10)*($Z$3/1000)/100,1)</f>
        <v/>
      </c>
      <c r="J1984" t="inlineStr"/>
      <c r="K1984" t="inlineStr"/>
      <c r="L1984" t="inlineStr"/>
      <c r="M1984" t="inlineStr"/>
      <c r="N1984" t="inlineStr"/>
      <c r="O1984">
        <f>(1-Summary!$B$11)*S1984+Summary!$B$11*U1984</f>
        <v/>
      </c>
      <c r="P1984">
        <f>IF(B2006=0,0,O1984/B2006)</f>
        <v/>
      </c>
      <c r="Q1984">
        <f>IFERROR(1/(IF(Inputs!$B$39="pvp",15,MAX(0.1,Skills!D20-IF(Skills!E20=TRUE,Inputs!$B$33,0)))*(1-IF(AND(ArtifactsInput!$M$27,Inputs!$B$4="Chapter Hunt"),CHOOSE(ArtifactsInput!$N$27+1,20,24,28,32,36,40),0)/100)),0)</f>
        <v/>
      </c>
      <c r="R1984" t="n">
        <v>0</v>
      </c>
      <c r="S1984" t="n">
        <v>0</v>
      </c>
      <c r="U1984" t="n">
        <v>0</v>
      </c>
    </row>
    <row r="1985">
      <c r="A1985">
        <f>Skills!A21</f>
        <v/>
      </c>
      <c r="B1985">
        <f>Skills!B21</f>
        <v/>
      </c>
      <c r="C1985">
        <f>Inputs!$B$3&gt;=33</f>
        <v/>
      </c>
      <c r="D1985">
        <f>IF(Skills!C21=1,60+Inputs!$B$26+Inputs!$B$30,IF(Skills!C21=2,90+Inputs!$B$27+Inputs!$B$30,IF(Skills!C21=3,120+Inputs!$B$28+Inputs!$B$30,MAX(0,(Inputs!$B$3-100)*3)+Inputs!$B$29+Inputs!$B$30)))</f>
        <v/>
      </c>
      <c r="E1985">
        <f>INDEX(FactorTable!$B$2:$Y$301, MATCH(ROUND(MIN(300,MAX(1,D1985)),0), FactorTable!$A$2:$A$301,0), Skills!L21+1)</f>
        <v/>
      </c>
      <c r="F1985">
        <f>IF(Skills!M21=TRUE,(Skills!K21/10)*(E1985/1000),Skills!K21/10)+Skills!N21</f>
        <v/>
      </c>
      <c r="G1985">
        <f>Calc!G21</f>
        <v/>
      </c>
      <c r="H1985">
        <f>Calc!H21</f>
        <v/>
      </c>
      <c r="I1985">
        <f>IF(Skills!T21&lt;&gt;"",1+(Skills!T21/10)*($Z$3/1000)/100,1)</f>
        <v/>
      </c>
      <c r="J1985" t="inlineStr"/>
      <c r="K1985" t="inlineStr"/>
      <c r="L1985" t="inlineStr"/>
      <c r="M1985" t="inlineStr"/>
      <c r="N1985" t="inlineStr"/>
      <c r="O1985">
        <f>(1-Summary!$B$11)*S1985+Summary!$B$11*U1985</f>
        <v/>
      </c>
      <c r="P1985">
        <f>IF(B2006=0,0,O1985/B2006)</f>
        <v/>
      </c>
      <c r="Q1985">
        <f>IFERROR(1/(IF(Inputs!$B$39="pvp",15,MAX(0.1,Skills!D21-IF(Skills!E21=TRUE,Inputs!$B$33,0)))*(1-IF(AND(ArtifactsInput!$M$27,Inputs!$B$4="Chapter Hunt"),CHOOSE(ArtifactsInput!$N$27+1,20,24,28,32,36,40),0)/100)),0)</f>
        <v/>
      </c>
      <c r="R1985" t="n">
        <v>0</v>
      </c>
      <c r="S1985" t="n">
        <v>0</v>
      </c>
      <c r="U1985" t="n">
        <v>0</v>
      </c>
    </row>
    <row r="1986">
      <c r="A1986">
        <f>Skills!A22</f>
        <v/>
      </c>
      <c r="B1986">
        <f>Skills!B22</f>
        <v/>
      </c>
      <c r="C1986">
        <f>Inputs!$B$3&gt;=43</f>
        <v/>
      </c>
      <c r="D1986">
        <f>IF(Skills!C22=1,60+Inputs!$B$26+Inputs!$B$30,IF(Skills!C22=2,90+Inputs!$B$27+Inputs!$B$30,IF(Skills!C22=3,120+Inputs!$B$28+Inputs!$B$30,MAX(0,(Inputs!$B$3-100)*3)+Inputs!$B$29+Inputs!$B$30)))</f>
        <v/>
      </c>
      <c r="E1986">
        <f>INDEX(FactorTable!$B$2:$Y$301, MATCH(ROUND(MIN(300,MAX(1,D1986)),0), FactorTable!$A$2:$A$301,0), Skills!L22+1)</f>
        <v/>
      </c>
      <c r="F1986">
        <f>IF(Skills!M22=TRUE,(Skills!K22/10)*(E1986/1000),Skills!K22/10)+Skills!N22</f>
        <v/>
      </c>
      <c r="G1986">
        <f>Calc!G22</f>
        <v/>
      </c>
      <c r="H1986">
        <f>Calc!H22</f>
        <v/>
      </c>
      <c r="I1986">
        <f>IF(Skills!T22&lt;&gt;"",1+(Skills!T22/10)*($Z$3/1000)/100,1)</f>
        <v/>
      </c>
      <c r="J1986" t="inlineStr"/>
      <c r="K1986" t="inlineStr"/>
      <c r="L1986" t="inlineStr"/>
      <c r="M1986" t="inlineStr"/>
      <c r="N1986" t="inlineStr"/>
      <c r="O1986">
        <f>(1-Summary!$B$11)*S1986+Summary!$B$11*U1986</f>
        <v/>
      </c>
      <c r="P1986">
        <f>IF(B2006=0,0,O1986/B2006)</f>
        <v/>
      </c>
      <c r="Q1986">
        <f>IFERROR(1/(IF(Inputs!$B$39="pvp",15,MAX(0.1,Skills!D22-IF(Skills!E22=TRUE,Inputs!$B$33,0)))*(1-IF(AND(ArtifactsInput!$M$27,Inputs!$B$4="Chapter Hunt"),CHOOSE(ArtifactsInput!$N$27+1,20,24,28,32,36,40),0)/100)),0)</f>
        <v/>
      </c>
      <c r="R1986" t="n">
        <v>0</v>
      </c>
      <c r="S1986" t="n">
        <v>0</v>
      </c>
      <c r="U1986" t="n">
        <v>0</v>
      </c>
    </row>
    <row r="1987">
      <c r="A1987">
        <f>Skills!A23</f>
        <v/>
      </c>
      <c r="B1987">
        <f>Skills!B23</f>
        <v/>
      </c>
      <c r="C1987">
        <f>Inputs!$B$3&gt;=50</f>
        <v/>
      </c>
      <c r="D1987">
        <f>IF(Skills!C23=1,60+Inputs!$B$26+Inputs!$B$30,IF(Skills!C23=2,90+Inputs!$B$27+Inputs!$B$30,IF(Skills!C23=3,120+Inputs!$B$28+Inputs!$B$30,MAX(0,(Inputs!$B$3-100)*3)+Inputs!$B$29+Inputs!$B$30)))</f>
        <v/>
      </c>
      <c r="E1987">
        <f>INDEX(FactorTable!$B$2:$Y$301, MATCH(ROUND(MIN(300,MAX(1,D1987)),0), FactorTable!$A$2:$A$301,0), Skills!L23+1)</f>
        <v/>
      </c>
      <c r="F1987">
        <f>IF(Skills!M23=TRUE,(Skills!K23/10)*(E1987/1000),Skills!K23/10)+Skills!N23</f>
        <v/>
      </c>
      <c r="G1987">
        <f>Calc!G23</f>
        <v/>
      </c>
      <c r="H1987">
        <f>Calc!H23</f>
        <v/>
      </c>
      <c r="I1987">
        <f>IF(Skills!T23&lt;&gt;"",1+(Skills!T23/10)*($Z$3/1000)/100,1)</f>
        <v/>
      </c>
      <c r="J1987" t="inlineStr"/>
      <c r="K1987" t="inlineStr"/>
      <c r="L1987" t="inlineStr"/>
      <c r="M1987" t="inlineStr"/>
      <c r="N1987" t="inlineStr"/>
      <c r="O1987">
        <f>(1-Summary!$B$11)*S1987+Summary!$B$11*U1987</f>
        <v/>
      </c>
      <c r="P1987">
        <f>IF(B2006=0,0,O1987/B2006)</f>
        <v/>
      </c>
      <c r="Q1987">
        <f>IFERROR(1/(IF(Inputs!$B$39="pvp",15,MAX(0.1,Skills!D23-IF(Skills!E23=TRUE,Inputs!$B$33,0)))*(1-IF(AND(ArtifactsInput!$M$27,Inputs!$B$4="Chapter Hunt"),CHOOSE(ArtifactsInput!$N$27+1,20,24,28,32,36,40),0)/100)),0)</f>
        <v/>
      </c>
      <c r="R1987" t="n">
        <v>0</v>
      </c>
      <c r="S1987" t="n">
        <v>0</v>
      </c>
      <c r="U1987" t="n">
        <v>0</v>
      </c>
    </row>
    <row r="1988">
      <c r="A1988">
        <f>Skills!A24</f>
        <v/>
      </c>
      <c r="B1988">
        <f>Skills!B24</f>
        <v/>
      </c>
      <c r="C1988">
        <f>Inputs!$B$3&gt;=74</f>
        <v/>
      </c>
      <c r="D1988">
        <f>IF(Skills!C24=1,60+Inputs!$B$26+Inputs!$B$30,IF(Skills!C24=2,90+Inputs!$B$27+Inputs!$B$30,IF(Skills!C24=3,120+Inputs!$B$28+Inputs!$B$30,MAX(0,(Inputs!$B$3-100)*3)+Inputs!$B$29+Inputs!$B$30)))</f>
        <v/>
      </c>
      <c r="E1988">
        <f>INDEX(FactorTable!$B$2:$Y$301, MATCH(ROUND(MIN(300,MAX(1,D1988)),0), FactorTable!$A$2:$A$301,0), Skills!L24+1)</f>
        <v/>
      </c>
      <c r="F1988">
        <f>IF(Skills!M24=TRUE,(Skills!K24/10)*(E1988/1000),Skills!K24/10)+Skills!N24</f>
        <v/>
      </c>
      <c r="G1988">
        <f>Calc!G24</f>
        <v/>
      </c>
      <c r="H1988">
        <f>Calc!H24</f>
        <v/>
      </c>
      <c r="I1988">
        <f>IF(Skills!T24&lt;&gt;"",1+(Skills!T24/10)*($Z$3/1000)/100,1)</f>
        <v/>
      </c>
      <c r="J1988" t="inlineStr"/>
      <c r="K1988" t="inlineStr"/>
      <c r="L1988" t="inlineStr"/>
      <c r="M1988" t="inlineStr"/>
      <c r="N1988" t="inlineStr"/>
      <c r="O1988">
        <f>(1-Summary!$B$11)*S1988+Summary!$B$11*U1988</f>
        <v/>
      </c>
      <c r="P1988">
        <f>IF(B2006=0,0,O1988/B2006)</f>
        <v/>
      </c>
      <c r="Q1988">
        <f>IFERROR(1/(IF(Inputs!$B$39="pvp",15,MAX(0.1,Skills!D24-IF(Skills!E24=TRUE,Inputs!$B$33,0)))*(1-IF(AND(ArtifactsInput!$M$27,Inputs!$B$4="Chapter Hunt"),CHOOSE(ArtifactsInput!$N$27+1,20,24,28,32,36,40),0)/100)),0)</f>
        <v/>
      </c>
      <c r="R1988" t="n">
        <v>0</v>
      </c>
      <c r="S1988" t="n">
        <v>0</v>
      </c>
      <c r="U1988" t="n">
        <v>0</v>
      </c>
    </row>
    <row r="1989">
      <c r="A1989">
        <f>Skills!A25</f>
        <v/>
      </c>
      <c r="B1989">
        <f>Skills!B25</f>
        <v/>
      </c>
      <c r="C1989">
        <f>Inputs!$B$3&gt;=74</f>
        <v/>
      </c>
      <c r="D1989">
        <f>IF(Skills!C25=1,60+Inputs!$B$26+Inputs!$B$30,IF(Skills!C25=2,90+Inputs!$B$27+Inputs!$B$30,IF(Skills!C25=3,120+Inputs!$B$28+Inputs!$B$30,MAX(0,(Inputs!$B$3-100)*3)+Inputs!$B$29+Inputs!$B$30)))</f>
        <v/>
      </c>
      <c r="E1989">
        <f>INDEX(FactorTable!$B$2:$Y$301, MATCH(ROUND(MIN(300,MAX(1,D1989)),0), FactorTable!$A$2:$A$301,0), Skills!L25+1)</f>
        <v/>
      </c>
      <c r="F1989">
        <f>IF(Skills!M25=TRUE,(Skills!K25/10)*(E1989/1000),Skills!K25/10)+Skills!N25</f>
        <v/>
      </c>
      <c r="G1989">
        <f>Calc!G25</f>
        <v/>
      </c>
      <c r="H1989">
        <f>Calc!H25</f>
        <v/>
      </c>
      <c r="I1989">
        <f>IF(Skills!T25&lt;&gt;"",1+(Skills!T25/10)*($Z$3/1000)/100,1)</f>
        <v/>
      </c>
      <c r="J1989" t="inlineStr"/>
      <c r="K1989" t="inlineStr"/>
      <c r="L1989" t="inlineStr"/>
      <c r="M1989" t="inlineStr"/>
      <c r="N1989" t="inlineStr"/>
      <c r="O1989">
        <f>(1-Summary!$B$11)*S1989+Summary!$B$11*U1989</f>
        <v/>
      </c>
      <c r="P1989">
        <f>IF(B2006=0,0,O1989/B2006)</f>
        <v/>
      </c>
      <c r="Q1989">
        <f>IFERROR(1/(IF(Inputs!$B$39="pvp",15,MAX(0.1,Skills!D25-IF(Skills!E25=TRUE,Inputs!$B$33,0)))*(1-IF(AND(ArtifactsInput!$M$27,Inputs!$B$4="Chapter Hunt"),CHOOSE(ArtifactsInput!$N$27+1,20,24,28,32,36,40),0)/100)),0)</f>
        <v/>
      </c>
      <c r="R1989" t="n">
        <v>0</v>
      </c>
      <c r="S1989" t="n">
        <v>0</v>
      </c>
      <c r="U1989" t="n">
        <v>0</v>
      </c>
    </row>
    <row r="1990">
      <c r="A1990">
        <f>Skills!A26</f>
        <v/>
      </c>
      <c r="B1990">
        <f>Skills!B26</f>
        <v/>
      </c>
      <c r="C1990">
        <f>Inputs!$B$3&gt;=117</f>
        <v/>
      </c>
      <c r="D1990">
        <f>IF(Skills!C26=1,60+Inputs!$B$26+Inputs!$B$30,IF(Skills!C26=2,90+Inputs!$B$27+Inputs!$B$30,IF(Skills!C26=3,120+Inputs!$B$28+Inputs!$B$30,MAX(0,(Inputs!$B$3-100)*3)+Inputs!$B$29+Inputs!$B$30)))</f>
        <v/>
      </c>
      <c r="E1990">
        <f>INDEX(FactorTable!$B$2:$Y$301, MATCH(ROUND(MIN(300,MAX(1,D1990)),0), FactorTable!$A$2:$A$301,0), Skills!L26+1)</f>
        <v/>
      </c>
      <c r="F1990">
        <f>IF(Skills!M26=TRUE,(Skills!K26/10)*(E1990/1000),Skills!K26/10)+Skills!N26</f>
        <v/>
      </c>
      <c r="G1990">
        <f>Calc!G26</f>
        <v/>
      </c>
      <c r="H1990">
        <f>Calc!H26</f>
        <v/>
      </c>
      <c r="I1990">
        <f>IF(Skills!T26&lt;&gt;"",1+(Skills!T26/10)*($Z$3/1000)/100,1)</f>
        <v/>
      </c>
      <c r="J1990" t="inlineStr"/>
      <c r="K1990" t="inlineStr"/>
      <c r="L1990" t="inlineStr"/>
      <c r="M1990" t="inlineStr"/>
      <c r="N1990" t="inlineStr"/>
      <c r="O1990">
        <f>(1-Summary!$B$11)*S1990+Summary!$B$11*U1990</f>
        <v/>
      </c>
      <c r="P1990">
        <f>IF(B2006=0,0,O1990/B2006)</f>
        <v/>
      </c>
      <c r="Q1990">
        <f>IFERROR(1/(IF(Inputs!$B$39="pvp",15,MAX(0.1,Skills!D26-IF(Skills!E26=TRUE,Inputs!$B$33,0)))*(1-IF(AND(ArtifactsInput!$M$27,Inputs!$B$4="Chapter Hunt"),CHOOSE(ArtifactsInput!$N$27+1,20,24,28,32,36,40),0)/100)),0)</f>
        <v/>
      </c>
      <c r="R1990" t="n">
        <v>0</v>
      </c>
      <c r="S1990" t="n">
        <v>0</v>
      </c>
      <c r="U1990" t="n">
        <v>0</v>
      </c>
    </row>
    <row r="1991">
      <c r="A1991">
        <f>Skills!A27</f>
        <v/>
      </c>
      <c r="B1991">
        <f>Skills!B27</f>
        <v/>
      </c>
      <c r="C1991">
        <f>Inputs!$B$3&gt;=120</f>
        <v/>
      </c>
      <c r="D1991">
        <f>IF(Skills!C27=1,60+Inputs!$B$26+Inputs!$B$30,IF(Skills!C27=2,90+Inputs!$B$27+Inputs!$B$30,IF(Skills!C27=3,120+Inputs!$B$28+Inputs!$B$30,MAX(0,(Inputs!$B$3-100)*3)+Inputs!$B$29+Inputs!$B$30)))</f>
        <v/>
      </c>
      <c r="E1991">
        <f>INDEX(FactorTable!$B$2:$Y$301, MATCH(ROUND(MIN(300,MAX(1,D1991)),0), FactorTable!$A$2:$A$301,0), Skills!L27+1)</f>
        <v/>
      </c>
      <c r="F1991">
        <f>IF(Skills!M27=TRUE,(Skills!K27/10)*(E1991/1000),Skills!K27/10)+Skills!N27</f>
        <v/>
      </c>
      <c r="G1991">
        <f>Calc!G27</f>
        <v/>
      </c>
      <c r="H1991">
        <f>Calc!H27</f>
        <v/>
      </c>
      <c r="I1991">
        <f>IF(Skills!T27&lt;&gt;"",1+(Skills!T27/10)*($Z$3/1000)/100,1)</f>
        <v/>
      </c>
      <c r="J1991" t="inlineStr"/>
      <c r="K1991" t="inlineStr"/>
      <c r="L1991" t="inlineStr"/>
      <c r="M1991" t="inlineStr"/>
      <c r="N1991" t="inlineStr"/>
      <c r="O1991">
        <f>(1-Summary!$B$11)*S1991+Summary!$B$11*U1991</f>
        <v/>
      </c>
      <c r="P1991">
        <f>IF(B2006=0,0,O1991/B2006)</f>
        <v/>
      </c>
      <c r="Q1991">
        <f>IFERROR(1/(IF(Inputs!$B$39="pvp",15,MAX(0.1,Skills!D27-IF(Skills!E27=TRUE,Inputs!$B$33,0)))*(1-IF(AND(ArtifactsInput!$M$27,Inputs!$B$4="Chapter Hunt"),CHOOSE(ArtifactsInput!$N$27+1,20,24,28,32,36,40),0)/100)),0)</f>
        <v/>
      </c>
      <c r="R1991" t="n">
        <v>0</v>
      </c>
      <c r="S1991" t="n">
        <v>0</v>
      </c>
      <c r="U1991" t="n">
        <v>0</v>
      </c>
    </row>
    <row r="1993">
      <c r="A1993" t="inlineStr">
        <is>
          <t>Average Buff Multiplier</t>
        </is>
      </c>
      <c r="B1993">
        <f>(1+(IF(C1967=TRUE,F1967*IF(AND(Inputs!$B$39&lt;&gt;"pvp",Inputs!$B$44&gt;0),(((R1967-1)*(Skills!S3*(1+((Inputs!$B$35+(ArtifactsInput!$M$7-ArtifactsInput!$M$7)*CHOOSE(ArtifactsInput!$N$7+1,6,7.2,8.4,9.6,10.8,12))+IF(Inputs!$B$3&gt;=117,F1990,0))/100))+MIN((Skills!S3*(1+((Inputs!$B$35+(ArtifactsInput!$M$7-ArtifactsInput!$M$7)*CHOOSE(ArtifactsInput!$N$7+1,6,7.2,8.4,9.6,10.8,12))+IF(Inputs!$B$3&gt;=117,F1990,0))/100)),MAX(0,Inputs!$B$44-((R1967-1)*Skills!D3))))/Inputs!$B$44),IF(Inputs!$B$39="pvp",MIN((Skills!S3*(1+((Inputs!$B$35+(ArtifactsInput!$M$7-ArtifactsInput!$M$7)*CHOOSE(ArtifactsInput!$N$7+1,6,7.2,8.4,9.6,10.8,12))+IF(Inputs!$B$3&gt;=117,F1990,0))/100)),15)/15,(Skills!S3*(1+((Inputs!$B$35+(ArtifactsInput!$M$7-ArtifactsInput!$M$7)*CHOOSE(ArtifactsInput!$N$7+1,6,7.2,8.4,9.6,10.8,12))+IF(Inputs!$B$3&gt;=117,F1990,0))/100))/Skills!D3)),0)+IF(C1968=TRUE,F1968*IF(AND(Inputs!$B$39&lt;&gt;"pvp",Inputs!$B$44&gt;0),(((R1968-1)*(Skills!S4*(1+((Inputs!$B$35+(ArtifactsInput!$M$7-ArtifactsInput!$M$7)*CHOOSE(ArtifactsInput!$N$7+1,6,7.2,8.4,9.6,10.8,12))+IF(Inputs!$B$3&gt;=117,F1990,0))/100))+MIN((Skills!S4*(1+((Inputs!$B$35+(ArtifactsInput!$M$7-ArtifactsInput!$M$7)*CHOOSE(ArtifactsInput!$N$7+1,6,7.2,8.4,9.6,10.8,12))+IF(Inputs!$B$3&gt;=117,F1990,0))/100)),MAX(0,Inputs!$B$44-((R1968-1)*Skills!D4))))/Inputs!$B$44),IF(Inputs!$B$39="pvp",MIN((Skills!S4*(1+((Inputs!$B$35+(ArtifactsInput!$M$7-ArtifactsInput!$M$7)*CHOOSE(ArtifactsInput!$N$7+1,6,7.2,8.4,9.6,10.8,12))+IF(Inputs!$B$3&gt;=117,F1990,0))/100)),15)/15,(Skills!S4*(1+((Inputs!$B$35+(ArtifactsInput!$M$7-ArtifactsInput!$M$7)*CHOOSE(ArtifactsInput!$N$7+1,6,7.2,8.4,9.6,10.8,12))+IF(Inputs!$B$3&gt;=117,F1990,0))/100))/Skills!D4)),0)+IF(C1969=TRUE,F1969*IF(AND(Inputs!$B$39&lt;&gt;"pvp",Inputs!$B$44&gt;0),(((R1969-1)*(Skills!S5*(1+((Inputs!$B$35+(ArtifactsInput!$M$7-ArtifactsInput!$M$7)*CHOOSE(ArtifactsInput!$N$7+1,6,7.2,8.4,9.6,10.8,12))+IF(Inputs!$B$3&gt;=117,F1990,0))/100))+MIN((Skills!S5*(1+((Inputs!$B$35+(ArtifactsInput!$M$7-ArtifactsInput!$M$7)*CHOOSE(ArtifactsInput!$N$7+1,6,7.2,8.4,9.6,10.8,12))+IF(Inputs!$B$3&gt;=117,F1990,0))/100)),MAX(0,Inputs!$B$44-((R1969-1)*Skills!D5))))/Inputs!$B$44),IF(Inputs!$B$39="pvp",MIN((Skills!S5*(1+((Inputs!$B$35+(ArtifactsInput!$M$7-ArtifactsInput!$M$7)*CHOOSE(ArtifactsInput!$N$7+1,6,7.2,8.4,9.6,10.8,12))+IF(Inputs!$B$3&gt;=117,F1990,0))/100)),15)/15,(Skills!S5*(1+((Inputs!$B$35+(ArtifactsInput!$M$7-ArtifactsInput!$M$7)*CHOOSE(ArtifactsInput!$N$7+1,6,7.2,8.4,9.6,10.8,12))+IF(Inputs!$B$3&gt;=117,F1990,0))/100))/Skills!D5)),0)+IF(C1975=TRUE,F1975*IF(AND(Inputs!$B$39&lt;&gt;"pvp",Inputs!$B$44&gt;0),(((R1975-1)*(Skills!S11*(1+((Inputs!$B$35+(ArtifactsInput!$M$7-ArtifactsInput!$M$7)*CHOOSE(ArtifactsInput!$N$7+1,6,7.2,8.4,9.6,10.8,12))+IF(Inputs!$B$3&gt;=117,F1990,0))/100))+MIN((Skills!S11*(1+((Inputs!$B$35+(ArtifactsInput!$M$7-ArtifactsInput!$M$7)*CHOOSE(ArtifactsInput!$N$7+1,6,7.2,8.4,9.6,10.8,12))+IF(Inputs!$B$3&gt;=117,F1990,0))/100)),MAX(0,Inputs!$B$44-((R1975-1)*Skills!D11))))/Inputs!$B$44),IF(Inputs!$B$39="pvp",MIN((Skills!S11*(1+((Inputs!$B$35+(ArtifactsInput!$M$7-ArtifactsInput!$M$7)*CHOOSE(ArtifactsInput!$N$7+1,6,7.2,8.4,9.6,10.8,12))+IF(Inputs!$B$3&gt;=117,F1990,0))/100)),15)/15,(Skills!S11*(1+((Inputs!$B$35+(ArtifactsInput!$M$7-ArtifactsInput!$M$7)*CHOOSE(ArtifactsInput!$N$7+1,6,7.2,8.4,9.6,10.8,12))+IF(Inputs!$B$3&gt;=117,F1990,0)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1978=TRUE,(1+F1978*IF(AND(Inputs!$B$39&lt;&gt;"pvp",Inputs!$B$44&gt;0),(((R1978-1)*(Skills!S14*(1+((Inputs!$B$35+(ArtifactsInput!$M$7-ArtifactsInput!$M$7)*CHOOSE(ArtifactsInput!$N$7+1,6,7.2,8.4,9.6,10.8,12))+IF(Inputs!$B$3&gt;=117,F1990,0))/100))+MIN((Skills!S14*(1+((Inputs!$B$35+(ArtifactsInput!$M$7-ArtifactsInput!$M$7)*CHOOSE(ArtifactsInput!$N$7+1,6,7.2,8.4,9.6,10.8,12))+IF(Inputs!$B$3&gt;=117,F1990,0))/100)),MAX(0,Inputs!$B$44-((R1978-1)*Skills!D14))))/Inputs!$B$44),IF(Inputs!$B$39="pvp",MIN((Skills!S14*(1+((Inputs!$B$35+(ArtifactsInput!$M$7-ArtifactsInput!$M$7)*CHOOSE(ArtifactsInput!$N$7+1,6,7.2,8.4,9.6,10.8,12))+IF(Inputs!$B$3&gt;=117,F1990,0))/100)),15)/15,(Skills!S14*(1+((Inputs!$B$35+(ArtifactsInput!$M$7-ArtifactsInput!$M$7)*CHOOSE(ArtifactsInput!$N$7+1,6,7.2,8.4,9.6,10.8,12))+IF(Inputs!$B$3&gt;=117,F1990,0))/100))/Skills!D14))/100),1)*IF(C1983=TRUE,(1+F1983*IF(AND(Inputs!$B$39&lt;&gt;"pvp",Inputs!$B$44&gt;0),(((R1983-1)*(Skills!S19*(1+((Inputs!$B$35+(ArtifactsInput!$M$7-ArtifactsInput!$M$7)*CHOOSE(ArtifactsInput!$N$7+1,6,7.2,8.4,9.6,10.8,12))+IF(Inputs!$B$3&gt;=117,F1990,0))/100))+MIN((Skills!S19*(1+((Inputs!$B$35+(ArtifactsInput!$M$7-ArtifactsInput!$M$7)*CHOOSE(ArtifactsInput!$N$7+1,6,7.2,8.4,9.6,10.8,12))+IF(Inputs!$B$3&gt;=117,F1990,0))/100)),MAX(0,Inputs!$B$44-((R1983-1)*Skills!D19))))/Inputs!$B$44),IF(Inputs!$B$39="pvp",MIN((Skills!S19*(1+((Inputs!$B$35+(ArtifactsInput!$M$7-ArtifactsInput!$M$7)*CHOOSE(ArtifactsInput!$N$7+1,6,7.2,8.4,9.6,10.8,12))+IF(Inputs!$B$3&gt;=117,F1990,0))/100)),15)/15,(Skills!S19*(1+((Inputs!$B$35+(ArtifactsInput!$M$7-ArtifactsInput!$M$7)*CHOOSE(ArtifactsInput!$N$7+1,6,7.2,8.4,9.6,10.8,12))+IF(Inputs!$B$3&gt;=117,F1990,0))/100))/Skills!D19))/100),1)</f>
        <v/>
      </c>
    </row>
    <row r="1994">
      <c r="A1994" t="inlineStr">
        <is>
          <t>Monster Damage Taken Bonus % (Holy Fountain)</t>
        </is>
      </c>
      <c r="B1994">
        <f>IF(Inputs!$B$3&gt;=68,20*IF(Inputs!$B$39="pvp",MIN((15*(1+((Inputs!$B$35+(ArtifactsInput!$M$7-ArtifactsInput!$M$7)*CHOOSE(ArtifactsInput!$N$7+1,6,7.2,8.4,9.6,10.8,12))+IF(Inputs!$B$3&gt;=117,F1990,0))/100)),15)/15,(15*(1+((Inputs!$B$35+(ArtifactsInput!$M$7-ArtifactsInput!$M$7)*CHOOSE(ArtifactsInput!$N$7+1,6,7.2,8.4,9.6,10.8,12))+IF(Inputs!$B$3&gt;=117,F1990,0))/100))/Skills!D10),0)</f>
        <v/>
      </c>
    </row>
    <row r="1995">
      <c r="A1995" t="inlineStr">
        <is>
          <t>Normal Monster Damage Bonus % (Holy Symbol)</t>
        </is>
      </c>
      <c r="B1995">
        <f>IF(C1976=TRUE,F1976*IF(AND(Inputs!$B$39&lt;&gt;"pvp",Inputs!$B$44&gt;0),(((R1976-1)*(Skills!S12*(1+((Inputs!$B$35+(ArtifactsInput!$M$7-ArtifactsInput!$M$7)*CHOOSE(ArtifactsInput!$N$7+1,6,7.2,8.4,9.6,10.8,12))+IF(Inputs!$B$3&gt;=117,F1990,0))/100))+MIN((Skills!S12*(1+((Inputs!$B$35+(ArtifactsInput!$M$7-ArtifactsInput!$M$7)*CHOOSE(ArtifactsInput!$N$7+1,6,7.2,8.4,9.6,10.8,12))+IF(Inputs!$B$3&gt;=117,F1990,0))/100)),MAX(0,Inputs!$B$44-((R1976-1)*Skills!D12))))/Inputs!$B$44),IF(Inputs!$B$39="pvp",MIN((Skills!S12*(1+((Inputs!$B$35+(ArtifactsInput!$M$7-ArtifactsInput!$M$7)*CHOOSE(ArtifactsInput!$N$7+1,6,7.2,8.4,9.6,10.8,12))+IF(Inputs!$B$3&gt;=117,F1990,0))/100)),15)/15,(Skills!S12*(1+((Inputs!$B$35+(ArtifactsInput!$M$7-ArtifactsInput!$M$7)*CHOOSE(ArtifactsInput!$N$7+1,6,7.2,8.4,9.6,10.8,12))+IF(Inputs!$B$3&gt;=117,F1990,0))/100))/Skills!D12)),0)</f>
        <v/>
      </c>
    </row>
    <row r="1996">
      <c r="A1996" t="inlineStr">
        <is>
          <t>Damage % Bonus (Holy Symbol - Damage Boost)</t>
        </is>
      </c>
      <c r="B1996">
        <f>Skills!O12</f>
        <v/>
      </c>
    </row>
    <row r="1997">
      <c r="A1997" t="inlineStr">
        <is>
          <t>Crit Damage % Bonus (Blood of the Divine)</t>
        </is>
      </c>
      <c r="B1997">
        <f>4*IF(C1984=TRUE,F1984,0)</f>
        <v/>
      </c>
    </row>
    <row r="1998">
      <c r="A1998" t="inlineStr">
        <is>
          <t>Attack Speed Bonus %</t>
        </is>
      </c>
      <c r="B1998">
        <f>IF(C1981=TRUE,F1981+(F1985-Calc!F21),0)+IF(Inputs!$B$3&gt;=134,15,0)</f>
        <v/>
      </c>
    </row>
    <row r="1999">
      <c r="A1999" t="inlineStr">
        <is>
          <t>Actions Per Second</t>
        </is>
      </c>
      <c r="B1999">
        <f>1+MIN(150,150*(1-(1-Inputs!$B$12/150)*(1-B1998/150)))/100</f>
        <v/>
      </c>
    </row>
    <row r="2000">
      <c r="A2000" t="inlineStr">
        <is>
          <t>Skill + Buff Cast Rate</t>
        </is>
      </c>
      <c r="B2000">
        <f>IF(AND(Inputs!$B$39&lt;&gt;"pvp",Inputs!$B$44&gt;0),SUMPRODUCT((Skills!E2:E27=TRUE)*(C1966:C1991=TRUE)*R1966:R1991)/Inputs!$B$44,SUMPRODUCT((Skills!E2:E27=TRUE)*(C1966:C1991=TRUE)*Q1966:Q1991))</f>
        <v/>
      </c>
    </row>
    <row r="2001">
      <c r="A2001" t="inlineStr">
        <is>
          <t>Big Bang Casts Per Second</t>
        </is>
      </c>
      <c r="B2001">
        <f>MAX(0,B1999-B2000)</f>
        <v/>
      </c>
    </row>
    <row r="2002">
      <c r="A2002" t="inlineStr">
        <is>
          <t>Defense % Bonus (Divine Protection)</t>
        </is>
      </c>
      <c r="B2002">
        <f>IF(C1977=TRUE,F1977*IF(AND(Inputs!$B$39&lt;&gt;"pvp",Inputs!$B$44&gt;0),(((R1977-1)*(Skills!S13*(1+((Inputs!$B$35+(ArtifactsInput!$M$7-ArtifactsInput!$M$7)*CHOOSE(ArtifactsInput!$N$7+1,6,7.2,8.4,9.6,10.8,12))+IF(Inputs!$B$3&gt;=117,F1990,0))/100))+MIN((Skills!S13*(1+((Inputs!$B$35+(ArtifactsInput!$M$7-ArtifactsInput!$M$7)*CHOOSE(ArtifactsInput!$N$7+1,6,7.2,8.4,9.6,10.8,12))+IF(Inputs!$B$3&gt;=117,F1990,0))/100)),MAX(0,Inputs!$B$44-((R1977-1)*Skills!D13))))/Inputs!$B$44),IF(Inputs!$B$39="pvp",MIN((Skills!S13*(1+((Inputs!$B$35+(ArtifactsInput!$M$7-ArtifactsInput!$M$7)*CHOOSE(ArtifactsInput!$N$7+1,6,7.2,8.4,9.6,10.8,12))+IF(Inputs!$B$3&gt;=117,F1990,0))/100)),15)/15,(Skills!S13*(1+((Inputs!$B$35+(ArtifactsInput!$M$7-ArtifactsInput!$M$7)*CHOOSE(ArtifactsInput!$N$7+1,6,7.2,8.4,9.6,10.8,12))+IF(Inputs!$B$3&gt;=117,F1990,0))/100))/Skills!D13)),0)</f>
        <v/>
      </c>
    </row>
    <row r="2003">
      <c r="A2003" t="inlineStr">
        <is>
          <t>Buff-Casting Startup Delay (s, fixed-duration only)</t>
        </is>
      </c>
      <c r="B2003">
        <f>IF(AND(Inputs!$B$39&lt;&gt;"pvp",Inputs!$B$44&gt;0),SUMPRODUCT((Skills!S2:S27&gt;0)*(Skills!E2:E27=TRUE)*(C1966:C1991=TRUE))/B1999,0)</f>
        <v/>
      </c>
    </row>
    <row r="2004">
      <c r="A2004" t="inlineStr">
        <is>
          <t>Boss-Only Total DPS (this block's swept value)</t>
        </is>
      </c>
      <c r="B2004">
        <f>SUM(S1966:S1991)</f>
        <v/>
      </c>
    </row>
    <row r="2005">
      <c r="A2005" t="inlineStr">
        <is>
          <t>Normal-Only Total DPS (this block's swept value)</t>
        </is>
      </c>
      <c r="B2005">
        <f>SUM(U1966:U1991)</f>
        <v/>
      </c>
    </row>
    <row r="2006">
      <c r="A2006" s="6" t="inlineStr">
        <is>
          <t>TOTAL DPS</t>
        </is>
      </c>
      <c r="B2006" s="6">
        <f>SUM(O1966:O1991)</f>
        <v/>
      </c>
    </row>
    <row r="2008">
      <c r="A2008" s="6" t="inlineStr">
        <is>
          <t>Stat: Book of Ancient (Equip)</t>
        </is>
      </c>
    </row>
    <row r="2009">
      <c r="A2009" s="5" t="inlineStr">
        <is>
          <t>Key</t>
        </is>
      </c>
      <c r="B2009" s="5" t="inlineStr">
        <is>
          <t>Name</t>
        </is>
      </c>
      <c r="C2009" s="5" t="inlineStr">
        <is>
          <t>Unlocked</t>
        </is>
      </c>
      <c r="D2009" s="5" t="inlineStr">
        <is>
          <t>InputLevel</t>
        </is>
      </c>
      <c r="E2009" s="5" t="inlineStr">
        <is>
          <t>Factor</t>
        </is>
      </c>
      <c r="F2009" s="5" t="inlineStr">
        <is>
          <t>CoefficientPercent</t>
        </is>
      </c>
      <c r="G2009" s="5" t="inlineStr">
        <is>
          <t>EffectiveHits</t>
        </is>
      </c>
      <c r="H2009" s="5" t="inlineStr">
        <is>
          <t>ProcProbability</t>
        </is>
      </c>
      <c r="I2009" s="5" t="inlineStr">
        <is>
          <t>MapleHeroMultiplier</t>
        </is>
      </c>
      <c r="J2009" s="5" t="inlineStr">
        <is>
          <t>BaseDamage</t>
        </is>
      </c>
      <c r="K2009" s="5" t="inlineStr">
        <is>
          <t>BaseHitDamage</t>
        </is>
      </c>
      <c r="L2009" s="5" t="inlineStr">
        <is>
          <t>NonCritAvg</t>
        </is>
      </c>
      <c r="M2009" s="5" t="inlineStr">
        <is>
          <t>CritAvg</t>
        </is>
      </c>
      <c r="N2009" s="5" t="inlineStr">
        <is>
          <t>ExpectedDamage(perHit)</t>
        </is>
      </c>
      <c r="O2009" s="5" t="inlineStr">
        <is>
          <t>DPS</t>
        </is>
      </c>
      <c r="P2009" s="5" t="inlineStr">
        <is>
          <t>% of Total</t>
        </is>
      </c>
      <c r="R2009" t="inlineStr">
        <is>
          <t>helpers</t>
        </is>
      </c>
    </row>
    <row r="2010">
      <c r="A2010">
        <f>Skills!A2</f>
        <v/>
      </c>
      <c r="B2010">
        <f>Skills!B2</f>
        <v/>
      </c>
      <c r="C2010">
        <f>Inputs!$B$3&gt;=100</f>
        <v/>
      </c>
      <c r="D2010" t="inlineStr"/>
      <c r="E2010" t="inlineStr"/>
      <c r="F2010">
        <f>T2012+Skills!N2</f>
        <v/>
      </c>
      <c r="G2010">
        <f>Calc!G2</f>
        <v/>
      </c>
      <c r="H2010">
        <f>Calc!H2</f>
        <v/>
      </c>
      <c r="I2010">
        <f>IF(Skills!T2&lt;&gt;"",1+(Skills!T2/10)*($Z$3/1000)/100,1)</f>
        <v/>
      </c>
      <c r="J2010">
        <f>((Inputs!$B$6*(1+Inputs!$B$7/100))+(((Inputs!$B$13*(1+Inputs!$B$14/100))-(Inputs!$B$13*(1+Inputs!$B$14/100)))+0.25*(Inputs!$B$15-Inputs!$B$15))*(1+Inputs!$B$7/100))*(F2010/100)</f>
        <v/>
      </c>
      <c r="K2010">
        <f>J2010*(1+(((Inputs!$B$13+IF(Inputs!$B$3&gt;=35,(10*INDEX(FactorTable!$B$2:$Y$301,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2="TRIUMPH_FEATHER",IF(C2024=TRUE,F2024,0),0)/100)*(1+IF(C2035=TRUE,F2035,0)/100)^5*(1+(IF(Skills!A2="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2010)</f>
        <v/>
      </c>
      <c r="L2010">
        <f>K2010*(MIN(Inputs!$B$23+(F2030-Calc!F22),(Inputs!$B$24+IF(ArtifactsInput!$M$15,CHOOSE(ArtifactsInput!$N$15+1,25,30,35,40,45,50)/100*(Inputs!$B$12-Inputs!$B$12),0)))/100+(Inputs!$B$24+IF(ArtifactsInput!$M$15,CHOOSE(ArtifactsInput!$N$15+1,25,30,35,40,45,50)/100*(Inputs!$B$12-Inputs!$B$12),0))/100)/2</f>
        <v/>
      </c>
      <c r="M2010">
        <f>L2010*(1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0">
        <f>L2010*(1-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(1-Summary!$B$11)*S2010+Summary!$B$11*U2010</f>
        <v/>
      </c>
      <c r="P2010">
        <f>IF(B2050=0,0,O2010/B2050)</f>
        <v/>
      </c>
      <c r="Q2010">
        <f>IFERROR(1/(IF(Inputs!$B$39="pvp",15,MAX(0.1,Skills!D2-IF(Skills!E2=TRUE,Inputs!$B$33,0)))*(1-IF(AND(ArtifactsInput!$M$27,Inputs!$B$4="Chapter Hunt"),CHOOSE(ArtifactsInput!$N$27+1,20,24,28,32,36,40),0)/100)),0)</f>
        <v/>
      </c>
      <c r="R2010" t="n">
        <v>0</v>
      </c>
      <c r="S2010">
        <f>IF(C2010,(Skills!F2*N2010*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2010*(1-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10">
        <f>MAX(0,(Inputs!$B$3-100)*3)+Inputs!$B$29+Inputs!$B$30</f>
        <v/>
      </c>
      <c r="U2010">
        <f>IF(C2010,(Skills!F2*N2010*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Skills!A3</f>
        <v/>
      </c>
      <c r="B2011">
        <f>Skills!B3</f>
        <v/>
      </c>
      <c r="C2011">
        <f>Inputs!$B$3&gt;=15</f>
        <v/>
      </c>
      <c r="D2011">
        <f>IF(Skills!C3=1,60+Inputs!$B$26+Inputs!$B$30,IF(Skills!C3=2,90+Inputs!$B$27+Inputs!$B$30,IF(Skills!C3=3,120+Inputs!$B$28+Inputs!$B$30,MAX(0,(Inputs!$B$3-100)*3)+Inputs!$B$29+Inputs!$B$30)))</f>
        <v/>
      </c>
      <c r="E2011">
        <f>INDEX(FactorTable!$B$2:$Y$301, MATCH(ROUND(MIN(300,MAX(1,D2011)),0), FactorTable!$A$2:$A$301,0), Skills!L3+1)</f>
        <v/>
      </c>
      <c r="F2011">
        <f>IF(Skills!M3=TRUE,(Skills!K3/10)*(E2011/1000),Skills!K3/10)+Skills!N3</f>
        <v/>
      </c>
      <c r="G2011">
        <f>Calc!G3</f>
        <v/>
      </c>
      <c r="H2011">
        <f>Calc!H3</f>
        <v/>
      </c>
      <c r="I2011">
        <f>IF(Skills!T3&lt;&gt;"",1+(Skills!T3/10)*($Z$3/1000)/100,1)</f>
        <v/>
      </c>
      <c r="J2011" t="inlineStr"/>
      <c r="K2011" t="inlineStr"/>
      <c r="L2011" t="inlineStr"/>
      <c r="M2011" t="inlineStr"/>
      <c r="N2011" t="inlineStr"/>
      <c r="O2011">
        <f>(1-Summary!$B$11)*S2011+Summary!$B$11*U2011</f>
        <v/>
      </c>
      <c r="P2011">
        <f>IF(B2050=0,0,O2011/B2050)</f>
        <v/>
      </c>
      <c r="Q2011">
        <f>IFERROR(1/(IF(Inputs!$B$39="pvp",15,MAX(0.1,Skills!D3-IF(Skills!E3=TRUE,Inputs!$B$33,0)))*(1-IF(AND(ArtifactsInput!$M$27,Inputs!$B$4="Chapter Hunt"),CHOOSE(ArtifactsInput!$N$27+1,20,24,28,32,36,40),0)/100)),0)</f>
        <v/>
      </c>
      <c r="R2011">
        <f>IF(AND(Inputs!$B$39&lt;&gt;"pvp",Inputs!$B$44&gt;0),IF(Inputs!$B$44&lt;=0,0,(INT(Inputs!$B$44/(IF(Inputs!$B$39="pvp",15,MAX(0.1,Skills!D3-IF(Skills!E3=TRUE,Inputs!$B$33,0)))*(1-IF(AND(ArtifactsInput!$M$27,Inputs!$B$4="Chapter Hunt"),CHOOSE(ArtifactsInput!$N$27+1,20,24,28,32,36,40),0)/100)))+1)),0)</f>
        <v/>
      </c>
      <c r="S2011" t="n">
        <v>0</v>
      </c>
      <c r="T2011">
        <f>INDEX(FactorTable!$B$2:$Y$301, MATCH(ROUND(MIN(300,MAX(1,T2010)),0), FactorTable!$A$2:$A$301,0), 22)</f>
        <v/>
      </c>
      <c r="U2011" t="n">
        <v>0</v>
      </c>
    </row>
    <row r="2012">
      <c r="A2012">
        <f>Skills!A4</f>
        <v/>
      </c>
      <c r="B2012">
        <f>Skills!B4</f>
        <v/>
      </c>
      <c r="C2012">
        <f>Inputs!$B$3&gt;=38</f>
        <v/>
      </c>
      <c r="D2012">
        <f>IF(Skills!C4=1,60+Inputs!$B$26+Inputs!$B$30,IF(Skills!C4=2,90+Inputs!$B$27+Inputs!$B$30,IF(Skills!C4=3,120+Inputs!$B$28+Inputs!$B$30,MAX(0,(Inputs!$B$3-100)*3)+Inputs!$B$29+Inputs!$B$30)))</f>
        <v/>
      </c>
      <c r="E2012">
        <f>INDEX(FactorTable!$B$2:$Y$301, MATCH(ROUND(MIN(300,MAX(1,D2012)),0), FactorTable!$A$2:$A$301,0), Skills!L4+1)</f>
        <v/>
      </c>
      <c r="F2012">
        <f>IF(Skills!M4=TRUE,(Skills!K4/10)*(E2012/1000),Skills!K4/10)+Skills!N4</f>
        <v/>
      </c>
      <c r="G2012">
        <f>Calc!G4</f>
        <v/>
      </c>
      <c r="H2012">
        <f>Calc!H4</f>
        <v/>
      </c>
      <c r="I2012">
        <f>IF(Skills!T4&lt;&gt;"",1+(Skills!T4/10)*($Z$3/1000)/100,1)</f>
        <v/>
      </c>
      <c r="J2012" t="inlineStr"/>
      <c r="K2012" t="inlineStr"/>
      <c r="L2012" t="inlineStr"/>
      <c r="M2012" t="inlineStr"/>
      <c r="N2012" t="inlineStr"/>
      <c r="O2012">
        <f>(1-Summary!$B$11)*S2012+Summary!$B$11*U2012</f>
        <v/>
      </c>
      <c r="P2012">
        <f>IF(B2050=0,0,O2012/B2050)</f>
        <v/>
      </c>
      <c r="Q2012">
        <f>IFERROR(1/(IF(Inputs!$B$39="pvp",15,MAX(0.1,Skills!D4-IF(Skills!E4=TRUE,Inputs!$B$33,0)))*(1-IF(AND(ArtifactsInput!$M$27,Inputs!$B$4="Chapter Hunt"),CHOOSE(ArtifactsInput!$N$27+1,20,24,28,32,36,40),0)/100)),0)</f>
        <v/>
      </c>
      <c r="R2012">
        <f>IF(AND(Inputs!$B$39&lt;&gt;"pvp",Inputs!$B$44&gt;0),IF(Inputs!$B$44&lt;=0,0,(INT(Inputs!$B$44/(IF(Inputs!$B$39="pvp",15,MAX(0.1,Skills!D4-IF(Skills!E4=TRUE,Inputs!$B$33,0)))*(1-IF(AND(ArtifactsInput!$M$27,Inputs!$B$4="Chapter Hunt"),CHOOSE(ArtifactsInput!$N$27+1,20,24,28,32,36,40),0)/100)))+1)),0)</f>
        <v/>
      </c>
      <c r="S2012" t="n">
        <v>0</v>
      </c>
      <c r="T2012">
        <f>290*T2011/1000</f>
        <v/>
      </c>
      <c r="U2012" t="n">
        <v>0</v>
      </c>
    </row>
    <row r="2013">
      <c r="A2013">
        <f>Skills!A5</f>
        <v/>
      </c>
      <c r="B2013">
        <f>Skills!B5</f>
        <v/>
      </c>
      <c r="C2013">
        <f>Inputs!$B$3&gt;=40</f>
        <v/>
      </c>
      <c r="D2013">
        <f>IF(Skills!C5=1,60+Inputs!$B$26+Inputs!$B$30,IF(Skills!C5=2,90+Inputs!$B$27+Inputs!$B$30,IF(Skills!C5=3,120+Inputs!$B$28+Inputs!$B$30,MAX(0,(Inputs!$B$3-100)*3)+Inputs!$B$29+Inputs!$B$30)))</f>
        <v/>
      </c>
      <c r="E2013">
        <f>INDEX(FactorTable!$B$2:$Y$301, MATCH(ROUND(MIN(300,MAX(1,D2013)),0), FactorTable!$A$2:$A$301,0), Skills!L5+1)</f>
        <v/>
      </c>
      <c r="F2013">
        <f>IF(Skills!M5=TRUE,(Skills!K5/10)*(E2013/1000),Skills!K5/10)+Skills!N5</f>
        <v/>
      </c>
      <c r="G2013">
        <f>Calc!G5</f>
        <v/>
      </c>
      <c r="H2013">
        <f>Calc!H5</f>
        <v/>
      </c>
      <c r="I2013">
        <f>IF(Skills!T5&lt;&gt;"",1+(Skills!T5/10)*($Z$3/1000)/100,1)</f>
        <v/>
      </c>
      <c r="J2013" t="inlineStr"/>
      <c r="K2013" t="inlineStr"/>
      <c r="L2013" t="inlineStr"/>
      <c r="M2013" t="inlineStr"/>
      <c r="N2013" t="inlineStr"/>
      <c r="O2013">
        <f>(1-Summary!$B$11)*S2013+Summary!$B$11*U2013</f>
        <v/>
      </c>
      <c r="P2013">
        <f>IF(B2050=0,0,O2013/B2050)</f>
        <v/>
      </c>
      <c r="Q2013">
        <f>IFERROR(1/(IF(Inputs!$B$39="pvp",15,MAX(0.1,Skills!D5-IF(Skills!E5=TRUE,Inputs!$B$33,0)))*(1-IF(AND(ArtifactsInput!$M$27,Inputs!$B$4="Chapter Hunt"),CHOOSE(ArtifactsInput!$N$27+1,20,24,28,32,36,40),0)/100)),0)</f>
        <v/>
      </c>
      <c r="R2013">
        <f>IF(AND(Inputs!$B$39&lt;&gt;"pvp",Inputs!$B$44&gt;0),IF(Inputs!$B$44&lt;=0,0,(INT(Inputs!$B$44/(IF(Inputs!$B$39="pvp",15,MAX(0.1,Skills!D5-IF(Skills!E5=TRUE,Inputs!$B$33,0)))*(1-IF(AND(ArtifactsInput!$M$27,Inputs!$B$4="Chapter Hunt"),CHOOSE(ArtifactsInput!$N$27+1,20,24,28,32,36,40),0)/100)))+1)),0)</f>
        <v/>
      </c>
      <c r="S2013" t="n">
        <v>0</v>
      </c>
      <c r="U2013" t="n">
        <v>0</v>
      </c>
    </row>
    <row r="2014">
      <c r="A2014">
        <f>Skills!A6</f>
        <v/>
      </c>
      <c r="B2014">
        <f>Skills!B6</f>
        <v/>
      </c>
      <c r="C2014">
        <f>Inputs!$B$3&gt;=103</f>
        <v/>
      </c>
      <c r="D2014">
        <f>IF(Skills!C6=1,60+Inputs!$B$26+Inputs!$B$30,IF(Skills!C6=2,90+Inputs!$B$27+Inputs!$B$30,IF(Skills!C6=3,120+Inputs!$B$28+Inputs!$B$30,MAX(0,(Inputs!$B$3-100)*3)+Inputs!$B$29+Inputs!$B$30)))</f>
        <v/>
      </c>
      <c r="E2014">
        <f>INDEX(FactorTable!$B$2:$Y$301, MATCH(ROUND(MIN(300,MAX(1,D2014)),0), FactorTable!$A$2:$A$301,0), Skills!L6+1)</f>
        <v/>
      </c>
      <c r="F2014">
        <f>IF(Skills!M6=TRUE,(Skills!K6/10)*(E2014/1000),Skills!K6/10)+Skills!N6</f>
        <v/>
      </c>
      <c r="G2014">
        <f>Calc!G6</f>
        <v/>
      </c>
      <c r="H2014">
        <f>Calc!H6</f>
        <v/>
      </c>
      <c r="I2014">
        <f>IF(Skills!T6&lt;&gt;"",1+(Skills!T6/10)*($Z$3/1000)/100,1)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6="TRIUMPH_FEATHER",IF(C2024=TRUE,F2024,0),0)/100)*(1+IF(C2035=TRUE,F2035,0)/100)^5*(1+(IF(Skills!A6="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2030-Calc!F22),(Inputs!$B$24+IF(ArtifactsInput!$M$15,CHOOSE(ArtifactsInput!$N$15+1,25,30,35,40,45,50)/100*(Inputs!$B$12-Inputs!$B$12),0)))/100+(Inputs!$B$24+IF(ArtifactsInput!$M$15,CHOOSE(ArtifactsInput!$N$15+1,25,30,35,40,45,50)/100*(Inputs!$B$12-Inputs!$B$12),0))/100)/2</f>
        <v/>
      </c>
      <c r="M2014">
        <f>L2014*(1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4">
        <f>L2014*(1-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IFERROR(1/(IF(Inputs!$B$39="pvp",15,MAX(0.1,Skills!D6-IF(Skills!E6=TRUE,Inputs!$B$33,0)))*(1-IF(AND(ArtifactsInput!$M$27,Inputs!$B$4="Chapter Hunt"),CHOOSE(ArtifactsInput!$N$27+1,20,24,28,32,36,40),0)/100)),0)</f>
        <v/>
      </c>
      <c r="R2014">
        <f>IF(AND(Inputs!$B$39&lt;&gt;"pvp",Inputs!$B$44&gt;0),IF(MAX(0,Inputs!$B$44-B2047)&lt;=0,0,(INT(MAX(0,Inputs!$B$44-B2047)/(IF(Inputs!$B$39="pvp",15,MAX(0.1,Skills!D6-IF(Skills!E6=TRUE,Inputs!$B$33,0)))*(1-IF(AND(ArtifactsInput!$M$27,Inputs!$B$4="Chapter Hunt"),CHOOSE(ArtifactsInput!$N$27+1,20,24,28,32,36,40),0)/100)))+1)),0)</f>
        <v/>
      </c>
      <c r="S2014">
        <f>IF(C2014,(H2014*N2014*IF(AND(Inputs!$B$39&lt;&gt;"pvp",Inputs!$B$44&gt;0),((Skills!F6*((R2014-1)*IF(Skills!G6&gt;0,Skills!H6/Skills!G6,1)+IF(Skills!G6&gt;0,MIN(Skills!H6,MAX(0,MAX(0,Inputs!$B$44-B2047)-((R2014-1)*(IF(Inputs!$B$39="pvp",15,MAX(0.1,Skills!D6-IF(Skills!E6=TRUE,Inputs!$B$33,0)))*(1-IF(AND(ArtifactsInput!$M$27,Inputs!$B$4="Chapter Hunt"),CHOOSE(ArtifactsInput!$N$27+1,20,24,28,32,36,40),0)/100)))))/Skills!G6,1)))/Inputs!$B$44),G2014*Q2014))*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f>IF(C2014,(H2014*N2014*IF(AND(Inputs!$B$39&lt;&gt;"pvp",Inputs!$B$44&gt;0),((Skills!F6*((R2014-1)*IF(Skills!G6&gt;0,Skills!H6/Skills!G6,1)+IF(Skills!G6&gt;0,MIN(Skills!H6,MAX(0,MAX(0,Inputs!$B$44-B2047)-((R2014-1)*(IF(Inputs!$B$39="pvp",15,MAX(0.1,Skills!D6-IF(Skills!E6=TRUE,Inputs!$B$33,0)))*(1-IF(AND(ArtifactsInput!$M$27,Inputs!$B$4="Chapter Hunt"),CHOOSE(ArtifactsInput!$N$27+1,20,24,28,32,36,40),0)/100)))))/Skills!G6,1)))/Inputs!$B$44),G2014*Q2014))*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Skills!A7</f>
        <v/>
      </c>
      <c r="B2015">
        <f>Skills!B7</f>
        <v/>
      </c>
      <c r="C2015">
        <f>Inputs!$B$3&gt;=122</f>
        <v/>
      </c>
      <c r="D2015">
        <f>IF(Skills!C7=1,60+Inputs!$B$26+Inputs!$B$30,IF(Skills!C7=2,90+Inputs!$B$27+Inputs!$B$30,IF(Skills!C7=3,120+Inputs!$B$28+Inputs!$B$30,MAX(0,(Inputs!$B$3-100)*3)+Inputs!$B$29+Inputs!$B$30)))</f>
        <v/>
      </c>
      <c r="E2015">
        <f>INDEX(FactorTable!$B$2:$Y$301, MATCH(ROUND(MIN(300,MAX(1,D2015)),0), FactorTable!$A$2:$A$301,0), Skills!L7+1)</f>
        <v/>
      </c>
      <c r="F2015">
        <f>IF(Skills!M7=TRUE,(Skills!K7/10)*(E2015/1000),Skills!K7/10)+Skills!N7</f>
        <v/>
      </c>
      <c r="G2015">
        <f>Calc!G7</f>
        <v/>
      </c>
      <c r="H2015">
        <f>Calc!H7</f>
        <v/>
      </c>
      <c r="I2015">
        <f>IF(Skills!T7&lt;&gt;"",1+(Skills!T7/10)*($Z$3/1000)/100,1)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7="TRIUMPH_FEATHER",IF(C2024=TRUE,F2024,0),0)/100)*(1+IF(C2035=TRUE,F2035,0)/100)^5*(1+(IF(Skills!A7="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2030-Calc!F22),(Inputs!$B$24+IF(ArtifactsInput!$M$15,CHOOSE(ArtifactsInput!$N$15+1,25,30,35,40,45,50)/100*(Inputs!$B$12-Inputs!$B$12),0)))/100+(Inputs!$B$24+IF(ArtifactsInput!$M$15,CHOOSE(ArtifactsInput!$N$15+1,25,30,35,40,45,50)/100*(Inputs!$B$12-Inputs!$B$12),0))/100)/2</f>
        <v/>
      </c>
      <c r="M2015">
        <f>L2015*(1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5">
        <f>L2015*(1-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IFERROR(1/(IF(Inputs!$B$39="pvp",15,MAX(0.1,Skills!D7-IF(Skills!E6=TRUE,Inputs!$B$33,0)))*(1-IF(AND(ArtifactsInput!$M$27,Inputs!$B$4="Chapter Hunt"),CHOOSE(ArtifactsInput!$N$27+1,20,24,28,32,36,40),0)/100)),0)</f>
        <v/>
      </c>
      <c r="R2015">
        <f>IF(AND(Inputs!$B$39&lt;&gt;"pvp",Inputs!$B$44&gt;0),IF(MAX(0,Inputs!$B$44-B2047)&lt;=0,0,(INT(MAX(0,Inputs!$B$44-B2047)/(IF(Inputs!$B$39="pvp",15,MAX(0.1,Skills!D7-IF(Skills!E6=TRUE,Inputs!$B$33,0)))*(1-IF(AND(ArtifactsInput!$M$27,Inputs!$B$4="Chapter Hunt"),CHOOSE(ArtifactsInput!$N$27+1,20,24,28,32,36,40),0)/100)))+1)),0)</f>
        <v/>
      </c>
      <c r="S2015">
        <f>IF(C2015,H2015*N2015*IF(AND(Inputs!$B$39&lt;&gt;"pvp",Inputs!$B$44&gt;0),((Skills!F7*((R2015-1)*IF(Skills!G7&gt;0,Skills!H7/Skills!G7,1)+IF(Skills!G7&gt;0,MIN(Skills!H7,MAX(0,MAX(0,Inputs!$B$44-B2047)-((R2015-1)*(IF(Inputs!$B$39="pvp",15,MAX(0.1,Skills!D7-IF(Skills!E6=TRUE,Inputs!$B$33,0)))*(1-IF(AND(ArtifactsInput!$M$27,Inputs!$B$4="Chapter Hunt"),CHOOSE(ArtifactsInput!$N$27+1,20,24,28,32,36,40),0)/100)))))/Skills!G7,1)))/Inputs!$B$44),G2015*Q2015)*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t="n">
        <v>0</v>
      </c>
    </row>
    <row r="2016">
      <c r="A2016">
        <f>Skills!A8</f>
        <v/>
      </c>
      <c r="B2016">
        <f>Skills!B8</f>
        <v/>
      </c>
      <c r="C2016">
        <f>Inputs!$B$3&gt;=105</f>
        <v/>
      </c>
      <c r="D2016">
        <f>IF(Skills!C8=1,60+Inputs!$B$26+Inputs!$B$30,IF(Skills!C8=2,90+Inputs!$B$27+Inputs!$B$30,IF(Skills!C8=3,120+Inputs!$B$28+Inputs!$B$30,MAX(0,(Inputs!$B$3-100)*3)+Inputs!$B$29+Inputs!$B$30)))</f>
        <v/>
      </c>
      <c r="E2016">
        <f>INDEX(FactorTable!$B$2:$Y$301, MATCH(ROUND(MIN(300,MAX(1,D2016)),0), FactorTable!$A$2:$A$301,0), Skills!L8+1)</f>
        <v/>
      </c>
      <c r="F2016">
        <f>IF(Skills!M8=TRUE,(Skills!K8/10)*(E2016/1000),Skills!K8/10)+Skills!N8</f>
        <v/>
      </c>
      <c r="G2016">
        <f>Calc!G8</f>
        <v/>
      </c>
      <c r="H2016">
        <f>Calc!H8</f>
        <v/>
      </c>
      <c r="I2016">
        <f>IF(Skills!T8&lt;&gt;"",1+(Skills!T8/10)*($Z$3/1000)/100,1)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8="TRIUMPH_FEATHER",IF(C2024=TRUE,F2024,0),0)/100)*(1+IF(C2035=TRUE,F2035,0)/100)^5*(1+(IF(Skills!A8="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2030-Calc!F22),(Inputs!$B$24+IF(ArtifactsInput!$M$15,CHOOSE(ArtifactsInput!$N$15+1,25,30,35,40,45,50)/100*(Inputs!$B$12-Inputs!$B$12),0)))/100+(Inputs!$B$24+IF(ArtifactsInput!$M$15,CHOOSE(ArtifactsInput!$N$15+1,25,30,35,40,45,50)/100*(Inputs!$B$12-Inputs!$B$12),0))/100)/2</f>
        <v/>
      </c>
      <c r="M2016">
        <f>L2016*(1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6">
        <f>L2016*(1-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IFERROR(1/(IF(Inputs!$B$39="pvp",15,MAX(0.1,Skills!D8-IF(Skills!E8=TRUE,Inputs!$B$33,0)))*(1-IF(AND(ArtifactsInput!$M$27,Inputs!$B$4="Chapter Hunt"),CHOOSE(ArtifactsInput!$N$27+1,20,24,28,32,36,40),0)/100)),0)</f>
        <v/>
      </c>
      <c r="R2016">
        <f>IF(AND(Inputs!$B$39&lt;&gt;"pvp",Inputs!$B$44&gt;0),IF(MAX(0,Inputs!$B$44-B2047)&lt;=0,0,(INT(MAX(0,Inputs!$B$44-B2047)/(IF(Inputs!$B$39="pvp",15,MAX(0.1,Skills!D8-IF(Skills!E8=TRUE,Inputs!$B$33,0)))*(1-IF(AND(ArtifactsInput!$M$27,Inputs!$B$4="Chapter Hunt"),CHOOSE(ArtifactsInput!$N$27+1,20,24,28,32,36,40),0)/100)))+1)),0)</f>
        <v/>
      </c>
      <c r="S2016">
        <f>IF(C2016,(H2016*N2016*IF(AND(Inputs!$B$39&lt;&gt;"pvp",Inputs!$B$44&gt;0),((Skills!F8*((R2016-1)*IF(Skills!G8&gt;0,Skills!H8/Skills!G8,1)+IF(Skills!G8&gt;0,MIN(Skills!H8,MAX(0,MAX(0,Inputs!$B$44-B2047)-((R2016-1)*(IF(Inputs!$B$39="pvp",15,MAX(0.1,Skills!D8-IF(Skills!E8=TRUE,Inputs!$B$33,0)))*(1-IF(AND(ArtifactsInput!$M$27,Inputs!$B$4="Chapter Hunt"),CHOOSE(ArtifactsInput!$N$27+1,20,24,28,32,36,40),0)/100)))))/Skills!G8,1)))/Inputs!$B$44),G2016*Q2016))*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8*((R2016-1)*IF(Skills!G8&gt;0,Skills!H8/Skills!G8,1)+IF(Skills!G8&gt;0,MIN(Skills!H8,MAX(0,MAX(0,Inputs!$B$44-B2047)-((R2016-1)*(IF(Inputs!$B$39="pvp",15,MAX(0.1,Skills!D8-IF(Skills!E8=TRUE,Inputs!$B$33,0)))*(1-IF(AND(ArtifactsInput!$M$27,Inputs!$B$4="Chapter Hunt"),CHOOSE(ArtifactsInput!$N$27+1,20,24,28,32,36,40),0)/100)))))/Skills!G8,1)))/Inputs!$B$44),G2016*Q2016))*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Skills!A9</f>
        <v/>
      </c>
      <c r="B2017">
        <f>Skills!B9</f>
        <v/>
      </c>
      <c r="C2017">
        <f>Inputs!$B$3&gt;=115</f>
        <v/>
      </c>
      <c r="D2017">
        <f>IF(Skills!C9=1,60+Inputs!$B$26+Inputs!$B$30,IF(Skills!C9=2,90+Inputs!$B$27+Inputs!$B$30,IF(Skills!C9=3,120+Inputs!$B$28+Inputs!$B$30,MAX(0,(Inputs!$B$3-100)*3)+Inputs!$B$29+Inputs!$B$30)))</f>
        <v/>
      </c>
      <c r="E2017">
        <f>INDEX(FactorTable!$B$2:$Y$301, MATCH(ROUND(MIN(300,MAX(1,D2017)),0), FactorTable!$A$2:$A$301,0), Skills!L9+1)</f>
        <v/>
      </c>
      <c r="F2017">
        <f>IF(Skills!M9=TRUE,(Skills!K9/10)*(E2017/1000),Skills!K9/10)+Skills!N9</f>
        <v/>
      </c>
      <c r="G2017">
        <f>Calc!G9</f>
        <v/>
      </c>
      <c r="H2017">
        <f>Calc!H9</f>
        <v/>
      </c>
      <c r="I2017">
        <f>IF(Skills!T9&lt;&gt;"",1+(Skills!T9/10)*($Z$3/1000)/100,1)</f>
        <v/>
      </c>
      <c r="J2017">
        <f>((Inputs!$B$6*(1+Inputs!$B$7/100))+(((Inputs!$B$13*(1+Inputs!$B$14/100))-(Inputs!$B$13*(1+Inputs!$B$14/100)))+0.25*(Inputs!$B$15-Inputs!$B$15))*(1+Inputs!$B$7/100))*(F2017/100)</f>
        <v/>
      </c>
      <c r="K2017">
        <f>J2017*(1+(((Inputs!$B$13+IF(Inputs!$B$3&gt;=35,(10*INDEX(FactorTable!$B$2:$Y$301,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9="TRIUMPH_FEATHER",IF(C2024=TRUE,F2024,0),0)/100)*(1+IF(C2035=TRUE,F2035,0)/100)^5*(1+(IF(Skills!A9="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2017)</f>
        <v/>
      </c>
      <c r="L2017">
        <f>K2017*(MIN(Inputs!$B$23+(F2030-Calc!F22),(Inputs!$B$24+IF(ArtifactsInput!$M$15,CHOOSE(ArtifactsInput!$N$15+1,25,30,35,40,45,50)/100*(Inputs!$B$12-Inputs!$B$12),0)))/100+(Inputs!$B$24+IF(ArtifactsInput!$M$15,CHOOSE(ArtifactsInput!$N$15+1,25,30,35,40,45,50)/100*(Inputs!$B$12-Inputs!$B$12),0))/100)/2</f>
        <v/>
      </c>
      <c r="M2017">
        <f>L2017*(1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7">
        <f>L2017*(1-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(1-Summary!$B$11)*S2017+Summary!$B$11*U2017</f>
        <v/>
      </c>
      <c r="P2017">
        <f>IF(B2050=0,0,O2017/B2050)</f>
        <v/>
      </c>
      <c r="Q2017">
        <f>IFERROR(1/(IF(Inputs!$B$39="pvp",15,MAX(0.1,Skills!D9-IF(Skills!E9=TRUE,Inputs!$B$33,0)))*(1-IF(AND(ArtifactsInput!$M$27,Inputs!$B$4="Chapter Hunt"),CHOOSE(ArtifactsInput!$N$27+1,20,24,28,32,36,40),0)/100)),0)</f>
        <v/>
      </c>
      <c r="R2017">
        <f>IF(AND(Inputs!$B$39&lt;&gt;"pvp",Inputs!$B$44&gt;0),IF(MAX(0,Inputs!$B$44-B2047)&lt;=0,0,(INT(MAX(0,Inputs!$B$44-B2047)/(IF(Inputs!$B$39="pvp",15,MAX(0.1,Skills!D9-IF(Skills!E9=TRUE,Inputs!$B$33,0)))*(1-IF(AND(ArtifactsInput!$M$27,Inputs!$B$4="Chapter Hunt"),CHOOSE(ArtifactsInput!$N$27+1,20,24,28,32,36,40),0)/100)))+1)),0)</f>
        <v/>
      </c>
      <c r="S2017">
        <f>IF(C2017,(H2017*N2017*IF(AND(Inputs!$B$39&lt;&gt;"pvp",Inputs!$B$44&gt;0),((Skills!F9*((R2017-1)*IF(Skills!G9&gt;0,Skills!H9/Skills!G9,1)+IF(Skills!G9&gt;0,MIN(Skills!H9,MAX(0,MAX(0,Inputs!$B$44-B2047)-((R2017-1)*(IF(Inputs!$B$39="pvp",15,MAX(0.1,Skills!D9-IF(Skills!E9=TRUE,Inputs!$B$33,0)))*(1-IF(AND(ArtifactsInput!$M$27,Inputs!$B$4="Chapter Hunt"),CHOOSE(ArtifactsInput!$N$27+1,20,24,28,32,36,40),0)/100)))))/Skills!G9,1)))/Inputs!$B$44),G2017*Q2017))*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2017*(1-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7">
        <f>IF(C2017,(H2017*N2017*IF(AND(Inputs!$B$39&lt;&gt;"pvp",Inputs!$B$44&gt;0),((Skills!F9*((R2017-1)*IF(Skills!G9&gt;0,Skills!H9/Skills!G9,1)+IF(Skills!G9&gt;0,MIN(Skills!H9,MAX(0,MAX(0,Inputs!$B$44-B2047)-((R2017-1)*(IF(Inputs!$B$39="pvp",15,MAX(0.1,Skills!D9-IF(Skills!E9=TRUE,Inputs!$B$33,0)))*(1-IF(AND(ArtifactsInput!$M$27,Inputs!$B$4="Chapter Hunt"),CHOOSE(ArtifactsInput!$N$27+1,20,24,28,32,36,40),0)/100)))))/Skills!G9,1)))/Inputs!$B$44),G2017*Q2017))*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Skills!A10</f>
        <v/>
      </c>
      <c r="B2018">
        <f>Skills!B10</f>
        <v/>
      </c>
      <c r="C2018">
        <f>Inputs!$B$3&gt;=66</f>
        <v/>
      </c>
      <c r="D2018">
        <f>IF(Skills!C10=1,60+Inputs!$B$26+Inputs!$B$30,IF(Skills!C10=2,90+Inputs!$B$27+Inputs!$B$30,IF(Skills!C10=3,120+Inputs!$B$28+Inputs!$B$30,MAX(0,(Inputs!$B$3-100)*3)+Inputs!$B$29+Inputs!$B$30)))</f>
        <v/>
      </c>
      <c r="E2018">
        <f>INDEX(FactorTable!$B$2:$Y$301, MATCH(ROUND(MIN(300,MAX(1,D2018)),0), FactorTable!$A$2:$A$301,0), Skills!L10+1)</f>
        <v/>
      </c>
      <c r="F2018" t="n">
        <v>0</v>
      </c>
      <c r="G2018">
        <f>Calc!G10</f>
        <v/>
      </c>
      <c r="H2018">
        <f>Calc!H10</f>
        <v/>
      </c>
      <c r="I2018">
        <f>IF(Skills!T10&lt;&gt;"",1+(Skills!T10/10)*($Z$3/1000)/100,1)</f>
        <v/>
      </c>
      <c r="J2018" t="inlineStr"/>
      <c r="K2018" t="inlineStr"/>
      <c r="L2018" t="inlineStr"/>
      <c r="M2018" t="inlineStr"/>
      <c r="N2018" t="inlineStr"/>
      <c r="O2018">
        <f>(1-Summary!$B$11)*S2018+Summary!$B$11*U2018</f>
        <v/>
      </c>
      <c r="P2018">
        <f>IF(B2050=0,0,O2018/B2050)</f>
        <v/>
      </c>
      <c r="Q2018">
        <f>IFERROR(1/(IF(Inputs!$B$39="pvp",15,MAX(0.1,Skills!D10-IF(Skills!E10=TRUE,Inputs!$B$33,0)))*(1-IF(AND(ArtifactsInput!$M$27,Inputs!$B$4="Chapter Hunt"),CHOOSE(ArtifactsInput!$N$27+1,20,24,28,32,36,40),0)/100)),0)</f>
        <v/>
      </c>
      <c r="R2018">
        <f>IF(AND(Inputs!$B$39&lt;&gt;"pvp",Inputs!$B$44&gt;0),IF(MAX(0,Inputs!$B$44-B2047)&lt;=0,0,(INT(MAX(0,Inputs!$B$44-B2047)/(IF(Inputs!$B$39="pvp",15,MAX(0.1,Skills!D10-IF(Skills!E10=TRUE,Inputs!$B$33,0)))*(1-IF(AND(ArtifactsInput!$M$27,Inputs!$B$4="Chapter Hunt"),CHOOSE(ArtifactsInput!$N$27+1,20,24,28,32,36,40),0)/100)))+1)),0)</f>
        <v/>
      </c>
      <c r="S2018" t="n">
        <v>0</v>
      </c>
      <c r="U2018" t="n">
        <v>0</v>
      </c>
    </row>
    <row r="2019">
      <c r="A2019">
        <f>Skills!A11</f>
        <v/>
      </c>
      <c r="B2019">
        <f>Skills!B11</f>
        <v/>
      </c>
      <c r="C2019">
        <f>Inputs!$B$3&gt;=69</f>
        <v/>
      </c>
      <c r="D2019">
        <f>IF(Skills!C11=1,60+Inputs!$B$26+Inputs!$B$30,IF(Skills!C11=2,90+Inputs!$B$27+Inputs!$B$30,IF(Skills!C11=3,120+Inputs!$B$28+Inputs!$B$30,MAX(0,(Inputs!$B$3-100)*3)+Inputs!$B$29+Inputs!$B$30)))</f>
        <v/>
      </c>
      <c r="E2019">
        <f>INDEX(FactorTable!$B$2:$Y$301, MATCH(ROUND(MIN(300,MAX(1,D2019)),0), FactorTable!$A$2:$A$301,0), Skills!L11+1)</f>
        <v/>
      </c>
      <c r="F2019">
        <f>IF(Skills!M11=TRUE,(Skills!K11/10)*(E2019/1000),Skills!K11/10)+Skills!N11</f>
        <v/>
      </c>
      <c r="G2019">
        <f>Calc!G11</f>
        <v/>
      </c>
      <c r="H2019">
        <f>Calc!H11</f>
        <v/>
      </c>
      <c r="I2019">
        <f>IF(Skills!T11&lt;&gt;"",1+(Skills!T11/10)*($Z$3/1000)/100,1)</f>
        <v/>
      </c>
      <c r="J2019" t="inlineStr"/>
      <c r="K2019" t="inlineStr"/>
      <c r="L2019" t="inlineStr"/>
      <c r="M2019" t="inlineStr"/>
      <c r="N2019" t="inlineStr"/>
      <c r="O2019">
        <f>(1-Summary!$B$11)*S2019+Summary!$B$11*U2019</f>
        <v/>
      </c>
      <c r="P2019">
        <f>IF(B2050=0,0,O2019/B2050)</f>
        <v/>
      </c>
      <c r="Q2019">
        <f>IFERROR(1/(IF(Inputs!$B$39="pvp",15,MAX(0.1,Skills!D11-IF(Skills!E11=TRUE,Inputs!$B$33,0)))*(1-IF(AND(ArtifactsInput!$M$27,Inputs!$B$4="Chapter Hunt"),CHOOSE(ArtifactsInput!$N$27+1,20,24,28,32,36,40),0)/100)),0)</f>
        <v/>
      </c>
      <c r="R2019">
        <f>IF(AND(Inputs!$B$39&lt;&gt;"pvp",Inputs!$B$44&gt;0),IF(Inputs!$B$44&lt;=0,0,(INT(Inputs!$B$44/(IF(Inputs!$B$39="pvp",15,MAX(0.1,Skills!D11-IF(Skills!E11=TRUE,Inputs!$B$33,0)))*(1-IF(AND(ArtifactsInput!$M$27,Inputs!$B$4="Chapter Hunt"),CHOOSE(ArtifactsInput!$N$27+1,20,24,28,32,36,40),0)/100)))+1)),0)</f>
        <v/>
      </c>
      <c r="S2019" t="n">
        <v>0</v>
      </c>
      <c r="U2019" t="n">
        <v>0</v>
      </c>
    </row>
    <row r="2020">
      <c r="A2020">
        <f>Skills!A12</f>
        <v/>
      </c>
      <c r="B2020">
        <f>Skills!B12</f>
        <v/>
      </c>
      <c r="C2020">
        <f>Inputs!$B$3&gt;=72</f>
        <v/>
      </c>
      <c r="D2020">
        <f>IF(Skills!C12=1,60+Inputs!$B$26+Inputs!$B$30,IF(Skills!C12=2,90+Inputs!$B$27+Inputs!$B$30,IF(Skills!C12=3,120+Inputs!$B$28+Inputs!$B$30,MAX(0,(Inputs!$B$3-100)*3)+Inputs!$B$29+Inputs!$B$30)))</f>
        <v/>
      </c>
      <c r="E2020">
        <f>INDEX(FactorTable!$B$2:$Y$301, MATCH(ROUND(MIN(300,MAX(1,D2020)),0), FactorTable!$A$2:$A$301,0), Skills!L12+1)</f>
        <v/>
      </c>
      <c r="F2020">
        <f>IF(Skills!M12=TRUE,(Skills!K12/10)*(E2020/1000),Skills!K12/10)+Skills!N12</f>
        <v/>
      </c>
      <c r="G2020">
        <f>Calc!G12</f>
        <v/>
      </c>
      <c r="H2020">
        <f>Calc!H12</f>
        <v/>
      </c>
      <c r="I2020">
        <f>IF(Skills!T12&lt;&gt;"",1+(Skills!T12/10)*($Z$3/1000)/100,1)</f>
        <v/>
      </c>
      <c r="J2020" t="inlineStr"/>
      <c r="K2020" t="inlineStr"/>
      <c r="L2020" t="inlineStr"/>
      <c r="M2020" t="inlineStr"/>
      <c r="N2020" t="inlineStr"/>
      <c r="O2020">
        <f>(1-Summary!$B$11)*S2020+Summary!$B$11*U2020</f>
        <v/>
      </c>
      <c r="P2020">
        <f>IF(B2050=0,0,O2020/B2050)</f>
        <v/>
      </c>
      <c r="Q2020">
        <f>IFERROR(1/(IF(Inputs!$B$39="pvp",15,MAX(0.1,Skills!D12-IF(Skills!E12=TRUE,Inputs!$B$33,0)))*(1-IF(AND(ArtifactsInput!$M$27,Inputs!$B$4="Chapter Hunt"),CHOOSE(ArtifactsInput!$N$27+1,20,24,28,32,36,40),0)/100)),0)</f>
        <v/>
      </c>
      <c r="R2020">
        <f>IF(AND(Inputs!$B$39&lt;&gt;"pvp",Inputs!$B$44&gt;0),IF(MAX(0,Inputs!$B$44-B2047)&lt;=0,0,(INT(MAX(0,Inputs!$B$44-B2047)/(IF(Inputs!$B$39="pvp",15,MAX(0.1,Skills!D12-IF(Skills!E12=TRUE,Inputs!$B$33,0)))*(1-IF(AND(ArtifactsInput!$M$27,Inputs!$B$4="Chapter Hunt"),CHOOSE(ArtifactsInput!$N$27+1,20,24,28,32,36,40),0)/100)))+1)),0)</f>
        <v/>
      </c>
      <c r="S2020" t="n">
        <v>0</v>
      </c>
      <c r="U2020" t="n">
        <v>0</v>
      </c>
    </row>
    <row r="2021">
      <c r="A2021">
        <f>Skills!A13</f>
        <v/>
      </c>
      <c r="B2021">
        <f>Skills!B13</f>
        <v/>
      </c>
      <c r="C2021">
        <f>Inputs!$B$3&gt;=60</f>
        <v/>
      </c>
      <c r="D2021">
        <f>IF(Skills!C13=1,60+Inputs!$B$26+Inputs!$B$30,IF(Skills!C13=2,90+Inputs!$B$27+Inputs!$B$30,IF(Skills!C13=3,120+Inputs!$B$28+Inputs!$B$30,MAX(0,(Inputs!$B$3-100)*3)+Inputs!$B$29+Inputs!$B$30)))</f>
        <v/>
      </c>
      <c r="E2021">
        <f>INDEX(FactorTable!$B$2:$Y$301, MATCH(ROUND(MIN(300,MAX(1,D2021)),0), FactorTable!$A$2:$A$301,0), Skills!L13+1)</f>
        <v/>
      </c>
      <c r="F2021">
        <f>IF(Skills!M13=TRUE,(Skills!K13/10)*(E2021/1000),Skills!K13/10)+Skills!N13</f>
        <v/>
      </c>
      <c r="G2021">
        <f>Calc!G13</f>
        <v/>
      </c>
      <c r="H2021">
        <f>Calc!H13</f>
        <v/>
      </c>
      <c r="I2021">
        <f>IF(Skills!T13&lt;&gt;"",1+(Skills!T13/10)*($Z$3/1000)/100,1)</f>
        <v/>
      </c>
      <c r="J2021" t="inlineStr"/>
      <c r="K2021" t="inlineStr"/>
      <c r="L2021" t="inlineStr"/>
      <c r="M2021" t="inlineStr"/>
      <c r="N2021" t="inlineStr"/>
      <c r="O2021">
        <f>(1-Summary!$B$11)*S2021+Summary!$B$11*U2021</f>
        <v/>
      </c>
      <c r="P2021">
        <f>IF(B2050=0,0,O2021/B2050)</f>
        <v/>
      </c>
      <c r="Q2021">
        <f>IFERROR(1/(IF(Inputs!$B$39="pvp",15,MAX(0.1,Skills!D13-IF(Skills!E13=TRUE,Inputs!$B$33,0)))*(1-IF(AND(ArtifactsInput!$M$27,Inputs!$B$4="Chapter Hunt"),CHOOSE(ArtifactsInput!$N$27+1,20,24,28,32,36,40),0)/100)),0)</f>
        <v/>
      </c>
      <c r="R2021">
        <f>IF(AND(Inputs!$B$39&lt;&gt;"pvp",Inputs!$B$44&gt;0),IF(MAX(0,Inputs!$B$44-B2047)&lt;=0,0,(INT(MAX(0,Inputs!$B$44-B2047)/(IF(Inputs!$B$39="pvp",15,MAX(0.1,Skills!D13-IF(Skills!E13=TRUE,Inputs!$B$33,0)))*(1-IF(AND(ArtifactsInput!$M$27,Inputs!$B$4="Chapter Hunt"),CHOOSE(ArtifactsInput!$N$27+1,20,24,28,32,36,40),0)/100)))+1)),0)</f>
        <v/>
      </c>
      <c r="S2021" t="n">
        <v>0</v>
      </c>
      <c r="U2021" t="n">
        <v>0</v>
      </c>
    </row>
    <row r="2022">
      <c r="A2022">
        <f>Skills!A14</f>
        <v/>
      </c>
      <c r="B2022">
        <f>Skills!B14</f>
        <v/>
      </c>
      <c r="C2022">
        <f>Inputs!$B$3&gt;=107</f>
        <v/>
      </c>
      <c r="D2022">
        <f>IF(Skills!C14=1,60+Inputs!$B$26+Inputs!$B$30,IF(Skills!C14=2,90+Inputs!$B$27+Inputs!$B$30,IF(Skills!C14=3,120+Inputs!$B$28+Inputs!$B$30,MAX(0,(Inputs!$B$3-100)*3)+Inputs!$B$29+Inputs!$B$30)))</f>
        <v/>
      </c>
      <c r="E2022">
        <f>INDEX(FactorTable!$B$2:$Y$301, MATCH(ROUND(MIN(300,MAX(1,D2022)),0), FactorTable!$A$2:$A$301,0), Skills!L14+1)</f>
        <v/>
      </c>
      <c r="F2022">
        <f>IF(Skills!M14=TRUE,(Skills!K14/10)*(E2022/1000),Skills!K14/10)+Skills!N14</f>
        <v/>
      </c>
      <c r="G2022">
        <f>Calc!G14</f>
        <v/>
      </c>
      <c r="H2022">
        <f>Calc!H14</f>
        <v/>
      </c>
      <c r="I2022">
        <f>IF(Skills!T14&lt;&gt;"",1+(Skills!T14/10)*($Z$3/1000)/100,1)</f>
        <v/>
      </c>
      <c r="J2022" t="inlineStr"/>
      <c r="K2022" t="inlineStr"/>
      <c r="L2022" t="inlineStr"/>
      <c r="M2022" t="inlineStr"/>
      <c r="N2022" t="inlineStr"/>
      <c r="O2022">
        <f>(1-Summary!$B$11)*S2022+Summary!$B$11*U2022</f>
        <v/>
      </c>
      <c r="P2022">
        <f>IF(B2050=0,0,O2022/B2050)</f>
        <v/>
      </c>
      <c r="Q2022">
        <f>IFERROR(1/(IF(Inputs!$B$39="pvp",15,MAX(0.1,Skills!D14-IF(Skills!E14=TRUE,Inputs!$B$33,0)))*(1-IF(AND(ArtifactsInput!$M$27,Inputs!$B$4="Chapter Hunt"),CHOOSE(ArtifactsInput!$N$27+1,20,24,28,32,36,40),0)/100)),0)</f>
        <v/>
      </c>
      <c r="R2022">
        <f>IF(AND(Inputs!$B$39&lt;&gt;"pvp",Inputs!$B$44&gt;0),IF(Inputs!$B$44&lt;=0,0,(INT(Inputs!$B$44/(IF(Inputs!$B$39="pvp",15,MAX(0.1,Skills!D14-IF(Skills!E14=TRUE,Inputs!$B$33,0)))*(1-IF(AND(ArtifactsInput!$M$27,Inputs!$B$4="Chapter Hunt"),CHOOSE(ArtifactsInput!$N$27+1,20,24,28,32,36,40),0)/100)))+1)),0)</f>
        <v/>
      </c>
      <c r="S2022" t="n">
        <v>0</v>
      </c>
      <c r="U2022" t="n">
        <v>0</v>
      </c>
    </row>
    <row r="2023">
      <c r="A2023">
        <f>Skills!A15</f>
        <v/>
      </c>
      <c r="B2023">
        <f>Skills!B15</f>
        <v/>
      </c>
      <c r="C2023">
        <f>Inputs!$B$3&gt;=63</f>
        <v/>
      </c>
      <c r="D2023">
        <f>IF(Skills!C15=1,60+Inputs!$B$26+Inputs!$B$30,IF(Skills!C15=2,90+Inputs!$B$27+Inputs!$B$30,IF(Skills!C15=3,120+Inputs!$B$28+Inputs!$B$30,MAX(0,(Inputs!$B$3-100)*3)+Inputs!$B$29+Inputs!$B$30)))</f>
        <v/>
      </c>
      <c r="E2023">
        <f>INDEX(FactorTable!$B$2:$Y$301, MATCH(ROUND(MIN(300,MAX(1,D2023)),0), FactorTable!$A$2:$A$301,0), Skills!L15+1)</f>
        <v/>
      </c>
      <c r="F2023">
        <f>IF(Skills!M15=TRUE,(Skills!K15/10)*(E2023/1000),Skills!K15/10)+Skills!N15</f>
        <v/>
      </c>
      <c r="G2023">
        <f>Calc!G15</f>
        <v/>
      </c>
      <c r="H2023">
        <f>Calc!H15</f>
        <v/>
      </c>
      <c r="I2023">
        <f>IF(Skills!T15&lt;&gt;"",1+(Skills!T15/10)*($Z$3/1000)/100,1)</f>
        <v/>
      </c>
      <c r="J2023">
        <f>((Inputs!$B$6*(1+Inputs!$B$7/100))+(((Inputs!$B$13*(1+Inputs!$B$14/100))-(Inputs!$B$13*(1+Inputs!$B$14/100)))+0.25*(Inputs!$B$15-Inputs!$B$15))*(1+Inputs!$B$7/100))*(F2023/100)</f>
        <v/>
      </c>
      <c r="K2023">
        <f>J2023*(1+(((Inputs!$B$13+IF(Inputs!$B$3&gt;=35,(10*INDEX(FactorTable!$B$2:$Y$301,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15="TRIUMPH_FEATHER",IF(C2024=TRUE,F2024,0),0)/100)*(1+IF(C2035=TRUE,F2035,0)/100)^5*(1+(IF(Skills!A15="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2023)</f>
        <v/>
      </c>
      <c r="L2023">
        <f>K2023*(MIN(Inputs!$B$23+(F2030-Calc!F22),(Inputs!$B$24+IF(ArtifactsInput!$M$15,CHOOSE(ArtifactsInput!$N$15+1,25,30,35,40,45,50)/100*(Inputs!$B$12-Inputs!$B$12),0)))/100+(Inputs!$B$24+IF(ArtifactsInput!$M$15,CHOOSE(ArtifactsInput!$N$15+1,25,30,35,40,45,50)/100*(Inputs!$B$12-Inputs!$B$12),0))/100)/2</f>
        <v/>
      </c>
      <c r="M2023">
        <f>L2023*(1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23">
        <f>L2023*(1-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2023*(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3">
        <f>(1-Summary!$B$11)*S2023+Summary!$B$11*U2023</f>
        <v/>
      </c>
      <c r="P2023">
        <f>IF(B2050=0,0,O2023/B2050)</f>
        <v/>
      </c>
      <c r="Q2023">
        <f>IFERROR(1/(IF(Inputs!$B$39="pvp",15,MAX(0.1,Skills!D15-IF(Skills!E15=TRUE,Inputs!$B$33,0)))*(1-IF(AND(ArtifactsInput!$M$27,Inputs!$B$4="Chapter Hunt"),CHOOSE(ArtifactsInput!$N$27+1,20,24,28,32,36,40),0)/100)),0)</f>
        <v/>
      </c>
      <c r="R2023" t="n">
        <v>0</v>
      </c>
      <c r="S2023">
        <f>IF(C2023,(Skills!F15*N2023*((IF(Inputs!$B$3&gt;=78,25,15)/100*B2043*10)/(1+IF(Inputs!$B$3&gt;=78,25,15)/100*B2043*10)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2023*(1-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2023*(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2023*(1-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2023*(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3">
        <f>IF(C2023,(Skills!F15*N2023*((IF(Inputs!$B$3&gt;=78,25,15)/100*B2043*10)/(1+IF(Inputs!$B$3&gt;=78,25,15)/100*B2043*10)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4">
      <c r="A2024">
        <f>Skills!A16</f>
        <v/>
      </c>
      <c r="B2024">
        <f>Skills!B16</f>
        <v/>
      </c>
      <c r="C2024">
        <f>Inputs!$B$3&gt;=100</f>
        <v/>
      </c>
      <c r="D2024">
        <f>IF(Skills!C16=1,60+Inputs!$B$26+Inputs!$B$30,IF(Skills!C16=2,90+Inputs!$B$27+Inputs!$B$30,IF(Skills!C16=3,120+Inputs!$B$28+Inputs!$B$30,MAX(0,(Inputs!$B$3-100)*3)+Inputs!$B$29+Inputs!$B$30)))</f>
        <v/>
      </c>
      <c r="E2024">
        <f>INDEX(FactorTable!$B$2:$Y$301, MATCH(ROUND(MIN(300,MAX(1,D2024)),0), FactorTable!$A$2:$A$301,0), Skills!L16+1)</f>
        <v/>
      </c>
      <c r="F2024">
        <f>IF(Skills!M16=TRUE,(Skills!K16/10)*(E2024/1000),Skills!K16/10)+Skills!N16</f>
        <v/>
      </c>
      <c r="G2024">
        <f>Calc!G16</f>
        <v/>
      </c>
      <c r="H2024">
        <f>Calc!H16</f>
        <v/>
      </c>
      <c r="I2024">
        <f>IF(Skills!T16&lt;&gt;"",1+(Skills!T16/10)*($Z$3/1000)/100,1)</f>
        <v/>
      </c>
      <c r="J2024" t="inlineStr"/>
      <c r="K2024" t="inlineStr"/>
      <c r="L2024" t="inlineStr"/>
      <c r="M2024" t="inlineStr"/>
      <c r="N2024" t="inlineStr"/>
      <c r="O2024">
        <f>(1-Summary!$B$11)*S2024+Summary!$B$11*U2024</f>
        <v/>
      </c>
      <c r="P2024">
        <f>IF(B2050=0,0,O2024/B2050)</f>
        <v/>
      </c>
      <c r="Q2024">
        <f>IFERROR(1/(IF(Inputs!$B$39="pvp",15,MAX(0.1,Skills!D16-IF(Skills!E16=TRUE,Inputs!$B$33,0)))*(1-IF(AND(ArtifactsInput!$M$27,Inputs!$B$4="Chapter Hunt"),CHOOSE(ArtifactsInput!$N$27+1,20,24,28,32,36,40),0)/100)),0)</f>
        <v/>
      </c>
      <c r="R2024" t="n">
        <v>0</v>
      </c>
      <c r="S2024" t="n">
        <v>0</v>
      </c>
      <c r="U2024" t="n">
        <v>0</v>
      </c>
    </row>
    <row r="2025">
      <c r="A2025">
        <f>Skills!A17</f>
        <v/>
      </c>
      <c r="B2025">
        <f>Skills!B17</f>
        <v/>
      </c>
      <c r="C2025">
        <f>Inputs!$B$3&gt;=49</f>
        <v/>
      </c>
      <c r="D2025">
        <f>IF(Skills!C17=1,60+Inputs!$B$26+Inputs!$B$30,IF(Skills!C17=2,90+Inputs!$B$27+Inputs!$B$30,IF(Skills!C17=3,120+Inputs!$B$28+Inputs!$B$30,MAX(0,(Inputs!$B$3-100)*3)+Inputs!$B$29+Inputs!$B$30)))</f>
        <v/>
      </c>
      <c r="E2025">
        <f>INDEX(FactorTable!$B$2:$Y$301, MATCH(ROUND(MIN(300,MAX(1,D2025)),0), FactorTable!$A$2:$A$301,0), Skills!L17+1)</f>
        <v/>
      </c>
      <c r="F2025">
        <f>IF(Skills!M17=TRUE,(Skills!K17/10)*(E2025/1000),Skills!K17/10)+Skills!N17</f>
        <v/>
      </c>
      <c r="G2025">
        <f>Calc!G17</f>
        <v/>
      </c>
      <c r="H2025">
        <f>Calc!H17</f>
        <v/>
      </c>
      <c r="I2025">
        <f>IF(Skills!T17&lt;&gt;"",1+(Skills!T17/10)*($Z$3/1000)/100,1)</f>
        <v/>
      </c>
      <c r="J2025" t="inlineStr"/>
      <c r="K2025" t="inlineStr"/>
      <c r="L2025" t="inlineStr"/>
      <c r="M2025" t="inlineStr"/>
      <c r="N2025" t="inlineStr"/>
      <c r="O2025">
        <f>(1-Summary!$B$11)*S2025+Summary!$B$11*U2025</f>
        <v/>
      </c>
      <c r="P2025">
        <f>IF(B2050=0,0,O2025/B2050)</f>
        <v/>
      </c>
      <c r="Q2025">
        <f>IFERROR(1/(IF(Inputs!$B$39="pvp",15,MAX(0.1,Skills!D17-IF(Skills!E17=TRUE,Inputs!$B$33,0)))*(1-IF(AND(ArtifactsInput!$M$27,Inputs!$B$4="Chapter Hunt"),CHOOSE(ArtifactsInput!$N$27+1,20,24,28,32,36,40),0)/100)),0)</f>
        <v/>
      </c>
      <c r="R2025" t="n">
        <v>0</v>
      </c>
      <c r="S2025" t="n">
        <v>0</v>
      </c>
      <c r="U2025" t="n">
        <v>0</v>
      </c>
    </row>
    <row r="2026">
      <c r="A2026">
        <f>Skills!A18</f>
        <v/>
      </c>
      <c r="B2026">
        <f>Skills!B18</f>
        <v/>
      </c>
      <c r="C2026">
        <f>Inputs!$B$3&gt;=75</f>
        <v/>
      </c>
      <c r="D2026">
        <f>IF(Skills!C18=1,60+Inputs!$B$26+Inputs!$B$30,IF(Skills!C18=2,90+Inputs!$B$27+Inputs!$B$30,IF(Skills!C18=3,120+Inputs!$B$28+Inputs!$B$30,MAX(0,(Inputs!$B$3-100)*3)+Inputs!$B$29+Inputs!$B$30)))</f>
        <v/>
      </c>
      <c r="E2026">
        <f>INDEX(FactorTable!$B$2:$Y$301, MATCH(ROUND(MIN(300,MAX(1,D2026)),0), FactorTable!$A$2:$A$301,0), Skills!L18+1)</f>
        <v/>
      </c>
      <c r="F2026">
        <f>IF(Skills!M18=TRUE,(Skills!K18/10)*(E2026/1000),Skills!K18/10)+Skills!N18</f>
        <v/>
      </c>
      <c r="G2026">
        <f>Calc!G18</f>
        <v/>
      </c>
      <c r="H2026">
        <f>Calc!H18</f>
        <v/>
      </c>
      <c r="I2026">
        <f>IF(Skills!T18&lt;&gt;"",1+(Skills!T18/10)*($Z$3/1000)/100,1)</f>
        <v/>
      </c>
      <c r="J2026" t="inlineStr"/>
      <c r="K2026" t="inlineStr"/>
      <c r="L2026" t="inlineStr"/>
      <c r="M2026" t="inlineStr"/>
      <c r="N2026" t="inlineStr"/>
      <c r="O2026">
        <f>(1-Summary!$B$11)*S2026+Summary!$B$11*U2026</f>
        <v/>
      </c>
      <c r="P2026">
        <f>IF(B2050=0,0,O2026/B2050)</f>
        <v/>
      </c>
      <c r="Q2026">
        <f>IFERROR(1/(IF(Inputs!$B$39="pvp",15,MAX(0.1,Skills!D18-IF(Skills!E18=TRUE,Inputs!$B$33,0)))*(1-IF(AND(ArtifactsInput!$M$27,Inputs!$B$4="Chapter Hunt"),CHOOSE(ArtifactsInput!$N$27+1,20,24,28,32,36,40),0)/100)),0)</f>
        <v/>
      </c>
      <c r="R2026" t="n">
        <v>0</v>
      </c>
      <c r="S2026" t="n">
        <v>0</v>
      </c>
      <c r="U2026" t="n">
        <v>0</v>
      </c>
    </row>
    <row r="2027">
      <c r="A2027">
        <f>Skills!A19</f>
        <v/>
      </c>
      <c r="B2027">
        <f>Skills!B19</f>
        <v/>
      </c>
      <c r="C2027">
        <f>Inputs!$B$3&gt;=110</f>
        <v/>
      </c>
      <c r="D2027">
        <f>IF(Skills!C19=1,60+Inputs!$B$26+Inputs!$B$30,IF(Skills!C19=2,90+Inputs!$B$27+Inputs!$B$30,IF(Skills!C19=3,120+Inputs!$B$28+Inputs!$B$30,MAX(0,(Inputs!$B$3-100)*3)+Inputs!$B$29+Inputs!$B$30)))</f>
        <v/>
      </c>
      <c r="E2027">
        <f>INDEX(FactorTable!$B$2:$Y$301, MATCH(ROUND(MIN(300,MAX(1,D2027)),0), FactorTable!$A$2:$A$301,0), Skills!L19+1)</f>
        <v/>
      </c>
      <c r="F2027">
        <f>(Skills!K19/10)*(E2027/1000)*64/45+Skills!N19</f>
        <v/>
      </c>
      <c r="G2027">
        <f>Calc!G19</f>
        <v/>
      </c>
      <c r="H2027">
        <f>Calc!H19</f>
        <v/>
      </c>
      <c r="I2027">
        <f>IF(Skills!T19&lt;&gt;"",1+(Skills!T19/10)*($Z$3/1000)/100,1)</f>
        <v/>
      </c>
      <c r="J2027" t="inlineStr"/>
      <c r="K2027" t="inlineStr"/>
      <c r="L2027" t="inlineStr"/>
      <c r="M2027" t="inlineStr"/>
      <c r="N2027" t="inlineStr"/>
      <c r="O2027">
        <f>(1-Summary!$B$11)*S2027+Summary!$B$11*U2027</f>
        <v/>
      </c>
      <c r="P2027">
        <f>IF(B2050=0,0,O2027/B2050)</f>
        <v/>
      </c>
      <c r="Q2027">
        <f>IFERROR(1/(IF(Inputs!$B$39="pvp",15,MAX(0.1,Skills!D19-IF(Skills!E19=TRUE,Inputs!$B$33,0)))*(1-IF(AND(ArtifactsInput!$M$27,Inputs!$B$4="Chapter Hunt"),CHOOSE(ArtifactsInput!$N$27+1,20,24,28,32,36,40),0)/100)),0)</f>
        <v/>
      </c>
      <c r="R2027">
        <f>IF(AND(Inputs!$B$39&lt;&gt;"pvp",Inputs!$B$44&gt;0),IF(Inputs!$B$44&lt;=0,0,(INT(Inputs!$B$44/(IF(Inputs!$B$39="pvp",15,MAX(0.1,Skills!D19-IF(Skills!E19=TRUE,Inputs!$B$33,0)))*(1-IF(AND(ArtifactsInput!$M$27,Inputs!$B$4="Chapter Hunt"),CHOOSE(ArtifactsInput!$N$27+1,20,24,28,32,36,40),0)/100)))+1)),0)</f>
        <v/>
      </c>
      <c r="S2027" t="n">
        <v>0</v>
      </c>
      <c r="U2027" t="n">
        <v>0</v>
      </c>
    </row>
    <row r="2028">
      <c r="A2028">
        <f>Skills!A20</f>
        <v/>
      </c>
      <c r="B2028">
        <f>Skills!B20</f>
        <v/>
      </c>
      <c r="C2028">
        <f>Inputs!$B$3&gt;=125</f>
        <v/>
      </c>
      <c r="D2028">
        <f>IF(Skills!C20=1,60+Inputs!$B$26+Inputs!$B$30,IF(Skills!C20=2,90+Inputs!$B$27+Inputs!$B$30,IF(Skills!C20=3,120+Inputs!$B$28+Inputs!$B$30,MAX(0,(Inputs!$B$3-100)*3)+Inputs!$B$29+Inputs!$B$30)))</f>
        <v/>
      </c>
      <c r="E2028">
        <f>INDEX(FactorTable!$B$2:$Y$301, MATCH(ROUND(MIN(300,MAX(1,D2028)),0), FactorTable!$A$2:$A$301,0), Skills!L20+1)</f>
        <v/>
      </c>
      <c r="F2028">
        <f>IF(Skills!M20=TRUE,(Skills!K20/10)*(E2028/1000),Skills!K20/10)+Skills!N20</f>
        <v/>
      </c>
      <c r="G2028">
        <f>Calc!G20</f>
        <v/>
      </c>
      <c r="H2028">
        <f>Calc!H20</f>
        <v/>
      </c>
      <c r="I2028">
        <f>IF(Skills!T20&lt;&gt;"",1+(Skills!T20/10)*($Z$3/1000)/100,1)</f>
        <v/>
      </c>
      <c r="J2028" t="inlineStr"/>
      <c r="K2028" t="inlineStr"/>
      <c r="L2028" t="inlineStr"/>
      <c r="M2028" t="inlineStr"/>
      <c r="N2028" t="inlineStr"/>
      <c r="O2028">
        <f>(1-Summary!$B$11)*S2028+Summary!$B$11*U2028</f>
        <v/>
      </c>
      <c r="P2028">
        <f>IF(B2050=0,0,O2028/B2050)</f>
        <v/>
      </c>
      <c r="Q2028">
        <f>IFERROR(1/(IF(Inputs!$B$39="pvp",15,MAX(0.1,Skills!D20-IF(Skills!E20=TRUE,Inputs!$B$33,0)))*(1-IF(AND(ArtifactsInput!$M$27,Inputs!$B$4="Chapter Hunt"),CHOOSE(ArtifactsInput!$N$27+1,20,24,28,32,36,40),0)/100)),0)</f>
        <v/>
      </c>
      <c r="R2028" t="n">
        <v>0</v>
      </c>
      <c r="S2028" t="n">
        <v>0</v>
      </c>
      <c r="U2028" t="n">
        <v>0</v>
      </c>
    </row>
    <row r="2029">
      <c r="A2029">
        <f>Skills!A21</f>
        <v/>
      </c>
      <c r="B2029">
        <f>Skills!B21</f>
        <v/>
      </c>
      <c r="C2029">
        <f>Inputs!$B$3&gt;=33</f>
        <v/>
      </c>
      <c r="D2029">
        <f>IF(Skills!C21=1,60+Inputs!$B$26+Inputs!$B$30,IF(Skills!C21=2,90+Inputs!$B$27+Inputs!$B$30,IF(Skills!C21=3,120+Inputs!$B$28+Inputs!$B$30,MAX(0,(Inputs!$B$3-100)*3)+Inputs!$B$29+Inputs!$B$30)))</f>
        <v/>
      </c>
      <c r="E2029">
        <f>INDEX(FactorTable!$B$2:$Y$301, MATCH(ROUND(MIN(300,MAX(1,D2029)),0), FactorTable!$A$2:$A$301,0), Skills!L21+1)</f>
        <v/>
      </c>
      <c r="F2029">
        <f>IF(Skills!M21=TRUE,(Skills!K21/10)*(E2029/1000),Skills!K21/10)+Skills!N21</f>
        <v/>
      </c>
      <c r="G2029">
        <f>Calc!G21</f>
        <v/>
      </c>
      <c r="H2029">
        <f>Calc!H21</f>
        <v/>
      </c>
      <c r="I2029">
        <f>IF(Skills!T21&lt;&gt;"",1+(Skills!T21/10)*($Z$3/1000)/100,1)</f>
        <v/>
      </c>
      <c r="J2029" t="inlineStr"/>
      <c r="K2029" t="inlineStr"/>
      <c r="L2029" t="inlineStr"/>
      <c r="M2029" t="inlineStr"/>
      <c r="N2029" t="inlineStr"/>
      <c r="O2029">
        <f>(1-Summary!$B$11)*S2029+Summary!$B$11*U2029</f>
        <v/>
      </c>
      <c r="P2029">
        <f>IF(B2050=0,0,O2029/B2050)</f>
        <v/>
      </c>
      <c r="Q2029">
        <f>IFERROR(1/(IF(Inputs!$B$39="pvp",15,MAX(0.1,Skills!D21-IF(Skills!E21=TRUE,Inputs!$B$33,0)))*(1-IF(AND(ArtifactsInput!$M$27,Inputs!$B$4="Chapter Hunt"),CHOOSE(ArtifactsInput!$N$27+1,20,24,28,32,36,40),0)/100)),0)</f>
        <v/>
      </c>
      <c r="R2029" t="n">
        <v>0</v>
      </c>
      <c r="S2029" t="n">
        <v>0</v>
      </c>
      <c r="U2029" t="n">
        <v>0</v>
      </c>
    </row>
    <row r="2030">
      <c r="A2030">
        <f>Skills!A22</f>
        <v/>
      </c>
      <c r="B2030">
        <f>Skills!B22</f>
        <v/>
      </c>
      <c r="C2030">
        <f>Inputs!$B$3&gt;=43</f>
        <v/>
      </c>
      <c r="D2030">
        <f>IF(Skills!C22=1,60+Inputs!$B$26+Inputs!$B$30,IF(Skills!C22=2,90+Inputs!$B$27+Inputs!$B$30,IF(Skills!C22=3,120+Inputs!$B$28+Inputs!$B$30,MAX(0,(Inputs!$B$3-100)*3)+Inputs!$B$29+Inputs!$B$30)))</f>
        <v/>
      </c>
      <c r="E2030">
        <f>INDEX(FactorTable!$B$2:$Y$301, MATCH(ROUND(MIN(300,MAX(1,D2030)),0), FactorTable!$A$2:$A$301,0), Skills!L22+1)</f>
        <v/>
      </c>
      <c r="F2030">
        <f>IF(Skills!M22=TRUE,(Skills!K22/10)*(E2030/1000),Skills!K22/10)+Skills!N22</f>
        <v/>
      </c>
      <c r="G2030">
        <f>Calc!G22</f>
        <v/>
      </c>
      <c r="H2030">
        <f>Calc!H22</f>
        <v/>
      </c>
      <c r="I2030">
        <f>IF(Skills!T22&lt;&gt;"",1+(Skills!T22/10)*($Z$3/1000)/100,1)</f>
        <v/>
      </c>
      <c r="J2030" t="inlineStr"/>
      <c r="K2030" t="inlineStr"/>
      <c r="L2030" t="inlineStr"/>
      <c r="M2030" t="inlineStr"/>
      <c r="N2030" t="inlineStr"/>
      <c r="O2030">
        <f>(1-Summary!$B$11)*S2030+Summary!$B$11*U2030</f>
        <v/>
      </c>
      <c r="P2030">
        <f>IF(B2050=0,0,O2030/B2050)</f>
        <v/>
      </c>
      <c r="Q2030">
        <f>IFERROR(1/(IF(Inputs!$B$39="pvp",15,MAX(0.1,Skills!D22-IF(Skills!E22=TRUE,Inputs!$B$33,0)))*(1-IF(AND(ArtifactsInput!$M$27,Inputs!$B$4="Chapter Hunt"),CHOOSE(ArtifactsInput!$N$27+1,20,24,28,32,36,40),0)/100)),0)</f>
        <v/>
      </c>
      <c r="R2030" t="n">
        <v>0</v>
      </c>
      <c r="S2030" t="n">
        <v>0</v>
      </c>
      <c r="U2030" t="n">
        <v>0</v>
      </c>
    </row>
    <row r="2031">
      <c r="A2031">
        <f>Skills!A23</f>
        <v/>
      </c>
      <c r="B2031">
        <f>Skills!B23</f>
        <v/>
      </c>
      <c r="C2031">
        <f>Inputs!$B$3&gt;=50</f>
        <v/>
      </c>
      <c r="D2031">
        <f>IF(Skills!C23=1,60+Inputs!$B$26+Inputs!$B$30,IF(Skills!C23=2,90+Inputs!$B$27+Inputs!$B$30,IF(Skills!C23=3,120+Inputs!$B$28+Inputs!$B$30,MAX(0,(Inputs!$B$3-100)*3)+Inputs!$B$29+Inputs!$B$30)))</f>
        <v/>
      </c>
      <c r="E2031">
        <f>INDEX(FactorTable!$B$2:$Y$301, MATCH(ROUND(MIN(300,MAX(1,D2031)),0), FactorTable!$A$2:$A$301,0), Skills!L23+1)</f>
        <v/>
      </c>
      <c r="F2031">
        <f>IF(Skills!M23=TRUE,(Skills!K23/10)*(E2031/1000),Skills!K23/10)+Skills!N23</f>
        <v/>
      </c>
      <c r="G2031">
        <f>Calc!G23</f>
        <v/>
      </c>
      <c r="H2031">
        <f>Calc!H23</f>
        <v/>
      </c>
      <c r="I2031">
        <f>IF(Skills!T23&lt;&gt;"",1+(Skills!T23/10)*($Z$3/1000)/100,1)</f>
        <v/>
      </c>
      <c r="J2031" t="inlineStr"/>
      <c r="K2031" t="inlineStr"/>
      <c r="L2031" t="inlineStr"/>
      <c r="M2031" t="inlineStr"/>
      <c r="N2031" t="inlineStr"/>
      <c r="O2031">
        <f>(1-Summary!$B$11)*S2031+Summary!$B$11*U2031</f>
        <v/>
      </c>
      <c r="P2031">
        <f>IF(B2050=0,0,O2031/B2050)</f>
        <v/>
      </c>
      <c r="Q2031">
        <f>IFERROR(1/(IF(Inputs!$B$39="pvp",15,MAX(0.1,Skills!D23-IF(Skills!E23=TRUE,Inputs!$B$33,0)))*(1-IF(AND(ArtifactsInput!$M$27,Inputs!$B$4="Chapter Hunt"),CHOOSE(ArtifactsInput!$N$27+1,20,24,28,32,36,40),0)/100)),0)</f>
        <v/>
      </c>
      <c r="R2031" t="n">
        <v>0</v>
      </c>
      <c r="S2031" t="n">
        <v>0</v>
      </c>
      <c r="U2031" t="n">
        <v>0</v>
      </c>
    </row>
    <row r="2032">
      <c r="A2032">
        <f>Skills!A24</f>
        <v/>
      </c>
      <c r="B2032">
        <f>Skills!B24</f>
        <v/>
      </c>
      <c r="C2032">
        <f>Inputs!$B$3&gt;=74</f>
        <v/>
      </c>
      <c r="D2032">
        <f>IF(Skills!C24=1,60+Inputs!$B$26+Inputs!$B$30,IF(Skills!C24=2,90+Inputs!$B$27+Inputs!$B$30,IF(Skills!C24=3,120+Inputs!$B$28+Inputs!$B$30,MAX(0,(Inputs!$B$3-100)*3)+Inputs!$B$29+Inputs!$B$30)))</f>
        <v/>
      </c>
      <c r="E2032">
        <f>INDEX(FactorTable!$B$2:$Y$301, MATCH(ROUND(MIN(300,MAX(1,D2032)),0), FactorTable!$A$2:$A$301,0), Skills!L24+1)</f>
        <v/>
      </c>
      <c r="F2032">
        <f>IF(Skills!M24=TRUE,(Skills!K24/10)*(E2032/1000),Skills!K24/10)+Skills!N24</f>
        <v/>
      </c>
      <c r="G2032">
        <f>Calc!G24</f>
        <v/>
      </c>
      <c r="H2032">
        <f>Calc!H24</f>
        <v/>
      </c>
      <c r="I2032">
        <f>IF(Skills!T24&lt;&gt;"",1+(Skills!T24/10)*($Z$3/1000)/100,1)</f>
        <v/>
      </c>
      <c r="J2032" t="inlineStr"/>
      <c r="K2032" t="inlineStr"/>
      <c r="L2032" t="inlineStr"/>
      <c r="M2032" t="inlineStr"/>
      <c r="N2032" t="inlineStr"/>
      <c r="O2032">
        <f>(1-Summary!$B$11)*S2032+Summary!$B$11*U2032</f>
        <v/>
      </c>
      <c r="P2032">
        <f>IF(B2050=0,0,O2032/B2050)</f>
        <v/>
      </c>
      <c r="Q2032">
        <f>IFERROR(1/(IF(Inputs!$B$39="pvp",15,MAX(0.1,Skills!D24-IF(Skills!E24=TRUE,Inputs!$B$33,0)))*(1-IF(AND(ArtifactsInput!$M$27,Inputs!$B$4="Chapter Hunt"),CHOOSE(ArtifactsInput!$N$27+1,20,24,28,32,36,40),0)/100)),0)</f>
        <v/>
      </c>
      <c r="R2032" t="n">
        <v>0</v>
      </c>
      <c r="S2032" t="n">
        <v>0</v>
      </c>
      <c r="U2032" t="n">
        <v>0</v>
      </c>
    </row>
    <row r="2033">
      <c r="A2033">
        <f>Skills!A25</f>
        <v/>
      </c>
      <c r="B2033">
        <f>Skills!B25</f>
        <v/>
      </c>
      <c r="C2033">
        <f>Inputs!$B$3&gt;=74</f>
        <v/>
      </c>
      <c r="D2033">
        <f>IF(Skills!C25=1,60+Inputs!$B$26+Inputs!$B$30,IF(Skills!C25=2,90+Inputs!$B$27+Inputs!$B$30,IF(Skills!C25=3,120+Inputs!$B$28+Inputs!$B$30,MAX(0,(Inputs!$B$3-100)*3)+Inputs!$B$29+Inputs!$B$30)))</f>
        <v/>
      </c>
      <c r="E2033">
        <f>INDEX(FactorTable!$B$2:$Y$301, MATCH(ROUND(MIN(300,MAX(1,D2033)),0), FactorTable!$A$2:$A$301,0), Skills!L25+1)</f>
        <v/>
      </c>
      <c r="F2033">
        <f>IF(Skills!M25=TRUE,(Skills!K25/10)*(E2033/1000),Skills!K25/10)+Skills!N25</f>
        <v/>
      </c>
      <c r="G2033">
        <f>Calc!G25</f>
        <v/>
      </c>
      <c r="H2033">
        <f>Calc!H25</f>
        <v/>
      </c>
      <c r="I2033">
        <f>IF(Skills!T25&lt;&gt;"",1+(Skills!T25/10)*($Z$3/1000)/100,1)</f>
        <v/>
      </c>
      <c r="J2033" t="inlineStr"/>
      <c r="K2033" t="inlineStr"/>
      <c r="L2033" t="inlineStr"/>
      <c r="M2033" t="inlineStr"/>
      <c r="N2033" t="inlineStr"/>
      <c r="O2033">
        <f>(1-Summary!$B$11)*S2033+Summary!$B$11*U2033</f>
        <v/>
      </c>
      <c r="P2033">
        <f>IF(B2050=0,0,O2033/B2050)</f>
        <v/>
      </c>
      <c r="Q2033">
        <f>IFERROR(1/(IF(Inputs!$B$39="pvp",15,MAX(0.1,Skills!D25-IF(Skills!E25=TRUE,Inputs!$B$33,0)))*(1-IF(AND(ArtifactsInput!$M$27,Inputs!$B$4="Chapter Hunt"),CHOOSE(ArtifactsInput!$N$27+1,20,24,28,32,36,40),0)/100)),0)</f>
        <v/>
      </c>
      <c r="R2033" t="n">
        <v>0</v>
      </c>
      <c r="S2033" t="n">
        <v>0</v>
      </c>
      <c r="U2033" t="n">
        <v>0</v>
      </c>
    </row>
    <row r="2034">
      <c r="A2034">
        <f>Skills!A26</f>
        <v/>
      </c>
      <c r="B2034">
        <f>Skills!B26</f>
        <v/>
      </c>
      <c r="C2034">
        <f>Inputs!$B$3&gt;=117</f>
        <v/>
      </c>
      <c r="D2034">
        <f>IF(Skills!C26=1,60+Inputs!$B$26+Inputs!$B$30,IF(Skills!C26=2,90+Inputs!$B$27+Inputs!$B$30,IF(Skills!C26=3,120+Inputs!$B$28+Inputs!$B$30,MAX(0,(Inputs!$B$3-100)*3)+Inputs!$B$29+Inputs!$B$30)))</f>
        <v/>
      </c>
      <c r="E2034">
        <f>INDEX(FactorTable!$B$2:$Y$301, MATCH(ROUND(MIN(300,MAX(1,D2034)),0), FactorTable!$A$2:$A$301,0), Skills!L26+1)</f>
        <v/>
      </c>
      <c r="F2034">
        <f>IF(Skills!M26=TRUE,(Skills!K26/10)*(E2034/1000),Skills!K26/10)+Skills!N26</f>
        <v/>
      </c>
      <c r="G2034">
        <f>Calc!G26</f>
        <v/>
      </c>
      <c r="H2034">
        <f>Calc!H26</f>
        <v/>
      </c>
      <c r="I2034">
        <f>IF(Skills!T26&lt;&gt;"",1+(Skills!T26/10)*($Z$3/1000)/100,1)</f>
        <v/>
      </c>
      <c r="J2034" t="inlineStr"/>
      <c r="K2034" t="inlineStr"/>
      <c r="L2034" t="inlineStr"/>
      <c r="M2034" t="inlineStr"/>
      <c r="N2034" t="inlineStr"/>
      <c r="O2034">
        <f>(1-Summary!$B$11)*S2034+Summary!$B$11*U2034</f>
        <v/>
      </c>
      <c r="P2034">
        <f>IF(B2050=0,0,O2034/B2050)</f>
        <v/>
      </c>
      <c r="Q2034">
        <f>IFERROR(1/(IF(Inputs!$B$39="pvp",15,MAX(0.1,Skills!D26-IF(Skills!E26=TRUE,Inputs!$B$33,0)))*(1-IF(AND(ArtifactsInput!$M$27,Inputs!$B$4="Chapter Hunt"),CHOOSE(ArtifactsInput!$N$27+1,20,24,28,32,36,40),0)/100)),0)</f>
        <v/>
      </c>
      <c r="R2034" t="n">
        <v>0</v>
      </c>
      <c r="S2034" t="n">
        <v>0</v>
      </c>
      <c r="U2034" t="n">
        <v>0</v>
      </c>
    </row>
    <row r="2035">
      <c r="A2035">
        <f>Skills!A27</f>
        <v/>
      </c>
      <c r="B2035">
        <f>Skills!B27</f>
        <v/>
      </c>
      <c r="C2035">
        <f>Inputs!$B$3&gt;=120</f>
        <v/>
      </c>
      <c r="D2035">
        <f>IF(Skills!C27=1,60+Inputs!$B$26+Inputs!$B$30,IF(Skills!C27=2,90+Inputs!$B$27+Inputs!$B$30,IF(Skills!C27=3,120+Inputs!$B$28+Inputs!$B$30,MAX(0,(Inputs!$B$3-100)*3)+Inputs!$B$29+Inputs!$B$30)))</f>
        <v/>
      </c>
      <c r="E2035">
        <f>INDEX(FactorTable!$B$2:$Y$301, MATCH(ROUND(MIN(300,MAX(1,D2035)),0), FactorTable!$A$2:$A$301,0), Skills!L27+1)</f>
        <v/>
      </c>
      <c r="F2035">
        <f>IF(Skills!M27=TRUE,(Skills!K27/10)*(E2035/1000),Skills!K27/10)+Skills!N27</f>
        <v/>
      </c>
      <c r="G2035">
        <f>Calc!G27</f>
        <v/>
      </c>
      <c r="H2035">
        <f>Calc!H27</f>
        <v/>
      </c>
      <c r="I2035">
        <f>IF(Skills!T27&lt;&gt;"",1+(Skills!T27/10)*($Z$3/1000)/100,1)</f>
        <v/>
      </c>
      <c r="J2035" t="inlineStr"/>
      <c r="K2035" t="inlineStr"/>
      <c r="L2035" t="inlineStr"/>
      <c r="M2035" t="inlineStr"/>
      <c r="N2035" t="inlineStr"/>
      <c r="O2035">
        <f>(1-Summary!$B$11)*S2035+Summary!$B$11*U2035</f>
        <v/>
      </c>
      <c r="P2035">
        <f>IF(B2050=0,0,O2035/B2050)</f>
        <v/>
      </c>
      <c r="Q2035">
        <f>IFERROR(1/(IF(Inputs!$B$39="pvp",15,MAX(0.1,Skills!D27-IF(Skills!E27=TRUE,Inputs!$B$33,0)))*(1-IF(AND(ArtifactsInput!$M$27,Inputs!$B$4="Chapter Hunt"),CHOOSE(ArtifactsInput!$N$27+1,20,24,28,32,36,40),0)/100)),0)</f>
        <v/>
      </c>
      <c r="R2035" t="n">
        <v>0</v>
      </c>
      <c r="S2035" t="n">
        <v>0</v>
      </c>
      <c r="U2035" t="n">
        <v>0</v>
      </c>
    </row>
    <row r="2037">
      <c r="A2037" t="inlineStr">
        <is>
          <t>Average Buff Multiplier</t>
        </is>
      </c>
      <c r="B2037">
        <f>(1+(IF(C2011=TRUE,F2011*IF(AND(Inputs!$B$39&lt;&gt;"pvp",Inputs!$B$44&gt;0),(((R2011-1)*(Skills!S3*(1+((Inputs!$B$35+(ArtifactsInput!$M$7-ArtifactsInput!$M$7)*CHOOSE(ArtifactsInput!$N$7+1,6,7.2,8.4,9.6,10.8,12))+IF(Inputs!$B$3&gt;=117,F2034,0))/100))+MIN((Skills!S3*(1+((Inputs!$B$35+(ArtifactsInput!$M$7-ArtifactsInput!$M$7)*CHOOSE(ArtifactsInput!$N$7+1,6,7.2,8.4,9.6,10.8,12))+IF(Inputs!$B$3&gt;=117,F2034,0))/100)),MAX(0,Inputs!$B$44-((R2011-1)*Skills!D3))))/Inputs!$B$44),IF(Inputs!$B$39="pvp",MIN((Skills!S3*(1+((Inputs!$B$35+(ArtifactsInput!$M$7-ArtifactsInput!$M$7)*CHOOSE(ArtifactsInput!$N$7+1,6,7.2,8.4,9.6,10.8,12))+IF(Inputs!$B$3&gt;=117,F2034,0))/100)),15)/15,(Skills!S3*(1+((Inputs!$B$35+(ArtifactsInput!$M$7-ArtifactsInput!$M$7)*CHOOSE(ArtifactsInput!$N$7+1,6,7.2,8.4,9.6,10.8,12))+IF(Inputs!$B$3&gt;=117,F2034,0))/100))/Skills!D3)),0)+IF(C2012=TRUE,F2012*IF(AND(Inputs!$B$39&lt;&gt;"pvp",Inputs!$B$44&gt;0),(((R2012-1)*(Skills!S4*(1+((Inputs!$B$35+(ArtifactsInput!$M$7-ArtifactsInput!$M$7)*CHOOSE(ArtifactsInput!$N$7+1,6,7.2,8.4,9.6,10.8,12))+IF(Inputs!$B$3&gt;=117,F2034,0))/100))+MIN((Skills!S4*(1+((Inputs!$B$35+(ArtifactsInput!$M$7-ArtifactsInput!$M$7)*CHOOSE(ArtifactsInput!$N$7+1,6,7.2,8.4,9.6,10.8,12))+IF(Inputs!$B$3&gt;=117,F2034,0))/100)),MAX(0,Inputs!$B$44-((R2012-1)*Skills!D4))))/Inputs!$B$44),IF(Inputs!$B$39="pvp",MIN((Skills!S4*(1+((Inputs!$B$35+(ArtifactsInput!$M$7-ArtifactsInput!$M$7)*CHOOSE(ArtifactsInput!$N$7+1,6,7.2,8.4,9.6,10.8,12))+IF(Inputs!$B$3&gt;=117,F2034,0))/100)),15)/15,(Skills!S4*(1+((Inputs!$B$35+(ArtifactsInput!$M$7-ArtifactsInput!$M$7)*CHOOSE(ArtifactsInput!$N$7+1,6,7.2,8.4,9.6,10.8,12))+IF(Inputs!$B$3&gt;=117,F2034,0))/100))/Skills!D4)),0)+IF(C2013=TRUE,F2013*IF(AND(Inputs!$B$39&lt;&gt;"pvp",Inputs!$B$44&gt;0),(((R2013-1)*(Skills!S5*(1+((Inputs!$B$35+(ArtifactsInput!$M$7-ArtifactsInput!$M$7)*CHOOSE(ArtifactsInput!$N$7+1,6,7.2,8.4,9.6,10.8,12))+IF(Inputs!$B$3&gt;=117,F2034,0))/100))+MIN((Skills!S5*(1+((Inputs!$B$35+(ArtifactsInput!$M$7-ArtifactsInput!$M$7)*CHOOSE(ArtifactsInput!$N$7+1,6,7.2,8.4,9.6,10.8,12))+IF(Inputs!$B$3&gt;=117,F2034,0))/100)),MAX(0,Inputs!$B$44-((R2013-1)*Skills!D5))))/Inputs!$B$44),IF(Inputs!$B$39="pvp",MIN((Skills!S5*(1+((Inputs!$B$35+(ArtifactsInput!$M$7-ArtifactsInput!$M$7)*CHOOSE(ArtifactsInput!$N$7+1,6,7.2,8.4,9.6,10.8,12))+IF(Inputs!$B$3&gt;=117,F2034,0))/100)),15)/15,(Skills!S5*(1+((Inputs!$B$35+(ArtifactsInput!$M$7-ArtifactsInput!$M$7)*CHOOSE(ArtifactsInput!$N$7+1,6,7.2,8.4,9.6,10.8,12))+IF(Inputs!$B$3&gt;=117,F2034,0))/100))/Skills!D5)),0)+IF(C2019=TRUE,F2019*IF(AND(Inputs!$B$39&lt;&gt;"pvp",Inputs!$B$44&gt;0),(((R2019-1)*(Skills!S11*(1+((Inputs!$B$35+(ArtifactsInput!$M$7-ArtifactsInput!$M$7)*CHOOSE(ArtifactsInput!$N$7+1,6,7.2,8.4,9.6,10.8,12))+IF(Inputs!$B$3&gt;=117,F2034,0))/100))+MIN((Skills!S11*(1+((Inputs!$B$35+(ArtifactsInput!$M$7-ArtifactsInput!$M$7)*CHOOSE(ArtifactsInput!$N$7+1,6,7.2,8.4,9.6,10.8,12))+IF(Inputs!$B$3&gt;=117,F2034,0))/100)),MAX(0,Inputs!$B$44-((R2019-1)*Skills!D11))))/Inputs!$B$44),IF(Inputs!$B$39="pvp",MIN((Skills!S11*(1+((Inputs!$B$35+(ArtifactsInput!$M$7-ArtifactsInput!$M$7)*CHOOSE(ArtifactsInput!$N$7+1,6,7.2,8.4,9.6,10.8,12))+IF(Inputs!$B$3&gt;=117,F2034,0))/100)),15)/15,(Skills!S11*(1+((Inputs!$B$35+(ArtifactsInput!$M$7-ArtifactsInput!$M$7)*CHOOSE(ArtifactsInput!$N$7+1,6,7.2,8.4,9.6,10.8,12))+IF(Inputs!$B$3&gt;=117,F2034,0)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2022=TRUE,(1+F2022*IF(AND(Inputs!$B$39&lt;&gt;"pvp",Inputs!$B$44&gt;0),(((R2022-1)*(Skills!S14*(1+((Inputs!$B$35+(ArtifactsInput!$M$7-ArtifactsInput!$M$7)*CHOOSE(ArtifactsInput!$N$7+1,6,7.2,8.4,9.6,10.8,12))+IF(Inputs!$B$3&gt;=117,F2034,0))/100))+MIN((Skills!S14*(1+((Inputs!$B$35+(ArtifactsInput!$M$7-ArtifactsInput!$M$7)*CHOOSE(ArtifactsInput!$N$7+1,6,7.2,8.4,9.6,10.8,12))+IF(Inputs!$B$3&gt;=117,F2034,0))/100)),MAX(0,Inputs!$B$44-((R2022-1)*Skills!D14))))/Inputs!$B$44),IF(Inputs!$B$39="pvp",MIN((Skills!S14*(1+((Inputs!$B$35+(ArtifactsInput!$M$7-ArtifactsInput!$M$7)*CHOOSE(ArtifactsInput!$N$7+1,6,7.2,8.4,9.6,10.8,12))+IF(Inputs!$B$3&gt;=117,F2034,0))/100)),15)/15,(Skills!S14*(1+((Inputs!$B$35+(ArtifactsInput!$M$7-ArtifactsInput!$M$7)*CHOOSE(ArtifactsInput!$N$7+1,6,7.2,8.4,9.6,10.8,12))+IF(Inputs!$B$3&gt;=117,F2034,0))/100))/Skills!D14))/100),1)*IF(C2027=TRUE,(1+F2027*IF(AND(Inputs!$B$39&lt;&gt;"pvp",Inputs!$B$44&gt;0),(((R2027-1)*(Skills!S19*(1+((Inputs!$B$35+(ArtifactsInput!$M$7-ArtifactsInput!$M$7)*CHOOSE(ArtifactsInput!$N$7+1,6,7.2,8.4,9.6,10.8,12))+IF(Inputs!$B$3&gt;=117,F2034,0))/100))+MIN((Skills!S19*(1+((Inputs!$B$35+(ArtifactsInput!$M$7-ArtifactsInput!$M$7)*CHOOSE(ArtifactsInput!$N$7+1,6,7.2,8.4,9.6,10.8,12))+IF(Inputs!$B$3&gt;=117,F2034,0))/100)),MAX(0,Inputs!$B$44-((R2027-1)*Skills!D19))))/Inputs!$B$44),IF(Inputs!$B$39="pvp",MIN((Skills!S19*(1+((Inputs!$B$35+(ArtifactsInput!$M$7-ArtifactsInput!$M$7)*CHOOSE(ArtifactsInput!$N$7+1,6,7.2,8.4,9.6,10.8,12))+IF(Inputs!$B$3&gt;=117,F2034,0))/100)),15)/15,(Skills!S19*(1+((Inputs!$B$35+(ArtifactsInput!$M$7-ArtifactsInput!$M$7)*CHOOSE(ArtifactsInput!$N$7+1,6,7.2,8.4,9.6,10.8,12))+IF(Inputs!$B$3&gt;=117,F2034,0))/100))/Skills!D19))/100),1)</f>
        <v/>
      </c>
    </row>
    <row r="2038">
      <c r="A2038" t="inlineStr">
        <is>
          <t>Monster Damage Taken Bonus % (Holy Fountain)</t>
        </is>
      </c>
      <c r="B2038">
        <f>IF(Inputs!$B$3&gt;=68,20*IF(Inputs!$B$39="pvp",MIN((15*(1+((Inputs!$B$35+(ArtifactsInput!$M$7-ArtifactsInput!$M$7)*CHOOSE(ArtifactsInput!$N$7+1,6,7.2,8.4,9.6,10.8,12))+IF(Inputs!$B$3&gt;=117,F2034,0))/100)),15)/15,(15*(1+((Inputs!$B$35+(ArtifactsInput!$M$7-ArtifactsInput!$M$7)*CHOOSE(ArtifactsInput!$N$7+1,6,7.2,8.4,9.6,10.8,12))+IF(Inputs!$B$3&gt;=117,F2034,0))/100))/Skills!D10),0)</f>
        <v/>
      </c>
    </row>
    <row r="2039">
      <c r="A2039" t="inlineStr">
        <is>
          <t>Normal Monster Damage Bonus % (Holy Symbol)</t>
        </is>
      </c>
      <c r="B2039">
        <f>IF(C2020=TRUE,F2020*IF(AND(Inputs!$B$39&lt;&gt;"pvp",Inputs!$B$44&gt;0),(((R2020-1)*(Skills!S12*(1+((Inputs!$B$35+(ArtifactsInput!$M$7-ArtifactsInput!$M$7)*CHOOSE(ArtifactsInput!$N$7+1,6,7.2,8.4,9.6,10.8,12))+IF(Inputs!$B$3&gt;=117,F2034,0))/100))+MIN((Skills!S12*(1+((Inputs!$B$35+(ArtifactsInput!$M$7-ArtifactsInput!$M$7)*CHOOSE(ArtifactsInput!$N$7+1,6,7.2,8.4,9.6,10.8,12))+IF(Inputs!$B$3&gt;=117,F2034,0))/100)),MAX(0,Inputs!$B$44-((R2020-1)*Skills!D12))))/Inputs!$B$44),IF(Inputs!$B$39="pvp",MIN((Skills!S12*(1+((Inputs!$B$35+(ArtifactsInput!$M$7-ArtifactsInput!$M$7)*CHOOSE(ArtifactsInput!$N$7+1,6,7.2,8.4,9.6,10.8,12))+IF(Inputs!$B$3&gt;=117,F2034,0))/100)),15)/15,(Skills!S12*(1+((Inputs!$B$35+(ArtifactsInput!$M$7-ArtifactsInput!$M$7)*CHOOSE(ArtifactsInput!$N$7+1,6,7.2,8.4,9.6,10.8,12))+IF(Inputs!$B$3&gt;=117,F2034,0))/100))/Skills!D12)),0)</f>
        <v/>
      </c>
    </row>
    <row r="2040">
      <c r="A2040" t="inlineStr">
        <is>
          <t>Damage % Bonus (Holy Symbol - Damage Boost)</t>
        </is>
      </c>
      <c r="B2040">
        <f>Skills!O12</f>
        <v/>
      </c>
    </row>
    <row r="2041">
      <c r="A2041" t="inlineStr">
        <is>
          <t>Crit Damage % Bonus (Blood of the Divine)</t>
        </is>
      </c>
      <c r="B2041">
        <f>4*IF(C2028=TRUE,F2028,0)</f>
        <v/>
      </c>
    </row>
    <row r="2042">
      <c r="A2042" t="inlineStr">
        <is>
          <t>Attack Speed Bonus %</t>
        </is>
      </c>
      <c r="B2042">
        <f>IF(C2025=TRUE,F2025+(F2029-Calc!F21),0)+IF(Inputs!$B$3&gt;=134,15,0)</f>
        <v/>
      </c>
    </row>
    <row r="2043">
      <c r="A2043" t="inlineStr">
        <is>
          <t>Actions Per Second</t>
        </is>
      </c>
      <c r="B2043">
        <f>1+MIN(150,150*(1-(1-Inputs!$B$12/150)*(1-B2042/150)))/100</f>
        <v/>
      </c>
    </row>
    <row r="2044">
      <c r="A2044" t="inlineStr">
        <is>
          <t>Skill + Buff Cast Rate</t>
        </is>
      </c>
      <c r="B2044">
        <f>IF(AND(Inputs!$B$39&lt;&gt;"pvp",Inputs!$B$44&gt;0),SUMPRODUCT((Skills!E2:E27=TRUE)*(C2010:C2035=TRUE)*R2010:R2035)/Inputs!$B$44,SUMPRODUCT((Skills!E2:E27=TRUE)*(C2010:C2035=TRUE)*Q2010:Q2035))</f>
        <v/>
      </c>
    </row>
    <row r="2045">
      <c r="A2045" t="inlineStr">
        <is>
          <t>Big Bang Casts Per Second</t>
        </is>
      </c>
      <c r="B2045">
        <f>MAX(0,B2043-B2044)</f>
        <v/>
      </c>
    </row>
    <row r="2046">
      <c r="A2046" t="inlineStr">
        <is>
          <t>Defense % Bonus (Divine Protection)</t>
        </is>
      </c>
      <c r="B2046">
        <f>IF(C2021=TRUE,F2021*IF(AND(Inputs!$B$39&lt;&gt;"pvp",Inputs!$B$44&gt;0),(((R2021-1)*(Skills!S13*(1+((Inputs!$B$35+(ArtifactsInput!$M$7-ArtifactsInput!$M$7)*CHOOSE(ArtifactsInput!$N$7+1,6,7.2,8.4,9.6,10.8,12))+IF(Inputs!$B$3&gt;=117,F2034,0))/100))+MIN((Skills!S13*(1+((Inputs!$B$35+(ArtifactsInput!$M$7-ArtifactsInput!$M$7)*CHOOSE(ArtifactsInput!$N$7+1,6,7.2,8.4,9.6,10.8,12))+IF(Inputs!$B$3&gt;=117,F2034,0))/100)),MAX(0,Inputs!$B$44-((R2021-1)*Skills!D13))))/Inputs!$B$44),IF(Inputs!$B$39="pvp",MIN((Skills!S13*(1+((Inputs!$B$35+(ArtifactsInput!$M$7-ArtifactsInput!$M$7)*CHOOSE(ArtifactsInput!$N$7+1,6,7.2,8.4,9.6,10.8,12))+IF(Inputs!$B$3&gt;=117,F2034,0))/100)),15)/15,(Skills!S13*(1+((Inputs!$B$35+(ArtifactsInput!$M$7-ArtifactsInput!$M$7)*CHOOSE(ArtifactsInput!$N$7+1,6,7.2,8.4,9.6,10.8,12))+IF(Inputs!$B$3&gt;=117,F2034,0))/100))/Skills!D13)),0)</f>
        <v/>
      </c>
    </row>
    <row r="2047">
      <c r="A2047" t="inlineStr">
        <is>
          <t>Buff-Casting Startup Delay (s, fixed-duration only)</t>
        </is>
      </c>
      <c r="B2047">
        <f>IF(AND(Inputs!$B$39&lt;&gt;"pvp",Inputs!$B$44&gt;0),SUMPRODUCT((Skills!S2:S27&gt;0)*(Skills!E2:E27=TRUE)*(C2010:C2035=TRUE))/B2043,0)</f>
        <v/>
      </c>
    </row>
    <row r="2048">
      <c r="A2048" t="inlineStr">
        <is>
          <t>Boss-Only Total DPS (this block's swept value)</t>
        </is>
      </c>
      <c r="B2048">
        <f>SUM(S2010:S2035)</f>
        <v/>
      </c>
    </row>
    <row r="2049">
      <c r="A2049" t="inlineStr">
        <is>
          <t>Normal-Only Total DPS (this block's swept value)</t>
        </is>
      </c>
      <c r="B2049">
        <f>SUM(U2010:U2035)</f>
        <v/>
      </c>
    </row>
    <row r="2050">
      <c r="A2050" s="6" t="inlineStr">
        <is>
          <t>TOTAL DPS</t>
        </is>
      </c>
      <c r="B2050" s="6">
        <f>SUM(O2010:O2035)</f>
        <v/>
      </c>
    </row>
    <row r="2052">
      <c r="A2052" s="6" t="inlineStr">
        <is>
          <t>Stat: Lunar Dew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2054)</f>
        <v/>
      </c>
      <c r="L2054">
        <f>K2054*(MIN(Inputs!$B$23+(F2074-Calc!F22),(Inputs!$B$24+IF(ArtifactsInput!$M$15,CHOOSE(ArtifactsInput!$N$15+1,25,30,35,40,45,50)/100*(Inputs!$B$12-Inputs!$B$12),0)))/100+(Inputs!$B$24+IF(ArtifactsInput!$M$15,CHOOSE(ArtifactsInput!$N$15+1,25,30,35,40,45,50)/100*(Inputs!$B$12-Inputs!$B$12),0))/100)/2</f>
        <v/>
      </c>
      <c r="M2054">
        <f>L2054*(1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54">
        <f>L2054*(1-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IF(B2094=0,0,O2054/B2094)</f>
        <v/>
      </c>
      <c r="Q2054">
        <f>IFERROR(1/(IF(Inputs!$B$39="pvp",15,MAX(0.1,Skills!D2-IF(Skills!E2=TRUE,Inputs!$B$33,0)))*(1-IF(AND(ArtifactsInput!$M$27,Inputs!$B$4="Chapter Hunt"),CHOOSE(ArtifactsInput!$N$27+1,20,24,28,32,36,40),0)/100)),0)</f>
        <v/>
      </c>
      <c r="R2054" t="n">
        <v>0</v>
      </c>
      <c r="S2054">
        <f>IF(C2054,(Skills!F2*N2054*B2089)*IF(Inputs!$B$39="pvp",1,1+(Inputs!$B$21+Skills!O2+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2089)*IF(Inputs!$B$39="pvp",1,(1+(Inputs!$B$22+Skills!P2+B2083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IF(B2094=0,0,O2055/B2094)</f>
        <v/>
      </c>
      <c r="Q2055">
        <f>IFERROR(1/(IF(Inputs!$B$39="pvp",15,MAX(0.1,Skills!D3-IF(Skills!E3=TRUE,Inputs!$B$33,0)))*(1-IF(AND(ArtifactsInput!$M$27,Inputs!$B$4="Chapter Hunt"),CHOOSE(ArtifactsInput!$N$27+1,20,24,28,32,36,40),0)/100)),0)</f>
        <v/>
      </c>
      <c r="R2055">
        <f>IF(AND(Inputs!$B$39&lt;&gt;"pvp",Inputs!$B$44&gt;0),IF(Inputs!$B$44&lt;=0,0,(INT(Inputs!$B$44/(IF(Inputs!$B$39="pvp",15,MAX(0.1,Skills!D3-IF(Skills!E3=TRUE,Inputs!$B$33,0)))*(1-IF(AND(ArtifactsInput!$M$27,Inputs!$B$4="Chapter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IF(B2094=0,0,O2056/B2094)</f>
        <v/>
      </c>
      <c r="Q2056">
        <f>IFERROR(1/(IF(Inputs!$B$39="pvp",15,MAX(0.1,Skills!D4-IF(Skills!E4=TRUE,Inputs!$B$33,0)))*(1-IF(AND(ArtifactsInput!$M$27,Inputs!$B$4="Chapter Hunt"),CHOOSE(ArtifactsInput!$N$27+1,20,24,28,32,36,40),0)/100)),0)</f>
        <v/>
      </c>
      <c r="R2056">
        <f>IF(AND(Inputs!$B$39&lt;&gt;"pvp",Inputs!$B$44&gt;0),IF(Inputs!$B$44&lt;=0,0,(INT(Inputs!$B$44/(IF(Inputs!$B$39="pvp",15,MAX(0.1,Skills!D4-IF(Skills!E4=TRUE,Inputs!$B$33,0)))*(1-IF(AND(ArtifactsInput!$M$27,Inputs!$B$4="Chapter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IF(B2094=0,0,O2057/B2094)</f>
        <v/>
      </c>
      <c r="Q2057">
        <f>IFERROR(1/(IF(Inputs!$B$39="pvp",15,MAX(0.1,Skills!D5-IF(Skills!E5=TRUE,Inputs!$B$33,0)))*(1-IF(AND(ArtifactsInput!$M$27,Inputs!$B$4="Chapter Hunt"),CHOOSE(ArtifactsInput!$N$27+1,20,24,28,32,36,40),0)/100)),0)</f>
        <v/>
      </c>
      <c r="R2057">
        <f>IF(AND(Inputs!$B$39&lt;&gt;"pvp",Inputs!$B$44&gt;0),IF(Inputs!$B$44&lt;=0,0,(INT(Inputs!$B$44/(IF(Inputs!$B$39="pvp",15,MAX(0.1,Skills!D5-IF(Skills!E5=TRUE,Inputs!$B$33,0)))*(1-IF(AND(ArtifactsInput!$M$27,Inputs!$B$4="Chapter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2058)</f>
        <v/>
      </c>
      <c r="L2058">
        <f>K2058*(MIN(Inputs!$B$23+(F2074-Calc!F22),(Inputs!$B$24+IF(ArtifactsInput!$M$15,CHOOSE(ArtifactsInput!$N$15+1,25,30,35,40,45,50)/100*(Inputs!$B$12-Inputs!$B$12),0)))/100+(Inputs!$B$24+IF(ArtifactsInput!$M$15,CHOOSE(ArtifactsInput!$N$15+1,25,30,35,40,45,50)/100*(Inputs!$B$12-Inputs!$B$12),0))/100)/2</f>
        <v/>
      </c>
      <c r="M2058">
        <f>L2058*(1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58">
        <f>L2058*(1-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IF(B2094=0,0,O2058/B2094)</f>
        <v/>
      </c>
      <c r="Q2058">
        <f>IFERROR(1/(IF(Inputs!$B$39="pvp",15,MAX(0.1,Skills!D6-IF(Skills!E6=TRUE,Inputs!$B$33,0)))*(1-IF(AND(ArtifactsInput!$M$27,Inputs!$B$4="Chapter Hunt"),CHOOSE(ArtifactsInput!$N$27+1,20,24,28,32,36,40),0)/100)),0)</f>
        <v/>
      </c>
      <c r="R2058">
        <f>IF(AND(Inputs!$B$39&lt;&gt;"pvp",Inputs!$B$44&gt;0),IF(MAX(0,Inputs!$B$44-B2091)&lt;=0,0,(INT(MAX(0,Inputs!$B$44-B2091)/(IF(Inputs!$B$39="pvp",15,MAX(0.1,Skills!D6-IF(Skills!E6=TRUE,Inputs!$B$33,0)))*(1-IF(AND(ArtifactsInput!$M$27,Inputs!$B$4="Chapter Hunt"),CHOOSE(ArtifactsInput!$N$27+1,20,24,28,32,36,40),0)/100)))+1)),0)</f>
        <v/>
      </c>
      <c r="S2058">
        <f>IF(C2058,(H2058*N2058*IF(AND(Inputs!$B$39&lt;&gt;"pvp",Inputs!$B$44&gt;0),((Skills!F6*((R2058-1)*IF(Skills!G6&gt;0,Skills!H6/Skills!G6,1)+IF(Skills!G6&gt;0,MIN(Skills!H6,MAX(0,MAX(0,Inputs!$B$44-B2091)-((R2058-1)*(IF(Inputs!$B$39="pvp",15,MAX(0.1,Skills!D6-IF(Skills!E6=TRUE,Inputs!$B$33,0)))*(1-IF(AND(ArtifactsInput!$M$27,Inputs!$B$4="Chapter Hunt"),CHOOSE(ArtifactsInput!$N$27+1,20,24,28,32,36,40),0)/100)))))/Skills!G6,1)))/Inputs!$B$44),G2058*Q2058))*IF(Inputs!$B$39="pvp",1,1+(Inputs!$B$21+Skills!O6+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2091)-((R2058-1)*(IF(Inputs!$B$39="pvp",15,MAX(0.1,Skills!D6-IF(Skills!E6=TRUE,Inputs!$B$33,0)))*(1-IF(AND(ArtifactsInput!$M$27,Inputs!$B$4="Chapter Hunt"),CHOOSE(ArtifactsInput!$N$27+1,20,24,28,32,36,40),0)/100)))))/Skills!G6,1)))/Inputs!$B$44),G2058*Q2058))*IF(Inputs!$B$39="pvp",1,(1+(Inputs!$B$22+Skills!P6+B2083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2059)</f>
        <v/>
      </c>
      <c r="L2059">
        <f>K2059*(MIN(Inputs!$B$23+(F2074-Calc!F22),(Inputs!$B$24+IF(ArtifactsInput!$M$15,CHOOSE(ArtifactsInput!$N$15+1,25,30,35,40,45,50)/100*(Inputs!$B$12-Inputs!$B$12),0)))/100+(Inputs!$B$24+IF(ArtifactsInput!$M$15,CHOOSE(ArtifactsInput!$N$15+1,25,30,35,40,45,50)/100*(Inputs!$B$12-Inputs!$B$12),0))/100)/2</f>
        <v/>
      </c>
      <c r="M2059">
        <f>L2059*(1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59">
        <f>L2059*(1-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IF(B2094=0,0,O2059/B2094)</f>
        <v/>
      </c>
      <c r="Q2059">
        <f>IFERROR(1/(IF(Inputs!$B$39="pvp",15,MAX(0.1,Skills!D7-IF(Skills!E6=TRUE,Inputs!$B$33,0)))*(1-IF(AND(ArtifactsInput!$M$27,Inputs!$B$4="Chapter Hunt"),CHOOSE(ArtifactsInput!$N$27+1,20,24,28,32,36,40),0)/100)),0)</f>
        <v/>
      </c>
      <c r="R2059">
        <f>IF(AND(Inputs!$B$39&lt;&gt;"pvp",Inputs!$B$44&gt;0),IF(MAX(0,Inputs!$B$44-B2091)&lt;=0,0,(INT(MAX(0,Inputs!$B$44-B2091)/(IF(Inputs!$B$39="pvp",15,MAX(0.1,Skills!D7-IF(Skills!E6=TRUE,Inputs!$B$33,0)))*(1-IF(AND(ArtifactsInput!$M$27,Inputs!$B$4="Chapter Hunt"),CHOOSE(ArtifactsInput!$N$27+1,20,24,28,32,36,40),0)/100)))+1)),0)</f>
        <v/>
      </c>
      <c r="S2059">
        <f>IF(C2059,H2059*N2059*IF(AND(Inputs!$B$39&lt;&gt;"pvp",Inputs!$B$44&gt;0),((Skills!F7*((R2059-1)*IF(Skills!G7&gt;0,Skills!H7/Skills!G7,1)+IF(Skills!G7&gt;0,MIN(Skills!H7,MAX(0,MAX(0,Inputs!$B$44-B2091)-((R2059-1)*(IF(Inputs!$B$39="pvp",15,MAX(0.1,Skills!D7-IF(Skills!E6=TRUE,Inputs!$B$33,0)))*(1-IF(AND(ArtifactsInput!$M$27,Inputs!$B$4="Chapter Hunt"),CHOOSE(ArtifactsInput!$N$27+1,20,24,28,32,36,40),0)/100)))))/Skills!G7,1)))/Inputs!$B$44),G2059*Q2059)*IF(Inputs!$B$39="pvp",1,1+(Inputs!$B$21+Skills!O7+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2060)</f>
        <v/>
      </c>
      <c r="L2060">
        <f>K2060*(MIN(Inputs!$B$23+(F2074-Calc!F22),(Inputs!$B$24+IF(ArtifactsInput!$M$15,CHOOSE(ArtifactsInput!$N$15+1,25,30,35,40,45,50)/100*(Inputs!$B$12-Inputs!$B$12),0)))/100+(Inputs!$B$24+IF(ArtifactsInput!$M$15,CHOOSE(ArtifactsInput!$N$15+1,25,30,35,40,45,50)/100*(Inputs!$B$12-Inputs!$B$12),0))/100)/2</f>
        <v/>
      </c>
      <c r="M2060">
        <f>L2060*(1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0">
        <f>L2060*(1-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IF(B2094=0,0,O2060/B2094)</f>
        <v/>
      </c>
      <c r="Q2060">
        <f>IFERROR(1/(IF(Inputs!$B$39="pvp",15,MAX(0.1,Skills!D8-IF(Skills!E8=TRUE,Inputs!$B$33,0)))*(1-IF(AND(ArtifactsInput!$M$27,Inputs!$B$4="Chapter Hunt"),CHOOSE(ArtifactsInput!$N$27+1,20,24,28,32,36,40),0)/100)),0)</f>
        <v/>
      </c>
      <c r="R2060">
        <f>IF(AND(Inputs!$B$39&lt;&gt;"pvp",Inputs!$B$44&gt;0),IF(MAX(0,Inputs!$B$44-B2091)&lt;=0,0,(INT(MAX(0,Inputs!$B$44-B2091)/(IF(Inputs!$B$39="pvp",15,MAX(0.1,Skills!D8-IF(Skills!E8=TRUE,Inputs!$B$33,0)))*(1-IF(AND(ArtifactsInput!$M$27,Inputs!$B$4="Chapter Hunt"),CHOOSE(ArtifactsInput!$N$27+1,20,24,28,32,36,40),0)/100)))+1)),0)</f>
        <v/>
      </c>
      <c r="S2060">
        <f>IF(C2060,(H2060*N2060*IF(AND(Inputs!$B$39&lt;&gt;"pvp",Inputs!$B$44&gt;0),((Skills!F8*((R2060-1)*IF(Skills!G8&gt;0,Skills!H8/Skills!G8,1)+IF(Skills!G8&gt;0,MIN(Skills!H8,MAX(0,MAX(0,Inputs!$B$44-B2091)-((R2060-1)*(IF(Inputs!$B$39="pvp",15,MAX(0.1,Skills!D8-IF(Skills!E8=TRUE,Inputs!$B$33,0)))*(1-IF(AND(ArtifactsInput!$M$27,Inputs!$B$4="Chapter Hunt"),CHOOSE(ArtifactsInput!$N$27+1,20,24,28,32,36,40),0)/100)))))/Skills!G8,1)))/Inputs!$B$44),G2060*Q2060))*IF(Inputs!$B$39="pvp",1,1+(Inputs!$B$21+Skills!O8+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2091)-((R2060-1)*(IF(Inputs!$B$39="pvp",15,MAX(0.1,Skills!D8-IF(Skills!E8=TRUE,Inputs!$B$33,0)))*(1-IF(AND(ArtifactsInput!$M$27,Inputs!$B$4="Chapter Hunt"),CHOOSE(ArtifactsInput!$N$27+1,20,24,28,32,36,40),0)/100)))))/Skills!G8,1)))/Inputs!$B$44),G2060*Q2060))*IF(Inputs!$B$39="pvp",1,(1+(Inputs!$B$22+Skills!P8+B2083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2061)</f>
        <v/>
      </c>
      <c r="L2061">
        <f>K2061*(MIN(Inputs!$B$23+(F2074-Calc!F22),(Inputs!$B$24+IF(ArtifactsInput!$M$15,CHOOSE(ArtifactsInput!$N$15+1,25,30,35,40,45,50)/100*(Inputs!$B$12-Inputs!$B$12),0)))/100+(Inputs!$B$24+IF(ArtifactsInput!$M$15,CHOOSE(ArtifactsInput!$N$15+1,25,30,35,40,45,50)/100*(Inputs!$B$12-Inputs!$B$12),0))/100)/2</f>
        <v/>
      </c>
      <c r="M2061">
        <f>L2061*(1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1">
        <f>L2061*(1-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IF(B2094=0,0,O2061/B2094)</f>
        <v/>
      </c>
      <c r="Q2061">
        <f>IFERROR(1/(IF(Inputs!$B$39="pvp",15,MAX(0.1,Skills!D9-IF(Skills!E9=TRUE,Inputs!$B$33,0)))*(1-IF(AND(ArtifactsInput!$M$27,Inputs!$B$4="Chapter Hunt"),CHOOSE(ArtifactsInput!$N$27+1,20,24,28,32,36,40),0)/100)),0)</f>
        <v/>
      </c>
      <c r="R2061">
        <f>IF(AND(Inputs!$B$39&lt;&gt;"pvp",Inputs!$B$44&gt;0),IF(MAX(0,Inputs!$B$44-B2091)&lt;=0,0,(INT(MAX(0,Inputs!$B$44-B2091)/(IF(Inputs!$B$39="pvp",15,MAX(0.1,Skills!D9-IF(Skills!E9=TRUE,Inputs!$B$33,0)))*(1-IF(AND(ArtifactsInput!$M$27,Inputs!$B$4="Chapter Hunt"),CHOOSE(ArtifactsInput!$N$27+1,20,24,28,32,36,40),0)/100)))+1)),0)</f>
        <v/>
      </c>
      <c r="S2061">
        <f>IF(C2061,(H2061*N2061*IF(AND(Inputs!$B$39&lt;&gt;"pvp",Inputs!$B$44&gt;0),((Skills!F9*((R2061-1)*IF(Skills!G9&gt;0,Skills!H9/Skills!G9,1)+IF(Skills!G9&gt;0,MIN(Skills!H9,MAX(0,MAX(0,Inputs!$B$44-B2091)-((R2061-1)*(IF(Inputs!$B$39="pvp",15,MAX(0.1,Skills!D9-IF(Skills!E9=TRUE,Inputs!$B$33,0)))*(1-IF(AND(ArtifactsInput!$M$27,Inputs!$B$4="Chapter Hunt"),CHOOSE(ArtifactsInput!$N$27+1,20,24,28,32,36,40),0)/100)))))/Skills!G9,1)))/Inputs!$B$44),G2061*Q2061))*IF(Inputs!$B$39="pvp",1,1+(Inputs!$B$21+Skills!O9+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2091)-((R2061-1)*(IF(Inputs!$B$39="pvp",15,MAX(0.1,Skills!D9-IF(Skills!E9=TRUE,Inputs!$B$33,0)))*(1-IF(AND(ArtifactsInput!$M$27,Inputs!$B$4="Chapter Hunt"),CHOOSE(ArtifactsInput!$N$27+1,20,24,28,32,36,40),0)/100)))))/Skills!G9,1)))/Inputs!$B$44),G2061*Q2061))*IF(Inputs!$B$39="pvp",1,(1+(Inputs!$B$22+Skills!P9+B2083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IF(B2094=0,0,O2062/B2094)</f>
        <v/>
      </c>
      <c r="Q2062">
        <f>IFERROR(1/(IF(Inputs!$B$39="pvp",15,MAX(0.1,Skills!D10-IF(Skills!E10=TRUE,Inputs!$B$33,0)))*(1-IF(AND(ArtifactsInput!$M$27,Inputs!$B$4="Chapter Hunt"),CHOOSE(ArtifactsInput!$N$27+1,20,24,28,32,36,40),0)/100)),0)</f>
        <v/>
      </c>
      <c r="R2062">
        <f>IF(AND(Inputs!$B$39&lt;&gt;"pvp",Inputs!$B$44&gt;0),IF(MAX(0,Inputs!$B$44-B2091)&lt;=0,0,(INT(MAX(0,Inputs!$B$44-B2091)/(IF(Inputs!$B$39="pvp",15,MAX(0.1,Skills!D10-IF(Skills!E10=TRUE,Inputs!$B$33,0)))*(1-IF(AND(ArtifactsInput!$M$27,Inputs!$B$4="Chapter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IF(B2094=0,0,O2063/B2094)</f>
        <v/>
      </c>
      <c r="Q2063">
        <f>IFERROR(1/(IF(Inputs!$B$39="pvp",15,MAX(0.1,Skills!D11-IF(Skills!E11=TRUE,Inputs!$B$33,0)))*(1-IF(AND(ArtifactsInput!$M$27,Inputs!$B$4="Chapter Hunt"),CHOOSE(ArtifactsInput!$N$27+1,20,24,28,32,36,40),0)/100)),0)</f>
        <v/>
      </c>
      <c r="R2063">
        <f>IF(AND(Inputs!$B$39&lt;&gt;"pvp",Inputs!$B$44&gt;0),IF(Inputs!$B$44&lt;=0,0,(INT(Inputs!$B$44/(IF(Inputs!$B$39="pvp",15,MAX(0.1,Skills!D11-IF(Skills!E11=TRUE,Inputs!$B$33,0)))*(1-IF(AND(ArtifactsInput!$M$27,Inputs!$B$4="Chapter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IF(B2094=0,0,O2064/B2094)</f>
        <v/>
      </c>
      <c r="Q2064">
        <f>IFERROR(1/(IF(Inputs!$B$39="pvp",15,MAX(0.1,Skills!D12-IF(Skills!E12=TRUE,Inputs!$B$33,0)))*(1-IF(AND(ArtifactsInput!$M$27,Inputs!$B$4="Chapter Hunt"),CHOOSE(ArtifactsInput!$N$27+1,20,24,28,32,36,40),0)/100)),0)</f>
        <v/>
      </c>
      <c r="R2064">
        <f>IF(AND(Inputs!$B$39&lt;&gt;"pvp",Inputs!$B$44&gt;0),IF(MAX(0,Inputs!$B$44-B2091)&lt;=0,0,(INT(MAX(0,Inputs!$B$44-B2091)/(IF(Inputs!$B$39="pvp",15,MAX(0.1,Skills!D12-IF(Skills!E12=TRUE,Inputs!$B$33,0)))*(1-IF(AND(ArtifactsInput!$M$27,Inputs!$B$4="Chapter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IF(B2094=0,0,O2065/B2094)</f>
        <v/>
      </c>
      <c r="Q2065">
        <f>IFERROR(1/(IF(Inputs!$B$39="pvp",15,MAX(0.1,Skills!D13-IF(Skills!E13=TRUE,Inputs!$B$33,0)))*(1-IF(AND(ArtifactsInput!$M$27,Inputs!$B$4="Chapter Hunt"),CHOOSE(ArtifactsInput!$N$27+1,20,24,28,32,36,40),0)/100)),0)</f>
        <v/>
      </c>
      <c r="R2065">
        <f>IF(AND(Inputs!$B$39&lt;&gt;"pvp",Inputs!$B$44&gt;0),IF(MAX(0,Inputs!$B$44-B2091)&lt;=0,0,(INT(MAX(0,Inputs!$B$44-B2091)/(IF(Inputs!$B$39="pvp",15,MAX(0.1,Skills!D13-IF(Skills!E13=TRUE,Inputs!$B$33,0)))*(1-IF(AND(ArtifactsInput!$M$27,Inputs!$B$4="Chapter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IF(B2094=0,0,O2066/B2094)</f>
        <v/>
      </c>
      <c r="Q2066">
        <f>IFERROR(1/(IF(Inputs!$B$39="pvp",15,MAX(0.1,Skills!D14-IF(Skills!E14=TRUE,Inputs!$B$33,0)))*(1-IF(AND(ArtifactsInput!$M$27,Inputs!$B$4="Chapter Hunt"),CHOOSE(ArtifactsInput!$N$27+1,20,24,28,32,36,40),0)/100)),0)</f>
        <v/>
      </c>
      <c r="R2066">
        <f>IF(AND(Inputs!$B$39&lt;&gt;"pvp",Inputs!$B$44&gt;0),IF(Inputs!$B$44&lt;=0,0,(INT(Inputs!$B$44/(IF(Inputs!$B$39="pvp",15,MAX(0.1,Skills!D14-IF(Skills!E14=TRUE,Inputs!$B$33,0)))*(1-IF(AND(ArtifactsInput!$M$27,Inputs!$B$4="Chapter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2067)</f>
        <v/>
      </c>
      <c r="L2067">
        <f>K2067*(MIN(Inputs!$B$23+(F2074-Calc!F22),(Inputs!$B$24+IF(ArtifactsInput!$M$15,CHOOSE(ArtifactsInput!$N$15+1,25,30,35,40,45,50)/100*(Inputs!$B$12-Inputs!$B$12),0)))/100+(Inputs!$B$24+IF(ArtifactsInput!$M$15,CHOOSE(ArtifactsInput!$N$15+1,25,30,35,40,45,50)/100*(Inputs!$B$12-Inputs!$B$12),0))/100)/2</f>
        <v/>
      </c>
      <c r="M2067">
        <f>L2067*(1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7">
        <f>L2067*(1-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IF(B2094=0,0,O2067/B2094)</f>
        <v/>
      </c>
      <c r="Q2067">
        <f>IFERROR(1/(IF(Inputs!$B$39="pvp",15,MAX(0.1,Skills!D15-IF(Skills!E15=TRUE,Inputs!$B$33,0)))*(1-IF(AND(ArtifactsInput!$M$27,Inputs!$B$4="Chapter Hunt"),CHOOSE(ArtifactsInput!$N$27+1,20,24,28,32,36,40),0)/100)),0)</f>
        <v/>
      </c>
      <c r="R2067" t="n">
        <v>0</v>
      </c>
      <c r="S2067">
        <f>IF(C2067,(Skills!F15*N2067*((IF(Inputs!$B$3&gt;=78,25,15)/100*B2087*10)/(1+IF(Inputs!$B$3&gt;=78,25,15)/100*B2087*10))*(Skills!I15/100*B2087)/(1+Skills!G15*Skills!I15/100*B2087))*IF(Inputs!$B$39="pvp",1,1+(Inputs!$B$21+Skills!O15+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2087*10)/(1+IF(Inputs!$B$3&gt;=78,25,15)/100*B2087*10))*(Skills!I15/100*B2087)/(1+Skills!G15*Skills!I15/100*B2087))*IF(Inputs!$B$39="pvp",1,(1+(Inputs!$B$22+Skills!P15+B2083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IF(B2094=0,0,O2068/B2094)</f>
        <v/>
      </c>
      <c r="Q2068">
        <f>IFERROR(1/(IF(Inputs!$B$39="pvp",15,MAX(0.1,Skills!D16-IF(Skills!E16=TRUE,Inputs!$B$33,0)))*(1-IF(AND(ArtifactsInput!$M$27,Inputs!$B$4="Chapter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IF(B2094=0,0,O2069/B2094)</f>
        <v/>
      </c>
      <c r="Q2069">
        <f>IFERROR(1/(IF(Inputs!$B$39="pvp",15,MAX(0.1,Skills!D17-IF(Skills!E17=TRUE,Inputs!$B$33,0)))*(1-IF(AND(ArtifactsInput!$M$27,Inputs!$B$4="Chapter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IF(B2094=0,0,O2070/B2094)</f>
        <v/>
      </c>
      <c r="Q2070">
        <f>IFERROR(1/(IF(Inputs!$B$39="pvp",15,MAX(0.1,Skills!D18-IF(Skills!E18=TRUE,Inputs!$B$33,0)))*(1-IF(AND(ArtifactsInput!$M$27,Inputs!$B$4="Chapter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IF(B2094=0,0,O2071/B2094)</f>
        <v/>
      </c>
      <c r="Q2071">
        <f>IFERROR(1/(IF(Inputs!$B$39="pvp",15,MAX(0.1,Skills!D19-IF(Skills!E19=TRUE,Inputs!$B$33,0)))*(1-IF(AND(ArtifactsInput!$M$27,Inputs!$B$4="Chapter Hunt"),CHOOSE(ArtifactsInput!$N$27+1,20,24,28,32,36,40),0)/100)),0)</f>
        <v/>
      </c>
      <c r="R2071">
        <f>IF(AND(Inputs!$B$39&lt;&gt;"pvp",Inputs!$B$44&gt;0),IF(Inputs!$B$44&lt;=0,0,(INT(Inputs!$B$44/(IF(Inputs!$B$39="pvp",15,MAX(0.1,Skills!D19-IF(Skills!E19=TRUE,Inputs!$B$33,0)))*(1-IF(AND(ArtifactsInput!$M$27,Inputs!$B$4="Chapter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IF(B2094=0,0,O2072/B2094)</f>
        <v/>
      </c>
      <c r="Q2072">
        <f>IFERROR(1/(IF(Inputs!$B$39="pvp",15,MAX(0.1,Skills!D20-IF(Skills!E20=TRUE,Inputs!$B$33,0)))*(1-IF(AND(ArtifactsInput!$M$27,Inputs!$B$4="Chapter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IF(B2094=0,0,O2073/B2094)</f>
        <v/>
      </c>
      <c r="Q2073">
        <f>IFERROR(1/(IF(Inputs!$B$39="pvp",15,MAX(0.1,Skills!D21-IF(Skills!E21=TRUE,Inputs!$B$33,0)))*(1-IF(AND(ArtifactsInput!$M$27,Inputs!$B$4="Chapter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IF(B2094=0,0,O2074/B2094)</f>
        <v/>
      </c>
      <c r="Q2074">
        <f>IFERROR(1/(IF(Inputs!$B$39="pvp",15,MAX(0.1,Skills!D22-IF(Skills!E22=TRUE,Inputs!$B$33,0)))*(1-IF(AND(ArtifactsInput!$M$27,Inputs!$B$4="Chapter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IF(B2094=0,0,O2075/B2094)</f>
        <v/>
      </c>
      <c r="Q2075">
        <f>IFERROR(1/(IF(Inputs!$B$39="pvp",15,MAX(0.1,Skills!D23-IF(Skills!E23=TRUE,Inputs!$B$33,0)))*(1-IF(AND(ArtifactsInput!$M$27,Inputs!$B$4="Chapter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IF(B2094=0,0,O2076/B2094)</f>
        <v/>
      </c>
      <c r="Q2076">
        <f>IFERROR(1/(IF(Inputs!$B$39="pvp",15,MAX(0.1,Skills!D24-IF(Skills!E24=TRUE,Inputs!$B$33,0)))*(1-IF(AND(ArtifactsInput!$M$27,Inputs!$B$4="Chapter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IF(B2094=0,0,O2077/B2094)</f>
        <v/>
      </c>
      <c r="Q2077">
        <f>IFERROR(1/(IF(Inputs!$B$39="pvp",15,MAX(0.1,Skills!D25-IF(Skills!E25=TRUE,Inputs!$B$33,0)))*(1-IF(AND(ArtifactsInput!$M$27,Inputs!$B$4="Chapter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IF(B2094=0,0,O2078/B2094)</f>
        <v/>
      </c>
      <c r="Q2078">
        <f>IFERROR(1/(IF(Inputs!$B$39="pvp",15,MAX(0.1,Skills!D26-IF(Skills!E26=TRUE,Inputs!$B$33,0)))*(1-IF(AND(ArtifactsInput!$M$27,Inputs!$B$4="Chapter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IF(B2094=0,0,O2079/B2094)</f>
        <v/>
      </c>
      <c r="Q2079">
        <f>IFERROR(1/(IF(Inputs!$B$39="pvp",15,MAX(0.1,Skills!D27-IF(Skills!E27=TRUE,Inputs!$B$33,0)))*(1-IF(AND(ArtifactsInput!$M$27,Inputs!$B$4="Chapter Hunt"),CHOOSE(ArtifactsInput!$N$27+1,20,24,28,32,36,40),0)/100)),0)</f>
        <v/>
      </c>
      <c r="R2079" t="n">
        <v>0</v>
      </c>
      <c r="S2079" t="n">
        <v>0</v>
      </c>
      <c r="U2079" t="n">
        <v>0</v>
      </c>
    </row>
    <row r="2081">
      <c r="A2081" t="inlineStr">
        <is>
          <t>Average Buff Multiplier</t>
        </is>
      </c>
      <c r="B2081">
        <f>(1+(IF(C2055=TRUE,F2055*IF(AND(Inputs!$B$39&lt;&gt;"pvp",Inputs!$B$44&gt;0),(((R2055-1)*(Skills!S3*(1+((Inputs!$B$35+(ArtifactsInput!$M$7-ArtifactsInput!$M$7)*CHOOSE(ArtifactsInput!$N$7+1,6,7.2,8.4,9.6,10.8,12))+IF(Inputs!$B$3&gt;=117,F2078,0))/100))+MIN((Skills!S3*(1+((Inputs!$B$35+(ArtifactsInput!$M$7-ArtifactsInput!$M$7)*CHOOSE(ArtifactsInput!$N$7+1,6,7.2,8.4,9.6,10.8,12))+IF(Inputs!$B$3&gt;=117,F2078,0))/100)),MAX(0,Inputs!$B$44-((R2055-1)*Skills!D3))))/Inputs!$B$44),IF(Inputs!$B$39="pvp",MIN((Skills!S3*(1+((Inputs!$B$35+(ArtifactsInput!$M$7-ArtifactsInput!$M$7)*CHOOSE(ArtifactsInput!$N$7+1,6,7.2,8.4,9.6,10.8,12))+IF(Inputs!$B$3&gt;=117,F2078,0))/100)),15)/15,(Skills!S3*(1+((Inputs!$B$35+(ArtifactsInput!$M$7-ArtifactsInput!$M$7)*CHOOSE(ArtifactsInput!$N$7+1,6,7.2,8.4,9.6,10.8,12))+IF(Inputs!$B$3&gt;=117,F2078,0))/100))/Skills!D3)),0)+IF(C2056=TRUE,F2056*IF(AND(Inputs!$B$39&lt;&gt;"pvp",Inputs!$B$44&gt;0),(((R2056-1)*(Skills!S4*(1+((Inputs!$B$35+(ArtifactsInput!$M$7-ArtifactsInput!$M$7)*CHOOSE(ArtifactsInput!$N$7+1,6,7.2,8.4,9.6,10.8,12))+IF(Inputs!$B$3&gt;=117,F2078,0))/100))+MIN((Skills!S4*(1+((Inputs!$B$35+(ArtifactsInput!$M$7-ArtifactsInput!$M$7)*CHOOSE(ArtifactsInput!$N$7+1,6,7.2,8.4,9.6,10.8,12))+IF(Inputs!$B$3&gt;=117,F2078,0))/100)),MAX(0,Inputs!$B$44-((R2056-1)*Skills!D4))))/Inputs!$B$44),IF(Inputs!$B$39="pvp",MIN((Skills!S4*(1+((Inputs!$B$35+(ArtifactsInput!$M$7-ArtifactsInput!$M$7)*CHOOSE(ArtifactsInput!$N$7+1,6,7.2,8.4,9.6,10.8,12))+IF(Inputs!$B$3&gt;=117,F2078,0))/100)),15)/15,(Skills!S4*(1+((Inputs!$B$35+(ArtifactsInput!$M$7-ArtifactsInput!$M$7)*CHOOSE(ArtifactsInput!$N$7+1,6,7.2,8.4,9.6,10.8,12))+IF(Inputs!$B$3&gt;=117,F2078,0))/100))/Skills!D4)),0)+IF(C2057=TRUE,F2057*IF(AND(Inputs!$B$39&lt;&gt;"pvp",Inputs!$B$44&gt;0),(((R2057-1)*(Skills!S5*(1+((Inputs!$B$35+(ArtifactsInput!$M$7-ArtifactsInput!$M$7)*CHOOSE(ArtifactsInput!$N$7+1,6,7.2,8.4,9.6,10.8,12))+IF(Inputs!$B$3&gt;=117,F2078,0))/100))+MIN((Skills!S5*(1+((Inputs!$B$35+(ArtifactsInput!$M$7-ArtifactsInput!$M$7)*CHOOSE(ArtifactsInput!$N$7+1,6,7.2,8.4,9.6,10.8,12))+IF(Inputs!$B$3&gt;=117,F2078,0))/100)),MAX(0,Inputs!$B$44-((R2057-1)*Skills!D5))))/Inputs!$B$44),IF(Inputs!$B$39="pvp",MIN((Skills!S5*(1+((Inputs!$B$35+(ArtifactsInput!$M$7-ArtifactsInput!$M$7)*CHOOSE(ArtifactsInput!$N$7+1,6,7.2,8.4,9.6,10.8,12))+IF(Inputs!$B$3&gt;=117,F2078,0))/100)),15)/15,(Skills!S5*(1+((Inputs!$B$35+(ArtifactsInput!$M$7-ArtifactsInput!$M$7)*CHOOSE(ArtifactsInput!$N$7+1,6,7.2,8.4,9.6,10.8,12))+IF(Inputs!$B$3&gt;=117,F2078,0))/100))/Skills!D5)),0)+IF(C2063=TRUE,F2063*IF(AND(Inputs!$B$39&lt;&gt;"pvp",Inputs!$B$44&gt;0),(((R2063-1)*(Skills!S11*(1+((Inputs!$B$35+(ArtifactsInput!$M$7-ArtifactsInput!$M$7)*CHOOSE(ArtifactsInput!$N$7+1,6,7.2,8.4,9.6,10.8,12))+IF(Inputs!$B$3&gt;=117,F2078,0))/100))+MIN((Skills!S11*(1+((Inputs!$B$35+(ArtifactsInput!$M$7-ArtifactsInput!$M$7)*CHOOSE(ArtifactsInput!$N$7+1,6,7.2,8.4,9.6,10.8,12))+IF(Inputs!$B$3&gt;=117,F2078,0))/100)),MAX(0,Inputs!$B$44-((R2063-1)*Skills!D11))))/Inputs!$B$44),IF(Inputs!$B$39="pvp",MIN((Skills!S11*(1+((Inputs!$B$35+(ArtifactsInput!$M$7-ArtifactsInput!$M$7)*CHOOSE(ArtifactsInput!$N$7+1,6,7.2,8.4,9.6,10.8,12))+IF(Inputs!$B$3&gt;=117,F2078,0))/100)),15)/15,(Skills!S11*(1+((Inputs!$B$35+(ArtifactsInput!$M$7-ArtifactsInput!$M$7)*CHOOSE(ArtifactsInput!$N$7+1,6,7.2,8.4,9.6,10.8,12))+IF(Inputs!$B$3&gt;=117,F2078,0)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Skills!S14*(1+((Inputs!$B$35+(ArtifactsInput!$M$7-ArtifactsInput!$M$7)*CHOOSE(ArtifactsInput!$N$7+1,6,7.2,8.4,9.6,10.8,12))+IF(Inputs!$B$3&gt;=117,F2078,0))/100))+MIN((Skills!S14*(1+((Inputs!$B$35+(ArtifactsInput!$M$7-ArtifactsInput!$M$7)*CHOOSE(ArtifactsInput!$N$7+1,6,7.2,8.4,9.6,10.8,12))+IF(Inputs!$B$3&gt;=117,F2078,0))/100)),MAX(0,Inputs!$B$44-((R2066-1)*Skills!D14))))/Inputs!$B$44),IF(Inputs!$B$39="pvp",MIN((Skills!S14*(1+((Inputs!$B$35+(ArtifactsInput!$M$7-ArtifactsInput!$M$7)*CHOOSE(ArtifactsInput!$N$7+1,6,7.2,8.4,9.6,10.8,12))+IF(Inputs!$B$3&gt;=117,F2078,0))/100)),15)/15,(Skills!S14*(1+((Inputs!$B$35+(ArtifactsInput!$M$7-ArtifactsInput!$M$7)*CHOOSE(ArtifactsInput!$N$7+1,6,7.2,8.4,9.6,10.8,12))+IF(Inputs!$B$3&gt;=117,F2078,0))/100))/Skills!D14))/100),1)*IF(C2071=TRUE,(1+F2071*IF(AND(Inputs!$B$39&lt;&gt;"pvp",Inputs!$B$44&gt;0),(((R2071-1)*(Skills!S19*(1+((Inputs!$B$35+(ArtifactsInput!$M$7-ArtifactsInput!$M$7)*CHOOSE(ArtifactsInput!$N$7+1,6,7.2,8.4,9.6,10.8,12))+IF(Inputs!$B$3&gt;=117,F2078,0))/100))+MIN((Skills!S19*(1+((Inputs!$B$35+(ArtifactsInput!$M$7-ArtifactsInput!$M$7)*CHOOSE(ArtifactsInput!$N$7+1,6,7.2,8.4,9.6,10.8,12))+IF(Inputs!$B$3&gt;=117,F2078,0))/100)),MAX(0,Inputs!$B$44-((R2071-1)*Skills!D19))))/Inputs!$B$44),IF(Inputs!$B$39="pvp",MIN((Skills!S19*(1+((Inputs!$B$35+(ArtifactsInput!$M$7-ArtifactsInput!$M$7)*CHOOSE(ArtifactsInput!$N$7+1,6,7.2,8.4,9.6,10.8,12))+IF(Inputs!$B$3&gt;=117,F2078,0))/100)),15)/15,(Skills!S19*(1+((Inputs!$B$35+(ArtifactsInput!$M$7-ArtifactsInput!$M$7)*CHOOSE(ArtifactsInput!$N$7+1,6,7.2,8.4,9.6,10.8,12))+IF(Inputs!$B$3&gt;=117,F2078,0))/100))/Skills!D19))/100),1)</f>
        <v/>
      </c>
    </row>
    <row r="2082">
      <c r="A2082" t="inlineStr">
        <is>
          <t>Monster Damage Taken Bonus % (Holy Fountain)</t>
        </is>
      </c>
      <c r="B2082">
        <f>IF(Inputs!$B$3&gt;=68,20*IF(Inputs!$B$39="pvp",MIN((15*(1+((Inputs!$B$35+(ArtifactsInput!$M$7-ArtifactsInput!$M$7)*CHOOSE(ArtifactsInput!$N$7+1,6,7.2,8.4,9.6,10.8,12))+IF(Inputs!$B$3&gt;=117,F2078,0))/100)),15)/15,(15*(1+((Inputs!$B$35+(ArtifactsInput!$M$7-ArtifactsInput!$M$7)*CHOOSE(ArtifactsInput!$N$7+1,6,7.2,8.4,9.6,10.8,12))+IF(Inputs!$B$3&gt;=117,F2078,0))/100))/Skills!D10),0)</f>
        <v/>
      </c>
    </row>
    <row r="2083">
      <c r="A2083" t="inlineStr">
        <is>
          <t>Normal Monster Damage Bonus % (Holy Symbol)</t>
        </is>
      </c>
      <c r="B2083">
        <f>IF(C2064=TRUE,F2064*IF(AND(Inputs!$B$39&lt;&gt;"pvp",Inputs!$B$44&gt;0),(((R2064-1)*(Skills!S12*(1+((Inputs!$B$35+(ArtifactsInput!$M$7-ArtifactsInput!$M$7)*CHOOSE(ArtifactsInput!$N$7+1,6,7.2,8.4,9.6,10.8,12))+IF(Inputs!$B$3&gt;=117,F2078,0))/100))+MIN((Skills!S12*(1+((Inputs!$B$35+(ArtifactsInput!$M$7-ArtifactsInput!$M$7)*CHOOSE(ArtifactsInput!$N$7+1,6,7.2,8.4,9.6,10.8,12))+IF(Inputs!$B$3&gt;=117,F2078,0))/100)),MAX(0,Inputs!$B$44-((R2064-1)*Skills!D12))))/Inputs!$B$44),IF(Inputs!$B$39="pvp",MIN((Skills!S12*(1+((Inputs!$B$35+(ArtifactsInput!$M$7-ArtifactsInput!$M$7)*CHOOSE(ArtifactsInput!$N$7+1,6,7.2,8.4,9.6,10.8,12))+IF(Inputs!$B$3&gt;=117,F2078,0))/100)),15)/15,(Skills!S12*(1+((Inputs!$B$35+(ArtifactsInput!$M$7-ArtifactsInput!$M$7)*CHOOSE(ArtifactsInput!$N$7+1,6,7.2,8.4,9.6,10.8,12))+IF(Inputs!$B$3&gt;=117,F2078,0))/100))/Skills!D12)),0)</f>
        <v/>
      </c>
    </row>
    <row r="2084">
      <c r="A2084" t="inlineStr">
        <is>
          <t>Damage % Bonus (Holy Symbol - Damage Boost)</t>
        </is>
      </c>
      <c r="B2084">
        <f>Skills!O12</f>
        <v/>
      </c>
    </row>
    <row r="2085">
      <c r="A2085" t="inlineStr">
        <is>
          <t>Crit Damage % Bonus (Blood of the Divine)</t>
        </is>
      </c>
      <c r="B2085">
        <f>4*IF(C2072=TRUE,F2072,0)</f>
        <v/>
      </c>
    </row>
    <row r="2086">
      <c r="A2086" t="inlineStr">
        <is>
          <t>Attack Speed Bonus %</t>
        </is>
      </c>
      <c r="B2086">
        <f>IF(C2069=TRUE,F2069+(F2073-Calc!F21),0)+IF(Inputs!$B$3&gt;=134,15,0)</f>
        <v/>
      </c>
    </row>
    <row r="2087">
      <c r="A2087" t="inlineStr">
        <is>
          <t>Actions Per Second</t>
        </is>
      </c>
      <c r="B2087">
        <f>1+MIN(150,150*(1-(1-Inputs!$B$12/150)*(1-B2086/150)))/100</f>
        <v/>
      </c>
    </row>
    <row r="2088">
      <c r="A2088" t="inlineStr">
        <is>
          <t>Skill + Buff Cast Rate</t>
        </is>
      </c>
      <c r="B2088">
        <f>IF(AND(Inputs!$B$39&lt;&gt;"pvp",Inputs!$B$44&gt;0),SUMPRODUCT((Skills!E2:E27=TRUE)*(C2054:C2079=TRUE)*R2054:R2079)/Inputs!$B$44,SUMPRODUCT((Skills!E2:E27=TRUE)*(C2054:C2079=TRUE)*Q2054:Q2079))</f>
        <v/>
      </c>
    </row>
    <row r="2089">
      <c r="A2089" t="inlineStr">
        <is>
          <t>Big Bang Casts Per Second</t>
        </is>
      </c>
      <c r="B2089">
        <f>MAX(0,B2087-B2088)</f>
        <v/>
      </c>
    </row>
    <row r="2090">
      <c r="A2090" t="inlineStr">
        <is>
          <t>Defense % Bonus (Divine Protection)</t>
        </is>
      </c>
      <c r="B2090">
        <f>IF(C2065=TRUE,F2065*IF(AND(Inputs!$B$39&lt;&gt;"pvp",Inputs!$B$44&gt;0),(((R2065-1)*(Skills!S13*(1+((Inputs!$B$35+(ArtifactsInput!$M$7-ArtifactsInput!$M$7)*CHOOSE(ArtifactsInput!$N$7+1,6,7.2,8.4,9.6,10.8,12))+IF(Inputs!$B$3&gt;=117,F2078,0))/100))+MIN((Skills!S13*(1+((Inputs!$B$35+(ArtifactsInput!$M$7-ArtifactsInput!$M$7)*CHOOSE(ArtifactsInput!$N$7+1,6,7.2,8.4,9.6,10.8,12))+IF(Inputs!$B$3&gt;=117,F2078,0))/100)),MAX(0,Inputs!$B$44-((R2065-1)*Skills!D13))))/Inputs!$B$44),IF(Inputs!$B$39="pvp",MIN((Skills!S13*(1+((Inputs!$B$35+(ArtifactsInput!$M$7-ArtifactsInput!$M$7)*CHOOSE(ArtifactsInput!$N$7+1,6,7.2,8.4,9.6,10.8,12))+IF(Inputs!$B$3&gt;=117,F2078,0))/100)),15)/15,(Skills!S13*(1+((Inputs!$B$35+(ArtifactsInput!$M$7-ArtifactsInput!$M$7)*CHOOSE(ArtifactsInput!$N$7+1,6,7.2,8.4,9.6,10.8,12))+IF(Inputs!$B$3&gt;=117,F2078,0))/100))/Skills!D13)),0)</f>
        <v/>
      </c>
    </row>
    <row r="2091">
      <c r="A2091" t="inlineStr">
        <is>
          <t>Buff-Casting Startup Delay (s, fixed-duration only)</t>
        </is>
      </c>
      <c r="B2091">
        <f>IF(AND(Inputs!$B$39&lt;&gt;"pvp",Inputs!$B$44&gt;0),SUMPRODUCT((Skills!S2:S27&gt;0)*(Skills!E2:E27=TRUE)*(C2054:C2079=TRUE))/B2087,0)</f>
        <v/>
      </c>
    </row>
    <row r="2092">
      <c r="A2092" t="inlineStr">
        <is>
          <t>Boss-Only Total DPS (this block's swept value)</t>
        </is>
      </c>
      <c r="B2092">
        <f>SUM(S2054:S2079)</f>
        <v/>
      </c>
    </row>
    <row r="2093">
      <c r="A2093" t="inlineStr">
        <is>
          <t>Normal-Only Total DPS (this block's swept value)</t>
        </is>
      </c>
      <c r="B2093">
        <f>SUM(U2054:U2079)</f>
        <v/>
      </c>
    </row>
    <row r="2094">
      <c r="A2094" s="6" t="inlineStr">
        <is>
          <t>TOTAL DPS</t>
        </is>
      </c>
      <c r="B2094" s="6">
        <f>SUM(O2054:O2079)</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R2097" t="inlineStr">
        <is>
          <t>helpers</t>
        </is>
      </c>
    </row>
    <row r="2098">
      <c r="A2098">
        <f>Skills!A2</f>
        <v/>
      </c>
      <c r="B2098">
        <f>Skills!B2</f>
        <v/>
      </c>
      <c r="C2098">
        <f>Inputs!$B$3&gt;=100</f>
        <v/>
      </c>
      <c r="D2098" t="inlineStr"/>
      <c r="E2098" t="inlineStr"/>
      <c r="F2098">
        <f>T2100+Skills!N2</f>
        <v/>
      </c>
      <c r="G2098">
        <f>Calc!G2</f>
        <v/>
      </c>
      <c r="H2098">
        <f>Calc!H2</f>
        <v/>
      </c>
      <c r="I2098">
        <f>IF(Skills!T2&lt;&gt;"",1+(Skills!T2/10)*($Z$3/1000)/100,1)</f>
        <v/>
      </c>
      <c r="J2098">
        <f>((Inputs!$B$6*(1+Inputs!$B$7/100))+(((Inputs!$B$13*(1+Inputs!$B$14/100))-(Inputs!$B$13*(1+Inputs!$B$14/100)))+0.25*(Inputs!$B$15-Inputs!$B$15))*(1+Inputs!$B$7/100))*(F2098/100)</f>
        <v/>
      </c>
      <c r="K2098">
        <f>J2098*(1+(((Inputs!$B$13+IF(Inputs!$B$3&gt;=35,(10*INDEX(FactorTable!$B$2:$Y$301,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2="TRIUMPH_FEATHER",IF(C2112=TRUE,F2112,0),0)/100)*(1+IF(C2123=TRUE,F2123,0)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2098)</f>
        <v/>
      </c>
      <c r="L2098">
        <f>K2098*(MIN(Inputs!$B$23+(F2118-Calc!F22),(Inputs!$B$24+IF(ArtifactsInput!$M$15,CHOOSE(ArtifactsInput!$N$15+1,25,30,35,40,45,50)/100*(Inputs!$B$12-Inputs!$B$12),0)))/100+(Inputs!$B$24+IF(ArtifactsInput!$M$15,CHOOSE(ArtifactsInput!$N$15+1,25,30,35,40,45,50)/100*(Inputs!$B$12-Inputs!$B$12),0))/100)/2</f>
        <v/>
      </c>
      <c r="M2098">
        <f>L2098*(1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8">
        <f>L2098*(1-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(1-Summary!$B$11)*S2098+Summary!$B$11*U2098</f>
        <v/>
      </c>
      <c r="P2098">
        <f>IF(B2138=0,0,O2098/B2138)</f>
        <v/>
      </c>
      <c r="Q2098">
        <f>IFERROR(1/(IF(Inputs!$B$39="pvp",15,MAX(0.1,Skills!D2-IF(Skills!E2=TRUE,Inputs!$B$33,0)))*(1-IF(AND(ArtifactsInput!$M$27,Inputs!$B$4="Chapter Hunt"),CHOOSE(ArtifactsInput!$N$27+1,20,24,28,32,36,40),0)/100)),0)</f>
        <v/>
      </c>
      <c r="R2098" t="n">
        <v>0</v>
      </c>
      <c r="S2098">
        <f>IF(C2098,(Skills!F2*N2098*B2133)*IF(Inputs!$B$39="pvp",1,1+(Inputs!$B$21+Skills!O2+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2098*(1-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8">
        <f>MAX(0,(Inputs!$B$3-100)*3)+Inputs!$B$29+Inputs!$B$30</f>
        <v/>
      </c>
      <c r="U2098">
        <f>IF(C2098,(Skills!F2*N2098*B2133)*IF(Inputs!$B$39="pvp",1,(1+(Inputs!$B$22+Skills!P2+B2127+(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Skills!A3</f>
        <v/>
      </c>
      <c r="B2099">
        <f>Skills!B3</f>
        <v/>
      </c>
      <c r="C2099">
        <f>Inputs!$B$3&gt;=15</f>
        <v/>
      </c>
      <c r="D2099">
        <f>IF(Skills!C3=1,60+Inputs!$B$26+Inputs!$B$30,IF(Skills!C3=2,90+Inputs!$B$27+Inputs!$B$30,IF(Skills!C3=3,120+Inputs!$B$28+Inputs!$B$30,MAX(0,(Inputs!$B$3-100)*3)+Inputs!$B$29+Inputs!$B$30)))</f>
        <v/>
      </c>
      <c r="E2099">
        <f>INDEX(FactorTable!$B$2:$Y$301, MATCH(ROUND(MIN(300,MAX(1,D2099)),0), FactorTable!$A$2:$A$301,0), Skills!L3+1)</f>
        <v/>
      </c>
      <c r="F2099">
        <f>IF(Skills!M3=TRUE,(Skills!K3/10)*(E2099/1000),Skills!K3/10)+Skills!N3</f>
        <v/>
      </c>
      <c r="G2099">
        <f>Calc!G3</f>
        <v/>
      </c>
      <c r="H2099">
        <f>Calc!H3</f>
        <v/>
      </c>
      <c r="I2099">
        <f>IF(Skills!T3&lt;&gt;"",1+(Skills!T3/10)*($Z$3/1000)/100,1)</f>
        <v/>
      </c>
      <c r="J2099" t="inlineStr"/>
      <c r="K2099" t="inlineStr"/>
      <c r="L2099" t="inlineStr"/>
      <c r="M2099" t="inlineStr"/>
      <c r="N2099" t="inlineStr"/>
      <c r="O2099">
        <f>(1-Summary!$B$11)*S2099+Summary!$B$11*U2099</f>
        <v/>
      </c>
      <c r="P2099">
        <f>IF(B2138=0,0,O2099/B2138)</f>
        <v/>
      </c>
      <c r="Q2099">
        <f>IFERROR(1/(IF(Inputs!$B$39="pvp",15,MAX(0.1,Skills!D3-IF(Skills!E3=TRUE,Inputs!$B$33,0)))*(1-IF(AND(ArtifactsInput!$M$27,Inputs!$B$4="Chapter Hunt"),CHOOSE(ArtifactsInput!$N$27+1,20,24,28,32,36,40),0)/100)),0)</f>
        <v/>
      </c>
      <c r="R2099">
        <f>IF(AND(Inputs!$B$39&lt;&gt;"pvp",Inputs!$B$44&gt;0),IF(Inputs!$B$44&lt;=0,0,(INT(Inputs!$B$44/(IF(Inputs!$B$39="pvp",15,MAX(0.1,Skills!D3-IF(Skills!E3=TRUE,Inputs!$B$33,0)))*(1-IF(AND(ArtifactsInput!$M$27,Inputs!$B$4="Chapter Hunt"),CHOOSE(ArtifactsInput!$N$27+1,20,24,28,32,36,40),0)/100)))+1)),0)</f>
        <v/>
      </c>
      <c r="S2099" t="n">
        <v>0</v>
      </c>
      <c r="T2099">
        <f>INDEX(FactorTable!$B$2:$Y$301, MATCH(ROUND(MIN(300,MAX(1,T2098)),0), FactorTable!$A$2:$A$301,0), 22)</f>
        <v/>
      </c>
      <c r="U2099" t="n">
        <v>0</v>
      </c>
    </row>
    <row r="2100">
      <c r="A2100">
        <f>Skills!A4</f>
        <v/>
      </c>
      <c r="B2100">
        <f>Skills!B4</f>
        <v/>
      </c>
      <c r="C2100">
        <f>Inputs!$B$3&gt;=38</f>
        <v/>
      </c>
      <c r="D2100">
        <f>IF(Skills!C4=1,60+Inputs!$B$26+Inputs!$B$30,IF(Skills!C4=2,90+Inputs!$B$27+Inputs!$B$30,IF(Skills!C4=3,120+Inputs!$B$28+Inputs!$B$30,MAX(0,(Inputs!$B$3-100)*3)+Inputs!$B$29+Inputs!$B$30)))</f>
        <v/>
      </c>
      <c r="E2100">
        <f>INDEX(FactorTable!$B$2:$Y$301, MATCH(ROUND(MIN(300,MAX(1,D2100)),0), FactorTable!$A$2:$A$301,0), Skills!L4+1)</f>
        <v/>
      </c>
      <c r="F2100">
        <f>IF(Skills!M4=TRUE,(Skills!K4/10)*(E2100/1000),Skills!K4/10)+Skills!N4</f>
        <v/>
      </c>
      <c r="G2100">
        <f>Calc!G4</f>
        <v/>
      </c>
      <c r="H2100">
        <f>Calc!H4</f>
        <v/>
      </c>
      <c r="I2100">
        <f>IF(Skills!T4&lt;&gt;"",1+(Skills!T4/10)*($Z$3/1000)/100,1)</f>
        <v/>
      </c>
      <c r="J2100" t="inlineStr"/>
      <c r="K2100" t="inlineStr"/>
      <c r="L2100" t="inlineStr"/>
      <c r="M2100" t="inlineStr"/>
      <c r="N2100" t="inlineStr"/>
      <c r="O2100">
        <f>(1-Summary!$B$11)*S2100+Summary!$B$11*U2100</f>
        <v/>
      </c>
      <c r="P2100">
        <f>IF(B2138=0,0,O2100/B2138)</f>
        <v/>
      </c>
      <c r="Q2100">
        <f>IFERROR(1/(IF(Inputs!$B$39="pvp",15,MAX(0.1,Skills!D4-IF(Skills!E4=TRUE,Inputs!$B$33,0)))*(1-IF(AND(ArtifactsInput!$M$27,Inputs!$B$4="Chapter Hunt"),CHOOSE(ArtifactsInput!$N$27+1,20,24,28,32,36,40),0)/100)),0)</f>
        <v/>
      </c>
      <c r="R2100">
        <f>IF(AND(Inputs!$B$39&lt;&gt;"pvp",Inputs!$B$44&gt;0),IF(Inputs!$B$44&lt;=0,0,(INT(Inputs!$B$44/(IF(Inputs!$B$39="pvp",15,MAX(0.1,Skills!D4-IF(Skills!E4=TRUE,Inputs!$B$33,0)))*(1-IF(AND(ArtifactsInput!$M$27,Inputs!$B$4="Chapter Hunt"),CHOOSE(ArtifactsInput!$N$27+1,20,24,28,32,36,40),0)/100)))+1)),0)</f>
        <v/>
      </c>
      <c r="S2100" t="n">
        <v>0</v>
      </c>
      <c r="T2100">
        <f>290*T2099/1000</f>
        <v/>
      </c>
      <c r="U2100" t="n">
        <v>0</v>
      </c>
    </row>
    <row r="2101">
      <c r="A2101">
        <f>Skills!A5</f>
        <v/>
      </c>
      <c r="B2101">
        <f>Skills!B5</f>
        <v/>
      </c>
      <c r="C2101">
        <f>Inputs!$B$3&gt;=40</f>
        <v/>
      </c>
      <c r="D2101">
        <f>IF(Skills!C5=1,60+Inputs!$B$26+Inputs!$B$30,IF(Skills!C5=2,90+Inputs!$B$27+Inputs!$B$30,IF(Skills!C5=3,120+Inputs!$B$28+Inputs!$B$30,MAX(0,(Inputs!$B$3-100)*3)+Inputs!$B$29+Inputs!$B$30)))</f>
        <v/>
      </c>
      <c r="E2101">
        <f>INDEX(FactorTable!$B$2:$Y$301, MATCH(ROUND(MIN(300,MAX(1,D2101)),0), FactorTable!$A$2:$A$301,0), Skills!L5+1)</f>
        <v/>
      </c>
      <c r="F2101">
        <f>IF(Skills!M5=TRUE,(Skills!K5/10)*(E2101/1000),Skills!K5/10)+Skills!N5</f>
        <v/>
      </c>
      <c r="G2101">
        <f>Calc!G5</f>
        <v/>
      </c>
      <c r="H2101">
        <f>Calc!H5</f>
        <v/>
      </c>
      <c r="I2101">
        <f>IF(Skills!T5&lt;&gt;"",1+(Skills!T5/10)*($Z$3/1000)/100,1)</f>
        <v/>
      </c>
      <c r="J2101" t="inlineStr"/>
      <c r="K2101" t="inlineStr"/>
      <c r="L2101" t="inlineStr"/>
      <c r="M2101" t="inlineStr"/>
      <c r="N2101" t="inlineStr"/>
      <c r="O2101">
        <f>(1-Summary!$B$11)*S2101+Summary!$B$11*U2101</f>
        <v/>
      </c>
      <c r="P2101">
        <f>IF(B2138=0,0,O2101/B2138)</f>
        <v/>
      </c>
      <c r="Q2101">
        <f>IFERROR(1/(IF(Inputs!$B$39="pvp",15,MAX(0.1,Skills!D5-IF(Skills!E5=TRUE,Inputs!$B$33,0)))*(1-IF(AND(ArtifactsInput!$M$27,Inputs!$B$4="Chapter Hunt"),CHOOSE(ArtifactsInput!$N$27+1,20,24,28,32,36,40),0)/100)),0)</f>
        <v/>
      </c>
      <c r="R2101">
        <f>IF(AND(Inputs!$B$39&lt;&gt;"pvp",Inputs!$B$44&gt;0),IF(Inputs!$B$44&lt;=0,0,(INT(Inputs!$B$44/(IF(Inputs!$B$39="pvp",15,MAX(0.1,Skills!D5-IF(Skills!E5=TRUE,Inputs!$B$33,0)))*(1-IF(AND(ArtifactsInput!$M$27,Inputs!$B$4="Chapter Hunt"),CHOOSE(ArtifactsInput!$N$27+1,20,24,28,32,36,40),0)/100)))+1)),0)</f>
        <v/>
      </c>
      <c r="S2101" t="n">
        <v>0</v>
      </c>
      <c r="U2101" t="n">
        <v>0</v>
      </c>
    </row>
    <row r="2102">
      <c r="A2102">
        <f>Skills!A6</f>
        <v/>
      </c>
      <c r="B2102">
        <f>Skills!B6</f>
        <v/>
      </c>
      <c r="C2102">
        <f>Inputs!$B$3&gt;=103</f>
        <v/>
      </c>
      <c r="D2102">
        <f>IF(Skills!C6=1,60+Inputs!$B$26+Inputs!$B$30,IF(Skills!C6=2,90+Inputs!$B$27+Inputs!$B$30,IF(Skills!C6=3,120+Inputs!$B$28+Inputs!$B$30,MAX(0,(Inputs!$B$3-100)*3)+Inputs!$B$29+Inputs!$B$30)))</f>
        <v/>
      </c>
      <c r="E2102">
        <f>INDEX(FactorTable!$B$2:$Y$301, MATCH(ROUND(MIN(300,MAX(1,D2102)),0), FactorTable!$A$2:$A$301,0), Skills!L6+1)</f>
        <v/>
      </c>
      <c r="F2102">
        <f>IF(Skills!M6=TRUE,(Skills!K6/10)*(E2102/1000),Skills!K6/10)+Skills!N6</f>
        <v/>
      </c>
      <c r="G2102">
        <f>Calc!G6</f>
        <v/>
      </c>
      <c r="H2102">
        <f>Calc!H6</f>
        <v/>
      </c>
      <c r="I2102">
        <f>IF(Skills!T6&lt;&gt;"",1+(Skills!T6/10)*($Z$3/1000)/100,1)</f>
        <v/>
      </c>
      <c r="J2102">
        <f>((Inputs!$B$6*(1+Inputs!$B$7/100))+(((Inputs!$B$13*(1+Inputs!$B$14/100))-(Inputs!$B$13*(1+Inputs!$B$14/100)))+0.25*(Inputs!$B$15-Inputs!$B$15))*(1+Inputs!$B$7/100))*(F2102/100)</f>
        <v/>
      </c>
      <c r="K2102">
        <f>J2102*(1+(((Inputs!$B$13+IF(Inputs!$B$3&gt;=35,(10*INDEX(FactorTable!$B$2:$Y$301,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6="TRIUMPH_FEATHER",IF(C2112=TRUE,F2112,0),0)/100)*(1+IF(C2123=TRUE,F2123,0)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2102)</f>
        <v/>
      </c>
      <c r="L2102">
        <f>K2102*(MIN(Inputs!$B$23+(F2118-Calc!F22),(Inputs!$B$24+IF(ArtifactsInput!$M$15,CHOOSE(ArtifactsInput!$N$15+1,25,30,35,40,45,50)/100*(Inputs!$B$12-Inputs!$B$12),0)))/100+(Inputs!$B$24+IF(ArtifactsInput!$M$15,CHOOSE(ArtifactsInput!$N$15+1,25,30,35,40,45,50)/100*(Inputs!$B$12-Inputs!$B$12),0))/100)/2</f>
        <v/>
      </c>
      <c r="M2102">
        <f>L2102*(1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2">
        <f>L2102*(1-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2102*(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2">
        <f>(1-Summary!$B$11)*S2102+Summary!$B$11*U2102</f>
        <v/>
      </c>
      <c r="P2102">
        <f>IF(B2138=0,0,O2102/B2138)</f>
        <v/>
      </c>
      <c r="Q2102">
        <f>IFERROR(1/(IF(Inputs!$B$39="pvp",15,MAX(0.1,Skills!D6-IF(Skills!E6=TRUE,Inputs!$B$33,0)))*(1-IF(AND(ArtifactsInput!$M$27,Inputs!$B$4="Chapter Hunt"),CHOOSE(ArtifactsInput!$N$27+1,20,24,28,32,36,40),0)/100)),0)</f>
        <v/>
      </c>
      <c r="R2102">
        <f>IF(AND(Inputs!$B$39&lt;&gt;"pvp",Inputs!$B$44&gt;0),IF(MAX(0,Inputs!$B$44-B2135)&lt;=0,0,(INT(MAX(0,Inputs!$B$44-B2135)/(IF(Inputs!$B$39="pvp",15,MAX(0.1,Skills!D6-IF(Skills!E6=TRUE,Inputs!$B$33,0)))*(1-IF(AND(ArtifactsInput!$M$27,Inputs!$B$4="Chapter Hunt"),CHOOSE(ArtifactsInput!$N$27+1,20,24,28,32,36,40),0)/100)))+1)),0)</f>
        <v/>
      </c>
      <c r="S2102">
        <f>IF(C2102,(H2102*N2102*IF(AND(Inputs!$B$39&lt;&gt;"pvp",Inputs!$B$44&gt;0),((Skills!F6*((R2102-1)*IF(Skills!G6&gt;0,Skills!H6/Skills!G6,1)+IF(Skills!G6&gt;0,MIN(Skills!H6,MAX(0,MAX(0,Inputs!$B$44-B2135)-((R2102-1)*(IF(Inputs!$B$39="pvp",15,MAX(0.1,Skills!D6-IF(Skills!E6=TRUE,Inputs!$B$33,0)))*(1-IF(AND(ArtifactsInput!$M$27,Inputs!$B$4="Chapter Hunt"),CHOOSE(ArtifactsInput!$N$27+1,20,24,28,32,36,40),0)/100)))))/Skills!G6,1)))/Inputs!$B$44),G2102*Q2102))*IF(Inputs!$B$39="pvp",1,1+(Inputs!$B$21+Skills!O6+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2102*(1-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2102*(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2102*(1-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2102*(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2">
        <f>IF(C2102,(H2102*N2102*IF(AND(Inputs!$B$39&lt;&gt;"pvp",Inputs!$B$44&gt;0),((Skills!F6*((R2102-1)*IF(Skills!G6&gt;0,Skills!H6/Skills!G6,1)+IF(Skills!G6&gt;0,MIN(Skills!H6,MAX(0,MAX(0,Inputs!$B$44-B2135)-((R2102-1)*(IF(Inputs!$B$39="pvp",15,MAX(0.1,Skills!D6-IF(Skills!E6=TRUE,Inputs!$B$33,0)))*(1-IF(AND(ArtifactsInput!$M$27,Inputs!$B$4="Chapter Hunt"),CHOOSE(ArtifactsInput!$N$27+1,20,24,28,32,36,40),0)/100)))))/Skills!G6,1)))/Inputs!$B$44),G2102*Q2102))*IF(Inputs!$B$39="pvp",1,(1+(Inputs!$B$22+Skills!P6+B2127+(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3">
      <c r="A2103">
        <f>Skills!A7</f>
        <v/>
      </c>
      <c r="B2103">
        <f>Skills!B7</f>
        <v/>
      </c>
      <c r="C2103">
        <f>Inputs!$B$3&gt;=122</f>
        <v/>
      </c>
      <c r="D2103">
        <f>IF(Skills!C7=1,60+Inputs!$B$26+Inputs!$B$30,IF(Skills!C7=2,90+Inputs!$B$27+Inputs!$B$30,IF(Skills!C7=3,120+Inputs!$B$28+Inputs!$B$30,MAX(0,(Inputs!$B$3-100)*3)+Inputs!$B$29+Inputs!$B$30)))</f>
        <v/>
      </c>
      <c r="E2103">
        <f>INDEX(FactorTable!$B$2:$Y$301, MATCH(ROUND(MIN(300,MAX(1,D2103)),0), FactorTable!$A$2:$A$301,0), Skills!L7+1)</f>
        <v/>
      </c>
      <c r="F2103">
        <f>IF(Skills!M7=TRUE,(Skills!K7/10)*(E2103/1000),Skills!K7/10)+Skills!N7</f>
        <v/>
      </c>
      <c r="G2103">
        <f>Calc!G7</f>
        <v/>
      </c>
      <c r="H2103">
        <f>Calc!H7</f>
        <v/>
      </c>
      <c r="I2103">
        <f>IF(Skills!T7&lt;&gt;"",1+(Skills!T7/10)*($Z$3/1000)/100,1)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7="TRIUMPH_FEATHER",IF(C2112=TRUE,F2112,0),0)/100)*(1+IF(C2123=TRUE,F2123,0)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2103)</f>
        <v/>
      </c>
      <c r="L2103">
        <f>K2103*(MIN(Inputs!$B$23+(F2118-Calc!F22),(Inputs!$B$24+IF(ArtifactsInput!$M$15,CHOOSE(ArtifactsInput!$N$15+1,25,30,35,40,45,50)/100*(Inputs!$B$12-Inputs!$B$12),0)))/100+(Inputs!$B$24+IF(ArtifactsInput!$M$15,CHOOSE(ArtifactsInput!$N$15+1,25,30,35,40,45,50)/100*(Inputs!$B$12-Inputs!$B$12),0))/100)/2</f>
        <v/>
      </c>
      <c r="M2103">
        <f>L2103*(1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IF(B2138=0,0,O2103/B2138)</f>
        <v/>
      </c>
      <c r="Q2103">
        <f>IFERROR(1/(IF(Inputs!$B$39="pvp",15,MAX(0.1,Skills!D7-IF(Skills!E6=TRUE,Inputs!$B$33,0)))*(1-IF(AND(ArtifactsInput!$M$27,Inputs!$B$4="Chapter Hunt"),CHOOSE(ArtifactsInput!$N$27+1,20,24,28,32,36,40),0)/100)),0)</f>
        <v/>
      </c>
      <c r="R2103">
        <f>IF(AND(Inputs!$B$39&lt;&gt;"pvp",Inputs!$B$44&gt;0),IF(MAX(0,Inputs!$B$44-B2135)&lt;=0,0,(INT(MAX(0,Inputs!$B$44-B2135)/(IF(Inputs!$B$39="pvp",15,MAX(0.1,Skills!D7-IF(Skills!E6=TRUE,Inputs!$B$33,0)))*(1-IF(AND(ArtifactsInput!$M$27,Inputs!$B$4="Chapter Hunt"),CHOOSE(ArtifactsInput!$N$27+1,20,24,28,32,36,40),0)/100)))+1)),0)</f>
        <v/>
      </c>
      <c r="S2103">
        <f>IF(C2103,H2103*N2103*IF(AND(Inputs!$B$39&lt;&gt;"pvp",Inputs!$B$44&gt;0),((Skills!F7*((R2103-1)*IF(Skills!G7&gt;0,Skills!H7/Skills!G7,1)+IF(Skills!G7&gt;0,MIN(Skills!H7,MAX(0,MAX(0,Inputs!$B$44-B2135)-((R2103-1)*(IF(Inputs!$B$39="pvp",15,MAX(0.1,Skills!D7-IF(Skills!E6=TRUE,Inputs!$B$33,0)))*(1-IF(AND(ArtifactsInput!$M$27,Inputs!$B$4="Chapter Hunt"),CHOOSE(ArtifactsInput!$N$27+1,20,24,28,32,36,40),0)/100)))))/Skills!G7,1)))/Inputs!$B$44),G2103*Q2103)*IF(Inputs!$B$39="pvp",1,1+(Inputs!$B$21+Skills!O7+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t="n">
        <v>0</v>
      </c>
    </row>
    <row r="2104">
      <c r="A2104">
        <f>Skills!A8</f>
        <v/>
      </c>
      <c r="B2104">
        <f>Skills!B8</f>
        <v/>
      </c>
      <c r="C2104">
        <f>Inputs!$B$3&gt;=105</f>
        <v/>
      </c>
      <c r="D2104">
        <f>IF(Skills!C8=1,60+Inputs!$B$26+Inputs!$B$30,IF(Skills!C8=2,90+Inputs!$B$27+Inputs!$B$30,IF(Skills!C8=3,120+Inputs!$B$28+Inputs!$B$30,MAX(0,(Inputs!$B$3-100)*3)+Inputs!$B$29+Inputs!$B$30)))</f>
        <v/>
      </c>
      <c r="E2104">
        <f>INDEX(FactorTable!$B$2:$Y$301, MATCH(ROUND(MIN(300,MAX(1,D2104)),0), FactorTable!$A$2:$A$301,0), Skills!L8+1)</f>
        <v/>
      </c>
      <c r="F2104">
        <f>IF(Skills!M8=TRUE,(Skills!K8/10)*(E2104/1000),Skills!K8/10)+Skills!N8</f>
        <v/>
      </c>
      <c r="G2104">
        <f>Calc!G8</f>
        <v/>
      </c>
      <c r="H2104">
        <f>Calc!H8</f>
        <v/>
      </c>
      <c r="I2104">
        <f>IF(Skills!T8&lt;&gt;"",1+(Skills!T8/10)*($Z$3/1000)/100,1)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8="TRIUMPH_FEATHER",IF(C2112=TRUE,F2112,0),0)/100)*(1+IF(C2123=TRUE,F2123,0)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2104)</f>
        <v/>
      </c>
      <c r="L2104">
        <f>K2104*(MIN(Inputs!$B$23+(F2118-Calc!F22),(Inputs!$B$24+IF(ArtifactsInput!$M$15,CHOOSE(ArtifactsInput!$N$15+1,25,30,35,40,45,50)/100*(Inputs!$B$12-Inputs!$B$12),0)))/100+(Inputs!$B$24+IF(ArtifactsInput!$M$15,CHOOSE(ArtifactsInput!$N$15+1,25,30,35,40,45,50)/100*(Inputs!$B$12-Inputs!$B$12),0))/100)/2</f>
        <v/>
      </c>
      <c r="M2104">
        <f>L2104*(1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IF(B2138=0,0,O2104/B2138)</f>
        <v/>
      </c>
      <c r="Q2104">
        <f>IFERROR(1/(IF(Inputs!$B$39="pvp",15,MAX(0.1,Skills!D8-IF(Skills!E8=TRUE,Inputs!$B$33,0)))*(1-IF(AND(ArtifactsInput!$M$27,Inputs!$B$4="Chapter Hunt"),CHOOSE(ArtifactsInput!$N$27+1,20,24,28,32,36,40),0)/100)),0)</f>
        <v/>
      </c>
      <c r="R2104">
        <f>IF(AND(Inputs!$B$39&lt;&gt;"pvp",Inputs!$B$44&gt;0),IF(MAX(0,Inputs!$B$44-B2135)&lt;=0,0,(INT(MAX(0,Inputs!$B$44-B2135)/(IF(Inputs!$B$39="pvp",15,MAX(0.1,Skills!D8-IF(Skills!E8=TRUE,Inputs!$B$33,0)))*(1-IF(AND(ArtifactsInput!$M$27,Inputs!$B$4="Chapter Hunt"),CHOOSE(ArtifactsInput!$N$27+1,20,24,28,32,36,40),0)/100)))+1)),0)</f>
        <v/>
      </c>
      <c r="S2104">
        <f>IF(C2104,(H2104*N2104*IF(AND(Inputs!$B$39&lt;&gt;"pvp",Inputs!$B$44&gt;0),((Skills!F8*((R2104-1)*IF(Skills!G8&gt;0,Skills!H8/Skills!G8,1)+IF(Skills!G8&gt;0,MIN(Skills!H8,MAX(0,MAX(0,Inputs!$B$44-B2135)-((R2104-1)*(IF(Inputs!$B$39="pvp",15,MAX(0.1,Skills!D8-IF(Skills!E8=TRUE,Inputs!$B$33,0)))*(1-IF(AND(ArtifactsInput!$M$27,Inputs!$B$4="Chapter Hunt"),CHOOSE(ArtifactsInput!$N$27+1,20,24,28,32,36,40),0)/100)))))/Skills!G8,1)))/Inputs!$B$44),G2104*Q2104))*IF(Inputs!$B$39="pvp",1,1+(Inputs!$B$21+Skills!O8+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f>IF(C2104,(H2104*N2104*IF(AND(Inputs!$B$39&lt;&gt;"pvp",Inputs!$B$44&gt;0),((Skills!F8*((R2104-1)*IF(Skills!G8&gt;0,Skills!H8/Skills!G8,1)+IF(Skills!G8&gt;0,MIN(Skills!H8,MAX(0,MAX(0,Inputs!$B$44-B2135)-((R2104-1)*(IF(Inputs!$B$39="pvp",15,MAX(0.1,Skills!D8-IF(Skills!E8=TRUE,Inputs!$B$33,0)))*(1-IF(AND(ArtifactsInput!$M$27,Inputs!$B$4="Chapter Hunt"),CHOOSE(ArtifactsInput!$N$27+1,20,24,28,32,36,40),0)/100)))))/Skills!G8,1)))/Inputs!$B$44),G2104*Q2104))*IF(Inputs!$B$39="pvp",1,(1+(Inputs!$B$22+Skills!P8+B2127+(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5">
      <c r="A2105">
        <f>Skills!A9</f>
        <v/>
      </c>
      <c r="B2105">
        <f>Skills!B9</f>
        <v/>
      </c>
      <c r="C2105">
        <f>Inputs!$B$3&gt;=115</f>
        <v/>
      </c>
      <c r="D2105">
        <f>IF(Skills!C9=1,60+Inputs!$B$26+Inputs!$B$30,IF(Skills!C9=2,90+Inputs!$B$27+Inputs!$B$30,IF(Skills!C9=3,120+Inputs!$B$28+Inputs!$B$30,MAX(0,(Inputs!$B$3-100)*3)+Inputs!$B$29+Inputs!$B$30)))</f>
        <v/>
      </c>
      <c r="E2105">
        <f>INDEX(FactorTable!$B$2:$Y$301, MATCH(ROUND(MIN(300,MAX(1,D2105)),0), FactorTable!$A$2:$A$301,0), Skills!L9+1)</f>
        <v/>
      </c>
      <c r="F2105">
        <f>IF(Skills!M9=TRUE,(Skills!K9/10)*(E2105/1000),Skills!K9/10)+Skills!N9</f>
        <v/>
      </c>
      <c r="G2105">
        <f>Calc!G9</f>
        <v/>
      </c>
      <c r="H2105">
        <f>Calc!H9</f>
        <v/>
      </c>
      <c r="I2105">
        <f>IF(Skills!T9&lt;&gt;"",1+(Skills!T9/10)*($Z$3/1000)/100,1)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9="TRIUMPH_FEATHER",IF(C2112=TRUE,F2112,0),0)/100)*(1+IF(C2123=TRUE,F2123,0)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2105)</f>
        <v/>
      </c>
      <c r="L2105">
        <f>K2105*(MIN(Inputs!$B$23+(F2118-Calc!F22),(Inputs!$B$24+IF(ArtifactsInput!$M$15,CHOOSE(ArtifactsInput!$N$15+1,25,30,35,40,45,50)/100*(Inputs!$B$12-Inputs!$B$12),0)))/100+(Inputs!$B$24+IF(ArtifactsInput!$M$15,CHOOSE(ArtifactsInput!$N$15+1,25,30,35,40,45,50)/100*(Inputs!$B$12-Inputs!$B$12),0))/100)/2</f>
        <v/>
      </c>
      <c r="M2105">
        <f>L2105*(1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IF(B2138=0,0,O2105/B2138)</f>
        <v/>
      </c>
      <c r="Q2105">
        <f>IFERROR(1/(IF(Inputs!$B$39="pvp",15,MAX(0.1,Skills!D9-IF(Skills!E9=TRUE,Inputs!$B$33,0)))*(1-IF(AND(ArtifactsInput!$M$27,Inputs!$B$4="Chapter Hunt"),CHOOSE(ArtifactsInput!$N$27+1,20,24,28,32,36,40),0)/100)),0)</f>
        <v/>
      </c>
      <c r="R2105">
        <f>IF(AND(Inputs!$B$39&lt;&gt;"pvp",Inputs!$B$44&gt;0),IF(MAX(0,Inputs!$B$44-B2135)&lt;=0,0,(INT(MAX(0,Inputs!$B$44-B2135)/(IF(Inputs!$B$39="pvp",15,MAX(0.1,Skills!D9-IF(Skills!E9=TRUE,Inputs!$B$33,0)))*(1-IF(AND(ArtifactsInput!$M$27,Inputs!$B$4="Chapter Hunt"),CHOOSE(ArtifactsInput!$N$27+1,20,24,28,32,36,40),0)/100)))+1)),0)</f>
        <v/>
      </c>
      <c r="S2105">
        <f>IF(C2105,(H2105*N2105*IF(AND(Inputs!$B$39&lt;&gt;"pvp",Inputs!$B$44&gt;0),((Skills!F9*((R2105-1)*IF(Skills!G9&gt;0,Skills!H9/Skills!G9,1)+IF(Skills!G9&gt;0,MIN(Skills!H9,MAX(0,MAX(0,Inputs!$B$44-B2135)-((R2105-1)*(IF(Inputs!$B$39="pvp",15,MAX(0.1,Skills!D9-IF(Skills!E9=TRUE,Inputs!$B$33,0)))*(1-IF(AND(ArtifactsInput!$M$27,Inputs!$B$4="Chapter Hunt"),CHOOSE(ArtifactsInput!$N$27+1,20,24,28,32,36,40),0)/100)))))/Skills!G9,1)))/Inputs!$B$44),G2105*Q2105))*IF(Inputs!$B$39="pvp",1,1+(Inputs!$B$21+Skills!O9+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9*((R2105-1)*IF(Skills!G9&gt;0,Skills!H9/Skills!G9,1)+IF(Skills!G9&gt;0,MIN(Skills!H9,MAX(0,MAX(0,Inputs!$B$44-B2135)-((R2105-1)*(IF(Inputs!$B$39="pvp",15,MAX(0.1,Skills!D9-IF(Skills!E9=TRUE,Inputs!$B$33,0)))*(1-IF(AND(ArtifactsInput!$M$27,Inputs!$B$4="Chapter Hunt"),CHOOSE(ArtifactsInput!$N$27+1,20,24,28,32,36,40),0)/100)))))/Skills!G9,1)))/Inputs!$B$44),G2105*Q2105))*IF(Inputs!$B$39="pvp",1,(1+(Inputs!$B$22+Skills!P9+B2127+(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Skills!A10</f>
        <v/>
      </c>
      <c r="B2106">
        <f>Skills!B10</f>
        <v/>
      </c>
      <c r="C2106">
        <f>Inputs!$B$3&gt;=66</f>
        <v/>
      </c>
      <c r="D2106">
        <f>IF(Skills!C10=1,60+Inputs!$B$26+Inputs!$B$30,IF(Skills!C10=2,90+Inputs!$B$27+Inputs!$B$30,IF(Skills!C10=3,120+Inputs!$B$28+Inputs!$B$30,MAX(0,(Inputs!$B$3-100)*3)+Inputs!$B$29+Inputs!$B$30)))</f>
        <v/>
      </c>
      <c r="E2106">
        <f>INDEX(FactorTable!$B$2:$Y$301, MATCH(ROUND(MIN(300,MAX(1,D2106)),0), FactorTable!$A$2:$A$301,0), Skills!L10+1)</f>
        <v/>
      </c>
      <c r="F2106" t="n">
        <v>0</v>
      </c>
      <c r="G2106">
        <f>Calc!G10</f>
        <v/>
      </c>
      <c r="H2106">
        <f>Calc!H10</f>
        <v/>
      </c>
      <c r="I2106">
        <f>IF(Skills!T10&lt;&gt;"",1+(Skills!T10/10)*($Z$3/1000)/100,1)</f>
        <v/>
      </c>
      <c r="J2106" t="inlineStr"/>
      <c r="K2106" t="inlineStr"/>
      <c r="L2106" t="inlineStr"/>
      <c r="M2106" t="inlineStr"/>
      <c r="N2106" t="inlineStr"/>
      <c r="O2106">
        <f>(1-Summary!$B$11)*S2106+Summary!$B$11*U2106</f>
        <v/>
      </c>
      <c r="P2106">
        <f>IF(B2138=0,0,O2106/B2138)</f>
        <v/>
      </c>
      <c r="Q2106">
        <f>IFERROR(1/(IF(Inputs!$B$39="pvp",15,MAX(0.1,Skills!D10-IF(Skills!E10=TRUE,Inputs!$B$33,0)))*(1-IF(AND(ArtifactsInput!$M$27,Inputs!$B$4="Chapter Hunt"),CHOOSE(ArtifactsInput!$N$27+1,20,24,28,32,36,40),0)/100)),0)</f>
        <v/>
      </c>
      <c r="R2106">
        <f>IF(AND(Inputs!$B$39&lt;&gt;"pvp",Inputs!$B$44&gt;0),IF(MAX(0,Inputs!$B$44-B2135)&lt;=0,0,(INT(MAX(0,Inputs!$B$44-B2135)/(IF(Inputs!$B$39="pvp",15,MAX(0.1,Skills!D10-IF(Skills!E10=TRUE,Inputs!$B$33,0)))*(1-IF(AND(ArtifactsInput!$M$27,Inputs!$B$4="Chapter Hunt"),CHOOSE(ArtifactsInput!$N$27+1,20,24,28,32,36,40),0)/100)))+1)),0)</f>
        <v/>
      </c>
      <c r="S2106" t="n">
        <v>0</v>
      </c>
      <c r="U2106" t="n">
        <v>0</v>
      </c>
    </row>
    <row r="2107">
      <c r="A2107">
        <f>Skills!A11</f>
        <v/>
      </c>
      <c r="B2107">
        <f>Skills!B11</f>
        <v/>
      </c>
      <c r="C2107">
        <f>Inputs!$B$3&gt;=69</f>
        <v/>
      </c>
      <c r="D2107">
        <f>IF(Skills!C11=1,60+Inputs!$B$26+Inputs!$B$30,IF(Skills!C11=2,90+Inputs!$B$27+Inputs!$B$30,IF(Skills!C11=3,120+Inputs!$B$28+Inputs!$B$30,MAX(0,(Inputs!$B$3-100)*3)+Inputs!$B$29+Inputs!$B$30)))</f>
        <v/>
      </c>
      <c r="E2107">
        <f>INDEX(FactorTable!$B$2:$Y$301, MATCH(ROUND(MIN(300,MAX(1,D2107)),0), FactorTable!$A$2:$A$301,0), Skills!L11+1)</f>
        <v/>
      </c>
      <c r="F2107">
        <f>IF(Skills!M11=TRUE,(Skills!K11/10)*(E2107/1000),Skills!K11/10)+Skills!N11</f>
        <v/>
      </c>
      <c r="G2107">
        <f>Calc!G11</f>
        <v/>
      </c>
      <c r="H2107">
        <f>Calc!H11</f>
        <v/>
      </c>
      <c r="I2107">
        <f>IF(Skills!T11&lt;&gt;"",1+(Skills!T11/10)*($Z$3/1000)/100,1)</f>
        <v/>
      </c>
      <c r="J2107" t="inlineStr"/>
      <c r="K2107" t="inlineStr"/>
      <c r="L2107" t="inlineStr"/>
      <c r="M2107" t="inlineStr"/>
      <c r="N2107" t="inlineStr"/>
      <c r="O2107">
        <f>(1-Summary!$B$11)*S2107+Summary!$B$11*U2107</f>
        <v/>
      </c>
      <c r="P2107">
        <f>IF(B2138=0,0,O2107/B2138)</f>
        <v/>
      </c>
      <c r="Q2107">
        <f>IFERROR(1/(IF(Inputs!$B$39="pvp",15,MAX(0.1,Skills!D11-IF(Skills!E11=TRUE,Inputs!$B$33,0)))*(1-IF(AND(ArtifactsInput!$M$27,Inputs!$B$4="Chapter Hunt"),CHOOSE(ArtifactsInput!$N$27+1,20,24,28,32,36,40),0)/100)),0)</f>
        <v/>
      </c>
      <c r="R2107">
        <f>IF(AND(Inputs!$B$39&lt;&gt;"pvp",Inputs!$B$44&gt;0),IF(Inputs!$B$44&lt;=0,0,(INT(Inputs!$B$44/(IF(Inputs!$B$39="pvp",15,MAX(0.1,Skills!D11-IF(Skills!E11=TRUE,Inputs!$B$33,0)))*(1-IF(AND(ArtifactsInput!$M$27,Inputs!$B$4="Chapter Hunt"),CHOOSE(ArtifactsInput!$N$27+1,20,24,28,32,36,40),0)/100)))+1)),0)</f>
        <v/>
      </c>
      <c r="S2107" t="n">
        <v>0</v>
      </c>
      <c r="U2107" t="n">
        <v>0</v>
      </c>
    </row>
    <row r="2108">
      <c r="A2108">
        <f>Skills!A12</f>
        <v/>
      </c>
      <c r="B2108">
        <f>Skills!B12</f>
        <v/>
      </c>
      <c r="C2108">
        <f>Inputs!$B$3&gt;=72</f>
        <v/>
      </c>
      <c r="D2108">
        <f>IF(Skills!C12=1,60+Inputs!$B$26+Inputs!$B$30,IF(Skills!C12=2,90+Inputs!$B$27+Inputs!$B$30,IF(Skills!C12=3,120+Inputs!$B$28+Inputs!$B$30,MAX(0,(Inputs!$B$3-100)*3)+Inputs!$B$29+Inputs!$B$30)))</f>
        <v/>
      </c>
      <c r="E2108">
        <f>INDEX(FactorTable!$B$2:$Y$301, MATCH(ROUND(MIN(300,MAX(1,D2108)),0), FactorTable!$A$2:$A$301,0), Skills!L12+1)</f>
        <v/>
      </c>
      <c r="F2108">
        <f>IF(Skills!M12=TRUE,(Skills!K12/10)*(E2108/1000),Skills!K12/10)+Skills!N12</f>
        <v/>
      </c>
      <c r="G2108">
        <f>Calc!G12</f>
        <v/>
      </c>
      <c r="H2108">
        <f>Calc!H12</f>
        <v/>
      </c>
      <c r="I2108">
        <f>IF(Skills!T12&lt;&gt;"",1+(Skills!T12/10)*($Z$3/1000)/100,1)</f>
        <v/>
      </c>
      <c r="J2108" t="inlineStr"/>
      <c r="K2108" t="inlineStr"/>
      <c r="L2108" t="inlineStr"/>
      <c r="M2108" t="inlineStr"/>
      <c r="N2108" t="inlineStr"/>
      <c r="O2108">
        <f>(1-Summary!$B$11)*S2108+Summary!$B$11*U2108</f>
        <v/>
      </c>
      <c r="P2108">
        <f>IF(B2138=0,0,O2108/B2138)</f>
        <v/>
      </c>
      <c r="Q2108">
        <f>IFERROR(1/(IF(Inputs!$B$39="pvp",15,MAX(0.1,Skills!D12-IF(Skills!E12=TRUE,Inputs!$B$33,0)))*(1-IF(AND(ArtifactsInput!$M$27,Inputs!$B$4="Chapter Hunt"),CHOOSE(ArtifactsInput!$N$27+1,20,24,28,32,36,40),0)/100)),0)</f>
        <v/>
      </c>
      <c r="R2108">
        <f>IF(AND(Inputs!$B$39&lt;&gt;"pvp",Inputs!$B$44&gt;0),IF(MAX(0,Inputs!$B$44-B2135)&lt;=0,0,(INT(MAX(0,Inputs!$B$44-B2135)/(IF(Inputs!$B$39="pvp",15,MAX(0.1,Skills!D12-IF(Skills!E12=TRUE,Inputs!$B$33,0)))*(1-IF(AND(ArtifactsInput!$M$27,Inputs!$B$4="Chapter Hunt"),CHOOSE(ArtifactsInput!$N$27+1,20,24,28,32,36,40),0)/100)))+1)),0)</f>
        <v/>
      </c>
      <c r="S2108" t="n">
        <v>0</v>
      </c>
      <c r="U2108" t="n">
        <v>0</v>
      </c>
    </row>
    <row r="2109">
      <c r="A2109">
        <f>Skills!A13</f>
        <v/>
      </c>
      <c r="B2109">
        <f>Skills!B13</f>
        <v/>
      </c>
      <c r="C2109">
        <f>Inputs!$B$3&gt;=60</f>
        <v/>
      </c>
      <c r="D2109">
        <f>IF(Skills!C13=1,60+Inputs!$B$26+Inputs!$B$30,IF(Skills!C13=2,90+Inputs!$B$27+Inputs!$B$30,IF(Skills!C13=3,120+Inputs!$B$28+Inputs!$B$30,MAX(0,(Inputs!$B$3-100)*3)+Inputs!$B$29+Inputs!$B$30)))</f>
        <v/>
      </c>
      <c r="E2109">
        <f>INDEX(FactorTable!$B$2:$Y$301, MATCH(ROUND(MIN(300,MAX(1,D2109)),0), FactorTable!$A$2:$A$301,0), Skills!L13+1)</f>
        <v/>
      </c>
      <c r="F2109">
        <f>IF(Skills!M13=TRUE,(Skills!K13/10)*(E2109/1000),Skills!K13/10)+Skills!N13</f>
        <v/>
      </c>
      <c r="G2109">
        <f>Calc!G13</f>
        <v/>
      </c>
      <c r="H2109">
        <f>Calc!H13</f>
        <v/>
      </c>
      <c r="I2109">
        <f>IF(Skills!T13&lt;&gt;"",1+(Skills!T13/10)*($Z$3/1000)/100,1)</f>
        <v/>
      </c>
      <c r="J2109" t="inlineStr"/>
      <c r="K2109" t="inlineStr"/>
      <c r="L2109" t="inlineStr"/>
      <c r="M2109" t="inlineStr"/>
      <c r="N2109" t="inlineStr"/>
      <c r="O2109">
        <f>(1-Summary!$B$11)*S2109+Summary!$B$11*U2109</f>
        <v/>
      </c>
      <c r="P2109">
        <f>IF(B2138=0,0,O2109/B2138)</f>
        <v/>
      </c>
      <c r="Q2109">
        <f>IFERROR(1/(IF(Inputs!$B$39="pvp",15,MAX(0.1,Skills!D13-IF(Skills!E13=TRUE,Inputs!$B$33,0)))*(1-IF(AND(ArtifactsInput!$M$27,Inputs!$B$4="Chapter Hunt"),CHOOSE(ArtifactsInput!$N$27+1,20,24,28,32,36,40),0)/100)),0)</f>
        <v/>
      </c>
      <c r="R2109">
        <f>IF(AND(Inputs!$B$39&lt;&gt;"pvp",Inputs!$B$44&gt;0),IF(MAX(0,Inputs!$B$44-B2135)&lt;=0,0,(INT(MAX(0,Inputs!$B$44-B2135)/(IF(Inputs!$B$39="pvp",15,MAX(0.1,Skills!D13-IF(Skills!E13=TRUE,Inputs!$B$33,0)))*(1-IF(AND(ArtifactsInput!$M$27,Inputs!$B$4="Chapter Hunt"),CHOOSE(ArtifactsInput!$N$27+1,20,24,28,32,36,40),0)/100)))+1)),0)</f>
        <v/>
      </c>
      <c r="S2109" t="n">
        <v>0</v>
      </c>
      <c r="U2109" t="n">
        <v>0</v>
      </c>
    </row>
    <row r="2110">
      <c r="A2110">
        <f>Skills!A14</f>
        <v/>
      </c>
      <c r="B2110">
        <f>Skills!B14</f>
        <v/>
      </c>
      <c r="C2110">
        <f>Inputs!$B$3&gt;=107</f>
        <v/>
      </c>
      <c r="D2110">
        <f>IF(Skills!C14=1,60+Inputs!$B$26+Inputs!$B$30,IF(Skills!C14=2,90+Inputs!$B$27+Inputs!$B$30,IF(Skills!C14=3,120+Inputs!$B$28+Inputs!$B$30,MAX(0,(Inputs!$B$3-100)*3)+Inputs!$B$29+Inputs!$B$30)))</f>
        <v/>
      </c>
      <c r="E2110">
        <f>INDEX(FactorTable!$B$2:$Y$301, MATCH(ROUND(MIN(300,MAX(1,D2110)),0), FactorTable!$A$2:$A$301,0), Skills!L14+1)</f>
        <v/>
      </c>
      <c r="F2110">
        <f>IF(Skills!M14=TRUE,(Skills!K14/10)*(E2110/1000),Skills!K14/10)+Skills!N14</f>
        <v/>
      </c>
      <c r="G2110">
        <f>Calc!G14</f>
        <v/>
      </c>
      <c r="H2110">
        <f>Calc!H14</f>
        <v/>
      </c>
      <c r="I2110">
        <f>IF(Skills!T14&lt;&gt;"",1+(Skills!T14/10)*($Z$3/1000)/100,1)</f>
        <v/>
      </c>
      <c r="J2110" t="inlineStr"/>
      <c r="K2110" t="inlineStr"/>
      <c r="L2110" t="inlineStr"/>
      <c r="M2110" t="inlineStr"/>
      <c r="N2110" t="inlineStr"/>
      <c r="O2110">
        <f>(1-Summary!$B$11)*S2110+Summary!$B$11*U2110</f>
        <v/>
      </c>
      <c r="P2110">
        <f>IF(B2138=0,0,O2110/B2138)</f>
        <v/>
      </c>
      <c r="Q2110">
        <f>IFERROR(1/(IF(Inputs!$B$39="pvp",15,MAX(0.1,Skills!D14-IF(Skills!E14=TRUE,Inputs!$B$33,0)))*(1-IF(AND(ArtifactsInput!$M$27,Inputs!$B$4="Chapter Hunt"),CHOOSE(ArtifactsInput!$N$27+1,20,24,28,32,36,40),0)/100)),0)</f>
        <v/>
      </c>
      <c r="R2110">
        <f>IF(AND(Inputs!$B$39&lt;&gt;"pvp",Inputs!$B$44&gt;0),IF(Inputs!$B$44&lt;=0,0,(INT(Inputs!$B$44/(IF(Inputs!$B$39="pvp",15,MAX(0.1,Skills!D14-IF(Skills!E14=TRUE,Inputs!$B$33,0)))*(1-IF(AND(ArtifactsInput!$M$27,Inputs!$B$4="Chapter Hunt"),CHOOSE(ArtifactsInput!$N$27+1,20,24,28,32,36,40),0)/100)))+1)),0)</f>
        <v/>
      </c>
      <c r="S2110" t="n">
        <v>0</v>
      </c>
      <c r="U2110" t="n">
        <v>0</v>
      </c>
    </row>
    <row r="2111">
      <c r="A2111">
        <f>Skills!A15</f>
        <v/>
      </c>
      <c r="B2111">
        <f>Skills!B15</f>
        <v/>
      </c>
      <c r="C2111">
        <f>Inputs!$B$3&gt;=63</f>
        <v/>
      </c>
      <c r="D2111">
        <f>IF(Skills!C15=1,60+Inputs!$B$26+Inputs!$B$30,IF(Skills!C15=2,90+Inputs!$B$27+Inputs!$B$30,IF(Skills!C15=3,120+Inputs!$B$28+Inputs!$B$30,MAX(0,(Inputs!$B$3-100)*3)+Inputs!$B$29+Inputs!$B$30)))</f>
        <v/>
      </c>
      <c r="E2111">
        <f>INDEX(FactorTable!$B$2:$Y$301, MATCH(ROUND(MIN(300,MAX(1,D2111)),0), FactorTable!$A$2:$A$301,0), Skills!L15+1)</f>
        <v/>
      </c>
      <c r="F2111">
        <f>IF(Skills!M15=TRUE,(Skills!K15/10)*(E2111/1000),Skills!K15/10)+Skills!N15</f>
        <v/>
      </c>
      <c r="G2111">
        <f>Calc!G15</f>
        <v/>
      </c>
      <c r="H2111">
        <f>Calc!H15</f>
        <v/>
      </c>
      <c r="I2111">
        <f>IF(Skills!T15&lt;&gt;"",1+(Skills!T15/10)*($Z$3/1000)/100,1)</f>
        <v/>
      </c>
      <c r="J2111">
        <f>((Inputs!$B$6*(1+Inputs!$B$7/100))+(((Inputs!$B$13*(1+Inputs!$B$14/100))-(Inputs!$B$13*(1+Inputs!$B$14/100)))+0.25*(Inputs!$B$15-Inputs!$B$15))*(1+Inputs!$B$7/100))*(F2111/100)</f>
        <v/>
      </c>
      <c r="K2111">
        <f>J2111*(1+(((Inputs!$B$13+IF(Inputs!$B$3&gt;=35,(10*INDEX(FactorTable!$B$2:$Y$301,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15="TRIUMPH_FEATHER",IF(C2112=TRUE,F2112,0),0)/100)*(1+IF(C2123=TRUE,F2123,0)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2111)</f>
        <v/>
      </c>
      <c r="L2111">
        <f>K2111*(MIN(Inputs!$B$23+(F2118-Calc!F22),(Inputs!$B$24+IF(ArtifactsInput!$M$15,CHOOSE(ArtifactsInput!$N$15+1,25,30,35,40,45,50)/100*(Inputs!$B$12-Inputs!$B$12),0)))/100+(Inputs!$B$24+IF(ArtifactsInput!$M$15,CHOOSE(ArtifactsInput!$N$15+1,25,30,35,40,45,50)/100*(Inputs!$B$12-Inputs!$B$12),0))/100)/2</f>
        <v/>
      </c>
      <c r="M2111">
        <f>L2111*(1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1">
        <f>L2111*(1-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1">
        <f>(1-Summary!$B$11)*S2111+Summary!$B$11*U2111</f>
        <v/>
      </c>
      <c r="P2111">
        <f>IF(B2138=0,0,O2111/B2138)</f>
        <v/>
      </c>
      <c r="Q2111">
        <f>IFERROR(1/(IF(Inputs!$B$39="pvp",15,MAX(0.1,Skills!D15-IF(Skills!E15=TRUE,Inputs!$B$33,0)))*(1-IF(AND(ArtifactsInput!$M$27,Inputs!$B$4="Chapter Hunt"),CHOOSE(ArtifactsInput!$N$27+1,20,24,28,32,36,40),0)/100)),0)</f>
        <v/>
      </c>
      <c r="R2111" t="n">
        <v>0</v>
      </c>
      <c r="S2111">
        <f>IF(C2111,(Skills!F15*N2111*((IF(Inputs!$B$3&gt;=78,25,15)/100*B2131*10)/(1+IF(Inputs!$B$3&gt;=78,25,15)/100*B2131*10))*(Skills!I15/100*B2131)/(1+Skills!G15*Skills!I15/100*B2131))*IF(Inputs!$B$39="pvp",1,1+(Inputs!$B$21+Skills!O15+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1">
        <f>IF(C2111,(Skills!F15*N2111*((IF(Inputs!$B$3&gt;=78,25,15)/100*B2131*10)/(1+IF(Inputs!$B$3&gt;=78,25,15)/100*B2131*10))*(Skills!I15/100*B2131)/(1+Skills!G15*Skills!I15/100*B2131))*IF(Inputs!$B$39="pvp",1,(1+(Inputs!$B$22+Skills!P15+B2127+(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2">
      <c r="A2112">
        <f>Skills!A16</f>
        <v/>
      </c>
      <c r="B2112">
        <f>Skills!B16</f>
        <v/>
      </c>
      <c r="C2112">
        <f>Inputs!$B$3&gt;=100</f>
        <v/>
      </c>
      <c r="D2112">
        <f>IF(Skills!C16=1,60+Inputs!$B$26+Inputs!$B$30,IF(Skills!C16=2,90+Inputs!$B$27+Inputs!$B$30,IF(Skills!C16=3,120+Inputs!$B$28+Inputs!$B$30,MAX(0,(Inputs!$B$3-100)*3)+Inputs!$B$29+Inputs!$B$30)))</f>
        <v/>
      </c>
      <c r="E2112">
        <f>INDEX(FactorTable!$B$2:$Y$301, MATCH(ROUND(MIN(300,MAX(1,D2112)),0), FactorTable!$A$2:$A$301,0), Skills!L16+1)</f>
        <v/>
      </c>
      <c r="F2112">
        <f>IF(Skills!M16=TRUE,(Skills!K16/10)*(E2112/1000),Skills!K16/10)+Skills!N16</f>
        <v/>
      </c>
      <c r="G2112">
        <f>Calc!G16</f>
        <v/>
      </c>
      <c r="H2112">
        <f>Calc!H16</f>
        <v/>
      </c>
      <c r="I2112">
        <f>IF(Skills!T16&lt;&gt;"",1+(Skills!T16/10)*($Z$3/1000)/100,1)</f>
        <v/>
      </c>
      <c r="J2112" t="inlineStr"/>
      <c r="K2112" t="inlineStr"/>
      <c r="L2112" t="inlineStr"/>
      <c r="M2112" t="inlineStr"/>
      <c r="N2112" t="inlineStr"/>
      <c r="O2112">
        <f>(1-Summary!$B$11)*S2112+Summary!$B$11*U2112</f>
        <v/>
      </c>
      <c r="P2112">
        <f>IF(B2138=0,0,O2112/B2138)</f>
        <v/>
      </c>
      <c r="Q2112">
        <f>IFERROR(1/(IF(Inputs!$B$39="pvp",15,MAX(0.1,Skills!D16-IF(Skills!E16=TRUE,Inputs!$B$33,0)))*(1-IF(AND(ArtifactsInput!$M$27,Inputs!$B$4="Chapter Hunt"),CHOOSE(ArtifactsInput!$N$27+1,20,24,28,32,36,40),0)/100)),0)</f>
        <v/>
      </c>
      <c r="R2112" t="n">
        <v>0</v>
      </c>
      <c r="S2112" t="n">
        <v>0</v>
      </c>
      <c r="U2112" t="n">
        <v>0</v>
      </c>
    </row>
    <row r="2113">
      <c r="A2113">
        <f>Skills!A17</f>
        <v/>
      </c>
      <c r="B2113">
        <f>Skills!B17</f>
        <v/>
      </c>
      <c r="C2113">
        <f>Inputs!$B$3&gt;=49</f>
        <v/>
      </c>
      <c r="D2113">
        <f>IF(Skills!C17=1,60+Inputs!$B$26+Inputs!$B$30,IF(Skills!C17=2,90+Inputs!$B$27+Inputs!$B$30,IF(Skills!C17=3,120+Inputs!$B$28+Inputs!$B$30,MAX(0,(Inputs!$B$3-100)*3)+Inputs!$B$29+Inputs!$B$30)))</f>
        <v/>
      </c>
      <c r="E2113">
        <f>INDEX(FactorTable!$B$2:$Y$301, MATCH(ROUND(MIN(300,MAX(1,D2113)),0), FactorTable!$A$2:$A$301,0), Skills!L17+1)</f>
        <v/>
      </c>
      <c r="F2113">
        <f>IF(Skills!M17=TRUE,(Skills!K17/10)*(E2113/1000),Skills!K17/10)+Skills!N17</f>
        <v/>
      </c>
      <c r="G2113">
        <f>Calc!G17</f>
        <v/>
      </c>
      <c r="H2113">
        <f>Calc!H17</f>
        <v/>
      </c>
      <c r="I2113">
        <f>IF(Skills!T17&lt;&gt;"",1+(Skills!T17/10)*($Z$3/1000)/100,1)</f>
        <v/>
      </c>
      <c r="J2113" t="inlineStr"/>
      <c r="K2113" t="inlineStr"/>
      <c r="L2113" t="inlineStr"/>
      <c r="M2113" t="inlineStr"/>
      <c r="N2113" t="inlineStr"/>
      <c r="O2113">
        <f>(1-Summary!$B$11)*S2113+Summary!$B$11*U2113</f>
        <v/>
      </c>
      <c r="P2113">
        <f>IF(B2138=0,0,O2113/B2138)</f>
        <v/>
      </c>
      <c r="Q2113">
        <f>IFERROR(1/(IF(Inputs!$B$39="pvp",15,MAX(0.1,Skills!D17-IF(Skills!E17=TRUE,Inputs!$B$33,0)))*(1-IF(AND(ArtifactsInput!$M$27,Inputs!$B$4="Chapter Hunt"),CHOOSE(ArtifactsInput!$N$27+1,20,24,28,32,36,40),0)/100)),0)</f>
        <v/>
      </c>
      <c r="R2113" t="n">
        <v>0</v>
      </c>
      <c r="S2113" t="n">
        <v>0</v>
      </c>
      <c r="U2113" t="n">
        <v>0</v>
      </c>
    </row>
    <row r="2114">
      <c r="A2114">
        <f>Skills!A18</f>
        <v/>
      </c>
      <c r="B2114">
        <f>Skills!B18</f>
        <v/>
      </c>
      <c r="C2114">
        <f>Inputs!$B$3&gt;=75</f>
        <v/>
      </c>
      <c r="D2114">
        <f>IF(Skills!C18=1,60+Inputs!$B$26+Inputs!$B$30,IF(Skills!C18=2,90+Inputs!$B$27+Inputs!$B$30,IF(Skills!C18=3,120+Inputs!$B$28+Inputs!$B$30,MAX(0,(Inputs!$B$3-100)*3)+Inputs!$B$29+Inputs!$B$30)))</f>
        <v/>
      </c>
      <c r="E2114">
        <f>INDEX(FactorTable!$B$2:$Y$301, MATCH(ROUND(MIN(300,MAX(1,D2114)),0), FactorTable!$A$2:$A$301,0), Skills!L18+1)</f>
        <v/>
      </c>
      <c r="F2114">
        <f>IF(Skills!M18=TRUE,(Skills!K18/10)*(E2114/1000),Skills!K18/10)+Skills!N18</f>
        <v/>
      </c>
      <c r="G2114">
        <f>Calc!G18</f>
        <v/>
      </c>
      <c r="H2114">
        <f>Calc!H18</f>
        <v/>
      </c>
      <c r="I2114">
        <f>IF(Skills!T18&lt;&gt;"",1+(Skills!T18/10)*($Z$3/1000)/100,1)</f>
        <v/>
      </c>
      <c r="J2114" t="inlineStr"/>
      <c r="K2114" t="inlineStr"/>
      <c r="L2114" t="inlineStr"/>
      <c r="M2114" t="inlineStr"/>
      <c r="N2114" t="inlineStr"/>
      <c r="O2114">
        <f>(1-Summary!$B$11)*S2114+Summary!$B$11*U2114</f>
        <v/>
      </c>
      <c r="P2114">
        <f>IF(B2138=0,0,O2114/B2138)</f>
        <v/>
      </c>
      <c r="Q2114">
        <f>IFERROR(1/(IF(Inputs!$B$39="pvp",15,MAX(0.1,Skills!D18-IF(Skills!E18=TRUE,Inputs!$B$33,0)))*(1-IF(AND(ArtifactsInput!$M$27,Inputs!$B$4="Chapter Hunt"),CHOOSE(ArtifactsInput!$N$27+1,20,24,28,32,36,40),0)/100)),0)</f>
        <v/>
      </c>
      <c r="R2114" t="n">
        <v>0</v>
      </c>
      <c r="S2114" t="n">
        <v>0</v>
      </c>
      <c r="U2114" t="n">
        <v>0</v>
      </c>
    </row>
    <row r="2115">
      <c r="A2115">
        <f>Skills!A19</f>
        <v/>
      </c>
      <c r="B2115">
        <f>Skills!B19</f>
        <v/>
      </c>
      <c r="C2115">
        <f>Inputs!$B$3&gt;=110</f>
        <v/>
      </c>
      <c r="D2115">
        <f>IF(Skills!C19=1,60+Inputs!$B$26+Inputs!$B$30,IF(Skills!C19=2,90+Inputs!$B$27+Inputs!$B$30,IF(Skills!C19=3,120+Inputs!$B$28+Inputs!$B$30,MAX(0,(Inputs!$B$3-100)*3)+Inputs!$B$29+Inputs!$B$30)))</f>
        <v/>
      </c>
      <c r="E2115">
        <f>INDEX(FactorTable!$B$2:$Y$301, MATCH(ROUND(MIN(300,MAX(1,D2115)),0), FactorTable!$A$2:$A$301,0), Skills!L19+1)</f>
        <v/>
      </c>
      <c r="F2115">
        <f>(Skills!K19/10)*(E2115/1000)*64/45+Skills!N19</f>
        <v/>
      </c>
      <c r="G2115">
        <f>Calc!G19</f>
        <v/>
      </c>
      <c r="H2115">
        <f>Calc!H19</f>
        <v/>
      </c>
      <c r="I2115">
        <f>IF(Skills!T19&lt;&gt;"",1+(Skills!T19/10)*($Z$3/1000)/100,1)</f>
        <v/>
      </c>
      <c r="J2115" t="inlineStr"/>
      <c r="K2115" t="inlineStr"/>
      <c r="L2115" t="inlineStr"/>
      <c r="M2115" t="inlineStr"/>
      <c r="N2115" t="inlineStr"/>
      <c r="O2115">
        <f>(1-Summary!$B$11)*S2115+Summary!$B$11*U2115</f>
        <v/>
      </c>
      <c r="P2115">
        <f>IF(B2138=0,0,O2115/B2138)</f>
        <v/>
      </c>
      <c r="Q2115">
        <f>IFERROR(1/(IF(Inputs!$B$39="pvp",15,MAX(0.1,Skills!D19-IF(Skills!E19=TRUE,Inputs!$B$33,0)))*(1-IF(AND(ArtifactsInput!$M$27,Inputs!$B$4="Chapter Hunt"),CHOOSE(ArtifactsInput!$N$27+1,20,24,28,32,36,40),0)/100)),0)</f>
        <v/>
      </c>
      <c r="R2115">
        <f>IF(AND(Inputs!$B$39&lt;&gt;"pvp",Inputs!$B$44&gt;0),IF(Inputs!$B$44&lt;=0,0,(INT(Inputs!$B$44/(IF(Inputs!$B$39="pvp",15,MAX(0.1,Skills!D19-IF(Skills!E19=TRUE,Inputs!$B$33,0)))*(1-IF(AND(ArtifactsInput!$M$27,Inputs!$B$4="Chapter Hunt"),CHOOSE(ArtifactsInput!$N$27+1,20,24,28,32,36,40),0)/100)))+1)),0)</f>
        <v/>
      </c>
      <c r="S2115" t="n">
        <v>0</v>
      </c>
      <c r="U2115" t="n">
        <v>0</v>
      </c>
    </row>
    <row r="2116">
      <c r="A2116">
        <f>Skills!A20</f>
        <v/>
      </c>
      <c r="B2116">
        <f>Skills!B20</f>
        <v/>
      </c>
      <c r="C2116">
        <f>Inputs!$B$3&gt;=125</f>
        <v/>
      </c>
      <c r="D2116">
        <f>IF(Skills!C20=1,60+Inputs!$B$26+Inputs!$B$30,IF(Skills!C20=2,90+Inputs!$B$27+Inputs!$B$30,IF(Skills!C20=3,120+Inputs!$B$28+Inputs!$B$30,MAX(0,(Inputs!$B$3-100)*3)+Inputs!$B$29+Inputs!$B$30)))</f>
        <v/>
      </c>
      <c r="E2116">
        <f>INDEX(FactorTable!$B$2:$Y$301, MATCH(ROUND(MIN(300,MAX(1,D2116)),0), FactorTable!$A$2:$A$301,0), Skills!L20+1)</f>
        <v/>
      </c>
      <c r="F2116">
        <f>IF(Skills!M20=TRUE,(Skills!K20/10)*(E2116/1000),Skills!K20/10)+Skills!N20</f>
        <v/>
      </c>
      <c r="G2116">
        <f>Calc!G20</f>
        <v/>
      </c>
      <c r="H2116">
        <f>Calc!H20</f>
        <v/>
      </c>
      <c r="I2116">
        <f>IF(Skills!T20&lt;&gt;"",1+(Skills!T20/10)*($Z$3/1000)/100,1)</f>
        <v/>
      </c>
      <c r="J2116" t="inlineStr"/>
      <c r="K2116" t="inlineStr"/>
      <c r="L2116" t="inlineStr"/>
      <c r="M2116" t="inlineStr"/>
      <c r="N2116" t="inlineStr"/>
      <c r="O2116">
        <f>(1-Summary!$B$11)*S2116+Summary!$B$11*U2116</f>
        <v/>
      </c>
      <c r="P2116">
        <f>IF(B2138=0,0,O2116/B2138)</f>
        <v/>
      </c>
      <c r="Q2116">
        <f>IFERROR(1/(IF(Inputs!$B$39="pvp",15,MAX(0.1,Skills!D20-IF(Skills!E20=TRUE,Inputs!$B$33,0)))*(1-IF(AND(ArtifactsInput!$M$27,Inputs!$B$4="Chapter Hunt"),CHOOSE(ArtifactsInput!$N$27+1,20,24,28,32,36,40),0)/100)),0)</f>
        <v/>
      </c>
      <c r="R2116" t="n">
        <v>0</v>
      </c>
      <c r="S2116" t="n">
        <v>0</v>
      </c>
      <c r="U2116" t="n">
        <v>0</v>
      </c>
    </row>
    <row r="2117">
      <c r="A2117">
        <f>Skills!A21</f>
        <v/>
      </c>
      <c r="B2117">
        <f>Skills!B21</f>
        <v/>
      </c>
      <c r="C2117">
        <f>Inputs!$B$3&gt;=33</f>
        <v/>
      </c>
      <c r="D2117">
        <f>IF(Skills!C21=1,60+Inputs!$B$26+Inputs!$B$30,IF(Skills!C21=2,90+Inputs!$B$27+Inputs!$B$30,IF(Skills!C21=3,120+Inputs!$B$28+Inputs!$B$30,MAX(0,(Inputs!$B$3-100)*3)+Inputs!$B$29+Inputs!$B$30)))</f>
        <v/>
      </c>
      <c r="E2117">
        <f>INDEX(FactorTable!$B$2:$Y$301, MATCH(ROUND(MIN(300,MAX(1,D2117)),0), FactorTable!$A$2:$A$301,0), Skills!L21+1)</f>
        <v/>
      </c>
      <c r="F2117">
        <f>IF(Skills!M21=TRUE,(Skills!K21/10)*(E2117/1000),Skills!K21/10)+Skills!N21</f>
        <v/>
      </c>
      <c r="G2117">
        <f>Calc!G21</f>
        <v/>
      </c>
      <c r="H2117">
        <f>Calc!H21</f>
        <v/>
      </c>
      <c r="I2117">
        <f>IF(Skills!T21&lt;&gt;"",1+(Skills!T21/10)*($Z$3/1000)/100,1)</f>
        <v/>
      </c>
      <c r="J2117" t="inlineStr"/>
      <c r="K2117" t="inlineStr"/>
      <c r="L2117" t="inlineStr"/>
      <c r="M2117" t="inlineStr"/>
      <c r="N2117" t="inlineStr"/>
      <c r="O2117">
        <f>(1-Summary!$B$11)*S2117+Summary!$B$11*U2117</f>
        <v/>
      </c>
      <c r="P2117">
        <f>IF(B2138=0,0,O2117/B2138)</f>
        <v/>
      </c>
      <c r="Q2117">
        <f>IFERROR(1/(IF(Inputs!$B$39="pvp",15,MAX(0.1,Skills!D21-IF(Skills!E21=TRUE,Inputs!$B$33,0)))*(1-IF(AND(ArtifactsInput!$M$27,Inputs!$B$4="Chapter Hunt"),CHOOSE(ArtifactsInput!$N$27+1,20,24,28,32,36,40),0)/100)),0)</f>
        <v/>
      </c>
      <c r="R2117" t="n">
        <v>0</v>
      </c>
      <c r="S2117" t="n">
        <v>0</v>
      </c>
      <c r="U2117" t="n">
        <v>0</v>
      </c>
    </row>
    <row r="2118">
      <c r="A2118">
        <f>Skills!A22</f>
        <v/>
      </c>
      <c r="B2118">
        <f>Skills!B22</f>
        <v/>
      </c>
      <c r="C2118">
        <f>Inputs!$B$3&gt;=43</f>
        <v/>
      </c>
      <c r="D2118">
        <f>IF(Skills!C22=1,60+Inputs!$B$26+Inputs!$B$30,IF(Skills!C22=2,90+Inputs!$B$27+Inputs!$B$30,IF(Skills!C22=3,120+Inputs!$B$28+Inputs!$B$30,MAX(0,(Inputs!$B$3-100)*3)+Inputs!$B$29+Inputs!$B$30)))</f>
        <v/>
      </c>
      <c r="E2118">
        <f>INDEX(FactorTable!$B$2:$Y$301, MATCH(ROUND(MIN(300,MAX(1,D2118)),0), FactorTable!$A$2:$A$301,0), Skills!L22+1)</f>
        <v/>
      </c>
      <c r="F2118">
        <f>IF(Skills!M22=TRUE,(Skills!K22/10)*(E2118/1000),Skills!K22/10)+Skills!N22</f>
        <v/>
      </c>
      <c r="G2118">
        <f>Calc!G22</f>
        <v/>
      </c>
      <c r="H2118">
        <f>Calc!H22</f>
        <v/>
      </c>
      <c r="I2118">
        <f>IF(Skills!T22&lt;&gt;"",1+(Skills!T22/10)*($Z$3/1000)/100,1)</f>
        <v/>
      </c>
      <c r="J2118" t="inlineStr"/>
      <c r="K2118" t="inlineStr"/>
      <c r="L2118" t="inlineStr"/>
      <c r="M2118" t="inlineStr"/>
      <c r="N2118" t="inlineStr"/>
      <c r="O2118">
        <f>(1-Summary!$B$11)*S2118+Summary!$B$11*U2118</f>
        <v/>
      </c>
      <c r="P2118">
        <f>IF(B2138=0,0,O2118/B2138)</f>
        <v/>
      </c>
      <c r="Q2118">
        <f>IFERROR(1/(IF(Inputs!$B$39="pvp",15,MAX(0.1,Skills!D22-IF(Skills!E22=TRUE,Inputs!$B$33,0)))*(1-IF(AND(ArtifactsInput!$M$27,Inputs!$B$4="Chapter Hunt"),CHOOSE(ArtifactsInput!$N$27+1,20,24,28,32,36,40),0)/100)),0)</f>
        <v/>
      </c>
      <c r="R2118" t="n">
        <v>0</v>
      </c>
      <c r="S2118" t="n">
        <v>0</v>
      </c>
      <c r="U2118" t="n">
        <v>0</v>
      </c>
    </row>
    <row r="2119">
      <c r="A2119">
        <f>Skills!A23</f>
        <v/>
      </c>
      <c r="B2119">
        <f>Skills!B23</f>
        <v/>
      </c>
      <c r="C2119">
        <f>Inputs!$B$3&gt;=50</f>
        <v/>
      </c>
      <c r="D2119">
        <f>IF(Skills!C23=1,60+Inputs!$B$26+Inputs!$B$30,IF(Skills!C23=2,90+Inputs!$B$27+Inputs!$B$30,IF(Skills!C23=3,120+Inputs!$B$28+Inputs!$B$30,MAX(0,(Inputs!$B$3-100)*3)+Inputs!$B$29+Inputs!$B$30)))</f>
        <v/>
      </c>
      <c r="E2119">
        <f>INDEX(FactorTable!$B$2:$Y$301, MATCH(ROUND(MIN(300,MAX(1,D2119)),0), FactorTable!$A$2:$A$301,0), Skills!L23+1)</f>
        <v/>
      </c>
      <c r="F2119">
        <f>IF(Skills!M23=TRUE,(Skills!K23/10)*(E2119/1000),Skills!K23/10)+Skills!N23</f>
        <v/>
      </c>
      <c r="G2119">
        <f>Calc!G23</f>
        <v/>
      </c>
      <c r="H2119">
        <f>Calc!H23</f>
        <v/>
      </c>
      <c r="I2119">
        <f>IF(Skills!T23&lt;&gt;"",1+(Skills!T23/10)*($Z$3/1000)/100,1)</f>
        <v/>
      </c>
      <c r="J2119" t="inlineStr"/>
      <c r="K2119" t="inlineStr"/>
      <c r="L2119" t="inlineStr"/>
      <c r="M2119" t="inlineStr"/>
      <c r="N2119" t="inlineStr"/>
      <c r="O2119">
        <f>(1-Summary!$B$11)*S2119+Summary!$B$11*U2119</f>
        <v/>
      </c>
      <c r="P2119">
        <f>IF(B2138=0,0,O2119/B2138)</f>
        <v/>
      </c>
      <c r="Q2119">
        <f>IFERROR(1/(IF(Inputs!$B$39="pvp",15,MAX(0.1,Skills!D23-IF(Skills!E23=TRUE,Inputs!$B$33,0)))*(1-IF(AND(ArtifactsInput!$M$27,Inputs!$B$4="Chapter Hunt"),CHOOSE(ArtifactsInput!$N$27+1,20,24,28,32,36,40),0)/100)),0)</f>
        <v/>
      </c>
      <c r="R2119" t="n">
        <v>0</v>
      </c>
      <c r="S2119" t="n">
        <v>0</v>
      </c>
      <c r="U2119" t="n">
        <v>0</v>
      </c>
    </row>
    <row r="2120">
      <c r="A2120">
        <f>Skills!A24</f>
        <v/>
      </c>
      <c r="B2120">
        <f>Skills!B24</f>
        <v/>
      </c>
      <c r="C2120">
        <f>Inputs!$B$3&gt;=74</f>
        <v/>
      </c>
      <c r="D2120">
        <f>IF(Skills!C24=1,60+Inputs!$B$26+Inputs!$B$30,IF(Skills!C24=2,90+Inputs!$B$27+Inputs!$B$30,IF(Skills!C24=3,120+Inputs!$B$28+Inputs!$B$30,MAX(0,(Inputs!$B$3-100)*3)+Inputs!$B$29+Inputs!$B$30)))</f>
        <v/>
      </c>
      <c r="E2120">
        <f>INDEX(FactorTable!$B$2:$Y$301, MATCH(ROUND(MIN(300,MAX(1,D2120)),0), FactorTable!$A$2:$A$301,0), Skills!L24+1)</f>
        <v/>
      </c>
      <c r="F2120">
        <f>IF(Skills!M24=TRUE,(Skills!K24/10)*(E2120/1000),Skills!K24/10)+Skills!N24</f>
        <v/>
      </c>
      <c r="G2120">
        <f>Calc!G24</f>
        <v/>
      </c>
      <c r="H2120">
        <f>Calc!H24</f>
        <v/>
      </c>
      <c r="I2120">
        <f>IF(Skills!T24&lt;&gt;"",1+(Skills!T24/10)*($Z$3/1000)/100,1)</f>
        <v/>
      </c>
      <c r="J2120" t="inlineStr"/>
      <c r="K2120" t="inlineStr"/>
      <c r="L2120" t="inlineStr"/>
      <c r="M2120" t="inlineStr"/>
      <c r="N2120" t="inlineStr"/>
      <c r="O2120">
        <f>(1-Summary!$B$11)*S2120+Summary!$B$11*U2120</f>
        <v/>
      </c>
      <c r="P2120">
        <f>IF(B2138=0,0,O2120/B2138)</f>
        <v/>
      </c>
      <c r="Q2120">
        <f>IFERROR(1/(IF(Inputs!$B$39="pvp",15,MAX(0.1,Skills!D24-IF(Skills!E24=TRUE,Inputs!$B$33,0)))*(1-IF(AND(ArtifactsInput!$M$27,Inputs!$B$4="Chapter Hunt"),CHOOSE(ArtifactsInput!$N$27+1,20,24,28,32,36,40),0)/100)),0)</f>
        <v/>
      </c>
      <c r="R2120" t="n">
        <v>0</v>
      </c>
      <c r="S2120" t="n">
        <v>0</v>
      </c>
      <c r="U2120" t="n">
        <v>0</v>
      </c>
    </row>
    <row r="2121">
      <c r="A2121">
        <f>Skills!A25</f>
        <v/>
      </c>
      <c r="B2121">
        <f>Skills!B25</f>
        <v/>
      </c>
      <c r="C2121">
        <f>Inputs!$B$3&gt;=74</f>
        <v/>
      </c>
      <c r="D2121">
        <f>IF(Skills!C25=1,60+Inputs!$B$26+Inputs!$B$30,IF(Skills!C25=2,90+Inputs!$B$27+Inputs!$B$30,IF(Skills!C25=3,120+Inputs!$B$28+Inputs!$B$30,MAX(0,(Inputs!$B$3-100)*3)+Inputs!$B$29+Inputs!$B$30)))</f>
        <v/>
      </c>
      <c r="E2121">
        <f>INDEX(FactorTable!$B$2:$Y$301, MATCH(ROUND(MIN(300,MAX(1,D2121)),0), FactorTable!$A$2:$A$301,0), Skills!L25+1)</f>
        <v/>
      </c>
      <c r="F2121">
        <f>IF(Skills!M25=TRUE,(Skills!K25/10)*(E2121/1000),Skills!K25/10)+Skills!N25</f>
        <v/>
      </c>
      <c r="G2121">
        <f>Calc!G25</f>
        <v/>
      </c>
      <c r="H2121">
        <f>Calc!H25</f>
        <v/>
      </c>
      <c r="I2121">
        <f>IF(Skills!T25&lt;&gt;"",1+(Skills!T25/10)*($Z$3/1000)/100,1)</f>
        <v/>
      </c>
      <c r="J2121" t="inlineStr"/>
      <c r="K2121" t="inlineStr"/>
      <c r="L2121" t="inlineStr"/>
      <c r="M2121" t="inlineStr"/>
      <c r="N2121" t="inlineStr"/>
      <c r="O2121">
        <f>(1-Summary!$B$11)*S2121+Summary!$B$11*U2121</f>
        <v/>
      </c>
      <c r="P2121">
        <f>IF(B2138=0,0,O2121/B2138)</f>
        <v/>
      </c>
      <c r="Q2121">
        <f>IFERROR(1/(IF(Inputs!$B$39="pvp",15,MAX(0.1,Skills!D25-IF(Skills!E25=TRUE,Inputs!$B$33,0)))*(1-IF(AND(ArtifactsInput!$M$27,Inputs!$B$4="Chapter Hunt"),CHOOSE(ArtifactsInput!$N$27+1,20,24,28,32,36,40),0)/100)),0)</f>
        <v/>
      </c>
      <c r="R2121" t="n">
        <v>0</v>
      </c>
      <c r="S2121" t="n">
        <v>0</v>
      </c>
      <c r="U2121" t="n">
        <v>0</v>
      </c>
    </row>
    <row r="2122">
      <c r="A2122">
        <f>Skills!A26</f>
        <v/>
      </c>
      <c r="B2122">
        <f>Skills!B26</f>
        <v/>
      </c>
      <c r="C2122">
        <f>Inputs!$B$3&gt;=117</f>
        <v/>
      </c>
      <c r="D2122">
        <f>IF(Skills!C26=1,60+Inputs!$B$26+Inputs!$B$30,IF(Skills!C26=2,90+Inputs!$B$27+Inputs!$B$30,IF(Skills!C26=3,120+Inputs!$B$28+Inputs!$B$30,MAX(0,(Inputs!$B$3-100)*3)+Inputs!$B$29+Inputs!$B$30)))</f>
        <v/>
      </c>
      <c r="E2122">
        <f>INDEX(FactorTable!$B$2:$Y$301, MATCH(ROUND(MIN(300,MAX(1,D2122)),0), FactorTable!$A$2:$A$301,0), Skills!L26+1)</f>
        <v/>
      </c>
      <c r="F2122">
        <f>IF(Skills!M26=TRUE,(Skills!K26/10)*(E2122/1000),Skills!K26/10)+Skills!N26</f>
        <v/>
      </c>
      <c r="G2122">
        <f>Calc!G26</f>
        <v/>
      </c>
      <c r="H2122">
        <f>Calc!H26</f>
        <v/>
      </c>
      <c r="I2122">
        <f>IF(Skills!T26&lt;&gt;"",1+(Skills!T26/10)*($Z$3/1000)/100,1)</f>
        <v/>
      </c>
      <c r="J2122" t="inlineStr"/>
      <c r="K2122" t="inlineStr"/>
      <c r="L2122" t="inlineStr"/>
      <c r="M2122" t="inlineStr"/>
      <c r="N2122" t="inlineStr"/>
      <c r="O2122">
        <f>(1-Summary!$B$11)*S2122+Summary!$B$11*U2122</f>
        <v/>
      </c>
      <c r="P2122">
        <f>IF(B2138=0,0,O2122/B2138)</f>
        <v/>
      </c>
      <c r="Q2122">
        <f>IFERROR(1/(IF(Inputs!$B$39="pvp",15,MAX(0.1,Skills!D26-IF(Skills!E26=TRUE,Inputs!$B$33,0)))*(1-IF(AND(ArtifactsInput!$M$27,Inputs!$B$4="Chapter Hunt"),CHOOSE(ArtifactsInput!$N$27+1,20,24,28,32,36,40),0)/100)),0)</f>
        <v/>
      </c>
      <c r="R2122" t="n">
        <v>0</v>
      </c>
      <c r="S2122" t="n">
        <v>0</v>
      </c>
      <c r="U2122" t="n">
        <v>0</v>
      </c>
    </row>
    <row r="2123">
      <c r="A2123">
        <f>Skills!A27</f>
        <v/>
      </c>
      <c r="B2123">
        <f>Skills!B27</f>
        <v/>
      </c>
      <c r="C2123">
        <f>Inputs!$B$3&gt;=120</f>
        <v/>
      </c>
      <c r="D2123">
        <f>IF(Skills!C27=1,60+Inputs!$B$26+Inputs!$B$30,IF(Skills!C27=2,90+Inputs!$B$27+Inputs!$B$30,IF(Skills!C27=3,120+Inputs!$B$28+Inputs!$B$30,MAX(0,(Inputs!$B$3-100)*3)+Inputs!$B$29+Inputs!$B$30)))</f>
        <v/>
      </c>
      <c r="E2123">
        <f>INDEX(FactorTable!$B$2:$Y$301, MATCH(ROUND(MIN(300,MAX(1,D2123)),0), FactorTable!$A$2:$A$301,0), Skills!L27+1)</f>
        <v/>
      </c>
      <c r="F2123">
        <f>IF(Skills!M27=TRUE,(Skills!K27/10)*(E2123/1000),Skills!K27/10)+Skills!N27</f>
        <v/>
      </c>
      <c r="G2123">
        <f>Calc!G27</f>
        <v/>
      </c>
      <c r="H2123">
        <f>Calc!H27</f>
        <v/>
      </c>
      <c r="I2123">
        <f>IF(Skills!T27&lt;&gt;"",1+(Skills!T27/10)*($Z$3/1000)/100,1)</f>
        <v/>
      </c>
      <c r="J2123" t="inlineStr"/>
      <c r="K2123" t="inlineStr"/>
      <c r="L2123" t="inlineStr"/>
      <c r="M2123" t="inlineStr"/>
      <c r="N2123" t="inlineStr"/>
      <c r="O2123">
        <f>(1-Summary!$B$11)*S2123+Summary!$B$11*U2123</f>
        <v/>
      </c>
      <c r="P2123">
        <f>IF(B2138=0,0,O2123/B2138)</f>
        <v/>
      </c>
      <c r="Q2123">
        <f>IFERROR(1/(IF(Inputs!$B$39="pvp",15,MAX(0.1,Skills!D27-IF(Skills!E27=TRUE,Inputs!$B$33,0)))*(1-IF(AND(ArtifactsInput!$M$27,Inputs!$B$4="Chapter Hunt"),CHOOSE(ArtifactsInput!$N$27+1,20,24,28,32,36,40),0)/100)),0)</f>
        <v/>
      </c>
      <c r="R2123" t="n">
        <v>0</v>
      </c>
      <c r="S2123" t="n">
        <v>0</v>
      </c>
      <c r="U2123" t="n">
        <v>0</v>
      </c>
    </row>
    <row r="2125">
      <c r="A2125" t="inlineStr">
        <is>
          <t>Average Buff Multiplier</t>
        </is>
      </c>
      <c r="B2125">
        <f>(1+(IF(C2099=TRUE,F2099*IF(AND(Inputs!$B$39&lt;&gt;"pvp",Inputs!$B$44&gt;0),(((R2099-1)*(Skills!S3*(1+((Inputs!$B$35+(ArtifactsInput!$M$7-ArtifactsInput!$M$7)*CHOOSE(ArtifactsInput!$N$7+1,6,7.2,8.4,9.6,10.8,12))+IF(Inputs!$B$3&gt;=117,F2122,0))/100))+MIN((Skills!S3*(1+((Inputs!$B$35+(ArtifactsInput!$M$7-ArtifactsInput!$M$7)*CHOOSE(ArtifactsInput!$N$7+1,6,7.2,8.4,9.6,10.8,12))+IF(Inputs!$B$3&gt;=117,F2122,0))/100)),MAX(0,Inputs!$B$44-((R2099-1)*Skills!D3))))/Inputs!$B$44),IF(Inputs!$B$39="pvp",MIN((Skills!S3*(1+((Inputs!$B$35+(ArtifactsInput!$M$7-ArtifactsInput!$M$7)*CHOOSE(ArtifactsInput!$N$7+1,6,7.2,8.4,9.6,10.8,12))+IF(Inputs!$B$3&gt;=117,F2122,0))/100)),15)/15,(Skills!S3*(1+((Inputs!$B$35+(ArtifactsInput!$M$7-ArtifactsInput!$M$7)*CHOOSE(ArtifactsInput!$N$7+1,6,7.2,8.4,9.6,10.8,12))+IF(Inputs!$B$3&gt;=117,F2122,0))/100))/Skills!D3)),0)+IF(C2100=TRUE,F2100*IF(AND(Inputs!$B$39&lt;&gt;"pvp",Inputs!$B$44&gt;0),(((R2100-1)*(Skills!S4*(1+((Inputs!$B$35+(ArtifactsInput!$M$7-ArtifactsInput!$M$7)*CHOOSE(ArtifactsInput!$N$7+1,6,7.2,8.4,9.6,10.8,12))+IF(Inputs!$B$3&gt;=117,F2122,0))/100))+MIN((Skills!S4*(1+((Inputs!$B$35+(ArtifactsInput!$M$7-ArtifactsInput!$M$7)*CHOOSE(ArtifactsInput!$N$7+1,6,7.2,8.4,9.6,10.8,12))+IF(Inputs!$B$3&gt;=117,F2122,0))/100)),MAX(0,Inputs!$B$44-((R2100-1)*Skills!D4))))/Inputs!$B$44),IF(Inputs!$B$39="pvp",MIN((Skills!S4*(1+((Inputs!$B$35+(ArtifactsInput!$M$7-ArtifactsInput!$M$7)*CHOOSE(ArtifactsInput!$N$7+1,6,7.2,8.4,9.6,10.8,12))+IF(Inputs!$B$3&gt;=117,F2122,0))/100)),15)/15,(Skills!S4*(1+((Inputs!$B$35+(ArtifactsInput!$M$7-ArtifactsInput!$M$7)*CHOOSE(ArtifactsInput!$N$7+1,6,7.2,8.4,9.6,10.8,12))+IF(Inputs!$B$3&gt;=117,F2122,0))/100))/Skills!D4)),0)+IF(C2101=TRUE,F2101*IF(AND(Inputs!$B$39&lt;&gt;"pvp",Inputs!$B$44&gt;0),(((R2101-1)*(Skills!S5*(1+((Inputs!$B$35+(ArtifactsInput!$M$7-ArtifactsInput!$M$7)*CHOOSE(ArtifactsInput!$N$7+1,6,7.2,8.4,9.6,10.8,12))+IF(Inputs!$B$3&gt;=117,F2122,0))/100))+MIN((Skills!S5*(1+((Inputs!$B$35+(ArtifactsInput!$M$7-ArtifactsInput!$M$7)*CHOOSE(ArtifactsInput!$N$7+1,6,7.2,8.4,9.6,10.8,12))+IF(Inputs!$B$3&gt;=117,F2122,0))/100)),MAX(0,Inputs!$B$44-((R2101-1)*Skills!D5))))/Inputs!$B$44),IF(Inputs!$B$39="pvp",MIN((Skills!S5*(1+((Inputs!$B$35+(ArtifactsInput!$M$7-ArtifactsInput!$M$7)*CHOOSE(ArtifactsInput!$N$7+1,6,7.2,8.4,9.6,10.8,12))+IF(Inputs!$B$3&gt;=117,F2122,0))/100)),15)/15,(Skills!S5*(1+((Inputs!$B$35+(ArtifactsInput!$M$7-ArtifactsInput!$M$7)*CHOOSE(ArtifactsInput!$N$7+1,6,7.2,8.4,9.6,10.8,12))+IF(Inputs!$B$3&gt;=117,F2122,0))/100))/Skills!D5)),0)+IF(C2107=TRUE,F2107*IF(AND(Inputs!$B$39&lt;&gt;"pvp",Inputs!$B$44&gt;0),(((R2107-1)*(Skills!S11*(1+((Inputs!$B$35+(ArtifactsInput!$M$7-ArtifactsInput!$M$7)*CHOOSE(ArtifactsInput!$N$7+1,6,7.2,8.4,9.6,10.8,12))+IF(Inputs!$B$3&gt;=117,F2122,0))/100))+MIN((Skills!S11*(1+((Inputs!$B$35+(ArtifactsInput!$M$7-ArtifactsInput!$M$7)*CHOOSE(ArtifactsInput!$N$7+1,6,7.2,8.4,9.6,10.8,12))+IF(Inputs!$B$3&gt;=117,F2122,0))/100)),MAX(0,Inputs!$B$44-((R2107-1)*Skills!D11))))/Inputs!$B$44),IF(Inputs!$B$39="pvp",MIN((Skills!S11*(1+((Inputs!$B$35+(ArtifactsInput!$M$7-ArtifactsInput!$M$7)*CHOOSE(ArtifactsInput!$N$7+1,6,7.2,8.4,9.6,10.8,12))+IF(Inputs!$B$3&gt;=117,F2122,0))/100)),15)/15,(Skills!S11*(1+((Inputs!$B$35+(ArtifactsInput!$M$7-ArtifactsInput!$M$7)*CHOOSE(ArtifactsInput!$N$7+1,6,7.2,8.4,9.6,10.8,12))+IF(Inputs!$B$3&gt;=117,F2122,0)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2110=TRUE,(1+F2110*IF(AND(Inputs!$B$39&lt;&gt;"pvp",Inputs!$B$44&gt;0),(((R2110-1)*(Skills!S14*(1+((Inputs!$B$35+(ArtifactsInput!$M$7-ArtifactsInput!$M$7)*CHOOSE(ArtifactsInput!$N$7+1,6,7.2,8.4,9.6,10.8,12))+IF(Inputs!$B$3&gt;=117,F2122,0))/100))+MIN((Skills!S14*(1+((Inputs!$B$35+(ArtifactsInput!$M$7-ArtifactsInput!$M$7)*CHOOSE(ArtifactsInput!$N$7+1,6,7.2,8.4,9.6,10.8,12))+IF(Inputs!$B$3&gt;=117,F2122,0))/100)),MAX(0,Inputs!$B$44-((R2110-1)*Skills!D14))))/Inputs!$B$44),IF(Inputs!$B$39="pvp",MIN((Skills!S14*(1+((Inputs!$B$35+(ArtifactsInput!$M$7-ArtifactsInput!$M$7)*CHOOSE(ArtifactsInput!$N$7+1,6,7.2,8.4,9.6,10.8,12))+IF(Inputs!$B$3&gt;=117,F2122,0))/100)),15)/15,(Skills!S14*(1+((Inputs!$B$35+(ArtifactsInput!$M$7-ArtifactsInput!$M$7)*CHOOSE(ArtifactsInput!$N$7+1,6,7.2,8.4,9.6,10.8,12))+IF(Inputs!$B$3&gt;=117,F2122,0))/100))/Skills!D14))/100),1)*IF(C2115=TRUE,(1+F2115*IF(AND(Inputs!$B$39&lt;&gt;"pvp",Inputs!$B$44&gt;0),(((R2115-1)*(Skills!S19*(1+((Inputs!$B$35+(ArtifactsInput!$M$7-ArtifactsInput!$M$7)*CHOOSE(ArtifactsInput!$N$7+1,6,7.2,8.4,9.6,10.8,12))+IF(Inputs!$B$3&gt;=117,F2122,0))/100))+MIN((Skills!S19*(1+((Inputs!$B$35+(ArtifactsInput!$M$7-ArtifactsInput!$M$7)*CHOOSE(ArtifactsInput!$N$7+1,6,7.2,8.4,9.6,10.8,12))+IF(Inputs!$B$3&gt;=117,F2122,0))/100)),MAX(0,Inputs!$B$44-((R2115-1)*Skills!D19))))/Inputs!$B$44),IF(Inputs!$B$39="pvp",MIN((Skills!S19*(1+((Inputs!$B$35+(ArtifactsInput!$M$7-ArtifactsInput!$M$7)*CHOOSE(ArtifactsInput!$N$7+1,6,7.2,8.4,9.6,10.8,12))+IF(Inputs!$B$3&gt;=117,F2122,0))/100)),15)/15,(Skills!S19*(1+((Inputs!$B$35+(ArtifactsInput!$M$7-ArtifactsInput!$M$7)*CHOOSE(ArtifactsInput!$N$7+1,6,7.2,8.4,9.6,10.8,12))+IF(Inputs!$B$3&gt;=117,F2122,0))/100))/Skills!D19))/100),1)</f>
        <v/>
      </c>
    </row>
    <row r="2126">
      <c r="A2126" t="inlineStr">
        <is>
          <t>Monster Damage Taken Bonus % (Holy Fountain)</t>
        </is>
      </c>
      <c r="B2126">
        <f>IF(Inputs!$B$3&gt;=68,20*IF(Inputs!$B$39="pvp",MIN((15*(1+((Inputs!$B$35+(ArtifactsInput!$M$7-ArtifactsInput!$M$7)*CHOOSE(ArtifactsInput!$N$7+1,6,7.2,8.4,9.6,10.8,12))+IF(Inputs!$B$3&gt;=117,F2122,0))/100)),15)/15,(15*(1+((Inputs!$B$35+(ArtifactsInput!$M$7-ArtifactsInput!$M$7)*CHOOSE(ArtifactsInput!$N$7+1,6,7.2,8.4,9.6,10.8,12))+IF(Inputs!$B$3&gt;=117,F2122,0))/100))/Skills!D10),0)</f>
        <v/>
      </c>
    </row>
    <row r="2127">
      <c r="A2127" t="inlineStr">
        <is>
          <t>Normal Monster Damage Bonus % (Holy Symbol)</t>
        </is>
      </c>
      <c r="B2127">
        <f>IF(C2108=TRUE,F2108*IF(AND(Inputs!$B$39&lt;&gt;"pvp",Inputs!$B$44&gt;0),(((R2108-1)*(Skills!S12*(1+((Inputs!$B$35+(ArtifactsInput!$M$7-ArtifactsInput!$M$7)*CHOOSE(ArtifactsInput!$N$7+1,6,7.2,8.4,9.6,10.8,12))+IF(Inputs!$B$3&gt;=117,F2122,0))/100))+MIN((Skills!S12*(1+((Inputs!$B$35+(ArtifactsInput!$M$7-ArtifactsInput!$M$7)*CHOOSE(ArtifactsInput!$N$7+1,6,7.2,8.4,9.6,10.8,12))+IF(Inputs!$B$3&gt;=117,F2122,0))/100)),MAX(0,Inputs!$B$44-((R2108-1)*Skills!D12))))/Inputs!$B$44),IF(Inputs!$B$39="pvp",MIN((Skills!S12*(1+((Inputs!$B$35+(ArtifactsInput!$M$7-ArtifactsInput!$M$7)*CHOOSE(ArtifactsInput!$N$7+1,6,7.2,8.4,9.6,10.8,12))+IF(Inputs!$B$3&gt;=117,F2122,0))/100)),15)/15,(Skills!S12*(1+((Inputs!$B$35+(ArtifactsInput!$M$7-ArtifactsInput!$M$7)*CHOOSE(ArtifactsInput!$N$7+1,6,7.2,8.4,9.6,10.8,12))+IF(Inputs!$B$3&gt;=117,F2122,0))/100))/Skills!D12)),0)</f>
        <v/>
      </c>
    </row>
    <row r="2128">
      <c r="A2128" t="inlineStr">
        <is>
          <t>Damage % Bonus (Holy Symbol - Damage Boost)</t>
        </is>
      </c>
      <c r="B2128">
        <f>Skills!O12</f>
        <v/>
      </c>
    </row>
    <row r="2129">
      <c r="A2129" t="inlineStr">
        <is>
          <t>Crit Damage % Bonus (Blood of the Divine)</t>
        </is>
      </c>
      <c r="B2129">
        <f>4*IF(C2116=TRUE,F2116,0)</f>
        <v/>
      </c>
    </row>
    <row r="2130">
      <c r="A2130" t="inlineStr">
        <is>
          <t>Attack Speed Bonus %</t>
        </is>
      </c>
      <c r="B2130">
        <f>IF(C2113=TRUE,F2113+(F2117-Calc!F21),0)+IF(Inputs!$B$3&gt;=134,15,0)</f>
        <v/>
      </c>
    </row>
    <row r="2131">
      <c r="A2131" t="inlineStr">
        <is>
          <t>Actions Per Second</t>
        </is>
      </c>
      <c r="B2131">
        <f>1+MIN(150,150*(1-(1-Inputs!$B$12/150)*(1-B2130/150)))/100</f>
        <v/>
      </c>
    </row>
    <row r="2132">
      <c r="A2132" t="inlineStr">
        <is>
          <t>Skill + Buff Cast Rate</t>
        </is>
      </c>
      <c r="B2132">
        <f>IF(AND(Inputs!$B$39&lt;&gt;"pvp",Inputs!$B$44&gt;0),SUMPRODUCT((Skills!E2:E27=TRUE)*(C2098:C2123=TRUE)*R2098:R2123)/Inputs!$B$44,SUMPRODUCT((Skills!E2:E27=TRUE)*(C2098:C2123=TRUE)*Q2098:Q2123))</f>
        <v/>
      </c>
    </row>
    <row r="2133">
      <c r="A2133" t="inlineStr">
        <is>
          <t>Big Bang Casts Per Second</t>
        </is>
      </c>
      <c r="B2133">
        <f>MAX(0,B2131-B2132)</f>
        <v/>
      </c>
    </row>
    <row r="2134">
      <c r="A2134" t="inlineStr">
        <is>
          <t>Defense % Bonus (Divine Protection)</t>
        </is>
      </c>
      <c r="B2134">
        <f>IF(C2109=TRUE,F2109*IF(AND(Inputs!$B$39&lt;&gt;"pvp",Inputs!$B$44&gt;0),(((R2109-1)*(Skills!S13*(1+((Inputs!$B$35+(ArtifactsInput!$M$7-ArtifactsInput!$M$7)*CHOOSE(ArtifactsInput!$N$7+1,6,7.2,8.4,9.6,10.8,12))+IF(Inputs!$B$3&gt;=117,F2122,0))/100))+MIN((Skills!S13*(1+((Inputs!$B$35+(ArtifactsInput!$M$7-ArtifactsInput!$M$7)*CHOOSE(ArtifactsInput!$N$7+1,6,7.2,8.4,9.6,10.8,12))+IF(Inputs!$B$3&gt;=117,F2122,0))/100)),MAX(0,Inputs!$B$44-((R2109-1)*Skills!D13))))/Inputs!$B$44),IF(Inputs!$B$39="pvp",MIN((Skills!S13*(1+((Inputs!$B$35+(ArtifactsInput!$M$7-ArtifactsInput!$M$7)*CHOOSE(ArtifactsInput!$N$7+1,6,7.2,8.4,9.6,10.8,12))+IF(Inputs!$B$3&gt;=117,F2122,0))/100)),15)/15,(Skills!S13*(1+((Inputs!$B$35+(ArtifactsInput!$M$7-ArtifactsInput!$M$7)*CHOOSE(ArtifactsInput!$N$7+1,6,7.2,8.4,9.6,10.8,12))+IF(Inputs!$B$3&gt;=117,F2122,0))/100))/Skills!D13)),0)</f>
        <v/>
      </c>
    </row>
    <row r="2135">
      <c r="A2135" t="inlineStr">
        <is>
          <t>Buff-Casting Startup Delay (s, fixed-duration only)</t>
        </is>
      </c>
      <c r="B2135">
        <f>IF(AND(Inputs!$B$39&lt;&gt;"pvp",Inputs!$B$44&gt;0),SUMPRODUCT((Skills!S2:S27&gt;0)*(Skills!E2:E27=TRUE)*(C2098:C2123=TRUE))/B2131,0)</f>
        <v/>
      </c>
    </row>
    <row r="2136">
      <c r="A2136" t="inlineStr">
        <is>
          <t>Boss-Only Total DPS (this block's swept value)</t>
        </is>
      </c>
      <c r="B2136">
        <f>SUM(S2098:S2123)</f>
        <v/>
      </c>
    </row>
    <row r="2137">
      <c r="A2137" t="inlineStr">
        <is>
          <t>Normal-Only Total DPS (this block's swept value)</t>
        </is>
      </c>
      <c r="B2137">
        <f>SUM(U2098:U2123)</f>
        <v/>
      </c>
    </row>
    <row r="2138">
      <c r="A2138" s="6" t="inlineStr">
        <is>
          <t>TOTAL DPS</t>
        </is>
      </c>
      <c r="B2138" s="6">
        <f>SUM(O2098:O2123)</f>
        <v/>
      </c>
    </row>
    <row r="2140">
      <c r="A2140" s="6" t="inlineStr">
        <is>
          <t>Stat: Soul Contract (Equip)</t>
        </is>
      </c>
    </row>
    <row r="2141">
      <c r="A2141" s="5" t="inlineStr">
        <is>
          <t>Key</t>
        </is>
      </c>
      <c r="B2141" s="5" t="inlineStr">
        <is>
          <t>Name</t>
        </is>
      </c>
      <c r="C2141" s="5" t="inlineStr">
        <is>
          <t>Unlocked</t>
        </is>
      </c>
      <c r="D2141" s="5" t="inlineStr">
        <is>
          <t>InputLevel</t>
        </is>
      </c>
      <c r="E2141" s="5" t="inlineStr">
        <is>
          <t>Factor</t>
        </is>
      </c>
      <c r="F2141" s="5" t="inlineStr">
        <is>
          <t>CoefficientPercent</t>
        </is>
      </c>
      <c r="G2141" s="5" t="inlineStr">
        <is>
          <t>EffectiveHits</t>
        </is>
      </c>
      <c r="H2141" s="5" t="inlineStr">
        <is>
          <t>ProcProbability</t>
        </is>
      </c>
      <c r="I2141" s="5" t="inlineStr">
        <is>
          <t>MapleHeroMultiplier</t>
        </is>
      </c>
      <c r="J2141" s="5" t="inlineStr">
        <is>
          <t>BaseDamage</t>
        </is>
      </c>
      <c r="K2141" s="5" t="inlineStr">
        <is>
          <t>BaseHitDamage</t>
        </is>
      </c>
      <c r="L2141" s="5" t="inlineStr">
        <is>
          <t>NonCritAvg</t>
        </is>
      </c>
      <c r="M2141" s="5" t="inlineStr">
        <is>
          <t>CritAvg</t>
        </is>
      </c>
      <c r="N2141" s="5" t="inlineStr">
        <is>
          <t>ExpectedDamage(perHit)</t>
        </is>
      </c>
      <c r="O2141" s="5" t="inlineStr">
        <is>
          <t>DPS</t>
        </is>
      </c>
      <c r="P2141" s="5" t="inlineStr">
        <is>
          <t>% of Total</t>
        </is>
      </c>
      <c r="R2141" t="inlineStr">
        <is>
          <t>helpers</t>
        </is>
      </c>
    </row>
    <row r="2142">
      <c r="A2142">
        <f>Skills!A2</f>
        <v/>
      </c>
      <c r="B2142">
        <f>Skills!B2</f>
        <v/>
      </c>
      <c r="C2142">
        <f>Inputs!$B$3&gt;=100</f>
        <v/>
      </c>
      <c r="D2142" t="inlineStr"/>
      <c r="E2142" t="inlineStr"/>
      <c r="F2142">
        <f>T2144+Skills!N2</f>
        <v/>
      </c>
      <c r="G2142">
        <f>Calc!G2</f>
        <v/>
      </c>
      <c r="H2142">
        <f>Calc!H2</f>
        <v/>
      </c>
      <c r="I2142">
        <f>IF(Skills!T2&lt;&gt;"",1+(Skills!T2/10)*($Z$3/1000)/100,1)</f>
        <v/>
      </c>
      <c r="J2142">
        <f>((Inputs!$B$6*(1+Inputs!$B$7/100))+(((Inputs!$B$13*(1+Inputs!$B$14/100))-(Inputs!$B$13*(1+Inputs!$B$14/100)))+0.25*(Inputs!$B$15-Inputs!$B$15))*(1+Inputs!$B$7/100))*(F2142/100)</f>
        <v/>
      </c>
      <c r="K2142">
        <f>J2142*(1+(((Inputs!$B$13+IF(Inputs!$B$3&gt;=35,(10*INDEX(FactorTable!$B$2:$Y$301,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2="TRIUMPH_FEATHER",IF(C2156=TRUE,F2156,0),0)/100)*(1+IF(C2167=TRUE,F2167,0)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2142)</f>
        <v/>
      </c>
      <c r="L2142">
        <f>K2142*(MIN(Inputs!$B$23+(F2162-Calc!F22),(Inputs!$B$24+IF(ArtifactsInput!$M$15,CHOOSE(ArtifactsInput!$N$15+1,25,30,35,40,45,50)/100*(Inputs!$B$12-Inputs!$B$12),0)))/100+(Inputs!$B$24+IF(ArtifactsInput!$M$15,CHOOSE(ArtifactsInput!$N$15+1,25,30,35,40,45,50)/100*(Inputs!$B$12-Inputs!$B$12),0))/100)/2</f>
        <v/>
      </c>
      <c r="M2142">
        <f>L2142*(1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2">
        <f>L2142*(1-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(1-Summary!$B$11)*S2142+Summary!$B$11*U2142</f>
        <v/>
      </c>
      <c r="P2142">
        <f>IF(B2182=0,0,O2142/B2182)</f>
        <v/>
      </c>
      <c r="Q2142">
        <f>IFERROR(1/(IF(Inputs!$B$39="pvp",15,MAX(0.1,Skills!D2-IF(Skills!E2=TRUE,Inputs!$B$33,0)))*(1-IF(AND(IF(ArtifactsInput!$M$27,FALSE,TRUE),Inputs!$B$4="Chapter Hunt"),CHOOSE(ArtifactsInput!$N$27+1,20,24,28,32,36,40),0)/100)),0)</f>
        <v/>
      </c>
      <c r="R2142" t="n">
        <v>0</v>
      </c>
      <c r="S2142">
        <f>IF(C2142,(Skills!F2*N2142*B2177)*IF(Inputs!$B$39="pvp",1,1+(Inputs!$B$21+Skills!O2+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2142*(1-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2">
        <f>MAX(0,(Inputs!$B$3-100)*3)+Inputs!$B$29+Inputs!$B$30</f>
        <v/>
      </c>
      <c r="U2142">
        <f>IF(C2142,(Skills!F2*N2142*B2177)*IF(Inputs!$B$39="pvp",1,(1+(Inputs!$B$22+Skills!P2+B2171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Skills!A3</f>
        <v/>
      </c>
      <c r="B2143">
        <f>Skills!B3</f>
        <v/>
      </c>
      <c r="C2143">
        <f>Inputs!$B$3&gt;=15</f>
        <v/>
      </c>
      <c r="D2143">
        <f>IF(Skills!C3=1,60+Inputs!$B$26+Inputs!$B$30,IF(Skills!C3=2,90+Inputs!$B$27+Inputs!$B$30,IF(Skills!C3=3,120+Inputs!$B$28+Inputs!$B$30,MAX(0,(Inputs!$B$3-100)*3)+Inputs!$B$29+Inputs!$B$30)))</f>
        <v/>
      </c>
      <c r="E2143">
        <f>INDEX(FactorTable!$B$2:$Y$301, MATCH(ROUND(MIN(300,MAX(1,D2143)),0), FactorTable!$A$2:$A$301,0), Skills!L3+1)</f>
        <v/>
      </c>
      <c r="F2143">
        <f>IF(Skills!M3=TRUE,(Skills!K3/10)*(E2143/1000),Skills!K3/10)+Skills!N3</f>
        <v/>
      </c>
      <c r="G2143">
        <f>Calc!G3</f>
        <v/>
      </c>
      <c r="H2143">
        <f>Calc!H3</f>
        <v/>
      </c>
      <c r="I2143">
        <f>IF(Skills!T3&lt;&gt;"",1+(Skills!T3/10)*($Z$3/1000)/100,1)</f>
        <v/>
      </c>
      <c r="J2143" t="inlineStr"/>
      <c r="K2143" t="inlineStr"/>
      <c r="L2143" t="inlineStr"/>
      <c r="M2143" t="inlineStr"/>
      <c r="N2143" t="inlineStr"/>
      <c r="O2143">
        <f>(1-Summary!$B$11)*S2143+Summary!$B$11*U2143</f>
        <v/>
      </c>
      <c r="P2143">
        <f>IF(B2182=0,0,O2143/B2182)</f>
        <v/>
      </c>
      <c r="Q2143">
        <f>IFERROR(1/(IF(Inputs!$B$39="pvp",15,MAX(0.1,Skills!D3-IF(Skills!E3=TRUE,Inputs!$B$33,0)))*(1-IF(AND(IF(ArtifactsInput!$M$27,FALSE,TRUE),Inputs!$B$4="Chapter Hunt"),CHOOSE(ArtifactsInput!$N$27+1,20,24,28,32,36,40),0)/100)),0)</f>
        <v/>
      </c>
      <c r="R2143">
        <f>IF(AND(Inputs!$B$39&lt;&gt;"pvp",Inputs!$B$44&gt;0),IF(Inputs!$B$44&lt;=0,0,(INT(Inputs!$B$44/(IF(Inputs!$B$39="pvp",15,MAX(0.1,Skills!D3-IF(Skills!E3=TRUE,Inputs!$B$33,0)))*(1-IF(AND(IF(ArtifactsInput!$M$27,FALSE,TRUE),Inputs!$B$4="Chapter Hunt"),CHOOSE(ArtifactsInput!$N$27+1,20,24,28,32,36,40),0)/100)))+1)),0)</f>
        <v/>
      </c>
      <c r="S2143" t="n">
        <v>0</v>
      </c>
      <c r="T2143">
        <f>INDEX(FactorTable!$B$2:$Y$301, MATCH(ROUND(MIN(300,MAX(1,T2142)),0), FactorTable!$A$2:$A$301,0), 22)</f>
        <v/>
      </c>
      <c r="U2143" t="n">
        <v>0</v>
      </c>
    </row>
    <row r="2144">
      <c r="A2144">
        <f>Skills!A4</f>
        <v/>
      </c>
      <c r="B2144">
        <f>Skills!B4</f>
        <v/>
      </c>
      <c r="C2144">
        <f>Inputs!$B$3&gt;=38</f>
        <v/>
      </c>
      <c r="D2144">
        <f>IF(Skills!C4=1,60+Inputs!$B$26+Inputs!$B$30,IF(Skills!C4=2,90+Inputs!$B$27+Inputs!$B$30,IF(Skills!C4=3,120+Inputs!$B$28+Inputs!$B$30,MAX(0,(Inputs!$B$3-100)*3)+Inputs!$B$29+Inputs!$B$30)))</f>
        <v/>
      </c>
      <c r="E2144">
        <f>INDEX(FactorTable!$B$2:$Y$301, MATCH(ROUND(MIN(300,MAX(1,D2144)),0), FactorTable!$A$2:$A$301,0), Skills!L4+1)</f>
        <v/>
      </c>
      <c r="F2144">
        <f>IF(Skills!M4=TRUE,(Skills!K4/10)*(E2144/1000),Skills!K4/10)+Skills!N4</f>
        <v/>
      </c>
      <c r="G2144">
        <f>Calc!G4</f>
        <v/>
      </c>
      <c r="H2144">
        <f>Calc!H4</f>
        <v/>
      </c>
      <c r="I2144">
        <f>IF(Skills!T4&lt;&gt;"",1+(Skills!T4/10)*($Z$3/1000)/100,1)</f>
        <v/>
      </c>
      <c r="J2144" t="inlineStr"/>
      <c r="K2144" t="inlineStr"/>
      <c r="L2144" t="inlineStr"/>
      <c r="M2144" t="inlineStr"/>
      <c r="N2144" t="inlineStr"/>
      <c r="O2144">
        <f>(1-Summary!$B$11)*S2144+Summary!$B$11*U2144</f>
        <v/>
      </c>
      <c r="P2144">
        <f>IF(B2182=0,0,O2144/B2182)</f>
        <v/>
      </c>
      <c r="Q2144">
        <f>IFERROR(1/(IF(Inputs!$B$39="pvp",15,MAX(0.1,Skills!D4-IF(Skills!E4=TRUE,Inputs!$B$33,0)))*(1-IF(AND(IF(ArtifactsInput!$M$27,FALSE,TRUE),Inputs!$B$4="Chapter Hunt"),CHOOSE(ArtifactsInput!$N$27+1,20,24,28,32,36,40),0)/100)),0)</f>
        <v/>
      </c>
      <c r="R2144">
        <f>IF(AND(Inputs!$B$39&lt;&gt;"pvp",Inputs!$B$44&gt;0),IF(Inputs!$B$44&lt;=0,0,(INT(Inputs!$B$44/(IF(Inputs!$B$39="pvp",15,MAX(0.1,Skills!D4-IF(Skills!E4=TRUE,Inputs!$B$33,0)))*(1-IF(AND(IF(ArtifactsInput!$M$27,FALSE,TRUE),Inputs!$B$4="Chapter Hunt"),CHOOSE(ArtifactsInput!$N$27+1,20,24,28,32,36,40),0)/100)))+1)),0)</f>
        <v/>
      </c>
      <c r="S2144" t="n">
        <v>0</v>
      </c>
      <c r="T2144">
        <f>290*T2143/1000</f>
        <v/>
      </c>
      <c r="U2144" t="n">
        <v>0</v>
      </c>
    </row>
    <row r="2145">
      <c r="A2145">
        <f>Skills!A5</f>
        <v/>
      </c>
      <c r="B2145">
        <f>Skills!B5</f>
        <v/>
      </c>
      <c r="C2145">
        <f>Inputs!$B$3&gt;=40</f>
        <v/>
      </c>
      <c r="D2145">
        <f>IF(Skills!C5=1,60+Inputs!$B$26+Inputs!$B$30,IF(Skills!C5=2,90+Inputs!$B$27+Inputs!$B$30,IF(Skills!C5=3,120+Inputs!$B$28+Inputs!$B$30,MAX(0,(Inputs!$B$3-100)*3)+Inputs!$B$29+Inputs!$B$30)))</f>
        <v/>
      </c>
      <c r="E2145">
        <f>INDEX(FactorTable!$B$2:$Y$301, MATCH(ROUND(MIN(300,MAX(1,D2145)),0), FactorTable!$A$2:$A$301,0), Skills!L5+1)</f>
        <v/>
      </c>
      <c r="F2145">
        <f>IF(Skills!M5=TRUE,(Skills!K5/10)*(E2145/1000),Skills!K5/10)+Skills!N5</f>
        <v/>
      </c>
      <c r="G2145">
        <f>Calc!G5</f>
        <v/>
      </c>
      <c r="H2145">
        <f>Calc!H5</f>
        <v/>
      </c>
      <c r="I2145">
        <f>IF(Skills!T5&lt;&gt;"",1+(Skills!T5/10)*($Z$3/1000)/100,1)</f>
        <v/>
      </c>
      <c r="J2145" t="inlineStr"/>
      <c r="K2145" t="inlineStr"/>
      <c r="L2145" t="inlineStr"/>
      <c r="M2145" t="inlineStr"/>
      <c r="N2145" t="inlineStr"/>
      <c r="O2145">
        <f>(1-Summary!$B$11)*S2145+Summary!$B$11*U2145</f>
        <v/>
      </c>
      <c r="P2145">
        <f>IF(B2182=0,0,O2145/B2182)</f>
        <v/>
      </c>
      <c r="Q2145">
        <f>IFERROR(1/(IF(Inputs!$B$39="pvp",15,MAX(0.1,Skills!D5-IF(Skills!E5=TRUE,Inputs!$B$33,0)))*(1-IF(AND(IF(ArtifactsInput!$M$27,FALSE,TRUE),Inputs!$B$4="Chapter Hunt"),CHOOSE(ArtifactsInput!$N$27+1,20,24,28,32,36,40),0)/100)),0)</f>
        <v/>
      </c>
      <c r="R2145">
        <f>IF(AND(Inputs!$B$39&lt;&gt;"pvp",Inputs!$B$44&gt;0),IF(Inputs!$B$44&lt;=0,0,(INT(Inputs!$B$44/(IF(Inputs!$B$39="pvp",15,MAX(0.1,Skills!D5-IF(Skills!E5=TRUE,Inputs!$B$33,0)))*(1-IF(AND(IF(ArtifactsInput!$M$27,FALSE,TRUE),Inputs!$B$4="Chapter Hunt"),CHOOSE(ArtifactsInput!$N$27+1,20,24,28,32,36,40),0)/100)))+1)),0)</f>
        <v/>
      </c>
      <c r="S2145" t="n">
        <v>0</v>
      </c>
      <c r="U2145" t="n">
        <v>0</v>
      </c>
    </row>
    <row r="2146">
      <c r="A2146">
        <f>Skills!A6</f>
        <v/>
      </c>
      <c r="B2146">
        <f>Skills!B6</f>
        <v/>
      </c>
      <c r="C2146">
        <f>Inputs!$B$3&gt;=103</f>
        <v/>
      </c>
      <c r="D2146">
        <f>IF(Skills!C6=1,60+Inputs!$B$26+Inputs!$B$30,IF(Skills!C6=2,90+Inputs!$B$27+Inputs!$B$30,IF(Skills!C6=3,120+Inputs!$B$28+Inputs!$B$30,MAX(0,(Inputs!$B$3-100)*3)+Inputs!$B$29+Inputs!$B$30)))</f>
        <v/>
      </c>
      <c r="E2146">
        <f>INDEX(FactorTable!$B$2:$Y$301, MATCH(ROUND(MIN(300,MAX(1,D2146)),0), FactorTable!$A$2:$A$301,0), Skills!L6+1)</f>
        <v/>
      </c>
      <c r="F2146">
        <f>IF(Skills!M6=TRUE,(Skills!K6/10)*(E2146/1000),Skills!K6/10)+Skills!N6</f>
        <v/>
      </c>
      <c r="G2146">
        <f>Calc!G6</f>
        <v/>
      </c>
      <c r="H2146">
        <f>Calc!H6</f>
        <v/>
      </c>
      <c r="I2146">
        <f>IF(Skills!T6&lt;&gt;"",1+(Skills!T6/10)*($Z$3/1000)/100,1)</f>
        <v/>
      </c>
      <c r="J2146">
        <f>((Inputs!$B$6*(1+Inputs!$B$7/100))+(((Inputs!$B$13*(1+Inputs!$B$14/100))-(Inputs!$B$13*(1+Inputs!$B$14/100)))+0.25*(Inputs!$B$15-Inputs!$B$15))*(1+Inputs!$B$7/100))*(F2146/100)</f>
        <v/>
      </c>
      <c r="K2146">
        <f>J2146*(1+(((Inputs!$B$13+IF(Inputs!$B$3&gt;=35,(10*INDEX(FactorTable!$B$2:$Y$301,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6="TRIUMPH_FEATHER",IF(C2156=TRUE,F2156,0),0)/100)*(1+IF(C2167=TRUE,F2167,0)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2146)</f>
        <v/>
      </c>
      <c r="L2146">
        <f>K2146*(MIN(Inputs!$B$23+(F2162-Calc!F22),(Inputs!$B$24+IF(ArtifactsInput!$M$15,CHOOSE(ArtifactsInput!$N$15+1,25,30,35,40,45,50)/100*(Inputs!$B$12-Inputs!$B$12),0)))/100+(Inputs!$B$24+IF(ArtifactsInput!$M$15,CHOOSE(ArtifactsInput!$N$15+1,25,30,35,40,45,50)/100*(Inputs!$B$12-Inputs!$B$12),0))/100)/2</f>
        <v/>
      </c>
      <c r="M2146">
        <f>L2146*(1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6">
        <f>L2146*(1-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2146*(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6">
        <f>(1-Summary!$B$11)*S2146+Summary!$B$11*U2146</f>
        <v/>
      </c>
      <c r="P2146">
        <f>IF(B2182=0,0,O2146/B2182)</f>
        <v/>
      </c>
      <c r="Q2146">
        <f>IFERROR(1/(IF(Inputs!$B$39="pvp",15,MAX(0.1,Skills!D6-IF(Skills!E6=TRUE,Inputs!$B$33,0)))*(1-IF(AND(IF(ArtifactsInput!$M$27,FALSE,TRUE),Inputs!$B$4="Chapter Hunt"),CHOOSE(ArtifactsInput!$N$27+1,20,24,28,32,36,40),0)/100)),0)</f>
        <v/>
      </c>
      <c r="R2146">
        <f>IF(AND(Inputs!$B$39&lt;&gt;"pvp",Inputs!$B$44&gt;0),IF(MAX(0,Inputs!$B$44-B2179)&lt;=0,0,(INT(MAX(0,Inputs!$B$44-B2179)/(IF(Inputs!$B$39="pvp",15,MAX(0.1,Skills!D6-IF(Skills!E6=TRUE,Inputs!$B$33,0)))*(1-IF(AND(IF(ArtifactsInput!$M$27,FALSE,TRUE),Inputs!$B$4="Chapter Hunt"),CHOOSE(ArtifactsInput!$N$27+1,20,24,28,32,36,40),0)/100)))+1)),0)</f>
        <v/>
      </c>
      <c r="S2146">
        <f>IF(C2146,(H2146*N2146*IF(AND(Inputs!$B$39&lt;&gt;"pvp",Inputs!$B$44&gt;0),((Skills!F6*((R2146-1)*IF(Skills!G6&gt;0,Skills!H6/Skills!G6,1)+IF(Skills!G6&gt;0,MIN(Skills!H6,MAX(0,MAX(0,Inputs!$B$44-B2179)-((R2146-1)*(IF(Inputs!$B$39="pvp",15,MAX(0.1,Skills!D6-IF(Skills!E6=TRUE,Inputs!$B$33,0)))*(1-IF(AND(IF(ArtifactsInput!$M$27,FALSE,TRUE),Inputs!$B$4="Chapter Hunt"),CHOOSE(ArtifactsInput!$N$27+1,20,24,28,32,36,40),0)/100)))))/Skills!G6,1)))/Inputs!$B$44),G2146*Q2146))*IF(Inputs!$B$39="pvp",1,1+(Inputs!$B$21+Skills!O6+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2146*(1-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2146*(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2146*(1-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2146*(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6">
        <f>IF(C2146,(H2146*N2146*IF(AND(Inputs!$B$39&lt;&gt;"pvp",Inputs!$B$44&gt;0),((Skills!F6*((R2146-1)*IF(Skills!G6&gt;0,Skills!H6/Skills!G6,1)+IF(Skills!G6&gt;0,MIN(Skills!H6,MAX(0,MAX(0,Inputs!$B$44-B2179)-((R2146-1)*(IF(Inputs!$B$39="pvp",15,MAX(0.1,Skills!D6-IF(Skills!E6=TRUE,Inputs!$B$33,0)))*(1-IF(AND(IF(ArtifactsInput!$M$27,FALSE,TRUE),Inputs!$B$4="Chapter Hunt"),CHOOSE(ArtifactsInput!$N$27+1,20,24,28,32,36,40),0)/100)))))/Skills!G6,1)))/Inputs!$B$44),G2146*Q2146))*IF(Inputs!$B$39="pvp",1,(1+(Inputs!$B$22+Skills!P6+B2171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7">
      <c r="A2147">
        <f>Skills!A7</f>
        <v/>
      </c>
      <c r="B2147">
        <f>Skills!B7</f>
        <v/>
      </c>
      <c r="C2147">
        <f>Inputs!$B$3&gt;=122</f>
        <v/>
      </c>
      <c r="D2147">
        <f>IF(Skills!C7=1,60+Inputs!$B$26+Inputs!$B$30,IF(Skills!C7=2,90+Inputs!$B$27+Inputs!$B$30,IF(Skills!C7=3,120+Inputs!$B$28+Inputs!$B$30,MAX(0,(Inputs!$B$3-100)*3)+Inputs!$B$29+Inputs!$B$30)))</f>
        <v/>
      </c>
      <c r="E2147">
        <f>INDEX(FactorTable!$B$2:$Y$301, MATCH(ROUND(MIN(300,MAX(1,D2147)),0), FactorTable!$A$2:$A$301,0), Skills!L7+1)</f>
        <v/>
      </c>
      <c r="F2147">
        <f>IF(Skills!M7=TRUE,(Skills!K7/10)*(E2147/1000),Skills!K7/10)+Skills!N7</f>
        <v/>
      </c>
      <c r="G2147">
        <f>Calc!G7</f>
        <v/>
      </c>
      <c r="H2147">
        <f>Calc!H7</f>
        <v/>
      </c>
      <c r="I2147">
        <f>IF(Skills!T7&lt;&gt;"",1+(Skills!T7/10)*($Z$3/1000)/100,1)</f>
        <v/>
      </c>
      <c r="J2147">
        <f>((Inputs!$B$6*(1+Inputs!$B$7/100))+(((Inputs!$B$13*(1+Inputs!$B$14/100))-(Inputs!$B$13*(1+Inputs!$B$14/100)))+0.25*(Inputs!$B$15-Inputs!$B$15))*(1+Inputs!$B$7/100))*(F2147/100)</f>
        <v/>
      </c>
      <c r="K2147">
        <f>J2147*(1+(((Inputs!$B$13+IF(Inputs!$B$3&gt;=35,(10*INDEX(FactorTable!$B$2:$Y$301,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7="TRIUMPH_FEATHER",IF(C2156=TRUE,F2156,0),0)/100)*(1+IF(C2167=TRUE,F2167,0)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2147)</f>
        <v/>
      </c>
      <c r="L2147">
        <f>K2147*(MIN(Inputs!$B$23+(F2162-Calc!F22),(Inputs!$B$24+IF(ArtifactsInput!$M$15,CHOOSE(ArtifactsInput!$N$15+1,25,30,35,40,45,50)/100*(Inputs!$B$12-Inputs!$B$12),0)))/100+(Inputs!$B$24+IF(ArtifactsInput!$M$15,CHOOSE(ArtifactsInput!$N$15+1,25,30,35,40,45,50)/100*(Inputs!$B$12-Inputs!$B$12),0))/100)/2</f>
        <v/>
      </c>
      <c r="M2147">
        <f>L2147*(1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7">
        <f>L2147*(1-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(1-Summary!$B$11)*S2147+Summary!$B$11*U2147</f>
        <v/>
      </c>
      <c r="P2147">
        <f>IF(B2182=0,0,O2147/B2182)</f>
        <v/>
      </c>
      <c r="Q2147">
        <f>IFERROR(1/(IF(Inputs!$B$39="pvp",15,MAX(0.1,Skills!D7-IF(Skills!E6=TRUE,Inputs!$B$33,0)))*(1-IF(AND(IF(ArtifactsInput!$M$27,FALSE,TRUE),Inputs!$B$4="Chapter Hunt"),CHOOSE(ArtifactsInput!$N$27+1,20,24,28,32,36,40),0)/100)),0)</f>
        <v/>
      </c>
      <c r="R2147">
        <f>IF(AND(Inputs!$B$39&lt;&gt;"pvp",Inputs!$B$44&gt;0),IF(MAX(0,Inputs!$B$44-B2179)&lt;=0,0,(INT(MAX(0,Inputs!$B$44-B2179)/(IF(Inputs!$B$39="pvp",15,MAX(0.1,Skills!D7-IF(Skills!E6=TRUE,Inputs!$B$33,0)))*(1-IF(AND(IF(ArtifactsInput!$M$27,FALSE,TRUE),Inputs!$B$4="Chapter Hunt"),CHOOSE(ArtifactsInput!$N$27+1,20,24,28,32,36,40),0)/100)))+1)),0)</f>
        <v/>
      </c>
      <c r="S2147">
        <f>IF(C2147,H2147*N2147*IF(AND(Inputs!$B$39&lt;&gt;"pvp",Inputs!$B$44&gt;0),((Skills!F7*((R2147-1)*IF(Skills!G7&gt;0,Skills!H7/Skills!G7,1)+IF(Skills!G7&gt;0,MIN(Skills!H7,MAX(0,MAX(0,Inputs!$B$44-B2179)-((R2147-1)*(IF(Inputs!$B$39="pvp",15,MAX(0.1,Skills!D7-IF(Skills!E6=TRUE,Inputs!$B$33,0)))*(1-IF(AND(IF(ArtifactsInput!$M$27,FALSE,TRUE),Inputs!$B$4="Chapter Hunt"),CHOOSE(ArtifactsInput!$N$27+1,20,24,28,32,36,40),0)/100)))))/Skills!G7,1)))/Inputs!$B$44),G2147*Q2147)*IF(Inputs!$B$39="pvp",1,1+(Inputs!$B$21+Skills!O7+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2147*(1-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7" t="n">
        <v>0</v>
      </c>
    </row>
    <row r="2148">
      <c r="A2148">
        <f>Skills!A8</f>
        <v/>
      </c>
      <c r="B2148">
        <f>Skills!B8</f>
        <v/>
      </c>
      <c r="C2148">
        <f>Inputs!$B$3&gt;=105</f>
        <v/>
      </c>
      <c r="D2148">
        <f>IF(Skills!C8=1,60+Inputs!$B$26+Inputs!$B$30,IF(Skills!C8=2,90+Inputs!$B$27+Inputs!$B$30,IF(Skills!C8=3,120+Inputs!$B$28+Inputs!$B$30,MAX(0,(Inputs!$B$3-100)*3)+Inputs!$B$29+Inputs!$B$30)))</f>
        <v/>
      </c>
      <c r="E2148">
        <f>INDEX(FactorTable!$B$2:$Y$301, MATCH(ROUND(MIN(300,MAX(1,D2148)),0), FactorTable!$A$2:$A$301,0), Skills!L8+1)</f>
        <v/>
      </c>
      <c r="F2148">
        <f>IF(Skills!M8=TRUE,(Skills!K8/10)*(E2148/1000),Skills!K8/10)+Skills!N8</f>
        <v/>
      </c>
      <c r="G2148">
        <f>Calc!G8</f>
        <v/>
      </c>
      <c r="H2148">
        <f>Calc!H8</f>
        <v/>
      </c>
      <c r="I2148">
        <f>IF(Skills!T8&lt;&gt;"",1+(Skills!T8/10)*($Z$3/1000)/100,1)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8="TRIUMPH_FEATHER",IF(C2156=TRUE,F2156,0),0)/100)*(1+IF(C2167=TRUE,F2167,0)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2148)</f>
        <v/>
      </c>
      <c r="L2148">
        <f>K2148*(MIN(Inputs!$B$23+(F2162-Calc!F22),(Inputs!$B$24+IF(ArtifactsInput!$M$15,CHOOSE(ArtifactsInput!$N$15+1,25,30,35,40,45,50)/100*(Inputs!$B$12-Inputs!$B$12),0)))/100+(Inputs!$B$24+IF(ArtifactsInput!$M$15,CHOOSE(ArtifactsInput!$N$15+1,25,30,35,40,45,50)/100*(Inputs!$B$12-Inputs!$B$12),0))/100)/2</f>
        <v/>
      </c>
      <c r="M2148">
        <f>L2148*(1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IF(B2182=0,0,O2148/B2182)</f>
        <v/>
      </c>
      <c r="Q2148">
        <f>IFERROR(1/(IF(Inputs!$B$39="pvp",15,MAX(0.1,Skills!D8-IF(Skills!E8=TRUE,Inputs!$B$33,0)))*(1-IF(AND(IF(ArtifactsInput!$M$27,FALSE,TRUE),Inputs!$B$4="Chapter Hunt"),CHOOSE(ArtifactsInput!$N$27+1,20,24,28,32,36,40),0)/100)),0)</f>
        <v/>
      </c>
      <c r="R2148">
        <f>IF(AND(Inputs!$B$39&lt;&gt;"pvp",Inputs!$B$44&gt;0),IF(MAX(0,Inputs!$B$44-B2179)&lt;=0,0,(INT(MAX(0,Inputs!$B$44-B2179)/(IF(Inputs!$B$39="pvp",15,MAX(0.1,Skills!D8-IF(Skills!E8=TRUE,Inputs!$B$33,0)))*(1-IF(AND(IF(ArtifactsInput!$M$27,FALSE,TRUE),Inputs!$B$4="Chapter Hunt"),CHOOSE(ArtifactsInput!$N$27+1,20,24,28,32,36,40),0)/100)))+1)),0)</f>
        <v/>
      </c>
      <c r="S2148">
        <f>IF(C2148,(H2148*N2148*IF(AND(Inputs!$B$39&lt;&gt;"pvp",Inputs!$B$44&gt;0),((Skills!F8*((R2148-1)*IF(Skills!G8&gt;0,Skills!H8/Skills!G8,1)+IF(Skills!G8&gt;0,MIN(Skills!H8,MAX(0,MAX(0,Inputs!$B$44-B2179)-((R2148-1)*(IF(Inputs!$B$39="pvp",15,MAX(0.1,Skills!D8-IF(Skills!E8=TRUE,Inputs!$B$33,0)))*(1-IF(AND(IF(ArtifactsInput!$M$27,FALSE,TRUE),Inputs!$B$4="Chapter Hunt"),CHOOSE(ArtifactsInput!$N$27+1,20,24,28,32,36,40),0)/100)))))/Skills!G8,1)))/Inputs!$B$44),G2148*Q2148))*IF(Inputs!$B$39="pvp",1,1+(Inputs!$B$21+Skills!O8+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8*((R2148-1)*IF(Skills!G8&gt;0,Skills!H8/Skills!G8,1)+IF(Skills!G8&gt;0,MIN(Skills!H8,MAX(0,MAX(0,Inputs!$B$44-B2179)-((R2148-1)*(IF(Inputs!$B$39="pvp",15,MAX(0.1,Skills!D8-IF(Skills!E8=TRUE,Inputs!$B$33,0)))*(1-IF(AND(IF(ArtifactsInput!$M$27,FALSE,TRUE),Inputs!$B$4="Chapter Hunt"),CHOOSE(ArtifactsInput!$N$27+1,20,24,28,32,36,40),0)/100)))))/Skills!G8,1)))/Inputs!$B$44),G2148*Q2148))*IF(Inputs!$B$39="pvp",1,(1+(Inputs!$B$22+Skills!P8+B2171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Skills!A9</f>
        <v/>
      </c>
      <c r="B2149">
        <f>Skills!B9</f>
        <v/>
      </c>
      <c r="C2149">
        <f>Inputs!$B$3&gt;=115</f>
        <v/>
      </c>
      <c r="D2149">
        <f>IF(Skills!C9=1,60+Inputs!$B$26+Inputs!$B$30,IF(Skills!C9=2,90+Inputs!$B$27+Inputs!$B$30,IF(Skills!C9=3,120+Inputs!$B$28+Inputs!$B$30,MAX(0,(Inputs!$B$3-100)*3)+Inputs!$B$29+Inputs!$B$30)))</f>
        <v/>
      </c>
      <c r="E2149">
        <f>INDEX(FactorTable!$B$2:$Y$301, MATCH(ROUND(MIN(300,MAX(1,D2149)),0), FactorTable!$A$2:$A$301,0), Skills!L9+1)</f>
        <v/>
      </c>
      <c r="F2149">
        <f>IF(Skills!M9=TRUE,(Skills!K9/10)*(E2149/1000),Skills!K9/10)+Skills!N9</f>
        <v/>
      </c>
      <c r="G2149">
        <f>Calc!G9</f>
        <v/>
      </c>
      <c r="H2149">
        <f>Calc!H9</f>
        <v/>
      </c>
      <c r="I2149">
        <f>IF(Skills!T9&lt;&gt;"",1+(Skills!T9/10)*($Z$3/1000)/100,1)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9="TRIUMPH_FEATHER",IF(C2156=TRUE,F2156,0),0)/100)*(1+IF(C2167=TRUE,F2167,0)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2149)</f>
        <v/>
      </c>
      <c r="L2149">
        <f>K2149*(MIN(Inputs!$B$23+(F2162-Calc!F22),(Inputs!$B$24+IF(ArtifactsInput!$M$15,CHOOSE(ArtifactsInput!$N$15+1,25,30,35,40,45,50)/100*(Inputs!$B$12-Inputs!$B$12),0)))/100+(Inputs!$B$24+IF(ArtifactsInput!$M$15,CHOOSE(ArtifactsInput!$N$15+1,25,30,35,40,45,50)/100*(Inputs!$B$12-Inputs!$B$12),0))/100)/2</f>
        <v/>
      </c>
      <c r="M2149">
        <f>L2149*(1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IF(B2182=0,0,O2149/B2182)</f>
        <v/>
      </c>
      <c r="Q2149">
        <f>IFERROR(1/(IF(Inputs!$B$39="pvp",15,MAX(0.1,Skills!D9-IF(Skills!E9=TRUE,Inputs!$B$33,0)))*(1-IF(AND(IF(ArtifactsInput!$M$27,FALSE,TRUE),Inputs!$B$4="Chapter Hunt"),CHOOSE(ArtifactsInput!$N$27+1,20,24,28,32,36,40),0)/100)),0)</f>
        <v/>
      </c>
      <c r="R2149">
        <f>IF(AND(Inputs!$B$39&lt;&gt;"pvp",Inputs!$B$44&gt;0),IF(MAX(0,Inputs!$B$44-B2179)&lt;=0,0,(INT(MAX(0,Inputs!$B$44-B2179)/(IF(Inputs!$B$39="pvp",15,MAX(0.1,Skills!D9-IF(Skills!E9=TRUE,Inputs!$B$33,0)))*(1-IF(AND(IF(ArtifactsInput!$M$27,FALSE,TRUE),Inputs!$B$4="Chapter Hunt"),CHOOSE(ArtifactsInput!$N$27+1,20,24,28,32,36,40),0)/100)))+1)),0)</f>
        <v/>
      </c>
      <c r="S2149">
        <f>IF(C2149,(H2149*N2149*IF(AND(Inputs!$B$39&lt;&gt;"pvp",Inputs!$B$44&gt;0),((Skills!F9*((R2149-1)*IF(Skills!G9&gt;0,Skills!H9/Skills!G9,1)+IF(Skills!G9&gt;0,MIN(Skills!H9,MAX(0,MAX(0,Inputs!$B$44-B2179)-((R2149-1)*(IF(Inputs!$B$39="pvp",15,MAX(0.1,Skills!D9-IF(Skills!E9=TRUE,Inputs!$B$33,0)))*(1-IF(AND(IF(ArtifactsInput!$M$27,FALSE,TRUE),Inputs!$B$4="Chapter Hunt"),CHOOSE(ArtifactsInput!$N$27+1,20,24,28,32,36,40),0)/100)))))/Skills!G9,1)))/Inputs!$B$44),G2149*Q2149))*IF(Inputs!$B$39="pvp",1,1+(Inputs!$B$21+Skills!O9+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f>IF(C2149,(H2149*N2149*IF(AND(Inputs!$B$39&lt;&gt;"pvp",Inputs!$B$44&gt;0),((Skills!F9*((R2149-1)*IF(Skills!G9&gt;0,Skills!H9/Skills!G9,1)+IF(Skills!G9&gt;0,MIN(Skills!H9,MAX(0,MAX(0,Inputs!$B$44-B2179)-((R2149-1)*(IF(Inputs!$B$39="pvp",15,MAX(0.1,Skills!D9-IF(Skills!E9=TRUE,Inputs!$B$33,0)))*(1-IF(AND(IF(ArtifactsInput!$M$27,FALSE,TRUE),Inputs!$B$4="Chapter Hunt"),CHOOSE(ArtifactsInput!$N$27+1,20,24,28,32,36,40),0)/100)))))/Skills!G9,1)))/Inputs!$B$44),G2149*Q2149))*IF(Inputs!$B$39="pvp",1,(1+(Inputs!$B$22+Skills!P9+B2171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0">
      <c r="A2150">
        <f>Skills!A10</f>
        <v/>
      </c>
      <c r="B2150">
        <f>Skills!B10</f>
        <v/>
      </c>
      <c r="C2150">
        <f>Inputs!$B$3&gt;=66</f>
        <v/>
      </c>
      <c r="D2150">
        <f>IF(Skills!C10=1,60+Inputs!$B$26+Inputs!$B$30,IF(Skills!C10=2,90+Inputs!$B$27+Inputs!$B$30,IF(Skills!C10=3,120+Inputs!$B$28+Inputs!$B$30,MAX(0,(Inputs!$B$3-100)*3)+Inputs!$B$29+Inputs!$B$30)))</f>
        <v/>
      </c>
      <c r="E2150">
        <f>INDEX(FactorTable!$B$2:$Y$301, MATCH(ROUND(MIN(300,MAX(1,D2150)),0), FactorTable!$A$2:$A$301,0), Skills!L10+1)</f>
        <v/>
      </c>
      <c r="F2150" t="n">
        <v>0</v>
      </c>
      <c r="G2150">
        <f>Calc!G10</f>
        <v/>
      </c>
      <c r="H2150">
        <f>Calc!H10</f>
        <v/>
      </c>
      <c r="I2150">
        <f>IF(Skills!T10&lt;&gt;"",1+(Skills!T10/10)*($Z$3/1000)/100,1)</f>
        <v/>
      </c>
      <c r="J2150" t="inlineStr"/>
      <c r="K2150" t="inlineStr"/>
      <c r="L2150" t="inlineStr"/>
      <c r="M2150" t="inlineStr"/>
      <c r="N2150" t="inlineStr"/>
      <c r="O2150">
        <f>(1-Summary!$B$11)*S2150+Summary!$B$11*U2150</f>
        <v/>
      </c>
      <c r="P2150">
        <f>IF(B2182=0,0,O2150/B2182)</f>
        <v/>
      </c>
      <c r="Q2150">
        <f>IFERROR(1/(IF(Inputs!$B$39="pvp",15,MAX(0.1,Skills!D10-IF(Skills!E10=TRUE,Inputs!$B$33,0)))*(1-IF(AND(IF(ArtifactsInput!$M$27,FALSE,TRUE),Inputs!$B$4="Chapter Hunt"),CHOOSE(ArtifactsInput!$N$27+1,20,24,28,32,36,40),0)/100)),0)</f>
        <v/>
      </c>
      <c r="R2150">
        <f>IF(AND(Inputs!$B$39&lt;&gt;"pvp",Inputs!$B$44&gt;0),IF(MAX(0,Inputs!$B$44-B2179)&lt;=0,0,(INT(MAX(0,Inputs!$B$44-B2179)/(IF(Inputs!$B$39="pvp",15,MAX(0.1,Skills!D10-IF(Skills!E10=TRUE,Inputs!$B$33,0)))*(1-IF(AND(IF(ArtifactsInput!$M$27,FALSE,TRUE),Inputs!$B$4="Chapter Hunt"),CHOOSE(ArtifactsInput!$N$27+1,20,24,28,32,36,40),0)/100)))+1)),0)</f>
        <v/>
      </c>
      <c r="S2150" t="n">
        <v>0</v>
      </c>
      <c r="U2150" t="n">
        <v>0</v>
      </c>
    </row>
    <row r="2151">
      <c r="A2151">
        <f>Skills!A11</f>
        <v/>
      </c>
      <c r="B2151">
        <f>Skills!B11</f>
        <v/>
      </c>
      <c r="C2151">
        <f>Inputs!$B$3&gt;=69</f>
        <v/>
      </c>
      <c r="D2151">
        <f>IF(Skills!C11=1,60+Inputs!$B$26+Inputs!$B$30,IF(Skills!C11=2,90+Inputs!$B$27+Inputs!$B$30,IF(Skills!C11=3,120+Inputs!$B$28+Inputs!$B$30,MAX(0,(Inputs!$B$3-100)*3)+Inputs!$B$29+Inputs!$B$30)))</f>
        <v/>
      </c>
      <c r="E2151">
        <f>INDEX(FactorTable!$B$2:$Y$301, MATCH(ROUND(MIN(300,MAX(1,D2151)),0), FactorTable!$A$2:$A$301,0), Skills!L11+1)</f>
        <v/>
      </c>
      <c r="F2151">
        <f>IF(Skills!M11=TRUE,(Skills!K11/10)*(E2151/1000),Skills!K11/10)+Skills!N11</f>
        <v/>
      </c>
      <c r="G2151">
        <f>Calc!G11</f>
        <v/>
      </c>
      <c r="H2151">
        <f>Calc!H11</f>
        <v/>
      </c>
      <c r="I2151">
        <f>IF(Skills!T11&lt;&gt;"",1+(Skills!T11/10)*($Z$3/1000)/100,1)</f>
        <v/>
      </c>
      <c r="J2151" t="inlineStr"/>
      <c r="K2151" t="inlineStr"/>
      <c r="L2151" t="inlineStr"/>
      <c r="M2151" t="inlineStr"/>
      <c r="N2151" t="inlineStr"/>
      <c r="O2151">
        <f>(1-Summary!$B$11)*S2151+Summary!$B$11*U2151</f>
        <v/>
      </c>
      <c r="P2151">
        <f>IF(B2182=0,0,O2151/B2182)</f>
        <v/>
      </c>
      <c r="Q2151">
        <f>IFERROR(1/(IF(Inputs!$B$39="pvp",15,MAX(0.1,Skills!D11-IF(Skills!E11=TRUE,Inputs!$B$33,0)))*(1-IF(AND(IF(ArtifactsInput!$M$27,FALSE,TRUE),Inputs!$B$4="Chapter Hunt"),CHOOSE(ArtifactsInput!$N$27+1,20,24,28,32,36,40),0)/100)),0)</f>
        <v/>
      </c>
      <c r="R2151">
        <f>IF(AND(Inputs!$B$39&lt;&gt;"pvp",Inputs!$B$44&gt;0),IF(Inputs!$B$44&lt;=0,0,(INT(Inputs!$B$44/(IF(Inputs!$B$39="pvp",15,MAX(0.1,Skills!D11-IF(Skills!E11=TRUE,Inputs!$B$33,0)))*(1-IF(AND(IF(ArtifactsInput!$M$27,FALSE,TRUE),Inputs!$B$4="Chapter Hunt"),CHOOSE(ArtifactsInput!$N$27+1,20,24,28,32,36,40),0)/100)))+1)),0)</f>
        <v/>
      </c>
      <c r="S2151" t="n">
        <v>0</v>
      </c>
      <c r="U2151" t="n">
        <v>0</v>
      </c>
    </row>
    <row r="2152">
      <c r="A2152">
        <f>Skills!A12</f>
        <v/>
      </c>
      <c r="B2152">
        <f>Skills!B12</f>
        <v/>
      </c>
      <c r="C2152">
        <f>Inputs!$B$3&gt;=72</f>
        <v/>
      </c>
      <c r="D2152">
        <f>IF(Skills!C12=1,60+Inputs!$B$26+Inputs!$B$30,IF(Skills!C12=2,90+Inputs!$B$27+Inputs!$B$30,IF(Skills!C12=3,120+Inputs!$B$28+Inputs!$B$30,MAX(0,(Inputs!$B$3-100)*3)+Inputs!$B$29+Inputs!$B$30)))</f>
        <v/>
      </c>
      <c r="E2152">
        <f>INDEX(FactorTable!$B$2:$Y$301, MATCH(ROUND(MIN(300,MAX(1,D2152)),0), FactorTable!$A$2:$A$301,0), Skills!L12+1)</f>
        <v/>
      </c>
      <c r="F2152">
        <f>IF(Skills!M12=TRUE,(Skills!K12/10)*(E2152/1000),Skills!K12/10)+Skills!N12</f>
        <v/>
      </c>
      <c r="G2152">
        <f>Calc!G12</f>
        <v/>
      </c>
      <c r="H2152">
        <f>Calc!H12</f>
        <v/>
      </c>
      <c r="I2152">
        <f>IF(Skills!T12&lt;&gt;"",1+(Skills!T12/10)*($Z$3/1000)/100,1)</f>
        <v/>
      </c>
      <c r="J2152" t="inlineStr"/>
      <c r="K2152" t="inlineStr"/>
      <c r="L2152" t="inlineStr"/>
      <c r="M2152" t="inlineStr"/>
      <c r="N2152" t="inlineStr"/>
      <c r="O2152">
        <f>(1-Summary!$B$11)*S2152+Summary!$B$11*U2152</f>
        <v/>
      </c>
      <c r="P2152">
        <f>IF(B2182=0,0,O2152/B2182)</f>
        <v/>
      </c>
      <c r="Q2152">
        <f>IFERROR(1/(IF(Inputs!$B$39="pvp",15,MAX(0.1,Skills!D12-IF(Skills!E12=TRUE,Inputs!$B$33,0)))*(1-IF(AND(IF(ArtifactsInput!$M$27,FALSE,TRUE),Inputs!$B$4="Chapter Hunt"),CHOOSE(ArtifactsInput!$N$27+1,20,24,28,32,36,40),0)/100)),0)</f>
        <v/>
      </c>
      <c r="R2152">
        <f>IF(AND(Inputs!$B$39&lt;&gt;"pvp",Inputs!$B$44&gt;0),IF(MAX(0,Inputs!$B$44-B2179)&lt;=0,0,(INT(MAX(0,Inputs!$B$44-B2179)/(IF(Inputs!$B$39="pvp",15,MAX(0.1,Skills!D12-IF(Skills!E12=TRUE,Inputs!$B$33,0)))*(1-IF(AND(IF(ArtifactsInput!$M$27,FALSE,TRUE),Inputs!$B$4="Chapter Hunt"),CHOOSE(ArtifactsInput!$N$27+1,20,24,28,32,36,40),0)/100)))+1)),0)</f>
        <v/>
      </c>
      <c r="S2152" t="n">
        <v>0</v>
      </c>
      <c r="U2152" t="n">
        <v>0</v>
      </c>
    </row>
    <row r="2153">
      <c r="A2153">
        <f>Skills!A13</f>
        <v/>
      </c>
      <c r="B2153">
        <f>Skills!B13</f>
        <v/>
      </c>
      <c r="C2153">
        <f>Inputs!$B$3&gt;=60</f>
        <v/>
      </c>
      <c r="D2153">
        <f>IF(Skills!C13=1,60+Inputs!$B$26+Inputs!$B$30,IF(Skills!C13=2,90+Inputs!$B$27+Inputs!$B$30,IF(Skills!C13=3,120+Inputs!$B$28+Inputs!$B$30,MAX(0,(Inputs!$B$3-100)*3)+Inputs!$B$29+Inputs!$B$30)))</f>
        <v/>
      </c>
      <c r="E2153">
        <f>INDEX(FactorTable!$B$2:$Y$301, MATCH(ROUND(MIN(300,MAX(1,D2153)),0), FactorTable!$A$2:$A$301,0), Skills!L13+1)</f>
        <v/>
      </c>
      <c r="F2153">
        <f>IF(Skills!M13=TRUE,(Skills!K13/10)*(E2153/1000),Skills!K13/10)+Skills!N13</f>
        <v/>
      </c>
      <c r="G2153">
        <f>Calc!G13</f>
        <v/>
      </c>
      <c r="H2153">
        <f>Calc!H13</f>
        <v/>
      </c>
      <c r="I2153">
        <f>IF(Skills!T13&lt;&gt;"",1+(Skills!T13/10)*($Z$3/1000)/100,1)</f>
        <v/>
      </c>
      <c r="J2153" t="inlineStr"/>
      <c r="K2153" t="inlineStr"/>
      <c r="L2153" t="inlineStr"/>
      <c r="M2153" t="inlineStr"/>
      <c r="N2153" t="inlineStr"/>
      <c r="O2153">
        <f>(1-Summary!$B$11)*S2153+Summary!$B$11*U2153</f>
        <v/>
      </c>
      <c r="P2153">
        <f>IF(B2182=0,0,O2153/B2182)</f>
        <v/>
      </c>
      <c r="Q2153">
        <f>IFERROR(1/(IF(Inputs!$B$39="pvp",15,MAX(0.1,Skills!D13-IF(Skills!E13=TRUE,Inputs!$B$33,0)))*(1-IF(AND(IF(ArtifactsInput!$M$27,FALSE,TRUE),Inputs!$B$4="Chapter Hunt"),CHOOSE(ArtifactsInput!$N$27+1,20,24,28,32,36,40),0)/100)),0)</f>
        <v/>
      </c>
      <c r="R2153">
        <f>IF(AND(Inputs!$B$39&lt;&gt;"pvp",Inputs!$B$44&gt;0),IF(MAX(0,Inputs!$B$44-B2179)&lt;=0,0,(INT(MAX(0,Inputs!$B$44-B2179)/(IF(Inputs!$B$39="pvp",15,MAX(0.1,Skills!D13-IF(Skills!E13=TRUE,Inputs!$B$33,0)))*(1-IF(AND(IF(ArtifactsInput!$M$27,FALSE,TRUE),Inputs!$B$4="Chapter Hunt"),CHOOSE(ArtifactsInput!$N$27+1,20,24,28,32,36,40),0)/100)))+1)),0)</f>
        <v/>
      </c>
      <c r="S2153" t="n">
        <v>0</v>
      </c>
      <c r="U2153" t="n">
        <v>0</v>
      </c>
    </row>
    <row r="2154">
      <c r="A2154">
        <f>Skills!A14</f>
        <v/>
      </c>
      <c r="B2154">
        <f>Skills!B14</f>
        <v/>
      </c>
      <c r="C2154">
        <f>Inputs!$B$3&gt;=107</f>
        <v/>
      </c>
      <c r="D2154">
        <f>IF(Skills!C14=1,60+Inputs!$B$26+Inputs!$B$30,IF(Skills!C14=2,90+Inputs!$B$27+Inputs!$B$30,IF(Skills!C14=3,120+Inputs!$B$28+Inputs!$B$30,MAX(0,(Inputs!$B$3-100)*3)+Inputs!$B$29+Inputs!$B$30)))</f>
        <v/>
      </c>
      <c r="E2154">
        <f>INDEX(FactorTable!$B$2:$Y$301, MATCH(ROUND(MIN(300,MAX(1,D2154)),0), FactorTable!$A$2:$A$301,0), Skills!L14+1)</f>
        <v/>
      </c>
      <c r="F2154">
        <f>IF(Skills!M14=TRUE,(Skills!K14/10)*(E2154/1000),Skills!K14/10)+Skills!N14</f>
        <v/>
      </c>
      <c r="G2154">
        <f>Calc!G14</f>
        <v/>
      </c>
      <c r="H2154">
        <f>Calc!H14</f>
        <v/>
      </c>
      <c r="I2154">
        <f>IF(Skills!T14&lt;&gt;"",1+(Skills!T14/10)*($Z$3/1000)/100,1)</f>
        <v/>
      </c>
      <c r="J2154" t="inlineStr"/>
      <c r="K2154" t="inlineStr"/>
      <c r="L2154" t="inlineStr"/>
      <c r="M2154" t="inlineStr"/>
      <c r="N2154" t="inlineStr"/>
      <c r="O2154">
        <f>(1-Summary!$B$11)*S2154+Summary!$B$11*U2154</f>
        <v/>
      </c>
      <c r="P2154">
        <f>IF(B2182=0,0,O2154/B2182)</f>
        <v/>
      </c>
      <c r="Q2154">
        <f>IFERROR(1/(IF(Inputs!$B$39="pvp",15,MAX(0.1,Skills!D14-IF(Skills!E14=TRUE,Inputs!$B$33,0)))*(1-IF(AND(IF(ArtifactsInput!$M$27,FALSE,TRUE),Inputs!$B$4="Chapter Hunt"),CHOOSE(ArtifactsInput!$N$27+1,20,24,28,32,36,40),0)/100)),0)</f>
        <v/>
      </c>
      <c r="R2154">
        <f>IF(AND(Inputs!$B$39&lt;&gt;"pvp",Inputs!$B$44&gt;0),IF(Inputs!$B$44&lt;=0,0,(INT(Inputs!$B$44/(IF(Inputs!$B$39="pvp",15,MAX(0.1,Skills!D14-IF(Skills!E14=TRUE,Inputs!$B$33,0)))*(1-IF(AND(IF(ArtifactsInput!$M$27,FALSE,TRUE),Inputs!$B$4="Chapter Hunt"),CHOOSE(ArtifactsInput!$N$27+1,20,24,28,32,36,40),0)/100)))+1)),0)</f>
        <v/>
      </c>
      <c r="S2154" t="n">
        <v>0</v>
      </c>
      <c r="U2154" t="n">
        <v>0</v>
      </c>
    </row>
    <row r="2155">
      <c r="A2155">
        <f>Skills!A15</f>
        <v/>
      </c>
      <c r="B2155">
        <f>Skills!B15</f>
        <v/>
      </c>
      <c r="C2155">
        <f>Inputs!$B$3&gt;=63</f>
        <v/>
      </c>
      <c r="D2155">
        <f>IF(Skills!C15=1,60+Inputs!$B$26+Inputs!$B$30,IF(Skills!C15=2,90+Inputs!$B$27+Inputs!$B$30,IF(Skills!C15=3,120+Inputs!$B$28+Inputs!$B$30,MAX(0,(Inputs!$B$3-100)*3)+Inputs!$B$29+Inputs!$B$30)))</f>
        <v/>
      </c>
      <c r="E2155">
        <f>INDEX(FactorTable!$B$2:$Y$301, MATCH(ROUND(MIN(300,MAX(1,D2155)),0), FactorTable!$A$2:$A$301,0), Skills!L15+1)</f>
        <v/>
      </c>
      <c r="F2155">
        <f>IF(Skills!M15=TRUE,(Skills!K15/10)*(E2155/1000),Skills!K15/10)+Skills!N15</f>
        <v/>
      </c>
      <c r="G2155">
        <f>Calc!G15</f>
        <v/>
      </c>
      <c r="H2155">
        <f>Calc!H15</f>
        <v/>
      </c>
      <c r="I2155">
        <f>IF(Skills!T15&lt;&gt;"",1+(Skills!T15/10)*($Z$3/1000)/100,1)</f>
        <v/>
      </c>
      <c r="J2155">
        <f>((Inputs!$B$6*(1+Inputs!$B$7/100))+(((Inputs!$B$13*(1+Inputs!$B$14/100))-(Inputs!$B$13*(1+Inputs!$B$14/100)))+0.25*(Inputs!$B$15-Inputs!$B$15))*(1+Inputs!$B$7/100))*(F2155/100)</f>
        <v/>
      </c>
      <c r="K2155">
        <f>J2155*(1+(((Inputs!$B$13+IF(Inputs!$B$3&gt;=35,(10*INDEX(FactorTable!$B$2:$Y$301,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15="TRIUMPH_FEATHER",IF(C2156=TRUE,F2156,0),0)/100)*(1+IF(C2167=TRUE,F2167,0)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2155)</f>
        <v/>
      </c>
      <c r="L2155">
        <f>K2155*(MIN(Inputs!$B$23+(F2162-Calc!F22),(Inputs!$B$24+IF(ArtifactsInput!$M$15,CHOOSE(ArtifactsInput!$N$15+1,25,30,35,40,45,50)/100*(Inputs!$B$12-Inputs!$B$12),0)))/100+(Inputs!$B$24+IF(ArtifactsInput!$M$15,CHOOSE(ArtifactsInput!$N$15+1,25,30,35,40,45,50)/100*(Inputs!$B$12-Inputs!$B$12),0))/100)/2</f>
        <v/>
      </c>
      <c r="M2155">
        <f>L2155*(1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5">
        <f>L2155*(1-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2155*(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5">
        <f>(1-Summary!$B$11)*S2155+Summary!$B$11*U2155</f>
        <v/>
      </c>
      <c r="P2155">
        <f>IF(B2182=0,0,O2155/B2182)</f>
        <v/>
      </c>
      <c r="Q2155">
        <f>IFERROR(1/(IF(Inputs!$B$39="pvp",15,MAX(0.1,Skills!D15-IF(Skills!E15=TRUE,Inputs!$B$33,0)))*(1-IF(AND(IF(ArtifactsInput!$M$27,FALSE,TRUE),Inputs!$B$4="Chapter Hunt"),CHOOSE(ArtifactsInput!$N$27+1,20,24,28,32,36,40),0)/100)),0)</f>
        <v/>
      </c>
      <c r="R2155" t="n">
        <v>0</v>
      </c>
      <c r="S2155">
        <f>IF(C2155,(Skills!F15*N2155*((IF(Inputs!$B$3&gt;=78,25,15)/100*B2175*10)/(1+IF(Inputs!$B$3&gt;=78,25,15)/100*B2175*10))*(Skills!I15/100*B2175)/(1+Skills!G15*Skills!I15/100*B2175))*IF(Inputs!$B$39="pvp",1,1+(Inputs!$B$21+Skills!O15+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2155*(1-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2155*(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2155*(1-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2155*(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5">
        <f>IF(C2155,(Skills!F15*N2155*((IF(Inputs!$B$3&gt;=78,25,15)/100*B2175*10)/(1+IF(Inputs!$B$3&gt;=78,25,15)/100*B2175*10))*(Skills!I15/100*B2175)/(1+Skills!G15*Skills!I15/100*B2175))*IF(Inputs!$B$39="pvp",1,(1+(Inputs!$B$22+Skills!P15+B2171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6">
      <c r="A2156">
        <f>Skills!A16</f>
        <v/>
      </c>
      <c r="B2156">
        <f>Skills!B16</f>
        <v/>
      </c>
      <c r="C2156">
        <f>Inputs!$B$3&gt;=100</f>
        <v/>
      </c>
      <c r="D2156">
        <f>IF(Skills!C16=1,60+Inputs!$B$26+Inputs!$B$30,IF(Skills!C16=2,90+Inputs!$B$27+Inputs!$B$30,IF(Skills!C16=3,120+Inputs!$B$28+Inputs!$B$30,MAX(0,(Inputs!$B$3-100)*3)+Inputs!$B$29+Inputs!$B$30)))</f>
        <v/>
      </c>
      <c r="E2156">
        <f>INDEX(FactorTable!$B$2:$Y$301, MATCH(ROUND(MIN(300,MAX(1,D2156)),0), FactorTable!$A$2:$A$301,0), Skills!L16+1)</f>
        <v/>
      </c>
      <c r="F2156">
        <f>IF(Skills!M16=TRUE,(Skills!K16/10)*(E2156/1000),Skills!K16/10)+Skills!N16</f>
        <v/>
      </c>
      <c r="G2156">
        <f>Calc!G16</f>
        <v/>
      </c>
      <c r="H2156">
        <f>Calc!H16</f>
        <v/>
      </c>
      <c r="I2156">
        <f>IF(Skills!T16&lt;&gt;"",1+(Skills!T16/10)*($Z$3/1000)/100,1)</f>
        <v/>
      </c>
      <c r="J2156" t="inlineStr"/>
      <c r="K2156" t="inlineStr"/>
      <c r="L2156" t="inlineStr"/>
      <c r="M2156" t="inlineStr"/>
      <c r="N2156" t="inlineStr"/>
      <c r="O2156">
        <f>(1-Summary!$B$11)*S2156+Summary!$B$11*U2156</f>
        <v/>
      </c>
      <c r="P2156">
        <f>IF(B2182=0,0,O2156/B2182)</f>
        <v/>
      </c>
      <c r="Q2156">
        <f>IFERROR(1/(IF(Inputs!$B$39="pvp",15,MAX(0.1,Skills!D16-IF(Skills!E16=TRUE,Inputs!$B$33,0)))*(1-IF(AND(IF(ArtifactsInput!$M$27,FALSE,TRUE),Inputs!$B$4="Chapter Hunt"),CHOOSE(ArtifactsInput!$N$27+1,20,24,28,32,36,40),0)/100)),0)</f>
        <v/>
      </c>
      <c r="R2156" t="n">
        <v>0</v>
      </c>
      <c r="S2156" t="n">
        <v>0</v>
      </c>
      <c r="U2156" t="n">
        <v>0</v>
      </c>
    </row>
    <row r="2157">
      <c r="A2157">
        <f>Skills!A17</f>
        <v/>
      </c>
      <c r="B2157">
        <f>Skills!B17</f>
        <v/>
      </c>
      <c r="C2157">
        <f>Inputs!$B$3&gt;=49</f>
        <v/>
      </c>
      <c r="D2157">
        <f>IF(Skills!C17=1,60+Inputs!$B$26+Inputs!$B$30,IF(Skills!C17=2,90+Inputs!$B$27+Inputs!$B$30,IF(Skills!C17=3,120+Inputs!$B$28+Inputs!$B$30,MAX(0,(Inputs!$B$3-100)*3)+Inputs!$B$29+Inputs!$B$30)))</f>
        <v/>
      </c>
      <c r="E2157">
        <f>INDEX(FactorTable!$B$2:$Y$301, MATCH(ROUND(MIN(300,MAX(1,D2157)),0), FactorTable!$A$2:$A$301,0), Skills!L17+1)</f>
        <v/>
      </c>
      <c r="F2157">
        <f>IF(Skills!M17=TRUE,(Skills!K17/10)*(E2157/1000),Skills!K17/10)+Skills!N17</f>
        <v/>
      </c>
      <c r="G2157">
        <f>Calc!G17</f>
        <v/>
      </c>
      <c r="H2157">
        <f>Calc!H17</f>
        <v/>
      </c>
      <c r="I2157">
        <f>IF(Skills!T17&lt;&gt;"",1+(Skills!T17/10)*($Z$3/1000)/100,1)</f>
        <v/>
      </c>
      <c r="J2157" t="inlineStr"/>
      <c r="K2157" t="inlineStr"/>
      <c r="L2157" t="inlineStr"/>
      <c r="M2157" t="inlineStr"/>
      <c r="N2157" t="inlineStr"/>
      <c r="O2157">
        <f>(1-Summary!$B$11)*S2157+Summary!$B$11*U2157</f>
        <v/>
      </c>
      <c r="P2157">
        <f>IF(B2182=0,0,O2157/B2182)</f>
        <v/>
      </c>
      <c r="Q2157">
        <f>IFERROR(1/(IF(Inputs!$B$39="pvp",15,MAX(0.1,Skills!D17-IF(Skills!E17=TRUE,Inputs!$B$33,0)))*(1-IF(AND(IF(ArtifactsInput!$M$27,FALSE,TRUE),Inputs!$B$4="Chapter Hunt"),CHOOSE(ArtifactsInput!$N$27+1,20,24,28,32,36,40),0)/100)),0)</f>
        <v/>
      </c>
      <c r="R2157" t="n">
        <v>0</v>
      </c>
      <c r="S2157" t="n">
        <v>0</v>
      </c>
      <c r="U2157" t="n">
        <v>0</v>
      </c>
    </row>
    <row r="2158">
      <c r="A2158">
        <f>Skills!A18</f>
        <v/>
      </c>
      <c r="B2158">
        <f>Skills!B18</f>
        <v/>
      </c>
      <c r="C2158">
        <f>Inputs!$B$3&gt;=75</f>
        <v/>
      </c>
      <c r="D2158">
        <f>IF(Skills!C18=1,60+Inputs!$B$26+Inputs!$B$30,IF(Skills!C18=2,90+Inputs!$B$27+Inputs!$B$30,IF(Skills!C18=3,120+Inputs!$B$28+Inputs!$B$30,MAX(0,(Inputs!$B$3-100)*3)+Inputs!$B$29+Inputs!$B$30)))</f>
        <v/>
      </c>
      <c r="E2158">
        <f>INDEX(FactorTable!$B$2:$Y$301, MATCH(ROUND(MIN(300,MAX(1,D2158)),0), FactorTable!$A$2:$A$301,0), Skills!L18+1)</f>
        <v/>
      </c>
      <c r="F2158">
        <f>IF(Skills!M18=TRUE,(Skills!K18/10)*(E2158/1000),Skills!K18/10)+Skills!N18</f>
        <v/>
      </c>
      <c r="G2158">
        <f>Calc!G18</f>
        <v/>
      </c>
      <c r="H2158">
        <f>Calc!H18</f>
        <v/>
      </c>
      <c r="I2158">
        <f>IF(Skills!T18&lt;&gt;"",1+(Skills!T18/10)*($Z$3/1000)/100,1)</f>
        <v/>
      </c>
      <c r="J2158" t="inlineStr"/>
      <c r="K2158" t="inlineStr"/>
      <c r="L2158" t="inlineStr"/>
      <c r="M2158" t="inlineStr"/>
      <c r="N2158" t="inlineStr"/>
      <c r="O2158">
        <f>(1-Summary!$B$11)*S2158+Summary!$B$11*U2158</f>
        <v/>
      </c>
      <c r="P2158">
        <f>IF(B2182=0,0,O2158/B2182)</f>
        <v/>
      </c>
      <c r="Q2158">
        <f>IFERROR(1/(IF(Inputs!$B$39="pvp",15,MAX(0.1,Skills!D18-IF(Skills!E18=TRUE,Inputs!$B$33,0)))*(1-IF(AND(IF(ArtifactsInput!$M$27,FALSE,TRUE),Inputs!$B$4="Chapter Hunt"),CHOOSE(ArtifactsInput!$N$27+1,20,24,28,32,36,40),0)/100)),0)</f>
        <v/>
      </c>
      <c r="R2158" t="n">
        <v>0</v>
      </c>
      <c r="S2158" t="n">
        <v>0</v>
      </c>
      <c r="U2158" t="n">
        <v>0</v>
      </c>
    </row>
    <row r="2159">
      <c r="A2159">
        <f>Skills!A19</f>
        <v/>
      </c>
      <c r="B2159">
        <f>Skills!B19</f>
        <v/>
      </c>
      <c r="C2159">
        <f>Inputs!$B$3&gt;=110</f>
        <v/>
      </c>
      <c r="D2159">
        <f>IF(Skills!C19=1,60+Inputs!$B$26+Inputs!$B$30,IF(Skills!C19=2,90+Inputs!$B$27+Inputs!$B$30,IF(Skills!C19=3,120+Inputs!$B$28+Inputs!$B$30,MAX(0,(Inputs!$B$3-100)*3)+Inputs!$B$29+Inputs!$B$30)))</f>
        <v/>
      </c>
      <c r="E2159">
        <f>INDEX(FactorTable!$B$2:$Y$301, MATCH(ROUND(MIN(300,MAX(1,D2159)),0), FactorTable!$A$2:$A$301,0), Skills!L19+1)</f>
        <v/>
      </c>
      <c r="F2159">
        <f>(Skills!K19/10)*(E2159/1000)*64/45+Skills!N19</f>
        <v/>
      </c>
      <c r="G2159">
        <f>Calc!G19</f>
        <v/>
      </c>
      <c r="H2159">
        <f>Calc!H19</f>
        <v/>
      </c>
      <c r="I2159">
        <f>IF(Skills!T19&lt;&gt;"",1+(Skills!T19/10)*($Z$3/1000)/100,1)</f>
        <v/>
      </c>
      <c r="J2159" t="inlineStr"/>
      <c r="K2159" t="inlineStr"/>
      <c r="L2159" t="inlineStr"/>
      <c r="M2159" t="inlineStr"/>
      <c r="N2159" t="inlineStr"/>
      <c r="O2159">
        <f>(1-Summary!$B$11)*S2159+Summary!$B$11*U2159</f>
        <v/>
      </c>
      <c r="P2159">
        <f>IF(B2182=0,0,O2159/B2182)</f>
        <v/>
      </c>
      <c r="Q2159">
        <f>IFERROR(1/(IF(Inputs!$B$39="pvp",15,MAX(0.1,Skills!D19-IF(Skills!E19=TRUE,Inputs!$B$33,0)))*(1-IF(AND(IF(ArtifactsInput!$M$27,FALSE,TRUE),Inputs!$B$4="Chapter Hunt"),CHOOSE(ArtifactsInput!$N$27+1,20,24,28,32,36,40),0)/100)),0)</f>
        <v/>
      </c>
      <c r="R2159">
        <f>IF(AND(Inputs!$B$39&lt;&gt;"pvp",Inputs!$B$44&gt;0),IF(Inputs!$B$44&lt;=0,0,(INT(Inputs!$B$44/(IF(Inputs!$B$39="pvp",15,MAX(0.1,Skills!D19-IF(Skills!E19=TRUE,Inputs!$B$33,0)))*(1-IF(AND(IF(ArtifactsInput!$M$27,FALSE,TRUE),Inputs!$B$4="Chapter Hunt"),CHOOSE(ArtifactsInput!$N$27+1,20,24,28,32,36,40),0)/100)))+1)),0)</f>
        <v/>
      </c>
      <c r="S2159" t="n">
        <v>0</v>
      </c>
      <c r="U2159" t="n">
        <v>0</v>
      </c>
    </row>
    <row r="2160">
      <c r="A2160">
        <f>Skills!A20</f>
        <v/>
      </c>
      <c r="B2160">
        <f>Skills!B20</f>
        <v/>
      </c>
      <c r="C2160">
        <f>Inputs!$B$3&gt;=125</f>
        <v/>
      </c>
      <c r="D2160">
        <f>IF(Skills!C20=1,60+Inputs!$B$26+Inputs!$B$30,IF(Skills!C20=2,90+Inputs!$B$27+Inputs!$B$30,IF(Skills!C20=3,120+Inputs!$B$28+Inputs!$B$30,MAX(0,(Inputs!$B$3-100)*3)+Inputs!$B$29+Inputs!$B$30)))</f>
        <v/>
      </c>
      <c r="E2160">
        <f>INDEX(FactorTable!$B$2:$Y$301, MATCH(ROUND(MIN(300,MAX(1,D2160)),0), FactorTable!$A$2:$A$301,0), Skills!L20+1)</f>
        <v/>
      </c>
      <c r="F2160">
        <f>IF(Skills!M20=TRUE,(Skills!K20/10)*(E2160/1000),Skills!K20/10)+Skills!N20</f>
        <v/>
      </c>
      <c r="G2160">
        <f>Calc!G20</f>
        <v/>
      </c>
      <c r="H2160">
        <f>Calc!H20</f>
        <v/>
      </c>
      <c r="I2160">
        <f>IF(Skills!T20&lt;&gt;"",1+(Skills!T20/10)*($Z$3/1000)/100,1)</f>
        <v/>
      </c>
      <c r="J2160" t="inlineStr"/>
      <c r="K2160" t="inlineStr"/>
      <c r="L2160" t="inlineStr"/>
      <c r="M2160" t="inlineStr"/>
      <c r="N2160" t="inlineStr"/>
      <c r="O2160">
        <f>(1-Summary!$B$11)*S2160+Summary!$B$11*U2160</f>
        <v/>
      </c>
      <c r="P2160">
        <f>IF(B2182=0,0,O2160/B2182)</f>
        <v/>
      </c>
      <c r="Q2160">
        <f>IFERROR(1/(IF(Inputs!$B$39="pvp",15,MAX(0.1,Skills!D20-IF(Skills!E20=TRUE,Inputs!$B$33,0)))*(1-IF(AND(IF(ArtifactsInput!$M$27,FALSE,TRUE),Inputs!$B$4="Chapter Hunt"),CHOOSE(ArtifactsInput!$N$27+1,20,24,28,32,36,40),0)/100)),0)</f>
        <v/>
      </c>
      <c r="R2160" t="n">
        <v>0</v>
      </c>
      <c r="S2160" t="n">
        <v>0</v>
      </c>
      <c r="U2160" t="n">
        <v>0</v>
      </c>
    </row>
    <row r="2161">
      <c r="A2161">
        <f>Skills!A21</f>
        <v/>
      </c>
      <c r="B2161">
        <f>Skills!B21</f>
        <v/>
      </c>
      <c r="C2161">
        <f>Inputs!$B$3&gt;=33</f>
        <v/>
      </c>
      <c r="D2161">
        <f>IF(Skills!C21=1,60+Inputs!$B$26+Inputs!$B$30,IF(Skills!C21=2,90+Inputs!$B$27+Inputs!$B$30,IF(Skills!C21=3,120+Inputs!$B$28+Inputs!$B$30,MAX(0,(Inputs!$B$3-100)*3)+Inputs!$B$29+Inputs!$B$30)))</f>
        <v/>
      </c>
      <c r="E2161">
        <f>INDEX(FactorTable!$B$2:$Y$301, MATCH(ROUND(MIN(300,MAX(1,D2161)),0), FactorTable!$A$2:$A$301,0), Skills!L21+1)</f>
        <v/>
      </c>
      <c r="F2161">
        <f>IF(Skills!M21=TRUE,(Skills!K21/10)*(E2161/1000),Skills!K21/10)+Skills!N21</f>
        <v/>
      </c>
      <c r="G2161">
        <f>Calc!G21</f>
        <v/>
      </c>
      <c r="H2161">
        <f>Calc!H21</f>
        <v/>
      </c>
      <c r="I2161">
        <f>IF(Skills!T21&lt;&gt;"",1+(Skills!T21/10)*($Z$3/1000)/100,1)</f>
        <v/>
      </c>
      <c r="J2161" t="inlineStr"/>
      <c r="K2161" t="inlineStr"/>
      <c r="L2161" t="inlineStr"/>
      <c r="M2161" t="inlineStr"/>
      <c r="N2161" t="inlineStr"/>
      <c r="O2161">
        <f>(1-Summary!$B$11)*S2161+Summary!$B$11*U2161</f>
        <v/>
      </c>
      <c r="P2161">
        <f>IF(B2182=0,0,O2161/B2182)</f>
        <v/>
      </c>
      <c r="Q2161">
        <f>IFERROR(1/(IF(Inputs!$B$39="pvp",15,MAX(0.1,Skills!D21-IF(Skills!E21=TRUE,Inputs!$B$33,0)))*(1-IF(AND(IF(ArtifactsInput!$M$27,FALSE,TRUE),Inputs!$B$4="Chapter Hunt"),CHOOSE(ArtifactsInput!$N$27+1,20,24,28,32,36,40),0)/100)),0)</f>
        <v/>
      </c>
      <c r="R2161" t="n">
        <v>0</v>
      </c>
      <c r="S2161" t="n">
        <v>0</v>
      </c>
      <c r="U2161" t="n">
        <v>0</v>
      </c>
    </row>
    <row r="2162">
      <c r="A2162">
        <f>Skills!A22</f>
        <v/>
      </c>
      <c r="B2162">
        <f>Skills!B22</f>
        <v/>
      </c>
      <c r="C2162">
        <f>Inputs!$B$3&gt;=43</f>
        <v/>
      </c>
      <c r="D2162">
        <f>IF(Skills!C22=1,60+Inputs!$B$26+Inputs!$B$30,IF(Skills!C22=2,90+Inputs!$B$27+Inputs!$B$30,IF(Skills!C22=3,120+Inputs!$B$28+Inputs!$B$30,MAX(0,(Inputs!$B$3-100)*3)+Inputs!$B$29+Inputs!$B$30)))</f>
        <v/>
      </c>
      <c r="E2162">
        <f>INDEX(FactorTable!$B$2:$Y$301, MATCH(ROUND(MIN(300,MAX(1,D2162)),0), FactorTable!$A$2:$A$301,0), Skills!L22+1)</f>
        <v/>
      </c>
      <c r="F2162">
        <f>IF(Skills!M22=TRUE,(Skills!K22/10)*(E2162/1000),Skills!K22/10)+Skills!N22</f>
        <v/>
      </c>
      <c r="G2162">
        <f>Calc!G22</f>
        <v/>
      </c>
      <c r="H2162">
        <f>Calc!H22</f>
        <v/>
      </c>
      <c r="I2162">
        <f>IF(Skills!T22&lt;&gt;"",1+(Skills!T22/10)*($Z$3/1000)/100,1)</f>
        <v/>
      </c>
      <c r="J2162" t="inlineStr"/>
      <c r="K2162" t="inlineStr"/>
      <c r="L2162" t="inlineStr"/>
      <c r="M2162" t="inlineStr"/>
      <c r="N2162" t="inlineStr"/>
      <c r="O2162">
        <f>(1-Summary!$B$11)*S2162+Summary!$B$11*U2162</f>
        <v/>
      </c>
      <c r="P2162">
        <f>IF(B2182=0,0,O2162/B2182)</f>
        <v/>
      </c>
      <c r="Q2162">
        <f>IFERROR(1/(IF(Inputs!$B$39="pvp",15,MAX(0.1,Skills!D22-IF(Skills!E22=TRUE,Inputs!$B$33,0)))*(1-IF(AND(IF(ArtifactsInput!$M$27,FALSE,TRUE),Inputs!$B$4="Chapter Hunt"),CHOOSE(ArtifactsInput!$N$27+1,20,24,28,32,36,40),0)/100)),0)</f>
        <v/>
      </c>
      <c r="R2162" t="n">
        <v>0</v>
      </c>
      <c r="S2162" t="n">
        <v>0</v>
      </c>
      <c r="U2162" t="n">
        <v>0</v>
      </c>
    </row>
    <row r="2163">
      <c r="A2163">
        <f>Skills!A23</f>
        <v/>
      </c>
      <c r="B2163">
        <f>Skills!B23</f>
        <v/>
      </c>
      <c r="C2163">
        <f>Inputs!$B$3&gt;=50</f>
        <v/>
      </c>
      <c r="D2163">
        <f>IF(Skills!C23=1,60+Inputs!$B$26+Inputs!$B$30,IF(Skills!C23=2,90+Inputs!$B$27+Inputs!$B$30,IF(Skills!C23=3,120+Inputs!$B$28+Inputs!$B$30,MAX(0,(Inputs!$B$3-100)*3)+Inputs!$B$29+Inputs!$B$30)))</f>
        <v/>
      </c>
      <c r="E2163">
        <f>INDEX(FactorTable!$B$2:$Y$301, MATCH(ROUND(MIN(300,MAX(1,D2163)),0), FactorTable!$A$2:$A$301,0), Skills!L23+1)</f>
        <v/>
      </c>
      <c r="F2163">
        <f>IF(Skills!M23=TRUE,(Skills!K23/10)*(E2163/1000),Skills!K23/10)+Skills!N23</f>
        <v/>
      </c>
      <c r="G2163">
        <f>Calc!G23</f>
        <v/>
      </c>
      <c r="H2163">
        <f>Calc!H23</f>
        <v/>
      </c>
      <c r="I2163">
        <f>IF(Skills!T23&lt;&gt;"",1+(Skills!T23/10)*($Z$3/1000)/100,1)</f>
        <v/>
      </c>
      <c r="J2163" t="inlineStr"/>
      <c r="K2163" t="inlineStr"/>
      <c r="L2163" t="inlineStr"/>
      <c r="M2163" t="inlineStr"/>
      <c r="N2163" t="inlineStr"/>
      <c r="O2163">
        <f>(1-Summary!$B$11)*S2163+Summary!$B$11*U2163</f>
        <v/>
      </c>
      <c r="P2163">
        <f>IF(B2182=0,0,O2163/B2182)</f>
        <v/>
      </c>
      <c r="Q2163">
        <f>IFERROR(1/(IF(Inputs!$B$39="pvp",15,MAX(0.1,Skills!D23-IF(Skills!E23=TRUE,Inputs!$B$33,0)))*(1-IF(AND(IF(ArtifactsInput!$M$27,FALSE,TRUE),Inputs!$B$4="Chapter Hunt"),CHOOSE(ArtifactsInput!$N$27+1,20,24,28,32,36,40),0)/100)),0)</f>
        <v/>
      </c>
      <c r="R2163" t="n">
        <v>0</v>
      </c>
      <c r="S2163" t="n">
        <v>0</v>
      </c>
      <c r="U2163" t="n">
        <v>0</v>
      </c>
    </row>
    <row r="2164">
      <c r="A2164">
        <f>Skills!A24</f>
        <v/>
      </c>
      <c r="B2164">
        <f>Skills!B24</f>
        <v/>
      </c>
      <c r="C2164">
        <f>Inputs!$B$3&gt;=74</f>
        <v/>
      </c>
      <c r="D2164">
        <f>IF(Skills!C24=1,60+Inputs!$B$26+Inputs!$B$30,IF(Skills!C24=2,90+Inputs!$B$27+Inputs!$B$30,IF(Skills!C24=3,120+Inputs!$B$28+Inputs!$B$30,MAX(0,(Inputs!$B$3-100)*3)+Inputs!$B$29+Inputs!$B$30)))</f>
        <v/>
      </c>
      <c r="E2164">
        <f>INDEX(FactorTable!$B$2:$Y$301, MATCH(ROUND(MIN(300,MAX(1,D2164)),0), FactorTable!$A$2:$A$301,0), Skills!L24+1)</f>
        <v/>
      </c>
      <c r="F2164">
        <f>IF(Skills!M24=TRUE,(Skills!K24/10)*(E2164/1000),Skills!K24/10)+Skills!N24</f>
        <v/>
      </c>
      <c r="G2164">
        <f>Calc!G24</f>
        <v/>
      </c>
      <c r="H2164">
        <f>Calc!H24</f>
        <v/>
      </c>
      <c r="I2164">
        <f>IF(Skills!T24&lt;&gt;"",1+(Skills!T24/10)*($Z$3/1000)/100,1)</f>
        <v/>
      </c>
      <c r="J2164" t="inlineStr"/>
      <c r="K2164" t="inlineStr"/>
      <c r="L2164" t="inlineStr"/>
      <c r="M2164" t="inlineStr"/>
      <c r="N2164" t="inlineStr"/>
      <c r="O2164">
        <f>(1-Summary!$B$11)*S2164+Summary!$B$11*U2164</f>
        <v/>
      </c>
      <c r="P2164">
        <f>IF(B2182=0,0,O2164/B2182)</f>
        <v/>
      </c>
      <c r="Q2164">
        <f>IFERROR(1/(IF(Inputs!$B$39="pvp",15,MAX(0.1,Skills!D24-IF(Skills!E24=TRUE,Inputs!$B$33,0)))*(1-IF(AND(IF(ArtifactsInput!$M$27,FALSE,TRUE),Inputs!$B$4="Chapter Hunt"),CHOOSE(ArtifactsInput!$N$27+1,20,24,28,32,36,40),0)/100)),0)</f>
        <v/>
      </c>
      <c r="R2164" t="n">
        <v>0</v>
      </c>
      <c r="S2164" t="n">
        <v>0</v>
      </c>
      <c r="U2164" t="n">
        <v>0</v>
      </c>
    </row>
    <row r="2165">
      <c r="A2165">
        <f>Skills!A25</f>
        <v/>
      </c>
      <c r="B2165">
        <f>Skills!B25</f>
        <v/>
      </c>
      <c r="C2165">
        <f>Inputs!$B$3&gt;=74</f>
        <v/>
      </c>
      <c r="D2165">
        <f>IF(Skills!C25=1,60+Inputs!$B$26+Inputs!$B$30,IF(Skills!C25=2,90+Inputs!$B$27+Inputs!$B$30,IF(Skills!C25=3,120+Inputs!$B$28+Inputs!$B$30,MAX(0,(Inputs!$B$3-100)*3)+Inputs!$B$29+Inputs!$B$30)))</f>
        <v/>
      </c>
      <c r="E2165">
        <f>INDEX(FactorTable!$B$2:$Y$301, MATCH(ROUND(MIN(300,MAX(1,D2165)),0), FactorTable!$A$2:$A$301,0), Skills!L25+1)</f>
        <v/>
      </c>
      <c r="F2165">
        <f>IF(Skills!M25=TRUE,(Skills!K25/10)*(E2165/1000),Skills!K25/10)+Skills!N25</f>
        <v/>
      </c>
      <c r="G2165">
        <f>Calc!G25</f>
        <v/>
      </c>
      <c r="H2165">
        <f>Calc!H25</f>
        <v/>
      </c>
      <c r="I2165">
        <f>IF(Skills!T25&lt;&gt;"",1+(Skills!T25/10)*($Z$3/1000)/100,1)</f>
        <v/>
      </c>
      <c r="J2165" t="inlineStr"/>
      <c r="K2165" t="inlineStr"/>
      <c r="L2165" t="inlineStr"/>
      <c r="M2165" t="inlineStr"/>
      <c r="N2165" t="inlineStr"/>
      <c r="O2165">
        <f>(1-Summary!$B$11)*S2165+Summary!$B$11*U2165</f>
        <v/>
      </c>
      <c r="P2165">
        <f>IF(B2182=0,0,O2165/B2182)</f>
        <v/>
      </c>
      <c r="Q2165">
        <f>IFERROR(1/(IF(Inputs!$B$39="pvp",15,MAX(0.1,Skills!D25-IF(Skills!E25=TRUE,Inputs!$B$33,0)))*(1-IF(AND(IF(ArtifactsInput!$M$27,FALSE,TRUE),Inputs!$B$4="Chapter Hunt"),CHOOSE(ArtifactsInput!$N$27+1,20,24,28,32,36,40),0)/100)),0)</f>
        <v/>
      </c>
      <c r="R2165" t="n">
        <v>0</v>
      </c>
      <c r="S2165" t="n">
        <v>0</v>
      </c>
      <c r="U2165" t="n">
        <v>0</v>
      </c>
    </row>
    <row r="2166">
      <c r="A2166">
        <f>Skills!A26</f>
        <v/>
      </c>
      <c r="B2166">
        <f>Skills!B26</f>
        <v/>
      </c>
      <c r="C2166">
        <f>Inputs!$B$3&gt;=117</f>
        <v/>
      </c>
      <c r="D2166">
        <f>IF(Skills!C26=1,60+Inputs!$B$26+Inputs!$B$30,IF(Skills!C26=2,90+Inputs!$B$27+Inputs!$B$30,IF(Skills!C26=3,120+Inputs!$B$28+Inputs!$B$30,MAX(0,(Inputs!$B$3-100)*3)+Inputs!$B$29+Inputs!$B$30)))</f>
        <v/>
      </c>
      <c r="E2166">
        <f>INDEX(FactorTable!$B$2:$Y$301, MATCH(ROUND(MIN(300,MAX(1,D2166)),0), FactorTable!$A$2:$A$301,0), Skills!L26+1)</f>
        <v/>
      </c>
      <c r="F2166">
        <f>IF(Skills!M26=TRUE,(Skills!K26/10)*(E2166/1000),Skills!K26/10)+Skills!N26</f>
        <v/>
      </c>
      <c r="G2166">
        <f>Calc!G26</f>
        <v/>
      </c>
      <c r="H2166">
        <f>Calc!H26</f>
        <v/>
      </c>
      <c r="I2166">
        <f>IF(Skills!T26&lt;&gt;"",1+(Skills!T26/10)*($Z$3/1000)/100,1)</f>
        <v/>
      </c>
      <c r="J2166" t="inlineStr"/>
      <c r="K2166" t="inlineStr"/>
      <c r="L2166" t="inlineStr"/>
      <c r="M2166" t="inlineStr"/>
      <c r="N2166" t="inlineStr"/>
      <c r="O2166">
        <f>(1-Summary!$B$11)*S2166+Summary!$B$11*U2166</f>
        <v/>
      </c>
      <c r="P2166">
        <f>IF(B2182=0,0,O2166/B2182)</f>
        <v/>
      </c>
      <c r="Q2166">
        <f>IFERROR(1/(IF(Inputs!$B$39="pvp",15,MAX(0.1,Skills!D26-IF(Skills!E26=TRUE,Inputs!$B$33,0)))*(1-IF(AND(IF(ArtifactsInput!$M$27,FALSE,TRUE),Inputs!$B$4="Chapter Hunt"),CHOOSE(ArtifactsInput!$N$27+1,20,24,28,32,36,40),0)/100)),0)</f>
        <v/>
      </c>
      <c r="R2166" t="n">
        <v>0</v>
      </c>
      <c r="S2166" t="n">
        <v>0</v>
      </c>
      <c r="U2166" t="n">
        <v>0</v>
      </c>
    </row>
    <row r="2167">
      <c r="A2167">
        <f>Skills!A27</f>
        <v/>
      </c>
      <c r="B2167">
        <f>Skills!B27</f>
        <v/>
      </c>
      <c r="C2167">
        <f>Inputs!$B$3&gt;=120</f>
        <v/>
      </c>
      <c r="D2167">
        <f>IF(Skills!C27=1,60+Inputs!$B$26+Inputs!$B$30,IF(Skills!C27=2,90+Inputs!$B$27+Inputs!$B$30,IF(Skills!C27=3,120+Inputs!$B$28+Inputs!$B$30,MAX(0,(Inputs!$B$3-100)*3)+Inputs!$B$29+Inputs!$B$30)))</f>
        <v/>
      </c>
      <c r="E2167">
        <f>INDEX(FactorTable!$B$2:$Y$301, MATCH(ROUND(MIN(300,MAX(1,D2167)),0), FactorTable!$A$2:$A$301,0), Skills!L27+1)</f>
        <v/>
      </c>
      <c r="F2167">
        <f>IF(Skills!M27=TRUE,(Skills!K27/10)*(E2167/1000),Skills!K27/10)+Skills!N27</f>
        <v/>
      </c>
      <c r="G2167">
        <f>Calc!G27</f>
        <v/>
      </c>
      <c r="H2167">
        <f>Calc!H27</f>
        <v/>
      </c>
      <c r="I2167">
        <f>IF(Skills!T27&lt;&gt;"",1+(Skills!T27/10)*($Z$3/1000)/100,1)</f>
        <v/>
      </c>
      <c r="J2167" t="inlineStr"/>
      <c r="K2167" t="inlineStr"/>
      <c r="L2167" t="inlineStr"/>
      <c r="M2167" t="inlineStr"/>
      <c r="N2167" t="inlineStr"/>
      <c r="O2167">
        <f>(1-Summary!$B$11)*S2167+Summary!$B$11*U2167</f>
        <v/>
      </c>
      <c r="P2167">
        <f>IF(B2182=0,0,O2167/B2182)</f>
        <v/>
      </c>
      <c r="Q2167">
        <f>IFERROR(1/(IF(Inputs!$B$39="pvp",15,MAX(0.1,Skills!D27-IF(Skills!E27=TRUE,Inputs!$B$33,0)))*(1-IF(AND(IF(ArtifactsInput!$M$27,FALSE,TRUE),Inputs!$B$4="Chapter Hunt"),CHOOSE(ArtifactsInput!$N$27+1,20,24,28,32,36,40),0)/100)),0)</f>
        <v/>
      </c>
      <c r="R2167" t="n">
        <v>0</v>
      </c>
      <c r="S2167" t="n">
        <v>0</v>
      </c>
      <c r="U2167" t="n">
        <v>0</v>
      </c>
    </row>
    <row r="2169">
      <c r="A2169" t="inlineStr">
        <is>
          <t>Average Buff Multiplier</t>
        </is>
      </c>
      <c r="B2169">
        <f>(1+(IF(C2143=TRUE,F2143*IF(AND(Inputs!$B$39&lt;&gt;"pvp",Inputs!$B$44&gt;0),(((R2143-1)*(Skills!S3*(1+((Inputs!$B$35+(ArtifactsInput!$M$7-ArtifactsInput!$M$7)*CHOOSE(ArtifactsInput!$N$7+1,6,7.2,8.4,9.6,10.8,12))+IF(Inputs!$B$3&gt;=117,F2166,0))/100))+MIN((Skills!S3*(1+((Inputs!$B$35+(ArtifactsInput!$M$7-ArtifactsInput!$M$7)*CHOOSE(ArtifactsInput!$N$7+1,6,7.2,8.4,9.6,10.8,12))+IF(Inputs!$B$3&gt;=117,F2166,0))/100)),MAX(0,Inputs!$B$44-((R2143-1)*Skills!D3))))/Inputs!$B$44),IF(Inputs!$B$39="pvp",MIN((Skills!S3*(1+((Inputs!$B$35+(ArtifactsInput!$M$7-ArtifactsInput!$M$7)*CHOOSE(ArtifactsInput!$N$7+1,6,7.2,8.4,9.6,10.8,12))+IF(Inputs!$B$3&gt;=117,F2166,0))/100)),15)/15,(Skills!S3*(1+((Inputs!$B$35+(ArtifactsInput!$M$7-ArtifactsInput!$M$7)*CHOOSE(ArtifactsInput!$N$7+1,6,7.2,8.4,9.6,10.8,12))+IF(Inputs!$B$3&gt;=117,F2166,0))/100))/Skills!D3)),0)+IF(C2144=TRUE,F2144*IF(AND(Inputs!$B$39&lt;&gt;"pvp",Inputs!$B$44&gt;0),(((R2144-1)*(Skills!S4*(1+((Inputs!$B$35+(ArtifactsInput!$M$7-ArtifactsInput!$M$7)*CHOOSE(ArtifactsInput!$N$7+1,6,7.2,8.4,9.6,10.8,12))+IF(Inputs!$B$3&gt;=117,F2166,0))/100))+MIN((Skills!S4*(1+((Inputs!$B$35+(ArtifactsInput!$M$7-ArtifactsInput!$M$7)*CHOOSE(ArtifactsInput!$N$7+1,6,7.2,8.4,9.6,10.8,12))+IF(Inputs!$B$3&gt;=117,F2166,0))/100)),MAX(0,Inputs!$B$44-((R2144-1)*Skills!D4))))/Inputs!$B$44),IF(Inputs!$B$39="pvp",MIN((Skills!S4*(1+((Inputs!$B$35+(ArtifactsInput!$M$7-ArtifactsInput!$M$7)*CHOOSE(ArtifactsInput!$N$7+1,6,7.2,8.4,9.6,10.8,12))+IF(Inputs!$B$3&gt;=117,F2166,0))/100)),15)/15,(Skills!S4*(1+((Inputs!$B$35+(ArtifactsInput!$M$7-ArtifactsInput!$M$7)*CHOOSE(ArtifactsInput!$N$7+1,6,7.2,8.4,9.6,10.8,12))+IF(Inputs!$B$3&gt;=117,F2166,0))/100))/Skills!D4)),0)+IF(C2145=TRUE,F2145*IF(AND(Inputs!$B$39&lt;&gt;"pvp",Inputs!$B$44&gt;0),(((R2145-1)*(Skills!S5*(1+((Inputs!$B$35+(ArtifactsInput!$M$7-ArtifactsInput!$M$7)*CHOOSE(ArtifactsInput!$N$7+1,6,7.2,8.4,9.6,10.8,12))+IF(Inputs!$B$3&gt;=117,F2166,0))/100))+MIN((Skills!S5*(1+((Inputs!$B$35+(ArtifactsInput!$M$7-ArtifactsInput!$M$7)*CHOOSE(ArtifactsInput!$N$7+1,6,7.2,8.4,9.6,10.8,12))+IF(Inputs!$B$3&gt;=117,F2166,0))/100)),MAX(0,Inputs!$B$44-((R2145-1)*Skills!D5))))/Inputs!$B$44),IF(Inputs!$B$39="pvp",MIN((Skills!S5*(1+((Inputs!$B$35+(ArtifactsInput!$M$7-ArtifactsInput!$M$7)*CHOOSE(ArtifactsInput!$N$7+1,6,7.2,8.4,9.6,10.8,12))+IF(Inputs!$B$3&gt;=117,F2166,0))/100)),15)/15,(Skills!S5*(1+((Inputs!$B$35+(ArtifactsInput!$M$7-ArtifactsInput!$M$7)*CHOOSE(ArtifactsInput!$N$7+1,6,7.2,8.4,9.6,10.8,12))+IF(Inputs!$B$3&gt;=117,F2166,0))/100))/Skills!D5)),0)+IF(C2151=TRUE,F2151*IF(AND(Inputs!$B$39&lt;&gt;"pvp",Inputs!$B$44&gt;0),(((R2151-1)*(Skills!S11*(1+((Inputs!$B$35+(ArtifactsInput!$M$7-ArtifactsInput!$M$7)*CHOOSE(ArtifactsInput!$N$7+1,6,7.2,8.4,9.6,10.8,12))+IF(Inputs!$B$3&gt;=117,F2166,0))/100))+MIN((Skills!S11*(1+((Inputs!$B$35+(ArtifactsInput!$M$7-ArtifactsInput!$M$7)*CHOOSE(ArtifactsInput!$N$7+1,6,7.2,8.4,9.6,10.8,12))+IF(Inputs!$B$3&gt;=117,F2166,0))/100)),MAX(0,Inputs!$B$44-((R2151-1)*Skills!D11))))/Inputs!$B$44),IF(Inputs!$B$39="pvp",MIN((Skills!S11*(1+((Inputs!$B$35+(ArtifactsInput!$M$7-ArtifactsInput!$M$7)*CHOOSE(ArtifactsInput!$N$7+1,6,7.2,8.4,9.6,10.8,12))+IF(Inputs!$B$3&gt;=117,F2166,0))/100)),15)/15,(Skills!S11*(1+((Inputs!$B$35+(ArtifactsInput!$M$7-ArtifactsInput!$M$7)*CHOOSE(ArtifactsInput!$N$7+1,6,7.2,8.4,9.6,10.8,12))+IF(Inputs!$B$3&gt;=117,F2166,0)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2154=TRUE,(1+F2154*IF(AND(Inputs!$B$39&lt;&gt;"pvp",Inputs!$B$44&gt;0),(((R2154-1)*(Skills!S14*(1+((Inputs!$B$35+(ArtifactsInput!$M$7-ArtifactsInput!$M$7)*CHOOSE(ArtifactsInput!$N$7+1,6,7.2,8.4,9.6,10.8,12))+IF(Inputs!$B$3&gt;=117,F2166,0))/100))+MIN((Skills!S14*(1+((Inputs!$B$35+(ArtifactsInput!$M$7-ArtifactsInput!$M$7)*CHOOSE(ArtifactsInput!$N$7+1,6,7.2,8.4,9.6,10.8,12))+IF(Inputs!$B$3&gt;=117,F2166,0))/100)),MAX(0,Inputs!$B$44-((R2154-1)*Skills!D14))))/Inputs!$B$44),IF(Inputs!$B$39="pvp",MIN((Skills!S14*(1+((Inputs!$B$35+(ArtifactsInput!$M$7-ArtifactsInput!$M$7)*CHOOSE(ArtifactsInput!$N$7+1,6,7.2,8.4,9.6,10.8,12))+IF(Inputs!$B$3&gt;=117,F2166,0))/100)),15)/15,(Skills!S14*(1+((Inputs!$B$35+(ArtifactsInput!$M$7-ArtifactsInput!$M$7)*CHOOSE(ArtifactsInput!$N$7+1,6,7.2,8.4,9.6,10.8,12))+IF(Inputs!$B$3&gt;=117,F2166,0))/100))/Skills!D14))/100),1)*IF(C2159=TRUE,(1+F2159*IF(AND(Inputs!$B$39&lt;&gt;"pvp",Inputs!$B$44&gt;0),(((R2159-1)*(Skills!S19*(1+((Inputs!$B$35+(ArtifactsInput!$M$7-ArtifactsInput!$M$7)*CHOOSE(ArtifactsInput!$N$7+1,6,7.2,8.4,9.6,10.8,12))+IF(Inputs!$B$3&gt;=117,F2166,0))/100))+MIN((Skills!S19*(1+((Inputs!$B$35+(ArtifactsInput!$M$7-ArtifactsInput!$M$7)*CHOOSE(ArtifactsInput!$N$7+1,6,7.2,8.4,9.6,10.8,12))+IF(Inputs!$B$3&gt;=117,F2166,0))/100)),MAX(0,Inputs!$B$44-((R2159-1)*Skills!D19))))/Inputs!$B$44),IF(Inputs!$B$39="pvp",MIN((Skills!S19*(1+((Inputs!$B$35+(ArtifactsInput!$M$7-ArtifactsInput!$M$7)*CHOOSE(ArtifactsInput!$N$7+1,6,7.2,8.4,9.6,10.8,12))+IF(Inputs!$B$3&gt;=117,F2166,0))/100)),15)/15,(Skills!S19*(1+((Inputs!$B$35+(ArtifactsInput!$M$7-ArtifactsInput!$M$7)*CHOOSE(ArtifactsInput!$N$7+1,6,7.2,8.4,9.6,10.8,12))+IF(Inputs!$B$3&gt;=117,F2166,0))/100))/Skills!D19))/100),1)</f>
        <v/>
      </c>
    </row>
    <row r="2170">
      <c r="A2170" t="inlineStr">
        <is>
          <t>Monster Damage Taken Bonus % (Holy Fountain)</t>
        </is>
      </c>
      <c r="B2170">
        <f>IF(Inputs!$B$3&gt;=68,20*IF(Inputs!$B$39="pvp",MIN((15*(1+((Inputs!$B$35+(ArtifactsInput!$M$7-ArtifactsInput!$M$7)*CHOOSE(ArtifactsInput!$N$7+1,6,7.2,8.4,9.6,10.8,12))+IF(Inputs!$B$3&gt;=117,F2166,0))/100)),15)/15,(15*(1+((Inputs!$B$35+(ArtifactsInput!$M$7-ArtifactsInput!$M$7)*CHOOSE(ArtifactsInput!$N$7+1,6,7.2,8.4,9.6,10.8,12))+IF(Inputs!$B$3&gt;=117,F2166,0))/100))/Skills!D10),0)</f>
        <v/>
      </c>
    </row>
    <row r="2171">
      <c r="A2171" t="inlineStr">
        <is>
          <t>Normal Monster Damage Bonus % (Holy Symbol)</t>
        </is>
      </c>
      <c r="B2171">
        <f>IF(C2152=TRUE,F2152*IF(AND(Inputs!$B$39&lt;&gt;"pvp",Inputs!$B$44&gt;0),(((R2152-1)*(Skills!S12*(1+((Inputs!$B$35+(ArtifactsInput!$M$7-ArtifactsInput!$M$7)*CHOOSE(ArtifactsInput!$N$7+1,6,7.2,8.4,9.6,10.8,12))+IF(Inputs!$B$3&gt;=117,F2166,0))/100))+MIN((Skills!S12*(1+((Inputs!$B$35+(ArtifactsInput!$M$7-ArtifactsInput!$M$7)*CHOOSE(ArtifactsInput!$N$7+1,6,7.2,8.4,9.6,10.8,12))+IF(Inputs!$B$3&gt;=117,F2166,0))/100)),MAX(0,Inputs!$B$44-((R2152-1)*Skills!D12))))/Inputs!$B$44),IF(Inputs!$B$39="pvp",MIN((Skills!S12*(1+((Inputs!$B$35+(ArtifactsInput!$M$7-ArtifactsInput!$M$7)*CHOOSE(ArtifactsInput!$N$7+1,6,7.2,8.4,9.6,10.8,12))+IF(Inputs!$B$3&gt;=117,F2166,0))/100)),15)/15,(Skills!S12*(1+((Inputs!$B$35+(ArtifactsInput!$M$7-ArtifactsInput!$M$7)*CHOOSE(ArtifactsInput!$N$7+1,6,7.2,8.4,9.6,10.8,12))+IF(Inputs!$B$3&gt;=117,F2166,0))/100))/Skills!D12)),0)</f>
        <v/>
      </c>
    </row>
    <row r="2172">
      <c r="A2172" t="inlineStr">
        <is>
          <t>Damage % Bonus (Holy Symbol - Damage Boost)</t>
        </is>
      </c>
      <c r="B2172">
        <f>Skills!O12</f>
        <v/>
      </c>
    </row>
    <row r="2173">
      <c r="A2173" t="inlineStr">
        <is>
          <t>Crit Damage % Bonus (Blood of the Divine)</t>
        </is>
      </c>
      <c r="B2173">
        <f>4*IF(C2160=TRUE,F2160,0)</f>
        <v/>
      </c>
    </row>
    <row r="2174">
      <c r="A2174" t="inlineStr">
        <is>
          <t>Attack Speed Bonus %</t>
        </is>
      </c>
      <c r="B2174">
        <f>IF(C2157=TRUE,F2157+(F2161-Calc!F21),0)+IF(Inputs!$B$3&gt;=134,15,0)</f>
        <v/>
      </c>
    </row>
    <row r="2175">
      <c r="A2175" t="inlineStr">
        <is>
          <t>Actions Per Second</t>
        </is>
      </c>
      <c r="B2175">
        <f>1+MIN(150,150*(1-(1-Inputs!$B$12/150)*(1-B2174/150)))/100</f>
        <v/>
      </c>
    </row>
    <row r="2176">
      <c r="A2176" t="inlineStr">
        <is>
          <t>Skill + Buff Cast Rate</t>
        </is>
      </c>
      <c r="B2176">
        <f>IF(AND(Inputs!$B$39&lt;&gt;"pvp",Inputs!$B$44&gt;0),SUMPRODUCT((Skills!E2:E27=TRUE)*(C2142:C2167=TRUE)*R2142:R2167)/Inputs!$B$44,SUMPRODUCT((Skills!E2:E27=TRUE)*(C2142:C2167=TRUE)*Q2142:Q2167))</f>
        <v/>
      </c>
    </row>
    <row r="2177">
      <c r="A2177" t="inlineStr">
        <is>
          <t>Big Bang Casts Per Second</t>
        </is>
      </c>
      <c r="B2177">
        <f>MAX(0,B2175-B2176)</f>
        <v/>
      </c>
    </row>
    <row r="2178">
      <c r="A2178" t="inlineStr">
        <is>
          <t>Defense % Bonus (Divine Protection)</t>
        </is>
      </c>
      <c r="B2178">
        <f>IF(C2153=TRUE,F2153*IF(AND(Inputs!$B$39&lt;&gt;"pvp",Inputs!$B$44&gt;0),(((R2153-1)*(Skills!S13*(1+((Inputs!$B$35+(ArtifactsInput!$M$7-ArtifactsInput!$M$7)*CHOOSE(ArtifactsInput!$N$7+1,6,7.2,8.4,9.6,10.8,12))+IF(Inputs!$B$3&gt;=117,F2166,0))/100))+MIN((Skills!S13*(1+((Inputs!$B$35+(ArtifactsInput!$M$7-ArtifactsInput!$M$7)*CHOOSE(ArtifactsInput!$N$7+1,6,7.2,8.4,9.6,10.8,12))+IF(Inputs!$B$3&gt;=117,F2166,0))/100)),MAX(0,Inputs!$B$44-((R2153-1)*Skills!D13))))/Inputs!$B$44),IF(Inputs!$B$39="pvp",MIN((Skills!S13*(1+((Inputs!$B$35+(ArtifactsInput!$M$7-ArtifactsInput!$M$7)*CHOOSE(ArtifactsInput!$N$7+1,6,7.2,8.4,9.6,10.8,12))+IF(Inputs!$B$3&gt;=117,F2166,0))/100)),15)/15,(Skills!S13*(1+((Inputs!$B$35+(ArtifactsInput!$M$7-ArtifactsInput!$M$7)*CHOOSE(ArtifactsInput!$N$7+1,6,7.2,8.4,9.6,10.8,12))+IF(Inputs!$B$3&gt;=117,F2166,0))/100))/Skills!D13)),0)</f>
        <v/>
      </c>
    </row>
    <row r="2179">
      <c r="A2179" t="inlineStr">
        <is>
          <t>Buff-Casting Startup Delay (s, fixed-duration only)</t>
        </is>
      </c>
      <c r="B2179">
        <f>IF(AND(Inputs!$B$39&lt;&gt;"pvp",Inputs!$B$44&gt;0),SUMPRODUCT((Skills!S2:S27&gt;0)*(Skills!E2:E27=TRUE)*(C2142:C2167=TRUE))/B2175,0)</f>
        <v/>
      </c>
    </row>
    <row r="2180">
      <c r="A2180" t="inlineStr">
        <is>
          <t>Boss-Only Total DPS (this block's swept value)</t>
        </is>
      </c>
      <c r="B2180">
        <f>SUM(S2142:S2167)</f>
        <v/>
      </c>
    </row>
    <row r="2181">
      <c r="A2181" t="inlineStr">
        <is>
          <t>Normal-Only Total DPS (this block's swept value)</t>
        </is>
      </c>
      <c r="B2181">
        <f>SUM(U2142:U2167)</f>
        <v/>
      </c>
    </row>
    <row r="2182">
      <c r="A2182" s="6" t="inlineStr">
        <is>
          <t>TOTAL DPS</t>
        </is>
      </c>
      <c r="B2182" s="6">
        <f>SUM(O2142:O2167)</f>
        <v/>
      </c>
    </row>
    <row r="2184">
      <c r="A2184" s="6" t="inlineStr">
        <is>
          <t>Stat: Lit Lamp (Equip)</t>
        </is>
      </c>
    </row>
    <row r="2185">
      <c r="A2185" s="5" t="inlineStr">
        <is>
          <t>Key</t>
        </is>
      </c>
      <c r="B2185" s="5" t="inlineStr">
        <is>
          <t>Name</t>
        </is>
      </c>
      <c r="C2185" s="5" t="inlineStr">
        <is>
          <t>Unlocked</t>
        </is>
      </c>
      <c r="D2185" s="5" t="inlineStr">
        <is>
          <t>InputLevel</t>
        </is>
      </c>
      <c r="E2185" s="5" t="inlineStr">
        <is>
          <t>Factor</t>
        </is>
      </c>
      <c r="F2185" s="5" t="inlineStr">
        <is>
          <t>CoefficientPercent</t>
        </is>
      </c>
      <c r="G2185" s="5" t="inlineStr">
        <is>
          <t>EffectiveHits</t>
        </is>
      </c>
      <c r="H2185" s="5" t="inlineStr">
        <is>
          <t>ProcProbability</t>
        </is>
      </c>
      <c r="I2185" s="5" t="inlineStr">
        <is>
          <t>MapleHeroMultiplier</t>
        </is>
      </c>
      <c r="J2185" s="5" t="inlineStr">
        <is>
          <t>BaseDamage</t>
        </is>
      </c>
      <c r="K2185" s="5" t="inlineStr">
        <is>
          <t>BaseHitDamage</t>
        </is>
      </c>
      <c r="L2185" s="5" t="inlineStr">
        <is>
          <t>NonCritAvg</t>
        </is>
      </c>
      <c r="M2185" s="5" t="inlineStr">
        <is>
          <t>CritAvg</t>
        </is>
      </c>
      <c r="N2185" s="5" t="inlineStr">
        <is>
          <t>ExpectedDamage(perHit)</t>
        </is>
      </c>
      <c r="O2185" s="5" t="inlineStr">
        <is>
          <t>DPS</t>
        </is>
      </c>
      <c r="P2185" s="5" t="inlineStr">
        <is>
          <t>% of Total</t>
        </is>
      </c>
      <c r="R2185" t="inlineStr">
        <is>
          <t>helpers</t>
        </is>
      </c>
    </row>
    <row r="2186">
      <c r="A2186">
        <f>Skills!A2</f>
        <v/>
      </c>
      <c r="B2186">
        <f>Skills!B2</f>
        <v/>
      </c>
      <c r="C2186">
        <f>Inputs!$B$3&gt;=100</f>
        <v/>
      </c>
      <c r="D2186" t="inlineStr"/>
      <c r="E2186" t="inlineStr"/>
      <c r="F2186">
        <f>T2188+Skills!N2</f>
        <v/>
      </c>
      <c r="G2186">
        <f>Calc!G2</f>
        <v/>
      </c>
      <c r="H2186">
        <f>Calc!H2</f>
        <v/>
      </c>
      <c r="I2186">
        <f>IF(Skills!T2&lt;&gt;"",1+(Skills!T2/10)*($Z$3/1000)/100,1)</f>
        <v/>
      </c>
      <c r="J2186">
        <f>((Inputs!$B$6*(1+Inputs!$B$7/100))+(((Inputs!$B$13*(1+Inputs!$B$14/100))-(Inputs!$B$13*(1+Inputs!$B$14/100)))+0.25*(Inputs!$B$15-Inputs!$B$15))*(1+Inputs!$B$7/100))*(F2186/100)</f>
        <v/>
      </c>
      <c r="K2186">
        <f>J2186*(1+(((Inputs!$B$13+IF(Inputs!$B$3&gt;=35,(10*INDEX(FactorTable!$B$2:$Y$301,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2="TRIUMPH_FEATHER",IF(C2200=TRUE,F2200,0),0)/100)*(1+IF(C2211=TRUE,F2211,0)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2186)</f>
        <v/>
      </c>
      <c r="L2186">
        <f>K2186*(MIN(Inputs!$B$23+(F2206-Calc!F22),(Inputs!$B$24+IF(ArtifactsInput!$M$15,CHOOSE(ArtifactsInput!$N$15+1,25,30,35,40,45,50)/100*(Inputs!$B$12-Inputs!$B$12),0)))/100+(Inputs!$B$24+IF(ArtifactsInput!$M$15,CHOOSE(ArtifactsInput!$N$15+1,25,30,35,40,45,50)/100*(Inputs!$B$12-Inputs!$B$12),0))/100)/2</f>
        <v/>
      </c>
      <c r="M2186">
        <f>L2186*(1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6">
        <f>L2186*(1-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2186*(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6">
        <f>(1-Summary!$B$11)*S2186+Summary!$B$11*U2186</f>
        <v/>
      </c>
      <c r="P2186">
        <f>IF(B2226=0,0,O2186/B2226)</f>
        <v/>
      </c>
      <c r="Q2186">
        <f>IFERROR(1/(IF(Inputs!$B$39="pvp",15,MAX(0.1,Skills!D2-IF(Skills!E2=TRUE,Inputs!$B$33,0)))*(1-IF(AND(ArtifactsInput!$M$27,Inputs!$B$4="Chapter Hunt"),CHOOSE(ArtifactsInput!$N$27+1,20,24,28,32,36,40),0)/100)),0)</f>
        <v/>
      </c>
      <c r="R2186" t="n">
        <v>0</v>
      </c>
      <c r="S2186">
        <f>IF(C2186,(Skills!F2*N2186*B2221)*IF(Inputs!$B$39="pvp",1,1+(Inputs!$B$21+Skills!O2+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2186*(1-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2186*(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2186*(1-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2186*(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6">
        <f>MAX(0,(Inputs!$B$3-100)*3)+Inputs!$B$29+Inputs!$B$30</f>
        <v/>
      </c>
      <c r="U2186">
        <f>IF(C2186,(Skills!F2*N2186*B2221)*IF(Inputs!$B$39="pvp",1,(1+(Inputs!$B$22+Skills!P2+B2215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7">
      <c r="A2187">
        <f>Skills!A3</f>
        <v/>
      </c>
      <c r="B2187">
        <f>Skills!B3</f>
        <v/>
      </c>
      <c r="C2187">
        <f>Inputs!$B$3&gt;=15</f>
        <v/>
      </c>
      <c r="D2187">
        <f>IF(Skills!C3=1,60+Inputs!$B$26+Inputs!$B$30,IF(Skills!C3=2,90+Inputs!$B$27+Inputs!$B$30,IF(Skills!C3=3,120+Inputs!$B$28+Inputs!$B$30,MAX(0,(Inputs!$B$3-100)*3)+Inputs!$B$29+Inputs!$B$30)))</f>
        <v/>
      </c>
      <c r="E2187">
        <f>INDEX(FactorTable!$B$2:$Y$301, MATCH(ROUND(MIN(300,MAX(1,D2187)),0), FactorTable!$A$2:$A$301,0), Skills!L3+1)</f>
        <v/>
      </c>
      <c r="F2187">
        <f>IF(Skills!M3=TRUE,(Skills!K3/10)*(E2187/1000),Skills!K3/10)+Skills!N3</f>
        <v/>
      </c>
      <c r="G2187">
        <f>Calc!G3</f>
        <v/>
      </c>
      <c r="H2187">
        <f>Calc!H3</f>
        <v/>
      </c>
      <c r="I2187">
        <f>IF(Skills!T3&lt;&gt;"",1+(Skills!T3/10)*($Z$3/1000)/100,1)</f>
        <v/>
      </c>
      <c r="J2187" t="inlineStr"/>
      <c r="K2187" t="inlineStr"/>
      <c r="L2187" t="inlineStr"/>
      <c r="M2187" t="inlineStr"/>
      <c r="N2187" t="inlineStr"/>
      <c r="O2187">
        <f>(1-Summary!$B$11)*S2187+Summary!$B$11*U2187</f>
        <v/>
      </c>
      <c r="P2187">
        <f>IF(B2226=0,0,O2187/B2226)</f>
        <v/>
      </c>
      <c r="Q2187">
        <f>IFERROR(1/(IF(Inputs!$B$39="pvp",15,MAX(0.1,Skills!D3-IF(Skills!E3=TRUE,Inputs!$B$33,0)))*(1-IF(AND(ArtifactsInput!$M$27,Inputs!$B$4="Chapter Hunt"),CHOOSE(ArtifactsInput!$N$27+1,20,24,28,32,36,40),0)/100)),0)</f>
        <v/>
      </c>
      <c r="R2187">
        <f>IF(AND(Inputs!$B$39&lt;&gt;"pvp",Inputs!$B$44&gt;0),IF(Inputs!$B$44&lt;=0,0,(INT(Inputs!$B$44/(IF(Inputs!$B$39="pvp",15,MAX(0.1,Skills!D3-IF(Skills!E3=TRUE,Inputs!$B$33,0)))*(1-IF(AND(ArtifactsInput!$M$27,Inputs!$B$4="Chapter Hunt"),CHOOSE(ArtifactsInput!$N$27+1,20,24,28,32,36,40),0)/100)))+1)),0)</f>
        <v/>
      </c>
      <c r="S2187" t="n">
        <v>0</v>
      </c>
      <c r="T2187">
        <f>INDEX(FactorTable!$B$2:$Y$301, MATCH(ROUND(MIN(300,MAX(1,T2186)),0), FactorTable!$A$2:$A$301,0), 22)</f>
        <v/>
      </c>
      <c r="U2187" t="n">
        <v>0</v>
      </c>
    </row>
    <row r="2188">
      <c r="A2188">
        <f>Skills!A4</f>
        <v/>
      </c>
      <c r="B2188">
        <f>Skills!B4</f>
        <v/>
      </c>
      <c r="C2188">
        <f>Inputs!$B$3&gt;=38</f>
        <v/>
      </c>
      <c r="D2188">
        <f>IF(Skills!C4=1,60+Inputs!$B$26+Inputs!$B$30,IF(Skills!C4=2,90+Inputs!$B$27+Inputs!$B$30,IF(Skills!C4=3,120+Inputs!$B$28+Inputs!$B$30,MAX(0,(Inputs!$B$3-100)*3)+Inputs!$B$29+Inputs!$B$30)))</f>
        <v/>
      </c>
      <c r="E2188">
        <f>INDEX(FactorTable!$B$2:$Y$301, MATCH(ROUND(MIN(300,MAX(1,D2188)),0), FactorTable!$A$2:$A$301,0), Skills!L4+1)</f>
        <v/>
      </c>
      <c r="F2188">
        <f>IF(Skills!M4=TRUE,(Skills!K4/10)*(E2188/1000),Skills!K4/10)+Skills!N4</f>
        <v/>
      </c>
      <c r="G2188">
        <f>Calc!G4</f>
        <v/>
      </c>
      <c r="H2188">
        <f>Calc!H4</f>
        <v/>
      </c>
      <c r="I2188">
        <f>IF(Skills!T4&lt;&gt;"",1+(Skills!T4/10)*($Z$3/1000)/100,1)</f>
        <v/>
      </c>
      <c r="J2188" t="inlineStr"/>
      <c r="K2188" t="inlineStr"/>
      <c r="L2188" t="inlineStr"/>
      <c r="M2188" t="inlineStr"/>
      <c r="N2188" t="inlineStr"/>
      <c r="O2188">
        <f>(1-Summary!$B$11)*S2188+Summary!$B$11*U2188</f>
        <v/>
      </c>
      <c r="P2188">
        <f>IF(B2226=0,0,O2188/B2226)</f>
        <v/>
      </c>
      <c r="Q2188">
        <f>IFERROR(1/(IF(Inputs!$B$39="pvp",15,MAX(0.1,Skills!D4-IF(Skills!E4=TRUE,Inputs!$B$33,0)))*(1-IF(AND(ArtifactsInput!$M$27,Inputs!$B$4="Chapter Hunt"),CHOOSE(ArtifactsInput!$N$27+1,20,24,28,32,36,40),0)/100)),0)</f>
        <v/>
      </c>
      <c r="R2188">
        <f>IF(AND(Inputs!$B$39&lt;&gt;"pvp",Inputs!$B$44&gt;0),IF(Inputs!$B$44&lt;=0,0,(INT(Inputs!$B$44/(IF(Inputs!$B$39="pvp",15,MAX(0.1,Skills!D4-IF(Skills!E4=TRUE,Inputs!$B$33,0)))*(1-IF(AND(ArtifactsInput!$M$27,Inputs!$B$4="Chapter Hunt"),CHOOSE(ArtifactsInput!$N$27+1,20,24,28,32,36,40),0)/100)))+1)),0)</f>
        <v/>
      </c>
      <c r="S2188" t="n">
        <v>0</v>
      </c>
      <c r="T2188">
        <f>290*T2187/1000</f>
        <v/>
      </c>
      <c r="U2188" t="n">
        <v>0</v>
      </c>
    </row>
    <row r="2189">
      <c r="A2189">
        <f>Skills!A5</f>
        <v/>
      </c>
      <c r="B2189">
        <f>Skills!B5</f>
        <v/>
      </c>
      <c r="C2189">
        <f>Inputs!$B$3&gt;=40</f>
        <v/>
      </c>
      <c r="D2189">
        <f>IF(Skills!C5=1,60+Inputs!$B$26+Inputs!$B$30,IF(Skills!C5=2,90+Inputs!$B$27+Inputs!$B$30,IF(Skills!C5=3,120+Inputs!$B$28+Inputs!$B$30,MAX(0,(Inputs!$B$3-100)*3)+Inputs!$B$29+Inputs!$B$30)))</f>
        <v/>
      </c>
      <c r="E2189">
        <f>INDEX(FactorTable!$B$2:$Y$301, MATCH(ROUND(MIN(300,MAX(1,D2189)),0), FactorTable!$A$2:$A$301,0), Skills!L5+1)</f>
        <v/>
      </c>
      <c r="F2189">
        <f>IF(Skills!M5=TRUE,(Skills!K5/10)*(E2189/1000),Skills!K5/10)+Skills!N5</f>
        <v/>
      </c>
      <c r="G2189">
        <f>Calc!G5</f>
        <v/>
      </c>
      <c r="H2189">
        <f>Calc!H5</f>
        <v/>
      </c>
      <c r="I2189">
        <f>IF(Skills!T5&lt;&gt;"",1+(Skills!T5/10)*($Z$3/1000)/100,1)</f>
        <v/>
      </c>
      <c r="J2189" t="inlineStr"/>
      <c r="K2189" t="inlineStr"/>
      <c r="L2189" t="inlineStr"/>
      <c r="M2189" t="inlineStr"/>
      <c r="N2189" t="inlineStr"/>
      <c r="O2189">
        <f>(1-Summary!$B$11)*S2189+Summary!$B$11*U2189</f>
        <v/>
      </c>
      <c r="P2189">
        <f>IF(B2226=0,0,O2189/B2226)</f>
        <v/>
      </c>
      <c r="Q2189">
        <f>IFERROR(1/(IF(Inputs!$B$39="pvp",15,MAX(0.1,Skills!D5-IF(Skills!E5=TRUE,Inputs!$B$33,0)))*(1-IF(AND(ArtifactsInput!$M$27,Inputs!$B$4="Chapter Hunt"),CHOOSE(ArtifactsInput!$N$27+1,20,24,28,32,36,40),0)/100)),0)</f>
        <v/>
      </c>
      <c r="R2189">
        <f>IF(AND(Inputs!$B$39&lt;&gt;"pvp",Inputs!$B$44&gt;0),IF(Inputs!$B$44&lt;=0,0,(INT(Inputs!$B$44/(IF(Inputs!$B$39="pvp",15,MAX(0.1,Skills!D5-IF(Skills!E5=TRUE,Inputs!$B$33,0)))*(1-IF(AND(ArtifactsInput!$M$27,Inputs!$B$4="Chapter Hunt"),CHOOSE(ArtifactsInput!$N$27+1,20,24,28,32,36,40),0)/100)))+1)),0)</f>
        <v/>
      </c>
      <c r="S2189" t="n">
        <v>0</v>
      </c>
      <c r="U2189" t="n">
        <v>0</v>
      </c>
    </row>
    <row r="2190">
      <c r="A2190">
        <f>Skills!A6</f>
        <v/>
      </c>
      <c r="B2190">
        <f>Skills!B6</f>
        <v/>
      </c>
      <c r="C2190">
        <f>Inputs!$B$3&gt;=103</f>
        <v/>
      </c>
      <c r="D2190">
        <f>IF(Skills!C6=1,60+Inputs!$B$26+Inputs!$B$30,IF(Skills!C6=2,90+Inputs!$B$27+Inputs!$B$30,IF(Skills!C6=3,120+Inputs!$B$28+Inputs!$B$30,MAX(0,(Inputs!$B$3-100)*3)+Inputs!$B$29+Inputs!$B$30)))</f>
        <v/>
      </c>
      <c r="E2190">
        <f>INDEX(FactorTable!$B$2:$Y$301, MATCH(ROUND(MIN(300,MAX(1,D2190)),0), FactorTable!$A$2:$A$301,0), Skills!L6+1)</f>
        <v/>
      </c>
      <c r="F2190">
        <f>IF(Skills!M6=TRUE,(Skills!K6/10)*(E2190/1000),Skills!K6/10)+Skills!N6</f>
        <v/>
      </c>
      <c r="G2190">
        <f>Calc!G6</f>
        <v/>
      </c>
      <c r="H2190">
        <f>Calc!H6</f>
        <v/>
      </c>
      <c r="I2190">
        <f>IF(Skills!T6&lt;&gt;"",1+(Skills!T6/10)*($Z$3/1000)/100,1)</f>
        <v/>
      </c>
      <c r="J2190">
        <f>((Inputs!$B$6*(1+Inputs!$B$7/100))+(((Inputs!$B$13*(1+Inputs!$B$14/100))-(Inputs!$B$13*(1+Inputs!$B$14/100)))+0.25*(Inputs!$B$15-Inputs!$B$15))*(1+Inputs!$B$7/100))*(F2190/100)</f>
        <v/>
      </c>
      <c r="K2190">
        <f>J2190*(1+(((Inputs!$B$13+IF(Inputs!$B$3&gt;=35,(10*INDEX(FactorTable!$B$2:$Y$301,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6="TRIUMPH_FEATHER",IF(C2200=TRUE,F2200,0),0)/100)*(1+IF(C2211=TRUE,F2211,0)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2190)</f>
        <v/>
      </c>
      <c r="L2190">
        <f>K2190*(MIN(Inputs!$B$23+(F2206-Calc!F22),(Inputs!$B$24+IF(ArtifactsInput!$M$15,CHOOSE(ArtifactsInput!$N$15+1,25,30,35,40,45,50)/100*(Inputs!$B$12-Inputs!$B$12),0)))/100+(Inputs!$B$24+IF(ArtifactsInput!$M$15,CHOOSE(ArtifactsInput!$N$15+1,25,30,35,40,45,50)/100*(Inputs!$B$12-Inputs!$B$12),0))/100)/2</f>
        <v/>
      </c>
      <c r="M2190">
        <f>L2190*(1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0">
        <f>L2190*(1-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2190*(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0">
        <f>(1-Summary!$B$11)*S2190+Summary!$B$11*U2190</f>
        <v/>
      </c>
      <c r="P2190">
        <f>IF(B2226=0,0,O2190/B2226)</f>
        <v/>
      </c>
      <c r="Q2190">
        <f>IFERROR(1/(IF(Inputs!$B$39="pvp",15,MAX(0.1,Skills!D6-IF(Skills!E6=TRUE,Inputs!$B$33,0)))*(1-IF(AND(ArtifactsInput!$M$27,Inputs!$B$4="Chapter Hunt"),CHOOSE(ArtifactsInput!$N$27+1,20,24,28,32,36,40),0)/100)),0)</f>
        <v/>
      </c>
      <c r="R2190">
        <f>IF(AND(Inputs!$B$39&lt;&gt;"pvp",Inputs!$B$44&gt;0),IF(MAX(0,Inputs!$B$44-B2223)&lt;=0,0,(INT(MAX(0,Inputs!$B$44-B2223)/(IF(Inputs!$B$39="pvp",15,MAX(0.1,Skills!D6-IF(Skills!E6=TRUE,Inputs!$B$33,0)))*(1-IF(AND(ArtifactsInput!$M$27,Inputs!$B$4="Chapter Hunt"),CHOOSE(ArtifactsInput!$N$27+1,20,24,28,32,36,40),0)/100)))+1)),0)</f>
        <v/>
      </c>
      <c r="S2190">
        <f>IF(C2190,(H2190*N2190*IF(AND(Inputs!$B$39&lt;&gt;"pvp",Inputs!$B$44&gt;0),((Skills!F6*((R2190-1)*IF(Skills!G6&gt;0,Skills!H6/Skills!G6,1)+IF(Skills!G6&gt;0,MIN(Skills!H6,MAX(0,MAX(0,Inputs!$B$44-B2223)-((R2190-1)*(IF(Inputs!$B$39="pvp",15,MAX(0.1,Skills!D6-IF(Skills!E6=TRUE,Inputs!$B$33,0)))*(1-IF(AND(ArtifactsInput!$M$27,Inputs!$B$4="Chapter Hunt"),CHOOSE(ArtifactsInput!$N$27+1,20,24,28,32,36,40),0)/100)))))/Skills!G6,1)))/Inputs!$B$44),G2190*Q2190))*IF(Inputs!$B$39="pvp",1,1+(Inputs!$B$21+Skills!O6+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2190*(1-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2190*(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2190*(1-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2190*(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0">
        <f>IF(C2190,(H2190*N2190*IF(AND(Inputs!$B$39&lt;&gt;"pvp",Inputs!$B$44&gt;0),((Skills!F6*((R2190-1)*IF(Skills!G6&gt;0,Skills!H6/Skills!G6,1)+IF(Skills!G6&gt;0,MIN(Skills!H6,MAX(0,MAX(0,Inputs!$B$44-B2223)-((R2190-1)*(IF(Inputs!$B$39="pvp",15,MAX(0.1,Skills!D6-IF(Skills!E6=TRUE,Inputs!$B$33,0)))*(1-IF(AND(ArtifactsInput!$M$27,Inputs!$B$4="Chapter Hunt"),CHOOSE(ArtifactsInput!$N$27+1,20,24,28,32,36,40),0)/100)))))/Skills!G6,1)))/Inputs!$B$44),G2190*Q2190))*IF(Inputs!$B$39="pvp",1,(1+(Inputs!$B$22+Skills!P6+B2215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1">
      <c r="A2191">
        <f>Skills!A7</f>
        <v/>
      </c>
      <c r="B2191">
        <f>Skills!B7</f>
        <v/>
      </c>
      <c r="C2191">
        <f>Inputs!$B$3&gt;=122</f>
        <v/>
      </c>
      <c r="D2191">
        <f>IF(Skills!C7=1,60+Inputs!$B$26+Inputs!$B$30,IF(Skills!C7=2,90+Inputs!$B$27+Inputs!$B$30,IF(Skills!C7=3,120+Inputs!$B$28+Inputs!$B$30,MAX(0,(Inputs!$B$3-100)*3)+Inputs!$B$29+Inputs!$B$30)))</f>
        <v/>
      </c>
      <c r="E2191">
        <f>INDEX(FactorTable!$B$2:$Y$301, MATCH(ROUND(MIN(300,MAX(1,D2191)),0), FactorTable!$A$2:$A$301,0), Skills!L7+1)</f>
        <v/>
      </c>
      <c r="F2191">
        <f>IF(Skills!M7=TRUE,(Skills!K7/10)*(E2191/1000),Skills!K7/10)+Skills!N7</f>
        <v/>
      </c>
      <c r="G2191">
        <f>Calc!G7</f>
        <v/>
      </c>
      <c r="H2191">
        <f>Calc!H7</f>
        <v/>
      </c>
      <c r="I2191">
        <f>IF(Skills!T7&lt;&gt;"",1+(Skills!T7/10)*($Z$3/1000)/100,1)</f>
        <v/>
      </c>
      <c r="J2191">
        <f>((Inputs!$B$6*(1+Inputs!$B$7/100))+(((Inputs!$B$13*(1+Inputs!$B$14/100))-(Inputs!$B$13*(1+Inputs!$B$14/100)))+0.25*(Inputs!$B$15-Inputs!$B$15))*(1+Inputs!$B$7/100))*(F2191/100)</f>
        <v/>
      </c>
      <c r="K2191">
        <f>J2191*(1+(((Inputs!$B$13+IF(Inputs!$B$3&gt;=35,(10*INDEX(FactorTable!$B$2:$Y$301,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7="TRIUMPH_FEATHER",IF(C2200=TRUE,F2200,0),0)/100)*(1+IF(C2211=TRUE,F2211,0)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2191)</f>
        <v/>
      </c>
      <c r="L2191">
        <f>K2191*(MIN(Inputs!$B$23+(F2206-Calc!F22),(Inputs!$B$24+IF(ArtifactsInput!$M$15,CHOOSE(ArtifactsInput!$N$15+1,25,30,35,40,45,50)/100*(Inputs!$B$12-Inputs!$B$12),0)))/100+(Inputs!$B$24+IF(ArtifactsInput!$M$15,CHOOSE(ArtifactsInput!$N$15+1,25,30,35,40,45,50)/100*(Inputs!$B$12-Inputs!$B$12),0))/100)/2</f>
        <v/>
      </c>
      <c r="M2191">
        <f>L2191*(1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1">
        <f>L2191*(1-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(1-Summary!$B$11)*S2191+Summary!$B$11*U2191</f>
        <v/>
      </c>
      <c r="P2191">
        <f>IF(B2226=0,0,O2191/B2226)</f>
        <v/>
      </c>
      <c r="Q2191">
        <f>IFERROR(1/(IF(Inputs!$B$39="pvp",15,MAX(0.1,Skills!D7-IF(Skills!E6=TRUE,Inputs!$B$33,0)))*(1-IF(AND(ArtifactsInput!$M$27,Inputs!$B$4="Chapter Hunt"),CHOOSE(ArtifactsInput!$N$27+1,20,24,28,32,36,40),0)/100)),0)</f>
        <v/>
      </c>
      <c r="R2191">
        <f>IF(AND(Inputs!$B$39&lt;&gt;"pvp",Inputs!$B$44&gt;0),IF(MAX(0,Inputs!$B$44-B2223)&lt;=0,0,(INT(MAX(0,Inputs!$B$44-B2223)/(IF(Inputs!$B$39="pvp",15,MAX(0.1,Skills!D7-IF(Skills!E6=TRUE,Inputs!$B$33,0)))*(1-IF(AND(ArtifactsInput!$M$27,Inputs!$B$4="Chapter Hunt"),CHOOSE(ArtifactsInput!$N$27+1,20,24,28,32,36,40),0)/100)))+1)),0)</f>
        <v/>
      </c>
      <c r="S2191">
        <f>IF(C2191,H2191*N2191*IF(AND(Inputs!$B$39&lt;&gt;"pvp",Inputs!$B$44&gt;0),((Skills!F7*((R2191-1)*IF(Skills!G7&gt;0,Skills!H7/Skills!G7,1)+IF(Skills!G7&gt;0,MIN(Skills!H7,MAX(0,MAX(0,Inputs!$B$44-B2223)-((R2191-1)*(IF(Inputs!$B$39="pvp",15,MAX(0.1,Skills!D7-IF(Skills!E6=TRUE,Inputs!$B$33,0)))*(1-IF(AND(ArtifactsInput!$M$27,Inputs!$B$4="Chapter Hunt"),CHOOSE(ArtifactsInput!$N$27+1,20,24,28,32,36,40),0)/100)))))/Skills!G7,1)))/Inputs!$B$44),G2191*Q2191)*IF(Inputs!$B$39="pvp",1,1+(Inputs!$B$21+Skills!O7+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2191*(1-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1" t="n">
        <v>0</v>
      </c>
    </row>
    <row r="2192">
      <c r="A2192">
        <f>Skills!A8</f>
        <v/>
      </c>
      <c r="B2192">
        <f>Skills!B8</f>
        <v/>
      </c>
      <c r="C2192">
        <f>Inputs!$B$3&gt;=105</f>
        <v/>
      </c>
      <c r="D2192">
        <f>IF(Skills!C8=1,60+Inputs!$B$26+Inputs!$B$30,IF(Skills!C8=2,90+Inputs!$B$27+Inputs!$B$30,IF(Skills!C8=3,120+Inputs!$B$28+Inputs!$B$30,MAX(0,(Inputs!$B$3-100)*3)+Inputs!$B$29+Inputs!$B$30)))</f>
        <v/>
      </c>
      <c r="E2192">
        <f>INDEX(FactorTable!$B$2:$Y$301, MATCH(ROUND(MIN(300,MAX(1,D2192)),0), FactorTable!$A$2:$A$301,0), Skills!L8+1)</f>
        <v/>
      </c>
      <c r="F2192">
        <f>IF(Skills!M8=TRUE,(Skills!K8/10)*(E2192/1000),Skills!K8/10)+Skills!N8</f>
        <v/>
      </c>
      <c r="G2192">
        <f>Calc!G8</f>
        <v/>
      </c>
      <c r="H2192">
        <f>Calc!H8</f>
        <v/>
      </c>
      <c r="I2192">
        <f>IF(Skills!T8&lt;&gt;"",1+(Skills!T8/10)*($Z$3/1000)/100,1)</f>
        <v/>
      </c>
      <c r="J2192">
        <f>((Inputs!$B$6*(1+Inputs!$B$7/100))+(((Inputs!$B$13*(1+Inputs!$B$14/100))-(Inputs!$B$13*(1+Inputs!$B$14/100)))+0.25*(Inputs!$B$15-Inputs!$B$15))*(1+Inputs!$B$7/100))*(F2192/100)</f>
        <v/>
      </c>
      <c r="K2192">
        <f>J2192*(1+(((Inputs!$B$13+IF(Inputs!$B$3&gt;=35,(10*INDEX(FactorTable!$B$2:$Y$301,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8="TRIUMPH_FEATHER",IF(C2200=TRUE,F2200,0),0)/100)*(1+IF(C2211=TRUE,F2211,0)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2192)</f>
        <v/>
      </c>
      <c r="L2192">
        <f>K2192*(MIN(Inputs!$B$23+(F2206-Calc!F22),(Inputs!$B$24+IF(ArtifactsInput!$M$15,CHOOSE(ArtifactsInput!$N$15+1,25,30,35,40,45,50)/100*(Inputs!$B$12-Inputs!$B$12),0)))/100+(Inputs!$B$24+IF(ArtifactsInput!$M$15,CHOOSE(ArtifactsInput!$N$15+1,25,30,35,40,45,50)/100*(Inputs!$B$12-Inputs!$B$12),0))/100)/2</f>
        <v/>
      </c>
      <c r="M2192">
        <f>L2192*(1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2">
        <f>L2192*(1-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(1-Summary!$B$11)*S2192+Summary!$B$11*U2192</f>
        <v/>
      </c>
      <c r="P2192">
        <f>IF(B2226=0,0,O2192/B2226)</f>
        <v/>
      </c>
      <c r="Q2192">
        <f>IFERROR(1/(IF(Inputs!$B$39="pvp",15,MAX(0.1,Skills!D8-IF(Skills!E8=TRUE,Inputs!$B$33,0)))*(1-IF(AND(ArtifactsInput!$M$27,Inputs!$B$4="Chapter Hunt"),CHOOSE(ArtifactsInput!$N$27+1,20,24,28,32,36,40),0)/100)),0)</f>
        <v/>
      </c>
      <c r="R2192">
        <f>IF(AND(Inputs!$B$39&lt;&gt;"pvp",Inputs!$B$44&gt;0),IF(MAX(0,Inputs!$B$44-B2223)&lt;=0,0,(INT(MAX(0,Inputs!$B$44-B2223)/(IF(Inputs!$B$39="pvp",15,MAX(0.1,Skills!D8-IF(Skills!E8=TRUE,Inputs!$B$33,0)))*(1-IF(AND(ArtifactsInput!$M$27,Inputs!$B$4="Chapter Hunt"),CHOOSE(ArtifactsInput!$N$27+1,20,24,28,32,36,40),0)/100)))+1)),0)</f>
        <v/>
      </c>
      <c r="S2192">
        <f>IF(C2192,(H2192*N2192*IF(AND(Inputs!$B$39&lt;&gt;"pvp",Inputs!$B$44&gt;0),((Skills!F8*((R2192-1)*IF(Skills!G8&gt;0,Skills!H8/Skills!G8,1)+IF(Skills!G8&gt;0,MIN(Skills!H8,MAX(0,MAX(0,Inputs!$B$44-B2223)-((R2192-1)*(IF(Inputs!$B$39="pvp",15,MAX(0.1,Skills!D8-IF(Skills!E8=TRUE,Inputs!$B$33,0)))*(1-IF(AND(ArtifactsInput!$M$27,Inputs!$B$4="Chapter Hunt"),CHOOSE(ArtifactsInput!$N$27+1,20,24,28,32,36,40),0)/100)))))/Skills!G8,1)))/Inputs!$B$44),G2192*Q2192))*IF(Inputs!$B$39="pvp",1,1+(Inputs!$B$21+Skills!O8+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2192*(1-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2">
        <f>IF(C2192,(H2192*N2192*IF(AND(Inputs!$B$39&lt;&gt;"pvp",Inputs!$B$44&gt;0),((Skills!F8*((R2192-1)*IF(Skills!G8&gt;0,Skills!H8/Skills!G8,1)+IF(Skills!G8&gt;0,MIN(Skills!H8,MAX(0,MAX(0,Inputs!$B$44-B2223)-((R2192-1)*(IF(Inputs!$B$39="pvp",15,MAX(0.1,Skills!D8-IF(Skills!E8=TRUE,Inputs!$B$33,0)))*(1-IF(AND(ArtifactsInput!$M$27,Inputs!$B$4="Chapter Hunt"),CHOOSE(ArtifactsInput!$N$27+1,20,24,28,32,36,40),0)/100)))))/Skills!G8,1)))/Inputs!$B$44),G2192*Q2192))*IF(Inputs!$B$39="pvp",1,(1+(Inputs!$B$22+Skills!P8+B2215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Skills!A9</f>
        <v/>
      </c>
      <c r="B2193">
        <f>Skills!B9</f>
        <v/>
      </c>
      <c r="C2193">
        <f>Inputs!$B$3&gt;=115</f>
        <v/>
      </c>
      <c r="D2193">
        <f>IF(Skills!C9=1,60+Inputs!$B$26+Inputs!$B$30,IF(Skills!C9=2,90+Inputs!$B$27+Inputs!$B$30,IF(Skills!C9=3,120+Inputs!$B$28+Inputs!$B$30,MAX(0,(Inputs!$B$3-100)*3)+Inputs!$B$29+Inputs!$B$30)))</f>
        <v/>
      </c>
      <c r="E2193">
        <f>INDEX(FactorTable!$B$2:$Y$301, MATCH(ROUND(MIN(300,MAX(1,D2193)),0), FactorTable!$A$2:$A$301,0), Skills!L9+1)</f>
        <v/>
      </c>
      <c r="F2193">
        <f>IF(Skills!M9=TRUE,(Skills!K9/10)*(E2193/1000),Skills!K9/10)+Skills!N9</f>
        <v/>
      </c>
      <c r="G2193">
        <f>Calc!G9</f>
        <v/>
      </c>
      <c r="H2193">
        <f>Calc!H9</f>
        <v/>
      </c>
      <c r="I2193">
        <f>IF(Skills!T9&lt;&gt;"",1+(Skills!T9/10)*($Z$3/1000)/100,1)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9="TRIUMPH_FEATHER",IF(C2200=TRUE,F2200,0),0)/100)*(1+IF(C2211=TRUE,F2211,0)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2193)</f>
        <v/>
      </c>
      <c r="L2193">
        <f>K2193*(MIN(Inputs!$B$23+(F2206-Calc!F22),(Inputs!$B$24+IF(ArtifactsInput!$M$15,CHOOSE(ArtifactsInput!$N$15+1,25,30,35,40,45,50)/100*(Inputs!$B$12-Inputs!$B$12),0)))/100+(Inputs!$B$24+IF(ArtifactsInput!$M$15,CHOOSE(ArtifactsInput!$N$15+1,25,30,35,40,45,50)/100*(Inputs!$B$12-Inputs!$B$12),0))/100)/2</f>
        <v/>
      </c>
      <c r="M2193">
        <f>L2193*(1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IF(B2226=0,0,O2193/B2226)</f>
        <v/>
      </c>
      <c r="Q2193">
        <f>IFERROR(1/(IF(Inputs!$B$39="pvp",15,MAX(0.1,Skills!D9-IF(Skills!E9=TRUE,Inputs!$B$33,0)))*(1-IF(AND(ArtifactsInput!$M$27,Inputs!$B$4="Chapter Hunt"),CHOOSE(ArtifactsInput!$N$27+1,20,24,28,32,36,40),0)/100)),0)</f>
        <v/>
      </c>
      <c r="R2193">
        <f>IF(AND(Inputs!$B$39&lt;&gt;"pvp",Inputs!$B$44&gt;0),IF(MAX(0,Inputs!$B$44-B2223)&lt;=0,0,(INT(MAX(0,Inputs!$B$44-B2223)/(IF(Inputs!$B$39="pvp",15,MAX(0.1,Skills!D9-IF(Skills!E9=TRUE,Inputs!$B$33,0)))*(1-IF(AND(ArtifactsInput!$M$27,Inputs!$B$4="Chapter Hunt"),CHOOSE(ArtifactsInput!$N$27+1,20,24,28,32,36,40),0)/100)))+1)),0)</f>
        <v/>
      </c>
      <c r="S2193">
        <f>IF(C2193,(H2193*N2193*IF(AND(Inputs!$B$39&lt;&gt;"pvp",Inputs!$B$44&gt;0),((Skills!F9*((R2193-1)*IF(Skills!G9&gt;0,Skills!H9/Skills!G9,1)+IF(Skills!G9&gt;0,MIN(Skills!H9,MAX(0,MAX(0,Inputs!$B$44-B2223)-((R2193-1)*(IF(Inputs!$B$39="pvp",15,MAX(0.1,Skills!D9-IF(Skills!E9=TRUE,Inputs!$B$33,0)))*(1-IF(AND(ArtifactsInput!$M$27,Inputs!$B$4="Chapter Hunt"),CHOOSE(ArtifactsInput!$N$27+1,20,24,28,32,36,40),0)/100)))))/Skills!G9,1)))/Inputs!$B$44),G2193*Q2193))*IF(Inputs!$B$39="pvp",1,1+(Inputs!$B$21+Skills!O9+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9*((R2193-1)*IF(Skills!G9&gt;0,Skills!H9/Skills!G9,1)+IF(Skills!G9&gt;0,MIN(Skills!H9,MAX(0,MAX(0,Inputs!$B$44-B2223)-((R2193-1)*(IF(Inputs!$B$39="pvp",15,MAX(0.1,Skills!D9-IF(Skills!E9=TRUE,Inputs!$B$33,0)))*(1-IF(AND(ArtifactsInput!$M$27,Inputs!$B$4="Chapter Hunt"),CHOOSE(ArtifactsInput!$N$27+1,20,24,28,32,36,40),0)/100)))))/Skills!G9,1)))/Inputs!$B$44),G2193*Q2193))*IF(Inputs!$B$39="pvp",1,(1+(Inputs!$B$22+Skills!P9+B2215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Skills!A10</f>
        <v/>
      </c>
      <c r="B2194">
        <f>Skills!B10</f>
        <v/>
      </c>
      <c r="C2194">
        <f>Inputs!$B$3&gt;=66</f>
        <v/>
      </c>
      <c r="D2194">
        <f>IF(Skills!C10=1,60+Inputs!$B$26+Inputs!$B$30,IF(Skills!C10=2,90+Inputs!$B$27+Inputs!$B$30,IF(Skills!C10=3,120+Inputs!$B$28+Inputs!$B$30,MAX(0,(Inputs!$B$3-100)*3)+Inputs!$B$29+Inputs!$B$30)))</f>
        <v/>
      </c>
      <c r="E2194">
        <f>INDEX(FactorTable!$B$2:$Y$301, MATCH(ROUND(MIN(300,MAX(1,D2194)),0), FactorTable!$A$2:$A$301,0), Skills!L10+1)</f>
        <v/>
      </c>
      <c r="F2194" t="n">
        <v>0</v>
      </c>
      <c r="G2194">
        <f>Calc!G10</f>
        <v/>
      </c>
      <c r="H2194">
        <f>Calc!H10</f>
        <v/>
      </c>
      <c r="I2194">
        <f>IF(Skills!T10&lt;&gt;"",1+(Skills!T10/10)*($Z$3/1000)/100,1)</f>
        <v/>
      </c>
      <c r="J2194" t="inlineStr"/>
      <c r="K2194" t="inlineStr"/>
      <c r="L2194" t="inlineStr"/>
      <c r="M2194" t="inlineStr"/>
      <c r="N2194" t="inlineStr"/>
      <c r="O2194">
        <f>(1-Summary!$B$11)*S2194+Summary!$B$11*U2194</f>
        <v/>
      </c>
      <c r="P2194">
        <f>IF(B2226=0,0,O2194/B2226)</f>
        <v/>
      </c>
      <c r="Q2194">
        <f>IFERROR(1/(IF(Inputs!$B$39="pvp",15,MAX(0.1,Skills!D10-IF(Skills!E10=TRUE,Inputs!$B$33,0)))*(1-IF(AND(ArtifactsInput!$M$27,Inputs!$B$4="Chapter Hunt"),CHOOSE(ArtifactsInput!$N$27+1,20,24,28,32,36,40),0)/100)),0)</f>
        <v/>
      </c>
      <c r="R2194">
        <f>IF(AND(Inputs!$B$39&lt;&gt;"pvp",Inputs!$B$44&gt;0),IF(MAX(0,Inputs!$B$44-B2223)&lt;=0,0,(INT(MAX(0,Inputs!$B$44-B2223)/(IF(Inputs!$B$39="pvp",15,MAX(0.1,Skills!D10-IF(Skills!E10=TRUE,Inputs!$B$33,0)))*(1-IF(AND(ArtifactsInput!$M$27,Inputs!$B$4="Chapter Hunt"),CHOOSE(ArtifactsInput!$N$27+1,20,24,28,32,36,40),0)/100)))+1)),0)</f>
        <v/>
      </c>
      <c r="S2194" t="n">
        <v>0</v>
      </c>
      <c r="U2194" t="n">
        <v>0</v>
      </c>
    </row>
    <row r="2195">
      <c r="A2195">
        <f>Skills!A11</f>
        <v/>
      </c>
      <c r="B2195">
        <f>Skills!B11</f>
        <v/>
      </c>
      <c r="C2195">
        <f>Inputs!$B$3&gt;=69</f>
        <v/>
      </c>
      <c r="D2195">
        <f>IF(Skills!C11=1,60+Inputs!$B$26+Inputs!$B$30,IF(Skills!C11=2,90+Inputs!$B$27+Inputs!$B$30,IF(Skills!C11=3,120+Inputs!$B$28+Inputs!$B$30,MAX(0,(Inputs!$B$3-100)*3)+Inputs!$B$29+Inputs!$B$30)))</f>
        <v/>
      </c>
      <c r="E2195">
        <f>INDEX(FactorTable!$B$2:$Y$301, MATCH(ROUND(MIN(300,MAX(1,D2195)),0), FactorTable!$A$2:$A$301,0), Skills!L11+1)</f>
        <v/>
      </c>
      <c r="F2195">
        <f>IF(Skills!M11=TRUE,(Skills!K11/10)*(E2195/1000),Skills!K11/10)+Skills!N11</f>
        <v/>
      </c>
      <c r="G2195">
        <f>Calc!G11</f>
        <v/>
      </c>
      <c r="H2195">
        <f>Calc!H11</f>
        <v/>
      </c>
      <c r="I2195">
        <f>IF(Skills!T11&lt;&gt;"",1+(Skills!T11/10)*($Z$3/1000)/100,1)</f>
        <v/>
      </c>
      <c r="J2195" t="inlineStr"/>
      <c r="K2195" t="inlineStr"/>
      <c r="L2195" t="inlineStr"/>
      <c r="M2195" t="inlineStr"/>
      <c r="N2195" t="inlineStr"/>
      <c r="O2195">
        <f>(1-Summary!$B$11)*S2195+Summary!$B$11*U2195</f>
        <v/>
      </c>
      <c r="P2195">
        <f>IF(B2226=0,0,O2195/B2226)</f>
        <v/>
      </c>
      <c r="Q2195">
        <f>IFERROR(1/(IF(Inputs!$B$39="pvp",15,MAX(0.1,Skills!D11-IF(Skills!E11=TRUE,Inputs!$B$33,0)))*(1-IF(AND(ArtifactsInput!$M$27,Inputs!$B$4="Chapter Hunt"),CHOOSE(ArtifactsInput!$N$27+1,20,24,28,32,36,40),0)/100)),0)</f>
        <v/>
      </c>
      <c r="R2195">
        <f>IF(AND(Inputs!$B$39&lt;&gt;"pvp",Inputs!$B$44&gt;0),IF(Inputs!$B$44&lt;=0,0,(INT(Inputs!$B$44/(IF(Inputs!$B$39="pvp",15,MAX(0.1,Skills!D11-IF(Skills!E11=TRUE,Inputs!$B$33,0)))*(1-IF(AND(ArtifactsInput!$M$27,Inputs!$B$4="Chapter Hunt"),CHOOSE(ArtifactsInput!$N$27+1,20,24,28,32,36,40),0)/100)))+1)),0)</f>
        <v/>
      </c>
      <c r="S2195" t="n">
        <v>0</v>
      </c>
      <c r="U2195" t="n">
        <v>0</v>
      </c>
    </row>
    <row r="2196">
      <c r="A2196">
        <f>Skills!A12</f>
        <v/>
      </c>
      <c r="B2196">
        <f>Skills!B12</f>
        <v/>
      </c>
      <c r="C2196">
        <f>Inputs!$B$3&gt;=72</f>
        <v/>
      </c>
      <c r="D2196">
        <f>IF(Skills!C12=1,60+Inputs!$B$26+Inputs!$B$30,IF(Skills!C12=2,90+Inputs!$B$27+Inputs!$B$30,IF(Skills!C12=3,120+Inputs!$B$28+Inputs!$B$30,MAX(0,(Inputs!$B$3-100)*3)+Inputs!$B$29+Inputs!$B$30)))</f>
        <v/>
      </c>
      <c r="E2196">
        <f>INDEX(FactorTable!$B$2:$Y$301, MATCH(ROUND(MIN(300,MAX(1,D2196)),0), FactorTable!$A$2:$A$301,0), Skills!L12+1)</f>
        <v/>
      </c>
      <c r="F2196">
        <f>IF(Skills!M12=TRUE,(Skills!K12/10)*(E2196/1000),Skills!K12/10)+Skills!N12</f>
        <v/>
      </c>
      <c r="G2196">
        <f>Calc!G12</f>
        <v/>
      </c>
      <c r="H2196">
        <f>Calc!H12</f>
        <v/>
      </c>
      <c r="I2196">
        <f>IF(Skills!T12&lt;&gt;"",1+(Skills!T12/10)*($Z$3/1000)/100,1)</f>
        <v/>
      </c>
      <c r="J2196" t="inlineStr"/>
      <c r="K2196" t="inlineStr"/>
      <c r="L2196" t="inlineStr"/>
      <c r="M2196" t="inlineStr"/>
      <c r="N2196" t="inlineStr"/>
      <c r="O2196">
        <f>(1-Summary!$B$11)*S2196+Summary!$B$11*U2196</f>
        <v/>
      </c>
      <c r="P2196">
        <f>IF(B2226=0,0,O2196/B2226)</f>
        <v/>
      </c>
      <c r="Q2196">
        <f>IFERROR(1/(IF(Inputs!$B$39="pvp",15,MAX(0.1,Skills!D12-IF(Skills!E12=TRUE,Inputs!$B$33,0)))*(1-IF(AND(ArtifactsInput!$M$27,Inputs!$B$4="Chapter Hunt"),CHOOSE(ArtifactsInput!$N$27+1,20,24,28,32,36,40),0)/100)),0)</f>
        <v/>
      </c>
      <c r="R2196">
        <f>IF(AND(Inputs!$B$39&lt;&gt;"pvp",Inputs!$B$44&gt;0),IF(MAX(0,Inputs!$B$44-B2223)&lt;=0,0,(INT(MAX(0,Inputs!$B$44-B2223)/(IF(Inputs!$B$39="pvp",15,MAX(0.1,Skills!D12-IF(Skills!E12=TRUE,Inputs!$B$33,0)))*(1-IF(AND(ArtifactsInput!$M$27,Inputs!$B$4="Chapter Hunt"),CHOOSE(ArtifactsInput!$N$27+1,20,24,28,32,36,40),0)/100)))+1)),0)</f>
        <v/>
      </c>
      <c r="S2196" t="n">
        <v>0</v>
      </c>
      <c r="U2196" t="n">
        <v>0</v>
      </c>
    </row>
    <row r="2197">
      <c r="A2197">
        <f>Skills!A13</f>
        <v/>
      </c>
      <c r="B2197">
        <f>Skills!B13</f>
        <v/>
      </c>
      <c r="C2197">
        <f>Inputs!$B$3&gt;=60</f>
        <v/>
      </c>
      <c r="D2197">
        <f>IF(Skills!C13=1,60+Inputs!$B$26+Inputs!$B$30,IF(Skills!C13=2,90+Inputs!$B$27+Inputs!$B$30,IF(Skills!C13=3,120+Inputs!$B$28+Inputs!$B$30,MAX(0,(Inputs!$B$3-100)*3)+Inputs!$B$29+Inputs!$B$30)))</f>
        <v/>
      </c>
      <c r="E2197">
        <f>INDEX(FactorTable!$B$2:$Y$301, MATCH(ROUND(MIN(300,MAX(1,D2197)),0), FactorTable!$A$2:$A$301,0), Skills!L13+1)</f>
        <v/>
      </c>
      <c r="F2197">
        <f>IF(Skills!M13=TRUE,(Skills!K13/10)*(E2197/1000),Skills!K13/10)+Skills!N13</f>
        <v/>
      </c>
      <c r="G2197">
        <f>Calc!G13</f>
        <v/>
      </c>
      <c r="H2197">
        <f>Calc!H13</f>
        <v/>
      </c>
      <c r="I2197">
        <f>IF(Skills!T13&lt;&gt;"",1+(Skills!T13/10)*($Z$3/1000)/100,1)</f>
        <v/>
      </c>
      <c r="J2197" t="inlineStr"/>
      <c r="K2197" t="inlineStr"/>
      <c r="L2197" t="inlineStr"/>
      <c r="M2197" t="inlineStr"/>
      <c r="N2197" t="inlineStr"/>
      <c r="O2197">
        <f>(1-Summary!$B$11)*S2197+Summary!$B$11*U2197</f>
        <v/>
      </c>
      <c r="P2197">
        <f>IF(B2226=0,0,O2197/B2226)</f>
        <v/>
      </c>
      <c r="Q2197">
        <f>IFERROR(1/(IF(Inputs!$B$39="pvp",15,MAX(0.1,Skills!D13-IF(Skills!E13=TRUE,Inputs!$B$33,0)))*(1-IF(AND(ArtifactsInput!$M$27,Inputs!$B$4="Chapter Hunt"),CHOOSE(ArtifactsInput!$N$27+1,20,24,28,32,36,40),0)/100)),0)</f>
        <v/>
      </c>
      <c r="R2197">
        <f>IF(AND(Inputs!$B$39&lt;&gt;"pvp",Inputs!$B$44&gt;0),IF(MAX(0,Inputs!$B$44-B2223)&lt;=0,0,(INT(MAX(0,Inputs!$B$44-B2223)/(IF(Inputs!$B$39="pvp",15,MAX(0.1,Skills!D13-IF(Skills!E13=TRUE,Inputs!$B$33,0)))*(1-IF(AND(ArtifactsInput!$M$27,Inputs!$B$4="Chapter Hunt"),CHOOSE(ArtifactsInput!$N$27+1,20,24,28,32,36,40),0)/100)))+1)),0)</f>
        <v/>
      </c>
      <c r="S2197" t="n">
        <v>0</v>
      </c>
      <c r="U2197" t="n">
        <v>0</v>
      </c>
    </row>
    <row r="2198">
      <c r="A2198">
        <f>Skills!A14</f>
        <v/>
      </c>
      <c r="B2198">
        <f>Skills!B14</f>
        <v/>
      </c>
      <c r="C2198">
        <f>Inputs!$B$3&gt;=107</f>
        <v/>
      </c>
      <c r="D2198">
        <f>IF(Skills!C14=1,60+Inputs!$B$26+Inputs!$B$30,IF(Skills!C14=2,90+Inputs!$B$27+Inputs!$B$30,IF(Skills!C14=3,120+Inputs!$B$28+Inputs!$B$30,MAX(0,(Inputs!$B$3-100)*3)+Inputs!$B$29+Inputs!$B$30)))</f>
        <v/>
      </c>
      <c r="E2198">
        <f>INDEX(FactorTable!$B$2:$Y$301, MATCH(ROUND(MIN(300,MAX(1,D2198)),0), FactorTable!$A$2:$A$301,0), Skills!L14+1)</f>
        <v/>
      </c>
      <c r="F2198">
        <f>IF(Skills!M14=TRUE,(Skills!K14/10)*(E2198/1000),Skills!K14/10)+Skills!N14</f>
        <v/>
      </c>
      <c r="G2198">
        <f>Calc!G14</f>
        <v/>
      </c>
      <c r="H2198">
        <f>Calc!H14</f>
        <v/>
      </c>
      <c r="I2198">
        <f>IF(Skills!T14&lt;&gt;"",1+(Skills!T14/10)*($Z$3/1000)/100,1)</f>
        <v/>
      </c>
      <c r="J2198" t="inlineStr"/>
      <c r="K2198" t="inlineStr"/>
      <c r="L2198" t="inlineStr"/>
      <c r="M2198" t="inlineStr"/>
      <c r="N2198" t="inlineStr"/>
      <c r="O2198">
        <f>(1-Summary!$B$11)*S2198+Summary!$B$11*U2198</f>
        <v/>
      </c>
      <c r="P2198">
        <f>IF(B2226=0,0,O2198/B2226)</f>
        <v/>
      </c>
      <c r="Q2198">
        <f>IFERROR(1/(IF(Inputs!$B$39="pvp",15,MAX(0.1,Skills!D14-IF(Skills!E14=TRUE,Inputs!$B$33,0)))*(1-IF(AND(ArtifactsInput!$M$27,Inputs!$B$4="Chapter Hunt"),CHOOSE(ArtifactsInput!$N$27+1,20,24,28,32,36,40),0)/100)),0)</f>
        <v/>
      </c>
      <c r="R2198">
        <f>IF(AND(Inputs!$B$39&lt;&gt;"pvp",Inputs!$B$44&gt;0),IF(Inputs!$B$44&lt;=0,0,(INT(Inputs!$B$44/(IF(Inputs!$B$39="pvp",15,MAX(0.1,Skills!D14-IF(Skills!E14=TRUE,Inputs!$B$33,0)))*(1-IF(AND(ArtifactsInput!$M$27,Inputs!$B$4="Chapter Hunt"),CHOOSE(ArtifactsInput!$N$27+1,20,24,28,32,36,40),0)/100)))+1)),0)</f>
        <v/>
      </c>
      <c r="S2198" t="n">
        <v>0</v>
      </c>
      <c r="U2198" t="n">
        <v>0</v>
      </c>
    </row>
    <row r="2199">
      <c r="A2199">
        <f>Skills!A15</f>
        <v/>
      </c>
      <c r="B2199">
        <f>Skills!B15</f>
        <v/>
      </c>
      <c r="C2199">
        <f>Inputs!$B$3&gt;=63</f>
        <v/>
      </c>
      <c r="D2199">
        <f>IF(Skills!C15=1,60+Inputs!$B$26+Inputs!$B$30,IF(Skills!C15=2,90+Inputs!$B$27+Inputs!$B$30,IF(Skills!C15=3,120+Inputs!$B$28+Inputs!$B$30,MAX(0,(Inputs!$B$3-100)*3)+Inputs!$B$29+Inputs!$B$30)))</f>
        <v/>
      </c>
      <c r="E2199">
        <f>INDEX(FactorTable!$B$2:$Y$301, MATCH(ROUND(MIN(300,MAX(1,D2199)),0), FactorTable!$A$2:$A$301,0), Skills!L15+1)</f>
        <v/>
      </c>
      <c r="F2199">
        <f>IF(Skills!M15=TRUE,(Skills!K15/10)*(E2199/1000),Skills!K15/10)+Skills!N15</f>
        <v/>
      </c>
      <c r="G2199">
        <f>Calc!G15</f>
        <v/>
      </c>
      <c r="H2199">
        <f>Calc!H15</f>
        <v/>
      </c>
      <c r="I2199">
        <f>IF(Skills!T15&lt;&gt;"",1+(Skills!T15/10)*($Z$3/1000)/100,1)</f>
        <v/>
      </c>
      <c r="J2199">
        <f>((Inputs!$B$6*(1+Inputs!$B$7/100))+(((Inputs!$B$13*(1+Inputs!$B$14/100))-(Inputs!$B$13*(1+Inputs!$B$14/100)))+0.25*(Inputs!$B$15-Inputs!$B$15))*(1+Inputs!$B$7/100))*(F2199/100)</f>
        <v/>
      </c>
      <c r="K2199">
        <f>J2199*(1+(((Inputs!$B$13+IF(Inputs!$B$3&gt;=35,(10*INDEX(FactorTable!$B$2:$Y$301,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15="TRIUMPH_FEATHER",IF(C2200=TRUE,F2200,0),0)/100)*(1+IF(C2211=TRUE,F2211,0)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2199)</f>
        <v/>
      </c>
      <c r="L2199">
        <f>K2199*(MIN(Inputs!$B$23+(F2206-Calc!F22),(Inputs!$B$24+IF(ArtifactsInput!$M$15,CHOOSE(ArtifactsInput!$N$15+1,25,30,35,40,45,50)/100*(Inputs!$B$12-Inputs!$B$12),0)))/100+(Inputs!$B$24+IF(ArtifactsInput!$M$15,CHOOSE(ArtifactsInput!$N$15+1,25,30,35,40,45,50)/100*(Inputs!$B$12-Inputs!$B$12),0))/100)/2</f>
        <v/>
      </c>
      <c r="M2199">
        <f>L2199*(1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9">
        <f>L2199*(1-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2199*(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9">
        <f>(1-Summary!$B$11)*S2199+Summary!$B$11*U2199</f>
        <v/>
      </c>
      <c r="P2199">
        <f>IF(B2226=0,0,O2199/B2226)</f>
        <v/>
      </c>
      <c r="Q2199">
        <f>IFERROR(1/(IF(Inputs!$B$39="pvp",15,MAX(0.1,Skills!D15-IF(Skills!E15=TRUE,Inputs!$B$33,0)))*(1-IF(AND(ArtifactsInput!$M$27,Inputs!$B$4="Chapter Hunt"),CHOOSE(ArtifactsInput!$N$27+1,20,24,28,32,36,40),0)/100)),0)</f>
        <v/>
      </c>
      <c r="R2199" t="n">
        <v>0</v>
      </c>
      <c r="S2199">
        <f>IF(C2199,(Skills!F15*N2199*((IF(Inputs!$B$3&gt;=78,25,15)/100*B2219*10)/(1+IF(Inputs!$B$3&gt;=78,25,15)/100*B2219*10))*(Skills!I15/100*B2219)/(1+Skills!G15*Skills!I15/100*B2219))*IF(Inputs!$B$39="pvp",1,1+(Inputs!$B$21+Skills!O15+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2199*(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2199*(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9">
        <f>IF(C2199,(Skills!F15*N2199*((IF(Inputs!$B$3&gt;=78,25,15)/100*B2219*10)/(1+IF(Inputs!$B$3&gt;=78,25,15)/100*B2219*10))*(Skills!I15/100*B2219)/(1+Skills!G15*Skills!I15/100*B2219))*IF(Inputs!$B$39="pvp",1,(1+(Inputs!$B$22+Skills!P15+B2215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0">
      <c r="A2200">
        <f>Skills!A16</f>
        <v/>
      </c>
      <c r="B2200">
        <f>Skills!B16</f>
        <v/>
      </c>
      <c r="C2200">
        <f>Inputs!$B$3&gt;=100</f>
        <v/>
      </c>
      <c r="D2200">
        <f>IF(Skills!C16=1,60+Inputs!$B$26+Inputs!$B$30,IF(Skills!C16=2,90+Inputs!$B$27+Inputs!$B$30,IF(Skills!C16=3,120+Inputs!$B$28+Inputs!$B$30,MAX(0,(Inputs!$B$3-100)*3)+Inputs!$B$29+Inputs!$B$30)))</f>
        <v/>
      </c>
      <c r="E2200">
        <f>INDEX(FactorTable!$B$2:$Y$301, MATCH(ROUND(MIN(300,MAX(1,D2200)),0), FactorTable!$A$2:$A$301,0), Skills!L16+1)</f>
        <v/>
      </c>
      <c r="F2200">
        <f>IF(Skills!M16=TRUE,(Skills!K16/10)*(E2200/1000),Skills!K16/10)+Skills!N16</f>
        <v/>
      </c>
      <c r="G2200">
        <f>Calc!G16</f>
        <v/>
      </c>
      <c r="H2200">
        <f>Calc!H16</f>
        <v/>
      </c>
      <c r="I2200">
        <f>IF(Skills!T16&lt;&gt;"",1+(Skills!T16/10)*($Z$3/1000)/100,1)</f>
        <v/>
      </c>
      <c r="J2200" t="inlineStr"/>
      <c r="K2200" t="inlineStr"/>
      <c r="L2200" t="inlineStr"/>
      <c r="M2200" t="inlineStr"/>
      <c r="N2200" t="inlineStr"/>
      <c r="O2200">
        <f>(1-Summary!$B$11)*S2200+Summary!$B$11*U2200</f>
        <v/>
      </c>
      <c r="P2200">
        <f>IF(B2226=0,0,O2200/B2226)</f>
        <v/>
      </c>
      <c r="Q2200">
        <f>IFERROR(1/(IF(Inputs!$B$39="pvp",15,MAX(0.1,Skills!D16-IF(Skills!E16=TRUE,Inputs!$B$33,0)))*(1-IF(AND(ArtifactsInput!$M$27,Inputs!$B$4="Chapter Hunt"),CHOOSE(ArtifactsInput!$N$27+1,20,24,28,32,36,40),0)/100)),0)</f>
        <v/>
      </c>
      <c r="R2200" t="n">
        <v>0</v>
      </c>
      <c r="S2200" t="n">
        <v>0</v>
      </c>
      <c r="U2200" t="n">
        <v>0</v>
      </c>
    </row>
    <row r="2201">
      <c r="A2201">
        <f>Skills!A17</f>
        <v/>
      </c>
      <c r="B2201">
        <f>Skills!B17</f>
        <v/>
      </c>
      <c r="C2201">
        <f>Inputs!$B$3&gt;=49</f>
        <v/>
      </c>
      <c r="D2201">
        <f>IF(Skills!C17=1,60+Inputs!$B$26+Inputs!$B$30,IF(Skills!C17=2,90+Inputs!$B$27+Inputs!$B$30,IF(Skills!C17=3,120+Inputs!$B$28+Inputs!$B$30,MAX(0,(Inputs!$B$3-100)*3)+Inputs!$B$29+Inputs!$B$30)))</f>
        <v/>
      </c>
      <c r="E2201">
        <f>INDEX(FactorTable!$B$2:$Y$301, MATCH(ROUND(MIN(300,MAX(1,D2201)),0), FactorTable!$A$2:$A$301,0), Skills!L17+1)</f>
        <v/>
      </c>
      <c r="F2201">
        <f>IF(Skills!M17=TRUE,(Skills!K17/10)*(E2201/1000),Skills!K17/10)+Skills!N17</f>
        <v/>
      </c>
      <c r="G2201">
        <f>Calc!G17</f>
        <v/>
      </c>
      <c r="H2201">
        <f>Calc!H17</f>
        <v/>
      </c>
      <c r="I2201">
        <f>IF(Skills!T17&lt;&gt;"",1+(Skills!T17/10)*($Z$3/1000)/100,1)</f>
        <v/>
      </c>
      <c r="J2201" t="inlineStr"/>
      <c r="K2201" t="inlineStr"/>
      <c r="L2201" t="inlineStr"/>
      <c r="M2201" t="inlineStr"/>
      <c r="N2201" t="inlineStr"/>
      <c r="O2201">
        <f>(1-Summary!$B$11)*S2201+Summary!$B$11*U2201</f>
        <v/>
      </c>
      <c r="P2201">
        <f>IF(B2226=0,0,O2201/B2226)</f>
        <v/>
      </c>
      <c r="Q2201">
        <f>IFERROR(1/(IF(Inputs!$B$39="pvp",15,MAX(0.1,Skills!D17-IF(Skills!E17=TRUE,Inputs!$B$33,0)))*(1-IF(AND(ArtifactsInput!$M$27,Inputs!$B$4="Chapter Hunt"),CHOOSE(ArtifactsInput!$N$27+1,20,24,28,32,36,40),0)/100)),0)</f>
        <v/>
      </c>
      <c r="R2201" t="n">
        <v>0</v>
      </c>
      <c r="S2201" t="n">
        <v>0</v>
      </c>
      <c r="U2201" t="n">
        <v>0</v>
      </c>
    </row>
    <row r="2202">
      <c r="A2202">
        <f>Skills!A18</f>
        <v/>
      </c>
      <c r="B2202">
        <f>Skills!B18</f>
        <v/>
      </c>
      <c r="C2202">
        <f>Inputs!$B$3&gt;=75</f>
        <v/>
      </c>
      <c r="D2202">
        <f>IF(Skills!C18=1,60+Inputs!$B$26+Inputs!$B$30,IF(Skills!C18=2,90+Inputs!$B$27+Inputs!$B$30,IF(Skills!C18=3,120+Inputs!$B$28+Inputs!$B$30,MAX(0,(Inputs!$B$3-100)*3)+Inputs!$B$29+Inputs!$B$30)))</f>
        <v/>
      </c>
      <c r="E2202">
        <f>INDEX(FactorTable!$B$2:$Y$301, MATCH(ROUND(MIN(300,MAX(1,D2202)),0), FactorTable!$A$2:$A$301,0), Skills!L18+1)</f>
        <v/>
      </c>
      <c r="F2202">
        <f>IF(Skills!M18=TRUE,(Skills!K18/10)*(E2202/1000),Skills!K18/10)+Skills!N18</f>
        <v/>
      </c>
      <c r="G2202">
        <f>Calc!G18</f>
        <v/>
      </c>
      <c r="H2202">
        <f>Calc!H18</f>
        <v/>
      </c>
      <c r="I2202">
        <f>IF(Skills!T18&lt;&gt;"",1+(Skills!T18/10)*($Z$3/1000)/100,1)</f>
        <v/>
      </c>
      <c r="J2202" t="inlineStr"/>
      <c r="K2202" t="inlineStr"/>
      <c r="L2202" t="inlineStr"/>
      <c r="M2202" t="inlineStr"/>
      <c r="N2202" t="inlineStr"/>
      <c r="O2202">
        <f>(1-Summary!$B$11)*S2202+Summary!$B$11*U2202</f>
        <v/>
      </c>
      <c r="P2202">
        <f>IF(B2226=0,0,O2202/B2226)</f>
        <v/>
      </c>
      <c r="Q2202">
        <f>IFERROR(1/(IF(Inputs!$B$39="pvp",15,MAX(0.1,Skills!D18-IF(Skills!E18=TRUE,Inputs!$B$33,0)))*(1-IF(AND(ArtifactsInput!$M$27,Inputs!$B$4="Chapter Hunt"),CHOOSE(ArtifactsInput!$N$27+1,20,24,28,32,36,40),0)/100)),0)</f>
        <v/>
      </c>
      <c r="R2202" t="n">
        <v>0</v>
      </c>
      <c r="S2202" t="n">
        <v>0</v>
      </c>
      <c r="U2202" t="n">
        <v>0</v>
      </c>
    </row>
    <row r="2203">
      <c r="A2203">
        <f>Skills!A19</f>
        <v/>
      </c>
      <c r="B2203">
        <f>Skills!B19</f>
        <v/>
      </c>
      <c r="C2203">
        <f>Inputs!$B$3&gt;=110</f>
        <v/>
      </c>
      <c r="D2203">
        <f>IF(Skills!C19=1,60+Inputs!$B$26+Inputs!$B$30,IF(Skills!C19=2,90+Inputs!$B$27+Inputs!$B$30,IF(Skills!C19=3,120+Inputs!$B$28+Inputs!$B$30,MAX(0,(Inputs!$B$3-100)*3)+Inputs!$B$29+Inputs!$B$30)))</f>
        <v/>
      </c>
      <c r="E2203">
        <f>INDEX(FactorTable!$B$2:$Y$301, MATCH(ROUND(MIN(300,MAX(1,D2203)),0), FactorTable!$A$2:$A$301,0), Skills!L19+1)</f>
        <v/>
      </c>
      <c r="F2203">
        <f>(Skills!K19/10)*(E2203/1000)*64/45+Skills!N19</f>
        <v/>
      </c>
      <c r="G2203">
        <f>Calc!G19</f>
        <v/>
      </c>
      <c r="H2203">
        <f>Calc!H19</f>
        <v/>
      </c>
      <c r="I2203">
        <f>IF(Skills!T19&lt;&gt;"",1+(Skills!T19/10)*($Z$3/1000)/100,1)</f>
        <v/>
      </c>
      <c r="J2203" t="inlineStr"/>
      <c r="K2203" t="inlineStr"/>
      <c r="L2203" t="inlineStr"/>
      <c r="M2203" t="inlineStr"/>
      <c r="N2203" t="inlineStr"/>
      <c r="O2203">
        <f>(1-Summary!$B$11)*S2203+Summary!$B$11*U2203</f>
        <v/>
      </c>
      <c r="P2203">
        <f>IF(B2226=0,0,O2203/B2226)</f>
        <v/>
      </c>
      <c r="Q2203">
        <f>IFERROR(1/(IF(Inputs!$B$39="pvp",15,MAX(0.1,Skills!D19-IF(Skills!E19=TRUE,Inputs!$B$33,0)))*(1-IF(AND(ArtifactsInput!$M$27,Inputs!$B$4="Chapter Hunt"),CHOOSE(ArtifactsInput!$N$27+1,20,24,28,32,36,40),0)/100)),0)</f>
        <v/>
      </c>
      <c r="R2203">
        <f>IF(AND(Inputs!$B$39&lt;&gt;"pvp",Inputs!$B$44&gt;0),IF(Inputs!$B$44&lt;=0,0,(INT(Inputs!$B$44/(IF(Inputs!$B$39="pvp",15,MAX(0.1,Skills!D19-IF(Skills!E19=TRUE,Inputs!$B$33,0)))*(1-IF(AND(ArtifactsInput!$M$27,Inputs!$B$4="Chapter Hunt"),CHOOSE(ArtifactsInput!$N$27+1,20,24,28,32,36,40),0)/100)))+1)),0)</f>
        <v/>
      </c>
      <c r="S2203" t="n">
        <v>0</v>
      </c>
      <c r="U2203" t="n">
        <v>0</v>
      </c>
    </row>
    <row r="2204">
      <c r="A2204">
        <f>Skills!A20</f>
        <v/>
      </c>
      <c r="B2204">
        <f>Skills!B20</f>
        <v/>
      </c>
      <c r="C2204">
        <f>Inputs!$B$3&gt;=125</f>
        <v/>
      </c>
      <c r="D2204">
        <f>IF(Skills!C20=1,60+Inputs!$B$26+Inputs!$B$30,IF(Skills!C20=2,90+Inputs!$B$27+Inputs!$B$30,IF(Skills!C20=3,120+Inputs!$B$28+Inputs!$B$30,MAX(0,(Inputs!$B$3-100)*3)+Inputs!$B$29+Inputs!$B$30)))</f>
        <v/>
      </c>
      <c r="E2204">
        <f>INDEX(FactorTable!$B$2:$Y$301, MATCH(ROUND(MIN(300,MAX(1,D2204)),0), FactorTable!$A$2:$A$301,0), Skills!L20+1)</f>
        <v/>
      </c>
      <c r="F2204">
        <f>IF(Skills!M20=TRUE,(Skills!K20/10)*(E2204/1000),Skills!K20/10)+Skills!N20</f>
        <v/>
      </c>
      <c r="G2204">
        <f>Calc!G20</f>
        <v/>
      </c>
      <c r="H2204">
        <f>Calc!H20</f>
        <v/>
      </c>
      <c r="I2204">
        <f>IF(Skills!T20&lt;&gt;"",1+(Skills!T20/10)*($Z$3/1000)/100,1)</f>
        <v/>
      </c>
      <c r="J2204" t="inlineStr"/>
      <c r="K2204" t="inlineStr"/>
      <c r="L2204" t="inlineStr"/>
      <c r="M2204" t="inlineStr"/>
      <c r="N2204" t="inlineStr"/>
      <c r="O2204">
        <f>(1-Summary!$B$11)*S2204+Summary!$B$11*U2204</f>
        <v/>
      </c>
      <c r="P2204">
        <f>IF(B2226=0,0,O2204/B2226)</f>
        <v/>
      </c>
      <c r="Q2204">
        <f>IFERROR(1/(IF(Inputs!$B$39="pvp",15,MAX(0.1,Skills!D20-IF(Skills!E20=TRUE,Inputs!$B$33,0)))*(1-IF(AND(ArtifactsInput!$M$27,Inputs!$B$4="Chapter Hunt"),CHOOSE(ArtifactsInput!$N$27+1,20,24,28,32,36,40),0)/100)),0)</f>
        <v/>
      </c>
      <c r="R2204" t="n">
        <v>0</v>
      </c>
      <c r="S2204" t="n">
        <v>0</v>
      </c>
      <c r="U2204" t="n">
        <v>0</v>
      </c>
    </row>
    <row r="2205">
      <c r="A2205">
        <f>Skills!A21</f>
        <v/>
      </c>
      <c r="B2205">
        <f>Skills!B21</f>
        <v/>
      </c>
      <c r="C2205">
        <f>Inputs!$B$3&gt;=33</f>
        <v/>
      </c>
      <c r="D2205">
        <f>IF(Skills!C21=1,60+Inputs!$B$26+Inputs!$B$30,IF(Skills!C21=2,90+Inputs!$B$27+Inputs!$B$30,IF(Skills!C21=3,120+Inputs!$B$28+Inputs!$B$30,MAX(0,(Inputs!$B$3-100)*3)+Inputs!$B$29+Inputs!$B$30)))</f>
        <v/>
      </c>
      <c r="E2205">
        <f>INDEX(FactorTable!$B$2:$Y$301, MATCH(ROUND(MIN(300,MAX(1,D2205)),0), FactorTable!$A$2:$A$301,0), Skills!L21+1)</f>
        <v/>
      </c>
      <c r="F2205">
        <f>IF(Skills!M21=TRUE,(Skills!K21/10)*(E2205/1000),Skills!K21/10)+Skills!N21</f>
        <v/>
      </c>
      <c r="G2205">
        <f>Calc!G21</f>
        <v/>
      </c>
      <c r="H2205">
        <f>Calc!H21</f>
        <v/>
      </c>
      <c r="I2205">
        <f>IF(Skills!T21&lt;&gt;"",1+(Skills!T21/10)*($Z$3/1000)/100,1)</f>
        <v/>
      </c>
      <c r="J2205" t="inlineStr"/>
      <c r="K2205" t="inlineStr"/>
      <c r="L2205" t="inlineStr"/>
      <c r="M2205" t="inlineStr"/>
      <c r="N2205" t="inlineStr"/>
      <c r="O2205">
        <f>(1-Summary!$B$11)*S2205+Summary!$B$11*U2205</f>
        <v/>
      </c>
      <c r="P2205">
        <f>IF(B2226=0,0,O2205/B2226)</f>
        <v/>
      </c>
      <c r="Q2205">
        <f>IFERROR(1/(IF(Inputs!$B$39="pvp",15,MAX(0.1,Skills!D21-IF(Skills!E21=TRUE,Inputs!$B$33,0)))*(1-IF(AND(ArtifactsInput!$M$27,Inputs!$B$4="Chapter Hunt"),CHOOSE(ArtifactsInput!$N$27+1,20,24,28,32,36,40),0)/100)),0)</f>
        <v/>
      </c>
      <c r="R2205" t="n">
        <v>0</v>
      </c>
      <c r="S2205" t="n">
        <v>0</v>
      </c>
      <c r="U2205" t="n">
        <v>0</v>
      </c>
    </row>
    <row r="2206">
      <c r="A2206">
        <f>Skills!A22</f>
        <v/>
      </c>
      <c r="B2206">
        <f>Skills!B22</f>
        <v/>
      </c>
      <c r="C2206">
        <f>Inputs!$B$3&gt;=43</f>
        <v/>
      </c>
      <c r="D2206">
        <f>IF(Skills!C22=1,60+Inputs!$B$26+Inputs!$B$30,IF(Skills!C22=2,90+Inputs!$B$27+Inputs!$B$30,IF(Skills!C22=3,120+Inputs!$B$28+Inputs!$B$30,MAX(0,(Inputs!$B$3-100)*3)+Inputs!$B$29+Inputs!$B$30)))</f>
        <v/>
      </c>
      <c r="E2206">
        <f>INDEX(FactorTable!$B$2:$Y$301, MATCH(ROUND(MIN(300,MAX(1,D2206)),0), FactorTable!$A$2:$A$301,0), Skills!L22+1)</f>
        <v/>
      </c>
      <c r="F2206">
        <f>IF(Skills!M22=TRUE,(Skills!K22/10)*(E2206/1000),Skills!K22/10)+Skills!N22</f>
        <v/>
      </c>
      <c r="G2206">
        <f>Calc!G22</f>
        <v/>
      </c>
      <c r="H2206">
        <f>Calc!H22</f>
        <v/>
      </c>
      <c r="I2206">
        <f>IF(Skills!T22&lt;&gt;"",1+(Skills!T22/10)*($Z$3/1000)/100,1)</f>
        <v/>
      </c>
      <c r="J2206" t="inlineStr"/>
      <c r="K2206" t="inlineStr"/>
      <c r="L2206" t="inlineStr"/>
      <c r="M2206" t="inlineStr"/>
      <c r="N2206" t="inlineStr"/>
      <c r="O2206">
        <f>(1-Summary!$B$11)*S2206+Summary!$B$11*U2206</f>
        <v/>
      </c>
      <c r="P2206">
        <f>IF(B2226=0,0,O2206/B2226)</f>
        <v/>
      </c>
      <c r="Q2206">
        <f>IFERROR(1/(IF(Inputs!$B$39="pvp",15,MAX(0.1,Skills!D22-IF(Skills!E22=TRUE,Inputs!$B$33,0)))*(1-IF(AND(ArtifactsInput!$M$27,Inputs!$B$4="Chapter Hunt"),CHOOSE(ArtifactsInput!$N$27+1,20,24,28,32,36,40),0)/100)),0)</f>
        <v/>
      </c>
      <c r="R2206" t="n">
        <v>0</v>
      </c>
      <c r="S2206" t="n">
        <v>0</v>
      </c>
      <c r="U2206" t="n">
        <v>0</v>
      </c>
    </row>
    <row r="2207">
      <c r="A2207">
        <f>Skills!A23</f>
        <v/>
      </c>
      <c r="B2207">
        <f>Skills!B23</f>
        <v/>
      </c>
      <c r="C2207">
        <f>Inputs!$B$3&gt;=50</f>
        <v/>
      </c>
      <c r="D2207">
        <f>IF(Skills!C23=1,60+Inputs!$B$26+Inputs!$B$30,IF(Skills!C23=2,90+Inputs!$B$27+Inputs!$B$30,IF(Skills!C23=3,120+Inputs!$B$28+Inputs!$B$30,MAX(0,(Inputs!$B$3-100)*3)+Inputs!$B$29+Inputs!$B$30)))</f>
        <v/>
      </c>
      <c r="E2207">
        <f>INDEX(FactorTable!$B$2:$Y$301, MATCH(ROUND(MIN(300,MAX(1,D2207)),0), FactorTable!$A$2:$A$301,0), Skills!L23+1)</f>
        <v/>
      </c>
      <c r="F2207">
        <f>IF(Skills!M23=TRUE,(Skills!K23/10)*(E2207/1000),Skills!K23/10)+Skills!N23</f>
        <v/>
      </c>
      <c r="G2207">
        <f>Calc!G23</f>
        <v/>
      </c>
      <c r="H2207">
        <f>Calc!H23</f>
        <v/>
      </c>
      <c r="I2207">
        <f>IF(Skills!T23&lt;&gt;"",1+(Skills!T23/10)*($Z$3/1000)/100,1)</f>
        <v/>
      </c>
      <c r="J2207" t="inlineStr"/>
      <c r="K2207" t="inlineStr"/>
      <c r="L2207" t="inlineStr"/>
      <c r="M2207" t="inlineStr"/>
      <c r="N2207" t="inlineStr"/>
      <c r="O2207">
        <f>(1-Summary!$B$11)*S2207+Summary!$B$11*U2207</f>
        <v/>
      </c>
      <c r="P2207">
        <f>IF(B2226=0,0,O2207/B2226)</f>
        <v/>
      </c>
      <c r="Q2207">
        <f>IFERROR(1/(IF(Inputs!$B$39="pvp",15,MAX(0.1,Skills!D23-IF(Skills!E23=TRUE,Inputs!$B$33,0)))*(1-IF(AND(ArtifactsInput!$M$27,Inputs!$B$4="Chapter Hunt"),CHOOSE(ArtifactsInput!$N$27+1,20,24,28,32,36,40),0)/100)),0)</f>
        <v/>
      </c>
      <c r="R2207" t="n">
        <v>0</v>
      </c>
      <c r="S2207" t="n">
        <v>0</v>
      </c>
      <c r="U2207" t="n">
        <v>0</v>
      </c>
    </row>
    <row r="2208">
      <c r="A2208">
        <f>Skills!A24</f>
        <v/>
      </c>
      <c r="B2208">
        <f>Skills!B24</f>
        <v/>
      </c>
      <c r="C2208">
        <f>Inputs!$B$3&gt;=74</f>
        <v/>
      </c>
      <c r="D2208">
        <f>IF(Skills!C24=1,60+Inputs!$B$26+Inputs!$B$30,IF(Skills!C24=2,90+Inputs!$B$27+Inputs!$B$30,IF(Skills!C24=3,120+Inputs!$B$28+Inputs!$B$30,MAX(0,(Inputs!$B$3-100)*3)+Inputs!$B$29+Inputs!$B$30)))</f>
        <v/>
      </c>
      <c r="E2208">
        <f>INDEX(FactorTable!$B$2:$Y$301, MATCH(ROUND(MIN(300,MAX(1,D2208)),0), FactorTable!$A$2:$A$301,0), Skills!L24+1)</f>
        <v/>
      </c>
      <c r="F2208">
        <f>IF(Skills!M24=TRUE,(Skills!K24/10)*(E2208/1000),Skills!K24/10)+Skills!N24</f>
        <v/>
      </c>
      <c r="G2208">
        <f>Calc!G24</f>
        <v/>
      </c>
      <c r="H2208">
        <f>Calc!H24</f>
        <v/>
      </c>
      <c r="I2208">
        <f>IF(Skills!T24&lt;&gt;"",1+(Skills!T24/10)*($Z$3/1000)/100,1)</f>
        <v/>
      </c>
      <c r="J2208" t="inlineStr"/>
      <c r="K2208" t="inlineStr"/>
      <c r="L2208" t="inlineStr"/>
      <c r="M2208" t="inlineStr"/>
      <c r="N2208" t="inlineStr"/>
      <c r="O2208">
        <f>(1-Summary!$B$11)*S2208+Summary!$B$11*U2208</f>
        <v/>
      </c>
      <c r="P2208">
        <f>IF(B2226=0,0,O2208/B2226)</f>
        <v/>
      </c>
      <c r="Q2208">
        <f>IFERROR(1/(IF(Inputs!$B$39="pvp",15,MAX(0.1,Skills!D24-IF(Skills!E24=TRUE,Inputs!$B$33,0)))*(1-IF(AND(ArtifactsInput!$M$27,Inputs!$B$4="Chapter Hunt"),CHOOSE(ArtifactsInput!$N$27+1,20,24,28,32,36,40),0)/100)),0)</f>
        <v/>
      </c>
      <c r="R2208" t="n">
        <v>0</v>
      </c>
      <c r="S2208" t="n">
        <v>0</v>
      </c>
      <c r="U2208" t="n">
        <v>0</v>
      </c>
    </row>
    <row r="2209">
      <c r="A2209">
        <f>Skills!A25</f>
        <v/>
      </c>
      <c r="B2209">
        <f>Skills!B25</f>
        <v/>
      </c>
      <c r="C2209">
        <f>Inputs!$B$3&gt;=74</f>
        <v/>
      </c>
      <c r="D2209">
        <f>IF(Skills!C25=1,60+Inputs!$B$26+Inputs!$B$30,IF(Skills!C25=2,90+Inputs!$B$27+Inputs!$B$30,IF(Skills!C25=3,120+Inputs!$B$28+Inputs!$B$30,MAX(0,(Inputs!$B$3-100)*3)+Inputs!$B$29+Inputs!$B$30)))</f>
        <v/>
      </c>
      <c r="E2209">
        <f>INDEX(FactorTable!$B$2:$Y$301, MATCH(ROUND(MIN(300,MAX(1,D2209)),0), FactorTable!$A$2:$A$301,0), Skills!L25+1)</f>
        <v/>
      </c>
      <c r="F2209">
        <f>IF(Skills!M25=TRUE,(Skills!K25/10)*(E2209/1000),Skills!K25/10)+Skills!N25</f>
        <v/>
      </c>
      <c r="G2209">
        <f>Calc!G25</f>
        <v/>
      </c>
      <c r="H2209">
        <f>Calc!H25</f>
        <v/>
      </c>
      <c r="I2209">
        <f>IF(Skills!T25&lt;&gt;"",1+(Skills!T25/10)*($Z$3/1000)/100,1)</f>
        <v/>
      </c>
      <c r="J2209" t="inlineStr"/>
      <c r="K2209" t="inlineStr"/>
      <c r="L2209" t="inlineStr"/>
      <c r="M2209" t="inlineStr"/>
      <c r="N2209" t="inlineStr"/>
      <c r="O2209">
        <f>(1-Summary!$B$11)*S2209+Summary!$B$11*U2209</f>
        <v/>
      </c>
      <c r="P2209">
        <f>IF(B2226=0,0,O2209/B2226)</f>
        <v/>
      </c>
      <c r="Q2209">
        <f>IFERROR(1/(IF(Inputs!$B$39="pvp",15,MAX(0.1,Skills!D25-IF(Skills!E25=TRUE,Inputs!$B$33,0)))*(1-IF(AND(ArtifactsInput!$M$27,Inputs!$B$4="Chapter Hunt"),CHOOSE(ArtifactsInput!$N$27+1,20,24,28,32,36,40),0)/100)),0)</f>
        <v/>
      </c>
      <c r="R2209" t="n">
        <v>0</v>
      </c>
      <c r="S2209" t="n">
        <v>0</v>
      </c>
      <c r="U2209" t="n">
        <v>0</v>
      </c>
    </row>
    <row r="2210">
      <c r="A2210">
        <f>Skills!A26</f>
        <v/>
      </c>
      <c r="B2210">
        <f>Skills!B26</f>
        <v/>
      </c>
      <c r="C2210">
        <f>Inputs!$B$3&gt;=117</f>
        <v/>
      </c>
      <c r="D2210">
        <f>IF(Skills!C26=1,60+Inputs!$B$26+Inputs!$B$30,IF(Skills!C26=2,90+Inputs!$B$27+Inputs!$B$30,IF(Skills!C26=3,120+Inputs!$B$28+Inputs!$B$30,MAX(0,(Inputs!$B$3-100)*3)+Inputs!$B$29+Inputs!$B$30)))</f>
        <v/>
      </c>
      <c r="E2210">
        <f>INDEX(FactorTable!$B$2:$Y$301, MATCH(ROUND(MIN(300,MAX(1,D2210)),0), FactorTable!$A$2:$A$301,0), Skills!L26+1)</f>
        <v/>
      </c>
      <c r="F2210">
        <f>IF(Skills!M26=TRUE,(Skills!K26/10)*(E2210/1000),Skills!K26/10)+Skills!N26</f>
        <v/>
      </c>
      <c r="G2210">
        <f>Calc!G26</f>
        <v/>
      </c>
      <c r="H2210">
        <f>Calc!H26</f>
        <v/>
      </c>
      <c r="I2210">
        <f>IF(Skills!T26&lt;&gt;"",1+(Skills!T26/10)*($Z$3/1000)/100,1)</f>
        <v/>
      </c>
      <c r="J2210" t="inlineStr"/>
      <c r="K2210" t="inlineStr"/>
      <c r="L2210" t="inlineStr"/>
      <c r="M2210" t="inlineStr"/>
      <c r="N2210" t="inlineStr"/>
      <c r="O2210">
        <f>(1-Summary!$B$11)*S2210+Summary!$B$11*U2210</f>
        <v/>
      </c>
      <c r="P2210">
        <f>IF(B2226=0,0,O2210/B2226)</f>
        <v/>
      </c>
      <c r="Q2210">
        <f>IFERROR(1/(IF(Inputs!$B$39="pvp",15,MAX(0.1,Skills!D26-IF(Skills!E26=TRUE,Inputs!$B$33,0)))*(1-IF(AND(ArtifactsInput!$M$27,Inputs!$B$4="Chapter Hunt"),CHOOSE(ArtifactsInput!$N$27+1,20,24,28,32,36,40),0)/100)),0)</f>
        <v/>
      </c>
      <c r="R2210" t="n">
        <v>0</v>
      </c>
      <c r="S2210" t="n">
        <v>0</v>
      </c>
      <c r="U2210" t="n">
        <v>0</v>
      </c>
    </row>
    <row r="2211">
      <c r="A2211">
        <f>Skills!A27</f>
        <v/>
      </c>
      <c r="B2211">
        <f>Skills!B27</f>
        <v/>
      </c>
      <c r="C2211">
        <f>Inputs!$B$3&gt;=120</f>
        <v/>
      </c>
      <c r="D2211">
        <f>IF(Skills!C27=1,60+Inputs!$B$26+Inputs!$B$30,IF(Skills!C27=2,90+Inputs!$B$27+Inputs!$B$30,IF(Skills!C27=3,120+Inputs!$B$28+Inputs!$B$30,MAX(0,(Inputs!$B$3-100)*3)+Inputs!$B$29+Inputs!$B$30)))</f>
        <v/>
      </c>
      <c r="E2211">
        <f>INDEX(FactorTable!$B$2:$Y$301, MATCH(ROUND(MIN(300,MAX(1,D2211)),0), FactorTable!$A$2:$A$301,0), Skills!L27+1)</f>
        <v/>
      </c>
      <c r="F2211">
        <f>IF(Skills!M27=TRUE,(Skills!K27/10)*(E2211/1000),Skills!K27/10)+Skills!N27</f>
        <v/>
      </c>
      <c r="G2211">
        <f>Calc!G27</f>
        <v/>
      </c>
      <c r="H2211">
        <f>Calc!H27</f>
        <v/>
      </c>
      <c r="I2211">
        <f>IF(Skills!T27&lt;&gt;"",1+(Skills!T27/10)*($Z$3/1000)/100,1)</f>
        <v/>
      </c>
      <c r="J2211" t="inlineStr"/>
      <c r="K2211" t="inlineStr"/>
      <c r="L2211" t="inlineStr"/>
      <c r="M2211" t="inlineStr"/>
      <c r="N2211" t="inlineStr"/>
      <c r="O2211">
        <f>(1-Summary!$B$11)*S2211+Summary!$B$11*U2211</f>
        <v/>
      </c>
      <c r="P2211">
        <f>IF(B2226=0,0,O2211/B2226)</f>
        <v/>
      </c>
      <c r="Q2211">
        <f>IFERROR(1/(IF(Inputs!$B$39="pvp",15,MAX(0.1,Skills!D27-IF(Skills!E27=TRUE,Inputs!$B$33,0)))*(1-IF(AND(ArtifactsInput!$M$27,Inputs!$B$4="Chapter Hunt"),CHOOSE(ArtifactsInput!$N$27+1,20,24,28,32,36,40),0)/100)),0)</f>
        <v/>
      </c>
      <c r="R2211" t="n">
        <v>0</v>
      </c>
      <c r="S2211" t="n">
        <v>0</v>
      </c>
      <c r="U2211" t="n">
        <v>0</v>
      </c>
    </row>
    <row r="2213">
      <c r="A2213" t="inlineStr">
        <is>
          <t>Average Buff Multiplier</t>
        </is>
      </c>
      <c r="B2213">
        <f>(1+(IF(C2187=TRUE,F2187*IF(AND(Inputs!$B$39&lt;&gt;"pvp",Inputs!$B$44&gt;0),(((R2187-1)*(Skills!S3*(1+((Inputs!$B$35+(ArtifactsInput!$M$7-ArtifactsInput!$M$7)*CHOOSE(ArtifactsInput!$N$7+1,6,7.2,8.4,9.6,10.8,12))+IF(Inputs!$B$3&gt;=117,F2210,0))/100))+MIN((Skills!S3*(1+((Inputs!$B$35+(ArtifactsInput!$M$7-ArtifactsInput!$M$7)*CHOOSE(ArtifactsInput!$N$7+1,6,7.2,8.4,9.6,10.8,12))+IF(Inputs!$B$3&gt;=117,F2210,0))/100)),MAX(0,Inputs!$B$44-((R2187-1)*Skills!D3))))/Inputs!$B$44),IF(Inputs!$B$39="pvp",MIN((Skills!S3*(1+((Inputs!$B$35+(ArtifactsInput!$M$7-ArtifactsInput!$M$7)*CHOOSE(ArtifactsInput!$N$7+1,6,7.2,8.4,9.6,10.8,12))+IF(Inputs!$B$3&gt;=117,F2210,0))/100)),15)/15,(Skills!S3*(1+((Inputs!$B$35+(ArtifactsInput!$M$7-ArtifactsInput!$M$7)*CHOOSE(ArtifactsInput!$N$7+1,6,7.2,8.4,9.6,10.8,12))+IF(Inputs!$B$3&gt;=117,F2210,0))/100))/Skills!D3)),0)+IF(C2188=TRUE,F2188*IF(AND(Inputs!$B$39&lt;&gt;"pvp",Inputs!$B$44&gt;0),(((R2188-1)*(Skills!S4*(1+((Inputs!$B$35+(ArtifactsInput!$M$7-ArtifactsInput!$M$7)*CHOOSE(ArtifactsInput!$N$7+1,6,7.2,8.4,9.6,10.8,12))+IF(Inputs!$B$3&gt;=117,F2210,0))/100))+MIN((Skills!S4*(1+((Inputs!$B$35+(ArtifactsInput!$M$7-ArtifactsInput!$M$7)*CHOOSE(ArtifactsInput!$N$7+1,6,7.2,8.4,9.6,10.8,12))+IF(Inputs!$B$3&gt;=117,F2210,0))/100)),MAX(0,Inputs!$B$44-((R2188-1)*Skills!D4))))/Inputs!$B$44),IF(Inputs!$B$39="pvp",MIN((Skills!S4*(1+((Inputs!$B$35+(ArtifactsInput!$M$7-ArtifactsInput!$M$7)*CHOOSE(ArtifactsInput!$N$7+1,6,7.2,8.4,9.6,10.8,12))+IF(Inputs!$B$3&gt;=117,F2210,0))/100)),15)/15,(Skills!S4*(1+((Inputs!$B$35+(ArtifactsInput!$M$7-ArtifactsInput!$M$7)*CHOOSE(ArtifactsInput!$N$7+1,6,7.2,8.4,9.6,10.8,12))+IF(Inputs!$B$3&gt;=117,F2210,0))/100))/Skills!D4)),0)+IF(C2189=TRUE,F2189*IF(AND(Inputs!$B$39&lt;&gt;"pvp",Inputs!$B$44&gt;0),(((R2189-1)*(Skills!S5*(1+((Inputs!$B$35+(ArtifactsInput!$M$7-ArtifactsInput!$M$7)*CHOOSE(ArtifactsInput!$N$7+1,6,7.2,8.4,9.6,10.8,12))+IF(Inputs!$B$3&gt;=117,F2210,0))/100))+MIN((Skills!S5*(1+((Inputs!$B$35+(ArtifactsInput!$M$7-ArtifactsInput!$M$7)*CHOOSE(ArtifactsInput!$N$7+1,6,7.2,8.4,9.6,10.8,12))+IF(Inputs!$B$3&gt;=117,F2210,0))/100)),MAX(0,Inputs!$B$44-((R2189-1)*Skills!D5))))/Inputs!$B$44),IF(Inputs!$B$39="pvp",MIN((Skills!S5*(1+((Inputs!$B$35+(ArtifactsInput!$M$7-ArtifactsInput!$M$7)*CHOOSE(ArtifactsInput!$N$7+1,6,7.2,8.4,9.6,10.8,12))+IF(Inputs!$B$3&gt;=117,F2210,0))/100)),15)/15,(Skills!S5*(1+((Inputs!$B$35+(ArtifactsInput!$M$7-ArtifactsInput!$M$7)*CHOOSE(ArtifactsInput!$N$7+1,6,7.2,8.4,9.6,10.8,12))+IF(Inputs!$B$3&gt;=117,F2210,0))/100))/Skills!D5)),0)+IF(C2195=TRUE,F2195*IF(AND(Inputs!$B$39&lt;&gt;"pvp",Inputs!$B$44&gt;0),(((R2195-1)*(Skills!S11*(1+((Inputs!$B$35+(ArtifactsInput!$M$7-ArtifactsInput!$M$7)*CHOOSE(ArtifactsInput!$N$7+1,6,7.2,8.4,9.6,10.8,12))+IF(Inputs!$B$3&gt;=117,F2210,0))/100))+MIN((Skills!S11*(1+((Inputs!$B$35+(ArtifactsInput!$M$7-ArtifactsInput!$M$7)*CHOOSE(ArtifactsInput!$N$7+1,6,7.2,8.4,9.6,10.8,12))+IF(Inputs!$B$3&gt;=117,F2210,0))/100)),MAX(0,Inputs!$B$44-((R2195-1)*Skills!D11))))/Inputs!$B$44),IF(Inputs!$B$39="pvp",MIN((Skills!S11*(1+((Inputs!$B$35+(ArtifactsInput!$M$7-ArtifactsInput!$M$7)*CHOOSE(ArtifactsInput!$N$7+1,6,7.2,8.4,9.6,10.8,12))+IF(Inputs!$B$3&gt;=117,F2210,0))/100)),15)/15,(Skills!S11*(1+((Inputs!$B$35+(ArtifactsInput!$M$7-ArtifactsInput!$M$7)*CHOOSE(ArtifactsInput!$N$7+1,6,7.2,8.4,9.6,10.8,12))+IF(Inputs!$B$3&gt;=117,F2210,0)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2198=TRUE,(1+F2198*IF(AND(Inputs!$B$39&lt;&gt;"pvp",Inputs!$B$44&gt;0),(((R2198-1)*(Skills!S14*(1+((Inputs!$B$35+(ArtifactsInput!$M$7-ArtifactsInput!$M$7)*CHOOSE(ArtifactsInput!$N$7+1,6,7.2,8.4,9.6,10.8,12))+IF(Inputs!$B$3&gt;=117,F2210,0))/100))+MIN((Skills!S14*(1+((Inputs!$B$35+(ArtifactsInput!$M$7-ArtifactsInput!$M$7)*CHOOSE(ArtifactsInput!$N$7+1,6,7.2,8.4,9.6,10.8,12))+IF(Inputs!$B$3&gt;=117,F2210,0))/100)),MAX(0,Inputs!$B$44-((R2198-1)*Skills!D14))))/Inputs!$B$44),IF(Inputs!$B$39="pvp",MIN((Skills!S14*(1+((Inputs!$B$35+(ArtifactsInput!$M$7-ArtifactsInput!$M$7)*CHOOSE(ArtifactsInput!$N$7+1,6,7.2,8.4,9.6,10.8,12))+IF(Inputs!$B$3&gt;=117,F2210,0))/100)),15)/15,(Skills!S14*(1+((Inputs!$B$35+(ArtifactsInput!$M$7-ArtifactsInput!$M$7)*CHOOSE(ArtifactsInput!$N$7+1,6,7.2,8.4,9.6,10.8,12))+IF(Inputs!$B$3&gt;=117,F2210,0))/100))/Skills!D14))/100),1)*IF(C2203=TRUE,(1+F2203*IF(AND(Inputs!$B$39&lt;&gt;"pvp",Inputs!$B$44&gt;0),(((R2203-1)*(Skills!S19*(1+((Inputs!$B$35+(ArtifactsInput!$M$7-ArtifactsInput!$M$7)*CHOOSE(ArtifactsInput!$N$7+1,6,7.2,8.4,9.6,10.8,12))+IF(Inputs!$B$3&gt;=117,F2210,0))/100))+MIN((Skills!S19*(1+((Inputs!$B$35+(ArtifactsInput!$M$7-ArtifactsInput!$M$7)*CHOOSE(ArtifactsInput!$N$7+1,6,7.2,8.4,9.6,10.8,12))+IF(Inputs!$B$3&gt;=117,F2210,0))/100)),MAX(0,Inputs!$B$44-((R2203-1)*Skills!D19))))/Inputs!$B$44),IF(Inputs!$B$39="pvp",MIN((Skills!S19*(1+((Inputs!$B$35+(ArtifactsInput!$M$7-ArtifactsInput!$M$7)*CHOOSE(ArtifactsInput!$N$7+1,6,7.2,8.4,9.6,10.8,12))+IF(Inputs!$B$3&gt;=117,F2210,0))/100)),15)/15,(Skills!S19*(1+((Inputs!$B$35+(ArtifactsInput!$M$7-ArtifactsInput!$M$7)*CHOOSE(ArtifactsInput!$N$7+1,6,7.2,8.4,9.6,10.8,12))+IF(Inputs!$B$3&gt;=117,F2210,0))/100))/Skills!D19))/100),1)</f>
        <v/>
      </c>
    </row>
    <row r="2214">
      <c r="A2214" t="inlineStr">
        <is>
          <t>Monster Damage Taken Bonus % (Holy Fountain)</t>
        </is>
      </c>
      <c r="B2214">
        <f>IF(Inputs!$B$3&gt;=68,20*IF(Inputs!$B$39="pvp",MIN((15*(1+((Inputs!$B$35+(ArtifactsInput!$M$7-ArtifactsInput!$M$7)*CHOOSE(ArtifactsInput!$N$7+1,6,7.2,8.4,9.6,10.8,12))+IF(Inputs!$B$3&gt;=117,F2210,0))/100)),15)/15,(15*(1+((Inputs!$B$35+(ArtifactsInput!$M$7-ArtifactsInput!$M$7)*CHOOSE(ArtifactsInput!$N$7+1,6,7.2,8.4,9.6,10.8,12))+IF(Inputs!$B$3&gt;=117,F2210,0))/100))/Skills!D10),0)</f>
        <v/>
      </c>
    </row>
    <row r="2215">
      <c r="A2215" t="inlineStr">
        <is>
          <t>Normal Monster Damage Bonus % (Holy Symbol)</t>
        </is>
      </c>
      <c r="B2215">
        <f>IF(C2196=TRUE,F2196*IF(AND(Inputs!$B$39&lt;&gt;"pvp",Inputs!$B$44&gt;0),(((R2196-1)*(Skills!S12*(1+((Inputs!$B$35+(ArtifactsInput!$M$7-ArtifactsInput!$M$7)*CHOOSE(ArtifactsInput!$N$7+1,6,7.2,8.4,9.6,10.8,12))+IF(Inputs!$B$3&gt;=117,F2210,0))/100))+MIN((Skills!S12*(1+((Inputs!$B$35+(ArtifactsInput!$M$7-ArtifactsInput!$M$7)*CHOOSE(ArtifactsInput!$N$7+1,6,7.2,8.4,9.6,10.8,12))+IF(Inputs!$B$3&gt;=117,F2210,0))/100)),MAX(0,Inputs!$B$44-((R2196-1)*Skills!D12))))/Inputs!$B$44),IF(Inputs!$B$39="pvp",MIN((Skills!S12*(1+((Inputs!$B$35+(ArtifactsInput!$M$7-ArtifactsInput!$M$7)*CHOOSE(ArtifactsInput!$N$7+1,6,7.2,8.4,9.6,10.8,12))+IF(Inputs!$B$3&gt;=117,F2210,0))/100)),15)/15,(Skills!S12*(1+((Inputs!$B$35+(ArtifactsInput!$M$7-ArtifactsInput!$M$7)*CHOOSE(ArtifactsInput!$N$7+1,6,7.2,8.4,9.6,10.8,12))+IF(Inputs!$B$3&gt;=117,F2210,0))/100))/Skills!D12)),0)</f>
        <v/>
      </c>
    </row>
    <row r="2216">
      <c r="A2216" t="inlineStr">
        <is>
          <t>Damage % Bonus (Holy Symbol - Damage Boost)</t>
        </is>
      </c>
      <c r="B2216">
        <f>Skills!O12</f>
        <v/>
      </c>
    </row>
    <row r="2217">
      <c r="A2217" t="inlineStr">
        <is>
          <t>Crit Damage % Bonus (Blood of the Divine)</t>
        </is>
      </c>
      <c r="B2217">
        <f>4*IF(C2204=TRUE,F2204,0)</f>
        <v/>
      </c>
    </row>
    <row r="2218">
      <c r="A2218" t="inlineStr">
        <is>
          <t>Attack Speed Bonus %</t>
        </is>
      </c>
      <c r="B2218">
        <f>IF(C2201=TRUE,F2201+(F2205-Calc!F21),0)+IF(Inputs!$B$3&gt;=134,15,0)</f>
        <v/>
      </c>
    </row>
    <row r="2219">
      <c r="A2219" t="inlineStr">
        <is>
          <t>Actions Per Second</t>
        </is>
      </c>
      <c r="B2219">
        <f>1+MIN(150,150*(1-(1-Inputs!$B$12/150)*(1-B2218/150)))/100</f>
        <v/>
      </c>
    </row>
    <row r="2220">
      <c r="A2220" t="inlineStr">
        <is>
          <t>Skill + Buff Cast Rate</t>
        </is>
      </c>
      <c r="B2220">
        <f>IF(AND(Inputs!$B$39&lt;&gt;"pvp",Inputs!$B$44&gt;0),SUMPRODUCT((Skills!E2:E27=TRUE)*(C2186:C2211=TRUE)*R2186:R2211)/Inputs!$B$44,SUMPRODUCT((Skills!E2:E27=TRUE)*(C2186:C2211=TRUE)*Q2186:Q2211))</f>
        <v/>
      </c>
    </row>
    <row r="2221">
      <c r="A2221" t="inlineStr">
        <is>
          <t>Big Bang Casts Per Second</t>
        </is>
      </c>
      <c r="B2221">
        <f>MAX(0,B2219-B2220)</f>
        <v/>
      </c>
    </row>
    <row r="2222">
      <c r="A2222" t="inlineStr">
        <is>
          <t>Defense % Bonus (Divine Protection)</t>
        </is>
      </c>
      <c r="B2222">
        <f>IF(C2197=TRUE,F2197*IF(AND(Inputs!$B$39&lt;&gt;"pvp",Inputs!$B$44&gt;0),(((R2197-1)*(Skills!S13*(1+((Inputs!$B$35+(ArtifactsInput!$M$7-ArtifactsInput!$M$7)*CHOOSE(ArtifactsInput!$N$7+1,6,7.2,8.4,9.6,10.8,12))+IF(Inputs!$B$3&gt;=117,F2210,0))/100))+MIN((Skills!S13*(1+((Inputs!$B$35+(ArtifactsInput!$M$7-ArtifactsInput!$M$7)*CHOOSE(ArtifactsInput!$N$7+1,6,7.2,8.4,9.6,10.8,12))+IF(Inputs!$B$3&gt;=117,F2210,0))/100)),MAX(0,Inputs!$B$44-((R2197-1)*Skills!D13))))/Inputs!$B$44),IF(Inputs!$B$39="pvp",MIN((Skills!S13*(1+((Inputs!$B$35+(ArtifactsInput!$M$7-ArtifactsInput!$M$7)*CHOOSE(ArtifactsInput!$N$7+1,6,7.2,8.4,9.6,10.8,12))+IF(Inputs!$B$3&gt;=117,F2210,0))/100)),15)/15,(Skills!S13*(1+((Inputs!$B$35+(ArtifactsInput!$M$7-ArtifactsInput!$M$7)*CHOOSE(ArtifactsInput!$N$7+1,6,7.2,8.4,9.6,10.8,12))+IF(Inputs!$B$3&gt;=117,F2210,0))/100))/Skills!D13)),0)</f>
        <v/>
      </c>
    </row>
    <row r="2223">
      <c r="A2223" t="inlineStr">
        <is>
          <t>Buff-Casting Startup Delay (s, fixed-duration only)</t>
        </is>
      </c>
      <c r="B2223">
        <f>IF(AND(Inputs!$B$39&lt;&gt;"pvp",Inputs!$B$44&gt;0),SUMPRODUCT((Skills!S2:S27&gt;0)*(Skills!E2:E27=TRUE)*(C2186:C2211=TRUE))/B2219,0)</f>
        <v/>
      </c>
    </row>
    <row r="2224">
      <c r="A2224" t="inlineStr">
        <is>
          <t>Boss-Only Total DPS (this block's swept value)</t>
        </is>
      </c>
      <c r="B2224">
        <f>SUM(S2186:S2211)</f>
        <v/>
      </c>
    </row>
    <row r="2225">
      <c r="A2225" t="inlineStr">
        <is>
          <t>Normal-Only Total DPS (this block's swept value)</t>
        </is>
      </c>
      <c r="B2225">
        <f>SUM(U2186:U2211)</f>
        <v/>
      </c>
    </row>
    <row r="2226">
      <c r="A2226" s="6" t="inlineStr">
        <is>
          <t>TOTAL DPS</t>
        </is>
      </c>
      <c r="B2226" s="6">
        <f>SUM(O2186:O2211)</f>
        <v/>
      </c>
    </row>
    <row r="2228">
      <c r="A2228" s="6" t="inlineStr">
        <is>
          <t>Stat: Soul Pouch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R2229" t="inlineStr">
        <is>
          <t>helpers</t>
        </is>
      </c>
    </row>
    <row r="2230">
      <c r="A2230">
        <f>Skills!A2</f>
        <v/>
      </c>
      <c r="B2230">
        <f>Skills!B2</f>
        <v/>
      </c>
      <c r="C2230">
        <f>Inputs!$B$3&gt;=100</f>
        <v/>
      </c>
      <c r="D2230" t="inlineStr"/>
      <c r="E2230" t="inlineStr"/>
      <c r="F2230">
        <f>T2232+Skills!N2</f>
        <v/>
      </c>
      <c r="G2230">
        <f>Calc!G2</f>
        <v/>
      </c>
      <c r="H2230">
        <f>Calc!H2</f>
        <v/>
      </c>
      <c r="I2230">
        <f>IF(Skills!T2&lt;&gt;"",1+(Skills!T2/10)*($Z$3/1000)/100,1)</f>
        <v/>
      </c>
      <c r="J2230">
        <f>((Inputs!$B$6*(1+Inputs!$B$7/100))+(((Inputs!$B$13*(1+Inputs!$B$14/100))-(Inputs!$B$13*(1+Inputs!$B$14/100)))+0.25*(Inputs!$B$15-Inputs!$B$15))*(1+Inputs!$B$7/100))*(F2230/100)</f>
        <v/>
      </c>
      <c r="K2230">
        <f>J2230*(1+(((Inputs!$B$13+IF(Inputs!$B$3&gt;=35,(10*INDEX(FactorTable!$B$2:$Y$301,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2="TRIUMPH_FEATHER",IF(C2244=TRUE,F2244,0),0)/100)*(1+IF(C2255=TRUE,F2255,0)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2230)</f>
        <v/>
      </c>
      <c r="L2230">
        <f>K2230*(MIN(Inputs!$B$23+(F2250-Calc!F22),(Inputs!$B$24+IF(ArtifactsInput!$M$15,CHOOSE(ArtifactsInput!$N$15+1,25,30,35,40,45,50)/100*(Inputs!$B$12-Inputs!$B$12),0)))/100+(Inputs!$B$24+IF(ArtifactsInput!$M$15,CHOOSE(ArtifactsInput!$N$15+1,25,30,35,40,45,50)/100*(Inputs!$B$12-Inputs!$B$12),0))/100)/2</f>
        <v/>
      </c>
      <c r="M2230">
        <f>L2230*(1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0">
        <f>L2230*(1-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(1-Summary!$B$11)*S2230+Summary!$B$11*U2230</f>
        <v/>
      </c>
      <c r="P2230">
        <f>IF(B2270=0,0,O2230/B2270)</f>
        <v/>
      </c>
      <c r="Q2230">
        <f>IFERROR(1/(IF(Inputs!$B$39="pvp",15,MAX(0.1,Skills!D2-IF(Skills!E2=TRUE,Inputs!$B$33,0)))*(1-IF(AND(ArtifactsInput!$M$27,Inputs!$B$4="Chapter Hunt"),CHOOSE(ArtifactsInput!$N$27+1,20,24,28,32,36,40),0)/100)),0)</f>
        <v/>
      </c>
      <c r="R2230" t="n">
        <v>0</v>
      </c>
      <c r="S2230">
        <f>IF(C2230,(Skills!F2*N2230*B2265)*IF(Inputs!$B$39="pvp",1,1+(Inputs!$B$21+Skills!O2+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2230*(1-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0">
        <f>MAX(0,(Inputs!$B$3-100)*3)+Inputs!$B$29+Inputs!$B$30</f>
        <v/>
      </c>
      <c r="U2230">
        <f>IF(C2230,(Skills!F2*N2230*B2265)*IF(Inputs!$B$39="pvp",1,(1+(Inputs!$B$22+Skills!P2+B2259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Inputs!$B$3&gt;=15</f>
        <v/>
      </c>
      <c r="D2231">
        <f>IF(Skills!C3=1,60+Inputs!$B$26+Inputs!$B$30,IF(Skills!C3=2,90+Inputs!$B$27+Inputs!$B$30,IF(Skills!C3=3,120+Inputs!$B$28+Inputs!$B$30,MAX(0,(Inputs!$B$3-100)*3)+Inputs!$B$29+Inputs!$B$30)))</f>
        <v/>
      </c>
      <c r="E2231">
        <f>INDEX(FactorTable!$B$2:$Y$301, MATCH(ROUND(MIN(300,MAX(1,D2231)),0), FactorTable!$A$2:$A$301,0), Skills!L3+1)</f>
        <v/>
      </c>
      <c r="F2231">
        <f>IF(Skills!M3=TRUE,(Skills!K3/10)*(E2231/1000),Skills!K3/10)+Skills!N3</f>
        <v/>
      </c>
      <c r="G2231">
        <f>Calc!G3</f>
        <v/>
      </c>
      <c r="H2231">
        <f>Calc!H3</f>
        <v/>
      </c>
      <c r="I2231">
        <f>IF(Skills!T3&lt;&gt;"",1+(Skills!T3/10)*($Z$3/1000)/100,1)</f>
        <v/>
      </c>
      <c r="J2231" t="inlineStr"/>
      <c r="K2231" t="inlineStr"/>
      <c r="L2231" t="inlineStr"/>
      <c r="M2231" t="inlineStr"/>
      <c r="N2231" t="inlineStr"/>
      <c r="O2231">
        <f>(1-Summary!$B$11)*S2231+Summary!$B$11*U2231</f>
        <v/>
      </c>
      <c r="P2231">
        <f>IF(B2270=0,0,O2231/B2270)</f>
        <v/>
      </c>
      <c r="Q2231">
        <f>IFERROR(1/(IF(Inputs!$B$39="pvp",15,MAX(0.1,Skills!D3-IF(Skills!E3=TRUE,Inputs!$B$33,0)))*(1-IF(AND(ArtifactsInput!$M$27,Inputs!$B$4="Chapter Hunt"),CHOOSE(ArtifactsInput!$N$27+1,20,24,28,32,36,40),0)/100)),0)</f>
        <v/>
      </c>
      <c r="R2231">
        <f>IF(AND(Inputs!$B$39&lt;&gt;"pvp",Inputs!$B$44&gt;0),IF(Inputs!$B$44&lt;=0,0,(INT(Inputs!$B$44/(IF(Inputs!$B$39="pvp",15,MAX(0.1,Skills!D3-IF(Skills!E3=TRUE,Inputs!$B$33,0)))*(1-IF(AND(ArtifactsInput!$M$27,Inputs!$B$4="Chapter Hunt"),CHOOSE(ArtifactsInput!$N$27+1,20,24,28,32,36,40),0)/100)))+1)),0)</f>
        <v/>
      </c>
      <c r="S2231" t="n">
        <v>0</v>
      </c>
      <c r="T2231">
        <f>INDEX(FactorTable!$B$2:$Y$301, MATCH(ROUND(MIN(300,MAX(1,T2230)),0), FactorTable!$A$2:$A$301,0), 22)</f>
        <v/>
      </c>
      <c r="U2231" t="n">
        <v>0</v>
      </c>
    </row>
    <row r="2232">
      <c r="A2232">
        <f>Skills!A4</f>
        <v/>
      </c>
      <c r="B2232">
        <f>Skills!B4</f>
        <v/>
      </c>
      <c r="C2232">
        <f>Inputs!$B$3&gt;=38</f>
        <v/>
      </c>
      <c r="D2232">
        <f>IF(Skills!C4=1,60+Inputs!$B$26+Inputs!$B$30,IF(Skills!C4=2,90+Inputs!$B$27+Inputs!$B$30,IF(Skills!C4=3,120+Inputs!$B$28+Inputs!$B$30,MAX(0,(Inputs!$B$3-100)*3)+Inputs!$B$29+Inputs!$B$30)))</f>
        <v/>
      </c>
      <c r="E2232">
        <f>INDEX(FactorTable!$B$2:$Y$301, MATCH(ROUND(MIN(300,MAX(1,D2232)),0), FactorTable!$A$2:$A$301,0), Skills!L4+1)</f>
        <v/>
      </c>
      <c r="F2232">
        <f>IF(Skills!M4=TRUE,(Skills!K4/10)*(E2232/1000),Skills!K4/10)+Skills!N4</f>
        <v/>
      </c>
      <c r="G2232">
        <f>Calc!G4</f>
        <v/>
      </c>
      <c r="H2232">
        <f>Calc!H4</f>
        <v/>
      </c>
      <c r="I2232">
        <f>IF(Skills!T4&lt;&gt;"",1+(Skills!T4/10)*($Z$3/1000)/100,1)</f>
        <v/>
      </c>
      <c r="J2232" t="inlineStr"/>
      <c r="K2232" t="inlineStr"/>
      <c r="L2232" t="inlineStr"/>
      <c r="M2232" t="inlineStr"/>
      <c r="N2232" t="inlineStr"/>
      <c r="O2232">
        <f>(1-Summary!$B$11)*S2232+Summary!$B$11*U2232</f>
        <v/>
      </c>
      <c r="P2232">
        <f>IF(B2270=0,0,O2232/B2270)</f>
        <v/>
      </c>
      <c r="Q2232">
        <f>IFERROR(1/(IF(Inputs!$B$39="pvp",15,MAX(0.1,Skills!D4-IF(Skills!E4=TRUE,Inputs!$B$33,0)))*(1-IF(AND(ArtifactsInput!$M$27,Inputs!$B$4="Chapter Hunt"),CHOOSE(ArtifactsInput!$N$27+1,20,24,28,32,36,40),0)/100)),0)</f>
        <v/>
      </c>
      <c r="R2232">
        <f>IF(AND(Inputs!$B$39&lt;&gt;"pvp",Inputs!$B$44&gt;0),IF(Inputs!$B$44&lt;=0,0,(INT(Inputs!$B$44/(IF(Inputs!$B$39="pvp",15,MAX(0.1,Skills!D4-IF(Skills!E4=TRUE,Inputs!$B$33,0)))*(1-IF(AND(ArtifactsInput!$M$27,Inputs!$B$4="Chapter Hunt"),CHOOSE(ArtifactsInput!$N$27+1,20,24,28,32,36,40),0)/100)))+1)),0)</f>
        <v/>
      </c>
      <c r="S2232" t="n">
        <v>0</v>
      </c>
      <c r="T2232">
        <f>290*T2231/1000</f>
        <v/>
      </c>
      <c r="U2232" t="n">
        <v>0</v>
      </c>
    </row>
    <row r="2233">
      <c r="A2233">
        <f>Skills!A5</f>
        <v/>
      </c>
      <c r="B2233">
        <f>Skills!B5</f>
        <v/>
      </c>
      <c r="C2233">
        <f>Inputs!$B$3&gt;=40</f>
        <v/>
      </c>
      <c r="D2233">
        <f>IF(Skills!C5=1,60+Inputs!$B$26+Inputs!$B$30,IF(Skills!C5=2,90+Inputs!$B$27+Inputs!$B$30,IF(Skills!C5=3,120+Inputs!$B$28+Inputs!$B$30,MAX(0,(Inputs!$B$3-100)*3)+Inputs!$B$29+Inputs!$B$30)))</f>
        <v/>
      </c>
      <c r="E2233">
        <f>INDEX(FactorTable!$B$2:$Y$301, MATCH(ROUND(MIN(300,MAX(1,D2233)),0), FactorTable!$A$2:$A$301,0), Skills!L5+1)</f>
        <v/>
      </c>
      <c r="F2233">
        <f>IF(Skills!M5=TRUE,(Skills!K5/10)*(E2233/1000),Skills!K5/10)+Skills!N5</f>
        <v/>
      </c>
      <c r="G2233">
        <f>Calc!G5</f>
        <v/>
      </c>
      <c r="H2233">
        <f>Calc!H5</f>
        <v/>
      </c>
      <c r="I2233">
        <f>IF(Skills!T5&lt;&gt;"",1+(Skills!T5/10)*($Z$3/1000)/100,1)</f>
        <v/>
      </c>
      <c r="J2233" t="inlineStr"/>
      <c r="K2233" t="inlineStr"/>
      <c r="L2233" t="inlineStr"/>
      <c r="M2233" t="inlineStr"/>
      <c r="N2233" t="inlineStr"/>
      <c r="O2233">
        <f>(1-Summary!$B$11)*S2233+Summary!$B$11*U2233</f>
        <v/>
      </c>
      <c r="P2233">
        <f>IF(B2270=0,0,O2233/B2270)</f>
        <v/>
      </c>
      <c r="Q2233">
        <f>IFERROR(1/(IF(Inputs!$B$39="pvp",15,MAX(0.1,Skills!D5-IF(Skills!E5=TRUE,Inputs!$B$33,0)))*(1-IF(AND(ArtifactsInput!$M$27,Inputs!$B$4="Chapter Hunt"),CHOOSE(ArtifactsInput!$N$27+1,20,24,28,32,36,40),0)/100)),0)</f>
        <v/>
      </c>
      <c r="R2233">
        <f>IF(AND(Inputs!$B$39&lt;&gt;"pvp",Inputs!$B$44&gt;0),IF(Inputs!$B$44&lt;=0,0,(INT(Inputs!$B$44/(IF(Inputs!$B$39="pvp",15,MAX(0.1,Skills!D5-IF(Skills!E5=TRUE,Inputs!$B$33,0)))*(1-IF(AND(ArtifactsInput!$M$27,Inputs!$B$4="Chapter Hunt"),CHOOSE(ArtifactsInput!$N$27+1,20,24,28,32,36,40),0)/100)))+1)),0)</f>
        <v/>
      </c>
      <c r="S2233" t="n">
        <v>0</v>
      </c>
      <c r="U2233" t="n">
        <v>0</v>
      </c>
    </row>
    <row r="2234">
      <c r="A2234">
        <f>Skills!A6</f>
        <v/>
      </c>
      <c r="B2234">
        <f>Skills!B6</f>
        <v/>
      </c>
      <c r="C2234">
        <f>Inputs!$B$3&gt;=103</f>
        <v/>
      </c>
      <c r="D2234">
        <f>IF(Skills!C6=1,60+Inputs!$B$26+Inputs!$B$30,IF(Skills!C6=2,90+Inputs!$B$27+Inputs!$B$30,IF(Skills!C6=3,120+Inputs!$B$28+Inputs!$B$30,MAX(0,(Inputs!$B$3-100)*3)+Inputs!$B$29+Inputs!$B$30)))</f>
        <v/>
      </c>
      <c r="E2234">
        <f>INDEX(FactorTable!$B$2:$Y$301, MATCH(ROUND(MIN(300,MAX(1,D2234)),0), FactorTable!$A$2:$A$301,0), Skills!L6+1)</f>
        <v/>
      </c>
      <c r="F2234">
        <f>IF(Skills!M6=TRUE,(Skills!K6/10)*(E2234/1000),Skills!K6/10)+Skills!N6</f>
        <v/>
      </c>
      <c r="G2234">
        <f>Calc!G6</f>
        <v/>
      </c>
      <c r="H2234">
        <f>Calc!H6</f>
        <v/>
      </c>
      <c r="I2234">
        <f>IF(Skills!T6&lt;&gt;"",1+(Skills!T6/10)*($Z$3/1000)/100,1)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6="TRIUMPH_FEATHER",IF(C2244=TRUE,F2244,0),0)/100)*(1+IF(C2255=TRUE,F2255,0)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2234)</f>
        <v/>
      </c>
      <c r="L2234">
        <f>K2234*(MIN(Inputs!$B$23+(F2250-Calc!F22),(Inputs!$B$24+IF(ArtifactsInput!$M$15,CHOOSE(ArtifactsInput!$N$15+1,25,30,35,40,45,50)/100*(Inputs!$B$12-Inputs!$B$12),0)))/100+(Inputs!$B$24+IF(ArtifactsInput!$M$15,CHOOSE(ArtifactsInput!$N$15+1,25,30,35,40,45,50)/100*(Inputs!$B$12-Inputs!$B$12),0))/100)/2</f>
        <v/>
      </c>
      <c r="M2234">
        <f>L2234*(1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IF(B2270=0,0,O2234/B2270)</f>
        <v/>
      </c>
      <c r="Q2234">
        <f>IFERROR(1/(IF(Inputs!$B$39="pvp",15,MAX(0.1,Skills!D6-IF(Skills!E6=TRUE,Inputs!$B$33,0)))*(1-IF(AND(ArtifactsInput!$M$27,Inputs!$B$4="Chapter Hunt"),CHOOSE(ArtifactsInput!$N$27+1,20,24,28,32,36,40),0)/100)),0)</f>
        <v/>
      </c>
      <c r="R2234">
        <f>IF(AND(Inputs!$B$39&lt;&gt;"pvp",Inputs!$B$44&gt;0),IF(MAX(0,Inputs!$B$44-B2267)&lt;=0,0,(INT(MAX(0,Inputs!$B$44-B2267)/(IF(Inputs!$B$39="pvp",15,MAX(0.1,Skills!D6-IF(Skills!E6=TRUE,Inputs!$B$33,0)))*(1-IF(AND(ArtifactsInput!$M$27,Inputs!$B$4="Chapter Hunt"),CHOOSE(ArtifactsInput!$N$27+1,20,24,28,32,36,40),0)/100)))+1)),0)</f>
        <v/>
      </c>
      <c r="S2234">
        <f>IF(C2234,(H2234*N2234*IF(AND(Inputs!$B$39&lt;&gt;"pvp",Inputs!$B$44&gt;0),((Skills!F6*((R2234-1)*IF(Skills!G6&gt;0,Skills!H6/Skills!G6,1)+IF(Skills!G6&gt;0,MIN(Skills!H6,MAX(0,MAX(0,Inputs!$B$44-B2267)-((R2234-1)*(IF(Inputs!$B$39="pvp",15,MAX(0.1,Skills!D6-IF(Skills!E6=TRUE,Inputs!$B$33,0)))*(1-IF(AND(ArtifactsInput!$M$27,Inputs!$B$4="Chapter Hunt"),CHOOSE(ArtifactsInput!$N$27+1,20,24,28,32,36,40),0)/100)))))/Skills!G6,1)))/Inputs!$B$44),G2234*Q2234))*IF(Inputs!$B$39="pvp",1,1+(Inputs!$B$21+Skills!O6+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4">
        <f>IF(C2234,(H2234*N2234*IF(AND(Inputs!$B$39&lt;&gt;"pvp",Inputs!$B$44&gt;0),((Skills!F6*((R2234-1)*IF(Skills!G6&gt;0,Skills!H6/Skills!G6,1)+IF(Skills!G6&gt;0,MIN(Skills!H6,MAX(0,MAX(0,Inputs!$B$44-B2267)-((R2234-1)*(IF(Inputs!$B$39="pvp",15,MAX(0.1,Skills!D6-IF(Skills!E6=TRUE,Inputs!$B$33,0)))*(1-IF(AND(ArtifactsInput!$M$27,Inputs!$B$4="Chapter Hunt"),CHOOSE(ArtifactsInput!$N$27+1,20,24,28,32,36,40),0)/100)))))/Skills!G6,1)))/Inputs!$B$44),G2234*Q2234))*IF(Inputs!$B$39="pvp",1,(1+(Inputs!$B$22+Skills!P6+B2259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Skills!A7</f>
        <v/>
      </c>
      <c r="B2235">
        <f>Skills!B7</f>
        <v/>
      </c>
      <c r="C2235">
        <f>Inputs!$B$3&gt;=122</f>
        <v/>
      </c>
      <c r="D2235">
        <f>IF(Skills!C7=1,60+Inputs!$B$26+Inputs!$B$30,IF(Skills!C7=2,90+Inputs!$B$27+Inputs!$B$30,IF(Skills!C7=3,120+Inputs!$B$28+Inputs!$B$30,MAX(0,(Inputs!$B$3-100)*3)+Inputs!$B$29+Inputs!$B$30)))</f>
        <v/>
      </c>
      <c r="E2235">
        <f>INDEX(FactorTable!$B$2:$Y$301, MATCH(ROUND(MIN(300,MAX(1,D2235)),0), FactorTable!$A$2:$A$301,0), Skills!L7+1)</f>
        <v/>
      </c>
      <c r="F2235">
        <f>IF(Skills!M7=TRUE,(Skills!K7/10)*(E2235/1000),Skills!K7/10)+Skills!N7</f>
        <v/>
      </c>
      <c r="G2235">
        <f>Calc!G7</f>
        <v/>
      </c>
      <c r="H2235">
        <f>Calc!H7</f>
        <v/>
      </c>
      <c r="I2235">
        <f>IF(Skills!T7&lt;&gt;"",1+(Skills!T7/10)*($Z$3/1000)/100,1)</f>
        <v/>
      </c>
      <c r="J2235">
        <f>((Inputs!$B$6*(1+Inputs!$B$7/100))+(((Inputs!$B$13*(1+Inputs!$B$14/100))-(Inputs!$B$13*(1+Inputs!$B$14/100)))+0.25*(Inputs!$B$15-Inputs!$B$15))*(1+Inputs!$B$7/100))*(F2235/100)</f>
        <v/>
      </c>
      <c r="K2235">
        <f>J2235*(1+(((Inputs!$B$13+IF(Inputs!$B$3&gt;=35,(10*INDEX(FactorTable!$B$2:$Y$301,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7="TRIUMPH_FEATHER",IF(C2244=TRUE,F2244,0),0)/100)*(1+IF(C2255=TRUE,F2255,0)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2235)</f>
        <v/>
      </c>
      <c r="L2235">
        <f>K2235*(MIN(Inputs!$B$23+(F2250-Calc!F22),(Inputs!$B$24+IF(ArtifactsInput!$M$15,CHOOSE(ArtifactsInput!$N$15+1,25,30,35,40,45,50)/100*(Inputs!$B$12-Inputs!$B$12),0)))/100+(Inputs!$B$24+IF(ArtifactsInput!$M$15,CHOOSE(ArtifactsInput!$N$15+1,25,30,35,40,45,50)/100*(Inputs!$B$12-Inputs!$B$12),0))/100)/2</f>
        <v/>
      </c>
      <c r="M2235">
        <f>L2235*(1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5">
        <f>L2235*(1-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2235*(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5">
        <f>(1-Summary!$B$11)*S2235+Summary!$B$11*U2235</f>
        <v/>
      </c>
      <c r="P2235">
        <f>IF(B2270=0,0,O2235/B2270)</f>
        <v/>
      </c>
      <c r="Q2235">
        <f>IFERROR(1/(IF(Inputs!$B$39="pvp",15,MAX(0.1,Skills!D7-IF(Skills!E6=TRUE,Inputs!$B$33,0)))*(1-IF(AND(ArtifactsInput!$M$27,Inputs!$B$4="Chapter Hunt"),CHOOSE(ArtifactsInput!$N$27+1,20,24,28,32,36,40),0)/100)),0)</f>
        <v/>
      </c>
      <c r="R2235">
        <f>IF(AND(Inputs!$B$39&lt;&gt;"pvp",Inputs!$B$44&gt;0),IF(MAX(0,Inputs!$B$44-B2267)&lt;=0,0,(INT(MAX(0,Inputs!$B$44-B2267)/(IF(Inputs!$B$39="pvp",15,MAX(0.1,Skills!D7-IF(Skills!E6=TRUE,Inputs!$B$33,0)))*(1-IF(AND(ArtifactsInput!$M$27,Inputs!$B$4="Chapter Hunt"),CHOOSE(ArtifactsInput!$N$27+1,20,24,28,32,36,40),0)/100)))+1)),0)</f>
        <v/>
      </c>
      <c r="S2235">
        <f>IF(C2235,H2235*N2235*IF(AND(Inputs!$B$39&lt;&gt;"pvp",Inputs!$B$44&gt;0),((Skills!F7*((R2235-1)*IF(Skills!G7&gt;0,Skills!H7/Skills!G7,1)+IF(Skills!G7&gt;0,MIN(Skills!H7,MAX(0,MAX(0,Inputs!$B$44-B2267)-((R2235-1)*(IF(Inputs!$B$39="pvp",15,MAX(0.1,Skills!D7-IF(Skills!E6=TRUE,Inputs!$B$33,0)))*(1-IF(AND(ArtifactsInput!$M$27,Inputs!$B$4="Chapter Hunt"),CHOOSE(ArtifactsInput!$N$27+1,20,24,28,32,36,40),0)/100)))))/Skills!G7,1)))/Inputs!$B$44),G2235*Q2235)*IF(Inputs!$B$39="pvp",1,1+(Inputs!$B$21+Skills!O7+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2235*(1-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2235*(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2235*(1-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2235*(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5" t="n">
        <v>0</v>
      </c>
    </row>
    <row r="2236">
      <c r="A2236">
        <f>Skills!A8</f>
        <v/>
      </c>
      <c r="B2236">
        <f>Skills!B8</f>
        <v/>
      </c>
      <c r="C2236">
        <f>Inputs!$B$3&gt;=105</f>
        <v/>
      </c>
      <c r="D2236">
        <f>IF(Skills!C8=1,60+Inputs!$B$26+Inputs!$B$30,IF(Skills!C8=2,90+Inputs!$B$27+Inputs!$B$30,IF(Skills!C8=3,120+Inputs!$B$28+Inputs!$B$30,MAX(0,(Inputs!$B$3-100)*3)+Inputs!$B$29+Inputs!$B$30)))</f>
        <v/>
      </c>
      <c r="E2236">
        <f>INDEX(FactorTable!$B$2:$Y$301, MATCH(ROUND(MIN(300,MAX(1,D2236)),0), FactorTable!$A$2:$A$301,0), Skills!L8+1)</f>
        <v/>
      </c>
      <c r="F2236">
        <f>IF(Skills!M8=TRUE,(Skills!K8/10)*(E2236/1000),Skills!K8/10)+Skills!N8</f>
        <v/>
      </c>
      <c r="G2236">
        <f>Calc!G8</f>
        <v/>
      </c>
      <c r="H2236">
        <f>Calc!H8</f>
        <v/>
      </c>
      <c r="I2236">
        <f>IF(Skills!T8&lt;&gt;"",1+(Skills!T8/10)*($Z$3/1000)/100,1)</f>
        <v/>
      </c>
      <c r="J2236">
        <f>((Inputs!$B$6*(1+Inputs!$B$7/100))+(((Inputs!$B$13*(1+Inputs!$B$14/100))-(Inputs!$B$13*(1+Inputs!$B$14/100)))+0.25*(Inputs!$B$15-Inputs!$B$15))*(1+Inputs!$B$7/100))*(F2236/100)</f>
        <v/>
      </c>
      <c r="K2236">
        <f>J2236*(1+(((Inputs!$B$13+IF(Inputs!$B$3&gt;=35,(10*INDEX(FactorTable!$B$2:$Y$301,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8="TRIUMPH_FEATHER",IF(C2244=TRUE,F2244,0),0)/100)*(1+IF(C2255=TRUE,F2255,0)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2236)</f>
        <v/>
      </c>
      <c r="L2236">
        <f>K2236*(MIN(Inputs!$B$23+(F2250-Calc!F22),(Inputs!$B$24+IF(ArtifactsInput!$M$15,CHOOSE(ArtifactsInput!$N$15+1,25,30,35,40,45,50)/100*(Inputs!$B$12-Inputs!$B$12),0)))/100+(Inputs!$B$24+IF(ArtifactsInput!$M$15,CHOOSE(ArtifactsInput!$N$15+1,25,30,35,40,45,50)/100*(Inputs!$B$12-Inputs!$B$12),0))/100)/2</f>
        <v/>
      </c>
      <c r="M2236">
        <f>L2236*(1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6">
        <f>L2236*(1-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(1-Summary!$B$11)*S2236+Summary!$B$11*U2236</f>
        <v/>
      </c>
      <c r="P2236">
        <f>IF(B2270=0,0,O2236/B2270)</f>
        <v/>
      </c>
      <c r="Q2236">
        <f>IFERROR(1/(IF(Inputs!$B$39="pvp",15,MAX(0.1,Skills!D8-IF(Skills!E8=TRUE,Inputs!$B$33,0)))*(1-IF(AND(ArtifactsInput!$M$27,Inputs!$B$4="Chapter Hunt"),CHOOSE(ArtifactsInput!$N$27+1,20,24,28,32,36,40),0)/100)),0)</f>
        <v/>
      </c>
      <c r="R2236">
        <f>IF(AND(Inputs!$B$39&lt;&gt;"pvp",Inputs!$B$44&gt;0),IF(MAX(0,Inputs!$B$44-B2267)&lt;=0,0,(INT(MAX(0,Inputs!$B$44-B2267)/(IF(Inputs!$B$39="pvp",15,MAX(0.1,Skills!D8-IF(Skills!E8=TRUE,Inputs!$B$33,0)))*(1-IF(AND(ArtifactsInput!$M$27,Inputs!$B$4="Chapter Hunt"),CHOOSE(ArtifactsInput!$N$27+1,20,24,28,32,36,40),0)/100)))+1)),0)</f>
        <v/>
      </c>
      <c r="S2236">
        <f>IF(C2236,(H2236*N2236*IF(AND(Inputs!$B$39&lt;&gt;"pvp",Inputs!$B$44&gt;0),((Skills!F8*((R2236-1)*IF(Skills!G8&gt;0,Skills!H8/Skills!G8,1)+IF(Skills!G8&gt;0,MIN(Skills!H8,MAX(0,MAX(0,Inputs!$B$44-B2267)-((R2236-1)*(IF(Inputs!$B$39="pvp",15,MAX(0.1,Skills!D8-IF(Skills!E8=TRUE,Inputs!$B$33,0)))*(1-IF(AND(ArtifactsInput!$M$27,Inputs!$B$4="Chapter Hunt"),CHOOSE(ArtifactsInput!$N$27+1,20,24,28,32,36,40),0)/100)))))/Skills!G8,1)))/Inputs!$B$44),G2236*Q2236))*IF(Inputs!$B$39="pvp",1,1+(Inputs!$B$21+Skills!O8+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2236*(1-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6">
        <f>IF(C2236,(H2236*N2236*IF(AND(Inputs!$B$39&lt;&gt;"pvp",Inputs!$B$44&gt;0),((Skills!F8*((R2236-1)*IF(Skills!G8&gt;0,Skills!H8/Skills!G8,1)+IF(Skills!G8&gt;0,MIN(Skills!H8,MAX(0,MAX(0,Inputs!$B$44-B2267)-((R2236-1)*(IF(Inputs!$B$39="pvp",15,MAX(0.1,Skills!D8-IF(Skills!E8=TRUE,Inputs!$B$33,0)))*(1-IF(AND(ArtifactsInput!$M$27,Inputs!$B$4="Chapter Hunt"),CHOOSE(ArtifactsInput!$N$27+1,20,24,28,32,36,40),0)/100)))))/Skills!G8,1)))/Inputs!$B$44),G2236*Q2236))*IF(Inputs!$B$39="pvp",1,(1+(Inputs!$B$22+Skills!P8+B2259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Inputs!$B$3&gt;=115</f>
        <v/>
      </c>
      <c r="D2237">
        <f>IF(Skills!C9=1,60+Inputs!$B$26+Inputs!$B$30,IF(Skills!C9=2,90+Inputs!$B$27+Inputs!$B$30,IF(Skills!C9=3,120+Inputs!$B$28+Inputs!$B$30,MAX(0,(Inputs!$B$3-100)*3)+Inputs!$B$29+Inputs!$B$30)))</f>
        <v/>
      </c>
      <c r="E2237">
        <f>INDEX(FactorTable!$B$2:$Y$301, MATCH(ROUND(MIN(300,MAX(1,D2237)),0), FactorTable!$A$2:$A$301,0), Skills!L9+1)</f>
        <v/>
      </c>
      <c r="F2237">
        <f>IF(Skills!M9=TRUE,(Skills!K9/10)*(E2237/1000),Skills!K9/10)+Skills!N9</f>
        <v/>
      </c>
      <c r="G2237">
        <f>Calc!G9</f>
        <v/>
      </c>
      <c r="H2237">
        <f>Calc!H9</f>
        <v/>
      </c>
      <c r="I2237">
        <f>IF(Skills!T9&lt;&gt;"",1+(Skills!T9/10)*($Z$3/1000)/100,1)</f>
        <v/>
      </c>
      <c r="J2237">
        <f>((Inputs!$B$6*(1+Inputs!$B$7/100))+(((Inputs!$B$13*(1+Inputs!$B$14/100))-(Inputs!$B$13*(1+Inputs!$B$14/100)))+0.25*(Inputs!$B$15-Inputs!$B$15))*(1+Inputs!$B$7/100))*(F2237/100)</f>
        <v/>
      </c>
      <c r="K2237">
        <f>J2237*(1+(((Inputs!$B$13+IF(Inputs!$B$3&gt;=35,(10*INDEX(FactorTable!$B$2:$Y$301,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9="TRIUMPH_FEATHER",IF(C2244=TRUE,F2244,0),0)/100)*(1+IF(C2255=TRUE,F2255,0)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2237)</f>
        <v/>
      </c>
      <c r="L2237">
        <f>K2237*(MIN(Inputs!$B$23+(F2250-Calc!F22),(Inputs!$B$24+IF(ArtifactsInput!$M$15,CHOOSE(ArtifactsInput!$N$15+1,25,30,35,40,45,50)/100*(Inputs!$B$12-Inputs!$B$12),0)))/100+(Inputs!$B$24+IF(ArtifactsInput!$M$15,CHOOSE(ArtifactsInput!$N$15+1,25,30,35,40,45,50)/100*(Inputs!$B$12-Inputs!$B$12),0))/100)/2</f>
        <v/>
      </c>
      <c r="M2237">
        <f>L2237*(1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7">
        <f>L2237*(1-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(1-Summary!$B$11)*S2237+Summary!$B$11*U2237</f>
        <v/>
      </c>
      <c r="P2237">
        <f>IF(B2270=0,0,O2237/B2270)</f>
        <v/>
      </c>
      <c r="Q2237">
        <f>IFERROR(1/(IF(Inputs!$B$39="pvp",15,MAX(0.1,Skills!D9-IF(Skills!E9=TRUE,Inputs!$B$33,0)))*(1-IF(AND(ArtifactsInput!$M$27,Inputs!$B$4="Chapter Hunt"),CHOOSE(ArtifactsInput!$N$27+1,20,24,28,32,36,40),0)/100)),0)</f>
        <v/>
      </c>
      <c r="R2237">
        <f>IF(AND(Inputs!$B$39&lt;&gt;"pvp",Inputs!$B$44&gt;0),IF(MAX(0,Inputs!$B$44-B2267)&lt;=0,0,(INT(MAX(0,Inputs!$B$44-B2267)/(IF(Inputs!$B$39="pvp",15,MAX(0.1,Skills!D9-IF(Skills!E9=TRUE,Inputs!$B$33,0)))*(1-IF(AND(ArtifactsInput!$M$27,Inputs!$B$4="Chapter Hunt"),CHOOSE(ArtifactsInput!$N$27+1,20,24,28,32,36,40),0)/100)))+1)),0)</f>
        <v/>
      </c>
      <c r="S2237">
        <f>IF(C2237,(H2237*N2237*IF(AND(Inputs!$B$39&lt;&gt;"pvp",Inputs!$B$44&gt;0),((Skills!F9*((R2237-1)*IF(Skills!G9&gt;0,Skills!H9/Skills!G9,1)+IF(Skills!G9&gt;0,MIN(Skills!H9,MAX(0,MAX(0,Inputs!$B$44-B2267)-((R2237-1)*(IF(Inputs!$B$39="pvp",15,MAX(0.1,Skills!D9-IF(Skills!E9=TRUE,Inputs!$B$33,0)))*(1-IF(AND(ArtifactsInput!$M$27,Inputs!$B$4="Chapter Hunt"),CHOOSE(ArtifactsInput!$N$27+1,20,24,28,32,36,40),0)/100)))))/Skills!G9,1)))/Inputs!$B$44),G2237*Q2237))*IF(Inputs!$B$39="pvp",1,1+(Inputs!$B$21+Skills!O9+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2237*(1-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7">
        <f>IF(C2237,(H2237*N2237*IF(AND(Inputs!$B$39&lt;&gt;"pvp",Inputs!$B$44&gt;0),((Skills!F9*((R2237-1)*IF(Skills!G9&gt;0,Skills!H9/Skills!G9,1)+IF(Skills!G9&gt;0,MIN(Skills!H9,MAX(0,MAX(0,Inputs!$B$44-B2267)-((R2237-1)*(IF(Inputs!$B$39="pvp",15,MAX(0.1,Skills!D9-IF(Skills!E9=TRUE,Inputs!$B$33,0)))*(1-IF(AND(ArtifactsInput!$M$27,Inputs!$B$4="Chapter Hunt"),CHOOSE(ArtifactsInput!$N$27+1,20,24,28,32,36,40),0)/100)))))/Skills!G9,1)))/Inputs!$B$44),G2237*Q2237))*IF(Inputs!$B$39="pvp",1,(1+(Inputs!$B$22+Skills!P9+B2259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Inputs!$B$3&gt;=66</f>
        <v/>
      </c>
      <c r="D2238">
        <f>IF(Skills!C10=1,60+Inputs!$B$26+Inputs!$B$30,IF(Skills!C10=2,90+Inputs!$B$27+Inputs!$B$30,IF(Skills!C10=3,120+Inputs!$B$28+Inputs!$B$30,MAX(0,(Inputs!$B$3-100)*3)+Inputs!$B$29+Inputs!$B$30)))</f>
        <v/>
      </c>
      <c r="E2238">
        <f>INDEX(FactorTable!$B$2:$Y$301, MATCH(ROUND(MIN(300,MAX(1,D2238)),0), FactorTable!$A$2:$A$301,0), Skills!L10+1)</f>
        <v/>
      </c>
      <c r="F2238" t="n">
        <v>0</v>
      </c>
      <c r="G2238">
        <f>Calc!G10</f>
        <v/>
      </c>
      <c r="H2238">
        <f>Calc!H10</f>
        <v/>
      </c>
      <c r="I2238">
        <f>IF(Skills!T10&lt;&gt;"",1+(Skills!T10/10)*($Z$3/1000)/100,1)</f>
        <v/>
      </c>
      <c r="J2238" t="inlineStr"/>
      <c r="K2238" t="inlineStr"/>
      <c r="L2238" t="inlineStr"/>
      <c r="M2238" t="inlineStr"/>
      <c r="N2238" t="inlineStr"/>
      <c r="O2238">
        <f>(1-Summary!$B$11)*S2238+Summary!$B$11*U2238</f>
        <v/>
      </c>
      <c r="P2238">
        <f>IF(B2270=0,0,O2238/B2270)</f>
        <v/>
      </c>
      <c r="Q2238">
        <f>IFERROR(1/(IF(Inputs!$B$39="pvp",15,MAX(0.1,Skills!D10-IF(Skills!E10=TRUE,Inputs!$B$33,0)))*(1-IF(AND(ArtifactsInput!$M$27,Inputs!$B$4="Chapter Hunt"),CHOOSE(ArtifactsInput!$N$27+1,20,24,28,32,36,40),0)/100)),0)</f>
        <v/>
      </c>
      <c r="R2238">
        <f>IF(AND(Inputs!$B$39&lt;&gt;"pvp",Inputs!$B$44&gt;0),IF(MAX(0,Inputs!$B$44-B2267)&lt;=0,0,(INT(MAX(0,Inputs!$B$44-B2267)/(IF(Inputs!$B$39="pvp",15,MAX(0.1,Skills!D10-IF(Skills!E10=TRUE,Inputs!$B$33,0)))*(1-IF(AND(ArtifactsInput!$M$27,Inputs!$B$4="Chapter Hunt"),CHOOSE(ArtifactsInput!$N$27+1,20,24,28,32,36,40),0)/100)))+1)),0)</f>
        <v/>
      </c>
      <c r="S2238" t="n">
        <v>0</v>
      </c>
      <c r="U2238" t="n">
        <v>0</v>
      </c>
    </row>
    <row r="2239">
      <c r="A2239">
        <f>Skills!A11</f>
        <v/>
      </c>
      <c r="B2239">
        <f>Skills!B11</f>
        <v/>
      </c>
      <c r="C2239">
        <f>Inputs!$B$3&gt;=69</f>
        <v/>
      </c>
      <c r="D2239">
        <f>IF(Skills!C11=1,60+Inputs!$B$26+Inputs!$B$30,IF(Skills!C11=2,90+Inputs!$B$27+Inputs!$B$30,IF(Skills!C11=3,120+Inputs!$B$28+Inputs!$B$30,MAX(0,(Inputs!$B$3-100)*3)+Inputs!$B$29+Inputs!$B$30)))</f>
        <v/>
      </c>
      <c r="E2239">
        <f>INDEX(FactorTable!$B$2:$Y$301, MATCH(ROUND(MIN(300,MAX(1,D2239)),0), FactorTable!$A$2:$A$301,0), Skills!L11+1)</f>
        <v/>
      </c>
      <c r="F2239">
        <f>IF(Skills!M11=TRUE,(Skills!K11/10)*(E2239/1000),Skills!K11/10)+Skills!N11</f>
        <v/>
      </c>
      <c r="G2239">
        <f>Calc!G11</f>
        <v/>
      </c>
      <c r="H2239">
        <f>Calc!H11</f>
        <v/>
      </c>
      <c r="I2239">
        <f>IF(Skills!T11&lt;&gt;"",1+(Skills!T11/10)*($Z$3/1000)/100,1)</f>
        <v/>
      </c>
      <c r="J2239" t="inlineStr"/>
      <c r="K2239" t="inlineStr"/>
      <c r="L2239" t="inlineStr"/>
      <c r="M2239" t="inlineStr"/>
      <c r="N2239" t="inlineStr"/>
      <c r="O2239">
        <f>(1-Summary!$B$11)*S2239+Summary!$B$11*U2239</f>
        <v/>
      </c>
      <c r="P2239">
        <f>IF(B2270=0,0,O2239/B2270)</f>
        <v/>
      </c>
      <c r="Q2239">
        <f>IFERROR(1/(IF(Inputs!$B$39="pvp",15,MAX(0.1,Skills!D11-IF(Skills!E11=TRUE,Inputs!$B$33,0)))*(1-IF(AND(ArtifactsInput!$M$27,Inputs!$B$4="Chapter Hunt"),CHOOSE(ArtifactsInput!$N$27+1,20,24,28,32,36,40),0)/100)),0)</f>
        <v/>
      </c>
      <c r="R2239">
        <f>IF(AND(Inputs!$B$39&lt;&gt;"pvp",Inputs!$B$44&gt;0),IF(Inputs!$B$44&lt;=0,0,(INT(Inputs!$B$44/(IF(Inputs!$B$39="pvp",15,MAX(0.1,Skills!D11-IF(Skills!E11=TRUE,Inputs!$B$33,0)))*(1-IF(AND(ArtifactsInput!$M$27,Inputs!$B$4="Chapter Hunt"),CHOOSE(ArtifactsInput!$N$27+1,20,24,28,32,36,40),0)/100)))+1)),0)</f>
        <v/>
      </c>
      <c r="S2239" t="n">
        <v>0</v>
      </c>
      <c r="U2239" t="n">
        <v>0</v>
      </c>
    </row>
    <row r="2240">
      <c r="A2240">
        <f>Skills!A12</f>
        <v/>
      </c>
      <c r="B2240">
        <f>Skills!B12</f>
        <v/>
      </c>
      <c r="C2240">
        <f>Inputs!$B$3&gt;=72</f>
        <v/>
      </c>
      <c r="D2240">
        <f>IF(Skills!C12=1,60+Inputs!$B$26+Inputs!$B$30,IF(Skills!C12=2,90+Inputs!$B$27+Inputs!$B$30,IF(Skills!C12=3,120+Inputs!$B$28+Inputs!$B$30,MAX(0,(Inputs!$B$3-100)*3)+Inputs!$B$29+Inputs!$B$30)))</f>
        <v/>
      </c>
      <c r="E2240">
        <f>INDEX(FactorTable!$B$2:$Y$301, MATCH(ROUND(MIN(300,MAX(1,D2240)),0), FactorTable!$A$2:$A$301,0), Skills!L12+1)</f>
        <v/>
      </c>
      <c r="F2240">
        <f>IF(Skills!M12=TRUE,(Skills!K12/10)*(E2240/1000),Skills!K12/10)+Skills!N12</f>
        <v/>
      </c>
      <c r="G2240">
        <f>Calc!G12</f>
        <v/>
      </c>
      <c r="H2240">
        <f>Calc!H12</f>
        <v/>
      </c>
      <c r="I2240">
        <f>IF(Skills!T12&lt;&gt;"",1+(Skills!T12/10)*($Z$3/1000)/100,1)</f>
        <v/>
      </c>
      <c r="J2240" t="inlineStr"/>
      <c r="K2240" t="inlineStr"/>
      <c r="L2240" t="inlineStr"/>
      <c r="M2240" t="inlineStr"/>
      <c r="N2240" t="inlineStr"/>
      <c r="O2240">
        <f>(1-Summary!$B$11)*S2240+Summary!$B$11*U2240</f>
        <v/>
      </c>
      <c r="P2240">
        <f>IF(B2270=0,0,O2240/B2270)</f>
        <v/>
      </c>
      <c r="Q2240">
        <f>IFERROR(1/(IF(Inputs!$B$39="pvp",15,MAX(0.1,Skills!D12-IF(Skills!E12=TRUE,Inputs!$B$33,0)))*(1-IF(AND(ArtifactsInput!$M$27,Inputs!$B$4="Chapter Hunt"),CHOOSE(ArtifactsInput!$N$27+1,20,24,28,32,36,40),0)/100)),0)</f>
        <v/>
      </c>
      <c r="R2240">
        <f>IF(AND(Inputs!$B$39&lt;&gt;"pvp",Inputs!$B$44&gt;0),IF(MAX(0,Inputs!$B$44-B2267)&lt;=0,0,(INT(MAX(0,Inputs!$B$44-B2267)/(IF(Inputs!$B$39="pvp",15,MAX(0.1,Skills!D12-IF(Skills!E12=TRUE,Inputs!$B$33,0)))*(1-IF(AND(ArtifactsInput!$M$27,Inputs!$B$4="Chapter Hunt"),CHOOSE(ArtifactsInput!$N$27+1,20,24,28,32,36,40),0)/100)))+1)),0)</f>
        <v/>
      </c>
      <c r="S2240" t="n">
        <v>0</v>
      </c>
      <c r="U2240" t="n">
        <v>0</v>
      </c>
    </row>
    <row r="2241">
      <c r="A2241">
        <f>Skills!A13</f>
        <v/>
      </c>
      <c r="B2241">
        <f>Skills!B13</f>
        <v/>
      </c>
      <c r="C2241">
        <f>Inputs!$B$3&gt;=60</f>
        <v/>
      </c>
      <c r="D2241">
        <f>IF(Skills!C13=1,60+Inputs!$B$26+Inputs!$B$30,IF(Skills!C13=2,90+Inputs!$B$27+Inputs!$B$30,IF(Skills!C13=3,120+Inputs!$B$28+Inputs!$B$30,MAX(0,(Inputs!$B$3-100)*3)+Inputs!$B$29+Inputs!$B$30)))</f>
        <v/>
      </c>
      <c r="E2241">
        <f>INDEX(FactorTable!$B$2:$Y$301, MATCH(ROUND(MIN(300,MAX(1,D2241)),0), FactorTable!$A$2:$A$301,0), Skills!L13+1)</f>
        <v/>
      </c>
      <c r="F2241">
        <f>IF(Skills!M13=TRUE,(Skills!K13/10)*(E2241/1000),Skills!K13/10)+Skills!N13</f>
        <v/>
      </c>
      <c r="G2241">
        <f>Calc!G13</f>
        <v/>
      </c>
      <c r="H2241">
        <f>Calc!H13</f>
        <v/>
      </c>
      <c r="I2241">
        <f>IF(Skills!T13&lt;&gt;"",1+(Skills!T13/10)*($Z$3/1000)/100,1)</f>
        <v/>
      </c>
      <c r="J2241" t="inlineStr"/>
      <c r="K2241" t="inlineStr"/>
      <c r="L2241" t="inlineStr"/>
      <c r="M2241" t="inlineStr"/>
      <c r="N2241" t="inlineStr"/>
      <c r="O2241">
        <f>(1-Summary!$B$11)*S2241+Summary!$B$11*U2241</f>
        <v/>
      </c>
      <c r="P2241">
        <f>IF(B2270=0,0,O2241/B2270)</f>
        <v/>
      </c>
      <c r="Q2241">
        <f>IFERROR(1/(IF(Inputs!$B$39="pvp",15,MAX(0.1,Skills!D13-IF(Skills!E13=TRUE,Inputs!$B$33,0)))*(1-IF(AND(ArtifactsInput!$M$27,Inputs!$B$4="Chapter Hunt"),CHOOSE(ArtifactsInput!$N$27+1,20,24,28,32,36,40),0)/100)),0)</f>
        <v/>
      </c>
      <c r="R2241">
        <f>IF(AND(Inputs!$B$39&lt;&gt;"pvp",Inputs!$B$44&gt;0),IF(MAX(0,Inputs!$B$44-B2267)&lt;=0,0,(INT(MAX(0,Inputs!$B$44-B2267)/(IF(Inputs!$B$39="pvp",15,MAX(0.1,Skills!D13-IF(Skills!E13=TRUE,Inputs!$B$33,0)))*(1-IF(AND(ArtifactsInput!$M$27,Inputs!$B$4="Chapter Hunt"),CHOOSE(ArtifactsInput!$N$27+1,20,24,28,32,36,40),0)/100)))+1)),0)</f>
        <v/>
      </c>
      <c r="S2241" t="n">
        <v>0</v>
      </c>
      <c r="U2241" t="n">
        <v>0</v>
      </c>
    </row>
    <row r="2242">
      <c r="A2242">
        <f>Skills!A14</f>
        <v/>
      </c>
      <c r="B2242">
        <f>Skills!B14</f>
        <v/>
      </c>
      <c r="C2242">
        <f>Inputs!$B$3&gt;=107</f>
        <v/>
      </c>
      <c r="D2242">
        <f>IF(Skills!C14=1,60+Inputs!$B$26+Inputs!$B$30,IF(Skills!C14=2,90+Inputs!$B$27+Inputs!$B$30,IF(Skills!C14=3,120+Inputs!$B$28+Inputs!$B$30,MAX(0,(Inputs!$B$3-100)*3)+Inputs!$B$29+Inputs!$B$30)))</f>
        <v/>
      </c>
      <c r="E2242">
        <f>INDEX(FactorTable!$B$2:$Y$301, MATCH(ROUND(MIN(300,MAX(1,D2242)),0), FactorTable!$A$2:$A$301,0), Skills!L14+1)</f>
        <v/>
      </c>
      <c r="F2242">
        <f>IF(Skills!M14=TRUE,(Skills!K14/10)*(E2242/1000),Skills!K14/10)+Skills!N14</f>
        <v/>
      </c>
      <c r="G2242">
        <f>Calc!G14</f>
        <v/>
      </c>
      <c r="H2242">
        <f>Calc!H14</f>
        <v/>
      </c>
      <c r="I2242">
        <f>IF(Skills!T14&lt;&gt;"",1+(Skills!T14/10)*($Z$3/1000)/100,1)</f>
        <v/>
      </c>
      <c r="J2242" t="inlineStr"/>
      <c r="K2242" t="inlineStr"/>
      <c r="L2242" t="inlineStr"/>
      <c r="M2242" t="inlineStr"/>
      <c r="N2242" t="inlineStr"/>
      <c r="O2242">
        <f>(1-Summary!$B$11)*S2242+Summary!$B$11*U2242</f>
        <v/>
      </c>
      <c r="P2242">
        <f>IF(B2270=0,0,O2242/B2270)</f>
        <v/>
      </c>
      <c r="Q2242">
        <f>IFERROR(1/(IF(Inputs!$B$39="pvp",15,MAX(0.1,Skills!D14-IF(Skills!E14=TRUE,Inputs!$B$33,0)))*(1-IF(AND(ArtifactsInput!$M$27,Inputs!$B$4="Chapter Hunt"),CHOOSE(ArtifactsInput!$N$27+1,20,24,28,32,36,40),0)/100)),0)</f>
        <v/>
      </c>
      <c r="R2242">
        <f>IF(AND(Inputs!$B$39&lt;&gt;"pvp",Inputs!$B$44&gt;0),IF(Inputs!$B$44&lt;=0,0,(INT(Inputs!$B$44/(IF(Inputs!$B$39="pvp",15,MAX(0.1,Skills!D14-IF(Skills!E14=TRUE,Inputs!$B$33,0)))*(1-IF(AND(ArtifactsInput!$M$27,Inputs!$B$4="Chapter Hunt"),CHOOSE(ArtifactsInput!$N$27+1,20,24,28,32,36,40),0)/100)))+1)),0)</f>
        <v/>
      </c>
      <c r="S2242" t="n">
        <v>0</v>
      </c>
      <c r="U2242" t="n">
        <v>0</v>
      </c>
    </row>
    <row r="2243">
      <c r="A2243">
        <f>Skills!A15</f>
        <v/>
      </c>
      <c r="B2243">
        <f>Skills!B15</f>
        <v/>
      </c>
      <c r="C2243">
        <f>Inputs!$B$3&gt;=63</f>
        <v/>
      </c>
      <c r="D2243">
        <f>IF(Skills!C15=1,60+Inputs!$B$26+Inputs!$B$30,IF(Skills!C15=2,90+Inputs!$B$27+Inputs!$B$30,IF(Skills!C15=3,120+Inputs!$B$28+Inputs!$B$30,MAX(0,(Inputs!$B$3-100)*3)+Inputs!$B$29+Inputs!$B$30)))</f>
        <v/>
      </c>
      <c r="E2243">
        <f>INDEX(FactorTable!$B$2:$Y$301, MATCH(ROUND(MIN(300,MAX(1,D2243)),0), FactorTable!$A$2:$A$301,0), Skills!L15+1)</f>
        <v/>
      </c>
      <c r="F2243">
        <f>IF(Skills!M15=TRUE,(Skills!K15/10)*(E2243/1000),Skills!K15/10)+Skills!N15</f>
        <v/>
      </c>
      <c r="G2243">
        <f>Calc!G15</f>
        <v/>
      </c>
      <c r="H2243">
        <f>Calc!H15</f>
        <v/>
      </c>
      <c r="I2243">
        <f>IF(Skills!T15&lt;&gt;"",1+(Skills!T15/10)*($Z$3/1000)/100,1)</f>
        <v/>
      </c>
      <c r="J2243">
        <f>((Inputs!$B$6*(1+Inputs!$B$7/100))+(((Inputs!$B$13*(1+Inputs!$B$14/100))-(Inputs!$B$13*(1+Inputs!$B$14/100)))+0.25*(Inputs!$B$15-Inputs!$B$15))*(1+Inputs!$B$7/100))*(F2243/100)</f>
        <v/>
      </c>
      <c r="K2243">
        <f>J2243*(1+(((Inputs!$B$13+IF(Inputs!$B$3&gt;=35,(10*INDEX(FactorTable!$B$2:$Y$301,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15="TRIUMPH_FEATHER",IF(C2244=TRUE,F2244,0),0)/100)*(1+IF(C2255=TRUE,F2255,0)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2243)</f>
        <v/>
      </c>
      <c r="L2243">
        <f>K2243*(MIN(Inputs!$B$23+(F2250-Calc!F22),(Inputs!$B$24+IF(ArtifactsInput!$M$15,CHOOSE(ArtifactsInput!$N$15+1,25,30,35,40,45,50)/100*(Inputs!$B$12-Inputs!$B$12),0)))/100+(Inputs!$B$24+IF(ArtifactsInput!$M$15,CHOOSE(ArtifactsInput!$N$15+1,25,30,35,40,45,50)/100*(Inputs!$B$12-Inputs!$B$12),0))/100)/2</f>
        <v/>
      </c>
      <c r="M2243">
        <f>L2243*(1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3">
        <f>L2243*(1-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2243*(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3">
        <f>(1-Summary!$B$11)*S2243+Summary!$B$11*U2243</f>
        <v/>
      </c>
      <c r="P2243">
        <f>IF(B2270=0,0,O2243/B2270)</f>
        <v/>
      </c>
      <c r="Q2243">
        <f>IFERROR(1/(IF(Inputs!$B$39="pvp",15,MAX(0.1,Skills!D15-IF(Skills!E15=TRUE,Inputs!$B$33,0)))*(1-IF(AND(ArtifactsInput!$M$27,Inputs!$B$4="Chapter Hunt"),CHOOSE(ArtifactsInput!$N$27+1,20,24,28,32,36,40),0)/100)),0)</f>
        <v/>
      </c>
      <c r="R2243" t="n">
        <v>0</v>
      </c>
      <c r="S2243">
        <f>IF(C2243,(Skills!F15*N2243*((IF(Inputs!$B$3&gt;=78,25,15)/100*B2263*10)/(1+IF(Inputs!$B$3&gt;=78,25,15)/100*B2263*10))*(Skills!I15/100*B2263)/(1+Skills!G15*Skills!I15/100*B2263))*IF(Inputs!$B$39="pvp",1,1+(Inputs!$B$21+Skills!O15+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2243*(1-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2243*(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2243*(1-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2243*(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3">
        <f>IF(C2243,(Skills!F15*N2243*((IF(Inputs!$B$3&gt;=78,25,15)/100*B2263*10)/(1+IF(Inputs!$B$3&gt;=78,25,15)/100*B2263*10))*(Skills!I15/100*B2263)/(1+Skills!G15*Skills!I15/100*B2263))*IF(Inputs!$B$39="pvp",1,(1+(Inputs!$B$22+Skills!P15+B2259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4">
      <c r="A2244">
        <f>Skills!A16</f>
        <v/>
      </c>
      <c r="B2244">
        <f>Skills!B16</f>
        <v/>
      </c>
      <c r="C2244">
        <f>Inputs!$B$3&gt;=100</f>
        <v/>
      </c>
      <c r="D2244">
        <f>IF(Skills!C16=1,60+Inputs!$B$26+Inputs!$B$30,IF(Skills!C16=2,90+Inputs!$B$27+Inputs!$B$30,IF(Skills!C16=3,120+Inputs!$B$28+Inputs!$B$30,MAX(0,(Inputs!$B$3-100)*3)+Inputs!$B$29+Inputs!$B$30)))</f>
        <v/>
      </c>
      <c r="E2244">
        <f>INDEX(FactorTable!$B$2:$Y$301, MATCH(ROUND(MIN(300,MAX(1,D2244)),0), FactorTable!$A$2:$A$301,0), Skills!L16+1)</f>
        <v/>
      </c>
      <c r="F2244">
        <f>IF(Skills!M16=TRUE,(Skills!K16/10)*(E2244/1000),Skills!K16/10)+Skills!N16</f>
        <v/>
      </c>
      <c r="G2244">
        <f>Calc!G16</f>
        <v/>
      </c>
      <c r="H2244">
        <f>Calc!H16</f>
        <v/>
      </c>
      <c r="I2244">
        <f>IF(Skills!T16&lt;&gt;"",1+(Skills!T16/10)*($Z$3/1000)/100,1)</f>
        <v/>
      </c>
      <c r="J2244" t="inlineStr"/>
      <c r="K2244" t="inlineStr"/>
      <c r="L2244" t="inlineStr"/>
      <c r="M2244" t="inlineStr"/>
      <c r="N2244" t="inlineStr"/>
      <c r="O2244">
        <f>(1-Summary!$B$11)*S2244+Summary!$B$11*U2244</f>
        <v/>
      </c>
      <c r="P2244">
        <f>IF(B2270=0,0,O2244/B2270)</f>
        <v/>
      </c>
      <c r="Q2244">
        <f>IFERROR(1/(IF(Inputs!$B$39="pvp",15,MAX(0.1,Skills!D16-IF(Skills!E16=TRUE,Inputs!$B$33,0)))*(1-IF(AND(ArtifactsInput!$M$27,Inputs!$B$4="Chapter Hunt"),CHOOSE(ArtifactsInput!$N$27+1,20,24,28,32,36,40),0)/100)),0)</f>
        <v/>
      </c>
      <c r="R2244" t="n">
        <v>0</v>
      </c>
      <c r="S2244" t="n">
        <v>0</v>
      </c>
      <c r="U2244" t="n">
        <v>0</v>
      </c>
    </row>
    <row r="2245">
      <c r="A2245">
        <f>Skills!A17</f>
        <v/>
      </c>
      <c r="B2245">
        <f>Skills!B17</f>
        <v/>
      </c>
      <c r="C2245">
        <f>Inputs!$B$3&gt;=49</f>
        <v/>
      </c>
      <c r="D2245">
        <f>IF(Skills!C17=1,60+Inputs!$B$26+Inputs!$B$30,IF(Skills!C17=2,90+Inputs!$B$27+Inputs!$B$30,IF(Skills!C17=3,120+Inputs!$B$28+Inputs!$B$30,MAX(0,(Inputs!$B$3-100)*3)+Inputs!$B$29+Inputs!$B$30)))</f>
        <v/>
      </c>
      <c r="E2245">
        <f>INDEX(FactorTable!$B$2:$Y$301, MATCH(ROUND(MIN(300,MAX(1,D2245)),0), FactorTable!$A$2:$A$301,0), Skills!L17+1)</f>
        <v/>
      </c>
      <c r="F2245">
        <f>IF(Skills!M17=TRUE,(Skills!K17/10)*(E2245/1000),Skills!K17/10)+Skills!N17</f>
        <v/>
      </c>
      <c r="G2245">
        <f>Calc!G17</f>
        <v/>
      </c>
      <c r="H2245">
        <f>Calc!H17</f>
        <v/>
      </c>
      <c r="I2245">
        <f>IF(Skills!T17&lt;&gt;"",1+(Skills!T17/10)*($Z$3/1000)/100,1)</f>
        <v/>
      </c>
      <c r="J2245" t="inlineStr"/>
      <c r="K2245" t="inlineStr"/>
      <c r="L2245" t="inlineStr"/>
      <c r="M2245" t="inlineStr"/>
      <c r="N2245" t="inlineStr"/>
      <c r="O2245">
        <f>(1-Summary!$B$11)*S2245+Summary!$B$11*U2245</f>
        <v/>
      </c>
      <c r="P2245">
        <f>IF(B2270=0,0,O2245/B2270)</f>
        <v/>
      </c>
      <c r="Q2245">
        <f>IFERROR(1/(IF(Inputs!$B$39="pvp",15,MAX(0.1,Skills!D17-IF(Skills!E17=TRUE,Inputs!$B$33,0)))*(1-IF(AND(ArtifactsInput!$M$27,Inputs!$B$4="Chapter Hunt"),CHOOSE(ArtifactsInput!$N$27+1,20,24,28,32,36,40),0)/100)),0)</f>
        <v/>
      </c>
      <c r="R2245" t="n">
        <v>0</v>
      </c>
      <c r="S2245" t="n">
        <v>0</v>
      </c>
      <c r="U2245" t="n">
        <v>0</v>
      </c>
    </row>
    <row r="2246">
      <c r="A2246">
        <f>Skills!A18</f>
        <v/>
      </c>
      <c r="B2246">
        <f>Skills!B18</f>
        <v/>
      </c>
      <c r="C2246">
        <f>Inputs!$B$3&gt;=75</f>
        <v/>
      </c>
      <c r="D2246">
        <f>IF(Skills!C18=1,60+Inputs!$B$26+Inputs!$B$30,IF(Skills!C18=2,90+Inputs!$B$27+Inputs!$B$30,IF(Skills!C18=3,120+Inputs!$B$28+Inputs!$B$30,MAX(0,(Inputs!$B$3-100)*3)+Inputs!$B$29+Inputs!$B$30)))</f>
        <v/>
      </c>
      <c r="E2246">
        <f>INDEX(FactorTable!$B$2:$Y$301, MATCH(ROUND(MIN(300,MAX(1,D2246)),0), FactorTable!$A$2:$A$301,0), Skills!L18+1)</f>
        <v/>
      </c>
      <c r="F2246">
        <f>IF(Skills!M18=TRUE,(Skills!K18/10)*(E2246/1000),Skills!K18/10)+Skills!N18</f>
        <v/>
      </c>
      <c r="G2246">
        <f>Calc!G18</f>
        <v/>
      </c>
      <c r="H2246">
        <f>Calc!H18</f>
        <v/>
      </c>
      <c r="I2246">
        <f>IF(Skills!T18&lt;&gt;"",1+(Skills!T18/10)*($Z$3/1000)/100,1)</f>
        <v/>
      </c>
      <c r="J2246" t="inlineStr"/>
      <c r="K2246" t="inlineStr"/>
      <c r="L2246" t="inlineStr"/>
      <c r="M2246" t="inlineStr"/>
      <c r="N2246" t="inlineStr"/>
      <c r="O2246">
        <f>(1-Summary!$B$11)*S2246+Summary!$B$11*U2246</f>
        <v/>
      </c>
      <c r="P2246">
        <f>IF(B2270=0,0,O2246/B2270)</f>
        <v/>
      </c>
      <c r="Q2246">
        <f>IFERROR(1/(IF(Inputs!$B$39="pvp",15,MAX(0.1,Skills!D18-IF(Skills!E18=TRUE,Inputs!$B$33,0)))*(1-IF(AND(ArtifactsInput!$M$27,Inputs!$B$4="Chapter Hunt"),CHOOSE(ArtifactsInput!$N$27+1,20,24,28,32,36,40),0)/100)),0)</f>
        <v/>
      </c>
      <c r="R2246" t="n">
        <v>0</v>
      </c>
      <c r="S2246" t="n">
        <v>0</v>
      </c>
      <c r="U2246" t="n">
        <v>0</v>
      </c>
    </row>
    <row r="2247">
      <c r="A2247">
        <f>Skills!A19</f>
        <v/>
      </c>
      <c r="B2247">
        <f>Skills!B19</f>
        <v/>
      </c>
      <c r="C2247">
        <f>Inputs!$B$3&gt;=110</f>
        <v/>
      </c>
      <c r="D2247">
        <f>IF(Skills!C19=1,60+Inputs!$B$26+Inputs!$B$30,IF(Skills!C19=2,90+Inputs!$B$27+Inputs!$B$30,IF(Skills!C19=3,120+Inputs!$B$28+Inputs!$B$30,MAX(0,(Inputs!$B$3-100)*3)+Inputs!$B$29+Inputs!$B$30)))</f>
        <v/>
      </c>
      <c r="E2247">
        <f>INDEX(FactorTable!$B$2:$Y$301, MATCH(ROUND(MIN(300,MAX(1,D2247)),0), FactorTable!$A$2:$A$301,0), Skills!L19+1)</f>
        <v/>
      </c>
      <c r="F2247">
        <f>(Skills!K19/10)*(E2247/1000)*64/45+Skills!N19</f>
        <v/>
      </c>
      <c r="G2247">
        <f>Calc!G19</f>
        <v/>
      </c>
      <c r="H2247">
        <f>Calc!H19</f>
        <v/>
      </c>
      <c r="I2247">
        <f>IF(Skills!T19&lt;&gt;"",1+(Skills!T19/10)*($Z$3/1000)/100,1)</f>
        <v/>
      </c>
      <c r="J2247" t="inlineStr"/>
      <c r="K2247" t="inlineStr"/>
      <c r="L2247" t="inlineStr"/>
      <c r="M2247" t="inlineStr"/>
      <c r="N2247" t="inlineStr"/>
      <c r="O2247">
        <f>(1-Summary!$B$11)*S2247+Summary!$B$11*U2247</f>
        <v/>
      </c>
      <c r="P2247">
        <f>IF(B2270=0,0,O2247/B2270)</f>
        <v/>
      </c>
      <c r="Q2247">
        <f>IFERROR(1/(IF(Inputs!$B$39="pvp",15,MAX(0.1,Skills!D19-IF(Skills!E19=TRUE,Inputs!$B$33,0)))*(1-IF(AND(ArtifactsInput!$M$27,Inputs!$B$4="Chapter Hunt"),CHOOSE(ArtifactsInput!$N$27+1,20,24,28,32,36,40),0)/100)),0)</f>
        <v/>
      </c>
      <c r="R2247">
        <f>IF(AND(Inputs!$B$39&lt;&gt;"pvp",Inputs!$B$44&gt;0),IF(Inputs!$B$44&lt;=0,0,(INT(Inputs!$B$44/(IF(Inputs!$B$39="pvp",15,MAX(0.1,Skills!D19-IF(Skills!E19=TRUE,Inputs!$B$33,0)))*(1-IF(AND(ArtifactsInput!$M$27,Inputs!$B$4="Chapter Hunt"),CHOOSE(ArtifactsInput!$N$27+1,20,24,28,32,36,40),0)/100)))+1)),0)</f>
        <v/>
      </c>
      <c r="S2247" t="n">
        <v>0</v>
      </c>
      <c r="U2247" t="n">
        <v>0</v>
      </c>
    </row>
    <row r="2248">
      <c r="A2248">
        <f>Skills!A20</f>
        <v/>
      </c>
      <c r="B2248">
        <f>Skills!B20</f>
        <v/>
      </c>
      <c r="C2248">
        <f>Inputs!$B$3&gt;=125</f>
        <v/>
      </c>
      <c r="D2248">
        <f>IF(Skills!C20=1,60+Inputs!$B$26+Inputs!$B$30,IF(Skills!C20=2,90+Inputs!$B$27+Inputs!$B$30,IF(Skills!C20=3,120+Inputs!$B$28+Inputs!$B$30,MAX(0,(Inputs!$B$3-100)*3)+Inputs!$B$29+Inputs!$B$30)))</f>
        <v/>
      </c>
      <c r="E2248">
        <f>INDEX(FactorTable!$B$2:$Y$301, MATCH(ROUND(MIN(300,MAX(1,D2248)),0), FactorTable!$A$2:$A$301,0), Skills!L20+1)</f>
        <v/>
      </c>
      <c r="F2248">
        <f>IF(Skills!M20=TRUE,(Skills!K20/10)*(E2248/1000),Skills!K20/10)+Skills!N20</f>
        <v/>
      </c>
      <c r="G2248">
        <f>Calc!G20</f>
        <v/>
      </c>
      <c r="H2248">
        <f>Calc!H20</f>
        <v/>
      </c>
      <c r="I2248">
        <f>IF(Skills!T20&lt;&gt;"",1+(Skills!T20/10)*($Z$3/1000)/100,1)</f>
        <v/>
      </c>
      <c r="J2248" t="inlineStr"/>
      <c r="K2248" t="inlineStr"/>
      <c r="L2248" t="inlineStr"/>
      <c r="M2248" t="inlineStr"/>
      <c r="N2248" t="inlineStr"/>
      <c r="O2248">
        <f>(1-Summary!$B$11)*S2248+Summary!$B$11*U2248</f>
        <v/>
      </c>
      <c r="P2248">
        <f>IF(B2270=0,0,O2248/B2270)</f>
        <v/>
      </c>
      <c r="Q2248">
        <f>IFERROR(1/(IF(Inputs!$B$39="pvp",15,MAX(0.1,Skills!D20-IF(Skills!E20=TRUE,Inputs!$B$33,0)))*(1-IF(AND(ArtifactsInput!$M$27,Inputs!$B$4="Chapter Hunt"),CHOOSE(ArtifactsInput!$N$27+1,20,24,28,32,36,40),0)/100)),0)</f>
        <v/>
      </c>
      <c r="R2248" t="n">
        <v>0</v>
      </c>
      <c r="S2248" t="n">
        <v>0</v>
      </c>
      <c r="U2248" t="n">
        <v>0</v>
      </c>
    </row>
    <row r="2249">
      <c r="A2249">
        <f>Skills!A21</f>
        <v/>
      </c>
      <c r="B2249">
        <f>Skills!B21</f>
        <v/>
      </c>
      <c r="C2249">
        <f>Inputs!$B$3&gt;=33</f>
        <v/>
      </c>
      <c r="D2249">
        <f>IF(Skills!C21=1,60+Inputs!$B$26+Inputs!$B$30,IF(Skills!C21=2,90+Inputs!$B$27+Inputs!$B$30,IF(Skills!C21=3,120+Inputs!$B$28+Inputs!$B$30,MAX(0,(Inputs!$B$3-100)*3)+Inputs!$B$29+Inputs!$B$30)))</f>
        <v/>
      </c>
      <c r="E2249">
        <f>INDEX(FactorTable!$B$2:$Y$301, MATCH(ROUND(MIN(300,MAX(1,D2249)),0), FactorTable!$A$2:$A$301,0), Skills!L21+1)</f>
        <v/>
      </c>
      <c r="F2249">
        <f>IF(Skills!M21=TRUE,(Skills!K21/10)*(E2249/1000),Skills!K21/10)+Skills!N21</f>
        <v/>
      </c>
      <c r="G2249">
        <f>Calc!G21</f>
        <v/>
      </c>
      <c r="H2249">
        <f>Calc!H21</f>
        <v/>
      </c>
      <c r="I2249">
        <f>IF(Skills!T21&lt;&gt;"",1+(Skills!T21/10)*($Z$3/1000)/100,1)</f>
        <v/>
      </c>
      <c r="J2249" t="inlineStr"/>
      <c r="K2249" t="inlineStr"/>
      <c r="L2249" t="inlineStr"/>
      <c r="M2249" t="inlineStr"/>
      <c r="N2249" t="inlineStr"/>
      <c r="O2249">
        <f>(1-Summary!$B$11)*S2249+Summary!$B$11*U2249</f>
        <v/>
      </c>
      <c r="P2249">
        <f>IF(B2270=0,0,O2249/B2270)</f>
        <v/>
      </c>
      <c r="Q2249">
        <f>IFERROR(1/(IF(Inputs!$B$39="pvp",15,MAX(0.1,Skills!D21-IF(Skills!E21=TRUE,Inputs!$B$33,0)))*(1-IF(AND(ArtifactsInput!$M$27,Inputs!$B$4="Chapter Hunt"),CHOOSE(ArtifactsInput!$N$27+1,20,24,28,32,36,40),0)/100)),0)</f>
        <v/>
      </c>
      <c r="R2249" t="n">
        <v>0</v>
      </c>
      <c r="S2249" t="n">
        <v>0</v>
      </c>
      <c r="U2249" t="n">
        <v>0</v>
      </c>
    </row>
    <row r="2250">
      <c r="A2250">
        <f>Skills!A22</f>
        <v/>
      </c>
      <c r="B2250">
        <f>Skills!B22</f>
        <v/>
      </c>
      <c r="C2250">
        <f>Inputs!$B$3&gt;=43</f>
        <v/>
      </c>
      <c r="D2250">
        <f>IF(Skills!C22=1,60+Inputs!$B$26+Inputs!$B$30,IF(Skills!C22=2,90+Inputs!$B$27+Inputs!$B$30,IF(Skills!C22=3,120+Inputs!$B$28+Inputs!$B$30,MAX(0,(Inputs!$B$3-100)*3)+Inputs!$B$29+Inputs!$B$30)))</f>
        <v/>
      </c>
      <c r="E2250">
        <f>INDEX(FactorTable!$B$2:$Y$301, MATCH(ROUND(MIN(300,MAX(1,D2250)),0), FactorTable!$A$2:$A$301,0), Skills!L22+1)</f>
        <v/>
      </c>
      <c r="F2250">
        <f>IF(Skills!M22=TRUE,(Skills!K22/10)*(E2250/1000),Skills!K22/10)+Skills!N22</f>
        <v/>
      </c>
      <c r="G2250">
        <f>Calc!G22</f>
        <v/>
      </c>
      <c r="H2250">
        <f>Calc!H22</f>
        <v/>
      </c>
      <c r="I2250">
        <f>IF(Skills!T22&lt;&gt;"",1+(Skills!T22/10)*($Z$3/1000)/100,1)</f>
        <v/>
      </c>
      <c r="J2250" t="inlineStr"/>
      <c r="K2250" t="inlineStr"/>
      <c r="L2250" t="inlineStr"/>
      <c r="M2250" t="inlineStr"/>
      <c r="N2250" t="inlineStr"/>
      <c r="O2250">
        <f>(1-Summary!$B$11)*S2250+Summary!$B$11*U2250</f>
        <v/>
      </c>
      <c r="P2250">
        <f>IF(B2270=0,0,O2250/B2270)</f>
        <v/>
      </c>
      <c r="Q2250">
        <f>IFERROR(1/(IF(Inputs!$B$39="pvp",15,MAX(0.1,Skills!D22-IF(Skills!E22=TRUE,Inputs!$B$33,0)))*(1-IF(AND(ArtifactsInput!$M$27,Inputs!$B$4="Chapter Hunt"),CHOOSE(ArtifactsInput!$N$27+1,20,24,28,32,36,40),0)/100)),0)</f>
        <v/>
      </c>
      <c r="R2250" t="n">
        <v>0</v>
      </c>
      <c r="S2250" t="n">
        <v>0</v>
      </c>
      <c r="U2250" t="n">
        <v>0</v>
      </c>
    </row>
    <row r="2251">
      <c r="A2251">
        <f>Skills!A23</f>
        <v/>
      </c>
      <c r="B2251">
        <f>Skills!B23</f>
        <v/>
      </c>
      <c r="C2251">
        <f>Inputs!$B$3&gt;=50</f>
        <v/>
      </c>
      <c r="D2251">
        <f>IF(Skills!C23=1,60+Inputs!$B$26+Inputs!$B$30,IF(Skills!C23=2,90+Inputs!$B$27+Inputs!$B$30,IF(Skills!C23=3,120+Inputs!$B$28+Inputs!$B$30,MAX(0,(Inputs!$B$3-100)*3)+Inputs!$B$29+Inputs!$B$30)))</f>
        <v/>
      </c>
      <c r="E2251">
        <f>INDEX(FactorTable!$B$2:$Y$301, MATCH(ROUND(MIN(300,MAX(1,D2251)),0), FactorTable!$A$2:$A$301,0), Skills!L23+1)</f>
        <v/>
      </c>
      <c r="F2251">
        <f>IF(Skills!M23=TRUE,(Skills!K23/10)*(E2251/1000),Skills!K23/10)+Skills!N23</f>
        <v/>
      </c>
      <c r="G2251">
        <f>Calc!G23</f>
        <v/>
      </c>
      <c r="H2251">
        <f>Calc!H23</f>
        <v/>
      </c>
      <c r="I2251">
        <f>IF(Skills!T23&lt;&gt;"",1+(Skills!T23/10)*($Z$3/1000)/100,1)</f>
        <v/>
      </c>
      <c r="J2251" t="inlineStr"/>
      <c r="K2251" t="inlineStr"/>
      <c r="L2251" t="inlineStr"/>
      <c r="M2251" t="inlineStr"/>
      <c r="N2251" t="inlineStr"/>
      <c r="O2251">
        <f>(1-Summary!$B$11)*S2251+Summary!$B$11*U2251</f>
        <v/>
      </c>
      <c r="P2251">
        <f>IF(B2270=0,0,O2251/B2270)</f>
        <v/>
      </c>
      <c r="Q2251">
        <f>IFERROR(1/(IF(Inputs!$B$39="pvp",15,MAX(0.1,Skills!D23-IF(Skills!E23=TRUE,Inputs!$B$33,0)))*(1-IF(AND(ArtifactsInput!$M$27,Inputs!$B$4="Chapter Hunt"),CHOOSE(ArtifactsInput!$N$27+1,20,24,28,32,36,40),0)/100)),0)</f>
        <v/>
      </c>
      <c r="R2251" t="n">
        <v>0</v>
      </c>
      <c r="S2251" t="n">
        <v>0</v>
      </c>
      <c r="U2251" t="n">
        <v>0</v>
      </c>
    </row>
    <row r="2252">
      <c r="A2252">
        <f>Skills!A24</f>
        <v/>
      </c>
      <c r="B2252">
        <f>Skills!B24</f>
        <v/>
      </c>
      <c r="C2252">
        <f>Inputs!$B$3&gt;=74</f>
        <v/>
      </c>
      <c r="D2252">
        <f>IF(Skills!C24=1,60+Inputs!$B$26+Inputs!$B$30,IF(Skills!C24=2,90+Inputs!$B$27+Inputs!$B$30,IF(Skills!C24=3,120+Inputs!$B$28+Inputs!$B$30,MAX(0,(Inputs!$B$3-100)*3)+Inputs!$B$29+Inputs!$B$30)))</f>
        <v/>
      </c>
      <c r="E2252">
        <f>INDEX(FactorTable!$B$2:$Y$301, MATCH(ROUND(MIN(300,MAX(1,D2252)),0), FactorTable!$A$2:$A$301,0), Skills!L24+1)</f>
        <v/>
      </c>
      <c r="F2252">
        <f>IF(Skills!M24=TRUE,(Skills!K24/10)*(E2252/1000),Skills!K24/10)+Skills!N24</f>
        <v/>
      </c>
      <c r="G2252">
        <f>Calc!G24</f>
        <v/>
      </c>
      <c r="H2252">
        <f>Calc!H24</f>
        <v/>
      </c>
      <c r="I2252">
        <f>IF(Skills!T24&lt;&gt;"",1+(Skills!T24/10)*($Z$3/1000)/100,1)</f>
        <v/>
      </c>
      <c r="J2252" t="inlineStr"/>
      <c r="K2252" t="inlineStr"/>
      <c r="L2252" t="inlineStr"/>
      <c r="M2252" t="inlineStr"/>
      <c r="N2252" t="inlineStr"/>
      <c r="O2252">
        <f>(1-Summary!$B$11)*S2252+Summary!$B$11*U2252</f>
        <v/>
      </c>
      <c r="P2252">
        <f>IF(B2270=0,0,O2252/B2270)</f>
        <v/>
      </c>
      <c r="Q2252">
        <f>IFERROR(1/(IF(Inputs!$B$39="pvp",15,MAX(0.1,Skills!D24-IF(Skills!E24=TRUE,Inputs!$B$33,0)))*(1-IF(AND(ArtifactsInput!$M$27,Inputs!$B$4="Chapter Hunt"),CHOOSE(ArtifactsInput!$N$27+1,20,24,28,32,36,40),0)/100)),0)</f>
        <v/>
      </c>
      <c r="R2252" t="n">
        <v>0</v>
      </c>
      <c r="S2252" t="n">
        <v>0</v>
      </c>
      <c r="U2252" t="n">
        <v>0</v>
      </c>
    </row>
    <row r="2253">
      <c r="A2253">
        <f>Skills!A25</f>
        <v/>
      </c>
      <c r="B2253">
        <f>Skills!B25</f>
        <v/>
      </c>
      <c r="C2253">
        <f>Inputs!$B$3&gt;=74</f>
        <v/>
      </c>
      <c r="D2253">
        <f>IF(Skills!C25=1,60+Inputs!$B$26+Inputs!$B$30,IF(Skills!C25=2,90+Inputs!$B$27+Inputs!$B$30,IF(Skills!C25=3,120+Inputs!$B$28+Inputs!$B$30,MAX(0,(Inputs!$B$3-100)*3)+Inputs!$B$29+Inputs!$B$30)))</f>
        <v/>
      </c>
      <c r="E2253">
        <f>INDEX(FactorTable!$B$2:$Y$301, MATCH(ROUND(MIN(300,MAX(1,D2253)),0), FactorTable!$A$2:$A$301,0), Skills!L25+1)</f>
        <v/>
      </c>
      <c r="F2253">
        <f>IF(Skills!M25=TRUE,(Skills!K25/10)*(E2253/1000),Skills!K25/10)+Skills!N25</f>
        <v/>
      </c>
      <c r="G2253">
        <f>Calc!G25</f>
        <v/>
      </c>
      <c r="H2253">
        <f>Calc!H25</f>
        <v/>
      </c>
      <c r="I2253">
        <f>IF(Skills!T25&lt;&gt;"",1+(Skills!T25/10)*($Z$3/1000)/100,1)</f>
        <v/>
      </c>
      <c r="J2253" t="inlineStr"/>
      <c r="K2253" t="inlineStr"/>
      <c r="L2253" t="inlineStr"/>
      <c r="M2253" t="inlineStr"/>
      <c r="N2253" t="inlineStr"/>
      <c r="O2253">
        <f>(1-Summary!$B$11)*S2253+Summary!$B$11*U2253</f>
        <v/>
      </c>
      <c r="P2253">
        <f>IF(B2270=0,0,O2253/B2270)</f>
        <v/>
      </c>
      <c r="Q2253">
        <f>IFERROR(1/(IF(Inputs!$B$39="pvp",15,MAX(0.1,Skills!D25-IF(Skills!E25=TRUE,Inputs!$B$33,0)))*(1-IF(AND(ArtifactsInput!$M$27,Inputs!$B$4="Chapter Hunt"),CHOOSE(ArtifactsInput!$N$27+1,20,24,28,32,36,40),0)/100)),0)</f>
        <v/>
      </c>
      <c r="R2253" t="n">
        <v>0</v>
      </c>
      <c r="S2253" t="n">
        <v>0</v>
      </c>
      <c r="U2253" t="n">
        <v>0</v>
      </c>
    </row>
    <row r="2254">
      <c r="A2254">
        <f>Skills!A26</f>
        <v/>
      </c>
      <c r="B2254">
        <f>Skills!B26</f>
        <v/>
      </c>
      <c r="C2254">
        <f>Inputs!$B$3&gt;=117</f>
        <v/>
      </c>
      <c r="D2254">
        <f>IF(Skills!C26=1,60+Inputs!$B$26+Inputs!$B$30,IF(Skills!C26=2,90+Inputs!$B$27+Inputs!$B$30,IF(Skills!C26=3,120+Inputs!$B$28+Inputs!$B$30,MAX(0,(Inputs!$B$3-100)*3)+Inputs!$B$29+Inputs!$B$30)))</f>
        <v/>
      </c>
      <c r="E2254">
        <f>INDEX(FactorTable!$B$2:$Y$301, MATCH(ROUND(MIN(300,MAX(1,D2254)),0), FactorTable!$A$2:$A$301,0), Skills!L26+1)</f>
        <v/>
      </c>
      <c r="F2254">
        <f>IF(Skills!M26=TRUE,(Skills!K26/10)*(E2254/1000),Skills!K26/10)+Skills!N26</f>
        <v/>
      </c>
      <c r="G2254">
        <f>Calc!G26</f>
        <v/>
      </c>
      <c r="H2254">
        <f>Calc!H26</f>
        <v/>
      </c>
      <c r="I2254">
        <f>IF(Skills!T26&lt;&gt;"",1+(Skills!T26/10)*($Z$3/1000)/100,1)</f>
        <v/>
      </c>
      <c r="J2254" t="inlineStr"/>
      <c r="K2254" t="inlineStr"/>
      <c r="L2254" t="inlineStr"/>
      <c r="M2254" t="inlineStr"/>
      <c r="N2254" t="inlineStr"/>
      <c r="O2254">
        <f>(1-Summary!$B$11)*S2254+Summary!$B$11*U2254</f>
        <v/>
      </c>
      <c r="P2254">
        <f>IF(B2270=0,0,O2254/B2270)</f>
        <v/>
      </c>
      <c r="Q2254">
        <f>IFERROR(1/(IF(Inputs!$B$39="pvp",15,MAX(0.1,Skills!D26-IF(Skills!E26=TRUE,Inputs!$B$33,0)))*(1-IF(AND(ArtifactsInput!$M$27,Inputs!$B$4="Chapter Hunt"),CHOOSE(ArtifactsInput!$N$27+1,20,24,28,32,36,40),0)/100)),0)</f>
        <v/>
      </c>
      <c r="R2254" t="n">
        <v>0</v>
      </c>
      <c r="S2254" t="n">
        <v>0</v>
      </c>
      <c r="U2254" t="n">
        <v>0</v>
      </c>
    </row>
    <row r="2255">
      <c r="A2255">
        <f>Skills!A27</f>
        <v/>
      </c>
      <c r="B2255">
        <f>Skills!B27</f>
        <v/>
      </c>
      <c r="C2255">
        <f>Inputs!$B$3&gt;=120</f>
        <v/>
      </c>
      <c r="D2255">
        <f>IF(Skills!C27=1,60+Inputs!$B$26+Inputs!$B$30,IF(Skills!C27=2,90+Inputs!$B$27+Inputs!$B$30,IF(Skills!C27=3,120+Inputs!$B$28+Inputs!$B$30,MAX(0,(Inputs!$B$3-100)*3)+Inputs!$B$29+Inputs!$B$30)))</f>
        <v/>
      </c>
      <c r="E2255">
        <f>INDEX(FactorTable!$B$2:$Y$301, MATCH(ROUND(MIN(300,MAX(1,D2255)),0), FactorTable!$A$2:$A$301,0), Skills!L27+1)</f>
        <v/>
      </c>
      <c r="F2255">
        <f>IF(Skills!M27=TRUE,(Skills!K27/10)*(E2255/1000),Skills!K27/10)+Skills!N27</f>
        <v/>
      </c>
      <c r="G2255">
        <f>Calc!G27</f>
        <v/>
      </c>
      <c r="H2255">
        <f>Calc!H27</f>
        <v/>
      </c>
      <c r="I2255">
        <f>IF(Skills!T27&lt;&gt;"",1+(Skills!T27/10)*($Z$3/1000)/100,1)</f>
        <v/>
      </c>
      <c r="J2255" t="inlineStr"/>
      <c r="K2255" t="inlineStr"/>
      <c r="L2255" t="inlineStr"/>
      <c r="M2255" t="inlineStr"/>
      <c r="N2255" t="inlineStr"/>
      <c r="O2255">
        <f>(1-Summary!$B$11)*S2255+Summary!$B$11*U2255</f>
        <v/>
      </c>
      <c r="P2255">
        <f>IF(B2270=0,0,O2255/B2270)</f>
        <v/>
      </c>
      <c r="Q2255">
        <f>IFERROR(1/(IF(Inputs!$B$39="pvp",15,MAX(0.1,Skills!D27-IF(Skills!E27=TRUE,Inputs!$B$33,0)))*(1-IF(AND(ArtifactsInput!$M$27,Inputs!$B$4="Chapter Hunt"),CHOOSE(ArtifactsInput!$N$27+1,20,24,28,32,36,40),0)/100)),0)</f>
        <v/>
      </c>
      <c r="R2255" t="n">
        <v>0</v>
      </c>
      <c r="S2255" t="n">
        <v>0</v>
      </c>
      <c r="U2255" t="n">
        <v>0</v>
      </c>
    </row>
    <row r="2257">
      <c r="A2257" t="inlineStr">
        <is>
          <t>Average Buff Multiplier</t>
        </is>
      </c>
      <c r="B2257">
        <f>(1+(IF(C2231=TRUE,F2231*IF(AND(Inputs!$B$39&lt;&gt;"pvp",Inputs!$B$44&gt;0),(((R2231-1)*(Skills!S3*(1+((Inputs!$B$35+(ArtifactsInput!$M$7-ArtifactsInput!$M$7)*CHOOSE(ArtifactsInput!$N$7+1,6,7.2,8.4,9.6,10.8,12))+IF(Inputs!$B$3&gt;=117,F2254,0))/100))+MIN((Skills!S3*(1+((Inputs!$B$35+(ArtifactsInput!$M$7-ArtifactsInput!$M$7)*CHOOSE(ArtifactsInput!$N$7+1,6,7.2,8.4,9.6,10.8,12))+IF(Inputs!$B$3&gt;=117,F2254,0))/100)),MAX(0,Inputs!$B$44-((R2231-1)*Skills!D3))))/Inputs!$B$44),IF(Inputs!$B$39="pvp",MIN((Skills!S3*(1+((Inputs!$B$35+(ArtifactsInput!$M$7-ArtifactsInput!$M$7)*CHOOSE(ArtifactsInput!$N$7+1,6,7.2,8.4,9.6,10.8,12))+IF(Inputs!$B$3&gt;=117,F2254,0))/100)),15)/15,(Skills!S3*(1+((Inputs!$B$35+(ArtifactsInput!$M$7-ArtifactsInput!$M$7)*CHOOSE(ArtifactsInput!$N$7+1,6,7.2,8.4,9.6,10.8,12))+IF(Inputs!$B$3&gt;=117,F2254,0))/100))/Skills!D3)),0)+IF(C2232=TRUE,F2232*IF(AND(Inputs!$B$39&lt;&gt;"pvp",Inputs!$B$44&gt;0),(((R2232-1)*(Skills!S4*(1+((Inputs!$B$35+(ArtifactsInput!$M$7-ArtifactsInput!$M$7)*CHOOSE(ArtifactsInput!$N$7+1,6,7.2,8.4,9.6,10.8,12))+IF(Inputs!$B$3&gt;=117,F2254,0))/100))+MIN((Skills!S4*(1+((Inputs!$B$35+(ArtifactsInput!$M$7-ArtifactsInput!$M$7)*CHOOSE(ArtifactsInput!$N$7+1,6,7.2,8.4,9.6,10.8,12))+IF(Inputs!$B$3&gt;=117,F2254,0))/100)),MAX(0,Inputs!$B$44-((R2232-1)*Skills!D4))))/Inputs!$B$44),IF(Inputs!$B$39="pvp",MIN((Skills!S4*(1+((Inputs!$B$35+(ArtifactsInput!$M$7-ArtifactsInput!$M$7)*CHOOSE(ArtifactsInput!$N$7+1,6,7.2,8.4,9.6,10.8,12))+IF(Inputs!$B$3&gt;=117,F2254,0))/100)),15)/15,(Skills!S4*(1+((Inputs!$B$35+(ArtifactsInput!$M$7-ArtifactsInput!$M$7)*CHOOSE(ArtifactsInput!$N$7+1,6,7.2,8.4,9.6,10.8,12))+IF(Inputs!$B$3&gt;=117,F2254,0))/100))/Skills!D4)),0)+IF(C2233=TRUE,F2233*IF(AND(Inputs!$B$39&lt;&gt;"pvp",Inputs!$B$44&gt;0),(((R2233-1)*(Skills!S5*(1+((Inputs!$B$35+(ArtifactsInput!$M$7-ArtifactsInput!$M$7)*CHOOSE(ArtifactsInput!$N$7+1,6,7.2,8.4,9.6,10.8,12))+IF(Inputs!$B$3&gt;=117,F2254,0))/100))+MIN((Skills!S5*(1+((Inputs!$B$35+(ArtifactsInput!$M$7-ArtifactsInput!$M$7)*CHOOSE(ArtifactsInput!$N$7+1,6,7.2,8.4,9.6,10.8,12))+IF(Inputs!$B$3&gt;=117,F2254,0))/100)),MAX(0,Inputs!$B$44-((R2233-1)*Skills!D5))))/Inputs!$B$44),IF(Inputs!$B$39="pvp",MIN((Skills!S5*(1+((Inputs!$B$35+(ArtifactsInput!$M$7-ArtifactsInput!$M$7)*CHOOSE(ArtifactsInput!$N$7+1,6,7.2,8.4,9.6,10.8,12))+IF(Inputs!$B$3&gt;=117,F2254,0))/100)),15)/15,(Skills!S5*(1+((Inputs!$B$35+(ArtifactsInput!$M$7-ArtifactsInput!$M$7)*CHOOSE(ArtifactsInput!$N$7+1,6,7.2,8.4,9.6,10.8,12))+IF(Inputs!$B$3&gt;=117,F2254,0))/100))/Skills!D5)),0)+IF(C2239=TRUE,F2239*IF(AND(Inputs!$B$39&lt;&gt;"pvp",Inputs!$B$44&gt;0),(((R2239-1)*(Skills!S11*(1+((Inputs!$B$35+(ArtifactsInput!$M$7-ArtifactsInput!$M$7)*CHOOSE(ArtifactsInput!$N$7+1,6,7.2,8.4,9.6,10.8,12))+IF(Inputs!$B$3&gt;=117,F2254,0))/100))+MIN((Skills!S11*(1+((Inputs!$B$35+(ArtifactsInput!$M$7-ArtifactsInput!$M$7)*CHOOSE(ArtifactsInput!$N$7+1,6,7.2,8.4,9.6,10.8,12))+IF(Inputs!$B$3&gt;=117,F2254,0))/100)),MAX(0,Inputs!$B$44-((R2239-1)*Skills!D11))))/Inputs!$B$44),IF(Inputs!$B$39="pvp",MIN((Skills!S11*(1+((Inputs!$B$35+(ArtifactsInput!$M$7-ArtifactsInput!$M$7)*CHOOSE(ArtifactsInput!$N$7+1,6,7.2,8.4,9.6,10.8,12))+IF(Inputs!$B$3&gt;=117,F2254,0))/100)),15)/15,(Skills!S11*(1+((Inputs!$B$35+(ArtifactsInput!$M$7-ArtifactsInput!$M$7)*CHOOSE(ArtifactsInput!$N$7+1,6,7.2,8.4,9.6,10.8,12))+IF(Inputs!$B$3&gt;=117,F2254,0)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2242=TRUE,(1+F2242*IF(AND(Inputs!$B$39&lt;&gt;"pvp",Inputs!$B$44&gt;0),(((R2242-1)*(Skills!S14*(1+((Inputs!$B$35+(ArtifactsInput!$M$7-ArtifactsInput!$M$7)*CHOOSE(ArtifactsInput!$N$7+1,6,7.2,8.4,9.6,10.8,12))+IF(Inputs!$B$3&gt;=117,F2254,0))/100))+MIN((Skills!S14*(1+((Inputs!$B$35+(ArtifactsInput!$M$7-ArtifactsInput!$M$7)*CHOOSE(ArtifactsInput!$N$7+1,6,7.2,8.4,9.6,10.8,12))+IF(Inputs!$B$3&gt;=117,F2254,0))/100)),MAX(0,Inputs!$B$44-((R2242-1)*Skills!D14))))/Inputs!$B$44),IF(Inputs!$B$39="pvp",MIN((Skills!S14*(1+((Inputs!$B$35+(ArtifactsInput!$M$7-ArtifactsInput!$M$7)*CHOOSE(ArtifactsInput!$N$7+1,6,7.2,8.4,9.6,10.8,12))+IF(Inputs!$B$3&gt;=117,F2254,0))/100)),15)/15,(Skills!S14*(1+((Inputs!$B$35+(ArtifactsInput!$M$7-ArtifactsInput!$M$7)*CHOOSE(ArtifactsInput!$N$7+1,6,7.2,8.4,9.6,10.8,12))+IF(Inputs!$B$3&gt;=117,F2254,0))/100))/Skills!D14))/100),1)*IF(C2247=TRUE,(1+F2247*IF(AND(Inputs!$B$39&lt;&gt;"pvp",Inputs!$B$44&gt;0),(((R2247-1)*(Skills!S19*(1+((Inputs!$B$35+(ArtifactsInput!$M$7-ArtifactsInput!$M$7)*CHOOSE(ArtifactsInput!$N$7+1,6,7.2,8.4,9.6,10.8,12))+IF(Inputs!$B$3&gt;=117,F2254,0))/100))+MIN((Skills!S19*(1+((Inputs!$B$35+(ArtifactsInput!$M$7-ArtifactsInput!$M$7)*CHOOSE(ArtifactsInput!$N$7+1,6,7.2,8.4,9.6,10.8,12))+IF(Inputs!$B$3&gt;=117,F2254,0))/100)),MAX(0,Inputs!$B$44-((R2247-1)*Skills!D19))))/Inputs!$B$44),IF(Inputs!$B$39="pvp",MIN((Skills!S19*(1+((Inputs!$B$35+(ArtifactsInput!$M$7-ArtifactsInput!$M$7)*CHOOSE(ArtifactsInput!$N$7+1,6,7.2,8.4,9.6,10.8,12))+IF(Inputs!$B$3&gt;=117,F2254,0))/100)),15)/15,(Skills!S19*(1+((Inputs!$B$35+(ArtifactsInput!$M$7-ArtifactsInput!$M$7)*CHOOSE(ArtifactsInput!$N$7+1,6,7.2,8.4,9.6,10.8,12))+IF(Inputs!$B$3&gt;=117,F2254,0))/100))/Skills!D19))/100),1)</f>
        <v/>
      </c>
    </row>
    <row r="2258">
      <c r="A2258" t="inlineStr">
        <is>
          <t>Monster Damage Taken Bonus % (Holy Fountain)</t>
        </is>
      </c>
      <c r="B2258">
        <f>IF(Inputs!$B$3&gt;=68,20*IF(Inputs!$B$39="pvp",MIN((15*(1+((Inputs!$B$35+(ArtifactsInput!$M$7-ArtifactsInput!$M$7)*CHOOSE(ArtifactsInput!$N$7+1,6,7.2,8.4,9.6,10.8,12))+IF(Inputs!$B$3&gt;=117,F2254,0))/100)),15)/15,(15*(1+((Inputs!$B$35+(ArtifactsInput!$M$7-ArtifactsInput!$M$7)*CHOOSE(ArtifactsInput!$N$7+1,6,7.2,8.4,9.6,10.8,12))+IF(Inputs!$B$3&gt;=117,F2254,0))/100))/Skills!D10),0)</f>
        <v/>
      </c>
    </row>
    <row r="2259">
      <c r="A2259" t="inlineStr">
        <is>
          <t>Normal Monster Damage Bonus % (Holy Symbol)</t>
        </is>
      </c>
      <c r="B2259">
        <f>IF(C2240=TRUE,F2240*IF(AND(Inputs!$B$39&lt;&gt;"pvp",Inputs!$B$44&gt;0),(((R2240-1)*(Skills!S12*(1+((Inputs!$B$35+(ArtifactsInput!$M$7-ArtifactsInput!$M$7)*CHOOSE(ArtifactsInput!$N$7+1,6,7.2,8.4,9.6,10.8,12))+IF(Inputs!$B$3&gt;=117,F2254,0))/100))+MIN((Skills!S12*(1+((Inputs!$B$35+(ArtifactsInput!$M$7-ArtifactsInput!$M$7)*CHOOSE(ArtifactsInput!$N$7+1,6,7.2,8.4,9.6,10.8,12))+IF(Inputs!$B$3&gt;=117,F2254,0))/100)),MAX(0,Inputs!$B$44-((R2240-1)*Skills!D12))))/Inputs!$B$44),IF(Inputs!$B$39="pvp",MIN((Skills!S12*(1+((Inputs!$B$35+(ArtifactsInput!$M$7-ArtifactsInput!$M$7)*CHOOSE(ArtifactsInput!$N$7+1,6,7.2,8.4,9.6,10.8,12))+IF(Inputs!$B$3&gt;=117,F2254,0))/100)),15)/15,(Skills!S12*(1+((Inputs!$B$35+(ArtifactsInput!$M$7-ArtifactsInput!$M$7)*CHOOSE(ArtifactsInput!$N$7+1,6,7.2,8.4,9.6,10.8,12))+IF(Inputs!$B$3&gt;=117,F2254,0))/100))/Skills!D12)),0)</f>
        <v/>
      </c>
    </row>
    <row r="2260">
      <c r="A2260" t="inlineStr">
        <is>
          <t>Damage % Bonus (Holy Symbol - Damage Boost)</t>
        </is>
      </c>
      <c r="B2260">
        <f>Skills!O12</f>
        <v/>
      </c>
    </row>
    <row r="2261">
      <c r="A2261" t="inlineStr">
        <is>
          <t>Crit Damage % Bonus (Blood of the Divine)</t>
        </is>
      </c>
      <c r="B2261">
        <f>4*IF(C2248=TRUE,F2248,0)</f>
        <v/>
      </c>
    </row>
    <row r="2262">
      <c r="A2262" t="inlineStr">
        <is>
          <t>Attack Speed Bonus %</t>
        </is>
      </c>
      <c r="B2262">
        <f>IF(C2245=TRUE,F2245+(F2249-Calc!F21),0)+IF(Inputs!$B$3&gt;=134,15,0)</f>
        <v/>
      </c>
    </row>
    <row r="2263">
      <c r="A2263" t="inlineStr">
        <is>
          <t>Actions Per Second</t>
        </is>
      </c>
      <c r="B2263">
        <f>1+MIN(150,150*(1-(1-Inputs!$B$12/150)*(1-B2262/150)))/100</f>
        <v/>
      </c>
    </row>
    <row r="2264">
      <c r="A2264" t="inlineStr">
        <is>
          <t>Skill + Buff Cast Rate</t>
        </is>
      </c>
      <c r="B2264">
        <f>IF(AND(Inputs!$B$39&lt;&gt;"pvp",Inputs!$B$44&gt;0),SUMPRODUCT((Skills!E2:E27=TRUE)*(C2230:C2255=TRUE)*R2230:R2255)/Inputs!$B$44,SUMPRODUCT((Skills!E2:E27=TRUE)*(C2230:C2255=TRUE)*Q2230:Q2255))</f>
        <v/>
      </c>
    </row>
    <row r="2265">
      <c r="A2265" t="inlineStr">
        <is>
          <t>Big Bang Casts Per Second</t>
        </is>
      </c>
      <c r="B2265">
        <f>MAX(0,B2263-B2264)</f>
        <v/>
      </c>
    </row>
    <row r="2266">
      <c r="A2266" t="inlineStr">
        <is>
          <t>Defense % Bonus (Divine Protection)</t>
        </is>
      </c>
      <c r="B2266">
        <f>IF(C2241=TRUE,F2241*IF(AND(Inputs!$B$39&lt;&gt;"pvp",Inputs!$B$44&gt;0),(((R2241-1)*(Skills!S13*(1+((Inputs!$B$35+(ArtifactsInput!$M$7-ArtifactsInput!$M$7)*CHOOSE(ArtifactsInput!$N$7+1,6,7.2,8.4,9.6,10.8,12))+IF(Inputs!$B$3&gt;=117,F2254,0))/100))+MIN((Skills!S13*(1+((Inputs!$B$35+(ArtifactsInput!$M$7-ArtifactsInput!$M$7)*CHOOSE(ArtifactsInput!$N$7+1,6,7.2,8.4,9.6,10.8,12))+IF(Inputs!$B$3&gt;=117,F2254,0))/100)),MAX(0,Inputs!$B$44-((R2241-1)*Skills!D13))))/Inputs!$B$44),IF(Inputs!$B$39="pvp",MIN((Skills!S13*(1+((Inputs!$B$35+(ArtifactsInput!$M$7-ArtifactsInput!$M$7)*CHOOSE(ArtifactsInput!$N$7+1,6,7.2,8.4,9.6,10.8,12))+IF(Inputs!$B$3&gt;=117,F2254,0))/100)),15)/15,(Skills!S13*(1+((Inputs!$B$35+(ArtifactsInput!$M$7-ArtifactsInput!$M$7)*CHOOSE(ArtifactsInput!$N$7+1,6,7.2,8.4,9.6,10.8,12))+IF(Inputs!$B$3&gt;=117,F2254,0))/100))/Skills!D13)),0)</f>
        <v/>
      </c>
    </row>
    <row r="2267">
      <c r="A2267" t="inlineStr">
        <is>
          <t>Buff-Casting Startup Delay (s, fixed-duration only)</t>
        </is>
      </c>
      <c r="B2267">
        <f>IF(AND(Inputs!$B$39&lt;&gt;"pvp",Inputs!$B$44&gt;0),SUMPRODUCT((Skills!S2:S27&gt;0)*(Skills!E2:E27=TRUE)*(C2230:C2255=TRUE))/B2263,0)</f>
        <v/>
      </c>
    </row>
    <row r="2268">
      <c r="A2268" t="inlineStr">
        <is>
          <t>Boss-Only Total DPS (this block's swept value)</t>
        </is>
      </c>
      <c r="B2268">
        <f>SUM(S2230:S2255)</f>
        <v/>
      </c>
    </row>
    <row r="2269">
      <c r="A2269" t="inlineStr">
        <is>
          <t>Normal-Only Total DPS (this block's swept value)</t>
        </is>
      </c>
      <c r="B2269">
        <f>SUM(U2230:U2255)</f>
        <v/>
      </c>
    </row>
    <row r="2270">
      <c r="A2270" s="6" t="inlineStr">
        <is>
          <t>TOTAL DPS</t>
        </is>
      </c>
      <c r="B2270" s="6">
        <f>SUM(O2230:O2255)</f>
        <v/>
      </c>
    </row>
    <row r="2272">
      <c r="A2272" s="6" t="inlineStr">
        <is>
          <t>Stat: Ancient Text Piece (Equip)</t>
        </is>
      </c>
    </row>
    <row r="2273">
      <c r="A2273" s="5" t="inlineStr">
        <is>
          <t>Key</t>
        </is>
      </c>
      <c r="B2273" s="5" t="inlineStr">
        <is>
          <t>Name</t>
        </is>
      </c>
      <c r="C2273" s="5" t="inlineStr">
        <is>
          <t>Unlocked</t>
        </is>
      </c>
      <c r="D2273" s="5" t="inlineStr">
        <is>
          <t>InputLevel</t>
        </is>
      </c>
      <c r="E2273" s="5" t="inlineStr">
        <is>
          <t>Factor</t>
        </is>
      </c>
      <c r="F2273" s="5" t="inlineStr">
        <is>
          <t>CoefficientPercent</t>
        </is>
      </c>
      <c r="G2273" s="5" t="inlineStr">
        <is>
          <t>EffectiveHits</t>
        </is>
      </c>
      <c r="H2273" s="5" t="inlineStr">
        <is>
          <t>ProcProbability</t>
        </is>
      </c>
      <c r="I2273" s="5" t="inlineStr">
        <is>
          <t>MapleHeroMultiplier</t>
        </is>
      </c>
      <c r="J2273" s="5" t="inlineStr">
        <is>
          <t>BaseDamage</t>
        </is>
      </c>
      <c r="K2273" s="5" t="inlineStr">
        <is>
          <t>BaseHitDamage</t>
        </is>
      </c>
      <c r="L2273" s="5" t="inlineStr">
        <is>
          <t>NonCritAvg</t>
        </is>
      </c>
      <c r="M2273" s="5" t="inlineStr">
        <is>
          <t>CritAvg</t>
        </is>
      </c>
      <c r="N2273" s="5" t="inlineStr">
        <is>
          <t>ExpectedDamage(perHit)</t>
        </is>
      </c>
      <c r="O2273" s="5" t="inlineStr">
        <is>
          <t>DPS</t>
        </is>
      </c>
      <c r="P2273" s="5" t="inlineStr">
        <is>
          <t>% of Total</t>
        </is>
      </c>
      <c r="R2273" t="inlineStr">
        <is>
          <t>helpers</t>
        </is>
      </c>
    </row>
    <row r="2274">
      <c r="A2274">
        <f>Skills!A2</f>
        <v/>
      </c>
      <c r="B2274">
        <f>Skills!B2</f>
        <v/>
      </c>
      <c r="C2274">
        <f>Inputs!$B$3&gt;=100</f>
        <v/>
      </c>
      <c r="D2274" t="inlineStr"/>
      <c r="E2274" t="inlineStr"/>
      <c r="F2274">
        <f>T2276+Skills!N2</f>
        <v/>
      </c>
      <c r="G2274">
        <f>Calc!G2</f>
        <v/>
      </c>
      <c r="H2274">
        <f>Calc!H2</f>
        <v/>
      </c>
      <c r="I2274">
        <f>IF(Skills!T2&lt;&gt;"",1+(Skills!T2/10)*($Z$3/1000)/100,1)</f>
        <v/>
      </c>
      <c r="J2274">
        <f>((Inputs!$B$6*(1+Inputs!$B$7/100))+(((Inputs!$B$13*(1+Inputs!$B$14/100))-(Inputs!$B$13*(1+Inputs!$B$14/100)))+0.25*(Inputs!$B$15-Inputs!$B$15))*(1+Inputs!$B$7/100))*(F2274/100)</f>
        <v/>
      </c>
      <c r="K2274">
        <f>J2274*(1+(((Inputs!$B$13+IF(Inputs!$B$3&gt;=35,(10*INDEX(FactorTable!$B$2:$Y$301,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2="TRIUMPH_FEATHER",IF(C2288=TRUE,F2288,0),0)/100)*(1+IF(C2299=TRUE,F2299,0)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2274)</f>
        <v/>
      </c>
      <c r="L2274">
        <f>K2274*(MIN(Inputs!$B$23+(F2294-Calc!F22),(Inputs!$B$24+IF(ArtifactsInput!$M$15,CHOOSE(ArtifactsInput!$N$15+1,25,30,35,40,45,50)/100*(Inputs!$B$12-Inputs!$B$12),0)))/100+(Inputs!$B$24+IF(ArtifactsInput!$M$15,CHOOSE(ArtifactsInput!$N$15+1,25,30,35,40,45,50)/100*(Inputs!$B$12-Inputs!$B$12),0))/100)/2</f>
        <v/>
      </c>
      <c r="M2274">
        <f>L2274*(1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4">
        <f>L2274*(1-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2274*(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4">
        <f>(1-Summary!$B$11)*S2274+Summary!$B$11*U2274</f>
        <v/>
      </c>
      <c r="P2274">
        <f>IF(B2314=0,0,O2274/B2314)</f>
        <v/>
      </c>
      <c r="Q2274">
        <f>IFERROR(1/(IF(Inputs!$B$39="pvp",15,MAX(0.1,Skills!D2-IF(Skills!E2=TRUE,Inputs!$B$33,0)))*(1-IF(AND(ArtifactsInput!$M$27,Inputs!$B$4="Chapter Hunt"),CHOOSE(ArtifactsInput!$N$27+1,20,24,28,32,36,40),0)/100)),0)</f>
        <v/>
      </c>
      <c r="R2274" t="n">
        <v>0</v>
      </c>
      <c r="S2274">
        <f>IF(C2274,(Skills!F2*N2274*B2309)*IF(Inputs!$B$39="pvp",1,1+(Inputs!$B$21+Skills!O2+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2274*(1-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2274*(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2274*(1-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2274*(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4">
        <f>MAX(0,(Inputs!$B$3-100)*3)+Inputs!$B$29+Inputs!$B$30</f>
        <v/>
      </c>
      <c r="U2274">
        <f>IF(C2274,(Skills!F2*N2274*B2309)*IF(Inputs!$B$39="pvp",1,(1+(Inputs!$B$22+Skills!P2+B2303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5">
      <c r="A2275">
        <f>Skills!A3</f>
        <v/>
      </c>
      <c r="B2275">
        <f>Skills!B3</f>
        <v/>
      </c>
      <c r="C2275">
        <f>Inputs!$B$3&gt;=15</f>
        <v/>
      </c>
      <c r="D2275">
        <f>IF(Skills!C3=1,60+Inputs!$B$26+Inputs!$B$30,IF(Skills!C3=2,90+Inputs!$B$27+Inputs!$B$30,IF(Skills!C3=3,120+Inputs!$B$28+Inputs!$B$30,MAX(0,(Inputs!$B$3-100)*3)+Inputs!$B$29+Inputs!$B$30)))</f>
        <v/>
      </c>
      <c r="E2275">
        <f>INDEX(FactorTable!$B$2:$Y$301, MATCH(ROUND(MIN(300,MAX(1,D2275)),0), FactorTable!$A$2:$A$301,0), Skills!L3+1)</f>
        <v/>
      </c>
      <c r="F2275">
        <f>IF(Skills!M3=TRUE,(Skills!K3/10)*(E2275/1000),Skills!K3/10)+Skills!N3</f>
        <v/>
      </c>
      <c r="G2275">
        <f>Calc!G3</f>
        <v/>
      </c>
      <c r="H2275">
        <f>Calc!H3</f>
        <v/>
      </c>
      <c r="I2275">
        <f>IF(Skills!T3&lt;&gt;"",1+(Skills!T3/10)*($Z$3/1000)/100,1)</f>
        <v/>
      </c>
      <c r="J2275" t="inlineStr"/>
      <c r="K2275" t="inlineStr"/>
      <c r="L2275" t="inlineStr"/>
      <c r="M2275" t="inlineStr"/>
      <c r="N2275" t="inlineStr"/>
      <c r="O2275">
        <f>(1-Summary!$B$11)*S2275+Summary!$B$11*U2275</f>
        <v/>
      </c>
      <c r="P2275">
        <f>IF(B2314=0,0,O2275/B2314)</f>
        <v/>
      </c>
      <c r="Q2275">
        <f>IFERROR(1/(IF(Inputs!$B$39="pvp",15,MAX(0.1,Skills!D3-IF(Skills!E3=TRUE,Inputs!$B$33,0)))*(1-IF(AND(ArtifactsInput!$M$27,Inputs!$B$4="Chapter Hunt"),CHOOSE(ArtifactsInput!$N$27+1,20,24,28,32,36,40),0)/100)),0)</f>
        <v/>
      </c>
      <c r="R2275">
        <f>IF(AND(Inputs!$B$39&lt;&gt;"pvp",Inputs!$B$44&gt;0),IF(Inputs!$B$44&lt;=0,0,(INT(Inputs!$B$44/(IF(Inputs!$B$39="pvp",15,MAX(0.1,Skills!D3-IF(Skills!E3=TRUE,Inputs!$B$33,0)))*(1-IF(AND(ArtifactsInput!$M$27,Inputs!$B$4="Chapter Hunt"),CHOOSE(ArtifactsInput!$N$27+1,20,24,28,32,36,40),0)/100)))+1)),0)</f>
        <v/>
      </c>
      <c r="S2275" t="n">
        <v>0</v>
      </c>
      <c r="T2275">
        <f>INDEX(FactorTable!$B$2:$Y$301, MATCH(ROUND(MIN(300,MAX(1,T2274)),0), FactorTable!$A$2:$A$301,0), 22)</f>
        <v/>
      </c>
      <c r="U2275" t="n">
        <v>0</v>
      </c>
    </row>
    <row r="2276">
      <c r="A2276">
        <f>Skills!A4</f>
        <v/>
      </c>
      <c r="B2276">
        <f>Skills!B4</f>
        <v/>
      </c>
      <c r="C2276">
        <f>Inputs!$B$3&gt;=38</f>
        <v/>
      </c>
      <c r="D2276">
        <f>IF(Skills!C4=1,60+Inputs!$B$26+Inputs!$B$30,IF(Skills!C4=2,90+Inputs!$B$27+Inputs!$B$30,IF(Skills!C4=3,120+Inputs!$B$28+Inputs!$B$30,MAX(0,(Inputs!$B$3-100)*3)+Inputs!$B$29+Inputs!$B$30)))</f>
        <v/>
      </c>
      <c r="E2276">
        <f>INDEX(FactorTable!$B$2:$Y$301, MATCH(ROUND(MIN(300,MAX(1,D2276)),0), FactorTable!$A$2:$A$301,0), Skills!L4+1)</f>
        <v/>
      </c>
      <c r="F2276">
        <f>IF(Skills!M4=TRUE,(Skills!K4/10)*(E2276/1000),Skills!K4/10)+Skills!N4</f>
        <v/>
      </c>
      <c r="G2276">
        <f>Calc!G4</f>
        <v/>
      </c>
      <c r="H2276">
        <f>Calc!H4</f>
        <v/>
      </c>
      <c r="I2276">
        <f>IF(Skills!T4&lt;&gt;"",1+(Skills!T4/10)*($Z$3/1000)/100,1)</f>
        <v/>
      </c>
      <c r="J2276" t="inlineStr"/>
      <c r="K2276" t="inlineStr"/>
      <c r="L2276" t="inlineStr"/>
      <c r="M2276" t="inlineStr"/>
      <c r="N2276" t="inlineStr"/>
      <c r="O2276">
        <f>(1-Summary!$B$11)*S2276+Summary!$B$11*U2276</f>
        <v/>
      </c>
      <c r="P2276">
        <f>IF(B2314=0,0,O2276/B2314)</f>
        <v/>
      </c>
      <c r="Q2276">
        <f>IFERROR(1/(IF(Inputs!$B$39="pvp",15,MAX(0.1,Skills!D4-IF(Skills!E4=TRUE,Inputs!$B$33,0)))*(1-IF(AND(ArtifactsInput!$M$27,Inputs!$B$4="Chapter Hunt"),CHOOSE(ArtifactsInput!$N$27+1,20,24,28,32,36,40),0)/100)),0)</f>
        <v/>
      </c>
      <c r="R2276">
        <f>IF(AND(Inputs!$B$39&lt;&gt;"pvp",Inputs!$B$44&gt;0),IF(Inputs!$B$44&lt;=0,0,(INT(Inputs!$B$44/(IF(Inputs!$B$39="pvp",15,MAX(0.1,Skills!D4-IF(Skills!E4=TRUE,Inputs!$B$33,0)))*(1-IF(AND(ArtifactsInput!$M$27,Inputs!$B$4="Chapter Hunt"),CHOOSE(ArtifactsInput!$N$27+1,20,24,28,32,36,40),0)/100)))+1)),0)</f>
        <v/>
      </c>
      <c r="S2276" t="n">
        <v>0</v>
      </c>
      <c r="T2276">
        <f>290*T2275/1000</f>
        <v/>
      </c>
      <c r="U2276" t="n">
        <v>0</v>
      </c>
    </row>
    <row r="2277">
      <c r="A2277">
        <f>Skills!A5</f>
        <v/>
      </c>
      <c r="B2277">
        <f>Skills!B5</f>
        <v/>
      </c>
      <c r="C2277">
        <f>Inputs!$B$3&gt;=40</f>
        <v/>
      </c>
      <c r="D2277">
        <f>IF(Skills!C5=1,60+Inputs!$B$26+Inputs!$B$30,IF(Skills!C5=2,90+Inputs!$B$27+Inputs!$B$30,IF(Skills!C5=3,120+Inputs!$B$28+Inputs!$B$30,MAX(0,(Inputs!$B$3-100)*3)+Inputs!$B$29+Inputs!$B$30)))</f>
        <v/>
      </c>
      <c r="E2277">
        <f>INDEX(FactorTable!$B$2:$Y$301, MATCH(ROUND(MIN(300,MAX(1,D2277)),0), FactorTable!$A$2:$A$301,0), Skills!L5+1)</f>
        <v/>
      </c>
      <c r="F2277">
        <f>IF(Skills!M5=TRUE,(Skills!K5/10)*(E2277/1000),Skills!K5/10)+Skills!N5</f>
        <v/>
      </c>
      <c r="G2277">
        <f>Calc!G5</f>
        <v/>
      </c>
      <c r="H2277">
        <f>Calc!H5</f>
        <v/>
      </c>
      <c r="I2277">
        <f>IF(Skills!T5&lt;&gt;"",1+(Skills!T5/10)*($Z$3/1000)/100,1)</f>
        <v/>
      </c>
      <c r="J2277" t="inlineStr"/>
      <c r="K2277" t="inlineStr"/>
      <c r="L2277" t="inlineStr"/>
      <c r="M2277" t="inlineStr"/>
      <c r="N2277" t="inlineStr"/>
      <c r="O2277">
        <f>(1-Summary!$B$11)*S2277+Summary!$B$11*U2277</f>
        <v/>
      </c>
      <c r="P2277">
        <f>IF(B2314=0,0,O2277/B2314)</f>
        <v/>
      </c>
      <c r="Q2277">
        <f>IFERROR(1/(IF(Inputs!$B$39="pvp",15,MAX(0.1,Skills!D5-IF(Skills!E5=TRUE,Inputs!$B$33,0)))*(1-IF(AND(ArtifactsInput!$M$27,Inputs!$B$4="Chapter Hunt"),CHOOSE(ArtifactsInput!$N$27+1,20,24,28,32,36,40),0)/100)),0)</f>
        <v/>
      </c>
      <c r="R2277">
        <f>IF(AND(Inputs!$B$39&lt;&gt;"pvp",Inputs!$B$44&gt;0),IF(Inputs!$B$44&lt;=0,0,(INT(Inputs!$B$44/(IF(Inputs!$B$39="pvp",15,MAX(0.1,Skills!D5-IF(Skills!E5=TRUE,Inputs!$B$33,0)))*(1-IF(AND(ArtifactsInput!$M$27,Inputs!$B$4="Chapter Hunt"),CHOOSE(ArtifactsInput!$N$27+1,20,24,28,32,36,40),0)/100)))+1)),0)</f>
        <v/>
      </c>
      <c r="S2277" t="n">
        <v>0</v>
      </c>
      <c r="U2277" t="n">
        <v>0</v>
      </c>
    </row>
    <row r="2278">
      <c r="A2278">
        <f>Skills!A6</f>
        <v/>
      </c>
      <c r="B2278">
        <f>Skills!B6</f>
        <v/>
      </c>
      <c r="C2278">
        <f>Inputs!$B$3&gt;=103</f>
        <v/>
      </c>
      <c r="D2278">
        <f>IF(Skills!C6=1,60+Inputs!$B$26+Inputs!$B$30,IF(Skills!C6=2,90+Inputs!$B$27+Inputs!$B$30,IF(Skills!C6=3,120+Inputs!$B$28+Inputs!$B$30,MAX(0,(Inputs!$B$3-100)*3)+Inputs!$B$29+Inputs!$B$30)))</f>
        <v/>
      </c>
      <c r="E2278">
        <f>INDEX(FactorTable!$B$2:$Y$301, MATCH(ROUND(MIN(300,MAX(1,D2278)),0), FactorTable!$A$2:$A$301,0), Skills!L6+1)</f>
        <v/>
      </c>
      <c r="F2278">
        <f>IF(Skills!M6=TRUE,(Skills!K6/10)*(E2278/1000),Skills!K6/10)+Skills!N6</f>
        <v/>
      </c>
      <c r="G2278">
        <f>Calc!G6</f>
        <v/>
      </c>
      <c r="H2278">
        <f>Calc!H6</f>
        <v/>
      </c>
      <c r="I2278">
        <f>IF(Skills!T6&lt;&gt;"",1+(Skills!T6/10)*($Z$3/1000)/100,1)</f>
        <v/>
      </c>
      <c r="J2278">
        <f>((Inputs!$B$6*(1+Inputs!$B$7/100))+(((Inputs!$B$13*(1+Inputs!$B$14/100))-(Inputs!$B$13*(1+Inputs!$B$14/100)))+0.25*(Inputs!$B$15-Inputs!$B$15))*(1+Inputs!$B$7/100))*(F2278/100)</f>
        <v/>
      </c>
      <c r="K2278">
        <f>J2278*(1+(((Inputs!$B$13+IF(Inputs!$B$3&gt;=35,(10*INDEX(FactorTable!$B$2:$Y$301,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6="TRIUMPH_FEATHER",IF(C2288=TRUE,F2288,0),0)/100)*(1+IF(C2299=TRUE,F2299,0)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2278)</f>
        <v/>
      </c>
      <c r="L2278">
        <f>K2278*(MIN(Inputs!$B$23+(F2294-Calc!F22),(Inputs!$B$24+IF(ArtifactsInput!$M$15,CHOOSE(ArtifactsInput!$N$15+1,25,30,35,40,45,50)/100*(Inputs!$B$12-Inputs!$B$12),0)))/100+(Inputs!$B$24+IF(ArtifactsInput!$M$15,CHOOSE(ArtifactsInput!$N$15+1,25,30,35,40,45,50)/100*(Inputs!$B$12-Inputs!$B$12),0))/100)/2</f>
        <v/>
      </c>
      <c r="M2278">
        <f>L2278*(1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8">
        <f>L2278*(1-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(1-Summary!$B$11)*S2278+Summary!$B$11*U2278</f>
        <v/>
      </c>
      <c r="P2278">
        <f>IF(B2314=0,0,O2278/B2314)</f>
        <v/>
      </c>
      <c r="Q2278">
        <f>IFERROR(1/(IF(Inputs!$B$39="pvp",15,MAX(0.1,Skills!D6-IF(Skills!E6=TRUE,Inputs!$B$33,0)))*(1-IF(AND(ArtifactsInput!$M$27,Inputs!$B$4="Chapter Hunt"),CHOOSE(ArtifactsInput!$N$27+1,20,24,28,32,36,40),0)/100)),0)</f>
        <v/>
      </c>
      <c r="R2278">
        <f>IF(AND(Inputs!$B$39&lt;&gt;"pvp",Inputs!$B$44&gt;0),IF(MAX(0,Inputs!$B$44-B2311)&lt;=0,0,(INT(MAX(0,Inputs!$B$44-B2311)/(IF(Inputs!$B$39="pvp",15,MAX(0.1,Skills!D6-IF(Skills!E6=TRUE,Inputs!$B$33,0)))*(1-IF(AND(ArtifactsInput!$M$27,Inputs!$B$4="Chapter Hunt"),CHOOSE(ArtifactsInput!$N$27+1,20,24,28,32,36,40),0)/100)))+1)),0)</f>
        <v/>
      </c>
      <c r="S2278">
        <f>IF(C2278,(H2278*N2278*IF(AND(Inputs!$B$39&lt;&gt;"pvp",Inputs!$B$44&gt;0),((Skills!F6*((R2278-1)*IF(Skills!G6&gt;0,Skills!H6/Skills!G6,1)+IF(Skills!G6&gt;0,MIN(Skills!H6,MAX(0,MAX(0,Inputs!$B$44-B2311)-((R2278-1)*(IF(Inputs!$B$39="pvp",15,MAX(0.1,Skills!D6-IF(Skills!E6=TRUE,Inputs!$B$33,0)))*(1-IF(AND(ArtifactsInput!$M$27,Inputs!$B$4="Chapter Hunt"),CHOOSE(ArtifactsInput!$N$27+1,20,24,28,32,36,40),0)/100)))))/Skills!G6,1)))/Inputs!$B$44),G2278*Q2278))*IF(Inputs!$B$39="pvp",1,1+(Inputs!$B$21+Skills!O6+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8">
        <f>IF(C2278,(H2278*N2278*IF(AND(Inputs!$B$39&lt;&gt;"pvp",Inputs!$B$44&gt;0),((Skills!F6*((R2278-1)*IF(Skills!G6&gt;0,Skills!H6/Skills!G6,1)+IF(Skills!G6&gt;0,MIN(Skills!H6,MAX(0,MAX(0,Inputs!$B$44-B2311)-((R2278-1)*(IF(Inputs!$B$39="pvp",15,MAX(0.1,Skills!D6-IF(Skills!E6=TRUE,Inputs!$B$33,0)))*(1-IF(AND(ArtifactsInput!$M$27,Inputs!$B$4="Chapter Hunt"),CHOOSE(ArtifactsInput!$N$27+1,20,24,28,32,36,40),0)/100)))))/Skills!G6,1)))/Inputs!$B$44),G2278*Q2278))*IF(Inputs!$B$39="pvp",1,(1+(Inputs!$B$22+Skills!P6+B2303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Skills!A7</f>
        <v/>
      </c>
      <c r="B2279">
        <f>Skills!B7</f>
        <v/>
      </c>
      <c r="C2279">
        <f>Inputs!$B$3&gt;=122</f>
        <v/>
      </c>
      <c r="D2279">
        <f>IF(Skills!C7=1,60+Inputs!$B$26+Inputs!$B$30,IF(Skills!C7=2,90+Inputs!$B$27+Inputs!$B$30,IF(Skills!C7=3,120+Inputs!$B$28+Inputs!$B$30,MAX(0,(Inputs!$B$3-100)*3)+Inputs!$B$29+Inputs!$B$30)))</f>
        <v/>
      </c>
      <c r="E2279">
        <f>INDEX(FactorTable!$B$2:$Y$301, MATCH(ROUND(MIN(300,MAX(1,D2279)),0), FactorTable!$A$2:$A$301,0), Skills!L7+1)</f>
        <v/>
      </c>
      <c r="F2279">
        <f>IF(Skills!M7=TRUE,(Skills!K7/10)*(E2279/1000),Skills!K7/10)+Skills!N7</f>
        <v/>
      </c>
      <c r="G2279">
        <f>Calc!G7</f>
        <v/>
      </c>
      <c r="H2279">
        <f>Calc!H7</f>
        <v/>
      </c>
      <c r="I2279">
        <f>IF(Skills!T7&lt;&gt;"",1+(Skills!T7/10)*($Z$3/1000)/100,1)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7="TRIUMPH_FEATHER",IF(C2288=TRUE,F2288,0),0)/100)*(1+IF(C2299=TRUE,F2299,0)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2279)</f>
        <v/>
      </c>
      <c r="L2279">
        <f>K2279*(MIN(Inputs!$B$23+(F2294-Calc!F22),(Inputs!$B$24+IF(ArtifactsInput!$M$15,CHOOSE(ArtifactsInput!$N$15+1,25,30,35,40,45,50)/100*(Inputs!$B$12-Inputs!$B$12),0)))/100+(Inputs!$B$24+IF(ArtifactsInput!$M$15,CHOOSE(ArtifactsInput!$N$15+1,25,30,35,40,45,50)/100*(Inputs!$B$12-Inputs!$B$12),0))/100)/2</f>
        <v/>
      </c>
      <c r="M2279">
        <f>L2279*(1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IF(B2314=0,0,O2279/B2314)</f>
        <v/>
      </c>
      <c r="Q2279">
        <f>IFERROR(1/(IF(Inputs!$B$39="pvp",15,MAX(0.1,Skills!D7-IF(Skills!E6=TRUE,Inputs!$B$33,0)))*(1-IF(AND(ArtifactsInput!$M$27,Inputs!$B$4="Chapter Hunt"),CHOOSE(ArtifactsInput!$N$27+1,20,24,28,32,36,40),0)/100)),0)</f>
        <v/>
      </c>
      <c r="R2279">
        <f>IF(AND(Inputs!$B$39&lt;&gt;"pvp",Inputs!$B$44&gt;0),IF(MAX(0,Inputs!$B$44-B2311)&lt;=0,0,(INT(MAX(0,Inputs!$B$44-B2311)/(IF(Inputs!$B$39="pvp",15,MAX(0.1,Skills!D7-IF(Skills!E6=TRUE,Inputs!$B$33,0)))*(1-IF(AND(ArtifactsInput!$M$27,Inputs!$B$4="Chapter Hunt"),CHOOSE(ArtifactsInput!$N$27+1,20,24,28,32,36,40),0)/100)))+1)),0)</f>
        <v/>
      </c>
      <c r="S2279">
        <f>IF(C2279,H2279*N2279*IF(AND(Inputs!$B$39&lt;&gt;"pvp",Inputs!$B$44&gt;0),((Skills!F7*((R2279-1)*IF(Skills!G7&gt;0,Skills!H7/Skills!G7,1)+IF(Skills!G7&gt;0,MIN(Skills!H7,MAX(0,MAX(0,Inputs!$B$44-B2311)-((R2279-1)*(IF(Inputs!$B$39="pvp",15,MAX(0.1,Skills!D7-IF(Skills!E6=TRUE,Inputs!$B$33,0)))*(1-IF(AND(ArtifactsInput!$M$27,Inputs!$B$4="Chapter Hunt"),CHOOSE(ArtifactsInput!$N$27+1,20,24,28,32,36,40),0)/100)))))/Skills!G7,1)))/Inputs!$B$44),G2279*Q2279)*IF(Inputs!$B$39="pvp",1,1+(Inputs!$B$21+Skills!O7+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t="n">
        <v>0</v>
      </c>
    </row>
    <row r="2280">
      <c r="A2280">
        <f>Skills!A8</f>
        <v/>
      </c>
      <c r="B2280">
        <f>Skills!B8</f>
        <v/>
      </c>
      <c r="C2280">
        <f>Inputs!$B$3&gt;=105</f>
        <v/>
      </c>
      <c r="D2280">
        <f>IF(Skills!C8=1,60+Inputs!$B$26+Inputs!$B$30,IF(Skills!C8=2,90+Inputs!$B$27+Inputs!$B$30,IF(Skills!C8=3,120+Inputs!$B$28+Inputs!$B$30,MAX(0,(Inputs!$B$3-100)*3)+Inputs!$B$29+Inputs!$B$30)))</f>
        <v/>
      </c>
      <c r="E2280">
        <f>INDEX(FactorTable!$B$2:$Y$301, MATCH(ROUND(MIN(300,MAX(1,D2280)),0), FactorTable!$A$2:$A$301,0), Skills!L8+1)</f>
        <v/>
      </c>
      <c r="F2280">
        <f>IF(Skills!M8=TRUE,(Skills!K8/10)*(E2280/1000),Skills!K8/10)+Skills!N8</f>
        <v/>
      </c>
      <c r="G2280">
        <f>Calc!G8</f>
        <v/>
      </c>
      <c r="H2280">
        <f>Calc!H8</f>
        <v/>
      </c>
      <c r="I2280">
        <f>IF(Skills!T8&lt;&gt;"",1+(Skills!T8/10)*($Z$3/1000)/100,1)</f>
        <v/>
      </c>
      <c r="J2280">
        <f>((Inputs!$B$6*(1+Inputs!$B$7/100))+(((Inputs!$B$13*(1+Inputs!$B$14/100))-(Inputs!$B$13*(1+Inputs!$B$14/100)))+0.25*(Inputs!$B$15-Inputs!$B$15))*(1+Inputs!$B$7/100))*(F2280/100)</f>
        <v/>
      </c>
      <c r="K2280">
        <f>J2280*(1+(((Inputs!$B$13+IF(Inputs!$B$3&gt;=35,(10*INDEX(FactorTable!$B$2:$Y$301,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8="TRIUMPH_FEATHER",IF(C2288=TRUE,F2288,0),0)/100)*(1+IF(C2299=TRUE,F2299,0)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2280)</f>
        <v/>
      </c>
      <c r="L2280">
        <f>K2280*(MIN(Inputs!$B$23+(F2294-Calc!F22),(Inputs!$B$24+IF(ArtifactsInput!$M$15,CHOOSE(ArtifactsInput!$N$15+1,25,30,35,40,45,50)/100*(Inputs!$B$12-Inputs!$B$12),0)))/100+(Inputs!$B$24+IF(ArtifactsInput!$M$15,CHOOSE(ArtifactsInput!$N$15+1,25,30,35,40,45,50)/100*(Inputs!$B$12-Inputs!$B$12),0))/100)/2</f>
        <v/>
      </c>
      <c r="M2280">
        <f>L2280*(1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0">
        <f>L2280*(1-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(1-Summary!$B$11)*S2280+Summary!$B$11*U2280</f>
        <v/>
      </c>
      <c r="P2280">
        <f>IF(B2314=0,0,O2280/B2314)</f>
        <v/>
      </c>
      <c r="Q2280">
        <f>IFERROR(1/(IF(Inputs!$B$39="pvp",15,MAX(0.1,Skills!D8-IF(Skills!E8=TRUE,Inputs!$B$33,0)))*(1-IF(AND(ArtifactsInput!$M$27,Inputs!$B$4="Chapter Hunt"),CHOOSE(ArtifactsInput!$N$27+1,20,24,28,32,36,40),0)/100)),0)</f>
        <v/>
      </c>
      <c r="R2280">
        <f>IF(AND(Inputs!$B$39&lt;&gt;"pvp",Inputs!$B$44&gt;0),IF(MAX(0,Inputs!$B$44-B2311)&lt;=0,0,(INT(MAX(0,Inputs!$B$44-B2311)/(IF(Inputs!$B$39="pvp",15,MAX(0.1,Skills!D8-IF(Skills!E8=TRUE,Inputs!$B$33,0)))*(1-IF(AND(ArtifactsInput!$M$27,Inputs!$B$4="Chapter Hunt"),CHOOSE(ArtifactsInput!$N$27+1,20,24,28,32,36,40),0)/100)))+1)),0)</f>
        <v/>
      </c>
      <c r="S2280">
        <f>IF(C2280,(H2280*N2280*IF(AND(Inputs!$B$39&lt;&gt;"pvp",Inputs!$B$44&gt;0),((Skills!F8*((R2280-1)*IF(Skills!G8&gt;0,Skills!H8/Skills!G8,1)+IF(Skills!G8&gt;0,MIN(Skills!H8,MAX(0,MAX(0,Inputs!$B$44-B2311)-((R2280-1)*(IF(Inputs!$B$39="pvp",15,MAX(0.1,Skills!D8-IF(Skills!E8=TRUE,Inputs!$B$33,0)))*(1-IF(AND(ArtifactsInput!$M$27,Inputs!$B$4="Chapter Hunt"),CHOOSE(ArtifactsInput!$N$27+1,20,24,28,32,36,40),0)/100)))))/Skills!G8,1)))/Inputs!$B$44),G2280*Q2280))*IF(Inputs!$B$39="pvp",1,1+(Inputs!$B$21+Skills!O8+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2280*(1-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F(C2280,(H2280*N2280*IF(AND(Inputs!$B$39&lt;&gt;"pvp",Inputs!$B$44&gt;0),((Skills!F8*((R2280-1)*IF(Skills!G8&gt;0,Skills!H8/Skills!G8,1)+IF(Skills!G8&gt;0,MIN(Skills!H8,MAX(0,MAX(0,Inputs!$B$44-B2311)-((R2280-1)*(IF(Inputs!$B$39="pvp",15,MAX(0.1,Skills!D8-IF(Skills!E8=TRUE,Inputs!$B$33,0)))*(1-IF(AND(ArtifactsInput!$M$27,Inputs!$B$4="Chapter Hunt"),CHOOSE(ArtifactsInput!$N$27+1,20,24,28,32,36,40),0)/100)))))/Skills!G8,1)))/Inputs!$B$44),G2280*Q2280))*IF(Inputs!$B$39="pvp",1,(1+(Inputs!$B$22+Skills!P8+B2303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Skills!A9</f>
        <v/>
      </c>
      <c r="B2281">
        <f>Skills!B9</f>
        <v/>
      </c>
      <c r="C2281">
        <f>Inputs!$B$3&gt;=115</f>
        <v/>
      </c>
      <c r="D2281">
        <f>IF(Skills!C9=1,60+Inputs!$B$26+Inputs!$B$30,IF(Skills!C9=2,90+Inputs!$B$27+Inputs!$B$30,IF(Skills!C9=3,120+Inputs!$B$28+Inputs!$B$30,MAX(0,(Inputs!$B$3-100)*3)+Inputs!$B$29+Inputs!$B$30)))</f>
        <v/>
      </c>
      <c r="E2281">
        <f>INDEX(FactorTable!$B$2:$Y$301, MATCH(ROUND(MIN(300,MAX(1,D2281)),0), FactorTable!$A$2:$A$301,0), Skills!L9+1)</f>
        <v/>
      </c>
      <c r="F2281">
        <f>IF(Skills!M9=TRUE,(Skills!K9/10)*(E2281/1000),Skills!K9/10)+Skills!N9</f>
        <v/>
      </c>
      <c r="G2281">
        <f>Calc!G9</f>
        <v/>
      </c>
      <c r="H2281">
        <f>Calc!H9</f>
        <v/>
      </c>
      <c r="I2281">
        <f>IF(Skills!T9&lt;&gt;"",1+(Skills!T9/10)*($Z$3/1000)/100,1)</f>
        <v/>
      </c>
      <c r="J2281">
        <f>((Inputs!$B$6*(1+Inputs!$B$7/100))+(((Inputs!$B$13*(1+Inputs!$B$14/100))-(Inputs!$B$13*(1+Inputs!$B$14/100)))+0.25*(Inputs!$B$15-Inputs!$B$15))*(1+Inputs!$B$7/100))*(F2281/100)</f>
        <v/>
      </c>
      <c r="K2281">
        <f>J2281*(1+(((Inputs!$B$13+IF(Inputs!$B$3&gt;=35,(10*INDEX(FactorTable!$B$2:$Y$301,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9="TRIUMPH_FEATHER",IF(C2288=TRUE,F2288,0),0)/100)*(1+IF(C2299=TRUE,F2299,0)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2281)</f>
        <v/>
      </c>
      <c r="L2281">
        <f>K2281*(MIN(Inputs!$B$23+(F2294-Calc!F22),(Inputs!$B$24+IF(ArtifactsInput!$M$15,CHOOSE(ArtifactsInput!$N$15+1,25,30,35,40,45,50)/100*(Inputs!$B$12-Inputs!$B$12),0)))/100+(Inputs!$B$24+IF(ArtifactsInput!$M$15,CHOOSE(ArtifactsInput!$N$15+1,25,30,35,40,45,50)/100*(Inputs!$B$12-Inputs!$B$12),0))/100)/2</f>
        <v/>
      </c>
      <c r="M2281">
        <f>L2281*(1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1">
        <f>L2281*(1-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(1-Summary!$B$11)*S2281+Summary!$B$11*U2281</f>
        <v/>
      </c>
      <c r="P2281">
        <f>IF(B2314=0,0,O2281/B2314)</f>
        <v/>
      </c>
      <c r="Q2281">
        <f>IFERROR(1/(IF(Inputs!$B$39="pvp",15,MAX(0.1,Skills!D9-IF(Skills!E9=TRUE,Inputs!$B$33,0)))*(1-IF(AND(ArtifactsInput!$M$27,Inputs!$B$4="Chapter Hunt"),CHOOSE(ArtifactsInput!$N$27+1,20,24,28,32,36,40),0)/100)),0)</f>
        <v/>
      </c>
      <c r="R2281">
        <f>IF(AND(Inputs!$B$39&lt;&gt;"pvp",Inputs!$B$44&gt;0),IF(MAX(0,Inputs!$B$44-B2311)&lt;=0,0,(INT(MAX(0,Inputs!$B$44-B2311)/(IF(Inputs!$B$39="pvp",15,MAX(0.1,Skills!D9-IF(Skills!E9=TRUE,Inputs!$B$33,0)))*(1-IF(AND(ArtifactsInput!$M$27,Inputs!$B$4="Chapter Hunt"),CHOOSE(ArtifactsInput!$N$27+1,20,24,28,32,36,40),0)/100)))+1)),0)</f>
        <v/>
      </c>
      <c r="S2281">
        <f>IF(C2281,(H2281*N2281*IF(AND(Inputs!$B$39&lt;&gt;"pvp",Inputs!$B$44&gt;0),((Skills!F9*((R2281-1)*IF(Skills!G9&gt;0,Skills!H9/Skills!G9,1)+IF(Skills!G9&gt;0,MIN(Skills!H9,MAX(0,MAX(0,Inputs!$B$44-B2311)-((R2281-1)*(IF(Inputs!$B$39="pvp",15,MAX(0.1,Skills!D9-IF(Skills!E9=TRUE,Inputs!$B$33,0)))*(1-IF(AND(ArtifactsInput!$M$27,Inputs!$B$4="Chapter Hunt"),CHOOSE(ArtifactsInput!$N$27+1,20,24,28,32,36,40),0)/100)))))/Skills!G9,1)))/Inputs!$B$44),G2281*Q2281))*IF(Inputs!$B$39="pvp",1,1+(Inputs!$B$21+Skills!O9+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2281*(1-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IF(C2281,(H2281*N2281*IF(AND(Inputs!$B$39&lt;&gt;"pvp",Inputs!$B$44&gt;0),((Skills!F9*((R2281-1)*IF(Skills!G9&gt;0,Skills!H9/Skills!G9,1)+IF(Skills!G9&gt;0,MIN(Skills!H9,MAX(0,MAX(0,Inputs!$B$44-B2311)-((R2281-1)*(IF(Inputs!$B$39="pvp",15,MAX(0.1,Skills!D9-IF(Skills!E9=TRUE,Inputs!$B$33,0)))*(1-IF(AND(ArtifactsInput!$M$27,Inputs!$B$4="Chapter Hunt"),CHOOSE(ArtifactsInput!$N$27+1,20,24,28,32,36,40),0)/100)))))/Skills!G9,1)))/Inputs!$B$44),G2281*Q2281))*IF(Inputs!$B$39="pvp",1,(1+(Inputs!$B$22+Skills!P9+B2303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Skills!A10</f>
        <v/>
      </c>
      <c r="B2282">
        <f>Skills!B10</f>
        <v/>
      </c>
      <c r="C2282">
        <f>Inputs!$B$3&gt;=66</f>
        <v/>
      </c>
      <c r="D2282">
        <f>IF(Skills!C10=1,60+Inputs!$B$26+Inputs!$B$30,IF(Skills!C10=2,90+Inputs!$B$27+Inputs!$B$30,IF(Skills!C10=3,120+Inputs!$B$28+Inputs!$B$30,MAX(0,(Inputs!$B$3-100)*3)+Inputs!$B$29+Inputs!$B$30)))</f>
        <v/>
      </c>
      <c r="E2282">
        <f>INDEX(FactorTable!$B$2:$Y$301, MATCH(ROUND(MIN(300,MAX(1,D2282)),0), FactorTable!$A$2:$A$301,0), Skills!L10+1)</f>
        <v/>
      </c>
      <c r="F2282" t="n">
        <v>0</v>
      </c>
      <c r="G2282">
        <f>Calc!G10</f>
        <v/>
      </c>
      <c r="H2282">
        <f>Calc!H10</f>
        <v/>
      </c>
      <c r="I2282">
        <f>IF(Skills!T10&lt;&gt;"",1+(Skills!T10/10)*($Z$3/1000)/100,1)</f>
        <v/>
      </c>
      <c r="J2282" t="inlineStr"/>
      <c r="K2282" t="inlineStr"/>
      <c r="L2282" t="inlineStr"/>
      <c r="M2282" t="inlineStr"/>
      <c r="N2282" t="inlineStr"/>
      <c r="O2282">
        <f>(1-Summary!$B$11)*S2282+Summary!$B$11*U2282</f>
        <v/>
      </c>
      <c r="P2282">
        <f>IF(B2314=0,0,O2282/B2314)</f>
        <v/>
      </c>
      <c r="Q2282">
        <f>IFERROR(1/(IF(Inputs!$B$39="pvp",15,MAX(0.1,Skills!D10-IF(Skills!E10=TRUE,Inputs!$B$33,0)))*(1-IF(AND(ArtifactsInput!$M$27,Inputs!$B$4="Chapter Hunt"),CHOOSE(ArtifactsInput!$N$27+1,20,24,28,32,36,40),0)/100)),0)</f>
        <v/>
      </c>
      <c r="R2282">
        <f>IF(AND(Inputs!$B$39&lt;&gt;"pvp",Inputs!$B$44&gt;0),IF(MAX(0,Inputs!$B$44-B2311)&lt;=0,0,(INT(MAX(0,Inputs!$B$44-B2311)/(IF(Inputs!$B$39="pvp",15,MAX(0.1,Skills!D10-IF(Skills!E10=TRUE,Inputs!$B$33,0)))*(1-IF(AND(ArtifactsInput!$M$27,Inputs!$B$4="Chapter Hunt"),CHOOSE(ArtifactsInput!$N$27+1,20,24,28,32,36,40),0)/100)))+1)),0)</f>
        <v/>
      </c>
      <c r="S2282" t="n">
        <v>0</v>
      </c>
      <c r="U2282" t="n">
        <v>0</v>
      </c>
    </row>
    <row r="2283">
      <c r="A2283">
        <f>Skills!A11</f>
        <v/>
      </c>
      <c r="B2283">
        <f>Skills!B11</f>
        <v/>
      </c>
      <c r="C2283">
        <f>Inputs!$B$3&gt;=69</f>
        <v/>
      </c>
      <c r="D2283">
        <f>IF(Skills!C11=1,60+Inputs!$B$26+Inputs!$B$30,IF(Skills!C11=2,90+Inputs!$B$27+Inputs!$B$30,IF(Skills!C11=3,120+Inputs!$B$28+Inputs!$B$30,MAX(0,(Inputs!$B$3-100)*3)+Inputs!$B$29+Inputs!$B$30)))</f>
        <v/>
      </c>
      <c r="E2283">
        <f>INDEX(FactorTable!$B$2:$Y$301, MATCH(ROUND(MIN(300,MAX(1,D2283)),0), FactorTable!$A$2:$A$301,0), Skills!L11+1)</f>
        <v/>
      </c>
      <c r="F2283">
        <f>IF(Skills!M11=TRUE,(Skills!K11/10)*(E2283/1000),Skills!K11/10)+Skills!N11</f>
        <v/>
      </c>
      <c r="G2283">
        <f>Calc!G11</f>
        <v/>
      </c>
      <c r="H2283">
        <f>Calc!H11</f>
        <v/>
      </c>
      <c r="I2283">
        <f>IF(Skills!T11&lt;&gt;"",1+(Skills!T11/10)*($Z$3/1000)/100,1)</f>
        <v/>
      </c>
      <c r="J2283" t="inlineStr"/>
      <c r="K2283" t="inlineStr"/>
      <c r="L2283" t="inlineStr"/>
      <c r="M2283" t="inlineStr"/>
      <c r="N2283" t="inlineStr"/>
      <c r="O2283">
        <f>(1-Summary!$B$11)*S2283+Summary!$B$11*U2283</f>
        <v/>
      </c>
      <c r="P2283">
        <f>IF(B2314=0,0,O2283/B2314)</f>
        <v/>
      </c>
      <c r="Q2283">
        <f>IFERROR(1/(IF(Inputs!$B$39="pvp",15,MAX(0.1,Skills!D11-IF(Skills!E11=TRUE,Inputs!$B$33,0)))*(1-IF(AND(ArtifactsInput!$M$27,Inputs!$B$4="Chapter Hunt"),CHOOSE(ArtifactsInput!$N$27+1,20,24,28,32,36,40),0)/100)),0)</f>
        <v/>
      </c>
      <c r="R2283">
        <f>IF(AND(Inputs!$B$39&lt;&gt;"pvp",Inputs!$B$44&gt;0),IF(Inputs!$B$44&lt;=0,0,(INT(Inputs!$B$44/(IF(Inputs!$B$39="pvp",15,MAX(0.1,Skills!D11-IF(Skills!E11=TRUE,Inputs!$B$33,0)))*(1-IF(AND(ArtifactsInput!$M$27,Inputs!$B$4="Chapter Hunt"),CHOOSE(ArtifactsInput!$N$27+1,20,24,28,32,36,40),0)/100)))+1)),0)</f>
        <v/>
      </c>
      <c r="S2283" t="n">
        <v>0</v>
      </c>
      <c r="U2283" t="n">
        <v>0</v>
      </c>
    </row>
    <row r="2284">
      <c r="A2284">
        <f>Skills!A12</f>
        <v/>
      </c>
      <c r="B2284">
        <f>Skills!B12</f>
        <v/>
      </c>
      <c r="C2284">
        <f>Inputs!$B$3&gt;=72</f>
        <v/>
      </c>
      <c r="D2284">
        <f>IF(Skills!C12=1,60+Inputs!$B$26+Inputs!$B$30,IF(Skills!C12=2,90+Inputs!$B$27+Inputs!$B$30,IF(Skills!C12=3,120+Inputs!$B$28+Inputs!$B$30,MAX(0,(Inputs!$B$3-100)*3)+Inputs!$B$29+Inputs!$B$30)))</f>
        <v/>
      </c>
      <c r="E2284">
        <f>INDEX(FactorTable!$B$2:$Y$301, MATCH(ROUND(MIN(300,MAX(1,D2284)),0), FactorTable!$A$2:$A$301,0), Skills!L12+1)</f>
        <v/>
      </c>
      <c r="F2284">
        <f>IF(Skills!M12=TRUE,(Skills!K12/10)*(E2284/1000),Skills!K12/10)+Skills!N12</f>
        <v/>
      </c>
      <c r="G2284">
        <f>Calc!G12</f>
        <v/>
      </c>
      <c r="H2284">
        <f>Calc!H12</f>
        <v/>
      </c>
      <c r="I2284">
        <f>IF(Skills!T12&lt;&gt;"",1+(Skills!T12/10)*($Z$3/1000)/100,1)</f>
        <v/>
      </c>
      <c r="J2284" t="inlineStr"/>
      <c r="K2284" t="inlineStr"/>
      <c r="L2284" t="inlineStr"/>
      <c r="M2284" t="inlineStr"/>
      <c r="N2284" t="inlineStr"/>
      <c r="O2284">
        <f>(1-Summary!$B$11)*S2284+Summary!$B$11*U2284</f>
        <v/>
      </c>
      <c r="P2284">
        <f>IF(B2314=0,0,O2284/B2314)</f>
        <v/>
      </c>
      <c r="Q2284">
        <f>IFERROR(1/(IF(Inputs!$B$39="pvp",15,MAX(0.1,Skills!D12-IF(Skills!E12=TRUE,Inputs!$B$33,0)))*(1-IF(AND(ArtifactsInput!$M$27,Inputs!$B$4="Chapter Hunt"),CHOOSE(ArtifactsInput!$N$27+1,20,24,28,32,36,40),0)/100)),0)</f>
        <v/>
      </c>
      <c r="R2284">
        <f>IF(AND(Inputs!$B$39&lt;&gt;"pvp",Inputs!$B$44&gt;0),IF(MAX(0,Inputs!$B$44-B2311)&lt;=0,0,(INT(MAX(0,Inputs!$B$44-B2311)/(IF(Inputs!$B$39="pvp",15,MAX(0.1,Skills!D12-IF(Skills!E12=TRUE,Inputs!$B$33,0)))*(1-IF(AND(ArtifactsInput!$M$27,Inputs!$B$4="Chapter Hunt"),CHOOSE(ArtifactsInput!$N$27+1,20,24,28,32,36,40),0)/100)))+1)),0)</f>
        <v/>
      </c>
      <c r="S2284" t="n">
        <v>0</v>
      </c>
      <c r="U2284" t="n">
        <v>0</v>
      </c>
    </row>
    <row r="2285">
      <c r="A2285">
        <f>Skills!A13</f>
        <v/>
      </c>
      <c r="B2285">
        <f>Skills!B13</f>
        <v/>
      </c>
      <c r="C2285">
        <f>Inputs!$B$3&gt;=60</f>
        <v/>
      </c>
      <c r="D2285">
        <f>IF(Skills!C13=1,60+Inputs!$B$26+Inputs!$B$30,IF(Skills!C13=2,90+Inputs!$B$27+Inputs!$B$30,IF(Skills!C13=3,120+Inputs!$B$28+Inputs!$B$30,MAX(0,(Inputs!$B$3-100)*3)+Inputs!$B$29+Inputs!$B$30)))</f>
        <v/>
      </c>
      <c r="E2285">
        <f>INDEX(FactorTable!$B$2:$Y$301, MATCH(ROUND(MIN(300,MAX(1,D2285)),0), FactorTable!$A$2:$A$301,0), Skills!L13+1)</f>
        <v/>
      </c>
      <c r="F2285">
        <f>IF(Skills!M13=TRUE,(Skills!K13/10)*(E2285/1000),Skills!K13/10)+Skills!N13</f>
        <v/>
      </c>
      <c r="G2285">
        <f>Calc!G13</f>
        <v/>
      </c>
      <c r="H2285">
        <f>Calc!H13</f>
        <v/>
      </c>
      <c r="I2285">
        <f>IF(Skills!T13&lt;&gt;"",1+(Skills!T13/10)*($Z$3/1000)/100,1)</f>
        <v/>
      </c>
      <c r="J2285" t="inlineStr"/>
      <c r="K2285" t="inlineStr"/>
      <c r="L2285" t="inlineStr"/>
      <c r="M2285" t="inlineStr"/>
      <c r="N2285" t="inlineStr"/>
      <c r="O2285">
        <f>(1-Summary!$B$11)*S2285+Summary!$B$11*U2285</f>
        <v/>
      </c>
      <c r="P2285">
        <f>IF(B2314=0,0,O2285/B2314)</f>
        <v/>
      </c>
      <c r="Q2285">
        <f>IFERROR(1/(IF(Inputs!$B$39="pvp",15,MAX(0.1,Skills!D13-IF(Skills!E13=TRUE,Inputs!$B$33,0)))*(1-IF(AND(ArtifactsInput!$M$27,Inputs!$B$4="Chapter Hunt"),CHOOSE(ArtifactsInput!$N$27+1,20,24,28,32,36,40),0)/100)),0)</f>
        <v/>
      </c>
      <c r="R2285">
        <f>IF(AND(Inputs!$B$39&lt;&gt;"pvp",Inputs!$B$44&gt;0),IF(MAX(0,Inputs!$B$44-B2311)&lt;=0,0,(INT(MAX(0,Inputs!$B$44-B2311)/(IF(Inputs!$B$39="pvp",15,MAX(0.1,Skills!D13-IF(Skills!E13=TRUE,Inputs!$B$33,0)))*(1-IF(AND(ArtifactsInput!$M$27,Inputs!$B$4="Chapter Hunt"),CHOOSE(ArtifactsInput!$N$27+1,20,24,28,32,36,40),0)/100)))+1)),0)</f>
        <v/>
      </c>
      <c r="S2285" t="n">
        <v>0</v>
      </c>
      <c r="U2285" t="n">
        <v>0</v>
      </c>
    </row>
    <row r="2286">
      <c r="A2286">
        <f>Skills!A14</f>
        <v/>
      </c>
      <c r="B2286">
        <f>Skills!B14</f>
        <v/>
      </c>
      <c r="C2286">
        <f>Inputs!$B$3&gt;=107</f>
        <v/>
      </c>
      <c r="D2286">
        <f>IF(Skills!C14=1,60+Inputs!$B$26+Inputs!$B$30,IF(Skills!C14=2,90+Inputs!$B$27+Inputs!$B$30,IF(Skills!C14=3,120+Inputs!$B$28+Inputs!$B$30,MAX(0,(Inputs!$B$3-100)*3)+Inputs!$B$29+Inputs!$B$30)))</f>
        <v/>
      </c>
      <c r="E2286">
        <f>INDEX(FactorTable!$B$2:$Y$301, MATCH(ROUND(MIN(300,MAX(1,D2286)),0), FactorTable!$A$2:$A$301,0), Skills!L14+1)</f>
        <v/>
      </c>
      <c r="F2286">
        <f>IF(Skills!M14=TRUE,(Skills!K14/10)*(E2286/1000),Skills!K14/10)+Skills!N14</f>
        <v/>
      </c>
      <c r="G2286">
        <f>Calc!G14</f>
        <v/>
      </c>
      <c r="H2286">
        <f>Calc!H14</f>
        <v/>
      </c>
      <c r="I2286">
        <f>IF(Skills!T14&lt;&gt;"",1+(Skills!T14/10)*($Z$3/1000)/100,1)</f>
        <v/>
      </c>
      <c r="J2286" t="inlineStr"/>
      <c r="K2286" t="inlineStr"/>
      <c r="L2286" t="inlineStr"/>
      <c r="M2286" t="inlineStr"/>
      <c r="N2286" t="inlineStr"/>
      <c r="O2286">
        <f>(1-Summary!$B$11)*S2286+Summary!$B$11*U2286</f>
        <v/>
      </c>
      <c r="P2286">
        <f>IF(B2314=0,0,O2286/B2314)</f>
        <v/>
      </c>
      <c r="Q2286">
        <f>IFERROR(1/(IF(Inputs!$B$39="pvp",15,MAX(0.1,Skills!D14-IF(Skills!E14=TRUE,Inputs!$B$33,0)))*(1-IF(AND(ArtifactsInput!$M$27,Inputs!$B$4="Chapter Hunt"),CHOOSE(ArtifactsInput!$N$27+1,20,24,28,32,36,40),0)/100)),0)</f>
        <v/>
      </c>
      <c r="R2286">
        <f>IF(AND(Inputs!$B$39&lt;&gt;"pvp",Inputs!$B$44&gt;0),IF(Inputs!$B$44&lt;=0,0,(INT(Inputs!$B$44/(IF(Inputs!$B$39="pvp",15,MAX(0.1,Skills!D14-IF(Skills!E14=TRUE,Inputs!$B$33,0)))*(1-IF(AND(ArtifactsInput!$M$27,Inputs!$B$4="Chapter Hunt"),CHOOSE(ArtifactsInput!$N$27+1,20,24,28,32,36,40),0)/100)))+1)),0)</f>
        <v/>
      </c>
      <c r="S2286" t="n">
        <v>0</v>
      </c>
      <c r="U2286" t="n">
        <v>0</v>
      </c>
    </row>
    <row r="2287">
      <c r="A2287">
        <f>Skills!A15</f>
        <v/>
      </c>
      <c r="B2287">
        <f>Skills!B15</f>
        <v/>
      </c>
      <c r="C2287">
        <f>Inputs!$B$3&gt;=63</f>
        <v/>
      </c>
      <c r="D2287">
        <f>IF(Skills!C15=1,60+Inputs!$B$26+Inputs!$B$30,IF(Skills!C15=2,90+Inputs!$B$27+Inputs!$B$30,IF(Skills!C15=3,120+Inputs!$B$28+Inputs!$B$30,MAX(0,(Inputs!$B$3-100)*3)+Inputs!$B$29+Inputs!$B$30)))</f>
        <v/>
      </c>
      <c r="E2287">
        <f>INDEX(FactorTable!$B$2:$Y$301, MATCH(ROUND(MIN(300,MAX(1,D2287)),0), FactorTable!$A$2:$A$301,0), Skills!L15+1)</f>
        <v/>
      </c>
      <c r="F2287">
        <f>IF(Skills!M15=TRUE,(Skills!K15/10)*(E2287/1000),Skills!K15/10)+Skills!N15</f>
        <v/>
      </c>
      <c r="G2287">
        <f>Calc!G15</f>
        <v/>
      </c>
      <c r="H2287">
        <f>Calc!H15</f>
        <v/>
      </c>
      <c r="I2287">
        <f>IF(Skills!T15&lt;&gt;"",1+(Skills!T15/10)*($Z$3/1000)/100,1)</f>
        <v/>
      </c>
      <c r="J2287">
        <f>((Inputs!$B$6*(1+Inputs!$B$7/100))+(((Inputs!$B$13*(1+Inputs!$B$14/100))-(Inputs!$B$13*(1+Inputs!$B$14/100)))+0.25*(Inputs!$B$15-Inputs!$B$15))*(1+Inputs!$B$7/100))*(F2287/100)</f>
        <v/>
      </c>
      <c r="K2287">
        <f>J2287*(1+(((Inputs!$B$13+IF(Inputs!$B$3&gt;=35,(10*INDEX(FactorTable!$B$2:$Y$301,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15="TRIUMPH_FEATHER",IF(C2288=TRUE,F2288,0),0)/100)*(1+IF(C2299=TRUE,F2299,0)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2287)</f>
        <v/>
      </c>
      <c r="L2287">
        <f>K2287*(MIN(Inputs!$B$23+(F2294-Calc!F22),(Inputs!$B$24+IF(ArtifactsInput!$M$15,CHOOSE(ArtifactsInput!$N$15+1,25,30,35,40,45,50)/100*(Inputs!$B$12-Inputs!$B$12),0)))/100+(Inputs!$B$24+IF(ArtifactsInput!$M$15,CHOOSE(ArtifactsInput!$N$15+1,25,30,35,40,45,50)/100*(Inputs!$B$12-Inputs!$B$12),0))/100)/2</f>
        <v/>
      </c>
      <c r="M2287">
        <f>L2287*(1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7">
        <f>L2287*(1-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(1-Summary!$B$11)*S2287+Summary!$B$11*U2287</f>
        <v/>
      </c>
      <c r="P2287">
        <f>IF(B2314=0,0,O2287/B2314)</f>
        <v/>
      </c>
      <c r="Q2287">
        <f>IFERROR(1/(IF(Inputs!$B$39="pvp",15,MAX(0.1,Skills!D15-IF(Skills!E15=TRUE,Inputs!$B$33,0)))*(1-IF(AND(ArtifactsInput!$M$27,Inputs!$B$4="Chapter Hunt"),CHOOSE(ArtifactsInput!$N$27+1,20,24,28,32,36,40),0)/100)),0)</f>
        <v/>
      </c>
      <c r="R2287" t="n">
        <v>0</v>
      </c>
      <c r="S2287">
        <f>IF(C2287,(Skills!F15*N2287*((IF(Inputs!$B$3&gt;=78,25,15)/100*B2307*10)/(1+IF(Inputs!$B$3&gt;=78,25,15)/100*B2307*10))*(Skills!I15/100*B2307)/(1+Skills!G15*Skills!I15/100*B2307))*IF(Inputs!$B$39="pvp",1,1+(Inputs!$B$21+Skills!O15+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2287*(1-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7">
        <f>IF(C2287,(Skills!F15*N2287*((IF(Inputs!$B$3&gt;=78,25,15)/100*B2307*10)/(1+IF(Inputs!$B$3&gt;=78,25,15)/100*B2307*10))*(Skills!I15/100*B2307)/(1+Skills!G15*Skills!I15/100*B2307))*IF(Inputs!$B$39="pvp",1,(1+(Inputs!$B$22+Skills!P15+B2303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Skills!A16</f>
        <v/>
      </c>
      <c r="B2288">
        <f>Skills!B16</f>
        <v/>
      </c>
      <c r="C2288">
        <f>Inputs!$B$3&gt;=100</f>
        <v/>
      </c>
      <c r="D2288">
        <f>IF(Skills!C16=1,60+Inputs!$B$26+Inputs!$B$30,IF(Skills!C16=2,90+Inputs!$B$27+Inputs!$B$30,IF(Skills!C16=3,120+Inputs!$B$28+Inputs!$B$30,MAX(0,(Inputs!$B$3-100)*3)+Inputs!$B$29+Inputs!$B$30)))</f>
        <v/>
      </c>
      <c r="E2288">
        <f>INDEX(FactorTable!$B$2:$Y$301, MATCH(ROUND(MIN(300,MAX(1,D2288)),0), FactorTable!$A$2:$A$301,0), Skills!L16+1)</f>
        <v/>
      </c>
      <c r="F2288">
        <f>IF(Skills!M16=TRUE,(Skills!K16/10)*(E2288/1000),Skills!K16/10)+Skills!N16</f>
        <v/>
      </c>
      <c r="G2288">
        <f>Calc!G16</f>
        <v/>
      </c>
      <c r="H2288">
        <f>Calc!H16</f>
        <v/>
      </c>
      <c r="I2288">
        <f>IF(Skills!T16&lt;&gt;"",1+(Skills!T16/10)*($Z$3/1000)/100,1)</f>
        <v/>
      </c>
      <c r="J2288" t="inlineStr"/>
      <c r="K2288" t="inlineStr"/>
      <c r="L2288" t="inlineStr"/>
      <c r="M2288" t="inlineStr"/>
      <c r="N2288" t="inlineStr"/>
      <c r="O2288">
        <f>(1-Summary!$B$11)*S2288+Summary!$B$11*U2288</f>
        <v/>
      </c>
      <c r="P2288">
        <f>IF(B2314=0,0,O2288/B2314)</f>
        <v/>
      </c>
      <c r="Q2288">
        <f>IFERROR(1/(IF(Inputs!$B$39="pvp",15,MAX(0.1,Skills!D16-IF(Skills!E16=TRUE,Inputs!$B$33,0)))*(1-IF(AND(ArtifactsInput!$M$27,Inputs!$B$4="Chapter Hunt"),CHOOSE(ArtifactsInput!$N$27+1,20,24,28,32,36,40),0)/100)),0)</f>
        <v/>
      </c>
      <c r="R2288" t="n">
        <v>0</v>
      </c>
      <c r="S2288" t="n">
        <v>0</v>
      </c>
      <c r="U2288" t="n">
        <v>0</v>
      </c>
    </row>
    <row r="2289">
      <c r="A2289">
        <f>Skills!A17</f>
        <v/>
      </c>
      <c r="B2289">
        <f>Skills!B17</f>
        <v/>
      </c>
      <c r="C2289">
        <f>Inputs!$B$3&gt;=49</f>
        <v/>
      </c>
      <c r="D2289">
        <f>IF(Skills!C17=1,60+Inputs!$B$26+Inputs!$B$30,IF(Skills!C17=2,90+Inputs!$B$27+Inputs!$B$30,IF(Skills!C17=3,120+Inputs!$B$28+Inputs!$B$30,MAX(0,(Inputs!$B$3-100)*3)+Inputs!$B$29+Inputs!$B$30)))</f>
        <v/>
      </c>
      <c r="E2289">
        <f>INDEX(FactorTable!$B$2:$Y$301, MATCH(ROUND(MIN(300,MAX(1,D2289)),0), FactorTable!$A$2:$A$301,0), Skills!L17+1)</f>
        <v/>
      </c>
      <c r="F2289">
        <f>IF(Skills!M17=TRUE,(Skills!K17/10)*(E2289/1000),Skills!K17/10)+Skills!N17</f>
        <v/>
      </c>
      <c r="G2289">
        <f>Calc!G17</f>
        <v/>
      </c>
      <c r="H2289">
        <f>Calc!H17</f>
        <v/>
      </c>
      <c r="I2289">
        <f>IF(Skills!T17&lt;&gt;"",1+(Skills!T17/10)*($Z$3/1000)/100,1)</f>
        <v/>
      </c>
      <c r="J2289" t="inlineStr"/>
      <c r="K2289" t="inlineStr"/>
      <c r="L2289" t="inlineStr"/>
      <c r="M2289" t="inlineStr"/>
      <c r="N2289" t="inlineStr"/>
      <c r="O2289">
        <f>(1-Summary!$B$11)*S2289+Summary!$B$11*U2289</f>
        <v/>
      </c>
      <c r="P2289">
        <f>IF(B2314=0,0,O2289/B2314)</f>
        <v/>
      </c>
      <c r="Q2289">
        <f>IFERROR(1/(IF(Inputs!$B$39="pvp",15,MAX(0.1,Skills!D17-IF(Skills!E17=TRUE,Inputs!$B$33,0)))*(1-IF(AND(ArtifactsInput!$M$27,Inputs!$B$4="Chapter Hunt"),CHOOSE(ArtifactsInput!$N$27+1,20,24,28,32,36,40),0)/100)),0)</f>
        <v/>
      </c>
      <c r="R2289" t="n">
        <v>0</v>
      </c>
      <c r="S2289" t="n">
        <v>0</v>
      </c>
      <c r="U2289" t="n">
        <v>0</v>
      </c>
    </row>
    <row r="2290">
      <c r="A2290">
        <f>Skills!A18</f>
        <v/>
      </c>
      <c r="B2290">
        <f>Skills!B18</f>
        <v/>
      </c>
      <c r="C2290">
        <f>Inputs!$B$3&gt;=75</f>
        <v/>
      </c>
      <c r="D2290">
        <f>IF(Skills!C18=1,60+Inputs!$B$26+Inputs!$B$30,IF(Skills!C18=2,90+Inputs!$B$27+Inputs!$B$30,IF(Skills!C18=3,120+Inputs!$B$28+Inputs!$B$30,MAX(0,(Inputs!$B$3-100)*3)+Inputs!$B$29+Inputs!$B$30)))</f>
        <v/>
      </c>
      <c r="E2290">
        <f>INDEX(FactorTable!$B$2:$Y$301, MATCH(ROUND(MIN(300,MAX(1,D2290)),0), FactorTable!$A$2:$A$301,0), Skills!L18+1)</f>
        <v/>
      </c>
      <c r="F2290">
        <f>IF(Skills!M18=TRUE,(Skills!K18/10)*(E2290/1000),Skills!K18/10)+Skills!N18</f>
        <v/>
      </c>
      <c r="G2290">
        <f>Calc!G18</f>
        <v/>
      </c>
      <c r="H2290">
        <f>Calc!H18</f>
        <v/>
      </c>
      <c r="I2290">
        <f>IF(Skills!T18&lt;&gt;"",1+(Skills!T18/10)*($Z$3/1000)/100,1)</f>
        <v/>
      </c>
      <c r="J2290" t="inlineStr"/>
      <c r="K2290" t="inlineStr"/>
      <c r="L2290" t="inlineStr"/>
      <c r="M2290" t="inlineStr"/>
      <c r="N2290" t="inlineStr"/>
      <c r="O2290">
        <f>(1-Summary!$B$11)*S2290+Summary!$B$11*U2290</f>
        <v/>
      </c>
      <c r="P2290">
        <f>IF(B2314=0,0,O2290/B2314)</f>
        <v/>
      </c>
      <c r="Q2290">
        <f>IFERROR(1/(IF(Inputs!$B$39="pvp",15,MAX(0.1,Skills!D18-IF(Skills!E18=TRUE,Inputs!$B$33,0)))*(1-IF(AND(ArtifactsInput!$M$27,Inputs!$B$4="Chapter Hunt"),CHOOSE(ArtifactsInput!$N$27+1,20,24,28,32,36,40),0)/100)),0)</f>
        <v/>
      </c>
      <c r="R2290" t="n">
        <v>0</v>
      </c>
      <c r="S2290" t="n">
        <v>0</v>
      </c>
      <c r="U2290" t="n">
        <v>0</v>
      </c>
    </row>
    <row r="2291">
      <c r="A2291">
        <f>Skills!A19</f>
        <v/>
      </c>
      <c r="B2291">
        <f>Skills!B19</f>
        <v/>
      </c>
      <c r="C2291">
        <f>Inputs!$B$3&gt;=110</f>
        <v/>
      </c>
      <c r="D2291">
        <f>IF(Skills!C19=1,60+Inputs!$B$26+Inputs!$B$30,IF(Skills!C19=2,90+Inputs!$B$27+Inputs!$B$30,IF(Skills!C19=3,120+Inputs!$B$28+Inputs!$B$30,MAX(0,(Inputs!$B$3-100)*3)+Inputs!$B$29+Inputs!$B$30)))</f>
        <v/>
      </c>
      <c r="E2291">
        <f>INDEX(FactorTable!$B$2:$Y$301, MATCH(ROUND(MIN(300,MAX(1,D2291)),0), FactorTable!$A$2:$A$301,0), Skills!L19+1)</f>
        <v/>
      </c>
      <c r="F2291">
        <f>(Skills!K19/10)*(E2291/1000)*64/45+Skills!N19</f>
        <v/>
      </c>
      <c r="G2291">
        <f>Calc!G19</f>
        <v/>
      </c>
      <c r="H2291">
        <f>Calc!H19</f>
        <v/>
      </c>
      <c r="I2291">
        <f>IF(Skills!T19&lt;&gt;"",1+(Skills!T19/10)*($Z$3/1000)/100,1)</f>
        <v/>
      </c>
      <c r="J2291" t="inlineStr"/>
      <c r="K2291" t="inlineStr"/>
      <c r="L2291" t="inlineStr"/>
      <c r="M2291" t="inlineStr"/>
      <c r="N2291" t="inlineStr"/>
      <c r="O2291">
        <f>(1-Summary!$B$11)*S2291+Summary!$B$11*U2291</f>
        <v/>
      </c>
      <c r="P2291">
        <f>IF(B2314=0,0,O2291/B2314)</f>
        <v/>
      </c>
      <c r="Q2291">
        <f>IFERROR(1/(IF(Inputs!$B$39="pvp",15,MAX(0.1,Skills!D19-IF(Skills!E19=TRUE,Inputs!$B$33,0)))*(1-IF(AND(ArtifactsInput!$M$27,Inputs!$B$4="Chapter Hunt"),CHOOSE(ArtifactsInput!$N$27+1,20,24,28,32,36,40),0)/100)),0)</f>
        <v/>
      </c>
      <c r="R2291">
        <f>IF(AND(Inputs!$B$39&lt;&gt;"pvp",Inputs!$B$44&gt;0),IF(Inputs!$B$44&lt;=0,0,(INT(Inputs!$B$44/(IF(Inputs!$B$39="pvp",15,MAX(0.1,Skills!D19-IF(Skills!E19=TRUE,Inputs!$B$33,0)))*(1-IF(AND(ArtifactsInput!$M$27,Inputs!$B$4="Chapter Hunt"),CHOOSE(ArtifactsInput!$N$27+1,20,24,28,32,36,40),0)/100)))+1)),0)</f>
        <v/>
      </c>
      <c r="S2291" t="n">
        <v>0</v>
      </c>
      <c r="U2291" t="n">
        <v>0</v>
      </c>
    </row>
    <row r="2292">
      <c r="A2292">
        <f>Skills!A20</f>
        <v/>
      </c>
      <c r="B2292">
        <f>Skills!B20</f>
        <v/>
      </c>
      <c r="C2292">
        <f>Inputs!$B$3&gt;=125</f>
        <v/>
      </c>
      <c r="D2292">
        <f>IF(Skills!C20=1,60+Inputs!$B$26+Inputs!$B$30,IF(Skills!C20=2,90+Inputs!$B$27+Inputs!$B$30,IF(Skills!C20=3,120+Inputs!$B$28+Inputs!$B$30,MAX(0,(Inputs!$B$3-100)*3)+Inputs!$B$29+Inputs!$B$30)))</f>
        <v/>
      </c>
      <c r="E2292">
        <f>INDEX(FactorTable!$B$2:$Y$301, MATCH(ROUND(MIN(300,MAX(1,D2292)),0), FactorTable!$A$2:$A$301,0), Skills!L20+1)</f>
        <v/>
      </c>
      <c r="F2292">
        <f>IF(Skills!M20=TRUE,(Skills!K20/10)*(E2292/1000),Skills!K20/10)+Skills!N20</f>
        <v/>
      </c>
      <c r="G2292">
        <f>Calc!G20</f>
        <v/>
      </c>
      <c r="H2292">
        <f>Calc!H20</f>
        <v/>
      </c>
      <c r="I2292">
        <f>IF(Skills!T20&lt;&gt;"",1+(Skills!T20/10)*($Z$3/1000)/100,1)</f>
        <v/>
      </c>
      <c r="J2292" t="inlineStr"/>
      <c r="K2292" t="inlineStr"/>
      <c r="L2292" t="inlineStr"/>
      <c r="M2292" t="inlineStr"/>
      <c r="N2292" t="inlineStr"/>
      <c r="O2292">
        <f>(1-Summary!$B$11)*S2292+Summary!$B$11*U2292</f>
        <v/>
      </c>
      <c r="P2292">
        <f>IF(B2314=0,0,O2292/B2314)</f>
        <v/>
      </c>
      <c r="Q2292">
        <f>IFERROR(1/(IF(Inputs!$B$39="pvp",15,MAX(0.1,Skills!D20-IF(Skills!E20=TRUE,Inputs!$B$33,0)))*(1-IF(AND(ArtifactsInput!$M$27,Inputs!$B$4="Chapter Hunt"),CHOOSE(ArtifactsInput!$N$27+1,20,24,28,32,36,40),0)/100)),0)</f>
        <v/>
      </c>
      <c r="R2292" t="n">
        <v>0</v>
      </c>
      <c r="S2292" t="n">
        <v>0</v>
      </c>
      <c r="U2292" t="n">
        <v>0</v>
      </c>
    </row>
    <row r="2293">
      <c r="A2293">
        <f>Skills!A21</f>
        <v/>
      </c>
      <c r="B2293">
        <f>Skills!B21</f>
        <v/>
      </c>
      <c r="C2293">
        <f>Inputs!$B$3&gt;=33</f>
        <v/>
      </c>
      <c r="D2293">
        <f>IF(Skills!C21=1,60+Inputs!$B$26+Inputs!$B$30,IF(Skills!C21=2,90+Inputs!$B$27+Inputs!$B$30,IF(Skills!C21=3,120+Inputs!$B$28+Inputs!$B$30,MAX(0,(Inputs!$B$3-100)*3)+Inputs!$B$29+Inputs!$B$30)))</f>
        <v/>
      </c>
      <c r="E2293">
        <f>INDEX(FactorTable!$B$2:$Y$301, MATCH(ROUND(MIN(300,MAX(1,D2293)),0), FactorTable!$A$2:$A$301,0), Skills!L21+1)</f>
        <v/>
      </c>
      <c r="F2293">
        <f>IF(Skills!M21=TRUE,(Skills!K21/10)*(E2293/1000),Skills!K21/10)+Skills!N21</f>
        <v/>
      </c>
      <c r="G2293">
        <f>Calc!G21</f>
        <v/>
      </c>
      <c r="H2293">
        <f>Calc!H21</f>
        <v/>
      </c>
      <c r="I2293">
        <f>IF(Skills!T21&lt;&gt;"",1+(Skills!T21/10)*($Z$3/1000)/100,1)</f>
        <v/>
      </c>
      <c r="J2293" t="inlineStr"/>
      <c r="K2293" t="inlineStr"/>
      <c r="L2293" t="inlineStr"/>
      <c r="M2293" t="inlineStr"/>
      <c r="N2293" t="inlineStr"/>
      <c r="O2293">
        <f>(1-Summary!$B$11)*S2293+Summary!$B$11*U2293</f>
        <v/>
      </c>
      <c r="P2293">
        <f>IF(B2314=0,0,O2293/B2314)</f>
        <v/>
      </c>
      <c r="Q2293">
        <f>IFERROR(1/(IF(Inputs!$B$39="pvp",15,MAX(0.1,Skills!D21-IF(Skills!E21=TRUE,Inputs!$B$33,0)))*(1-IF(AND(ArtifactsInput!$M$27,Inputs!$B$4="Chapter Hunt"),CHOOSE(ArtifactsInput!$N$27+1,20,24,28,32,36,40),0)/100)),0)</f>
        <v/>
      </c>
      <c r="R2293" t="n">
        <v>0</v>
      </c>
      <c r="S2293" t="n">
        <v>0</v>
      </c>
      <c r="U2293" t="n">
        <v>0</v>
      </c>
    </row>
    <row r="2294">
      <c r="A2294">
        <f>Skills!A22</f>
        <v/>
      </c>
      <c r="B2294">
        <f>Skills!B22</f>
        <v/>
      </c>
      <c r="C2294">
        <f>Inputs!$B$3&gt;=43</f>
        <v/>
      </c>
      <c r="D2294">
        <f>IF(Skills!C22=1,60+Inputs!$B$26+Inputs!$B$30,IF(Skills!C22=2,90+Inputs!$B$27+Inputs!$B$30,IF(Skills!C22=3,120+Inputs!$B$28+Inputs!$B$30,MAX(0,(Inputs!$B$3-100)*3)+Inputs!$B$29+Inputs!$B$30)))</f>
        <v/>
      </c>
      <c r="E2294">
        <f>INDEX(FactorTable!$B$2:$Y$301, MATCH(ROUND(MIN(300,MAX(1,D2294)),0), FactorTable!$A$2:$A$301,0), Skills!L22+1)</f>
        <v/>
      </c>
      <c r="F2294">
        <f>IF(Skills!M22=TRUE,(Skills!K22/10)*(E2294/1000),Skills!K22/10)+Skills!N22</f>
        <v/>
      </c>
      <c r="G2294">
        <f>Calc!G22</f>
        <v/>
      </c>
      <c r="H2294">
        <f>Calc!H22</f>
        <v/>
      </c>
      <c r="I2294">
        <f>IF(Skills!T22&lt;&gt;"",1+(Skills!T22/10)*($Z$3/1000)/100,1)</f>
        <v/>
      </c>
      <c r="J2294" t="inlineStr"/>
      <c r="K2294" t="inlineStr"/>
      <c r="L2294" t="inlineStr"/>
      <c r="M2294" t="inlineStr"/>
      <c r="N2294" t="inlineStr"/>
      <c r="O2294">
        <f>(1-Summary!$B$11)*S2294+Summary!$B$11*U2294</f>
        <v/>
      </c>
      <c r="P2294">
        <f>IF(B2314=0,0,O2294/B2314)</f>
        <v/>
      </c>
      <c r="Q2294">
        <f>IFERROR(1/(IF(Inputs!$B$39="pvp",15,MAX(0.1,Skills!D22-IF(Skills!E22=TRUE,Inputs!$B$33,0)))*(1-IF(AND(ArtifactsInput!$M$27,Inputs!$B$4="Chapter Hunt"),CHOOSE(ArtifactsInput!$N$27+1,20,24,28,32,36,40),0)/100)),0)</f>
        <v/>
      </c>
      <c r="R2294" t="n">
        <v>0</v>
      </c>
      <c r="S2294" t="n">
        <v>0</v>
      </c>
      <c r="U2294" t="n">
        <v>0</v>
      </c>
    </row>
    <row r="2295">
      <c r="A2295">
        <f>Skills!A23</f>
        <v/>
      </c>
      <c r="B2295">
        <f>Skills!B23</f>
        <v/>
      </c>
      <c r="C2295">
        <f>Inputs!$B$3&gt;=50</f>
        <v/>
      </c>
      <c r="D2295">
        <f>IF(Skills!C23=1,60+Inputs!$B$26+Inputs!$B$30,IF(Skills!C23=2,90+Inputs!$B$27+Inputs!$B$30,IF(Skills!C23=3,120+Inputs!$B$28+Inputs!$B$30,MAX(0,(Inputs!$B$3-100)*3)+Inputs!$B$29+Inputs!$B$30)))</f>
        <v/>
      </c>
      <c r="E2295">
        <f>INDEX(FactorTable!$B$2:$Y$301, MATCH(ROUND(MIN(300,MAX(1,D2295)),0), FactorTable!$A$2:$A$301,0), Skills!L23+1)</f>
        <v/>
      </c>
      <c r="F2295">
        <f>IF(Skills!M23=TRUE,(Skills!K23/10)*(E2295/1000),Skills!K23/10)+Skills!N23</f>
        <v/>
      </c>
      <c r="G2295">
        <f>Calc!G23</f>
        <v/>
      </c>
      <c r="H2295">
        <f>Calc!H23</f>
        <v/>
      </c>
      <c r="I2295">
        <f>IF(Skills!T23&lt;&gt;"",1+(Skills!T23/10)*($Z$3/1000)/100,1)</f>
        <v/>
      </c>
      <c r="J2295" t="inlineStr"/>
      <c r="K2295" t="inlineStr"/>
      <c r="L2295" t="inlineStr"/>
      <c r="M2295" t="inlineStr"/>
      <c r="N2295" t="inlineStr"/>
      <c r="O2295">
        <f>(1-Summary!$B$11)*S2295+Summary!$B$11*U2295</f>
        <v/>
      </c>
      <c r="P2295">
        <f>IF(B2314=0,0,O2295/B2314)</f>
        <v/>
      </c>
      <c r="Q2295">
        <f>IFERROR(1/(IF(Inputs!$B$39="pvp",15,MAX(0.1,Skills!D23-IF(Skills!E23=TRUE,Inputs!$B$33,0)))*(1-IF(AND(ArtifactsInput!$M$27,Inputs!$B$4="Chapter Hunt"),CHOOSE(ArtifactsInput!$N$27+1,20,24,28,32,36,40),0)/100)),0)</f>
        <v/>
      </c>
      <c r="R2295" t="n">
        <v>0</v>
      </c>
      <c r="S2295" t="n">
        <v>0</v>
      </c>
      <c r="U2295" t="n">
        <v>0</v>
      </c>
    </row>
    <row r="2296">
      <c r="A2296">
        <f>Skills!A24</f>
        <v/>
      </c>
      <c r="B2296">
        <f>Skills!B24</f>
        <v/>
      </c>
      <c r="C2296">
        <f>Inputs!$B$3&gt;=74</f>
        <v/>
      </c>
      <c r="D2296">
        <f>IF(Skills!C24=1,60+Inputs!$B$26+Inputs!$B$30,IF(Skills!C24=2,90+Inputs!$B$27+Inputs!$B$30,IF(Skills!C24=3,120+Inputs!$B$28+Inputs!$B$30,MAX(0,(Inputs!$B$3-100)*3)+Inputs!$B$29+Inputs!$B$30)))</f>
        <v/>
      </c>
      <c r="E2296">
        <f>INDEX(FactorTable!$B$2:$Y$301, MATCH(ROUND(MIN(300,MAX(1,D2296)),0), FactorTable!$A$2:$A$301,0), Skills!L24+1)</f>
        <v/>
      </c>
      <c r="F2296">
        <f>IF(Skills!M24=TRUE,(Skills!K24/10)*(E2296/1000),Skills!K24/10)+Skills!N24</f>
        <v/>
      </c>
      <c r="G2296">
        <f>Calc!G24</f>
        <v/>
      </c>
      <c r="H2296">
        <f>Calc!H24</f>
        <v/>
      </c>
      <c r="I2296">
        <f>IF(Skills!T24&lt;&gt;"",1+(Skills!T24/10)*($Z$3/1000)/100,1)</f>
        <v/>
      </c>
      <c r="J2296" t="inlineStr"/>
      <c r="K2296" t="inlineStr"/>
      <c r="L2296" t="inlineStr"/>
      <c r="M2296" t="inlineStr"/>
      <c r="N2296" t="inlineStr"/>
      <c r="O2296">
        <f>(1-Summary!$B$11)*S2296+Summary!$B$11*U2296</f>
        <v/>
      </c>
      <c r="P2296">
        <f>IF(B2314=0,0,O2296/B2314)</f>
        <v/>
      </c>
      <c r="Q2296">
        <f>IFERROR(1/(IF(Inputs!$B$39="pvp",15,MAX(0.1,Skills!D24-IF(Skills!E24=TRUE,Inputs!$B$33,0)))*(1-IF(AND(ArtifactsInput!$M$27,Inputs!$B$4="Chapter Hunt"),CHOOSE(ArtifactsInput!$N$27+1,20,24,28,32,36,40),0)/100)),0)</f>
        <v/>
      </c>
      <c r="R2296" t="n">
        <v>0</v>
      </c>
      <c r="S2296" t="n">
        <v>0</v>
      </c>
      <c r="U2296" t="n">
        <v>0</v>
      </c>
    </row>
    <row r="2297">
      <c r="A2297">
        <f>Skills!A25</f>
        <v/>
      </c>
      <c r="B2297">
        <f>Skills!B25</f>
        <v/>
      </c>
      <c r="C2297">
        <f>Inputs!$B$3&gt;=74</f>
        <v/>
      </c>
      <c r="D2297">
        <f>IF(Skills!C25=1,60+Inputs!$B$26+Inputs!$B$30,IF(Skills!C25=2,90+Inputs!$B$27+Inputs!$B$30,IF(Skills!C25=3,120+Inputs!$B$28+Inputs!$B$30,MAX(0,(Inputs!$B$3-100)*3)+Inputs!$B$29+Inputs!$B$30)))</f>
        <v/>
      </c>
      <c r="E2297">
        <f>INDEX(FactorTable!$B$2:$Y$301, MATCH(ROUND(MIN(300,MAX(1,D2297)),0), FactorTable!$A$2:$A$301,0), Skills!L25+1)</f>
        <v/>
      </c>
      <c r="F2297">
        <f>IF(Skills!M25=TRUE,(Skills!K25/10)*(E2297/1000),Skills!K25/10)+Skills!N25</f>
        <v/>
      </c>
      <c r="G2297">
        <f>Calc!G25</f>
        <v/>
      </c>
      <c r="H2297">
        <f>Calc!H25</f>
        <v/>
      </c>
      <c r="I2297">
        <f>IF(Skills!T25&lt;&gt;"",1+(Skills!T25/10)*($Z$3/1000)/100,1)</f>
        <v/>
      </c>
      <c r="J2297" t="inlineStr"/>
      <c r="K2297" t="inlineStr"/>
      <c r="L2297" t="inlineStr"/>
      <c r="M2297" t="inlineStr"/>
      <c r="N2297" t="inlineStr"/>
      <c r="O2297">
        <f>(1-Summary!$B$11)*S2297+Summary!$B$11*U2297</f>
        <v/>
      </c>
      <c r="P2297">
        <f>IF(B2314=0,0,O2297/B2314)</f>
        <v/>
      </c>
      <c r="Q2297">
        <f>IFERROR(1/(IF(Inputs!$B$39="pvp",15,MAX(0.1,Skills!D25-IF(Skills!E25=TRUE,Inputs!$B$33,0)))*(1-IF(AND(ArtifactsInput!$M$27,Inputs!$B$4="Chapter Hunt"),CHOOSE(ArtifactsInput!$N$27+1,20,24,28,32,36,40),0)/100)),0)</f>
        <v/>
      </c>
      <c r="R2297" t="n">
        <v>0</v>
      </c>
      <c r="S2297" t="n">
        <v>0</v>
      </c>
      <c r="U2297" t="n">
        <v>0</v>
      </c>
    </row>
    <row r="2298">
      <c r="A2298">
        <f>Skills!A26</f>
        <v/>
      </c>
      <c r="B2298">
        <f>Skills!B26</f>
        <v/>
      </c>
      <c r="C2298">
        <f>Inputs!$B$3&gt;=117</f>
        <v/>
      </c>
      <c r="D2298">
        <f>IF(Skills!C26=1,60+Inputs!$B$26+Inputs!$B$30,IF(Skills!C26=2,90+Inputs!$B$27+Inputs!$B$30,IF(Skills!C26=3,120+Inputs!$B$28+Inputs!$B$30,MAX(0,(Inputs!$B$3-100)*3)+Inputs!$B$29+Inputs!$B$30)))</f>
        <v/>
      </c>
      <c r="E2298">
        <f>INDEX(FactorTable!$B$2:$Y$301, MATCH(ROUND(MIN(300,MAX(1,D2298)),0), FactorTable!$A$2:$A$301,0), Skills!L26+1)</f>
        <v/>
      </c>
      <c r="F2298">
        <f>IF(Skills!M26=TRUE,(Skills!K26/10)*(E2298/1000),Skills!K26/10)+Skills!N26</f>
        <v/>
      </c>
      <c r="G2298">
        <f>Calc!G26</f>
        <v/>
      </c>
      <c r="H2298">
        <f>Calc!H26</f>
        <v/>
      </c>
      <c r="I2298">
        <f>IF(Skills!T26&lt;&gt;"",1+(Skills!T26/10)*($Z$3/1000)/100,1)</f>
        <v/>
      </c>
      <c r="J2298" t="inlineStr"/>
      <c r="K2298" t="inlineStr"/>
      <c r="L2298" t="inlineStr"/>
      <c r="M2298" t="inlineStr"/>
      <c r="N2298" t="inlineStr"/>
      <c r="O2298">
        <f>(1-Summary!$B$11)*S2298+Summary!$B$11*U2298</f>
        <v/>
      </c>
      <c r="P2298">
        <f>IF(B2314=0,0,O2298/B2314)</f>
        <v/>
      </c>
      <c r="Q2298">
        <f>IFERROR(1/(IF(Inputs!$B$39="pvp",15,MAX(0.1,Skills!D26-IF(Skills!E26=TRUE,Inputs!$B$33,0)))*(1-IF(AND(ArtifactsInput!$M$27,Inputs!$B$4="Chapter Hunt"),CHOOSE(ArtifactsInput!$N$27+1,20,24,28,32,36,40),0)/100)),0)</f>
        <v/>
      </c>
      <c r="R2298" t="n">
        <v>0</v>
      </c>
      <c r="S2298" t="n">
        <v>0</v>
      </c>
      <c r="U2298" t="n">
        <v>0</v>
      </c>
    </row>
    <row r="2299">
      <c r="A2299">
        <f>Skills!A27</f>
        <v/>
      </c>
      <c r="B2299">
        <f>Skills!B27</f>
        <v/>
      </c>
      <c r="C2299">
        <f>Inputs!$B$3&gt;=120</f>
        <v/>
      </c>
      <c r="D2299">
        <f>IF(Skills!C27=1,60+Inputs!$B$26+Inputs!$B$30,IF(Skills!C27=2,90+Inputs!$B$27+Inputs!$B$30,IF(Skills!C27=3,120+Inputs!$B$28+Inputs!$B$30,MAX(0,(Inputs!$B$3-100)*3)+Inputs!$B$29+Inputs!$B$30)))</f>
        <v/>
      </c>
      <c r="E2299">
        <f>INDEX(FactorTable!$B$2:$Y$301, MATCH(ROUND(MIN(300,MAX(1,D2299)),0), FactorTable!$A$2:$A$301,0), Skills!L27+1)</f>
        <v/>
      </c>
      <c r="F2299">
        <f>IF(Skills!M27=TRUE,(Skills!K27/10)*(E2299/1000),Skills!K27/10)+Skills!N27</f>
        <v/>
      </c>
      <c r="G2299">
        <f>Calc!G27</f>
        <v/>
      </c>
      <c r="H2299">
        <f>Calc!H27</f>
        <v/>
      </c>
      <c r="I2299">
        <f>IF(Skills!T27&lt;&gt;"",1+(Skills!T27/10)*($Z$3/1000)/100,1)</f>
        <v/>
      </c>
      <c r="J2299" t="inlineStr"/>
      <c r="K2299" t="inlineStr"/>
      <c r="L2299" t="inlineStr"/>
      <c r="M2299" t="inlineStr"/>
      <c r="N2299" t="inlineStr"/>
      <c r="O2299">
        <f>(1-Summary!$B$11)*S2299+Summary!$B$11*U2299</f>
        <v/>
      </c>
      <c r="P2299">
        <f>IF(B2314=0,0,O2299/B2314)</f>
        <v/>
      </c>
      <c r="Q2299">
        <f>IFERROR(1/(IF(Inputs!$B$39="pvp",15,MAX(0.1,Skills!D27-IF(Skills!E27=TRUE,Inputs!$B$33,0)))*(1-IF(AND(ArtifactsInput!$M$27,Inputs!$B$4="Chapter Hunt"),CHOOSE(ArtifactsInput!$N$27+1,20,24,28,32,36,40),0)/100)),0)</f>
        <v/>
      </c>
      <c r="R2299" t="n">
        <v>0</v>
      </c>
      <c r="S2299" t="n">
        <v>0</v>
      </c>
      <c r="U2299" t="n">
        <v>0</v>
      </c>
    </row>
    <row r="2301">
      <c r="A2301" t="inlineStr">
        <is>
          <t>Average Buff Multiplier</t>
        </is>
      </c>
      <c r="B2301">
        <f>(1+(IF(C2275=TRUE,F2275*IF(AND(Inputs!$B$39&lt;&gt;"pvp",Inputs!$B$44&gt;0),(((R2275-1)*(Skills!S3*(1+((Inputs!$B$35+(ArtifactsInput!$M$7-ArtifactsInput!$M$7)*CHOOSE(ArtifactsInput!$N$7+1,6,7.2,8.4,9.6,10.8,12))+IF(Inputs!$B$3&gt;=117,F2298,0))/100))+MIN((Skills!S3*(1+((Inputs!$B$35+(ArtifactsInput!$M$7-ArtifactsInput!$M$7)*CHOOSE(ArtifactsInput!$N$7+1,6,7.2,8.4,9.6,10.8,12))+IF(Inputs!$B$3&gt;=117,F2298,0))/100)),MAX(0,Inputs!$B$44-((R2275-1)*Skills!D3))))/Inputs!$B$44),IF(Inputs!$B$39="pvp",MIN((Skills!S3*(1+((Inputs!$B$35+(ArtifactsInput!$M$7-ArtifactsInput!$M$7)*CHOOSE(ArtifactsInput!$N$7+1,6,7.2,8.4,9.6,10.8,12))+IF(Inputs!$B$3&gt;=117,F2298,0))/100)),15)/15,(Skills!S3*(1+((Inputs!$B$35+(ArtifactsInput!$M$7-ArtifactsInput!$M$7)*CHOOSE(ArtifactsInput!$N$7+1,6,7.2,8.4,9.6,10.8,12))+IF(Inputs!$B$3&gt;=117,F2298,0))/100))/Skills!D3)),0)+IF(C2276=TRUE,F2276*IF(AND(Inputs!$B$39&lt;&gt;"pvp",Inputs!$B$44&gt;0),(((R2276-1)*(Skills!S4*(1+((Inputs!$B$35+(ArtifactsInput!$M$7-ArtifactsInput!$M$7)*CHOOSE(ArtifactsInput!$N$7+1,6,7.2,8.4,9.6,10.8,12))+IF(Inputs!$B$3&gt;=117,F2298,0))/100))+MIN((Skills!S4*(1+((Inputs!$B$35+(ArtifactsInput!$M$7-ArtifactsInput!$M$7)*CHOOSE(ArtifactsInput!$N$7+1,6,7.2,8.4,9.6,10.8,12))+IF(Inputs!$B$3&gt;=117,F2298,0))/100)),MAX(0,Inputs!$B$44-((R2276-1)*Skills!D4))))/Inputs!$B$44),IF(Inputs!$B$39="pvp",MIN((Skills!S4*(1+((Inputs!$B$35+(ArtifactsInput!$M$7-ArtifactsInput!$M$7)*CHOOSE(ArtifactsInput!$N$7+1,6,7.2,8.4,9.6,10.8,12))+IF(Inputs!$B$3&gt;=117,F2298,0))/100)),15)/15,(Skills!S4*(1+((Inputs!$B$35+(ArtifactsInput!$M$7-ArtifactsInput!$M$7)*CHOOSE(ArtifactsInput!$N$7+1,6,7.2,8.4,9.6,10.8,12))+IF(Inputs!$B$3&gt;=117,F2298,0))/100))/Skills!D4)),0)+IF(C2277=TRUE,F2277*IF(AND(Inputs!$B$39&lt;&gt;"pvp",Inputs!$B$44&gt;0),(((R2277-1)*(Skills!S5*(1+((Inputs!$B$35+(ArtifactsInput!$M$7-ArtifactsInput!$M$7)*CHOOSE(ArtifactsInput!$N$7+1,6,7.2,8.4,9.6,10.8,12))+IF(Inputs!$B$3&gt;=117,F2298,0))/100))+MIN((Skills!S5*(1+((Inputs!$B$35+(ArtifactsInput!$M$7-ArtifactsInput!$M$7)*CHOOSE(ArtifactsInput!$N$7+1,6,7.2,8.4,9.6,10.8,12))+IF(Inputs!$B$3&gt;=117,F2298,0))/100)),MAX(0,Inputs!$B$44-((R2277-1)*Skills!D5))))/Inputs!$B$44),IF(Inputs!$B$39="pvp",MIN((Skills!S5*(1+((Inputs!$B$35+(ArtifactsInput!$M$7-ArtifactsInput!$M$7)*CHOOSE(ArtifactsInput!$N$7+1,6,7.2,8.4,9.6,10.8,12))+IF(Inputs!$B$3&gt;=117,F2298,0))/100)),15)/15,(Skills!S5*(1+((Inputs!$B$35+(ArtifactsInput!$M$7-ArtifactsInput!$M$7)*CHOOSE(ArtifactsInput!$N$7+1,6,7.2,8.4,9.6,10.8,12))+IF(Inputs!$B$3&gt;=117,F2298,0))/100))/Skills!D5)),0)+IF(C2283=TRUE,F2283*IF(AND(Inputs!$B$39&lt;&gt;"pvp",Inputs!$B$44&gt;0),(((R2283-1)*(Skills!S11*(1+((Inputs!$B$35+(ArtifactsInput!$M$7-ArtifactsInput!$M$7)*CHOOSE(ArtifactsInput!$N$7+1,6,7.2,8.4,9.6,10.8,12))+IF(Inputs!$B$3&gt;=117,F2298,0))/100))+MIN((Skills!S11*(1+((Inputs!$B$35+(ArtifactsInput!$M$7-ArtifactsInput!$M$7)*CHOOSE(ArtifactsInput!$N$7+1,6,7.2,8.4,9.6,10.8,12))+IF(Inputs!$B$3&gt;=117,F2298,0))/100)),MAX(0,Inputs!$B$44-((R2283-1)*Skills!D11))))/Inputs!$B$44),IF(Inputs!$B$39="pvp",MIN((Skills!S11*(1+((Inputs!$B$35+(ArtifactsInput!$M$7-ArtifactsInput!$M$7)*CHOOSE(ArtifactsInput!$N$7+1,6,7.2,8.4,9.6,10.8,12))+IF(Inputs!$B$3&gt;=117,F2298,0))/100)),15)/15,(Skills!S11*(1+((Inputs!$B$35+(ArtifactsInput!$M$7-ArtifactsInput!$M$7)*CHOOSE(ArtifactsInput!$N$7+1,6,7.2,8.4,9.6,10.8,12))+IF(Inputs!$B$3&gt;=117,F2298,0)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2286=TRUE,(1+F2286*IF(AND(Inputs!$B$39&lt;&gt;"pvp",Inputs!$B$44&gt;0),(((R2286-1)*(Skills!S14*(1+((Inputs!$B$35+(ArtifactsInput!$M$7-ArtifactsInput!$M$7)*CHOOSE(ArtifactsInput!$N$7+1,6,7.2,8.4,9.6,10.8,12))+IF(Inputs!$B$3&gt;=117,F2298,0))/100))+MIN((Skills!S14*(1+((Inputs!$B$35+(ArtifactsInput!$M$7-ArtifactsInput!$M$7)*CHOOSE(ArtifactsInput!$N$7+1,6,7.2,8.4,9.6,10.8,12))+IF(Inputs!$B$3&gt;=117,F2298,0))/100)),MAX(0,Inputs!$B$44-((R2286-1)*Skills!D14))))/Inputs!$B$44),IF(Inputs!$B$39="pvp",MIN((Skills!S14*(1+((Inputs!$B$35+(ArtifactsInput!$M$7-ArtifactsInput!$M$7)*CHOOSE(ArtifactsInput!$N$7+1,6,7.2,8.4,9.6,10.8,12))+IF(Inputs!$B$3&gt;=117,F2298,0))/100)),15)/15,(Skills!S14*(1+((Inputs!$B$35+(ArtifactsInput!$M$7-ArtifactsInput!$M$7)*CHOOSE(ArtifactsInput!$N$7+1,6,7.2,8.4,9.6,10.8,12))+IF(Inputs!$B$3&gt;=117,F2298,0))/100))/Skills!D14))/100),1)*IF(C2291=TRUE,(1+F2291*IF(AND(Inputs!$B$39&lt;&gt;"pvp",Inputs!$B$44&gt;0),(((R2291-1)*(Skills!S19*(1+((Inputs!$B$35+(ArtifactsInput!$M$7-ArtifactsInput!$M$7)*CHOOSE(ArtifactsInput!$N$7+1,6,7.2,8.4,9.6,10.8,12))+IF(Inputs!$B$3&gt;=117,F2298,0))/100))+MIN((Skills!S19*(1+((Inputs!$B$35+(ArtifactsInput!$M$7-ArtifactsInput!$M$7)*CHOOSE(ArtifactsInput!$N$7+1,6,7.2,8.4,9.6,10.8,12))+IF(Inputs!$B$3&gt;=117,F2298,0))/100)),MAX(0,Inputs!$B$44-((R2291-1)*Skills!D19))))/Inputs!$B$44),IF(Inputs!$B$39="pvp",MIN((Skills!S19*(1+((Inputs!$B$35+(ArtifactsInput!$M$7-ArtifactsInput!$M$7)*CHOOSE(ArtifactsInput!$N$7+1,6,7.2,8.4,9.6,10.8,12))+IF(Inputs!$B$3&gt;=117,F2298,0))/100)),15)/15,(Skills!S19*(1+((Inputs!$B$35+(ArtifactsInput!$M$7-ArtifactsInput!$M$7)*CHOOSE(ArtifactsInput!$N$7+1,6,7.2,8.4,9.6,10.8,12))+IF(Inputs!$B$3&gt;=117,F2298,0))/100))/Skills!D19))/100),1)</f>
        <v/>
      </c>
    </row>
    <row r="2302">
      <c r="A2302" t="inlineStr">
        <is>
          <t>Monster Damage Taken Bonus % (Holy Fountain)</t>
        </is>
      </c>
      <c r="B2302">
        <f>IF(Inputs!$B$3&gt;=68,20*IF(Inputs!$B$39="pvp",MIN((15*(1+((Inputs!$B$35+(ArtifactsInput!$M$7-ArtifactsInput!$M$7)*CHOOSE(ArtifactsInput!$N$7+1,6,7.2,8.4,9.6,10.8,12))+IF(Inputs!$B$3&gt;=117,F2298,0))/100)),15)/15,(15*(1+((Inputs!$B$35+(ArtifactsInput!$M$7-ArtifactsInput!$M$7)*CHOOSE(ArtifactsInput!$N$7+1,6,7.2,8.4,9.6,10.8,12))+IF(Inputs!$B$3&gt;=117,F2298,0))/100))/Skills!D10),0)</f>
        <v/>
      </c>
    </row>
    <row r="2303">
      <c r="A2303" t="inlineStr">
        <is>
          <t>Normal Monster Damage Bonus % (Holy Symbol)</t>
        </is>
      </c>
      <c r="B2303">
        <f>IF(C2284=TRUE,F2284*IF(AND(Inputs!$B$39&lt;&gt;"pvp",Inputs!$B$44&gt;0),(((R2284-1)*(Skills!S12*(1+((Inputs!$B$35+(ArtifactsInput!$M$7-ArtifactsInput!$M$7)*CHOOSE(ArtifactsInput!$N$7+1,6,7.2,8.4,9.6,10.8,12))+IF(Inputs!$B$3&gt;=117,F2298,0))/100))+MIN((Skills!S12*(1+((Inputs!$B$35+(ArtifactsInput!$M$7-ArtifactsInput!$M$7)*CHOOSE(ArtifactsInput!$N$7+1,6,7.2,8.4,9.6,10.8,12))+IF(Inputs!$B$3&gt;=117,F2298,0))/100)),MAX(0,Inputs!$B$44-((R2284-1)*Skills!D12))))/Inputs!$B$44),IF(Inputs!$B$39="pvp",MIN((Skills!S12*(1+((Inputs!$B$35+(ArtifactsInput!$M$7-ArtifactsInput!$M$7)*CHOOSE(ArtifactsInput!$N$7+1,6,7.2,8.4,9.6,10.8,12))+IF(Inputs!$B$3&gt;=117,F2298,0))/100)),15)/15,(Skills!S12*(1+((Inputs!$B$35+(ArtifactsInput!$M$7-ArtifactsInput!$M$7)*CHOOSE(ArtifactsInput!$N$7+1,6,7.2,8.4,9.6,10.8,12))+IF(Inputs!$B$3&gt;=117,F2298,0))/100))/Skills!D12)),0)</f>
        <v/>
      </c>
    </row>
    <row r="2304">
      <c r="A2304" t="inlineStr">
        <is>
          <t>Damage % Bonus (Holy Symbol - Damage Boost)</t>
        </is>
      </c>
      <c r="B2304">
        <f>Skills!O12</f>
        <v/>
      </c>
    </row>
    <row r="2305">
      <c r="A2305" t="inlineStr">
        <is>
          <t>Crit Damage % Bonus (Blood of the Divine)</t>
        </is>
      </c>
      <c r="B2305">
        <f>4*IF(C2292=TRUE,F2292,0)</f>
        <v/>
      </c>
    </row>
    <row r="2306">
      <c r="A2306" t="inlineStr">
        <is>
          <t>Attack Speed Bonus %</t>
        </is>
      </c>
      <c r="B2306">
        <f>IF(C2289=TRUE,F2289+(F2293-Calc!F21),0)+IF(Inputs!$B$3&gt;=134,15,0)</f>
        <v/>
      </c>
    </row>
    <row r="2307">
      <c r="A2307" t="inlineStr">
        <is>
          <t>Actions Per Second</t>
        </is>
      </c>
      <c r="B2307">
        <f>1+MIN(150,150*(1-(1-Inputs!$B$12/150)*(1-B2306/150)))/100</f>
        <v/>
      </c>
    </row>
    <row r="2308">
      <c r="A2308" t="inlineStr">
        <is>
          <t>Skill + Buff Cast Rate</t>
        </is>
      </c>
      <c r="B2308">
        <f>IF(AND(Inputs!$B$39&lt;&gt;"pvp",Inputs!$B$44&gt;0),SUMPRODUCT((Skills!E2:E27=TRUE)*(C2274:C2299=TRUE)*R2274:R2299)/Inputs!$B$44,SUMPRODUCT((Skills!E2:E27=TRUE)*(C2274:C2299=TRUE)*Q2274:Q2299))</f>
        <v/>
      </c>
    </row>
    <row r="2309">
      <c r="A2309" t="inlineStr">
        <is>
          <t>Big Bang Casts Per Second</t>
        </is>
      </c>
      <c r="B2309">
        <f>MAX(0,B2307-B2308)</f>
        <v/>
      </c>
    </row>
    <row r="2310">
      <c r="A2310" t="inlineStr">
        <is>
          <t>Defense % Bonus (Divine Protection)</t>
        </is>
      </c>
      <c r="B2310">
        <f>IF(C2285=TRUE,F2285*IF(AND(Inputs!$B$39&lt;&gt;"pvp",Inputs!$B$44&gt;0),(((R2285-1)*(Skills!S13*(1+((Inputs!$B$35+(ArtifactsInput!$M$7-ArtifactsInput!$M$7)*CHOOSE(ArtifactsInput!$N$7+1,6,7.2,8.4,9.6,10.8,12))+IF(Inputs!$B$3&gt;=117,F2298,0))/100))+MIN((Skills!S13*(1+((Inputs!$B$35+(ArtifactsInput!$M$7-ArtifactsInput!$M$7)*CHOOSE(ArtifactsInput!$N$7+1,6,7.2,8.4,9.6,10.8,12))+IF(Inputs!$B$3&gt;=117,F2298,0))/100)),MAX(0,Inputs!$B$44-((R2285-1)*Skills!D13))))/Inputs!$B$44),IF(Inputs!$B$39="pvp",MIN((Skills!S13*(1+((Inputs!$B$35+(ArtifactsInput!$M$7-ArtifactsInput!$M$7)*CHOOSE(ArtifactsInput!$N$7+1,6,7.2,8.4,9.6,10.8,12))+IF(Inputs!$B$3&gt;=117,F2298,0))/100)),15)/15,(Skills!S13*(1+((Inputs!$B$35+(ArtifactsInput!$M$7-ArtifactsInput!$M$7)*CHOOSE(ArtifactsInput!$N$7+1,6,7.2,8.4,9.6,10.8,12))+IF(Inputs!$B$3&gt;=117,F2298,0))/100))/Skills!D13)),0)</f>
        <v/>
      </c>
    </row>
    <row r="2311">
      <c r="A2311" t="inlineStr">
        <is>
          <t>Buff-Casting Startup Delay (s, fixed-duration only)</t>
        </is>
      </c>
      <c r="B2311">
        <f>IF(AND(Inputs!$B$39&lt;&gt;"pvp",Inputs!$B$44&gt;0),SUMPRODUCT((Skills!S2:S27&gt;0)*(Skills!E2:E27=TRUE)*(C2274:C2299=TRUE))/B2307,0)</f>
        <v/>
      </c>
    </row>
    <row r="2312">
      <c r="A2312" t="inlineStr">
        <is>
          <t>Boss-Only Total DPS (this block's swept value)</t>
        </is>
      </c>
      <c r="B2312">
        <f>SUM(S2274:S2299)</f>
        <v/>
      </c>
    </row>
    <row r="2313">
      <c r="A2313" t="inlineStr">
        <is>
          <t>Normal-Only Total DPS (this block's swept value)</t>
        </is>
      </c>
      <c r="B2313">
        <f>SUM(U2274:U2299)</f>
        <v/>
      </c>
    </row>
    <row r="2314">
      <c r="A2314" s="6" t="inlineStr">
        <is>
          <t>TOTAL DPS</t>
        </is>
      </c>
      <c r="B2314" s="6">
        <f>SUM(O2274:O2299)</f>
        <v/>
      </c>
    </row>
    <row r="2316">
      <c r="A2316" s="6" t="inlineStr">
        <is>
          <t>Stat: Icy Soul Rock (Equip)</t>
        </is>
      </c>
    </row>
    <row r="2317">
      <c r="A2317" s="5" t="inlineStr">
        <is>
          <t>Key</t>
        </is>
      </c>
      <c r="B2317" s="5" t="inlineStr">
        <is>
          <t>Name</t>
        </is>
      </c>
      <c r="C2317" s="5" t="inlineStr">
        <is>
          <t>Unlocked</t>
        </is>
      </c>
      <c r="D2317" s="5" t="inlineStr">
        <is>
          <t>InputLevel</t>
        </is>
      </c>
      <c r="E2317" s="5" t="inlineStr">
        <is>
          <t>Factor</t>
        </is>
      </c>
      <c r="F2317" s="5" t="inlineStr">
        <is>
          <t>CoefficientPercent</t>
        </is>
      </c>
      <c r="G2317" s="5" t="inlineStr">
        <is>
          <t>EffectiveHits</t>
        </is>
      </c>
      <c r="H2317" s="5" t="inlineStr">
        <is>
          <t>ProcProbability</t>
        </is>
      </c>
      <c r="I2317" s="5" t="inlineStr">
        <is>
          <t>MapleHeroMultiplier</t>
        </is>
      </c>
      <c r="J2317" s="5" t="inlineStr">
        <is>
          <t>BaseDamage</t>
        </is>
      </c>
      <c r="K2317" s="5" t="inlineStr">
        <is>
          <t>BaseHitDamage</t>
        </is>
      </c>
      <c r="L2317" s="5" t="inlineStr">
        <is>
          <t>NonCritAvg</t>
        </is>
      </c>
      <c r="M2317" s="5" t="inlineStr">
        <is>
          <t>CritAvg</t>
        </is>
      </c>
      <c r="N2317" s="5" t="inlineStr">
        <is>
          <t>ExpectedDamage(perHit)</t>
        </is>
      </c>
      <c r="O2317" s="5" t="inlineStr">
        <is>
          <t>DPS</t>
        </is>
      </c>
      <c r="P2317" s="5" t="inlineStr">
        <is>
          <t>% of Total</t>
        </is>
      </c>
      <c r="R2317" t="inlineStr">
        <is>
          <t>helpers</t>
        </is>
      </c>
    </row>
    <row r="2318">
      <c r="A2318">
        <f>Skills!A2</f>
        <v/>
      </c>
      <c r="B2318">
        <f>Skills!B2</f>
        <v/>
      </c>
      <c r="C2318">
        <f>Inputs!$B$3&gt;=100</f>
        <v/>
      </c>
      <c r="D2318" t="inlineStr"/>
      <c r="E2318" t="inlineStr"/>
      <c r="F2318">
        <f>T2320+Skills!N2</f>
        <v/>
      </c>
      <c r="G2318">
        <f>Calc!G2</f>
        <v/>
      </c>
      <c r="H2318">
        <f>Calc!H2</f>
        <v/>
      </c>
      <c r="I2318">
        <f>IF(Skills!T2&lt;&gt;"",1+(Skills!T2/10)*($Z$3/1000)/100,1)</f>
        <v/>
      </c>
      <c r="J2318">
        <f>((Inputs!$B$6*(1+Inputs!$B$7/100))+(((Inputs!$B$13*(1+Inputs!$B$14/100))-(Inputs!$B$13*(1+Inputs!$B$14/100)))+0.25*(Inputs!$B$15-Inputs!$B$15))*(1+Inputs!$B$7/100))*(F2318/100)</f>
        <v/>
      </c>
      <c r="K2318">
        <f>J2318*(1+(((Inputs!$B$13+IF(Inputs!$B$3&gt;=35,(10*INDEX(FactorTable!$B$2:$Y$301,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2="TRIUMPH_FEATHER",IF(C2332=TRUE,F2332,0),0)/100)*(1+IF(C2343=TRUE,F2343,0)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2318)</f>
        <v/>
      </c>
      <c r="L2318">
        <f>K2318*(MIN(Inputs!$B$23+(F2338-Calc!F22),(Inputs!$B$24+IF(ArtifactsInput!$M$15,CHOOSE(ArtifactsInput!$N$15+1,25,30,35,40,45,50)/100*(Inputs!$B$12-Inputs!$B$12),0)))/100+(Inputs!$B$24+IF(ArtifactsInput!$M$15,CHOOSE(ArtifactsInput!$N$15+1,25,30,35,40,45,50)/100*(Inputs!$B$12-Inputs!$B$12),0))/100)/2</f>
        <v/>
      </c>
      <c r="M2318">
        <f>L2318*(1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18">
        <f>L2318*(1-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2318*(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8">
        <f>(1-Summary!$B$11)*S2318+Summary!$B$11*U2318</f>
        <v/>
      </c>
      <c r="P2318">
        <f>IF(B2358=0,0,O2318/B2358)</f>
        <v/>
      </c>
      <c r="Q2318">
        <f>IFERROR(1/(IF(Inputs!$B$39="pvp",15,MAX(0.1,Skills!D2-IF(Skills!E2=TRUE,Inputs!$B$33,0)))*(1-IF(AND(ArtifactsInput!$M$27,Inputs!$B$4="Chapter Hunt"),CHOOSE(ArtifactsInput!$N$27+1,20,24,28,32,36,40),0)/100)),0)</f>
        <v/>
      </c>
      <c r="R2318" t="n">
        <v>0</v>
      </c>
      <c r="S2318">
        <f>IF(C2318,(Skills!F2*N2318*B2353)*IF(Inputs!$B$39="pvp",1,1+(Inputs!$B$21+Skills!O2+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2318*(1-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2318*(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2318*(1-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2318*(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18">
        <f>MAX(0,(Inputs!$B$3-100)*3)+Inputs!$B$29+Inputs!$B$30</f>
        <v/>
      </c>
      <c r="U2318">
        <f>IF(C2318,(Skills!F2*N2318*B2353)*IF(Inputs!$B$39="pvp",1,(1+(Inputs!$B$22+Skills!P2+B2347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9">
      <c r="A2319">
        <f>Skills!A3</f>
        <v/>
      </c>
      <c r="B2319">
        <f>Skills!B3</f>
        <v/>
      </c>
      <c r="C2319">
        <f>Inputs!$B$3&gt;=15</f>
        <v/>
      </c>
      <c r="D2319">
        <f>IF(Skills!C3=1,60+Inputs!$B$26+Inputs!$B$30,IF(Skills!C3=2,90+Inputs!$B$27+Inputs!$B$30,IF(Skills!C3=3,120+Inputs!$B$28+Inputs!$B$30,MAX(0,(Inputs!$B$3-100)*3)+Inputs!$B$29+Inputs!$B$30)))</f>
        <v/>
      </c>
      <c r="E2319">
        <f>INDEX(FactorTable!$B$2:$Y$301, MATCH(ROUND(MIN(300,MAX(1,D2319)),0), FactorTable!$A$2:$A$301,0), Skills!L3+1)</f>
        <v/>
      </c>
      <c r="F2319">
        <f>IF(Skills!M3=TRUE,(Skills!K3/10)*(E2319/1000),Skills!K3/10)+Skills!N3</f>
        <v/>
      </c>
      <c r="G2319">
        <f>Calc!G3</f>
        <v/>
      </c>
      <c r="H2319">
        <f>Calc!H3</f>
        <v/>
      </c>
      <c r="I2319">
        <f>IF(Skills!T3&lt;&gt;"",1+(Skills!T3/10)*($Z$3/1000)/100,1)</f>
        <v/>
      </c>
      <c r="J2319" t="inlineStr"/>
      <c r="K2319" t="inlineStr"/>
      <c r="L2319" t="inlineStr"/>
      <c r="M2319" t="inlineStr"/>
      <c r="N2319" t="inlineStr"/>
      <c r="O2319">
        <f>(1-Summary!$B$11)*S2319+Summary!$B$11*U2319</f>
        <v/>
      </c>
      <c r="P2319">
        <f>IF(B2358=0,0,O2319/B2358)</f>
        <v/>
      </c>
      <c r="Q2319">
        <f>IFERROR(1/(IF(Inputs!$B$39="pvp",15,MAX(0.1,Skills!D3-IF(Skills!E3=TRUE,Inputs!$B$33,0)))*(1-IF(AND(ArtifactsInput!$M$27,Inputs!$B$4="Chapter Hunt"),CHOOSE(ArtifactsInput!$N$27+1,20,24,28,32,36,40),0)/100)),0)</f>
        <v/>
      </c>
      <c r="R2319">
        <f>IF(AND(Inputs!$B$39&lt;&gt;"pvp",Inputs!$B$44&gt;0),IF(Inputs!$B$44&lt;=0,0,(INT(Inputs!$B$44/(IF(Inputs!$B$39="pvp",15,MAX(0.1,Skills!D3-IF(Skills!E3=TRUE,Inputs!$B$33,0)))*(1-IF(AND(ArtifactsInput!$M$27,Inputs!$B$4="Chapter Hunt"),CHOOSE(ArtifactsInput!$N$27+1,20,24,28,32,36,40),0)/100)))+1)),0)</f>
        <v/>
      </c>
      <c r="S2319" t="n">
        <v>0</v>
      </c>
      <c r="T2319">
        <f>INDEX(FactorTable!$B$2:$Y$301, MATCH(ROUND(MIN(300,MAX(1,T2318)),0), FactorTable!$A$2:$A$301,0), 22)</f>
        <v/>
      </c>
      <c r="U2319" t="n">
        <v>0</v>
      </c>
    </row>
    <row r="2320">
      <c r="A2320">
        <f>Skills!A4</f>
        <v/>
      </c>
      <c r="B2320">
        <f>Skills!B4</f>
        <v/>
      </c>
      <c r="C2320">
        <f>Inputs!$B$3&gt;=38</f>
        <v/>
      </c>
      <c r="D2320">
        <f>IF(Skills!C4=1,60+Inputs!$B$26+Inputs!$B$30,IF(Skills!C4=2,90+Inputs!$B$27+Inputs!$B$30,IF(Skills!C4=3,120+Inputs!$B$28+Inputs!$B$30,MAX(0,(Inputs!$B$3-100)*3)+Inputs!$B$29+Inputs!$B$30)))</f>
        <v/>
      </c>
      <c r="E2320">
        <f>INDEX(FactorTable!$B$2:$Y$301, MATCH(ROUND(MIN(300,MAX(1,D2320)),0), FactorTable!$A$2:$A$301,0), Skills!L4+1)</f>
        <v/>
      </c>
      <c r="F2320">
        <f>IF(Skills!M4=TRUE,(Skills!K4/10)*(E2320/1000),Skills!K4/10)+Skills!N4</f>
        <v/>
      </c>
      <c r="G2320">
        <f>Calc!G4</f>
        <v/>
      </c>
      <c r="H2320">
        <f>Calc!H4</f>
        <v/>
      </c>
      <c r="I2320">
        <f>IF(Skills!T4&lt;&gt;"",1+(Skills!T4/10)*($Z$3/1000)/100,1)</f>
        <v/>
      </c>
      <c r="J2320" t="inlineStr"/>
      <c r="K2320" t="inlineStr"/>
      <c r="L2320" t="inlineStr"/>
      <c r="M2320" t="inlineStr"/>
      <c r="N2320" t="inlineStr"/>
      <c r="O2320">
        <f>(1-Summary!$B$11)*S2320+Summary!$B$11*U2320</f>
        <v/>
      </c>
      <c r="P2320">
        <f>IF(B2358=0,0,O2320/B2358)</f>
        <v/>
      </c>
      <c r="Q2320">
        <f>IFERROR(1/(IF(Inputs!$B$39="pvp",15,MAX(0.1,Skills!D4-IF(Skills!E4=TRUE,Inputs!$B$33,0)))*(1-IF(AND(ArtifactsInput!$M$27,Inputs!$B$4="Chapter Hunt"),CHOOSE(ArtifactsInput!$N$27+1,20,24,28,32,36,40),0)/100)),0)</f>
        <v/>
      </c>
      <c r="R2320">
        <f>IF(AND(Inputs!$B$39&lt;&gt;"pvp",Inputs!$B$44&gt;0),IF(Inputs!$B$44&lt;=0,0,(INT(Inputs!$B$44/(IF(Inputs!$B$39="pvp",15,MAX(0.1,Skills!D4-IF(Skills!E4=TRUE,Inputs!$B$33,0)))*(1-IF(AND(ArtifactsInput!$M$27,Inputs!$B$4="Chapter Hunt"),CHOOSE(ArtifactsInput!$N$27+1,20,24,28,32,36,40),0)/100)))+1)),0)</f>
        <v/>
      </c>
      <c r="S2320" t="n">
        <v>0</v>
      </c>
      <c r="T2320">
        <f>290*T2319/1000</f>
        <v/>
      </c>
      <c r="U2320" t="n">
        <v>0</v>
      </c>
    </row>
    <row r="2321">
      <c r="A2321">
        <f>Skills!A5</f>
        <v/>
      </c>
      <c r="B2321">
        <f>Skills!B5</f>
        <v/>
      </c>
      <c r="C2321">
        <f>Inputs!$B$3&gt;=40</f>
        <v/>
      </c>
      <c r="D2321">
        <f>IF(Skills!C5=1,60+Inputs!$B$26+Inputs!$B$30,IF(Skills!C5=2,90+Inputs!$B$27+Inputs!$B$30,IF(Skills!C5=3,120+Inputs!$B$28+Inputs!$B$30,MAX(0,(Inputs!$B$3-100)*3)+Inputs!$B$29+Inputs!$B$30)))</f>
        <v/>
      </c>
      <c r="E2321">
        <f>INDEX(FactorTable!$B$2:$Y$301, MATCH(ROUND(MIN(300,MAX(1,D2321)),0), FactorTable!$A$2:$A$301,0), Skills!L5+1)</f>
        <v/>
      </c>
      <c r="F2321">
        <f>IF(Skills!M5=TRUE,(Skills!K5/10)*(E2321/1000),Skills!K5/10)+Skills!N5</f>
        <v/>
      </c>
      <c r="G2321">
        <f>Calc!G5</f>
        <v/>
      </c>
      <c r="H2321">
        <f>Calc!H5</f>
        <v/>
      </c>
      <c r="I2321">
        <f>IF(Skills!T5&lt;&gt;"",1+(Skills!T5/10)*($Z$3/1000)/100,1)</f>
        <v/>
      </c>
      <c r="J2321" t="inlineStr"/>
      <c r="K2321" t="inlineStr"/>
      <c r="L2321" t="inlineStr"/>
      <c r="M2321" t="inlineStr"/>
      <c r="N2321" t="inlineStr"/>
      <c r="O2321">
        <f>(1-Summary!$B$11)*S2321+Summary!$B$11*U2321</f>
        <v/>
      </c>
      <c r="P2321">
        <f>IF(B2358=0,0,O2321/B2358)</f>
        <v/>
      </c>
      <c r="Q2321">
        <f>IFERROR(1/(IF(Inputs!$B$39="pvp",15,MAX(0.1,Skills!D5-IF(Skills!E5=TRUE,Inputs!$B$33,0)))*(1-IF(AND(ArtifactsInput!$M$27,Inputs!$B$4="Chapter Hunt"),CHOOSE(ArtifactsInput!$N$27+1,20,24,28,32,36,40),0)/100)),0)</f>
        <v/>
      </c>
      <c r="R2321">
        <f>IF(AND(Inputs!$B$39&lt;&gt;"pvp",Inputs!$B$44&gt;0),IF(Inputs!$B$44&lt;=0,0,(INT(Inputs!$B$44/(IF(Inputs!$B$39="pvp",15,MAX(0.1,Skills!D5-IF(Skills!E5=TRUE,Inputs!$B$33,0)))*(1-IF(AND(ArtifactsInput!$M$27,Inputs!$B$4="Chapter Hunt"),CHOOSE(ArtifactsInput!$N$27+1,20,24,28,32,36,40),0)/100)))+1)),0)</f>
        <v/>
      </c>
      <c r="S2321" t="n">
        <v>0</v>
      </c>
      <c r="U2321" t="n">
        <v>0</v>
      </c>
    </row>
    <row r="2322">
      <c r="A2322">
        <f>Skills!A6</f>
        <v/>
      </c>
      <c r="B2322">
        <f>Skills!B6</f>
        <v/>
      </c>
      <c r="C2322">
        <f>Inputs!$B$3&gt;=103</f>
        <v/>
      </c>
      <c r="D2322">
        <f>IF(Skills!C6=1,60+Inputs!$B$26+Inputs!$B$30,IF(Skills!C6=2,90+Inputs!$B$27+Inputs!$B$30,IF(Skills!C6=3,120+Inputs!$B$28+Inputs!$B$30,MAX(0,(Inputs!$B$3-100)*3)+Inputs!$B$29+Inputs!$B$30)))</f>
        <v/>
      </c>
      <c r="E2322">
        <f>INDEX(FactorTable!$B$2:$Y$301, MATCH(ROUND(MIN(300,MAX(1,D2322)),0), FactorTable!$A$2:$A$301,0), Skills!L6+1)</f>
        <v/>
      </c>
      <c r="F2322">
        <f>IF(Skills!M6=TRUE,(Skills!K6/10)*(E2322/1000),Skills!K6/10)+Skills!N6</f>
        <v/>
      </c>
      <c r="G2322">
        <f>Calc!G6</f>
        <v/>
      </c>
      <c r="H2322">
        <f>Calc!H6</f>
        <v/>
      </c>
      <c r="I2322">
        <f>IF(Skills!T6&lt;&gt;"",1+(Skills!T6/10)*($Z$3/1000)/100,1)</f>
        <v/>
      </c>
      <c r="J2322">
        <f>((Inputs!$B$6*(1+Inputs!$B$7/100))+(((Inputs!$B$13*(1+Inputs!$B$14/100))-(Inputs!$B$13*(1+Inputs!$B$14/100)))+0.25*(Inputs!$B$15-Inputs!$B$15))*(1+Inputs!$B$7/100))*(F2322/100)</f>
        <v/>
      </c>
      <c r="K2322">
        <f>J2322*(1+(((Inputs!$B$13+IF(Inputs!$B$3&gt;=35,(10*INDEX(FactorTable!$B$2:$Y$301,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6="TRIUMPH_FEATHER",IF(C2332=TRUE,F2332,0),0)/100)*(1+IF(C2343=TRUE,F2343,0)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2322)</f>
        <v/>
      </c>
      <c r="L2322">
        <f>K2322*(MIN(Inputs!$B$23+(F2338-Calc!F22),(Inputs!$B$24+IF(ArtifactsInput!$M$15,CHOOSE(ArtifactsInput!$N$15+1,25,30,35,40,45,50)/100*(Inputs!$B$12-Inputs!$B$12),0)))/100+(Inputs!$B$24+IF(ArtifactsInput!$M$15,CHOOSE(ArtifactsInput!$N$15+1,25,30,35,40,45,50)/100*(Inputs!$B$12-Inputs!$B$12),0))/100)/2</f>
        <v/>
      </c>
      <c r="M2322">
        <f>L2322*(1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2">
        <f>L2322*(1-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2322*(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2">
        <f>(1-Summary!$B$11)*S2322+Summary!$B$11*U2322</f>
        <v/>
      </c>
      <c r="P2322">
        <f>IF(B2358=0,0,O2322/B2358)</f>
        <v/>
      </c>
      <c r="Q2322">
        <f>IFERROR(1/(IF(Inputs!$B$39="pvp",15,MAX(0.1,Skills!D6-IF(Skills!E6=TRUE,Inputs!$B$33,0)))*(1-IF(AND(ArtifactsInput!$M$27,Inputs!$B$4="Chapter Hunt"),CHOOSE(ArtifactsInput!$N$27+1,20,24,28,32,36,40),0)/100)),0)</f>
        <v/>
      </c>
      <c r="R2322">
        <f>IF(AND(Inputs!$B$39&lt;&gt;"pvp",Inputs!$B$44&gt;0),IF(MAX(0,Inputs!$B$44-B2355)&lt;=0,0,(INT(MAX(0,Inputs!$B$44-B2355)/(IF(Inputs!$B$39="pvp",15,MAX(0.1,Skills!D6-IF(Skills!E6=TRUE,Inputs!$B$33,0)))*(1-IF(AND(ArtifactsInput!$M$27,Inputs!$B$4="Chapter Hunt"),CHOOSE(ArtifactsInput!$N$27+1,20,24,28,32,36,40),0)/100)))+1)),0)</f>
        <v/>
      </c>
      <c r="S2322">
        <f>IF(C2322,(H2322*N2322*IF(AND(Inputs!$B$39&lt;&gt;"pvp",Inputs!$B$44&gt;0),((Skills!F6*((R2322-1)*IF(Skills!G6&gt;0,Skills!H6/Skills!G6,1)+IF(Skills!G6&gt;0,MIN(Skills!H6,MAX(0,MAX(0,Inputs!$B$44-B2355)-((R2322-1)*(IF(Inputs!$B$39="pvp",15,MAX(0.1,Skills!D6-IF(Skills!E6=TRUE,Inputs!$B$33,0)))*(1-IF(AND(ArtifactsInput!$M$27,Inputs!$B$4="Chapter Hunt"),CHOOSE(ArtifactsInput!$N$27+1,20,24,28,32,36,40),0)/100)))))/Skills!G6,1)))/Inputs!$B$44),G2322*Q2322))*IF(Inputs!$B$39="pvp",1,1+(Inputs!$B$21+Skills!O6+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2322*(1-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2322*(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2322*(1-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2322*(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2">
        <f>IF(C2322,(H2322*N2322*IF(AND(Inputs!$B$39&lt;&gt;"pvp",Inputs!$B$44&gt;0),((Skills!F6*((R2322-1)*IF(Skills!G6&gt;0,Skills!H6/Skills!G6,1)+IF(Skills!G6&gt;0,MIN(Skills!H6,MAX(0,MAX(0,Inputs!$B$44-B2355)-((R2322-1)*(IF(Inputs!$B$39="pvp",15,MAX(0.1,Skills!D6-IF(Skills!E6=TRUE,Inputs!$B$33,0)))*(1-IF(AND(ArtifactsInput!$M$27,Inputs!$B$4="Chapter Hunt"),CHOOSE(ArtifactsInput!$N$27+1,20,24,28,32,36,40),0)/100)))))/Skills!G6,1)))/Inputs!$B$44),G2322*Q2322))*IF(Inputs!$B$39="pvp",1,(1+(Inputs!$B$22+Skills!P6+B2347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3">
      <c r="A2323">
        <f>Skills!A7</f>
        <v/>
      </c>
      <c r="B2323">
        <f>Skills!B7</f>
        <v/>
      </c>
      <c r="C2323">
        <f>Inputs!$B$3&gt;=122</f>
        <v/>
      </c>
      <c r="D2323">
        <f>IF(Skills!C7=1,60+Inputs!$B$26+Inputs!$B$30,IF(Skills!C7=2,90+Inputs!$B$27+Inputs!$B$30,IF(Skills!C7=3,120+Inputs!$B$28+Inputs!$B$30,MAX(0,(Inputs!$B$3-100)*3)+Inputs!$B$29+Inputs!$B$30)))</f>
        <v/>
      </c>
      <c r="E2323">
        <f>INDEX(FactorTable!$B$2:$Y$301, MATCH(ROUND(MIN(300,MAX(1,D2323)),0), FactorTable!$A$2:$A$301,0), Skills!L7+1)</f>
        <v/>
      </c>
      <c r="F2323">
        <f>IF(Skills!M7=TRUE,(Skills!K7/10)*(E2323/1000),Skills!K7/10)+Skills!N7</f>
        <v/>
      </c>
      <c r="G2323">
        <f>Calc!G7</f>
        <v/>
      </c>
      <c r="H2323">
        <f>Calc!H7</f>
        <v/>
      </c>
      <c r="I2323">
        <f>IF(Skills!T7&lt;&gt;"",1+(Skills!T7/10)*($Z$3/1000)/100,1)</f>
        <v/>
      </c>
      <c r="J2323">
        <f>((Inputs!$B$6*(1+Inputs!$B$7/100))+(((Inputs!$B$13*(1+Inputs!$B$14/100))-(Inputs!$B$13*(1+Inputs!$B$14/100)))+0.25*(Inputs!$B$15-Inputs!$B$15))*(1+Inputs!$B$7/100))*(F2323/100)</f>
        <v/>
      </c>
      <c r="K2323">
        <f>J2323*(1+(((Inputs!$B$13+IF(Inputs!$B$3&gt;=35,(10*INDEX(FactorTable!$B$2:$Y$301,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7="TRIUMPH_FEATHER",IF(C2332=TRUE,F2332,0),0)/100)*(1+IF(C2343=TRUE,F2343,0)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2323)</f>
        <v/>
      </c>
      <c r="L2323">
        <f>K2323*(MIN(Inputs!$B$23+(F2338-Calc!F22),(Inputs!$B$24+IF(ArtifactsInput!$M$15,CHOOSE(ArtifactsInput!$N$15+1,25,30,35,40,45,50)/100*(Inputs!$B$12-Inputs!$B$12),0)))/100+(Inputs!$B$24+IF(ArtifactsInput!$M$15,CHOOSE(ArtifactsInput!$N$15+1,25,30,35,40,45,50)/100*(Inputs!$B$12-Inputs!$B$12),0))/100)/2</f>
        <v/>
      </c>
      <c r="M2323">
        <f>L2323*(1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3">
        <f>L2323*(1-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2323*(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3">
        <f>(1-Summary!$B$11)*S2323+Summary!$B$11*U2323</f>
        <v/>
      </c>
      <c r="P2323">
        <f>IF(B2358=0,0,O2323/B2358)</f>
        <v/>
      </c>
      <c r="Q2323">
        <f>IFERROR(1/(IF(Inputs!$B$39="pvp",15,MAX(0.1,Skills!D7-IF(Skills!E6=TRUE,Inputs!$B$33,0)))*(1-IF(AND(ArtifactsInput!$M$27,Inputs!$B$4="Chapter Hunt"),CHOOSE(ArtifactsInput!$N$27+1,20,24,28,32,36,40),0)/100)),0)</f>
        <v/>
      </c>
      <c r="R2323">
        <f>IF(AND(Inputs!$B$39&lt;&gt;"pvp",Inputs!$B$44&gt;0),IF(MAX(0,Inputs!$B$44-B2355)&lt;=0,0,(INT(MAX(0,Inputs!$B$44-B2355)/(IF(Inputs!$B$39="pvp",15,MAX(0.1,Skills!D7-IF(Skills!E6=TRUE,Inputs!$B$33,0)))*(1-IF(AND(ArtifactsInput!$M$27,Inputs!$B$4="Chapter Hunt"),CHOOSE(ArtifactsInput!$N$27+1,20,24,28,32,36,40),0)/100)))+1)),0)</f>
        <v/>
      </c>
      <c r="S2323">
        <f>IF(C2323,H2323*N2323*IF(AND(Inputs!$B$39&lt;&gt;"pvp",Inputs!$B$44&gt;0),((Skills!F7*((R2323-1)*IF(Skills!G7&gt;0,Skills!H7/Skills!G7,1)+IF(Skills!G7&gt;0,MIN(Skills!H7,MAX(0,MAX(0,Inputs!$B$44-B2355)-((R2323-1)*(IF(Inputs!$B$39="pvp",15,MAX(0.1,Skills!D7-IF(Skills!E6=TRUE,Inputs!$B$33,0)))*(1-IF(AND(ArtifactsInput!$M$27,Inputs!$B$4="Chapter Hunt"),CHOOSE(ArtifactsInput!$N$27+1,20,24,28,32,36,40),0)/100)))))/Skills!G7,1)))/Inputs!$B$44),G2323*Q2323)*IF(Inputs!$B$39="pvp",1,1+(Inputs!$B$21+Skills!O7+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2323*(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2323*(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3" t="n">
        <v>0</v>
      </c>
    </row>
    <row r="2324">
      <c r="A2324">
        <f>Skills!A8</f>
        <v/>
      </c>
      <c r="B2324">
        <f>Skills!B8</f>
        <v/>
      </c>
      <c r="C2324">
        <f>Inputs!$B$3&gt;=105</f>
        <v/>
      </c>
      <c r="D2324">
        <f>IF(Skills!C8=1,60+Inputs!$B$26+Inputs!$B$30,IF(Skills!C8=2,90+Inputs!$B$27+Inputs!$B$30,IF(Skills!C8=3,120+Inputs!$B$28+Inputs!$B$30,MAX(0,(Inputs!$B$3-100)*3)+Inputs!$B$29+Inputs!$B$30)))</f>
        <v/>
      </c>
      <c r="E2324">
        <f>INDEX(FactorTable!$B$2:$Y$301, MATCH(ROUND(MIN(300,MAX(1,D2324)),0), FactorTable!$A$2:$A$301,0), Skills!L8+1)</f>
        <v/>
      </c>
      <c r="F2324">
        <f>IF(Skills!M8=TRUE,(Skills!K8/10)*(E2324/1000),Skills!K8/10)+Skills!N8</f>
        <v/>
      </c>
      <c r="G2324">
        <f>Calc!G8</f>
        <v/>
      </c>
      <c r="H2324">
        <f>Calc!H8</f>
        <v/>
      </c>
      <c r="I2324">
        <f>IF(Skills!T8&lt;&gt;"",1+(Skills!T8/10)*($Z$3/1000)/100,1)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8="TRIUMPH_FEATHER",IF(C2332=TRUE,F2332,0),0)/100)*(1+IF(C2343=TRUE,F2343,0)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2324)</f>
        <v/>
      </c>
      <c r="L2324">
        <f>K2324*(MIN(Inputs!$B$23+(F2338-Calc!F22),(Inputs!$B$24+IF(ArtifactsInput!$M$15,CHOOSE(ArtifactsInput!$N$15+1,25,30,35,40,45,50)/100*(Inputs!$B$12-Inputs!$B$12),0)))/100+(Inputs!$B$24+IF(ArtifactsInput!$M$15,CHOOSE(ArtifactsInput!$N$15+1,25,30,35,40,45,50)/100*(Inputs!$B$12-Inputs!$B$12),0))/100)/2</f>
        <v/>
      </c>
      <c r="M2324">
        <f>L2324*(1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4">
        <f>L2324*(1-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IF(B2358=0,0,O2324/B2358)</f>
        <v/>
      </c>
      <c r="Q2324">
        <f>IFERROR(1/(IF(Inputs!$B$39="pvp",15,MAX(0.1,Skills!D8-IF(Skills!E8=TRUE,Inputs!$B$33,0)))*(1-IF(AND(ArtifactsInput!$M$27,Inputs!$B$4="Chapter Hunt"),CHOOSE(ArtifactsInput!$N$27+1,20,24,28,32,36,40),0)/100)),0)</f>
        <v/>
      </c>
      <c r="R2324">
        <f>IF(AND(Inputs!$B$39&lt;&gt;"pvp",Inputs!$B$44&gt;0),IF(MAX(0,Inputs!$B$44-B2355)&lt;=0,0,(INT(MAX(0,Inputs!$B$44-B2355)/(IF(Inputs!$B$39="pvp",15,MAX(0.1,Skills!D8-IF(Skills!E8=TRUE,Inputs!$B$33,0)))*(1-IF(AND(ArtifactsInput!$M$27,Inputs!$B$4="Chapter Hunt"),CHOOSE(ArtifactsInput!$N$27+1,20,24,28,32,36,40),0)/100)))+1)),0)</f>
        <v/>
      </c>
      <c r="S2324">
        <f>IF(C2324,(H2324*N2324*IF(AND(Inputs!$B$39&lt;&gt;"pvp",Inputs!$B$44&gt;0),((Skills!F8*((R2324-1)*IF(Skills!G8&gt;0,Skills!H8/Skills!G8,1)+IF(Skills!G8&gt;0,MIN(Skills!H8,MAX(0,MAX(0,Inputs!$B$44-B2355)-((R2324-1)*(IF(Inputs!$B$39="pvp",15,MAX(0.1,Skills!D8-IF(Skills!E8=TRUE,Inputs!$B$33,0)))*(1-IF(AND(ArtifactsInput!$M$27,Inputs!$B$4="Chapter Hunt"),CHOOSE(ArtifactsInput!$N$27+1,20,24,28,32,36,40),0)/100)))))/Skills!G8,1)))/Inputs!$B$44),G2324*Q2324))*IF(Inputs!$B$39="pvp",1,1+(Inputs!$B$21+Skills!O8+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4">
        <f>IF(C2324,(H2324*N2324*IF(AND(Inputs!$B$39&lt;&gt;"pvp",Inputs!$B$44&gt;0),((Skills!F8*((R2324-1)*IF(Skills!G8&gt;0,Skills!H8/Skills!G8,1)+IF(Skills!G8&gt;0,MIN(Skills!H8,MAX(0,MAX(0,Inputs!$B$44-B2355)-((R2324-1)*(IF(Inputs!$B$39="pvp",15,MAX(0.1,Skills!D8-IF(Skills!E8=TRUE,Inputs!$B$33,0)))*(1-IF(AND(ArtifactsInput!$M$27,Inputs!$B$4="Chapter Hunt"),CHOOSE(ArtifactsInput!$N$27+1,20,24,28,32,36,40),0)/100)))))/Skills!G8,1)))/Inputs!$B$44),G2324*Q2324))*IF(Inputs!$B$39="pvp",1,(1+(Inputs!$B$22+Skills!P8+B2347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Skills!A9</f>
        <v/>
      </c>
      <c r="B2325">
        <f>Skills!B9</f>
        <v/>
      </c>
      <c r="C2325">
        <f>Inputs!$B$3&gt;=115</f>
        <v/>
      </c>
      <c r="D2325">
        <f>IF(Skills!C9=1,60+Inputs!$B$26+Inputs!$B$30,IF(Skills!C9=2,90+Inputs!$B$27+Inputs!$B$30,IF(Skills!C9=3,120+Inputs!$B$28+Inputs!$B$30,MAX(0,(Inputs!$B$3-100)*3)+Inputs!$B$29+Inputs!$B$30)))</f>
        <v/>
      </c>
      <c r="E2325">
        <f>INDEX(FactorTable!$B$2:$Y$301, MATCH(ROUND(MIN(300,MAX(1,D2325)),0), FactorTable!$A$2:$A$301,0), Skills!L9+1)</f>
        <v/>
      </c>
      <c r="F2325">
        <f>IF(Skills!M9=TRUE,(Skills!K9/10)*(E2325/1000),Skills!K9/10)+Skills!N9</f>
        <v/>
      </c>
      <c r="G2325">
        <f>Calc!G9</f>
        <v/>
      </c>
      <c r="H2325">
        <f>Calc!H9</f>
        <v/>
      </c>
      <c r="I2325">
        <f>IF(Skills!T9&lt;&gt;"",1+(Skills!T9/10)*($Z$3/1000)/100,1)</f>
        <v/>
      </c>
      <c r="J2325">
        <f>((Inputs!$B$6*(1+Inputs!$B$7/100))+(((Inputs!$B$13*(1+Inputs!$B$14/100))-(Inputs!$B$13*(1+Inputs!$B$14/100)))+0.25*(Inputs!$B$15-Inputs!$B$15))*(1+Inputs!$B$7/100))*(F2325/100)</f>
        <v/>
      </c>
      <c r="K2325">
        <f>J2325*(1+(((Inputs!$B$13+IF(Inputs!$B$3&gt;=35,(10*INDEX(FactorTable!$B$2:$Y$301,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9="TRIUMPH_FEATHER",IF(C2332=TRUE,F2332,0),0)/100)*(1+IF(C2343=TRUE,F2343,0)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2325)</f>
        <v/>
      </c>
      <c r="L2325">
        <f>K2325*(MIN(Inputs!$B$23+(F2338-Calc!F22),(Inputs!$B$24+IF(ArtifactsInput!$M$15,CHOOSE(ArtifactsInput!$N$15+1,25,30,35,40,45,50)/100*(Inputs!$B$12-Inputs!$B$12),0)))/100+(Inputs!$B$24+IF(ArtifactsInput!$M$15,CHOOSE(ArtifactsInput!$N$15+1,25,30,35,40,45,50)/100*(Inputs!$B$12-Inputs!$B$12),0))/100)/2</f>
        <v/>
      </c>
      <c r="M2325">
        <f>L2325*(1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5">
        <f>L2325*(1-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2325*(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5">
        <f>(1-Summary!$B$11)*S2325+Summary!$B$11*U2325</f>
        <v/>
      </c>
      <c r="P2325">
        <f>IF(B2358=0,0,O2325/B2358)</f>
        <v/>
      </c>
      <c r="Q2325">
        <f>IFERROR(1/(IF(Inputs!$B$39="pvp",15,MAX(0.1,Skills!D9-IF(Skills!E9=TRUE,Inputs!$B$33,0)))*(1-IF(AND(ArtifactsInput!$M$27,Inputs!$B$4="Chapter Hunt"),CHOOSE(ArtifactsInput!$N$27+1,20,24,28,32,36,40),0)/100)),0)</f>
        <v/>
      </c>
      <c r="R2325">
        <f>IF(AND(Inputs!$B$39&lt;&gt;"pvp",Inputs!$B$44&gt;0),IF(MAX(0,Inputs!$B$44-B2355)&lt;=0,0,(INT(MAX(0,Inputs!$B$44-B2355)/(IF(Inputs!$B$39="pvp",15,MAX(0.1,Skills!D9-IF(Skills!E9=TRUE,Inputs!$B$33,0)))*(1-IF(AND(ArtifactsInput!$M$27,Inputs!$B$4="Chapter Hunt"),CHOOSE(ArtifactsInput!$N$27+1,20,24,28,32,36,40),0)/100)))+1)),0)</f>
        <v/>
      </c>
      <c r="S2325">
        <f>IF(C2325,(H2325*N2325*IF(AND(Inputs!$B$39&lt;&gt;"pvp",Inputs!$B$44&gt;0),((Skills!F9*((R2325-1)*IF(Skills!G9&gt;0,Skills!H9/Skills!G9,1)+IF(Skills!G9&gt;0,MIN(Skills!H9,MAX(0,MAX(0,Inputs!$B$44-B2355)-((R2325-1)*(IF(Inputs!$B$39="pvp",15,MAX(0.1,Skills!D9-IF(Skills!E9=TRUE,Inputs!$B$33,0)))*(1-IF(AND(ArtifactsInput!$M$27,Inputs!$B$4="Chapter Hunt"),CHOOSE(ArtifactsInput!$N$27+1,20,24,28,32,36,40),0)/100)))))/Skills!G9,1)))/Inputs!$B$44),G2325*Q2325))*IF(Inputs!$B$39="pvp",1,1+(Inputs!$B$21+Skills!O9+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2325*(1-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2325*(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2325*(1-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2325*(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5">
        <f>IF(C2325,(H2325*N2325*IF(AND(Inputs!$B$39&lt;&gt;"pvp",Inputs!$B$44&gt;0),((Skills!F9*((R2325-1)*IF(Skills!G9&gt;0,Skills!H9/Skills!G9,1)+IF(Skills!G9&gt;0,MIN(Skills!H9,MAX(0,MAX(0,Inputs!$B$44-B2355)-((R2325-1)*(IF(Inputs!$B$39="pvp",15,MAX(0.1,Skills!D9-IF(Skills!E9=TRUE,Inputs!$B$33,0)))*(1-IF(AND(ArtifactsInput!$M$27,Inputs!$B$4="Chapter Hunt"),CHOOSE(ArtifactsInput!$N$27+1,20,24,28,32,36,40),0)/100)))))/Skills!G9,1)))/Inputs!$B$44),G2325*Q2325))*IF(Inputs!$B$39="pvp",1,(1+(Inputs!$B$22+Skills!P9+B2347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6">
      <c r="A2326">
        <f>Skills!A10</f>
        <v/>
      </c>
      <c r="B2326">
        <f>Skills!B10</f>
        <v/>
      </c>
      <c r="C2326">
        <f>Inputs!$B$3&gt;=66</f>
        <v/>
      </c>
      <c r="D2326">
        <f>IF(Skills!C10=1,60+Inputs!$B$26+Inputs!$B$30,IF(Skills!C10=2,90+Inputs!$B$27+Inputs!$B$30,IF(Skills!C10=3,120+Inputs!$B$28+Inputs!$B$30,MAX(0,(Inputs!$B$3-100)*3)+Inputs!$B$29+Inputs!$B$30)))</f>
        <v/>
      </c>
      <c r="E2326">
        <f>INDEX(FactorTable!$B$2:$Y$301, MATCH(ROUND(MIN(300,MAX(1,D2326)),0), FactorTable!$A$2:$A$301,0), Skills!L10+1)</f>
        <v/>
      </c>
      <c r="F2326" t="n">
        <v>0</v>
      </c>
      <c r="G2326">
        <f>Calc!G10</f>
        <v/>
      </c>
      <c r="H2326">
        <f>Calc!H10</f>
        <v/>
      </c>
      <c r="I2326">
        <f>IF(Skills!T10&lt;&gt;"",1+(Skills!T10/10)*($Z$3/1000)/100,1)</f>
        <v/>
      </c>
      <c r="J2326" t="inlineStr"/>
      <c r="K2326" t="inlineStr"/>
      <c r="L2326" t="inlineStr"/>
      <c r="M2326" t="inlineStr"/>
      <c r="N2326" t="inlineStr"/>
      <c r="O2326">
        <f>(1-Summary!$B$11)*S2326+Summary!$B$11*U2326</f>
        <v/>
      </c>
      <c r="P2326">
        <f>IF(B2358=0,0,O2326/B2358)</f>
        <v/>
      </c>
      <c r="Q2326">
        <f>IFERROR(1/(IF(Inputs!$B$39="pvp",15,MAX(0.1,Skills!D10-IF(Skills!E10=TRUE,Inputs!$B$33,0)))*(1-IF(AND(ArtifactsInput!$M$27,Inputs!$B$4="Chapter Hunt"),CHOOSE(ArtifactsInput!$N$27+1,20,24,28,32,36,40),0)/100)),0)</f>
        <v/>
      </c>
      <c r="R2326">
        <f>IF(AND(Inputs!$B$39&lt;&gt;"pvp",Inputs!$B$44&gt;0),IF(MAX(0,Inputs!$B$44-B2355)&lt;=0,0,(INT(MAX(0,Inputs!$B$44-B2355)/(IF(Inputs!$B$39="pvp",15,MAX(0.1,Skills!D10-IF(Skills!E10=TRUE,Inputs!$B$33,0)))*(1-IF(AND(ArtifactsInput!$M$27,Inputs!$B$4="Chapter Hunt"),CHOOSE(ArtifactsInput!$N$27+1,20,24,28,32,36,40),0)/100)))+1)),0)</f>
        <v/>
      </c>
      <c r="S2326" t="n">
        <v>0</v>
      </c>
      <c r="U2326" t="n">
        <v>0</v>
      </c>
    </row>
    <row r="2327">
      <c r="A2327">
        <f>Skills!A11</f>
        <v/>
      </c>
      <c r="B2327">
        <f>Skills!B11</f>
        <v/>
      </c>
      <c r="C2327">
        <f>Inputs!$B$3&gt;=69</f>
        <v/>
      </c>
      <c r="D2327">
        <f>IF(Skills!C11=1,60+Inputs!$B$26+Inputs!$B$30,IF(Skills!C11=2,90+Inputs!$B$27+Inputs!$B$30,IF(Skills!C11=3,120+Inputs!$B$28+Inputs!$B$30,MAX(0,(Inputs!$B$3-100)*3)+Inputs!$B$29+Inputs!$B$30)))</f>
        <v/>
      </c>
      <c r="E2327">
        <f>INDEX(FactorTable!$B$2:$Y$301, MATCH(ROUND(MIN(300,MAX(1,D2327)),0), FactorTable!$A$2:$A$301,0), Skills!L11+1)</f>
        <v/>
      </c>
      <c r="F2327">
        <f>IF(Skills!M11=TRUE,(Skills!K11/10)*(E2327/1000),Skills!K11/10)+Skills!N11</f>
        <v/>
      </c>
      <c r="G2327">
        <f>Calc!G11</f>
        <v/>
      </c>
      <c r="H2327">
        <f>Calc!H11</f>
        <v/>
      </c>
      <c r="I2327">
        <f>IF(Skills!T11&lt;&gt;"",1+(Skills!T11/10)*($Z$3/1000)/100,1)</f>
        <v/>
      </c>
      <c r="J2327" t="inlineStr"/>
      <c r="K2327" t="inlineStr"/>
      <c r="L2327" t="inlineStr"/>
      <c r="M2327" t="inlineStr"/>
      <c r="N2327" t="inlineStr"/>
      <c r="O2327">
        <f>(1-Summary!$B$11)*S2327+Summary!$B$11*U2327</f>
        <v/>
      </c>
      <c r="P2327">
        <f>IF(B2358=0,0,O2327/B2358)</f>
        <v/>
      </c>
      <c r="Q2327">
        <f>IFERROR(1/(IF(Inputs!$B$39="pvp",15,MAX(0.1,Skills!D11-IF(Skills!E11=TRUE,Inputs!$B$33,0)))*(1-IF(AND(ArtifactsInput!$M$27,Inputs!$B$4="Chapter Hunt"),CHOOSE(ArtifactsInput!$N$27+1,20,24,28,32,36,40),0)/100)),0)</f>
        <v/>
      </c>
      <c r="R2327">
        <f>IF(AND(Inputs!$B$39&lt;&gt;"pvp",Inputs!$B$44&gt;0),IF(Inputs!$B$44&lt;=0,0,(INT(Inputs!$B$44/(IF(Inputs!$B$39="pvp",15,MAX(0.1,Skills!D11-IF(Skills!E11=TRUE,Inputs!$B$33,0)))*(1-IF(AND(ArtifactsInput!$M$27,Inputs!$B$4="Chapter Hunt"),CHOOSE(ArtifactsInput!$N$27+1,20,24,28,32,36,40),0)/100)))+1)),0)</f>
        <v/>
      </c>
      <c r="S2327" t="n">
        <v>0</v>
      </c>
      <c r="U2327" t="n">
        <v>0</v>
      </c>
    </row>
    <row r="2328">
      <c r="A2328">
        <f>Skills!A12</f>
        <v/>
      </c>
      <c r="B2328">
        <f>Skills!B12</f>
        <v/>
      </c>
      <c r="C2328">
        <f>Inputs!$B$3&gt;=72</f>
        <v/>
      </c>
      <c r="D2328">
        <f>IF(Skills!C12=1,60+Inputs!$B$26+Inputs!$B$30,IF(Skills!C12=2,90+Inputs!$B$27+Inputs!$B$30,IF(Skills!C12=3,120+Inputs!$B$28+Inputs!$B$30,MAX(0,(Inputs!$B$3-100)*3)+Inputs!$B$29+Inputs!$B$30)))</f>
        <v/>
      </c>
      <c r="E2328">
        <f>INDEX(FactorTable!$B$2:$Y$301, MATCH(ROUND(MIN(300,MAX(1,D2328)),0), FactorTable!$A$2:$A$301,0), Skills!L12+1)</f>
        <v/>
      </c>
      <c r="F2328">
        <f>IF(Skills!M12=TRUE,(Skills!K12/10)*(E2328/1000),Skills!K12/10)+Skills!N12</f>
        <v/>
      </c>
      <c r="G2328">
        <f>Calc!G12</f>
        <v/>
      </c>
      <c r="H2328">
        <f>Calc!H12</f>
        <v/>
      </c>
      <c r="I2328">
        <f>IF(Skills!T12&lt;&gt;"",1+(Skills!T12/10)*($Z$3/1000)/100,1)</f>
        <v/>
      </c>
      <c r="J2328" t="inlineStr"/>
      <c r="K2328" t="inlineStr"/>
      <c r="L2328" t="inlineStr"/>
      <c r="M2328" t="inlineStr"/>
      <c r="N2328" t="inlineStr"/>
      <c r="O2328">
        <f>(1-Summary!$B$11)*S2328+Summary!$B$11*U2328</f>
        <v/>
      </c>
      <c r="P2328">
        <f>IF(B2358=0,0,O2328/B2358)</f>
        <v/>
      </c>
      <c r="Q2328">
        <f>IFERROR(1/(IF(Inputs!$B$39="pvp",15,MAX(0.1,Skills!D12-IF(Skills!E12=TRUE,Inputs!$B$33,0)))*(1-IF(AND(ArtifactsInput!$M$27,Inputs!$B$4="Chapter Hunt"),CHOOSE(ArtifactsInput!$N$27+1,20,24,28,32,36,40),0)/100)),0)</f>
        <v/>
      </c>
      <c r="R2328">
        <f>IF(AND(Inputs!$B$39&lt;&gt;"pvp",Inputs!$B$44&gt;0),IF(MAX(0,Inputs!$B$44-B2355)&lt;=0,0,(INT(MAX(0,Inputs!$B$44-B2355)/(IF(Inputs!$B$39="pvp",15,MAX(0.1,Skills!D12-IF(Skills!E12=TRUE,Inputs!$B$33,0)))*(1-IF(AND(ArtifactsInput!$M$27,Inputs!$B$4="Chapter Hunt"),CHOOSE(ArtifactsInput!$N$27+1,20,24,28,32,36,40),0)/100)))+1)),0)</f>
        <v/>
      </c>
      <c r="S2328" t="n">
        <v>0</v>
      </c>
      <c r="U2328" t="n">
        <v>0</v>
      </c>
    </row>
    <row r="2329">
      <c r="A2329">
        <f>Skills!A13</f>
        <v/>
      </c>
      <c r="B2329">
        <f>Skills!B13</f>
        <v/>
      </c>
      <c r="C2329">
        <f>Inputs!$B$3&gt;=60</f>
        <v/>
      </c>
      <c r="D2329">
        <f>IF(Skills!C13=1,60+Inputs!$B$26+Inputs!$B$30,IF(Skills!C13=2,90+Inputs!$B$27+Inputs!$B$30,IF(Skills!C13=3,120+Inputs!$B$28+Inputs!$B$30,MAX(0,(Inputs!$B$3-100)*3)+Inputs!$B$29+Inputs!$B$30)))</f>
        <v/>
      </c>
      <c r="E2329">
        <f>INDEX(FactorTable!$B$2:$Y$301, MATCH(ROUND(MIN(300,MAX(1,D2329)),0), FactorTable!$A$2:$A$301,0), Skills!L13+1)</f>
        <v/>
      </c>
      <c r="F2329">
        <f>IF(Skills!M13=TRUE,(Skills!K13/10)*(E2329/1000),Skills!K13/10)+Skills!N13</f>
        <v/>
      </c>
      <c r="G2329">
        <f>Calc!G13</f>
        <v/>
      </c>
      <c r="H2329">
        <f>Calc!H13</f>
        <v/>
      </c>
      <c r="I2329">
        <f>IF(Skills!T13&lt;&gt;"",1+(Skills!T13/10)*($Z$3/1000)/100,1)</f>
        <v/>
      </c>
      <c r="J2329" t="inlineStr"/>
      <c r="K2329" t="inlineStr"/>
      <c r="L2329" t="inlineStr"/>
      <c r="M2329" t="inlineStr"/>
      <c r="N2329" t="inlineStr"/>
      <c r="O2329">
        <f>(1-Summary!$B$11)*S2329+Summary!$B$11*U2329</f>
        <v/>
      </c>
      <c r="P2329">
        <f>IF(B2358=0,0,O2329/B2358)</f>
        <v/>
      </c>
      <c r="Q2329">
        <f>IFERROR(1/(IF(Inputs!$B$39="pvp",15,MAX(0.1,Skills!D13-IF(Skills!E13=TRUE,Inputs!$B$33,0)))*(1-IF(AND(ArtifactsInput!$M$27,Inputs!$B$4="Chapter Hunt"),CHOOSE(ArtifactsInput!$N$27+1,20,24,28,32,36,40),0)/100)),0)</f>
        <v/>
      </c>
      <c r="R2329">
        <f>IF(AND(Inputs!$B$39&lt;&gt;"pvp",Inputs!$B$44&gt;0),IF(MAX(0,Inputs!$B$44-B2355)&lt;=0,0,(INT(MAX(0,Inputs!$B$44-B2355)/(IF(Inputs!$B$39="pvp",15,MAX(0.1,Skills!D13-IF(Skills!E13=TRUE,Inputs!$B$33,0)))*(1-IF(AND(ArtifactsInput!$M$27,Inputs!$B$4="Chapter Hunt"),CHOOSE(ArtifactsInput!$N$27+1,20,24,28,32,36,40),0)/100)))+1)),0)</f>
        <v/>
      </c>
      <c r="S2329" t="n">
        <v>0</v>
      </c>
      <c r="U2329" t="n">
        <v>0</v>
      </c>
    </row>
    <row r="2330">
      <c r="A2330">
        <f>Skills!A14</f>
        <v/>
      </c>
      <c r="B2330">
        <f>Skills!B14</f>
        <v/>
      </c>
      <c r="C2330">
        <f>Inputs!$B$3&gt;=107</f>
        <v/>
      </c>
      <c r="D2330">
        <f>IF(Skills!C14=1,60+Inputs!$B$26+Inputs!$B$30,IF(Skills!C14=2,90+Inputs!$B$27+Inputs!$B$30,IF(Skills!C14=3,120+Inputs!$B$28+Inputs!$B$30,MAX(0,(Inputs!$B$3-100)*3)+Inputs!$B$29+Inputs!$B$30)))</f>
        <v/>
      </c>
      <c r="E2330">
        <f>INDEX(FactorTable!$B$2:$Y$301, MATCH(ROUND(MIN(300,MAX(1,D2330)),0), FactorTable!$A$2:$A$301,0), Skills!L14+1)</f>
        <v/>
      </c>
      <c r="F2330">
        <f>IF(Skills!M14=TRUE,(Skills!K14/10)*(E2330/1000),Skills!K14/10)+Skills!N14</f>
        <v/>
      </c>
      <c r="G2330">
        <f>Calc!G14</f>
        <v/>
      </c>
      <c r="H2330">
        <f>Calc!H14</f>
        <v/>
      </c>
      <c r="I2330">
        <f>IF(Skills!T14&lt;&gt;"",1+(Skills!T14/10)*($Z$3/1000)/100,1)</f>
        <v/>
      </c>
      <c r="J2330" t="inlineStr"/>
      <c r="K2330" t="inlineStr"/>
      <c r="L2330" t="inlineStr"/>
      <c r="M2330" t="inlineStr"/>
      <c r="N2330" t="inlineStr"/>
      <c r="O2330">
        <f>(1-Summary!$B$11)*S2330+Summary!$B$11*U2330</f>
        <v/>
      </c>
      <c r="P2330">
        <f>IF(B2358=0,0,O2330/B2358)</f>
        <v/>
      </c>
      <c r="Q2330">
        <f>IFERROR(1/(IF(Inputs!$B$39="pvp",15,MAX(0.1,Skills!D14-IF(Skills!E14=TRUE,Inputs!$B$33,0)))*(1-IF(AND(ArtifactsInput!$M$27,Inputs!$B$4="Chapter Hunt"),CHOOSE(ArtifactsInput!$N$27+1,20,24,28,32,36,40),0)/100)),0)</f>
        <v/>
      </c>
      <c r="R2330">
        <f>IF(AND(Inputs!$B$39&lt;&gt;"pvp",Inputs!$B$44&gt;0),IF(Inputs!$B$44&lt;=0,0,(INT(Inputs!$B$44/(IF(Inputs!$B$39="pvp",15,MAX(0.1,Skills!D14-IF(Skills!E14=TRUE,Inputs!$B$33,0)))*(1-IF(AND(ArtifactsInput!$M$27,Inputs!$B$4="Chapter Hunt"),CHOOSE(ArtifactsInput!$N$27+1,20,24,28,32,36,40),0)/100)))+1)),0)</f>
        <v/>
      </c>
      <c r="S2330" t="n">
        <v>0</v>
      </c>
      <c r="U2330" t="n">
        <v>0</v>
      </c>
    </row>
    <row r="2331">
      <c r="A2331">
        <f>Skills!A15</f>
        <v/>
      </c>
      <c r="B2331">
        <f>Skills!B15</f>
        <v/>
      </c>
      <c r="C2331">
        <f>Inputs!$B$3&gt;=63</f>
        <v/>
      </c>
      <c r="D2331">
        <f>IF(Skills!C15=1,60+Inputs!$B$26+Inputs!$B$30,IF(Skills!C15=2,90+Inputs!$B$27+Inputs!$B$30,IF(Skills!C15=3,120+Inputs!$B$28+Inputs!$B$30,MAX(0,(Inputs!$B$3-100)*3)+Inputs!$B$29+Inputs!$B$30)))</f>
        <v/>
      </c>
      <c r="E2331">
        <f>INDEX(FactorTable!$B$2:$Y$301, MATCH(ROUND(MIN(300,MAX(1,D2331)),0), FactorTable!$A$2:$A$301,0), Skills!L15+1)</f>
        <v/>
      </c>
      <c r="F2331">
        <f>IF(Skills!M15=TRUE,(Skills!K15/10)*(E2331/1000),Skills!K15/10)+Skills!N15</f>
        <v/>
      </c>
      <c r="G2331">
        <f>Calc!G15</f>
        <v/>
      </c>
      <c r="H2331">
        <f>Calc!H15</f>
        <v/>
      </c>
      <c r="I2331">
        <f>IF(Skills!T15&lt;&gt;"",1+(Skills!T15/10)*($Z$3/1000)/100,1)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15="TRIUMPH_FEATHER",IF(C2332=TRUE,F2332,0),0)/100)*(1+IF(C2343=TRUE,F2343,0)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2331)</f>
        <v/>
      </c>
      <c r="L2331">
        <f>K2331*(MIN(Inputs!$B$23+(F2338-Calc!F22),(Inputs!$B$24+IF(ArtifactsInput!$M$15,CHOOSE(ArtifactsInput!$N$15+1,25,30,35,40,45,50)/100*(Inputs!$B$12-Inputs!$B$12),0)))/100+(Inputs!$B$24+IF(ArtifactsInput!$M$15,CHOOSE(ArtifactsInput!$N$15+1,25,30,35,40,45,50)/100*(Inputs!$B$12-Inputs!$B$12),0))/100)/2</f>
        <v/>
      </c>
      <c r="M2331">
        <f>L2331*(1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31">
        <f>L2331*(1-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IF(B2358=0,0,O2331/B2358)</f>
        <v/>
      </c>
      <c r="Q2331">
        <f>IFERROR(1/(IF(Inputs!$B$39="pvp",15,MAX(0.1,Skills!D15-IF(Skills!E15=TRUE,Inputs!$B$33,0)))*(1-IF(AND(ArtifactsInput!$M$27,Inputs!$B$4="Chapter Hunt"),CHOOSE(ArtifactsInput!$N$27+1,20,24,28,32,36,40),0)/100)),0)</f>
        <v/>
      </c>
      <c r="R2331" t="n">
        <v>0</v>
      </c>
      <c r="S2331">
        <f>IF(C2331,(Skills!F15*N2331*((IF(Inputs!$B$3&gt;=78,25,15)/100*B2351*10)/(1+IF(Inputs!$B$3&gt;=78,25,15)/100*B2351*10))*(Skills!I15/100*B2351)/(1+Skills!G15*Skills!I15/100*B2351))*IF(Inputs!$B$39="pvp",1,1+(Inputs!$B$21+Skills!O15+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Skills!F15*N2331*((IF(Inputs!$B$3&gt;=78,25,15)/100*B2351*10)/(1+IF(Inputs!$B$3&gt;=78,25,15)/100*B2351*10))*(Skills!I15/100*B2351)/(1+Skills!G15*Skills!I15/100*B2351))*IF(Inputs!$B$39="pvp",1,(1+(Inputs!$B$22+Skills!P15+B2347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Skills!A16</f>
        <v/>
      </c>
      <c r="B2332">
        <f>Skills!B16</f>
        <v/>
      </c>
      <c r="C2332">
        <f>Inputs!$B$3&gt;=100</f>
        <v/>
      </c>
      <c r="D2332">
        <f>IF(Skills!C16=1,60+Inputs!$B$26+Inputs!$B$30,IF(Skills!C16=2,90+Inputs!$B$27+Inputs!$B$30,IF(Skills!C16=3,120+Inputs!$B$28+Inputs!$B$30,MAX(0,(Inputs!$B$3-100)*3)+Inputs!$B$29+Inputs!$B$30)))</f>
        <v/>
      </c>
      <c r="E2332">
        <f>INDEX(FactorTable!$B$2:$Y$301, MATCH(ROUND(MIN(300,MAX(1,D2332)),0), FactorTable!$A$2:$A$301,0), Skills!L16+1)</f>
        <v/>
      </c>
      <c r="F2332">
        <f>IF(Skills!M16=TRUE,(Skills!K16/10)*(E2332/1000),Skills!K16/10)+Skills!N16</f>
        <v/>
      </c>
      <c r="G2332">
        <f>Calc!G16</f>
        <v/>
      </c>
      <c r="H2332">
        <f>Calc!H16</f>
        <v/>
      </c>
      <c r="I2332">
        <f>IF(Skills!T16&lt;&gt;"",1+(Skills!T16/10)*($Z$3/1000)/100,1)</f>
        <v/>
      </c>
      <c r="J2332" t="inlineStr"/>
      <c r="K2332" t="inlineStr"/>
      <c r="L2332" t="inlineStr"/>
      <c r="M2332" t="inlineStr"/>
      <c r="N2332" t="inlineStr"/>
      <c r="O2332">
        <f>(1-Summary!$B$11)*S2332+Summary!$B$11*U2332</f>
        <v/>
      </c>
      <c r="P2332">
        <f>IF(B2358=0,0,O2332/B2358)</f>
        <v/>
      </c>
      <c r="Q2332">
        <f>IFERROR(1/(IF(Inputs!$B$39="pvp",15,MAX(0.1,Skills!D16-IF(Skills!E16=TRUE,Inputs!$B$33,0)))*(1-IF(AND(ArtifactsInput!$M$27,Inputs!$B$4="Chapter Hunt"),CHOOSE(ArtifactsInput!$N$27+1,20,24,28,32,36,40),0)/100)),0)</f>
        <v/>
      </c>
      <c r="R2332" t="n">
        <v>0</v>
      </c>
      <c r="S2332" t="n">
        <v>0</v>
      </c>
      <c r="U2332" t="n">
        <v>0</v>
      </c>
    </row>
    <row r="2333">
      <c r="A2333">
        <f>Skills!A17</f>
        <v/>
      </c>
      <c r="B2333">
        <f>Skills!B17</f>
        <v/>
      </c>
      <c r="C2333">
        <f>Inputs!$B$3&gt;=49</f>
        <v/>
      </c>
      <c r="D2333">
        <f>IF(Skills!C17=1,60+Inputs!$B$26+Inputs!$B$30,IF(Skills!C17=2,90+Inputs!$B$27+Inputs!$B$30,IF(Skills!C17=3,120+Inputs!$B$28+Inputs!$B$30,MAX(0,(Inputs!$B$3-100)*3)+Inputs!$B$29+Inputs!$B$30)))</f>
        <v/>
      </c>
      <c r="E2333">
        <f>INDEX(FactorTable!$B$2:$Y$301, MATCH(ROUND(MIN(300,MAX(1,D2333)),0), FactorTable!$A$2:$A$301,0), Skills!L17+1)</f>
        <v/>
      </c>
      <c r="F2333">
        <f>IF(Skills!M17=TRUE,(Skills!K17/10)*(E2333/1000),Skills!K17/10)+Skills!N17</f>
        <v/>
      </c>
      <c r="G2333">
        <f>Calc!G17</f>
        <v/>
      </c>
      <c r="H2333">
        <f>Calc!H17</f>
        <v/>
      </c>
      <c r="I2333">
        <f>IF(Skills!T17&lt;&gt;"",1+(Skills!T17/10)*($Z$3/1000)/100,1)</f>
        <v/>
      </c>
      <c r="J2333" t="inlineStr"/>
      <c r="K2333" t="inlineStr"/>
      <c r="L2333" t="inlineStr"/>
      <c r="M2333" t="inlineStr"/>
      <c r="N2333" t="inlineStr"/>
      <c r="O2333">
        <f>(1-Summary!$B$11)*S2333+Summary!$B$11*U2333</f>
        <v/>
      </c>
      <c r="P2333">
        <f>IF(B2358=0,0,O2333/B2358)</f>
        <v/>
      </c>
      <c r="Q2333">
        <f>IFERROR(1/(IF(Inputs!$B$39="pvp",15,MAX(0.1,Skills!D17-IF(Skills!E17=TRUE,Inputs!$B$33,0)))*(1-IF(AND(ArtifactsInput!$M$27,Inputs!$B$4="Chapter Hunt"),CHOOSE(ArtifactsInput!$N$27+1,20,24,28,32,36,40),0)/100)),0)</f>
        <v/>
      </c>
      <c r="R2333" t="n">
        <v>0</v>
      </c>
      <c r="S2333" t="n">
        <v>0</v>
      </c>
      <c r="U2333" t="n">
        <v>0</v>
      </c>
    </row>
    <row r="2334">
      <c r="A2334">
        <f>Skills!A18</f>
        <v/>
      </c>
      <c r="B2334">
        <f>Skills!B18</f>
        <v/>
      </c>
      <c r="C2334">
        <f>Inputs!$B$3&gt;=75</f>
        <v/>
      </c>
      <c r="D2334">
        <f>IF(Skills!C18=1,60+Inputs!$B$26+Inputs!$B$30,IF(Skills!C18=2,90+Inputs!$B$27+Inputs!$B$30,IF(Skills!C18=3,120+Inputs!$B$28+Inputs!$B$30,MAX(0,(Inputs!$B$3-100)*3)+Inputs!$B$29+Inputs!$B$30)))</f>
        <v/>
      </c>
      <c r="E2334">
        <f>INDEX(FactorTable!$B$2:$Y$301, MATCH(ROUND(MIN(300,MAX(1,D2334)),0), FactorTable!$A$2:$A$301,0), Skills!L18+1)</f>
        <v/>
      </c>
      <c r="F2334">
        <f>IF(Skills!M18=TRUE,(Skills!K18/10)*(E2334/1000),Skills!K18/10)+Skills!N18</f>
        <v/>
      </c>
      <c r="G2334">
        <f>Calc!G18</f>
        <v/>
      </c>
      <c r="H2334">
        <f>Calc!H18</f>
        <v/>
      </c>
      <c r="I2334">
        <f>IF(Skills!T18&lt;&gt;"",1+(Skills!T18/10)*($Z$3/1000)/100,1)</f>
        <v/>
      </c>
      <c r="J2334" t="inlineStr"/>
      <c r="K2334" t="inlineStr"/>
      <c r="L2334" t="inlineStr"/>
      <c r="M2334" t="inlineStr"/>
      <c r="N2334" t="inlineStr"/>
      <c r="O2334">
        <f>(1-Summary!$B$11)*S2334+Summary!$B$11*U2334</f>
        <v/>
      </c>
      <c r="P2334">
        <f>IF(B2358=0,0,O2334/B2358)</f>
        <v/>
      </c>
      <c r="Q2334">
        <f>IFERROR(1/(IF(Inputs!$B$39="pvp",15,MAX(0.1,Skills!D18-IF(Skills!E18=TRUE,Inputs!$B$33,0)))*(1-IF(AND(ArtifactsInput!$M$27,Inputs!$B$4="Chapter Hunt"),CHOOSE(ArtifactsInput!$N$27+1,20,24,28,32,36,40),0)/100)),0)</f>
        <v/>
      </c>
      <c r="R2334" t="n">
        <v>0</v>
      </c>
      <c r="S2334" t="n">
        <v>0</v>
      </c>
      <c r="U2334" t="n">
        <v>0</v>
      </c>
    </row>
    <row r="2335">
      <c r="A2335">
        <f>Skills!A19</f>
        <v/>
      </c>
      <c r="B2335">
        <f>Skills!B19</f>
        <v/>
      </c>
      <c r="C2335">
        <f>Inputs!$B$3&gt;=110</f>
        <v/>
      </c>
      <c r="D2335">
        <f>IF(Skills!C19=1,60+Inputs!$B$26+Inputs!$B$30,IF(Skills!C19=2,90+Inputs!$B$27+Inputs!$B$30,IF(Skills!C19=3,120+Inputs!$B$28+Inputs!$B$30,MAX(0,(Inputs!$B$3-100)*3)+Inputs!$B$29+Inputs!$B$30)))</f>
        <v/>
      </c>
      <c r="E2335">
        <f>INDEX(FactorTable!$B$2:$Y$301, MATCH(ROUND(MIN(300,MAX(1,D2335)),0), FactorTable!$A$2:$A$301,0), Skills!L19+1)</f>
        <v/>
      </c>
      <c r="F2335">
        <f>(Skills!K19/10)*(E2335/1000)*64/45+Skills!N19</f>
        <v/>
      </c>
      <c r="G2335">
        <f>Calc!G19</f>
        <v/>
      </c>
      <c r="H2335">
        <f>Calc!H19</f>
        <v/>
      </c>
      <c r="I2335">
        <f>IF(Skills!T19&lt;&gt;"",1+(Skills!T19/10)*($Z$3/1000)/100,1)</f>
        <v/>
      </c>
      <c r="J2335" t="inlineStr"/>
      <c r="K2335" t="inlineStr"/>
      <c r="L2335" t="inlineStr"/>
      <c r="M2335" t="inlineStr"/>
      <c r="N2335" t="inlineStr"/>
      <c r="O2335">
        <f>(1-Summary!$B$11)*S2335+Summary!$B$11*U2335</f>
        <v/>
      </c>
      <c r="P2335">
        <f>IF(B2358=0,0,O2335/B2358)</f>
        <v/>
      </c>
      <c r="Q2335">
        <f>IFERROR(1/(IF(Inputs!$B$39="pvp",15,MAX(0.1,Skills!D19-IF(Skills!E19=TRUE,Inputs!$B$33,0)))*(1-IF(AND(ArtifactsInput!$M$27,Inputs!$B$4="Chapter Hunt"),CHOOSE(ArtifactsInput!$N$27+1,20,24,28,32,36,40),0)/100)),0)</f>
        <v/>
      </c>
      <c r="R2335">
        <f>IF(AND(Inputs!$B$39&lt;&gt;"pvp",Inputs!$B$44&gt;0),IF(Inputs!$B$44&lt;=0,0,(INT(Inputs!$B$44/(IF(Inputs!$B$39="pvp",15,MAX(0.1,Skills!D19-IF(Skills!E19=TRUE,Inputs!$B$33,0)))*(1-IF(AND(ArtifactsInput!$M$27,Inputs!$B$4="Chapter Hunt"),CHOOSE(ArtifactsInput!$N$27+1,20,24,28,32,36,40),0)/100)))+1)),0)</f>
        <v/>
      </c>
      <c r="S2335" t="n">
        <v>0</v>
      </c>
      <c r="U2335" t="n">
        <v>0</v>
      </c>
    </row>
    <row r="2336">
      <c r="A2336">
        <f>Skills!A20</f>
        <v/>
      </c>
      <c r="B2336">
        <f>Skills!B20</f>
        <v/>
      </c>
      <c r="C2336">
        <f>Inputs!$B$3&gt;=125</f>
        <v/>
      </c>
      <c r="D2336">
        <f>IF(Skills!C20=1,60+Inputs!$B$26+Inputs!$B$30,IF(Skills!C20=2,90+Inputs!$B$27+Inputs!$B$30,IF(Skills!C20=3,120+Inputs!$B$28+Inputs!$B$30,MAX(0,(Inputs!$B$3-100)*3)+Inputs!$B$29+Inputs!$B$30)))</f>
        <v/>
      </c>
      <c r="E2336">
        <f>INDEX(FactorTable!$B$2:$Y$301, MATCH(ROUND(MIN(300,MAX(1,D2336)),0), FactorTable!$A$2:$A$301,0), Skills!L20+1)</f>
        <v/>
      </c>
      <c r="F2336">
        <f>IF(Skills!M20=TRUE,(Skills!K20/10)*(E2336/1000),Skills!K20/10)+Skills!N20</f>
        <v/>
      </c>
      <c r="G2336">
        <f>Calc!G20</f>
        <v/>
      </c>
      <c r="H2336">
        <f>Calc!H20</f>
        <v/>
      </c>
      <c r="I2336">
        <f>IF(Skills!T20&lt;&gt;"",1+(Skills!T20/10)*($Z$3/1000)/100,1)</f>
        <v/>
      </c>
      <c r="J2336" t="inlineStr"/>
      <c r="K2336" t="inlineStr"/>
      <c r="L2336" t="inlineStr"/>
      <c r="M2336" t="inlineStr"/>
      <c r="N2336" t="inlineStr"/>
      <c r="O2336">
        <f>(1-Summary!$B$11)*S2336+Summary!$B$11*U2336</f>
        <v/>
      </c>
      <c r="P2336">
        <f>IF(B2358=0,0,O2336/B2358)</f>
        <v/>
      </c>
      <c r="Q2336">
        <f>IFERROR(1/(IF(Inputs!$B$39="pvp",15,MAX(0.1,Skills!D20-IF(Skills!E20=TRUE,Inputs!$B$33,0)))*(1-IF(AND(ArtifactsInput!$M$27,Inputs!$B$4="Chapter Hunt"),CHOOSE(ArtifactsInput!$N$27+1,20,24,28,32,36,40),0)/100)),0)</f>
        <v/>
      </c>
      <c r="R2336" t="n">
        <v>0</v>
      </c>
      <c r="S2336" t="n">
        <v>0</v>
      </c>
      <c r="U2336" t="n">
        <v>0</v>
      </c>
    </row>
    <row r="2337">
      <c r="A2337">
        <f>Skills!A21</f>
        <v/>
      </c>
      <c r="B2337">
        <f>Skills!B21</f>
        <v/>
      </c>
      <c r="C2337">
        <f>Inputs!$B$3&gt;=33</f>
        <v/>
      </c>
      <c r="D2337">
        <f>IF(Skills!C21=1,60+Inputs!$B$26+Inputs!$B$30,IF(Skills!C21=2,90+Inputs!$B$27+Inputs!$B$30,IF(Skills!C21=3,120+Inputs!$B$28+Inputs!$B$30,MAX(0,(Inputs!$B$3-100)*3)+Inputs!$B$29+Inputs!$B$30)))</f>
        <v/>
      </c>
      <c r="E2337">
        <f>INDEX(FactorTable!$B$2:$Y$301, MATCH(ROUND(MIN(300,MAX(1,D2337)),0), FactorTable!$A$2:$A$301,0), Skills!L21+1)</f>
        <v/>
      </c>
      <c r="F2337">
        <f>IF(Skills!M21=TRUE,(Skills!K21/10)*(E2337/1000),Skills!K21/10)+Skills!N21</f>
        <v/>
      </c>
      <c r="G2337">
        <f>Calc!G21</f>
        <v/>
      </c>
      <c r="H2337">
        <f>Calc!H21</f>
        <v/>
      </c>
      <c r="I2337">
        <f>IF(Skills!T21&lt;&gt;"",1+(Skills!T21/10)*($Z$3/1000)/100,1)</f>
        <v/>
      </c>
      <c r="J2337" t="inlineStr"/>
      <c r="K2337" t="inlineStr"/>
      <c r="L2337" t="inlineStr"/>
      <c r="M2337" t="inlineStr"/>
      <c r="N2337" t="inlineStr"/>
      <c r="O2337">
        <f>(1-Summary!$B$11)*S2337+Summary!$B$11*U2337</f>
        <v/>
      </c>
      <c r="P2337">
        <f>IF(B2358=0,0,O2337/B2358)</f>
        <v/>
      </c>
      <c r="Q2337">
        <f>IFERROR(1/(IF(Inputs!$B$39="pvp",15,MAX(0.1,Skills!D21-IF(Skills!E21=TRUE,Inputs!$B$33,0)))*(1-IF(AND(ArtifactsInput!$M$27,Inputs!$B$4="Chapter Hunt"),CHOOSE(ArtifactsInput!$N$27+1,20,24,28,32,36,40),0)/100)),0)</f>
        <v/>
      </c>
      <c r="R2337" t="n">
        <v>0</v>
      </c>
      <c r="S2337" t="n">
        <v>0</v>
      </c>
      <c r="U2337" t="n">
        <v>0</v>
      </c>
    </row>
    <row r="2338">
      <c r="A2338">
        <f>Skills!A22</f>
        <v/>
      </c>
      <c r="B2338">
        <f>Skills!B22</f>
        <v/>
      </c>
      <c r="C2338">
        <f>Inputs!$B$3&gt;=43</f>
        <v/>
      </c>
      <c r="D2338">
        <f>IF(Skills!C22=1,60+Inputs!$B$26+Inputs!$B$30,IF(Skills!C22=2,90+Inputs!$B$27+Inputs!$B$30,IF(Skills!C22=3,120+Inputs!$B$28+Inputs!$B$30,MAX(0,(Inputs!$B$3-100)*3)+Inputs!$B$29+Inputs!$B$30)))</f>
        <v/>
      </c>
      <c r="E2338">
        <f>INDEX(FactorTable!$B$2:$Y$301, MATCH(ROUND(MIN(300,MAX(1,D2338)),0), FactorTable!$A$2:$A$301,0), Skills!L22+1)</f>
        <v/>
      </c>
      <c r="F2338">
        <f>IF(Skills!M22=TRUE,(Skills!K22/10)*(E2338/1000),Skills!K22/10)+Skills!N22</f>
        <v/>
      </c>
      <c r="G2338">
        <f>Calc!G22</f>
        <v/>
      </c>
      <c r="H2338">
        <f>Calc!H22</f>
        <v/>
      </c>
      <c r="I2338">
        <f>IF(Skills!T22&lt;&gt;"",1+(Skills!T22/10)*($Z$3/1000)/100,1)</f>
        <v/>
      </c>
      <c r="J2338" t="inlineStr"/>
      <c r="K2338" t="inlineStr"/>
      <c r="L2338" t="inlineStr"/>
      <c r="M2338" t="inlineStr"/>
      <c r="N2338" t="inlineStr"/>
      <c r="O2338">
        <f>(1-Summary!$B$11)*S2338+Summary!$B$11*U2338</f>
        <v/>
      </c>
      <c r="P2338">
        <f>IF(B2358=0,0,O2338/B2358)</f>
        <v/>
      </c>
      <c r="Q2338">
        <f>IFERROR(1/(IF(Inputs!$B$39="pvp",15,MAX(0.1,Skills!D22-IF(Skills!E22=TRUE,Inputs!$B$33,0)))*(1-IF(AND(ArtifactsInput!$M$27,Inputs!$B$4="Chapter Hunt"),CHOOSE(ArtifactsInput!$N$27+1,20,24,28,32,36,40),0)/100)),0)</f>
        <v/>
      </c>
      <c r="R2338" t="n">
        <v>0</v>
      </c>
      <c r="S2338" t="n">
        <v>0</v>
      </c>
      <c r="U2338" t="n">
        <v>0</v>
      </c>
    </row>
    <row r="2339">
      <c r="A2339">
        <f>Skills!A23</f>
        <v/>
      </c>
      <c r="B2339">
        <f>Skills!B23</f>
        <v/>
      </c>
      <c r="C2339">
        <f>Inputs!$B$3&gt;=50</f>
        <v/>
      </c>
      <c r="D2339">
        <f>IF(Skills!C23=1,60+Inputs!$B$26+Inputs!$B$30,IF(Skills!C23=2,90+Inputs!$B$27+Inputs!$B$30,IF(Skills!C23=3,120+Inputs!$B$28+Inputs!$B$30,MAX(0,(Inputs!$B$3-100)*3)+Inputs!$B$29+Inputs!$B$30)))</f>
        <v/>
      </c>
      <c r="E2339">
        <f>INDEX(FactorTable!$B$2:$Y$301, MATCH(ROUND(MIN(300,MAX(1,D2339)),0), FactorTable!$A$2:$A$301,0), Skills!L23+1)</f>
        <v/>
      </c>
      <c r="F2339">
        <f>IF(Skills!M23=TRUE,(Skills!K23/10)*(E2339/1000),Skills!K23/10)+Skills!N23</f>
        <v/>
      </c>
      <c r="G2339">
        <f>Calc!G23</f>
        <v/>
      </c>
      <c r="H2339">
        <f>Calc!H23</f>
        <v/>
      </c>
      <c r="I2339">
        <f>IF(Skills!T23&lt;&gt;"",1+(Skills!T23/10)*($Z$3/1000)/100,1)</f>
        <v/>
      </c>
      <c r="J2339" t="inlineStr"/>
      <c r="K2339" t="inlineStr"/>
      <c r="L2339" t="inlineStr"/>
      <c r="M2339" t="inlineStr"/>
      <c r="N2339" t="inlineStr"/>
      <c r="O2339">
        <f>(1-Summary!$B$11)*S2339+Summary!$B$11*U2339</f>
        <v/>
      </c>
      <c r="P2339">
        <f>IF(B2358=0,0,O2339/B2358)</f>
        <v/>
      </c>
      <c r="Q2339">
        <f>IFERROR(1/(IF(Inputs!$B$39="pvp",15,MAX(0.1,Skills!D23-IF(Skills!E23=TRUE,Inputs!$B$33,0)))*(1-IF(AND(ArtifactsInput!$M$27,Inputs!$B$4="Chapter Hunt"),CHOOSE(ArtifactsInput!$N$27+1,20,24,28,32,36,40),0)/100)),0)</f>
        <v/>
      </c>
      <c r="R2339" t="n">
        <v>0</v>
      </c>
      <c r="S2339" t="n">
        <v>0</v>
      </c>
      <c r="U2339" t="n">
        <v>0</v>
      </c>
    </row>
    <row r="2340">
      <c r="A2340">
        <f>Skills!A24</f>
        <v/>
      </c>
      <c r="B2340">
        <f>Skills!B24</f>
        <v/>
      </c>
      <c r="C2340">
        <f>Inputs!$B$3&gt;=74</f>
        <v/>
      </c>
      <c r="D2340">
        <f>IF(Skills!C24=1,60+Inputs!$B$26+Inputs!$B$30,IF(Skills!C24=2,90+Inputs!$B$27+Inputs!$B$30,IF(Skills!C24=3,120+Inputs!$B$28+Inputs!$B$30,MAX(0,(Inputs!$B$3-100)*3)+Inputs!$B$29+Inputs!$B$30)))</f>
        <v/>
      </c>
      <c r="E2340">
        <f>INDEX(FactorTable!$B$2:$Y$301, MATCH(ROUND(MIN(300,MAX(1,D2340)),0), FactorTable!$A$2:$A$301,0), Skills!L24+1)</f>
        <v/>
      </c>
      <c r="F2340">
        <f>IF(Skills!M24=TRUE,(Skills!K24/10)*(E2340/1000),Skills!K24/10)+Skills!N24</f>
        <v/>
      </c>
      <c r="G2340">
        <f>Calc!G24</f>
        <v/>
      </c>
      <c r="H2340">
        <f>Calc!H24</f>
        <v/>
      </c>
      <c r="I2340">
        <f>IF(Skills!T24&lt;&gt;"",1+(Skills!T24/10)*($Z$3/1000)/100,1)</f>
        <v/>
      </c>
      <c r="J2340" t="inlineStr"/>
      <c r="K2340" t="inlineStr"/>
      <c r="L2340" t="inlineStr"/>
      <c r="M2340" t="inlineStr"/>
      <c r="N2340" t="inlineStr"/>
      <c r="O2340">
        <f>(1-Summary!$B$11)*S2340+Summary!$B$11*U2340</f>
        <v/>
      </c>
      <c r="P2340">
        <f>IF(B2358=0,0,O2340/B2358)</f>
        <v/>
      </c>
      <c r="Q2340">
        <f>IFERROR(1/(IF(Inputs!$B$39="pvp",15,MAX(0.1,Skills!D24-IF(Skills!E24=TRUE,Inputs!$B$33,0)))*(1-IF(AND(ArtifactsInput!$M$27,Inputs!$B$4="Chapter Hunt"),CHOOSE(ArtifactsInput!$N$27+1,20,24,28,32,36,40),0)/100)),0)</f>
        <v/>
      </c>
      <c r="R2340" t="n">
        <v>0</v>
      </c>
      <c r="S2340" t="n">
        <v>0</v>
      </c>
      <c r="U2340" t="n">
        <v>0</v>
      </c>
    </row>
    <row r="2341">
      <c r="A2341">
        <f>Skills!A25</f>
        <v/>
      </c>
      <c r="B2341">
        <f>Skills!B25</f>
        <v/>
      </c>
      <c r="C2341">
        <f>Inputs!$B$3&gt;=74</f>
        <v/>
      </c>
      <c r="D2341">
        <f>IF(Skills!C25=1,60+Inputs!$B$26+Inputs!$B$30,IF(Skills!C25=2,90+Inputs!$B$27+Inputs!$B$30,IF(Skills!C25=3,120+Inputs!$B$28+Inputs!$B$30,MAX(0,(Inputs!$B$3-100)*3)+Inputs!$B$29+Inputs!$B$30)))</f>
        <v/>
      </c>
      <c r="E2341">
        <f>INDEX(FactorTable!$B$2:$Y$301, MATCH(ROUND(MIN(300,MAX(1,D2341)),0), FactorTable!$A$2:$A$301,0), Skills!L25+1)</f>
        <v/>
      </c>
      <c r="F2341">
        <f>IF(Skills!M25=TRUE,(Skills!K25/10)*(E2341/1000),Skills!K25/10)+Skills!N25</f>
        <v/>
      </c>
      <c r="G2341">
        <f>Calc!G25</f>
        <v/>
      </c>
      <c r="H2341">
        <f>Calc!H25</f>
        <v/>
      </c>
      <c r="I2341">
        <f>IF(Skills!T25&lt;&gt;"",1+(Skills!T25/10)*($Z$3/1000)/100,1)</f>
        <v/>
      </c>
      <c r="J2341" t="inlineStr"/>
      <c r="K2341" t="inlineStr"/>
      <c r="L2341" t="inlineStr"/>
      <c r="M2341" t="inlineStr"/>
      <c r="N2341" t="inlineStr"/>
      <c r="O2341">
        <f>(1-Summary!$B$11)*S2341+Summary!$B$11*U2341</f>
        <v/>
      </c>
      <c r="P2341">
        <f>IF(B2358=0,0,O2341/B2358)</f>
        <v/>
      </c>
      <c r="Q2341">
        <f>IFERROR(1/(IF(Inputs!$B$39="pvp",15,MAX(0.1,Skills!D25-IF(Skills!E25=TRUE,Inputs!$B$33,0)))*(1-IF(AND(ArtifactsInput!$M$27,Inputs!$B$4="Chapter Hunt"),CHOOSE(ArtifactsInput!$N$27+1,20,24,28,32,36,40),0)/100)),0)</f>
        <v/>
      </c>
      <c r="R2341" t="n">
        <v>0</v>
      </c>
      <c r="S2341" t="n">
        <v>0</v>
      </c>
      <c r="U2341" t="n">
        <v>0</v>
      </c>
    </row>
    <row r="2342">
      <c r="A2342">
        <f>Skills!A26</f>
        <v/>
      </c>
      <c r="B2342">
        <f>Skills!B26</f>
        <v/>
      </c>
      <c r="C2342">
        <f>Inputs!$B$3&gt;=117</f>
        <v/>
      </c>
      <c r="D2342">
        <f>IF(Skills!C26=1,60+Inputs!$B$26+Inputs!$B$30,IF(Skills!C26=2,90+Inputs!$B$27+Inputs!$B$30,IF(Skills!C26=3,120+Inputs!$B$28+Inputs!$B$30,MAX(0,(Inputs!$B$3-100)*3)+Inputs!$B$29+Inputs!$B$30)))</f>
        <v/>
      </c>
      <c r="E2342">
        <f>INDEX(FactorTable!$B$2:$Y$301, MATCH(ROUND(MIN(300,MAX(1,D2342)),0), FactorTable!$A$2:$A$301,0), Skills!L26+1)</f>
        <v/>
      </c>
      <c r="F2342">
        <f>IF(Skills!M26=TRUE,(Skills!K26/10)*(E2342/1000),Skills!K26/10)+Skills!N26</f>
        <v/>
      </c>
      <c r="G2342">
        <f>Calc!G26</f>
        <v/>
      </c>
      <c r="H2342">
        <f>Calc!H26</f>
        <v/>
      </c>
      <c r="I2342">
        <f>IF(Skills!T26&lt;&gt;"",1+(Skills!T26/10)*($Z$3/1000)/100,1)</f>
        <v/>
      </c>
      <c r="J2342" t="inlineStr"/>
      <c r="K2342" t="inlineStr"/>
      <c r="L2342" t="inlineStr"/>
      <c r="M2342" t="inlineStr"/>
      <c r="N2342" t="inlineStr"/>
      <c r="O2342">
        <f>(1-Summary!$B$11)*S2342+Summary!$B$11*U2342</f>
        <v/>
      </c>
      <c r="P2342">
        <f>IF(B2358=0,0,O2342/B2358)</f>
        <v/>
      </c>
      <c r="Q2342">
        <f>IFERROR(1/(IF(Inputs!$B$39="pvp",15,MAX(0.1,Skills!D26-IF(Skills!E26=TRUE,Inputs!$B$33,0)))*(1-IF(AND(ArtifactsInput!$M$27,Inputs!$B$4="Chapter Hunt"),CHOOSE(ArtifactsInput!$N$27+1,20,24,28,32,36,40),0)/100)),0)</f>
        <v/>
      </c>
      <c r="R2342" t="n">
        <v>0</v>
      </c>
      <c r="S2342" t="n">
        <v>0</v>
      </c>
      <c r="U2342" t="n">
        <v>0</v>
      </c>
    </row>
    <row r="2343">
      <c r="A2343">
        <f>Skills!A27</f>
        <v/>
      </c>
      <c r="B2343">
        <f>Skills!B27</f>
        <v/>
      </c>
      <c r="C2343">
        <f>Inputs!$B$3&gt;=120</f>
        <v/>
      </c>
      <c r="D2343">
        <f>IF(Skills!C27=1,60+Inputs!$B$26+Inputs!$B$30,IF(Skills!C27=2,90+Inputs!$B$27+Inputs!$B$30,IF(Skills!C27=3,120+Inputs!$B$28+Inputs!$B$30,MAX(0,(Inputs!$B$3-100)*3)+Inputs!$B$29+Inputs!$B$30)))</f>
        <v/>
      </c>
      <c r="E2343">
        <f>INDEX(FactorTable!$B$2:$Y$301, MATCH(ROUND(MIN(300,MAX(1,D2343)),0), FactorTable!$A$2:$A$301,0), Skills!L27+1)</f>
        <v/>
      </c>
      <c r="F2343">
        <f>IF(Skills!M27=TRUE,(Skills!K27/10)*(E2343/1000),Skills!K27/10)+Skills!N27</f>
        <v/>
      </c>
      <c r="G2343">
        <f>Calc!G27</f>
        <v/>
      </c>
      <c r="H2343">
        <f>Calc!H27</f>
        <v/>
      </c>
      <c r="I2343">
        <f>IF(Skills!T27&lt;&gt;"",1+(Skills!T27/10)*($Z$3/1000)/100,1)</f>
        <v/>
      </c>
      <c r="J2343" t="inlineStr"/>
      <c r="K2343" t="inlineStr"/>
      <c r="L2343" t="inlineStr"/>
      <c r="M2343" t="inlineStr"/>
      <c r="N2343" t="inlineStr"/>
      <c r="O2343">
        <f>(1-Summary!$B$11)*S2343+Summary!$B$11*U2343</f>
        <v/>
      </c>
      <c r="P2343">
        <f>IF(B2358=0,0,O2343/B2358)</f>
        <v/>
      </c>
      <c r="Q2343">
        <f>IFERROR(1/(IF(Inputs!$B$39="pvp",15,MAX(0.1,Skills!D27-IF(Skills!E27=TRUE,Inputs!$B$33,0)))*(1-IF(AND(ArtifactsInput!$M$27,Inputs!$B$4="Chapter Hunt"),CHOOSE(ArtifactsInput!$N$27+1,20,24,28,32,36,40),0)/100)),0)</f>
        <v/>
      </c>
      <c r="R2343" t="n">
        <v>0</v>
      </c>
      <c r="S2343" t="n">
        <v>0</v>
      </c>
      <c r="U2343" t="n">
        <v>0</v>
      </c>
    </row>
    <row r="2345">
      <c r="A2345" t="inlineStr">
        <is>
          <t>Average Buff Multiplier</t>
        </is>
      </c>
      <c r="B2345">
        <f>(1+(IF(C2319=TRUE,F2319*IF(AND(Inputs!$B$39&lt;&gt;"pvp",Inputs!$B$44&gt;0),(((R2319-1)*(Skills!S3*(1+((Inputs!$B$35+(ArtifactsInput!$M$7-ArtifactsInput!$M$7)*CHOOSE(ArtifactsInput!$N$7+1,6,7.2,8.4,9.6,10.8,12))+IF(Inputs!$B$3&gt;=117,F2342,0))/100))+MIN((Skills!S3*(1+((Inputs!$B$35+(ArtifactsInput!$M$7-ArtifactsInput!$M$7)*CHOOSE(ArtifactsInput!$N$7+1,6,7.2,8.4,9.6,10.8,12))+IF(Inputs!$B$3&gt;=117,F2342,0))/100)),MAX(0,Inputs!$B$44-((R2319-1)*Skills!D3))))/Inputs!$B$44),IF(Inputs!$B$39="pvp",MIN((Skills!S3*(1+((Inputs!$B$35+(ArtifactsInput!$M$7-ArtifactsInput!$M$7)*CHOOSE(ArtifactsInput!$N$7+1,6,7.2,8.4,9.6,10.8,12))+IF(Inputs!$B$3&gt;=117,F2342,0))/100)),15)/15,(Skills!S3*(1+((Inputs!$B$35+(ArtifactsInput!$M$7-ArtifactsInput!$M$7)*CHOOSE(ArtifactsInput!$N$7+1,6,7.2,8.4,9.6,10.8,12))+IF(Inputs!$B$3&gt;=117,F2342,0))/100))/Skills!D3)),0)+IF(C2320=TRUE,F2320*IF(AND(Inputs!$B$39&lt;&gt;"pvp",Inputs!$B$44&gt;0),(((R2320-1)*(Skills!S4*(1+((Inputs!$B$35+(ArtifactsInput!$M$7-ArtifactsInput!$M$7)*CHOOSE(ArtifactsInput!$N$7+1,6,7.2,8.4,9.6,10.8,12))+IF(Inputs!$B$3&gt;=117,F2342,0))/100))+MIN((Skills!S4*(1+((Inputs!$B$35+(ArtifactsInput!$M$7-ArtifactsInput!$M$7)*CHOOSE(ArtifactsInput!$N$7+1,6,7.2,8.4,9.6,10.8,12))+IF(Inputs!$B$3&gt;=117,F2342,0))/100)),MAX(0,Inputs!$B$44-((R2320-1)*Skills!D4))))/Inputs!$B$44),IF(Inputs!$B$39="pvp",MIN((Skills!S4*(1+((Inputs!$B$35+(ArtifactsInput!$M$7-ArtifactsInput!$M$7)*CHOOSE(ArtifactsInput!$N$7+1,6,7.2,8.4,9.6,10.8,12))+IF(Inputs!$B$3&gt;=117,F2342,0))/100)),15)/15,(Skills!S4*(1+((Inputs!$B$35+(ArtifactsInput!$M$7-ArtifactsInput!$M$7)*CHOOSE(ArtifactsInput!$N$7+1,6,7.2,8.4,9.6,10.8,12))+IF(Inputs!$B$3&gt;=117,F2342,0))/100))/Skills!D4)),0)+IF(C2321=TRUE,F2321*IF(AND(Inputs!$B$39&lt;&gt;"pvp",Inputs!$B$44&gt;0),(((R2321-1)*(Skills!S5*(1+((Inputs!$B$35+(ArtifactsInput!$M$7-ArtifactsInput!$M$7)*CHOOSE(ArtifactsInput!$N$7+1,6,7.2,8.4,9.6,10.8,12))+IF(Inputs!$B$3&gt;=117,F2342,0))/100))+MIN((Skills!S5*(1+((Inputs!$B$35+(ArtifactsInput!$M$7-ArtifactsInput!$M$7)*CHOOSE(ArtifactsInput!$N$7+1,6,7.2,8.4,9.6,10.8,12))+IF(Inputs!$B$3&gt;=117,F2342,0))/100)),MAX(0,Inputs!$B$44-((R2321-1)*Skills!D5))))/Inputs!$B$44),IF(Inputs!$B$39="pvp",MIN((Skills!S5*(1+((Inputs!$B$35+(ArtifactsInput!$M$7-ArtifactsInput!$M$7)*CHOOSE(ArtifactsInput!$N$7+1,6,7.2,8.4,9.6,10.8,12))+IF(Inputs!$B$3&gt;=117,F2342,0))/100)),15)/15,(Skills!S5*(1+((Inputs!$B$35+(ArtifactsInput!$M$7-ArtifactsInput!$M$7)*CHOOSE(ArtifactsInput!$N$7+1,6,7.2,8.4,9.6,10.8,12))+IF(Inputs!$B$3&gt;=117,F2342,0))/100))/Skills!D5)),0)+IF(C2327=TRUE,F2327*IF(AND(Inputs!$B$39&lt;&gt;"pvp",Inputs!$B$44&gt;0),(((R2327-1)*(Skills!S11*(1+((Inputs!$B$35+(ArtifactsInput!$M$7-ArtifactsInput!$M$7)*CHOOSE(ArtifactsInput!$N$7+1,6,7.2,8.4,9.6,10.8,12))+IF(Inputs!$B$3&gt;=117,F2342,0))/100))+MIN((Skills!S11*(1+((Inputs!$B$35+(ArtifactsInput!$M$7-ArtifactsInput!$M$7)*CHOOSE(ArtifactsInput!$N$7+1,6,7.2,8.4,9.6,10.8,12))+IF(Inputs!$B$3&gt;=117,F2342,0))/100)),MAX(0,Inputs!$B$44-((R2327-1)*Skills!D11))))/Inputs!$B$44),IF(Inputs!$B$39="pvp",MIN((Skills!S11*(1+((Inputs!$B$35+(ArtifactsInput!$M$7-ArtifactsInput!$M$7)*CHOOSE(ArtifactsInput!$N$7+1,6,7.2,8.4,9.6,10.8,12))+IF(Inputs!$B$3&gt;=117,F2342,0))/100)),15)/15,(Skills!S11*(1+((Inputs!$B$35+(ArtifactsInput!$M$7-ArtifactsInput!$M$7)*CHOOSE(ArtifactsInput!$N$7+1,6,7.2,8.4,9.6,10.8,12))+IF(Inputs!$B$3&gt;=117,F2342,0)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2330=TRUE,(1+F2330*IF(AND(Inputs!$B$39&lt;&gt;"pvp",Inputs!$B$44&gt;0),(((R2330-1)*(Skills!S14*(1+((Inputs!$B$35+(ArtifactsInput!$M$7-ArtifactsInput!$M$7)*CHOOSE(ArtifactsInput!$N$7+1,6,7.2,8.4,9.6,10.8,12))+IF(Inputs!$B$3&gt;=117,F2342,0))/100))+MIN((Skills!S14*(1+((Inputs!$B$35+(ArtifactsInput!$M$7-ArtifactsInput!$M$7)*CHOOSE(ArtifactsInput!$N$7+1,6,7.2,8.4,9.6,10.8,12))+IF(Inputs!$B$3&gt;=117,F2342,0))/100)),MAX(0,Inputs!$B$44-((R2330-1)*Skills!D14))))/Inputs!$B$44),IF(Inputs!$B$39="pvp",MIN((Skills!S14*(1+((Inputs!$B$35+(ArtifactsInput!$M$7-ArtifactsInput!$M$7)*CHOOSE(ArtifactsInput!$N$7+1,6,7.2,8.4,9.6,10.8,12))+IF(Inputs!$B$3&gt;=117,F2342,0))/100)),15)/15,(Skills!S14*(1+((Inputs!$B$35+(ArtifactsInput!$M$7-ArtifactsInput!$M$7)*CHOOSE(ArtifactsInput!$N$7+1,6,7.2,8.4,9.6,10.8,12))+IF(Inputs!$B$3&gt;=117,F2342,0))/100))/Skills!D14))/100),1)*IF(C2335=TRUE,(1+F2335*IF(AND(Inputs!$B$39&lt;&gt;"pvp",Inputs!$B$44&gt;0),(((R2335-1)*(Skills!S19*(1+((Inputs!$B$35+(ArtifactsInput!$M$7-ArtifactsInput!$M$7)*CHOOSE(ArtifactsInput!$N$7+1,6,7.2,8.4,9.6,10.8,12))+IF(Inputs!$B$3&gt;=117,F2342,0))/100))+MIN((Skills!S19*(1+((Inputs!$B$35+(ArtifactsInput!$M$7-ArtifactsInput!$M$7)*CHOOSE(ArtifactsInput!$N$7+1,6,7.2,8.4,9.6,10.8,12))+IF(Inputs!$B$3&gt;=117,F2342,0))/100)),MAX(0,Inputs!$B$44-((R2335-1)*Skills!D19))))/Inputs!$B$44),IF(Inputs!$B$39="pvp",MIN((Skills!S19*(1+((Inputs!$B$35+(ArtifactsInput!$M$7-ArtifactsInput!$M$7)*CHOOSE(ArtifactsInput!$N$7+1,6,7.2,8.4,9.6,10.8,12))+IF(Inputs!$B$3&gt;=117,F2342,0))/100)),15)/15,(Skills!S19*(1+((Inputs!$B$35+(ArtifactsInput!$M$7-ArtifactsInput!$M$7)*CHOOSE(ArtifactsInput!$N$7+1,6,7.2,8.4,9.6,10.8,12))+IF(Inputs!$B$3&gt;=117,F2342,0))/100))/Skills!D19))/100),1)</f>
        <v/>
      </c>
    </row>
    <row r="2346">
      <c r="A2346" t="inlineStr">
        <is>
          <t>Monster Damage Taken Bonus % (Holy Fountain)</t>
        </is>
      </c>
      <c r="B2346">
        <f>IF(Inputs!$B$3&gt;=68,20*IF(Inputs!$B$39="pvp",MIN((15*(1+((Inputs!$B$35+(ArtifactsInput!$M$7-ArtifactsInput!$M$7)*CHOOSE(ArtifactsInput!$N$7+1,6,7.2,8.4,9.6,10.8,12))+IF(Inputs!$B$3&gt;=117,F2342,0))/100)),15)/15,(15*(1+((Inputs!$B$35+(ArtifactsInput!$M$7-ArtifactsInput!$M$7)*CHOOSE(ArtifactsInput!$N$7+1,6,7.2,8.4,9.6,10.8,12))+IF(Inputs!$B$3&gt;=117,F2342,0))/100))/Skills!D10),0)</f>
        <v/>
      </c>
    </row>
    <row r="2347">
      <c r="A2347" t="inlineStr">
        <is>
          <t>Normal Monster Damage Bonus % (Holy Symbol)</t>
        </is>
      </c>
      <c r="B2347">
        <f>IF(C2328=TRUE,F2328*IF(AND(Inputs!$B$39&lt;&gt;"pvp",Inputs!$B$44&gt;0),(((R2328-1)*(Skills!S12*(1+((Inputs!$B$35+(ArtifactsInput!$M$7-ArtifactsInput!$M$7)*CHOOSE(ArtifactsInput!$N$7+1,6,7.2,8.4,9.6,10.8,12))+IF(Inputs!$B$3&gt;=117,F2342,0))/100))+MIN((Skills!S12*(1+((Inputs!$B$35+(ArtifactsInput!$M$7-ArtifactsInput!$M$7)*CHOOSE(ArtifactsInput!$N$7+1,6,7.2,8.4,9.6,10.8,12))+IF(Inputs!$B$3&gt;=117,F2342,0))/100)),MAX(0,Inputs!$B$44-((R2328-1)*Skills!D12))))/Inputs!$B$44),IF(Inputs!$B$39="pvp",MIN((Skills!S12*(1+((Inputs!$B$35+(ArtifactsInput!$M$7-ArtifactsInput!$M$7)*CHOOSE(ArtifactsInput!$N$7+1,6,7.2,8.4,9.6,10.8,12))+IF(Inputs!$B$3&gt;=117,F2342,0))/100)),15)/15,(Skills!S12*(1+((Inputs!$B$35+(ArtifactsInput!$M$7-ArtifactsInput!$M$7)*CHOOSE(ArtifactsInput!$N$7+1,6,7.2,8.4,9.6,10.8,12))+IF(Inputs!$B$3&gt;=117,F2342,0))/100))/Skills!D12)),0)</f>
        <v/>
      </c>
    </row>
    <row r="2348">
      <c r="A2348" t="inlineStr">
        <is>
          <t>Damage % Bonus (Holy Symbol - Damage Boost)</t>
        </is>
      </c>
      <c r="B2348">
        <f>Skills!O12</f>
        <v/>
      </c>
    </row>
    <row r="2349">
      <c r="A2349" t="inlineStr">
        <is>
          <t>Crit Damage % Bonus (Blood of the Divine)</t>
        </is>
      </c>
      <c r="B2349">
        <f>4*IF(C2336=TRUE,F2336,0)</f>
        <v/>
      </c>
    </row>
    <row r="2350">
      <c r="A2350" t="inlineStr">
        <is>
          <t>Attack Speed Bonus %</t>
        </is>
      </c>
      <c r="B2350">
        <f>IF(C2333=TRUE,F2333+(F2337-Calc!F21),0)+IF(Inputs!$B$3&gt;=134,15,0)</f>
        <v/>
      </c>
    </row>
    <row r="2351">
      <c r="A2351" t="inlineStr">
        <is>
          <t>Actions Per Second</t>
        </is>
      </c>
      <c r="B2351">
        <f>1+MIN(150,150*(1-(1-Inputs!$B$12/150)*(1-B2350/150)))/100</f>
        <v/>
      </c>
    </row>
    <row r="2352">
      <c r="A2352" t="inlineStr">
        <is>
          <t>Skill + Buff Cast Rate</t>
        </is>
      </c>
      <c r="B2352">
        <f>IF(AND(Inputs!$B$39&lt;&gt;"pvp",Inputs!$B$44&gt;0),SUMPRODUCT((Skills!E2:E27=TRUE)*(C2318:C2343=TRUE)*R2318:R2343)/Inputs!$B$44,SUMPRODUCT((Skills!E2:E27=TRUE)*(C2318:C2343=TRUE)*Q2318:Q2343))</f>
        <v/>
      </c>
    </row>
    <row r="2353">
      <c r="A2353" t="inlineStr">
        <is>
          <t>Big Bang Casts Per Second</t>
        </is>
      </c>
      <c r="B2353">
        <f>MAX(0,B2351-B2352)</f>
        <v/>
      </c>
    </row>
    <row r="2354">
      <c r="A2354" t="inlineStr">
        <is>
          <t>Defense % Bonus (Divine Protection)</t>
        </is>
      </c>
      <c r="B2354">
        <f>IF(C2329=TRUE,F2329*IF(AND(Inputs!$B$39&lt;&gt;"pvp",Inputs!$B$44&gt;0),(((R2329-1)*(Skills!S13*(1+((Inputs!$B$35+(ArtifactsInput!$M$7-ArtifactsInput!$M$7)*CHOOSE(ArtifactsInput!$N$7+1,6,7.2,8.4,9.6,10.8,12))+IF(Inputs!$B$3&gt;=117,F2342,0))/100))+MIN((Skills!S13*(1+((Inputs!$B$35+(ArtifactsInput!$M$7-ArtifactsInput!$M$7)*CHOOSE(ArtifactsInput!$N$7+1,6,7.2,8.4,9.6,10.8,12))+IF(Inputs!$B$3&gt;=117,F2342,0))/100)),MAX(0,Inputs!$B$44-((R2329-1)*Skills!D13))))/Inputs!$B$44),IF(Inputs!$B$39="pvp",MIN((Skills!S13*(1+((Inputs!$B$35+(ArtifactsInput!$M$7-ArtifactsInput!$M$7)*CHOOSE(ArtifactsInput!$N$7+1,6,7.2,8.4,9.6,10.8,12))+IF(Inputs!$B$3&gt;=117,F2342,0))/100)),15)/15,(Skills!S13*(1+((Inputs!$B$35+(ArtifactsInput!$M$7-ArtifactsInput!$M$7)*CHOOSE(ArtifactsInput!$N$7+1,6,7.2,8.4,9.6,10.8,12))+IF(Inputs!$B$3&gt;=117,F2342,0))/100))/Skills!D13)),0)</f>
        <v/>
      </c>
    </row>
    <row r="2355">
      <c r="A2355" t="inlineStr">
        <is>
          <t>Buff-Casting Startup Delay (s, fixed-duration only)</t>
        </is>
      </c>
      <c r="B2355">
        <f>IF(AND(Inputs!$B$39&lt;&gt;"pvp",Inputs!$B$44&gt;0),SUMPRODUCT((Skills!S2:S27&gt;0)*(Skills!E2:E27=TRUE)*(C2318:C2343=TRUE))/B2351,0)</f>
        <v/>
      </c>
    </row>
    <row r="2356">
      <c r="A2356" t="inlineStr">
        <is>
          <t>Boss-Only Total DPS (this block's swept value)</t>
        </is>
      </c>
      <c r="B2356">
        <f>SUM(S2318:S2343)</f>
        <v/>
      </c>
    </row>
    <row r="2357">
      <c r="A2357" t="inlineStr">
        <is>
          <t>Normal-Only Total DPS (this block's swept value)</t>
        </is>
      </c>
      <c r="B2357">
        <f>SUM(U2318:U2343)</f>
        <v/>
      </c>
    </row>
    <row r="2358">
      <c r="A2358" s="6" t="inlineStr">
        <is>
          <t>TOTAL DPS</t>
        </is>
      </c>
      <c r="B2358" s="6">
        <f>SUM(O2318:O2343)</f>
        <v/>
      </c>
    </row>
    <row r="2360">
      <c r="A2360" s="6" t="inlineStr">
        <is>
          <t>Stat: Flaming Lava (Equip)</t>
        </is>
      </c>
    </row>
    <row r="2361">
      <c r="A2361" s="5" t="inlineStr">
        <is>
          <t>Key</t>
        </is>
      </c>
      <c r="B2361" s="5" t="inlineStr">
        <is>
          <t>Name</t>
        </is>
      </c>
      <c r="C2361" s="5" t="inlineStr">
        <is>
          <t>Unlocked</t>
        </is>
      </c>
      <c r="D2361" s="5" t="inlineStr">
        <is>
          <t>InputLevel</t>
        </is>
      </c>
      <c r="E2361" s="5" t="inlineStr">
        <is>
          <t>Factor</t>
        </is>
      </c>
      <c r="F2361" s="5" t="inlineStr">
        <is>
          <t>CoefficientPercent</t>
        </is>
      </c>
      <c r="G2361" s="5" t="inlineStr">
        <is>
          <t>EffectiveHits</t>
        </is>
      </c>
      <c r="H2361" s="5" t="inlineStr">
        <is>
          <t>ProcProbability</t>
        </is>
      </c>
      <c r="I2361" s="5" t="inlineStr">
        <is>
          <t>MapleHeroMultiplier</t>
        </is>
      </c>
      <c r="J2361" s="5" t="inlineStr">
        <is>
          <t>BaseDamage</t>
        </is>
      </c>
      <c r="K2361" s="5" t="inlineStr">
        <is>
          <t>BaseHitDamage</t>
        </is>
      </c>
      <c r="L2361" s="5" t="inlineStr">
        <is>
          <t>NonCritAvg</t>
        </is>
      </c>
      <c r="M2361" s="5" t="inlineStr">
        <is>
          <t>CritAvg</t>
        </is>
      </c>
      <c r="N2361" s="5" t="inlineStr">
        <is>
          <t>ExpectedDamage(perHit)</t>
        </is>
      </c>
      <c r="O2361" s="5" t="inlineStr">
        <is>
          <t>DPS</t>
        </is>
      </c>
      <c r="P2361" s="5" t="inlineStr">
        <is>
          <t>% of Total</t>
        </is>
      </c>
      <c r="R2361" t="inlineStr">
        <is>
          <t>helpers</t>
        </is>
      </c>
    </row>
    <row r="2362">
      <c r="A2362">
        <f>Skills!A2</f>
        <v/>
      </c>
      <c r="B2362">
        <f>Skills!B2</f>
        <v/>
      </c>
      <c r="C2362">
        <f>Inputs!$B$3&gt;=100</f>
        <v/>
      </c>
      <c r="D2362" t="inlineStr"/>
      <c r="E2362" t="inlineStr"/>
      <c r="F2362">
        <f>T2364+Skills!N2</f>
        <v/>
      </c>
      <c r="G2362">
        <f>Calc!G2</f>
        <v/>
      </c>
      <c r="H2362">
        <f>Calc!H2</f>
        <v/>
      </c>
      <c r="I2362">
        <f>IF(Skills!T2&lt;&gt;"",1+(Skills!T2/10)*($Z$3/1000)/100,1)</f>
        <v/>
      </c>
      <c r="J2362">
        <f>((Inputs!$B$6*(1+Inputs!$B$7/100))+(((Inputs!$B$13*(1+Inputs!$B$14/100))-(Inputs!$B$13*(1+Inputs!$B$14/100)))+0.25*(Inputs!$B$15-Inputs!$B$15))*(1+Inputs!$B$7/100))*(F2362/100)</f>
        <v/>
      </c>
      <c r="K2362">
        <f>J2362*(1+(((Inputs!$B$13+IF(Inputs!$B$3&gt;=35,(10*INDEX(FactorTable!$B$2:$Y$301,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2="TRIUMPH_FEATHER",IF(C2376=TRUE,F2376,0),0)/100)*(1+IF(C2387=TRUE,F2387,0)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2362)</f>
        <v/>
      </c>
      <c r="L2362">
        <f>K2362*(MIN(Inputs!$B$23+(F2382-Calc!F22),(Inputs!$B$24+IF(ArtifactsInput!$M$15,CHOOSE(ArtifactsInput!$N$15+1,25,30,35,40,45,50)/100*(Inputs!$B$12-Inputs!$B$12),0)))/100+(Inputs!$B$24+IF(ArtifactsInput!$M$15,CHOOSE(ArtifactsInput!$N$15+1,25,30,35,40,45,50)/100*(Inputs!$B$12-Inputs!$B$12),0))/100)/2</f>
        <v/>
      </c>
      <c r="M2362">
        <f>L2362*(1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2">
        <f>L2362*(1-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2362*(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2">
        <f>(1-Summary!$B$11)*S2362+Summary!$B$11*U2362</f>
        <v/>
      </c>
      <c r="P2362">
        <f>IF(B2402=0,0,O2362/B2402)</f>
        <v/>
      </c>
      <c r="Q2362">
        <f>IFERROR(1/(IF(Inputs!$B$39="pvp",15,MAX(0.1,Skills!D2-IF(Skills!E2=TRUE,Inputs!$B$33,0)))*(1-IF(AND(ArtifactsInput!$M$27,Inputs!$B$4="Chapter Hunt"),CHOOSE(ArtifactsInput!$N$27+1,20,24,28,32,36,40),0)/100)),0)</f>
        <v/>
      </c>
      <c r="R2362" t="n">
        <v>0</v>
      </c>
      <c r="S2362">
        <f>IF(C2362,(Skills!F2*N2362*B2397)*IF(Inputs!$B$39="pvp",1,1+(Inputs!$B$21+Skills!O2+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2362*(1-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2362*(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2362*(1-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2362*(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2">
        <f>MAX(0,(Inputs!$B$3-100)*3)+Inputs!$B$29+Inputs!$B$30</f>
        <v/>
      </c>
      <c r="U2362">
        <f>IF(C2362,(Skills!F2*N2362*B2397)*IF(Inputs!$B$39="pvp",1,(1+(Inputs!$B$22+Skills!P2+B2391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3">
      <c r="A2363">
        <f>Skills!A3</f>
        <v/>
      </c>
      <c r="B2363">
        <f>Skills!B3</f>
        <v/>
      </c>
      <c r="C2363">
        <f>Inputs!$B$3&gt;=15</f>
        <v/>
      </c>
      <c r="D2363">
        <f>IF(Skills!C3=1,60+Inputs!$B$26+Inputs!$B$30,IF(Skills!C3=2,90+Inputs!$B$27+Inputs!$B$30,IF(Skills!C3=3,120+Inputs!$B$28+Inputs!$B$30,MAX(0,(Inputs!$B$3-100)*3)+Inputs!$B$29+Inputs!$B$30)))</f>
        <v/>
      </c>
      <c r="E2363">
        <f>INDEX(FactorTable!$B$2:$Y$301, MATCH(ROUND(MIN(300,MAX(1,D2363)),0), FactorTable!$A$2:$A$301,0), Skills!L3+1)</f>
        <v/>
      </c>
      <c r="F2363">
        <f>IF(Skills!M3=TRUE,(Skills!K3/10)*(E2363/1000),Skills!K3/10)+Skills!N3</f>
        <v/>
      </c>
      <c r="G2363">
        <f>Calc!G3</f>
        <v/>
      </c>
      <c r="H2363">
        <f>Calc!H3</f>
        <v/>
      </c>
      <c r="I2363">
        <f>IF(Skills!T3&lt;&gt;"",1+(Skills!T3/10)*($Z$3/1000)/100,1)</f>
        <v/>
      </c>
      <c r="J2363" t="inlineStr"/>
      <c r="K2363" t="inlineStr"/>
      <c r="L2363" t="inlineStr"/>
      <c r="M2363" t="inlineStr"/>
      <c r="N2363" t="inlineStr"/>
      <c r="O2363">
        <f>(1-Summary!$B$11)*S2363+Summary!$B$11*U2363</f>
        <v/>
      </c>
      <c r="P2363">
        <f>IF(B2402=0,0,O2363/B2402)</f>
        <v/>
      </c>
      <c r="Q2363">
        <f>IFERROR(1/(IF(Inputs!$B$39="pvp",15,MAX(0.1,Skills!D3-IF(Skills!E3=TRUE,Inputs!$B$33,0)))*(1-IF(AND(ArtifactsInput!$M$27,Inputs!$B$4="Chapter Hunt"),CHOOSE(ArtifactsInput!$N$27+1,20,24,28,32,36,40),0)/100)),0)</f>
        <v/>
      </c>
      <c r="R2363">
        <f>IF(AND(Inputs!$B$39&lt;&gt;"pvp",Inputs!$B$44&gt;0),IF(Inputs!$B$44&lt;=0,0,(INT(Inputs!$B$44/(IF(Inputs!$B$39="pvp",15,MAX(0.1,Skills!D3-IF(Skills!E3=TRUE,Inputs!$B$33,0)))*(1-IF(AND(ArtifactsInput!$M$27,Inputs!$B$4="Chapter Hunt"),CHOOSE(ArtifactsInput!$N$27+1,20,24,28,32,36,40),0)/100)))+1)),0)</f>
        <v/>
      </c>
      <c r="S2363" t="n">
        <v>0</v>
      </c>
      <c r="T2363">
        <f>INDEX(FactorTable!$B$2:$Y$301, MATCH(ROUND(MIN(300,MAX(1,T2362)),0), FactorTable!$A$2:$A$301,0), 22)</f>
        <v/>
      </c>
      <c r="U2363" t="n">
        <v>0</v>
      </c>
    </row>
    <row r="2364">
      <c r="A2364">
        <f>Skills!A4</f>
        <v/>
      </c>
      <c r="B2364">
        <f>Skills!B4</f>
        <v/>
      </c>
      <c r="C2364">
        <f>Inputs!$B$3&gt;=38</f>
        <v/>
      </c>
      <c r="D2364">
        <f>IF(Skills!C4=1,60+Inputs!$B$26+Inputs!$B$30,IF(Skills!C4=2,90+Inputs!$B$27+Inputs!$B$30,IF(Skills!C4=3,120+Inputs!$B$28+Inputs!$B$30,MAX(0,(Inputs!$B$3-100)*3)+Inputs!$B$29+Inputs!$B$30)))</f>
        <v/>
      </c>
      <c r="E2364">
        <f>INDEX(FactorTable!$B$2:$Y$301, MATCH(ROUND(MIN(300,MAX(1,D2364)),0), FactorTable!$A$2:$A$301,0), Skills!L4+1)</f>
        <v/>
      </c>
      <c r="F2364">
        <f>IF(Skills!M4=TRUE,(Skills!K4/10)*(E2364/1000),Skills!K4/10)+Skills!N4</f>
        <v/>
      </c>
      <c r="G2364">
        <f>Calc!G4</f>
        <v/>
      </c>
      <c r="H2364">
        <f>Calc!H4</f>
        <v/>
      </c>
      <c r="I2364">
        <f>IF(Skills!T4&lt;&gt;"",1+(Skills!T4/10)*($Z$3/1000)/100,1)</f>
        <v/>
      </c>
      <c r="J2364" t="inlineStr"/>
      <c r="K2364" t="inlineStr"/>
      <c r="L2364" t="inlineStr"/>
      <c r="M2364" t="inlineStr"/>
      <c r="N2364" t="inlineStr"/>
      <c r="O2364">
        <f>(1-Summary!$B$11)*S2364+Summary!$B$11*U2364</f>
        <v/>
      </c>
      <c r="P2364">
        <f>IF(B2402=0,0,O2364/B2402)</f>
        <v/>
      </c>
      <c r="Q2364">
        <f>IFERROR(1/(IF(Inputs!$B$39="pvp",15,MAX(0.1,Skills!D4-IF(Skills!E4=TRUE,Inputs!$B$33,0)))*(1-IF(AND(ArtifactsInput!$M$27,Inputs!$B$4="Chapter Hunt"),CHOOSE(ArtifactsInput!$N$27+1,20,24,28,32,36,40),0)/100)),0)</f>
        <v/>
      </c>
      <c r="R2364">
        <f>IF(AND(Inputs!$B$39&lt;&gt;"pvp",Inputs!$B$44&gt;0),IF(Inputs!$B$44&lt;=0,0,(INT(Inputs!$B$44/(IF(Inputs!$B$39="pvp",15,MAX(0.1,Skills!D4-IF(Skills!E4=TRUE,Inputs!$B$33,0)))*(1-IF(AND(ArtifactsInput!$M$27,Inputs!$B$4="Chapter Hunt"),CHOOSE(ArtifactsInput!$N$27+1,20,24,28,32,36,40),0)/100)))+1)),0)</f>
        <v/>
      </c>
      <c r="S2364" t="n">
        <v>0</v>
      </c>
      <c r="T2364">
        <f>290*T2363/1000</f>
        <v/>
      </c>
      <c r="U2364" t="n">
        <v>0</v>
      </c>
    </row>
    <row r="2365">
      <c r="A2365">
        <f>Skills!A5</f>
        <v/>
      </c>
      <c r="B2365">
        <f>Skills!B5</f>
        <v/>
      </c>
      <c r="C2365">
        <f>Inputs!$B$3&gt;=40</f>
        <v/>
      </c>
      <c r="D2365">
        <f>IF(Skills!C5=1,60+Inputs!$B$26+Inputs!$B$30,IF(Skills!C5=2,90+Inputs!$B$27+Inputs!$B$30,IF(Skills!C5=3,120+Inputs!$B$28+Inputs!$B$30,MAX(0,(Inputs!$B$3-100)*3)+Inputs!$B$29+Inputs!$B$30)))</f>
        <v/>
      </c>
      <c r="E2365">
        <f>INDEX(FactorTable!$B$2:$Y$301, MATCH(ROUND(MIN(300,MAX(1,D2365)),0), FactorTable!$A$2:$A$301,0), Skills!L5+1)</f>
        <v/>
      </c>
      <c r="F2365">
        <f>IF(Skills!M5=TRUE,(Skills!K5/10)*(E2365/1000),Skills!K5/10)+Skills!N5</f>
        <v/>
      </c>
      <c r="G2365">
        <f>Calc!G5</f>
        <v/>
      </c>
      <c r="H2365">
        <f>Calc!H5</f>
        <v/>
      </c>
      <c r="I2365">
        <f>IF(Skills!T5&lt;&gt;"",1+(Skills!T5/10)*($Z$3/1000)/100,1)</f>
        <v/>
      </c>
      <c r="J2365" t="inlineStr"/>
      <c r="K2365" t="inlineStr"/>
      <c r="L2365" t="inlineStr"/>
      <c r="M2365" t="inlineStr"/>
      <c r="N2365" t="inlineStr"/>
      <c r="O2365">
        <f>(1-Summary!$B$11)*S2365+Summary!$B$11*U2365</f>
        <v/>
      </c>
      <c r="P2365">
        <f>IF(B2402=0,0,O2365/B2402)</f>
        <v/>
      </c>
      <c r="Q2365">
        <f>IFERROR(1/(IF(Inputs!$B$39="pvp",15,MAX(0.1,Skills!D5-IF(Skills!E5=TRUE,Inputs!$B$33,0)))*(1-IF(AND(ArtifactsInput!$M$27,Inputs!$B$4="Chapter Hunt"),CHOOSE(ArtifactsInput!$N$27+1,20,24,28,32,36,40),0)/100)),0)</f>
        <v/>
      </c>
      <c r="R2365">
        <f>IF(AND(Inputs!$B$39&lt;&gt;"pvp",Inputs!$B$44&gt;0),IF(Inputs!$B$44&lt;=0,0,(INT(Inputs!$B$44/(IF(Inputs!$B$39="pvp",15,MAX(0.1,Skills!D5-IF(Skills!E5=TRUE,Inputs!$B$33,0)))*(1-IF(AND(ArtifactsInput!$M$27,Inputs!$B$4="Chapter Hunt"),CHOOSE(ArtifactsInput!$N$27+1,20,24,28,32,36,40),0)/100)))+1)),0)</f>
        <v/>
      </c>
      <c r="S2365" t="n">
        <v>0</v>
      </c>
      <c r="U2365" t="n">
        <v>0</v>
      </c>
    </row>
    <row r="2366">
      <c r="A2366">
        <f>Skills!A6</f>
        <v/>
      </c>
      <c r="B2366">
        <f>Skills!B6</f>
        <v/>
      </c>
      <c r="C2366">
        <f>Inputs!$B$3&gt;=103</f>
        <v/>
      </c>
      <c r="D2366">
        <f>IF(Skills!C6=1,60+Inputs!$B$26+Inputs!$B$30,IF(Skills!C6=2,90+Inputs!$B$27+Inputs!$B$30,IF(Skills!C6=3,120+Inputs!$B$28+Inputs!$B$30,MAX(0,(Inputs!$B$3-100)*3)+Inputs!$B$29+Inputs!$B$30)))</f>
        <v/>
      </c>
      <c r="E2366">
        <f>INDEX(FactorTable!$B$2:$Y$301, MATCH(ROUND(MIN(300,MAX(1,D2366)),0), FactorTable!$A$2:$A$301,0), Skills!L6+1)</f>
        <v/>
      </c>
      <c r="F2366">
        <f>IF(Skills!M6=TRUE,(Skills!K6/10)*(E2366/1000),Skills!K6/10)+Skills!N6</f>
        <v/>
      </c>
      <c r="G2366">
        <f>Calc!G6</f>
        <v/>
      </c>
      <c r="H2366">
        <f>Calc!H6</f>
        <v/>
      </c>
      <c r="I2366">
        <f>IF(Skills!T6&lt;&gt;"",1+(Skills!T6/10)*($Z$3/1000)/100,1)</f>
        <v/>
      </c>
      <c r="J2366">
        <f>((Inputs!$B$6*(1+Inputs!$B$7/100))+(((Inputs!$B$13*(1+Inputs!$B$14/100))-(Inputs!$B$13*(1+Inputs!$B$14/100)))+0.25*(Inputs!$B$15-Inputs!$B$15))*(1+Inputs!$B$7/100))*(F2366/100)</f>
        <v/>
      </c>
      <c r="K2366">
        <f>J2366*(1+(((Inputs!$B$13+IF(Inputs!$B$3&gt;=35,(10*INDEX(FactorTable!$B$2:$Y$301,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6="TRIUMPH_FEATHER",IF(C2376=TRUE,F2376,0),0)/100)*(1+IF(C2387=TRUE,F2387,0)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2366)</f>
        <v/>
      </c>
      <c r="L2366">
        <f>K2366*(MIN(Inputs!$B$23+(F2382-Calc!F22),(Inputs!$B$24+IF(ArtifactsInput!$M$15,CHOOSE(ArtifactsInput!$N$15+1,25,30,35,40,45,50)/100*(Inputs!$B$12-Inputs!$B$12),0)))/100+(Inputs!$B$24+IF(ArtifactsInput!$M$15,CHOOSE(ArtifactsInput!$N$15+1,25,30,35,40,45,50)/100*(Inputs!$B$12-Inputs!$B$12),0))/100)/2</f>
        <v/>
      </c>
      <c r="M2366">
        <f>L2366*(1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6">
        <f>L2366*(1-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2366*(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6">
        <f>(1-Summary!$B$11)*S2366+Summary!$B$11*U2366</f>
        <v/>
      </c>
      <c r="P2366">
        <f>IF(B2402=0,0,O2366/B2402)</f>
        <v/>
      </c>
      <c r="Q2366">
        <f>IFERROR(1/(IF(Inputs!$B$39="pvp",15,MAX(0.1,Skills!D6-IF(Skills!E6=TRUE,Inputs!$B$33,0)))*(1-IF(AND(ArtifactsInput!$M$27,Inputs!$B$4="Chapter Hunt"),CHOOSE(ArtifactsInput!$N$27+1,20,24,28,32,36,40),0)/100)),0)</f>
        <v/>
      </c>
      <c r="R2366">
        <f>IF(AND(Inputs!$B$39&lt;&gt;"pvp",Inputs!$B$44&gt;0),IF(MAX(0,Inputs!$B$44-B2399)&lt;=0,0,(INT(MAX(0,Inputs!$B$44-B2399)/(IF(Inputs!$B$39="pvp",15,MAX(0.1,Skills!D6-IF(Skills!E6=TRUE,Inputs!$B$33,0)))*(1-IF(AND(ArtifactsInput!$M$27,Inputs!$B$4="Chapter Hunt"),CHOOSE(ArtifactsInput!$N$27+1,20,24,28,32,36,40),0)/100)))+1)),0)</f>
        <v/>
      </c>
      <c r="S2366">
        <f>IF(C2366,(H2366*N2366*IF(AND(Inputs!$B$39&lt;&gt;"pvp",Inputs!$B$44&gt;0),((Skills!F6*((R2366-1)*IF(Skills!G6&gt;0,Skills!H6/Skills!G6,1)+IF(Skills!G6&gt;0,MIN(Skills!H6,MAX(0,MAX(0,Inputs!$B$44-B2399)-((R2366-1)*(IF(Inputs!$B$39="pvp",15,MAX(0.1,Skills!D6-IF(Skills!E6=TRUE,Inputs!$B$33,0)))*(1-IF(AND(ArtifactsInput!$M$27,Inputs!$B$4="Chapter Hunt"),CHOOSE(ArtifactsInput!$N$27+1,20,24,28,32,36,40),0)/100)))))/Skills!G6,1)))/Inputs!$B$44),G2366*Q2366))*IF(Inputs!$B$39="pvp",1,1+(Inputs!$B$21+Skills!O6+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2366*(1-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2366*(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2366*(1-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2366*(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6">
        <f>IF(C2366,(H2366*N2366*IF(AND(Inputs!$B$39&lt;&gt;"pvp",Inputs!$B$44&gt;0),((Skills!F6*((R2366-1)*IF(Skills!G6&gt;0,Skills!H6/Skills!G6,1)+IF(Skills!G6&gt;0,MIN(Skills!H6,MAX(0,MAX(0,Inputs!$B$44-B2399)-((R2366-1)*(IF(Inputs!$B$39="pvp",15,MAX(0.1,Skills!D6-IF(Skills!E6=TRUE,Inputs!$B$33,0)))*(1-IF(AND(ArtifactsInput!$M$27,Inputs!$B$4="Chapter Hunt"),CHOOSE(ArtifactsInput!$N$27+1,20,24,28,32,36,40),0)/100)))))/Skills!G6,1)))/Inputs!$B$44),G2366*Q2366))*IF(Inputs!$B$39="pvp",1,(1+(Inputs!$B$22+Skills!P6+B2391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7">
      <c r="A2367">
        <f>Skills!A7</f>
        <v/>
      </c>
      <c r="B2367">
        <f>Skills!B7</f>
        <v/>
      </c>
      <c r="C2367">
        <f>Inputs!$B$3&gt;=122</f>
        <v/>
      </c>
      <c r="D2367">
        <f>IF(Skills!C7=1,60+Inputs!$B$26+Inputs!$B$30,IF(Skills!C7=2,90+Inputs!$B$27+Inputs!$B$30,IF(Skills!C7=3,120+Inputs!$B$28+Inputs!$B$30,MAX(0,(Inputs!$B$3-100)*3)+Inputs!$B$29+Inputs!$B$30)))</f>
        <v/>
      </c>
      <c r="E2367">
        <f>INDEX(FactorTable!$B$2:$Y$301, MATCH(ROUND(MIN(300,MAX(1,D2367)),0), FactorTable!$A$2:$A$301,0), Skills!L7+1)</f>
        <v/>
      </c>
      <c r="F2367">
        <f>IF(Skills!M7=TRUE,(Skills!K7/10)*(E2367/1000),Skills!K7/10)+Skills!N7</f>
        <v/>
      </c>
      <c r="G2367">
        <f>Calc!G7</f>
        <v/>
      </c>
      <c r="H2367">
        <f>Calc!H7</f>
        <v/>
      </c>
      <c r="I2367">
        <f>IF(Skills!T7&lt;&gt;"",1+(Skills!T7/10)*($Z$3/1000)/100,1)</f>
        <v/>
      </c>
      <c r="J2367">
        <f>((Inputs!$B$6*(1+Inputs!$B$7/100))+(((Inputs!$B$13*(1+Inputs!$B$14/100))-(Inputs!$B$13*(1+Inputs!$B$14/100)))+0.25*(Inputs!$B$15-Inputs!$B$15))*(1+Inputs!$B$7/100))*(F2367/100)</f>
        <v/>
      </c>
      <c r="K2367">
        <f>J2367*(1+(((Inputs!$B$13+IF(Inputs!$B$3&gt;=35,(10*INDEX(FactorTable!$B$2:$Y$301,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7="TRIUMPH_FEATHER",IF(C2376=TRUE,F2376,0),0)/100)*(1+IF(C2387=TRUE,F2387,0)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2367)</f>
        <v/>
      </c>
      <c r="L2367">
        <f>K2367*(MIN(Inputs!$B$23+(F2382-Calc!F22),(Inputs!$B$24+IF(ArtifactsInput!$M$15,CHOOSE(ArtifactsInput!$N$15+1,25,30,35,40,45,50)/100*(Inputs!$B$12-Inputs!$B$12),0)))/100+(Inputs!$B$24+IF(ArtifactsInput!$M$15,CHOOSE(ArtifactsInput!$N$15+1,25,30,35,40,45,50)/100*(Inputs!$B$12-Inputs!$B$12),0))/100)/2</f>
        <v/>
      </c>
      <c r="M2367">
        <f>L2367*(1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7">
        <f>L2367*(1-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2367*(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7">
        <f>(1-Summary!$B$11)*S2367+Summary!$B$11*U2367</f>
        <v/>
      </c>
      <c r="P2367">
        <f>IF(B2402=0,0,O2367/B2402)</f>
        <v/>
      </c>
      <c r="Q2367">
        <f>IFERROR(1/(IF(Inputs!$B$39="pvp",15,MAX(0.1,Skills!D7-IF(Skills!E6=TRUE,Inputs!$B$33,0)))*(1-IF(AND(ArtifactsInput!$M$27,Inputs!$B$4="Chapter Hunt"),CHOOSE(ArtifactsInput!$N$27+1,20,24,28,32,36,40),0)/100)),0)</f>
        <v/>
      </c>
      <c r="R2367">
        <f>IF(AND(Inputs!$B$39&lt;&gt;"pvp",Inputs!$B$44&gt;0),IF(MAX(0,Inputs!$B$44-B2399)&lt;=0,0,(INT(MAX(0,Inputs!$B$44-B2399)/(IF(Inputs!$B$39="pvp",15,MAX(0.1,Skills!D7-IF(Skills!E6=TRUE,Inputs!$B$33,0)))*(1-IF(AND(ArtifactsInput!$M$27,Inputs!$B$4="Chapter Hunt"),CHOOSE(ArtifactsInput!$N$27+1,20,24,28,32,36,40),0)/100)))+1)),0)</f>
        <v/>
      </c>
      <c r="S2367">
        <f>IF(C2367,H2367*N2367*IF(AND(Inputs!$B$39&lt;&gt;"pvp",Inputs!$B$44&gt;0),((Skills!F7*((R2367-1)*IF(Skills!G7&gt;0,Skills!H7/Skills!G7,1)+IF(Skills!G7&gt;0,MIN(Skills!H7,MAX(0,MAX(0,Inputs!$B$44-B2399)-((R2367-1)*(IF(Inputs!$B$39="pvp",15,MAX(0.1,Skills!D7-IF(Skills!E6=TRUE,Inputs!$B$33,0)))*(1-IF(AND(ArtifactsInput!$M$27,Inputs!$B$4="Chapter Hunt"),CHOOSE(ArtifactsInput!$N$27+1,20,24,28,32,36,40),0)/100)))))/Skills!G7,1)))/Inputs!$B$44),G2367*Q2367)*IF(Inputs!$B$39="pvp",1,1+(Inputs!$B$21+Skills!O7+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2367*(1-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2367*(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2367*(1-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2367*(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7" t="n">
        <v>0</v>
      </c>
    </row>
    <row r="2368">
      <c r="A2368">
        <f>Skills!A8</f>
        <v/>
      </c>
      <c r="B2368">
        <f>Skills!B8</f>
        <v/>
      </c>
      <c r="C2368">
        <f>Inputs!$B$3&gt;=105</f>
        <v/>
      </c>
      <c r="D2368">
        <f>IF(Skills!C8=1,60+Inputs!$B$26+Inputs!$B$30,IF(Skills!C8=2,90+Inputs!$B$27+Inputs!$B$30,IF(Skills!C8=3,120+Inputs!$B$28+Inputs!$B$30,MAX(0,(Inputs!$B$3-100)*3)+Inputs!$B$29+Inputs!$B$30)))</f>
        <v/>
      </c>
      <c r="E2368">
        <f>INDEX(FactorTable!$B$2:$Y$301, MATCH(ROUND(MIN(300,MAX(1,D2368)),0), FactorTable!$A$2:$A$301,0), Skills!L8+1)</f>
        <v/>
      </c>
      <c r="F2368">
        <f>IF(Skills!M8=TRUE,(Skills!K8/10)*(E2368/1000),Skills!K8/10)+Skills!N8</f>
        <v/>
      </c>
      <c r="G2368">
        <f>Calc!G8</f>
        <v/>
      </c>
      <c r="H2368">
        <f>Calc!H8</f>
        <v/>
      </c>
      <c r="I2368">
        <f>IF(Skills!T8&lt;&gt;"",1+(Skills!T8/10)*($Z$3/1000)/100,1)</f>
        <v/>
      </c>
      <c r="J2368">
        <f>((Inputs!$B$6*(1+Inputs!$B$7/100))+(((Inputs!$B$13*(1+Inputs!$B$14/100))-(Inputs!$B$13*(1+Inputs!$B$14/100)))+0.25*(Inputs!$B$15-Inputs!$B$15))*(1+Inputs!$B$7/100))*(F2368/100)</f>
        <v/>
      </c>
      <c r="K2368">
        <f>J2368*(1+(((Inputs!$B$13+IF(Inputs!$B$3&gt;=35,(10*INDEX(FactorTable!$B$2:$Y$301,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8="TRIUMPH_FEATHER",IF(C2376=TRUE,F2376,0),0)/100)*(1+IF(C2387=TRUE,F2387,0)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2368)</f>
        <v/>
      </c>
      <c r="L2368">
        <f>K2368*(MIN(Inputs!$B$23+(F2382-Calc!F22),(Inputs!$B$24+IF(ArtifactsInput!$M$15,CHOOSE(ArtifactsInput!$N$15+1,25,30,35,40,45,50)/100*(Inputs!$B$12-Inputs!$B$12),0)))/100+(Inputs!$B$24+IF(ArtifactsInput!$M$15,CHOOSE(ArtifactsInput!$N$15+1,25,30,35,40,45,50)/100*(Inputs!$B$12-Inputs!$B$12),0))/100)/2</f>
        <v/>
      </c>
      <c r="M2368">
        <f>L2368*(1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8">
        <f>L2368*(1-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2368*(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8">
        <f>(1-Summary!$B$11)*S2368+Summary!$B$11*U2368</f>
        <v/>
      </c>
      <c r="P2368">
        <f>IF(B2402=0,0,O2368/B2402)</f>
        <v/>
      </c>
      <c r="Q2368">
        <f>IFERROR(1/(IF(Inputs!$B$39="pvp",15,MAX(0.1,Skills!D8-IF(Skills!E8=TRUE,Inputs!$B$33,0)))*(1-IF(AND(ArtifactsInput!$M$27,Inputs!$B$4="Chapter Hunt"),CHOOSE(ArtifactsInput!$N$27+1,20,24,28,32,36,40),0)/100)),0)</f>
        <v/>
      </c>
      <c r="R2368">
        <f>IF(AND(Inputs!$B$39&lt;&gt;"pvp",Inputs!$B$44&gt;0),IF(MAX(0,Inputs!$B$44-B2399)&lt;=0,0,(INT(MAX(0,Inputs!$B$44-B2399)/(IF(Inputs!$B$39="pvp",15,MAX(0.1,Skills!D8-IF(Skills!E8=TRUE,Inputs!$B$33,0)))*(1-IF(AND(ArtifactsInput!$M$27,Inputs!$B$4="Chapter Hunt"),CHOOSE(ArtifactsInput!$N$27+1,20,24,28,32,36,40),0)/100)))+1)),0)</f>
        <v/>
      </c>
      <c r="S2368">
        <f>IF(C2368,(H2368*N2368*IF(AND(Inputs!$B$39&lt;&gt;"pvp",Inputs!$B$44&gt;0),((Skills!F8*((R2368-1)*IF(Skills!G8&gt;0,Skills!H8/Skills!G8,1)+IF(Skills!G8&gt;0,MIN(Skills!H8,MAX(0,MAX(0,Inputs!$B$44-B2399)-((R2368-1)*(IF(Inputs!$B$39="pvp",15,MAX(0.1,Skills!D8-IF(Skills!E8=TRUE,Inputs!$B$33,0)))*(1-IF(AND(ArtifactsInput!$M$27,Inputs!$B$4="Chapter Hunt"),CHOOSE(ArtifactsInput!$N$27+1,20,24,28,32,36,40),0)/100)))))/Skills!G8,1)))/Inputs!$B$44),G2368*Q2368))*IF(Inputs!$B$39="pvp",1,1+(Inputs!$B$21+Skills!O8+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2368*(1-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2368*(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2368*(1-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2368*(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8">
        <f>IF(C2368,(H2368*N2368*IF(AND(Inputs!$B$39&lt;&gt;"pvp",Inputs!$B$44&gt;0),((Skills!F8*((R2368-1)*IF(Skills!G8&gt;0,Skills!H8/Skills!G8,1)+IF(Skills!G8&gt;0,MIN(Skills!H8,MAX(0,MAX(0,Inputs!$B$44-B2399)-((R2368-1)*(IF(Inputs!$B$39="pvp",15,MAX(0.1,Skills!D8-IF(Skills!E8=TRUE,Inputs!$B$33,0)))*(1-IF(AND(ArtifactsInput!$M$27,Inputs!$B$4="Chapter Hunt"),CHOOSE(ArtifactsInput!$N$27+1,20,24,28,32,36,40),0)/100)))))/Skills!G8,1)))/Inputs!$B$44),G2368*Q2368))*IF(Inputs!$B$39="pvp",1,(1+(Inputs!$B$22+Skills!P8+B2391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9">
      <c r="A2369">
        <f>Skills!A9</f>
        <v/>
      </c>
      <c r="B2369">
        <f>Skills!B9</f>
        <v/>
      </c>
      <c r="C2369">
        <f>Inputs!$B$3&gt;=115</f>
        <v/>
      </c>
      <c r="D2369">
        <f>IF(Skills!C9=1,60+Inputs!$B$26+Inputs!$B$30,IF(Skills!C9=2,90+Inputs!$B$27+Inputs!$B$30,IF(Skills!C9=3,120+Inputs!$B$28+Inputs!$B$30,MAX(0,(Inputs!$B$3-100)*3)+Inputs!$B$29+Inputs!$B$30)))</f>
        <v/>
      </c>
      <c r="E2369">
        <f>INDEX(FactorTable!$B$2:$Y$301, MATCH(ROUND(MIN(300,MAX(1,D2369)),0), FactorTable!$A$2:$A$301,0), Skills!L9+1)</f>
        <v/>
      </c>
      <c r="F2369">
        <f>IF(Skills!M9=TRUE,(Skills!K9/10)*(E2369/1000),Skills!K9/10)+Skills!N9</f>
        <v/>
      </c>
      <c r="G2369">
        <f>Calc!G9</f>
        <v/>
      </c>
      <c r="H2369">
        <f>Calc!H9</f>
        <v/>
      </c>
      <c r="I2369">
        <f>IF(Skills!T9&lt;&gt;"",1+(Skills!T9/10)*($Z$3/1000)/100,1)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9="TRIUMPH_FEATHER",IF(C2376=TRUE,F2376,0),0)/100)*(1+IF(C2387=TRUE,F2387,0)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2369)</f>
        <v/>
      </c>
      <c r="L2369">
        <f>K2369*(MIN(Inputs!$B$23+(F2382-Calc!F22),(Inputs!$B$24+IF(ArtifactsInput!$M$15,CHOOSE(ArtifactsInput!$N$15+1,25,30,35,40,45,50)/100*(Inputs!$B$12-Inputs!$B$12),0)))/100+(Inputs!$B$24+IF(ArtifactsInput!$M$15,CHOOSE(ArtifactsInput!$N$15+1,25,30,35,40,45,50)/100*(Inputs!$B$12-Inputs!$B$12),0))/100)/2</f>
        <v/>
      </c>
      <c r="M2369">
        <f>L2369*(1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9">
        <f>L2369*(1-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IF(B2402=0,0,O2369/B2402)</f>
        <v/>
      </c>
      <c r="Q2369">
        <f>IFERROR(1/(IF(Inputs!$B$39="pvp",15,MAX(0.1,Skills!D9-IF(Skills!E9=TRUE,Inputs!$B$33,0)))*(1-IF(AND(ArtifactsInput!$M$27,Inputs!$B$4="Chapter Hunt"),CHOOSE(ArtifactsInput!$N$27+1,20,24,28,32,36,40),0)/100)),0)</f>
        <v/>
      </c>
      <c r="R2369">
        <f>IF(AND(Inputs!$B$39&lt;&gt;"pvp",Inputs!$B$44&gt;0),IF(MAX(0,Inputs!$B$44-B2399)&lt;=0,0,(INT(MAX(0,Inputs!$B$44-B2399)/(IF(Inputs!$B$39="pvp",15,MAX(0.1,Skills!D9-IF(Skills!E9=TRUE,Inputs!$B$33,0)))*(1-IF(AND(ArtifactsInput!$M$27,Inputs!$B$4="Chapter Hunt"),CHOOSE(ArtifactsInput!$N$27+1,20,24,28,32,36,40),0)/100)))+1)),0)</f>
        <v/>
      </c>
      <c r="S2369">
        <f>IF(C2369,(H2369*N2369*IF(AND(Inputs!$B$39&lt;&gt;"pvp",Inputs!$B$44&gt;0),((Skills!F9*((R2369-1)*IF(Skills!G9&gt;0,Skills!H9/Skills!G9,1)+IF(Skills!G9&gt;0,MIN(Skills!H9,MAX(0,MAX(0,Inputs!$B$44-B2399)-((R2369-1)*(IF(Inputs!$B$39="pvp",15,MAX(0.1,Skills!D9-IF(Skills!E9=TRUE,Inputs!$B$33,0)))*(1-IF(AND(ArtifactsInput!$M$27,Inputs!$B$4="Chapter Hunt"),CHOOSE(ArtifactsInput!$N$27+1,20,24,28,32,36,40),0)/100)))))/Skills!G9,1)))/Inputs!$B$44),G2369*Q2369))*IF(Inputs!$B$39="pvp",1,1+(Inputs!$B$21+Skills!O9+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9">
        <f>IF(C2369,(H2369*N2369*IF(AND(Inputs!$B$39&lt;&gt;"pvp",Inputs!$B$44&gt;0),((Skills!F9*((R2369-1)*IF(Skills!G9&gt;0,Skills!H9/Skills!G9,1)+IF(Skills!G9&gt;0,MIN(Skills!H9,MAX(0,MAX(0,Inputs!$B$44-B2399)-((R2369-1)*(IF(Inputs!$B$39="pvp",15,MAX(0.1,Skills!D9-IF(Skills!E9=TRUE,Inputs!$B$33,0)))*(1-IF(AND(ArtifactsInput!$M$27,Inputs!$B$4="Chapter Hunt"),CHOOSE(ArtifactsInput!$N$27+1,20,24,28,32,36,40),0)/100)))))/Skills!G9,1)))/Inputs!$B$44),G2369*Q2369))*IF(Inputs!$B$39="pvp",1,(1+(Inputs!$B$22+Skills!P9+B2391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Skills!A10</f>
        <v/>
      </c>
      <c r="B2370">
        <f>Skills!B10</f>
        <v/>
      </c>
      <c r="C2370">
        <f>Inputs!$B$3&gt;=66</f>
        <v/>
      </c>
      <c r="D2370">
        <f>IF(Skills!C10=1,60+Inputs!$B$26+Inputs!$B$30,IF(Skills!C10=2,90+Inputs!$B$27+Inputs!$B$30,IF(Skills!C10=3,120+Inputs!$B$28+Inputs!$B$30,MAX(0,(Inputs!$B$3-100)*3)+Inputs!$B$29+Inputs!$B$30)))</f>
        <v/>
      </c>
      <c r="E2370">
        <f>INDEX(FactorTable!$B$2:$Y$301, MATCH(ROUND(MIN(300,MAX(1,D2370)),0), FactorTable!$A$2:$A$301,0), Skills!L10+1)</f>
        <v/>
      </c>
      <c r="F2370" t="n">
        <v>0</v>
      </c>
      <c r="G2370">
        <f>Calc!G10</f>
        <v/>
      </c>
      <c r="H2370">
        <f>Calc!H10</f>
        <v/>
      </c>
      <c r="I2370">
        <f>IF(Skills!T10&lt;&gt;"",1+(Skills!T10/10)*($Z$3/1000)/100,1)</f>
        <v/>
      </c>
      <c r="J2370" t="inlineStr"/>
      <c r="K2370" t="inlineStr"/>
      <c r="L2370" t="inlineStr"/>
      <c r="M2370" t="inlineStr"/>
      <c r="N2370" t="inlineStr"/>
      <c r="O2370">
        <f>(1-Summary!$B$11)*S2370+Summary!$B$11*U2370</f>
        <v/>
      </c>
      <c r="P2370">
        <f>IF(B2402=0,0,O2370/B2402)</f>
        <v/>
      </c>
      <c r="Q2370">
        <f>IFERROR(1/(IF(Inputs!$B$39="pvp",15,MAX(0.1,Skills!D10-IF(Skills!E10=TRUE,Inputs!$B$33,0)))*(1-IF(AND(ArtifactsInput!$M$27,Inputs!$B$4="Chapter Hunt"),CHOOSE(ArtifactsInput!$N$27+1,20,24,28,32,36,40),0)/100)),0)</f>
        <v/>
      </c>
      <c r="R2370">
        <f>IF(AND(Inputs!$B$39&lt;&gt;"pvp",Inputs!$B$44&gt;0),IF(MAX(0,Inputs!$B$44-B2399)&lt;=0,0,(INT(MAX(0,Inputs!$B$44-B2399)/(IF(Inputs!$B$39="pvp",15,MAX(0.1,Skills!D10-IF(Skills!E10=TRUE,Inputs!$B$33,0)))*(1-IF(AND(ArtifactsInput!$M$27,Inputs!$B$4="Chapter Hunt"),CHOOSE(ArtifactsInput!$N$27+1,20,24,28,32,36,40),0)/100)))+1)),0)</f>
        <v/>
      </c>
      <c r="S2370" t="n">
        <v>0</v>
      </c>
      <c r="U2370" t="n">
        <v>0</v>
      </c>
    </row>
    <row r="2371">
      <c r="A2371">
        <f>Skills!A11</f>
        <v/>
      </c>
      <c r="B2371">
        <f>Skills!B11</f>
        <v/>
      </c>
      <c r="C2371">
        <f>Inputs!$B$3&gt;=69</f>
        <v/>
      </c>
      <c r="D2371">
        <f>IF(Skills!C11=1,60+Inputs!$B$26+Inputs!$B$30,IF(Skills!C11=2,90+Inputs!$B$27+Inputs!$B$30,IF(Skills!C11=3,120+Inputs!$B$28+Inputs!$B$30,MAX(0,(Inputs!$B$3-100)*3)+Inputs!$B$29+Inputs!$B$30)))</f>
        <v/>
      </c>
      <c r="E2371">
        <f>INDEX(FactorTable!$B$2:$Y$301, MATCH(ROUND(MIN(300,MAX(1,D2371)),0), FactorTable!$A$2:$A$301,0), Skills!L11+1)</f>
        <v/>
      </c>
      <c r="F2371">
        <f>IF(Skills!M11=TRUE,(Skills!K11/10)*(E2371/1000),Skills!K11/10)+Skills!N11</f>
        <v/>
      </c>
      <c r="G2371">
        <f>Calc!G11</f>
        <v/>
      </c>
      <c r="H2371">
        <f>Calc!H11</f>
        <v/>
      </c>
      <c r="I2371">
        <f>IF(Skills!T11&lt;&gt;"",1+(Skills!T11/10)*($Z$3/1000)/100,1)</f>
        <v/>
      </c>
      <c r="J2371" t="inlineStr"/>
      <c r="K2371" t="inlineStr"/>
      <c r="L2371" t="inlineStr"/>
      <c r="M2371" t="inlineStr"/>
      <c r="N2371" t="inlineStr"/>
      <c r="O2371">
        <f>(1-Summary!$B$11)*S2371+Summary!$B$11*U2371</f>
        <v/>
      </c>
      <c r="P2371">
        <f>IF(B2402=0,0,O2371/B2402)</f>
        <v/>
      </c>
      <c r="Q2371">
        <f>IFERROR(1/(IF(Inputs!$B$39="pvp",15,MAX(0.1,Skills!D11-IF(Skills!E11=TRUE,Inputs!$B$33,0)))*(1-IF(AND(ArtifactsInput!$M$27,Inputs!$B$4="Chapter Hunt"),CHOOSE(ArtifactsInput!$N$27+1,20,24,28,32,36,40),0)/100)),0)</f>
        <v/>
      </c>
      <c r="R2371">
        <f>IF(AND(Inputs!$B$39&lt;&gt;"pvp",Inputs!$B$44&gt;0),IF(Inputs!$B$44&lt;=0,0,(INT(Inputs!$B$44/(IF(Inputs!$B$39="pvp",15,MAX(0.1,Skills!D11-IF(Skills!E11=TRUE,Inputs!$B$33,0)))*(1-IF(AND(ArtifactsInput!$M$27,Inputs!$B$4="Chapter Hunt"),CHOOSE(ArtifactsInput!$N$27+1,20,24,28,32,36,40),0)/100)))+1)),0)</f>
        <v/>
      </c>
      <c r="S2371" t="n">
        <v>0</v>
      </c>
      <c r="U2371" t="n">
        <v>0</v>
      </c>
    </row>
    <row r="2372">
      <c r="A2372">
        <f>Skills!A12</f>
        <v/>
      </c>
      <c r="B2372">
        <f>Skills!B12</f>
        <v/>
      </c>
      <c r="C2372">
        <f>Inputs!$B$3&gt;=72</f>
        <v/>
      </c>
      <c r="D2372">
        <f>IF(Skills!C12=1,60+Inputs!$B$26+Inputs!$B$30,IF(Skills!C12=2,90+Inputs!$B$27+Inputs!$B$30,IF(Skills!C12=3,120+Inputs!$B$28+Inputs!$B$30,MAX(0,(Inputs!$B$3-100)*3)+Inputs!$B$29+Inputs!$B$30)))</f>
        <v/>
      </c>
      <c r="E2372">
        <f>INDEX(FactorTable!$B$2:$Y$301, MATCH(ROUND(MIN(300,MAX(1,D2372)),0), FactorTable!$A$2:$A$301,0), Skills!L12+1)</f>
        <v/>
      </c>
      <c r="F2372">
        <f>IF(Skills!M12=TRUE,(Skills!K12/10)*(E2372/1000),Skills!K12/10)+Skills!N12</f>
        <v/>
      </c>
      <c r="G2372">
        <f>Calc!G12</f>
        <v/>
      </c>
      <c r="H2372">
        <f>Calc!H12</f>
        <v/>
      </c>
      <c r="I2372">
        <f>IF(Skills!T12&lt;&gt;"",1+(Skills!T12/10)*($Z$3/1000)/100,1)</f>
        <v/>
      </c>
      <c r="J2372" t="inlineStr"/>
      <c r="K2372" t="inlineStr"/>
      <c r="L2372" t="inlineStr"/>
      <c r="M2372" t="inlineStr"/>
      <c r="N2372" t="inlineStr"/>
      <c r="O2372">
        <f>(1-Summary!$B$11)*S2372+Summary!$B$11*U2372</f>
        <v/>
      </c>
      <c r="P2372">
        <f>IF(B2402=0,0,O2372/B2402)</f>
        <v/>
      </c>
      <c r="Q2372">
        <f>IFERROR(1/(IF(Inputs!$B$39="pvp",15,MAX(0.1,Skills!D12-IF(Skills!E12=TRUE,Inputs!$B$33,0)))*(1-IF(AND(ArtifactsInput!$M$27,Inputs!$B$4="Chapter Hunt"),CHOOSE(ArtifactsInput!$N$27+1,20,24,28,32,36,40),0)/100)),0)</f>
        <v/>
      </c>
      <c r="R2372">
        <f>IF(AND(Inputs!$B$39&lt;&gt;"pvp",Inputs!$B$44&gt;0),IF(MAX(0,Inputs!$B$44-B2399)&lt;=0,0,(INT(MAX(0,Inputs!$B$44-B2399)/(IF(Inputs!$B$39="pvp",15,MAX(0.1,Skills!D12-IF(Skills!E12=TRUE,Inputs!$B$33,0)))*(1-IF(AND(ArtifactsInput!$M$27,Inputs!$B$4="Chapter Hunt"),CHOOSE(ArtifactsInput!$N$27+1,20,24,28,32,36,40),0)/100)))+1)),0)</f>
        <v/>
      </c>
      <c r="S2372" t="n">
        <v>0</v>
      </c>
      <c r="U2372" t="n">
        <v>0</v>
      </c>
    </row>
    <row r="2373">
      <c r="A2373">
        <f>Skills!A13</f>
        <v/>
      </c>
      <c r="B2373">
        <f>Skills!B13</f>
        <v/>
      </c>
      <c r="C2373">
        <f>Inputs!$B$3&gt;=60</f>
        <v/>
      </c>
      <c r="D2373">
        <f>IF(Skills!C13=1,60+Inputs!$B$26+Inputs!$B$30,IF(Skills!C13=2,90+Inputs!$B$27+Inputs!$B$30,IF(Skills!C13=3,120+Inputs!$B$28+Inputs!$B$30,MAX(0,(Inputs!$B$3-100)*3)+Inputs!$B$29+Inputs!$B$30)))</f>
        <v/>
      </c>
      <c r="E2373">
        <f>INDEX(FactorTable!$B$2:$Y$301, MATCH(ROUND(MIN(300,MAX(1,D2373)),0), FactorTable!$A$2:$A$301,0), Skills!L13+1)</f>
        <v/>
      </c>
      <c r="F2373">
        <f>IF(Skills!M13=TRUE,(Skills!K13/10)*(E2373/1000),Skills!K13/10)+Skills!N13</f>
        <v/>
      </c>
      <c r="G2373">
        <f>Calc!G13</f>
        <v/>
      </c>
      <c r="H2373">
        <f>Calc!H13</f>
        <v/>
      </c>
      <c r="I2373">
        <f>IF(Skills!T13&lt;&gt;"",1+(Skills!T13/10)*($Z$3/1000)/100,1)</f>
        <v/>
      </c>
      <c r="J2373" t="inlineStr"/>
      <c r="K2373" t="inlineStr"/>
      <c r="L2373" t="inlineStr"/>
      <c r="M2373" t="inlineStr"/>
      <c r="N2373" t="inlineStr"/>
      <c r="O2373">
        <f>(1-Summary!$B$11)*S2373+Summary!$B$11*U2373</f>
        <v/>
      </c>
      <c r="P2373">
        <f>IF(B2402=0,0,O2373/B2402)</f>
        <v/>
      </c>
      <c r="Q2373">
        <f>IFERROR(1/(IF(Inputs!$B$39="pvp",15,MAX(0.1,Skills!D13-IF(Skills!E13=TRUE,Inputs!$B$33,0)))*(1-IF(AND(ArtifactsInput!$M$27,Inputs!$B$4="Chapter Hunt"),CHOOSE(ArtifactsInput!$N$27+1,20,24,28,32,36,40),0)/100)),0)</f>
        <v/>
      </c>
      <c r="R2373">
        <f>IF(AND(Inputs!$B$39&lt;&gt;"pvp",Inputs!$B$44&gt;0),IF(MAX(0,Inputs!$B$44-B2399)&lt;=0,0,(INT(MAX(0,Inputs!$B$44-B2399)/(IF(Inputs!$B$39="pvp",15,MAX(0.1,Skills!D13-IF(Skills!E13=TRUE,Inputs!$B$33,0)))*(1-IF(AND(ArtifactsInput!$M$27,Inputs!$B$4="Chapter Hunt"),CHOOSE(ArtifactsInput!$N$27+1,20,24,28,32,36,40),0)/100)))+1)),0)</f>
        <v/>
      </c>
      <c r="S2373" t="n">
        <v>0</v>
      </c>
      <c r="U2373" t="n">
        <v>0</v>
      </c>
    </row>
    <row r="2374">
      <c r="A2374">
        <f>Skills!A14</f>
        <v/>
      </c>
      <c r="B2374">
        <f>Skills!B14</f>
        <v/>
      </c>
      <c r="C2374">
        <f>Inputs!$B$3&gt;=107</f>
        <v/>
      </c>
      <c r="D2374">
        <f>IF(Skills!C14=1,60+Inputs!$B$26+Inputs!$B$30,IF(Skills!C14=2,90+Inputs!$B$27+Inputs!$B$30,IF(Skills!C14=3,120+Inputs!$B$28+Inputs!$B$30,MAX(0,(Inputs!$B$3-100)*3)+Inputs!$B$29+Inputs!$B$30)))</f>
        <v/>
      </c>
      <c r="E2374">
        <f>INDEX(FactorTable!$B$2:$Y$301, MATCH(ROUND(MIN(300,MAX(1,D2374)),0), FactorTable!$A$2:$A$301,0), Skills!L14+1)</f>
        <v/>
      </c>
      <c r="F2374">
        <f>IF(Skills!M14=TRUE,(Skills!K14/10)*(E2374/1000),Skills!K14/10)+Skills!N14</f>
        <v/>
      </c>
      <c r="G2374">
        <f>Calc!G14</f>
        <v/>
      </c>
      <c r="H2374">
        <f>Calc!H14</f>
        <v/>
      </c>
      <c r="I2374">
        <f>IF(Skills!T14&lt;&gt;"",1+(Skills!T14/10)*($Z$3/1000)/100,1)</f>
        <v/>
      </c>
      <c r="J2374" t="inlineStr"/>
      <c r="K2374" t="inlineStr"/>
      <c r="L2374" t="inlineStr"/>
      <c r="M2374" t="inlineStr"/>
      <c r="N2374" t="inlineStr"/>
      <c r="O2374">
        <f>(1-Summary!$B$11)*S2374+Summary!$B$11*U2374</f>
        <v/>
      </c>
      <c r="P2374">
        <f>IF(B2402=0,0,O2374/B2402)</f>
        <v/>
      </c>
      <c r="Q2374">
        <f>IFERROR(1/(IF(Inputs!$B$39="pvp",15,MAX(0.1,Skills!D14-IF(Skills!E14=TRUE,Inputs!$B$33,0)))*(1-IF(AND(ArtifactsInput!$M$27,Inputs!$B$4="Chapter Hunt"),CHOOSE(ArtifactsInput!$N$27+1,20,24,28,32,36,40),0)/100)),0)</f>
        <v/>
      </c>
      <c r="R2374">
        <f>IF(AND(Inputs!$B$39&lt;&gt;"pvp",Inputs!$B$44&gt;0),IF(Inputs!$B$44&lt;=0,0,(INT(Inputs!$B$44/(IF(Inputs!$B$39="pvp",15,MAX(0.1,Skills!D14-IF(Skills!E14=TRUE,Inputs!$B$33,0)))*(1-IF(AND(ArtifactsInput!$M$27,Inputs!$B$4="Chapter Hunt"),CHOOSE(ArtifactsInput!$N$27+1,20,24,28,32,36,40),0)/100)))+1)),0)</f>
        <v/>
      </c>
      <c r="S2374" t="n">
        <v>0</v>
      </c>
      <c r="U2374" t="n">
        <v>0</v>
      </c>
    </row>
    <row r="2375">
      <c r="A2375">
        <f>Skills!A15</f>
        <v/>
      </c>
      <c r="B2375">
        <f>Skills!B15</f>
        <v/>
      </c>
      <c r="C2375">
        <f>Inputs!$B$3&gt;=63</f>
        <v/>
      </c>
      <c r="D2375">
        <f>IF(Skills!C15=1,60+Inputs!$B$26+Inputs!$B$30,IF(Skills!C15=2,90+Inputs!$B$27+Inputs!$B$30,IF(Skills!C15=3,120+Inputs!$B$28+Inputs!$B$30,MAX(0,(Inputs!$B$3-100)*3)+Inputs!$B$29+Inputs!$B$30)))</f>
        <v/>
      </c>
      <c r="E2375">
        <f>INDEX(FactorTable!$B$2:$Y$301, MATCH(ROUND(MIN(300,MAX(1,D2375)),0), FactorTable!$A$2:$A$301,0), Skills!L15+1)</f>
        <v/>
      </c>
      <c r="F2375">
        <f>IF(Skills!M15=TRUE,(Skills!K15/10)*(E2375/1000),Skills!K15/10)+Skills!N15</f>
        <v/>
      </c>
      <c r="G2375">
        <f>Calc!G15</f>
        <v/>
      </c>
      <c r="H2375">
        <f>Calc!H15</f>
        <v/>
      </c>
      <c r="I2375">
        <f>IF(Skills!T15&lt;&gt;"",1+(Skills!T15/10)*($Z$3/1000)/100,1)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15="TRIUMPH_FEATHER",IF(C2376=TRUE,F2376,0),0)/100)*(1+IF(C2387=TRUE,F2387,0)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2375)</f>
        <v/>
      </c>
      <c r="L2375">
        <f>K2375*(MIN(Inputs!$B$23+(F2382-Calc!F22),(Inputs!$B$24+IF(ArtifactsInput!$M$15,CHOOSE(ArtifactsInput!$N$15+1,25,30,35,40,45,50)/100*(Inputs!$B$12-Inputs!$B$12),0)))/100+(Inputs!$B$24+IF(ArtifactsInput!$M$15,CHOOSE(ArtifactsInput!$N$15+1,25,30,35,40,45,50)/100*(Inputs!$B$12-Inputs!$B$12),0))/100)/2</f>
        <v/>
      </c>
      <c r="M2375">
        <f>L2375*(1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75">
        <f>L2375*(1-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IF(B2402=0,0,O2375/B2402)</f>
        <v/>
      </c>
      <c r="Q2375">
        <f>IFERROR(1/(IF(Inputs!$B$39="pvp",15,MAX(0.1,Skills!D15-IF(Skills!E15=TRUE,Inputs!$B$33,0)))*(1-IF(AND(ArtifactsInput!$M$27,Inputs!$B$4="Chapter Hunt"),CHOOSE(ArtifactsInput!$N$27+1,20,24,28,32,36,40),0)/100)),0)</f>
        <v/>
      </c>
      <c r="R2375" t="n">
        <v>0</v>
      </c>
      <c r="S2375">
        <f>IF(C2375,(Skills!F15*N2375*((IF(Inputs!$B$3&gt;=78,25,15)/100*B2395*10)/(1+IF(Inputs!$B$3&gt;=78,25,15)/100*B2395*10))*(Skills!I15/100*B2395)/(1+Skills!G15*Skills!I15/100*B2395))*IF(Inputs!$B$39="pvp",1,1+(Inputs!$B$21+Skills!O15+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Skills!F15*N2375*((IF(Inputs!$B$3&gt;=78,25,15)/100*B2395*10)/(1+IF(Inputs!$B$3&gt;=78,25,15)/100*B2395*10))*(Skills!I15/100*B2395)/(1+Skills!G15*Skills!I15/100*B2395))*IF(Inputs!$B$39="pvp",1,(1+(Inputs!$B$22+Skills!P15+B2391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Skills!A16</f>
        <v/>
      </c>
      <c r="B2376">
        <f>Skills!B16</f>
        <v/>
      </c>
      <c r="C2376">
        <f>Inputs!$B$3&gt;=100</f>
        <v/>
      </c>
      <c r="D2376">
        <f>IF(Skills!C16=1,60+Inputs!$B$26+Inputs!$B$30,IF(Skills!C16=2,90+Inputs!$B$27+Inputs!$B$30,IF(Skills!C16=3,120+Inputs!$B$28+Inputs!$B$30,MAX(0,(Inputs!$B$3-100)*3)+Inputs!$B$29+Inputs!$B$30)))</f>
        <v/>
      </c>
      <c r="E2376">
        <f>INDEX(FactorTable!$B$2:$Y$301, MATCH(ROUND(MIN(300,MAX(1,D2376)),0), FactorTable!$A$2:$A$301,0), Skills!L16+1)</f>
        <v/>
      </c>
      <c r="F2376">
        <f>IF(Skills!M16=TRUE,(Skills!K16/10)*(E2376/1000),Skills!K16/10)+Skills!N16</f>
        <v/>
      </c>
      <c r="G2376">
        <f>Calc!G16</f>
        <v/>
      </c>
      <c r="H2376">
        <f>Calc!H16</f>
        <v/>
      </c>
      <c r="I2376">
        <f>IF(Skills!T16&lt;&gt;"",1+(Skills!T16/10)*($Z$3/1000)/100,1)</f>
        <v/>
      </c>
      <c r="J2376" t="inlineStr"/>
      <c r="K2376" t="inlineStr"/>
      <c r="L2376" t="inlineStr"/>
      <c r="M2376" t="inlineStr"/>
      <c r="N2376" t="inlineStr"/>
      <c r="O2376">
        <f>(1-Summary!$B$11)*S2376+Summary!$B$11*U2376</f>
        <v/>
      </c>
      <c r="P2376">
        <f>IF(B2402=0,0,O2376/B2402)</f>
        <v/>
      </c>
      <c r="Q2376">
        <f>IFERROR(1/(IF(Inputs!$B$39="pvp",15,MAX(0.1,Skills!D16-IF(Skills!E16=TRUE,Inputs!$B$33,0)))*(1-IF(AND(ArtifactsInput!$M$27,Inputs!$B$4="Chapter Hunt"),CHOOSE(ArtifactsInput!$N$27+1,20,24,28,32,36,40),0)/100)),0)</f>
        <v/>
      </c>
      <c r="R2376" t="n">
        <v>0</v>
      </c>
      <c r="S2376" t="n">
        <v>0</v>
      </c>
      <c r="U2376" t="n">
        <v>0</v>
      </c>
    </row>
    <row r="2377">
      <c r="A2377">
        <f>Skills!A17</f>
        <v/>
      </c>
      <c r="B2377">
        <f>Skills!B17</f>
        <v/>
      </c>
      <c r="C2377">
        <f>Inputs!$B$3&gt;=49</f>
        <v/>
      </c>
      <c r="D2377">
        <f>IF(Skills!C17=1,60+Inputs!$B$26+Inputs!$B$30,IF(Skills!C17=2,90+Inputs!$B$27+Inputs!$B$30,IF(Skills!C17=3,120+Inputs!$B$28+Inputs!$B$30,MAX(0,(Inputs!$B$3-100)*3)+Inputs!$B$29+Inputs!$B$30)))</f>
        <v/>
      </c>
      <c r="E2377">
        <f>INDEX(FactorTable!$B$2:$Y$301, MATCH(ROUND(MIN(300,MAX(1,D2377)),0), FactorTable!$A$2:$A$301,0), Skills!L17+1)</f>
        <v/>
      </c>
      <c r="F2377">
        <f>IF(Skills!M17=TRUE,(Skills!K17/10)*(E2377/1000),Skills!K17/10)+Skills!N17</f>
        <v/>
      </c>
      <c r="G2377">
        <f>Calc!G17</f>
        <v/>
      </c>
      <c r="H2377">
        <f>Calc!H17</f>
        <v/>
      </c>
      <c r="I2377">
        <f>IF(Skills!T17&lt;&gt;"",1+(Skills!T17/10)*($Z$3/1000)/100,1)</f>
        <v/>
      </c>
      <c r="J2377" t="inlineStr"/>
      <c r="K2377" t="inlineStr"/>
      <c r="L2377" t="inlineStr"/>
      <c r="M2377" t="inlineStr"/>
      <c r="N2377" t="inlineStr"/>
      <c r="O2377">
        <f>(1-Summary!$B$11)*S2377+Summary!$B$11*U2377</f>
        <v/>
      </c>
      <c r="P2377">
        <f>IF(B2402=0,0,O2377/B2402)</f>
        <v/>
      </c>
      <c r="Q2377">
        <f>IFERROR(1/(IF(Inputs!$B$39="pvp",15,MAX(0.1,Skills!D17-IF(Skills!E17=TRUE,Inputs!$B$33,0)))*(1-IF(AND(ArtifactsInput!$M$27,Inputs!$B$4="Chapter Hunt"),CHOOSE(ArtifactsInput!$N$27+1,20,24,28,32,36,40),0)/100)),0)</f>
        <v/>
      </c>
      <c r="R2377" t="n">
        <v>0</v>
      </c>
      <c r="S2377" t="n">
        <v>0</v>
      </c>
      <c r="U2377" t="n">
        <v>0</v>
      </c>
    </row>
    <row r="2378">
      <c r="A2378">
        <f>Skills!A18</f>
        <v/>
      </c>
      <c r="B2378">
        <f>Skills!B18</f>
        <v/>
      </c>
      <c r="C2378">
        <f>Inputs!$B$3&gt;=75</f>
        <v/>
      </c>
      <c r="D2378">
        <f>IF(Skills!C18=1,60+Inputs!$B$26+Inputs!$B$30,IF(Skills!C18=2,90+Inputs!$B$27+Inputs!$B$30,IF(Skills!C18=3,120+Inputs!$B$28+Inputs!$B$30,MAX(0,(Inputs!$B$3-100)*3)+Inputs!$B$29+Inputs!$B$30)))</f>
        <v/>
      </c>
      <c r="E2378">
        <f>INDEX(FactorTable!$B$2:$Y$301, MATCH(ROUND(MIN(300,MAX(1,D2378)),0), FactorTable!$A$2:$A$301,0), Skills!L18+1)</f>
        <v/>
      </c>
      <c r="F2378">
        <f>IF(Skills!M18=TRUE,(Skills!K18/10)*(E2378/1000),Skills!K18/10)+Skills!N18</f>
        <v/>
      </c>
      <c r="G2378">
        <f>Calc!G18</f>
        <v/>
      </c>
      <c r="H2378">
        <f>Calc!H18</f>
        <v/>
      </c>
      <c r="I2378">
        <f>IF(Skills!T18&lt;&gt;"",1+(Skills!T18/10)*($Z$3/1000)/100,1)</f>
        <v/>
      </c>
      <c r="J2378" t="inlineStr"/>
      <c r="K2378" t="inlineStr"/>
      <c r="L2378" t="inlineStr"/>
      <c r="M2378" t="inlineStr"/>
      <c r="N2378" t="inlineStr"/>
      <c r="O2378">
        <f>(1-Summary!$B$11)*S2378+Summary!$B$11*U2378</f>
        <v/>
      </c>
      <c r="P2378">
        <f>IF(B2402=0,0,O2378/B2402)</f>
        <v/>
      </c>
      <c r="Q2378">
        <f>IFERROR(1/(IF(Inputs!$B$39="pvp",15,MAX(0.1,Skills!D18-IF(Skills!E18=TRUE,Inputs!$B$33,0)))*(1-IF(AND(ArtifactsInput!$M$27,Inputs!$B$4="Chapter Hunt"),CHOOSE(ArtifactsInput!$N$27+1,20,24,28,32,36,40),0)/100)),0)</f>
        <v/>
      </c>
      <c r="R2378" t="n">
        <v>0</v>
      </c>
      <c r="S2378" t="n">
        <v>0</v>
      </c>
      <c r="U2378" t="n">
        <v>0</v>
      </c>
    </row>
    <row r="2379">
      <c r="A2379">
        <f>Skills!A19</f>
        <v/>
      </c>
      <c r="B2379">
        <f>Skills!B19</f>
        <v/>
      </c>
      <c r="C2379">
        <f>Inputs!$B$3&gt;=110</f>
        <v/>
      </c>
      <c r="D2379">
        <f>IF(Skills!C19=1,60+Inputs!$B$26+Inputs!$B$30,IF(Skills!C19=2,90+Inputs!$B$27+Inputs!$B$30,IF(Skills!C19=3,120+Inputs!$B$28+Inputs!$B$30,MAX(0,(Inputs!$B$3-100)*3)+Inputs!$B$29+Inputs!$B$30)))</f>
        <v/>
      </c>
      <c r="E2379">
        <f>INDEX(FactorTable!$B$2:$Y$301, MATCH(ROUND(MIN(300,MAX(1,D2379)),0), FactorTable!$A$2:$A$301,0), Skills!L19+1)</f>
        <v/>
      </c>
      <c r="F2379">
        <f>(Skills!K19/10)*(E2379/1000)*64/45+Skills!N19</f>
        <v/>
      </c>
      <c r="G2379">
        <f>Calc!G19</f>
        <v/>
      </c>
      <c r="H2379">
        <f>Calc!H19</f>
        <v/>
      </c>
      <c r="I2379">
        <f>IF(Skills!T19&lt;&gt;"",1+(Skills!T19/10)*($Z$3/1000)/100,1)</f>
        <v/>
      </c>
      <c r="J2379" t="inlineStr"/>
      <c r="K2379" t="inlineStr"/>
      <c r="L2379" t="inlineStr"/>
      <c r="M2379" t="inlineStr"/>
      <c r="N2379" t="inlineStr"/>
      <c r="O2379">
        <f>(1-Summary!$B$11)*S2379+Summary!$B$11*U2379</f>
        <v/>
      </c>
      <c r="P2379">
        <f>IF(B2402=0,0,O2379/B2402)</f>
        <v/>
      </c>
      <c r="Q2379">
        <f>IFERROR(1/(IF(Inputs!$B$39="pvp",15,MAX(0.1,Skills!D19-IF(Skills!E19=TRUE,Inputs!$B$33,0)))*(1-IF(AND(ArtifactsInput!$M$27,Inputs!$B$4="Chapter Hunt"),CHOOSE(ArtifactsInput!$N$27+1,20,24,28,32,36,40),0)/100)),0)</f>
        <v/>
      </c>
      <c r="R2379">
        <f>IF(AND(Inputs!$B$39&lt;&gt;"pvp",Inputs!$B$44&gt;0),IF(Inputs!$B$44&lt;=0,0,(INT(Inputs!$B$44/(IF(Inputs!$B$39="pvp",15,MAX(0.1,Skills!D19-IF(Skills!E19=TRUE,Inputs!$B$33,0)))*(1-IF(AND(ArtifactsInput!$M$27,Inputs!$B$4="Chapter Hunt"),CHOOSE(ArtifactsInput!$N$27+1,20,24,28,32,36,40),0)/100)))+1)),0)</f>
        <v/>
      </c>
      <c r="S2379" t="n">
        <v>0</v>
      </c>
      <c r="U2379" t="n">
        <v>0</v>
      </c>
    </row>
    <row r="2380">
      <c r="A2380">
        <f>Skills!A20</f>
        <v/>
      </c>
      <c r="B2380">
        <f>Skills!B20</f>
        <v/>
      </c>
      <c r="C2380">
        <f>Inputs!$B$3&gt;=125</f>
        <v/>
      </c>
      <c r="D2380">
        <f>IF(Skills!C20=1,60+Inputs!$B$26+Inputs!$B$30,IF(Skills!C20=2,90+Inputs!$B$27+Inputs!$B$30,IF(Skills!C20=3,120+Inputs!$B$28+Inputs!$B$30,MAX(0,(Inputs!$B$3-100)*3)+Inputs!$B$29+Inputs!$B$30)))</f>
        <v/>
      </c>
      <c r="E2380">
        <f>INDEX(FactorTable!$B$2:$Y$301, MATCH(ROUND(MIN(300,MAX(1,D2380)),0), FactorTable!$A$2:$A$301,0), Skills!L20+1)</f>
        <v/>
      </c>
      <c r="F2380">
        <f>IF(Skills!M20=TRUE,(Skills!K20/10)*(E2380/1000),Skills!K20/10)+Skills!N20</f>
        <v/>
      </c>
      <c r="G2380">
        <f>Calc!G20</f>
        <v/>
      </c>
      <c r="H2380">
        <f>Calc!H20</f>
        <v/>
      </c>
      <c r="I2380">
        <f>IF(Skills!T20&lt;&gt;"",1+(Skills!T20/10)*($Z$3/1000)/100,1)</f>
        <v/>
      </c>
      <c r="J2380" t="inlineStr"/>
      <c r="K2380" t="inlineStr"/>
      <c r="L2380" t="inlineStr"/>
      <c r="M2380" t="inlineStr"/>
      <c r="N2380" t="inlineStr"/>
      <c r="O2380">
        <f>(1-Summary!$B$11)*S2380+Summary!$B$11*U2380</f>
        <v/>
      </c>
      <c r="P2380">
        <f>IF(B2402=0,0,O2380/B2402)</f>
        <v/>
      </c>
      <c r="Q2380">
        <f>IFERROR(1/(IF(Inputs!$B$39="pvp",15,MAX(0.1,Skills!D20-IF(Skills!E20=TRUE,Inputs!$B$33,0)))*(1-IF(AND(ArtifactsInput!$M$27,Inputs!$B$4="Chapter Hunt"),CHOOSE(ArtifactsInput!$N$27+1,20,24,28,32,36,40),0)/100)),0)</f>
        <v/>
      </c>
      <c r="R2380" t="n">
        <v>0</v>
      </c>
      <c r="S2380" t="n">
        <v>0</v>
      </c>
      <c r="U2380" t="n">
        <v>0</v>
      </c>
    </row>
    <row r="2381">
      <c r="A2381">
        <f>Skills!A21</f>
        <v/>
      </c>
      <c r="B2381">
        <f>Skills!B21</f>
        <v/>
      </c>
      <c r="C2381">
        <f>Inputs!$B$3&gt;=33</f>
        <v/>
      </c>
      <c r="D2381">
        <f>IF(Skills!C21=1,60+Inputs!$B$26+Inputs!$B$30,IF(Skills!C21=2,90+Inputs!$B$27+Inputs!$B$30,IF(Skills!C21=3,120+Inputs!$B$28+Inputs!$B$30,MAX(0,(Inputs!$B$3-100)*3)+Inputs!$B$29+Inputs!$B$30)))</f>
        <v/>
      </c>
      <c r="E2381">
        <f>INDEX(FactorTable!$B$2:$Y$301, MATCH(ROUND(MIN(300,MAX(1,D2381)),0), FactorTable!$A$2:$A$301,0), Skills!L21+1)</f>
        <v/>
      </c>
      <c r="F2381">
        <f>IF(Skills!M21=TRUE,(Skills!K21/10)*(E2381/1000),Skills!K21/10)+Skills!N21</f>
        <v/>
      </c>
      <c r="G2381">
        <f>Calc!G21</f>
        <v/>
      </c>
      <c r="H2381">
        <f>Calc!H21</f>
        <v/>
      </c>
      <c r="I2381">
        <f>IF(Skills!T21&lt;&gt;"",1+(Skills!T21/10)*($Z$3/1000)/100,1)</f>
        <v/>
      </c>
      <c r="J2381" t="inlineStr"/>
      <c r="K2381" t="inlineStr"/>
      <c r="L2381" t="inlineStr"/>
      <c r="M2381" t="inlineStr"/>
      <c r="N2381" t="inlineStr"/>
      <c r="O2381">
        <f>(1-Summary!$B$11)*S2381+Summary!$B$11*U2381</f>
        <v/>
      </c>
      <c r="P2381">
        <f>IF(B2402=0,0,O2381/B2402)</f>
        <v/>
      </c>
      <c r="Q2381">
        <f>IFERROR(1/(IF(Inputs!$B$39="pvp",15,MAX(0.1,Skills!D21-IF(Skills!E21=TRUE,Inputs!$B$33,0)))*(1-IF(AND(ArtifactsInput!$M$27,Inputs!$B$4="Chapter Hunt"),CHOOSE(ArtifactsInput!$N$27+1,20,24,28,32,36,40),0)/100)),0)</f>
        <v/>
      </c>
      <c r="R2381" t="n">
        <v>0</v>
      </c>
      <c r="S2381" t="n">
        <v>0</v>
      </c>
      <c r="U2381" t="n">
        <v>0</v>
      </c>
    </row>
    <row r="2382">
      <c r="A2382">
        <f>Skills!A22</f>
        <v/>
      </c>
      <c r="B2382">
        <f>Skills!B22</f>
        <v/>
      </c>
      <c r="C2382">
        <f>Inputs!$B$3&gt;=43</f>
        <v/>
      </c>
      <c r="D2382">
        <f>IF(Skills!C22=1,60+Inputs!$B$26+Inputs!$B$30,IF(Skills!C22=2,90+Inputs!$B$27+Inputs!$B$30,IF(Skills!C22=3,120+Inputs!$B$28+Inputs!$B$30,MAX(0,(Inputs!$B$3-100)*3)+Inputs!$B$29+Inputs!$B$30)))</f>
        <v/>
      </c>
      <c r="E2382">
        <f>INDEX(FactorTable!$B$2:$Y$301, MATCH(ROUND(MIN(300,MAX(1,D2382)),0), FactorTable!$A$2:$A$301,0), Skills!L22+1)</f>
        <v/>
      </c>
      <c r="F2382">
        <f>IF(Skills!M22=TRUE,(Skills!K22/10)*(E2382/1000),Skills!K22/10)+Skills!N22</f>
        <v/>
      </c>
      <c r="G2382">
        <f>Calc!G22</f>
        <v/>
      </c>
      <c r="H2382">
        <f>Calc!H22</f>
        <v/>
      </c>
      <c r="I2382">
        <f>IF(Skills!T22&lt;&gt;"",1+(Skills!T22/10)*($Z$3/1000)/100,1)</f>
        <v/>
      </c>
      <c r="J2382" t="inlineStr"/>
      <c r="K2382" t="inlineStr"/>
      <c r="L2382" t="inlineStr"/>
      <c r="M2382" t="inlineStr"/>
      <c r="N2382" t="inlineStr"/>
      <c r="O2382">
        <f>(1-Summary!$B$11)*S2382+Summary!$B$11*U2382</f>
        <v/>
      </c>
      <c r="P2382">
        <f>IF(B2402=0,0,O2382/B2402)</f>
        <v/>
      </c>
      <c r="Q2382">
        <f>IFERROR(1/(IF(Inputs!$B$39="pvp",15,MAX(0.1,Skills!D22-IF(Skills!E22=TRUE,Inputs!$B$33,0)))*(1-IF(AND(ArtifactsInput!$M$27,Inputs!$B$4="Chapter Hunt"),CHOOSE(ArtifactsInput!$N$27+1,20,24,28,32,36,40),0)/100)),0)</f>
        <v/>
      </c>
      <c r="R2382" t="n">
        <v>0</v>
      </c>
      <c r="S2382" t="n">
        <v>0</v>
      </c>
      <c r="U2382" t="n">
        <v>0</v>
      </c>
    </row>
    <row r="2383">
      <c r="A2383">
        <f>Skills!A23</f>
        <v/>
      </c>
      <c r="B2383">
        <f>Skills!B23</f>
        <v/>
      </c>
      <c r="C2383">
        <f>Inputs!$B$3&gt;=50</f>
        <v/>
      </c>
      <c r="D2383">
        <f>IF(Skills!C23=1,60+Inputs!$B$26+Inputs!$B$30,IF(Skills!C23=2,90+Inputs!$B$27+Inputs!$B$30,IF(Skills!C23=3,120+Inputs!$B$28+Inputs!$B$30,MAX(0,(Inputs!$B$3-100)*3)+Inputs!$B$29+Inputs!$B$30)))</f>
        <v/>
      </c>
      <c r="E2383">
        <f>INDEX(FactorTable!$B$2:$Y$301, MATCH(ROUND(MIN(300,MAX(1,D2383)),0), FactorTable!$A$2:$A$301,0), Skills!L23+1)</f>
        <v/>
      </c>
      <c r="F2383">
        <f>IF(Skills!M23=TRUE,(Skills!K23/10)*(E2383/1000),Skills!K23/10)+Skills!N23</f>
        <v/>
      </c>
      <c r="G2383">
        <f>Calc!G23</f>
        <v/>
      </c>
      <c r="H2383">
        <f>Calc!H23</f>
        <v/>
      </c>
      <c r="I2383">
        <f>IF(Skills!T23&lt;&gt;"",1+(Skills!T23/10)*($Z$3/1000)/100,1)</f>
        <v/>
      </c>
      <c r="J2383" t="inlineStr"/>
      <c r="K2383" t="inlineStr"/>
      <c r="L2383" t="inlineStr"/>
      <c r="M2383" t="inlineStr"/>
      <c r="N2383" t="inlineStr"/>
      <c r="O2383">
        <f>(1-Summary!$B$11)*S2383+Summary!$B$11*U2383</f>
        <v/>
      </c>
      <c r="P2383">
        <f>IF(B2402=0,0,O2383/B2402)</f>
        <v/>
      </c>
      <c r="Q2383">
        <f>IFERROR(1/(IF(Inputs!$B$39="pvp",15,MAX(0.1,Skills!D23-IF(Skills!E23=TRUE,Inputs!$B$33,0)))*(1-IF(AND(ArtifactsInput!$M$27,Inputs!$B$4="Chapter Hunt"),CHOOSE(ArtifactsInput!$N$27+1,20,24,28,32,36,40),0)/100)),0)</f>
        <v/>
      </c>
      <c r="R2383" t="n">
        <v>0</v>
      </c>
      <c r="S2383" t="n">
        <v>0</v>
      </c>
      <c r="U2383" t="n">
        <v>0</v>
      </c>
    </row>
    <row r="2384">
      <c r="A2384">
        <f>Skills!A24</f>
        <v/>
      </c>
      <c r="B2384">
        <f>Skills!B24</f>
        <v/>
      </c>
      <c r="C2384">
        <f>Inputs!$B$3&gt;=74</f>
        <v/>
      </c>
      <c r="D2384">
        <f>IF(Skills!C24=1,60+Inputs!$B$26+Inputs!$B$30,IF(Skills!C24=2,90+Inputs!$B$27+Inputs!$B$30,IF(Skills!C24=3,120+Inputs!$B$28+Inputs!$B$30,MAX(0,(Inputs!$B$3-100)*3)+Inputs!$B$29+Inputs!$B$30)))</f>
        <v/>
      </c>
      <c r="E2384">
        <f>INDEX(FactorTable!$B$2:$Y$301, MATCH(ROUND(MIN(300,MAX(1,D2384)),0), FactorTable!$A$2:$A$301,0), Skills!L24+1)</f>
        <v/>
      </c>
      <c r="F2384">
        <f>IF(Skills!M24=TRUE,(Skills!K24/10)*(E2384/1000),Skills!K24/10)+Skills!N24</f>
        <v/>
      </c>
      <c r="G2384">
        <f>Calc!G24</f>
        <v/>
      </c>
      <c r="H2384">
        <f>Calc!H24</f>
        <v/>
      </c>
      <c r="I2384">
        <f>IF(Skills!T24&lt;&gt;"",1+(Skills!T24/10)*($Z$3/1000)/100,1)</f>
        <v/>
      </c>
      <c r="J2384" t="inlineStr"/>
      <c r="K2384" t="inlineStr"/>
      <c r="L2384" t="inlineStr"/>
      <c r="M2384" t="inlineStr"/>
      <c r="N2384" t="inlineStr"/>
      <c r="O2384">
        <f>(1-Summary!$B$11)*S2384+Summary!$B$11*U2384</f>
        <v/>
      </c>
      <c r="P2384">
        <f>IF(B2402=0,0,O2384/B2402)</f>
        <v/>
      </c>
      <c r="Q2384">
        <f>IFERROR(1/(IF(Inputs!$B$39="pvp",15,MAX(0.1,Skills!D24-IF(Skills!E24=TRUE,Inputs!$B$33,0)))*(1-IF(AND(ArtifactsInput!$M$27,Inputs!$B$4="Chapter Hunt"),CHOOSE(ArtifactsInput!$N$27+1,20,24,28,32,36,40),0)/100)),0)</f>
        <v/>
      </c>
      <c r="R2384" t="n">
        <v>0</v>
      </c>
      <c r="S2384" t="n">
        <v>0</v>
      </c>
      <c r="U2384" t="n">
        <v>0</v>
      </c>
    </row>
    <row r="2385">
      <c r="A2385">
        <f>Skills!A25</f>
        <v/>
      </c>
      <c r="B2385">
        <f>Skills!B25</f>
        <v/>
      </c>
      <c r="C2385">
        <f>Inputs!$B$3&gt;=74</f>
        <v/>
      </c>
      <c r="D2385">
        <f>IF(Skills!C25=1,60+Inputs!$B$26+Inputs!$B$30,IF(Skills!C25=2,90+Inputs!$B$27+Inputs!$B$30,IF(Skills!C25=3,120+Inputs!$B$28+Inputs!$B$30,MAX(0,(Inputs!$B$3-100)*3)+Inputs!$B$29+Inputs!$B$30)))</f>
        <v/>
      </c>
      <c r="E2385">
        <f>INDEX(FactorTable!$B$2:$Y$301, MATCH(ROUND(MIN(300,MAX(1,D2385)),0), FactorTable!$A$2:$A$301,0), Skills!L25+1)</f>
        <v/>
      </c>
      <c r="F2385">
        <f>IF(Skills!M25=TRUE,(Skills!K25/10)*(E2385/1000),Skills!K25/10)+Skills!N25</f>
        <v/>
      </c>
      <c r="G2385">
        <f>Calc!G25</f>
        <v/>
      </c>
      <c r="H2385">
        <f>Calc!H25</f>
        <v/>
      </c>
      <c r="I2385">
        <f>IF(Skills!T25&lt;&gt;"",1+(Skills!T25/10)*($Z$3/1000)/100,1)</f>
        <v/>
      </c>
      <c r="J2385" t="inlineStr"/>
      <c r="K2385" t="inlineStr"/>
      <c r="L2385" t="inlineStr"/>
      <c r="M2385" t="inlineStr"/>
      <c r="N2385" t="inlineStr"/>
      <c r="O2385">
        <f>(1-Summary!$B$11)*S2385+Summary!$B$11*U2385</f>
        <v/>
      </c>
      <c r="P2385">
        <f>IF(B2402=0,0,O2385/B2402)</f>
        <v/>
      </c>
      <c r="Q2385">
        <f>IFERROR(1/(IF(Inputs!$B$39="pvp",15,MAX(0.1,Skills!D25-IF(Skills!E25=TRUE,Inputs!$B$33,0)))*(1-IF(AND(ArtifactsInput!$M$27,Inputs!$B$4="Chapter Hunt"),CHOOSE(ArtifactsInput!$N$27+1,20,24,28,32,36,40),0)/100)),0)</f>
        <v/>
      </c>
      <c r="R2385" t="n">
        <v>0</v>
      </c>
      <c r="S2385" t="n">
        <v>0</v>
      </c>
      <c r="U2385" t="n">
        <v>0</v>
      </c>
    </row>
    <row r="2386">
      <c r="A2386">
        <f>Skills!A26</f>
        <v/>
      </c>
      <c r="B2386">
        <f>Skills!B26</f>
        <v/>
      </c>
      <c r="C2386">
        <f>Inputs!$B$3&gt;=117</f>
        <v/>
      </c>
      <c r="D2386">
        <f>IF(Skills!C26=1,60+Inputs!$B$26+Inputs!$B$30,IF(Skills!C26=2,90+Inputs!$B$27+Inputs!$B$30,IF(Skills!C26=3,120+Inputs!$B$28+Inputs!$B$30,MAX(0,(Inputs!$B$3-100)*3)+Inputs!$B$29+Inputs!$B$30)))</f>
        <v/>
      </c>
      <c r="E2386">
        <f>INDEX(FactorTable!$B$2:$Y$301, MATCH(ROUND(MIN(300,MAX(1,D2386)),0), FactorTable!$A$2:$A$301,0), Skills!L26+1)</f>
        <v/>
      </c>
      <c r="F2386">
        <f>IF(Skills!M26=TRUE,(Skills!K26/10)*(E2386/1000),Skills!K26/10)+Skills!N26</f>
        <v/>
      </c>
      <c r="G2386">
        <f>Calc!G26</f>
        <v/>
      </c>
      <c r="H2386">
        <f>Calc!H26</f>
        <v/>
      </c>
      <c r="I2386">
        <f>IF(Skills!T26&lt;&gt;"",1+(Skills!T26/10)*($Z$3/1000)/100,1)</f>
        <v/>
      </c>
      <c r="J2386" t="inlineStr"/>
      <c r="K2386" t="inlineStr"/>
      <c r="L2386" t="inlineStr"/>
      <c r="M2386" t="inlineStr"/>
      <c r="N2386" t="inlineStr"/>
      <c r="O2386">
        <f>(1-Summary!$B$11)*S2386+Summary!$B$11*U2386</f>
        <v/>
      </c>
      <c r="P2386">
        <f>IF(B2402=0,0,O2386/B2402)</f>
        <v/>
      </c>
      <c r="Q2386">
        <f>IFERROR(1/(IF(Inputs!$B$39="pvp",15,MAX(0.1,Skills!D26-IF(Skills!E26=TRUE,Inputs!$B$33,0)))*(1-IF(AND(ArtifactsInput!$M$27,Inputs!$B$4="Chapter Hunt"),CHOOSE(ArtifactsInput!$N$27+1,20,24,28,32,36,40),0)/100)),0)</f>
        <v/>
      </c>
      <c r="R2386" t="n">
        <v>0</v>
      </c>
      <c r="S2386" t="n">
        <v>0</v>
      </c>
      <c r="U2386" t="n">
        <v>0</v>
      </c>
    </row>
    <row r="2387">
      <c r="A2387">
        <f>Skills!A27</f>
        <v/>
      </c>
      <c r="B2387">
        <f>Skills!B27</f>
        <v/>
      </c>
      <c r="C2387">
        <f>Inputs!$B$3&gt;=120</f>
        <v/>
      </c>
      <c r="D2387">
        <f>IF(Skills!C27=1,60+Inputs!$B$26+Inputs!$B$30,IF(Skills!C27=2,90+Inputs!$B$27+Inputs!$B$30,IF(Skills!C27=3,120+Inputs!$B$28+Inputs!$B$30,MAX(0,(Inputs!$B$3-100)*3)+Inputs!$B$29+Inputs!$B$30)))</f>
        <v/>
      </c>
      <c r="E2387">
        <f>INDEX(FactorTable!$B$2:$Y$301, MATCH(ROUND(MIN(300,MAX(1,D2387)),0), FactorTable!$A$2:$A$301,0), Skills!L27+1)</f>
        <v/>
      </c>
      <c r="F2387">
        <f>IF(Skills!M27=TRUE,(Skills!K27/10)*(E2387/1000),Skills!K27/10)+Skills!N27</f>
        <v/>
      </c>
      <c r="G2387">
        <f>Calc!G27</f>
        <v/>
      </c>
      <c r="H2387">
        <f>Calc!H27</f>
        <v/>
      </c>
      <c r="I2387">
        <f>IF(Skills!T27&lt;&gt;"",1+(Skills!T27/10)*($Z$3/1000)/100,1)</f>
        <v/>
      </c>
      <c r="J2387" t="inlineStr"/>
      <c r="K2387" t="inlineStr"/>
      <c r="L2387" t="inlineStr"/>
      <c r="M2387" t="inlineStr"/>
      <c r="N2387" t="inlineStr"/>
      <c r="O2387">
        <f>(1-Summary!$B$11)*S2387+Summary!$B$11*U2387</f>
        <v/>
      </c>
      <c r="P2387">
        <f>IF(B2402=0,0,O2387/B2402)</f>
        <v/>
      </c>
      <c r="Q2387">
        <f>IFERROR(1/(IF(Inputs!$B$39="pvp",15,MAX(0.1,Skills!D27-IF(Skills!E27=TRUE,Inputs!$B$33,0)))*(1-IF(AND(ArtifactsInput!$M$27,Inputs!$B$4="Chapter Hunt"),CHOOSE(ArtifactsInput!$N$27+1,20,24,28,32,36,40),0)/100)),0)</f>
        <v/>
      </c>
      <c r="R2387" t="n">
        <v>0</v>
      </c>
      <c r="S2387" t="n">
        <v>0</v>
      </c>
      <c r="U2387" t="n">
        <v>0</v>
      </c>
    </row>
    <row r="2389">
      <c r="A2389" t="inlineStr">
        <is>
          <t>Average Buff Multiplier</t>
        </is>
      </c>
      <c r="B2389">
        <f>(1+(IF(C2363=TRUE,F2363*IF(AND(Inputs!$B$39&lt;&gt;"pvp",Inputs!$B$44&gt;0),(((R2363-1)*(Skills!S3*(1+((Inputs!$B$35+(ArtifactsInput!$M$7-ArtifactsInput!$M$7)*CHOOSE(ArtifactsInput!$N$7+1,6,7.2,8.4,9.6,10.8,12))+IF(Inputs!$B$3&gt;=117,F2386,0))/100))+MIN((Skills!S3*(1+((Inputs!$B$35+(ArtifactsInput!$M$7-ArtifactsInput!$M$7)*CHOOSE(ArtifactsInput!$N$7+1,6,7.2,8.4,9.6,10.8,12))+IF(Inputs!$B$3&gt;=117,F2386,0))/100)),MAX(0,Inputs!$B$44-((R2363-1)*Skills!D3))))/Inputs!$B$44),IF(Inputs!$B$39="pvp",MIN((Skills!S3*(1+((Inputs!$B$35+(ArtifactsInput!$M$7-ArtifactsInput!$M$7)*CHOOSE(ArtifactsInput!$N$7+1,6,7.2,8.4,9.6,10.8,12))+IF(Inputs!$B$3&gt;=117,F2386,0))/100)),15)/15,(Skills!S3*(1+((Inputs!$B$35+(ArtifactsInput!$M$7-ArtifactsInput!$M$7)*CHOOSE(ArtifactsInput!$N$7+1,6,7.2,8.4,9.6,10.8,12))+IF(Inputs!$B$3&gt;=117,F2386,0))/100))/Skills!D3)),0)+IF(C2364=TRUE,F2364*IF(AND(Inputs!$B$39&lt;&gt;"pvp",Inputs!$B$44&gt;0),(((R2364-1)*(Skills!S4*(1+((Inputs!$B$35+(ArtifactsInput!$M$7-ArtifactsInput!$M$7)*CHOOSE(ArtifactsInput!$N$7+1,6,7.2,8.4,9.6,10.8,12))+IF(Inputs!$B$3&gt;=117,F2386,0))/100))+MIN((Skills!S4*(1+((Inputs!$B$35+(ArtifactsInput!$M$7-ArtifactsInput!$M$7)*CHOOSE(ArtifactsInput!$N$7+1,6,7.2,8.4,9.6,10.8,12))+IF(Inputs!$B$3&gt;=117,F2386,0))/100)),MAX(0,Inputs!$B$44-((R2364-1)*Skills!D4))))/Inputs!$B$44),IF(Inputs!$B$39="pvp",MIN((Skills!S4*(1+((Inputs!$B$35+(ArtifactsInput!$M$7-ArtifactsInput!$M$7)*CHOOSE(ArtifactsInput!$N$7+1,6,7.2,8.4,9.6,10.8,12))+IF(Inputs!$B$3&gt;=117,F2386,0))/100)),15)/15,(Skills!S4*(1+((Inputs!$B$35+(ArtifactsInput!$M$7-ArtifactsInput!$M$7)*CHOOSE(ArtifactsInput!$N$7+1,6,7.2,8.4,9.6,10.8,12))+IF(Inputs!$B$3&gt;=117,F2386,0))/100))/Skills!D4)),0)+IF(C2365=TRUE,F2365*IF(AND(Inputs!$B$39&lt;&gt;"pvp",Inputs!$B$44&gt;0),(((R2365-1)*(Skills!S5*(1+((Inputs!$B$35+(ArtifactsInput!$M$7-ArtifactsInput!$M$7)*CHOOSE(ArtifactsInput!$N$7+1,6,7.2,8.4,9.6,10.8,12))+IF(Inputs!$B$3&gt;=117,F2386,0))/100))+MIN((Skills!S5*(1+((Inputs!$B$35+(ArtifactsInput!$M$7-ArtifactsInput!$M$7)*CHOOSE(ArtifactsInput!$N$7+1,6,7.2,8.4,9.6,10.8,12))+IF(Inputs!$B$3&gt;=117,F2386,0))/100)),MAX(0,Inputs!$B$44-((R2365-1)*Skills!D5))))/Inputs!$B$44),IF(Inputs!$B$39="pvp",MIN((Skills!S5*(1+((Inputs!$B$35+(ArtifactsInput!$M$7-ArtifactsInput!$M$7)*CHOOSE(ArtifactsInput!$N$7+1,6,7.2,8.4,9.6,10.8,12))+IF(Inputs!$B$3&gt;=117,F2386,0))/100)),15)/15,(Skills!S5*(1+((Inputs!$B$35+(ArtifactsInput!$M$7-ArtifactsInput!$M$7)*CHOOSE(ArtifactsInput!$N$7+1,6,7.2,8.4,9.6,10.8,12))+IF(Inputs!$B$3&gt;=117,F2386,0))/100))/Skills!D5)),0)+IF(C2371=TRUE,F2371*IF(AND(Inputs!$B$39&lt;&gt;"pvp",Inputs!$B$44&gt;0),(((R2371-1)*(Skills!S11*(1+((Inputs!$B$35+(ArtifactsInput!$M$7-ArtifactsInput!$M$7)*CHOOSE(ArtifactsInput!$N$7+1,6,7.2,8.4,9.6,10.8,12))+IF(Inputs!$B$3&gt;=117,F2386,0))/100))+MIN((Skills!S11*(1+((Inputs!$B$35+(ArtifactsInput!$M$7-ArtifactsInput!$M$7)*CHOOSE(ArtifactsInput!$N$7+1,6,7.2,8.4,9.6,10.8,12))+IF(Inputs!$B$3&gt;=117,F2386,0))/100)),MAX(0,Inputs!$B$44-((R2371-1)*Skills!D11))))/Inputs!$B$44),IF(Inputs!$B$39="pvp",MIN((Skills!S11*(1+((Inputs!$B$35+(ArtifactsInput!$M$7-ArtifactsInput!$M$7)*CHOOSE(ArtifactsInput!$N$7+1,6,7.2,8.4,9.6,10.8,12))+IF(Inputs!$B$3&gt;=117,F2386,0))/100)),15)/15,(Skills!S11*(1+((Inputs!$B$35+(ArtifactsInput!$M$7-ArtifactsInput!$M$7)*CHOOSE(ArtifactsInput!$N$7+1,6,7.2,8.4,9.6,10.8,12))+IF(Inputs!$B$3&gt;=117,F2386,0)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2374=TRUE,(1+F2374*IF(AND(Inputs!$B$39&lt;&gt;"pvp",Inputs!$B$44&gt;0),(((R2374-1)*(Skills!S14*(1+((Inputs!$B$35+(ArtifactsInput!$M$7-ArtifactsInput!$M$7)*CHOOSE(ArtifactsInput!$N$7+1,6,7.2,8.4,9.6,10.8,12))+IF(Inputs!$B$3&gt;=117,F2386,0))/100))+MIN((Skills!S14*(1+((Inputs!$B$35+(ArtifactsInput!$M$7-ArtifactsInput!$M$7)*CHOOSE(ArtifactsInput!$N$7+1,6,7.2,8.4,9.6,10.8,12))+IF(Inputs!$B$3&gt;=117,F2386,0))/100)),MAX(0,Inputs!$B$44-((R2374-1)*Skills!D14))))/Inputs!$B$44),IF(Inputs!$B$39="pvp",MIN((Skills!S14*(1+((Inputs!$B$35+(ArtifactsInput!$M$7-ArtifactsInput!$M$7)*CHOOSE(ArtifactsInput!$N$7+1,6,7.2,8.4,9.6,10.8,12))+IF(Inputs!$B$3&gt;=117,F2386,0))/100)),15)/15,(Skills!S14*(1+((Inputs!$B$35+(ArtifactsInput!$M$7-ArtifactsInput!$M$7)*CHOOSE(ArtifactsInput!$N$7+1,6,7.2,8.4,9.6,10.8,12))+IF(Inputs!$B$3&gt;=117,F2386,0))/100))/Skills!D14))/100),1)*IF(C2379=TRUE,(1+F2379*IF(AND(Inputs!$B$39&lt;&gt;"pvp",Inputs!$B$44&gt;0),(((R2379-1)*(Skills!S19*(1+((Inputs!$B$35+(ArtifactsInput!$M$7-ArtifactsInput!$M$7)*CHOOSE(ArtifactsInput!$N$7+1,6,7.2,8.4,9.6,10.8,12))+IF(Inputs!$B$3&gt;=117,F2386,0))/100))+MIN((Skills!S19*(1+((Inputs!$B$35+(ArtifactsInput!$M$7-ArtifactsInput!$M$7)*CHOOSE(ArtifactsInput!$N$7+1,6,7.2,8.4,9.6,10.8,12))+IF(Inputs!$B$3&gt;=117,F2386,0))/100)),MAX(0,Inputs!$B$44-((R2379-1)*Skills!D19))))/Inputs!$B$44),IF(Inputs!$B$39="pvp",MIN((Skills!S19*(1+((Inputs!$B$35+(ArtifactsInput!$M$7-ArtifactsInput!$M$7)*CHOOSE(ArtifactsInput!$N$7+1,6,7.2,8.4,9.6,10.8,12))+IF(Inputs!$B$3&gt;=117,F2386,0))/100)),15)/15,(Skills!S19*(1+((Inputs!$B$35+(ArtifactsInput!$M$7-ArtifactsInput!$M$7)*CHOOSE(ArtifactsInput!$N$7+1,6,7.2,8.4,9.6,10.8,12))+IF(Inputs!$B$3&gt;=117,F2386,0))/100))/Skills!D19))/100),1)</f>
        <v/>
      </c>
    </row>
    <row r="2390">
      <c r="A2390" t="inlineStr">
        <is>
          <t>Monster Damage Taken Bonus % (Holy Fountain)</t>
        </is>
      </c>
      <c r="B2390">
        <f>IF(Inputs!$B$3&gt;=68,20*IF(Inputs!$B$39="pvp",MIN((15*(1+((Inputs!$B$35+(ArtifactsInput!$M$7-ArtifactsInput!$M$7)*CHOOSE(ArtifactsInput!$N$7+1,6,7.2,8.4,9.6,10.8,12))+IF(Inputs!$B$3&gt;=117,F2386,0))/100)),15)/15,(15*(1+((Inputs!$B$35+(ArtifactsInput!$M$7-ArtifactsInput!$M$7)*CHOOSE(ArtifactsInput!$N$7+1,6,7.2,8.4,9.6,10.8,12))+IF(Inputs!$B$3&gt;=117,F2386,0))/100))/Skills!D10),0)</f>
        <v/>
      </c>
    </row>
    <row r="2391">
      <c r="A2391" t="inlineStr">
        <is>
          <t>Normal Monster Damage Bonus % (Holy Symbol)</t>
        </is>
      </c>
      <c r="B2391">
        <f>IF(C2372=TRUE,F2372*IF(AND(Inputs!$B$39&lt;&gt;"pvp",Inputs!$B$44&gt;0),(((R2372-1)*(Skills!S12*(1+((Inputs!$B$35+(ArtifactsInput!$M$7-ArtifactsInput!$M$7)*CHOOSE(ArtifactsInput!$N$7+1,6,7.2,8.4,9.6,10.8,12))+IF(Inputs!$B$3&gt;=117,F2386,0))/100))+MIN((Skills!S12*(1+((Inputs!$B$35+(ArtifactsInput!$M$7-ArtifactsInput!$M$7)*CHOOSE(ArtifactsInput!$N$7+1,6,7.2,8.4,9.6,10.8,12))+IF(Inputs!$B$3&gt;=117,F2386,0))/100)),MAX(0,Inputs!$B$44-((R2372-1)*Skills!D12))))/Inputs!$B$44),IF(Inputs!$B$39="pvp",MIN((Skills!S12*(1+((Inputs!$B$35+(ArtifactsInput!$M$7-ArtifactsInput!$M$7)*CHOOSE(ArtifactsInput!$N$7+1,6,7.2,8.4,9.6,10.8,12))+IF(Inputs!$B$3&gt;=117,F2386,0))/100)),15)/15,(Skills!S12*(1+((Inputs!$B$35+(ArtifactsInput!$M$7-ArtifactsInput!$M$7)*CHOOSE(ArtifactsInput!$N$7+1,6,7.2,8.4,9.6,10.8,12))+IF(Inputs!$B$3&gt;=117,F2386,0))/100))/Skills!D12)),0)</f>
        <v/>
      </c>
    </row>
    <row r="2392">
      <c r="A2392" t="inlineStr">
        <is>
          <t>Damage % Bonus (Holy Symbol - Damage Boost)</t>
        </is>
      </c>
      <c r="B2392">
        <f>Skills!O12</f>
        <v/>
      </c>
    </row>
    <row r="2393">
      <c r="A2393" t="inlineStr">
        <is>
          <t>Crit Damage % Bonus (Blood of the Divine)</t>
        </is>
      </c>
      <c r="B2393">
        <f>4*IF(C2380=TRUE,F2380,0)</f>
        <v/>
      </c>
    </row>
    <row r="2394">
      <c r="A2394" t="inlineStr">
        <is>
          <t>Attack Speed Bonus %</t>
        </is>
      </c>
      <c r="B2394">
        <f>IF(C2377=TRUE,F2377+(F2381-Calc!F21),0)+IF(Inputs!$B$3&gt;=134,15,0)</f>
        <v/>
      </c>
    </row>
    <row r="2395">
      <c r="A2395" t="inlineStr">
        <is>
          <t>Actions Per Second</t>
        </is>
      </c>
      <c r="B2395">
        <f>1+MIN(150,150*(1-(1-Inputs!$B$12/150)*(1-B2394/150)))/100</f>
        <v/>
      </c>
    </row>
    <row r="2396">
      <c r="A2396" t="inlineStr">
        <is>
          <t>Skill + Buff Cast Rate</t>
        </is>
      </c>
      <c r="B2396">
        <f>IF(AND(Inputs!$B$39&lt;&gt;"pvp",Inputs!$B$44&gt;0),SUMPRODUCT((Skills!E2:E27=TRUE)*(C2362:C2387=TRUE)*R2362:R2387)/Inputs!$B$44,SUMPRODUCT((Skills!E2:E27=TRUE)*(C2362:C2387=TRUE)*Q2362:Q2387))</f>
        <v/>
      </c>
    </row>
    <row r="2397">
      <c r="A2397" t="inlineStr">
        <is>
          <t>Big Bang Casts Per Second</t>
        </is>
      </c>
      <c r="B2397">
        <f>MAX(0,B2395-B2396)</f>
        <v/>
      </c>
    </row>
    <row r="2398">
      <c r="A2398" t="inlineStr">
        <is>
          <t>Defense % Bonus (Divine Protection)</t>
        </is>
      </c>
      <c r="B2398">
        <f>IF(C2373=TRUE,F2373*IF(AND(Inputs!$B$39&lt;&gt;"pvp",Inputs!$B$44&gt;0),(((R2373-1)*(Skills!S13*(1+((Inputs!$B$35+(ArtifactsInput!$M$7-ArtifactsInput!$M$7)*CHOOSE(ArtifactsInput!$N$7+1,6,7.2,8.4,9.6,10.8,12))+IF(Inputs!$B$3&gt;=117,F2386,0))/100))+MIN((Skills!S13*(1+((Inputs!$B$35+(ArtifactsInput!$M$7-ArtifactsInput!$M$7)*CHOOSE(ArtifactsInput!$N$7+1,6,7.2,8.4,9.6,10.8,12))+IF(Inputs!$B$3&gt;=117,F2386,0))/100)),MAX(0,Inputs!$B$44-((R2373-1)*Skills!D13))))/Inputs!$B$44),IF(Inputs!$B$39="pvp",MIN((Skills!S13*(1+((Inputs!$B$35+(ArtifactsInput!$M$7-ArtifactsInput!$M$7)*CHOOSE(ArtifactsInput!$N$7+1,6,7.2,8.4,9.6,10.8,12))+IF(Inputs!$B$3&gt;=117,F2386,0))/100)),15)/15,(Skills!S13*(1+((Inputs!$B$35+(ArtifactsInput!$M$7-ArtifactsInput!$M$7)*CHOOSE(ArtifactsInput!$N$7+1,6,7.2,8.4,9.6,10.8,12))+IF(Inputs!$B$3&gt;=117,F2386,0))/100))/Skills!D13)),0)</f>
        <v/>
      </c>
    </row>
    <row r="2399">
      <c r="A2399" t="inlineStr">
        <is>
          <t>Buff-Casting Startup Delay (s, fixed-duration only)</t>
        </is>
      </c>
      <c r="B2399">
        <f>IF(AND(Inputs!$B$39&lt;&gt;"pvp",Inputs!$B$44&gt;0),SUMPRODUCT((Skills!S2:S27&gt;0)*(Skills!E2:E27=TRUE)*(C2362:C2387=TRUE))/B2395,0)</f>
        <v/>
      </c>
    </row>
    <row r="2400">
      <c r="A2400" t="inlineStr">
        <is>
          <t>Boss-Only Total DPS (this block's swept value)</t>
        </is>
      </c>
      <c r="B2400">
        <f>SUM(S2362:S2387)</f>
        <v/>
      </c>
    </row>
    <row r="2401">
      <c r="A2401" t="inlineStr">
        <is>
          <t>Normal-Only Total DPS (this block's swept value)</t>
        </is>
      </c>
      <c r="B2401">
        <f>SUM(U2362:U2387)</f>
        <v/>
      </c>
    </row>
    <row r="2402">
      <c r="A2402" s="6" t="inlineStr">
        <is>
          <t>TOTAL DPS</t>
        </is>
      </c>
      <c r="B2402" s="6">
        <f>SUM(O2362:O2387)</f>
        <v/>
      </c>
    </row>
    <row r="2404">
      <c r="A2404" s="6" t="inlineStr">
        <is>
          <t>Stat: Sayram's Necklace (Equip)</t>
        </is>
      </c>
    </row>
    <row r="2405">
      <c r="A2405" s="5" t="inlineStr">
        <is>
          <t>Key</t>
        </is>
      </c>
      <c r="B2405" s="5" t="inlineStr">
        <is>
          <t>Name</t>
        </is>
      </c>
      <c r="C2405" s="5" t="inlineStr">
        <is>
          <t>Unlocked</t>
        </is>
      </c>
      <c r="D2405" s="5" t="inlineStr">
        <is>
          <t>InputLevel</t>
        </is>
      </c>
      <c r="E2405" s="5" t="inlineStr">
        <is>
          <t>Factor</t>
        </is>
      </c>
      <c r="F2405" s="5" t="inlineStr">
        <is>
          <t>CoefficientPercent</t>
        </is>
      </c>
      <c r="G2405" s="5" t="inlineStr">
        <is>
          <t>EffectiveHits</t>
        </is>
      </c>
      <c r="H2405" s="5" t="inlineStr">
        <is>
          <t>ProcProbability</t>
        </is>
      </c>
      <c r="I2405" s="5" t="inlineStr">
        <is>
          <t>MapleHeroMultiplier</t>
        </is>
      </c>
      <c r="J2405" s="5" t="inlineStr">
        <is>
          <t>BaseDamage</t>
        </is>
      </c>
      <c r="K2405" s="5" t="inlineStr">
        <is>
          <t>BaseHitDamage</t>
        </is>
      </c>
      <c r="L2405" s="5" t="inlineStr">
        <is>
          <t>NonCritAvg</t>
        </is>
      </c>
      <c r="M2405" s="5" t="inlineStr">
        <is>
          <t>CritAvg</t>
        </is>
      </c>
      <c r="N2405" s="5" t="inlineStr">
        <is>
          <t>ExpectedDamage(perHit)</t>
        </is>
      </c>
      <c r="O2405" s="5" t="inlineStr">
        <is>
          <t>DPS</t>
        </is>
      </c>
      <c r="P2405" s="5" t="inlineStr">
        <is>
          <t>% of Total</t>
        </is>
      </c>
      <c r="R2405" t="inlineStr">
        <is>
          <t>helpers</t>
        </is>
      </c>
    </row>
    <row r="2406">
      <c r="A2406">
        <f>Skills!A2</f>
        <v/>
      </c>
      <c r="B2406">
        <f>Skills!B2</f>
        <v/>
      </c>
      <c r="C2406">
        <f>Inputs!$B$3&gt;=100</f>
        <v/>
      </c>
      <c r="D2406" t="inlineStr"/>
      <c r="E2406" t="inlineStr"/>
      <c r="F2406">
        <f>T2408+Skills!N2</f>
        <v/>
      </c>
      <c r="G2406">
        <f>Calc!G2</f>
        <v/>
      </c>
      <c r="H2406">
        <f>Calc!H2</f>
        <v/>
      </c>
      <c r="I2406">
        <f>IF(Skills!T2&lt;&gt;"",1+(Skills!T2/10)*($Z$3/1000)/100,1)</f>
        <v/>
      </c>
      <c r="J2406">
        <f>((Inputs!$B$6*(1+Inputs!$B$7/100))+(((Inputs!$B$13*(1+Inputs!$B$14/100))-(Inputs!$B$13*(1+Inputs!$B$14/100)))+0.25*(Inputs!$B$15-Inputs!$B$15))*(1+Inputs!$B$7/100))*(F2406/100)</f>
        <v/>
      </c>
      <c r="K2406">
        <f>J2406*(1+(((Inputs!$B$13+IF(Inputs!$B$3&gt;=35,(10*INDEX(FactorTable!$B$2:$Y$301,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2="TRIUMPH_FEATHER",IF(C2420=TRUE,F2420,0),0)/100)*(1+IF(C2431=TRUE,F2431,0)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2406)</f>
        <v/>
      </c>
      <c r="L2406">
        <f>K2406*(MIN(Inputs!$B$23+(F2426-Calc!F22),(Inputs!$B$24+IF(ArtifactsInput!$M$15,CHOOSE(ArtifactsInput!$N$15+1,25,30,35,40,45,50)/100*(Inputs!$B$12-Inputs!$B$12),0)))/100+(Inputs!$B$24+IF(ArtifactsInput!$M$15,CHOOSE(ArtifactsInput!$N$15+1,25,30,35,40,45,50)/100*(Inputs!$B$12-Inputs!$B$12),0))/100)/2</f>
        <v/>
      </c>
      <c r="M2406">
        <f>L2406*(1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06">
        <f>L2406*(1-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2406*(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06">
        <f>(1-Summary!$B$11)*S2406+Summary!$B$11*U2406</f>
        <v/>
      </c>
      <c r="P2406">
        <f>IF(B2446=0,0,O2406/B2446)</f>
        <v/>
      </c>
      <c r="Q2406">
        <f>IFERROR(1/(IF(Inputs!$B$39="pvp",15,MAX(0.1,Skills!D2-IF(Skills!E2=TRUE,Inputs!$B$33,0)))*(1-IF(AND(ArtifactsInput!$M$27,Inputs!$B$4="Chapter Hunt"),CHOOSE(ArtifactsInput!$N$27+1,20,24,28,32,36,40),0)/100)),0)</f>
        <v/>
      </c>
      <c r="R2406" t="n">
        <v>0</v>
      </c>
      <c r="S2406">
        <f>IF(C2406,(Skills!F2*N2406*B2441)*IF(Inputs!$B$39="pvp",1,1+(Inputs!$B$21+Skills!O2+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2406*(1-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2406*(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2406*(1-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2406*(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06">
        <f>MAX(0,(Inputs!$B$3-100)*3)+Inputs!$B$29+Inputs!$B$30</f>
        <v/>
      </c>
      <c r="U2406">
        <f>IF(C2406,(Skills!F2*N2406*B2441)*IF(Inputs!$B$39="pvp",1,(1+(Inputs!$B$22+Skills!P2+B2435+(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07">
      <c r="A2407">
        <f>Skills!A3</f>
        <v/>
      </c>
      <c r="B2407">
        <f>Skills!B3</f>
        <v/>
      </c>
      <c r="C2407">
        <f>Inputs!$B$3&gt;=15</f>
        <v/>
      </c>
      <c r="D2407">
        <f>IF(Skills!C3=1,60+Inputs!$B$26+Inputs!$B$30,IF(Skills!C3=2,90+Inputs!$B$27+Inputs!$B$30,IF(Skills!C3=3,120+Inputs!$B$28+Inputs!$B$30,MAX(0,(Inputs!$B$3-100)*3)+Inputs!$B$29+Inputs!$B$30)))</f>
        <v/>
      </c>
      <c r="E2407">
        <f>INDEX(FactorTable!$B$2:$Y$301, MATCH(ROUND(MIN(300,MAX(1,D2407)),0), FactorTable!$A$2:$A$301,0), Skills!L3+1)</f>
        <v/>
      </c>
      <c r="F2407">
        <f>IF(Skills!M3=TRUE,(Skills!K3/10)*(E2407/1000),Skills!K3/10)+Skills!N3</f>
        <v/>
      </c>
      <c r="G2407">
        <f>Calc!G3</f>
        <v/>
      </c>
      <c r="H2407">
        <f>Calc!H3</f>
        <v/>
      </c>
      <c r="I2407">
        <f>IF(Skills!T3&lt;&gt;"",1+(Skills!T3/10)*($Z$3/1000)/100,1)</f>
        <v/>
      </c>
      <c r="J2407" t="inlineStr"/>
      <c r="K2407" t="inlineStr"/>
      <c r="L2407" t="inlineStr"/>
      <c r="M2407" t="inlineStr"/>
      <c r="N2407" t="inlineStr"/>
      <c r="O2407">
        <f>(1-Summary!$B$11)*S2407+Summary!$B$11*U2407</f>
        <v/>
      </c>
      <c r="P2407">
        <f>IF(B2446=0,0,O2407/B2446)</f>
        <v/>
      </c>
      <c r="Q2407">
        <f>IFERROR(1/(IF(Inputs!$B$39="pvp",15,MAX(0.1,Skills!D3-IF(Skills!E3=TRUE,Inputs!$B$33,0)))*(1-IF(AND(ArtifactsInput!$M$27,Inputs!$B$4="Chapter Hunt"),CHOOSE(ArtifactsInput!$N$27+1,20,24,28,32,36,40),0)/100)),0)</f>
        <v/>
      </c>
      <c r="R2407">
        <f>IF(AND(Inputs!$B$39&lt;&gt;"pvp",Inputs!$B$44&gt;0),IF(Inputs!$B$44&lt;=0,0,(INT(Inputs!$B$44/(IF(Inputs!$B$39="pvp",15,MAX(0.1,Skills!D3-IF(Skills!E3=TRUE,Inputs!$B$33,0)))*(1-IF(AND(ArtifactsInput!$M$27,Inputs!$B$4="Chapter Hunt"),CHOOSE(ArtifactsInput!$N$27+1,20,24,28,32,36,40),0)/100)))+1)),0)</f>
        <v/>
      </c>
      <c r="S2407" t="n">
        <v>0</v>
      </c>
      <c r="T2407">
        <f>INDEX(FactorTable!$B$2:$Y$301, MATCH(ROUND(MIN(300,MAX(1,T2406)),0), FactorTable!$A$2:$A$301,0), 22)</f>
        <v/>
      </c>
      <c r="U2407" t="n">
        <v>0</v>
      </c>
    </row>
    <row r="2408">
      <c r="A2408">
        <f>Skills!A4</f>
        <v/>
      </c>
      <c r="B2408">
        <f>Skills!B4</f>
        <v/>
      </c>
      <c r="C2408">
        <f>Inputs!$B$3&gt;=38</f>
        <v/>
      </c>
      <c r="D2408">
        <f>IF(Skills!C4=1,60+Inputs!$B$26+Inputs!$B$30,IF(Skills!C4=2,90+Inputs!$B$27+Inputs!$B$30,IF(Skills!C4=3,120+Inputs!$B$28+Inputs!$B$30,MAX(0,(Inputs!$B$3-100)*3)+Inputs!$B$29+Inputs!$B$30)))</f>
        <v/>
      </c>
      <c r="E2408">
        <f>INDEX(FactorTable!$B$2:$Y$301, MATCH(ROUND(MIN(300,MAX(1,D2408)),0), FactorTable!$A$2:$A$301,0), Skills!L4+1)</f>
        <v/>
      </c>
      <c r="F2408">
        <f>IF(Skills!M4=TRUE,(Skills!K4/10)*(E2408/1000),Skills!K4/10)+Skills!N4</f>
        <v/>
      </c>
      <c r="G2408">
        <f>Calc!G4</f>
        <v/>
      </c>
      <c r="H2408">
        <f>Calc!H4</f>
        <v/>
      </c>
      <c r="I2408">
        <f>IF(Skills!T4&lt;&gt;"",1+(Skills!T4/10)*($Z$3/1000)/100,1)</f>
        <v/>
      </c>
      <c r="J2408" t="inlineStr"/>
      <c r="K2408" t="inlineStr"/>
      <c r="L2408" t="inlineStr"/>
      <c r="M2408" t="inlineStr"/>
      <c r="N2408" t="inlineStr"/>
      <c r="O2408">
        <f>(1-Summary!$B$11)*S2408+Summary!$B$11*U2408</f>
        <v/>
      </c>
      <c r="P2408">
        <f>IF(B2446=0,0,O2408/B2446)</f>
        <v/>
      </c>
      <c r="Q2408">
        <f>IFERROR(1/(IF(Inputs!$B$39="pvp",15,MAX(0.1,Skills!D4-IF(Skills!E4=TRUE,Inputs!$B$33,0)))*(1-IF(AND(ArtifactsInput!$M$27,Inputs!$B$4="Chapter Hunt"),CHOOSE(ArtifactsInput!$N$27+1,20,24,28,32,36,40),0)/100)),0)</f>
        <v/>
      </c>
      <c r="R2408">
        <f>IF(AND(Inputs!$B$39&lt;&gt;"pvp",Inputs!$B$44&gt;0),IF(Inputs!$B$44&lt;=0,0,(INT(Inputs!$B$44/(IF(Inputs!$B$39="pvp",15,MAX(0.1,Skills!D4-IF(Skills!E4=TRUE,Inputs!$B$33,0)))*(1-IF(AND(ArtifactsInput!$M$27,Inputs!$B$4="Chapter Hunt"),CHOOSE(ArtifactsInput!$N$27+1,20,24,28,32,36,40),0)/100)))+1)),0)</f>
        <v/>
      </c>
      <c r="S2408" t="n">
        <v>0</v>
      </c>
      <c r="T2408">
        <f>290*T2407/1000</f>
        <v/>
      </c>
      <c r="U2408" t="n">
        <v>0</v>
      </c>
    </row>
    <row r="2409">
      <c r="A2409">
        <f>Skills!A5</f>
        <v/>
      </c>
      <c r="B2409">
        <f>Skills!B5</f>
        <v/>
      </c>
      <c r="C2409">
        <f>Inputs!$B$3&gt;=40</f>
        <v/>
      </c>
      <c r="D2409">
        <f>IF(Skills!C5=1,60+Inputs!$B$26+Inputs!$B$30,IF(Skills!C5=2,90+Inputs!$B$27+Inputs!$B$30,IF(Skills!C5=3,120+Inputs!$B$28+Inputs!$B$30,MAX(0,(Inputs!$B$3-100)*3)+Inputs!$B$29+Inputs!$B$30)))</f>
        <v/>
      </c>
      <c r="E2409">
        <f>INDEX(FactorTable!$B$2:$Y$301, MATCH(ROUND(MIN(300,MAX(1,D2409)),0), FactorTable!$A$2:$A$301,0), Skills!L5+1)</f>
        <v/>
      </c>
      <c r="F2409">
        <f>IF(Skills!M5=TRUE,(Skills!K5/10)*(E2409/1000),Skills!K5/10)+Skills!N5</f>
        <v/>
      </c>
      <c r="G2409">
        <f>Calc!G5</f>
        <v/>
      </c>
      <c r="H2409">
        <f>Calc!H5</f>
        <v/>
      </c>
      <c r="I2409">
        <f>IF(Skills!T5&lt;&gt;"",1+(Skills!T5/10)*($Z$3/1000)/100,1)</f>
        <v/>
      </c>
      <c r="J2409" t="inlineStr"/>
      <c r="K2409" t="inlineStr"/>
      <c r="L2409" t="inlineStr"/>
      <c r="M2409" t="inlineStr"/>
      <c r="N2409" t="inlineStr"/>
      <c r="O2409">
        <f>(1-Summary!$B$11)*S2409+Summary!$B$11*U2409</f>
        <v/>
      </c>
      <c r="P2409">
        <f>IF(B2446=0,0,O2409/B2446)</f>
        <v/>
      </c>
      <c r="Q2409">
        <f>IFERROR(1/(IF(Inputs!$B$39="pvp",15,MAX(0.1,Skills!D5-IF(Skills!E5=TRUE,Inputs!$B$33,0)))*(1-IF(AND(ArtifactsInput!$M$27,Inputs!$B$4="Chapter Hunt"),CHOOSE(ArtifactsInput!$N$27+1,20,24,28,32,36,40),0)/100)),0)</f>
        <v/>
      </c>
      <c r="R2409">
        <f>IF(AND(Inputs!$B$39&lt;&gt;"pvp",Inputs!$B$44&gt;0),IF(Inputs!$B$44&lt;=0,0,(INT(Inputs!$B$44/(IF(Inputs!$B$39="pvp",15,MAX(0.1,Skills!D5-IF(Skills!E5=TRUE,Inputs!$B$33,0)))*(1-IF(AND(ArtifactsInput!$M$27,Inputs!$B$4="Chapter Hunt"),CHOOSE(ArtifactsInput!$N$27+1,20,24,28,32,36,40),0)/100)))+1)),0)</f>
        <v/>
      </c>
      <c r="S2409" t="n">
        <v>0</v>
      </c>
      <c r="U2409" t="n">
        <v>0</v>
      </c>
    </row>
    <row r="2410">
      <c r="A2410">
        <f>Skills!A6</f>
        <v/>
      </c>
      <c r="B2410">
        <f>Skills!B6</f>
        <v/>
      </c>
      <c r="C2410">
        <f>Inputs!$B$3&gt;=103</f>
        <v/>
      </c>
      <c r="D2410">
        <f>IF(Skills!C6=1,60+Inputs!$B$26+Inputs!$B$30,IF(Skills!C6=2,90+Inputs!$B$27+Inputs!$B$30,IF(Skills!C6=3,120+Inputs!$B$28+Inputs!$B$30,MAX(0,(Inputs!$B$3-100)*3)+Inputs!$B$29+Inputs!$B$30)))</f>
        <v/>
      </c>
      <c r="E2410">
        <f>INDEX(FactorTable!$B$2:$Y$301, MATCH(ROUND(MIN(300,MAX(1,D2410)),0), FactorTable!$A$2:$A$301,0), Skills!L6+1)</f>
        <v/>
      </c>
      <c r="F2410">
        <f>IF(Skills!M6=TRUE,(Skills!K6/10)*(E2410/1000),Skills!K6/10)+Skills!N6</f>
        <v/>
      </c>
      <c r="G2410">
        <f>Calc!G6</f>
        <v/>
      </c>
      <c r="H2410">
        <f>Calc!H6</f>
        <v/>
      </c>
      <c r="I2410">
        <f>IF(Skills!T6&lt;&gt;"",1+(Skills!T6/10)*($Z$3/1000)/100,1)</f>
        <v/>
      </c>
      <c r="J2410">
        <f>((Inputs!$B$6*(1+Inputs!$B$7/100))+(((Inputs!$B$13*(1+Inputs!$B$14/100))-(Inputs!$B$13*(1+Inputs!$B$14/100)))+0.25*(Inputs!$B$15-Inputs!$B$15))*(1+Inputs!$B$7/100))*(F2410/100)</f>
        <v/>
      </c>
      <c r="K2410">
        <f>J2410*(1+(((Inputs!$B$13+IF(Inputs!$B$3&gt;=35,(10*INDEX(FactorTable!$B$2:$Y$301,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6="TRIUMPH_FEATHER",IF(C2420=TRUE,F2420,0),0)/100)*(1+IF(C2431=TRUE,F2431,0)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2410)</f>
        <v/>
      </c>
      <c r="L2410">
        <f>K2410*(MIN(Inputs!$B$23+(F2426-Calc!F22),(Inputs!$B$24+IF(ArtifactsInput!$M$15,CHOOSE(ArtifactsInput!$N$15+1,25,30,35,40,45,50)/100*(Inputs!$B$12-Inputs!$B$12),0)))/100+(Inputs!$B$24+IF(ArtifactsInput!$M$15,CHOOSE(ArtifactsInput!$N$15+1,25,30,35,40,45,50)/100*(Inputs!$B$12-Inputs!$B$12),0))/100)/2</f>
        <v/>
      </c>
      <c r="M2410">
        <f>L2410*(1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0">
        <f>L2410*(1-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2410*(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0">
        <f>(1-Summary!$B$11)*S2410+Summary!$B$11*U2410</f>
        <v/>
      </c>
      <c r="P2410">
        <f>IF(B2446=0,0,O2410/B2446)</f>
        <v/>
      </c>
      <c r="Q2410">
        <f>IFERROR(1/(IF(Inputs!$B$39="pvp",15,MAX(0.1,Skills!D6-IF(Skills!E6=TRUE,Inputs!$B$33,0)))*(1-IF(AND(ArtifactsInput!$M$27,Inputs!$B$4="Chapter Hunt"),CHOOSE(ArtifactsInput!$N$27+1,20,24,28,32,36,40),0)/100)),0)</f>
        <v/>
      </c>
      <c r="R2410">
        <f>IF(AND(Inputs!$B$39&lt;&gt;"pvp",Inputs!$B$44&gt;0),IF(MAX(0,Inputs!$B$44-B2443)&lt;=0,0,(INT(MAX(0,Inputs!$B$44-B2443)/(IF(Inputs!$B$39="pvp",15,MAX(0.1,Skills!D6-IF(Skills!E6=TRUE,Inputs!$B$33,0)))*(1-IF(AND(ArtifactsInput!$M$27,Inputs!$B$4="Chapter Hunt"),CHOOSE(ArtifactsInput!$N$27+1,20,24,28,32,36,40),0)/100)))+1)),0)</f>
        <v/>
      </c>
      <c r="S2410">
        <f>IF(C2410,(H2410*N2410*IF(AND(Inputs!$B$39&lt;&gt;"pvp",Inputs!$B$44&gt;0),((Skills!F6*((R2410-1)*IF(Skills!G6&gt;0,Skills!H6/Skills!G6,1)+IF(Skills!G6&gt;0,MIN(Skills!H6,MAX(0,MAX(0,Inputs!$B$44-B2443)-((R2410-1)*(IF(Inputs!$B$39="pvp",15,MAX(0.1,Skills!D6-IF(Skills!E6=TRUE,Inputs!$B$33,0)))*(1-IF(AND(ArtifactsInput!$M$27,Inputs!$B$4="Chapter Hunt"),CHOOSE(ArtifactsInput!$N$27+1,20,24,28,32,36,40),0)/100)))))/Skills!G6,1)))/Inputs!$B$44),G2410*Q2410))*IF(Inputs!$B$39="pvp",1,1+(Inputs!$B$21+Skills!O6+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2410*(1-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2410*(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2410*(1-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2410*(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0">
        <f>IF(C2410,(H2410*N2410*IF(AND(Inputs!$B$39&lt;&gt;"pvp",Inputs!$B$44&gt;0),((Skills!F6*((R2410-1)*IF(Skills!G6&gt;0,Skills!H6/Skills!G6,1)+IF(Skills!G6&gt;0,MIN(Skills!H6,MAX(0,MAX(0,Inputs!$B$44-B2443)-((R2410-1)*(IF(Inputs!$B$39="pvp",15,MAX(0.1,Skills!D6-IF(Skills!E6=TRUE,Inputs!$B$33,0)))*(1-IF(AND(ArtifactsInput!$M$27,Inputs!$B$4="Chapter Hunt"),CHOOSE(ArtifactsInput!$N$27+1,20,24,28,32,36,40),0)/100)))))/Skills!G6,1)))/Inputs!$B$44),G2410*Q2410))*IF(Inputs!$B$39="pvp",1,(1+(Inputs!$B$22+Skills!P6+B2435+(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1">
      <c r="A2411">
        <f>Skills!A7</f>
        <v/>
      </c>
      <c r="B2411">
        <f>Skills!B7</f>
        <v/>
      </c>
      <c r="C2411">
        <f>Inputs!$B$3&gt;=122</f>
        <v/>
      </c>
      <c r="D2411">
        <f>IF(Skills!C7=1,60+Inputs!$B$26+Inputs!$B$30,IF(Skills!C7=2,90+Inputs!$B$27+Inputs!$B$30,IF(Skills!C7=3,120+Inputs!$B$28+Inputs!$B$30,MAX(0,(Inputs!$B$3-100)*3)+Inputs!$B$29+Inputs!$B$30)))</f>
        <v/>
      </c>
      <c r="E2411">
        <f>INDEX(FactorTable!$B$2:$Y$301, MATCH(ROUND(MIN(300,MAX(1,D2411)),0), FactorTable!$A$2:$A$301,0), Skills!L7+1)</f>
        <v/>
      </c>
      <c r="F2411">
        <f>IF(Skills!M7=TRUE,(Skills!K7/10)*(E2411/1000),Skills!K7/10)+Skills!N7</f>
        <v/>
      </c>
      <c r="G2411">
        <f>Calc!G7</f>
        <v/>
      </c>
      <c r="H2411">
        <f>Calc!H7</f>
        <v/>
      </c>
      <c r="I2411">
        <f>IF(Skills!T7&lt;&gt;"",1+(Skills!T7/10)*($Z$3/1000)/100,1)</f>
        <v/>
      </c>
      <c r="J2411">
        <f>((Inputs!$B$6*(1+Inputs!$B$7/100))+(((Inputs!$B$13*(1+Inputs!$B$14/100))-(Inputs!$B$13*(1+Inputs!$B$14/100)))+0.25*(Inputs!$B$15-Inputs!$B$15))*(1+Inputs!$B$7/100))*(F2411/100)</f>
        <v/>
      </c>
      <c r="K2411">
        <f>J2411*(1+(((Inputs!$B$13+IF(Inputs!$B$3&gt;=35,(10*INDEX(FactorTable!$B$2:$Y$301,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7="TRIUMPH_FEATHER",IF(C2420=TRUE,F2420,0),0)/100)*(1+IF(C2431=TRUE,F2431,0)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2411)</f>
        <v/>
      </c>
      <c r="L2411">
        <f>K2411*(MIN(Inputs!$B$23+(F2426-Calc!F22),(Inputs!$B$24+IF(ArtifactsInput!$M$15,CHOOSE(ArtifactsInput!$N$15+1,25,30,35,40,45,50)/100*(Inputs!$B$12-Inputs!$B$12),0)))/100+(Inputs!$B$24+IF(ArtifactsInput!$M$15,CHOOSE(ArtifactsInput!$N$15+1,25,30,35,40,45,50)/100*(Inputs!$B$12-Inputs!$B$12),0))/100)/2</f>
        <v/>
      </c>
      <c r="M2411">
        <f>L2411*(1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1">
        <f>L2411*(1-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1">
        <f>(1-Summary!$B$11)*S2411+Summary!$B$11*U2411</f>
        <v/>
      </c>
      <c r="P2411">
        <f>IF(B2446=0,0,O2411/B2446)</f>
        <v/>
      </c>
      <c r="Q2411">
        <f>IFERROR(1/(IF(Inputs!$B$39="pvp",15,MAX(0.1,Skills!D7-IF(Skills!E6=TRUE,Inputs!$B$33,0)))*(1-IF(AND(ArtifactsInput!$M$27,Inputs!$B$4="Chapter Hunt"),CHOOSE(ArtifactsInput!$N$27+1,20,24,28,32,36,40),0)/100)),0)</f>
        <v/>
      </c>
      <c r="R2411">
        <f>IF(AND(Inputs!$B$39&lt;&gt;"pvp",Inputs!$B$44&gt;0),IF(MAX(0,Inputs!$B$44-B2443)&lt;=0,0,(INT(MAX(0,Inputs!$B$44-B2443)/(IF(Inputs!$B$39="pvp",15,MAX(0.1,Skills!D7-IF(Skills!E6=TRUE,Inputs!$B$33,0)))*(1-IF(AND(ArtifactsInput!$M$27,Inputs!$B$4="Chapter Hunt"),CHOOSE(ArtifactsInput!$N$27+1,20,24,28,32,36,40),0)/100)))+1)),0)</f>
        <v/>
      </c>
      <c r="S2411">
        <f>IF(C2411,H2411*N2411*IF(AND(Inputs!$B$39&lt;&gt;"pvp",Inputs!$B$44&gt;0),((Skills!F7*((R2411-1)*IF(Skills!G7&gt;0,Skills!H7/Skills!G7,1)+IF(Skills!G7&gt;0,MIN(Skills!H7,MAX(0,MAX(0,Inputs!$B$44-B2443)-((R2411-1)*(IF(Inputs!$B$39="pvp",15,MAX(0.1,Skills!D7-IF(Skills!E6=TRUE,Inputs!$B$33,0)))*(1-IF(AND(ArtifactsInput!$M$27,Inputs!$B$4="Chapter Hunt"),CHOOSE(ArtifactsInput!$N$27+1,20,24,28,32,36,40),0)/100)))))/Skills!G7,1)))/Inputs!$B$44),G2411*Q2411)*IF(Inputs!$B$39="pvp",1,1+(Inputs!$B$21+Skills!O7+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1" t="n">
        <v>0</v>
      </c>
    </row>
    <row r="2412">
      <c r="A2412">
        <f>Skills!A8</f>
        <v/>
      </c>
      <c r="B2412">
        <f>Skills!B8</f>
        <v/>
      </c>
      <c r="C2412">
        <f>Inputs!$B$3&gt;=105</f>
        <v/>
      </c>
      <c r="D2412">
        <f>IF(Skills!C8=1,60+Inputs!$B$26+Inputs!$B$30,IF(Skills!C8=2,90+Inputs!$B$27+Inputs!$B$30,IF(Skills!C8=3,120+Inputs!$B$28+Inputs!$B$30,MAX(0,(Inputs!$B$3-100)*3)+Inputs!$B$29+Inputs!$B$30)))</f>
        <v/>
      </c>
      <c r="E2412">
        <f>INDEX(FactorTable!$B$2:$Y$301, MATCH(ROUND(MIN(300,MAX(1,D2412)),0), FactorTable!$A$2:$A$301,0), Skills!L8+1)</f>
        <v/>
      </c>
      <c r="F2412">
        <f>IF(Skills!M8=TRUE,(Skills!K8/10)*(E2412/1000),Skills!K8/10)+Skills!N8</f>
        <v/>
      </c>
      <c r="G2412">
        <f>Calc!G8</f>
        <v/>
      </c>
      <c r="H2412">
        <f>Calc!H8</f>
        <v/>
      </c>
      <c r="I2412">
        <f>IF(Skills!T8&lt;&gt;"",1+(Skills!T8/10)*($Z$3/1000)/100,1)</f>
        <v/>
      </c>
      <c r="J2412">
        <f>((Inputs!$B$6*(1+Inputs!$B$7/100))+(((Inputs!$B$13*(1+Inputs!$B$14/100))-(Inputs!$B$13*(1+Inputs!$B$14/100)))+0.25*(Inputs!$B$15-Inputs!$B$15))*(1+Inputs!$B$7/100))*(F2412/100)</f>
        <v/>
      </c>
      <c r="K2412">
        <f>J2412*(1+(((Inputs!$B$13+IF(Inputs!$B$3&gt;=35,(10*INDEX(FactorTable!$B$2:$Y$301,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8="TRIUMPH_FEATHER",IF(C2420=TRUE,F2420,0),0)/100)*(1+IF(C2431=TRUE,F2431,0)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2412)</f>
        <v/>
      </c>
      <c r="L2412">
        <f>K2412*(MIN(Inputs!$B$23+(F2426-Calc!F22),(Inputs!$B$24+IF(ArtifactsInput!$M$15,CHOOSE(ArtifactsInput!$N$15+1,25,30,35,40,45,50)/100*(Inputs!$B$12-Inputs!$B$12),0)))/100+(Inputs!$B$24+IF(ArtifactsInput!$M$15,CHOOSE(ArtifactsInput!$N$15+1,25,30,35,40,45,50)/100*(Inputs!$B$12-Inputs!$B$12),0))/100)/2</f>
        <v/>
      </c>
      <c r="M2412">
        <f>L2412*(1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2">
        <f>L2412*(1-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2412*(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2">
        <f>(1-Summary!$B$11)*S2412+Summary!$B$11*U2412</f>
        <v/>
      </c>
      <c r="P2412">
        <f>IF(B2446=0,0,O2412/B2446)</f>
        <v/>
      </c>
      <c r="Q2412">
        <f>IFERROR(1/(IF(Inputs!$B$39="pvp",15,MAX(0.1,Skills!D8-IF(Skills!E8=TRUE,Inputs!$B$33,0)))*(1-IF(AND(ArtifactsInput!$M$27,Inputs!$B$4="Chapter Hunt"),CHOOSE(ArtifactsInput!$N$27+1,20,24,28,32,36,40),0)/100)),0)</f>
        <v/>
      </c>
      <c r="R2412">
        <f>IF(AND(Inputs!$B$39&lt;&gt;"pvp",Inputs!$B$44&gt;0),IF(MAX(0,Inputs!$B$44-B2443)&lt;=0,0,(INT(MAX(0,Inputs!$B$44-B2443)/(IF(Inputs!$B$39="pvp",15,MAX(0.1,Skills!D8-IF(Skills!E8=TRUE,Inputs!$B$33,0)))*(1-IF(AND(ArtifactsInput!$M$27,Inputs!$B$4="Chapter Hunt"),CHOOSE(ArtifactsInput!$N$27+1,20,24,28,32,36,40),0)/100)))+1)),0)</f>
        <v/>
      </c>
      <c r="S2412">
        <f>IF(C2412,(H2412*N2412*IF(AND(Inputs!$B$39&lt;&gt;"pvp",Inputs!$B$44&gt;0),((Skills!F8*((R2412-1)*IF(Skills!G8&gt;0,Skills!H8/Skills!G8,1)+IF(Skills!G8&gt;0,MIN(Skills!H8,MAX(0,MAX(0,Inputs!$B$44-B2443)-((R2412-1)*(IF(Inputs!$B$39="pvp",15,MAX(0.1,Skills!D8-IF(Skills!E8=TRUE,Inputs!$B$33,0)))*(1-IF(AND(ArtifactsInput!$M$27,Inputs!$B$4="Chapter Hunt"),CHOOSE(ArtifactsInput!$N$27+1,20,24,28,32,36,40),0)/100)))))/Skills!G8,1)))/Inputs!$B$44),G2412*Q2412))*IF(Inputs!$B$39="pvp",1,1+(Inputs!$B$21+Skills!O8+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2412*(1-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2412*(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2412*(1-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2412*(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2">
        <f>IF(C2412,(H2412*N2412*IF(AND(Inputs!$B$39&lt;&gt;"pvp",Inputs!$B$44&gt;0),((Skills!F8*((R2412-1)*IF(Skills!G8&gt;0,Skills!H8/Skills!G8,1)+IF(Skills!G8&gt;0,MIN(Skills!H8,MAX(0,MAX(0,Inputs!$B$44-B2443)-((R2412-1)*(IF(Inputs!$B$39="pvp",15,MAX(0.1,Skills!D8-IF(Skills!E8=TRUE,Inputs!$B$33,0)))*(1-IF(AND(ArtifactsInput!$M$27,Inputs!$B$4="Chapter Hunt"),CHOOSE(ArtifactsInput!$N$27+1,20,24,28,32,36,40),0)/100)))))/Skills!G8,1)))/Inputs!$B$44),G2412*Q2412))*IF(Inputs!$B$39="pvp",1,(1+(Inputs!$B$22+Skills!P8+B2435+(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3">
      <c r="A2413">
        <f>Skills!A9</f>
        <v/>
      </c>
      <c r="B2413">
        <f>Skills!B9</f>
        <v/>
      </c>
      <c r="C2413">
        <f>Inputs!$B$3&gt;=115</f>
        <v/>
      </c>
      <c r="D2413">
        <f>IF(Skills!C9=1,60+Inputs!$B$26+Inputs!$B$30,IF(Skills!C9=2,90+Inputs!$B$27+Inputs!$B$30,IF(Skills!C9=3,120+Inputs!$B$28+Inputs!$B$30,MAX(0,(Inputs!$B$3-100)*3)+Inputs!$B$29+Inputs!$B$30)))</f>
        <v/>
      </c>
      <c r="E2413">
        <f>INDEX(FactorTable!$B$2:$Y$301, MATCH(ROUND(MIN(300,MAX(1,D2413)),0), FactorTable!$A$2:$A$301,0), Skills!L9+1)</f>
        <v/>
      </c>
      <c r="F2413">
        <f>IF(Skills!M9=TRUE,(Skills!K9/10)*(E2413/1000),Skills!K9/10)+Skills!N9</f>
        <v/>
      </c>
      <c r="G2413">
        <f>Calc!G9</f>
        <v/>
      </c>
      <c r="H2413">
        <f>Calc!H9</f>
        <v/>
      </c>
      <c r="I2413">
        <f>IF(Skills!T9&lt;&gt;"",1+(Skills!T9/10)*($Z$3/1000)/100,1)</f>
        <v/>
      </c>
      <c r="J2413">
        <f>((Inputs!$B$6*(1+Inputs!$B$7/100))+(((Inputs!$B$13*(1+Inputs!$B$14/100))-(Inputs!$B$13*(1+Inputs!$B$14/100)))+0.25*(Inputs!$B$15-Inputs!$B$15))*(1+Inputs!$B$7/100))*(F2413/100)</f>
        <v/>
      </c>
      <c r="K2413">
        <f>J2413*(1+(((Inputs!$B$13+IF(Inputs!$B$3&gt;=35,(10*INDEX(FactorTable!$B$2:$Y$301,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9="TRIUMPH_FEATHER",IF(C2420=TRUE,F2420,0),0)/100)*(1+IF(C2431=TRUE,F2431,0)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2413)</f>
        <v/>
      </c>
      <c r="L2413">
        <f>K2413*(MIN(Inputs!$B$23+(F2426-Calc!F22),(Inputs!$B$24+IF(ArtifactsInput!$M$15,CHOOSE(ArtifactsInput!$N$15+1,25,30,35,40,45,50)/100*(Inputs!$B$12-Inputs!$B$12),0)))/100+(Inputs!$B$24+IF(ArtifactsInput!$M$15,CHOOSE(ArtifactsInput!$N$15+1,25,30,35,40,45,50)/100*(Inputs!$B$12-Inputs!$B$12),0))/100)/2</f>
        <v/>
      </c>
      <c r="M2413">
        <f>L2413*(1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3">
        <f>L2413*(1-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2413*(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3">
        <f>(1-Summary!$B$11)*S2413+Summary!$B$11*U2413</f>
        <v/>
      </c>
      <c r="P2413">
        <f>IF(B2446=0,0,O2413/B2446)</f>
        <v/>
      </c>
      <c r="Q2413">
        <f>IFERROR(1/(IF(Inputs!$B$39="pvp",15,MAX(0.1,Skills!D9-IF(Skills!E9=TRUE,Inputs!$B$33,0)))*(1-IF(AND(ArtifactsInput!$M$27,Inputs!$B$4="Chapter Hunt"),CHOOSE(ArtifactsInput!$N$27+1,20,24,28,32,36,40),0)/100)),0)</f>
        <v/>
      </c>
      <c r="R2413">
        <f>IF(AND(Inputs!$B$39&lt;&gt;"pvp",Inputs!$B$44&gt;0),IF(MAX(0,Inputs!$B$44-B2443)&lt;=0,0,(INT(MAX(0,Inputs!$B$44-B2443)/(IF(Inputs!$B$39="pvp",15,MAX(0.1,Skills!D9-IF(Skills!E9=TRUE,Inputs!$B$33,0)))*(1-IF(AND(ArtifactsInput!$M$27,Inputs!$B$4="Chapter Hunt"),CHOOSE(ArtifactsInput!$N$27+1,20,24,28,32,36,40),0)/100)))+1)),0)</f>
        <v/>
      </c>
      <c r="S2413">
        <f>IF(C2413,(H2413*N2413*IF(AND(Inputs!$B$39&lt;&gt;"pvp",Inputs!$B$44&gt;0),((Skills!F9*((R2413-1)*IF(Skills!G9&gt;0,Skills!H9/Skills!G9,1)+IF(Skills!G9&gt;0,MIN(Skills!H9,MAX(0,MAX(0,Inputs!$B$44-B2443)-((R2413-1)*(IF(Inputs!$B$39="pvp",15,MAX(0.1,Skills!D9-IF(Skills!E9=TRUE,Inputs!$B$33,0)))*(1-IF(AND(ArtifactsInput!$M$27,Inputs!$B$4="Chapter Hunt"),CHOOSE(ArtifactsInput!$N$27+1,20,24,28,32,36,40),0)/100)))))/Skills!G9,1)))/Inputs!$B$44),G2413*Q2413))*IF(Inputs!$B$39="pvp",1,1+(Inputs!$B$21+Skills!O9+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2413*(1-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2413*(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2413*(1-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2413*(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3">
        <f>IF(C2413,(H2413*N2413*IF(AND(Inputs!$B$39&lt;&gt;"pvp",Inputs!$B$44&gt;0),((Skills!F9*((R2413-1)*IF(Skills!G9&gt;0,Skills!H9/Skills!G9,1)+IF(Skills!G9&gt;0,MIN(Skills!H9,MAX(0,MAX(0,Inputs!$B$44-B2443)-((R2413-1)*(IF(Inputs!$B$39="pvp",15,MAX(0.1,Skills!D9-IF(Skills!E9=TRUE,Inputs!$B$33,0)))*(1-IF(AND(ArtifactsInput!$M$27,Inputs!$B$4="Chapter Hunt"),CHOOSE(ArtifactsInput!$N$27+1,20,24,28,32,36,40),0)/100)))))/Skills!G9,1)))/Inputs!$B$44),G2413*Q2413))*IF(Inputs!$B$39="pvp",1,(1+(Inputs!$B$22+Skills!P9+B2435+(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4">
      <c r="A2414">
        <f>Skills!A10</f>
        <v/>
      </c>
      <c r="B2414">
        <f>Skills!B10</f>
        <v/>
      </c>
      <c r="C2414">
        <f>Inputs!$B$3&gt;=66</f>
        <v/>
      </c>
      <c r="D2414">
        <f>IF(Skills!C10=1,60+Inputs!$B$26+Inputs!$B$30,IF(Skills!C10=2,90+Inputs!$B$27+Inputs!$B$30,IF(Skills!C10=3,120+Inputs!$B$28+Inputs!$B$30,MAX(0,(Inputs!$B$3-100)*3)+Inputs!$B$29+Inputs!$B$30)))</f>
        <v/>
      </c>
      <c r="E2414">
        <f>INDEX(FactorTable!$B$2:$Y$301, MATCH(ROUND(MIN(300,MAX(1,D2414)),0), FactorTable!$A$2:$A$301,0), Skills!L10+1)</f>
        <v/>
      </c>
      <c r="F2414" t="n">
        <v>0</v>
      </c>
      <c r="G2414">
        <f>Calc!G10</f>
        <v/>
      </c>
      <c r="H2414">
        <f>Calc!H10</f>
        <v/>
      </c>
      <c r="I2414">
        <f>IF(Skills!T10&lt;&gt;"",1+(Skills!T10/10)*($Z$3/1000)/100,1)</f>
        <v/>
      </c>
      <c r="J2414" t="inlineStr"/>
      <c r="K2414" t="inlineStr"/>
      <c r="L2414" t="inlineStr"/>
      <c r="M2414" t="inlineStr"/>
      <c r="N2414" t="inlineStr"/>
      <c r="O2414">
        <f>(1-Summary!$B$11)*S2414+Summary!$B$11*U2414</f>
        <v/>
      </c>
      <c r="P2414">
        <f>IF(B2446=0,0,O2414/B2446)</f>
        <v/>
      </c>
      <c r="Q2414">
        <f>IFERROR(1/(IF(Inputs!$B$39="pvp",15,MAX(0.1,Skills!D10-IF(Skills!E10=TRUE,Inputs!$B$33,0)))*(1-IF(AND(ArtifactsInput!$M$27,Inputs!$B$4="Chapter Hunt"),CHOOSE(ArtifactsInput!$N$27+1,20,24,28,32,36,40),0)/100)),0)</f>
        <v/>
      </c>
      <c r="R2414">
        <f>IF(AND(Inputs!$B$39&lt;&gt;"pvp",Inputs!$B$44&gt;0),IF(MAX(0,Inputs!$B$44-B2443)&lt;=0,0,(INT(MAX(0,Inputs!$B$44-B2443)/(IF(Inputs!$B$39="pvp",15,MAX(0.1,Skills!D10-IF(Skills!E10=TRUE,Inputs!$B$33,0)))*(1-IF(AND(ArtifactsInput!$M$27,Inputs!$B$4="Chapter Hunt"),CHOOSE(ArtifactsInput!$N$27+1,20,24,28,32,36,40),0)/100)))+1)),0)</f>
        <v/>
      </c>
      <c r="S2414" t="n">
        <v>0</v>
      </c>
      <c r="U2414" t="n">
        <v>0</v>
      </c>
    </row>
    <row r="2415">
      <c r="A2415">
        <f>Skills!A11</f>
        <v/>
      </c>
      <c r="B2415">
        <f>Skills!B11</f>
        <v/>
      </c>
      <c r="C2415">
        <f>Inputs!$B$3&gt;=69</f>
        <v/>
      </c>
      <c r="D2415">
        <f>IF(Skills!C11=1,60+Inputs!$B$26+Inputs!$B$30,IF(Skills!C11=2,90+Inputs!$B$27+Inputs!$B$30,IF(Skills!C11=3,120+Inputs!$B$28+Inputs!$B$30,MAX(0,(Inputs!$B$3-100)*3)+Inputs!$B$29+Inputs!$B$30)))</f>
        <v/>
      </c>
      <c r="E2415">
        <f>INDEX(FactorTable!$B$2:$Y$301, MATCH(ROUND(MIN(300,MAX(1,D2415)),0), FactorTable!$A$2:$A$301,0), Skills!L11+1)</f>
        <v/>
      </c>
      <c r="F2415">
        <f>IF(Skills!M11=TRUE,(Skills!K11/10)*(E2415/1000),Skills!K11/10)+Skills!N11</f>
        <v/>
      </c>
      <c r="G2415">
        <f>Calc!G11</f>
        <v/>
      </c>
      <c r="H2415">
        <f>Calc!H11</f>
        <v/>
      </c>
      <c r="I2415">
        <f>IF(Skills!T11&lt;&gt;"",1+(Skills!T11/10)*($Z$3/1000)/100,1)</f>
        <v/>
      </c>
      <c r="J2415" t="inlineStr"/>
      <c r="K2415" t="inlineStr"/>
      <c r="L2415" t="inlineStr"/>
      <c r="M2415" t="inlineStr"/>
      <c r="N2415" t="inlineStr"/>
      <c r="O2415">
        <f>(1-Summary!$B$11)*S2415+Summary!$B$11*U2415</f>
        <v/>
      </c>
      <c r="P2415">
        <f>IF(B2446=0,0,O2415/B2446)</f>
        <v/>
      </c>
      <c r="Q2415">
        <f>IFERROR(1/(IF(Inputs!$B$39="pvp",15,MAX(0.1,Skills!D11-IF(Skills!E11=TRUE,Inputs!$B$33,0)))*(1-IF(AND(ArtifactsInput!$M$27,Inputs!$B$4="Chapter Hunt"),CHOOSE(ArtifactsInput!$N$27+1,20,24,28,32,36,40),0)/100)),0)</f>
        <v/>
      </c>
      <c r="R2415">
        <f>IF(AND(Inputs!$B$39&lt;&gt;"pvp",Inputs!$B$44&gt;0),IF(Inputs!$B$44&lt;=0,0,(INT(Inputs!$B$44/(IF(Inputs!$B$39="pvp",15,MAX(0.1,Skills!D11-IF(Skills!E11=TRUE,Inputs!$B$33,0)))*(1-IF(AND(ArtifactsInput!$M$27,Inputs!$B$4="Chapter Hunt"),CHOOSE(ArtifactsInput!$N$27+1,20,24,28,32,36,40),0)/100)))+1)),0)</f>
        <v/>
      </c>
      <c r="S2415" t="n">
        <v>0</v>
      </c>
      <c r="U2415" t="n">
        <v>0</v>
      </c>
    </row>
    <row r="2416">
      <c r="A2416">
        <f>Skills!A12</f>
        <v/>
      </c>
      <c r="B2416">
        <f>Skills!B12</f>
        <v/>
      </c>
      <c r="C2416">
        <f>Inputs!$B$3&gt;=72</f>
        <v/>
      </c>
      <c r="D2416">
        <f>IF(Skills!C12=1,60+Inputs!$B$26+Inputs!$B$30,IF(Skills!C12=2,90+Inputs!$B$27+Inputs!$B$30,IF(Skills!C12=3,120+Inputs!$B$28+Inputs!$B$30,MAX(0,(Inputs!$B$3-100)*3)+Inputs!$B$29+Inputs!$B$30)))</f>
        <v/>
      </c>
      <c r="E2416">
        <f>INDEX(FactorTable!$B$2:$Y$301, MATCH(ROUND(MIN(300,MAX(1,D2416)),0), FactorTable!$A$2:$A$301,0), Skills!L12+1)</f>
        <v/>
      </c>
      <c r="F2416">
        <f>IF(Skills!M12=TRUE,(Skills!K12/10)*(E2416/1000),Skills!K12/10)+Skills!N12</f>
        <v/>
      </c>
      <c r="G2416">
        <f>Calc!G12</f>
        <v/>
      </c>
      <c r="H2416">
        <f>Calc!H12</f>
        <v/>
      </c>
      <c r="I2416">
        <f>IF(Skills!T12&lt;&gt;"",1+(Skills!T12/10)*($Z$3/1000)/100,1)</f>
        <v/>
      </c>
      <c r="J2416" t="inlineStr"/>
      <c r="K2416" t="inlineStr"/>
      <c r="L2416" t="inlineStr"/>
      <c r="M2416" t="inlineStr"/>
      <c r="N2416" t="inlineStr"/>
      <c r="O2416">
        <f>(1-Summary!$B$11)*S2416+Summary!$B$11*U2416</f>
        <v/>
      </c>
      <c r="P2416">
        <f>IF(B2446=0,0,O2416/B2446)</f>
        <v/>
      </c>
      <c r="Q2416">
        <f>IFERROR(1/(IF(Inputs!$B$39="pvp",15,MAX(0.1,Skills!D12-IF(Skills!E12=TRUE,Inputs!$B$33,0)))*(1-IF(AND(ArtifactsInput!$M$27,Inputs!$B$4="Chapter Hunt"),CHOOSE(ArtifactsInput!$N$27+1,20,24,28,32,36,40),0)/100)),0)</f>
        <v/>
      </c>
      <c r="R2416">
        <f>IF(AND(Inputs!$B$39&lt;&gt;"pvp",Inputs!$B$44&gt;0),IF(MAX(0,Inputs!$B$44-B2443)&lt;=0,0,(INT(MAX(0,Inputs!$B$44-B2443)/(IF(Inputs!$B$39="pvp",15,MAX(0.1,Skills!D12-IF(Skills!E12=TRUE,Inputs!$B$33,0)))*(1-IF(AND(ArtifactsInput!$M$27,Inputs!$B$4="Chapter Hunt"),CHOOSE(ArtifactsInput!$N$27+1,20,24,28,32,36,40),0)/100)))+1)),0)</f>
        <v/>
      </c>
      <c r="S2416" t="n">
        <v>0</v>
      </c>
      <c r="U2416" t="n">
        <v>0</v>
      </c>
    </row>
    <row r="2417">
      <c r="A2417">
        <f>Skills!A13</f>
        <v/>
      </c>
      <c r="B2417">
        <f>Skills!B13</f>
        <v/>
      </c>
      <c r="C2417">
        <f>Inputs!$B$3&gt;=60</f>
        <v/>
      </c>
      <c r="D2417">
        <f>IF(Skills!C13=1,60+Inputs!$B$26+Inputs!$B$30,IF(Skills!C13=2,90+Inputs!$B$27+Inputs!$B$30,IF(Skills!C13=3,120+Inputs!$B$28+Inputs!$B$30,MAX(0,(Inputs!$B$3-100)*3)+Inputs!$B$29+Inputs!$B$30)))</f>
        <v/>
      </c>
      <c r="E2417">
        <f>INDEX(FactorTable!$B$2:$Y$301, MATCH(ROUND(MIN(300,MAX(1,D2417)),0), FactorTable!$A$2:$A$301,0), Skills!L13+1)</f>
        <v/>
      </c>
      <c r="F2417">
        <f>IF(Skills!M13=TRUE,(Skills!K13/10)*(E2417/1000),Skills!K13/10)+Skills!N13</f>
        <v/>
      </c>
      <c r="G2417">
        <f>Calc!G13</f>
        <v/>
      </c>
      <c r="H2417">
        <f>Calc!H13</f>
        <v/>
      </c>
      <c r="I2417">
        <f>IF(Skills!T13&lt;&gt;"",1+(Skills!T13/10)*($Z$3/1000)/100,1)</f>
        <v/>
      </c>
      <c r="J2417" t="inlineStr"/>
      <c r="K2417" t="inlineStr"/>
      <c r="L2417" t="inlineStr"/>
      <c r="M2417" t="inlineStr"/>
      <c r="N2417" t="inlineStr"/>
      <c r="O2417">
        <f>(1-Summary!$B$11)*S2417+Summary!$B$11*U2417</f>
        <v/>
      </c>
      <c r="P2417">
        <f>IF(B2446=0,0,O2417/B2446)</f>
        <v/>
      </c>
      <c r="Q2417">
        <f>IFERROR(1/(IF(Inputs!$B$39="pvp",15,MAX(0.1,Skills!D13-IF(Skills!E13=TRUE,Inputs!$B$33,0)))*(1-IF(AND(ArtifactsInput!$M$27,Inputs!$B$4="Chapter Hunt"),CHOOSE(ArtifactsInput!$N$27+1,20,24,28,32,36,40),0)/100)),0)</f>
        <v/>
      </c>
      <c r="R2417">
        <f>IF(AND(Inputs!$B$39&lt;&gt;"pvp",Inputs!$B$44&gt;0),IF(MAX(0,Inputs!$B$44-B2443)&lt;=0,0,(INT(MAX(0,Inputs!$B$44-B2443)/(IF(Inputs!$B$39="pvp",15,MAX(0.1,Skills!D13-IF(Skills!E13=TRUE,Inputs!$B$33,0)))*(1-IF(AND(ArtifactsInput!$M$27,Inputs!$B$4="Chapter Hunt"),CHOOSE(ArtifactsInput!$N$27+1,20,24,28,32,36,40),0)/100)))+1)),0)</f>
        <v/>
      </c>
      <c r="S2417" t="n">
        <v>0</v>
      </c>
      <c r="U2417" t="n">
        <v>0</v>
      </c>
    </row>
    <row r="2418">
      <c r="A2418">
        <f>Skills!A14</f>
        <v/>
      </c>
      <c r="B2418">
        <f>Skills!B14</f>
        <v/>
      </c>
      <c r="C2418">
        <f>Inputs!$B$3&gt;=107</f>
        <v/>
      </c>
      <c r="D2418">
        <f>IF(Skills!C14=1,60+Inputs!$B$26+Inputs!$B$30,IF(Skills!C14=2,90+Inputs!$B$27+Inputs!$B$30,IF(Skills!C14=3,120+Inputs!$B$28+Inputs!$B$30,MAX(0,(Inputs!$B$3-100)*3)+Inputs!$B$29+Inputs!$B$30)))</f>
        <v/>
      </c>
      <c r="E2418">
        <f>INDEX(FactorTable!$B$2:$Y$301, MATCH(ROUND(MIN(300,MAX(1,D2418)),0), FactorTable!$A$2:$A$301,0), Skills!L14+1)</f>
        <v/>
      </c>
      <c r="F2418">
        <f>IF(Skills!M14=TRUE,(Skills!K14/10)*(E2418/1000),Skills!K14/10)+Skills!N14</f>
        <v/>
      </c>
      <c r="G2418">
        <f>Calc!G14</f>
        <v/>
      </c>
      <c r="H2418">
        <f>Calc!H14</f>
        <v/>
      </c>
      <c r="I2418">
        <f>IF(Skills!T14&lt;&gt;"",1+(Skills!T14/10)*($Z$3/1000)/100,1)</f>
        <v/>
      </c>
      <c r="J2418" t="inlineStr"/>
      <c r="K2418" t="inlineStr"/>
      <c r="L2418" t="inlineStr"/>
      <c r="M2418" t="inlineStr"/>
      <c r="N2418" t="inlineStr"/>
      <c r="O2418">
        <f>(1-Summary!$B$11)*S2418+Summary!$B$11*U2418</f>
        <v/>
      </c>
      <c r="P2418">
        <f>IF(B2446=0,0,O2418/B2446)</f>
        <v/>
      </c>
      <c r="Q2418">
        <f>IFERROR(1/(IF(Inputs!$B$39="pvp",15,MAX(0.1,Skills!D14-IF(Skills!E14=TRUE,Inputs!$B$33,0)))*(1-IF(AND(ArtifactsInput!$M$27,Inputs!$B$4="Chapter Hunt"),CHOOSE(ArtifactsInput!$N$27+1,20,24,28,32,36,40),0)/100)),0)</f>
        <v/>
      </c>
      <c r="R2418">
        <f>IF(AND(Inputs!$B$39&lt;&gt;"pvp",Inputs!$B$44&gt;0),IF(Inputs!$B$44&lt;=0,0,(INT(Inputs!$B$44/(IF(Inputs!$B$39="pvp",15,MAX(0.1,Skills!D14-IF(Skills!E14=TRUE,Inputs!$B$33,0)))*(1-IF(AND(ArtifactsInput!$M$27,Inputs!$B$4="Chapter Hunt"),CHOOSE(ArtifactsInput!$N$27+1,20,24,28,32,36,40),0)/100)))+1)),0)</f>
        <v/>
      </c>
      <c r="S2418" t="n">
        <v>0</v>
      </c>
      <c r="U2418" t="n">
        <v>0</v>
      </c>
    </row>
    <row r="2419">
      <c r="A2419">
        <f>Skills!A15</f>
        <v/>
      </c>
      <c r="B2419">
        <f>Skills!B15</f>
        <v/>
      </c>
      <c r="C2419">
        <f>Inputs!$B$3&gt;=63</f>
        <v/>
      </c>
      <c r="D2419">
        <f>IF(Skills!C15=1,60+Inputs!$B$26+Inputs!$B$30,IF(Skills!C15=2,90+Inputs!$B$27+Inputs!$B$30,IF(Skills!C15=3,120+Inputs!$B$28+Inputs!$B$30,MAX(0,(Inputs!$B$3-100)*3)+Inputs!$B$29+Inputs!$B$30)))</f>
        <v/>
      </c>
      <c r="E2419">
        <f>INDEX(FactorTable!$B$2:$Y$301, MATCH(ROUND(MIN(300,MAX(1,D2419)),0), FactorTable!$A$2:$A$301,0), Skills!L15+1)</f>
        <v/>
      </c>
      <c r="F2419">
        <f>IF(Skills!M15=TRUE,(Skills!K15/10)*(E2419/1000),Skills!K15/10)+Skills!N15</f>
        <v/>
      </c>
      <c r="G2419">
        <f>Calc!G15</f>
        <v/>
      </c>
      <c r="H2419">
        <f>Calc!H15</f>
        <v/>
      </c>
      <c r="I2419">
        <f>IF(Skills!T15&lt;&gt;"",1+(Skills!T15/10)*($Z$3/1000)/100,1)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15="TRIUMPH_FEATHER",IF(C2420=TRUE,F2420,0),0)/100)*(1+IF(C2431=TRUE,F2431,0)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2419)</f>
        <v/>
      </c>
      <c r="L2419">
        <f>K2419*(MIN(Inputs!$B$23+(F2426-Calc!F22),(Inputs!$B$24+IF(ArtifactsInput!$M$15,CHOOSE(ArtifactsInput!$N$15+1,25,30,35,40,45,50)/100*(Inputs!$B$12-Inputs!$B$12),0)))/100+(Inputs!$B$24+IF(ArtifactsInput!$M$15,CHOOSE(ArtifactsInput!$N$15+1,25,30,35,40,45,50)/100*(Inputs!$B$12-Inputs!$B$12),0))/100)/2</f>
        <v/>
      </c>
      <c r="M2419">
        <f>L2419*(1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IF(B2446=0,0,O2419/B2446)</f>
        <v/>
      </c>
      <c r="Q2419">
        <f>IFERROR(1/(IF(Inputs!$B$39="pvp",15,MAX(0.1,Skills!D15-IF(Skills!E15=TRUE,Inputs!$B$33,0)))*(1-IF(AND(ArtifactsInput!$M$27,Inputs!$B$4="Chapter Hunt"),CHOOSE(ArtifactsInput!$N$27+1,20,24,28,32,36,40),0)/100)),0)</f>
        <v/>
      </c>
      <c r="R2419" t="n">
        <v>0</v>
      </c>
      <c r="S2419">
        <f>IF(C2419,(Skills!F15*N2419*((IF(Inputs!$B$3&gt;=78,25,15)/100*B2439*10)/(1+IF(Inputs!$B$3&gt;=78,25,15)/100*B2439*10))*(Skills!I15/100*B2439)/(1+Skills!G15*Skills!I15/100*B2439))*IF(Inputs!$B$39="pvp",1,1+(Inputs!$B$21+Skills!O15+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f>IF(C2419,(Skills!F15*N2419*((IF(Inputs!$B$3&gt;=78,25,15)/100*B2439*10)/(1+IF(Inputs!$B$3&gt;=78,25,15)/100*B2439*10))*(Skills!I15/100*B2439)/(1+Skills!G15*Skills!I15/100*B2439))*IF(Inputs!$B$39="pvp",1,(1+(Inputs!$B$22+Skills!P15+B2435+(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0">
      <c r="A2420">
        <f>Skills!A16</f>
        <v/>
      </c>
      <c r="B2420">
        <f>Skills!B16</f>
        <v/>
      </c>
      <c r="C2420">
        <f>Inputs!$B$3&gt;=100</f>
        <v/>
      </c>
      <c r="D2420">
        <f>IF(Skills!C16=1,60+Inputs!$B$26+Inputs!$B$30,IF(Skills!C16=2,90+Inputs!$B$27+Inputs!$B$30,IF(Skills!C16=3,120+Inputs!$B$28+Inputs!$B$30,MAX(0,(Inputs!$B$3-100)*3)+Inputs!$B$29+Inputs!$B$30)))</f>
        <v/>
      </c>
      <c r="E2420">
        <f>INDEX(FactorTable!$B$2:$Y$301, MATCH(ROUND(MIN(300,MAX(1,D2420)),0), FactorTable!$A$2:$A$301,0), Skills!L16+1)</f>
        <v/>
      </c>
      <c r="F2420">
        <f>IF(Skills!M16=TRUE,(Skills!K16/10)*(E2420/1000),Skills!K16/10)+Skills!N16</f>
        <v/>
      </c>
      <c r="G2420">
        <f>Calc!G16</f>
        <v/>
      </c>
      <c r="H2420">
        <f>Calc!H16</f>
        <v/>
      </c>
      <c r="I2420">
        <f>IF(Skills!T16&lt;&gt;"",1+(Skills!T16/10)*($Z$3/1000)/100,1)</f>
        <v/>
      </c>
      <c r="J2420" t="inlineStr"/>
      <c r="K2420" t="inlineStr"/>
      <c r="L2420" t="inlineStr"/>
      <c r="M2420" t="inlineStr"/>
      <c r="N2420" t="inlineStr"/>
      <c r="O2420">
        <f>(1-Summary!$B$11)*S2420+Summary!$B$11*U2420</f>
        <v/>
      </c>
      <c r="P2420">
        <f>IF(B2446=0,0,O2420/B2446)</f>
        <v/>
      </c>
      <c r="Q2420">
        <f>IFERROR(1/(IF(Inputs!$B$39="pvp",15,MAX(0.1,Skills!D16-IF(Skills!E16=TRUE,Inputs!$B$33,0)))*(1-IF(AND(ArtifactsInput!$M$27,Inputs!$B$4="Chapter Hunt"),CHOOSE(ArtifactsInput!$N$27+1,20,24,28,32,36,40),0)/100)),0)</f>
        <v/>
      </c>
      <c r="R2420" t="n">
        <v>0</v>
      </c>
      <c r="S2420" t="n">
        <v>0</v>
      </c>
      <c r="U2420" t="n">
        <v>0</v>
      </c>
    </row>
    <row r="2421">
      <c r="A2421">
        <f>Skills!A17</f>
        <v/>
      </c>
      <c r="B2421">
        <f>Skills!B17</f>
        <v/>
      </c>
      <c r="C2421">
        <f>Inputs!$B$3&gt;=49</f>
        <v/>
      </c>
      <c r="D2421">
        <f>IF(Skills!C17=1,60+Inputs!$B$26+Inputs!$B$30,IF(Skills!C17=2,90+Inputs!$B$27+Inputs!$B$30,IF(Skills!C17=3,120+Inputs!$B$28+Inputs!$B$30,MAX(0,(Inputs!$B$3-100)*3)+Inputs!$B$29+Inputs!$B$30)))</f>
        <v/>
      </c>
      <c r="E2421">
        <f>INDEX(FactorTable!$B$2:$Y$301, MATCH(ROUND(MIN(300,MAX(1,D2421)),0), FactorTable!$A$2:$A$301,0), Skills!L17+1)</f>
        <v/>
      </c>
      <c r="F2421">
        <f>IF(Skills!M17=TRUE,(Skills!K17/10)*(E2421/1000),Skills!K17/10)+Skills!N17</f>
        <v/>
      </c>
      <c r="G2421">
        <f>Calc!G17</f>
        <v/>
      </c>
      <c r="H2421">
        <f>Calc!H17</f>
        <v/>
      </c>
      <c r="I2421">
        <f>IF(Skills!T17&lt;&gt;"",1+(Skills!T17/10)*($Z$3/1000)/100,1)</f>
        <v/>
      </c>
      <c r="J2421" t="inlineStr"/>
      <c r="K2421" t="inlineStr"/>
      <c r="L2421" t="inlineStr"/>
      <c r="M2421" t="inlineStr"/>
      <c r="N2421" t="inlineStr"/>
      <c r="O2421">
        <f>(1-Summary!$B$11)*S2421+Summary!$B$11*U2421</f>
        <v/>
      </c>
      <c r="P2421">
        <f>IF(B2446=0,0,O2421/B2446)</f>
        <v/>
      </c>
      <c r="Q2421">
        <f>IFERROR(1/(IF(Inputs!$B$39="pvp",15,MAX(0.1,Skills!D17-IF(Skills!E17=TRUE,Inputs!$B$33,0)))*(1-IF(AND(ArtifactsInput!$M$27,Inputs!$B$4="Chapter Hunt"),CHOOSE(ArtifactsInput!$N$27+1,20,24,28,32,36,40),0)/100)),0)</f>
        <v/>
      </c>
      <c r="R2421" t="n">
        <v>0</v>
      </c>
      <c r="S2421" t="n">
        <v>0</v>
      </c>
      <c r="U2421" t="n">
        <v>0</v>
      </c>
    </row>
    <row r="2422">
      <c r="A2422">
        <f>Skills!A18</f>
        <v/>
      </c>
      <c r="B2422">
        <f>Skills!B18</f>
        <v/>
      </c>
      <c r="C2422">
        <f>Inputs!$B$3&gt;=75</f>
        <v/>
      </c>
      <c r="D2422">
        <f>IF(Skills!C18=1,60+Inputs!$B$26+Inputs!$B$30,IF(Skills!C18=2,90+Inputs!$B$27+Inputs!$B$30,IF(Skills!C18=3,120+Inputs!$B$28+Inputs!$B$30,MAX(0,(Inputs!$B$3-100)*3)+Inputs!$B$29+Inputs!$B$30)))</f>
        <v/>
      </c>
      <c r="E2422">
        <f>INDEX(FactorTable!$B$2:$Y$301, MATCH(ROUND(MIN(300,MAX(1,D2422)),0), FactorTable!$A$2:$A$301,0), Skills!L18+1)</f>
        <v/>
      </c>
      <c r="F2422">
        <f>IF(Skills!M18=TRUE,(Skills!K18/10)*(E2422/1000),Skills!K18/10)+Skills!N18</f>
        <v/>
      </c>
      <c r="G2422">
        <f>Calc!G18</f>
        <v/>
      </c>
      <c r="H2422">
        <f>Calc!H18</f>
        <v/>
      </c>
      <c r="I2422">
        <f>IF(Skills!T18&lt;&gt;"",1+(Skills!T18/10)*($Z$3/1000)/100,1)</f>
        <v/>
      </c>
      <c r="J2422" t="inlineStr"/>
      <c r="K2422" t="inlineStr"/>
      <c r="L2422" t="inlineStr"/>
      <c r="M2422" t="inlineStr"/>
      <c r="N2422" t="inlineStr"/>
      <c r="O2422">
        <f>(1-Summary!$B$11)*S2422+Summary!$B$11*U2422</f>
        <v/>
      </c>
      <c r="P2422">
        <f>IF(B2446=0,0,O2422/B2446)</f>
        <v/>
      </c>
      <c r="Q2422">
        <f>IFERROR(1/(IF(Inputs!$B$39="pvp",15,MAX(0.1,Skills!D18-IF(Skills!E18=TRUE,Inputs!$B$33,0)))*(1-IF(AND(ArtifactsInput!$M$27,Inputs!$B$4="Chapter Hunt"),CHOOSE(ArtifactsInput!$N$27+1,20,24,28,32,36,40),0)/100)),0)</f>
        <v/>
      </c>
      <c r="R2422" t="n">
        <v>0</v>
      </c>
      <c r="S2422" t="n">
        <v>0</v>
      </c>
      <c r="U2422" t="n">
        <v>0</v>
      </c>
    </row>
    <row r="2423">
      <c r="A2423">
        <f>Skills!A19</f>
        <v/>
      </c>
      <c r="B2423">
        <f>Skills!B19</f>
        <v/>
      </c>
      <c r="C2423">
        <f>Inputs!$B$3&gt;=110</f>
        <v/>
      </c>
      <c r="D2423">
        <f>IF(Skills!C19=1,60+Inputs!$B$26+Inputs!$B$30,IF(Skills!C19=2,90+Inputs!$B$27+Inputs!$B$30,IF(Skills!C19=3,120+Inputs!$B$28+Inputs!$B$30,MAX(0,(Inputs!$B$3-100)*3)+Inputs!$B$29+Inputs!$B$30)))</f>
        <v/>
      </c>
      <c r="E2423">
        <f>INDEX(FactorTable!$B$2:$Y$301, MATCH(ROUND(MIN(300,MAX(1,D2423)),0), FactorTable!$A$2:$A$301,0), Skills!L19+1)</f>
        <v/>
      </c>
      <c r="F2423">
        <f>(Skills!K19/10)*(E2423/1000)*64/45+Skills!N19</f>
        <v/>
      </c>
      <c r="G2423">
        <f>Calc!G19</f>
        <v/>
      </c>
      <c r="H2423">
        <f>Calc!H19</f>
        <v/>
      </c>
      <c r="I2423">
        <f>IF(Skills!T19&lt;&gt;"",1+(Skills!T19/10)*($Z$3/1000)/100,1)</f>
        <v/>
      </c>
      <c r="J2423" t="inlineStr"/>
      <c r="K2423" t="inlineStr"/>
      <c r="L2423" t="inlineStr"/>
      <c r="M2423" t="inlineStr"/>
      <c r="N2423" t="inlineStr"/>
      <c r="O2423">
        <f>(1-Summary!$B$11)*S2423+Summary!$B$11*U2423</f>
        <v/>
      </c>
      <c r="P2423">
        <f>IF(B2446=0,0,O2423/B2446)</f>
        <v/>
      </c>
      <c r="Q2423">
        <f>IFERROR(1/(IF(Inputs!$B$39="pvp",15,MAX(0.1,Skills!D19-IF(Skills!E19=TRUE,Inputs!$B$33,0)))*(1-IF(AND(ArtifactsInput!$M$27,Inputs!$B$4="Chapter Hunt"),CHOOSE(ArtifactsInput!$N$27+1,20,24,28,32,36,40),0)/100)),0)</f>
        <v/>
      </c>
      <c r="R2423">
        <f>IF(AND(Inputs!$B$39&lt;&gt;"pvp",Inputs!$B$44&gt;0),IF(Inputs!$B$44&lt;=0,0,(INT(Inputs!$B$44/(IF(Inputs!$B$39="pvp",15,MAX(0.1,Skills!D19-IF(Skills!E19=TRUE,Inputs!$B$33,0)))*(1-IF(AND(ArtifactsInput!$M$27,Inputs!$B$4="Chapter Hunt"),CHOOSE(ArtifactsInput!$N$27+1,20,24,28,32,36,40),0)/100)))+1)),0)</f>
        <v/>
      </c>
      <c r="S2423" t="n">
        <v>0</v>
      </c>
      <c r="U2423" t="n">
        <v>0</v>
      </c>
    </row>
    <row r="2424">
      <c r="A2424">
        <f>Skills!A20</f>
        <v/>
      </c>
      <c r="B2424">
        <f>Skills!B20</f>
        <v/>
      </c>
      <c r="C2424">
        <f>Inputs!$B$3&gt;=125</f>
        <v/>
      </c>
      <c r="D2424">
        <f>IF(Skills!C20=1,60+Inputs!$B$26+Inputs!$B$30,IF(Skills!C20=2,90+Inputs!$B$27+Inputs!$B$30,IF(Skills!C20=3,120+Inputs!$B$28+Inputs!$B$30,MAX(0,(Inputs!$B$3-100)*3)+Inputs!$B$29+Inputs!$B$30)))</f>
        <v/>
      </c>
      <c r="E2424">
        <f>INDEX(FactorTable!$B$2:$Y$301, MATCH(ROUND(MIN(300,MAX(1,D2424)),0), FactorTable!$A$2:$A$301,0), Skills!L20+1)</f>
        <v/>
      </c>
      <c r="F2424">
        <f>IF(Skills!M20=TRUE,(Skills!K20/10)*(E2424/1000),Skills!K20/10)+Skills!N20</f>
        <v/>
      </c>
      <c r="G2424">
        <f>Calc!G20</f>
        <v/>
      </c>
      <c r="H2424">
        <f>Calc!H20</f>
        <v/>
      </c>
      <c r="I2424">
        <f>IF(Skills!T20&lt;&gt;"",1+(Skills!T20/10)*($Z$3/1000)/100,1)</f>
        <v/>
      </c>
      <c r="J2424" t="inlineStr"/>
      <c r="K2424" t="inlineStr"/>
      <c r="L2424" t="inlineStr"/>
      <c r="M2424" t="inlineStr"/>
      <c r="N2424" t="inlineStr"/>
      <c r="O2424">
        <f>(1-Summary!$B$11)*S2424+Summary!$B$11*U2424</f>
        <v/>
      </c>
      <c r="P2424">
        <f>IF(B2446=0,0,O2424/B2446)</f>
        <v/>
      </c>
      <c r="Q2424">
        <f>IFERROR(1/(IF(Inputs!$B$39="pvp",15,MAX(0.1,Skills!D20-IF(Skills!E20=TRUE,Inputs!$B$33,0)))*(1-IF(AND(ArtifactsInput!$M$27,Inputs!$B$4="Chapter Hunt"),CHOOSE(ArtifactsInput!$N$27+1,20,24,28,32,36,40),0)/100)),0)</f>
        <v/>
      </c>
      <c r="R2424" t="n">
        <v>0</v>
      </c>
      <c r="S2424" t="n">
        <v>0</v>
      </c>
      <c r="U2424" t="n">
        <v>0</v>
      </c>
    </row>
    <row r="2425">
      <c r="A2425">
        <f>Skills!A21</f>
        <v/>
      </c>
      <c r="B2425">
        <f>Skills!B21</f>
        <v/>
      </c>
      <c r="C2425">
        <f>Inputs!$B$3&gt;=33</f>
        <v/>
      </c>
      <c r="D2425">
        <f>IF(Skills!C21=1,60+Inputs!$B$26+Inputs!$B$30,IF(Skills!C21=2,90+Inputs!$B$27+Inputs!$B$30,IF(Skills!C21=3,120+Inputs!$B$28+Inputs!$B$30,MAX(0,(Inputs!$B$3-100)*3)+Inputs!$B$29+Inputs!$B$30)))</f>
        <v/>
      </c>
      <c r="E2425">
        <f>INDEX(FactorTable!$B$2:$Y$301, MATCH(ROUND(MIN(300,MAX(1,D2425)),0), FactorTable!$A$2:$A$301,0), Skills!L21+1)</f>
        <v/>
      </c>
      <c r="F2425">
        <f>IF(Skills!M21=TRUE,(Skills!K21/10)*(E2425/1000),Skills!K21/10)+Skills!N21</f>
        <v/>
      </c>
      <c r="G2425">
        <f>Calc!G21</f>
        <v/>
      </c>
      <c r="H2425">
        <f>Calc!H21</f>
        <v/>
      </c>
      <c r="I2425">
        <f>IF(Skills!T21&lt;&gt;"",1+(Skills!T21/10)*($Z$3/1000)/100,1)</f>
        <v/>
      </c>
      <c r="J2425" t="inlineStr"/>
      <c r="K2425" t="inlineStr"/>
      <c r="L2425" t="inlineStr"/>
      <c r="M2425" t="inlineStr"/>
      <c r="N2425" t="inlineStr"/>
      <c r="O2425">
        <f>(1-Summary!$B$11)*S2425+Summary!$B$11*U2425</f>
        <v/>
      </c>
      <c r="P2425">
        <f>IF(B2446=0,0,O2425/B2446)</f>
        <v/>
      </c>
      <c r="Q2425">
        <f>IFERROR(1/(IF(Inputs!$B$39="pvp",15,MAX(0.1,Skills!D21-IF(Skills!E21=TRUE,Inputs!$B$33,0)))*(1-IF(AND(ArtifactsInput!$M$27,Inputs!$B$4="Chapter Hunt"),CHOOSE(ArtifactsInput!$N$27+1,20,24,28,32,36,40),0)/100)),0)</f>
        <v/>
      </c>
      <c r="R2425" t="n">
        <v>0</v>
      </c>
      <c r="S2425" t="n">
        <v>0</v>
      </c>
      <c r="U2425" t="n">
        <v>0</v>
      </c>
    </row>
    <row r="2426">
      <c r="A2426">
        <f>Skills!A22</f>
        <v/>
      </c>
      <c r="B2426">
        <f>Skills!B22</f>
        <v/>
      </c>
      <c r="C2426">
        <f>Inputs!$B$3&gt;=43</f>
        <v/>
      </c>
      <c r="D2426">
        <f>IF(Skills!C22=1,60+Inputs!$B$26+Inputs!$B$30,IF(Skills!C22=2,90+Inputs!$B$27+Inputs!$B$30,IF(Skills!C22=3,120+Inputs!$B$28+Inputs!$B$30,MAX(0,(Inputs!$B$3-100)*3)+Inputs!$B$29+Inputs!$B$30)))</f>
        <v/>
      </c>
      <c r="E2426">
        <f>INDEX(FactorTable!$B$2:$Y$301, MATCH(ROUND(MIN(300,MAX(1,D2426)),0), FactorTable!$A$2:$A$301,0), Skills!L22+1)</f>
        <v/>
      </c>
      <c r="F2426">
        <f>IF(Skills!M22=TRUE,(Skills!K22/10)*(E2426/1000),Skills!K22/10)+Skills!N22</f>
        <v/>
      </c>
      <c r="G2426">
        <f>Calc!G22</f>
        <v/>
      </c>
      <c r="H2426">
        <f>Calc!H22</f>
        <v/>
      </c>
      <c r="I2426">
        <f>IF(Skills!T22&lt;&gt;"",1+(Skills!T22/10)*($Z$3/1000)/100,1)</f>
        <v/>
      </c>
      <c r="J2426" t="inlineStr"/>
      <c r="K2426" t="inlineStr"/>
      <c r="L2426" t="inlineStr"/>
      <c r="M2426" t="inlineStr"/>
      <c r="N2426" t="inlineStr"/>
      <c r="O2426">
        <f>(1-Summary!$B$11)*S2426+Summary!$B$11*U2426</f>
        <v/>
      </c>
      <c r="P2426">
        <f>IF(B2446=0,0,O2426/B2446)</f>
        <v/>
      </c>
      <c r="Q2426">
        <f>IFERROR(1/(IF(Inputs!$B$39="pvp",15,MAX(0.1,Skills!D22-IF(Skills!E22=TRUE,Inputs!$B$33,0)))*(1-IF(AND(ArtifactsInput!$M$27,Inputs!$B$4="Chapter Hunt"),CHOOSE(ArtifactsInput!$N$27+1,20,24,28,32,36,40),0)/100)),0)</f>
        <v/>
      </c>
      <c r="R2426" t="n">
        <v>0</v>
      </c>
      <c r="S2426" t="n">
        <v>0</v>
      </c>
      <c r="U2426" t="n">
        <v>0</v>
      </c>
    </row>
    <row r="2427">
      <c r="A2427">
        <f>Skills!A23</f>
        <v/>
      </c>
      <c r="B2427">
        <f>Skills!B23</f>
        <v/>
      </c>
      <c r="C2427">
        <f>Inputs!$B$3&gt;=50</f>
        <v/>
      </c>
      <c r="D2427">
        <f>IF(Skills!C23=1,60+Inputs!$B$26+Inputs!$B$30,IF(Skills!C23=2,90+Inputs!$B$27+Inputs!$B$30,IF(Skills!C23=3,120+Inputs!$B$28+Inputs!$B$30,MAX(0,(Inputs!$B$3-100)*3)+Inputs!$B$29+Inputs!$B$30)))</f>
        <v/>
      </c>
      <c r="E2427">
        <f>INDEX(FactorTable!$B$2:$Y$301, MATCH(ROUND(MIN(300,MAX(1,D2427)),0), FactorTable!$A$2:$A$301,0), Skills!L23+1)</f>
        <v/>
      </c>
      <c r="F2427">
        <f>IF(Skills!M23=TRUE,(Skills!K23/10)*(E2427/1000),Skills!K23/10)+Skills!N23</f>
        <v/>
      </c>
      <c r="G2427">
        <f>Calc!G23</f>
        <v/>
      </c>
      <c r="H2427">
        <f>Calc!H23</f>
        <v/>
      </c>
      <c r="I2427">
        <f>IF(Skills!T23&lt;&gt;"",1+(Skills!T23/10)*($Z$3/1000)/100,1)</f>
        <v/>
      </c>
      <c r="J2427" t="inlineStr"/>
      <c r="K2427" t="inlineStr"/>
      <c r="L2427" t="inlineStr"/>
      <c r="M2427" t="inlineStr"/>
      <c r="N2427" t="inlineStr"/>
      <c r="O2427">
        <f>(1-Summary!$B$11)*S2427+Summary!$B$11*U2427</f>
        <v/>
      </c>
      <c r="P2427">
        <f>IF(B2446=0,0,O2427/B2446)</f>
        <v/>
      </c>
      <c r="Q2427">
        <f>IFERROR(1/(IF(Inputs!$B$39="pvp",15,MAX(0.1,Skills!D23-IF(Skills!E23=TRUE,Inputs!$B$33,0)))*(1-IF(AND(ArtifactsInput!$M$27,Inputs!$B$4="Chapter Hunt"),CHOOSE(ArtifactsInput!$N$27+1,20,24,28,32,36,40),0)/100)),0)</f>
        <v/>
      </c>
      <c r="R2427" t="n">
        <v>0</v>
      </c>
      <c r="S2427" t="n">
        <v>0</v>
      </c>
      <c r="U2427" t="n">
        <v>0</v>
      </c>
    </row>
    <row r="2428">
      <c r="A2428">
        <f>Skills!A24</f>
        <v/>
      </c>
      <c r="B2428">
        <f>Skills!B24</f>
        <v/>
      </c>
      <c r="C2428">
        <f>Inputs!$B$3&gt;=74</f>
        <v/>
      </c>
      <c r="D2428">
        <f>IF(Skills!C24=1,60+Inputs!$B$26+Inputs!$B$30,IF(Skills!C24=2,90+Inputs!$B$27+Inputs!$B$30,IF(Skills!C24=3,120+Inputs!$B$28+Inputs!$B$30,MAX(0,(Inputs!$B$3-100)*3)+Inputs!$B$29+Inputs!$B$30)))</f>
        <v/>
      </c>
      <c r="E2428">
        <f>INDEX(FactorTable!$B$2:$Y$301, MATCH(ROUND(MIN(300,MAX(1,D2428)),0), FactorTable!$A$2:$A$301,0), Skills!L24+1)</f>
        <v/>
      </c>
      <c r="F2428">
        <f>IF(Skills!M24=TRUE,(Skills!K24/10)*(E2428/1000),Skills!K24/10)+Skills!N24</f>
        <v/>
      </c>
      <c r="G2428">
        <f>Calc!G24</f>
        <v/>
      </c>
      <c r="H2428">
        <f>Calc!H24</f>
        <v/>
      </c>
      <c r="I2428">
        <f>IF(Skills!T24&lt;&gt;"",1+(Skills!T24/10)*($Z$3/1000)/100,1)</f>
        <v/>
      </c>
      <c r="J2428" t="inlineStr"/>
      <c r="K2428" t="inlineStr"/>
      <c r="L2428" t="inlineStr"/>
      <c r="M2428" t="inlineStr"/>
      <c r="N2428" t="inlineStr"/>
      <c r="O2428">
        <f>(1-Summary!$B$11)*S2428+Summary!$B$11*U2428</f>
        <v/>
      </c>
      <c r="P2428">
        <f>IF(B2446=0,0,O2428/B2446)</f>
        <v/>
      </c>
      <c r="Q2428">
        <f>IFERROR(1/(IF(Inputs!$B$39="pvp",15,MAX(0.1,Skills!D24-IF(Skills!E24=TRUE,Inputs!$B$33,0)))*(1-IF(AND(ArtifactsInput!$M$27,Inputs!$B$4="Chapter Hunt"),CHOOSE(ArtifactsInput!$N$27+1,20,24,28,32,36,40),0)/100)),0)</f>
        <v/>
      </c>
      <c r="R2428" t="n">
        <v>0</v>
      </c>
      <c r="S2428" t="n">
        <v>0</v>
      </c>
      <c r="U2428" t="n">
        <v>0</v>
      </c>
    </row>
    <row r="2429">
      <c r="A2429">
        <f>Skills!A25</f>
        <v/>
      </c>
      <c r="B2429">
        <f>Skills!B25</f>
        <v/>
      </c>
      <c r="C2429">
        <f>Inputs!$B$3&gt;=74</f>
        <v/>
      </c>
      <c r="D2429">
        <f>IF(Skills!C25=1,60+Inputs!$B$26+Inputs!$B$30,IF(Skills!C25=2,90+Inputs!$B$27+Inputs!$B$30,IF(Skills!C25=3,120+Inputs!$B$28+Inputs!$B$30,MAX(0,(Inputs!$B$3-100)*3)+Inputs!$B$29+Inputs!$B$30)))</f>
        <v/>
      </c>
      <c r="E2429">
        <f>INDEX(FactorTable!$B$2:$Y$301, MATCH(ROUND(MIN(300,MAX(1,D2429)),0), FactorTable!$A$2:$A$301,0), Skills!L25+1)</f>
        <v/>
      </c>
      <c r="F2429">
        <f>IF(Skills!M25=TRUE,(Skills!K25/10)*(E2429/1000),Skills!K25/10)+Skills!N25</f>
        <v/>
      </c>
      <c r="G2429">
        <f>Calc!G25</f>
        <v/>
      </c>
      <c r="H2429">
        <f>Calc!H25</f>
        <v/>
      </c>
      <c r="I2429">
        <f>IF(Skills!T25&lt;&gt;"",1+(Skills!T25/10)*($Z$3/1000)/100,1)</f>
        <v/>
      </c>
      <c r="J2429" t="inlineStr"/>
      <c r="K2429" t="inlineStr"/>
      <c r="L2429" t="inlineStr"/>
      <c r="M2429" t="inlineStr"/>
      <c r="N2429" t="inlineStr"/>
      <c r="O2429">
        <f>(1-Summary!$B$11)*S2429+Summary!$B$11*U2429</f>
        <v/>
      </c>
      <c r="P2429">
        <f>IF(B2446=0,0,O2429/B2446)</f>
        <v/>
      </c>
      <c r="Q2429">
        <f>IFERROR(1/(IF(Inputs!$B$39="pvp",15,MAX(0.1,Skills!D25-IF(Skills!E25=TRUE,Inputs!$B$33,0)))*(1-IF(AND(ArtifactsInput!$M$27,Inputs!$B$4="Chapter Hunt"),CHOOSE(ArtifactsInput!$N$27+1,20,24,28,32,36,40),0)/100)),0)</f>
        <v/>
      </c>
      <c r="R2429" t="n">
        <v>0</v>
      </c>
      <c r="S2429" t="n">
        <v>0</v>
      </c>
      <c r="U2429" t="n">
        <v>0</v>
      </c>
    </row>
    <row r="2430">
      <c r="A2430">
        <f>Skills!A26</f>
        <v/>
      </c>
      <c r="B2430">
        <f>Skills!B26</f>
        <v/>
      </c>
      <c r="C2430">
        <f>Inputs!$B$3&gt;=117</f>
        <v/>
      </c>
      <c r="D2430">
        <f>IF(Skills!C26=1,60+Inputs!$B$26+Inputs!$B$30,IF(Skills!C26=2,90+Inputs!$B$27+Inputs!$B$30,IF(Skills!C26=3,120+Inputs!$B$28+Inputs!$B$30,MAX(0,(Inputs!$B$3-100)*3)+Inputs!$B$29+Inputs!$B$30)))</f>
        <v/>
      </c>
      <c r="E2430">
        <f>INDEX(FactorTable!$B$2:$Y$301, MATCH(ROUND(MIN(300,MAX(1,D2430)),0), FactorTable!$A$2:$A$301,0), Skills!L26+1)</f>
        <v/>
      </c>
      <c r="F2430">
        <f>IF(Skills!M26=TRUE,(Skills!K26/10)*(E2430/1000),Skills!K26/10)+Skills!N26</f>
        <v/>
      </c>
      <c r="G2430">
        <f>Calc!G26</f>
        <v/>
      </c>
      <c r="H2430">
        <f>Calc!H26</f>
        <v/>
      </c>
      <c r="I2430">
        <f>IF(Skills!T26&lt;&gt;"",1+(Skills!T26/10)*($Z$3/1000)/100,1)</f>
        <v/>
      </c>
      <c r="J2430" t="inlineStr"/>
      <c r="K2430" t="inlineStr"/>
      <c r="L2430" t="inlineStr"/>
      <c r="M2430" t="inlineStr"/>
      <c r="N2430" t="inlineStr"/>
      <c r="O2430">
        <f>(1-Summary!$B$11)*S2430+Summary!$B$11*U2430</f>
        <v/>
      </c>
      <c r="P2430">
        <f>IF(B2446=0,0,O2430/B2446)</f>
        <v/>
      </c>
      <c r="Q2430">
        <f>IFERROR(1/(IF(Inputs!$B$39="pvp",15,MAX(0.1,Skills!D26-IF(Skills!E26=TRUE,Inputs!$B$33,0)))*(1-IF(AND(ArtifactsInput!$M$27,Inputs!$B$4="Chapter Hunt"),CHOOSE(ArtifactsInput!$N$27+1,20,24,28,32,36,40),0)/100)),0)</f>
        <v/>
      </c>
      <c r="R2430" t="n">
        <v>0</v>
      </c>
      <c r="S2430" t="n">
        <v>0</v>
      </c>
      <c r="U2430" t="n">
        <v>0</v>
      </c>
    </row>
    <row r="2431">
      <c r="A2431">
        <f>Skills!A27</f>
        <v/>
      </c>
      <c r="B2431">
        <f>Skills!B27</f>
        <v/>
      </c>
      <c r="C2431">
        <f>Inputs!$B$3&gt;=120</f>
        <v/>
      </c>
      <c r="D2431">
        <f>IF(Skills!C27=1,60+Inputs!$B$26+Inputs!$B$30,IF(Skills!C27=2,90+Inputs!$B$27+Inputs!$B$30,IF(Skills!C27=3,120+Inputs!$B$28+Inputs!$B$30,MAX(0,(Inputs!$B$3-100)*3)+Inputs!$B$29+Inputs!$B$30)))</f>
        <v/>
      </c>
      <c r="E2431">
        <f>INDEX(FactorTable!$B$2:$Y$301, MATCH(ROUND(MIN(300,MAX(1,D2431)),0), FactorTable!$A$2:$A$301,0), Skills!L27+1)</f>
        <v/>
      </c>
      <c r="F2431">
        <f>IF(Skills!M27=TRUE,(Skills!K27/10)*(E2431/1000),Skills!K27/10)+Skills!N27</f>
        <v/>
      </c>
      <c r="G2431">
        <f>Calc!G27</f>
        <v/>
      </c>
      <c r="H2431">
        <f>Calc!H27</f>
        <v/>
      </c>
      <c r="I2431">
        <f>IF(Skills!T27&lt;&gt;"",1+(Skills!T27/10)*($Z$3/1000)/100,1)</f>
        <v/>
      </c>
      <c r="J2431" t="inlineStr"/>
      <c r="K2431" t="inlineStr"/>
      <c r="L2431" t="inlineStr"/>
      <c r="M2431" t="inlineStr"/>
      <c r="N2431" t="inlineStr"/>
      <c r="O2431">
        <f>(1-Summary!$B$11)*S2431+Summary!$B$11*U2431</f>
        <v/>
      </c>
      <c r="P2431">
        <f>IF(B2446=0,0,O2431/B2446)</f>
        <v/>
      </c>
      <c r="Q2431">
        <f>IFERROR(1/(IF(Inputs!$B$39="pvp",15,MAX(0.1,Skills!D27-IF(Skills!E27=TRUE,Inputs!$B$33,0)))*(1-IF(AND(ArtifactsInput!$M$27,Inputs!$B$4="Chapter Hunt"),CHOOSE(ArtifactsInput!$N$27+1,20,24,28,32,36,40),0)/100)),0)</f>
        <v/>
      </c>
      <c r="R2431" t="n">
        <v>0</v>
      </c>
      <c r="S2431" t="n">
        <v>0</v>
      </c>
      <c r="U2431" t="n">
        <v>0</v>
      </c>
    </row>
    <row r="2433">
      <c r="A2433" t="inlineStr">
        <is>
          <t>Average Buff Multiplier</t>
        </is>
      </c>
      <c r="B2433">
        <f>(1+(IF(C2407=TRUE,F2407*IF(AND(Inputs!$B$39&lt;&gt;"pvp",Inputs!$B$44&gt;0),(((R2407-1)*(Skills!S3*(1+((Inputs!$B$35+(ArtifactsInput!$M$7-ArtifactsInput!$M$7)*CHOOSE(ArtifactsInput!$N$7+1,6,7.2,8.4,9.6,10.8,12))+IF(Inputs!$B$3&gt;=117,F2430,0))/100))+MIN((Skills!S3*(1+((Inputs!$B$35+(ArtifactsInput!$M$7-ArtifactsInput!$M$7)*CHOOSE(ArtifactsInput!$N$7+1,6,7.2,8.4,9.6,10.8,12))+IF(Inputs!$B$3&gt;=117,F2430,0))/100)),MAX(0,Inputs!$B$44-((R2407-1)*Skills!D3))))/Inputs!$B$44),IF(Inputs!$B$39="pvp",MIN((Skills!S3*(1+((Inputs!$B$35+(ArtifactsInput!$M$7-ArtifactsInput!$M$7)*CHOOSE(ArtifactsInput!$N$7+1,6,7.2,8.4,9.6,10.8,12))+IF(Inputs!$B$3&gt;=117,F2430,0))/100)),15)/15,(Skills!S3*(1+((Inputs!$B$35+(ArtifactsInput!$M$7-ArtifactsInput!$M$7)*CHOOSE(ArtifactsInput!$N$7+1,6,7.2,8.4,9.6,10.8,12))+IF(Inputs!$B$3&gt;=117,F2430,0))/100))/Skills!D3)),0)+IF(C2408=TRUE,F2408*IF(AND(Inputs!$B$39&lt;&gt;"pvp",Inputs!$B$44&gt;0),(((R2408-1)*(Skills!S4*(1+((Inputs!$B$35+(ArtifactsInput!$M$7-ArtifactsInput!$M$7)*CHOOSE(ArtifactsInput!$N$7+1,6,7.2,8.4,9.6,10.8,12))+IF(Inputs!$B$3&gt;=117,F2430,0))/100))+MIN((Skills!S4*(1+((Inputs!$B$35+(ArtifactsInput!$M$7-ArtifactsInput!$M$7)*CHOOSE(ArtifactsInput!$N$7+1,6,7.2,8.4,9.6,10.8,12))+IF(Inputs!$B$3&gt;=117,F2430,0))/100)),MAX(0,Inputs!$B$44-((R2408-1)*Skills!D4))))/Inputs!$B$44),IF(Inputs!$B$39="pvp",MIN((Skills!S4*(1+((Inputs!$B$35+(ArtifactsInput!$M$7-ArtifactsInput!$M$7)*CHOOSE(ArtifactsInput!$N$7+1,6,7.2,8.4,9.6,10.8,12))+IF(Inputs!$B$3&gt;=117,F2430,0))/100)),15)/15,(Skills!S4*(1+((Inputs!$B$35+(ArtifactsInput!$M$7-ArtifactsInput!$M$7)*CHOOSE(ArtifactsInput!$N$7+1,6,7.2,8.4,9.6,10.8,12))+IF(Inputs!$B$3&gt;=117,F2430,0))/100))/Skills!D4)),0)+IF(C2409=TRUE,F2409*IF(AND(Inputs!$B$39&lt;&gt;"pvp",Inputs!$B$44&gt;0),(((R2409-1)*(Skills!S5*(1+((Inputs!$B$35+(ArtifactsInput!$M$7-ArtifactsInput!$M$7)*CHOOSE(ArtifactsInput!$N$7+1,6,7.2,8.4,9.6,10.8,12))+IF(Inputs!$B$3&gt;=117,F2430,0))/100))+MIN((Skills!S5*(1+((Inputs!$B$35+(ArtifactsInput!$M$7-ArtifactsInput!$M$7)*CHOOSE(ArtifactsInput!$N$7+1,6,7.2,8.4,9.6,10.8,12))+IF(Inputs!$B$3&gt;=117,F2430,0))/100)),MAX(0,Inputs!$B$44-((R2409-1)*Skills!D5))))/Inputs!$B$44),IF(Inputs!$B$39="pvp",MIN((Skills!S5*(1+((Inputs!$B$35+(ArtifactsInput!$M$7-ArtifactsInput!$M$7)*CHOOSE(ArtifactsInput!$N$7+1,6,7.2,8.4,9.6,10.8,12))+IF(Inputs!$B$3&gt;=117,F2430,0))/100)),15)/15,(Skills!S5*(1+((Inputs!$B$35+(ArtifactsInput!$M$7-ArtifactsInput!$M$7)*CHOOSE(ArtifactsInput!$N$7+1,6,7.2,8.4,9.6,10.8,12))+IF(Inputs!$B$3&gt;=117,F2430,0))/100))/Skills!D5)),0)+IF(C2415=TRUE,F2415*IF(AND(Inputs!$B$39&lt;&gt;"pvp",Inputs!$B$44&gt;0),(((R2415-1)*(Skills!S11*(1+((Inputs!$B$35+(ArtifactsInput!$M$7-ArtifactsInput!$M$7)*CHOOSE(ArtifactsInput!$N$7+1,6,7.2,8.4,9.6,10.8,12))+IF(Inputs!$B$3&gt;=117,F2430,0))/100))+MIN((Skills!S11*(1+((Inputs!$B$35+(ArtifactsInput!$M$7-ArtifactsInput!$M$7)*CHOOSE(ArtifactsInput!$N$7+1,6,7.2,8.4,9.6,10.8,12))+IF(Inputs!$B$3&gt;=117,F2430,0))/100)),MAX(0,Inputs!$B$44-((R2415-1)*Skills!D11))))/Inputs!$B$44),IF(Inputs!$B$39="pvp",MIN((Skills!S11*(1+((Inputs!$B$35+(ArtifactsInput!$M$7-ArtifactsInput!$M$7)*CHOOSE(ArtifactsInput!$N$7+1,6,7.2,8.4,9.6,10.8,12))+IF(Inputs!$B$3&gt;=117,F2430,0))/100)),15)/15,(Skills!S11*(1+((Inputs!$B$35+(ArtifactsInput!$M$7-ArtifactsInput!$M$7)*CHOOSE(ArtifactsInput!$N$7+1,6,7.2,8.4,9.6,10.8,12))+IF(Inputs!$B$3&gt;=117,F2430,0)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2418=TRUE,(1+F2418*IF(AND(Inputs!$B$39&lt;&gt;"pvp",Inputs!$B$44&gt;0),(((R2418-1)*(Skills!S14*(1+((Inputs!$B$35+(ArtifactsInput!$M$7-ArtifactsInput!$M$7)*CHOOSE(ArtifactsInput!$N$7+1,6,7.2,8.4,9.6,10.8,12))+IF(Inputs!$B$3&gt;=117,F2430,0))/100))+MIN((Skills!S14*(1+((Inputs!$B$35+(ArtifactsInput!$M$7-ArtifactsInput!$M$7)*CHOOSE(ArtifactsInput!$N$7+1,6,7.2,8.4,9.6,10.8,12))+IF(Inputs!$B$3&gt;=117,F2430,0))/100)),MAX(0,Inputs!$B$44-((R2418-1)*Skills!D14))))/Inputs!$B$44),IF(Inputs!$B$39="pvp",MIN((Skills!S14*(1+((Inputs!$B$35+(ArtifactsInput!$M$7-ArtifactsInput!$M$7)*CHOOSE(ArtifactsInput!$N$7+1,6,7.2,8.4,9.6,10.8,12))+IF(Inputs!$B$3&gt;=117,F2430,0))/100)),15)/15,(Skills!S14*(1+((Inputs!$B$35+(ArtifactsInput!$M$7-ArtifactsInput!$M$7)*CHOOSE(ArtifactsInput!$N$7+1,6,7.2,8.4,9.6,10.8,12))+IF(Inputs!$B$3&gt;=117,F2430,0))/100))/Skills!D14))/100),1)*IF(C2423=TRUE,(1+F2423*IF(AND(Inputs!$B$39&lt;&gt;"pvp",Inputs!$B$44&gt;0),(((R2423-1)*(Skills!S19*(1+((Inputs!$B$35+(ArtifactsInput!$M$7-ArtifactsInput!$M$7)*CHOOSE(ArtifactsInput!$N$7+1,6,7.2,8.4,9.6,10.8,12))+IF(Inputs!$B$3&gt;=117,F2430,0))/100))+MIN((Skills!S19*(1+((Inputs!$B$35+(ArtifactsInput!$M$7-ArtifactsInput!$M$7)*CHOOSE(ArtifactsInput!$N$7+1,6,7.2,8.4,9.6,10.8,12))+IF(Inputs!$B$3&gt;=117,F2430,0))/100)),MAX(0,Inputs!$B$44-((R2423-1)*Skills!D19))))/Inputs!$B$44),IF(Inputs!$B$39="pvp",MIN((Skills!S19*(1+((Inputs!$B$35+(ArtifactsInput!$M$7-ArtifactsInput!$M$7)*CHOOSE(ArtifactsInput!$N$7+1,6,7.2,8.4,9.6,10.8,12))+IF(Inputs!$B$3&gt;=117,F2430,0))/100)),15)/15,(Skills!S19*(1+((Inputs!$B$35+(ArtifactsInput!$M$7-ArtifactsInput!$M$7)*CHOOSE(ArtifactsInput!$N$7+1,6,7.2,8.4,9.6,10.8,12))+IF(Inputs!$B$3&gt;=117,F2430,0))/100))/Skills!D19))/100),1)</f>
        <v/>
      </c>
    </row>
    <row r="2434">
      <c r="A2434" t="inlineStr">
        <is>
          <t>Monster Damage Taken Bonus % (Holy Fountain)</t>
        </is>
      </c>
      <c r="B2434">
        <f>IF(Inputs!$B$3&gt;=68,20*IF(Inputs!$B$39="pvp",MIN((15*(1+((Inputs!$B$35+(ArtifactsInput!$M$7-ArtifactsInput!$M$7)*CHOOSE(ArtifactsInput!$N$7+1,6,7.2,8.4,9.6,10.8,12))+IF(Inputs!$B$3&gt;=117,F2430,0))/100)),15)/15,(15*(1+((Inputs!$B$35+(ArtifactsInput!$M$7-ArtifactsInput!$M$7)*CHOOSE(ArtifactsInput!$N$7+1,6,7.2,8.4,9.6,10.8,12))+IF(Inputs!$B$3&gt;=117,F2430,0))/100))/Skills!D10),0)</f>
        <v/>
      </c>
    </row>
    <row r="2435">
      <c r="A2435" t="inlineStr">
        <is>
          <t>Normal Monster Damage Bonus % (Holy Symbol)</t>
        </is>
      </c>
      <c r="B2435">
        <f>IF(C2416=TRUE,F2416*IF(AND(Inputs!$B$39&lt;&gt;"pvp",Inputs!$B$44&gt;0),(((R2416-1)*(Skills!S12*(1+((Inputs!$B$35+(ArtifactsInput!$M$7-ArtifactsInput!$M$7)*CHOOSE(ArtifactsInput!$N$7+1,6,7.2,8.4,9.6,10.8,12))+IF(Inputs!$B$3&gt;=117,F2430,0))/100))+MIN((Skills!S12*(1+((Inputs!$B$35+(ArtifactsInput!$M$7-ArtifactsInput!$M$7)*CHOOSE(ArtifactsInput!$N$7+1,6,7.2,8.4,9.6,10.8,12))+IF(Inputs!$B$3&gt;=117,F2430,0))/100)),MAX(0,Inputs!$B$44-((R2416-1)*Skills!D12))))/Inputs!$B$44),IF(Inputs!$B$39="pvp",MIN((Skills!S12*(1+((Inputs!$B$35+(ArtifactsInput!$M$7-ArtifactsInput!$M$7)*CHOOSE(ArtifactsInput!$N$7+1,6,7.2,8.4,9.6,10.8,12))+IF(Inputs!$B$3&gt;=117,F2430,0))/100)),15)/15,(Skills!S12*(1+((Inputs!$B$35+(ArtifactsInput!$M$7-ArtifactsInput!$M$7)*CHOOSE(ArtifactsInput!$N$7+1,6,7.2,8.4,9.6,10.8,12))+IF(Inputs!$B$3&gt;=117,F2430,0))/100))/Skills!D12)),0)</f>
        <v/>
      </c>
    </row>
    <row r="2436">
      <c r="A2436" t="inlineStr">
        <is>
          <t>Damage % Bonus (Holy Symbol - Damage Boost)</t>
        </is>
      </c>
      <c r="B2436">
        <f>Skills!O12</f>
        <v/>
      </c>
    </row>
    <row r="2437">
      <c r="A2437" t="inlineStr">
        <is>
          <t>Crit Damage % Bonus (Blood of the Divine)</t>
        </is>
      </c>
      <c r="B2437">
        <f>4*IF(C2424=TRUE,F2424,0)</f>
        <v/>
      </c>
    </row>
    <row r="2438">
      <c r="A2438" t="inlineStr">
        <is>
          <t>Attack Speed Bonus %</t>
        </is>
      </c>
      <c r="B2438">
        <f>IF(C2421=TRUE,F2421+(F2425-Calc!F21),0)+IF(Inputs!$B$3&gt;=134,15,0)</f>
        <v/>
      </c>
    </row>
    <row r="2439">
      <c r="A2439" t="inlineStr">
        <is>
          <t>Actions Per Second</t>
        </is>
      </c>
      <c r="B2439">
        <f>1+MIN(150,150*(1-(1-Inputs!$B$12/150)*(1-B2438/150)))/100</f>
        <v/>
      </c>
    </row>
    <row r="2440">
      <c r="A2440" t="inlineStr">
        <is>
          <t>Skill + Buff Cast Rate</t>
        </is>
      </c>
      <c r="B2440">
        <f>IF(AND(Inputs!$B$39&lt;&gt;"pvp",Inputs!$B$44&gt;0),SUMPRODUCT((Skills!E2:E27=TRUE)*(C2406:C2431=TRUE)*R2406:R2431)/Inputs!$B$44,SUMPRODUCT((Skills!E2:E27=TRUE)*(C2406:C2431=TRUE)*Q2406:Q2431))</f>
        <v/>
      </c>
    </row>
    <row r="2441">
      <c r="A2441" t="inlineStr">
        <is>
          <t>Big Bang Casts Per Second</t>
        </is>
      </c>
      <c r="B2441">
        <f>MAX(0,B2439-B2440)</f>
        <v/>
      </c>
    </row>
    <row r="2442">
      <c r="A2442" t="inlineStr">
        <is>
          <t>Defense % Bonus (Divine Protection)</t>
        </is>
      </c>
      <c r="B2442">
        <f>IF(C2417=TRUE,F2417*IF(AND(Inputs!$B$39&lt;&gt;"pvp",Inputs!$B$44&gt;0),(((R2417-1)*(Skills!S13*(1+((Inputs!$B$35+(ArtifactsInput!$M$7-ArtifactsInput!$M$7)*CHOOSE(ArtifactsInput!$N$7+1,6,7.2,8.4,9.6,10.8,12))+IF(Inputs!$B$3&gt;=117,F2430,0))/100))+MIN((Skills!S13*(1+((Inputs!$B$35+(ArtifactsInput!$M$7-ArtifactsInput!$M$7)*CHOOSE(ArtifactsInput!$N$7+1,6,7.2,8.4,9.6,10.8,12))+IF(Inputs!$B$3&gt;=117,F2430,0))/100)),MAX(0,Inputs!$B$44-((R2417-1)*Skills!D13))))/Inputs!$B$44),IF(Inputs!$B$39="pvp",MIN((Skills!S13*(1+((Inputs!$B$35+(ArtifactsInput!$M$7-ArtifactsInput!$M$7)*CHOOSE(ArtifactsInput!$N$7+1,6,7.2,8.4,9.6,10.8,12))+IF(Inputs!$B$3&gt;=117,F2430,0))/100)),15)/15,(Skills!S13*(1+((Inputs!$B$35+(ArtifactsInput!$M$7-ArtifactsInput!$M$7)*CHOOSE(ArtifactsInput!$N$7+1,6,7.2,8.4,9.6,10.8,12))+IF(Inputs!$B$3&gt;=117,F2430,0))/100))/Skills!D13)),0)</f>
        <v/>
      </c>
    </row>
    <row r="2443">
      <c r="A2443" t="inlineStr">
        <is>
          <t>Buff-Casting Startup Delay (s, fixed-duration only)</t>
        </is>
      </c>
      <c r="B2443">
        <f>IF(AND(Inputs!$B$39&lt;&gt;"pvp",Inputs!$B$44&gt;0),SUMPRODUCT((Skills!S2:S27&gt;0)*(Skills!E2:E27=TRUE)*(C2406:C2431=TRUE))/B2439,0)</f>
        <v/>
      </c>
    </row>
    <row r="2444">
      <c r="A2444" t="inlineStr">
        <is>
          <t>Boss-Only Total DPS (this block's swept value)</t>
        </is>
      </c>
      <c r="B2444">
        <f>SUM(S2406:S2431)</f>
        <v/>
      </c>
    </row>
    <row r="2445">
      <c r="A2445" t="inlineStr">
        <is>
          <t>Normal-Only Total DPS (this block's swept value)</t>
        </is>
      </c>
      <c r="B2445">
        <f>SUM(U2406:U2431)</f>
        <v/>
      </c>
    </row>
    <row r="2446">
      <c r="A2446" s="6" t="inlineStr">
        <is>
          <t>TOTAL DPS</t>
        </is>
      </c>
      <c r="B2446" s="6">
        <f>SUM(O2406:O2431)</f>
        <v/>
      </c>
    </row>
    <row r="2448">
      <c r="A2448" s="6" t="inlineStr">
        <is>
          <t>Stat: Bottle of Emotion (Equip)</t>
        </is>
      </c>
    </row>
    <row r="2449">
      <c r="A2449" s="5" t="inlineStr">
        <is>
          <t>Key</t>
        </is>
      </c>
      <c r="B2449" s="5" t="inlineStr">
        <is>
          <t>Name</t>
        </is>
      </c>
      <c r="C2449" s="5" t="inlineStr">
        <is>
          <t>Unlocked</t>
        </is>
      </c>
      <c r="D2449" s="5" t="inlineStr">
        <is>
          <t>InputLevel</t>
        </is>
      </c>
      <c r="E2449" s="5" t="inlineStr">
        <is>
          <t>Factor</t>
        </is>
      </c>
      <c r="F2449" s="5" t="inlineStr">
        <is>
          <t>CoefficientPercent</t>
        </is>
      </c>
      <c r="G2449" s="5" t="inlineStr">
        <is>
          <t>EffectiveHits</t>
        </is>
      </c>
      <c r="H2449" s="5" t="inlineStr">
        <is>
          <t>ProcProbability</t>
        </is>
      </c>
      <c r="I2449" s="5" t="inlineStr">
        <is>
          <t>MapleHeroMultiplier</t>
        </is>
      </c>
      <c r="J2449" s="5" t="inlineStr">
        <is>
          <t>BaseDamage</t>
        </is>
      </c>
      <c r="K2449" s="5" t="inlineStr">
        <is>
          <t>BaseHitDamage</t>
        </is>
      </c>
      <c r="L2449" s="5" t="inlineStr">
        <is>
          <t>NonCritAvg</t>
        </is>
      </c>
      <c r="M2449" s="5" t="inlineStr">
        <is>
          <t>CritAvg</t>
        </is>
      </c>
      <c r="N2449" s="5" t="inlineStr">
        <is>
          <t>ExpectedDamage(perHit)</t>
        </is>
      </c>
      <c r="O2449" s="5" t="inlineStr">
        <is>
          <t>DPS</t>
        </is>
      </c>
      <c r="P2449" s="5" t="inlineStr">
        <is>
          <t>% of Total</t>
        </is>
      </c>
      <c r="R2449" t="inlineStr">
        <is>
          <t>helpers</t>
        </is>
      </c>
    </row>
    <row r="2450">
      <c r="A2450">
        <f>Skills!A2</f>
        <v/>
      </c>
      <c r="B2450">
        <f>Skills!B2</f>
        <v/>
      </c>
      <c r="C2450">
        <f>Inputs!$B$3&gt;=100</f>
        <v/>
      </c>
      <c r="D2450" t="inlineStr"/>
      <c r="E2450" t="inlineStr"/>
      <c r="F2450">
        <f>T2452+Skills!N2</f>
        <v/>
      </c>
      <c r="G2450">
        <f>Calc!G2</f>
        <v/>
      </c>
      <c r="H2450">
        <f>Calc!H2</f>
        <v/>
      </c>
      <c r="I2450">
        <f>IF(Skills!T2&lt;&gt;"",1+(Skills!T2/10)*($Z$3/1000)/100,1)</f>
        <v/>
      </c>
      <c r="J2450">
        <f>((Inputs!$B$6*(1+Inputs!$B$7/100))+(((Inputs!$B$13*(1+Inputs!$B$14/100))-(Inputs!$B$13*(1+Inputs!$B$14/100)))+0.25*(Inputs!$B$15-Inputs!$B$15))*(1+Inputs!$B$7/100))*(F2450/100)</f>
        <v/>
      </c>
      <c r="K2450">
        <f>J2450*(1+(((Inputs!$B$13+IF(Inputs!$B$3&gt;=35,(10*INDEX(FactorTable!$B$2:$Y$301,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2="TRIUMPH_FEATHER",IF(C2464=TRUE,F2464,0),0)/100)*(1+IF(C2475=TRUE,F2475,0)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2450)</f>
        <v/>
      </c>
      <c r="L2450">
        <f>K2450*(MIN(Inputs!$B$23+(F2470-Calc!F22),(Inputs!$B$24+IF(ArtifactsInput!$M$15,CHOOSE(ArtifactsInput!$N$15+1,25,30,35,40,45,50)/100*(Inputs!$B$12-Inputs!$B$12),0)))/100+(Inputs!$B$24+IF(ArtifactsInput!$M$15,CHOOSE(ArtifactsInput!$N$15+1,25,30,35,40,45,50)/100*(Inputs!$B$12-Inputs!$B$12),0))/100)/2</f>
        <v/>
      </c>
      <c r="M2450">
        <f>L2450*(1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0">
        <f>L2450*(1-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2450*(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0">
        <f>(1-Summary!$B$11)*S2450+Summary!$B$11*U2450</f>
        <v/>
      </c>
      <c r="P2450">
        <f>IF(B2490=0,0,O2450/B2490)</f>
        <v/>
      </c>
      <c r="Q2450">
        <f>IFERROR(1/(IF(Inputs!$B$39="pvp",15,MAX(0.1,Skills!D2-IF(Skills!E2=TRUE,Inputs!$B$33,0)))*(1-IF(AND(ArtifactsInput!$M$27,Inputs!$B$4="Chapter Hunt"),CHOOSE(ArtifactsInput!$N$27+1,20,24,28,32,36,40),0)/100)),0)</f>
        <v/>
      </c>
      <c r="R2450" t="n">
        <v>0</v>
      </c>
      <c r="S2450">
        <f>IF(C2450,(Skills!F2*N2450*B2485)*IF(Inputs!$B$39="pvp",1,1+(Inputs!$B$21+Skills!O2+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2450*(1-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2450*(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2450*(1-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2450*(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0">
        <f>MAX(0,(Inputs!$B$3-100)*3)+Inputs!$B$29+Inputs!$B$30</f>
        <v/>
      </c>
      <c r="U2450">
        <f>IF(C2450,(Skills!F2*N2450*B2485)*IF(Inputs!$B$39="pvp",1,(1+(Inputs!$B$22+Skills!P2+B2479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1">
      <c r="A2451">
        <f>Skills!A3</f>
        <v/>
      </c>
      <c r="B2451">
        <f>Skills!B3</f>
        <v/>
      </c>
      <c r="C2451">
        <f>Inputs!$B$3&gt;=15</f>
        <v/>
      </c>
      <c r="D2451">
        <f>IF(Skills!C3=1,60+Inputs!$B$26+Inputs!$B$30,IF(Skills!C3=2,90+Inputs!$B$27+Inputs!$B$30,IF(Skills!C3=3,120+Inputs!$B$28+Inputs!$B$30,MAX(0,(Inputs!$B$3-100)*3)+Inputs!$B$29+Inputs!$B$30)))</f>
        <v/>
      </c>
      <c r="E2451">
        <f>INDEX(FactorTable!$B$2:$Y$301, MATCH(ROUND(MIN(300,MAX(1,D2451)),0), FactorTable!$A$2:$A$301,0), Skills!L3+1)</f>
        <v/>
      </c>
      <c r="F2451">
        <f>IF(Skills!M3=TRUE,(Skills!K3/10)*(E2451/1000),Skills!K3/10)+Skills!N3</f>
        <v/>
      </c>
      <c r="G2451">
        <f>Calc!G3</f>
        <v/>
      </c>
      <c r="H2451">
        <f>Calc!H3</f>
        <v/>
      </c>
      <c r="I2451">
        <f>IF(Skills!T3&lt;&gt;"",1+(Skills!T3/10)*($Z$3/1000)/100,1)</f>
        <v/>
      </c>
      <c r="J2451" t="inlineStr"/>
      <c r="K2451" t="inlineStr"/>
      <c r="L2451" t="inlineStr"/>
      <c r="M2451" t="inlineStr"/>
      <c r="N2451" t="inlineStr"/>
      <c r="O2451">
        <f>(1-Summary!$B$11)*S2451+Summary!$B$11*U2451</f>
        <v/>
      </c>
      <c r="P2451">
        <f>IF(B2490=0,0,O2451/B2490)</f>
        <v/>
      </c>
      <c r="Q2451">
        <f>IFERROR(1/(IF(Inputs!$B$39="pvp",15,MAX(0.1,Skills!D3-IF(Skills!E3=TRUE,Inputs!$B$33,0)))*(1-IF(AND(ArtifactsInput!$M$27,Inputs!$B$4="Chapter Hunt"),CHOOSE(ArtifactsInput!$N$27+1,20,24,28,32,36,40),0)/100)),0)</f>
        <v/>
      </c>
      <c r="R2451">
        <f>IF(AND(Inputs!$B$39&lt;&gt;"pvp",Inputs!$B$44&gt;0),IF(Inputs!$B$44&lt;=0,0,(INT(Inputs!$B$44/(IF(Inputs!$B$39="pvp",15,MAX(0.1,Skills!D3-IF(Skills!E3=TRUE,Inputs!$B$33,0)))*(1-IF(AND(ArtifactsInput!$M$27,Inputs!$B$4="Chapter Hunt"),CHOOSE(ArtifactsInput!$N$27+1,20,24,28,32,36,40),0)/100)))+1)),0)</f>
        <v/>
      </c>
      <c r="S2451" t="n">
        <v>0</v>
      </c>
      <c r="T2451">
        <f>INDEX(FactorTable!$B$2:$Y$301, MATCH(ROUND(MIN(300,MAX(1,T2450)),0), FactorTable!$A$2:$A$301,0), 22)</f>
        <v/>
      </c>
      <c r="U2451" t="n">
        <v>0</v>
      </c>
    </row>
    <row r="2452">
      <c r="A2452">
        <f>Skills!A4</f>
        <v/>
      </c>
      <c r="B2452">
        <f>Skills!B4</f>
        <v/>
      </c>
      <c r="C2452">
        <f>Inputs!$B$3&gt;=38</f>
        <v/>
      </c>
      <c r="D2452">
        <f>IF(Skills!C4=1,60+Inputs!$B$26+Inputs!$B$30,IF(Skills!C4=2,90+Inputs!$B$27+Inputs!$B$30,IF(Skills!C4=3,120+Inputs!$B$28+Inputs!$B$30,MAX(0,(Inputs!$B$3-100)*3)+Inputs!$B$29+Inputs!$B$30)))</f>
        <v/>
      </c>
      <c r="E2452">
        <f>INDEX(FactorTable!$B$2:$Y$301, MATCH(ROUND(MIN(300,MAX(1,D2452)),0), FactorTable!$A$2:$A$301,0), Skills!L4+1)</f>
        <v/>
      </c>
      <c r="F2452">
        <f>IF(Skills!M4=TRUE,(Skills!K4/10)*(E2452/1000),Skills!K4/10)+Skills!N4</f>
        <v/>
      </c>
      <c r="G2452">
        <f>Calc!G4</f>
        <v/>
      </c>
      <c r="H2452">
        <f>Calc!H4</f>
        <v/>
      </c>
      <c r="I2452">
        <f>IF(Skills!T4&lt;&gt;"",1+(Skills!T4/10)*($Z$3/1000)/100,1)</f>
        <v/>
      </c>
      <c r="J2452" t="inlineStr"/>
      <c r="K2452" t="inlineStr"/>
      <c r="L2452" t="inlineStr"/>
      <c r="M2452" t="inlineStr"/>
      <c r="N2452" t="inlineStr"/>
      <c r="O2452">
        <f>(1-Summary!$B$11)*S2452+Summary!$B$11*U2452</f>
        <v/>
      </c>
      <c r="P2452">
        <f>IF(B2490=0,0,O2452/B2490)</f>
        <v/>
      </c>
      <c r="Q2452">
        <f>IFERROR(1/(IF(Inputs!$B$39="pvp",15,MAX(0.1,Skills!D4-IF(Skills!E4=TRUE,Inputs!$B$33,0)))*(1-IF(AND(ArtifactsInput!$M$27,Inputs!$B$4="Chapter Hunt"),CHOOSE(ArtifactsInput!$N$27+1,20,24,28,32,36,40),0)/100)),0)</f>
        <v/>
      </c>
      <c r="R2452">
        <f>IF(AND(Inputs!$B$39&lt;&gt;"pvp",Inputs!$B$44&gt;0),IF(Inputs!$B$44&lt;=0,0,(INT(Inputs!$B$44/(IF(Inputs!$B$39="pvp",15,MAX(0.1,Skills!D4-IF(Skills!E4=TRUE,Inputs!$B$33,0)))*(1-IF(AND(ArtifactsInput!$M$27,Inputs!$B$4="Chapter Hunt"),CHOOSE(ArtifactsInput!$N$27+1,20,24,28,32,36,40),0)/100)))+1)),0)</f>
        <v/>
      </c>
      <c r="S2452" t="n">
        <v>0</v>
      </c>
      <c r="T2452">
        <f>290*T2451/1000</f>
        <v/>
      </c>
      <c r="U2452" t="n">
        <v>0</v>
      </c>
    </row>
    <row r="2453">
      <c r="A2453">
        <f>Skills!A5</f>
        <v/>
      </c>
      <c r="B2453">
        <f>Skills!B5</f>
        <v/>
      </c>
      <c r="C2453">
        <f>Inputs!$B$3&gt;=40</f>
        <v/>
      </c>
      <c r="D2453">
        <f>IF(Skills!C5=1,60+Inputs!$B$26+Inputs!$B$30,IF(Skills!C5=2,90+Inputs!$B$27+Inputs!$B$30,IF(Skills!C5=3,120+Inputs!$B$28+Inputs!$B$30,MAX(0,(Inputs!$B$3-100)*3)+Inputs!$B$29+Inputs!$B$30)))</f>
        <v/>
      </c>
      <c r="E2453">
        <f>INDEX(FactorTable!$B$2:$Y$301, MATCH(ROUND(MIN(300,MAX(1,D2453)),0), FactorTable!$A$2:$A$301,0), Skills!L5+1)</f>
        <v/>
      </c>
      <c r="F2453">
        <f>IF(Skills!M5=TRUE,(Skills!K5/10)*(E2453/1000),Skills!K5/10)+Skills!N5</f>
        <v/>
      </c>
      <c r="G2453">
        <f>Calc!G5</f>
        <v/>
      </c>
      <c r="H2453">
        <f>Calc!H5</f>
        <v/>
      </c>
      <c r="I2453">
        <f>IF(Skills!T5&lt;&gt;"",1+(Skills!T5/10)*($Z$3/1000)/100,1)</f>
        <v/>
      </c>
      <c r="J2453" t="inlineStr"/>
      <c r="K2453" t="inlineStr"/>
      <c r="L2453" t="inlineStr"/>
      <c r="M2453" t="inlineStr"/>
      <c r="N2453" t="inlineStr"/>
      <c r="O2453">
        <f>(1-Summary!$B$11)*S2453+Summary!$B$11*U2453</f>
        <v/>
      </c>
      <c r="P2453">
        <f>IF(B2490=0,0,O2453/B2490)</f>
        <v/>
      </c>
      <c r="Q2453">
        <f>IFERROR(1/(IF(Inputs!$B$39="pvp",15,MAX(0.1,Skills!D5-IF(Skills!E5=TRUE,Inputs!$B$33,0)))*(1-IF(AND(ArtifactsInput!$M$27,Inputs!$B$4="Chapter Hunt"),CHOOSE(ArtifactsInput!$N$27+1,20,24,28,32,36,40),0)/100)),0)</f>
        <v/>
      </c>
      <c r="R2453">
        <f>IF(AND(Inputs!$B$39&lt;&gt;"pvp",Inputs!$B$44&gt;0),IF(Inputs!$B$44&lt;=0,0,(INT(Inputs!$B$44/(IF(Inputs!$B$39="pvp",15,MAX(0.1,Skills!D5-IF(Skills!E5=TRUE,Inputs!$B$33,0)))*(1-IF(AND(ArtifactsInput!$M$27,Inputs!$B$4="Chapter Hunt"),CHOOSE(ArtifactsInput!$N$27+1,20,24,28,32,36,40),0)/100)))+1)),0)</f>
        <v/>
      </c>
      <c r="S2453" t="n">
        <v>0</v>
      </c>
      <c r="U2453" t="n">
        <v>0</v>
      </c>
    </row>
    <row r="2454">
      <c r="A2454">
        <f>Skills!A6</f>
        <v/>
      </c>
      <c r="B2454">
        <f>Skills!B6</f>
        <v/>
      </c>
      <c r="C2454">
        <f>Inputs!$B$3&gt;=103</f>
        <v/>
      </c>
      <c r="D2454">
        <f>IF(Skills!C6=1,60+Inputs!$B$26+Inputs!$B$30,IF(Skills!C6=2,90+Inputs!$B$27+Inputs!$B$30,IF(Skills!C6=3,120+Inputs!$B$28+Inputs!$B$30,MAX(0,(Inputs!$B$3-100)*3)+Inputs!$B$29+Inputs!$B$30)))</f>
        <v/>
      </c>
      <c r="E2454">
        <f>INDEX(FactorTable!$B$2:$Y$301, MATCH(ROUND(MIN(300,MAX(1,D2454)),0), FactorTable!$A$2:$A$301,0), Skills!L6+1)</f>
        <v/>
      </c>
      <c r="F2454">
        <f>IF(Skills!M6=TRUE,(Skills!K6/10)*(E2454/1000),Skills!K6/10)+Skills!N6</f>
        <v/>
      </c>
      <c r="G2454">
        <f>Calc!G6</f>
        <v/>
      </c>
      <c r="H2454">
        <f>Calc!H6</f>
        <v/>
      </c>
      <c r="I2454">
        <f>IF(Skills!T6&lt;&gt;"",1+(Skills!T6/10)*($Z$3/1000)/100,1)</f>
        <v/>
      </c>
      <c r="J2454">
        <f>((Inputs!$B$6*(1+Inputs!$B$7/100))+(((Inputs!$B$13*(1+Inputs!$B$14/100))-(Inputs!$B$13*(1+Inputs!$B$14/100)))+0.25*(Inputs!$B$15-Inputs!$B$15))*(1+Inputs!$B$7/100))*(F2454/100)</f>
        <v/>
      </c>
      <c r="K2454">
        <f>J2454*(1+(((Inputs!$B$13+IF(Inputs!$B$3&gt;=35,(10*INDEX(FactorTable!$B$2:$Y$301,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6="TRIUMPH_FEATHER",IF(C2464=TRUE,F2464,0),0)/100)*(1+IF(C2475=TRUE,F2475,0)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2454)</f>
        <v/>
      </c>
      <c r="L2454">
        <f>K2454*(MIN(Inputs!$B$23+(F2470-Calc!F22),(Inputs!$B$24+IF(ArtifactsInput!$M$15,CHOOSE(ArtifactsInput!$N$15+1,25,30,35,40,45,50)/100*(Inputs!$B$12-Inputs!$B$12),0)))/100+(Inputs!$B$24+IF(ArtifactsInput!$M$15,CHOOSE(ArtifactsInput!$N$15+1,25,30,35,40,45,50)/100*(Inputs!$B$12-Inputs!$B$12),0))/100)/2</f>
        <v/>
      </c>
      <c r="M2454">
        <f>L2454*(1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4">
        <f>L2454*(1-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2454*(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4">
        <f>(1-Summary!$B$11)*S2454+Summary!$B$11*U2454</f>
        <v/>
      </c>
      <c r="P2454">
        <f>IF(B2490=0,0,O2454/B2490)</f>
        <v/>
      </c>
      <c r="Q2454">
        <f>IFERROR(1/(IF(Inputs!$B$39="pvp",15,MAX(0.1,Skills!D6-IF(Skills!E6=TRUE,Inputs!$B$33,0)))*(1-IF(AND(ArtifactsInput!$M$27,Inputs!$B$4="Chapter Hunt"),CHOOSE(ArtifactsInput!$N$27+1,20,24,28,32,36,40),0)/100)),0)</f>
        <v/>
      </c>
      <c r="R2454">
        <f>IF(AND(Inputs!$B$39&lt;&gt;"pvp",Inputs!$B$44&gt;0),IF(MAX(0,Inputs!$B$44-B2487)&lt;=0,0,(INT(MAX(0,Inputs!$B$44-B2487)/(IF(Inputs!$B$39="pvp",15,MAX(0.1,Skills!D6-IF(Skills!E6=TRUE,Inputs!$B$33,0)))*(1-IF(AND(ArtifactsInput!$M$27,Inputs!$B$4="Chapter Hunt"),CHOOSE(ArtifactsInput!$N$27+1,20,24,28,32,36,40),0)/100)))+1)),0)</f>
        <v/>
      </c>
      <c r="S2454">
        <f>IF(C2454,(H2454*N2454*IF(AND(Inputs!$B$39&lt;&gt;"pvp",Inputs!$B$44&gt;0),((Skills!F6*((R2454-1)*IF(Skills!G6&gt;0,Skills!H6/Skills!G6,1)+IF(Skills!G6&gt;0,MIN(Skills!H6,MAX(0,MAX(0,Inputs!$B$44-B2487)-((R2454-1)*(IF(Inputs!$B$39="pvp",15,MAX(0.1,Skills!D6-IF(Skills!E6=TRUE,Inputs!$B$33,0)))*(1-IF(AND(ArtifactsInput!$M$27,Inputs!$B$4="Chapter Hunt"),CHOOSE(ArtifactsInput!$N$27+1,20,24,28,32,36,40),0)/100)))))/Skills!G6,1)))/Inputs!$B$44),G2454*Q2454))*IF(Inputs!$B$39="pvp",1,1+(Inputs!$B$21+Skills!O6+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2454*(1-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2454*(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2454*(1-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2454*(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4">
        <f>IF(C2454,(H2454*N2454*IF(AND(Inputs!$B$39&lt;&gt;"pvp",Inputs!$B$44&gt;0),((Skills!F6*((R2454-1)*IF(Skills!G6&gt;0,Skills!H6/Skills!G6,1)+IF(Skills!G6&gt;0,MIN(Skills!H6,MAX(0,MAX(0,Inputs!$B$44-B2487)-((R2454-1)*(IF(Inputs!$B$39="pvp",15,MAX(0.1,Skills!D6-IF(Skills!E6=TRUE,Inputs!$B$33,0)))*(1-IF(AND(ArtifactsInput!$M$27,Inputs!$B$4="Chapter Hunt"),CHOOSE(ArtifactsInput!$N$27+1,20,24,28,32,36,40),0)/100)))))/Skills!G6,1)))/Inputs!$B$44),G2454*Q2454))*IF(Inputs!$B$39="pvp",1,(1+(Inputs!$B$22+Skills!P6+B2479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5">
      <c r="A2455">
        <f>Skills!A7</f>
        <v/>
      </c>
      <c r="B2455">
        <f>Skills!B7</f>
        <v/>
      </c>
      <c r="C2455">
        <f>Inputs!$B$3&gt;=122</f>
        <v/>
      </c>
      <c r="D2455">
        <f>IF(Skills!C7=1,60+Inputs!$B$26+Inputs!$B$30,IF(Skills!C7=2,90+Inputs!$B$27+Inputs!$B$30,IF(Skills!C7=3,120+Inputs!$B$28+Inputs!$B$30,MAX(0,(Inputs!$B$3-100)*3)+Inputs!$B$29+Inputs!$B$30)))</f>
        <v/>
      </c>
      <c r="E2455">
        <f>INDEX(FactorTable!$B$2:$Y$301, MATCH(ROUND(MIN(300,MAX(1,D2455)),0), FactorTable!$A$2:$A$301,0), Skills!L7+1)</f>
        <v/>
      </c>
      <c r="F2455">
        <f>IF(Skills!M7=TRUE,(Skills!K7/10)*(E2455/1000),Skills!K7/10)+Skills!N7</f>
        <v/>
      </c>
      <c r="G2455">
        <f>Calc!G7</f>
        <v/>
      </c>
      <c r="H2455">
        <f>Calc!H7</f>
        <v/>
      </c>
      <c r="I2455">
        <f>IF(Skills!T7&lt;&gt;"",1+(Skills!T7/10)*($Z$3/1000)/100,1)</f>
        <v/>
      </c>
      <c r="J2455">
        <f>((Inputs!$B$6*(1+Inputs!$B$7/100))+(((Inputs!$B$13*(1+Inputs!$B$14/100))-(Inputs!$B$13*(1+Inputs!$B$14/100)))+0.25*(Inputs!$B$15-Inputs!$B$15))*(1+Inputs!$B$7/100))*(F2455/100)</f>
        <v/>
      </c>
      <c r="K2455">
        <f>J2455*(1+(((Inputs!$B$13+IF(Inputs!$B$3&gt;=35,(10*INDEX(FactorTable!$B$2:$Y$301,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7="TRIUMPH_FEATHER",IF(C2464=TRUE,F2464,0),0)/100)*(1+IF(C2475=TRUE,F2475,0)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2455)</f>
        <v/>
      </c>
      <c r="L2455">
        <f>K2455*(MIN(Inputs!$B$23+(F2470-Calc!F22),(Inputs!$B$24+IF(ArtifactsInput!$M$15,CHOOSE(ArtifactsInput!$N$15+1,25,30,35,40,45,50)/100*(Inputs!$B$12-Inputs!$B$12),0)))/100+(Inputs!$B$24+IF(ArtifactsInput!$M$15,CHOOSE(ArtifactsInput!$N$15+1,25,30,35,40,45,50)/100*(Inputs!$B$12-Inputs!$B$12),0))/100)/2</f>
        <v/>
      </c>
      <c r="M2455">
        <f>L2455*(1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5">
        <f>L2455*(1-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2455*(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5">
        <f>(1-Summary!$B$11)*S2455+Summary!$B$11*U2455</f>
        <v/>
      </c>
      <c r="P2455">
        <f>IF(B2490=0,0,O2455/B2490)</f>
        <v/>
      </c>
      <c r="Q2455">
        <f>IFERROR(1/(IF(Inputs!$B$39="pvp",15,MAX(0.1,Skills!D7-IF(Skills!E6=TRUE,Inputs!$B$33,0)))*(1-IF(AND(ArtifactsInput!$M$27,Inputs!$B$4="Chapter Hunt"),CHOOSE(ArtifactsInput!$N$27+1,20,24,28,32,36,40),0)/100)),0)</f>
        <v/>
      </c>
      <c r="R2455">
        <f>IF(AND(Inputs!$B$39&lt;&gt;"pvp",Inputs!$B$44&gt;0),IF(MAX(0,Inputs!$B$44-B2487)&lt;=0,0,(INT(MAX(0,Inputs!$B$44-B2487)/(IF(Inputs!$B$39="pvp",15,MAX(0.1,Skills!D7-IF(Skills!E6=TRUE,Inputs!$B$33,0)))*(1-IF(AND(ArtifactsInput!$M$27,Inputs!$B$4="Chapter Hunt"),CHOOSE(ArtifactsInput!$N$27+1,20,24,28,32,36,40),0)/100)))+1)),0)</f>
        <v/>
      </c>
      <c r="S2455">
        <f>IF(C2455,H2455*N2455*IF(AND(Inputs!$B$39&lt;&gt;"pvp",Inputs!$B$44&gt;0),((Skills!F7*((R2455-1)*IF(Skills!G7&gt;0,Skills!H7/Skills!G7,1)+IF(Skills!G7&gt;0,MIN(Skills!H7,MAX(0,MAX(0,Inputs!$B$44-B2487)-((R2455-1)*(IF(Inputs!$B$39="pvp",15,MAX(0.1,Skills!D7-IF(Skills!E6=TRUE,Inputs!$B$33,0)))*(1-IF(AND(ArtifactsInput!$M$27,Inputs!$B$4="Chapter Hunt"),CHOOSE(ArtifactsInput!$N$27+1,20,24,28,32,36,40),0)/100)))))/Skills!G7,1)))/Inputs!$B$44),G2455*Q2455)*IF(Inputs!$B$39="pvp",1,1+(Inputs!$B$21+Skills!O7+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2455*(1-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2455*(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2455*(1-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2455*(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5" t="n">
        <v>0</v>
      </c>
    </row>
    <row r="2456">
      <c r="A2456">
        <f>Skills!A8</f>
        <v/>
      </c>
      <c r="B2456">
        <f>Skills!B8</f>
        <v/>
      </c>
      <c r="C2456">
        <f>Inputs!$B$3&gt;=105</f>
        <v/>
      </c>
      <c r="D2456">
        <f>IF(Skills!C8=1,60+Inputs!$B$26+Inputs!$B$30,IF(Skills!C8=2,90+Inputs!$B$27+Inputs!$B$30,IF(Skills!C8=3,120+Inputs!$B$28+Inputs!$B$30,MAX(0,(Inputs!$B$3-100)*3)+Inputs!$B$29+Inputs!$B$30)))</f>
        <v/>
      </c>
      <c r="E2456">
        <f>INDEX(FactorTable!$B$2:$Y$301, MATCH(ROUND(MIN(300,MAX(1,D2456)),0), FactorTable!$A$2:$A$301,0), Skills!L8+1)</f>
        <v/>
      </c>
      <c r="F2456">
        <f>IF(Skills!M8=TRUE,(Skills!K8/10)*(E2456/1000),Skills!K8/10)+Skills!N8</f>
        <v/>
      </c>
      <c r="G2456">
        <f>Calc!G8</f>
        <v/>
      </c>
      <c r="H2456">
        <f>Calc!H8</f>
        <v/>
      </c>
      <c r="I2456">
        <f>IF(Skills!T8&lt;&gt;"",1+(Skills!T8/10)*($Z$3/1000)/100,1)</f>
        <v/>
      </c>
      <c r="J2456">
        <f>((Inputs!$B$6*(1+Inputs!$B$7/100))+(((Inputs!$B$13*(1+Inputs!$B$14/100))-(Inputs!$B$13*(1+Inputs!$B$14/100)))+0.25*(Inputs!$B$15-Inputs!$B$15))*(1+Inputs!$B$7/100))*(F2456/100)</f>
        <v/>
      </c>
      <c r="K2456">
        <f>J2456*(1+(((Inputs!$B$13+IF(Inputs!$B$3&gt;=35,(10*INDEX(FactorTable!$B$2:$Y$301,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8="TRIUMPH_FEATHER",IF(C2464=TRUE,F2464,0),0)/100)*(1+IF(C2475=TRUE,F2475,0)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2456)</f>
        <v/>
      </c>
      <c r="L2456">
        <f>K2456*(MIN(Inputs!$B$23+(F2470-Calc!F22),(Inputs!$B$24+IF(ArtifactsInput!$M$15,CHOOSE(ArtifactsInput!$N$15+1,25,30,35,40,45,50)/100*(Inputs!$B$12-Inputs!$B$12),0)))/100+(Inputs!$B$24+IF(ArtifactsInput!$M$15,CHOOSE(ArtifactsInput!$N$15+1,25,30,35,40,45,50)/100*(Inputs!$B$12-Inputs!$B$12),0))/100)/2</f>
        <v/>
      </c>
      <c r="M2456">
        <f>L2456*(1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6">
        <f>L2456*(1-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2456*(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6">
        <f>(1-Summary!$B$11)*S2456+Summary!$B$11*U2456</f>
        <v/>
      </c>
      <c r="P2456">
        <f>IF(B2490=0,0,O2456/B2490)</f>
        <v/>
      </c>
      <c r="Q2456">
        <f>IFERROR(1/(IF(Inputs!$B$39="pvp",15,MAX(0.1,Skills!D8-IF(Skills!E8=TRUE,Inputs!$B$33,0)))*(1-IF(AND(ArtifactsInput!$M$27,Inputs!$B$4="Chapter Hunt"),CHOOSE(ArtifactsInput!$N$27+1,20,24,28,32,36,40),0)/100)),0)</f>
        <v/>
      </c>
      <c r="R2456">
        <f>IF(AND(Inputs!$B$39&lt;&gt;"pvp",Inputs!$B$44&gt;0),IF(MAX(0,Inputs!$B$44-B2487)&lt;=0,0,(INT(MAX(0,Inputs!$B$44-B2487)/(IF(Inputs!$B$39="pvp",15,MAX(0.1,Skills!D8-IF(Skills!E8=TRUE,Inputs!$B$33,0)))*(1-IF(AND(ArtifactsInput!$M$27,Inputs!$B$4="Chapter Hunt"),CHOOSE(ArtifactsInput!$N$27+1,20,24,28,32,36,40),0)/100)))+1)),0)</f>
        <v/>
      </c>
      <c r="S2456">
        <f>IF(C2456,(H2456*N2456*IF(AND(Inputs!$B$39&lt;&gt;"pvp",Inputs!$B$44&gt;0),((Skills!F8*((R2456-1)*IF(Skills!G8&gt;0,Skills!H8/Skills!G8,1)+IF(Skills!G8&gt;0,MIN(Skills!H8,MAX(0,MAX(0,Inputs!$B$44-B2487)-((R2456-1)*(IF(Inputs!$B$39="pvp",15,MAX(0.1,Skills!D8-IF(Skills!E8=TRUE,Inputs!$B$33,0)))*(1-IF(AND(ArtifactsInput!$M$27,Inputs!$B$4="Chapter Hunt"),CHOOSE(ArtifactsInput!$N$27+1,20,24,28,32,36,40),0)/100)))))/Skills!G8,1)))/Inputs!$B$44),G2456*Q2456))*IF(Inputs!$B$39="pvp",1,1+(Inputs!$B$21+Skills!O8+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2456*(1-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2456*(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2456*(1-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2456*(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6">
        <f>IF(C2456,(H2456*N2456*IF(AND(Inputs!$B$39&lt;&gt;"pvp",Inputs!$B$44&gt;0),((Skills!F8*((R2456-1)*IF(Skills!G8&gt;0,Skills!H8/Skills!G8,1)+IF(Skills!G8&gt;0,MIN(Skills!H8,MAX(0,MAX(0,Inputs!$B$44-B2487)-((R2456-1)*(IF(Inputs!$B$39="pvp",15,MAX(0.1,Skills!D8-IF(Skills!E8=TRUE,Inputs!$B$33,0)))*(1-IF(AND(ArtifactsInput!$M$27,Inputs!$B$4="Chapter Hunt"),CHOOSE(ArtifactsInput!$N$27+1,20,24,28,32,36,40),0)/100)))))/Skills!G8,1)))/Inputs!$B$44),G2456*Q2456))*IF(Inputs!$B$39="pvp",1,(1+(Inputs!$B$22+Skills!P8+B2479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7">
      <c r="A2457">
        <f>Skills!A9</f>
        <v/>
      </c>
      <c r="B2457">
        <f>Skills!B9</f>
        <v/>
      </c>
      <c r="C2457">
        <f>Inputs!$B$3&gt;=115</f>
        <v/>
      </c>
      <c r="D2457">
        <f>IF(Skills!C9=1,60+Inputs!$B$26+Inputs!$B$30,IF(Skills!C9=2,90+Inputs!$B$27+Inputs!$B$30,IF(Skills!C9=3,120+Inputs!$B$28+Inputs!$B$30,MAX(0,(Inputs!$B$3-100)*3)+Inputs!$B$29+Inputs!$B$30)))</f>
        <v/>
      </c>
      <c r="E2457">
        <f>INDEX(FactorTable!$B$2:$Y$301, MATCH(ROUND(MIN(300,MAX(1,D2457)),0), FactorTable!$A$2:$A$301,0), Skills!L9+1)</f>
        <v/>
      </c>
      <c r="F2457">
        <f>IF(Skills!M9=TRUE,(Skills!K9/10)*(E2457/1000),Skills!K9/10)+Skills!N9</f>
        <v/>
      </c>
      <c r="G2457">
        <f>Calc!G9</f>
        <v/>
      </c>
      <c r="H2457">
        <f>Calc!H9</f>
        <v/>
      </c>
      <c r="I2457">
        <f>IF(Skills!T9&lt;&gt;"",1+(Skills!T9/10)*($Z$3/1000)/100,1)</f>
        <v/>
      </c>
      <c r="J2457">
        <f>((Inputs!$B$6*(1+Inputs!$B$7/100))+(((Inputs!$B$13*(1+Inputs!$B$14/100))-(Inputs!$B$13*(1+Inputs!$B$14/100)))+0.25*(Inputs!$B$15-Inputs!$B$15))*(1+Inputs!$B$7/100))*(F2457/100)</f>
        <v/>
      </c>
      <c r="K2457">
        <f>J2457*(1+(((Inputs!$B$13+IF(Inputs!$B$3&gt;=35,(10*INDEX(FactorTable!$B$2:$Y$301,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9="TRIUMPH_FEATHER",IF(C2464=TRUE,F2464,0),0)/100)*(1+IF(C2475=TRUE,F2475,0)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2457)</f>
        <v/>
      </c>
      <c r="L2457">
        <f>K2457*(MIN(Inputs!$B$23+(F2470-Calc!F22),(Inputs!$B$24+IF(ArtifactsInput!$M$15,CHOOSE(ArtifactsInput!$N$15+1,25,30,35,40,45,50)/100*(Inputs!$B$12-Inputs!$B$12),0)))/100+(Inputs!$B$24+IF(ArtifactsInput!$M$15,CHOOSE(ArtifactsInput!$N$15+1,25,30,35,40,45,50)/100*(Inputs!$B$12-Inputs!$B$12),0))/100)/2</f>
        <v/>
      </c>
      <c r="M2457">
        <f>L2457*(1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7">
        <f>L2457*(1-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2457*(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7">
        <f>(1-Summary!$B$11)*S2457+Summary!$B$11*U2457</f>
        <v/>
      </c>
      <c r="P2457">
        <f>IF(B2490=0,0,O2457/B2490)</f>
        <v/>
      </c>
      <c r="Q2457">
        <f>IFERROR(1/(IF(Inputs!$B$39="pvp",15,MAX(0.1,Skills!D9-IF(Skills!E9=TRUE,Inputs!$B$33,0)))*(1-IF(AND(ArtifactsInput!$M$27,Inputs!$B$4="Chapter Hunt"),CHOOSE(ArtifactsInput!$N$27+1,20,24,28,32,36,40),0)/100)),0)</f>
        <v/>
      </c>
      <c r="R2457">
        <f>IF(AND(Inputs!$B$39&lt;&gt;"pvp",Inputs!$B$44&gt;0),IF(MAX(0,Inputs!$B$44-B2487)&lt;=0,0,(INT(MAX(0,Inputs!$B$44-B2487)/(IF(Inputs!$B$39="pvp",15,MAX(0.1,Skills!D9-IF(Skills!E9=TRUE,Inputs!$B$33,0)))*(1-IF(AND(ArtifactsInput!$M$27,Inputs!$B$4="Chapter Hunt"),CHOOSE(ArtifactsInput!$N$27+1,20,24,28,32,36,40),0)/100)))+1)),0)</f>
        <v/>
      </c>
      <c r="S2457">
        <f>IF(C2457,(H2457*N2457*IF(AND(Inputs!$B$39&lt;&gt;"pvp",Inputs!$B$44&gt;0),((Skills!F9*((R2457-1)*IF(Skills!G9&gt;0,Skills!H9/Skills!G9,1)+IF(Skills!G9&gt;0,MIN(Skills!H9,MAX(0,MAX(0,Inputs!$B$44-B2487)-((R2457-1)*(IF(Inputs!$B$39="pvp",15,MAX(0.1,Skills!D9-IF(Skills!E9=TRUE,Inputs!$B$33,0)))*(1-IF(AND(ArtifactsInput!$M$27,Inputs!$B$4="Chapter Hunt"),CHOOSE(ArtifactsInput!$N$27+1,20,24,28,32,36,40),0)/100)))))/Skills!G9,1)))/Inputs!$B$44),G2457*Q2457))*IF(Inputs!$B$39="pvp",1,1+(Inputs!$B$21+Skills!O9+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2457*(1-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2457*(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2457*(1-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2457*(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7">
        <f>IF(C2457,(H2457*N2457*IF(AND(Inputs!$B$39&lt;&gt;"pvp",Inputs!$B$44&gt;0),((Skills!F9*((R2457-1)*IF(Skills!G9&gt;0,Skills!H9/Skills!G9,1)+IF(Skills!G9&gt;0,MIN(Skills!H9,MAX(0,MAX(0,Inputs!$B$44-B2487)-((R2457-1)*(IF(Inputs!$B$39="pvp",15,MAX(0.1,Skills!D9-IF(Skills!E9=TRUE,Inputs!$B$33,0)))*(1-IF(AND(ArtifactsInput!$M$27,Inputs!$B$4="Chapter Hunt"),CHOOSE(ArtifactsInput!$N$27+1,20,24,28,32,36,40),0)/100)))))/Skills!G9,1)))/Inputs!$B$44),G2457*Q2457))*IF(Inputs!$B$39="pvp",1,(1+(Inputs!$B$22+Skills!P9+B2479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8">
      <c r="A2458">
        <f>Skills!A10</f>
        <v/>
      </c>
      <c r="B2458">
        <f>Skills!B10</f>
        <v/>
      </c>
      <c r="C2458">
        <f>Inputs!$B$3&gt;=66</f>
        <v/>
      </c>
      <c r="D2458">
        <f>IF(Skills!C10=1,60+Inputs!$B$26+Inputs!$B$30,IF(Skills!C10=2,90+Inputs!$B$27+Inputs!$B$30,IF(Skills!C10=3,120+Inputs!$B$28+Inputs!$B$30,MAX(0,(Inputs!$B$3-100)*3)+Inputs!$B$29+Inputs!$B$30)))</f>
        <v/>
      </c>
      <c r="E2458">
        <f>INDEX(FactorTable!$B$2:$Y$301, MATCH(ROUND(MIN(300,MAX(1,D2458)),0), FactorTable!$A$2:$A$301,0), Skills!L10+1)</f>
        <v/>
      </c>
      <c r="F2458" t="n">
        <v>0</v>
      </c>
      <c r="G2458">
        <f>Calc!G10</f>
        <v/>
      </c>
      <c r="H2458">
        <f>Calc!H10</f>
        <v/>
      </c>
      <c r="I2458">
        <f>IF(Skills!T10&lt;&gt;"",1+(Skills!T10/10)*($Z$3/1000)/100,1)</f>
        <v/>
      </c>
      <c r="J2458" t="inlineStr"/>
      <c r="K2458" t="inlineStr"/>
      <c r="L2458" t="inlineStr"/>
      <c r="M2458" t="inlineStr"/>
      <c r="N2458" t="inlineStr"/>
      <c r="O2458">
        <f>(1-Summary!$B$11)*S2458+Summary!$B$11*U2458</f>
        <v/>
      </c>
      <c r="P2458">
        <f>IF(B2490=0,0,O2458/B2490)</f>
        <v/>
      </c>
      <c r="Q2458">
        <f>IFERROR(1/(IF(Inputs!$B$39="pvp",15,MAX(0.1,Skills!D10-IF(Skills!E10=TRUE,Inputs!$B$33,0)))*(1-IF(AND(ArtifactsInput!$M$27,Inputs!$B$4="Chapter Hunt"),CHOOSE(ArtifactsInput!$N$27+1,20,24,28,32,36,40),0)/100)),0)</f>
        <v/>
      </c>
      <c r="R2458">
        <f>IF(AND(Inputs!$B$39&lt;&gt;"pvp",Inputs!$B$44&gt;0),IF(MAX(0,Inputs!$B$44-B2487)&lt;=0,0,(INT(MAX(0,Inputs!$B$44-B2487)/(IF(Inputs!$B$39="pvp",15,MAX(0.1,Skills!D10-IF(Skills!E10=TRUE,Inputs!$B$33,0)))*(1-IF(AND(ArtifactsInput!$M$27,Inputs!$B$4="Chapter Hunt"),CHOOSE(ArtifactsInput!$N$27+1,20,24,28,32,36,40),0)/100)))+1)),0)</f>
        <v/>
      </c>
      <c r="S2458" t="n">
        <v>0</v>
      </c>
      <c r="U2458" t="n">
        <v>0</v>
      </c>
    </row>
    <row r="2459">
      <c r="A2459">
        <f>Skills!A11</f>
        <v/>
      </c>
      <c r="B2459">
        <f>Skills!B11</f>
        <v/>
      </c>
      <c r="C2459">
        <f>Inputs!$B$3&gt;=69</f>
        <v/>
      </c>
      <c r="D2459">
        <f>IF(Skills!C11=1,60+Inputs!$B$26+Inputs!$B$30,IF(Skills!C11=2,90+Inputs!$B$27+Inputs!$B$30,IF(Skills!C11=3,120+Inputs!$B$28+Inputs!$B$30,MAX(0,(Inputs!$B$3-100)*3)+Inputs!$B$29+Inputs!$B$30)))</f>
        <v/>
      </c>
      <c r="E2459">
        <f>INDEX(FactorTable!$B$2:$Y$301, MATCH(ROUND(MIN(300,MAX(1,D2459)),0), FactorTable!$A$2:$A$301,0), Skills!L11+1)</f>
        <v/>
      </c>
      <c r="F2459">
        <f>IF(Skills!M11=TRUE,(Skills!K11/10)*(E2459/1000),Skills!K11/10)+Skills!N11</f>
        <v/>
      </c>
      <c r="G2459">
        <f>Calc!G11</f>
        <v/>
      </c>
      <c r="H2459">
        <f>Calc!H11</f>
        <v/>
      </c>
      <c r="I2459">
        <f>IF(Skills!T11&lt;&gt;"",1+(Skills!T11/10)*($Z$3/1000)/100,1)</f>
        <v/>
      </c>
      <c r="J2459" t="inlineStr"/>
      <c r="K2459" t="inlineStr"/>
      <c r="L2459" t="inlineStr"/>
      <c r="M2459" t="inlineStr"/>
      <c r="N2459" t="inlineStr"/>
      <c r="O2459">
        <f>(1-Summary!$B$11)*S2459+Summary!$B$11*U2459</f>
        <v/>
      </c>
      <c r="P2459">
        <f>IF(B2490=0,0,O2459/B2490)</f>
        <v/>
      </c>
      <c r="Q2459">
        <f>IFERROR(1/(IF(Inputs!$B$39="pvp",15,MAX(0.1,Skills!D11-IF(Skills!E11=TRUE,Inputs!$B$33,0)))*(1-IF(AND(ArtifactsInput!$M$27,Inputs!$B$4="Chapter Hunt"),CHOOSE(ArtifactsInput!$N$27+1,20,24,28,32,36,40),0)/100)),0)</f>
        <v/>
      </c>
      <c r="R2459">
        <f>IF(AND(Inputs!$B$39&lt;&gt;"pvp",Inputs!$B$44&gt;0),IF(Inputs!$B$44&lt;=0,0,(INT(Inputs!$B$44/(IF(Inputs!$B$39="pvp",15,MAX(0.1,Skills!D11-IF(Skills!E11=TRUE,Inputs!$B$33,0)))*(1-IF(AND(ArtifactsInput!$M$27,Inputs!$B$4="Chapter Hunt"),CHOOSE(ArtifactsInput!$N$27+1,20,24,28,32,36,40),0)/100)))+1)),0)</f>
        <v/>
      </c>
      <c r="S2459" t="n">
        <v>0</v>
      </c>
      <c r="U2459" t="n">
        <v>0</v>
      </c>
    </row>
    <row r="2460">
      <c r="A2460">
        <f>Skills!A12</f>
        <v/>
      </c>
      <c r="B2460">
        <f>Skills!B12</f>
        <v/>
      </c>
      <c r="C2460">
        <f>Inputs!$B$3&gt;=72</f>
        <v/>
      </c>
      <c r="D2460">
        <f>IF(Skills!C12=1,60+Inputs!$B$26+Inputs!$B$30,IF(Skills!C12=2,90+Inputs!$B$27+Inputs!$B$30,IF(Skills!C12=3,120+Inputs!$B$28+Inputs!$B$30,MAX(0,(Inputs!$B$3-100)*3)+Inputs!$B$29+Inputs!$B$30)))</f>
        <v/>
      </c>
      <c r="E2460">
        <f>INDEX(FactorTable!$B$2:$Y$301, MATCH(ROUND(MIN(300,MAX(1,D2460)),0), FactorTable!$A$2:$A$301,0), Skills!L12+1)</f>
        <v/>
      </c>
      <c r="F2460">
        <f>IF(Skills!M12=TRUE,(Skills!K12/10)*(E2460/1000),Skills!K12/10)+Skills!N12</f>
        <v/>
      </c>
      <c r="G2460">
        <f>Calc!G12</f>
        <v/>
      </c>
      <c r="H2460">
        <f>Calc!H12</f>
        <v/>
      </c>
      <c r="I2460">
        <f>IF(Skills!T12&lt;&gt;"",1+(Skills!T12/10)*($Z$3/1000)/100,1)</f>
        <v/>
      </c>
      <c r="J2460" t="inlineStr"/>
      <c r="K2460" t="inlineStr"/>
      <c r="L2460" t="inlineStr"/>
      <c r="M2460" t="inlineStr"/>
      <c r="N2460" t="inlineStr"/>
      <c r="O2460">
        <f>(1-Summary!$B$11)*S2460+Summary!$B$11*U2460</f>
        <v/>
      </c>
      <c r="P2460">
        <f>IF(B2490=0,0,O2460/B2490)</f>
        <v/>
      </c>
      <c r="Q2460">
        <f>IFERROR(1/(IF(Inputs!$B$39="pvp",15,MAX(0.1,Skills!D12-IF(Skills!E12=TRUE,Inputs!$B$33,0)))*(1-IF(AND(ArtifactsInput!$M$27,Inputs!$B$4="Chapter Hunt"),CHOOSE(ArtifactsInput!$N$27+1,20,24,28,32,36,40),0)/100)),0)</f>
        <v/>
      </c>
      <c r="R2460">
        <f>IF(AND(Inputs!$B$39&lt;&gt;"pvp",Inputs!$B$44&gt;0),IF(MAX(0,Inputs!$B$44-B2487)&lt;=0,0,(INT(MAX(0,Inputs!$B$44-B2487)/(IF(Inputs!$B$39="pvp",15,MAX(0.1,Skills!D12-IF(Skills!E12=TRUE,Inputs!$B$33,0)))*(1-IF(AND(ArtifactsInput!$M$27,Inputs!$B$4="Chapter Hunt"),CHOOSE(ArtifactsInput!$N$27+1,20,24,28,32,36,40),0)/100)))+1)),0)</f>
        <v/>
      </c>
      <c r="S2460" t="n">
        <v>0</v>
      </c>
      <c r="U2460" t="n">
        <v>0</v>
      </c>
    </row>
    <row r="2461">
      <c r="A2461">
        <f>Skills!A13</f>
        <v/>
      </c>
      <c r="B2461">
        <f>Skills!B13</f>
        <v/>
      </c>
      <c r="C2461">
        <f>Inputs!$B$3&gt;=60</f>
        <v/>
      </c>
      <c r="D2461">
        <f>IF(Skills!C13=1,60+Inputs!$B$26+Inputs!$B$30,IF(Skills!C13=2,90+Inputs!$B$27+Inputs!$B$30,IF(Skills!C13=3,120+Inputs!$B$28+Inputs!$B$30,MAX(0,(Inputs!$B$3-100)*3)+Inputs!$B$29+Inputs!$B$30)))</f>
        <v/>
      </c>
      <c r="E2461">
        <f>INDEX(FactorTable!$B$2:$Y$301, MATCH(ROUND(MIN(300,MAX(1,D2461)),0), FactorTable!$A$2:$A$301,0), Skills!L13+1)</f>
        <v/>
      </c>
      <c r="F2461">
        <f>IF(Skills!M13=TRUE,(Skills!K13/10)*(E2461/1000),Skills!K13/10)+Skills!N13</f>
        <v/>
      </c>
      <c r="G2461">
        <f>Calc!G13</f>
        <v/>
      </c>
      <c r="H2461">
        <f>Calc!H13</f>
        <v/>
      </c>
      <c r="I2461">
        <f>IF(Skills!T13&lt;&gt;"",1+(Skills!T13/10)*($Z$3/1000)/100,1)</f>
        <v/>
      </c>
      <c r="J2461" t="inlineStr"/>
      <c r="K2461" t="inlineStr"/>
      <c r="L2461" t="inlineStr"/>
      <c r="M2461" t="inlineStr"/>
      <c r="N2461" t="inlineStr"/>
      <c r="O2461">
        <f>(1-Summary!$B$11)*S2461+Summary!$B$11*U2461</f>
        <v/>
      </c>
      <c r="P2461">
        <f>IF(B2490=0,0,O2461/B2490)</f>
        <v/>
      </c>
      <c r="Q2461">
        <f>IFERROR(1/(IF(Inputs!$B$39="pvp",15,MAX(0.1,Skills!D13-IF(Skills!E13=TRUE,Inputs!$B$33,0)))*(1-IF(AND(ArtifactsInput!$M$27,Inputs!$B$4="Chapter Hunt"),CHOOSE(ArtifactsInput!$N$27+1,20,24,28,32,36,40),0)/100)),0)</f>
        <v/>
      </c>
      <c r="R2461">
        <f>IF(AND(Inputs!$B$39&lt;&gt;"pvp",Inputs!$B$44&gt;0),IF(MAX(0,Inputs!$B$44-B2487)&lt;=0,0,(INT(MAX(0,Inputs!$B$44-B2487)/(IF(Inputs!$B$39="pvp",15,MAX(0.1,Skills!D13-IF(Skills!E13=TRUE,Inputs!$B$33,0)))*(1-IF(AND(ArtifactsInput!$M$27,Inputs!$B$4="Chapter Hunt"),CHOOSE(ArtifactsInput!$N$27+1,20,24,28,32,36,40),0)/100)))+1)),0)</f>
        <v/>
      </c>
      <c r="S2461" t="n">
        <v>0</v>
      </c>
      <c r="U2461" t="n">
        <v>0</v>
      </c>
    </row>
    <row r="2462">
      <c r="A2462">
        <f>Skills!A14</f>
        <v/>
      </c>
      <c r="B2462">
        <f>Skills!B14</f>
        <v/>
      </c>
      <c r="C2462">
        <f>Inputs!$B$3&gt;=107</f>
        <v/>
      </c>
      <c r="D2462">
        <f>IF(Skills!C14=1,60+Inputs!$B$26+Inputs!$B$30,IF(Skills!C14=2,90+Inputs!$B$27+Inputs!$B$30,IF(Skills!C14=3,120+Inputs!$B$28+Inputs!$B$30,MAX(0,(Inputs!$B$3-100)*3)+Inputs!$B$29+Inputs!$B$30)))</f>
        <v/>
      </c>
      <c r="E2462">
        <f>INDEX(FactorTable!$B$2:$Y$301, MATCH(ROUND(MIN(300,MAX(1,D2462)),0), FactorTable!$A$2:$A$301,0), Skills!L14+1)</f>
        <v/>
      </c>
      <c r="F2462">
        <f>IF(Skills!M14=TRUE,(Skills!K14/10)*(E2462/1000),Skills!K14/10)+Skills!N14</f>
        <v/>
      </c>
      <c r="G2462">
        <f>Calc!G14</f>
        <v/>
      </c>
      <c r="H2462">
        <f>Calc!H14</f>
        <v/>
      </c>
      <c r="I2462">
        <f>IF(Skills!T14&lt;&gt;"",1+(Skills!T14/10)*($Z$3/1000)/100,1)</f>
        <v/>
      </c>
      <c r="J2462" t="inlineStr"/>
      <c r="K2462" t="inlineStr"/>
      <c r="L2462" t="inlineStr"/>
      <c r="M2462" t="inlineStr"/>
      <c r="N2462" t="inlineStr"/>
      <c r="O2462">
        <f>(1-Summary!$B$11)*S2462+Summary!$B$11*U2462</f>
        <v/>
      </c>
      <c r="P2462">
        <f>IF(B2490=0,0,O2462/B2490)</f>
        <v/>
      </c>
      <c r="Q2462">
        <f>IFERROR(1/(IF(Inputs!$B$39="pvp",15,MAX(0.1,Skills!D14-IF(Skills!E14=TRUE,Inputs!$B$33,0)))*(1-IF(AND(ArtifactsInput!$M$27,Inputs!$B$4="Chapter Hunt"),CHOOSE(ArtifactsInput!$N$27+1,20,24,28,32,36,40),0)/100)),0)</f>
        <v/>
      </c>
      <c r="R2462">
        <f>IF(AND(Inputs!$B$39&lt;&gt;"pvp",Inputs!$B$44&gt;0),IF(Inputs!$B$44&lt;=0,0,(INT(Inputs!$B$44/(IF(Inputs!$B$39="pvp",15,MAX(0.1,Skills!D14-IF(Skills!E14=TRUE,Inputs!$B$33,0)))*(1-IF(AND(ArtifactsInput!$M$27,Inputs!$B$4="Chapter Hunt"),CHOOSE(ArtifactsInput!$N$27+1,20,24,28,32,36,40),0)/100)))+1)),0)</f>
        <v/>
      </c>
      <c r="S2462" t="n">
        <v>0</v>
      </c>
      <c r="U2462" t="n">
        <v>0</v>
      </c>
    </row>
    <row r="2463">
      <c r="A2463">
        <f>Skills!A15</f>
        <v/>
      </c>
      <c r="B2463">
        <f>Skills!B15</f>
        <v/>
      </c>
      <c r="C2463">
        <f>Inputs!$B$3&gt;=63</f>
        <v/>
      </c>
      <c r="D2463">
        <f>IF(Skills!C15=1,60+Inputs!$B$26+Inputs!$B$30,IF(Skills!C15=2,90+Inputs!$B$27+Inputs!$B$30,IF(Skills!C15=3,120+Inputs!$B$28+Inputs!$B$30,MAX(0,(Inputs!$B$3-100)*3)+Inputs!$B$29+Inputs!$B$30)))</f>
        <v/>
      </c>
      <c r="E2463">
        <f>INDEX(FactorTable!$B$2:$Y$301, MATCH(ROUND(MIN(300,MAX(1,D2463)),0), FactorTable!$A$2:$A$301,0), Skills!L15+1)</f>
        <v/>
      </c>
      <c r="F2463">
        <f>IF(Skills!M15=TRUE,(Skills!K15/10)*(E2463/1000),Skills!K15/10)+Skills!N15</f>
        <v/>
      </c>
      <c r="G2463">
        <f>Calc!G15</f>
        <v/>
      </c>
      <c r="H2463">
        <f>Calc!H15</f>
        <v/>
      </c>
      <c r="I2463">
        <f>IF(Skills!T15&lt;&gt;"",1+(Skills!T15/10)*($Z$3/1000)/100,1)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15="TRIUMPH_FEATHER",IF(C2464=TRUE,F2464,0),0)/100)*(1+IF(C2475=TRUE,F2475,0)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2463)</f>
        <v/>
      </c>
      <c r="L2463">
        <f>K2463*(MIN(Inputs!$B$23+(F2470-Calc!F22),(Inputs!$B$24+IF(ArtifactsInput!$M$15,CHOOSE(ArtifactsInput!$N$15+1,25,30,35,40,45,50)/100*(Inputs!$B$12-Inputs!$B$12),0)))/100+(Inputs!$B$24+IF(ArtifactsInput!$M$15,CHOOSE(ArtifactsInput!$N$15+1,25,30,35,40,45,50)/100*(Inputs!$B$12-Inputs!$B$12),0))/100)/2</f>
        <v/>
      </c>
      <c r="M2463">
        <f>L2463*(1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IF(B2490=0,0,O2463/B2490)</f>
        <v/>
      </c>
      <c r="Q2463">
        <f>IFERROR(1/(IF(Inputs!$B$39="pvp",15,MAX(0.1,Skills!D15-IF(Skills!E15=TRUE,Inputs!$B$33,0)))*(1-IF(AND(ArtifactsInput!$M$27,Inputs!$B$4="Chapter Hunt"),CHOOSE(ArtifactsInput!$N$27+1,20,24,28,32,36,40),0)/100)),0)</f>
        <v/>
      </c>
      <c r="R2463" t="n">
        <v>0</v>
      </c>
      <c r="S2463">
        <f>IF(C2463,(Skills!F15*N2463*((IF(Inputs!$B$3&gt;=78,25,15)/100*B2483*10)/(1+IF(Inputs!$B$3&gt;=78,25,15)/100*B2483*10))*(Skills!I15/100*B2483)/(1+Skills!G15*Skills!I15/100*B2483))*IF(Inputs!$B$39="pvp",1,1+(Inputs!$B$21+Skills!O15+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Skills!F15*N2463*((IF(Inputs!$B$3&gt;=78,25,15)/100*B2483*10)/(1+IF(Inputs!$B$3&gt;=78,25,15)/100*B2483*10))*(Skills!I15/100*B2483)/(1+Skills!G15*Skills!I15/100*B2483))*IF(Inputs!$B$39="pvp",1,(1+(Inputs!$B$22+Skills!P15+B2479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Skills!A16</f>
        <v/>
      </c>
      <c r="B2464">
        <f>Skills!B16</f>
        <v/>
      </c>
      <c r="C2464">
        <f>Inputs!$B$3&gt;=100</f>
        <v/>
      </c>
      <c r="D2464">
        <f>IF(Skills!C16=1,60+Inputs!$B$26+Inputs!$B$30,IF(Skills!C16=2,90+Inputs!$B$27+Inputs!$B$30,IF(Skills!C16=3,120+Inputs!$B$28+Inputs!$B$30,MAX(0,(Inputs!$B$3-100)*3)+Inputs!$B$29+Inputs!$B$30)))</f>
        <v/>
      </c>
      <c r="E2464">
        <f>INDEX(FactorTable!$B$2:$Y$301, MATCH(ROUND(MIN(300,MAX(1,D2464)),0), FactorTable!$A$2:$A$301,0), Skills!L16+1)</f>
        <v/>
      </c>
      <c r="F2464">
        <f>IF(Skills!M16=TRUE,(Skills!K16/10)*(E2464/1000),Skills!K16/10)+Skills!N16</f>
        <v/>
      </c>
      <c r="G2464">
        <f>Calc!G16</f>
        <v/>
      </c>
      <c r="H2464">
        <f>Calc!H16</f>
        <v/>
      </c>
      <c r="I2464">
        <f>IF(Skills!T16&lt;&gt;"",1+(Skills!T16/10)*($Z$3/1000)/100,1)</f>
        <v/>
      </c>
      <c r="J2464" t="inlineStr"/>
      <c r="K2464" t="inlineStr"/>
      <c r="L2464" t="inlineStr"/>
      <c r="M2464" t="inlineStr"/>
      <c r="N2464" t="inlineStr"/>
      <c r="O2464">
        <f>(1-Summary!$B$11)*S2464+Summary!$B$11*U2464</f>
        <v/>
      </c>
      <c r="P2464">
        <f>IF(B2490=0,0,O2464/B2490)</f>
        <v/>
      </c>
      <c r="Q2464">
        <f>IFERROR(1/(IF(Inputs!$B$39="pvp",15,MAX(0.1,Skills!D16-IF(Skills!E16=TRUE,Inputs!$B$33,0)))*(1-IF(AND(ArtifactsInput!$M$27,Inputs!$B$4="Chapter Hunt"),CHOOSE(ArtifactsInput!$N$27+1,20,24,28,32,36,40),0)/100)),0)</f>
        <v/>
      </c>
      <c r="R2464" t="n">
        <v>0</v>
      </c>
      <c r="S2464" t="n">
        <v>0</v>
      </c>
      <c r="U2464" t="n">
        <v>0</v>
      </c>
    </row>
    <row r="2465">
      <c r="A2465">
        <f>Skills!A17</f>
        <v/>
      </c>
      <c r="B2465">
        <f>Skills!B17</f>
        <v/>
      </c>
      <c r="C2465">
        <f>Inputs!$B$3&gt;=49</f>
        <v/>
      </c>
      <c r="D2465">
        <f>IF(Skills!C17=1,60+Inputs!$B$26+Inputs!$B$30,IF(Skills!C17=2,90+Inputs!$B$27+Inputs!$B$30,IF(Skills!C17=3,120+Inputs!$B$28+Inputs!$B$30,MAX(0,(Inputs!$B$3-100)*3)+Inputs!$B$29+Inputs!$B$30)))</f>
        <v/>
      </c>
      <c r="E2465">
        <f>INDEX(FactorTable!$B$2:$Y$301, MATCH(ROUND(MIN(300,MAX(1,D2465)),0), FactorTable!$A$2:$A$301,0), Skills!L17+1)</f>
        <v/>
      </c>
      <c r="F2465">
        <f>IF(Skills!M17=TRUE,(Skills!K17/10)*(E2465/1000),Skills!K17/10)+Skills!N17</f>
        <v/>
      </c>
      <c r="G2465">
        <f>Calc!G17</f>
        <v/>
      </c>
      <c r="H2465">
        <f>Calc!H17</f>
        <v/>
      </c>
      <c r="I2465">
        <f>IF(Skills!T17&lt;&gt;"",1+(Skills!T17/10)*($Z$3/1000)/100,1)</f>
        <v/>
      </c>
      <c r="J2465" t="inlineStr"/>
      <c r="K2465" t="inlineStr"/>
      <c r="L2465" t="inlineStr"/>
      <c r="M2465" t="inlineStr"/>
      <c r="N2465" t="inlineStr"/>
      <c r="O2465">
        <f>(1-Summary!$B$11)*S2465+Summary!$B$11*U2465</f>
        <v/>
      </c>
      <c r="P2465">
        <f>IF(B2490=0,0,O2465/B2490)</f>
        <v/>
      </c>
      <c r="Q2465">
        <f>IFERROR(1/(IF(Inputs!$B$39="pvp",15,MAX(0.1,Skills!D17-IF(Skills!E17=TRUE,Inputs!$B$33,0)))*(1-IF(AND(ArtifactsInput!$M$27,Inputs!$B$4="Chapter Hunt"),CHOOSE(ArtifactsInput!$N$27+1,20,24,28,32,36,40),0)/100)),0)</f>
        <v/>
      </c>
      <c r="R2465" t="n">
        <v>0</v>
      </c>
      <c r="S2465" t="n">
        <v>0</v>
      </c>
      <c r="U2465" t="n">
        <v>0</v>
      </c>
    </row>
    <row r="2466">
      <c r="A2466">
        <f>Skills!A18</f>
        <v/>
      </c>
      <c r="B2466">
        <f>Skills!B18</f>
        <v/>
      </c>
      <c r="C2466">
        <f>Inputs!$B$3&gt;=75</f>
        <v/>
      </c>
      <c r="D2466">
        <f>IF(Skills!C18=1,60+Inputs!$B$26+Inputs!$B$30,IF(Skills!C18=2,90+Inputs!$B$27+Inputs!$B$30,IF(Skills!C18=3,120+Inputs!$B$28+Inputs!$B$30,MAX(0,(Inputs!$B$3-100)*3)+Inputs!$B$29+Inputs!$B$30)))</f>
        <v/>
      </c>
      <c r="E2466">
        <f>INDEX(FactorTable!$B$2:$Y$301, MATCH(ROUND(MIN(300,MAX(1,D2466)),0), FactorTable!$A$2:$A$301,0), Skills!L18+1)</f>
        <v/>
      </c>
      <c r="F2466">
        <f>IF(Skills!M18=TRUE,(Skills!K18/10)*(E2466/1000),Skills!K18/10)+Skills!N18</f>
        <v/>
      </c>
      <c r="G2466">
        <f>Calc!G18</f>
        <v/>
      </c>
      <c r="H2466">
        <f>Calc!H18</f>
        <v/>
      </c>
      <c r="I2466">
        <f>IF(Skills!T18&lt;&gt;"",1+(Skills!T18/10)*($Z$3/1000)/100,1)</f>
        <v/>
      </c>
      <c r="J2466" t="inlineStr"/>
      <c r="K2466" t="inlineStr"/>
      <c r="L2466" t="inlineStr"/>
      <c r="M2466" t="inlineStr"/>
      <c r="N2466" t="inlineStr"/>
      <c r="O2466">
        <f>(1-Summary!$B$11)*S2466+Summary!$B$11*U2466</f>
        <v/>
      </c>
      <c r="P2466">
        <f>IF(B2490=0,0,O2466/B2490)</f>
        <v/>
      </c>
      <c r="Q2466">
        <f>IFERROR(1/(IF(Inputs!$B$39="pvp",15,MAX(0.1,Skills!D18-IF(Skills!E18=TRUE,Inputs!$B$33,0)))*(1-IF(AND(ArtifactsInput!$M$27,Inputs!$B$4="Chapter Hunt"),CHOOSE(ArtifactsInput!$N$27+1,20,24,28,32,36,40),0)/100)),0)</f>
        <v/>
      </c>
      <c r="R2466" t="n">
        <v>0</v>
      </c>
      <c r="S2466" t="n">
        <v>0</v>
      </c>
      <c r="U2466" t="n">
        <v>0</v>
      </c>
    </row>
    <row r="2467">
      <c r="A2467">
        <f>Skills!A19</f>
        <v/>
      </c>
      <c r="B2467">
        <f>Skills!B19</f>
        <v/>
      </c>
      <c r="C2467">
        <f>Inputs!$B$3&gt;=110</f>
        <v/>
      </c>
      <c r="D2467">
        <f>IF(Skills!C19=1,60+Inputs!$B$26+Inputs!$B$30,IF(Skills!C19=2,90+Inputs!$B$27+Inputs!$B$30,IF(Skills!C19=3,120+Inputs!$B$28+Inputs!$B$30,MAX(0,(Inputs!$B$3-100)*3)+Inputs!$B$29+Inputs!$B$30)))</f>
        <v/>
      </c>
      <c r="E2467">
        <f>INDEX(FactorTable!$B$2:$Y$301, MATCH(ROUND(MIN(300,MAX(1,D2467)),0), FactorTable!$A$2:$A$301,0), Skills!L19+1)</f>
        <v/>
      </c>
      <c r="F2467">
        <f>(Skills!K19/10)*(E2467/1000)*64/45+Skills!N19</f>
        <v/>
      </c>
      <c r="G2467">
        <f>Calc!G19</f>
        <v/>
      </c>
      <c r="H2467">
        <f>Calc!H19</f>
        <v/>
      </c>
      <c r="I2467">
        <f>IF(Skills!T19&lt;&gt;"",1+(Skills!T19/10)*($Z$3/1000)/100,1)</f>
        <v/>
      </c>
      <c r="J2467" t="inlineStr"/>
      <c r="K2467" t="inlineStr"/>
      <c r="L2467" t="inlineStr"/>
      <c r="M2467" t="inlineStr"/>
      <c r="N2467" t="inlineStr"/>
      <c r="O2467">
        <f>(1-Summary!$B$11)*S2467+Summary!$B$11*U2467</f>
        <v/>
      </c>
      <c r="P2467">
        <f>IF(B2490=0,0,O2467/B2490)</f>
        <v/>
      </c>
      <c r="Q2467">
        <f>IFERROR(1/(IF(Inputs!$B$39="pvp",15,MAX(0.1,Skills!D19-IF(Skills!E19=TRUE,Inputs!$B$33,0)))*(1-IF(AND(ArtifactsInput!$M$27,Inputs!$B$4="Chapter Hunt"),CHOOSE(ArtifactsInput!$N$27+1,20,24,28,32,36,40),0)/100)),0)</f>
        <v/>
      </c>
      <c r="R2467">
        <f>IF(AND(Inputs!$B$39&lt;&gt;"pvp",Inputs!$B$44&gt;0),IF(Inputs!$B$44&lt;=0,0,(INT(Inputs!$B$44/(IF(Inputs!$B$39="pvp",15,MAX(0.1,Skills!D19-IF(Skills!E19=TRUE,Inputs!$B$33,0)))*(1-IF(AND(ArtifactsInput!$M$27,Inputs!$B$4="Chapter Hunt"),CHOOSE(ArtifactsInput!$N$27+1,20,24,28,32,36,40),0)/100)))+1)),0)</f>
        <v/>
      </c>
      <c r="S2467" t="n">
        <v>0</v>
      </c>
      <c r="U2467" t="n">
        <v>0</v>
      </c>
    </row>
    <row r="2468">
      <c r="A2468">
        <f>Skills!A20</f>
        <v/>
      </c>
      <c r="B2468">
        <f>Skills!B20</f>
        <v/>
      </c>
      <c r="C2468">
        <f>Inputs!$B$3&gt;=125</f>
        <v/>
      </c>
      <c r="D2468">
        <f>IF(Skills!C20=1,60+Inputs!$B$26+Inputs!$B$30,IF(Skills!C20=2,90+Inputs!$B$27+Inputs!$B$30,IF(Skills!C20=3,120+Inputs!$B$28+Inputs!$B$30,MAX(0,(Inputs!$B$3-100)*3)+Inputs!$B$29+Inputs!$B$30)))</f>
        <v/>
      </c>
      <c r="E2468">
        <f>INDEX(FactorTable!$B$2:$Y$301, MATCH(ROUND(MIN(300,MAX(1,D2468)),0), FactorTable!$A$2:$A$301,0), Skills!L20+1)</f>
        <v/>
      </c>
      <c r="F2468">
        <f>IF(Skills!M20=TRUE,(Skills!K20/10)*(E2468/1000),Skills!K20/10)+Skills!N20</f>
        <v/>
      </c>
      <c r="G2468">
        <f>Calc!G20</f>
        <v/>
      </c>
      <c r="H2468">
        <f>Calc!H20</f>
        <v/>
      </c>
      <c r="I2468">
        <f>IF(Skills!T20&lt;&gt;"",1+(Skills!T20/10)*($Z$3/1000)/100,1)</f>
        <v/>
      </c>
      <c r="J2468" t="inlineStr"/>
      <c r="K2468" t="inlineStr"/>
      <c r="L2468" t="inlineStr"/>
      <c r="M2468" t="inlineStr"/>
      <c r="N2468" t="inlineStr"/>
      <c r="O2468">
        <f>(1-Summary!$B$11)*S2468+Summary!$B$11*U2468</f>
        <v/>
      </c>
      <c r="P2468">
        <f>IF(B2490=0,0,O2468/B2490)</f>
        <v/>
      </c>
      <c r="Q2468">
        <f>IFERROR(1/(IF(Inputs!$B$39="pvp",15,MAX(0.1,Skills!D20-IF(Skills!E20=TRUE,Inputs!$B$33,0)))*(1-IF(AND(ArtifactsInput!$M$27,Inputs!$B$4="Chapter Hunt"),CHOOSE(ArtifactsInput!$N$27+1,20,24,28,32,36,40),0)/100)),0)</f>
        <v/>
      </c>
      <c r="R2468" t="n">
        <v>0</v>
      </c>
      <c r="S2468" t="n">
        <v>0</v>
      </c>
      <c r="U2468" t="n">
        <v>0</v>
      </c>
    </row>
    <row r="2469">
      <c r="A2469">
        <f>Skills!A21</f>
        <v/>
      </c>
      <c r="B2469">
        <f>Skills!B21</f>
        <v/>
      </c>
      <c r="C2469">
        <f>Inputs!$B$3&gt;=33</f>
        <v/>
      </c>
      <c r="D2469">
        <f>IF(Skills!C21=1,60+Inputs!$B$26+Inputs!$B$30,IF(Skills!C21=2,90+Inputs!$B$27+Inputs!$B$30,IF(Skills!C21=3,120+Inputs!$B$28+Inputs!$B$30,MAX(0,(Inputs!$B$3-100)*3)+Inputs!$B$29+Inputs!$B$30)))</f>
        <v/>
      </c>
      <c r="E2469">
        <f>INDEX(FactorTable!$B$2:$Y$301, MATCH(ROUND(MIN(300,MAX(1,D2469)),0), FactorTable!$A$2:$A$301,0), Skills!L21+1)</f>
        <v/>
      </c>
      <c r="F2469">
        <f>IF(Skills!M21=TRUE,(Skills!K21/10)*(E2469/1000),Skills!K21/10)+Skills!N21</f>
        <v/>
      </c>
      <c r="G2469">
        <f>Calc!G21</f>
        <v/>
      </c>
      <c r="H2469">
        <f>Calc!H21</f>
        <v/>
      </c>
      <c r="I2469">
        <f>IF(Skills!T21&lt;&gt;"",1+(Skills!T21/10)*($Z$3/1000)/100,1)</f>
        <v/>
      </c>
      <c r="J2469" t="inlineStr"/>
      <c r="K2469" t="inlineStr"/>
      <c r="L2469" t="inlineStr"/>
      <c r="M2469" t="inlineStr"/>
      <c r="N2469" t="inlineStr"/>
      <c r="O2469">
        <f>(1-Summary!$B$11)*S2469+Summary!$B$11*U2469</f>
        <v/>
      </c>
      <c r="P2469">
        <f>IF(B2490=0,0,O2469/B2490)</f>
        <v/>
      </c>
      <c r="Q2469">
        <f>IFERROR(1/(IF(Inputs!$B$39="pvp",15,MAX(0.1,Skills!D21-IF(Skills!E21=TRUE,Inputs!$B$33,0)))*(1-IF(AND(ArtifactsInput!$M$27,Inputs!$B$4="Chapter Hunt"),CHOOSE(ArtifactsInput!$N$27+1,20,24,28,32,36,40),0)/100)),0)</f>
        <v/>
      </c>
      <c r="R2469" t="n">
        <v>0</v>
      </c>
      <c r="S2469" t="n">
        <v>0</v>
      </c>
      <c r="U2469" t="n">
        <v>0</v>
      </c>
    </row>
    <row r="2470">
      <c r="A2470">
        <f>Skills!A22</f>
        <v/>
      </c>
      <c r="B2470">
        <f>Skills!B22</f>
        <v/>
      </c>
      <c r="C2470">
        <f>Inputs!$B$3&gt;=43</f>
        <v/>
      </c>
      <c r="D2470">
        <f>IF(Skills!C22=1,60+Inputs!$B$26+Inputs!$B$30,IF(Skills!C22=2,90+Inputs!$B$27+Inputs!$B$30,IF(Skills!C22=3,120+Inputs!$B$28+Inputs!$B$30,MAX(0,(Inputs!$B$3-100)*3)+Inputs!$B$29+Inputs!$B$30)))</f>
        <v/>
      </c>
      <c r="E2470">
        <f>INDEX(FactorTable!$B$2:$Y$301, MATCH(ROUND(MIN(300,MAX(1,D2470)),0), FactorTable!$A$2:$A$301,0), Skills!L22+1)</f>
        <v/>
      </c>
      <c r="F2470">
        <f>IF(Skills!M22=TRUE,(Skills!K22/10)*(E2470/1000),Skills!K22/10)+Skills!N22</f>
        <v/>
      </c>
      <c r="G2470">
        <f>Calc!G22</f>
        <v/>
      </c>
      <c r="H2470">
        <f>Calc!H22</f>
        <v/>
      </c>
      <c r="I2470">
        <f>IF(Skills!T22&lt;&gt;"",1+(Skills!T22/10)*($Z$3/1000)/100,1)</f>
        <v/>
      </c>
      <c r="J2470" t="inlineStr"/>
      <c r="K2470" t="inlineStr"/>
      <c r="L2470" t="inlineStr"/>
      <c r="M2470" t="inlineStr"/>
      <c r="N2470" t="inlineStr"/>
      <c r="O2470">
        <f>(1-Summary!$B$11)*S2470+Summary!$B$11*U2470</f>
        <v/>
      </c>
      <c r="P2470">
        <f>IF(B2490=0,0,O2470/B2490)</f>
        <v/>
      </c>
      <c r="Q2470">
        <f>IFERROR(1/(IF(Inputs!$B$39="pvp",15,MAX(0.1,Skills!D22-IF(Skills!E22=TRUE,Inputs!$B$33,0)))*(1-IF(AND(ArtifactsInput!$M$27,Inputs!$B$4="Chapter Hunt"),CHOOSE(ArtifactsInput!$N$27+1,20,24,28,32,36,40),0)/100)),0)</f>
        <v/>
      </c>
      <c r="R2470" t="n">
        <v>0</v>
      </c>
      <c r="S2470" t="n">
        <v>0</v>
      </c>
      <c r="U2470" t="n">
        <v>0</v>
      </c>
    </row>
    <row r="2471">
      <c r="A2471">
        <f>Skills!A23</f>
        <v/>
      </c>
      <c r="B2471">
        <f>Skills!B23</f>
        <v/>
      </c>
      <c r="C2471">
        <f>Inputs!$B$3&gt;=50</f>
        <v/>
      </c>
      <c r="D2471">
        <f>IF(Skills!C23=1,60+Inputs!$B$26+Inputs!$B$30,IF(Skills!C23=2,90+Inputs!$B$27+Inputs!$B$30,IF(Skills!C23=3,120+Inputs!$B$28+Inputs!$B$30,MAX(0,(Inputs!$B$3-100)*3)+Inputs!$B$29+Inputs!$B$30)))</f>
        <v/>
      </c>
      <c r="E2471">
        <f>INDEX(FactorTable!$B$2:$Y$301, MATCH(ROUND(MIN(300,MAX(1,D2471)),0), FactorTable!$A$2:$A$301,0), Skills!L23+1)</f>
        <v/>
      </c>
      <c r="F2471">
        <f>IF(Skills!M23=TRUE,(Skills!K23/10)*(E2471/1000),Skills!K23/10)+Skills!N23</f>
        <v/>
      </c>
      <c r="G2471">
        <f>Calc!G23</f>
        <v/>
      </c>
      <c r="H2471">
        <f>Calc!H23</f>
        <v/>
      </c>
      <c r="I2471">
        <f>IF(Skills!T23&lt;&gt;"",1+(Skills!T23/10)*($Z$3/1000)/100,1)</f>
        <v/>
      </c>
      <c r="J2471" t="inlineStr"/>
      <c r="K2471" t="inlineStr"/>
      <c r="L2471" t="inlineStr"/>
      <c r="M2471" t="inlineStr"/>
      <c r="N2471" t="inlineStr"/>
      <c r="O2471">
        <f>(1-Summary!$B$11)*S2471+Summary!$B$11*U2471</f>
        <v/>
      </c>
      <c r="P2471">
        <f>IF(B2490=0,0,O2471/B2490)</f>
        <v/>
      </c>
      <c r="Q2471">
        <f>IFERROR(1/(IF(Inputs!$B$39="pvp",15,MAX(0.1,Skills!D23-IF(Skills!E23=TRUE,Inputs!$B$33,0)))*(1-IF(AND(ArtifactsInput!$M$27,Inputs!$B$4="Chapter Hunt"),CHOOSE(ArtifactsInput!$N$27+1,20,24,28,32,36,40),0)/100)),0)</f>
        <v/>
      </c>
      <c r="R2471" t="n">
        <v>0</v>
      </c>
      <c r="S2471" t="n">
        <v>0</v>
      </c>
      <c r="U2471" t="n">
        <v>0</v>
      </c>
    </row>
    <row r="2472">
      <c r="A2472">
        <f>Skills!A24</f>
        <v/>
      </c>
      <c r="B2472">
        <f>Skills!B24</f>
        <v/>
      </c>
      <c r="C2472">
        <f>Inputs!$B$3&gt;=74</f>
        <v/>
      </c>
      <c r="D2472">
        <f>IF(Skills!C24=1,60+Inputs!$B$26+Inputs!$B$30,IF(Skills!C24=2,90+Inputs!$B$27+Inputs!$B$30,IF(Skills!C24=3,120+Inputs!$B$28+Inputs!$B$30,MAX(0,(Inputs!$B$3-100)*3)+Inputs!$B$29+Inputs!$B$30)))</f>
        <v/>
      </c>
      <c r="E2472">
        <f>INDEX(FactorTable!$B$2:$Y$301, MATCH(ROUND(MIN(300,MAX(1,D2472)),0), FactorTable!$A$2:$A$301,0), Skills!L24+1)</f>
        <v/>
      </c>
      <c r="F2472">
        <f>IF(Skills!M24=TRUE,(Skills!K24/10)*(E2472/1000),Skills!K24/10)+Skills!N24</f>
        <v/>
      </c>
      <c r="G2472">
        <f>Calc!G24</f>
        <v/>
      </c>
      <c r="H2472">
        <f>Calc!H24</f>
        <v/>
      </c>
      <c r="I2472">
        <f>IF(Skills!T24&lt;&gt;"",1+(Skills!T24/10)*($Z$3/1000)/100,1)</f>
        <v/>
      </c>
      <c r="J2472" t="inlineStr"/>
      <c r="K2472" t="inlineStr"/>
      <c r="L2472" t="inlineStr"/>
      <c r="M2472" t="inlineStr"/>
      <c r="N2472" t="inlineStr"/>
      <c r="O2472">
        <f>(1-Summary!$B$11)*S2472+Summary!$B$11*U2472</f>
        <v/>
      </c>
      <c r="P2472">
        <f>IF(B2490=0,0,O2472/B2490)</f>
        <v/>
      </c>
      <c r="Q2472">
        <f>IFERROR(1/(IF(Inputs!$B$39="pvp",15,MAX(0.1,Skills!D24-IF(Skills!E24=TRUE,Inputs!$B$33,0)))*(1-IF(AND(ArtifactsInput!$M$27,Inputs!$B$4="Chapter Hunt"),CHOOSE(ArtifactsInput!$N$27+1,20,24,28,32,36,40),0)/100)),0)</f>
        <v/>
      </c>
      <c r="R2472" t="n">
        <v>0</v>
      </c>
      <c r="S2472" t="n">
        <v>0</v>
      </c>
      <c r="U2472" t="n">
        <v>0</v>
      </c>
    </row>
    <row r="2473">
      <c r="A2473">
        <f>Skills!A25</f>
        <v/>
      </c>
      <c r="B2473">
        <f>Skills!B25</f>
        <v/>
      </c>
      <c r="C2473">
        <f>Inputs!$B$3&gt;=74</f>
        <v/>
      </c>
      <c r="D2473">
        <f>IF(Skills!C25=1,60+Inputs!$B$26+Inputs!$B$30,IF(Skills!C25=2,90+Inputs!$B$27+Inputs!$B$30,IF(Skills!C25=3,120+Inputs!$B$28+Inputs!$B$30,MAX(0,(Inputs!$B$3-100)*3)+Inputs!$B$29+Inputs!$B$30)))</f>
        <v/>
      </c>
      <c r="E2473">
        <f>INDEX(FactorTable!$B$2:$Y$301, MATCH(ROUND(MIN(300,MAX(1,D2473)),0), FactorTable!$A$2:$A$301,0), Skills!L25+1)</f>
        <v/>
      </c>
      <c r="F2473">
        <f>IF(Skills!M25=TRUE,(Skills!K25/10)*(E2473/1000),Skills!K25/10)+Skills!N25</f>
        <v/>
      </c>
      <c r="G2473">
        <f>Calc!G25</f>
        <v/>
      </c>
      <c r="H2473">
        <f>Calc!H25</f>
        <v/>
      </c>
      <c r="I2473">
        <f>IF(Skills!T25&lt;&gt;"",1+(Skills!T25/10)*($Z$3/1000)/100,1)</f>
        <v/>
      </c>
      <c r="J2473" t="inlineStr"/>
      <c r="K2473" t="inlineStr"/>
      <c r="L2473" t="inlineStr"/>
      <c r="M2473" t="inlineStr"/>
      <c r="N2473" t="inlineStr"/>
      <c r="O2473">
        <f>(1-Summary!$B$11)*S2473+Summary!$B$11*U2473</f>
        <v/>
      </c>
      <c r="P2473">
        <f>IF(B2490=0,0,O2473/B2490)</f>
        <v/>
      </c>
      <c r="Q2473">
        <f>IFERROR(1/(IF(Inputs!$B$39="pvp",15,MAX(0.1,Skills!D25-IF(Skills!E25=TRUE,Inputs!$B$33,0)))*(1-IF(AND(ArtifactsInput!$M$27,Inputs!$B$4="Chapter Hunt"),CHOOSE(ArtifactsInput!$N$27+1,20,24,28,32,36,40),0)/100)),0)</f>
        <v/>
      </c>
      <c r="R2473" t="n">
        <v>0</v>
      </c>
      <c r="S2473" t="n">
        <v>0</v>
      </c>
      <c r="U2473" t="n">
        <v>0</v>
      </c>
    </row>
    <row r="2474">
      <c r="A2474">
        <f>Skills!A26</f>
        <v/>
      </c>
      <c r="B2474">
        <f>Skills!B26</f>
        <v/>
      </c>
      <c r="C2474">
        <f>Inputs!$B$3&gt;=117</f>
        <v/>
      </c>
      <c r="D2474">
        <f>IF(Skills!C26=1,60+Inputs!$B$26+Inputs!$B$30,IF(Skills!C26=2,90+Inputs!$B$27+Inputs!$B$30,IF(Skills!C26=3,120+Inputs!$B$28+Inputs!$B$30,MAX(0,(Inputs!$B$3-100)*3)+Inputs!$B$29+Inputs!$B$30)))</f>
        <v/>
      </c>
      <c r="E2474">
        <f>INDEX(FactorTable!$B$2:$Y$301, MATCH(ROUND(MIN(300,MAX(1,D2474)),0), FactorTable!$A$2:$A$301,0), Skills!L26+1)</f>
        <v/>
      </c>
      <c r="F2474">
        <f>IF(Skills!M26=TRUE,(Skills!K26/10)*(E2474/1000),Skills!K26/10)+Skills!N26</f>
        <v/>
      </c>
      <c r="G2474">
        <f>Calc!G26</f>
        <v/>
      </c>
      <c r="H2474">
        <f>Calc!H26</f>
        <v/>
      </c>
      <c r="I2474">
        <f>IF(Skills!T26&lt;&gt;"",1+(Skills!T26/10)*($Z$3/1000)/100,1)</f>
        <v/>
      </c>
      <c r="J2474" t="inlineStr"/>
      <c r="K2474" t="inlineStr"/>
      <c r="L2474" t="inlineStr"/>
      <c r="M2474" t="inlineStr"/>
      <c r="N2474" t="inlineStr"/>
      <c r="O2474">
        <f>(1-Summary!$B$11)*S2474+Summary!$B$11*U2474</f>
        <v/>
      </c>
      <c r="P2474">
        <f>IF(B2490=0,0,O2474/B2490)</f>
        <v/>
      </c>
      <c r="Q2474">
        <f>IFERROR(1/(IF(Inputs!$B$39="pvp",15,MAX(0.1,Skills!D26-IF(Skills!E26=TRUE,Inputs!$B$33,0)))*(1-IF(AND(ArtifactsInput!$M$27,Inputs!$B$4="Chapter Hunt"),CHOOSE(ArtifactsInput!$N$27+1,20,24,28,32,36,40),0)/100)),0)</f>
        <v/>
      </c>
      <c r="R2474" t="n">
        <v>0</v>
      </c>
      <c r="S2474" t="n">
        <v>0</v>
      </c>
      <c r="U2474" t="n">
        <v>0</v>
      </c>
    </row>
    <row r="2475">
      <c r="A2475">
        <f>Skills!A27</f>
        <v/>
      </c>
      <c r="B2475">
        <f>Skills!B27</f>
        <v/>
      </c>
      <c r="C2475">
        <f>Inputs!$B$3&gt;=120</f>
        <v/>
      </c>
      <c r="D2475">
        <f>IF(Skills!C27=1,60+Inputs!$B$26+Inputs!$B$30,IF(Skills!C27=2,90+Inputs!$B$27+Inputs!$B$30,IF(Skills!C27=3,120+Inputs!$B$28+Inputs!$B$30,MAX(0,(Inputs!$B$3-100)*3)+Inputs!$B$29+Inputs!$B$30)))</f>
        <v/>
      </c>
      <c r="E2475">
        <f>INDEX(FactorTable!$B$2:$Y$301, MATCH(ROUND(MIN(300,MAX(1,D2475)),0), FactorTable!$A$2:$A$301,0), Skills!L27+1)</f>
        <v/>
      </c>
      <c r="F2475">
        <f>IF(Skills!M27=TRUE,(Skills!K27/10)*(E2475/1000),Skills!K27/10)+Skills!N27</f>
        <v/>
      </c>
      <c r="G2475">
        <f>Calc!G27</f>
        <v/>
      </c>
      <c r="H2475">
        <f>Calc!H27</f>
        <v/>
      </c>
      <c r="I2475">
        <f>IF(Skills!T27&lt;&gt;"",1+(Skills!T27/10)*($Z$3/1000)/100,1)</f>
        <v/>
      </c>
      <c r="J2475" t="inlineStr"/>
      <c r="K2475" t="inlineStr"/>
      <c r="L2475" t="inlineStr"/>
      <c r="M2475" t="inlineStr"/>
      <c r="N2475" t="inlineStr"/>
      <c r="O2475">
        <f>(1-Summary!$B$11)*S2475+Summary!$B$11*U2475</f>
        <v/>
      </c>
      <c r="P2475">
        <f>IF(B2490=0,0,O2475/B2490)</f>
        <v/>
      </c>
      <c r="Q2475">
        <f>IFERROR(1/(IF(Inputs!$B$39="pvp",15,MAX(0.1,Skills!D27-IF(Skills!E27=TRUE,Inputs!$B$33,0)))*(1-IF(AND(ArtifactsInput!$M$27,Inputs!$B$4="Chapter Hunt"),CHOOSE(ArtifactsInput!$N$27+1,20,24,28,32,36,40),0)/100)),0)</f>
        <v/>
      </c>
      <c r="R2475" t="n">
        <v>0</v>
      </c>
      <c r="S2475" t="n">
        <v>0</v>
      </c>
      <c r="U2475" t="n">
        <v>0</v>
      </c>
    </row>
    <row r="2477">
      <c r="A2477" t="inlineStr">
        <is>
          <t>Average Buff Multiplier</t>
        </is>
      </c>
      <c r="B2477">
        <f>(1+(IF(C2451=TRUE,F2451*IF(AND(Inputs!$B$39&lt;&gt;"pvp",Inputs!$B$44&gt;0),(((R2451-1)*(Skills!S3*(1+((Inputs!$B$35+(ArtifactsInput!$M$7-ArtifactsInput!$M$7)*CHOOSE(ArtifactsInput!$N$7+1,6,7.2,8.4,9.6,10.8,12))+IF(Inputs!$B$3&gt;=117,F2474,0))/100))+MIN((Skills!S3*(1+((Inputs!$B$35+(ArtifactsInput!$M$7-ArtifactsInput!$M$7)*CHOOSE(ArtifactsInput!$N$7+1,6,7.2,8.4,9.6,10.8,12))+IF(Inputs!$B$3&gt;=117,F2474,0))/100)),MAX(0,Inputs!$B$44-((R2451-1)*Skills!D3))))/Inputs!$B$44),IF(Inputs!$B$39="pvp",MIN((Skills!S3*(1+((Inputs!$B$35+(ArtifactsInput!$M$7-ArtifactsInput!$M$7)*CHOOSE(ArtifactsInput!$N$7+1,6,7.2,8.4,9.6,10.8,12))+IF(Inputs!$B$3&gt;=117,F2474,0))/100)),15)/15,(Skills!S3*(1+((Inputs!$B$35+(ArtifactsInput!$M$7-ArtifactsInput!$M$7)*CHOOSE(ArtifactsInput!$N$7+1,6,7.2,8.4,9.6,10.8,12))+IF(Inputs!$B$3&gt;=117,F2474,0))/100))/Skills!D3)),0)+IF(C2452=TRUE,F2452*IF(AND(Inputs!$B$39&lt;&gt;"pvp",Inputs!$B$44&gt;0),(((R2452-1)*(Skills!S4*(1+((Inputs!$B$35+(ArtifactsInput!$M$7-ArtifactsInput!$M$7)*CHOOSE(ArtifactsInput!$N$7+1,6,7.2,8.4,9.6,10.8,12))+IF(Inputs!$B$3&gt;=117,F2474,0))/100))+MIN((Skills!S4*(1+((Inputs!$B$35+(ArtifactsInput!$M$7-ArtifactsInput!$M$7)*CHOOSE(ArtifactsInput!$N$7+1,6,7.2,8.4,9.6,10.8,12))+IF(Inputs!$B$3&gt;=117,F2474,0))/100)),MAX(0,Inputs!$B$44-((R2452-1)*Skills!D4))))/Inputs!$B$44),IF(Inputs!$B$39="pvp",MIN((Skills!S4*(1+((Inputs!$B$35+(ArtifactsInput!$M$7-ArtifactsInput!$M$7)*CHOOSE(ArtifactsInput!$N$7+1,6,7.2,8.4,9.6,10.8,12))+IF(Inputs!$B$3&gt;=117,F2474,0))/100)),15)/15,(Skills!S4*(1+((Inputs!$B$35+(ArtifactsInput!$M$7-ArtifactsInput!$M$7)*CHOOSE(ArtifactsInput!$N$7+1,6,7.2,8.4,9.6,10.8,12))+IF(Inputs!$B$3&gt;=117,F2474,0))/100))/Skills!D4)),0)+IF(C2453=TRUE,F2453*IF(AND(Inputs!$B$39&lt;&gt;"pvp",Inputs!$B$44&gt;0),(((R2453-1)*(Skills!S5*(1+((Inputs!$B$35+(ArtifactsInput!$M$7-ArtifactsInput!$M$7)*CHOOSE(ArtifactsInput!$N$7+1,6,7.2,8.4,9.6,10.8,12))+IF(Inputs!$B$3&gt;=117,F2474,0))/100))+MIN((Skills!S5*(1+((Inputs!$B$35+(ArtifactsInput!$M$7-ArtifactsInput!$M$7)*CHOOSE(ArtifactsInput!$N$7+1,6,7.2,8.4,9.6,10.8,12))+IF(Inputs!$B$3&gt;=117,F2474,0))/100)),MAX(0,Inputs!$B$44-((R2453-1)*Skills!D5))))/Inputs!$B$44),IF(Inputs!$B$39="pvp",MIN((Skills!S5*(1+((Inputs!$B$35+(ArtifactsInput!$M$7-ArtifactsInput!$M$7)*CHOOSE(ArtifactsInput!$N$7+1,6,7.2,8.4,9.6,10.8,12))+IF(Inputs!$B$3&gt;=117,F2474,0))/100)),15)/15,(Skills!S5*(1+((Inputs!$B$35+(ArtifactsInput!$M$7-ArtifactsInput!$M$7)*CHOOSE(ArtifactsInput!$N$7+1,6,7.2,8.4,9.6,10.8,12))+IF(Inputs!$B$3&gt;=117,F2474,0))/100))/Skills!D5)),0)+IF(C2459=TRUE,F2459*IF(AND(Inputs!$B$39&lt;&gt;"pvp",Inputs!$B$44&gt;0),(((R2459-1)*(Skills!S11*(1+((Inputs!$B$35+(ArtifactsInput!$M$7-ArtifactsInput!$M$7)*CHOOSE(ArtifactsInput!$N$7+1,6,7.2,8.4,9.6,10.8,12))+IF(Inputs!$B$3&gt;=117,F2474,0))/100))+MIN((Skills!S11*(1+((Inputs!$B$35+(ArtifactsInput!$M$7-ArtifactsInput!$M$7)*CHOOSE(ArtifactsInput!$N$7+1,6,7.2,8.4,9.6,10.8,12))+IF(Inputs!$B$3&gt;=117,F2474,0))/100)),MAX(0,Inputs!$B$44-((R2459-1)*Skills!D11))))/Inputs!$B$44),IF(Inputs!$B$39="pvp",MIN((Skills!S11*(1+((Inputs!$B$35+(ArtifactsInput!$M$7-ArtifactsInput!$M$7)*CHOOSE(ArtifactsInput!$N$7+1,6,7.2,8.4,9.6,10.8,12))+IF(Inputs!$B$3&gt;=117,F2474,0))/100)),15)/15,(Skills!S11*(1+((Inputs!$B$35+(ArtifactsInput!$M$7-ArtifactsInput!$M$7)*CHOOSE(ArtifactsInput!$N$7+1,6,7.2,8.4,9.6,10.8,12))+IF(Inputs!$B$3&gt;=117,F2474,0)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2462=TRUE,(1+F2462*IF(AND(Inputs!$B$39&lt;&gt;"pvp",Inputs!$B$44&gt;0),(((R2462-1)*(Skills!S14*(1+((Inputs!$B$35+(ArtifactsInput!$M$7-ArtifactsInput!$M$7)*CHOOSE(ArtifactsInput!$N$7+1,6,7.2,8.4,9.6,10.8,12))+IF(Inputs!$B$3&gt;=117,F2474,0))/100))+MIN((Skills!S14*(1+((Inputs!$B$35+(ArtifactsInput!$M$7-ArtifactsInput!$M$7)*CHOOSE(ArtifactsInput!$N$7+1,6,7.2,8.4,9.6,10.8,12))+IF(Inputs!$B$3&gt;=117,F2474,0))/100)),MAX(0,Inputs!$B$44-((R2462-1)*Skills!D14))))/Inputs!$B$44),IF(Inputs!$B$39="pvp",MIN((Skills!S14*(1+((Inputs!$B$35+(ArtifactsInput!$M$7-ArtifactsInput!$M$7)*CHOOSE(ArtifactsInput!$N$7+1,6,7.2,8.4,9.6,10.8,12))+IF(Inputs!$B$3&gt;=117,F2474,0))/100)),15)/15,(Skills!S14*(1+((Inputs!$B$35+(ArtifactsInput!$M$7-ArtifactsInput!$M$7)*CHOOSE(ArtifactsInput!$N$7+1,6,7.2,8.4,9.6,10.8,12))+IF(Inputs!$B$3&gt;=117,F2474,0))/100))/Skills!D14))/100),1)*IF(C2467=TRUE,(1+F2467*IF(AND(Inputs!$B$39&lt;&gt;"pvp",Inputs!$B$44&gt;0),(((R2467-1)*(Skills!S19*(1+((Inputs!$B$35+(ArtifactsInput!$M$7-ArtifactsInput!$M$7)*CHOOSE(ArtifactsInput!$N$7+1,6,7.2,8.4,9.6,10.8,12))+IF(Inputs!$B$3&gt;=117,F2474,0))/100))+MIN((Skills!S19*(1+((Inputs!$B$35+(ArtifactsInput!$M$7-ArtifactsInput!$M$7)*CHOOSE(ArtifactsInput!$N$7+1,6,7.2,8.4,9.6,10.8,12))+IF(Inputs!$B$3&gt;=117,F2474,0))/100)),MAX(0,Inputs!$B$44-((R2467-1)*Skills!D19))))/Inputs!$B$44),IF(Inputs!$B$39="pvp",MIN((Skills!S19*(1+((Inputs!$B$35+(ArtifactsInput!$M$7-ArtifactsInput!$M$7)*CHOOSE(ArtifactsInput!$N$7+1,6,7.2,8.4,9.6,10.8,12))+IF(Inputs!$B$3&gt;=117,F2474,0))/100)),15)/15,(Skills!S19*(1+((Inputs!$B$35+(ArtifactsInput!$M$7-ArtifactsInput!$M$7)*CHOOSE(ArtifactsInput!$N$7+1,6,7.2,8.4,9.6,10.8,12))+IF(Inputs!$B$3&gt;=117,F2474,0))/100))/Skills!D19))/100),1)</f>
        <v/>
      </c>
    </row>
    <row r="2478">
      <c r="A2478" t="inlineStr">
        <is>
          <t>Monster Damage Taken Bonus % (Holy Fountain)</t>
        </is>
      </c>
      <c r="B2478">
        <f>IF(Inputs!$B$3&gt;=68,20*IF(Inputs!$B$39="pvp",MIN((15*(1+((Inputs!$B$35+(ArtifactsInput!$M$7-ArtifactsInput!$M$7)*CHOOSE(ArtifactsInput!$N$7+1,6,7.2,8.4,9.6,10.8,12))+IF(Inputs!$B$3&gt;=117,F2474,0))/100)),15)/15,(15*(1+((Inputs!$B$35+(ArtifactsInput!$M$7-ArtifactsInput!$M$7)*CHOOSE(ArtifactsInput!$N$7+1,6,7.2,8.4,9.6,10.8,12))+IF(Inputs!$B$3&gt;=117,F2474,0))/100))/Skills!D10),0)</f>
        <v/>
      </c>
    </row>
    <row r="2479">
      <c r="A2479" t="inlineStr">
        <is>
          <t>Normal Monster Damage Bonus % (Holy Symbol)</t>
        </is>
      </c>
      <c r="B2479">
        <f>IF(C2460=TRUE,F2460*IF(AND(Inputs!$B$39&lt;&gt;"pvp",Inputs!$B$44&gt;0),(((R2460-1)*(Skills!S12*(1+((Inputs!$B$35+(ArtifactsInput!$M$7-ArtifactsInput!$M$7)*CHOOSE(ArtifactsInput!$N$7+1,6,7.2,8.4,9.6,10.8,12))+IF(Inputs!$B$3&gt;=117,F2474,0))/100))+MIN((Skills!S12*(1+((Inputs!$B$35+(ArtifactsInput!$M$7-ArtifactsInput!$M$7)*CHOOSE(ArtifactsInput!$N$7+1,6,7.2,8.4,9.6,10.8,12))+IF(Inputs!$B$3&gt;=117,F2474,0))/100)),MAX(0,Inputs!$B$44-((R2460-1)*Skills!D12))))/Inputs!$B$44),IF(Inputs!$B$39="pvp",MIN((Skills!S12*(1+((Inputs!$B$35+(ArtifactsInput!$M$7-ArtifactsInput!$M$7)*CHOOSE(ArtifactsInput!$N$7+1,6,7.2,8.4,9.6,10.8,12))+IF(Inputs!$B$3&gt;=117,F2474,0))/100)),15)/15,(Skills!S12*(1+((Inputs!$B$35+(ArtifactsInput!$M$7-ArtifactsInput!$M$7)*CHOOSE(ArtifactsInput!$N$7+1,6,7.2,8.4,9.6,10.8,12))+IF(Inputs!$B$3&gt;=117,F2474,0))/100))/Skills!D12)),0)</f>
        <v/>
      </c>
    </row>
    <row r="2480">
      <c r="A2480" t="inlineStr">
        <is>
          <t>Damage % Bonus (Holy Symbol - Damage Boost)</t>
        </is>
      </c>
      <c r="B2480">
        <f>Skills!O12</f>
        <v/>
      </c>
    </row>
    <row r="2481">
      <c r="A2481" t="inlineStr">
        <is>
          <t>Crit Damage % Bonus (Blood of the Divine)</t>
        </is>
      </c>
      <c r="B2481">
        <f>4*IF(C2468=TRUE,F2468,0)</f>
        <v/>
      </c>
    </row>
    <row r="2482">
      <c r="A2482" t="inlineStr">
        <is>
          <t>Attack Speed Bonus %</t>
        </is>
      </c>
      <c r="B2482">
        <f>IF(C2465=TRUE,F2465+(F2469-Calc!F21),0)+IF(Inputs!$B$3&gt;=134,15,0)</f>
        <v/>
      </c>
    </row>
    <row r="2483">
      <c r="A2483" t="inlineStr">
        <is>
          <t>Actions Per Second</t>
        </is>
      </c>
      <c r="B2483">
        <f>1+MIN(150,150*(1-(1-Inputs!$B$12/150)*(1-B2482/150)))/100</f>
        <v/>
      </c>
    </row>
    <row r="2484">
      <c r="A2484" t="inlineStr">
        <is>
          <t>Skill + Buff Cast Rate</t>
        </is>
      </c>
      <c r="B2484">
        <f>IF(AND(Inputs!$B$39&lt;&gt;"pvp",Inputs!$B$44&gt;0),SUMPRODUCT((Skills!E2:E27=TRUE)*(C2450:C2475=TRUE)*R2450:R2475)/Inputs!$B$44,SUMPRODUCT((Skills!E2:E27=TRUE)*(C2450:C2475=TRUE)*Q2450:Q2475))</f>
        <v/>
      </c>
    </row>
    <row r="2485">
      <c r="A2485" t="inlineStr">
        <is>
          <t>Big Bang Casts Per Second</t>
        </is>
      </c>
      <c r="B2485">
        <f>MAX(0,B2483-B2484)</f>
        <v/>
      </c>
    </row>
    <row r="2486">
      <c r="A2486" t="inlineStr">
        <is>
          <t>Defense % Bonus (Divine Protection)</t>
        </is>
      </c>
      <c r="B2486">
        <f>IF(C2461=TRUE,F2461*IF(AND(Inputs!$B$39&lt;&gt;"pvp",Inputs!$B$44&gt;0),(((R2461-1)*(Skills!S13*(1+((Inputs!$B$35+(ArtifactsInput!$M$7-ArtifactsInput!$M$7)*CHOOSE(ArtifactsInput!$N$7+1,6,7.2,8.4,9.6,10.8,12))+IF(Inputs!$B$3&gt;=117,F2474,0))/100))+MIN((Skills!S13*(1+((Inputs!$B$35+(ArtifactsInput!$M$7-ArtifactsInput!$M$7)*CHOOSE(ArtifactsInput!$N$7+1,6,7.2,8.4,9.6,10.8,12))+IF(Inputs!$B$3&gt;=117,F2474,0))/100)),MAX(0,Inputs!$B$44-((R2461-1)*Skills!D13))))/Inputs!$B$44),IF(Inputs!$B$39="pvp",MIN((Skills!S13*(1+((Inputs!$B$35+(ArtifactsInput!$M$7-ArtifactsInput!$M$7)*CHOOSE(ArtifactsInput!$N$7+1,6,7.2,8.4,9.6,10.8,12))+IF(Inputs!$B$3&gt;=117,F2474,0))/100)),15)/15,(Skills!S13*(1+((Inputs!$B$35+(ArtifactsInput!$M$7-ArtifactsInput!$M$7)*CHOOSE(ArtifactsInput!$N$7+1,6,7.2,8.4,9.6,10.8,12))+IF(Inputs!$B$3&gt;=117,F2474,0))/100))/Skills!D13)),0)</f>
        <v/>
      </c>
    </row>
    <row r="2487">
      <c r="A2487" t="inlineStr">
        <is>
          <t>Buff-Casting Startup Delay (s, fixed-duration only)</t>
        </is>
      </c>
      <c r="B2487">
        <f>IF(AND(Inputs!$B$39&lt;&gt;"pvp",Inputs!$B$44&gt;0),SUMPRODUCT((Skills!S2:S27&gt;0)*(Skills!E2:E27=TRUE)*(C2450:C2475=TRUE))/B2483,0)</f>
        <v/>
      </c>
    </row>
    <row r="2488">
      <c r="A2488" t="inlineStr">
        <is>
          <t>Boss-Only Total DPS (this block's swept value)</t>
        </is>
      </c>
      <c r="B2488">
        <f>SUM(S2450:S2475)</f>
        <v/>
      </c>
    </row>
    <row r="2489">
      <c r="A2489" t="inlineStr">
        <is>
          <t>Normal-Only Total DPS (this block's swept value)</t>
        </is>
      </c>
      <c r="B2489">
        <f>SUM(U2450:U2475)</f>
        <v/>
      </c>
    </row>
    <row r="2490">
      <c r="A2490" s="6" t="inlineStr">
        <is>
          <t>TOTAL DPS</t>
        </is>
      </c>
      <c r="B2490" s="6">
        <f>SUM(O2450:O2475)</f>
        <v/>
      </c>
    </row>
    <row r="2492">
      <c r="A2492" s="6" t="inlineStr">
        <is>
          <t>Stat: Peach Tree Herb Pouch (Equip)</t>
        </is>
      </c>
    </row>
    <row r="2493">
      <c r="A2493" s="5" t="inlineStr">
        <is>
          <t>Key</t>
        </is>
      </c>
      <c r="B2493" s="5" t="inlineStr">
        <is>
          <t>Name</t>
        </is>
      </c>
      <c r="C2493" s="5" t="inlineStr">
        <is>
          <t>Unlocked</t>
        </is>
      </c>
      <c r="D2493" s="5" t="inlineStr">
        <is>
          <t>InputLevel</t>
        </is>
      </c>
      <c r="E2493" s="5" t="inlineStr">
        <is>
          <t>Factor</t>
        </is>
      </c>
      <c r="F2493" s="5" t="inlineStr">
        <is>
          <t>CoefficientPercent</t>
        </is>
      </c>
      <c r="G2493" s="5" t="inlineStr">
        <is>
          <t>EffectiveHits</t>
        </is>
      </c>
      <c r="H2493" s="5" t="inlineStr">
        <is>
          <t>ProcProbability</t>
        </is>
      </c>
      <c r="I2493" s="5" t="inlineStr">
        <is>
          <t>MapleHeroMultiplier</t>
        </is>
      </c>
      <c r="J2493" s="5" t="inlineStr">
        <is>
          <t>BaseDamage</t>
        </is>
      </c>
      <c r="K2493" s="5" t="inlineStr">
        <is>
          <t>BaseHitDamage</t>
        </is>
      </c>
      <c r="L2493" s="5" t="inlineStr">
        <is>
          <t>NonCritAvg</t>
        </is>
      </c>
      <c r="M2493" s="5" t="inlineStr">
        <is>
          <t>CritAvg</t>
        </is>
      </c>
      <c r="N2493" s="5" t="inlineStr">
        <is>
          <t>ExpectedDamage(perHit)</t>
        </is>
      </c>
      <c r="O2493" s="5" t="inlineStr">
        <is>
          <t>DPS</t>
        </is>
      </c>
      <c r="P2493" s="5" t="inlineStr">
        <is>
          <t>% of Total</t>
        </is>
      </c>
      <c r="R2493" t="inlineStr">
        <is>
          <t>helpers</t>
        </is>
      </c>
    </row>
    <row r="2494">
      <c r="A2494">
        <f>Skills!A2</f>
        <v/>
      </c>
      <c r="B2494">
        <f>Skills!B2</f>
        <v/>
      </c>
      <c r="C2494">
        <f>Inputs!$B$3&gt;=100</f>
        <v/>
      </c>
      <c r="D2494" t="inlineStr"/>
      <c r="E2494" t="inlineStr"/>
      <c r="F2494">
        <f>T2496+Skills!N2</f>
        <v/>
      </c>
      <c r="G2494">
        <f>Calc!G2</f>
        <v/>
      </c>
      <c r="H2494">
        <f>Calc!H2</f>
        <v/>
      </c>
      <c r="I2494">
        <f>IF(Skills!T2&lt;&gt;"",1+(Skills!T2/10)*($Z$3/1000)/100,1)</f>
        <v/>
      </c>
      <c r="J2494">
        <f>((Inputs!$B$6*(1+Inputs!$B$7/100))+(((Inputs!$B$13*(1+Inputs!$B$14/100))-(Inputs!$B$13*(1+Inputs!$B$14/100)))+0.25*(Inputs!$B$15-Inputs!$B$15))*(1+Inputs!$B$7/100))*(F2494/100)</f>
        <v/>
      </c>
      <c r="K2494">
        <f>J2494*(1+(((Inputs!$B$13+IF(Inputs!$B$3&gt;=35,(10*INDEX(FactorTable!$B$2:$Y$301,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2="TRIUMPH_FEATHER",IF(C2508=TRUE,F2508,0),0)/100)*(1+IF(C2519=TRUE,F2519,0)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2494)</f>
        <v/>
      </c>
      <c r="L2494">
        <f>K2494*(MIN(Inputs!$B$23+(F2514-Calc!F22),(Inputs!$B$24+IF(ArtifactsInput!$M$15,CHOOSE(ArtifactsInput!$N$15+1,25,30,35,40,45,50)/100*(Inputs!$B$12-Inputs!$B$12),0)))/100+(Inputs!$B$24+IF(ArtifactsInput!$M$15,CHOOSE(ArtifactsInput!$N$15+1,25,30,35,40,45,50)/100*(Inputs!$B$12-Inputs!$B$12),0))/100)/2</f>
        <v/>
      </c>
      <c r="M2494">
        <f>L2494*(1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94">
        <f>L2494*(1-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2494*(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4">
        <f>(1-Summary!$B$11)*S2494+Summary!$B$11*U2494</f>
        <v/>
      </c>
      <c r="P2494">
        <f>IF(B2534=0,0,O2494/B2534)</f>
        <v/>
      </c>
      <c r="Q2494">
        <f>IFERROR(1/(IF(Inputs!$B$39="pvp",15,MAX(0.1,Skills!D2-IF(Skills!E2=TRUE,Inputs!$B$33,0)))*(1-IF(AND(ArtifactsInput!$M$27,Inputs!$B$4="Chapter Hunt"),CHOOSE(ArtifactsInput!$N$27+1,20,24,28,32,36,40),0)/100)),0)</f>
        <v/>
      </c>
      <c r="R2494" t="n">
        <v>0</v>
      </c>
      <c r="S2494">
        <f>IF(C2494,(Skills!F2*N2494*B2529)*IF(Inputs!$B$39="pvp",1,1+(Inputs!$B$21+Skills!O2+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2494*(1-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2494*(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2494*(1-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2494*(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94">
        <f>MAX(0,(Inputs!$B$3-100)*3)+Inputs!$B$29+Inputs!$B$30</f>
        <v/>
      </c>
      <c r="U2494">
        <f>IF(C2494,(Skills!F2*N2494*B2529)*IF(Inputs!$B$39="pvp",1,(1+(Inputs!$B$22+Skills!P2+B2523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5">
      <c r="A2495">
        <f>Skills!A3</f>
        <v/>
      </c>
      <c r="B2495">
        <f>Skills!B3</f>
        <v/>
      </c>
      <c r="C2495">
        <f>Inputs!$B$3&gt;=15</f>
        <v/>
      </c>
      <c r="D2495">
        <f>IF(Skills!C3=1,60+Inputs!$B$26+Inputs!$B$30,IF(Skills!C3=2,90+Inputs!$B$27+Inputs!$B$30,IF(Skills!C3=3,120+Inputs!$B$28+Inputs!$B$30,MAX(0,(Inputs!$B$3-100)*3)+Inputs!$B$29+Inputs!$B$30)))</f>
        <v/>
      </c>
      <c r="E2495">
        <f>INDEX(FactorTable!$B$2:$Y$301, MATCH(ROUND(MIN(300,MAX(1,D2495)),0), FactorTable!$A$2:$A$301,0), Skills!L3+1)</f>
        <v/>
      </c>
      <c r="F2495">
        <f>IF(Skills!M3=TRUE,(Skills!K3/10)*(E2495/1000),Skills!K3/10)+Skills!N3</f>
        <v/>
      </c>
      <c r="G2495">
        <f>Calc!G3</f>
        <v/>
      </c>
      <c r="H2495">
        <f>Calc!H3</f>
        <v/>
      </c>
      <c r="I2495">
        <f>IF(Skills!T3&lt;&gt;"",1+(Skills!T3/10)*($Z$3/1000)/100,1)</f>
        <v/>
      </c>
      <c r="J2495" t="inlineStr"/>
      <c r="K2495" t="inlineStr"/>
      <c r="L2495" t="inlineStr"/>
      <c r="M2495" t="inlineStr"/>
      <c r="N2495" t="inlineStr"/>
      <c r="O2495">
        <f>(1-Summary!$B$11)*S2495+Summary!$B$11*U2495</f>
        <v/>
      </c>
      <c r="P2495">
        <f>IF(B2534=0,0,O2495/B2534)</f>
        <v/>
      </c>
      <c r="Q2495">
        <f>IFERROR(1/(IF(Inputs!$B$39="pvp",15,MAX(0.1,Skills!D3-IF(Skills!E3=TRUE,Inputs!$B$33,0)))*(1-IF(AND(ArtifactsInput!$M$27,Inputs!$B$4="Chapter Hunt"),CHOOSE(ArtifactsInput!$N$27+1,20,24,28,32,36,40),0)/100)),0)</f>
        <v/>
      </c>
      <c r="R2495">
        <f>IF(AND(Inputs!$B$39&lt;&gt;"pvp",Inputs!$B$44&gt;0),IF(Inputs!$B$44&lt;=0,0,(INT(Inputs!$B$44/(IF(Inputs!$B$39="pvp",15,MAX(0.1,Skills!D3-IF(Skills!E3=TRUE,Inputs!$B$33,0)))*(1-IF(AND(ArtifactsInput!$M$27,Inputs!$B$4="Chapter Hunt"),CHOOSE(ArtifactsInput!$N$27+1,20,24,28,32,36,40),0)/100)))+1)),0)</f>
        <v/>
      </c>
      <c r="S2495" t="n">
        <v>0</v>
      </c>
      <c r="T2495">
        <f>INDEX(FactorTable!$B$2:$Y$301, MATCH(ROUND(MIN(300,MAX(1,T2494)),0), FactorTable!$A$2:$A$301,0), 22)</f>
        <v/>
      </c>
      <c r="U2495" t="n">
        <v>0</v>
      </c>
    </row>
    <row r="2496">
      <c r="A2496">
        <f>Skills!A4</f>
        <v/>
      </c>
      <c r="B2496">
        <f>Skills!B4</f>
        <v/>
      </c>
      <c r="C2496">
        <f>Inputs!$B$3&gt;=38</f>
        <v/>
      </c>
      <c r="D2496">
        <f>IF(Skills!C4=1,60+Inputs!$B$26+Inputs!$B$30,IF(Skills!C4=2,90+Inputs!$B$27+Inputs!$B$30,IF(Skills!C4=3,120+Inputs!$B$28+Inputs!$B$30,MAX(0,(Inputs!$B$3-100)*3)+Inputs!$B$29+Inputs!$B$30)))</f>
        <v/>
      </c>
      <c r="E2496">
        <f>INDEX(FactorTable!$B$2:$Y$301, MATCH(ROUND(MIN(300,MAX(1,D2496)),0), FactorTable!$A$2:$A$301,0), Skills!L4+1)</f>
        <v/>
      </c>
      <c r="F2496">
        <f>IF(Skills!M4=TRUE,(Skills!K4/10)*(E2496/1000),Skills!K4/10)+Skills!N4</f>
        <v/>
      </c>
      <c r="G2496">
        <f>Calc!G4</f>
        <v/>
      </c>
      <c r="H2496">
        <f>Calc!H4</f>
        <v/>
      </c>
      <c r="I2496">
        <f>IF(Skills!T4&lt;&gt;"",1+(Skills!T4/10)*($Z$3/1000)/100,1)</f>
        <v/>
      </c>
      <c r="J2496" t="inlineStr"/>
      <c r="K2496" t="inlineStr"/>
      <c r="L2496" t="inlineStr"/>
      <c r="M2496" t="inlineStr"/>
      <c r="N2496" t="inlineStr"/>
      <c r="O2496">
        <f>(1-Summary!$B$11)*S2496+Summary!$B$11*U2496</f>
        <v/>
      </c>
      <c r="P2496">
        <f>IF(B2534=0,0,O2496/B2534)</f>
        <v/>
      </c>
      <c r="Q2496">
        <f>IFERROR(1/(IF(Inputs!$B$39="pvp",15,MAX(0.1,Skills!D4-IF(Skills!E4=TRUE,Inputs!$B$33,0)))*(1-IF(AND(ArtifactsInput!$M$27,Inputs!$B$4="Chapter Hunt"),CHOOSE(ArtifactsInput!$N$27+1,20,24,28,32,36,40),0)/100)),0)</f>
        <v/>
      </c>
      <c r="R2496">
        <f>IF(AND(Inputs!$B$39&lt;&gt;"pvp",Inputs!$B$44&gt;0),IF(Inputs!$B$44&lt;=0,0,(INT(Inputs!$B$44/(IF(Inputs!$B$39="pvp",15,MAX(0.1,Skills!D4-IF(Skills!E4=TRUE,Inputs!$B$33,0)))*(1-IF(AND(ArtifactsInput!$M$27,Inputs!$B$4="Chapter Hunt"),CHOOSE(ArtifactsInput!$N$27+1,20,24,28,32,36,40),0)/100)))+1)),0)</f>
        <v/>
      </c>
      <c r="S2496" t="n">
        <v>0</v>
      </c>
      <c r="T2496">
        <f>290*T2495/1000</f>
        <v/>
      </c>
      <c r="U2496" t="n">
        <v>0</v>
      </c>
    </row>
    <row r="2497">
      <c r="A2497">
        <f>Skills!A5</f>
        <v/>
      </c>
      <c r="B2497">
        <f>Skills!B5</f>
        <v/>
      </c>
      <c r="C2497">
        <f>Inputs!$B$3&gt;=40</f>
        <v/>
      </c>
      <c r="D2497">
        <f>IF(Skills!C5=1,60+Inputs!$B$26+Inputs!$B$30,IF(Skills!C5=2,90+Inputs!$B$27+Inputs!$B$30,IF(Skills!C5=3,120+Inputs!$B$28+Inputs!$B$30,MAX(0,(Inputs!$B$3-100)*3)+Inputs!$B$29+Inputs!$B$30)))</f>
        <v/>
      </c>
      <c r="E2497">
        <f>INDEX(FactorTable!$B$2:$Y$301, MATCH(ROUND(MIN(300,MAX(1,D2497)),0), FactorTable!$A$2:$A$301,0), Skills!L5+1)</f>
        <v/>
      </c>
      <c r="F2497">
        <f>IF(Skills!M5=TRUE,(Skills!K5/10)*(E2497/1000),Skills!K5/10)+Skills!N5</f>
        <v/>
      </c>
      <c r="G2497">
        <f>Calc!G5</f>
        <v/>
      </c>
      <c r="H2497">
        <f>Calc!H5</f>
        <v/>
      </c>
      <c r="I2497">
        <f>IF(Skills!T5&lt;&gt;"",1+(Skills!T5/10)*($Z$3/1000)/100,1)</f>
        <v/>
      </c>
      <c r="J2497" t="inlineStr"/>
      <c r="K2497" t="inlineStr"/>
      <c r="L2497" t="inlineStr"/>
      <c r="M2497" t="inlineStr"/>
      <c r="N2497" t="inlineStr"/>
      <c r="O2497">
        <f>(1-Summary!$B$11)*S2497+Summary!$B$11*U2497</f>
        <v/>
      </c>
      <c r="P2497">
        <f>IF(B2534=0,0,O2497/B2534)</f>
        <v/>
      </c>
      <c r="Q2497">
        <f>IFERROR(1/(IF(Inputs!$B$39="pvp",15,MAX(0.1,Skills!D5-IF(Skills!E5=TRUE,Inputs!$B$33,0)))*(1-IF(AND(ArtifactsInput!$M$27,Inputs!$B$4="Chapter Hunt"),CHOOSE(ArtifactsInput!$N$27+1,20,24,28,32,36,40),0)/100)),0)</f>
        <v/>
      </c>
      <c r="R2497">
        <f>IF(AND(Inputs!$B$39&lt;&gt;"pvp",Inputs!$B$44&gt;0),IF(Inputs!$B$44&lt;=0,0,(INT(Inputs!$B$44/(IF(Inputs!$B$39="pvp",15,MAX(0.1,Skills!D5-IF(Skills!E5=TRUE,Inputs!$B$33,0)))*(1-IF(AND(ArtifactsInput!$M$27,Inputs!$B$4="Chapter Hunt"),CHOOSE(ArtifactsInput!$N$27+1,20,24,28,32,36,40),0)/100)))+1)),0)</f>
        <v/>
      </c>
      <c r="S2497" t="n">
        <v>0</v>
      </c>
      <c r="U2497" t="n">
        <v>0</v>
      </c>
    </row>
    <row r="2498">
      <c r="A2498">
        <f>Skills!A6</f>
        <v/>
      </c>
      <c r="B2498">
        <f>Skills!B6</f>
        <v/>
      </c>
      <c r="C2498">
        <f>Inputs!$B$3&gt;=103</f>
        <v/>
      </c>
      <c r="D2498">
        <f>IF(Skills!C6=1,60+Inputs!$B$26+Inputs!$B$30,IF(Skills!C6=2,90+Inputs!$B$27+Inputs!$B$30,IF(Skills!C6=3,120+Inputs!$B$28+Inputs!$B$30,MAX(0,(Inputs!$B$3-100)*3)+Inputs!$B$29+Inputs!$B$30)))</f>
        <v/>
      </c>
      <c r="E2498">
        <f>INDEX(FactorTable!$B$2:$Y$301, MATCH(ROUND(MIN(300,MAX(1,D2498)),0), FactorTable!$A$2:$A$301,0), Skills!L6+1)</f>
        <v/>
      </c>
      <c r="F2498">
        <f>IF(Skills!M6=TRUE,(Skills!K6/10)*(E2498/1000),Skills!K6/10)+Skills!N6</f>
        <v/>
      </c>
      <c r="G2498">
        <f>Calc!G6</f>
        <v/>
      </c>
      <c r="H2498">
        <f>Calc!H6</f>
        <v/>
      </c>
      <c r="I2498">
        <f>IF(Skills!T6&lt;&gt;"",1+(Skills!T6/10)*($Z$3/1000)/100,1)</f>
        <v/>
      </c>
      <c r="J2498">
        <f>((Inputs!$B$6*(1+Inputs!$B$7/100))+(((Inputs!$B$13*(1+Inputs!$B$14/100))-(Inputs!$B$13*(1+Inputs!$B$14/100)))+0.25*(Inputs!$B$15-Inputs!$B$15))*(1+Inputs!$B$7/100))*(F2498/100)</f>
        <v/>
      </c>
      <c r="K2498">
        <f>J2498*(1+(((Inputs!$B$13+IF(Inputs!$B$3&gt;=35,(10*INDEX(FactorTable!$B$2:$Y$301,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6="TRIUMPH_FEATHER",IF(C2508=TRUE,F2508,0),0)/100)*(1+IF(C2519=TRUE,F2519,0)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2498)</f>
        <v/>
      </c>
      <c r="L2498">
        <f>K2498*(MIN(Inputs!$B$23+(F2514-Calc!F22),(Inputs!$B$24+IF(ArtifactsInput!$M$15,CHOOSE(ArtifactsInput!$N$15+1,25,30,35,40,45,50)/100*(Inputs!$B$12-Inputs!$B$12),0)))/100+(Inputs!$B$24+IF(ArtifactsInput!$M$15,CHOOSE(ArtifactsInput!$N$15+1,25,30,35,40,45,50)/100*(Inputs!$B$12-Inputs!$B$12),0))/100)/2</f>
        <v/>
      </c>
      <c r="M2498">
        <f>L2498*(1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98">
        <f>L2498*(1-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2498*(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8">
        <f>(1-Summary!$B$11)*S2498+Summary!$B$11*U2498</f>
        <v/>
      </c>
      <c r="P2498">
        <f>IF(B2534=0,0,O2498/B2534)</f>
        <v/>
      </c>
      <c r="Q2498">
        <f>IFERROR(1/(IF(Inputs!$B$39="pvp",15,MAX(0.1,Skills!D6-IF(Skills!E6=TRUE,Inputs!$B$33,0)))*(1-IF(AND(ArtifactsInput!$M$27,Inputs!$B$4="Chapter Hunt"),CHOOSE(ArtifactsInput!$N$27+1,20,24,28,32,36,40),0)/100)),0)</f>
        <v/>
      </c>
      <c r="R2498">
        <f>IF(AND(Inputs!$B$39&lt;&gt;"pvp",Inputs!$B$44&gt;0),IF(MAX(0,Inputs!$B$44-B2531)&lt;=0,0,(INT(MAX(0,Inputs!$B$44-B2531)/(IF(Inputs!$B$39="pvp",15,MAX(0.1,Skills!D6-IF(Skills!E6=TRUE,Inputs!$B$33,0)))*(1-IF(AND(ArtifactsInput!$M$27,Inputs!$B$4="Chapter Hunt"),CHOOSE(ArtifactsInput!$N$27+1,20,24,28,32,36,40),0)/100)))+1)),0)</f>
        <v/>
      </c>
      <c r="S2498">
        <f>IF(C2498,(H2498*N2498*IF(AND(Inputs!$B$39&lt;&gt;"pvp",Inputs!$B$44&gt;0),((Skills!F6*((R2498-1)*IF(Skills!G6&gt;0,Skills!H6/Skills!G6,1)+IF(Skills!G6&gt;0,MIN(Skills!H6,MAX(0,MAX(0,Inputs!$B$44-B2531)-((R2498-1)*(IF(Inputs!$B$39="pvp",15,MAX(0.1,Skills!D6-IF(Skills!E6=TRUE,Inputs!$B$33,0)))*(1-IF(AND(ArtifactsInput!$M$27,Inputs!$B$4="Chapter Hunt"),CHOOSE(ArtifactsInput!$N$27+1,20,24,28,32,36,40),0)/100)))))/Skills!G6,1)))/Inputs!$B$44),G2498*Q2498))*IF(Inputs!$B$39="pvp",1,1+(Inputs!$B$21+Skills!O6+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2498*(1-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2498*(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2498*(1-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2498*(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98">
        <f>IF(C2498,(H2498*N2498*IF(AND(Inputs!$B$39&lt;&gt;"pvp",Inputs!$B$44&gt;0),((Skills!F6*((R2498-1)*IF(Skills!G6&gt;0,Skills!H6/Skills!G6,1)+IF(Skills!G6&gt;0,MIN(Skills!H6,MAX(0,MAX(0,Inputs!$B$44-B2531)-((R2498-1)*(IF(Inputs!$B$39="pvp",15,MAX(0.1,Skills!D6-IF(Skills!E6=TRUE,Inputs!$B$33,0)))*(1-IF(AND(ArtifactsInput!$M$27,Inputs!$B$4="Chapter Hunt"),CHOOSE(ArtifactsInput!$N$27+1,20,24,28,32,36,40),0)/100)))))/Skills!G6,1)))/Inputs!$B$44),G2498*Q2498))*IF(Inputs!$B$39="pvp",1,(1+(Inputs!$B$22+Skills!P6+B2523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9">
      <c r="A2499">
        <f>Skills!A7</f>
        <v/>
      </c>
      <c r="B2499">
        <f>Skills!B7</f>
        <v/>
      </c>
      <c r="C2499">
        <f>Inputs!$B$3&gt;=122</f>
        <v/>
      </c>
      <c r="D2499">
        <f>IF(Skills!C7=1,60+Inputs!$B$26+Inputs!$B$30,IF(Skills!C7=2,90+Inputs!$B$27+Inputs!$B$30,IF(Skills!C7=3,120+Inputs!$B$28+Inputs!$B$30,MAX(0,(Inputs!$B$3-100)*3)+Inputs!$B$29+Inputs!$B$30)))</f>
        <v/>
      </c>
      <c r="E2499">
        <f>INDEX(FactorTable!$B$2:$Y$301, MATCH(ROUND(MIN(300,MAX(1,D2499)),0), FactorTable!$A$2:$A$301,0), Skills!L7+1)</f>
        <v/>
      </c>
      <c r="F2499">
        <f>IF(Skills!M7=TRUE,(Skills!K7/10)*(E2499/1000),Skills!K7/10)+Skills!N7</f>
        <v/>
      </c>
      <c r="G2499">
        <f>Calc!G7</f>
        <v/>
      </c>
      <c r="H2499">
        <f>Calc!H7</f>
        <v/>
      </c>
      <c r="I2499">
        <f>IF(Skills!T7&lt;&gt;"",1+(Skills!T7/10)*($Z$3/1000)/100,1)</f>
        <v/>
      </c>
      <c r="J2499">
        <f>((Inputs!$B$6*(1+Inputs!$B$7/100))+(((Inputs!$B$13*(1+Inputs!$B$14/100))-(Inputs!$B$13*(1+Inputs!$B$14/100)))+0.25*(Inputs!$B$15-Inputs!$B$15))*(1+Inputs!$B$7/100))*(F2499/100)</f>
        <v/>
      </c>
      <c r="K2499">
        <f>J2499*(1+(((Inputs!$B$13+IF(Inputs!$B$3&gt;=35,(10*INDEX(FactorTable!$B$2:$Y$301,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7="TRIUMPH_FEATHER",IF(C2508=TRUE,F2508,0),0)/100)*(1+IF(C2519=TRUE,F2519,0)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2499)</f>
        <v/>
      </c>
      <c r="L2499">
        <f>K2499*(MIN(Inputs!$B$23+(F2514-Calc!F22),(Inputs!$B$24+IF(ArtifactsInput!$M$15,CHOOSE(ArtifactsInput!$N$15+1,25,30,35,40,45,50)/100*(Inputs!$B$12-Inputs!$B$12),0)))/100+(Inputs!$B$24+IF(ArtifactsInput!$M$15,CHOOSE(ArtifactsInput!$N$15+1,25,30,35,40,45,50)/100*(Inputs!$B$12-Inputs!$B$12),0))/100)/2</f>
        <v/>
      </c>
      <c r="M2499">
        <f>L2499*(1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99">
        <f>L2499*(1-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2499*(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9">
        <f>(1-Summary!$B$11)*S2499+Summary!$B$11*U2499</f>
        <v/>
      </c>
      <c r="P2499">
        <f>IF(B2534=0,0,O2499/B2534)</f>
        <v/>
      </c>
      <c r="Q2499">
        <f>IFERROR(1/(IF(Inputs!$B$39="pvp",15,MAX(0.1,Skills!D7-IF(Skills!E6=TRUE,Inputs!$B$33,0)))*(1-IF(AND(ArtifactsInput!$M$27,Inputs!$B$4="Chapter Hunt"),CHOOSE(ArtifactsInput!$N$27+1,20,24,28,32,36,40),0)/100)),0)</f>
        <v/>
      </c>
      <c r="R2499">
        <f>IF(AND(Inputs!$B$39&lt;&gt;"pvp",Inputs!$B$44&gt;0),IF(MAX(0,Inputs!$B$44-B2531)&lt;=0,0,(INT(MAX(0,Inputs!$B$44-B2531)/(IF(Inputs!$B$39="pvp",15,MAX(0.1,Skills!D7-IF(Skills!E6=TRUE,Inputs!$B$33,0)))*(1-IF(AND(ArtifactsInput!$M$27,Inputs!$B$4="Chapter Hunt"),CHOOSE(ArtifactsInput!$N$27+1,20,24,28,32,36,40),0)/100)))+1)),0)</f>
        <v/>
      </c>
      <c r="S2499">
        <f>IF(C2499,H2499*N2499*IF(AND(Inputs!$B$39&lt;&gt;"pvp",Inputs!$B$44&gt;0),((Skills!F7*((R2499-1)*IF(Skills!G7&gt;0,Skills!H7/Skills!G7,1)+IF(Skills!G7&gt;0,MIN(Skills!H7,MAX(0,MAX(0,Inputs!$B$44-B2531)-((R2499-1)*(IF(Inputs!$B$39="pvp",15,MAX(0.1,Skills!D7-IF(Skills!E6=TRUE,Inputs!$B$33,0)))*(1-IF(AND(ArtifactsInput!$M$27,Inputs!$B$4="Chapter Hunt"),CHOOSE(ArtifactsInput!$N$27+1,20,24,28,32,36,40),0)/100)))))/Skills!G7,1)))/Inputs!$B$44),G2499*Q2499)*IF(Inputs!$B$39="pvp",1,1+(Inputs!$B$21+Skills!O7+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2499*(1-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2499*(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2499*(1-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2499*(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99" t="n">
        <v>0</v>
      </c>
    </row>
    <row r="2500">
      <c r="A2500">
        <f>Skills!A8</f>
        <v/>
      </c>
      <c r="B2500">
        <f>Skills!B8</f>
        <v/>
      </c>
      <c r="C2500">
        <f>Inputs!$B$3&gt;=105</f>
        <v/>
      </c>
      <c r="D2500">
        <f>IF(Skills!C8=1,60+Inputs!$B$26+Inputs!$B$30,IF(Skills!C8=2,90+Inputs!$B$27+Inputs!$B$30,IF(Skills!C8=3,120+Inputs!$B$28+Inputs!$B$30,MAX(0,(Inputs!$B$3-100)*3)+Inputs!$B$29+Inputs!$B$30)))</f>
        <v/>
      </c>
      <c r="E2500">
        <f>INDEX(FactorTable!$B$2:$Y$301, MATCH(ROUND(MIN(300,MAX(1,D2500)),0), FactorTable!$A$2:$A$301,0), Skills!L8+1)</f>
        <v/>
      </c>
      <c r="F2500">
        <f>IF(Skills!M8=TRUE,(Skills!K8/10)*(E2500/1000),Skills!K8/10)+Skills!N8</f>
        <v/>
      </c>
      <c r="G2500">
        <f>Calc!G8</f>
        <v/>
      </c>
      <c r="H2500">
        <f>Calc!H8</f>
        <v/>
      </c>
      <c r="I2500">
        <f>IF(Skills!T8&lt;&gt;"",1+(Skills!T8/10)*($Z$3/1000)/100,1)</f>
        <v/>
      </c>
      <c r="J2500">
        <f>((Inputs!$B$6*(1+Inputs!$B$7/100))+(((Inputs!$B$13*(1+Inputs!$B$14/100))-(Inputs!$B$13*(1+Inputs!$B$14/100)))+0.25*(Inputs!$B$15-Inputs!$B$15))*(1+Inputs!$B$7/100))*(F2500/100)</f>
        <v/>
      </c>
      <c r="K2500">
        <f>J2500*(1+(((Inputs!$B$13+IF(Inputs!$B$3&gt;=35,(10*INDEX(FactorTable!$B$2:$Y$301,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8="TRIUMPH_FEATHER",IF(C2508=TRUE,F2508,0),0)/100)*(1+IF(C2519=TRUE,F2519,0)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2500)</f>
        <v/>
      </c>
      <c r="L2500">
        <f>K2500*(MIN(Inputs!$B$23+(F2514-Calc!F22),(Inputs!$B$24+IF(ArtifactsInput!$M$15,CHOOSE(ArtifactsInput!$N$15+1,25,30,35,40,45,50)/100*(Inputs!$B$12-Inputs!$B$12),0)))/100+(Inputs!$B$24+IF(ArtifactsInput!$M$15,CHOOSE(ArtifactsInput!$N$15+1,25,30,35,40,45,50)/100*(Inputs!$B$12-Inputs!$B$12),0))/100)/2</f>
        <v/>
      </c>
      <c r="M2500">
        <f>L2500*(1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0">
        <f>L2500*(1-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2500*(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0">
        <f>(1-Summary!$B$11)*S2500+Summary!$B$11*U2500</f>
        <v/>
      </c>
      <c r="P2500">
        <f>IF(B2534=0,0,O2500/B2534)</f>
        <v/>
      </c>
      <c r="Q2500">
        <f>IFERROR(1/(IF(Inputs!$B$39="pvp",15,MAX(0.1,Skills!D8-IF(Skills!E8=TRUE,Inputs!$B$33,0)))*(1-IF(AND(ArtifactsInput!$M$27,Inputs!$B$4="Chapter Hunt"),CHOOSE(ArtifactsInput!$N$27+1,20,24,28,32,36,40),0)/100)),0)</f>
        <v/>
      </c>
      <c r="R2500">
        <f>IF(AND(Inputs!$B$39&lt;&gt;"pvp",Inputs!$B$44&gt;0),IF(MAX(0,Inputs!$B$44-B2531)&lt;=0,0,(INT(MAX(0,Inputs!$B$44-B2531)/(IF(Inputs!$B$39="pvp",15,MAX(0.1,Skills!D8-IF(Skills!E8=TRUE,Inputs!$B$33,0)))*(1-IF(AND(ArtifactsInput!$M$27,Inputs!$B$4="Chapter Hunt"),CHOOSE(ArtifactsInput!$N$27+1,20,24,28,32,36,40),0)/100)))+1)),0)</f>
        <v/>
      </c>
      <c r="S2500">
        <f>IF(C2500,(H2500*N2500*IF(AND(Inputs!$B$39&lt;&gt;"pvp",Inputs!$B$44&gt;0),((Skills!F8*((R2500-1)*IF(Skills!G8&gt;0,Skills!H8/Skills!G8,1)+IF(Skills!G8&gt;0,MIN(Skills!H8,MAX(0,MAX(0,Inputs!$B$44-B2531)-((R2500-1)*(IF(Inputs!$B$39="pvp",15,MAX(0.1,Skills!D8-IF(Skills!E8=TRUE,Inputs!$B$33,0)))*(1-IF(AND(ArtifactsInput!$M$27,Inputs!$B$4="Chapter Hunt"),CHOOSE(ArtifactsInput!$N$27+1,20,24,28,32,36,40),0)/100)))))/Skills!G8,1)))/Inputs!$B$44),G2500*Q2500))*IF(Inputs!$B$39="pvp",1,1+(Inputs!$B$21+Skills!O8+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2500*(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2500*(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0">
        <f>IF(C2500,(H2500*N2500*IF(AND(Inputs!$B$39&lt;&gt;"pvp",Inputs!$B$44&gt;0),((Skills!F8*((R2500-1)*IF(Skills!G8&gt;0,Skills!H8/Skills!G8,1)+IF(Skills!G8&gt;0,MIN(Skills!H8,MAX(0,MAX(0,Inputs!$B$44-B2531)-((R2500-1)*(IF(Inputs!$B$39="pvp",15,MAX(0.1,Skills!D8-IF(Skills!E8=TRUE,Inputs!$B$33,0)))*(1-IF(AND(ArtifactsInput!$M$27,Inputs!$B$4="Chapter Hunt"),CHOOSE(ArtifactsInput!$N$27+1,20,24,28,32,36,40),0)/100)))))/Skills!G8,1)))/Inputs!$B$44),G2500*Q2500))*IF(Inputs!$B$39="pvp",1,(1+(Inputs!$B$22+Skills!P8+B2523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1">
      <c r="A2501">
        <f>Skills!A9</f>
        <v/>
      </c>
      <c r="B2501">
        <f>Skills!B9</f>
        <v/>
      </c>
      <c r="C2501">
        <f>Inputs!$B$3&gt;=115</f>
        <v/>
      </c>
      <c r="D2501">
        <f>IF(Skills!C9=1,60+Inputs!$B$26+Inputs!$B$30,IF(Skills!C9=2,90+Inputs!$B$27+Inputs!$B$30,IF(Skills!C9=3,120+Inputs!$B$28+Inputs!$B$30,MAX(0,(Inputs!$B$3-100)*3)+Inputs!$B$29+Inputs!$B$30)))</f>
        <v/>
      </c>
      <c r="E2501">
        <f>INDEX(FactorTable!$B$2:$Y$301, MATCH(ROUND(MIN(300,MAX(1,D2501)),0), FactorTable!$A$2:$A$301,0), Skills!L9+1)</f>
        <v/>
      </c>
      <c r="F2501">
        <f>IF(Skills!M9=TRUE,(Skills!K9/10)*(E2501/1000),Skills!K9/10)+Skills!N9</f>
        <v/>
      </c>
      <c r="G2501">
        <f>Calc!G9</f>
        <v/>
      </c>
      <c r="H2501">
        <f>Calc!H9</f>
        <v/>
      </c>
      <c r="I2501">
        <f>IF(Skills!T9&lt;&gt;"",1+(Skills!T9/10)*($Z$3/1000)/100,1)</f>
        <v/>
      </c>
      <c r="J2501">
        <f>((Inputs!$B$6*(1+Inputs!$B$7/100))+(((Inputs!$B$13*(1+Inputs!$B$14/100))-(Inputs!$B$13*(1+Inputs!$B$14/100)))+0.25*(Inputs!$B$15-Inputs!$B$15))*(1+Inputs!$B$7/100))*(F2501/100)</f>
        <v/>
      </c>
      <c r="K2501">
        <f>J2501*(1+(((Inputs!$B$13+IF(Inputs!$B$3&gt;=35,(10*INDEX(FactorTable!$B$2:$Y$301,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9="TRIUMPH_FEATHER",IF(C2508=TRUE,F2508,0),0)/100)*(1+IF(C2519=TRUE,F2519,0)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2501)</f>
        <v/>
      </c>
      <c r="L2501">
        <f>K2501*(MIN(Inputs!$B$23+(F2514-Calc!F22),(Inputs!$B$24+IF(ArtifactsInput!$M$15,CHOOSE(ArtifactsInput!$N$15+1,25,30,35,40,45,50)/100*(Inputs!$B$12-Inputs!$B$12),0)))/100+(Inputs!$B$24+IF(ArtifactsInput!$M$15,CHOOSE(ArtifactsInput!$N$15+1,25,30,35,40,45,50)/100*(Inputs!$B$12-Inputs!$B$12),0))/100)/2</f>
        <v/>
      </c>
      <c r="M2501">
        <f>L2501*(1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1">
        <f>L2501*(1-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1">
        <f>(1-Summary!$B$11)*S2501+Summary!$B$11*U2501</f>
        <v/>
      </c>
      <c r="P2501">
        <f>IF(B2534=0,0,O2501/B2534)</f>
        <v/>
      </c>
      <c r="Q2501">
        <f>IFERROR(1/(IF(Inputs!$B$39="pvp",15,MAX(0.1,Skills!D9-IF(Skills!E9=TRUE,Inputs!$B$33,0)))*(1-IF(AND(ArtifactsInput!$M$27,Inputs!$B$4="Chapter Hunt"),CHOOSE(ArtifactsInput!$N$27+1,20,24,28,32,36,40),0)/100)),0)</f>
        <v/>
      </c>
      <c r="R2501">
        <f>IF(AND(Inputs!$B$39&lt;&gt;"pvp",Inputs!$B$44&gt;0),IF(MAX(0,Inputs!$B$44-B2531)&lt;=0,0,(INT(MAX(0,Inputs!$B$44-B2531)/(IF(Inputs!$B$39="pvp",15,MAX(0.1,Skills!D9-IF(Skills!E9=TRUE,Inputs!$B$33,0)))*(1-IF(AND(ArtifactsInput!$M$27,Inputs!$B$4="Chapter Hunt"),CHOOSE(ArtifactsInput!$N$27+1,20,24,28,32,36,40),0)/100)))+1)),0)</f>
        <v/>
      </c>
      <c r="S2501">
        <f>IF(C2501,(H2501*N2501*IF(AND(Inputs!$B$39&lt;&gt;"pvp",Inputs!$B$44&gt;0),((Skills!F9*((R2501-1)*IF(Skills!G9&gt;0,Skills!H9/Skills!G9,1)+IF(Skills!G9&gt;0,MIN(Skills!H9,MAX(0,MAX(0,Inputs!$B$44-B2531)-((R2501-1)*(IF(Inputs!$B$39="pvp",15,MAX(0.1,Skills!D9-IF(Skills!E9=TRUE,Inputs!$B$33,0)))*(1-IF(AND(ArtifactsInput!$M$27,Inputs!$B$4="Chapter Hunt"),CHOOSE(ArtifactsInput!$N$27+1,20,24,28,32,36,40),0)/100)))))/Skills!G9,1)))/Inputs!$B$44),G2501*Q2501))*IF(Inputs!$B$39="pvp",1,1+(Inputs!$B$21+Skills!O9+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2501*(1-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1">
        <f>IF(C2501,(H2501*N2501*IF(AND(Inputs!$B$39&lt;&gt;"pvp",Inputs!$B$44&gt;0),((Skills!F9*((R2501-1)*IF(Skills!G9&gt;0,Skills!H9/Skills!G9,1)+IF(Skills!G9&gt;0,MIN(Skills!H9,MAX(0,MAX(0,Inputs!$B$44-B2531)-((R2501-1)*(IF(Inputs!$B$39="pvp",15,MAX(0.1,Skills!D9-IF(Skills!E9=TRUE,Inputs!$B$33,0)))*(1-IF(AND(ArtifactsInput!$M$27,Inputs!$B$4="Chapter Hunt"),CHOOSE(ArtifactsInput!$N$27+1,20,24,28,32,36,40),0)/100)))))/Skills!G9,1)))/Inputs!$B$44),G2501*Q2501))*IF(Inputs!$B$39="pvp",1,(1+(Inputs!$B$22+Skills!P9+B2523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2">
      <c r="A2502">
        <f>Skills!A10</f>
        <v/>
      </c>
      <c r="B2502">
        <f>Skills!B10</f>
        <v/>
      </c>
      <c r="C2502">
        <f>Inputs!$B$3&gt;=66</f>
        <v/>
      </c>
      <c r="D2502">
        <f>IF(Skills!C10=1,60+Inputs!$B$26+Inputs!$B$30,IF(Skills!C10=2,90+Inputs!$B$27+Inputs!$B$30,IF(Skills!C10=3,120+Inputs!$B$28+Inputs!$B$30,MAX(0,(Inputs!$B$3-100)*3)+Inputs!$B$29+Inputs!$B$30)))</f>
        <v/>
      </c>
      <c r="E2502">
        <f>INDEX(FactorTable!$B$2:$Y$301, MATCH(ROUND(MIN(300,MAX(1,D2502)),0), FactorTable!$A$2:$A$301,0), Skills!L10+1)</f>
        <v/>
      </c>
      <c r="F2502" t="n">
        <v>0</v>
      </c>
      <c r="G2502">
        <f>Calc!G10</f>
        <v/>
      </c>
      <c r="H2502">
        <f>Calc!H10</f>
        <v/>
      </c>
      <c r="I2502">
        <f>IF(Skills!T10&lt;&gt;"",1+(Skills!T10/10)*($Z$3/1000)/100,1)</f>
        <v/>
      </c>
      <c r="J2502" t="inlineStr"/>
      <c r="K2502" t="inlineStr"/>
      <c r="L2502" t="inlineStr"/>
      <c r="M2502" t="inlineStr"/>
      <c r="N2502" t="inlineStr"/>
      <c r="O2502">
        <f>(1-Summary!$B$11)*S2502+Summary!$B$11*U2502</f>
        <v/>
      </c>
      <c r="P2502">
        <f>IF(B2534=0,0,O2502/B2534)</f>
        <v/>
      </c>
      <c r="Q2502">
        <f>IFERROR(1/(IF(Inputs!$B$39="pvp",15,MAX(0.1,Skills!D10-IF(Skills!E10=TRUE,Inputs!$B$33,0)))*(1-IF(AND(ArtifactsInput!$M$27,Inputs!$B$4="Chapter Hunt"),CHOOSE(ArtifactsInput!$N$27+1,20,24,28,32,36,40),0)/100)),0)</f>
        <v/>
      </c>
      <c r="R2502">
        <f>IF(AND(Inputs!$B$39&lt;&gt;"pvp",Inputs!$B$44&gt;0),IF(MAX(0,Inputs!$B$44-B2531)&lt;=0,0,(INT(MAX(0,Inputs!$B$44-B2531)/(IF(Inputs!$B$39="pvp",15,MAX(0.1,Skills!D10-IF(Skills!E10=TRUE,Inputs!$B$33,0)))*(1-IF(AND(ArtifactsInput!$M$27,Inputs!$B$4="Chapter Hunt"),CHOOSE(ArtifactsInput!$N$27+1,20,24,28,32,36,40),0)/100)))+1)),0)</f>
        <v/>
      </c>
      <c r="S2502" t="n">
        <v>0</v>
      </c>
      <c r="U2502" t="n">
        <v>0</v>
      </c>
    </row>
    <row r="2503">
      <c r="A2503">
        <f>Skills!A11</f>
        <v/>
      </c>
      <c r="B2503">
        <f>Skills!B11</f>
        <v/>
      </c>
      <c r="C2503">
        <f>Inputs!$B$3&gt;=69</f>
        <v/>
      </c>
      <c r="D2503">
        <f>IF(Skills!C11=1,60+Inputs!$B$26+Inputs!$B$30,IF(Skills!C11=2,90+Inputs!$B$27+Inputs!$B$30,IF(Skills!C11=3,120+Inputs!$B$28+Inputs!$B$30,MAX(0,(Inputs!$B$3-100)*3)+Inputs!$B$29+Inputs!$B$30)))</f>
        <v/>
      </c>
      <c r="E2503">
        <f>INDEX(FactorTable!$B$2:$Y$301, MATCH(ROUND(MIN(300,MAX(1,D2503)),0), FactorTable!$A$2:$A$301,0), Skills!L11+1)</f>
        <v/>
      </c>
      <c r="F2503">
        <f>IF(Skills!M11=TRUE,(Skills!K11/10)*(E2503/1000),Skills!K11/10)+Skills!N11</f>
        <v/>
      </c>
      <c r="G2503">
        <f>Calc!G11</f>
        <v/>
      </c>
      <c r="H2503">
        <f>Calc!H11</f>
        <v/>
      </c>
      <c r="I2503">
        <f>IF(Skills!T11&lt;&gt;"",1+(Skills!T11/10)*($Z$3/1000)/100,1)</f>
        <v/>
      </c>
      <c r="J2503" t="inlineStr"/>
      <c r="K2503" t="inlineStr"/>
      <c r="L2503" t="inlineStr"/>
      <c r="M2503" t="inlineStr"/>
      <c r="N2503" t="inlineStr"/>
      <c r="O2503">
        <f>(1-Summary!$B$11)*S2503+Summary!$B$11*U2503</f>
        <v/>
      </c>
      <c r="P2503">
        <f>IF(B2534=0,0,O2503/B2534)</f>
        <v/>
      </c>
      <c r="Q2503">
        <f>IFERROR(1/(IF(Inputs!$B$39="pvp",15,MAX(0.1,Skills!D11-IF(Skills!E11=TRUE,Inputs!$B$33,0)))*(1-IF(AND(ArtifactsInput!$M$27,Inputs!$B$4="Chapter Hunt"),CHOOSE(ArtifactsInput!$N$27+1,20,24,28,32,36,40),0)/100)),0)</f>
        <v/>
      </c>
      <c r="R2503">
        <f>IF(AND(Inputs!$B$39&lt;&gt;"pvp",Inputs!$B$44&gt;0),IF(Inputs!$B$44&lt;=0,0,(INT(Inputs!$B$44/(IF(Inputs!$B$39="pvp",15,MAX(0.1,Skills!D11-IF(Skills!E11=TRUE,Inputs!$B$33,0)))*(1-IF(AND(ArtifactsInput!$M$27,Inputs!$B$4="Chapter Hunt"),CHOOSE(ArtifactsInput!$N$27+1,20,24,28,32,36,40),0)/100)))+1)),0)</f>
        <v/>
      </c>
      <c r="S2503" t="n">
        <v>0</v>
      </c>
      <c r="U2503" t="n">
        <v>0</v>
      </c>
    </row>
    <row r="2504">
      <c r="A2504">
        <f>Skills!A12</f>
        <v/>
      </c>
      <c r="B2504">
        <f>Skills!B12</f>
        <v/>
      </c>
      <c r="C2504">
        <f>Inputs!$B$3&gt;=72</f>
        <v/>
      </c>
      <c r="D2504">
        <f>IF(Skills!C12=1,60+Inputs!$B$26+Inputs!$B$30,IF(Skills!C12=2,90+Inputs!$B$27+Inputs!$B$30,IF(Skills!C12=3,120+Inputs!$B$28+Inputs!$B$30,MAX(0,(Inputs!$B$3-100)*3)+Inputs!$B$29+Inputs!$B$30)))</f>
        <v/>
      </c>
      <c r="E2504">
        <f>INDEX(FactorTable!$B$2:$Y$301, MATCH(ROUND(MIN(300,MAX(1,D2504)),0), FactorTable!$A$2:$A$301,0), Skills!L12+1)</f>
        <v/>
      </c>
      <c r="F2504">
        <f>IF(Skills!M12=TRUE,(Skills!K12/10)*(E2504/1000),Skills!K12/10)+Skills!N12</f>
        <v/>
      </c>
      <c r="G2504">
        <f>Calc!G12</f>
        <v/>
      </c>
      <c r="H2504">
        <f>Calc!H12</f>
        <v/>
      </c>
      <c r="I2504">
        <f>IF(Skills!T12&lt;&gt;"",1+(Skills!T12/10)*($Z$3/1000)/100,1)</f>
        <v/>
      </c>
      <c r="J2504" t="inlineStr"/>
      <c r="K2504" t="inlineStr"/>
      <c r="L2504" t="inlineStr"/>
      <c r="M2504" t="inlineStr"/>
      <c r="N2504" t="inlineStr"/>
      <c r="O2504">
        <f>(1-Summary!$B$11)*S2504+Summary!$B$11*U2504</f>
        <v/>
      </c>
      <c r="P2504">
        <f>IF(B2534=0,0,O2504/B2534)</f>
        <v/>
      </c>
      <c r="Q2504">
        <f>IFERROR(1/(IF(Inputs!$B$39="pvp",15,MAX(0.1,Skills!D12-IF(Skills!E12=TRUE,Inputs!$B$33,0)))*(1-IF(AND(ArtifactsInput!$M$27,Inputs!$B$4="Chapter Hunt"),CHOOSE(ArtifactsInput!$N$27+1,20,24,28,32,36,40),0)/100)),0)</f>
        <v/>
      </c>
      <c r="R2504">
        <f>IF(AND(Inputs!$B$39&lt;&gt;"pvp",Inputs!$B$44&gt;0),IF(MAX(0,Inputs!$B$44-B2531)&lt;=0,0,(INT(MAX(0,Inputs!$B$44-B2531)/(IF(Inputs!$B$39="pvp",15,MAX(0.1,Skills!D12-IF(Skills!E12=TRUE,Inputs!$B$33,0)))*(1-IF(AND(ArtifactsInput!$M$27,Inputs!$B$4="Chapter Hunt"),CHOOSE(ArtifactsInput!$N$27+1,20,24,28,32,36,40),0)/100)))+1)),0)</f>
        <v/>
      </c>
      <c r="S2504" t="n">
        <v>0</v>
      </c>
      <c r="U2504" t="n">
        <v>0</v>
      </c>
    </row>
    <row r="2505">
      <c r="A2505">
        <f>Skills!A13</f>
        <v/>
      </c>
      <c r="B2505">
        <f>Skills!B13</f>
        <v/>
      </c>
      <c r="C2505">
        <f>Inputs!$B$3&gt;=60</f>
        <v/>
      </c>
      <c r="D2505">
        <f>IF(Skills!C13=1,60+Inputs!$B$26+Inputs!$B$30,IF(Skills!C13=2,90+Inputs!$B$27+Inputs!$B$30,IF(Skills!C13=3,120+Inputs!$B$28+Inputs!$B$30,MAX(0,(Inputs!$B$3-100)*3)+Inputs!$B$29+Inputs!$B$30)))</f>
        <v/>
      </c>
      <c r="E2505">
        <f>INDEX(FactorTable!$B$2:$Y$301, MATCH(ROUND(MIN(300,MAX(1,D2505)),0), FactorTable!$A$2:$A$301,0), Skills!L13+1)</f>
        <v/>
      </c>
      <c r="F2505">
        <f>IF(Skills!M13=TRUE,(Skills!K13/10)*(E2505/1000),Skills!K13/10)+Skills!N13</f>
        <v/>
      </c>
      <c r="G2505">
        <f>Calc!G13</f>
        <v/>
      </c>
      <c r="H2505">
        <f>Calc!H13</f>
        <v/>
      </c>
      <c r="I2505">
        <f>IF(Skills!T13&lt;&gt;"",1+(Skills!T13/10)*($Z$3/1000)/100,1)</f>
        <v/>
      </c>
      <c r="J2505" t="inlineStr"/>
      <c r="K2505" t="inlineStr"/>
      <c r="L2505" t="inlineStr"/>
      <c r="M2505" t="inlineStr"/>
      <c r="N2505" t="inlineStr"/>
      <c r="O2505">
        <f>(1-Summary!$B$11)*S2505+Summary!$B$11*U2505</f>
        <v/>
      </c>
      <c r="P2505">
        <f>IF(B2534=0,0,O2505/B2534)</f>
        <v/>
      </c>
      <c r="Q2505">
        <f>IFERROR(1/(IF(Inputs!$B$39="pvp",15,MAX(0.1,Skills!D13-IF(Skills!E13=TRUE,Inputs!$B$33,0)))*(1-IF(AND(ArtifactsInput!$M$27,Inputs!$B$4="Chapter Hunt"),CHOOSE(ArtifactsInput!$N$27+1,20,24,28,32,36,40),0)/100)),0)</f>
        <v/>
      </c>
      <c r="R2505">
        <f>IF(AND(Inputs!$B$39&lt;&gt;"pvp",Inputs!$B$44&gt;0),IF(MAX(0,Inputs!$B$44-B2531)&lt;=0,0,(INT(MAX(0,Inputs!$B$44-B2531)/(IF(Inputs!$B$39="pvp",15,MAX(0.1,Skills!D13-IF(Skills!E13=TRUE,Inputs!$B$33,0)))*(1-IF(AND(ArtifactsInput!$M$27,Inputs!$B$4="Chapter Hunt"),CHOOSE(ArtifactsInput!$N$27+1,20,24,28,32,36,40),0)/100)))+1)),0)</f>
        <v/>
      </c>
      <c r="S2505" t="n">
        <v>0</v>
      </c>
      <c r="U2505" t="n">
        <v>0</v>
      </c>
    </row>
    <row r="2506">
      <c r="A2506">
        <f>Skills!A14</f>
        <v/>
      </c>
      <c r="B2506">
        <f>Skills!B14</f>
        <v/>
      </c>
      <c r="C2506">
        <f>Inputs!$B$3&gt;=107</f>
        <v/>
      </c>
      <c r="D2506">
        <f>IF(Skills!C14=1,60+Inputs!$B$26+Inputs!$B$30,IF(Skills!C14=2,90+Inputs!$B$27+Inputs!$B$30,IF(Skills!C14=3,120+Inputs!$B$28+Inputs!$B$30,MAX(0,(Inputs!$B$3-100)*3)+Inputs!$B$29+Inputs!$B$30)))</f>
        <v/>
      </c>
      <c r="E2506">
        <f>INDEX(FactorTable!$B$2:$Y$301, MATCH(ROUND(MIN(300,MAX(1,D2506)),0), FactorTable!$A$2:$A$301,0), Skills!L14+1)</f>
        <v/>
      </c>
      <c r="F2506">
        <f>IF(Skills!M14=TRUE,(Skills!K14/10)*(E2506/1000),Skills!K14/10)+Skills!N14</f>
        <v/>
      </c>
      <c r="G2506">
        <f>Calc!G14</f>
        <v/>
      </c>
      <c r="H2506">
        <f>Calc!H14</f>
        <v/>
      </c>
      <c r="I2506">
        <f>IF(Skills!T14&lt;&gt;"",1+(Skills!T14/10)*($Z$3/1000)/100,1)</f>
        <v/>
      </c>
      <c r="J2506" t="inlineStr"/>
      <c r="K2506" t="inlineStr"/>
      <c r="L2506" t="inlineStr"/>
      <c r="M2506" t="inlineStr"/>
      <c r="N2506" t="inlineStr"/>
      <c r="O2506">
        <f>(1-Summary!$B$11)*S2506+Summary!$B$11*U2506</f>
        <v/>
      </c>
      <c r="P2506">
        <f>IF(B2534=0,0,O2506/B2534)</f>
        <v/>
      </c>
      <c r="Q2506">
        <f>IFERROR(1/(IF(Inputs!$B$39="pvp",15,MAX(0.1,Skills!D14-IF(Skills!E14=TRUE,Inputs!$B$33,0)))*(1-IF(AND(ArtifactsInput!$M$27,Inputs!$B$4="Chapter Hunt"),CHOOSE(ArtifactsInput!$N$27+1,20,24,28,32,36,40),0)/100)),0)</f>
        <v/>
      </c>
      <c r="R2506">
        <f>IF(AND(Inputs!$B$39&lt;&gt;"pvp",Inputs!$B$44&gt;0),IF(Inputs!$B$44&lt;=0,0,(INT(Inputs!$B$44/(IF(Inputs!$B$39="pvp",15,MAX(0.1,Skills!D14-IF(Skills!E14=TRUE,Inputs!$B$33,0)))*(1-IF(AND(ArtifactsInput!$M$27,Inputs!$B$4="Chapter Hunt"),CHOOSE(ArtifactsInput!$N$27+1,20,24,28,32,36,40),0)/100)))+1)),0)</f>
        <v/>
      </c>
      <c r="S2506" t="n">
        <v>0</v>
      </c>
      <c r="U2506" t="n">
        <v>0</v>
      </c>
    </row>
    <row r="2507">
      <c r="A2507">
        <f>Skills!A15</f>
        <v/>
      </c>
      <c r="B2507">
        <f>Skills!B15</f>
        <v/>
      </c>
      <c r="C2507">
        <f>Inputs!$B$3&gt;=63</f>
        <v/>
      </c>
      <c r="D2507">
        <f>IF(Skills!C15=1,60+Inputs!$B$26+Inputs!$B$30,IF(Skills!C15=2,90+Inputs!$B$27+Inputs!$B$30,IF(Skills!C15=3,120+Inputs!$B$28+Inputs!$B$30,MAX(0,(Inputs!$B$3-100)*3)+Inputs!$B$29+Inputs!$B$30)))</f>
        <v/>
      </c>
      <c r="E2507">
        <f>INDEX(FactorTable!$B$2:$Y$301, MATCH(ROUND(MIN(300,MAX(1,D2507)),0), FactorTable!$A$2:$A$301,0), Skills!L15+1)</f>
        <v/>
      </c>
      <c r="F2507">
        <f>IF(Skills!M15=TRUE,(Skills!K15/10)*(E2507/1000),Skills!K15/10)+Skills!N15</f>
        <v/>
      </c>
      <c r="G2507">
        <f>Calc!G15</f>
        <v/>
      </c>
      <c r="H2507">
        <f>Calc!H15</f>
        <v/>
      </c>
      <c r="I2507">
        <f>IF(Skills!T15&lt;&gt;"",1+(Skills!T15/10)*($Z$3/1000)/100,1)</f>
        <v/>
      </c>
      <c r="J2507">
        <f>((Inputs!$B$6*(1+Inputs!$B$7/100))+(((Inputs!$B$13*(1+Inputs!$B$14/100))-(Inputs!$B$13*(1+Inputs!$B$14/100)))+0.25*(Inputs!$B$15-Inputs!$B$15))*(1+Inputs!$B$7/100))*(F2507/100)</f>
        <v/>
      </c>
      <c r="K2507">
        <f>J2507*(1+(((Inputs!$B$13+IF(Inputs!$B$3&gt;=35,(10*INDEX(FactorTable!$B$2:$Y$301,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15="TRIUMPH_FEATHER",IF(C2508=TRUE,F2508,0),0)/100)*(1+IF(C2519=TRUE,F2519,0)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2507)</f>
        <v/>
      </c>
      <c r="L2507">
        <f>K2507*(MIN(Inputs!$B$23+(F2514-Calc!F22),(Inputs!$B$24+IF(ArtifactsInput!$M$15,CHOOSE(ArtifactsInput!$N$15+1,25,30,35,40,45,50)/100*(Inputs!$B$12-Inputs!$B$12),0)))/100+(Inputs!$B$24+IF(ArtifactsInput!$M$15,CHOOSE(ArtifactsInput!$N$15+1,25,30,35,40,45,50)/100*(Inputs!$B$12-Inputs!$B$12),0))/100)/2</f>
        <v/>
      </c>
      <c r="M2507">
        <f>L2507*(1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7">
        <f>L2507*(1-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2507*(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7">
        <f>(1-Summary!$B$11)*S2507+Summary!$B$11*U2507</f>
        <v/>
      </c>
      <c r="P2507">
        <f>IF(B2534=0,0,O2507/B2534)</f>
        <v/>
      </c>
      <c r="Q2507">
        <f>IFERROR(1/(IF(Inputs!$B$39="pvp",15,MAX(0.1,Skills!D15-IF(Skills!E15=TRUE,Inputs!$B$33,0)))*(1-IF(AND(ArtifactsInput!$M$27,Inputs!$B$4="Chapter Hunt"),CHOOSE(ArtifactsInput!$N$27+1,20,24,28,32,36,40),0)/100)),0)</f>
        <v/>
      </c>
      <c r="R2507" t="n">
        <v>0</v>
      </c>
      <c r="S2507">
        <f>IF(C2507,(Skills!F15*N2507*((IF(Inputs!$B$3&gt;=78,25,15)/100*B2527*10)/(1+IF(Inputs!$B$3&gt;=78,25,15)/100*B2527*10))*(Skills!I15/100*B2527)/(1+Skills!G15*Skills!I15/100*B2527))*IF(Inputs!$B$39="pvp",1,1+(Inputs!$B$21+Skills!O15+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2507*(1-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2507*(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2507*(1-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2507*(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7">
        <f>IF(C2507,(Skills!F15*N2507*((IF(Inputs!$B$3&gt;=78,25,15)/100*B2527*10)/(1+IF(Inputs!$B$3&gt;=78,25,15)/100*B2527*10))*(Skills!I15/100*B2527)/(1+Skills!G15*Skills!I15/100*B2527))*IF(Inputs!$B$39="pvp",1,(1+(Inputs!$B$22+Skills!P15+B2523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8">
      <c r="A2508">
        <f>Skills!A16</f>
        <v/>
      </c>
      <c r="B2508">
        <f>Skills!B16</f>
        <v/>
      </c>
      <c r="C2508">
        <f>Inputs!$B$3&gt;=100</f>
        <v/>
      </c>
      <c r="D2508">
        <f>IF(Skills!C16=1,60+Inputs!$B$26+Inputs!$B$30,IF(Skills!C16=2,90+Inputs!$B$27+Inputs!$B$30,IF(Skills!C16=3,120+Inputs!$B$28+Inputs!$B$30,MAX(0,(Inputs!$B$3-100)*3)+Inputs!$B$29+Inputs!$B$30)))</f>
        <v/>
      </c>
      <c r="E2508">
        <f>INDEX(FactorTable!$B$2:$Y$301, MATCH(ROUND(MIN(300,MAX(1,D2508)),0), FactorTable!$A$2:$A$301,0), Skills!L16+1)</f>
        <v/>
      </c>
      <c r="F2508">
        <f>IF(Skills!M16=TRUE,(Skills!K16/10)*(E2508/1000),Skills!K16/10)+Skills!N16</f>
        <v/>
      </c>
      <c r="G2508">
        <f>Calc!G16</f>
        <v/>
      </c>
      <c r="H2508">
        <f>Calc!H16</f>
        <v/>
      </c>
      <c r="I2508">
        <f>IF(Skills!T16&lt;&gt;"",1+(Skills!T16/10)*($Z$3/1000)/100,1)</f>
        <v/>
      </c>
      <c r="J2508" t="inlineStr"/>
      <c r="K2508" t="inlineStr"/>
      <c r="L2508" t="inlineStr"/>
      <c r="M2508" t="inlineStr"/>
      <c r="N2508" t="inlineStr"/>
      <c r="O2508">
        <f>(1-Summary!$B$11)*S2508+Summary!$B$11*U2508</f>
        <v/>
      </c>
      <c r="P2508">
        <f>IF(B2534=0,0,O2508/B2534)</f>
        <v/>
      </c>
      <c r="Q2508">
        <f>IFERROR(1/(IF(Inputs!$B$39="pvp",15,MAX(0.1,Skills!D16-IF(Skills!E16=TRUE,Inputs!$B$33,0)))*(1-IF(AND(ArtifactsInput!$M$27,Inputs!$B$4="Chapter Hunt"),CHOOSE(ArtifactsInput!$N$27+1,20,24,28,32,36,40),0)/100)),0)</f>
        <v/>
      </c>
      <c r="R2508" t="n">
        <v>0</v>
      </c>
      <c r="S2508" t="n">
        <v>0</v>
      </c>
      <c r="U2508" t="n">
        <v>0</v>
      </c>
    </row>
    <row r="2509">
      <c r="A2509">
        <f>Skills!A17</f>
        <v/>
      </c>
      <c r="B2509">
        <f>Skills!B17</f>
        <v/>
      </c>
      <c r="C2509">
        <f>Inputs!$B$3&gt;=49</f>
        <v/>
      </c>
      <c r="D2509">
        <f>IF(Skills!C17=1,60+Inputs!$B$26+Inputs!$B$30,IF(Skills!C17=2,90+Inputs!$B$27+Inputs!$B$30,IF(Skills!C17=3,120+Inputs!$B$28+Inputs!$B$30,MAX(0,(Inputs!$B$3-100)*3)+Inputs!$B$29+Inputs!$B$30)))</f>
        <v/>
      </c>
      <c r="E2509">
        <f>INDEX(FactorTable!$B$2:$Y$301, MATCH(ROUND(MIN(300,MAX(1,D2509)),0), FactorTable!$A$2:$A$301,0), Skills!L17+1)</f>
        <v/>
      </c>
      <c r="F2509">
        <f>IF(Skills!M17=TRUE,(Skills!K17/10)*(E2509/1000),Skills!K17/10)+Skills!N17</f>
        <v/>
      </c>
      <c r="G2509">
        <f>Calc!G17</f>
        <v/>
      </c>
      <c r="H2509">
        <f>Calc!H17</f>
        <v/>
      </c>
      <c r="I2509">
        <f>IF(Skills!T17&lt;&gt;"",1+(Skills!T17/10)*($Z$3/1000)/100,1)</f>
        <v/>
      </c>
      <c r="J2509" t="inlineStr"/>
      <c r="K2509" t="inlineStr"/>
      <c r="L2509" t="inlineStr"/>
      <c r="M2509" t="inlineStr"/>
      <c r="N2509" t="inlineStr"/>
      <c r="O2509">
        <f>(1-Summary!$B$11)*S2509+Summary!$B$11*U2509</f>
        <v/>
      </c>
      <c r="P2509">
        <f>IF(B2534=0,0,O2509/B2534)</f>
        <v/>
      </c>
      <c r="Q2509">
        <f>IFERROR(1/(IF(Inputs!$B$39="pvp",15,MAX(0.1,Skills!D17-IF(Skills!E17=TRUE,Inputs!$B$33,0)))*(1-IF(AND(ArtifactsInput!$M$27,Inputs!$B$4="Chapter Hunt"),CHOOSE(ArtifactsInput!$N$27+1,20,24,28,32,36,40),0)/100)),0)</f>
        <v/>
      </c>
      <c r="R2509" t="n">
        <v>0</v>
      </c>
      <c r="S2509" t="n">
        <v>0</v>
      </c>
      <c r="U2509" t="n">
        <v>0</v>
      </c>
    </row>
    <row r="2510">
      <c r="A2510">
        <f>Skills!A18</f>
        <v/>
      </c>
      <c r="B2510">
        <f>Skills!B18</f>
        <v/>
      </c>
      <c r="C2510">
        <f>Inputs!$B$3&gt;=75</f>
        <v/>
      </c>
      <c r="D2510">
        <f>IF(Skills!C18=1,60+Inputs!$B$26+Inputs!$B$30,IF(Skills!C18=2,90+Inputs!$B$27+Inputs!$B$30,IF(Skills!C18=3,120+Inputs!$B$28+Inputs!$B$30,MAX(0,(Inputs!$B$3-100)*3)+Inputs!$B$29+Inputs!$B$30)))</f>
        <v/>
      </c>
      <c r="E2510">
        <f>INDEX(FactorTable!$B$2:$Y$301, MATCH(ROUND(MIN(300,MAX(1,D2510)),0), FactorTable!$A$2:$A$301,0), Skills!L18+1)</f>
        <v/>
      </c>
      <c r="F2510">
        <f>IF(Skills!M18=TRUE,(Skills!K18/10)*(E2510/1000),Skills!K18/10)+Skills!N18</f>
        <v/>
      </c>
      <c r="G2510">
        <f>Calc!G18</f>
        <v/>
      </c>
      <c r="H2510">
        <f>Calc!H18</f>
        <v/>
      </c>
      <c r="I2510">
        <f>IF(Skills!T18&lt;&gt;"",1+(Skills!T18/10)*($Z$3/1000)/100,1)</f>
        <v/>
      </c>
      <c r="J2510" t="inlineStr"/>
      <c r="K2510" t="inlineStr"/>
      <c r="L2510" t="inlineStr"/>
      <c r="M2510" t="inlineStr"/>
      <c r="N2510" t="inlineStr"/>
      <c r="O2510">
        <f>(1-Summary!$B$11)*S2510+Summary!$B$11*U2510</f>
        <v/>
      </c>
      <c r="P2510">
        <f>IF(B2534=0,0,O2510/B2534)</f>
        <v/>
      </c>
      <c r="Q2510">
        <f>IFERROR(1/(IF(Inputs!$B$39="pvp",15,MAX(0.1,Skills!D18-IF(Skills!E18=TRUE,Inputs!$B$33,0)))*(1-IF(AND(ArtifactsInput!$M$27,Inputs!$B$4="Chapter Hunt"),CHOOSE(ArtifactsInput!$N$27+1,20,24,28,32,36,40),0)/100)),0)</f>
        <v/>
      </c>
      <c r="R2510" t="n">
        <v>0</v>
      </c>
      <c r="S2510" t="n">
        <v>0</v>
      </c>
      <c r="U2510" t="n">
        <v>0</v>
      </c>
    </row>
    <row r="2511">
      <c r="A2511">
        <f>Skills!A19</f>
        <v/>
      </c>
      <c r="B2511">
        <f>Skills!B19</f>
        <v/>
      </c>
      <c r="C2511">
        <f>Inputs!$B$3&gt;=110</f>
        <v/>
      </c>
      <c r="D2511">
        <f>IF(Skills!C19=1,60+Inputs!$B$26+Inputs!$B$30,IF(Skills!C19=2,90+Inputs!$B$27+Inputs!$B$30,IF(Skills!C19=3,120+Inputs!$B$28+Inputs!$B$30,MAX(0,(Inputs!$B$3-100)*3)+Inputs!$B$29+Inputs!$B$30)))</f>
        <v/>
      </c>
      <c r="E2511">
        <f>INDEX(FactorTable!$B$2:$Y$301, MATCH(ROUND(MIN(300,MAX(1,D2511)),0), FactorTable!$A$2:$A$301,0), Skills!L19+1)</f>
        <v/>
      </c>
      <c r="F2511">
        <f>(Skills!K19/10)*(E2511/1000)*64/45+Skills!N19</f>
        <v/>
      </c>
      <c r="G2511">
        <f>Calc!G19</f>
        <v/>
      </c>
      <c r="H2511">
        <f>Calc!H19</f>
        <v/>
      </c>
      <c r="I2511">
        <f>IF(Skills!T19&lt;&gt;"",1+(Skills!T19/10)*($Z$3/1000)/100,1)</f>
        <v/>
      </c>
      <c r="J2511" t="inlineStr"/>
      <c r="K2511" t="inlineStr"/>
      <c r="L2511" t="inlineStr"/>
      <c r="M2511" t="inlineStr"/>
      <c r="N2511" t="inlineStr"/>
      <c r="O2511">
        <f>(1-Summary!$B$11)*S2511+Summary!$B$11*U2511</f>
        <v/>
      </c>
      <c r="P2511">
        <f>IF(B2534=0,0,O2511/B2534)</f>
        <v/>
      </c>
      <c r="Q2511">
        <f>IFERROR(1/(IF(Inputs!$B$39="pvp",15,MAX(0.1,Skills!D19-IF(Skills!E19=TRUE,Inputs!$B$33,0)))*(1-IF(AND(ArtifactsInput!$M$27,Inputs!$B$4="Chapter Hunt"),CHOOSE(ArtifactsInput!$N$27+1,20,24,28,32,36,40),0)/100)),0)</f>
        <v/>
      </c>
      <c r="R2511">
        <f>IF(AND(Inputs!$B$39&lt;&gt;"pvp",Inputs!$B$44&gt;0),IF(Inputs!$B$44&lt;=0,0,(INT(Inputs!$B$44/(IF(Inputs!$B$39="pvp",15,MAX(0.1,Skills!D19-IF(Skills!E19=TRUE,Inputs!$B$33,0)))*(1-IF(AND(ArtifactsInput!$M$27,Inputs!$B$4="Chapter Hunt"),CHOOSE(ArtifactsInput!$N$27+1,20,24,28,32,36,40),0)/100)))+1)),0)</f>
        <v/>
      </c>
      <c r="S2511" t="n">
        <v>0</v>
      </c>
      <c r="U2511" t="n">
        <v>0</v>
      </c>
    </row>
    <row r="2512">
      <c r="A2512">
        <f>Skills!A20</f>
        <v/>
      </c>
      <c r="B2512">
        <f>Skills!B20</f>
        <v/>
      </c>
      <c r="C2512">
        <f>Inputs!$B$3&gt;=125</f>
        <v/>
      </c>
      <c r="D2512">
        <f>IF(Skills!C20=1,60+Inputs!$B$26+Inputs!$B$30,IF(Skills!C20=2,90+Inputs!$B$27+Inputs!$B$30,IF(Skills!C20=3,120+Inputs!$B$28+Inputs!$B$30,MAX(0,(Inputs!$B$3-100)*3)+Inputs!$B$29+Inputs!$B$30)))</f>
        <v/>
      </c>
      <c r="E2512">
        <f>INDEX(FactorTable!$B$2:$Y$301, MATCH(ROUND(MIN(300,MAX(1,D2512)),0), FactorTable!$A$2:$A$301,0), Skills!L20+1)</f>
        <v/>
      </c>
      <c r="F2512">
        <f>IF(Skills!M20=TRUE,(Skills!K20/10)*(E2512/1000),Skills!K20/10)+Skills!N20</f>
        <v/>
      </c>
      <c r="G2512">
        <f>Calc!G20</f>
        <v/>
      </c>
      <c r="H2512">
        <f>Calc!H20</f>
        <v/>
      </c>
      <c r="I2512">
        <f>IF(Skills!T20&lt;&gt;"",1+(Skills!T20/10)*($Z$3/1000)/100,1)</f>
        <v/>
      </c>
      <c r="J2512" t="inlineStr"/>
      <c r="K2512" t="inlineStr"/>
      <c r="L2512" t="inlineStr"/>
      <c r="M2512" t="inlineStr"/>
      <c r="N2512" t="inlineStr"/>
      <c r="O2512">
        <f>(1-Summary!$B$11)*S2512+Summary!$B$11*U2512</f>
        <v/>
      </c>
      <c r="P2512">
        <f>IF(B2534=0,0,O2512/B2534)</f>
        <v/>
      </c>
      <c r="Q2512">
        <f>IFERROR(1/(IF(Inputs!$B$39="pvp",15,MAX(0.1,Skills!D20-IF(Skills!E20=TRUE,Inputs!$B$33,0)))*(1-IF(AND(ArtifactsInput!$M$27,Inputs!$B$4="Chapter Hunt"),CHOOSE(ArtifactsInput!$N$27+1,20,24,28,32,36,40),0)/100)),0)</f>
        <v/>
      </c>
      <c r="R2512" t="n">
        <v>0</v>
      </c>
      <c r="S2512" t="n">
        <v>0</v>
      </c>
      <c r="U2512" t="n">
        <v>0</v>
      </c>
    </row>
    <row r="2513">
      <c r="A2513">
        <f>Skills!A21</f>
        <v/>
      </c>
      <c r="B2513">
        <f>Skills!B21</f>
        <v/>
      </c>
      <c r="C2513">
        <f>Inputs!$B$3&gt;=33</f>
        <v/>
      </c>
      <c r="D2513">
        <f>IF(Skills!C21=1,60+Inputs!$B$26+Inputs!$B$30,IF(Skills!C21=2,90+Inputs!$B$27+Inputs!$B$30,IF(Skills!C21=3,120+Inputs!$B$28+Inputs!$B$30,MAX(0,(Inputs!$B$3-100)*3)+Inputs!$B$29+Inputs!$B$30)))</f>
        <v/>
      </c>
      <c r="E2513">
        <f>INDEX(FactorTable!$B$2:$Y$301, MATCH(ROUND(MIN(300,MAX(1,D2513)),0), FactorTable!$A$2:$A$301,0), Skills!L21+1)</f>
        <v/>
      </c>
      <c r="F2513">
        <f>IF(Skills!M21=TRUE,(Skills!K21/10)*(E2513/1000),Skills!K21/10)+Skills!N21</f>
        <v/>
      </c>
      <c r="G2513">
        <f>Calc!G21</f>
        <v/>
      </c>
      <c r="H2513">
        <f>Calc!H21</f>
        <v/>
      </c>
      <c r="I2513">
        <f>IF(Skills!T21&lt;&gt;"",1+(Skills!T21/10)*($Z$3/1000)/100,1)</f>
        <v/>
      </c>
      <c r="J2513" t="inlineStr"/>
      <c r="K2513" t="inlineStr"/>
      <c r="L2513" t="inlineStr"/>
      <c r="M2513" t="inlineStr"/>
      <c r="N2513" t="inlineStr"/>
      <c r="O2513">
        <f>(1-Summary!$B$11)*S2513+Summary!$B$11*U2513</f>
        <v/>
      </c>
      <c r="P2513">
        <f>IF(B2534=0,0,O2513/B2534)</f>
        <v/>
      </c>
      <c r="Q2513">
        <f>IFERROR(1/(IF(Inputs!$B$39="pvp",15,MAX(0.1,Skills!D21-IF(Skills!E21=TRUE,Inputs!$B$33,0)))*(1-IF(AND(ArtifactsInput!$M$27,Inputs!$B$4="Chapter Hunt"),CHOOSE(ArtifactsInput!$N$27+1,20,24,28,32,36,40),0)/100)),0)</f>
        <v/>
      </c>
      <c r="R2513" t="n">
        <v>0</v>
      </c>
      <c r="S2513" t="n">
        <v>0</v>
      </c>
      <c r="U2513" t="n">
        <v>0</v>
      </c>
    </row>
    <row r="2514">
      <c r="A2514">
        <f>Skills!A22</f>
        <v/>
      </c>
      <c r="B2514">
        <f>Skills!B22</f>
        <v/>
      </c>
      <c r="C2514">
        <f>Inputs!$B$3&gt;=43</f>
        <v/>
      </c>
      <c r="D2514">
        <f>IF(Skills!C22=1,60+Inputs!$B$26+Inputs!$B$30,IF(Skills!C22=2,90+Inputs!$B$27+Inputs!$B$30,IF(Skills!C22=3,120+Inputs!$B$28+Inputs!$B$30,MAX(0,(Inputs!$B$3-100)*3)+Inputs!$B$29+Inputs!$B$30)))</f>
        <v/>
      </c>
      <c r="E2514">
        <f>INDEX(FactorTable!$B$2:$Y$301, MATCH(ROUND(MIN(300,MAX(1,D2514)),0), FactorTable!$A$2:$A$301,0), Skills!L22+1)</f>
        <v/>
      </c>
      <c r="F2514">
        <f>IF(Skills!M22=TRUE,(Skills!K22/10)*(E2514/1000),Skills!K22/10)+Skills!N22</f>
        <v/>
      </c>
      <c r="G2514">
        <f>Calc!G22</f>
        <v/>
      </c>
      <c r="H2514">
        <f>Calc!H22</f>
        <v/>
      </c>
      <c r="I2514">
        <f>IF(Skills!T22&lt;&gt;"",1+(Skills!T22/10)*($Z$3/1000)/100,1)</f>
        <v/>
      </c>
      <c r="J2514" t="inlineStr"/>
      <c r="K2514" t="inlineStr"/>
      <c r="L2514" t="inlineStr"/>
      <c r="M2514" t="inlineStr"/>
      <c r="N2514" t="inlineStr"/>
      <c r="O2514">
        <f>(1-Summary!$B$11)*S2514+Summary!$B$11*U2514</f>
        <v/>
      </c>
      <c r="P2514">
        <f>IF(B2534=0,0,O2514/B2534)</f>
        <v/>
      </c>
      <c r="Q2514">
        <f>IFERROR(1/(IF(Inputs!$B$39="pvp",15,MAX(0.1,Skills!D22-IF(Skills!E22=TRUE,Inputs!$B$33,0)))*(1-IF(AND(ArtifactsInput!$M$27,Inputs!$B$4="Chapter Hunt"),CHOOSE(ArtifactsInput!$N$27+1,20,24,28,32,36,40),0)/100)),0)</f>
        <v/>
      </c>
      <c r="R2514" t="n">
        <v>0</v>
      </c>
      <c r="S2514" t="n">
        <v>0</v>
      </c>
      <c r="U2514" t="n">
        <v>0</v>
      </c>
    </row>
    <row r="2515">
      <c r="A2515">
        <f>Skills!A23</f>
        <v/>
      </c>
      <c r="B2515">
        <f>Skills!B23</f>
        <v/>
      </c>
      <c r="C2515">
        <f>Inputs!$B$3&gt;=50</f>
        <v/>
      </c>
      <c r="D2515">
        <f>IF(Skills!C23=1,60+Inputs!$B$26+Inputs!$B$30,IF(Skills!C23=2,90+Inputs!$B$27+Inputs!$B$30,IF(Skills!C23=3,120+Inputs!$B$28+Inputs!$B$30,MAX(0,(Inputs!$B$3-100)*3)+Inputs!$B$29+Inputs!$B$30)))</f>
        <v/>
      </c>
      <c r="E2515">
        <f>INDEX(FactorTable!$B$2:$Y$301, MATCH(ROUND(MIN(300,MAX(1,D2515)),0), FactorTable!$A$2:$A$301,0), Skills!L23+1)</f>
        <v/>
      </c>
      <c r="F2515">
        <f>IF(Skills!M23=TRUE,(Skills!K23/10)*(E2515/1000),Skills!K23/10)+Skills!N23</f>
        <v/>
      </c>
      <c r="G2515">
        <f>Calc!G23</f>
        <v/>
      </c>
      <c r="H2515">
        <f>Calc!H23</f>
        <v/>
      </c>
      <c r="I2515">
        <f>IF(Skills!T23&lt;&gt;"",1+(Skills!T23/10)*($Z$3/1000)/100,1)</f>
        <v/>
      </c>
      <c r="J2515" t="inlineStr"/>
      <c r="K2515" t="inlineStr"/>
      <c r="L2515" t="inlineStr"/>
      <c r="M2515" t="inlineStr"/>
      <c r="N2515" t="inlineStr"/>
      <c r="O2515">
        <f>(1-Summary!$B$11)*S2515+Summary!$B$11*U2515</f>
        <v/>
      </c>
      <c r="P2515">
        <f>IF(B2534=0,0,O2515/B2534)</f>
        <v/>
      </c>
      <c r="Q2515">
        <f>IFERROR(1/(IF(Inputs!$B$39="pvp",15,MAX(0.1,Skills!D23-IF(Skills!E23=TRUE,Inputs!$B$33,0)))*(1-IF(AND(ArtifactsInput!$M$27,Inputs!$B$4="Chapter Hunt"),CHOOSE(ArtifactsInput!$N$27+1,20,24,28,32,36,40),0)/100)),0)</f>
        <v/>
      </c>
      <c r="R2515" t="n">
        <v>0</v>
      </c>
      <c r="S2515" t="n">
        <v>0</v>
      </c>
      <c r="U2515" t="n">
        <v>0</v>
      </c>
    </row>
    <row r="2516">
      <c r="A2516">
        <f>Skills!A24</f>
        <v/>
      </c>
      <c r="B2516">
        <f>Skills!B24</f>
        <v/>
      </c>
      <c r="C2516">
        <f>Inputs!$B$3&gt;=74</f>
        <v/>
      </c>
      <c r="D2516">
        <f>IF(Skills!C24=1,60+Inputs!$B$26+Inputs!$B$30,IF(Skills!C24=2,90+Inputs!$B$27+Inputs!$B$30,IF(Skills!C24=3,120+Inputs!$B$28+Inputs!$B$30,MAX(0,(Inputs!$B$3-100)*3)+Inputs!$B$29+Inputs!$B$30)))</f>
        <v/>
      </c>
      <c r="E2516">
        <f>INDEX(FactorTable!$B$2:$Y$301, MATCH(ROUND(MIN(300,MAX(1,D2516)),0), FactorTable!$A$2:$A$301,0), Skills!L24+1)</f>
        <v/>
      </c>
      <c r="F2516">
        <f>IF(Skills!M24=TRUE,(Skills!K24/10)*(E2516/1000),Skills!K24/10)+Skills!N24</f>
        <v/>
      </c>
      <c r="G2516">
        <f>Calc!G24</f>
        <v/>
      </c>
      <c r="H2516">
        <f>Calc!H24</f>
        <v/>
      </c>
      <c r="I2516">
        <f>IF(Skills!T24&lt;&gt;"",1+(Skills!T24/10)*($Z$3/1000)/100,1)</f>
        <v/>
      </c>
      <c r="J2516" t="inlineStr"/>
      <c r="K2516" t="inlineStr"/>
      <c r="L2516" t="inlineStr"/>
      <c r="M2516" t="inlineStr"/>
      <c r="N2516" t="inlineStr"/>
      <c r="O2516">
        <f>(1-Summary!$B$11)*S2516+Summary!$B$11*U2516</f>
        <v/>
      </c>
      <c r="P2516">
        <f>IF(B2534=0,0,O2516/B2534)</f>
        <v/>
      </c>
      <c r="Q2516">
        <f>IFERROR(1/(IF(Inputs!$B$39="pvp",15,MAX(0.1,Skills!D24-IF(Skills!E24=TRUE,Inputs!$B$33,0)))*(1-IF(AND(ArtifactsInput!$M$27,Inputs!$B$4="Chapter Hunt"),CHOOSE(ArtifactsInput!$N$27+1,20,24,28,32,36,40),0)/100)),0)</f>
        <v/>
      </c>
      <c r="R2516" t="n">
        <v>0</v>
      </c>
      <c r="S2516" t="n">
        <v>0</v>
      </c>
      <c r="U2516" t="n">
        <v>0</v>
      </c>
    </row>
    <row r="2517">
      <c r="A2517">
        <f>Skills!A25</f>
        <v/>
      </c>
      <c r="B2517">
        <f>Skills!B25</f>
        <v/>
      </c>
      <c r="C2517">
        <f>Inputs!$B$3&gt;=74</f>
        <v/>
      </c>
      <c r="D2517">
        <f>IF(Skills!C25=1,60+Inputs!$B$26+Inputs!$B$30,IF(Skills!C25=2,90+Inputs!$B$27+Inputs!$B$30,IF(Skills!C25=3,120+Inputs!$B$28+Inputs!$B$30,MAX(0,(Inputs!$B$3-100)*3)+Inputs!$B$29+Inputs!$B$30)))</f>
        <v/>
      </c>
      <c r="E2517">
        <f>INDEX(FactorTable!$B$2:$Y$301, MATCH(ROUND(MIN(300,MAX(1,D2517)),0), FactorTable!$A$2:$A$301,0), Skills!L25+1)</f>
        <v/>
      </c>
      <c r="F2517">
        <f>IF(Skills!M25=TRUE,(Skills!K25/10)*(E2517/1000),Skills!K25/10)+Skills!N25</f>
        <v/>
      </c>
      <c r="G2517">
        <f>Calc!G25</f>
        <v/>
      </c>
      <c r="H2517">
        <f>Calc!H25</f>
        <v/>
      </c>
      <c r="I2517">
        <f>IF(Skills!T25&lt;&gt;"",1+(Skills!T25/10)*($Z$3/1000)/100,1)</f>
        <v/>
      </c>
      <c r="J2517" t="inlineStr"/>
      <c r="K2517" t="inlineStr"/>
      <c r="L2517" t="inlineStr"/>
      <c r="M2517" t="inlineStr"/>
      <c r="N2517" t="inlineStr"/>
      <c r="O2517">
        <f>(1-Summary!$B$11)*S2517+Summary!$B$11*U2517</f>
        <v/>
      </c>
      <c r="P2517">
        <f>IF(B2534=0,0,O2517/B2534)</f>
        <v/>
      </c>
      <c r="Q2517">
        <f>IFERROR(1/(IF(Inputs!$B$39="pvp",15,MAX(0.1,Skills!D25-IF(Skills!E25=TRUE,Inputs!$B$33,0)))*(1-IF(AND(ArtifactsInput!$M$27,Inputs!$B$4="Chapter Hunt"),CHOOSE(ArtifactsInput!$N$27+1,20,24,28,32,36,40),0)/100)),0)</f>
        <v/>
      </c>
      <c r="R2517" t="n">
        <v>0</v>
      </c>
      <c r="S2517" t="n">
        <v>0</v>
      </c>
      <c r="U2517" t="n">
        <v>0</v>
      </c>
    </row>
    <row r="2518">
      <c r="A2518">
        <f>Skills!A26</f>
        <v/>
      </c>
      <c r="B2518">
        <f>Skills!B26</f>
        <v/>
      </c>
      <c r="C2518">
        <f>Inputs!$B$3&gt;=117</f>
        <v/>
      </c>
      <c r="D2518">
        <f>IF(Skills!C26=1,60+Inputs!$B$26+Inputs!$B$30,IF(Skills!C26=2,90+Inputs!$B$27+Inputs!$B$30,IF(Skills!C26=3,120+Inputs!$B$28+Inputs!$B$30,MAX(0,(Inputs!$B$3-100)*3)+Inputs!$B$29+Inputs!$B$30)))</f>
        <v/>
      </c>
      <c r="E2518">
        <f>INDEX(FactorTable!$B$2:$Y$301, MATCH(ROUND(MIN(300,MAX(1,D2518)),0), FactorTable!$A$2:$A$301,0), Skills!L26+1)</f>
        <v/>
      </c>
      <c r="F2518">
        <f>IF(Skills!M26=TRUE,(Skills!K26/10)*(E2518/1000),Skills!K26/10)+Skills!N26</f>
        <v/>
      </c>
      <c r="G2518">
        <f>Calc!G26</f>
        <v/>
      </c>
      <c r="H2518">
        <f>Calc!H26</f>
        <v/>
      </c>
      <c r="I2518">
        <f>IF(Skills!T26&lt;&gt;"",1+(Skills!T26/10)*($Z$3/1000)/100,1)</f>
        <v/>
      </c>
      <c r="J2518" t="inlineStr"/>
      <c r="K2518" t="inlineStr"/>
      <c r="L2518" t="inlineStr"/>
      <c r="M2518" t="inlineStr"/>
      <c r="N2518" t="inlineStr"/>
      <c r="O2518">
        <f>(1-Summary!$B$11)*S2518+Summary!$B$11*U2518</f>
        <v/>
      </c>
      <c r="P2518">
        <f>IF(B2534=0,0,O2518/B2534)</f>
        <v/>
      </c>
      <c r="Q2518">
        <f>IFERROR(1/(IF(Inputs!$B$39="pvp",15,MAX(0.1,Skills!D26-IF(Skills!E26=TRUE,Inputs!$B$33,0)))*(1-IF(AND(ArtifactsInput!$M$27,Inputs!$B$4="Chapter Hunt"),CHOOSE(ArtifactsInput!$N$27+1,20,24,28,32,36,40),0)/100)),0)</f>
        <v/>
      </c>
      <c r="R2518" t="n">
        <v>0</v>
      </c>
      <c r="S2518" t="n">
        <v>0</v>
      </c>
      <c r="U2518" t="n">
        <v>0</v>
      </c>
    </row>
    <row r="2519">
      <c r="A2519">
        <f>Skills!A27</f>
        <v/>
      </c>
      <c r="B2519">
        <f>Skills!B27</f>
        <v/>
      </c>
      <c r="C2519">
        <f>Inputs!$B$3&gt;=120</f>
        <v/>
      </c>
      <c r="D2519">
        <f>IF(Skills!C27=1,60+Inputs!$B$26+Inputs!$B$30,IF(Skills!C27=2,90+Inputs!$B$27+Inputs!$B$30,IF(Skills!C27=3,120+Inputs!$B$28+Inputs!$B$30,MAX(0,(Inputs!$B$3-100)*3)+Inputs!$B$29+Inputs!$B$30)))</f>
        <v/>
      </c>
      <c r="E2519">
        <f>INDEX(FactorTable!$B$2:$Y$301, MATCH(ROUND(MIN(300,MAX(1,D2519)),0), FactorTable!$A$2:$A$301,0), Skills!L27+1)</f>
        <v/>
      </c>
      <c r="F2519">
        <f>IF(Skills!M27=TRUE,(Skills!K27/10)*(E2519/1000),Skills!K27/10)+Skills!N27</f>
        <v/>
      </c>
      <c r="G2519">
        <f>Calc!G27</f>
        <v/>
      </c>
      <c r="H2519">
        <f>Calc!H27</f>
        <v/>
      </c>
      <c r="I2519">
        <f>IF(Skills!T27&lt;&gt;"",1+(Skills!T27/10)*($Z$3/1000)/100,1)</f>
        <v/>
      </c>
      <c r="J2519" t="inlineStr"/>
      <c r="K2519" t="inlineStr"/>
      <c r="L2519" t="inlineStr"/>
      <c r="M2519" t="inlineStr"/>
      <c r="N2519" t="inlineStr"/>
      <c r="O2519">
        <f>(1-Summary!$B$11)*S2519+Summary!$B$11*U2519</f>
        <v/>
      </c>
      <c r="P2519">
        <f>IF(B2534=0,0,O2519/B2534)</f>
        <v/>
      </c>
      <c r="Q2519">
        <f>IFERROR(1/(IF(Inputs!$B$39="pvp",15,MAX(0.1,Skills!D27-IF(Skills!E27=TRUE,Inputs!$B$33,0)))*(1-IF(AND(ArtifactsInput!$M$27,Inputs!$B$4="Chapter Hunt"),CHOOSE(ArtifactsInput!$N$27+1,20,24,28,32,36,40),0)/100)),0)</f>
        <v/>
      </c>
      <c r="R2519" t="n">
        <v>0</v>
      </c>
      <c r="S2519" t="n">
        <v>0</v>
      </c>
      <c r="U2519" t="n">
        <v>0</v>
      </c>
    </row>
    <row r="2521">
      <c r="A2521" t="inlineStr">
        <is>
          <t>Average Buff Multiplier</t>
        </is>
      </c>
      <c r="B2521">
        <f>(1+(IF(C2495=TRUE,F2495*IF(AND(Inputs!$B$39&lt;&gt;"pvp",Inputs!$B$44&gt;0),(((R2495-1)*(Skills!S3*(1+((Inputs!$B$35+(ArtifactsInput!$M$7-ArtifactsInput!$M$7)*CHOOSE(ArtifactsInput!$N$7+1,6,7.2,8.4,9.6,10.8,12))+IF(Inputs!$B$3&gt;=117,F2518,0))/100))+MIN((Skills!S3*(1+((Inputs!$B$35+(ArtifactsInput!$M$7-ArtifactsInput!$M$7)*CHOOSE(ArtifactsInput!$N$7+1,6,7.2,8.4,9.6,10.8,12))+IF(Inputs!$B$3&gt;=117,F2518,0))/100)),MAX(0,Inputs!$B$44-((R2495-1)*Skills!D3))))/Inputs!$B$44),IF(Inputs!$B$39="pvp",MIN((Skills!S3*(1+((Inputs!$B$35+(ArtifactsInput!$M$7-ArtifactsInput!$M$7)*CHOOSE(ArtifactsInput!$N$7+1,6,7.2,8.4,9.6,10.8,12))+IF(Inputs!$B$3&gt;=117,F2518,0))/100)),15)/15,(Skills!S3*(1+((Inputs!$B$35+(ArtifactsInput!$M$7-ArtifactsInput!$M$7)*CHOOSE(ArtifactsInput!$N$7+1,6,7.2,8.4,9.6,10.8,12))+IF(Inputs!$B$3&gt;=117,F2518,0))/100))/Skills!D3)),0)+IF(C2496=TRUE,F2496*IF(AND(Inputs!$B$39&lt;&gt;"pvp",Inputs!$B$44&gt;0),(((R2496-1)*(Skills!S4*(1+((Inputs!$B$35+(ArtifactsInput!$M$7-ArtifactsInput!$M$7)*CHOOSE(ArtifactsInput!$N$7+1,6,7.2,8.4,9.6,10.8,12))+IF(Inputs!$B$3&gt;=117,F2518,0))/100))+MIN((Skills!S4*(1+((Inputs!$B$35+(ArtifactsInput!$M$7-ArtifactsInput!$M$7)*CHOOSE(ArtifactsInput!$N$7+1,6,7.2,8.4,9.6,10.8,12))+IF(Inputs!$B$3&gt;=117,F2518,0))/100)),MAX(0,Inputs!$B$44-((R2496-1)*Skills!D4))))/Inputs!$B$44),IF(Inputs!$B$39="pvp",MIN((Skills!S4*(1+((Inputs!$B$35+(ArtifactsInput!$M$7-ArtifactsInput!$M$7)*CHOOSE(ArtifactsInput!$N$7+1,6,7.2,8.4,9.6,10.8,12))+IF(Inputs!$B$3&gt;=117,F2518,0))/100)),15)/15,(Skills!S4*(1+((Inputs!$B$35+(ArtifactsInput!$M$7-ArtifactsInput!$M$7)*CHOOSE(ArtifactsInput!$N$7+1,6,7.2,8.4,9.6,10.8,12))+IF(Inputs!$B$3&gt;=117,F2518,0))/100))/Skills!D4)),0)+IF(C2497=TRUE,F2497*IF(AND(Inputs!$B$39&lt;&gt;"pvp",Inputs!$B$44&gt;0),(((R2497-1)*(Skills!S5*(1+((Inputs!$B$35+(ArtifactsInput!$M$7-ArtifactsInput!$M$7)*CHOOSE(ArtifactsInput!$N$7+1,6,7.2,8.4,9.6,10.8,12))+IF(Inputs!$B$3&gt;=117,F2518,0))/100))+MIN((Skills!S5*(1+((Inputs!$B$35+(ArtifactsInput!$M$7-ArtifactsInput!$M$7)*CHOOSE(ArtifactsInput!$N$7+1,6,7.2,8.4,9.6,10.8,12))+IF(Inputs!$B$3&gt;=117,F2518,0))/100)),MAX(0,Inputs!$B$44-((R2497-1)*Skills!D5))))/Inputs!$B$44),IF(Inputs!$B$39="pvp",MIN((Skills!S5*(1+((Inputs!$B$35+(ArtifactsInput!$M$7-ArtifactsInput!$M$7)*CHOOSE(ArtifactsInput!$N$7+1,6,7.2,8.4,9.6,10.8,12))+IF(Inputs!$B$3&gt;=117,F2518,0))/100)),15)/15,(Skills!S5*(1+((Inputs!$B$35+(ArtifactsInput!$M$7-ArtifactsInput!$M$7)*CHOOSE(ArtifactsInput!$N$7+1,6,7.2,8.4,9.6,10.8,12))+IF(Inputs!$B$3&gt;=117,F2518,0))/100))/Skills!D5)),0)+IF(C2503=TRUE,F2503*IF(AND(Inputs!$B$39&lt;&gt;"pvp",Inputs!$B$44&gt;0),(((R2503-1)*(Skills!S11*(1+((Inputs!$B$35+(ArtifactsInput!$M$7-ArtifactsInput!$M$7)*CHOOSE(ArtifactsInput!$N$7+1,6,7.2,8.4,9.6,10.8,12))+IF(Inputs!$B$3&gt;=117,F2518,0))/100))+MIN((Skills!S11*(1+((Inputs!$B$35+(ArtifactsInput!$M$7-ArtifactsInput!$M$7)*CHOOSE(ArtifactsInput!$N$7+1,6,7.2,8.4,9.6,10.8,12))+IF(Inputs!$B$3&gt;=117,F2518,0))/100)),MAX(0,Inputs!$B$44-((R2503-1)*Skills!D11))))/Inputs!$B$44),IF(Inputs!$B$39="pvp",MIN((Skills!S11*(1+((Inputs!$B$35+(ArtifactsInput!$M$7-ArtifactsInput!$M$7)*CHOOSE(ArtifactsInput!$N$7+1,6,7.2,8.4,9.6,10.8,12))+IF(Inputs!$B$3&gt;=117,F2518,0))/100)),15)/15,(Skills!S11*(1+((Inputs!$B$35+(ArtifactsInput!$M$7-ArtifactsInput!$M$7)*CHOOSE(ArtifactsInput!$N$7+1,6,7.2,8.4,9.6,10.8,12))+IF(Inputs!$B$3&gt;=117,F2518,0)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2506=TRUE,(1+F2506*IF(AND(Inputs!$B$39&lt;&gt;"pvp",Inputs!$B$44&gt;0),(((R2506-1)*(Skills!S14*(1+((Inputs!$B$35+(ArtifactsInput!$M$7-ArtifactsInput!$M$7)*CHOOSE(ArtifactsInput!$N$7+1,6,7.2,8.4,9.6,10.8,12))+IF(Inputs!$B$3&gt;=117,F2518,0))/100))+MIN((Skills!S14*(1+((Inputs!$B$35+(ArtifactsInput!$M$7-ArtifactsInput!$M$7)*CHOOSE(ArtifactsInput!$N$7+1,6,7.2,8.4,9.6,10.8,12))+IF(Inputs!$B$3&gt;=117,F2518,0))/100)),MAX(0,Inputs!$B$44-((R2506-1)*Skills!D14))))/Inputs!$B$44),IF(Inputs!$B$39="pvp",MIN((Skills!S14*(1+((Inputs!$B$35+(ArtifactsInput!$M$7-ArtifactsInput!$M$7)*CHOOSE(ArtifactsInput!$N$7+1,6,7.2,8.4,9.6,10.8,12))+IF(Inputs!$B$3&gt;=117,F2518,0))/100)),15)/15,(Skills!S14*(1+((Inputs!$B$35+(ArtifactsInput!$M$7-ArtifactsInput!$M$7)*CHOOSE(ArtifactsInput!$N$7+1,6,7.2,8.4,9.6,10.8,12))+IF(Inputs!$B$3&gt;=117,F2518,0))/100))/Skills!D14))/100),1)*IF(C2511=TRUE,(1+F2511*IF(AND(Inputs!$B$39&lt;&gt;"pvp",Inputs!$B$44&gt;0),(((R2511-1)*(Skills!S19*(1+((Inputs!$B$35+(ArtifactsInput!$M$7-ArtifactsInput!$M$7)*CHOOSE(ArtifactsInput!$N$7+1,6,7.2,8.4,9.6,10.8,12))+IF(Inputs!$B$3&gt;=117,F2518,0))/100))+MIN((Skills!S19*(1+((Inputs!$B$35+(ArtifactsInput!$M$7-ArtifactsInput!$M$7)*CHOOSE(ArtifactsInput!$N$7+1,6,7.2,8.4,9.6,10.8,12))+IF(Inputs!$B$3&gt;=117,F2518,0))/100)),MAX(0,Inputs!$B$44-((R2511-1)*Skills!D19))))/Inputs!$B$44),IF(Inputs!$B$39="pvp",MIN((Skills!S19*(1+((Inputs!$B$35+(ArtifactsInput!$M$7-ArtifactsInput!$M$7)*CHOOSE(ArtifactsInput!$N$7+1,6,7.2,8.4,9.6,10.8,12))+IF(Inputs!$B$3&gt;=117,F2518,0))/100)),15)/15,(Skills!S19*(1+((Inputs!$B$35+(ArtifactsInput!$M$7-ArtifactsInput!$M$7)*CHOOSE(ArtifactsInput!$N$7+1,6,7.2,8.4,9.6,10.8,12))+IF(Inputs!$B$3&gt;=117,F2518,0))/100))/Skills!D19))/100),1)</f>
        <v/>
      </c>
    </row>
    <row r="2522">
      <c r="A2522" t="inlineStr">
        <is>
          <t>Monster Damage Taken Bonus % (Holy Fountain)</t>
        </is>
      </c>
      <c r="B2522">
        <f>IF(Inputs!$B$3&gt;=68,20*IF(Inputs!$B$39="pvp",MIN((15*(1+((Inputs!$B$35+(ArtifactsInput!$M$7-ArtifactsInput!$M$7)*CHOOSE(ArtifactsInput!$N$7+1,6,7.2,8.4,9.6,10.8,12))+IF(Inputs!$B$3&gt;=117,F2518,0))/100)),15)/15,(15*(1+((Inputs!$B$35+(ArtifactsInput!$M$7-ArtifactsInput!$M$7)*CHOOSE(ArtifactsInput!$N$7+1,6,7.2,8.4,9.6,10.8,12))+IF(Inputs!$B$3&gt;=117,F2518,0))/100))/Skills!D10),0)</f>
        <v/>
      </c>
    </row>
    <row r="2523">
      <c r="A2523" t="inlineStr">
        <is>
          <t>Normal Monster Damage Bonus % (Holy Symbol)</t>
        </is>
      </c>
      <c r="B2523">
        <f>IF(C2504=TRUE,F2504*IF(AND(Inputs!$B$39&lt;&gt;"pvp",Inputs!$B$44&gt;0),(((R2504-1)*(Skills!S12*(1+((Inputs!$B$35+(ArtifactsInput!$M$7-ArtifactsInput!$M$7)*CHOOSE(ArtifactsInput!$N$7+1,6,7.2,8.4,9.6,10.8,12))+IF(Inputs!$B$3&gt;=117,F2518,0))/100))+MIN((Skills!S12*(1+((Inputs!$B$35+(ArtifactsInput!$M$7-ArtifactsInput!$M$7)*CHOOSE(ArtifactsInput!$N$7+1,6,7.2,8.4,9.6,10.8,12))+IF(Inputs!$B$3&gt;=117,F2518,0))/100)),MAX(0,Inputs!$B$44-((R2504-1)*Skills!D12))))/Inputs!$B$44),IF(Inputs!$B$39="pvp",MIN((Skills!S12*(1+((Inputs!$B$35+(ArtifactsInput!$M$7-ArtifactsInput!$M$7)*CHOOSE(ArtifactsInput!$N$7+1,6,7.2,8.4,9.6,10.8,12))+IF(Inputs!$B$3&gt;=117,F2518,0))/100)),15)/15,(Skills!S12*(1+((Inputs!$B$35+(ArtifactsInput!$M$7-ArtifactsInput!$M$7)*CHOOSE(ArtifactsInput!$N$7+1,6,7.2,8.4,9.6,10.8,12))+IF(Inputs!$B$3&gt;=117,F2518,0))/100))/Skills!D12)),0)</f>
        <v/>
      </c>
    </row>
    <row r="2524">
      <c r="A2524" t="inlineStr">
        <is>
          <t>Damage % Bonus (Holy Symbol - Damage Boost)</t>
        </is>
      </c>
      <c r="B2524">
        <f>Skills!O12</f>
        <v/>
      </c>
    </row>
    <row r="2525">
      <c r="A2525" t="inlineStr">
        <is>
          <t>Crit Damage % Bonus (Blood of the Divine)</t>
        </is>
      </c>
      <c r="B2525">
        <f>4*IF(C2512=TRUE,F2512,0)</f>
        <v/>
      </c>
    </row>
    <row r="2526">
      <c r="A2526" t="inlineStr">
        <is>
          <t>Attack Speed Bonus %</t>
        </is>
      </c>
      <c r="B2526">
        <f>IF(C2509=TRUE,F2509+(F2513-Calc!F21),0)+IF(Inputs!$B$3&gt;=134,15,0)</f>
        <v/>
      </c>
    </row>
    <row r="2527">
      <c r="A2527" t="inlineStr">
        <is>
          <t>Actions Per Second</t>
        </is>
      </c>
      <c r="B2527">
        <f>1+MIN(150,150*(1-(1-Inputs!$B$12/150)*(1-B2526/150)))/100</f>
        <v/>
      </c>
    </row>
    <row r="2528">
      <c r="A2528" t="inlineStr">
        <is>
          <t>Skill + Buff Cast Rate</t>
        </is>
      </c>
      <c r="B2528">
        <f>IF(AND(Inputs!$B$39&lt;&gt;"pvp",Inputs!$B$44&gt;0),SUMPRODUCT((Skills!E2:E27=TRUE)*(C2494:C2519=TRUE)*R2494:R2519)/Inputs!$B$44,SUMPRODUCT((Skills!E2:E27=TRUE)*(C2494:C2519=TRUE)*Q2494:Q2519))</f>
        <v/>
      </c>
    </row>
    <row r="2529">
      <c r="A2529" t="inlineStr">
        <is>
          <t>Big Bang Casts Per Second</t>
        </is>
      </c>
      <c r="B2529">
        <f>MAX(0,B2527-B2528)</f>
        <v/>
      </c>
    </row>
    <row r="2530">
      <c r="A2530" t="inlineStr">
        <is>
          <t>Defense % Bonus (Divine Protection)</t>
        </is>
      </c>
      <c r="B2530">
        <f>IF(C2505=TRUE,F2505*IF(AND(Inputs!$B$39&lt;&gt;"pvp",Inputs!$B$44&gt;0),(((R2505-1)*(Skills!S13*(1+((Inputs!$B$35+(ArtifactsInput!$M$7-ArtifactsInput!$M$7)*CHOOSE(ArtifactsInput!$N$7+1,6,7.2,8.4,9.6,10.8,12))+IF(Inputs!$B$3&gt;=117,F2518,0))/100))+MIN((Skills!S13*(1+((Inputs!$B$35+(ArtifactsInput!$M$7-ArtifactsInput!$M$7)*CHOOSE(ArtifactsInput!$N$7+1,6,7.2,8.4,9.6,10.8,12))+IF(Inputs!$B$3&gt;=117,F2518,0))/100)),MAX(0,Inputs!$B$44-((R2505-1)*Skills!D13))))/Inputs!$B$44),IF(Inputs!$B$39="pvp",MIN((Skills!S13*(1+((Inputs!$B$35+(ArtifactsInput!$M$7-ArtifactsInput!$M$7)*CHOOSE(ArtifactsInput!$N$7+1,6,7.2,8.4,9.6,10.8,12))+IF(Inputs!$B$3&gt;=117,F2518,0))/100)),15)/15,(Skills!S13*(1+((Inputs!$B$35+(ArtifactsInput!$M$7-ArtifactsInput!$M$7)*CHOOSE(ArtifactsInput!$N$7+1,6,7.2,8.4,9.6,10.8,12))+IF(Inputs!$B$3&gt;=117,F2518,0))/100))/Skills!D13)),0)</f>
        <v/>
      </c>
    </row>
    <row r="2531">
      <c r="A2531" t="inlineStr">
        <is>
          <t>Buff-Casting Startup Delay (s, fixed-duration only)</t>
        </is>
      </c>
      <c r="B2531">
        <f>IF(AND(Inputs!$B$39&lt;&gt;"pvp",Inputs!$B$44&gt;0),SUMPRODUCT((Skills!S2:S27&gt;0)*(Skills!E2:E27=TRUE)*(C2494:C2519=TRUE))/B2527,0)</f>
        <v/>
      </c>
    </row>
    <row r="2532">
      <c r="A2532" t="inlineStr">
        <is>
          <t>Boss-Only Total DPS (this block's swept value)</t>
        </is>
      </c>
      <c r="B2532">
        <f>SUM(S2494:S2519)</f>
        <v/>
      </c>
    </row>
    <row r="2533">
      <c r="A2533" t="inlineStr">
        <is>
          <t>Normal-Only Total DPS (this block's swept value)</t>
        </is>
      </c>
      <c r="B2533">
        <f>SUM(U2494:U2519)</f>
        <v/>
      </c>
    </row>
    <row r="2534">
      <c r="A2534" s="6" t="inlineStr">
        <is>
          <t>TOTAL DPS</t>
        </is>
      </c>
      <c r="B2534" s="6">
        <f>SUM(O2494:O2519)</f>
        <v/>
      </c>
    </row>
    <row r="2536">
      <c r="A2536" s="6" t="inlineStr">
        <is>
          <t>Stat: Candle (Equip)</t>
        </is>
      </c>
    </row>
    <row r="2537">
      <c r="A2537" s="5" t="inlineStr">
        <is>
          <t>Key</t>
        </is>
      </c>
      <c r="B2537" s="5" t="inlineStr">
        <is>
          <t>Name</t>
        </is>
      </c>
      <c r="C2537" s="5" t="inlineStr">
        <is>
          <t>Unlocked</t>
        </is>
      </c>
      <c r="D2537" s="5" t="inlineStr">
        <is>
          <t>InputLevel</t>
        </is>
      </c>
      <c r="E2537" s="5" t="inlineStr">
        <is>
          <t>Factor</t>
        </is>
      </c>
      <c r="F2537" s="5" t="inlineStr">
        <is>
          <t>CoefficientPercent</t>
        </is>
      </c>
      <c r="G2537" s="5" t="inlineStr">
        <is>
          <t>EffectiveHits</t>
        </is>
      </c>
      <c r="H2537" s="5" t="inlineStr">
        <is>
          <t>ProcProbability</t>
        </is>
      </c>
      <c r="I2537" s="5" t="inlineStr">
        <is>
          <t>MapleHeroMultiplier</t>
        </is>
      </c>
      <c r="J2537" s="5" t="inlineStr">
        <is>
          <t>BaseDamage</t>
        </is>
      </c>
      <c r="K2537" s="5" t="inlineStr">
        <is>
          <t>BaseHitDamage</t>
        </is>
      </c>
      <c r="L2537" s="5" t="inlineStr">
        <is>
          <t>NonCritAvg</t>
        </is>
      </c>
      <c r="M2537" s="5" t="inlineStr">
        <is>
          <t>CritAvg</t>
        </is>
      </c>
      <c r="N2537" s="5" t="inlineStr">
        <is>
          <t>ExpectedDamage(perHit)</t>
        </is>
      </c>
      <c r="O2537" s="5" t="inlineStr">
        <is>
          <t>DPS</t>
        </is>
      </c>
      <c r="P2537" s="5" t="inlineStr">
        <is>
          <t>% of Total</t>
        </is>
      </c>
      <c r="R2537" t="inlineStr">
        <is>
          <t>helpers</t>
        </is>
      </c>
    </row>
    <row r="2538">
      <c r="A2538">
        <f>Skills!A2</f>
        <v/>
      </c>
      <c r="B2538">
        <f>Skills!B2</f>
        <v/>
      </c>
      <c r="C2538">
        <f>Inputs!$B$3&gt;=100</f>
        <v/>
      </c>
      <c r="D2538" t="inlineStr"/>
      <c r="E2538" t="inlineStr"/>
      <c r="F2538">
        <f>T2540+Skills!N2</f>
        <v/>
      </c>
      <c r="G2538">
        <f>Calc!G2</f>
        <v/>
      </c>
      <c r="H2538">
        <f>Calc!H2</f>
        <v/>
      </c>
      <c r="I2538">
        <f>IF(Skills!T2&lt;&gt;"",1+(Skills!T2/10)*($Z$3/1000)/100,1)</f>
        <v/>
      </c>
      <c r="J2538">
        <f>((Inputs!$B$6*(1+Inputs!$B$7/100))+(((Inputs!$B$13*(1+Inputs!$B$14/100))-(Inputs!$B$13*(1+Inputs!$B$14/100)))+0.25*(Inputs!$B$15-Inputs!$B$15))*(1+Inputs!$B$7/100))*(F2538/100)</f>
        <v/>
      </c>
      <c r="K2538">
        <f>J2538*(1+(((Inputs!$B$13+IF(Inputs!$B$3&gt;=35,(10*INDEX(FactorTable!$B$2:$Y$301,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2="TRIUMPH_FEATHER",IF(C2552=TRUE,F2552,0),0)/100)*(1+IF(C2563=TRUE,F2563,0)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2538)</f>
        <v/>
      </c>
      <c r="L2538">
        <f>K2538*(MIN(Inputs!$B$23+(F2558-Calc!F22),(Inputs!$B$24+IF(ArtifactsInput!$M$15,CHOOSE(ArtifactsInput!$N$15+1,25,30,35,40,45,50)/100*(Inputs!$B$12-Inputs!$B$12),0)))/100+(Inputs!$B$24+IF(ArtifactsInput!$M$15,CHOOSE(ArtifactsInput!$N$15+1,25,30,35,40,45,50)/100*(Inputs!$B$12-Inputs!$B$12),0))/100)/2</f>
        <v/>
      </c>
      <c r="M2538">
        <f>L2538*(1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38">
        <f>L2538*(1-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2538*(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8">
        <f>(1-Summary!$B$11)*S2538+Summary!$B$11*U2538</f>
        <v/>
      </c>
      <c r="P2538">
        <f>IF(B2578=0,0,O2538/B2578)</f>
        <v/>
      </c>
      <c r="Q2538">
        <f>IFERROR(1/(IF(Inputs!$B$39="pvp",15,MAX(0.1,Skills!D2-IF(Skills!E2=TRUE,Inputs!$B$33,0)))*(1-IF(AND(ArtifactsInput!$M$27,Inputs!$B$4="Chapter Hunt"),CHOOSE(ArtifactsInput!$N$27+1,20,24,28,32,36,40),0)/100)),0)</f>
        <v/>
      </c>
      <c r="R2538" t="n">
        <v>0</v>
      </c>
      <c r="S2538">
        <f>IF(C2538,(Skills!F2*N2538*B2573)*IF(Inputs!$B$39="pvp",1,1+(Inputs!$B$21+Skills!O2+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2538*(1-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2538*(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2538*(1-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2538*(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38">
        <f>MAX(0,(Inputs!$B$3-100)*3)+Inputs!$B$29+Inputs!$B$30</f>
        <v/>
      </c>
      <c r="U2538">
        <f>IF(C2538,(Skills!F2*N2538*B2573)*IF(Inputs!$B$39="pvp",1,(1+(Inputs!$B$22+Skills!P2+B2567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9">
      <c r="A2539">
        <f>Skills!A3</f>
        <v/>
      </c>
      <c r="B2539">
        <f>Skills!B3</f>
        <v/>
      </c>
      <c r="C2539">
        <f>Inputs!$B$3&gt;=15</f>
        <v/>
      </c>
      <c r="D2539">
        <f>IF(Skills!C3=1,60+Inputs!$B$26+Inputs!$B$30,IF(Skills!C3=2,90+Inputs!$B$27+Inputs!$B$30,IF(Skills!C3=3,120+Inputs!$B$28+Inputs!$B$30,MAX(0,(Inputs!$B$3-100)*3)+Inputs!$B$29+Inputs!$B$30)))</f>
        <v/>
      </c>
      <c r="E2539">
        <f>INDEX(FactorTable!$B$2:$Y$301, MATCH(ROUND(MIN(300,MAX(1,D2539)),0), FactorTable!$A$2:$A$301,0), Skills!L3+1)</f>
        <v/>
      </c>
      <c r="F2539">
        <f>IF(Skills!M3=TRUE,(Skills!K3/10)*(E2539/1000),Skills!K3/10)+Skills!N3</f>
        <v/>
      </c>
      <c r="G2539">
        <f>Calc!G3</f>
        <v/>
      </c>
      <c r="H2539">
        <f>Calc!H3</f>
        <v/>
      </c>
      <c r="I2539">
        <f>IF(Skills!T3&lt;&gt;"",1+(Skills!T3/10)*($Z$3/1000)/100,1)</f>
        <v/>
      </c>
      <c r="J2539" t="inlineStr"/>
      <c r="K2539" t="inlineStr"/>
      <c r="L2539" t="inlineStr"/>
      <c r="M2539" t="inlineStr"/>
      <c r="N2539" t="inlineStr"/>
      <c r="O2539">
        <f>(1-Summary!$B$11)*S2539+Summary!$B$11*U2539</f>
        <v/>
      </c>
      <c r="P2539">
        <f>IF(B2578=0,0,O2539/B2578)</f>
        <v/>
      </c>
      <c r="Q2539">
        <f>IFERROR(1/(IF(Inputs!$B$39="pvp",15,MAX(0.1,Skills!D3-IF(Skills!E3=TRUE,Inputs!$B$33,0)))*(1-IF(AND(ArtifactsInput!$M$27,Inputs!$B$4="Chapter Hunt"),CHOOSE(ArtifactsInput!$N$27+1,20,24,28,32,36,40),0)/100)),0)</f>
        <v/>
      </c>
      <c r="R2539">
        <f>IF(AND(Inputs!$B$39&lt;&gt;"pvp",Inputs!$B$44&gt;0),IF(Inputs!$B$44&lt;=0,0,(INT(Inputs!$B$44/(IF(Inputs!$B$39="pvp",15,MAX(0.1,Skills!D3-IF(Skills!E3=TRUE,Inputs!$B$33,0)))*(1-IF(AND(ArtifactsInput!$M$27,Inputs!$B$4="Chapter Hunt"),CHOOSE(ArtifactsInput!$N$27+1,20,24,28,32,36,40),0)/100)))+1)),0)</f>
        <v/>
      </c>
      <c r="S2539" t="n">
        <v>0</v>
      </c>
      <c r="T2539">
        <f>INDEX(FactorTable!$B$2:$Y$301, MATCH(ROUND(MIN(300,MAX(1,T2538)),0), FactorTable!$A$2:$A$301,0), 22)</f>
        <v/>
      </c>
      <c r="U2539" t="n">
        <v>0</v>
      </c>
    </row>
    <row r="2540">
      <c r="A2540">
        <f>Skills!A4</f>
        <v/>
      </c>
      <c r="B2540">
        <f>Skills!B4</f>
        <v/>
      </c>
      <c r="C2540">
        <f>Inputs!$B$3&gt;=38</f>
        <v/>
      </c>
      <c r="D2540">
        <f>IF(Skills!C4=1,60+Inputs!$B$26+Inputs!$B$30,IF(Skills!C4=2,90+Inputs!$B$27+Inputs!$B$30,IF(Skills!C4=3,120+Inputs!$B$28+Inputs!$B$30,MAX(0,(Inputs!$B$3-100)*3)+Inputs!$B$29+Inputs!$B$30)))</f>
        <v/>
      </c>
      <c r="E2540">
        <f>INDEX(FactorTable!$B$2:$Y$301, MATCH(ROUND(MIN(300,MAX(1,D2540)),0), FactorTable!$A$2:$A$301,0), Skills!L4+1)</f>
        <v/>
      </c>
      <c r="F2540">
        <f>IF(Skills!M4=TRUE,(Skills!K4/10)*(E2540/1000),Skills!K4/10)+Skills!N4</f>
        <v/>
      </c>
      <c r="G2540">
        <f>Calc!G4</f>
        <v/>
      </c>
      <c r="H2540">
        <f>Calc!H4</f>
        <v/>
      </c>
      <c r="I2540">
        <f>IF(Skills!T4&lt;&gt;"",1+(Skills!T4/10)*($Z$3/1000)/100,1)</f>
        <v/>
      </c>
      <c r="J2540" t="inlineStr"/>
      <c r="K2540" t="inlineStr"/>
      <c r="L2540" t="inlineStr"/>
      <c r="M2540" t="inlineStr"/>
      <c r="N2540" t="inlineStr"/>
      <c r="O2540">
        <f>(1-Summary!$B$11)*S2540+Summary!$B$11*U2540</f>
        <v/>
      </c>
      <c r="P2540">
        <f>IF(B2578=0,0,O2540/B2578)</f>
        <v/>
      </c>
      <c r="Q2540">
        <f>IFERROR(1/(IF(Inputs!$B$39="pvp",15,MAX(0.1,Skills!D4-IF(Skills!E4=TRUE,Inputs!$B$33,0)))*(1-IF(AND(ArtifactsInput!$M$27,Inputs!$B$4="Chapter Hunt"),CHOOSE(ArtifactsInput!$N$27+1,20,24,28,32,36,40),0)/100)),0)</f>
        <v/>
      </c>
      <c r="R2540">
        <f>IF(AND(Inputs!$B$39&lt;&gt;"pvp",Inputs!$B$44&gt;0),IF(Inputs!$B$44&lt;=0,0,(INT(Inputs!$B$44/(IF(Inputs!$B$39="pvp",15,MAX(0.1,Skills!D4-IF(Skills!E4=TRUE,Inputs!$B$33,0)))*(1-IF(AND(ArtifactsInput!$M$27,Inputs!$B$4="Chapter Hunt"),CHOOSE(ArtifactsInput!$N$27+1,20,24,28,32,36,40),0)/100)))+1)),0)</f>
        <v/>
      </c>
      <c r="S2540" t="n">
        <v>0</v>
      </c>
      <c r="T2540">
        <f>290*T2539/1000</f>
        <v/>
      </c>
      <c r="U2540" t="n">
        <v>0</v>
      </c>
    </row>
    <row r="2541">
      <c r="A2541">
        <f>Skills!A5</f>
        <v/>
      </c>
      <c r="B2541">
        <f>Skills!B5</f>
        <v/>
      </c>
      <c r="C2541">
        <f>Inputs!$B$3&gt;=40</f>
        <v/>
      </c>
      <c r="D2541">
        <f>IF(Skills!C5=1,60+Inputs!$B$26+Inputs!$B$30,IF(Skills!C5=2,90+Inputs!$B$27+Inputs!$B$30,IF(Skills!C5=3,120+Inputs!$B$28+Inputs!$B$30,MAX(0,(Inputs!$B$3-100)*3)+Inputs!$B$29+Inputs!$B$30)))</f>
        <v/>
      </c>
      <c r="E2541">
        <f>INDEX(FactorTable!$B$2:$Y$301, MATCH(ROUND(MIN(300,MAX(1,D2541)),0), FactorTable!$A$2:$A$301,0), Skills!L5+1)</f>
        <v/>
      </c>
      <c r="F2541">
        <f>IF(Skills!M5=TRUE,(Skills!K5/10)*(E2541/1000),Skills!K5/10)+Skills!N5</f>
        <v/>
      </c>
      <c r="G2541">
        <f>Calc!G5</f>
        <v/>
      </c>
      <c r="H2541">
        <f>Calc!H5</f>
        <v/>
      </c>
      <c r="I2541">
        <f>IF(Skills!T5&lt;&gt;"",1+(Skills!T5/10)*($Z$3/1000)/100,1)</f>
        <v/>
      </c>
      <c r="J2541" t="inlineStr"/>
      <c r="K2541" t="inlineStr"/>
      <c r="L2541" t="inlineStr"/>
      <c r="M2541" t="inlineStr"/>
      <c r="N2541" t="inlineStr"/>
      <c r="O2541">
        <f>(1-Summary!$B$11)*S2541+Summary!$B$11*U2541</f>
        <v/>
      </c>
      <c r="P2541">
        <f>IF(B2578=0,0,O2541/B2578)</f>
        <v/>
      </c>
      <c r="Q2541">
        <f>IFERROR(1/(IF(Inputs!$B$39="pvp",15,MAX(0.1,Skills!D5-IF(Skills!E5=TRUE,Inputs!$B$33,0)))*(1-IF(AND(ArtifactsInput!$M$27,Inputs!$B$4="Chapter Hunt"),CHOOSE(ArtifactsInput!$N$27+1,20,24,28,32,36,40),0)/100)),0)</f>
        <v/>
      </c>
      <c r="R2541">
        <f>IF(AND(Inputs!$B$39&lt;&gt;"pvp",Inputs!$B$44&gt;0),IF(Inputs!$B$44&lt;=0,0,(INT(Inputs!$B$44/(IF(Inputs!$B$39="pvp",15,MAX(0.1,Skills!D5-IF(Skills!E5=TRUE,Inputs!$B$33,0)))*(1-IF(AND(ArtifactsInput!$M$27,Inputs!$B$4="Chapter Hunt"),CHOOSE(ArtifactsInput!$N$27+1,20,24,28,32,36,40),0)/100)))+1)),0)</f>
        <v/>
      </c>
      <c r="S2541" t="n">
        <v>0</v>
      </c>
      <c r="U2541" t="n">
        <v>0</v>
      </c>
    </row>
    <row r="2542">
      <c r="A2542">
        <f>Skills!A6</f>
        <v/>
      </c>
      <c r="B2542">
        <f>Skills!B6</f>
        <v/>
      </c>
      <c r="C2542">
        <f>Inputs!$B$3&gt;=103</f>
        <v/>
      </c>
      <c r="D2542">
        <f>IF(Skills!C6=1,60+Inputs!$B$26+Inputs!$B$30,IF(Skills!C6=2,90+Inputs!$B$27+Inputs!$B$30,IF(Skills!C6=3,120+Inputs!$B$28+Inputs!$B$30,MAX(0,(Inputs!$B$3-100)*3)+Inputs!$B$29+Inputs!$B$30)))</f>
        <v/>
      </c>
      <c r="E2542">
        <f>INDEX(FactorTable!$B$2:$Y$301, MATCH(ROUND(MIN(300,MAX(1,D2542)),0), FactorTable!$A$2:$A$301,0), Skills!L6+1)</f>
        <v/>
      </c>
      <c r="F2542">
        <f>IF(Skills!M6=TRUE,(Skills!K6/10)*(E2542/1000),Skills!K6/10)+Skills!N6</f>
        <v/>
      </c>
      <c r="G2542">
        <f>Calc!G6</f>
        <v/>
      </c>
      <c r="H2542">
        <f>Calc!H6</f>
        <v/>
      </c>
      <c r="I2542">
        <f>IF(Skills!T6&lt;&gt;"",1+(Skills!T6/10)*($Z$3/1000)/100,1)</f>
        <v/>
      </c>
      <c r="J2542">
        <f>((Inputs!$B$6*(1+Inputs!$B$7/100))+(((Inputs!$B$13*(1+Inputs!$B$14/100))-(Inputs!$B$13*(1+Inputs!$B$14/100)))+0.25*(Inputs!$B$15-Inputs!$B$15))*(1+Inputs!$B$7/100))*(F2542/100)</f>
        <v/>
      </c>
      <c r="K2542">
        <f>J2542*(1+(((Inputs!$B$13+IF(Inputs!$B$3&gt;=35,(10*INDEX(FactorTable!$B$2:$Y$301,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6="TRIUMPH_FEATHER",IF(C2552=TRUE,F2552,0),0)/100)*(1+IF(C2563=TRUE,F2563,0)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2542)</f>
        <v/>
      </c>
      <c r="L2542">
        <f>K2542*(MIN(Inputs!$B$23+(F2558-Calc!F22),(Inputs!$B$24+IF(ArtifactsInput!$M$15,CHOOSE(ArtifactsInput!$N$15+1,25,30,35,40,45,50)/100*(Inputs!$B$12-Inputs!$B$12),0)))/100+(Inputs!$B$24+IF(ArtifactsInput!$M$15,CHOOSE(ArtifactsInput!$N$15+1,25,30,35,40,45,50)/100*(Inputs!$B$12-Inputs!$B$12),0))/100)/2</f>
        <v/>
      </c>
      <c r="M2542">
        <f>L2542*(1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2">
        <f>L2542*(1-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2542*(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2">
        <f>(1-Summary!$B$11)*S2542+Summary!$B$11*U2542</f>
        <v/>
      </c>
      <c r="P2542">
        <f>IF(B2578=0,0,O2542/B2578)</f>
        <v/>
      </c>
      <c r="Q2542">
        <f>IFERROR(1/(IF(Inputs!$B$39="pvp",15,MAX(0.1,Skills!D6-IF(Skills!E6=TRUE,Inputs!$B$33,0)))*(1-IF(AND(ArtifactsInput!$M$27,Inputs!$B$4="Chapter Hunt"),CHOOSE(ArtifactsInput!$N$27+1,20,24,28,32,36,40),0)/100)),0)</f>
        <v/>
      </c>
      <c r="R2542">
        <f>IF(AND(Inputs!$B$39&lt;&gt;"pvp",Inputs!$B$44&gt;0),IF(MAX(0,Inputs!$B$44-B2575)&lt;=0,0,(INT(MAX(0,Inputs!$B$44-B2575)/(IF(Inputs!$B$39="pvp",15,MAX(0.1,Skills!D6-IF(Skills!E6=TRUE,Inputs!$B$33,0)))*(1-IF(AND(ArtifactsInput!$M$27,Inputs!$B$4="Chapter Hunt"),CHOOSE(ArtifactsInput!$N$27+1,20,24,28,32,36,40),0)/100)))+1)),0)</f>
        <v/>
      </c>
      <c r="S2542">
        <f>IF(C2542,(H2542*N2542*IF(AND(Inputs!$B$39&lt;&gt;"pvp",Inputs!$B$44&gt;0),((Skills!F6*((R2542-1)*IF(Skills!G6&gt;0,Skills!H6/Skills!G6,1)+IF(Skills!G6&gt;0,MIN(Skills!H6,MAX(0,MAX(0,Inputs!$B$44-B2575)-((R2542-1)*(IF(Inputs!$B$39="pvp",15,MAX(0.1,Skills!D6-IF(Skills!E6=TRUE,Inputs!$B$33,0)))*(1-IF(AND(ArtifactsInput!$M$27,Inputs!$B$4="Chapter Hunt"),CHOOSE(ArtifactsInput!$N$27+1,20,24,28,32,36,40),0)/100)))))/Skills!G6,1)))/Inputs!$B$44),G2542*Q2542))*IF(Inputs!$B$39="pvp",1,1+(Inputs!$B$21+Skills!O6+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2542*(1-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2542*(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2542*(1-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2542*(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2">
        <f>IF(C2542,(H2542*N2542*IF(AND(Inputs!$B$39&lt;&gt;"pvp",Inputs!$B$44&gt;0),((Skills!F6*((R2542-1)*IF(Skills!G6&gt;0,Skills!H6/Skills!G6,1)+IF(Skills!G6&gt;0,MIN(Skills!H6,MAX(0,MAX(0,Inputs!$B$44-B2575)-((R2542-1)*(IF(Inputs!$B$39="pvp",15,MAX(0.1,Skills!D6-IF(Skills!E6=TRUE,Inputs!$B$33,0)))*(1-IF(AND(ArtifactsInput!$M$27,Inputs!$B$4="Chapter Hunt"),CHOOSE(ArtifactsInput!$N$27+1,20,24,28,32,36,40),0)/100)))))/Skills!G6,1)))/Inputs!$B$44),G2542*Q2542))*IF(Inputs!$B$39="pvp",1,(1+(Inputs!$B$22+Skills!P6+B2567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3">
      <c r="A2543">
        <f>Skills!A7</f>
        <v/>
      </c>
      <c r="B2543">
        <f>Skills!B7</f>
        <v/>
      </c>
      <c r="C2543">
        <f>Inputs!$B$3&gt;=122</f>
        <v/>
      </c>
      <c r="D2543">
        <f>IF(Skills!C7=1,60+Inputs!$B$26+Inputs!$B$30,IF(Skills!C7=2,90+Inputs!$B$27+Inputs!$B$30,IF(Skills!C7=3,120+Inputs!$B$28+Inputs!$B$30,MAX(0,(Inputs!$B$3-100)*3)+Inputs!$B$29+Inputs!$B$30)))</f>
        <v/>
      </c>
      <c r="E2543">
        <f>INDEX(FactorTable!$B$2:$Y$301, MATCH(ROUND(MIN(300,MAX(1,D2543)),0), FactorTable!$A$2:$A$301,0), Skills!L7+1)</f>
        <v/>
      </c>
      <c r="F2543">
        <f>IF(Skills!M7=TRUE,(Skills!K7/10)*(E2543/1000),Skills!K7/10)+Skills!N7</f>
        <v/>
      </c>
      <c r="G2543">
        <f>Calc!G7</f>
        <v/>
      </c>
      <c r="H2543">
        <f>Calc!H7</f>
        <v/>
      </c>
      <c r="I2543">
        <f>IF(Skills!T7&lt;&gt;"",1+(Skills!T7/10)*($Z$3/1000)/100,1)</f>
        <v/>
      </c>
      <c r="J2543">
        <f>((Inputs!$B$6*(1+Inputs!$B$7/100))+(((Inputs!$B$13*(1+Inputs!$B$14/100))-(Inputs!$B$13*(1+Inputs!$B$14/100)))+0.25*(Inputs!$B$15-Inputs!$B$15))*(1+Inputs!$B$7/100))*(F2543/100)</f>
        <v/>
      </c>
      <c r="K2543">
        <f>J2543*(1+(((Inputs!$B$13+IF(Inputs!$B$3&gt;=35,(10*INDEX(FactorTable!$B$2:$Y$301,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7="TRIUMPH_FEATHER",IF(C2552=TRUE,F2552,0),0)/100)*(1+IF(C2563=TRUE,F2563,0)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2543)</f>
        <v/>
      </c>
      <c r="L2543">
        <f>K2543*(MIN(Inputs!$B$23+(F2558-Calc!F22),(Inputs!$B$24+IF(ArtifactsInput!$M$15,CHOOSE(ArtifactsInput!$N$15+1,25,30,35,40,45,50)/100*(Inputs!$B$12-Inputs!$B$12),0)))/100+(Inputs!$B$24+IF(ArtifactsInput!$M$15,CHOOSE(ArtifactsInput!$N$15+1,25,30,35,40,45,50)/100*(Inputs!$B$12-Inputs!$B$12),0))/100)/2</f>
        <v/>
      </c>
      <c r="M2543">
        <f>L2543*(1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3">
        <f>L2543*(1-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2543*(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3">
        <f>(1-Summary!$B$11)*S2543+Summary!$B$11*U2543</f>
        <v/>
      </c>
      <c r="P2543">
        <f>IF(B2578=0,0,O2543/B2578)</f>
        <v/>
      </c>
      <c r="Q2543">
        <f>IFERROR(1/(IF(Inputs!$B$39="pvp",15,MAX(0.1,Skills!D7-IF(Skills!E6=TRUE,Inputs!$B$33,0)))*(1-IF(AND(ArtifactsInput!$M$27,Inputs!$B$4="Chapter Hunt"),CHOOSE(ArtifactsInput!$N$27+1,20,24,28,32,36,40),0)/100)),0)</f>
        <v/>
      </c>
      <c r="R2543">
        <f>IF(AND(Inputs!$B$39&lt;&gt;"pvp",Inputs!$B$44&gt;0),IF(MAX(0,Inputs!$B$44-B2575)&lt;=0,0,(INT(MAX(0,Inputs!$B$44-B2575)/(IF(Inputs!$B$39="pvp",15,MAX(0.1,Skills!D7-IF(Skills!E6=TRUE,Inputs!$B$33,0)))*(1-IF(AND(ArtifactsInput!$M$27,Inputs!$B$4="Chapter Hunt"),CHOOSE(ArtifactsInput!$N$27+1,20,24,28,32,36,40),0)/100)))+1)),0)</f>
        <v/>
      </c>
      <c r="S2543">
        <f>IF(C2543,H2543*N2543*IF(AND(Inputs!$B$39&lt;&gt;"pvp",Inputs!$B$44&gt;0),((Skills!F7*((R2543-1)*IF(Skills!G7&gt;0,Skills!H7/Skills!G7,1)+IF(Skills!G7&gt;0,MIN(Skills!H7,MAX(0,MAX(0,Inputs!$B$44-B2575)-((R2543-1)*(IF(Inputs!$B$39="pvp",15,MAX(0.1,Skills!D7-IF(Skills!E6=TRUE,Inputs!$B$33,0)))*(1-IF(AND(ArtifactsInput!$M$27,Inputs!$B$4="Chapter Hunt"),CHOOSE(ArtifactsInput!$N$27+1,20,24,28,32,36,40),0)/100)))))/Skills!G7,1)))/Inputs!$B$44),G2543*Q2543)*IF(Inputs!$B$39="pvp",1,1+(Inputs!$B$21+Skills!O7+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2543*(1-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2543*(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2543*(1-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2543*(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3" t="n">
        <v>0</v>
      </c>
    </row>
    <row r="2544">
      <c r="A2544">
        <f>Skills!A8</f>
        <v/>
      </c>
      <c r="B2544">
        <f>Skills!B8</f>
        <v/>
      </c>
      <c r="C2544">
        <f>Inputs!$B$3&gt;=105</f>
        <v/>
      </c>
      <c r="D2544">
        <f>IF(Skills!C8=1,60+Inputs!$B$26+Inputs!$B$30,IF(Skills!C8=2,90+Inputs!$B$27+Inputs!$B$30,IF(Skills!C8=3,120+Inputs!$B$28+Inputs!$B$30,MAX(0,(Inputs!$B$3-100)*3)+Inputs!$B$29+Inputs!$B$30)))</f>
        <v/>
      </c>
      <c r="E2544">
        <f>INDEX(FactorTable!$B$2:$Y$301, MATCH(ROUND(MIN(300,MAX(1,D2544)),0), FactorTable!$A$2:$A$301,0), Skills!L8+1)</f>
        <v/>
      </c>
      <c r="F2544">
        <f>IF(Skills!M8=TRUE,(Skills!K8/10)*(E2544/1000),Skills!K8/10)+Skills!N8</f>
        <v/>
      </c>
      <c r="G2544">
        <f>Calc!G8</f>
        <v/>
      </c>
      <c r="H2544">
        <f>Calc!H8</f>
        <v/>
      </c>
      <c r="I2544">
        <f>IF(Skills!T8&lt;&gt;"",1+(Skills!T8/10)*($Z$3/1000)/100,1)</f>
        <v/>
      </c>
      <c r="J2544">
        <f>((Inputs!$B$6*(1+Inputs!$B$7/100))+(((Inputs!$B$13*(1+Inputs!$B$14/100))-(Inputs!$B$13*(1+Inputs!$B$14/100)))+0.25*(Inputs!$B$15-Inputs!$B$15))*(1+Inputs!$B$7/100))*(F2544/100)</f>
        <v/>
      </c>
      <c r="K2544">
        <f>J2544*(1+(((Inputs!$B$13+IF(Inputs!$B$3&gt;=35,(10*INDEX(FactorTable!$B$2:$Y$301,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8="TRIUMPH_FEATHER",IF(C2552=TRUE,F2552,0),0)/100)*(1+IF(C2563=TRUE,F2563,0)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2544)</f>
        <v/>
      </c>
      <c r="L2544">
        <f>K2544*(MIN(Inputs!$B$23+(F2558-Calc!F22),(Inputs!$B$24+IF(ArtifactsInput!$M$15,CHOOSE(ArtifactsInput!$N$15+1,25,30,35,40,45,50)/100*(Inputs!$B$12-Inputs!$B$12),0)))/100+(Inputs!$B$24+IF(ArtifactsInput!$M$15,CHOOSE(ArtifactsInput!$N$15+1,25,30,35,40,45,50)/100*(Inputs!$B$12-Inputs!$B$12),0))/100)/2</f>
        <v/>
      </c>
      <c r="M2544">
        <f>L2544*(1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4">
        <f>L2544*(1-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2544*(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4">
        <f>(1-Summary!$B$11)*S2544+Summary!$B$11*U2544</f>
        <v/>
      </c>
      <c r="P2544">
        <f>IF(B2578=0,0,O2544/B2578)</f>
        <v/>
      </c>
      <c r="Q2544">
        <f>IFERROR(1/(IF(Inputs!$B$39="pvp",15,MAX(0.1,Skills!D8-IF(Skills!E8=TRUE,Inputs!$B$33,0)))*(1-IF(AND(ArtifactsInput!$M$27,Inputs!$B$4="Chapter Hunt"),CHOOSE(ArtifactsInput!$N$27+1,20,24,28,32,36,40),0)/100)),0)</f>
        <v/>
      </c>
      <c r="R2544">
        <f>IF(AND(Inputs!$B$39&lt;&gt;"pvp",Inputs!$B$44&gt;0),IF(MAX(0,Inputs!$B$44-B2575)&lt;=0,0,(INT(MAX(0,Inputs!$B$44-B2575)/(IF(Inputs!$B$39="pvp",15,MAX(0.1,Skills!D8-IF(Skills!E8=TRUE,Inputs!$B$33,0)))*(1-IF(AND(ArtifactsInput!$M$27,Inputs!$B$4="Chapter Hunt"),CHOOSE(ArtifactsInput!$N$27+1,20,24,28,32,36,40),0)/100)))+1)),0)</f>
        <v/>
      </c>
      <c r="S2544">
        <f>IF(C2544,(H2544*N2544*IF(AND(Inputs!$B$39&lt;&gt;"pvp",Inputs!$B$44&gt;0),((Skills!F8*((R2544-1)*IF(Skills!G8&gt;0,Skills!H8/Skills!G8,1)+IF(Skills!G8&gt;0,MIN(Skills!H8,MAX(0,MAX(0,Inputs!$B$44-B2575)-((R2544-1)*(IF(Inputs!$B$39="pvp",15,MAX(0.1,Skills!D8-IF(Skills!E8=TRUE,Inputs!$B$33,0)))*(1-IF(AND(ArtifactsInput!$M$27,Inputs!$B$4="Chapter Hunt"),CHOOSE(ArtifactsInput!$N$27+1,20,24,28,32,36,40),0)/100)))))/Skills!G8,1)))/Inputs!$B$44),G2544*Q2544))*IF(Inputs!$B$39="pvp",1,1+(Inputs!$B$21+Skills!O8+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2544*(1-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2544*(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2544*(1-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2544*(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4">
        <f>IF(C2544,(H2544*N2544*IF(AND(Inputs!$B$39&lt;&gt;"pvp",Inputs!$B$44&gt;0),((Skills!F8*((R2544-1)*IF(Skills!G8&gt;0,Skills!H8/Skills!G8,1)+IF(Skills!G8&gt;0,MIN(Skills!H8,MAX(0,MAX(0,Inputs!$B$44-B2575)-((R2544-1)*(IF(Inputs!$B$39="pvp",15,MAX(0.1,Skills!D8-IF(Skills!E8=TRUE,Inputs!$B$33,0)))*(1-IF(AND(ArtifactsInput!$M$27,Inputs!$B$4="Chapter Hunt"),CHOOSE(ArtifactsInput!$N$27+1,20,24,28,32,36,40),0)/100)))))/Skills!G8,1)))/Inputs!$B$44),G2544*Q2544))*IF(Inputs!$B$39="pvp",1,(1+(Inputs!$B$22+Skills!P8+B2567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5">
      <c r="A2545">
        <f>Skills!A9</f>
        <v/>
      </c>
      <c r="B2545">
        <f>Skills!B9</f>
        <v/>
      </c>
      <c r="C2545">
        <f>Inputs!$B$3&gt;=115</f>
        <v/>
      </c>
      <c r="D2545">
        <f>IF(Skills!C9=1,60+Inputs!$B$26+Inputs!$B$30,IF(Skills!C9=2,90+Inputs!$B$27+Inputs!$B$30,IF(Skills!C9=3,120+Inputs!$B$28+Inputs!$B$30,MAX(0,(Inputs!$B$3-100)*3)+Inputs!$B$29+Inputs!$B$30)))</f>
        <v/>
      </c>
      <c r="E2545">
        <f>INDEX(FactorTable!$B$2:$Y$301, MATCH(ROUND(MIN(300,MAX(1,D2545)),0), FactorTable!$A$2:$A$301,0), Skills!L9+1)</f>
        <v/>
      </c>
      <c r="F2545">
        <f>IF(Skills!M9=TRUE,(Skills!K9/10)*(E2545/1000),Skills!K9/10)+Skills!N9</f>
        <v/>
      </c>
      <c r="G2545">
        <f>Calc!G9</f>
        <v/>
      </c>
      <c r="H2545">
        <f>Calc!H9</f>
        <v/>
      </c>
      <c r="I2545">
        <f>IF(Skills!T9&lt;&gt;"",1+(Skills!T9/10)*($Z$3/1000)/100,1)</f>
        <v/>
      </c>
      <c r="J2545">
        <f>((Inputs!$B$6*(1+Inputs!$B$7/100))+(((Inputs!$B$13*(1+Inputs!$B$14/100))-(Inputs!$B$13*(1+Inputs!$B$14/100)))+0.25*(Inputs!$B$15-Inputs!$B$15))*(1+Inputs!$B$7/100))*(F2545/100)</f>
        <v/>
      </c>
      <c r="K2545">
        <f>J2545*(1+(((Inputs!$B$13+IF(Inputs!$B$3&gt;=35,(10*INDEX(FactorTable!$B$2:$Y$301,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9="TRIUMPH_FEATHER",IF(C2552=TRUE,F2552,0),0)/100)*(1+IF(C2563=TRUE,F2563,0)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2545)</f>
        <v/>
      </c>
      <c r="L2545">
        <f>K2545*(MIN(Inputs!$B$23+(F2558-Calc!F22),(Inputs!$B$24+IF(ArtifactsInput!$M$15,CHOOSE(ArtifactsInput!$N$15+1,25,30,35,40,45,50)/100*(Inputs!$B$12-Inputs!$B$12),0)))/100+(Inputs!$B$24+IF(ArtifactsInput!$M$15,CHOOSE(ArtifactsInput!$N$15+1,25,30,35,40,45,50)/100*(Inputs!$B$12-Inputs!$B$12),0))/100)/2</f>
        <v/>
      </c>
      <c r="M2545">
        <f>L2545*(1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5">
        <f>L2545*(1-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2545*(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5">
        <f>(1-Summary!$B$11)*S2545+Summary!$B$11*U2545</f>
        <v/>
      </c>
      <c r="P2545">
        <f>IF(B2578=0,0,O2545/B2578)</f>
        <v/>
      </c>
      <c r="Q2545">
        <f>IFERROR(1/(IF(Inputs!$B$39="pvp",15,MAX(0.1,Skills!D9-IF(Skills!E9=TRUE,Inputs!$B$33,0)))*(1-IF(AND(ArtifactsInput!$M$27,Inputs!$B$4="Chapter Hunt"),CHOOSE(ArtifactsInput!$N$27+1,20,24,28,32,36,40),0)/100)),0)</f>
        <v/>
      </c>
      <c r="R2545">
        <f>IF(AND(Inputs!$B$39&lt;&gt;"pvp",Inputs!$B$44&gt;0),IF(MAX(0,Inputs!$B$44-B2575)&lt;=0,0,(INT(MAX(0,Inputs!$B$44-B2575)/(IF(Inputs!$B$39="pvp",15,MAX(0.1,Skills!D9-IF(Skills!E9=TRUE,Inputs!$B$33,0)))*(1-IF(AND(ArtifactsInput!$M$27,Inputs!$B$4="Chapter Hunt"),CHOOSE(ArtifactsInput!$N$27+1,20,24,28,32,36,40),0)/100)))+1)),0)</f>
        <v/>
      </c>
      <c r="S2545">
        <f>IF(C2545,(H2545*N2545*IF(AND(Inputs!$B$39&lt;&gt;"pvp",Inputs!$B$44&gt;0),((Skills!F9*((R2545-1)*IF(Skills!G9&gt;0,Skills!H9/Skills!G9,1)+IF(Skills!G9&gt;0,MIN(Skills!H9,MAX(0,MAX(0,Inputs!$B$44-B2575)-((R2545-1)*(IF(Inputs!$B$39="pvp",15,MAX(0.1,Skills!D9-IF(Skills!E9=TRUE,Inputs!$B$33,0)))*(1-IF(AND(ArtifactsInput!$M$27,Inputs!$B$4="Chapter Hunt"),CHOOSE(ArtifactsInput!$N$27+1,20,24,28,32,36,40),0)/100)))))/Skills!G9,1)))/Inputs!$B$44),G2545*Q2545))*IF(Inputs!$B$39="pvp",1,1+(Inputs!$B$21+Skills!O9+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2545*(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2545*(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5">
        <f>IF(C2545,(H2545*N2545*IF(AND(Inputs!$B$39&lt;&gt;"pvp",Inputs!$B$44&gt;0),((Skills!F9*((R2545-1)*IF(Skills!G9&gt;0,Skills!H9/Skills!G9,1)+IF(Skills!G9&gt;0,MIN(Skills!H9,MAX(0,MAX(0,Inputs!$B$44-B2575)-((R2545-1)*(IF(Inputs!$B$39="pvp",15,MAX(0.1,Skills!D9-IF(Skills!E9=TRUE,Inputs!$B$33,0)))*(1-IF(AND(ArtifactsInput!$M$27,Inputs!$B$4="Chapter Hunt"),CHOOSE(ArtifactsInput!$N$27+1,20,24,28,32,36,40),0)/100)))))/Skills!G9,1)))/Inputs!$B$44),G2545*Q2545))*IF(Inputs!$B$39="pvp",1,(1+(Inputs!$B$22+Skills!P9+B2567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6">
      <c r="A2546">
        <f>Skills!A10</f>
        <v/>
      </c>
      <c r="B2546">
        <f>Skills!B10</f>
        <v/>
      </c>
      <c r="C2546">
        <f>Inputs!$B$3&gt;=66</f>
        <v/>
      </c>
      <c r="D2546">
        <f>IF(Skills!C10=1,60+Inputs!$B$26+Inputs!$B$30,IF(Skills!C10=2,90+Inputs!$B$27+Inputs!$B$30,IF(Skills!C10=3,120+Inputs!$B$28+Inputs!$B$30,MAX(0,(Inputs!$B$3-100)*3)+Inputs!$B$29+Inputs!$B$30)))</f>
        <v/>
      </c>
      <c r="E2546">
        <f>INDEX(FactorTable!$B$2:$Y$301, MATCH(ROUND(MIN(300,MAX(1,D2546)),0), FactorTable!$A$2:$A$301,0), Skills!L10+1)</f>
        <v/>
      </c>
      <c r="F2546" t="n">
        <v>0</v>
      </c>
      <c r="G2546">
        <f>Calc!G10</f>
        <v/>
      </c>
      <c r="H2546">
        <f>Calc!H10</f>
        <v/>
      </c>
      <c r="I2546">
        <f>IF(Skills!T10&lt;&gt;"",1+(Skills!T10/10)*($Z$3/1000)/100,1)</f>
        <v/>
      </c>
      <c r="J2546" t="inlineStr"/>
      <c r="K2546" t="inlineStr"/>
      <c r="L2546" t="inlineStr"/>
      <c r="M2546" t="inlineStr"/>
      <c r="N2546" t="inlineStr"/>
      <c r="O2546">
        <f>(1-Summary!$B$11)*S2546+Summary!$B$11*U2546</f>
        <v/>
      </c>
      <c r="P2546">
        <f>IF(B2578=0,0,O2546/B2578)</f>
        <v/>
      </c>
      <c r="Q2546">
        <f>IFERROR(1/(IF(Inputs!$B$39="pvp",15,MAX(0.1,Skills!D10-IF(Skills!E10=TRUE,Inputs!$B$33,0)))*(1-IF(AND(ArtifactsInput!$M$27,Inputs!$B$4="Chapter Hunt"),CHOOSE(ArtifactsInput!$N$27+1,20,24,28,32,36,40),0)/100)),0)</f>
        <v/>
      </c>
      <c r="R2546">
        <f>IF(AND(Inputs!$B$39&lt;&gt;"pvp",Inputs!$B$44&gt;0),IF(MAX(0,Inputs!$B$44-B2575)&lt;=0,0,(INT(MAX(0,Inputs!$B$44-B2575)/(IF(Inputs!$B$39="pvp",15,MAX(0.1,Skills!D10-IF(Skills!E10=TRUE,Inputs!$B$33,0)))*(1-IF(AND(ArtifactsInput!$M$27,Inputs!$B$4="Chapter Hunt"),CHOOSE(ArtifactsInput!$N$27+1,20,24,28,32,36,40),0)/100)))+1)),0)</f>
        <v/>
      </c>
      <c r="S2546" t="n">
        <v>0</v>
      </c>
      <c r="U2546" t="n">
        <v>0</v>
      </c>
    </row>
    <row r="2547">
      <c r="A2547">
        <f>Skills!A11</f>
        <v/>
      </c>
      <c r="B2547">
        <f>Skills!B11</f>
        <v/>
      </c>
      <c r="C2547">
        <f>Inputs!$B$3&gt;=69</f>
        <v/>
      </c>
      <c r="D2547">
        <f>IF(Skills!C11=1,60+Inputs!$B$26+Inputs!$B$30,IF(Skills!C11=2,90+Inputs!$B$27+Inputs!$B$30,IF(Skills!C11=3,120+Inputs!$B$28+Inputs!$B$30,MAX(0,(Inputs!$B$3-100)*3)+Inputs!$B$29+Inputs!$B$30)))</f>
        <v/>
      </c>
      <c r="E2547">
        <f>INDEX(FactorTable!$B$2:$Y$301, MATCH(ROUND(MIN(300,MAX(1,D2547)),0), FactorTable!$A$2:$A$301,0), Skills!L11+1)</f>
        <v/>
      </c>
      <c r="F2547">
        <f>IF(Skills!M11=TRUE,(Skills!K11/10)*(E2547/1000),Skills!K11/10)+Skills!N11</f>
        <v/>
      </c>
      <c r="G2547">
        <f>Calc!G11</f>
        <v/>
      </c>
      <c r="H2547">
        <f>Calc!H11</f>
        <v/>
      </c>
      <c r="I2547">
        <f>IF(Skills!T11&lt;&gt;"",1+(Skills!T11/10)*($Z$3/1000)/100,1)</f>
        <v/>
      </c>
      <c r="J2547" t="inlineStr"/>
      <c r="K2547" t="inlineStr"/>
      <c r="L2547" t="inlineStr"/>
      <c r="M2547" t="inlineStr"/>
      <c r="N2547" t="inlineStr"/>
      <c r="O2547">
        <f>(1-Summary!$B$11)*S2547+Summary!$B$11*U2547</f>
        <v/>
      </c>
      <c r="P2547">
        <f>IF(B2578=0,0,O2547/B2578)</f>
        <v/>
      </c>
      <c r="Q2547">
        <f>IFERROR(1/(IF(Inputs!$B$39="pvp",15,MAX(0.1,Skills!D11-IF(Skills!E11=TRUE,Inputs!$B$33,0)))*(1-IF(AND(ArtifactsInput!$M$27,Inputs!$B$4="Chapter Hunt"),CHOOSE(ArtifactsInput!$N$27+1,20,24,28,32,36,40),0)/100)),0)</f>
        <v/>
      </c>
      <c r="R2547">
        <f>IF(AND(Inputs!$B$39&lt;&gt;"pvp",Inputs!$B$44&gt;0),IF(Inputs!$B$44&lt;=0,0,(INT(Inputs!$B$44/(IF(Inputs!$B$39="pvp",15,MAX(0.1,Skills!D11-IF(Skills!E11=TRUE,Inputs!$B$33,0)))*(1-IF(AND(ArtifactsInput!$M$27,Inputs!$B$4="Chapter Hunt"),CHOOSE(ArtifactsInput!$N$27+1,20,24,28,32,36,40),0)/100)))+1)),0)</f>
        <v/>
      </c>
      <c r="S2547" t="n">
        <v>0</v>
      </c>
      <c r="U2547" t="n">
        <v>0</v>
      </c>
    </row>
    <row r="2548">
      <c r="A2548">
        <f>Skills!A12</f>
        <v/>
      </c>
      <c r="B2548">
        <f>Skills!B12</f>
        <v/>
      </c>
      <c r="C2548">
        <f>Inputs!$B$3&gt;=72</f>
        <v/>
      </c>
      <c r="D2548">
        <f>IF(Skills!C12=1,60+Inputs!$B$26+Inputs!$B$30,IF(Skills!C12=2,90+Inputs!$B$27+Inputs!$B$30,IF(Skills!C12=3,120+Inputs!$B$28+Inputs!$B$30,MAX(0,(Inputs!$B$3-100)*3)+Inputs!$B$29+Inputs!$B$30)))</f>
        <v/>
      </c>
      <c r="E2548">
        <f>INDEX(FactorTable!$B$2:$Y$301, MATCH(ROUND(MIN(300,MAX(1,D2548)),0), FactorTable!$A$2:$A$301,0), Skills!L12+1)</f>
        <v/>
      </c>
      <c r="F2548">
        <f>IF(Skills!M12=TRUE,(Skills!K12/10)*(E2548/1000),Skills!K12/10)+Skills!N12</f>
        <v/>
      </c>
      <c r="G2548">
        <f>Calc!G12</f>
        <v/>
      </c>
      <c r="H2548">
        <f>Calc!H12</f>
        <v/>
      </c>
      <c r="I2548">
        <f>IF(Skills!T12&lt;&gt;"",1+(Skills!T12/10)*($Z$3/1000)/100,1)</f>
        <v/>
      </c>
      <c r="J2548" t="inlineStr"/>
      <c r="K2548" t="inlineStr"/>
      <c r="L2548" t="inlineStr"/>
      <c r="M2548" t="inlineStr"/>
      <c r="N2548" t="inlineStr"/>
      <c r="O2548">
        <f>(1-Summary!$B$11)*S2548+Summary!$B$11*U2548</f>
        <v/>
      </c>
      <c r="P2548">
        <f>IF(B2578=0,0,O2548/B2578)</f>
        <v/>
      </c>
      <c r="Q2548">
        <f>IFERROR(1/(IF(Inputs!$B$39="pvp",15,MAX(0.1,Skills!D12-IF(Skills!E12=TRUE,Inputs!$B$33,0)))*(1-IF(AND(ArtifactsInput!$M$27,Inputs!$B$4="Chapter Hunt"),CHOOSE(ArtifactsInput!$N$27+1,20,24,28,32,36,40),0)/100)),0)</f>
        <v/>
      </c>
      <c r="R2548">
        <f>IF(AND(Inputs!$B$39&lt;&gt;"pvp",Inputs!$B$44&gt;0),IF(MAX(0,Inputs!$B$44-B2575)&lt;=0,0,(INT(MAX(0,Inputs!$B$44-B2575)/(IF(Inputs!$B$39="pvp",15,MAX(0.1,Skills!D12-IF(Skills!E12=TRUE,Inputs!$B$33,0)))*(1-IF(AND(ArtifactsInput!$M$27,Inputs!$B$4="Chapter Hunt"),CHOOSE(ArtifactsInput!$N$27+1,20,24,28,32,36,40),0)/100)))+1)),0)</f>
        <v/>
      </c>
      <c r="S2548" t="n">
        <v>0</v>
      </c>
      <c r="U2548" t="n">
        <v>0</v>
      </c>
    </row>
    <row r="2549">
      <c r="A2549">
        <f>Skills!A13</f>
        <v/>
      </c>
      <c r="B2549">
        <f>Skills!B13</f>
        <v/>
      </c>
      <c r="C2549">
        <f>Inputs!$B$3&gt;=60</f>
        <v/>
      </c>
      <c r="D2549">
        <f>IF(Skills!C13=1,60+Inputs!$B$26+Inputs!$B$30,IF(Skills!C13=2,90+Inputs!$B$27+Inputs!$B$30,IF(Skills!C13=3,120+Inputs!$B$28+Inputs!$B$30,MAX(0,(Inputs!$B$3-100)*3)+Inputs!$B$29+Inputs!$B$30)))</f>
        <v/>
      </c>
      <c r="E2549">
        <f>INDEX(FactorTable!$B$2:$Y$301, MATCH(ROUND(MIN(300,MAX(1,D2549)),0), FactorTable!$A$2:$A$301,0), Skills!L13+1)</f>
        <v/>
      </c>
      <c r="F2549">
        <f>IF(Skills!M13=TRUE,(Skills!K13/10)*(E2549/1000),Skills!K13/10)+Skills!N13</f>
        <v/>
      </c>
      <c r="G2549">
        <f>Calc!G13</f>
        <v/>
      </c>
      <c r="H2549">
        <f>Calc!H13</f>
        <v/>
      </c>
      <c r="I2549">
        <f>IF(Skills!T13&lt;&gt;"",1+(Skills!T13/10)*($Z$3/1000)/100,1)</f>
        <v/>
      </c>
      <c r="J2549" t="inlineStr"/>
      <c r="K2549" t="inlineStr"/>
      <c r="L2549" t="inlineStr"/>
      <c r="M2549" t="inlineStr"/>
      <c r="N2549" t="inlineStr"/>
      <c r="O2549">
        <f>(1-Summary!$B$11)*S2549+Summary!$B$11*U2549</f>
        <v/>
      </c>
      <c r="P2549">
        <f>IF(B2578=0,0,O2549/B2578)</f>
        <v/>
      </c>
      <c r="Q2549">
        <f>IFERROR(1/(IF(Inputs!$B$39="pvp",15,MAX(0.1,Skills!D13-IF(Skills!E13=TRUE,Inputs!$B$33,0)))*(1-IF(AND(ArtifactsInput!$M$27,Inputs!$B$4="Chapter Hunt"),CHOOSE(ArtifactsInput!$N$27+1,20,24,28,32,36,40),0)/100)),0)</f>
        <v/>
      </c>
      <c r="R2549">
        <f>IF(AND(Inputs!$B$39&lt;&gt;"pvp",Inputs!$B$44&gt;0),IF(MAX(0,Inputs!$B$44-B2575)&lt;=0,0,(INT(MAX(0,Inputs!$B$44-B2575)/(IF(Inputs!$B$39="pvp",15,MAX(0.1,Skills!D13-IF(Skills!E13=TRUE,Inputs!$B$33,0)))*(1-IF(AND(ArtifactsInput!$M$27,Inputs!$B$4="Chapter Hunt"),CHOOSE(ArtifactsInput!$N$27+1,20,24,28,32,36,40),0)/100)))+1)),0)</f>
        <v/>
      </c>
      <c r="S2549" t="n">
        <v>0</v>
      </c>
      <c r="U2549" t="n">
        <v>0</v>
      </c>
    </row>
    <row r="2550">
      <c r="A2550">
        <f>Skills!A14</f>
        <v/>
      </c>
      <c r="B2550">
        <f>Skills!B14</f>
        <v/>
      </c>
      <c r="C2550">
        <f>Inputs!$B$3&gt;=107</f>
        <v/>
      </c>
      <c r="D2550">
        <f>IF(Skills!C14=1,60+Inputs!$B$26+Inputs!$B$30,IF(Skills!C14=2,90+Inputs!$B$27+Inputs!$B$30,IF(Skills!C14=3,120+Inputs!$B$28+Inputs!$B$30,MAX(0,(Inputs!$B$3-100)*3)+Inputs!$B$29+Inputs!$B$30)))</f>
        <v/>
      </c>
      <c r="E2550">
        <f>INDEX(FactorTable!$B$2:$Y$301, MATCH(ROUND(MIN(300,MAX(1,D2550)),0), FactorTable!$A$2:$A$301,0), Skills!L14+1)</f>
        <v/>
      </c>
      <c r="F2550">
        <f>IF(Skills!M14=TRUE,(Skills!K14/10)*(E2550/1000),Skills!K14/10)+Skills!N14</f>
        <v/>
      </c>
      <c r="G2550">
        <f>Calc!G14</f>
        <v/>
      </c>
      <c r="H2550">
        <f>Calc!H14</f>
        <v/>
      </c>
      <c r="I2550">
        <f>IF(Skills!T14&lt;&gt;"",1+(Skills!T14/10)*($Z$3/1000)/100,1)</f>
        <v/>
      </c>
      <c r="J2550" t="inlineStr"/>
      <c r="K2550" t="inlineStr"/>
      <c r="L2550" t="inlineStr"/>
      <c r="M2550" t="inlineStr"/>
      <c r="N2550" t="inlineStr"/>
      <c r="O2550">
        <f>(1-Summary!$B$11)*S2550+Summary!$B$11*U2550</f>
        <v/>
      </c>
      <c r="P2550">
        <f>IF(B2578=0,0,O2550/B2578)</f>
        <v/>
      </c>
      <c r="Q2550">
        <f>IFERROR(1/(IF(Inputs!$B$39="pvp",15,MAX(0.1,Skills!D14-IF(Skills!E14=TRUE,Inputs!$B$33,0)))*(1-IF(AND(ArtifactsInput!$M$27,Inputs!$B$4="Chapter Hunt"),CHOOSE(ArtifactsInput!$N$27+1,20,24,28,32,36,40),0)/100)),0)</f>
        <v/>
      </c>
      <c r="R2550">
        <f>IF(AND(Inputs!$B$39&lt;&gt;"pvp",Inputs!$B$44&gt;0),IF(Inputs!$B$44&lt;=0,0,(INT(Inputs!$B$44/(IF(Inputs!$B$39="pvp",15,MAX(0.1,Skills!D14-IF(Skills!E14=TRUE,Inputs!$B$33,0)))*(1-IF(AND(ArtifactsInput!$M$27,Inputs!$B$4="Chapter Hunt"),CHOOSE(ArtifactsInput!$N$27+1,20,24,28,32,36,40),0)/100)))+1)),0)</f>
        <v/>
      </c>
      <c r="S2550" t="n">
        <v>0</v>
      </c>
      <c r="U2550" t="n">
        <v>0</v>
      </c>
    </row>
    <row r="2551">
      <c r="A2551">
        <f>Skills!A15</f>
        <v/>
      </c>
      <c r="B2551">
        <f>Skills!B15</f>
        <v/>
      </c>
      <c r="C2551">
        <f>Inputs!$B$3&gt;=63</f>
        <v/>
      </c>
      <c r="D2551">
        <f>IF(Skills!C15=1,60+Inputs!$B$26+Inputs!$B$30,IF(Skills!C15=2,90+Inputs!$B$27+Inputs!$B$30,IF(Skills!C15=3,120+Inputs!$B$28+Inputs!$B$30,MAX(0,(Inputs!$B$3-100)*3)+Inputs!$B$29+Inputs!$B$30)))</f>
        <v/>
      </c>
      <c r="E2551">
        <f>INDEX(FactorTable!$B$2:$Y$301, MATCH(ROUND(MIN(300,MAX(1,D2551)),0), FactorTable!$A$2:$A$301,0), Skills!L15+1)</f>
        <v/>
      </c>
      <c r="F2551">
        <f>IF(Skills!M15=TRUE,(Skills!K15/10)*(E2551/1000),Skills!K15/10)+Skills!N15</f>
        <v/>
      </c>
      <c r="G2551">
        <f>Calc!G15</f>
        <v/>
      </c>
      <c r="H2551">
        <f>Calc!H15</f>
        <v/>
      </c>
      <c r="I2551">
        <f>IF(Skills!T15&lt;&gt;"",1+(Skills!T15/10)*($Z$3/1000)/100,1)</f>
        <v/>
      </c>
      <c r="J2551">
        <f>((Inputs!$B$6*(1+Inputs!$B$7/100))+(((Inputs!$B$13*(1+Inputs!$B$14/100))-(Inputs!$B$13*(1+Inputs!$B$14/100)))+0.25*(Inputs!$B$15-Inputs!$B$15))*(1+Inputs!$B$7/100))*(F2551/100)</f>
        <v/>
      </c>
      <c r="K2551">
        <f>J2551*(1+(((Inputs!$B$13+IF(Inputs!$B$3&gt;=35,(10*INDEX(FactorTable!$B$2:$Y$301,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15="TRIUMPH_FEATHER",IF(C2552=TRUE,F2552,0),0)/100)*(1+IF(C2563=TRUE,F2563,0)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2551)</f>
        <v/>
      </c>
      <c r="L2551">
        <f>K2551*(MIN(Inputs!$B$23+(F2558-Calc!F22),(Inputs!$B$24+IF(ArtifactsInput!$M$15,CHOOSE(ArtifactsInput!$N$15+1,25,30,35,40,45,50)/100*(Inputs!$B$12-Inputs!$B$12),0)))/100+(Inputs!$B$24+IF(ArtifactsInput!$M$15,CHOOSE(ArtifactsInput!$N$15+1,25,30,35,40,45,50)/100*(Inputs!$B$12-Inputs!$B$12),0))/100)/2</f>
        <v/>
      </c>
      <c r="M2551">
        <f>L2551*(1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1">
        <f>L2551*(1-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1">
        <f>(1-Summary!$B$11)*S2551+Summary!$B$11*U2551</f>
        <v/>
      </c>
      <c r="P2551">
        <f>IF(B2578=0,0,O2551/B2578)</f>
        <v/>
      </c>
      <c r="Q2551">
        <f>IFERROR(1/(IF(Inputs!$B$39="pvp",15,MAX(0.1,Skills!D15-IF(Skills!E15=TRUE,Inputs!$B$33,0)))*(1-IF(AND(ArtifactsInput!$M$27,Inputs!$B$4="Chapter Hunt"),CHOOSE(ArtifactsInput!$N$27+1,20,24,28,32,36,40),0)/100)),0)</f>
        <v/>
      </c>
      <c r="R2551" t="n">
        <v>0</v>
      </c>
      <c r="S2551">
        <f>IF(C2551,(Skills!F15*N2551*((IF(Inputs!$B$3&gt;=78,25,15)/100*B2571*10)/(1+IF(Inputs!$B$3&gt;=78,25,15)/100*B2571*10))*(Skills!I15/100*B2571)/(1+Skills!G15*Skills!I15/100*B2571))*IF(Inputs!$B$39="pvp",1,1+(Inputs!$B$21+Skills!O15+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2551*(1-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2551*(1-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1">
        <f>IF(C2551,(Skills!F15*N2551*((IF(Inputs!$B$3&gt;=78,25,15)/100*B2571*10)/(1+IF(Inputs!$B$3&gt;=78,25,15)/100*B2571*10))*(Skills!I15/100*B2571)/(1+Skills!G15*Skills!I15/100*B2571))*IF(Inputs!$B$39="pvp",1,(1+(Inputs!$B$22+Skills!P15+B2567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2">
      <c r="A2552">
        <f>Skills!A16</f>
        <v/>
      </c>
      <c r="B2552">
        <f>Skills!B16</f>
        <v/>
      </c>
      <c r="C2552">
        <f>Inputs!$B$3&gt;=100</f>
        <v/>
      </c>
      <c r="D2552">
        <f>IF(Skills!C16=1,60+Inputs!$B$26+Inputs!$B$30,IF(Skills!C16=2,90+Inputs!$B$27+Inputs!$B$30,IF(Skills!C16=3,120+Inputs!$B$28+Inputs!$B$30,MAX(0,(Inputs!$B$3-100)*3)+Inputs!$B$29+Inputs!$B$30)))</f>
        <v/>
      </c>
      <c r="E2552">
        <f>INDEX(FactorTable!$B$2:$Y$301, MATCH(ROUND(MIN(300,MAX(1,D2552)),0), FactorTable!$A$2:$A$301,0), Skills!L16+1)</f>
        <v/>
      </c>
      <c r="F2552">
        <f>IF(Skills!M16=TRUE,(Skills!K16/10)*(E2552/1000),Skills!K16/10)+Skills!N16</f>
        <v/>
      </c>
      <c r="G2552">
        <f>Calc!G16</f>
        <v/>
      </c>
      <c r="H2552">
        <f>Calc!H16</f>
        <v/>
      </c>
      <c r="I2552">
        <f>IF(Skills!T16&lt;&gt;"",1+(Skills!T16/10)*($Z$3/1000)/100,1)</f>
        <v/>
      </c>
      <c r="J2552" t="inlineStr"/>
      <c r="K2552" t="inlineStr"/>
      <c r="L2552" t="inlineStr"/>
      <c r="M2552" t="inlineStr"/>
      <c r="N2552" t="inlineStr"/>
      <c r="O2552">
        <f>(1-Summary!$B$11)*S2552+Summary!$B$11*U2552</f>
        <v/>
      </c>
      <c r="P2552">
        <f>IF(B2578=0,0,O2552/B2578)</f>
        <v/>
      </c>
      <c r="Q2552">
        <f>IFERROR(1/(IF(Inputs!$B$39="pvp",15,MAX(0.1,Skills!D16-IF(Skills!E16=TRUE,Inputs!$B$33,0)))*(1-IF(AND(ArtifactsInput!$M$27,Inputs!$B$4="Chapter Hunt"),CHOOSE(ArtifactsInput!$N$27+1,20,24,28,32,36,40),0)/100)),0)</f>
        <v/>
      </c>
      <c r="R2552" t="n">
        <v>0</v>
      </c>
      <c r="S2552" t="n">
        <v>0</v>
      </c>
      <c r="U2552" t="n">
        <v>0</v>
      </c>
    </row>
    <row r="2553">
      <c r="A2553">
        <f>Skills!A17</f>
        <v/>
      </c>
      <c r="B2553">
        <f>Skills!B17</f>
        <v/>
      </c>
      <c r="C2553">
        <f>Inputs!$B$3&gt;=49</f>
        <v/>
      </c>
      <c r="D2553">
        <f>IF(Skills!C17=1,60+Inputs!$B$26+Inputs!$B$30,IF(Skills!C17=2,90+Inputs!$B$27+Inputs!$B$30,IF(Skills!C17=3,120+Inputs!$B$28+Inputs!$B$30,MAX(0,(Inputs!$B$3-100)*3)+Inputs!$B$29+Inputs!$B$30)))</f>
        <v/>
      </c>
      <c r="E2553">
        <f>INDEX(FactorTable!$B$2:$Y$301, MATCH(ROUND(MIN(300,MAX(1,D2553)),0), FactorTable!$A$2:$A$301,0), Skills!L17+1)</f>
        <v/>
      </c>
      <c r="F2553">
        <f>IF(Skills!M17=TRUE,(Skills!K17/10)*(E2553/1000),Skills!K17/10)+Skills!N17</f>
        <v/>
      </c>
      <c r="G2553">
        <f>Calc!G17</f>
        <v/>
      </c>
      <c r="H2553">
        <f>Calc!H17</f>
        <v/>
      </c>
      <c r="I2553">
        <f>IF(Skills!T17&lt;&gt;"",1+(Skills!T17/10)*($Z$3/1000)/100,1)</f>
        <v/>
      </c>
      <c r="J2553" t="inlineStr"/>
      <c r="K2553" t="inlineStr"/>
      <c r="L2553" t="inlineStr"/>
      <c r="M2553" t="inlineStr"/>
      <c r="N2553" t="inlineStr"/>
      <c r="O2553">
        <f>(1-Summary!$B$11)*S2553+Summary!$B$11*U2553</f>
        <v/>
      </c>
      <c r="P2553">
        <f>IF(B2578=0,0,O2553/B2578)</f>
        <v/>
      </c>
      <c r="Q2553">
        <f>IFERROR(1/(IF(Inputs!$B$39="pvp",15,MAX(0.1,Skills!D17-IF(Skills!E17=TRUE,Inputs!$B$33,0)))*(1-IF(AND(ArtifactsInput!$M$27,Inputs!$B$4="Chapter Hunt"),CHOOSE(ArtifactsInput!$N$27+1,20,24,28,32,36,40),0)/100)),0)</f>
        <v/>
      </c>
      <c r="R2553" t="n">
        <v>0</v>
      </c>
      <c r="S2553" t="n">
        <v>0</v>
      </c>
      <c r="U2553" t="n">
        <v>0</v>
      </c>
    </row>
    <row r="2554">
      <c r="A2554">
        <f>Skills!A18</f>
        <v/>
      </c>
      <c r="B2554">
        <f>Skills!B18</f>
        <v/>
      </c>
      <c r="C2554">
        <f>Inputs!$B$3&gt;=75</f>
        <v/>
      </c>
      <c r="D2554">
        <f>IF(Skills!C18=1,60+Inputs!$B$26+Inputs!$B$30,IF(Skills!C18=2,90+Inputs!$B$27+Inputs!$B$30,IF(Skills!C18=3,120+Inputs!$B$28+Inputs!$B$30,MAX(0,(Inputs!$B$3-100)*3)+Inputs!$B$29+Inputs!$B$30)))</f>
        <v/>
      </c>
      <c r="E2554">
        <f>INDEX(FactorTable!$B$2:$Y$301, MATCH(ROUND(MIN(300,MAX(1,D2554)),0), FactorTable!$A$2:$A$301,0), Skills!L18+1)</f>
        <v/>
      </c>
      <c r="F2554">
        <f>IF(Skills!M18=TRUE,(Skills!K18/10)*(E2554/1000),Skills!K18/10)+Skills!N18</f>
        <v/>
      </c>
      <c r="G2554">
        <f>Calc!G18</f>
        <v/>
      </c>
      <c r="H2554">
        <f>Calc!H18</f>
        <v/>
      </c>
      <c r="I2554">
        <f>IF(Skills!T18&lt;&gt;"",1+(Skills!T18/10)*($Z$3/1000)/100,1)</f>
        <v/>
      </c>
      <c r="J2554" t="inlineStr"/>
      <c r="K2554" t="inlineStr"/>
      <c r="L2554" t="inlineStr"/>
      <c r="M2554" t="inlineStr"/>
      <c r="N2554" t="inlineStr"/>
      <c r="O2554">
        <f>(1-Summary!$B$11)*S2554+Summary!$B$11*U2554</f>
        <v/>
      </c>
      <c r="P2554">
        <f>IF(B2578=0,0,O2554/B2578)</f>
        <v/>
      </c>
      <c r="Q2554">
        <f>IFERROR(1/(IF(Inputs!$B$39="pvp",15,MAX(0.1,Skills!D18-IF(Skills!E18=TRUE,Inputs!$B$33,0)))*(1-IF(AND(ArtifactsInput!$M$27,Inputs!$B$4="Chapter Hunt"),CHOOSE(ArtifactsInput!$N$27+1,20,24,28,32,36,40),0)/100)),0)</f>
        <v/>
      </c>
      <c r="R2554" t="n">
        <v>0</v>
      </c>
      <c r="S2554" t="n">
        <v>0</v>
      </c>
      <c r="U2554" t="n">
        <v>0</v>
      </c>
    </row>
    <row r="2555">
      <c r="A2555">
        <f>Skills!A19</f>
        <v/>
      </c>
      <c r="B2555">
        <f>Skills!B19</f>
        <v/>
      </c>
      <c r="C2555">
        <f>Inputs!$B$3&gt;=110</f>
        <v/>
      </c>
      <c r="D2555">
        <f>IF(Skills!C19=1,60+Inputs!$B$26+Inputs!$B$30,IF(Skills!C19=2,90+Inputs!$B$27+Inputs!$B$30,IF(Skills!C19=3,120+Inputs!$B$28+Inputs!$B$30,MAX(0,(Inputs!$B$3-100)*3)+Inputs!$B$29+Inputs!$B$30)))</f>
        <v/>
      </c>
      <c r="E2555">
        <f>INDEX(FactorTable!$B$2:$Y$301, MATCH(ROUND(MIN(300,MAX(1,D2555)),0), FactorTable!$A$2:$A$301,0), Skills!L19+1)</f>
        <v/>
      </c>
      <c r="F2555">
        <f>(Skills!K19/10)*(E2555/1000)*64/45+Skills!N19</f>
        <v/>
      </c>
      <c r="G2555">
        <f>Calc!G19</f>
        <v/>
      </c>
      <c r="H2555">
        <f>Calc!H19</f>
        <v/>
      </c>
      <c r="I2555">
        <f>IF(Skills!T19&lt;&gt;"",1+(Skills!T19/10)*($Z$3/1000)/100,1)</f>
        <v/>
      </c>
      <c r="J2555" t="inlineStr"/>
      <c r="K2555" t="inlineStr"/>
      <c r="L2555" t="inlineStr"/>
      <c r="M2555" t="inlineStr"/>
      <c r="N2555" t="inlineStr"/>
      <c r="O2555">
        <f>(1-Summary!$B$11)*S2555+Summary!$B$11*U2555</f>
        <v/>
      </c>
      <c r="P2555">
        <f>IF(B2578=0,0,O2555/B2578)</f>
        <v/>
      </c>
      <c r="Q2555">
        <f>IFERROR(1/(IF(Inputs!$B$39="pvp",15,MAX(0.1,Skills!D19-IF(Skills!E19=TRUE,Inputs!$B$33,0)))*(1-IF(AND(ArtifactsInput!$M$27,Inputs!$B$4="Chapter Hunt"),CHOOSE(ArtifactsInput!$N$27+1,20,24,28,32,36,40),0)/100)),0)</f>
        <v/>
      </c>
      <c r="R2555">
        <f>IF(AND(Inputs!$B$39&lt;&gt;"pvp",Inputs!$B$44&gt;0),IF(Inputs!$B$44&lt;=0,0,(INT(Inputs!$B$44/(IF(Inputs!$B$39="pvp",15,MAX(0.1,Skills!D19-IF(Skills!E19=TRUE,Inputs!$B$33,0)))*(1-IF(AND(ArtifactsInput!$M$27,Inputs!$B$4="Chapter Hunt"),CHOOSE(ArtifactsInput!$N$27+1,20,24,28,32,36,40),0)/100)))+1)),0)</f>
        <v/>
      </c>
      <c r="S2555" t="n">
        <v>0</v>
      </c>
      <c r="U2555" t="n">
        <v>0</v>
      </c>
    </row>
    <row r="2556">
      <c r="A2556">
        <f>Skills!A20</f>
        <v/>
      </c>
      <c r="B2556">
        <f>Skills!B20</f>
        <v/>
      </c>
      <c r="C2556">
        <f>Inputs!$B$3&gt;=125</f>
        <v/>
      </c>
      <c r="D2556">
        <f>IF(Skills!C20=1,60+Inputs!$B$26+Inputs!$B$30,IF(Skills!C20=2,90+Inputs!$B$27+Inputs!$B$30,IF(Skills!C20=3,120+Inputs!$B$28+Inputs!$B$30,MAX(0,(Inputs!$B$3-100)*3)+Inputs!$B$29+Inputs!$B$30)))</f>
        <v/>
      </c>
      <c r="E2556">
        <f>INDEX(FactorTable!$B$2:$Y$301, MATCH(ROUND(MIN(300,MAX(1,D2556)),0), FactorTable!$A$2:$A$301,0), Skills!L20+1)</f>
        <v/>
      </c>
      <c r="F2556">
        <f>IF(Skills!M20=TRUE,(Skills!K20/10)*(E2556/1000),Skills!K20/10)+Skills!N20</f>
        <v/>
      </c>
      <c r="G2556">
        <f>Calc!G20</f>
        <v/>
      </c>
      <c r="H2556">
        <f>Calc!H20</f>
        <v/>
      </c>
      <c r="I2556">
        <f>IF(Skills!T20&lt;&gt;"",1+(Skills!T20/10)*($Z$3/1000)/100,1)</f>
        <v/>
      </c>
      <c r="J2556" t="inlineStr"/>
      <c r="K2556" t="inlineStr"/>
      <c r="L2556" t="inlineStr"/>
      <c r="M2556" t="inlineStr"/>
      <c r="N2556" t="inlineStr"/>
      <c r="O2556">
        <f>(1-Summary!$B$11)*S2556+Summary!$B$11*U2556</f>
        <v/>
      </c>
      <c r="P2556">
        <f>IF(B2578=0,0,O2556/B2578)</f>
        <v/>
      </c>
      <c r="Q2556">
        <f>IFERROR(1/(IF(Inputs!$B$39="pvp",15,MAX(0.1,Skills!D20-IF(Skills!E20=TRUE,Inputs!$B$33,0)))*(1-IF(AND(ArtifactsInput!$M$27,Inputs!$B$4="Chapter Hunt"),CHOOSE(ArtifactsInput!$N$27+1,20,24,28,32,36,40),0)/100)),0)</f>
        <v/>
      </c>
      <c r="R2556" t="n">
        <v>0</v>
      </c>
      <c r="S2556" t="n">
        <v>0</v>
      </c>
      <c r="U2556" t="n">
        <v>0</v>
      </c>
    </row>
    <row r="2557">
      <c r="A2557">
        <f>Skills!A21</f>
        <v/>
      </c>
      <c r="B2557">
        <f>Skills!B21</f>
        <v/>
      </c>
      <c r="C2557">
        <f>Inputs!$B$3&gt;=33</f>
        <v/>
      </c>
      <c r="D2557">
        <f>IF(Skills!C21=1,60+Inputs!$B$26+Inputs!$B$30,IF(Skills!C21=2,90+Inputs!$B$27+Inputs!$B$30,IF(Skills!C21=3,120+Inputs!$B$28+Inputs!$B$30,MAX(0,(Inputs!$B$3-100)*3)+Inputs!$B$29+Inputs!$B$30)))</f>
        <v/>
      </c>
      <c r="E2557">
        <f>INDEX(FactorTable!$B$2:$Y$301, MATCH(ROUND(MIN(300,MAX(1,D2557)),0), FactorTable!$A$2:$A$301,0), Skills!L21+1)</f>
        <v/>
      </c>
      <c r="F2557">
        <f>IF(Skills!M21=TRUE,(Skills!K21/10)*(E2557/1000),Skills!K21/10)+Skills!N21</f>
        <v/>
      </c>
      <c r="G2557">
        <f>Calc!G21</f>
        <v/>
      </c>
      <c r="H2557">
        <f>Calc!H21</f>
        <v/>
      </c>
      <c r="I2557">
        <f>IF(Skills!T21&lt;&gt;"",1+(Skills!T21/10)*($Z$3/1000)/100,1)</f>
        <v/>
      </c>
      <c r="J2557" t="inlineStr"/>
      <c r="K2557" t="inlineStr"/>
      <c r="L2557" t="inlineStr"/>
      <c r="M2557" t="inlineStr"/>
      <c r="N2557" t="inlineStr"/>
      <c r="O2557">
        <f>(1-Summary!$B$11)*S2557+Summary!$B$11*U2557</f>
        <v/>
      </c>
      <c r="P2557">
        <f>IF(B2578=0,0,O2557/B2578)</f>
        <v/>
      </c>
      <c r="Q2557">
        <f>IFERROR(1/(IF(Inputs!$B$39="pvp",15,MAX(0.1,Skills!D21-IF(Skills!E21=TRUE,Inputs!$B$33,0)))*(1-IF(AND(ArtifactsInput!$M$27,Inputs!$B$4="Chapter Hunt"),CHOOSE(ArtifactsInput!$N$27+1,20,24,28,32,36,40),0)/100)),0)</f>
        <v/>
      </c>
      <c r="R2557" t="n">
        <v>0</v>
      </c>
      <c r="S2557" t="n">
        <v>0</v>
      </c>
      <c r="U2557" t="n">
        <v>0</v>
      </c>
    </row>
    <row r="2558">
      <c r="A2558">
        <f>Skills!A22</f>
        <v/>
      </c>
      <c r="B2558">
        <f>Skills!B22</f>
        <v/>
      </c>
      <c r="C2558">
        <f>Inputs!$B$3&gt;=43</f>
        <v/>
      </c>
      <c r="D2558">
        <f>IF(Skills!C22=1,60+Inputs!$B$26+Inputs!$B$30,IF(Skills!C22=2,90+Inputs!$B$27+Inputs!$B$30,IF(Skills!C22=3,120+Inputs!$B$28+Inputs!$B$30,MAX(0,(Inputs!$B$3-100)*3)+Inputs!$B$29+Inputs!$B$30)))</f>
        <v/>
      </c>
      <c r="E2558">
        <f>INDEX(FactorTable!$B$2:$Y$301, MATCH(ROUND(MIN(300,MAX(1,D2558)),0), FactorTable!$A$2:$A$301,0), Skills!L22+1)</f>
        <v/>
      </c>
      <c r="F2558">
        <f>IF(Skills!M22=TRUE,(Skills!K22/10)*(E2558/1000),Skills!K22/10)+Skills!N22</f>
        <v/>
      </c>
      <c r="G2558">
        <f>Calc!G22</f>
        <v/>
      </c>
      <c r="H2558">
        <f>Calc!H22</f>
        <v/>
      </c>
      <c r="I2558">
        <f>IF(Skills!T22&lt;&gt;"",1+(Skills!T22/10)*($Z$3/1000)/100,1)</f>
        <v/>
      </c>
      <c r="J2558" t="inlineStr"/>
      <c r="K2558" t="inlineStr"/>
      <c r="L2558" t="inlineStr"/>
      <c r="M2558" t="inlineStr"/>
      <c r="N2558" t="inlineStr"/>
      <c r="O2558">
        <f>(1-Summary!$B$11)*S2558+Summary!$B$11*U2558</f>
        <v/>
      </c>
      <c r="P2558">
        <f>IF(B2578=0,0,O2558/B2578)</f>
        <v/>
      </c>
      <c r="Q2558">
        <f>IFERROR(1/(IF(Inputs!$B$39="pvp",15,MAX(0.1,Skills!D22-IF(Skills!E22=TRUE,Inputs!$B$33,0)))*(1-IF(AND(ArtifactsInput!$M$27,Inputs!$B$4="Chapter Hunt"),CHOOSE(ArtifactsInput!$N$27+1,20,24,28,32,36,40),0)/100)),0)</f>
        <v/>
      </c>
      <c r="R2558" t="n">
        <v>0</v>
      </c>
      <c r="S2558" t="n">
        <v>0</v>
      </c>
      <c r="U2558" t="n">
        <v>0</v>
      </c>
    </row>
    <row r="2559">
      <c r="A2559">
        <f>Skills!A23</f>
        <v/>
      </c>
      <c r="B2559">
        <f>Skills!B23</f>
        <v/>
      </c>
      <c r="C2559">
        <f>Inputs!$B$3&gt;=50</f>
        <v/>
      </c>
      <c r="D2559">
        <f>IF(Skills!C23=1,60+Inputs!$B$26+Inputs!$B$30,IF(Skills!C23=2,90+Inputs!$B$27+Inputs!$B$30,IF(Skills!C23=3,120+Inputs!$B$28+Inputs!$B$30,MAX(0,(Inputs!$B$3-100)*3)+Inputs!$B$29+Inputs!$B$30)))</f>
        <v/>
      </c>
      <c r="E2559">
        <f>INDEX(FactorTable!$B$2:$Y$301, MATCH(ROUND(MIN(300,MAX(1,D2559)),0), FactorTable!$A$2:$A$301,0), Skills!L23+1)</f>
        <v/>
      </c>
      <c r="F2559">
        <f>IF(Skills!M23=TRUE,(Skills!K23/10)*(E2559/1000),Skills!K23/10)+Skills!N23</f>
        <v/>
      </c>
      <c r="G2559">
        <f>Calc!G23</f>
        <v/>
      </c>
      <c r="H2559">
        <f>Calc!H23</f>
        <v/>
      </c>
      <c r="I2559">
        <f>IF(Skills!T23&lt;&gt;"",1+(Skills!T23/10)*($Z$3/1000)/100,1)</f>
        <v/>
      </c>
      <c r="J2559" t="inlineStr"/>
      <c r="K2559" t="inlineStr"/>
      <c r="L2559" t="inlineStr"/>
      <c r="M2559" t="inlineStr"/>
      <c r="N2559" t="inlineStr"/>
      <c r="O2559">
        <f>(1-Summary!$B$11)*S2559+Summary!$B$11*U2559</f>
        <v/>
      </c>
      <c r="P2559">
        <f>IF(B2578=0,0,O2559/B2578)</f>
        <v/>
      </c>
      <c r="Q2559">
        <f>IFERROR(1/(IF(Inputs!$B$39="pvp",15,MAX(0.1,Skills!D23-IF(Skills!E23=TRUE,Inputs!$B$33,0)))*(1-IF(AND(ArtifactsInput!$M$27,Inputs!$B$4="Chapter Hunt"),CHOOSE(ArtifactsInput!$N$27+1,20,24,28,32,36,40),0)/100)),0)</f>
        <v/>
      </c>
      <c r="R2559" t="n">
        <v>0</v>
      </c>
      <c r="S2559" t="n">
        <v>0</v>
      </c>
      <c r="U2559" t="n">
        <v>0</v>
      </c>
    </row>
    <row r="2560">
      <c r="A2560">
        <f>Skills!A24</f>
        <v/>
      </c>
      <c r="B2560">
        <f>Skills!B24</f>
        <v/>
      </c>
      <c r="C2560">
        <f>Inputs!$B$3&gt;=74</f>
        <v/>
      </c>
      <c r="D2560">
        <f>IF(Skills!C24=1,60+Inputs!$B$26+Inputs!$B$30,IF(Skills!C24=2,90+Inputs!$B$27+Inputs!$B$30,IF(Skills!C24=3,120+Inputs!$B$28+Inputs!$B$30,MAX(0,(Inputs!$B$3-100)*3)+Inputs!$B$29+Inputs!$B$30)))</f>
        <v/>
      </c>
      <c r="E2560">
        <f>INDEX(FactorTable!$B$2:$Y$301, MATCH(ROUND(MIN(300,MAX(1,D2560)),0), FactorTable!$A$2:$A$301,0), Skills!L24+1)</f>
        <v/>
      </c>
      <c r="F2560">
        <f>IF(Skills!M24=TRUE,(Skills!K24/10)*(E2560/1000),Skills!K24/10)+Skills!N24</f>
        <v/>
      </c>
      <c r="G2560">
        <f>Calc!G24</f>
        <v/>
      </c>
      <c r="H2560">
        <f>Calc!H24</f>
        <v/>
      </c>
      <c r="I2560">
        <f>IF(Skills!T24&lt;&gt;"",1+(Skills!T24/10)*($Z$3/1000)/100,1)</f>
        <v/>
      </c>
      <c r="J2560" t="inlineStr"/>
      <c r="K2560" t="inlineStr"/>
      <c r="L2560" t="inlineStr"/>
      <c r="M2560" t="inlineStr"/>
      <c r="N2560" t="inlineStr"/>
      <c r="O2560">
        <f>(1-Summary!$B$11)*S2560+Summary!$B$11*U2560</f>
        <v/>
      </c>
      <c r="P2560">
        <f>IF(B2578=0,0,O2560/B2578)</f>
        <v/>
      </c>
      <c r="Q2560">
        <f>IFERROR(1/(IF(Inputs!$B$39="pvp",15,MAX(0.1,Skills!D24-IF(Skills!E24=TRUE,Inputs!$B$33,0)))*(1-IF(AND(ArtifactsInput!$M$27,Inputs!$B$4="Chapter Hunt"),CHOOSE(ArtifactsInput!$N$27+1,20,24,28,32,36,40),0)/100)),0)</f>
        <v/>
      </c>
      <c r="R2560" t="n">
        <v>0</v>
      </c>
      <c r="S2560" t="n">
        <v>0</v>
      </c>
      <c r="U2560" t="n">
        <v>0</v>
      </c>
    </row>
    <row r="2561">
      <c r="A2561">
        <f>Skills!A25</f>
        <v/>
      </c>
      <c r="B2561">
        <f>Skills!B25</f>
        <v/>
      </c>
      <c r="C2561">
        <f>Inputs!$B$3&gt;=74</f>
        <v/>
      </c>
      <c r="D2561">
        <f>IF(Skills!C25=1,60+Inputs!$B$26+Inputs!$B$30,IF(Skills!C25=2,90+Inputs!$B$27+Inputs!$B$30,IF(Skills!C25=3,120+Inputs!$B$28+Inputs!$B$30,MAX(0,(Inputs!$B$3-100)*3)+Inputs!$B$29+Inputs!$B$30)))</f>
        <v/>
      </c>
      <c r="E2561">
        <f>INDEX(FactorTable!$B$2:$Y$301, MATCH(ROUND(MIN(300,MAX(1,D2561)),0), FactorTable!$A$2:$A$301,0), Skills!L25+1)</f>
        <v/>
      </c>
      <c r="F2561">
        <f>IF(Skills!M25=TRUE,(Skills!K25/10)*(E2561/1000),Skills!K25/10)+Skills!N25</f>
        <v/>
      </c>
      <c r="G2561">
        <f>Calc!G25</f>
        <v/>
      </c>
      <c r="H2561">
        <f>Calc!H25</f>
        <v/>
      </c>
      <c r="I2561">
        <f>IF(Skills!T25&lt;&gt;"",1+(Skills!T25/10)*($Z$3/1000)/100,1)</f>
        <v/>
      </c>
      <c r="J2561" t="inlineStr"/>
      <c r="K2561" t="inlineStr"/>
      <c r="L2561" t="inlineStr"/>
      <c r="M2561" t="inlineStr"/>
      <c r="N2561" t="inlineStr"/>
      <c r="O2561">
        <f>(1-Summary!$B$11)*S2561+Summary!$B$11*U2561</f>
        <v/>
      </c>
      <c r="P2561">
        <f>IF(B2578=0,0,O2561/B2578)</f>
        <v/>
      </c>
      <c r="Q2561">
        <f>IFERROR(1/(IF(Inputs!$B$39="pvp",15,MAX(0.1,Skills!D25-IF(Skills!E25=TRUE,Inputs!$B$33,0)))*(1-IF(AND(ArtifactsInput!$M$27,Inputs!$B$4="Chapter Hunt"),CHOOSE(ArtifactsInput!$N$27+1,20,24,28,32,36,40),0)/100)),0)</f>
        <v/>
      </c>
      <c r="R2561" t="n">
        <v>0</v>
      </c>
      <c r="S2561" t="n">
        <v>0</v>
      </c>
      <c r="U2561" t="n">
        <v>0</v>
      </c>
    </row>
    <row r="2562">
      <c r="A2562">
        <f>Skills!A26</f>
        <v/>
      </c>
      <c r="B2562">
        <f>Skills!B26</f>
        <v/>
      </c>
      <c r="C2562">
        <f>Inputs!$B$3&gt;=117</f>
        <v/>
      </c>
      <c r="D2562">
        <f>IF(Skills!C26=1,60+Inputs!$B$26+Inputs!$B$30,IF(Skills!C26=2,90+Inputs!$B$27+Inputs!$B$30,IF(Skills!C26=3,120+Inputs!$B$28+Inputs!$B$30,MAX(0,(Inputs!$B$3-100)*3)+Inputs!$B$29+Inputs!$B$30)))</f>
        <v/>
      </c>
      <c r="E2562">
        <f>INDEX(FactorTable!$B$2:$Y$301, MATCH(ROUND(MIN(300,MAX(1,D2562)),0), FactorTable!$A$2:$A$301,0), Skills!L26+1)</f>
        <v/>
      </c>
      <c r="F2562">
        <f>IF(Skills!M26=TRUE,(Skills!K26/10)*(E2562/1000),Skills!K26/10)+Skills!N26</f>
        <v/>
      </c>
      <c r="G2562">
        <f>Calc!G26</f>
        <v/>
      </c>
      <c r="H2562">
        <f>Calc!H26</f>
        <v/>
      </c>
      <c r="I2562">
        <f>IF(Skills!T26&lt;&gt;"",1+(Skills!T26/10)*($Z$3/1000)/100,1)</f>
        <v/>
      </c>
      <c r="J2562" t="inlineStr"/>
      <c r="K2562" t="inlineStr"/>
      <c r="L2562" t="inlineStr"/>
      <c r="M2562" t="inlineStr"/>
      <c r="N2562" t="inlineStr"/>
      <c r="O2562">
        <f>(1-Summary!$B$11)*S2562+Summary!$B$11*U2562</f>
        <v/>
      </c>
      <c r="P2562">
        <f>IF(B2578=0,0,O2562/B2578)</f>
        <v/>
      </c>
      <c r="Q2562">
        <f>IFERROR(1/(IF(Inputs!$B$39="pvp",15,MAX(0.1,Skills!D26-IF(Skills!E26=TRUE,Inputs!$B$33,0)))*(1-IF(AND(ArtifactsInput!$M$27,Inputs!$B$4="Chapter Hunt"),CHOOSE(ArtifactsInput!$N$27+1,20,24,28,32,36,40),0)/100)),0)</f>
        <v/>
      </c>
      <c r="R2562" t="n">
        <v>0</v>
      </c>
      <c r="S2562" t="n">
        <v>0</v>
      </c>
      <c r="U2562" t="n">
        <v>0</v>
      </c>
    </row>
    <row r="2563">
      <c r="A2563">
        <f>Skills!A27</f>
        <v/>
      </c>
      <c r="B2563">
        <f>Skills!B27</f>
        <v/>
      </c>
      <c r="C2563">
        <f>Inputs!$B$3&gt;=120</f>
        <v/>
      </c>
      <c r="D2563">
        <f>IF(Skills!C27=1,60+Inputs!$B$26+Inputs!$B$30,IF(Skills!C27=2,90+Inputs!$B$27+Inputs!$B$30,IF(Skills!C27=3,120+Inputs!$B$28+Inputs!$B$30,MAX(0,(Inputs!$B$3-100)*3)+Inputs!$B$29+Inputs!$B$30)))</f>
        <v/>
      </c>
      <c r="E2563">
        <f>INDEX(FactorTable!$B$2:$Y$301, MATCH(ROUND(MIN(300,MAX(1,D2563)),0), FactorTable!$A$2:$A$301,0), Skills!L27+1)</f>
        <v/>
      </c>
      <c r="F2563">
        <f>IF(Skills!M27=TRUE,(Skills!K27/10)*(E2563/1000),Skills!K27/10)+Skills!N27</f>
        <v/>
      </c>
      <c r="G2563">
        <f>Calc!G27</f>
        <v/>
      </c>
      <c r="H2563">
        <f>Calc!H27</f>
        <v/>
      </c>
      <c r="I2563">
        <f>IF(Skills!T27&lt;&gt;"",1+(Skills!T27/10)*($Z$3/1000)/100,1)</f>
        <v/>
      </c>
      <c r="J2563" t="inlineStr"/>
      <c r="K2563" t="inlineStr"/>
      <c r="L2563" t="inlineStr"/>
      <c r="M2563" t="inlineStr"/>
      <c r="N2563" t="inlineStr"/>
      <c r="O2563">
        <f>(1-Summary!$B$11)*S2563+Summary!$B$11*U2563</f>
        <v/>
      </c>
      <c r="P2563">
        <f>IF(B2578=0,0,O2563/B2578)</f>
        <v/>
      </c>
      <c r="Q2563">
        <f>IFERROR(1/(IF(Inputs!$B$39="pvp",15,MAX(0.1,Skills!D27-IF(Skills!E27=TRUE,Inputs!$B$33,0)))*(1-IF(AND(ArtifactsInput!$M$27,Inputs!$B$4="Chapter Hunt"),CHOOSE(ArtifactsInput!$N$27+1,20,24,28,32,36,40),0)/100)),0)</f>
        <v/>
      </c>
      <c r="R2563" t="n">
        <v>0</v>
      </c>
      <c r="S2563" t="n">
        <v>0</v>
      </c>
      <c r="U2563" t="n">
        <v>0</v>
      </c>
    </row>
    <row r="2565">
      <c r="A2565" t="inlineStr">
        <is>
          <t>Average Buff Multiplier</t>
        </is>
      </c>
      <c r="B2565">
        <f>(1+(IF(C2539=TRUE,F2539*IF(AND(Inputs!$B$39&lt;&gt;"pvp",Inputs!$B$44&gt;0),(((R2539-1)*(Skills!S3*(1+((Inputs!$B$35+(ArtifactsInput!$M$7-ArtifactsInput!$M$7)*CHOOSE(ArtifactsInput!$N$7+1,6,7.2,8.4,9.6,10.8,12))+IF(Inputs!$B$3&gt;=117,F2562,0))/100))+MIN((Skills!S3*(1+((Inputs!$B$35+(ArtifactsInput!$M$7-ArtifactsInput!$M$7)*CHOOSE(ArtifactsInput!$N$7+1,6,7.2,8.4,9.6,10.8,12))+IF(Inputs!$B$3&gt;=117,F2562,0))/100)),MAX(0,Inputs!$B$44-((R2539-1)*Skills!D3))))/Inputs!$B$44),IF(Inputs!$B$39="pvp",MIN((Skills!S3*(1+((Inputs!$B$35+(ArtifactsInput!$M$7-ArtifactsInput!$M$7)*CHOOSE(ArtifactsInput!$N$7+1,6,7.2,8.4,9.6,10.8,12))+IF(Inputs!$B$3&gt;=117,F2562,0))/100)),15)/15,(Skills!S3*(1+((Inputs!$B$35+(ArtifactsInput!$M$7-ArtifactsInput!$M$7)*CHOOSE(ArtifactsInput!$N$7+1,6,7.2,8.4,9.6,10.8,12))+IF(Inputs!$B$3&gt;=117,F2562,0))/100))/Skills!D3)),0)+IF(C2540=TRUE,F2540*IF(AND(Inputs!$B$39&lt;&gt;"pvp",Inputs!$B$44&gt;0),(((R2540-1)*(Skills!S4*(1+((Inputs!$B$35+(ArtifactsInput!$M$7-ArtifactsInput!$M$7)*CHOOSE(ArtifactsInput!$N$7+1,6,7.2,8.4,9.6,10.8,12))+IF(Inputs!$B$3&gt;=117,F2562,0))/100))+MIN((Skills!S4*(1+((Inputs!$B$35+(ArtifactsInput!$M$7-ArtifactsInput!$M$7)*CHOOSE(ArtifactsInput!$N$7+1,6,7.2,8.4,9.6,10.8,12))+IF(Inputs!$B$3&gt;=117,F2562,0))/100)),MAX(0,Inputs!$B$44-((R2540-1)*Skills!D4))))/Inputs!$B$44),IF(Inputs!$B$39="pvp",MIN((Skills!S4*(1+((Inputs!$B$35+(ArtifactsInput!$M$7-ArtifactsInput!$M$7)*CHOOSE(ArtifactsInput!$N$7+1,6,7.2,8.4,9.6,10.8,12))+IF(Inputs!$B$3&gt;=117,F2562,0))/100)),15)/15,(Skills!S4*(1+((Inputs!$B$35+(ArtifactsInput!$M$7-ArtifactsInput!$M$7)*CHOOSE(ArtifactsInput!$N$7+1,6,7.2,8.4,9.6,10.8,12))+IF(Inputs!$B$3&gt;=117,F2562,0))/100))/Skills!D4)),0)+IF(C2541=TRUE,F2541*IF(AND(Inputs!$B$39&lt;&gt;"pvp",Inputs!$B$44&gt;0),(((R2541-1)*(Skills!S5*(1+((Inputs!$B$35+(ArtifactsInput!$M$7-ArtifactsInput!$M$7)*CHOOSE(ArtifactsInput!$N$7+1,6,7.2,8.4,9.6,10.8,12))+IF(Inputs!$B$3&gt;=117,F2562,0))/100))+MIN((Skills!S5*(1+((Inputs!$B$35+(ArtifactsInput!$M$7-ArtifactsInput!$M$7)*CHOOSE(ArtifactsInput!$N$7+1,6,7.2,8.4,9.6,10.8,12))+IF(Inputs!$B$3&gt;=117,F2562,0))/100)),MAX(0,Inputs!$B$44-((R2541-1)*Skills!D5))))/Inputs!$B$44),IF(Inputs!$B$39="pvp",MIN((Skills!S5*(1+((Inputs!$B$35+(ArtifactsInput!$M$7-ArtifactsInput!$M$7)*CHOOSE(ArtifactsInput!$N$7+1,6,7.2,8.4,9.6,10.8,12))+IF(Inputs!$B$3&gt;=117,F2562,0))/100)),15)/15,(Skills!S5*(1+((Inputs!$B$35+(ArtifactsInput!$M$7-ArtifactsInput!$M$7)*CHOOSE(ArtifactsInput!$N$7+1,6,7.2,8.4,9.6,10.8,12))+IF(Inputs!$B$3&gt;=117,F2562,0))/100))/Skills!D5)),0)+IF(C2547=TRUE,F2547*IF(AND(Inputs!$B$39&lt;&gt;"pvp",Inputs!$B$44&gt;0),(((R2547-1)*(Skills!S11*(1+((Inputs!$B$35+(ArtifactsInput!$M$7-ArtifactsInput!$M$7)*CHOOSE(ArtifactsInput!$N$7+1,6,7.2,8.4,9.6,10.8,12))+IF(Inputs!$B$3&gt;=117,F2562,0))/100))+MIN((Skills!S11*(1+((Inputs!$B$35+(ArtifactsInput!$M$7-ArtifactsInput!$M$7)*CHOOSE(ArtifactsInput!$N$7+1,6,7.2,8.4,9.6,10.8,12))+IF(Inputs!$B$3&gt;=117,F2562,0))/100)),MAX(0,Inputs!$B$44-((R2547-1)*Skills!D11))))/Inputs!$B$44),IF(Inputs!$B$39="pvp",MIN((Skills!S11*(1+((Inputs!$B$35+(ArtifactsInput!$M$7-ArtifactsInput!$M$7)*CHOOSE(ArtifactsInput!$N$7+1,6,7.2,8.4,9.6,10.8,12))+IF(Inputs!$B$3&gt;=117,F2562,0))/100)),15)/15,(Skills!S11*(1+((Inputs!$B$35+(ArtifactsInput!$M$7-ArtifactsInput!$M$7)*CHOOSE(ArtifactsInput!$N$7+1,6,7.2,8.4,9.6,10.8,12))+IF(Inputs!$B$3&gt;=117,F2562,0)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2550=TRUE,(1+F2550*IF(AND(Inputs!$B$39&lt;&gt;"pvp",Inputs!$B$44&gt;0),(((R2550-1)*(Skills!S14*(1+((Inputs!$B$35+(ArtifactsInput!$M$7-ArtifactsInput!$M$7)*CHOOSE(ArtifactsInput!$N$7+1,6,7.2,8.4,9.6,10.8,12))+IF(Inputs!$B$3&gt;=117,F2562,0))/100))+MIN((Skills!S14*(1+((Inputs!$B$35+(ArtifactsInput!$M$7-ArtifactsInput!$M$7)*CHOOSE(ArtifactsInput!$N$7+1,6,7.2,8.4,9.6,10.8,12))+IF(Inputs!$B$3&gt;=117,F2562,0))/100)),MAX(0,Inputs!$B$44-((R2550-1)*Skills!D14))))/Inputs!$B$44),IF(Inputs!$B$39="pvp",MIN((Skills!S14*(1+((Inputs!$B$35+(ArtifactsInput!$M$7-ArtifactsInput!$M$7)*CHOOSE(ArtifactsInput!$N$7+1,6,7.2,8.4,9.6,10.8,12))+IF(Inputs!$B$3&gt;=117,F2562,0))/100)),15)/15,(Skills!S14*(1+((Inputs!$B$35+(ArtifactsInput!$M$7-ArtifactsInput!$M$7)*CHOOSE(ArtifactsInput!$N$7+1,6,7.2,8.4,9.6,10.8,12))+IF(Inputs!$B$3&gt;=117,F2562,0))/100))/Skills!D14))/100),1)*IF(C2555=TRUE,(1+F2555*IF(AND(Inputs!$B$39&lt;&gt;"pvp",Inputs!$B$44&gt;0),(((R2555-1)*(Skills!S19*(1+((Inputs!$B$35+(ArtifactsInput!$M$7-ArtifactsInput!$M$7)*CHOOSE(ArtifactsInput!$N$7+1,6,7.2,8.4,9.6,10.8,12))+IF(Inputs!$B$3&gt;=117,F2562,0))/100))+MIN((Skills!S19*(1+((Inputs!$B$35+(ArtifactsInput!$M$7-ArtifactsInput!$M$7)*CHOOSE(ArtifactsInput!$N$7+1,6,7.2,8.4,9.6,10.8,12))+IF(Inputs!$B$3&gt;=117,F2562,0))/100)),MAX(0,Inputs!$B$44-((R2555-1)*Skills!D19))))/Inputs!$B$44),IF(Inputs!$B$39="pvp",MIN((Skills!S19*(1+((Inputs!$B$35+(ArtifactsInput!$M$7-ArtifactsInput!$M$7)*CHOOSE(ArtifactsInput!$N$7+1,6,7.2,8.4,9.6,10.8,12))+IF(Inputs!$B$3&gt;=117,F2562,0))/100)),15)/15,(Skills!S19*(1+((Inputs!$B$35+(ArtifactsInput!$M$7-ArtifactsInput!$M$7)*CHOOSE(ArtifactsInput!$N$7+1,6,7.2,8.4,9.6,10.8,12))+IF(Inputs!$B$3&gt;=117,F2562,0))/100))/Skills!D19))/100),1)</f>
        <v/>
      </c>
    </row>
    <row r="2566">
      <c r="A2566" t="inlineStr">
        <is>
          <t>Monster Damage Taken Bonus % (Holy Fountain)</t>
        </is>
      </c>
      <c r="B2566">
        <f>IF(Inputs!$B$3&gt;=68,20*IF(Inputs!$B$39="pvp",MIN((15*(1+((Inputs!$B$35+(ArtifactsInput!$M$7-ArtifactsInput!$M$7)*CHOOSE(ArtifactsInput!$N$7+1,6,7.2,8.4,9.6,10.8,12))+IF(Inputs!$B$3&gt;=117,F2562,0))/100)),15)/15,(15*(1+((Inputs!$B$35+(ArtifactsInput!$M$7-ArtifactsInput!$M$7)*CHOOSE(ArtifactsInput!$N$7+1,6,7.2,8.4,9.6,10.8,12))+IF(Inputs!$B$3&gt;=117,F2562,0))/100))/Skills!D10),0)</f>
        <v/>
      </c>
    </row>
    <row r="2567">
      <c r="A2567" t="inlineStr">
        <is>
          <t>Normal Monster Damage Bonus % (Holy Symbol)</t>
        </is>
      </c>
      <c r="B2567">
        <f>IF(C2548=TRUE,F2548*IF(AND(Inputs!$B$39&lt;&gt;"pvp",Inputs!$B$44&gt;0),(((R2548-1)*(Skills!S12*(1+((Inputs!$B$35+(ArtifactsInput!$M$7-ArtifactsInput!$M$7)*CHOOSE(ArtifactsInput!$N$7+1,6,7.2,8.4,9.6,10.8,12))+IF(Inputs!$B$3&gt;=117,F2562,0))/100))+MIN((Skills!S12*(1+((Inputs!$B$35+(ArtifactsInput!$M$7-ArtifactsInput!$M$7)*CHOOSE(ArtifactsInput!$N$7+1,6,7.2,8.4,9.6,10.8,12))+IF(Inputs!$B$3&gt;=117,F2562,0))/100)),MAX(0,Inputs!$B$44-((R2548-1)*Skills!D12))))/Inputs!$B$44),IF(Inputs!$B$39="pvp",MIN((Skills!S12*(1+((Inputs!$B$35+(ArtifactsInput!$M$7-ArtifactsInput!$M$7)*CHOOSE(ArtifactsInput!$N$7+1,6,7.2,8.4,9.6,10.8,12))+IF(Inputs!$B$3&gt;=117,F2562,0))/100)),15)/15,(Skills!S12*(1+((Inputs!$B$35+(ArtifactsInput!$M$7-ArtifactsInput!$M$7)*CHOOSE(ArtifactsInput!$N$7+1,6,7.2,8.4,9.6,10.8,12))+IF(Inputs!$B$3&gt;=117,F2562,0))/100))/Skills!D12)),0)</f>
        <v/>
      </c>
    </row>
    <row r="2568">
      <c r="A2568" t="inlineStr">
        <is>
          <t>Damage % Bonus (Holy Symbol - Damage Boost)</t>
        </is>
      </c>
      <c r="B2568">
        <f>Skills!O12</f>
        <v/>
      </c>
    </row>
    <row r="2569">
      <c r="A2569" t="inlineStr">
        <is>
          <t>Crit Damage % Bonus (Blood of the Divine)</t>
        </is>
      </c>
      <c r="B2569">
        <f>4*IF(C2556=TRUE,F2556,0)</f>
        <v/>
      </c>
    </row>
    <row r="2570">
      <c r="A2570" t="inlineStr">
        <is>
          <t>Attack Speed Bonus %</t>
        </is>
      </c>
      <c r="B2570">
        <f>IF(C2553=TRUE,F2553+(F2557-Calc!F21),0)+IF(Inputs!$B$3&gt;=134,15,0)</f>
        <v/>
      </c>
    </row>
    <row r="2571">
      <c r="A2571" t="inlineStr">
        <is>
          <t>Actions Per Second</t>
        </is>
      </c>
      <c r="B2571">
        <f>1+MIN(150,150*(1-(1-Inputs!$B$12/150)*(1-B2570/150)))/100</f>
        <v/>
      </c>
    </row>
    <row r="2572">
      <c r="A2572" t="inlineStr">
        <is>
          <t>Skill + Buff Cast Rate</t>
        </is>
      </c>
      <c r="B2572">
        <f>IF(AND(Inputs!$B$39&lt;&gt;"pvp",Inputs!$B$44&gt;0),SUMPRODUCT((Skills!E2:E27=TRUE)*(C2538:C2563=TRUE)*R2538:R2563)/Inputs!$B$44,SUMPRODUCT((Skills!E2:E27=TRUE)*(C2538:C2563=TRUE)*Q2538:Q2563))</f>
        <v/>
      </c>
    </row>
    <row r="2573">
      <c r="A2573" t="inlineStr">
        <is>
          <t>Big Bang Casts Per Second</t>
        </is>
      </c>
      <c r="B2573">
        <f>MAX(0,B2571-B2572)</f>
        <v/>
      </c>
    </row>
    <row r="2574">
      <c r="A2574" t="inlineStr">
        <is>
          <t>Defense % Bonus (Divine Protection)</t>
        </is>
      </c>
      <c r="B2574">
        <f>IF(C2549=TRUE,F2549*IF(AND(Inputs!$B$39&lt;&gt;"pvp",Inputs!$B$44&gt;0),(((R2549-1)*(Skills!S13*(1+((Inputs!$B$35+(ArtifactsInput!$M$7-ArtifactsInput!$M$7)*CHOOSE(ArtifactsInput!$N$7+1,6,7.2,8.4,9.6,10.8,12))+IF(Inputs!$B$3&gt;=117,F2562,0))/100))+MIN((Skills!S13*(1+((Inputs!$B$35+(ArtifactsInput!$M$7-ArtifactsInput!$M$7)*CHOOSE(ArtifactsInput!$N$7+1,6,7.2,8.4,9.6,10.8,12))+IF(Inputs!$B$3&gt;=117,F2562,0))/100)),MAX(0,Inputs!$B$44-((R2549-1)*Skills!D13))))/Inputs!$B$44),IF(Inputs!$B$39="pvp",MIN((Skills!S13*(1+((Inputs!$B$35+(ArtifactsInput!$M$7-ArtifactsInput!$M$7)*CHOOSE(ArtifactsInput!$N$7+1,6,7.2,8.4,9.6,10.8,12))+IF(Inputs!$B$3&gt;=117,F2562,0))/100)),15)/15,(Skills!S13*(1+((Inputs!$B$35+(ArtifactsInput!$M$7-ArtifactsInput!$M$7)*CHOOSE(ArtifactsInput!$N$7+1,6,7.2,8.4,9.6,10.8,12))+IF(Inputs!$B$3&gt;=117,F2562,0))/100))/Skills!D13)),0)</f>
        <v/>
      </c>
    </row>
    <row r="2575">
      <c r="A2575" t="inlineStr">
        <is>
          <t>Buff-Casting Startup Delay (s, fixed-duration only)</t>
        </is>
      </c>
      <c r="B2575">
        <f>IF(AND(Inputs!$B$39&lt;&gt;"pvp",Inputs!$B$44&gt;0),SUMPRODUCT((Skills!S2:S27&gt;0)*(Skills!E2:E27=TRUE)*(C2538:C2563=TRUE))/B2571,0)</f>
        <v/>
      </c>
    </row>
    <row r="2576">
      <c r="A2576" t="inlineStr">
        <is>
          <t>Boss-Only Total DPS (this block's swept value)</t>
        </is>
      </c>
      <c r="B2576">
        <f>SUM(S2538:S2563)</f>
        <v/>
      </c>
    </row>
    <row r="2577">
      <c r="A2577" t="inlineStr">
        <is>
          <t>Normal-Only Total DPS (this block's swept value)</t>
        </is>
      </c>
      <c r="B2577">
        <f>SUM(U2538:U2563)</f>
        <v/>
      </c>
    </row>
    <row r="2578">
      <c r="A2578" s="6" t="inlineStr">
        <is>
          <t>TOTAL DPS</t>
        </is>
      </c>
      <c r="B2578" s="6">
        <f>SUM(O2538:O2563)</f>
        <v/>
      </c>
    </row>
    <row r="2580">
      <c r="A2580" s="6" t="inlineStr">
        <is>
          <t>Stat: Alliance Badge (Equip)</t>
        </is>
      </c>
    </row>
    <row r="2581">
      <c r="A2581" s="5" t="inlineStr">
        <is>
          <t>Key</t>
        </is>
      </c>
      <c r="B2581" s="5" t="inlineStr">
        <is>
          <t>Name</t>
        </is>
      </c>
      <c r="C2581" s="5" t="inlineStr">
        <is>
          <t>Unlocked</t>
        </is>
      </c>
      <c r="D2581" s="5" t="inlineStr">
        <is>
          <t>InputLevel</t>
        </is>
      </c>
      <c r="E2581" s="5" t="inlineStr">
        <is>
          <t>Factor</t>
        </is>
      </c>
      <c r="F2581" s="5" t="inlineStr">
        <is>
          <t>CoefficientPercent</t>
        </is>
      </c>
      <c r="G2581" s="5" t="inlineStr">
        <is>
          <t>EffectiveHits</t>
        </is>
      </c>
      <c r="H2581" s="5" t="inlineStr">
        <is>
          <t>ProcProbability</t>
        </is>
      </c>
      <c r="I2581" s="5" t="inlineStr">
        <is>
          <t>MapleHeroMultiplier</t>
        </is>
      </c>
      <c r="J2581" s="5" t="inlineStr">
        <is>
          <t>BaseDamage</t>
        </is>
      </c>
      <c r="K2581" s="5" t="inlineStr">
        <is>
          <t>BaseHitDamage</t>
        </is>
      </c>
      <c r="L2581" s="5" t="inlineStr">
        <is>
          <t>NonCritAvg</t>
        </is>
      </c>
      <c r="M2581" s="5" t="inlineStr">
        <is>
          <t>CritAvg</t>
        </is>
      </c>
      <c r="N2581" s="5" t="inlineStr">
        <is>
          <t>ExpectedDamage(perHit)</t>
        </is>
      </c>
      <c r="O2581" s="5" t="inlineStr">
        <is>
          <t>DPS</t>
        </is>
      </c>
      <c r="P2581" s="5" t="inlineStr">
        <is>
          <t>% of Total</t>
        </is>
      </c>
      <c r="R2581" t="inlineStr">
        <is>
          <t>helpers</t>
        </is>
      </c>
    </row>
    <row r="2582">
      <c r="A2582">
        <f>Skills!A2</f>
        <v/>
      </c>
      <c r="B2582">
        <f>Skills!B2</f>
        <v/>
      </c>
      <c r="C2582">
        <f>Inputs!$B$3&gt;=100</f>
        <v/>
      </c>
      <c r="D2582" t="inlineStr"/>
      <c r="E2582" t="inlineStr"/>
      <c r="F2582">
        <f>T2584+Skills!N2</f>
        <v/>
      </c>
      <c r="G2582">
        <f>Calc!G2</f>
        <v/>
      </c>
      <c r="H2582">
        <f>Calc!H2</f>
        <v/>
      </c>
      <c r="I2582">
        <f>IF(Skills!T2&lt;&gt;"",1+(Skills!T2/10)*($Z$3/1000)/100,1)</f>
        <v/>
      </c>
      <c r="J2582">
        <f>((Inputs!$B$6*(1+Inputs!$B$7/100))+(((Inputs!$B$13*(1+Inputs!$B$14/100))-(Inputs!$B$13*(1+Inputs!$B$14/100)))+0.25*(Inputs!$B$15-Inputs!$B$15))*(1+Inputs!$B$7/100))*(F2582/100)</f>
        <v/>
      </c>
      <c r="K2582">
        <f>J2582*(1+(((Inputs!$B$13+IF(Inputs!$B$3&gt;=35,(10*INDEX(FactorTable!$B$2:$Y$301,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2="TRIUMPH_FEATHER",IF(C2596=TRUE,F2596,0),0)/100)*(1+IF(C2607=TRUE,F2607,0)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2582)</f>
        <v/>
      </c>
      <c r="L2582">
        <f>K2582*(MIN(Inputs!$B$23+(F2602-Calc!F22),(Inputs!$B$24+IF(ArtifactsInput!$M$15,CHOOSE(ArtifactsInput!$N$15+1,25,30,35,40,45,50)/100*(Inputs!$B$12-Inputs!$B$12),0)))/100+(Inputs!$B$24+IF(ArtifactsInput!$M$15,CHOOSE(ArtifactsInput!$N$15+1,25,30,35,40,45,50)/100*(Inputs!$B$12-Inputs!$B$12),0))/100)/2</f>
        <v/>
      </c>
      <c r="M2582">
        <f>L2582*(1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2">
        <f>L2582*(1-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(1-Summary!$B$11)*S2582+Summary!$B$11*U2582</f>
        <v/>
      </c>
      <c r="P2582">
        <f>IF(B2622=0,0,O2582/B2622)</f>
        <v/>
      </c>
      <c r="Q2582">
        <f>IFERROR(1/(IF(Inputs!$B$39="pvp",15,MAX(0.1,Skills!D2-IF(Skills!E2=TRUE,Inputs!$B$33,0)))*(1-IF(AND(ArtifactsInput!$M$27,Inputs!$B$4="Chapter Hunt"),CHOOSE(ArtifactsInput!$N$27+1,20,24,28,32,36,40),0)/100)),0)</f>
        <v/>
      </c>
      <c r="R2582" t="n">
        <v>0</v>
      </c>
      <c r="S2582">
        <f>IF(C2582,(Skills!F2*N2582*B2617)*IF(Inputs!$B$39="pvp",1,1+(Inputs!$B$21+Skills!O2+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2582*(1-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82">
        <f>MAX(0,(Inputs!$B$3-100)*3)+Inputs!$B$29+Inputs!$B$30</f>
        <v/>
      </c>
      <c r="U2582">
        <f>IF(C2582,(Skills!F2*N2582*B2617)*IF(Inputs!$B$39="pvp",1,(1+(Inputs!$B$22+Skills!P2+B2611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Skills!A3</f>
        <v/>
      </c>
      <c r="B2583">
        <f>Skills!B3</f>
        <v/>
      </c>
      <c r="C2583">
        <f>Inputs!$B$3&gt;=15</f>
        <v/>
      </c>
      <c r="D2583">
        <f>IF(Skills!C3=1,60+Inputs!$B$26+Inputs!$B$30,IF(Skills!C3=2,90+Inputs!$B$27+Inputs!$B$30,IF(Skills!C3=3,120+Inputs!$B$28+Inputs!$B$30,MAX(0,(Inputs!$B$3-100)*3)+Inputs!$B$29+Inputs!$B$30)))</f>
        <v/>
      </c>
      <c r="E2583">
        <f>INDEX(FactorTable!$B$2:$Y$301, MATCH(ROUND(MIN(300,MAX(1,D2583)),0), FactorTable!$A$2:$A$301,0), Skills!L3+1)</f>
        <v/>
      </c>
      <c r="F2583">
        <f>IF(Skills!M3=TRUE,(Skills!K3/10)*(E2583/1000),Skills!K3/10)+Skills!N3</f>
        <v/>
      </c>
      <c r="G2583">
        <f>Calc!G3</f>
        <v/>
      </c>
      <c r="H2583">
        <f>Calc!H3</f>
        <v/>
      </c>
      <c r="I2583">
        <f>IF(Skills!T3&lt;&gt;"",1+(Skills!T3/10)*($Z$3/1000)/100,1)</f>
        <v/>
      </c>
      <c r="J2583" t="inlineStr"/>
      <c r="K2583" t="inlineStr"/>
      <c r="L2583" t="inlineStr"/>
      <c r="M2583" t="inlineStr"/>
      <c r="N2583" t="inlineStr"/>
      <c r="O2583">
        <f>(1-Summary!$B$11)*S2583+Summary!$B$11*U2583</f>
        <v/>
      </c>
      <c r="P2583">
        <f>IF(B2622=0,0,O2583/B2622)</f>
        <v/>
      </c>
      <c r="Q2583">
        <f>IFERROR(1/(IF(Inputs!$B$39="pvp",15,MAX(0.1,Skills!D3-IF(Skills!E3=TRUE,Inputs!$B$33,0)))*(1-IF(AND(ArtifactsInput!$M$27,Inputs!$B$4="Chapter Hunt"),CHOOSE(ArtifactsInput!$N$27+1,20,24,28,32,36,40),0)/100)),0)</f>
        <v/>
      </c>
      <c r="R2583">
        <f>IF(AND(Inputs!$B$39&lt;&gt;"pvp",Inputs!$B$44&gt;0),IF(Inputs!$B$44&lt;=0,0,(INT(Inputs!$B$44/(IF(Inputs!$B$39="pvp",15,MAX(0.1,Skills!D3-IF(Skills!E3=TRUE,Inputs!$B$33,0)))*(1-IF(AND(ArtifactsInput!$M$27,Inputs!$B$4="Chapter Hunt"),CHOOSE(ArtifactsInput!$N$27+1,20,24,28,32,36,40),0)/100)))+1)),0)</f>
        <v/>
      </c>
      <c r="S2583" t="n">
        <v>0</v>
      </c>
      <c r="T2583">
        <f>INDEX(FactorTable!$B$2:$Y$301, MATCH(ROUND(MIN(300,MAX(1,T2582)),0), FactorTable!$A$2:$A$301,0), 22)</f>
        <v/>
      </c>
      <c r="U2583" t="n">
        <v>0</v>
      </c>
    </row>
    <row r="2584">
      <c r="A2584">
        <f>Skills!A4</f>
        <v/>
      </c>
      <c r="B2584">
        <f>Skills!B4</f>
        <v/>
      </c>
      <c r="C2584">
        <f>Inputs!$B$3&gt;=38</f>
        <v/>
      </c>
      <c r="D2584">
        <f>IF(Skills!C4=1,60+Inputs!$B$26+Inputs!$B$30,IF(Skills!C4=2,90+Inputs!$B$27+Inputs!$B$30,IF(Skills!C4=3,120+Inputs!$B$28+Inputs!$B$30,MAX(0,(Inputs!$B$3-100)*3)+Inputs!$B$29+Inputs!$B$30)))</f>
        <v/>
      </c>
      <c r="E2584">
        <f>INDEX(FactorTable!$B$2:$Y$301, MATCH(ROUND(MIN(300,MAX(1,D2584)),0), FactorTable!$A$2:$A$301,0), Skills!L4+1)</f>
        <v/>
      </c>
      <c r="F2584">
        <f>IF(Skills!M4=TRUE,(Skills!K4/10)*(E2584/1000),Skills!K4/10)+Skills!N4</f>
        <v/>
      </c>
      <c r="G2584">
        <f>Calc!G4</f>
        <v/>
      </c>
      <c r="H2584">
        <f>Calc!H4</f>
        <v/>
      </c>
      <c r="I2584">
        <f>IF(Skills!T4&lt;&gt;"",1+(Skills!T4/10)*($Z$3/1000)/100,1)</f>
        <v/>
      </c>
      <c r="J2584" t="inlineStr"/>
      <c r="K2584" t="inlineStr"/>
      <c r="L2584" t="inlineStr"/>
      <c r="M2584" t="inlineStr"/>
      <c r="N2584" t="inlineStr"/>
      <c r="O2584">
        <f>(1-Summary!$B$11)*S2584+Summary!$B$11*U2584</f>
        <v/>
      </c>
      <c r="P2584">
        <f>IF(B2622=0,0,O2584/B2622)</f>
        <v/>
      </c>
      <c r="Q2584">
        <f>IFERROR(1/(IF(Inputs!$B$39="pvp",15,MAX(0.1,Skills!D4-IF(Skills!E4=TRUE,Inputs!$B$33,0)))*(1-IF(AND(ArtifactsInput!$M$27,Inputs!$B$4="Chapter Hunt"),CHOOSE(ArtifactsInput!$N$27+1,20,24,28,32,36,40),0)/100)),0)</f>
        <v/>
      </c>
      <c r="R2584">
        <f>IF(AND(Inputs!$B$39&lt;&gt;"pvp",Inputs!$B$44&gt;0),IF(Inputs!$B$44&lt;=0,0,(INT(Inputs!$B$44/(IF(Inputs!$B$39="pvp",15,MAX(0.1,Skills!D4-IF(Skills!E4=TRUE,Inputs!$B$33,0)))*(1-IF(AND(ArtifactsInput!$M$27,Inputs!$B$4="Chapter Hunt"),CHOOSE(ArtifactsInput!$N$27+1,20,24,28,32,36,40),0)/100)))+1)),0)</f>
        <v/>
      </c>
      <c r="S2584" t="n">
        <v>0</v>
      </c>
      <c r="T2584">
        <f>290*T2583/1000</f>
        <v/>
      </c>
      <c r="U2584" t="n">
        <v>0</v>
      </c>
    </row>
    <row r="2585">
      <c r="A2585">
        <f>Skills!A5</f>
        <v/>
      </c>
      <c r="B2585">
        <f>Skills!B5</f>
        <v/>
      </c>
      <c r="C2585">
        <f>Inputs!$B$3&gt;=40</f>
        <v/>
      </c>
      <c r="D2585">
        <f>IF(Skills!C5=1,60+Inputs!$B$26+Inputs!$B$30,IF(Skills!C5=2,90+Inputs!$B$27+Inputs!$B$30,IF(Skills!C5=3,120+Inputs!$B$28+Inputs!$B$30,MAX(0,(Inputs!$B$3-100)*3)+Inputs!$B$29+Inputs!$B$30)))</f>
        <v/>
      </c>
      <c r="E2585">
        <f>INDEX(FactorTable!$B$2:$Y$301, MATCH(ROUND(MIN(300,MAX(1,D2585)),0), FactorTable!$A$2:$A$301,0), Skills!L5+1)</f>
        <v/>
      </c>
      <c r="F2585">
        <f>IF(Skills!M5=TRUE,(Skills!K5/10)*(E2585/1000),Skills!K5/10)+Skills!N5</f>
        <v/>
      </c>
      <c r="G2585">
        <f>Calc!G5</f>
        <v/>
      </c>
      <c r="H2585">
        <f>Calc!H5</f>
        <v/>
      </c>
      <c r="I2585">
        <f>IF(Skills!T5&lt;&gt;"",1+(Skills!T5/10)*($Z$3/1000)/100,1)</f>
        <v/>
      </c>
      <c r="J2585" t="inlineStr"/>
      <c r="K2585" t="inlineStr"/>
      <c r="L2585" t="inlineStr"/>
      <c r="M2585" t="inlineStr"/>
      <c r="N2585" t="inlineStr"/>
      <c r="O2585">
        <f>(1-Summary!$B$11)*S2585+Summary!$B$11*U2585</f>
        <v/>
      </c>
      <c r="P2585">
        <f>IF(B2622=0,0,O2585/B2622)</f>
        <v/>
      </c>
      <c r="Q2585">
        <f>IFERROR(1/(IF(Inputs!$B$39="pvp",15,MAX(0.1,Skills!D5-IF(Skills!E5=TRUE,Inputs!$B$33,0)))*(1-IF(AND(ArtifactsInput!$M$27,Inputs!$B$4="Chapter Hunt"),CHOOSE(ArtifactsInput!$N$27+1,20,24,28,32,36,40),0)/100)),0)</f>
        <v/>
      </c>
      <c r="R2585">
        <f>IF(AND(Inputs!$B$39&lt;&gt;"pvp",Inputs!$B$44&gt;0),IF(Inputs!$B$44&lt;=0,0,(INT(Inputs!$B$44/(IF(Inputs!$B$39="pvp",15,MAX(0.1,Skills!D5-IF(Skills!E5=TRUE,Inputs!$B$33,0)))*(1-IF(AND(ArtifactsInput!$M$27,Inputs!$B$4="Chapter Hunt"),CHOOSE(ArtifactsInput!$N$27+1,20,24,28,32,36,40),0)/100)))+1)),0)</f>
        <v/>
      </c>
      <c r="S2585" t="n">
        <v>0</v>
      </c>
      <c r="U2585" t="n">
        <v>0</v>
      </c>
    </row>
    <row r="2586">
      <c r="A2586">
        <f>Skills!A6</f>
        <v/>
      </c>
      <c r="B2586">
        <f>Skills!B6</f>
        <v/>
      </c>
      <c r="C2586">
        <f>Inputs!$B$3&gt;=103</f>
        <v/>
      </c>
      <c r="D2586">
        <f>IF(Skills!C6=1,60+Inputs!$B$26+Inputs!$B$30,IF(Skills!C6=2,90+Inputs!$B$27+Inputs!$B$30,IF(Skills!C6=3,120+Inputs!$B$28+Inputs!$B$30,MAX(0,(Inputs!$B$3-100)*3)+Inputs!$B$29+Inputs!$B$30)))</f>
        <v/>
      </c>
      <c r="E2586">
        <f>INDEX(FactorTable!$B$2:$Y$301, MATCH(ROUND(MIN(300,MAX(1,D2586)),0), FactorTable!$A$2:$A$301,0), Skills!L6+1)</f>
        <v/>
      </c>
      <c r="F2586">
        <f>IF(Skills!M6=TRUE,(Skills!K6/10)*(E2586/1000),Skills!K6/10)+Skills!N6</f>
        <v/>
      </c>
      <c r="G2586">
        <f>Calc!G6</f>
        <v/>
      </c>
      <c r="H2586">
        <f>Calc!H6</f>
        <v/>
      </c>
      <c r="I2586">
        <f>IF(Skills!T6&lt;&gt;"",1+(Skills!T6/10)*($Z$3/1000)/100,1)</f>
        <v/>
      </c>
      <c r="J2586">
        <f>((Inputs!$B$6*(1+Inputs!$B$7/100))+(((Inputs!$B$13*(1+Inputs!$B$14/100))-(Inputs!$B$13*(1+Inputs!$B$14/100)))+0.25*(Inputs!$B$15-Inputs!$B$15))*(1+Inputs!$B$7/100))*(F2586/100)</f>
        <v/>
      </c>
      <c r="K2586">
        <f>J2586*(1+(((Inputs!$B$13+IF(Inputs!$B$3&gt;=35,(10*INDEX(FactorTable!$B$2:$Y$301,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6="TRIUMPH_FEATHER",IF(C2596=TRUE,F2596,0),0)/100)*(1+IF(C2607=TRUE,F2607,0)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2586)</f>
        <v/>
      </c>
      <c r="L2586">
        <f>K2586*(MIN(Inputs!$B$23+(F2602-Calc!F22),(Inputs!$B$24+IF(ArtifactsInput!$M$15,CHOOSE(ArtifactsInput!$N$15+1,25,30,35,40,45,50)/100*(Inputs!$B$12-Inputs!$B$12),0)))/100+(Inputs!$B$24+IF(ArtifactsInput!$M$15,CHOOSE(ArtifactsInput!$N$15+1,25,30,35,40,45,50)/100*(Inputs!$B$12-Inputs!$B$12),0))/100)/2</f>
        <v/>
      </c>
      <c r="M2586">
        <f>L2586*(1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6">
        <f>L2586*(1-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(1-Summary!$B$11)*S2586+Summary!$B$11*U2586</f>
        <v/>
      </c>
      <c r="P2586">
        <f>IF(B2622=0,0,O2586/B2622)</f>
        <v/>
      </c>
      <c r="Q2586">
        <f>IFERROR(1/(IF(Inputs!$B$39="pvp",15,MAX(0.1,Skills!D6-IF(Skills!E6=TRUE,Inputs!$B$33,0)))*(1-IF(AND(ArtifactsInput!$M$27,Inputs!$B$4="Chapter Hunt"),CHOOSE(ArtifactsInput!$N$27+1,20,24,28,32,36,40),0)/100)),0)</f>
        <v/>
      </c>
      <c r="R2586">
        <f>IF(AND(Inputs!$B$39&lt;&gt;"pvp",Inputs!$B$44&gt;0),IF(MAX(0,Inputs!$B$44-B2619)&lt;=0,0,(INT(MAX(0,Inputs!$B$44-B2619)/(IF(Inputs!$B$39="pvp",15,MAX(0.1,Skills!D6-IF(Skills!E6=TRUE,Inputs!$B$33,0)))*(1-IF(AND(ArtifactsInput!$M$27,Inputs!$B$4="Chapter Hunt"),CHOOSE(ArtifactsInput!$N$27+1,20,24,28,32,36,40),0)/100)))+1)),0)</f>
        <v/>
      </c>
      <c r="S2586">
        <f>IF(C2586,(H2586*N2586*IF(AND(Inputs!$B$39&lt;&gt;"pvp",Inputs!$B$44&gt;0),((Skills!F6*((R2586-1)*IF(Skills!G6&gt;0,Skills!H6/Skills!G6,1)+IF(Skills!G6&gt;0,MIN(Skills!H6,MAX(0,MAX(0,Inputs!$B$44-B2619)-((R2586-1)*(IF(Inputs!$B$39="pvp",15,MAX(0.1,Skills!D6-IF(Skills!E6=TRUE,Inputs!$B$33,0)))*(1-IF(AND(ArtifactsInput!$M$27,Inputs!$B$4="Chapter Hunt"),CHOOSE(ArtifactsInput!$N$27+1,20,24,28,32,36,40),0)/100)))))/Skills!G6,1)))/Inputs!$B$44),G2586*Q2586))*IF(Inputs!$B$39="pvp",1,1+(Inputs!$B$21+Skills!O6+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2586*(1-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6">
        <f>IF(C2586,(H2586*N2586*IF(AND(Inputs!$B$39&lt;&gt;"pvp",Inputs!$B$44&gt;0),((Skills!F6*((R2586-1)*IF(Skills!G6&gt;0,Skills!H6/Skills!G6,1)+IF(Skills!G6&gt;0,MIN(Skills!H6,MAX(0,MAX(0,Inputs!$B$44-B2619)-((R2586-1)*(IF(Inputs!$B$39="pvp",15,MAX(0.1,Skills!D6-IF(Skills!E6=TRUE,Inputs!$B$33,0)))*(1-IF(AND(ArtifactsInput!$M$27,Inputs!$B$4="Chapter Hunt"),CHOOSE(ArtifactsInput!$N$27+1,20,24,28,32,36,40),0)/100)))))/Skills!G6,1)))/Inputs!$B$44),G2586*Q2586))*IF(Inputs!$B$39="pvp",1,(1+(Inputs!$B$22+Skills!P6+B2611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Skills!A7</f>
        <v/>
      </c>
      <c r="B2587">
        <f>Skills!B7</f>
        <v/>
      </c>
      <c r="C2587">
        <f>Inputs!$B$3&gt;=122</f>
        <v/>
      </c>
      <c r="D2587">
        <f>IF(Skills!C7=1,60+Inputs!$B$26+Inputs!$B$30,IF(Skills!C7=2,90+Inputs!$B$27+Inputs!$B$30,IF(Skills!C7=3,120+Inputs!$B$28+Inputs!$B$30,MAX(0,(Inputs!$B$3-100)*3)+Inputs!$B$29+Inputs!$B$30)))</f>
        <v/>
      </c>
      <c r="E2587">
        <f>INDEX(FactorTable!$B$2:$Y$301, MATCH(ROUND(MIN(300,MAX(1,D2587)),0), FactorTable!$A$2:$A$301,0), Skills!L7+1)</f>
        <v/>
      </c>
      <c r="F2587">
        <f>IF(Skills!M7=TRUE,(Skills!K7/10)*(E2587/1000),Skills!K7/10)+Skills!N7</f>
        <v/>
      </c>
      <c r="G2587">
        <f>Calc!G7</f>
        <v/>
      </c>
      <c r="H2587">
        <f>Calc!H7</f>
        <v/>
      </c>
      <c r="I2587">
        <f>IF(Skills!T7&lt;&gt;"",1+(Skills!T7/10)*($Z$3/1000)/100,1)</f>
        <v/>
      </c>
      <c r="J2587">
        <f>((Inputs!$B$6*(1+Inputs!$B$7/100))+(((Inputs!$B$13*(1+Inputs!$B$14/100))-(Inputs!$B$13*(1+Inputs!$B$14/100)))+0.25*(Inputs!$B$15-Inputs!$B$15))*(1+Inputs!$B$7/100))*(F2587/100)</f>
        <v/>
      </c>
      <c r="K2587">
        <f>J2587*(1+(((Inputs!$B$13+IF(Inputs!$B$3&gt;=35,(10*INDEX(FactorTable!$B$2:$Y$301,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7="TRIUMPH_FEATHER",IF(C2596=TRUE,F2596,0),0)/100)*(1+IF(C2607=TRUE,F2607,0)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2587)</f>
        <v/>
      </c>
      <c r="L2587">
        <f>K2587*(MIN(Inputs!$B$23+(F2602-Calc!F22),(Inputs!$B$24+IF(ArtifactsInput!$M$15,CHOOSE(ArtifactsInput!$N$15+1,25,30,35,40,45,50)/100*(Inputs!$B$12-Inputs!$B$12),0)))/100+(Inputs!$B$24+IF(ArtifactsInput!$M$15,CHOOSE(ArtifactsInput!$N$15+1,25,30,35,40,45,50)/100*(Inputs!$B$12-Inputs!$B$12),0))/100)/2</f>
        <v/>
      </c>
      <c r="M2587">
        <f>L2587*(1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7">
        <f>L2587*(1-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2587*(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7">
        <f>(1-Summary!$B$11)*S2587+Summary!$B$11*U2587</f>
        <v/>
      </c>
      <c r="P2587">
        <f>IF(B2622=0,0,O2587/B2622)</f>
        <v/>
      </c>
      <c r="Q2587">
        <f>IFERROR(1/(IF(Inputs!$B$39="pvp",15,MAX(0.1,Skills!D7-IF(Skills!E6=TRUE,Inputs!$B$33,0)))*(1-IF(AND(ArtifactsInput!$M$27,Inputs!$B$4="Chapter Hunt"),CHOOSE(ArtifactsInput!$N$27+1,20,24,28,32,36,40),0)/100)),0)</f>
        <v/>
      </c>
      <c r="R2587">
        <f>IF(AND(Inputs!$B$39&lt;&gt;"pvp",Inputs!$B$44&gt;0),IF(MAX(0,Inputs!$B$44-B2619)&lt;=0,0,(INT(MAX(0,Inputs!$B$44-B2619)/(IF(Inputs!$B$39="pvp",15,MAX(0.1,Skills!D7-IF(Skills!E6=TRUE,Inputs!$B$33,0)))*(1-IF(AND(ArtifactsInput!$M$27,Inputs!$B$4="Chapter Hunt"),CHOOSE(ArtifactsInput!$N$27+1,20,24,28,32,36,40),0)/100)))+1)),0)</f>
        <v/>
      </c>
      <c r="S2587">
        <f>IF(C2587,H2587*N2587*IF(AND(Inputs!$B$39&lt;&gt;"pvp",Inputs!$B$44&gt;0),((Skills!F7*((R2587-1)*IF(Skills!G7&gt;0,Skills!H7/Skills!G7,1)+IF(Skills!G7&gt;0,MIN(Skills!H7,MAX(0,MAX(0,Inputs!$B$44-B2619)-((R2587-1)*(IF(Inputs!$B$39="pvp",15,MAX(0.1,Skills!D7-IF(Skills!E6=TRUE,Inputs!$B$33,0)))*(1-IF(AND(ArtifactsInput!$M$27,Inputs!$B$4="Chapter Hunt"),CHOOSE(ArtifactsInput!$N$27+1,20,24,28,32,36,40),0)/100)))))/Skills!G7,1)))/Inputs!$B$44),G2587*Q2587)*IF(Inputs!$B$39="pvp",1,1+(Inputs!$B$21+Skills!O7+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2587*(1-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2587*(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2587*(1-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2587*(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7" t="n">
        <v>0</v>
      </c>
    </row>
    <row r="2588">
      <c r="A2588">
        <f>Skills!A8</f>
        <v/>
      </c>
      <c r="B2588">
        <f>Skills!B8</f>
        <v/>
      </c>
      <c r="C2588">
        <f>Inputs!$B$3&gt;=105</f>
        <v/>
      </c>
      <c r="D2588">
        <f>IF(Skills!C8=1,60+Inputs!$B$26+Inputs!$B$30,IF(Skills!C8=2,90+Inputs!$B$27+Inputs!$B$30,IF(Skills!C8=3,120+Inputs!$B$28+Inputs!$B$30,MAX(0,(Inputs!$B$3-100)*3)+Inputs!$B$29+Inputs!$B$30)))</f>
        <v/>
      </c>
      <c r="E2588">
        <f>INDEX(FactorTable!$B$2:$Y$301, MATCH(ROUND(MIN(300,MAX(1,D2588)),0), FactorTable!$A$2:$A$301,0), Skills!L8+1)</f>
        <v/>
      </c>
      <c r="F2588">
        <f>IF(Skills!M8=TRUE,(Skills!K8/10)*(E2588/1000),Skills!K8/10)+Skills!N8</f>
        <v/>
      </c>
      <c r="G2588">
        <f>Calc!G8</f>
        <v/>
      </c>
      <c r="H2588">
        <f>Calc!H8</f>
        <v/>
      </c>
      <c r="I2588">
        <f>IF(Skills!T8&lt;&gt;"",1+(Skills!T8/10)*($Z$3/1000)/100,1)</f>
        <v/>
      </c>
      <c r="J2588">
        <f>((Inputs!$B$6*(1+Inputs!$B$7/100))+(((Inputs!$B$13*(1+Inputs!$B$14/100))-(Inputs!$B$13*(1+Inputs!$B$14/100)))+0.25*(Inputs!$B$15-Inputs!$B$15))*(1+Inputs!$B$7/100))*(F2588/100)</f>
        <v/>
      </c>
      <c r="K2588">
        <f>J2588*(1+(((Inputs!$B$13+IF(Inputs!$B$3&gt;=35,(10*INDEX(FactorTable!$B$2:$Y$301,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8="TRIUMPH_FEATHER",IF(C2596=TRUE,F2596,0),0)/100)*(1+IF(C2607=TRUE,F2607,0)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2588)</f>
        <v/>
      </c>
      <c r="L2588">
        <f>K2588*(MIN(Inputs!$B$23+(F2602-Calc!F22),(Inputs!$B$24+IF(ArtifactsInput!$M$15,CHOOSE(ArtifactsInput!$N$15+1,25,30,35,40,45,50)/100*(Inputs!$B$12-Inputs!$B$12),0)))/100+(Inputs!$B$24+IF(ArtifactsInput!$M$15,CHOOSE(ArtifactsInput!$N$15+1,25,30,35,40,45,50)/100*(Inputs!$B$12-Inputs!$B$12),0))/100)/2</f>
        <v/>
      </c>
      <c r="M2588">
        <f>L2588*(1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8">
        <f>L2588*(1-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(1-Summary!$B$11)*S2588+Summary!$B$11*U2588</f>
        <v/>
      </c>
      <c r="P2588">
        <f>IF(B2622=0,0,O2588/B2622)</f>
        <v/>
      </c>
      <c r="Q2588">
        <f>IFERROR(1/(IF(Inputs!$B$39="pvp",15,MAX(0.1,Skills!D8-IF(Skills!E8=TRUE,Inputs!$B$33,0)))*(1-IF(AND(ArtifactsInput!$M$27,Inputs!$B$4="Chapter Hunt"),CHOOSE(ArtifactsInput!$N$27+1,20,24,28,32,36,40),0)/100)),0)</f>
        <v/>
      </c>
      <c r="R2588">
        <f>IF(AND(Inputs!$B$39&lt;&gt;"pvp",Inputs!$B$44&gt;0),IF(MAX(0,Inputs!$B$44-B2619)&lt;=0,0,(INT(MAX(0,Inputs!$B$44-B2619)/(IF(Inputs!$B$39="pvp",15,MAX(0.1,Skills!D8-IF(Skills!E8=TRUE,Inputs!$B$33,0)))*(1-IF(AND(ArtifactsInput!$M$27,Inputs!$B$4="Chapter Hunt"),CHOOSE(ArtifactsInput!$N$27+1,20,24,28,32,36,40),0)/100)))+1)),0)</f>
        <v/>
      </c>
      <c r="S2588">
        <f>IF(C2588,(H2588*N2588*IF(AND(Inputs!$B$39&lt;&gt;"pvp",Inputs!$B$44&gt;0),((Skills!F8*((R2588-1)*IF(Skills!G8&gt;0,Skills!H8/Skills!G8,1)+IF(Skills!G8&gt;0,MIN(Skills!H8,MAX(0,MAX(0,Inputs!$B$44-B2619)-((R2588-1)*(IF(Inputs!$B$39="pvp",15,MAX(0.1,Skills!D8-IF(Skills!E8=TRUE,Inputs!$B$33,0)))*(1-IF(AND(ArtifactsInput!$M$27,Inputs!$B$4="Chapter Hunt"),CHOOSE(ArtifactsInput!$N$27+1,20,24,28,32,36,40),0)/100)))))/Skills!G8,1)))/Inputs!$B$44),G2588*Q2588))*IF(Inputs!$B$39="pvp",1,1+(Inputs!$B$21+Skills!O8+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2588*(1-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8">
        <f>IF(C2588,(H2588*N2588*IF(AND(Inputs!$B$39&lt;&gt;"pvp",Inputs!$B$44&gt;0),((Skills!F8*((R2588-1)*IF(Skills!G8&gt;0,Skills!H8/Skills!G8,1)+IF(Skills!G8&gt;0,MIN(Skills!H8,MAX(0,MAX(0,Inputs!$B$44-B2619)-((R2588-1)*(IF(Inputs!$B$39="pvp",15,MAX(0.1,Skills!D8-IF(Skills!E8=TRUE,Inputs!$B$33,0)))*(1-IF(AND(ArtifactsInput!$M$27,Inputs!$B$4="Chapter Hunt"),CHOOSE(ArtifactsInput!$N$27+1,20,24,28,32,36,40),0)/100)))))/Skills!G8,1)))/Inputs!$B$44),G2588*Q2588))*IF(Inputs!$B$39="pvp",1,(1+(Inputs!$B$22+Skills!P8+B2611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Skills!A9</f>
        <v/>
      </c>
      <c r="B2589">
        <f>Skills!B9</f>
        <v/>
      </c>
      <c r="C2589">
        <f>Inputs!$B$3&gt;=115</f>
        <v/>
      </c>
      <c r="D2589">
        <f>IF(Skills!C9=1,60+Inputs!$B$26+Inputs!$B$30,IF(Skills!C9=2,90+Inputs!$B$27+Inputs!$B$30,IF(Skills!C9=3,120+Inputs!$B$28+Inputs!$B$30,MAX(0,(Inputs!$B$3-100)*3)+Inputs!$B$29+Inputs!$B$30)))</f>
        <v/>
      </c>
      <c r="E2589">
        <f>INDEX(FactorTable!$B$2:$Y$301, MATCH(ROUND(MIN(300,MAX(1,D2589)),0), FactorTable!$A$2:$A$301,0), Skills!L9+1)</f>
        <v/>
      </c>
      <c r="F2589">
        <f>IF(Skills!M9=TRUE,(Skills!K9/10)*(E2589/1000),Skills!K9/10)+Skills!N9</f>
        <v/>
      </c>
      <c r="G2589">
        <f>Calc!G9</f>
        <v/>
      </c>
      <c r="H2589">
        <f>Calc!H9</f>
        <v/>
      </c>
      <c r="I2589">
        <f>IF(Skills!T9&lt;&gt;"",1+(Skills!T9/10)*($Z$3/1000)/100,1)</f>
        <v/>
      </c>
      <c r="J2589">
        <f>((Inputs!$B$6*(1+Inputs!$B$7/100))+(((Inputs!$B$13*(1+Inputs!$B$14/100))-(Inputs!$B$13*(1+Inputs!$B$14/100)))+0.25*(Inputs!$B$15-Inputs!$B$15))*(1+Inputs!$B$7/100))*(F2589/100)</f>
        <v/>
      </c>
      <c r="K2589">
        <f>J2589*(1+(((Inputs!$B$13+IF(Inputs!$B$3&gt;=35,(10*INDEX(FactorTable!$B$2:$Y$301,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9="TRIUMPH_FEATHER",IF(C2596=TRUE,F2596,0),0)/100)*(1+IF(C2607=TRUE,F2607,0)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2589)</f>
        <v/>
      </c>
      <c r="L2589">
        <f>K2589*(MIN(Inputs!$B$23+(F2602-Calc!F22),(Inputs!$B$24+IF(ArtifactsInput!$M$15,CHOOSE(ArtifactsInput!$N$15+1,25,30,35,40,45,50)/100*(Inputs!$B$12-Inputs!$B$12),0)))/100+(Inputs!$B$24+IF(ArtifactsInput!$M$15,CHOOSE(ArtifactsInput!$N$15+1,25,30,35,40,45,50)/100*(Inputs!$B$12-Inputs!$B$12),0))/100)/2</f>
        <v/>
      </c>
      <c r="M2589">
        <f>L2589*(1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9">
        <f>L2589*(1-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2589*(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9">
        <f>(1-Summary!$B$11)*S2589+Summary!$B$11*U2589</f>
        <v/>
      </c>
      <c r="P2589">
        <f>IF(B2622=0,0,O2589/B2622)</f>
        <v/>
      </c>
      <c r="Q2589">
        <f>IFERROR(1/(IF(Inputs!$B$39="pvp",15,MAX(0.1,Skills!D9-IF(Skills!E9=TRUE,Inputs!$B$33,0)))*(1-IF(AND(ArtifactsInput!$M$27,Inputs!$B$4="Chapter Hunt"),CHOOSE(ArtifactsInput!$N$27+1,20,24,28,32,36,40),0)/100)),0)</f>
        <v/>
      </c>
      <c r="R2589">
        <f>IF(AND(Inputs!$B$39&lt;&gt;"pvp",Inputs!$B$44&gt;0),IF(MAX(0,Inputs!$B$44-B2619)&lt;=0,0,(INT(MAX(0,Inputs!$B$44-B2619)/(IF(Inputs!$B$39="pvp",15,MAX(0.1,Skills!D9-IF(Skills!E9=TRUE,Inputs!$B$33,0)))*(1-IF(AND(ArtifactsInput!$M$27,Inputs!$B$4="Chapter Hunt"),CHOOSE(ArtifactsInput!$N$27+1,20,24,28,32,36,40),0)/100)))+1)),0)</f>
        <v/>
      </c>
      <c r="S2589">
        <f>IF(C2589,(H2589*N2589*IF(AND(Inputs!$B$39&lt;&gt;"pvp",Inputs!$B$44&gt;0),((Skills!F9*((R2589-1)*IF(Skills!G9&gt;0,Skills!H9/Skills!G9,1)+IF(Skills!G9&gt;0,MIN(Skills!H9,MAX(0,MAX(0,Inputs!$B$44-B2619)-((R2589-1)*(IF(Inputs!$B$39="pvp",15,MAX(0.1,Skills!D9-IF(Skills!E9=TRUE,Inputs!$B$33,0)))*(1-IF(AND(ArtifactsInput!$M$27,Inputs!$B$4="Chapter Hunt"),CHOOSE(ArtifactsInput!$N$27+1,20,24,28,32,36,40),0)/100)))))/Skills!G9,1)))/Inputs!$B$44),G2589*Q2589))*IF(Inputs!$B$39="pvp",1,1+(Inputs!$B$21+Skills!O9+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2589*(1-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2589*(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2589*(1-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2589*(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9">
        <f>IF(C2589,(H2589*N2589*IF(AND(Inputs!$B$39&lt;&gt;"pvp",Inputs!$B$44&gt;0),((Skills!F9*((R2589-1)*IF(Skills!G9&gt;0,Skills!H9/Skills!G9,1)+IF(Skills!G9&gt;0,MIN(Skills!H9,MAX(0,MAX(0,Inputs!$B$44-B2619)-((R2589-1)*(IF(Inputs!$B$39="pvp",15,MAX(0.1,Skills!D9-IF(Skills!E9=TRUE,Inputs!$B$33,0)))*(1-IF(AND(ArtifactsInput!$M$27,Inputs!$B$4="Chapter Hunt"),CHOOSE(ArtifactsInput!$N$27+1,20,24,28,32,36,40),0)/100)))))/Skills!G9,1)))/Inputs!$B$44),G2589*Q2589))*IF(Inputs!$B$39="pvp",1,(1+(Inputs!$B$22+Skills!P9+B2611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0">
      <c r="A2590">
        <f>Skills!A10</f>
        <v/>
      </c>
      <c r="B2590">
        <f>Skills!B10</f>
        <v/>
      </c>
      <c r="C2590">
        <f>Inputs!$B$3&gt;=66</f>
        <v/>
      </c>
      <c r="D2590">
        <f>IF(Skills!C10=1,60+Inputs!$B$26+Inputs!$B$30,IF(Skills!C10=2,90+Inputs!$B$27+Inputs!$B$30,IF(Skills!C10=3,120+Inputs!$B$28+Inputs!$B$30,MAX(0,(Inputs!$B$3-100)*3)+Inputs!$B$29+Inputs!$B$30)))</f>
        <v/>
      </c>
      <c r="E2590">
        <f>INDEX(FactorTable!$B$2:$Y$301, MATCH(ROUND(MIN(300,MAX(1,D2590)),0), FactorTable!$A$2:$A$301,0), Skills!L10+1)</f>
        <v/>
      </c>
      <c r="F2590" t="n">
        <v>0</v>
      </c>
      <c r="G2590">
        <f>Calc!G10</f>
        <v/>
      </c>
      <c r="H2590">
        <f>Calc!H10</f>
        <v/>
      </c>
      <c r="I2590">
        <f>IF(Skills!T10&lt;&gt;"",1+(Skills!T10/10)*($Z$3/1000)/100,1)</f>
        <v/>
      </c>
      <c r="J2590" t="inlineStr"/>
      <c r="K2590" t="inlineStr"/>
      <c r="L2590" t="inlineStr"/>
      <c r="M2590" t="inlineStr"/>
      <c r="N2590" t="inlineStr"/>
      <c r="O2590">
        <f>(1-Summary!$B$11)*S2590+Summary!$B$11*U2590</f>
        <v/>
      </c>
      <c r="P2590">
        <f>IF(B2622=0,0,O2590/B2622)</f>
        <v/>
      </c>
      <c r="Q2590">
        <f>IFERROR(1/(IF(Inputs!$B$39="pvp",15,MAX(0.1,Skills!D10-IF(Skills!E10=TRUE,Inputs!$B$33,0)))*(1-IF(AND(ArtifactsInput!$M$27,Inputs!$B$4="Chapter Hunt"),CHOOSE(ArtifactsInput!$N$27+1,20,24,28,32,36,40),0)/100)),0)</f>
        <v/>
      </c>
      <c r="R2590">
        <f>IF(AND(Inputs!$B$39&lt;&gt;"pvp",Inputs!$B$44&gt;0),IF(MAX(0,Inputs!$B$44-B2619)&lt;=0,0,(INT(MAX(0,Inputs!$B$44-B2619)/(IF(Inputs!$B$39="pvp",15,MAX(0.1,Skills!D10-IF(Skills!E10=TRUE,Inputs!$B$33,0)))*(1-IF(AND(ArtifactsInput!$M$27,Inputs!$B$4="Chapter Hunt"),CHOOSE(ArtifactsInput!$N$27+1,20,24,28,32,36,40),0)/100)))+1)),0)</f>
        <v/>
      </c>
      <c r="S2590" t="n">
        <v>0</v>
      </c>
      <c r="U2590" t="n">
        <v>0</v>
      </c>
    </row>
    <row r="2591">
      <c r="A2591">
        <f>Skills!A11</f>
        <v/>
      </c>
      <c r="B2591">
        <f>Skills!B11</f>
        <v/>
      </c>
      <c r="C2591">
        <f>Inputs!$B$3&gt;=69</f>
        <v/>
      </c>
      <c r="D2591">
        <f>IF(Skills!C11=1,60+Inputs!$B$26+Inputs!$B$30,IF(Skills!C11=2,90+Inputs!$B$27+Inputs!$B$30,IF(Skills!C11=3,120+Inputs!$B$28+Inputs!$B$30,MAX(0,(Inputs!$B$3-100)*3)+Inputs!$B$29+Inputs!$B$30)))</f>
        <v/>
      </c>
      <c r="E2591">
        <f>INDEX(FactorTable!$B$2:$Y$301, MATCH(ROUND(MIN(300,MAX(1,D2591)),0), FactorTable!$A$2:$A$301,0), Skills!L11+1)</f>
        <v/>
      </c>
      <c r="F2591">
        <f>IF(Skills!M11=TRUE,(Skills!K11/10)*(E2591/1000),Skills!K11/10)+Skills!N11</f>
        <v/>
      </c>
      <c r="G2591">
        <f>Calc!G11</f>
        <v/>
      </c>
      <c r="H2591">
        <f>Calc!H11</f>
        <v/>
      </c>
      <c r="I2591">
        <f>IF(Skills!T11&lt;&gt;"",1+(Skills!T11/10)*($Z$3/1000)/100,1)</f>
        <v/>
      </c>
      <c r="J2591" t="inlineStr"/>
      <c r="K2591" t="inlineStr"/>
      <c r="L2591" t="inlineStr"/>
      <c r="M2591" t="inlineStr"/>
      <c r="N2591" t="inlineStr"/>
      <c r="O2591">
        <f>(1-Summary!$B$11)*S2591+Summary!$B$11*U2591</f>
        <v/>
      </c>
      <c r="P2591">
        <f>IF(B2622=0,0,O2591/B2622)</f>
        <v/>
      </c>
      <c r="Q2591">
        <f>IFERROR(1/(IF(Inputs!$B$39="pvp",15,MAX(0.1,Skills!D11-IF(Skills!E11=TRUE,Inputs!$B$33,0)))*(1-IF(AND(ArtifactsInput!$M$27,Inputs!$B$4="Chapter Hunt"),CHOOSE(ArtifactsInput!$N$27+1,20,24,28,32,36,40),0)/100)),0)</f>
        <v/>
      </c>
      <c r="R2591">
        <f>IF(AND(Inputs!$B$39&lt;&gt;"pvp",Inputs!$B$44&gt;0),IF(Inputs!$B$44&lt;=0,0,(INT(Inputs!$B$44/(IF(Inputs!$B$39="pvp",15,MAX(0.1,Skills!D11-IF(Skills!E11=TRUE,Inputs!$B$33,0)))*(1-IF(AND(ArtifactsInput!$M$27,Inputs!$B$4="Chapter Hunt"),CHOOSE(ArtifactsInput!$N$27+1,20,24,28,32,36,40),0)/100)))+1)),0)</f>
        <v/>
      </c>
      <c r="S2591" t="n">
        <v>0</v>
      </c>
      <c r="U2591" t="n">
        <v>0</v>
      </c>
    </row>
    <row r="2592">
      <c r="A2592">
        <f>Skills!A12</f>
        <v/>
      </c>
      <c r="B2592">
        <f>Skills!B12</f>
        <v/>
      </c>
      <c r="C2592">
        <f>Inputs!$B$3&gt;=72</f>
        <v/>
      </c>
      <c r="D2592">
        <f>IF(Skills!C12=1,60+Inputs!$B$26+Inputs!$B$30,IF(Skills!C12=2,90+Inputs!$B$27+Inputs!$B$30,IF(Skills!C12=3,120+Inputs!$B$28+Inputs!$B$30,MAX(0,(Inputs!$B$3-100)*3)+Inputs!$B$29+Inputs!$B$30)))</f>
        <v/>
      </c>
      <c r="E2592">
        <f>INDEX(FactorTable!$B$2:$Y$301, MATCH(ROUND(MIN(300,MAX(1,D2592)),0), FactorTable!$A$2:$A$301,0), Skills!L12+1)</f>
        <v/>
      </c>
      <c r="F2592">
        <f>IF(Skills!M12=TRUE,(Skills!K12/10)*(E2592/1000),Skills!K12/10)+Skills!N12</f>
        <v/>
      </c>
      <c r="G2592">
        <f>Calc!G12</f>
        <v/>
      </c>
      <c r="H2592">
        <f>Calc!H12</f>
        <v/>
      </c>
      <c r="I2592">
        <f>IF(Skills!T12&lt;&gt;"",1+(Skills!T12/10)*($Z$3/1000)/100,1)</f>
        <v/>
      </c>
      <c r="J2592" t="inlineStr"/>
      <c r="K2592" t="inlineStr"/>
      <c r="L2592" t="inlineStr"/>
      <c r="M2592" t="inlineStr"/>
      <c r="N2592" t="inlineStr"/>
      <c r="O2592">
        <f>(1-Summary!$B$11)*S2592+Summary!$B$11*U2592</f>
        <v/>
      </c>
      <c r="P2592">
        <f>IF(B2622=0,0,O2592/B2622)</f>
        <v/>
      </c>
      <c r="Q2592">
        <f>IFERROR(1/(IF(Inputs!$B$39="pvp",15,MAX(0.1,Skills!D12-IF(Skills!E12=TRUE,Inputs!$B$33,0)))*(1-IF(AND(ArtifactsInput!$M$27,Inputs!$B$4="Chapter Hunt"),CHOOSE(ArtifactsInput!$N$27+1,20,24,28,32,36,40),0)/100)),0)</f>
        <v/>
      </c>
      <c r="R2592">
        <f>IF(AND(Inputs!$B$39&lt;&gt;"pvp",Inputs!$B$44&gt;0),IF(MAX(0,Inputs!$B$44-B2619)&lt;=0,0,(INT(MAX(0,Inputs!$B$44-B2619)/(IF(Inputs!$B$39="pvp",15,MAX(0.1,Skills!D12-IF(Skills!E12=TRUE,Inputs!$B$33,0)))*(1-IF(AND(ArtifactsInput!$M$27,Inputs!$B$4="Chapter Hunt"),CHOOSE(ArtifactsInput!$N$27+1,20,24,28,32,36,40),0)/100)))+1)),0)</f>
        <v/>
      </c>
      <c r="S2592" t="n">
        <v>0</v>
      </c>
      <c r="U2592" t="n">
        <v>0</v>
      </c>
    </row>
    <row r="2593">
      <c r="A2593">
        <f>Skills!A13</f>
        <v/>
      </c>
      <c r="B2593">
        <f>Skills!B13</f>
        <v/>
      </c>
      <c r="C2593">
        <f>Inputs!$B$3&gt;=60</f>
        <v/>
      </c>
      <c r="D2593">
        <f>IF(Skills!C13=1,60+Inputs!$B$26+Inputs!$B$30,IF(Skills!C13=2,90+Inputs!$B$27+Inputs!$B$30,IF(Skills!C13=3,120+Inputs!$B$28+Inputs!$B$30,MAX(0,(Inputs!$B$3-100)*3)+Inputs!$B$29+Inputs!$B$30)))</f>
        <v/>
      </c>
      <c r="E2593">
        <f>INDEX(FactorTable!$B$2:$Y$301, MATCH(ROUND(MIN(300,MAX(1,D2593)),0), FactorTable!$A$2:$A$301,0), Skills!L13+1)</f>
        <v/>
      </c>
      <c r="F2593">
        <f>IF(Skills!M13=TRUE,(Skills!K13/10)*(E2593/1000),Skills!K13/10)+Skills!N13</f>
        <v/>
      </c>
      <c r="G2593">
        <f>Calc!G13</f>
        <v/>
      </c>
      <c r="H2593">
        <f>Calc!H13</f>
        <v/>
      </c>
      <c r="I2593">
        <f>IF(Skills!T13&lt;&gt;"",1+(Skills!T13/10)*($Z$3/1000)/100,1)</f>
        <v/>
      </c>
      <c r="J2593" t="inlineStr"/>
      <c r="K2593" t="inlineStr"/>
      <c r="L2593" t="inlineStr"/>
      <c r="M2593" t="inlineStr"/>
      <c r="N2593" t="inlineStr"/>
      <c r="O2593">
        <f>(1-Summary!$B$11)*S2593+Summary!$B$11*U2593</f>
        <v/>
      </c>
      <c r="P2593">
        <f>IF(B2622=0,0,O2593/B2622)</f>
        <v/>
      </c>
      <c r="Q2593">
        <f>IFERROR(1/(IF(Inputs!$B$39="pvp",15,MAX(0.1,Skills!D13-IF(Skills!E13=TRUE,Inputs!$B$33,0)))*(1-IF(AND(ArtifactsInput!$M$27,Inputs!$B$4="Chapter Hunt"),CHOOSE(ArtifactsInput!$N$27+1,20,24,28,32,36,40),0)/100)),0)</f>
        <v/>
      </c>
      <c r="R2593">
        <f>IF(AND(Inputs!$B$39&lt;&gt;"pvp",Inputs!$B$44&gt;0),IF(MAX(0,Inputs!$B$44-B2619)&lt;=0,0,(INT(MAX(0,Inputs!$B$44-B2619)/(IF(Inputs!$B$39="pvp",15,MAX(0.1,Skills!D13-IF(Skills!E13=TRUE,Inputs!$B$33,0)))*(1-IF(AND(ArtifactsInput!$M$27,Inputs!$B$4="Chapter Hunt"),CHOOSE(ArtifactsInput!$N$27+1,20,24,28,32,36,40),0)/100)))+1)),0)</f>
        <v/>
      </c>
      <c r="S2593" t="n">
        <v>0</v>
      </c>
      <c r="U2593" t="n">
        <v>0</v>
      </c>
    </row>
    <row r="2594">
      <c r="A2594">
        <f>Skills!A14</f>
        <v/>
      </c>
      <c r="B2594">
        <f>Skills!B14</f>
        <v/>
      </c>
      <c r="C2594">
        <f>Inputs!$B$3&gt;=107</f>
        <v/>
      </c>
      <c r="D2594">
        <f>IF(Skills!C14=1,60+Inputs!$B$26+Inputs!$B$30,IF(Skills!C14=2,90+Inputs!$B$27+Inputs!$B$30,IF(Skills!C14=3,120+Inputs!$B$28+Inputs!$B$30,MAX(0,(Inputs!$B$3-100)*3)+Inputs!$B$29+Inputs!$B$30)))</f>
        <v/>
      </c>
      <c r="E2594">
        <f>INDEX(FactorTable!$B$2:$Y$301, MATCH(ROUND(MIN(300,MAX(1,D2594)),0), FactorTable!$A$2:$A$301,0), Skills!L14+1)</f>
        <v/>
      </c>
      <c r="F2594">
        <f>IF(Skills!M14=TRUE,(Skills!K14/10)*(E2594/1000),Skills!K14/10)+Skills!N14</f>
        <v/>
      </c>
      <c r="G2594">
        <f>Calc!G14</f>
        <v/>
      </c>
      <c r="H2594">
        <f>Calc!H14</f>
        <v/>
      </c>
      <c r="I2594">
        <f>IF(Skills!T14&lt;&gt;"",1+(Skills!T14/10)*($Z$3/1000)/100,1)</f>
        <v/>
      </c>
      <c r="J2594" t="inlineStr"/>
      <c r="K2594" t="inlineStr"/>
      <c r="L2594" t="inlineStr"/>
      <c r="M2594" t="inlineStr"/>
      <c r="N2594" t="inlineStr"/>
      <c r="O2594">
        <f>(1-Summary!$B$11)*S2594+Summary!$B$11*U2594</f>
        <v/>
      </c>
      <c r="P2594">
        <f>IF(B2622=0,0,O2594/B2622)</f>
        <v/>
      </c>
      <c r="Q2594">
        <f>IFERROR(1/(IF(Inputs!$B$39="pvp",15,MAX(0.1,Skills!D14-IF(Skills!E14=TRUE,Inputs!$B$33,0)))*(1-IF(AND(ArtifactsInput!$M$27,Inputs!$B$4="Chapter Hunt"),CHOOSE(ArtifactsInput!$N$27+1,20,24,28,32,36,40),0)/100)),0)</f>
        <v/>
      </c>
      <c r="R2594">
        <f>IF(AND(Inputs!$B$39&lt;&gt;"pvp",Inputs!$B$44&gt;0),IF(Inputs!$B$44&lt;=0,0,(INT(Inputs!$B$44/(IF(Inputs!$B$39="pvp",15,MAX(0.1,Skills!D14-IF(Skills!E14=TRUE,Inputs!$B$33,0)))*(1-IF(AND(ArtifactsInput!$M$27,Inputs!$B$4="Chapter Hunt"),CHOOSE(ArtifactsInput!$N$27+1,20,24,28,32,36,40),0)/100)))+1)),0)</f>
        <v/>
      </c>
      <c r="S2594" t="n">
        <v>0</v>
      </c>
      <c r="U2594" t="n">
        <v>0</v>
      </c>
    </row>
    <row r="2595">
      <c r="A2595">
        <f>Skills!A15</f>
        <v/>
      </c>
      <c r="B2595">
        <f>Skills!B15</f>
        <v/>
      </c>
      <c r="C2595">
        <f>Inputs!$B$3&gt;=63</f>
        <v/>
      </c>
      <c r="D2595">
        <f>IF(Skills!C15=1,60+Inputs!$B$26+Inputs!$B$30,IF(Skills!C15=2,90+Inputs!$B$27+Inputs!$B$30,IF(Skills!C15=3,120+Inputs!$B$28+Inputs!$B$30,MAX(0,(Inputs!$B$3-100)*3)+Inputs!$B$29+Inputs!$B$30)))</f>
        <v/>
      </c>
      <c r="E2595">
        <f>INDEX(FactorTable!$B$2:$Y$301, MATCH(ROUND(MIN(300,MAX(1,D2595)),0), FactorTable!$A$2:$A$301,0), Skills!L15+1)</f>
        <v/>
      </c>
      <c r="F2595">
        <f>IF(Skills!M15=TRUE,(Skills!K15/10)*(E2595/1000),Skills!K15/10)+Skills!N15</f>
        <v/>
      </c>
      <c r="G2595">
        <f>Calc!G15</f>
        <v/>
      </c>
      <c r="H2595">
        <f>Calc!H15</f>
        <v/>
      </c>
      <c r="I2595">
        <f>IF(Skills!T15&lt;&gt;"",1+(Skills!T15/10)*($Z$3/1000)/100,1)</f>
        <v/>
      </c>
      <c r="J2595">
        <f>((Inputs!$B$6*(1+Inputs!$B$7/100))+(((Inputs!$B$13*(1+Inputs!$B$14/100))-(Inputs!$B$13*(1+Inputs!$B$14/100)))+0.25*(Inputs!$B$15-Inputs!$B$15))*(1+Inputs!$B$7/100))*(F2595/100)</f>
        <v/>
      </c>
      <c r="K2595">
        <f>J2595*(1+(((Inputs!$B$13+IF(Inputs!$B$3&gt;=35,(10*INDEX(FactorTable!$B$2:$Y$301,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15="TRIUMPH_FEATHER",IF(C2596=TRUE,F2596,0),0)/100)*(1+IF(C2607=TRUE,F2607,0)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2595)</f>
        <v/>
      </c>
      <c r="L2595">
        <f>K2595*(MIN(Inputs!$B$23+(F2602-Calc!F22),(Inputs!$B$24+IF(ArtifactsInput!$M$15,CHOOSE(ArtifactsInput!$N$15+1,25,30,35,40,45,50)/100*(Inputs!$B$12-Inputs!$B$12),0)))/100+(Inputs!$B$24+IF(ArtifactsInput!$M$15,CHOOSE(ArtifactsInput!$N$15+1,25,30,35,40,45,50)/100*(Inputs!$B$12-Inputs!$B$12),0))/100)/2</f>
        <v/>
      </c>
      <c r="M2595">
        <f>L2595*(1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5">
        <f>L2595*(1-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(1-Summary!$B$11)*S2595+Summary!$B$11*U2595</f>
        <v/>
      </c>
      <c r="P2595">
        <f>IF(B2622=0,0,O2595/B2622)</f>
        <v/>
      </c>
      <c r="Q2595">
        <f>IFERROR(1/(IF(Inputs!$B$39="pvp",15,MAX(0.1,Skills!D15-IF(Skills!E15=TRUE,Inputs!$B$33,0)))*(1-IF(AND(ArtifactsInput!$M$27,Inputs!$B$4="Chapter Hunt"),CHOOSE(ArtifactsInput!$N$27+1,20,24,28,32,36,40),0)/100)),0)</f>
        <v/>
      </c>
      <c r="R2595" t="n">
        <v>0</v>
      </c>
      <c r="S2595">
        <f>IF(C2595,(Skills!F15*N2595*((IF(Inputs!$B$3&gt;=78,25,15)/100*B2615*10)/(1+IF(Inputs!$B$3&gt;=78,25,15)/100*B2615*10))*(Skills!I15/100*B2615)/(1+Skills!G15*Skills!I15/100*B2615))*IF(Inputs!$B$39="pvp",1,1+(Inputs!$B$21+Skills!O15+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2595*(1-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IF(C2595,(Skills!F15*N2595*((IF(Inputs!$B$3&gt;=78,25,15)/100*B2615*10)/(1+IF(Inputs!$B$3&gt;=78,25,15)/100*B2615*10))*(Skills!I15/100*B2615)/(1+Skills!G15*Skills!I15/100*B2615))*IF(Inputs!$B$39="pvp",1,(1+(Inputs!$B$22+Skills!P15+B2611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Skills!A16</f>
        <v/>
      </c>
      <c r="B2596">
        <f>Skills!B16</f>
        <v/>
      </c>
      <c r="C2596">
        <f>Inputs!$B$3&gt;=100</f>
        <v/>
      </c>
      <c r="D2596">
        <f>IF(Skills!C16=1,60+Inputs!$B$26+Inputs!$B$30,IF(Skills!C16=2,90+Inputs!$B$27+Inputs!$B$30,IF(Skills!C16=3,120+Inputs!$B$28+Inputs!$B$30,MAX(0,(Inputs!$B$3-100)*3)+Inputs!$B$29+Inputs!$B$30)))</f>
        <v/>
      </c>
      <c r="E2596">
        <f>INDEX(FactorTable!$B$2:$Y$301, MATCH(ROUND(MIN(300,MAX(1,D2596)),0), FactorTable!$A$2:$A$301,0), Skills!L16+1)</f>
        <v/>
      </c>
      <c r="F2596">
        <f>IF(Skills!M16=TRUE,(Skills!K16/10)*(E2596/1000),Skills!K16/10)+Skills!N16</f>
        <v/>
      </c>
      <c r="G2596">
        <f>Calc!G16</f>
        <v/>
      </c>
      <c r="H2596">
        <f>Calc!H16</f>
        <v/>
      </c>
      <c r="I2596">
        <f>IF(Skills!T16&lt;&gt;"",1+(Skills!T16/10)*($Z$3/1000)/100,1)</f>
        <v/>
      </c>
      <c r="J2596" t="inlineStr"/>
      <c r="K2596" t="inlineStr"/>
      <c r="L2596" t="inlineStr"/>
      <c r="M2596" t="inlineStr"/>
      <c r="N2596" t="inlineStr"/>
      <c r="O2596">
        <f>(1-Summary!$B$11)*S2596+Summary!$B$11*U2596</f>
        <v/>
      </c>
      <c r="P2596">
        <f>IF(B2622=0,0,O2596/B2622)</f>
        <v/>
      </c>
      <c r="Q2596">
        <f>IFERROR(1/(IF(Inputs!$B$39="pvp",15,MAX(0.1,Skills!D16-IF(Skills!E16=TRUE,Inputs!$B$33,0)))*(1-IF(AND(ArtifactsInput!$M$27,Inputs!$B$4="Chapter Hunt"),CHOOSE(ArtifactsInput!$N$27+1,20,24,28,32,36,40),0)/100)),0)</f>
        <v/>
      </c>
      <c r="R2596" t="n">
        <v>0</v>
      </c>
      <c r="S2596" t="n">
        <v>0</v>
      </c>
      <c r="U2596" t="n">
        <v>0</v>
      </c>
    </row>
    <row r="2597">
      <c r="A2597">
        <f>Skills!A17</f>
        <v/>
      </c>
      <c r="B2597">
        <f>Skills!B17</f>
        <v/>
      </c>
      <c r="C2597">
        <f>Inputs!$B$3&gt;=49</f>
        <v/>
      </c>
      <c r="D2597">
        <f>IF(Skills!C17=1,60+Inputs!$B$26+Inputs!$B$30,IF(Skills!C17=2,90+Inputs!$B$27+Inputs!$B$30,IF(Skills!C17=3,120+Inputs!$B$28+Inputs!$B$30,MAX(0,(Inputs!$B$3-100)*3)+Inputs!$B$29+Inputs!$B$30)))</f>
        <v/>
      </c>
      <c r="E2597">
        <f>INDEX(FactorTable!$B$2:$Y$301, MATCH(ROUND(MIN(300,MAX(1,D2597)),0), FactorTable!$A$2:$A$301,0), Skills!L17+1)</f>
        <v/>
      </c>
      <c r="F2597">
        <f>IF(Skills!M17=TRUE,(Skills!K17/10)*(E2597/1000),Skills!K17/10)+Skills!N17</f>
        <v/>
      </c>
      <c r="G2597">
        <f>Calc!G17</f>
        <v/>
      </c>
      <c r="H2597">
        <f>Calc!H17</f>
        <v/>
      </c>
      <c r="I2597">
        <f>IF(Skills!T17&lt;&gt;"",1+(Skills!T17/10)*($Z$3/1000)/100,1)</f>
        <v/>
      </c>
      <c r="J2597" t="inlineStr"/>
      <c r="K2597" t="inlineStr"/>
      <c r="L2597" t="inlineStr"/>
      <c r="M2597" t="inlineStr"/>
      <c r="N2597" t="inlineStr"/>
      <c r="O2597">
        <f>(1-Summary!$B$11)*S2597+Summary!$B$11*U2597</f>
        <v/>
      </c>
      <c r="P2597">
        <f>IF(B2622=0,0,O2597/B2622)</f>
        <v/>
      </c>
      <c r="Q2597">
        <f>IFERROR(1/(IF(Inputs!$B$39="pvp",15,MAX(0.1,Skills!D17-IF(Skills!E17=TRUE,Inputs!$B$33,0)))*(1-IF(AND(ArtifactsInput!$M$27,Inputs!$B$4="Chapter Hunt"),CHOOSE(ArtifactsInput!$N$27+1,20,24,28,32,36,40),0)/100)),0)</f>
        <v/>
      </c>
      <c r="R2597" t="n">
        <v>0</v>
      </c>
      <c r="S2597" t="n">
        <v>0</v>
      </c>
      <c r="U2597" t="n">
        <v>0</v>
      </c>
    </row>
    <row r="2598">
      <c r="A2598">
        <f>Skills!A18</f>
        <v/>
      </c>
      <c r="B2598">
        <f>Skills!B18</f>
        <v/>
      </c>
      <c r="C2598">
        <f>Inputs!$B$3&gt;=75</f>
        <v/>
      </c>
      <c r="D2598">
        <f>IF(Skills!C18=1,60+Inputs!$B$26+Inputs!$B$30,IF(Skills!C18=2,90+Inputs!$B$27+Inputs!$B$30,IF(Skills!C18=3,120+Inputs!$B$28+Inputs!$B$30,MAX(0,(Inputs!$B$3-100)*3)+Inputs!$B$29+Inputs!$B$30)))</f>
        <v/>
      </c>
      <c r="E2598">
        <f>INDEX(FactorTable!$B$2:$Y$301, MATCH(ROUND(MIN(300,MAX(1,D2598)),0), FactorTable!$A$2:$A$301,0), Skills!L18+1)</f>
        <v/>
      </c>
      <c r="F2598">
        <f>IF(Skills!M18=TRUE,(Skills!K18/10)*(E2598/1000),Skills!K18/10)+Skills!N18</f>
        <v/>
      </c>
      <c r="G2598">
        <f>Calc!G18</f>
        <v/>
      </c>
      <c r="H2598">
        <f>Calc!H18</f>
        <v/>
      </c>
      <c r="I2598">
        <f>IF(Skills!T18&lt;&gt;"",1+(Skills!T18/10)*($Z$3/1000)/100,1)</f>
        <v/>
      </c>
      <c r="J2598" t="inlineStr"/>
      <c r="K2598" t="inlineStr"/>
      <c r="L2598" t="inlineStr"/>
      <c r="M2598" t="inlineStr"/>
      <c r="N2598" t="inlineStr"/>
      <c r="O2598">
        <f>(1-Summary!$B$11)*S2598+Summary!$B$11*U2598</f>
        <v/>
      </c>
      <c r="P2598">
        <f>IF(B2622=0,0,O2598/B2622)</f>
        <v/>
      </c>
      <c r="Q2598">
        <f>IFERROR(1/(IF(Inputs!$B$39="pvp",15,MAX(0.1,Skills!D18-IF(Skills!E18=TRUE,Inputs!$B$33,0)))*(1-IF(AND(ArtifactsInput!$M$27,Inputs!$B$4="Chapter Hunt"),CHOOSE(ArtifactsInput!$N$27+1,20,24,28,32,36,40),0)/100)),0)</f>
        <v/>
      </c>
      <c r="R2598" t="n">
        <v>0</v>
      </c>
      <c r="S2598" t="n">
        <v>0</v>
      </c>
      <c r="U2598" t="n">
        <v>0</v>
      </c>
    </row>
    <row r="2599">
      <c r="A2599">
        <f>Skills!A19</f>
        <v/>
      </c>
      <c r="B2599">
        <f>Skills!B19</f>
        <v/>
      </c>
      <c r="C2599">
        <f>Inputs!$B$3&gt;=110</f>
        <v/>
      </c>
      <c r="D2599">
        <f>IF(Skills!C19=1,60+Inputs!$B$26+Inputs!$B$30,IF(Skills!C19=2,90+Inputs!$B$27+Inputs!$B$30,IF(Skills!C19=3,120+Inputs!$B$28+Inputs!$B$30,MAX(0,(Inputs!$B$3-100)*3)+Inputs!$B$29+Inputs!$B$30)))</f>
        <v/>
      </c>
      <c r="E2599">
        <f>INDEX(FactorTable!$B$2:$Y$301, MATCH(ROUND(MIN(300,MAX(1,D2599)),0), FactorTable!$A$2:$A$301,0), Skills!L19+1)</f>
        <v/>
      </c>
      <c r="F2599">
        <f>(Skills!K19/10)*(E2599/1000)*64/45+Skills!N19</f>
        <v/>
      </c>
      <c r="G2599">
        <f>Calc!G19</f>
        <v/>
      </c>
      <c r="H2599">
        <f>Calc!H19</f>
        <v/>
      </c>
      <c r="I2599">
        <f>IF(Skills!T19&lt;&gt;"",1+(Skills!T19/10)*($Z$3/1000)/100,1)</f>
        <v/>
      </c>
      <c r="J2599" t="inlineStr"/>
      <c r="K2599" t="inlineStr"/>
      <c r="L2599" t="inlineStr"/>
      <c r="M2599" t="inlineStr"/>
      <c r="N2599" t="inlineStr"/>
      <c r="O2599">
        <f>(1-Summary!$B$11)*S2599+Summary!$B$11*U2599</f>
        <v/>
      </c>
      <c r="P2599">
        <f>IF(B2622=0,0,O2599/B2622)</f>
        <v/>
      </c>
      <c r="Q2599">
        <f>IFERROR(1/(IF(Inputs!$B$39="pvp",15,MAX(0.1,Skills!D19-IF(Skills!E19=TRUE,Inputs!$B$33,0)))*(1-IF(AND(ArtifactsInput!$M$27,Inputs!$B$4="Chapter Hunt"),CHOOSE(ArtifactsInput!$N$27+1,20,24,28,32,36,40),0)/100)),0)</f>
        <v/>
      </c>
      <c r="R2599">
        <f>IF(AND(Inputs!$B$39&lt;&gt;"pvp",Inputs!$B$44&gt;0),IF(Inputs!$B$44&lt;=0,0,(INT(Inputs!$B$44/(IF(Inputs!$B$39="pvp",15,MAX(0.1,Skills!D19-IF(Skills!E19=TRUE,Inputs!$B$33,0)))*(1-IF(AND(ArtifactsInput!$M$27,Inputs!$B$4="Chapter Hunt"),CHOOSE(ArtifactsInput!$N$27+1,20,24,28,32,36,40),0)/100)))+1)),0)</f>
        <v/>
      </c>
      <c r="S2599" t="n">
        <v>0</v>
      </c>
      <c r="U2599" t="n">
        <v>0</v>
      </c>
    </row>
    <row r="2600">
      <c r="A2600">
        <f>Skills!A20</f>
        <v/>
      </c>
      <c r="B2600">
        <f>Skills!B20</f>
        <v/>
      </c>
      <c r="C2600">
        <f>Inputs!$B$3&gt;=125</f>
        <v/>
      </c>
      <c r="D2600">
        <f>IF(Skills!C20=1,60+Inputs!$B$26+Inputs!$B$30,IF(Skills!C20=2,90+Inputs!$B$27+Inputs!$B$30,IF(Skills!C20=3,120+Inputs!$B$28+Inputs!$B$30,MAX(0,(Inputs!$B$3-100)*3)+Inputs!$B$29+Inputs!$B$30)))</f>
        <v/>
      </c>
      <c r="E2600">
        <f>INDEX(FactorTable!$B$2:$Y$301, MATCH(ROUND(MIN(300,MAX(1,D2600)),0), FactorTable!$A$2:$A$301,0), Skills!L20+1)</f>
        <v/>
      </c>
      <c r="F2600">
        <f>IF(Skills!M20=TRUE,(Skills!K20/10)*(E2600/1000),Skills!K20/10)+Skills!N20</f>
        <v/>
      </c>
      <c r="G2600">
        <f>Calc!G20</f>
        <v/>
      </c>
      <c r="H2600">
        <f>Calc!H20</f>
        <v/>
      </c>
      <c r="I2600">
        <f>IF(Skills!T20&lt;&gt;"",1+(Skills!T20/10)*($Z$3/1000)/100,1)</f>
        <v/>
      </c>
      <c r="J2600" t="inlineStr"/>
      <c r="K2600" t="inlineStr"/>
      <c r="L2600" t="inlineStr"/>
      <c r="M2600" t="inlineStr"/>
      <c r="N2600" t="inlineStr"/>
      <c r="O2600">
        <f>(1-Summary!$B$11)*S2600+Summary!$B$11*U2600</f>
        <v/>
      </c>
      <c r="P2600">
        <f>IF(B2622=0,0,O2600/B2622)</f>
        <v/>
      </c>
      <c r="Q2600">
        <f>IFERROR(1/(IF(Inputs!$B$39="pvp",15,MAX(0.1,Skills!D20-IF(Skills!E20=TRUE,Inputs!$B$33,0)))*(1-IF(AND(ArtifactsInput!$M$27,Inputs!$B$4="Chapter Hunt"),CHOOSE(ArtifactsInput!$N$27+1,20,24,28,32,36,40),0)/100)),0)</f>
        <v/>
      </c>
      <c r="R2600" t="n">
        <v>0</v>
      </c>
      <c r="S2600" t="n">
        <v>0</v>
      </c>
      <c r="U2600" t="n">
        <v>0</v>
      </c>
    </row>
    <row r="2601">
      <c r="A2601">
        <f>Skills!A21</f>
        <v/>
      </c>
      <c r="B2601">
        <f>Skills!B21</f>
        <v/>
      </c>
      <c r="C2601">
        <f>Inputs!$B$3&gt;=33</f>
        <v/>
      </c>
      <c r="D2601">
        <f>IF(Skills!C21=1,60+Inputs!$B$26+Inputs!$B$30,IF(Skills!C21=2,90+Inputs!$B$27+Inputs!$B$30,IF(Skills!C21=3,120+Inputs!$B$28+Inputs!$B$30,MAX(0,(Inputs!$B$3-100)*3)+Inputs!$B$29+Inputs!$B$30)))</f>
        <v/>
      </c>
      <c r="E2601">
        <f>INDEX(FactorTable!$B$2:$Y$301, MATCH(ROUND(MIN(300,MAX(1,D2601)),0), FactorTable!$A$2:$A$301,0), Skills!L21+1)</f>
        <v/>
      </c>
      <c r="F2601">
        <f>IF(Skills!M21=TRUE,(Skills!K21/10)*(E2601/1000),Skills!K21/10)+Skills!N21</f>
        <v/>
      </c>
      <c r="G2601">
        <f>Calc!G21</f>
        <v/>
      </c>
      <c r="H2601">
        <f>Calc!H21</f>
        <v/>
      </c>
      <c r="I2601">
        <f>IF(Skills!T21&lt;&gt;"",1+(Skills!T21/10)*($Z$3/1000)/100,1)</f>
        <v/>
      </c>
      <c r="J2601" t="inlineStr"/>
      <c r="K2601" t="inlineStr"/>
      <c r="L2601" t="inlineStr"/>
      <c r="M2601" t="inlineStr"/>
      <c r="N2601" t="inlineStr"/>
      <c r="O2601">
        <f>(1-Summary!$B$11)*S2601+Summary!$B$11*U2601</f>
        <v/>
      </c>
      <c r="P2601">
        <f>IF(B2622=0,0,O2601/B2622)</f>
        <v/>
      </c>
      <c r="Q2601">
        <f>IFERROR(1/(IF(Inputs!$B$39="pvp",15,MAX(0.1,Skills!D21-IF(Skills!E21=TRUE,Inputs!$B$33,0)))*(1-IF(AND(ArtifactsInput!$M$27,Inputs!$B$4="Chapter Hunt"),CHOOSE(ArtifactsInput!$N$27+1,20,24,28,32,36,40),0)/100)),0)</f>
        <v/>
      </c>
      <c r="R2601" t="n">
        <v>0</v>
      </c>
      <c r="S2601" t="n">
        <v>0</v>
      </c>
      <c r="U2601" t="n">
        <v>0</v>
      </c>
    </row>
    <row r="2602">
      <c r="A2602">
        <f>Skills!A22</f>
        <v/>
      </c>
      <c r="B2602">
        <f>Skills!B22</f>
        <v/>
      </c>
      <c r="C2602">
        <f>Inputs!$B$3&gt;=43</f>
        <v/>
      </c>
      <c r="D2602">
        <f>IF(Skills!C22=1,60+Inputs!$B$26+Inputs!$B$30,IF(Skills!C22=2,90+Inputs!$B$27+Inputs!$B$30,IF(Skills!C22=3,120+Inputs!$B$28+Inputs!$B$30,MAX(0,(Inputs!$B$3-100)*3)+Inputs!$B$29+Inputs!$B$30)))</f>
        <v/>
      </c>
      <c r="E2602">
        <f>INDEX(FactorTable!$B$2:$Y$301, MATCH(ROUND(MIN(300,MAX(1,D2602)),0), FactorTable!$A$2:$A$301,0), Skills!L22+1)</f>
        <v/>
      </c>
      <c r="F2602">
        <f>IF(Skills!M22=TRUE,(Skills!K22/10)*(E2602/1000),Skills!K22/10)+Skills!N22</f>
        <v/>
      </c>
      <c r="G2602">
        <f>Calc!G22</f>
        <v/>
      </c>
      <c r="H2602">
        <f>Calc!H22</f>
        <v/>
      </c>
      <c r="I2602">
        <f>IF(Skills!T22&lt;&gt;"",1+(Skills!T22/10)*($Z$3/1000)/100,1)</f>
        <v/>
      </c>
      <c r="J2602" t="inlineStr"/>
      <c r="K2602" t="inlineStr"/>
      <c r="L2602" t="inlineStr"/>
      <c r="M2602" t="inlineStr"/>
      <c r="N2602" t="inlineStr"/>
      <c r="O2602">
        <f>(1-Summary!$B$11)*S2602+Summary!$B$11*U2602</f>
        <v/>
      </c>
      <c r="P2602">
        <f>IF(B2622=0,0,O2602/B2622)</f>
        <v/>
      </c>
      <c r="Q2602">
        <f>IFERROR(1/(IF(Inputs!$B$39="pvp",15,MAX(0.1,Skills!D22-IF(Skills!E22=TRUE,Inputs!$B$33,0)))*(1-IF(AND(ArtifactsInput!$M$27,Inputs!$B$4="Chapter Hunt"),CHOOSE(ArtifactsInput!$N$27+1,20,24,28,32,36,40),0)/100)),0)</f>
        <v/>
      </c>
      <c r="R2602" t="n">
        <v>0</v>
      </c>
      <c r="S2602" t="n">
        <v>0</v>
      </c>
      <c r="U2602" t="n">
        <v>0</v>
      </c>
    </row>
    <row r="2603">
      <c r="A2603">
        <f>Skills!A23</f>
        <v/>
      </c>
      <c r="B2603">
        <f>Skills!B23</f>
        <v/>
      </c>
      <c r="C2603">
        <f>Inputs!$B$3&gt;=50</f>
        <v/>
      </c>
      <c r="D2603">
        <f>IF(Skills!C23=1,60+Inputs!$B$26+Inputs!$B$30,IF(Skills!C23=2,90+Inputs!$B$27+Inputs!$B$30,IF(Skills!C23=3,120+Inputs!$B$28+Inputs!$B$30,MAX(0,(Inputs!$B$3-100)*3)+Inputs!$B$29+Inputs!$B$30)))</f>
        <v/>
      </c>
      <c r="E2603">
        <f>INDEX(FactorTable!$B$2:$Y$301, MATCH(ROUND(MIN(300,MAX(1,D2603)),0), FactorTable!$A$2:$A$301,0), Skills!L23+1)</f>
        <v/>
      </c>
      <c r="F2603">
        <f>IF(Skills!M23=TRUE,(Skills!K23/10)*(E2603/1000),Skills!K23/10)+Skills!N23</f>
        <v/>
      </c>
      <c r="G2603">
        <f>Calc!G23</f>
        <v/>
      </c>
      <c r="H2603">
        <f>Calc!H23</f>
        <v/>
      </c>
      <c r="I2603">
        <f>IF(Skills!T23&lt;&gt;"",1+(Skills!T23/10)*($Z$3/1000)/100,1)</f>
        <v/>
      </c>
      <c r="J2603" t="inlineStr"/>
      <c r="K2603" t="inlineStr"/>
      <c r="L2603" t="inlineStr"/>
      <c r="M2603" t="inlineStr"/>
      <c r="N2603" t="inlineStr"/>
      <c r="O2603">
        <f>(1-Summary!$B$11)*S2603+Summary!$B$11*U2603</f>
        <v/>
      </c>
      <c r="P2603">
        <f>IF(B2622=0,0,O2603/B2622)</f>
        <v/>
      </c>
      <c r="Q2603">
        <f>IFERROR(1/(IF(Inputs!$B$39="pvp",15,MAX(0.1,Skills!D23-IF(Skills!E23=TRUE,Inputs!$B$33,0)))*(1-IF(AND(ArtifactsInput!$M$27,Inputs!$B$4="Chapter Hunt"),CHOOSE(ArtifactsInput!$N$27+1,20,24,28,32,36,40),0)/100)),0)</f>
        <v/>
      </c>
      <c r="R2603" t="n">
        <v>0</v>
      </c>
      <c r="S2603" t="n">
        <v>0</v>
      </c>
      <c r="U2603" t="n">
        <v>0</v>
      </c>
    </row>
    <row r="2604">
      <c r="A2604">
        <f>Skills!A24</f>
        <v/>
      </c>
      <c r="B2604">
        <f>Skills!B24</f>
        <v/>
      </c>
      <c r="C2604">
        <f>Inputs!$B$3&gt;=74</f>
        <v/>
      </c>
      <c r="D2604">
        <f>IF(Skills!C24=1,60+Inputs!$B$26+Inputs!$B$30,IF(Skills!C24=2,90+Inputs!$B$27+Inputs!$B$30,IF(Skills!C24=3,120+Inputs!$B$28+Inputs!$B$30,MAX(0,(Inputs!$B$3-100)*3)+Inputs!$B$29+Inputs!$B$30)))</f>
        <v/>
      </c>
      <c r="E2604">
        <f>INDEX(FactorTable!$B$2:$Y$301, MATCH(ROUND(MIN(300,MAX(1,D2604)),0), FactorTable!$A$2:$A$301,0), Skills!L24+1)</f>
        <v/>
      </c>
      <c r="F2604">
        <f>IF(Skills!M24=TRUE,(Skills!K24/10)*(E2604/1000),Skills!K24/10)+Skills!N24</f>
        <v/>
      </c>
      <c r="G2604">
        <f>Calc!G24</f>
        <v/>
      </c>
      <c r="H2604">
        <f>Calc!H24</f>
        <v/>
      </c>
      <c r="I2604">
        <f>IF(Skills!T24&lt;&gt;"",1+(Skills!T24/10)*($Z$3/1000)/100,1)</f>
        <v/>
      </c>
      <c r="J2604" t="inlineStr"/>
      <c r="K2604" t="inlineStr"/>
      <c r="L2604" t="inlineStr"/>
      <c r="M2604" t="inlineStr"/>
      <c r="N2604" t="inlineStr"/>
      <c r="O2604">
        <f>(1-Summary!$B$11)*S2604+Summary!$B$11*U2604</f>
        <v/>
      </c>
      <c r="P2604">
        <f>IF(B2622=0,0,O2604/B2622)</f>
        <v/>
      </c>
      <c r="Q2604">
        <f>IFERROR(1/(IF(Inputs!$B$39="pvp",15,MAX(0.1,Skills!D24-IF(Skills!E24=TRUE,Inputs!$B$33,0)))*(1-IF(AND(ArtifactsInput!$M$27,Inputs!$B$4="Chapter Hunt"),CHOOSE(ArtifactsInput!$N$27+1,20,24,28,32,36,40),0)/100)),0)</f>
        <v/>
      </c>
      <c r="R2604" t="n">
        <v>0</v>
      </c>
      <c r="S2604" t="n">
        <v>0</v>
      </c>
      <c r="U2604" t="n">
        <v>0</v>
      </c>
    </row>
    <row r="2605">
      <c r="A2605">
        <f>Skills!A25</f>
        <v/>
      </c>
      <c r="B2605">
        <f>Skills!B25</f>
        <v/>
      </c>
      <c r="C2605">
        <f>Inputs!$B$3&gt;=74</f>
        <v/>
      </c>
      <c r="D2605">
        <f>IF(Skills!C25=1,60+Inputs!$B$26+Inputs!$B$30,IF(Skills!C25=2,90+Inputs!$B$27+Inputs!$B$30,IF(Skills!C25=3,120+Inputs!$B$28+Inputs!$B$30,MAX(0,(Inputs!$B$3-100)*3)+Inputs!$B$29+Inputs!$B$30)))</f>
        <v/>
      </c>
      <c r="E2605">
        <f>INDEX(FactorTable!$B$2:$Y$301, MATCH(ROUND(MIN(300,MAX(1,D2605)),0), FactorTable!$A$2:$A$301,0), Skills!L25+1)</f>
        <v/>
      </c>
      <c r="F2605">
        <f>IF(Skills!M25=TRUE,(Skills!K25/10)*(E2605/1000),Skills!K25/10)+Skills!N25</f>
        <v/>
      </c>
      <c r="G2605">
        <f>Calc!G25</f>
        <v/>
      </c>
      <c r="H2605">
        <f>Calc!H25</f>
        <v/>
      </c>
      <c r="I2605">
        <f>IF(Skills!T25&lt;&gt;"",1+(Skills!T25/10)*($Z$3/1000)/100,1)</f>
        <v/>
      </c>
      <c r="J2605" t="inlineStr"/>
      <c r="K2605" t="inlineStr"/>
      <c r="L2605" t="inlineStr"/>
      <c r="M2605" t="inlineStr"/>
      <c r="N2605" t="inlineStr"/>
      <c r="O2605">
        <f>(1-Summary!$B$11)*S2605+Summary!$B$11*U2605</f>
        <v/>
      </c>
      <c r="P2605">
        <f>IF(B2622=0,0,O2605/B2622)</f>
        <v/>
      </c>
      <c r="Q2605">
        <f>IFERROR(1/(IF(Inputs!$B$39="pvp",15,MAX(0.1,Skills!D25-IF(Skills!E25=TRUE,Inputs!$B$33,0)))*(1-IF(AND(ArtifactsInput!$M$27,Inputs!$B$4="Chapter Hunt"),CHOOSE(ArtifactsInput!$N$27+1,20,24,28,32,36,40),0)/100)),0)</f>
        <v/>
      </c>
      <c r="R2605" t="n">
        <v>0</v>
      </c>
      <c r="S2605" t="n">
        <v>0</v>
      </c>
      <c r="U2605" t="n">
        <v>0</v>
      </c>
    </row>
    <row r="2606">
      <c r="A2606">
        <f>Skills!A26</f>
        <v/>
      </c>
      <c r="B2606">
        <f>Skills!B26</f>
        <v/>
      </c>
      <c r="C2606">
        <f>Inputs!$B$3&gt;=117</f>
        <v/>
      </c>
      <c r="D2606">
        <f>IF(Skills!C26=1,60+Inputs!$B$26+Inputs!$B$30,IF(Skills!C26=2,90+Inputs!$B$27+Inputs!$B$30,IF(Skills!C26=3,120+Inputs!$B$28+Inputs!$B$30,MAX(0,(Inputs!$B$3-100)*3)+Inputs!$B$29+Inputs!$B$30)))</f>
        <v/>
      </c>
      <c r="E2606">
        <f>INDEX(FactorTable!$B$2:$Y$301, MATCH(ROUND(MIN(300,MAX(1,D2606)),0), FactorTable!$A$2:$A$301,0), Skills!L26+1)</f>
        <v/>
      </c>
      <c r="F2606">
        <f>IF(Skills!M26=TRUE,(Skills!K26/10)*(E2606/1000),Skills!K26/10)+Skills!N26</f>
        <v/>
      </c>
      <c r="G2606">
        <f>Calc!G26</f>
        <v/>
      </c>
      <c r="H2606">
        <f>Calc!H26</f>
        <v/>
      </c>
      <c r="I2606">
        <f>IF(Skills!T26&lt;&gt;"",1+(Skills!T26/10)*($Z$3/1000)/100,1)</f>
        <v/>
      </c>
      <c r="J2606" t="inlineStr"/>
      <c r="K2606" t="inlineStr"/>
      <c r="L2606" t="inlineStr"/>
      <c r="M2606" t="inlineStr"/>
      <c r="N2606" t="inlineStr"/>
      <c r="O2606">
        <f>(1-Summary!$B$11)*S2606+Summary!$B$11*U2606</f>
        <v/>
      </c>
      <c r="P2606">
        <f>IF(B2622=0,0,O2606/B2622)</f>
        <v/>
      </c>
      <c r="Q2606">
        <f>IFERROR(1/(IF(Inputs!$B$39="pvp",15,MAX(0.1,Skills!D26-IF(Skills!E26=TRUE,Inputs!$B$33,0)))*(1-IF(AND(ArtifactsInput!$M$27,Inputs!$B$4="Chapter Hunt"),CHOOSE(ArtifactsInput!$N$27+1,20,24,28,32,36,40),0)/100)),0)</f>
        <v/>
      </c>
      <c r="R2606" t="n">
        <v>0</v>
      </c>
      <c r="S2606" t="n">
        <v>0</v>
      </c>
      <c r="U2606" t="n">
        <v>0</v>
      </c>
    </row>
    <row r="2607">
      <c r="A2607">
        <f>Skills!A27</f>
        <v/>
      </c>
      <c r="B2607">
        <f>Skills!B27</f>
        <v/>
      </c>
      <c r="C2607">
        <f>Inputs!$B$3&gt;=120</f>
        <v/>
      </c>
      <c r="D2607">
        <f>IF(Skills!C27=1,60+Inputs!$B$26+Inputs!$B$30,IF(Skills!C27=2,90+Inputs!$B$27+Inputs!$B$30,IF(Skills!C27=3,120+Inputs!$B$28+Inputs!$B$30,MAX(0,(Inputs!$B$3-100)*3)+Inputs!$B$29+Inputs!$B$30)))</f>
        <v/>
      </c>
      <c r="E2607">
        <f>INDEX(FactorTable!$B$2:$Y$301, MATCH(ROUND(MIN(300,MAX(1,D2607)),0), FactorTable!$A$2:$A$301,0), Skills!L27+1)</f>
        <v/>
      </c>
      <c r="F2607">
        <f>IF(Skills!M27=TRUE,(Skills!K27/10)*(E2607/1000),Skills!K27/10)+Skills!N27</f>
        <v/>
      </c>
      <c r="G2607">
        <f>Calc!G27</f>
        <v/>
      </c>
      <c r="H2607">
        <f>Calc!H27</f>
        <v/>
      </c>
      <c r="I2607">
        <f>IF(Skills!T27&lt;&gt;"",1+(Skills!T27/10)*($Z$3/1000)/100,1)</f>
        <v/>
      </c>
      <c r="J2607" t="inlineStr"/>
      <c r="K2607" t="inlineStr"/>
      <c r="L2607" t="inlineStr"/>
      <c r="M2607" t="inlineStr"/>
      <c r="N2607" t="inlineStr"/>
      <c r="O2607">
        <f>(1-Summary!$B$11)*S2607+Summary!$B$11*U2607</f>
        <v/>
      </c>
      <c r="P2607">
        <f>IF(B2622=0,0,O2607/B2622)</f>
        <v/>
      </c>
      <c r="Q2607">
        <f>IFERROR(1/(IF(Inputs!$B$39="pvp",15,MAX(0.1,Skills!D27-IF(Skills!E27=TRUE,Inputs!$B$33,0)))*(1-IF(AND(ArtifactsInput!$M$27,Inputs!$B$4="Chapter Hunt"),CHOOSE(ArtifactsInput!$N$27+1,20,24,28,32,36,40),0)/100)),0)</f>
        <v/>
      </c>
      <c r="R2607" t="n">
        <v>0</v>
      </c>
      <c r="S2607" t="n">
        <v>0</v>
      </c>
      <c r="U2607" t="n">
        <v>0</v>
      </c>
    </row>
    <row r="2609">
      <c r="A2609" t="inlineStr">
        <is>
          <t>Average Buff Multiplier</t>
        </is>
      </c>
      <c r="B2609">
        <f>(1+(IF(C2583=TRUE,F2583*IF(AND(Inputs!$B$39&lt;&gt;"pvp",Inputs!$B$44&gt;0),(((R2583-1)*(Skills!S3*(1+((Inputs!$B$35+(ArtifactsInput!$M$7-ArtifactsInput!$M$7)*CHOOSE(ArtifactsInput!$N$7+1,6,7.2,8.4,9.6,10.8,12))+IF(Inputs!$B$3&gt;=117,F2606,0))/100))+MIN((Skills!S3*(1+((Inputs!$B$35+(ArtifactsInput!$M$7-ArtifactsInput!$M$7)*CHOOSE(ArtifactsInput!$N$7+1,6,7.2,8.4,9.6,10.8,12))+IF(Inputs!$B$3&gt;=117,F2606,0))/100)),MAX(0,Inputs!$B$44-((R2583-1)*Skills!D3))))/Inputs!$B$44),IF(Inputs!$B$39="pvp",MIN((Skills!S3*(1+((Inputs!$B$35+(ArtifactsInput!$M$7-ArtifactsInput!$M$7)*CHOOSE(ArtifactsInput!$N$7+1,6,7.2,8.4,9.6,10.8,12))+IF(Inputs!$B$3&gt;=117,F2606,0))/100)),15)/15,(Skills!S3*(1+((Inputs!$B$35+(ArtifactsInput!$M$7-ArtifactsInput!$M$7)*CHOOSE(ArtifactsInput!$N$7+1,6,7.2,8.4,9.6,10.8,12))+IF(Inputs!$B$3&gt;=117,F2606,0))/100))/Skills!D3)),0)+IF(C2584=TRUE,F2584*IF(AND(Inputs!$B$39&lt;&gt;"pvp",Inputs!$B$44&gt;0),(((R2584-1)*(Skills!S4*(1+((Inputs!$B$35+(ArtifactsInput!$M$7-ArtifactsInput!$M$7)*CHOOSE(ArtifactsInput!$N$7+1,6,7.2,8.4,9.6,10.8,12))+IF(Inputs!$B$3&gt;=117,F2606,0))/100))+MIN((Skills!S4*(1+((Inputs!$B$35+(ArtifactsInput!$M$7-ArtifactsInput!$M$7)*CHOOSE(ArtifactsInput!$N$7+1,6,7.2,8.4,9.6,10.8,12))+IF(Inputs!$B$3&gt;=117,F2606,0))/100)),MAX(0,Inputs!$B$44-((R2584-1)*Skills!D4))))/Inputs!$B$44),IF(Inputs!$B$39="pvp",MIN((Skills!S4*(1+((Inputs!$B$35+(ArtifactsInput!$M$7-ArtifactsInput!$M$7)*CHOOSE(ArtifactsInput!$N$7+1,6,7.2,8.4,9.6,10.8,12))+IF(Inputs!$B$3&gt;=117,F2606,0))/100)),15)/15,(Skills!S4*(1+((Inputs!$B$35+(ArtifactsInput!$M$7-ArtifactsInput!$M$7)*CHOOSE(ArtifactsInput!$N$7+1,6,7.2,8.4,9.6,10.8,12))+IF(Inputs!$B$3&gt;=117,F2606,0))/100))/Skills!D4)),0)+IF(C2585=TRUE,F2585*IF(AND(Inputs!$B$39&lt;&gt;"pvp",Inputs!$B$44&gt;0),(((R2585-1)*(Skills!S5*(1+((Inputs!$B$35+(ArtifactsInput!$M$7-ArtifactsInput!$M$7)*CHOOSE(ArtifactsInput!$N$7+1,6,7.2,8.4,9.6,10.8,12))+IF(Inputs!$B$3&gt;=117,F2606,0))/100))+MIN((Skills!S5*(1+((Inputs!$B$35+(ArtifactsInput!$M$7-ArtifactsInput!$M$7)*CHOOSE(ArtifactsInput!$N$7+1,6,7.2,8.4,9.6,10.8,12))+IF(Inputs!$B$3&gt;=117,F2606,0))/100)),MAX(0,Inputs!$B$44-((R2585-1)*Skills!D5))))/Inputs!$B$44),IF(Inputs!$B$39="pvp",MIN((Skills!S5*(1+((Inputs!$B$35+(ArtifactsInput!$M$7-ArtifactsInput!$M$7)*CHOOSE(ArtifactsInput!$N$7+1,6,7.2,8.4,9.6,10.8,12))+IF(Inputs!$B$3&gt;=117,F2606,0))/100)),15)/15,(Skills!S5*(1+((Inputs!$B$35+(ArtifactsInput!$M$7-ArtifactsInput!$M$7)*CHOOSE(ArtifactsInput!$N$7+1,6,7.2,8.4,9.6,10.8,12))+IF(Inputs!$B$3&gt;=117,F2606,0))/100))/Skills!D5)),0)+IF(C2591=TRUE,F2591*IF(AND(Inputs!$B$39&lt;&gt;"pvp",Inputs!$B$44&gt;0),(((R2591-1)*(Skills!S11*(1+((Inputs!$B$35+(ArtifactsInput!$M$7-ArtifactsInput!$M$7)*CHOOSE(ArtifactsInput!$N$7+1,6,7.2,8.4,9.6,10.8,12))+IF(Inputs!$B$3&gt;=117,F2606,0))/100))+MIN((Skills!S11*(1+((Inputs!$B$35+(ArtifactsInput!$M$7-ArtifactsInput!$M$7)*CHOOSE(ArtifactsInput!$N$7+1,6,7.2,8.4,9.6,10.8,12))+IF(Inputs!$B$3&gt;=117,F2606,0))/100)),MAX(0,Inputs!$B$44-((R2591-1)*Skills!D11))))/Inputs!$B$44),IF(Inputs!$B$39="pvp",MIN((Skills!S11*(1+((Inputs!$B$35+(ArtifactsInput!$M$7-ArtifactsInput!$M$7)*CHOOSE(ArtifactsInput!$N$7+1,6,7.2,8.4,9.6,10.8,12))+IF(Inputs!$B$3&gt;=117,F2606,0))/100)),15)/15,(Skills!S11*(1+((Inputs!$B$35+(ArtifactsInput!$M$7-ArtifactsInput!$M$7)*CHOOSE(ArtifactsInput!$N$7+1,6,7.2,8.4,9.6,10.8,12))+IF(Inputs!$B$3&gt;=117,F2606,0)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2594=TRUE,(1+F2594*IF(AND(Inputs!$B$39&lt;&gt;"pvp",Inputs!$B$44&gt;0),(((R2594-1)*(Skills!S14*(1+((Inputs!$B$35+(ArtifactsInput!$M$7-ArtifactsInput!$M$7)*CHOOSE(ArtifactsInput!$N$7+1,6,7.2,8.4,9.6,10.8,12))+IF(Inputs!$B$3&gt;=117,F2606,0))/100))+MIN((Skills!S14*(1+((Inputs!$B$35+(ArtifactsInput!$M$7-ArtifactsInput!$M$7)*CHOOSE(ArtifactsInput!$N$7+1,6,7.2,8.4,9.6,10.8,12))+IF(Inputs!$B$3&gt;=117,F2606,0))/100)),MAX(0,Inputs!$B$44-((R2594-1)*Skills!D14))))/Inputs!$B$44),IF(Inputs!$B$39="pvp",MIN((Skills!S14*(1+((Inputs!$B$35+(ArtifactsInput!$M$7-ArtifactsInput!$M$7)*CHOOSE(ArtifactsInput!$N$7+1,6,7.2,8.4,9.6,10.8,12))+IF(Inputs!$B$3&gt;=117,F2606,0))/100)),15)/15,(Skills!S14*(1+((Inputs!$B$35+(ArtifactsInput!$M$7-ArtifactsInput!$M$7)*CHOOSE(ArtifactsInput!$N$7+1,6,7.2,8.4,9.6,10.8,12))+IF(Inputs!$B$3&gt;=117,F2606,0))/100))/Skills!D14))/100),1)*IF(C2599=TRUE,(1+F2599*IF(AND(Inputs!$B$39&lt;&gt;"pvp",Inputs!$B$44&gt;0),(((R2599-1)*(Skills!S19*(1+((Inputs!$B$35+(ArtifactsInput!$M$7-ArtifactsInput!$M$7)*CHOOSE(ArtifactsInput!$N$7+1,6,7.2,8.4,9.6,10.8,12))+IF(Inputs!$B$3&gt;=117,F2606,0))/100))+MIN((Skills!S19*(1+((Inputs!$B$35+(ArtifactsInput!$M$7-ArtifactsInput!$M$7)*CHOOSE(ArtifactsInput!$N$7+1,6,7.2,8.4,9.6,10.8,12))+IF(Inputs!$B$3&gt;=117,F2606,0))/100)),MAX(0,Inputs!$B$44-((R2599-1)*Skills!D19))))/Inputs!$B$44),IF(Inputs!$B$39="pvp",MIN((Skills!S19*(1+((Inputs!$B$35+(ArtifactsInput!$M$7-ArtifactsInput!$M$7)*CHOOSE(ArtifactsInput!$N$7+1,6,7.2,8.4,9.6,10.8,12))+IF(Inputs!$B$3&gt;=117,F2606,0))/100)),15)/15,(Skills!S19*(1+((Inputs!$B$35+(ArtifactsInput!$M$7-ArtifactsInput!$M$7)*CHOOSE(ArtifactsInput!$N$7+1,6,7.2,8.4,9.6,10.8,12))+IF(Inputs!$B$3&gt;=117,F2606,0))/100))/Skills!D19))/100),1)</f>
        <v/>
      </c>
    </row>
    <row r="2610">
      <c r="A2610" t="inlineStr">
        <is>
          <t>Monster Damage Taken Bonus % (Holy Fountain)</t>
        </is>
      </c>
      <c r="B2610">
        <f>IF(Inputs!$B$3&gt;=68,20*IF(Inputs!$B$39="pvp",MIN((15*(1+((Inputs!$B$35+(ArtifactsInput!$M$7-ArtifactsInput!$M$7)*CHOOSE(ArtifactsInput!$N$7+1,6,7.2,8.4,9.6,10.8,12))+IF(Inputs!$B$3&gt;=117,F2606,0))/100)),15)/15,(15*(1+((Inputs!$B$35+(ArtifactsInput!$M$7-ArtifactsInput!$M$7)*CHOOSE(ArtifactsInput!$N$7+1,6,7.2,8.4,9.6,10.8,12))+IF(Inputs!$B$3&gt;=117,F2606,0))/100))/Skills!D10),0)</f>
        <v/>
      </c>
    </row>
    <row r="2611">
      <c r="A2611" t="inlineStr">
        <is>
          <t>Normal Monster Damage Bonus % (Holy Symbol)</t>
        </is>
      </c>
      <c r="B2611">
        <f>IF(C2592=TRUE,F2592*IF(AND(Inputs!$B$39&lt;&gt;"pvp",Inputs!$B$44&gt;0),(((R2592-1)*(Skills!S12*(1+((Inputs!$B$35+(ArtifactsInput!$M$7-ArtifactsInput!$M$7)*CHOOSE(ArtifactsInput!$N$7+1,6,7.2,8.4,9.6,10.8,12))+IF(Inputs!$B$3&gt;=117,F2606,0))/100))+MIN((Skills!S12*(1+((Inputs!$B$35+(ArtifactsInput!$M$7-ArtifactsInput!$M$7)*CHOOSE(ArtifactsInput!$N$7+1,6,7.2,8.4,9.6,10.8,12))+IF(Inputs!$B$3&gt;=117,F2606,0))/100)),MAX(0,Inputs!$B$44-((R2592-1)*Skills!D12))))/Inputs!$B$44),IF(Inputs!$B$39="pvp",MIN((Skills!S12*(1+((Inputs!$B$35+(ArtifactsInput!$M$7-ArtifactsInput!$M$7)*CHOOSE(ArtifactsInput!$N$7+1,6,7.2,8.4,9.6,10.8,12))+IF(Inputs!$B$3&gt;=117,F2606,0))/100)),15)/15,(Skills!S12*(1+((Inputs!$B$35+(ArtifactsInput!$M$7-ArtifactsInput!$M$7)*CHOOSE(ArtifactsInput!$N$7+1,6,7.2,8.4,9.6,10.8,12))+IF(Inputs!$B$3&gt;=117,F2606,0))/100))/Skills!D12)),0)</f>
        <v/>
      </c>
    </row>
    <row r="2612">
      <c r="A2612" t="inlineStr">
        <is>
          <t>Damage % Bonus (Holy Symbol - Damage Boost)</t>
        </is>
      </c>
      <c r="B2612">
        <f>Skills!O12</f>
        <v/>
      </c>
    </row>
    <row r="2613">
      <c r="A2613" t="inlineStr">
        <is>
          <t>Crit Damage % Bonus (Blood of the Divine)</t>
        </is>
      </c>
      <c r="B2613">
        <f>4*IF(C2600=TRUE,F2600,0)</f>
        <v/>
      </c>
    </row>
    <row r="2614">
      <c r="A2614" t="inlineStr">
        <is>
          <t>Attack Speed Bonus %</t>
        </is>
      </c>
      <c r="B2614">
        <f>IF(C2597=TRUE,F2597+(F2601-Calc!F21),0)+IF(Inputs!$B$3&gt;=134,15,0)</f>
        <v/>
      </c>
    </row>
    <row r="2615">
      <c r="A2615" t="inlineStr">
        <is>
          <t>Actions Per Second</t>
        </is>
      </c>
      <c r="B2615">
        <f>1+MIN(150,150*(1-(1-Inputs!$B$12/150)*(1-B2614/150)))/100</f>
        <v/>
      </c>
    </row>
    <row r="2616">
      <c r="A2616" t="inlineStr">
        <is>
          <t>Skill + Buff Cast Rate</t>
        </is>
      </c>
      <c r="B2616">
        <f>IF(AND(Inputs!$B$39&lt;&gt;"pvp",Inputs!$B$44&gt;0),SUMPRODUCT((Skills!E2:E27=TRUE)*(C2582:C2607=TRUE)*R2582:R2607)/Inputs!$B$44,SUMPRODUCT((Skills!E2:E27=TRUE)*(C2582:C2607=TRUE)*Q2582:Q2607))</f>
        <v/>
      </c>
    </row>
    <row r="2617">
      <c r="A2617" t="inlineStr">
        <is>
          <t>Big Bang Casts Per Second</t>
        </is>
      </c>
      <c r="B2617">
        <f>MAX(0,B2615-B2616)</f>
        <v/>
      </c>
    </row>
    <row r="2618">
      <c r="A2618" t="inlineStr">
        <is>
          <t>Defense % Bonus (Divine Protection)</t>
        </is>
      </c>
      <c r="B2618">
        <f>IF(C2593=TRUE,F2593*IF(AND(Inputs!$B$39&lt;&gt;"pvp",Inputs!$B$44&gt;0),(((R2593-1)*(Skills!S13*(1+((Inputs!$B$35+(ArtifactsInput!$M$7-ArtifactsInput!$M$7)*CHOOSE(ArtifactsInput!$N$7+1,6,7.2,8.4,9.6,10.8,12))+IF(Inputs!$B$3&gt;=117,F2606,0))/100))+MIN((Skills!S13*(1+((Inputs!$B$35+(ArtifactsInput!$M$7-ArtifactsInput!$M$7)*CHOOSE(ArtifactsInput!$N$7+1,6,7.2,8.4,9.6,10.8,12))+IF(Inputs!$B$3&gt;=117,F2606,0))/100)),MAX(0,Inputs!$B$44-((R2593-1)*Skills!D13))))/Inputs!$B$44),IF(Inputs!$B$39="pvp",MIN((Skills!S13*(1+((Inputs!$B$35+(ArtifactsInput!$M$7-ArtifactsInput!$M$7)*CHOOSE(ArtifactsInput!$N$7+1,6,7.2,8.4,9.6,10.8,12))+IF(Inputs!$B$3&gt;=117,F2606,0))/100)),15)/15,(Skills!S13*(1+((Inputs!$B$35+(ArtifactsInput!$M$7-ArtifactsInput!$M$7)*CHOOSE(ArtifactsInput!$N$7+1,6,7.2,8.4,9.6,10.8,12))+IF(Inputs!$B$3&gt;=117,F2606,0))/100))/Skills!D13)),0)</f>
        <v/>
      </c>
    </row>
    <row r="2619">
      <c r="A2619" t="inlineStr">
        <is>
          <t>Buff-Casting Startup Delay (s, fixed-duration only)</t>
        </is>
      </c>
      <c r="B2619">
        <f>IF(AND(Inputs!$B$39&lt;&gt;"pvp",Inputs!$B$44&gt;0),SUMPRODUCT((Skills!S2:S27&gt;0)*(Skills!E2:E27=TRUE)*(C2582:C2607=TRUE))/B2615,0)</f>
        <v/>
      </c>
    </row>
    <row r="2620">
      <c r="A2620" t="inlineStr">
        <is>
          <t>Boss-Only Total DPS (this block's swept value)</t>
        </is>
      </c>
      <c r="B2620">
        <f>SUM(S2582:S2607)</f>
        <v/>
      </c>
    </row>
    <row r="2621">
      <c r="A2621" t="inlineStr">
        <is>
          <t>Normal-Only Total DPS (this block's swept value)</t>
        </is>
      </c>
      <c r="B2621">
        <f>SUM(U2582:U2607)</f>
        <v/>
      </c>
    </row>
    <row r="2622">
      <c r="A2622" s="6" t="inlineStr">
        <is>
          <t>TOTAL DPS</t>
        </is>
      </c>
      <c r="B2622" s="6">
        <f>SUM(O2582:O2607)</f>
        <v/>
      </c>
    </row>
    <row r="2624">
      <c r="A2624" s="6" t="inlineStr">
        <is>
          <t>Stat: Horn Flute (Equip)</t>
        </is>
      </c>
    </row>
    <row r="2625">
      <c r="A2625" s="5" t="inlineStr">
        <is>
          <t>Key</t>
        </is>
      </c>
      <c r="B2625" s="5" t="inlineStr">
        <is>
          <t>Name</t>
        </is>
      </c>
      <c r="C2625" s="5" t="inlineStr">
        <is>
          <t>Unlocked</t>
        </is>
      </c>
      <c r="D2625" s="5" t="inlineStr">
        <is>
          <t>InputLevel</t>
        </is>
      </c>
      <c r="E2625" s="5" t="inlineStr">
        <is>
          <t>Factor</t>
        </is>
      </c>
      <c r="F2625" s="5" t="inlineStr">
        <is>
          <t>CoefficientPercent</t>
        </is>
      </c>
      <c r="G2625" s="5" t="inlineStr">
        <is>
          <t>EffectiveHits</t>
        </is>
      </c>
      <c r="H2625" s="5" t="inlineStr">
        <is>
          <t>ProcProbability</t>
        </is>
      </c>
      <c r="I2625" s="5" t="inlineStr">
        <is>
          <t>MapleHeroMultiplier</t>
        </is>
      </c>
      <c r="J2625" s="5" t="inlineStr">
        <is>
          <t>BaseDamage</t>
        </is>
      </c>
      <c r="K2625" s="5" t="inlineStr">
        <is>
          <t>BaseHitDamage</t>
        </is>
      </c>
      <c r="L2625" s="5" t="inlineStr">
        <is>
          <t>NonCritAvg</t>
        </is>
      </c>
      <c r="M2625" s="5" t="inlineStr">
        <is>
          <t>CritAvg</t>
        </is>
      </c>
      <c r="N2625" s="5" t="inlineStr">
        <is>
          <t>ExpectedDamage(perHit)</t>
        </is>
      </c>
      <c r="O2625" s="5" t="inlineStr">
        <is>
          <t>DPS</t>
        </is>
      </c>
      <c r="P2625" s="5" t="inlineStr">
        <is>
          <t>% of Total</t>
        </is>
      </c>
      <c r="R2625" t="inlineStr">
        <is>
          <t>helpers</t>
        </is>
      </c>
    </row>
    <row r="2626">
      <c r="A2626">
        <f>Skills!A2</f>
        <v/>
      </c>
      <c r="B2626">
        <f>Skills!B2</f>
        <v/>
      </c>
      <c r="C2626">
        <f>Inputs!$B$3&gt;=100</f>
        <v/>
      </c>
      <c r="D2626" t="inlineStr"/>
      <c r="E2626" t="inlineStr"/>
      <c r="F2626">
        <f>T2628+Skills!N2</f>
        <v/>
      </c>
      <c r="G2626">
        <f>Calc!G2</f>
        <v/>
      </c>
      <c r="H2626">
        <f>Calc!H2</f>
        <v/>
      </c>
      <c r="I2626">
        <f>IF(Skills!T2&lt;&gt;"",1+(Skills!T2/10)*($Z$3/1000)/100,1)</f>
        <v/>
      </c>
      <c r="J2626">
        <f>((Inputs!$B$6*(1+Inputs!$B$7/100))+(((Inputs!$B$13*(1+Inputs!$B$14/100))-(Inputs!$B$13*(1+Inputs!$B$14/100)))+0.25*(Inputs!$B$15-Inputs!$B$15))*(1+Inputs!$B$7/100))*(F2626/100)</f>
        <v/>
      </c>
      <c r="K2626">
        <f>J2626*(1+(((Inputs!$B$13+IF(Inputs!$B$3&gt;=35,(10*INDEX(FactorTable!$B$2:$Y$301,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2="TRIUMPH_FEATHER",IF(C2640=TRUE,F2640,0),0)/100)*(1+IF(C2651=TRUE,F2651,0)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2626)</f>
        <v/>
      </c>
      <c r="L2626">
        <f>K2626*(MIN(Inputs!$B$23+(F2646-Calc!F22),(Inputs!$B$24+IF(ArtifactsInput!$M$15,CHOOSE(ArtifactsInput!$N$15+1,25,30,35,40,45,50)/100*(Inputs!$B$12-Inputs!$B$12),0)))/100+(Inputs!$B$24+IF(ArtifactsInput!$M$15,CHOOSE(ArtifactsInput!$N$15+1,25,30,35,40,45,50)/100*(Inputs!$B$12-Inputs!$B$12),0))/100)/2</f>
        <v/>
      </c>
      <c r="M2626">
        <f>L2626*(1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26">
        <f>L2626*(1-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(1-Summary!$B$11)*S2626+Summary!$B$11*U2626</f>
        <v/>
      </c>
      <c r="P2626">
        <f>IF(B2666=0,0,O2626/B2666)</f>
        <v/>
      </c>
      <c r="Q2626">
        <f>IFERROR(1/(IF(Inputs!$B$39="pvp",15,MAX(0.1,Skills!D2-IF(Skills!E2=TRUE,Inputs!$B$33,0)))*(1-IF(AND(ArtifactsInput!$M$27,Inputs!$B$4="Chapter Hunt"),CHOOSE(ArtifactsInput!$N$27+1,20,24,28,32,36,40),0)/100)),0)</f>
        <v/>
      </c>
      <c r="R2626" t="n">
        <v>0</v>
      </c>
      <c r="S2626">
        <f>IF(C2626,(Skills!F2*N2626*B2661)*IF(Inputs!$B$39="pvp",1,1+(Inputs!$B$21+Skills!O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2626*(1-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26">
        <f>MAX(0,(Inputs!$B$3-100)*3)+Inputs!$B$29+Inputs!$B$30</f>
        <v/>
      </c>
      <c r="U2626">
        <f>IF(C2626,(Skills!F2*N2626*B2661)*IF(Inputs!$B$39="pvp",1,(1+(Inputs!$B$22+Skills!P2+B2655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Skills!A3</f>
        <v/>
      </c>
      <c r="B2627">
        <f>Skills!B3</f>
        <v/>
      </c>
      <c r="C2627">
        <f>Inputs!$B$3&gt;=15</f>
        <v/>
      </c>
      <c r="D2627">
        <f>IF(Skills!C3=1,60+Inputs!$B$26+Inputs!$B$30,IF(Skills!C3=2,90+Inputs!$B$27+Inputs!$B$30,IF(Skills!C3=3,120+Inputs!$B$28+Inputs!$B$30,MAX(0,(Inputs!$B$3-100)*3)+Inputs!$B$29+Inputs!$B$30)))</f>
        <v/>
      </c>
      <c r="E2627">
        <f>INDEX(FactorTable!$B$2:$Y$301, MATCH(ROUND(MIN(300,MAX(1,D2627)),0), FactorTable!$A$2:$A$301,0), Skills!L3+1)</f>
        <v/>
      </c>
      <c r="F2627">
        <f>IF(Skills!M3=TRUE,(Skills!K3/10)*(E2627/1000),Skills!K3/10)+Skills!N3</f>
        <v/>
      </c>
      <c r="G2627">
        <f>Calc!G3</f>
        <v/>
      </c>
      <c r="H2627">
        <f>Calc!H3</f>
        <v/>
      </c>
      <c r="I2627">
        <f>IF(Skills!T3&lt;&gt;"",1+(Skills!T3/10)*($Z$3/1000)/100,1)</f>
        <v/>
      </c>
      <c r="J2627" t="inlineStr"/>
      <c r="K2627" t="inlineStr"/>
      <c r="L2627" t="inlineStr"/>
      <c r="M2627" t="inlineStr"/>
      <c r="N2627" t="inlineStr"/>
      <c r="O2627">
        <f>(1-Summary!$B$11)*S2627+Summary!$B$11*U2627</f>
        <v/>
      </c>
      <c r="P2627">
        <f>IF(B2666=0,0,O2627/B2666)</f>
        <v/>
      </c>
      <c r="Q2627">
        <f>IFERROR(1/(IF(Inputs!$B$39="pvp",15,MAX(0.1,Skills!D3-IF(Skills!E3=TRUE,Inputs!$B$33,0)))*(1-IF(AND(ArtifactsInput!$M$27,Inputs!$B$4="Chapter Hunt"),CHOOSE(ArtifactsInput!$N$27+1,20,24,28,32,36,40),0)/100)),0)</f>
        <v/>
      </c>
      <c r="R2627">
        <f>IF(AND(Inputs!$B$39&lt;&gt;"pvp",Inputs!$B$44&gt;0),IF(Inputs!$B$44&lt;=0,0,(INT(Inputs!$B$44/(IF(Inputs!$B$39="pvp",15,MAX(0.1,Skills!D3-IF(Skills!E3=TRUE,Inputs!$B$33,0)))*(1-IF(AND(ArtifactsInput!$M$27,Inputs!$B$4="Chapter Hunt"),CHOOSE(ArtifactsInput!$N$27+1,20,24,28,32,36,40),0)/100)))+1)),0)</f>
        <v/>
      </c>
      <c r="S2627" t="n">
        <v>0</v>
      </c>
      <c r="T2627">
        <f>INDEX(FactorTable!$B$2:$Y$301, MATCH(ROUND(MIN(300,MAX(1,T2626)),0), FactorTable!$A$2:$A$301,0), 22)</f>
        <v/>
      </c>
      <c r="U2627" t="n">
        <v>0</v>
      </c>
    </row>
    <row r="2628">
      <c r="A2628">
        <f>Skills!A4</f>
        <v/>
      </c>
      <c r="B2628">
        <f>Skills!B4</f>
        <v/>
      </c>
      <c r="C2628">
        <f>Inputs!$B$3&gt;=38</f>
        <v/>
      </c>
      <c r="D2628">
        <f>IF(Skills!C4=1,60+Inputs!$B$26+Inputs!$B$30,IF(Skills!C4=2,90+Inputs!$B$27+Inputs!$B$30,IF(Skills!C4=3,120+Inputs!$B$28+Inputs!$B$30,MAX(0,(Inputs!$B$3-100)*3)+Inputs!$B$29+Inputs!$B$30)))</f>
        <v/>
      </c>
      <c r="E2628">
        <f>INDEX(FactorTable!$B$2:$Y$301, MATCH(ROUND(MIN(300,MAX(1,D2628)),0), FactorTable!$A$2:$A$301,0), Skills!L4+1)</f>
        <v/>
      </c>
      <c r="F2628">
        <f>IF(Skills!M4=TRUE,(Skills!K4/10)*(E2628/1000),Skills!K4/10)+Skills!N4</f>
        <v/>
      </c>
      <c r="G2628">
        <f>Calc!G4</f>
        <v/>
      </c>
      <c r="H2628">
        <f>Calc!H4</f>
        <v/>
      </c>
      <c r="I2628">
        <f>IF(Skills!T4&lt;&gt;"",1+(Skills!T4/10)*($Z$3/1000)/100,1)</f>
        <v/>
      </c>
      <c r="J2628" t="inlineStr"/>
      <c r="K2628" t="inlineStr"/>
      <c r="L2628" t="inlineStr"/>
      <c r="M2628" t="inlineStr"/>
      <c r="N2628" t="inlineStr"/>
      <c r="O2628">
        <f>(1-Summary!$B$11)*S2628+Summary!$B$11*U2628</f>
        <v/>
      </c>
      <c r="P2628">
        <f>IF(B2666=0,0,O2628/B2666)</f>
        <v/>
      </c>
      <c r="Q2628">
        <f>IFERROR(1/(IF(Inputs!$B$39="pvp",15,MAX(0.1,Skills!D4-IF(Skills!E4=TRUE,Inputs!$B$33,0)))*(1-IF(AND(ArtifactsInput!$M$27,Inputs!$B$4="Chapter Hunt"),CHOOSE(ArtifactsInput!$N$27+1,20,24,28,32,36,40),0)/100)),0)</f>
        <v/>
      </c>
      <c r="R2628">
        <f>IF(AND(Inputs!$B$39&lt;&gt;"pvp",Inputs!$B$44&gt;0),IF(Inputs!$B$44&lt;=0,0,(INT(Inputs!$B$44/(IF(Inputs!$B$39="pvp",15,MAX(0.1,Skills!D4-IF(Skills!E4=TRUE,Inputs!$B$33,0)))*(1-IF(AND(ArtifactsInput!$M$27,Inputs!$B$4="Chapter Hunt"),CHOOSE(ArtifactsInput!$N$27+1,20,24,28,32,36,40),0)/100)))+1)),0)</f>
        <v/>
      </c>
      <c r="S2628" t="n">
        <v>0</v>
      </c>
      <c r="T2628">
        <f>290*T2627/1000</f>
        <v/>
      </c>
      <c r="U2628" t="n">
        <v>0</v>
      </c>
    </row>
    <row r="2629">
      <c r="A2629">
        <f>Skills!A5</f>
        <v/>
      </c>
      <c r="B2629">
        <f>Skills!B5</f>
        <v/>
      </c>
      <c r="C2629">
        <f>Inputs!$B$3&gt;=40</f>
        <v/>
      </c>
      <c r="D2629">
        <f>IF(Skills!C5=1,60+Inputs!$B$26+Inputs!$B$30,IF(Skills!C5=2,90+Inputs!$B$27+Inputs!$B$30,IF(Skills!C5=3,120+Inputs!$B$28+Inputs!$B$30,MAX(0,(Inputs!$B$3-100)*3)+Inputs!$B$29+Inputs!$B$30)))</f>
        <v/>
      </c>
      <c r="E2629">
        <f>INDEX(FactorTable!$B$2:$Y$301, MATCH(ROUND(MIN(300,MAX(1,D2629)),0), FactorTable!$A$2:$A$301,0), Skills!L5+1)</f>
        <v/>
      </c>
      <c r="F2629">
        <f>IF(Skills!M5=TRUE,(Skills!K5/10)*(E2629/1000),Skills!K5/10)+Skills!N5</f>
        <v/>
      </c>
      <c r="G2629">
        <f>Calc!G5</f>
        <v/>
      </c>
      <c r="H2629">
        <f>Calc!H5</f>
        <v/>
      </c>
      <c r="I2629">
        <f>IF(Skills!T5&lt;&gt;"",1+(Skills!T5/10)*($Z$3/1000)/100,1)</f>
        <v/>
      </c>
      <c r="J2629" t="inlineStr"/>
      <c r="K2629" t="inlineStr"/>
      <c r="L2629" t="inlineStr"/>
      <c r="M2629" t="inlineStr"/>
      <c r="N2629" t="inlineStr"/>
      <c r="O2629">
        <f>(1-Summary!$B$11)*S2629+Summary!$B$11*U2629</f>
        <v/>
      </c>
      <c r="P2629">
        <f>IF(B2666=0,0,O2629/B2666)</f>
        <v/>
      </c>
      <c r="Q2629">
        <f>IFERROR(1/(IF(Inputs!$B$39="pvp",15,MAX(0.1,Skills!D5-IF(Skills!E5=TRUE,Inputs!$B$33,0)))*(1-IF(AND(ArtifactsInput!$M$27,Inputs!$B$4="Chapter Hunt"),CHOOSE(ArtifactsInput!$N$27+1,20,24,28,32,36,40),0)/100)),0)</f>
        <v/>
      </c>
      <c r="R2629">
        <f>IF(AND(Inputs!$B$39&lt;&gt;"pvp",Inputs!$B$44&gt;0),IF(Inputs!$B$44&lt;=0,0,(INT(Inputs!$B$44/(IF(Inputs!$B$39="pvp",15,MAX(0.1,Skills!D5-IF(Skills!E5=TRUE,Inputs!$B$33,0)))*(1-IF(AND(ArtifactsInput!$M$27,Inputs!$B$4="Chapter Hunt"),CHOOSE(ArtifactsInput!$N$27+1,20,24,28,32,36,40),0)/100)))+1)),0)</f>
        <v/>
      </c>
      <c r="S2629" t="n">
        <v>0</v>
      </c>
      <c r="U2629" t="n">
        <v>0</v>
      </c>
    </row>
    <row r="2630">
      <c r="A2630">
        <f>Skills!A6</f>
        <v/>
      </c>
      <c r="B2630">
        <f>Skills!B6</f>
        <v/>
      </c>
      <c r="C2630">
        <f>Inputs!$B$3&gt;=103</f>
        <v/>
      </c>
      <c r="D2630">
        <f>IF(Skills!C6=1,60+Inputs!$B$26+Inputs!$B$30,IF(Skills!C6=2,90+Inputs!$B$27+Inputs!$B$30,IF(Skills!C6=3,120+Inputs!$B$28+Inputs!$B$30,MAX(0,(Inputs!$B$3-100)*3)+Inputs!$B$29+Inputs!$B$30)))</f>
        <v/>
      </c>
      <c r="E2630">
        <f>INDEX(FactorTable!$B$2:$Y$301, MATCH(ROUND(MIN(300,MAX(1,D2630)),0), FactorTable!$A$2:$A$301,0), Skills!L6+1)</f>
        <v/>
      </c>
      <c r="F2630">
        <f>IF(Skills!M6=TRUE,(Skills!K6/10)*(E2630/1000),Skills!K6/10)+Skills!N6</f>
        <v/>
      </c>
      <c r="G2630">
        <f>Calc!G6</f>
        <v/>
      </c>
      <c r="H2630">
        <f>Calc!H6</f>
        <v/>
      </c>
      <c r="I2630">
        <f>IF(Skills!T6&lt;&gt;"",1+(Skills!T6/10)*($Z$3/1000)/100,1)</f>
        <v/>
      </c>
      <c r="J2630">
        <f>((Inputs!$B$6*(1+Inputs!$B$7/100))+(((Inputs!$B$13*(1+Inputs!$B$14/100))-(Inputs!$B$13*(1+Inputs!$B$14/100)))+0.25*(Inputs!$B$15-Inputs!$B$15))*(1+Inputs!$B$7/100))*(F2630/100)</f>
        <v/>
      </c>
      <c r="K2630">
        <f>J2630*(1+(((Inputs!$B$13+IF(Inputs!$B$3&gt;=35,(10*INDEX(FactorTable!$B$2:$Y$301,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6="TRIUMPH_FEATHER",IF(C2640=TRUE,F2640,0),0)/100)*(1+IF(C2651=TRUE,F2651,0)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2630)</f>
        <v/>
      </c>
      <c r="L2630">
        <f>K2630*(MIN(Inputs!$B$23+(F2646-Calc!F22),(Inputs!$B$24+IF(ArtifactsInput!$M$15,CHOOSE(ArtifactsInput!$N$15+1,25,30,35,40,45,50)/100*(Inputs!$B$12-Inputs!$B$12),0)))/100+(Inputs!$B$24+IF(ArtifactsInput!$M$15,CHOOSE(ArtifactsInput!$N$15+1,25,30,35,40,45,50)/100*(Inputs!$B$12-Inputs!$B$12),0))/100)/2</f>
        <v/>
      </c>
      <c r="M2630">
        <f>L2630*(1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0">
        <f>L2630*(1-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(1-Summary!$B$11)*S2630+Summary!$B$11*U2630</f>
        <v/>
      </c>
      <c r="P2630">
        <f>IF(B2666=0,0,O2630/B2666)</f>
        <v/>
      </c>
      <c r="Q2630">
        <f>IFERROR(1/(IF(Inputs!$B$39="pvp",15,MAX(0.1,Skills!D6-IF(Skills!E6=TRUE,Inputs!$B$33,0)))*(1-IF(AND(ArtifactsInput!$M$27,Inputs!$B$4="Chapter Hunt"),CHOOSE(ArtifactsInput!$N$27+1,20,24,28,32,36,40),0)/100)),0)</f>
        <v/>
      </c>
      <c r="R2630">
        <f>IF(AND(Inputs!$B$39&lt;&gt;"pvp",Inputs!$B$44&gt;0),IF(MAX(0,Inputs!$B$44-B2663)&lt;=0,0,(INT(MAX(0,Inputs!$B$44-B2663)/(IF(Inputs!$B$39="pvp",15,MAX(0.1,Skills!D6-IF(Skills!E6=TRUE,Inputs!$B$33,0)))*(1-IF(AND(ArtifactsInput!$M$27,Inputs!$B$4="Chapter Hunt"),CHOOSE(ArtifactsInput!$N$27+1,20,24,28,32,36,40),0)/100)))+1)),0)</f>
        <v/>
      </c>
      <c r="S2630">
        <f>IF(C2630,(H2630*N2630*IF(AND(Inputs!$B$39&lt;&gt;"pvp",Inputs!$B$44&gt;0),((Skills!F6*((R2630-1)*IF(Skills!G6&gt;0,Skills!H6/Skills!G6,1)+IF(Skills!G6&gt;0,MIN(Skills!H6,MAX(0,MAX(0,Inputs!$B$44-B2663)-((R2630-1)*(IF(Inputs!$B$39="pvp",15,MAX(0.1,Skills!D6-IF(Skills!E6=TRUE,Inputs!$B$33,0)))*(1-IF(AND(ArtifactsInput!$M$27,Inputs!$B$4="Chapter Hunt"),CHOOSE(ArtifactsInput!$N$27+1,20,24,28,32,36,40),0)/100)))))/Skills!G6,1)))/Inputs!$B$44),G2630*Q2630))*IF(Inputs!$B$39="pvp",1,1+(Inputs!$B$21+Skills!O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2630*(1-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0">
        <f>IF(C2630,(H2630*N2630*IF(AND(Inputs!$B$39&lt;&gt;"pvp",Inputs!$B$44&gt;0),((Skills!F6*((R2630-1)*IF(Skills!G6&gt;0,Skills!H6/Skills!G6,1)+IF(Skills!G6&gt;0,MIN(Skills!H6,MAX(0,MAX(0,Inputs!$B$44-B2663)-((R2630-1)*(IF(Inputs!$B$39="pvp",15,MAX(0.1,Skills!D6-IF(Skills!E6=TRUE,Inputs!$B$33,0)))*(1-IF(AND(ArtifactsInput!$M$27,Inputs!$B$4="Chapter Hunt"),CHOOSE(ArtifactsInput!$N$27+1,20,24,28,32,36,40),0)/100)))))/Skills!G6,1)))/Inputs!$B$44),G2630*Q2630))*IF(Inputs!$B$39="pvp",1,(1+(Inputs!$B$22+Skills!P6+B2655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Skills!A7</f>
        <v/>
      </c>
      <c r="B2631">
        <f>Skills!B7</f>
        <v/>
      </c>
      <c r="C2631">
        <f>Inputs!$B$3&gt;=122</f>
        <v/>
      </c>
      <c r="D2631">
        <f>IF(Skills!C7=1,60+Inputs!$B$26+Inputs!$B$30,IF(Skills!C7=2,90+Inputs!$B$27+Inputs!$B$30,IF(Skills!C7=3,120+Inputs!$B$28+Inputs!$B$30,MAX(0,(Inputs!$B$3-100)*3)+Inputs!$B$29+Inputs!$B$30)))</f>
        <v/>
      </c>
      <c r="E2631">
        <f>INDEX(FactorTable!$B$2:$Y$301, MATCH(ROUND(MIN(300,MAX(1,D2631)),0), FactorTable!$A$2:$A$301,0), Skills!L7+1)</f>
        <v/>
      </c>
      <c r="F2631">
        <f>IF(Skills!M7=TRUE,(Skills!K7/10)*(E2631/1000),Skills!K7/10)+Skills!N7</f>
        <v/>
      </c>
      <c r="G2631">
        <f>Calc!G7</f>
        <v/>
      </c>
      <c r="H2631">
        <f>Calc!H7</f>
        <v/>
      </c>
      <c r="I2631">
        <f>IF(Skills!T7&lt;&gt;"",1+(Skills!T7/10)*($Z$3/1000)/100,1)</f>
        <v/>
      </c>
      <c r="J2631">
        <f>((Inputs!$B$6*(1+Inputs!$B$7/100))+(((Inputs!$B$13*(1+Inputs!$B$14/100))-(Inputs!$B$13*(1+Inputs!$B$14/100)))+0.25*(Inputs!$B$15-Inputs!$B$15))*(1+Inputs!$B$7/100))*(F2631/100)</f>
        <v/>
      </c>
      <c r="K2631">
        <f>J2631*(1+(((Inputs!$B$13+IF(Inputs!$B$3&gt;=35,(10*INDEX(FactorTable!$B$2:$Y$301,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7="TRIUMPH_FEATHER",IF(C2640=TRUE,F2640,0),0)/100)*(1+IF(C2651=TRUE,F2651,0)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2631)</f>
        <v/>
      </c>
      <c r="L2631">
        <f>K2631*(MIN(Inputs!$B$23+(F2646-Calc!F22),(Inputs!$B$24+IF(ArtifactsInput!$M$15,CHOOSE(ArtifactsInput!$N$15+1,25,30,35,40,45,50)/100*(Inputs!$B$12-Inputs!$B$12),0)))/100+(Inputs!$B$24+IF(ArtifactsInput!$M$15,CHOOSE(ArtifactsInput!$N$15+1,25,30,35,40,45,50)/100*(Inputs!$B$12-Inputs!$B$12),0))/100)/2</f>
        <v/>
      </c>
      <c r="M2631">
        <f>L2631*(1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1">
        <f>L2631*(1-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1">
        <f>(1-Summary!$B$11)*S2631+Summary!$B$11*U2631</f>
        <v/>
      </c>
      <c r="P2631">
        <f>IF(B2666=0,0,O2631/B2666)</f>
        <v/>
      </c>
      <c r="Q2631">
        <f>IFERROR(1/(IF(Inputs!$B$39="pvp",15,MAX(0.1,Skills!D7-IF(Skills!E6=TRUE,Inputs!$B$33,0)))*(1-IF(AND(ArtifactsInput!$M$27,Inputs!$B$4="Chapter Hunt"),CHOOSE(ArtifactsInput!$N$27+1,20,24,28,32,36,40),0)/100)),0)</f>
        <v/>
      </c>
      <c r="R2631">
        <f>IF(AND(Inputs!$B$39&lt;&gt;"pvp",Inputs!$B$44&gt;0),IF(MAX(0,Inputs!$B$44-B2663)&lt;=0,0,(INT(MAX(0,Inputs!$B$44-B2663)/(IF(Inputs!$B$39="pvp",15,MAX(0.1,Skills!D7-IF(Skills!E6=TRUE,Inputs!$B$33,0)))*(1-IF(AND(ArtifactsInput!$M$27,Inputs!$B$4="Chapter Hunt"),CHOOSE(ArtifactsInput!$N$27+1,20,24,28,32,36,40),0)/100)))+1)),0)</f>
        <v/>
      </c>
      <c r="S2631">
        <f>IF(C2631,H2631*N2631*IF(AND(Inputs!$B$39&lt;&gt;"pvp",Inputs!$B$44&gt;0),((Skills!F7*((R2631-1)*IF(Skills!G7&gt;0,Skills!H7/Skills!G7,1)+IF(Skills!G7&gt;0,MIN(Skills!H7,MAX(0,MAX(0,Inputs!$B$44-B2663)-((R2631-1)*(IF(Inputs!$B$39="pvp",15,MAX(0.1,Skills!D7-IF(Skills!E6=TRUE,Inputs!$B$33,0)))*(1-IF(AND(ArtifactsInput!$M$27,Inputs!$B$4="Chapter Hunt"),CHOOSE(ArtifactsInput!$N$27+1,20,24,28,32,36,40),0)/100)))))/Skills!G7,1)))/Inputs!$B$44),G2631*Q2631)*IF(Inputs!$B$39="pvp",1,1+(Inputs!$B$21+Skills!O7+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2631*(1-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1" t="n">
        <v>0</v>
      </c>
    </row>
    <row r="2632">
      <c r="A2632">
        <f>Skills!A8</f>
        <v/>
      </c>
      <c r="B2632">
        <f>Skills!B8</f>
        <v/>
      </c>
      <c r="C2632">
        <f>Inputs!$B$3&gt;=105</f>
        <v/>
      </c>
      <c r="D2632">
        <f>IF(Skills!C8=1,60+Inputs!$B$26+Inputs!$B$30,IF(Skills!C8=2,90+Inputs!$B$27+Inputs!$B$30,IF(Skills!C8=3,120+Inputs!$B$28+Inputs!$B$30,MAX(0,(Inputs!$B$3-100)*3)+Inputs!$B$29+Inputs!$B$30)))</f>
        <v/>
      </c>
      <c r="E2632">
        <f>INDEX(FactorTable!$B$2:$Y$301, MATCH(ROUND(MIN(300,MAX(1,D2632)),0), FactorTable!$A$2:$A$301,0), Skills!L8+1)</f>
        <v/>
      </c>
      <c r="F2632">
        <f>IF(Skills!M8=TRUE,(Skills!K8/10)*(E2632/1000),Skills!K8/10)+Skills!N8</f>
        <v/>
      </c>
      <c r="G2632">
        <f>Calc!G8</f>
        <v/>
      </c>
      <c r="H2632">
        <f>Calc!H8</f>
        <v/>
      </c>
      <c r="I2632">
        <f>IF(Skills!T8&lt;&gt;"",1+(Skills!T8/10)*($Z$3/1000)/100,1)</f>
        <v/>
      </c>
      <c r="J2632">
        <f>((Inputs!$B$6*(1+Inputs!$B$7/100))+(((Inputs!$B$13*(1+Inputs!$B$14/100))-(Inputs!$B$13*(1+Inputs!$B$14/100)))+0.25*(Inputs!$B$15-Inputs!$B$15))*(1+Inputs!$B$7/100))*(F2632/100)</f>
        <v/>
      </c>
      <c r="K2632">
        <f>J2632*(1+(((Inputs!$B$13+IF(Inputs!$B$3&gt;=35,(10*INDEX(FactorTable!$B$2:$Y$301,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8="TRIUMPH_FEATHER",IF(C2640=TRUE,F2640,0),0)/100)*(1+IF(C2651=TRUE,F2651,0)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2632)</f>
        <v/>
      </c>
      <c r="L2632">
        <f>K2632*(MIN(Inputs!$B$23+(F2646-Calc!F22),(Inputs!$B$24+IF(ArtifactsInput!$M$15,CHOOSE(ArtifactsInput!$N$15+1,25,30,35,40,45,50)/100*(Inputs!$B$12-Inputs!$B$12),0)))/100+(Inputs!$B$24+IF(ArtifactsInput!$M$15,CHOOSE(ArtifactsInput!$N$15+1,25,30,35,40,45,50)/100*(Inputs!$B$12-Inputs!$B$12),0))/100)/2</f>
        <v/>
      </c>
      <c r="M2632">
        <f>L2632*(1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2">
        <f>L2632*(1-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(1-Summary!$B$11)*S2632+Summary!$B$11*U2632</f>
        <v/>
      </c>
      <c r="P2632">
        <f>IF(B2666=0,0,O2632/B2666)</f>
        <v/>
      </c>
      <c r="Q2632">
        <f>IFERROR(1/(IF(Inputs!$B$39="pvp",15,MAX(0.1,Skills!D8-IF(Skills!E8=TRUE,Inputs!$B$33,0)))*(1-IF(AND(ArtifactsInput!$M$27,Inputs!$B$4="Chapter Hunt"),CHOOSE(ArtifactsInput!$N$27+1,20,24,28,32,36,40),0)/100)),0)</f>
        <v/>
      </c>
      <c r="R2632">
        <f>IF(AND(Inputs!$B$39&lt;&gt;"pvp",Inputs!$B$44&gt;0),IF(MAX(0,Inputs!$B$44-B2663)&lt;=0,0,(INT(MAX(0,Inputs!$B$44-B2663)/(IF(Inputs!$B$39="pvp",15,MAX(0.1,Skills!D8-IF(Skills!E8=TRUE,Inputs!$B$33,0)))*(1-IF(AND(ArtifactsInput!$M$27,Inputs!$B$4="Chapter Hunt"),CHOOSE(ArtifactsInput!$N$27+1,20,24,28,32,36,40),0)/100)))+1)),0)</f>
        <v/>
      </c>
      <c r="S2632">
        <f>IF(C2632,(H2632*N2632*IF(AND(Inputs!$B$39&lt;&gt;"pvp",Inputs!$B$44&gt;0),((Skills!F8*((R2632-1)*IF(Skills!G8&gt;0,Skills!H8/Skills!G8,1)+IF(Skills!G8&gt;0,MIN(Skills!H8,MAX(0,MAX(0,Inputs!$B$44-B2663)-((R2632-1)*(IF(Inputs!$B$39="pvp",15,MAX(0.1,Skills!D8-IF(Skills!E8=TRUE,Inputs!$B$33,0)))*(1-IF(AND(ArtifactsInput!$M$27,Inputs!$B$4="Chapter Hunt"),CHOOSE(ArtifactsInput!$N$27+1,20,24,28,32,36,40),0)/100)))))/Skills!G8,1)))/Inputs!$B$44),G2632*Q2632))*IF(Inputs!$B$39="pvp",1,1+(Inputs!$B$21+Skills!O8+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2632*(1-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2">
        <f>IF(C2632,(H2632*N2632*IF(AND(Inputs!$B$39&lt;&gt;"pvp",Inputs!$B$44&gt;0),((Skills!F8*((R2632-1)*IF(Skills!G8&gt;0,Skills!H8/Skills!G8,1)+IF(Skills!G8&gt;0,MIN(Skills!H8,MAX(0,MAX(0,Inputs!$B$44-B2663)-((R2632-1)*(IF(Inputs!$B$39="pvp",15,MAX(0.1,Skills!D8-IF(Skills!E8=TRUE,Inputs!$B$33,0)))*(1-IF(AND(ArtifactsInput!$M$27,Inputs!$B$4="Chapter Hunt"),CHOOSE(ArtifactsInput!$N$27+1,20,24,28,32,36,40),0)/100)))))/Skills!G8,1)))/Inputs!$B$44),G2632*Q2632))*IF(Inputs!$B$39="pvp",1,(1+(Inputs!$B$22+Skills!P8+B2655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Skills!A9</f>
        <v/>
      </c>
      <c r="B2633">
        <f>Skills!B9</f>
        <v/>
      </c>
      <c r="C2633">
        <f>Inputs!$B$3&gt;=115</f>
        <v/>
      </c>
      <c r="D2633">
        <f>IF(Skills!C9=1,60+Inputs!$B$26+Inputs!$B$30,IF(Skills!C9=2,90+Inputs!$B$27+Inputs!$B$30,IF(Skills!C9=3,120+Inputs!$B$28+Inputs!$B$30,MAX(0,(Inputs!$B$3-100)*3)+Inputs!$B$29+Inputs!$B$30)))</f>
        <v/>
      </c>
      <c r="E2633">
        <f>INDEX(FactorTable!$B$2:$Y$301, MATCH(ROUND(MIN(300,MAX(1,D2633)),0), FactorTable!$A$2:$A$301,0), Skills!L9+1)</f>
        <v/>
      </c>
      <c r="F2633">
        <f>IF(Skills!M9=TRUE,(Skills!K9/10)*(E2633/1000),Skills!K9/10)+Skills!N9</f>
        <v/>
      </c>
      <c r="G2633">
        <f>Calc!G9</f>
        <v/>
      </c>
      <c r="H2633">
        <f>Calc!H9</f>
        <v/>
      </c>
      <c r="I2633">
        <f>IF(Skills!T9&lt;&gt;"",1+(Skills!T9/10)*($Z$3/1000)/100,1)</f>
        <v/>
      </c>
      <c r="J2633">
        <f>((Inputs!$B$6*(1+Inputs!$B$7/100))+(((Inputs!$B$13*(1+Inputs!$B$14/100))-(Inputs!$B$13*(1+Inputs!$B$14/100)))+0.25*(Inputs!$B$15-Inputs!$B$15))*(1+Inputs!$B$7/100))*(F2633/100)</f>
        <v/>
      </c>
      <c r="K2633">
        <f>J2633*(1+(((Inputs!$B$13+IF(Inputs!$B$3&gt;=35,(10*INDEX(FactorTable!$B$2:$Y$301,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9="TRIUMPH_FEATHER",IF(C2640=TRUE,F2640,0),0)/100)*(1+IF(C2651=TRUE,F2651,0)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2633)</f>
        <v/>
      </c>
      <c r="L2633">
        <f>K2633*(MIN(Inputs!$B$23+(F2646-Calc!F22),(Inputs!$B$24+IF(ArtifactsInput!$M$15,CHOOSE(ArtifactsInput!$N$15+1,25,30,35,40,45,50)/100*(Inputs!$B$12-Inputs!$B$12),0)))/100+(Inputs!$B$24+IF(ArtifactsInput!$M$15,CHOOSE(ArtifactsInput!$N$15+1,25,30,35,40,45,50)/100*(Inputs!$B$12-Inputs!$B$12),0))/100)/2</f>
        <v/>
      </c>
      <c r="M2633">
        <f>L2633*(1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3">
        <f>L2633*(1-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(1-Summary!$B$11)*S2633+Summary!$B$11*U2633</f>
        <v/>
      </c>
      <c r="P2633">
        <f>IF(B2666=0,0,O2633/B2666)</f>
        <v/>
      </c>
      <c r="Q2633">
        <f>IFERROR(1/(IF(Inputs!$B$39="pvp",15,MAX(0.1,Skills!D9-IF(Skills!E9=TRUE,Inputs!$B$33,0)))*(1-IF(AND(ArtifactsInput!$M$27,Inputs!$B$4="Chapter Hunt"),CHOOSE(ArtifactsInput!$N$27+1,20,24,28,32,36,40),0)/100)),0)</f>
        <v/>
      </c>
      <c r="R2633">
        <f>IF(AND(Inputs!$B$39&lt;&gt;"pvp",Inputs!$B$44&gt;0),IF(MAX(0,Inputs!$B$44-B2663)&lt;=0,0,(INT(MAX(0,Inputs!$B$44-B2663)/(IF(Inputs!$B$39="pvp",15,MAX(0.1,Skills!D9-IF(Skills!E9=TRUE,Inputs!$B$33,0)))*(1-IF(AND(ArtifactsInput!$M$27,Inputs!$B$4="Chapter Hunt"),CHOOSE(ArtifactsInput!$N$27+1,20,24,28,32,36,40),0)/100)))+1)),0)</f>
        <v/>
      </c>
      <c r="S2633">
        <f>IF(C2633,(H2633*N2633*IF(AND(Inputs!$B$39&lt;&gt;"pvp",Inputs!$B$44&gt;0),((Skills!F9*((R2633-1)*IF(Skills!G9&gt;0,Skills!H9/Skills!G9,1)+IF(Skills!G9&gt;0,MIN(Skills!H9,MAX(0,MAX(0,Inputs!$B$44-B2663)-((R2633-1)*(IF(Inputs!$B$39="pvp",15,MAX(0.1,Skills!D9-IF(Skills!E9=TRUE,Inputs!$B$33,0)))*(1-IF(AND(ArtifactsInput!$M$27,Inputs!$B$4="Chapter Hunt"),CHOOSE(ArtifactsInput!$N$27+1,20,24,28,32,36,40),0)/100)))))/Skills!G9,1)))/Inputs!$B$44),G2633*Q2633))*IF(Inputs!$B$39="pvp",1,1+(Inputs!$B$21+Skills!O9+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3">
        <f>IF(C2633,(H2633*N2633*IF(AND(Inputs!$B$39&lt;&gt;"pvp",Inputs!$B$44&gt;0),((Skills!F9*((R2633-1)*IF(Skills!G9&gt;0,Skills!H9/Skills!G9,1)+IF(Skills!G9&gt;0,MIN(Skills!H9,MAX(0,MAX(0,Inputs!$B$44-B2663)-((R2633-1)*(IF(Inputs!$B$39="pvp",15,MAX(0.1,Skills!D9-IF(Skills!E9=TRUE,Inputs!$B$33,0)))*(1-IF(AND(ArtifactsInput!$M$27,Inputs!$B$4="Chapter Hunt"),CHOOSE(ArtifactsInput!$N$27+1,20,24,28,32,36,40),0)/100)))))/Skills!G9,1)))/Inputs!$B$44),G2633*Q2633))*IF(Inputs!$B$39="pvp",1,(1+(Inputs!$B$22+Skills!P9+B2655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Skills!A10</f>
        <v/>
      </c>
      <c r="B2634">
        <f>Skills!B10</f>
        <v/>
      </c>
      <c r="C2634">
        <f>Inputs!$B$3&gt;=66</f>
        <v/>
      </c>
      <c r="D2634">
        <f>IF(Skills!C10=1,60+Inputs!$B$26+Inputs!$B$30,IF(Skills!C10=2,90+Inputs!$B$27+Inputs!$B$30,IF(Skills!C10=3,120+Inputs!$B$28+Inputs!$B$30,MAX(0,(Inputs!$B$3-100)*3)+Inputs!$B$29+Inputs!$B$30)))</f>
        <v/>
      </c>
      <c r="E2634">
        <f>INDEX(FactorTable!$B$2:$Y$301, MATCH(ROUND(MIN(300,MAX(1,D2634)),0), FactorTable!$A$2:$A$301,0), Skills!L10+1)</f>
        <v/>
      </c>
      <c r="F2634" t="n">
        <v>0</v>
      </c>
      <c r="G2634">
        <f>Calc!G10</f>
        <v/>
      </c>
      <c r="H2634">
        <f>Calc!H10</f>
        <v/>
      </c>
      <c r="I2634">
        <f>IF(Skills!T10&lt;&gt;"",1+(Skills!T10/10)*($Z$3/1000)/100,1)</f>
        <v/>
      </c>
      <c r="J2634" t="inlineStr"/>
      <c r="K2634" t="inlineStr"/>
      <c r="L2634" t="inlineStr"/>
      <c r="M2634" t="inlineStr"/>
      <c r="N2634" t="inlineStr"/>
      <c r="O2634">
        <f>(1-Summary!$B$11)*S2634+Summary!$B$11*U2634</f>
        <v/>
      </c>
      <c r="P2634">
        <f>IF(B2666=0,0,O2634/B2666)</f>
        <v/>
      </c>
      <c r="Q2634">
        <f>IFERROR(1/(IF(Inputs!$B$39="pvp",15,MAX(0.1,Skills!D10-IF(Skills!E10=TRUE,Inputs!$B$33,0)))*(1-IF(AND(ArtifactsInput!$M$27,Inputs!$B$4="Chapter Hunt"),CHOOSE(ArtifactsInput!$N$27+1,20,24,28,32,36,40),0)/100)),0)</f>
        <v/>
      </c>
      <c r="R2634">
        <f>IF(AND(Inputs!$B$39&lt;&gt;"pvp",Inputs!$B$44&gt;0),IF(MAX(0,Inputs!$B$44-B2663)&lt;=0,0,(INT(MAX(0,Inputs!$B$44-B2663)/(IF(Inputs!$B$39="pvp",15,MAX(0.1,Skills!D10-IF(Skills!E10=TRUE,Inputs!$B$33,0)))*(1-IF(AND(ArtifactsInput!$M$27,Inputs!$B$4="Chapter Hunt"),CHOOSE(ArtifactsInput!$N$27+1,20,24,28,32,36,40),0)/100)))+1)),0)</f>
        <v/>
      </c>
      <c r="S2634" t="n">
        <v>0</v>
      </c>
      <c r="U2634" t="n">
        <v>0</v>
      </c>
    </row>
    <row r="2635">
      <c r="A2635">
        <f>Skills!A11</f>
        <v/>
      </c>
      <c r="B2635">
        <f>Skills!B11</f>
        <v/>
      </c>
      <c r="C2635">
        <f>Inputs!$B$3&gt;=69</f>
        <v/>
      </c>
      <c r="D2635">
        <f>IF(Skills!C11=1,60+Inputs!$B$26+Inputs!$B$30,IF(Skills!C11=2,90+Inputs!$B$27+Inputs!$B$30,IF(Skills!C11=3,120+Inputs!$B$28+Inputs!$B$30,MAX(0,(Inputs!$B$3-100)*3)+Inputs!$B$29+Inputs!$B$30)))</f>
        <v/>
      </c>
      <c r="E2635">
        <f>INDEX(FactorTable!$B$2:$Y$301, MATCH(ROUND(MIN(300,MAX(1,D2635)),0), FactorTable!$A$2:$A$301,0), Skills!L11+1)</f>
        <v/>
      </c>
      <c r="F2635">
        <f>IF(Skills!M11=TRUE,(Skills!K11/10)*(E2635/1000),Skills!K11/10)+Skills!N11</f>
        <v/>
      </c>
      <c r="G2635">
        <f>Calc!G11</f>
        <v/>
      </c>
      <c r="H2635">
        <f>Calc!H11</f>
        <v/>
      </c>
      <c r="I2635">
        <f>IF(Skills!T11&lt;&gt;"",1+(Skills!T11/10)*($Z$3/1000)/100,1)</f>
        <v/>
      </c>
      <c r="J2635" t="inlineStr"/>
      <c r="K2635" t="inlineStr"/>
      <c r="L2635" t="inlineStr"/>
      <c r="M2635" t="inlineStr"/>
      <c r="N2635" t="inlineStr"/>
      <c r="O2635">
        <f>(1-Summary!$B$11)*S2635+Summary!$B$11*U2635</f>
        <v/>
      </c>
      <c r="P2635">
        <f>IF(B2666=0,0,O2635/B2666)</f>
        <v/>
      </c>
      <c r="Q2635">
        <f>IFERROR(1/(IF(Inputs!$B$39="pvp",15,MAX(0.1,Skills!D11-IF(Skills!E11=TRUE,Inputs!$B$33,0)))*(1-IF(AND(ArtifactsInput!$M$27,Inputs!$B$4="Chapter Hunt"),CHOOSE(ArtifactsInput!$N$27+1,20,24,28,32,36,40),0)/100)),0)</f>
        <v/>
      </c>
      <c r="R2635">
        <f>IF(AND(Inputs!$B$39&lt;&gt;"pvp",Inputs!$B$44&gt;0),IF(Inputs!$B$44&lt;=0,0,(INT(Inputs!$B$44/(IF(Inputs!$B$39="pvp",15,MAX(0.1,Skills!D11-IF(Skills!E11=TRUE,Inputs!$B$33,0)))*(1-IF(AND(ArtifactsInput!$M$27,Inputs!$B$4="Chapter Hunt"),CHOOSE(ArtifactsInput!$N$27+1,20,24,28,32,36,40),0)/100)))+1)),0)</f>
        <v/>
      </c>
      <c r="S2635" t="n">
        <v>0</v>
      </c>
      <c r="U2635" t="n">
        <v>0</v>
      </c>
    </row>
    <row r="2636">
      <c r="A2636">
        <f>Skills!A12</f>
        <v/>
      </c>
      <c r="B2636">
        <f>Skills!B12</f>
        <v/>
      </c>
      <c r="C2636">
        <f>Inputs!$B$3&gt;=72</f>
        <v/>
      </c>
      <c r="D2636">
        <f>IF(Skills!C12=1,60+Inputs!$B$26+Inputs!$B$30,IF(Skills!C12=2,90+Inputs!$B$27+Inputs!$B$30,IF(Skills!C12=3,120+Inputs!$B$28+Inputs!$B$30,MAX(0,(Inputs!$B$3-100)*3)+Inputs!$B$29+Inputs!$B$30)))</f>
        <v/>
      </c>
      <c r="E2636">
        <f>INDEX(FactorTable!$B$2:$Y$301, MATCH(ROUND(MIN(300,MAX(1,D2636)),0), FactorTable!$A$2:$A$301,0), Skills!L12+1)</f>
        <v/>
      </c>
      <c r="F2636">
        <f>IF(Skills!M12=TRUE,(Skills!K12/10)*(E2636/1000),Skills!K12/10)+Skills!N12</f>
        <v/>
      </c>
      <c r="G2636">
        <f>Calc!G12</f>
        <v/>
      </c>
      <c r="H2636">
        <f>Calc!H12</f>
        <v/>
      </c>
      <c r="I2636">
        <f>IF(Skills!T12&lt;&gt;"",1+(Skills!T12/10)*($Z$3/1000)/100,1)</f>
        <v/>
      </c>
      <c r="J2636" t="inlineStr"/>
      <c r="K2636" t="inlineStr"/>
      <c r="L2636" t="inlineStr"/>
      <c r="M2636" t="inlineStr"/>
      <c r="N2636" t="inlineStr"/>
      <c r="O2636">
        <f>(1-Summary!$B$11)*S2636+Summary!$B$11*U2636</f>
        <v/>
      </c>
      <c r="P2636">
        <f>IF(B2666=0,0,O2636/B2666)</f>
        <v/>
      </c>
      <c r="Q2636">
        <f>IFERROR(1/(IF(Inputs!$B$39="pvp",15,MAX(0.1,Skills!D12-IF(Skills!E12=TRUE,Inputs!$B$33,0)))*(1-IF(AND(ArtifactsInput!$M$27,Inputs!$B$4="Chapter Hunt"),CHOOSE(ArtifactsInput!$N$27+1,20,24,28,32,36,40),0)/100)),0)</f>
        <v/>
      </c>
      <c r="R2636">
        <f>IF(AND(Inputs!$B$39&lt;&gt;"pvp",Inputs!$B$44&gt;0),IF(MAX(0,Inputs!$B$44-B2663)&lt;=0,0,(INT(MAX(0,Inputs!$B$44-B2663)/(IF(Inputs!$B$39="pvp",15,MAX(0.1,Skills!D12-IF(Skills!E12=TRUE,Inputs!$B$33,0)))*(1-IF(AND(ArtifactsInput!$M$27,Inputs!$B$4="Chapter Hunt"),CHOOSE(ArtifactsInput!$N$27+1,20,24,28,32,36,40),0)/100)))+1)),0)</f>
        <v/>
      </c>
      <c r="S2636" t="n">
        <v>0</v>
      </c>
      <c r="U2636" t="n">
        <v>0</v>
      </c>
    </row>
    <row r="2637">
      <c r="A2637">
        <f>Skills!A13</f>
        <v/>
      </c>
      <c r="B2637">
        <f>Skills!B13</f>
        <v/>
      </c>
      <c r="C2637">
        <f>Inputs!$B$3&gt;=60</f>
        <v/>
      </c>
      <c r="D2637">
        <f>IF(Skills!C13=1,60+Inputs!$B$26+Inputs!$B$30,IF(Skills!C13=2,90+Inputs!$B$27+Inputs!$B$30,IF(Skills!C13=3,120+Inputs!$B$28+Inputs!$B$30,MAX(0,(Inputs!$B$3-100)*3)+Inputs!$B$29+Inputs!$B$30)))</f>
        <v/>
      </c>
      <c r="E2637">
        <f>INDEX(FactorTable!$B$2:$Y$301, MATCH(ROUND(MIN(300,MAX(1,D2637)),0), FactorTable!$A$2:$A$301,0), Skills!L13+1)</f>
        <v/>
      </c>
      <c r="F2637">
        <f>IF(Skills!M13=TRUE,(Skills!K13/10)*(E2637/1000),Skills!K13/10)+Skills!N13</f>
        <v/>
      </c>
      <c r="G2637">
        <f>Calc!G13</f>
        <v/>
      </c>
      <c r="H2637">
        <f>Calc!H13</f>
        <v/>
      </c>
      <c r="I2637">
        <f>IF(Skills!T13&lt;&gt;"",1+(Skills!T13/10)*($Z$3/1000)/100,1)</f>
        <v/>
      </c>
      <c r="J2637" t="inlineStr"/>
      <c r="K2637" t="inlineStr"/>
      <c r="L2637" t="inlineStr"/>
      <c r="M2637" t="inlineStr"/>
      <c r="N2637" t="inlineStr"/>
      <c r="O2637">
        <f>(1-Summary!$B$11)*S2637+Summary!$B$11*U2637</f>
        <v/>
      </c>
      <c r="P2637">
        <f>IF(B2666=0,0,O2637/B2666)</f>
        <v/>
      </c>
      <c r="Q2637">
        <f>IFERROR(1/(IF(Inputs!$B$39="pvp",15,MAX(0.1,Skills!D13-IF(Skills!E13=TRUE,Inputs!$B$33,0)))*(1-IF(AND(ArtifactsInput!$M$27,Inputs!$B$4="Chapter Hunt"),CHOOSE(ArtifactsInput!$N$27+1,20,24,28,32,36,40),0)/100)),0)</f>
        <v/>
      </c>
      <c r="R2637">
        <f>IF(AND(Inputs!$B$39&lt;&gt;"pvp",Inputs!$B$44&gt;0),IF(MAX(0,Inputs!$B$44-B2663)&lt;=0,0,(INT(MAX(0,Inputs!$B$44-B2663)/(IF(Inputs!$B$39="pvp",15,MAX(0.1,Skills!D13-IF(Skills!E13=TRUE,Inputs!$B$33,0)))*(1-IF(AND(ArtifactsInput!$M$27,Inputs!$B$4="Chapter Hunt"),CHOOSE(ArtifactsInput!$N$27+1,20,24,28,32,36,40),0)/100)))+1)),0)</f>
        <v/>
      </c>
      <c r="S2637" t="n">
        <v>0</v>
      </c>
      <c r="U2637" t="n">
        <v>0</v>
      </c>
    </row>
    <row r="2638">
      <c r="A2638">
        <f>Skills!A14</f>
        <v/>
      </c>
      <c r="B2638">
        <f>Skills!B14</f>
        <v/>
      </c>
      <c r="C2638">
        <f>Inputs!$B$3&gt;=107</f>
        <v/>
      </c>
      <c r="D2638">
        <f>IF(Skills!C14=1,60+Inputs!$B$26+Inputs!$B$30,IF(Skills!C14=2,90+Inputs!$B$27+Inputs!$B$30,IF(Skills!C14=3,120+Inputs!$B$28+Inputs!$B$30,MAX(0,(Inputs!$B$3-100)*3)+Inputs!$B$29+Inputs!$B$30)))</f>
        <v/>
      </c>
      <c r="E2638">
        <f>INDEX(FactorTable!$B$2:$Y$301, MATCH(ROUND(MIN(300,MAX(1,D2638)),0), FactorTable!$A$2:$A$301,0), Skills!L14+1)</f>
        <v/>
      </c>
      <c r="F2638">
        <f>IF(Skills!M14=TRUE,(Skills!K14/10)*(E2638/1000),Skills!K14/10)+Skills!N14</f>
        <v/>
      </c>
      <c r="G2638">
        <f>Calc!G14</f>
        <v/>
      </c>
      <c r="H2638">
        <f>Calc!H14</f>
        <v/>
      </c>
      <c r="I2638">
        <f>IF(Skills!T14&lt;&gt;"",1+(Skills!T14/10)*($Z$3/1000)/100,1)</f>
        <v/>
      </c>
      <c r="J2638" t="inlineStr"/>
      <c r="K2638" t="inlineStr"/>
      <c r="L2638" t="inlineStr"/>
      <c r="M2638" t="inlineStr"/>
      <c r="N2638" t="inlineStr"/>
      <c r="O2638">
        <f>(1-Summary!$B$11)*S2638+Summary!$B$11*U2638</f>
        <v/>
      </c>
      <c r="P2638">
        <f>IF(B2666=0,0,O2638/B2666)</f>
        <v/>
      </c>
      <c r="Q2638">
        <f>IFERROR(1/(IF(Inputs!$B$39="pvp",15,MAX(0.1,Skills!D14-IF(Skills!E14=TRUE,Inputs!$B$33,0)))*(1-IF(AND(ArtifactsInput!$M$27,Inputs!$B$4="Chapter Hunt"),CHOOSE(ArtifactsInput!$N$27+1,20,24,28,32,36,40),0)/100)),0)</f>
        <v/>
      </c>
      <c r="R2638">
        <f>IF(AND(Inputs!$B$39&lt;&gt;"pvp",Inputs!$B$44&gt;0),IF(Inputs!$B$44&lt;=0,0,(INT(Inputs!$B$44/(IF(Inputs!$B$39="pvp",15,MAX(0.1,Skills!D14-IF(Skills!E14=TRUE,Inputs!$B$33,0)))*(1-IF(AND(ArtifactsInput!$M$27,Inputs!$B$4="Chapter Hunt"),CHOOSE(ArtifactsInput!$N$27+1,20,24,28,32,36,40),0)/100)))+1)),0)</f>
        <v/>
      </c>
      <c r="S2638" t="n">
        <v>0</v>
      </c>
      <c r="U2638" t="n">
        <v>0</v>
      </c>
    </row>
    <row r="2639">
      <c r="A2639">
        <f>Skills!A15</f>
        <v/>
      </c>
      <c r="B2639">
        <f>Skills!B15</f>
        <v/>
      </c>
      <c r="C2639">
        <f>Inputs!$B$3&gt;=63</f>
        <v/>
      </c>
      <c r="D2639">
        <f>IF(Skills!C15=1,60+Inputs!$B$26+Inputs!$B$30,IF(Skills!C15=2,90+Inputs!$B$27+Inputs!$B$30,IF(Skills!C15=3,120+Inputs!$B$28+Inputs!$B$30,MAX(0,(Inputs!$B$3-100)*3)+Inputs!$B$29+Inputs!$B$30)))</f>
        <v/>
      </c>
      <c r="E2639">
        <f>INDEX(FactorTable!$B$2:$Y$301, MATCH(ROUND(MIN(300,MAX(1,D2639)),0), FactorTable!$A$2:$A$301,0), Skills!L15+1)</f>
        <v/>
      </c>
      <c r="F2639">
        <f>IF(Skills!M15=TRUE,(Skills!K15/10)*(E2639/1000),Skills!K15/10)+Skills!N15</f>
        <v/>
      </c>
      <c r="G2639">
        <f>Calc!G15</f>
        <v/>
      </c>
      <c r="H2639">
        <f>Calc!H15</f>
        <v/>
      </c>
      <c r="I2639">
        <f>IF(Skills!T15&lt;&gt;"",1+(Skills!T15/10)*($Z$3/1000)/100,1)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15="TRIUMPH_FEATHER",IF(C2640=TRUE,F2640,0),0)/100)*(1+IF(C2651=TRUE,F2651,0)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2639)</f>
        <v/>
      </c>
      <c r="L2639">
        <f>K2639*(MIN(Inputs!$B$23+(F2646-Calc!F22),(Inputs!$B$24+IF(ArtifactsInput!$M$15,CHOOSE(ArtifactsInput!$N$15+1,25,30,35,40,45,50)/100*(Inputs!$B$12-Inputs!$B$12),0)))/100+(Inputs!$B$24+IF(ArtifactsInput!$M$15,CHOOSE(ArtifactsInput!$N$15+1,25,30,35,40,45,50)/100*(Inputs!$B$12-Inputs!$B$12),0))/100)/2</f>
        <v/>
      </c>
      <c r="M2639">
        <f>L2639*(1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IF(B2666=0,0,O2639/B2666)</f>
        <v/>
      </c>
      <c r="Q2639">
        <f>IFERROR(1/(IF(Inputs!$B$39="pvp",15,MAX(0.1,Skills!D15-IF(Skills!E15=TRUE,Inputs!$B$33,0)))*(1-IF(AND(ArtifactsInput!$M$27,Inputs!$B$4="Chapter Hunt"),CHOOSE(ArtifactsInput!$N$27+1,20,24,28,32,36,40),0)/100)),0)</f>
        <v/>
      </c>
      <c r="R2639" t="n">
        <v>0</v>
      </c>
      <c r="S2639">
        <f>IF(C2639,(Skills!F15*N2639*((IF(Inputs!$B$3&gt;=78,25,15)/100*B2659*10)/(1+IF(Inputs!$B$3&gt;=78,25,15)/100*B2659*10))*(Skills!I15/100*B2659)/(1+Skills!G15*Skills!I15/100*B2659))*IF(Inputs!$B$39="pvp",1,1+(Inputs!$B$21+Skills!O15+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9">
        <f>IF(C2639,(Skills!F15*N2639*((IF(Inputs!$B$3&gt;=78,25,15)/100*B2659*10)/(1+IF(Inputs!$B$3&gt;=78,25,15)/100*B2659*10))*(Skills!I15/100*B2659)/(1+Skills!G15*Skills!I15/100*B2659))*IF(Inputs!$B$39="pvp",1,(1+(Inputs!$B$22+Skills!P15+B2655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Skills!A16</f>
        <v/>
      </c>
      <c r="B2640">
        <f>Skills!B16</f>
        <v/>
      </c>
      <c r="C2640">
        <f>Inputs!$B$3&gt;=100</f>
        <v/>
      </c>
      <c r="D2640">
        <f>IF(Skills!C16=1,60+Inputs!$B$26+Inputs!$B$30,IF(Skills!C16=2,90+Inputs!$B$27+Inputs!$B$30,IF(Skills!C16=3,120+Inputs!$B$28+Inputs!$B$30,MAX(0,(Inputs!$B$3-100)*3)+Inputs!$B$29+Inputs!$B$30)))</f>
        <v/>
      </c>
      <c r="E2640">
        <f>INDEX(FactorTable!$B$2:$Y$301, MATCH(ROUND(MIN(300,MAX(1,D2640)),0), FactorTable!$A$2:$A$301,0), Skills!L16+1)</f>
        <v/>
      </c>
      <c r="F2640">
        <f>IF(Skills!M16=TRUE,(Skills!K16/10)*(E2640/1000),Skills!K16/10)+Skills!N16</f>
        <v/>
      </c>
      <c r="G2640">
        <f>Calc!G16</f>
        <v/>
      </c>
      <c r="H2640">
        <f>Calc!H16</f>
        <v/>
      </c>
      <c r="I2640">
        <f>IF(Skills!T16&lt;&gt;"",1+(Skills!T16/10)*($Z$3/1000)/100,1)</f>
        <v/>
      </c>
      <c r="J2640" t="inlineStr"/>
      <c r="K2640" t="inlineStr"/>
      <c r="L2640" t="inlineStr"/>
      <c r="M2640" t="inlineStr"/>
      <c r="N2640" t="inlineStr"/>
      <c r="O2640">
        <f>(1-Summary!$B$11)*S2640+Summary!$B$11*U2640</f>
        <v/>
      </c>
      <c r="P2640">
        <f>IF(B2666=0,0,O2640/B2666)</f>
        <v/>
      </c>
      <c r="Q2640">
        <f>IFERROR(1/(IF(Inputs!$B$39="pvp",15,MAX(0.1,Skills!D16-IF(Skills!E16=TRUE,Inputs!$B$33,0)))*(1-IF(AND(ArtifactsInput!$M$27,Inputs!$B$4="Chapter Hunt"),CHOOSE(ArtifactsInput!$N$27+1,20,24,28,32,36,40),0)/100)),0)</f>
        <v/>
      </c>
      <c r="R2640" t="n">
        <v>0</v>
      </c>
      <c r="S2640" t="n">
        <v>0</v>
      </c>
      <c r="U2640" t="n">
        <v>0</v>
      </c>
    </row>
    <row r="2641">
      <c r="A2641">
        <f>Skills!A17</f>
        <v/>
      </c>
      <c r="B2641">
        <f>Skills!B17</f>
        <v/>
      </c>
      <c r="C2641">
        <f>Inputs!$B$3&gt;=49</f>
        <v/>
      </c>
      <c r="D2641">
        <f>IF(Skills!C17=1,60+Inputs!$B$26+Inputs!$B$30,IF(Skills!C17=2,90+Inputs!$B$27+Inputs!$B$30,IF(Skills!C17=3,120+Inputs!$B$28+Inputs!$B$30,MAX(0,(Inputs!$B$3-100)*3)+Inputs!$B$29+Inputs!$B$30)))</f>
        <v/>
      </c>
      <c r="E2641">
        <f>INDEX(FactorTable!$B$2:$Y$301, MATCH(ROUND(MIN(300,MAX(1,D2641)),0), FactorTable!$A$2:$A$301,0), Skills!L17+1)</f>
        <v/>
      </c>
      <c r="F2641">
        <f>IF(Skills!M17=TRUE,(Skills!K17/10)*(E2641/1000),Skills!K17/10)+Skills!N17</f>
        <v/>
      </c>
      <c r="G2641">
        <f>Calc!G17</f>
        <v/>
      </c>
      <c r="H2641">
        <f>Calc!H17</f>
        <v/>
      </c>
      <c r="I2641">
        <f>IF(Skills!T17&lt;&gt;"",1+(Skills!T17/10)*($Z$3/1000)/100,1)</f>
        <v/>
      </c>
      <c r="J2641" t="inlineStr"/>
      <c r="K2641" t="inlineStr"/>
      <c r="L2641" t="inlineStr"/>
      <c r="M2641" t="inlineStr"/>
      <c r="N2641" t="inlineStr"/>
      <c r="O2641">
        <f>(1-Summary!$B$11)*S2641+Summary!$B$11*U2641</f>
        <v/>
      </c>
      <c r="P2641">
        <f>IF(B2666=0,0,O2641/B2666)</f>
        <v/>
      </c>
      <c r="Q2641">
        <f>IFERROR(1/(IF(Inputs!$B$39="pvp",15,MAX(0.1,Skills!D17-IF(Skills!E17=TRUE,Inputs!$B$33,0)))*(1-IF(AND(ArtifactsInput!$M$27,Inputs!$B$4="Chapter Hunt"),CHOOSE(ArtifactsInput!$N$27+1,20,24,28,32,36,40),0)/100)),0)</f>
        <v/>
      </c>
      <c r="R2641" t="n">
        <v>0</v>
      </c>
      <c r="S2641" t="n">
        <v>0</v>
      </c>
      <c r="U2641" t="n">
        <v>0</v>
      </c>
    </row>
    <row r="2642">
      <c r="A2642">
        <f>Skills!A18</f>
        <v/>
      </c>
      <c r="B2642">
        <f>Skills!B18</f>
        <v/>
      </c>
      <c r="C2642">
        <f>Inputs!$B$3&gt;=75</f>
        <v/>
      </c>
      <c r="D2642">
        <f>IF(Skills!C18=1,60+Inputs!$B$26+Inputs!$B$30,IF(Skills!C18=2,90+Inputs!$B$27+Inputs!$B$30,IF(Skills!C18=3,120+Inputs!$B$28+Inputs!$B$30,MAX(0,(Inputs!$B$3-100)*3)+Inputs!$B$29+Inputs!$B$30)))</f>
        <v/>
      </c>
      <c r="E2642">
        <f>INDEX(FactorTable!$B$2:$Y$301, MATCH(ROUND(MIN(300,MAX(1,D2642)),0), FactorTable!$A$2:$A$301,0), Skills!L18+1)</f>
        <v/>
      </c>
      <c r="F2642">
        <f>IF(Skills!M18=TRUE,(Skills!K18/10)*(E2642/1000),Skills!K18/10)+Skills!N18</f>
        <v/>
      </c>
      <c r="G2642">
        <f>Calc!G18</f>
        <v/>
      </c>
      <c r="H2642">
        <f>Calc!H18</f>
        <v/>
      </c>
      <c r="I2642">
        <f>IF(Skills!T18&lt;&gt;"",1+(Skills!T18/10)*($Z$3/1000)/100,1)</f>
        <v/>
      </c>
      <c r="J2642" t="inlineStr"/>
      <c r="K2642" t="inlineStr"/>
      <c r="L2642" t="inlineStr"/>
      <c r="M2642" t="inlineStr"/>
      <c r="N2642" t="inlineStr"/>
      <c r="O2642">
        <f>(1-Summary!$B$11)*S2642+Summary!$B$11*U2642</f>
        <v/>
      </c>
      <c r="P2642">
        <f>IF(B2666=0,0,O2642/B2666)</f>
        <v/>
      </c>
      <c r="Q2642">
        <f>IFERROR(1/(IF(Inputs!$B$39="pvp",15,MAX(0.1,Skills!D18-IF(Skills!E18=TRUE,Inputs!$B$33,0)))*(1-IF(AND(ArtifactsInput!$M$27,Inputs!$B$4="Chapter Hunt"),CHOOSE(ArtifactsInput!$N$27+1,20,24,28,32,36,40),0)/100)),0)</f>
        <v/>
      </c>
      <c r="R2642" t="n">
        <v>0</v>
      </c>
      <c r="S2642" t="n">
        <v>0</v>
      </c>
      <c r="U2642" t="n">
        <v>0</v>
      </c>
    </row>
    <row r="2643">
      <c r="A2643">
        <f>Skills!A19</f>
        <v/>
      </c>
      <c r="B2643">
        <f>Skills!B19</f>
        <v/>
      </c>
      <c r="C2643">
        <f>Inputs!$B$3&gt;=110</f>
        <v/>
      </c>
      <c r="D2643">
        <f>IF(Skills!C19=1,60+Inputs!$B$26+Inputs!$B$30,IF(Skills!C19=2,90+Inputs!$B$27+Inputs!$B$30,IF(Skills!C19=3,120+Inputs!$B$28+Inputs!$B$30,MAX(0,(Inputs!$B$3-100)*3)+Inputs!$B$29+Inputs!$B$30)))</f>
        <v/>
      </c>
      <c r="E2643">
        <f>INDEX(FactorTable!$B$2:$Y$301, MATCH(ROUND(MIN(300,MAX(1,D2643)),0), FactorTable!$A$2:$A$301,0), Skills!L19+1)</f>
        <v/>
      </c>
      <c r="F2643">
        <f>(Skills!K19/10)*(E2643/1000)*64/45+Skills!N19</f>
        <v/>
      </c>
      <c r="G2643">
        <f>Calc!G19</f>
        <v/>
      </c>
      <c r="H2643">
        <f>Calc!H19</f>
        <v/>
      </c>
      <c r="I2643">
        <f>IF(Skills!T19&lt;&gt;"",1+(Skills!T19/10)*($Z$3/1000)/100,1)</f>
        <v/>
      </c>
      <c r="J2643" t="inlineStr"/>
      <c r="K2643" t="inlineStr"/>
      <c r="L2643" t="inlineStr"/>
      <c r="M2643" t="inlineStr"/>
      <c r="N2643" t="inlineStr"/>
      <c r="O2643">
        <f>(1-Summary!$B$11)*S2643+Summary!$B$11*U2643</f>
        <v/>
      </c>
      <c r="P2643">
        <f>IF(B2666=0,0,O2643/B2666)</f>
        <v/>
      </c>
      <c r="Q2643">
        <f>IFERROR(1/(IF(Inputs!$B$39="pvp",15,MAX(0.1,Skills!D19-IF(Skills!E19=TRUE,Inputs!$B$33,0)))*(1-IF(AND(ArtifactsInput!$M$27,Inputs!$B$4="Chapter Hunt"),CHOOSE(ArtifactsInput!$N$27+1,20,24,28,32,36,40),0)/100)),0)</f>
        <v/>
      </c>
      <c r="R2643">
        <f>IF(AND(Inputs!$B$39&lt;&gt;"pvp",Inputs!$B$44&gt;0),IF(Inputs!$B$44&lt;=0,0,(INT(Inputs!$B$44/(IF(Inputs!$B$39="pvp",15,MAX(0.1,Skills!D19-IF(Skills!E19=TRUE,Inputs!$B$33,0)))*(1-IF(AND(ArtifactsInput!$M$27,Inputs!$B$4="Chapter Hunt"),CHOOSE(ArtifactsInput!$N$27+1,20,24,28,32,36,40),0)/100)))+1)),0)</f>
        <v/>
      </c>
      <c r="S2643" t="n">
        <v>0</v>
      </c>
      <c r="U2643" t="n">
        <v>0</v>
      </c>
    </row>
    <row r="2644">
      <c r="A2644">
        <f>Skills!A20</f>
        <v/>
      </c>
      <c r="B2644">
        <f>Skills!B20</f>
        <v/>
      </c>
      <c r="C2644">
        <f>Inputs!$B$3&gt;=125</f>
        <v/>
      </c>
      <c r="D2644">
        <f>IF(Skills!C20=1,60+Inputs!$B$26+Inputs!$B$30,IF(Skills!C20=2,90+Inputs!$B$27+Inputs!$B$30,IF(Skills!C20=3,120+Inputs!$B$28+Inputs!$B$30,MAX(0,(Inputs!$B$3-100)*3)+Inputs!$B$29+Inputs!$B$30)))</f>
        <v/>
      </c>
      <c r="E2644">
        <f>INDEX(FactorTable!$B$2:$Y$301, MATCH(ROUND(MIN(300,MAX(1,D2644)),0), FactorTable!$A$2:$A$301,0), Skills!L20+1)</f>
        <v/>
      </c>
      <c r="F2644">
        <f>IF(Skills!M20=TRUE,(Skills!K20/10)*(E2644/1000),Skills!K20/10)+Skills!N20</f>
        <v/>
      </c>
      <c r="G2644">
        <f>Calc!G20</f>
        <v/>
      </c>
      <c r="H2644">
        <f>Calc!H20</f>
        <v/>
      </c>
      <c r="I2644">
        <f>IF(Skills!T20&lt;&gt;"",1+(Skills!T20/10)*($Z$3/1000)/100,1)</f>
        <v/>
      </c>
      <c r="J2644" t="inlineStr"/>
      <c r="K2644" t="inlineStr"/>
      <c r="L2644" t="inlineStr"/>
      <c r="M2644" t="inlineStr"/>
      <c r="N2644" t="inlineStr"/>
      <c r="O2644">
        <f>(1-Summary!$B$11)*S2644+Summary!$B$11*U2644</f>
        <v/>
      </c>
      <c r="P2644">
        <f>IF(B2666=0,0,O2644/B2666)</f>
        <v/>
      </c>
      <c r="Q2644">
        <f>IFERROR(1/(IF(Inputs!$B$39="pvp",15,MAX(0.1,Skills!D20-IF(Skills!E20=TRUE,Inputs!$B$33,0)))*(1-IF(AND(ArtifactsInput!$M$27,Inputs!$B$4="Chapter Hunt"),CHOOSE(ArtifactsInput!$N$27+1,20,24,28,32,36,40),0)/100)),0)</f>
        <v/>
      </c>
      <c r="R2644" t="n">
        <v>0</v>
      </c>
      <c r="S2644" t="n">
        <v>0</v>
      </c>
      <c r="U2644" t="n">
        <v>0</v>
      </c>
    </row>
    <row r="2645">
      <c r="A2645">
        <f>Skills!A21</f>
        <v/>
      </c>
      <c r="B2645">
        <f>Skills!B21</f>
        <v/>
      </c>
      <c r="C2645">
        <f>Inputs!$B$3&gt;=33</f>
        <v/>
      </c>
      <c r="D2645">
        <f>IF(Skills!C21=1,60+Inputs!$B$26+Inputs!$B$30,IF(Skills!C21=2,90+Inputs!$B$27+Inputs!$B$30,IF(Skills!C21=3,120+Inputs!$B$28+Inputs!$B$30,MAX(0,(Inputs!$B$3-100)*3)+Inputs!$B$29+Inputs!$B$30)))</f>
        <v/>
      </c>
      <c r="E2645">
        <f>INDEX(FactorTable!$B$2:$Y$301, MATCH(ROUND(MIN(300,MAX(1,D2645)),0), FactorTable!$A$2:$A$301,0), Skills!L21+1)</f>
        <v/>
      </c>
      <c r="F2645">
        <f>IF(Skills!M21=TRUE,(Skills!K21/10)*(E2645/1000),Skills!K21/10)+Skills!N21</f>
        <v/>
      </c>
      <c r="G2645">
        <f>Calc!G21</f>
        <v/>
      </c>
      <c r="H2645">
        <f>Calc!H21</f>
        <v/>
      </c>
      <c r="I2645">
        <f>IF(Skills!T21&lt;&gt;"",1+(Skills!T21/10)*($Z$3/1000)/100,1)</f>
        <v/>
      </c>
      <c r="J2645" t="inlineStr"/>
      <c r="K2645" t="inlineStr"/>
      <c r="L2645" t="inlineStr"/>
      <c r="M2645" t="inlineStr"/>
      <c r="N2645" t="inlineStr"/>
      <c r="O2645">
        <f>(1-Summary!$B$11)*S2645+Summary!$B$11*U2645</f>
        <v/>
      </c>
      <c r="P2645">
        <f>IF(B2666=0,0,O2645/B2666)</f>
        <v/>
      </c>
      <c r="Q2645">
        <f>IFERROR(1/(IF(Inputs!$B$39="pvp",15,MAX(0.1,Skills!D21-IF(Skills!E21=TRUE,Inputs!$B$33,0)))*(1-IF(AND(ArtifactsInput!$M$27,Inputs!$B$4="Chapter Hunt"),CHOOSE(ArtifactsInput!$N$27+1,20,24,28,32,36,40),0)/100)),0)</f>
        <v/>
      </c>
      <c r="R2645" t="n">
        <v>0</v>
      </c>
      <c r="S2645" t="n">
        <v>0</v>
      </c>
      <c r="U2645" t="n">
        <v>0</v>
      </c>
    </row>
    <row r="2646">
      <c r="A2646">
        <f>Skills!A22</f>
        <v/>
      </c>
      <c r="B2646">
        <f>Skills!B22</f>
        <v/>
      </c>
      <c r="C2646">
        <f>Inputs!$B$3&gt;=43</f>
        <v/>
      </c>
      <c r="D2646">
        <f>IF(Skills!C22=1,60+Inputs!$B$26+Inputs!$B$30,IF(Skills!C22=2,90+Inputs!$B$27+Inputs!$B$30,IF(Skills!C22=3,120+Inputs!$B$28+Inputs!$B$30,MAX(0,(Inputs!$B$3-100)*3)+Inputs!$B$29+Inputs!$B$30)))</f>
        <v/>
      </c>
      <c r="E2646">
        <f>INDEX(FactorTable!$B$2:$Y$301, MATCH(ROUND(MIN(300,MAX(1,D2646)),0), FactorTable!$A$2:$A$301,0), Skills!L22+1)</f>
        <v/>
      </c>
      <c r="F2646">
        <f>IF(Skills!M22=TRUE,(Skills!K22/10)*(E2646/1000),Skills!K22/10)+Skills!N22</f>
        <v/>
      </c>
      <c r="G2646">
        <f>Calc!G22</f>
        <v/>
      </c>
      <c r="H2646">
        <f>Calc!H22</f>
        <v/>
      </c>
      <c r="I2646">
        <f>IF(Skills!T22&lt;&gt;"",1+(Skills!T22/10)*($Z$3/1000)/100,1)</f>
        <v/>
      </c>
      <c r="J2646" t="inlineStr"/>
      <c r="K2646" t="inlineStr"/>
      <c r="L2646" t="inlineStr"/>
      <c r="M2646" t="inlineStr"/>
      <c r="N2646" t="inlineStr"/>
      <c r="O2646">
        <f>(1-Summary!$B$11)*S2646+Summary!$B$11*U2646</f>
        <v/>
      </c>
      <c r="P2646">
        <f>IF(B2666=0,0,O2646/B2666)</f>
        <v/>
      </c>
      <c r="Q2646">
        <f>IFERROR(1/(IF(Inputs!$B$39="pvp",15,MAX(0.1,Skills!D22-IF(Skills!E22=TRUE,Inputs!$B$33,0)))*(1-IF(AND(ArtifactsInput!$M$27,Inputs!$B$4="Chapter Hunt"),CHOOSE(ArtifactsInput!$N$27+1,20,24,28,32,36,40),0)/100)),0)</f>
        <v/>
      </c>
      <c r="R2646" t="n">
        <v>0</v>
      </c>
      <c r="S2646" t="n">
        <v>0</v>
      </c>
      <c r="U2646" t="n">
        <v>0</v>
      </c>
    </row>
    <row r="2647">
      <c r="A2647">
        <f>Skills!A23</f>
        <v/>
      </c>
      <c r="B2647">
        <f>Skills!B23</f>
        <v/>
      </c>
      <c r="C2647">
        <f>Inputs!$B$3&gt;=50</f>
        <v/>
      </c>
      <c r="D2647">
        <f>IF(Skills!C23=1,60+Inputs!$B$26+Inputs!$B$30,IF(Skills!C23=2,90+Inputs!$B$27+Inputs!$B$30,IF(Skills!C23=3,120+Inputs!$B$28+Inputs!$B$30,MAX(0,(Inputs!$B$3-100)*3)+Inputs!$B$29+Inputs!$B$30)))</f>
        <v/>
      </c>
      <c r="E2647">
        <f>INDEX(FactorTable!$B$2:$Y$301, MATCH(ROUND(MIN(300,MAX(1,D2647)),0), FactorTable!$A$2:$A$301,0), Skills!L23+1)</f>
        <v/>
      </c>
      <c r="F2647">
        <f>IF(Skills!M23=TRUE,(Skills!K23/10)*(E2647/1000),Skills!K23/10)+Skills!N23</f>
        <v/>
      </c>
      <c r="G2647">
        <f>Calc!G23</f>
        <v/>
      </c>
      <c r="H2647">
        <f>Calc!H23</f>
        <v/>
      </c>
      <c r="I2647">
        <f>IF(Skills!T23&lt;&gt;"",1+(Skills!T23/10)*($Z$3/1000)/100,1)</f>
        <v/>
      </c>
      <c r="J2647" t="inlineStr"/>
      <c r="K2647" t="inlineStr"/>
      <c r="L2647" t="inlineStr"/>
      <c r="M2647" t="inlineStr"/>
      <c r="N2647" t="inlineStr"/>
      <c r="O2647">
        <f>(1-Summary!$B$11)*S2647+Summary!$B$11*U2647</f>
        <v/>
      </c>
      <c r="P2647">
        <f>IF(B2666=0,0,O2647/B2666)</f>
        <v/>
      </c>
      <c r="Q2647">
        <f>IFERROR(1/(IF(Inputs!$B$39="pvp",15,MAX(0.1,Skills!D23-IF(Skills!E23=TRUE,Inputs!$B$33,0)))*(1-IF(AND(ArtifactsInput!$M$27,Inputs!$B$4="Chapter Hunt"),CHOOSE(ArtifactsInput!$N$27+1,20,24,28,32,36,40),0)/100)),0)</f>
        <v/>
      </c>
      <c r="R2647" t="n">
        <v>0</v>
      </c>
      <c r="S2647" t="n">
        <v>0</v>
      </c>
      <c r="U2647" t="n">
        <v>0</v>
      </c>
    </row>
    <row r="2648">
      <c r="A2648">
        <f>Skills!A24</f>
        <v/>
      </c>
      <c r="B2648">
        <f>Skills!B24</f>
        <v/>
      </c>
      <c r="C2648">
        <f>Inputs!$B$3&gt;=74</f>
        <v/>
      </c>
      <c r="D2648">
        <f>IF(Skills!C24=1,60+Inputs!$B$26+Inputs!$B$30,IF(Skills!C24=2,90+Inputs!$B$27+Inputs!$B$30,IF(Skills!C24=3,120+Inputs!$B$28+Inputs!$B$30,MAX(0,(Inputs!$B$3-100)*3)+Inputs!$B$29+Inputs!$B$30)))</f>
        <v/>
      </c>
      <c r="E2648">
        <f>INDEX(FactorTable!$B$2:$Y$301, MATCH(ROUND(MIN(300,MAX(1,D2648)),0), FactorTable!$A$2:$A$301,0), Skills!L24+1)</f>
        <v/>
      </c>
      <c r="F2648">
        <f>IF(Skills!M24=TRUE,(Skills!K24/10)*(E2648/1000),Skills!K24/10)+Skills!N24</f>
        <v/>
      </c>
      <c r="G2648">
        <f>Calc!G24</f>
        <v/>
      </c>
      <c r="H2648">
        <f>Calc!H24</f>
        <v/>
      </c>
      <c r="I2648">
        <f>IF(Skills!T24&lt;&gt;"",1+(Skills!T24/10)*($Z$3/1000)/100,1)</f>
        <v/>
      </c>
      <c r="J2648" t="inlineStr"/>
      <c r="K2648" t="inlineStr"/>
      <c r="L2648" t="inlineStr"/>
      <c r="M2648" t="inlineStr"/>
      <c r="N2648" t="inlineStr"/>
      <c r="O2648">
        <f>(1-Summary!$B$11)*S2648+Summary!$B$11*U2648</f>
        <v/>
      </c>
      <c r="P2648">
        <f>IF(B2666=0,0,O2648/B2666)</f>
        <v/>
      </c>
      <c r="Q2648">
        <f>IFERROR(1/(IF(Inputs!$B$39="pvp",15,MAX(0.1,Skills!D24-IF(Skills!E24=TRUE,Inputs!$B$33,0)))*(1-IF(AND(ArtifactsInput!$M$27,Inputs!$B$4="Chapter Hunt"),CHOOSE(ArtifactsInput!$N$27+1,20,24,28,32,36,40),0)/100)),0)</f>
        <v/>
      </c>
      <c r="R2648" t="n">
        <v>0</v>
      </c>
      <c r="S2648" t="n">
        <v>0</v>
      </c>
      <c r="U2648" t="n">
        <v>0</v>
      </c>
    </row>
    <row r="2649">
      <c r="A2649">
        <f>Skills!A25</f>
        <v/>
      </c>
      <c r="B2649">
        <f>Skills!B25</f>
        <v/>
      </c>
      <c r="C2649">
        <f>Inputs!$B$3&gt;=74</f>
        <v/>
      </c>
      <c r="D2649">
        <f>IF(Skills!C25=1,60+Inputs!$B$26+Inputs!$B$30,IF(Skills!C25=2,90+Inputs!$B$27+Inputs!$B$30,IF(Skills!C25=3,120+Inputs!$B$28+Inputs!$B$30,MAX(0,(Inputs!$B$3-100)*3)+Inputs!$B$29+Inputs!$B$30)))</f>
        <v/>
      </c>
      <c r="E2649">
        <f>INDEX(FactorTable!$B$2:$Y$301, MATCH(ROUND(MIN(300,MAX(1,D2649)),0), FactorTable!$A$2:$A$301,0), Skills!L25+1)</f>
        <v/>
      </c>
      <c r="F2649">
        <f>IF(Skills!M25=TRUE,(Skills!K25/10)*(E2649/1000),Skills!K25/10)+Skills!N25</f>
        <v/>
      </c>
      <c r="G2649">
        <f>Calc!G25</f>
        <v/>
      </c>
      <c r="H2649">
        <f>Calc!H25</f>
        <v/>
      </c>
      <c r="I2649">
        <f>IF(Skills!T25&lt;&gt;"",1+(Skills!T25/10)*($Z$3/1000)/100,1)</f>
        <v/>
      </c>
      <c r="J2649" t="inlineStr"/>
      <c r="K2649" t="inlineStr"/>
      <c r="L2649" t="inlineStr"/>
      <c r="M2649" t="inlineStr"/>
      <c r="N2649" t="inlineStr"/>
      <c r="O2649">
        <f>(1-Summary!$B$11)*S2649+Summary!$B$11*U2649</f>
        <v/>
      </c>
      <c r="P2649">
        <f>IF(B2666=0,0,O2649/B2666)</f>
        <v/>
      </c>
      <c r="Q2649">
        <f>IFERROR(1/(IF(Inputs!$B$39="pvp",15,MAX(0.1,Skills!D25-IF(Skills!E25=TRUE,Inputs!$B$33,0)))*(1-IF(AND(ArtifactsInput!$M$27,Inputs!$B$4="Chapter Hunt"),CHOOSE(ArtifactsInput!$N$27+1,20,24,28,32,36,40),0)/100)),0)</f>
        <v/>
      </c>
      <c r="R2649" t="n">
        <v>0</v>
      </c>
      <c r="S2649" t="n">
        <v>0</v>
      </c>
      <c r="U2649" t="n">
        <v>0</v>
      </c>
    </row>
    <row r="2650">
      <c r="A2650">
        <f>Skills!A26</f>
        <v/>
      </c>
      <c r="B2650">
        <f>Skills!B26</f>
        <v/>
      </c>
      <c r="C2650">
        <f>Inputs!$B$3&gt;=117</f>
        <v/>
      </c>
      <c r="D2650">
        <f>IF(Skills!C26=1,60+Inputs!$B$26+Inputs!$B$30,IF(Skills!C26=2,90+Inputs!$B$27+Inputs!$B$30,IF(Skills!C26=3,120+Inputs!$B$28+Inputs!$B$30,MAX(0,(Inputs!$B$3-100)*3)+Inputs!$B$29+Inputs!$B$30)))</f>
        <v/>
      </c>
      <c r="E2650">
        <f>INDEX(FactorTable!$B$2:$Y$301, MATCH(ROUND(MIN(300,MAX(1,D2650)),0), FactorTable!$A$2:$A$301,0), Skills!L26+1)</f>
        <v/>
      </c>
      <c r="F2650">
        <f>IF(Skills!M26=TRUE,(Skills!K26/10)*(E2650/1000),Skills!K26/10)+Skills!N26</f>
        <v/>
      </c>
      <c r="G2650">
        <f>Calc!G26</f>
        <v/>
      </c>
      <c r="H2650">
        <f>Calc!H26</f>
        <v/>
      </c>
      <c r="I2650">
        <f>IF(Skills!T26&lt;&gt;"",1+(Skills!T26/10)*($Z$3/1000)/100,1)</f>
        <v/>
      </c>
      <c r="J2650" t="inlineStr"/>
      <c r="K2650" t="inlineStr"/>
      <c r="L2650" t="inlineStr"/>
      <c r="M2650" t="inlineStr"/>
      <c r="N2650" t="inlineStr"/>
      <c r="O2650">
        <f>(1-Summary!$B$11)*S2650+Summary!$B$11*U2650</f>
        <v/>
      </c>
      <c r="P2650">
        <f>IF(B2666=0,0,O2650/B2666)</f>
        <v/>
      </c>
      <c r="Q2650">
        <f>IFERROR(1/(IF(Inputs!$B$39="pvp",15,MAX(0.1,Skills!D26-IF(Skills!E26=TRUE,Inputs!$B$33,0)))*(1-IF(AND(ArtifactsInput!$M$27,Inputs!$B$4="Chapter Hunt"),CHOOSE(ArtifactsInput!$N$27+1,20,24,28,32,36,40),0)/100)),0)</f>
        <v/>
      </c>
      <c r="R2650" t="n">
        <v>0</v>
      </c>
      <c r="S2650" t="n">
        <v>0</v>
      </c>
      <c r="U2650" t="n">
        <v>0</v>
      </c>
    </row>
    <row r="2651">
      <c r="A2651">
        <f>Skills!A27</f>
        <v/>
      </c>
      <c r="B2651">
        <f>Skills!B27</f>
        <v/>
      </c>
      <c r="C2651">
        <f>Inputs!$B$3&gt;=120</f>
        <v/>
      </c>
      <c r="D2651">
        <f>IF(Skills!C27=1,60+Inputs!$B$26+Inputs!$B$30,IF(Skills!C27=2,90+Inputs!$B$27+Inputs!$B$30,IF(Skills!C27=3,120+Inputs!$B$28+Inputs!$B$30,MAX(0,(Inputs!$B$3-100)*3)+Inputs!$B$29+Inputs!$B$30)))</f>
        <v/>
      </c>
      <c r="E2651">
        <f>INDEX(FactorTable!$B$2:$Y$301, MATCH(ROUND(MIN(300,MAX(1,D2651)),0), FactorTable!$A$2:$A$301,0), Skills!L27+1)</f>
        <v/>
      </c>
      <c r="F2651">
        <f>IF(Skills!M27=TRUE,(Skills!K27/10)*(E2651/1000),Skills!K27/10)+Skills!N27</f>
        <v/>
      </c>
      <c r="G2651">
        <f>Calc!G27</f>
        <v/>
      </c>
      <c r="H2651">
        <f>Calc!H27</f>
        <v/>
      </c>
      <c r="I2651">
        <f>IF(Skills!T27&lt;&gt;"",1+(Skills!T27/10)*($Z$3/1000)/100,1)</f>
        <v/>
      </c>
      <c r="J2651" t="inlineStr"/>
      <c r="K2651" t="inlineStr"/>
      <c r="L2651" t="inlineStr"/>
      <c r="M2651" t="inlineStr"/>
      <c r="N2651" t="inlineStr"/>
      <c r="O2651">
        <f>(1-Summary!$B$11)*S2651+Summary!$B$11*U2651</f>
        <v/>
      </c>
      <c r="P2651">
        <f>IF(B2666=0,0,O2651/B2666)</f>
        <v/>
      </c>
      <c r="Q2651">
        <f>IFERROR(1/(IF(Inputs!$B$39="pvp",15,MAX(0.1,Skills!D27-IF(Skills!E27=TRUE,Inputs!$B$33,0)))*(1-IF(AND(ArtifactsInput!$M$27,Inputs!$B$4="Chapter Hunt"),CHOOSE(ArtifactsInput!$N$27+1,20,24,28,32,36,40),0)/100)),0)</f>
        <v/>
      </c>
      <c r="R2651" t="n">
        <v>0</v>
      </c>
      <c r="S2651" t="n">
        <v>0</v>
      </c>
      <c r="U2651" t="n">
        <v>0</v>
      </c>
    </row>
    <row r="2653">
      <c r="A2653" t="inlineStr">
        <is>
          <t>Average Buff Multiplier</t>
        </is>
      </c>
      <c r="B2653">
        <f>(1+(IF(C2627=TRUE,F2627*IF(AND(Inputs!$B$39&lt;&gt;"pvp",Inputs!$B$44&gt;0),(((R2627-1)*(Skills!S3*(1+((Inputs!$B$35+(ArtifactsInput!$M$7-ArtifactsInput!$M$7)*CHOOSE(ArtifactsInput!$N$7+1,6,7.2,8.4,9.6,10.8,12))+IF(Inputs!$B$3&gt;=117,F2650,0))/100))+MIN((Skills!S3*(1+((Inputs!$B$35+(ArtifactsInput!$M$7-ArtifactsInput!$M$7)*CHOOSE(ArtifactsInput!$N$7+1,6,7.2,8.4,9.6,10.8,12))+IF(Inputs!$B$3&gt;=117,F2650,0))/100)),MAX(0,Inputs!$B$44-((R2627-1)*Skills!D3))))/Inputs!$B$44),IF(Inputs!$B$39="pvp",MIN((Skills!S3*(1+((Inputs!$B$35+(ArtifactsInput!$M$7-ArtifactsInput!$M$7)*CHOOSE(ArtifactsInput!$N$7+1,6,7.2,8.4,9.6,10.8,12))+IF(Inputs!$B$3&gt;=117,F2650,0))/100)),15)/15,(Skills!S3*(1+((Inputs!$B$35+(ArtifactsInput!$M$7-ArtifactsInput!$M$7)*CHOOSE(ArtifactsInput!$N$7+1,6,7.2,8.4,9.6,10.8,12))+IF(Inputs!$B$3&gt;=117,F2650,0))/100))/Skills!D3)),0)+IF(C2628=TRUE,F2628*IF(AND(Inputs!$B$39&lt;&gt;"pvp",Inputs!$B$44&gt;0),(((R2628-1)*(Skills!S4*(1+((Inputs!$B$35+(ArtifactsInput!$M$7-ArtifactsInput!$M$7)*CHOOSE(ArtifactsInput!$N$7+1,6,7.2,8.4,9.6,10.8,12))+IF(Inputs!$B$3&gt;=117,F2650,0))/100))+MIN((Skills!S4*(1+((Inputs!$B$35+(ArtifactsInput!$M$7-ArtifactsInput!$M$7)*CHOOSE(ArtifactsInput!$N$7+1,6,7.2,8.4,9.6,10.8,12))+IF(Inputs!$B$3&gt;=117,F2650,0))/100)),MAX(0,Inputs!$B$44-((R2628-1)*Skills!D4))))/Inputs!$B$44),IF(Inputs!$B$39="pvp",MIN((Skills!S4*(1+((Inputs!$B$35+(ArtifactsInput!$M$7-ArtifactsInput!$M$7)*CHOOSE(ArtifactsInput!$N$7+1,6,7.2,8.4,9.6,10.8,12))+IF(Inputs!$B$3&gt;=117,F2650,0))/100)),15)/15,(Skills!S4*(1+((Inputs!$B$35+(ArtifactsInput!$M$7-ArtifactsInput!$M$7)*CHOOSE(ArtifactsInput!$N$7+1,6,7.2,8.4,9.6,10.8,12))+IF(Inputs!$B$3&gt;=117,F2650,0))/100))/Skills!D4)),0)+IF(C2629=TRUE,F2629*IF(AND(Inputs!$B$39&lt;&gt;"pvp",Inputs!$B$44&gt;0),(((R2629-1)*(Skills!S5*(1+((Inputs!$B$35+(ArtifactsInput!$M$7-ArtifactsInput!$M$7)*CHOOSE(ArtifactsInput!$N$7+1,6,7.2,8.4,9.6,10.8,12))+IF(Inputs!$B$3&gt;=117,F2650,0))/100))+MIN((Skills!S5*(1+((Inputs!$B$35+(ArtifactsInput!$M$7-ArtifactsInput!$M$7)*CHOOSE(ArtifactsInput!$N$7+1,6,7.2,8.4,9.6,10.8,12))+IF(Inputs!$B$3&gt;=117,F2650,0))/100)),MAX(0,Inputs!$B$44-((R2629-1)*Skills!D5))))/Inputs!$B$44),IF(Inputs!$B$39="pvp",MIN((Skills!S5*(1+((Inputs!$B$35+(ArtifactsInput!$M$7-ArtifactsInput!$M$7)*CHOOSE(ArtifactsInput!$N$7+1,6,7.2,8.4,9.6,10.8,12))+IF(Inputs!$B$3&gt;=117,F2650,0))/100)),15)/15,(Skills!S5*(1+((Inputs!$B$35+(ArtifactsInput!$M$7-ArtifactsInput!$M$7)*CHOOSE(ArtifactsInput!$N$7+1,6,7.2,8.4,9.6,10.8,12))+IF(Inputs!$B$3&gt;=117,F2650,0))/100))/Skills!D5)),0)+IF(C2635=TRUE,F2635*IF(AND(Inputs!$B$39&lt;&gt;"pvp",Inputs!$B$44&gt;0),(((R2635-1)*(Skills!S11*(1+((Inputs!$B$35+(ArtifactsInput!$M$7-ArtifactsInput!$M$7)*CHOOSE(ArtifactsInput!$N$7+1,6,7.2,8.4,9.6,10.8,12))+IF(Inputs!$B$3&gt;=117,F2650,0))/100))+MIN((Skills!S11*(1+((Inputs!$B$35+(ArtifactsInput!$M$7-ArtifactsInput!$M$7)*CHOOSE(ArtifactsInput!$N$7+1,6,7.2,8.4,9.6,10.8,12))+IF(Inputs!$B$3&gt;=117,F2650,0))/100)),MAX(0,Inputs!$B$44-((R2635-1)*Skills!D11))))/Inputs!$B$44),IF(Inputs!$B$39="pvp",MIN((Skills!S11*(1+((Inputs!$B$35+(ArtifactsInput!$M$7-ArtifactsInput!$M$7)*CHOOSE(ArtifactsInput!$N$7+1,6,7.2,8.4,9.6,10.8,12))+IF(Inputs!$B$3&gt;=117,F2650,0))/100)),15)/15,(Skills!S11*(1+((Inputs!$B$35+(ArtifactsInput!$M$7-ArtifactsInput!$M$7)*CHOOSE(ArtifactsInput!$N$7+1,6,7.2,8.4,9.6,10.8,12))+IF(Inputs!$B$3&gt;=117,F2650,0)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2638=TRUE,(1+F2638*IF(AND(Inputs!$B$39&lt;&gt;"pvp",Inputs!$B$44&gt;0),(((R2638-1)*(Skills!S14*(1+((Inputs!$B$35+(ArtifactsInput!$M$7-ArtifactsInput!$M$7)*CHOOSE(ArtifactsInput!$N$7+1,6,7.2,8.4,9.6,10.8,12))+IF(Inputs!$B$3&gt;=117,F2650,0))/100))+MIN((Skills!S14*(1+((Inputs!$B$35+(ArtifactsInput!$M$7-ArtifactsInput!$M$7)*CHOOSE(ArtifactsInput!$N$7+1,6,7.2,8.4,9.6,10.8,12))+IF(Inputs!$B$3&gt;=117,F2650,0))/100)),MAX(0,Inputs!$B$44-((R2638-1)*Skills!D14))))/Inputs!$B$44),IF(Inputs!$B$39="pvp",MIN((Skills!S14*(1+((Inputs!$B$35+(ArtifactsInput!$M$7-ArtifactsInput!$M$7)*CHOOSE(ArtifactsInput!$N$7+1,6,7.2,8.4,9.6,10.8,12))+IF(Inputs!$B$3&gt;=117,F2650,0))/100)),15)/15,(Skills!S14*(1+((Inputs!$B$35+(ArtifactsInput!$M$7-ArtifactsInput!$M$7)*CHOOSE(ArtifactsInput!$N$7+1,6,7.2,8.4,9.6,10.8,12))+IF(Inputs!$B$3&gt;=117,F2650,0))/100))/Skills!D14))/100),1)*IF(C2643=TRUE,(1+F2643*IF(AND(Inputs!$B$39&lt;&gt;"pvp",Inputs!$B$44&gt;0),(((R2643-1)*(Skills!S19*(1+((Inputs!$B$35+(ArtifactsInput!$M$7-ArtifactsInput!$M$7)*CHOOSE(ArtifactsInput!$N$7+1,6,7.2,8.4,9.6,10.8,12))+IF(Inputs!$B$3&gt;=117,F2650,0))/100))+MIN((Skills!S19*(1+((Inputs!$B$35+(ArtifactsInput!$M$7-ArtifactsInput!$M$7)*CHOOSE(ArtifactsInput!$N$7+1,6,7.2,8.4,9.6,10.8,12))+IF(Inputs!$B$3&gt;=117,F2650,0))/100)),MAX(0,Inputs!$B$44-((R2643-1)*Skills!D19))))/Inputs!$B$44),IF(Inputs!$B$39="pvp",MIN((Skills!S19*(1+((Inputs!$B$35+(ArtifactsInput!$M$7-ArtifactsInput!$M$7)*CHOOSE(ArtifactsInput!$N$7+1,6,7.2,8.4,9.6,10.8,12))+IF(Inputs!$B$3&gt;=117,F2650,0))/100)),15)/15,(Skills!S19*(1+((Inputs!$B$35+(ArtifactsInput!$M$7-ArtifactsInput!$M$7)*CHOOSE(ArtifactsInput!$N$7+1,6,7.2,8.4,9.6,10.8,12))+IF(Inputs!$B$3&gt;=117,F2650,0))/100))/Skills!D19))/100),1)</f>
        <v/>
      </c>
    </row>
    <row r="2654">
      <c r="A2654" t="inlineStr">
        <is>
          <t>Monster Damage Taken Bonus % (Holy Fountain)</t>
        </is>
      </c>
      <c r="B2654">
        <f>IF(Inputs!$B$3&gt;=68,20*IF(Inputs!$B$39="pvp",MIN((15*(1+((Inputs!$B$35+(ArtifactsInput!$M$7-ArtifactsInput!$M$7)*CHOOSE(ArtifactsInput!$N$7+1,6,7.2,8.4,9.6,10.8,12))+IF(Inputs!$B$3&gt;=117,F2650,0))/100)),15)/15,(15*(1+((Inputs!$B$35+(ArtifactsInput!$M$7-ArtifactsInput!$M$7)*CHOOSE(ArtifactsInput!$N$7+1,6,7.2,8.4,9.6,10.8,12))+IF(Inputs!$B$3&gt;=117,F2650,0))/100))/Skills!D10),0)</f>
        <v/>
      </c>
    </row>
    <row r="2655">
      <c r="A2655" t="inlineStr">
        <is>
          <t>Normal Monster Damage Bonus % (Holy Symbol)</t>
        </is>
      </c>
      <c r="B2655">
        <f>IF(C2636=TRUE,F2636*IF(AND(Inputs!$B$39&lt;&gt;"pvp",Inputs!$B$44&gt;0),(((R2636-1)*(Skills!S12*(1+((Inputs!$B$35+(ArtifactsInput!$M$7-ArtifactsInput!$M$7)*CHOOSE(ArtifactsInput!$N$7+1,6,7.2,8.4,9.6,10.8,12))+IF(Inputs!$B$3&gt;=117,F2650,0))/100))+MIN((Skills!S12*(1+((Inputs!$B$35+(ArtifactsInput!$M$7-ArtifactsInput!$M$7)*CHOOSE(ArtifactsInput!$N$7+1,6,7.2,8.4,9.6,10.8,12))+IF(Inputs!$B$3&gt;=117,F2650,0))/100)),MAX(0,Inputs!$B$44-((R2636-1)*Skills!D12))))/Inputs!$B$44),IF(Inputs!$B$39="pvp",MIN((Skills!S12*(1+((Inputs!$B$35+(ArtifactsInput!$M$7-ArtifactsInput!$M$7)*CHOOSE(ArtifactsInput!$N$7+1,6,7.2,8.4,9.6,10.8,12))+IF(Inputs!$B$3&gt;=117,F2650,0))/100)),15)/15,(Skills!S12*(1+((Inputs!$B$35+(ArtifactsInput!$M$7-ArtifactsInput!$M$7)*CHOOSE(ArtifactsInput!$N$7+1,6,7.2,8.4,9.6,10.8,12))+IF(Inputs!$B$3&gt;=117,F2650,0))/100))/Skills!D12)),0)</f>
        <v/>
      </c>
    </row>
    <row r="2656">
      <c r="A2656" t="inlineStr">
        <is>
          <t>Damage % Bonus (Holy Symbol - Damage Boost)</t>
        </is>
      </c>
      <c r="B2656">
        <f>Skills!O12</f>
        <v/>
      </c>
    </row>
    <row r="2657">
      <c r="A2657" t="inlineStr">
        <is>
          <t>Crit Damage % Bonus (Blood of the Divine)</t>
        </is>
      </c>
      <c r="B2657">
        <f>4*IF(C2644=TRUE,F2644,0)</f>
        <v/>
      </c>
    </row>
    <row r="2658">
      <c r="A2658" t="inlineStr">
        <is>
          <t>Attack Speed Bonus %</t>
        </is>
      </c>
      <c r="B2658">
        <f>IF(C2641=TRUE,F2641+(F2645-Calc!F21),0)+IF(Inputs!$B$3&gt;=134,15,0)</f>
        <v/>
      </c>
    </row>
    <row r="2659">
      <c r="A2659" t="inlineStr">
        <is>
          <t>Actions Per Second</t>
        </is>
      </c>
      <c r="B2659">
        <f>1+MIN(150,150*(1-(1-Inputs!$B$12/150)*(1-B2658/150)))/100</f>
        <v/>
      </c>
    </row>
    <row r="2660">
      <c r="A2660" t="inlineStr">
        <is>
          <t>Skill + Buff Cast Rate</t>
        </is>
      </c>
      <c r="B2660">
        <f>IF(AND(Inputs!$B$39&lt;&gt;"pvp",Inputs!$B$44&gt;0),SUMPRODUCT((Skills!E2:E27=TRUE)*(C2626:C2651=TRUE)*R2626:R2651)/Inputs!$B$44,SUMPRODUCT((Skills!E2:E27=TRUE)*(C2626:C2651=TRUE)*Q2626:Q2651))</f>
        <v/>
      </c>
    </row>
    <row r="2661">
      <c r="A2661" t="inlineStr">
        <is>
          <t>Big Bang Casts Per Second</t>
        </is>
      </c>
      <c r="B2661">
        <f>MAX(0,B2659-B2660)</f>
        <v/>
      </c>
    </row>
    <row r="2662">
      <c r="A2662" t="inlineStr">
        <is>
          <t>Defense % Bonus (Divine Protection)</t>
        </is>
      </c>
      <c r="B2662">
        <f>IF(C2637=TRUE,F2637*IF(AND(Inputs!$B$39&lt;&gt;"pvp",Inputs!$B$44&gt;0),(((R2637-1)*(Skills!S13*(1+((Inputs!$B$35+(ArtifactsInput!$M$7-ArtifactsInput!$M$7)*CHOOSE(ArtifactsInput!$N$7+1,6,7.2,8.4,9.6,10.8,12))+IF(Inputs!$B$3&gt;=117,F2650,0))/100))+MIN((Skills!S13*(1+((Inputs!$B$35+(ArtifactsInput!$M$7-ArtifactsInput!$M$7)*CHOOSE(ArtifactsInput!$N$7+1,6,7.2,8.4,9.6,10.8,12))+IF(Inputs!$B$3&gt;=117,F2650,0))/100)),MAX(0,Inputs!$B$44-((R2637-1)*Skills!D13))))/Inputs!$B$44),IF(Inputs!$B$39="pvp",MIN((Skills!S13*(1+((Inputs!$B$35+(ArtifactsInput!$M$7-ArtifactsInput!$M$7)*CHOOSE(ArtifactsInput!$N$7+1,6,7.2,8.4,9.6,10.8,12))+IF(Inputs!$B$3&gt;=117,F2650,0))/100)),15)/15,(Skills!S13*(1+((Inputs!$B$35+(ArtifactsInput!$M$7-ArtifactsInput!$M$7)*CHOOSE(ArtifactsInput!$N$7+1,6,7.2,8.4,9.6,10.8,12))+IF(Inputs!$B$3&gt;=117,F2650,0))/100))/Skills!D13)),0)</f>
        <v/>
      </c>
    </row>
    <row r="2663">
      <c r="A2663" t="inlineStr">
        <is>
          <t>Buff-Casting Startup Delay (s, fixed-duration only)</t>
        </is>
      </c>
      <c r="B2663">
        <f>IF(AND(Inputs!$B$39&lt;&gt;"pvp",Inputs!$B$44&gt;0),SUMPRODUCT((Skills!S2:S27&gt;0)*(Skills!E2:E27=TRUE)*(C2626:C2651=TRUE))/B2659,0)</f>
        <v/>
      </c>
    </row>
    <row r="2664">
      <c r="A2664" t="inlineStr">
        <is>
          <t>Boss-Only Total DPS (this block's swept value)</t>
        </is>
      </c>
      <c r="B2664">
        <f>SUM(S2626:S2651)</f>
        <v/>
      </c>
    </row>
    <row r="2665">
      <c r="A2665" t="inlineStr">
        <is>
          <t>Normal-Only Total DPS (this block's swept value)</t>
        </is>
      </c>
      <c r="B2665">
        <f>SUM(U2626:U2651)</f>
        <v/>
      </c>
    </row>
    <row r="2666">
      <c r="A2666" s="6" t="inlineStr">
        <is>
          <t>TOTAL DPS</t>
        </is>
      </c>
      <c r="B2666" s="6">
        <f>SUM(O2626:O2651)</f>
        <v/>
      </c>
    </row>
    <row r="2668">
      <c r="A2668" s="6" t="inlineStr">
        <is>
          <t>Stat: Cursed Doll (Equip)</t>
        </is>
      </c>
    </row>
    <row r="2669">
      <c r="A2669" s="5" t="inlineStr">
        <is>
          <t>Key</t>
        </is>
      </c>
      <c r="B2669" s="5" t="inlineStr">
        <is>
          <t>Name</t>
        </is>
      </c>
      <c r="C2669" s="5" t="inlineStr">
        <is>
          <t>Unlocked</t>
        </is>
      </c>
      <c r="D2669" s="5" t="inlineStr">
        <is>
          <t>InputLevel</t>
        </is>
      </c>
      <c r="E2669" s="5" t="inlineStr">
        <is>
          <t>Factor</t>
        </is>
      </c>
      <c r="F2669" s="5" t="inlineStr">
        <is>
          <t>CoefficientPercent</t>
        </is>
      </c>
      <c r="G2669" s="5" t="inlineStr">
        <is>
          <t>EffectiveHits</t>
        </is>
      </c>
      <c r="H2669" s="5" t="inlineStr">
        <is>
          <t>ProcProbability</t>
        </is>
      </c>
      <c r="I2669" s="5" t="inlineStr">
        <is>
          <t>MapleHeroMultiplier</t>
        </is>
      </c>
      <c r="J2669" s="5" t="inlineStr">
        <is>
          <t>BaseDamage</t>
        </is>
      </c>
      <c r="K2669" s="5" t="inlineStr">
        <is>
          <t>BaseHitDamage</t>
        </is>
      </c>
      <c r="L2669" s="5" t="inlineStr">
        <is>
          <t>NonCritAvg</t>
        </is>
      </c>
      <c r="M2669" s="5" t="inlineStr">
        <is>
          <t>CritAvg</t>
        </is>
      </c>
      <c r="N2669" s="5" t="inlineStr">
        <is>
          <t>ExpectedDamage(perHit)</t>
        </is>
      </c>
      <c r="O2669" s="5" t="inlineStr">
        <is>
          <t>DPS</t>
        </is>
      </c>
      <c r="P2669" s="5" t="inlineStr">
        <is>
          <t>% of Total</t>
        </is>
      </c>
      <c r="R2669" t="inlineStr">
        <is>
          <t>helpers</t>
        </is>
      </c>
    </row>
    <row r="2670">
      <c r="A2670">
        <f>Skills!A2</f>
        <v/>
      </c>
      <c r="B2670">
        <f>Skills!B2</f>
        <v/>
      </c>
      <c r="C2670">
        <f>Inputs!$B$3&gt;=100</f>
        <v/>
      </c>
      <c r="D2670" t="inlineStr"/>
      <c r="E2670" t="inlineStr"/>
      <c r="F2670">
        <f>T2672+Skills!N2</f>
        <v/>
      </c>
      <c r="G2670">
        <f>Calc!G2</f>
        <v/>
      </c>
      <c r="H2670">
        <f>Calc!H2</f>
        <v/>
      </c>
      <c r="I2670">
        <f>IF(Skills!T2&lt;&gt;"",1+(Skills!T2/10)*($Z$3/1000)/100,1)</f>
        <v/>
      </c>
      <c r="J2670">
        <f>((Inputs!$B$6*(1+Inputs!$B$7/100))+(((Inputs!$B$13*(1+Inputs!$B$14/100))-(Inputs!$B$13*(1+Inputs!$B$14/100)))+0.25*(Inputs!$B$15-Inputs!$B$15))*(1+Inputs!$B$7/100))*(F2670/100)</f>
        <v/>
      </c>
      <c r="K2670">
        <f>J2670*(1+(((Inputs!$B$13+IF(Inputs!$B$3&gt;=35,(10*INDEX(FactorTable!$B$2:$Y$301,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2="TRIUMPH_FEATHER",IF(C2684=TRUE,F2684,0),0)/100)*(1+IF(C2695=TRUE,F2695,0)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2670)</f>
        <v/>
      </c>
      <c r="L2670">
        <f>K2670*(MIN(Inputs!$B$23+(F2690-Calc!F22),(Inputs!$B$24+IF(ArtifactsInput!$M$15,CHOOSE(ArtifactsInput!$N$15+1,25,30,35,40,45,50)/100*(Inputs!$B$12-Inputs!$B$12),0)))/100+(Inputs!$B$24+IF(ArtifactsInput!$M$15,CHOOSE(ArtifactsInput!$N$15+1,25,30,35,40,45,50)/100*(Inputs!$B$12-Inputs!$B$12),0))/100)/2</f>
        <v/>
      </c>
      <c r="M2670">
        <f>L2670*(1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0">
        <f>L2670*(1-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2670*(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0">
        <f>(1-Summary!$B$11)*S2670+Summary!$B$11*U2670</f>
        <v/>
      </c>
      <c r="P2670">
        <f>IF(B2710=0,0,O2670/B2710)</f>
        <v/>
      </c>
      <c r="Q2670">
        <f>IFERROR(1/(IF(Inputs!$B$39="pvp",15,MAX(0.1,Skills!D2-IF(Skills!E2=TRUE,Inputs!$B$33,0)))*(1-IF(AND(ArtifactsInput!$M$27,Inputs!$B$4="Chapter Hunt"),CHOOSE(ArtifactsInput!$N$27+1,20,24,28,32,36,40),0)/100)),0)</f>
        <v/>
      </c>
      <c r="R2670" t="n">
        <v>0</v>
      </c>
      <c r="S2670">
        <f>IF(C2670,(Skills!F2*N2670*B2705)*IF(Inputs!$B$39="pvp",1,1+(Inputs!$B$21+Skills!O2+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2670*(1-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2670*(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2670*(1-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2670*(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70">
        <f>MAX(0,(Inputs!$B$3-100)*3)+Inputs!$B$29+Inputs!$B$30</f>
        <v/>
      </c>
      <c r="U2670">
        <f>IF(C2670,(Skills!F2*N2670*B2705)*IF(Inputs!$B$39="pvp",1,(1+(Inputs!$B$22+Skills!P2+B2699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1">
      <c r="A2671">
        <f>Skills!A3</f>
        <v/>
      </c>
      <c r="B2671">
        <f>Skills!B3</f>
        <v/>
      </c>
      <c r="C2671">
        <f>Inputs!$B$3&gt;=15</f>
        <v/>
      </c>
      <c r="D2671">
        <f>IF(Skills!C3=1,60+Inputs!$B$26+Inputs!$B$30,IF(Skills!C3=2,90+Inputs!$B$27+Inputs!$B$30,IF(Skills!C3=3,120+Inputs!$B$28+Inputs!$B$30,MAX(0,(Inputs!$B$3-100)*3)+Inputs!$B$29+Inputs!$B$30)))</f>
        <v/>
      </c>
      <c r="E2671">
        <f>INDEX(FactorTable!$B$2:$Y$301, MATCH(ROUND(MIN(300,MAX(1,D2671)),0), FactorTable!$A$2:$A$301,0), Skills!L3+1)</f>
        <v/>
      </c>
      <c r="F2671">
        <f>IF(Skills!M3=TRUE,(Skills!K3/10)*(E2671/1000),Skills!K3/10)+Skills!N3</f>
        <v/>
      </c>
      <c r="G2671">
        <f>Calc!G3</f>
        <v/>
      </c>
      <c r="H2671">
        <f>Calc!H3</f>
        <v/>
      </c>
      <c r="I2671">
        <f>IF(Skills!T3&lt;&gt;"",1+(Skills!T3/10)*($Z$3/1000)/100,1)</f>
        <v/>
      </c>
      <c r="J2671" t="inlineStr"/>
      <c r="K2671" t="inlineStr"/>
      <c r="L2671" t="inlineStr"/>
      <c r="M2671" t="inlineStr"/>
      <c r="N2671" t="inlineStr"/>
      <c r="O2671">
        <f>(1-Summary!$B$11)*S2671+Summary!$B$11*U2671</f>
        <v/>
      </c>
      <c r="P2671">
        <f>IF(B2710=0,0,O2671/B2710)</f>
        <v/>
      </c>
      <c r="Q2671">
        <f>IFERROR(1/(IF(Inputs!$B$39="pvp",15,MAX(0.1,Skills!D3-IF(Skills!E3=TRUE,Inputs!$B$33,0)))*(1-IF(AND(ArtifactsInput!$M$27,Inputs!$B$4="Chapter Hunt"),CHOOSE(ArtifactsInput!$N$27+1,20,24,28,32,36,40),0)/100)),0)</f>
        <v/>
      </c>
      <c r="R2671">
        <f>IF(AND(Inputs!$B$39&lt;&gt;"pvp",Inputs!$B$44&gt;0),IF(Inputs!$B$44&lt;=0,0,(INT(Inputs!$B$44/(IF(Inputs!$B$39="pvp",15,MAX(0.1,Skills!D3-IF(Skills!E3=TRUE,Inputs!$B$33,0)))*(1-IF(AND(ArtifactsInput!$M$27,Inputs!$B$4="Chapter Hunt"),CHOOSE(ArtifactsInput!$N$27+1,20,24,28,32,36,40),0)/100)))+1)),0)</f>
        <v/>
      </c>
      <c r="S2671" t="n">
        <v>0</v>
      </c>
      <c r="T2671">
        <f>INDEX(FactorTable!$B$2:$Y$301, MATCH(ROUND(MIN(300,MAX(1,T2670)),0), FactorTable!$A$2:$A$301,0), 22)</f>
        <v/>
      </c>
      <c r="U2671" t="n">
        <v>0</v>
      </c>
    </row>
    <row r="2672">
      <c r="A2672">
        <f>Skills!A4</f>
        <v/>
      </c>
      <c r="B2672">
        <f>Skills!B4</f>
        <v/>
      </c>
      <c r="C2672">
        <f>Inputs!$B$3&gt;=38</f>
        <v/>
      </c>
      <c r="D2672">
        <f>IF(Skills!C4=1,60+Inputs!$B$26+Inputs!$B$30,IF(Skills!C4=2,90+Inputs!$B$27+Inputs!$B$30,IF(Skills!C4=3,120+Inputs!$B$28+Inputs!$B$30,MAX(0,(Inputs!$B$3-100)*3)+Inputs!$B$29+Inputs!$B$30)))</f>
        <v/>
      </c>
      <c r="E2672">
        <f>INDEX(FactorTable!$B$2:$Y$301, MATCH(ROUND(MIN(300,MAX(1,D2672)),0), FactorTable!$A$2:$A$301,0), Skills!L4+1)</f>
        <v/>
      </c>
      <c r="F2672">
        <f>IF(Skills!M4=TRUE,(Skills!K4/10)*(E2672/1000),Skills!K4/10)+Skills!N4</f>
        <v/>
      </c>
      <c r="G2672">
        <f>Calc!G4</f>
        <v/>
      </c>
      <c r="H2672">
        <f>Calc!H4</f>
        <v/>
      </c>
      <c r="I2672">
        <f>IF(Skills!T4&lt;&gt;"",1+(Skills!T4/10)*($Z$3/1000)/100,1)</f>
        <v/>
      </c>
      <c r="J2672" t="inlineStr"/>
      <c r="K2672" t="inlineStr"/>
      <c r="L2672" t="inlineStr"/>
      <c r="M2672" t="inlineStr"/>
      <c r="N2672" t="inlineStr"/>
      <c r="O2672">
        <f>(1-Summary!$B$11)*S2672+Summary!$B$11*U2672</f>
        <v/>
      </c>
      <c r="P2672">
        <f>IF(B2710=0,0,O2672/B2710)</f>
        <v/>
      </c>
      <c r="Q2672">
        <f>IFERROR(1/(IF(Inputs!$B$39="pvp",15,MAX(0.1,Skills!D4-IF(Skills!E4=TRUE,Inputs!$B$33,0)))*(1-IF(AND(ArtifactsInput!$M$27,Inputs!$B$4="Chapter Hunt"),CHOOSE(ArtifactsInput!$N$27+1,20,24,28,32,36,40),0)/100)),0)</f>
        <v/>
      </c>
      <c r="R2672">
        <f>IF(AND(Inputs!$B$39&lt;&gt;"pvp",Inputs!$B$44&gt;0),IF(Inputs!$B$44&lt;=0,0,(INT(Inputs!$B$44/(IF(Inputs!$B$39="pvp",15,MAX(0.1,Skills!D4-IF(Skills!E4=TRUE,Inputs!$B$33,0)))*(1-IF(AND(ArtifactsInput!$M$27,Inputs!$B$4="Chapter Hunt"),CHOOSE(ArtifactsInput!$N$27+1,20,24,28,32,36,40),0)/100)))+1)),0)</f>
        <v/>
      </c>
      <c r="S2672" t="n">
        <v>0</v>
      </c>
      <c r="T2672">
        <f>290*T2671/1000</f>
        <v/>
      </c>
      <c r="U2672" t="n">
        <v>0</v>
      </c>
    </row>
    <row r="2673">
      <c r="A2673">
        <f>Skills!A5</f>
        <v/>
      </c>
      <c r="B2673">
        <f>Skills!B5</f>
        <v/>
      </c>
      <c r="C2673">
        <f>Inputs!$B$3&gt;=40</f>
        <v/>
      </c>
      <c r="D2673">
        <f>IF(Skills!C5=1,60+Inputs!$B$26+Inputs!$B$30,IF(Skills!C5=2,90+Inputs!$B$27+Inputs!$B$30,IF(Skills!C5=3,120+Inputs!$B$28+Inputs!$B$30,MAX(0,(Inputs!$B$3-100)*3)+Inputs!$B$29+Inputs!$B$30)))</f>
        <v/>
      </c>
      <c r="E2673">
        <f>INDEX(FactorTable!$B$2:$Y$301, MATCH(ROUND(MIN(300,MAX(1,D2673)),0), FactorTable!$A$2:$A$301,0), Skills!L5+1)</f>
        <v/>
      </c>
      <c r="F2673">
        <f>IF(Skills!M5=TRUE,(Skills!K5/10)*(E2673/1000),Skills!K5/10)+Skills!N5</f>
        <v/>
      </c>
      <c r="G2673">
        <f>Calc!G5</f>
        <v/>
      </c>
      <c r="H2673">
        <f>Calc!H5</f>
        <v/>
      </c>
      <c r="I2673">
        <f>IF(Skills!T5&lt;&gt;"",1+(Skills!T5/10)*($Z$3/1000)/100,1)</f>
        <v/>
      </c>
      <c r="J2673" t="inlineStr"/>
      <c r="K2673" t="inlineStr"/>
      <c r="L2673" t="inlineStr"/>
      <c r="M2673" t="inlineStr"/>
      <c r="N2673" t="inlineStr"/>
      <c r="O2673">
        <f>(1-Summary!$B$11)*S2673+Summary!$B$11*U2673</f>
        <v/>
      </c>
      <c r="P2673">
        <f>IF(B2710=0,0,O2673/B2710)</f>
        <v/>
      </c>
      <c r="Q2673">
        <f>IFERROR(1/(IF(Inputs!$B$39="pvp",15,MAX(0.1,Skills!D5-IF(Skills!E5=TRUE,Inputs!$B$33,0)))*(1-IF(AND(ArtifactsInput!$M$27,Inputs!$B$4="Chapter Hunt"),CHOOSE(ArtifactsInput!$N$27+1,20,24,28,32,36,40),0)/100)),0)</f>
        <v/>
      </c>
      <c r="R2673">
        <f>IF(AND(Inputs!$B$39&lt;&gt;"pvp",Inputs!$B$44&gt;0),IF(Inputs!$B$44&lt;=0,0,(INT(Inputs!$B$44/(IF(Inputs!$B$39="pvp",15,MAX(0.1,Skills!D5-IF(Skills!E5=TRUE,Inputs!$B$33,0)))*(1-IF(AND(ArtifactsInput!$M$27,Inputs!$B$4="Chapter Hunt"),CHOOSE(ArtifactsInput!$N$27+1,20,24,28,32,36,40),0)/100)))+1)),0)</f>
        <v/>
      </c>
      <c r="S2673" t="n">
        <v>0</v>
      </c>
      <c r="U2673" t="n">
        <v>0</v>
      </c>
    </row>
    <row r="2674">
      <c r="A2674">
        <f>Skills!A6</f>
        <v/>
      </c>
      <c r="B2674">
        <f>Skills!B6</f>
        <v/>
      </c>
      <c r="C2674">
        <f>Inputs!$B$3&gt;=103</f>
        <v/>
      </c>
      <c r="D2674">
        <f>IF(Skills!C6=1,60+Inputs!$B$26+Inputs!$B$30,IF(Skills!C6=2,90+Inputs!$B$27+Inputs!$B$30,IF(Skills!C6=3,120+Inputs!$B$28+Inputs!$B$30,MAX(0,(Inputs!$B$3-100)*3)+Inputs!$B$29+Inputs!$B$30)))</f>
        <v/>
      </c>
      <c r="E2674">
        <f>INDEX(FactorTable!$B$2:$Y$301, MATCH(ROUND(MIN(300,MAX(1,D2674)),0), FactorTable!$A$2:$A$301,0), Skills!L6+1)</f>
        <v/>
      </c>
      <c r="F2674">
        <f>IF(Skills!M6=TRUE,(Skills!K6/10)*(E2674/1000),Skills!K6/10)+Skills!N6</f>
        <v/>
      </c>
      <c r="G2674">
        <f>Calc!G6</f>
        <v/>
      </c>
      <c r="H2674">
        <f>Calc!H6</f>
        <v/>
      </c>
      <c r="I2674">
        <f>IF(Skills!T6&lt;&gt;"",1+(Skills!T6/10)*($Z$3/1000)/100,1)</f>
        <v/>
      </c>
      <c r="J2674">
        <f>((Inputs!$B$6*(1+Inputs!$B$7/100))+(((Inputs!$B$13*(1+Inputs!$B$14/100))-(Inputs!$B$13*(1+Inputs!$B$14/100)))+0.25*(Inputs!$B$15-Inputs!$B$15))*(1+Inputs!$B$7/100))*(F2674/100)</f>
        <v/>
      </c>
      <c r="K2674">
        <f>J2674*(1+(((Inputs!$B$13+IF(Inputs!$B$3&gt;=35,(10*INDEX(FactorTable!$B$2:$Y$301,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6="TRIUMPH_FEATHER",IF(C2684=TRUE,F2684,0),0)/100)*(1+IF(C2695=TRUE,F2695,0)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2674)</f>
        <v/>
      </c>
      <c r="L2674">
        <f>K2674*(MIN(Inputs!$B$23+(F2690-Calc!F22),(Inputs!$B$24+IF(ArtifactsInput!$M$15,CHOOSE(ArtifactsInput!$N$15+1,25,30,35,40,45,50)/100*(Inputs!$B$12-Inputs!$B$12),0)))/100+(Inputs!$B$24+IF(ArtifactsInput!$M$15,CHOOSE(ArtifactsInput!$N$15+1,25,30,35,40,45,50)/100*(Inputs!$B$12-Inputs!$B$12),0))/100)/2</f>
        <v/>
      </c>
      <c r="M2674">
        <f>L2674*(1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4">
        <f>L2674*(1-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(1-Summary!$B$11)*S2674+Summary!$B$11*U2674</f>
        <v/>
      </c>
      <c r="P2674">
        <f>IF(B2710=0,0,O2674/B2710)</f>
        <v/>
      </c>
      <c r="Q2674">
        <f>IFERROR(1/(IF(Inputs!$B$39="pvp",15,MAX(0.1,Skills!D6-IF(Skills!E6=TRUE,Inputs!$B$33,0)))*(1-IF(AND(ArtifactsInput!$M$27,Inputs!$B$4="Chapter Hunt"),CHOOSE(ArtifactsInput!$N$27+1,20,24,28,32,36,40),0)/100)),0)</f>
        <v/>
      </c>
      <c r="R2674">
        <f>IF(AND(Inputs!$B$39&lt;&gt;"pvp",Inputs!$B$44&gt;0),IF(MAX(0,Inputs!$B$44-B2707)&lt;=0,0,(INT(MAX(0,Inputs!$B$44-B2707)/(IF(Inputs!$B$39="pvp",15,MAX(0.1,Skills!D6-IF(Skills!E6=TRUE,Inputs!$B$33,0)))*(1-IF(AND(ArtifactsInput!$M$27,Inputs!$B$4="Chapter Hunt"),CHOOSE(ArtifactsInput!$N$27+1,20,24,28,32,36,40),0)/100)))+1)),0)</f>
        <v/>
      </c>
      <c r="S2674">
        <f>IF(C2674,(H2674*N2674*IF(AND(Inputs!$B$39&lt;&gt;"pvp",Inputs!$B$44&gt;0),((Skills!F6*((R2674-1)*IF(Skills!G6&gt;0,Skills!H6/Skills!G6,1)+IF(Skills!G6&gt;0,MIN(Skills!H6,MAX(0,MAX(0,Inputs!$B$44-B2707)-((R2674-1)*(IF(Inputs!$B$39="pvp",15,MAX(0.1,Skills!D6-IF(Skills!E6=TRUE,Inputs!$B$33,0)))*(1-IF(AND(ArtifactsInput!$M$27,Inputs!$B$4="Chapter Hunt"),CHOOSE(ArtifactsInput!$N$27+1,20,24,28,32,36,40),0)/100)))))/Skills!G6,1)))/Inputs!$B$44),G2674*Q2674))*IF(Inputs!$B$39="pvp",1,1+(Inputs!$B$21+Skills!O6+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2674*(1-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F(C2674,(H2674*N2674*IF(AND(Inputs!$B$39&lt;&gt;"pvp",Inputs!$B$44&gt;0),((Skills!F6*((R2674-1)*IF(Skills!G6&gt;0,Skills!H6/Skills!G6,1)+IF(Skills!G6&gt;0,MIN(Skills!H6,MAX(0,MAX(0,Inputs!$B$44-B2707)-((R2674-1)*(IF(Inputs!$B$39="pvp",15,MAX(0.1,Skills!D6-IF(Skills!E6=TRUE,Inputs!$B$33,0)))*(1-IF(AND(ArtifactsInput!$M$27,Inputs!$B$4="Chapter Hunt"),CHOOSE(ArtifactsInput!$N$27+1,20,24,28,32,36,40),0)/100)))))/Skills!G6,1)))/Inputs!$B$44),G2674*Q2674))*IF(Inputs!$B$39="pvp",1,(1+(Inputs!$B$22+Skills!P6+B2699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Skills!A7</f>
        <v/>
      </c>
      <c r="B2675">
        <f>Skills!B7</f>
        <v/>
      </c>
      <c r="C2675">
        <f>Inputs!$B$3&gt;=122</f>
        <v/>
      </c>
      <c r="D2675">
        <f>IF(Skills!C7=1,60+Inputs!$B$26+Inputs!$B$30,IF(Skills!C7=2,90+Inputs!$B$27+Inputs!$B$30,IF(Skills!C7=3,120+Inputs!$B$28+Inputs!$B$30,MAX(0,(Inputs!$B$3-100)*3)+Inputs!$B$29+Inputs!$B$30)))</f>
        <v/>
      </c>
      <c r="E2675">
        <f>INDEX(FactorTable!$B$2:$Y$301, MATCH(ROUND(MIN(300,MAX(1,D2675)),0), FactorTable!$A$2:$A$301,0), Skills!L7+1)</f>
        <v/>
      </c>
      <c r="F2675">
        <f>IF(Skills!M7=TRUE,(Skills!K7/10)*(E2675/1000),Skills!K7/10)+Skills!N7</f>
        <v/>
      </c>
      <c r="G2675">
        <f>Calc!G7</f>
        <v/>
      </c>
      <c r="H2675">
        <f>Calc!H7</f>
        <v/>
      </c>
      <c r="I2675">
        <f>IF(Skills!T7&lt;&gt;"",1+(Skills!T7/10)*($Z$3/1000)/100,1)</f>
        <v/>
      </c>
      <c r="J2675">
        <f>((Inputs!$B$6*(1+Inputs!$B$7/100))+(((Inputs!$B$13*(1+Inputs!$B$14/100))-(Inputs!$B$13*(1+Inputs!$B$14/100)))+0.25*(Inputs!$B$15-Inputs!$B$15))*(1+Inputs!$B$7/100))*(F2675/100)</f>
        <v/>
      </c>
      <c r="K2675">
        <f>J2675*(1+(((Inputs!$B$13+IF(Inputs!$B$3&gt;=35,(10*INDEX(FactorTable!$B$2:$Y$301,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7="TRIUMPH_FEATHER",IF(C2684=TRUE,F2684,0),0)/100)*(1+IF(C2695=TRUE,F2695,0)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2675)</f>
        <v/>
      </c>
      <c r="L2675">
        <f>K2675*(MIN(Inputs!$B$23+(F2690-Calc!F22),(Inputs!$B$24+IF(ArtifactsInput!$M$15,CHOOSE(ArtifactsInput!$N$15+1,25,30,35,40,45,50)/100*(Inputs!$B$12-Inputs!$B$12),0)))/100+(Inputs!$B$24+IF(ArtifactsInput!$M$15,CHOOSE(ArtifactsInput!$N$15+1,25,30,35,40,45,50)/100*(Inputs!$B$12-Inputs!$B$12),0))/100)/2</f>
        <v/>
      </c>
      <c r="M2675">
        <f>L2675*(1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5">
        <f>L2675*(1-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(1-Summary!$B$11)*S2675+Summary!$B$11*U2675</f>
        <v/>
      </c>
      <c r="P2675">
        <f>IF(B2710=0,0,O2675/B2710)</f>
        <v/>
      </c>
      <c r="Q2675">
        <f>IFERROR(1/(IF(Inputs!$B$39="pvp",15,MAX(0.1,Skills!D7-IF(Skills!E6=TRUE,Inputs!$B$33,0)))*(1-IF(AND(ArtifactsInput!$M$27,Inputs!$B$4="Chapter Hunt"),CHOOSE(ArtifactsInput!$N$27+1,20,24,28,32,36,40),0)/100)),0)</f>
        <v/>
      </c>
      <c r="R2675">
        <f>IF(AND(Inputs!$B$39&lt;&gt;"pvp",Inputs!$B$44&gt;0),IF(MAX(0,Inputs!$B$44-B2707)&lt;=0,0,(INT(MAX(0,Inputs!$B$44-B2707)/(IF(Inputs!$B$39="pvp",15,MAX(0.1,Skills!D7-IF(Skills!E6=TRUE,Inputs!$B$33,0)))*(1-IF(AND(ArtifactsInput!$M$27,Inputs!$B$4="Chapter Hunt"),CHOOSE(ArtifactsInput!$N$27+1,20,24,28,32,36,40),0)/100)))+1)),0)</f>
        <v/>
      </c>
      <c r="S2675">
        <f>IF(C2675,H2675*N2675*IF(AND(Inputs!$B$39&lt;&gt;"pvp",Inputs!$B$44&gt;0),((Skills!F7*((R2675-1)*IF(Skills!G7&gt;0,Skills!H7/Skills!G7,1)+IF(Skills!G7&gt;0,MIN(Skills!H7,MAX(0,MAX(0,Inputs!$B$44-B2707)-((R2675-1)*(IF(Inputs!$B$39="pvp",15,MAX(0.1,Skills!D7-IF(Skills!E6=TRUE,Inputs!$B$33,0)))*(1-IF(AND(ArtifactsInput!$M$27,Inputs!$B$4="Chapter Hunt"),CHOOSE(ArtifactsInput!$N$27+1,20,24,28,32,36,40),0)/100)))))/Skills!G7,1)))/Inputs!$B$44),G2675*Q2675)*IF(Inputs!$B$39="pvp",1,1+(Inputs!$B$21+Skills!O7+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2675*(1-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5" t="n">
        <v>0</v>
      </c>
    </row>
    <row r="2676">
      <c r="A2676">
        <f>Skills!A8</f>
        <v/>
      </c>
      <c r="B2676">
        <f>Skills!B8</f>
        <v/>
      </c>
      <c r="C2676">
        <f>Inputs!$B$3&gt;=105</f>
        <v/>
      </c>
      <c r="D2676">
        <f>IF(Skills!C8=1,60+Inputs!$B$26+Inputs!$B$30,IF(Skills!C8=2,90+Inputs!$B$27+Inputs!$B$30,IF(Skills!C8=3,120+Inputs!$B$28+Inputs!$B$30,MAX(0,(Inputs!$B$3-100)*3)+Inputs!$B$29+Inputs!$B$30)))</f>
        <v/>
      </c>
      <c r="E2676">
        <f>INDEX(FactorTable!$B$2:$Y$301, MATCH(ROUND(MIN(300,MAX(1,D2676)),0), FactorTable!$A$2:$A$301,0), Skills!L8+1)</f>
        <v/>
      </c>
      <c r="F2676">
        <f>IF(Skills!M8=TRUE,(Skills!K8/10)*(E2676/1000),Skills!K8/10)+Skills!N8</f>
        <v/>
      </c>
      <c r="G2676">
        <f>Calc!G8</f>
        <v/>
      </c>
      <c r="H2676">
        <f>Calc!H8</f>
        <v/>
      </c>
      <c r="I2676">
        <f>IF(Skills!T8&lt;&gt;"",1+(Skills!T8/10)*($Z$3/1000)/100,1)</f>
        <v/>
      </c>
      <c r="J2676">
        <f>((Inputs!$B$6*(1+Inputs!$B$7/100))+(((Inputs!$B$13*(1+Inputs!$B$14/100))-(Inputs!$B$13*(1+Inputs!$B$14/100)))+0.25*(Inputs!$B$15-Inputs!$B$15))*(1+Inputs!$B$7/100))*(F2676/100)</f>
        <v/>
      </c>
      <c r="K2676">
        <f>J2676*(1+(((Inputs!$B$13+IF(Inputs!$B$3&gt;=35,(10*INDEX(FactorTable!$B$2:$Y$301,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8="TRIUMPH_FEATHER",IF(C2684=TRUE,F2684,0),0)/100)*(1+IF(C2695=TRUE,F2695,0)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2676)</f>
        <v/>
      </c>
      <c r="L2676">
        <f>K2676*(MIN(Inputs!$B$23+(F2690-Calc!F22),(Inputs!$B$24+IF(ArtifactsInput!$M$15,CHOOSE(ArtifactsInput!$N$15+1,25,30,35,40,45,50)/100*(Inputs!$B$12-Inputs!$B$12),0)))/100+(Inputs!$B$24+IF(ArtifactsInput!$M$15,CHOOSE(ArtifactsInput!$N$15+1,25,30,35,40,45,50)/100*(Inputs!$B$12-Inputs!$B$12),0))/100)/2</f>
        <v/>
      </c>
      <c r="M2676">
        <f>L2676*(1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6">
        <f>L2676*(1-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2676*(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6">
        <f>(1-Summary!$B$11)*S2676+Summary!$B$11*U2676</f>
        <v/>
      </c>
      <c r="P2676">
        <f>IF(B2710=0,0,O2676/B2710)</f>
        <v/>
      </c>
      <c r="Q2676">
        <f>IFERROR(1/(IF(Inputs!$B$39="pvp",15,MAX(0.1,Skills!D8-IF(Skills!E8=TRUE,Inputs!$B$33,0)))*(1-IF(AND(ArtifactsInput!$M$27,Inputs!$B$4="Chapter Hunt"),CHOOSE(ArtifactsInput!$N$27+1,20,24,28,32,36,40),0)/100)),0)</f>
        <v/>
      </c>
      <c r="R2676">
        <f>IF(AND(Inputs!$B$39&lt;&gt;"pvp",Inputs!$B$44&gt;0),IF(MAX(0,Inputs!$B$44-B2707)&lt;=0,0,(INT(MAX(0,Inputs!$B$44-B2707)/(IF(Inputs!$B$39="pvp",15,MAX(0.1,Skills!D8-IF(Skills!E8=TRUE,Inputs!$B$33,0)))*(1-IF(AND(ArtifactsInput!$M$27,Inputs!$B$4="Chapter Hunt"),CHOOSE(ArtifactsInput!$N$27+1,20,24,28,32,36,40),0)/100)))+1)),0)</f>
        <v/>
      </c>
      <c r="S2676">
        <f>IF(C2676,(H2676*N2676*IF(AND(Inputs!$B$39&lt;&gt;"pvp",Inputs!$B$44&gt;0),((Skills!F8*((R2676-1)*IF(Skills!G8&gt;0,Skills!H8/Skills!G8,1)+IF(Skills!G8&gt;0,MIN(Skills!H8,MAX(0,MAX(0,Inputs!$B$44-B2707)-((R2676-1)*(IF(Inputs!$B$39="pvp",15,MAX(0.1,Skills!D8-IF(Skills!E8=TRUE,Inputs!$B$33,0)))*(1-IF(AND(ArtifactsInput!$M$27,Inputs!$B$4="Chapter Hunt"),CHOOSE(ArtifactsInput!$N$27+1,20,24,28,32,36,40),0)/100)))))/Skills!G8,1)))/Inputs!$B$44),G2676*Q2676))*IF(Inputs!$B$39="pvp",1,1+(Inputs!$B$21+Skills!O8+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2676*(1-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2676*(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2676*(1-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2676*(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6">
        <f>IF(C2676,(H2676*N2676*IF(AND(Inputs!$B$39&lt;&gt;"pvp",Inputs!$B$44&gt;0),((Skills!F8*((R2676-1)*IF(Skills!G8&gt;0,Skills!H8/Skills!G8,1)+IF(Skills!G8&gt;0,MIN(Skills!H8,MAX(0,MAX(0,Inputs!$B$44-B2707)-((R2676-1)*(IF(Inputs!$B$39="pvp",15,MAX(0.1,Skills!D8-IF(Skills!E8=TRUE,Inputs!$B$33,0)))*(1-IF(AND(ArtifactsInput!$M$27,Inputs!$B$4="Chapter Hunt"),CHOOSE(ArtifactsInput!$N$27+1,20,24,28,32,36,40),0)/100)))))/Skills!G8,1)))/Inputs!$B$44),G2676*Q2676))*IF(Inputs!$B$39="pvp",1,(1+(Inputs!$B$22+Skills!P8+B2699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7">
      <c r="A2677">
        <f>Skills!A9</f>
        <v/>
      </c>
      <c r="B2677">
        <f>Skills!B9</f>
        <v/>
      </c>
      <c r="C2677">
        <f>Inputs!$B$3&gt;=115</f>
        <v/>
      </c>
      <c r="D2677">
        <f>IF(Skills!C9=1,60+Inputs!$B$26+Inputs!$B$30,IF(Skills!C9=2,90+Inputs!$B$27+Inputs!$B$30,IF(Skills!C9=3,120+Inputs!$B$28+Inputs!$B$30,MAX(0,(Inputs!$B$3-100)*3)+Inputs!$B$29+Inputs!$B$30)))</f>
        <v/>
      </c>
      <c r="E2677">
        <f>INDEX(FactorTable!$B$2:$Y$301, MATCH(ROUND(MIN(300,MAX(1,D2677)),0), FactorTable!$A$2:$A$301,0), Skills!L9+1)</f>
        <v/>
      </c>
      <c r="F2677">
        <f>IF(Skills!M9=TRUE,(Skills!K9/10)*(E2677/1000),Skills!K9/10)+Skills!N9</f>
        <v/>
      </c>
      <c r="G2677">
        <f>Calc!G9</f>
        <v/>
      </c>
      <c r="H2677">
        <f>Calc!H9</f>
        <v/>
      </c>
      <c r="I2677">
        <f>IF(Skills!T9&lt;&gt;"",1+(Skills!T9/10)*($Z$3/1000)/100,1)</f>
        <v/>
      </c>
      <c r="J2677">
        <f>((Inputs!$B$6*(1+Inputs!$B$7/100))+(((Inputs!$B$13*(1+Inputs!$B$14/100))-(Inputs!$B$13*(1+Inputs!$B$14/100)))+0.25*(Inputs!$B$15-Inputs!$B$15))*(1+Inputs!$B$7/100))*(F2677/100)</f>
        <v/>
      </c>
      <c r="K2677">
        <f>J2677*(1+(((Inputs!$B$13+IF(Inputs!$B$3&gt;=35,(10*INDEX(FactorTable!$B$2:$Y$301,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9="TRIUMPH_FEATHER",IF(C2684=TRUE,F2684,0),0)/100)*(1+IF(C2695=TRUE,F2695,0)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2677)</f>
        <v/>
      </c>
      <c r="L2677">
        <f>K2677*(MIN(Inputs!$B$23+(F2690-Calc!F22),(Inputs!$B$24+IF(ArtifactsInput!$M$15,CHOOSE(ArtifactsInput!$N$15+1,25,30,35,40,45,50)/100*(Inputs!$B$12-Inputs!$B$12),0)))/100+(Inputs!$B$24+IF(ArtifactsInput!$M$15,CHOOSE(ArtifactsInput!$N$15+1,25,30,35,40,45,50)/100*(Inputs!$B$12-Inputs!$B$12),0))/100)/2</f>
        <v/>
      </c>
      <c r="M2677">
        <f>L2677*(1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7">
        <f>L2677*(1-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(1-Summary!$B$11)*S2677+Summary!$B$11*U2677</f>
        <v/>
      </c>
      <c r="P2677">
        <f>IF(B2710=0,0,O2677/B2710)</f>
        <v/>
      </c>
      <c r="Q2677">
        <f>IFERROR(1/(IF(Inputs!$B$39="pvp",15,MAX(0.1,Skills!D9-IF(Skills!E9=TRUE,Inputs!$B$33,0)))*(1-IF(AND(ArtifactsInput!$M$27,Inputs!$B$4="Chapter Hunt"),CHOOSE(ArtifactsInput!$N$27+1,20,24,28,32,36,40),0)/100)),0)</f>
        <v/>
      </c>
      <c r="R2677">
        <f>IF(AND(Inputs!$B$39&lt;&gt;"pvp",Inputs!$B$44&gt;0),IF(MAX(0,Inputs!$B$44-B2707)&lt;=0,0,(INT(MAX(0,Inputs!$B$44-B2707)/(IF(Inputs!$B$39="pvp",15,MAX(0.1,Skills!D9-IF(Skills!E9=TRUE,Inputs!$B$33,0)))*(1-IF(AND(ArtifactsInput!$M$27,Inputs!$B$4="Chapter Hunt"),CHOOSE(ArtifactsInput!$N$27+1,20,24,28,32,36,40),0)/100)))+1)),0)</f>
        <v/>
      </c>
      <c r="S2677">
        <f>IF(C2677,(H2677*N2677*IF(AND(Inputs!$B$39&lt;&gt;"pvp",Inputs!$B$44&gt;0),((Skills!F9*((R2677-1)*IF(Skills!G9&gt;0,Skills!H9/Skills!G9,1)+IF(Skills!G9&gt;0,MIN(Skills!H9,MAX(0,MAX(0,Inputs!$B$44-B2707)-((R2677-1)*(IF(Inputs!$B$39="pvp",15,MAX(0.1,Skills!D9-IF(Skills!E9=TRUE,Inputs!$B$33,0)))*(1-IF(AND(ArtifactsInput!$M$27,Inputs!$B$4="Chapter Hunt"),CHOOSE(ArtifactsInput!$N$27+1,20,24,28,32,36,40),0)/100)))))/Skills!G9,1)))/Inputs!$B$44),G2677*Q2677))*IF(Inputs!$B$39="pvp",1,1+(Inputs!$B$21+Skills!O9+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2677*(1-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7">
        <f>IF(C2677,(H2677*N2677*IF(AND(Inputs!$B$39&lt;&gt;"pvp",Inputs!$B$44&gt;0),((Skills!F9*((R2677-1)*IF(Skills!G9&gt;0,Skills!H9/Skills!G9,1)+IF(Skills!G9&gt;0,MIN(Skills!H9,MAX(0,MAX(0,Inputs!$B$44-B2707)-((R2677-1)*(IF(Inputs!$B$39="pvp",15,MAX(0.1,Skills!D9-IF(Skills!E9=TRUE,Inputs!$B$33,0)))*(1-IF(AND(ArtifactsInput!$M$27,Inputs!$B$4="Chapter Hunt"),CHOOSE(ArtifactsInput!$N$27+1,20,24,28,32,36,40),0)/100)))))/Skills!G9,1)))/Inputs!$B$44),G2677*Q2677))*IF(Inputs!$B$39="pvp",1,(1+(Inputs!$B$22+Skills!P9+B2699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Skills!A10</f>
        <v/>
      </c>
      <c r="B2678">
        <f>Skills!B10</f>
        <v/>
      </c>
      <c r="C2678">
        <f>Inputs!$B$3&gt;=66</f>
        <v/>
      </c>
      <c r="D2678">
        <f>IF(Skills!C10=1,60+Inputs!$B$26+Inputs!$B$30,IF(Skills!C10=2,90+Inputs!$B$27+Inputs!$B$30,IF(Skills!C10=3,120+Inputs!$B$28+Inputs!$B$30,MAX(0,(Inputs!$B$3-100)*3)+Inputs!$B$29+Inputs!$B$30)))</f>
        <v/>
      </c>
      <c r="E2678">
        <f>INDEX(FactorTable!$B$2:$Y$301, MATCH(ROUND(MIN(300,MAX(1,D2678)),0), FactorTable!$A$2:$A$301,0), Skills!L10+1)</f>
        <v/>
      </c>
      <c r="F2678" t="n">
        <v>0</v>
      </c>
      <c r="G2678">
        <f>Calc!G10</f>
        <v/>
      </c>
      <c r="H2678">
        <f>Calc!H10</f>
        <v/>
      </c>
      <c r="I2678">
        <f>IF(Skills!T10&lt;&gt;"",1+(Skills!T10/10)*($Z$3/1000)/100,1)</f>
        <v/>
      </c>
      <c r="J2678" t="inlineStr"/>
      <c r="K2678" t="inlineStr"/>
      <c r="L2678" t="inlineStr"/>
      <c r="M2678" t="inlineStr"/>
      <c r="N2678" t="inlineStr"/>
      <c r="O2678">
        <f>(1-Summary!$B$11)*S2678+Summary!$B$11*U2678</f>
        <v/>
      </c>
      <c r="P2678">
        <f>IF(B2710=0,0,O2678/B2710)</f>
        <v/>
      </c>
      <c r="Q2678">
        <f>IFERROR(1/(IF(Inputs!$B$39="pvp",15,MAX(0.1,Skills!D10-IF(Skills!E10=TRUE,Inputs!$B$33,0)))*(1-IF(AND(ArtifactsInput!$M$27,Inputs!$B$4="Chapter Hunt"),CHOOSE(ArtifactsInput!$N$27+1,20,24,28,32,36,40),0)/100)),0)</f>
        <v/>
      </c>
      <c r="R2678">
        <f>IF(AND(Inputs!$B$39&lt;&gt;"pvp",Inputs!$B$44&gt;0),IF(MAX(0,Inputs!$B$44-B2707)&lt;=0,0,(INT(MAX(0,Inputs!$B$44-B2707)/(IF(Inputs!$B$39="pvp",15,MAX(0.1,Skills!D10-IF(Skills!E10=TRUE,Inputs!$B$33,0)))*(1-IF(AND(ArtifactsInput!$M$27,Inputs!$B$4="Chapter Hunt"),CHOOSE(ArtifactsInput!$N$27+1,20,24,28,32,36,40),0)/100)))+1)),0)</f>
        <v/>
      </c>
      <c r="S2678" t="n">
        <v>0</v>
      </c>
      <c r="U2678" t="n">
        <v>0</v>
      </c>
    </row>
    <row r="2679">
      <c r="A2679">
        <f>Skills!A11</f>
        <v/>
      </c>
      <c r="B2679">
        <f>Skills!B11</f>
        <v/>
      </c>
      <c r="C2679">
        <f>Inputs!$B$3&gt;=69</f>
        <v/>
      </c>
      <c r="D2679">
        <f>IF(Skills!C11=1,60+Inputs!$B$26+Inputs!$B$30,IF(Skills!C11=2,90+Inputs!$B$27+Inputs!$B$30,IF(Skills!C11=3,120+Inputs!$B$28+Inputs!$B$30,MAX(0,(Inputs!$B$3-100)*3)+Inputs!$B$29+Inputs!$B$30)))</f>
        <v/>
      </c>
      <c r="E2679">
        <f>INDEX(FactorTable!$B$2:$Y$301, MATCH(ROUND(MIN(300,MAX(1,D2679)),0), FactorTable!$A$2:$A$301,0), Skills!L11+1)</f>
        <v/>
      </c>
      <c r="F2679">
        <f>IF(Skills!M11=TRUE,(Skills!K11/10)*(E2679/1000),Skills!K11/10)+Skills!N11</f>
        <v/>
      </c>
      <c r="G2679">
        <f>Calc!G11</f>
        <v/>
      </c>
      <c r="H2679">
        <f>Calc!H11</f>
        <v/>
      </c>
      <c r="I2679">
        <f>IF(Skills!T11&lt;&gt;"",1+(Skills!T11/10)*($Z$3/1000)/100,1)</f>
        <v/>
      </c>
      <c r="J2679" t="inlineStr"/>
      <c r="K2679" t="inlineStr"/>
      <c r="L2679" t="inlineStr"/>
      <c r="M2679" t="inlineStr"/>
      <c r="N2679" t="inlineStr"/>
      <c r="O2679">
        <f>(1-Summary!$B$11)*S2679+Summary!$B$11*U2679</f>
        <v/>
      </c>
      <c r="P2679">
        <f>IF(B2710=0,0,O2679/B2710)</f>
        <v/>
      </c>
      <c r="Q2679">
        <f>IFERROR(1/(IF(Inputs!$B$39="pvp",15,MAX(0.1,Skills!D11-IF(Skills!E11=TRUE,Inputs!$B$33,0)))*(1-IF(AND(ArtifactsInput!$M$27,Inputs!$B$4="Chapter Hunt"),CHOOSE(ArtifactsInput!$N$27+1,20,24,28,32,36,40),0)/100)),0)</f>
        <v/>
      </c>
      <c r="R2679">
        <f>IF(AND(Inputs!$B$39&lt;&gt;"pvp",Inputs!$B$44&gt;0),IF(Inputs!$B$44&lt;=0,0,(INT(Inputs!$B$44/(IF(Inputs!$B$39="pvp",15,MAX(0.1,Skills!D11-IF(Skills!E11=TRUE,Inputs!$B$33,0)))*(1-IF(AND(ArtifactsInput!$M$27,Inputs!$B$4="Chapter Hunt"),CHOOSE(ArtifactsInput!$N$27+1,20,24,28,32,36,40),0)/100)))+1)),0)</f>
        <v/>
      </c>
      <c r="S2679" t="n">
        <v>0</v>
      </c>
      <c r="U2679" t="n">
        <v>0</v>
      </c>
    </row>
    <row r="2680">
      <c r="A2680">
        <f>Skills!A12</f>
        <v/>
      </c>
      <c r="B2680">
        <f>Skills!B12</f>
        <v/>
      </c>
      <c r="C2680">
        <f>Inputs!$B$3&gt;=72</f>
        <v/>
      </c>
      <c r="D2680">
        <f>IF(Skills!C12=1,60+Inputs!$B$26+Inputs!$B$30,IF(Skills!C12=2,90+Inputs!$B$27+Inputs!$B$30,IF(Skills!C12=3,120+Inputs!$B$28+Inputs!$B$30,MAX(0,(Inputs!$B$3-100)*3)+Inputs!$B$29+Inputs!$B$30)))</f>
        <v/>
      </c>
      <c r="E2680">
        <f>INDEX(FactorTable!$B$2:$Y$301, MATCH(ROUND(MIN(300,MAX(1,D2680)),0), FactorTable!$A$2:$A$301,0), Skills!L12+1)</f>
        <v/>
      </c>
      <c r="F2680">
        <f>IF(Skills!M12=TRUE,(Skills!K12/10)*(E2680/1000),Skills!K12/10)+Skills!N12</f>
        <v/>
      </c>
      <c r="G2680">
        <f>Calc!G12</f>
        <v/>
      </c>
      <c r="H2680">
        <f>Calc!H12</f>
        <v/>
      </c>
      <c r="I2680">
        <f>IF(Skills!T12&lt;&gt;"",1+(Skills!T12/10)*($Z$3/1000)/100,1)</f>
        <v/>
      </c>
      <c r="J2680" t="inlineStr"/>
      <c r="K2680" t="inlineStr"/>
      <c r="L2680" t="inlineStr"/>
      <c r="M2680" t="inlineStr"/>
      <c r="N2680" t="inlineStr"/>
      <c r="O2680">
        <f>(1-Summary!$B$11)*S2680+Summary!$B$11*U2680</f>
        <v/>
      </c>
      <c r="P2680">
        <f>IF(B2710=0,0,O2680/B2710)</f>
        <v/>
      </c>
      <c r="Q2680">
        <f>IFERROR(1/(IF(Inputs!$B$39="pvp",15,MAX(0.1,Skills!D12-IF(Skills!E12=TRUE,Inputs!$B$33,0)))*(1-IF(AND(ArtifactsInput!$M$27,Inputs!$B$4="Chapter Hunt"),CHOOSE(ArtifactsInput!$N$27+1,20,24,28,32,36,40),0)/100)),0)</f>
        <v/>
      </c>
      <c r="R2680">
        <f>IF(AND(Inputs!$B$39&lt;&gt;"pvp",Inputs!$B$44&gt;0),IF(MAX(0,Inputs!$B$44-B2707)&lt;=0,0,(INT(MAX(0,Inputs!$B$44-B2707)/(IF(Inputs!$B$39="pvp",15,MAX(0.1,Skills!D12-IF(Skills!E12=TRUE,Inputs!$B$33,0)))*(1-IF(AND(ArtifactsInput!$M$27,Inputs!$B$4="Chapter Hunt"),CHOOSE(ArtifactsInput!$N$27+1,20,24,28,32,36,40),0)/100)))+1)),0)</f>
        <v/>
      </c>
      <c r="S2680" t="n">
        <v>0</v>
      </c>
      <c r="U2680" t="n">
        <v>0</v>
      </c>
    </row>
    <row r="2681">
      <c r="A2681">
        <f>Skills!A13</f>
        <v/>
      </c>
      <c r="B2681">
        <f>Skills!B13</f>
        <v/>
      </c>
      <c r="C2681">
        <f>Inputs!$B$3&gt;=60</f>
        <v/>
      </c>
      <c r="D2681">
        <f>IF(Skills!C13=1,60+Inputs!$B$26+Inputs!$B$30,IF(Skills!C13=2,90+Inputs!$B$27+Inputs!$B$30,IF(Skills!C13=3,120+Inputs!$B$28+Inputs!$B$30,MAX(0,(Inputs!$B$3-100)*3)+Inputs!$B$29+Inputs!$B$30)))</f>
        <v/>
      </c>
      <c r="E2681">
        <f>INDEX(FactorTable!$B$2:$Y$301, MATCH(ROUND(MIN(300,MAX(1,D2681)),0), FactorTable!$A$2:$A$301,0), Skills!L13+1)</f>
        <v/>
      </c>
      <c r="F2681">
        <f>IF(Skills!M13=TRUE,(Skills!K13/10)*(E2681/1000),Skills!K13/10)+Skills!N13</f>
        <v/>
      </c>
      <c r="G2681">
        <f>Calc!G13</f>
        <v/>
      </c>
      <c r="H2681">
        <f>Calc!H13</f>
        <v/>
      </c>
      <c r="I2681">
        <f>IF(Skills!T13&lt;&gt;"",1+(Skills!T13/10)*($Z$3/1000)/100,1)</f>
        <v/>
      </c>
      <c r="J2681" t="inlineStr"/>
      <c r="K2681" t="inlineStr"/>
      <c r="L2681" t="inlineStr"/>
      <c r="M2681" t="inlineStr"/>
      <c r="N2681" t="inlineStr"/>
      <c r="O2681">
        <f>(1-Summary!$B$11)*S2681+Summary!$B$11*U2681</f>
        <v/>
      </c>
      <c r="P2681">
        <f>IF(B2710=0,0,O2681/B2710)</f>
        <v/>
      </c>
      <c r="Q2681">
        <f>IFERROR(1/(IF(Inputs!$B$39="pvp",15,MAX(0.1,Skills!D13-IF(Skills!E13=TRUE,Inputs!$B$33,0)))*(1-IF(AND(ArtifactsInput!$M$27,Inputs!$B$4="Chapter Hunt"),CHOOSE(ArtifactsInput!$N$27+1,20,24,28,32,36,40),0)/100)),0)</f>
        <v/>
      </c>
      <c r="R2681">
        <f>IF(AND(Inputs!$B$39&lt;&gt;"pvp",Inputs!$B$44&gt;0),IF(MAX(0,Inputs!$B$44-B2707)&lt;=0,0,(INT(MAX(0,Inputs!$B$44-B2707)/(IF(Inputs!$B$39="pvp",15,MAX(0.1,Skills!D13-IF(Skills!E13=TRUE,Inputs!$B$33,0)))*(1-IF(AND(ArtifactsInput!$M$27,Inputs!$B$4="Chapter Hunt"),CHOOSE(ArtifactsInput!$N$27+1,20,24,28,32,36,40),0)/100)))+1)),0)</f>
        <v/>
      </c>
      <c r="S2681" t="n">
        <v>0</v>
      </c>
      <c r="U2681" t="n">
        <v>0</v>
      </c>
    </row>
    <row r="2682">
      <c r="A2682">
        <f>Skills!A14</f>
        <v/>
      </c>
      <c r="B2682">
        <f>Skills!B14</f>
        <v/>
      </c>
      <c r="C2682">
        <f>Inputs!$B$3&gt;=107</f>
        <v/>
      </c>
      <c r="D2682">
        <f>IF(Skills!C14=1,60+Inputs!$B$26+Inputs!$B$30,IF(Skills!C14=2,90+Inputs!$B$27+Inputs!$B$30,IF(Skills!C14=3,120+Inputs!$B$28+Inputs!$B$30,MAX(0,(Inputs!$B$3-100)*3)+Inputs!$B$29+Inputs!$B$30)))</f>
        <v/>
      </c>
      <c r="E2682">
        <f>INDEX(FactorTable!$B$2:$Y$301, MATCH(ROUND(MIN(300,MAX(1,D2682)),0), FactorTable!$A$2:$A$301,0), Skills!L14+1)</f>
        <v/>
      </c>
      <c r="F2682">
        <f>IF(Skills!M14=TRUE,(Skills!K14/10)*(E2682/1000),Skills!K14/10)+Skills!N14</f>
        <v/>
      </c>
      <c r="G2682">
        <f>Calc!G14</f>
        <v/>
      </c>
      <c r="H2682">
        <f>Calc!H14</f>
        <v/>
      </c>
      <c r="I2682">
        <f>IF(Skills!T14&lt;&gt;"",1+(Skills!T14/10)*($Z$3/1000)/100,1)</f>
        <v/>
      </c>
      <c r="J2682" t="inlineStr"/>
      <c r="K2682" t="inlineStr"/>
      <c r="L2682" t="inlineStr"/>
      <c r="M2682" t="inlineStr"/>
      <c r="N2682" t="inlineStr"/>
      <c r="O2682">
        <f>(1-Summary!$B$11)*S2682+Summary!$B$11*U2682</f>
        <v/>
      </c>
      <c r="P2682">
        <f>IF(B2710=0,0,O2682/B2710)</f>
        <v/>
      </c>
      <c r="Q2682">
        <f>IFERROR(1/(IF(Inputs!$B$39="pvp",15,MAX(0.1,Skills!D14-IF(Skills!E14=TRUE,Inputs!$B$33,0)))*(1-IF(AND(ArtifactsInput!$M$27,Inputs!$B$4="Chapter Hunt"),CHOOSE(ArtifactsInput!$N$27+1,20,24,28,32,36,40),0)/100)),0)</f>
        <v/>
      </c>
      <c r="R2682">
        <f>IF(AND(Inputs!$B$39&lt;&gt;"pvp",Inputs!$B$44&gt;0),IF(Inputs!$B$44&lt;=0,0,(INT(Inputs!$B$44/(IF(Inputs!$B$39="pvp",15,MAX(0.1,Skills!D14-IF(Skills!E14=TRUE,Inputs!$B$33,0)))*(1-IF(AND(ArtifactsInput!$M$27,Inputs!$B$4="Chapter Hunt"),CHOOSE(ArtifactsInput!$N$27+1,20,24,28,32,36,40),0)/100)))+1)),0)</f>
        <v/>
      </c>
      <c r="S2682" t="n">
        <v>0</v>
      </c>
      <c r="U2682" t="n">
        <v>0</v>
      </c>
    </row>
    <row r="2683">
      <c r="A2683">
        <f>Skills!A15</f>
        <v/>
      </c>
      <c r="B2683">
        <f>Skills!B15</f>
        <v/>
      </c>
      <c r="C2683">
        <f>Inputs!$B$3&gt;=63</f>
        <v/>
      </c>
      <c r="D2683">
        <f>IF(Skills!C15=1,60+Inputs!$B$26+Inputs!$B$30,IF(Skills!C15=2,90+Inputs!$B$27+Inputs!$B$30,IF(Skills!C15=3,120+Inputs!$B$28+Inputs!$B$30,MAX(0,(Inputs!$B$3-100)*3)+Inputs!$B$29+Inputs!$B$30)))</f>
        <v/>
      </c>
      <c r="E2683">
        <f>INDEX(FactorTable!$B$2:$Y$301, MATCH(ROUND(MIN(300,MAX(1,D2683)),0), FactorTable!$A$2:$A$301,0), Skills!L15+1)</f>
        <v/>
      </c>
      <c r="F2683">
        <f>IF(Skills!M15=TRUE,(Skills!K15/10)*(E2683/1000),Skills!K15/10)+Skills!N15</f>
        <v/>
      </c>
      <c r="G2683">
        <f>Calc!G15</f>
        <v/>
      </c>
      <c r="H2683">
        <f>Calc!H15</f>
        <v/>
      </c>
      <c r="I2683">
        <f>IF(Skills!T15&lt;&gt;"",1+(Skills!T15/10)*($Z$3/1000)/100,1)</f>
        <v/>
      </c>
      <c r="J2683">
        <f>((Inputs!$B$6*(1+Inputs!$B$7/100))+(((Inputs!$B$13*(1+Inputs!$B$14/100))-(Inputs!$B$13*(1+Inputs!$B$14/100)))+0.25*(Inputs!$B$15-Inputs!$B$15))*(1+Inputs!$B$7/100))*(F2683/100)</f>
        <v/>
      </c>
      <c r="K2683">
        <f>J2683*(1+(((Inputs!$B$13+IF(Inputs!$B$3&gt;=35,(10*INDEX(FactorTable!$B$2:$Y$301,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15="TRIUMPH_FEATHER",IF(C2684=TRUE,F2684,0),0)/100)*(1+IF(C2695=TRUE,F2695,0)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2683)</f>
        <v/>
      </c>
      <c r="L2683">
        <f>K2683*(MIN(Inputs!$B$23+(F2690-Calc!F22),(Inputs!$B$24+IF(ArtifactsInput!$M$15,CHOOSE(ArtifactsInput!$N$15+1,25,30,35,40,45,50)/100*(Inputs!$B$12-Inputs!$B$12),0)))/100+(Inputs!$B$24+IF(ArtifactsInput!$M$15,CHOOSE(ArtifactsInput!$N$15+1,25,30,35,40,45,50)/100*(Inputs!$B$12-Inputs!$B$12),0))/100)/2</f>
        <v/>
      </c>
      <c r="M2683">
        <f>L2683*(1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3">
        <f>L2683*(1-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(1-Summary!$B$11)*S2683+Summary!$B$11*U2683</f>
        <v/>
      </c>
      <c r="P2683">
        <f>IF(B2710=0,0,O2683/B2710)</f>
        <v/>
      </c>
      <c r="Q2683">
        <f>IFERROR(1/(IF(Inputs!$B$39="pvp",15,MAX(0.1,Skills!D15-IF(Skills!E15=TRUE,Inputs!$B$33,0)))*(1-IF(AND(ArtifactsInput!$M$27,Inputs!$B$4="Chapter Hunt"),CHOOSE(ArtifactsInput!$N$27+1,20,24,28,32,36,40),0)/100)),0)</f>
        <v/>
      </c>
      <c r="R2683" t="n">
        <v>0</v>
      </c>
      <c r="S2683">
        <f>IF(C2683,(Skills!F15*N2683*((IF(Inputs!$B$3&gt;=78,25,15)/100*B2703*10)/(1+IF(Inputs!$B$3&gt;=78,25,15)/100*B2703*10))*(Skills!I15/100*B2703)/(1+Skills!G15*Skills!I15/100*B2703))*IF(Inputs!$B$39="pvp",1,1+(Inputs!$B$21+Skills!O15+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2683*(1-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3">
        <f>IF(C2683,(Skills!F15*N2683*((IF(Inputs!$B$3&gt;=78,25,15)/100*B2703*10)/(1+IF(Inputs!$B$3&gt;=78,25,15)/100*B2703*10))*(Skills!I15/100*B2703)/(1+Skills!G15*Skills!I15/100*B2703))*IF(Inputs!$B$39="pvp",1,(1+(Inputs!$B$22+Skills!P15+B2699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Skills!A16</f>
        <v/>
      </c>
      <c r="B2684">
        <f>Skills!B16</f>
        <v/>
      </c>
      <c r="C2684">
        <f>Inputs!$B$3&gt;=100</f>
        <v/>
      </c>
      <c r="D2684">
        <f>IF(Skills!C16=1,60+Inputs!$B$26+Inputs!$B$30,IF(Skills!C16=2,90+Inputs!$B$27+Inputs!$B$30,IF(Skills!C16=3,120+Inputs!$B$28+Inputs!$B$30,MAX(0,(Inputs!$B$3-100)*3)+Inputs!$B$29+Inputs!$B$30)))</f>
        <v/>
      </c>
      <c r="E2684">
        <f>INDEX(FactorTable!$B$2:$Y$301, MATCH(ROUND(MIN(300,MAX(1,D2684)),0), FactorTable!$A$2:$A$301,0), Skills!L16+1)</f>
        <v/>
      </c>
      <c r="F2684">
        <f>IF(Skills!M16=TRUE,(Skills!K16/10)*(E2684/1000),Skills!K16/10)+Skills!N16</f>
        <v/>
      </c>
      <c r="G2684">
        <f>Calc!G16</f>
        <v/>
      </c>
      <c r="H2684">
        <f>Calc!H16</f>
        <v/>
      </c>
      <c r="I2684">
        <f>IF(Skills!T16&lt;&gt;"",1+(Skills!T16/10)*($Z$3/1000)/100,1)</f>
        <v/>
      </c>
      <c r="J2684" t="inlineStr"/>
      <c r="K2684" t="inlineStr"/>
      <c r="L2684" t="inlineStr"/>
      <c r="M2684" t="inlineStr"/>
      <c r="N2684" t="inlineStr"/>
      <c r="O2684">
        <f>(1-Summary!$B$11)*S2684+Summary!$B$11*U2684</f>
        <v/>
      </c>
      <c r="P2684">
        <f>IF(B2710=0,0,O2684/B2710)</f>
        <v/>
      </c>
      <c r="Q2684">
        <f>IFERROR(1/(IF(Inputs!$B$39="pvp",15,MAX(0.1,Skills!D16-IF(Skills!E16=TRUE,Inputs!$B$33,0)))*(1-IF(AND(ArtifactsInput!$M$27,Inputs!$B$4="Chapter Hunt"),CHOOSE(ArtifactsInput!$N$27+1,20,24,28,32,36,40),0)/100)),0)</f>
        <v/>
      </c>
      <c r="R2684" t="n">
        <v>0</v>
      </c>
      <c r="S2684" t="n">
        <v>0</v>
      </c>
      <c r="U2684" t="n">
        <v>0</v>
      </c>
    </row>
    <row r="2685">
      <c r="A2685">
        <f>Skills!A17</f>
        <v/>
      </c>
      <c r="B2685">
        <f>Skills!B17</f>
        <v/>
      </c>
      <c r="C2685">
        <f>Inputs!$B$3&gt;=49</f>
        <v/>
      </c>
      <c r="D2685">
        <f>IF(Skills!C17=1,60+Inputs!$B$26+Inputs!$B$30,IF(Skills!C17=2,90+Inputs!$B$27+Inputs!$B$30,IF(Skills!C17=3,120+Inputs!$B$28+Inputs!$B$30,MAX(0,(Inputs!$B$3-100)*3)+Inputs!$B$29+Inputs!$B$30)))</f>
        <v/>
      </c>
      <c r="E2685">
        <f>INDEX(FactorTable!$B$2:$Y$301, MATCH(ROUND(MIN(300,MAX(1,D2685)),0), FactorTable!$A$2:$A$301,0), Skills!L17+1)</f>
        <v/>
      </c>
      <c r="F2685">
        <f>IF(Skills!M17=TRUE,(Skills!K17/10)*(E2685/1000),Skills!K17/10)+Skills!N17</f>
        <v/>
      </c>
      <c r="G2685">
        <f>Calc!G17</f>
        <v/>
      </c>
      <c r="H2685">
        <f>Calc!H17</f>
        <v/>
      </c>
      <c r="I2685">
        <f>IF(Skills!T17&lt;&gt;"",1+(Skills!T17/10)*($Z$3/1000)/100,1)</f>
        <v/>
      </c>
      <c r="J2685" t="inlineStr"/>
      <c r="K2685" t="inlineStr"/>
      <c r="L2685" t="inlineStr"/>
      <c r="M2685" t="inlineStr"/>
      <c r="N2685" t="inlineStr"/>
      <c r="O2685">
        <f>(1-Summary!$B$11)*S2685+Summary!$B$11*U2685</f>
        <v/>
      </c>
      <c r="P2685">
        <f>IF(B2710=0,0,O2685/B2710)</f>
        <v/>
      </c>
      <c r="Q2685">
        <f>IFERROR(1/(IF(Inputs!$B$39="pvp",15,MAX(0.1,Skills!D17-IF(Skills!E17=TRUE,Inputs!$B$33,0)))*(1-IF(AND(ArtifactsInput!$M$27,Inputs!$B$4="Chapter Hunt"),CHOOSE(ArtifactsInput!$N$27+1,20,24,28,32,36,40),0)/100)),0)</f>
        <v/>
      </c>
      <c r="R2685" t="n">
        <v>0</v>
      </c>
      <c r="S2685" t="n">
        <v>0</v>
      </c>
      <c r="U2685" t="n">
        <v>0</v>
      </c>
    </row>
    <row r="2686">
      <c r="A2686">
        <f>Skills!A18</f>
        <v/>
      </c>
      <c r="B2686">
        <f>Skills!B18</f>
        <v/>
      </c>
      <c r="C2686">
        <f>Inputs!$B$3&gt;=75</f>
        <v/>
      </c>
      <c r="D2686">
        <f>IF(Skills!C18=1,60+Inputs!$B$26+Inputs!$B$30,IF(Skills!C18=2,90+Inputs!$B$27+Inputs!$B$30,IF(Skills!C18=3,120+Inputs!$B$28+Inputs!$B$30,MAX(0,(Inputs!$B$3-100)*3)+Inputs!$B$29+Inputs!$B$30)))</f>
        <v/>
      </c>
      <c r="E2686">
        <f>INDEX(FactorTable!$B$2:$Y$301, MATCH(ROUND(MIN(300,MAX(1,D2686)),0), FactorTable!$A$2:$A$301,0), Skills!L18+1)</f>
        <v/>
      </c>
      <c r="F2686">
        <f>IF(Skills!M18=TRUE,(Skills!K18/10)*(E2686/1000),Skills!K18/10)+Skills!N18</f>
        <v/>
      </c>
      <c r="G2686">
        <f>Calc!G18</f>
        <v/>
      </c>
      <c r="H2686">
        <f>Calc!H18</f>
        <v/>
      </c>
      <c r="I2686">
        <f>IF(Skills!T18&lt;&gt;"",1+(Skills!T18/10)*($Z$3/1000)/100,1)</f>
        <v/>
      </c>
      <c r="J2686" t="inlineStr"/>
      <c r="K2686" t="inlineStr"/>
      <c r="L2686" t="inlineStr"/>
      <c r="M2686" t="inlineStr"/>
      <c r="N2686" t="inlineStr"/>
      <c r="O2686">
        <f>(1-Summary!$B$11)*S2686+Summary!$B$11*U2686</f>
        <v/>
      </c>
      <c r="P2686">
        <f>IF(B2710=0,0,O2686/B2710)</f>
        <v/>
      </c>
      <c r="Q2686">
        <f>IFERROR(1/(IF(Inputs!$B$39="pvp",15,MAX(0.1,Skills!D18-IF(Skills!E18=TRUE,Inputs!$B$33,0)))*(1-IF(AND(ArtifactsInput!$M$27,Inputs!$B$4="Chapter Hunt"),CHOOSE(ArtifactsInput!$N$27+1,20,24,28,32,36,40),0)/100)),0)</f>
        <v/>
      </c>
      <c r="R2686" t="n">
        <v>0</v>
      </c>
      <c r="S2686" t="n">
        <v>0</v>
      </c>
      <c r="U2686" t="n">
        <v>0</v>
      </c>
    </row>
    <row r="2687">
      <c r="A2687">
        <f>Skills!A19</f>
        <v/>
      </c>
      <c r="B2687">
        <f>Skills!B19</f>
        <v/>
      </c>
      <c r="C2687">
        <f>Inputs!$B$3&gt;=110</f>
        <v/>
      </c>
      <c r="D2687">
        <f>IF(Skills!C19=1,60+Inputs!$B$26+Inputs!$B$30,IF(Skills!C19=2,90+Inputs!$B$27+Inputs!$B$30,IF(Skills!C19=3,120+Inputs!$B$28+Inputs!$B$30,MAX(0,(Inputs!$B$3-100)*3)+Inputs!$B$29+Inputs!$B$30)))</f>
        <v/>
      </c>
      <c r="E2687">
        <f>INDEX(FactorTable!$B$2:$Y$301, MATCH(ROUND(MIN(300,MAX(1,D2687)),0), FactorTable!$A$2:$A$301,0), Skills!L19+1)</f>
        <v/>
      </c>
      <c r="F2687">
        <f>(Skills!K19/10)*(E2687/1000)*64/45+Skills!N19</f>
        <v/>
      </c>
      <c r="G2687">
        <f>Calc!G19</f>
        <v/>
      </c>
      <c r="H2687">
        <f>Calc!H19</f>
        <v/>
      </c>
      <c r="I2687">
        <f>IF(Skills!T19&lt;&gt;"",1+(Skills!T19/10)*($Z$3/1000)/100,1)</f>
        <v/>
      </c>
      <c r="J2687" t="inlineStr"/>
      <c r="K2687" t="inlineStr"/>
      <c r="L2687" t="inlineStr"/>
      <c r="M2687" t="inlineStr"/>
      <c r="N2687" t="inlineStr"/>
      <c r="O2687">
        <f>(1-Summary!$B$11)*S2687+Summary!$B$11*U2687</f>
        <v/>
      </c>
      <c r="P2687">
        <f>IF(B2710=0,0,O2687/B2710)</f>
        <v/>
      </c>
      <c r="Q2687">
        <f>IFERROR(1/(IF(Inputs!$B$39="pvp",15,MAX(0.1,Skills!D19-IF(Skills!E19=TRUE,Inputs!$B$33,0)))*(1-IF(AND(ArtifactsInput!$M$27,Inputs!$B$4="Chapter Hunt"),CHOOSE(ArtifactsInput!$N$27+1,20,24,28,32,36,40),0)/100)),0)</f>
        <v/>
      </c>
      <c r="R2687">
        <f>IF(AND(Inputs!$B$39&lt;&gt;"pvp",Inputs!$B$44&gt;0),IF(Inputs!$B$44&lt;=0,0,(INT(Inputs!$B$44/(IF(Inputs!$B$39="pvp",15,MAX(0.1,Skills!D19-IF(Skills!E19=TRUE,Inputs!$B$33,0)))*(1-IF(AND(ArtifactsInput!$M$27,Inputs!$B$4="Chapter Hunt"),CHOOSE(ArtifactsInput!$N$27+1,20,24,28,32,36,40),0)/100)))+1)),0)</f>
        <v/>
      </c>
      <c r="S2687" t="n">
        <v>0</v>
      </c>
      <c r="U2687" t="n">
        <v>0</v>
      </c>
    </row>
    <row r="2688">
      <c r="A2688">
        <f>Skills!A20</f>
        <v/>
      </c>
      <c r="B2688">
        <f>Skills!B20</f>
        <v/>
      </c>
      <c r="C2688">
        <f>Inputs!$B$3&gt;=125</f>
        <v/>
      </c>
      <c r="D2688">
        <f>IF(Skills!C20=1,60+Inputs!$B$26+Inputs!$B$30,IF(Skills!C20=2,90+Inputs!$B$27+Inputs!$B$30,IF(Skills!C20=3,120+Inputs!$B$28+Inputs!$B$30,MAX(0,(Inputs!$B$3-100)*3)+Inputs!$B$29+Inputs!$B$30)))</f>
        <v/>
      </c>
      <c r="E2688">
        <f>INDEX(FactorTable!$B$2:$Y$301, MATCH(ROUND(MIN(300,MAX(1,D2688)),0), FactorTable!$A$2:$A$301,0), Skills!L20+1)</f>
        <v/>
      </c>
      <c r="F2688">
        <f>IF(Skills!M20=TRUE,(Skills!K20/10)*(E2688/1000),Skills!K20/10)+Skills!N20</f>
        <v/>
      </c>
      <c r="G2688">
        <f>Calc!G20</f>
        <v/>
      </c>
      <c r="H2688">
        <f>Calc!H20</f>
        <v/>
      </c>
      <c r="I2688">
        <f>IF(Skills!T20&lt;&gt;"",1+(Skills!T20/10)*($Z$3/1000)/100,1)</f>
        <v/>
      </c>
      <c r="J2688" t="inlineStr"/>
      <c r="K2688" t="inlineStr"/>
      <c r="L2688" t="inlineStr"/>
      <c r="M2688" t="inlineStr"/>
      <c r="N2688" t="inlineStr"/>
      <c r="O2688">
        <f>(1-Summary!$B$11)*S2688+Summary!$B$11*U2688</f>
        <v/>
      </c>
      <c r="P2688">
        <f>IF(B2710=0,0,O2688/B2710)</f>
        <v/>
      </c>
      <c r="Q2688">
        <f>IFERROR(1/(IF(Inputs!$B$39="pvp",15,MAX(0.1,Skills!D20-IF(Skills!E20=TRUE,Inputs!$B$33,0)))*(1-IF(AND(ArtifactsInput!$M$27,Inputs!$B$4="Chapter Hunt"),CHOOSE(ArtifactsInput!$N$27+1,20,24,28,32,36,40),0)/100)),0)</f>
        <v/>
      </c>
      <c r="R2688" t="n">
        <v>0</v>
      </c>
      <c r="S2688" t="n">
        <v>0</v>
      </c>
      <c r="U2688" t="n">
        <v>0</v>
      </c>
    </row>
    <row r="2689">
      <c r="A2689">
        <f>Skills!A21</f>
        <v/>
      </c>
      <c r="B2689">
        <f>Skills!B21</f>
        <v/>
      </c>
      <c r="C2689">
        <f>Inputs!$B$3&gt;=33</f>
        <v/>
      </c>
      <c r="D2689">
        <f>IF(Skills!C21=1,60+Inputs!$B$26+Inputs!$B$30,IF(Skills!C21=2,90+Inputs!$B$27+Inputs!$B$30,IF(Skills!C21=3,120+Inputs!$B$28+Inputs!$B$30,MAX(0,(Inputs!$B$3-100)*3)+Inputs!$B$29+Inputs!$B$30)))</f>
        <v/>
      </c>
      <c r="E2689">
        <f>INDEX(FactorTable!$B$2:$Y$301, MATCH(ROUND(MIN(300,MAX(1,D2689)),0), FactorTable!$A$2:$A$301,0), Skills!L21+1)</f>
        <v/>
      </c>
      <c r="F2689">
        <f>IF(Skills!M21=TRUE,(Skills!K21/10)*(E2689/1000),Skills!K21/10)+Skills!N21</f>
        <v/>
      </c>
      <c r="G2689">
        <f>Calc!G21</f>
        <v/>
      </c>
      <c r="H2689">
        <f>Calc!H21</f>
        <v/>
      </c>
      <c r="I2689">
        <f>IF(Skills!T21&lt;&gt;"",1+(Skills!T21/10)*($Z$3/1000)/100,1)</f>
        <v/>
      </c>
      <c r="J2689" t="inlineStr"/>
      <c r="K2689" t="inlineStr"/>
      <c r="L2689" t="inlineStr"/>
      <c r="M2689" t="inlineStr"/>
      <c r="N2689" t="inlineStr"/>
      <c r="O2689">
        <f>(1-Summary!$B$11)*S2689+Summary!$B$11*U2689</f>
        <v/>
      </c>
      <c r="P2689">
        <f>IF(B2710=0,0,O2689/B2710)</f>
        <v/>
      </c>
      <c r="Q2689">
        <f>IFERROR(1/(IF(Inputs!$B$39="pvp",15,MAX(0.1,Skills!D21-IF(Skills!E21=TRUE,Inputs!$B$33,0)))*(1-IF(AND(ArtifactsInput!$M$27,Inputs!$B$4="Chapter Hunt"),CHOOSE(ArtifactsInput!$N$27+1,20,24,28,32,36,40),0)/100)),0)</f>
        <v/>
      </c>
      <c r="R2689" t="n">
        <v>0</v>
      </c>
      <c r="S2689" t="n">
        <v>0</v>
      </c>
      <c r="U2689" t="n">
        <v>0</v>
      </c>
    </row>
    <row r="2690">
      <c r="A2690">
        <f>Skills!A22</f>
        <v/>
      </c>
      <c r="B2690">
        <f>Skills!B22</f>
        <v/>
      </c>
      <c r="C2690">
        <f>Inputs!$B$3&gt;=43</f>
        <v/>
      </c>
      <c r="D2690">
        <f>IF(Skills!C22=1,60+Inputs!$B$26+Inputs!$B$30,IF(Skills!C22=2,90+Inputs!$B$27+Inputs!$B$30,IF(Skills!C22=3,120+Inputs!$B$28+Inputs!$B$30,MAX(0,(Inputs!$B$3-100)*3)+Inputs!$B$29+Inputs!$B$30)))</f>
        <v/>
      </c>
      <c r="E2690">
        <f>INDEX(FactorTable!$B$2:$Y$301, MATCH(ROUND(MIN(300,MAX(1,D2690)),0), FactorTable!$A$2:$A$301,0), Skills!L22+1)</f>
        <v/>
      </c>
      <c r="F2690">
        <f>IF(Skills!M22=TRUE,(Skills!K22/10)*(E2690/1000),Skills!K22/10)+Skills!N22</f>
        <v/>
      </c>
      <c r="G2690">
        <f>Calc!G22</f>
        <v/>
      </c>
      <c r="H2690">
        <f>Calc!H22</f>
        <v/>
      </c>
      <c r="I2690">
        <f>IF(Skills!T22&lt;&gt;"",1+(Skills!T22/10)*($Z$3/1000)/100,1)</f>
        <v/>
      </c>
      <c r="J2690" t="inlineStr"/>
      <c r="K2690" t="inlineStr"/>
      <c r="L2690" t="inlineStr"/>
      <c r="M2690" t="inlineStr"/>
      <c r="N2690" t="inlineStr"/>
      <c r="O2690">
        <f>(1-Summary!$B$11)*S2690+Summary!$B$11*U2690</f>
        <v/>
      </c>
      <c r="P2690">
        <f>IF(B2710=0,0,O2690/B2710)</f>
        <v/>
      </c>
      <c r="Q2690">
        <f>IFERROR(1/(IF(Inputs!$B$39="pvp",15,MAX(0.1,Skills!D22-IF(Skills!E22=TRUE,Inputs!$B$33,0)))*(1-IF(AND(ArtifactsInput!$M$27,Inputs!$B$4="Chapter Hunt"),CHOOSE(ArtifactsInput!$N$27+1,20,24,28,32,36,40),0)/100)),0)</f>
        <v/>
      </c>
      <c r="R2690" t="n">
        <v>0</v>
      </c>
      <c r="S2690" t="n">
        <v>0</v>
      </c>
      <c r="U2690" t="n">
        <v>0</v>
      </c>
    </row>
    <row r="2691">
      <c r="A2691">
        <f>Skills!A23</f>
        <v/>
      </c>
      <c r="B2691">
        <f>Skills!B23</f>
        <v/>
      </c>
      <c r="C2691">
        <f>Inputs!$B$3&gt;=50</f>
        <v/>
      </c>
      <c r="D2691">
        <f>IF(Skills!C23=1,60+Inputs!$B$26+Inputs!$B$30,IF(Skills!C23=2,90+Inputs!$B$27+Inputs!$B$30,IF(Skills!C23=3,120+Inputs!$B$28+Inputs!$B$30,MAX(0,(Inputs!$B$3-100)*3)+Inputs!$B$29+Inputs!$B$30)))</f>
        <v/>
      </c>
      <c r="E2691">
        <f>INDEX(FactorTable!$B$2:$Y$301, MATCH(ROUND(MIN(300,MAX(1,D2691)),0), FactorTable!$A$2:$A$301,0), Skills!L23+1)</f>
        <v/>
      </c>
      <c r="F2691">
        <f>IF(Skills!M23=TRUE,(Skills!K23/10)*(E2691/1000),Skills!K23/10)+Skills!N23</f>
        <v/>
      </c>
      <c r="G2691">
        <f>Calc!G23</f>
        <v/>
      </c>
      <c r="H2691">
        <f>Calc!H23</f>
        <v/>
      </c>
      <c r="I2691">
        <f>IF(Skills!T23&lt;&gt;"",1+(Skills!T23/10)*($Z$3/1000)/100,1)</f>
        <v/>
      </c>
      <c r="J2691" t="inlineStr"/>
      <c r="K2691" t="inlineStr"/>
      <c r="L2691" t="inlineStr"/>
      <c r="M2691" t="inlineStr"/>
      <c r="N2691" t="inlineStr"/>
      <c r="O2691">
        <f>(1-Summary!$B$11)*S2691+Summary!$B$11*U2691</f>
        <v/>
      </c>
      <c r="P2691">
        <f>IF(B2710=0,0,O2691/B2710)</f>
        <v/>
      </c>
      <c r="Q2691">
        <f>IFERROR(1/(IF(Inputs!$B$39="pvp",15,MAX(0.1,Skills!D23-IF(Skills!E23=TRUE,Inputs!$B$33,0)))*(1-IF(AND(ArtifactsInput!$M$27,Inputs!$B$4="Chapter Hunt"),CHOOSE(ArtifactsInput!$N$27+1,20,24,28,32,36,40),0)/100)),0)</f>
        <v/>
      </c>
      <c r="R2691" t="n">
        <v>0</v>
      </c>
      <c r="S2691" t="n">
        <v>0</v>
      </c>
      <c r="U2691" t="n">
        <v>0</v>
      </c>
    </row>
    <row r="2692">
      <c r="A2692">
        <f>Skills!A24</f>
        <v/>
      </c>
      <c r="B2692">
        <f>Skills!B24</f>
        <v/>
      </c>
      <c r="C2692">
        <f>Inputs!$B$3&gt;=74</f>
        <v/>
      </c>
      <c r="D2692">
        <f>IF(Skills!C24=1,60+Inputs!$B$26+Inputs!$B$30,IF(Skills!C24=2,90+Inputs!$B$27+Inputs!$B$30,IF(Skills!C24=3,120+Inputs!$B$28+Inputs!$B$30,MAX(0,(Inputs!$B$3-100)*3)+Inputs!$B$29+Inputs!$B$30)))</f>
        <v/>
      </c>
      <c r="E2692">
        <f>INDEX(FactorTable!$B$2:$Y$301, MATCH(ROUND(MIN(300,MAX(1,D2692)),0), FactorTable!$A$2:$A$301,0), Skills!L24+1)</f>
        <v/>
      </c>
      <c r="F2692">
        <f>IF(Skills!M24=TRUE,(Skills!K24/10)*(E2692/1000),Skills!K24/10)+Skills!N24</f>
        <v/>
      </c>
      <c r="G2692">
        <f>Calc!G24</f>
        <v/>
      </c>
      <c r="H2692">
        <f>Calc!H24</f>
        <v/>
      </c>
      <c r="I2692">
        <f>IF(Skills!T24&lt;&gt;"",1+(Skills!T24/10)*($Z$3/1000)/100,1)</f>
        <v/>
      </c>
      <c r="J2692" t="inlineStr"/>
      <c r="K2692" t="inlineStr"/>
      <c r="L2692" t="inlineStr"/>
      <c r="M2692" t="inlineStr"/>
      <c r="N2692" t="inlineStr"/>
      <c r="O2692">
        <f>(1-Summary!$B$11)*S2692+Summary!$B$11*U2692</f>
        <v/>
      </c>
      <c r="P2692">
        <f>IF(B2710=0,0,O2692/B2710)</f>
        <v/>
      </c>
      <c r="Q2692">
        <f>IFERROR(1/(IF(Inputs!$B$39="pvp",15,MAX(0.1,Skills!D24-IF(Skills!E24=TRUE,Inputs!$B$33,0)))*(1-IF(AND(ArtifactsInput!$M$27,Inputs!$B$4="Chapter Hunt"),CHOOSE(ArtifactsInput!$N$27+1,20,24,28,32,36,40),0)/100)),0)</f>
        <v/>
      </c>
      <c r="R2692" t="n">
        <v>0</v>
      </c>
      <c r="S2692" t="n">
        <v>0</v>
      </c>
      <c r="U2692" t="n">
        <v>0</v>
      </c>
    </row>
    <row r="2693">
      <c r="A2693">
        <f>Skills!A25</f>
        <v/>
      </c>
      <c r="B2693">
        <f>Skills!B25</f>
        <v/>
      </c>
      <c r="C2693">
        <f>Inputs!$B$3&gt;=74</f>
        <v/>
      </c>
      <c r="D2693">
        <f>IF(Skills!C25=1,60+Inputs!$B$26+Inputs!$B$30,IF(Skills!C25=2,90+Inputs!$B$27+Inputs!$B$30,IF(Skills!C25=3,120+Inputs!$B$28+Inputs!$B$30,MAX(0,(Inputs!$B$3-100)*3)+Inputs!$B$29+Inputs!$B$30)))</f>
        <v/>
      </c>
      <c r="E2693">
        <f>INDEX(FactorTable!$B$2:$Y$301, MATCH(ROUND(MIN(300,MAX(1,D2693)),0), FactorTable!$A$2:$A$301,0), Skills!L25+1)</f>
        <v/>
      </c>
      <c r="F2693">
        <f>IF(Skills!M25=TRUE,(Skills!K25/10)*(E2693/1000),Skills!K25/10)+Skills!N25</f>
        <v/>
      </c>
      <c r="G2693">
        <f>Calc!G25</f>
        <v/>
      </c>
      <c r="H2693">
        <f>Calc!H25</f>
        <v/>
      </c>
      <c r="I2693">
        <f>IF(Skills!T25&lt;&gt;"",1+(Skills!T25/10)*($Z$3/1000)/100,1)</f>
        <v/>
      </c>
      <c r="J2693" t="inlineStr"/>
      <c r="K2693" t="inlineStr"/>
      <c r="L2693" t="inlineStr"/>
      <c r="M2693" t="inlineStr"/>
      <c r="N2693" t="inlineStr"/>
      <c r="O2693">
        <f>(1-Summary!$B$11)*S2693+Summary!$B$11*U2693</f>
        <v/>
      </c>
      <c r="P2693">
        <f>IF(B2710=0,0,O2693/B2710)</f>
        <v/>
      </c>
      <c r="Q2693">
        <f>IFERROR(1/(IF(Inputs!$B$39="pvp",15,MAX(0.1,Skills!D25-IF(Skills!E25=TRUE,Inputs!$B$33,0)))*(1-IF(AND(ArtifactsInput!$M$27,Inputs!$B$4="Chapter Hunt"),CHOOSE(ArtifactsInput!$N$27+1,20,24,28,32,36,40),0)/100)),0)</f>
        <v/>
      </c>
      <c r="R2693" t="n">
        <v>0</v>
      </c>
      <c r="S2693" t="n">
        <v>0</v>
      </c>
      <c r="U2693" t="n">
        <v>0</v>
      </c>
    </row>
    <row r="2694">
      <c r="A2694">
        <f>Skills!A26</f>
        <v/>
      </c>
      <c r="B2694">
        <f>Skills!B26</f>
        <v/>
      </c>
      <c r="C2694">
        <f>Inputs!$B$3&gt;=117</f>
        <v/>
      </c>
      <c r="D2694">
        <f>IF(Skills!C26=1,60+Inputs!$B$26+Inputs!$B$30,IF(Skills!C26=2,90+Inputs!$B$27+Inputs!$B$30,IF(Skills!C26=3,120+Inputs!$B$28+Inputs!$B$30,MAX(0,(Inputs!$B$3-100)*3)+Inputs!$B$29+Inputs!$B$30)))</f>
        <v/>
      </c>
      <c r="E2694">
        <f>INDEX(FactorTable!$B$2:$Y$301, MATCH(ROUND(MIN(300,MAX(1,D2694)),0), FactorTable!$A$2:$A$301,0), Skills!L26+1)</f>
        <v/>
      </c>
      <c r="F2694">
        <f>IF(Skills!M26=TRUE,(Skills!K26/10)*(E2694/1000),Skills!K26/10)+Skills!N26</f>
        <v/>
      </c>
      <c r="G2694">
        <f>Calc!G26</f>
        <v/>
      </c>
      <c r="H2694">
        <f>Calc!H26</f>
        <v/>
      </c>
      <c r="I2694">
        <f>IF(Skills!T26&lt;&gt;"",1+(Skills!T26/10)*($Z$3/1000)/100,1)</f>
        <v/>
      </c>
      <c r="J2694" t="inlineStr"/>
      <c r="K2694" t="inlineStr"/>
      <c r="L2694" t="inlineStr"/>
      <c r="M2694" t="inlineStr"/>
      <c r="N2694" t="inlineStr"/>
      <c r="O2694">
        <f>(1-Summary!$B$11)*S2694+Summary!$B$11*U2694</f>
        <v/>
      </c>
      <c r="P2694">
        <f>IF(B2710=0,0,O2694/B2710)</f>
        <v/>
      </c>
      <c r="Q2694">
        <f>IFERROR(1/(IF(Inputs!$B$39="pvp",15,MAX(0.1,Skills!D26-IF(Skills!E26=TRUE,Inputs!$B$33,0)))*(1-IF(AND(ArtifactsInput!$M$27,Inputs!$B$4="Chapter Hunt"),CHOOSE(ArtifactsInput!$N$27+1,20,24,28,32,36,40),0)/100)),0)</f>
        <v/>
      </c>
      <c r="R2694" t="n">
        <v>0</v>
      </c>
      <c r="S2694" t="n">
        <v>0</v>
      </c>
      <c r="U2694" t="n">
        <v>0</v>
      </c>
    </row>
    <row r="2695">
      <c r="A2695">
        <f>Skills!A27</f>
        <v/>
      </c>
      <c r="B2695">
        <f>Skills!B27</f>
        <v/>
      </c>
      <c r="C2695">
        <f>Inputs!$B$3&gt;=120</f>
        <v/>
      </c>
      <c r="D2695">
        <f>IF(Skills!C27=1,60+Inputs!$B$26+Inputs!$B$30,IF(Skills!C27=2,90+Inputs!$B$27+Inputs!$B$30,IF(Skills!C27=3,120+Inputs!$B$28+Inputs!$B$30,MAX(0,(Inputs!$B$3-100)*3)+Inputs!$B$29+Inputs!$B$30)))</f>
        <v/>
      </c>
      <c r="E2695">
        <f>INDEX(FactorTable!$B$2:$Y$301, MATCH(ROUND(MIN(300,MAX(1,D2695)),0), FactorTable!$A$2:$A$301,0), Skills!L27+1)</f>
        <v/>
      </c>
      <c r="F2695">
        <f>IF(Skills!M27=TRUE,(Skills!K27/10)*(E2695/1000),Skills!K27/10)+Skills!N27</f>
        <v/>
      </c>
      <c r="G2695">
        <f>Calc!G27</f>
        <v/>
      </c>
      <c r="H2695">
        <f>Calc!H27</f>
        <v/>
      </c>
      <c r="I2695">
        <f>IF(Skills!T27&lt;&gt;"",1+(Skills!T27/10)*($Z$3/1000)/100,1)</f>
        <v/>
      </c>
      <c r="J2695" t="inlineStr"/>
      <c r="K2695" t="inlineStr"/>
      <c r="L2695" t="inlineStr"/>
      <c r="M2695" t="inlineStr"/>
      <c r="N2695" t="inlineStr"/>
      <c r="O2695">
        <f>(1-Summary!$B$11)*S2695+Summary!$B$11*U2695</f>
        <v/>
      </c>
      <c r="P2695">
        <f>IF(B2710=0,0,O2695/B2710)</f>
        <v/>
      </c>
      <c r="Q2695">
        <f>IFERROR(1/(IF(Inputs!$B$39="pvp",15,MAX(0.1,Skills!D27-IF(Skills!E27=TRUE,Inputs!$B$33,0)))*(1-IF(AND(ArtifactsInput!$M$27,Inputs!$B$4="Chapter Hunt"),CHOOSE(ArtifactsInput!$N$27+1,20,24,28,32,36,40),0)/100)),0)</f>
        <v/>
      </c>
      <c r="R2695" t="n">
        <v>0</v>
      </c>
      <c r="S2695" t="n">
        <v>0</v>
      </c>
      <c r="U2695" t="n">
        <v>0</v>
      </c>
    </row>
    <row r="2697">
      <c r="A2697" t="inlineStr">
        <is>
          <t>Average Buff Multiplier</t>
        </is>
      </c>
      <c r="B2697">
        <f>(1+(IF(C2671=TRUE,F2671*IF(AND(Inputs!$B$39&lt;&gt;"pvp",Inputs!$B$44&gt;0),(((R2671-1)*(Skills!S3*(1+((Inputs!$B$35+(ArtifactsInput!$M$7-ArtifactsInput!$M$7)*CHOOSE(ArtifactsInput!$N$7+1,6,7.2,8.4,9.6,10.8,12))+IF(Inputs!$B$3&gt;=117,F2694,0))/100))+MIN((Skills!S3*(1+((Inputs!$B$35+(ArtifactsInput!$M$7-ArtifactsInput!$M$7)*CHOOSE(ArtifactsInput!$N$7+1,6,7.2,8.4,9.6,10.8,12))+IF(Inputs!$B$3&gt;=117,F2694,0))/100)),MAX(0,Inputs!$B$44-((R2671-1)*Skills!D3))))/Inputs!$B$44),IF(Inputs!$B$39="pvp",MIN((Skills!S3*(1+((Inputs!$B$35+(ArtifactsInput!$M$7-ArtifactsInput!$M$7)*CHOOSE(ArtifactsInput!$N$7+1,6,7.2,8.4,9.6,10.8,12))+IF(Inputs!$B$3&gt;=117,F2694,0))/100)),15)/15,(Skills!S3*(1+((Inputs!$B$35+(ArtifactsInput!$M$7-ArtifactsInput!$M$7)*CHOOSE(ArtifactsInput!$N$7+1,6,7.2,8.4,9.6,10.8,12))+IF(Inputs!$B$3&gt;=117,F2694,0))/100))/Skills!D3)),0)+IF(C2672=TRUE,F2672*IF(AND(Inputs!$B$39&lt;&gt;"pvp",Inputs!$B$44&gt;0),(((R2672-1)*(Skills!S4*(1+((Inputs!$B$35+(ArtifactsInput!$M$7-ArtifactsInput!$M$7)*CHOOSE(ArtifactsInput!$N$7+1,6,7.2,8.4,9.6,10.8,12))+IF(Inputs!$B$3&gt;=117,F2694,0))/100))+MIN((Skills!S4*(1+((Inputs!$B$35+(ArtifactsInput!$M$7-ArtifactsInput!$M$7)*CHOOSE(ArtifactsInput!$N$7+1,6,7.2,8.4,9.6,10.8,12))+IF(Inputs!$B$3&gt;=117,F2694,0))/100)),MAX(0,Inputs!$B$44-((R2672-1)*Skills!D4))))/Inputs!$B$44),IF(Inputs!$B$39="pvp",MIN((Skills!S4*(1+((Inputs!$B$35+(ArtifactsInput!$M$7-ArtifactsInput!$M$7)*CHOOSE(ArtifactsInput!$N$7+1,6,7.2,8.4,9.6,10.8,12))+IF(Inputs!$B$3&gt;=117,F2694,0))/100)),15)/15,(Skills!S4*(1+((Inputs!$B$35+(ArtifactsInput!$M$7-ArtifactsInput!$M$7)*CHOOSE(ArtifactsInput!$N$7+1,6,7.2,8.4,9.6,10.8,12))+IF(Inputs!$B$3&gt;=117,F2694,0))/100))/Skills!D4)),0)+IF(C2673=TRUE,F2673*IF(AND(Inputs!$B$39&lt;&gt;"pvp",Inputs!$B$44&gt;0),(((R2673-1)*(Skills!S5*(1+((Inputs!$B$35+(ArtifactsInput!$M$7-ArtifactsInput!$M$7)*CHOOSE(ArtifactsInput!$N$7+1,6,7.2,8.4,9.6,10.8,12))+IF(Inputs!$B$3&gt;=117,F2694,0))/100))+MIN((Skills!S5*(1+((Inputs!$B$35+(ArtifactsInput!$M$7-ArtifactsInput!$M$7)*CHOOSE(ArtifactsInput!$N$7+1,6,7.2,8.4,9.6,10.8,12))+IF(Inputs!$B$3&gt;=117,F2694,0))/100)),MAX(0,Inputs!$B$44-((R2673-1)*Skills!D5))))/Inputs!$B$44),IF(Inputs!$B$39="pvp",MIN((Skills!S5*(1+((Inputs!$B$35+(ArtifactsInput!$M$7-ArtifactsInput!$M$7)*CHOOSE(ArtifactsInput!$N$7+1,6,7.2,8.4,9.6,10.8,12))+IF(Inputs!$B$3&gt;=117,F2694,0))/100)),15)/15,(Skills!S5*(1+((Inputs!$B$35+(ArtifactsInput!$M$7-ArtifactsInput!$M$7)*CHOOSE(ArtifactsInput!$N$7+1,6,7.2,8.4,9.6,10.8,12))+IF(Inputs!$B$3&gt;=117,F2694,0))/100))/Skills!D5)),0)+IF(C2679=TRUE,F2679*IF(AND(Inputs!$B$39&lt;&gt;"pvp",Inputs!$B$44&gt;0),(((R2679-1)*(Skills!S11*(1+((Inputs!$B$35+(ArtifactsInput!$M$7-ArtifactsInput!$M$7)*CHOOSE(ArtifactsInput!$N$7+1,6,7.2,8.4,9.6,10.8,12))+IF(Inputs!$B$3&gt;=117,F2694,0))/100))+MIN((Skills!S11*(1+((Inputs!$B$35+(ArtifactsInput!$M$7-ArtifactsInput!$M$7)*CHOOSE(ArtifactsInput!$N$7+1,6,7.2,8.4,9.6,10.8,12))+IF(Inputs!$B$3&gt;=117,F2694,0))/100)),MAX(0,Inputs!$B$44-((R2679-1)*Skills!D11))))/Inputs!$B$44),IF(Inputs!$B$39="pvp",MIN((Skills!S11*(1+((Inputs!$B$35+(ArtifactsInput!$M$7-ArtifactsInput!$M$7)*CHOOSE(ArtifactsInput!$N$7+1,6,7.2,8.4,9.6,10.8,12))+IF(Inputs!$B$3&gt;=117,F2694,0))/100)),15)/15,(Skills!S11*(1+((Inputs!$B$35+(ArtifactsInput!$M$7-ArtifactsInput!$M$7)*CHOOSE(ArtifactsInput!$N$7+1,6,7.2,8.4,9.6,10.8,12))+IF(Inputs!$B$3&gt;=117,F2694,0)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2682=TRUE,(1+F2682*IF(AND(Inputs!$B$39&lt;&gt;"pvp",Inputs!$B$44&gt;0),(((R2682-1)*(Skills!S14*(1+((Inputs!$B$35+(ArtifactsInput!$M$7-ArtifactsInput!$M$7)*CHOOSE(ArtifactsInput!$N$7+1,6,7.2,8.4,9.6,10.8,12))+IF(Inputs!$B$3&gt;=117,F2694,0))/100))+MIN((Skills!S14*(1+((Inputs!$B$35+(ArtifactsInput!$M$7-ArtifactsInput!$M$7)*CHOOSE(ArtifactsInput!$N$7+1,6,7.2,8.4,9.6,10.8,12))+IF(Inputs!$B$3&gt;=117,F2694,0))/100)),MAX(0,Inputs!$B$44-((R2682-1)*Skills!D14))))/Inputs!$B$44),IF(Inputs!$B$39="pvp",MIN((Skills!S14*(1+((Inputs!$B$35+(ArtifactsInput!$M$7-ArtifactsInput!$M$7)*CHOOSE(ArtifactsInput!$N$7+1,6,7.2,8.4,9.6,10.8,12))+IF(Inputs!$B$3&gt;=117,F2694,0))/100)),15)/15,(Skills!S14*(1+((Inputs!$B$35+(ArtifactsInput!$M$7-ArtifactsInput!$M$7)*CHOOSE(ArtifactsInput!$N$7+1,6,7.2,8.4,9.6,10.8,12))+IF(Inputs!$B$3&gt;=117,F2694,0))/100))/Skills!D14))/100),1)*IF(C2687=TRUE,(1+F2687*IF(AND(Inputs!$B$39&lt;&gt;"pvp",Inputs!$B$44&gt;0),(((R2687-1)*(Skills!S19*(1+((Inputs!$B$35+(ArtifactsInput!$M$7-ArtifactsInput!$M$7)*CHOOSE(ArtifactsInput!$N$7+1,6,7.2,8.4,9.6,10.8,12))+IF(Inputs!$B$3&gt;=117,F2694,0))/100))+MIN((Skills!S19*(1+((Inputs!$B$35+(ArtifactsInput!$M$7-ArtifactsInput!$M$7)*CHOOSE(ArtifactsInput!$N$7+1,6,7.2,8.4,9.6,10.8,12))+IF(Inputs!$B$3&gt;=117,F2694,0))/100)),MAX(0,Inputs!$B$44-((R2687-1)*Skills!D19))))/Inputs!$B$44),IF(Inputs!$B$39="pvp",MIN((Skills!S19*(1+((Inputs!$B$35+(ArtifactsInput!$M$7-ArtifactsInput!$M$7)*CHOOSE(ArtifactsInput!$N$7+1,6,7.2,8.4,9.6,10.8,12))+IF(Inputs!$B$3&gt;=117,F2694,0))/100)),15)/15,(Skills!S19*(1+((Inputs!$B$35+(ArtifactsInput!$M$7-ArtifactsInput!$M$7)*CHOOSE(ArtifactsInput!$N$7+1,6,7.2,8.4,9.6,10.8,12))+IF(Inputs!$B$3&gt;=117,F2694,0))/100))/Skills!D19))/100),1)</f>
        <v/>
      </c>
    </row>
    <row r="2698">
      <c r="A2698" t="inlineStr">
        <is>
          <t>Monster Damage Taken Bonus % (Holy Fountain)</t>
        </is>
      </c>
      <c r="B2698">
        <f>IF(Inputs!$B$3&gt;=68,20*IF(Inputs!$B$39="pvp",MIN((15*(1+((Inputs!$B$35+(ArtifactsInput!$M$7-ArtifactsInput!$M$7)*CHOOSE(ArtifactsInput!$N$7+1,6,7.2,8.4,9.6,10.8,12))+IF(Inputs!$B$3&gt;=117,F2694,0))/100)),15)/15,(15*(1+((Inputs!$B$35+(ArtifactsInput!$M$7-ArtifactsInput!$M$7)*CHOOSE(ArtifactsInput!$N$7+1,6,7.2,8.4,9.6,10.8,12))+IF(Inputs!$B$3&gt;=117,F2694,0))/100))/Skills!D10),0)</f>
        <v/>
      </c>
    </row>
    <row r="2699">
      <c r="A2699" t="inlineStr">
        <is>
          <t>Normal Monster Damage Bonus % (Holy Symbol)</t>
        </is>
      </c>
      <c r="B2699">
        <f>IF(C2680=TRUE,F2680*IF(AND(Inputs!$B$39&lt;&gt;"pvp",Inputs!$B$44&gt;0),(((R2680-1)*(Skills!S12*(1+((Inputs!$B$35+(ArtifactsInput!$M$7-ArtifactsInput!$M$7)*CHOOSE(ArtifactsInput!$N$7+1,6,7.2,8.4,9.6,10.8,12))+IF(Inputs!$B$3&gt;=117,F2694,0))/100))+MIN((Skills!S12*(1+((Inputs!$B$35+(ArtifactsInput!$M$7-ArtifactsInput!$M$7)*CHOOSE(ArtifactsInput!$N$7+1,6,7.2,8.4,9.6,10.8,12))+IF(Inputs!$B$3&gt;=117,F2694,0))/100)),MAX(0,Inputs!$B$44-((R2680-1)*Skills!D12))))/Inputs!$B$44),IF(Inputs!$B$39="pvp",MIN((Skills!S12*(1+((Inputs!$B$35+(ArtifactsInput!$M$7-ArtifactsInput!$M$7)*CHOOSE(ArtifactsInput!$N$7+1,6,7.2,8.4,9.6,10.8,12))+IF(Inputs!$B$3&gt;=117,F2694,0))/100)),15)/15,(Skills!S12*(1+((Inputs!$B$35+(ArtifactsInput!$M$7-ArtifactsInput!$M$7)*CHOOSE(ArtifactsInput!$N$7+1,6,7.2,8.4,9.6,10.8,12))+IF(Inputs!$B$3&gt;=117,F2694,0))/100))/Skills!D12)),0)</f>
        <v/>
      </c>
    </row>
    <row r="2700">
      <c r="A2700" t="inlineStr">
        <is>
          <t>Damage % Bonus (Holy Symbol - Damage Boost)</t>
        </is>
      </c>
      <c r="B2700">
        <f>Skills!O12</f>
        <v/>
      </c>
    </row>
    <row r="2701">
      <c r="A2701" t="inlineStr">
        <is>
          <t>Crit Damage % Bonus (Blood of the Divine)</t>
        </is>
      </c>
      <c r="B2701">
        <f>4*IF(C2688=TRUE,F2688,0)</f>
        <v/>
      </c>
    </row>
    <row r="2702">
      <c r="A2702" t="inlineStr">
        <is>
          <t>Attack Speed Bonus %</t>
        </is>
      </c>
      <c r="B2702">
        <f>IF(C2685=TRUE,F2685+(F2689-Calc!F21),0)+IF(Inputs!$B$3&gt;=134,15,0)</f>
        <v/>
      </c>
    </row>
    <row r="2703">
      <c r="A2703" t="inlineStr">
        <is>
          <t>Actions Per Second</t>
        </is>
      </c>
      <c r="B2703">
        <f>1+MIN(150,150*(1-(1-Inputs!$B$12/150)*(1-B2702/150)))/100</f>
        <v/>
      </c>
    </row>
    <row r="2704">
      <c r="A2704" t="inlineStr">
        <is>
          <t>Skill + Buff Cast Rate</t>
        </is>
      </c>
      <c r="B2704">
        <f>IF(AND(Inputs!$B$39&lt;&gt;"pvp",Inputs!$B$44&gt;0),SUMPRODUCT((Skills!E2:E27=TRUE)*(C2670:C2695=TRUE)*R2670:R2695)/Inputs!$B$44,SUMPRODUCT((Skills!E2:E27=TRUE)*(C2670:C2695=TRUE)*Q2670:Q2695))</f>
        <v/>
      </c>
    </row>
    <row r="2705">
      <c r="A2705" t="inlineStr">
        <is>
          <t>Big Bang Casts Per Second</t>
        </is>
      </c>
      <c r="B2705">
        <f>MAX(0,B2703-B2704)</f>
        <v/>
      </c>
    </row>
    <row r="2706">
      <c r="A2706" t="inlineStr">
        <is>
          <t>Defense % Bonus (Divine Protection)</t>
        </is>
      </c>
      <c r="B2706">
        <f>IF(C2681=TRUE,F2681*IF(AND(Inputs!$B$39&lt;&gt;"pvp",Inputs!$B$44&gt;0),(((R2681-1)*(Skills!S13*(1+((Inputs!$B$35+(ArtifactsInput!$M$7-ArtifactsInput!$M$7)*CHOOSE(ArtifactsInput!$N$7+1,6,7.2,8.4,9.6,10.8,12))+IF(Inputs!$B$3&gt;=117,F2694,0))/100))+MIN((Skills!S13*(1+((Inputs!$B$35+(ArtifactsInput!$M$7-ArtifactsInput!$M$7)*CHOOSE(ArtifactsInput!$N$7+1,6,7.2,8.4,9.6,10.8,12))+IF(Inputs!$B$3&gt;=117,F2694,0))/100)),MAX(0,Inputs!$B$44-((R2681-1)*Skills!D13))))/Inputs!$B$44),IF(Inputs!$B$39="pvp",MIN((Skills!S13*(1+((Inputs!$B$35+(ArtifactsInput!$M$7-ArtifactsInput!$M$7)*CHOOSE(ArtifactsInput!$N$7+1,6,7.2,8.4,9.6,10.8,12))+IF(Inputs!$B$3&gt;=117,F2694,0))/100)),15)/15,(Skills!S13*(1+((Inputs!$B$35+(ArtifactsInput!$M$7-ArtifactsInput!$M$7)*CHOOSE(ArtifactsInput!$N$7+1,6,7.2,8.4,9.6,10.8,12))+IF(Inputs!$B$3&gt;=117,F2694,0))/100))/Skills!D13)),0)</f>
        <v/>
      </c>
    </row>
    <row r="2707">
      <c r="A2707" t="inlineStr">
        <is>
          <t>Buff-Casting Startup Delay (s, fixed-duration only)</t>
        </is>
      </c>
      <c r="B2707">
        <f>IF(AND(Inputs!$B$39&lt;&gt;"pvp",Inputs!$B$44&gt;0),SUMPRODUCT((Skills!S2:S27&gt;0)*(Skills!E2:E27=TRUE)*(C2670:C2695=TRUE))/B2703,0)</f>
        <v/>
      </c>
    </row>
    <row r="2708">
      <c r="A2708" t="inlineStr">
        <is>
          <t>Boss-Only Total DPS (this block's swept value)</t>
        </is>
      </c>
      <c r="B2708">
        <f>SUM(S2670:S2695)</f>
        <v/>
      </c>
    </row>
    <row r="2709">
      <c r="A2709" t="inlineStr">
        <is>
          <t>Normal-Only Total DPS (this block's swept value)</t>
        </is>
      </c>
      <c r="B2709">
        <f>SUM(U2670:U2695)</f>
        <v/>
      </c>
    </row>
    <row r="2710">
      <c r="A2710" s="6" t="inlineStr">
        <is>
          <t>TOTAL DPS</t>
        </is>
      </c>
      <c r="B2710" s="6">
        <f>SUM(O2670:O2695)</f>
        <v/>
      </c>
    </row>
    <row r="2712">
      <c r="A2712" s="6" t="inlineStr">
        <is>
          <t>Stat: Reindeer's Spear (Equip)</t>
        </is>
      </c>
    </row>
    <row r="2713">
      <c r="A2713" s="5" t="inlineStr">
        <is>
          <t>Key</t>
        </is>
      </c>
      <c r="B2713" s="5" t="inlineStr">
        <is>
          <t>Name</t>
        </is>
      </c>
      <c r="C2713" s="5" t="inlineStr">
        <is>
          <t>Unlocked</t>
        </is>
      </c>
      <c r="D2713" s="5" t="inlineStr">
        <is>
          <t>InputLevel</t>
        </is>
      </c>
      <c r="E2713" s="5" t="inlineStr">
        <is>
          <t>Factor</t>
        </is>
      </c>
      <c r="F2713" s="5" t="inlineStr">
        <is>
          <t>CoefficientPercent</t>
        </is>
      </c>
      <c r="G2713" s="5" t="inlineStr">
        <is>
          <t>EffectiveHits</t>
        </is>
      </c>
      <c r="H2713" s="5" t="inlineStr">
        <is>
          <t>ProcProbability</t>
        </is>
      </c>
      <c r="I2713" s="5" t="inlineStr">
        <is>
          <t>MapleHeroMultiplier</t>
        </is>
      </c>
      <c r="J2713" s="5" t="inlineStr">
        <is>
          <t>BaseDamage</t>
        </is>
      </c>
      <c r="K2713" s="5" t="inlineStr">
        <is>
          <t>BaseHitDamage</t>
        </is>
      </c>
      <c r="L2713" s="5" t="inlineStr">
        <is>
          <t>NonCritAvg</t>
        </is>
      </c>
      <c r="M2713" s="5" t="inlineStr">
        <is>
          <t>CritAvg</t>
        </is>
      </c>
      <c r="N2713" s="5" t="inlineStr">
        <is>
          <t>ExpectedDamage(perHit)</t>
        </is>
      </c>
      <c r="O2713" s="5" t="inlineStr">
        <is>
          <t>DPS</t>
        </is>
      </c>
      <c r="P2713" s="5" t="inlineStr">
        <is>
          <t>% of Total</t>
        </is>
      </c>
      <c r="R2713" t="inlineStr">
        <is>
          <t>helpers</t>
        </is>
      </c>
    </row>
    <row r="2714">
      <c r="A2714">
        <f>Skills!A2</f>
        <v/>
      </c>
      <c r="B2714">
        <f>Skills!B2</f>
        <v/>
      </c>
      <c r="C2714">
        <f>Inputs!$B$3&gt;=100</f>
        <v/>
      </c>
      <c r="D2714" t="inlineStr"/>
      <c r="E2714" t="inlineStr"/>
      <c r="F2714">
        <f>T2716+Skills!N2</f>
        <v/>
      </c>
      <c r="G2714">
        <f>Calc!G2</f>
        <v/>
      </c>
      <c r="H2714">
        <f>Calc!H2</f>
        <v/>
      </c>
      <c r="I2714">
        <f>IF(Skills!T2&lt;&gt;"",1+(Skills!T2/10)*($Z$3/1000)/100,1)</f>
        <v/>
      </c>
      <c r="J2714">
        <f>((Inputs!$B$6*(1+Inputs!$B$7/100))+(((Inputs!$B$13*(1+Inputs!$B$14/100))-(Inputs!$B$13*(1+Inputs!$B$14/100)))+0.25*(Inputs!$B$15-Inputs!$B$15))*(1+Inputs!$B$7/100))*(F2714/100)</f>
        <v/>
      </c>
      <c r="K2714">
        <f>J2714*(1+(((Inputs!$B$13+IF(Inputs!$B$3&gt;=35,(10*INDEX(FactorTable!$B$2:$Y$301,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2="TRIUMPH_FEATHER",IF(C2728=TRUE,F2728,0),0)/100)*(1+IF(C2739=TRUE,F2739,0)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2714)</f>
        <v/>
      </c>
      <c r="L2714">
        <f>K2714*(MIN(Inputs!$B$23+(F2734-Calc!F22),(Inputs!$B$24+IF(ArtifactsInput!$M$15,CHOOSE(ArtifactsInput!$N$15+1,25,30,35,40,45,50)/100*(Inputs!$B$12-Inputs!$B$12),0)))/100+(Inputs!$B$24+IF(ArtifactsInput!$M$15,CHOOSE(ArtifactsInput!$N$15+1,25,30,35,40,45,50)/100*(Inputs!$B$12-Inputs!$B$12),0))/100)/2</f>
        <v/>
      </c>
      <c r="M2714">
        <f>L2714*(1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14">
        <f>L2714*(1-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2714*(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4">
        <f>(1-Summary!$B$11)*S2714+Summary!$B$11*U2714</f>
        <v/>
      </c>
      <c r="P2714">
        <f>IF(B2754=0,0,O2714/B2754)</f>
        <v/>
      </c>
      <c r="Q2714">
        <f>IFERROR(1/(IF(Inputs!$B$39="pvp",15,MAX(0.1,Skills!D2-IF(Skills!E2=TRUE,Inputs!$B$33,0)))*(1-IF(AND(ArtifactsInput!$M$27,Inputs!$B$4="Chapter Hunt"),CHOOSE(ArtifactsInput!$N$27+1,20,24,28,32,36,40),0)/100)),0)</f>
        <v/>
      </c>
      <c r="R2714" t="n">
        <v>0</v>
      </c>
      <c r="S2714">
        <f>IF(C2714,(Skills!F2*N2714*B2749)*IF(Inputs!$B$39="pvp",1,1+(Inputs!$B$21+Skills!O2+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2714*(1-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2714*(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2714*(1-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2714*(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14">
        <f>MAX(0,(Inputs!$B$3-100)*3)+Inputs!$B$29+Inputs!$B$30</f>
        <v/>
      </c>
      <c r="U2714">
        <f>IF(C2714,(Skills!F2*N2714*B2749)*IF(Inputs!$B$39="pvp",1,(1+(Inputs!$B$22+Skills!P2+B2743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5">
      <c r="A2715">
        <f>Skills!A3</f>
        <v/>
      </c>
      <c r="B2715">
        <f>Skills!B3</f>
        <v/>
      </c>
      <c r="C2715">
        <f>Inputs!$B$3&gt;=15</f>
        <v/>
      </c>
      <c r="D2715">
        <f>IF(Skills!C3=1,60+Inputs!$B$26+Inputs!$B$30,IF(Skills!C3=2,90+Inputs!$B$27+Inputs!$B$30,IF(Skills!C3=3,120+Inputs!$B$28+Inputs!$B$30,MAX(0,(Inputs!$B$3-100)*3)+Inputs!$B$29+Inputs!$B$30)))</f>
        <v/>
      </c>
      <c r="E2715">
        <f>INDEX(FactorTable!$B$2:$Y$301, MATCH(ROUND(MIN(300,MAX(1,D2715)),0), FactorTable!$A$2:$A$301,0), Skills!L3+1)</f>
        <v/>
      </c>
      <c r="F2715">
        <f>IF(Skills!M3=TRUE,(Skills!K3/10)*(E2715/1000),Skills!K3/10)+Skills!N3</f>
        <v/>
      </c>
      <c r="G2715">
        <f>Calc!G3</f>
        <v/>
      </c>
      <c r="H2715">
        <f>Calc!H3</f>
        <v/>
      </c>
      <c r="I2715">
        <f>IF(Skills!T3&lt;&gt;"",1+(Skills!T3/10)*($Z$3/1000)/100,1)</f>
        <v/>
      </c>
      <c r="J2715" t="inlineStr"/>
      <c r="K2715" t="inlineStr"/>
      <c r="L2715" t="inlineStr"/>
      <c r="M2715" t="inlineStr"/>
      <c r="N2715" t="inlineStr"/>
      <c r="O2715">
        <f>(1-Summary!$B$11)*S2715+Summary!$B$11*U2715</f>
        <v/>
      </c>
      <c r="P2715">
        <f>IF(B2754=0,0,O2715/B2754)</f>
        <v/>
      </c>
      <c r="Q2715">
        <f>IFERROR(1/(IF(Inputs!$B$39="pvp",15,MAX(0.1,Skills!D3-IF(Skills!E3=TRUE,Inputs!$B$33,0)))*(1-IF(AND(ArtifactsInput!$M$27,Inputs!$B$4="Chapter Hunt"),CHOOSE(ArtifactsInput!$N$27+1,20,24,28,32,36,40),0)/100)),0)</f>
        <v/>
      </c>
      <c r="R2715">
        <f>IF(AND(Inputs!$B$39&lt;&gt;"pvp",Inputs!$B$44&gt;0),IF(Inputs!$B$44&lt;=0,0,(INT(Inputs!$B$44/(IF(Inputs!$B$39="pvp",15,MAX(0.1,Skills!D3-IF(Skills!E3=TRUE,Inputs!$B$33,0)))*(1-IF(AND(ArtifactsInput!$M$27,Inputs!$B$4="Chapter Hunt"),CHOOSE(ArtifactsInput!$N$27+1,20,24,28,32,36,40),0)/100)))+1)),0)</f>
        <v/>
      </c>
      <c r="S2715" t="n">
        <v>0</v>
      </c>
      <c r="T2715">
        <f>INDEX(FactorTable!$B$2:$Y$301, MATCH(ROUND(MIN(300,MAX(1,T2714)),0), FactorTable!$A$2:$A$301,0), 22)</f>
        <v/>
      </c>
      <c r="U2715" t="n">
        <v>0</v>
      </c>
    </row>
    <row r="2716">
      <c r="A2716">
        <f>Skills!A4</f>
        <v/>
      </c>
      <c r="B2716">
        <f>Skills!B4</f>
        <v/>
      </c>
      <c r="C2716">
        <f>Inputs!$B$3&gt;=38</f>
        <v/>
      </c>
      <c r="D2716">
        <f>IF(Skills!C4=1,60+Inputs!$B$26+Inputs!$B$30,IF(Skills!C4=2,90+Inputs!$B$27+Inputs!$B$30,IF(Skills!C4=3,120+Inputs!$B$28+Inputs!$B$30,MAX(0,(Inputs!$B$3-100)*3)+Inputs!$B$29+Inputs!$B$30)))</f>
        <v/>
      </c>
      <c r="E2716">
        <f>INDEX(FactorTable!$B$2:$Y$301, MATCH(ROUND(MIN(300,MAX(1,D2716)),0), FactorTable!$A$2:$A$301,0), Skills!L4+1)</f>
        <v/>
      </c>
      <c r="F2716">
        <f>IF(Skills!M4=TRUE,(Skills!K4/10)*(E2716/1000),Skills!K4/10)+Skills!N4</f>
        <v/>
      </c>
      <c r="G2716">
        <f>Calc!G4</f>
        <v/>
      </c>
      <c r="H2716">
        <f>Calc!H4</f>
        <v/>
      </c>
      <c r="I2716">
        <f>IF(Skills!T4&lt;&gt;"",1+(Skills!T4/10)*($Z$3/1000)/100,1)</f>
        <v/>
      </c>
      <c r="J2716" t="inlineStr"/>
      <c r="K2716" t="inlineStr"/>
      <c r="L2716" t="inlineStr"/>
      <c r="M2716" t="inlineStr"/>
      <c r="N2716" t="inlineStr"/>
      <c r="O2716">
        <f>(1-Summary!$B$11)*S2716+Summary!$B$11*U2716</f>
        <v/>
      </c>
      <c r="P2716">
        <f>IF(B2754=0,0,O2716/B2754)</f>
        <v/>
      </c>
      <c r="Q2716">
        <f>IFERROR(1/(IF(Inputs!$B$39="pvp",15,MAX(0.1,Skills!D4-IF(Skills!E4=TRUE,Inputs!$B$33,0)))*(1-IF(AND(ArtifactsInput!$M$27,Inputs!$B$4="Chapter Hunt"),CHOOSE(ArtifactsInput!$N$27+1,20,24,28,32,36,40),0)/100)),0)</f>
        <v/>
      </c>
      <c r="R2716">
        <f>IF(AND(Inputs!$B$39&lt;&gt;"pvp",Inputs!$B$44&gt;0),IF(Inputs!$B$44&lt;=0,0,(INT(Inputs!$B$44/(IF(Inputs!$B$39="pvp",15,MAX(0.1,Skills!D4-IF(Skills!E4=TRUE,Inputs!$B$33,0)))*(1-IF(AND(ArtifactsInput!$M$27,Inputs!$B$4="Chapter Hunt"),CHOOSE(ArtifactsInput!$N$27+1,20,24,28,32,36,40),0)/100)))+1)),0)</f>
        <v/>
      </c>
      <c r="S2716" t="n">
        <v>0</v>
      </c>
      <c r="T2716">
        <f>290*T2715/1000</f>
        <v/>
      </c>
      <c r="U2716" t="n">
        <v>0</v>
      </c>
    </row>
    <row r="2717">
      <c r="A2717">
        <f>Skills!A5</f>
        <v/>
      </c>
      <c r="B2717">
        <f>Skills!B5</f>
        <v/>
      </c>
      <c r="C2717">
        <f>Inputs!$B$3&gt;=40</f>
        <v/>
      </c>
      <c r="D2717">
        <f>IF(Skills!C5=1,60+Inputs!$B$26+Inputs!$B$30,IF(Skills!C5=2,90+Inputs!$B$27+Inputs!$B$30,IF(Skills!C5=3,120+Inputs!$B$28+Inputs!$B$30,MAX(0,(Inputs!$B$3-100)*3)+Inputs!$B$29+Inputs!$B$30)))</f>
        <v/>
      </c>
      <c r="E2717">
        <f>INDEX(FactorTable!$B$2:$Y$301, MATCH(ROUND(MIN(300,MAX(1,D2717)),0), FactorTable!$A$2:$A$301,0), Skills!L5+1)</f>
        <v/>
      </c>
      <c r="F2717">
        <f>IF(Skills!M5=TRUE,(Skills!K5/10)*(E2717/1000),Skills!K5/10)+Skills!N5</f>
        <v/>
      </c>
      <c r="G2717">
        <f>Calc!G5</f>
        <v/>
      </c>
      <c r="H2717">
        <f>Calc!H5</f>
        <v/>
      </c>
      <c r="I2717">
        <f>IF(Skills!T5&lt;&gt;"",1+(Skills!T5/10)*($Z$3/1000)/100,1)</f>
        <v/>
      </c>
      <c r="J2717" t="inlineStr"/>
      <c r="K2717" t="inlineStr"/>
      <c r="L2717" t="inlineStr"/>
      <c r="M2717" t="inlineStr"/>
      <c r="N2717" t="inlineStr"/>
      <c r="O2717">
        <f>(1-Summary!$B$11)*S2717+Summary!$B$11*U2717</f>
        <v/>
      </c>
      <c r="P2717">
        <f>IF(B2754=0,0,O2717/B2754)</f>
        <v/>
      </c>
      <c r="Q2717">
        <f>IFERROR(1/(IF(Inputs!$B$39="pvp",15,MAX(0.1,Skills!D5-IF(Skills!E5=TRUE,Inputs!$B$33,0)))*(1-IF(AND(ArtifactsInput!$M$27,Inputs!$B$4="Chapter Hunt"),CHOOSE(ArtifactsInput!$N$27+1,20,24,28,32,36,40),0)/100)),0)</f>
        <v/>
      </c>
      <c r="R2717">
        <f>IF(AND(Inputs!$B$39&lt;&gt;"pvp",Inputs!$B$44&gt;0),IF(Inputs!$B$44&lt;=0,0,(INT(Inputs!$B$44/(IF(Inputs!$B$39="pvp",15,MAX(0.1,Skills!D5-IF(Skills!E5=TRUE,Inputs!$B$33,0)))*(1-IF(AND(ArtifactsInput!$M$27,Inputs!$B$4="Chapter Hunt"),CHOOSE(ArtifactsInput!$N$27+1,20,24,28,32,36,40),0)/100)))+1)),0)</f>
        <v/>
      </c>
      <c r="S2717" t="n">
        <v>0</v>
      </c>
      <c r="U2717" t="n">
        <v>0</v>
      </c>
    </row>
    <row r="2718">
      <c r="A2718">
        <f>Skills!A6</f>
        <v/>
      </c>
      <c r="B2718">
        <f>Skills!B6</f>
        <v/>
      </c>
      <c r="C2718">
        <f>Inputs!$B$3&gt;=103</f>
        <v/>
      </c>
      <c r="D2718">
        <f>IF(Skills!C6=1,60+Inputs!$B$26+Inputs!$B$30,IF(Skills!C6=2,90+Inputs!$B$27+Inputs!$B$30,IF(Skills!C6=3,120+Inputs!$B$28+Inputs!$B$30,MAX(0,(Inputs!$B$3-100)*3)+Inputs!$B$29+Inputs!$B$30)))</f>
        <v/>
      </c>
      <c r="E2718">
        <f>INDEX(FactorTable!$B$2:$Y$301, MATCH(ROUND(MIN(300,MAX(1,D2718)),0), FactorTable!$A$2:$A$301,0), Skills!L6+1)</f>
        <v/>
      </c>
      <c r="F2718">
        <f>IF(Skills!M6=TRUE,(Skills!K6/10)*(E2718/1000),Skills!K6/10)+Skills!N6</f>
        <v/>
      </c>
      <c r="G2718">
        <f>Calc!G6</f>
        <v/>
      </c>
      <c r="H2718">
        <f>Calc!H6</f>
        <v/>
      </c>
      <c r="I2718">
        <f>IF(Skills!T6&lt;&gt;"",1+(Skills!T6/10)*($Z$3/1000)/100,1)</f>
        <v/>
      </c>
      <c r="J2718">
        <f>((Inputs!$B$6*(1+Inputs!$B$7/100))+(((Inputs!$B$13*(1+Inputs!$B$14/100))-(Inputs!$B$13*(1+Inputs!$B$14/100)))+0.25*(Inputs!$B$15-Inputs!$B$15))*(1+Inputs!$B$7/100))*(F2718/100)</f>
        <v/>
      </c>
      <c r="K2718">
        <f>J2718*(1+(((Inputs!$B$13+IF(Inputs!$B$3&gt;=35,(10*INDEX(FactorTable!$B$2:$Y$301,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6="TRIUMPH_FEATHER",IF(C2728=TRUE,F2728,0),0)/100)*(1+IF(C2739=TRUE,F2739,0)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2718)</f>
        <v/>
      </c>
      <c r="L2718">
        <f>K2718*(MIN(Inputs!$B$23+(F2734-Calc!F22),(Inputs!$B$24+IF(ArtifactsInput!$M$15,CHOOSE(ArtifactsInput!$N$15+1,25,30,35,40,45,50)/100*(Inputs!$B$12-Inputs!$B$12),0)))/100+(Inputs!$B$24+IF(ArtifactsInput!$M$15,CHOOSE(ArtifactsInput!$N$15+1,25,30,35,40,45,50)/100*(Inputs!$B$12-Inputs!$B$12),0))/100)/2</f>
        <v/>
      </c>
      <c r="M2718">
        <f>L2718*(1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18">
        <f>L2718*(1-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2718*(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8">
        <f>(1-Summary!$B$11)*S2718+Summary!$B$11*U2718</f>
        <v/>
      </c>
      <c r="P2718">
        <f>IF(B2754=0,0,O2718/B2754)</f>
        <v/>
      </c>
      <c r="Q2718">
        <f>IFERROR(1/(IF(Inputs!$B$39="pvp",15,MAX(0.1,Skills!D6-IF(Skills!E6=TRUE,Inputs!$B$33,0)))*(1-IF(AND(ArtifactsInput!$M$27,Inputs!$B$4="Chapter Hunt"),CHOOSE(ArtifactsInput!$N$27+1,20,24,28,32,36,40),0)/100)),0)</f>
        <v/>
      </c>
      <c r="R2718">
        <f>IF(AND(Inputs!$B$39&lt;&gt;"pvp",Inputs!$B$44&gt;0),IF(MAX(0,Inputs!$B$44-B2751)&lt;=0,0,(INT(MAX(0,Inputs!$B$44-B2751)/(IF(Inputs!$B$39="pvp",15,MAX(0.1,Skills!D6-IF(Skills!E6=TRUE,Inputs!$B$33,0)))*(1-IF(AND(ArtifactsInput!$M$27,Inputs!$B$4="Chapter Hunt"),CHOOSE(ArtifactsInput!$N$27+1,20,24,28,32,36,40),0)/100)))+1)),0)</f>
        <v/>
      </c>
      <c r="S2718">
        <f>IF(C2718,(H2718*N2718*IF(AND(Inputs!$B$39&lt;&gt;"pvp",Inputs!$B$44&gt;0),((Skills!F6*((R2718-1)*IF(Skills!G6&gt;0,Skills!H6/Skills!G6,1)+IF(Skills!G6&gt;0,MIN(Skills!H6,MAX(0,MAX(0,Inputs!$B$44-B2751)-((R2718-1)*(IF(Inputs!$B$39="pvp",15,MAX(0.1,Skills!D6-IF(Skills!E6=TRUE,Inputs!$B$33,0)))*(1-IF(AND(ArtifactsInput!$M$27,Inputs!$B$4="Chapter Hunt"),CHOOSE(ArtifactsInput!$N$27+1,20,24,28,32,36,40),0)/100)))))/Skills!G6,1)))/Inputs!$B$44),G2718*Q2718))*IF(Inputs!$B$39="pvp",1,1+(Inputs!$B$21+Skills!O6+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2718*(1-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2718*(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2718*(1-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2718*(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8">
        <f>IF(C2718,(H2718*N2718*IF(AND(Inputs!$B$39&lt;&gt;"pvp",Inputs!$B$44&gt;0),((Skills!F6*((R2718-1)*IF(Skills!G6&gt;0,Skills!H6/Skills!G6,1)+IF(Skills!G6&gt;0,MIN(Skills!H6,MAX(0,MAX(0,Inputs!$B$44-B2751)-((R2718-1)*(IF(Inputs!$B$39="pvp",15,MAX(0.1,Skills!D6-IF(Skills!E6=TRUE,Inputs!$B$33,0)))*(1-IF(AND(ArtifactsInput!$M$27,Inputs!$B$4="Chapter Hunt"),CHOOSE(ArtifactsInput!$N$27+1,20,24,28,32,36,40),0)/100)))))/Skills!G6,1)))/Inputs!$B$44),G2718*Q2718))*IF(Inputs!$B$39="pvp",1,(1+(Inputs!$B$22+Skills!P6+B2743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9">
      <c r="A2719">
        <f>Skills!A7</f>
        <v/>
      </c>
      <c r="B2719">
        <f>Skills!B7</f>
        <v/>
      </c>
      <c r="C2719">
        <f>Inputs!$B$3&gt;=122</f>
        <v/>
      </c>
      <c r="D2719">
        <f>IF(Skills!C7=1,60+Inputs!$B$26+Inputs!$B$30,IF(Skills!C7=2,90+Inputs!$B$27+Inputs!$B$30,IF(Skills!C7=3,120+Inputs!$B$28+Inputs!$B$30,MAX(0,(Inputs!$B$3-100)*3)+Inputs!$B$29+Inputs!$B$30)))</f>
        <v/>
      </c>
      <c r="E2719">
        <f>INDEX(FactorTable!$B$2:$Y$301, MATCH(ROUND(MIN(300,MAX(1,D2719)),0), FactorTable!$A$2:$A$301,0), Skills!L7+1)</f>
        <v/>
      </c>
      <c r="F2719">
        <f>IF(Skills!M7=TRUE,(Skills!K7/10)*(E2719/1000),Skills!K7/10)+Skills!N7</f>
        <v/>
      </c>
      <c r="G2719">
        <f>Calc!G7</f>
        <v/>
      </c>
      <c r="H2719">
        <f>Calc!H7</f>
        <v/>
      </c>
      <c r="I2719">
        <f>IF(Skills!T7&lt;&gt;"",1+(Skills!T7/10)*($Z$3/1000)/100,1)</f>
        <v/>
      </c>
      <c r="J2719">
        <f>((Inputs!$B$6*(1+Inputs!$B$7/100))+(((Inputs!$B$13*(1+Inputs!$B$14/100))-(Inputs!$B$13*(1+Inputs!$B$14/100)))+0.25*(Inputs!$B$15-Inputs!$B$15))*(1+Inputs!$B$7/100))*(F2719/100)</f>
        <v/>
      </c>
      <c r="K2719">
        <f>J2719*(1+(((Inputs!$B$13+IF(Inputs!$B$3&gt;=35,(10*INDEX(FactorTable!$B$2:$Y$301,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7="TRIUMPH_FEATHER",IF(C2728=TRUE,F2728,0),0)/100)*(1+IF(C2739=TRUE,F2739,0)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2719)</f>
        <v/>
      </c>
      <c r="L2719">
        <f>K2719*(MIN(Inputs!$B$23+(F2734-Calc!F22),(Inputs!$B$24+IF(ArtifactsInput!$M$15,CHOOSE(ArtifactsInput!$N$15+1,25,30,35,40,45,50)/100*(Inputs!$B$12-Inputs!$B$12),0)))/100+(Inputs!$B$24+IF(ArtifactsInput!$M$15,CHOOSE(ArtifactsInput!$N$15+1,25,30,35,40,45,50)/100*(Inputs!$B$12-Inputs!$B$12),0))/100)/2</f>
        <v/>
      </c>
      <c r="M2719">
        <f>L2719*(1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19">
        <f>L2719*(1-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2719*(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9">
        <f>(1-Summary!$B$11)*S2719+Summary!$B$11*U2719</f>
        <v/>
      </c>
      <c r="P2719">
        <f>IF(B2754=0,0,O2719/B2754)</f>
        <v/>
      </c>
      <c r="Q2719">
        <f>IFERROR(1/(IF(Inputs!$B$39="pvp",15,MAX(0.1,Skills!D7-IF(Skills!E6=TRUE,Inputs!$B$33,0)))*(1-IF(AND(ArtifactsInput!$M$27,Inputs!$B$4="Chapter Hunt"),CHOOSE(ArtifactsInput!$N$27+1,20,24,28,32,36,40),0)/100)),0)</f>
        <v/>
      </c>
      <c r="R2719">
        <f>IF(AND(Inputs!$B$39&lt;&gt;"pvp",Inputs!$B$44&gt;0),IF(MAX(0,Inputs!$B$44-B2751)&lt;=0,0,(INT(MAX(0,Inputs!$B$44-B2751)/(IF(Inputs!$B$39="pvp",15,MAX(0.1,Skills!D7-IF(Skills!E6=TRUE,Inputs!$B$33,0)))*(1-IF(AND(ArtifactsInput!$M$27,Inputs!$B$4="Chapter Hunt"),CHOOSE(ArtifactsInput!$N$27+1,20,24,28,32,36,40),0)/100)))+1)),0)</f>
        <v/>
      </c>
      <c r="S2719">
        <f>IF(C2719,H2719*N2719*IF(AND(Inputs!$B$39&lt;&gt;"pvp",Inputs!$B$44&gt;0),((Skills!F7*((R2719-1)*IF(Skills!G7&gt;0,Skills!H7/Skills!G7,1)+IF(Skills!G7&gt;0,MIN(Skills!H7,MAX(0,MAX(0,Inputs!$B$44-B2751)-((R2719-1)*(IF(Inputs!$B$39="pvp",15,MAX(0.1,Skills!D7-IF(Skills!E6=TRUE,Inputs!$B$33,0)))*(1-IF(AND(ArtifactsInput!$M$27,Inputs!$B$4="Chapter Hunt"),CHOOSE(ArtifactsInput!$N$27+1,20,24,28,32,36,40),0)/100)))))/Skills!G7,1)))/Inputs!$B$44),G2719*Q2719)*IF(Inputs!$B$39="pvp",1,1+(Inputs!$B$21+Skills!O7+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2719*(1-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2719*(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2719*(1-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2719*(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9" t="n">
        <v>0</v>
      </c>
    </row>
    <row r="2720">
      <c r="A2720">
        <f>Skills!A8</f>
        <v/>
      </c>
      <c r="B2720">
        <f>Skills!B8</f>
        <v/>
      </c>
      <c r="C2720">
        <f>Inputs!$B$3&gt;=105</f>
        <v/>
      </c>
      <c r="D2720">
        <f>IF(Skills!C8=1,60+Inputs!$B$26+Inputs!$B$30,IF(Skills!C8=2,90+Inputs!$B$27+Inputs!$B$30,IF(Skills!C8=3,120+Inputs!$B$28+Inputs!$B$30,MAX(0,(Inputs!$B$3-100)*3)+Inputs!$B$29+Inputs!$B$30)))</f>
        <v/>
      </c>
      <c r="E2720">
        <f>INDEX(FactorTable!$B$2:$Y$301, MATCH(ROUND(MIN(300,MAX(1,D2720)),0), FactorTable!$A$2:$A$301,0), Skills!L8+1)</f>
        <v/>
      </c>
      <c r="F2720">
        <f>IF(Skills!M8=TRUE,(Skills!K8/10)*(E2720/1000),Skills!K8/10)+Skills!N8</f>
        <v/>
      </c>
      <c r="G2720">
        <f>Calc!G8</f>
        <v/>
      </c>
      <c r="H2720">
        <f>Calc!H8</f>
        <v/>
      </c>
      <c r="I2720">
        <f>IF(Skills!T8&lt;&gt;"",1+(Skills!T8/10)*($Z$3/1000)/100,1)</f>
        <v/>
      </c>
      <c r="J2720">
        <f>((Inputs!$B$6*(1+Inputs!$B$7/100))+(((Inputs!$B$13*(1+Inputs!$B$14/100))-(Inputs!$B$13*(1+Inputs!$B$14/100)))+0.25*(Inputs!$B$15-Inputs!$B$15))*(1+Inputs!$B$7/100))*(F2720/100)</f>
        <v/>
      </c>
      <c r="K2720">
        <f>J2720*(1+(((Inputs!$B$13+IF(Inputs!$B$3&gt;=35,(10*INDEX(FactorTable!$B$2:$Y$301,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8="TRIUMPH_FEATHER",IF(C2728=TRUE,F2728,0),0)/100)*(1+IF(C2739=TRUE,F2739,0)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2720)</f>
        <v/>
      </c>
      <c r="L2720">
        <f>K2720*(MIN(Inputs!$B$23+(F2734-Calc!F22),(Inputs!$B$24+IF(ArtifactsInput!$M$15,CHOOSE(ArtifactsInput!$N$15+1,25,30,35,40,45,50)/100*(Inputs!$B$12-Inputs!$B$12),0)))/100+(Inputs!$B$24+IF(ArtifactsInput!$M$15,CHOOSE(ArtifactsInput!$N$15+1,25,30,35,40,45,50)/100*(Inputs!$B$12-Inputs!$B$12),0))/100)/2</f>
        <v/>
      </c>
      <c r="M2720">
        <f>L2720*(1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0">
        <f>L2720*(1-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(1-Summary!$B$11)*S2720+Summary!$B$11*U2720</f>
        <v/>
      </c>
      <c r="P2720">
        <f>IF(B2754=0,0,O2720/B2754)</f>
        <v/>
      </c>
      <c r="Q2720">
        <f>IFERROR(1/(IF(Inputs!$B$39="pvp",15,MAX(0.1,Skills!D8-IF(Skills!E8=TRUE,Inputs!$B$33,0)))*(1-IF(AND(ArtifactsInput!$M$27,Inputs!$B$4="Chapter Hunt"),CHOOSE(ArtifactsInput!$N$27+1,20,24,28,32,36,40),0)/100)),0)</f>
        <v/>
      </c>
      <c r="R2720">
        <f>IF(AND(Inputs!$B$39&lt;&gt;"pvp",Inputs!$B$44&gt;0),IF(MAX(0,Inputs!$B$44-B2751)&lt;=0,0,(INT(MAX(0,Inputs!$B$44-B2751)/(IF(Inputs!$B$39="pvp",15,MAX(0.1,Skills!D8-IF(Skills!E8=TRUE,Inputs!$B$33,0)))*(1-IF(AND(ArtifactsInput!$M$27,Inputs!$B$4="Chapter Hunt"),CHOOSE(ArtifactsInput!$N$27+1,20,24,28,32,36,40),0)/100)))+1)),0)</f>
        <v/>
      </c>
      <c r="S2720">
        <f>IF(C2720,(H2720*N2720*IF(AND(Inputs!$B$39&lt;&gt;"pvp",Inputs!$B$44&gt;0),((Skills!F8*((R2720-1)*IF(Skills!G8&gt;0,Skills!H8/Skills!G8,1)+IF(Skills!G8&gt;0,MIN(Skills!H8,MAX(0,MAX(0,Inputs!$B$44-B2751)-((R2720-1)*(IF(Inputs!$B$39="pvp",15,MAX(0.1,Skills!D8-IF(Skills!E8=TRUE,Inputs!$B$33,0)))*(1-IF(AND(ArtifactsInput!$M$27,Inputs!$B$4="Chapter Hunt"),CHOOSE(ArtifactsInput!$N$27+1,20,24,28,32,36,40),0)/100)))))/Skills!G8,1)))/Inputs!$B$44),G2720*Q2720))*IF(Inputs!$B$39="pvp",1,1+(Inputs!$B$21+Skills!O8+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2720*(1-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IF(C2720,(H2720*N2720*IF(AND(Inputs!$B$39&lt;&gt;"pvp",Inputs!$B$44&gt;0),((Skills!F8*((R2720-1)*IF(Skills!G8&gt;0,Skills!H8/Skills!G8,1)+IF(Skills!G8&gt;0,MIN(Skills!H8,MAX(0,MAX(0,Inputs!$B$44-B2751)-((R2720-1)*(IF(Inputs!$B$39="pvp",15,MAX(0.1,Skills!D8-IF(Skills!E8=TRUE,Inputs!$B$33,0)))*(1-IF(AND(ArtifactsInput!$M$27,Inputs!$B$4="Chapter Hunt"),CHOOSE(ArtifactsInput!$N$27+1,20,24,28,32,36,40),0)/100)))))/Skills!G8,1)))/Inputs!$B$44),G2720*Q2720))*IF(Inputs!$B$39="pvp",1,(1+(Inputs!$B$22+Skills!P8+B2743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Skills!A9</f>
        <v/>
      </c>
      <c r="B2721">
        <f>Skills!B9</f>
        <v/>
      </c>
      <c r="C2721">
        <f>Inputs!$B$3&gt;=115</f>
        <v/>
      </c>
      <c r="D2721">
        <f>IF(Skills!C9=1,60+Inputs!$B$26+Inputs!$B$30,IF(Skills!C9=2,90+Inputs!$B$27+Inputs!$B$30,IF(Skills!C9=3,120+Inputs!$B$28+Inputs!$B$30,MAX(0,(Inputs!$B$3-100)*3)+Inputs!$B$29+Inputs!$B$30)))</f>
        <v/>
      </c>
      <c r="E2721">
        <f>INDEX(FactorTable!$B$2:$Y$301, MATCH(ROUND(MIN(300,MAX(1,D2721)),0), FactorTable!$A$2:$A$301,0), Skills!L9+1)</f>
        <v/>
      </c>
      <c r="F2721">
        <f>IF(Skills!M9=TRUE,(Skills!K9/10)*(E2721/1000),Skills!K9/10)+Skills!N9</f>
        <v/>
      </c>
      <c r="G2721">
        <f>Calc!G9</f>
        <v/>
      </c>
      <c r="H2721">
        <f>Calc!H9</f>
        <v/>
      </c>
      <c r="I2721">
        <f>IF(Skills!T9&lt;&gt;"",1+(Skills!T9/10)*($Z$3/1000)/100,1)</f>
        <v/>
      </c>
      <c r="J2721">
        <f>((Inputs!$B$6*(1+Inputs!$B$7/100))+(((Inputs!$B$13*(1+Inputs!$B$14/100))-(Inputs!$B$13*(1+Inputs!$B$14/100)))+0.25*(Inputs!$B$15-Inputs!$B$15))*(1+Inputs!$B$7/100))*(F2721/100)</f>
        <v/>
      </c>
      <c r="K2721">
        <f>J2721*(1+(((Inputs!$B$13+IF(Inputs!$B$3&gt;=35,(10*INDEX(FactorTable!$B$2:$Y$301,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9="TRIUMPH_FEATHER",IF(C2728=TRUE,F2728,0),0)/100)*(1+IF(C2739=TRUE,F2739,0)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2721)</f>
        <v/>
      </c>
      <c r="L2721">
        <f>K2721*(MIN(Inputs!$B$23+(F2734-Calc!F22),(Inputs!$B$24+IF(ArtifactsInput!$M$15,CHOOSE(ArtifactsInput!$N$15+1,25,30,35,40,45,50)/100*(Inputs!$B$12-Inputs!$B$12),0)))/100+(Inputs!$B$24+IF(ArtifactsInput!$M$15,CHOOSE(ArtifactsInput!$N$15+1,25,30,35,40,45,50)/100*(Inputs!$B$12-Inputs!$B$12),0))/100)/2</f>
        <v/>
      </c>
      <c r="M2721">
        <f>L2721*(1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1">
        <f>L2721*(1-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(1-Summary!$B$11)*S2721+Summary!$B$11*U2721</f>
        <v/>
      </c>
      <c r="P2721">
        <f>IF(B2754=0,0,O2721/B2754)</f>
        <v/>
      </c>
      <c r="Q2721">
        <f>IFERROR(1/(IF(Inputs!$B$39="pvp",15,MAX(0.1,Skills!D9-IF(Skills!E9=TRUE,Inputs!$B$33,0)))*(1-IF(AND(ArtifactsInput!$M$27,Inputs!$B$4="Chapter Hunt"),CHOOSE(ArtifactsInput!$N$27+1,20,24,28,32,36,40),0)/100)),0)</f>
        <v/>
      </c>
      <c r="R2721">
        <f>IF(AND(Inputs!$B$39&lt;&gt;"pvp",Inputs!$B$44&gt;0),IF(MAX(0,Inputs!$B$44-B2751)&lt;=0,0,(INT(MAX(0,Inputs!$B$44-B2751)/(IF(Inputs!$B$39="pvp",15,MAX(0.1,Skills!D9-IF(Skills!E9=TRUE,Inputs!$B$33,0)))*(1-IF(AND(ArtifactsInput!$M$27,Inputs!$B$4="Chapter Hunt"),CHOOSE(ArtifactsInput!$N$27+1,20,24,28,32,36,40),0)/100)))+1)),0)</f>
        <v/>
      </c>
      <c r="S2721">
        <f>IF(C2721,(H2721*N2721*IF(AND(Inputs!$B$39&lt;&gt;"pvp",Inputs!$B$44&gt;0),((Skills!F9*((R2721-1)*IF(Skills!G9&gt;0,Skills!H9/Skills!G9,1)+IF(Skills!G9&gt;0,MIN(Skills!H9,MAX(0,MAX(0,Inputs!$B$44-B2751)-((R2721-1)*(IF(Inputs!$B$39="pvp",15,MAX(0.1,Skills!D9-IF(Skills!E9=TRUE,Inputs!$B$33,0)))*(1-IF(AND(ArtifactsInput!$M$27,Inputs!$B$4="Chapter Hunt"),CHOOSE(ArtifactsInput!$N$27+1,20,24,28,32,36,40),0)/100)))))/Skills!G9,1)))/Inputs!$B$44),G2721*Q2721))*IF(Inputs!$B$39="pvp",1,1+(Inputs!$B$21+Skills!O9+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2721*(1-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F(C2721,(H2721*N2721*IF(AND(Inputs!$B$39&lt;&gt;"pvp",Inputs!$B$44&gt;0),((Skills!F9*((R2721-1)*IF(Skills!G9&gt;0,Skills!H9/Skills!G9,1)+IF(Skills!G9&gt;0,MIN(Skills!H9,MAX(0,MAX(0,Inputs!$B$44-B2751)-((R2721-1)*(IF(Inputs!$B$39="pvp",15,MAX(0.1,Skills!D9-IF(Skills!E9=TRUE,Inputs!$B$33,0)))*(1-IF(AND(ArtifactsInput!$M$27,Inputs!$B$4="Chapter Hunt"),CHOOSE(ArtifactsInput!$N$27+1,20,24,28,32,36,40),0)/100)))))/Skills!G9,1)))/Inputs!$B$44),G2721*Q2721))*IF(Inputs!$B$39="pvp",1,(1+(Inputs!$B$22+Skills!P9+B2743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Skills!A10</f>
        <v/>
      </c>
      <c r="B2722">
        <f>Skills!B10</f>
        <v/>
      </c>
      <c r="C2722">
        <f>Inputs!$B$3&gt;=66</f>
        <v/>
      </c>
      <c r="D2722">
        <f>IF(Skills!C10=1,60+Inputs!$B$26+Inputs!$B$30,IF(Skills!C10=2,90+Inputs!$B$27+Inputs!$B$30,IF(Skills!C10=3,120+Inputs!$B$28+Inputs!$B$30,MAX(0,(Inputs!$B$3-100)*3)+Inputs!$B$29+Inputs!$B$30)))</f>
        <v/>
      </c>
      <c r="E2722">
        <f>INDEX(FactorTable!$B$2:$Y$301, MATCH(ROUND(MIN(300,MAX(1,D2722)),0), FactorTable!$A$2:$A$301,0), Skills!L10+1)</f>
        <v/>
      </c>
      <c r="F2722" t="n">
        <v>0</v>
      </c>
      <c r="G2722">
        <f>Calc!G10</f>
        <v/>
      </c>
      <c r="H2722">
        <f>Calc!H10</f>
        <v/>
      </c>
      <c r="I2722">
        <f>IF(Skills!T10&lt;&gt;"",1+(Skills!T10/10)*($Z$3/1000)/100,1)</f>
        <v/>
      </c>
      <c r="J2722" t="inlineStr"/>
      <c r="K2722" t="inlineStr"/>
      <c r="L2722" t="inlineStr"/>
      <c r="M2722" t="inlineStr"/>
      <c r="N2722" t="inlineStr"/>
      <c r="O2722">
        <f>(1-Summary!$B$11)*S2722+Summary!$B$11*U2722</f>
        <v/>
      </c>
      <c r="P2722">
        <f>IF(B2754=0,0,O2722/B2754)</f>
        <v/>
      </c>
      <c r="Q2722">
        <f>IFERROR(1/(IF(Inputs!$B$39="pvp",15,MAX(0.1,Skills!D10-IF(Skills!E10=TRUE,Inputs!$B$33,0)))*(1-IF(AND(ArtifactsInput!$M$27,Inputs!$B$4="Chapter Hunt"),CHOOSE(ArtifactsInput!$N$27+1,20,24,28,32,36,40),0)/100)),0)</f>
        <v/>
      </c>
      <c r="R2722">
        <f>IF(AND(Inputs!$B$39&lt;&gt;"pvp",Inputs!$B$44&gt;0),IF(MAX(0,Inputs!$B$44-B2751)&lt;=0,0,(INT(MAX(0,Inputs!$B$44-B2751)/(IF(Inputs!$B$39="pvp",15,MAX(0.1,Skills!D10-IF(Skills!E10=TRUE,Inputs!$B$33,0)))*(1-IF(AND(ArtifactsInput!$M$27,Inputs!$B$4="Chapter Hunt"),CHOOSE(ArtifactsInput!$N$27+1,20,24,28,32,36,40),0)/100)))+1)),0)</f>
        <v/>
      </c>
      <c r="S2722" t="n">
        <v>0</v>
      </c>
      <c r="U2722" t="n">
        <v>0</v>
      </c>
    </row>
    <row r="2723">
      <c r="A2723">
        <f>Skills!A11</f>
        <v/>
      </c>
      <c r="B2723">
        <f>Skills!B11</f>
        <v/>
      </c>
      <c r="C2723">
        <f>Inputs!$B$3&gt;=69</f>
        <v/>
      </c>
      <c r="D2723">
        <f>IF(Skills!C11=1,60+Inputs!$B$26+Inputs!$B$30,IF(Skills!C11=2,90+Inputs!$B$27+Inputs!$B$30,IF(Skills!C11=3,120+Inputs!$B$28+Inputs!$B$30,MAX(0,(Inputs!$B$3-100)*3)+Inputs!$B$29+Inputs!$B$30)))</f>
        <v/>
      </c>
      <c r="E2723">
        <f>INDEX(FactorTable!$B$2:$Y$301, MATCH(ROUND(MIN(300,MAX(1,D2723)),0), FactorTable!$A$2:$A$301,0), Skills!L11+1)</f>
        <v/>
      </c>
      <c r="F2723">
        <f>IF(Skills!M11=TRUE,(Skills!K11/10)*(E2723/1000),Skills!K11/10)+Skills!N11</f>
        <v/>
      </c>
      <c r="G2723">
        <f>Calc!G11</f>
        <v/>
      </c>
      <c r="H2723">
        <f>Calc!H11</f>
        <v/>
      </c>
      <c r="I2723">
        <f>IF(Skills!T11&lt;&gt;"",1+(Skills!T11/10)*($Z$3/1000)/100,1)</f>
        <v/>
      </c>
      <c r="J2723" t="inlineStr"/>
      <c r="K2723" t="inlineStr"/>
      <c r="L2723" t="inlineStr"/>
      <c r="M2723" t="inlineStr"/>
      <c r="N2723" t="inlineStr"/>
      <c r="O2723">
        <f>(1-Summary!$B$11)*S2723+Summary!$B$11*U2723</f>
        <v/>
      </c>
      <c r="P2723">
        <f>IF(B2754=0,0,O2723/B2754)</f>
        <v/>
      </c>
      <c r="Q2723">
        <f>IFERROR(1/(IF(Inputs!$B$39="pvp",15,MAX(0.1,Skills!D11-IF(Skills!E11=TRUE,Inputs!$B$33,0)))*(1-IF(AND(ArtifactsInput!$M$27,Inputs!$B$4="Chapter Hunt"),CHOOSE(ArtifactsInput!$N$27+1,20,24,28,32,36,40),0)/100)),0)</f>
        <v/>
      </c>
      <c r="R2723">
        <f>IF(AND(Inputs!$B$39&lt;&gt;"pvp",Inputs!$B$44&gt;0),IF(Inputs!$B$44&lt;=0,0,(INT(Inputs!$B$44/(IF(Inputs!$B$39="pvp",15,MAX(0.1,Skills!D11-IF(Skills!E11=TRUE,Inputs!$B$33,0)))*(1-IF(AND(ArtifactsInput!$M$27,Inputs!$B$4="Chapter Hunt"),CHOOSE(ArtifactsInput!$N$27+1,20,24,28,32,36,40),0)/100)))+1)),0)</f>
        <v/>
      </c>
      <c r="S2723" t="n">
        <v>0</v>
      </c>
      <c r="U2723" t="n">
        <v>0</v>
      </c>
    </row>
    <row r="2724">
      <c r="A2724">
        <f>Skills!A12</f>
        <v/>
      </c>
      <c r="B2724">
        <f>Skills!B12</f>
        <v/>
      </c>
      <c r="C2724">
        <f>Inputs!$B$3&gt;=72</f>
        <v/>
      </c>
      <c r="D2724">
        <f>IF(Skills!C12=1,60+Inputs!$B$26+Inputs!$B$30,IF(Skills!C12=2,90+Inputs!$B$27+Inputs!$B$30,IF(Skills!C12=3,120+Inputs!$B$28+Inputs!$B$30,MAX(0,(Inputs!$B$3-100)*3)+Inputs!$B$29+Inputs!$B$30)))</f>
        <v/>
      </c>
      <c r="E2724">
        <f>INDEX(FactorTable!$B$2:$Y$301, MATCH(ROUND(MIN(300,MAX(1,D2724)),0), FactorTable!$A$2:$A$301,0), Skills!L12+1)</f>
        <v/>
      </c>
      <c r="F2724">
        <f>IF(Skills!M12=TRUE,(Skills!K12/10)*(E2724/1000),Skills!K12/10)+Skills!N12</f>
        <v/>
      </c>
      <c r="G2724">
        <f>Calc!G12</f>
        <v/>
      </c>
      <c r="H2724">
        <f>Calc!H12</f>
        <v/>
      </c>
      <c r="I2724">
        <f>IF(Skills!T12&lt;&gt;"",1+(Skills!T12/10)*($Z$3/1000)/100,1)</f>
        <v/>
      </c>
      <c r="J2724" t="inlineStr"/>
      <c r="K2724" t="inlineStr"/>
      <c r="L2724" t="inlineStr"/>
      <c r="M2724" t="inlineStr"/>
      <c r="N2724" t="inlineStr"/>
      <c r="O2724">
        <f>(1-Summary!$B$11)*S2724+Summary!$B$11*U2724</f>
        <v/>
      </c>
      <c r="P2724">
        <f>IF(B2754=0,0,O2724/B2754)</f>
        <v/>
      </c>
      <c r="Q2724">
        <f>IFERROR(1/(IF(Inputs!$B$39="pvp",15,MAX(0.1,Skills!D12-IF(Skills!E12=TRUE,Inputs!$B$33,0)))*(1-IF(AND(ArtifactsInput!$M$27,Inputs!$B$4="Chapter Hunt"),CHOOSE(ArtifactsInput!$N$27+1,20,24,28,32,36,40),0)/100)),0)</f>
        <v/>
      </c>
      <c r="R2724">
        <f>IF(AND(Inputs!$B$39&lt;&gt;"pvp",Inputs!$B$44&gt;0),IF(MAX(0,Inputs!$B$44-B2751)&lt;=0,0,(INT(MAX(0,Inputs!$B$44-B2751)/(IF(Inputs!$B$39="pvp",15,MAX(0.1,Skills!D12-IF(Skills!E12=TRUE,Inputs!$B$33,0)))*(1-IF(AND(ArtifactsInput!$M$27,Inputs!$B$4="Chapter Hunt"),CHOOSE(ArtifactsInput!$N$27+1,20,24,28,32,36,40),0)/100)))+1)),0)</f>
        <v/>
      </c>
      <c r="S2724" t="n">
        <v>0</v>
      </c>
      <c r="U2724" t="n">
        <v>0</v>
      </c>
    </row>
    <row r="2725">
      <c r="A2725">
        <f>Skills!A13</f>
        <v/>
      </c>
      <c r="B2725">
        <f>Skills!B13</f>
        <v/>
      </c>
      <c r="C2725">
        <f>Inputs!$B$3&gt;=60</f>
        <v/>
      </c>
      <c r="D2725">
        <f>IF(Skills!C13=1,60+Inputs!$B$26+Inputs!$B$30,IF(Skills!C13=2,90+Inputs!$B$27+Inputs!$B$30,IF(Skills!C13=3,120+Inputs!$B$28+Inputs!$B$30,MAX(0,(Inputs!$B$3-100)*3)+Inputs!$B$29+Inputs!$B$30)))</f>
        <v/>
      </c>
      <c r="E2725">
        <f>INDEX(FactorTable!$B$2:$Y$301, MATCH(ROUND(MIN(300,MAX(1,D2725)),0), FactorTable!$A$2:$A$301,0), Skills!L13+1)</f>
        <v/>
      </c>
      <c r="F2725">
        <f>IF(Skills!M13=TRUE,(Skills!K13/10)*(E2725/1000),Skills!K13/10)+Skills!N13</f>
        <v/>
      </c>
      <c r="G2725">
        <f>Calc!G13</f>
        <v/>
      </c>
      <c r="H2725">
        <f>Calc!H13</f>
        <v/>
      </c>
      <c r="I2725">
        <f>IF(Skills!T13&lt;&gt;"",1+(Skills!T13/10)*($Z$3/1000)/100,1)</f>
        <v/>
      </c>
      <c r="J2725" t="inlineStr"/>
      <c r="K2725" t="inlineStr"/>
      <c r="L2725" t="inlineStr"/>
      <c r="M2725" t="inlineStr"/>
      <c r="N2725" t="inlineStr"/>
      <c r="O2725">
        <f>(1-Summary!$B$11)*S2725+Summary!$B$11*U2725</f>
        <v/>
      </c>
      <c r="P2725">
        <f>IF(B2754=0,0,O2725/B2754)</f>
        <v/>
      </c>
      <c r="Q2725">
        <f>IFERROR(1/(IF(Inputs!$B$39="pvp",15,MAX(0.1,Skills!D13-IF(Skills!E13=TRUE,Inputs!$B$33,0)))*(1-IF(AND(ArtifactsInput!$M$27,Inputs!$B$4="Chapter Hunt"),CHOOSE(ArtifactsInput!$N$27+1,20,24,28,32,36,40),0)/100)),0)</f>
        <v/>
      </c>
      <c r="R2725">
        <f>IF(AND(Inputs!$B$39&lt;&gt;"pvp",Inputs!$B$44&gt;0),IF(MAX(0,Inputs!$B$44-B2751)&lt;=0,0,(INT(MAX(0,Inputs!$B$44-B2751)/(IF(Inputs!$B$39="pvp",15,MAX(0.1,Skills!D13-IF(Skills!E13=TRUE,Inputs!$B$33,0)))*(1-IF(AND(ArtifactsInput!$M$27,Inputs!$B$4="Chapter Hunt"),CHOOSE(ArtifactsInput!$N$27+1,20,24,28,32,36,40),0)/100)))+1)),0)</f>
        <v/>
      </c>
      <c r="S2725" t="n">
        <v>0</v>
      </c>
      <c r="U2725" t="n">
        <v>0</v>
      </c>
    </row>
    <row r="2726">
      <c r="A2726">
        <f>Skills!A14</f>
        <v/>
      </c>
      <c r="B2726">
        <f>Skills!B14</f>
        <v/>
      </c>
      <c r="C2726">
        <f>Inputs!$B$3&gt;=107</f>
        <v/>
      </c>
      <c r="D2726">
        <f>IF(Skills!C14=1,60+Inputs!$B$26+Inputs!$B$30,IF(Skills!C14=2,90+Inputs!$B$27+Inputs!$B$30,IF(Skills!C14=3,120+Inputs!$B$28+Inputs!$B$30,MAX(0,(Inputs!$B$3-100)*3)+Inputs!$B$29+Inputs!$B$30)))</f>
        <v/>
      </c>
      <c r="E2726">
        <f>INDEX(FactorTable!$B$2:$Y$301, MATCH(ROUND(MIN(300,MAX(1,D2726)),0), FactorTable!$A$2:$A$301,0), Skills!L14+1)</f>
        <v/>
      </c>
      <c r="F2726">
        <f>IF(Skills!M14=TRUE,(Skills!K14/10)*(E2726/1000),Skills!K14/10)+Skills!N14</f>
        <v/>
      </c>
      <c r="G2726">
        <f>Calc!G14</f>
        <v/>
      </c>
      <c r="H2726">
        <f>Calc!H14</f>
        <v/>
      </c>
      <c r="I2726">
        <f>IF(Skills!T14&lt;&gt;"",1+(Skills!T14/10)*($Z$3/1000)/100,1)</f>
        <v/>
      </c>
      <c r="J2726" t="inlineStr"/>
      <c r="K2726" t="inlineStr"/>
      <c r="L2726" t="inlineStr"/>
      <c r="M2726" t="inlineStr"/>
      <c r="N2726" t="inlineStr"/>
      <c r="O2726">
        <f>(1-Summary!$B$11)*S2726+Summary!$B$11*U2726</f>
        <v/>
      </c>
      <c r="P2726">
        <f>IF(B2754=0,0,O2726/B2754)</f>
        <v/>
      </c>
      <c r="Q2726">
        <f>IFERROR(1/(IF(Inputs!$B$39="pvp",15,MAX(0.1,Skills!D14-IF(Skills!E14=TRUE,Inputs!$B$33,0)))*(1-IF(AND(ArtifactsInput!$M$27,Inputs!$B$4="Chapter Hunt"),CHOOSE(ArtifactsInput!$N$27+1,20,24,28,32,36,40),0)/100)),0)</f>
        <v/>
      </c>
      <c r="R2726">
        <f>IF(AND(Inputs!$B$39&lt;&gt;"pvp",Inputs!$B$44&gt;0),IF(Inputs!$B$44&lt;=0,0,(INT(Inputs!$B$44/(IF(Inputs!$B$39="pvp",15,MAX(0.1,Skills!D14-IF(Skills!E14=TRUE,Inputs!$B$33,0)))*(1-IF(AND(ArtifactsInput!$M$27,Inputs!$B$4="Chapter Hunt"),CHOOSE(ArtifactsInput!$N$27+1,20,24,28,32,36,40),0)/100)))+1)),0)</f>
        <v/>
      </c>
      <c r="S2726" t="n">
        <v>0</v>
      </c>
      <c r="U2726" t="n">
        <v>0</v>
      </c>
    </row>
    <row r="2727">
      <c r="A2727">
        <f>Skills!A15</f>
        <v/>
      </c>
      <c r="B2727">
        <f>Skills!B15</f>
        <v/>
      </c>
      <c r="C2727">
        <f>Inputs!$B$3&gt;=63</f>
        <v/>
      </c>
      <c r="D2727">
        <f>IF(Skills!C15=1,60+Inputs!$B$26+Inputs!$B$30,IF(Skills!C15=2,90+Inputs!$B$27+Inputs!$B$30,IF(Skills!C15=3,120+Inputs!$B$28+Inputs!$B$30,MAX(0,(Inputs!$B$3-100)*3)+Inputs!$B$29+Inputs!$B$30)))</f>
        <v/>
      </c>
      <c r="E2727">
        <f>INDEX(FactorTable!$B$2:$Y$301, MATCH(ROUND(MIN(300,MAX(1,D2727)),0), FactorTable!$A$2:$A$301,0), Skills!L15+1)</f>
        <v/>
      </c>
      <c r="F2727">
        <f>IF(Skills!M15=TRUE,(Skills!K15/10)*(E2727/1000),Skills!K15/10)+Skills!N15</f>
        <v/>
      </c>
      <c r="G2727">
        <f>Calc!G15</f>
        <v/>
      </c>
      <c r="H2727">
        <f>Calc!H15</f>
        <v/>
      </c>
      <c r="I2727">
        <f>IF(Skills!T15&lt;&gt;"",1+(Skills!T15/10)*($Z$3/1000)/100,1)</f>
        <v/>
      </c>
      <c r="J2727">
        <f>((Inputs!$B$6*(1+Inputs!$B$7/100))+(((Inputs!$B$13*(1+Inputs!$B$14/100))-(Inputs!$B$13*(1+Inputs!$B$14/100)))+0.25*(Inputs!$B$15-Inputs!$B$15))*(1+Inputs!$B$7/100))*(F2727/100)</f>
        <v/>
      </c>
      <c r="K2727">
        <f>J2727*(1+(((Inputs!$B$13+IF(Inputs!$B$3&gt;=35,(10*INDEX(FactorTable!$B$2:$Y$301,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15="TRIUMPH_FEATHER",IF(C2728=TRUE,F2728,0),0)/100)*(1+IF(C2739=TRUE,F2739,0)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2727)</f>
        <v/>
      </c>
      <c r="L2727">
        <f>K2727*(MIN(Inputs!$B$23+(F2734-Calc!F22),(Inputs!$B$24+IF(ArtifactsInput!$M$15,CHOOSE(ArtifactsInput!$N$15+1,25,30,35,40,45,50)/100*(Inputs!$B$12-Inputs!$B$12),0)))/100+(Inputs!$B$24+IF(ArtifactsInput!$M$15,CHOOSE(ArtifactsInput!$N$15+1,25,30,35,40,45,50)/100*(Inputs!$B$12-Inputs!$B$12),0))/100)/2</f>
        <v/>
      </c>
      <c r="M2727">
        <f>L2727*(1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7">
        <f>L2727*(1-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(1-Summary!$B$11)*S2727+Summary!$B$11*U2727</f>
        <v/>
      </c>
      <c r="P2727">
        <f>IF(B2754=0,0,O2727/B2754)</f>
        <v/>
      </c>
      <c r="Q2727">
        <f>IFERROR(1/(IF(Inputs!$B$39="pvp",15,MAX(0.1,Skills!D15-IF(Skills!E15=TRUE,Inputs!$B$33,0)))*(1-IF(AND(ArtifactsInput!$M$27,Inputs!$B$4="Chapter Hunt"),CHOOSE(ArtifactsInput!$N$27+1,20,24,28,32,36,40),0)/100)),0)</f>
        <v/>
      </c>
      <c r="R2727" t="n">
        <v>0</v>
      </c>
      <c r="S2727">
        <f>IF(C2727,(Skills!F15*N2727*((IF(Inputs!$B$3&gt;=78,25,15)/100*B2747*10)/(1+IF(Inputs!$B$3&gt;=78,25,15)/100*B2747*10))*(Skills!I15/100*B2747)/(1+Skills!G15*Skills!I15/100*B2747))*IF(Inputs!$B$39="pvp",1,1+(Inputs!$B$21+Skills!O15+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2727*(1-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7">
        <f>IF(C2727,(Skills!F15*N2727*((IF(Inputs!$B$3&gt;=78,25,15)/100*B2747*10)/(1+IF(Inputs!$B$3&gt;=78,25,15)/100*B2747*10))*(Skills!I15/100*B2747)/(1+Skills!G15*Skills!I15/100*B2747))*IF(Inputs!$B$39="pvp",1,(1+(Inputs!$B$22+Skills!P15+B2743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Skills!A16</f>
        <v/>
      </c>
      <c r="B2728">
        <f>Skills!B16</f>
        <v/>
      </c>
      <c r="C2728">
        <f>Inputs!$B$3&gt;=100</f>
        <v/>
      </c>
      <c r="D2728">
        <f>IF(Skills!C16=1,60+Inputs!$B$26+Inputs!$B$30,IF(Skills!C16=2,90+Inputs!$B$27+Inputs!$B$30,IF(Skills!C16=3,120+Inputs!$B$28+Inputs!$B$30,MAX(0,(Inputs!$B$3-100)*3)+Inputs!$B$29+Inputs!$B$30)))</f>
        <v/>
      </c>
      <c r="E2728">
        <f>INDEX(FactorTable!$B$2:$Y$301, MATCH(ROUND(MIN(300,MAX(1,D2728)),0), FactorTable!$A$2:$A$301,0), Skills!L16+1)</f>
        <v/>
      </c>
      <c r="F2728">
        <f>IF(Skills!M16=TRUE,(Skills!K16/10)*(E2728/1000),Skills!K16/10)+Skills!N16</f>
        <v/>
      </c>
      <c r="G2728">
        <f>Calc!G16</f>
        <v/>
      </c>
      <c r="H2728">
        <f>Calc!H16</f>
        <v/>
      </c>
      <c r="I2728">
        <f>IF(Skills!T16&lt;&gt;"",1+(Skills!T16/10)*($Z$3/1000)/100,1)</f>
        <v/>
      </c>
      <c r="J2728" t="inlineStr"/>
      <c r="K2728" t="inlineStr"/>
      <c r="L2728" t="inlineStr"/>
      <c r="M2728" t="inlineStr"/>
      <c r="N2728" t="inlineStr"/>
      <c r="O2728">
        <f>(1-Summary!$B$11)*S2728+Summary!$B$11*U2728</f>
        <v/>
      </c>
      <c r="P2728">
        <f>IF(B2754=0,0,O2728/B2754)</f>
        <v/>
      </c>
      <c r="Q2728">
        <f>IFERROR(1/(IF(Inputs!$B$39="pvp",15,MAX(0.1,Skills!D16-IF(Skills!E16=TRUE,Inputs!$B$33,0)))*(1-IF(AND(ArtifactsInput!$M$27,Inputs!$B$4="Chapter Hunt"),CHOOSE(ArtifactsInput!$N$27+1,20,24,28,32,36,40),0)/100)),0)</f>
        <v/>
      </c>
      <c r="R2728" t="n">
        <v>0</v>
      </c>
      <c r="S2728" t="n">
        <v>0</v>
      </c>
      <c r="U2728" t="n">
        <v>0</v>
      </c>
    </row>
    <row r="2729">
      <c r="A2729">
        <f>Skills!A17</f>
        <v/>
      </c>
      <c r="B2729">
        <f>Skills!B17</f>
        <v/>
      </c>
      <c r="C2729">
        <f>Inputs!$B$3&gt;=49</f>
        <v/>
      </c>
      <c r="D2729">
        <f>IF(Skills!C17=1,60+Inputs!$B$26+Inputs!$B$30,IF(Skills!C17=2,90+Inputs!$B$27+Inputs!$B$30,IF(Skills!C17=3,120+Inputs!$B$28+Inputs!$B$30,MAX(0,(Inputs!$B$3-100)*3)+Inputs!$B$29+Inputs!$B$30)))</f>
        <v/>
      </c>
      <c r="E2729">
        <f>INDEX(FactorTable!$B$2:$Y$301, MATCH(ROUND(MIN(300,MAX(1,D2729)),0), FactorTable!$A$2:$A$301,0), Skills!L17+1)</f>
        <v/>
      </c>
      <c r="F2729">
        <f>IF(Skills!M17=TRUE,(Skills!K17/10)*(E2729/1000),Skills!K17/10)+Skills!N17</f>
        <v/>
      </c>
      <c r="G2729">
        <f>Calc!G17</f>
        <v/>
      </c>
      <c r="H2729">
        <f>Calc!H17</f>
        <v/>
      </c>
      <c r="I2729">
        <f>IF(Skills!T17&lt;&gt;"",1+(Skills!T17/10)*($Z$3/1000)/100,1)</f>
        <v/>
      </c>
      <c r="J2729" t="inlineStr"/>
      <c r="K2729" t="inlineStr"/>
      <c r="L2729" t="inlineStr"/>
      <c r="M2729" t="inlineStr"/>
      <c r="N2729" t="inlineStr"/>
      <c r="O2729">
        <f>(1-Summary!$B$11)*S2729+Summary!$B$11*U2729</f>
        <v/>
      </c>
      <c r="P2729">
        <f>IF(B2754=0,0,O2729/B2754)</f>
        <v/>
      </c>
      <c r="Q2729">
        <f>IFERROR(1/(IF(Inputs!$B$39="pvp",15,MAX(0.1,Skills!D17-IF(Skills!E17=TRUE,Inputs!$B$33,0)))*(1-IF(AND(ArtifactsInput!$M$27,Inputs!$B$4="Chapter Hunt"),CHOOSE(ArtifactsInput!$N$27+1,20,24,28,32,36,40),0)/100)),0)</f>
        <v/>
      </c>
      <c r="R2729" t="n">
        <v>0</v>
      </c>
      <c r="S2729" t="n">
        <v>0</v>
      </c>
      <c r="U2729" t="n">
        <v>0</v>
      </c>
    </row>
    <row r="2730">
      <c r="A2730">
        <f>Skills!A18</f>
        <v/>
      </c>
      <c r="B2730">
        <f>Skills!B18</f>
        <v/>
      </c>
      <c r="C2730">
        <f>Inputs!$B$3&gt;=75</f>
        <v/>
      </c>
      <c r="D2730">
        <f>IF(Skills!C18=1,60+Inputs!$B$26+Inputs!$B$30,IF(Skills!C18=2,90+Inputs!$B$27+Inputs!$B$30,IF(Skills!C18=3,120+Inputs!$B$28+Inputs!$B$30,MAX(0,(Inputs!$B$3-100)*3)+Inputs!$B$29+Inputs!$B$30)))</f>
        <v/>
      </c>
      <c r="E2730">
        <f>INDEX(FactorTable!$B$2:$Y$301, MATCH(ROUND(MIN(300,MAX(1,D2730)),0), FactorTable!$A$2:$A$301,0), Skills!L18+1)</f>
        <v/>
      </c>
      <c r="F2730">
        <f>IF(Skills!M18=TRUE,(Skills!K18/10)*(E2730/1000),Skills!K18/10)+Skills!N18</f>
        <v/>
      </c>
      <c r="G2730">
        <f>Calc!G18</f>
        <v/>
      </c>
      <c r="H2730">
        <f>Calc!H18</f>
        <v/>
      </c>
      <c r="I2730">
        <f>IF(Skills!T18&lt;&gt;"",1+(Skills!T18/10)*($Z$3/1000)/100,1)</f>
        <v/>
      </c>
      <c r="J2730" t="inlineStr"/>
      <c r="K2730" t="inlineStr"/>
      <c r="L2730" t="inlineStr"/>
      <c r="M2730" t="inlineStr"/>
      <c r="N2730" t="inlineStr"/>
      <c r="O2730">
        <f>(1-Summary!$B$11)*S2730+Summary!$B$11*U2730</f>
        <v/>
      </c>
      <c r="P2730">
        <f>IF(B2754=0,0,O2730/B2754)</f>
        <v/>
      </c>
      <c r="Q2730">
        <f>IFERROR(1/(IF(Inputs!$B$39="pvp",15,MAX(0.1,Skills!D18-IF(Skills!E18=TRUE,Inputs!$B$33,0)))*(1-IF(AND(ArtifactsInput!$M$27,Inputs!$B$4="Chapter Hunt"),CHOOSE(ArtifactsInput!$N$27+1,20,24,28,32,36,40),0)/100)),0)</f>
        <v/>
      </c>
      <c r="R2730" t="n">
        <v>0</v>
      </c>
      <c r="S2730" t="n">
        <v>0</v>
      </c>
      <c r="U2730" t="n">
        <v>0</v>
      </c>
    </row>
    <row r="2731">
      <c r="A2731">
        <f>Skills!A19</f>
        <v/>
      </c>
      <c r="B2731">
        <f>Skills!B19</f>
        <v/>
      </c>
      <c r="C2731">
        <f>Inputs!$B$3&gt;=110</f>
        <v/>
      </c>
      <c r="D2731">
        <f>IF(Skills!C19=1,60+Inputs!$B$26+Inputs!$B$30,IF(Skills!C19=2,90+Inputs!$B$27+Inputs!$B$30,IF(Skills!C19=3,120+Inputs!$B$28+Inputs!$B$30,MAX(0,(Inputs!$B$3-100)*3)+Inputs!$B$29+Inputs!$B$30)))</f>
        <v/>
      </c>
      <c r="E2731">
        <f>INDEX(FactorTable!$B$2:$Y$301, MATCH(ROUND(MIN(300,MAX(1,D2731)),0), FactorTable!$A$2:$A$301,0), Skills!L19+1)</f>
        <v/>
      </c>
      <c r="F2731">
        <f>(Skills!K19/10)*(E2731/1000)*64/45+Skills!N19</f>
        <v/>
      </c>
      <c r="G2731">
        <f>Calc!G19</f>
        <v/>
      </c>
      <c r="H2731">
        <f>Calc!H19</f>
        <v/>
      </c>
      <c r="I2731">
        <f>IF(Skills!T19&lt;&gt;"",1+(Skills!T19/10)*($Z$3/1000)/100,1)</f>
        <v/>
      </c>
      <c r="J2731" t="inlineStr"/>
      <c r="K2731" t="inlineStr"/>
      <c r="L2731" t="inlineStr"/>
      <c r="M2731" t="inlineStr"/>
      <c r="N2731" t="inlineStr"/>
      <c r="O2731">
        <f>(1-Summary!$B$11)*S2731+Summary!$B$11*U2731</f>
        <v/>
      </c>
      <c r="P2731">
        <f>IF(B2754=0,0,O2731/B2754)</f>
        <v/>
      </c>
      <c r="Q2731">
        <f>IFERROR(1/(IF(Inputs!$B$39="pvp",15,MAX(0.1,Skills!D19-IF(Skills!E19=TRUE,Inputs!$B$33,0)))*(1-IF(AND(ArtifactsInput!$M$27,Inputs!$B$4="Chapter Hunt"),CHOOSE(ArtifactsInput!$N$27+1,20,24,28,32,36,40),0)/100)),0)</f>
        <v/>
      </c>
      <c r="R2731">
        <f>IF(AND(Inputs!$B$39&lt;&gt;"pvp",Inputs!$B$44&gt;0),IF(Inputs!$B$44&lt;=0,0,(INT(Inputs!$B$44/(IF(Inputs!$B$39="pvp",15,MAX(0.1,Skills!D19-IF(Skills!E19=TRUE,Inputs!$B$33,0)))*(1-IF(AND(ArtifactsInput!$M$27,Inputs!$B$4="Chapter Hunt"),CHOOSE(ArtifactsInput!$N$27+1,20,24,28,32,36,40),0)/100)))+1)),0)</f>
        <v/>
      </c>
      <c r="S2731" t="n">
        <v>0</v>
      </c>
      <c r="U2731" t="n">
        <v>0</v>
      </c>
    </row>
    <row r="2732">
      <c r="A2732">
        <f>Skills!A20</f>
        <v/>
      </c>
      <c r="B2732">
        <f>Skills!B20</f>
        <v/>
      </c>
      <c r="C2732">
        <f>Inputs!$B$3&gt;=125</f>
        <v/>
      </c>
      <c r="D2732">
        <f>IF(Skills!C20=1,60+Inputs!$B$26+Inputs!$B$30,IF(Skills!C20=2,90+Inputs!$B$27+Inputs!$B$30,IF(Skills!C20=3,120+Inputs!$B$28+Inputs!$B$30,MAX(0,(Inputs!$B$3-100)*3)+Inputs!$B$29+Inputs!$B$30)))</f>
        <v/>
      </c>
      <c r="E2732">
        <f>INDEX(FactorTable!$B$2:$Y$301, MATCH(ROUND(MIN(300,MAX(1,D2732)),0), FactorTable!$A$2:$A$301,0), Skills!L20+1)</f>
        <v/>
      </c>
      <c r="F2732">
        <f>IF(Skills!M20=TRUE,(Skills!K20/10)*(E2732/1000),Skills!K20/10)+Skills!N20</f>
        <v/>
      </c>
      <c r="G2732">
        <f>Calc!G20</f>
        <v/>
      </c>
      <c r="H2732">
        <f>Calc!H20</f>
        <v/>
      </c>
      <c r="I2732">
        <f>IF(Skills!T20&lt;&gt;"",1+(Skills!T20/10)*($Z$3/1000)/100,1)</f>
        <v/>
      </c>
      <c r="J2732" t="inlineStr"/>
      <c r="K2732" t="inlineStr"/>
      <c r="L2732" t="inlineStr"/>
      <c r="M2732" t="inlineStr"/>
      <c r="N2732" t="inlineStr"/>
      <c r="O2732">
        <f>(1-Summary!$B$11)*S2732+Summary!$B$11*U2732</f>
        <v/>
      </c>
      <c r="P2732">
        <f>IF(B2754=0,0,O2732/B2754)</f>
        <v/>
      </c>
      <c r="Q2732">
        <f>IFERROR(1/(IF(Inputs!$B$39="pvp",15,MAX(0.1,Skills!D20-IF(Skills!E20=TRUE,Inputs!$B$33,0)))*(1-IF(AND(ArtifactsInput!$M$27,Inputs!$B$4="Chapter Hunt"),CHOOSE(ArtifactsInput!$N$27+1,20,24,28,32,36,40),0)/100)),0)</f>
        <v/>
      </c>
      <c r="R2732" t="n">
        <v>0</v>
      </c>
      <c r="S2732" t="n">
        <v>0</v>
      </c>
      <c r="U2732" t="n">
        <v>0</v>
      </c>
    </row>
    <row r="2733">
      <c r="A2733">
        <f>Skills!A21</f>
        <v/>
      </c>
      <c r="B2733">
        <f>Skills!B21</f>
        <v/>
      </c>
      <c r="C2733">
        <f>Inputs!$B$3&gt;=33</f>
        <v/>
      </c>
      <c r="D2733">
        <f>IF(Skills!C21=1,60+Inputs!$B$26+Inputs!$B$30,IF(Skills!C21=2,90+Inputs!$B$27+Inputs!$B$30,IF(Skills!C21=3,120+Inputs!$B$28+Inputs!$B$30,MAX(0,(Inputs!$B$3-100)*3)+Inputs!$B$29+Inputs!$B$30)))</f>
        <v/>
      </c>
      <c r="E2733">
        <f>INDEX(FactorTable!$B$2:$Y$301, MATCH(ROUND(MIN(300,MAX(1,D2733)),0), FactorTable!$A$2:$A$301,0), Skills!L21+1)</f>
        <v/>
      </c>
      <c r="F2733">
        <f>IF(Skills!M21=TRUE,(Skills!K21/10)*(E2733/1000),Skills!K21/10)+Skills!N21</f>
        <v/>
      </c>
      <c r="G2733">
        <f>Calc!G21</f>
        <v/>
      </c>
      <c r="H2733">
        <f>Calc!H21</f>
        <v/>
      </c>
      <c r="I2733">
        <f>IF(Skills!T21&lt;&gt;"",1+(Skills!T21/10)*($Z$3/1000)/100,1)</f>
        <v/>
      </c>
      <c r="J2733" t="inlineStr"/>
      <c r="K2733" t="inlineStr"/>
      <c r="L2733" t="inlineStr"/>
      <c r="M2733" t="inlineStr"/>
      <c r="N2733" t="inlineStr"/>
      <c r="O2733">
        <f>(1-Summary!$B$11)*S2733+Summary!$B$11*U2733</f>
        <v/>
      </c>
      <c r="P2733">
        <f>IF(B2754=0,0,O2733/B2754)</f>
        <v/>
      </c>
      <c r="Q2733">
        <f>IFERROR(1/(IF(Inputs!$B$39="pvp",15,MAX(0.1,Skills!D21-IF(Skills!E21=TRUE,Inputs!$B$33,0)))*(1-IF(AND(ArtifactsInput!$M$27,Inputs!$B$4="Chapter Hunt"),CHOOSE(ArtifactsInput!$N$27+1,20,24,28,32,36,40),0)/100)),0)</f>
        <v/>
      </c>
      <c r="R2733" t="n">
        <v>0</v>
      </c>
      <c r="S2733" t="n">
        <v>0</v>
      </c>
      <c r="U2733" t="n">
        <v>0</v>
      </c>
    </row>
    <row r="2734">
      <c r="A2734">
        <f>Skills!A22</f>
        <v/>
      </c>
      <c r="B2734">
        <f>Skills!B22</f>
        <v/>
      </c>
      <c r="C2734">
        <f>Inputs!$B$3&gt;=43</f>
        <v/>
      </c>
      <c r="D2734">
        <f>IF(Skills!C22=1,60+Inputs!$B$26+Inputs!$B$30,IF(Skills!C22=2,90+Inputs!$B$27+Inputs!$B$30,IF(Skills!C22=3,120+Inputs!$B$28+Inputs!$B$30,MAX(0,(Inputs!$B$3-100)*3)+Inputs!$B$29+Inputs!$B$30)))</f>
        <v/>
      </c>
      <c r="E2734">
        <f>INDEX(FactorTable!$B$2:$Y$301, MATCH(ROUND(MIN(300,MAX(1,D2734)),0), FactorTable!$A$2:$A$301,0), Skills!L22+1)</f>
        <v/>
      </c>
      <c r="F2734">
        <f>IF(Skills!M22=TRUE,(Skills!K22/10)*(E2734/1000),Skills!K22/10)+Skills!N22</f>
        <v/>
      </c>
      <c r="G2734">
        <f>Calc!G22</f>
        <v/>
      </c>
      <c r="H2734">
        <f>Calc!H22</f>
        <v/>
      </c>
      <c r="I2734">
        <f>IF(Skills!T22&lt;&gt;"",1+(Skills!T22/10)*($Z$3/1000)/100,1)</f>
        <v/>
      </c>
      <c r="J2734" t="inlineStr"/>
      <c r="K2734" t="inlineStr"/>
      <c r="L2734" t="inlineStr"/>
      <c r="M2734" t="inlineStr"/>
      <c r="N2734" t="inlineStr"/>
      <c r="O2734">
        <f>(1-Summary!$B$11)*S2734+Summary!$B$11*U2734</f>
        <v/>
      </c>
      <c r="P2734">
        <f>IF(B2754=0,0,O2734/B2754)</f>
        <v/>
      </c>
      <c r="Q2734">
        <f>IFERROR(1/(IF(Inputs!$B$39="pvp",15,MAX(0.1,Skills!D22-IF(Skills!E22=TRUE,Inputs!$B$33,0)))*(1-IF(AND(ArtifactsInput!$M$27,Inputs!$B$4="Chapter Hunt"),CHOOSE(ArtifactsInput!$N$27+1,20,24,28,32,36,40),0)/100)),0)</f>
        <v/>
      </c>
      <c r="R2734" t="n">
        <v>0</v>
      </c>
      <c r="S2734" t="n">
        <v>0</v>
      </c>
      <c r="U2734" t="n">
        <v>0</v>
      </c>
    </row>
    <row r="2735">
      <c r="A2735">
        <f>Skills!A23</f>
        <v/>
      </c>
      <c r="B2735">
        <f>Skills!B23</f>
        <v/>
      </c>
      <c r="C2735">
        <f>Inputs!$B$3&gt;=50</f>
        <v/>
      </c>
      <c r="D2735">
        <f>IF(Skills!C23=1,60+Inputs!$B$26+Inputs!$B$30,IF(Skills!C23=2,90+Inputs!$B$27+Inputs!$B$30,IF(Skills!C23=3,120+Inputs!$B$28+Inputs!$B$30,MAX(0,(Inputs!$B$3-100)*3)+Inputs!$B$29+Inputs!$B$30)))</f>
        <v/>
      </c>
      <c r="E2735">
        <f>INDEX(FactorTable!$B$2:$Y$301, MATCH(ROUND(MIN(300,MAX(1,D2735)),0), FactorTable!$A$2:$A$301,0), Skills!L23+1)</f>
        <v/>
      </c>
      <c r="F2735">
        <f>IF(Skills!M23=TRUE,(Skills!K23/10)*(E2735/1000),Skills!K23/10)+Skills!N23</f>
        <v/>
      </c>
      <c r="G2735">
        <f>Calc!G23</f>
        <v/>
      </c>
      <c r="H2735">
        <f>Calc!H23</f>
        <v/>
      </c>
      <c r="I2735">
        <f>IF(Skills!T23&lt;&gt;"",1+(Skills!T23/10)*($Z$3/1000)/100,1)</f>
        <v/>
      </c>
      <c r="J2735" t="inlineStr"/>
      <c r="K2735" t="inlineStr"/>
      <c r="L2735" t="inlineStr"/>
      <c r="M2735" t="inlineStr"/>
      <c r="N2735" t="inlineStr"/>
      <c r="O2735">
        <f>(1-Summary!$B$11)*S2735+Summary!$B$11*U2735</f>
        <v/>
      </c>
      <c r="P2735">
        <f>IF(B2754=0,0,O2735/B2754)</f>
        <v/>
      </c>
      <c r="Q2735">
        <f>IFERROR(1/(IF(Inputs!$B$39="pvp",15,MAX(0.1,Skills!D23-IF(Skills!E23=TRUE,Inputs!$B$33,0)))*(1-IF(AND(ArtifactsInput!$M$27,Inputs!$B$4="Chapter Hunt"),CHOOSE(ArtifactsInput!$N$27+1,20,24,28,32,36,40),0)/100)),0)</f>
        <v/>
      </c>
      <c r="R2735" t="n">
        <v>0</v>
      </c>
      <c r="S2735" t="n">
        <v>0</v>
      </c>
      <c r="U2735" t="n">
        <v>0</v>
      </c>
    </row>
    <row r="2736">
      <c r="A2736">
        <f>Skills!A24</f>
        <v/>
      </c>
      <c r="B2736">
        <f>Skills!B24</f>
        <v/>
      </c>
      <c r="C2736">
        <f>Inputs!$B$3&gt;=74</f>
        <v/>
      </c>
      <c r="D2736">
        <f>IF(Skills!C24=1,60+Inputs!$B$26+Inputs!$B$30,IF(Skills!C24=2,90+Inputs!$B$27+Inputs!$B$30,IF(Skills!C24=3,120+Inputs!$B$28+Inputs!$B$30,MAX(0,(Inputs!$B$3-100)*3)+Inputs!$B$29+Inputs!$B$30)))</f>
        <v/>
      </c>
      <c r="E2736">
        <f>INDEX(FactorTable!$B$2:$Y$301, MATCH(ROUND(MIN(300,MAX(1,D2736)),0), FactorTable!$A$2:$A$301,0), Skills!L24+1)</f>
        <v/>
      </c>
      <c r="F2736">
        <f>IF(Skills!M24=TRUE,(Skills!K24/10)*(E2736/1000),Skills!K24/10)+Skills!N24</f>
        <v/>
      </c>
      <c r="G2736">
        <f>Calc!G24</f>
        <v/>
      </c>
      <c r="H2736">
        <f>Calc!H24</f>
        <v/>
      </c>
      <c r="I2736">
        <f>IF(Skills!T24&lt;&gt;"",1+(Skills!T24/10)*($Z$3/1000)/100,1)</f>
        <v/>
      </c>
      <c r="J2736" t="inlineStr"/>
      <c r="K2736" t="inlineStr"/>
      <c r="L2736" t="inlineStr"/>
      <c r="M2736" t="inlineStr"/>
      <c r="N2736" t="inlineStr"/>
      <c r="O2736">
        <f>(1-Summary!$B$11)*S2736+Summary!$B$11*U2736</f>
        <v/>
      </c>
      <c r="P2736">
        <f>IF(B2754=0,0,O2736/B2754)</f>
        <v/>
      </c>
      <c r="Q2736">
        <f>IFERROR(1/(IF(Inputs!$B$39="pvp",15,MAX(0.1,Skills!D24-IF(Skills!E24=TRUE,Inputs!$B$33,0)))*(1-IF(AND(ArtifactsInput!$M$27,Inputs!$B$4="Chapter Hunt"),CHOOSE(ArtifactsInput!$N$27+1,20,24,28,32,36,40),0)/100)),0)</f>
        <v/>
      </c>
      <c r="R2736" t="n">
        <v>0</v>
      </c>
      <c r="S2736" t="n">
        <v>0</v>
      </c>
      <c r="U2736" t="n">
        <v>0</v>
      </c>
    </row>
    <row r="2737">
      <c r="A2737">
        <f>Skills!A25</f>
        <v/>
      </c>
      <c r="B2737">
        <f>Skills!B25</f>
        <v/>
      </c>
      <c r="C2737">
        <f>Inputs!$B$3&gt;=74</f>
        <v/>
      </c>
      <c r="D2737">
        <f>IF(Skills!C25=1,60+Inputs!$B$26+Inputs!$B$30,IF(Skills!C25=2,90+Inputs!$B$27+Inputs!$B$30,IF(Skills!C25=3,120+Inputs!$B$28+Inputs!$B$30,MAX(0,(Inputs!$B$3-100)*3)+Inputs!$B$29+Inputs!$B$30)))</f>
        <v/>
      </c>
      <c r="E2737">
        <f>INDEX(FactorTable!$B$2:$Y$301, MATCH(ROUND(MIN(300,MAX(1,D2737)),0), FactorTable!$A$2:$A$301,0), Skills!L25+1)</f>
        <v/>
      </c>
      <c r="F2737">
        <f>IF(Skills!M25=TRUE,(Skills!K25/10)*(E2737/1000),Skills!K25/10)+Skills!N25</f>
        <v/>
      </c>
      <c r="G2737">
        <f>Calc!G25</f>
        <v/>
      </c>
      <c r="H2737">
        <f>Calc!H25</f>
        <v/>
      </c>
      <c r="I2737">
        <f>IF(Skills!T25&lt;&gt;"",1+(Skills!T25/10)*($Z$3/1000)/100,1)</f>
        <v/>
      </c>
      <c r="J2737" t="inlineStr"/>
      <c r="K2737" t="inlineStr"/>
      <c r="L2737" t="inlineStr"/>
      <c r="M2737" t="inlineStr"/>
      <c r="N2737" t="inlineStr"/>
      <c r="O2737">
        <f>(1-Summary!$B$11)*S2737+Summary!$B$11*U2737</f>
        <v/>
      </c>
      <c r="P2737">
        <f>IF(B2754=0,0,O2737/B2754)</f>
        <v/>
      </c>
      <c r="Q2737">
        <f>IFERROR(1/(IF(Inputs!$B$39="pvp",15,MAX(0.1,Skills!D25-IF(Skills!E25=TRUE,Inputs!$B$33,0)))*(1-IF(AND(ArtifactsInput!$M$27,Inputs!$B$4="Chapter Hunt"),CHOOSE(ArtifactsInput!$N$27+1,20,24,28,32,36,40),0)/100)),0)</f>
        <v/>
      </c>
      <c r="R2737" t="n">
        <v>0</v>
      </c>
      <c r="S2737" t="n">
        <v>0</v>
      </c>
      <c r="U2737" t="n">
        <v>0</v>
      </c>
    </row>
    <row r="2738">
      <c r="A2738">
        <f>Skills!A26</f>
        <v/>
      </c>
      <c r="B2738">
        <f>Skills!B26</f>
        <v/>
      </c>
      <c r="C2738">
        <f>Inputs!$B$3&gt;=117</f>
        <v/>
      </c>
      <c r="D2738">
        <f>IF(Skills!C26=1,60+Inputs!$B$26+Inputs!$B$30,IF(Skills!C26=2,90+Inputs!$B$27+Inputs!$B$30,IF(Skills!C26=3,120+Inputs!$B$28+Inputs!$B$30,MAX(0,(Inputs!$B$3-100)*3)+Inputs!$B$29+Inputs!$B$30)))</f>
        <v/>
      </c>
      <c r="E2738">
        <f>INDEX(FactorTable!$B$2:$Y$301, MATCH(ROUND(MIN(300,MAX(1,D2738)),0), FactorTable!$A$2:$A$301,0), Skills!L26+1)</f>
        <v/>
      </c>
      <c r="F2738">
        <f>IF(Skills!M26=TRUE,(Skills!K26/10)*(E2738/1000),Skills!K26/10)+Skills!N26</f>
        <v/>
      </c>
      <c r="G2738">
        <f>Calc!G26</f>
        <v/>
      </c>
      <c r="H2738">
        <f>Calc!H26</f>
        <v/>
      </c>
      <c r="I2738">
        <f>IF(Skills!T26&lt;&gt;"",1+(Skills!T26/10)*($Z$3/1000)/100,1)</f>
        <v/>
      </c>
      <c r="J2738" t="inlineStr"/>
      <c r="K2738" t="inlineStr"/>
      <c r="L2738" t="inlineStr"/>
      <c r="M2738" t="inlineStr"/>
      <c r="N2738" t="inlineStr"/>
      <c r="O2738">
        <f>(1-Summary!$B$11)*S2738+Summary!$B$11*U2738</f>
        <v/>
      </c>
      <c r="P2738">
        <f>IF(B2754=0,0,O2738/B2754)</f>
        <v/>
      </c>
      <c r="Q2738">
        <f>IFERROR(1/(IF(Inputs!$B$39="pvp",15,MAX(0.1,Skills!D26-IF(Skills!E26=TRUE,Inputs!$B$33,0)))*(1-IF(AND(ArtifactsInput!$M$27,Inputs!$B$4="Chapter Hunt"),CHOOSE(ArtifactsInput!$N$27+1,20,24,28,32,36,40),0)/100)),0)</f>
        <v/>
      </c>
      <c r="R2738" t="n">
        <v>0</v>
      </c>
      <c r="S2738" t="n">
        <v>0</v>
      </c>
      <c r="U2738" t="n">
        <v>0</v>
      </c>
    </row>
    <row r="2739">
      <c r="A2739">
        <f>Skills!A27</f>
        <v/>
      </c>
      <c r="B2739">
        <f>Skills!B27</f>
        <v/>
      </c>
      <c r="C2739">
        <f>Inputs!$B$3&gt;=120</f>
        <v/>
      </c>
      <c r="D2739">
        <f>IF(Skills!C27=1,60+Inputs!$B$26+Inputs!$B$30,IF(Skills!C27=2,90+Inputs!$B$27+Inputs!$B$30,IF(Skills!C27=3,120+Inputs!$B$28+Inputs!$B$30,MAX(0,(Inputs!$B$3-100)*3)+Inputs!$B$29+Inputs!$B$30)))</f>
        <v/>
      </c>
      <c r="E2739">
        <f>INDEX(FactorTable!$B$2:$Y$301, MATCH(ROUND(MIN(300,MAX(1,D2739)),0), FactorTable!$A$2:$A$301,0), Skills!L27+1)</f>
        <v/>
      </c>
      <c r="F2739">
        <f>IF(Skills!M27=TRUE,(Skills!K27/10)*(E2739/1000),Skills!K27/10)+Skills!N27</f>
        <v/>
      </c>
      <c r="G2739">
        <f>Calc!G27</f>
        <v/>
      </c>
      <c r="H2739">
        <f>Calc!H27</f>
        <v/>
      </c>
      <c r="I2739">
        <f>IF(Skills!T27&lt;&gt;"",1+(Skills!T27/10)*($Z$3/1000)/100,1)</f>
        <v/>
      </c>
      <c r="J2739" t="inlineStr"/>
      <c r="K2739" t="inlineStr"/>
      <c r="L2739" t="inlineStr"/>
      <c r="M2739" t="inlineStr"/>
      <c r="N2739" t="inlineStr"/>
      <c r="O2739">
        <f>(1-Summary!$B$11)*S2739+Summary!$B$11*U2739</f>
        <v/>
      </c>
      <c r="P2739">
        <f>IF(B2754=0,0,O2739/B2754)</f>
        <v/>
      </c>
      <c r="Q2739">
        <f>IFERROR(1/(IF(Inputs!$B$39="pvp",15,MAX(0.1,Skills!D27-IF(Skills!E27=TRUE,Inputs!$B$33,0)))*(1-IF(AND(ArtifactsInput!$M$27,Inputs!$B$4="Chapter Hunt"),CHOOSE(ArtifactsInput!$N$27+1,20,24,28,32,36,40),0)/100)),0)</f>
        <v/>
      </c>
      <c r="R2739" t="n">
        <v>0</v>
      </c>
      <c r="S2739" t="n">
        <v>0</v>
      </c>
      <c r="U2739" t="n">
        <v>0</v>
      </c>
    </row>
    <row r="2741">
      <c r="A2741" t="inlineStr">
        <is>
          <t>Average Buff Multiplier</t>
        </is>
      </c>
      <c r="B2741">
        <f>(1+(IF(C2715=TRUE,F2715*IF(AND(Inputs!$B$39&lt;&gt;"pvp",Inputs!$B$44&gt;0),(((R2715-1)*(Skills!S3*(1+((Inputs!$B$35+(ArtifactsInput!$M$7-ArtifactsInput!$M$7)*CHOOSE(ArtifactsInput!$N$7+1,6,7.2,8.4,9.6,10.8,12))+IF(Inputs!$B$3&gt;=117,F2738,0))/100))+MIN((Skills!S3*(1+((Inputs!$B$35+(ArtifactsInput!$M$7-ArtifactsInput!$M$7)*CHOOSE(ArtifactsInput!$N$7+1,6,7.2,8.4,9.6,10.8,12))+IF(Inputs!$B$3&gt;=117,F2738,0))/100)),MAX(0,Inputs!$B$44-((R2715-1)*Skills!D3))))/Inputs!$B$44),IF(Inputs!$B$39="pvp",MIN((Skills!S3*(1+((Inputs!$B$35+(ArtifactsInput!$M$7-ArtifactsInput!$M$7)*CHOOSE(ArtifactsInput!$N$7+1,6,7.2,8.4,9.6,10.8,12))+IF(Inputs!$B$3&gt;=117,F2738,0))/100)),15)/15,(Skills!S3*(1+((Inputs!$B$35+(ArtifactsInput!$M$7-ArtifactsInput!$M$7)*CHOOSE(ArtifactsInput!$N$7+1,6,7.2,8.4,9.6,10.8,12))+IF(Inputs!$B$3&gt;=117,F2738,0))/100))/Skills!D3)),0)+IF(C2716=TRUE,F2716*IF(AND(Inputs!$B$39&lt;&gt;"pvp",Inputs!$B$44&gt;0),(((R2716-1)*(Skills!S4*(1+((Inputs!$B$35+(ArtifactsInput!$M$7-ArtifactsInput!$M$7)*CHOOSE(ArtifactsInput!$N$7+1,6,7.2,8.4,9.6,10.8,12))+IF(Inputs!$B$3&gt;=117,F2738,0))/100))+MIN((Skills!S4*(1+((Inputs!$B$35+(ArtifactsInput!$M$7-ArtifactsInput!$M$7)*CHOOSE(ArtifactsInput!$N$7+1,6,7.2,8.4,9.6,10.8,12))+IF(Inputs!$B$3&gt;=117,F2738,0))/100)),MAX(0,Inputs!$B$44-((R2716-1)*Skills!D4))))/Inputs!$B$44),IF(Inputs!$B$39="pvp",MIN((Skills!S4*(1+((Inputs!$B$35+(ArtifactsInput!$M$7-ArtifactsInput!$M$7)*CHOOSE(ArtifactsInput!$N$7+1,6,7.2,8.4,9.6,10.8,12))+IF(Inputs!$B$3&gt;=117,F2738,0))/100)),15)/15,(Skills!S4*(1+((Inputs!$B$35+(ArtifactsInput!$M$7-ArtifactsInput!$M$7)*CHOOSE(ArtifactsInput!$N$7+1,6,7.2,8.4,9.6,10.8,12))+IF(Inputs!$B$3&gt;=117,F2738,0))/100))/Skills!D4)),0)+IF(C2717=TRUE,F2717*IF(AND(Inputs!$B$39&lt;&gt;"pvp",Inputs!$B$44&gt;0),(((R2717-1)*(Skills!S5*(1+((Inputs!$B$35+(ArtifactsInput!$M$7-ArtifactsInput!$M$7)*CHOOSE(ArtifactsInput!$N$7+1,6,7.2,8.4,9.6,10.8,12))+IF(Inputs!$B$3&gt;=117,F2738,0))/100))+MIN((Skills!S5*(1+((Inputs!$B$35+(ArtifactsInput!$M$7-ArtifactsInput!$M$7)*CHOOSE(ArtifactsInput!$N$7+1,6,7.2,8.4,9.6,10.8,12))+IF(Inputs!$B$3&gt;=117,F2738,0))/100)),MAX(0,Inputs!$B$44-((R2717-1)*Skills!D5))))/Inputs!$B$44),IF(Inputs!$B$39="pvp",MIN((Skills!S5*(1+((Inputs!$B$35+(ArtifactsInput!$M$7-ArtifactsInput!$M$7)*CHOOSE(ArtifactsInput!$N$7+1,6,7.2,8.4,9.6,10.8,12))+IF(Inputs!$B$3&gt;=117,F2738,0))/100)),15)/15,(Skills!S5*(1+((Inputs!$B$35+(ArtifactsInput!$M$7-ArtifactsInput!$M$7)*CHOOSE(ArtifactsInput!$N$7+1,6,7.2,8.4,9.6,10.8,12))+IF(Inputs!$B$3&gt;=117,F2738,0))/100))/Skills!D5)),0)+IF(C2723=TRUE,F2723*IF(AND(Inputs!$B$39&lt;&gt;"pvp",Inputs!$B$44&gt;0),(((R2723-1)*(Skills!S11*(1+((Inputs!$B$35+(ArtifactsInput!$M$7-ArtifactsInput!$M$7)*CHOOSE(ArtifactsInput!$N$7+1,6,7.2,8.4,9.6,10.8,12))+IF(Inputs!$B$3&gt;=117,F2738,0))/100))+MIN((Skills!S11*(1+((Inputs!$B$35+(ArtifactsInput!$M$7-ArtifactsInput!$M$7)*CHOOSE(ArtifactsInput!$N$7+1,6,7.2,8.4,9.6,10.8,12))+IF(Inputs!$B$3&gt;=117,F2738,0))/100)),MAX(0,Inputs!$B$44-((R2723-1)*Skills!D11))))/Inputs!$B$44),IF(Inputs!$B$39="pvp",MIN((Skills!S11*(1+((Inputs!$B$35+(ArtifactsInput!$M$7-ArtifactsInput!$M$7)*CHOOSE(ArtifactsInput!$N$7+1,6,7.2,8.4,9.6,10.8,12))+IF(Inputs!$B$3&gt;=117,F2738,0))/100)),15)/15,(Skills!S11*(1+((Inputs!$B$35+(ArtifactsInput!$M$7-ArtifactsInput!$M$7)*CHOOSE(ArtifactsInput!$N$7+1,6,7.2,8.4,9.6,10.8,12))+IF(Inputs!$B$3&gt;=117,F2738,0)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2726=TRUE,(1+F2726*IF(AND(Inputs!$B$39&lt;&gt;"pvp",Inputs!$B$44&gt;0),(((R2726-1)*(Skills!S14*(1+((Inputs!$B$35+(ArtifactsInput!$M$7-ArtifactsInput!$M$7)*CHOOSE(ArtifactsInput!$N$7+1,6,7.2,8.4,9.6,10.8,12))+IF(Inputs!$B$3&gt;=117,F2738,0))/100))+MIN((Skills!S14*(1+((Inputs!$B$35+(ArtifactsInput!$M$7-ArtifactsInput!$M$7)*CHOOSE(ArtifactsInput!$N$7+1,6,7.2,8.4,9.6,10.8,12))+IF(Inputs!$B$3&gt;=117,F2738,0))/100)),MAX(0,Inputs!$B$44-((R2726-1)*Skills!D14))))/Inputs!$B$44),IF(Inputs!$B$39="pvp",MIN((Skills!S14*(1+((Inputs!$B$35+(ArtifactsInput!$M$7-ArtifactsInput!$M$7)*CHOOSE(ArtifactsInput!$N$7+1,6,7.2,8.4,9.6,10.8,12))+IF(Inputs!$B$3&gt;=117,F2738,0))/100)),15)/15,(Skills!S14*(1+((Inputs!$B$35+(ArtifactsInput!$M$7-ArtifactsInput!$M$7)*CHOOSE(ArtifactsInput!$N$7+1,6,7.2,8.4,9.6,10.8,12))+IF(Inputs!$B$3&gt;=117,F2738,0))/100))/Skills!D14))/100),1)*IF(C2731=TRUE,(1+F2731*IF(AND(Inputs!$B$39&lt;&gt;"pvp",Inputs!$B$44&gt;0),(((R2731-1)*(Skills!S19*(1+((Inputs!$B$35+(ArtifactsInput!$M$7-ArtifactsInput!$M$7)*CHOOSE(ArtifactsInput!$N$7+1,6,7.2,8.4,9.6,10.8,12))+IF(Inputs!$B$3&gt;=117,F2738,0))/100))+MIN((Skills!S19*(1+((Inputs!$B$35+(ArtifactsInput!$M$7-ArtifactsInput!$M$7)*CHOOSE(ArtifactsInput!$N$7+1,6,7.2,8.4,9.6,10.8,12))+IF(Inputs!$B$3&gt;=117,F2738,0))/100)),MAX(0,Inputs!$B$44-((R2731-1)*Skills!D19))))/Inputs!$B$44),IF(Inputs!$B$39="pvp",MIN((Skills!S19*(1+((Inputs!$B$35+(ArtifactsInput!$M$7-ArtifactsInput!$M$7)*CHOOSE(ArtifactsInput!$N$7+1,6,7.2,8.4,9.6,10.8,12))+IF(Inputs!$B$3&gt;=117,F2738,0))/100)),15)/15,(Skills!S19*(1+((Inputs!$B$35+(ArtifactsInput!$M$7-ArtifactsInput!$M$7)*CHOOSE(ArtifactsInput!$N$7+1,6,7.2,8.4,9.6,10.8,12))+IF(Inputs!$B$3&gt;=117,F2738,0))/100))/Skills!D19))/100),1)</f>
        <v/>
      </c>
    </row>
    <row r="2742">
      <c r="A2742" t="inlineStr">
        <is>
          <t>Monster Damage Taken Bonus % (Holy Fountain)</t>
        </is>
      </c>
      <c r="B2742">
        <f>IF(Inputs!$B$3&gt;=68,20*IF(Inputs!$B$39="pvp",MIN((15*(1+((Inputs!$B$35+(ArtifactsInput!$M$7-ArtifactsInput!$M$7)*CHOOSE(ArtifactsInput!$N$7+1,6,7.2,8.4,9.6,10.8,12))+IF(Inputs!$B$3&gt;=117,F2738,0))/100)),15)/15,(15*(1+((Inputs!$B$35+(ArtifactsInput!$M$7-ArtifactsInput!$M$7)*CHOOSE(ArtifactsInput!$N$7+1,6,7.2,8.4,9.6,10.8,12))+IF(Inputs!$B$3&gt;=117,F2738,0))/100))/Skills!D10),0)</f>
        <v/>
      </c>
    </row>
    <row r="2743">
      <c r="A2743" t="inlineStr">
        <is>
          <t>Normal Monster Damage Bonus % (Holy Symbol)</t>
        </is>
      </c>
      <c r="B2743">
        <f>IF(C2724=TRUE,F2724*IF(AND(Inputs!$B$39&lt;&gt;"pvp",Inputs!$B$44&gt;0),(((R2724-1)*(Skills!S12*(1+((Inputs!$B$35+(ArtifactsInput!$M$7-ArtifactsInput!$M$7)*CHOOSE(ArtifactsInput!$N$7+1,6,7.2,8.4,9.6,10.8,12))+IF(Inputs!$B$3&gt;=117,F2738,0))/100))+MIN((Skills!S12*(1+((Inputs!$B$35+(ArtifactsInput!$M$7-ArtifactsInput!$M$7)*CHOOSE(ArtifactsInput!$N$7+1,6,7.2,8.4,9.6,10.8,12))+IF(Inputs!$B$3&gt;=117,F2738,0))/100)),MAX(0,Inputs!$B$44-((R2724-1)*Skills!D12))))/Inputs!$B$44),IF(Inputs!$B$39="pvp",MIN((Skills!S12*(1+((Inputs!$B$35+(ArtifactsInput!$M$7-ArtifactsInput!$M$7)*CHOOSE(ArtifactsInput!$N$7+1,6,7.2,8.4,9.6,10.8,12))+IF(Inputs!$B$3&gt;=117,F2738,0))/100)),15)/15,(Skills!S12*(1+((Inputs!$B$35+(ArtifactsInput!$M$7-ArtifactsInput!$M$7)*CHOOSE(ArtifactsInput!$N$7+1,6,7.2,8.4,9.6,10.8,12))+IF(Inputs!$B$3&gt;=117,F2738,0))/100))/Skills!D12)),0)</f>
        <v/>
      </c>
    </row>
    <row r="2744">
      <c r="A2744" t="inlineStr">
        <is>
          <t>Damage % Bonus (Holy Symbol - Damage Boost)</t>
        </is>
      </c>
      <c r="B2744">
        <f>Skills!O12</f>
        <v/>
      </c>
    </row>
    <row r="2745">
      <c r="A2745" t="inlineStr">
        <is>
          <t>Crit Damage % Bonus (Blood of the Divine)</t>
        </is>
      </c>
      <c r="B2745">
        <f>4*IF(C2732=TRUE,F2732,0)</f>
        <v/>
      </c>
    </row>
    <row r="2746">
      <c r="A2746" t="inlineStr">
        <is>
          <t>Attack Speed Bonus %</t>
        </is>
      </c>
      <c r="B2746">
        <f>IF(C2729=TRUE,F2729+(F2733-Calc!F21),0)+IF(Inputs!$B$3&gt;=134,15,0)</f>
        <v/>
      </c>
    </row>
    <row r="2747">
      <c r="A2747" t="inlineStr">
        <is>
          <t>Actions Per Second</t>
        </is>
      </c>
      <c r="B2747">
        <f>1+MIN(150,150*(1-(1-Inputs!$B$12/150)*(1-B2746/150)))/100</f>
        <v/>
      </c>
    </row>
    <row r="2748">
      <c r="A2748" t="inlineStr">
        <is>
          <t>Skill + Buff Cast Rate</t>
        </is>
      </c>
      <c r="B2748">
        <f>IF(AND(Inputs!$B$39&lt;&gt;"pvp",Inputs!$B$44&gt;0),SUMPRODUCT((Skills!E2:E27=TRUE)*(C2714:C2739=TRUE)*R2714:R2739)/Inputs!$B$44,SUMPRODUCT((Skills!E2:E27=TRUE)*(C2714:C2739=TRUE)*Q2714:Q2739))</f>
        <v/>
      </c>
    </row>
    <row r="2749">
      <c r="A2749" t="inlineStr">
        <is>
          <t>Big Bang Casts Per Second</t>
        </is>
      </c>
      <c r="B2749">
        <f>MAX(0,B2747-B2748)</f>
        <v/>
      </c>
    </row>
    <row r="2750">
      <c r="A2750" t="inlineStr">
        <is>
          <t>Defense % Bonus (Divine Protection)</t>
        </is>
      </c>
      <c r="B2750">
        <f>IF(C2725=TRUE,F2725*IF(AND(Inputs!$B$39&lt;&gt;"pvp",Inputs!$B$44&gt;0),(((R2725-1)*(Skills!S13*(1+((Inputs!$B$35+(ArtifactsInput!$M$7-ArtifactsInput!$M$7)*CHOOSE(ArtifactsInput!$N$7+1,6,7.2,8.4,9.6,10.8,12))+IF(Inputs!$B$3&gt;=117,F2738,0))/100))+MIN((Skills!S13*(1+((Inputs!$B$35+(ArtifactsInput!$M$7-ArtifactsInput!$M$7)*CHOOSE(ArtifactsInput!$N$7+1,6,7.2,8.4,9.6,10.8,12))+IF(Inputs!$B$3&gt;=117,F2738,0))/100)),MAX(0,Inputs!$B$44-((R2725-1)*Skills!D13))))/Inputs!$B$44),IF(Inputs!$B$39="pvp",MIN((Skills!S13*(1+((Inputs!$B$35+(ArtifactsInput!$M$7-ArtifactsInput!$M$7)*CHOOSE(ArtifactsInput!$N$7+1,6,7.2,8.4,9.6,10.8,12))+IF(Inputs!$B$3&gt;=117,F2738,0))/100)),15)/15,(Skills!S13*(1+((Inputs!$B$35+(ArtifactsInput!$M$7-ArtifactsInput!$M$7)*CHOOSE(ArtifactsInput!$N$7+1,6,7.2,8.4,9.6,10.8,12))+IF(Inputs!$B$3&gt;=117,F2738,0))/100))/Skills!D13)),0)</f>
        <v/>
      </c>
    </row>
    <row r="2751">
      <c r="A2751" t="inlineStr">
        <is>
          <t>Buff-Casting Startup Delay (s, fixed-duration only)</t>
        </is>
      </c>
      <c r="B2751">
        <f>IF(AND(Inputs!$B$39&lt;&gt;"pvp",Inputs!$B$44&gt;0),SUMPRODUCT((Skills!S2:S27&gt;0)*(Skills!E2:E27=TRUE)*(C2714:C2739=TRUE))/B2747,0)</f>
        <v/>
      </c>
    </row>
    <row r="2752">
      <c r="A2752" t="inlineStr">
        <is>
          <t>Boss-Only Total DPS (this block's swept value)</t>
        </is>
      </c>
      <c r="B2752">
        <f>SUM(S2714:S2739)</f>
        <v/>
      </c>
    </row>
    <row r="2753">
      <c r="A2753" t="inlineStr">
        <is>
          <t>Normal-Only Total DPS (this block's swept value)</t>
        </is>
      </c>
      <c r="B2753">
        <f>SUM(U2714:U2739)</f>
        <v/>
      </c>
    </row>
    <row r="2754">
      <c r="A2754" s="6" t="inlineStr">
        <is>
          <t>TOTAL DPS</t>
        </is>
      </c>
      <c r="B2754" s="6">
        <f>SUM(O2714:O2739)</f>
        <v/>
      </c>
    </row>
    <row r="2756">
      <c r="A2756" s="6" t="inlineStr">
        <is>
          <t>Stat: Secret Map (Equip)</t>
        </is>
      </c>
    </row>
    <row r="2757">
      <c r="A2757" s="5" t="inlineStr">
        <is>
          <t>Key</t>
        </is>
      </c>
      <c r="B2757" s="5" t="inlineStr">
        <is>
          <t>Name</t>
        </is>
      </c>
      <c r="C2757" s="5" t="inlineStr">
        <is>
          <t>Unlocked</t>
        </is>
      </c>
      <c r="D2757" s="5" t="inlineStr">
        <is>
          <t>InputLevel</t>
        </is>
      </c>
      <c r="E2757" s="5" t="inlineStr">
        <is>
          <t>Factor</t>
        </is>
      </c>
      <c r="F2757" s="5" t="inlineStr">
        <is>
          <t>CoefficientPercent</t>
        </is>
      </c>
      <c r="G2757" s="5" t="inlineStr">
        <is>
          <t>EffectiveHits</t>
        </is>
      </c>
      <c r="H2757" s="5" t="inlineStr">
        <is>
          <t>ProcProbability</t>
        </is>
      </c>
      <c r="I2757" s="5" t="inlineStr">
        <is>
          <t>MapleHeroMultiplier</t>
        </is>
      </c>
      <c r="J2757" s="5" t="inlineStr">
        <is>
          <t>BaseDamage</t>
        </is>
      </c>
      <c r="K2757" s="5" t="inlineStr">
        <is>
          <t>BaseHitDamage</t>
        </is>
      </c>
      <c r="L2757" s="5" t="inlineStr">
        <is>
          <t>NonCritAvg</t>
        </is>
      </c>
      <c r="M2757" s="5" t="inlineStr">
        <is>
          <t>CritAvg</t>
        </is>
      </c>
      <c r="N2757" s="5" t="inlineStr">
        <is>
          <t>ExpectedDamage(perHit)</t>
        </is>
      </c>
      <c r="O2757" s="5" t="inlineStr">
        <is>
          <t>DPS</t>
        </is>
      </c>
      <c r="P2757" s="5" t="inlineStr">
        <is>
          <t>% of Total</t>
        </is>
      </c>
      <c r="R2757" t="inlineStr">
        <is>
          <t>helpers</t>
        </is>
      </c>
    </row>
    <row r="2758">
      <c r="A2758">
        <f>Skills!A2</f>
        <v/>
      </c>
      <c r="B2758">
        <f>Skills!B2</f>
        <v/>
      </c>
      <c r="C2758">
        <f>Inputs!$B$3&gt;=100</f>
        <v/>
      </c>
      <c r="D2758" t="inlineStr"/>
      <c r="E2758" t="inlineStr"/>
      <c r="F2758">
        <f>T2760+Skills!N2</f>
        <v/>
      </c>
      <c r="G2758">
        <f>Calc!G2</f>
        <v/>
      </c>
      <c r="H2758">
        <f>Calc!H2</f>
        <v/>
      </c>
      <c r="I2758">
        <f>IF(Skills!T2&lt;&gt;"",1+(Skills!T2/10)*($Z$3/1000)/100,1)</f>
        <v/>
      </c>
      <c r="J2758">
        <f>((Inputs!$B$6*(1+Inputs!$B$7/100))+(((Inputs!$B$13*(1+Inputs!$B$14/100))-(Inputs!$B$13*(1+Inputs!$B$14/100)))+0.25*(Inputs!$B$15-Inputs!$B$15))*(1+Inputs!$B$7/100))*(F2758/100)</f>
        <v/>
      </c>
      <c r="K2758">
        <f>J2758*(1+(((Inputs!$B$13+IF(Inputs!$B$3&gt;=35,(10*INDEX(FactorTable!$B$2:$Y$301,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2="TRIUMPH_FEATHER",IF(C2772=TRUE,F2772,0),0)/100)*(1+IF(C2783=TRUE,F2783,0)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2758)</f>
        <v/>
      </c>
      <c r="L2758">
        <f>K2758*(MIN(Inputs!$B$23+(F2778-Calc!F22),(Inputs!$B$24+IF(ArtifactsInput!$M$15,CHOOSE(ArtifactsInput!$N$15+1,25,30,35,40,45,50)/100*(Inputs!$B$12-Inputs!$B$12),0)))/100+(Inputs!$B$24+IF(ArtifactsInput!$M$15,CHOOSE(ArtifactsInput!$N$15+1,25,30,35,40,45,50)/100*(Inputs!$B$12-Inputs!$B$12),0))/100)/2</f>
        <v/>
      </c>
      <c r="M2758">
        <f>L2758*(1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58">
        <f>L2758*(1-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2758*(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58">
        <f>(1-Summary!$B$11)*S2758+Summary!$B$11*U2758</f>
        <v/>
      </c>
      <c r="P2758">
        <f>IF(B2798=0,0,O2758/B2798)</f>
        <v/>
      </c>
      <c r="Q2758">
        <f>IFERROR(1/(IF(Inputs!$B$39="pvp",15,MAX(0.1,Skills!D2-IF(Skills!E2=TRUE,Inputs!$B$33,0)))*(1-IF(AND(ArtifactsInput!$M$27,Inputs!$B$4="Chapter Hunt"),CHOOSE(ArtifactsInput!$N$27+1,20,24,28,32,36,40),0)/100)),0)</f>
        <v/>
      </c>
      <c r="R2758" t="n">
        <v>0</v>
      </c>
      <c r="S2758">
        <f>IF(C2758,(Skills!F2*N2758*B2793)*IF(Inputs!$B$39="pvp",1,1+(Inputs!$B$21+Skills!O2+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2758*(1-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2758*(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2758*(1-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2758*(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58">
        <f>MAX(0,(Inputs!$B$3-100)*3)+Inputs!$B$29+Inputs!$B$30</f>
        <v/>
      </c>
      <c r="U2758">
        <f>IF(C2758,(Skills!F2*N2758*B2793)*IF(Inputs!$B$39="pvp",1,(1+(Inputs!$B$22+Skills!P2+B2787+(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59">
      <c r="A2759">
        <f>Skills!A3</f>
        <v/>
      </c>
      <c r="B2759">
        <f>Skills!B3</f>
        <v/>
      </c>
      <c r="C2759">
        <f>Inputs!$B$3&gt;=15</f>
        <v/>
      </c>
      <c r="D2759">
        <f>IF(Skills!C3=1,60+Inputs!$B$26+Inputs!$B$30,IF(Skills!C3=2,90+Inputs!$B$27+Inputs!$B$30,IF(Skills!C3=3,120+Inputs!$B$28+Inputs!$B$30,MAX(0,(Inputs!$B$3-100)*3)+Inputs!$B$29+Inputs!$B$30)))</f>
        <v/>
      </c>
      <c r="E2759">
        <f>INDEX(FactorTable!$B$2:$Y$301, MATCH(ROUND(MIN(300,MAX(1,D2759)),0), FactorTable!$A$2:$A$301,0), Skills!L3+1)</f>
        <v/>
      </c>
      <c r="F2759">
        <f>IF(Skills!M3=TRUE,(Skills!K3/10)*(E2759/1000),Skills!K3/10)+Skills!N3</f>
        <v/>
      </c>
      <c r="G2759">
        <f>Calc!G3</f>
        <v/>
      </c>
      <c r="H2759">
        <f>Calc!H3</f>
        <v/>
      </c>
      <c r="I2759">
        <f>IF(Skills!T3&lt;&gt;"",1+(Skills!T3/10)*($Z$3/1000)/100,1)</f>
        <v/>
      </c>
      <c r="J2759" t="inlineStr"/>
      <c r="K2759" t="inlineStr"/>
      <c r="L2759" t="inlineStr"/>
      <c r="M2759" t="inlineStr"/>
      <c r="N2759" t="inlineStr"/>
      <c r="O2759">
        <f>(1-Summary!$B$11)*S2759+Summary!$B$11*U2759</f>
        <v/>
      </c>
      <c r="P2759">
        <f>IF(B2798=0,0,O2759/B2798)</f>
        <v/>
      </c>
      <c r="Q2759">
        <f>IFERROR(1/(IF(Inputs!$B$39="pvp",15,MAX(0.1,Skills!D3-IF(Skills!E3=TRUE,Inputs!$B$33,0)))*(1-IF(AND(ArtifactsInput!$M$27,Inputs!$B$4="Chapter Hunt"),CHOOSE(ArtifactsInput!$N$27+1,20,24,28,32,36,40),0)/100)),0)</f>
        <v/>
      </c>
      <c r="R2759">
        <f>IF(AND(Inputs!$B$39&lt;&gt;"pvp",Inputs!$B$44&gt;0),IF(Inputs!$B$44&lt;=0,0,(INT(Inputs!$B$44/(IF(Inputs!$B$39="pvp",15,MAX(0.1,Skills!D3-IF(Skills!E3=TRUE,Inputs!$B$33,0)))*(1-IF(AND(ArtifactsInput!$M$27,Inputs!$B$4="Chapter Hunt"),CHOOSE(ArtifactsInput!$N$27+1,20,24,28,32,36,40),0)/100)))+1)),0)</f>
        <v/>
      </c>
      <c r="S2759" t="n">
        <v>0</v>
      </c>
      <c r="T2759">
        <f>INDEX(FactorTable!$B$2:$Y$301, MATCH(ROUND(MIN(300,MAX(1,T2758)),0), FactorTable!$A$2:$A$301,0), 22)</f>
        <v/>
      </c>
      <c r="U2759" t="n">
        <v>0</v>
      </c>
    </row>
    <row r="2760">
      <c r="A2760">
        <f>Skills!A4</f>
        <v/>
      </c>
      <c r="B2760">
        <f>Skills!B4</f>
        <v/>
      </c>
      <c r="C2760">
        <f>Inputs!$B$3&gt;=38</f>
        <v/>
      </c>
      <c r="D2760">
        <f>IF(Skills!C4=1,60+Inputs!$B$26+Inputs!$B$30,IF(Skills!C4=2,90+Inputs!$B$27+Inputs!$B$30,IF(Skills!C4=3,120+Inputs!$B$28+Inputs!$B$30,MAX(0,(Inputs!$B$3-100)*3)+Inputs!$B$29+Inputs!$B$30)))</f>
        <v/>
      </c>
      <c r="E2760">
        <f>INDEX(FactorTable!$B$2:$Y$301, MATCH(ROUND(MIN(300,MAX(1,D2760)),0), FactorTable!$A$2:$A$301,0), Skills!L4+1)</f>
        <v/>
      </c>
      <c r="F2760">
        <f>IF(Skills!M4=TRUE,(Skills!K4/10)*(E2760/1000),Skills!K4/10)+Skills!N4</f>
        <v/>
      </c>
      <c r="G2760">
        <f>Calc!G4</f>
        <v/>
      </c>
      <c r="H2760">
        <f>Calc!H4</f>
        <v/>
      </c>
      <c r="I2760">
        <f>IF(Skills!T4&lt;&gt;"",1+(Skills!T4/10)*($Z$3/1000)/100,1)</f>
        <v/>
      </c>
      <c r="J2760" t="inlineStr"/>
      <c r="K2760" t="inlineStr"/>
      <c r="L2760" t="inlineStr"/>
      <c r="M2760" t="inlineStr"/>
      <c r="N2760" t="inlineStr"/>
      <c r="O2760">
        <f>(1-Summary!$B$11)*S2760+Summary!$B$11*U2760</f>
        <v/>
      </c>
      <c r="P2760">
        <f>IF(B2798=0,0,O2760/B2798)</f>
        <v/>
      </c>
      <c r="Q2760">
        <f>IFERROR(1/(IF(Inputs!$B$39="pvp",15,MAX(0.1,Skills!D4-IF(Skills!E4=TRUE,Inputs!$B$33,0)))*(1-IF(AND(ArtifactsInput!$M$27,Inputs!$B$4="Chapter Hunt"),CHOOSE(ArtifactsInput!$N$27+1,20,24,28,32,36,40),0)/100)),0)</f>
        <v/>
      </c>
      <c r="R2760">
        <f>IF(AND(Inputs!$B$39&lt;&gt;"pvp",Inputs!$B$44&gt;0),IF(Inputs!$B$44&lt;=0,0,(INT(Inputs!$B$44/(IF(Inputs!$B$39="pvp",15,MAX(0.1,Skills!D4-IF(Skills!E4=TRUE,Inputs!$B$33,0)))*(1-IF(AND(ArtifactsInput!$M$27,Inputs!$B$4="Chapter Hunt"),CHOOSE(ArtifactsInput!$N$27+1,20,24,28,32,36,40),0)/100)))+1)),0)</f>
        <v/>
      </c>
      <c r="S2760" t="n">
        <v>0</v>
      </c>
      <c r="T2760">
        <f>290*T2759/1000</f>
        <v/>
      </c>
      <c r="U2760" t="n">
        <v>0</v>
      </c>
    </row>
    <row r="2761">
      <c r="A2761">
        <f>Skills!A5</f>
        <v/>
      </c>
      <c r="B2761">
        <f>Skills!B5</f>
        <v/>
      </c>
      <c r="C2761">
        <f>Inputs!$B$3&gt;=40</f>
        <v/>
      </c>
      <c r="D2761">
        <f>IF(Skills!C5=1,60+Inputs!$B$26+Inputs!$B$30,IF(Skills!C5=2,90+Inputs!$B$27+Inputs!$B$30,IF(Skills!C5=3,120+Inputs!$B$28+Inputs!$B$30,MAX(0,(Inputs!$B$3-100)*3)+Inputs!$B$29+Inputs!$B$30)))</f>
        <v/>
      </c>
      <c r="E2761">
        <f>INDEX(FactorTable!$B$2:$Y$301, MATCH(ROUND(MIN(300,MAX(1,D2761)),0), FactorTable!$A$2:$A$301,0), Skills!L5+1)</f>
        <v/>
      </c>
      <c r="F2761">
        <f>IF(Skills!M5=TRUE,(Skills!K5/10)*(E2761/1000),Skills!K5/10)+Skills!N5</f>
        <v/>
      </c>
      <c r="G2761">
        <f>Calc!G5</f>
        <v/>
      </c>
      <c r="H2761">
        <f>Calc!H5</f>
        <v/>
      </c>
      <c r="I2761">
        <f>IF(Skills!T5&lt;&gt;"",1+(Skills!T5/10)*($Z$3/1000)/100,1)</f>
        <v/>
      </c>
      <c r="J2761" t="inlineStr"/>
      <c r="K2761" t="inlineStr"/>
      <c r="L2761" t="inlineStr"/>
      <c r="M2761" t="inlineStr"/>
      <c r="N2761" t="inlineStr"/>
      <c r="O2761">
        <f>(1-Summary!$B$11)*S2761+Summary!$B$11*U2761</f>
        <v/>
      </c>
      <c r="P2761">
        <f>IF(B2798=0,0,O2761/B2798)</f>
        <v/>
      </c>
      <c r="Q2761">
        <f>IFERROR(1/(IF(Inputs!$B$39="pvp",15,MAX(0.1,Skills!D5-IF(Skills!E5=TRUE,Inputs!$B$33,0)))*(1-IF(AND(ArtifactsInput!$M$27,Inputs!$B$4="Chapter Hunt"),CHOOSE(ArtifactsInput!$N$27+1,20,24,28,32,36,40),0)/100)),0)</f>
        <v/>
      </c>
      <c r="R2761">
        <f>IF(AND(Inputs!$B$39&lt;&gt;"pvp",Inputs!$B$44&gt;0),IF(Inputs!$B$44&lt;=0,0,(INT(Inputs!$B$44/(IF(Inputs!$B$39="pvp",15,MAX(0.1,Skills!D5-IF(Skills!E5=TRUE,Inputs!$B$33,0)))*(1-IF(AND(ArtifactsInput!$M$27,Inputs!$B$4="Chapter Hunt"),CHOOSE(ArtifactsInput!$N$27+1,20,24,28,32,36,40),0)/100)))+1)),0)</f>
        <v/>
      </c>
      <c r="S2761" t="n">
        <v>0</v>
      </c>
      <c r="U2761" t="n">
        <v>0</v>
      </c>
    </row>
    <row r="2762">
      <c r="A2762">
        <f>Skills!A6</f>
        <v/>
      </c>
      <c r="B2762">
        <f>Skills!B6</f>
        <v/>
      </c>
      <c r="C2762">
        <f>Inputs!$B$3&gt;=103</f>
        <v/>
      </c>
      <c r="D2762">
        <f>IF(Skills!C6=1,60+Inputs!$B$26+Inputs!$B$30,IF(Skills!C6=2,90+Inputs!$B$27+Inputs!$B$30,IF(Skills!C6=3,120+Inputs!$B$28+Inputs!$B$30,MAX(0,(Inputs!$B$3-100)*3)+Inputs!$B$29+Inputs!$B$30)))</f>
        <v/>
      </c>
      <c r="E2762">
        <f>INDEX(FactorTable!$B$2:$Y$301, MATCH(ROUND(MIN(300,MAX(1,D2762)),0), FactorTable!$A$2:$A$301,0), Skills!L6+1)</f>
        <v/>
      </c>
      <c r="F2762">
        <f>IF(Skills!M6=TRUE,(Skills!K6/10)*(E2762/1000),Skills!K6/10)+Skills!N6</f>
        <v/>
      </c>
      <c r="G2762">
        <f>Calc!G6</f>
        <v/>
      </c>
      <c r="H2762">
        <f>Calc!H6</f>
        <v/>
      </c>
      <c r="I2762">
        <f>IF(Skills!T6&lt;&gt;"",1+(Skills!T6/10)*($Z$3/1000)/100,1)</f>
        <v/>
      </c>
      <c r="J2762">
        <f>((Inputs!$B$6*(1+Inputs!$B$7/100))+(((Inputs!$B$13*(1+Inputs!$B$14/100))-(Inputs!$B$13*(1+Inputs!$B$14/100)))+0.25*(Inputs!$B$15-Inputs!$B$15))*(1+Inputs!$B$7/100))*(F2762/100)</f>
        <v/>
      </c>
      <c r="K2762">
        <f>J2762*(1+(((Inputs!$B$13+IF(Inputs!$B$3&gt;=35,(10*INDEX(FactorTable!$B$2:$Y$301,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6="TRIUMPH_FEATHER",IF(C2772=TRUE,F2772,0),0)/100)*(1+IF(C2783=TRUE,F2783,0)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2762)</f>
        <v/>
      </c>
      <c r="L2762">
        <f>K2762*(MIN(Inputs!$B$23+(F2778-Calc!F22),(Inputs!$B$24+IF(ArtifactsInput!$M$15,CHOOSE(ArtifactsInput!$N$15+1,25,30,35,40,45,50)/100*(Inputs!$B$12-Inputs!$B$12),0)))/100+(Inputs!$B$24+IF(ArtifactsInput!$M$15,CHOOSE(ArtifactsInput!$N$15+1,25,30,35,40,45,50)/100*(Inputs!$B$12-Inputs!$B$12),0))/100)/2</f>
        <v/>
      </c>
      <c r="M2762">
        <f>L2762*(1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2">
        <f>L2762*(1-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2762*(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2">
        <f>(1-Summary!$B$11)*S2762+Summary!$B$11*U2762</f>
        <v/>
      </c>
      <c r="P2762">
        <f>IF(B2798=0,0,O2762/B2798)</f>
        <v/>
      </c>
      <c r="Q2762">
        <f>IFERROR(1/(IF(Inputs!$B$39="pvp",15,MAX(0.1,Skills!D6-IF(Skills!E6=TRUE,Inputs!$B$33,0)))*(1-IF(AND(ArtifactsInput!$M$27,Inputs!$B$4="Chapter Hunt"),CHOOSE(ArtifactsInput!$N$27+1,20,24,28,32,36,40),0)/100)),0)</f>
        <v/>
      </c>
      <c r="R2762">
        <f>IF(AND(Inputs!$B$39&lt;&gt;"pvp",Inputs!$B$44&gt;0),IF(MAX(0,Inputs!$B$44-B2795)&lt;=0,0,(INT(MAX(0,Inputs!$B$44-B2795)/(IF(Inputs!$B$39="pvp",15,MAX(0.1,Skills!D6-IF(Skills!E6=TRUE,Inputs!$B$33,0)))*(1-IF(AND(ArtifactsInput!$M$27,Inputs!$B$4="Chapter Hunt"),CHOOSE(ArtifactsInput!$N$27+1,20,24,28,32,36,40),0)/100)))+1)),0)</f>
        <v/>
      </c>
      <c r="S2762">
        <f>IF(C2762,(H2762*N2762*IF(AND(Inputs!$B$39&lt;&gt;"pvp",Inputs!$B$44&gt;0),((Skills!F6*((R2762-1)*IF(Skills!G6&gt;0,Skills!H6/Skills!G6,1)+IF(Skills!G6&gt;0,MIN(Skills!H6,MAX(0,MAX(0,Inputs!$B$44-B2795)-((R2762-1)*(IF(Inputs!$B$39="pvp",15,MAX(0.1,Skills!D6-IF(Skills!E6=TRUE,Inputs!$B$33,0)))*(1-IF(AND(ArtifactsInput!$M$27,Inputs!$B$4="Chapter Hunt"),CHOOSE(ArtifactsInput!$N$27+1,20,24,28,32,36,40),0)/100)))))/Skills!G6,1)))/Inputs!$B$44),G2762*Q2762))*IF(Inputs!$B$39="pvp",1,1+(Inputs!$B$21+Skills!O6+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2762*(1-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2762*(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2762*(1-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2762*(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2">
        <f>IF(C2762,(H2762*N2762*IF(AND(Inputs!$B$39&lt;&gt;"pvp",Inputs!$B$44&gt;0),((Skills!F6*((R2762-1)*IF(Skills!G6&gt;0,Skills!H6/Skills!G6,1)+IF(Skills!G6&gt;0,MIN(Skills!H6,MAX(0,MAX(0,Inputs!$B$44-B2795)-((R2762-1)*(IF(Inputs!$B$39="pvp",15,MAX(0.1,Skills!D6-IF(Skills!E6=TRUE,Inputs!$B$33,0)))*(1-IF(AND(ArtifactsInput!$M$27,Inputs!$B$4="Chapter Hunt"),CHOOSE(ArtifactsInput!$N$27+1,20,24,28,32,36,40),0)/100)))))/Skills!G6,1)))/Inputs!$B$44),G2762*Q2762))*IF(Inputs!$B$39="pvp",1,(1+(Inputs!$B$22+Skills!P6+B2787+(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3">
      <c r="A2763">
        <f>Skills!A7</f>
        <v/>
      </c>
      <c r="B2763">
        <f>Skills!B7</f>
        <v/>
      </c>
      <c r="C2763">
        <f>Inputs!$B$3&gt;=122</f>
        <v/>
      </c>
      <c r="D2763">
        <f>IF(Skills!C7=1,60+Inputs!$B$26+Inputs!$B$30,IF(Skills!C7=2,90+Inputs!$B$27+Inputs!$B$30,IF(Skills!C7=3,120+Inputs!$B$28+Inputs!$B$30,MAX(0,(Inputs!$B$3-100)*3)+Inputs!$B$29+Inputs!$B$30)))</f>
        <v/>
      </c>
      <c r="E2763">
        <f>INDEX(FactorTable!$B$2:$Y$301, MATCH(ROUND(MIN(300,MAX(1,D2763)),0), FactorTable!$A$2:$A$301,0), Skills!L7+1)</f>
        <v/>
      </c>
      <c r="F2763">
        <f>IF(Skills!M7=TRUE,(Skills!K7/10)*(E2763/1000),Skills!K7/10)+Skills!N7</f>
        <v/>
      </c>
      <c r="G2763">
        <f>Calc!G7</f>
        <v/>
      </c>
      <c r="H2763">
        <f>Calc!H7</f>
        <v/>
      </c>
      <c r="I2763">
        <f>IF(Skills!T7&lt;&gt;"",1+(Skills!T7/10)*($Z$3/1000)/100,1)</f>
        <v/>
      </c>
      <c r="J2763">
        <f>((Inputs!$B$6*(1+Inputs!$B$7/100))+(((Inputs!$B$13*(1+Inputs!$B$14/100))-(Inputs!$B$13*(1+Inputs!$B$14/100)))+0.25*(Inputs!$B$15-Inputs!$B$15))*(1+Inputs!$B$7/100))*(F2763/100)</f>
        <v/>
      </c>
      <c r="K2763">
        <f>J2763*(1+(((Inputs!$B$13+IF(Inputs!$B$3&gt;=35,(10*INDEX(FactorTable!$B$2:$Y$301,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7="TRIUMPH_FEATHER",IF(C2772=TRUE,F2772,0),0)/100)*(1+IF(C2783=TRUE,F2783,0)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2763)</f>
        <v/>
      </c>
      <c r="L2763">
        <f>K2763*(MIN(Inputs!$B$23+(F2778-Calc!F22),(Inputs!$B$24+IF(ArtifactsInput!$M$15,CHOOSE(ArtifactsInput!$N$15+1,25,30,35,40,45,50)/100*(Inputs!$B$12-Inputs!$B$12),0)))/100+(Inputs!$B$24+IF(ArtifactsInput!$M$15,CHOOSE(ArtifactsInput!$N$15+1,25,30,35,40,45,50)/100*(Inputs!$B$12-Inputs!$B$12),0))/100)/2</f>
        <v/>
      </c>
      <c r="M2763">
        <f>L2763*(1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3">
        <f>L2763*(1-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2763*(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3">
        <f>(1-Summary!$B$11)*S2763+Summary!$B$11*U2763</f>
        <v/>
      </c>
      <c r="P2763">
        <f>IF(B2798=0,0,O2763/B2798)</f>
        <v/>
      </c>
      <c r="Q2763">
        <f>IFERROR(1/(IF(Inputs!$B$39="pvp",15,MAX(0.1,Skills!D7-IF(Skills!E6=TRUE,Inputs!$B$33,0)))*(1-IF(AND(ArtifactsInput!$M$27,Inputs!$B$4="Chapter Hunt"),CHOOSE(ArtifactsInput!$N$27+1,20,24,28,32,36,40),0)/100)),0)</f>
        <v/>
      </c>
      <c r="R2763">
        <f>IF(AND(Inputs!$B$39&lt;&gt;"pvp",Inputs!$B$44&gt;0),IF(MAX(0,Inputs!$B$44-B2795)&lt;=0,0,(INT(MAX(0,Inputs!$B$44-B2795)/(IF(Inputs!$B$39="pvp",15,MAX(0.1,Skills!D7-IF(Skills!E6=TRUE,Inputs!$B$33,0)))*(1-IF(AND(ArtifactsInput!$M$27,Inputs!$B$4="Chapter Hunt"),CHOOSE(ArtifactsInput!$N$27+1,20,24,28,32,36,40),0)/100)))+1)),0)</f>
        <v/>
      </c>
      <c r="S2763">
        <f>IF(C2763,H2763*N2763*IF(AND(Inputs!$B$39&lt;&gt;"pvp",Inputs!$B$44&gt;0),((Skills!F7*((R2763-1)*IF(Skills!G7&gt;0,Skills!H7/Skills!G7,1)+IF(Skills!G7&gt;0,MIN(Skills!H7,MAX(0,MAX(0,Inputs!$B$44-B2795)-((R2763-1)*(IF(Inputs!$B$39="pvp",15,MAX(0.1,Skills!D7-IF(Skills!E6=TRUE,Inputs!$B$33,0)))*(1-IF(AND(ArtifactsInput!$M$27,Inputs!$B$4="Chapter Hunt"),CHOOSE(ArtifactsInput!$N$27+1,20,24,28,32,36,40),0)/100)))))/Skills!G7,1)))/Inputs!$B$44),G2763*Q2763)*IF(Inputs!$B$39="pvp",1,1+(Inputs!$B$21+Skills!O7+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2763*(1-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2763*(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2763*(1-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2763*(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3" t="n">
        <v>0</v>
      </c>
    </row>
    <row r="2764">
      <c r="A2764">
        <f>Skills!A8</f>
        <v/>
      </c>
      <c r="B2764">
        <f>Skills!B8</f>
        <v/>
      </c>
      <c r="C2764">
        <f>Inputs!$B$3&gt;=105</f>
        <v/>
      </c>
      <c r="D2764">
        <f>IF(Skills!C8=1,60+Inputs!$B$26+Inputs!$B$30,IF(Skills!C8=2,90+Inputs!$B$27+Inputs!$B$30,IF(Skills!C8=3,120+Inputs!$B$28+Inputs!$B$30,MAX(0,(Inputs!$B$3-100)*3)+Inputs!$B$29+Inputs!$B$30)))</f>
        <v/>
      </c>
      <c r="E2764">
        <f>INDEX(FactorTable!$B$2:$Y$301, MATCH(ROUND(MIN(300,MAX(1,D2764)),0), FactorTable!$A$2:$A$301,0), Skills!L8+1)</f>
        <v/>
      </c>
      <c r="F2764">
        <f>IF(Skills!M8=TRUE,(Skills!K8/10)*(E2764/1000),Skills!K8/10)+Skills!N8</f>
        <v/>
      </c>
      <c r="G2764">
        <f>Calc!G8</f>
        <v/>
      </c>
      <c r="H2764">
        <f>Calc!H8</f>
        <v/>
      </c>
      <c r="I2764">
        <f>IF(Skills!T8&lt;&gt;"",1+(Skills!T8/10)*($Z$3/1000)/100,1)</f>
        <v/>
      </c>
      <c r="J2764">
        <f>((Inputs!$B$6*(1+Inputs!$B$7/100))+(((Inputs!$B$13*(1+Inputs!$B$14/100))-(Inputs!$B$13*(1+Inputs!$B$14/100)))+0.25*(Inputs!$B$15-Inputs!$B$15))*(1+Inputs!$B$7/100))*(F2764/100)</f>
        <v/>
      </c>
      <c r="K2764">
        <f>J2764*(1+(((Inputs!$B$13+IF(Inputs!$B$3&gt;=35,(10*INDEX(FactorTable!$B$2:$Y$301,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8="TRIUMPH_FEATHER",IF(C2772=TRUE,F2772,0),0)/100)*(1+IF(C2783=TRUE,F2783,0)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2764)</f>
        <v/>
      </c>
      <c r="L2764">
        <f>K2764*(MIN(Inputs!$B$23+(F2778-Calc!F22),(Inputs!$B$24+IF(ArtifactsInput!$M$15,CHOOSE(ArtifactsInput!$N$15+1,25,30,35,40,45,50)/100*(Inputs!$B$12-Inputs!$B$12),0)))/100+(Inputs!$B$24+IF(ArtifactsInput!$M$15,CHOOSE(ArtifactsInput!$N$15+1,25,30,35,40,45,50)/100*(Inputs!$B$12-Inputs!$B$12),0))/100)/2</f>
        <v/>
      </c>
      <c r="M2764">
        <f>L2764*(1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4">
        <f>L2764*(1-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2764*(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4">
        <f>(1-Summary!$B$11)*S2764+Summary!$B$11*U2764</f>
        <v/>
      </c>
      <c r="P2764">
        <f>IF(B2798=0,0,O2764/B2798)</f>
        <v/>
      </c>
      <c r="Q2764">
        <f>IFERROR(1/(IF(Inputs!$B$39="pvp",15,MAX(0.1,Skills!D8-IF(Skills!E8=TRUE,Inputs!$B$33,0)))*(1-IF(AND(ArtifactsInput!$M$27,Inputs!$B$4="Chapter Hunt"),CHOOSE(ArtifactsInput!$N$27+1,20,24,28,32,36,40),0)/100)),0)</f>
        <v/>
      </c>
      <c r="R2764">
        <f>IF(AND(Inputs!$B$39&lt;&gt;"pvp",Inputs!$B$44&gt;0),IF(MAX(0,Inputs!$B$44-B2795)&lt;=0,0,(INT(MAX(0,Inputs!$B$44-B2795)/(IF(Inputs!$B$39="pvp",15,MAX(0.1,Skills!D8-IF(Skills!E8=TRUE,Inputs!$B$33,0)))*(1-IF(AND(ArtifactsInput!$M$27,Inputs!$B$4="Chapter Hunt"),CHOOSE(ArtifactsInput!$N$27+1,20,24,28,32,36,40),0)/100)))+1)),0)</f>
        <v/>
      </c>
      <c r="S2764">
        <f>IF(C2764,(H2764*N2764*IF(AND(Inputs!$B$39&lt;&gt;"pvp",Inputs!$B$44&gt;0),((Skills!F8*((R2764-1)*IF(Skills!G8&gt;0,Skills!H8/Skills!G8,1)+IF(Skills!G8&gt;0,MIN(Skills!H8,MAX(0,MAX(0,Inputs!$B$44-B2795)-((R2764-1)*(IF(Inputs!$B$39="pvp",15,MAX(0.1,Skills!D8-IF(Skills!E8=TRUE,Inputs!$B$33,0)))*(1-IF(AND(ArtifactsInput!$M$27,Inputs!$B$4="Chapter Hunt"),CHOOSE(ArtifactsInput!$N$27+1,20,24,28,32,36,40),0)/100)))))/Skills!G8,1)))/Inputs!$B$44),G2764*Q2764))*IF(Inputs!$B$39="pvp",1,1+(Inputs!$B$21+Skills!O8+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2764*(1-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2764*(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2764*(1-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2764*(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4">
        <f>IF(C2764,(H2764*N2764*IF(AND(Inputs!$B$39&lt;&gt;"pvp",Inputs!$B$44&gt;0),((Skills!F8*((R2764-1)*IF(Skills!G8&gt;0,Skills!H8/Skills!G8,1)+IF(Skills!G8&gt;0,MIN(Skills!H8,MAX(0,MAX(0,Inputs!$B$44-B2795)-((R2764-1)*(IF(Inputs!$B$39="pvp",15,MAX(0.1,Skills!D8-IF(Skills!E8=TRUE,Inputs!$B$33,0)))*(1-IF(AND(ArtifactsInput!$M$27,Inputs!$B$4="Chapter Hunt"),CHOOSE(ArtifactsInput!$N$27+1,20,24,28,32,36,40),0)/100)))))/Skills!G8,1)))/Inputs!$B$44),G2764*Q2764))*IF(Inputs!$B$39="pvp",1,(1+(Inputs!$B$22+Skills!P8+B2787+(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5">
      <c r="A2765">
        <f>Skills!A9</f>
        <v/>
      </c>
      <c r="B2765">
        <f>Skills!B9</f>
        <v/>
      </c>
      <c r="C2765">
        <f>Inputs!$B$3&gt;=115</f>
        <v/>
      </c>
      <c r="D2765">
        <f>IF(Skills!C9=1,60+Inputs!$B$26+Inputs!$B$30,IF(Skills!C9=2,90+Inputs!$B$27+Inputs!$B$30,IF(Skills!C9=3,120+Inputs!$B$28+Inputs!$B$30,MAX(0,(Inputs!$B$3-100)*3)+Inputs!$B$29+Inputs!$B$30)))</f>
        <v/>
      </c>
      <c r="E2765">
        <f>INDEX(FactorTable!$B$2:$Y$301, MATCH(ROUND(MIN(300,MAX(1,D2765)),0), FactorTable!$A$2:$A$301,0), Skills!L9+1)</f>
        <v/>
      </c>
      <c r="F2765">
        <f>IF(Skills!M9=TRUE,(Skills!K9/10)*(E2765/1000),Skills!K9/10)+Skills!N9</f>
        <v/>
      </c>
      <c r="G2765">
        <f>Calc!G9</f>
        <v/>
      </c>
      <c r="H2765">
        <f>Calc!H9</f>
        <v/>
      </c>
      <c r="I2765">
        <f>IF(Skills!T9&lt;&gt;"",1+(Skills!T9/10)*($Z$3/1000)/100,1)</f>
        <v/>
      </c>
      <c r="J2765">
        <f>((Inputs!$B$6*(1+Inputs!$B$7/100))+(((Inputs!$B$13*(1+Inputs!$B$14/100))-(Inputs!$B$13*(1+Inputs!$B$14/100)))+0.25*(Inputs!$B$15-Inputs!$B$15))*(1+Inputs!$B$7/100))*(F2765/100)</f>
        <v/>
      </c>
      <c r="K2765">
        <f>J2765*(1+(((Inputs!$B$13+IF(Inputs!$B$3&gt;=35,(10*INDEX(FactorTable!$B$2:$Y$301,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9="TRIUMPH_FEATHER",IF(C2772=TRUE,F2772,0),0)/100)*(1+IF(C2783=TRUE,F2783,0)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2765)</f>
        <v/>
      </c>
      <c r="L2765">
        <f>K2765*(MIN(Inputs!$B$23+(F2778-Calc!F22),(Inputs!$B$24+IF(ArtifactsInput!$M$15,CHOOSE(ArtifactsInput!$N$15+1,25,30,35,40,45,50)/100*(Inputs!$B$12-Inputs!$B$12),0)))/100+(Inputs!$B$24+IF(ArtifactsInput!$M$15,CHOOSE(ArtifactsInput!$N$15+1,25,30,35,40,45,50)/100*(Inputs!$B$12-Inputs!$B$12),0))/100)/2</f>
        <v/>
      </c>
      <c r="M2765">
        <f>L2765*(1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5">
        <f>L2765*(1-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2765*(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5">
        <f>(1-Summary!$B$11)*S2765+Summary!$B$11*U2765</f>
        <v/>
      </c>
      <c r="P2765">
        <f>IF(B2798=0,0,O2765/B2798)</f>
        <v/>
      </c>
      <c r="Q2765">
        <f>IFERROR(1/(IF(Inputs!$B$39="pvp",15,MAX(0.1,Skills!D9-IF(Skills!E9=TRUE,Inputs!$B$33,0)))*(1-IF(AND(ArtifactsInput!$M$27,Inputs!$B$4="Chapter Hunt"),CHOOSE(ArtifactsInput!$N$27+1,20,24,28,32,36,40),0)/100)),0)</f>
        <v/>
      </c>
      <c r="R2765">
        <f>IF(AND(Inputs!$B$39&lt;&gt;"pvp",Inputs!$B$44&gt;0),IF(MAX(0,Inputs!$B$44-B2795)&lt;=0,0,(INT(MAX(0,Inputs!$B$44-B2795)/(IF(Inputs!$B$39="pvp",15,MAX(0.1,Skills!D9-IF(Skills!E9=TRUE,Inputs!$B$33,0)))*(1-IF(AND(ArtifactsInput!$M$27,Inputs!$B$4="Chapter Hunt"),CHOOSE(ArtifactsInput!$N$27+1,20,24,28,32,36,40),0)/100)))+1)),0)</f>
        <v/>
      </c>
      <c r="S2765">
        <f>IF(C2765,(H2765*N2765*IF(AND(Inputs!$B$39&lt;&gt;"pvp",Inputs!$B$44&gt;0),((Skills!F9*((R2765-1)*IF(Skills!G9&gt;0,Skills!H9/Skills!G9,1)+IF(Skills!G9&gt;0,MIN(Skills!H9,MAX(0,MAX(0,Inputs!$B$44-B2795)-((R2765-1)*(IF(Inputs!$B$39="pvp",15,MAX(0.1,Skills!D9-IF(Skills!E9=TRUE,Inputs!$B$33,0)))*(1-IF(AND(ArtifactsInput!$M$27,Inputs!$B$4="Chapter Hunt"),CHOOSE(ArtifactsInput!$N$27+1,20,24,28,32,36,40),0)/100)))))/Skills!G9,1)))/Inputs!$B$44),G2765*Q2765))*IF(Inputs!$B$39="pvp",1,1+(Inputs!$B$21+Skills!O9+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2765*(1-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2765*(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2765*(1-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2765*(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5">
        <f>IF(C2765,(H2765*N2765*IF(AND(Inputs!$B$39&lt;&gt;"pvp",Inputs!$B$44&gt;0),((Skills!F9*((R2765-1)*IF(Skills!G9&gt;0,Skills!H9/Skills!G9,1)+IF(Skills!G9&gt;0,MIN(Skills!H9,MAX(0,MAX(0,Inputs!$B$44-B2795)-((R2765-1)*(IF(Inputs!$B$39="pvp",15,MAX(0.1,Skills!D9-IF(Skills!E9=TRUE,Inputs!$B$33,0)))*(1-IF(AND(ArtifactsInput!$M$27,Inputs!$B$4="Chapter Hunt"),CHOOSE(ArtifactsInput!$N$27+1,20,24,28,32,36,40),0)/100)))))/Skills!G9,1)))/Inputs!$B$44),G2765*Q2765))*IF(Inputs!$B$39="pvp",1,(1+(Inputs!$B$22+Skills!P9+B2787+(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6">
      <c r="A2766">
        <f>Skills!A10</f>
        <v/>
      </c>
      <c r="B2766">
        <f>Skills!B10</f>
        <v/>
      </c>
      <c r="C2766">
        <f>Inputs!$B$3&gt;=66</f>
        <v/>
      </c>
      <c r="D2766">
        <f>IF(Skills!C10=1,60+Inputs!$B$26+Inputs!$B$30,IF(Skills!C10=2,90+Inputs!$B$27+Inputs!$B$30,IF(Skills!C10=3,120+Inputs!$B$28+Inputs!$B$30,MAX(0,(Inputs!$B$3-100)*3)+Inputs!$B$29+Inputs!$B$30)))</f>
        <v/>
      </c>
      <c r="E2766">
        <f>INDEX(FactorTable!$B$2:$Y$301, MATCH(ROUND(MIN(300,MAX(1,D2766)),0), FactorTable!$A$2:$A$301,0), Skills!L10+1)</f>
        <v/>
      </c>
      <c r="F2766" t="n">
        <v>0</v>
      </c>
      <c r="G2766">
        <f>Calc!G10</f>
        <v/>
      </c>
      <c r="H2766">
        <f>Calc!H10</f>
        <v/>
      </c>
      <c r="I2766">
        <f>IF(Skills!T10&lt;&gt;"",1+(Skills!T10/10)*($Z$3/1000)/100,1)</f>
        <v/>
      </c>
      <c r="J2766" t="inlineStr"/>
      <c r="K2766" t="inlineStr"/>
      <c r="L2766" t="inlineStr"/>
      <c r="M2766" t="inlineStr"/>
      <c r="N2766" t="inlineStr"/>
      <c r="O2766">
        <f>(1-Summary!$B$11)*S2766+Summary!$B$11*U2766</f>
        <v/>
      </c>
      <c r="P2766">
        <f>IF(B2798=0,0,O2766/B2798)</f>
        <v/>
      </c>
      <c r="Q2766">
        <f>IFERROR(1/(IF(Inputs!$B$39="pvp",15,MAX(0.1,Skills!D10-IF(Skills!E10=TRUE,Inputs!$B$33,0)))*(1-IF(AND(ArtifactsInput!$M$27,Inputs!$B$4="Chapter Hunt"),CHOOSE(ArtifactsInput!$N$27+1,20,24,28,32,36,40),0)/100)),0)</f>
        <v/>
      </c>
      <c r="R2766">
        <f>IF(AND(Inputs!$B$39&lt;&gt;"pvp",Inputs!$B$44&gt;0),IF(MAX(0,Inputs!$B$44-B2795)&lt;=0,0,(INT(MAX(0,Inputs!$B$44-B2795)/(IF(Inputs!$B$39="pvp",15,MAX(0.1,Skills!D10-IF(Skills!E10=TRUE,Inputs!$B$33,0)))*(1-IF(AND(ArtifactsInput!$M$27,Inputs!$B$4="Chapter Hunt"),CHOOSE(ArtifactsInput!$N$27+1,20,24,28,32,36,40),0)/100)))+1)),0)</f>
        <v/>
      </c>
      <c r="S2766" t="n">
        <v>0</v>
      </c>
      <c r="U2766" t="n">
        <v>0</v>
      </c>
    </row>
    <row r="2767">
      <c r="A2767">
        <f>Skills!A11</f>
        <v/>
      </c>
      <c r="B2767">
        <f>Skills!B11</f>
        <v/>
      </c>
      <c r="C2767">
        <f>Inputs!$B$3&gt;=69</f>
        <v/>
      </c>
      <c r="D2767">
        <f>IF(Skills!C11=1,60+Inputs!$B$26+Inputs!$B$30,IF(Skills!C11=2,90+Inputs!$B$27+Inputs!$B$30,IF(Skills!C11=3,120+Inputs!$B$28+Inputs!$B$30,MAX(0,(Inputs!$B$3-100)*3)+Inputs!$B$29+Inputs!$B$30)))</f>
        <v/>
      </c>
      <c r="E2767">
        <f>INDEX(FactorTable!$B$2:$Y$301, MATCH(ROUND(MIN(300,MAX(1,D2767)),0), FactorTable!$A$2:$A$301,0), Skills!L11+1)</f>
        <v/>
      </c>
      <c r="F2767">
        <f>IF(Skills!M11=TRUE,(Skills!K11/10)*(E2767/1000),Skills!K11/10)+Skills!N11</f>
        <v/>
      </c>
      <c r="G2767">
        <f>Calc!G11</f>
        <v/>
      </c>
      <c r="H2767">
        <f>Calc!H11</f>
        <v/>
      </c>
      <c r="I2767">
        <f>IF(Skills!T11&lt;&gt;"",1+(Skills!T11/10)*($Z$3/1000)/100,1)</f>
        <v/>
      </c>
      <c r="J2767" t="inlineStr"/>
      <c r="K2767" t="inlineStr"/>
      <c r="L2767" t="inlineStr"/>
      <c r="M2767" t="inlineStr"/>
      <c r="N2767" t="inlineStr"/>
      <c r="O2767">
        <f>(1-Summary!$B$11)*S2767+Summary!$B$11*U2767</f>
        <v/>
      </c>
      <c r="P2767">
        <f>IF(B2798=0,0,O2767/B2798)</f>
        <v/>
      </c>
      <c r="Q2767">
        <f>IFERROR(1/(IF(Inputs!$B$39="pvp",15,MAX(0.1,Skills!D11-IF(Skills!E11=TRUE,Inputs!$B$33,0)))*(1-IF(AND(ArtifactsInput!$M$27,Inputs!$B$4="Chapter Hunt"),CHOOSE(ArtifactsInput!$N$27+1,20,24,28,32,36,40),0)/100)),0)</f>
        <v/>
      </c>
      <c r="R2767">
        <f>IF(AND(Inputs!$B$39&lt;&gt;"pvp",Inputs!$B$44&gt;0),IF(Inputs!$B$44&lt;=0,0,(INT(Inputs!$B$44/(IF(Inputs!$B$39="pvp",15,MAX(0.1,Skills!D11-IF(Skills!E11=TRUE,Inputs!$B$33,0)))*(1-IF(AND(ArtifactsInput!$M$27,Inputs!$B$4="Chapter Hunt"),CHOOSE(ArtifactsInput!$N$27+1,20,24,28,32,36,40),0)/100)))+1)),0)</f>
        <v/>
      </c>
      <c r="S2767" t="n">
        <v>0</v>
      </c>
      <c r="U2767" t="n">
        <v>0</v>
      </c>
    </row>
    <row r="2768">
      <c r="A2768">
        <f>Skills!A12</f>
        <v/>
      </c>
      <c r="B2768">
        <f>Skills!B12</f>
        <v/>
      </c>
      <c r="C2768">
        <f>Inputs!$B$3&gt;=72</f>
        <v/>
      </c>
      <c r="D2768">
        <f>IF(Skills!C12=1,60+Inputs!$B$26+Inputs!$B$30,IF(Skills!C12=2,90+Inputs!$B$27+Inputs!$B$30,IF(Skills!C12=3,120+Inputs!$B$28+Inputs!$B$30,MAX(0,(Inputs!$B$3-100)*3)+Inputs!$B$29+Inputs!$B$30)))</f>
        <v/>
      </c>
      <c r="E2768">
        <f>INDEX(FactorTable!$B$2:$Y$301, MATCH(ROUND(MIN(300,MAX(1,D2768)),0), FactorTable!$A$2:$A$301,0), Skills!L12+1)</f>
        <v/>
      </c>
      <c r="F2768">
        <f>IF(Skills!M12=TRUE,(Skills!K12/10)*(E2768/1000),Skills!K12/10)+Skills!N12</f>
        <v/>
      </c>
      <c r="G2768">
        <f>Calc!G12</f>
        <v/>
      </c>
      <c r="H2768">
        <f>Calc!H12</f>
        <v/>
      </c>
      <c r="I2768">
        <f>IF(Skills!T12&lt;&gt;"",1+(Skills!T12/10)*($Z$3/1000)/100,1)</f>
        <v/>
      </c>
      <c r="J2768" t="inlineStr"/>
      <c r="K2768" t="inlineStr"/>
      <c r="L2768" t="inlineStr"/>
      <c r="M2768" t="inlineStr"/>
      <c r="N2768" t="inlineStr"/>
      <c r="O2768">
        <f>(1-Summary!$B$11)*S2768+Summary!$B$11*U2768</f>
        <v/>
      </c>
      <c r="P2768">
        <f>IF(B2798=0,0,O2768/B2798)</f>
        <v/>
      </c>
      <c r="Q2768">
        <f>IFERROR(1/(IF(Inputs!$B$39="pvp",15,MAX(0.1,Skills!D12-IF(Skills!E12=TRUE,Inputs!$B$33,0)))*(1-IF(AND(ArtifactsInput!$M$27,Inputs!$B$4="Chapter Hunt"),CHOOSE(ArtifactsInput!$N$27+1,20,24,28,32,36,40),0)/100)),0)</f>
        <v/>
      </c>
      <c r="R2768">
        <f>IF(AND(Inputs!$B$39&lt;&gt;"pvp",Inputs!$B$44&gt;0),IF(MAX(0,Inputs!$B$44-B2795)&lt;=0,0,(INT(MAX(0,Inputs!$B$44-B2795)/(IF(Inputs!$B$39="pvp",15,MAX(0.1,Skills!D12-IF(Skills!E12=TRUE,Inputs!$B$33,0)))*(1-IF(AND(ArtifactsInput!$M$27,Inputs!$B$4="Chapter Hunt"),CHOOSE(ArtifactsInput!$N$27+1,20,24,28,32,36,40),0)/100)))+1)),0)</f>
        <v/>
      </c>
      <c r="S2768" t="n">
        <v>0</v>
      </c>
      <c r="U2768" t="n">
        <v>0</v>
      </c>
    </row>
    <row r="2769">
      <c r="A2769">
        <f>Skills!A13</f>
        <v/>
      </c>
      <c r="B2769">
        <f>Skills!B13</f>
        <v/>
      </c>
      <c r="C2769">
        <f>Inputs!$B$3&gt;=60</f>
        <v/>
      </c>
      <c r="D2769">
        <f>IF(Skills!C13=1,60+Inputs!$B$26+Inputs!$B$30,IF(Skills!C13=2,90+Inputs!$B$27+Inputs!$B$30,IF(Skills!C13=3,120+Inputs!$B$28+Inputs!$B$30,MAX(0,(Inputs!$B$3-100)*3)+Inputs!$B$29+Inputs!$B$30)))</f>
        <v/>
      </c>
      <c r="E2769">
        <f>INDEX(FactorTable!$B$2:$Y$301, MATCH(ROUND(MIN(300,MAX(1,D2769)),0), FactorTable!$A$2:$A$301,0), Skills!L13+1)</f>
        <v/>
      </c>
      <c r="F2769">
        <f>IF(Skills!M13=TRUE,(Skills!K13/10)*(E2769/1000),Skills!K13/10)+Skills!N13</f>
        <v/>
      </c>
      <c r="G2769">
        <f>Calc!G13</f>
        <v/>
      </c>
      <c r="H2769">
        <f>Calc!H13</f>
        <v/>
      </c>
      <c r="I2769">
        <f>IF(Skills!T13&lt;&gt;"",1+(Skills!T13/10)*($Z$3/1000)/100,1)</f>
        <v/>
      </c>
      <c r="J2769" t="inlineStr"/>
      <c r="K2769" t="inlineStr"/>
      <c r="L2769" t="inlineStr"/>
      <c r="M2769" t="inlineStr"/>
      <c r="N2769" t="inlineStr"/>
      <c r="O2769">
        <f>(1-Summary!$B$11)*S2769+Summary!$B$11*U2769</f>
        <v/>
      </c>
      <c r="P2769">
        <f>IF(B2798=0,0,O2769/B2798)</f>
        <v/>
      </c>
      <c r="Q2769">
        <f>IFERROR(1/(IF(Inputs!$B$39="pvp",15,MAX(0.1,Skills!D13-IF(Skills!E13=TRUE,Inputs!$B$33,0)))*(1-IF(AND(ArtifactsInput!$M$27,Inputs!$B$4="Chapter Hunt"),CHOOSE(ArtifactsInput!$N$27+1,20,24,28,32,36,40),0)/100)),0)</f>
        <v/>
      </c>
      <c r="R2769">
        <f>IF(AND(Inputs!$B$39&lt;&gt;"pvp",Inputs!$B$44&gt;0),IF(MAX(0,Inputs!$B$44-B2795)&lt;=0,0,(INT(MAX(0,Inputs!$B$44-B2795)/(IF(Inputs!$B$39="pvp",15,MAX(0.1,Skills!D13-IF(Skills!E13=TRUE,Inputs!$B$33,0)))*(1-IF(AND(ArtifactsInput!$M$27,Inputs!$B$4="Chapter Hunt"),CHOOSE(ArtifactsInput!$N$27+1,20,24,28,32,36,40),0)/100)))+1)),0)</f>
        <v/>
      </c>
      <c r="S2769" t="n">
        <v>0</v>
      </c>
      <c r="U2769" t="n">
        <v>0</v>
      </c>
    </row>
    <row r="2770">
      <c r="A2770">
        <f>Skills!A14</f>
        <v/>
      </c>
      <c r="B2770">
        <f>Skills!B14</f>
        <v/>
      </c>
      <c r="C2770">
        <f>Inputs!$B$3&gt;=107</f>
        <v/>
      </c>
      <c r="D2770">
        <f>IF(Skills!C14=1,60+Inputs!$B$26+Inputs!$B$30,IF(Skills!C14=2,90+Inputs!$B$27+Inputs!$B$30,IF(Skills!C14=3,120+Inputs!$B$28+Inputs!$B$30,MAX(0,(Inputs!$B$3-100)*3)+Inputs!$B$29+Inputs!$B$30)))</f>
        <v/>
      </c>
      <c r="E2770">
        <f>INDEX(FactorTable!$B$2:$Y$301, MATCH(ROUND(MIN(300,MAX(1,D2770)),0), FactorTable!$A$2:$A$301,0), Skills!L14+1)</f>
        <v/>
      </c>
      <c r="F2770">
        <f>IF(Skills!M14=TRUE,(Skills!K14/10)*(E2770/1000),Skills!K14/10)+Skills!N14</f>
        <v/>
      </c>
      <c r="G2770">
        <f>Calc!G14</f>
        <v/>
      </c>
      <c r="H2770">
        <f>Calc!H14</f>
        <v/>
      </c>
      <c r="I2770">
        <f>IF(Skills!T14&lt;&gt;"",1+(Skills!T14/10)*($Z$3/1000)/100,1)</f>
        <v/>
      </c>
      <c r="J2770" t="inlineStr"/>
      <c r="K2770" t="inlineStr"/>
      <c r="L2770" t="inlineStr"/>
      <c r="M2770" t="inlineStr"/>
      <c r="N2770" t="inlineStr"/>
      <c r="O2770">
        <f>(1-Summary!$B$11)*S2770+Summary!$B$11*U2770</f>
        <v/>
      </c>
      <c r="P2770">
        <f>IF(B2798=0,0,O2770/B2798)</f>
        <v/>
      </c>
      <c r="Q2770">
        <f>IFERROR(1/(IF(Inputs!$B$39="pvp",15,MAX(0.1,Skills!D14-IF(Skills!E14=TRUE,Inputs!$B$33,0)))*(1-IF(AND(ArtifactsInput!$M$27,Inputs!$B$4="Chapter Hunt"),CHOOSE(ArtifactsInput!$N$27+1,20,24,28,32,36,40),0)/100)),0)</f>
        <v/>
      </c>
      <c r="R2770">
        <f>IF(AND(Inputs!$B$39&lt;&gt;"pvp",Inputs!$B$44&gt;0),IF(Inputs!$B$44&lt;=0,0,(INT(Inputs!$B$44/(IF(Inputs!$B$39="pvp",15,MAX(0.1,Skills!D14-IF(Skills!E14=TRUE,Inputs!$B$33,0)))*(1-IF(AND(ArtifactsInput!$M$27,Inputs!$B$4="Chapter Hunt"),CHOOSE(ArtifactsInput!$N$27+1,20,24,28,32,36,40),0)/100)))+1)),0)</f>
        <v/>
      </c>
      <c r="S2770" t="n">
        <v>0</v>
      </c>
      <c r="U2770" t="n">
        <v>0</v>
      </c>
    </row>
    <row r="2771">
      <c r="A2771">
        <f>Skills!A15</f>
        <v/>
      </c>
      <c r="B2771">
        <f>Skills!B15</f>
        <v/>
      </c>
      <c r="C2771">
        <f>Inputs!$B$3&gt;=63</f>
        <v/>
      </c>
      <c r="D2771">
        <f>IF(Skills!C15=1,60+Inputs!$B$26+Inputs!$B$30,IF(Skills!C15=2,90+Inputs!$B$27+Inputs!$B$30,IF(Skills!C15=3,120+Inputs!$B$28+Inputs!$B$30,MAX(0,(Inputs!$B$3-100)*3)+Inputs!$B$29+Inputs!$B$30)))</f>
        <v/>
      </c>
      <c r="E2771">
        <f>INDEX(FactorTable!$B$2:$Y$301, MATCH(ROUND(MIN(300,MAX(1,D2771)),0), FactorTable!$A$2:$A$301,0), Skills!L15+1)</f>
        <v/>
      </c>
      <c r="F2771">
        <f>IF(Skills!M15=TRUE,(Skills!K15/10)*(E2771/1000),Skills!K15/10)+Skills!N15</f>
        <v/>
      </c>
      <c r="G2771">
        <f>Calc!G15</f>
        <v/>
      </c>
      <c r="H2771">
        <f>Calc!H15</f>
        <v/>
      </c>
      <c r="I2771">
        <f>IF(Skills!T15&lt;&gt;"",1+(Skills!T15/10)*($Z$3/1000)/100,1)</f>
        <v/>
      </c>
      <c r="J2771">
        <f>((Inputs!$B$6*(1+Inputs!$B$7/100))+(((Inputs!$B$13*(1+Inputs!$B$14/100))-(Inputs!$B$13*(1+Inputs!$B$14/100)))+0.25*(Inputs!$B$15-Inputs!$B$15))*(1+Inputs!$B$7/100))*(F2771/100)</f>
        <v/>
      </c>
      <c r="K2771">
        <f>J2771*(1+(((Inputs!$B$13+IF(Inputs!$B$3&gt;=35,(10*INDEX(FactorTable!$B$2:$Y$301,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15="TRIUMPH_FEATHER",IF(C2772=TRUE,F2772,0),0)/100)*(1+IF(C2783=TRUE,F2783,0)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2771)</f>
        <v/>
      </c>
      <c r="L2771">
        <f>K2771*(MIN(Inputs!$B$23+(F2778-Calc!F22),(Inputs!$B$24+IF(ArtifactsInput!$M$15,CHOOSE(ArtifactsInput!$N$15+1,25,30,35,40,45,50)/100*(Inputs!$B$12-Inputs!$B$12),0)))/100+(Inputs!$B$24+IF(ArtifactsInput!$M$15,CHOOSE(ArtifactsInput!$N$15+1,25,30,35,40,45,50)/100*(Inputs!$B$12-Inputs!$B$12),0))/100)/2</f>
        <v/>
      </c>
      <c r="M2771">
        <f>L2771*(1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1">
        <f>L2771*(1-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(1-Summary!$B$11)*S2771+Summary!$B$11*U2771</f>
        <v/>
      </c>
      <c r="P2771">
        <f>IF(B2798=0,0,O2771/B2798)</f>
        <v/>
      </c>
      <c r="Q2771">
        <f>IFERROR(1/(IF(Inputs!$B$39="pvp",15,MAX(0.1,Skills!D15-IF(Skills!E15=TRUE,Inputs!$B$33,0)))*(1-IF(AND(ArtifactsInput!$M$27,Inputs!$B$4="Chapter Hunt"),CHOOSE(ArtifactsInput!$N$27+1,20,24,28,32,36,40),0)/100)),0)</f>
        <v/>
      </c>
      <c r="R2771" t="n">
        <v>0</v>
      </c>
      <c r="S2771">
        <f>IF(C2771,(Skills!F15*N2771*((IF(Inputs!$B$3&gt;=78,25,15)/100*B2791*10)/(1+IF(Inputs!$B$3&gt;=78,25,15)/100*B2791*10))*(Skills!I15/100*B2791)/(1+Skills!G15*Skills!I15/100*B2791))*IF(Inputs!$B$39="pvp",1,1+(Inputs!$B$21+Skills!O15+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2771*(1-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IF(C2771,(Skills!F15*N2771*((IF(Inputs!$B$3&gt;=78,25,15)/100*B2791*10)/(1+IF(Inputs!$B$3&gt;=78,25,15)/100*B2791*10))*(Skills!I15/100*B2791)/(1+Skills!G15*Skills!I15/100*B2791))*IF(Inputs!$B$39="pvp",1,(1+(Inputs!$B$22+Skills!P15+B2787+(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Skills!A16</f>
        <v/>
      </c>
      <c r="B2772">
        <f>Skills!B16</f>
        <v/>
      </c>
      <c r="C2772">
        <f>Inputs!$B$3&gt;=100</f>
        <v/>
      </c>
      <c r="D2772">
        <f>IF(Skills!C16=1,60+Inputs!$B$26+Inputs!$B$30,IF(Skills!C16=2,90+Inputs!$B$27+Inputs!$B$30,IF(Skills!C16=3,120+Inputs!$B$28+Inputs!$B$30,MAX(0,(Inputs!$B$3-100)*3)+Inputs!$B$29+Inputs!$B$30)))</f>
        <v/>
      </c>
      <c r="E2772">
        <f>INDEX(FactorTable!$B$2:$Y$301, MATCH(ROUND(MIN(300,MAX(1,D2772)),0), FactorTable!$A$2:$A$301,0), Skills!L16+1)</f>
        <v/>
      </c>
      <c r="F2772">
        <f>IF(Skills!M16=TRUE,(Skills!K16/10)*(E2772/1000),Skills!K16/10)+Skills!N16</f>
        <v/>
      </c>
      <c r="G2772">
        <f>Calc!G16</f>
        <v/>
      </c>
      <c r="H2772">
        <f>Calc!H16</f>
        <v/>
      </c>
      <c r="I2772">
        <f>IF(Skills!T16&lt;&gt;"",1+(Skills!T16/10)*($Z$3/1000)/100,1)</f>
        <v/>
      </c>
      <c r="J2772" t="inlineStr"/>
      <c r="K2772" t="inlineStr"/>
      <c r="L2772" t="inlineStr"/>
      <c r="M2772" t="inlineStr"/>
      <c r="N2772" t="inlineStr"/>
      <c r="O2772">
        <f>(1-Summary!$B$11)*S2772+Summary!$B$11*U2772</f>
        <v/>
      </c>
      <c r="P2772">
        <f>IF(B2798=0,0,O2772/B2798)</f>
        <v/>
      </c>
      <c r="Q2772">
        <f>IFERROR(1/(IF(Inputs!$B$39="pvp",15,MAX(0.1,Skills!D16-IF(Skills!E16=TRUE,Inputs!$B$33,0)))*(1-IF(AND(ArtifactsInput!$M$27,Inputs!$B$4="Chapter Hunt"),CHOOSE(ArtifactsInput!$N$27+1,20,24,28,32,36,40),0)/100)),0)</f>
        <v/>
      </c>
      <c r="R2772" t="n">
        <v>0</v>
      </c>
      <c r="S2772" t="n">
        <v>0</v>
      </c>
      <c r="U2772" t="n">
        <v>0</v>
      </c>
    </row>
    <row r="2773">
      <c r="A2773">
        <f>Skills!A17</f>
        <v/>
      </c>
      <c r="B2773">
        <f>Skills!B17</f>
        <v/>
      </c>
      <c r="C2773">
        <f>Inputs!$B$3&gt;=49</f>
        <v/>
      </c>
      <c r="D2773">
        <f>IF(Skills!C17=1,60+Inputs!$B$26+Inputs!$B$30,IF(Skills!C17=2,90+Inputs!$B$27+Inputs!$B$30,IF(Skills!C17=3,120+Inputs!$B$28+Inputs!$B$30,MAX(0,(Inputs!$B$3-100)*3)+Inputs!$B$29+Inputs!$B$30)))</f>
        <v/>
      </c>
      <c r="E2773">
        <f>INDEX(FactorTable!$B$2:$Y$301, MATCH(ROUND(MIN(300,MAX(1,D2773)),0), FactorTable!$A$2:$A$301,0), Skills!L17+1)</f>
        <v/>
      </c>
      <c r="F2773">
        <f>IF(Skills!M17=TRUE,(Skills!K17/10)*(E2773/1000),Skills!K17/10)+Skills!N17</f>
        <v/>
      </c>
      <c r="G2773">
        <f>Calc!G17</f>
        <v/>
      </c>
      <c r="H2773">
        <f>Calc!H17</f>
        <v/>
      </c>
      <c r="I2773">
        <f>IF(Skills!T17&lt;&gt;"",1+(Skills!T17/10)*($Z$3/1000)/100,1)</f>
        <v/>
      </c>
      <c r="J2773" t="inlineStr"/>
      <c r="K2773" t="inlineStr"/>
      <c r="L2773" t="inlineStr"/>
      <c r="M2773" t="inlineStr"/>
      <c r="N2773" t="inlineStr"/>
      <c r="O2773">
        <f>(1-Summary!$B$11)*S2773+Summary!$B$11*U2773</f>
        <v/>
      </c>
      <c r="P2773">
        <f>IF(B2798=0,0,O2773/B2798)</f>
        <v/>
      </c>
      <c r="Q2773">
        <f>IFERROR(1/(IF(Inputs!$B$39="pvp",15,MAX(0.1,Skills!D17-IF(Skills!E17=TRUE,Inputs!$B$33,0)))*(1-IF(AND(ArtifactsInput!$M$27,Inputs!$B$4="Chapter Hunt"),CHOOSE(ArtifactsInput!$N$27+1,20,24,28,32,36,40),0)/100)),0)</f>
        <v/>
      </c>
      <c r="R2773" t="n">
        <v>0</v>
      </c>
      <c r="S2773" t="n">
        <v>0</v>
      </c>
      <c r="U2773" t="n">
        <v>0</v>
      </c>
    </row>
    <row r="2774">
      <c r="A2774">
        <f>Skills!A18</f>
        <v/>
      </c>
      <c r="B2774">
        <f>Skills!B18</f>
        <v/>
      </c>
      <c r="C2774">
        <f>Inputs!$B$3&gt;=75</f>
        <v/>
      </c>
      <c r="D2774">
        <f>IF(Skills!C18=1,60+Inputs!$B$26+Inputs!$B$30,IF(Skills!C18=2,90+Inputs!$B$27+Inputs!$B$30,IF(Skills!C18=3,120+Inputs!$B$28+Inputs!$B$30,MAX(0,(Inputs!$B$3-100)*3)+Inputs!$B$29+Inputs!$B$30)))</f>
        <v/>
      </c>
      <c r="E2774">
        <f>INDEX(FactorTable!$B$2:$Y$301, MATCH(ROUND(MIN(300,MAX(1,D2774)),0), FactorTable!$A$2:$A$301,0), Skills!L18+1)</f>
        <v/>
      </c>
      <c r="F2774">
        <f>IF(Skills!M18=TRUE,(Skills!K18/10)*(E2774/1000),Skills!K18/10)+Skills!N18</f>
        <v/>
      </c>
      <c r="G2774">
        <f>Calc!G18</f>
        <v/>
      </c>
      <c r="H2774">
        <f>Calc!H18</f>
        <v/>
      </c>
      <c r="I2774">
        <f>IF(Skills!T18&lt;&gt;"",1+(Skills!T18/10)*($Z$3/1000)/100,1)</f>
        <v/>
      </c>
      <c r="J2774" t="inlineStr"/>
      <c r="K2774" t="inlineStr"/>
      <c r="L2774" t="inlineStr"/>
      <c r="M2774" t="inlineStr"/>
      <c r="N2774" t="inlineStr"/>
      <c r="O2774">
        <f>(1-Summary!$B$11)*S2774+Summary!$B$11*U2774</f>
        <v/>
      </c>
      <c r="P2774">
        <f>IF(B2798=0,0,O2774/B2798)</f>
        <v/>
      </c>
      <c r="Q2774">
        <f>IFERROR(1/(IF(Inputs!$B$39="pvp",15,MAX(0.1,Skills!D18-IF(Skills!E18=TRUE,Inputs!$B$33,0)))*(1-IF(AND(ArtifactsInput!$M$27,Inputs!$B$4="Chapter Hunt"),CHOOSE(ArtifactsInput!$N$27+1,20,24,28,32,36,40),0)/100)),0)</f>
        <v/>
      </c>
      <c r="R2774" t="n">
        <v>0</v>
      </c>
      <c r="S2774" t="n">
        <v>0</v>
      </c>
      <c r="U2774" t="n">
        <v>0</v>
      </c>
    </row>
    <row r="2775">
      <c r="A2775">
        <f>Skills!A19</f>
        <v/>
      </c>
      <c r="B2775">
        <f>Skills!B19</f>
        <v/>
      </c>
      <c r="C2775">
        <f>Inputs!$B$3&gt;=110</f>
        <v/>
      </c>
      <c r="D2775">
        <f>IF(Skills!C19=1,60+Inputs!$B$26+Inputs!$B$30,IF(Skills!C19=2,90+Inputs!$B$27+Inputs!$B$30,IF(Skills!C19=3,120+Inputs!$B$28+Inputs!$B$30,MAX(0,(Inputs!$B$3-100)*3)+Inputs!$B$29+Inputs!$B$30)))</f>
        <v/>
      </c>
      <c r="E2775">
        <f>INDEX(FactorTable!$B$2:$Y$301, MATCH(ROUND(MIN(300,MAX(1,D2775)),0), FactorTable!$A$2:$A$301,0), Skills!L19+1)</f>
        <v/>
      </c>
      <c r="F2775">
        <f>(Skills!K19/10)*(E2775/1000)*64/45+Skills!N19</f>
        <v/>
      </c>
      <c r="G2775">
        <f>Calc!G19</f>
        <v/>
      </c>
      <c r="H2775">
        <f>Calc!H19</f>
        <v/>
      </c>
      <c r="I2775">
        <f>IF(Skills!T19&lt;&gt;"",1+(Skills!T19/10)*($Z$3/1000)/100,1)</f>
        <v/>
      </c>
      <c r="J2775" t="inlineStr"/>
      <c r="K2775" t="inlineStr"/>
      <c r="L2775" t="inlineStr"/>
      <c r="M2775" t="inlineStr"/>
      <c r="N2775" t="inlineStr"/>
      <c r="O2775">
        <f>(1-Summary!$B$11)*S2775+Summary!$B$11*U2775</f>
        <v/>
      </c>
      <c r="P2775">
        <f>IF(B2798=0,0,O2775/B2798)</f>
        <v/>
      </c>
      <c r="Q2775">
        <f>IFERROR(1/(IF(Inputs!$B$39="pvp",15,MAX(0.1,Skills!D19-IF(Skills!E19=TRUE,Inputs!$B$33,0)))*(1-IF(AND(ArtifactsInput!$M$27,Inputs!$B$4="Chapter Hunt"),CHOOSE(ArtifactsInput!$N$27+1,20,24,28,32,36,40),0)/100)),0)</f>
        <v/>
      </c>
      <c r="R2775">
        <f>IF(AND(Inputs!$B$39&lt;&gt;"pvp",Inputs!$B$44&gt;0),IF(Inputs!$B$44&lt;=0,0,(INT(Inputs!$B$44/(IF(Inputs!$B$39="pvp",15,MAX(0.1,Skills!D19-IF(Skills!E19=TRUE,Inputs!$B$33,0)))*(1-IF(AND(ArtifactsInput!$M$27,Inputs!$B$4="Chapter Hunt"),CHOOSE(ArtifactsInput!$N$27+1,20,24,28,32,36,40),0)/100)))+1)),0)</f>
        <v/>
      </c>
      <c r="S2775" t="n">
        <v>0</v>
      </c>
      <c r="U2775" t="n">
        <v>0</v>
      </c>
    </row>
    <row r="2776">
      <c r="A2776">
        <f>Skills!A20</f>
        <v/>
      </c>
      <c r="B2776">
        <f>Skills!B20</f>
        <v/>
      </c>
      <c r="C2776">
        <f>Inputs!$B$3&gt;=125</f>
        <v/>
      </c>
      <c r="D2776">
        <f>IF(Skills!C20=1,60+Inputs!$B$26+Inputs!$B$30,IF(Skills!C20=2,90+Inputs!$B$27+Inputs!$B$30,IF(Skills!C20=3,120+Inputs!$B$28+Inputs!$B$30,MAX(0,(Inputs!$B$3-100)*3)+Inputs!$B$29+Inputs!$B$30)))</f>
        <v/>
      </c>
      <c r="E2776">
        <f>INDEX(FactorTable!$B$2:$Y$301, MATCH(ROUND(MIN(300,MAX(1,D2776)),0), FactorTable!$A$2:$A$301,0), Skills!L20+1)</f>
        <v/>
      </c>
      <c r="F2776">
        <f>IF(Skills!M20=TRUE,(Skills!K20/10)*(E2776/1000),Skills!K20/10)+Skills!N20</f>
        <v/>
      </c>
      <c r="G2776">
        <f>Calc!G20</f>
        <v/>
      </c>
      <c r="H2776">
        <f>Calc!H20</f>
        <v/>
      </c>
      <c r="I2776">
        <f>IF(Skills!T20&lt;&gt;"",1+(Skills!T20/10)*($Z$3/1000)/100,1)</f>
        <v/>
      </c>
      <c r="J2776" t="inlineStr"/>
      <c r="K2776" t="inlineStr"/>
      <c r="L2776" t="inlineStr"/>
      <c r="M2776" t="inlineStr"/>
      <c r="N2776" t="inlineStr"/>
      <c r="O2776">
        <f>(1-Summary!$B$11)*S2776+Summary!$B$11*U2776</f>
        <v/>
      </c>
      <c r="P2776">
        <f>IF(B2798=0,0,O2776/B2798)</f>
        <v/>
      </c>
      <c r="Q2776">
        <f>IFERROR(1/(IF(Inputs!$B$39="pvp",15,MAX(0.1,Skills!D20-IF(Skills!E20=TRUE,Inputs!$B$33,0)))*(1-IF(AND(ArtifactsInput!$M$27,Inputs!$B$4="Chapter Hunt"),CHOOSE(ArtifactsInput!$N$27+1,20,24,28,32,36,40),0)/100)),0)</f>
        <v/>
      </c>
      <c r="R2776" t="n">
        <v>0</v>
      </c>
      <c r="S2776" t="n">
        <v>0</v>
      </c>
      <c r="U2776" t="n">
        <v>0</v>
      </c>
    </row>
    <row r="2777">
      <c r="A2777">
        <f>Skills!A21</f>
        <v/>
      </c>
      <c r="B2777">
        <f>Skills!B21</f>
        <v/>
      </c>
      <c r="C2777">
        <f>Inputs!$B$3&gt;=33</f>
        <v/>
      </c>
      <c r="D2777">
        <f>IF(Skills!C21=1,60+Inputs!$B$26+Inputs!$B$30,IF(Skills!C21=2,90+Inputs!$B$27+Inputs!$B$30,IF(Skills!C21=3,120+Inputs!$B$28+Inputs!$B$30,MAX(0,(Inputs!$B$3-100)*3)+Inputs!$B$29+Inputs!$B$30)))</f>
        <v/>
      </c>
      <c r="E2777">
        <f>INDEX(FactorTable!$B$2:$Y$301, MATCH(ROUND(MIN(300,MAX(1,D2777)),0), FactorTable!$A$2:$A$301,0), Skills!L21+1)</f>
        <v/>
      </c>
      <c r="F2777">
        <f>IF(Skills!M21=TRUE,(Skills!K21/10)*(E2777/1000),Skills!K21/10)+Skills!N21</f>
        <v/>
      </c>
      <c r="G2777">
        <f>Calc!G21</f>
        <v/>
      </c>
      <c r="H2777">
        <f>Calc!H21</f>
        <v/>
      </c>
      <c r="I2777">
        <f>IF(Skills!T21&lt;&gt;"",1+(Skills!T21/10)*($Z$3/1000)/100,1)</f>
        <v/>
      </c>
      <c r="J2777" t="inlineStr"/>
      <c r="K2777" t="inlineStr"/>
      <c r="L2777" t="inlineStr"/>
      <c r="M2777" t="inlineStr"/>
      <c r="N2777" t="inlineStr"/>
      <c r="O2777">
        <f>(1-Summary!$B$11)*S2777+Summary!$B$11*U2777</f>
        <v/>
      </c>
      <c r="P2777">
        <f>IF(B2798=0,0,O2777/B2798)</f>
        <v/>
      </c>
      <c r="Q2777">
        <f>IFERROR(1/(IF(Inputs!$B$39="pvp",15,MAX(0.1,Skills!D21-IF(Skills!E21=TRUE,Inputs!$B$33,0)))*(1-IF(AND(ArtifactsInput!$M$27,Inputs!$B$4="Chapter Hunt"),CHOOSE(ArtifactsInput!$N$27+1,20,24,28,32,36,40),0)/100)),0)</f>
        <v/>
      </c>
      <c r="R2777" t="n">
        <v>0</v>
      </c>
      <c r="S2777" t="n">
        <v>0</v>
      </c>
      <c r="U2777" t="n">
        <v>0</v>
      </c>
    </row>
    <row r="2778">
      <c r="A2778">
        <f>Skills!A22</f>
        <v/>
      </c>
      <c r="B2778">
        <f>Skills!B22</f>
        <v/>
      </c>
      <c r="C2778">
        <f>Inputs!$B$3&gt;=43</f>
        <v/>
      </c>
      <c r="D2778">
        <f>IF(Skills!C22=1,60+Inputs!$B$26+Inputs!$B$30,IF(Skills!C22=2,90+Inputs!$B$27+Inputs!$B$30,IF(Skills!C22=3,120+Inputs!$B$28+Inputs!$B$30,MAX(0,(Inputs!$B$3-100)*3)+Inputs!$B$29+Inputs!$B$30)))</f>
        <v/>
      </c>
      <c r="E2778">
        <f>INDEX(FactorTable!$B$2:$Y$301, MATCH(ROUND(MIN(300,MAX(1,D2778)),0), FactorTable!$A$2:$A$301,0), Skills!L22+1)</f>
        <v/>
      </c>
      <c r="F2778">
        <f>IF(Skills!M22=TRUE,(Skills!K22/10)*(E2778/1000),Skills!K22/10)+Skills!N22</f>
        <v/>
      </c>
      <c r="G2778">
        <f>Calc!G22</f>
        <v/>
      </c>
      <c r="H2778">
        <f>Calc!H22</f>
        <v/>
      </c>
      <c r="I2778">
        <f>IF(Skills!T22&lt;&gt;"",1+(Skills!T22/10)*($Z$3/1000)/100,1)</f>
        <v/>
      </c>
      <c r="J2778" t="inlineStr"/>
      <c r="K2778" t="inlineStr"/>
      <c r="L2778" t="inlineStr"/>
      <c r="M2778" t="inlineStr"/>
      <c r="N2778" t="inlineStr"/>
      <c r="O2778">
        <f>(1-Summary!$B$11)*S2778+Summary!$B$11*U2778</f>
        <v/>
      </c>
      <c r="P2778">
        <f>IF(B2798=0,0,O2778/B2798)</f>
        <v/>
      </c>
      <c r="Q2778">
        <f>IFERROR(1/(IF(Inputs!$B$39="pvp",15,MAX(0.1,Skills!D22-IF(Skills!E22=TRUE,Inputs!$B$33,0)))*(1-IF(AND(ArtifactsInput!$M$27,Inputs!$B$4="Chapter Hunt"),CHOOSE(ArtifactsInput!$N$27+1,20,24,28,32,36,40),0)/100)),0)</f>
        <v/>
      </c>
      <c r="R2778" t="n">
        <v>0</v>
      </c>
      <c r="S2778" t="n">
        <v>0</v>
      </c>
      <c r="U2778" t="n">
        <v>0</v>
      </c>
    </row>
    <row r="2779">
      <c r="A2779">
        <f>Skills!A23</f>
        <v/>
      </c>
      <c r="B2779">
        <f>Skills!B23</f>
        <v/>
      </c>
      <c r="C2779">
        <f>Inputs!$B$3&gt;=50</f>
        <v/>
      </c>
      <c r="D2779">
        <f>IF(Skills!C23=1,60+Inputs!$B$26+Inputs!$B$30,IF(Skills!C23=2,90+Inputs!$B$27+Inputs!$B$30,IF(Skills!C23=3,120+Inputs!$B$28+Inputs!$B$30,MAX(0,(Inputs!$B$3-100)*3)+Inputs!$B$29+Inputs!$B$30)))</f>
        <v/>
      </c>
      <c r="E2779">
        <f>INDEX(FactorTable!$B$2:$Y$301, MATCH(ROUND(MIN(300,MAX(1,D2779)),0), FactorTable!$A$2:$A$301,0), Skills!L23+1)</f>
        <v/>
      </c>
      <c r="F2779">
        <f>IF(Skills!M23=TRUE,(Skills!K23/10)*(E2779/1000),Skills!K23/10)+Skills!N23</f>
        <v/>
      </c>
      <c r="G2779">
        <f>Calc!G23</f>
        <v/>
      </c>
      <c r="H2779">
        <f>Calc!H23</f>
        <v/>
      </c>
      <c r="I2779">
        <f>IF(Skills!T23&lt;&gt;"",1+(Skills!T23/10)*($Z$3/1000)/100,1)</f>
        <v/>
      </c>
      <c r="J2779" t="inlineStr"/>
      <c r="K2779" t="inlineStr"/>
      <c r="L2779" t="inlineStr"/>
      <c r="M2779" t="inlineStr"/>
      <c r="N2779" t="inlineStr"/>
      <c r="O2779">
        <f>(1-Summary!$B$11)*S2779+Summary!$B$11*U2779</f>
        <v/>
      </c>
      <c r="P2779">
        <f>IF(B2798=0,0,O2779/B2798)</f>
        <v/>
      </c>
      <c r="Q2779">
        <f>IFERROR(1/(IF(Inputs!$B$39="pvp",15,MAX(0.1,Skills!D23-IF(Skills!E23=TRUE,Inputs!$B$33,0)))*(1-IF(AND(ArtifactsInput!$M$27,Inputs!$B$4="Chapter Hunt"),CHOOSE(ArtifactsInput!$N$27+1,20,24,28,32,36,40),0)/100)),0)</f>
        <v/>
      </c>
      <c r="R2779" t="n">
        <v>0</v>
      </c>
      <c r="S2779" t="n">
        <v>0</v>
      </c>
      <c r="U2779" t="n">
        <v>0</v>
      </c>
    </row>
    <row r="2780">
      <c r="A2780">
        <f>Skills!A24</f>
        <v/>
      </c>
      <c r="B2780">
        <f>Skills!B24</f>
        <v/>
      </c>
      <c r="C2780">
        <f>Inputs!$B$3&gt;=74</f>
        <v/>
      </c>
      <c r="D2780">
        <f>IF(Skills!C24=1,60+Inputs!$B$26+Inputs!$B$30,IF(Skills!C24=2,90+Inputs!$B$27+Inputs!$B$30,IF(Skills!C24=3,120+Inputs!$B$28+Inputs!$B$30,MAX(0,(Inputs!$B$3-100)*3)+Inputs!$B$29+Inputs!$B$30)))</f>
        <v/>
      </c>
      <c r="E2780">
        <f>INDEX(FactorTable!$B$2:$Y$301, MATCH(ROUND(MIN(300,MAX(1,D2780)),0), FactorTable!$A$2:$A$301,0), Skills!L24+1)</f>
        <v/>
      </c>
      <c r="F2780">
        <f>IF(Skills!M24=TRUE,(Skills!K24/10)*(E2780/1000),Skills!K24/10)+Skills!N24</f>
        <v/>
      </c>
      <c r="G2780">
        <f>Calc!G24</f>
        <v/>
      </c>
      <c r="H2780">
        <f>Calc!H24</f>
        <v/>
      </c>
      <c r="I2780">
        <f>IF(Skills!T24&lt;&gt;"",1+(Skills!T24/10)*($Z$3/1000)/100,1)</f>
        <v/>
      </c>
      <c r="J2780" t="inlineStr"/>
      <c r="K2780" t="inlineStr"/>
      <c r="L2780" t="inlineStr"/>
      <c r="M2780" t="inlineStr"/>
      <c r="N2780" t="inlineStr"/>
      <c r="O2780">
        <f>(1-Summary!$B$11)*S2780+Summary!$B$11*U2780</f>
        <v/>
      </c>
      <c r="P2780">
        <f>IF(B2798=0,0,O2780/B2798)</f>
        <v/>
      </c>
      <c r="Q2780">
        <f>IFERROR(1/(IF(Inputs!$B$39="pvp",15,MAX(0.1,Skills!D24-IF(Skills!E24=TRUE,Inputs!$B$33,0)))*(1-IF(AND(ArtifactsInput!$M$27,Inputs!$B$4="Chapter Hunt"),CHOOSE(ArtifactsInput!$N$27+1,20,24,28,32,36,40),0)/100)),0)</f>
        <v/>
      </c>
      <c r="R2780" t="n">
        <v>0</v>
      </c>
      <c r="S2780" t="n">
        <v>0</v>
      </c>
      <c r="U2780" t="n">
        <v>0</v>
      </c>
    </row>
    <row r="2781">
      <c r="A2781">
        <f>Skills!A25</f>
        <v/>
      </c>
      <c r="B2781">
        <f>Skills!B25</f>
        <v/>
      </c>
      <c r="C2781">
        <f>Inputs!$B$3&gt;=74</f>
        <v/>
      </c>
      <c r="D2781">
        <f>IF(Skills!C25=1,60+Inputs!$B$26+Inputs!$B$30,IF(Skills!C25=2,90+Inputs!$B$27+Inputs!$B$30,IF(Skills!C25=3,120+Inputs!$B$28+Inputs!$B$30,MAX(0,(Inputs!$B$3-100)*3)+Inputs!$B$29+Inputs!$B$30)))</f>
        <v/>
      </c>
      <c r="E2781">
        <f>INDEX(FactorTable!$B$2:$Y$301, MATCH(ROUND(MIN(300,MAX(1,D2781)),0), FactorTable!$A$2:$A$301,0), Skills!L25+1)</f>
        <v/>
      </c>
      <c r="F2781">
        <f>IF(Skills!M25=TRUE,(Skills!K25/10)*(E2781/1000),Skills!K25/10)+Skills!N25</f>
        <v/>
      </c>
      <c r="G2781">
        <f>Calc!G25</f>
        <v/>
      </c>
      <c r="H2781">
        <f>Calc!H25</f>
        <v/>
      </c>
      <c r="I2781">
        <f>IF(Skills!T25&lt;&gt;"",1+(Skills!T25/10)*($Z$3/1000)/100,1)</f>
        <v/>
      </c>
      <c r="J2781" t="inlineStr"/>
      <c r="K2781" t="inlineStr"/>
      <c r="L2781" t="inlineStr"/>
      <c r="M2781" t="inlineStr"/>
      <c r="N2781" t="inlineStr"/>
      <c r="O2781">
        <f>(1-Summary!$B$11)*S2781+Summary!$B$11*U2781</f>
        <v/>
      </c>
      <c r="P2781">
        <f>IF(B2798=0,0,O2781/B2798)</f>
        <v/>
      </c>
      <c r="Q2781">
        <f>IFERROR(1/(IF(Inputs!$B$39="pvp",15,MAX(0.1,Skills!D25-IF(Skills!E25=TRUE,Inputs!$B$33,0)))*(1-IF(AND(ArtifactsInput!$M$27,Inputs!$B$4="Chapter Hunt"),CHOOSE(ArtifactsInput!$N$27+1,20,24,28,32,36,40),0)/100)),0)</f>
        <v/>
      </c>
      <c r="R2781" t="n">
        <v>0</v>
      </c>
      <c r="S2781" t="n">
        <v>0</v>
      </c>
      <c r="U2781" t="n">
        <v>0</v>
      </c>
    </row>
    <row r="2782">
      <c r="A2782">
        <f>Skills!A26</f>
        <v/>
      </c>
      <c r="B2782">
        <f>Skills!B26</f>
        <v/>
      </c>
      <c r="C2782">
        <f>Inputs!$B$3&gt;=117</f>
        <v/>
      </c>
      <c r="D2782">
        <f>IF(Skills!C26=1,60+Inputs!$B$26+Inputs!$B$30,IF(Skills!C26=2,90+Inputs!$B$27+Inputs!$B$30,IF(Skills!C26=3,120+Inputs!$B$28+Inputs!$B$30,MAX(0,(Inputs!$B$3-100)*3)+Inputs!$B$29+Inputs!$B$30)))</f>
        <v/>
      </c>
      <c r="E2782">
        <f>INDEX(FactorTable!$B$2:$Y$301, MATCH(ROUND(MIN(300,MAX(1,D2782)),0), FactorTable!$A$2:$A$301,0), Skills!L26+1)</f>
        <v/>
      </c>
      <c r="F2782">
        <f>IF(Skills!M26=TRUE,(Skills!K26/10)*(E2782/1000),Skills!K26/10)+Skills!N26</f>
        <v/>
      </c>
      <c r="G2782">
        <f>Calc!G26</f>
        <v/>
      </c>
      <c r="H2782">
        <f>Calc!H26</f>
        <v/>
      </c>
      <c r="I2782">
        <f>IF(Skills!T26&lt;&gt;"",1+(Skills!T26/10)*($Z$3/1000)/100,1)</f>
        <v/>
      </c>
      <c r="J2782" t="inlineStr"/>
      <c r="K2782" t="inlineStr"/>
      <c r="L2782" t="inlineStr"/>
      <c r="M2782" t="inlineStr"/>
      <c r="N2782" t="inlineStr"/>
      <c r="O2782">
        <f>(1-Summary!$B$11)*S2782+Summary!$B$11*U2782</f>
        <v/>
      </c>
      <c r="P2782">
        <f>IF(B2798=0,0,O2782/B2798)</f>
        <v/>
      </c>
      <c r="Q2782">
        <f>IFERROR(1/(IF(Inputs!$B$39="pvp",15,MAX(0.1,Skills!D26-IF(Skills!E26=TRUE,Inputs!$B$33,0)))*(1-IF(AND(ArtifactsInput!$M$27,Inputs!$B$4="Chapter Hunt"),CHOOSE(ArtifactsInput!$N$27+1,20,24,28,32,36,40),0)/100)),0)</f>
        <v/>
      </c>
      <c r="R2782" t="n">
        <v>0</v>
      </c>
      <c r="S2782" t="n">
        <v>0</v>
      </c>
      <c r="U2782" t="n">
        <v>0</v>
      </c>
    </row>
    <row r="2783">
      <c r="A2783">
        <f>Skills!A27</f>
        <v/>
      </c>
      <c r="B2783">
        <f>Skills!B27</f>
        <v/>
      </c>
      <c r="C2783">
        <f>Inputs!$B$3&gt;=120</f>
        <v/>
      </c>
      <c r="D2783">
        <f>IF(Skills!C27=1,60+Inputs!$B$26+Inputs!$B$30,IF(Skills!C27=2,90+Inputs!$B$27+Inputs!$B$30,IF(Skills!C27=3,120+Inputs!$B$28+Inputs!$B$30,MAX(0,(Inputs!$B$3-100)*3)+Inputs!$B$29+Inputs!$B$30)))</f>
        <v/>
      </c>
      <c r="E2783">
        <f>INDEX(FactorTable!$B$2:$Y$301, MATCH(ROUND(MIN(300,MAX(1,D2783)),0), FactorTable!$A$2:$A$301,0), Skills!L27+1)</f>
        <v/>
      </c>
      <c r="F2783">
        <f>IF(Skills!M27=TRUE,(Skills!K27/10)*(E2783/1000),Skills!K27/10)+Skills!N27</f>
        <v/>
      </c>
      <c r="G2783">
        <f>Calc!G27</f>
        <v/>
      </c>
      <c r="H2783">
        <f>Calc!H27</f>
        <v/>
      </c>
      <c r="I2783">
        <f>IF(Skills!T27&lt;&gt;"",1+(Skills!T27/10)*($Z$3/1000)/100,1)</f>
        <v/>
      </c>
      <c r="J2783" t="inlineStr"/>
      <c r="K2783" t="inlineStr"/>
      <c r="L2783" t="inlineStr"/>
      <c r="M2783" t="inlineStr"/>
      <c r="N2783" t="inlineStr"/>
      <c r="O2783">
        <f>(1-Summary!$B$11)*S2783+Summary!$B$11*U2783</f>
        <v/>
      </c>
      <c r="P2783">
        <f>IF(B2798=0,0,O2783/B2798)</f>
        <v/>
      </c>
      <c r="Q2783">
        <f>IFERROR(1/(IF(Inputs!$B$39="pvp",15,MAX(0.1,Skills!D27-IF(Skills!E27=TRUE,Inputs!$B$33,0)))*(1-IF(AND(ArtifactsInput!$M$27,Inputs!$B$4="Chapter Hunt"),CHOOSE(ArtifactsInput!$N$27+1,20,24,28,32,36,40),0)/100)),0)</f>
        <v/>
      </c>
      <c r="R2783" t="n">
        <v>0</v>
      </c>
      <c r="S2783" t="n">
        <v>0</v>
      </c>
      <c r="U2783" t="n">
        <v>0</v>
      </c>
    </row>
    <row r="2785">
      <c r="A2785" t="inlineStr">
        <is>
          <t>Average Buff Multiplier</t>
        </is>
      </c>
      <c r="B2785">
        <f>(1+(IF(C2759=TRUE,F2759*IF(AND(Inputs!$B$39&lt;&gt;"pvp",Inputs!$B$44&gt;0),(((R2759-1)*(Skills!S3*(1+((Inputs!$B$35+(ArtifactsInput!$M$7-ArtifactsInput!$M$7)*CHOOSE(ArtifactsInput!$N$7+1,6,7.2,8.4,9.6,10.8,12))+IF(Inputs!$B$3&gt;=117,F2782,0))/100))+MIN((Skills!S3*(1+((Inputs!$B$35+(ArtifactsInput!$M$7-ArtifactsInput!$M$7)*CHOOSE(ArtifactsInput!$N$7+1,6,7.2,8.4,9.6,10.8,12))+IF(Inputs!$B$3&gt;=117,F2782,0))/100)),MAX(0,Inputs!$B$44-((R2759-1)*Skills!D3))))/Inputs!$B$44),IF(Inputs!$B$39="pvp",MIN((Skills!S3*(1+((Inputs!$B$35+(ArtifactsInput!$M$7-ArtifactsInput!$M$7)*CHOOSE(ArtifactsInput!$N$7+1,6,7.2,8.4,9.6,10.8,12))+IF(Inputs!$B$3&gt;=117,F2782,0))/100)),15)/15,(Skills!S3*(1+((Inputs!$B$35+(ArtifactsInput!$M$7-ArtifactsInput!$M$7)*CHOOSE(ArtifactsInput!$N$7+1,6,7.2,8.4,9.6,10.8,12))+IF(Inputs!$B$3&gt;=117,F2782,0))/100))/Skills!D3)),0)+IF(C2760=TRUE,F2760*IF(AND(Inputs!$B$39&lt;&gt;"pvp",Inputs!$B$44&gt;0),(((R2760-1)*(Skills!S4*(1+((Inputs!$B$35+(ArtifactsInput!$M$7-ArtifactsInput!$M$7)*CHOOSE(ArtifactsInput!$N$7+1,6,7.2,8.4,9.6,10.8,12))+IF(Inputs!$B$3&gt;=117,F2782,0))/100))+MIN((Skills!S4*(1+((Inputs!$B$35+(ArtifactsInput!$M$7-ArtifactsInput!$M$7)*CHOOSE(ArtifactsInput!$N$7+1,6,7.2,8.4,9.6,10.8,12))+IF(Inputs!$B$3&gt;=117,F2782,0))/100)),MAX(0,Inputs!$B$44-((R2760-1)*Skills!D4))))/Inputs!$B$44),IF(Inputs!$B$39="pvp",MIN((Skills!S4*(1+((Inputs!$B$35+(ArtifactsInput!$M$7-ArtifactsInput!$M$7)*CHOOSE(ArtifactsInput!$N$7+1,6,7.2,8.4,9.6,10.8,12))+IF(Inputs!$B$3&gt;=117,F2782,0))/100)),15)/15,(Skills!S4*(1+((Inputs!$B$35+(ArtifactsInput!$M$7-ArtifactsInput!$M$7)*CHOOSE(ArtifactsInput!$N$7+1,6,7.2,8.4,9.6,10.8,12))+IF(Inputs!$B$3&gt;=117,F2782,0))/100))/Skills!D4)),0)+IF(C2761=TRUE,F2761*IF(AND(Inputs!$B$39&lt;&gt;"pvp",Inputs!$B$44&gt;0),(((R2761-1)*(Skills!S5*(1+((Inputs!$B$35+(ArtifactsInput!$M$7-ArtifactsInput!$M$7)*CHOOSE(ArtifactsInput!$N$7+1,6,7.2,8.4,9.6,10.8,12))+IF(Inputs!$B$3&gt;=117,F2782,0))/100))+MIN((Skills!S5*(1+((Inputs!$B$35+(ArtifactsInput!$M$7-ArtifactsInput!$M$7)*CHOOSE(ArtifactsInput!$N$7+1,6,7.2,8.4,9.6,10.8,12))+IF(Inputs!$B$3&gt;=117,F2782,0))/100)),MAX(0,Inputs!$B$44-((R2761-1)*Skills!D5))))/Inputs!$B$44),IF(Inputs!$B$39="pvp",MIN((Skills!S5*(1+((Inputs!$B$35+(ArtifactsInput!$M$7-ArtifactsInput!$M$7)*CHOOSE(ArtifactsInput!$N$7+1,6,7.2,8.4,9.6,10.8,12))+IF(Inputs!$B$3&gt;=117,F2782,0))/100)),15)/15,(Skills!S5*(1+((Inputs!$B$35+(ArtifactsInput!$M$7-ArtifactsInput!$M$7)*CHOOSE(ArtifactsInput!$N$7+1,6,7.2,8.4,9.6,10.8,12))+IF(Inputs!$B$3&gt;=117,F2782,0))/100))/Skills!D5)),0)+IF(C2767=TRUE,F2767*IF(AND(Inputs!$B$39&lt;&gt;"pvp",Inputs!$B$44&gt;0),(((R2767-1)*(Skills!S11*(1+((Inputs!$B$35+(ArtifactsInput!$M$7-ArtifactsInput!$M$7)*CHOOSE(ArtifactsInput!$N$7+1,6,7.2,8.4,9.6,10.8,12))+IF(Inputs!$B$3&gt;=117,F2782,0))/100))+MIN((Skills!S11*(1+((Inputs!$B$35+(ArtifactsInput!$M$7-ArtifactsInput!$M$7)*CHOOSE(ArtifactsInput!$N$7+1,6,7.2,8.4,9.6,10.8,12))+IF(Inputs!$B$3&gt;=117,F2782,0))/100)),MAX(0,Inputs!$B$44-((R2767-1)*Skills!D11))))/Inputs!$B$44),IF(Inputs!$B$39="pvp",MIN((Skills!S11*(1+((Inputs!$B$35+(ArtifactsInput!$M$7-ArtifactsInput!$M$7)*CHOOSE(ArtifactsInput!$N$7+1,6,7.2,8.4,9.6,10.8,12))+IF(Inputs!$B$3&gt;=117,F2782,0))/100)),15)/15,(Skills!S11*(1+((Inputs!$B$35+(ArtifactsInput!$M$7-ArtifactsInput!$M$7)*CHOOSE(ArtifactsInput!$N$7+1,6,7.2,8.4,9.6,10.8,12))+IF(Inputs!$B$3&gt;=117,F2782,0)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2770=TRUE,(1+F2770*IF(AND(Inputs!$B$39&lt;&gt;"pvp",Inputs!$B$44&gt;0),(((R2770-1)*(Skills!S14*(1+((Inputs!$B$35+(ArtifactsInput!$M$7-ArtifactsInput!$M$7)*CHOOSE(ArtifactsInput!$N$7+1,6,7.2,8.4,9.6,10.8,12))+IF(Inputs!$B$3&gt;=117,F2782,0))/100))+MIN((Skills!S14*(1+((Inputs!$B$35+(ArtifactsInput!$M$7-ArtifactsInput!$M$7)*CHOOSE(ArtifactsInput!$N$7+1,6,7.2,8.4,9.6,10.8,12))+IF(Inputs!$B$3&gt;=117,F2782,0))/100)),MAX(0,Inputs!$B$44-((R2770-1)*Skills!D14))))/Inputs!$B$44),IF(Inputs!$B$39="pvp",MIN((Skills!S14*(1+((Inputs!$B$35+(ArtifactsInput!$M$7-ArtifactsInput!$M$7)*CHOOSE(ArtifactsInput!$N$7+1,6,7.2,8.4,9.6,10.8,12))+IF(Inputs!$B$3&gt;=117,F2782,0))/100)),15)/15,(Skills!S14*(1+((Inputs!$B$35+(ArtifactsInput!$M$7-ArtifactsInput!$M$7)*CHOOSE(ArtifactsInput!$N$7+1,6,7.2,8.4,9.6,10.8,12))+IF(Inputs!$B$3&gt;=117,F2782,0))/100))/Skills!D14))/100),1)*IF(C2775=TRUE,(1+F2775*IF(AND(Inputs!$B$39&lt;&gt;"pvp",Inputs!$B$44&gt;0),(((R2775-1)*(Skills!S19*(1+((Inputs!$B$35+(ArtifactsInput!$M$7-ArtifactsInput!$M$7)*CHOOSE(ArtifactsInput!$N$7+1,6,7.2,8.4,9.6,10.8,12))+IF(Inputs!$B$3&gt;=117,F2782,0))/100))+MIN((Skills!S19*(1+((Inputs!$B$35+(ArtifactsInput!$M$7-ArtifactsInput!$M$7)*CHOOSE(ArtifactsInput!$N$7+1,6,7.2,8.4,9.6,10.8,12))+IF(Inputs!$B$3&gt;=117,F2782,0))/100)),MAX(0,Inputs!$B$44-((R2775-1)*Skills!D19))))/Inputs!$B$44),IF(Inputs!$B$39="pvp",MIN((Skills!S19*(1+((Inputs!$B$35+(ArtifactsInput!$M$7-ArtifactsInput!$M$7)*CHOOSE(ArtifactsInput!$N$7+1,6,7.2,8.4,9.6,10.8,12))+IF(Inputs!$B$3&gt;=117,F2782,0))/100)),15)/15,(Skills!S19*(1+((Inputs!$B$35+(ArtifactsInput!$M$7-ArtifactsInput!$M$7)*CHOOSE(ArtifactsInput!$N$7+1,6,7.2,8.4,9.6,10.8,12))+IF(Inputs!$B$3&gt;=117,F2782,0))/100))/Skills!D19))/100),1)</f>
        <v/>
      </c>
    </row>
    <row r="2786">
      <c r="A2786" t="inlineStr">
        <is>
          <t>Monster Damage Taken Bonus % (Holy Fountain)</t>
        </is>
      </c>
      <c r="B2786">
        <f>IF(Inputs!$B$3&gt;=68,20*IF(Inputs!$B$39="pvp",MIN((15*(1+((Inputs!$B$35+(ArtifactsInput!$M$7-ArtifactsInput!$M$7)*CHOOSE(ArtifactsInput!$N$7+1,6,7.2,8.4,9.6,10.8,12))+IF(Inputs!$B$3&gt;=117,F2782,0))/100)),15)/15,(15*(1+((Inputs!$B$35+(ArtifactsInput!$M$7-ArtifactsInput!$M$7)*CHOOSE(ArtifactsInput!$N$7+1,6,7.2,8.4,9.6,10.8,12))+IF(Inputs!$B$3&gt;=117,F2782,0))/100))/Skills!D10),0)</f>
        <v/>
      </c>
    </row>
    <row r="2787">
      <c r="A2787" t="inlineStr">
        <is>
          <t>Normal Monster Damage Bonus % (Holy Symbol)</t>
        </is>
      </c>
      <c r="B2787">
        <f>IF(C2768=TRUE,F2768*IF(AND(Inputs!$B$39&lt;&gt;"pvp",Inputs!$B$44&gt;0),(((R2768-1)*(Skills!S12*(1+((Inputs!$B$35+(ArtifactsInput!$M$7-ArtifactsInput!$M$7)*CHOOSE(ArtifactsInput!$N$7+1,6,7.2,8.4,9.6,10.8,12))+IF(Inputs!$B$3&gt;=117,F2782,0))/100))+MIN((Skills!S12*(1+((Inputs!$B$35+(ArtifactsInput!$M$7-ArtifactsInput!$M$7)*CHOOSE(ArtifactsInput!$N$7+1,6,7.2,8.4,9.6,10.8,12))+IF(Inputs!$B$3&gt;=117,F2782,0))/100)),MAX(0,Inputs!$B$44-((R2768-1)*Skills!D12))))/Inputs!$B$44),IF(Inputs!$B$39="pvp",MIN((Skills!S12*(1+((Inputs!$B$35+(ArtifactsInput!$M$7-ArtifactsInput!$M$7)*CHOOSE(ArtifactsInput!$N$7+1,6,7.2,8.4,9.6,10.8,12))+IF(Inputs!$B$3&gt;=117,F2782,0))/100)),15)/15,(Skills!S12*(1+((Inputs!$B$35+(ArtifactsInput!$M$7-ArtifactsInput!$M$7)*CHOOSE(ArtifactsInput!$N$7+1,6,7.2,8.4,9.6,10.8,12))+IF(Inputs!$B$3&gt;=117,F2782,0))/100))/Skills!D12)),0)</f>
        <v/>
      </c>
    </row>
    <row r="2788">
      <c r="A2788" t="inlineStr">
        <is>
          <t>Damage % Bonus (Holy Symbol - Damage Boost)</t>
        </is>
      </c>
      <c r="B2788">
        <f>Skills!O12</f>
        <v/>
      </c>
    </row>
    <row r="2789">
      <c r="A2789" t="inlineStr">
        <is>
          <t>Crit Damage % Bonus (Blood of the Divine)</t>
        </is>
      </c>
      <c r="B2789">
        <f>4*IF(C2776=TRUE,F2776,0)</f>
        <v/>
      </c>
    </row>
    <row r="2790">
      <c r="A2790" t="inlineStr">
        <is>
          <t>Attack Speed Bonus %</t>
        </is>
      </c>
      <c r="B2790">
        <f>IF(C2773=TRUE,F2773+(F2777-Calc!F21),0)+IF(Inputs!$B$3&gt;=134,15,0)</f>
        <v/>
      </c>
    </row>
    <row r="2791">
      <c r="A2791" t="inlineStr">
        <is>
          <t>Actions Per Second</t>
        </is>
      </c>
      <c r="B2791">
        <f>1+MIN(150,150*(1-(1-Inputs!$B$12/150)*(1-B2790/150)))/100</f>
        <v/>
      </c>
    </row>
    <row r="2792">
      <c r="A2792" t="inlineStr">
        <is>
          <t>Skill + Buff Cast Rate</t>
        </is>
      </c>
      <c r="B2792">
        <f>IF(AND(Inputs!$B$39&lt;&gt;"pvp",Inputs!$B$44&gt;0),SUMPRODUCT((Skills!E2:E27=TRUE)*(C2758:C2783=TRUE)*R2758:R2783)/Inputs!$B$44,SUMPRODUCT((Skills!E2:E27=TRUE)*(C2758:C2783=TRUE)*Q2758:Q2783))</f>
        <v/>
      </c>
    </row>
    <row r="2793">
      <c r="A2793" t="inlineStr">
        <is>
          <t>Big Bang Casts Per Second</t>
        </is>
      </c>
      <c r="B2793">
        <f>MAX(0,B2791-B2792)</f>
        <v/>
      </c>
    </row>
    <row r="2794">
      <c r="A2794" t="inlineStr">
        <is>
          <t>Defense % Bonus (Divine Protection)</t>
        </is>
      </c>
      <c r="B2794">
        <f>IF(C2769=TRUE,F2769*IF(AND(Inputs!$B$39&lt;&gt;"pvp",Inputs!$B$44&gt;0),(((R2769-1)*(Skills!S13*(1+((Inputs!$B$35+(ArtifactsInput!$M$7-ArtifactsInput!$M$7)*CHOOSE(ArtifactsInput!$N$7+1,6,7.2,8.4,9.6,10.8,12))+IF(Inputs!$B$3&gt;=117,F2782,0))/100))+MIN((Skills!S13*(1+((Inputs!$B$35+(ArtifactsInput!$M$7-ArtifactsInput!$M$7)*CHOOSE(ArtifactsInput!$N$7+1,6,7.2,8.4,9.6,10.8,12))+IF(Inputs!$B$3&gt;=117,F2782,0))/100)),MAX(0,Inputs!$B$44-((R2769-1)*Skills!D13))))/Inputs!$B$44),IF(Inputs!$B$39="pvp",MIN((Skills!S13*(1+((Inputs!$B$35+(ArtifactsInput!$M$7-ArtifactsInput!$M$7)*CHOOSE(ArtifactsInput!$N$7+1,6,7.2,8.4,9.6,10.8,12))+IF(Inputs!$B$3&gt;=117,F2782,0))/100)),15)/15,(Skills!S13*(1+((Inputs!$B$35+(ArtifactsInput!$M$7-ArtifactsInput!$M$7)*CHOOSE(ArtifactsInput!$N$7+1,6,7.2,8.4,9.6,10.8,12))+IF(Inputs!$B$3&gt;=117,F2782,0))/100))/Skills!D13)),0)</f>
        <v/>
      </c>
    </row>
    <row r="2795">
      <c r="A2795" t="inlineStr">
        <is>
          <t>Buff-Casting Startup Delay (s, fixed-duration only)</t>
        </is>
      </c>
      <c r="B2795">
        <f>IF(AND(Inputs!$B$39&lt;&gt;"pvp",Inputs!$B$44&gt;0),SUMPRODUCT((Skills!S2:S27&gt;0)*(Skills!E2:E27=TRUE)*(C2758:C2783=TRUE))/B2791,0)</f>
        <v/>
      </c>
    </row>
    <row r="2796">
      <c r="A2796" t="inlineStr">
        <is>
          <t>Boss-Only Total DPS (this block's swept value)</t>
        </is>
      </c>
      <c r="B2796">
        <f>SUM(S2758:S2783)</f>
        <v/>
      </c>
    </row>
    <row r="2797">
      <c r="A2797" t="inlineStr">
        <is>
          <t>Normal-Only Total DPS (this block's swept value)</t>
        </is>
      </c>
      <c r="B2797">
        <f>SUM(U2758:U2783)</f>
        <v/>
      </c>
    </row>
    <row r="2798">
      <c r="A2798" s="6" t="inlineStr">
        <is>
          <t>TOTAL DPS</t>
        </is>
      </c>
      <c r="B2798" s="6">
        <f>SUM(O2758:O2783)</f>
        <v/>
      </c>
    </row>
    <row r="2800">
      <c r="A2800" s="6" t="inlineStr">
        <is>
          <t>Stat: Ring of Cycles (Equip)</t>
        </is>
      </c>
    </row>
    <row r="2801">
      <c r="A2801" s="5" t="inlineStr">
        <is>
          <t>Key</t>
        </is>
      </c>
      <c r="B2801" s="5" t="inlineStr">
        <is>
          <t>Name</t>
        </is>
      </c>
      <c r="C2801" s="5" t="inlineStr">
        <is>
          <t>Unlocked</t>
        </is>
      </c>
      <c r="D2801" s="5" t="inlineStr">
        <is>
          <t>InputLevel</t>
        </is>
      </c>
      <c r="E2801" s="5" t="inlineStr">
        <is>
          <t>Factor</t>
        </is>
      </c>
      <c r="F2801" s="5" t="inlineStr">
        <is>
          <t>CoefficientPercent</t>
        </is>
      </c>
      <c r="G2801" s="5" t="inlineStr">
        <is>
          <t>EffectiveHits</t>
        </is>
      </c>
      <c r="H2801" s="5" t="inlineStr">
        <is>
          <t>ProcProbability</t>
        </is>
      </c>
      <c r="I2801" s="5" t="inlineStr">
        <is>
          <t>MapleHeroMultiplier</t>
        </is>
      </c>
      <c r="J2801" s="5" t="inlineStr">
        <is>
          <t>BaseDamage</t>
        </is>
      </c>
      <c r="K2801" s="5" t="inlineStr">
        <is>
          <t>BaseHitDamage</t>
        </is>
      </c>
      <c r="L2801" s="5" t="inlineStr">
        <is>
          <t>NonCritAvg</t>
        </is>
      </c>
      <c r="M2801" s="5" t="inlineStr">
        <is>
          <t>CritAvg</t>
        </is>
      </c>
      <c r="N2801" s="5" t="inlineStr">
        <is>
          <t>ExpectedDamage(perHit)</t>
        </is>
      </c>
      <c r="O2801" s="5" t="inlineStr">
        <is>
          <t>DPS</t>
        </is>
      </c>
      <c r="P2801" s="5" t="inlineStr">
        <is>
          <t>% of Total</t>
        </is>
      </c>
      <c r="R2801" t="inlineStr">
        <is>
          <t>helpers</t>
        </is>
      </c>
    </row>
    <row r="2802">
      <c r="A2802">
        <f>Skills!A2</f>
        <v/>
      </c>
      <c r="B2802">
        <f>Skills!B2</f>
        <v/>
      </c>
      <c r="C2802">
        <f>Inputs!$B$3&gt;=100</f>
        <v/>
      </c>
      <c r="D2802" t="inlineStr"/>
      <c r="E2802" t="inlineStr"/>
      <c r="F2802">
        <f>T2804+Skills!N2</f>
        <v/>
      </c>
      <c r="G2802">
        <f>Calc!G2</f>
        <v/>
      </c>
      <c r="H2802">
        <f>Calc!H2</f>
        <v/>
      </c>
      <c r="I2802">
        <f>IF(Skills!T2&lt;&gt;"",1+(Skills!T2/10)*($Z$3/1000)/100,1)</f>
        <v/>
      </c>
      <c r="J2802">
        <f>((Inputs!$B$6*(1+Inputs!$B$7/100))+(((Inputs!$B$13*(1+Inputs!$B$14/100))-(Inputs!$B$13*(1+Inputs!$B$14/100)))+0.25*(Inputs!$B$15-Inputs!$B$15))*(1+Inputs!$B$7/100))*(F2802/100)</f>
        <v/>
      </c>
      <c r="K2802">
        <f>J2802*(1+(((Inputs!$B$13+IF(Inputs!$B$3&gt;=35,(10*INDEX(FactorTable!$B$2:$Y$301,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2="TRIUMPH_FEATHER",IF(C2816=TRUE,F2816,0),0)/100)*(1+IF(C2827=TRUE,F2827,0)/100)^5*(1+(IF(Skills!A2="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2802)</f>
        <v/>
      </c>
      <c r="L2802">
        <f>K2802*(MIN(Inputs!$B$23+(F2822-Calc!F22),(Inputs!$B$24+IF(ArtifactsInput!$M$15,CHOOSE(ArtifactsInput!$N$15+1,25,30,35,40,45,50)/100*(Inputs!$B$12-Inputs!$B$12),0)))/100+(Inputs!$B$24+IF(ArtifactsInput!$M$15,CHOOSE(ArtifactsInput!$N$15+1,25,30,35,40,45,50)/100*(Inputs!$B$12-Inputs!$B$12),0))/100)/2</f>
        <v/>
      </c>
      <c r="M2802">
        <f>L2802*(1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2">
        <f>L2802*(1-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2802*(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2">
        <f>(1-Summary!$B$11)*S2802+Summary!$B$11*U2802</f>
        <v/>
      </c>
      <c r="P2802">
        <f>IF(B2842=0,0,O2802/B2842)</f>
        <v/>
      </c>
      <c r="Q2802">
        <f>IFERROR(1/(IF(Inputs!$B$39="pvp",15,MAX(0.1,Skills!D2-IF(Skills!E2=TRUE,Inputs!$B$33,0)))*(1-IF(AND(ArtifactsInput!$M$27,Inputs!$B$4="Chapter Hunt"),CHOOSE(ArtifactsInput!$N$27+1,20,24,28,32,36,40),0)/100)),0)</f>
        <v/>
      </c>
      <c r="R2802" t="n">
        <v>0</v>
      </c>
      <c r="S2802">
        <f>IF(C2802,(Skills!F2*N2802*B2837)*IF(Inputs!$B$39="pvp",1,1+(Inputs!$B$21+Skills!O2+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2802*(1-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2802*(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2802*(1-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2802*(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02">
        <f>MAX(0,(Inputs!$B$3-100)*3)+Inputs!$B$29+Inputs!$B$30</f>
        <v/>
      </c>
      <c r="U2802">
        <f>IF(C2802,(Skills!F2*N2802*B2837)*IF(Inputs!$B$39="pvp",1,(1+(Inputs!$B$22+Skills!P2+B2831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3">
      <c r="A2803">
        <f>Skills!A3</f>
        <v/>
      </c>
      <c r="B2803">
        <f>Skills!B3</f>
        <v/>
      </c>
      <c r="C2803">
        <f>Inputs!$B$3&gt;=15</f>
        <v/>
      </c>
      <c r="D2803">
        <f>IF(Skills!C3=1,60+Inputs!$B$26+Inputs!$B$30,IF(Skills!C3=2,90+Inputs!$B$27+Inputs!$B$30,IF(Skills!C3=3,120+Inputs!$B$28+Inputs!$B$30,MAX(0,(Inputs!$B$3-100)*3)+Inputs!$B$29+Inputs!$B$30)))</f>
        <v/>
      </c>
      <c r="E2803">
        <f>INDEX(FactorTable!$B$2:$Y$301, MATCH(ROUND(MIN(300,MAX(1,D2803)),0), FactorTable!$A$2:$A$301,0), Skills!L3+1)</f>
        <v/>
      </c>
      <c r="F2803">
        <f>IF(Skills!M3=TRUE,(Skills!K3/10)*(E2803/1000),Skills!K3/10)+Skills!N3</f>
        <v/>
      </c>
      <c r="G2803">
        <f>Calc!G3</f>
        <v/>
      </c>
      <c r="H2803">
        <f>Calc!H3</f>
        <v/>
      </c>
      <c r="I2803">
        <f>IF(Skills!T3&lt;&gt;"",1+(Skills!T3/10)*($Z$3/1000)/100,1)</f>
        <v/>
      </c>
      <c r="J2803" t="inlineStr"/>
      <c r="K2803" t="inlineStr"/>
      <c r="L2803" t="inlineStr"/>
      <c r="M2803" t="inlineStr"/>
      <c r="N2803" t="inlineStr"/>
      <c r="O2803">
        <f>(1-Summary!$B$11)*S2803+Summary!$B$11*U2803</f>
        <v/>
      </c>
      <c r="P2803">
        <f>IF(B2842=0,0,O2803/B2842)</f>
        <v/>
      </c>
      <c r="Q2803">
        <f>IFERROR(1/(IF(Inputs!$B$39="pvp",15,MAX(0.1,Skills!D3-IF(Skills!E3=TRUE,Inputs!$B$33,0)))*(1-IF(AND(ArtifactsInput!$M$27,Inputs!$B$4="Chapter Hunt"),CHOOSE(ArtifactsInput!$N$27+1,20,24,28,32,36,40),0)/100)),0)</f>
        <v/>
      </c>
      <c r="R2803">
        <f>IF(AND(Inputs!$B$39&lt;&gt;"pvp",Inputs!$B$44&gt;0),IF(Inputs!$B$44&lt;=0,0,(INT(Inputs!$B$44/(IF(Inputs!$B$39="pvp",15,MAX(0.1,Skills!D3-IF(Skills!E3=TRUE,Inputs!$B$33,0)))*(1-IF(AND(ArtifactsInput!$M$27,Inputs!$B$4="Chapter Hunt"),CHOOSE(ArtifactsInput!$N$27+1,20,24,28,32,36,40),0)/100)))+1)),0)</f>
        <v/>
      </c>
      <c r="S2803" t="n">
        <v>0</v>
      </c>
      <c r="T2803">
        <f>INDEX(FactorTable!$B$2:$Y$301, MATCH(ROUND(MIN(300,MAX(1,T2802)),0), FactorTable!$A$2:$A$301,0), 22)</f>
        <v/>
      </c>
      <c r="U2803" t="n">
        <v>0</v>
      </c>
    </row>
    <row r="2804">
      <c r="A2804">
        <f>Skills!A4</f>
        <v/>
      </c>
      <c r="B2804">
        <f>Skills!B4</f>
        <v/>
      </c>
      <c r="C2804">
        <f>Inputs!$B$3&gt;=38</f>
        <v/>
      </c>
      <c r="D2804">
        <f>IF(Skills!C4=1,60+Inputs!$B$26+Inputs!$B$30,IF(Skills!C4=2,90+Inputs!$B$27+Inputs!$B$30,IF(Skills!C4=3,120+Inputs!$B$28+Inputs!$B$30,MAX(0,(Inputs!$B$3-100)*3)+Inputs!$B$29+Inputs!$B$30)))</f>
        <v/>
      </c>
      <c r="E2804">
        <f>INDEX(FactorTable!$B$2:$Y$301, MATCH(ROUND(MIN(300,MAX(1,D2804)),0), FactorTable!$A$2:$A$301,0), Skills!L4+1)</f>
        <v/>
      </c>
      <c r="F2804">
        <f>IF(Skills!M4=TRUE,(Skills!K4/10)*(E2804/1000),Skills!K4/10)+Skills!N4</f>
        <v/>
      </c>
      <c r="G2804">
        <f>Calc!G4</f>
        <v/>
      </c>
      <c r="H2804">
        <f>Calc!H4</f>
        <v/>
      </c>
      <c r="I2804">
        <f>IF(Skills!T4&lt;&gt;"",1+(Skills!T4/10)*($Z$3/1000)/100,1)</f>
        <v/>
      </c>
      <c r="J2804" t="inlineStr"/>
      <c r="K2804" t="inlineStr"/>
      <c r="L2804" t="inlineStr"/>
      <c r="M2804" t="inlineStr"/>
      <c r="N2804" t="inlineStr"/>
      <c r="O2804">
        <f>(1-Summary!$B$11)*S2804+Summary!$B$11*U2804</f>
        <v/>
      </c>
      <c r="P2804">
        <f>IF(B2842=0,0,O2804/B2842)</f>
        <v/>
      </c>
      <c r="Q2804">
        <f>IFERROR(1/(IF(Inputs!$B$39="pvp",15,MAX(0.1,Skills!D4-IF(Skills!E4=TRUE,Inputs!$B$33,0)))*(1-IF(AND(ArtifactsInput!$M$27,Inputs!$B$4="Chapter Hunt"),CHOOSE(ArtifactsInput!$N$27+1,20,24,28,32,36,40),0)/100)),0)</f>
        <v/>
      </c>
      <c r="R2804">
        <f>IF(AND(Inputs!$B$39&lt;&gt;"pvp",Inputs!$B$44&gt;0),IF(Inputs!$B$44&lt;=0,0,(INT(Inputs!$B$44/(IF(Inputs!$B$39="pvp",15,MAX(0.1,Skills!D4-IF(Skills!E4=TRUE,Inputs!$B$33,0)))*(1-IF(AND(ArtifactsInput!$M$27,Inputs!$B$4="Chapter Hunt"),CHOOSE(ArtifactsInput!$N$27+1,20,24,28,32,36,40),0)/100)))+1)),0)</f>
        <v/>
      </c>
      <c r="S2804" t="n">
        <v>0</v>
      </c>
      <c r="T2804">
        <f>290*T2803/1000</f>
        <v/>
      </c>
      <c r="U2804" t="n">
        <v>0</v>
      </c>
    </row>
    <row r="2805">
      <c r="A2805">
        <f>Skills!A5</f>
        <v/>
      </c>
      <c r="B2805">
        <f>Skills!B5</f>
        <v/>
      </c>
      <c r="C2805">
        <f>Inputs!$B$3&gt;=40</f>
        <v/>
      </c>
      <c r="D2805">
        <f>IF(Skills!C5=1,60+Inputs!$B$26+Inputs!$B$30,IF(Skills!C5=2,90+Inputs!$B$27+Inputs!$B$30,IF(Skills!C5=3,120+Inputs!$B$28+Inputs!$B$30,MAX(0,(Inputs!$B$3-100)*3)+Inputs!$B$29+Inputs!$B$30)))</f>
        <v/>
      </c>
      <c r="E2805">
        <f>INDEX(FactorTable!$B$2:$Y$301, MATCH(ROUND(MIN(300,MAX(1,D2805)),0), FactorTable!$A$2:$A$301,0), Skills!L5+1)</f>
        <v/>
      </c>
      <c r="F2805">
        <f>IF(Skills!M5=TRUE,(Skills!K5/10)*(E2805/1000),Skills!K5/10)+Skills!N5</f>
        <v/>
      </c>
      <c r="G2805">
        <f>Calc!G5</f>
        <v/>
      </c>
      <c r="H2805">
        <f>Calc!H5</f>
        <v/>
      </c>
      <c r="I2805">
        <f>IF(Skills!T5&lt;&gt;"",1+(Skills!T5/10)*($Z$3/1000)/100,1)</f>
        <v/>
      </c>
      <c r="J2805" t="inlineStr"/>
      <c r="K2805" t="inlineStr"/>
      <c r="L2805" t="inlineStr"/>
      <c r="M2805" t="inlineStr"/>
      <c r="N2805" t="inlineStr"/>
      <c r="O2805">
        <f>(1-Summary!$B$11)*S2805+Summary!$B$11*U2805</f>
        <v/>
      </c>
      <c r="P2805">
        <f>IF(B2842=0,0,O2805/B2842)</f>
        <v/>
      </c>
      <c r="Q2805">
        <f>IFERROR(1/(IF(Inputs!$B$39="pvp",15,MAX(0.1,Skills!D5-IF(Skills!E5=TRUE,Inputs!$B$33,0)))*(1-IF(AND(ArtifactsInput!$M$27,Inputs!$B$4="Chapter Hunt"),CHOOSE(ArtifactsInput!$N$27+1,20,24,28,32,36,40),0)/100)),0)</f>
        <v/>
      </c>
      <c r="R2805">
        <f>IF(AND(Inputs!$B$39&lt;&gt;"pvp",Inputs!$B$44&gt;0),IF(Inputs!$B$44&lt;=0,0,(INT(Inputs!$B$44/(IF(Inputs!$B$39="pvp",15,MAX(0.1,Skills!D5-IF(Skills!E5=TRUE,Inputs!$B$33,0)))*(1-IF(AND(ArtifactsInput!$M$27,Inputs!$B$4="Chapter Hunt"),CHOOSE(ArtifactsInput!$N$27+1,20,24,28,32,36,40),0)/100)))+1)),0)</f>
        <v/>
      </c>
      <c r="S2805" t="n">
        <v>0</v>
      </c>
      <c r="U2805" t="n">
        <v>0</v>
      </c>
    </row>
    <row r="2806">
      <c r="A2806">
        <f>Skills!A6</f>
        <v/>
      </c>
      <c r="B2806">
        <f>Skills!B6</f>
        <v/>
      </c>
      <c r="C2806">
        <f>Inputs!$B$3&gt;=103</f>
        <v/>
      </c>
      <c r="D2806">
        <f>IF(Skills!C6=1,60+Inputs!$B$26+Inputs!$B$30,IF(Skills!C6=2,90+Inputs!$B$27+Inputs!$B$30,IF(Skills!C6=3,120+Inputs!$B$28+Inputs!$B$30,MAX(0,(Inputs!$B$3-100)*3)+Inputs!$B$29+Inputs!$B$30)))</f>
        <v/>
      </c>
      <c r="E2806">
        <f>INDEX(FactorTable!$B$2:$Y$301, MATCH(ROUND(MIN(300,MAX(1,D2806)),0), FactorTable!$A$2:$A$301,0), Skills!L6+1)</f>
        <v/>
      </c>
      <c r="F2806">
        <f>IF(Skills!M6=TRUE,(Skills!K6/10)*(E2806/1000),Skills!K6/10)+Skills!N6</f>
        <v/>
      </c>
      <c r="G2806">
        <f>Calc!G6</f>
        <v/>
      </c>
      <c r="H2806">
        <f>Calc!H6</f>
        <v/>
      </c>
      <c r="I2806">
        <f>IF(Skills!T6&lt;&gt;"",1+(Skills!T6/10)*($Z$3/1000)/100,1)</f>
        <v/>
      </c>
      <c r="J2806">
        <f>((Inputs!$B$6*(1+Inputs!$B$7/100))+(((Inputs!$B$13*(1+Inputs!$B$14/100))-(Inputs!$B$13*(1+Inputs!$B$14/100)))+0.25*(Inputs!$B$15-Inputs!$B$15))*(1+Inputs!$B$7/100))*(F2806/100)</f>
        <v/>
      </c>
      <c r="K2806">
        <f>J2806*(1+(((Inputs!$B$13+IF(Inputs!$B$3&gt;=35,(10*INDEX(FactorTable!$B$2:$Y$301,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6="TRIUMPH_FEATHER",IF(C2816=TRUE,F2816,0),0)/100)*(1+IF(C2827=TRUE,F2827,0)/100)^5*(1+(IF(Skills!A6="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2806)</f>
        <v/>
      </c>
      <c r="L2806">
        <f>K2806*(MIN(Inputs!$B$23+(F2822-Calc!F22),(Inputs!$B$24+IF(ArtifactsInput!$M$15,CHOOSE(ArtifactsInput!$N$15+1,25,30,35,40,45,50)/100*(Inputs!$B$12-Inputs!$B$12),0)))/100+(Inputs!$B$24+IF(ArtifactsInput!$M$15,CHOOSE(ArtifactsInput!$N$15+1,25,30,35,40,45,50)/100*(Inputs!$B$12-Inputs!$B$12),0))/100)/2</f>
        <v/>
      </c>
      <c r="M2806">
        <f>L2806*(1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6">
        <f>L2806*(1-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2806*(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6">
        <f>(1-Summary!$B$11)*S2806+Summary!$B$11*U2806</f>
        <v/>
      </c>
      <c r="P2806">
        <f>IF(B2842=0,0,O2806/B2842)</f>
        <v/>
      </c>
      <c r="Q2806">
        <f>IFERROR(1/(IF(Inputs!$B$39="pvp",15,MAX(0.1,Skills!D6-IF(Skills!E6=TRUE,Inputs!$B$33,0)))*(1-IF(AND(ArtifactsInput!$M$27,Inputs!$B$4="Chapter Hunt"),CHOOSE(ArtifactsInput!$N$27+1,20,24,28,32,36,40),0)/100)),0)</f>
        <v/>
      </c>
      <c r="R2806">
        <f>IF(AND(Inputs!$B$39&lt;&gt;"pvp",Inputs!$B$44&gt;0),IF(MAX(0,Inputs!$B$44-B2839)&lt;=0,0,(INT(MAX(0,Inputs!$B$44-B2839)/(IF(Inputs!$B$39="pvp",15,MAX(0.1,Skills!D6-IF(Skills!E6=TRUE,Inputs!$B$33,0)))*(1-IF(AND(ArtifactsInput!$M$27,Inputs!$B$4="Chapter Hunt"),CHOOSE(ArtifactsInput!$N$27+1,20,24,28,32,36,40),0)/100)))+1)),0)</f>
        <v/>
      </c>
      <c r="S2806">
        <f>IF(C2806,(H2806*N2806*IF(AND(Inputs!$B$39&lt;&gt;"pvp",Inputs!$B$44&gt;0),((Skills!F6*((R2806-1)*IF(Skills!G6&gt;0,Skills!H6/Skills!G6,1)+IF(Skills!G6&gt;0,MIN(Skills!H6,MAX(0,MAX(0,Inputs!$B$44-B2839)-((R2806-1)*(IF(Inputs!$B$39="pvp",15,MAX(0.1,Skills!D6-IF(Skills!E6=TRUE,Inputs!$B$33,0)))*(1-IF(AND(ArtifactsInput!$M$27,Inputs!$B$4="Chapter Hunt"),CHOOSE(ArtifactsInput!$N$27+1,20,24,28,32,36,40),0)/100)))))/Skills!G6,1)))/Inputs!$B$44),G2806*Q2806))*IF(Inputs!$B$39="pvp",1,1+(Inputs!$B$21+Skills!O6+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2806*(1-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2806*(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2806*(1-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2806*(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6">
        <f>IF(C2806,(H2806*N2806*IF(AND(Inputs!$B$39&lt;&gt;"pvp",Inputs!$B$44&gt;0),((Skills!F6*((R2806-1)*IF(Skills!G6&gt;0,Skills!H6/Skills!G6,1)+IF(Skills!G6&gt;0,MIN(Skills!H6,MAX(0,MAX(0,Inputs!$B$44-B2839)-((R2806-1)*(IF(Inputs!$B$39="pvp",15,MAX(0.1,Skills!D6-IF(Skills!E6=TRUE,Inputs!$B$33,0)))*(1-IF(AND(ArtifactsInput!$M$27,Inputs!$B$4="Chapter Hunt"),CHOOSE(ArtifactsInput!$N$27+1,20,24,28,32,36,40),0)/100)))))/Skills!G6,1)))/Inputs!$B$44),G2806*Q2806))*IF(Inputs!$B$39="pvp",1,(1+(Inputs!$B$22+Skills!P6+B2831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7">
      <c r="A2807">
        <f>Skills!A7</f>
        <v/>
      </c>
      <c r="B2807">
        <f>Skills!B7</f>
        <v/>
      </c>
      <c r="C2807">
        <f>Inputs!$B$3&gt;=122</f>
        <v/>
      </c>
      <c r="D2807">
        <f>IF(Skills!C7=1,60+Inputs!$B$26+Inputs!$B$30,IF(Skills!C7=2,90+Inputs!$B$27+Inputs!$B$30,IF(Skills!C7=3,120+Inputs!$B$28+Inputs!$B$30,MAX(0,(Inputs!$B$3-100)*3)+Inputs!$B$29+Inputs!$B$30)))</f>
        <v/>
      </c>
      <c r="E2807">
        <f>INDEX(FactorTable!$B$2:$Y$301, MATCH(ROUND(MIN(300,MAX(1,D2807)),0), FactorTable!$A$2:$A$301,0), Skills!L7+1)</f>
        <v/>
      </c>
      <c r="F2807">
        <f>IF(Skills!M7=TRUE,(Skills!K7/10)*(E2807/1000),Skills!K7/10)+Skills!N7</f>
        <v/>
      </c>
      <c r="G2807">
        <f>Calc!G7</f>
        <v/>
      </c>
      <c r="H2807">
        <f>Calc!H7</f>
        <v/>
      </c>
      <c r="I2807">
        <f>IF(Skills!T7&lt;&gt;"",1+(Skills!T7/10)*($Z$3/1000)/100,1)</f>
        <v/>
      </c>
      <c r="J2807">
        <f>((Inputs!$B$6*(1+Inputs!$B$7/100))+(((Inputs!$B$13*(1+Inputs!$B$14/100))-(Inputs!$B$13*(1+Inputs!$B$14/100)))+0.25*(Inputs!$B$15-Inputs!$B$15))*(1+Inputs!$B$7/100))*(F2807/100)</f>
        <v/>
      </c>
      <c r="K2807">
        <f>J2807*(1+(((Inputs!$B$13+IF(Inputs!$B$3&gt;=35,(10*INDEX(FactorTable!$B$2:$Y$301,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7="TRIUMPH_FEATHER",IF(C2816=TRUE,F2816,0),0)/100)*(1+IF(C2827=TRUE,F2827,0)/100)^5*(1+(IF(Skills!A7="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2807)</f>
        <v/>
      </c>
      <c r="L2807">
        <f>K2807*(MIN(Inputs!$B$23+(F2822-Calc!F22),(Inputs!$B$24+IF(ArtifactsInput!$M$15,CHOOSE(ArtifactsInput!$N$15+1,25,30,35,40,45,50)/100*(Inputs!$B$12-Inputs!$B$12),0)))/100+(Inputs!$B$24+IF(ArtifactsInput!$M$15,CHOOSE(ArtifactsInput!$N$15+1,25,30,35,40,45,50)/100*(Inputs!$B$12-Inputs!$B$12),0))/100)/2</f>
        <v/>
      </c>
      <c r="M2807">
        <f>L2807*(1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7">
        <f>L2807*(1-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2807*(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7">
        <f>(1-Summary!$B$11)*S2807+Summary!$B$11*U2807</f>
        <v/>
      </c>
      <c r="P2807">
        <f>IF(B2842=0,0,O2807/B2842)</f>
        <v/>
      </c>
      <c r="Q2807">
        <f>IFERROR(1/(IF(Inputs!$B$39="pvp",15,MAX(0.1,Skills!D7-IF(Skills!E6=TRUE,Inputs!$B$33,0)))*(1-IF(AND(ArtifactsInput!$M$27,Inputs!$B$4="Chapter Hunt"),CHOOSE(ArtifactsInput!$N$27+1,20,24,28,32,36,40),0)/100)),0)</f>
        <v/>
      </c>
      <c r="R2807">
        <f>IF(AND(Inputs!$B$39&lt;&gt;"pvp",Inputs!$B$44&gt;0),IF(MAX(0,Inputs!$B$44-B2839)&lt;=0,0,(INT(MAX(0,Inputs!$B$44-B2839)/(IF(Inputs!$B$39="pvp",15,MAX(0.1,Skills!D7-IF(Skills!E6=TRUE,Inputs!$B$33,0)))*(1-IF(AND(ArtifactsInput!$M$27,Inputs!$B$4="Chapter Hunt"),CHOOSE(ArtifactsInput!$N$27+1,20,24,28,32,36,40),0)/100)))+1)),0)</f>
        <v/>
      </c>
      <c r="S2807">
        <f>IF(C2807,H2807*N2807*IF(AND(Inputs!$B$39&lt;&gt;"pvp",Inputs!$B$44&gt;0),((Skills!F7*((R2807-1)*IF(Skills!G7&gt;0,Skills!H7/Skills!G7,1)+IF(Skills!G7&gt;0,MIN(Skills!H7,MAX(0,MAX(0,Inputs!$B$44-B2839)-((R2807-1)*(IF(Inputs!$B$39="pvp",15,MAX(0.1,Skills!D7-IF(Skills!E6=TRUE,Inputs!$B$33,0)))*(1-IF(AND(ArtifactsInput!$M$27,Inputs!$B$4="Chapter Hunt"),CHOOSE(ArtifactsInput!$N$27+1,20,24,28,32,36,40),0)/100)))))/Skills!G7,1)))/Inputs!$B$44),G2807*Q2807)*IF(Inputs!$B$39="pvp",1,1+(Inputs!$B$21+Skills!O7+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2807*(1-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2807*(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2807*(1-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2807*(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7" t="n">
        <v>0</v>
      </c>
    </row>
    <row r="2808">
      <c r="A2808">
        <f>Skills!A8</f>
        <v/>
      </c>
      <c r="B2808">
        <f>Skills!B8</f>
        <v/>
      </c>
      <c r="C2808">
        <f>Inputs!$B$3&gt;=105</f>
        <v/>
      </c>
      <c r="D2808">
        <f>IF(Skills!C8=1,60+Inputs!$B$26+Inputs!$B$30,IF(Skills!C8=2,90+Inputs!$B$27+Inputs!$B$30,IF(Skills!C8=3,120+Inputs!$B$28+Inputs!$B$30,MAX(0,(Inputs!$B$3-100)*3)+Inputs!$B$29+Inputs!$B$30)))</f>
        <v/>
      </c>
      <c r="E2808">
        <f>INDEX(FactorTable!$B$2:$Y$301, MATCH(ROUND(MIN(300,MAX(1,D2808)),0), FactorTable!$A$2:$A$301,0), Skills!L8+1)</f>
        <v/>
      </c>
      <c r="F2808">
        <f>IF(Skills!M8=TRUE,(Skills!K8/10)*(E2808/1000),Skills!K8/10)+Skills!N8</f>
        <v/>
      </c>
      <c r="G2808">
        <f>Calc!G8</f>
        <v/>
      </c>
      <c r="H2808">
        <f>Calc!H8</f>
        <v/>
      </c>
      <c r="I2808">
        <f>IF(Skills!T8&lt;&gt;"",1+(Skills!T8/10)*($Z$3/1000)/100,1)</f>
        <v/>
      </c>
      <c r="J2808">
        <f>((Inputs!$B$6*(1+Inputs!$B$7/100))+(((Inputs!$B$13*(1+Inputs!$B$14/100))-(Inputs!$B$13*(1+Inputs!$B$14/100)))+0.25*(Inputs!$B$15-Inputs!$B$15))*(1+Inputs!$B$7/100))*(F2808/100)</f>
        <v/>
      </c>
      <c r="K2808">
        <f>J2808*(1+(((Inputs!$B$13+IF(Inputs!$B$3&gt;=35,(10*INDEX(FactorTable!$B$2:$Y$301,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8="TRIUMPH_FEATHER",IF(C2816=TRUE,F2816,0),0)/100)*(1+IF(C2827=TRUE,F2827,0)/100)^5*(1+(IF(Skills!A8="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2808)</f>
        <v/>
      </c>
      <c r="L2808">
        <f>K2808*(MIN(Inputs!$B$23+(F2822-Calc!F22),(Inputs!$B$24+IF(ArtifactsInput!$M$15,CHOOSE(ArtifactsInput!$N$15+1,25,30,35,40,45,50)/100*(Inputs!$B$12-Inputs!$B$12),0)))/100+(Inputs!$B$24+IF(ArtifactsInput!$M$15,CHOOSE(ArtifactsInput!$N$15+1,25,30,35,40,45,50)/100*(Inputs!$B$12-Inputs!$B$12),0))/100)/2</f>
        <v/>
      </c>
      <c r="M2808">
        <f>L2808*(1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8">
        <f>L2808*(1-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2808*(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8">
        <f>(1-Summary!$B$11)*S2808+Summary!$B$11*U2808</f>
        <v/>
      </c>
      <c r="P2808">
        <f>IF(B2842=0,0,O2808/B2842)</f>
        <v/>
      </c>
      <c r="Q2808">
        <f>IFERROR(1/(IF(Inputs!$B$39="pvp",15,MAX(0.1,Skills!D8-IF(Skills!E8=TRUE,Inputs!$B$33,0)))*(1-IF(AND(ArtifactsInput!$M$27,Inputs!$B$4="Chapter Hunt"),CHOOSE(ArtifactsInput!$N$27+1,20,24,28,32,36,40),0)/100)),0)</f>
        <v/>
      </c>
      <c r="R2808">
        <f>IF(AND(Inputs!$B$39&lt;&gt;"pvp",Inputs!$B$44&gt;0),IF(MAX(0,Inputs!$B$44-B2839)&lt;=0,0,(INT(MAX(0,Inputs!$B$44-B2839)/(IF(Inputs!$B$39="pvp",15,MAX(0.1,Skills!D8-IF(Skills!E8=TRUE,Inputs!$B$33,0)))*(1-IF(AND(ArtifactsInput!$M$27,Inputs!$B$4="Chapter Hunt"),CHOOSE(ArtifactsInput!$N$27+1,20,24,28,32,36,40),0)/100)))+1)),0)</f>
        <v/>
      </c>
      <c r="S2808">
        <f>IF(C2808,(H2808*N2808*IF(AND(Inputs!$B$39&lt;&gt;"pvp",Inputs!$B$44&gt;0),((Skills!F8*((R2808-1)*IF(Skills!G8&gt;0,Skills!H8/Skills!G8,1)+IF(Skills!G8&gt;0,MIN(Skills!H8,MAX(0,MAX(0,Inputs!$B$44-B2839)-((R2808-1)*(IF(Inputs!$B$39="pvp",15,MAX(0.1,Skills!D8-IF(Skills!E8=TRUE,Inputs!$B$33,0)))*(1-IF(AND(ArtifactsInput!$M$27,Inputs!$B$4="Chapter Hunt"),CHOOSE(ArtifactsInput!$N$27+1,20,24,28,32,36,40),0)/100)))))/Skills!G8,1)))/Inputs!$B$44),G2808*Q2808))*IF(Inputs!$B$39="pvp",1,1+(Inputs!$B$21+Skills!O8+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2808*(1-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2808*(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2808*(1-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2808*(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8">
        <f>IF(C2808,(H2808*N2808*IF(AND(Inputs!$B$39&lt;&gt;"pvp",Inputs!$B$44&gt;0),((Skills!F8*((R2808-1)*IF(Skills!G8&gt;0,Skills!H8/Skills!G8,1)+IF(Skills!G8&gt;0,MIN(Skills!H8,MAX(0,MAX(0,Inputs!$B$44-B2839)-((R2808-1)*(IF(Inputs!$B$39="pvp",15,MAX(0.1,Skills!D8-IF(Skills!E8=TRUE,Inputs!$B$33,0)))*(1-IF(AND(ArtifactsInput!$M$27,Inputs!$B$4="Chapter Hunt"),CHOOSE(ArtifactsInput!$N$27+1,20,24,28,32,36,40),0)/100)))))/Skills!G8,1)))/Inputs!$B$44),G2808*Q2808))*IF(Inputs!$B$39="pvp",1,(1+(Inputs!$B$22+Skills!P8+B2831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9">
      <c r="A2809">
        <f>Skills!A9</f>
        <v/>
      </c>
      <c r="B2809">
        <f>Skills!B9</f>
        <v/>
      </c>
      <c r="C2809">
        <f>Inputs!$B$3&gt;=115</f>
        <v/>
      </c>
      <c r="D2809">
        <f>IF(Skills!C9=1,60+Inputs!$B$26+Inputs!$B$30,IF(Skills!C9=2,90+Inputs!$B$27+Inputs!$B$30,IF(Skills!C9=3,120+Inputs!$B$28+Inputs!$B$30,MAX(0,(Inputs!$B$3-100)*3)+Inputs!$B$29+Inputs!$B$30)))</f>
        <v/>
      </c>
      <c r="E2809">
        <f>INDEX(FactorTable!$B$2:$Y$301, MATCH(ROUND(MIN(300,MAX(1,D2809)),0), FactorTable!$A$2:$A$301,0), Skills!L9+1)</f>
        <v/>
      </c>
      <c r="F2809">
        <f>IF(Skills!M9=TRUE,(Skills!K9/10)*(E2809/1000),Skills!K9/10)+Skills!N9</f>
        <v/>
      </c>
      <c r="G2809">
        <f>Calc!G9</f>
        <v/>
      </c>
      <c r="H2809">
        <f>Calc!H9</f>
        <v/>
      </c>
      <c r="I2809">
        <f>IF(Skills!T9&lt;&gt;"",1+(Skills!T9/10)*($Z$3/1000)/100,1)</f>
        <v/>
      </c>
      <c r="J2809">
        <f>((Inputs!$B$6*(1+Inputs!$B$7/100))+(((Inputs!$B$13*(1+Inputs!$B$14/100))-(Inputs!$B$13*(1+Inputs!$B$14/100)))+0.25*(Inputs!$B$15-Inputs!$B$15))*(1+Inputs!$B$7/100))*(F2809/100)</f>
        <v/>
      </c>
      <c r="K2809">
        <f>J2809*(1+(((Inputs!$B$13+IF(Inputs!$B$3&gt;=35,(10*INDEX(FactorTable!$B$2:$Y$301,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9="TRIUMPH_FEATHER",IF(C2816=TRUE,F2816,0),0)/100)*(1+IF(C2827=TRUE,F2827,0)/100)^5*(1+(IF(Skills!A9="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2809)</f>
        <v/>
      </c>
      <c r="L2809">
        <f>K2809*(MIN(Inputs!$B$23+(F2822-Calc!F22),(Inputs!$B$24+IF(ArtifactsInput!$M$15,CHOOSE(ArtifactsInput!$N$15+1,25,30,35,40,45,50)/100*(Inputs!$B$12-Inputs!$B$12),0)))/100+(Inputs!$B$24+IF(ArtifactsInput!$M$15,CHOOSE(ArtifactsInput!$N$15+1,25,30,35,40,45,50)/100*(Inputs!$B$12-Inputs!$B$12),0))/100)/2</f>
        <v/>
      </c>
      <c r="M2809">
        <f>L2809*(1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9">
        <f>L2809*(1-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2809*(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9">
        <f>(1-Summary!$B$11)*S2809+Summary!$B$11*U2809</f>
        <v/>
      </c>
      <c r="P2809">
        <f>IF(B2842=0,0,O2809/B2842)</f>
        <v/>
      </c>
      <c r="Q2809">
        <f>IFERROR(1/(IF(Inputs!$B$39="pvp",15,MAX(0.1,Skills!D9-IF(Skills!E9=TRUE,Inputs!$B$33,0)))*(1-IF(AND(ArtifactsInput!$M$27,Inputs!$B$4="Chapter Hunt"),CHOOSE(ArtifactsInput!$N$27+1,20,24,28,32,36,40),0)/100)),0)</f>
        <v/>
      </c>
      <c r="R2809">
        <f>IF(AND(Inputs!$B$39&lt;&gt;"pvp",Inputs!$B$44&gt;0),IF(MAX(0,Inputs!$B$44-B2839)&lt;=0,0,(INT(MAX(0,Inputs!$B$44-B2839)/(IF(Inputs!$B$39="pvp",15,MAX(0.1,Skills!D9-IF(Skills!E9=TRUE,Inputs!$B$33,0)))*(1-IF(AND(ArtifactsInput!$M$27,Inputs!$B$4="Chapter Hunt"),CHOOSE(ArtifactsInput!$N$27+1,20,24,28,32,36,40),0)/100)))+1)),0)</f>
        <v/>
      </c>
      <c r="S2809">
        <f>IF(C2809,(H2809*N2809*IF(AND(Inputs!$B$39&lt;&gt;"pvp",Inputs!$B$44&gt;0),((Skills!F9*((R2809-1)*IF(Skills!G9&gt;0,Skills!H9/Skills!G9,1)+IF(Skills!G9&gt;0,MIN(Skills!H9,MAX(0,MAX(0,Inputs!$B$44-B2839)-((R2809-1)*(IF(Inputs!$B$39="pvp",15,MAX(0.1,Skills!D9-IF(Skills!E9=TRUE,Inputs!$B$33,0)))*(1-IF(AND(ArtifactsInput!$M$27,Inputs!$B$4="Chapter Hunt"),CHOOSE(ArtifactsInput!$N$27+1,20,24,28,32,36,40),0)/100)))))/Skills!G9,1)))/Inputs!$B$44),G2809*Q2809))*IF(Inputs!$B$39="pvp",1,1+(Inputs!$B$21+Skills!O9+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2809*(1-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2809*(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2809*(1-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2809*(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9">
        <f>IF(C2809,(H2809*N2809*IF(AND(Inputs!$B$39&lt;&gt;"pvp",Inputs!$B$44&gt;0),((Skills!F9*((R2809-1)*IF(Skills!G9&gt;0,Skills!H9/Skills!G9,1)+IF(Skills!G9&gt;0,MIN(Skills!H9,MAX(0,MAX(0,Inputs!$B$44-B2839)-((R2809-1)*(IF(Inputs!$B$39="pvp",15,MAX(0.1,Skills!D9-IF(Skills!E9=TRUE,Inputs!$B$33,0)))*(1-IF(AND(ArtifactsInput!$M$27,Inputs!$B$4="Chapter Hunt"),CHOOSE(ArtifactsInput!$N$27+1,20,24,28,32,36,40),0)/100)))))/Skills!G9,1)))/Inputs!$B$44),G2809*Q2809))*IF(Inputs!$B$39="pvp",1,(1+(Inputs!$B$22+Skills!P9+B2831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0">
      <c r="A2810">
        <f>Skills!A10</f>
        <v/>
      </c>
      <c r="B2810">
        <f>Skills!B10</f>
        <v/>
      </c>
      <c r="C2810">
        <f>Inputs!$B$3&gt;=66</f>
        <v/>
      </c>
      <c r="D2810">
        <f>IF(Skills!C10=1,60+Inputs!$B$26+Inputs!$B$30,IF(Skills!C10=2,90+Inputs!$B$27+Inputs!$B$30,IF(Skills!C10=3,120+Inputs!$B$28+Inputs!$B$30,MAX(0,(Inputs!$B$3-100)*3)+Inputs!$B$29+Inputs!$B$30)))</f>
        <v/>
      </c>
      <c r="E2810">
        <f>INDEX(FactorTable!$B$2:$Y$301, MATCH(ROUND(MIN(300,MAX(1,D2810)),0), FactorTable!$A$2:$A$301,0), Skills!L10+1)</f>
        <v/>
      </c>
      <c r="F2810" t="n">
        <v>0</v>
      </c>
      <c r="G2810">
        <f>Calc!G10</f>
        <v/>
      </c>
      <c r="H2810">
        <f>Calc!H10</f>
        <v/>
      </c>
      <c r="I2810">
        <f>IF(Skills!T10&lt;&gt;"",1+(Skills!T10/10)*($Z$3/1000)/100,1)</f>
        <v/>
      </c>
      <c r="J2810" t="inlineStr"/>
      <c r="K2810" t="inlineStr"/>
      <c r="L2810" t="inlineStr"/>
      <c r="M2810" t="inlineStr"/>
      <c r="N2810" t="inlineStr"/>
      <c r="O2810">
        <f>(1-Summary!$B$11)*S2810+Summary!$B$11*U2810</f>
        <v/>
      </c>
      <c r="P2810">
        <f>IF(B2842=0,0,O2810/B2842)</f>
        <v/>
      </c>
      <c r="Q2810">
        <f>IFERROR(1/(IF(Inputs!$B$39="pvp",15,MAX(0.1,Skills!D10-IF(Skills!E10=TRUE,Inputs!$B$33,0)))*(1-IF(AND(ArtifactsInput!$M$27,Inputs!$B$4="Chapter Hunt"),CHOOSE(ArtifactsInput!$N$27+1,20,24,28,32,36,40),0)/100)),0)</f>
        <v/>
      </c>
      <c r="R2810">
        <f>IF(AND(Inputs!$B$39&lt;&gt;"pvp",Inputs!$B$44&gt;0),IF(MAX(0,Inputs!$B$44-B2839)&lt;=0,0,(INT(MAX(0,Inputs!$B$44-B2839)/(IF(Inputs!$B$39="pvp",15,MAX(0.1,Skills!D10-IF(Skills!E10=TRUE,Inputs!$B$33,0)))*(1-IF(AND(ArtifactsInput!$M$27,Inputs!$B$4="Chapter Hunt"),CHOOSE(ArtifactsInput!$N$27+1,20,24,28,32,36,40),0)/100)))+1)),0)</f>
        <v/>
      </c>
      <c r="S2810" t="n">
        <v>0</v>
      </c>
      <c r="U2810" t="n">
        <v>0</v>
      </c>
    </row>
    <row r="2811">
      <c r="A2811">
        <f>Skills!A11</f>
        <v/>
      </c>
      <c r="B2811">
        <f>Skills!B11</f>
        <v/>
      </c>
      <c r="C2811">
        <f>Inputs!$B$3&gt;=69</f>
        <v/>
      </c>
      <c r="D2811">
        <f>IF(Skills!C11=1,60+Inputs!$B$26+Inputs!$B$30,IF(Skills!C11=2,90+Inputs!$B$27+Inputs!$B$30,IF(Skills!C11=3,120+Inputs!$B$28+Inputs!$B$30,MAX(0,(Inputs!$B$3-100)*3)+Inputs!$B$29+Inputs!$B$30)))</f>
        <v/>
      </c>
      <c r="E2811">
        <f>INDEX(FactorTable!$B$2:$Y$301, MATCH(ROUND(MIN(300,MAX(1,D2811)),0), FactorTable!$A$2:$A$301,0), Skills!L11+1)</f>
        <v/>
      </c>
      <c r="F2811">
        <f>IF(Skills!M11=TRUE,(Skills!K11/10)*(E2811/1000),Skills!K11/10)+Skills!N11</f>
        <v/>
      </c>
      <c r="G2811">
        <f>Calc!G11</f>
        <v/>
      </c>
      <c r="H2811">
        <f>Calc!H11</f>
        <v/>
      </c>
      <c r="I2811">
        <f>IF(Skills!T11&lt;&gt;"",1+(Skills!T11/10)*($Z$3/1000)/100,1)</f>
        <v/>
      </c>
      <c r="J2811" t="inlineStr"/>
      <c r="K2811" t="inlineStr"/>
      <c r="L2811" t="inlineStr"/>
      <c r="M2811" t="inlineStr"/>
      <c r="N2811" t="inlineStr"/>
      <c r="O2811">
        <f>(1-Summary!$B$11)*S2811+Summary!$B$11*U2811</f>
        <v/>
      </c>
      <c r="P2811">
        <f>IF(B2842=0,0,O2811/B2842)</f>
        <v/>
      </c>
      <c r="Q2811">
        <f>IFERROR(1/(IF(Inputs!$B$39="pvp",15,MAX(0.1,Skills!D11-IF(Skills!E11=TRUE,Inputs!$B$33,0)))*(1-IF(AND(ArtifactsInput!$M$27,Inputs!$B$4="Chapter Hunt"),CHOOSE(ArtifactsInput!$N$27+1,20,24,28,32,36,40),0)/100)),0)</f>
        <v/>
      </c>
      <c r="R2811">
        <f>IF(AND(Inputs!$B$39&lt;&gt;"pvp",Inputs!$B$44&gt;0),IF(Inputs!$B$44&lt;=0,0,(INT(Inputs!$B$44/(IF(Inputs!$B$39="pvp",15,MAX(0.1,Skills!D11-IF(Skills!E11=TRUE,Inputs!$B$33,0)))*(1-IF(AND(ArtifactsInput!$M$27,Inputs!$B$4="Chapter Hunt"),CHOOSE(ArtifactsInput!$N$27+1,20,24,28,32,36,40),0)/100)))+1)),0)</f>
        <v/>
      </c>
      <c r="S2811" t="n">
        <v>0</v>
      </c>
      <c r="U2811" t="n">
        <v>0</v>
      </c>
    </row>
    <row r="2812">
      <c r="A2812">
        <f>Skills!A12</f>
        <v/>
      </c>
      <c r="B2812">
        <f>Skills!B12</f>
        <v/>
      </c>
      <c r="C2812">
        <f>Inputs!$B$3&gt;=72</f>
        <v/>
      </c>
      <c r="D2812">
        <f>IF(Skills!C12=1,60+Inputs!$B$26+Inputs!$B$30,IF(Skills!C12=2,90+Inputs!$B$27+Inputs!$B$30,IF(Skills!C12=3,120+Inputs!$B$28+Inputs!$B$30,MAX(0,(Inputs!$B$3-100)*3)+Inputs!$B$29+Inputs!$B$30)))</f>
        <v/>
      </c>
      <c r="E2812">
        <f>INDEX(FactorTable!$B$2:$Y$301, MATCH(ROUND(MIN(300,MAX(1,D2812)),0), FactorTable!$A$2:$A$301,0), Skills!L12+1)</f>
        <v/>
      </c>
      <c r="F2812">
        <f>IF(Skills!M12=TRUE,(Skills!K12/10)*(E2812/1000),Skills!K12/10)+Skills!N12</f>
        <v/>
      </c>
      <c r="G2812">
        <f>Calc!G12</f>
        <v/>
      </c>
      <c r="H2812">
        <f>Calc!H12</f>
        <v/>
      </c>
      <c r="I2812">
        <f>IF(Skills!T12&lt;&gt;"",1+(Skills!T12/10)*($Z$3/1000)/100,1)</f>
        <v/>
      </c>
      <c r="J2812" t="inlineStr"/>
      <c r="K2812" t="inlineStr"/>
      <c r="L2812" t="inlineStr"/>
      <c r="M2812" t="inlineStr"/>
      <c r="N2812" t="inlineStr"/>
      <c r="O2812">
        <f>(1-Summary!$B$11)*S2812+Summary!$B$11*U2812</f>
        <v/>
      </c>
      <c r="P2812">
        <f>IF(B2842=0,0,O2812/B2842)</f>
        <v/>
      </c>
      <c r="Q2812">
        <f>IFERROR(1/(IF(Inputs!$B$39="pvp",15,MAX(0.1,Skills!D12-IF(Skills!E12=TRUE,Inputs!$B$33,0)))*(1-IF(AND(ArtifactsInput!$M$27,Inputs!$B$4="Chapter Hunt"),CHOOSE(ArtifactsInput!$N$27+1,20,24,28,32,36,40),0)/100)),0)</f>
        <v/>
      </c>
      <c r="R2812">
        <f>IF(AND(Inputs!$B$39&lt;&gt;"pvp",Inputs!$B$44&gt;0),IF(MAX(0,Inputs!$B$44-B2839)&lt;=0,0,(INT(MAX(0,Inputs!$B$44-B2839)/(IF(Inputs!$B$39="pvp",15,MAX(0.1,Skills!D12-IF(Skills!E12=TRUE,Inputs!$B$33,0)))*(1-IF(AND(ArtifactsInput!$M$27,Inputs!$B$4="Chapter Hunt"),CHOOSE(ArtifactsInput!$N$27+1,20,24,28,32,36,40),0)/100)))+1)),0)</f>
        <v/>
      </c>
      <c r="S2812" t="n">
        <v>0</v>
      </c>
      <c r="U2812" t="n">
        <v>0</v>
      </c>
    </row>
    <row r="2813">
      <c r="A2813">
        <f>Skills!A13</f>
        <v/>
      </c>
      <c r="B2813">
        <f>Skills!B13</f>
        <v/>
      </c>
      <c r="C2813">
        <f>Inputs!$B$3&gt;=60</f>
        <v/>
      </c>
      <c r="D2813">
        <f>IF(Skills!C13=1,60+Inputs!$B$26+Inputs!$B$30,IF(Skills!C13=2,90+Inputs!$B$27+Inputs!$B$30,IF(Skills!C13=3,120+Inputs!$B$28+Inputs!$B$30,MAX(0,(Inputs!$B$3-100)*3)+Inputs!$B$29+Inputs!$B$30)))</f>
        <v/>
      </c>
      <c r="E2813">
        <f>INDEX(FactorTable!$B$2:$Y$301, MATCH(ROUND(MIN(300,MAX(1,D2813)),0), FactorTable!$A$2:$A$301,0), Skills!L13+1)</f>
        <v/>
      </c>
      <c r="F2813">
        <f>IF(Skills!M13=TRUE,(Skills!K13/10)*(E2813/1000),Skills!K13/10)+Skills!N13</f>
        <v/>
      </c>
      <c r="G2813">
        <f>Calc!G13</f>
        <v/>
      </c>
      <c r="H2813">
        <f>Calc!H13</f>
        <v/>
      </c>
      <c r="I2813">
        <f>IF(Skills!T13&lt;&gt;"",1+(Skills!T13/10)*($Z$3/1000)/100,1)</f>
        <v/>
      </c>
      <c r="J2813" t="inlineStr"/>
      <c r="K2813" t="inlineStr"/>
      <c r="L2813" t="inlineStr"/>
      <c r="M2813" t="inlineStr"/>
      <c r="N2813" t="inlineStr"/>
      <c r="O2813">
        <f>(1-Summary!$B$11)*S2813+Summary!$B$11*U2813</f>
        <v/>
      </c>
      <c r="P2813">
        <f>IF(B2842=0,0,O2813/B2842)</f>
        <v/>
      </c>
      <c r="Q2813">
        <f>IFERROR(1/(IF(Inputs!$B$39="pvp",15,MAX(0.1,Skills!D13-IF(Skills!E13=TRUE,Inputs!$B$33,0)))*(1-IF(AND(ArtifactsInput!$M$27,Inputs!$B$4="Chapter Hunt"),CHOOSE(ArtifactsInput!$N$27+1,20,24,28,32,36,40),0)/100)),0)</f>
        <v/>
      </c>
      <c r="R2813">
        <f>IF(AND(Inputs!$B$39&lt;&gt;"pvp",Inputs!$B$44&gt;0),IF(MAX(0,Inputs!$B$44-B2839)&lt;=0,0,(INT(MAX(0,Inputs!$B$44-B2839)/(IF(Inputs!$B$39="pvp",15,MAX(0.1,Skills!D13-IF(Skills!E13=TRUE,Inputs!$B$33,0)))*(1-IF(AND(ArtifactsInput!$M$27,Inputs!$B$4="Chapter Hunt"),CHOOSE(ArtifactsInput!$N$27+1,20,24,28,32,36,40),0)/100)))+1)),0)</f>
        <v/>
      </c>
      <c r="S2813" t="n">
        <v>0</v>
      </c>
      <c r="U2813" t="n">
        <v>0</v>
      </c>
    </row>
    <row r="2814">
      <c r="A2814">
        <f>Skills!A14</f>
        <v/>
      </c>
      <c r="B2814">
        <f>Skills!B14</f>
        <v/>
      </c>
      <c r="C2814">
        <f>Inputs!$B$3&gt;=107</f>
        <v/>
      </c>
      <c r="D2814">
        <f>IF(Skills!C14=1,60+Inputs!$B$26+Inputs!$B$30,IF(Skills!C14=2,90+Inputs!$B$27+Inputs!$B$30,IF(Skills!C14=3,120+Inputs!$B$28+Inputs!$B$30,MAX(0,(Inputs!$B$3-100)*3)+Inputs!$B$29+Inputs!$B$30)))</f>
        <v/>
      </c>
      <c r="E2814">
        <f>INDEX(FactorTable!$B$2:$Y$301, MATCH(ROUND(MIN(300,MAX(1,D2814)),0), FactorTable!$A$2:$A$301,0), Skills!L14+1)</f>
        <v/>
      </c>
      <c r="F2814">
        <f>IF(Skills!M14=TRUE,(Skills!K14/10)*(E2814/1000),Skills!K14/10)+Skills!N14</f>
        <v/>
      </c>
      <c r="G2814">
        <f>Calc!G14</f>
        <v/>
      </c>
      <c r="H2814">
        <f>Calc!H14</f>
        <v/>
      </c>
      <c r="I2814">
        <f>IF(Skills!T14&lt;&gt;"",1+(Skills!T14/10)*($Z$3/1000)/100,1)</f>
        <v/>
      </c>
      <c r="J2814" t="inlineStr"/>
      <c r="K2814" t="inlineStr"/>
      <c r="L2814" t="inlineStr"/>
      <c r="M2814" t="inlineStr"/>
      <c r="N2814" t="inlineStr"/>
      <c r="O2814">
        <f>(1-Summary!$B$11)*S2814+Summary!$B$11*U2814</f>
        <v/>
      </c>
      <c r="P2814">
        <f>IF(B2842=0,0,O2814/B2842)</f>
        <v/>
      </c>
      <c r="Q2814">
        <f>IFERROR(1/(IF(Inputs!$B$39="pvp",15,MAX(0.1,Skills!D14-IF(Skills!E14=TRUE,Inputs!$B$33,0)))*(1-IF(AND(ArtifactsInput!$M$27,Inputs!$B$4="Chapter Hunt"),CHOOSE(ArtifactsInput!$N$27+1,20,24,28,32,36,40),0)/100)),0)</f>
        <v/>
      </c>
      <c r="R2814">
        <f>IF(AND(Inputs!$B$39&lt;&gt;"pvp",Inputs!$B$44&gt;0),IF(Inputs!$B$44&lt;=0,0,(INT(Inputs!$B$44/(IF(Inputs!$B$39="pvp",15,MAX(0.1,Skills!D14-IF(Skills!E14=TRUE,Inputs!$B$33,0)))*(1-IF(AND(ArtifactsInput!$M$27,Inputs!$B$4="Chapter Hunt"),CHOOSE(ArtifactsInput!$N$27+1,20,24,28,32,36,40),0)/100)))+1)),0)</f>
        <v/>
      </c>
      <c r="S2814" t="n">
        <v>0</v>
      </c>
      <c r="U2814" t="n">
        <v>0</v>
      </c>
    </row>
    <row r="2815">
      <c r="A2815">
        <f>Skills!A15</f>
        <v/>
      </c>
      <c r="B2815">
        <f>Skills!B15</f>
        <v/>
      </c>
      <c r="C2815">
        <f>Inputs!$B$3&gt;=63</f>
        <v/>
      </c>
      <c r="D2815">
        <f>IF(Skills!C15=1,60+Inputs!$B$26+Inputs!$B$30,IF(Skills!C15=2,90+Inputs!$B$27+Inputs!$B$30,IF(Skills!C15=3,120+Inputs!$B$28+Inputs!$B$30,MAX(0,(Inputs!$B$3-100)*3)+Inputs!$B$29+Inputs!$B$30)))</f>
        <v/>
      </c>
      <c r="E2815">
        <f>INDEX(FactorTable!$B$2:$Y$301, MATCH(ROUND(MIN(300,MAX(1,D2815)),0), FactorTable!$A$2:$A$301,0), Skills!L15+1)</f>
        <v/>
      </c>
      <c r="F2815">
        <f>IF(Skills!M15=TRUE,(Skills!K15/10)*(E2815/1000),Skills!K15/10)+Skills!N15</f>
        <v/>
      </c>
      <c r="G2815">
        <f>Calc!G15</f>
        <v/>
      </c>
      <c r="H2815">
        <f>Calc!H15</f>
        <v/>
      </c>
      <c r="I2815">
        <f>IF(Skills!T15&lt;&gt;"",1+(Skills!T15/10)*($Z$3/1000)/100,1)</f>
        <v/>
      </c>
      <c r="J2815">
        <f>((Inputs!$B$6*(1+Inputs!$B$7/100))+(((Inputs!$B$13*(1+Inputs!$B$14/100))-(Inputs!$B$13*(1+Inputs!$B$14/100)))+0.25*(Inputs!$B$15-Inputs!$B$15))*(1+Inputs!$B$7/100))*(F2815/100)</f>
        <v/>
      </c>
      <c r="K2815">
        <f>J2815*(1+(((Inputs!$B$13+IF(Inputs!$B$3&gt;=35,(10*INDEX(FactorTable!$B$2:$Y$301,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15="TRIUMPH_FEATHER",IF(C2816=TRUE,F2816,0),0)/100)*(1+IF(C2827=TRUE,F2827,0)/100)^5*(1+(IF(Skills!A15="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2815)</f>
        <v/>
      </c>
      <c r="L2815">
        <f>K2815*(MIN(Inputs!$B$23+(F2822-Calc!F22),(Inputs!$B$24+IF(ArtifactsInput!$M$15,CHOOSE(ArtifactsInput!$N$15+1,25,30,35,40,45,50)/100*(Inputs!$B$12-Inputs!$B$12),0)))/100+(Inputs!$B$24+IF(ArtifactsInput!$M$15,CHOOSE(ArtifactsInput!$N$15+1,25,30,35,40,45,50)/100*(Inputs!$B$12-Inputs!$B$12),0))/100)/2</f>
        <v/>
      </c>
      <c r="M2815">
        <f>L2815*(1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5">
        <f>L2815*(1-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2815*(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5">
        <f>(1-Summary!$B$11)*S2815+Summary!$B$11*U2815</f>
        <v/>
      </c>
      <c r="P2815">
        <f>IF(B2842=0,0,O2815/B2842)</f>
        <v/>
      </c>
      <c r="Q2815">
        <f>IFERROR(1/(IF(Inputs!$B$39="pvp",15,MAX(0.1,Skills!D15-IF(Skills!E15=TRUE,Inputs!$B$33,0)))*(1-IF(AND(ArtifactsInput!$M$27,Inputs!$B$4="Chapter Hunt"),CHOOSE(ArtifactsInput!$N$27+1,20,24,28,32,36,40),0)/100)),0)</f>
        <v/>
      </c>
      <c r="R2815" t="n">
        <v>0</v>
      </c>
      <c r="S2815">
        <f>IF(C2815,(Skills!F15*N2815*((IF(Inputs!$B$3&gt;=78,25,15)/100*B2835*10)/(1+IF(Inputs!$B$3&gt;=78,25,15)/100*B2835*10))*(Skills!I15/100*B2835)/(1+Skills!G15*Skills!I15/100*B2835))*IF(Inputs!$B$39="pvp",1,1+(Inputs!$B$21+Skills!O15+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2815*(1-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2815*(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2815*(1-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2815*(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5">
        <f>IF(C2815,(Skills!F15*N2815*((IF(Inputs!$B$3&gt;=78,25,15)/100*B2835*10)/(1+IF(Inputs!$B$3&gt;=78,25,15)/100*B2835*10))*(Skills!I15/100*B2835)/(1+Skills!G15*Skills!I15/100*B2835))*IF(Inputs!$B$39="pvp",1,(1+(Inputs!$B$22+Skills!P15+B2831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6">
      <c r="A2816">
        <f>Skills!A16</f>
        <v/>
      </c>
      <c r="B2816">
        <f>Skills!B16</f>
        <v/>
      </c>
      <c r="C2816">
        <f>Inputs!$B$3&gt;=100</f>
        <v/>
      </c>
      <c r="D2816">
        <f>IF(Skills!C16=1,60+Inputs!$B$26+Inputs!$B$30,IF(Skills!C16=2,90+Inputs!$B$27+Inputs!$B$30,IF(Skills!C16=3,120+Inputs!$B$28+Inputs!$B$30,MAX(0,(Inputs!$B$3-100)*3)+Inputs!$B$29+Inputs!$B$30)))</f>
        <v/>
      </c>
      <c r="E2816">
        <f>INDEX(FactorTable!$B$2:$Y$301, MATCH(ROUND(MIN(300,MAX(1,D2816)),0), FactorTable!$A$2:$A$301,0), Skills!L16+1)</f>
        <v/>
      </c>
      <c r="F2816">
        <f>IF(Skills!M16=TRUE,(Skills!K16/10)*(E2816/1000),Skills!K16/10)+Skills!N16</f>
        <v/>
      </c>
      <c r="G2816">
        <f>Calc!G16</f>
        <v/>
      </c>
      <c r="H2816">
        <f>Calc!H16</f>
        <v/>
      </c>
      <c r="I2816">
        <f>IF(Skills!T16&lt;&gt;"",1+(Skills!T16/10)*($Z$3/1000)/100,1)</f>
        <v/>
      </c>
      <c r="J2816" t="inlineStr"/>
      <c r="K2816" t="inlineStr"/>
      <c r="L2816" t="inlineStr"/>
      <c r="M2816" t="inlineStr"/>
      <c r="N2816" t="inlineStr"/>
      <c r="O2816">
        <f>(1-Summary!$B$11)*S2816+Summary!$B$11*U2816</f>
        <v/>
      </c>
      <c r="P2816">
        <f>IF(B2842=0,0,O2816/B2842)</f>
        <v/>
      </c>
      <c r="Q2816">
        <f>IFERROR(1/(IF(Inputs!$B$39="pvp",15,MAX(0.1,Skills!D16-IF(Skills!E16=TRUE,Inputs!$B$33,0)))*(1-IF(AND(ArtifactsInput!$M$27,Inputs!$B$4="Chapter Hunt"),CHOOSE(ArtifactsInput!$N$27+1,20,24,28,32,36,40),0)/100)),0)</f>
        <v/>
      </c>
      <c r="R2816" t="n">
        <v>0</v>
      </c>
      <c r="S2816" t="n">
        <v>0</v>
      </c>
      <c r="U2816" t="n">
        <v>0</v>
      </c>
    </row>
    <row r="2817">
      <c r="A2817">
        <f>Skills!A17</f>
        <v/>
      </c>
      <c r="B2817">
        <f>Skills!B17</f>
        <v/>
      </c>
      <c r="C2817">
        <f>Inputs!$B$3&gt;=49</f>
        <v/>
      </c>
      <c r="D2817">
        <f>IF(Skills!C17=1,60+Inputs!$B$26+Inputs!$B$30,IF(Skills!C17=2,90+Inputs!$B$27+Inputs!$B$30,IF(Skills!C17=3,120+Inputs!$B$28+Inputs!$B$30,MAX(0,(Inputs!$B$3-100)*3)+Inputs!$B$29+Inputs!$B$30)))</f>
        <v/>
      </c>
      <c r="E2817">
        <f>INDEX(FactorTable!$B$2:$Y$301, MATCH(ROUND(MIN(300,MAX(1,D2817)),0), FactorTable!$A$2:$A$301,0), Skills!L17+1)</f>
        <v/>
      </c>
      <c r="F2817">
        <f>IF(Skills!M17=TRUE,(Skills!K17/10)*(E2817/1000),Skills!K17/10)+Skills!N17</f>
        <v/>
      </c>
      <c r="G2817">
        <f>Calc!G17</f>
        <v/>
      </c>
      <c r="H2817">
        <f>Calc!H17</f>
        <v/>
      </c>
      <c r="I2817">
        <f>IF(Skills!T17&lt;&gt;"",1+(Skills!T17/10)*($Z$3/1000)/100,1)</f>
        <v/>
      </c>
      <c r="J2817" t="inlineStr"/>
      <c r="K2817" t="inlineStr"/>
      <c r="L2817" t="inlineStr"/>
      <c r="M2817" t="inlineStr"/>
      <c r="N2817" t="inlineStr"/>
      <c r="O2817">
        <f>(1-Summary!$B$11)*S2817+Summary!$B$11*U2817</f>
        <v/>
      </c>
      <c r="P2817">
        <f>IF(B2842=0,0,O2817/B2842)</f>
        <v/>
      </c>
      <c r="Q2817">
        <f>IFERROR(1/(IF(Inputs!$B$39="pvp",15,MAX(0.1,Skills!D17-IF(Skills!E17=TRUE,Inputs!$B$33,0)))*(1-IF(AND(ArtifactsInput!$M$27,Inputs!$B$4="Chapter Hunt"),CHOOSE(ArtifactsInput!$N$27+1,20,24,28,32,36,40),0)/100)),0)</f>
        <v/>
      </c>
      <c r="R2817" t="n">
        <v>0</v>
      </c>
      <c r="S2817" t="n">
        <v>0</v>
      </c>
      <c r="U2817" t="n">
        <v>0</v>
      </c>
    </row>
    <row r="2818">
      <c r="A2818">
        <f>Skills!A18</f>
        <v/>
      </c>
      <c r="B2818">
        <f>Skills!B18</f>
        <v/>
      </c>
      <c r="C2818">
        <f>Inputs!$B$3&gt;=75</f>
        <v/>
      </c>
      <c r="D2818">
        <f>IF(Skills!C18=1,60+Inputs!$B$26+Inputs!$B$30,IF(Skills!C18=2,90+Inputs!$B$27+Inputs!$B$30,IF(Skills!C18=3,120+Inputs!$B$28+Inputs!$B$30,MAX(0,(Inputs!$B$3-100)*3)+Inputs!$B$29+Inputs!$B$30)))</f>
        <v/>
      </c>
      <c r="E2818">
        <f>INDEX(FactorTable!$B$2:$Y$301, MATCH(ROUND(MIN(300,MAX(1,D2818)),0), FactorTable!$A$2:$A$301,0), Skills!L18+1)</f>
        <v/>
      </c>
      <c r="F2818">
        <f>IF(Skills!M18=TRUE,(Skills!K18/10)*(E2818/1000),Skills!K18/10)+Skills!N18</f>
        <v/>
      </c>
      <c r="G2818">
        <f>Calc!G18</f>
        <v/>
      </c>
      <c r="H2818">
        <f>Calc!H18</f>
        <v/>
      </c>
      <c r="I2818">
        <f>IF(Skills!T18&lt;&gt;"",1+(Skills!T18/10)*($Z$3/1000)/100,1)</f>
        <v/>
      </c>
      <c r="J2818" t="inlineStr"/>
      <c r="K2818" t="inlineStr"/>
      <c r="L2818" t="inlineStr"/>
      <c r="M2818" t="inlineStr"/>
      <c r="N2818" t="inlineStr"/>
      <c r="O2818">
        <f>(1-Summary!$B$11)*S2818+Summary!$B$11*U2818</f>
        <v/>
      </c>
      <c r="P2818">
        <f>IF(B2842=0,0,O2818/B2842)</f>
        <v/>
      </c>
      <c r="Q2818">
        <f>IFERROR(1/(IF(Inputs!$B$39="pvp",15,MAX(0.1,Skills!D18-IF(Skills!E18=TRUE,Inputs!$B$33,0)))*(1-IF(AND(ArtifactsInput!$M$27,Inputs!$B$4="Chapter Hunt"),CHOOSE(ArtifactsInput!$N$27+1,20,24,28,32,36,40),0)/100)),0)</f>
        <v/>
      </c>
      <c r="R2818" t="n">
        <v>0</v>
      </c>
      <c r="S2818" t="n">
        <v>0</v>
      </c>
      <c r="U2818" t="n">
        <v>0</v>
      </c>
    </row>
    <row r="2819">
      <c r="A2819">
        <f>Skills!A19</f>
        <v/>
      </c>
      <c r="B2819">
        <f>Skills!B19</f>
        <v/>
      </c>
      <c r="C2819">
        <f>Inputs!$B$3&gt;=110</f>
        <v/>
      </c>
      <c r="D2819">
        <f>IF(Skills!C19=1,60+Inputs!$B$26+Inputs!$B$30,IF(Skills!C19=2,90+Inputs!$B$27+Inputs!$B$30,IF(Skills!C19=3,120+Inputs!$B$28+Inputs!$B$30,MAX(0,(Inputs!$B$3-100)*3)+Inputs!$B$29+Inputs!$B$30)))</f>
        <v/>
      </c>
      <c r="E2819">
        <f>INDEX(FactorTable!$B$2:$Y$301, MATCH(ROUND(MIN(300,MAX(1,D2819)),0), FactorTable!$A$2:$A$301,0), Skills!L19+1)</f>
        <v/>
      </c>
      <c r="F2819">
        <f>(Skills!K19/10)*(E2819/1000)*64/45+Skills!N19</f>
        <v/>
      </c>
      <c r="G2819">
        <f>Calc!G19</f>
        <v/>
      </c>
      <c r="H2819">
        <f>Calc!H19</f>
        <v/>
      </c>
      <c r="I2819">
        <f>IF(Skills!T19&lt;&gt;"",1+(Skills!T19/10)*($Z$3/1000)/100,1)</f>
        <v/>
      </c>
      <c r="J2819" t="inlineStr"/>
      <c r="K2819" t="inlineStr"/>
      <c r="L2819" t="inlineStr"/>
      <c r="M2819" t="inlineStr"/>
      <c r="N2819" t="inlineStr"/>
      <c r="O2819">
        <f>(1-Summary!$B$11)*S2819+Summary!$B$11*U2819</f>
        <v/>
      </c>
      <c r="P2819">
        <f>IF(B2842=0,0,O2819/B2842)</f>
        <v/>
      </c>
      <c r="Q2819">
        <f>IFERROR(1/(IF(Inputs!$B$39="pvp",15,MAX(0.1,Skills!D19-IF(Skills!E19=TRUE,Inputs!$B$33,0)))*(1-IF(AND(ArtifactsInput!$M$27,Inputs!$B$4="Chapter Hunt"),CHOOSE(ArtifactsInput!$N$27+1,20,24,28,32,36,40),0)/100)),0)</f>
        <v/>
      </c>
      <c r="R2819">
        <f>IF(AND(Inputs!$B$39&lt;&gt;"pvp",Inputs!$B$44&gt;0),IF(Inputs!$B$44&lt;=0,0,(INT(Inputs!$B$44/(IF(Inputs!$B$39="pvp",15,MAX(0.1,Skills!D19-IF(Skills!E19=TRUE,Inputs!$B$33,0)))*(1-IF(AND(ArtifactsInput!$M$27,Inputs!$B$4="Chapter Hunt"),CHOOSE(ArtifactsInput!$N$27+1,20,24,28,32,36,40),0)/100)))+1)),0)</f>
        <v/>
      </c>
      <c r="S2819" t="n">
        <v>0</v>
      </c>
      <c r="U2819" t="n">
        <v>0</v>
      </c>
    </row>
    <row r="2820">
      <c r="A2820">
        <f>Skills!A20</f>
        <v/>
      </c>
      <c r="B2820">
        <f>Skills!B20</f>
        <v/>
      </c>
      <c r="C2820">
        <f>Inputs!$B$3&gt;=125</f>
        <v/>
      </c>
      <c r="D2820">
        <f>IF(Skills!C20=1,60+Inputs!$B$26+Inputs!$B$30,IF(Skills!C20=2,90+Inputs!$B$27+Inputs!$B$30,IF(Skills!C20=3,120+Inputs!$B$28+Inputs!$B$30,MAX(0,(Inputs!$B$3-100)*3)+Inputs!$B$29+Inputs!$B$30)))</f>
        <v/>
      </c>
      <c r="E2820">
        <f>INDEX(FactorTable!$B$2:$Y$301, MATCH(ROUND(MIN(300,MAX(1,D2820)),0), FactorTable!$A$2:$A$301,0), Skills!L20+1)</f>
        <v/>
      </c>
      <c r="F2820">
        <f>IF(Skills!M20=TRUE,(Skills!K20/10)*(E2820/1000),Skills!K20/10)+Skills!N20</f>
        <v/>
      </c>
      <c r="G2820">
        <f>Calc!G20</f>
        <v/>
      </c>
      <c r="H2820">
        <f>Calc!H20</f>
        <v/>
      </c>
      <c r="I2820">
        <f>IF(Skills!T20&lt;&gt;"",1+(Skills!T20/10)*($Z$3/1000)/100,1)</f>
        <v/>
      </c>
      <c r="J2820" t="inlineStr"/>
      <c r="K2820" t="inlineStr"/>
      <c r="L2820" t="inlineStr"/>
      <c r="M2820" t="inlineStr"/>
      <c r="N2820" t="inlineStr"/>
      <c r="O2820">
        <f>(1-Summary!$B$11)*S2820+Summary!$B$11*U2820</f>
        <v/>
      </c>
      <c r="P2820">
        <f>IF(B2842=0,0,O2820/B2842)</f>
        <v/>
      </c>
      <c r="Q2820">
        <f>IFERROR(1/(IF(Inputs!$B$39="pvp",15,MAX(0.1,Skills!D20-IF(Skills!E20=TRUE,Inputs!$B$33,0)))*(1-IF(AND(ArtifactsInput!$M$27,Inputs!$B$4="Chapter Hunt"),CHOOSE(ArtifactsInput!$N$27+1,20,24,28,32,36,40),0)/100)),0)</f>
        <v/>
      </c>
      <c r="R2820" t="n">
        <v>0</v>
      </c>
      <c r="S2820" t="n">
        <v>0</v>
      </c>
      <c r="U2820" t="n">
        <v>0</v>
      </c>
    </row>
    <row r="2821">
      <c r="A2821">
        <f>Skills!A21</f>
        <v/>
      </c>
      <c r="B2821">
        <f>Skills!B21</f>
        <v/>
      </c>
      <c r="C2821">
        <f>Inputs!$B$3&gt;=33</f>
        <v/>
      </c>
      <c r="D2821">
        <f>IF(Skills!C21=1,60+Inputs!$B$26+Inputs!$B$30,IF(Skills!C21=2,90+Inputs!$B$27+Inputs!$B$30,IF(Skills!C21=3,120+Inputs!$B$28+Inputs!$B$30,MAX(0,(Inputs!$B$3-100)*3)+Inputs!$B$29+Inputs!$B$30)))</f>
        <v/>
      </c>
      <c r="E2821">
        <f>INDEX(FactorTable!$B$2:$Y$301, MATCH(ROUND(MIN(300,MAX(1,D2821)),0), FactorTable!$A$2:$A$301,0), Skills!L21+1)</f>
        <v/>
      </c>
      <c r="F2821">
        <f>IF(Skills!M21=TRUE,(Skills!K21/10)*(E2821/1000),Skills!K21/10)+Skills!N21</f>
        <v/>
      </c>
      <c r="G2821">
        <f>Calc!G21</f>
        <v/>
      </c>
      <c r="H2821">
        <f>Calc!H21</f>
        <v/>
      </c>
      <c r="I2821">
        <f>IF(Skills!T21&lt;&gt;"",1+(Skills!T21/10)*($Z$3/1000)/100,1)</f>
        <v/>
      </c>
      <c r="J2821" t="inlineStr"/>
      <c r="K2821" t="inlineStr"/>
      <c r="L2821" t="inlineStr"/>
      <c r="M2821" t="inlineStr"/>
      <c r="N2821" t="inlineStr"/>
      <c r="O2821">
        <f>(1-Summary!$B$11)*S2821+Summary!$B$11*U2821</f>
        <v/>
      </c>
      <c r="P2821">
        <f>IF(B2842=0,0,O2821/B2842)</f>
        <v/>
      </c>
      <c r="Q2821">
        <f>IFERROR(1/(IF(Inputs!$B$39="pvp",15,MAX(0.1,Skills!D21-IF(Skills!E21=TRUE,Inputs!$B$33,0)))*(1-IF(AND(ArtifactsInput!$M$27,Inputs!$B$4="Chapter Hunt"),CHOOSE(ArtifactsInput!$N$27+1,20,24,28,32,36,40),0)/100)),0)</f>
        <v/>
      </c>
      <c r="R2821" t="n">
        <v>0</v>
      </c>
      <c r="S2821" t="n">
        <v>0</v>
      </c>
      <c r="U2821" t="n">
        <v>0</v>
      </c>
    </row>
    <row r="2822">
      <c r="A2822">
        <f>Skills!A22</f>
        <v/>
      </c>
      <c r="B2822">
        <f>Skills!B22</f>
        <v/>
      </c>
      <c r="C2822">
        <f>Inputs!$B$3&gt;=43</f>
        <v/>
      </c>
      <c r="D2822">
        <f>IF(Skills!C22=1,60+Inputs!$B$26+Inputs!$B$30,IF(Skills!C22=2,90+Inputs!$B$27+Inputs!$B$30,IF(Skills!C22=3,120+Inputs!$B$28+Inputs!$B$30,MAX(0,(Inputs!$B$3-100)*3)+Inputs!$B$29+Inputs!$B$30)))</f>
        <v/>
      </c>
      <c r="E2822">
        <f>INDEX(FactorTable!$B$2:$Y$301, MATCH(ROUND(MIN(300,MAX(1,D2822)),0), FactorTable!$A$2:$A$301,0), Skills!L22+1)</f>
        <v/>
      </c>
      <c r="F2822">
        <f>IF(Skills!M22=TRUE,(Skills!K22/10)*(E2822/1000),Skills!K22/10)+Skills!N22</f>
        <v/>
      </c>
      <c r="G2822">
        <f>Calc!G22</f>
        <v/>
      </c>
      <c r="H2822">
        <f>Calc!H22</f>
        <v/>
      </c>
      <c r="I2822">
        <f>IF(Skills!T22&lt;&gt;"",1+(Skills!T22/10)*($Z$3/1000)/100,1)</f>
        <v/>
      </c>
      <c r="J2822" t="inlineStr"/>
      <c r="K2822" t="inlineStr"/>
      <c r="L2822" t="inlineStr"/>
      <c r="M2822" t="inlineStr"/>
      <c r="N2822" t="inlineStr"/>
      <c r="O2822">
        <f>(1-Summary!$B$11)*S2822+Summary!$B$11*U2822</f>
        <v/>
      </c>
      <c r="P2822">
        <f>IF(B2842=0,0,O2822/B2842)</f>
        <v/>
      </c>
      <c r="Q2822">
        <f>IFERROR(1/(IF(Inputs!$B$39="pvp",15,MAX(0.1,Skills!D22-IF(Skills!E22=TRUE,Inputs!$B$33,0)))*(1-IF(AND(ArtifactsInput!$M$27,Inputs!$B$4="Chapter Hunt"),CHOOSE(ArtifactsInput!$N$27+1,20,24,28,32,36,40),0)/100)),0)</f>
        <v/>
      </c>
      <c r="R2822" t="n">
        <v>0</v>
      </c>
      <c r="S2822" t="n">
        <v>0</v>
      </c>
      <c r="U2822" t="n">
        <v>0</v>
      </c>
    </row>
    <row r="2823">
      <c r="A2823">
        <f>Skills!A23</f>
        <v/>
      </c>
      <c r="B2823">
        <f>Skills!B23</f>
        <v/>
      </c>
      <c r="C2823">
        <f>Inputs!$B$3&gt;=50</f>
        <v/>
      </c>
      <c r="D2823">
        <f>IF(Skills!C23=1,60+Inputs!$B$26+Inputs!$B$30,IF(Skills!C23=2,90+Inputs!$B$27+Inputs!$B$30,IF(Skills!C23=3,120+Inputs!$B$28+Inputs!$B$30,MAX(0,(Inputs!$B$3-100)*3)+Inputs!$B$29+Inputs!$B$30)))</f>
        <v/>
      </c>
      <c r="E2823">
        <f>INDEX(FactorTable!$B$2:$Y$301, MATCH(ROUND(MIN(300,MAX(1,D2823)),0), FactorTable!$A$2:$A$301,0), Skills!L23+1)</f>
        <v/>
      </c>
      <c r="F2823">
        <f>IF(Skills!M23=TRUE,(Skills!K23/10)*(E2823/1000),Skills!K23/10)+Skills!N23</f>
        <v/>
      </c>
      <c r="G2823">
        <f>Calc!G23</f>
        <v/>
      </c>
      <c r="H2823">
        <f>Calc!H23</f>
        <v/>
      </c>
      <c r="I2823">
        <f>IF(Skills!T23&lt;&gt;"",1+(Skills!T23/10)*($Z$3/1000)/100,1)</f>
        <v/>
      </c>
      <c r="J2823" t="inlineStr"/>
      <c r="K2823" t="inlineStr"/>
      <c r="L2823" t="inlineStr"/>
      <c r="M2823" t="inlineStr"/>
      <c r="N2823" t="inlineStr"/>
      <c r="O2823">
        <f>(1-Summary!$B$11)*S2823+Summary!$B$11*U2823</f>
        <v/>
      </c>
      <c r="P2823">
        <f>IF(B2842=0,0,O2823/B2842)</f>
        <v/>
      </c>
      <c r="Q2823">
        <f>IFERROR(1/(IF(Inputs!$B$39="pvp",15,MAX(0.1,Skills!D23-IF(Skills!E23=TRUE,Inputs!$B$33,0)))*(1-IF(AND(ArtifactsInput!$M$27,Inputs!$B$4="Chapter Hunt"),CHOOSE(ArtifactsInput!$N$27+1,20,24,28,32,36,40),0)/100)),0)</f>
        <v/>
      </c>
      <c r="R2823" t="n">
        <v>0</v>
      </c>
      <c r="S2823" t="n">
        <v>0</v>
      </c>
      <c r="U2823" t="n">
        <v>0</v>
      </c>
    </row>
    <row r="2824">
      <c r="A2824">
        <f>Skills!A24</f>
        <v/>
      </c>
      <c r="B2824">
        <f>Skills!B24</f>
        <v/>
      </c>
      <c r="C2824">
        <f>Inputs!$B$3&gt;=74</f>
        <v/>
      </c>
      <c r="D2824">
        <f>IF(Skills!C24=1,60+Inputs!$B$26+Inputs!$B$30,IF(Skills!C24=2,90+Inputs!$B$27+Inputs!$B$30,IF(Skills!C24=3,120+Inputs!$B$28+Inputs!$B$30,MAX(0,(Inputs!$B$3-100)*3)+Inputs!$B$29+Inputs!$B$30)))</f>
        <v/>
      </c>
      <c r="E2824">
        <f>INDEX(FactorTable!$B$2:$Y$301, MATCH(ROUND(MIN(300,MAX(1,D2824)),0), FactorTable!$A$2:$A$301,0), Skills!L24+1)</f>
        <v/>
      </c>
      <c r="F2824">
        <f>IF(Skills!M24=TRUE,(Skills!K24/10)*(E2824/1000),Skills!K24/10)+Skills!N24</f>
        <v/>
      </c>
      <c r="G2824">
        <f>Calc!G24</f>
        <v/>
      </c>
      <c r="H2824">
        <f>Calc!H24</f>
        <v/>
      </c>
      <c r="I2824">
        <f>IF(Skills!T24&lt;&gt;"",1+(Skills!T24/10)*($Z$3/1000)/100,1)</f>
        <v/>
      </c>
      <c r="J2824" t="inlineStr"/>
      <c r="K2824" t="inlineStr"/>
      <c r="L2824" t="inlineStr"/>
      <c r="M2824" t="inlineStr"/>
      <c r="N2824" t="inlineStr"/>
      <c r="O2824">
        <f>(1-Summary!$B$11)*S2824+Summary!$B$11*U2824</f>
        <v/>
      </c>
      <c r="P2824">
        <f>IF(B2842=0,0,O2824/B2842)</f>
        <v/>
      </c>
      <c r="Q2824">
        <f>IFERROR(1/(IF(Inputs!$B$39="pvp",15,MAX(0.1,Skills!D24-IF(Skills!E24=TRUE,Inputs!$B$33,0)))*(1-IF(AND(ArtifactsInput!$M$27,Inputs!$B$4="Chapter Hunt"),CHOOSE(ArtifactsInput!$N$27+1,20,24,28,32,36,40),0)/100)),0)</f>
        <v/>
      </c>
      <c r="R2824" t="n">
        <v>0</v>
      </c>
      <c r="S2824" t="n">
        <v>0</v>
      </c>
      <c r="U2824" t="n">
        <v>0</v>
      </c>
    </row>
    <row r="2825">
      <c r="A2825">
        <f>Skills!A25</f>
        <v/>
      </c>
      <c r="B2825">
        <f>Skills!B25</f>
        <v/>
      </c>
      <c r="C2825">
        <f>Inputs!$B$3&gt;=74</f>
        <v/>
      </c>
      <c r="D2825">
        <f>IF(Skills!C25=1,60+Inputs!$B$26+Inputs!$B$30,IF(Skills!C25=2,90+Inputs!$B$27+Inputs!$B$30,IF(Skills!C25=3,120+Inputs!$B$28+Inputs!$B$30,MAX(0,(Inputs!$B$3-100)*3)+Inputs!$B$29+Inputs!$B$30)))</f>
        <v/>
      </c>
      <c r="E2825">
        <f>INDEX(FactorTable!$B$2:$Y$301, MATCH(ROUND(MIN(300,MAX(1,D2825)),0), FactorTable!$A$2:$A$301,0), Skills!L25+1)</f>
        <v/>
      </c>
      <c r="F2825">
        <f>IF(Skills!M25=TRUE,(Skills!K25/10)*(E2825/1000),Skills!K25/10)+Skills!N25</f>
        <v/>
      </c>
      <c r="G2825">
        <f>Calc!G25</f>
        <v/>
      </c>
      <c r="H2825">
        <f>Calc!H25</f>
        <v/>
      </c>
      <c r="I2825">
        <f>IF(Skills!T25&lt;&gt;"",1+(Skills!T25/10)*($Z$3/1000)/100,1)</f>
        <v/>
      </c>
      <c r="J2825" t="inlineStr"/>
      <c r="K2825" t="inlineStr"/>
      <c r="L2825" t="inlineStr"/>
      <c r="M2825" t="inlineStr"/>
      <c r="N2825" t="inlineStr"/>
      <c r="O2825">
        <f>(1-Summary!$B$11)*S2825+Summary!$B$11*U2825</f>
        <v/>
      </c>
      <c r="P2825">
        <f>IF(B2842=0,0,O2825/B2842)</f>
        <v/>
      </c>
      <c r="Q2825">
        <f>IFERROR(1/(IF(Inputs!$B$39="pvp",15,MAX(0.1,Skills!D25-IF(Skills!E25=TRUE,Inputs!$B$33,0)))*(1-IF(AND(ArtifactsInput!$M$27,Inputs!$B$4="Chapter Hunt"),CHOOSE(ArtifactsInput!$N$27+1,20,24,28,32,36,40),0)/100)),0)</f>
        <v/>
      </c>
      <c r="R2825" t="n">
        <v>0</v>
      </c>
      <c r="S2825" t="n">
        <v>0</v>
      </c>
      <c r="U2825" t="n">
        <v>0</v>
      </c>
    </row>
    <row r="2826">
      <c r="A2826">
        <f>Skills!A26</f>
        <v/>
      </c>
      <c r="B2826">
        <f>Skills!B26</f>
        <v/>
      </c>
      <c r="C2826">
        <f>Inputs!$B$3&gt;=117</f>
        <v/>
      </c>
      <c r="D2826">
        <f>IF(Skills!C26=1,60+Inputs!$B$26+Inputs!$B$30,IF(Skills!C26=2,90+Inputs!$B$27+Inputs!$B$30,IF(Skills!C26=3,120+Inputs!$B$28+Inputs!$B$30,MAX(0,(Inputs!$B$3-100)*3)+Inputs!$B$29+Inputs!$B$30)))</f>
        <v/>
      </c>
      <c r="E2826">
        <f>INDEX(FactorTable!$B$2:$Y$301, MATCH(ROUND(MIN(300,MAX(1,D2826)),0), FactorTable!$A$2:$A$301,0), Skills!L26+1)</f>
        <v/>
      </c>
      <c r="F2826">
        <f>IF(Skills!M26=TRUE,(Skills!K26/10)*(E2826/1000),Skills!K26/10)+Skills!N26</f>
        <v/>
      </c>
      <c r="G2826">
        <f>Calc!G26</f>
        <v/>
      </c>
      <c r="H2826">
        <f>Calc!H26</f>
        <v/>
      </c>
      <c r="I2826">
        <f>IF(Skills!T26&lt;&gt;"",1+(Skills!T26/10)*($Z$3/1000)/100,1)</f>
        <v/>
      </c>
      <c r="J2826" t="inlineStr"/>
      <c r="K2826" t="inlineStr"/>
      <c r="L2826" t="inlineStr"/>
      <c r="M2826" t="inlineStr"/>
      <c r="N2826" t="inlineStr"/>
      <c r="O2826">
        <f>(1-Summary!$B$11)*S2826+Summary!$B$11*U2826</f>
        <v/>
      </c>
      <c r="P2826">
        <f>IF(B2842=0,0,O2826/B2842)</f>
        <v/>
      </c>
      <c r="Q2826">
        <f>IFERROR(1/(IF(Inputs!$B$39="pvp",15,MAX(0.1,Skills!D26-IF(Skills!E26=TRUE,Inputs!$B$33,0)))*(1-IF(AND(ArtifactsInput!$M$27,Inputs!$B$4="Chapter Hunt"),CHOOSE(ArtifactsInput!$N$27+1,20,24,28,32,36,40),0)/100)),0)</f>
        <v/>
      </c>
      <c r="R2826" t="n">
        <v>0</v>
      </c>
      <c r="S2826" t="n">
        <v>0</v>
      </c>
      <c r="U2826" t="n">
        <v>0</v>
      </c>
    </row>
    <row r="2827">
      <c r="A2827">
        <f>Skills!A27</f>
        <v/>
      </c>
      <c r="B2827">
        <f>Skills!B27</f>
        <v/>
      </c>
      <c r="C2827">
        <f>Inputs!$B$3&gt;=120</f>
        <v/>
      </c>
      <c r="D2827">
        <f>IF(Skills!C27=1,60+Inputs!$B$26+Inputs!$B$30,IF(Skills!C27=2,90+Inputs!$B$27+Inputs!$B$30,IF(Skills!C27=3,120+Inputs!$B$28+Inputs!$B$30,MAX(0,(Inputs!$B$3-100)*3)+Inputs!$B$29+Inputs!$B$30)))</f>
        <v/>
      </c>
      <c r="E2827">
        <f>INDEX(FactorTable!$B$2:$Y$301, MATCH(ROUND(MIN(300,MAX(1,D2827)),0), FactorTable!$A$2:$A$301,0), Skills!L27+1)</f>
        <v/>
      </c>
      <c r="F2827">
        <f>IF(Skills!M27=TRUE,(Skills!K27/10)*(E2827/1000),Skills!K27/10)+Skills!N27</f>
        <v/>
      </c>
      <c r="G2827">
        <f>Calc!G27</f>
        <v/>
      </c>
      <c r="H2827">
        <f>Calc!H27</f>
        <v/>
      </c>
      <c r="I2827">
        <f>IF(Skills!T27&lt;&gt;"",1+(Skills!T27/10)*($Z$3/1000)/100,1)</f>
        <v/>
      </c>
      <c r="J2827" t="inlineStr"/>
      <c r="K2827" t="inlineStr"/>
      <c r="L2827" t="inlineStr"/>
      <c r="M2827" t="inlineStr"/>
      <c r="N2827" t="inlineStr"/>
      <c r="O2827">
        <f>(1-Summary!$B$11)*S2827+Summary!$B$11*U2827</f>
        <v/>
      </c>
      <c r="P2827">
        <f>IF(B2842=0,0,O2827/B2842)</f>
        <v/>
      </c>
      <c r="Q2827">
        <f>IFERROR(1/(IF(Inputs!$B$39="pvp",15,MAX(0.1,Skills!D27-IF(Skills!E27=TRUE,Inputs!$B$33,0)))*(1-IF(AND(ArtifactsInput!$M$27,Inputs!$B$4="Chapter Hunt"),CHOOSE(ArtifactsInput!$N$27+1,20,24,28,32,36,40),0)/100)),0)</f>
        <v/>
      </c>
      <c r="R2827" t="n">
        <v>0</v>
      </c>
      <c r="S2827" t="n">
        <v>0</v>
      </c>
      <c r="U2827" t="n">
        <v>0</v>
      </c>
    </row>
    <row r="2829">
      <c r="A2829" t="inlineStr">
        <is>
          <t>Average Buff Multiplier</t>
        </is>
      </c>
      <c r="B2829">
        <f>(1+(IF(C2803=TRUE,F2803*IF(AND(Inputs!$B$39&lt;&gt;"pvp",Inputs!$B$44&gt;0),(((R2803-1)*(Skills!S3*(1+((Inputs!$B$35+(ArtifactsInput!$M$7-ArtifactsInput!$M$7)*CHOOSE(ArtifactsInput!$N$7+1,6,7.2,8.4,9.6,10.8,12))+IF(Inputs!$B$3&gt;=117,F2826,0))/100))+MIN((Skills!S3*(1+((Inputs!$B$35+(ArtifactsInput!$M$7-ArtifactsInput!$M$7)*CHOOSE(ArtifactsInput!$N$7+1,6,7.2,8.4,9.6,10.8,12))+IF(Inputs!$B$3&gt;=117,F2826,0))/100)),MAX(0,Inputs!$B$44-((R2803-1)*Skills!D3))))/Inputs!$B$44),IF(Inputs!$B$39="pvp",MIN((Skills!S3*(1+((Inputs!$B$35+(ArtifactsInput!$M$7-ArtifactsInput!$M$7)*CHOOSE(ArtifactsInput!$N$7+1,6,7.2,8.4,9.6,10.8,12))+IF(Inputs!$B$3&gt;=117,F2826,0))/100)),15)/15,(Skills!S3*(1+((Inputs!$B$35+(ArtifactsInput!$M$7-ArtifactsInput!$M$7)*CHOOSE(ArtifactsInput!$N$7+1,6,7.2,8.4,9.6,10.8,12))+IF(Inputs!$B$3&gt;=117,F2826,0))/100))/Skills!D3)),0)+IF(C2804=TRUE,F2804*IF(AND(Inputs!$B$39&lt;&gt;"pvp",Inputs!$B$44&gt;0),(((R2804-1)*(Skills!S4*(1+((Inputs!$B$35+(ArtifactsInput!$M$7-ArtifactsInput!$M$7)*CHOOSE(ArtifactsInput!$N$7+1,6,7.2,8.4,9.6,10.8,12))+IF(Inputs!$B$3&gt;=117,F2826,0))/100))+MIN((Skills!S4*(1+((Inputs!$B$35+(ArtifactsInput!$M$7-ArtifactsInput!$M$7)*CHOOSE(ArtifactsInput!$N$7+1,6,7.2,8.4,9.6,10.8,12))+IF(Inputs!$B$3&gt;=117,F2826,0))/100)),MAX(0,Inputs!$B$44-((R2804-1)*Skills!D4))))/Inputs!$B$44),IF(Inputs!$B$39="pvp",MIN((Skills!S4*(1+((Inputs!$B$35+(ArtifactsInput!$M$7-ArtifactsInput!$M$7)*CHOOSE(ArtifactsInput!$N$7+1,6,7.2,8.4,9.6,10.8,12))+IF(Inputs!$B$3&gt;=117,F2826,0))/100)),15)/15,(Skills!S4*(1+((Inputs!$B$35+(ArtifactsInput!$M$7-ArtifactsInput!$M$7)*CHOOSE(ArtifactsInput!$N$7+1,6,7.2,8.4,9.6,10.8,12))+IF(Inputs!$B$3&gt;=117,F2826,0))/100))/Skills!D4)),0)+IF(C2805=TRUE,F2805*IF(AND(Inputs!$B$39&lt;&gt;"pvp",Inputs!$B$44&gt;0),(((R2805-1)*(Skills!S5*(1+((Inputs!$B$35+(ArtifactsInput!$M$7-ArtifactsInput!$M$7)*CHOOSE(ArtifactsInput!$N$7+1,6,7.2,8.4,9.6,10.8,12))+IF(Inputs!$B$3&gt;=117,F2826,0))/100))+MIN((Skills!S5*(1+((Inputs!$B$35+(ArtifactsInput!$M$7-ArtifactsInput!$M$7)*CHOOSE(ArtifactsInput!$N$7+1,6,7.2,8.4,9.6,10.8,12))+IF(Inputs!$B$3&gt;=117,F2826,0))/100)),MAX(0,Inputs!$B$44-((R2805-1)*Skills!D5))))/Inputs!$B$44),IF(Inputs!$B$39="pvp",MIN((Skills!S5*(1+((Inputs!$B$35+(ArtifactsInput!$M$7-ArtifactsInput!$M$7)*CHOOSE(ArtifactsInput!$N$7+1,6,7.2,8.4,9.6,10.8,12))+IF(Inputs!$B$3&gt;=117,F2826,0))/100)),15)/15,(Skills!S5*(1+((Inputs!$B$35+(ArtifactsInput!$M$7-ArtifactsInput!$M$7)*CHOOSE(ArtifactsInput!$N$7+1,6,7.2,8.4,9.6,10.8,12))+IF(Inputs!$B$3&gt;=117,F2826,0))/100))/Skills!D5)),0)+IF(C2811=TRUE,F2811*IF(AND(Inputs!$B$39&lt;&gt;"pvp",Inputs!$B$44&gt;0),(((R2811-1)*(Skills!S11*(1+((Inputs!$B$35+(ArtifactsInput!$M$7-ArtifactsInput!$M$7)*CHOOSE(ArtifactsInput!$N$7+1,6,7.2,8.4,9.6,10.8,12))+IF(Inputs!$B$3&gt;=117,F2826,0))/100))+MIN((Skills!S11*(1+((Inputs!$B$35+(ArtifactsInput!$M$7-ArtifactsInput!$M$7)*CHOOSE(ArtifactsInput!$N$7+1,6,7.2,8.4,9.6,10.8,12))+IF(Inputs!$B$3&gt;=117,F2826,0))/100)),MAX(0,Inputs!$B$44-((R2811-1)*Skills!D11))))/Inputs!$B$44),IF(Inputs!$B$39="pvp",MIN((Skills!S11*(1+((Inputs!$B$35+(ArtifactsInput!$M$7-ArtifactsInput!$M$7)*CHOOSE(ArtifactsInput!$N$7+1,6,7.2,8.4,9.6,10.8,12))+IF(Inputs!$B$3&gt;=117,F2826,0))/100)),15)/15,(Skills!S11*(1+((Inputs!$B$35+(ArtifactsInput!$M$7-ArtifactsInput!$M$7)*CHOOSE(ArtifactsInput!$N$7+1,6,7.2,8.4,9.6,10.8,12))+IF(Inputs!$B$3&gt;=117,F2826,0)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2814=TRUE,(1+F2814*IF(AND(Inputs!$B$39&lt;&gt;"pvp",Inputs!$B$44&gt;0),(((R2814-1)*(Skills!S14*(1+((Inputs!$B$35+(ArtifactsInput!$M$7-ArtifactsInput!$M$7)*CHOOSE(ArtifactsInput!$N$7+1,6,7.2,8.4,9.6,10.8,12))+IF(Inputs!$B$3&gt;=117,F2826,0))/100))+MIN((Skills!S14*(1+((Inputs!$B$35+(ArtifactsInput!$M$7-ArtifactsInput!$M$7)*CHOOSE(ArtifactsInput!$N$7+1,6,7.2,8.4,9.6,10.8,12))+IF(Inputs!$B$3&gt;=117,F2826,0))/100)),MAX(0,Inputs!$B$44-((R2814-1)*Skills!D14))))/Inputs!$B$44),IF(Inputs!$B$39="pvp",MIN((Skills!S14*(1+((Inputs!$B$35+(ArtifactsInput!$M$7-ArtifactsInput!$M$7)*CHOOSE(ArtifactsInput!$N$7+1,6,7.2,8.4,9.6,10.8,12))+IF(Inputs!$B$3&gt;=117,F2826,0))/100)),15)/15,(Skills!S14*(1+((Inputs!$B$35+(ArtifactsInput!$M$7-ArtifactsInput!$M$7)*CHOOSE(ArtifactsInput!$N$7+1,6,7.2,8.4,9.6,10.8,12))+IF(Inputs!$B$3&gt;=117,F2826,0))/100))/Skills!D14))/100),1)*IF(C2819=TRUE,(1+F2819*IF(AND(Inputs!$B$39&lt;&gt;"pvp",Inputs!$B$44&gt;0),(((R2819-1)*(Skills!S19*(1+((Inputs!$B$35+(ArtifactsInput!$M$7-ArtifactsInput!$M$7)*CHOOSE(ArtifactsInput!$N$7+1,6,7.2,8.4,9.6,10.8,12))+IF(Inputs!$B$3&gt;=117,F2826,0))/100))+MIN((Skills!S19*(1+((Inputs!$B$35+(ArtifactsInput!$M$7-ArtifactsInput!$M$7)*CHOOSE(ArtifactsInput!$N$7+1,6,7.2,8.4,9.6,10.8,12))+IF(Inputs!$B$3&gt;=117,F2826,0))/100)),MAX(0,Inputs!$B$44-((R2819-1)*Skills!D19))))/Inputs!$B$44),IF(Inputs!$B$39="pvp",MIN((Skills!S19*(1+((Inputs!$B$35+(ArtifactsInput!$M$7-ArtifactsInput!$M$7)*CHOOSE(ArtifactsInput!$N$7+1,6,7.2,8.4,9.6,10.8,12))+IF(Inputs!$B$3&gt;=117,F2826,0))/100)),15)/15,(Skills!S19*(1+((Inputs!$B$35+(ArtifactsInput!$M$7-ArtifactsInput!$M$7)*CHOOSE(ArtifactsInput!$N$7+1,6,7.2,8.4,9.6,10.8,12))+IF(Inputs!$B$3&gt;=117,F2826,0))/100))/Skills!D19))/100),1)</f>
        <v/>
      </c>
    </row>
    <row r="2830">
      <c r="A2830" t="inlineStr">
        <is>
          <t>Monster Damage Taken Bonus % (Holy Fountain)</t>
        </is>
      </c>
      <c r="B2830">
        <f>IF(Inputs!$B$3&gt;=68,20*IF(Inputs!$B$39="pvp",MIN((15*(1+((Inputs!$B$35+(ArtifactsInput!$M$7-ArtifactsInput!$M$7)*CHOOSE(ArtifactsInput!$N$7+1,6,7.2,8.4,9.6,10.8,12))+IF(Inputs!$B$3&gt;=117,F2826,0))/100)),15)/15,(15*(1+((Inputs!$B$35+(ArtifactsInput!$M$7-ArtifactsInput!$M$7)*CHOOSE(ArtifactsInput!$N$7+1,6,7.2,8.4,9.6,10.8,12))+IF(Inputs!$B$3&gt;=117,F2826,0))/100))/Skills!D10),0)</f>
        <v/>
      </c>
    </row>
    <row r="2831">
      <c r="A2831" t="inlineStr">
        <is>
          <t>Normal Monster Damage Bonus % (Holy Symbol)</t>
        </is>
      </c>
      <c r="B2831">
        <f>IF(C2812=TRUE,F2812*IF(AND(Inputs!$B$39&lt;&gt;"pvp",Inputs!$B$44&gt;0),(((R2812-1)*(Skills!S12*(1+((Inputs!$B$35+(ArtifactsInput!$M$7-ArtifactsInput!$M$7)*CHOOSE(ArtifactsInput!$N$7+1,6,7.2,8.4,9.6,10.8,12))+IF(Inputs!$B$3&gt;=117,F2826,0))/100))+MIN((Skills!S12*(1+((Inputs!$B$35+(ArtifactsInput!$M$7-ArtifactsInput!$M$7)*CHOOSE(ArtifactsInput!$N$7+1,6,7.2,8.4,9.6,10.8,12))+IF(Inputs!$B$3&gt;=117,F2826,0))/100)),MAX(0,Inputs!$B$44-((R2812-1)*Skills!D12))))/Inputs!$B$44),IF(Inputs!$B$39="pvp",MIN((Skills!S12*(1+((Inputs!$B$35+(ArtifactsInput!$M$7-ArtifactsInput!$M$7)*CHOOSE(ArtifactsInput!$N$7+1,6,7.2,8.4,9.6,10.8,12))+IF(Inputs!$B$3&gt;=117,F2826,0))/100)),15)/15,(Skills!S12*(1+((Inputs!$B$35+(ArtifactsInput!$M$7-ArtifactsInput!$M$7)*CHOOSE(ArtifactsInput!$N$7+1,6,7.2,8.4,9.6,10.8,12))+IF(Inputs!$B$3&gt;=117,F2826,0))/100))/Skills!D12)),0)</f>
        <v/>
      </c>
    </row>
    <row r="2832">
      <c r="A2832" t="inlineStr">
        <is>
          <t>Damage % Bonus (Holy Symbol - Damage Boost)</t>
        </is>
      </c>
      <c r="B2832">
        <f>Skills!O12</f>
        <v/>
      </c>
    </row>
    <row r="2833">
      <c r="A2833" t="inlineStr">
        <is>
          <t>Crit Damage % Bonus (Blood of the Divine)</t>
        </is>
      </c>
      <c r="B2833">
        <f>4*IF(C2820=TRUE,F2820,0)</f>
        <v/>
      </c>
    </row>
    <row r="2834">
      <c r="A2834" t="inlineStr">
        <is>
          <t>Attack Speed Bonus %</t>
        </is>
      </c>
      <c r="B2834">
        <f>IF(C2817=TRUE,F2817+(F2821-Calc!F21),0)+IF(Inputs!$B$3&gt;=134,15,0)</f>
        <v/>
      </c>
    </row>
    <row r="2835">
      <c r="A2835" t="inlineStr">
        <is>
          <t>Actions Per Second</t>
        </is>
      </c>
      <c r="B2835">
        <f>1+MIN(150,150*(1-(1-Inputs!$B$12/150)*(1-B2834/150)))/100</f>
        <v/>
      </c>
    </row>
    <row r="2836">
      <c r="A2836" t="inlineStr">
        <is>
          <t>Skill + Buff Cast Rate</t>
        </is>
      </c>
      <c r="B2836">
        <f>IF(AND(Inputs!$B$39&lt;&gt;"pvp",Inputs!$B$44&gt;0),SUMPRODUCT((Skills!E2:E27=TRUE)*(C2802:C2827=TRUE)*R2802:R2827)/Inputs!$B$44,SUMPRODUCT((Skills!E2:E27=TRUE)*(C2802:C2827=TRUE)*Q2802:Q2827))</f>
        <v/>
      </c>
    </row>
    <row r="2837">
      <c r="A2837" t="inlineStr">
        <is>
          <t>Big Bang Casts Per Second</t>
        </is>
      </c>
      <c r="B2837">
        <f>MAX(0,B2835-B2836)</f>
        <v/>
      </c>
    </row>
    <row r="2838">
      <c r="A2838" t="inlineStr">
        <is>
          <t>Defense % Bonus (Divine Protection)</t>
        </is>
      </c>
      <c r="B2838">
        <f>IF(C2813=TRUE,F2813*IF(AND(Inputs!$B$39&lt;&gt;"pvp",Inputs!$B$44&gt;0),(((R2813-1)*(Skills!S13*(1+((Inputs!$B$35+(ArtifactsInput!$M$7-ArtifactsInput!$M$7)*CHOOSE(ArtifactsInput!$N$7+1,6,7.2,8.4,9.6,10.8,12))+IF(Inputs!$B$3&gt;=117,F2826,0))/100))+MIN((Skills!S13*(1+((Inputs!$B$35+(ArtifactsInput!$M$7-ArtifactsInput!$M$7)*CHOOSE(ArtifactsInput!$N$7+1,6,7.2,8.4,9.6,10.8,12))+IF(Inputs!$B$3&gt;=117,F2826,0))/100)),MAX(0,Inputs!$B$44-((R2813-1)*Skills!D13))))/Inputs!$B$44),IF(Inputs!$B$39="pvp",MIN((Skills!S13*(1+((Inputs!$B$35+(ArtifactsInput!$M$7-ArtifactsInput!$M$7)*CHOOSE(ArtifactsInput!$N$7+1,6,7.2,8.4,9.6,10.8,12))+IF(Inputs!$B$3&gt;=117,F2826,0))/100)),15)/15,(Skills!S13*(1+((Inputs!$B$35+(ArtifactsInput!$M$7-ArtifactsInput!$M$7)*CHOOSE(ArtifactsInput!$N$7+1,6,7.2,8.4,9.6,10.8,12))+IF(Inputs!$B$3&gt;=117,F2826,0))/100))/Skills!D13)),0)</f>
        <v/>
      </c>
    </row>
    <row r="2839">
      <c r="A2839" t="inlineStr">
        <is>
          <t>Buff-Casting Startup Delay (s, fixed-duration only)</t>
        </is>
      </c>
      <c r="B2839">
        <f>IF(AND(Inputs!$B$39&lt;&gt;"pvp",Inputs!$B$44&gt;0),SUMPRODUCT((Skills!S2:S27&gt;0)*(Skills!E2:E27=TRUE)*(C2802:C2827=TRUE))/B2835,0)</f>
        <v/>
      </c>
    </row>
    <row r="2840">
      <c r="A2840" t="inlineStr">
        <is>
          <t>Boss-Only Total DPS (this block's swept value)</t>
        </is>
      </c>
      <c r="B2840">
        <f>SUM(S2802:S2827)</f>
        <v/>
      </c>
    </row>
    <row r="2841">
      <c r="A2841" t="inlineStr">
        <is>
          <t>Normal-Only Total DPS (this block's swept value)</t>
        </is>
      </c>
      <c r="B2841">
        <f>SUM(U2802:U2827)</f>
        <v/>
      </c>
    </row>
    <row r="2842">
      <c r="A2842" s="6" t="inlineStr">
        <is>
          <t>TOTAL DPS</t>
        </is>
      </c>
      <c r="B2842" s="6">
        <f>SUM(O2802:O2827)</f>
        <v/>
      </c>
    </row>
    <row r="2844">
      <c r="A2844" s="9" t="inlineStr">
        <is>
          <t>Cooldown Reduction Milestone Sweep (absolute CDR seconds, fixed-duration content only)</t>
        </is>
      </c>
    </row>
    <row r="2845">
      <c r="A2845" s="5" t="inlineStr">
        <is>
          <t>CDR (s)</t>
        </is>
      </c>
      <c r="B2845" s="5" t="inlineStr">
        <is>
          <t>Total DPS</t>
        </is>
      </c>
      <c r="C2845" s="5" t="inlineStr">
        <is>
          <t>DPS Gain (vs prior step)</t>
        </is>
      </c>
      <c r="D2845" s="5" t="inlineStr">
        <is>
          <t>% Gain (vs current CDR)</t>
        </is>
      </c>
    </row>
    <row r="2846">
      <c r="A2846" t="n">
        <v>0.5</v>
      </c>
      <c r="B2846">
        <f>B2900</f>
        <v/>
      </c>
      <c r="C2846" t="n">
        <v>0</v>
      </c>
      <c r="D2846">
        <f>IF(Summary!$B$3=0,0,(B2846-Summary!$B$3)/Summary!$B$3*100)</f>
        <v/>
      </c>
    </row>
    <row r="2847">
      <c r="A2847" t="n">
        <v>1</v>
      </c>
      <c r="B2847">
        <f>B2944</f>
        <v/>
      </c>
      <c r="C2847">
        <f>B2847-B2846</f>
        <v/>
      </c>
      <c r="D2847">
        <f>IF(Summary!$B$3=0,0,(B2847-Summary!$B$3)/Summary!$B$3*100)</f>
        <v/>
      </c>
    </row>
    <row r="2848">
      <c r="A2848" t="n">
        <v>1.5</v>
      </c>
      <c r="B2848">
        <f>B2988</f>
        <v/>
      </c>
      <c r="C2848">
        <f>B2848-B2847</f>
        <v/>
      </c>
      <c r="D2848">
        <f>IF(Summary!$B$3=0,0,(B2848-Summary!$B$3)/Summary!$B$3*100)</f>
        <v/>
      </c>
    </row>
    <row r="2849">
      <c r="A2849" t="n">
        <v>2</v>
      </c>
      <c r="B2849">
        <f>B3032</f>
        <v/>
      </c>
      <c r="C2849">
        <f>B2849-B2848</f>
        <v/>
      </c>
      <c r="D2849">
        <f>IF(Summary!$B$3=0,0,(B2849-Summary!$B$3)/Summary!$B$3*100)</f>
        <v/>
      </c>
    </row>
    <row r="2850">
      <c r="A2850" t="n">
        <v>2.5</v>
      </c>
      <c r="B2850">
        <f>B3076</f>
        <v/>
      </c>
      <c r="C2850">
        <f>B2850-B2849</f>
        <v/>
      </c>
      <c r="D2850">
        <f>IF(Summary!$B$3=0,0,(B2850-Summary!$B$3)/Summary!$B$3*100)</f>
        <v/>
      </c>
    </row>
    <row r="2851">
      <c r="A2851" t="n">
        <v>3</v>
      </c>
      <c r="B2851">
        <f>B3120</f>
        <v/>
      </c>
      <c r="C2851">
        <f>B2851-B2850</f>
        <v/>
      </c>
      <c r="D2851">
        <f>IF(Summary!$B$3=0,0,(B2851-Summary!$B$3)/Summary!$B$3*100)</f>
        <v/>
      </c>
    </row>
    <row r="2852">
      <c r="A2852" t="n">
        <v>3.5</v>
      </c>
      <c r="B2852">
        <f>B3164</f>
        <v/>
      </c>
      <c r="C2852">
        <f>B2852-B2851</f>
        <v/>
      </c>
      <c r="D2852">
        <f>IF(Summary!$B$3=0,0,(B2852-Summary!$B$3)/Summary!$B$3*100)</f>
        <v/>
      </c>
    </row>
    <row r="2853">
      <c r="A2853" t="n">
        <v>4</v>
      </c>
      <c r="B2853">
        <f>B3208</f>
        <v/>
      </c>
      <c r="C2853">
        <f>B2853-B2852</f>
        <v/>
      </c>
      <c r="D2853">
        <f>IF(Summary!$B$3=0,0,(B2853-Summary!$B$3)/Summary!$B$3*100)</f>
        <v/>
      </c>
    </row>
    <row r="2854">
      <c r="A2854" t="n">
        <v>4.5</v>
      </c>
      <c r="B2854">
        <f>B3252</f>
        <v/>
      </c>
      <c r="C2854">
        <f>B2854-B2853</f>
        <v/>
      </c>
      <c r="D2854">
        <f>IF(Summary!$B$3=0,0,(B2854-Summary!$B$3)/Summary!$B$3*100)</f>
        <v/>
      </c>
    </row>
    <row r="2855">
      <c r="A2855" t="n">
        <v>5</v>
      </c>
      <c r="B2855">
        <f>B3296</f>
        <v/>
      </c>
      <c r="C2855">
        <f>B2855-B2854</f>
        <v/>
      </c>
      <c r="D2855">
        <f>IF(Summary!$B$3=0,0,(B2855-Summary!$B$3)/Summary!$B$3*100)</f>
        <v/>
      </c>
    </row>
    <row r="2858">
      <c r="A2858" s="6" t="inlineStr">
        <is>
          <t>Stat: CDR = 0.5s</t>
        </is>
      </c>
    </row>
    <row r="2859">
      <c r="A2859" s="5" t="inlineStr">
        <is>
          <t>Key</t>
        </is>
      </c>
      <c r="B2859" s="5" t="inlineStr">
        <is>
          <t>Name</t>
        </is>
      </c>
      <c r="C2859" s="5" t="inlineStr">
        <is>
          <t>Unlocked</t>
        </is>
      </c>
      <c r="D2859" s="5" t="inlineStr">
        <is>
          <t>InputLevel</t>
        </is>
      </c>
      <c r="E2859" s="5" t="inlineStr">
        <is>
          <t>Factor</t>
        </is>
      </c>
      <c r="F2859" s="5" t="inlineStr">
        <is>
          <t>CoefficientPercent</t>
        </is>
      </c>
      <c r="G2859" s="5" t="inlineStr">
        <is>
          <t>EffectiveHits</t>
        </is>
      </c>
      <c r="H2859" s="5" t="inlineStr">
        <is>
          <t>ProcProbability</t>
        </is>
      </c>
      <c r="I2859" s="5" t="inlineStr">
        <is>
          <t>MapleHeroMultiplier</t>
        </is>
      </c>
      <c r="J2859" s="5" t="inlineStr">
        <is>
          <t>BaseDamage</t>
        </is>
      </c>
      <c r="K2859" s="5" t="inlineStr">
        <is>
          <t>BaseHitDamage</t>
        </is>
      </c>
      <c r="L2859" s="5" t="inlineStr">
        <is>
          <t>NonCritAvg</t>
        </is>
      </c>
      <c r="M2859" s="5" t="inlineStr">
        <is>
          <t>CritAvg</t>
        </is>
      </c>
      <c r="N2859" s="5" t="inlineStr">
        <is>
          <t>ExpectedDamage(perHit)</t>
        </is>
      </c>
      <c r="O2859" s="5" t="inlineStr">
        <is>
          <t>DPS</t>
        </is>
      </c>
      <c r="P2859" s="5" t="inlineStr">
        <is>
          <t>% of Total</t>
        </is>
      </c>
      <c r="R2859" t="inlineStr">
        <is>
          <t>helpers</t>
        </is>
      </c>
    </row>
    <row r="2860">
      <c r="A2860">
        <f>Skills!A2</f>
        <v/>
      </c>
      <c r="B2860">
        <f>Skills!B2</f>
        <v/>
      </c>
      <c r="C2860">
        <f>Inputs!$B$3&gt;=100</f>
        <v/>
      </c>
      <c r="D2860" t="inlineStr"/>
      <c r="E2860" t="inlineStr"/>
      <c r="F2860">
        <f>T2862+Skills!N2</f>
        <v/>
      </c>
      <c r="G2860">
        <f>Calc!G2</f>
        <v/>
      </c>
      <c r="H2860">
        <f>Calc!H2</f>
        <v/>
      </c>
      <c r="I2860">
        <f>IF(Skills!T2&lt;&gt;"",1+(Skills!T2/10)*($Z$3/1000)/100,1)</f>
        <v/>
      </c>
      <c r="J2860">
        <f>((Inputs!$B$6*(1+Inputs!$B$7/100))+(((Inputs!$B$13*(1+Inputs!$B$14/100))-(Inputs!$B$13*(1+Inputs!$B$14/100)))+0.25*(Inputs!$B$15-Inputs!$B$15))*(1+Inputs!$B$7/100))*(F2860/100)</f>
        <v/>
      </c>
      <c r="K2860">
        <f>J2860*(1+(((Inputs!$B$13+IF(Inputs!$B$3&gt;=35,(10*INDEX(FactorTable!$B$2:$Y$301,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2="TRIUMPH_FEATHER",IF(C2874=TRUE,F2874,0),0)/100)*(1+IF(C2885=TRUE,F2885,0)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2860)</f>
        <v/>
      </c>
      <c r="L2860">
        <f>K2860*(MIN(Inputs!$B$23+(F2880-Calc!F22),(Inputs!$B$24+IF(ArtifactsInput!$M$15,CHOOSE(ArtifactsInput!$N$15+1,25,30,35,40,45,50)/100*(Inputs!$B$12-Inputs!$B$12),0)))/100+(Inputs!$B$24+IF(ArtifactsInput!$M$15,CHOOSE(ArtifactsInput!$N$15+1,25,30,35,40,45,50)/100*(Inputs!$B$12-Inputs!$B$12),0))/100)/2</f>
        <v/>
      </c>
      <c r="M2860">
        <f>L2860*(1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0">
        <f>L2860*(1-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2860*(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0">
        <f>(1-Summary!$B$11)*S2860+Summary!$B$11*U2860</f>
        <v/>
      </c>
      <c r="P2860">
        <f>IF(B2900=0,0,O2860/B2900)</f>
        <v/>
      </c>
      <c r="Q2860">
        <f>IFERROR(1/(IF(Inputs!$B$39="pvp",15,MAX(0.1,Skills!D2-IF(Skills!E2=TRUE,0.5,0)))*(1-IF(AND(ArtifactsInput!$M$27,Inputs!$B$4="Chapter Hunt"),CHOOSE(ArtifactsInput!$N$27+1,20,24,28,32,36,40),0)/100)),0)</f>
        <v/>
      </c>
      <c r="R2860" t="n">
        <v>0</v>
      </c>
      <c r="S2860">
        <f>IF(C2860,(Skills!F2*N2860*B2895)*IF(Inputs!$B$39="pvp",1,1+(Inputs!$B$21+Skills!O2+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2860*(1-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2860*(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2860*(1-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2860*(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0">
        <f>MAX(0,(Inputs!$B$3-100)*3)+Inputs!$B$29+Inputs!$B$30</f>
        <v/>
      </c>
      <c r="U2860">
        <f>IF(C2860,(Skills!F2*N2860*B2895)*IF(Inputs!$B$39="pvp",1,(1+(Inputs!$B$22+Skills!P2+B2889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1">
      <c r="A2861">
        <f>Skills!A3</f>
        <v/>
      </c>
      <c r="B2861">
        <f>Skills!B3</f>
        <v/>
      </c>
      <c r="C2861">
        <f>Inputs!$B$3&gt;=15</f>
        <v/>
      </c>
      <c r="D2861">
        <f>IF(Skills!C3=1,60+Inputs!$B$26+Inputs!$B$30,IF(Skills!C3=2,90+Inputs!$B$27+Inputs!$B$30,IF(Skills!C3=3,120+Inputs!$B$28+Inputs!$B$30,MAX(0,(Inputs!$B$3-100)*3)+Inputs!$B$29+Inputs!$B$30)))</f>
        <v/>
      </c>
      <c r="E2861">
        <f>INDEX(FactorTable!$B$2:$Y$301, MATCH(ROUND(MIN(300,MAX(1,D2861)),0), FactorTable!$A$2:$A$301,0), Skills!L3+1)</f>
        <v/>
      </c>
      <c r="F2861">
        <f>IF(Skills!M3=TRUE,(Skills!K3/10)*(E2861/1000),Skills!K3/10)+Skills!N3</f>
        <v/>
      </c>
      <c r="G2861">
        <f>Calc!G3</f>
        <v/>
      </c>
      <c r="H2861">
        <f>Calc!H3</f>
        <v/>
      </c>
      <c r="I2861">
        <f>IF(Skills!T3&lt;&gt;"",1+(Skills!T3/10)*($Z$3/1000)/100,1)</f>
        <v/>
      </c>
      <c r="J2861" t="inlineStr"/>
      <c r="K2861" t="inlineStr"/>
      <c r="L2861" t="inlineStr"/>
      <c r="M2861" t="inlineStr"/>
      <c r="N2861" t="inlineStr"/>
      <c r="O2861">
        <f>(1-Summary!$B$11)*S2861+Summary!$B$11*U2861</f>
        <v/>
      </c>
      <c r="P2861">
        <f>IF(B2900=0,0,O2861/B2900)</f>
        <v/>
      </c>
      <c r="Q2861">
        <f>IFERROR(1/(IF(Inputs!$B$39="pvp",15,MAX(0.1,Skills!D3-IF(Skills!E3=TRUE,0.5,0)))*(1-IF(AND(ArtifactsInput!$M$27,Inputs!$B$4="Chapter Hunt"),CHOOSE(ArtifactsInput!$N$27+1,20,24,28,32,36,40),0)/100)),0)</f>
        <v/>
      </c>
      <c r="R2861">
        <f>IF(AND(Inputs!$B$39&lt;&gt;"pvp",Inputs!$B$44&gt;0),IF(Inputs!$B$44&lt;=0,0,(INT(Inputs!$B$44/(IF(Inputs!$B$39="pvp",15,MAX(0.1,Skills!D3-IF(Skills!E3=TRUE,0.5,0)))*(1-IF(AND(ArtifactsInput!$M$27,Inputs!$B$4="Chapter Hunt"),CHOOSE(ArtifactsInput!$N$27+1,20,24,28,32,36,40),0)/100)))+1)),0)</f>
        <v/>
      </c>
      <c r="S2861" t="n">
        <v>0</v>
      </c>
      <c r="T2861">
        <f>INDEX(FactorTable!$B$2:$Y$301, MATCH(ROUND(MIN(300,MAX(1,T2860)),0), FactorTable!$A$2:$A$301,0), 22)</f>
        <v/>
      </c>
      <c r="U2861" t="n">
        <v>0</v>
      </c>
    </row>
    <row r="2862">
      <c r="A2862">
        <f>Skills!A4</f>
        <v/>
      </c>
      <c r="B2862">
        <f>Skills!B4</f>
        <v/>
      </c>
      <c r="C2862">
        <f>Inputs!$B$3&gt;=38</f>
        <v/>
      </c>
      <c r="D2862">
        <f>IF(Skills!C4=1,60+Inputs!$B$26+Inputs!$B$30,IF(Skills!C4=2,90+Inputs!$B$27+Inputs!$B$30,IF(Skills!C4=3,120+Inputs!$B$28+Inputs!$B$30,MAX(0,(Inputs!$B$3-100)*3)+Inputs!$B$29+Inputs!$B$30)))</f>
        <v/>
      </c>
      <c r="E2862">
        <f>INDEX(FactorTable!$B$2:$Y$301, MATCH(ROUND(MIN(300,MAX(1,D2862)),0), FactorTable!$A$2:$A$301,0), Skills!L4+1)</f>
        <v/>
      </c>
      <c r="F2862">
        <f>IF(Skills!M4=TRUE,(Skills!K4/10)*(E2862/1000),Skills!K4/10)+Skills!N4</f>
        <v/>
      </c>
      <c r="G2862">
        <f>Calc!G4</f>
        <v/>
      </c>
      <c r="H2862">
        <f>Calc!H4</f>
        <v/>
      </c>
      <c r="I2862">
        <f>IF(Skills!T4&lt;&gt;"",1+(Skills!T4/10)*($Z$3/1000)/100,1)</f>
        <v/>
      </c>
      <c r="J2862" t="inlineStr"/>
      <c r="K2862" t="inlineStr"/>
      <c r="L2862" t="inlineStr"/>
      <c r="M2862" t="inlineStr"/>
      <c r="N2862" t="inlineStr"/>
      <c r="O2862">
        <f>(1-Summary!$B$11)*S2862+Summary!$B$11*U2862</f>
        <v/>
      </c>
      <c r="P2862">
        <f>IF(B2900=0,0,O2862/B2900)</f>
        <v/>
      </c>
      <c r="Q2862">
        <f>IFERROR(1/(IF(Inputs!$B$39="pvp",15,MAX(0.1,Skills!D4-IF(Skills!E4=TRUE,0.5,0)))*(1-IF(AND(ArtifactsInput!$M$27,Inputs!$B$4="Chapter Hunt"),CHOOSE(ArtifactsInput!$N$27+1,20,24,28,32,36,40),0)/100)),0)</f>
        <v/>
      </c>
      <c r="R2862">
        <f>IF(AND(Inputs!$B$39&lt;&gt;"pvp",Inputs!$B$44&gt;0),IF(Inputs!$B$44&lt;=0,0,(INT(Inputs!$B$44/(IF(Inputs!$B$39="pvp",15,MAX(0.1,Skills!D4-IF(Skills!E4=TRUE,0.5,0)))*(1-IF(AND(ArtifactsInput!$M$27,Inputs!$B$4="Chapter Hunt"),CHOOSE(ArtifactsInput!$N$27+1,20,24,28,32,36,40),0)/100)))+1)),0)</f>
        <v/>
      </c>
      <c r="S2862" t="n">
        <v>0</v>
      </c>
      <c r="T2862">
        <f>290*T2861/1000</f>
        <v/>
      </c>
      <c r="U2862" t="n">
        <v>0</v>
      </c>
    </row>
    <row r="2863">
      <c r="A2863">
        <f>Skills!A5</f>
        <v/>
      </c>
      <c r="B2863">
        <f>Skills!B5</f>
        <v/>
      </c>
      <c r="C2863">
        <f>Inputs!$B$3&gt;=40</f>
        <v/>
      </c>
      <c r="D2863">
        <f>IF(Skills!C5=1,60+Inputs!$B$26+Inputs!$B$30,IF(Skills!C5=2,90+Inputs!$B$27+Inputs!$B$30,IF(Skills!C5=3,120+Inputs!$B$28+Inputs!$B$30,MAX(0,(Inputs!$B$3-100)*3)+Inputs!$B$29+Inputs!$B$30)))</f>
        <v/>
      </c>
      <c r="E2863">
        <f>INDEX(FactorTable!$B$2:$Y$301, MATCH(ROUND(MIN(300,MAX(1,D2863)),0), FactorTable!$A$2:$A$301,0), Skills!L5+1)</f>
        <v/>
      </c>
      <c r="F2863">
        <f>IF(Skills!M5=TRUE,(Skills!K5/10)*(E2863/1000),Skills!K5/10)+Skills!N5</f>
        <v/>
      </c>
      <c r="G2863">
        <f>Calc!G5</f>
        <v/>
      </c>
      <c r="H2863">
        <f>Calc!H5</f>
        <v/>
      </c>
      <c r="I2863">
        <f>IF(Skills!T5&lt;&gt;"",1+(Skills!T5/10)*($Z$3/1000)/100,1)</f>
        <v/>
      </c>
      <c r="J2863" t="inlineStr"/>
      <c r="K2863" t="inlineStr"/>
      <c r="L2863" t="inlineStr"/>
      <c r="M2863" t="inlineStr"/>
      <c r="N2863" t="inlineStr"/>
      <c r="O2863">
        <f>(1-Summary!$B$11)*S2863+Summary!$B$11*U2863</f>
        <v/>
      </c>
      <c r="P2863">
        <f>IF(B2900=0,0,O2863/B2900)</f>
        <v/>
      </c>
      <c r="Q2863">
        <f>IFERROR(1/(IF(Inputs!$B$39="pvp",15,MAX(0.1,Skills!D5-IF(Skills!E5=TRUE,0.5,0)))*(1-IF(AND(ArtifactsInput!$M$27,Inputs!$B$4="Chapter Hunt"),CHOOSE(ArtifactsInput!$N$27+1,20,24,28,32,36,40),0)/100)),0)</f>
        <v/>
      </c>
      <c r="R2863">
        <f>IF(AND(Inputs!$B$39&lt;&gt;"pvp",Inputs!$B$44&gt;0),IF(Inputs!$B$44&lt;=0,0,(INT(Inputs!$B$44/(IF(Inputs!$B$39="pvp",15,MAX(0.1,Skills!D5-IF(Skills!E5=TRUE,0.5,0)))*(1-IF(AND(ArtifactsInput!$M$27,Inputs!$B$4="Chapter Hunt"),CHOOSE(ArtifactsInput!$N$27+1,20,24,28,32,36,40),0)/100)))+1)),0)</f>
        <v/>
      </c>
      <c r="S2863" t="n">
        <v>0</v>
      </c>
      <c r="U2863" t="n">
        <v>0</v>
      </c>
    </row>
    <row r="2864">
      <c r="A2864">
        <f>Skills!A6</f>
        <v/>
      </c>
      <c r="B2864">
        <f>Skills!B6</f>
        <v/>
      </c>
      <c r="C2864">
        <f>Inputs!$B$3&gt;=103</f>
        <v/>
      </c>
      <c r="D2864">
        <f>IF(Skills!C6=1,60+Inputs!$B$26+Inputs!$B$30,IF(Skills!C6=2,90+Inputs!$B$27+Inputs!$B$30,IF(Skills!C6=3,120+Inputs!$B$28+Inputs!$B$30,MAX(0,(Inputs!$B$3-100)*3)+Inputs!$B$29+Inputs!$B$30)))</f>
        <v/>
      </c>
      <c r="E2864">
        <f>INDEX(FactorTable!$B$2:$Y$301, MATCH(ROUND(MIN(300,MAX(1,D2864)),0), FactorTable!$A$2:$A$301,0), Skills!L6+1)</f>
        <v/>
      </c>
      <c r="F2864">
        <f>IF(Skills!M6=TRUE,(Skills!K6/10)*(E2864/1000),Skills!K6/10)+Skills!N6</f>
        <v/>
      </c>
      <c r="G2864">
        <f>Calc!G6</f>
        <v/>
      </c>
      <c r="H2864">
        <f>Calc!H6</f>
        <v/>
      </c>
      <c r="I2864">
        <f>IF(Skills!T6&lt;&gt;"",1+(Skills!T6/10)*($Z$3/1000)/100,1)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6="TRIUMPH_FEATHER",IF(C2874=TRUE,F2874,0),0)/100)*(1+IF(C2885=TRUE,F2885,0)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2864)</f>
        <v/>
      </c>
      <c r="L2864">
        <f>K2864*(MIN(Inputs!$B$23+(F2880-Calc!F22),(Inputs!$B$24+IF(ArtifactsInput!$M$15,CHOOSE(ArtifactsInput!$N$15+1,25,30,35,40,45,50)/100*(Inputs!$B$12-Inputs!$B$12),0)))/100+(Inputs!$B$24+IF(ArtifactsInput!$M$15,CHOOSE(ArtifactsInput!$N$15+1,25,30,35,40,45,50)/100*(Inputs!$B$12-Inputs!$B$12),0))/100)/2</f>
        <v/>
      </c>
      <c r="M2864">
        <f>L2864*(1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IF(B2900=0,0,O2864/B2900)</f>
        <v/>
      </c>
      <c r="Q2864">
        <f>IFERROR(1/(IF(Inputs!$B$39="pvp",15,MAX(0.1,Skills!D6-IF(Skills!E6=TRUE,0.5,0)))*(1-IF(AND(ArtifactsInput!$M$27,Inputs!$B$4="Chapter Hunt"),CHOOSE(ArtifactsInput!$N$27+1,20,24,28,32,36,40),0)/100)),0)</f>
        <v/>
      </c>
      <c r="R2864">
        <f>IF(AND(Inputs!$B$39&lt;&gt;"pvp",Inputs!$B$44&gt;0),IF(MAX(0,Inputs!$B$44-B2897)&lt;=0,0,(INT(MAX(0,Inputs!$B$44-B2897)/(IF(Inputs!$B$39="pvp",15,MAX(0.1,Skills!D6-IF(Skills!E6=TRUE,0.5,0)))*(1-IF(AND(ArtifactsInput!$M$27,Inputs!$B$4="Chapter Hunt"),CHOOSE(ArtifactsInput!$N$27+1,20,24,28,32,36,40),0)/100)))+1)),0)</f>
        <v/>
      </c>
      <c r="S2864">
        <f>IF(C2864,(H2864*N2864*IF(AND(Inputs!$B$39&lt;&gt;"pvp",Inputs!$B$44&gt;0),((Skills!F6*((R2864-1)*IF(Skills!G6&gt;0,Skills!H6/Skills!G6,1)+IF(Skills!G6&gt;0,MIN(Skills!H6,MAX(0,MAX(0,Inputs!$B$44-B2897)-((R2864-1)*(IF(Inputs!$B$39="pvp",15,MAX(0.1,Skills!D6-IF(Skills!E6=TRUE,0.5,0)))*(1-IF(AND(ArtifactsInput!$M$27,Inputs!$B$4="Chapter Hunt"),CHOOSE(ArtifactsInput!$N$27+1,20,24,28,32,36,40),0)/100)))))/Skills!G6,1)))/Inputs!$B$44),G2864*Q2864))*IF(Inputs!$B$39="pvp",1,1+(Inputs!$B$21+Skills!O6+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4">
        <f>IF(C2864,(H2864*N2864*IF(AND(Inputs!$B$39&lt;&gt;"pvp",Inputs!$B$44&gt;0),((Skills!F6*((R2864-1)*IF(Skills!G6&gt;0,Skills!H6/Skills!G6,1)+IF(Skills!G6&gt;0,MIN(Skills!H6,MAX(0,MAX(0,Inputs!$B$44-B2897)-((R2864-1)*(IF(Inputs!$B$39="pvp",15,MAX(0.1,Skills!D6-IF(Skills!E6=TRUE,0.5,0)))*(1-IF(AND(ArtifactsInput!$M$27,Inputs!$B$4="Chapter Hunt"),CHOOSE(ArtifactsInput!$N$27+1,20,24,28,32,36,40),0)/100)))))/Skills!G6,1)))/Inputs!$B$44),G2864*Q2864))*IF(Inputs!$B$39="pvp",1,(1+(Inputs!$B$22+Skills!P6+B2889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Skills!A7</f>
        <v/>
      </c>
      <c r="B2865">
        <f>Skills!B7</f>
        <v/>
      </c>
      <c r="C2865">
        <f>Inputs!$B$3&gt;=122</f>
        <v/>
      </c>
      <c r="D2865">
        <f>IF(Skills!C7=1,60+Inputs!$B$26+Inputs!$B$30,IF(Skills!C7=2,90+Inputs!$B$27+Inputs!$B$30,IF(Skills!C7=3,120+Inputs!$B$28+Inputs!$B$30,MAX(0,(Inputs!$B$3-100)*3)+Inputs!$B$29+Inputs!$B$30)))</f>
        <v/>
      </c>
      <c r="E2865">
        <f>INDEX(FactorTable!$B$2:$Y$301, MATCH(ROUND(MIN(300,MAX(1,D2865)),0), FactorTable!$A$2:$A$301,0), Skills!L7+1)</f>
        <v/>
      </c>
      <c r="F2865">
        <f>IF(Skills!M7=TRUE,(Skills!K7/10)*(E2865/1000),Skills!K7/10)+Skills!N7</f>
        <v/>
      </c>
      <c r="G2865">
        <f>Calc!G7</f>
        <v/>
      </c>
      <c r="H2865">
        <f>Calc!H7</f>
        <v/>
      </c>
      <c r="I2865">
        <f>IF(Skills!T7&lt;&gt;"",1+(Skills!T7/10)*($Z$3/1000)/100,1)</f>
        <v/>
      </c>
      <c r="J2865">
        <f>((Inputs!$B$6*(1+Inputs!$B$7/100))+(((Inputs!$B$13*(1+Inputs!$B$14/100))-(Inputs!$B$13*(1+Inputs!$B$14/100)))+0.25*(Inputs!$B$15-Inputs!$B$15))*(1+Inputs!$B$7/100))*(F2865/100)</f>
        <v/>
      </c>
      <c r="K2865">
        <f>J2865*(1+(((Inputs!$B$13+IF(Inputs!$B$3&gt;=35,(10*INDEX(FactorTable!$B$2:$Y$301,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7="TRIUMPH_FEATHER",IF(C2874=TRUE,F2874,0),0)/100)*(1+IF(C2885=TRUE,F2885,0)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2865)</f>
        <v/>
      </c>
      <c r="L2865">
        <f>K2865*(MIN(Inputs!$B$23+(F2880-Calc!F22),(Inputs!$B$24+IF(ArtifactsInput!$M$15,CHOOSE(ArtifactsInput!$N$15+1,25,30,35,40,45,50)/100*(Inputs!$B$12-Inputs!$B$12),0)))/100+(Inputs!$B$24+IF(ArtifactsInput!$M$15,CHOOSE(ArtifactsInput!$N$15+1,25,30,35,40,45,50)/100*(Inputs!$B$12-Inputs!$B$12),0))/100)/2</f>
        <v/>
      </c>
      <c r="M2865">
        <f>L2865*(1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5">
        <f>L2865*(1-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(1-Summary!$B$11)*S2865+Summary!$B$11*U2865</f>
        <v/>
      </c>
      <c r="P2865">
        <f>IF(B2900=0,0,O2865/B2900)</f>
        <v/>
      </c>
      <c r="Q2865">
        <f>IFERROR(1/(IF(Inputs!$B$39="pvp",15,MAX(0.1,Skills!D7-IF(Skills!E6=TRUE,0.5,0)))*(1-IF(AND(ArtifactsInput!$M$27,Inputs!$B$4="Chapter Hunt"),CHOOSE(ArtifactsInput!$N$27+1,20,24,28,32,36,40),0)/100)),0)</f>
        <v/>
      </c>
      <c r="R2865">
        <f>IF(AND(Inputs!$B$39&lt;&gt;"pvp",Inputs!$B$44&gt;0),IF(MAX(0,Inputs!$B$44-B2897)&lt;=0,0,(INT(MAX(0,Inputs!$B$44-B2897)/(IF(Inputs!$B$39="pvp",15,MAX(0.1,Skills!D7-IF(Skills!E6=TRUE,0.5,0)))*(1-IF(AND(ArtifactsInput!$M$27,Inputs!$B$4="Chapter Hunt"),CHOOSE(ArtifactsInput!$N$27+1,20,24,28,32,36,40),0)/100)))+1)),0)</f>
        <v/>
      </c>
      <c r="S2865">
        <f>IF(C2865,H2865*N2865*IF(AND(Inputs!$B$39&lt;&gt;"pvp",Inputs!$B$44&gt;0),((Skills!F7*((R2865-1)*IF(Skills!G7&gt;0,Skills!H7/Skills!G7,1)+IF(Skills!G7&gt;0,MIN(Skills!H7,MAX(0,MAX(0,Inputs!$B$44-B2897)-((R2865-1)*(IF(Inputs!$B$39="pvp",15,MAX(0.1,Skills!D7-IF(Skills!E6=TRUE,0.5,0)))*(1-IF(AND(ArtifactsInput!$M$27,Inputs!$B$4="Chapter Hunt"),CHOOSE(ArtifactsInput!$N$27+1,20,24,28,32,36,40),0)/100)))))/Skills!G7,1)))/Inputs!$B$44),G2865*Q2865)*IF(Inputs!$B$39="pvp",1,1+(Inputs!$B$21+Skills!O7+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2865*(1-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5" t="n">
        <v>0</v>
      </c>
    </row>
    <row r="2866">
      <c r="A2866">
        <f>Skills!A8</f>
        <v/>
      </c>
      <c r="B2866">
        <f>Skills!B8</f>
        <v/>
      </c>
      <c r="C2866">
        <f>Inputs!$B$3&gt;=105</f>
        <v/>
      </c>
      <c r="D2866">
        <f>IF(Skills!C8=1,60+Inputs!$B$26+Inputs!$B$30,IF(Skills!C8=2,90+Inputs!$B$27+Inputs!$B$30,IF(Skills!C8=3,120+Inputs!$B$28+Inputs!$B$30,MAX(0,(Inputs!$B$3-100)*3)+Inputs!$B$29+Inputs!$B$30)))</f>
        <v/>
      </c>
      <c r="E2866">
        <f>INDEX(FactorTable!$B$2:$Y$301, MATCH(ROUND(MIN(300,MAX(1,D2866)),0), FactorTable!$A$2:$A$301,0), Skills!L8+1)</f>
        <v/>
      </c>
      <c r="F2866">
        <f>IF(Skills!M8=TRUE,(Skills!K8/10)*(E2866/1000),Skills!K8/10)+Skills!N8</f>
        <v/>
      </c>
      <c r="G2866">
        <f>Calc!G8</f>
        <v/>
      </c>
      <c r="H2866">
        <f>Calc!H8</f>
        <v/>
      </c>
      <c r="I2866">
        <f>IF(Skills!T8&lt;&gt;"",1+(Skills!T8/10)*($Z$3/1000)/100,1)</f>
        <v/>
      </c>
      <c r="J2866">
        <f>((Inputs!$B$6*(1+Inputs!$B$7/100))+(((Inputs!$B$13*(1+Inputs!$B$14/100))-(Inputs!$B$13*(1+Inputs!$B$14/100)))+0.25*(Inputs!$B$15-Inputs!$B$15))*(1+Inputs!$B$7/100))*(F2866/100)</f>
        <v/>
      </c>
      <c r="K2866">
        <f>J2866*(1+(((Inputs!$B$13+IF(Inputs!$B$3&gt;=35,(10*INDEX(FactorTable!$B$2:$Y$301,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8="TRIUMPH_FEATHER",IF(C2874=TRUE,F2874,0),0)/100)*(1+IF(C2885=TRUE,F2885,0)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2866)</f>
        <v/>
      </c>
      <c r="L2866">
        <f>K2866*(MIN(Inputs!$B$23+(F2880-Calc!F22),(Inputs!$B$24+IF(ArtifactsInput!$M$15,CHOOSE(ArtifactsInput!$N$15+1,25,30,35,40,45,50)/100*(Inputs!$B$12-Inputs!$B$12),0)))/100+(Inputs!$B$24+IF(ArtifactsInput!$M$15,CHOOSE(ArtifactsInput!$N$15+1,25,30,35,40,45,50)/100*(Inputs!$B$12-Inputs!$B$12),0))/100)/2</f>
        <v/>
      </c>
      <c r="M2866">
        <f>L2866*(1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6">
        <f>L2866*(1-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(1-Summary!$B$11)*S2866+Summary!$B$11*U2866</f>
        <v/>
      </c>
      <c r="P2866">
        <f>IF(B2900=0,0,O2866/B2900)</f>
        <v/>
      </c>
      <c r="Q2866">
        <f>IFERROR(1/(IF(Inputs!$B$39="pvp",15,MAX(0.1,Skills!D8-IF(Skills!E8=TRUE,0.5,0)))*(1-IF(AND(ArtifactsInput!$M$27,Inputs!$B$4="Chapter Hunt"),CHOOSE(ArtifactsInput!$N$27+1,20,24,28,32,36,40),0)/100)),0)</f>
        <v/>
      </c>
      <c r="R2866">
        <f>IF(AND(Inputs!$B$39&lt;&gt;"pvp",Inputs!$B$44&gt;0),IF(MAX(0,Inputs!$B$44-B2897)&lt;=0,0,(INT(MAX(0,Inputs!$B$44-B2897)/(IF(Inputs!$B$39="pvp",15,MAX(0.1,Skills!D8-IF(Skills!E8=TRUE,0.5,0)))*(1-IF(AND(ArtifactsInput!$M$27,Inputs!$B$4="Chapter Hunt"),CHOOSE(ArtifactsInput!$N$27+1,20,24,28,32,36,40),0)/100)))+1)),0)</f>
        <v/>
      </c>
      <c r="S2866">
        <f>IF(C2866,(H2866*N2866*IF(AND(Inputs!$B$39&lt;&gt;"pvp",Inputs!$B$44&gt;0),((Skills!F8*((R2866-1)*IF(Skills!G8&gt;0,Skills!H8/Skills!G8,1)+IF(Skills!G8&gt;0,MIN(Skills!H8,MAX(0,MAX(0,Inputs!$B$44-B2897)-((R2866-1)*(IF(Inputs!$B$39="pvp",15,MAX(0.1,Skills!D8-IF(Skills!E8=TRUE,0.5,0)))*(1-IF(AND(ArtifactsInput!$M$27,Inputs!$B$4="Chapter Hunt"),CHOOSE(ArtifactsInput!$N$27+1,20,24,28,32,36,40),0)/100)))))/Skills!G8,1)))/Inputs!$B$44),G2866*Q2866))*IF(Inputs!$B$39="pvp",1,1+(Inputs!$B$21+Skills!O8+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2866*(1-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6">
        <f>IF(C2866,(H2866*N2866*IF(AND(Inputs!$B$39&lt;&gt;"pvp",Inputs!$B$44&gt;0),((Skills!F8*((R2866-1)*IF(Skills!G8&gt;0,Skills!H8/Skills!G8,1)+IF(Skills!G8&gt;0,MIN(Skills!H8,MAX(0,MAX(0,Inputs!$B$44-B2897)-((R2866-1)*(IF(Inputs!$B$39="pvp",15,MAX(0.1,Skills!D8-IF(Skills!E8=TRUE,0.5,0)))*(1-IF(AND(ArtifactsInput!$M$27,Inputs!$B$4="Chapter Hunt"),CHOOSE(ArtifactsInput!$N$27+1,20,24,28,32,36,40),0)/100)))))/Skills!G8,1)))/Inputs!$B$44),G2866*Q2866))*IF(Inputs!$B$39="pvp",1,(1+(Inputs!$B$22+Skills!P8+B2889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Skills!A9</f>
        <v/>
      </c>
      <c r="B2867">
        <f>Skills!B9</f>
        <v/>
      </c>
      <c r="C2867">
        <f>Inputs!$B$3&gt;=115</f>
        <v/>
      </c>
      <c r="D2867">
        <f>IF(Skills!C9=1,60+Inputs!$B$26+Inputs!$B$30,IF(Skills!C9=2,90+Inputs!$B$27+Inputs!$B$30,IF(Skills!C9=3,120+Inputs!$B$28+Inputs!$B$30,MAX(0,(Inputs!$B$3-100)*3)+Inputs!$B$29+Inputs!$B$30)))</f>
        <v/>
      </c>
      <c r="E2867">
        <f>INDEX(FactorTable!$B$2:$Y$301, MATCH(ROUND(MIN(300,MAX(1,D2867)),0), FactorTable!$A$2:$A$301,0), Skills!L9+1)</f>
        <v/>
      </c>
      <c r="F2867">
        <f>IF(Skills!M9=TRUE,(Skills!K9/10)*(E2867/1000),Skills!K9/10)+Skills!N9</f>
        <v/>
      </c>
      <c r="G2867">
        <f>Calc!G9</f>
        <v/>
      </c>
      <c r="H2867">
        <f>Calc!H9</f>
        <v/>
      </c>
      <c r="I2867">
        <f>IF(Skills!T9&lt;&gt;"",1+(Skills!T9/10)*($Z$3/1000)/100,1)</f>
        <v/>
      </c>
      <c r="J2867">
        <f>((Inputs!$B$6*(1+Inputs!$B$7/100))+(((Inputs!$B$13*(1+Inputs!$B$14/100))-(Inputs!$B$13*(1+Inputs!$B$14/100)))+0.25*(Inputs!$B$15-Inputs!$B$15))*(1+Inputs!$B$7/100))*(F2867/100)</f>
        <v/>
      </c>
      <c r="K2867">
        <f>J2867*(1+(((Inputs!$B$13+IF(Inputs!$B$3&gt;=35,(10*INDEX(FactorTable!$B$2:$Y$301,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9="TRIUMPH_FEATHER",IF(C2874=TRUE,F2874,0),0)/100)*(1+IF(C2885=TRUE,F2885,0)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2867)</f>
        <v/>
      </c>
      <c r="L2867">
        <f>K2867*(MIN(Inputs!$B$23+(F2880-Calc!F22),(Inputs!$B$24+IF(ArtifactsInput!$M$15,CHOOSE(ArtifactsInput!$N$15+1,25,30,35,40,45,50)/100*(Inputs!$B$12-Inputs!$B$12),0)))/100+(Inputs!$B$24+IF(ArtifactsInput!$M$15,CHOOSE(ArtifactsInput!$N$15+1,25,30,35,40,45,50)/100*(Inputs!$B$12-Inputs!$B$12),0))/100)/2</f>
        <v/>
      </c>
      <c r="M2867">
        <f>L2867*(1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7">
        <f>L2867*(1-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(1-Summary!$B$11)*S2867+Summary!$B$11*U2867</f>
        <v/>
      </c>
      <c r="P2867">
        <f>IF(B2900=0,0,O2867/B2900)</f>
        <v/>
      </c>
      <c r="Q2867">
        <f>IFERROR(1/(IF(Inputs!$B$39="pvp",15,MAX(0.1,Skills!D9-IF(Skills!E9=TRUE,0.5,0)))*(1-IF(AND(ArtifactsInput!$M$27,Inputs!$B$4="Chapter Hunt"),CHOOSE(ArtifactsInput!$N$27+1,20,24,28,32,36,40),0)/100)),0)</f>
        <v/>
      </c>
      <c r="R2867">
        <f>IF(AND(Inputs!$B$39&lt;&gt;"pvp",Inputs!$B$44&gt;0),IF(MAX(0,Inputs!$B$44-B2897)&lt;=0,0,(INT(MAX(0,Inputs!$B$44-B2897)/(IF(Inputs!$B$39="pvp",15,MAX(0.1,Skills!D9-IF(Skills!E9=TRUE,0.5,0)))*(1-IF(AND(ArtifactsInput!$M$27,Inputs!$B$4="Chapter Hunt"),CHOOSE(ArtifactsInput!$N$27+1,20,24,28,32,36,40),0)/100)))+1)),0)</f>
        <v/>
      </c>
      <c r="S2867">
        <f>IF(C2867,(H2867*N2867*IF(AND(Inputs!$B$39&lt;&gt;"pvp",Inputs!$B$44&gt;0),((Skills!F9*((R2867-1)*IF(Skills!G9&gt;0,Skills!H9/Skills!G9,1)+IF(Skills!G9&gt;0,MIN(Skills!H9,MAX(0,MAX(0,Inputs!$B$44-B2897)-((R2867-1)*(IF(Inputs!$B$39="pvp",15,MAX(0.1,Skills!D9-IF(Skills!E9=TRUE,0.5,0)))*(1-IF(AND(ArtifactsInput!$M$27,Inputs!$B$4="Chapter Hunt"),CHOOSE(ArtifactsInput!$N$27+1,20,24,28,32,36,40),0)/100)))))/Skills!G9,1)))/Inputs!$B$44),G2867*Q2867))*IF(Inputs!$B$39="pvp",1,1+(Inputs!$B$21+Skills!O9+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2867*(1-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IF(C2867,(H2867*N2867*IF(AND(Inputs!$B$39&lt;&gt;"pvp",Inputs!$B$44&gt;0),((Skills!F9*((R2867-1)*IF(Skills!G9&gt;0,Skills!H9/Skills!G9,1)+IF(Skills!G9&gt;0,MIN(Skills!H9,MAX(0,MAX(0,Inputs!$B$44-B2897)-((R2867-1)*(IF(Inputs!$B$39="pvp",15,MAX(0.1,Skills!D9-IF(Skills!E9=TRUE,0.5,0)))*(1-IF(AND(ArtifactsInput!$M$27,Inputs!$B$4="Chapter Hunt"),CHOOSE(ArtifactsInput!$N$27+1,20,24,28,32,36,40),0)/100)))))/Skills!G9,1)))/Inputs!$B$44),G2867*Q2867))*IF(Inputs!$B$39="pvp",1,(1+(Inputs!$B$22+Skills!P9+B2889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Skills!A10</f>
        <v/>
      </c>
      <c r="B2868">
        <f>Skills!B10</f>
        <v/>
      </c>
      <c r="C2868">
        <f>Inputs!$B$3&gt;=66</f>
        <v/>
      </c>
      <c r="D2868">
        <f>IF(Skills!C10=1,60+Inputs!$B$26+Inputs!$B$30,IF(Skills!C10=2,90+Inputs!$B$27+Inputs!$B$30,IF(Skills!C10=3,120+Inputs!$B$28+Inputs!$B$30,MAX(0,(Inputs!$B$3-100)*3)+Inputs!$B$29+Inputs!$B$30)))</f>
        <v/>
      </c>
      <c r="E2868">
        <f>INDEX(FactorTable!$B$2:$Y$301, MATCH(ROUND(MIN(300,MAX(1,D2868)),0), FactorTable!$A$2:$A$301,0), Skills!L10+1)</f>
        <v/>
      </c>
      <c r="F2868" t="n">
        <v>0</v>
      </c>
      <c r="G2868">
        <f>Calc!G10</f>
        <v/>
      </c>
      <c r="H2868">
        <f>Calc!H10</f>
        <v/>
      </c>
      <c r="I2868">
        <f>IF(Skills!T10&lt;&gt;"",1+(Skills!T10/10)*($Z$3/1000)/100,1)</f>
        <v/>
      </c>
      <c r="J2868" t="inlineStr"/>
      <c r="K2868" t="inlineStr"/>
      <c r="L2868" t="inlineStr"/>
      <c r="M2868" t="inlineStr"/>
      <c r="N2868" t="inlineStr"/>
      <c r="O2868">
        <f>(1-Summary!$B$11)*S2868+Summary!$B$11*U2868</f>
        <v/>
      </c>
      <c r="P2868">
        <f>IF(B2900=0,0,O2868/B2900)</f>
        <v/>
      </c>
      <c r="Q2868">
        <f>IFERROR(1/(IF(Inputs!$B$39="pvp",15,MAX(0.1,Skills!D10-IF(Skills!E10=TRUE,0.5,0)))*(1-IF(AND(ArtifactsInput!$M$27,Inputs!$B$4="Chapter Hunt"),CHOOSE(ArtifactsInput!$N$27+1,20,24,28,32,36,40),0)/100)),0)</f>
        <v/>
      </c>
      <c r="R2868">
        <f>IF(AND(Inputs!$B$39&lt;&gt;"pvp",Inputs!$B$44&gt;0),IF(MAX(0,Inputs!$B$44-B2897)&lt;=0,0,(INT(MAX(0,Inputs!$B$44-B2897)/(IF(Inputs!$B$39="pvp",15,MAX(0.1,Skills!D10-IF(Skills!E10=TRUE,0.5,0)))*(1-IF(AND(ArtifactsInput!$M$27,Inputs!$B$4="Chapter Hunt"),CHOOSE(ArtifactsInput!$N$27+1,20,24,28,32,36,40),0)/100)))+1)),0)</f>
        <v/>
      </c>
      <c r="S2868" t="n">
        <v>0</v>
      </c>
      <c r="U2868" t="n">
        <v>0</v>
      </c>
    </row>
    <row r="2869">
      <c r="A2869">
        <f>Skills!A11</f>
        <v/>
      </c>
      <c r="B2869">
        <f>Skills!B11</f>
        <v/>
      </c>
      <c r="C2869">
        <f>Inputs!$B$3&gt;=69</f>
        <v/>
      </c>
      <c r="D2869">
        <f>IF(Skills!C11=1,60+Inputs!$B$26+Inputs!$B$30,IF(Skills!C11=2,90+Inputs!$B$27+Inputs!$B$30,IF(Skills!C11=3,120+Inputs!$B$28+Inputs!$B$30,MAX(0,(Inputs!$B$3-100)*3)+Inputs!$B$29+Inputs!$B$30)))</f>
        <v/>
      </c>
      <c r="E2869">
        <f>INDEX(FactorTable!$B$2:$Y$301, MATCH(ROUND(MIN(300,MAX(1,D2869)),0), FactorTable!$A$2:$A$301,0), Skills!L11+1)</f>
        <v/>
      </c>
      <c r="F2869">
        <f>IF(Skills!M11=TRUE,(Skills!K11/10)*(E2869/1000),Skills!K11/10)+Skills!N11</f>
        <v/>
      </c>
      <c r="G2869">
        <f>Calc!G11</f>
        <v/>
      </c>
      <c r="H2869">
        <f>Calc!H11</f>
        <v/>
      </c>
      <c r="I2869">
        <f>IF(Skills!T11&lt;&gt;"",1+(Skills!T11/10)*($Z$3/1000)/100,1)</f>
        <v/>
      </c>
      <c r="J2869" t="inlineStr"/>
      <c r="K2869" t="inlineStr"/>
      <c r="L2869" t="inlineStr"/>
      <c r="M2869" t="inlineStr"/>
      <c r="N2869" t="inlineStr"/>
      <c r="O2869">
        <f>(1-Summary!$B$11)*S2869+Summary!$B$11*U2869</f>
        <v/>
      </c>
      <c r="P2869">
        <f>IF(B2900=0,0,O2869/B2900)</f>
        <v/>
      </c>
      <c r="Q2869">
        <f>IFERROR(1/(IF(Inputs!$B$39="pvp",15,MAX(0.1,Skills!D11-IF(Skills!E11=TRUE,0.5,0)))*(1-IF(AND(ArtifactsInput!$M$27,Inputs!$B$4="Chapter Hunt"),CHOOSE(ArtifactsInput!$N$27+1,20,24,28,32,36,40),0)/100)),0)</f>
        <v/>
      </c>
      <c r="R2869">
        <f>IF(AND(Inputs!$B$39&lt;&gt;"pvp",Inputs!$B$44&gt;0),IF(Inputs!$B$44&lt;=0,0,(INT(Inputs!$B$44/(IF(Inputs!$B$39="pvp",15,MAX(0.1,Skills!D11-IF(Skills!E11=TRUE,0.5,0)))*(1-IF(AND(ArtifactsInput!$M$27,Inputs!$B$4="Chapter Hunt"),CHOOSE(ArtifactsInput!$N$27+1,20,24,28,32,36,40),0)/100)))+1)),0)</f>
        <v/>
      </c>
      <c r="S2869" t="n">
        <v>0</v>
      </c>
      <c r="U2869" t="n">
        <v>0</v>
      </c>
    </row>
    <row r="2870">
      <c r="A2870">
        <f>Skills!A12</f>
        <v/>
      </c>
      <c r="B2870">
        <f>Skills!B12</f>
        <v/>
      </c>
      <c r="C2870">
        <f>Inputs!$B$3&gt;=72</f>
        <v/>
      </c>
      <c r="D2870">
        <f>IF(Skills!C12=1,60+Inputs!$B$26+Inputs!$B$30,IF(Skills!C12=2,90+Inputs!$B$27+Inputs!$B$30,IF(Skills!C12=3,120+Inputs!$B$28+Inputs!$B$30,MAX(0,(Inputs!$B$3-100)*3)+Inputs!$B$29+Inputs!$B$30)))</f>
        <v/>
      </c>
      <c r="E2870">
        <f>INDEX(FactorTable!$B$2:$Y$301, MATCH(ROUND(MIN(300,MAX(1,D2870)),0), FactorTable!$A$2:$A$301,0), Skills!L12+1)</f>
        <v/>
      </c>
      <c r="F2870">
        <f>IF(Skills!M12=TRUE,(Skills!K12/10)*(E2870/1000),Skills!K12/10)+Skills!N12</f>
        <v/>
      </c>
      <c r="G2870">
        <f>Calc!G12</f>
        <v/>
      </c>
      <c r="H2870">
        <f>Calc!H12</f>
        <v/>
      </c>
      <c r="I2870">
        <f>IF(Skills!T12&lt;&gt;"",1+(Skills!T12/10)*($Z$3/1000)/100,1)</f>
        <v/>
      </c>
      <c r="J2870" t="inlineStr"/>
      <c r="K2870" t="inlineStr"/>
      <c r="L2870" t="inlineStr"/>
      <c r="M2870" t="inlineStr"/>
      <c r="N2870" t="inlineStr"/>
      <c r="O2870">
        <f>(1-Summary!$B$11)*S2870+Summary!$B$11*U2870</f>
        <v/>
      </c>
      <c r="P2870">
        <f>IF(B2900=0,0,O2870/B2900)</f>
        <v/>
      </c>
      <c r="Q2870">
        <f>IFERROR(1/(IF(Inputs!$B$39="pvp",15,MAX(0.1,Skills!D12-IF(Skills!E12=TRUE,0.5,0)))*(1-IF(AND(ArtifactsInput!$M$27,Inputs!$B$4="Chapter Hunt"),CHOOSE(ArtifactsInput!$N$27+1,20,24,28,32,36,40),0)/100)),0)</f>
        <v/>
      </c>
      <c r="R2870">
        <f>IF(AND(Inputs!$B$39&lt;&gt;"pvp",Inputs!$B$44&gt;0),IF(MAX(0,Inputs!$B$44-B2897)&lt;=0,0,(INT(MAX(0,Inputs!$B$44-B2897)/(IF(Inputs!$B$39="pvp",15,MAX(0.1,Skills!D12-IF(Skills!E12=TRUE,0.5,0)))*(1-IF(AND(ArtifactsInput!$M$27,Inputs!$B$4="Chapter Hunt"),CHOOSE(ArtifactsInput!$N$27+1,20,24,28,32,36,40),0)/100)))+1)),0)</f>
        <v/>
      </c>
      <c r="S2870" t="n">
        <v>0</v>
      </c>
      <c r="U2870" t="n">
        <v>0</v>
      </c>
    </row>
    <row r="2871">
      <c r="A2871">
        <f>Skills!A13</f>
        <v/>
      </c>
      <c r="B2871">
        <f>Skills!B13</f>
        <v/>
      </c>
      <c r="C2871">
        <f>Inputs!$B$3&gt;=60</f>
        <v/>
      </c>
      <c r="D2871">
        <f>IF(Skills!C13=1,60+Inputs!$B$26+Inputs!$B$30,IF(Skills!C13=2,90+Inputs!$B$27+Inputs!$B$30,IF(Skills!C13=3,120+Inputs!$B$28+Inputs!$B$30,MAX(0,(Inputs!$B$3-100)*3)+Inputs!$B$29+Inputs!$B$30)))</f>
        <v/>
      </c>
      <c r="E2871">
        <f>INDEX(FactorTable!$B$2:$Y$301, MATCH(ROUND(MIN(300,MAX(1,D2871)),0), FactorTable!$A$2:$A$301,0), Skills!L13+1)</f>
        <v/>
      </c>
      <c r="F2871">
        <f>IF(Skills!M13=TRUE,(Skills!K13/10)*(E2871/1000),Skills!K13/10)+Skills!N13</f>
        <v/>
      </c>
      <c r="G2871">
        <f>Calc!G13</f>
        <v/>
      </c>
      <c r="H2871">
        <f>Calc!H13</f>
        <v/>
      </c>
      <c r="I2871">
        <f>IF(Skills!T13&lt;&gt;"",1+(Skills!T13/10)*($Z$3/1000)/100,1)</f>
        <v/>
      </c>
      <c r="J2871" t="inlineStr"/>
      <c r="K2871" t="inlineStr"/>
      <c r="L2871" t="inlineStr"/>
      <c r="M2871" t="inlineStr"/>
      <c r="N2871" t="inlineStr"/>
      <c r="O2871">
        <f>(1-Summary!$B$11)*S2871+Summary!$B$11*U2871</f>
        <v/>
      </c>
      <c r="P2871">
        <f>IF(B2900=0,0,O2871/B2900)</f>
        <v/>
      </c>
      <c r="Q2871">
        <f>IFERROR(1/(IF(Inputs!$B$39="pvp",15,MAX(0.1,Skills!D13-IF(Skills!E13=TRUE,0.5,0)))*(1-IF(AND(ArtifactsInput!$M$27,Inputs!$B$4="Chapter Hunt"),CHOOSE(ArtifactsInput!$N$27+1,20,24,28,32,36,40),0)/100)),0)</f>
        <v/>
      </c>
      <c r="R2871">
        <f>IF(AND(Inputs!$B$39&lt;&gt;"pvp",Inputs!$B$44&gt;0),IF(MAX(0,Inputs!$B$44-B2897)&lt;=0,0,(INT(MAX(0,Inputs!$B$44-B2897)/(IF(Inputs!$B$39="pvp",15,MAX(0.1,Skills!D13-IF(Skills!E13=TRUE,0.5,0)))*(1-IF(AND(ArtifactsInput!$M$27,Inputs!$B$4="Chapter Hunt"),CHOOSE(ArtifactsInput!$N$27+1,20,24,28,32,36,40),0)/100)))+1)),0)</f>
        <v/>
      </c>
      <c r="S2871" t="n">
        <v>0</v>
      </c>
      <c r="U2871" t="n">
        <v>0</v>
      </c>
    </row>
    <row r="2872">
      <c r="A2872">
        <f>Skills!A14</f>
        <v/>
      </c>
      <c r="B2872">
        <f>Skills!B14</f>
        <v/>
      </c>
      <c r="C2872">
        <f>Inputs!$B$3&gt;=107</f>
        <v/>
      </c>
      <c r="D2872">
        <f>IF(Skills!C14=1,60+Inputs!$B$26+Inputs!$B$30,IF(Skills!C14=2,90+Inputs!$B$27+Inputs!$B$30,IF(Skills!C14=3,120+Inputs!$B$28+Inputs!$B$30,MAX(0,(Inputs!$B$3-100)*3)+Inputs!$B$29+Inputs!$B$30)))</f>
        <v/>
      </c>
      <c r="E2872">
        <f>INDEX(FactorTable!$B$2:$Y$301, MATCH(ROUND(MIN(300,MAX(1,D2872)),0), FactorTable!$A$2:$A$301,0), Skills!L14+1)</f>
        <v/>
      </c>
      <c r="F2872">
        <f>IF(Skills!M14=TRUE,(Skills!K14/10)*(E2872/1000),Skills!K14/10)+Skills!N14</f>
        <v/>
      </c>
      <c r="G2872">
        <f>Calc!G14</f>
        <v/>
      </c>
      <c r="H2872">
        <f>Calc!H14</f>
        <v/>
      </c>
      <c r="I2872">
        <f>IF(Skills!T14&lt;&gt;"",1+(Skills!T14/10)*($Z$3/1000)/100,1)</f>
        <v/>
      </c>
      <c r="J2872" t="inlineStr"/>
      <c r="K2872" t="inlineStr"/>
      <c r="L2872" t="inlineStr"/>
      <c r="M2872" t="inlineStr"/>
      <c r="N2872" t="inlineStr"/>
      <c r="O2872">
        <f>(1-Summary!$B$11)*S2872+Summary!$B$11*U2872</f>
        <v/>
      </c>
      <c r="P2872">
        <f>IF(B2900=0,0,O2872/B2900)</f>
        <v/>
      </c>
      <c r="Q2872">
        <f>IFERROR(1/(IF(Inputs!$B$39="pvp",15,MAX(0.1,Skills!D14-IF(Skills!E14=TRUE,0.5,0)))*(1-IF(AND(ArtifactsInput!$M$27,Inputs!$B$4="Chapter Hunt"),CHOOSE(ArtifactsInput!$N$27+1,20,24,28,32,36,40),0)/100)),0)</f>
        <v/>
      </c>
      <c r="R2872">
        <f>IF(AND(Inputs!$B$39&lt;&gt;"pvp",Inputs!$B$44&gt;0),IF(Inputs!$B$44&lt;=0,0,(INT(Inputs!$B$44/(IF(Inputs!$B$39="pvp",15,MAX(0.1,Skills!D14-IF(Skills!E14=TRUE,0.5,0)))*(1-IF(AND(ArtifactsInput!$M$27,Inputs!$B$4="Chapter Hunt"),CHOOSE(ArtifactsInput!$N$27+1,20,24,28,32,36,40),0)/100)))+1)),0)</f>
        <v/>
      </c>
      <c r="S2872" t="n">
        <v>0</v>
      </c>
      <c r="U2872" t="n">
        <v>0</v>
      </c>
    </row>
    <row r="2873">
      <c r="A2873">
        <f>Skills!A15</f>
        <v/>
      </c>
      <c r="B2873">
        <f>Skills!B15</f>
        <v/>
      </c>
      <c r="C2873">
        <f>Inputs!$B$3&gt;=63</f>
        <v/>
      </c>
      <c r="D2873">
        <f>IF(Skills!C15=1,60+Inputs!$B$26+Inputs!$B$30,IF(Skills!C15=2,90+Inputs!$B$27+Inputs!$B$30,IF(Skills!C15=3,120+Inputs!$B$28+Inputs!$B$30,MAX(0,(Inputs!$B$3-100)*3)+Inputs!$B$29+Inputs!$B$30)))</f>
        <v/>
      </c>
      <c r="E2873">
        <f>INDEX(FactorTable!$B$2:$Y$301, MATCH(ROUND(MIN(300,MAX(1,D2873)),0), FactorTable!$A$2:$A$301,0), Skills!L15+1)</f>
        <v/>
      </c>
      <c r="F2873">
        <f>IF(Skills!M15=TRUE,(Skills!K15/10)*(E2873/1000),Skills!K15/10)+Skills!N15</f>
        <v/>
      </c>
      <c r="G2873">
        <f>Calc!G15</f>
        <v/>
      </c>
      <c r="H2873">
        <f>Calc!H15</f>
        <v/>
      </c>
      <c r="I2873">
        <f>IF(Skills!T15&lt;&gt;"",1+(Skills!T15/10)*($Z$3/1000)/100,1)</f>
        <v/>
      </c>
      <c r="J2873">
        <f>((Inputs!$B$6*(1+Inputs!$B$7/100))+(((Inputs!$B$13*(1+Inputs!$B$14/100))-(Inputs!$B$13*(1+Inputs!$B$14/100)))+0.25*(Inputs!$B$15-Inputs!$B$15))*(1+Inputs!$B$7/100))*(F2873/100)</f>
        <v/>
      </c>
      <c r="K2873">
        <f>J2873*(1+(((Inputs!$B$13+IF(Inputs!$B$3&gt;=35,(10*INDEX(FactorTable!$B$2:$Y$301,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15="TRIUMPH_FEATHER",IF(C2874=TRUE,F2874,0),0)/100)*(1+IF(C2885=TRUE,F2885,0)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2873)</f>
        <v/>
      </c>
      <c r="L2873">
        <f>K2873*(MIN(Inputs!$B$23+(F2880-Calc!F22),(Inputs!$B$24+IF(ArtifactsInput!$M$15,CHOOSE(ArtifactsInput!$N$15+1,25,30,35,40,45,50)/100*(Inputs!$B$12-Inputs!$B$12),0)))/100+(Inputs!$B$24+IF(ArtifactsInput!$M$15,CHOOSE(ArtifactsInput!$N$15+1,25,30,35,40,45,50)/100*(Inputs!$B$12-Inputs!$B$12),0))/100)/2</f>
        <v/>
      </c>
      <c r="M2873">
        <f>L2873*(1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3">
        <f>L2873*(1-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(1-Summary!$B$11)*S2873+Summary!$B$11*U2873</f>
        <v/>
      </c>
      <c r="P2873">
        <f>IF(B2900=0,0,O2873/B2900)</f>
        <v/>
      </c>
      <c r="Q2873">
        <f>IFERROR(1/(IF(Inputs!$B$39="pvp",15,MAX(0.1,Skills!D15-IF(Skills!E15=TRUE,0.5,0)))*(1-IF(AND(ArtifactsInput!$M$27,Inputs!$B$4="Chapter Hunt"),CHOOSE(ArtifactsInput!$N$27+1,20,24,28,32,36,40),0)/100)),0)</f>
        <v/>
      </c>
      <c r="R2873" t="n">
        <v>0</v>
      </c>
      <c r="S2873">
        <f>IF(C2873,(Skills!F15*N2873*((IF(Inputs!$B$3&gt;=78,25,15)/100*B2893*10)/(1+IF(Inputs!$B$3&gt;=78,25,15)/100*B2893*10))*(Skills!I15/100*B2893)/(1+Skills!G15*Skills!I15/100*B2893))*IF(Inputs!$B$39="pvp",1,1+(Inputs!$B$21+Skills!O15+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2873*(1-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3">
        <f>IF(C2873,(Skills!F15*N2873*((IF(Inputs!$B$3&gt;=78,25,15)/100*B2893*10)/(1+IF(Inputs!$B$3&gt;=78,25,15)/100*B2893*10))*(Skills!I15/100*B2893)/(1+Skills!G15*Skills!I15/100*B2893))*IF(Inputs!$B$39="pvp",1,(1+(Inputs!$B$22+Skills!P15+B2889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Skills!A16</f>
        <v/>
      </c>
      <c r="B2874">
        <f>Skills!B16</f>
        <v/>
      </c>
      <c r="C2874">
        <f>Inputs!$B$3&gt;=100</f>
        <v/>
      </c>
      <c r="D2874">
        <f>IF(Skills!C16=1,60+Inputs!$B$26+Inputs!$B$30,IF(Skills!C16=2,90+Inputs!$B$27+Inputs!$B$30,IF(Skills!C16=3,120+Inputs!$B$28+Inputs!$B$30,MAX(0,(Inputs!$B$3-100)*3)+Inputs!$B$29+Inputs!$B$30)))</f>
        <v/>
      </c>
      <c r="E2874">
        <f>INDEX(FactorTable!$B$2:$Y$301, MATCH(ROUND(MIN(300,MAX(1,D2874)),0), FactorTable!$A$2:$A$301,0), Skills!L16+1)</f>
        <v/>
      </c>
      <c r="F2874">
        <f>IF(Skills!M16=TRUE,(Skills!K16/10)*(E2874/1000),Skills!K16/10)+Skills!N16</f>
        <v/>
      </c>
      <c r="G2874">
        <f>Calc!G16</f>
        <v/>
      </c>
      <c r="H2874">
        <f>Calc!H16</f>
        <v/>
      </c>
      <c r="I2874">
        <f>IF(Skills!T16&lt;&gt;"",1+(Skills!T16/10)*($Z$3/1000)/100,1)</f>
        <v/>
      </c>
      <c r="J2874" t="inlineStr"/>
      <c r="K2874" t="inlineStr"/>
      <c r="L2874" t="inlineStr"/>
      <c r="M2874" t="inlineStr"/>
      <c r="N2874" t="inlineStr"/>
      <c r="O2874">
        <f>(1-Summary!$B$11)*S2874+Summary!$B$11*U2874</f>
        <v/>
      </c>
      <c r="P2874">
        <f>IF(B2900=0,0,O2874/B2900)</f>
        <v/>
      </c>
      <c r="Q2874">
        <f>IFERROR(1/(IF(Inputs!$B$39="pvp",15,MAX(0.1,Skills!D16-IF(Skills!E16=TRUE,0.5,0)))*(1-IF(AND(ArtifactsInput!$M$27,Inputs!$B$4="Chapter Hunt"),CHOOSE(ArtifactsInput!$N$27+1,20,24,28,32,36,40),0)/100)),0)</f>
        <v/>
      </c>
      <c r="R2874" t="n">
        <v>0</v>
      </c>
      <c r="S2874" t="n">
        <v>0</v>
      </c>
      <c r="U2874" t="n">
        <v>0</v>
      </c>
    </row>
    <row r="2875">
      <c r="A2875">
        <f>Skills!A17</f>
        <v/>
      </c>
      <c r="B2875">
        <f>Skills!B17</f>
        <v/>
      </c>
      <c r="C2875">
        <f>Inputs!$B$3&gt;=49</f>
        <v/>
      </c>
      <c r="D2875">
        <f>IF(Skills!C17=1,60+Inputs!$B$26+Inputs!$B$30,IF(Skills!C17=2,90+Inputs!$B$27+Inputs!$B$30,IF(Skills!C17=3,120+Inputs!$B$28+Inputs!$B$30,MAX(0,(Inputs!$B$3-100)*3)+Inputs!$B$29+Inputs!$B$30)))</f>
        <v/>
      </c>
      <c r="E2875">
        <f>INDEX(FactorTable!$B$2:$Y$301, MATCH(ROUND(MIN(300,MAX(1,D2875)),0), FactorTable!$A$2:$A$301,0), Skills!L17+1)</f>
        <v/>
      </c>
      <c r="F2875">
        <f>IF(Skills!M17=TRUE,(Skills!K17/10)*(E2875/1000),Skills!K17/10)+Skills!N17</f>
        <v/>
      </c>
      <c r="G2875">
        <f>Calc!G17</f>
        <v/>
      </c>
      <c r="H2875">
        <f>Calc!H17</f>
        <v/>
      </c>
      <c r="I2875">
        <f>IF(Skills!T17&lt;&gt;"",1+(Skills!T17/10)*($Z$3/1000)/100,1)</f>
        <v/>
      </c>
      <c r="J2875" t="inlineStr"/>
      <c r="K2875" t="inlineStr"/>
      <c r="L2875" t="inlineStr"/>
      <c r="M2875" t="inlineStr"/>
      <c r="N2875" t="inlineStr"/>
      <c r="O2875">
        <f>(1-Summary!$B$11)*S2875+Summary!$B$11*U2875</f>
        <v/>
      </c>
      <c r="P2875">
        <f>IF(B2900=0,0,O2875/B2900)</f>
        <v/>
      </c>
      <c r="Q2875">
        <f>IFERROR(1/(IF(Inputs!$B$39="pvp",15,MAX(0.1,Skills!D17-IF(Skills!E17=TRUE,0.5,0)))*(1-IF(AND(ArtifactsInput!$M$27,Inputs!$B$4="Chapter Hunt"),CHOOSE(ArtifactsInput!$N$27+1,20,24,28,32,36,40),0)/100)),0)</f>
        <v/>
      </c>
      <c r="R2875" t="n">
        <v>0</v>
      </c>
      <c r="S2875" t="n">
        <v>0</v>
      </c>
      <c r="U2875" t="n">
        <v>0</v>
      </c>
    </row>
    <row r="2876">
      <c r="A2876">
        <f>Skills!A18</f>
        <v/>
      </c>
      <c r="B2876">
        <f>Skills!B18</f>
        <v/>
      </c>
      <c r="C2876">
        <f>Inputs!$B$3&gt;=75</f>
        <v/>
      </c>
      <c r="D2876">
        <f>IF(Skills!C18=1,60+Inputs!$B$26+Inputs!$B$30,IF(Skills!C18=2,90+Inputs!$B$27+Inputs!$B$30,IF(Skills!C18=3,120+Inputs!$B$28+Inputs!$B$30,MAX(0,(Inputs!$B$3-100)*3)+Inputs!$B$29+Inputs!$B$30)))</f>
        <v/>
      </c>
      <c r="E2876">
        <f>INDEX(FactorTable!$B$2:$Y$301, MATCH(ROUND(MIN(300,MAX(1,D2876)),0), FactorTable!$A$2:$A$301,0), Skills!L18+1)</f>
        <v/>
      </c>
      <c r="F2876">
        <f>IF(Skills!M18=TRUE,(Skills!K18/10)*(E2876/1000),Skills!K18/10)+Skills!N18</f>
        <v/>
      </c>
      <c r="G2876">
        <f>Calc!G18</f>
        <v/>
      </c>
      <c r="H2876">
        <f>Calc!H18</f>
        <v/>
      </c>
      <c r="I2876">
        <f>IF(Skills!T18&lt;&gt;"",1+(Skills!T18/10)*($Z$3/1000)/100,1)</f>
        <v/>
      </c>
      <c r="J2876" t="inlineStr"/>
      <c r="K2876" t="inlineStr"/>
      <c r="L2876" t="inlineStr"/>
      <c r="M2876" t="inlineStr"/>
      <c r="N2876" t="inlineStr"/>
      <c r="O2876">
        <f>(1-Summary!$B$11)*S2876+Summary!$B$11*U2876</f>
        <v/>
      </c>
      <c r="P2876">
        <f>IF(B2900=0,0,O2876/B2900)</f>
        <v/>
      </c>
      <c r="Q2876">
        <f>IFERROR(1/(IF(Inputs!$B$39="pvp",15,MAX(0.1,Skills!D18-IF(Skills!E18=TRUE,0.5,0)))*(1-IF(AND(ArtifactsInput!$M$27,Inputs!$B$4="Chapter Hunt"),CHOOSE(ArtifactsInput!$N$27+1,20,24,28,32,36,40),0)/100)),0)</f>
        <v/>
      </c>
      <c r="R2876" t="n">
        <v>0</v>
      </c>
      <c r="S2876" t="n">
        <v>0</v>
      </c>
      <c r="U2876" t="n">
        <v>0</v>
      </c>
    </row>
    <row r="2877">
      <c r="A2877">
        <f>Skills!A19</f>
        <v/>
      </c>
      <c r="B2877">
        <f>Skills!B19</f>
        <v/>
      </c>
      <c r="C2877">
        <f>Inputs!$B$3&gt;=110</f>
        <v/>
      </c>
      <c r="D2877">
        <f>IF(Skills!C19=1,60+Inputs!$B$26+Inputs!$B$30,IF(Skills!C19=2,90+Inputs!$B$27+Inputs!$B$30,IF(Skills!C19=3,120+Inputs!$B$28+Inputs!$B$30,MAX(0,(Inputs!$B$3-100)*3)+Inputs!$B$29+Inputs!$B$30)))</f>
        <v/>
      </c>
      <c r="E2877">
        <f>INDEX(FactorTable!$B$2:$Y$301, MATCH(ROUND(MIN(300,MAX(1,D2877)),0), FactorTable!$A$2:$A$301,0), Skills!L19+1)</f>
        <v/>
      </c>
      <c r="F2877">
        <f>(Skills!K19/10)*(E2877/1000)*64/45+Skills!N19</f>
        <v/>
      </c>
      <c r="G2877">
        <f>Calc!G19</f>
        <v/>
      </c>
      <c r="H2877">
        <f>Calc!H19</f>
        <v/>
      </c>
      <c r="I2877">
        <f>IF(Skills!T19&lt;&gt;"",1+(Skills!T19/10)*($Z$3/1000)/100,1)</f>
        <v/>
      </c>
      <c r="J2877" t="inlineStr"/>
      <c r="K2877" t="inlineStr"/>
      <c r="L2877" t="inlineStr"/>
      <c r="M2877" t="inlineStr"/>
      <c r="N2877" t="inlineStr"/>
      <c r="O2877">
        <f>(1-Summary!$B$11)*S2877+Summary!$B$11*U2877</f>
        <v/>
      </c>
      <c r="P2877">
        <f>IF(B2900=0,0,O2877/B2900)</f>
        <v/>
      </c>
      <c r="Q2877">
        <f>IFERROR(1/(IF(Inputs!$B$39="pvp",15,MAX(0.1,Skills!D19-IF(Skills!E19=TRUE,0.5,0)))*(1-IF(AND(ArtifactsInput!$M$27,Inputs!$B$4="Chapter Hunt"),CHOOSE(ArtifactsInput!$N$27+1,20,24,28,32,36,40),0)/100)),0)</f>
        <v/>
      </c>
      <c r="R2877">
        <f>IF(AND(Inputs!$B$39&lt;&gt;"pvp",Inputs!$B$44&gt;0),IF(Inputs!$B$44&lt;=0,0,(INT(Inputs!$B$44/(IF(Inputs!$B$39="pvp",15,MAX(0.1,Skills!D19-IF(Skills!E19=TRUE,0.5,0)))*(1-IF(AND(ArtifactsInput!$M$27,Inputs!$B$4="Chapter Hunt"),CHOOSE(ArtifactsInput!$N$27+1,20,24,28,32,36,40),0)/100)))+1)),0)</f>
        <v/>
      </c>
      <c r="S2877" t="n">
        <v>0</v>
      </c>
      <c r="U2877" t="n">
        <v>0</v>
      </c>
    </row>
    <row r="2878">
      <c r="A2878">
        <f>Skills!A20</f>
        <v/>
      </c>
      <c r="B2878">
        <f>Skills!B20</f>
        <v/>
      </c>
      <c r="C2878">
        <f>Inputs!$B$3&gt;=125</f>
        <v/>
      </c>
      <c r="D2878">
        <f>IF(Skills!C20=1,60+Inputs!$B$26+Inputs!$B$30,IF(Skills!C20=2,90+Inputs!$B$27+Inputs!$B$30,IF(Skills!C20=3,120+Inputs!$B$28+Inputs!$B$30,MAX(0,(Inputs!$B$3-100)*3)+Inputs!$B$29+Inputs!$B$30)))</f>
        <v/>
      </c>
      <c r="E2878">
        <f>INDEX(FactorTable!$B$2:$Y$301, MATCH(ROUND(MIN(300,MAX(1,D2878)),0), FactorTable!$A$2:$A$301,0), Skills!L20+1)</f>
        <v/>
      </c>
      <c r="F2878">
        <f>IF(Skills!M20=TRUE,(Skills!K20/10)*(E2878/1000),Skills!K20/10)+Skills!N20</f>
        <v/>
      </c>
      <c r="G2878">
        <f>Calc!G20</f>
        <v/>
      </c>
      <c r="H2878">
        <f>Calc!H20</f>
        <v/>
      </c>
      <c r="I2878">
        <f>IF(Skills!T20&lt;&gt;"",1+(Skills!T20/10)*($Z$3/1000)/100,1)</f>
        <v/>
      </c>
      <c r="J2878" t="inlineStr"/>
      <c r="K2878" t="inlineStr"/>
      <c r="L2878" t="inlineStr"/>
      <c r="M2878" t="inlineStr"/>
      <c r="N2878" t="inlineStr"/>
      <c r="O2878">
        <f>(1-Summary!$B$11)*S2878+Summary!$B$11*U2878</f>
        <v/>
      </c>
      <c r="P2878">
        <f>IF(B2900=0,0,O2878/B2900)</f>
        <v/>
      </c>
      <c r="Q2878">
        <f>IFERROR(1/(IF(Inputs!$B$39="pvp",15,MAX(0.1,Skills!D20-IF(Skills!E20=TRUE,0.5,0)))*(1-IF(AND(ArtifactsInput!$M$27,Inputs!$B$4="Chapter Hunt"),CHOOSE(ArtifactsInput!$N$27+1,20,24,28,32,36,40),0)/100)),0)</f>
        <v/>
      </c>
      <c r="R2878" t="n">
        <v>0</v>
      </c>
      <c r="S2878" t="n">
        <v>0</v>
      </c>
      <c r="U2878" t="n">
        <v>0</v>
      </c>
    </row>
    <row r="2879">
      <c r="A2879">
        <f>Skills!A21</f>
        <v/>
      </c>
      <c r="B2879">
        <f>Skills!B21</f>
        <v/>
      </c>
      <c r="C2879">
        <f>Inputs!$B$3&gt;=33</f>
        <v/>
      </c>
      <c r="D2879">
        <f>IF(Skills!C21=1,60+Inputs!$B$26+Inputs!$B$30,IF(Skills!C21=2,90+Inputs!$B$27+Inputs!$B$30,IF(Skills!C21=3,120+Inputs!$B$28+Inputs!$B$30,MAX(0,(Inputs!$B$3-100)*3)+Inputs!$B$29+Inputs!$B$30)))</f>
        <v/>
      </c>
      <c r="E2879">
        <f>INDEX(FactorTable!$B$2:$Y$301, MATCH(ROUND(MIN(300,MAX(1,D2879)),0), FactorTable!$A$2:$A$301,0), Skills!L21+1)</f>
        <v/>
      </c>
      <c r="F2879">
        <f>IF(Skills!M21=TRUE,(Skills!K21/10)*(E2879/1000),Skills!K21/10)+Skills!N21</f>
        <v/>
      </c>
      <c r="G2879">
        <f>Calc!G21</f>
        <v/>
      </c>
      <c r="H2879">
        <f>Calc!H21</f>
        <v/>
      </c>
      <c r="I2879">
        <f>IF(Skills!T21&lt;&gt;"",1+(Skills!T21/10)*($Z$3/1000)/100,1)</f>
        <v/>
      </c>
      <c r="J2879" t="inlineStr"/>
      <c r="K2879" t="inlineStr"/>
      <c r="L2879" t="inlineStr"/>
      <c r="M2879" t="inlineStr"/>
      <c r="N2879" t="inlineStr"/>
      <c r="O2879">
        <f>(1-Summary!$B$11)*S2879+Summary!$B$11*U2879</f>
        <v/>
      </c>
      <c r="P2879">
        <f>IF(B2900=0,0,O2879/B2900)</f>
        <v/>
      </c>
      <c r="Q2879">
        <f>IFERROR(1/(IF(Inputs!$B$39="pvp",15,MAX(0.1,Skills!D21-IF(Skills!E21=TRUE,0.5,0)))*(1-IF(AND(ArtifactsInput!$M$27,Inputs!$B$4="Chapter Hunt"),CHOOSE(ArtifactsInput!$N$27+1,20,24,28,32,36,40),0)/100)),0)</f>
        <v/>
      </c>
      <c r="R2879" t="n">
        <v>0</v>
      </c>
      <c r="S2879" t="n">
        <v>0</v>
      </c>
      <c r="U2879" t="n">
        <v>0</v>
      </c>
    </row>
    <row r="2880">
      <c r="A2880">
        <f>Skills!A22</f>
        <v/>
      </c>
      <c r="B2880">
        <f>Skills!B22</f>
        <v/>
      </c>
      <c r="C2880">
        <f>Inputs!$B$3&gt;=43</f>
        <v/>
      </c>
      <c r="D2880">
        <f>IF(Skills!C22=1,60+Inputs!$B$26+Inputs!$B$30,IF(Skills!C22=2,90+Inputs!$B$27+Inputs!$B$30,IF(Skills!C22=3,120+Inputs!$B$28+Inputs!$B$30,MAX(0,(Inputs!$B$3-100)*3)+Inputs!$B$29+Inputs!$B$30)))</f>
        <v/>
      </c>
      <c r="E2880">
        <f>INDEX(FactorTable!$B$2:$Y$301, MATCH(ROUND(MIN(300,MAX(1,D2880)),0), FactorTable!$A$2:$A$301,0), Skills!L22+1)</f>
        <v/>
      </c>
      <c r="F2880">
        <f>IF(Skills!M22=TRUE,(Skills!K22/10)*(E2880/1000),Skills!K22/10)+Skills!N22</f>
        <v/>
      </c>
      <c r="G2880">
        <f>Calc!G22</f>
        <v/>
      </c>
      <c r="H2880">
        <f>Calc!H22</f>
        <v/>
      </c>
      <c r="I2880">
        <f>IF(Skills!T22&lt;&gt;"",1+(Skills!T22/10)*($Z$3/1000)/100,1)</f>
        <v/>
      </c>
      <c r="J2880" t="inlineStr"/>
      <c r="K2880" t="inlineStr"/>
      <c r="L2880" t="inlineStr"/>
      <c r="M2880" t="inlineStr"/>
      <c r="N2880" t="inlineStr"/>
      <c r="O2880">
        <f>(1-Summary!$B$11)*S2880+Summary!$B$11*U2880</f>
        <v/>
      </c>
      <c r="P2880">
        <f>IF(B2900=0,0,O2880/B2900)</f>
        <v/>
      </c>
      <c r="Q2880">
        <f>IFERROR(1/(IF(Inputs!$B$39="pvp",15,MAX(0.1,Skills!D22-IF(Skills!E22=TRUE,0.5,0)))*(1-IF(AND(ArtifactsInput!$M$27,Inputs!$B$4="Chapter Hunt"),CHOOSE(ArtifactsInput!$N$27+1,20,24,28,32,36,40),0)/100)),0)</f>
        <v/>
      </c>
      <c r="R2880" t="n">
        <v>0</v>
      </c>
      <c r="S2880" t="n">
        <v>0</v>
      </c>
      <c r="U2880" t="n">
        <v>0</v>
      </c>
    </row>
    <row r="2881">
      <c r="A2881">
        <f>Skills!A23</f>
        <v/>
      </c>
      <c r="B2881">
        <f>Skills!B23</f>
        <v/>
      </c>
      <c r="C2881">
        <f>Inputs!$B$3&gt;=50</f>
        <v/>
      </c>
      <c r="D2881">
        <f>IF(Skills!C23=1,60+Inputs!$B$26+Inputs!$B$30,IF(Skills!C23=2,90+Inputs!$B$27+Inputs!$B$30,IF(Skills!C23=3,120+Inputs!$B$28+Inputs!$B$30,MAX(0,(Inputs!$B$3-100)*3)+Inputs!$B$29+Inputs!$B$30)))</f>
        <v/>
      </c>
      <c r="E2881">
        <f>INDEX(FactorTable!$B$2:$Y$301, MATCH(ROUND(MIN(300,MAX(1,D2881)),0), FactorTable!$A$2:$A$301,0), Skills!L23+1)</f>
        <v/>
      </c>
      <c r="F2881">
        <f>IF(Skills!M23=TRUE,(Skills!K23/10)*(E2881/1000),Skills!K23/10)+Skills!N23</f>
        <v/>
      </c>
      <c r="G2881">
        <f>Calc!G23</f>
        <v/>
      </c>
      <c r="H2881">
        <f>Calc!H23</f>
        <v/>
      </c>
      <c r="I2881">
        <f>IF(Skills!T23&lt;&gt;"",1+(Skills!T23/10)*($Z$3/1000)/100,1)</f>
        <v/>
      </c>
      <c r="J2881" t="inlineStr"/>
      <c r="K2881" t="inlineStr"/>
      <c r="L2881" t="inlineStr"/>
      <c r="M2881" t="inlineStr"/>
      <c r="N2881" t="inlineStr"/>
      <c r="O2881">
        <f>(1-Summary!$B$11)*S2881+Summary!$B$11*U2881</f>
        <v/>
      </c>
      <c r="P2881">
        <f>IF(B2900=0,0,O2881/B2900)</f>
        <v/>
      </c>
      <c r="Q2881">
        <f>IFERROR(1/(IF(Inputs!$B$39="pvp",15,MAX(0.1,Skills!D23-IF(Skills!E23=TRUE,0.5,0)))*(1-IF(AND(ArtifactsInput!$M$27,Inputs!$B$4="Chapter Hunt"),CHOOSE(ArtifactsInput!$N$27+1,20,24,28,32,36,40),0)/100)),0)</f>
        <v/>
      </c>
      <c r="R2881" t="n">
        <v>0</v>
      </c>
      <c r="S2881" t="n">
        <v>0</v>
      </c>
      <c r="U2881" t="n">
        <v>0</v>
      </c>
    </row>
    <row r="2882">
      <c r="A2882">
        <f>Skills!A24</f>
        <v/>
      </c>
      <c r="B2882">
        <f>Skills!B24</f>
        <v/>
      </c>
      <c r="C2882">
        <f>Inputs!$B$3&gt;=74</f>
        <v/>
      </c>
      <c r="D2882">
        <f>IF(Skills!C24=1,60+Inputs!$B$26+Inputs!$B$30,IF(Skills!C24=2,90+Inputs!$B$27+Inputs!$B$30,IF(Skills!C24=3,120+Inputs!$B$28+Inputs!$B$30,MAX(0,(Inputs!$B$3-100)*3)+Inputs!$B$29+Inputs!$B$30)))</f>
        <v/>
      </c>
      <c r="E2882">
        <f>INDEX(FactorTable!$B$2:$Y$301, MATCH(ROUND(MIN(300,MAX(1,D2882)),0), FactorTable!$A$2:$A$301,0), Skills!L24+1)</f>
        <v/>
      </c>
      <c r="F2882">
        <f>IF(Skills!M24=TRUE,(Skills!K24/10)*(E2882/1000),Skills!K24/10)+Skills!N24</f>
        <v/>
      </c>
      <c r="G2882">
        <f>Calc!G24</f>
        <v/>
      </c>
      <c r="H2882">
        <f>Calc!H24</f>
        <v/>
      </c>
      <c r="I2882">
        <f>IF(Skills!T24&lt;&gt;"",1+(Skills!T24/10)*($Z$3/1000)/100,1)</f>
        <v/>
      </c>
      <c r="J2882" t="inlineStr"/>
      <c r="K2882" t="inlineStr"/>
      <c r="L2882" t="inlineStr"/>
      <c r="M2882" t="inlineStr"/>
      <c r="N2882" t="inlineStr"/>
      <c r="O2882">
        <f>(1-Summary!$B$11)*S2882+Summary!$B$11*U2882</f>
        <v/>
      </c>
      <c r="P2882">
        <f>IF(B2900=0,0,O2882/B2900)</f>
        <v/>
      </c>
      <c r="Q2882">
        <f>IFERROR(1/(IF(Inputs!$B$39="pvp",15,MAX(0.1,Skills!D24-IF(Skills!E24=TRUE,0.5,0)))*(1-IF(AND(ArtifactsInput!$M$27,Inputs!$B$4="Chapter Hunt"),CHOOSE(ArtifactsInput!$N$27+1,20,24,28,32,36,40),0)/100)),0)</f>
        <v/>
      </c>
      <c r="R2882" t="n">
        <v>0</v>
      </c>
      <c r="S2882" t="n">
        <v>0</v>
      </c>
      <c r="U2882" t="n">
        <v>0</v>
      </c>
    </row>
    <row r="2883">
      <c r="A2883">
        <f>Skills!A25</f>
        <v/>
      </c>
      <c r="B2883">
        <f>Skills!B25</f>
        <v/>
      </c>
      <c r="C2883">
        <f>Inputs!$B$3&gt;=74</f>
        <v/>
      </c>
      <c r="D2883">
        <f>IF(Skills!C25=1,60+Inputs!$B$26+Inputs!$B$30,IF(Skills!C25=2,90+Inputs!$B$27+Inputs!$B$30,IF(Skills!C25=3,120+Inputs!$B$28+Inputs!$B$30,MAX(0,(Inputs!$B$3-100)*3)+Inputs!$B$29+Inputs!$B$30)))</f>
        <v/>
      </c>
      <c r="E2883">
        <f>INDEX(FactorTable!$B$2:$Y$301, MATCH(ROUND(MIN(300,MAX(1,D2883)),0), FactorTable!$A$2:$A$301,0), Skills!L25+1)</f>
        <v/>
      </c>
      <c r="F2883">
        <f>IF(Skills!M25=TRUE,(Skills!K25/10)*(E2883/1000),Skills!K25/10)+Skills!N25</f>
        <v/>
      </c>
      <c r="G2883">
        <f>Calc!G25</f>
        <v/>
      </c>
      <c r="H2883">
        <f>Calc!H25</f>
        <v/>
      </c>
      <c r="I2883">
        <f>IF(Skills!T25&lt;&gt;"",1+(Skills!T25/10)*($Z$3/1000)/100,1)</f>
        <v/>
      </c>
      <c r="J2883" t="inlineStr"/>
      <c r="K2883" t="inlineStr"/>
      <c r="L2883" t="inlineStr"/>
      <c r="M2883" t="inlineStr"/>
      <c r="N2883" t="inlineStr"/>
      <c r="O2883">
        <f>(1-Summary!$B$11)*S2883+Summary!$B$11*U2883</f>
        <v/>
      </c>
      <c r="P2883">
        <f>IF(B2900=0,0,O2883/B2900)</f>
        <v/>
      </c>
      <c r="Q2883">
        <f>IFERROR(1/(IF(Inputs!$B$39="pvp",15,MAX(0.1,Skills!D25-IF(Skills!E25=TRUE,0.5,0)))*(1-IF(AND(ArtifactsInput!$M$27,Inputs!$B$4="Chapter Hunt"),CHOOSE(ArtifactsInput!$N$27+1,20,24,28,32,36,40),0)/100)),0)</f>
        <v/>
      </c>
      <c r="R2883" t="n">
        <v>0</v>
      </c>
      <c r="S2883" t="n">
        <v>0</v>
      </c>
      <c r="U2883" t="n">
        <v>0</v>
      </c>
    </row>
    <row r="2884">
      <c r="A2884">
        <f>Skills!A26</f>
        <v/>
      </c>
      <c r="B2884">
        <f>Skills!B26</f>
        <v/>
      </c>
      <c r="C2884">
        <f>Inputs!$B$3&gt;=117</f>
        <v/>
      </c>
      <c r="D2884">
        <f>IF(Skills!C26=1,60+Inputs!$B$26+Inputs!$B$30,IF(Skills!C26=2,90+Inputs!$B$27+Inputs!$B$30,IF(Skills!C26=3,120+Inputs!$B$28+Inputs!$B$30,MAX(0,(Inputs!$B$3-100)*3)+Inputs!$B$29+Inputs!$B$30)))</f>
        <v/>
      </c>
      <c r="E2884">
        <f>INDEX(FactorTable!$B$2:$Y$301, MATCH(ROUND(MIN(300,MAX(1,D2884)),0), FactorTable!$A$2:$A$301,0), Skills!L26+1)</f>
        <v/>
      </c>
      <c r="F2884">
        <f>IF(Skills!M26=TRUE,(Skills!K26/10)*(E2884/1000),Skills!K26/10)+Skills!N26</f>
        <v/>
      </c>
      <c r="G2884">
        <f>Calc!G26</f>
        <v/>
      </c>
      <c r="H2884">
        <f>Calc!H26</f>
        <v/>
      </c>
      <c r="I2884">
        <f>IF(Skills!T26&lt;&gt;"",1+(Skills!T26/10)*($Z$3/1000)/100,1)</f>
        <v/>
      </c>
      <c r="J2884" t="inlineStr"/>
      <c r="K2884" t="inlineStr"/>
      <c r="L2884" t="inlineStr"/>
      <c r="M2884" t="inlineStr"/>
      <c r="N2884" t="inlineStr"/>
      <c r="O2884">
        <f>(1-Summary!$B$11)*S2884+Summary!$B$11*U2884</f>
        <v/>
      </c>
      <c r="P2884">
        <f>IF(B2900=0,0,O2884/B2900)</f>
        <v/>
      </c>
      <c r="Q2884">
        <f>IFERROR(1/(IF(Inputs!$B$39="pvp",15,MAX(0.1,Skills!D26-IF(Skills!E26=TRUE,0.5,0)))*(1-IF(AND(ArtifactsInput!$M$27,Inputs!$B$4="Chapter Hunt"),CHOOSE(ArtifactsInput!$N$27+1,20,24,28,32,36,40),0)/100)),0)</f>
        <v/>
      </c>
      <c r="R2884" t="n">
        <v>0</v>
      </c>
      <c r="S2884" t="n">
        <v>0</v>
      </c>
      <c r="U2884" t="n">
        <v>0</v>
      </c>
    </row>
    <row r="2885">
      <c r="A2885">
        <f>Skills!A27</f>
        <v/>
      </c>
      <c r="B2885">
        <f>Skills!B27</f>
        <v/>
      </c>
      <c r="C2885">
        <f>Inputs!$B$3&gt;=120</f>
        <v/>
      </c>
      <c r="D2885">
        <f>IF(Skills!C27=1,60+Inputs!$B$26+Inputs!$B$30,IF(Skills!C27=2,90+Inputs!$B$27+Inputs!$B$30,IF(Skills!C27=3,120+Inputs!$B$28+Inputs!$B$30,MAX(0,(Inputs!$B$3-100)*3)+Inputs!$B$29+Inputs!$B$30)))</f>
        <v/>
      </c>
      <c r="E2885">
        <f>INDEX(FactorTable!$B$2:$Y$301, MATCH(ROUND(MIN(300,MAX(1,D2885)),0), FactorTable!$A$2:$A$301,0), Skills!L27+1)</f>
        <v/>
      </c>
      <c r="F2885">
        <f>IF(Skills!M27=TRUE,(Skills!K27/10)*(E2885/1000),Skills!K27/10)+Skills!N27</f>
        <v/>
      </c>
      <c r="G2885">
        <f>Calc!G27</f>
        <v/>
      </c>
      <c r="H2885">
        <f>Calc!H27</f>
        <v/>
      </c>
      <c r="I2885">
        <f>IF(Skills!T27&lt;&gt;"",1+(Skills!T27/10)*($Z$3/1000)/100,1)</f>
        <v/>
      </c>
      <c r="J2885" t="inlineStr"/>
      <c r="K2885" t="inlineStr"/>
      <c r="L2885" t="inlineStr"/>
      <c r="M2885" t="inlineStr"/>
      <c r="N2885" t="inlineStr"/>
      <c r="O2885">
        <f>(1-Summary!$B$11)*S2885+Summary!$B$11*U2885</f>
        <v/>
      </c>
      <c r="P2885">
        <f>IF(B2900=0,0,O2885/B2900)</f>
        <v/>
      </c>
      <c r="Q2885">
        <f>IFERROR(1/(IF(Inputs!$B$39="pvp",15,MAX(0.1,Skills!D27-IF(Skills!E27=TRUE,0.5,0)))*(1-IF(AND(ArtifactsInput!$M$27,Inputs!$B$4="Chapter Hunt"),CHOOSE(ArtifactsInput!$N$27+1,20,24,28,32,36,40),0)/100)),0)</f>
        <v/>
      </c>
      <c r="R2885" t="n">
        <v>0</v>
      </c>
      <c r="S2885" t="n">
        <v>0</v>
      </c>
      <c r="U2885" t="n">
        <v>0</v>
      </c>
    </row>
    <row r="2887">
      <c r="A2887" t="inlineStr">
        <is>
          <t>Average Buff Multiplier</t>
        </is>
      </c>
      <c r="B2887">
        <f>(1+(IF(C2861=TRUE,F2861*IF(AND(Inputs!$B$39&lt;&gt;"pvp",Inputs!$B$44&gt;0),(((R2861-1)*(Skills!S3*(1+((Inputs!$B$35+(ArtifactsInput!$M$7-ArtifactsInput!$M$7)*CHOOSE(ArtifactsInput!$N$7+1,6,7.2,8.4,9.6,10.8,12))+IF(Inputs!$B$3&gt;=117,F2884,0))/100))+MIN((Skills!S3*(1+((Inputs!$B$35+(ArtifactsInput!$M$7-ArtifactsInput!$M$7)*CHOOSE(ArtifactsInput!$N$7+1,6,7.2,8.4,9.6,10.8,12))+IF(Inputs!$B$3&gt;=117,F2884,0))/100)),MAX(0,Inputs!$B$44-((R2861-1)*Skills!D3))))/Inputs!$B$44),IF(Inputs!$B$39="pvp",MIN((Skills!S3*(1+((Inputs!$B$35+(ArtifactsInput!$M$7-ArtifactsInput!$M$7)*CHOOSE(ArtifactsInput!$N$7+1,6,7.2,8.4,9.6,10.8,12))+IF(Inputs!$B$3&gt;=117,F2884,0))/100)),15)/15,(Skills!S3*(1+((Inputs!$B$35+(ArtifactsInput!$M$7-ArtifactsInput!$M$7)*CHOOSE(ArtifactsInput!$N$7+1,6,7.2,8.4,9.6,10.8,12))+IF(Inputs!$B$3&gt;=117,F2884,0))/100))/Skills!D3)),0)+IF(C2862=TRUE,F2862*IF(AND(Inputs!$B$39&lt;&gt;"pvp",Inputs!$B$44&gt;0),(((R2862-1)*(Skills!S4*(1+((Inputs!$B$35+(ArtifactsInput!$M$7-ArtifactsInput!$M$7)*CHOOSE(ArtifactsInput!$N$7+1,6,7.2,8.4,9.6,10.8,12))+IF(Inputs!$B$3&gt;=117,F2884,0))/100))+MIN((Skills!S4*(1+((Inputs!$B$35+(ArtifactsInput!$M$7-ArtifactsInput!$M$7)*CHOOSE(ArtifactsInput!$N$7+1,6,7.2,8.4,9.6,10.8,12))+IF(Inputs!$B$3&gt;=117,F2884,0))/100)),MAX(0,Inputs!$B$44-((R2862-1)*Skills!D4))))/Inputs!$B$44),IF(Inputs!$B$39="pvp",MIN((Skills!S4*(1+((Inputs!$B$35+(ArtifactsInput!$M$7-ArtifactsInput!$M$7)*CHOOSE(ArtifactsInput!$N$7+1,6,7.2,8.4,9.6,10.8,12))+IF(Inputs!$B$3&gt;=117,F2884,0))/100)),15)/15,(Skills!S4*(1+((Inputs!$B$35+(ArtifactsInput!$M$7-ArtifactsInput!$M$7)*CHOOSE(ArtifactsInput!$N$7+1,6,7.2,8.4,9.6,10.8,12))+IF(Inputs!$B$3&gt;=117,F2884,0))/100))/Skills!D4)),0)+IF(C2863=TRUE,F2863*IF(AND(Inputs!$B$39&lt;&gt;"pvp",Inputs!$B$44&gt;0),(((R2863-1)*(Skills!S5*(1+((Inputs!$B$35+(ArtifactsInput!$M$7-ArtifactsInput!$M$7)*CHOOSE(ArtifactsInput!$N$7+1,6,7.2,8.4,9.6,10.8,12))+IF(Inputs!$B$3&gt;=117,F2884,0))/100))+MIN((Skills!S5*(1+((Inputs!$B$35+(ArtifactsInput!$M$7-ArtifactsInput!$M$7)*CHOOSE(ArtifactsInput!$N$7+1,6,7.2,8.4,9.6,10.8,12))+IF(Inputs!$B$3&gt;=117,F2884,0))/100)),MAX(0,Inputs!$B$44-((R2863-1)*Skills!D5))))/Inputs!$B$44),IF(Inputs!$B$39="pvp",MIN((Skills!S5*(1+((Inputs!$B$35+(ArtifactsInput!$M$7-ArtifactsInput!$M$7)*CHOOSE(ArtifactsInput!$N$7+1,6,7.2,8.4,9.6,10.8,12))+IF(Inputs!$B$3&gt;=117,F2884,0))/100)),15)/15,(Skills!S5*(1+((Inputs!$B$35+(ArtifactsInput!$M$7-ArtifactsInput!$M$7)*CHOOSE(ArtifactsInput!$N$7+1,6,7.2,8.4,9.6,10.8,12))+IF(Inputs!$B$3&gt;=117,F2884,0))/100))/Skills!D5)),0)+IF(C2869=TRUE,F2869*IF(AND(Inputs!$B$39&lt;&gt;"pvp",Inputs!$B$44&gt;0),(((R2869-1)*(Skills!S11*(1+((Inputs!$B$35+(ArtifactsInput!$M$7-ArtifactsInput!$M$7)*CHOOSE(ArtifactsInput!$N$7+1,6,7.2,8.4,9.6,10.8,12))+IF(Inputs!$B$3&gt;=117,F2884,0))/100))+MIN((Skills!S11*(1+((Inputs!$B$35+(ArtifactsInput!$M$7-ArtifactsInput!$M$7)*CHOOSE(ArtifactsInput!$N$7+1,6,7.2,8.4,9.6,10.8,12))+IF(Inputs!$B$3&gt;=117,F2884,0))/100)),MAX(0,Inputs!$B$44-((R2869-1)*Skills!D11))))/Inputs!$B$44),IF(Inputs!$B$39="pvp",MIN((Skills!S11*(1+((Inputs!$B$35+(ArtifactsInput!$M$7-ArtifactsInput!$M$7)*CHOOSE(ArtifactsInput!$N$7+1,6,7.2,8.4,9.6,10.8,12))+IF(Inputs!$B$3&gt;=117,F2884,0))/100)),15)/15,(Skills!S11*(1+((Inputs!$B$35+(ArtifactsInput!$M$7-ArtifactsInput!$M$7)*CHOOSE(ArtifactsInput!$N$7+1,6,7.2,8.4,9.6,10.8,12))+IF(Inputs!$B$3&gt;=117,F2884,0)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2872=TRUE,(1+F2872*IF(AND(Inputs!$B$39&lt;&gt;"pvp",Inputs!$B$44&gt;0),(((R2872-1)*(Skills!S14*(1+((Inputs!$B$35+(ArtifactsInput!$M$7-ArtifactsInput!$M$7)*CHOOSE(ArtifactsInput!$N$7+1,6,7.2,8.4,9.6,10.8,12))+IF(Inputs!$B$3&gt;=117,F2884,0))/100))+MIN((Skills!S14*(1+((Inputs!$B$35+(ArtifactsInput!$M$7-ArtifactsInput!$M$7)*CHOOSE(ArtifactsInput!$N$7+1,6,7.2,8.4,9.6,10.8,12))+IF(Inputs!$B$3&gt;=117,F2884,0))/100)),MAX(0,Inputs!$B$44-((R2872-1)*Skills!D14))))/Inputs!$B$44),IF(Inputs!$B$39="pvp",MIN((Skills!S14*(1+((Inputs!$B$35+(ArtifactsInput!$M$7-ArtifactsInput!$M$7)*CHOOSE(ArtifactsInput!$N$7+1,6,7.2,8.4,9.6,10.8,12))+IF(Inputs!$B$3&gt;=117,F2884,0))/100)),15)/15,(Skills!S14*(1+((Inputs!$B$35+(ArtifactsInput!$M$7-ArtifactsInput!$M$7)*CHOOSE(ArtifactsInput!$N$7+1,6,7.2,8.4,9.6,10.8,12))+IF(Inputs!$B$3&gt;=117,F2884,0))/100))/Skills!D14))/100),1)*IF(C2877=TRUE,(1+F2877*IF(AND(Inputs!$B$39&lt;&gt;"pvp",Inputs!$B$44&gt;0),(((R2877-1)*(Skills!S19*(1+((Inputs!$B$35+(ArtifactsInput!$M$7-ArtifactsInput!$M$7)*CHOOSE(ArtifactsInput!$N$7+1,6,7.2,8.4,9.6,10.8,12))+IF(Inputs!$B$3&gt;=117,F2884,0))/100))+MIN((Skills!S19*(1+((Inputs!$B$35+(ArtifactsInput!$M$7-ArtifactsInput!$M$7)*CHOOSE(ArtifactsInput!$N$7+1,6,7.2,8.4,9.6,10.8,12))+IF(Inputs!$B$3&gt;=117,F2884,0))/100)),MAX(0,Inputs!$B$44-((R2877-1)*Skills!D19))))/Inputs!$B$44),IF(Inputs!$B$39="pvp",MIN((Skills!S19*(1+((Inputs!$B$35+(ArtifactsInput!$M$7-ArtifactsInput!$M$7)*CHOOSE(ArtifactsInput!$N$7+1,6,7.2,8.4,9.6,10.8,12))+IF(Inputs!$B$3&gt;=117,F2884,0))/100)),15)/15,(Skills!S19*(1+((Inputs!$B$35+(ArtifactsInput!$M$7-ArtifactsInput!$M$7)*CHOOSE(ArtifactsInput!$N$7+1,6,7.2,8.4,9.6,10.8,12))+IF(Inputs!$B$3&gt;=117,F2884,0))/100))/Skills!D19))/100),1)</f>
        <v/>
      </c>
    </row>
    <row r="2888">
      <c r="A2888" t="inlineStr">
        <is>
          <t>Monster Damage Taken Bonus % (Holy Fountain)</t>
        </is>
      </c>
      <c r="B2888">
        <f>IF(Inputs!$B$3&gt;=68,20*IF(Inputs!$B$39="pvp",MIN((15*(1+((Inputs!$B$35+(ArtifactsInput!$M$7-ArtifactsInput!$M$7)*CHOOSE(ArtifactsInput!$N$7+1,6,7.2,8.4,9.6,10.8,12))+IF(Inputs!$B$3&gt;=117,F2884,0))/100)),15)/15,(15*(1+((Inputs!$B$35+(ArtifactsInput!$M$7-ArtifactsInput!$M$7)*CHOOSE(ArtifactsInput!$N$7+1,6,7.2,8.4,9.6,10.8,12))+IF(Inputs!$B$3&gt;=117,F2884,0))/100))/Skills!D10),0)</f>
        <v/>
      </c>
    </row>
    <row r="2889">
      <c r="A2889" t="inlineStr">
        <is>
          <t>Normal Monster Damage Bonus % (Holy Symbol)</t>
        </is>
      </c>
      <c r="B2889">
        <f>IF(C2870=TRUE,F2870*IF(AND(Inputs!$B$39&lt;&gt;"pvp",Inputs!$B$44&gt;0),(((R2870-1)*(Skills!S12*(1+((Inputs!$B$35+(ArtifactsInput!$M$7-ArtifactsInput!$M$7)*CHOOSE(ArtifactsInput!$N$7+1,6,7.2,8.4,9.6,10.8,12))+IF(Inputs!$B$3&gt;=117,F2884,0))/100))+MIN((Skills!S12*(1+((Inputs!$B$35+(ArtifactsInput!$M$7-ArtifactsInput!$M$7)*CHOOSE(ArtifactsInput!$N$7+1,6,7.2,8.4,9.6,10.8,12))+IF(Inputs!$B$3&gt;=117,F2884,0))/100)),MAX(0,Inputs!$B$44-((R2870-1)*Skills!D12))))/Inputs!$B$44),IF(Inputs!$B$39="pvp",MIN((Skills!S12*(1+((Inputs!$B$35+(ArtifactsInput!$M$7-ArtifactsInput!$M$7)*CHOOSE(ArtifactsInput!$N$7+1,6,7.2,8.4,9.6,10.8,12))+IF(Inputs!$B$3&gt;=117,F2884,0))/100)),15)/15,(Skills!S12*(1+((Inputs!$B$35+(ArtifactsInput!$M$7-ArtifactsInput!$M$7)*CHOOSE(ArtifactsInput!$N$7+1,6,7.2,8.4,9.6,10.8,12))+IF(Inputs!$B$3&gt;=117,F2884,0))/100))/Skills!D12)),0)</f>
        <v/>
      </c>
    </row>
    <row r="2890">
      <c r="A2890" t="inlineStr">
        <is>
          <t>Damage % Bonus (Holy Symbol - Damage Boost)</t>
        </is>
      </c>
      <c r="B2890">
        <f>Skills!O12</f>
        <v/>
      </c>
    </row>
    <row r="2891">
      <c r="A2891" t="inlineStr">
        <is>
          <t>Crit Damage % Bonus (Blood of the Divine)</t>
        </is>
      </c>
      <c r="B2891">
        <f>4*IF(C2878=TRUE,F2878,0)</f>
        <v/>
      </c>
    </row>
    <row r="2892">
      <c r="A2892" t="inlineStr">
        <is>
          <t>Attack Speed Bonus %</t>
        </is>
      </c>
      <c r="B2892">
        <f>IF(C2875=TRUE,F2875+(F2879-Calc!F21),0)+IF(Inputs!$B$3&gt;=134,15,0)</f>
        <v/>
      </c>
    </row>
    <row r="2893">
      <c r="A2893" t="inlineStr">
        <is>
          <t>Actions Per Second</t>
        </is>
      </c>
      <c r="B2893">
        <f>1+MIN(150,150*(1-(1-Inputs!$B$12/150)*(1-B2892/150)))/100</f>
        <v/>
      </c>
    </row>
    <row r="2894">
      <c r="A2894" t="inlineStr">
        <is>
          <t>Skill + Buff Cast Rate</t>
        </is>
      </c>
      <c r="B2894">
        <f>IF(AND(Inputs!$B$39&lt;&gt;"pvp",Inputs!$B$44&gt;0),SUMPRODUCT((Skills!E2:E27=TRUE)*(C2860:C2885=TRUE)*R2860:R2885)/Inputs!$B$44,SUMPRODUCT((Skills!E2:E27=TRUE)*(C2860:C2885=TRUE)*Q2860:Q2885))</f>
        <v/>
      </c>
    </row>
    <row r="2895">
      <c r="A2895" t="inlineStr">
        <is>
          <t>Big Bang Casts Per Second</t>
        </is>
      </c>
      <c r="B2895">
        <f>MAX(0,B2893-B2894)</f>
        <v/>
      </c>
    </row>
    <row r="2896">
      <c r="A2896" t="inlineStr">
        <is>
          <t>Defense % Bonus (Divine Protection)</t>
        </is>
      </c>
      <c r="B2896">
        <f>IF(C2871=TRUE,F2871*IF(AND(Inputs!$B$39&lt;&gt;"pvp",Inputs!$B$44&gt;0),(((R2871-1)*(Skills!S13*(1+((Inputs!$B$35+(ArtifactsInput!$M$7-ArtifactsInput!$M$7)*CHOOSE(ArtifactsInput!$N$7+1,6,7.2,8.4,9.6,10.8,12))+IF(Inputs!$B$3&gt;=117,F2884,0))/100))+MIN((Skills!S13*(1+((Inputs!$B$35+(ArtifactsInput!$M$7-ArtifactsInput!$M$7)*CHOOSE(ArtifactsInput!$N$7+1,6,7.2,8.4,9.6,10.8,12))+IF(Inputs!$B$3&gt;=117,F2884,0))/100)),MAX(0,Inputs!$B$44-((R2871-1)*Skills!D13))))/Inputs!$B$44),IF(Inputs!$B$39="pvp",MIN((Skills!S13*(1+((Inputs!$B$35+(ArtifactsInput!$M$7-ArtifactsInput!$M$7)*CHOOSE(ArtifactsInput!$N$7+1,6,7.2,8.4,9.6,10.8,12))+IF(Inputs!$B$3&gt;=117,F2884,0))/100)),15)/15,(Skills!S13*(1+((Inputs!$B$35+(ArtifactsInput!$M$7-ArtifactsInput!$M$7)*CHOOSE(ArtifactsInput!$N$7+1,6,7.2,8.4,9.6,10.8,12))+IF(Inputs!$B$3&gt;=117,F2884,0))/100))/Skills!D13)),0)</f>
        <v/>
      </c>
    </row>
    <row r="2897">
      <c r="A2897" t="inlineStr">
        <is>
          <t>Buff-Casting Startup Delay (s, fixed-duration only)</t>
        </is>
      </c>
      <c r="B2897">
        <f>IF(AND(Inputs!$B$39&lt;&gt;"pvp",Inputs!$B$44&gt;0),SUMPRODUCT((Skills!S2:S27&gt;0)*(Skills!E2:E27=TRUE)*(C2860:C2885=TRUE))/B2893,0)</f>
        <v/>
      </c>
    </row>
    <row r="2898">
      <c r="A2898" t="inlineStr">
        <is>
          <t>Boss-Only Total DPS (this block's swept value)</t>
        </is>
      </c>
      <c r="B2898">
        <f>SUM(S2860:S2885)</f>
        <v/>
      </c>
    </row>
    <row r="2899">
      <c r="A2899" t="inlineStr">
        <is>
          <t>Normal-Only Total DPS (this block's swept value)</t>
        </is>
      </c>
      <c r="B2899">
        <f>SUM(U2860:U2885)</f>
        <v/>
      </c>
    </row>
    <row r="2900">
      <c r="A2900" s="6" t="inlineStr">
        <is>
          <t>TOTAL DPS</t>
        </is>
      </c>
      <c r="B2900" s="6">
        <f>SUM(O2860:O2885)</f>
        <v/>
      </c>
    </row>
    <row r="2902">
      <c r="A2902" s="6" t="inlineStr">
        <is>
          <t>Stat: CDR = 1.0s</t>
        </is>
      </c>
    </row>
    <row r="2903">
      <c r="A2903" s="5" t="inlineStr">
        <is>
          <t>Key</t>
        </is>
      </c>
      <c r="B2903" s="5" t="inlineStr">
        <is>
          <t>Name</t>
        </is>
      </c>
      <c r="C2903" s="5" t="inlineStr">
        <is>
          <t>Unlocked</t>
        </is>
      </c>
      <c r="D2903" s="5" t="inlineStr">
        <is>
          <t>InputLevel</t>
        </is>
      </c>
      <c r="E2903" s="5" t="inlineStr">
        <is>
          <t>Factor</t>
        </is>
      </c>
      <c r="F2903" s="5" t="inlineStr">
        <is>
          <t>CoefficientPercent</t>
        </is>
      </c>
      <c r="G2903" s="5" t="inlineStr">
        <is>
          <t>EffectiveHits</t>
        </is>
      </c>
      <c r="H2903" s="5" t="inlineStr">
        <is>
          <t>ProcProbability</t>
        </is>
      </c>
      <c r="I2903" s="5" t="inlineStr">
        <is>
          <t>MapleHeroMultiplier</t>
        </is>
      </c>
      <c r="J2903" s="5" t="inlineStr">
        <is>
          <t>BaseDamage</t>
        </is>
      </c>
      <c r="K2903" s="5" t="inlineStr">
        <is>
          <t>BaseHitDamage</t>
        </is>
      </c>
      <c r="L2903" s="5" t="inlineStr">
        <is>
          <t>NonCritAvg</t>
        </is>
      </c>
      <c r="M2903" s="5" t="inlineStr">
        <is>
          <t>CritAvg</t>
        </is>
      </c>
      <c r="N2903" s="5" t="inlineStr">
        <is>
          <t>ExpectedDamage(perHit)</t>
        </is>
      </c>
      <c r="O2903" s="5" t="inlineStr">
        <is>
          <t>DPS</t>
        </is>
      </c>
      <c r="P2903" s="5" t="inlineStr">
        <is>
          <t>% of Total</t>
        </is>
      </c>
      <c r="R2903" t="inlineStr">
        <is>
          <t>helpers</t>
        </is>
      </c>
    </row>
    <row r="2904">
      <c r="A2904">
        <f>Skills!A2</f>
        <v/>
      </c>
      <c r="B2904">
        <f>Skills!B2</f>
        <v/>
      </c>
      <c r="C2904">
        <f>Inputs!$B$3&gt;=100</f>
        <v/>
      </c>
      <c r="D2904" t="inlineStr"/>
      <c r="E2904" t="inlineStr"/>
      <c r="F2904">
        <f>T2906+Skills!N2</f>
        <v/>
      </c>
      <c r="G2904">
        <f>Calc!G2</f>
        <v/>
      </c>
      <c r="H2904">
        <f>Calc!H2</f>
        <v/>
      </c>
      <c r="I2904">
        <f>IF(Skills!T2&lt;&gt;"",1+(Skills!T2/10)*($Z$3/1000)/100,1)</f>
        <v/>
      </c>
      <c r="J2904">
        <f>((Inputs!$B$6*(1+Inputs!$B$7/100))+(((Inputs!$B$13*(1+Inputs!$B$14/100))-(Inputs!$B$13*(1+Inputs!$B$14/100)))+0.25*(Inputs!$B$15-Inputs!$B$15))*(1+Inputs!$B$7/100))*(F2904/100)</f>
        <v/>
      </c>
      <c r="K2904">
        <f>J2904*(1+(((Inputs!$B$13+IF(Inputs!$B$3&gt;=35,(10*INDEX(FactorTable!$B$2:$Y$301,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2="TRIUMPH_FEATHER",IF(C2918=TRUE,F2918,0),0)/100)*(1+IF(C2929=TRUE,F2929,0)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2904)</f>
        <v/>
      </c>
      <c r="L2904">
        <f>K2904*(MIN(Inputs!$B$23+(F2924-Calc!F22),(Inputs!$B$24+IF(ArtifactsInput!$M$15,CHOOSE(ArtifactsInput!$N$15+1,25,30,35,40,45,50)/100*(Inputs!$B$12-Inputs!$B$12),0)))/100+(Inputs!$B$24+IF(ArtifactsInput!$M$15,CHOOSE(ArtifactsInput!$N$15+1,25,30,35,40,45,50)/100*(Inputs!$B$12-Inputs!$B$12),0))/100)/2</f>
        <v/>
      </c>
      <c r="M2904">
        <f>L2904*(1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04">
        <f>L2904*(1-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2904*(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4">
        <f>(1-Summary!$B$11)*S2904+Summary!$B$11*U2904</f>
        <v/>
      </c>
      <c r="P2904">
        <f>IF(B2944=0,0,O2904/B2944)</f>
        <v/>
      </c>
      <c r="Q2904">
        <f>IFERROR(1/(IF(Inputs!$B$39="pvp",15,MAX(0.1,Skills!D2-IF(Skills!E2=TRUE,1.0,0)))*(1-IF(AND(ArtifactsInput!$M$27,Inputs!$B$4="Chapter Hunt"),CHOOSE(ArtifactsInput!$N$27+1,20,24,28,32,36,40),0)/100)),0)</f>
        <v/>
      </c>
      <c r="R2904" t="n">
        <v>0</v>
      </c>
      <c r="S2904">
        <f>IF(C2904,(Skills!F2*N2904*B2939)*IF(Inputs!$B$39="pvp",1,1+(Inputs!$B$21+Skills!O2+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2904*(1-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2904*(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2904*(1-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2904*(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04">
        <f>MAX(0,(Inputs!$B$3-100)*3)+Inputs!$B$29+Inputs!$B$30</f>
        <v/>
      </c>
      <c r="U2904">
        <f>IF(C2904,(Skills!F2*N2904*B2939)*IF(Inputs!$B$39="pvp",1,(1+(Inputs!$B$22+Skills!P2+B2933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5">
      <c r="A2905">
        <f>Skills!A3</f>
        <v/>
      </c>
      <c r="B2905">
        <f>Skills!B3</f>
        <v/>
      </c>
      <c r="C2905">
        <f>Inputs!$B$3&gt;=15</f>
        <v/>
      </c>
      <c r="D2905">
        <f>IF(Skills!C3=1,60+Inputs!$B$26+Inputs!$B$30,IF(Skills!C3=2,90+Inputs!$B$27+Inputs!$B$30,IF(Skills!C3=3,120+Inputs!$B$28+Inputs!$B$30,MAX(0,(Inputs!$B$3-100)*3)+Inputs!$B$29+Inputs!$B$30)))</f>
        <v/>
      </c>
      <c r="E2905">
        <f>INDEX(FactorTable!$B$2:$Y$301, MATCH(ROUND(MIN(300,MAX(1,D2905)),0), FactorTable!$A$2:$A$301,0), Skills!L3+1)</f>
        <v/>
      </c>
      <c r="F2905">
        <f>IF(Skills!M3=TRUE,(Skills!K3/10)*(E2905/1000),Skills!K3/10)+Skills!N3</f>
        <v/>
      </c>
      <c r="G2905">
        <f>Calc!G3</f>
        <v/>
      </c>
      <c r="H2905">
        <f>Calc!H3</f>
        <v/>
      </c>
      <c r="I2905">
        <f>IF(Skills!T3&lt;&gt;"",1+(Skills!T3/10)*($Z$3/1000)/100,1)</f>
        <v/>
      </c>
      <c r="J2905" t="inlineStr"/>
      <c r="K2905" t="inlineStr"/>
      <c r="L2905" t="inlineStr"/>
      <c r="M2905" t="inlineStr"/>
      <c r="N2905" t="inlineStr"/>
      <c r="O2905">
        <f>(1-Summary!$B$11)*S2905+Summary!$B$11*U2905</f>
        <v/>
      </c>
      <c r="P2905">
        <f>IF(B2944=0,0,O2905/B2944)</f>
        <v/>
      </c>
      <c r="Q2905">
        <f>IFERROR(1/(IF(Inputs!$B$39="pvp",15,MAX(0.1,Skills!D3-IF(Skills!E3=TRUE,1.0,0)))*(1-IF(AND(ArtifactsInput!$M$27,Inputs!$B$4="Chapter Hunt"),CHOOSE(ArtifactsInput!$N$27+1,20,24,28,32,36,40),0)/100)),0)</f>
        <v/>
      </c>
      <c r="R2905">
        <f>IF(AND(Inputs!$B$39&lt;&gt;"pvp",Inputs!$B$44&gt;0),IF(Inputs!$B$44&lt;=0,0,(INT(Inputs!$B$44/(IF(Inputs!$B$39="pvp",15,MAX(0.1,Skills!D3-IF(Skills!E3=TRUE,1.0,0)))*(1-IF(AND(ArtifactsInput!$M$27,Inputs!$B$4="Chapter Hunt"),CHOOSE(ArtifactsInput!$N$27+1,20,24,28,32,36,40),0)/100)))+1)),0)</f>
        <v/>
      </c>
      <c r="S2905" t="n">
        <v>0</v>
      </c>
      <c r="T2905">
        <f>INDEX(FactorTable!$B$2:$Y$301, MATCH(ROUND(MIN(300,MAX(1,T2904)),0), FactorTable!$A$2:$A$301,0), 22)</f>
        <v/>
      </c>
      <c r="U2905" t="n">
        <v>0</v>
      </c>
    </row>
    <row r="2906">
      <c r="A2906">
        <f>Skills!A4</f>
        <v/>
      </c>
      <c r="B2906">
        <f>Skills!B4</f>
        <v/>
      </c>
      <c r="C2906">
        <f>Inputs!$B$3&gt;=38</f>
        <v/>
      </c>
      <c r="D2906">
        <f>IF(Skills!C4=1,60+Inputs!$B$26+Inputs!$B$30,IF(Skills!C4=2,90+Inputs!$B$27+Inputs!$B$30,IF(Skills!C4=3,120+Inputs!$B$28+Inputs!$B$30,MAX(0,(Inputs!$B$3-100)*3)+Inputs!$B$29+Inputs!$B$30)))</f>
        <v/>
      </c>
      <c r="E2906">
        <f>INDEX(FactorTable!$B$2:$Y$301, MATCH(ROUND(MIN(300,MAX(1,D2906)),0), FactorTable!$A$2:$A$301,0), Skills!L4+1)</f>
        <v/>
      </c>
      <c r="F2906">
        <f>IF(Skills!M4=TRUE,(Skills!K4/10)*(E2906/1000),Skills!K4/10)+Skills!N4</f>
        <v/>
      </c>
      <c r="G2906">
        <f>Calc!G4</f>
        <v/>
      </c>
      <c r="H2906">
        <f>Calc!H4</f>
        <v/>
      </c>
      <c r="I2906">
        <f>IF(Skills!T4&lt;&gt;"",1+(Skills!T4/10)*($Z$3/1000)/100,1)</f>
        <v/>
      </c>
      <c r="J2906" t="inlineStr"/>
      <c r="K2906" t="inlineStr"/>
      <c r="L2906" t="inlineStr"/>
      <c r="M2906" t="inlineStr"/>
      <c r="N2906" t="inlineStr"/>
      <c r="O2906">
        <f>(1-Summary!$B$11)*S2906+Summary!$B$11*U2906</f>
        <v/>
      </c>
      <c r="P2906">
        <f>IF(B2944=0,0,O2906/B2944)</f>
        <v/>
      </c>
      <c r="Q2906">
        <f>IFERROR(1/(IF(Inputs!$B$39="pvp",15,MAX(0.1,Skills!D4-IF(Skills!E4=TRUE,1.0,0)))*(1-IF(AND(ArtifactsInput!$M$27,Inputs!$B$4="Chapter Hunt"),CHOOSE(ArtifactsInput!$N$27+1,20,24,28,32,36,40),0)/100)),0)</f>
        <v/>
      </c>
      <c r="R2906">
        <f>IF(AND(Inputs!$B$39&lt;&gt;"pvp",Inputs!$B$44&gt;0),IF(Inputs!$B$44&lt;=0,0,(INT(Inputs!$B$44/(IF(Inputs!$B$39="pvp",15,MAX(0.1,Skills!D4-IF(Skills!E4=TRUE,1.0,0)))*(1-IF(AND(ArtifactsInput!$M$27,Inputs!$B$4="Chapter Hunt"),CHOOSE(ArtifactsInput!$N$27+1,20,24,28,32,36,40),0)/100)))+1)),0)</f>
        <v/>
      </c>
      <c r="S2906" t="n">
        <v>0</v>
      </c>
      <c r="T2906">
        <f>290*T2905/1000</f>
        <v/>
      </c>
      <c r="U2906" t="n">
        <v>0</v>
      </c>
    </row>
    <row r="2907">
      <c r="A2907">
        <f>Skills!A5</f>
        <v/>
      </c>
      <c r="B2907">
        <f>Skills!B5</f>
        <v/>
      </c>
      <c r="C2907">
        <f>Inputs!$B$3&gt;=40</f>
        <v/>
      </c>
      <c r="D2907">
        <f>IF(Skills!C5=1,60+Inputs!$B$26+Inputs!$B$30,IF(Skills!C5=2,90+Inputs!$B$27+Inputs!$B$30,IF(Skills!C5=3,120+Inputs!$B$28+Inputs!$B$30,MAX(0,(Inputs!$B$3-100)*3)+Inputs!$B$29+Inputs!$B$30)))</f>
        <v/>
      </c>
      <c r="E2907">
        <f>INDEX(FactorTable!$B$2:$Y$301, MATCH(ROUND(MIN(300,MAX(1,D2907)),0), FactorTable!$A$2:$A$301,0), Skills!L5+1)</f>
        <v/>
      </c>
      <c r="F2907">
        <f>IF(Skills!M5=TRUE,(Skills!K5/10)*(E2907/1000),Skills!K5/10)+Skills!N5</f>
        <v/>
      </c>
      <c r="G2907">
        <f>Calc!G5</f>
        <v/>
      </c>
      <c r="H2907">
        <f>Calc!H5</f>
        <v/>
      </c>
      <c r="I2907">
        <f>IF(Skills!T5&lt;&gt;"",1+(Skills!T5/10)*($Z$3/1000)/100,1)</f>
        <v/>
      </c>
      <c r="J2907" t="inlineStr"/>
      <c r="K2907" t="inlineStr"/>
      <c r="L2907" t="inlineStr"/>
      <c r="M2907" t="inlineStr"/>
      <c r="N2907" t="inlineStr"/>
      <c r="O2907">
        <f>(1-Summary!$B$11)*S2907+Summary!$B$11*U2907</f>
        <v/>
      </c>
      <c r="P2907">
        <f>IF(B2944=0,0,O2907/B2944)</f>
        <v/>
      </c>
      <c r="Q2907">
        <f>IFERROR(1/(IF(Inputs!$B$39="pvp",15,MAX(0.1,Skills!D5-IF(Skills!E5=TRUE,1.0,0)))*(1-IF(AND(ArtifactsInput!$M$27,Inputs!$B$4="Chapter Hunt"),CHOOSE(ArtifactsInput!$N$27+1,20,24,28,32,36,40),0)/100)),0)</f>
        <v/>
      </c>
      <c r="R2907">
        <f>IF(AND(Inputs!$B$39&lt;&gt;"pvp",Inputs!$B$44&gt;0),IF(Inputs!$B$44&lt;=0,0,(INT(Inputs!$B$44/(IF(Inputs!$B$39="pvp",15,MAX(0.1,Skills!D5-IF(Skills!E5=TRUE,1.0,0)))*(1-IF(AND(ArtifactsInput!$M$27,Inputs!$B$4="Chapter Hunt"),CHOOSE(ArtifactsInput!$N$27+1,20,24,28,32,36,40),0)/100)))+1)),0)</f>
        <v/>
      </c>
      <c r="S2907" t="n">
        <v>0</v>
      </c>
      <c r="U2907" t="n">
        <v>0</v>
      </c>
    </row>
    <row r="2908">
      <c r="A2908">
        <f>Skills!A6</f>
        <v/>
      </c>
      <c r="B2908">
        <f>Skills!B6</f>
        <v/>
      </c>
      <c r="C2908">
        <f>Inputs!$B$3&gt;=103</f>
        <v/>
      </c>
      <c r="D2908">
        <f>IF(Skills!C6=1,60+Inputs!$B$26+Inputs!$B$30,IF(Skills!C6=2,90+Inputs!$B$27+Inputs!$B$30,IF(Skills!C6=3,120+Inputs!$B$28+Inputs!$B$30,MAX(0,(Inputs!$B$3-100)*3)+Inputs!$B$29+Inputs!$B$30)))</f>
        <v/>
      </c>
      <c r="E2908">
        <f>INDEX(FactorTable!$B$2:$Y$301, MATCH(ROUND(MIN(300,MAX(1,D2908)),0), FactorTable!$A$2:$A$301,0), Skills!L6+1)</f>
        <v/>
      </c>
      <c r="F2908">
        <f>IF(Skills!M6=TRUE,(Skills!K6/10)*(E2908/1000),Skills!K6/10)+Skills!N6</f>
        <v/>
      </c>
      <c r="G2908">
        <f>Calc!G6</f>
        <v/>
      </c>
      <c r="H2908">
        <f>Calc!H6</f>
        <v/>
      </c>
      <c r="I2908">
        <f>IF(Skills!T6&lt;&gt;"",1+(Skills!T6/10)*($Z$3/1000)/100,1)</f>
        <v/>
      </c>
      <c r="J2908">
        <f>((Inputs!$B$6*(1+Inputs!$B$7/100))+(((Inputs!$B$13*(1+Inputs!$B$14/100))-(Inputs!$B$13*(1+Inputs!$B$14/100)))+0.25*(Inputs!$B$15-Inputs!$B$15))*(1+Inputs!$B$7/100))*(F2908/100)</f>
        <v/>
      </c>
      <c r="K2908">
        <f>J2908*(1+(((Inputs!$B$13+IF(Inputs!$B$3&gt;=35,(10*INDEX(FactorTable!$B$2:$Y$301,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6="TRIUMPH_FEATHER",IF(C2918=TRUE,F2918,0),0)/100)*(1+IF(C2929=TRUE,F2929,0)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2908)</f>
        <v/>
      </c>
      <c r="L2908">
        <f>K2908*(MIN(Inputs!$B$23+(F2924-Calc!F22),(Inputs!$B$24+IF(ArtifactsInput!$M$15,CHOOSE(ArtifactsInput!$N$15+1,25,30,35,40,45,50)/100*(Inputs!$B$12-Inputs!$B$12),0)))/100+(Inputs!$B$24+IF(ArtifactsInput!$M$15,CHOOSE(ArtifactsInput!$N$15+1,25,30,35,40,45,50)/100*(Inputs!$B$12-Inputs!$B$12),0))/100)/2</f>
        <v/>
      </c>
      <c r="M2908">
        <f>L2908*(1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08">
        <f>L2908*(1-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(1-Summary!$B$11)*S2908+Summary!$B$11*U2908</f>
        <v/>
      </c>
      <c r="P2908">
        <f>IF(B2944=0,0,O2908/B2944)</f>
        <v/>
      </c>
      <c r="Q2908">
        <f>IFERROR(1/(IF(Inputs!$B$39="pvp",15,MAX(0.1,Skills!D6-IF(Skills!E6=TRUE,1.0,0)))*(1-IF(AND(ArtifactsInput!$M$27,Inputs!$B$4="Chapter Hunt"),CHOOSE(ArtifactsInput!$N$27+1,20,24,28,32,36,40),0)/100)),0)</f>
        <v/>
      </c>
      <c r="R2908">
        <f>IF(AND(Inputs!$B$39&lt;&gt;"pvp",Inputs!$B$44&gt;0),IF(MAX(0,Inputs!$B$44-B2941)&lt;=0,0,(INT(MAX(0,Inputs!$B$44-B2941)/(IF(Inputs!$B$39="pvp",15,MAX(0.1,Skills!D6-IF(Skills!E6=TRUE,1.0,0)))*(1-IF(AND(ArtifactsInput!$M$27,Inputs!$B$4="Chapter Hunt"),CHOOSE(ArtifactsInput!$N$27+1,20,24,28,32,36,40),0)/100)))+1)),0)</f>
        <v/>
      </c>
      <c r="S2908">
        <f>IF(C2908,(H2908*N2908*IF(AND(Inputs!$B$39&lt;&gt;"pvp",Inputs!$B$44&gt;0),((Skills!F6*((R2908-1)*IF(Skills!G6&gt;0,Skills!H6/Skills!G6,1)+IF(Skills!G6&gt;0,MIN(Skills!H6,MAX(0,MAX(0,Inputs!$B$44-B2941)-((R2908-1)*(IF(Inputs!$B$39="pvp",15,MAX(0.1,Skills!D6-IF(Skills!E6=TRUE,1.0,0)))*(1-IF(AND(ArtifactsInput!$M$27,Inputs!$B$4="Chapter Hunt"),CHOOSE(ArtifactsInput!$N$27+1,20,24,28,32,36,40),0)/100)))))/Skills!G6,1)))/Inputs!$B$44),G2908*Q2908))*IF(Inputs!$B$39="pvp",1,1+(Inputs!$B$21+Skills!O6+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2908*(1-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8">
        <f>IF(C2908,(H2908*N2908*IF(AND(Inputs!$B$39&lt;&gt;"pvp",Inputs!$B$44&gt;0),((Skills!F6*((R2908-1)*IF(Skills!G6&gt;0,Skills!H6/Skills!G6,1)+IF(Skills!G6&gt;0,MIN(Skills!H6,MAX(0,MAX(0,Inputs!$B$44-B2941)-((R2908-1)*(IF(Inputs!$B$39="pvp",15,MAX(0.1,Skills!D6-IF(Skills!E6=TRUE,1.0,0)))*(1-IF(AND(ArtifactsInput!$M$27,Inputs!$B$4="Chapter Hunt"),CHOOSE(ArtifactsInput!$N$27+1,20,24,28,32,36,40),0)/100)))))/Skills!G6,1)))/Inputs!$B$44),G2908*Q2908))*IF(Inputs!$B$39="pvp",1,(1+(Inputs!$B$22+Skills!P6+B2933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Skills!A7</f>
        <v/>
      </c>
      <c r="B2909">
        <f>Skills!B7</f>
        <v/>
      </c>
      <c r="C2909">
        <f>Inputs!$B$3&gt;=122</f>
        <v/>
      </c>
      <c r="D2909">
        <f>IF(Skills!C7=1,60+Inputs!$B$26+Inputs!$B$30,IF(Skills!C7=2,90+Inputs!$B$27+Inputs!$B$30,IF(Skills!C7=3,120+Inputs!$B$28+Inputs!$B$30,MAX(0,(Inputs!$B$3-100)*3)+Inputs!$B$29+Inputs!$B$30)))</f>
        <v/>
      </c>
      <c r="E2909">
        <f>INDEX(FactorTable!$B$2:$Y$301, MATCH(ROUND(MIN(300,MAX(1,D2909)),0), FactorTable!$A$2:$A$301,0), Skills!L7+1)</f>
        <v/>
      </c>
      <c r="F2909">
        <f>IF(Skills!M7=TRUE,(Skills!K7/10)*(E2909/1000),Skills!K7/10)+Skills!N7</f>
        <v/>
      </c>
      <c r="G2909">
        <f>Calc!G7</f>
        <v/>
      </c>
      <c r="H2909">
        <f>Calc!H7</f>
        <v/>
      </c>
      <c r="I2909">
        <f>IF(Skills!T7&lt;&gt;"",1+(Skills!T7/10)*($Z$3/1000)/100,1)</f>
        <v/>
      </c>
      <c r="J2909">
        <f>((Inputs!$B$6*(1+Inputs!$B$7/100))+(((Inputs!$B$13*(1+Inputs!$B$14/100))-(Inputs!$B$13*(1+Inputs!$B$14/100)))+0.25*(Inputs!$B$15-Inputs!$B$15))*(1+Inputs!$B$7/100))*(F2909/100)</f>
        <v/>
      </c>
      <c r="K2909">
        <f>J2909*(1+(((Inputs!$B$13+IF(Inputs!$B$3&gt;=35,(10*INDEX(FactorTable!$B$2:$Y$301,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7="TRIUMPH_FEATHER",IF(C2918=TRUE,F2918,0),0)/100)*(1+IF(C2929=TRUE,F2929,0)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2909)</f>
        <v/>
      </c>
      <c r="L2909">
        <f>K2909*(MIN(Inputs!$B$23+(F2924-Calc!F22),(Inputs!$B$24+IF(ArtifactsInput!$M$15,CHOOSE(ArtifactsInput!$N$15+1,25,30,35,40,45,50)/100*(Inputs!$B$12-Inputs!$B$12),0)))/100+(Inputs!$B$24+IF(ArtifactsInput!$M$15,CHOOSE(ArtifactsInput!$N$15+1,25,30,35,40,45,50)/100*(Inputs!$B$12-Inputs!$B$12),0))/100)/2</f>
        <v/>
      </c>
      <c r="M2909">
        <f>L2909*(1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09">
        <f>L2909*(1-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2909*(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9">
        <f>(1-Summary!$B$11)*S2909+Summary!$B$11*U2909</f>
        <v/>
      </c>
      <c r="P2909">
        <f>IF(B2944=0,0,O2909/B2944)</f>
        <v/>
      </c>
      <c r="Q2909">
        <f>IFERROR(1/(IF(Inputs!$B$39="pvp",15,MAX(0.1,Skills!D7-IF(Skills!E6=TRUE,1.0,0)))*(1-IF(AND(ArtifactsInput!$M$27,Inputs!$B$4="Chapter Hunt"),CHOOSE(ArtifactsInput!$N$27+1,20,24,28,32,36,40),0)/100)),0)</f>
        <v/>
      </c>
      <c r="R2909">
        <f>IF(AND(Inputs!$B$39&lt;&gt;"pvp",Inputs!$B$44&gt;0),IF(MAX(0,Inputs!$B$44-B2941)&lt;=0,0,(INT(MAX(0,Inputs!$B$44-B2941)/(IF(Inputs!$B$39="pvp",15,MAX(0.1,Skills!D7-IF(Skills!E6=TRUE,1.0,0)))*(1-IF(AND(ArtifactsInput!$M$27,Inputs!$B$4="Chapter Hunt"),CHOOSE(ArtifactsInput!$N$27+1,20,24,28,32,36,40),0)/100)))+1)),0)</f>
        <v/>
      </c>
      <c r="S2909">
        <f>IF(C2909,H2909*N2909*IF(AND(Inputs!$B$39&lt;&gt;"pvp",Inputs!$B$44&gt;0),((Skills!F7*((R2909-1)*IF(Skills!G7&gt;0,Skills!H7/Skills!G7,1)+IF(Skills!G7&gt;0,MIN(Skills!H7,MAX(0,MAX(0,Inputs!$B$44-B2941)-((R2909-1)*(IF(Inputs!$B$39="pvp",15,MAX(0.1,Skills!D7-IF(Skills!E6=TRUE,1.0,0)))*(1-IF(AND(ArtifactsInput!$M$27,Inputs!$B$4="Chapter Hunt"),CHOOSE(ArtifactsInput!$N$27+1,20,24,28,32,36,40),0)/100)))))/Skills!G7,1)))/Inputs!$B$44),G2909*Q2909)*IF(Inputs!$B$39="pvp",1,1+(Inputs!$B$21+Skills!O7+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2909*(1-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2909*(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2909*(1-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2909*(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9" t="n">
        <v>0</v>
      </c>
    </row>
    <row r="2910">
      <c r="A2910">
        <f>Skills!A8</f>
        <v/>
      </c>
      <c r="B2910">
        <f>Skills!B8</f>
        <v/>
      </c>
      <c r="C2910">
        <f>Inputs!$B$3&gt;=105</f>
        <v/>
      </c>
      <c r="D2910">
        <f>IF(Skills!C8=1,60+Inputs!$B$26+Inputs!$B$30,IF(Skills!C8=2,90+Inputs!$B$27+Inputs!$B$30,IF(Skills!C8=3,120+Inputs!$B$28+Inputs!$B$30,MAX(0,(Inputs!$B$3-100)*3)+Inputs!$B$29+Inputs!$B$30)))</f>
        <v/>
      </c>
      <c r="E2910">
        <f>INDEX(FactorTable!$B$2:$Y$301, MATCH(ROUND(MIN(300,MAX(1,D2910)),0), FactorTable!$A$2:$A$301,0), Skills!L8+1)</f>
        <v/>
      </c>
      <c r="F2910">
        <f>IF(Skills!M8=TRUE,(Skills!K8/10)*(E2910/1000),Skills!K8/10)+Skills!N8</f>
        <v/>
      </c>
      <c r="G2910">
        <f>Calc!G8</f>
        <v/>
      </c>
      <c r="H2910">
        <f>Calc!H8</f>
        <v/>
      </c>
      <c r="I2910">
        <f>IF(Skills!T8&lt;&gt;"",1+(Skills!T8/10)*($Z$3/1000)/100,1)</f>
        <v/>
      </c>
      <c r="J2910">
        <f>((Inputs!$B$6*(1+Inputs!$B$7/100))+(((Inputs!$B$13*(1+Inputs!$B$14/100))-(Inputs!$B$13*(1+Inputs!$B$14/100)))+0.25*(Inputs!$B$15-Inputs!$B$15))*(1+Inputs!$B$7/100))*(F2910/100)</f>
        <v/>
      </c>
      <c r="K2910">
        <f>J2910*(1+(((Inputs!$B$13+IF(Inputs!$B$3&gt;=35,(10*INDEX(FactorTable!$B$2:$Y$301,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8="TRIUMPH_FEATHER",IF(C2918=TRUE,F2918,0),0)/100)*(1+IF(C2929=TRUE,F2929,0)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2910)</f>
        <v/>
      </c>
      <c r="L2910">
        <f>K2910*(MIN(Inputs!$B$23+(F2924-Calc!F22),(Inputs!$B$24+IF(ArtifactsInput!$M$15,CHOOSE(ArtifactsInput!$N$15+1,25,30,35,40,45,50)/100*(Inputs!$B$12-Inputs!$B$12),0)))/100+(Inputs!$B$24+IF(ArtifactsInput!$M$15,CHOOSE(ArtifactsInput!$N$15+1,25,30,35,40,45,50)/100*(Inputs!$B$12-Inputs!$B$12),0))/100)/2</f>
        <v/>
      </c>
      <c r="M2910">
        <f>L2910*(1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10">
        <f>L2910*(1-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(1-Summary!$B$11)*S2910+Summary!$B$11*U2910</f>
        <v/>
      </c>
      <c r="P2910">
        <f>IF(B2944=0,0,O2910/B2944)</f>
        <v/>
      </c>
      <c r="Q2910">
        <f>IFERROR(1/(IF(Inputs!$B$39="pvp",15,MAX(0.1,Skills!D8-IF(Skills!E8=TRUE,1.0,0)))*(1-IF(AND(ArtifactsInput!$M$27,Inputs!$B$4="Chapter Hunt"),CHOOSE(ArtifactsInput!$N$27+1,20,24,28,32,36,40),0)/100)),0)</f>
        <v/>
      </c>
      <c r="R2910">
        <f>IF(AND(Inputs!$B$39&lt;&gt;"pvp",Inputs!$B$44&gt;0),IF(MAX(0,Inputs!$B$44-B2941)&lt;=0,0,(INT(MAX(0,Inputs!$B$44-B2941)/(IF(Inputs!$B$39="pvp",15,MAX(0.1,Skills!D8-IF(Skills!E8=TRUE,1.0,0)))*(1-IF(AND(ArtifactsInput!$M$27,Inputs!$B$4="Chapter Hunt"),CHOOSE(ArtifactsInput!$N$27+1,20,24,28,32,36,40),0)/100)))+1)),0)</f>
        <v/>
      </c>
      <c r="S2910">
        <f>IF(C2910,(H2910*N2910*IF(AND(Inputs!$B$39&lt;&gt;"pvp",Inputs!$B$44&gt;0),((Skills!F8*((R2910-1)*IF(Skills!G8&gt;0,Skills!H8/Skills!G8,1)+IF(Skills!G8&gt;0,MIN(Skills!H8,MAX(0,MAX(0,Inputs!$B$44-B2941)-((R2910-1)*(IF(Inputs!$B$39="pvp",15,MAX(0.1,Skills!D8-IF(Skills!E8=TRUE,1.0,0)))*(1-IF(AND(ArtifactsInput!$M$27,Inputs!$B$4="Chapter Hunt"),CHOOSE(ArtifactsInput!$N$27+1,20,24,28,32,36,40),0)/100)))))/Skills!G8,1)))/Inputs!$B$44),G2910*Q2910))*IF(Inputs!$B$39="pvp",1,1+(Inputs!$B$21+Skills!O8+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2910*(1-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0">
        <f>IF(C2910,(H2910*N2910*IF(AND(Inputs!$B$39&lt;&gt;"pvp",Inputs!$B$44&gt;0),((Skills!F8*((R2910-1)*IF(Skills!G8&gt;0,Skills!H8/Skills!G8,1)+IF(Skills!G8&gt;0,MIN(Skills!H8,MAX(0,MAX(0,Inputs!$B$44-B2941)-((R2910-1)*(IF(Inputs!$B$39="pvp",15,MAX(0.1,Skills!D8-IF(Skills!E8=TRUE,1.0,0)))*(1-IF(AND(ArtifactsInput!$M$27,Inputs!$B$4="Chapter Hunt"),CHOOSE(ArtifactsInput!$N$27+1,20,24,28,32,36,40),0)/100)))))/Skills!G8,1)))/Inputs!$B$44),G2910*Q2910))*IF(Inputs!$B$39="pvp",1,(1+(Inputs!$B$22+Skills!P8+B2933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Skills!A9</f>
        <v/>
      </c>
      <c r="B2911">
        <f>Skills!B9</f>
        <v/>
      </c>
      <c r="C2911">
        <f>Inputs!$B$3&gt;=115</f>
        <v/>
      </c>
      <c r="D2911">
        <f>IF(Skills!C9=1,60+Inputs!$B$26+Inputs!$B$30,IF(Skills!C9=2,90+Inputs!$B$27+Inputs!$B$30,IF(Skills!C9=3,120+Inputs!$B$28+Inputs!$B$30,MAX(0,(Inputs!$B$3-100)*3)+Inputs!$B$29+Inputs!$B$30)))</f>
        <v/>
      </c>
      <c r="E2911">
        <f>INDEX(FactorTable!$B$2:$Y$301, MATCH(ROUND(MIN(300,MAX(1,D2911)),0), FactorTable!$A$2:$A$301,0), Skills!L9+1)</f>
        <v/>
      </c>
      <c r="F2911">
        <f>IF(Skills!M9=TRUE,(Skills!K9/10)*(E2911/1000),Skills!K9/10)+Skills!N9</f>
        <v/>
      </c>
      <c r="G2911">
        <f>Calc!G9</f>
        <v/>
      </c>
      <c r="H2911">
        <f>Calc!H9</f>
        <v/>
      </c>
      <c r="I2911">
        <f>IF(Skills!T9&lt;&gt;"",1+(Skills!T9/10)*($Z$3/1000)/100,1)</f>
        <v/>
      </c>
      <c r="J2911">
        <f>((Inputs!$B$6*(1+Inputs!$B$7/100))+(((Inputs!$B$13*(1+Inputs!$B$14/100))-(Inputs!$B$13*(1+Inputs!$B$14/100)))+0.25*(Inputs!$B$15-Inputs!$B$15))*(1+Inputs!$B$7/100))*(F2911/100)</f>
        <v/>
      </c>
      <c r="K2911">
        <f>J2911*(1+(((Inputs!$B$13+IF(Inputs!$B$3&gt;=35,(10*INDEX(FactorTable!$B$2:$Y$301,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9="TRIUMPH_FEATHER",IF(C2918=TRUE,F2918,0),0)/100)*(1+IF(C2929=TRUE,F2929,0)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2911)</f>
        <v/>
      </c>
      <c r="L2911">
        <f>K2911*(MIN(Inputs!$B$23+(F2924-Calc!F22),(Inputs!$B$24+IF(ArtifactsInput!$M$15,CHOOSE(ArtifactsInput!$N$15+1,25,30,35,40,45,50)/100*(Inputs!$B$12-Inputs!$B$12),0)))/100+(Inputs!$B$24+IF(ArtifactsInput!$M$15,CHOOSE(ArtifactsInput!$N$15+1,25,30,35,40,45,50)/100*(Inputs!$B$12-Inputs!$B$12),0))/100)/2</f>
        <v/>
      </c>
      <c r="M2911">
        <f>L2911*(1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11">
        <f>L2911*(1-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(1-Summary!$B$11)*S2911+Summary!$B$11*U2911</f>
        <v/>
      </c>
      <c r="P2911">
        <f>IF(B2944=0,0,O2911/B2944)</f>
        <v/>
      </c>
      <c r="Q2911">
        <f>IFERROR(1/(IF(Inputs!$B$39="pvp",15,MAX(0.1,Skills!D9-IF(Skills!E9=TRUE,1.0,0)))*(1-IF(AND(ArtifactsInput!$M$27,Inputs!$B$4="Chapter Hunt"),CHOOSE(ArtifactsInput!$N$27+1,20,24,28,32,36,40),0)/100)),0)</f>
        <v/>
      </c>
      <c r="R2911">
        <f>IF(AND(Inputs!$B$39&lt;&gt;"pvp",Inputs!$B$44&gt;0),IF(MAX(0,Inputs!$B$44-B2941)&lt;=0,0,(INT(MAX(0,Inputs!$B$44-B2941)/(IF(Inputs!$B$39="pvp",15,MAX(0.1,Skills!D9-IF(Skills!E9=TRUE,1.0,0)))*(1-IF(AND(ArtifactsInput!$M$27,Inputs!$B$4="Chapter Hunt"),CHOOSE(ArtifactsInput!$N$27+1,20,24,28,32,36,40),0)/100)))+1)),0)</f>
        <v/>
      </c>
      <c r="S2911">
        <f>IF(C2911,(H2911*N2911*IF(AND(Inputs!$B$39&lt;&gt;"pvp",Inputs!$B$44&gt;0),((Skills!F9*((R2911-1)*IF(Skills!G9&gt;0,Skills!H9/Skills!G9,1)+IF(Skills!G9&gt;0,MIN(Skills!H9,MAX(0,MAX(0,Inputs!$B$44-B2941)-((R2911-1)*(IF(Inputs!$B$39="pvp",15,MAX(0.1,Skills!D9-IF(Skills!E9=TRUE,1.0,0)))*(1-IF(AND(ArtifactsInput!$M$27,Inputs!$B$4="Chapter Hunt"),CHOOSE(ArtifactsInput!$N$27+1,20,24,28,32,36,40),0)/100)))))/Skills!G9,1)))/Inputs!$B$44),G2911*Q2911))*IF(Inputs!$B$39="pvp",1,1+(Inputs!$B$21+Skills!O9+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2911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1">
        <f>IF(C2911,(H2911*N2911*IF(AND(Inputs!$B$39&lt;&gt;"pvp",Inputs!$B$44&gt;0),((Skills!F9*((R2911-1)*IF(Skills!G9&gt;0,Skills!H9/Skills!G9,1)+IF(Skills!G9&gt;0,MIN(Skills!H9,MAX(0,MAX(0,Inputs!$B$44-B2941)-((R2911-1)*(IF(Inputs!$B$39="pvp",15,MAX(0.1,Skills!D9-IF(Skills!E9=TRUE,1.0,0)))*(1-IF(AND(ArtifactsInput!$M$27,Inputs!$B$4="Chapter Hunt"),CHOOSE(ArtifactsInput!$N$27+1,20,24,28,32,36,40),0)/100)))))/Skills!G9,1)))/Inputs!$B$44),G2911*Q2911))*IF(Inputs!$B$39="pvp",1,(1+(Inputs!$B$22+Skills!P9+B2933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Skills!A10</f>
        <v/>
      </c>
      <c r="B2912">
        <f>Skills!B10</f>
        <v/>
      </c>
      <c r="C2912">
        <f>Inputs!$B$3&gt;=66</f>
        <v/>
      </c>
      <c r="D2912">
        <f>IF(Skills!C10=1,60+Inputs!$B$26+Inputs!$B$30,IF(Skills!C10=2,90+Inputs!$B$27+Inputs!$B$30,IF(Skills!C10=3,120+Inputs!$B$28+Inputs!$B$30,MAX(0,(Inputs!$B$3-100)*3)+Inputs!$B$29+Inputs!$B$30)))</f>
        <v/>
      </c>
      <c r="E2912">
        <f>INDEX(FactorTable!$B$2:$Y$301, MATCH(ROUND(MIN(300,MAX(1,D2912)),0), FactorTable!$A$2:$A$301,0), Skills!L10+1)</f>
        <v/>
      </c>
      <c r="F2912" t="n">
        <v>0</v>
      </c>
      <c r="G2912">
        <f>Calc!G10</f>
        <v/>
      </c>
      <c r="H2912">
        <f>Calc!H10</f>
        <v/>
      </c>
      <c r="I2912">
        <f>IF(Skills!T10&lt;&gt;"",1+(Skills!T10/10)*($Z$3/1000)/100,1)</f>
        <v/>
      </c>
      <c r="J2912" t="inlineStr"/>
      <c r="K2912" t="inlineStr"/>
      <c r="L2912" t="inlineStr"/>
      <c r="M2912" t="inlineStr"/>
      <c r="N2912" t="inlineStr"/>
      <c r="O2912">
        <f>(1-Summary!$B$11)*S2912+Summary!$B$11*U2912</f>
        <v/>
      </c>
      <c r="P2912">
        <f>IF(B2944=0,0,O2912/B2944)</f>
        <v/>
      </c>
      <c r="Q2912">
        <f>IFERROR(1/(IF(Inputs!$B$39="pvp",15,MAX(0.1,Skills!D10-IF(Skills!E10=TRUE,1.0,0)))*(1-IF(AND(ArtifactsInput!$M$27,Inputs!$B$4="Chapter Hunt"),CHOOSE(ArtifactsInput!$N$27+1,20,24,28,32,36,40),0)/100)),0)</f>
        <v/>
      </c>
      <c r="R2912">
        <f>IF(AND(Inputs!$B$39&lt;&gt;"pvp",Inputs!$B$44&gt;0),IF(MAX(0,Inputs!$B$44-B2941)&lt;=0,0,(INT(MAX(0,Inputs!$B$44-B2941)/(IF(Inputs!$B$39="pvp",15,MAX(0.1,Skills!D10-IF(Skills!E10=TRUE,1.0,0)))*(1-IF(AND(ArtifactsInput!$M$27,Inputs!$B$4="Chapter Hunt"),CHOOSE(ArtifactsInput!$N$27+1,20,24,28,32,36,40),0)/100)))+1)),0)</f>
        <v/>
      </c>
      <c r="S2912" t="n">
        <v>0</v>
      </c>
      <c r="U2912" t="n">
        <v>0</v>
      </c>
    </row>
    <row r="2913">
      <c r="A2913">
        <f>Skills!A11</f>
        <v/>
      </c>
      <c r="B2913">
        <f>Skills!B11</f>
        <v/>
      </c>
      <c r="C2913">
        <f>Inputs!$B$3&gt;=69</f>
        <v/>
      </c>
      <c r="D2913">
        <f>IF(Skills!C11=1,60+Inputs!$B$26+Inputs!$B$30,IF(Skills!C11=2,90+Inputs!$B$27+Inputs!$B$30,IF(Skills!C11=3,120+Inputs!$B$28+Inputs!$B$30,MAX(0,(Inputs!$B$3-100)*3)+Inputs!$B$29+Inputs!$B$30)))</f>
        <v/>
      </c>
      <c r="E2913">
        <f>INDEX(FactorTable!$B$2:$Y$301, MATCH(ROUND(MIN(300,MAX(1,D2913)),0), FactorTable!$A$2:$A$301,0), Skills!L11+1)</f>
        <v/>
      </c>
      <c r="F2913">
        <f>IF(Skills!M11=TRUE,(Skills!K11/10)*(E2913/1000),Skills!K11/10)+Skills!N11</f>
        <v/>
      </c>
      <c r="G2913">
        <f>Calc!G11</f>
        <v/>
      </c>
      <c r="H2913">
        <f>Calc!H11</f>
        <v/>
      </c>
      <c r="I2913">
        <f>IF(Skills!T11&lt;&gt;"",1+(Skills!T11/10)*($Z$3/1000)/100,1)</f>
        <v/>
      </c>
      <c r="J2913" t="inlineStr"/>
      <c r="K2913" t="inlineStr"/>
      <c r="L2913" t="inlineStr"/>
      <c r="M2913" t="inlineStr"/>
      <c r="N2913" t="inlineStr"/>
      <c r="O2913">
        <f>(1-Summary!$B$11)*S2913+Summary!$B$11*U2913</f>
        <v/>
      </c>
      <c r="P2913">
        <f>IF(B2944=0,0,O2913/B2944)</f>
        <v/>
      </c>
      <c r="Q2913">
        <f>IFERROR(1/(IF(Inputs!$B$39="pvp",15,MAX(0.1,Skills!D11-IF(Skills!E11=TRUE,1.0,0)))*(1-IF(AND(ArtifactsInput!$M$27,Inputs!$B$4="Chapter Hunt"),CHOOSE(ArtifactsInput!$N$27+1,20,24,28,32,36,40),0)/100)),0)</f>
        <v/>
      </c>
      <c r="R2913">
        <f>IF(AND(Inputs!$B$39&lt;&gt;"pvp",Inputs!$B$44&gt;0),IF(Inputs!$B$44&lt;=0,0,(INT(Inputs!$B$44/(IF(Inputs!$B$39="pvp",15,MAX(0.1,Skills!D11-IF(Skills!E11=TRUE,1.0,0)))*(1-IF(AND(ArtifactsInput!$M$27,Inputs!$B$4="Chapter Hunt"),CHOOSE(ArtifactsInput!$N$27+1,20,24,28,32,36,40),0)/100)))+1)),0)</f>
        <v/>
      </c>
      <c r="S2913" t="n">
        <v>0</v>
      </c>
      <c r="U2913" t="n">
        <v>0</v>
      </c>
    </row>
    <row r="2914">
      <c r="A2914">
        <f>Skills!A12</f>
        <v/>
      </c>
      <c r="B2914">
        <f>Skills!B12</f>
        <v/>
      </c>
      <c r="C2914">
        <f>Inputs!$B$3&gt;=72</f>
        <v/>
      </c>
      <c r="D2914">
        <f>IF(Skills!C12=1,60+Inputs!$B$26+Inputs!$B$30,IF(Skills!C12=2,90+Inputs!$B$27+Inputs!$B$30,IF(Skills!C12=3,120+Inputs!$B$28+Inputs!$B$30,MAX(0,(Inputs!$B$3-100)*3)+Inputs!$B$29+Inputs!$B$30)))</f>
        <v/>
      </c>
      <c r="E2914">
        <f>INDEX(FactorTable!$B$2:$Y$301, MATCH(ROUND(MIN(300,MAX(1,D2914)),0), FactorTable!$A$2:$A$301,0), Skills!L12+1)</f>
        <v/>
      </c>
      <c r="F2914">
        <f>IF(Skills!M12=TRUE,(Skills!K12/10)*(E2914/1000),Skills!K12/10)+Skills!N12</f>
        <v/>
      </c>
      <c r="G2914">
        <f>Calc!G12</f>
        <v/>
      </c>
      <c r="H2914">
        <f>Calc!H12</f>
        <v/>
      </c>
      <c r="I2914">
        <f>IF(Skills!T12&lt;&gt;"",1+(Skills!T12/10)*($Z$3/1000)/100,1)</f>
        <v/>
      </c>
      <c r="J2914" t="inlineStr"/>
      <c r="K2914" t="inlineStr"/>
      <c r="L2914" t="inlineStr"/>
      <c r="M2914" t="inlineStr"/>
      <c r="N2914" t="inlineStr"/>
      <c r="O2914">
        <f>(1-Summary!$B$11)*S2914+Summary!$B$11*U2914</f>
        <v/>
      </c>
      <c r="P2914">
        <f>IF(B2944=0,0,O2914/B2944)</f>
        <v/>
      </c>
      <c r="Q2914">
        <f>IFERROR(1/(IF(Inputs!$B$39="pvp",15,MAX(0.1,Skills!D12-IF(Skills!E12=TRUE,1.0,0)))*(1-IF(AND(ArtifactsInput!$M$27,Inputs!$B$4="Chapter Hunt"),CHOOSE(ArtifactsInput!$N$27+1,20,24,28,32,36,40),0)/100)),0)</f>
        <v/>
      </c>
      <c r="R2914">
        <f>IF(AND(Inputs!$B$39&lt;&gt;"pvp",Inputs!$B$44&gt;0),IF(MAX(0,Inputs!$B$44-B2941)&lt;=0,0,(INT(MAX(0,Inputs!$B$44-B2941)/(IF(Inputs!$B$39="pvp",15,MAX(0.1,Skills!D12-IF(Skills!E12=TRUE,1.0,0)))*(1-IF(AND(ArtifactsInput!$M$27,Inputs!$B$4="Chapter Hunt"),CHOOSE(ArtifactsInput!$N$27+1,20,24,28,32,36,40),0)/100)))+1)),0)</f>
        <v/>
      </c>
      <c r="S2914" t="n">
        <v>0</v>
      </c>
      <c r="U2914" t="n">
        <v>0</v>
      </c>
    </row>
    <row r="2915">
      <c r="A2915">
        <f>Skills!A13</f>
        <v/>
      </c>
      <c r="B2915">
        <f>Skills!B13</f>
        <v/>
      </c>
      <c r="C2915">
        <f>Inputs!$B$3&gt;=60</f>
        <v/>
      </c>
      <c r="D2915">
        <f>IF(Skills!C13=1,60+Inputs!$B$26+Inputs!$B$30,IF(Skills!C13=2,90+Inputs!$B$27+Inputs!$B$30,IF(Skills!C13=3,120+Inputs!$B$28+Inputs!$B$30,MAX(0,(Inputs!$B$3-100)*3)+Inputs!$B$29+Inputs!$B$30)))</f>
        <v/>
      </c>
      <c r="E2915">
        <f>INDEX(FactorTable!$B$2:$Y$301, MATCH(ROUND(MIN(300,MAX(1,D2915)),0), FactorTable!$A$2:$A$301,0), Skills!L13+1)</f>
        <v/>
      </c>
      <c r="F2915">
        <f>IF(Skills!M13=TRUE,(Skills!K13/10)*(E2915/1000),Skills!K13/10)+Skills!N13</f>
        <v/>
      </c>
      <c r="G2915">
        <f>Calc!G13</f>
        <v/>
      </c>
      <c r="H2915">
        <f>Calc!H13</f>
        <v/>
      </c>
      <c r="I2915">
        <f>IF(Skills!T13&lt;&gt;"",1+(Skills!T13/10)*($Z$3/1000)/100,1)</f>
        <v/>
      </c>
      <c r="J2915" t="inlineStr"/>
      <c r="K2915" t="inlineStr"/>
      <c r="L2915" t="inlineStr"/>
      <c r="M2915" t="inlineStr"/>
      <c r="N2915" t="inlineStr"/>
      <c r="O2915">
        <f>(1-Summary!$B$11)*S2915+Summary!$B$11*U2915</f>
        <v/>
      </c>
      <c r="P2915">
        <f>IF(B2944=0,0,O2915/B2944)</f>
        <v/>
      </c>
      <c r="Q2915">
        <f>IFERROR(1/(IF(Inputs!$B$39="pvp",15,MAX(0.1,Skills!D13-IF(Skills!E13=TRUE,1.0,0)))*(1-IF(AND(ArtifactsInput!$M$27,Inputs!$B$4="Chapter Hunt"),CHOOSE(ArtifactsInput!$N$27+1,20,24,28,32,36,40),0)/100)),0)</f>
        <v/>
      </c>
      <c r="R2915">
        <f>IF(AND(Inputs!$B$39&lt;&gt;"pvp",Inputs!$B$44&gt;0),IF(MAX(0,Inputs!$B$44-B2941)&lt;=0,0,(INT(MAX(0,Inputs!$B$44-B2941)/(IF(Inputs!$B$39="pvp",15,MAX(0.1,Skills!D13-IF(Skills!E13=TRUE,1.0,0)))*(1-IF(AND(ArtifactsInput!$M$27,Inputs!$B$4="Chapter Hunt"),CHOOSE(ArtifactsInput!$N$27+1,20,24,28,32,36,40),0)/100)))+1)),0)</f>
        <v/>
      </c>
      <c r="S2915" t="n">
        <v>0</v>
      </c>
      <c r="U2915" t="n">
        <v>0</v>
      </c>
    </row>
    <row r="2916">
      <c r="A2916">
        <f>Skills!A14</f>
        <v/>
      </c>
      <c r="B2916">
        <f>Skills!B14</f>
        <v/>
      </c>
      <c r="C2916">
        <f>Inputs!$B$3&gt;=107</f>
        <v/>
      </c>
      <c r="D2916">
        <f>IF(Skills!C14=1,60+Inputs!$B$26+Inputs!$B$30,IF(Skills!C14=2,90+Inputs!$B$27+Inputs!$B$30,IF(Skills!C14=3,120+Inputs!$B$28+Inputs!$B$30,MAX(0,(Inputs!$B$3-100)*3)+Inputs!$B$29+Inputs!$B$30)))</f>
        <v/>
      </c>
      <c r="E2916">
        <f>INDEX(FactorTable!$B$2:$Y$301, MATCH(ROUND(MIN(300,MAX(1,D2916)),0), FactorTable!$A$2:$A$301,0), Skills!L14+1)</f>
        <v/>
      </c>
      <c r="F2916">
        <f>IF(Skills!M14=TRUE,(Skills!K14/10)*(E2916/1000),Skills!K14/10)+Skills!N14</f>
        <v/>
      </c>
      <c r="G2916">
        <f>Calc!G14</f>
        <v/>
      </c>
      <c r="H2916">
        <f>Calc!H14</f>
        <v/>
      </c>
      <c r="I2916">
        <f>IF(Skills!T14&lt;&gt;"",1+(Skills!T14/10)*($Z$3/1000)/100,1)</f>
        <v/>
      </c>
      <c r="J2916" t="inlineStr"/>
      <c r="K2916" t="inlineStr"/>
      <c r="L2916" t="inlineStr"/>
      <c r="M2916" t="inlineStr"/>
      <c r="N2916" t="inlineStr"/>
      <c r="O2916">
        <f>(1-Summary!$B$11)*S2916+Summary!$B$11*U2916</f>
        <v/>
      </c>
      <c r="P2916">
        <f>IF(B2944=0,0,O2916/B2944)</f>
        <v/>
      </c>
      <c r="Q2916">
        <f>IFERROR(1/(IF(Inputs!$B$39="pvp",15,MAX(0.1,Skills!D14-IF(Skills!E14=TRUE,1.0,0)))*(1-IF(AND(ArtifactsInput!$M$27,Inputs!$B$4="Chapter Hunt"),CHOOSE(ArtifactsInput!$N$27+1,20,24,28,32,36,40),0)/100)),0)</f>
        <v/>
      </c>
      <c r="R2916">
        <f>IF(AND(Inputs!$B$39&lt;&gt;"pvp",Inputs!$B$44&gt;0),IF(Inputs!$B$44&lt;=0,0,(INT(Inputs!$B$44/(IF(Inputs!$B$39="pvp",15,MAX(0.1,Skills!D14-IF(Skills!E14=TRUE,1.0,0)))*(1-IF(AND(ArtifactsInput!$M$27,Inputs!$B$4="Chapter Hunt"),CHOOSE(ArtifactsInput!$N$27+1,20,24,28,32,36,40),0)/100)))+1)),0)</f>
        <v/>
      </c>
      <c r="S2916" t="n">
        <v>0</v>
      </c>
      <c r="U2916" t="n">
        <v>0</v>
      </c>
    </row>
    <row r="2917">
      <c r="A2917">
        <f>Skills!A15</f>
        <v/>
      </c>
      <c r="B2917">
        <f>Skills!B15</f>
        <v/>
      </c>
      <c r="C2917">
        <f>Inputs!$B$3&gt;=63</f>
        <v/>
      </c>
      <c r="D2917">
        <f>IF(Skills!C15=1,60+Inputs!$B$26+Inputs!$B$30,IF(Skills!C15=2,90+Inputs!$B$27+Inputs!$B$30,IF(Skills!C15=3,120+Inputs!$B$28+Inputs!$B$30,MAX(0,(Inputs!$B$3-100)*3)+Inputs!$B$29+Inputs!$B$30)))</f>
        <v/>
      </c>
      <c r="E2917">
        <f>INDEX(FactorTable!$B$2:$Y$301, MATCH(ROUND(MIN(300,MAX(1,D2917)),0), FactorTable!$A$2:$A$301,0), Skills!L15+1)</f>
        <v/>
      </c>
      <c r="F2917">
        <f>IF(Skills!M15=TRUE,(Skills!K15/10)*(E2917/1000),Skills!K15/10)+Skills!N15</f>
        <v/>
      </c>
      <c r="G2917">
        <f>Calc!G15</f>
        <v/>
      </c>
      <c r="H2917">
        <f>Calc!H15</f>
        <v/>
      </c>
      <c r="I2917">
        <f>IF(Skills!T15&lt;&gt;"",1+(Skills!T15/10)*($Z$3/1000)/100,1)</f>
        <v/>
      </c>
      <c r="J2917">
        <f>((Inputs!$B$6*(1+Inputs!$B$7/100))+(((Inputs!$B$13*(1+Inputs!$B$14/100))-(Inputs!$B$13*(1+Inputs!$B$14/100)))+0.25*(Inputs!$B$15-Inputs!$B$15))*(1+Inputs!$B$7/100))*(F2917/100)</f>
        <v/>
      </c>
      <c r="K2917">
        <f>J2917*(1+(((Inputs!$B$13+IF(Inputs!$B$3&gt;=35,(10*INDEX(FactorTable!$B$2:$Y$301,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15="TRIUMPH_FEATHER",IF(C2918=TRUE,F2918,0),0)/100)*(1+IF(C2929=TRUE,F2929,0)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2917)</f>
        <v/>
      </c>
      <c r="L2917">
        <f>K2917*(MIN(Inputs!$B$23+(F2924-Calc!F22),(Inputs!$B$24+IF(ArtifactsInput!$M$15,CHOOSE(ArtifactsInput!$N$15+1,25,30,35,40,45,50)/100*(Inputs!$B$12-Inputs!$B$12),0)))/100+(Inputs!$B$24+IF(ArtifactsInput!$M$15,CHOOSE(ArtifactsInput!$N$15+1,25,30,35,40,45,50)/100*(Inputs!$B$12-Inputs!$B$12),0))/100)/2</f>
        <v/>
      </c>
      <c r="M2917">
        <f>L2917*(1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17">
        <f>L2917*(1-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(1-Summary!$B$11)*S2917+Summary!$B$11*U2917</f>
        <v/>
      </c>
      <c r="P2917">
        <f>IF(B2944=0,0,O2917/B2944)</f>
        <v/>
      </c>
      <c r="Q2917">
        <f>IFERROR(1/(IF(Inputs!$B$39="pvp",15,MAX(0.1,Skills!D15-IF(Skills!E15=TRUE,1.0,0)))*(1-IF(AND(ArtifactsInput!$M$27,Inputs!$B$4="Chapter Hunt"),CHOOSE(ArtifactsInput!$N$27+1,20,24,28,32,36,40),0)/100)),0)</f>
        <v/>
      </c>
      <c r="R2917" t="n">
        <v>0</v>
      </c>
      <c r="S2917">
        <f>IF(C2917,(Skills!F15*N2917*((IF(Inputs!$B$3&gt;=78,25,15)/100*B2937*10)/(1+IF(Inputs!$B$3&gt;=78,25,15)/100*B2937*10))*(Skills!I15/100*B2937)/(1+Skills!G15*Skills!I15/100*B2937))*IF(Inputs!$B$39="pvp",1,1+(Inputs!$B$21+Skills!O15+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2917*(1-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F(C2917,(Skills!F15*N2917*((IF(Inputs!$B$3&gt;=78,25,15)/100*B2937*10)/(1+IF(Inputs!$B$3&gt;=78,25,15)/100*B2937*10))*(Skills!I15/100*B2937)/(1+Skills!G15*Skills!I15/100*B2937))*IF(Inputs!$B$39="pvp",1,(1+(Inputs!$B$22+Skills!P15+B2933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Skills!A16</f>
        <v/>
      </c>
      <c r="B2918">
        <f>Skills!B16</f>
        <v/>
      </c>
      <c r="C2918">
        <f>Inputs!$B$3&gt;=100</f>
        <v/>
      </c>
      <c r="D2918">
        <f>IF(Skills!C16=1,60+Inputs!$B$26+Inputs!$B$30,IF(Skills!C16=2,90+Inputs!$B$27+Inputs!$B$30,IF(Skills!C16=3,120+Inputs!$B$28+Inputs!$B$30,MAX(0,(Inputs!$B$3-100)*3)+Inputs!$B$29+Inputs!$B$30)))</f>
        <v/>
      </c>
      <c r="E2918">
        <f>INDEX(FactorTable!$B$2:$Y$301, MATCH(ROUND(MIN(300,MAX(1,D2918)),0), FactorTable!$A$2:$A$301,0), Skills!L16+1)</f>
        <v/>
      </c>
      <c r="F2918">
        <f>IF(Skills!M16=TRUE,(Skills!K16/10)*(E2918/1000),Skills!K16/10)+Skills!N16</f>
        <v/>
      </c>
      <c r="G2918">
        <f>Calc!G16</f>
        <v/>
      </c>
      <c r="H2918">
        <f>Calc!H16</f>
        <v/>
      </c>
      <c r="I2918">
        <f>IF(Skills!T16&lt;&gt;"",1+(Skills!T16/10)*($Z$3/1000)/100,1)</f>
        <v/>
      </c>
      <c r="J2918" t="inlineStr"/>
      <c r="K2918" t="inlineStr"/>
      <c r="L2918" t="inlineStr"/>
      <c r="M2918" t="inlineStr"/>
      <c r="N2918" t="inlineStr"/>
      <c r="O2918">
        <f>(1-Summary!$B$11)*S2918+Summary!$B$11*U2918</f>
        <v/>
      </c>
      <c r="P2918">
        <f>IF(B2944=0,0,O2918/B2944)</f>
        <v/>
      </c>
      <c r="Q2918">
        <f>IFERROR(1/(IF(Inputs!$B$39="pvp",15,MAX(0.1,Skills!D16-IF(Skills!E16=TRUE,1.0,0)))*(1-IF(AND(ArtifactsInput!$M$27,Inputs!$B$4="Chapter Hunt"),CHOOSE(ArtifactsInput!$N$27+1,20,24,28,32,36,40),0)/100)),0)</f>
        <v/>
      </c>
      <c r="R2918" t="n">
        <v>0</v>
      </c>
      <c r="S2918" t="n">
        <v>0</v>
      </c>
      <c r="U2918" t="n">
        <v>0</v>
      </c>
    </row>
    <row r="2919">
      <c r="A2919">
        <f>Skills!A17</f>
        <v/>
      </c>
      <c r="B2919">
        <f>Skills!B17</f>
        <v/>
      </c>
      <c r="C2919">
        <f>Inputs!$B$3&gt;=49</f>
        <v/>
      </c>
      <c r="D2919">
        <f>IF(Skills!C17=1,60+Inputs!$B$26+Inputs!$B$30,IF(Skills!C17=2,90+Inputs!$B$27+Inputs!$B$30,IF(Skills!C17=3,120+Inputs!$B$28+Inputs!$B$30,MAX(0,(Inputs!$B$3-100)*3)+Inputs!$B$29+Inputs!$B$30)))</f>
        <v/>
      </c>
      <c r="E2919">
        <f>INDEX(FactorTable!$B$2:$Y$301, MATCH(ROUND(MIN(300,MAX(1,D2919)),0), FactorTable!$A$2:$A$301,0), Skills!L17+1)</f>
        <v/>
      </c>
      <c r="F2919">
        <f>IF(Skills!M17=TRUE,(Skills!K17/10)*(E2919/1000),Skills!K17/10)+Skills!N17</f>
        <v/>
      </c>
      <c r="G2919">
        <f>Calc!G17</f>
        <v/>
      </c>
      <c r="H2919">
        <f>Calc!H17</f>
        <v/>
      </c>
      <c r="I2919">
        <f>IF(Skills!T17&lt;&gt;"",1+(Skills!T17/10)*($Z$3/1000)/100,1)</f>
        <v/>
      </c>
      <c r="J2919" t="inlineStr"/>
      <c r="K2919" t="inlineStr"/>
      <c r="L2919" t="inlineStr"/>
      <c r="M2919" t="inlineStr"/>
      <c r="N2919" t="inlineStr"/>
      <c r="O2919">
        <f>(1-Summary!$B$11)*S2919+Summary!$B$11*U2919</f>
        <v/>
      </c>
      <c r="P2919">
        <f>IF(B2944=0,0,O2919/B2944)</f>
        <v/>
      </c>
      <c r="Q2919">
        <f>IFERROR(1/(IF(Inputs!$B$39="pvp",15,MAX(0.1,Skills!D17-IF(Skills!E17=TRUE,1.0,0)))*(1-IF(AND(ArtifactsInput!$M$27,Inputs!$B$4="Chapter Hunt"),CHOOSE(ArtifactsInput!$N$27+1,20,24,28,32,36,40),0)/100)),0)</f>
        <v/>
      </c>
      <c r="R2919" t="n">
        <v>0</v>
      </c>
      <c r="S2919" t="n">
        <v>0</v>
      </c>
      <c r="U2919" t="n">
        <v>0</v>
      </c>
    </row>
    <row r="2920">
      <c r="A2920">
        <f>Skills!A18</f>
        <v/>
      </c>
      <c r="B2920">
        <f>Skills!B18</f>
        <v/>
      </c>
      <c r="C2920">
        <f>Inputs!$B$3&gt;=75</f>
        <v/>
      </c>
      <c r="D2920">
        <f>IF(Skills!C18=1,60+Inputs!$B$26+Inputs!$B$30,IF(Skills!C18=2,90+Inputs!$B$27+Inputs!$B$30,IF(Skills!C18=3,120+Inputs!$B$28+Inputs!$B$30,MAX(0,(Inputs!$B$3-100)*3)+Inputs!$B$29+Inputs!$B$30)))</f>
        <v/>
      </c>
      <c r="E2920">
        <f>INDEX(FactorTable!$B$2:$Y$301, MATCH(ROUND(MIN(300,MAX(1,D2920)),0), FactorTable!$A$2:$A$301,0), Skills!L18+1)</f>
        <v/>
      </c>
      <c r="F2920">
        <f>IF(Skills!M18=TRUE,(Skills!K18/10)*(E2920/1000),Skills!K18/10)+Skills!N18</f>
        <v/>
      </c>
      <c r="G2920">
        <f>Calc!G18</f>
        <v/>
      </c>
      <c r="H2920">
        <f>Calc!H18</f>
        <v/>
      </c>
      <c r="I2920">
        <f>IF(Skills!T18&lt;&gt;"",1+(Skills!T18/10)*($Z$3/1000)/100,1)</f>
        <v/>
      </c>
      <c r="J2920" t="inlineStr"/>
      <c r="K2920" t="inlineStr"/>
      <c r="L2920" t="inlineStr"/>
      <c r="M2920" t="inlineStr"/>
      <c r="N2920" t="inlineStr"/>
      <c r="O2920">
        <f>(1-Summary!$B$11)*S2920+Summary!$B$11*U2920</f>
        <v/>
      </c>
      <c r="P2920">
        <f>IF(B2944=0,0,O2920/B2944)</f>
        <v/>
      </c>
      <c r="Q2920">
        <f>IFERROR(1/(IF(Inputs!$B$39="pvp",15,MAX(0.1,Skills!D18-IF(Skills!E18=TRUE,1.0,0)))*(1-IF(AND(ArtifactsInput!$M$27,Inputs!$B$4="Chapter Hunt"),CHOOSE(ArtifactsInput!$N$27+1,20,24,28,32,36,40),0)/100)),0)</f>
        <v/>
      </c>
      <c r="R2920" t="n">
        <v>0</v>
      </c>
      <c r="S2920" t="n">
        <v>0</v>
      </c>
      <c r="U2920" t="n">
        <v>0</v>
      </c>
    </row>
    <row r="2921">
      <c r="A2921">
        <f>Skills!A19</f>
        <v/>
      </c>
      <c r="B2921">
        <f>Skills!B19</f>
        <v/>
      </c>
      <c r="C2921">
        <f>Inputs!$B$3&gt;=110</f>
        <v/>
      </c>
      <c r="D2921">
        <f>IF(Skills!C19=1,60+Inputs!$B$26+Inputs!$B$30,IF(Skills!C19=2,90+Inputs!$B$27+Inputs!$B$30,IF(Skills!C19=3,120+Inputs!$B$28+Inputs!$B$30,MAX(0,(Inputs!$B$3-100)*3)+Inputs!$B$29+Inputs!$B$30)))</f>
        <v/>
      </c>
      <c r="E2921">
        <f>INDEX(FactorTable!$B$2:$Y$301, MATCH(ROUND(MIN(300,MAX(1,D2921)),0), FactorTable!$A$2:$A$301,0), Skills!L19+1)</f>
        <v/>
      </c>
      <c r="F2921">
        <f>(Skills!K19/10)*(E2921/1000)*64/45+Skills!N19</f>
        <v/>
      </c>
      <c r="G2921">
        <f>Calc!G19</f>
        <v/>
      </c>
      <c r="H2921">
        <f>Calc!H19</f>
        <v/>
      </c>
      <c r="I2921">
        <f>IF(Skills!T19&lt;&gt;"",1+(Skills!T19/10)*($Z$3/1000)/100,1)</f>
        <v/>
      </c>
      <c r="J2921" t="inlineStr"/>
      <c r="K2921" t="inlineStr"/>
      <c r="L2921" t="inlineStr"/>
      <c r="M2921" t="inlineStr"/>
      <c r="N2921" t="inlineStr"/>
      <c r="O2921">
        <f>(1-Summary!$B$11)*S2921+Summary!$B$11*U2921</f>
        <v/>
      </c>
      <c r="P2921">
        <f>IF(B2944=0,0,O2921/B2944)</f>
        <v/>
      </c>
      <c r="Q2921">
        <f>IFERROR(1/(IF(Inputs!$B$39="pvp",15,MAX(0.1,Skills!D19-IF(Skills!E19=TRUE,1.0,0)))*(1-IF(AND(ArtifactsInput!$M$27,Inputs!$B$4="Chapter Hunt"),CHOOSE(ArtifactsInput!$N$27+1,20,24,28,32,36,40),0)/100)),0)</f>
        <v/>
      </c>
      <c r="R2921">
        <f>IF(AND(Inputs!$B$39&lt;&gt;"pvp",Inputs!$B$44&gt;0),IF(Inputs!$B$44&lt;=0,0,(INT(Inputs!$B$44/(IF(Inputs!$B$39="pvp",15,MAX(0.1,Skills!D19-IF(Skills!E19=TRUE,1.0,0)))*(1-IF(AND(ArtifactsInput!$M$27,Inputs!$B$4="Chapter Hunt"),CHOOSE(ArtifactsInput!$N$27+1,20,24,28,32,36,40),0)/100)))+1)),0)</f>
        <v/>
      </c>
      <c r="S2921" t="n">
        <v>0</v>
      </c>
      <c r="U2921" t="n">
        <v>0</v>
      </c>
    </row>
    <row r="2922">
      <c r="A2922">
        <f>Skills!A20</f>
        <v/>
      </c>
      <c r="B2922">
        <f>Skills!B20</f>
        <v/>
      </c>
      <c r="C2922">
        <f>Inputs!$B$3&gt;=125</f>
        <v/>
      </c>
      <c r="D2922">
        <f>IF(Skills!C20=1,60+Inputs!$B$26+Inputs!$B$30,IF(Skills!C20=2,90+Inputs!$B$27+Inputs!$B$30,IF(Skills!C20=3,120+Inputs!$B$28+Inputs!$B$30,MAX(0,(Inputs!$B$3-100)*3)+Inputs!$B$29+Inputs!$B$30)))</f>
        <v/>
      </c>
      <c r="E2922">
        <f>INDEX(FactorTable!$B$2:$Y$301, MATCH(ROUND(MIN(300,MAX(1,D2922)),0), FactorTable!$A$2:$A$301,0), Skills!L20+1)</f>
        <v/>
      </c>
      <c r="F2922">
        <f>IF(Skills!M20=TRUE,(Skills!K20/10)*(E2922/1000),Skills!K20/10)+Skills!N20</f>
        <v/>
      </c>
      <c r="G2922">
        <f>Calc!G20</f>
        <v/>
      </c>
      <c r="H2922">
        <f>Calc!H20</f>
        <v/>
      </c>
      <c r="I2922">
        <f>IF(Skills!T20&lt;&gt;"",1+(Skills!T20/10)*($Z$3/1000)/100,1)</f>
        <v/>
      </c>
      <c r="J2922" t="inlineStr"/>
      <c r="K2922" t="inlineStr"/>
      <c r="L2922" t="inlineStr"/>
      <c r="M2922" t="inlineStr"/>
      <c r="N2922" t="inlineStr"/>
      <c r="O2922">
        <f>(1-Summary!$B$11)*S2922+Summary!$B$11*U2922</f>
        <v/>
      </c>
      <c r="P2922">
        <f>IF(B2944=0,0,O2922/B2944)</f>
        <v/>
      </c>
      <c r="Q2922">
        <f>IFERROR(1/(IF(Inputs!$B$39="pvp",15,MAX(0.1,Skills!D20-IF(Skills!E20=TRUE,1.0,0)))*(1-IF(AND(ArtifactsInput!$M$27,Inputs!$B$4="Chapter Hunt"),CHOOSE(ArtifactsInput!$N$27+1,20,24,28,32,36,40),0)/100)),0)</f>
        <v/>
      </c>
      <c r="R2922" t="n">
        <v>0</v>
      </c>
      <c r="S2922" t="n">
        <v>0</v>
      </c>
      <c r="U2922" t="n">
        <v>0</v>
      </c>
    </row>
    <row r="2923">
      <c r="A2923">
        <f>Skills!A21</f>
        <v/>
      </c>
      <c r="B2923">
        <f>Skills!B21</f>
        <v/>
      </c>
      <c r="C2923">
        <f>Inputs!$B$3&gt;=33</f>
        <v/>
      </c>
      <c r="D2923">
        <f>IF(Skills!C21=1,60+Inputs!$B$26+Inputs!$B$30,IF(Skills!C21=2,90+Inputs!$B$27+Inputs!$B$30,IF(Skills!C21=3,120+Inputs!$B$28+Inputs!$B$30,MAX(0,(Inputs!$B$3-100)*3)+Inputs!$B$29+Inputs!$B$30)))</f>
        <v/>
      </c>
      <c r="E2923">
        <f>INDEX(FactorTable!$B$2:$Y$301, MATCH(ROUND(MIN(300,MAX(1,D2923)),0), FactorTable!$A$2:$A$301,0), Skills!L21+1)</f>
        <v/>
      </c>
      <c r="F2923">
        <f>IF(Skills!M21=TRUE,(Skills!K21/10)*(E2923/1000),Skills!K21/10)+Skills!N21</f>
        <v/>
      </c>
      <c r="G2923">
        <f>Calc!G21</f>
        <v/>
      </c>
      <c r="H2923">
        <f>Calc!H21</f>
        <v/>
      </c>
      <c r="I2923">
        <f>IF(Skills!T21&lt;&gt;"",1+(Skills!T21/10)*($Z$3/1000)/100,1)</f>
        <v/>
      </c>
      <c r="J2923" t="inlineStr"/>
      <c r="K2923" t="inlineStr"/>
      <c r="L2923" t="inlineStr"/>
      <c r="M2923" t="inlineStr"/>
      <c r="N2923" t="inlineStr"/>
      <c r="O2923">
        <f>(1-Summary!$B$11)*S2923+Summary!$B$11*U2923</f>
        <v/>
      </c>
      <c r="P2923">
        <f>IF(B2944=0,0,O2923/B2944)</f>
        <v/>
      </c>
      <c r="Q2923">
        <f>IFERROR(1/(IF(Inputs!$B$39="pvp",15,MAX(0.1,Skills!D21-IF(Skills!E21=TRUE,1.0,0)))*(1-IF(AND(ArtifactsInput!$M$27,Inputs!$B$4="Chapter Hunt"),CHOOSE(ArtifactsInput!$N$27+1,20,24,28,32,36,40),0)/100)),0)</f>
        <v/>
      </c>
      <c r="R2923" t="n">
        <v>0</v>
      </c>
      <c r="S2923" t="n">
        <v>0</v>
      </c>
      <c r="U2923" t="n">
        <v>0</v>
      </c>
    </row>
    <row r="2924">
      <c r="A2924">
        <f>Skills!A22</f>
        <v/>
      </c>
      <c r="B2924">
        <f>Skills!B22</f>
        <v/>
      </c>
      <c r="C2924">
        <f>Inputs!$B$3&gt;=43</f>
        <v/>
      </c>
      <c r="D2924">
        <f>IF(Skills!C22=1,60+Inputs!$B$26+Inputs!$B$30,IF(Skills!C22=2,90+Inputs!$B$27+Inputs!$B$30,IF(Skills!C22=3,120+Inputs!$B$28+Inputs!$B$30,MAX(0,(Inputs!$B$3-100)*3)+Inputs!$B$29+Inputs!$B$30)))</f>
        <v/>
      </c>
      <c r="E2924">
        <f>INDEX(FactorTable!$B$2:$Y$301, MATCH(ROUND(MIN(300,MAX(1,D2924)),0), FactorTable!$A$2:$A$301,0), Skills!L22+1)</f>
        <v/>
      </c>
      <c r="F2924">
        <f>IF(Skills!M22=TRUE,(Skills!K22/10)*(E2924/1000),Skills!K22/10)+Skills!N22</f>
        <v/>
      </c>
      <c r="G2924">
        <f>Calc!G22</f>
        <v/>
      </c>
      <c r="H2924">
        <f>Calc!H22</f>
        <v/>
      </c>
      <c r="I2924">
        <f>IF(Skills!T22&lt;&gt;"",1+(Skills!T22/10)*($Z$3/1000)/100,1)</f>
        <v/>
      </c>
      <c r="J2924" t="inlineStr"/>
      <c r="K2924" t="inlineStr"/>
      <c r="L2924" t="inlineStr"/>
      <c r="M2924" t="inlineStr"/>
      <c r="N2924" t="inlineStr"/>
      <c r="O2924">
        <f>(1-Summary!$B$11)*S2924+Summary!$B$11*U2924</f>
        <v/>
      </c>
      <c r="P2924">
        <f>IF(B2944=0,0,O2924/B2944)</f>
        <v/>
      </c>
      <c r="Q2924">
        <f>IFERROR(1/(IF(Inputs!$B$39="pvp",15,MAX(0.1,Skills!D22-IF(Skills!E22=TRUE,1.0,0)))*(1-IF(AND(ArtifactsInput!$M$27,Inputs!$B$4="Chapter Hunt"),CHOOSE(ArtifactsInput!$N$27+1,20,24,28,32,36,40),0)/100)),0)</f>
        <v/>
      </c>
      <c r="R2924" t="n">
        <v>0</v>
      </c>
      <c r="S2924" t="n">
        <v>0</v>
      </c>
      <c r="U2924" t="n">
        <v>0</v>
      </c>
    </row>
    <row r="2925">
      <c r="A2925">
        <f>Skills!A23</f>
        <v/>
      </c>
      <c r="B2925">
        <f>Skills!B23</f>
        <v/>
      </c>
      <c r="C2925">
        <f>Inputs!$B$3&gt;=50</f>
        <v/>
      </c>
      <c r="D2925">
        <f>IF(Skills!C23=1,60+Inputs!$B$26+Inputs!$B$30,IF(Skills!C23=2,90+Inputs!$B$27+Inputs!$B$30,IF(Skills!C23=3,120+Inputs!$B$28+Inputs!$B$30,MAX(0,(Inputs!$B$3-100)*3)+Inputs!$B$29+Inputs!$B$30)))</f>
        <v/>
      </c>
      <c r="E2925">
        <f>INDEX(FactorTable!$B$2:$Y$301, MATCH(ROUND(MIN(300,MAX(1,D2925)),0), FactorTable!$A$2:$A$301,0), Skills!L23+1)</f>
        <v/>
      </c>
      <c r="F2925">
        <f>IF(Skills!M23=TRUE,(Skills!K23/10)*(E2925/1000),Skills!K23/10)+Skills!N23</f>
        <v/>
      </c>
      <c r="G2925">
        <f>Calc!G23</f>
        <v/>
      </c>
      <c r="H2925">
        <f>Calc!H23</f>
        <v/>
      </c>
      <c r="I2925">
        <f>IF(Skills!T23&lt;&gt;"",1+(Skills!T23/10)*($Z$3/1000)/100,1)</f>
        <v/>
      </c>
      <c r="J2925" t="inlineStr"/>
      <c r="K2925" t="inlineStr"/>
      <c r="L2925" t="inlineStr"/>
      <c r="M2925" t="inlineStr"/>
      <c r="N2925" t="inlineStr"/>
      <c r="O2925">
        <f>(1-Summary!$B$11)*S2925+Summary!$B$11*U2925</f>
        <v/>
      </c>
      <c r="P2925">
        <f>IF(B2944=0,0,O2925/B2944)</f>
        <v/>
      </c>
      <c r="Q2925">
        <f>IFERROR(1/(IF(Inputs!$B$39="pvp",15,MAX(0.1,Skills!D23-IF(Skills!E23=TRUE,1.0,0)))*(1-IF(AND(ArtifactsInput!$M$27,Inputs!$B$4="Chapter Hunt"),CHOOSE(ArtifactsInput!$N$27+1,20,24,28,32,36,40),0)/100)),0)</f>
        <v/>
      </c>
      <c r="R2925" t="n">
        <v>0</v>
      </c>
      <c r="S2925" t="n">
        <v>0</v>
      </c>
      <c r="U2925" t="n">
        <v>0</v>
      </c>
    </row>
    <row r="2926">
      <c r="A2926">
        <f>Skills!A24</f>
        <v/>
      </c>
      <c r="B2926">
        <f>Skills!B24</f>
        <v/>
      </c>
      <c r="C2926">
        <f>Inputs!$B$3&gt;=74</f>
        <v/>
      </c>
      <c r="D2926">
        <f>IF(Skills!C24=1,60+Inputs!$B$26+Inputs!$B$30,IF(Skills!C24=2,90+Inputs!$B$27+Inputs!$B$30,IF(Skills!C24=3,120+Inputs!$B$28+Inputs!$B$30,MAX(0,(Inputs!$B$3-100)*3)+Inputs!$B$29+Inputs!$B$30)))</f>
        <v/>
      </c>
      <c r="E2926">
        <f>INDEX(FactorTable!$B$2:$Y$301, MATCH(ROUND(MIN(300,MAX(1,D2926)),0), FactorTable!$A$2:$A$301,0), Skills!L24+1)</f>
        <v/>
      </c>
      <c r="F2926">
        <f>IF(Skills!M24=TRUE,(Skills!K24/10)*(E2926/1000),Skills!K24/10)+Skills!N24</f>
        <v/>
      </c>
      <c r="G2926">
        <f>Calc!G24</f>
        <v/>
      </c>
      <c r="H2926">
        <f>Calc!H24</f>
        <v/>
      </c>
      <c r="I2926">
        <f>IF(Skills!T24&lt;&gt;"",1+(Skills!T24/10)*($Z$3/1000)/100,1)</f>
        <v/>
      </c>
      <c r="J2926" t="inlineStr"/>
      <c r="K2926" t="inlineStr"/>
      <c r="L2926" t="inlineStr"/>
      <c r="M2926" t="inlineStr"/>
      <c r="N2926" t="inlineStr"/>
      <c r="O2926">
        <f>(1-Summary!$B$11)*S2926+Summary!$B$11*U2926</f>
        <v/>
      </c>
      <c r="P2926">
        <f>IF(B2944=0,0,O2926/B2944)</f>
        <v/>
      </c>
      <c r="Q2926">
        <f>IFERROR(1/(IF(Inputs!$B$39="pvp",15,MAX(0.1,Skills!D24-IF(Skills!E24=TRUE,1.0,0)))*(1-IF(AND(ArtifactsInput!$M$27,Inputs!$B$4="Chapter Hunt"),CHOOSE(ArtifactsInput!$N$27+1,20,24,28,32,36,40),0)/100)),0)</f>
        <v/>
      </c>
      <c r="R2926" t="n">
        <v>0</v>
      </c>
      <c r="S2926" t="n">
        <v>0</v>
      </c>
      <c r="U2926" t="n">
        <v>0</v>
      </c>
    </row>
    <row r="2927">
      <c r="A2927">
        <f>Skills!A25</f>
        <v/>
      </c>
      <c r="B2927">
        <f>Skills!B25</f>
        <v/>
      </c>
      <c r="C2927">
        <f>Inputs!$B$3&gt;=74</f>
        <v/>
      </c>
      <c r="D2927">
        <f>IF(Skills!C25=1,60+Inputs!$B$26+Inputs!$B$30,IF(Skills!C25=2,90+Inputs!$B$27+Inputs!$B$30,IF(Skills!C25=3,120+Inputs!$B$28+Inputs!$B$30,MAX(0,(Inputs!$B$3-100)*3)+Inputs!$B$29+Inputs!$B$30)))</f>
        <v/>
      </c>
      <c r="E2927">
        <f>INDEX(FactorTable!$B$2:$Y$301, MATCH(ROUND(MIN(300,MAX(1,D2927)),0), FactorTable!$A$2:$A$301,0), Skills!L25+1)</f>
        <v/>
      </c>
      <c r="F2927">
        <f>IF(Skills!M25=TRUE,(Skills!K25/10)*(E2927/1000),Skills!K25/10)+Skills!N25</f>
        <v/>
      </c>
      <c r="G2927">
        <f>Calc!G25</f>
        <v/>
      </c>
      <c r="H2927">
        <f>Calc!H25</f>
        <v/>
      </c>
      <c r="I2927">
        <f>IF(Skills!T25&lt;&gt;"",1+(Skills!T25/10)*($Z$3/1000)/100,1)</f>
        <v/>
      </c>
      <c r="J2927" t="inlineStr"/>
      <c r="K2927" t="inlineStr"/>
      <c r="L2927" t="inlineStr"/>
      <c r="M2927" t="inlineStr"/>
      <c r="N2927" t="inlineStr"/>
      <c r="O2927">
        <f>(1-Summary!$B$11)*S2927+Summary!$B$11*U2927</f>
        <v/>
      </c>
      <c r="P2927">
        <f>IF(B2944=0,0,O2927/B2944)</f>
        <v/>
      </c>
      <c r="Q2927">
        <f>IFERROR(1/(IF(Inputs!$B$39="pvp",15,MAX(0.1,Skills!D25-IF(Skills!E25=TRUE,1.0,0)))*(1-IF(AND(ArtifactsInput!$M$27,Inputs!$B$4="Chapter Hunt"),CHOOSE(ArtifactsInput!$N$27+1,20,24,28,32,36,40),0)/100)),0)</f>
        <v/>
      </c>
      <c r="R2927" t="n">
        <v>0</v>
      </c>
      <c r="S2927" t="n">
        <v>0</v>
      </c>
      <c r="U2927" t="n">
        <v>0</v>
      </c>
    </row>
    <row r="2928">
      <c r="A2928">
        <f>Skills!A26</f>
        <v/>
      </c>
      <c r="B2928">
        <f>Skills!B26</f>
        <v/>
      </c>
      <c r="C2928">
        <f>Inputs!$B$3&gt;=117</f>
        <v/>
      </c>
      <c r="D2928">
        <f>IF(Skills!C26=1,60+Inputs!$B$26+Inputs!$B$30,IF(Skills!C26=2,90+Inputs!$B$27+Inputs!$B$30,IF(Skills!C26=3,120+Inputs!$B$28+Inputs!$B$30,MAX(0,(Inputs!$B$3-100)*3)+Inputs!$B$29+Inputs!$B$30)))</f>
        <v/>
      </c>
      <c r="E2928">
        <f>INDEX(FactorTable!$B$2:$Y$301, MATCH(ROUND(MIN(300,MAX(1,D2928)),0), FactorTable!$A$2:$A$301,0), Skills!L26+1)</f>
        <v/>
      </c>
      <c r="F2928">
        <f>IF(Skills!M26=TRUE,(Skills!K26/10)*(E2928/1000),Skills!K26/10)+Skills!N26</f>
        <v/>
      </c>
      <c r="G2928">
        <f>Calc!G26</f>
        <v/>
      </c>
      <c r="H2928">
        <f>Calc!H26</f>
        <v/>
      </c>
      <c r="I2928">
        <f>IF(Skills!T26&lt;&gt;"",1+(Skills!T26/10)*($Z$3/1000)/100,1)</f>
        <v/>
      </c>
      <c r="J2928" t="inlineStr"/>
      <c r="K2928" t="inlineStr"/>
      <c r="L2928" t="inlineStr"/>
      <c r="M2928" t="inlineStr"/>
      <c r="N2928" t="inlineStr"/>
      <c r="O2928">
        <f>(1-Summary!$B$11)*S2928+Summary!$B$11*U2928</f>
        <v/>
      </c>
      <c r="P2928">
        <f>IF(B2944=0,0,O2928/B2944)</f>
        <v/>
      </c>
      <c r="Q2928">
        <f>IFERROR(1/(IF(Inputs!$B$39="pvp",15,MAX(0.1,Skills!D26-IF(Skills!E26=TRUE,1.0,0)))*(1-IF(AND(ArtifactsInput!$M$27,Inputs!$B$4="Chapter Hunt"),CHOOSE(ArtifactsInput!$N$27+1,20,24,28,32,36,40),0)/100)),0)</f>
        <v/>
      </c>
      <c r="R2928" t="n">
        <v>0</v>
      </c>
      <c r="S2928" t="n">
        <v>0</v>
      </c>
      <c r="U2928" t="n">
        <v>0</v>
      </c>
    </row>
    <row r="2929">
      <c r="A2929">
        <f>Skills!A27</f>
        <v/>
      </c>
      <c r="B2929">
        <f>Skills!B27</f>
        <v/>
      </c>
      <c r="C2929">
        <f>Inputs!$B$3&gt;=120</f>
        <v/>
      </c>
      <c r="D2929">
        <f>IF(Skills!C27=1,60+Inputs!$B$26+Inputs!$B$30,IF(Skills!C27=2,90+Inputs!$B$27+Inputs!$B$30,IF(Skills!C27=3,120+Inputs!$B$28+Inputs!$B$30,MAX(0,(Inputs!$B$3-100)*3)+Inputs!$B$29+Inputs!$B$30)))</f>
        <v/>
      </c>
      <c r="E2929">
        <f>INDEX(FactorTable!$B$2:$Y$301, MATCH(ROUND(MIN(300,MAX(1,D2929)),0), FactorTable!$A$2:$A$301,0), Skills!L27+1)</f>
        <v/>
      </c>
      <c r="F2929">
        <f>IF(Skills!M27=TRUE,(Skills!K27/10)*(E2929/1000),Skills!K27/10)+Skills!N27</f>
        <v/>
      </c>
      <c r="G2929">
        <f>Calc!G27</f>
        <v/>
      </c>
      <c r="H2929">
        <f>Calc!H27</f>
        <v/>
      </c>
      <c r="I2929">
        <f>IF(Skills!T27&lt;&gt;"",1+(Skills!T27/10)*($Z$3/1000)/100,1)</f>
        <v/>
      </c>
      <c r="J2929" t="inlineStr"/>
      <c r="K2929" t="inlineStr"/>
      <c r="L2929" t="inlineStr"/>
      <c r="M2929" t="inlineStr"/>
      <c r="N2929" t="inlineStr"/>
      <c r="O2929">
        <f>(1-Summary!$B$11)*S2929+Summary!$B$11*U2929</f>
        <v/>
      </c>
      <c r="P2929">
        <f>IF(B2944=0,0,O2929/B2944)</f>
        <v/>
      </c>
      <c r="Q2929">
        <f>IFERROR(1/(IF(Inputs!$B$39="pvp",15,MAX(0.1,Skills!D27-IF(Skills!E27=TRUE,1.0,0)))*(1-IF(AND(ArtifactsInput!$M$27,Inputs!$B$4="Chapter Hunt"),CHOOSE(ArtifactsInput!$N$27+1,20,24,28,32,36,40),0)/100)),0)</f>
        <v/>
      </c>
      <c r="R2929" t="n">
        <v>0</v>
      </c>
      <c r="S2929" t="n">
        <v>0</v>
      </c>
      <c r="U2929" t="n">
        <v>0</v>
      </c>
    </row>
    <row r="2931">
      <c r="A2931" t="inlineStr">
        <is>
          <t>Average Buff Multiplier</t>
        </is>
      </c>
      <c r="B2931">
        <f>(1+(IF(C2905=TRUE,F2905*IF(AND(Inputs!$B$39&lt;&gt;"pvp",Inputs!$B$44&gt;0),(((R2905-1)*(Skills!S3*(1+((Inputs!$B$35+(ArtifactsInput!$M$7-ArtifactsInput!$M$7)*CHOOSE(ArtifactsInput!$N$7+1,6,7.2,8.4,9.6,10.8,12))+IF(Inputs!$B$3&gt;=117,F2928,0))/100))+MIN((Skills!S3*(1+((Inputs!$B$35+(ArtifactsInput!$M$7-ArtifactsInput!$M$7)*CHOOSE(ArtifactsInput!$N$7+1,6,7.2,8.4,9.6,10.8,12))+IF(Inputs!$B$3&gt;=117,F2928,0))/100)),MAX(0,Inputs!$B$44-((R2905-1)*Skills!D3))))/Inputs!$B$44),IF(Inputs!$B$39="pvp",MIN((Skills!S3*(1+((Inputs!$B$35+(ArtifactsInput!$M$7-ArtifactsInput!$M$7)*CHOOSE(ArtifactsInput!$N$7+1,6,7.2,8.4,9.6,10.8,12))+IF(Inputs!$B$3&gt;=117,F2928,0))/100)),15)/15,(Skills!S3*(1+((Inputs!$B$35+(ArtifactsInput!$M$7-ArtifactsInput!$M$7)*CHOOSE(ArtifactsInput!$N$7+1,6,7.2,8.4,9.6,10.8,12))+IF(Inputs!$B$3&gt;=117,F2928,0))/100))/Skills!D3)),0)+IF(C2906=TRUE,F2906*IF(AND(Inputs!$B$39&lt;&gt;"pvp",Inputs!$B$44&gt;0),(((R2906-1)*(Skills!S4*(1+((Inputs!$B$35+(ArtifactsInput!$M$7-ArtifactsInput!$M$7)*CHOOSE(ArtifactsInput!$N$7+1,6,7.2,8.4,9.6,10.8,12))+IF(Inputs!$B$3&gt;=117,F2928,0))/100))+MIN((Skills!S4*(1+((Inputs!$B$35+(ArtifactsInput!$M$7-ArtifactsInput!$M$7)*CHOOSE(ArtifactsInput!$N$7+1,6,7.2,8.4,9.6,10.8,12))+IF(Inputs!$B$3&gt;=117,F2928,0))/100)),MAX(0,Inputs!$B$44-((R2906-1)*Skills!D4))))/Inputs!$B$44),IF(Inputs!$B$39="pvp",MIN((Skills!S4*(1+((Inputs!$B$35+(ArtifactsInput!$M$7-ArtifactsInput!$M$7)*CHOOSE(ArtifactsInput!$N$7+1,6,7.2,8.4,9.6,10.8,12))+IF(Inputs!$B$3&gt;=117,F2928,0))/100)),15)/15,(Skills!S4*(1+((Inputs!$B$35+(ArtifactsInput!$M$7-ArtifactsInput!$M$7)*CHOOSE(ArtifactsInput!$N$7+1,6,7.2,8.4,9.6,10.8,12))+IF(Inputs!$B$3&gt;=117,F2928,0))/100))/Skills!D4)),0)+IF(C2907=TRUE,F2907*IF(AND(Inputs!$B$39&lt;&gt;"pvp",Inputs!$B$44&gt;0),(((R2907-1)*(Skills!S5*(1+((Inputs!$B$35+(ArtifactsInput!$M$7-ArtifactsInput!$M$7)*CHOOSE(ArtifactsInput!$N$7+1,6,7.2,8.4,9.6,10.8,12))+IF(Inputs!$B$3&gt;=117,F2928,0))/100))+MIN((Skills!S5*(1+((Inputs!$B$35+(ArtifactsInput!$M$7-ArtifactsInput!$M$7)*CHOOSE(ArtifactsInput!$N$7+1,6,7.2,8.4,9.6,10.8,12))+IF(Inputs!$B$3&gt;=117,F2928,0))/100)),MAX(0,Inputs!$B$44-((R2907-1)*Skills!D5))))/Inputs!$B$44),IF(Inputs!$B$39="pvp",MIN((Skills!S5*(1+((Inputs!$B$35+(ArtifactsInput!$M$7-ArtifactsInput!$M$7)*CHOOSE(ArtifactsInput!$N$7+1,6,7.2,8.4,9.6,10.8,12))+IF(Inputs!$B$3&gt;=117,F2928,0))/100)),15)/15,(Skills!S5*(1+((Inputs!$B$35+(ArtifactsInput!$M$7-ArtifactsInput!$M$7)*CHOOSE(ArtifactsInput!$N$7+1,6,7.2,8.4,9.6,10.8,12))+IF(Inputs!$B$3&gt;=117,F2928,0))/100))/Skills!D5)),0)+IF(C2913=TRUE,F2913*IF(AND(Inputs!$B$39&lt;&gt;"pvp",Inputs!$B$44&gt;0),(((R2913-1)*(Skills!S11*(1+((Inputs!$B$35+(ArtifactsInput!$M$7-ArtifactsInput!$M$7)*CHOOSE(ArtifactsInput!$N$7+1,6,7.2,8.4,9.6,10.8,12))+IF(Inputs!$B$3&gt;=117,F2928,0))/100))+MIN((Skills!S11*(1+((Inputs!$B$35+(ArtifactsInput!$M$7-ArtifactsInput!$M$7)*CHOOSE(ArtifactsInput!$N$7+1,6,7.2,8.4,9.6,10.8,12))+IF(Inputs!$B$3&gt;=117,F2928,0))/100)),MAX(0,Inputs!$B$44-((R2913-1)*Skills!D11))))/Inputs!$B$44),IF(Inputs!$B$39="pvp",MIN((Skills!S11*(1+((Inputs!$B$35+(ArtifactsInput!$M$7-ArtifactsInput!$M$7)*CHOOSE(ArtifactsInput!$N$7+1,6,7.2,8.4,9.6,10.8,12))+IF(Inputs!$B$3&gt;=117,F2928,0))/100)),15)/15,(Skills!S11*(1+((Inputs!$B$35+(ArtifactsInput!$M$7-ArtifactsInput!$M$7)*CHOOSE(ArtifactsInput!$N$7+1,6,7.2,8.4,9.6,10.8,12))+IF(Inputs!$B$3&gt;=117,F2928,0)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2916=TRUE,(1+F2916*IF(AND(Inputs!$B$39&lt;&gt;"pvp",Inputs!$B$44&gt;0),(((R2916-1)*(Skills!S14*(1+((Inputs!$B$35+(ArtifactsInput!$M$7-ArtifactsInput!$M$7)*CHOOSE(ArtifactsInput!$N$7+1,6,7.2,8.4,9.6,10.8,12))+IF(Inputs!$B$3&gt;=117,F2928,0))/100))+MIN((Skills!S14*(1+((Inputs!$B$35+(ArtifactsInput!$M$7-ArtifactsInput!$M$7)*CHOOSE(ArtifactsInput!$N$7+1,6,7.2,8.4,9.6,10.8,12))+IF(Inputs!$B$3&gt;=117,F2928,0))/100)),MAX(0,Inputs!$B$44-((R2916-1)*Skills!D14))))/Inputs!$B$44),IF(Inputs!$B$39="pvp",MIN((Skills!S14*(1+((Inputs!$B$35+(ArtifactsInput!$M$7-ArtifactsInput!$M$7)*CHOOSE(ArtifactsInput!$N$7+1,6,7.2,8.4,9.6,10.8,12))+IF(Inputs!$B$3&gt;=117,F2928,0))/100)),15)/15,(Skills!S14*(1+((Inputs!$B$35+(ArtifactsInput!$M$7-ArtifactsInput!$M$7)*CHOOSE(ArtifactsInput!$N$7+1,6,7.2,8.4,9.6,10.8,12))+IF(Inputs!$B$3&gt;=117,F2928,0))/100))/Skills!D14))/100),1)*IF(C2921=TRUE,(1+F2921*IF(AND(Inputs!$B$39&lt;&gt;"pvp",Inputs!$B$44&gt;0),(((R2921-1)*(Skills!S19*(1+((Inputs!$B$35+(ArtifactsInput!$M$7-ArtifactsInput!$M$7)*CHOOSE(ArtifactsInput!$N$7+1,6,7.2,8.4,9.6,10.8,12))+IF(Inputs!$B$3&gt;=117,F2928,0))/100))+MIN((Skills!S19*(1+((Inputs!$B$35+(ArtifactsInput!$M$7-ArtifactsInput!$M$7)*CHOOSE(ArtifactsInput!$N$7+1,6,7.2,8.4,9.6,10.8,12))+IF(Inputs!$B$3&gt;=117,F2928,0))/100)),MAX(0,Inputs!$B$44-((R2921-1)*Skills!D19))))/Inputs!$B$44),IF(Inputs!$B$39="pvp",MIN((Skills!S19*(1+((Inputs!$B$35+(ArtifactsInput!$M$7-ArtifactsInput!$M$7)*CHOOSE(ArtifactsInput!$N$7+1,6,7.2,8.4,9.6,10.8,12))+IF(Inputs!$B$3&gt;=117,F2928,0))/100)),15)/15,(Skills!S19*(1+((Inputs!$B$35+(ArtifactsInput!$M$7-ArtifactsInput!$M$7)*CHOOSE(ArtifactsInput!$N$7+1,6,7.2,8.4,9.6,10.8,12))+IF(Inputs!$B$3&gt;=117,F2928,0))/100))/Skills!D19))/100),1)</f>
        <v/>
      </c>
    </row>
    <row r="2932">
      <c r="A2932" t="inlineStr">
        <is>
          <t>Monster Damage Taken Bonus % (Holy Fountain)</t>
        </is>
      </c>
      <c r="B2932">
        <f>IF(Inputs!$B$3&gt;=68,20*IF(Inputs!$B$39="pvp",MIN((15*(1+((Inputs!$B$35+(ArtifactsInput!$M$7-ArtifactsInput!$M$7)*CHOOSE(ArtifactsInput!$N$7+1,6,7.2,8.4,9.6,10.8,12))+IF(Inputs!$B$3&gt;=117,F2928,0))/100)),15)/15,(15*(1+((Inputs!$B$35+(ArtifactsInput!$M$7-ArtifactsInput!$M$7)*CHOOSE(ArtifactsInput!$N$7+1,6,7.2,8.4,9.6,10.8,12))+IF(Inputs!$B$3&gt;=117,F2928,0))/100))/Skills!D10),0)</f>
        <v/>
      </c>
    </row>
    <row r="2933">
      <c r="A2933" t="inlineStr">
        <is>
          <t>Normal Monster Damage Bonus % (Holy Symbol)</t>
        </is>
      </c>
      <c r="B2933">
        <f>IF(C2914=TRUE,F2914*IF(AND(Inputs!$B$39&lt;&gt;"pvp",Inputs!$B$44&gt;0),(((R2914-1)*(Skills!S12*(1+((Inputs!$B$35+(ArtifactsInput!$M$7-ArtifactsInput!$M$7)*CHOOSE(ArtifactsInput!$N$7+1,6,7.2,8.4,9.6,10.8,12))+IF(Inputs!$B$3&gt;=117,F2928,0))/100))+MIN((Skills!S12*(1+((Inputs!$B$35+(ArtifactsInput!$M$7-ArtifactsInput!$M$7)*CHOOSE(ArtifactsInput!$N$7+1,6,7.2,8.4,9.6,10.8,12))+IF(Inputs!$B$3&gt;=117,F2928,0))/100)),MAX(0,Inputs!$B$44-((R2914-1)*Skills!D12))))/Inputs!$B$44),IF(Inputs!$B$39="pvp",MIN((Skills!S12*(1+((Inputs!$B$35+(ArtifactsInput!$M$7-ArtifactsInput!$M$7)*CHOOSE(ArtifactsInput!$N$7+1,6,7.2,8.4,9.6,10.8,12))+IF(Inputs!$B$3&gt;=117,F2928,0))/100)),15)/15,(Skills!S12*(1+((Inputs!$B$35+(ArtifactsInput!$M$7-ArtifactsInput!$M$7)*CHOOSE(ArtifactsInput!$N$7+1,6,7.2,8.4,9.6,10.8,12))+IF(Inputs!$B$3&gt;=117,F2928,0))/100))/Skills!D12)),0)</f>
        <v/>
      </c>
    </row>
    <row r="2934">
      <c r="A2934" t="inlineStr">
        <is>
          <t>Damage % Bonus (Holy Symbol - Damage Boost)</t>
        </is>
      </c>
      <c r="B2934">
        <f>Skills!O12</f>
        <v/>
      </c>
    </row>
    <row r="2935">
      <c r="A2935" t="inlineStr">
        <is>
          <t>Crit Damage % Bonus (Blood of the Divine)</t>
        </is>
      </c>
      <c r="B2935">
        <f>4*IF(C2922=TRUE,F2922,0)</f>
        <v/>
      </c>
    </row>
    <row r="2936">
      <c r="A2936" t="inlineStr">
        <is>
          <t>Attack Speed Bonus %</t>
        </is>
      </c>
      <c r="B2936">
        <f>IF(C2919=TRUE,F2919+(F2923-Calc!F21),0)+IF(Inputs!$B$3&gt;=134,15,0)</f>
        <v/>
      </c>
    </row>
    <row r="2937">
      <c r="A2937" t="inlineStr">
        <is>
          <t>Actions Per Second</t>
        </is>
      </c>
      <c r="B2937">
        <f>1+MIN(150,150*(1-(1-Inputs!$B$12/150)*(1-B2936/150)))/100</f>
        <v/>
      </c>
    </row>
    <row r="2938">
      <c r="A2938" t="inlineStr">
        <is>
          <t>Skill + Buff Cast Rate</t>
        </is>
      </c>
      <c r="B2938">
        <f>IF(AND(Inputs!$B$39&lt;&gt;"pvp",Inputs!$B$44&gt;0),SUMPRODUCT((Skills!E2:E27=TRUE)*(C2904:C2929=TRUE)*R2904:R2929)/Inputs!$B$44,SUMPRODUCT((Skills!E2:E27=TRUE)*(C2904:C2929=TRUE)*Q2904:Q2929))</f>
        <v/>
      </c>
    </row>
    <row r="2939">
      <c r="A2939" t="inlineStr">
        <is>
          <t>Big Bang Casts Per Second</t>
        </is>
      </c>
      <c r="B2939">
        <f>MAX(0,B2937-B2938)</f>
        <v/>
      </c>
    </row>
    <row r="2940">
      <c r="A2940" t="inlineStr">
        <is>
          <t>Defense % Bonus (Divine Protection)</t>
        </is>
      </c>
      <c r="B2940">
        <f>IF(C2915=TRUE,F2915*IF(AND(Inputs!$B$39&lt;&gt;"pvp",Inputs!$B$44&gt;0),(((R2915-1)*(Skills!S13*(1+((Inputs!$B$35+(ArtifactsInput!$M$7-ArtifactsInput!$M$7)*CHOOSE(ArtifactsInput!$N$7+1,6,7.2,8.4,9.6,10.8,12))+IF(Inputs!$B$3&gt;=117,F2928,0))/100))+MIN((Skills!S13*(1+((Inputs!$B$35+(ArtifactsInput!$M$7-ArtifactsInput!$M$7)*CHOOSE(ArtifactsInput!$N$7+1,6,7.2,8.4,9.6,10.8,12))+IF(Inputs!$B$3&gt;=117,F2928,0))/100)),MAX(0,Inputs!$B$44-((R2915-1)*Skills!D13))))/Inputs!$B$44),IF(Inputs!$B$39="pvp",MIN((Skills!S13*(1+((Inputs!$B$35+(ArtifactsInput!$M$7-ArtifactsInput!$M$7)*CHOOSE(ArtifactsInput!$N$7+1,6,7.2,8.4,9.6,10.8,12))+IF(Inputs!$B$3&gt;=117,F2928,0))/100)),15)/15,(Skills!S13*(1+((Inputs!$B$35+(ArtifactsInput!$M$7-ArtifactsInput!$M$7)*CHOOSE(ArtifactsInput!$N$7+1,6,7.2,8.4,9.6,10.8,12))+IF(Inputs!$B$3&gt;=117,F2928,0))/100))/Skills!D13)),0)</f>
        <v/>
      </c>
    </row>
    <row r="2941">
      <c r="A2941" t="inlineStr">
        <is>
          <t>Buff-Casting Startup Delay (s, fixed-duration only)</t>
        </is>
      </c>
      <c r="B2941">
        <f>IF(AND(Inputs!$B$39&lt;&gt;"pvp",Inputs!$B$44&gt;0),SUMPRODUCT((Skills!S2:S27&gt;0)*(Skills!E2:E27=TRUE)*(C2904:C2929=TRUE))/B2937,0)</f>
        <v/>
      </c>
    </row>
    <row r="2942">
      <c r="A2942" t="inlineStr">
        <is>
          <t>Boss-Only Total DPS (this block's swept value)</t>
        </is>
      </c>
      <c r="B2942">
        <f>SUM(S2904:S2929)</f>
        <v/>
      </c>
    </row>
    <row r="2943">
      <c r="A2943" t="inlineStr">
        <is>
          <t>Normal-Only Total DPS (this block's swept value)</t>
        </is>
      </c>
      <c r="B2943">
        <f>SUM(U2904:U2929)</f>
        <v/>
      </c>
    </row>
    <row r="2944">
      <c r="A2944" s="6" t="inlineStr">
        <is>
          <t>TOTAL DPS</t>
        </is>
      </c>
      <c r="B2944" s="6">
        <f>SUM(O2904:O2929)</f>
        <v/>
      </c>
    </row>
    <row r="2946">
      <c r="A2946" s="6" t="inlineStr">
        <is>
          <t>Stat: CDR = 1.5s</t>
        </is>
      </c>
    </row>
    <row r="2947">
      <c r="A2947" s="5" t="inlineStr">
        <is>
          <t>Key</t>
        </is>
      </c>
      <c r="B2947" s="5" t="inlineStr">
        <is>
          <t>Name</t>
        </is>
      </c>
      <c r="C2947" s="5" t="inlineStr">
        <is>
          <t>Unlocked</t>
        </is>
      </c>
      <c r="D2947" s="5" t="inlineStr">
        <is>
          <t>InputLevel</t>
        </is>
      </c>
      <c r="E2947" s="5" t="inlineStr">
        <is>
          <t>Factor</t>
        </is>
      </c>
      <c r="F2947" s="5" t="inlineStr">
        <is>
          <t>CoefficientPercent</t>
        </is>
      </c>
      <c r="G2947" s="5" t="inlineStr">
        <is>
          <t>EffectiveHits</t>
        </is>
      </c>
      <c r="H2947" s="5" t="inlineStr">
        <is>
          <t>ProcProbability</t>
        </is>
      </c>
      <c r="I2947" s="5" t="inlineStr">
        <is>
          <t>MapleHeroMultiplier</t>
        </is>
      </c>
      <c r="J2947" s="5" t="inlineStr">
        <is>
          <t>BaseDamage</t>
        </is>
      </c>
      <c r="K2947" s="5" t="inlineStr">
        <is>
          <t>BaseHitDamage</t>
        </is>
      </c>
      <c r="L2947" s="5" t="inlineStr">
        <is>
          <t>NonCritAvg</t>
        </is>
      </c>
      <c r="M2947" s="5" t="inlineStr">
        <is>
          <t>CritAvg</t>
        </is>
      </c>
      <c r="N2947" s="5" t="inlineStr">
        <is>
          <t>ExpectedDamage(perHit)</t>
        </is>
      </c>
      <c r="O2947" s="5" t="inlineStr">
        <is>
          <t>DPS</t>
        </is>
      </c>
      <c r="P2947" s="5" t="inlineStr">
        <is>
          <t>% of Total</t>
        </is>
      </c>
      <c r="R2947" t="inlineStr">
        <is>
          <t>helpers</t>
        </is>
      </c>
    </row>
    <row r="2948">
      <c r="A2948">
        <f>Skills!A2</f>
        <v/>
      </c>
      <c r="B2948">
        <f>Skills!B2</f>
        <v/>
      </c>
      <c r="C2948">
        <f>Inputs!$B$3&gt;=100</f>
        <v/>
      </c>
      <c r="D2948" t="inlineStr"/>
      <c r="E2948" t="inlineStr"/>
      <c r="F2948">
        <f>T2950+Skills!N2</f>
        <v/>
      </c>
      <c r="G2948">
        <f>Calc!G2</f>
        <v/>
      </c>
      <c r="H2948">
        <f>Calc!H2</f>
        <v/>
      </c>
      <c r="I2948">
        <f>IF(Skills!T2&lt;&gt;"",1+(Skills!T2/10)*($Z$3/1000)/100,1)</f>
        <v/>
      </c>
      <c r="J2948">
        <f>((Inputs!$B$6*(1+Inputs!$B$7/100))+(((Inputs!$B$13*(1+Inputs!$B$14/100))-(Inputs!$B$13*(1+Inputs!$B$14/100)))+0.25*(Inputs!$B$15-Inputs!$B$15))*(1+Inputs!$B$7/100))*(F2948/100)</f>
        <v/>
      </c>
      <c r="K2948">
        <f>J2948*(1+(((Inputs!$B$13+IF(Inputs!$B$3&gt;=35,(10*INDEX(FactorTable!$B$2:$Y$301,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2="TRIUMPH_FEATHER",IF(C2962=TRUE,F2962,0),0)/100)*(1+IF(C2973=TRUE,F2973,0)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2948)</f>
        <v/>
      </c>
      <c r="L2948">
        <f>K2948*(MIN(Inputs!$B$23+(F2968-Calc!F22),(Inputs!$B$24+IF(ArtifactsInput!$M$15,CHOOSE(ArtifactsInput!$N$15+1,25,30,35,40,45,50)/100*(Inputs!$B$12-Inputs!$B$12),0)))/100+(Inputs!$B$24+IF(ArtifactsInput!$M$15,CHOOSE(ArtifactsInput!$N$15+1,25,30,35,40,45,50)/100*(Inputs!$B$12-Inputs!$B$12),0))/100)/2</f>
        <v/>
      </c>
      <c r="M2948">
        <f>L2948*(1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48">
        <f>L2948*(1-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(1-Summary!$B$11)*S2948+Summary!$B$11*U2948</f>
        <v/>
      </c>
      <c r="P2948">
        <f>IF(B2988=0,0,O2948/B2988)</f>
        <v/>
      </c>
      <c r="Q2948">
        <f>IFERROR(1/(IF(Inputs!$B$39="pvp",15,MAX(0.1,Skills!D2-IF(Skills!E2=TRUE,1.5,0)))*(1-IF(AND(ArtifactsInput!$M$27,Inputs!$B$4="Chapter Hunt"),CHOOSE(ArtifactsInput!$N$27+1,20,24,28,32,36,40),0)/100)),0)</f>
        <v/>
      </c>
      <c r="R2948" t="n">
        <v>0</v>
      </c>
      <c r="S2948">
        <f>IF(C2948,(Skills!F2*N2948*B2983)*IF(Inputs!$B$39="pvp",1,1+(Inputs!$B$21+Skills!O2+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2948*(1-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48">
        <f>MAX(0,(Inputs!$B$3-100)*3)+Inputs!$B$29+Inputs!$B$30</f>
        <v/>
      </c>
      <c r="U2948">
        <f>IF(C2948,(Skills!F2*N2948*B2983)*IF(Inputs!$B$39="pvp",1,(1+(Inputs!$B$22+Skills!P2+B2977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Skills!A3</f>
        <v/>
      </c>
      <c r="B2949">
        <f>Skills!B3</f>
        <v/>
      </c>
      <c r="C2949">
        <f>Inputs!$B$3&gt;=15</f>
        <v/>
      </c>
      <c r="D2949">
        <f>IF(Skills!C3=1,60+Inputs!$B$26+Inputs!$B$30,IF(Skills!C3=2,90+Inputs!$B$27+Inputs!$B$30,IF(Skills!C3=3,120+Inputs!$B$28+Inputs!$B$30,MAX(0,(Inputs!$B$3-100)*3)+Inputs!$B$29+Inputs!$B$30)))</f>
        <v/>
      </c>
      <c r="E2949">
        <f>INDEX(FactorTable!$B$2:$Y$301, MATCH(ROUND(MIN(300,MAX(1,D2949)),0), FactorTable!$A$2:$A$301,0), Skills!L3+1)</f>
        <v/>
      </c>
      <c r="F2949">
        <f>IF(Skills!M3=TRUE,(Skills!K3/10)*(E2949/1000),Skills!K3/10)+Skills!N3</f>
        <v/>
      </c>
      <c r="G2949">
        <f>Calc!G3</f>
        <v/>
      </c>
      <c r="H2949">
        <f>Calc!H3</f>
        <v/>
      </c>
      <c r="I2949">
        <f>IF(Skills!T3&lt;&gt;"",1+(Skills!T3/10)*($Z$3/1000)/100,1)</f>
        <v/>
      </c>
      <c r="J2949" t="inlineStr"/>
      <c r="K2949" t="inlineStr"/>
      <c r="L2949" t="inlineStr"/>
      <c r="M2949" t="inlineStr"/>
      <c r="N2949" t="inlineStr"/>
      <c r="O2949">
        <f>(1-Summary!$B$11)*S2949+Summary!$B$11*U2949</f>
        <v/>
      </c>
      <c r="P2949">
        <f>IF(B2988=0,0,O2949/B2988)</f>
        <v/>
      </c>
      <c r="Q2949">
        <f>IFERROR(1/(IF(Inputs!$B$39="pvp",15,MAX(0.1,Skills!D3-IF(Skills!E3=TRUE,1.5,0)))*(1-IF(AND(ArtifactsInput!$M$27,Inputs!$B$4="Chapter Hunt"),CHOOSE(ArtifactsInput!$N$27+1,20,24,28,32,36,40),0)/100)),0)</f>
        <v/>
      </c>
      <c r="R2949">
        <f>IF(AND(Inputs!$B$39&lt;&gt;"pvp",Inputs!$B$44&gt;0),IF(Inputs!$B$44&lt;=0,0,(INT(Inputs!$B$44/(IF(Inputs!$B$39="pvp",15,MAX(0.1,Skills!D3-IF(Skills!E3=TRUE,1.5,0)))*(1-IF(AND(ArtifactsInput!$M$27,Inputs!$B$4="Chapter Hunt"),CHOOSE(ArtifactsInput!$N$27+1,20,24,28,32,36,40),0)/100)))+1)),0)</f>
        <v/>
      </c>
      <c r="S2949" t="n">
        <v>0</v>
      </c>
      <c r="T2949">
        <f>INDEX(FactorTable!$B$2:$Y$301, MATCH(ROUND(MIN(300,MAX(1,T2948)),0), FactorTable!$A$2:$A$301,0), 22)</f>
        <v/>
      </c>
      <c r="U2949" t="n">
        <v>0</v>
      </c>
    </row>
    <row r="2950">
      <c r="A2950">
        <f>Skills!A4</f>
        <v/>
      </c>
      <c r="B2950">
        <f>Skills!B4</f>
        <v/>
      </c>
      <c r="C2950">
        <f>Inputs!$B$3&gt;=38</f>
        <v/>
      </c>
      <c r="D2950">
        <f>IF(Skills!C4=1,60+Inputs!$B$26+Inputs!$B$30,IF(Skills!C4=2,90+Inputs!$B$27+Inputs!$B$30,IF(Skills!C4=3,120+Inputs!$B$28+Inputs!$B$30,MAX(0,(Inputs!$B$3-100)*3)+Inputs!$B$29+Inputs!$B$30)))</f>
        <v/>
      </c>
      <c r="E2950">
        <f>INDEX(FactorTable!$B$2:$Y$301, MATCH(ROUND(MIN(300,MAX(1,D2950)),0), FactorTable!$A$2:$A$301,0), Skills!L4+1)</f>
        <v/>
      </c>
      <c r="F2950">
        <f>IF(Skills!M4=TRUE,(Skills!K4/10)*(E2950/1000),Skills!K4/10)+Skills!N4</f>
        <v/>
      </c>
      <c r="G2950">
        <f>Calc!G4</f>
        <v/>
      </c>
      <c r="H2950">
        <f>Calc!H4</f>
        <v/>
      </c>
      <c r="I2950">
        <f>IF(Skills!T4&lt;&gt;"",1+(Skills!T4/10)*($Z$3/1000)/100,1)</f>
        <v/>
      </c>
      <c r="J2950" t="inlineStr"/>
      <c r="K2950" t="inlineStr"/>
      <c r="L2950" t="inlineStr"/>
      <c r="M2950" t="inlineStr"/>
      <c r="N2950" t="inlineStr"/>
      <c r="O2950">
        <f>(1-Summary!$B$11)*S2950+Summary!$B$11*U2950</f>
        <v/>
      </c>
      <c r="P2950">
        <f>IF(B2988=0,0,O2950/B2988)</f>
        <v/>
      </c>
      <c r="Q2950">
        <f>IFERROR(1/(IF(Inputs!$B$39="pvp",15,MAX(0.1,Skills!D4-IF(Skills!E4=TRUE,1.5,0)))*(1-IF(AND(ArtifactsInput!$M$27,Inputs!$B$4="Chapter Hunt"),CHOOSE(ArtifactsInput!$N$27+1,20,24,28,32,36,40),0)/100)),0)</f>
        <v/>
      </c>
      <c r="R2950">
        <f>IF(AND(Inputs!$B$39&lt;&gt;"pvp",Inputs!$B$44&gt;0),IF(Inputs!$B$44&lt;=0,0,(INT(Inputs!$B$44/(IF(Inputs!$B$39="pvp",15,MAX(0.1,Skills!D4-IF(Skills!E4=TRUE,1.5,0)))*(1-IF(AND(ArtifactsInput!$M$27,Inputs!$B$4="Chapter Hunt"),CHOOSE(ArtifactsInput!$N$27+1,20,24,28,32,36,40),0)/100)))+1)),0)</f>
        <v/>
      </c>
      <c r="S2950" t="n">
        <v>0</v>
      </c>
      <c r="T2950">
        <f>290*T2949/1000</f>
        <v/>
      </c>
      <c r="U2950" t="n">
        <v>0</v>
      </c>
    </row>
    <row r="2951">
      <c r="A2951">
        <f>Skills!A5</f>
        <v/>
      </c>
      <c r="B2951">
        <f>Skills!B5</f>
        <v/>
      </c>
      <c r="C2951">
        <f>Inputs!$B$3&gt;=40</f>
        <v/>
      </c>
      <c r="D2951">
        <f>IF(Skills!C5=1,60+Inputs!$B$26+Inputs!$B$30,IF(Skills!C5=2,90+Inputs!$B$27+Inputs!$B$30,IF(Skills!C5=3,120+Inputs!$B$28+Inputs!$B$30,MAX(0,(Inputs!$B$3-100)*3)+Inputs!$B$29+Inputs!$B$30)))</f>
        <v/>
      </c>
      <c r="E2951">
        <f>INDEX(FactorTable!$B$2:$Y$301, MATCH(ROUND(MIN(300,MAX(1,D2951)),0), FactorTable!$A$2:$A$301,0), Skills!L5+1)</f>
        <v/>
      </c>
      <c r="F2951">
        <f>IF(Skills!M5=TRUE,(Skills!K5/10)*(E2951/1000),Skills!K5/10)+Skills!N5</f>
        <v/>
      </c>
      <c r="G2951">
        <f>Calc!G5</f>
        <v/>
      </c>
      <c r="H2951">
        <f>Calc!H5</f>
        <v/>
      </c>
      <c r="I2951">
        <f>IF(Skills!T5&lt;&gt;"",1+(Skills!T5/10)*($Z$3/1000)/100,1)</f>
        <v/>
      </c>
      <c r="J2951" t="inlineStr"/>
      <c r="K2951" t="inlineStr"/>
      <c r="L2951" t="inlineStr"/>
      <c r="M2951" t="inlineStr"/>
      <c r="N2951" t="inlineStr"/>
      <c r="O2951">
        <f>(1-Summary!$B$11)*S2951+Summary!$B$11*U2951</f>
        <v/>
      </c>
      <c r="P2951">
        <f>IF(B2988=0,0,O2951/B2988)</f>
        <v/>
      </c>
      <c r="Q2951">
        <f>IFERROR(1/(IF(Inputs!$B$39="pvp",15,MAX(0.1,Skills!D5-IF(Skills!E5=TRUE,1.5,0)))*(1-IF(AND(ArtifactsInput!$M$27,Inputs!$B$4="Chapter Hunt"),CHOOSE(ArtifactsInput!$N$27+1,20,24,28,32,36,40),0)/100)),0)</f>
        <v/>
      </c>
      <c r="R2951">
        <f>IF(AND(Inputs!$B$39&lt;&gt;"pvp",Inputs!$B$44&gt;0),IF(Inputs!$B$44&lt;=0,0,(INT(Inputs!$B$44/(IF(Inputs!$B$39="pvp",15,MAX(0.1,Skills!D5-IF(Skills!E5=TRUE,1.5,0)))*(1-IF(AND(ArtifactsInput!$M$27,Inputs!$B$4="Chapter Hunt"),CHOOSE(ArtifactsInput!$N$27+1,20,24,28,32,36,40),0)/100)))+1)),0)</f>
        <v/>
      </c>
      <c r="S2951" t="n">
        <v>0</v>
      </c>
      <c r="U2951" t="n">
        <v>0</v>
      </c>
    </row>
    <row r="2952">
      <c r="A2952">
        <f>Skills!A6</f>
        <v/>
      </c>
      <c r="B2952">
        <f>Skills!B6</f>
        <v/>
      </c>
      <c r="C2952">
        <f>Inputs!$B$3&gt;=103</f>
        <v/>
      </c>
      <c r="D2952">
        <f>IF(Skills!C6=1,60+Inputs!$B$26+Inputs!$B$30,IF(Skills!C6=2,90+Inputs!$B$27+Inputs!$B$30,IF(Skills!C6=3,120+Inputs!$B$28+Inputs!$B$30,MAX(0,(Inputs!$B$3-100)*3)+Inputs!$B$29+Inputs!$B$30)))</f>
        <v/>
      </c>
      <c r="E2952">
        <f>INDEX(FactorTable!$B$2:$Y$301, MATCH(ROUND(MIN(300,MAX(1,D2952)),0), FactorTable!$A$2:$A$301,0), Skills!L6+1)</f>
        <v/>
      </c>
      <c r="F2952">
        <f>IF(Skills!M6=TRUE,(Skills!K6/10)*(E2952/1000),Skills!K6/10)+Skills!N6</f>
        <v/>
      </c>
      <c r="G2952">
        <f>Calc!G6</f>
        <v/>
      </c>
      <c r="H2952">
        <f>Calc!H6</f>
        <v/>
      </c>
      <c r="I2952">
        <f>IF(Skills!T6&lt;&gt;"",1+(Skills!T6/10)*($Z$3/1000)/100,1)</f>
        <v/>
      </c>
      <c r="J2952">
        <f>((Inputs!$B$6*(1+Inputs!$B$7/100))+(((Inputs!$B$13*(1+Inputs!$B$14/100))-(Inputs!$B$13*(1+Inputs!$B$14/100)))+0.25*(Inputs!$B$15-Inputs!$B$15))*(1+Inputs!$B$7/100))*(F2952/100)</f>
        <v/>
      </c>
      <c r="K2952">
        <f>J2952*(1+(((Inputs!$B$13+IF(Inputs!$B$3&gt;=35,(10*INDEX(FactorTable!$B$2:$Y$301,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6="TRIUMPH_FEATHER",IF(C2962=TRUE,F2962,0),0)/100)*(1+IF(C2973=TRUE,F2973,0)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2952)</f>
        <v/>
      </c>
      <c r="L2952">
        <f>K2952*(MIN(Inputs!$B$23+(F2968-Calc!F22),(Inputs!$B$24+IF(ArtifactsInput!$M$15,CHOOSE(ArtifactsInput!$N$15+1,25,30,35,40,45,50)/100*(Inputs!$B$12-Inputs!$B$12),0)))/100+(Inputs!$B$24+IF(ArtifactsInput!$M$15,CHOOSE(ArtifactsInput!$N$15+1,25,30,35,40,45,50)/100*(Inputs!$B$12-Inputs!$B$12),0))/100)/2</f>
        <v/>
      </c>
      <c r="M2952">
        <f>L2952*(1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2">
        <f>L2952*(1-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(1-Summary!$B$11)*S2952+Summary!$B$11*U2952</f>
        <v/>
      </c>
      <c r="P2952">
        <f>IF(B2988=0,0,O2952/B2988)</f>
        <v/>
      </c>
      <c r="Q2952">
        <f>IFERROR(1/(IF(Inputs!$B$39="pvp",15,MAX(0.1,Skills!D6-IF(Skills!E6=TRUE,1.5,0)))*(1-IF(AND(ArtifactsInput!$M$27,Inputs!$B$4="Chapter Hunt"),CHOOSE(ArtifactsInput!$N$27+1,20,24,28,32,36,40),0)/100)),0)</f>
        <v/>
      </c>
      <c r="R2952">
        <f>IF(AND(Inputs!$B$39&lt;&gt;"pvp",Inputs!$B$44&gt;0),IF(MAX(0,Inputs!$B$44-B2985)&lt;=0,0,(INT(MAX(0,Inputs!$B$44-B2985)/(IF(Inputs!$B$39="pvp",15,MAX(0.1,Skills!D6-IF(Skills!E6=TRUE,1.5,0)))*(1-IF(AND(ArtifactsInput!$M$27,Inputs!$B$4="Chapter Hunt"),CHOOSE(ArtifactsInput!$N$27+1,20,24,28,32,36,40),0)/100)))+1)),0)</f>
        <v/>
      </c>
      <c r="S2952">
        <f>IF(C2952,(H2952*N2952*IF(AND(Inputs!$B$39&lt;&gt;"pvp",Inputs!$B$44&gt;0),((Skills!F6*((R2952-1)*IF(Skills!G6&gt;0,Skills!H6/Skills!G6,1)+IF(Skills!G6&gt;0,MIN(Skills!H6,MAX(0,MAX(0,Inputs!$B$44-B2985)-((R2952-1)*(IF(Inputs!$B$39="pvp",15,MAX(0.1,Skills!D6-IF(Skills!E6=TRUE,1.5,0)))*(1-IF(AND(ArtifactsInput!$M$27,Inputs!$B$4="Chapter Hunt"),CHOOSE(ArtifactsInput!$N$27+1,20,24,28,32,36,40),0)/100)))))/Skills!G6,1)))/Inputs!$B$44),G2952*Q2952))*IF(Inputs!$B$39="pvp",1,1+(Inputs!$B$21+Skills!O6+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2952*(1-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2">
        <f>IF(C2952,(H2952*N2952*IF(AND(Inputs!$B$39&lt;&gt;"pvp",Inputs!$B$44&gt;0),((Skills!F6*((R2952-1)*IF(Skills!G6&gt;0,Skills!H6/Skills!G6,1)+IF(Skills!G6&gt;0,MIN(Skills!H6,MAX(0,MAX(0,Inputs!$B$44-B2985)-((R2952-1)*(IF(Inputs!$B$39="pvp",15,MAX(0.1,Skills!D6-IF(Skills!E6=TRUE,1.5,0)))*(1-IF(AND(ArtifactsInput!$M$27,Inputs!$B$4="Chapter Hunt"),CHOOSE(ArtifactsInput!$N$27+1,20,24,28,32,36,40),0)/100)))))/Skills!G6,1)))/Inputs!$B$44),G2952*Q2952))*IF(Inputs!$B$39="pvp",1,(1+(Inputs!$B$22+Skills!P6+B2977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Skills!A7</f>
        <v/>
      </c>
      <c r="B2953">
        <f>Skills!B7</f>
        <v/>
      </c>
      <c r="C2953">
        <f>Inputs!$B$3&gt;=122</f>
        <v/>
      </c>
      <c r="D2953">
        <f>IF(Skills!C7=1,60+Inputs!$B$26+Inputs!$B$30,IF(Skills!C7=2,90+Inputs!$B$27+Inputs!$B$30,IF(Skills!C7=3,120+Inputs!$B$28+Inputs!$B$30,MAX(0,(Inputs!$B$3-100)*3)+Inputs!$B$29+Inputs!$B$30)))</f>
        <v/>
      </c>
      <c r="E2953">
        <f>INDEX(FactorTable!$B$2:$Y$301, MATCH(ROUND(MIN(300,MAX(1,D2953)),0), FactorTable!$A$2:$A$301,0), Skills!L7+1)</f>
        <v/>
      </c>
      <c r="F2953">
        <f>IF(Skills!M7=TRUE,(Skills!K7/10)*(E2953/1000),Skills!K7/10)+Skills!N7</f>
        <v/>
      </c>
      <c r="G2953">
        <f>Calc!G7</f>
        <v/>
      </c>
      <c r="H2953">
        <f>Calc!H7</f>
        <v/>
      </c>
      <c r="I2953">
        <f>IF(Skills!T7&lt;&gt;"",1+(Skills!T7/10)*($Z$3/1000)/100,1)</f>
        <v/>
      </c>
      <c r="J2953">
        <f>((Inputs!$B$6*(1+Inputs!$B$7/100))+(((Inputs!$B$13*(1+Inputs!$B$14/100))-(Inputs!$B$13*(1+Inputs!$B$14/100)))+0.25*(Inputs!$B$15-Inputs!$B$15))*(1+Inputs!$B$7/100))*(F2953/100)</f>
        <v/>
      </c>
      <c r="K2953">
        <f>J2953*(1+(((Inputs!$B$13+IF(Inputs!$B$3&gt;=35,(10*INDEX(FactorTable!$B$2:$Y$301,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7="TRIUMPH_FEATHER",IF(C2962=TRUE,F2962,0),0)/100)*(1+IF(C2973=TRUE,F2973,0)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2953)</f>
        <v/>
      </c>
      <c r="L2953">
        <f>K2953*(MIN(Inputs!$B$23+(F2968-Calc!F22),(Inputs!$B$24+IF(ArtifactsInput!$M$15,CHOOSE(ArtifactsInput!$N$15+1,25,30,35,40,45,50)/100*(Inputs!$B$12-Inputs!$B$12),0)))/100+(Inputs!$B$24+IF(ArtifactsInput!$M$15,CHOOSE(ArtifactsInput!$N$15+1,25,30,35,40,45,50)/100*(Inputs!$B$12-Inputs!$B$12),0))/100)/2</f>
        <v/>
      </c>
      <c r="M2953">
        <f>L2953*(1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3">
        <f>L2953*(1-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(1-Summary!$B$11)*S2953+Summary!$B$11*U2953</f>
        <v/>
      </c>
      <c r="P2953">
        <f>IF(B2988=0,0,O2953/B2988)</f>
        <v/>
      </c>
      <c r="Q2953">
        <f>IFERROR(1/(IF(Inputs!$B$39="pvp",15,MAX(0.1,Skills!D7-IF(Skills!E6=TRUE,1.5,0)))*(1-IF(AND(ArtifactsInput!$M$27,Inputs!$B$4="Chapter Hunt"),CHOOSE(ArtifactsInput!$N$27+1,20,24,28,32,36,40),0)/100)),0)</f>
        <v/>
      </c>
      <c r="R2953">
        <f>IF(AND(Inputs!$B$39&lt;&gt;"pvp",Inputs!$B$44&gt;0),IF(MAX(0,Inputs!$B$44-B2985)&lt;=0,0,(INT(MAX(0,Inputs!$B$44-B2985)/(IF(Inputs!$B$39="pvp",15,MAX(0.1,Skills!D7-IF(Skills!E6=TRUE,1.5,0)))*(1-IF(AND(ArtifactsInput!$M$27,Inputs!$B$4="Chapter Hunt"),CHOOSE(ArtifactsInput!$N$27+1,20,24,28,32,36,40),0)/100)))+1)),0)</f>
        <v/>
      </c>
      <c r="S2953">
        <f>IF(C2953,H2953*N2953*IF(AND(Inputs!$B$39&lt;&gt;"pvp",Inputs!$B$44&gt;0),((Skills!F7*((R2953-1)*IF(Skills!G7&gt;0,Skills!H7/Skills!G7,1)+IF(Skills!G7&gt;0,MIN(Skills!H7,MAX(0,MAX(0,Inputs!$B$44-B2985)-((R2953-1)*(IF(Inputs!$B$39="pvp",15,MAX(0.1,Skills!D7-IF(Skills!E6=TRUE,1.5,0)))*(1-IF(AND(ArtifactsInput!$M$27,Inputs!$B$4="Chapter Hunt"),CHOOSE(ArtifactsInput!$N$27+1,20,24,28,32,36,40),0)/100)))))/Skills!G7,1)))/Inputs!$B$44),G2953*Q2953)*IF(Inputs!$B$39="pvp",1,1+(Inputs!$B$21+Skills!O7+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2953*(1-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3" t="n">
        <v>0</v>
      </c>
    </row>
    <row r="2954">
      <c r="A2954">
        <f>Skills!A8</f>
        <v/>
      </c>
      <c r="B2954">
        <f>Skills!B8</f>
        <v/>
      </c>
      <c r="C2954">
        <f>Inputs!$B$3&gt;=105</f>
        <v/>
      </c>
      <c r="D2954">
        <f>IF(Skills!C8=1,60+Inputs!$B$26+Inputs!$B$30,IF(Skills!C8=2,90+Inputs!$B$27+Inputs!$B$30,IF(Skills!C8=3,120+Inputs!$B$28+Inputs!$B$30,MAX(0,(Inputs!$B$3-100)*3)+Inputs!$B$29+Inputs!$B$30)))</f>
        <v/>
      </c>
      <c r="E2954">
        <f>INDEX(FactorTable!$B$2:$Y$301, MATCH(ROUND(MIN(300,MAX(1,D2954)),0), FactorTable!$A$2:$A$301,0), Skills!L8+1)</f>
        <v/>
      </c>
      <c r="F2954">
        <f>IF(Skills!M8=TRUE,(Skills!K8/10)*(E2954/1000),Skills!K8/10)+Skills!N8</f>
        <v/>
      </c>
      <c r="G2954">
        <f>Calc!G8</f>
        <v/>
      </c>
      <c r="H2954">
        <f>Calc!H8</f>
        <v/>
      </c>
      <c r="I2954">
        <f>IF(Skills!T8&lt;&gt;"",1+(Skills!T8/10)*($Z$3/1000)/100,1)</f>
        <v/>
      </c>
      <c r="J2954">
        <f>((Inputs!$B$6*(1+Inputs!$B$7/100))+(((Inputs!$B$13*(1+Inputs!$B$14/100))-(Inputs!$B$13*(1+Inputs!$B$14/100)))+0.25*(Inputs!$B$15-Inputs!$B$15))*(1+Inputs!$B$7/100))*(F2954/100)</f>
        <v/>
      </c>
      <c r="K2954">
        <f>J2954*(1+(((Inputs!$B$13+IF(Inputs!$B$3&gt;=35,(10*INDEX(FactorTable!$B$2:$Y$301,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8="TRIUMPH_FEATHER",IF(C2962=TRUE,F2962,0),0)/100)*(1+IF(C2973=TRUE,F2973,0)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2954)</f>
        <v/>
      </c>
      <c r="L2954">
        <f>K2954*(MIN(Inputs!$B$23+(F2968-Calc!F22),(Inputs!$B$24+IF(ArtifactsInput!$M$15,CHOOSE(ArtifactsInput!$N$15+1,25,30,35,40,45,50)/100*(Inputs!$B$12-Inputs!$B$12),0)))/100+(Inputs!$B$24+IF(ArtifactsInput!$M$15,CHOOSE(ArtifactsInput!$N$15+1,25,30,35,40,45,50)/100*(Inputs!$B$12-Inputs!$B$12),0))/100)/2</f>
        <v/>
      </c>
      <c r="M2954">
        <f>L2954*(1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4">
        <f>L2954*(1-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2954*(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4">
        <f>(1-Summary!$B$11)*S2954+Summary!$B$11*U2954</f>
        <v/>
      </c>
      <c r="P2954">
        <f>IF(B2988=0,0,O2954/B2988)</f>
        <v/>
      </c>
      <c r="Q2954">
        <f>IFERROR(1/(IF(Inputs!$B$39="pvp",15,MAX(0.1,Skills!D8-IF(Skills!E8=TRUE,1.5,0)))*(1-IF(AND(ArtifactsInput!$M$27,Inputs!$B$4="Chapter Hunt"),CHOOSE(ArtifactsInput!$N$27+1,20,24,28,32,36,40),0)/100)),0)</f>
        <v/>
      </c>
      <c r="R2954">
        <f>IF(AND(Inputs!$B$39&lt;&gt;"pvp",Inputs!$B$44&gt;0),IF(MAX(0,Inputs!$B$44-B2985)&lt;=0,0,(INT(MAX(0,Inputs!$B$44-B2985)/(IF(Inputs!$B$39="pvp",15,MAX(0.1,Skills!D8-IF(Skills!E8=TRUE,1.5,0)))*(1-IF(AND(ArtifactsInput!$M$27,Inputs!$B$4="Chapter Hunt"),CHOOSE(ArtifactsInput!$N$27+1,20,24,28,32,36,40),0)/100)))+1)),0)</f>
        <v/>
      </c>
      <c r="S2954">
        <f>IF(C2954,(H2954*N2954*IF(AND(Inputs!$B$39&lt;&gt;"pvp",Inputs!$B$44&gt;0),((Skills!F8*((R2954-1)*IF(Skills!G8&gt;0,Skills!H8/Skills!G8,1)+IF(Skills!G8&gt;0,MIN(Skills!H8,MAX(0,MAX(0,Inputs!$B$44-B2985)-((R2954-1)*(IF(Inputs!$B$39="pvp",15,MAX(0.1,Skills!D8-IF(Skills!E8=TRUE,1.5,0)))*(1-IF(AND(ArtifactsInput!$M$27,Inputs!$B$4="Chapter Hunt"),CHOOSE(ArtifactsInput!$N$27+1,20,24,28,32,36,40),0)/100)))))/Skills!G8,1)))/Inputs!$B$44),G2954*Q2954))*IF(Inputs!$B$39="pvp",1,1+(Inputs!$B$21+Skills!O8+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2954*(1-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2954*(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2954*(1-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2954*(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4">
        <f>IF(C2954,(H2954*N2954*IF(AND(Inputs!$B$39&lt;&gt;"pvp",Inputs!$B$44&gt;0),((Skills!F8*((R2954-1)*IF(Skills!G8&gt;0,Skills!H8/Skills!G8,1)+IF(Skills!G8&gt;0,MIN(Skills!H8,MAX(0,MAX(0,Inputs!$B$44-B2985)-((R2954-1)*(IF(Inputs!$B$39="pvp",15,MAX(0.1,Skills!D8-IF(Skills!E8=TRUE,1.5,0)))*(1-IF(AND(ArtifactsInput!$M$27,Inputs!$B$4="Chapter Hunt"),CHOOSE(ArtifactsInput!$N$27+1,20,24,28,32,36,40),0)/100)))))/Skills!G8,1)))/Inputs!$B$44),G2954*Q2954))*IF(Inputs!$B$39="pvp",1,(1+(Inputs!$B$22+Skills!P8+B2977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5">
      <c r="A2955">
        <f>Skills!A9</f>
        <v/>
      </c>
      <c r="B2955">
        <f>Skills!B9</f>
        <v/>
      </c>
      <c r="C2955">
        <f>Inputs!$B$3&gt;=115</f>
        <v/>
      </c>
      <c r="D2955">
        <f>IF(Skills!C9=1,60+Inputs!$B$26+Inputs!$B$30,IF(Skills!C9=2,90+Inputs!$B$27+Inputs!$B$30,IF(Skills!C9=3,120+Inputs!$B$28+Inputs!$B$30,MAX(0,(Inputs!$B$3-100)*3)+Inputs!$B$29+Inputs!$B$30)))</f>
        <v/>
      </c>
      <c r="E2955">
        <f>INDEX(FactorTable!$B$2:$Y$301, MATCH(ROUND(MIN(300,MAX(1,D2955)),0), FactorTable!$A$2:$A$301,0), Skills!L9+1)</f>
        <v/>
      </c>
      <c r="F2955">
        <f>IF(Skills!M9=TRUE,(Skills!K9/10)*(E2955/1000),Skills!K9/10)+Skills!N9</f>
        <v/>
      </c>
      <c r="G2955">
        <f>Calc!G9</f>
        <v/>
      </c>
      <c r="H2955">
        <f>Calc!H9</f>
        <v/>
      </c>
      <c r="I2955">
        <f>IF(Skills!T9&lt;&gt;"",1+(Skills!T9/10)*($Z$3/1000)/100,1)</f>
        <v/>
      </c>
      <c r="J2955">
        <f>((Inputs!$B$6*(1+Inputs!$B$7/100))+(((Inputs!$B$13*(1+Inputs!$B$14/100))-(Inputs!$B$13*(1+Inputs!$B$14/100)))+0.25*(Inputs!$B$15-Inputs!$B$15))*(1+Inputs!$B$7/100))*(F2955/100)</f>
        <v/>
      </c>
      <c r="K2955">
        <f>J2955*(1+(((Inputs!$B$13+IF(Inputs!$B$3&gt;=35,(10*INDEX(FactorTable!$B$2:$Y$301,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9="TRIUMPH_FEATHER",IF(C2962=TRUE,F2962,0),0)/100)*(1+IF(C2973=TRUE,F2973,0)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2955)</f>
        <v/>
      </c>
      <c r="L2955">
        <f>K2955*(MIN(Inputs!$B$23+(F2968-Calc!F22),(Inputs!$B$24+IF(ArtifactsInput!$M$15,CHOOSE(ArtifactsInput!$N$15+1,25,30,35,40,45,50)/100*(Inputs!$B$12-Inputs!$B$12),0)))/100+(Inputs!$B$24+IF(ArtifactsInput!$M$15,CHOOSE(ArtifactsInput!$N$15+1,25,30,35,40,45,50)/100*(Inputs!$B$12-Inputs!$B$12),0))/100)/2</f>
        <v/>
      </c>
      <c r="M2955">
        <f>L2955*(1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5">
        <f>L2955*(1-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(1-Summary!$B$11)*S2955+Summary!$B$11*U2955</f>
        <v/>
      </c>
      <c r="P2955">
        <f>IF(B2988=0,0,O2955/B2988)</f>
        <v/>
      </c>
      <c r="Q2955">
        <f>IFERROR(1/(IF(Inputs!$B$39="pvp",15,MAX(0.1,Skills!D9-IF(Skills!E9=TRUE,1.5,0)))*(1-IF(AND(ArtifactsInput!$M$27,Inputs!$B$4="Chapter Hunt"),CHOOSE(ArtifactsInput!$N$27+1,20,24,28,32,36,40),0)/100)),0)</f>
        <v/>
      </c>
      <c r="R2955">
        <f>IF(AND(Inputs!$B$39&lt;&gt;"pvp",Inputs!$B$44&gt;0),IF(MAX(0,Inputs!$B$44-B2985)&lt;=0,0,(INT(MAX(0,Inputs!$B$44-B2985)/(IF(Inputs!$B$39="pvp",15,MAX(0.1,Skills!D9-IF(Skills!E9=TRUE,1.5,0)))*(1-IF(AND(ArtifactsInput!$M$27,Inputs!$B$4="Chapter Hunt"),CHOOSE(ArtifactsInput!$N$27+1,20,24,28,32,36,40),0)/100)))+1)),0)</f>
        <v/>
      </c>
      <c r="S2955">
        <f>IF(C2955,(H2955*N2955*IF(AND(Inputs!$B$39&lt;&gt;"pvp",Inputs!$B$44&gt;0),((Skills!F9*((R2955-1)*IF(Skills!G9&gt;0,Skills!H9/Skills!G9,1)+IF(Skills!G9&gt;0,MIN(Skills!H9,MAX(0,MAX(0,Inputs!$B$44-B2985)-((R2955-1)*(IF(Inputs!$B$39="pvp",15,MAX(0.1,Skills!D9-IF(Skills!E9=TRUE,1.5,0)))*(1-IF(AND(ArtifactsInput!$M$27,Inputs!$B$4="Chapter Hunt"),CHOOSE(ArtifactsInput!$N$27+1,20,24,28,32,36,40),0)/100)))))/Skills!G9,1)))/Inputs!$B$44),G2955*Q2955))*IF(Inputs!$B$39="pvp",1,1+(Inputs!$B$21+Skills!O9+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2955*(1-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5">
        <f>IF(C2955,(H2955*N2955*IF(AND(Inputs!$B$39&lt;&gt;"pvp",Inputs!$B$44&gt;0),((Skills!F9*((R2955-1)*IF(Skills!G9&gt;0,Skills!H9/Skills!G9,1)+IF(Skills!G9&gt;0,MIN(Skills!H9,MAX(0,MAX(0,Inputs!$B$44-B2985)-((R2955-1)*(IF(Inputs!$B$39="pvp",15,MAX(0.1,Skills!D9-IF(Skills!E9=TRUE,1.5,0)))*(1-IF(AND(ArtifactsInput!$M$27,Inputs!$B$4="Chapter Hunt"),CHOOSE(ArtifactsInput!$N$27+1,20,24,28,32,36,40),0)/100)))))/Skills!G9,1)))/Inputs!$B$44),G2955*Q2955))*IF(Inputs!$B$39="pvp",1,(1+(Inputs!$B$22+Skills!P9+B2977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Skills!A10</f>
        <v/>
      </c>
      <c r="B2956">
        <f>Skills!B10</f>
        <v/>
      </c>
      <c r="C2956">
        <f>Inputs!$B$3&gt;=66</f>
        <v/>
      </c>
      <c r="D2956">
        <f>IF(Skills!C10=1,60+Inputs!$B$26+Inputs!$B$30,IF(Skills!C10=2,90+Inputs!$B$27+Inputs!$B$30,IF(Skills!C10=3,120+Inputs!$B$28+Inputs!$B$30,MAX(0,(Inputs!$B$3-100)*3)+Inputs!$B$29+Inputs!$B$30)))</f>
        <v/>
      </c>
      <c r="E2956">
        <f>INDEX(FactorTable!$B$2:$Y$301, MATCH(ROUND(MIN(300,MAX(1,D2956)),0), FactorTable!$A$2:$A$301,0), Skills!L10+1)</f>
        <v/>
      </c>
      <c r="F2956" t="n">
        <v>0</v>
      </c>
      <c r="G2956">
        <f>Calc!G10</f>
        <v/>
      </c>
      <c r="H2956">
        <f>Calc!H10</f>
        <v/>
      </c>
      <c r="I2956">
        <f>IF(Skills!T10&lt;&gt;"",1+(Skills!T10/10)*($Z$3/1000)/100,1)</f>
        <v/>
      </c>
      <c r="J2956" t="inlineStr"/>
      <c r="K2956" t="inlineStr"/>
      <c r="L2956" t="inlineStr"/>
      <c r="M2956" t="inlineStr"/>
      <c r="N2956" t="inlineStr"/>
      <c r="O2956">
        <f>(1-Summary!$B$11)*S2956+Summary!$B$11*U2956</f>
        <v/>
      </c>
      <c r="P2956">
        <f>IF(B2988=0,0,O2956/B2988)</f>
        <v/>
      </c>
      <c r="Q2956">
        <f>IFERROR(1/(IF(Inputs!$B$39="pvp",15,MAX(0.1,Skills!D10-IF(Skills!E10=TRUE,1.5,0)))*(1-IF(AND(ArtifactsInput!$M$27,Inputs!$B$4="Chapter Hunt"),CHOOSE(ArtifactsInput!$N$27+1,20,24,28,32,36,40),0)/100)),0)</f>
        <v/>
      </c>
      <c r="R2956">
        <f>IF(AND(Inputs!$B$39&lt;&gt;"pvp",Inputs!$B$44&gt;0),IF(MAX(0,Inputs!$B$44-B2985)&lt;=0,0,(INT(MAX(0,Inputs!$B$44-B2985)/(IF(Inputs!$B$39="pvp",15,MAX(0.1,Skills!D10-IF(Skills!E10=TRUE,1.5,0)))*(1-IF(AND(ArtifactsInput!$M$27,Inputs!$B$4="Chapter Hunt"),CHOOSE(ArtifactsInput!$N$27+1,20,24,28,32,36,40),0)/100)))+1)),0)</f>
        <v/>
      </c>
      <c r="S2956" t="n">
        <v>0</v>
      </c>
      <c r="U2956" t="n">
        <v>0</v>
      </c>
    </row>
    <row r="2957">
      <c r="A2957">
        <f>Skills!A11</f>
        <v/>
      </c>
      <c r="B2957">
        <f>Skills!B11</f>
        <v/>
      </c>
      <c r="C2957">
        <f>Inputs!$B$3&gt;=69</f>
        <v/>
      </c>
      <c r="D2957">
        <f>IF(Skills!C11=1,60+Inputs!$B$26+Inputs!$B$30,IF(Skills!C11=2,90+Inputs!$B$27+Inputs!$B$30,IF(Skills!C11=3,120+Inputs!$B$28+Inputs!$B$30,MAX(0,(Inputs!$B$3-100)*3)+Inputs!$B$29+Inputs!$B$30)))</f>
        <v/>
      </c>
      <c r="E2957">
        <f>INDEX(FactorTable!$B$2:$Y$301, MATCH(ROUND(MIN(300,MAX(1,D2957)),0), FactorTable!$A$2:$A$301,0), Skills!L11+1)</f>
        <v/>
      </c>
      <c r="F2957">
        <f>IF(Skills!M11=TRUE,(Skills!K11/10)*(E2957/1000),Skills!K11/10)+Skills!N11</f>
        <v/>
      </c>
      <c r="G2957">
        <f>Calc!G11</f>
        <v/>
      </c>
      <c r="H2957">
        <f>Calc!H11</f>
        <v/>
      </c>
      <c r="I2957">
        <f>IF(Skills!T11&lt;&gt;"",1+(Skills!T11/10)*($Z$3/1000)/100,1)</f>
        <v/>
      </c>
      <c r="J2957" t="inlineStr"/>
      <c r="K2957" t="inlineStr"/>
      <c r="L2957" t="inlineStr"/>
      <c r="M2957" t="inlineStr"/>
      <c r="N2957" t="inlineStr"/>
      <c r="O2957">
        <f>(1-Summary!$B$11)*S2957+Summary!$B$11*U2957</f>
        <v/>
      </c>
      <c r="P2957">
        <f>IF(B2988=0,0,O2957/B2988)</f>
        <v/>
      </c>
      <c r="Q2957">
        <f>IFERROR(1/(IF(Inputs!$B$39="pvp",15,MAX(0.1,Skills!D11-IF(Skills!E11=TRUE,1.5,0)))*(1-IF(AND(ArtifactsInput!$M$27,Inputs!$B$4="Chapter Hunt"),CHOOSE(ArtifactsInput!$N$27+1,20,24,28,32,36,40),0)/100)),0)</f>
        <v/>
      </c>
      <c r="R2957">
        <f>IF(AND(Inputs!$B$39&lt;&gt;"pvp",Inputs!$B$44&gt;0),IF(Inputs!$B$44&lt;=0,0,(INT(Inputs!$B$44/(IF(Inputs!$B$39="pvp",15,MAX(0.1,Skills!D11-IF(Skills!E11=TRUE,1.5,0)))*(1-IF(AND(ArtifactsInput!$M$27,Inputs!$B$4="Chapter Hunt"),CHOOSE(ArtifactsInput!$N$27+1,20,24,28,32,36,40),0)/100)))+1)),0)</f>
        <v/>
      </c>
      <c r="S2957" t="n">
        <v>0</v>
      </c>
      <c r="U2957" t="n">
        <v>0</v>
      </c>
    </row>
    <row r="2958">
      <c r="A2958">
        <f>Skills!A12</f>
        <v/>
      </c>
      <c r="B2958">
        <f>Skills!B12</f>
        <v/>
      </c>
      <c r="C2958">
        <f>Inputs!$B$3&gt;=72</f>
        <v/>
      </c>
      <c r="D2958">
        <f>IF(Skills!C12=1,60+Inputs!$B$26+Inputs!$B$30,IF(Skills!C12=2,90+Inputs!$B$27+Inputs!$B$30,IF(Skills!C12=3,120+Inputs!$B$28+Inputs!$B$30,MAX(0,(Inputs!$B$3-100)*3)+Inputs!$B$29+Inputs!$B$30)))</f>
        <v/>
      </c>
      <c r="E2958">
        <f>INDEX(FactorTable!$B$2:$Y$301, MATCH(ROUND(MIN(300,MAX(1,D2958)),0), FactorTable!$A$2:$A$301,0), Skills!L12+1)</f>
        <v/>
      </c>
      <c r="F2958">
        <f>IF(Skills!M12=TRUE,(Skills!K12/10)*(E2958/1000),Skills!K12/10)+Skills!N12</f>
        <v/>
      </c>
      <c r="G2958">
        <f>Calc!G12</f>
        <v/>
      </c>
      <c r="H2958">
        <f>Calc!H12</f>
        <v/>
      </c>
      <c r="I2958">
        <f>IF(Skills!T12&lt;&gt;"",1+(Skills!T12/10)*($Z$3/1000)/100,1)</f>
        <v/>
      </c>
      <c r="J2958" t="inlineStr"/>
      <c r="K2958" t="inlineStr"/>
      <c r="L2958" t="inlineStr"/>
      <c r="M2958" t="inlineStr"/>
      <c r="N2958" t="inlineStr"/>
      <c r="O2958">
        <f>(1-Summary!$B$11)*S2958+Summary!$B$11*U2958</f>
        <v/>
      </c>
      <c r="P2958">
        <f>IF(B2988=0,0,O2958/B2988)</f>
        <v/>
      </c>
      <c r="Q2958">
        <f>IFERROR(1/(IF(Inputs!$B$39="pvp",15,MAX(0.1,Skills!D12-IF(Skills!E12=TRUE,1.5,0)))*(1-IF(AND(ArtifactsInput!$M$27,Inputs!$B$4="Chapter Hunt"),CHOOSE(ArtifactsInput!$N$27+1,20,24,28,32,36,40),0)/100)),0)</f>
        <v/>
      </c>
      <c r="R2958">
        <f>IF(AND(Inputs!$B$39&lt;&gt;"pvp",Inputs!$B$44&gt;0),IF(MAX(0,Inputs!$B$44-B2985)&lt;=0,0,(INT(MAX(0,Inputs!$B$44-B2985)/(IF(Inputs!$B$39="pvp",15,MAX(0.1,Skills!D12-IF(Skills!E12=TRUE,1.5,0)))*(1-IF(AND(ArtifactsInput!$M$27,Inputs!$B$4="Chapter Hunt"),CHOOSE(ArtifactsInput!$N$27+1,20,24,28,32,36,40),0)/100)))+1)),0)</f>
        <v/>
      </c>
      <c r="S2958" t="n">
        <v>0</v>
      </c>
      <c r="U2958" t="n">
        <v>0</v>
      </c>
    </row>
    <row r="2959">
      <c r="A2959">
        <f>Skills!A13</f>
        <v/>
      </c>
      <c r="B2959">
        <f>Skills!B13</f>
        <v/>
      </c>
      <c r="C2959">
        <f>Inputs!$B$3&gt;=60</f>
        <v/>
      </c>
      <c r="D2959">
        <f>IF(Skills!C13=1,60+Inputs!$B$26+Inputs!$B$30,IF(Skills!C13=2,90+Inputs!$B$27+Inputs!$B$30,IF(Skills!C13=3,120+Inputs!$B$28+Inputs!$B$30,MAX(0,(Inputs!$B$3-100)*3)+Inputs!$B$29+Inputs!$B$30)))</f>
        <v/>
      </c>
      <c r="E2959">
        <f>INDEX(FactorTable!$B$2:$Y$301, MATCH(ROUND(MIN(300,MAX(1,D2959)),0), FactorTable!$A$2:$A$301,0), Skills!L13+1)</f>
        <v/>
      </c>
      <c r="F2959">
        <f>IF(Skills!M13=TRUE,(Skills!K13/10)*(E2959/1000),Skills!K13/10)+Skills!N13</f>
        <v/>
      </c>
      <c r="G2959">
        <f>Calc!G13</f>
        <v/>
      </c>
      <c r="H2959">
        <f>Calc!H13</f>
        <v/>
      </c>
      <c r="I2959">
        <f>IF(Skills!T13&lt;&gt;"",1+(Skills!T13/10)*($Z$3/1000)/100,1)</f>
        <v/>
      </c>
      <c r="J2959" t="inlineStr"/>
      <c r="K2959" t="inlineStr"/>
      <c r="L2959" t="inlineStr"/>
      <c r="M2959" t="inlineStr"/>
      <c r="N2959" t="inlineStr"/>
      <c r="O2959">
        <f>(1-Summary!$B$11)*S2959+Summary!$B$11*U2959</f>
        <v/>
      </c>
      <c r="P2959">
        <f>IF(B2988=0,0,O2959/B2988)</f>
        <v/>
      </c>
      <c r="Q2959">
        <f>IFERROR(1/(IF(Inputs!$B$39="pvp",15,MAX(0.1,Skills!D13-IF(Skills!E13=TRUE,1.5,0)))*(1-IF(AND(ArtifactsInput!$M$27,Inputs!$B$4="Chapter Hunt"),CHOOSE(ArtifactsInput!$N$27+1,20,24,28,32,36,40),0)/100)),0)</f>
        <v/>
      </c>
      <c r="R2959">
        <f>IF(AND(Inputs!$B$39&lt;&gt;"pvp",Inputs!$B$44&gt;0),IF(MAX(0,Inputs!$B$44-B2985)&lt;=0,0,(INT(MAX(0,Inputs!$B$44-B2985)/(IF(Inputs!$B$39="pvp",15,MAX(0.1,Skills!D13-IF(Skills!E13=TRUE,1.5,0)))*(1-IF(AND(ArtifactsInput!$M$27,Inputs!$B$4="Chapter Hunt"),CHOOSE(ArtifactsInput!$N$27+1,20,24,28,32,36,40),0)/100)))+1)),0)</f>
        <v/>
      </c>
      <c r="S2959" t="n">
        <v>0</v>
      </c>
      <c r="U2959" t="n">
        <v>0</v>
      </c>
    </row>
    <row r="2960">
      <c r="A2960">
        <f>Skills!A14</f>
        <v/>
      </c>
      <c r="B2960">
        <f>Skills!B14</f>
        <v/>
      </c>
      <c r="C2960">
        <f>Inputs!$B$3&gt;=107</f>
        <v/>
      </c>
      <c r="D2960">
        <f>IF(Skills!C14=1,60+Inputs!$B$26+Inputs!$B$30,IF(Skills!C14=2,90+Inputs!$B$27+Inputs!$B$30,IF(Skills!C14=3,120+Inputs!$B$28+Inputs!$B$30,MAX(0,(Inputs!$B$3-100)*3)+Inputs!$B$29+Inputs!$B$30)))</f>
        <v/>
      </c>
      <c r="E2960">
        <f>INDEX(FactorTable!$B$2:$Y$301, MATCH(ROUND(MIN(300,MAX(1,D2960)),0), FactorTable!$A$2:$A$301,0), Skills!L14+1)</f>
        <v/>
      </c>
      <c r="F2960">
        <f>IF(Skills!M14=TRUE,(Skills!K14/10)*(E2960/1000),Skills!K14/10)+Skills!N14</f>
        <v/>
      </c>
      <c r="G2960">
        <f>Calc!G14</f>
        <v/>
      </c>
      <c r="H2960">
        <f>Calc!H14</f>
        <v/>
      </c>
      <c r="I2960">
        <f>IF(Skills!T14&lt;&gt;"",1+(Skills!T14/10)*($Z$3/1000)/100,1)</f>
        <v/>
      </c>
      <c r="J2960" t="inlineStr"/>
      <c r="K2960" t="inlineStr"/>
      <c r="L2960" t="inlineStr"/>
      <c r="M2960" t="inlineStr"/>
      <c r="N2960" t="inlineStr"/>
      <c r="O2960">
        <f>(1-Summary!$B$11)*S2960+Summary!$B$11*U2960</f>
        <v/>
      </c>
      <c r="P2960">
        <f>IF(B2988=0,0,O2960/B2988)</f>
        <v/>
      </c>
      <c r="Q2960">
        <f>IFERROR(1/(IF(Inputs!$B$39="pvp",15,MAX(0.1,Skills!D14-IF(Skills!E14=TRUE,1.5,0)))*(1-IF(AND(ArtifactsInput!$M$27,Inputs!$B$4="Chapter Hunt"),CHOOSE(ArtifactsInput!$N$27+1,20,24,28,32,36,40),0)/100)),0)</f>
        <v/>
      </c>
      <c r="R2960">
        <f>IF(AND(Inputs!$B$39&lt;&gt;"pvp",Inputs!$B$44&gt;0),IF(Inputs!$B$44&lt;=0,0,(INT(Inputs!$B$44/(IF(Inputs!$B$39="pvp",15,MAX(0.1,Skills!D14-IF(Skills!E14=TRUE,1.5,0)))*(1-IF(AND(ArtifactsInput!$M$27,Inputs!$B$4="Chapter Hunt"),CHOOSE(ArtifactsInput!$N$27+1,20,24,28,32,36,40),0)/100)))+1)),0)</f>
        <v/>
      </c>
      <c r="S2960" t="n">
        <v>0</v>
      </c>
      <c r="U2960" t="n">
        <v>0</v>
      </c>
    </row>
    <row r="2961">
      <c r="A2961">
        <f>Skills!A15</f>
        <v/>
      </c>
      <c r="B2961">
        <f>Skills!B15</f>
        <v/>
      </c>
      <c r="C2961">
        <f>Inputs!$B$3&gt;=63</f>
        <v/>
      </c>
      <c r="D2961">
        <f>IF(Skills!C15=1,60+Inputs!$B$26+Inputs!$B$30,IF(Skills!C15=2,90+Inputs!$B$27+Inputs!$B$30,IF(Skills!C15=3,120+Inputs!$B$28+Inputs!$B$30,MAX(0,(Inputs!$B$3-100)*3)+Inputs!$B$29+Inputs!$B$30)))</f>
        <v/>
      </c>
      <c r="E2961">
        <f>INDEX(FactorTable!$B$2:$Y$301, MATCH(ROUND(MIN(300,MAX(1,D2961)),0), FactorTable!$A$2:$A$301,0), Skills!L15+1)</f>
        <v/>
      </c>
      <c r="F2961">
        <f>IF(Skills!M15=TRUE,(Skills!K15/10)*(E2961/1000),Skills!K15/10)+Skills!N15</f>
        <v/>
      </c>
      <c r="G2961">
        <f>Calc!G15</f>
        <v/>
      </c>
      <c r="H2961">
        <f>Calc!H15</f>
        <v/>
      </c>
      <c r="I2961">
        <f>IF(Skills!T15&lt;&gt;"",1+(Skills!T15/10)*($Z$3/1000)/100,1)</f>
        <v/>
      </c>
      <c r="J2961">
        <f>((Inputs!$B$6*(1+Inputs!$B$7/100))+(((Inputs!$B$13*(1+Inputs!$B$14/100))-(Inputs!$B$13*(1+Inputs!$B$14/100)))+0.25*(Inputs!$B$15-Inputs!$B$15))*(1+Inputs!$B$7/100))*(F2961/100)</f>
        <v/>
      </c>
      <c r="K2961">
        <f>J2961*(1+(((Inputs!$B$13+IF(Inputs!$B$3&gt;=35,(10*INDEX(FactorTable!$B$2:$Y$301,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15="TRIUMPH_FEATHER",IF(C2962=TRUE,F2962,0),0)/100)*(1+IF(C2973=TRUE,F2973,0)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2961)</f>
        <v/>
      </c>
      <c r="L2961">
        <f>K2961*(MIN(Inputs!$B$23+(F2968-Calc!F22),(Inputs!$B$24+IF(ArtifactsInput!$M$15,CHOOSE(ArtifactsInput!$N$15+1,25,30,35,40,45,50)/100*(Inputs!$B$12-Inputs!$B$12),0)))/100+(Inputs!$B$24+IF(ArtifactsInput!$M$15,CHOOSE(ArtifactsInput!$N$15+1,25,30,35,40,45,50)/100*(Inputs!$B$12-Inputs!$B$12),0))/100)/2</f>
        <v/>
      </c>
      <c r="M2961">
        <f>L2961*(1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1">
        <f>L2961*(1-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1">
        <f>(1-Summary!$B$11)*S2961+Summary!$B$11*U2961</f>
        <v/>
      </c>
      <c r="P2961">
        <f>IF(B2988=0,0,O2961/B2988)</f>
        <v/>
      </c>
      <c r="Q2961">
        <f>IFERROR(1/(IF(Inputs!$B$39="pvp",15,MAX(0.1,Skills!D15-IF(Skills!E15=TRUE,1.5,0)))*(1-IF(AND(ArtifactsInput!$M$27,Inputs!$B$4="Chapter Hunt"),CHOOSE(ArtifactsInput!$N$27+1,20,24,28,32,36,40),0)/100)),0)</f>
        <v/>
      </c>
      <c r="R2961" t="n">
        <v>0</v>
      </c>
      <c r="S2961">
        <f>IF(C2961,(Skills!F15*N2961*((IF(Inputs!$B$3&gt;=78,25,15)/100*B2981*10)/(1+IF(Inputs!$B$3&gt;=78,25,15)/100*B2981*10))*(Skills!I15/100*B2981)/(1+Skills!G15*Skills!I15/100*B2981))*IF(Inputs!$B$39="pvp",1,1+(Inputs!$B$21+Skills!O15+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2961*(1-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2961*(1-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1">
        <f>IF(C2961,(Skills!F15*N2961*((IF(Inputs!$B$3&gt;=78,25,15)/100*B2981*10)/(1+IF(Inputs!$B$3&gt;=78,25,15)/100*B2981*10))*(Skills!I15/100*B2981)/(1+Skills!G15*Skills!I15/100*B2981))*IF(Inputs!$B$39="pvp",1,(1+(Inputs!$B$22+Skills!P15+B2977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2">
      <c r="A2962">
        <f>Skills!A16</f>
        <v/>
      </c>
      <c r="B2962">
        <f>Skills!B16</f>
        <v/>
      </c>
      <c r="C2962">
        <f>Inputs!$B$3&gt;=100</f>
        <v/>
      </c>
      <c r="D2962">
        <f>IF(Skills!C16=1,60+Inputs!$B$26+Inputs!$B$30,IF(Skills!C16=2,90+Inputs!$B$27+Inputs!$B$30,IF(Skills!C16=3,120+Inputs!$B$28+Inputs!$B$30,MAX(0,(Inputs!$B$3-100)*3)+Inputs!$B$29+Inputs!$B$30)))</f>
        <v/>
      </c>
      <c r="E2962">
        <f>INDEX(FactorTable!$B$2:$Y$301, MATCH(ROUND(MIN(300,MAX(1,D2962)),0), FactorTable!$A$2:$A$301,0), Skills!L16+1)</f>
        <v/>
      </c>
      <c r="F2962">
        <f>IF(Skills!M16=TRUE,(Skills!K16/10)*(E2962/1000),Skills!K16/10)+Skills!N16</f>
        <v/>
      </c>
      <c r="G2962">
        <f>Calc!G16</f>
        <v/>
      </c>
      <c r="H2962">
        <f>Calc!H16</f>
        <v/>
      </c>
      <c r="I2962">
        <f>IF(Skills!T16&lt;&gt;"",1+(Skills!T16/10)*($Z$3/1000)/100,1)</f>
        <v/>
      </c>
      <c r="J2962" t="inlineStr"/>
      <c r="K2962" t="inlineStr"/>
      <c r="L2962" t="inlineStr"/>
      <c r="M2962" t="inlineStr"/>
      <c r="N2962" t="inlineStr"/>
      <c r="O2962">
        <f>(1-Summary!$B$11)*S2962+Summary!$B$11*U2962</f>
        <v/>
      </c>
      <c r="P2962">
        <f>IF(B2988=0,0,O2962/B2988)</f>
        <v/>
      </c>
      <c r="Q2962">
        <f>IFERROR(1/(IF(Inputs!$B$39="pvp",15,MAX(0.1,Skills!D16-IF(Skills!E16=TRUE,1.5,0)))*(1-IF(AND(ArtifactsInput!$M$27,Inputs!$B$4="Chapter Hunt"),CHOOSE(ArtifactsInput!$N$27+1,20,24,28,32,36,40),0)/100)),0)</f>
        <v/>
      </c>
      <c r="R2962" t="n">
        <v>0</v>
      </c>
      <c r="S2962" t="n">
        <v>0</v>
      </c>
      <c r="U2962" t="n">
        <v>0</v>
      </c>
    </row>
    <row r="2963">
      <c r="A2963">
        <f>Skills!A17</f>
        <v/>
      </c>
      <c r="B2963">
        <f>Skills!B17</f>
        <v/>
      </c>
      <c r="C2963">
        <f>Inputs!$B$3&gt;=49</f>
        <v/>
      </c>
      <c r="D2963">
        <f>IF(Skills!C17=1,60+Inputs!$B$26+Inputs!$B$30,IF(Skills!C17=2,90+Inputs!$B$27+Inputs!$B$30,IF(Skills!C17=3,120+Inputs!$B$28+Inputs!$B$30,MAX(0,(Inputs!$B$3-100)*3)+Inputs!$B$29+Inputs!$B$30)))</f>
        <v/>
      </c>
      <c r="E2963">
        <f>INDEX(FactorTable!$B$2:$Y$301, MATCH(ROUND(MIN(300,MAX(1,D2963)),0), FactorTable!$A$2:$A$301,0), Skills!L17+1)</f>
        <v/>
      </c>
      <c r="F2963">
        <f>IF(Skills!M17=TRUE,(Skills!K17/10)*(E2963/1000),Skills!K17/10)+Skills!N17</f>
        <v/>
      </c>
      <c r="G2963">
        <f>Calc!G17</f>
        <v/>
      </c>
      <c r="H2963">
        <f>Calc!H17</f>
        <v/>
      </c>
      <c r="I2963">
        <f>IF(Skills!T17&lt;&gt;"",1+(Skills!T17/10)*($Z$3/1000)/100,1)</f>
        <v/>
      </c>
      <c r="J2963" t="inlineStr"/>
      <c r="K2963" t="inlineStr"/>
      <c r="L2963" t="inlineStr"/>
      <c r="M2963" t="inlineStr"/>
      <c r="N2963" t="inlineStr"/>
      <c r="O2963">
        <f>(1-Summary!$B$11)*S2963+Summary!$B$11*U2963</f>
        <v/>
      </c>
      <c r="P2963">
        <f>IF(B2988=0,0,O2963/B2988)</f>
        <v/>
      </c>
      <c r="Q2963">
        <f>IFERROR(1/(IF(Inputs!$B$39="pvp",15,MAX(0.1,Skills!D17-IF(Skills!E17=TRUE,1.5,0)))*(1-IF(AND(ArtifactsInput!$M$27,Inputs!$B$4="Chapter Hunt"),CHOOSE(ArtifactsInput!$N$27+1,20,24,28,32,36,40),0)/100)),0)</f>
        <v/>
      </c>
      <c r="R2963" t="n">
        <v>0</v>
      </c>
      <c r="S2963" t="n">
        <v>0</v>
      </c>
      <c r="U2963" t="n">
        <v>0</v>
      </c>
    </row>
    <row r="2964">
      <c r="A2964">
        <f>Skills!A18</f>
        <v/>
      </c>
      <c r="B2964">
        <f>Skills!B18</f>
        <v/>
      </c>
      <c r="C2964">
        <f>Inputs!$B$3&gt;=75</f>
        <v/>
      </c>
      <c r="D2964">
        <f>IF(Skills!C18=1,60+Inputs!$B$26+Inputs!$B$30,IF(Skills!C18=2,90+Inputs!$B$27+Inputs!$B$30,IF(Skills!C18=3,120+Inputs!$B$28+Inputs!$B$30,MAX(0,(Inputs!$B$3-100)*3)+Inputs!$B$29+Inputs!$B$30)))</f>
        <v/>
      </c>
      <c r="E2964">
        <f>INDEX(FactorTable!$B$2:$Y$301, MATCH(ROUND(MIN(300,MAX(1,D2964)),0), FactorTable!$A$2:$A$301,0), Skills!L18+1)</f>
        <v/>
      </c>
      <c r="F2964">
        <f>IF(Skills!M18=TRUE,(Skills!K18/10)*(E2964/1000),Skills!K18/10)+Skills!N18</f>
        <v/>
      </c>
      <c r="G2964">
        <f>Calc!G18</f>
        <v/>
      </c>
      <c r="H2964">
        <f>Calc!H18</f>
        <v/>
      </c>
      <c r="I2964">
        <f>IF(Skills!T18&lt;&gt;"",1+(Skills!T18/10)*($Z$3/1000)/100,1)</f>
        <v/>
      </c>
      <c r="J2964" t="inlineStr"/>
      <c r="K2964" t="inlineStr"/>
      <c r="L2964" t="inlineStr"/>
      <c r="M2964" t="inlineStr"/>
      <c r="N2964" t="inlineStr"/>
      <c r="O2964">
        <f>(1-Summary!$B$11)*S2964+Summary!$B$11*U2964</f>
        <v/>
      </c>
      <c r="P2964">
        <f>IF(B2988=0,0,O2964/B2988)</f>
        <v/>
      </c>
      <c r="Q2964">
        <f>IFERROR(1/(IF(Inputs!$B$39="pvp",15,MAX(0.1,Skills!D18-IF(Skills!E18=TRUE,1.5,0)))*(1-IF(AND(ArtifactsInput!$M$27,Inputs!$B$4="Chapter Hunt"),CHOOSE(ArtifactsInput!$N$27+1,20,24,28,32,36,40),0)/100)),0)</f>
        <v/>
      </c>
      <c r="R2964" t="n">
        <v>0</v>
      </c>
      <c r="S2964" t="n">
        <v>0</v>
      </c>
      <c r="U2964" t="n">
        <v>0</v>
      </c>
    </row>
    <row r="2965">
      <c r="A2965">
        <f>Skills!A19</f>
        <v/>
      </c>
      <c r="B2965">
        <f>Skills!B19</f>
        <v/>
      </c>
      <c r="C2965">
        <f>Inputs!$B$3&gt;=110</f>
        <v/>
      </c>
      <c r="D2965">
        <f>IF(Skills!C19=1,60+Inputs!$B$26+Inputs!$B$30,IF(Skills!C19=2,90+Inputs!$B$27+Inputs!$B$30,IF(Skills!C19=3,120+Inputs!$B$28+Inputs!$B$30,MAX(0,(Inputs!$B$3-100)*3)+Inputs!$B$29+Inputs!$B$30)))</f>
        <v/>
      </c>
      <c r="E2965">
        <f>INDEX(FactorTable!$B$2:$Y$301, MATCH(ROUND(MIN(300,MAX(1,D2965)),0), FactorTable!$A$2:$A$301,0), Skills!L19+1)</f>
        <v/>
      </c>
      <c r="F2965">
        <f>(Skills!K19/10)*(E2965/1000)*64/45+Skills!N19</f>
        <v/>
      </c>
      <c r="G2965">
        <f>Calc!G19</f>
        <v/>
      </c>
      <c r="H2965">
        <f>Calc!H19</f>
        <v/>
      </c>
      <c r="I2965">
        <f>IF(Skills!T19&lt;&gt;"",1+(Skills!T19/10)*($Z$3/1000)/100,1)</f>
        <v/>
      </c>
      <c r="J2965" t="inlineStr"/>
      <c r="K2965" t="inlineStr"/>
      <c r="L2965" t="inlineStr"/>
      <c r="M2965" t="inlineStr"/>
      <c r="N2965" t="inlineStr"/>
      <c r="O2965">
        <f>(1-Summary!$B$11)*S2965+Summary!$B$11*U2965</f>
        <v/>
      </c>
      <c r="P2965">
        <f>IF(B2988=0,0,O2965/B2988)</f>
        <v/>
      </c>
      <c r="Q2965">
        <f>IFERROR(1/(IF(Inputs!$B$39="pvp",15,MAX(0.1,Skills!D19-IF(Skills!E19=TRUE,1.5,0)))*(1-IF(AND(ArtifactsInput!$M$27,Inputs!$B$4="Chapter Hunt"),CHOOSE(ArtifactsInput!$N$27+1,20,24,28,32,36,40),0)/100)),0)</f>
        <v/>
      </c>
      <c r="R2965">
        <f>IF(AND(Inputs!$B$39&lt;&gt;"pvp",Inputs!$B$44&gt;0),IF(Inputs!$B$44&lt;=0,0,(INT(Inputs!$B$44/(IF(Inputs!$B$39="pvp",15,MAX(0.1,Skills!D19-IF(Skills!E19=TRUE,1.5,0)))*(1-IF(AND(ArtifactsInput!$M$27,Inputs!$B$4="Chapter Hunt"),CHOOSE(ArtifactsInput!$N$27+1,20,24,28,32,36,40),0)/100)))+1)),0)</f>
        <v/>
      </c>
      <c r="S2965" t="n">
        <v>0</v>
      </c>
      <c r="U2965" t="n">
        <v>0</v>
      </c>
    </row>
    <row r="2966">
      <c r="A2966">
        <f>Skills!A20</f>
        <v/>
      </c>
      <c r="B2966">
        <f>Skills!B20</f>
        <v/>
      </c>
      <c r="C2966">
        <f>Inputs!$B$3&gt;=125</f>
        <v/>
      </c>
      <c r="D2966">
        <f>IF(Skills!C20=1,60+Inputs!$B$26+Inputs!$B$30,IF(Skills!C20=2,90+Inputs!$B$27+Inputs!$B$30,IF(Skills!C20=3,120+Inputs!$B$28+Inputs!$B$30,MAX(0,(Inputs!$B$3-100)*3)+Inputs!$B$29+Inputs!$B$30)))</f>
        <v/>
      </c>
      <c r="E2966">
        <f>INDEX(FactorTable!$B$2:$Y$301, MATCH(ROUND(MIN(300,MAX(1,D2966)),0), FactorTable!$A$2:$A$301,0), Skills!L20+1)</f>
        <v/>
      </c>
      <c r="F2966">
        <f>IF(Skills!M20=TRUE,(Skills!K20/10)*(E2966/1000),Skills!K20/10)+Skills!N20</f>
        <v/>
      </c>
      <c r="G2966">
        <f>Calc!G20</f>
        <v/>
      </c>
      <c r="H2966">
        <f>Calc!H20</f>
        <v/>
      </c>
      <c r="I2966">
        <f>IF(Skills!T20&lt;&gt;"",1+(Skills!T20/10)*($Z$3/1000)/100,1)</f>
        <v/>
      </c>
      <c r="J2966" t="inlineStr"/>
      <c r="K2966" t="inlineStr"/>
      <c r="L2966" t="inlineStr"/>
      <c r="M2966" t="inlineStr"/>
      <c r="N2966" t="inlineStr"/>
      <c r="O2966">
        <f>(1-Summary!$B$11)*S2966+Summary!$B$11*U2966</f>
        <v/>
      </c>
      <c r="P2966">
        <f>IF(B2988=0,0,O2966/B2988)</f>
        <v/>
      </c>
      <c r="Q2966">
        <f>IFERROR(1/(IF(Inputs!$B$39="pvp",15,MAX(0.1,Skills!D20-IF(Skills!E20=TRUE,1.5,0)))*(1-IF(AND(ArtifactsInput!$M$27,Inputs!$B$4="Chapter Hunt"),CHOOSE(ArtifactsInput!$N$27+1,20,24,28,32,36,40),0)/100)),0)</f>
        <v/>
      </c>
      <c r="R2966" t="n">
        <v>0</v>
      </c>
      <c r="S2966" t="n">
        <v>0</v>
      </c>
      <c r="U2966" t="n">
        <v>0</v>
      </c>
    </row>
    <row r="2967">
      <c r="A2967">
        <f>Skills!A21</f>
        <v/>
      </c>
      <c r="B2967">
        <f>Skills!B21</f>
        <v/>
      </c>
      <c r="C2967">
        <f>Inputs!$B$3&gt;=33</f>
        <v/>
      </c>
      <c r="D2967">
        <f>IF(Skills!C21=1,60+Inputs!$B$26+Inputs!$B$30,IF(Skills!C21=2,90+Inputs!$B$27+Inputs!$B$30,IF(Skills!C21=3,120+Inputs!$B$28+Inputs!$B$30,MAX(0,(Inputs!$B$3-100)*3)+Inputs!$B$29+Inputs!$B$30)))</f>
        <v/>
      </c>
      <c r="E2967">
        <f>INDEX(FactorTable!$B$2:$Y$301, MATCH(ROUND(MIN(300,MAX(1,D2967)),0), FactorTable!$A$2:$A$301,0), Skills!L21+1)</f>
        <v/>
      </c>
      <c r="F2967">
        <f>IF(Skills!M21=TRUE,(Skills!K21/10)*(E2967/1000),Skills!K21/10)+Skills!N21</f>
        <v/>
      </c>
      <c r="G2967">
        <f>Calc!G21</f>
        <v/>
      </c>
      <c r="H2967">
        <f>Calc!H21</f>
        <v/>
      </c>
      <c r="I2967">
        <f>IF(Skills!T21&lt;&gt;"",1+(Skills!T21/10)*($Z$3/1000)/100,1)</f>
        <v/>
      </c>
      <c r="J2967" t="inlineStr"/>
      <c r="K2967" t="inlineStr"/>
      <c r="L2967" t="inlineStr"/>
      <c r="M2967" t="inlineStr"/>
      <c r="N2967" t="inlineStr"/>
      <c r="O2967">
        <f>(1-Summary!$B$11)*S2967+Summary!$B$11*U2967</f>
        <v/>
      </c>
      <c r="P2967">
        <f>IF(B2988=0,0,O2967/B2988)</f>
        <v/>
      </c>
      <c r="Q2967">
        <f>IFERROR(1/(IF(Inputs!$B$39="pvp",15,MAX(0.1,Skills!D21-IF(Skills!E21=TRUE,1.5,0)))*(1-IF(AND(ArtifactsInput!$M$27,Inputs!$B$4="Chapter Hunt"),CHOOSE(ArtifactsInput!$N$27+1,20,24,28,32,36,40),0)/100)),0)</f>
        <v/>
      </c>
      <c r="R2967" t="n">
        <v>0</v>
      </c>
      <c r="S2967" t="n">
        <v>0</v>
      </c>
      <c r="U2967" t="n">
        <v>0</v>
      </c>
    </row>
    <row r="2968">
      <c r="A2968">
        <f>Skills!A22</f>
        <v/>
      </c>
      <c r="B2968">
        <f>Skills!B22</f>
        <v/>
      </c>
      <c r="C2968">
        <f>Inputs!$B$3&gt;=43</f>
        <v/>
      </c>
      <c r="D2968">
        <f>IF(Skills!C22=1,60+Inputs!$B$26+Inputs!$B$30,IF(Skills!C22=2,90+Inputs!$B$27+Inputs!$B$30,IF(Skills!C22=3,120+Inputs!$B$28+Inputs!$B$30,MAX(0,(Inputs!$B$3-100)*3)+Inputs!$B$29+Inputs!$B$30)))</f>
        <v/>
      </c>
      <c r="E2968">
        <f>INDEX(FactorTable!$B$2:$Y$301, MATCH(ROUND(MIN(300,MAX(1,D2968)),0), FactorTable!$A$2:$A$301,0), Skills!L22+1)</f>
        <v/>
      </c>
      <c r="F2968">
        <f>IF(Skills!M22=TRUE,(Skills!K22/10)*(E2968/1000),Skills!K22/10)+Skills!N22</f>
        <v/>
      </c>
      <c r="G2968">
        <f>Calc!G22</f>
        <v/>
      </c>
      <c r="H2968">
        <f>Calc!H22</f>
        <v/>
      </c>
      <c r="I2968">
        <f>IF(Skills!T22&lt;&gt;"",1+(Skills!T22/10)*($Z$3/1000)/100,1)</f>
        <v/>
      </c>
      <c r="J2968" t="inlineStr"/>
      <c r="K2968" t="inlineStr"/>
      <c r="L2968" t="inlineStr"/>
      <c r="M2968" t="inlineStr"/>
      <c r="N2968" t="inlineStr"/>
      <c r="O2968">
        <f>(1-Summary!$B$11)*S2968+Summary!$B$11*U2968</f>
        <v/>
      </c>
      <c r="P2968">
        <f>IF(B2988=0,0,O2968/B2988)</f>
        <v/>
      </c>
      <c r="Q2968">
        <f>IFERROR(1/(IF(Inputs!$B$39="pvp",15,MAX(0.1,Skills!D22-IF(Skills!E22=TRUE,1.5,0)))*(1-IF(AND(ArtifactsInput!$M$27,Inputs!$B$4="Chapter Hunt"),CHOOSE(ArtifactsInput!$N$27+1,20,24,28,32,36,40),0)/100)),0)</f>
        <v/>
      </c>
      <c r="R2968" t="n">
        <v>0</v>
      </c>
      <c r="S2968" t="n">
        <v>0</v>
      </c>
      <c r="U2968" t="n">
        <v>0</v>
      </c>
    </row>
    <row r="2969">
      <c r="A2969">
        <f>Skills!A23</f>
        <v/>
      </c>
      <c r="B2969">
        <f>Skills!B23</f>
        <v/>
      </c>
      <c r="C2969">
        <f>Inputs!$B$3&gt;=50</f>
        <v/>
      </c>
      <c r="D2969">
        <f>IF(Skills!C23=1,60+Inputs!$B$26+Inputs!$B$30,IF(Skills!C23=2,90+Inputs!$B$27+Inputs!$B$30,IF(Skills!C23=3,120+Inputs!$B$28+Inputs!$B$30,MAX(0,(Inputs!$B$3-100)*3)+Inputs!$B$29+Inputs!$B$30)))</f>
        <v/>
      </c>
      <c r="E2969">
        <f>INDEX(FactorTable!$B$2:$Y$301, MATCH(ROUND(MIN(300,MAX(1,D2969)),0), FactorTable!$A$2:$A$301,0), Skills!L23+1)</f>
        <v/>
      </c>
      <c r="F2969">
        <f>IF(Skills!M23=TRUE,(Skills!K23/10)*(E2969/1000),Skills!K23/10)+Skills!N23</f>
        <v/>
      </c>
      <c r="G2969">
        <f>Calc!G23</f>
        <v/>
      </c>
      <c r="H2969">
        <f>Calc!H23</f>
        <v/>
      </c>
      <c r="I2969">
        <f>IF(Skills!T23&lt;&gt;"",1+(Skills!T23/10)*($Z$3/1000)/100,1)</f>
        <v/>
      </c>
      <c r="J2969" t="inlineStr"/>
      <c r="K2969" t="inlineStr"/>
      <c r="L2969" t="inlineStr"/>
      <c r="M2969" t="inlineStr"/>
      <c r="N2969" t="inlineStr"/>
      <c r="O2969">
        <f>(1-Summary!$B$11)*S2969+Summary!$B$11*U2969</f>
        <v/>
      </c>
      <c r="P2969">
        <f>IF(B2988=0,0,O2969/B2988)</f>
        <v/>
      </c>
      <c r="Q2969">
        <f>IFERROR(1/(IF(Inputs!$B$39="pvp",15,MAX(0.1,Skills!D23-IF(Skills!E23=TRUE,1.5,0)))*(1-IF(AND(ArtifactsInput!$M$27,Inputs!$B$4="Chapter Hunt"),CHOOSE(ArtifactsInput!$N$27+1,20,24,28,32,36,40),0)/100)),0)</f>
        <v/>
      </c>
      <c r="R2969" t="n">
        <v>0</v>
      </c>
      <c r="S2969" t="n">
        <v>0</v>
      </c>
      <c r="U2969" t="n">
        <v>0</v>
      </c>
    </row>
    <row r="2970">
      <c r="A2970">
        <f>Skills!A24</f>
        <v/>
      </c>
      <c r="B2970">
        <f>Skills!B24</f>
        <v/>
      </c>
      <c r="C2970">
        <f>Inputs!$B$3&gt;=74</f>
        <v/>
      </c>
      <c r="D2970">
        <f>IF(Skills!C24=1,60+Inputs!$B$26+Inputs!$B$30,IF(Skills!C24=2,90+Inputs!$B$27+Inputs!$B$30,IF(Skills!C24=3,120+Inputs!$B$28+Inputs!$B$30,MAX(0,(Inputs!$B$3-100)*3)+Inputs!$B$29+Inputs!$B$30)))</f>
        <v/>
      </c>
      <c r="E2970">
        <f>INDEX(FactorTable!$B$2:$Y$301, MATCH(ROUND(MIN(300,MAX(1,D2970)),0), FactorTable!$A$2:$A$301,0), Skills!L24+1)</f>
        <v/>
      </c>
      <c r="F2970">
        <f>IF(Skills!M24=TRUE,(Skills!K24/10)*(E2970/1000),Skills!K24/10)+Skills!N24</f>
        <v/>
      </c>
      <c r="G2970">
        <f>Calc!G24</f>
        <v/>
      </c>
      <c r="H2970">
        <f>Calc!H24</f>
        <v/>
      </c>
      <c r="I2970">
        <f>IF(Skills!T24&lt;&gt;"",1+(Skills!T24/10)*($Z$3/1000)/100,1)</f>
        <v/>
      </c>
      <c r="J2970" t="inlineStr"/>
      <c r="K2970" t="inlineStr"/>
      <c r="L2970" t="inlineStr"/>
      <c r="M2970" t="inlineStr"/>
      <c r="N2970" t="inlineStr"/>
      <c r="O2970">
        <f>(1-Summary!$B$11)*S2970+Summary!$B$11*U2970</f>
        <v/>
      </c>
      <c r="P2970">
        <f>IF(B2988=0,0,O2970/B2988)</f>
        <v/>
      </c>
      <c r="Q2970">
        <f>IFERROR(1/(IF(Inputs!$B$39="pvp",15,MAX(0.1,Skills!D24-IF(Skills!E24=TRUE,1.5,0)))*(1-IF(AND(ArtifactsInput!$M$27,Inputs!$B$4="Chapter Hunt"),CHOOSE(ArtifactsInput!$N$27+1,20,24,28,32,36,40),0)/100)),0)</f>
        <v/>
      </c>
      <c r="R2970" t="n">
        <v>0</v>
      </c>
      <c r="S2970" t="n">
        <v>0</v>
      </c>
      <c r="U2970" t="n">
        <v>0</v>
      </c>
    </row>
    <row r="2971">
      <c r="A2971">
        <f>Skills!A25</f>
        <v/>
      </c>
      <c r="B2971">
        <f>Skills!B25</f>
        <v/>
      </c>
      <c r="C2971">
        <f>Inputs!$B$3&gt;=74</f>
        <v/>
      </c>
      <c r="D2971">
        <f>IF(Skills!C25=1,60+Inputs!$B$26+Inputs!$B$30,IF(Skills!C25=2,90+Inputs!$B$27+Inputs!$B$30,IF(Skills!C25=3,120+Inputs!$B$28+Inputs!$B$30,MAX(0,(Inputs!$B$3-100)*3)+Inputs!$B$29+Inputs!$B$30)))</f>
        <v/>
      </c>
      <c r="E2971">
        <f>INDEX(FactorTable!$B$2:$Y$301, MATCH(ROUND(MIN(300,MAX(1,D2971)),0), FactorTable!$A$2:$A$301,0), Skills!L25+1)</f>
        <v/>
      </c>
      <c r="F2971">
        <f>IF(Skills!M25=TRUE,(Skills!K25/10)*(E2971/1000),Skills!K25/10)+Skills!N25</f>
        <v/>
      </c>
      <c r="G2971">
        <f>Calc!G25</f>
        <v/>
      </c>
      <c r="H2971">
        <f>Calc!H25</f>
        <v/>
      </c>
      <c r="I2971">
        <f>IF(Skills!T25&lt;&gt;"",1+(Skills!T25/10)*($Z$3/1000)/100,1)</f>
        <v/>
      </c>
      <c r="J2971" t="inlineStr"/>
      <c r="K2971" t="inlineStr"/>
      <c r="L2971" t="inlineStr"/>
      <c r="M2971" t="inlineStr"/>
      <c r="N2971" t="inlineStr"/>
      <c r="O2971">
        <f>(1-Summary!$B$11)*S2971+Summary!$B$11*U2971</f>
        <v/>
      </c>
      <c r="P2971">
        <f>IF(B2988=0,0,O2971/B2988)</f>
        <v/>
      </c>
      <c r="Q2971">
        <f>IFERROR(1/(IF(Inputs!$B$39="pvp",15,MAX(0.1,Skills!D25-IF(Skills!E25=TRUE,1.5,0)))*(1-IF(AND(ArtifactsInput!$M$27,Inputs!$B$4="Chapter Hunt"),CHOOSE(ArtifactsInput!$N$27+1,20,24,28,32,36,40),0)/100)),0)</f>
        <v/>
      </c>
      <c r="R2971" t="n">
        <v>0</v>
      </c>
      <c r="S2971" t="n">
        <v>0</v>
      </c>
      <c r="U2971" t="n">
        <v>0</v>
      </c>
    </row>
    <row r="2972">
      <c r="A2972">
        <f>Skills!A26</f>
        <v/>
      </c>
      <c r="B2972">
        <f>Skills!B26</f>
        <v/>
      </c>
      <c r="C2972">
        <f>Inputs!$B$3&gt;=117</f>
        <v/>
      </c>
      <c r="D2972">
        <f>IF(Skills!C26=1,60+Inputs!$B$26+Inputs!$B$30,IF(Skills!C26=2,90+Inputs!$B$27+Inputs!$B$30,IF(Skills!C26=3,120+Inputs!$B$28+Inputs!$B$30,MAX(0,(Inputs!$B$3-100)*3)+Inputs!$B$29+Inputs!$B$30)))</f>
        <v/>
      </c>
      <c r="E2972">
        <f>INDEX(FactorTable!$B$2:$Y$301, MATCH(ROUND(MIN(300,MAX(1,D2972)),0), FactorTable!$A$2:$A$301,0), Skills!L26+1)</f>
        <v/>
      </c>
      <c r="F2972">
        <f>IF(Skills!M26=TRUE,(Skills!K26/10)*(E2972/1000),Skills!K26/10)+Skills!N26</f>
        <v/>
      </c>
      <c r="G2972">
        <f>Calc!G26</f>
        <v/>
      </c>
      <c r="H2972">
        <f>Calc!H26</f>
        <v/>
      </c>
      <c r="I2972">
        <f>IF(Skills!T26&lt;&gt;"",1+(Skills!T26/10)*($Z$3/1000)/100,1)</f>
        <v/>
      </c>
      <c r="J2972" t="inlineStr"/>
      <c r="K2972" t="inlineStr"/>
      <c r="L2972" t="inlineStr"/>
      <c r="M2972" t="inlineStr"/>
      <c r="N2972" t="inlineStr"/>
      <c r="O2972">
        <f>(1-Summary!$B$11)*S2972+Summary!$B$11*U2972</f>
        <v/>
      </c>
      <c r="P2972">
        <f>IF(B2988=0,0,O2972/B2988)</f>
        <v/>
      </c>
      <c r="Q2972">
        <f>IFERROR(1/(IF(Inputs!$B$39="pvp",15,MAX(0.1,Skills!D26-IF(Skills!E26=TRUE,1.5,0)))*(1-IF(AND(ArtifactsInput!$M$27,Inputs!$B$4="Chapter Hunt"),CHOOSE(ArtifactsInput!$N$27+1,20,24,28,32,36,40),0)/100)),0)</f>
        <v/>
      </c>
      <c r="R2972" t="n">
        <v>0</v>
      </c>
      <c r="S2972" t="n">
        <v>0</v>
      </c>
      <c r="U2972" t="n">
        <v>0</v>
      </c>
    </row>
    <row r="2973">
      <c r="A2973">
        <f>Skills!A27</f>
        <v/>
      </c>
      <c r="B2973">
        <f>Skills!B27</f>
        <v/>
      </c>
      <c r="C2973">
        <f>Inputs!$B$3&gt;=120</f>
        <v/>
      </c>
      <c r="D2973">
        <f>IF(Skills!C27=1,60+Inputs!$B$26+Inputs!$B$30,IF(Skills!C27=2,90+Inputs!$B$27+Inputs!$B$30,IF(Skills!C27=3,120+Inputs!$B$28+Inputs!$B$30,MAX(0,(Inputs!$B$3-100)*3)+Inputs!$B$29+Inputs!$B$30)))</f>
        <v/>
      </c>
      <c r="E2973">
        <f>INDEX(FactorTable!$B$2:$Y$301, MATCH(ROUND(MIN(300,MAX(1,D2973)),0), FactorTable!$A$2:$A$301,0), Skills!L27+1)</f>
        <v/>
      </c>
      <c r="F2973">
        <f>IF(Skills!M27=TRUE,(Skills!K27/10)*(E2973/1000),Skills!K27/10)+Skills!N27</f>
        <v/>
      </c>
      <c r="G2973">
        <f>Calc!G27</f>
        <v/>
      </c>
      <c r="H2973">
        <f>Calc!H27</f>
        <v/>
      </c>
      <c r="I2973">
        <f>IF(Skills!T27&lt;&gt;"",1+(Skills!T27/10)*($Z$3/1000)/100,1)</f>
        <v/>
      </c>
      <c r="J2973" t="inlineStr"/>
      <c r="K2973" t="inlineStr"/>
      <c r="L2973" t="inlineStr"/>
      <c r="M2973" t="inlineStr"/>
      <c r="N2973" t="inlineStr"/>
      <c r="O2973">
        <f>(1-Summary!$B$11)*S2973+Summary!$B$11*U2973</f>
        <v/>
      </c>
      <c r="P2973">
        <f>IF(B2988=0,0,O2973/B2988)</f>
        <v/>
      </c>
      <c r="Q2973">
        <f>IFERROR(1/(IF(Inputs!$B$39="pvp",15,MAX(0.1,Skills!D27-IF(Skills!E27=TRUE,1.5,0)))*(1-IF(AND(ArtifactsInput!$M$27,Inputs!$B$4="Chapter Hunt"),CHOOSE(ArtifactsInput!$N$27+1,20,24,28,32,36,40),0)/100)),0)</f>
        <v/>
      </c>
      <c r="R2973" t="n">
        <v>0</v>
      </c>
      <c r="S2973" t="n">
        <v>0</v>
      </c>
      <c r="U2973" t="n">
        <v>0</v>
      </c>
    </row>
    <row r="2975">
      <c r="A2975" t="inlineStr">
        <is>
          <t>Average Buff Multiplier</t>
        </is>
      </c>
      <c r="B2975">
        <f>(1+(IF(C2949=TRUE,F2949*IF(AND(Inputs!$B$39&lt;&gt;"pvp",Inputs!$B$44&gt;0),(((R2949-1)*(Skills!S3*(1+((Inputs!$B$35+(ArtifactsInput!$M$7-ArtifactsInput!$M$7)*CHOOSE(ArtifactsInput!$N$7+1,6,7.2,8.4,9.6,10.8,12))+IF(Inputs!$B$3&gt;=117,F2972,0))/100))+MIN((Skills!S3*(1+((Inputs!$B$35+(ArtifactsInput!$M$7-ArtifactsInput!$M$7)*CHOOSE(ArtifactsInput!$N$7+1,6,7.2,8.4,9.6,10.8,12))+IF(Inputs!$B$3&gt;=117,F2972,0))/100)),MAX(0,Inputs!$B$44-((R2949-1)*Skills!D3))))/Inputs!$B$44),IF(Inputs!$B$39="pvp",MIN((Skills!S3*(1+((Inputs!$B$35+(ArtifactsInput!$M$7-ArtifactsInput!$M$7)*CHOOSE(ArtifactsInput!$N$7+1,6,7.2,8.4,9.6,10.8,12))+IF(Inputs!$B$3&gt;=117,F2972,0))/100)),15)/15,(Skills!S3*(1+((Inputs!$B$35+(ArtifactsInput!$M$7-ArtifactsInput!$M$7)*CHOOSE(ArtifactsInput!$N$7+1,6,7.2,8.4,9.6,10.8,12))+IF(Inputs!$B$3&gt;=117,F2972,0))/100))/Skills!D3)),0)+IF(C2950=TRUE,F2950*IF(AND(Inputs!$B$39&lt;&gt;"pvp",Inputs!$B$44&gt;0),(((R2950-1)*(Skills!S4*(1+((Inputs!$B$35+(ArtifactsInput!$M$7-ArtifactsInput!$M$7)*CHOOSE(ArtifactsInput!$N$7+1,6,7.2,8.4,9.6,10.8,12))+IF(Inputs!$B$3&gt;=117,F2972,0))/100))+MIN((Skills!S4*(1+((Inputs!$B$35+(ArtifactsInput!$M$7-ArtifactsInput!$M$7)*CHOOSE(ArtifactsInput!$N$7+1,6,7.2,8.4,9.6,10.8,12))+IF(Inputs!$B$3&gt;=117,F2972,0))/100)),MAX(0,Inputs!$B$44-((R2950-1)*Skills!D4))))/Inputs!$B$44),IF(Inputs!$B$39="pvp",MIN((Skills!S4*(1+((Inputs!$B$35+(ArtifactsInput!$M$7-ArtifactsInput!$M$7)*CHOOSE(ArtifactsInput!$N$7+1,6,7.2,8.4,9.6,10.8,12))+IF(Inputs!$B$3&gt;=117,F2972,0))/100)),15)/15,(Skills!S4*(1+((Inputs!$B$35+(ArtifactsInput!$M$7-ArtifactsInput!$M$7)*CHOOSE(ArtifactsInput!$N$7+1,6,7.2,8.4,9.6,10.8,12))+IF(Inputs!$B$3&gt;=117,F2972,0))/100))/Skills!D4)),0)+IF(C2951=TRUE,F2951*IF(AND(Inputs!$B$39&lt;&gt;"pvp",Inputs!$B$44&gt;0),(((R2951-1)*(Skills!S5*(1+((Inputs!$B$35+(ArtifactsInput!$M$7-ArtifactsInput!$M$7)*CHOOSE(ArtifactsInput!$N$7+1,6,7.2,8.4,9.6,10.8,12))+IF(Inputs!$B$3&gt;=117,F2972,0))/100))+MIN((Skills!S5*(1+((Inputs!$B$35+(ArtifactsInput!$M$7-ArtifactsInput!$M$7)*CHOOSE(ArtifactsInput!$N$7+1,6,7.2,8.4,9.6,10.8,12))+IF(Inputs!$B$3&gt;=117,F2972,0))/100)),MAX(0,Inputs!$B$44-((R2951-1)*Skills!D5))))/Inputs!$B$44),IF(Inputs!$B$39="pvp",MIN((Skills!S5*(1+((Inputs!$B$35+(ArtifactsInput!$M$7-ArtifactsInput!$M$7)*CHOOSE(ArtifactsInput!$N$7+1,6,7.2,8.4,9.6,10.8,12))+IF(Inputs!$B$3&gt;=117,F2972,0))/100)),15)/15,(Skills!S5*(1+((Inputs!$B$35+(ArtifactsInput!$M$7-ArtifactsInput!$M$7)*CHOOSE(ArtifactsInput!$N$7+1,6,7.2,8.4,9.6,10.8,12))+IF(Inputs!$B$3&gt;=117,F2972,0))/100))/Skills!D5)),0)+IF(C2957=TRUE,F2957*IF(AND(Inputs!$B$39&lt;&gt;"pvp",Inputs!$B$44&gt;0),(((R2957-1)*(Skills!S11*(1+((Inputs!$B$35+(ArtifactsInput!$M$7-ArtifactsInput!$M$7)*CHOOSE(ArtifactsInput!$N$7+1,6,7.2,8.4,9.6,10.8,12))+IF(Inputs!$B$3&gt;=117,F2972,0))/100))+MIN((Skills!S11*(1+((Inputs!$B$35+(ArtifactsInput!$M$7-ArtifactsInput!$M$7)*CHOOSE(ArtifactsInput!$N$7+1,6,7.2,8.4,9.6,10.8,12))+IF(Inputs!$B$3&gt;=117,F2972,0))/100)),MAX(0,Inputs!$B$44-((R2957-1)*Skills!D11))))/Inputs!$B$44),IF(Inputs!$B$39="pvp",MIN((Skills!S11*(1+((Inputs!$B$35+(ArtifactsInput!$M$7-ArtifactsInput!$M$7)*CHOOSE(ArtifactsInput!$N$7+1,6,7.2,8.4,9.6,10.8,12))+IF(Inputs!$B$3&gt;=117,F2972,0))/100)),15)/15,(Skills!S11*(1+((Inputs!$B$35+(ArtifactsInput!$M$7-ArtifactsInput!$M$7)*CHOOSE(ArtifactsInput!$N$7+1,6,7.2,8.4,9.6,10.8,12))+IF(Inputs!$B$3&gt;=117,F2972,0)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2960=TRUE,(1+F2960*IF(AND(Inputs!$B$39&lt;&gt;"pvp",Inputs!$B$44&gt;0),(((R2960-1)*(Skills!S14*(1+((Inputs!$B$35+(ArtifactsInput!$M$7-ArtifactsInput!$M$7)*CHOOSE(ArtifactsInput!$N$7+1,6,7.2,8.4,9.6,10.8,12))+IF(Inputs!$B$3&gt;=117,F2972,0))/100))+MIN((Skills!S14*(1+((Inputs!$B$35+(ArtifactsInput!$M$7-ArtifactsInput!$M$7)*CHOOSE(ArtifactsInput!$N$7+1,6,7.2,8.4,9.6,10.8,12))+IF(Inputs!$B$3&gt;=117,F2972,0))/100)),MAX(0,Inputs!$B$44-((R2960-1)*Skills!D14))))/Inputs!$B$44),IF(Inputs!$B$39="pvp",MIN((Skills!S14*(1+((Inputs!$B$35+(ArtifactsInput!$M$7-ArtifactsInput!$M$7)*CHOOSE(ArtifactsInput!$N$7+1,6,7.2,8.4,9.6,10.8,12))+IF(Inputs!$B$3&gt;=117,F2972,0))/100)),15)/15,(Skills!S14*(1+((Inputs!$B$35+(ArtifactsInput!$M$7-ArtifactsInput!$M$7)*CHOOSE(ArtifactsInput!$N$7+1,6,7.2,8.4,9.6,10.8,12))+IF(Inputs!$B$3&gt;=117,F2972,0))/100))/Skills!D14))/100),1)*IF(C2965=TRUE,(1+F2965*IF(AND(Inputs!$B$39&lt;&gt;"pvp",Inputs!$B$44&gt;0),(((R2965-1)*(Skills!S19*(1+((Inputs!$B$35+(ArtifactsInput!$M$7-ArtifactsInput!$M$7)*CHOOSE(ArtifactsInput!$N$7+1,6,7.2,8.4,9.6,10.8,12))+IF(Inputs!$B$3&gt;=117,F2972,0))/100))+MIN((Skills!S19*(1+((Inputs!$B$35+(ArtifactsInput!$M$7-ArtifactsInput!$M$7)*CHOOSE(ArtifactsInput!$N$7+1,6,7.2,8.4,9.6,10.8,12))+IF(Inputs!$B$3&gt;=117,F2972,0))/100)),MAX(0,Inputs!$B$44-((R2965-1)*Skills!D19))))/Inputs!$B$44),IF(Inputs!$B$39="pvp",MIN((Skills!S19*(1+((Inputs!$B$35+(ArtifactsInput!$M$7-ArtifactsInput!$M$7)*CHOOSE(ArtifactsInput!$N$7+1,6,7.2,8.4,9.6,10.8,12))+IF(Inputs!$B$3&gt;=117,F2972,0))/100)),15)/15,(Skills!S19*(1+((Inputs!$B$35+(ArtifactsInput!$M$7-ArtifactsInput!$M$7)*CHOOSE(ArtifactsInput!$N$7+1,6,7.2,8.4,9.6,10.8,12))+IF(Inputs!$B$3&gt;=117,F2972,0))/100))/Skills!D19))/100),1)</f>
        <v/>
      </c>
    </row>
    <row r="2976">
      <c r="A2976" t="inlineStr">
        <is>
          <t>Monster Damage Taken Bonus % (Holy Fountain)</t>
        </is>
      </c>
      <c r="B2976">
        <f>IF(Inputs!$B$3&gt;=68,20*IF(Inputs!$B$39="pvp",MIN((15*(1+((Inputs!$B$35+(ArtifactsInput!$M$7-ArtifactsInput!$M$7)*CHOOSE(ArtifactsInput!$N$7+1,6,7.2,8.4,9.6,10.8,12))+IF(Inputs!$B$3&gt;=117,F2972,0))/100)),15)/15,(15*(1+((Inputs!$B$35+(ArtifactsInput!$M$7-ArtifactsInput!$M$7)*CHOOSE(ArtifactsInput!$N$7+1,6,7.2,8.4,9.6,10.8,12))+IF(Inputs!$B$3&gt;=117,F2972,0))/100))/Skills!D10),0)</f>
        <v/>
      </c>
    </row>
    <row r="2977">
      <c r="A2977" t="inlineStr">
        <is>
          <t>Normal Monster Damage Bonus % (Holy Symbol)</t>
        </is>
      </c>
      <c r="B2977">
        <f>IF(C2958=TRUE,F2958*IF(AND(Inputs!$B$39&lt;&gt;"pvp",Inputs!$B$44&gt;0),(((R2958-1)*(Skills!S12*(1+((Inputs!$B$35+(ArtifactsInput!$M$7-ArtifactsInput!$M$7)*CHOOSE(ArtifactsInput!$N$7+1,6,7.2,8.4,9.6,10.8,12))+IF(Inputs!$B$3&gt;=117,F2972,0))/100))+MIN((Skills!S12*(1+((Inputs!$B$35+(ArtifactsInput!$M$7-ArtifactsInput!$M$7)*CHOOSE(ArtifactsInput!$N$7+1,6,7.2,8.4,9.6,10.8,12))+IF(Inputs!$B$3&gt;=117,F2972,0))/100)),MAX(0,Inputs!$B$44-((R2958-1)*Skills!D12))))/Inputs!$B$44),IF(Inputs!$B$39="pvp",MIN((Skills!S12*(1+((Inputs!$B$35+(ArtifactsInput!$M$7-ArtifactsInput!$M$7)*CHOOSE(ArtifactsInput!$N$7+1,6,7.2,8.4,9.6,10.8,12))+IF(Inputs!$B$3&gt;=117,F2972,0))/100)),15)/15,(Skills!S12*(1+((Inputs!$B$35+(ArtifactsInput!$M$7-ArtifactsInput!$M$7)*CHOOSE(ArtifactsInput!$N$7+1,6,7.2,8.4,9.6,10.8,12))+IF(Inputs!$B$3&gt;=117,F2972,0))/100))/Skills!D12)),0)</f>
        <v/>
      </c>
    </row>
    <row r="2978">
      <c r="A2978" t="inlineStr">
        <is>
          <t>Damage % Bonus (Holy Symbol - Damage Boost)</t>
        </is>
      </c>
      <c r="B2978">
        <f>Skills!O12</f>
        <v/>
      </c>
    </row>
    <row r="2979">
      <c r="A2979" t="inlineStr">
        <is>
          <t>Crit Damage % Bonus (Blood of the Divine)</t>
        </is>
      </c>
      <c r="B2979">
        <f>4*IF(C2966=TRUE,F2966,0)</f>
        <v/>
      </c>
    </row>
    <row r="2980">
      <c r="A2980" t="inlineStr">
        <is>
          <t>Attack Speed Bonus %</t>
        </is>
      </c>
      <c r="B2980">
        <f>IF(C2963=TRUE,F2963+(F2967-Calc!F21),0)+IF(Inputs!$B$3&gt;=134,15,0)</f>
        <v/>
      </c>
    </row>
    <row r="2981">
      <c r="A2981" t="inlineStr">
        <is>
          <t>Actions Per Second</t>
        </is>
      </c>
      <c r="B2981">
        <f>1+MIN(150,150*(1-(1-Inputs!$B$12/150)*(1-B2980/150)))/100</f>
        <v/>
      </c>
    </row>
    <row r="2982">
      <c r="A2982" t="inlineStr">
        <is>
          <t>Skill + Buff Cast Rate</t>
        </is>
      </c>
      <c r="B2982">
        <f>IF(AND(Inputs!$B$39&lt;&gt;"pvp",Inputs!$B$44&gt;0),SUMPRODUCT((Skills!E2:E27=TRUE)*(C2948:C2973=TRUE)*R2948:R2973)/Inputs!$B$44,SUMPRODUCT((Skills!E2:E27=TRUE)*(C2948:C2973=TRUE)*Q2948:Q2973))</f>
        <v/>
      </c>
    </row>
    <row r="2983">
      <c r="A2983" t="inlineStr">
        <is>
          <t>Big Bang Casts Per Second</t>
        </is>
      </c>
      <c r="B2983">
        <f>MAX(0,B2981-B2982)</f>
        <v/>
      </c>
    </row>
    <row r="2984">
      <c r="A2984" t="inlineStr">
        <is>
          <t>Defense % Bonus (Divine Protection)</t>
        </is>
      </c>
      <c r="B2984">
        <f>IF(C2959=TRUE,F2959*IF(AND(Inputs!$B$39&lt;&gt;"pvp",Inputs!$B$44&gt;0),(((R2959-1)*(Skills!S13*(1+((Inputs!$B$35+(ArtifactsInput!$M$7-ArtifactsInput!$M$7)*CHOOSE(ArtifactsInput!$N$7+1,6,7.2,8.4,9.6,10.8,12))+IF(Inputs!$B$3&gt;=117,F2972,0))/100))+MIN((Skills!S13*(1+((Inputs!$B$35+(ArtifactsInput!$M$7-ArtifactsInput!$M$7)*CHOOSE(ArtifactsInput!$N$7+1,6,7.2,8.4,9.6,10.8,12))+IF(Inputs!$B$3&gt;=117,F2972,0))/100)),MAX(0,Inputs!$B$44-((R2959-1)*Skills!D13))))/Inputs!$B$44),IF(Inputs!$B$39="pvp",MIN((Skills!S13*(1+((Inputs!$B$35+(ArtifactsInput!$M$7-ArtifactsInput!$M$7)*CHOOSE(ArtifactsInput!$N$7+1,6,7.2,8.4,9.6,10.8,12))+IF(Inputs!$B$3&gt;=117,F2972,0))/100)),15)/15,(Skills!S13*(1+((Inputs!$B$35+(ArtifactsInput!$M$7-ArtifactsInput!$M$7)*CHOOSE(ArtifactsInput!$N$7+1,6,7.2,8.4,9.6,10.8,12))+IF(Inputs!$B$3&gt;=117,F2972,0))/100))/Skills!D13)),0)</f>
        <v/>
      </c>
    </row>
    <row r="2985">
      <c r="A2985" t="inlineStr">
        <is>
          <t>Buff-Casting Startup Delay (s, fixed-duration only)</t>
        </is>
      </c>
      <c r="B2985">
        <f>IF(AND(Inputs!$B$39&lt;&gt;"pvp",Inputs!$B$44&gt;0),SUMPRODUCT((Skills!S2:S27&gt;0)*(Skills!E2:E27=TRUE)*(C2948:C2973=TRUE))/B2981,0)</f>
        <v/>
      </c>
    </row>
    <row r="2986">
      <c r="A2986" t="inlineStr">
        <is>
          <t>Boss-Only Total DPS (this block's swept value)</t>
        </is>
      </c>
      <c r="B2986">
        <f>SUM(S2948:S2973)</f>
        <v/>
      </c>
    </row>
    <row r="2987">
      <c r="A2987" t="inlineStr">
        <is>
          <t>Normal-Only Total DPS (this block's swept value)</t>
        </is>
      </c>
      <c r="B2987">
        <f>SUM(U2948:U2973)</f>
        <v/>
      </c>
    </row>
    <row r="2988">
      <c r="A2988" s="6" t="inlineStr">
        <is>
          <t>TOTAL DPS</t>
        </is>
      </c>
      <c r="B2988" s="6">
        <f>SUM(O2948:O2973)</f>
        <v/>
      </c>
    </row>
    <row r="2990">
      <c r="A2990" s="6" t="inlineStr">
        <is>
          <t>Stat: CDR = 2.0s</t>
        </is>
      </c>
    </row>
    <row r="2991">
      <c r="A2991" s="5" t="inlineStr">
        <is>
          <t>Key</t>
        </is>
      </c>
      <c r="B2991" s="5" t="inlineStr">
        <is>
          <t>Name</t>
        </is>
      </c>
      <c r="C2991" s="5" t="inlineStr">
        <is>
          <t>Unlocked</t>
        </is>
      </c>
      <c r="D2991" s="5" t="inlineStr">
        <is>
          <t>InputLevel</t>
        </is>
      </c>
      <c r="E2991" s="5" t="inlineStr">
        <is>
          <t>Factor</t>
        </is>
      </c>
      <c r="F2991" s="5" t="inlineStr">
        <is>
          <t>CoefficientPercent</t>
        </is>
      </c>
      <c r="G2991" s="5" t="inlineStr">
        <is>
          <t>EffectiveHits</t>
        </is>
      </c>
      <c r="H2991" s="5" t="inlineStr">
        <is>
          <t>ProcProbability</t>
        </is>
      </c>
      <c r="I2991" s="5" t="inlineStr">
        <is>
          <t>MapleHeroMultiplier</t>
        </is>
      </c>
      <c r="J2991" s="5" t="inlineStr">
        <is>
          <t>BaseDamage</t>
        </is>
      </c>
      <c r="K2991" s="5" t="inlineStr">
        <is>
          <t>BaseHitDamage</t>
        </is>
      </c>
      <c r="L2991" s="5" t="inlineStr">
        <is>
          <t>NonCritAvg</t>
        </is>
      </c>
      <c r="M2991" s="5" t="inlineStr">
        <is>
          <t>CritAvg</t>
        </is>
      </c>
      <c r="N2991" s="5" t="inlineStr">
        <is>
          <t>ExpectedDamage(perHit)</t>
        </is>
      </c>
      <c r="O2991" s="5" t="inlineStr">
        <is>
          <t>DPS</t>
        </is>
      </c>
      <c r="P2991" s="5" t="inlineStr">
        <is>
          <t>% of Total</t>
        </is>
      </c>
      <c r="R2991" t="inlineStr">
        <is>
          <t>helpers</t>
        </is>
      </c>
    </row>
    <row r="2992">
      <c r="A2992">
        <f>Skills!A2</f>
        <v/>
      </c>
      <c r="B2992">
        <f>Skills!B2</f>
        <v/>
      </c>
      <c r="C2992">
        <f>Inputs!$B$3&gt;=100</f>
        <v/>
      </c>
      <c r="D2992" t="inlineStr"/>
      <c r="E2992" t="inlineStr"/>
      <c r="F2992">
        <f>T2994+Skills!N2</f>
        <v/>
      </c>
      <c r="G2992">
        <f>Calc!G2</f>
        <v/>
      </c>
      <c r="H2992">
        <f>Calc!H2</f>
        <v/>
      </c>
      <c r="I2992">
        <f>IF(Skills!T2&lt;&gt;"",1+(Skills!T2/10)*($Z$3/1000)/100,1)</f>
        <v/>
      </c>
      <c r="J2992">
        <f>((Inputs!$B$6*(1+Inputs!$B$7/100))+(((Inputs!$B$13*(1+Inputs!$B$14/100))-(Inputs!$B$13*(1+Inputs!$B$14/100)))+0.25*(Inputs!$B$15-Inputs!$B$15))*(1+Inputs!$B$7/100))*(F2992/100)</f>
        <v/>
      </c>
      <c r="K2992">
        <f>J2992*(1+(((Inputs!$B$13+IF(Inputs!$B$3&gt;=35,(10*INDEX(FactorTable!$B$2:$Y$301,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2="TRIUMPH_FEATHER",IF(C3006=TRUE,F3006,0),0)/100)*(1+IF(C3017=TRUE,F3017,0)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2992)</f>
        <v/>
      </c>
      <c r="L2992">
        <f>K2992*(MIN(Inputs!$B$23+(F3012-Calc!F22),(Inputs!$B$24+IF(ArtifactsInput!$M$15,CHOOSE(ArtifactsInput!$N$15+1,25,30,35,40,45,50)/100*(Inputs!$B$12-Inputs!$B$12),0)))/100+(Inputs!$B$24+IF(ArtifactsInput!$M$15,CHOOSE(ArtifactsInput!$N$15+1,25,30,35,40,45,50)/100*(Inputs!$B$12-Inputs!$B$12),0))/100)/2</f>
        <v/>
      </c>
      <c r="M2992">
        <f>L2992*(1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2">
        <f>L2992*(1-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(1-Summary!$B$11)*S2992+Summary!$B$11*U2992</f>
        <v/>
      </c>
      <c r="P2992">
        <f>IF(B3032=0,0,O2992/B3032)</f>
        <v/>
      </c>
      <c r="Q2992">
        <f>IFERROR(1/(IF(Inputs!$B$39="pvp",15,MAX(0.1,Skills!D2-IF(Skills!E2=TRUE,2.0,0)))*(1-IF(AND(ArtifactsInput!$M$27,Inputs!$B$4="Chapter Hunt"),CHOOSE(ArtifactsInput!$N$27+1,20,24,28,32,36,40),0)/100)),0)</f>
        <v/>
      </c>
      <c r="R2992" t="n">
        <v>0</v>
      </c>
      <c r="S2992">
        <f>IF(C2992,(Skills!F2*N2992*B3027)*IF(Inputs!$B$39="pvp",1,1+(Inputs!$B$21+Skills!O2+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2992*(1-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2">
        <f>MAX(0,(Inputs!$B$3-100)*3)+Inputs!$B$29+Inputs!$B$30</f>
        <v/>
      </c>
      <c r="U2992">
        <f>IF(C2992,(Skills!F2*N2992*B3027)*IF(Inputs!$B$39="pvp",1,(1+(Inputs!$B$22+Skills!P2+B3021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Skills!A3</f>
        <v/>
      </c>
      <c r="B2993">
        <f>Skills!B3</f>
        <v/>
      </c>
      <c r="C2993">
        <f>Inputs!$B$3&gt;=15</f>
        <v/>
      </c>
      <c r="D2993">
        <f>IF(Skills!C3=1,60+Inputs!$B$26+Inputs!$B$30,IF(Skills!C3=2,90+Inputs!$B$27+Inputs!$B$30,IF(Skills!C3=3,120+Inputs!$B$28+Inputs!$B$30,MAX(0,(Inputs!$B$3-100)*3)+Inputs!$B$29+Inputs!$B$30)))</f>
        <v/>
      </c>
      <c r="E2993">
        <f>INDEX(FactorTable!$B$2:$Y$301, MATCH(ROUND(MIN(300,MAX(1,D2993)),0), FactorTable!$A$2:$A$301,0), Skills!L3+1)</f>
        <v/>
      </c>
      <c r="F2993">
        <f>IF(Skills!M3=TRUE,(Skills!K3/10)*(E2993/1000),Skills!K3/10)+Skills!N3</f>
        <v/>
      </c>
      <c r="G2993">
        <f>Calc!G3</f>
        <v/>
      </c>
      <c r="H2993">
        <f>Calc!H3</f>
        <v/>
      </c>
      <c r="I2993">
        <f>IF(Skills!T3&lt;&gt;"",1+(Skills!T3/10)*($Z$3/1000)/100,1)</f>
        <v/>
      </c>
      <c r="J2993" t="inlineStr"/>
      <c r="K2993" t="inlineStr"/>
      <c r="L2993" t="inlineStr"/>
      <c r="M2993" t="inlineStr"/>
      <c r="N2993" t="inlineStr"/>
      <c r="O2993">
        <f>(1-Summary!$B$11)*S2993+Summary!$B$11*U2993</f>
        <v/>
      </c>
      <c r="P2993">
        <f>IF(B3032=0,0,O2993/B3032)</f>
        <v/>
      </c>
      <c r="Q2993">
        <f>IFERROR(1/(IF(Inputs!$B$39="pvp",15,MAX(0.1,Skills!D3-IF(Skills!E3=TRUE,2.0,0)))*(1-IF(AND(ArtifactsInput!$M$27,Inputs!$B$4="Chapter Hunt"),CHOOSE(ArtifactsInput!$N$27+1,20,24,28,32,36,40),0)/100)),0)</f>
        <v/>
      </c>
      <c r="R2993">
        <f>IF(AND(Inputs!$B$39&lt;&gt;"pvp",Inputs!$B$44&gt;0),IF(Inputs!$B$44&lt;=0,0,(INT(Inputs!$B$44/(IF(Inputs!$B$39="pvp",15,MAX(0.1,Skills!D3-IF(Skills!E3=TRUE,2.0,0)))*(1-IF(AND(ArtifactsInput!$M$27,Inputs!$B$4="Chapter Hunt"),CHOOSE(ArtifactsInput!$N$27+1,20,24,28,32,36,40),0)/100)))+1)),0)</f>
        <v/>
      </c>
      <c r="S2993" t="n">
        <v>0</v>
      </c>
      <c r="T2993">
        <f>INDEX(FactorTable!$B$2:$Y$301, MATCH(ROUND(MIN(300,MAX(1,T2992)),0), FactorTable!$A$2:$A$301,0), 22)</f>
        <v/>
      </c>
      <c r="U2993" t="n">
        <v>0</v>
      </c>
    </row>
    <row r="2994">
      <c r="A2994">
        <f>Skills!A4</f>
        <v/>
      </c>
      <c r="B2994">
        <f>Skills!B4</f>
        <v/>
      </c>
      <c r="C2994">
        <f>Inputs!$B$3&gt;=38</f>
        <v/>
      </c>
      <c r="D2994">
        <f>IF(Skills!C4=1,60+Inputs!$B$26+Inputs!$B$30,IF(Skills!C4=2,90+Inputs!$B$27+Inputs!$B$30,IF(Skills!C4=3,120+Inputs!$B$28+Inputs!$B$30,MAX(0,(Inputs!$B$3-100)*3)+Inputs!$B$29+Inputs!$B$30)))</f>
        <v/>
      </c>
      <c r="E2994">
        <f>INDEX(FactorTable!$B$2:$Y$301, MATCH(ROUND(MIN(300,MAX(1,D2994)),0), FactorTable!$A$2:$A$301,0), Skills!L4+1)</f>
        <v/>
      </c>
      <c r="F2994">
        <f>IF(Skills!M4=TRUE,(Skills!K4/10)*(E2994/1000),Skills!K4/10)+Skills!N4</f>
        <v/>
      </c>
      <c r="G2994">
        <f>Calc!G4</f>
        <v/>
      </c>
      <c r="H2994">
        <f>Calc!H4</f>
        <v/>
      </c>
      <c r="I2994">
        <f>IF(Skills!T4&lt;&gt;"",1+(Skills!T4/10)*($Z$3/1000)/100,1)</f>
        <v/>
      </c>
      <c r="J2994" t="inlineStr"/>
      <c r="K2994" t="inlineStr"/>
      <c r="L2994" t="inlineStr"/>
      <c r="M2994" t="inlineStr"/>
      <c r="N2994" t="inlineStr"/>
      <c r="O2994">
        <f>(1-Summary!$B$11)*S2994+Summary!$B$11*U2994</f>
        <v/>
      </c>
      <c r="P2994">
        <f>IF(B3032=0,0,O2994/B3032)</f>
        <v/>
      </c>
      <c r="Q2994">
        <f>IFERROR(1/(IF(Inputs!$B$39="pvp",15,MAX(0.1,Skills!D4-IF(Skills!E4=TRUE,2.0,0)))*(1-IF(AND(ArtifactsInput!$M$27,Inputs!$B$4="Chapter Hunt"),CHOOSE(ArtifactsInput!$N$27+1,20,24,28,32,36,40),0)/100)),0)</f>
        <v/>
      </c>
      <c r="R2994">
        <f>IF(AND(Inputs!$B$39&lt;&gt;"pvp",Inputs!$B$44&gt;0),IF(Inputs!$B$44&lt;=0,0,(INT(Inputs!$B$44/(IF(Inputs!$B$39="pvp",15,MAX(0.1,Skills!D4-IF(Skills!E4=TRUE,2.0,0)))*(1-IF(AND(ArtifactsInput!$M$27,Inputs!$B$4="Chapter Hunt"),CHOOSE(ArtifactsInput!$N$27+1,20,24,28,32,36,40),0)/100)))+1)),0)</f>
        <v/>
      </c>
      <c r="S2994" t="n">
        <v>0</v>
      </c>
      <c r="T2994">
        <f>290*T2993/1000</f>
        <v/>
      </c>
      <c r="U2994" t="n">
        <v>0</v>
      </c>
    </row>
    <row r="2995">
      <c r="A2995">
        <f>Skills!A5</f>
        <v/>
      </c>
      <c r="B2995">
        <f>Skills!B5</f>
        <v/>
      </c>
      <c r="C2995">
        <f>Inputs!$B$3&gt;=40</f>
        <v/>
      </c>
      <c r="D2995">
        <f>IF(Skills!C5=1,60+Inputs!$B$26+Inputs!$B$30,IF(Skills!C5=2,90+Inputs!$B$27+Inputs!$B$30,IF(Skills!C5=3,120+Inputs!$B$28+Inputs!$B$30,MAX(0,(Inputs!$B$3-100)*3)+Inputs!$B$29+Inputs!$B$30)))</f>
        <v/>
      </c>
      <c r="E2995">
        <f>INDEX(FactorTable!$B$2:$Y$301, MATCH(ROUND(MIN(300,MAX(1,D2995)),0), FactorTable!$A$2:$A$301,0), Skills!L5+1)</f>
        <v/>
      </c>
      <c r="F2995">
        <f>IF(Skills!M5=TRUE,(Skills!K5/10)*(E2995/1000),Skills!K5/10)+Skills!N5</f>
        <v/>
      </c>
      <c r="G2995">
        <f>Calc!G5</f>
        <v/>
      </c>
      <c r="H2995">
        <f>Calc!H5</f>
        <v/>
      </c>
      <c r="I2995">
        <f>IF(Skills!T5&lt;&gt;"",1+(Skills!T5/10)*($Z$3/1000)/100,1)</f>
        <v/>
      </c>
      <c r="J2995" t="inlineStr"/>
      <c r="K2995" t="inlineStr"/>
      <c r="L2995" t="inlineStr"/>
      <c r="M2995" t="inlineStr"/>
      <c r="N2995" t="inlineStr"/>
      <c r="O2995">
        <f>(1-Summary!$B$11)*S2995+Summary!$B$11*U2995</f>
        <v/>
      </c>
      <c r="P2995">
        <f>IF(B3032=0,0,O2995/B3032)</f>
        <v/>
      </c>
      <c r="Q2995">
        <f>IFERROR(1/(IF(Inputs!$B$39="pvp",15,MAX(0.1,Skills!D5-IF(Skills!E5=TRUE,2.0,0)))*(1-IF(AND(ArtifactsInput!$M$27,Inputs!$B$4="Chapter Hunt"),CHOOSE(ArtifactsInput!$N$27+1,20,24,28,32,36,40),0)/100)),0)</f>
        <v/>
      </c>
      <c r="R2995">
        <f>IF(AND(Inputs!$B$39&lt;&gt;"pvp",Inputs!$B$44&gt;0),IF(Inputs!$B$44&lt;=0,0,(INT(Inputs!$B$44/(IF(Inputs!$B$39="pvp",15,MAX(0.1,Skills!D5-IF(Skills!E5=TRUE,2.0,0)))*(1-IF(AND(ArtifactsInput!$M$27,Inputs!$B$4="Chapter Hunt"),CHOOSE(ArtifactsInput!$N$27+1,20,24,28,32,36,40),0)/100)))+1)),0)</f>
        <v/>
      </c>
      <c r="S2995" t="n">
        <v>0</v>
      </c>
      <c r="U2995" t="n">
        <v>0</v>
      </c>
    </row>
    <row r="2996">
      <c r="A2996">
        <f>Skills!A6</f>
        <v/>
      </c>
      <c r="B2996">
        <f>Skills!B6</f>
        <v/>
      </c>
      <c r="C2996">
        <f>Inputs!$B$3&gt;=103</f>
        <v/>
      </c>
      <c r="D2996">
        <f>IF(Skills!C6=1,60+Inputs!$B$26+Inputs!$B$30,IF(Skills!C6=2,90+Inputs!$B$27+Inputs!$B$30,IF(Skills!C6=3,120+Inputs!$B$28+Inputs!$B$30,MAX(0,(Inputs!$B$3-100)*3)+Inputs!$B$29+Inputs!$B$30)))</f>
        <v/>
      </c>
      <c r="E2996">
        <f>INDEX(FactorTable!$B$2:$Y$301, MATCH(ROUND(MIN(300,MAX(1,D2996)),0), FactorTable!$A$2:$A$301,0), Skills!L6+1)</f>
        <v/>
      </c>
      <c r="F2996">
        <f>IF(Skills!M6=TRUE,(Skills!K6/10)*(E2996/1000),Skills!K6/10)+Skills!N6</f>
        <v/>
      </c>
      <c r="G2996">
        <f>Calc!G6</f>
        <v/>
      </c>
      <c r="H2996">
        <f>Calc!H6</f>
        <v/>
      </c>
      <c r="I2996">
        <f>IF(Skills!T6&lt;&gt;"",1+(Skills!T6/10)*($Z$3/1000)/100,1)</f>
        <v/>
      </c>
      <c r="J2996">
        <f>((Inputs!$B$6*(1+Inputs!$B$7/100))+(((Inputs!$B$13*(1+Inputs!$B$14/100))-(Inputs!$B$13*(1+Inputs!$B$14/100)))+0.25*(Inputs!$B$15-Inputs!$B$15))*(1+Inputs!$B$7/100))*(F2996/100)</f>
        <v/>
      </c>
      <c r="K2996">
        <f>J2996*(1+(((Inputs!$B$13+IF(Inputs!$B$3&gt;=35,(10*INDEX(FactorTable!$B$2:$Y$301,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6="TRIUMPH_FEATHER",IF(C3006=TRUE,F3006,0),0)/100)*(1+IF(C3017=TRUE,F3017,0)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2996)</f>
        <v/>
      </c>
      <c r="L2996">
        <f>K2996*(MIN(Inputs!$B$23+(F3012-Calc!F22),(Inputs!$B$24+IF(ArtifactsInput!$M$15,CHOOSE(ArtifactsInput!$N$15+1,25,30,35,40,45,50)/100*(Inputs!$B$12-Inputs!$B$12),0)))/100+(Inputs!$B$24+IF(ArtifactsInput!$M$15,CHOOSE(ArtifactsInput!$N$15+1,25,30,35,40,45,50)/100*(Inputs!$B$12-Inputs!$B$12),0))/100)/2</f>
        <v/>
      </c>
      <c r="M2996">
        <f>L2996*(1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6">
        <f>L2996*(1-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2996*(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6">
        <f>(1-Summary!$B$11)*S2996+Summary!$B$11*U2996</f>
        <v/>
      </c>
      <c r="P2996">
        <f>IF(B3032=0,0,O2996/B3032)</f>
        <v/>
      </c>
      <c r="Q2996">
        <f>IFERROR(1/(IF(Inputs!$B$39="pvp",15,MAX(0.1,Skills!D6-IF(Skills!E6=TRUE,2.0,0)))*(1-IF(AND(ArtifactsInput!$M$27,Inputs!$B$4="Chapter Hunt"),CHOOSE(ArtifactsInput!$N$27+1,20,24,28,32,36,40),0)/100)),0)</f>
        <v/>
      </c>
      <c r="R2996">
        <f>IF(AND(Inputs!$B$39&lt;&gt;"pvp",Inputs!$B$44&gt;0),IF(MAX(0,Inputs!$B$44-B3029)&lt;=0,0,(INT(MAX(0,Inputs!$B$44-B3029)/(IF(Inputs!$B$39="pvp",15,MAX(0.1,Skills!D6-IF(Skills!E6=TRUE,2.0,0)))*(1-IF(AND(ArtifactsInput!$M$27,Inputs!$B$4="Chapter Hunt"),CHOOSE(ArtifactsInput!$N$27+1,20,24,28,32,36,40),0)/100)))+1)),0)</f>
        <v/>
      </c>
      <c r="S2996">
        <f>IF(C2996,(H2996*N2996*IF(AND(Inputs!$B$39&lt;&gt;"pvp",Inputs!$B$44&gt;0),((Skills!F6*((R2996-1)*IF(Skills!G6&gt;0,Skills!H6/Skills!G6,1)+IF(Skills!G6&gt;0,MIN(Skills!H6,MAX(0,MAX(0,Inputs!$B$44-B3029)-((R2996-1)*(IF(Inputs!$B$39="pvp",15,MAX(0.1,Skills!D6-IF(Skills!E6=TRUE,2.0,0)))*(1-IF(AND(ArtifactsInput!$M$27,Inputs!$B$4="Chapter Hunt"),CHOOSE(ArtifactsInput!$N$27+1,20,24,28,32,36,40),0)/100)))))/Skills!G6,1)))/Inputs!$B$44),G2996*Q2996))*IF(Inputs!$B$39="pvp",1,1+(Inputs!$B$21+Skills!O6+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2996*(1-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2996*(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2996*(1-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2996*(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6">
        <f>IF(C2996,(H2996*N2996*IF(AND(Inputs!$B$39&lt;&gt;"pvp",Inputs!$B$44&gt;0),((Skills!F6*((R2996-1)*IF(Skills!G6&gt;0,Skills!H6/Skills!G6,1)+IF(Skills!G6&gt;0,MIN(Skills!H6,MAX(0,MAX(0,Inputs!$B$44-B3029)-((R2996-1)*(IF(Inputs!$B$39="pvp",15,MAX(0.1,Skills!D6-IF(Skills!E6=TRUE,2.0,0)))*(1-IF(AND(ArtifactsInput!$M$27,Inputs!$B$4="Chapter Hunt"),CHOOSE(ArtifactsInput!$N$27+1,20,24,28,32,36,40),0)/100)))))/Skills!G6,1)))/Inputs!$B$44),G2996*Q2996))*IF(Inputs!$B$39="pvp",1,(1+(Inputs!$B$22+Skills!P6+B3021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7">
      <c r="A2997">
        <f>Skills!A7</f>
        <v/>
      </c>
      <c r="B2997">
        <f>Skills!B7</f>
        <v/>
      </c>
      <c r="C2997">
        <f>Inputs!$B$3&gt;=122</f>
        <v/>
      </c>
      <c r="D2997">
        <f>IF(Skills!C7=1,60+Inputs!$B$26+Inputs!$B$30,IF(Skills!C7=2,90+Inputs!$B$27+Inputs!$B$30,IF(Skills!C7=3,120+Inputs!$B$28+Inputs!$B$30,MAX(0,(Inputs!$B$3-100)*3)+Inputs!$B$29+Inputs!$B$30)))</f>
        <v/>
      </c>
      <c r="E2997">
        <f>INDEX(FactorTable!$B$2:$Y$301, MATCH(ROUND(MIN(300,MAX(1,D2997)),0), FactorTable!$A$2:$A$301,0), Skills!L7+1)</f>
        <v/>
      </c>
      <c r="F2997">
        <f>IF(Skills!M7=TRUE,(Skills!K7/10)*(E2997/1000),Skills!K7/10)+Skills!N7</f>
        <v/>
      </c>
      <c r="G2997">
        <f>Calc!G7</f>
        <v/>
      </c>
      <c r="H2997">
        <f>Calc!H7</f>
        <v/>
      </c>
      <c r="I2997">
        <f>IF(Skills!T7&lt;&gt;"",1+(Skills!T7/10)*($Z$3/1000)/100,1)</f>
        <v/>
      </c>
      <c r="J2997">
        <f>((Inputs!$B$6*(1+Inputs!$B$7/100))+(((Inputs!$B$13*(1+Inputs!$B$14/100))-(Inputs!$B$13*(1+Inputs!$B$14/100)))+0.25*(Inputs!$B$15-Inputs!$B$15))*(1+Inputs!$B$7/100))*(F2997/100)</f>
        <v/>
      </c>
      <c r="K2997">
        <f>J2997*(1+(((Inputs!$B$13+IF(Inputs!$B$3&gt;=35,(10*INDEX(FactorTable!$B$2:$Y$301,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7="TRIUMPH_FEATHER",IF(C3006=TRUE,F3006,0),0)/100)*(1+IF(C3017=TRUE,F3017,0)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2997)</f>
        <v/>
      </c>
      <c r="L2997">
        <f>K2997*(MIN(Inputs!$B$23+(F3012-Calc!F22),(Inputs!$B$24+IF(ArtifactsInput!$M$15,CHOOSE(ArtifactsInput!$N$15+1,25,30,35,40,45,50)/100*(Inputs!$B$12-Inputs!$B$12),0)))/100+(Inputs!$B$24+IF(ArtifactsInput!$M$15,CHOOSE(ArtifactsInput!$N$15+1,25,30,35,40,45,50)/100*(Inputs!$B$12-Inputs!$B$12),0))/100)/2</f>
        <v/>
      </c>
      <c r="M2997">
        <f>L2997*(1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7">
        <f>L2997*(1-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(1-Summary!$B$11)*S2997+Summary!$B$11*U2997</f>
        <v/>
      </c>
      <c r="P2997">
        <f>IF(B3032=0,0,O2997/B3032)</f>
        <v/>
      </c>
      <c r="Q2997">
        <f>IFERROR(1/(IF(Inputs!$B$39="pvp",15,MAX(0.1,Skills!D7-IF(Skills!E6=TRUE,2.0,0)))*(1-IF(AND(ArtifactsInput!$M$27,Inputs!$B$4="Chapter Hunt"),CHOOSE(ArtifactsInput!$N$27+1,20,24,28,32,36,40),0)/100)),0)</f>
        <v/>
      </c>
      <c r="R2997">
        <f>IF(AND(Inputs!$B$39&lt;&gt;"pvp",Inputs!$B$44&gt;0),IF(MAX(0,Inputs!$B$44-B3029)&lt;=0,0,(INT(MAX(0,Inputs!$B$44-B3029)/(IF(Inputs!$B$39="pvp",15,MAX(0.1,Skills!D7-IF(Skills!E6=TRUE,2.0,0)))*(1-IF(AND(ArtifactsInput!$M$27,Inputs!$B$4="Chapter Hunt"),CHOOSE(ArtifactsInput!$N$27+1,20,24,28,32,36,40),0)/100)))+1)),0)</f>
        <v/>
      </c>
      <c r="S2997">
        <f>IF(C2997,H2997*N2997*IF(AND(Inputs!$B$39&lt;&gt;"pvp",Inputs!$B$44&gt;0),((Skills!F7*((R2997-1)*IF(Skills!G7&gt;0,Skills!H7/Skills!G7,1)+IF(Skills!G7&gt;0,MIN(Skills!H7,MAX(0,MAX(0,Inputs!$B$44-B3029)-((R2997-1)*(IF(Inputs!$B$39="pvp",15,MAX(0.1,Skills!D7-IF(Skills!E6=TRUE,2.0,0)))*(1-IF(AND(ArtifactsInput!$M$27,Inputs!$B$4="Chapter Hunt"),CHOOSE(ArtifactsInput!$N$27+1,20,24,28,32,36,40),0)/100)))))/Skills!G7,1)))/Inputs!$B$44),G2997*Q2997)*IF(Inputs!$B$39="pvp",1,1+(Inputs!$B$21+Skills!O7+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2997*(1-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7" t="n">
        <v>0</v>
      </c>
    </row>
    <row r="2998">
      <c r="A2998">
        <f>Skills!A8</f>
        <v/>
      </c>
      <c r="B2998">
        <f>Skills!B8</f>
        <v/>
      </c>
      <c r="C2998">
        <f>Inputs!$B$3&gt;=105</f>
        <v/>
      </c>
      <c r="D2998">
        <f>IF(Skills!C8=1,60+Inputs!$B$26+Inputs!$B$30,IF(Skills!C8=2,90+Inputs!$B$27+Inputs!$B$30,IF(Skills!C8=3,120+Inputs!$B$28+Inputs!$B$30,MAX(0,(Inputs!$B$3-100)*3)+Inputs!$B$29+Inputs!$B$30)))</f>
        <v/>
      </c>
      <c r="E2998">
        <f>INDEX(FactorTable!$B$2:$Y$301, MATCH(ROUND(MIN(300,MAX(1,D2998)),0), FactorTable!$A$2:$A$301,0), Skills!L8+1)</f>
        <v/>
      </c>
      <c r="F2998">
        <f>IF(Skills!M8=TRUE,(Skills!K8/10)*(E2998/1000),Skills!K8/10)+Skills!N8</f>
        <v/>
      </c>
      <c r="G2998">
        <f>Calc!G8</f>
        <v/>
      </c>
      <c r="H2998">
        <f>Calc!H8</f>
        <v/>
      </c>
      <c r="I2998">
        <f>IF(Skills!T8&lt;&gt;"",1+(Skills!T8/10)*($Z$3/1000)/100,1)</f>
        <v/>
      </c>
      <c r="J2998">
        <f>((Inputs!$B$6*(1+Inputs!$B$7/100))+(((Inputs!$B$13*(1+Inputs!$B$14/100))-(Inputs!$B$13*(1+Inputs!$B$14/100)))+0.25*(Inputs!$B$15-Inputs!$B$15))*(1+Inputs!$B$7/100))*(F2998/100)</f>
        <v/>
      </c>
      <c r="K2998">
        <f>J2998*(1+(((Inputs!$B$13+IF(Inputs!$B$3&gt;=35,(10*INDEX(FactorTable!$B$2:$Y$301,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8="TRIUMPH_FEATHER",IF(C3006=TRUE,F3006,0),0)/100)*(1+IF(C3017=TRUE,F3017,0)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2998)</f>
        <v/>
      </c>
      <c r="L2998">
        <f>K2998*(MIN(Inputs!$B$23+(F3012-Calc!F22),(Inputs!$B$24+IF(ArtifactsInput!$M$15,CHOOSE(ArtifactsInput!$N$15+1,25,30,35,40,45,50)/100*(Inputs!$B$12-Inputs!$B$12),0)))/100+(Inputs!$B$24+IF(ArtifactsInput!$M$15,CHOOSE(ArtifactsInput!$N$15+1,25,30,35,40,45,50)/100*(Inputs!$B$12-Inputs!$B$12),0))/100)/2</f>
        <v/>
      </c>
      <c r="M2998">
        <f>L2998*(1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8">
        <f>L2998*(1-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2998*(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8">
        <f>(1-Summary!$B$11)*S2998+Summary!$B$11*U2998</f>
        <v/>
      </c>
      <c r="P2998">
        <f>IF(B3032=0,0,O2998/B3032)</f>
        <v/>
      </c>
      <c r="Q2998">
        <f>IFERROR(1/(IF(Inputs!$B$39="pvp",15,MAX(0.1,Skills!D8-IF(Skills!E8=TRUE,2.0,0)))*(1-IF(AND(ArtifactsInput!$M$27,Inputs!$B$4="Chapter Hunt"),CHOOSE(ArtifactsInput!$N$27+1,20,24,28,32,36,40),0)/100)),0)</f>
        <v/>
      </c>
      <c r="R2998">
        <f>IF(AND(Inputs!$B$39&lt;&gt;"pvp",Inputs!$B$44&gt;0),IF(MAX(0,Inputs!$B$44-B3029)&lt;=0,0,(INT(MAX(0,Inputs!$B$44-B3029)/(IF(Inputs!$B$39="pvp",15,MAX(0.1,Skills!D8-IF(Skills!E8=TRUE,2.0,0)))*(1-IF(AND(ArtifactsInput!$M$27,Inputs!$B$4="Chapter Hunt"),CHOOSE(ArtifactsInput!$N$27+1,20,24,28,32,36,40),0)/100)))+1)),0)</f>
        <v/>
      </c>
      <c r="S2998">
        <f>IF(C2998,(H2998*N2998*IF(AND(Inputs!$B$39&lt;&gt;"pvp",Inputs!$B$44&gt;0),((Skills!F8*((R2998-1)*IF(Skills!G8&gt;0,Skills!H8/Skills!G8,1)+IF(Skills!G8&gt;0,MIN(Skills!H8,MAX(0,MAX(0,Inputs!$B$44-B3029)-((R2998-1)*(IF(Inputs!$B$39="pvp",15,MAX(0.1,Skills!D8-IF(Skills!E8=TRUE,2.0,0)))*(1-IF(AND(ArtifactsInput!$M$27,Inputs!$B$4="Chapter Hunt"),CHOOSE(ArtifactsInput!$N$27+1,20,24,28,32,36,40),0)/100)))))/Skills!G8,1)))/Inputs!$B$44),G2998*Q2998))*IF(Inputs!$B$39="pvp",1,1+(Inputs!$B$21+Skills!O8+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2998*(1-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2998*(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2998*(1-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2998*(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8">
        <f>IF(C2998,(H2998*N2998*IF(AND(Inputs!$B$39&lt;&gt;"pvp",Inputs!$B$44&gt;0),((Skills!F8*((R2998-1)*IF(Skills!G8&gt;0,Skills!H8/Skills!G8,1)+IF(Skills!G8&gt;0,MIN(Skills!H8,MAX(0,MAX(0,Inputs!$B$44-B3029)-((R2998-1)*(IF(Inputs!$B$39="pvp",15,MAX(0.1,Skills!D8-IF(Skills!E8=TRUE,2.0,0)))*(1-IF(AND(ArtifactsInput!$M$27,Inputs!$B$4="Chapter Hunt"),CHOOSE(ArtifactsInput!$N$27+1,20,24,28,32,36,40),0)/100)))))/Skills!G8,1)))/Inputs!$B$44),G2998*Q2998))*IF(Inputs!$B$39="pvp",1,(1+(Inputs!$B$22+Skills!P8+B3021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9">
      <c r="A2999">
        <f>Skills!A9</f>
        <v/>
      </c>
      <c r="B2999">
        <f>Skills!B9</f>
        <v/>
      </c>
      <c r="C2999">
        <f>Inputs!$B$3&gt;=115</f>
        <v/>
      </c>
      <c r="D2999">
        <f>IF(Skills!C9=1,60+Inputs!$B$26+Inputs!$B$30,IF(Skills!C9=2,90+Inputs!$B$27+Inputs!$B$30,IF(Skills!C9=3,120+Inputs!$B$28+Inputs!$B$30,MAX(0,(Inputs!$B$3-100)*3)+Inputs!$B$29+Inputs!$B$30)))</f>
        <v/>
      </c>
      <c r="E2999">
        <f>INDEX(FactorTable!$B$2:$Y$301, MATCH(ROUND(MIN(300,MAX(1,D2999)),0), FactorTable!$A$2:$A$301,0), Skills!L9+1)</f>
        <v/>
      </c>
      <c r="F2999">
        <f>IF(Skills!M9=TRUE,(Skills!K9/10)*(E2999/1000),Skills!K9/10)+Skills!N9</f>
        <v/>
      </c>
      <c r="G2999">
        <f>Calc!G9</f>
        <v/>
      </c>
      <c r="H2999">
        <f>Calc!H9</f>
        <v/>
      </c>
      <c r="I2999">
        <f>IF(Skills!T9&lt;&gt;"",1+(Skills!T9/10)*($Z$3/1000)/100,1)</f>
        <v/>
      </c>
      <c r="J2999">
        <f>((Inputs!$B$6*(1+Inputs!$B$7/100))+(((Inputs!$B$13*(1+Inputs!$B$14/100))-(Inputs!$B$13*(1+Inputs!$B$14/100)))+0.25*(Inputs!$B$15-Inputs!$B$15))*(1+Inputs!$B$7/100))*(F2999/100)</f>
        <v/>
      </c>
      <c r="K2999">
        <f>J2999*(1+(((Inputs!$B$13+IF(Inputs!$B$3&gt;=35,(10*INDEX(FactorTable!$B$2:$Y$301,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9="TRIUMPH_FEATHER",IF(C3006=TRUE,F3006,0),0)/100)*(1+IF(C3017=TRUE,F3017,0)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2999)</f>
        <v/>
      </c>
      <c r="L2999">
        <f>K2999*(MIN(Inputs!$B$23+(F3012-Calc!F22),(Inputs!$B$24+IF(ArtifactsInput!$M$15,CHOOSE(ArtifactsInput!$N$15+1,25,30,35,40,45,50)/100*(Inputs!$B$12-Inputs!$B$12),0)))/100+(Inputs!$B$24+IF(ArtifactsInput!$M$15,CHOOSE(ArtifactsInput!$N$15+1,25,30,35,40,45,50)/100*(Inputs!$B$12-Inputs!$B$12),0))/100)/2</f>
        <v/>
      </c>
      <c r="M2999">
        <f>L2999*(1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9">
        <f>L2999*(1-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2999*(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9">
        <f>(1-Summary!$B$11)*S2999+Summary!$B$11*U2999</f>
        <v/>
      </c>
      <c r="P2999">
        <f>IF(B3032=0,0,O2999/B3032)</f>
        <v/>
      </c>
      <c r="Q2999">
        <f>IFERROR(1/(IF(Inputs!$B$39="pvp",15,MAX(0.1,Skills!D9-IF(Skills!E9=TRUE,2.0,0)))*(1-IF(AND(ArtifactsInput!$M$27,Inputs!$B$4="Chapter Hunt"),CHOOSE(ArtifactsInput!$N$27+1,20,24,28,32,36,40),0)/100)),0)</f>
        <v/>
      </c>
      <c r="R2999">
        <f>IF(AND(Inputs!$B$39&lt;&gt;"pvp",Inputs!$B$44&gt;0),IF(MAX(0,Inputs!$B$44-B3029)&lt;=0,0,(INT(MAX(0,Inputs!$B$44-B3029)/(IF(Inputs!$B$39="pvp",15,MAX(0.1,Skills!D9-IF(Skills!E9=TRUE,2.0,0)))*(1-IF(AND(ArtifactsInput!$M$27,Inputs!$B$4="Chapter Hunt"),CHOOSE(ArtifactsInput!$N$27+1,20,24,28,32,36,40),0)/100)))+1)),0)</f>
        <v/>
      </c>
      <c r="S2999">
        <f>IF(C2999,(H2999*N2999*IF(AND(Inputs!$B$39&lt;&gt;"pvp",Inputs!$B$44&gt;0),((Skills!F9*((R2999-1)*IF(Skills!G9&gt;0,Skills!H9/Skills!G9,1)+IF(Skills!G9&gt;0,MIN(Skills!H9,MAX(0,MAX(0,Inputs!$B$44-B3029)-((R2999-1)*(IF(Inputs!$B$39="pvp",15,MAX(0.1,Skills!D9-IF(Skills!E9=TRUE,2.0,0)))*(1-IF(AND(ArtifactsInput!$M$27,Inputs!$B$4="Chapter Hunt"),CHOOSE(ArtifactsInput!$N$27+1,20,24,28,32,36,40),0)/100)))))/Skills!G9,1)))/Inputs!$B$44),G2999*Q2999))*IF(Inputs!$B$39="pvp",1,1+(Inputs!$B$21+Skills!O9+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2999*(1-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2999*(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2999*(1-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2999*(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9">
        <f>IF(C2999,(H2999*N2999*IF(AND(Inputs!$B$39&lt;&gt;"pvp",Inputs!$B$44&gt;0),((Skills!F9*((R2999-1)*IF(Skills!G9&gt;0,Skills!H9/Skills!G9,1)+IF(Skills!G9&gt;0,MIN(Skills!H9,MAX(0,MAX(0,Inputs!$B$44-B3029)-((R2999-1)*(IF(Inputs!$B$39="pvp",15,MAX(0.1,Skills!D9-IF(Skills!E9=TRUE,2.0,0)))*(1-IF(AND(ArtifactsInput!$M$27,Inputs!$B$4="Chapter Hunt"),CHOOSE(ArtifactsInput!$N$27+1,20,24,28,32,36,40),0)/100)))))/Skills!G9,1)))/Inputs!$B$44),G2999*Q2999))*IF(Inputs!$B$39="pvp",1,(1+(Inputs!$B$22+Skills!P9+B3021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0">
      <c r="A3000">
        <f>Skills!A10</f>
        <v/>
      </c>
      <c r="B3000">
        <f>Skills!B10</f>
        <v/>
      </c>
      <c r="C3000">
        <f>Inputs!$B$3&gt;=66</f>
        <v/>
      </c>
      <c r="D3000">
        <f>IF(Skills!C10=1,60+Inputs!$B$26+Inputs!$B$30,IF(Skills!C10=2,90+Inputs!$B$27+Inputs!$B$30,IF(Skills!C10=3,120+Inputs!$B$28+Inputs!$B$30,MAX(0,(Inputs!$B$3-100)*3)+Inputs!$B$29+Inputs!$B$30)))</f>
        <v/>
      </c>
      <c r="E3000">
        <f>INDEX(FactorTable!$B$2:$Y$301, MATCH(ROUND(MIN(300,MAX(1,D3000)),0), FactorTable!$A$2:$A$301,0), Skills!L10+1)</f>
        <v/>
      </c>
      <c r="F3000" t="n">
        <v>0</v>
      </c>
      <c r="G3000">
        <f>Calc!G10</f>
        <v/>
      </c>
      <c r="H3000">
        <f>Calc!H10</f>
        <v/>
      </c>
      <c r="I3000">
        <f>IF(Skills!T10&lt;&gt;"",1+(Skills!T10/10)*($Z$3/1000)/100,1)</f>
        <v/>
      </c>
      <c r="J3000" t="inlineStr"/>
      <c r="K3000" t="inlineStr"/>
      <c r="L3000" t="inlineStr"/>
      <c r="M3000" t="inlineStr"/>
      <c r="N3000" t="inlineStr"/>
      <c r="O3000">
        <f>(1-Summary!$B$11)*S3000+Summary!$B$11*U3000</f>
        <v/>
      </c>
      <c r="P3000">
        <f>IF(B3032=0,0,O3000/B3032)</f>
        <v/>
      </c>
      <c r="Q3000">
        <f>IFERROR(1/(IF(Inputs!$B$39="pvp",15,MAX(0.1,Skills!D10-IF(Skills!E10=TRUE,2.0,0)))*(1-IF(AND(ArtifactsInput!$M$27,Inputs!$B$4="Chapter Hunt"),CHOOSE(ArtifactsInput!$N$27+1,20,24,28,32,36,40),0)/100)),0)</f>
        <v/>
      </c>
      <c r="R3000">
        <f>IF(AND(Inputs!$B$39&lt;&gt;"pvp",Inputs!$B$44&gt;0),IF(MAX(0,Inputs!$B$44-B3029)&lt;=0,0,(INT(MAX(0,Inputs!$B$44-B3029)/(IF(Inputs!$B$39="pvp",15,MAX(0.1,Skills!D10-IF(Skills!E10=TRUE,2.0,0)))*(1-IF(AND(ArtifactsInput!$M$27,Inputs!$B$4="Chapter Hunt"),CHOOSE(ArtifactsInput!$N$27+1,20,24,28,32,36,40),0)/100)))+1)),0)</f>
        <v/>
      </c>
      <c r="S3000" t="n">
        <v>0</v>
      </c>
      <c r="U3000" t="n">
        <v>0</v>
      </c>
    </row>
    <row r="3001">
      <c r="A3001">
        <f>Skills!A11</f>
        <v/>
      </c>
      <c r="B3001">
        <f>Skills!B11</f>
        <v/>
      </c>
      <c r="C3001">
        <f>Inputs!$B$3&gt;=69</f>
        <v/>
      </c>
      <c r="D3001">
        <f>IF(Skills!C11=1,60+Inputs!$B$26+Inputs!$B$30,IF(Skills!C11=2,90+Inputs!$B$27+Inputs!$B$30,IF(Skills!C11=3,120+Inputs!$B$28+Inputs!$B$30,MAX(0,(Inputs!$B$3-100)*3)+Inputs!$B$29+Inputs!$B$30)))</f>
        <v/>
      </c>
      <c r="E3001">
        <f>INDEX(FactorTable!$B$2:$Y$301, MATCH(ROUND(MIN(300,MAX(1,D3001)),0), FactorTable!$A$2:$A$301,0), Skills!L11+1)</f>
        <v/>
      </c>
      <c r="F3001">
        <f>IF(Skills!M11=TRUE,(Skills!K11/10)*(E3001/1000),Skills!K11/10)+Skills!N11</f>
        <v/>
      </c>
      <c r="G3001">
        <f>Calc!G11</f>
        <v/>
      </c>
      <c r="H3001">
        <f>Calc!H11</f>
        <v/>
      </c>
      <c r="I3001">
        <f>IF(Skills!T11&lt;&gt;"",1+(Skills!T11/10)*($Z$3/1000)/100,1)</f>
        <v/>
      </c>
      <c r="J3001" t="inlineStr"/>
      <c r="K3001" t="inlineStr"/>
      <c r="L3001" t="inlineStr"/>
      <c r="M3001" t="inlineStr"/>
      <c r="N3001" t="inlineStr"/>
      <c r="O3001">
        <f>(1-Summary!$B$11)*S3001+Summary!$B$11*U3001</f>
        <v/>
      </c>
      <c r="P3001">
        <f>IF(B3032=0,0,O3001/B3032)</f>
        <v/>
      </c>
      <c r="Q3001">
        <f>IFERROR(1/(IF(Inputs!$B$39="pvp",15,MAX(0.1,Skills!D11-IF(Skills!E11=TRUE,2.0,0)))*(1-IF(AND(ArtifactsInput!$M$27,Inputs!$B$4="Chapter Hunt"),CHOOSE(ArtifactsInput!$N$27+1,20,24,28,32,36,40),0)/100)),0)</f>
        <v/>
      </c>
      <c r="R3001">
        <f>IF(AND(Inputs!$B$39&lt;&gt;"pvp",Inputs!$B$44&gt;0),IF(Inputs!$B$44&lt;=0,0,(INT(Inputs!$B$44/(IF(Inputs!$B$39="pvp",15,MAX(0.1,Skills!D11-IF(Skills!E11=TRUE,2.0,0)))*(1-IF(AND(ArtifactsInput!$M$27,Inputs!$B$4="Chapter Hunt"),CHOOSE(ArtifactsInput!$N$27+1,20,24,28,32,36,40),0)/100)))+1)),0)</f>
        <v/>
      </c>
      <c r="S3001" t="n">
        <v>0</v>
      </c>
      <c r="U3001" t="n">
        <v>0</v>
      </c>
    </row>
    <row r="3002">
      <c r="A3002">
        <f>Skills!A12</f>
        <v/>
      </c>
      <c r="B3002">
        <f>Skills!B12</f>
        <v/>
      </c>
      <c r="C3002">
        <f>Inputs!$B$3&gt;=72</f>
        <v/>
      </c>
      <c r="D3002">
        <f>IF(Skills!C12=1,60+Inputs!$B$26+Inputs!$B$30,IF(Skills!C12=2,90+Inputs!$B$27+Inputs!$B$30,IF(Skills!C12=3,120+Inputs!$B$28+Inputs!$B$30,MAX(0,(Inputs!$B$3-100)*3)+Inputs!$B$29+Inputs!$B$30)))</f>
        <v/>
      </c>
      <c r="E3002">
        <f>INDEX(FactorTable!$B$2:$Y$301, MATCH(ROUND(MIN(300,MAX(1,D3002)),0), FactorTable!$A$2:$A$301,0), Skills!L12+1)</f>
        <v/>
      </c>
      <c r="F3002">
        <f>IF(Skills!M12=TRUE,(Skills!K12/10)*(E3002/1000),Skills!K12/10)+Skills!N12</f>
        <v/>
      </c>
      <c r="G3002">
        <f>Calc!G12</f>
        <v/>
      </c>
      <c r="H3002">
        <f>Calc!H12</f>
        <v/>
      </c>
      <c r="I3002">
        <f>IF(Skills!T12&lt;&gt;"",1+(Skills!T12/10)*($Z$3/1000)/100,1)</f>
        <v/>
      </c>
      <c r="J3002" t="inlineStr"/>
      <c r="K3002" t="inlineStr"/>
      <c r="L3002" t="inlineStr"/>
      <c r="M3002" t="inlineStr"/>
      <c r="N3002" t="inlineStr"/>
      <c r="O3002">
        <f>(1-Summary!$B$11)*S3002+Summary!$B$11*U3002</f>
        <v/>
      </c>
      <c r="P3002">
        <f>IF(B3032=0,0,O3002/B3032)</f>
        <v/>
      </c>
      <c r="Q3002">
        <f>IFERROR(1/(IF(Inputs!$B$39="pvp",15,MAX(0.1,Skills!D12-IF(Skills!E12=TRUE,2.0,0)))*(1-IF(AND(ArtifactsInput!$M$27,Inputs!$B$4="Chapter Hunt"),CHOOSE(ArtifactsInput!$N$27+1,20,24,28,32,36,40),0)/100)),0)</f>
        <v/>
      </c>
      <c r="R3002">
        <f>IF(AND(Inputs!$B$39&lt;&gt;"pvp",Inputs!$B$44&gt;0),IF(MAX(0,Inputs!$B$44-B3029)&lt;=0,0,(INT(MAX(0,Inputs!$B$44-B3029)/(IF(Inputs!$B$39="pvp",15,MAX(0.1,Skills!D12-IF(Skills!E12=TRUE,2.0,0)))*(1-IF(AND(ArtifactsInput!$M$27,Inputs!$B$4="Chapter Hunt"),CHOOSE(ArtifactsInput!$N$27+1,20,24,28,32,36,40),0)/100)))+1)),0)</f>
        <v/>
      </c>
      <c r="S3002" t="n">
        <v>0</v>
      </c>
      <c r="U3002" t="n">
        <v>0</v>
      </c>
    </row>
    <row r="3003">
      <c r="A3003">
        <f>Skills!A13</f>
        <v/>
      </c>
      <c r="B3003">
        <f>Skills!B13</f>
        <v/>
      </c>
      <c r="C3003">
        <f>Inputs!$B$3&gt;=60</f>
        <v/>
      </c>
      <c r="D3003">
        <f>IF(Skills!C13=1,60+Inputs!$B$26+Inputs!$B$30,IF(Skills!C13=2,90+Inputs!$B$27+Inputs!$B$30,IF(Skills!C13=3,120+Inputs!$B$28+Inputs!$B$30,MAX(0,(Inputs!$B$3-100)*3)+Inputs!$B$29+Inputs!$B$30)))</f>
        <v/>
      </c>
      <c r="E3003">
        <f>INDEX(FactorTable!$B$2:$Y$301, MATCH(ROUND(MIN(300,MAX(1,D3003)),0), FactorTable!$A$2:$A$301,0), Skills!L13+1)</f>
        <v/>
      </c>
      <c r="F3003">
        <f>IF(Skills!M13=TRUE,(Skills!K13/10)*(E3003/1000),Skills!K13/10)+Skills!N13</f>
        <v/>
      </c>
      <c r="G3003">
        <f>Calc!G13</f>
        <v/>
      </c>
      <c r="H3003">
        <f>Calc!H13</f>
        <v/>
      </c>
      <c r="I3003">
        <f>IF(Skills!T13&lt;&gt;"",1+(Skills!T13/10)*($Z$3/1000)/100,1)</f>
        <v/>
      </c>
      <c r="J3003" t="inlineStr"/>
      <c r="K3003" t="inlineStr"/>
      <c r="L3003" t="inlineStr"/>
      <c r="M3003" t="inlineStr"/>
      <c r="N3003" t="inlineStr"/>
      <c r="O3003">
        <f>(1-Summary!$B$11)*S3003+Summary!$B$11*U3003</f>
        <v/>
      </c>
      <c r="P3003">
        <f>IF(B3032=0,0,O3003/B3032)</f>
        <v/>
      </c>
      <c r="Q3003">
        <f>IFERROR(1/(IF(Inputs!$B$39="pvp",15,MAX(0.1,Skills!D13-IF(Skills!E13=TRUE,2.0,0)))*(1-IF(AND(ArtifactsInput!$M$27,Inputs!$B$4="Chapter Hunt"),CHOOSE(ArtifactsInput!$N$27+1,20,24,28,32,36,40),0)/100)),0)</f>
        <v/>
      </c>
      <c r="R3003">
        <f>IF(AND(Inputs!$B$39&lt;&gt;"pvp",Inputs!$B$44&gt;0),IF(MAX(0,Inputs!$B$44-B3029)&lt;=0,0,(INT(MAX(0,Inputs!$B$44-B3029)/(IF(Inputs!$B$39="pvp",15,MAX(0.1,Skills!D13-IF(Skills!E13=TRUE,2.0,0)))*(1-IF(AND(ArtifactsInput!$M$27,Inputs!$B$4="Chapter Hunt"),CHOOSE(ArtifactsInput!$N$27+1,20,24,28,32,36,40),0)/100)))+1)),0)</f>
        <v/>
      </c>
      <c r="S3003" t="n">
        <v>0</v>
      </c>
      <c r="U3003" t="n">
        <v>0</v>
      </c>
    </row>
    <row r="3004">
      <c r="A3004">
        <f>Skills!A14</f>
        <v/>
      </c>
      <c r="B3004">
        <f>Skills!B14</f>
        <v/>
      </c>
      <c r="C3004">
        <f>Inputs!$B$3&gt;=107</f>
        <v/>
      </c>
      <c r="D3004">
        <f>IF(Skills!C14=1,60+Inputs!$B$26+Inputs!$B$30,IF(Skills!C14=2,90+Inputs!$B$27+Inputs!$B$30,IF(Skills!C14=3,120+Inputs!$B$28+Inputs!$B$30,MAX(0,(Inputs!$B$3-100)*3)+Inputs!$B$29+Inputs!$B$30)))</f>
        <v/>
      </c>
      <c r="E3004">
        <f>INDEX(FactorTable!$B$2:$Y$301, MATCH(ROUND(MIN(300,MAX(1,D3004)),0), FactorTable!$A$2:$A$301,0), Skills!L14+1)</f>
        <v/>
      </c>
      <c r="F3004">
        <f>IF(Skills!M14=TRUE,(Skills!K14/10)*(E3004/1000),Skills!K14/10)+Skills!N14</f>
        <v/>
      </c>
      <c r="G3004">
        <f>Calc!G14</f>
        <v/>
      </c>
      <c r="H3004">
        <f>Calc!H14</f>
        <v/>
      </c>
      <c r="I3004">
        <f>IF(Skills!T14&lt;&gt;"",1+(Skills!T14/10)*($Z$3/1000)/100,1)</f>
        <v/>
      </c>
      <c r="J3004" t="inlineStr"/>
      <c r="K3004" t="inlineStr"/>
      <c r="L3004" t="inlineStr"/>
      <c r="M3004" t="inlineStr"/>
      <c r="N3004" t="inlineStr"/>
      <c r="O3004">
        <f>(1-Summary!$B$11)*S3004+Summary!$B$11*U3004</f>
        <v/>
      </c>
      <c r="P3004">
        <f>IF(B3032=0,0,O3004/B3032)</f>
        <v/>
      </c>
      <c r="Q3004">
        <f>IFERROR(1/(IF(Inputs!$B$39="pvp",15,MAX(0.1,Skills!D14-IF(Skills!E14=TRUE,2.0,0)))*(1-IF(AND(ArtifactsInput!$M$27,Inputs!$B$4="Chapter Hunt"),CHOOSE(ArtifactsInput!$N$27+1,20,24,28,32,36,40),0)/100)),0)</f>
        <v/>
      </c>
      <c r="R3004">
        <f>IF(AND(Inputs!$B$39&lt;&gt;"pvp",Inputs!$B$44&gt;0),IF(Inputs!$B$44&lt;=0,0,(INT(Inputs!$B$44/(IF(Inputs!$B$39="pvp",15,MAX(0.1,Skills!D14-IF(Skills!E14=TRUE,2.0,0)))*(1-IF(AND(ArtifactsInput!$M$27,Inputs!$B$4="Chapter Hunt"),CHOOSE(ArtifactsInput!$N$27+1,20,24,28,32,36,40),0)/100)))+1)),0)</f>
        <v/>
      </c>
      <c r="S3004" t="n">
        <v>0</v>
      </c>
      <c r="U3004" t="n">
        <v>0</v>
      </c>
    </row>
    <row r="3005">
      <c r="A3005">
        <f>Skills!A15</f>
        <v/>
      </c>
      <c r="B3005">
        <f>Skills!B15</f>
        <v/>
      </c>
      <c r="C3005">
        <f>Inputs!$B$3&gt;=63</f>
        <v/>
      </c>
      <c r="D3005">
        <f>IF(Skills!C15=1,60+Inputs!$B$26+Inputs!$B$30,IF(Skills!C15=2,90+Inputs!$B$27+Inputs!$B$30,IF(Skills!C15=3,120+Inputs!$B$28+Inputs!$B$30,MAX(0,(Inputs!$B$3-100)*3)+Inputs!$B$29+Inputs!$B$30)))</f>
        <v/>
      </c>
      <c r="E3005">
        <f>INDEX(FactorTable!$B$2:$Y$301, MATCH(ROUND(MIN(300,MAX(1,D3005)),0), FactorTable!$A$2:$A$301,0), Skills!L15+1)</f>
        <v/>
      </c>
      <c r="F3005">
        <f>IF(Skills!M15=TRUE,(Skills!K15/10)*(E3005/1000),Skills!K15/10)+Skills!N15</f>
        <v/>
      </c>
      <c r="G3005">
        <f>Calc!G15</f>
        <v/>
      </c>
      <c r="H3005">
        <f>Calc!H15</f>
        <v/>
      </c>
      <c r="I3005">
        <f>IF(Skills!T15&lt;&gt;"",1+(Skills!T15/10)*($Z$3/1000)/100,1)</f>
        <v/>
      </c>
      <c r="J3005">
        <f>((Inputs!$B$6*(1+Inputs!$B$7/100))+(((Inputs!$B$13*(1+Inputs!$B$14/100))-(Inputs!$B$13*(1+Inputs!$B$14/100)))+0.25*(Inputs!$B$15-Inputs!$B$15))*(1+Inputs!$B$7/100))*(F3005/100)</f>
        <v/>
      </c>
      <c r="K3005">
        <f>J3005*(1+(((Inputs!$B$13+IF(Inputs!$B$3&gt;=35,(10*INDEX(FactorTable!$B$2:$Y$301,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15="TRIUMPH_FEATHER",IF(C3006=TRUE,F3006,0),0)/100)*(1+IF(C3017=TRUE,F3017,0)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3005)</f>
        <v/>
      </c>
      <c r="L3005">
        <f>K3005*(MIN(Inputs!$B$23+(F3012-Calc!F22),(Inputs!$B$24+IF(ArtifactsInput!$M$15,CHOOSE(ArtifactsInput!$N$15+1,25,30,35,40,45,50)/100*(Inputs!$B$12-Inputs!$B$12),0)))/100+(Inputs!$B$24+IF(ArtifactsInput!$M$15,CHOOSE(ArtifactsInput!$N$15+1,25,30,35,40,45,50)/100*(Inputs!$B$12-Inputs!$B$12),0))/100)/2</f>
        <v/>
      </c>
      <c r="M3005">
        <f>L3005*(1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05">
        <f>L3005*(1-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3005*(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05">
        <f>(1-Summary!$B$11)*S3005+Summary!$B$11*U3005</f>
        <v/>
      </c>
      <c r="P3005">
        <f>IF(B3032=0,0,O3005/B3032)</f>
        <v/>
      </c>
      <c r="Q3005">
        <f>IFERROR(1/(IF(Inputs!$B$39="pvp",15,MAX(0.1,Skills!D15-IF(Skills!E15=TRUE,2.0,0)))*(1-IF(AND(ArtifactsInput!$M$27,Inputs!$B$4="Chapter Hunt"),CHOOSE(ArtifactsInput!$N$27+1,20,24,28,32,36,40),0)/100)),0)</f>
        <v/>
      </c>
      <c r="R3005" t="n">
        <v>0</v>
      </c>
      <c r="S3005">
        <f>IF(C3005,(Skills!F15*N3005*((IF(Inputs!$B$3&gt;=78,25,15)/100*B3025*10)/(1+IF(Inputs!$B$3&gt;=78,25,15)/100*B3025*10))*(Skills!I15/100*B3025)/(1+Skills!G15*Skills!I15/100*B3025))*IF(Inputs!$B$39="pvp",1,1+(Inputs!$B$21+Skills!O15+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3005*(1-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3005*(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3005*(1-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3005*(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05">
        <f>IF(C3005,(Skills!F15*N3005*((IF(Inputs!$B$3&gt;=78,25,15)/100*B3025*10)/(1+IF(Inputs!$B$3&gt;=78,25,15)/100*B3025*10))*(Skills!I15/100*B3025)/(1+Skills!G15*Skills!I15/100*B3025))*IF(Inputs!$B$39="pvp",1,(1+(Inputs!$B$22+Skills!P15+B3021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6">
      <c r="A3006">
        <f>Skills!A16</f>
        <v/>
      </c>
      <c r="B3006">
        <f>Skills!B16</f>
        <v/>
      </c>
      <c r="C3006">
        <f>Inputs!$B$3&gt;=100</f>
        <v/>
      </c>
      <c r="D3006">
        <f>IF(Skills!C16=1,60+Inputs!$B$26+Inputs!$B$30,IF(Skills!C16=2,90+Inputs!$B$27+Inputs!$B$30,IF(Skills!C16=3,120+Inputs!$B$28+Inputs!$B$30,MAX(0,(Inputs!$B$3-100)*3)+Inputs!$B$29+Inputs!$B$30)))</f>
        <v/>
      </c>
      <c r="E3006">
        <f>INDEX(FactorTable!$B$2:$Y$301, MATCH(ROUND(MIN(300,MAX(1,D3006)),0), FactorTable!$A$2:$A$301,0), Skills!L16+1)</f>
        <v/>
      </c>
      <c r="F3006">
        <f>IF(Skills!M16=TRUE,(Skills!K16/10)*(E3006/1000),Skills!K16/10)+Skills!N16</f>
        <v/>
      </c>
      <c r="G3006">
        <f>Calc!G16</f>
        <v/>
      </c>
      <c r="H3006">
        <f>Calc!H16</f>
        <v/>
      </c>
      <c r="I3006">
        <f>IF(Skills!T16&lt;&gt;"",1+(Skills!T16/10)*($Z$3/1000)/100,1)</f>
        <v/>
      </c>
      <c r="J3006" t="inlineStr"/>
      <c r="K3006" t="inlineStr"/>
      <c r="L3006" t="inlineStr"/>
      <c r="M3006" t="inlineStr"/>
      <c r="N3006" t="inlineStr"/>
      <c r="O3006">
        <f>(1-Summary!$B$11)*S3006+Summary!$B$11*U3006</f>
        <v/>
      </c>
      <c r="P3006">
        <f>IF(B3032=0,0,O3006/B3032)</f>
        <v/>
      </c>
      <c r="Q3006">
        <f>IFERROR(1/(IF(Inputs!$B$39="pvp",15,MAX(0.1,Skills!D16-IF(Skills!E16=TRUE,2.0,0)))*(1-IF(AND(ArtifactsInput!$M$27,Inputs!$B$4="Chapter Hunt"),CHOOSE(ArtifactsInput!$N$27+1,20,24,28,32,36,40),0)/100)),0)</f>
        <v/>
      </c>
      <c r="R3006" t="n">
        <v>0</v>
      </c>
      <c r="S3006" t="n">
        <v>0</v>
      </c>
      <c r="U3006" t="n">
        <v>0</v>
      </c>
    </row>
    <row r="3007">
      <c r="A3007">
        <f>Skills!A17</f>
        <v/>
      </c>
      <c r="B3007">
        <f>Skills!B17</f>
        <v/>
      </c>
      <c r="C3007">
        <f>Inputs!$B$3&gt;=49</f>
        <v/>
      </c>
      <c r="D3007">
        <f>IF(Skills!C17=1,60+Inputs!$B$26+Inputs!$B$30,IF(Skills!C17=2,90+Inputs!$B$27+Inputs!$B$30,IF(Skills!C17=3,120+Inputs!$B$28+Inputs!$B$30,MAX(0,(Inputs!$B$3-100)*3)+Inputs!$B$29+Inputs!$B$30)))</f>
        <v/>
      </c>
      <c r="E3007">
        <f>INDEX(FactorTable!$B$2:$Y$301, MATCH(ROUND(MIN(300,MAX(1,D3007)),0), FactorTable!$A$2:$A$301,0), Skills!L17+1)</f>
        <v/>
      </c>
      <c r="F3007">
        <f>IF(Skills!M17=TRUE,(Skills!K17/10)*(E3007/1000),Skills!K17/10)+Skills!N17</f>
        <v/>
      </c>
      <c r="G3007">
        <f>Calc!G17</f>
        <v/>
      </c>
      <c r="H3007">
        <f>Calc!H17</f>
        <v/>
      </c>
      <c r="I3007">
        <f>IF(Skills!T17&lt;&gt;"",1+(Skills!T17/10)*($Z$3/1000)/100,1)</f>
        <v/>
      </c>
      <c r="J3007" t="inlineStr"/>
      <c r="K3007" t="inlineStr"/>
      <c r="L3007" t="inlineStr"/>
      <c r="M3007" t="inlineStr"/>
      <c r="N3007" t="inlineStr"/>
      <c r="O3007">
        <f>(1-Summary!$B$11)*S3007+Summary!$B$11*U3007</f>
        <v/>
      </c>
      <c r="P3007">
        <f>IF(B3032=0,0,O3007/B3032)</f>
        <v/>
      </c>
      <c r="Q3007">
        <f>IFERROR(1/(IF(Inputs!$B$39="pvp",15,MAX(0.1,Skills!D17-IF(Skills!E17=TRUE,2.0,0)))*(1-IF(AND(ArtifactsInput!$M$27,Inputs!$B$4="Chapter Hunt"),CHOOSE(ArtifactsInput!$N$27+1,20,24,28,32,36,40),0)/100)),0)</f>
        <v/>
      </c>
      <c r="R3007" t="n">
        <v>0</v>
      </c>
      <c r="S3007" t="n">
        <v>0</v>
      </c>
      <c r="U3007" t="n">
        <v>0</v>
      </c>
    </row>
    <row r="3008">
      <c r="A3008">
        <f>Skills!A18</f>
        <v/>
      </c>
      <c r="B3008">
        <f>Skills!B18</f>
        <v/>
      </c>
      <c r="C3008">
        <f>Inputs!$B$3&gt;=75</f>
        <v/>
      </c>
      <c r="D3008">
        <f>IF(Skills!C18=1,60+Inputs!$B$26+Inputs!$B$30,IF(Skills!C18=2,90+Inputs!$B$27+Inputs!$B$30,IF(Skills!C18=3,120+Inputs!$B$28+Inputs!$B$30,MAX(0,(Inputs!$B$3-100)*3)+Inputs!$B$29+Inputs!$B$30)))</f>
        <v/>
      </c>
      <c r="E3008">
        <f>INDEX(FactorTable!$B$2:$Y$301, MATCH(ROUND(MIN(300,MAX(1,D3008)),0), FactorTable!$A$2:$A$301,0), Skills!L18+1)</f>
        <v/>
      </c>
      <c r="F3008">
        <f>IF(Skills!M18=TRUE,(Skills!K18/10)*(E3008/1000),Skills!K18/10)+Skills!N18</f>
        <v/>
      </c>
      <c r="G3008">
        <f>Calc!G18</f>
        <v/>
      </c>
      <c r="H3008">
        <f>Calc!H18</f>
        <v/>
      </c>
      <c r="I3008">
        <f>IF(Skills!T18&lt;&gt;"",1+(Skills!T18/10)*($Z$3/1000)/100,1)</f>
        <v/>
      </c>
      <c r="J3008" t="inlineStr"/>
      <c r="K3008" t="inlineStr"/>
      <c r="L3008" t="inlineStr"/>
      <c r="M3008" t="inlineStr"/>
      <c r="N3008" t="inlineStr"/>
      <c r="O3008">
        <f>(1-Summary!$B$11)*S3008+Summary!$B$11*U3008</f>
        <v/>
      </c>
      <c r="P3008">
        <f>IF(B3032=0,0,O3008/B3032)</f>
        <v/>
      </c>
      <c r="Q3008">
        <f>IFERROR(1/(IF(Inputs!$B$39="pvp",15,MAX(0.1,Skills!D18-IF(Skills!E18=TRUE,2.0,0)))*(1-IF(AND(ArtifactsInput!$M$27,Inputs!$B$4="Chapter Hunt"),CHOOSE(ArtifactsInput!$N$27+1,20,24,28,32,36,40),0)/100)),0)</f>
        <v/>
      </c>
      <c r="R3008" t="n">
        <v>0</v>
      </c>
      <c r="S3008" t="n">
        <v>0</v>
      </c>
      <c r="U3008" t="n">
        <v>0</v>
      </c>
    </row>
    <row r="3009">
      <c r="A3009">
        <f>Skills!A19</f>
        <v/>
      </c>
      <c r="B3009">
        <f>Skills!B19</f>
        <v/>
      </c>
      <c r="C3009">
        <f>Inputs!$B$3&gt;=110</f>
        <v/>
      </c>
      <c r="D3009">
        <f>IF(Skills!C19=1,60+Inputs!$B$26+Inputs!$B$30,IF(Skills!C19=2,90+Inputs!$B$27+Inputs!$B$30,IF(Skills!C19=3,120+Inputs!$B$28+Inputs!$B$30,MAX(0,(Inputs!$B$3-100)*3)+Inputs!$B$29+Inputs!$B$30)))</f>
        <v/>
      </c>
      <c r="E3009">
        <f>INDEX(FactorTable!$B$2:$Y$301, MATCH(ROUND(MIN(300,MAX(1,D3009)),0), FactorTable!$A$2:$A$301,0), Skills!L19+1)</f>
        <v/>
      </c>
      <c r="F3009">
        <f>(Skills!K19/10)*(E3009/1000)*64/45+Skills!N19</f>
        <v/>
      </c>
      <c r="G3009">
        <f>Calc!G19</f>
        <v/>
      </c>
      <c r="H3009">
        <f>Calc!H19</f>
        <v/>
      </c>
      <c r="I3009">
        <f>IF(Skills!T19&lt;&gt;"",1+(Skills!T19/10)*($Z$3/1000)/100,1)</f>
        <v/>
      </c>
      <c r="J3009" t="inlineStr"/>
      <c r="K3009" t="inlineStr"/>
      <c r="L3009" t="inlineStr"/>
      <c r="M3009" t="inlineStr"/>
      <c r="N3009" t="inlineStr"/>
      <c r="O3009">
        <f>(1-Summary!$B$11)*S3009+Summary!$B$11*U3009</f>
        <v/>
      </c>
      <c r="P3009">
        <f>IF(B3032=0,0,O3009/B3032)</f>
        <v/>
      </c>
      <c r="Q3009">
        <f>IFERROR(1/(IF(Inputs!$B$39="pvp",15,MAX(0.1,Skills!D19-IF(Skills!E19=TRUE,2.0,0)))*(1-IF(AND(ArtifactsInput!$M$27,Inputs!$B$4="Chapter Hunt"),CHOOSE(ArtifactsInput!$N$27+1,20,24,28,32,36,40),0)/100)),0)</f>
        <v/>
      </c>
      <c r="R3009">
        <f>IF(AND(Inputs!$B$39&lt;&gt;"pvp",Inputs!$B$44&gt;0),IF(Inputs!$B$44&lt;=0,0,(INT(Inputs!$B$44/(IF(Inputs!$B$39="pvp",15,MAX(0.1,Skills!D19-IF(Skills!E19=TRUE,2.0,0)))*(1-IF(AND(ArtifactsInput!$M$27,Inputs!$B$4="Chapter Hunt"),CHOOSE(ArtifactsInput!$N$27+1,20,24,28,32,36,40),0)/100)))+1)),0)</f>
        <v/>
      </c>
      <c r="S3009" t="n">
        <v>0</v>
      </c>
      <c r="U3009" t="n">
        <v>0</v>
      </c>
    </row>
    <row r="3010">
      <c r="A3010">
        <f>Skills!A20</f>
        <v/>
      </c>
      <c r="B3010">
        <f>Skills!B20</f>
        <v/>
      </c>
      <c r="C3010">
        <f>Inputs!$B$3&gt;=125</f>
        <v/>
      </c>
      <c r="D3010">
        <f>IF(Skills!C20=1,60+Inputs!$B$26+Inputs!$B$30,IF(Skills!C20=2,90+Inputs!$B$27+Inputs!$B$30,IF(Skills!C20=3,120+Inputs!$B$28+Inputs!$B$30,MAX(0,(Inputs!$B$3-100)*3)+Inputs!$B$29+Inputs!$B$30)))</f>
        <v/>
      </c>
      <c r="E3010">
        <f>INDEX(FactorTable!$B$2:$Y$301, MATCH(ROUND(MIN(300,MAX(1,D3010)),0), FactorTable!$A$2:$A$301,0), Skills!L20+1)</f>
        <v/>
      </c>
      <c r="F3010">
        <f>IF(Skills!M20=TRUE,(Skills!K20/10)*(E3010/1000),Skills!K20/10)+Skills!N20</f>
        <v/>
      </c>
      <c r="G3010">
        <f>Calc!G20</f>
        <v/>
      </c>
      <c r="H3010">
        <f>Calc!H20</f>
        <v/>
      </c>
      <c r="I3010">
        <f>IF(Skills!T20&lt;&gt;"",1+(Skills!T20/10)*($Z$3/1000)/100,1)</f>
        <v/>
      </c>
      <c r="J3010" t="inlineStr"/>
      <c r="K3010" t="inlineStr"/>
      <c r="L3010" t="inlineStr"/>
      <c r="M3010" t="inlineStr"/>
      <c r="N3010" t="inlineStr"/>
      <c r="O3010">
        <f>(1-Summary!$B$11)*S3010+Summary!$B$11*U3010</f>
        <v/>
      </c>
      <c r="P3010">
        <f>IF(B3032=0,0,O3010/B3032)</f>
        <v/>
      </c>
      <c r="Q3010">
        <f>IFERROR(1/(IF(Inputs!$B$39="pvp",15,MAX(0.1,Skills!D20-IF(Skills!E20=TRUE,2.0,0)))*(1-IF(AND(ArtifactsInput!$M$27,Inputs!$B$4="Chapter Hunt"),CHOOSE(ArtifactsInput!$N$27+1,20,24,28,32,36,40),0)/100)),0)</f>
        <v/>
      </c>
      <c r="R3010" t="n">
        <v>0</v>
      </c>
      <c r="S3010" t="n">
        <v>0</v>
      </c>
      <c r="U3010" t="n">
        <v>0</v>
      </c>
    </row>
    <row r="3011">
      <c r="A3011">
        <f>Skills!A21</f>
        <v/>
      </c>
      <c r="B3011">
        <f>Skills!B21</f>
        <v/>
      </c>
      <c r="C3011">
        <f>Inputs!$B$3&gt;=33</f>
        <v/>
      </c>
      <c r="D3011">
        <f>IF(Skills!C21=1,60+Inputs!$B$26+Inputs!$B$30,IF(Skills!C21=2,90+Inputs!$B$27+Inputs!$B$30,IF(Skills!C21=3,120+Inputs!$B$28+Inputs!$B$30,MAX(0,(Inputs!$B$3-100)*3)+Inputs!$B$29+Inputs!$B$30)))</f>
        <v/>
      </c>
      <c r="E3011">
        <f>INDEX(FactorTable!$B$2:$Y$301, MATCH(ROUND(MIN(300,MAX(1,D3011)),0), FactorTable!$A$2:$A$301,0), Skills!L21+1)</f>
        <v/>
      </c>
      <c r="F3011">
        <f>IF(Skills!M21=TRUE,(Skills!K21/10)*(E3011/1000),Skills!K21/10)+Skills!N21</f>
        <v/>
      </c>
      <c r="G3011">
        <f>Calc!G21</f>
        <v/>
      </c>
      <c r="H3011">
        <f>Calc!H21</f>
        <v/>
      </c>
      <c r="I3011">
        <f>IF(Skills!T21&lt;&gt;"",1+(Skills!T21/10)*($Z$3/1000)/100,1)</f>
        <v/>
      </c>
      <c r="J3011" t="inlineStr"/>
      <c r="K3011" t="inlineStr"/>
      <c r="L3011" t="inlineStr"/>
      <c r="M3011" t="inlineStr"/>
      <c r="N3011" t="inlineStr"/>
      <c r="O3011">
        <f>(1-Summary!$B$11)*S3011+Summary!$B$11*U3011</f>
        <v/>
      </c>
      <c r="P3011">
        <f>IF(B3032=0,0,O3011/B3032)</f>
        <v/>
      </c>
      <c r="Q3011">
        <f>IFERROR(1/(IF(Inputs!$B$39="pvp",15,MAX(0.1,Skills!D21-IF(Skills!E21=TRUE,2.0,0)))*(1-IF(AND(ArtifactsInput!$M$27,Inputs!$B$4="Chapter Hunt"),CHOOSE(ArtifactsInput!$N$27+1,20,24,28,32,36,40),0)/100)),0)</f>
        <v/>
      </c>
      <c r="R3011" t="n">
        <v>0</v>
      </c>
      <c r="S3011" t="n">
        <v>0</v>
      </c>
      <c r="U3011" t="n">
        <v>0</v>
      </c>
    </row>
    <row r="3012">
      <c r="A3012">
        <f>Skills!A22</f>
        <v/>
      </c>
      <c r="B3012">
        <f>Skills!B22</f>
        <v/>
      </c>
      <c r="C3012">
        <f>Inputs!$B$3&gt;=43</f>
        <v/>
      </c>
      <c r="D3012">
        <f>IF(Skills!C22=1,60+Inputs!$B$26+Inputs!$B$30,IF(Skills!C22=2,90+Inputs!$B$27+Inputs!$B$30,IF(Skills!C22=3,120+Inputs!$B$28+Inputs!$B$30,MAX(0,(Inputs!$B$3-100)*3)+Inputs!$B$29+Inputs!$B$30)))</f>
        <v/>
      </c>
      <c r="E3012">
        <f>INDEX(FactorTable!$B$2:$Y$301, MATCH(ROUND(MIN(300,MAX(1,D3012)),0), FactorTable!$A$2:$A$301,0), Skills!L22+1)</f>
        <v/>
      </c>
      <c r="F3012">
        <f>IF(Skills!M22=TRUE,(Skills!K22/10)*(E3012/1000),Skills!K22/10)+Skills!N22</f>
        <v/>
      </c>
      <c r="G3012">
        <f>Calc!G22</f>
        <v/>
      </c>
      <c r="H3012">
        <f>Calc!H22</f>
        <v/>
      </c>
      <c r="I3012">
        <f>IF(Skills!T22&lt;&gt;"",1+(Skills!T22/10)*($Z$3/1000)/100,1)</f>
        <v/>
      </c>
      <c r="J3012" t="inlineStr"/>
      <c r="K3012" t="inlineStr"/>
      <c r="L3012" t="inlineStr"/>
      <c r="M3012" t="inlineStr"/>
      <c r="N3012" t="inlineStr"/>
      <c r="O3012">
        <f>(1-Summary!$B$11)*S3012+Summary!$B$11*U3012</f>
        <v/>
      </c>
      <c r="P3012">
        <f>IF(B3032=0,0,O3012/B3032)</f>
        <v/>
      </c>
      <c r="Q3012">
        <f>IFERROR(1/(IF(Inputs!$B$39="pvp",15,MAX(0.1,Skills!D22-IF(Skills!E22=TRUE,2.0,0)))*(1-IF(AND(ArtifactsInput!$M$27,Inputs!$B$4="Chapter Hunt"),CHOOSE(ArtifactsInput!$N$27+1,20,24,28,32,36,40),0)/100)),0)</f>
        <v/>
      </c>
      <c r="R3012" t="n">
        <v>0</v>
      </c>
      <c r="S3012" t="n">
        <v>0</v>
      </c>
      <c r="U3012" t="n">
        <v>0</v>
      </c>
    </row>
    <row r="3013">
      <c r="A3013">
        <f>Skills!A23</f>
        <v/>
      </c>
      <c r="B3013">
        <f>Skills!B23</f>
        <v/>
      </c>
      <c r="C3013">
        <f>Inputs!$B$3&gt;=50</f>
        <v/>
      </c>
      <c r="D3013">
        <f>IF(Skills!C23=1,60+Inputs!$B$26+Inputs!$B$30,IF(Skills!C23=2,90+Inputs!$B$27+Inputs!$B$30,IF(Skills!C23=3,120+Inputs!$B$28+Inputs!$B$30,MAX(0,(Inputs!$B$3-100)*3)+Inputs!$B$29+Inputs!$B$30)))</f>
        <v/>
      </c>
      <c r="E3013">
        <f>INDEX(FactorTable!$B$2:$Y$301, MATCH(ROUND(MIN(300,MAX(1,D3013)),0), FactorTable!$A$2:$A$301,0), Skills!L23+1)</f>
        <v/>
      </c>
      <c r="F3013">
        <f>IF(Skills!M23=TRUE,(Skills!K23/10)*(E3013/1000),Skills!K23/10)+Skills!N23</f>
        <v/>
      </c>
      <c r="G3013">
        <f>Calc!G23</f>
        <v/>
      </c>
      <c r="H3013">
        <f>Calc!H23</f>
        <v/>
      </c>
      <c r="I3013">
        <f>IF(Skills!T23&lt;&gt;"",1+(Skills!T23/10)*($Z$3/1000)/100,1)</f>
        <v/>
      </c>
      <c r="J3013" t="inlineStr"/>
      <c r="K3013" t="inlineStr"/>
      <c r="L3013" t="inlineStr"/>
      <c r="M3013" t="inlineStr"/>
      <c r="N3013" t="inlineStr"/>
      <c r="O3013">
        <f>(1-Summary!$B$11)*S3013+Summary!$B$11*U3013</f>
        <v/>
      </c>
      <c r="P3013">
        <f>IF(B3032=0,0,O3013/B3032)</f>
        <v/>
      </c>
      <c r="Q3013">
        <f>IFERROR(1/(IF(Inputs!$B$39="pvp",15,MAX(0.1,Skills!D23-IF(Skills!E23=TRUE,2.0,0)))*(1-IF(AND(ArtifactsInput!$M$27,Inputs!$B$4="Chapter Hunt"),CHOOSE(ArtifactsInput!$N$27+1,20,24,28,32,36,40),0)/100)),0)</f>
        <v/>
      </c>
      <c r="R3013" t="n">
        <v>0</v>
      </c>
      <c r="S3013" t="n">
        <v>0</v>
      </c>
      <c r="U3013" t="n">
        <v>0</v>
      </c>
    </row>
    <row r="3014">
      <c r="A3014">
        <f>Skills!A24</f>
        <v/>
      </c>
      <c r="B3014">
        <f>Skills!B24</f>
        <v/>
      </c>
      <c r="C3014">
        <f>Inputs!$B$3&gt;=74</f>
        <v/>
      </c>
      <c r="D3014">
        <f>IF(Skills!C24=1,60+Inputs!$B$26+Inputs!$B$30,IF(Skills!C24=2,90+Inputs!$B$27+Inputs!$B$30,IF(Skills!C24=3,120+Inputs!$B$28+Inputs!$B$30,MAX(0,(Inputs!$B$3-100)*3)+Inputs!$B$29+Inputs!$B$30)))</f>
        <v/>
      </c>
      <c r="E3014">
        <f>INDEX(FactorTable!$B$2:$Y$301, MATCH(ROUND(MIN(300,MAX(1,D3014)),0), FactorTable!$A$2:$A$301,0), Skills!L24+1)</f>
        <v/>
      </c>
      <c r="F3014">
        <f>IF(Skills!M24=TRUE,(Skills!K24/10)*(E3014/1000),Skills!K24/10)+Skills!N24</f>
        <v/>
      </c>
      <c r="G3014">
        <f>Calc!G24</f>
        <v/>
      </c>
      <c r="H3014">
        <f>Calc!H24</f>
        <v/>
      </c>
      <c r="I3014">
        <f>IF(Skills!T24&lt;&gt;"",1+(Skills!T24/10)*($Z$3/1000)/100,1)</f>
        <v/>
      </c>
      <c r="J3014" t="inlineStr"/>
      <c r="K3014" t="inlineStr"/>
      <c r="L3014" t="inlineStr"/>
      <c r="M3014" t="inlineStr"/>
      <c r="N3014" t="inlineStr"/>
      <c r="O3014">
        <f>(1-Summary!$B$11)*S3014+Summary!$B$11*U3014</f>
        <v/>
      </c>
      <c r="P3014">
        <f>IF(B3032=0,0,O3014/B3032)</f>
        <v/>
      </c>
      <c r="Q3014">
        <f>IFERROR(1/(IF(Inputs!$B$39="pvp",15,MAX(0.1,Skills!D24-IF(Skills!E24=TRUE,2.0,0)))*(1-IF(AND(ArtifactsInput!$M$27,Inputs!$B$4="Chapter Hunt"),CHOOSE(ArtifactsInput!$N$27+1,20,24,28,32,36,40),0)/100)),0)</f>
        <v/>
      </c>
      <c r="R3014" t="n">
        <v>0</v>
      </c>
      <c r="S3014" t="n">
        <v>0</v>
      </c>
      <c r="U3014" t="n">
        <v>0</v>
      </c>
    </row>
    <row r="3015">
      <c r="A3015">
        <f>Skills!A25</f>
        <v/>
      </c>
      <c r="B3015">
        <f>Skills!B25</f>
        <v/>
      </c>
      <c r="C3015">
        <f>Inputs!$B$3&gt;=74</f>
        <v/>
      </c>
      <c r="D3015">
        <f>IF(Skills!C25=1,60+Inputs!$B$26+Inputs!$B$30,IF(Skills!C25=2,90+Inputs!$B$27+Inputs!$B$30,IF(Skills!C25=3,120+Inputs!$B$28+Inputs!$B$30,MAX(0,(Inputs!$B$3-100)*3)+Inputs!$B$29+Inputs!$B$30)))</f>
        <v/>
      </c>
      <c r="E3015">
        <f>INDEX(FactorTable!$B$2:$Y$301, MATCH(ROUND(MIN(300,MAX(1,D3015)),0), FactorTable!$A$2:$A$301,0), Skills!L25+1)</f>
        <v/>
      </c>
      <c r="F3015">
        <f>IF(Skills!M25=TRUE,(Skills!K25/10)*(E3015/1000),Skills!K25/10)+Skills!N25</f>
        <v/>
      </c>
      <c r="G3015">
        <f>Calc!G25</f>
        <v/>
      </c>
      <c r="H3015">
        <f>Calc!H25</f>
        <v/>
      </c>
      <c r="I3015">
        <f>IF(Skills!T25&lt;&gt;"",1+(Skills!T25/10)*($Z$3/1000)/100,1)</f>
        <v/>
      </c>
      <c r="J3015" t="inlineStr"/>
      <c r="K3015" t="inlineStr"/>
      <c r="L3015" t="inlineStr"/>
      <c r="M3015" t="inlineStr"/>
      <c r="N3015" t="inlineStr"/>
      <c r="O3015">
        <f>(1-Summary!$B$11)*S3015+Summary!$B$11*U3015</f>
        <v/>
      </c>
      <c r="P3015">
        <f>IF(B3032=0,0,O3015/B3032)</f>
        <v/>
      </c>
      <c r="Q3015">
        <f>IFERROR(1/(IF(Inputs!$B$39="pvp",15,MAX(0.1,Skills!D25-IF(Skills!E25=TRUE,2.0,0)))*(1-IF(AND(ArtifactsInput!$M$27,Inputs!$B$4="Chapter Hunt"),CHOOSE(ArtifactsInput!$N$27+1,20,24,28,32,36,40),0)/100)),0)</f>
        <v/>
      </c>
      <c r="R3015" t="n">
        <v>0</v>
      </c>
      <c r="S3015" t="n">
        <v>0</v>
      </c>
      <c r="U3015" t="n">
        <v>0</v>
      </c>
    </row>
    <row r="3016">
      <c r="A3016">
        <f>Skills!A26</f>
        <v/>
      </c>
      <c r="B3016">
        <f>Skills!B26</f>
        <v/>
      </c>
      <c r="C3016">
        <f>Inputs!$B$3&gt;=117</f>
        <v/>
      </c>
      <c r="D3016">
        <f>IF(Skills!C26=1,60+Inputs!$B$26+Inputs!$B$30,IF(Skills!C26=2,90+Inputs!$B$27+Inputs!$B$30,IF(Skills!C26=3,120+Inputs!$B$28+Inputs!$B$30,MAX(0,(Inputs!$B$3-100)*3)+Inputs!$B$29+Inputs!$B$30)))</f>
        <v/>
      </c>
      <c r="E3016">
        <f>INDEX(FactorTable!$B$2:$Y$301, MATCH(ROUND(MIN(300,MAX(1,D3016)),0), FactorTable!$A$2:$A$301,0), Skills!L26+1)</f>
        <v/>
      </c>
      <c r="F3016">
        <f>IF(Skills!M26=TRUE,(Skills!K26/10)*(E3016/1000),Skills!K26/10)+Skills!N26</f>
        <v/>
      </c>
      <c r="G3016">
        <f>Calc!G26</f>
        <v/>
      </c>
      <c r="H3016">
        <f>Calc!H26</f>
        <v/>
      </c>
      <c r="I3016">
        <f>IF(Skills!T26&lt;&gt;"",1+(Skills!T26/10)*($Z$3/1000)/100,1)</f>
        <v/>
      </c>
      <c r="J3016" t="inlineStr"/>
      <c r="K3016" t="inlineStr"/>
      <c r="L3016" t="inlineStr"/>
      <c r="M3016" t="inlineStr"/>
      <c r="N3016" t="inlineStr"/>
      <c r="O3016">
        <f>(1-Summary!$B$11)*S3016+Summary!$B$11*U3016</f>
        <v/>
      </c>
      <c r="P3016">
        <f>IF(B3032=0,0,O3016/B3032)</f>
        <v/>
      </c>
      <c r="Q3016">
        <f>IFERROR(1/(IF(Inputs!$B$39="pvp",15,MAX(0.1,Skills!D26-IF(Skills!E26=TRUE,2.0,0)))*(1-IF(AND(ArtifactsInput!$M$27,Inputs!$B$4="Chapter Hunt"),CHOOSE(ArtifactsInput!$N$27+1,20,24,28,32,36,40),0)/100)),0)</f>
        <v/>
      </c>
      <c r="R3016" t="n">
        <v>0</v>
      </c>
      <c r="S3016" t="n">
        <v>0</v>
      </c>
      <c r="U3016" t="n">
        <v>0</v>
      </c>
    </row>
    <row r="3017">
      <c r="A3017">
        <f>Skills!A27</f>
        <v/>
      </c>
      <c r="B3017">
        <f>Skills!B27</f>
        <v/>
      </c>
      <c r="C3017">
        <f>Inputs!$B$3&gt;=120</f>
        <v/>
      </c>
      <c r="D3017">
        <f>IF(Skills!C27=1,60+Inputs!$B$26+Inputs!$B$30,IF(Skills!C27=2,90+Inputs!$B$27+Inputs!$B$30,IF(Skills!C27=3,120+Inputs!$B$28+Inputs!$B$30,MAX(0,(Inputs!$B$3-100)*3)+Inputs!$B$29+Inputs!$B$30)))</f>
        <v/>
      </c>
      <c r="E3017">
        <f>INDEX(FactorTable!$B$2:$Y$301, MATCH(ROUND(MIN(300,MAX(1,D3017)),0), FactorTable!$A$2:$A$301,0), Skills!L27+1)</f>
        <v/>
      </c>
      <c r="F3017">
        <f>IF(Skills!M27=TRUE,(Skills!K27/10)*(E3017/1000),Skills!K27/10)+Skills!N27</f>
        <v/>
      </c>
      <c r="G3017">
        <f>Calc!G27</f>
        <v/>
      </c>
      <c r="H3017">
        <f>Calc!H27</f>
        <v/>
      </c>
      <c r="I3017">
        <f>IF(Skills!T27&lt;&gt;"",1+(Skills!T27/10)*($Z$3/1000)/100,1)</f>
        <v/>
      </c>
      <c r="J3017" t="inlineStr"/>
      <c r="K3017" t="inlineStr"/>
      <c r="L3017" t="inlineStr"/>
      <c r="M3017" t="inlineStr"/>
      <c r="N3017" t="inlineStr"/>
      <c r="O3017">
        <f>(1-Summary!$B$11)*S3017+Summary!$B$11*U3017</f>
        <v/>
      </c>
      <c r="P3017">
        <f>IF(B3032=0,0,O3017/B3032)</f>
        <v/>
      </c>
      <c r="Q3017">
        <f>IFERROR(1/(IF(Inputs!$B$39="pvp",15,MAX(0.1,Skills!D27-IF(Skills!E27=TRUE,2.0,0)))*(1-IF(AND(ArtifactsInput!$M$27,Inputs!$B$4="Chapter Hunt"),CHOOSE(ArtifactsInput!$N$27+1,20,24,28,32,36,40),0)/100)),0)</f>
        <v/>
      </c>
      <c r="R3017" t="n">
        <v>0</v>
      </c>
      <c r="S3017" t="n">
        <v>0</v>
      </c>
      <c r="U3017" t="n">
        <v>0</v>
      </c>
    </row>
    <row r="3019">
      <c r="A3019" t="inlineStr">
        <is>
          <t>Average Buff Multiplier</t>
        </is>
      </c>
      <c r="B3019">
        <f>(1+(IF(C2993=TRUE,F2993*IF(AND(Inputs!$B$39&lt;&gt;"pvp",Inputs!$B$44&gt;0),(((R2993-1)*(Skills!S3*(1+((Inputs!$B$35+(ArtifactsInput!$M$7-ArtifactsInput!$M$7)*CHOOSE(ArtifactsInput!$N$7+1,6,7.2,8.4,9.6,10.8,12))+IF(Inputs!$B$3&gt;=117,F3016,0))/100))+MIN((Skills!S3*(1+((Inputs!$B$35+(ArtifactsInput!$M$7-ArtifactsInput!$M$7)*CHOOSE(ArtifactsInput!$N$7+1,6,7.2,8.4,9.6,10.8,12))+IF(Inputs!$B$3&gt;=117,F3016,0))/100)),MAX(0,Inputs!$B$44-((R2993-1)*Skills!D3))))/Inputs!$B$44),IF(Inputs!$B$39="pvp",MIN((Skills!S3*(1+((Inputs!$B$35+(ArtifactsInput!$M$7-ArtifactsInput!$M$7)*CHOOSE(ArtifactsInput!$N$7+1,6,7.2,8.4,9.6,10.8,12))+IF(Inputs!$B$3&gt;=117,F3016,0))/100)),15)/15,(Skills!S3*(1+((Inputs!$B$35+(ArtifactsInput!$M$7-ArtifactsInput!$M$7)*CHOOSE(ArtifactsInput!$N$7+1,6,7.2,8.4,9.6,10.8,12))+IF(Inputs!$B$3&gt;=117,F3016,0))/100))/Skills!D3)),0)+IF(C2994=TRUE,F2994*IF(AND(Inputs!$B$39&lt;&gt;"pvp",Inputs!$B$44&gt;0),(((R2994-1)*(Skills!S4*(1+((Inputs!$B$35+(ArtifactsInput!$M$7-ArtifactsInput!$M$7)*CHOOSE(ArtifactsInput!$N$7+1,6,7.2,8.4,9.6,10.8,12))+IF(Inputs!$B$3&gt;=117,F3016,0))/100))+MIN((Skills!S4*(1+((Inputs!$B$35+(ArtifactsInput!$M$7-ArtifactsInput!$M$7)*CHOOSE(ArtifactsInput!$N$7+1,6,7.2,8.4,9.6,10.8,12))+IF(Inputs!$B$3&gt;=117,F3016,0))/100)),MAX(0,Inputs!$B$44-((R2994-1)*Skills!D4))))/Inputs!$B$44),IF(Inputs!$B$39="pvp",MIN((Skills!S4*(1+((Inputs!$B$35+(ArtifactsInput!$M$7-ArtifactsInput!$M$7)*CHOOSE(ArtifactsInput!$N$7+1,6,7.2,8.4,9.6,10.8,12))+IF(Inputs!$B$3&gt;=117,F3016,0))/100)),15)/15,(Skills!S4*(1+((Inputs!$B$35+(ArtifactsInput!$M$7-ArtifactsInput!$M$7)*CHOOSE(ArtifactsInput!$N$7+1,6,7.2,8.4,9.6,10.8,12))+IF(Inputs!$B$3&gt;=117,F3016,0))/100))/Skills!D4)),0)+IF(C2995=TRUE,F2995*IF(AND(Inputs!$B$39&lt;&gt;"pvp",Inputs!$B$44&gt;0),(((R2995-1)*(Skills!S5*(1+((Inputs!$B$35+(ArtifactsInput!$M$7-ArtifactsInput!$M$7)*CHOOSE(ArtifactsInput!$N$7+1,6,7.2,8.4,9.6,10.8,12))+IF(Inputs!$B$3&gt;=117,F3016,0))/100))+MIN((Skills!S5*(1+((Inputs!$B$35+(ArtifactsInput!$M$7-ArtifactsInput!$M$7)*CHOOSE(ArtifactsInput!$N$7+1,6,7.2,8.4,9.6,10.8,12))+IF(Inputs!$B$3&gt;=117,F3016,0))/100)),MAX(0,Inputs!$B$44-((R2995-1)*Skills!D5))))/Inputs!$B$44),IF(Inputs!$B$39="pvp",MIN((Skills!S5*(1+((Inputs!$B$35+(ArtifactsInput!$M$7-ArtifactsInput!$M$7)*CHOOSE(ArtifactsInput!$N$7+1,6,7.2,8.4,9.6,10.8,12))+IF(Inputs!$B$3&gt;=117,F3016,0))/100)),15)/15,(Skills!S5*(1+((Inputs!$B$35+(ArtifactsInput!$M$7-ArtifactsInput!$M$7)*CHOOSE(ArtifactsInput!$N$7+1,6,7.2,8.4,9.6,10.8,12))+IF(Inputs!$B$3&gt;=117,F3016,0))/100))/Skills!D5)),0)+IF(C3001=TRUE,F3001*IF(AND(Inputs!$B$39&lt;&gt;"pvp",Inputs!$B$44&gt;0),(((R3001-1)*(Skills!S11*(1+((Inputs!$B$35+(ArtifactsInput!$M$7-ArtifactsInput!$M$7)*CHOOSE(ArtifactsInput!$N$7+1,6,7.2,8.4,9.6,10.8,12))+IF(Inputs!$B$3&gt;=117,F3016,0))/100))+MIN((Skills!S11*(1+((Inputs!$B$35+(ArtifactsInput!$M$7-ArtifactsInput!$M$7)*CHOOSE(ArtifactsInput!$N$7+1,6,7.2,8.4,9.6,10.8,12))+IF(Inputs!$B$3&gt;=117,F3016,0))/100)),MAX(0,Inputs!$B$44-((R3001-1)*Skills!D11))))/Inputs!$B$44),IF(Inputs!$B$39="pvp",MIN((Skills!S11*(1+((Inputs!$B$35+(ArtifactsInput!$M$7-ArtifactsInput!$M$7)*CHOOSE(ArtifactsInput!$N$7+1,6,7.2,8.4,9.6,10.8,12))+IF(Inputs!$B$3&gt;=117,F3016,0))/100)),15)/15,(Skills!S11*(1+((Inputs!$B$35+(ArtifactsInput!$M$7-ArtifactsInput!$M$7)*CHOOSE(ArtifactsInput!$N$7+1,6,7.2,8.4,9.6,10.8,12))+IF(Inputs!$B$3&gt;=117,F3016,0)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3004=TRUE,(1+F3004*IF(AND(Inputs!$B$39&lt;&gt;"pvp",Inputs!$B$44&gt;0),(((R3004-1)*(Skills!S14*(1+((Inputs!$B$35+(ArtifactsInput!$M$7-ArtifactsInput!$M$7)*CHOOSE(ArtifactsInput!$N$7+1,6,7.2,8.4,9.6,10.8,12))+IF(Inputs!$B$3&gt;=117,F3016,0))/100))+MIN((Skills!S14*(1+((Inputs!$B$35+(ArtifactsInput!$M$7-ArtifactsInput!$M$7)*CHOOSE(ArtifactsInput!$N$7+1,6,7.2,8.4,9.6,10.8,12))+IF(Inputs!$B$3&gt;=117,F3016,0))/100)),MAX(0,Inputs!$B$44-((R3004-1)*Skills!D14))))/Inputs!$B$44),IF(Inputs!$B$39="pvp",MIN((Skills!S14*(1+((Inputs!$B$35+(ArtifactsInput!$M$7-ArtifactsInput!$M$7)*CHOOSE(ArtifactsInput!$N$7+1,6,7.2,8.4,9.6,10.8,12))+IF(Inputs!$B$3&gt;=117,F3016,0))/100)),15)/15,(Skills!S14*(1+((Inputs!$B$35+(ArtifactsInput!$M$7-ArtifactsInput!$M$7)*CHOOSE(ArtifactsInput!$N$7+1,6,7.2,8.4,9.6,10.8,12))+IF(Inputs!$B$3&gt;=117,F3016,0))/100))/Skills!D14))/100),1)*IF(C3009=TRUE,(1+F3009*IF(AND(Inputs!$B$39&lt;&gt;"pvp",Inputs!$B$44&gt;0),(((R3009-1)*(Skills!S19*(1+((Inputs!$B$35+(ArtifactsInput!$M$7-ArtifactsInput!$M$7)*CHOOSE(ArtifactsInput!$N$7+1,6,7.2,8.4,9.6,10.8,12))+IF(Inputs!$B$3&gt;=117,F3016,0))/100))+MIN((Skills!S19*(1+((Inputs!$B$35+(ArtifactsInput!$M$7-ArtifactsInput!$M$7)*CHOOSE(ArtifactsInput!$N$7+1,6,7.2,8.4,9.6,10.8,12))+IF(Inputs!$B$3&gt;=117,F3016,0))/100)),MAX(0,Inputs!$B$44-((R3009-1)*Skills!D19))))/Inputs!$B$44),IF(Inputs!$B$39="pvp",MIN((Skills!S19*(1+((Inputs!$B$35+(ArtifactsInput!$M$7-ArtifactsInput!$M$7)*CHOOSE(ArtifactsInput!$N$7+1,6,7.2,8.4,9.6,10.8,12))+IF(Inputs!$B$3&gt;=117,F3016,0))/100)),15)/15,(Skills!S19*(1+((Inputs!$B$35+(ArtifactsInput!$M$7-ArtifactsInput!$M$7)*CHOOSE(ArtifactsInput!$N$7+1,6,7.2,8.4,9.6,10.8,12))+IF(Inputs!$B$3&gt;=117,F3016,0))/100))/Skills!D19))/100),1)</f>
        <v/>
      </c>
    </row>
    <row r="3020">
      <c r="A3020" t="inlineStr">
        <is>
          <t>Monster Damage Taken Bonus % (Holy Fountain)</t>
        </is>
      </c>
      <c r="B3020">
        <f>IF(Inputs!$B$3&gt;=68,20*IF(Inputs!$B$39="pvp",MIN((15*(1+((Inputs!$B$35+(ArtifactsInput!$M$7-ArtifactsInput!$M$7)*CHOOSE(ArtifactsInput!$N$7+1,6,7.2,8.4,9.6,10.8,12))+IF(Inputs!$B$3&gt;=117,F3016,0))/100)),15)/15,(15*(1+((Inputs!$B$35+(ArtifactsInput!$M$7-ArtifactsInput!$M$7)*CHOOSE(ArtifactsInput!$N$7+1,6,7.2,8.4,9.6,10.8,12))+IF(Inputs!$B$3&gt;=117,F3016,0))/100))/Skills!D10),0)</f>
        <v/>
      </c>
    </row>
    <row r="3021">
      <c r="A3021" t="inlineStr">
        <is>
          <t>Normal Monster Damage Bonus % (Holy Symbol)</t>
        </is>
      </c>
      <c r="B3021">
        <f>IF(C3002=TRUE,F3002*IF(AND(Inputs!$B$39&lt;&gt;"pvp",Inputs!$B$44&gt;0),(((R3002-1)*(Skills!S12*(1+((Inputs!$B$35+(ArtifactsInput!$M$7-ArtifactsInput!$M$7)*CHOOSE(ArtifactsInput!$N$7+1,6,7.2,8.4,9.6,10.8,12))+IF(Inputs!$B$3&gt;=117,F3016,0))/100))+MIN((Skills!S12*(1+((Inputs!$B$35+(ArtifactsInput!$M$7-ArtifactsInput!$M$7)*CHOOSE(ArtifactsInput!$N$7+1,6,7.2,8.4,9.6,10.8,12))+IF(Inputs!$B$3&gt;=117,F3016,0))/100)),MAX(0,Inputs!$B$44-((R3002-1)*Skills!D12))))/Inputs!$B$44),IF(Inputs!$B$39="pvp",MIN((Skills!S12*(1+((Inputs!$B$35+(ArtifactsInput!$M$7-ArtifactsInput!$M$7)*CHOOSE(ArtifactsInput!$N$7+1,6,7.2,8.4,9.6,10.8,12))+IF(Inputs!$B$3&gt;=117,F3016,0))/100)),15)/15,(Skills!S12*(1+((Inputs!$B$35+(ArtifactsInput!$M$7-ArtifactsInput!$M$7)*CHOOSE(ArtifactsInput!$N$7+1,6,7.2,8.4,9.6,10.8,12))+IF(Inputs!$B$3&gt;=117,F3016,0))/100))/Skills!D12)),0)</f>
        <v/>
      </c>
    </row>
    <row r="3022">
      <c r="A3022" t="inlineStr">
        <is>
          <t>Damage % Bonus (Holy Symbol - Damage Boost)</t>
        </is>
      </c>
      <c r="B3022">
        <f>Skills!O12</f>
        <v/>
      </c>
    </row>
    <row r="3023">
      <c r="A3023" t="inlineStr">
        <is>
          <t>Crit Damage % Bonus (Blood of the Divine)</t>
        </is>
      </c>
      <c r="B3023">
        <f>4*IF(C3010=TRUE,F3010,0)</f>
        <v/>
      </c>
    </row>
    <row r="3024">
      <c r="A3024" t="inlineStr">
        <is>
          <t>Attack Speed Bonus %</t>
        </is>
      </c>
      <c r="B3024">
        <f>IF(C3007=TRUE,F3007+(F3011-Calc!F21),0)+IF(Inputs!$B$3&gt;=134,15,0)</f>
        <v/>
      </c>
    </row>
    <row r="3025">
      <c r="A3025" t="inlineStr">
        <is>
          <t>Actions Per Second</t>
        </is>
      </c>
      <c r="B3025">
        <f>1+MIN(150,150*(1-(1-Inputs!$B$12/150)*(1-B3024/150)))/100</f>
        <v/>
      </c>
    </row>
    <row r="3026">
      <c r="A3026" t="inlineStr">
        <is>
          <t>Skill + Buff Cast Rate</t>
        </is>
      </c>
      <c r="B3026">
        <f>IF(AND(Inputs!$B$39&lt;&gt;"pvp",Inputs!$B$44&gt;0),SUMPRODUCT((Skills!E2:E27=TRUE)*(C2992:C3017=TRUE)*R2992:R3017)/Inputs!$B$44,SUMPRODUCT((Skills!E2:E27=TRUE)*(C2992:C3017=TRUE)*Q2992:Q3017))</f>
        <v/>
      </c>
    </row>
    <row r="3027">
      <c r="A3027" t="inlineStr">
        <is>
          <t>Big Bang Casts Per Second</t>
        </is>
      </c>
      <c r="B3027">
        <f>MAX(0,B3025-B3026)</f>
        <v/>
      </c>
    </row>
    <row r="3028">
      <c r="A3028" t="inlineStr">
        <is>
          <t>Defense % Bonus (Divine Protection)</t>
        </is>
      </c>
      <c r="B3028">
        <f>IF(C3003=TRUE,F3003*IF(AND(Inputs!$B$39&lt;&gt;"pvp",Inputs!$B$44&gt;0),(((R3003-1)*(Skills!S13*(1+((Inputs!$B$35+(ArtifactsInput!$M$7-ArtifactsInput!$M$7)*CHOOSE(ArtifactsInput!$N$7+1,6,7.2,8.4,9.6,10.8,12))+IF(Inputs!$B$3&gt;=117,F3016,0))/100))+MIN((Skills!S13*(1+((Inputs!$B$35+(ArtifactsInput!$M$7-ArtifactsInput!$M$7)*CHOOSE(ArtifactsInput!$N$7+1,6,7.2,8.4,9.6,10.8,12))+IF(Inputs!$B$3&gt;=117,F3016,0))/100)),MAX(0,Inputs!$B$44-((R3003-1)*Skills!D13))))/Inputs!$B$44),IF(Inputs!$B$39="pvp",MIN((Skills!S13*(1+((Inputs!$B$35+(ArtifactsInput!$M$7-ArtifactsInput!$M$7)*CHOOSE(ArtifactsInput!$N$7+1,6,7.2,8.4,9.6,10.8,12))+IF(Inputs!$B$3&gt;=117,F3016,0))/100)),15)/15,(Skills!S13*(1+((Inputs!$B$35+(ArtifactsInput!$M$7-ArtifactsInput!$M$7)*CHOOSE(ArtifactsInput!$N$7+1,6,7.2,8.4,9.6,10.8,12))+IF(Inputs!$B$3&gt;=117,F3016,0))/100))/Skills!D13)),0)</f>
        <v/>
      </c>
    </row>
    <row r="3029">
      <c r="A3029" t="inlineStr">
        <is>
          <t>Buff-Casting Startup Delay (s, fixed-duration only)</t>
        </is>
      </c>
      <c r="B3029">
        <f>IF(AND(Inputs!$B$39&lt;&gt;"pvp",Inputs!$B$44&gt;0),SUMPRODUCT((Skills!S2:S27&gt;0)*(Skills!E2:E27=TRUE)*(C2992:C3017=TRUE))/B3025,0)</f>
        <v/>
      </c>
    </row>
    <row r="3030">
      <c r="A3030" t="inlineStr">
        <is>
          <t>Boss-Only Total DPS (this block's swept value)</t>
        </is>
      </c>
      <c r="B3030">
        <f>SUM(S2992:S3017)</f>
        <v/>
      </c>
    </row>
    <row r="3031">
      <c r="A3031" t="inlineStr">
        <is>
          <t>Normal-Only Total DPS (this block's swept value)</t>
        </is>
      </c>
      <c r="B3031">
        <f>SUM(U2992:U3017)</f>
        <v/>
      </c>
    </row>
    <row r="3032">
      <c r="A3032" s="6" t="inlineStr">
        <is>
          <t>TOTAL DPS</t>
        </is>
      </c>
      <c r="B3032" s="6">
        <f>SUM(O2992:O3017)</f>
        <v/>
      </c>
    </row>
    <row r="3034">
      <c r="A3034" s="6" t="inlineStr">
        <is>
          <t>Stat: CDR = 2.5s</t>
        </is>
      </c>
    </row>
    <row r="3035">
      <c r="A3035" s="5" t="inlineStr">
        <is>
          <t>Key</t>
        </is>
      </c>
      <c r="B3035" s="5" t="inlineStr">
        <is>
          <t>Name</t>
        </is>
      </c>
      <c r="C3035" s="5" t="inlineStr">
        <is>
          <t>Unlocked</t>
        </is>
      </c>
      <c r="D3035" s="5" t="inlineStr">
        <is>
          <t>InputLevel</t>
        </is>
      </c>
      <c r="E3035" s="5" t="inlineStr">
        <is>
          <t>Factor</t>
        </is>
      </c>
      <c r="F3035" s="5" t="inlineStr">
        <is>
          <t>CoefficientPercent</t>
        </is>
      </c>
      <c r="G3035" s="5" t="inlineStr">
        <is>
          <t>EffectiveHits</t>
        </is>
      </c>
      <c r="H3035" s="5" t="inlineStr">
        <is>
          <t>ProcProbability</t>
        </is>
      </c>
      <c r="I3035" s="5" t="inlineStr">
        <is>
          <t>MapleHeroMultiplier</t>
        </is>
      </c>
      <c r="J3035" s="5" t="inlineStr">
        <is>
          <t>BaseDamage</t>
        </is>
      </c>
      <c r="K3035" s="5" t="inlineStr">
        <is>
          <t>BaseHitDamage</t>
        </is>
      </c>
      <c r="L3035" s="5" t="inlineStr">
        <is>
          <t>NonCritAvg</t>
        </is>
      </c>
      <c r="M3035" s="5" t="inlineStr">
        <is>
          <t>CritAvg</t>
        </is>
      </c>
      <c r="N3035" s="5" t="inlineStr">
        <is>
          <t>ExpectedDamage(perHit)</t>
        </is>
      </c>
      <c r="O3035" s="5" t="inlineStr">
        <is>
          <t>DPS</t>
        </is>
      </c>
      <c r="P3035" s="5" t="inlineStr">
        <is>
          <t>% of Total</t>
        </is>
      </c>
      <c r="R3035" t="inlineStr">
        <is>
          <t>helpers</t>
        </is>
      </c>
    </row>
    <row r="3036">
      <c r="A3036">
        <f>Skills!A2</f>
        <v/>
      </c>
      <c r="B3036">
        <f>Skills!B2</f>
        <v/>
      </c>
      <c r="C3036">
        <f>Inputs!$B$3&gt;=100</f>
        <v/>
      </c>
      <c r="D3036" t="inlineStr"/>
      <c r="E3036" t="inlineStr"/>
      <c r="F3036">
        <f>T3038+Skills!N2</f>
        <v/>
      </c>
      <c r="G3036">
        <f>Calc!G2</f>
        <v/>
      </c>
      <c r="H3036">
        <f>Calc!H2</f>
        <v/>
      </c>
      <c r="I3036">
        <f>IF(Skills!T2&lt;&gt;"",1+(Skills!T2/10)*($Z$3/1000)/100,1)</f>
        <v/>
      </c>
      <c r="J3036">
        <f>((Inputs!$B$6*(1+Inputs!$B$7/100))+(((Inputs!$B$13*(1+Inputs!$B$14/100))-(Inputs!$B$13*(1+Inputs!$B$14/100)))+0.25*(Inputs!$B$15-Inputs!$B$15))*(1+Inputs!$B$7/100))*(F3036/100)</f>
        <v/>
      </c>
      <c r="K3036">
        <f>J3036*(1+(((Inputs!$B$13+IF(Inputs!$B$3&gt;=35,(10*INDEX(FactorTable!$B$2:$Y$301,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2="TRIUMPH_FEATHER",IF(C3050=TRUE,F3050,0),0)/100)*(1+IF(C3061=TRUE,F3061,0)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3036)</f>
        <v/>
      </c>
      <c r="L3036">
        <f>K3036*(MIN(Inputs!$B$23+(F3056-Calc!F22),(Inputs!$B$24+IF(ArtifactsInput!$M$15,CHOOSE(ArtifactsInput!$N$15+1,25,30,35,40,45,50)/100*(Inputs!$B$12-Inputs!$B$12),0)))/100+(Inputs!$B$24+IF(ArtifactsInput!$M$15,CHOOSE(ArtifactsInput!$N$15+1,25,30,35,40,45,50)/100*(Inputs!$B$12-Inputs!$B$12),0))/100)/2</f>
        <v/>
      </c>
      <c r="M3036">
        <f>L3036*(1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6">
        <f>L3036*(1-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(1-Summary!$B$11)*S3036+Summary!$B$11*U3036</f>
        <v/>
      </c>
      <c r="P3036">
        <f>IF(B3076=0,0,O3036/B3076)</f>
        <v/>
      </c>
      <c r="Q3036">
        <f>IFERROR(1/(IF(Inputs!$B$39="pvp",15,MAX(0.1,Skills!D2-IF(Skills!E2=TRUE,2.5,0)))*(1-IF(AND(ArtifactsInput!$M$27,Inputs!$B$4="Chapter Hunt"),CHOOSE(ArtifactsInput!$N$27+1,20,24,28,32,36,40),0)/100)),0)</f>
        <v/>
      </c>
      <c r="R3036" t="n">
        <v>0</v>
      </c>
      <c r="S3036">
        <f>IF(C3036,(Skills!F2*N3036*B3071)*IF(Inputs!$B$39="pvp",1,1+(Inputs!$B$21+Skills!O2+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3036*(1-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36">
        <f>MAX(0,(Inputs!$B$3-100)*3)+Inputs!$B$29+Inputs!$B$30</f>
        <v/>
      </c>
      <c r="U3036">
        <f>IF(C3036,(Skills!F2*N3036*B3071)*IF(Inputs!$B$39="pvp",1,(1+(Inputs!$B$22+Skills!P2+B3065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Skills!A3</f>
        <v/>
      </c>
      <c r="B3037">
        <f>Skills!B3</f>
        <v/>
      </c>
      <c r="C3037">
        <f>Inputs!$B$3&gt;=15</f>
        <v/>
      </c>
      <c r="D3037">
        <f>IF(Skills!C3=1,60+Inputs!$B$26+Inputs!$B$30,IF(Skills!C3=2,90+Inputs!$B$27+Inputs!$B$30,IF(Skills!C3=3,120+Inputs!$B$28+Inputs!$B$30,MAX(0,(Inputs!$B$3-100)*3)+Inputs!$B$29+Inputs!$B$30)))</f>
        <v/>
      </c>
      <c r="E3037">
        <f>INDEX(FactorTable!$B$2:$Y$301, MATCH(ROUND(MIN(300,MAX(1,D3037)),0), FactorTable!$A$2:$A$301,0), Skills!L3+1)</f>
        <v/>
      </c>
      <c r="F3037">
        <f>IF(Skills!M3=TRUE,(Skills!K3/10)*(E3037/1000),Skills!K3/10)+Skills!N3</f>
        <v/>
      </c>
      <c r="G3037">
        <f>Calc!G3</f>
        <v/>
      </c>
      <c r="H3037">
        <f>Calc!H3</f>
        <v/>
      </c>
      <c r="I3037">
        <f>IF(Skills!T3&lt;&gt;"",1+(Skills!T3/10)*($Z$3/1000)/100,1)</f>
        <v/>
      </c>
      <c r="J3037" t="inlineStr"/>
      <c r="K3037" t="inlineStr"/>
      <c r="L3037" t="inlineStr"/>
      <c r="M3037" t="inlineStr"/>
      <c r="N3037" t="inlineStr"/>
      <c r="O3037">
        <f>(1-Summary!$B$11)*S3037+Summary!$B$11*U3037</f>
        <v/>
      </c>
      <c r="P3037">
        <f>IF(B3076=0,0,O3037/B3076)</f>
        <v/>
      </c>
      <c r="Q3037">
        <f>IFERROR(1/(IF(Inputs!$B$39="pvp",15,MAX(0.1,Skills!D3-IF(Skills!E3=TRUE,2.5,0)))*(1-IF(AND(ArtifactsInput!$M$27,Inputs!$B$4="Chapter Hunt"),CHOOSE(ArtifactsInput!$N$27+1,20,24,28,32,36,40),0)/100)),0)</f>
        <v/>
      </c>
      <c r="R3037">
        <f>IF(AND(Inputs!$B$39&lt;&gt;"pvp",Inputs!$B$44&gt;0),IF(Inputs!$B$44&lt;=0,0,(INT(Inputs!$B$44/(IF(Inputs!$B$39="pvp",15,MAX(0.1,Skills!D3-IF(Skills!E3=TRUE,2.5,0)))*(1-IF(AND(ArtifactsInput!$M$27,Inputs!$B$4="Chapter Hunt"),CHOOSE(ArtifactsInput!$N$27+1,20,24,28,32,36,40),0)/100)))+1)),0)</f>
        <v/>
      </c>
      <c r="S3037" t="n">
        <v>0</v>
      </c>
      <c r="T3037">
        <f>INDEX(FactorTable!$B$2:$Y$301, MATCH(ROUND(MIN(300,MAX(1,T3036)),0), FactorTable!$A$2:$A$301,0), 22)</f>
        <v/>
      </c>
      <c r="U3037" t="n">
        <v>0</v>
      </c>
    </row>
    <row r="3038">
      <c r="A3038">
        <f>Skills!A4</f>
        <v/>
      </c>
      <c r="B3038">
        <f>Skills!B4</f>
        <v/>
      </c>
      <c r="C3038">
        <f>Inputs!$B$3&gt;=38</f>
        <v/>
      </c>
      <c r="D3038">
        <f>IF(Skills!C4=1,60+Inputs!$B$26+Inputs!$B$30,IF(Skills!C4=2,90+Inputs!$B$27+Inputs!$B$30,IF(Skills!C4=3,120+Inputs!$B$28+Inputs!$B$30,MAX(0,(Inputs!$B$3-100)*3)+Inputs!$B$29+Inputs!$B$30)))</f>
        <v/>
      </c>
      <c r="E3038">
        <f>INDEX(FactorTable!$B$2:$Y$301, MATCH(ROUND(MIN(300,MAX(1,D3038)),0), FactorTable!$A$2:$A$301,0), Skills!L4+1)</f>
        <v/>
      </c>
      <c r="F3038">
        <f>IF(Skills!M4=TRUE,(Skills!K4/10)*(E3038/1000),Skills!K4/10)+Skills!N4</f>
        <v/>
      </c>
      <c r="G3038">
        <f>Calc!G4</f>
        <v/>
      </c>
      <c r="H3038">
        <f>Calc!H4</f>
        <v/>
      </c>
      <c r="I3038">
        <f>IF(Skills!T4&lt;&gt;"",1+(Skills!T4/10)*($Z$3/1000)/100,1)</f>
        <v/>
      </c>
      <c r="J3038" t="inlineStr"/>
      <c r="K3038" t="inlineStr"/>
      <c r="L3038" t="inlineStr"/>
      <c r="M3038" t="inlineStr"/>
      <c r="N3038" t="inlineStr"/>
      <c r="O3038">
        <f>(1-Summary!$B$11)*S3038+Summary!$B$11*U3038</f>
        <v/>
      </c>
      <c r="P3038">
        <f>IF(B3076=0,0,O3038/B3076)</f>
        <v/>
      </c>
      <c r="Q3038">
        <f>IFERROR(1/(IF(Inputs!$B$39="pvp",15,MAX(0.1,Skills!D4-IF(Skills!E4=TRUE,2.5,0)))*(1-IF(AND(ArtifactsInput!$M$27,Inputs!$B$4="Chapter Hunt"),CHOOSE(ArtifactsInput!$N$27+1,20,24,28,32,36,40),0)/100)),0)</f>
        <v/>
      </c>
      <c r="R3038">
        <f>IF(AND(Inputs!$B$39&lt;&gt;"pvp",Inputs!$B$44&gt;0),IF(Inputs!$B$44&lt;=0,0,(INT(Inputs!$B$44/(IF(Inputs!$B$39="pvp",15,MAX(0.1,Skills!D4-IF(Skills!E4=TRUE,2.5,0)))*(1-IF(AND(ArtifactsInput!$M$27,Inputs!$B$4="Chapter Hunt"),CHOOSE(ArtifactsInput!$N$27+1,20,24,28,32,36,40),0)/100)))+1)),0)</f>
        <v/>
      </c>
      <c r="S3038" t="n">
        <v>0</v>
      </c>
      <c r="T3038">
        <f>290*T3037/1000</f>
        <v/>
      </c>
      <c r="U3038" t="n">
        <v>0</v>
      </c>
    </row>
    <row r="3039">
      <c r="A3039">
        <f>Skills!A5</f>
        <v/>
      </c>
      <c r="B3039">
        <f>Skills!B5</f>
        <v/>
      </c>
      <c r="C3039">
        <f>Inputs!$B$3&gt;=40</f>
        <v/>
      </c>
      <c r="D3039">
        <f>IF(Skills!C5=1,60+Inputs!$B$26+Inputs!$B$30,IF(Skills!C5=2,90+Inputs!$B$27+Inputs!$B$30,IF(Skills!C5=3,120+Inputs!$B$28+Inputs!$B$30,MAX(0,(Inputs!$B$3-100)*3)+Inputs!$B$29+Inputs!$B$30)))</f>
        <v/>
      </c>
      <c r="E3039">
        <f>INDEX(FactorTable!$B$2:$Y$301, MATCH(ROUND(MIN(300,MAX(1,D3039)),0), FactorTable!$A$2:$A$301,0), Skills!L5+1)</f>
        <v/>
      </c>
      <c r="F3039">
        <f>IF(Skills!M5=TRUE,(Skills!K5/10)*(E3039/1000),Skills!K5/10)+Skills!N5</f>
        <v/>
      </c>
      <c r="G3039">
        <f>Calc!G5</f>
        <v/>
      </c>
      <c r="H3039">
        <f>Calc!H5</f>
        <v/>
      </c>
      <c r="I3039">
        <f>IF(Skills!T5&lt;&gt;"",1+(Skills!T5/10)*($Z$3/1000)/100,1)</f>
        <v/>
      </c>
      <c r="J3039" t="inlineStr"/>
      <c r="K3039" t="inlineStr"/>
      <c r="L3039" t="inlineStr"/>
      <c r="M3039" t="inlineStr"/>
      <c r="N3039" t="inlineStr"/>
      <c r="O3039">
        <f>(1-Summary!$B$11)*S3039+Summary!$B$11*U3039</f>
        <v/>
      </c>
      <c r="P3039">
        <f>IF(B3076=0,0,O3039/B3076)</f>
        <v/>
      </c>
      <c r="Q3039">
        <f>IFERROR(1/(IF(Inputs!$B$39="pvp",15,MAX(0.1,Skills!D5-IF(Skills!E5=TRUE,2.5,0)))*(1-IF(AND(ArtifactsInput!$M$27,Inputs!$B$4="Chapter Hunt"),CHOOSE(ArtifactsInput!$N$27+1,20,24,28,32,36,40),0)/100)),0)</f>
        <v/>
      </c>
      <c r="R3039">
        <f>IF(AND(Inputs!$B$39&lt;&gt;"pvp",Inputs!$B$44&gt;0),IF(Inputs!$B$44&lt;=0,0,(INT(Inputs!$B$44/(IF(Inputs!$B$39="pvp",15,MAX(0.1,Skills!D5-IF(Skills!E5=TRUE,2.5,0)))*(1-IF(AND(ArtifactsInput!$M$27,Inputs!$B$4="Chapter Hunt"),CHOOSE(ArtifactsInput!$N$27+1,20,24,28,32,36,40),0)/100)))+1)),0)</f>
        <v/>
      </c>
      <c r="S3039" t="n">
        <v>0</v>
      </c>
      <c r="U3039" t="n">
        <v>0</v>
      </c>
    </row>
    <row r="3040">
      <c r="A3040">
        <f>Skills!A6</f>
        <v/>
      </c>
      <c r="B3040">
        <f>Skills!B6</f>
        <v/>
      </c>
      <c r="C3040">
        <f>Inputs!$B$3&gt;=103</f>
        <v/>
      </c>
      <c r="D3040">
        <f>IF(Skills!C6=1,60+Inputs!$B$26+Inputs!$B$30,IF(Skills!C6=2,90+Inputs!$B$27+Inputs!$B$30,IF(Skills!C6=3,120+Inputs!$B$28+Inputs!$B$30,MAX(0,(Inputs!$B$3-100)*3)+Inputs!$B$29+Inputs!$B$30)))</f>
        <v/>
      </c>
      <c r="E3040">
        <f>INDEX(FactorTable!$B$2:$Y$301, MATCH(ROUND(MIN(300,MAX(1,D3040)),0), FactorTable!$A$2:$A$301,0), Skills!L6+1)</f>
        <v/>
      </c>
      <c r="F3040">
        <f>IF(Skills!M6=TRUE,(Skills!K6/10)*(E3040/1000),Skills!K6/10)+Skills!N6</f>
        <v/>
      </c>
      <c r="G3040">
        <f>Calc!G6</f>
        <v/>
      </c>
      <c r="H3040">
        <f>Calc!H6</f>
        <v/>
      </c>
      <c r="I3040">
        <f>IF(Skills!T6&lt;&gt;"",1+(Skills!T6/10)*($Z$3/1000)/100,1)</f>
        <v/>
      </c>
      <c r="J3040">
        <f>((Inputs!$B$6*(1+Inputs!$B$7/100))+(((Inputs!$B$13*(1+Inputs!$B$14/100))-(Inputs!$B$13*(1+Inputs!$B$14/100)))+0.25*(Inputs!$B$15-Inputs!$B$15))*(1+Inputs!$B$7/100))*(F3040/100)</f>
        <v/>
      </c>
      <c r="K3040">
        <f>J3040*(1+(((Inputs!$B$13+IF(Inputs!$B$3&gt;=35,(10*INDEX(FactorTable!$B$2:$Y$301,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6="TRIUMPH_FEATHER",IF(C3050=TRUE,F3050,0),0)/100)*(1+IF(C3061=TRUE,F3061,0)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3040)</f>
        <v/>
      </c>
      <c r="L3040">
        <f>K3040*(MIN(Inputs!$B$23+(F3056-Calc!F22),(Inputs!$B$24+IF(ArtifactsInput!$M$15,CHOOSE(ArtifactsInput!$N$15+1,25,30,35,40,45,50)/100*(Inputs!$B$12-Inputs!$B$12),0)))/100+(Inputs!$B$24+IF(ArtifactsInput!$M$15,CHOOSE(ArtifactsInput!$N$15+1,25,30,35,40,45,50)/100*(Inputs!$B$12-Inputs!$B$12),0))/100)/2</f>
        <v/>
      </c>
      <c r="M3040">
        <f>L3040*(1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0">
        <f>L3040*(1-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3040*(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0">
        <f>(1-Summary!$B$11)*S3040+Summary!$B$11*U3040</f>
        <v/>
      </c>
      <c r="P3040">
        <f>IF(B3076=0,0,O3040/B3076)</f>
        <v/>
      </c>
      <c r="Q3040">
        <f>IFERROR(1/(IF(Inputs!$B$39="pvp",15,MAX(0.1,Skills!D6-IF(Skills!E6=TRUE,2.5,0)))*(1-IF(AND(ArtifactsInput!$M$27,Inputs!$B$4="Chapter Hunt"),CHOOSE(ArtifactsInput!$N$27+1,20,24,28,32,36,40),0)/100)),0)</f>
        <v/>
      </c>
      <c r="R3040">
        <f>IF(AND(Inputs!$B$39&lt;&gt;"pvp",Inputs!$B$44&gt;0),IF(MAX(0,Inputs!$B$44-B3073)&lt;=0,0,(INT(MAX(0,Inputs!$B$44-B3073)/(IF(Inputs!$B$39="pvp",15,MAX(0.1,Skills!D6-IF(Skills!E6=TRUE,2.5,0)))*(1-IF(AND(ArtifactsInput!$M$27,Inputs!$B$4="Chapter Hunt"),CHOOSE(ArtifactsInput!$N$27+1,20,24,28,32,36,40),0)/100)))+1)),0)</f>
        <v/>
      </c>
      <c r="S3040">
        <f>IF(C3040,(H3040*N3040*IF(AND(Inputs!$B$39&lt;&gt;"pvp",Inputs!$B$44&gt;0),((Skills!F6*((R3040-1)*IF(Skills!G6&gt;0,Skills!H6/Skills!G6,1)+IF(Skills!G6&gt;0,MIN(Skills!H6,MAX(0,MAX(0,Inputs!$B$44-B3073)-((R3040-1)*(IF(Inputs!$B$39="pvp",15,MAX(0.1,Skills!D6-IF(Skills!E6=TRUE,2.5,0)))*(1-IF(AND(ArtifactsInput!$M$27,Inputs!$B$4="Chapter Hunt"),CHOOSE(ArtifactsInput!$N$27+1,20,24,28,32,36,40),0)/100)))))/Skills!G6,1)))/Inputs!$B$44),G3040*Q3040))*IF(Inputs!$B$39="pvp",1,1+(Inputs!$B$21+Skills!O6+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3040*(1-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3040*(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3040*(1-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3040*(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0">
        <f>IF(C3040,(H3040*N3040*IF(AND(Inputs!$B$39&lt;&gt;"pvp",Inputs!$B$44&gt;0),((Skills!F6*((R3040-1)*IF(Skills!G6&gt;0,Skills!H6/Skills!G6,1)+IF(Skills!G6&gt;0,MIN(Skills!H6,MAX(0,MAX(0,Inputs!$B$44-B3073)-((R3040-1)*(IF(Inputs!$B$39="pvp",15,MAX(0.1,Skills!D6-IF(Skills!E6=TRUE,2.5,0)))*(1-IF(AND(ArtifactsInput!$M$27,Inputs!$B$4="Chapter Hunt"),CHOOSE(ArtifactsInput!$N$27+1,20,24,28,32,36,40),0)/100)))))/Skills!G6,1)))/Inputs!$B$44),G3040*Q3040))*IF(Inputs!$B$39="pvp",1,(1+(Inputs!$B$22+Skills!P6+B3065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1">
      <c r="A3041">
        <f>Skills!A7</f>
        <v/>
      </c>
      <c r="B3041">
        <f>Skills!B7</f>
        <v/>
      </c>
      <c r="C3041">
        <f>Inputs!$B$3&gt;=122</f>
        <v/>
      </c>
      <c r="D3041">
        <f>IF(Skills!C7=1,60+Inputs!$B$26+Inputs!$B$30,IF(Skills!C7=2,90+Inputs!$B$27+Inputs!$B$30,IF(Skills!C7=3,120+Inputs!$B$28+Inputs!$B$30,MAX(0,(Inputs!$B$3-100)*3)+Inputs!$B$29+Inputs!$B$30)))</f>
        <v/>
      </c>
      <c r="E3041">
        <f>INDEX(FactorTable!$B$2:$Y$301, MATCH(ROUND(MIN(300,MAX(1,D3041)),0), FactorTable!$A$2:$A$301,0), Skills!L7+1)</f>
        <v/>
      </c>
      <c r="F3041">
        <f>IF(Skills!M7=TRUE,(Skills!K7/10)*(E3041/1000),Skills!K7/10)+Skills!N7</f>
        <v/>
      </c>
      <c r="G3041">
        <f>Calc!G7</f>
        <v/>
      </c>
      <c r="H3041">
        <f>Calc!H7</f>
        <v/>
      </c>
      <c r="I3041">
        <f>IF(Skills!T7&lt;&gt;"",1+(Skills!T7/10)*($Z$3/1000)/100,1)</f>
        <v/>
      </c>
      <c r="J3041">
        <f>((Inputs!$B$6*(1+Inputs!$B$7/100))+(((Inputs!$B$13*(1+Inputs!$B$14/100))-(Inputs!$B$13*(1+Inputs!$B$14/100)))+0.25*(Inputs!$B$15-Inputs!$B$15))*(1+Inputs!$B$7/100))*(F3041/100)</f>
        <v/>
      </c>
      <c r="K3041">
        <f>J3041*(1+(((Inputs!$B$13+IF(Inputs!$B$3&gt;=35,(10*INDEX(FactorTable!$B$2:$Y$301,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7="TRIUMPH_FEATHER",IF(C3050=TRUE,F3050,0),0)/100)*(1+IF(C3061=TRUE,F3061,0)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3041)</f>
        <v/>
      </c>
      <c r="L3041">
        <f>K3041*(MIN(Inputs!$B$23+(F3056-Calc!F22),(Inputs!$B$24+IF(ArtifactsInput!$M$15,CHOOSE(ArtifactsInput!$N$15+1,25,30,35,40,45,50)/100*(Inputs!$B$12-Inputs!$B$12),0)))/100+(Inputs!$B$24+IF(ArtifactsInput!$M$15,CHOOSE(ArtifactsInput!$N$15+1,25,30,35,40,45,50)/100*(Inputs!$B$12-Inputs!$B$12),0))/100)/2</f>
        <v/>
      </c>
      <c r="M3041">
        <f>L3041*(1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1">
        <f>L3041*(1-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1">
        <f>(1-Summary!$B$11)*S3041+Summary!$B$11*U3041</f>
        <v/>
      </c>
      <c r="P3041">
        <f>IF(B3076=0,0,O3041/B3076)</f>
        <v/>
      </c>
      <c r="Q3041">
        <f>IFERROR(1/(IF(Inputs!$B$39="pvp",15,MAX(0.1,Skills!D7-IF(Skills!E6=TRUE,2.5,0)))*(1-IF(AND(ArtifactsInput!$M$27,Inputs!$B$4="Chapter Hunt"),CHOOSE(ArtifactsInput!$N$27+1,20,24,28,32,36,40),0)/100)),0)</f>
        <v/>
      </c>
      <c r="R3041">
        <f>IF(AND(Inputs!$B$39&lt;&gt;"pvp",Inputs!$B$44&gt;0),IF(MAX(0,Inputs!$B$44-B3073)&lt;=0,0,(INT(MAX(0,Inputs!$B$44-B3073)/(IF(Inputs!$B$39="pvp",15,MAX(0.1,Skills!D7-IF(Skills!E6=TRUE,2.5,0)))*(1-IF(AND(ArtifactsInput!$M$27,Inputs!$B$4="Chapter Hunt"),CHOOSE(ArtifactsInput!$N$27+1,20,24,28,32,36,40),0)/100)))+1)),0)</f>
        <v/>
      </c>
      <c r="S3041">
        <f>IF(C3041,H3041*N3041*IF(AND(Inputs!$B$39&lt;&gt;"pvp",Inputs!$B$44&gt;0),((Skills!F7*((R3041-1)*IF(Skills!G7&gt;0,Skills!H7/Skills!G7,1)+IF(Skills!G7&gt;0,MIN(Skills!H7,MAX(0,MAX(0,Inputs!$B$44-B3073)-((R3041-1)*(IF(Inputs!$B$39="pvp",15,MAX(0.1,Skills!D7-IF(Skills!E6=TRUE,2.5,0)))*(1-IF(AND(ArtifactsInput!$M$27,Inputs!$B$4="Chapter Hunt"),CHOOSE(ArtifactsInput!$N$27+1,20,24,28,32,36,40),0)/100)))))/Skills!G7,1)))/Inputs!$B$44),G3041*Q3041)*IF(Inputs!$B$39="pvp",1,1+(Inputs!$B$21+Skills!O7+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1" t="n">
        <v>0</v>
      </c>
    </row>
    <row r="3042">
      <c r="A3042">
        <f>Skills!A8</f>
        <v/>
      </c>
      <c r="B3042">
        <f>Skills!B8</f>
        <v/>
      </c>
      <c r="C3042">
        <f>Inputs!$B$3&gt;=105</f>
        <v/>
      </c>
      <c r="D3042">
        <f>IF(Skills!C8=1,60+Inputs!$B$26+Inputs!$B$30,IF(Skills!C8=2,90+Inputs!$B$27+Inputs!$B$30,IF(Skills!C8=3,120+Inputs!$B$28+Inputs!$B$30,MAX(0,(Inputs!$B$3-100)*3)+Inputs!$B$29+Inputs!$B$30)))</f>
        <v/>
      </c>
      <c r="E3042">
        <f>INDEX(FactorTable!$B$2:$Y$301, MATCH(ROUND(MIN(300,MAX(1,D3042)),0), FactorTable!$A$2:$A$301,0), Skills!L8+1)</f>
        <v/>
      </c>
      <c r="F3042">
        <f>IF(Skills!M8=TRUE,(Skills!K8/10)*(E3042/1000),Skills!K8/10)+Skills!N8</f>
        <v/>
      </c>
      <c r="G3042">
        <f>Calc!G8</f>
        <v/>
      </c>
      <c r="H3042">
        <f>Calc!H8</f>
        <v/>
      </c>
      <c r="I3042">
        <f>IF(Skills!T8&lt;&gt;"",1+(Skills!T8/10)*($Z$3/1000)/100,1)</f>
        <v/>
      </c>
      <c r="J3042">
        <f>((Inputs!$B$6*(1+Inputs!$B$7/100))+(((Inputs!$B$13*(1+Inputs!$B$14/100))-(Inputs!$B$13*(1+Inputs!$B$14/100)))+0.25*(Inputs!$B$15-Inputs!$B$15))*(1+Inputs!$B$7/100))*(F3042/100)</f>
        <v/>
      </c>
      <c r="K3042">
        <f>J3042*(1+(((Inputs!$B$13+IF(Inputs!$B$3&gt;=35,(10*INDEX(FactorTable!$B$2:$Y$301,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8="TRIUMPH_FEATHER",IF(C3050=TRUE,F3050,0),0)/100)*(1+IF(C3061=TRUE,F3061,0)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3042)</f>
        <v/>
      </c>
      <c r="L3042">
        <f>K3042*(MIN(Inputs!$B$23+(F3056-Calc!F22),(Inputs!$B$24+IF(ArtifactsInput!$M$15,CHOOSE(ArtifactsInput!$N$15+1,25,30,35,40,45,50)/100*(Inputs!$B$12-Inputs!$B$12),0)))/100+(Inputs!$B$24+IF(ArtifactsInput!$M$15,CHOOSE(ArtifactsInput!$N$15+1,25,30,35,40,45,50)/100*(Inputs!$B$12-Inputs!$B$12),0))/100)/2</f>
        <v/>
      </c>
      <c r="M3042">
        <f>L3042*(1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2">
        <f>L3042*(1-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3042*(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2">
        <f>(1-Summary!$B$11)*S3042+Summary!$B$11*U3042</f>
        <v/>
      </c>
      <c r="P3042">
        <f>IF(B3076=0,0,O3042/B3076)</f>
        <v/>
      </c>
      <c r="Q3042">
        <f>IFERROR(1/(IF(Inputs!$B$39="pvp",15,MAX(0.1,Skills!D8-IF(Skills!E8=TRUE,2.5,0)))*(1-IF(AND(ArtifactsInput!$M$27,Inputs!$B$4="Chapter Hunt"),CHOOSE(ArtifactsInput!$N$27+1,20,24,28,32,36,40),0)/100)),0)</f>
        <v/>
      </c>
      <c r="R3042">
        <f>IF(AND(Inputs!$B$39&lt;&gt;"pvp",Inputs!$B$44&gt;0),IF(MAX(0,Inputs!$B$44-B3073)&lt;=0,0,(INT(MAX(0,Inputs!$B$44-B3073)/(IF(Inputs!$B$39="pvp",15,MAX(0.1,Skills!D8-IF(Skills!E8=TRUE,2.5,0)))*(1-IF(AND(ArtifactsInput!$M$27,Inputs!$B$4="Chapter Hunt"),CHOOSE(ArtifactsInput!$N$27+1,20,24,28,32,36,40),0)/100)))+1)),0)</f>
        <v/>
      </c>
      <c r="S3042">
        <f>IF(C3042,(H3042*N3042*IF(AND(Inputs!$B$39&lt;&gt;"pvp",Inputs!$B$44&gt;0),((Skills!F8*((R3042-1)*IF(Skills!G8&gt;0,Skills!H8/Skills!G8,1)+IF(Skills!G8&gt;0,MIN(Skills!H8,MAX(0,MAX(0,Inputs!$B$44-B3073)-((R3042-1)*(IF(Inputs!$B$39="pvp",15,MAX(0.1,Skills!D8-IF(Skills!E8=TRUE,2.5,0)))*(1-IF(AND(ArtifactsInput!$M$27,Inputs!$B$4="Chapter Hunt"),CHOOSE(ArtifactsInput!$N$27+1,20,24,28,32,36,40),0)/100)))))/Skills!G8,1)))/Inputs!$B$44),G3042*Q3042))*IF(Inputs!$B$39="pvp",1,1+(Inputs!$B$21+Skills!O8+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3042*(1-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3042*(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3042*(1-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3042*(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2">
        <f>IF(C3042,(H3042*N3042*IF(AND(Inputs!$B$39&lt;&gt;"pvp",Inputs!$B$44&gt;0),((Skills!F8*((R3042-1)*IF(Skills!G8&gt;0,Skills!H8/Skills!G8,1)+IF(Skills!G8&gt;0,MIN(Skills!H8,MAX(0,MAX(0,Inputs!$B$44-B3073)-((R3042-1)*(IF(Inputs!$B$39="pvp",15,MAX(0.1,Skills!D8-IF(Skills!E8=TRUE,2.5,0)))*(1-IF(AND(ArtifactsInput!$M$27,Inputs!$B$4="Chapter Hunt"),CHOOSE(ArtifactsInput!$N$27+1,20,24,28,32,36,40),0)/100)))))/Skills!G8,1)))/Inputs!$B$44),G3042*Q3042))*IF(Inputs!$B$39="pvp",1,(1+(Inputs!$B$22+Skills!P8+B3065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3">
      <c r="A3043">
        <f>Skills!A9</f>
        <v/>
      </c>
      <c r="B3043">
        <f>Skills!B9</f>
        <v/>
      </c>
      <c r="C3043">
        <f>Inputs!$B$3&gt;=115</f>
        <v/>
      </c>
      <c r="D3043">
        <f>IF(Skills!C9=1,60+Inputs!$B$26+Inputs!$B$30,IF(Skills!C9=2,90+Inputs!$B$27+Inputs!$B$30,IF(Skills!C9=3,120+Inputs!$B$28+Inputs!$B$30,MAX(0,(Inputs!$B$3-100)*3)+Inputs!$B$29+Inputs!$B$30)))</f>
        <v/>
      </c>
      <c r="E3043">
        <f>INDEX(FactorTable!$B$2:$Y$301, MATCH(ROUND(MIN(300,MAX(1,D3043)),0), FactorTable!$A$2:$A$301,0), Skills!L9+1)</f>
        <v/>
      </c>
      <c r="F3043">
        <f>IF(Skills!M9=TRUE,(Skills!K9/10)*(E3043/1000),Skills!K9/10)+Skills!N9</f>
        <v/>
      </c>
      <c r="G3043">
        <f>Calc!G9</f>
        <v/>
      </c>
      <c r="H3043">
        <f>Calc!H9</f>
        <v/>
      </c>
      <c r="I3043">
        <f>IF(Skills!T9&lt;&gt;"",1+(Skills!T9/10)*($Z$3/1000)/100,1)</f>
        <v/>
      </c>
      <c r="J3043">
        <f>((Inputs!$B$6*(1+Inputs!$B$7/100))+(((Inputs!$B$13*(1+Inputs!$B$14/100))-(Inputs!$B$13*(1+Inputs!$B$14/100)))+0.25*(Inputs!$B$15-Inputs!$B$15))*(1+Inputs!$B$7/100))*(F3043/100)</f>
        <v/>
      </c>
      <c r="K3043">
        <f>J3043*(1+(((Inputs!$B$13+IF(Inputs!$B$3&gt;=35,(10*INDEX(FactorTable!$B$2:$Y$301,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9="TRIUMPH_FEATHER",IF(C3050=TRUE,F3050,0),0)/100)*(1+IF(C3061=TRUE,F3061,0)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3043)</f>
        <v/>
      </c>
      <c r="L3043">
        <f>K3043*(MIN(Inputs!$B$23+(F3056-Calc!F22),(Inputs!$B$24+IF(ArtifactsInput!$M$15,CHOOSE(ArtifactsInput!$N$15+1,25,30,35,40,45,50)/100*(Inputs!$B$12-Inputs!$B$12),0)))/100+(Inputs!$B$24+IF(ArtifactsInput!$M$15,CHOOSE(ArtifactsInput!$N$15+1,25,30,35,40,45,50)/100*(Inputs!$B$12-Inputs!$B$12),0))/100)/2</f>
        <v/>
      </c>
      <c r="M3043">
        <f>L3043*(1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3">
        <f>L3043*(1-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3043*(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3">
        <f>(1-Summary!$B$11)*S3043+Summary!$B$11*U3043</f>
        <v/>
      </c>
      <c r="P3043">
        <f>IF(B3076=0,0,O3043/B3076)</f>
        <v/>
      </c>
      <c r="Q3043">
        <f>IFERROR(1/(IF(Inputs!$B$39="pvp",15,MAX(0.1,Skills!D9-IF(Skills!E9=TRUE,2.5,0)))*(1-IF(AND(ArtifactsInput!$M$27,Inputs!$B$4="Chapter Hunt"),CHOOSE(ArtifactsInput!$N$27+1,20,24,28,32,36,40),0)/100)),0)</f>
        <v/>
      </c>
      <c r="R3043">
        <f>IF(AND(Inputs!$B$39&lt;&gt;"pvp",Inputs!$B$44&gt;0),IF(MAX(0,Inputs!$B$44-B3073)&lt;=0,0,(INT(MAX(0,Inputs!$B$44-B3073)/(IF(Inputs!$B$39="pvp",15,MAX(0.1,Skills!D9-IF(Skills!E9=TRUE,2.5,0)))*(1-IF(AND(ArtifactsInput!$M$27,Inputs!$B$4="Chapter Hunt"),CHOOSE(ArtifactsInput!$N$27+1,20,24,28,32,36,40),0)/100)))+1)),0)</f>
        <v/>
      </c>
      <c r="S3043">
        <f>IF(C3043,(H3043*N3043*IF(AND(Inputs!$B$39&lt;&gt;"pvp",Inputs!$B$44&gt;0),((Skills!F9*((R3043-1)*IF(Skills!G9&gt;0,Skills!H9/Skills!G9,1)+IF(Skills!G9&gt;0,MIN(Skills!H9,MAX(0,MAX(0,Inputs!$B$44-B3073)-((R3043-1)*(IF(Inputs!$B$39="pvp",15,MAX(0.1,Skills!D9-IF(Skills!E9=TRUE,2.5,0)))*(1-IF(AND(ArtifactsInput!$M$27,Inputs!$B$4="Chapter Hunt"),CHOOSE(ArtifactsInput!$N$27+1,20,24,28,32,36,40),0)/100)))))/Skills!G9,1)))/Inputs!$B$44),G3043*Q3043))*IF(Inputs!$B$39="pvp",1,1+(Inputs!$B$21+Skills!O9+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3043*(1-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3043*(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3043*(1-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3043*(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3">
        <f>IF(C3043,(H3043*N3043*IF(AND(Inputs!$B$39&lt;&gt;"pvp",Inputs!$B$44&gt;0),((Skills!F9*((R3043-1)*IF(Skills!G9&gt;0,Skills!H9/Skills!G9,1)+IF(Skills!G9&gt;0,MIN(Skills!H9,MAX(0,MAX(0,Inputs!$B$44-B3073)-((R3043-1)*(IF(Inputs!$B$39="pvp",15,MAX(0.1,Skills!D9-IF(Skills!E9=TRUE,2.5,0)))*(1-IF(AND(ArtifactsInput!$M$27,Inputs!$B$4="Chapter Hunt"),CHOOSE(ArtifactsInput!$N$27+1,20,24,28,32,36,40),0)/100)))))/Skills!G9,1)))/Inputs!$B$44),G3043*Q3043))*IF(Inputs!$B$39="pvp",1,(1+(Inputs!$B$22+Skills!P9+B3065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4">
      <c r="A3044">
        <f>Skills!A10</f>
        <v/>
      </c>
      <c r="B3044">
        <f>Skills!B10</f>
        <v/>
      </c>
      <c r="C3044">
        <f>Inputs!$B$3&gt;=66</f>
        <v/>
      </c>
      <c r="D3044">
        <f>IF(Skills!C10=1,60+Inputs!$B$26+Inputs!$B$30,IF(Skills!C10=2,90+Inputs!$B$27+Inputs!$B$30,IF(Skills!C10=3,120+Inputs!$B$28+Inputs!$B$30,MAX(0,(Inputs!$B$3-100)*3)+Inputs!$B$29+Inputs!$B$30)))</f>
        <v/>
      </c>
      <c r="E3044">
        <f>INDEX(FactorTable!$B$2:$Y$301, MATCH(ROUND(MIN(300,MAX(1,D3044)),0), FactorTable!$A$2:$A$301,0), Skills!L10+1)</f>
        <v/>
      </c>
      <c r="F3044" t="n">
        <v>0</v>
      </c>
      <c r="G3044">
        <f>Calc!G10</f>
        <v/>
      </c>
      <c r="H3044">
        <f>Calc!H10</f>
        <v/>
      </c>
      <c r="I3044">
        <f>IF(Skills!T10&lt;&gt;"",1+(Skills!T10/10)*($Z$3/1000)/100,1)</f>
        <v/>
      </c>
      <c r="J3044" t="inlineStr"/>
      <c r="K3044" t="inlineStr"/>
      <c r="L3044" t="inlineStr"/>
      <c r="M3044" t="inlineStr"/>
      <c r="N3044" t="inlineStr"/>
      <c r="O3044">
        <f>(1-Summary!$B$11)*S3044+Summary!$B$11*U3044</f>
        <v/>
      </c>
      <c r="P3044">
        <f>IF(B3076=0,0,O3044/B3076)</f>
        <v/>
      </c>
      <c r="Q3044">
        <f>IFERROR(1/(IF(Inputs!$B$39="pvp",15,MAX(0.1,Skills!D10-IF(Skills!E10=TRUE,2.5,0)))*(1-IF(AND(ArtifactsInput!$M$27,Inputs!$B$4="Chapter Hunt"),CHOOSE(ArtifactsInput!$N$27+1,20,24,28,32,36,40),0)/100)),0)</f>
        <v/>
      </c>
      <c r="R3044">
        <f>IF(AND(Inputs!$B$39&lt;&gt;"pvp",Inputs!$B$44&gt;0),IF(MAX(0,Inputs!$B$44-B3073)&lt;=0,0,(INT(MAX(0,Inputs!$B$44-B3073)/(IF(Inputs!$B$39="pvp",15,MAX(0.1,Skills!D10-IF(Skills!E10=TRUE,2.5,0)))*(1-IF(AND(ArtifactsInput!$M$27,Inputs!$B$4="Chapter Hunt"),CHOOSE(ArtifactsInput!$N$27+1,20,24,28,32,36,40),0)/100)))+1)),0)</f>
        <v/>
      </c>
      <c r="S3044" t="n">
        <v>0</v>
      </c>
      <c r="U3044" t="n">
        <v>0</v>
      </c>
    </row>
    <row r="3045">
      <c r="A3045">
        <f>Skills!A11</f>
        <v/>
      </c>
      <c r="B3045">
        <f>Skills!B11</f>
        <v/>
      </c>
      <c r="C3045">
        <f>Inputs!$B$3&gt;=69</f>
        <v/>
      </c>
      <c r="D3045">
        <f>IF(Skills!C11=1,60+Inputs!$B$26+Inputs!$B$30,IF(Skills!C11=2,90+Inputs!$B$27+Inputs!$B$30,IF(Skills!C11=3,120+Inputs!$B$28+Inputs!$B$30,MAX(0,(Inputs!$B$3-100)*3)+Inputs!$B$29+Inputs!$B$30)))</f>
        <v/>
      </c>
      <c r="E3045">
        <f>INDEX(FactorTable!$B$2:$Y$301, MATCH(ROUND(MIN(300,MAX(1,D3045)),0), FactorTable!$A$2:$A$301,0), Skills!L11+1)</f>
        <v/>
      </c>
      <c r="F3045">
        <f>IF(Skills!M11=TRUE,(Skills!K11/10)*(E3045/1000),Skills!K11/10)+Skills!N11</f>
        <v/>
      </c>
      <c r="G3045">
        <f>Calc!G11</f>
        <v/>
      </c>
      <c r="H3045">
        <f>Calc!H11</f>
        <v/>
      </c>
      <c r="I3045">
        <f>IF(Skills!T11&lt;&gt;"",1+(Skills!T11/10)*($Z$3/1000)/100,1)</f>
        <v/>
      </c>
      <c r="J3045" t="inlineStr"/>
      <c r="K3045" t="inlineStr"/>
      <c r="L3045" t="inlineStr"/>
      <c r="M3045" t="inlineStr"/>
      <c r="N3045" t="inlineStr"/>
      <c r="O3045">
        <f>(1-Summary!$B$11)*S3045+Summary!$B$11*U3045</f>
        <v/>
      </c>
      <c r="P3045">
        <f>IF(B3076=0,0,O3045/B3076)</f>
        <v/>
      </c>
      <c r="Q3045">
        <f>IFERROR(1/(IF(Inputs!$B$39="pvp",15,MAX(0.1,Skills!D11-IF(Skills!E11=TRUE,2.5,0)))*(1-IF(AND(ArtifactsInput!$M$27,Inputs!$B$4="Chapter Hunt"),CHOOSE(ArtifactsInput!$N$27+1,20,24,28,32,36,40),0)/100)),0)</f>
        <v/>
      </c>
      <c r="R3045">
        <f>IF(AND(Inputs!$B$39&lt;&gt;"pvp",Inputs!$B$44&gt;0),IF(Inputs!$B$44&lt;=0,0,(INT(Inputs!$B$44/(IF(Inputs!$B$39="pvp",15,MAX(0.1,Skills!D11-IF(Skills!E11=TRUE,2.5,0)))*(1-IF(AND(ArtifactsInput!$M$27,Inputs!$B$4="Chapter Hunt"),CHOOSE(ArtifactsInput!$N$27+1,20,24,28,32,36,40),0)/100)))+1)),0)</f>
        <v/>
      </c>
      <c r="S3045" t="n">
        <v>0</v>
      </c>
      <c r="U3045" t="n">
        <v>0</v>
      </c>
    </row>
    <row r="3046">
      <c r="A3046">
        <f>Skills!A12</f>
        <v/>
      </c>
      <c r="B3046">
        <f>Skills!B12</f>
        <v/>
      </c>
      <c r="C3046">
        <f>Inputs!$B$3&gt;=72</f>
        <v/>
      </c>
      <c r="D3046">
        <f>IF(Skills!C12=1,60+Inputs!$B$26+Inputs!$B$30,IF(Skills!C12=2,90+Inputs!$B$27+Inputs!$B$30,IF(Skills!C12=3,120+Inputs!$B$28+Inputs!$B$30,MAX(0,(Inputs!$B$3-100)*3)+Inputs!$B$29+Inputs!$B$30)))</f>
        <v/>
      </c>
      <c r="E3046">
        <f>INDEX(FactorTable!$B$2:$Y$301, MATCH(ROUND(MIN(300,MAX(1,D3046)),0), FactorTable!$A$2:$A$301,0), Skills!L12+1)</f>
        <v/>
      </c>
      <c r="F3046">
        <f>IF(Skills!M12=TRUE,(Skills!K12/10)*(E3046/1000),Skills!K12/10)+Skills!N12</f>
        <v/>
      </c>
      <c r="G3046">
        <f>Calc!G12</f>
        <v/>
      </c>
      <c r="H3046">
        <f>Calc!H12</f>
        <v/>
      </c>
      <c r="I3046">
        <f>IF(Skills!T12&lt;&gt;"",1+(Skills!T12/10)*($Z$3/1000)/100,1)</f>
        <v/>
      </c>
      <c r="J3046" t="inlineStr"/>
      <c r="K3046" t="inlineStr"/>
      <c r="L3046" t="inlineStr"/>
      <c r="M3046" t="inlineStr"/>
      <c r="N3046" t="inlineStr"/>
      <c r="O3046">
        <f>(1-Summary!$B$11)*S3046+Summary!$B$11*U3046</f>
        <v/>
      </c>
      <c r="P3046">
        <f>IF(B3076=0,0,O3046/B3076)</f>
        <v/>
      </c>
      <c r="Q3046">
        <f>IFERROR(1/(IF(Inputs!$B$39="pvp",15,MAX(0.1,Skills!D12-IF(Skills!E12=TRUE,2.5,0)))*(1-IF(AND(ArtifactsInput!$M$27,Inputs!$B$4="Chapter Hunt"),CHOOSE(ArtifactsInput!$N$27+1,20,24,28,32,36,40),0)/100)),0)</f>
        <v/>
      </c>
      <c r="R3046">
        <f>IF(AND(Inputs!$B$39&lt;&gt;"pvp",Inputs!$B$44&gt;0),IF(MAX(0,Inputs!$B$44-B3073)&lt;=0,0,(INT(MAX(0,Inputs!$B$44-B3073)/(IF(Inputs!$B$39="pvp",15,MAX(0.1,Skills!D12-IF(Skills!E12=TRUE,2.5,0)))*(1-IF(AND(ArtifactsInput!$M$27,Inputs!$B$4="Chapter Hunt"),CHOOSE(ArtifactsInput!$N$27+1,20,24,28,32,36,40),0)/100)))+1)),0)</f>
        <v/>
      </c>
      <c r="S3046" t="n">
        <v>0</v>
      </c>
      <c r="U3046" t="n">
        <v>0</v>
      </c>
    </row>
    <row r="3047">
      <c r="A3047">
        <f>Skills!A13</f>
        <v/>
      </c>
      <c r="B3047">
        <f>Skills!B13</f>
        <v/>
      </c>
      <c r="C3047">
        <f>Inputs!$B$3&gt;=60</f>
        <v/>
      </c>
      <c r="D3047">
        <f>IF(Skills!C13=1,60+Inputs!$B$26+Inputs!$B$30,IF(Skills!C13=2,90+Inputs!$B$27+Inputs!$B$30,IF(Skills!C13=3,120+Inputs!$B$28+Inputs!$B$30,MAX(0,(Inputs!$B$3-100)*3)+Inputs!$B$29+Inputs!$B$30)))</f>
        <v/>
      </c>
      <c r="E3047">
        <f>INDEX(FactorTable!$B$2:$Y$301, MATCH(ROUND(MIN(300,MAX(1,D3047)),0), FactorTable!$A$2:$A$301,0), Skills!L13+1)</f>
        <v/>
      </c>
      <c r="F3047">
        <f>IF(Skills!M13=TRUE,(Skills!K13/10)*(E3047/1000),Skills!K13/10)+Skills!N13</f>
        <v/>
      </c>
      <c r="G3047">
        <f>Calc!G13</f>
        <v/>
      </c>
      <c r="H3047">
        <f>Calc!H13</f>
        <v/>
      </c>
      <c r="I3047">
        <f>IF(Skills!T13&lt;&gt;"",1+(Skills!T13/10)*($Z$3/1000)/100,1)</f>
        <v/>
      </c>
      <c r="J3047" t="inlineStr"/>
      <c r="K3047" t="inlineStr"/>
      <c r="L3047" t="inlineStr"/>
      <c r="M3047" t="inlineStr"/>
      <c r="N3047" t="inlineStr"/>
      <c r="O3047">
        <f>(1-Summary!$B$11)*S3047+Summary!$B$11*U3047</f>
        <v/>
      </c>
      <c r="P3047">
        <f>IF(B3076=0,0,O3047/B3076)</f>
        <v/>
      </c>
      <c r="Q3047">
        <f>IFERROR(1/(IF(Inputs!$B$39="pvp",15,MAX(0.1,Skills!D13-IF(Skills!E13=TRUE,2.5,0)))*(1-IF(AND(ArtifactsInput!$M$27,Inputs!$B$4="Chapter Hunt"),CHOOSE(ArtifactsInput!$N$27+1,20,24,28,32,36,40),0)/100)),0)</f>
        <v/>
      </c>
      <c r="R3047">
        <f>IF(AND(Inputs!$B$39&lt;&gt;"pvp",Inputs!$B$44&gt;0),IF(MAX(0,Inputs!$B$44-B3073)&lt;=0,0,(INT(MAX(0,Inputs!$B$44-B3073)/(IF(Inputs!$B$39="pvp",15,MAX(0.1,Skills!D13-IF(Skills!E13=TRUE,2.5,0)))*(1-IF(AND(ArtifactsInput!$M$27,Inputs!$B$4="Chapter Hunt"),CHOOSE(ArtifactsInput!$N$27+1,20,24,28,32,36,40),0)/100)))+1)),0)</f>
        <v/>
      </c>
      <c r="S3047" t="n">
        <v>0</v>
      </c>
      <c r="U3047" t="n">
        <v>0</v>
      </c>
    </row>
    <row r="3048">
      <c r="A3048">
        <f>Skills!A14</f>
        <v/>
      </c>
      <c r="B3048">
        <f>Skills!B14</f>
        <v/>
      </c>
      <c r="C3048">
        <f>Inputs!$B$3&gt;=107</f>
        <v/>
      </c>
      <c r="D3048">
        <f>IF(Skills!C14=1,60+Inputs!$B$26+Inputs!$B$30,IF(Skills!C14=2,90+Inputs!$B$27+Inputs!$B$30,IF(Skills!C14=3,120+Inputs!$B$28+Inputs!$B$30,MAX(0,(Inputs!$B$3-100)*3)+Inputs!$B$29+Inputs!$B$30)))</f>
        <v/>
      </c>
      <c r="E3048">
        <f>INDEX(FactorTable!$B$2:$Y$301, MATCH(ROUND(MIN(300,MAX(1,D3048)),0), FactorTable!$A$2:$A$301,0), Skills!L14+1)</f>
        <v/>
      </c>
      <c r="F3048">
        <f>IF(Skills!M14=TRUE,(Skills!K14/10)*(E3048/1000),Skills!K14/10)+Skills!N14</f>
        <v/>
      </c>
      <c r="G3048">
        <f>Calc!G14</f>
        <v/>
      </c>
      <c r="H3048">
        <f>Calc!H14</f>
        <v/>
      </c>
      <c r="I3048">
        <f>IF(Skills!T14&lt;&gt;"",1+(Skills!T14/10)*($Z$3/1000)/100,1)</f>
        <v/>
      </c>
      <c r="J3048" t="inlineStr"/>
      <c r="K3048" t="inlineStr"/>
      <c r="L3048" t="inlineStr"/>
      <c r="M3048" t="inlineStr"/>
      <c r="N3048" t="inlineStr"/>
      <c r="O3048">
        <f>(1-Summary!$B$11)*S3048+Summary!$B$11*U3048</f>
        <v/>
      </c>
      <c r="P3048">
        <f>IF(B3076=0,0,O3048/B3076)</f>
        <v/>
      </c>
      <c r="Q3048">
        <f>IFERROR(1/(IF(Inputs!$B$39="pvp",15,MAX(0.1,Skills!D14-IF(Skills!E14=TRUE,2.5,0)))*(1-IF(AND(ArtifactsInput!$M$27,Inputs!$B$4="Chapter Hunt"),CHOOSE(ArtifactsInput!$N$27+1,20,24,28,32,36,40),0)/100)),0)</f>
        <v/>
      </c>
      <c r="R3048">
        <f>IF(AND(Inputs!$B$39&lt;&gt;"pvp",Inputs!$B$44&gt;0),IF(Inputs!$B$44&lt;=0,0,(INT(Inputs!$B$44/(IF(Inputs!$B$39="pvp",15,MAX(0.1,Skills!D14-IF(Skills!E14=TRUE,2.5,0)))*(1-IF(AND(ArtifactsInput!$M$27,Inputs!$B$4="Chapter Hunt"),CHOOSE(ArtifactsInput!$N$27+1,20,24,28,32,36,40),0)/100)))+1)),0)</f>
        <v/>
      </c>
      <c r="S3048" t="n">
        <v>0</v>
      </c>
      <c r="U3048" t="n">
        <v>0</v>
      </c>
    </row>
    <row r="3049">
      <c r="A3049">
        <f>Skills!A15</f>
        <v/>
      </c>
      <c r="B3049">
        <f>Skills!B15</f>
        <v/>
      </c>
      <c r="C3049">
        <f>Inputs!$B$3&gt;=63</f>
        <v/>
      </c>
      <c r="D3049">
        <f>IF(Skills!C15=1,60+Inputs!$B$26+Inputs!$B$30,IF(Skills!C15=2,90+Inputs!$B$27+Inputs!$B$30,IF(Skills!C15=3,120+Inputs!$B$28+Inputs!$B$30,MAX(0,(Inputs!$B$3-100)*3)+Inputs!$B$29+Inputs!$B$30)))</f>
        <v/>
      </c>
      <c r="E3049">
        <f>INDEX(FactorTable!$B$2:$Y$301, MATCH(ROUND(MIN(300,MAX(1,D3049)),0), FactorTable!$A$2:$A$301,0), Skills!L15+1)</f>
        <v/>
      </c>
      <c r="F3049">
        <f>IF(Skills!M15=TRUE,(Skills!K15/10)*(E3049/1000),Skills!K15/10)+Skills!N15</f>
        <v/>
      </c>
      <c r="G3049">
        <f>Calc!G15</f>
        <v/>
      </c>
      <c r="H3049">
        <f>Calc!H15</f>
        <v/>
      </c>
      <c r="I3049">
        <f>IF(Skills!T15&lt;&gt;"",1+(Skills!T15/10)*($Z$3/1000)/100,1)</f>
        <v/>
      </c>
      <c r="J3049">
        <f>((Inputs!$B$6*(1+Inputs!$B$7/100))+(((Inputs!$B$13*(1+Inputs!$B$14/100))-(Inputs!$B$13*(1+Inputs!$B$14/100)))+0.25*(Inputs!$B$15-Inputs!$B$15))*(1+Inputs!$B$7/100))*(F3049/100)</f>
        <v/>
      </c>
      <c r="K3049">
        <f>J3049*(1+(((Inputs!$B$13+IF(Inputs!$B$3&gt;=35,(10*INDEX(FactorTable!$B$2:$Y$301,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15="TRIUMPH_FEATHER",IF(C3050=TRUE,F3050,0),0)/100)*(1+IF(C3061=TRUE,F3061,0)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3049)</f>
        <v/>
      </c>
      <c r="L3049">
        <f>K3049*(MIN(Inputs!$B$23+(F3056-Calc!F22),(Inputs!$B$24+IF(ArtifactsInput!$M$15,CHOOSE(ArtifactsInput!$N$15+1,25,30,35,40,45,50)/100*(Inputs!$B$12-Inputs!$B$12),0)))/100+(Inputs!$B$24+IF(ArtifactsInput!$M$15,CHOOSE(ArtifactsInput!$N$15+1,25,30,35,40,45,50)/100*(Inputs!$B$12-Inputs!$B$12),0))/100)/2</f>
        <v/>
      </c>
      <c r="M3049">
        <f>L3049*(1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9">
        <f>L3049*(1-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3049*(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9">
        <f>(1-Summary!$B$11)*S3049+Summary!$B$11*U3049</f>
        <v/>
      </c>
      <c r="P3049">
        <f>IF(B3076=0,0,O3049/B3076)</f>
        <v/>
      </c>
      <c r="Q3049">
        <f>IFERROR(1/(IF(Inputs!$B$39="pvp",15,MAX(0.1,Skills!D15-IF(Skills!E15=TRUE,2.5,0)))*(1-IF(AND(ArtifactsInput!$M$27,Inputs!$B$4="Chapter Hunt"),CHOOSE(ArtifactsInput!$N$27+1,20,24,28,32,36,40),0)/100)),0)</f>
        <v/>
      </c>
      <c r="R3049" t="n">
        <v>0</v>
      </c>
      <c r="S3049">
        <f>IF(C3049,(Skills!F15*N3049*((IF(Inputs!$B$3&gt;=78,25,15)/100*B3069*10)/(1+IF(Inputs!$B$3&gt;=78,25,15)/100*B3069*10))*(Skills!I15/100*B3069)/(1+Skills!G15*Skills!I15/100*B3069))*IF(Inputs!$B$39="pvp",1,1+(Inputs!$B$21+Skills!O15+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3049*(1-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3049*(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3049*(1-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3049*(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9">
        <f>IF(C3049,(Skills!F15*N3049*((IF(Inputs!$B$3&gt;=78,25,15)/100*B3069*10)/(1+IF(Inputs!$B$3&gt;=78,25,15)/100*B3069*10))*(Skills!I15/100*B3069)/(1+Skills!G15*Skills!I15/100*B3069))*IF(Inputs!$B$39="pvp",1,(1+(Inputs!$B$22+Skills!P15+B3065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0">
      <c r="A3050">
        <f>Skills!A16</f>
        <v/>
      </c>
      <c r="B3050">
        <f>Skills!B16</f>
        <v/>
      </c>
      <c r="C3050">
        <f>Inputs!$B$3&gt;=100</f>
        <v/>
      </c>
      <c r="D3050">
        <f>IF(Skills!C16=1,60+Inputs!$B$26+Inputs!$B$30,IF(Skills!C16=2,90+Inputs!$B$27+Inputs!$B$30,IF(Skills!C16=3,120+Inputs!$B$28+Inputs!$B$30,MAX(0,(Inputs!$B$3-100)*3)+Inputs!$B$29+Inputs!$B$30)))</f>
        <v/>
      </c>
      <c r="E3050">
        <f>INDEX(FactorTable!$B$2:$Y$301, MATCH(ROUND(MIN(300,MAX(1,D3050)),0), FactorTable!$A$2:$A$301,0), Skills!L16+1)</f>
        <v/>
      </c>
      <c r="F3050">
        <f>IF(Skills!M16=TRUE,(Skills!K16/10)*(E3050/1000),Skills!K16/10)+Skills!N16</f>
        <v/>
      </c>
      <c r="G3050">
        <f>Calc!G16</f>
        <v/>
      </c>
      <c r="H3050">
        <f>Calc!H16</f>
        <v/>
      </c>
      <c r="I3050">
        <f>IF(Skills!T16&lt;&gt;"",1+(Skills!T16/10)*($Z$3/1000)/100,1)</f>
        <v/>
      </c>
      <c r="J3050" t="inlineStr"/>
      <c r="K3050" t="inlineStr"/>
      <c r="L3050" t="inlineStr"/>
      <c r="M3050" t="inlineStr"/>
      <c r="N3050" t="inlineStr"/>
      <c r="O3050">
        <f>(1-Summary!$B$11)*S3050+Summary!$B$11*U3050</f>
        <v/>
      </c>
      <c r="P3050">
        <f>IF(B3076=0,0,O3050/B3076)</f>
        <v/>
      </c>
      <c r="Q3050">
        <f>IFERROR(1/(IF(Inputs!$B$39="pvp",15,MAX(0.1,Skills!D16-IF(Skills!E16=TRUE,2.5,0)))*(1-IF(AND(ArtifactsInput!$M$27,Inputs!$B$4="Chapter Hunt"),CHOOSE(ArtifactsInput!$N$27+1,20,24,28,32,36,40),0)/100)),0)</f>
        <v/>
      </c>
      <c r="R3050" t="n">
        <v>0</v>
      </c>
      <c r="S3050" t="n">
        <v>0</v>
      </c>
      <c r="U3050" t="n">
        <v>0</v>
      </c>
    </row>
    <row r="3051">
      <c r="A3051">
        <f>Skills!A17</f>
        <v/>
      </c>
      <c r="B3051">
        <f>Skills!B17</f>
        <v/>
      </c>
      <c r="C3051">
        <f>Inputs!$B$3&gt;=49</f>
        <v/>
      </c>
      <c r="D3051">
        <f>IF(Skills!C17=1,60+Inputs!$B$26+Inputs!$B$30,IF(Skills!C17=2,90+Inputs!$B$27+Inputs!$B$30,IF(Skills!C17=3,120+Inputs!$B$28+Inputs!$B$30,MAX(0,(Inputs!$B$3-100)*3)+Inputs!$B$29+Inputs!$B$30)))</f>
        <v/>
      </c>
      <c r="E3051">
        <f>INDEX(FactorTable!$B$2:$Y$301, MATCH(ROUND(MIN(300,MAX(1,D3051)),0), FactorTable!$A$2:$A$301,0), Skills!L17+1)</f>
        <v/>
      </c>
      <c r="F3051">
        <f>IF(Skills!M17=TRUE,(Skills!K17/10)*(E3051/1000),Skills!K17/10)+Skills!N17</f>
        <v/>
      </c>
      <c r="G3051">
        <f>Calc!G17</f>
        <v/>
      </c>
      <c r="H3051">
        <f>Calc!H17</f>
        <v/>
      </c>
      <c r="I3051">
        <f>IF(Skills!T17&lt;&gt;"",1+(Skills!T17/10)*($Z$3/1000)/100,1)</f>
        <v/>
      </c>
      <c r="J3051" t="inlineStr"/>
      <c r="K3051" t="inlineStr"/>
      <c r="L3051" t="inlineStr"/>
      <c r="M3051" t="inlineStr"/>
      <c r="N3051" t="inlineStr"/>
      <c r="O3051">
        <f>(1-Summary!$B$11)*S3051+Summary!$B$11*U3051</f>
        <v/>
      </c>
      <c r="P3051">
        <f>IF(B3076=0,0,O3051/B3076)</f>
        <v/>
      </c>
      <c r="Q3051">
        <f>IFERROR(1/(IF(Inputs!$B$39="pvp",15,MAX(0.1,Skills!D17-IF(Skills!E17=TRUE,2.5,0)))*(1-IF(AND(ArtifactsInput!$M$27,Inputs!$B$4="Chapter Hunt"),CHOOSE(ArtifactsInput!$N$27+1,20,24,28,32,36,40),0)/100)),0)</f>
        <v/>
      </c>
      <c r="R3051" t="n">
        <v>0</v>
      </c>
      <c r="S3051" t="n">
        <v>0</v>
      </c>
      <c r="U3051" t="n">
        <v>0</v>
      </c>
    </row>
    <row r="3052">
      <c r="A3052">
        <f>Skills!A18</f>
        <v/>
      </c>
      <c r="B3052">
        <f>Skills!B18</f>
        <v/>
      </c>
      <c r="C3052">
        <f>Inputs!$B$3&gt;=75</f>
        <v/>
      </c>
      <c r="D3052">
        <f>IF(Skills!C18=1,60+Inputs!$B$26+Inputs!$B$30,IF(Skills!C18=2,90+Inputs!$B$27+Inputs!$B$30,IF(Skills!C18=3,120+Inputs!$B$28+Inputs!$B$30,MAX(0,(Inputs!$B$3-100)*3)+Inputs!$B$29+Inputs!$B$30)))</f>
        <v/>
      </c>
      <c r="E3052">
        <f>INDEX(FactorTable!$B$2:$Y$301, MATCH(ROUND(MIN(300,MAX(1,D3052)),0), FactorTable!$A$2:$A$301,0), Skills!L18+1)</f>
        <v/>
      </c>
      <c r="F3052">
        <f>IF(Skills!M18=TRUE,(Skills!K18/10)*(E3052/1000),Skills!K18/10)+Skills!N18</f>
        <v/>
      </c>
      <c r="G3052">
        <f>Calc!G18</f>
        <v/>
      </c>
      <c r="H3052">
        <f>Calc!H18</f>
        <v/>
      </c>
      <c r="I3052">
        <f>IF(Skills!T18&lt;&gt;"",1+(Skills!T18/10)*($Z$3/1000)/100,1)</f>
        <v/>
      </c>
      <c r="J3052" t="inlineStr"/>
      <c r="K3052" t="inlineStr"/>
      <c r="L3052" t="inlineStr"/>
      <c r="M3052" t="inlineStr"/>
      <c r="N3052" t="inlineStr"/>
      <c r="O3052">
        <f>(1-Summary!$B$11)*S3052+Summary!$B$11*U3052</f>
        <v/>
      </c>
      <c r="P3052">
        <f>IF(B3076=0,0,O3052/B3076)</f>
        <v/>
      </c>
      <c r="Q3052">
        <f>IFERROR(1/(IF(Inputs!$B$39="pvp",15,MAX(0.1,Skills!D18-IF(Skills!E18=TRUE,2.5,0)))*(1-IF(AND(ArtifactsInput!$M$27,Inputs!$B$4="Chapter Hunt"),CHOOSE(ArtifactsInput!$N$27+1,20,24,28,32,36,40),0)/100)),0)</f>
        <v/>
      </c>
      <c r="R3052" t="n">
        <v>0</v>
      </c>
      <c r="S3052" t="n">
        <v>0</v>
      </c>
      <c r="U3052" t="n">
        <v>0</v>
      </c>
    </row>
    <row r="3053">
      <c r="A3053">
        <f>Skills!A19</f>
        <v/>
      </c>
      <c r="B3053">
        <f>Skills!B19</f>
        <v/>
      </c>
      <c r="C3053">
        <f>Inputs!$B$3&gt;=110</f>
        <v/>
      </c>
      <c r="D3053">
        <f>IF(Skills!C19=1,60+Inputs!$B$26+Inputs!$B$30,IF(Skills!C19=2,90+Inputs!$B$27+Inputs!$B$30,IF(Skills!C19=3,120+Inputs!$B$28+Inputs!$B$30,MAX(0,(Inputs!$B$3-100)*3)+Inputs!$B$29+Inputs!$B$30)))</f>
        <v/>
      </c>
      <c r="E3053">
        <f>INDEX(FactorTable!$B$2:$Y$301, MATCH(ROUND(MIN(300,MAX(1,D3053)),0), FactorTable!$A$2:$A$301,0), Skills!L19+1)</f>
        <v/>
      </c>
      <c r="F3053">
        <f>(Skills!K19/10)*(E3053/1000)*64/45+Skills!N19</f>
        <v/>
      </c>
      <c r="G3053">
        <f>Calc!G19</f>
        <v/>
      </c>
      <c r="H3053">
        <f>Calc!H19</f>
        <v/>
      </c>
      <c r="I3053">
        <f>IF(Skills!T19&lt;&gt;"",1+(Skills!T19/10)*($Z$3/1000)/100,1)</f>
        <v/>
      </c>
      <c r="J3053" t="inlineStr"/>
      <c r="K3053" t="inlineStr"/>
      <c r="L3053" t="inlineStr"/>
      <c r="M3053" t="inlineStr"/>
      <c r="N3053" t="inlineStr"/>
      <c r="O3053">
        <f>(1-Summary!$B$11)*S3053+Summary!$B$11*U3053</f>
        <v/>
      </c>
      <c r="P3053">
        <f>IF(B3076=0,0,O3053/B3076)</f>
        <v/>
      </c>
      <c r="Q3053">
        <f>IFERROR(1/(IF(Inputs!$B$39="pvp",15,MAX(0.1,Skills!D19-IF(Skills!E19=TRUE,2.5,0)))*(1-IF(AND(ArtifactsInput!$M$27,Inputs!$B$4="Chapter Hunt"),CHOOSE(ArtifactsInput!$N$27+1,20,24,28,32,36,40),0)/100)),0)</f>
        <v/>
      </c>
      <c r="R3053">
        <f>IF(AND(Inputs!$B$39&lt;&gt;"pvp",Inputs!$B$44&gt;0),IF(Inputs!$B$44&lt;=0,0,(INT(Inputs!$B$44/(IF(Inputs!$B$39="pvp",15,MAX(0.1,Skills!D19-IF(Skills!E19=TRUE,2.5,0)))*(1-IF(AND(ArtifactsInput!$M$27,Inputs!$B$4="Chapter Hunt"),CHOOSE(ArtifactsInput!$N$27+1,20,24,28,32,36,40),0)/100)))+1)),0)</f>
        <v/>
      </c>
      <c r="S3053" t="n">
        <v>0</v>
      </c>
      <c r="U3053" t="n">
        <v>0</v>
      </c>
    </row>
    <row r="3054">
      <c r="A3054">
        <f>Skills!A20</f>
        <v/>
      </c>
      <c r="B3054">
        <f>Skills!B20</f>
        <v/>
      </c>
      <c r="C3054">
        <f>Inputs!$B$3&gt;=125</f>
        <v/>
      </c>
      <c r="D3054">
        <f>IF(Skills!C20=1,60+Inputs!$B$26+Inputs!$B$30,IF(Skills!C20=2,90+Inputs!$B$27+Inputs!$B$30,IF(Skills!C20=3,120+Inputs!$B$28+Inputs!$B$30,MAX(0,(Inputs!$B$3-100)*3)+Inputs!$B$29+Inputs!$B$30)))</f>
        <v/>
      </c>
      <c r="E3054">
        <f>INDEX(FactorTable!$B$2:$Y$301, MATCH(ROUND(MIN(300,MAX(1,D3054)),0), FactorTable!$A$2:$A$301,0), Skills!L20+1)</f>
        <v/>
      </c>
      <c r="F3054">
        <f>IF(Skills!M20=TRUE,(Skills!K20/10)*(E3054/1000),Skills!K20/10)+Skills!N20</f>
        <v/>
      </c>
      <c r="G3054">
        <f>Calc!G20</f>
        <v/>
      </c>
      <c r="H3054">
        <f>Calc!H20</f>
        <v/>
      </c>
      <c r="I3054">
        <f>IF(Skills!T20&lt;&gt;"",1+(Skills!T20/10)*($Z$3/1000)/100,1)</f>
        <v/>
      </c>
      <c r="J3054" t="inlineStr"/>
      <c r="K3054" t="inlineStr"/>
      <c r="L3054" t="inlineStr"/>
      <c r="M3054" t="inlineStr"/>
      <c r="N3054" t="inlineStr"/>
      <c r="O3054">
        <f>(1-Summary!$B$11)*S3054+Summary!$B$11*U3054</f>
        <v/>
      </c>
      <c r="P3054">
        <f>IF(B3076=0,0,O3054/B3076)</f>
        <v/>
      </c>
      <c r="Q3054">
        <f>IFERROR(1/(IF(Inputs!$B$39="pvp",15,MAX(0.1,Skills!D20-IF(Skills!E20=TRUE,2.5,0)))*(1-IF(AND(ArtifactsInput!$M$27,Inputs!$B$4="Chapter Hunt"),CHOOSE(ArtifactsInput!$N$27+1,20,24,28,32,36,40),0)/100)),0)</f>
        <v/>
      </c>
      <c r="R3054" t="n">
        <v>0</v>
      </c>
      <c r="S3054" t="n">
        <v>0</v>
      </c>
      <c r="U3054" t="n">
        <v>0</v>
      </c>
    </row>
    <row r="3055">
      <c r="A3055">
        <f>Skills!A21</f>
        <v/>
      </c>
      <c r="B3055">
        <f>Skills!B21</f>
        <v/>
      </c>
      <c r="C3055">
        <f>Inputs!$B$3&gt;=33</f>
        <v/>
      </c>
      <c r="D3055">
        <f>IF(Skills!C21=1,60+Inputs!$B$26+Inputs!$B$30,IF(Skills!C21=2,90+Inputs!$B$27+Inputs!$B$30,IF(Skills!C21=3,120+Inputs!$B$28+Inputs!$B$30,MAX(0,(Inputs!$B$3-100)*3)+Inputs!$B$29+Inputs!$B$30)))</f>
        <v/>
      </c>
      <c r="E3055">
        <f>INDEX(FactorTable!$B$2:$Y$301, MATCH(ROUND(MIN(300,MAX(1,D3055)),0), FactorTable!$A$2:$A$301,0), Skills!L21+1)</f>
        <v/>
      </c>
      <c r="F3055">
        <f>IF(Skills!M21=TRUE,(Skills!K21/10)*(E3055/1000),Skills!K21/10)+Skills!N21</f>
        <v/>
      </c>
      <c r="G3055">
        <f>Calc!G21</f>
        <v/>
      </c>
      <c r="H3055">
        <f>Calc!H21</f>
        <v/>
      </c>
      <c r="I3055">
        <f>IF(Skills!T21&lt;&gt;"",1+(Skills!T21/10)*($Z$3/1000)/100,1)</f>
        <v/>
      </c>
      <c r="J3055" t="inlineStr"/>
      <c r="K3055" t="inlineStr"/>
      <c r="L3055" t="inlineStr"/>
      <c r="M3055" t="inlineStr"/>
      <c r="N3055" t="inlineStr"/>
      <c r="O3055">
        <f>(1-Summary!$B$11)*S3055+Summary!$B$11*U3055</f>
        <v/>
      </c>
      <c r="P3055">
        <f>IF(B3076=0,0,O3055/B3076)</f>
        <v/>
      </c>
      <c r="Q3055">
        <f>IFERROR(1/(IF(Inputs!$B$39="pvp",15,MAX(0.1,Skills!D21-IF(Skills!E21=TRUE,2.5,0)))*(1-IF(AND(ArtifactsInput!$M$27,Inputs!$B$4="Chapter Hunt"),CHOOSE(ArtifactsInput!$N$27+1,20,24,28,32,36,40),0)/100)),0)</f>
        <v/>
      </c>
      <c r="R3055" t="n">
        <v>0</v>
      </c>
      <c r="S3055" t="n">
        <v>0</v>
      </c>
      <c r="U3055" t="n">
        <v>0</v>
      </c>
    </row>
    <row r="3056">
      <c r="A3056">
        <f>Skills!A22</f>
        <v/>
      </c>
      <c r="B3056">
        <f>Skills!B22</f>
        <v/>
      </c>
      <c r="C3056">
        <f>Inputs!$B$3&gt;=43</f>
        <v/>
      </c>
      <c r="D3056">
        <f>IF(Skills!C22=1,60+Inputs!$B$26+Inputs!$B$30,IF(Skills!C22=2,90+Inputs!$B$27+Inputs!$B$30,IF(Skills!C22=3,120+Inputs!$B$28+Inputs!$B$30,MAX(0,(Inputs!$B$3-100)*3)+Inputs!$B$29+Inputs!$B$30)))</f>
        <v/>
      </c>
      <c r="E3056">
        <f>INDEX(FactorTable!$B$2:$Y$301, MATCH(ROUND(MIN(300,MAX(1,D3056)),0), FactorTable!$A$2:$A$301,0), Skills!L22+1)</f>
        <v/>
      </c>
      <c r="F3056">
        <f>IF(Skills!M22=TRUE,(Skills!K22/10)*(E3056/1000),Skills!K22/10)+Skills!N22</f>
        <v/>
      </c>
      <c r="G3056">
        <f>Calc!G22</f>
        <v/>
      </c>
      <c r="H3056">
        <f>Calc!H22</f>
        <v/>
      </c>
      <c r="I3056">
        <f>IF(Skills!T22&lt;&gt;"",1+(Skills!T22/10)*($Z$3/1000)/100,1)</f>
        <v/>
      </c>
      <c r="J3056" t="inlineStr"/>
      <c r="K3056" t="inlineStr"/>
      <c r="L3056" t="inlineStr"/>
      <c r="M3056" t="inlineStr"/>
      <c r="N3056" t="inlineStr"/>
      <c r="O3056">
        <f>(1-Summary!$B$11)*S3056+Summary!$B$11*U3056</f>
        <v/>
      </c>
      <c r="P3056">
        <f>IF(B3076=0,0,O3056/B3076)</f>
        <v/>
      </c>
      <c r="Q3056">
        <f>IFERROR(1/(IF(Inputs!$B$39="pvp",15,MAX(0.1,Skills!D22-IF(Skills!E22=TRUE,2.5,0)))*(1-IF(AND(ArtifactsInput!$M$27,Inputs!$B$4="Chapter Hunt"),CHOOSE(ArtifactsInput!$N$27+1,20,24,28,32,36,40),0)/100)),0)</f>
        <v/>
      </c>
      <c r="R3056" t="n">
        <v>0</v>
      </c>
      <c r="S3056" t="n">
        <v>0</v>
      </c>
      <c r="U3056" t="n">
        <v>0</v>
      </c>
    </row>
    <row r="3057">
      <c r="A3057">
        <f>Skills!A23</f>
        <v/>
      </c>
      <c r="B3057">
        <f>Skills!B23</f>
        <v/>
      </c>
      <c r="C3057">
        <f>Inputs!$B$3&gt;=50</f>
        <v/>
      </c>
      <c r="D3057">
        <f>IF(Skills!C23=1,60+Inputs!$B$26+Inputs!$B$30,IF(Skills!C23=2,90+Inputs!$B$27+Inputs!$B$30,IF(Skills!C23=3,120+Inputs!$B$28+Inputs!$B$30,MAX(0,(Inputs!$B$3-100)*3)+Inputs!$B$29+Inputs!$B$30)))</f>
        <v/>
      </c>
      <c r="E3057">
        <f>INDEX(FactorTable!$B$2:$Y$301, MATCH(ROUND(MIN(300,MAX(1,D3057)),0), FactorTable!$A$2:$A$301,0), Skills!L23+1)</f>
        <v/>
      </c>
      <c r="F3057">
        <f>IF(Skills!M23=TRUE,(Skills!K23/10)*(E3057/1000),Skills!K23/10)+Skills!N23</f>
        <v/>
      </c>
      <c r="G3057">
        <f>Calc!G23</f>
        <v/>
      </c>
      <c r="H3057">
        <f>Calc!H23</f>
        <v/>
      </c>
      <c r="I3057">
        <f>IF(Skills!T23&lt;&gt;"",1+(Skills!T23/10)*($Z$3/1000)/100,1)</f>
        <v/>
      </c>
      <c r="J3057" t="inlineStr"/>
      <c r="K3057" t="inlineStr"/>
      <c r="L3057" t="inlineStr"/>
      <c r="M3057" t="inlineStr"/>
      <c r="N3057" t="inlineStr"/>
      <c r="O3057">
        <f>(1-Summary!$B$11)*S3057+Summary!$B$11*U3057</f>
        <v/>
      </c>
      <c r="P3057">
        <f>IF(B3076=0,0,O3057/B3076)</f>
        <v/>
      </c>
      <c r="Q3057">
        <f>IFERROR(1/(IF(Inputs!$B$39="pvp",15,MAX(0.1,Skills!D23-IF(Skills!E23=TRUE,2.5,0)))*(1-IF(AND(ArtifactsInput!$M$27,Inputs!$B$4="Chapter Hunt"),CHOOSE(ArtifactsInput!$N$27+1,20,24,28,32,36,40),0)/100)),0)</f>
        <v/>
      </c>
      <c r="R3057" t="n">
        <v>0</v>
      </c>
      <c r="S3057" t="n">
        <v>0</v>
      </c>
      <c r="U3057" t="n">
        <v>0</v>
      </c>
    </row>
    <row r="3058">
      <c r="A3058">
        <f>Skills!A24</f>
        <v/>
      </c>
      <c r="B3058">
        <f>Skills!B24</f>
        <v/>
      </c>
      <c r="C3058">
        <f>Inputs!$B$3&gt;=74</f>
        <v/>
      </c>
      <c r="D3058">
        <f>IF(Skills!C24=1,60+Inputs!$B$26+Inputs!$B$30,IF(Skills!C24=2,90+Inputs!$B$27+Inputs!$B$30,IF(Skills!C24=3,120+Inputs!$B$28+Inputs!$B$30,MAX(0,(Inputs!$B$3-100)*3)+Inputs!$B$29+Inputs!$B$30)))</f>
        <v/>
      </c>
      <c r="E3058">
        <f>INDEX(FactorTable!$B$2:$Y$301, MATCH(ROUND(MIN(300,MAX(1,D3058)),0), FactorTable!$A$2:$A$301,0), Skills!L24+1)</f>
        <v/>
      </c>
      <c r="F3058">
        <f>IF(Skills!M24=TRUE,(Skills!K24/10)*(E3058/1000),Skills!K24/10)+Skills!N24</f>
        <v/>
      </c>
      <c r="G3058">
        <f>Calc!G24</f>
        <v/>
      </c>
      <c r="H3058">
        <f>Calc!H24</f>
        <v/>
      </c>
      <c r="I3058">
        <f>IF(Skills!T24&lt;&gt;"",1+(Skills!T24/10)*($Z$3/1000)/100,1)</f>
        <v/>
      </c>
      <c r="J3058" t="inlineStr"/>
      <c r="K3058" t="inlineStr"/>
      <c r="L3058" t="inlineStr"/>
      <c r="M3058" t="inlineStr"/>
      <c r="N3058" t="inlineStr"/>
      <c r="O3058">
        <f>(1-Summary!$B$11)*S3058+Summary!$B$11*U3058</f>
        <v/>
      </c>
      <c r="P3058">
        <f>IF(B3076=0,0,O3058/B3076)</f>
        <v/>
      </c>
      <c r="Q3058">
        <f>IFERROR(1/(IF(Inputs!$B$39="pvp",15,MAX(0.1,Skills!D24-IF(Skills!E24=TRUE,2.5,0)))*(1-IF(AND(ArtifactsInput!$M$27,Inputs!$B$4="Chapter Hunt"),CHOOSE(ArtifactsInput!$N$27+1,20,24,28,32,36,40),0)/100)),0)</f>
        <v/>
      </c>
      <c r="R3058" t="n">
        <v>0</v>
      </c>
      <c r="S3058" t="n">
        <v>0</v>
      </c>
      <c r="U3058" t="n">
        <v>0</v>
      </c>
    </row>
    <row r="3059">
      <c r="A3059">
        <f>Skills!A25</f>
        <v/>
      </c>
      <c r="B3059">
        <f>Skills!B25</f>
        <v/>
      </c>
      <c r="C3059">
        <f>Inputs!$B$3&gt;=74</f>
        <v/>
      </c>
      <c r="D3059">
        <f>IF(Skills!C25=1,60+Inputs!$B$26+Inputs!$B$30,IF(Skills!C25=2,90+Inputs!$B$27+Inputs!$B$30,IF(Skills!C25=3,120+Inputs!$B$28+Inputs!$B$30,MAX(0,(Inputs!$B$3-100)*3)+Inputs!$B$29+Inputs!$B$30)))</f>
        <v/>
      </c>
      <c r="E3059">
        <f>INDEX(FactorTable!$B$2:$Y$301, MATCH(ROUND(MIN(300,MAX(1,D3059)),0), FactorTable!$A$2:$A$301,0), Skills!L25+1)</f>
        <v/>
      </c>
      <c r="F3059">
        <f>IF(Skills!M25=TRUE,(Skills!K25/10)*(E3059/1000),Skills!K25/10)+Skills!N25</f>
        <v/>
      </c>
      <c r="G3059">
        <f>Calc!G25</f>
        <v/>
      </c>
      <c r="H3059">
        <f>Calc!H25</f>
        <v/>
      </c>
      <c r="I3059">
        <f>IF(Skills!T25&lt;&gt;"",1+(Skills!T25/10)*($Z$3/1000)/100,1)</f>
        <v/>
      </c>
      <c r="J3059" t="inlineStr"/>
      <c r="K3059" t="inlineStr"/>
      <c r="L3059" t="inlineStr"/>
      <c r="M3059" t="inlineStr"/>
      <c r="N3059" t="inlineStr"/>
      <c r="O3059">
        <f>(1-Summary!$B$11)*S3059+Summary!$B$11*U3059</f>
        <v/>
      </c>
      <c r="P3059">
        <f>IF(B3076=0,0,O3059/B3076)</f>
        <v/>
      </c>
      <c r="Q3059">
        <f>IFERROR(1/(IF(Inputs!$B$39="pvp",15,MAX(0.1,Skills!D25-IF(Skills!E25=TRUE,2.5,0)))*(1-IF(AND(ArtifactsInput!$M$27,Inputs!$B$4="Chapter Hunt"),CHOOSE(ArtifactsInput!$N$27+1,20,24,28,32,36,40),0)/100)),0)</f>
        <v/>
      </c>
      <c r="R3059" t="n">
        <v>0</v>
      </c>
      <c r="S3059" t="n">
        <v>0</v>
      </c>
      <c r="U3059" t="n">
        <v>0</v>
      </c>
    </row>
    <row r="3060">
      <c r="A3060">
        <f>Skills!A26</f>
        <v/>
      </c>
      <c r="B3060">
        <f>Skills!B26</f>
        <v/>
      </c>
      <c r="C3060">
        <f>Inputs!$B$3&gt;=117</f>
        <v/>
      </c>
      <c r="D3060">
        <f>IF(Skills!C26=1,60+Inputs!$B$26+Inputs!$B$30,IF(Skills!C26=2,90+Inputs!$B$27+Inputs!$B$30,IF(Skills!C26=3,120+Inputs!$B$28+Inputs!$B$30,MAX(0,(Inputs!$B$3-100)*3)+Inputs!$B$29+Inputs!$B$30)))</f>
        <v/>
      </c>
      <c r="E3060">
        <f>INDEX(FactorTable!$B$2:$Y$301, MATCH(ROUND(MIN(300,MAX(1,D3060)),0), FactorTable!$A$2:$A$301,0), Skills!L26+1)</f>
        <v/>
      </c>
      <c r="F3060">
        <f>IF(Skills!M26=TRUE,(Skills!K26/10)*(E3060/1000),Skills!K26/10)+Skills!N26</f>
        <v/>
      </c>
      <c r="G3060">
        <f>Calc!G26</f>
        <v/>
      </c>
      <c r="H3060">
        <f>Calc!H26</f>
        <v/>
      </c>
      <c r="I3060">
        <f>IF(Skills!T26&lt;&gt;"",1+(Skills!T26/10)*($Z$3/1000)/100,1)</f>
        <v/>
      </c>
      <c r="J3060" t="inlineStr"/>
      <c r="K3060" t="inlineStr"/>
      <c r="L3060" t="inlineStr"/>
      <c r="M3060" t="inlineStr"/>
      <c r="N3060" t="inlineStr"/>
      <c r="O3060">
        <f>(1-Summary!$B$11)*S3060+Summary!$B$11*U3060</f>
        <v/>
      </c>
      <c r="P3060">
        <f>IF(B3076=0,0,O3060/B3076)</f>
        <v/>
      </c>
      <c r="Q3060">
        <f>IFERROR(1/(IF(Inputs!$B$39="pvp",15,MAX(0.1,Skills!D26-IF(Skills!E26=TRUE,2.5,0)))*(1-IF(AND(ArtifactsInput!$M$27,Inputs!$B$4="Chapter Hunt"),CHOOSE(ArtifactsInput!$N$27+1,20,24,28,32,36,40),0)/100)),0)</f>
        <v/>
      </c>
      <c r="R3060" t="n">
        <v>0</v>
      </c>
      <c r="S3060" t="n">
        <v>0</v>
      </c>
      <c r="U3060" t="n">
        <v>0</v>
      </c>
    </row>
    <row r="3061">
      <c r="A3061">
        <f>Skills!A27</f>
        <v/>
      </c>
      <c r="B3061">
        <f>Skills!B27</f>
        <v/>
      </c>
      <c r="C3061">
        <f>Inputs!$B$3&gt;=120</f>
        <v/>
      </c>
      <c r="D3061">
        <f>IF(Skills!C27=1,60+Inputs!$B$26+Inputs!$B$30,IF(Skills!C27=2,90+Inputs!$B$27+Inputs!$B$30,IF(Skills!C27=3,120+Inputs!$B$28+Inputs!$B$30,MAX(0,(Inputs!$B$3-100)*3)+Inputs!$B$29+Inputs!$B$30)))</f>
        <v/>
      </c>
      <c r="E3061">
        <f>INDEX(FactorTable!$B$2:$Y$301, MATCH(ROUND(MIN(300,MAX(1,D3061)),0), FactorTable!$A$2:$A$301,0), Skills!L27+1)</f>
        <v/>
      </c>
      <c r="F3061">
        <f>IF(Skills!M27=TRUE,(Skills!K27/10)*(E3061/1000),Skills!K27/10)+Skills!N27</f>
        <v/>
      </c>
      <c r="G3061">
        <f>Calc!G27</f>
        <v/>
      </c>
      <c r="H3061">
        <f>Calc!H27</f>
        <v/>
      </c>
      <c r="I3061">
        <f>IF(Skills!T27&lt;&gt;"",1+(Skills!T27/10)*($Z$3/1000)/100,1)</f>
        <v/>
      </c>
      <c r="J3061" t="inlineStr"/>
      <c r="K3061" t="inlineStr"/>
      <c r="L3061" t="inlineStr"/>
      <c r="M3061" t="inlineStr"/>
      <c r="N3061" t="inlineStr"/>
      <c r="O3061">
        <f>(1-Summary!$B$11)*S3061+Summary!$B$11*U3061</f>
        <v/>
      </c>
      <c r="P3061">
        <f>IF(B3076=0,0,O3061/B3076)</f>
        <v/>
      </c>
      <c r="Q3061">
        <f>IFERROR(1/(IF(Inputs!$B$39="pvp",15,MAX(0.1,Skills!D27-IF(Skills!E27=TRUE,2.5,0)))*(1-IF(AND(ArtifactsInput!$M$27,Inputs!$B$4="Chapter Hunt"),CHOOSE(ArtifactsInput!$N$27+1,20,24,28,32,36,40),0)/100)),0)</f>
        <v/>
      </c>
      <c r="R3061" t="n">
        <v>0</v>
      </c>
      <c r="S3061" t="n">
        <v>0</v>
      </c>
      <c r="U3061" t="n">
        <v>0</v>
      </c>
    </row>
    <row r="3063">
      <c r="A3063" t="inlineStr">
        <is>
          <t>Average Buff Multiplier</t>
        </is>
      </c>
      <c r="B3063">
        <f>(1+(IF(C3037=TRUE,F3037*IF(AND(Inputs!$B$39&lt;&gt;"pvp",Inputs!$B$44&gt;0),(((R3037-1)*(Skills!S3*(1+((Inputs!$B$35+(ArtifactsInput!$M$7-ArtifactsInput!$M$7)*CHOOSE(ArtifactsInput!$N$7+1,6,7.2,8.4,9.6,10.8,12))+IF(Inputs!$B$3&gt;=117,F3060,0))/100))+MIN((Skills!S3*(1+((Inputs!$B$35+(ArtifactsInput!$M$7-ArtifactsInput!$M$7)*CHOOSE(ArtifactsInput!$N$7+1,6,7.2,8.4,9.6,10.8,12))+IF(Inputs!$B$3&gt;=117,F3060,0))/100)),MAX(0,Inputs!$B$44-((R3037-1)*Skills!D3))))/Inputs!$B$44),IF(Inputs!$B$39="pvp",MIN((Skills!S3*(1+((Inputs!$B$35+(ArtifactsInput!$M$7-ArtifactsInput!$M$7)*CHOOSE(ArtifactsInput!$N$7+1,6,7.2,8.4,9.6,10.8,12))+IF(Inputs!$B$3&gt;=117,F3060,0))/100)),15)/15,(Skills!S3*(1+((Inputs!$B$35+(ArtifactsInput!$M$7-ArtifactsInput!$M$7)*CHOOSE(ArtifactsInput!$N$7+1,6,7.2,8.4,9.6,10.8,12))+IF(Inputs!$B$3&gt;=117,F3060,0))/100))/Skills!D3)),0)+IF(C3038=TRUE,F3038*IF(AND(Inputs!$B$39&lt;&gt;"pvp",Inputs!$B$44&gt;0),(((R3038-1)*(Skills!S4*(1+((Inputs!$B$35+(ArtifactsInput!$M$7-ArtifactsInput!$M$7)*CHOOSE(ArtifactsInput!$N$7+1,6,7.2,8.4,9.6,10.8,12))+IF(Inputs!$B$3&gt;=117,F3060,0))/100))+MIN((Skills!S4*(1+((Inputs!$B$35+(ArtifactsInput!$M$7-ArtifactsInput!$M$7)*CHOOSE(ArtifactsInput!$N$7+1,6,7.2,8.4,9.6,10.8,12))+IF(Inputs!$B$3&gt;=117,F3060,0))/100)),MAX(0,Inputs!$B$44-((R3038-1)*Skills!D4))))/Inputs!$B$44),IF(Inputs!$B$39="pvp",MIN((Skills!S4*(1+((Inputs!$B$35+(ArtifactsInput!$M$7-ArtifactsInput!$M$7)*CHOOSE(ArtifactsInput!$N$7+1,6,7.2,8.4,9.6,10.8,12))+IF(Inputs!$B$3&gt;=117,F3060,0))/100)),15)/15,(Skills!S4*(1+((Inputs!$B$35+(ArtifactsInput!$M$7-ArtifactsInput!$M$7)*CHOOSE(ArtifactsInput!$N$7+1,6,7.2,8.4,9.6,10.8,12))+IF(Inputs!$B$3&gt;=117,F3060,0))/100))/Skills!D4)),0)+IF(C3039=TRUE,F3039*IF(AND(Inputs!$B$39&lt;&gt;"pvp",Inputs!$B$44&gt;0),(((R3039-1)*(Skills!S5*(1+((Inputs!$B$35+(ArtifactsInput!$M$7-ArtifactsInput!$M$7)*CHOOSE(ArtifactsInput!$N$7+1,6,7.2,8.4,9.6,10.8,12))+IF(Inputs!$B$3&gt;=117,F3060,0))/100))+MIN((Skills!S5*(1+((Inputs!$B$35+(ArtifactsInput!$M$7-ArtifactsInput!$M$7)*CHOOSE(ArtifactsInput!$N$7+1,6,7.2,8.4,9.6,10.8,12))+IF(Inputs!$B$3&gt;=117,F3060,0))/100)),MAX(0,Inputs!$B$44-((R3039-1)*Skills!D5))))/Inputs!$B$44),IF(Inputs!$B$39="pvp",MIN((Skills!S5*(1+((Inputs!$B$35+(ArtifactsInput!$M$7-ArtifactsInput!$M$7)*CHOOSE(ArtifactsInput!$N$7+1,6,7.2,8.4,9.6,10.8,12))+IF(Inputs!$B$3&gt;=117,F3060,0))/100)),15)/15,(Skills!S5*(1+((Inputs!$B$35+(ArtifactsInput!$M$7-ArtifactsInput!$M$7)*CHOOSE(ArtifactsInput!$N$7+1,6,7.2,8.4,9.6,10.8,12))+IF(Inputs!$B$3&gt;=117,F3060,0))/100))/Skills!D5)),0)+IF(C3045=TRUE,F3045*IF(AND(Inputs!$B$39&lt;&gt;"pvp",Inputs!$B$44&gt;0),(((R3045-1)*(Skills!S11*(1+((Inputs!$B$35+(ArtifactsInput!$M$7-ArtifactsInput!$M$7)*CHOOSE(ArtifactsInput!$N$7+1,6,7.2,8.4,9.6,10.8,12))+IF(Inputs!$B$3&gt;=117,F3060,0))/100))+MIN((Skills!S11*(1+((Inputs!$B$35+(ArtifactsInput!$M$7-ArtifactsInput!$M$7)*CHOOSE(ArtifactsInput!$N$7+1,6,7.2,8.4,9.6,10.8,12))+IF(Inputs!$B$3&gt;=117,F3060,0))/100)),MAX(0,Inputs!$B$44-((R3045-1)*Skills!D11))))/Inputs!$B$44),IF(Inputs!$B$39="pvp",MIN((Skills!S11*(1+((Inputs!$B$35+(ArtifactsInput!$M$7-ArtifactsInput!$M$7)*CHOOSE(ArtifactsInput!$N$7+1,6,7.2,8.4,9.6,10.8,12))+IF(Inputs!$B$3&gt;=117,F3060,0))/100)),15)/15,(Skills!S11*(1+((Inputs!$B$35+(ArtifactsInput!$M$7-ArtifactsInput!$M$7)*CHOOSE(ArtifactsInput!$N$7+1,6,7.2,8.4,9.6,10.8,12))+IF(Inputs!$B$3&gt;=117,F3060,0)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3048=TRUE,(1+F3048*IF(AND(Inputs!$B$39&lt;&gt;"pvp",Inputs!$B$44&gt;0),(((R3048-1)*(Skills!S14*(1+((Inputs!$B$35+(ArtifactsInput!$M$7-ArtifactsInput!$M$7)*CHOOSE(ArtifactsInput!$N$7+1,6,7.2,8.4,9.6,10.8,12))+IF(Inputs!$B$3&gt;=117,F3060,0))/100))+MIN((Skills!S14*(1+((Inputs!$B$35+(ArtifactsInput!$M$7-ArtifactsInput!$M$7)*CHOOSE(ArtifactsInput!$N$7+1,6,7.2,8.4,9.6,10.8,12))+IF(Inputs!$B$3&gt;=117,F3060,0))/100)),MAX(0,Inputs!$B$44-((R3048-1)*Skills!D14))))/Inputs!$B$44),IF(Inputs!$B$39="pvp",MIN((Skills!S14*(1+((Inputs!$B$35+(ArtifactsInput!$M$7-ArtifactsInput!$M$7)*CHOOSE(ArtifactsInput!$N$7+1,6,7.2,8.4,9.6,10.8,12))+IF(Inputs!$B$3&gt;=117,F3060,0))/100)),15)/15,(Skills!S14*(1+((Inputs!$B$35+(ArtifactsInput!$M$7-ArtifactsInput!$M$7)*CHOOSE(ArtifactsInput!$N$7+1,6,7.2,8.4,9.6,10.8,12))+IF(Inputs!$B$3&gt;=117,F3060,0))/100))/Skills!D14))/100),1)*IF(C3053=TRUE,(1+F3053*IF(AND(Inputs!$B$39&lt;&gt;"pvp",Inputs!$B$44&gt;0),(((R3053-1)*(Skills!S19*(1+((Inputs!$B$35+(ArtifactsInput!$M$7-ArtifactsInput!$M$7)*CHOOSE(ArtifactsInput!$N$7+1,6,7.2,8.4,9.6,10.8,12))+IF(Inputs!$B$3&gt;=117,F3060,0))/100))+MIN((Skills!S19*(1+((Inputs!$B$35+(ArtifactsInput!$M$7-ArtifactsInput!$M$7)*CHOOSE(ArtifactsInput!$N$7+1,6,7.2,8.4,9.6,10.8,12))+IF(Inputs!$B$3&gt;=117,F3060,0))/100)),MAX(0,Inputs!$B$44-((R3053-1)*Skills!D19))))/Inputs!$B$44),IF(Inputs!$B$39="pvp",MIN((Skills!S19*(1+((Inputs!$B$35+(ArtifactsInput!$M$7-ArtifactsInput!$M$7)*CHOOSE(ArtifactsInput!$N$7+1,6,7.2,8.4,9.6,10.8,12))+IF(Inputs!$B$3&gt;=117,F3060,0))/100)),15)/15,(Skills!S19*(1+((Inputs!$B$35+(ArtifactsInput!$M$7-ArtifactsInput!$M$7)*CHOOSE(ArtifactsInput!$N$7+1,6,7.2,8.4,9.6,10.8,12))+IF(Inputs!$B$3&gt;=117,F3060,0))/100))/Skills!D19))/100),1)</f>
        <v/>
      </c>
    </row>
    <row r="3064">
      <c r="A3064" t="inlineStr">
        <is>
          <t>Monster Damage Taken Bonus % (Holy Fountain)</t>
        </is>
      </c>
      <c r="B3064">
        <f>IF(Inputs!$B$3&gt;=68,20*IF(Inputs!$B$39="pvp",MIN((15*(1+((Inputs!$B$35+(ArtifactsInput!$M$7-ArtifactsInput!$M$7)*CHOOSE(ArtifactsInput!$N$7+1,6,7.2,8.4,9.6,10.8,12))+IF(Inputs!$B$3&gt;=117,F3060,0))/100)),15)/15,(15*(1+((Inputs!$B$35+(ArtifactsInput!$M$7-ArtifactsInput!$M$7)*CHOOSE(ArtifactsInput!$N$7+1,6,7.2,8.4,9.6,10.8,12))+IF(Inputs!$B$3&gt;=117,F3060,0))/100))/Skills!D10),0)</f>
        <v/>
      </c>
    </row>
    <row r="3065">
      <c r="A3065" t="inlineStr">
        <is>
          <t>Normal Monster Damage Bonus % (Holy Symbol)</t>
        </is>
      </c>
      <c r="B3065">
        <f>IF(C3046=TRUE,F3046*IF(AND(Inputs!$B$39&lt;&gt;"pvp",Inputs!$B$44&gt;0),(((R3046-1)*(Skills!S12*(1+((Inputs!$B$35+(ArtifactsInput!$M$7-ArtifactsInput!$M$7)*CHOOSE(ArtifactsInput!$N$7+1,6,7.2,8.4,9.6,10.8,12))+IF(Inputs!$B$3&gt;=117,F3060,0))/100))+MIN((Skills!S12*(1+((Inputs!$B$35+(ArtifactsInput!$M$7-ArtifactsInput!$M$7)*CHOOSE(ArtifactsInput!$N$7+1,6,7.2,8.4,9.6,10.8,12))+IF(Inputs!$B$3&gt;=117,F3060,0))/100)),MAX(0,Inputs!$B$44-((R3046-1)*Skills!D12))))/Inputs!$B$44),IF(Inputs!$B$39="pvp",MIN((Skills!S12*(1+((Inputs!$B$35+(ArtifactsInput!$M$7-ArtifactsInput!$M$7)*CHOOSE(ArtifactsInput!$N$7+1,6,7.2,8.4,9.6,10.8,12))+IF(Inputs!$B$3&gt;=117,F3060,0))/100)),15)/15,(Skills!S12*(1+((Inputs!$B$35+(ArtifactsInput!$M$7-ArtifactsInput!$M$7)*CHOOSE(ArtifactsInput!$N$7+1,6,7.2,8.4,9.6,10.8,12))+IF(Inputs!$B$3&gt;=117,F3060,0))/100))/Skills!D12)),0)</f>
        <v/>
      </c>
    </row>
    <row r="3066">
      <c r="A3066" t="inlineStr">
        <is>
          <t>Damage % Bonus (Holy Symbol - Damage Boost)</t>
        </is>
      </c>
      <c r="B3066">
        <f>Skills!O12</f>
        <v/>
      </c>
    </row>
    <row r="3067">
      <c r="A3067" t="inlineStr">
        <is>
          <t>Crit Damage % Bonus (Blood of the Divine)</t>
        </is>
      </c>
      <c r="B3067">
        <f>4*IF(C3054=TRUE,F3054,0)</f>
        <v/>
      </c>
    </row>
    <row r="3068">
      <c r="A3068" t="inlineStr">
        <is>
          <t>Attack Speed Bonus %</t>
        </is>
      </c>
      <c r="B3068">
        <f>IF(C3051=TRUE,F3051+(F3055-Calc!F21),0)+IF(Inputs!$B$3&gt;=134,15,0)</f>
        <v/>
      </c>
    </row>
    <row r="3069">
      <c r="A3069" t="inlineStr">
        <is>
          <t>Actions Per Second</t>
        </is>
      </c>
      <c r="B3069">
        <f>1+MIN(150,150*(1-(1-Inputs!$B$12/150)*(1-B3068/150)))/100</f>
        <v/>
      </c>
    </row>
    <row r="3070">
      <c r="A3070" t="inlineStr">
        <is>
          <t>Skill + Buff Cast Rate</t>
        </is>
      </c>
      <c r="B3070">
        <f>IF(AND(Inputs!$B$39&lt;&gt;"pvp",Inputs!$B$44&gt;0),SUMPRODUCT((Skills!E2:E27=TRUE)*(C3036:C3061=TRUE)*R3036:R3061)/Inputs!$B$44,SUMPRODUCT((Skills!E2:E27=TRUE)*(C3036:C3061=TRUE)*Q3036:Q3061))</f>
        <v/>
      </c>
    </row>
    <row r="3071">
      <c r="A3071" t="inlineStr">
        <is>
          <t>Big Bang Casts Per Second</t>
        </is>
      </c>
      <c r="B3071">
        <f>MAX(0,B3069-B3070)</f>
        <v/>
      </c>
    </row>
    <row r="3072">
      <c r="A3072" t="inlineStr">
        <is>
          <t>Defense % Bonus (Divine Protection)</t>
        </is>
      </c>
      <c r="B3072">
        <f>IF(C3047=TRUE,F3047*IF(AND(Inputs!$B$39&lt;&gt;"pvp",Inputs!$B$44&gt;0),(((R3047-1)*(Skills!S13*(1+((Inputs!$B$35+(ArtifactsInput!$M$7-ArtifactsInput!$M$7)*CHOOSE(ArtifactsInput!$N$7+1,6,7.2,8.4,9.6,10.8,12))+IF(Inputs!$B$3&gt;=117,F3060,0))/100))+MIN((Skills!S13*(1+((Inputs!$B$35+(ArtifactsInput!$M$7-ArtifactsInput!$M$7)*CHOOSE(ArtifactsInput!$N$7+1,6,7.2,8.4,9.6,10.8,12))+IF(Inputs!$B$3&gt;=117,F3060,0))/100)),MAX(0,Inputs!$B$44-((R3047-1)*Skills!D13))))/Inputs!$B$44),IF(Inputs!$B$39="pvp",MIN((Skills!S13*(1+((Inputs!$B$35+(ArtifactsInput!$M$7-ArtifactsInput!$M$7)*CHOOSE(ArtifactsInput!$N$7+1,6,7.2,8.4,9.6,10.8,12))+IF(Inputs!$B$3&gt;=117,F3060,0))/100)),15)/15,(Skills!S13*(1+((Inputs!$B$35+(ArtifactsInput!$M$7-ArtifactsInput!$M$7)*CHOOSE(ArtifactsInput!$N$7+1,6,7.2,8.4,9.6,10.8,12))+IF(Inputs!$B$3&gt;=117,F3060,0))/100))/Skills!D13)),0)</f>
        <v/>
      </c>
    </row>
    <row r="3073">
      <c r="A3073" t="inlineStr">
        <is>
          <t>Buff-Casting Startup Delay (s, fixed-duration only)</t>
        </is>
      </c>
      <c r="B3073">
        <f>IF(AND(Inputs!$B$39&lt;&gt;"pvp",Inputs!$B$44&gt;0),SUMPRODUCT((Skills!S2:S27&gt;0)*(Skills!E2:E27=TRUE)*(C3036:C3061=TRUE))/B3069,0)</f>
        <v/>
      </c>
    </row>
    <row r="3074">
      <c r="A3074" t="inlineStr">
        <is>
          <t>Boss-Only Total DPS (this block's swept value)</t>
        </is>
      </c>
      <c r="B3074">
        <f>SUM(S3036:S3061)</f>
        <v/>
      </c>
    </row>
    <row r="3075">
      <c r="A3075" t="inlineStr">
        <is>
          <t>Normal-Only Total DPS (this block's swept value)</t>
        </is>
      </c>
      <c r="B3075">
        <f>SUM(U3036:U3061)</f>
        <v/>
      </c>
    </row>
    <row r="3076">
      <c r="A3076" s="6" t="inlineStr">
        <is>
          <t>TOTAL DPS</t>
        </is>
      </c>
      <c r="B3076" s="6">
        <f>SUM(O3036:O3061)</f>
        <v/>
      </c>
    </row>
    <row r="3078">
      <c r="A3078" s="6" t="inlineStr">
        <is>
          <t>Stat: CDR = 3.0s</t>
        </is>
      </c>
    </row>
    <row r="3079">
      <c r="A3079" s="5" t="inlineStr">
        <is>
          <t>Key</t>
        </is>
      </c>
      <c r="B3079" s="5" t="inlineStr">
        <is>
          <t>Name</t>
        </is>
      </c>
      <c r="C3079" s="5" t="inlineStr">
        <is>
          <t>Unlocked</t>
        </is>
      </c>
      <c r="D3079" s="5" t="inlineStr">
        <is>
          <t>InputLevel</t>
        </is>
      </c>
      <c r="E3079" s="5" t="inlineStr">
        <is>
          <t>Factor</t>
        </is>
      </c>
      <c r="F3079" s="5" t="inlineStr">
        <is>
          <t>CoefficientPercent</t>
        </is>
      </c>
      <c r="G3079" s="5" t="inlineStr">
        <is>
          <t>EffectiveHits</t>
        </is>
      </c>
      <c r="H3079" s="5" t="inlineStr">
        <is>
          <t>ProcProbability</t>
        </is>
      </c>
      <c r="I3079" s="5" t="inlineStr">
        <is>
          <t>MapleHeroMultiplier</t>
        </is>
      </c>
      <c r="J3079" s="5" t="inlineStr">
        <is>
          <t>BaseDamage</t>
        </is>
      </c>
      <c r="K3079" s="5" t="inlineStr">
        <is>
          <t>BaseHitDamage</t>
        </is>
      </c>
      <c r="L3079" s="5" t="inlineStr">
        <is>
          <t>NonCritAvg</t>
        </is>
      </c>
      <c r="M3079" s="5" t="inlineStr">
        <is>
          <t>CritAvg</t>
        </is>
      </c>
      <c r="N3079" s="5" t="inlineStr">
        <is>
          <t>ExpectedDamage(perHit)</t>
        </is>
      </c>
      <c r="O3079" s="5" t="inlineStr">
        <is>
          <t>DPS</t>
        </is>
      </c>
      <c r="P3079" s="5" t="inlineStr">
        <is>
          <t>% of Total</t>
        </is>
      </c>
      <c r="R3079" t="inlineStr">
        <is>
          <t>helpers</t>
        </is>
      </c>
    </row>
    <row r="3080">
      <c r="A3080">
        <f>Skills!A2</f>
        <v/>
      </c>
      <c r="B3080">
        <f>Skills!B2</f>
        <v/>
      </c>
      <c r="C3080">
        <f>Inputs!$B$3&gt;=100</f>
        <v/>
      </c>
      <c r="D3080" t="inlineStr"/>
      <c r="E3080" t="inlineStr"/>
      <c r="F3080">
        <f>T3082+Skills!N2</f>
        <v/>
      </c>
      <c r="G3080">
        <f>Calc!G2</f>
        <v/>
      </c>
      <c r="H3080">
        <f>Calc!H2</f>
        <v/>
      </c>
      <c r="I3080">
        <f>IF(Skills!T2&lt;&gt;"",1+(Skills!T2/10)*($Z$3/1000)/100,1)</f>
        <v/>
      </c>
      <c r="J3080">
        <f>((Inputs!$B$6*(1+Inputs!$B$7/100))+(((Inputs!$B$13*(1+Inputs!$B$14/100))-(Inputs!$B$13*(1+Inputs!$B$14/100)))+0.25*(Inputs!$B$15-Inputs!$B$15))*(1+Inputs!$B$7/100))*(F3080/100)</f>
        <v/>
      </c>
      <c r="K3080">
        <f>J3080*(1+(((Inputs!$B$13+IF(Inputs!$B$3&gt;=35,(10*INDEX(FactorTable!$B$2:$Y$301,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2="TRIUMPH_FEATHER",IF(C3094=TRUE,F3094,0),0)/100)*(1+IF(C3105=TRUE,F3105,0)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3080)</f>
        <v/>
      </c>
      <c r="L3080">
        <f>K3080*(MIN(Inputs!$B$23+(F3100-Calc!F22),(Inputs!$B$24+IF(ArtifactsInput!$M$15,CHOOSE(ArtifactsInput!$N$15+1,25,30,35,40,45,50)/100*(Inputs!$B$12-Inputs!$B$12),0)))/100+(Inputs!$B$24+IF(ArtifactsInput!$M$15,CHOOSE(ArtifactsInput!$N$15+1,25,30,35,40,45,50)/100*(Inputs!$B$12-Inputs!$B$12),0))/100)/2</f>
        <v/>
      </c>
      <c r="M3080">
        <f>L3080*(1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0">
        <f>L3080*(1-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3080*(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0">
        <f>(1-Summary!$B$11)*S3080+Summary!$B$11*U3080</f>
        <v/>
      </c>
      <c r="P3080">
        <f>IF(B3120=0,0,O3080/B3120)</f>
        <v/>
      </c>
      <c r="Q3080">
        <f>IFERROR(1/(IF(Inputs!$B$39="pvp",15,MAX(0.1,Skills!D2-IF(Skills!E2=TRUE,3.0,0)))*(1-IF(AND(ArtifactsInput!$M$27,Inputs!$B$4="Chapter Hunt"),CHOOSE(ArtifactsInput!$N$27+1,20,24,28,32,36,40),0)/100)),0)</f>
        <v/>
      </c>
      <c r="R3080" t="n">
        <v>0</v>
      </c>
      <c r="S3080">
        <f>IF(C3080,(Skills!F2*N3080*B3115)*IF(Inputs!$B$39="pvp",1,1+(Inputs!$B$21+Skills!O2+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3080*(1-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3080*(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3080*(1-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3080*(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80">
        <f>MAX(0,(Inputs!$B$3-100)*3)+Inputs!$B$29+Inputs!$B$30</f>
        <v/>
      </c>
      <c r="U3080">
        <f>IF(C3080,(Skills!F2*N3080*B3115)*IF(Inputs!$B$39="pvp",1,(1+(Inputs!$B$22+Skills!P2+B3109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1">
      <c r="A3081">
        <f>Skills!A3</f>
        <v/>
      </c>
      <c r="B3081">
        <f>Skills!B3</f>
        <v/>
      </c>
      <c r="C3081">
        <f>Inputs!$B$3&gt;=15</f>
        <v/>
      </c>
      <c r="D3081">
        <f>IF(Skills!C3=1,60+Inputs!$B$26+Inputs!$B$30,IF(Skills!C3=2,90+Inputs!$B$27+Inputs!$B$30,IF(Skills!C3=3,120+Inputs!$B$28+Inputs!$B$30,MAX(0,(Inputs!$B$3-100)*3)+Inputs!$B$29+Inputs!$B$30)))</f>
        <v/>
      </c>
      <c r="E3081">
        <f>INDEX(FactorTable!$B$2:$Y$301, MATCH(ROUND(MIN(300,MAX(1,D3081)),0), FactorTable!$A$2:$A$301,0), Skills!L3+1)</f>
        <v/>
      </c>
      <c r="F3081">
        <f>IF(Skills!M3=TRUE,(Skills!K3/10)*(E3081/1000),Skills!K3/10)+Skills!N3</f>
        <v/>
      </c>
      <c r="G3081">
        <f>Calc!G3</f>
        <v/>
      </c>
      <c r="H3081">
        <f>Calc!H3</f>
        <v/>
      </c>
      <c r="I3081">
        <f>IF(Skills!T3&lt;&gt;"",1+(Skills!T3/10)*($Z$3/1000)/100,1)</f>
        <v/>
      </c>
      <c r="J3081" t="inlineStr"/>
      <c r="K3081" t="inlineStr"/>
      <c r="L3081" t="inlineStr"/>
      <c r="M3081" t="inlineStr"/>
      <c r="N3081" t="inlineStr"/>
      <c r="O3081">
        <f>(1-Summary!$B$11)*S3081+Summary!$B$11*U3081</f>
        <v/>
      </c>
      <c r="P3081">
        <f>IF(B3120=0,0,O3081/B3120)</f>
        <v/>
      </c>
      <c r="Q3081">
        <f>IFERROR(1/(IF(Inputs!$B$39="pvp",15,MAX(0.1,Skills!D3-IF(Skills!E3=TRUE,3.0,0)))*(1-IF(AND(ArtifactsInput!$M$27,Inputs!$B$4="Chapter Hunt"),CHOOSE(ArtifactsInput!$N$27+1,20,24,28,32,36,40),0)/100)),0)</f>
        <v/>
      </c>
      <c r="R3081">
        <f>IF(AND(Inputs!$B$39&lt;&gt;"pvp",Inputs!$B$44&gt;0),IF(Inputs!$B$44&lt;=0,0,(INT(Inputs!$B$44/(IF(Inputs!$B$39="pvp",15,MAX(0.1,Skills!D3-IF(Skills!E3=TRUE,3.0,0)))*(1-IF(AND(ArtifactsInput!$M$27,Inputs!$B$4="Chapter Hunt"),CHOOSE(ArtifactsInput!$N$27+1,20,24,28,32,36,40),0)/100)))+1)),0)</f>
        <v/>
      </c>
      <c r="S3081" t="n">
        <v>0</v>
      </c>
      <c r="T3081">
        <f>INDEX(FactorTable!$B$2:$Y$301, MATCH(ROUND(MIN(300,MAX(1,T3080)),0), FactorTable!$A$2:$A$301,0), 22)</f>
        <v/>
      </c>
      <c r="U3081" t="n">
        <v>0</v>
      </c>
    </row>
    <row r="3082">
      <c r="A3082">
        <f>Skills!A4</f>
        <v/>
      </c>
      <c r="B3082">
        <f>Skills!B4</f>
        <v/>
      </c>
      <c r="C3082">
        <f>Inputs!$B$3&gt;=38</f>
        <v/>
      </c>
      <c r="D3082">
        <f>IF(Skills!C4=1,60+Inputs!$B$26+Inputs!$B$30,IF(Skills!C4=2,90+Inputs!$B$27+Inputs!$B$30,IF(Skills!C4=3,120+Inputs!$B$28+Inputs!$B$30,MAX(0,(Inputs!$B$3-100)*3)+Inputs!$B$29+Inputs!$B$30)))</f>
        <v/>
      </c>
      <c r="E3082">
        <f>INDEX(FactorTable!$B$2:$Y$301, MATCH(ROUND(MIN(300,MAX(1,D3082)),0), FactorTable!$A$2:$A$301,0), Skills!L4+1)</f>
        <v/>
      </c>
      <c r="F3082">
        <f>IF(Skills!M4=TRUE,(Skills!K4/10)*(E3082/1000),Skills!K4/10)+Skills!N4</f>
        <v/>
      </c>
      <c r="G3082">
        <f>Calc!G4</f>
        <v/>
      </c>
      <c r="H3082">
        <f>Calc!H4</f>
        <v/>
      </c>
      <c r="I3082">
        <f>IF(Skills!T4&lt;&gt;"",1+(Skills!T4/10)*($Z$3/1000)/100,1)</f>
        <v/>
      </c>
      <c r="J3082" t="inlineStr"/>
      <c r="K3082" t="inlineStr"/>
      <c r="L3082" t="inlineStr"/>
      <c r="M3082" t="inlineStr"/>
      <c r="N3082" t="inlineStr"/>
      <c r="O3082">
        <f>(1-Summary!$B$11)*S3082+Summary!$B$11*U3082</f>
        <v/>
      </c>
      <c r="P3082">
        <f>IF(B3120=0,0,O3082/B3120)</f>
        <v/>
      </c>
      <c r="Q3082">
        <f>IFERROR(1/(IF(Inputs!$B$39="pvp",15,MAX(0.1,Skills!D4-IF(Skills!E4=TRUE,3.0,0)))*(1-IF(AND(ArtifactsInput!$M$27,Inputs!$B$4="Chapter Hunt"),CHOOSE(ArtifactsInput!$N$27+1,20,24,28,32,36,40),0)/100)),0)</f>
        <v/>
      </c>
      <c r="R3082">
        <f>IF(AND(Inputs!$B$39&lt;&gt;"pvp",Inputs!$B$44&gt;0),IF(Inputs!$B$44&lt;=0,0,(INT(Inputs!$B$44/(IF(Inputs!$B$39="pvp",15,MAX(0.1,Skills!D4-IF(Skills!E4=TRUE,3.0,0)))*(1-IF(AND(ArtifactsInput!$M$27,Inputs!$B$4="Chapter Hunt"),CHOOSE(ArtifactsInput!$N$27+1,20,24,28,32,36,40),0)/100)))+1)),0)</f>
        <v/>
      </c>
      <c r="S3082" t="n">
        <v>0</v>
      </c>
      <c r="T3082">
        <f>290*T3081/1000</f>
        <v/>
      </c>
      <c r="U3082" t="n">
        <v>0</v>
      </c>
    </row>
    <row r="3083">
      <c r="A3083">
        <f>Skills!A5</f>
        <v/>
      </c>
      <c r="B3083">
        <f>Skills!B5</f>
        <v/>
      </c>
      <c r="C3083">
        <f>Inputs!$B$3&gt;=40</f>
        <v/>
      </c>
      <c r="D3083">
        <f>IF(Skills!C5=1,60+Inputs!$B$26+Inputs!$B$30,IF(Skills!C5=2,90+Inputs!$B$27+Inputs!$B$30,IF(Skills!C5=3,120+Inputs!$B$28+Inputs!$B$30,MAX(0,(Inputs!$B$3-100)*3)+Inputs!$B$29+Inputs!$B$30)))</f>
        <v/>
      </c>
      <c r="E3083">
        <f>INDEX(FactorTable!$B$2:$Y$301, MATCH(ROUND(MIN(300,MAX(1,D3083)),0), FactorTable!$A$2:$A$301,0), Skills!L5+1)</f>
        <v/>
      </c>
      <c r="F3083">
        <f>IF(Skills!M5=TRUE,(Skills!K5/10)*(E3083/1000),Skills!K5/10)+Skills!N5</f>
        <v/>
      </c>
      <c r="G3083">
        <f>Calc!G5</f>
        <v/>
      </c>
      <c r="H3083">
        <f>Calc!H5</f>
        <v/>
      </c>
      <c r="I3083">
        <f>IF(Skills!T5&lt;&gt;"",1+(Skills!T5/10)*($Z$3/1000)/100,1)</f>
        <v/>
      </c>
      <c r="J3083" t="inlineStr"/>
      <c r="K3083" t="inlineStr"/>
      <c r="L3083" t="inlineStr"/>
      <c r="M3083" t="inlineStr"/>
      <c r="N3083" t="inlineStr"/>
      <c r="O3083">
        <f>(1-Summary!$B$11)*S3083+Summary!$B$11*U3083</f>
        <v/>
      </c>
      <c r="P3083">
        <f>IF(B3120=0,0,O3083/B3120)</f>
        <v/>
      </c>
      <c r="Q3083">
        <f>IFERROR(1/(IF(Inputs!$B$39="pvp",15,MAX(0.1,Skills!D5-IF(Skills!E5=TRUE,3.0,0)))*(1-IF(AND(ArtifactsInput!$M$27,Inputs!$B$4="Chapter Hunt"),CHOOSE(ArtifactsInput!$N$27+1,20,24,28,32,36,40),0)/100)),0)</f>
        <v/>
      </c>
      <c r="R3083">
        <f>IF(AND(Inputs!$B$39&lt;&gt;"pvp",Inputs!$B$44&gt;0),IF(Inputs!$B$44&lt;=0,0,(INT(Inputs!$B$44/(IF(Inputs!$B$39="pvp",15,MAX(0.1,Skills!D5-IF(Skills!E5=TRUE,3.0,0)))*(1-IF(AND(ArtifactsInput!$M$27,Inputs!$B$4="Chapter Hunt"),CHOOSE(ArtifactsInput!$N$27+1,20,24,28,32,36,40),0)/100)))+1)),0)</f>
        <v/>
      </c>
      <c r="S3083" t="n">
        <v>0</v>
      </c>
      <c r="U3083" t="n">
        <v>0</v>
      </c>
    </row>
    <row r="3084">
      <c r="A3084">
        <f>Skills!A6</f>
        <v/>
      </c>
      <c r="B3084">
        <f>Skills!B6</f>
        <v/>
      </c>
      <c r="C3084">
        <f>Inputs!$B$3&gt;=103</f>
        <v/>
      </c>
      <c r="D3084">
        <f>IF(Skills!C6=1,60+Inputs!$B$26+Inputs!$B$30,IF(Skills!C6=2,90+Inputs!$B$27+Inputs!$B$30,IF(Skills!C6=3,120+Inputs!$B$28+Inputs!$B$30,MAX(0,(Inputs!$B$3-100)*3)+Inputs!$B$29+Inputs!$B$30)))</f>
        <v/>
      </c>
      <c r="E3084">
        <f>INDEX(FactorTable!$B$2:$Y$301, MATCH(ROUND(MIN(300,MAX(1,D3084)),0), FactorTable!$A$2:$A$301,0), Skills!L6+1)</f>
        <v/>
      </c>
      <c r="F3084">
        <f>IF(Skills!M6=TRUE,(Skills!K6/10)*(E3084/1000),Skills!K6/10)+Skills!N6</f>
        <v/>
      </c>
      <c r="G3084">
        <f>Calc!G6</f>
        <v/>
      </c>
      <c r="H3084">
        <f>Calc!H6</f>
        <v/>
      </c>
      <c r="I3084">
        <f>IF(Skills!T6&lt;&gt;"",1+(Skills!T6/10)*($Z$3/1000)/100,1)</f>
        <v/>
      </c>
      <c r="J3084">
        <f>((Inputs!$B$6*(1+Inputs!$B$7/100))+(((Inputs!$B$13*(1+Inputs!$B$14/100))-(Inputs!$B$13*(1+Inputs!$B$14/100)))+0.25*(Inputs!$B$15-Inputs!$B$15))*(1+Inputs!$B$7/100))*(F3084/100)</f>
        <v/>
      </c>
      <c r="K3084">
        <f>J3084*(1+(((Inputs!$B$13+IF(Inputs!$B$3&gt;=35,(10*INDEX(FactorTable!$B$2:$Y$301,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6="TRIUMPH_FEATHER",IF(C3094=TRUE,F3094,0),0)/100)*(1+IF(C3105=TRUE,F3105,0)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3084)</f>
        <v/>
      </c>
      <c r="L3084">
        <f>K3084*(MIN(Inputs!$B$23+(F3100-Calc!F22),(Inputs!$B$24+IF(ArtifactsInput!$M$15,CHOOSE(ArtifactsInput!$N$15+1,25,30,35,40,45,50)/100*(Inputs!$B$12-Inputs!$B$12),0)))/100+(Inputs!$B$24+IF(ArtifactsInput!$M$15,CHOOSE(ArtifactsInput!$N$15+1,25,30,35,40,45,50)/100*(Inputs!$B$12-Inputs!$B$12),0))/100)/2</f>
        <v/>
      </c>
      <c r="M3084">
        <f>L3084*(1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4">
        <f>L3084*(1-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3084*(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4">
        <f>(1-Summary!$B$11)*S3084+Summary!$B$11*U3084</f>
        <v/>
      </c>
      <c r="P3084">
        <f>IF(B3120=0,0,O3084/B3120)</f>
        <v/>
      </c>
      <c r="Q3084">
        <f>IFERROR(1/(IF(Inputs!$B$39="pvp",15,MAX(0.1,Skills!D6-IF(Skills!E6=TRUE,3.0,0)))*(1-IF(AND(ArtifactsInput!$M$27,Inputs!$B$4="Chapter Hunt"),CHOOSE(ArtifactsInput!$N$27+1,20,24,28,32,36,40),0)/100)),0)</f>
        <v/>
      </c>
      <c r="R3084">
        <f>IF(AND(Inputs!$B$39&lt;&gt;"pvp",Inputs!$B$44&gt;0),IF(MAX(0,Inputs!$B$44-B3117)&lt;=0,0,(INT(MAX(0,Inputs!$B$44-B3117)/(IF(Inputs!$B$39="pvp",15,MAX(0.1,Skills!D6-IF(Skills!E6=TRUE,3.0,0)))*(1-IF(AND(ArtifactsInput!$M$27,Inputs!$B$4="Chapter Hunt"),CHOOSE(ArtifactsInput!$N$27+1,20,24,28,32,36,40),0)/100)))+1)),0)</f>
        <v/>
      </c>
      <c r="S3084">
        <f>IF(C3084,(H3084*N3084*IF(AND(Inputs!$B$39&lt;&gt;"pvp",Inputs!$B$44&gt;0),((Skills!F6*((R3084-1)*IF(Skills!G6&gt;0,Skills!H6/Skills!G6,1)+IF(Skills!G6&gt;0,MIN(Skills!H6,MAX(0,MAX(0,Inputs!$B$44-B3117)-((R3084-1)*(IF(Inputs!$B$39="pvp",15,MAX(0.1,Skills!D6-IF(Skills!E6=TRUE,3.0,0)))*(1-IF(AND(ArtifactsInput!$M$27,Inputs!$B$4="Chapter Hunt"),CHOOSE(ArtifactsInput!$N$27+1,20,24,28,32,36,40),0)/100)))))/Skills!G6,1)))/Inputs!$B$44),G3084*Q3084))*IF(Inputs!$B$39="pvp",1,1+(Inputs!$B$21+Skills!O6+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3084*(1-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3084*(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3084*(1-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3084*(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4">
        <f>IF(C3084,(H3084*N3084*IF(AND(Inputs!$B$39&lt;&gt;"pvp",Inputs!$B$44&gt;0),((Skills!F6*((R3084-1)*IF(Skills!G6&gt;0,Skills!H6/Skills!G6,1)+IF(Skills!G6&gt;0,MIN(Skills!H6,MAX(0,MAX(0,Inputs!$B$44-B3117)-((R3084-1)*(IF(Inputs!$B$39="pvp",15,MAX(0.1,Skills!D6-IF(Skills!E6=TRUE,3.0,0)))*(1-IF(AND(ArtifactsInput!$M$27,Inputs!$B$4="Chapter Hunt"),CHOOSE(ArtifactsInput!$N$27+1,20,24,28,32,36,40),0)/100)))))/Skills!G6,1)))/Inputs!$B$44),G3084*Q3084))*IF(Inputs!$B$39="pvp",1,(1+(Inputs!$B$22+Skills!P6+B3109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5">
      <c r="A3085">
        <f>Skills!A7</f>
        <v/>
      </c>
      <c r="B3085">
        <f>Skills!B7</f>
        <v/>
      </c>
      <c r="C3085">
        <f>Inputs!$B$3&gt;=122</f>
        <v/>
      </c>
      <c r="D3085">
        <f>IF(Skills!C7=1,60+Inputs!$B$26+Inputs!$B$30,IF(Skills!C7=2,90+Inputs!$B$27+Inputs!$B$30,IF(Skills!C7=3,120+Inputs!$B$28+Inputs!$B$30,MAX(0,(Inputs!$B$3-100)*3)+Inputs!$B$29+Inputs!$B$30)))</f>
        <v/>
      </c>
      <c r="E3085">
        <f>INDEX(FactorTable!$B$2:$Y$301, MATCH(ROUND(MIN(300,MAX(1,D3085)),0), FactorTable!$A$2:$A$301,0), Skills!L7+1)</f>
        <v/>
      </c>
      <c r="F3085">
        <f>IF(Skills!M7=TRUE,(Skills!K7/10)*(E3085/1000),Skills!K7/10)+Skills!N7</f>
        <v/>
      </c>
      <c r="G3085">
        <f>Calc!G7</f>
        <v/>
      </c>
      <c r="H3085">
        <f>Calc!H7</f>
        <v/>
      </c>
      <c r="I3085">
        <f>IF(Skills!T7&lt;&gt;"",1+(Skills!T7/10)*($Z$3/1000)/100,1)</f>
        <v/>
      </c>
      <c r="J3085">
        <f>((Inputs!$B$6*(1+Inputs!$B$7/100))+(((Inputs!$B$13*(1+Inputs!$B$14/100))-(Inputs!$B$13*(1+Inputs!$B$14/100)))+0.25*(Inputs!$B$15-Inputs!$B$15))*(1+Inputs!$B$7/100))*(F3085/100)</f>
        <v/>
      </c>
      <c r="K3085">
        <f>J3085*(1+(((Inputs!$B$13+IF(Inputs!$B$3&gt;=35,(10*INDEX(FactorTable!$B$2:$Y$301,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7="TRIUMPH_FEATHER",IF(C3094=TRUE,F3094,0),0)/100)*(1+IF(C3105=TRUE,F3105,0)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3085)</f>
        <v/>
      </c>
      <c r="L3085">
        <f>K3085*(MIN(Inputs!$B$23+(F3100-Calc!F22),(Inputs!$B$24+IF(ArtifactsInput!$M$15,CHOOSE(ArtifactsInput!$N$15+1,25,30,35,40,45,50)/100*(Inputs!$B$12-Inputs!$B$12),0)))/100+(Inputs!$B$24+IF(ArtifactsInput!$M$15,CHOOSE(ArtifactsInput!$N$15+1,25,30,35,40,45,50)/100*(Inputs!$B$12-Inputs!$B$12),0))/100)/2</f>
        <v/>
      </c>
      <c r="M3085">
        <f>L3085*(1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5">
        <f>L3085*(1-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3085*(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5">
        <f>(1-Summary!$B$11)*S3085+Summary!$B$11*U3085</f>
        <v/>
      </c>
      <c r="P3085">
        <f>IF(B3120=0,0,O3085/B3120)</f>
        <v/>
      </c>
      <c r="Q3085">
        <f>IFERROR(1/(IF(Inputs!$B$39="pvp",15,MAX(0.1,Skills!D7-IF(Skills!E6=TRUE,3.0,0)))*(1-IF(AND(ArtifactsInput!$M$27,Inputs!$B$4="Chapter Hunt"),CHOOSE(ArtifactsInput!$N$27+1,20,24,28,32,36,40),0)/100)),0)</f>
        <v/>
      </c>
      <c r="R3085">
        <f>IF(AND(Inputs!$B$39&lt;&gt;"pvp",Inputs!$B$44&gt;0),IF(MAX(0,Inputs!$B$44-B3117)&lt;=0,0,(INT(MAX(0,Inputs!$B$44-B3117)/(IF(Inputs!$B$39="pvp",15,MAX(0.1,Skills!D7-IF(Skills!E6=TRUE,3.0,0)))*(1-IF(AND(ArtifactsInput!$M$27,Inputs!$B$4="Chapter Hunt"),CHOOSE(ArtifactsInput!$N$27+1,20,24,28,32,36,40),0)/100)))+1)),0)</f>
        <v/>
      </c>
      <c r="S3085">
        <f>IF(C3085,H3085*N3085*IF(AND(Inputs!$B$39&lt;&gt;"pvp",Inputs!$B$44&gt;0),((Skills!F7*((R3085-1)*IF(Skills!G7&gt;0,Skills!H7/Skills!G7,1)+IF(Skills!G7&gt;0,MIN(Skills!H7,MAX(0,MAX(0,Inputs!$B$44-B3117)-((R3085-1)*(IF(Inputs!$B$39="pvp",15,MAX(0.1,Skills!D7-IF(Skills!E6=TRUE,3.0,0)))*(1-IF(AND(ArtifactsInput!$M$27,Inputs!$B$4="Chapter Hunt"),CHOOSE(ArtifactsInput!$N$27+1,20,24,28,32,36,40),0)/100)))))/Skills!G7,1)))/Inputs!$B$44),G3085*Q3085)*IF(Inputs!$B$39="pvp",1,1+(Inputs!$B$21+Skills!O7+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3085*(1-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3085*(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3085*(1-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3085*(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5" t="n">
        <v>0</v>
      </c>
    </row>
    <row r="3086">
      <c r="A3086">
        <f>Skills!A8</f>
        <v/>
      </c>
      <c r="B3086">
        <f>Skills!B8</f>
        <v/>
      </c>
      <c r="C3086">
        <f>Inputs!$B$3&gt;=105</f>
        <v/>
      </c>
      <c r="D3086">
        <f>IF(Skills!C8=1,60+Inputs!$B$26+Inputs!$B$30,IF(Skills!C8=2,90+Inputs!$B$27+Inputs!$B$30,IF(Skills!C8=3,120+Inputs!$B$28+Inputs!$B$30,MAX(0,(Inputs!$B$3-100)*3)+Inputs!$B$29+Inputs!$B$30)))</f>
        <v/>
      </c>
      <c r="E3086">
        <f>INDEX(FactorTable!$B$2:$Y$301, MATCH(ROUND(MIN(300,MAX(1,D3086)),0), FactorTable!$A$2:$A$301,0), Skills!L8+1)</f>
        <v/>
      </c>
      <c r="F3086">
        <f>IF(Skills!M8=TRUE,(Skills!K8/10)*(E3086/1000),Skills!K8/10)+Skills!N8</f>
        <v/>
      </c>
      <c r="G3086">
        <f>Calc!G8</f>
        <v/>
      </c>
      <c r="H3086">
        <f>Calc!H8</f>
        <v/>
      </c>
      <c r="I3086">
        <f>IF(Skills!T8&lt;&gt;"",1+(Skills!T8/10)*($Z$3/1000)/100,1)</f>
        <v/>
      </c>
      <c r="J3086">
        <f>((Inputs!$B$6*(1+Inputs!$B$7/100))+(((Inputs!$B$13*(1+Inputs!$B$14/100))-(Inputs!$B$13*(1+Inputs!$B$14/100)))+0.25*(Inputs!$B$15-Inputs!$B$15))*(1+Inputs!$B$7/100))*(F3086/100)</f>
        <v/>
      </c>
      <c r="K3086">
        <f>J3086*(1+(((Inputs!$B$13+IF(Inputs!$B$3&gt;=35,(10*INDEX(FactorTable!$B$2:$Y$301,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8="TRIUMPH_FEATHER",IF(C3094=TRUE,F3094,0),0)/100)*(1+IF(C3105=TRUE,F3105,0)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3086)</f>
        <v/>
      </c>
      <c r="L3086">
        <f>K3086*(MIN(Inputs!$B$23+(F3100-Calc!F22),(Inputs!$B$24+IF(ArtifactsInput!$M$15,CHOOSE(ArtifactsInput!$N$15+1,25,30,35,40,45,50)/100*(Inputs!$B$12-Inputs!$B$12),0)))/100+(Inputs!$B$24+IF(ArtifactsInput!$M$15,CHOOSE(ArtifactsInput!$N$15+1,25,30,35,40,45,50)/100*(Inputs!$B$12-Inputs!$B$12),0))/100)/2</f>
        <v/>
      </c>
      <c r="M3086">
        <f>L3086*(1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6">
        <f>L3086*(1-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(1-Summary!$B$11)*S3086+Summary!$B$11*U3086</f>
        <v/>
      </c>
      <c r="P3086">
        <f>IF(B3120=0,0,O3086/B3120)</f>
        <v/>
      </c>
      <c r="Q3086">
        <f>IFERROR(1/(IF(Inputs!$B$39="pvp",15,MAX(0.1,Skills!D8-IF(Skills!E8=TRUE,3.0,0)))*(1-IF(AND(ArtifactsInput!$M$27,Inputs!$B$4="Chapter Hunt"),CHOOSE(ArtifactsInput!$N$27+1,20,24,28,32,36,40),0)/100)),0)</f>
        <v/>
      </c>
      <c r="R3086">
        <f>IF(AND(Inputs!$B$39&lt;&gt;"pvp",Inputs!$B$44&gt;0),IF(MAX(0,Inputs!$B$44-B3117)&lt;=0,0,(INT(MAX(0,Inputs!$B$44-B3117)/(IF(Inputs!$B$39="pvp",15,MAX(0.1,Skills!D8-IF(Skills!E8=TRUE,3.0,0)))*(1-IF(AND(ArtifactsInput!$M$27,Inputs!$B$4="Chapter Hunt"),CHOOSE(ArtifactsInput!$N$27+1,20,24,28,32,36,40),0)/100)))+1)),0)</f>
        <v/>
      </c>
      <c r="S3086">
        <f>IF(C3086,(H3086*N3086*IF(AND(Inputs!$B$39&lt;&gt;"pvp",Inputs!$B$44&gt;0),((Skills!F8*((R3086-1)*IF(Skills!G8&gt;0,Skills!H8/Skills!G8,1)+IF(Skills!G8&gt;0,MIN(Skills!H8,MAX(0,MAX(0,Inputs!$B$44-B3117)-((R3086-1)*(IF(Inputs!$B$39="pvp",15,MAX(0.1,Skills!D8-IF(Skills!E8=TRUE,3.0,0)))*(1-IF(AND(ArtifactsInput!$M$27,Inputs!$B$4="Chapter Hunt"),CHOOSE(ArtifactsInput!$N$27+1,20,24,28,32,36,40),0)/100)))))/Skills!G8,1)))/Inputs!$B$44),G3086*Q3086))*IF(Inputs!$B$39="pvp",1,1+(Inputs!$B$21+Skills!O8+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3086*(1-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6">
        <f>IF(C3086,(H3086*N3086*IF(AND(Inputs!$B$39&lt;&gt;"pvp",Inputs!$B$44&gt;0),((Skills!F8*((R3086-1)*IF(Skills!G8&gt;0,Skills!H8/Skills!G8,1)+IF(Skills!G8&gt;0,MIN(Skills!H8,MAX(0,MAX(0,Inputs!$B$44-B3117)-((R3086-1)*(IF(Inputs!$B$39="pvp",15,MAX(0.1,Skills!D8-IF(Skills!E8=TRUE,3.0,0)))*(1-IF(AND(ArtifactsInput!$M$27,Inputs!$B$4="Chapter Hunt"),CHOOSE(ArtifactsInput!$N$27+1,20,24,28,32,36,40),0)/100)))))/Skills!G8,1)))/Inputs!$B$44),G3086*Q3086))*IF(Inputs!$B$39="pvp",1,(1+(Inputs!$B$22+Skills!P8+B3109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Skills!A9</f>
        <v/>
      </c>
      <c r="B3087">
        <f>Skills!B9</f>
        <v/>
      </c>
      <c r="C3087">
        <f>Inputs!$B$3&gt;=115</f>
        <v/>
      </c>
      <c r="D3087">
        <f>IF(Skills!C9=1,60+Inputs!$B$26+Inputs!$B$30,IF(Skills!C9=2,90+Inputs!$B$27+Inputs!$B$30,IF(Skills!C9=3,120+Inputs!$B$28+Inputs!$B$30,MAX(0,(Inputs!$B$3-100)*3)+Inputs!$B$29+Inputs!$B$30)))</f>
        <v/>
      </c>
      <c r="E3087">
        <f>INDEX(FactorTable!$B$2:$Y$301, MATCH(ROUND(MIN(300,MAX(1,D3087)),0), FactorTable!$A$2:$A$301,0), Skills!L9+1)</f>
        <v/>
      </c>
      <c r="F3087">
        <f>IF(Skills!M9=TRUE,(Skills!K9/10)*(E3087/1000),Skills!K9/10)+Skills!N9</f>
        <v/>
      </c>
      <c r="G3087">
        <f>Calc!G9</f>
        <v/>
      </c>
      <c r="H3087">
        <f>Calc!H9</f>
        <v/>
      </c>
      <c r="I3087">
        <f>IF(Skills!T9&lt;&gt;"",1+(Skills!T9/10)*($Z$3/1000)/100,1)</f>
        <v/>
      </c>
      <c r="J3087">
        <f>((Inputs!$B$6*(1+Inputs!$B$7/100))+(((Inputs!$B$13*(1+Inputs!$B$14/100))-(Inputs!$B$13*(1+Inputs!$B$14/100)))+0.25*(Inputs!$B$15-Inputs!$B$15))*(1+Inputs!$B$7/100))*(F3087/100)</f>
        <v/>
      </c>
      <c r="K3087">
        <f>J3087*(1+(((Inputs!$B$13+IF(Inputs!$B$3&gt;=35,(10*INDEX(FactorTable!$B$2:$Y$301,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9="TRIUMPH_FEATHER",IF(C3094=TRUE,F3094,0),0)/100)*(1+IF(C3105=TRUE,F3105,0)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3087)</f>
        <v/>
      </c>
      <c r="L3087">
        <f>K3087*(MIN(Inputs!$B$23+(F3100-Calc!F22),(Inputs!$B$24+IF(ArtifactsInput!$M$15,CHOOSE(ArtifactsInput!$N$15+1,25,30,35,40,45,50)/100*(Inputs!$B$12-Inputs!$B$12),0)))/100+(Inputs!$B$24+IF(ArtifactsInput!$M$15,CHOOSE(ArtifactsInput!$N$15+1,25,30,35,40,45,50)/100*(Inputs!$B$12-Inputs!$B$12),0))/100)/2</f>
        <v/>
      </c>
      <c r="M3087">
        <f>L3087*(1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7">
        <f>L3087*(1-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3087*(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7">
        <f>(1-Summary!$B$11)*S3087+Summary!$B$11*U3087</f>
        <v/>
      </c>
      <c r="P3087">
        <f>IF(B3120=0,0,O3087/B3120)</f>
        <v/>
      </c>
      <c r="Q3087">
        <f>IFERROR(1/(IF(Inputs!$B$39="pvp",15,MAX(0.1,Skills!D9-IF(Skills!E9=TRUE,3.0,0)))*(1-IF(AND(ArtifactsInput!$M$27,Inputs!$B$4="Chapter Hunt"),CHOOSE(ArtifactsInput!$N$27+1,20,24,28,32,36,40),0)/100)),0)</f>
        <v/>
      </c>
      <c r="R3087">
        <f>IF(AND(Inputs!$B$39&lt;&gt;"pvp",Inputs!$B$44&gt;0),IF(MAX(0,Inputs!$B$44-B3117)&lt;=0,0,(INT(MAX(0,Inputs!$B$44-B3117)/(IF(Inputs!$B$39="pvp",15,MAX(0.1,Skills!D9-IF(Skills!E9=TRUE,3.0,0)))*(1-IF(AND(ArtifactsInput!$M$27,Inputs!$B$4="Chapter Hunt"),CHOOSE(ArtifactsInput!$N$27+1,20,24,28,32,36,40),0)/100)))+1)),0)</f>
        <v/>
      </c>
      <c r="S3087">
        <f>IF(C3087,(H3087*N3087*IF(AND(Inputs!$B$39&lt;&gt;"pvp",Inputs!$B$44&gt;0),((Skills!F9*((R3087-1)*IF(Skills!G9&gt;0,Skills!H9/Skills!G9,1)+IF(Skills!G9&gt;0,MIN(Skills!H9,MAX(0,MAX(0,Inputs!$B$44-B3117)-((R3087-1)*(IF(Inputs!$B$39="pvp",15,MAX(0.1,Skills!D9-IF(Skills!E9=TRUE,3.0,0)))*(1-IF(AND(ArtifactsInput!$M$27,Inputs!$B$4="Chapter Hunt"),CHOOSE(ArtifactsInput!$N$27+1,20,24,28,32,36,40),0)/100)))))/Skills!G9,1)))/Inputs!$B$44),G3087*Q3087))*IF(Inputs!$B$39="pvp",1,1+(Inputs!$B$21+Skills!O9+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3087*(1-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3087*(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3087*(1-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3087*(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7">
        <f>IF(C3087,(H3087*N3087*IF(AND(Inputs!$B$39&lt;&gt;"pvp",Inputs!$B$44&gt;0),((Skills!F9*((R3087-1)*IF(Skills!G9&gt;0,Skills!H9/Skills!G9,1)+IF(Skills!G9&gt;0,MIN(Skills!H9,MAX(0,MAX(0,Inputs!$B$44-B3117)-((R3087-1)*(IF(Inputs!$B$39="pvp",15,MAX(0.1,Skills!D9-IF(Skills!E9=TRUE,3.0,0)))*(1-IF(AND(ArtifactsInput!$M$27,Inputs!$B$4="Chapter Hunt"),CHOOSE(ArtifactsInput!$N$27+1,20,24,28,32,36,40),0)/100)))))/Skills!G9,1)))/Inputs!$B$44),G3087*Q3087))*IF(Inputs!$B$39="pvp",1,(1+(Inputs!$B$22+Skills!P9+B3109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8">
      <c r="A3088">
        <f>Skills!A10</f>
        <v/>
      </c>
      <c r="B3088">
        <f>Skills!B10</f>
        <v/>
      </c>
      <c r="C3088">
        <f>Inputs!$B$3&gt;=66</f>
        <v/>
      </c>
      <c r="D3088">
        <f>IF(Skills!C10=1,60+Inputs!$B$26+Inputs!$B$30,IF(Skills!C10=2,90+Inputs!$B$27+Inputs!$B$30,IF(Skills!C10=3,120+Inputs!$B$28+Inputs!$B$30,MAX(0,(Inputs!$B$3-100)*3)+Inputs!$B$29+Inputs!$B$30)))</f>
        <v/>
      </c>
      <c r="E3088">
        <f>INDEX(FactorTable!$B$2:$Y$301, MATCH(ROUND(MIN(300,MAX(1,D3088)),0), FactorTable!$A$2:$A$301,0), Skills!L10+1)</f>
        <v/>
      </c>
      <c r="F3088" t="n">
        <v>0</v>
      </c>
      <c r="G3088">
        <f>Calc!G10</f>
        <v/>
      </c>
      <c r="H3088">
        <f>Calc!H10</f>
        <v/>
      </c>
      <c r="I3088">
        <f>IF(Skills!T10&lt;&gt;"",1+(Skills!T10/10)*($Z$3/1000)/100,1)</f>
        <v/>
      </c>
      <c r="J3088" t="inlineStr"/>
      <c r="K3088" t="inlineStr"/>
      <c r="L3088" t="inlineStr"/>
      <c r="M3088" t="inlineStr"/>
      <c r="N3088" t="inlineStr"/>
      <c r="O3088">
        <f>(1-Summary!$B$11)*S3088+Summary!$B$11*U3088</f>
        <v/>
      </c>
      <c r="P3088">
        <f>IF(B3120=0,0,O3088/B3120)</f>
        <v/>
      </c>
      <c r="Q3088">
        <f>IFERROR(1/(IF(Inputs!$B$39="pvp",15,MAX(0.1,Skills!D10-IF(Skills!E10=TRUE,3.0,0)))*(1-IF(AND(ArtifactsInput!$M$27,Inputs!$B$4="Chapter Hunt"),CHOOSE(ArtifactsInput!$N$27+1,20,24,28,32,36,40),0)/100)),0)</f>
        <v/>
      </c>
      <c r="R3088">
        <f>IF(AND(Inputs!$B$39&lt;&gt;"pvp",Inputs!$B$44&gt;0),IF(MAX(0,Inputs!$B$44-B3117)&lt;=0,0,(INT(MAX(0,Inputs!$B$44-B3117)/(IF(Inputs!$B$39="pvp",15,MAX(0.1,Skills!D10-IF(Skills!E10=TRUE,3.0,0)))*(1-IF(AND(ArtifactsInput!$M$27,Inputs!$B$4="Chapter Hunt"),CHOOSE(ArtifactsInput!$N$27+1,20,24,28,32,36,40),0)/100)))+1)),0)</f>
        <v/>
      </c>
      <c r="S3088" t="n">
        <v>0</v>
      </c>
      <c r="U3088" t="n">
        <v>0</v>
      </c>
    </row>
    <row r="3089">
      <c r="A3089">
        <f>Skills!A11</f>
        <v/>
      </c>
      <c r="B3089">
        <f>Skills!B11</f>
        <v/>
      </c>
      <c r="C3089">
        <f>Inputs!$B$3&gt;=69</f>
        <v/>
      </c>
      <c r="D3089">
        <f>IF(Skills!C11=1,60+Inputs!$B$26+Inputs!$B$30,IF(Skills!C11=2,90+Inputs!$B$27+Inputs!$B$30,IF(Skills!C11=3,120+Inputs!$B$28+Inputs!$B$30,MAX(0,(Inputs!$B$3-100)*3)+Inputs!$B$29+Inputs!$B$30)))</f>
        <v/>
      </c>
      <c r="E3089">
        <f>INDEX(FactorTable!$B$2:$Y$301, MATCH(ROUND(MIN(300,MAX(1,D3089)),0), FactorTable!$A$2:$A$301,0), Skills!L11+1)</f>
        <v/>
      </c>
      <c r="F3089">
        <f>IF(Skills!M11=TRUE,(Skills!K11/10)*(E3089/1000),Skills!K11/10)+Skills!N11</f>
        <v/>
      </c>
      <c r="G3089">
        <f>Calc!G11</f>
        <v/>
      </c>
      <c r="H3089">
        <f>Calc!H11</f>
        <v/>
      </c>
      <c r="I3089">
        <f>IF(Skills!T11&lt;&gt;"",1+(Skills!T11/10)*($Z$3/1000)/100,1)</f>
        <v/>
      </c>
      <c r="J3089" t="inlineStr"/>
      <c r="K3089" t="inlineStr"/>
      <c r="L3089" t="inlineStr"/>
      <c r="M3089" t="inlineStr"/>
      <c r="N3089" t="inlineStr"/>
      <c r="O3089">
        <f>(1-Summary!$B$11)*S3089+Summary!$B$11*U3089</f>
        <v/>
      </c>
      <c r="P3089">
        <f>IF(B3120=0,0,O3089/B3120)</f>
        <v/>
      </c>
      <c r="Q3089">
        <f>IFERROR(1/(IF(Inputs!$B$39="pvp",15,MAX(0.1,Skills!D11-IF(Skills!E11=TRUE,3.0,0)))*(1-IF(AND(ArtifactsInput!$M$27,Inputs!$B$4="Chapter Hunt"),CHOOSE(ArtifactsInput!$N$27+1,20,24,28,32,36,40),0)/100)),0)</f>
        <v/>
      </c>
      <c r="R3089">
        <f>IF(AND(Inputs!$B$39&lt;&gt;"pvp",Inputs!$B$44&gt;0),IF(Inputs!$B$44&lt;=0,0,(INT(Inputs!$B$44/(IF(Inputs!$B$39="pvp",15,MAX(0.1,Skills!D11-IF(Skills!E11=TRUE,3.0,0)))*(1-IF(AND(ArtifactsInput!$M$27,Inputs!$B$4="Chapter Hunt"),CHOOSE(ArtifactsInput!$N$27+1,20,24,28,32,36,40),0)/100)))+1)),0)</f>
        <v/>
      </c>
      <c r="S3089" t="n">
        <v>0</v>
      </c>
      <c r="U3089" t="n">
        <v>0</v>
      </c>
    </row>
    <row r="3090">
      <c r="A3090">
        <f>Skills!A12</f>
        <v/>
      </c>
      <c r="B3090">
        <f>Skills!B12</f>
        <v/>
      </c>
      <c r="C3090">
        <f>Inputs!$B$3&gt;=72</f>
        <v/>
      </c>
      <c r="D3090">
        <f>IF(Skills!C12=1,60+Inputs!$B$26+Inputs!$B$30,IF(Skills!C12=2,90+Inputs!$B$27+Inputs!$B$30,IF(Skills!C12=3,120+Inputs!$B$28+Inputs!$B$30,MAX(0,(Inputs!$B$3-100)*3)+Inputs!$B$29+Inputs!$B$30)))</f>
        <v/>
      </c>
      <c r="E3090">
        <f>INDEX(FactorTable!$B$2:$Y$301, MATCH(ROUND(MIN(300,MAX(1,D3090)),0), FactorTable!$A$2:$A$301,0), Skills!L12+1)</f>
        <v/>
      </c>
      <c r="F3090">
        <f>IF(Skills!M12=TRUE,(Skills!K12/10)*(E3090/1000),Skills!K12/10)+Skills!N12</f>
        <v/>
      </c>
      <c r="G3090">
        <f>Calc!G12</f>
        <v/>
      </c>
      <c r="H3090">
        <f>Calc!H12</f>
        <v/>
      </c>
      <c r="I3090">
        <f>IF(Skills!T12&lt;&gt;"",1+(Skills!T12/10)*($Z$3/1000)/100,1)</f>
        <v/>
      </c>
      <c r="J3090" t="inlineStr"/>
      <c r="K3090" t="inlineStr"/>
      <c r="L3090" t="inlineStr"/>
      <c r="M3090" t="inlineStr"/>
      <c r="N3090" t="inlineStr"/>
      <c r="O3090">
        <f>(1-Summary!$B$11)*S3090+Summary!$B$11*U3090</f>
        <v/>
      </c>
      <c r="P3090">
        <f>IF(B3120=0,0,O3090/B3120)</f>
        <v/>
      </c>
      <c r="Q3090">
        <f>IFERROR(1/(IF(Inputs!$B$39="pvp",15,MAX(0.1,Skills!D12-IF(Skills!E12=TRUE,3.0,0)))*(1-IF(AND(ArtifactsInput!$M$27,Inputs!$B$4="Chapter Hunt"),CHOOSE(ArtifactsInput!$N$27+1,20,24,28,32,36,40),0)/100)),0)</f>
        <v/>
      </c>
      <c r="R3090">
        <f>IF(AND(Inputs!$B$39&lt;&gt;"pvp",Inputs!$B$44&gt;0),IF(MAX(0,Inputs!$B$44-B3117)&lt;=0,0,(INT(MAX(0,Inputs!$B$44-B3117)/(IF(Inputs!$B$39="pvp",15,MAX(0.1,Skills!D12-IF(Skills!E12=TRUE,3.0,0)))*(1-IF(AND(ArtifactsInput!$M$27,Inputs!$B$4="Chapter Hunt"),CHOOSE(ArtifactsInput!$N$27+1,20,24,28,32,36,40),0)/100)))+1)),0)</f>
        <v/>
      </c>
      <c r="S3090" t="n">
        <v>0</v>
      </c>
      <c r="U3090" t="n">
        <v>0</v>
      </c>
    </row>
    <row r="3091">
      <c r="A3091">
        <f>Skills!A13</f>
        <v/>
      </c>
      <c r="B3091">
        <f>Skills!B13</f>
        <v/>
      </c>
      <c r="C3091">
        <f>Inputs!$B$3&gt;=60</f>
        <v/>
      </c>
      <c r="D3091">
        <f>IF(Skills!C13=1,60+Inputs!$B$26+Inputs!$B$30,IF(Skills!C13=2,90+Inputs!$B$27+Inputs!$B$30,IF(Skills!C13=3,120+Inputs!$B$28+Inputs!$B$30,MAX(0,(Inputs!$B$3-100)*3)+Inputs!$B$29+Inputs!$B$30)))</f>
        <v/>
      </c>
      <c r="E3091">
        <f>INDEX(FactorTable!$B$2:$Y$301, MATCH(ROUND(MIN(300,MAX(1,D3091)),0), FactorTable!$A$2:$A$301,0), Skills!L13+1)</f>
        <v/>
      </c>
      <c r="F3091">
        <f>IF(Skills!M13=TRUE,(Skills!K13/10)*(E3091/1000),Skills!K13/10)+Skills!N13</f>
        <v/>
      </c>
      <c r="G3091">
        <f>Calc!G13</f>
        <v/>
      </c>
      <c r="H3091">
        <f>Calc!H13</f>
        <v/>
      </c>
      <c r="I3091">
        <f>IF(Skills!T13&lt;&gt;"",1+(Skills!T13/10)*($Z$3/1000)/100,1)</f>
        <v/>
      </c>
      <c r="J3091" t="inlineStr"/>
      <c r="K3091" t="inlineStr"/>
      <c r="L3091" t="inlineStr"/>
      <c r="M3091" t="inlineStr"/>
      <c r="N3091" t="inlineStr"/>
      <c r="O3091">
        <f>(1-Summary!$B$11)*S3091+Summary!$B$11*U3091</f>
        <v/>
      </c>
      <c r="P3091">
        <f>IF(B3120=0,0,O3091/B3120)</f>
        <v/>
      </c>
      <c r="Q3091">
        <f>IFERROR(1/(IF(Inputs!$B$39="pvp",15,MAX(0.1,Skills!D13-IF(Skills!E13=TRUE,3.0,0)))*(1-IF(AND(ArtifactsInput!$M$27,Inputs!$B$4="Chapter Hunt"),CHOOSE(ArtifactsInput!$N$27+1,20,24,28,32,36,40),0)/100)),0)</f>
        <v/>
      </c>
      <c r="R3091">
        <f>IF(AND(Inputs!$B$39&lt;&gt;"pvp",Inputs!$B$44&gt;0),IF(MAX(0,Inputs!$B$44-B3117)&lt;=0,0,(INT(MAX(0,Inputs!$B$44-B3117)/(IF(Inputs!$B$39="pvp",15,MAX(0.1,Skills!D13-IF(Skills!E13=TRUE,3.0,0)))*(1-IF(AND(ArtifactsInput!$M$27,Inputs!$B$4="Chapter Hunt"),CHOOSE(ArtifactsInput!$N$27+1,20,24,28,32,36,40),0)/100)))+1)),0)</f>
        <v/>
      </c>
      <c r="S3091" t="n">
        <v>0</v>
      </c>
      <c r="U3091" t="n">
        <v>0</v>
      </c>
    </row>
    <row r="3092">
      <c r="A3092">
        <f>Skills!A14</f>
        <v/>
      </c>
      <c r="B3092">
        <f>Skills!B14</f>
        <v/>
      </c>
      <c r="C3092">
        <f>Inputs!$B$3&gt;=107</f>
        <v/>
      </c>
      <c r="D3092">
        <f>IF(Skills!C14=1,60+Inputs!$B$26+Inputs!$B$30,IF(Skills!C14=2,90+Inputs!$B$27+Inputs!$B$30,IF(Skills!C14=3,120+Inputs!$B$28+Inputs!$B$30,MAX(0,(Inputs!$B$3-100)*3)+Inputs!$B$29+Inputs!$B$30)))</f>
        <v/>
      </c>
      <c r="E3092">
        <f>INDEX(FactorTable!$B$2:$Y$301, MATCH(ROUND(MIN(300,MAX(1,D3092)),0), FactorTable!$A$2:$A$301,0), Skills!L14+1)</f>
        <v/>
      </c>
      <c r="F3092">
        <f>IF(Skills!M14=TRUE,(Skills!K14/10)*(E3092/1000),Skills!K14/10)+Skills!N14</f>
        <v/>
      </c>
      <c r="G3092">
        <f>Calc!G14</f>
        <v/>
      </c>
      <c r="H3092">
        <f>Calc!H14</f>
        <v/>
      </c>
      <c r="I3092">
        <f>IF(Skills!T14&lt;&gt;"",1+(Skills!T14/10)*($Z$3/1000)/100,1)</f>
        <v/>
      </c>
      <c r="J3092" t="inlineStr"/>
      <c r="K3092" t="inlineStr"/>
      <c r="L3092" t="inlineStr"/>
      <c r="M3092" t="inlineStr"/>
      <c r="N3092" t="inlineStr"/>
      <c r="O3092">
        <f>(1-Summary!$B$11)*S3092+Summary!$B$11*U3092</f>
        <v/>
      </c>
      <c r="P3092">
        <f>IF(B3120=0,0,O3092/B3120)</f>
        <v/>
      </c>
      <c r="Q3092">
        <f>IFERROR(1/(IF(Inputs!$B$39="pvp",15,MAX(0.1,Skills!D14-IF(Skills!E14=TRUE,3.0,0)))*(1-IF(AND(ArtifactsInput!$M$27,Inputs!$B$4="Chapter Hunt"),CHOOSE(ArtifactsInput!$N$27+1,20,24,28,32,36,40),0)/100)),0)</f>
        <v/>
      </c>
      <c r="R3092">
        <f>IF(AND(Inputs!$B$39&lt;&gt;"pvp",Inputs!$B$44&gt;0),IF(Inputs!$B$44&lt;=0,0,(INT(Inputs!$B$44/(IF(Inputs!$B$39="pvp",15,MAX(0.1,Skills!D14-IF(Skills!E14=TRUE,3.0,0)))*(1-IF(AND(ArtifactsInput!$M$27,Inputs!$B$4="Chapter Hunt"),CHOOSE(ArtifactsInput!$N$27+1,20,24,28,32,36,40),0)/100)))+1)),0)</f>
        <v/>
      </c>
      <c r="S3092" t="n">
        <v>0</v>
      </c>
      <c r="U3092" t="n">
        <v>0</v>
      </c>
    </row>
    <row r="3093">
      <c r="A3093">
        <f>Skills!A15</f>
        <v/>
      </c>
      <c r="B3093">
        <f>Skills!B15</f>
        <v/>
      </c>
      <c r="C3093">
        <f>Inputs!$B$3&gt;=63</f>
        <v/>
      </c>
      <c r="D3093">
        <f>IF(Skills!C15=1,60+Inputs!$B$26+Inputs!$B$30,IF(Skills!C15=2,90+Inputs!$B$27+Inputs!$B$30,IF(Skills!C15=3,120+Inputs!$B$28+Inputs!$B$30,MAX(0,(Inputs!$B$3-100)*3)+Inputs!$B$29+Inputs!$B$30)))</f>
        <v/>
      </c>
      <c r="E3093">
        <f>INDEX(FactorTable!$B$2:$Y$301, MATCH(ROUND(MIN(300,MAX(1,D3093)),0), FactorTable!$A$2:$A$301,0), Skills!L15+1)</f>
        <v/>
      </c>
      <c r="F3093">
        <f>IF(Skills!M15=TRUE,(Skills!K15/10)*(E3093/1000),Skills!K15/10)+Skills!N15</f>
        <v/>
      </c>
      <c r="G3093">
        <f>Calc!G15</f>
        <v/>
      </c>
      <c r="H3093">
        <f>Calc!H15</f>
        <v/>
      </c>
      <c r="I3093">
        <f>IF(Skills!T15&lt;&gt;"",1+(Skills!T15/10)*($Z$3/1000)/100,1)</f>
        <v/>
      </c>
      <c r="J3093">
        <f>((Inputs!$B$6*(1+Inputs!$B$7/100))+(((Inputs!$B$13*(1+Inputs!$B$14/100))-(Inputs!$B$13*(1+Inputs!$B$14/100)))+0.25*(Inputs!$B$15-Inputs!$B$15))*(1+Inputs!$B$7/100))*(F3093/100)</f>
        <v/>
      </c>
      <c r="K3093">
        <f>J3093*(1+(((Inputs!$B$13+IF(Inputs!$B$3&gt;=35,(10*INDEX(FactorTable!$B$2:$Y$301,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15="TRIUMPH_FEATHER",IF(C3094=TRUE,F3094,0),0)/100)*(1+IF(C3105=TRUE,F3105,0)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3093)</f>
        <v/>
      </c>
      <c r="L3093">
        <f>K3093*(MIN(Inputs!$B$23+(F3100-Calc!F22),(Inputs!$B$24+IF(ArtifactsInput!$M$15,CHOOSE(ArtifactsInput!$N$15+1,25,30,35,40,45,50)/100*(Inputs!$B$12-Inputs!$B$12),0)))/100+(Inputs!$B$24+IF(ArtifactsInput!$M$15,CHOOSE(ArtifactsInput!$N$15+1,25,30,35,40,45,50)/100*(Inputs!$B$12-Inputs!$B$12),0))/100)/2</f>
        <v/>
      </c>
      <c r="M3093">
        <f>L3093*(1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93">
        <f>L3093*(1-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3093*(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3">
        <f>(1-Summary!$B$11)*S3093+Summary!$B$11*U3093</f>
        <v/>
      </c>
      <c r="P3093">
        <f>IF(B3120=0,0,O3093/B3120)</f>
        <v/>
      </c>
      <c r="Q3093">
        <f>IFERROR(1/(IF(Inputs!$B$39="pvp",15,MAX(0.1,Skills!D15-IF(Skills!E15=TRUE,3.0,0)))*(1-IF(AND(ArtifactsInput!$M$27,Inputs!$B$4="Chapter Hunt"),CHOOSE(ArtifactsInput!$N$27+1,20,24,28,32,36,40),0)/100)),0)</f>
        <v/>
      </c>
      <c r="R3093" t="n">
        <v>0</v>
      </c>
      <c r="S3093">
        <f>IF(C3093,(Skills!F15*N3093*((IF(Inputs!$B$3&gt;=78,25,15)/100*B3113*10)/(1+IF(Inputs!$B$3&gt;=78,25,15)/100*B3113*10))*(Skills!I15/100*B3113)/(1+Skills!G15*Skills!I15/100*B3113))*IF(Inputs!$B$39="pvp",1,1+(Inputs!$B$21+Skills!O15+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3093*(1-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3093*(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3093*(1-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3093*(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93">
        <f>IF(C3093,(Skills!F15*N3093*((IF(Inputs!$B$3&gt;=78,25,15)/100*B3113*10)/(1+IF(Inputs!$B$3&gt;=78,25,15)/100*B3113*10))*(Skills!I15/100*B3113)/(1+Skills!G15*Skills!I15/100*B3113))*IF(Inputs!$B$39="pvp",1,(1+(Inputs!$B$22+Skills!P15+B3109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4">
      <c r="A3094">
        <f>Skills!A16</f>
        <v/>
      </c>
      <c r="B3094">
        <f>Skills!B16</f>
        <v/>
      </c>
      <c r="C3094">
        <f>Inputs!$B$3&gt;=100</f>
        <v/>
      </c>
      <c r="D3094">
        <f>IF(Skills!C16=1,60+Inputs!$B$26+Inputs!$B$30,IF(Skills!C16=2,90+Inputs!$B$27+Inputs!$B$30,IF(Skills!C16=3,120+Inputs!$B$28+Inputs!$B$30,MAX(0,(Inputs!$B$3-100)*3)+Inputs!$B$29+Inputs!$B$30)))</f>
        <v/>
      </c>
      <c r="E3094">
        <f>INDEX(FactorTable!$B$2:$Y$301, MATCH(ROUND(MIN(300,MAX(1,D3094)),0), FactorTable!$A$2:$A$301,0), Skills!L16+1)</f>
        <v/>
      </c>
      <c r="F3094">
        <f>IF(Skills!M16=TRUE,(Skills!K16/10)*(E3094/1000),Skills!K16/10)+Skills!N16</f>
        <v/>
      </c>
      <c r="G3094">
        <f>Calc!G16</f>
        <v/>
      </c>
      <c r="H3094">
        <f>Calc!H16</f>
        <v/>
      </c>
      <c r="I3094">
        <f>IF(Skills!T16&lt;&gt;"",1+(Skills!T16/10)*($Z$3/1000)/100,1)</f>
        <v/>
      </c>
      <c r="J3094" t="inlineStr"/>
      <c r="K3094" t="inlineStr"/>
      <c r="L3094" t="inlineStr"/>
      <c r="M3094" t="inlineStr"/>
      <c r="N3094" t="inlineStr"/>
      <c r="O3094">
        <f>(1-Summary!$B$11)*S3094+Summary!$B$11*U3094</f>
        <v/>
      </c>
      <c r="P3094">
        <f>IF(B3120=0,0,O3094/B3120)</f>
        <v/>
      </c>
      <c r="Q3094">
        <f>IFERROR(1/(IF(Inputs!$B$39="pvp",15,MAX(0.1,Skills!D16-IF(Skills!E16=TRUE,3.0,0)))*(1-IF(AND(ArtifactsInput!$M$27,Inputs!$B$4="Chapter Hunt"),CHOOSE(ArtifactsInput!$N$27+1,20,24,28,32,36,40),0)/100)),0)</f>
        <v/>
      </c>
      <c r="R3094" t="n">
        <v>0</v>
      </c>
      <c r="S3094" t="n">
        <v>0</v>
      </c>
      <c r="U3094" t="n">
        <v>0</v>
      </c>
    </row>
    <row r="3095">
      <c r="A3095">
        <f>Skills!A17</f>
        <v/>
      </c>
      <c r="B3095">
        <f>Skills!B17</f>
        <v/>
      </c>
      <c r="C3095">
        <f>Inputs!$B$3&gt;=49</f>
        <v/>
      </c>
      <c r="D3095">
        <f>IF(Skills!C17=1,60+Inputs!$B$26+Inputs!$B$30,IF(Skills!C17=2,90+Inputs!$B$27+Inputs!$B$30,IF(Skills!C17=3,120+Inputs!$B$28+Inputs!$B$30,MAX(0,(Inputs!$B$3-100)*3)+Inputs!$B$29+Inputs!$B$30)))</f>
        <v/>
      </c>
      <c r="E3095">
        <f>INDEX(FactorTable!$B$2:$Y$301, MATCH(ROUND(MIN(300,MAX(1,D3095)),0), FactorTable!$A$2:$A$301,0), Skills!L17+1)</f>
        <v/>
      </c>
      <c r="F3095">
        <f>IF(Skills!M17=TRUE,(Skills!K17/10)*(E3095/1000),Skills!K17/10)+Skills!N17</f>
        <v/>
      </c>
      <c r="G3095">
        <f>Calc!G17</f>
        <v/>
      </c>
      <c r="H3095">
        <f>Calc!H17</f>
        <v/>
      </c>
      <c r="I3095">
        <f>IF(Skills!T17&lt;&gt;"",1+(Skills!T17/10)*($Z$3/1000)/100,1)</f>
        <v/>
      </c>
      <c r="J3095" t="inlineStr"/>
      <c r="K3095" t="inlineStr"/>
      <c r="L3095" t="inlineStr"/>
      <c r="M3095" t="inlineStr"/>
      <c r="N3095" t="inlineStr"/>
      <c r="O3095">
        <f>(1-Summary!$B$11)*S3095+Summary!$B$11*U3095</f>
        <v/>
      </c>
      <c r="P3095">
        <f>IF(B3120=0,0,O3095/B3120)</f>
        <v/>
      </c>
      <c r="Q3095">
        <f>IFERROR(1/(IF(Inputs!$B$39="pvp",15,MAX(0.1,Skills!D17-IF(Skills!E17=TRUE,3.0,0)))*(1-IF(AND(ArtifactsInput!$M$27,Inputs!$B$4="Chapter Hunt"),CHOOSE(ArtifactsInput!$N$27+1,20,24,28,32,36,40),0)/100)),0)</f>
        <v/>
      </c>
      <c r="R3095" t="n">
        <v>0</v>
      </c>
      <c r="S3095" t="n">
        <v>0</v>
      </c>
      <c r="U3095" t="n">
        <v>0</v>
      </c>
    </row>
    <row r="3096">
      <c r="A3096">
        <f>Skills!A18</f>
        <v/>
      </c>
      <c r="B3096">
        <f>Skills!B18</f>
        <v/>
      </c>
      <c r="C3096">
        <f>Inputs!$B$3&gt;=75</f>
        <v/>
      </c>
      <c r="D3096">
        <f>IF(Skills!C18=1,60+Inputs!$B$26+Inputs!$B$30,IF(Skills!C18=2,90+Inputs!$B$27+Inputs!$B$30,IF(Skills!C18=3,120+Inputs!$B$28+Inputs!$B$30,MAX(0,(Inputs!$B$3-100)*3)+Inputs!$B$29+Inputs!$B$30)))</f>
        <v/>
      </c>
      <c r="E3096">
        <f>INDEX(FactorTable!$B$2:$Y$301, MATCH(ROUND(MIN(300,MAX(1,D3096)),0), FactorTable!$A$2:$A$301,0), Skills!L18+1)</f>
        <v/>
      </c>
      <c r="F3096">
        <f>IF(Skills!M18=TRUE,(Skills!K18/10)*(E3096/1000),Skills!K18/10)+Skills!N18</f>
        <v/>
      </c>
      <c r="G3096">
        <f>Calc!G18</f>
        <v/>
      </c>
      <c r="H3096">
        <f>Calc!H18</f>
        <v/>
      </c>
      <c r="I3096">
        <f>IF(Skills!T18&lt;&gt;"",1+(Skills!T18/10)*($Z$3/1000)/100,1)</f>
        <v/>
      </c>
      <c r="J3096" t="inlineStr"/>
      <c r="K3096" t="inlineStr"/>
      <c r="L3096" t="inlineStr"/>
      <c r="M3096" t="inlineStr"/>
      <c r="N3096" t="inlineStr"/>
      <c r="O3096">
        <f>(1-Summary!$B$11)*S3096+Summary!$B$11*U3096</f>
        <v/>
      </c>
      <c r="P3096">
        <f>IF(B3120=0,0,O3096/B3120)</f>
        <v/>
      </c>
      <c r="Q3096">
        <f>IFERROR(1/(IF(Inputs!$B$39="pvp",15,MAX(0.1,Skills!D18-IF(Skills!E18=TRUE,3.0,0)))*(1-IF(AND(ArtifactsInput!$M$27,Inputs!$B$4="Chapter Hunt"),CHOOSE(ArtifactsInput!$N$27+1,20,24,28,32,36,40),0)/100)),0)</f>
        <v/>
      </c>
      <c r="R3096" t="n">
        <v>0</v>
      </c>
      <c r="S3096" t="n">
        <v>0</v>
      </c>
      <c r="U3096" t="n">
        <v>0</v>
      </c>
    </row>
    <row r="3097">
      <c r="A3097">
        <f>Skills!A19</f>
        <v/>
      </c>
      <c r="B3097">
        <f>Skills!B19</f>
        <v/>
      </c>
      <c r="C3097">
        <f>Inputs!$B$3&gt;=110</f>
        <v/>
      </c>
      <c r="D3097">
        <f>IF(Skills!C19=1,60+Inputs!$B$26+Inputs!$B$30,IF(Skills!C19=2,90+Inputs!$B$27+Inputs!$B$30,IF(Skills!C19=3,120+Inputs!$B$28+Inputs!$B$30,MAX(0,(Inputs!$B$3-100)*3)+Inputs!$B$29+Inputs!$B$30)))</f>
        <v/>
      </c>
      <c r="E3097">
        <f>INDEX(FactorTable!$B$2:$Y$301, MATCH(ROUND(MIN(300,MAX(1,D3097)),0), FactorTable!$A$2:$A$301,0), Skills!L19+1)</f>
        <v/>
      </c>
      <c r="F3097">
        <f>(Skills!K19/10)*(E3097/1000)*64/45+Skills!N19</f>
        <v/>
      </c>
      <c r="G3097">
        <f>Calc!G19</f>
        <v/>
      </c>
      <c r="H3097">
        <f>Calc!H19</f>
        <v/>
      </c>
      <c r="I3097">
        <f>IF(Skills!T19&lt;&gt;"",1+(Skills!T19/10)*($Z$3/1000)/100,1)</f>
        <v/>
      </c>
      <c r="J3097" t="inlineStr"/>
      <c r="K3097" t="inlineStr"/>
      <c r="L3097" t="inlineStr"/>
      <c r="M3097" t="inlineStr"/>
      <c r="N3097" t="inlineStr"/>
      <c r="O3097">
        <f>(1-Summary!$B$11)*S3097+Summary!$B$11*U3097</f>
        <v/>
      </c>
      <c r="P3097">
        <f>IF(B3120=0,0,O3097/B3120)</f>
        <v/>
      </c>
      <c r="Q3097">
        <f>IFERROR(1/(IF(Inputs!$B$39="pvp",15,MAX(0.1,Skills!D19-IF(Skills!E19=TRUE,3.0,0)))*(1-IF(AND(ArtifactsInput!$M$27,Inputs!$B$4="Chapter Hunt"),CHOOSE(ArtifactsInput!$N$27+1,20,24,28,32,36,40),0)/100)),0)</f>
        <v/>
      </c>
      <c r="R3097">
        <f>IF(AND(Inputs!$B$39&lt;&gt;"pvp",Inputs!$B$44&gt;0),IF(Inputs!$B$44&lt;=0,0,(INT(Inputs!$B$44/(IF(Inputs!$B$39="pvp",15,MAX(0.1,Skills!D19-IF(Skills!E19=TRUE,3.0,0)))*(1-IF(AND(ArtifactsInput!$M$27,Inputs!$B$4="Chapter Hunt"),CHOOSE(ArtifactsInput!$N$27+1,20,24,28,32,36,40),0)/100)))+1)),0)</f>
        <v/>
      </c>
      <c r="S3097" t="n">
        <v>0</v>
      </c>
      <c r="U3097" t="n">
        <v>0</v>
      </c>
    </row>
    <row r="3098">
      <c r="A3098">
        <f>Skills!A20</f>
        <v/>
      </c>
      <c r="B3098">
        <f>Skills!B20</f>
        <v/>
      </c>
      <c r="C3098">
        <f>Inputs!$B$3&gt;=125</f>
        <v/>
      </c>
      <c r="D3098">
        <f>IF(Skills!C20=1,60+Inputs!$B$26+Inputs!$B$30,IF(Skills!C20=2,90+Inputs!$B$27+Inputs!$B$30,IF(Skills!C20=3,120+Inputs!$B$28+Inputs!$B$30,MAX(0,(Inputs!$B$3-100)*3)+Inputs!$B$29+Inputs!$B$30)))</f>
        <v/>
      </c>
      <c r="E3098">
        <f>INDEX(FactorTable!$B$2:$Y$301, MATCH(ROUND(MIN(300,MAX(1,D3098)),0), FactorTable!$A$2:$A$301,0), Skills!L20+1)</f>
        <v/>
      </c>
      <c r="F3098">
        <f>IF(Skills!M20=TRUE,(Skills!K20/10)*(E3098/1000),Skills!K20/10)+Skills!N20</f>
        <v/>
      </c>
      <c r="G3098">
        <f>Calc!G20</f>
        <v/>
      </c>
      <c r="H3098">
        <f>Calc!H20</f>
        <v/>
      </c>
      <c r="I3098">
        <f>IF(Skills!T20&lt;&gt;"",1+(Skills!T20/10)*($Z$3/1000)/100,1)</f>
        <v/>
      </c>
      <c r="J3098" t="inlineStr"/>
      <c r="K3098" t="inlineStr"/>
      <c r="L3098" t="inlineStr"/>
      <c r="M3098" t="inlineStr"/>
      <c r="N3098" t="inlineStr"/>
      <c r="O3098">
        <f>(1-Summary!$B$11)*S3098+Summary!$B$11*U3098</f>
        <v/>
      </c>
      <c r="P3098">
        <f>IF(B3120=0,0,O3098/B3120)</f>
        <v/>
      </c>
      <c r="Q3098">
        <f>IFERROR(1/(IF(Inputs!$B$39="pvp",15,MAX(0.1,Skills!D20-IF(Skills!E20=TRUE,3.0,0)))*(1-IF(AND(ArtifactsInput!$M$27,Inputs!$B$4="Chapter Hunt"),CHOOSE(ArtifactsInput!$N$27+1,20,24,28,32,36,40),0)/100)),0)</f>
        <v/>
      </c>
      <c r="R3098" t="n">
        <v>0</v>
      </c>
      <c r="S3098" t="n">
        <v>0</v>
      </c>
      <c r="U3098" t="n">
        <v>0</v>
      </c>
    </row>
    <row r="3099">
      <c r="A3099">
        <f>Skills!A21</f>
        <v/>
      </c>
      <c r="B3099">
        <f>Skills!B21</f>
        <v/>
      </c>
      <c r="C3099">
        <f>Inputs!$B$3&gt;=33</f>
        <v/>
      </c>
      <c r="D3099">
        <f>IF(Skills!C21=1,60+Inputs!$B$26+Inputs!$B$30,IF(Skills!C21=2,90+Inputs!$B$27+Inputs!$B$30,IF(Skills!C21=3,120+Inputs!$B$28+Inputs!$B$30,MAX(0,(Inputs!$B$3-100)*3)+Inputs!$B$29+Inputs!$B$30)))</f>
        <v/>
      </c>
      <c r="E3099">
        <f>INDEX(FactorTable!$B$2:$Y$301, MATCH(ROUND(MIN(300,MAX(1,D3099)),0), FactorTable!$A$2:$A$301,0), Skills!L21+1)</f>
        <v/>
      </c>
      <c r="F3099">
        <f>IF(Skills!M21=TRUE,(Skills!K21/10)*(E3099/1000),Skills!K21/10)+Skills!N21</f>
        <v/>
      </c>
      <c r="G3099">
        <f>Calc!G21</f>
        <v/>
      </c>
      <c r="H3099">
        <f>Calc!H21</f>
        <v/>
      </c>
      <c r="I3099">
        <f>IF(Skills!T21&lt;&gt;"",1+(Skills!T21/10)*($Z$3/1000)/100,1)</f>
        <v/>
      </c>
      <c r="J3099" t="inlineStr"/>
      <c r="K3099" t="inlineStr"/>
      <c r="L3099" t="inlineStr"/>
      <c r="M3099" t="inlineStr"/>
      <c r="N3099" t="inlineStr"/>
      <c r="O3099">
        <f>(1-Summary!$B$11)*S3099+Summary!$B$11*U3099</f>
        <v/>
      </c>
      <c r="P3099">
        <f>IF(B3120=0,0,O3099/B3120)</f>
        <v/>
      </c>
      <c r="Q3099">
        <f>IFERROR(1/(IF(Inputs!$B$39="pvp",15,MAX(0.1,Skills!D21-IF(Skills!E21=TRUE,3.0,0)))*(1-IF(AND(ArtifactsInput!$M$27,Inputs!$B$4="Chapter Hunt"),CHOOSE(ArtifactsInput!$N$27+1,20,24,28,32,36,40),0)/100)),0)</f>
        <v/>
      </c>
      <c r="R3099" t="n">
        <v>0</v>
      </c>
      <c r="S3099" t="n">
        <v>0</v>
      </c>
      <c r="U3099" t="n">
        <v>0</v>
      </c>
    </row>
    <row r="3100">
      <c r="A3100">
        <f>Skills!A22</f>
        <v/>
      </c>
      <c r="B3100">
        <f>Skills!B22</f>
        <v/>
      </c>
      <c r="C3100">
        <f>Inputs!$B$3&gt;=43</f>
        <v/>
      </c>
      <c r="D3100">
        <f>IF(Skills!C22=1,60+Inputs!$B$26+Inputs!$B$30,IF(Skills!C22=2,90+Inputs!$B$27+Inputs!$B$30,IF(Skills!C22=3,120+Inputs!$B$28+Inputs!$B$30,MAX(0,(Inputs!$B$3-100)*3)+Inputs!$B$29+Inputs!$B$30)))</f>
        <v/>
      </c>
      <c r="E3100">
        <f>INDEX(FactorTable!$B$2:$Y$301, MATCH(ROUND(MIN(300,MAX(1,D3100)),0), FactorTable!$A$2:$A$301,0), Skills!L22+1)</f>
        <v/>
      </c>
      <c r="F3100">
        <f>IF(Skills!M22=TRUE,(Skills!K22/10)*(E3100/1000),Skills!K22/10)+Skills!N22</f>
        <v/>
      </c>
      <c r="G3100">
        <f>Calc!G22</f>
        <v/>
      </c>
      <c r="H3100">
        <f>Calc!H22</f>
        <v/>
      </c>
      <c r="I3100">
        <f>IF(Skills!T22&lt;&gt;"",1+(Skills!T22/10)*($Z$3/1000)/100,1)</f>
        <v/>
      </c>
      <c r="J3100" t="inlineStr"/>
      <c r="K3100" t="inlineStr"/>
      <c r="L3100" t="inlineStr"/>
      <c r="M3100" t="inlineStr"/>
      <c r="N3100" t="inlineStr"/>
      <c r="O3100">
        <f>(1-Summary!$B$11)*S3100+Summary!$B$11*U3100</f>
        <v/>
      </c>
      <c r="P3100">
        <f>IF(B3120=0,0,O3100/B3120)</f>
        <v/>
      </c>
      <c r="Q3100">
        <f>IFERROR(1/(IF(Inputs!$B$39="pvp",15,MAX(0.1,Skills!D22-IF(Skills!E22=TRUE,3.0,0)))*(1-IF(AND(ArtifactsInput!$M$27,Inputs!$B$4="Chapter Hunt"),CHOOSE(ArtifactsInput!$N$27+1,20,24,28,32,36,40),0)/100)),0)</f>
        <v/>
      </c>
      <c r="R3100" t="n">
        <v>0</v>
      </c>
      <c r="S3100" t="n">
        <v>0</v>
      </c>
      <c r="U3100" t="n">
        <v>0</v>
      </c>
    </row>
    <row r="3101">
      <c r="A3101">
        <f>Skills!A23</f>
        <v/>
      </c>
      <c r="B3101">
        <f>Skills!B23</f>
        <v/>
      </c>
      <c r="C3101">
        <f>Inputs!$B$3&gt;=50</f>
        <v/>
      </c>
      <c r="D3101">
        <f>IF(Skills!C23=1,60+Inputs!$B$26+Inputs!$B$30,IF(Skills!C23=2,90+Inputs!$B$27+Inputs!$B$30,IF(Skills!C23=3,120+Inputs!$B$28+Inputs!$B$30,MAX(0,(Inputs!$B$3-100)*3)+Inputs!$B$29+Inputs!$B$30)))</f>
        <v/>
      </c>
      <c r="E3101">
        <f>INDEX(FactorTable!$B$2:$Y$301, MATCH(ROUND(MIN(300,MAX(1,D3101)),0), FactorTable!$A$2:$A$301,0), Skills!L23+1)</f>
        <v/>
      </c>
      <c r="F3101">
        <f>IF(Skills!M23=TRUE,(Skills!K23/10)*(E3101/1000),Skills!K23/10)+Skills!N23</f>
        <v/>
      </c>
      <c r="G3101">
        <f>Calc!G23</f>
        <v/>
      </c>
      <c r="H3101">
        <f>Calc!H23</f>
        <v/>
      </c>
      <c r="I3101">
        <f>IF(Skills!T23&lt;&gt;"",1+(Skills!T23/10)*($Z$3/1000)/100,1)</f>
        <v/>
      </c>
      <c r="J3101" t="inlineStr"/>
      <c r="K3101" t="inlineStr"/>
      <c r="L3101" t="inlineStr"/>
      <c r="M3101" t="inlineStr"/>
      <c r="N3101" t="inlineStr"/>
      <c r="O3101">
        <f>(1-Summary!$B$11)*S3101+Summary!$B$11*U3101</f>
        <v/>
      </c>
      <c r="P3101">
        <f>IF(B3120=0,0,O3101/B3120)</f>
        <v/>
      </c>
      <c r="Q3101">
        <f>IFERROR(1/(IF(Inputs!$B$39="pvp",15,MAX(0.1,Skills!D23-IF(Skills!E23=TRUE,3.0,0)))*(1-IF(AND(ArtifactsInput!$M$27,Inputs!$B$4="Chapter Hunt"),CHOOSE(ArtifactsInput!$N$27+1,20,24,28,32,36,40),0)/100)),0)</f>
        <v/>
      </c>
      <c r="R3101" t="n">
        <v>0</v>
      </c>
      <c r="S3101" t="n">
        <v>0</v>
      </c>
      <c r="U3101" t="n">
        <v>0</v>
      </c>
    </row>
    <row r="3102">
      <c r="A3102">
        <f>Skills!A24</f>
        <v/>
      </c>
      <c r="B3102">
        <f>Skills!B24</f>
        <v/>
      </c>
      <c r="C3102">
        <f>Inputs!$B$3&gt;=74</f>
        <v/>
      </c>
      <c r="D3102">
        <f>IF(Skills!C24=1,60+Inputs!$B$26+Inputs!$B$30,IF(Skills!C24=2,90+Inputs!$B$27+Inputs!$B$30,IF(Skills!C24=3,120+Inputs!$B$28+Inputs!$B$30,MAX(0,(Inputs!$B$3-100)*3)+Inputs!$B$29+Inputs!$B$30)))</f>
        <v/>
      </c>
      <c r="E3102">
        <f>INDEX(FactorTable!$B$2:$Y$301, MATCH(ROUND(MIN(300,MAX(1,D3102)),0), FactorTable!$A$2:$A$301,0), Skills!L24+1)</f>
        <v/>
      </c>
      <c r="F3102">
        <f>IF(Skills!M24=TRUE,(Skills!K24/10)*(E3102/1000),Skills!K24/10)+Skills!N24</f>
        <v/>
      </c>
      <c r="G3102">
        <f>Calc!G24</f>
        <v/>
      </c>
      <c r="H3102">
        <f>Calc!H24</f>
        <v/>
      </c>
      <c r="I3102">
        <f>IF(Skills!T24&lt;&gt;"",1+(Skills!T24/10)*($Z$3/1000)/100,1)</f>
        <v/>
      </c>
      <c r="J3102" t="inlineStr"/>
      <c r="K3102" t="inlineStr"/>
      <c r="L3102" t="inlineStr"/>
      <c r="M3102" t="inlineStr"/>
      <c r="N3102" t="inlineStr"/>
      <c r="O3102">
        <f>(1-Summary!$B$11)*S3102+Summary!$B$11*U3102</f>
        <v/>
      </c>
      <c r="P3102">
        <f>IF(B3120=0,0,O3102/B3120)</f>
        <v/>
      </c>
      <c r="Q3102">
        <f>IFERROR(1/(IF(Inputs!$B$39="pvp",15,MAX(0.1,Skills!D24-IF(Skills!E24=TRUE,3.0,0)))*(1-IF(AND(ArtifactsInput!$M$27,Inputs!$B$4="Chapter Hunt"),CHOOSE(ArtifactsInput!$N$27+1,20,24,28,32,36,40),0)/100)),0)</f>
        <v/>
      </c>
      <c r="R3102" t="n">
        <v>0</v>
      </c>
      <c r="S3102" t="n">
        <v>0</v>
      </c>
      <c r="U3102" t="n">
        <v>0</v>
      </c>
    </row>
    <row r="3103">
      <c r="A3103">
        <f>Skills!A25</f>
        <v/>
      </c>
      <c r="B3103">
        <f>Skills!B25</f>
        <v/>
      </c>
      <c r="C3103">
        <f>Inputs!$B$3&gt;=74</f>
        <v/>
      </c>
      <c r="D3103">
        <f>IF(Skills!C25=1,60+Inputs!$B$26+Inputs!$B$30,IF(Skills!C25=2,90+Inputs!$B$27+Inputs!$B$30,IF(Skills!C25=3,120+Inputs!$B$28+Inputs!$B$30,MAX(0,(Inputs!$B$3-100)*3)+Inputs!$B$29+Inputs!$B$30)))</f>
        <v/>
      </c>
      <c r="E3103">
        <f>INDEX(FactorTable!$B$2:$Y$301, MATCH(ROUND(MIN(300,MAX(1,D3103)),0), FactorTable!$A$2:$A$301,0), Skills!L25+1)</f>
        <v/>
      </c>
      <c r="F3103">
        <f>IF(Skills!M25=TRUE,(Skills!K25/10)*(E3103/1000),Skills!K25/10)+Skills!N25</f>
        <v/>
      </c>
      <c r="G3103">
        <f>Calc!G25</f>
        <v/>
      </c>
      <c r="H3103">
        <f>Calc!H25</f>
        <v/>
      </c>
      <c r="I3103">
        <f>IF(Skills!T25&lt;&gt;"",1+(Skills!T25/10)*($Z$3/1000)/100,1)</f>
        <v/>
      </c>
      <c r="J3103" t="inlineStr"/>
      <c r="K3103" t="inlineStr"/>
      <c r="L3103" t="inlineStr"/>
      <c r="M3103" t="inlineStr"/>
      <c r="N3103" t="inlineStr"/>
      <c r="O3103">
        <f>(1-Summary!$B$11)*S3103+Summary!$B$11*U3103</f>
        <v/>
      </c>
      <c r="P3103">
        <f>IF(B3120=0,0,O3103/B3120)</f>
        <v/>
      </c>
      <c r="Q3103">
        <f>IFERROR(1/(IF(Inputs!$B$39="pvp",15,MAX(0.1,Skills!D25-IF(Skills!E25=TRUE,3.0,0)))*(1-IF(AND(ArtifactsInput!$M$27,Inputs!$B$4="Chapter Hunt"),CHOOSE(ArtifactsInput!$N$27+1,20,24,28,32,36,40),0)/100)),0)</f>
        <v/>
      </c>
      <c r="R3103" t="n">
        <v>0</v>
      </c>
      <c r="S3103" t="n">
        <v>0</v>
      </c>
      <c r="U3103" t="n">
        <v>0</v>
      </c>
    </row>
    <row r="3104">
      <c r="A3104">
        <f>Skills!A26</f>
        <v/>
      </c>
      <c r="B3104">
        <f>Skills!B26</f>
        <v/>
      </c>
      <c r="C3104">
        <f>Inputs!$B$3&gt;=117</f>
        <v/>
      </c>
      <c r="D3104">
        <f>IF(Skills!C26=1,60+Inputs!$B$26+Inputs!$B$30,IF(Skills!C26=2,90+Inputs!$B$27+Inputs!$B$30,IF(Skills!C26=3,120+Inputs!$B$28+Inputs!$B$30,MAX(0,(Inputs!$B$3-100)*3)+Inputs!$B$29+Inputs!$B$30)))</f>
        <v/>
      </c>
      <c r="E3104">
        <f>INDEX(FactorTable!$B$2:$Y$301, MATCH(ROUND(MIN(300,MAX(1,D3104)),0), FactorTable!$A$2:$A$301,0), Skills!L26+1)</f>
        <v/>
      </c>
      <c r="F3104">
        <f>IF(Skills!M26=TRUE,(Skills!K26/10)*(E3104/1000),Skills!K26/10)+Skills!N26</f>
        <v/>
      </c>
      <c r="G3104">
        <f>Calc!G26</f>
        <v/>
      </c>
      <c r="H3104">
        <f>Calc!H26</f>
        <v/>
      </c>
      <c r="I3104">
        <f>IF(Skills!T26&lt;&gt;"",1+(Skills!T26/10)*($Z$3/1000)/100,1)</f>
        <v/>
      </c>
      <c r="J3104" t="inlineStr"/>
      <c r="K3104" t="inlineStr"/>
      <c r="L3104" t="inlineStr"/>
      <c r="M3104" t="inlineStr"/>
      <c r="N3104" t="inlineStr"/>
      <c r="O3104">
        <f>(1-Summary!$B$11)*S3104+Summary!$B$11*U3104</f>
        <v/>
      </c>
      <c r="P3104">
        <f>IF(B3120=0,0,O3104/B3120)</f>
        <v/>
      </c>
      <c r="Q3104">
        <f>IFERROR(1/(IF(Inputs!$B$39="pvp",15,MAX(0.1,Skills!D26-IF(Skills!E26=TRUE,3.0,0)))*(1-IF(AND(ArtifactsInput!$M$27,Inputs!$B$4="Chapter Hunt"),CHOOSE(ArtifactsInput!$N$27+1,20,24,28,32,36,40),0)/100)),0)</f>
        <v/>
      </c>
      <c r="R3104" t="n">
        <v>0</v>
      </c>
      <c r="S3104" t="n">
        <v>0</v>
      </c>
      <c r="U3104" t="n">
        <v>0</v>
      </c>
    </row>
    <row r="3105">
      <c r="A3105">
        <f>Skills!A27</f>
        <v/>
      </c>
      <c r="B3105">
        <f>Skills!B27</f>
        <v/>
      </c>
      <c r="C3105">
        <f>Inputs!$B$3&gt;=120</f>
        <v/>
      </c>
      <c r="D3105">
        <f>IF(Skills!C27=1,60+Inputs!$B$26+Inputs!$B$30,IF(Skills!C27=2,90+Inputs!$B$27+Inputs!$B$30,IF(Skills!C27=3,120+Inputs!$B$28+Inputs!$B$30,MAX(0,(Inputs!$B$3-100)*3)+Inputs!$B$29+Inputs!$B$30)))</f>
        <v/>
      </c>
      <c r="E3105">
        <f>INDEX(FactorTable!$B$2:$Y$301, MATCH(ROUND(MIN(300,MAX(1,D3105)),0), FactorTable!$A$2:$A$301,0), Skills!L27+1)</f>
        <v/>
      </c>
      <c r="F3105">
        <f>IF(Skills!M27=TRUE,(Skills!K27/10)*(E3105/1000),Skills!K27/10)+Skills!N27</f>
        <v/>
      </c>
      <c r="G3105">
        <f>Calc!G27</f>
        <v/>
      </c>
      <c r="H3105">
        <f>Calc!H27</f>
        <v/>
      </c>
      <c r="I3105">
        <f>IF(Skills!T27&lt;&gt;"",1+(Skills!T27/10)*($Z$3/1000)/100,1)</f>
        <v/>
      </c>
      <c r="J3105" t="inlineStr"/>
      <c r="K3105" t="inlineStr"/>
      <c r="L3105" t="inlineStr"/>
      <c r="M3105" t="inlineStr"/>
      <c r="N3105" t="inlineStr"/>
      <c r="O3105">
        <f>(1-Summary!$B$11)*S3105+Summary!$B$11*U3105</f>
        <v/>
      </c>
      <c r="P3105">
        <f>IF(B3120=0,0,O3105/B3120)</f>
        <v/>
      </c>
      <c r="Q3105">
        <f>IFERROR(1/(IF(Inputs!$B$39="pvp",15,MAX(0.1,Skills!D27-IF(Skills!E27=TRUE,3.0,0)))*(1-IF(AND(ArtifactsInput!$M$27,Inputs!$B$4="Chapter Hunt"),CHOOSE(ArtifactsInput!$N$27+1,20,24,28,32,36,40),0)/100)),0)</f>
        <v/>
      </c>
      <c r="R3105" t="n">
        <v>0</v>
      </c>
      <c r="S3105" t="n">
        <v>0</v>
      </c>
      <c r="U3105" t="n">
        <v>0</v>
      </c>
    </row>
    <row r="3107">
      <c r="A3107" t="inlineStr">
        <is>
          <t>Average Buff Multiplier</t>
        </is>
      </c>
      <c r="B3107">
        <f>(1+(IF(C3081=TRUE,F3081*IF(AND(Inputs!$B$39&lt;&gt;"pvp",Inputs!$B$44&gt;0),(((R3081-1)*(Skills!S3*(1+((Inputs!$B$35+(ArtifactsInput!$M$7-ArtifactsInput!$M$7)*CHOOSE(ArtifactsInput!$N$7+1,6,7.2,8.4,9.6,10.8,12))+IF(Inputs!$B$3&gt;=117,F3104,0))/100))+MIN((Skills!S3*(1+((Inputs!$B$35+(ArtifactsInput!$M$7-ArtifactsInput!$M$7)*CHOOSE(ArtifactsInput!$N$7+1,6,7.2,8.4,9.6,10.8,12))+IF(Inputs!$B$3&gt;=117,F3104,0))/100)),MAX(0,Inputs!$B$44-((R3081-1)*Skills!D3))))/Inputs!$B$44),IF(Inputs!$B$39="pvp",MIN((Skills!S3*(1+((Inputs!$B$35+(ArtifactsInput!$M$7-ArtifactsInput!$M$7)*CHOOSE(ArtifactsInput!$N$7+1,6,7.2,8.4,9.6,10.8,12))+IF(Inputs!$B$3&gt;=117,F3104,0))/100)),15)/15,(Skills!S3*(1+((Inputs!$B$35+(ArtifactsInput!$M$7-ArtifactsInput!$M$7)*CHOOSE(ArtifactsInput!$N$7+1,6,7.2,8.4,9.6,10.8,12))+IF(Inputs!$B$3&gt;=117,F3104,0))/100))/Skills!D3)),0)+IF(C3082=TRUE,F3082*IF(AND(Inputs!$B$39&lt;&gt;"pvp",Inputs!$B$44&gt;0),(((R3082-1)*(Skills!S4*(1+((Inputs!$B$35+(ArtifactsInput!$M$7-ArtifactsInput!$M$7)*CHOOSE(ArtifactsInput!$N$7+1,6,7.2,8.4,9.6,10.8,12))+IF(Inputs!$B$3&gt;=117,F3104,0))/100))+MIN((Skills!S4*(1+((Inputs!$B$35+(ArtifactsInput!$M$7-ArtifactsInput!$M$7)*CHOOSE(ArtifactsInput!$N$7+1,6,7.2,8.4,9.6,10.8,12))+IF(Inputs!$B$3&gt;=117,F3104,0))/100)),MAX(0,Inputs!$B$44-((R3082-1)*Skills!D4))))/Inputs!$B$44),IF(Inputs!$B$39="pvp",MIN((Skills!S4*(1+((Inputs!$B$35+(ArtifactsInput!$M$7-ArtifactsInput!$M$7)*CHOOSE(ArtifactsInput!$N$7+1,6,7.2,8.4,9.6,10.8,12))+IF(Inputs!$B$3&gt;=117,F3104,0))/100)),15)/15,(Skills!S4*(1+((Inputs!$B$35+(ArtifactsInput!$M$7-ArtifactsInput!$M$7)*CHOOSE(ArtifactsInput!$N$7+1,6,7.2,8.4,9.6,10.8,12))+IF(Inputs!$B$3&gt;=117,F3104,0))/100))/Skills!D4)),0)+IF(C3083=TRUE,F3083*IF(AND(Inputs!$B$39&lt;&gt;"pvp",Inputs!$B$44&gt;0),(((R3083-1)*(Skills!S5*(1+((Inputs!$B$35+(ArtifactsInput!$M$7-ArtifactsInput!$M$7)*CHOOSE(ArtifactsInput!$N$7+1,6,7.2,8.4,9.6,10.8,12))+IF(Inputs!$B$3&gt;=117,F3104,0))/100))+MIN((Skills!S5*(1+((Inputs!$B$35+(ArtifactsInput!$M$7-ArtifactsInput!$M$7)*CHOOSE(ArtifactsInput!$N$7+1,6,7.2,8.4,9.6,10.8,12))+IF(Inputs!$B$3&gt;=117,F3104,0))/100)),MAX(0,Inputs!$B$44-((R3083-1)*Skills!D5))))/Inputs!$B$44),IF(Inputs!$B$39="pvp",MIN((Skills!S5*(1+((Inputs!$B$35+(ArtifactsInput!$M$7-ArtifactsInput!$M$7)*CHOOSE(ArtifactsInput!$N$7+1,6,7.2,8.4,9.6,10.8,12))+IF(Inputs!$B$3&gt;=117,F3104,0))/100)),15)/15,(Skills!S5*(1+((Inputs!$B$35+(ArtifactsInput!$M$7-ArtifactsInput!$M$7)*CHOOSE(ArtifactsInput!$N$7+1,6,7.2,8.4,9.6,10.8,12))+IF(Inputs!$B$3&gt;=117,F3104,0))/100))/Skills!D5)),0)+IF(C3089=TRUE,F3089*IF(AND(Inputs!$B$39&lt;&gt;"pvp",Inputs!$B$44&gt;0),(((R3089-1)*(Skills!S11*(1+((Inputs!$B$35+(ArtifactsInput!$M$7-ArtifactsInput!$M$7)*CHOOSE(ArtifactsInput!$N$7+1,6,7.2,8.4,9.6,10.8,12))+IF(Inputs!$B$3&gt;=117,F3104,0))/100))+MIN((Skills!S11*(1+((Inputs!$B$35+(ArtifactsInput!$M$7-ArtifactsInput!$M$7)*CHOOSE(ArtifactsInput!$N$7+1,6,7.2,8.4,9.6,10.8,12))+IF(Inputs!$B$3&gt;=117,F3104,0))/100)),MAX(0,Inputs!$B$44-((R3089-1)*Skills!D11))))/Inputs!$B$44),IF(Inputs!$B$39="pvp",MIN((Skills!S11*(1+((Inputs!$B$35+(ArtifactsInput!$M$7-ArtifactsInput!$M$7)*CHOOSE(ArtifactsInput!$N$7+1,6,7.2,8.4,9.6,10.8,12))+IF(Inputs!$B$3&gt;=117,F3104,0))/100)),15)/15,(Skills!S11*(1+((Inputs!$B$35+(ArtifactsInput!$M$7-ArtifactsInput!$M$7)*CHOOSE(ArtifactsInput!$N$7+1,6,7.2,8.4,9.6,10.8,12))+IF(Inputs!$B$3&gt;=117,F3104,0)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3092=TRUE,(1+F3092*IF(AND(Inputs!$B$39&lt;&gt;"pvp",Inputs!$B$44&gt;0),(((R3092-1)*(Skills!S14*(1+((Inputs!$B$35+(ArtifactsInput!$M$7-ArtifactsInput!$M$7)*CHOOSE(ArtifactsInput!$N$7+1,6,7.2,8.4,9.6,10.8,12))+IF(Inputs!$B$3&gt;=117,F3104,0))/100))+MIN((Skills!S14*(1+((Inputs!$B$35+(ArtifactsInput!$M$7-ArtifactsInput!$M$7)*CHOOSE(ArtifactsInput!$N$7+1,6,7.2,8.4,9.6,10.8,12))+IF(Inputs!$B$3&gt;=117,F3104,0))/100)),MAX(0,Inputs!$B$44-((R3092-1)*Skills!D14))))/Inputs!$B$44),IF(Inputs!$B$39="pvp",MIN((Skills!S14*(1+((Inputs!$B$35+(ArtifactsInput!$M$7-ArtifactsInput!$M$7)*CHOOSE(ArtifactsInput!$N$7+1,6,7.2,8.4,9.6,10.8,12))+IF(Inputs!$B$3&gt;=117,F3104,0))/100)),15)/15,(Skills!S14*(1+((Inputs!$B$35+(ArtifactsInput!$M$7-ArtifactsInput!$M$7)*CHOOSE(ArtifactsInput!$N$7+1,6,7.2,8.4,9.6,10.8,12))+IF(Inputs!$B$3&gt;=117,F3104,0))/100))/Skills!D14))/100),1)*IF(C3097=TRUE,(1+F3097*IF(AND(Inputs!$B$39&lt;&gt;"pvp",Inputs!$B$44&gt;0),(((R3097-1)*(Skills!S19*(1+((Inputs!$B$35+(ArtifactsInput!$M$7-ArtifactsInput!$M$7)*CHOOSE(ArtifactsInput!$N$7+1,6,7.2,8.4,9.6,10.8,12))+IF(Inputs!$B$3&gt;=117,F3104,0))/100))+MIN((Skills!S19*(1+((Inputs!$B$35+(ArtifactsInput!$M$7-ArtifactsInput!$M$7)*CHOOSE(ArtifactsInput!$N$7+1,6,7.2,8.4,9.6,10.8,12))+IF(Inputs!$B$3&gt;=117,F3104,0))/100)),MAX(0,Inputs!$B$44-((R3097-1)*Skills!D19))))/Inputs!$B$44),IF(Inputs!$B$39="pvp",MIN((Skills!S19*(1+((Inputs!$B$35+(ArtifactsInput!$M$7-ArtifactsInput!$M$7)*CHOOSE(ArtifactsInput!$N$7+1,6,7.2,8.4,9.6,10.8,12))+IF(Inputs!$B$3&gt;=117,F3104,0))/100)),15)/15,(Skills!S19*(1+((Inputs!$B$35+(ArtifactsInput!$M$7-ArtifactsInput!$M$7)*CHOOSE(ArtifactsInput!$N$7+1,6,7.2,8.4,9.6,10.8,12))+IF(Inputs!$B$3&gt;=117,F3104,0))/100))/Skills!D19))/100),1)</f>
        <v/>
      </c>
    </row>
    <row r="3108">
      <c r="A3108" t="inlineStr">
        <is>
          <t>Monster Damage Taken Bonus % (Holy Fountain)</t>
        </is>
      </c>
      <c r="B3108">
        <f>IF(Inputs!$B$3&gt;=68,20*IF(Inputs!$B$39="pvp",MIN((15*(1+((Inputs!$B$35+(ArtifactsInput!$M$7-ArtifactsInput!$M$7)*CHOOSE(ArtifactsInput!$N$7+1,6,7.2,8.4,9.6,10.8,12))+IF(Inputs!$B$3&gt;=117,F3104,0))/100)),15)/15,(15*(1+((Inputs!$B$35+(ArtifactsInput!$M$7-ArtifactsInput!$M$7)*CHOOSE(ArtifactsInput!$N$7+1,6,7.2,8.4,9.6,10.8,12))+IF(Inputs!$B$3&gt;=117,F3104,0))/100))/Skills!D10),0)</f>
        <v/>
      </c>
    </row>
    <row r="3109">
      <c r="A3109" t="inlineStr">
        <is>
          <t>Normal Monster Damage Bonus % (Holy Symbol)</t>
        </is>
      </c>
      <c r="B3109">
        <f>IF(C3090=TRUE,F3090*IF(AND(Inputs!$B$39&lt;&gt;"pvp",Inputs!$B$44&gt;0),(((R3090-1)*(Skills!S12*(1+((Inputs!$B$35+(ArtifactsInput!$M$7-ArtifactsInput!$M$7)*CHOOSE(ArtifactsInput!$N$7+1,6,7.2,8.4,9.6,10.8,12))+IF(Inputs!$B$3&gt;=117,F3104,0))/100))+MIN((Skills!S12*(1+((Inputs!$B$35+(ArtifactsInput!$M$7-ArtifactsInput!$M$7)*CHOOSE(ArtifactsInput!$N$7+1,6,7.2,8.4,9.6,10.8,12))+IF(Inputs!$B$3&gt;=117,F3104,0))/100)),MAX(0,Inputs!$B$44-((R3090-1)*Skills!D12))))/Inputs!$B$44),IF(Inputs!$B$39="pvp",MIN((Skills!S12*(1+((Inputs!$B$35+(ArtifactsInput!$M$7-ArtifactsInput!$M$7)*CHOOSE(ArtifactsInput!$N$7+1,6,7.2,8.4,9.6,10.8,12))+IF(Inputs!$B$3&gt;=117,F3104,0))/100)),15)/15,(Skills!S12*(1+((Inputs!$B$35+(ArtifactsInput!$M$7-ArtifactsInput!$M$7)*CHOOSE(ArtifactsInput!$N$7+1,6,7.2,8.4,9.6,10.8,12))+IF(Inputs!$B$3&gt;=117,F3104,0))/100))/Skills!D12)),0)</f>
        <v/>
      </c>
    </row>
    <row r="3110">
      <c r="A3110" t="inlineStr">
        <is>
          <t>Damage % Bonus (Holy Symbol - Damage Boost)</t>
        </is>
      </c>
      <c r="B3110">
        <f>Skills!O12</f>
        <v/>
      </c>
    </row>
    <row r="3111">
      <c r="A3111" t="inlineStr">
        <is>
          <t>Crit Damage % Bonus (Blood of the Divine)</t>
        </is>
      </c>
      <c r="B3111">
        <f>4*IF(C3098=TRUE,F3098,0)</f>
        <v/>
      </c>
    </row>
    <row r="3112">
      <c r="A3112" t="inlineStr">
        <is>
          <t>Attack Speed Bonus %</t>
        </is>
      </c>
      <c r="B3112">
        <f>IF(C3095=TRUE,F3095+(F3099-Calc!F21),0)+IF(Inputs!$B$3&gt;=134,15,0)</f>
        <v/>
      </c>
    </row>
    <row r="3113">
      <c r="A3113" t="inlineStr">
        <is>
          <t>Actions Per Second</t>
        </is>
      </c>
      <c r="B3113">
        <f>1+MIN(150,150*(1-(1-Inputs!$B$12/150)*(1-B3112/150)))/100</f>
        <v/>
      </c>
    </row>
    <row r="3114">
      <c r="A3114" t="inlineStr">
        <is>
          <t>Skill + Buff Cast Rate</t>
        </is>
      </c>
      <c r="B3114">
        <f>IF(AND(Inputs!$B$39&lt;&gt;"pvp",Inputs!$B$44&gt;0),SUMPRODUCT((Skills!E2:E27=TRUE)*(C3080:C3105=TRUE)*R3080:R3105)/Inputs!$B$44,SUMPRODUCT((Skills!E2:E27=TRUE)*(C3080:C3105=TRUE)*Q3080:Q3105))</f>
        <v/>
      </c>
    </row>
    <row r="3115">
      <c r="A3115" t="inlineStr">
        <is>
          <t>Big Bang Casts Per Second</t>
        </is>
      </c>
      <c r="B3115">
        <f>MAX(0,B3113-B3114)</f>
        <v/>
      </c>
    </row>
    <row r="3116">
      <c r="A3116" t="inlineStr">
        <is>
          <t>Defense % Bonus (Divine Protection)</t>
        </is>
      </c>
      <c r="B3116">
        <f>IF(C3091=TRUE,F3091*IF(AND(Inputs!$B$39&lt;&gt;"pvp",Inputs!$B$44&gt;0),(((R3091-1)*(Skills!S13*(1+((Inputs!$B$35+(ArtifactsInput!$M$7-ArtifactsInput!$M$7)*CHOOSE(ArtifactsInput!$N$7+1,6,7.2,8.4,9.6,10.8,12))+IF(Inputs!$B$3&gt;=117,F3104,0))/100))+MIN((Skills!S13*(1+((Inputs!$B$35+(ArtifactsInput!$M$7-ArtifactsInput!$M$7)*CHOOSE(ArtifactsInput!$N$7+1,6,7.2,8.4,9.6,10.8,12))+IF(Inputs!$B$3&gt;=117,F3104,0))/100)),MAX(0,Inputs!$B$44-((R3091-1)*Skills!D13))))/Inputs!$B$44),IF(Inputs!$B$39="pvp",MIN((Skills!S13*(1+((Inputs!$B$35+(ArtifactsInput!$M$7-ArtifactsInput!$M$7)*CHOOSE(ArtifactsInput!$N$7+1,6,7.2,8.4,9.6,10.8,12))+IF(Inputs!$B$3&gt;=117,F3104,0))/100)),15)/15,(Skills!S13*(1+((Inputs!$B$35+(ArtifactsInput!$M$7-ArtifactsInput!$M$7)*CHOOSE(ArtifactsInput!$N$7+1,6,7.2,8.4,9.6,10.8,12))+IF(Inputs!$B$3&gt;=117,F3104,0))/100))/Skills!D13)),0)</f>
        <v/>
      </c>
    </row>
    <row r="3117">
      <c r="A3117" t="inlineStr">
        <is>
          <t>Buff-Casting Startup Delay (s, fixed-duration only)</t>
        </is>
      </c>
      <c r="B3117">
        <f>IF(AND(Inputs!$B$39&lt;&gt;"pvp",Inputs!$B$44&gt;0),SUMPRODUCT((Skills!S2:S27&gt;0)*(Skills!E2:E27=TRUE)*(C3080:C3105=TRUE))/B3113,0)</f>
        <v/>
      </c>
    </row>
    <row r="3118">
      <c r="A3118" t="inlineStr">
        <is>
          <t>Boss-Only Total DPS (this block's swept value)</t>
        </is>
      </c>
      <c r="B3118">
        <f>SUM(S3080:S3105)</f>
        <v/>
      </c>
    </row>
    <row r="3119">
      <c r="A3119" t="inlineStr">
        <is>
          <t>Normal-Only Total DPS (this block's swept value)</t>
        </is>
      </c>
      <c r="B3119">
        <f>SUM(U3080:U3105)</f>
        <v/>
      </c>
    </row>
    <row r="3120">
      <c r="A3120" s="6" t="inlineStr">
        <is>
          <t>TOTAL DPS</t>
        </is>
      </c>
      <c r="B3120" s="6">
        <f>SUM(O3080:O3105)</f>
        <v/>
      </c>
    </row>
    <row r="3122">
      <c r="A3122" s="6" t="inlineStr">
        <is>
          <t>Stat: CDR = 3.5s</t>
        </is>
      </c>
    </row>
    <row r="3123">
      <c r="A3123" s="5" t="inlineStr">
        <is>
          <t>Key</t>
        </is>
      </c>
      <c r="B3123" s="5" t="inlineStr">
        <is>
          <t>Name</t>
        </is>
      </c>
      <c r="C3123" s="5" t="inlineStr">
        <is>
          <t>Unlocked</t>
        </is>
      </c>
      <c r="D3123" s="5" t="inlineStr">
        <is>
          <t>InputLevel</t>
        </is>
      </c>
      <c r="E3123" s="5" t="inlineStr">
        <is>
          <t>Factor</t>
        </is>
      </c>
      <c r="F3123" s="5" t="inlineStr">
        <is>
          <t>CoefficientPercent</t>
        </is>
      </c>
      <c r="G3123" s="5" t="inlineStr">
        <is>
          <t>EffectiveHits</t>
        </is>
      </c>
      <c r="H3123" s="5" t="inlineStr">
        <is>
          <t>ProcProbability</t>
        </is>
      </c>
      <c r="I3123" s="5" t="inlineStr">
        <is>
          <t>MapleHeroMultiplier</t>
        </is>
      </c>
      <c r="J3123" s="5" t="inlineStr">
        <is>
          <t>BaseDamage</t>
        </is>
      </c>
      <c r="K3123" s="5" t="inlineStr">
        <is>
          <t>BaseHitDamage</t>
        </is>
      </c>
      <c r="L3123" s="5" t="inlineStr">
        <is>
          <t>NonCritAvg</t>
        </is>
      </c>
      <c r="M3123" s="5" t="inlineStr">
        <is>
          <t>CritAvg</t>
        </is>
      </c>
      <c r="N3123" s="5" t="inlineStr">
        <is>
          <t>ExpectedDamage(perHit)</t>
        </is>
      </c>
      <c r="O3123" s="5" t="inlineStr">
        <is>
          <t>DPS</t>
        </is>
      </c>
      <c r="P3123" s="5" t="inlineStr">
        <is>
          <t>% of Total</t>
        </is>
      </c>
      <c r="R3123" t="inlineStr">
        <is>
          <t>helpers</t>
        </is>
      </c>
    </row>
    <row r="3124">
      <c r="A3124">
        <f>Skills!A2</f>
        <v/>
      </c>
      <c r="B3124">
        <f>Skills!B2</f>
        <v/>
      </c>
      <c r="C3124">
        <f>Inputs!$B$3&gt;=100</f>
        <v/>
      </c>
      <c r="D3124" t="inlineStr"/>
      <c r="E3124" t="inlineStr"/>
      <c r="F3124">
        <f>T3126+Skills!N2</f>
        <v/>
      </c>
      <c r="G3124">
        <f>Calc!G2</f>
        <v/>
      </c>
      <c r="H3124">
        <f>Calc!H2</f>
        <v/>
      </c>
      <c r="I3124">
        <f>IF(Skills!T2&lt;&gt;"",1+(Skills!T2/10)*($Z$3/1000)/100,1)</f>
        <v/>
      </c>
      <c r="J3124">
        <f>((Inputs!$B$6*(1+Inputs!$B$7/100))+(((Inputs!$B$13*(1+Inputs!$B$14/100))-(Inputs!$B$13*(1+Inputs!$B$14/100)))+0.25*(Inputs!$B$15-Inputs!$B$15))*(1+Inputs!$B$7/100))*(F3124/100)</f>
        <v/>
      </c>
      <c r="K3124">
        <f>J3124*(1+(((Inputs!$B$13+IF(Inputs!$B$3&gt;=35,(10*INDEX(FactorTable!$B$2:$Y$301,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2="TRIUMPH_FEATHER",IF(C3138=TRUE,F3138,0),0)/100)*(1+IF(C3149=TRUE,F3149,0)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3124)</f>
        <v/>
      </c>
      <c r="L3124">
        <f>K3124*(MIN(Inputs!$B$23+(F3144-Calc!F22),(Inputs!$B$24+IF(ArtifactsInput!$M$15,CHOOSE(ArtifactsInput!$N$15+1,25,30,35,40,45,50)/100*(Inputs!$B$12-Inputs!$B$12),0)))/100+(Inputs!$B$24+IF(ArtifactsInput!$M$15,CHOOSE(ArtifactsInput!$N$15+1,25,30,35,40,45,50)/100*(Inputs!$B$12-Inputs!$B$12),0))/100)/2</f>
        <v/>
      </c>
      <c r="M3124">
        <f>L3124*(1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4">
        <f>L3124*(1-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(1-Summary!$B$11)*S3124+Summary!$B$11*U3124</f>
        <v/>
      </c>
      <c r="P3124">
        <f>IF(B3164=0,0,O3124/B3164)</f>
        <v/>
      </c>
      <c r="Q3124">
        <f>IFERROR(1/(IF(Inputs!$B$39="pvp",15,MAX(0.1,Skills!D2-IF(Skills!E2=TRUE,3.5,0)))*(1-IF(AND(ArtifactsInput!$M$27,Inputs!$B$4="Chapter Hunt"),CHOOSE(ArtifactsInput!$N$27+1,20,24,28,32,36,40),0)/100)),0)</f>
        <v/>
      </c>
      <c r="R3124" t="n">
        <v>0</v>
      </c>
      <c r="S3124">
        <f>IF(C3124,(Skills!F2*N3124*B3159)*IF(Inputs!$B$39="pvp",1,1+(Inputs!$B$21+Skills!O2+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3124*(1-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24">
        <f>MAX(0,(Inputs!$B$3-100)*3)+Inputs!$B$29+Inputs!$B$30</f>
        <v/>
      </c>
      <c r="U3124">
        <f>IF(C3124,(Skills!F2*N3124*B3159)*IF(Inputs!$B$39="pvp",1,(1+(Inputs!$B$22+Skills!P2+B3153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Skills!A3</f>
        <v/>
      </c>
      <c r="B3125">
        <f>Skills!B3</f>
        <v/>
      </c>
      <c r="C3125">
        <f>Inputs!$B$3&gt;=15</f>
        <v/>
      </c>
      <c r="D3125">
        <f>IF(Skills!C3=1,60+Inputs!$B$26+Inputs!$B$30,IF(Skills!C3=2,90+Inputs!$B$27+Inputs!$B$30,IF(Skills!C3=3,120+Inputs!$B$28+Inputs!$B$30,MAX(0,(Inputs!$B$3-100)*3)+Inputs!$B$29+Inputs!$B$30)))</f>
        <v/>
      </c>
      <c r="E3125">
        <f>INDEX(FactorTable!$B$2:$Y$301, MATCH(ROUND(MIN(300,MAX(1,D3125)),0), FactorTable!$A$2:$A$301,0), Skills!L3+1)</f>
        <v/>
      </c>
      <c r="F3125">
        <f>IF(Skills!M3=TRUE,(Skills!K3/10)*(E3125/1000),Skills!K3/10)+Skills!N3</f>
        <v/>
      </c>
      <c r="G3125">
        <f>Calc!G3</f>
        <v/>
      </c>
      <c r="H3125">
        <f>Calc!H3</f>
        <v/>
      </c>
      <c r="I3125">
        <f>IF(Skills!T3&lt;&gt;"",1+(Skills!T3/10)*($Z$3/1000)/100,1)</f>
        <v/>
      </c>
      <c r="J3125" t="inlineStr"/>
      <c r="K3125" t="inlineStr"/>
      <c r="L3125" t="inlineStr"/>
      <c r="M3125" t="inlineStr"/>
      <c r="N3125" t="inlineStr"/>
      <c r="O3125">
        <f>(1-Summary!$B$11)*S3125+Summary!$B$11*U3125</f>
        <v/>
      </c>
      <c r="P3125">
        <f>IF(B3164=0,0,O3125/B3164)</f>
        <v/>
      </c>
      <c r="Q3125">
        <f>IFERROR(1/(IF(Inputs!$B$39="pvp",15,MAX(0.1,Skills!D3-IF(Skills!E3=TRUE,3.5,0)))*(1-IF(AND(ArtifactsInput!$M$27,Inputs!$B$4="Chapter Hunt"),CHOOSE(ArtifactsInput!$N$27+1,20,24,28,32,36,40),0)/100)),0)</f>
        <v/>
      </c>
      <c r="R3125">
        <f>IF(AND(Inputs!$B$39&lt;&gt;"pvp",Inputs!$B$44&gt;0),IF(Inputs!$B$44&lt;=0,0,(INT(Inputs!$B$44/(IF(Inputs!$B$39="pvp",15,MAX(0.1,Skills!D3-IF(Skills!E3=TRUE,3.5,0)))*(1-IF(AND(ArtifactsInput!$M$27,Inputs!$B$4="Chapter Hunt"),CHOOSE(ArtifactsInput!$N$27+1,20,24,28,32,36,40),0)/100)))+1)),0)</f>
        <v/>
      </c>
      <c r="S3125" t="n">
        <v>0</v>
      </c>
      <c r="T3125">
        <f>INDEX(FactorTable!$B$2:$Y$301, MATCH(ROUND(MIN(300,MAX(1,T3124)),0), FactorTable!$A$2:$A$301,0), 22)</f>
        <v/>
      </c>
      <c r="U3125" t="n">
        <v>0</v>
      </c>
    </row>
    <row r="3126">
      <c r="A3126">
        <f>Skills!A4</f>
        <v/>
      </c>
      <c r="B3126">
        <f>Skills!B4</f>
        <v/>
      </c>
      <c r="C3126">
        <f>Inputs!$B$3&gt;=38</f>
        <v/>
      </c>
      <c r="D3126">
        <f>IF(Skills!C4=1,60+Inputs!$B$26+Inputs!$B$30,IF(Skills!C4=2,90+Inputs!$B$27+Inputs!$B$30,IF(Skills!C4=3,120+Inputs!$B$28+Inputs!$B$30,MAX(0,(Inputs!$B$3-100)*3)+Inputs!$B$29+Inputs!$B$30)))</f>
        <v/>
      </c>
      <c r="E3126">
        <f>INDEX(FactorTable!$B$2:$Y$301, MATCH(ROUND(MIN(300,MAX(1,D3126)),0), FactorTable!$A$2:$A$301,0), Skills!L4+1)</f>
        <v/>
      </c>
      <c r="F3126">
        <f>IF(Skills!M4=TRUE,(Skills!K4/10)*(E3126/1000),Skills!K4/10)+Skills!N4</f>
        <v/>
      </c>
      <c r="G3126">
        <f>Calc!G4</f>
        <v/>
      </c>
      <c r="H3126">
        <f>Calc!H4</f>
        <v/>
      </c>
      <c r="I3126">
        <f>IF(Skills!T4&lt;&gt;"",1+(Skills!T4/10)*($Z$3/1000)/100,1)</f>
        <v/>
      </c>
      <c r="J3126" t="inlineStr"/>
      <c r="K3126" t="inlineStr"/>
      <c r="L3126" t="inlineStr"/>
      <c r="M3126" t="inlineStr"/>
      <c r="N3126" t="inlineStr"/>
      <c r="O3126">
        <f>(1-Summary!$B$11)*S3126+Summary!$B$11*U3126</f>
        <v/>
      </c>
      <c r="P3126">
        <f>IF(B3164=0,0,O3126/B3164)</f>
        <v/>
      </c>
      <c r="Q3126">
        <f>IFERROR(1/(IF(Inputs!$B$39="pvp",15,MAX(0.1,Skills!D4-IF(Skills!E4=TRUE,3.5,0)))*(1-IF(AND(ArtifactsInput!$M$27,Inputs!$B$4="Chapter Hunt"),CHOOSE(ArtifactsInput!$N$27+1,20,24,28,32,36,40),0)/100)),0)</f>
        <v/>
      </c>
      <c r="R3126">
        <f>IF(AND(Inputs!$B$39&lt;&gt;"pvp",Inputs!$B$44&gt;0),IF(Inputs!$B$44&lt;=0,0,(INT(Inputs!$B$44/(IF(Inputs!$B$39="pvp",15,MAX(0.1,Skills!D4-IF(Skills!E4=TRUE,3.5,0)))*(1-IF(AND(ArtifactsInput!$M$27,Inputs!$B$4="Chapter Hunt"),CHOOSE(ArtifactsInput!$N$27+1,20,24,28,32,36,40),0)/100)))+1)),0)</f>
        <v/>
      </c>
      <c r="S3126" t="n">
        <v>0</v>
      </c>
      <c r="T3126">
        <f>290*T3125/1000</f>
        <v/>
      </c>
      <c r="U3126" t="n">
        <v>0</v>
      </c>
    </row>
    <row r="3127">
      <c r="A3127">
        <f>Skills!A5</f>
        <v/>
      </c>
      <c r="B3127">
        <f>Skills!B5</f>
        <v/>
      </c>
      <c r="C3127">
        <f>Inputs!$B$3&gt;=40</f>
        <v/>
      </c>
      <c r="D3127">
        <f>IF(Skills!C5=1,60+Inputs!$B$26+Inputs!$B$30,IF(Skills!C5=2,90+Inputs!$B$27+Inputs!$B$30,IF(Skills!C5=3,120+Inputs!$B$28+Inputs!$B$30,MAX(0,(Inputs!$B$3-100)*3)+Inputs!$B$29+Inputs!$B$30)))</f>
        <v/>
      </c>
      <c r="E3127">
        <f>INDEX(FactorTable!$B$2:$Y$301, MATCH(ROUND(MIN(300,MAX(1,D3127)),0), FactorTable!$A$2:$A$301,0), Skills!L5+1)</f>
        <v/>
      </c>
      <c r="F3127">
        <f>IF(Skills!M5=TRUE,(Skills!K5/10)*(E3127/1000),Skills!K5/10)+Skills!N5</f>
        <v/>
      </c>
      <c r="G3127">
        <f>Calc!G5</f>
        <v/>
      </c>
      <c r="H3127">
        <f>Calc!H5</f>
        <v/>
      </c>
      <c r="I3127">
        <f>IF(Skills!T5&lt;&gt;"",1+(Skills!T5/10)*($Z$3/1000)/100,1)</f>
        <v/>
      </c>
      <c r="J3127" t="inlineStr"/>
      <c r="K3127" t="inlineStr"/>
      <c r="L3127" t="inlineStr"/>
      <c r="M3127" t="inlineStr"/>
      <c r="N3127" t="inlineStr"/>
      <c r="O3127">
        <f>(1-Summary!$B$11)*S3127+Summary!$B$11*U3127</f>
        <v/>
      </c>
      <c r="P3127">
        <f>IF(B3164=0,0,O3127/B3164)</f>
        <v/>
      </c>
      <c r="Q3127">
        <f>IFERROR(1/(IF(Inputs!$B$39="pvp",15,MAX(0.1,Skills!D5-IF(Skills!E5=TRUE,3.5,0)))*(1-IF(AND(ArtifactsInput!$M$27,Inputs!$B$4="Chapter Hunt"),CHOOSE(ArtifactsInput!$N$27+1,20,24,28,32,36,40),0)/100)),0)</f>
        <v/>
      </c>
      <c r="R3127">
        <f>IF(AND(Inputs!$B$39&lt;&gt;"pvp",Inputs!$B$44&gt;0),IF(Inputs!$B$44&lt;=0,0,(INT(Inputs!$B$44/(IF(Inputs!$B$39="pvp",15,MAX(0.1,Skills!D5-IF(Skills!E5=TRUE,3.5,0)))*(1-IF(AND(ArtifactsInput!$M$27,Inputs!$B$4="Chapter Hunt"),CHOOSE(ArtifactsInput!$N$27+1,20,24,28,32,36,40),0)/100)))+1)),0)</f>
        <v/>
      </c>
      <c r="S3127" t="n">
        <v>0</v>
      </c>
      <c r="U3127" t="n">
        <v>0</v>
      </c>
    </row>
    <row r="3128">
      <c r="A3128">
        <f>Skills!A6</f>
        <v/>
      </c>
      <c r="B3128">
        <f>Skills!B6</f>
        <v/>
      </c>
      <c r="C3128">
        <f>Inputs!$B$3&gt;=103</f>
        <v/>
      </c>
      <c r="D3128">
        <f>IF(Skills!C6=1,60+Inputs!$B$26+Inputs!$B$30,IF(Skills!C6=2,90+Inputs!$B$27+Inputs!$B$30,IF(Skills!C6=3,120+Inputs!$B$28+Inputs!$B$30,MAX(0,(Inputs!$B$3-100)*3)+Inputs!$B$29+Inputs!$B$30)))</f>
        <v/>
      </c>
      <c r="E3128">
        <f>INDEX(FactorTable!$B$2:$Y$301, MATCH(ROUND(MIN(300,MAX(1,D3128)),0), FactorTable!$A$2:$A$301,0), Skills!L6+1)</f>
        <v/>
      </c>
      <c r="F3128">
        <f>IF(Skills!M6=TRUE,(Skills!K6/10)*(E3128/1000),Skills!K6/10)+Skills!N6</f>
        <v/>
      </c>
      <c r="G3128">
        <f>Calc!G6</f>
        <v/>
      </c>
      <c r="H3128">
        <f>Calc!H6</f>
        <v/>
      </c>
      <c r="I3128">
        <f>IF(Skills!T6&lt;&gt;"",1+(Skills!T6/10)*($Z$3/1000)/100,1)</f>
        <v/>
      </c>
      <c r="J3128">
        <f>((Inputs!$B$6*(1+Inputs!$B$7/100))+(((Inputs!$B$13*(1+Inputs!$B$14/100))-(Inputs!$B$13*(1+Inputs!$B$14/100)))+0.25*(Inputs!$B$15-Inputs!$B$15))*(1+Inputs!$B$7/100))*(F3128/100)</f>
        <v/>
      </c>
      <c r="K3128">
        <f>J3128*(1+(((Inputs!$B$13+IF(Inputs!$B$3&gt;=35,(10*INDEX(FactorTable!$B$2:$Y$301,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6="TRIUMPH_FEATHER",IF(C3138=TRUE,F3138,0),0)/100)*(1+IF(C3149=TRUE,F3149,0)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3128)</f>
        <v/>
      </c>
      <c r="L3128">
        <f>K3128*(MIN(Inputs!$B$23+(F3144-Calc!F22),(Inputs!$B$24+IF(ArtifactsInput!$M$15,CHOOSE(ArtifactsInput!$N$15+1,25,30,35,40,45,50)/100*(Inputs!$B$12-Inputs!$B$12),0)))/100+(Inputs!$B$24+IF(ArtifactsInput!$M$15,CHOOSE(ArtifactsInput!$N$15+1,25,30,35,40,45,50)/100*(Inputs!$B$12-Inputs!$B$12),0))/100)/2</f>
        <v/>
      </c>
      <c r="M3128">
        <f>L3128*(1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8">
        <f>L3128*(1-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3128*(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8">
        <f>(1-Summary!$B$11)*S3128+Summary!$B$11*U3128</f>
        <v/>
      </c>
      <c r="P3128">
        <f>IF(B3164=0,0,O3128/B3164)</f>
        <v/>
      </c>
      <c r="Q3128">
        <f>IFERROR(1/(IF(Inputs!$B$39="pvp",15,MAX(0.1,Skills!D6-IF(Skills!E6=TRUE,3.5,0)))*(1-IF(AND(ArtifactsInput!$M$27,Inputs!$B$4="Chapter Hunt"),CHOOSE(ArtifactsInput!$N$27+1,20,24,28,32,36,40),0)/100)),0)</f>
        <v/>
      </c>
      <c r="R3128">
        <f>IF(AND(Inputs!$B$39&lt;&gt;"pvp",Inputs!$B$44&gt;0),IF(MAX(0,Inputs!$B$44-B3161)&lt;=0,0,(INT(MAX(0,Inputs!$B$44-B3161)/(IF(Inputs!$B$39="pvp",15,MAX(0.1,Skills!D6-IF(Skills!E6=TRUE,3.5,0)))*(1-IF(AND(ArtifactsInput!$M$27,Inputs!$B$4="Chapter Hunt"),CHOOSE(ArtifactsInput!$N$27+1,20,24,28,32,36,40),0)/100)))+1)),0)</f>
        <v/>
      </c>
      <c r="S3128">
        <f>IF(C3128,(H3128*N3128*IF(AND(Inputs!$B$39&lt;&gt;"pvp",Inputs!$B$44&gt;0),((Skills!F6*((R3128-1)*IF(Skills!G6&gt;0,Skills!H6/Skills!G6,1)+IF(Skills!G6&gt;0,MIN(Skills!H6,MAX(0,MAX(0,Inputs!$B$44-B3161)-((R3128-1)*(IF(Inputs!$B$39="pvp",15,MAX(0.1,Skills!D6-IF(Skills!E6=TRUE,3.5,0)))*(1-IF(AND(ArtifactsInput!$M$27,Inputs!$B$4="Chapter Hunt"),CHOOSE(ArtifactsInput!$N$27+1,20,24,28,32,36,40),0)/100)))))/Skills!G6,1)))/Inputs!$B$44),G3128*Q3128))*IF(Inputs!$B$39="pvp",1,1+(Inputs!$B$21+Skills!O6+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3128*(1-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3128*(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3128*(1-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3128*(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8">
        <f>IF(C3128,(H3128*N3128*IF(AND(Inputs!$B$39&lt;&gt;"pvp",Inputs!$B$44&gt;0),((Skills!F6*((R3128-1)*IF(Skills!G6&gt;0,Skills!H6/Skills!G6,1)+IF(Skills!G6&gt;0,MIN(Skills!H6,MAX(0,MAX(0,Inputs!$B$44-B3161)-((R3128-1)*(IF(Inputs!$B$39="pvp",15,MAX(0.1,Skills!D6-IF(Skills!E6=TRUE,3.5,0)))*(1-IF(AND(ArtifactsInput!$M$27,Inputs!$B$4="Chapter Hunt"),CHOOSE(ArtifactsInput!$N$27+1,20,24,28,32,36,40),0)/100)))))/Skills!G6,1)))/Inputs!$B$44),G3128*Q3128))*IF(Inputs!$B$39="pvp",1,(1+(Inputs!$B$22+Skills!P6+B3153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9">
      <c r="A3129">
        <f>Skills!A7</f>
        <v/>
      </c>
      <c r="B3129">
        <f>Skills!B7</f>
        <v/>
      </c>
      <c r="C3129">
        <f>Inputs!$B$3&gt;=122</f>
        <v/>
      </c>
      <c r="D3129">
        <f>IF(Skills!C7=1,60+Inputs!$B$26+Inputs!$B$30,IF(Skills!C7=2,90+Inputs!$B$27+Inputs!$B$30,IF(Skills!C7=3,120+Inputs!$B$28+Inputs!$B$30,MAX(0,(Inputs!$B$3-100)*3)+Inputs!$B$29+Inputs!$B$30)))</f>
        <v/>
      </c>
      <c r="E3129">
        <f>INDEX(FactorTable!$B$2:$Y$301, MATCH(ROUND(MIN(300,MAX(1,D3129)),0), FactorTable!$A$2:$A$301,0), Skills!L7+1)</f>
        <v/>
      </c>
      <c r="F3129">
        <f>IF(Skills!M7=TRUE,(Skills!K7/10)*(E3129/1000),Skills!K7/10)+Skills!N7</f>
        <v/>
      </c>
      <c r="G3129">
        <f>Calc!G7</f>
        <v/>
      </c>
      <c r="H3129">
        <f>Calc!H7</f>
        <v/>
      </c>
      <c r="I3129">
        <f>IF(Skills!T7&lt;&gt;"",1+(Skills!T7/10)*($Z$3/1000)/100,1)</f>
        <v/>
      </c>
      <c r="J3129">
        <f>((Inputs!$B$6*(1+Inputs!$B$7/100))+(((Inputs!$B$13*(1+Inputs!$B$14/100))-(Inputs!$B$13*(1+Inputs!$B$14/100)))+0.25*(Inputs!$B$15-Inputs!$B$15))*(1+Inputs!$B$7/100))*(F3129/100)</f>
        <v/>
      </c>
      <c r="K3129">
        <f>J3129*(1+(((Inputs!$B$13+IF(Inputs!$B$3&gt;=35,(10*INDEX(FactorTable!$B$2:$Y$301,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7="TRIUMPH_FEATHER",IF(C3138=TRUE,F3138,0),0)/100)*(1+IF(C3149=TRUE,F3149,0)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3129)</f>
        <v/>
      </c>
      <c r="L3129">
        <f>K3129*(MIN(Inputs!$B$23+(F3144-Calc!F22),(Inputs!$B$24+IF(ArtifactsInput!$M$15,CHOOSE(ArtifactsInput!$N$15+1,25,30,35,40,45,50)/100*(Inputs!$B$12-Inputs!$B$12),0)))/100+(Inputs!$B$24+IF(ArtifactsInput!$M$15,CHOOSE(ArtifactsInput!$N$15+1,25,30,35,40,45,50)/100*(Inputs!$B$12-Inputs!$B$12),0))/100)/2</f>
        <v/>
      </c>
      <c r="M3129">
        <f>L3129*(1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9">
        <f>L3129*(1-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3129*(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9">
        <f>(1-Summary!$B$11)*S3129+Summary!$B$11*U3129</f>
        <v/>
      </c>
      <c r="P3129">
        <f>IF(B3164=0,0,O3129/B3164)</f>
        <v/>
      </c>
      <c r="Q3129">
        <f>IFERROR(1/(IF(Inputs!$B$39="pvp",15,MAX(0.1,Skills!D7-IF(Skills!E6=TRUE,3.5,0)))*(1-IF(AND(ArtifactsInput!$M$27,Inputs!$B$4="Chapter Hunt"),CHOOSE(ArtifactsInput!$N$27+1,20,24,28,32,36,40),0)/100)),0)</f>
        <v/>
      </c>
      <c r="R3129">
        <f>IF(AND(Inputs!$B$39&lt;&gt;"pvp",Inputs!$B$44&gt;0),IF(MAX(0,Inputs!$B$44-B3161)&lt;=0,0,(INT(MAX(0,Inputs!$B$44-B3161)/(IF(Inputs!$B$39="pvp",15,MAX(0.1,Skills!D7-IF(Skills!E6=TRUE,3.5,0)))*(1-IF(AND(ArtifactsInput!$M$27,Inputs!$B$4="Chapter Hunt"),CHOOSE(ArtifactsInput!$N$27+1,20,24,28,32,36,40),0)/100)))+1)),0)</f>
        <v/>
      </c>
      <c r="S3129">
        <f>IF(C3129,H3129*N3129*IF(AND(Inputs!$B$39&lt;&gt;"pvp",Inputs!$B$44&gt;0),((Skills!F7*((R3129-1)*IF(Skills!G7&gt;0,Skills!H7/Skills!G7,1)+IF(Skills!G7&gt;0,MIN(Skills!H7,MAX(0,MAX(0,Inputs!$B$44-B3161)-((R3129-1)*(IF(Inputs!$B$39="pvp",15,MAX(0.1,Skills!D7-IF(Skills!E6=TRUE,3.5,0)))*(1-IF(AND(ArtifactsInput!$M$27,Inputs!$B$4="Chapter Hunt"),CHOOSE(ArtifactsInput!$N$27+1,20,24,28,32,36,40),0)/100)))))/Skills!G7,1)))/Inputs!$B$44),G3129*Q3129)*IF(Inputs!$B$39="pvp",1,1+(Inputs!$B$21+Skills!O7+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3129*(1-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3129*(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3129*(1-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3129*(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9" t="n">
        <v>0</v>
      </c>
    </row>
    <row r="3130">
      <c r="A3130">
        <f>Skills!A8</f>
        <v/>
      </c>
      <c r="B3130">
        <f>Skills!B8</f>
        <v/>
      </c>
      <c r="C3130">
        <f>Inputs!$B$3&gt;=105</f>
        <v/>
      </c>
      <c r="D3130">
        <f>IF(Skills!C8=1,60+Inputs!$B$26+Inputs!$B$30,IF(Skills!C8=2,90+Inputs!$B$27+Inputs!$B$30,IF(Skills!C8=3,120+Inputs!$B$28+Inputs!$B$30,MAX(0,(Inputs!$B$3-100)*3)+Inputs!$B$29+Inputs!$B$30)))</f>
        <v/>
      </c>
      <c r="E3130">
        <f>INDEX(FactorTable!$B$2:$Y$301, MATCH(ROUND(MIN(300,MAX(1,D3130)),0), FactorTable!$A$2:$A$301,0), Skills!L8+1)</f>
        <v/>
      </c>
      <c r="F3130">
        <f>IF(Skills!M8=TRUE,(Skills!K8/10)*(E3130/1000),Skills!K8/10)+Skills!N8</f>
        <v/>
      </c>
      <c r="G3130">
        <f>Calc!G8</f>
        <v/>
      </c>
      <c r="H3130">
        <f>Calc!H8</f>
        <v/>
      </c>
      <c r="I3130">
        <f>IF(Skills!T8&lt;&gt;"",1+(Skills!T8/10)*($Z$3/1000)/100,1)</f>
        <v/>
      </c>
      <c r="J3130">
        <f>((Inputs!$B$6*(1+Inputs!$B$7/100))+(((Inputs!$B$13*(1+Inputs!$B$14/100))-(Inputs!$B$13*(1+Inputs!$B$14/100)))+0.25*(Inputs!$B$15-Inputs!$B$15))*(1+Inputs!$B$7/100))*(F3130/100)</f>
        <v/>
      </c>
      <c r="K3130">
        <f>J3130*(1+(((Inputs!$B$13+IF(Inputs!$B$3&gt;=35,(10*INDEX(FactorTable!$B$2:$Y$301,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8="TRIUMPH_FEATHER",IF(C3138=TRUE,F3138,0),0)/100)*(1+IF(C3149=TRUE,F3149,0)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3130)</f>
        <v/>
      </c>
      <c r="L3130">
        <f>K3130*(MIN(Inputs!$B$23+(F3144-Calc!F22),(Inputs!$B$24+IF(ArtifactsInput!$M$15,CHOOSE(ArtifactsInput!$N$15+1,25,30,35,40,45,50)/100*(Inputs!$B$12-Inputs!$B$12),0)))/100+(Inputs!$B$24+IF(ArtifactsInput!$M$15,CHOOSE(ArtifactsInput!$N$15+1,25,30,35,40,45,50)/100*(Inputs!$B$12-Inputs!$B$12),0))/100)/2</f>
        <v/>
      </c>
      <c r="M3130">
        <f>L3130*(1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30">
        <f>L3130*(1-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3130*(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0">
        <f>(1-Summary!$B$11)*S3130+Summary!$B$11*U3130</f>
        <v/>
      </c>
      <c r="P3130">
        <f>IF(B3164=0,0,O3130/B3164)</f>
        <v/>
      </c>
      <c r="Q3130">
        <f>IFERROR(1/(IF(Inputs!$B$39="pvp",15,MAX(0.1,Skills!D8-IF(Skills!E8=TRUE,3.5,0)))*(1-IF(AND(ArtifactsInput!$M$27,Inputs!$B$4="Chapter Hunt"),CHOOSE(ArtifactsInput!$N$27+1,20,24,28,32,36,40),0)/100)),0)</f>
        <v/>
      </c>
      <c r="R3130">
        <f>IF(AND(Inputs!$B$39&lt;&gt;"pvp",Inputs!$B$44&gt;0),IF(MAX(0,Inputs!$B$44-B3161)&lt;=0,0,(INT(MAX(0,Inputs!$B$44-B3161)/(IF(Inputs!$B$39="pvp",15,MAX(0.1,Skills!D8-IF(Skills!E8=TRUE,3.5,0)))*(1-IF(AND(ArtifactsInput!$M$27,Inputs!$B$4="Chapter Hunt"),CHOOSE(ArtifactsInput!$N$27+1,20,24,28,32,36,40),0)/100)))+1)),0)</f>
        <v/>
      </c>
      <c r="S3130">
        <f>IF(C3130,(H3130*N3130*IF(AND(Inputs!$B$39&lt;&gt;"pvp",Inputs!$B$44&gt;0),((Skills!F8*((R3130-1)*IF(Skills!G8&gt;0,Skills!H8/Skills!G8,1)+IF(Skills!G8&gt;0,MIN(Skills!H8,MAX(0,MAX(0,Inputs!$B$44-B3161)-((R3130-1)*(IF(Inputs!$B$39="pvp",15,MAX(0.1,Skills!D8-IF(Skills!E8=TRUE,3.5,0)))*(1-IF(AND(ArtifactsInput!$M$27,Inputs!$B$4="Chapter Hunt"),CHOOSE(ArtifactsInput!$N$27+1,20,24,28,32,36,40),0)/100)))))/Skills!G8,1)))/Inputs!$B$44),G3130*Q3130))*IF(Inputs!$B$39="pvp",1,1+(Inputs!$B$21+Skills!O8+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3130*(1-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3130*(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3130*(1-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3130*(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0">
        <f>IF(C3130,(H3130*N3130*IF(AND(Inputs!$B$39&lt;&gt;"pvp",Inputs!$B$44&gt;0),((Skills!F8*((R3130-1)*IF(Skills!G8&gt;0,Skills!H8/Skills!G8,1)+IF(Skills!G8&gt;0,MIN(Skills!H8,MAX(0,MAX(0,Inputs!$B$44-B3161)-((R3130-1)*(IF(Inputs!$B$39="pvp",15,MAX(0.1,Skills!D8-IF(Skills!E8=TRUE,3.5,0)))*(1-IF(AND(ArtifactsInput!$M$27,Inputs!$B$4="Chapter Hunt"),CHOOSE(ArtifactsInput!$N$27+1,20,24,28,32,36,40),0)/100)))))/Skills!G8,1)))/Inputs!$B$44),G3130*Q3130))*IF(Inputs!$B$39="pvp",1,(1+(Inputs!$B$22+Skills!P8+B3153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1">
      <c r="A3131">
        <f>Skills!A9</f>
        <v/>
      </c>
      <c r="B3131">
        <f>Skills!B9</f>
        <v/>
      </c>
      <c r="C3131">
        <f>Inputs!$B$3&gt;=115</f>
        <v/>
      </c>
      <c r="D3131">
        <f>IF(Skills!C9=1,60+Inputs!$B$26+Inputs!$B$30,IF(Skills!C9=2,90+Inputs!$B$27+Inputs!$B$30,IF(Skills!C9=3,120+Inputs!$B$28+Inputs!$B$30,MAX(0,(Inputs!$B$3-100)*3)+Inputs!$B$29+Inputs!$B$30)))</f>
        <v/>
      </c>
      <c r="E3131">
        <f>INDEX(FactorTable!$B$2:$Y$301, MATCH(ROUND(MIN(300,MAX(1,D3131)),0), FactorTable!$A$2:$A$301,0), Skills!L9+1)</f>
        <v/>
      </c>
      <c r="F3131">
        <f>IF(Skills!M9=TRUE,(Skills!K9/10)*(E3131/1000),Skills!K9/10)+Skills!N9</f>
        <v/>
      </c>
      <c r="G3131">
        <f>Calc!G9</f>
        <v/>
      </c>
      <c r="H3131">
        <f>Calc!H9</f>
        <v/>
      </c>
      <c r="I3131">
        <f>IF(Skills!T9&lt;&gt;"",1+(Skills!T9/10)*($Z$3/1000)/100,1)</f>
        <v/>
      </c>
      <c r="J3131">
        <f>((Inputs!$B$6*(1+Inputs!$B$7/100))+(((Inputs!$B$13*(1+Inputs!$B$14/100))-(Inputs!$B$13*(1+Inputs!$B$14/100)))+0.25*(Inputs!$B$15-Inputs!$B$15))*(1+Inputs!$B$7/100))*(F3131/100)</f>
        <v/>
      </c>
      <c r="K3131">
        <f>J3131*(1+(((Inputs!$B$13+IF(Inputs!$B$3&gt;=35,(10*INDEX(FactorTable!$B$2:$Y$301,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9="TRIUMPH_FEATHER",IF(C3138=TRUE,F3138,0),0)/100)*(1+IF(C3149=TRUE,F3149,0)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3131)</f>
        <v/>
      </c>
      <c r="L3131">
        <f>K3131*(MIN(Inputs!$B$23+(F3144-Calc!F22),(Inputs!$B$24+IF(ArtifactsInput!$M$15,CHOOSE(ArtifactsInput!$N$15+1,25,30,35,40,45,50)/100*(Inputs!$B$12-Inputs!$B$12),0)))/100+(Inputs!$B$24+IF(ArtifactsInput!$M$15,CHOOSE(ArtifactsInput!$N$15+1,25,30,35,40,45,50)/100*(Inputs!$B$12-Inputs!$B$12),0))/100)/2</f>
        <v/>
      </c>
      <c r="M3131">
        <f>L3131*(1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31">
        <f>L3131*(1-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1">
        <f>(1-Summary!$B$11)*S3131+Summary!$B$11*U3131</f>
        <v/>
      </c>
      <c r="P3131">
        <f>IF(B3164=0,0,O3131/B3164)</f>
        <v/>
      </c>
      <c r="Q3131">
        <f>IFERROR(1/(IF(Inputs!$B$39="pvp",15,MAX(0.1,Skills!D9-IF(Skills!E9=TRUE,3.5,0)))*(1-IF(AND(ArtifactsInput!$M$27,Inputs!$B$4="Chapter Hunt"),CHOOSE(ArtifactsInput!$N$27+1,20,24,28,32,36,40),0)/100)),0)</f>
        <v/>
      </c>
      <c r="R3131">
        <f>IF(AND(Inputs!$B$39&lt;&gt;"pvp",Inputs!$B$44&gt;0),IF(MAX(0,Inputs!$B$44-B3161)&lt;=0,0,(INT(MAX(0,Inputs!$B$44-B3161)/(IF(Inputs!$B$39="pvp",15,MAX(0.1,Skills!D9-IF(Skills!E9=TRUE,3.5,0)))*(1-IF(AND(ArtifactsInput!$M$27,Inputs!$B$4="Chapter Hunt"),CHOOSE(ArtifactsInput!$N$27+1,20,24,28,32,36,40),0)/100)))+1)),0)</f>
        <v/>
      </c>
      <c r="S3131">
        <f>IF(C3131,(H3131*N3131*IF(AND(Inputs!$B$39&lt;&gt;"pvp",Inputs!$B$44&gt;0),((Skills!F9*((R3131-1)*IF(Skills!G9&gt;0,Skills!H9/Skills!G9,1)+IF(Skills!G9&gt;0,MIN(Skills!H9,MAX(0,MAX(0,Inputs!$B$44-B3161)-((R3131-1)*(IF(Inputs!$B$39="pvp",15,MAX(0.1,Skills!D9-IF(Skills!E9=TRUE,3.5,0)))*(1-IF(AND(ArtifactsInput!$M$27,Inputs!$B$4="Chapter Hunt"),CHOOSE(ArtifactsInput!$N$27+1,20,24,28,32,36,40),0)/100)))))/Skills!G9,1)))/Inputs!$B$44),G3131*Q3131))*IF(Inputs!$B$39="pvp",1,1+(Inputs!$B$21+Skills!O9+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3131*(1-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3131*(1-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1">
        <f>IF(C3131,(H3131*N3131*IF(AND(Inputs!$B$39&lt;&gt;"pvp",Inputs!$B$44&gt;0),((Skills!F9*((R3131-1)*IF(Skills!G9&gt;0,Skills!H9/Skills!G9,1)+IF(Skills!G9&gt;0,MIN(Skills!H9,MAX(0,MAX(0,Inputs!$B$44-B3161)-((R3131-1)*(IF(Inputs!$B$39="pvp",15,MAX(0.1,Skills!D9-IF(Skills!E9=TRUE,3.5,0)))*(1-IF(AND(ArtifactsInput!$M$27,Inputs!$B$4="Chapter Hunt"),CHOOSE(ArtifactsInput!$N$27+1,20,24,28,32,36,40),0)/100)))))/Skills!G9,1)))/Inputs!$B$44),G3131*Q3131))*IF(Inputs!$B$39="pvp",1,(1+(Inputs!$B$22+Skills!P9+B3153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2">
      <c r="A3132">
        <f>Skills!A10</f>
        <v/>
      </c>
      <c r="B3132">
        <f>Skills!B10</f>
        <v/>
      </c>
      <c r="C3132">
        <f>Inputs!$B$3&gt;=66</f>
        <v/>
      </c>
      <c r="D3132">
        <f>IF(Skills!C10=1,60+Inputs!$B$26+Inputs!$B$30,IF(Skills!C10=2,90+Inputs!$B$27+Inputs!$B$30,IF(Skills!C10=3,120+Inputs!$B$28+Inputs!$B$30,MAX(0,(Inputs!$B$3-100)*3)+Inputs!$B$29+Inputs!$B$30)))</f>
        <v/>
      </c>
      <c r="E3132">
        <f>INDEX(FactorTable!$B$2:$Y$301, MATCH(ROUND(MIN(300,MAX(1,D3132)),0), FactorTable!$A$2:$A$301,0), Skills!L10+1)</f>
        <v/>
      </c>
      <c r="F3132" t="n">
        <v>0</v>
      </c>
      <c r="G3132">
        <f>Calc!G10</f>
        <v/>
      </c>
      <c r="H3132">
        <f>Calc!H10</f>
        <v/>
      </c>
      <c r="I3132">
        <f>IF(Skills!T10&lt;&gt;"",1+(Skills!T10/10)*($Z$3/1000)/100,1)</f>
        <v/>
      </c>
      <c r="J3132" t="inlineStr"/>
      <c r="K3132" t="inlineStr"/>
      <c r="L3132" t="inlineStr"/>
      <c r="M3132" t="inlineStr"/>
      <c r="N3132" t="inlineStr"/>
      <c r="O3132">
        <f>(1-Summary!$B$11)*S3132+Summary!$B$11*U3132</f>
        <v/>
      </c>
      <c r="P3132">
        <f>IF(B3164=0,0,O3132/B3164)</f>
        <v/>
      </c>
      <c r="Q3132">
        <f>IFERROR(1/(IF(Inputs!$B$39="pvp",15,MAX(0.1,Skills!D10-IF(Skills!E10=TRUE,3.5,0)))*(1-IF(AND(ArtifactsInput!$M$27,Inputs!$B$4="Chapter Hunt"),CHOOSE(ArtifactsInput!$N$27+1,20,24,28,32,36,40),0)/100)),0)</f>
        <v/>
      </c>
      <c r="R3132">
        <f>IF(AND(Inputs!$B$39&lt;&gt;"pvp",Inputs!$B$44&gt;0),IF(MAX(0,Inputs!$B$44-B3161)&lt;=0,0,(INT(MAX(0,Inputs!$B$44-B3161)/(IF(Inputs!$B$39="pvp",15,MAX(0.1,Skills!D10-IF(Skills!E10=TRUE,3.5,0)))*(1-IF(AND(ArtifactsInput!$M$27,Inputs!$B$4="Chapter Hunt"),CHOOSE(ArtifactsInput!$N$27+1,20,24,28,32,36,40),0)/100)))+1)),0)</f>
        <v/>
      </c>
      <c r="S3132" t="n">
        <v>0</v>
      </c>
      <c r="U3132" t="n">
        <v>0</v>
      </c>
    </row>
    <row r="3133">
      <c r="A3133">
        <f>Skills!A11</f>
        <v/>
      </c>
      <c r="B3133">
        <f>Skills!B11</f>
        <v/>
      </c>
      <c r="C3133">
        <f>Inputs!$B$3&gt;=69</f>
        <v/>
      </c>
      <c r="D3133">
        <f>IF(Skills!C11=1,60+Inputs!$B$26+Inputs!$B$30,IF(Skills!C11=2,90+Inputs!$B$27+Inputs!$B$30,IF(Skills!C11=3,120+Inputs!$B$28+Inputs!$B$30,MAX(0,(Inputs!$B$3-100)*3)+Inputs!$B$29+Inputs!$B$30)))</f>
        <v/>
      </c>
      <c r="E3133">
        <f>INDEX(FactorTable!$B$2:$Y$301, MATCH(ROUND(MIN(300,MAX(1,D3133)),0), FactorTable!$A$2:$A$301,0), Skills!L11+1)</f>
        <v/>
      </c>
      <c r="F3133">
        <f>IF(Skills!M11=TRUE,(Skills!K11/10)*(E3133/1000),Skills!K11/10)+Skills!N11</f>
        <v/>
      </c>
      <c r="G3133">
        <f>Calc!G11</f>
        <v/>
      </c>
      <c r="H3133">
        <f>Calc!H11</f>
        <v/>
      </c>
      <c r="I3133">
        <f>IF(Skills!T11&lt;&gt;"",1+(Skills!T11/10)*($Z$3/1000)/100,1)</f>
        <v/>
      </c>
      <c r="J3133" t="inlineStr"/>
      <c r="K3133" t="inlineStr"/>
      <c r="L3133" t="inlineStr"/>
      <c r="M3133" t="inlineStr"/>
      <c r="N3133" t="inlineStr"/>
      <c r="O3133">
        <f>(1-Summary!$B$11)*S3133+Summary!$B$11*U3133</f>
        <v/>
      </c>
      <c r="P3133">
        <f>IF(B3164=0,0,O3133/B3164)</f>
        <v/>
      </c>
      <c r="Q3133">
        <f>IFERROR(1/(IF(Inputs!$B$39="pvp",15,MAX(0.1,Skills!D11-IF(Skills!E11=TRUE,3.5,0)))*(1-IF(AND(ArtifactsInput!$M$27,Inputs!$B$4="Chapter Hunt"),CHOOSE(ArtifactsInput!$N$27+1,20,24,28,32,36,40),0)/100)),0)</f>
        <v/>
      </c>
      <c r="R3133">
        <f>IF(AND(Inputs!$B$39&lt;&gt;"pvp",Inputs!$B$44&gt;0),IF(Inputs!$B$44&lt;=0,0,(INT(Inputs!$B$44/(IF(Inputs!$B$39="pvp",15,MAX(0.1,Skills!D11-IF(Skills!E11=TRUE,3.5,0)))*(1-IF(AND(ArtifactsInput!$M$27,Inputs!$B$4="Chapter Hunt"),CHOOSE(ArtifactsInput!$N$27+1,20,24,28,32,36,40),0)/100)))+1)),0)</f>
        <v/>
      </c>
      <c r="S3133" t="n">
        <v>0</v>
      </c>
      <c r="U3133" t="n">
        <v>0</v>
      </c>
    </row>
    <row r="3134">
      <c r="A3134">
        <f>Skills!A12</f>
        <v/>
      </c>
      <c r="B3134">
        <f>Skills!B12</f>
        <v/>
      </c>
      <c r="C3134">
        <f>Inputs!$B$3&gt;=72</f>
        <v/>
      </c>
      <c r="D3134">
        <f>IF(Skills!C12=1,60+Inputs!$B$26+Inputs!$B$30,IF(Skills!C12=2,90+Inputs!$B$27+Inputs!$B$30,IF(Skills!C12=3,120+Inputs!$B$28+Inputs!$B$30,MAX(0,(Inputs!$B$3-100)*3)+Inputs!$B$29+Inputs!$B$30)))</f>
        <v/>
      </c>
      <c r="E3134">
        <f>INDEX(FactorTable!$B$2:$Y$301, MATCH(ROUND(MIN(300,MAX(1,D3134)),0), FactorTable!$A$2:$A$301,0), Skills!L12+1)</f>
        <v/>
      </c>
      <c r="F3134">
        <f>IF(Skills!M12=TRUE,(Skills!K12/10)*(E3134/1000),Skills!K12/10)+Skills!N12</f>
        <v/>
      </c>
      <c r="G3134">
        <f>Calc!G12</f>
        <v/>
      </c>
      <c r="H3134">
        <f>Calc!H12</f>
        <v/>
      </c>
      <c r="I3134">
        <f>IF(Skills!T12&lt;&gt;"",1+(Skills!T12/10)*($Z$3/1000)/100,1)</f>
        <v/>
      </c>
      <c r="J3134" t="inlineStr"/>
      <c r="K3134" t="inlineStr"/>
      <c r="L3134" t="inlineStr"/>
      <c r="M3134" t="inlineStr"/>
      <c r="N3134" t="inlineStr"/>
      <c r="O3134">
        <f>(1-Summary!$B$11)*S3134+Summary!$B$11*U3134</f>
        <v/>
      </c>
      <c r="P3134">
        <f>IF(B3164=0,0,O3134/B3164)</f>
        <v/>
      </c>
      <c r="Q3134">
        <f>IFERROR(1/(IF(Inputs!$B$39="pvp",15,MAX(0.1,Skills!D12-IF(Skills!E12=TRUE,3.5,0)))*(1-IF(AND(ArtifactsInput!$M$27,Inputs!$B$4="Chapter Hunt"),CHOOSE(ArtifactsInput!$N$27+1,20,24,28,32,36,40),0)/100)),0)</f>
        <v/>
      </c>
      <c r="R3134">
        <f>IF(AND(Inputs!$B$39&lt;&gt;"pvp",Inputs!$B$44&gt;0),IF(MAX(0,Inputs!$B$44-B3161)&lt;=0,0,(INT(MAX(0,Inputs!$B$44-B3161)/(IF(Inputs!$B$39="pvp",15,MAX(0.1,Skills!D12-IF(Skills!E12=TRUE,3.5,0)))*(1-IF(AND(ArtifactsInput!$M$27,Inputs!$B$4="Chapter Hunt"),CHOOSE(ArtifactsInput!$N$27+1,20,24,28,32,36,40),0)/100)))+1)),0)</f>
        <v/>
      </c>
      <c r="S3134" t="n">
        <v>0</v>
      </c>
      <c r="U3134" t="n">
        <v>0</v>
      </c>
    </row>
    <row r="3135">
      <c r="A3135">
        <f>Skills!A13</f>
        <v/>
      </c>
      <c r="B3135">
        <f>Skills!B13</f>
        <v/>
      </c>
      <c r="C3135">
        <f>Inputs!$B$3&gt;=60</f>
        <v/>
      </c>
      <c r="D3135">
        <f>IF(Skills!C13=1,60+Inputs!$B$26+Inputs!$B$30,IF(Skills!C13=2,90+Inputs!$B$27+Inputs!$B$30,IF(Skills!C13=3,120+Inputs!$B$28+Inputs!$B$30,MAX(0,(Inputs!$B$3-100)*3)+Inputs!$B$29+Inputs!$B$30)))</f>
        <v/>
      </c>
      <c r="E3135">
        <f>INDEX(FactorTable!$B$2:$Y$301, MATCH(ROUND(MIN(300,MAX(1,D3135)),0), FactorTable!$A$2:$A$301,0), Skills!L13+1)</f>
        <v/>
      </c>
      <c r="F3135">
        <f>IF(Skills!M13=TRUE,(Skills!K13/10)*(E3135/1000),Skills!K13/10)+Skills!N13</f>
        <v/>
      </c>
      <c r="G3135">
        <f>Calc!G13</f>
        <v/>
      </c>
      <c r="H3135">
        <f>Calc!H13</f>
        <v/>
      </c>
      <c r="I3135">
        <f>IF(Skills!T13&lt;&gt;"",1+(Skills!T13/10)*($Z$3/1000)/100,1)</f>
        <v/>
      </c>
      <c r="J3135" t="inlineStr"/>
      <c r="K3135" t="inlineStr"/>
      <c r="L3135" t="inlineStr"/>
      <c r="M3135" t="inlineStr"/>
      <c r="N3135" t="inlineStr"/>
      <c r="O3135">
        <f>(1-Summary!$B$11)*S3135+Summary!$B$11*U3135</f>
        <v/>
      </c>
      <c r="P3135">
        <f>IF(B3164=0,0,O3135/B3164)</f>
        <v/>
      </c>
      <c r="Q3135">
        <f>IFERROR(1/(IF(Inputs!$B$39="pvp",15,MAX(0.1,Skills!D13-IF(Skills!E13=TRUE,3.5,0)))*(1-IF(AND(ArtifactsInput!$M$27,Inputs!$B$4="Chapter Hunt"),CHOOSE(ArtifactsInput!$N$27+1,20,24,28,32,36,40),0)/100)),0)</f>
        <v/>
      </c>
      <c r="R3135">
        <f>IF(AND(Inputs!$B$39&lt;&gt;"pvp",Inputs!$B$44&gt;0),IF(MAX(0,Inputs!$B$44-B3161)&lt;=0,0,(INT(MAX(0,Inputs!$B$44-B3161)/(IF(Inputs!$B$39="pvp",15,MAX(0.1,Skills!D13-IF(Skills!E13=TRUE,3.5,0)))*(1-IF(AND(ArtifactsInput!$M$27,Inputs!$B$4="Chapter Hunt"),CHOOSE(ArtifactsInput!$N$27+1,20,24,28,32,36,40),0)/100)))+1)),0)</f>
        <v/>
      </c>
      <c r="S3135" t="n">
        <v>0</v>
      </c>
      <c r="U3135" t="n">
        <v>0</v>
      </c>
    </row>
    <row r="3136">
      <c r="A3136">
        <f>Skills!A14</f>
        <v/>
      </c>
      <c r="B3136">
        <f>Skills!B14</f>
        <v/>
      </c>
      <c r="C3136">
        <f>Inputs!$B$3&gt;=107</f>
        <v/>
      </c>
      <c r="D3136">
        <f>IF(Skills!C14=1,60+Inputs!$B$26+Inputs!$B$30,IF(Skills!C14=2,90+Inputs!$B$27+Inputs!$B$30,IF(Skills!C14=3,120+Inputs!$B$28+Inputs!$B$30,MAX(0,(Inputs!$B$3-100)*3)+Inputs!$B$29+Inputs!$B$30)))</f>
        <v/>
      </c>
      <c r="E3136">
        <f>INDEX(FactorTable!$B$2:$Y$301, MATCH(ROUND(MIN(300,MAX(1,D3136)),0), FactorTable!$A$2:$A$301,0), Skills!L14+1)</f>
        <v/>
      </c>
      <c r="F3136">
        <f>IF(Skills!M14=TRUE,(Skills!K14/10)*(E3136/1000),Skills!K14/10)+Skills!N14</f>
        <v/>
      </c>
      <c r="G3136">
        <f>Calc!G14</f>
        <v/>
      </c>
      <c r="H3136">
        <f>Calc!H14</f>
        <v/>
      </c>
      <c r="I3136">
        <f>IF(Skills!T14&lt;&gt;"",1+(Skills!T14/10)*($Z$3/1000)/100,1)</f>
        <v/>
      </c>
      <c r="J3136" t="inlineStr"/>
      <c r="K3136" t="inlineStr"/>
      <c r="L3136" t="inlineStr"/>
      <c r="M3136" t="inlineStr"/>
      <c r="N3136" t="inlineStr"/>
      <c r="O3136">
        <f>(1-Summary!$B$11)*S3136+Summary!$B$11*U3136</f>
        <v/>
      </c>
      <c r="P3136">
        <f>IF(B3164=0,0,O3136/B3164)</f>
        <v/>
      </c>
      <c r="Q3136">
        <f>IFERROR(1/(IF(Inputs!$B$39="pvp",15,MAX(0.1,Skills!D14-IF(Skills!E14=TRUE,3.5,0)))*(1-IF(AND(ArtifactsInput!$M$27,Inputs!$B$4="Chapter Hunt"),CHOOSE(ArtifactsInput!$N$27+1,20,24,28,32,36,40),0)/100)),0)</f>
        <v/>
      </c>
      <c r="R3136">
        <f>IF(AND(Inputs!$B$39&lt;&gt;"pvp",Inputs!$B$44&gt;0),IF(Inputs!$B$44&lt;=0,0,(INT(Inputs!$B$44/(IF(Inputs!$B$39="pvp",15,MAX(0.1,Skills!D14-IF(Skills!E14=TRUE,3.5,0)))*(1-IF(AND(ArtifactsInput!$M$27,Inputs!$B$4="Chapter Hunt"),CHOOSE(ArtifactsInput!$N$27+1,20,24,28,32,36,40),0)/100)))+1)),0)</f>
        <v/>
      </c>
      <c r="S3136" t="n">
        <v>0</v>
      </c>
      <c r="U3136" t="n">
        <v>0</v>
      </c>
    </row>
    <row r="3137">
      <c r="A3137">
        <f>Skills!A15</f>
        <v/>
      </c>
      <c r="B3137">
        <f>Skills!B15</f>
        <v/>
      </c>
      <c r="C3137">
        <f>Inputs!$B$3&gt;=63</f>
        <v/>
      </c>
      <c r="D3137">
        <f>IF(Skills!C15=1,60+Inputs!$B$26+Inputs!$B$30,IF(Skills!C15=2,90+Inputs!$B$27+Inputs!$B$30,IF(Skills!C15=3,120+Inputs!$B$28+Inputs!$B$30,MAX(0,(Inputs!$B$3-100)*3)+Inputs!$B$29+Inputs!$B$30)))</f>
        <v/>
      </c>
      <c r="E3137">
        <f>INDEX(FactorTable!$B$2:$Y$301, MATCH(ROUND(MIN(300,MAX(1,D3137)),0), FactorTable!$A$2:$A$301,0), Skills!L15+1)</f>
        <v/>
      </c>
      <c r="F3137">
        <f>IF(Skills!M15=TRUE,(Skills!K15/10)*(E3137/1000),Skills!K15/10)+Skills!N15</f>
        <v/>
      </c>
      <c r="G3137">
        <f>Calc!G15</f>
        <v/>
      </c>
      <c r="H3137">
        <f>Calc!H15</f>
        <v/>
      </c>
      <c r="I3137">
        <f>IF(Skills!T15&lt;&gt;"",1+(Skills!T15/10)*($Z$3/1000)/100,1)</f>
        <v/>
      </c>
      <c r="J3137">
        <f>((Inputs!$B$6*(1+Inputs!$B$7/100))+(((Inputs!$B$13*(1+Inputs!$B$14/100))-(Inputs!$B$13*(1+Inputs!$B$14/100)))+0.25*(Inputs!$B$15-Inputs!$B$15))*(1+Inputs!$B$7/100))*(F3137/100)</f>
        <v/>
      </c>
      <c r="K3137">
        <f>J3137*(1+(((Inputs!$B$13+IF(Inputs!$B$3&gt;=35,(10*INDEX(FactorTable!$B$2:$Y$301,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15="TRIUMPH_FEATHER",IF(C3138=TRUE,F3138,0),0)/100)*(1+IF(C3149=TRUE,F3149,0)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3137)</f>
        <v/>
      </c>
      <c r="L3137">
        <f>K3137*(MIN(Inputs!$B$23+(F3144-Calc!F22),(Inputs!$B$24+IF(ArtifactsInput!$M$15,CHOOSE(ArtifactsInput!$N$15+1,25,30,35,40,45,50)/100*(Inputs!$B$12-Inputs!$B$12),0)))/100+(Inputs!$B$24+IF(ArtifactsInput!$M$15,CHOOSE(ArtifactsInput!$N$15+1,25,30,35,40,45,50)/100*(Inputs!$B$12-Inputs!$B$12),0))/100)/2</f>
        <v/>
      </c>
      <c r="M3137">
        <f>L3137*(1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37">
        <f>L3137*(1-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3137*(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7">
        <f>(1-Summary!$B$11)*S3137+Summary!$B$11*U3137</f>
        <v/>
      </c>
      <c r="P3137">
        <f>IF(B3164=0,0,O3137/B3164)</f>
        <v/>
      </c>
      <c r="Q3137">
        <f>IFERROR(1/(IF(Inputs!$B$39="pvp",15,MAX(0.1,Skills!D15-IF(Skills!E15=TRUE,3.5,0)))*(1-IF(AND(ArtifactsInput!$M$27,Inputs!$B$4="Chapter Hunt"),CHOOSE(ArtifactsInput!$N$27+1,20,24,28,32,36,40),0)/100)),0)</f>
        <v/>
      </c>
      <c r="R3137" t="n">
        <v>0</v>
      </c>
      <c r="S3137">
        <f>IF(C3137,(Skills!F15*N3137*((IF(Inputs!$B$3&gt;=78,25,15)/100*B3157*10)/(1+IF(Inputs!$B$3&gt;=78,25,15)/100*B3157*10))*(Skills!I15/100*B3157)/(1+Skills!G15*Skills!I15/100*B3157))*IF(Inputs!$B$39="pvp",1,1+(Inputs!$B$21+Skills!O15+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3137*(1-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3137*(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3137*(1-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3137*(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7">
        <f>IF(C3137,(Skills!F15*N3137*((IF(Inputs!$B$3&gt;=78,25,15)/100*B3157*10)/(1+IF(Inputs!$B$3&gt;=78,25,15)/100*B3157*10))*(Skills!I15/100*B3157)/(1+Skills!G15*Skills!I15/100*B3157))*IF(Inputs!$B$39="pvp",1,(1+(Inputs!$B$22+Skills!P15+B3153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8">
      <c r="A3138">
        <f>Skills!A16</f>
        <v/>
      </c>
      <c r="B3138">
        <f>Skills!B16</f>
        <v/>
      </c>
      <c r="C3138">
        <f>Inputs!$B$3&gt;=100</f>
        <v/>
      </c>
      <c r="D3138">
        <f>IF(Skills!C16=1,60+Inputs!$B$26+Inputs!$B$30,IF(Skills!C16=2,90+Inputs!$B$27+Inputs!$B$30,IF(Skills!C16=3,120+Inputs!$B$28+Inputs!$B$30,MAX(0,(Inputs!$B$3-100)*3)+Inputs!$B$29+Inputs!$B$30)))</f>
        <v/>
      </c>
      <c r="E3138">
        <f>INDEX(FactorTable!$B$2:$Y$301, MATCH(ROUND(MIN(300,MAX(1,D3138)),0), FactorTable!$A$2:$A$301,0), Skills!L16+1)</f>
        <v/>
      </c>
      <c r="F3138">
        <f>IF(Skills!M16=TRUE,(Skills!K16/10)*(E3138/1000),Skills!K16/10)+Skills!N16</f>
        <v/>
      </c>
      <c r="G3138">
        <f>Calc!G16</f>
        <v/>
      </c>
      <c r="H3138">
        <f>Calc!H16</f>
        <v/>
      </c>
      <c r="I3138">
        <f>IF(Skills!T16&lt;&gt;"",1+(Skills!T16/10)*($Z$3/1000)/100,1)</f>
        <v/>
      </c>
      <c r="J3138" t="inlineStr"/>
      <c r="K3138" t="inlineStr"/>
      <c r="L3138" t="inlineStr"/>
      <c r="M3138" t="inlineStr"/>
      <c r="N3138" t="inlineStr"/>
      <c r="O3138">
        <f>(1-Summary!$B$11)*S3138+Summary!$B$11*U3138</f>
        <v/>
      </c>
      <c r="P3138">
        <f>IF(B3164=0,0,O3138/B3164)</f>
        <v/>
      </c>
      <c r="Q3138">
        <f>IFERROR(1/(IF(Inputs!$B$39="pvp",15,MAX(0.1,Skills!D16-IF(Skills!E16=TRUE,3.5,0)))*(1-IF(AND(ArtifactsInput!$M$27,Inputs!$B$4="Chapter Hunt"),CHOOSE(ArtifactsInput!$N$27+1,20,24,28,32,36,40),0)/100)),0)</f>
        <v/>
      </c>
      <c r="R3138" t="n">
        <v>0</v>
      </c>
      <c r="S3138" t="n">
        <v>0</v>
      </c>
      <c r="U3138" t="n">
        <v>0</v>
      </c>
    </row>
    <row r="3139">
      <c r="A3139">
        <f>Skills!A17</f>
        <v/>
      </c>
      <c r="B3139">
        <f>Skills!B17</f>
        <v/>
      </c>
      <c r="C3139">
        <f>Inputs!$B$3&gt;=49</f>
        <v/>
      </c>
      <c r="D3139">
        <f>IF(Skills!C17=1,60+Inputs!$B$26+Inputs!$B$30,IF(Skills!C17=2,90+Inputs!$B$27+Inputs!$B$30,IF(Skills!C17=3,120+Inputs!$B$28+Inputs!$B$30,MAX(0,(Inputs!$B$3-100)*3)+Inputs!$B$29+Inputs!$B$30)))</f>
        <v/>
      </c>
      <c r="E3139">
        <f>INDEX(FactorTable!$B$2:$Y$301, MATCH(ROUND(MIN(300,MAX(1,D3139)),0), FactorTable!$A$2:$A$301,0), Skills!L17+1)</f>
        <v/>
      </c>
      <c r="F3139">
        <f>IF(Skills!M17=TRUE,(Skills!K17/10)*(E3139/1000),Skills!K17/10)+Skills!N17</f>
        <v/>
      </c>
      <c r="G3139">
        <f>Calc!G17</f>
        <v/>
      </c>
      <c r="H3139">
        <f>Calc!H17</f>
        <v/>
      </c>
      <c r="I3139">
        <f>IF(Skills!T17&lt;&gt;"",1+(Skills!T17/10)*($Z$3/1000)/100,1)</f>
        <v/>
      </c>
      <c r="J3139" t="inlineStr"/>
      <c r="K3139" t="inlineStr"/>
      <c r="L3139" t="inlineStr"/>
      <c r="M3139" t="inlineStr"/>
      <c r="N3139" t="inlineStr"/>
      <c r="O3139">
        <f>(1-Summary!$B$11)*S3139+Summary!$B$11*U3139</f>
        <v/>
      </c>
      <c r="P3139">
        <f>IF(B3164=0,0,O3139/B3164)</f>
        <v/>
      </c>
      <c r="Q3139">
        <f>IFERROR(1/(IF(Inputs!$B$39="pvp",15,MAX(0.1,Skills!D17-IF(Skills!E17=TRUE,3.5,0)))*(1-IF(AND(ArtifactsInput!$M$27,Inputs!$B$4="Chapter Hunt"),CHOOSE(ArtifactsInput!$N$27+1,20,24,28,32,36,40),0)/100)),0)</f>
        <v/>
      </c>
      <c r="R3139" t="n">
        <v>0</v>
      </c>
      <c r="S3139" t="n">
        <v>0</v>
      </c>
      <c r="U3139" t="n">
        <v>0</v>
      </c>
    </row>
    <row r="3140">
      <c r="A3140">
        <f>Skills!A18</f>
        <v/>
      </c>
      <c r="B3140">
        <f>Skills!B18</f>
        <v/>
      </c>
      <c r="C3140">
        <f>Inputs!$B$3&gt;=75</f>
        <v/>
      </c>
      <c r="D3140">
        <f>IF(Skills!C18=1,60+Inputs!$B$26+Inputs!$B$30,IF(Skills!C18=2,90+Inputs!$B$27+Inputs!$B$30,IF(Skills!C18=3,120+Inputs!$B$28+Inputs!$B$30,MAX(0,(Inputs!$B$3-100)*3)+Inputs!$B$29+Inputs!$B$30)))</f>
        <v/>
      </c>
      <c r="E3140">
        <f>INDEX(FactorTable!$B$2:$Y$301, MATCH(ROUND(MIN(300,MAX(1,D3140)),0), FactorTable!$A$2:$A$301,0), Skills!L18+1)</f>
        <v/>
      </c>
      <c r="F3140">
        <f>IF(Skills!M18=TRUE,(Skills!K18/10)*(E3140/1000),Skills!K18/10)+Skills!N18</f>
        <v/>
      </c>
      <c r="G3140">
        <f>Calc!G18</f>
        <v/>
      </c>
      <c r="H3140">
        <f>Calc!H18</f>
        <v/>
      </c>
      <c r="I3140">
        <f>IF(Skills!T18&lt;&gt;"",1+(Skills!T18/10)*($Z$3/1000)/100,1)</f>
        <v/>
      </c>
      <c r="J3140" t="inlineStr"/>
      <c r="K3140" t="inlineStr"/>
      <c r="L3140" t="inlineStr"/>
      <c r="M3140" t="inlineStr"/>
      <c r="N3140" t="inlineStr"/>
      <c r="O3140">
        <f>(1-Summary!$B$11)*S3140+Summary!$B$11*U3140</f>
        <v/>
      </c>
      <c r="P3140">
        <f>IF(B3164=0,0,O3140/B3164)</f>
        <v/>
      </c>
      <c r="Q3140">
        <f>IFERROR(1/(IF(Inputs!$B$39="pvp",15,MAX(0.1,Skills!D18-IF(Skills!E18=TRUE,3.5,0)))*(1-IF(AND(ArtifactsInput!$M$27,Inputs!$B$4="Chapter Hunt"),CHOOSE(ArtifactsInput!$N$27+1,20,24,28,32,36,40),0)/100)),0)</f>
        <v/>
      </c>
      <c r="R3140" t="n">
        <v>0</v>
      </c>
      <c r="S3140" t="n">
        <v>0</v>
      </c>
      <c r="U3140" t="n">
        <v>0</v>
      </c>
    </row>
    <row r="3141">
      <c r="A3141">
        <f>Skills!A19</f>
        <v/>
      </c>
      <c r="B3141">
        <f>Skills!B19</f>
        <v/>
      </c>
      <c r="C3141">
        <f>Inputs!$B$3&gt;=110</f>
        <v/>
      </c>
      <c r="D3141">
        <f>IF(Skills!C19=1,60+Inputs!$B$26+Inputs!$B$30,IF(Skills!C19=2,90+Inputs!$B$27+Inputs!$B$30,IF(Skills!C19=3,120+Inputs!$B$28+Inputs!$B$30,MAX(0,(Inputs!$B$3-100)*3)+Inputs!$B$29+Inputs!$B$30)))</f>
        <v/>
      </c>
      <c r="E3141">
        <f>INDEX(FactorTable!$B$2:$Y$301, MATCH(ROUND(MIN(300,MAX(1,D3141)),0), FactorTable!$A$2:$A$301,0), Skills!L19+1)</f>
        <v/>
      </c>
      <c r="F3141">
        <f>(Skills!K19/10)*(E3141/1000)*64/45+Skills!N19</f>
        <v/>
      </c>
      <c r="G3141">
        <f>Calc!G19</f>
        <v/>
      </c>
      <c r="H3141">
        <f>Calc!H19</f>
        <v/>
      </c>
      <c r="I3141">
        <f>IF(Skills!T19&lt;&gt;"",1+(Skills!T19/10)*($Z$3/1000)/100,1)</f>
        <v/>
      </c>
      <c r="J3141" t="inlineStr"/>
      <c r="K3141" t="inlineStr"/>
      <c r="L3141" t="inlineStr"/>
      <c r="M3141" t="inlineStr"/>
      <c r="N3141" t="inlineStr"/>
      <c r="O3141">
        <f>(1-Summary!$B$11)*S3141+Summary!$B$11*U3141</f>
        <v/>
      </c>
      <c r="P3141">
        <f>IF(B3164=0,0,O3141/B3164)</f>
        <v/>
      </c>
      <c r="Q3141">
        <f>IFERROR(1/(IF(Inputs!$B$39="pvp",15,MAX(0.1,Skills!D19-IF(Skills!E19=TRUE,3.5,0)))*(1-IF(AND(ArtifactsInput!$M$27,Inputs!$B$4="Chapter Hunt"),CHOOSE(ArtifactsInput!$N$27+1,20,24,28,32,36,40),0)/100)),0)</f>
        <v/>
      </c>
      <c r="R3141">
        <f>IF(AND(Inputs!$B$39&lt;&gt;"pvp",Inputs!$B$44&gt;0),IF(Inputs!$B$44&lt;=0,0,(INT(Inputs!$B$44/(IF(Inputs!$B$39="pvp",15,MAX(0.1,Skills!D19-IF(Skills!E19=TRUE,3.5,0)))*(1-IF(AND(ArtifactsInput!$M$27,Inputs!$B$4="Chapter Hunt"),CHOOSE(ArtifactsInput!$N$27+1,20,24,28,32,36,40),0)/100)))+1)),0)</f>
        <v/>
      </c>
      <c r="S3141" t="n">
        <v>0</v>
      </c>
      <c r="U3141" t="n">
        <v>0</v>
      </c>
    </row>
    <row r="3142">
      <c r="A3142">
        <f>Skills!A20</f>
        <v/>
      </c>
      <c r="B3142">
        <f>Skills!B20</f>
        <v/>
      </c>
      <c r="C3142">
        <f>Inputs!$B$3&gt;=125</f>
        <v/>
      </c>
      <c r="D3142">
        <f>IF(Skills!C20=1,60+Inputs!$B$26+Inputs!$B$30,IF(Skills!C20=2,90+Inputs!$B$27+Inputs!$B$30,IF(Skills!C20=3,120+Inputs!$B$28+Inputs!$B$30,MAX(0,(Inputs!$B$3-100)*3)+Inputs!$B$29+Inputs!$B$30)))</f>
        <v/>
      </c>
      <c r="E3142">
        <f>INDEX(FactorTable!$B$2:$Y$301, MATCH(ROUND(MIN(300,MAX(1,D3142)),0), FactorTable!$A$2:$A$301,0), Skills!L20+1)</f>
        <v/>
      </c>
      <c r="F3142">
        <f>IF(Skills!M20=TRUE,(Skills!K20/10)*(E3142/1000),Skills!K20/10)+Skills!N20</f>
        <v/>
      </c>
      <c r="G3142">
        <f>Calc!G20</f>
        <v/>
      </c>
      <c r="H3142">
        <f>Calc!H20</f>
        <v/>
      </c>
      <c r="I3142">
        <f>IF(Skills!T20&lt;&gt;"",1+(Skills!T20/10)*($Z$3/1000)/100,1)</f>
        <v/>
      </c>
      <c r="J3142" t="inlineStr"/>
      <c r="K3142" t="inlineStr"/>
      <c r="L3142" t="inlineStr"/>
      <c r="M3142" t="inlineStr"/>
      <c r="N3142" t="inlineStr"/>
      <c r="O3142">
        <f>(1-Summary!$B$11)*S3142+Summary!$B$11*U3142</f>
        <v/>
      </c>
      <c r="P3142">
        <f>IF(B3164=0,0,O3142/B3164)</f>
        <v/>
      </c>
      <c r="Q3142">
        <f>IFERROR(1/(IF(Inputs!$B$39="pvp",15,MAX(0.1,Skills!D20-IF(Skills!E20=TRUE,3.5,0)))*(1-IF(AND(ArtifactsInput!$M$27,Inputs!$B$4="Chapter Hunt"),CHOOSE(ArtifactsInput!$N$27+1,20,24,28,32,36,40),0)/100)),0)</f>
        <v/>
      </c>
      <c r="R3142" t="n">
        <v>0</v>
      </c>
      <c r="S3142" t="n">
        <v>0</v>
      </c>
      <c r="U3142" t="n">
        <v>0</v>
      </c>
    </row>
    <row r="3143">
      <c r="A3143">
        <f>Skills!A21</f>
        <v/>
      </c>
      <c r="B3143">
        <f>Skills!B21</f>
        <v/>
      </c>
      <c r="C3143">
        <f>Inputs!$B$3&gt;=33</f>
        <v/>
      </c>
      <c r="D3143">
        <f>IF(Skills!C21=1,60+Inputs!$B$26+Inputs!$B$30,IF(Skills!C21=2,90+Inputs!$B$27+Inputs!$B$30,IF(Skills!C21=3,120+Inputs!$B$28+Inputs!$B$30,MAX(0,(Inputs!$B$3-100)*3)+Inputs!$B$29+Inputs!$B$30)))</f>
        <v/>
      </c>
      <c r="E3143">
        <f>INDEX(FactorTable!$B$2:$Y$301, MATCH(ROUND(MIN(300,MAX(1,D3143)),0), FactorTable!$A$2:$A$301,0), Skills!L21+1)</f>
        <v/>
      </c>
      <c r="F3143">
        <f>IF(Skills!M21=TRUE,(Skills!K21/10)*(E3143/1000),Skills!K21/10)+Skills!N21</f>
        <v/>
      </c>
      <c r="G3143">
        <f>Calc!G21</f>
        <v/>
      </c>
      <c r="H3143">
        <f>Calc!H21</f>
        <v/>
      </c>
      <c r="I3143">
        <f>IF(Skills!T21&lt;&gt;"",1+(Skills!T21/10)*($Z$3/1000)/100,1)</f>
        <v/>
      </c>
      <c r="J3143" t="inlineStr"/>
      <c r="K3143" t="inlineStr"/>
      <c r="L3143" t="inlineStr"/>
      <c r="M3143" t="inlineStr"/>
      <c r="N3143" t="inlineStr"/>
      <c r="O3143">
        <f>(1-Summary!$B$11)*S3143+Summary!$B$11*U3143</f>
        <v/>
      </c>
      <c r="P3143">
        <f>IF(B3164=0,0,O3143/B3164)</f>
        <v/>
      </c>
      <c r="Q3143">
        <f>IFERROR(1/(IF(Inputs!$B$39="pvp",15,MAX(0.1,Skills!D21-IF(Skills!E21=TRUE,3.5,0)))*(1-IF(AND(ArtifactsInput!$M$27,Inputs!$B$4="Chapter Hunt"),CHOOSE(ArtifactsInput!$N$27+1,20,24,28,32,36,40),0)/100)),0)</f>
        <v/>
      </c>
      <c r="R3143" t="n">
        <v>0</v>
      </c>
      <c r="S3143" t="n">
        <v>0</v>
      </c>
      <c r="U3143" t="n">
        <v>0</v>
      </c>
    </row>
    <row r="3144">
      <c r="A3144">
        <f>Skills!A22</f>
        <v/>
      </c>
      <c r="B3144">
        <f>Skills!B22</f>
        <v/>
      </c>
      <c r="C3144">
        <f>Inputs!$B$3&gt;=43</f>
        <v/>
      </c>
      <c r="D3144">
        <f>IF(Skills!C22=1,60+Inputs!$B$26+Inputs!$B$30,IF(Skills!C22=2,90+Inputs!$B$27+Inputs!$B$30,IF(Skills!C22=3,120+Inputs!$B$28+Inputs!$B$30,MAX(0,(Inputs!$B$3-100)*3)+Inputs!$B$29+Inputs!$B$30)))</f>
        <v/>
      </c>
      <c r="E3144">
        <f>INDEX(FactorTable!$B$2:$Y$301, MATCH(ROUND(MIN(300,MAX(1,D3144)),0), FactorTable!$A$2:$A$301,0), Skills!L22+1)</f>
        <v/>
      </c>
      <c r="F3144">
        <f>IF(Skills!M22=TRUE,(Skills!K22/10)*(E3144/1000),Skills!K22/10)+Skills!N22</f>
        <v/>
      </c>
      <c r="G3144">
        <f>Calc!G22</f>
        <v/>
      </c>
      <c r="H3144">
        <f>Calc!H22</f>
        <v/>
      </c>
      <c r="I3144">
        <f>IF(Skills!T22&lt;&gt;"",1+(Skills!T22/10)*($Z$3/1000)/100,1)</f>
        <v/>
      </c>
      <c r="J3144" t="inlineStr"/>
      <c r="K3144" t="inlineStr"/>
      <c r="L3144" t="inlineStr"/>
      <c r="M3144" t="inlineStr"/>
      <c r="N3144" t="inlineStr"/>
      <c r="O3144">
        <f>(1-Summary!$B$11)*S3144+Summary!$B$11*U3144</f>
        <v/>
      </c>
      <c r="P3144">
        <f>IF(B3164=0,0,O3144/B3164)</f>
        <v/>
      </c>
      <c r="Q3144">
        <f>IFERROR(1/(IF(Inputs!$B$39="pvp",15,MAX(0.1,Skills!D22-IF(Skills!E22=TRUE,3.5,0)))*(1-IF(AND(ArtifactsInput!$M$27,Inputs!$B$4="Chapter Hunt"),CHOOSE(ArtifactsInput!$N$27+1,20,24,28,32,36,40),0)/100)),0)</f>
        <v/>
      </c>
      <c r="R3144" t="n">
        <v>0</v>
      </c>
      <c r="S3144" t="n">
        <v>0</v>
      </c>
      <c r="U3144" t="n">
        <v>0</v>
      </c>
    </row>
    <row r="3145">
      <c r="A3145">
        <f>Skills!A23</f>
        <v/>
      </c>
      <c r="B3145">
        <f>Skills!B23</f>
        <v/>
      </c>
      <c r="C3145">
        <f>Inputs!$B$3&gt;=50</f>
        <v/>
      </c>
      <c r="D3145">
        <f>IF(Skills!C23=1,60+Inputs!$B$26+Inputs!$B$30,IF(Skills!C23=2,90+Inputs!$B$27+Inputs!$B$30,IF(Skills!C23=3,120+Inputs!$B$28+Inputs!$B$30,MAX(0,(Inputs!$B$3-100)*3)+Inputs!$B$29+Inputs!$B$30)))</f>
        <v/>
      </c>
      <c r="E3145">
        <f>INDEX(FactorTable!$B$2:$Y$301, MATCH(ROUND(MIN(300,MAX(1,D3145)),0), FactorTable!$A$2:$A$301,0), Skills!L23+1)</f>
        <v/>
      </c>
      <c r="F3145">
        <f>IF(Skills!M23=TRUE,(Skills!K23/10)*(E3145/1000),Skills!K23/10)+Skills!N23</f>
        <v/>
      </c>
      <c r="G3145">
        <f>Calc!G23</f>
        <v/>
      </c>
      <c r="H3145">
        <f>Calc!H23</f>
        <v/>
      </c>
      <c r="I3145">
        <f>IF(Skills!T23&lt;&gt;"",1+(Skills!T23/10)*($Z$3/1000)/100,1)</f>
        <v/>
      </c>
      <c r="J3145" t="inlineStr"/>
      <c r="K3145" t="inlineStr"/>
      <c r="L3145" t="inlineStr"/>
      <c r="M3145" t="inlineStr"/>
      <c r="N3145" t="inlineStr"/>
      <c r="O3145">
        <f>(1-Summary!$B$11)*S3145+Summary!$B$11*U3145</f>
        <v/>
      </c>
      <c r="P3145">
        <f>IF(B3164=0,0,O3145/B3164)</f>
        <v/>
      </c>
      <c r="Q3145">
        <f>IFERROR(1/(IF(Inputs!$B$39="pvp",15,MAX(0.1,Skills!D23-IF(Skills!E23=TRUE,3.5,0)))*(1-IF(AND(ArtifactsInput!$M$27,Inputs!$B$4="Chapter Hunt"),CHOOSE(ArtifactsInput!$N$27+1,20,24,28,32,36,40),0)/100)),0)</f>
        <v/>
      </c>
      <c r="R3145" t="n">
        <v>0</v>
      </c>
      <c r="S3145" t="n">
        <v>0</v>
      </c>
      <c r="U3145" t="n">
        <v>0</v>
      </c>
    </row>
    <row r="3146">
      <c r="A3146">
        <f>Skills!A24</f>
        <v/>
      </c>
      <c r="B3146">
        <f>Skills!B24</f>
        <v/>
      </c>
      <c r="C3146">
        <f>Inputs!$B$3&gt;=74</f>
        <v/>
      </c>
      <c r="D3146">
        <f>IF(Skills!C24=1,60+Inputs!$B$26+Inputs!$B$30,IF(Skills!C24=2,90+Inputs!$B$27+Inputs!$B$30,IF(Skills!C24=3,120+Inputs!$B$28+Inputs!$B$30,MAX(0,(Inputs!$B$3-100)*3)+Inputs!$B$29+Inputs!$B$30)))</f>
        <v/>
      </c>
      <c r="E3146">
        <f>INDEX(FactorTable!$B$2:$Y$301, MATCH(ROUND(MIN(300,MAX(1,D3146)),0), FactorTable!$A$2:$A$301,0), Skills!L24+1)</f>
        <v/>
      </c>
      <c r="F3146">
        <f>IF(Skills!M24=TRUE,(Skills!K24/10)*(E3146/1000),Skills!K24/10)+Skills!N24</f>
        <v/>
      </c>
      <c r="G3146">
        <f>Calc!G24</f>
        <v/>
      </c>
      <c r="H3146">
        <f>Calc!H24</f>
        <v/>
      </c>
      <c r="I3146">
        <f>IF(Skills!T24&lt;&gt;"",1+(Skills!T24/10)*($Z$3/1000)/100,1)</f>
        <v/>
      </c>
      <c r="J3146" t="inlineStr"/>
      <c r="K3146" t="inlineStr"/>
      <c r="L3146" t="inlineStr"/>
      <c r="M3146" t="inlineStr"/>
      <c r="N3146" t="inlineStr"/>
      <c r="O3146">
        <f>(1-Summary!$B$11)*S3146+Summary!$B$11*U3146</f>
        <v/>
      </c>
      <c r="P3146">
        <f>IF(B3164=0,0,O3146/B3164)</f>
        <v/>
      </c>
      <c r="Q3146">
        <f>IFERROR(1/(IF(Inputs!$B$39="pvp",15,MAX(0.1,Skills!D24-IF(Skills!E24=TRUE,3.5,0)))*(1-IF(AND(ArtifactsInput!$M$27,Inputs!$B$4="Chapter Hunt"),CHOOSE(ArtifactsInput!$N$27+1,20,24,28,32,36,40),0)/100)),0)</f>
        <v/>
      </c>
      <c r="R3146" t="n">
        <v>0</v>
      </c>
      <c r="S3146" t="n">
        <v>0</v>
      </c>
      <c r="U3146" t="n">
        <v>0</v>
      </c>
    </row>
    <row r="3147">
      <c r="A3147">
        <f>Skills!A25</f>
        <v/>
      </c>
      <c r="B3147">
        <f>Skills!B25</f>
        <v/>
      </c>
      <c r="C3147">
        <f>Inputs!$B$3&gt;=74</f>
        <v/>
      </c>
      <c r="D3147">
        <f>IF(Skills!C25=1,60+Inputs!$B$26+Inputs!$B$30,IF(Skills!C25=2,90+Inputs!$B$27+Inputs!$B$30,IF(Skills!C25=3,120+Inputs!$B$28+Inputs!$B$30,MAX(0,(Inputs!$B$3-100)*3)+Inputs!$B$29+Inputs!$B$30)))</f>
        <v/>
      </c>
      <c r="E3147">
        <f>INDEX(FactorTable!$B$2:$Y$301, MATCH(ROUND(MIN(300,MAX(1,D3147)),0), FactorTable!$A$2:$A$301,0), Skills!L25+1)</f>
        <v/>
      </c>
      <c r="F3147">
        <f>IF(Skills!M25=TRUE,(Skills!K25/10)*(E3147/1000),Skills!K25/10)+Skills!N25</f>
        <v/>
      </c>
      <c r="G3147">
        <f>Calc!G25</f>
        <v/>
      </c>
      <c r="H3147">
        <f>Calc!H25</f>
        <v/>
      </c>
      <c r="I3147">
        <f>IF(Skills!T25&lt;&gt;"",1+(Skills!T25/10)*($Z$3/1000)/100,1)</f>
        <v/>
      </c>
      <c r="J3147" t="inlineStr"/>
      <c r="K3147" t="inlineStr"/>
      <c r="L3147" t="inlineStr"/>
      <c r="M3147" t="inlineStr"/>
      <c r="N3147" t="inlineStr"/>
      <c r="O3147">
        <f>(1-Summary!$B$11)*S3147+Summary!$B$11*U3147</f>
        <v/>
      </c>
      <c r="P3147">
        <f>IF(B3164=0,0,O3147/B3164)</f>
        <v/>
      </c>
      <c r="Q3147">
        <f>IFERROR(1/(IF(Inputs!$B$39="pvp",15,MAX(0.1,Skills!D25-IF(Skills!E25=TRUE,3.5,0)))*(1-IF(AND(ArtifactsInput!$M$27,Inputs!$B$4="Chapter Hunt"),CHOOSE(ArtifactsInput!$N$27+1,20,24,28,32,36,40),0)/100)),0)</f>
        <v/>
      </c>
      <c r="R3147" t="n">
        <v>0</v>
      </c>
      <c r="S3147" t="n">
        <v>0</v>
      </c>
      <c r="U3147" t="n">
        <v>0</v>
      </c>
    </row>
    <row r="3148">
      <c r="A3148">
        <f>Skills!A26</f>
        <v/>
      </c>
      <c r="B3148">
        <f>Skills!B26</f>
        <v/>
      </c>
      <c r="C3148">
        <f>Inputs!$B$3&gt;=117</f>
        <v/>
      </c>
      <c r="D3148">
        <f>IF(Skills!C26=1,60+Inputs!$B$26+Inputs!$B$30,IF(Skills!C26=2,90+Inputs!$B$27+Inputs!$B$30,IF(Skills!C26=3,120+Inputs!$B$28+Inputs!$B$30,MAX(0,(Inputs!$B$3-100)*3)+Inputs!$B$29+Inputs!$B$30)))</f>
        <v/>
      </c>
      <c r="E3148">
        <f>INDEX(FactorTable!$B$2:$Y$301, MATCH(ROUND(MIN(300,MAX(1,D3148)),0), FactorTable!$A$2:$A$301,0), Skills!L26+1)</f>
        <v/>
      </c>
      <c r="F3148">
        <f>IF(Skills!M26=TRUE,(Skills!K26/10)*(E3148/1000),Skills!K26/10)+Skills!N26</f>
        <v/>
      </c>
      <c r="G3148">
        <f>Calc!G26</f>
        <v/>
      </c>
      <c r="H3148">
        <f>Calc!H26</f>
        <v/>
      </c>
      <c r="I3148">
        <f>IF(Skills!T26&lt;&gt;"",1+(Skills!T26/10)*($Z$3/1000)/100,1)</f>
        <v/>
      </c>
      <c r="J3148" t="inlineStr"/>
      <c r="K3148" t="inlineStr"/>
      <c r="L3148" t="inlineStr"/>
      <c r="M3148" t="inlineStr"/>
      <c r="N3148" t="inlineStr"/>
      <c r="O3148">
        <f>(1-Summary!$B$11)*S3148+Summary!$B$11*U3148</f>
        <v/>
      </c>
      <c r="P3148">
        <f>IF(B3164=0,0,O3148/B3164)</f>
        <v/>
      </c>
      <c r="Q3148">
        <f>IFERROR(1/(IF(Inputs!$B$39="pvp",15,MAX(0.1,Skills!D26-IF(Skills!E26=TRUE,3.5,0)))*(1-IF(AND(ArtifactsInput!$M$27,Inputs!$B$4="Chapter Hunt"),CHOOSE(ArtifactsInput!$N$27+1,20,24,28,32,36,40),0)/100)),0)</f>
        <v/>
      </c>
      <c r="R3148" t="n">
        <v>0</v>
      </c>
      <c r="S3148" t="n">
        <v>0</v>
      </c>
      <c r="U3148" t="n">
        <v>0</v>
      </c>
    </row>
    <row r="3149">
      <c r="A3149">
        <f>Skills!A27</f>
        <v/>
      </c>
      <c r="B3149">
        <f>Skills!B27</f>
        <v/>
      </c>
      <c r="C3149">
        <f>Inputs!$B$3&gt;=120</f>
        <v/>
      </c>
      <c r="D3149">
        <f>IF(Skills!C27=1,60+Inputs!$B$26+Inputs!$B$30,IF(Skills!C27=2,90+Inputs!$B$27+Inputs!$B$30,IF(Skills!C27=3,120+Inputs!$B$28+Inputs!$B$30,MAX(0,(Inputs!$B$3-100)*3)+Inputs!$B$29+Inputs!$B$30)))</f>
        <v/>
      </c>
      <c r="E3149">
        <f>INDEX(FactorTable!$B$2:$Y$301, MATCH(ROUND(MIN(300,MAX(1,D3149)),0), FactorTable!$A$2:$A$301,0), Skills!L27+1)</f>
        <v/>
      </c>
      <c r="F3149">
        <f>IF(Skills!M27=TRUE,(Skills!K27/10)*(E3149/1000),Skills!K27/10)+Skills!N27</f>
        <v/>
      </c>
      <c r="G3149">
        <f>Calc!G27</f>
        <v/>
      </c>
      <c r="H3149">
        <f>Calc!H27</f>
        <v/>
      </c>
      <c r="I3149">
        <f>IF(Skills!T27&lt;&gt;"",1+(Skills!T27/10)*($Z$3/1000)/100,1)</f>
        <v/>
      </c>
      <c r="J3149" t="inlineStr"/>
      <c r="K3149" t="inlineStr"/>
      <c r="L3149" t="inlineStr"/>
      <c r="M3149" t="inlineStr"/>
      <c r="N3149" t="inlineStr"/>
      <c r="O3149">
        <f>(1-Summary!$B$11)*S3149+Summary!$B$11*U3149</f>
        <v/>
      </c>
      <c r="P3149">
        <f>IF(B3164=0,0,O3149/B3164)</f>
        <v/>
      </c>
      <c r="Q3149">
        <f>IFERROR(1/(IF(Inputs!$B$39="pvp",15,MAX(0.1,Skills!D27-IF(Skills!E27=TRUE,3.5,0)))*(1-IF(AND(ArtifactsInput!$M$27,Inputs!$B$4="Chapter Hunt"),CHOOSE(ArtifactsInput!$N$27+1,20,24,28,32,36,40),0)/100)),0)</f>
        <v/>
      </c>
      <c r="R3149" t="n">
        <v>0</v>
      </c>
      <c r="S3149" t="n">
        <v>0</v>
      </c>
      <c r="U3149" t="n">
        <v>0</v>
      </c>
    </row>
    <row r="3151">
      <c r="A3151" t="inlineStr">
        <is>
          <t>Average Buff Multiplier</t>
        </is>
      </c>
      <c r="B3151">
        <f>(1+(IF(C3125=TRUE,F3125*IF(AND(Inputs!$B$39&lt;&gt;"pvp",Inputs!$B$44&gt;0),(((R3125-1)*(Skills!S3*(1+((Inputs!$B$35+(ArtifactsInput!$M$7-ArtifactsInput!$M$7)*CHOOSE(ArtifactsInput!$N$7+1,6,7.2,8.4,9.6,10.8,12))+IF(Inputs!$B$3&gt;=117,F3148,0))/100))+MIN((Skills!S3*(1+((Inputs!$B$35+(ArtifactsInput!$M$7-ArtifactsInput!$M$7)*CHOOSE(ArtifactsInput!$N$7+1,6,7.2,8.4,9.6,10.8,12))+IF(Inputs!$B$3&gt;=117,F3148,0))/100)),MAX(0,Inputs!$B$44-((R3125-1)*Skills!D3))))/Inputs!$B$44),IF(Inputs!$B$39="pvp",MIN((Skills!S3*(1+((Inputs!$B$35+(ArtifactsInput!$M$7-ArtifactsInput!$M$7)*CHOOSE(ArtifactsInput!$N$7+1,6,7.2,8.4,9.6,10.8,12))+IF(Inputs!$B$3&gt;=117,F3148,0))/100)),15)/15,(Skills!S3*(1+((Inputs!$B$35+(ArtifactsInput!$M$7-ArtifactsInput!$M$7)*CHOOSE(ArtifactsInput!$N$7+1,6,7.2,8.4,9.6,10.8,12))+IF(Inputs!$B$3&gt;=117,F3148,0))/100))/Skills!D3)),0)+IF(C3126=TRUE,F3126*IF(AND(Inputs!$B$39&lt;&gt;"pvp",Inputs!$B$44&gt;0),(((R3126-1)*(Skills!S4*(1+((Inputs!$B$35+(ArtifactsInput!$M$7-ArtifactsInput!$M$7)*CHOOSE(ArtifactsInput!$N$7+1,6,7.2,8.4,9.6,10.8,12))+IF(Inputs!$B$3&gt;=117,F3148,0))/100))+MIN((Skills!S4*(1+((Inputs!$B$35+(ArtifactsInput!$M$7-ArtifactsInput!$M$7)*CHOOSE(ArtifactsInput!$N$7+1,6,7.2,8.4,9.6,10.8,12))+IF(Inputs!$B$3&gt;=117,F3148,0))/100)),MAX(0,Inputs!$B$44-((R3126-1)*Skills!D4))))/Inputs!$B$44),IF(Inputs!$B$39="pvp",MIN((Skills!S4*(1+((Inputs!$B$35+(ArtifactsInput!$M$7-ArtifactsInput!$M$7)*CHOOSE(ArtifactsInput!$N$7+1,6,7.2,8.4,9.6,10.8,12))+IF(Inputs!$B$3&gt;=117,F3148,0))/100)),15)/15,(Skills!S4*(1+((Inputs!$B$35+(ArtifactsInput!$M$7-ArtifactsInput!$M$7)*CHOOSE(ArtifactsInput!$N$7+1,6,7.2,8.4,9.6,10.8,12))+IF(Inputs!$B$3&gt;=117,F3148,0))/100))/Skills!D4)),0)+IF(C3127=TRUE,F3127*IF(AND(Inputs!$B$39&lt;&gt;"pvp",Inputs!$B$44&gt;0),(((R3127-1)*(Skills!S5*(1+((Inputs!$B$35+(ArtifactsInput!$M$7-ArtifactsInput!$M$7)*CHOOSE(ArtifactsInput!$N$7+1,6,7.2,8.4,9.6,10.8,12))+IF(Inputs!$B$3&gt;=117,F3148,0))/100))+MIN((Skills!S5*(1+((Inputs!$B$35+(ArtifactsInput!$M$7-ArtifactsInput!$M$7)*CHOOSE(ArtifactsInput!$N$7+1,6,7.2,8.4,9.6,10.8,12))+IF(Inputs!$B$3&gt;=117,F3148,0))/100)),MAX(0,Inputs!$B$44-((R3127-1)*Skills!D5))))/Inputs!$B$44),IF(Inputs!$B$39="pvp",MIN((Skills!S5*(1+((Inputs!$B$35+(ArtifactsInput!$M$7-ArtifactsInput!$M$7)*CHOOSE(ArtifactsInput!$N$7+1,6,7.2,8.4,9.6,10.8,12))+IF(Inputs!$B$3&gt;=117,F3148,0))/100)),15)/15,(Skills!S5*(1+((Inputs!$B$35+(ArtifactsInput!$M$7-ArtifactsInput!$M$7)*CHOOSE(ArtifactsInput!$N$7+1,6,7.2,8.4,9.6,10.8,12))+IF(Inputs!$B$3&gt;=117,F3148,0))/100))/Skills!D5)),0)+IF(C3133=TRUE,F3133*IF(AND(Inputs!$B$39&lt;&gt;"pvp",Inputs!$B$44&gt;0),(((R3133-1)*(Skills!S11*(1+((Inputs!$B$35+(ArtifactsInput!$M$7-ArtifactsInput!$M$7)*CHOOSE(ArtifactsInput!$N$7+1,6,7.2,8.4,9.6,10.8,12))+IF(Inputs!$B$3&gt;=117,F3148,0))/100))+MIN((Skills!S11*(1+((Inputs!$B$35+(ArtifactsInput!$M$7-ArtifactsInput!$M$7)*CHOOSE(ArtifactsInput!$N$7+1,6,7.2,8.4,9.6,10.8,12))+IF(Inputs!$B$3&gt;=117,F3148,0))/100)),MAX(0,Inputs!$B$44-((R3133-1)*Skills!D11))))/Inputs!$B$44),IF(Inputs!$B$39="pvp",MIN((Skills!S11*(1+((Inputs!$B$35+(ArtifactsInput!$M$7-ArtifactsInput!$M$7)*CHOOSE(ArtifactsInput!$N$7+1,6,7.2,8.4,9.6,10.8,12))+IF(Inputs!$B$3&gt;=117,F3148,0))/100)),15)/15,(Skills!S11*(1+((Inputs!$B$35+(ArtifactsInput!$M$7-ArtifactsInput!$M$7)*CHOOSE(ArtifactsInput!$N$7+1,6,7.2,8.4,9.6,10.8,12))+IF(Inputs!$B$3&gt;=117,F3148,0)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3136=TRUE,(1+F3136*IF(AND(Inputs!$B$39&lt;&gt;"pvp",Inputs!$B$44&gt;0),(((R3136-1)*(Skills!S14*(1+((Inputs!$B$35+(ArtifactsInput!$M$7-ArtifactsInput!$M$7)*CHOOSE(ArtifactsInput!$N$7+1,6,7.2,8.4,9.6,10.8,12))+IF(Inputs!$B$3&gt;=117,F3148,0))/100))+MIN((Skills!S14*(1+((Inputs!$B$35+(ArtifactsInput!$M$7-ArtifactsInput!$M$7)*CHOOSE(ArtifactsInput!$N$7+1,6,7.2,8.4,9.6,10.8,12))+IF(Inputs!$B$3&gt;=117,F3148,0))/100)),MAX(0,Inputs!$B$44-((R3136-1)*Skills!D14))))/Inputs!$B$44),IF(Inputs!$B$39="pvp",MIN((Skills!S14*(1+((Inputs!$B$35+(ArtifactsInput!$M$7-ArtifactsInput!$M$7)*CHOOSE(ArtifactsInput!$N$7+1,6,7.2,8.4,9.6,10.8,12))+IF(Inputs!$B$3&gt;=117,F3148,0))/100)),15)/15,(Skills!S14*(1+((Inputs!$B$35+(ArtifactsInput!$M$7-ArtifactsInput!$M$7)*CHOOSE(ArtifactsInput!$N$7+1,6,7.2,8.4,9.6,10.8,12))+IF(Inputs!$B$3&gt;=117,F3148,0))/100))/Skills!D14))/100),1)*IF(C3141=TRUE,(1+F3141*IF(AND(Inputs!$B$39&lt;&gt;"pvp",Inputs!$B$44&gt;0),(((R3141-1)*(Skills!S19*(1+((Inputs!$B$35+(ArtifactsInput!$M$7-ArtifactsInput!$M$7)*CHOOSE(ArtifactsInput!$N$7+1,6,7.2,8.4,9.6,10.8,12))+IF(Inputs!$B$3&gt;=117,F3148,0))/100))+MIN((Skills!S19*(1+((Inputs!$B$35+(ArtifactsInput!$M$7-ArtifactsInput!$M$7)*CHOOSE(ArtifactsInput!$N$7+1,6,7.2,8.4,9.6,10.8,12))+IF(Inputs!$B$3&gt;=117,F3148,0))/100)),MAX(0,Inputs!$B$44-((R3141-1)*Skills!D19))))/Inputs!$B$44),IF(Inputs!$B$39="pvp",MIN((Skills!S19*(1+((Inputs!$B$35+(ArtifactsInput!$M$7-ArtifactsInput!$M$7)*CHOOSE(ArtifactsInput!$N$7+1,6,7.2,8.4,9.6,10.8,12))+IF(Inputs!$B$3&gt;=117,F3148,0))/100)),15)/15,(Skills!S19*(1+((Inputs!$B$35+(ArtifactsInput!$M$7-ArtifactsInput!$M$7)*CHOOSE(ArtifactsInput!$N$7+1,6,7.2,8.4,9.6,10.8,12))+IF(Inputs!$B$3&gt;=117,F3148,0))/100))/Skills!D19))/100),1)</f>
        <v/>
      </c>
    </row>
    <row r="3152">
      <c r="A3152" t="inlineStr">
        <is>
          <t>Monster Damage Taken Bonus % (Holy Fountain)</t>
        </is>
      </c>
      <c r="B3152">
        <f>IF(Inputs!$B$3&gt;=68,20*IF(Inputs!$B$39="pvp",MIN((15*(1+((Inputs!$B$35+(ArtifactsInput!$M$7-ArtifactsInput!$M$7)*CHOOSE(ArtifactsInput!$N$7+1,6,7.2,8.4,9.6,10.8,12))+IF(Inputs!$B$3&gt;=117,F3148,0))/100)),15)/15,(15*(1+((Inputs!$B$35+(ArtifactsInput!$M$7-ArtifactsInput!$M$7)*CHOOSE(ArtifactsInput!$N$7+1,6,7.2,8.4,9.6,10.8,12))+IF(Inputs!$B$3&gt;=117,F3148,0))/100))/Skills!D10),0)</f>
        <v/>
      </c>
    </row>
    <row r="3153">
      <c r="A3153" t="inlineStr">
        <is>
          <t>Normal Monster Damage Bonus % (Holy Symbol)</t>
        </is>
      </c>
      <c r="B3153">
        <f>IF(C3134=TRUE,F3134*IF(AND(Inputs!$B$39&lt;&gt;"pvp",Inputs!$B$44&gt;0),(((R3134-1)*(Skills!S12*(1+((Inputs!$B$35+(ArtifactsInput!$M$7-ArtifactsInput!$M$7)*CHOOSE(ArtifactsInput!$N$7+1,6,7.2,8.4,9.6,10.8,12))+IF(Inputs!$B$3&gt;=117,F3148,0))/100))+MIN((Skills!S12*(1+((Inputs!$B$35+(ArtifactsInput!$M$7-ArtifactsInput!$M$7)*CHOOSE(ArtifactsInput!$N$7+1,6,7.2,8.4,9.6,10.8,12))+IF(Inputs!$B$3&gt;=117,F3148,0))/100)),MAX(0,Inputs!$B$44-((R3134-1)*Skills!D12))))/Inputs!$B$44),IF(Inputs!$B$39="pvp",MIN((Skills!S12*(1+((Inputs!$B$35+(ArtifactsInput!$M$7-ArtifactsInput!$M$7)*CHOOSE(ArtifactsInput!$N$7+1,6,7.2,8.4,9.6,10.8,12))+IF(Inputs!$B$3&gt;=117,F3148,0))/100)),15)/15,(Skills!S12*(1+((Inputs!$B$35+(ArtifactsInput!$M$7-ArtifactsInput!$M$7)*CHOOSE(ArtifactsInput!$N$7+1,6,7.2,8.4,9.6,10.8,12))+IF(Inputs!$B$3&gt;=117,F3148,0))/100))/Skills!D12)),0)</f>
        <v/>
      </c>
    </row>
    <row r="3154">
      <c r="A3154" t="inlineStr">
        <is>
          <t>Damage % Bonus (Holy Symbol - Damage Boost)</t>
        </is>
      </c>
      <c r="B3154">
        <f>Skills!O12</f>
        <v/>
      </c>
    </row>
    <row r="3155">
      <c r="A3155" t="inlineStr">
        <is>
          <t>Crit Damage % Bonus (Blood of the Divine)</t>
        </is>
      </c>
      <c r="B3155">
        <f>4*IF(C3142=TRUE,F3142,0)</f>
        <v/>
      </c>
    </row>
    <row r="3156">
      <c r="A3156" t="inlineStr">
        <is>
          <t>Attack Speed Bonus %</t>
        </is>
      </c>
      <c r="B3156">
        <f>IF(C3139=TRUE,F3139+(F3143-Calc!F21),0)+IF(Inputs!$B$3&gt;=134,15,0)</f>
        <v/>
      </c>
    </row>
    <row r="3157">
      <c r="A3157" t="inlineStr">
        <is>
          <t>Actions Per Second</t>
        </is>
      </c>
      <c r="B3157">
        <f>1+MIN(150,150*(1-(1-Inputs!$B$12/150)*(1-B3156/150)))/100</f>
        <v/>
      </c>
    </row>
    <row r="3158">
      <c r="A3158" t="inlineStr">
        <is>
          <t>Skill + Buff Cast Rate</t>
        </is>
      </c>
      <c r="B3158">
        <f>IF(AND(Inputs!$B$39&lt;&gt;"pvp",Inputs!$B$44&gt;0),SUMPRODUCT((Skills!E2:E27=TRUE)*(C3124:C3149=TRUE)*R3124:R3149)/Inputs!$B$44,SUMPRODUCT((Skills!E2:E27=TRUE)*(C3124:C3149=TRUE)*Q3124:Q3149))</f>
        <v/>
      </c>
    </row>
    <row r="3159">
      <c r="A3159" t="inlineStr">
        <is>
          <t>Big Bang Casts Per Second</t>
        </is>
      </c>
      <c r="B3159">
        <f>MAX(0,B3157-B3158)</f>
        <v/>
      </c>
    </row>
    <row r="3160">
      <c r="A3160" t="inlineStr">
        <is>
          <t>Defense % Bonus (Divine Protection)</t>
        </is>
      </c>
      <c r="B3160">
        <f>IF(C3135=TRUE,F3135*IF(AND(Inputs!$B$39&lt;&gt;"pvp",Inputs!$B$44&gt;0),(((R3135-1)*(Skills!S13*(1+((Inputs!$B$35+(ArtifactsInput!$M$7-ArtifactsInput!$M$7)*CHOOSE(ArtifactsInput!$N$7+1,6,7.2,8.4,9.6,10.8,12))+IF(Inputs!$B$3&gt;=117,F3148,0))/100))+MIN((Skills!S13*(1+((Inputs!$B$35+(ArtifactsInput!$M$7-ArtifactsInput!$M$7)*CHOOSE(ArtifactsInput!$N$7+1,6,7.2,8.4,9.6,10.8,12))+IF(Inputs!$B$3&gt;=117,F3148,0))/100)),MAX(0,Inputs!$B$44-((R3135-1)*Skills!D13))))/Inputs!$B$44),IF(Inputs!$B$39="pvp",MIN((Skills!S13*(1+((Inputs!$B$35+(ArtifactsInput!$M$7-ArtifactsInput!$M$7)*CHOOSE(ArtifactsInput!$N$7+1,6,7.2,8.4,9.6,10.8,12))+IF(Inputs!$B$3&gt;=117,F3148,0))/100)),15)/15,(Skills!S13*(1+((Inputs!$B$35+(ArtifactsInput!$M$7-ArtifactsInput!$M$7)*CHOOSE(ArtifactsInput!$N$7+1,6,7.2,8.4,9.6,10.8,12))+IF(Inputs!$B$3&gt;=117,F3148,0))/100))/Skills!D13)),0)</f>
        <v/>
      </c>
    </row>
    <row r="3161">
      <c r="A3161" t="inlineStr">
        <is>
          <t>Buff-Casting Startup Delay (s, fixed-duration only)</t>
        </is>
      </c>
      <c r="B3161">
        <f>IF(AND(Inputs!$B$39&lt;&gt;"pvp",Inputs!$B$44&gt;0),SUMPRODUCT((Skills!S2:S27&gt;0)*(Skills!E2:E27=TRUE)*(C3124:C3149=TRUE))/B3157,0)</f>
        <v/>
      </c>
    </row>
    <row r="3162">
      <c r="A3162" t="inlineStr">
        <is>
          <t>Boss-Only Total DPS (this block's swept value)</t>
        </is>
      </c>
      <c r="B3162">
        <f>SUM(S3124:S3149)</f>
        <v/>
      </c>
    </row>
    <row r="3163">
      <c r="A3163" t="inlineStr">
        <is>
          <t>Normal-Only Total DPS (this block's swept value)</t>
        </is>
      </c>
      <c r="B3163">
        <f>SUM(U3124:U3149)</f>
        <v/>
      </c>
    </row>
    <row r="3164">
      <c r="A3164" s="6" t="inlineStr">
        <is>
          <t>TOTAL DPS</t>
        </is>
      </c>
      <c r="B3164" s="6">
        <f>SUM(O3124:O3149)</f>
        <v/>
      </c>
    </row>
    <row r="3166">
      <c r="A3166" s="6" t="inlineStr">
        <is>
          <t>Stat: CDR = 4.0s</t>
        </is>
      </c>
    </row>
    <row r="3167">
      <c r="A3167" s="5" t="inlineStr">
        <is>
          <t>Key</t>
        </is>
      </c>
      <c r="B3167" s="5" t="inlineStr">
        <is>
          <t>Name</t>
        </is>
      </c>
      <c r="C3167" s="5" t="inlineStr">
        <is>
          <t>Unlocked</t>
        </is>
      </c>
      <c r="D3167" s="5" t="inlineStr">
        <is>
          <t>InputLevel</t>
        </is>
      </c>
      <c r="E3167" s="5" t="inlineStr">
        <is>
          <t>Factor</t>
        </is>
      </c>
      <c r="F3167" s="5" t="inlineStr">
        <is>
          <t>CoefficientPercent</t>
        </is>
      </c>
      <c r="G3167" s="5" t="inlineStr">
        <is>
          <t>EffectiveHits</t>
        </is>
      </c>
      <c r="H3167" s="5" t="inlineStr">
        <is>
          <t>ProcProbability</t>
        </is>
      </c>
      <c r="I3167" s="5" t="inlineStr">
        <is>
          <t>MapleHeroMultiplier</t>
        </is>
      </c>
      <c r="J3167" s="5" t="inlineStr">
        <is>
          <t>BaseDamage</t>
        </is>
      </c>
      <c r="K3167" s="5" t="inlineStr">
        <is>
          <t>BaseHitDamage</t>
        </is>
      </c>
      <c r="L3167" s="5" t="inlineStr">
        <is>
          <t>NonCritAvg</t>
        </is>
      </c>
      <c r="M3167" s="5" t="inlineStr">
        <is>
          <t>CritAvg</t>
        </is>
      </c>
      <c r="N3167" s="5" t="inlineStr">
        <is>
          <t>ExpectedDamage(perHit)</t>
        </is>
      </c>
      <c r="O3167" s="5" t="inlineStr">
        <is>
          <t>DPS</t>
        </is>
      </c>
      <c r="P3167" s="5" t="inlineStr">
        <is>
          <t>% of Total</t>
        </is>
      </c>
      <c r="R3167" t="inlineStr">
        <is>
          <t>helpers</t>
        </is>
      </c>
    </row>
    <row r="3168">
      <c r="A3168">
        <f>Skills!A2</f>
        <v/>
      </c>
      <c r="B3168">
        <f>Skills!B2</f>
        <v/>
      </c>
      <c r="C3168">
        <f>Inputs!$B$3&gt;=100</f>
        <v/>
      </c>
      <c r="D3168" t="inlineStr"/>
      <c r="E3168" t="inlineStr"/>
      <c r="F3168">
        <f>T3170+Skills!N2</f>
        <v/>
      </c>
      <c r="G3168">
        <f>Calc!G2</f>
        <v/>
      </c>
      <c r="H3168">
        <f>Calc!H2</f>
        <v/>
      </c>
      <c r="I3168">
        <f>IF(Skills!T2&lt;&gt;"",1+(Skills!T2/10)*($Z$3/1000)/100,1)</f>
        <v/>
      </c>
      <c r="J3168">
        <f>((Inputs!$B$6*(1+Inputs!$B$7/100))+(((Inputs!$B$13*(1+Inputs!$B$14/100))-(Inputs!$B$13*(1+Inputs!$B$14/100)))+0.25*(Inputs!$B$15-Inputs!$B$15))*(1+Inputs!$B$7/100))*(F3168/100)</f>
        <v/>
      </c>
      <c r="K3168">
        <f>J3168*(1+(((Inputs!$B$13+IF(Inputs!$B$3&gt;=35,(10*INDEX(FactorTable!$B$2:$Y$301,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2="TRIUMPH_FEATHER",IF(C3182=TRUE,F3182,0),0)/100)*(1+IF(C3193=TRUE,F3193,0)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3168)</f>
        <v/>
      </c>
      <c r="L3168">
        <f>K3168*(MIN(Inputs!$B$23+(F3188-Calc!F22),(Inputs!$B$24+IF(ArtifactsInput!$M$15,CHOOSE(ArtifactsInput!$N$15+1,25,30,35,40,45,50)/100*(Inputs!$B$12-Inputs!$B$12),0)))/100+(Inputs!$B$24+IF(ArtifactsInput!$M$15,CHOOSE(ArtifactsInput!$N$15+1,25,30,35,40,45,50)/100*(Inputs!$B$12-Inputs!$B$12),0))/100)/2</f>
        <v/>
      </c>
      <c r="M3168">
        <f>L3168*(1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8">
        <f>L3168*(1-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3168*(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8">
        <f>(1-Summary!$B$11)*S3168+Summary!$B$11*U3168</f>
        <v/>
      </c>
      <c r="P3168">
        <f>IF(B3208=0,0,O3168/B3208)</f>
        <v/>
      </c>
      <c r="Q3168">
        <f>IFERROR(1/(IF(Inputs!$B$39="pvp",15,MAX(0.1,Skills!D2-IF(Skills!E2=TRUE,4.0,0)))*(1-IF(AND(ArtifactsInput!$M$27,Inputs!$B$4="Chapter Hunt"),CHOOSE(ArtifactsInput!$N$27+1,20,24,28,32,36,40),0)/100)),0)</f>
        <v/>
      </c>
      <c r="R3168" t="n">
        <v>0</v>
      </c>
      <c r="S3168">
        <f>IF(C3168,(Skills!F2*N3168*B3203)*IF(Inputs!$B$39="pvp",1,1+(Inputs!$B$21+Skills!O2+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3168*(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3168*(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68">
        <f>MAX(0,(Inputs!$B$3-100)*3)+Inputs!$B$29+Inputs!$B$30</f>
        <v/>
      </c>
      <c r="U3168">
        <f>IF(C3168,(Skills!F2*N3168*B3203)*IF(Inputs!$B$39="pvp",1,(1+(Inputs!$B$22+Skills!P2+B3197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9">
      <c r="A3169">
        <f>Skills!A3</f>
        <v/>
      </c>
      <c r="B3169">
        <f>Skills!B3</f>
        <v/>
      </c>
      <c r="C3169">
        <f>Inputs!$B$3&gt;=15</f>
        <v/>
      </c>
      <c r="D3169">
        <f>IF(Skills!C3=1,60+Inputs!$B$26+Inputs!$B$30,IF(Skills!C3=2,90+Inputs!$B$27+Inputs!$B$30,IF(Skills!C3=3,120+Inputs!$B$28+Inputs!$B$30,MAX(0,(Inputs!$B$3-100)*3)+Inputs!$B$29+Inputs!$B$30)))</f>
        <v/>
      </c>
      <c r="E3169">
        <f>INDEX(FactorTable!$B$2:$Y$301, MATCH(ROUND(MIN(300,MAX(1,D3169)),0), FactorTable!$A$2:$A$301,0), Skills!L3+1)</f>
        <v/>
      </c>
      <c r="F3169">
        <f>IF(Skills!M3=TRUE,(Skills!K3/10)*(E3169/1000),Skills!K3/10)+Skills!N3</f>
        <v/>
      </c>
      <c r="G3169">
        <f>Calc!G3</f>
        <v/>
      </c>
      <c r="H3169">
        <f>Calc!H3</f>
        <v/>
      </c>
      <c r="I3169">
        <f>IF(Skills!T3&lt;&gt;"",1+(Skills!T3/10)*($Z$3/1000)/100,1)</f>
        <v/>
      </c>
      <c r="J3169" t="inlineStr"/>
      <c r="K3169" t="inlineStr"/>
      <c r="L3169" t="inlineStr"/>
      <c r="M3169" t="inlineStr"/>
      <c r="N3169" t="inlineStr"/>
      <c r="O3169">
        <f>(1-Summary!$B$11)*S3169+Summary!$B$11*U3169</f>
        <v/>
      </c>
      <c r="P3169">
        <f>IF(B3208=0,0,O3169/B3208)</f>
        <v/>
      </c>
      <c r="Q3169">
        <f>IFERROR(1/(IF(Inputs!$B$39="pvp",15,MAX(0.1,Skills!D3-IF(Skills!E3=TRUE,4.0,0)))*(1-IF(AND(ArtifactsInput!$M$27,Inputs!$B$4="Chapter Hunt"),CHOOSE(ArtifactsInput!$N$27+1,20,24,28,32,36,40),0)/100)),0)</f>
        <v/>
      </c>
      <c r="R3169">
        <f>IF(AND(Inputs!$B$39&lt;&gt;"pvp",Inputs!$B$44&gt;0),IF(Inputs!$B$44&lt;=0,0,(INT(Inputs!$B$44/(IF(Inputs!$B$39="pvp",15,MAX(0.1,Skills!D3-IF(Skills!E3=TRUE,4.0,0)))*(1-IF(AND(ArtifactsInput!$M$27,Inputs!$B$4="Chapter Hunt"),CHOOSE(ArtifactsInput!$N$27+1,20,24,28,32,36,40),0)/100)))+1)),0)</f>
        <v/>
      </c>
      <c r="S3169" t="n">
        <v>0</v>
      </c>
      <c r="T3169">
        <f>INDEX(FactorTable!$B$2:$Y$301, MATCH(ROUND(MIN(300,MAX(1,T3168)),0), FactorTable!$A$2:$A$301,0), 22)</f>
        <v/>
      </c>
      <c r="U3169" t="n">
        <v>0</v>
      </c>
    </row>
    <row r="3170">
      <c r="A3170">
        <f>Skills!A4</f>
        <v/>
      </c>
      <c r="B3170">
        <f>Skills!B4</f>
        <v/>
      </c>
      <c r="C3170">
        <f>Inputs!$B$3&gt;=38</f>
        <v/>
      </c>
      <c r="D3170">
        <f>IF(Skills!C4=1,60+Inputs!$B$26+Inputs!$B$30,IF(Skills!C4=2,90+Inputs!$B$27+Inputs!$B$30,IF(Skills!C4=3,120+Inputs!$B$28+Inputs!$B$30,MAX(0,(Inputs!$B$3-100)*3)+Inputs!$B$29+Inputs!$B$30)))</f>
        <v/>
      </c>
      <c r="E3170">
        <f>INDEX(FactorTable!$B$2:$Y$301, MATCH(ROUND(MIN(300,MAX(1,D3170)),0), FactorTable!$A$2:$A$301,0), Skills!L4+1)</f>
        <v/>
      </c>
      <c r="F3170">
        <f>IF(Skills!M4=TRUE,(Skills!K4/10)*(E3170/1000),Skills!K4/10)+Skills!N4</f>
        <v/>
      </c>
      <c r="G3170">
        <f>Calc!G4</f>
        <v/>
      </c>
      <c r="H3170">
        <f>Calc!H4</f>
        <v/>
      </c>
      <c r="I3170">
        <f>IF(Skills!T4&lt;&gt;"",1+(Skills!T4/10)*($Z$3/1000)/100,1)</f>
        <v/>
      </c>
      <c r="J3170" t="inlineStr"/>
      <c r="K3170" t="inlineStr"/>
      <c r="L3170" t="inlineStr"/>
      <c r="M3170" t="inlineStr"/>
      <c r="N3170" t="inlineStr"/>
      <c r="O3170">
        <f>(1-Summary!$B$11)*S3170+Summary!$B$11*U3170</f>
        <v/>
      </c>
      <c r="P3170">
        <f>IF(B3208=0,0,O3170/B3208)</f>
        <v/>
      </c>
      <c r="Q3170">
        <f>IFERROR(1/(IF(Inputs!$B$39="pvp",15,MAX(0.1,Skills!D4-IF(Skills!E4=TRUE,4.0,0)))*(1-IF(AND(ArtifactsInput!$M$27,Inputs!$B$4="Chapter Hunt"),CHOOSE(ArtifactsInput!$N$27+1,20,24,28,32,36,40),0)/100)),0)</f>
        <v/>
      </c>
      <c r="R3170">
        <f>IF(AND(Inputs!$B$39&lt;&gt;"pvp",Inputs!$B$44&gt;0),IF(Inputs!$B$44&lt;=0,0,(INT(Inputs!$B$44/(IF(Inputs!$B$39="pvp",15,MAX(0.1,Skills!D4-IF(Skills!E4=TRUE,4.0,0)))*(1-IF(AND(ArtifactsInput!$M$27,Inputs!$B$4="Chapter Hunt"),CHOOSE(ArtifactsInput!$N$27+1,20,24,28,32,36,40),0)/100)))+1)),0)</f>
        <v/>
      </c>
      <c r="S3170" t="n">
        <v>0</v>
      </c>
      <c r="T3170">
        <f>290*T3169/1000</f>
        <v/>
      </c>
      <c r="U3170" t="n">
        <v>0</v>
      </c>
    </row>
    <row r="3171">
      <c r="A3171">
        <f>Skills!A5</f>
        <v/>
      </c>
      <c r="B3171">
        <f>Skills!B5</f>
        <v/>
      </c>
      <c r="C3171">
        <f>Inputs!$B$3&gt;=40</f>
        <v/>
      </c>
      <c r="D3171">
        <f>IF(Skills!C5=1,60+Inputs!$B$26+Inputs!$B$30,IF(Skills!C5=2,90+Inputs!$B$27+Inputs!$B$30,IF(Skills!C5=3,120+Inputs!$B$28+Inputs!$B$30,MAX(0,(Inputs!$B$3-100)*3)+Inputs!$B$29+Inputs!$B$30)))</f>
        <v/>
      </c>
      <c r="E3171">
        <f>INDEX(FactorTable!$B$2:$Y$301, MATCH(ROUND(MIN(300,MAX(1,D3171)),0), FactorTable!$A$2:$A$301,0), Skills!L5+1)</f>
        <v/>
      </c>
      <c r="F3171">
        <f>IF(Skills!M5=TRUE,(Skills!K5/10)*(E3171/1000),Skills!K5/10)+Skills!N5</f>
        <v/>
      </c>
      <c r="G3171">
        <f>Calc!G5</f>
        <v/>
      </c>
      <c r="H3171">
        <f>Calc!H5</f>
        <v/>
      </c>
      <c r="I3171">
        <f>IF(Skills!T5&lt;&gt;"",1+(Skills!T5/10)*($Z$3/1000)/100,1)</f>
        <v/>
      </c>
      <c r="J3171" t="inlineStr"/>
      <c r="K3171" t="inlineStr"/>
      <c r="L3171" t="inlineStr"/>
      <c r="M3171" t="inlineStr"/>
      <c r="N3171" t="inlineStr"/>
      <c r="O3171">
        <f>(1-Summary!$B$11)*S3171+Summary!$B$11*U3171</f>
        <v/>
      </c>
      <c r="P3171">
        <f>IF(B3208=0,0,O3171/B3208)</f>
        <v/>
      </c>
      <c r="Q3171">
        <f>IFERROR(1/(IF(Inputs!$B$39="pvp",15,MAX(0.1,Skills!D5-IF(Skills!E5=TRUE,4.0,0)))*(1-IF(AND(ArtifactsInput!$M$27,Inputs!$B$4="Chapter Hunt"),CHOOSE(ArtifactsInput!$N$27+1,20,24,28,32,36,40),0)/100)),0)</f>
        <v/>
      </c>
      <c r="R3171">
        <f>IF(AND(Inputs!$B$39&lt;&gt;"pvp",Inputs!$B$44&gt;0),IF(Inputs!$B$44&lt;=0,0,(INT(Inputs!$B$44/(IF(Inputs!$B$39="pvp",15,MAX(0.1,Skills!D5-IF(Skills!E5=TRUE,4.0,0)))*(1-IF(AND(ArtifactsInput!$M$27,Inputs!$B$4="Chapter Hunt"),CHOOSE(ArtifactsInput!$N$27+1,20,24,28,32,36,40),0)/100)))+1)),0)</f>
        <v/>
      </c>
      <c r="S3171" t="n">
        <v>0</v>
      </c>
      <c r="U3171" t="n">
        <v>0</v>
      </c>
    </row>
    <row r="3172">
      <c r="A3172">
        <f>Skills!A6</f>
        <v/>
      </c>
      <c r="B3172">
        <f>Skills!B6</f>
        <v/>
      </c>
      <c r="C3172">
        <f>Inputs!$B$3&gt;=103</f>
        <v/>
      </c>
      <c r="D3172">
        <f>IF(Skills!C6=1,60+Inputs!$B$26+Inputs!$B$30,IF(Skills!C6=2,90+Inputs!$B$27+Inputs!$B$30,IF(Skills!C6=3,120+Inputs!$B$28+Inputs!$B$30,MAX(0,(Inputs!$B$3-100)*3)+Inputs!$B$29+Inputs!$B$30)))</f>
        <v/>
      </c>
      <c r="E3172">
        <f>INDEX(FactorTable!$B$2:$Y$301, MATCH(ROUND(MIN(300,MAX(1,D3172)),0), FactorTable!$A$2:$A$301,0), Skills!L6+1)</f>
        <v/>
      </c>
      <c r="F3172">
        <f>IF(Skills!M6=TRUE,(Skills!K6/10)*(E3172/1000),Skills!K6/10)+Skills!N6</f>
        <v/>
      </c>
      <c r="G3172">
        <f>Calc!G6</f>
        <v/>
      </c>
      <c r="H3172">
        <f>Calc!H6</f>
        <v/>
      </c>
      <c r="I3172">
        <f>IF(Skills!T6&lt;&gt;"",1+(Skills!T6/10)*($Z$3/1000)/100,1)</f>
        <v/>
      </c>
      <c r="J3172">
        <f>((Inputs!$B$6*(1+Inputs!$B$7/100))+(((Inputs!$B$13*(1+Inputs!$B$14/100))-(Inputs!$B$13*(1+Inputs!$B$14/100)))+0.25*(Inputs!$B$15-Inputs!$B$15))*(1+Inputs!$B$7/100))*(F3172/100)</f>
        <v/>
      </c>
      <c r="K3172">
        <f>J3172*(1+(((Inputs!$B$13+IF(Inputs!$B$3&gt;=35,(10*INDEX(FactorTable!$B$2:$Y$301,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6="TRIUMPH_FEATHER",IF(C3182=TRUE,F3182,0),0)/100)*(1+IF(C3193=TRUE,F3193,0)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3172)</f>
        <v/>
      </c>
      <c r="L3172">
        <f>K3172*(MIN(Inputs!$B$23+(F3188-Calc!F22),(Inputs!$B$24+IF(ArtifactsInput!$M$15,CHOOSE(ArtifactsInput!$N$15+1,25,30,35,40,45,50)/100*(Inputs!$B$12-Inputs!$B$12),0)))/100+(Inputs!$B$24+IF(ArtifactsInput!$M$15,CHOOSE(ArtifactsInput!$N$15+1,25,30,35,40,45,50)/100*(Inputs!$B$12-Inputs!$B$12),0))/100)/2</f>
        <v/>
      </c>
      <c r="M3172">
        <f>L3172*(1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2">
        <f>L3172*(1-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3172*(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2">
        <f>(1-Summary!$B$11)*S3172+Summary!$B$11*U3172</f>
        <v/>
      </c>
      <c r="P3172">
        <f>IF(B3208=0,0,O3172/B3208)</f>
        <v/>
      </c>
      <c r="Q3172">
        <f>IFERROR(1/(IF(Inputs!$B$39="pvp",15,MAX(0.1,Skills!D6-IF(Skills!E6=TRUE,4.0,0)))*(1-IF(AND(ArtifactsInput!$M$27,Inputs!$B$4="Chapter Hunt"),CHOOSE(ArtifactsInput!$N$27+1,20,24,28,32,36,40),0)/100)),0)</f>
        <v/>
      </c>
      <c r="R3172">
        <f>IF(AND(Inputs!$B$39&lt;&gt;"pvp",Inputs!$B$44&gt;0),IF(MAX(0,Inputs!$B$44-B3205)&lt;=0,0,(INT(MAX(0,Inputs!$B$44-B3205)/(IF(Inputs!$B$39="pvp",15,MAX(0.1,Skills!D6-IF(Skills!E6=TRUE,4.0,0)))*(1-IF(AND(ArtifactsInput!$M$27,Inputs!$B$4="Chapter Hunt"),CHOOSE(ArtifactsInput!$N$27+1,20,24,28,32,36,40),0)/100)))+1)),0)</f>
        <v/>
      </c>
      <c r="S3172">
        <f>IF(C3172,(H3172*N3172*IF(AND(Inputs!$B$39&lt;&gt;"pvp",Inputs!$B$44&gt;0),((Skills!F6*((R3172-1)*IF(Skills!G6&gt;0,Skills!H6/Skills!G6,1)+IF(Skills!G6&gt;0,MIN(Skills!H6,MAX(0,MAX(0,Inputs!$B$44-B3205)-((R3172-1)*(IF(Inputs!$B$39="pvp",15,MAX(0.1,Skills!D6-IF(Skills!E6=TRUE,4.0,0)))*(1-IF(AND(ArtifactsInput!$M$27,Inputs!$B$4="Chapter Hunt"),CHOOSE(ArtifactsInput!$N$27+1,20,24,28,32,36,40),0)/100)))))/Skills!G6,1)))/Inputs!$B$44),G3172*Q3172))*IF(Inputs!$B$39="pvp",1,1+(Inputs!$B$21+Skills!O6+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3172*(1-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3172*(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3172*(1-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3172*(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2">
        <f>IF(C3172,(H3172*N3172*IF(AND(Inputs!$B$39&lt;&gt;"pvp",Inputs!$B$44&gt;0),((Skills!F6*((R3172-1)*IF(Skills!G6&gt;0,Skills!H6/Skills!G6,1)+IF(Skills!G6&gt;0,MIN(Skills!H6,MAX(0,MAX(0,Inputs!$B$44-B3205)-((R3172-1)*(IF(Inputs!$B$39="pvp",15,MAX(0.1,Skills!D6-IF(Skills!E6=TRUE,4.0,0)))*(1-IF(AND(ArtifactsInput!$M$27,Inputs!$B$4="Chapter Hunt"),CHOOSE(ArtifactsInput!$N$27+1,20,24,28,32,36,40),0)/100)))))/Skills!G6,1)))/Inputs!$B$44),G3172*Q3172))*IF(Inputs!$B$39="pvp",1,(1+(Inputs!$B$22+Skills!P6+B3197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3">
      <c r="A3173">
        <f>Skills!A7</f>
        <v/>
      </c>
      <c r="B3173">
        <f>Skills!B7</f>
        <v/>
      </c>
      <c r="C3173">
        <f>Inputs!$B$3&gt;=122</f>
        <v/>
      </c>
      <c r="D3173">
        <f>IF(Skills!C7=1,60+Inputs!$B$26+Inputs!$B$30,IF(Skills!C7=2,90+Inputs!$B$27+Inputs!$B$30,IF(Skills!C7=3,120+Inputs!$B$28+Inputs!$B$30,MAX(0,(Inputs!$B$3-100)*3)+Inputs!$B$29+Inputs!$B$30)))</f>
        <v/>
      </c>
      <c r="E3173">
        <f>INDEX(FactorTable!$B$2:$Y$301, MATCH(ROUND(MIN(300,MAX(1,D3173)),0), FactorTable!$A$2:$A$301,0), Skills!L7+1)</f>
        <v/>
      </c>
      <c r="F3173">
        <f>IF(Skills!M7=TRUE,(Skills!K7/10)*(E3173/1000),Skills!K7/10)+Skills!N7</f>
        <v/>
      </c>
      <c r="G3173">
        <f>Calc!G7</f>
        <v/>
      </c>
      <c r="H3173">
        <f>Calc!H7</f>
        <v/>
      </c>
      <c r="I3173">
        <f>IF(Skills!T7&lt;&gt;"",1+(Skills!T7/10)*($Z$3/1000)/100,1)</f>
        <v/>
      </c>
      <c r="J3173">
        <f>((Inputs!$B$6*(1+Inputs!$B$7/100))+(((Inputs!$B$13*(1+Inputs!$B$14/100))-(Inputs!$B$13*(1+Inputs!$B$14/100)))+0.25*(Inputs!$B$15-Inputs!$B$15))*(1+Inputs!$B$7/100))*(F3173/100)</f>
        <v/>
      </c>
      <c r="K3173">
        <f>J3173*(1+(((Inputs!$B$13+IF(Inputs!$B$3&gt;=35,(10*INDEX(FactorTable!$B$2:$Y$301,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7="TRIUMPH_FEATHER",IF(C3182=TRUE,F3182,0),0)/100)*(1+IF(C3193=TRUE,F3193,0)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3173)</f>
        <v/>
      </c>
      <c r="L3173">
        <f>K3173*(MIN(Inputs!$B$23+(F3188-Calc!F22),(Inputs!$B$24+IF(ArtifactsInput!$M$15,CHOOSE(ArtifactsInput!$N$15+1,25,30,35,40,45,50)/100*(Inputs!$B$12-Inputs!$B$12),0)))/100+(Inputs!$B$24+IF(ArtifactsInput!$M$15,CHOOSE(ArtifactsInput!$N$15+1,25,30,35,40,45,50)/100*(Inputs!$B$12-Inputs!$B$12),0))/100)/2</f>
        <v/>
      </c>
      <c r="M3173">
        <f>L3173*(1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3">
        <f>L3173*(1-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3173*(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3">
        <f>(1-Summary!$B$11)*S3173+Summary!$B$11*U3173</f>
        <v/>
      </c>
      <c r="P3173">
        <f>IF(B3208=0,0,O3173/B3208)</f>
        <v/>
      </c>
      <c r="Q3173">
        <f>IFERROR(1/(IF(Inputs!$B$39="pvp",15,MAX(0.1,Skills!D7-IF(Skills!E6=TRUE,4.0,0)))*(1-IF(AND(ArtifactsInput!$M$27,Inputs!$B$4="Chapter Hunt"),CHOOSE(ArtifactsInput!$N$27+1,20,24,28,32,36,40),0)/100)),0)</f>
        <v/>
      </c>
      <c r="R3173">
        <f>IF(AND(Inputs!$B$39&lt;&gt;"pvp",Inputs!$B$44&gt;0),IF(MAX(0,Inputs!$B$44-B3205)&lt;=0,0,(INT(MAX(0,Inputs!$B$44-B3205)/(IF(Inputs!$B$39="pvp",15,MAX(0.1,Skills!D7-IF(Skills!E6=TRUE,4.0,0)))*(1-IF(AND(ArtifactsInput!$M$27,Inputs!$B$4="Chapter Hunt"),CHOOSE(ArtifactsInput!$N$27+1,20,24,28,32,36,40),0)/100)))+1)),0)</f>
        <v/>
      </c>
      <c r="S3173">
        <f>IF(C3173,H3173*N3173*IF(AND(Inputs!$B$39&lt;&gt;"pvp",Inputs!$B$44&gt;0),((Skills!F7*((R3173-1)*IF(Skills!G7&gt;0,Skills!H7/Skills!G7,1)+IF(Skills!G7&gt;0,MIN(Skills!H7,MAX(0,MAX(0,Inputs!$B$44-B3205)-((R3173-1)*(IF(Inputs!$B$39="pvp",15,MAX(0.1,Skills!D7-IF(Skills!E6=TRUE,4.0,0)))*(1-IF(AND(ArtifactsInput!$M$27,Inputs!$B$4="Chapter Hunt"),CHOOSE(ArtifactsInput!$N$27+1,20,24,28,32,36,40),0)/100)))))/Skills!G7,1)))/Inputs!$B$44),G3173*Q3173)*IF(Inputs!$B$39="pvp",1,1+(Inputs!$B$21+Skills!O7+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3173*(1-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3173*(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3173*(1-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3173*(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3" t="n">
        <v>0</v>
      </c>
    </row>
    <row r="3174">
      <c r="A3174">
        <f>Skills!A8</f>
        <v/>
      </c>
      <c r="B3174">
        <f>Skills!B8</f>
        <v/>
      </c>
      <c r="C3174">
        <f>Inputs!$B$3&gt;=105</f>
        <v/>
      </c>
      <c r="D3174">
        <f>IF(Skills!C8=1,60+Inputs!$B$26+Inputs!$B$30,IF(Skills!C8=2,90+Inputs!$B$27+Inputs!$B$30,IF(Skills!C8=3,120+Inputs!$B$28+Inputs!$B$30,MAX(0,(Inputs!$B$3-100)*3)+Inputs!$B$29+Inputs!$B$30)))</f>
        <v/>
      </c>
      <c r="E3174">
        <f>INDEX(FactorTable!$B$2:$Y$301, MATCH(ROUND(MIN(300,MAX(1,D3174)),0), FactorTable!$A$2:$A$301,0), Skills!L8+1)</f>
        <v/>
      </c>
      <c r="F3174">
        <f>IF(Skills!M8=TRUE,(Skills!K8/10)*(E3174/1000),Skills!K8/10)+Skills!N8</f>
        <v/>
      </c>
      <c r="G3174">
        <f>Calc!G8</f>
        <v/>
      </c>
      <c r="H3174">
        <f>Calc!H8</f>
        <v/>
      </c>
      <c r="I3174">
        <f>IF(Skills!T8&lt;&gt;"",1+(Skills!T8/10)*($Z$3/1000)/100,1)</f>
        <v/>
      </c>
      <c r="J3174">
        <f>((Inputs!$B$6*(1+Inputs!$B$7/100))+(((Inputs!$B$13*(1+Inputs!$B$14/100))-(Inputs!$B$13*(1+Inputs!$B$14/100)))+0.25*(Inputs!$B$15-Inputs!$B$15))*(1+Inputs!$B$7/100))*(F3174/100)</f>
        <v/>
      </c>
      <c r="K3174">
        <f>J3174*(1+(((Inputs!$B$13+IF(Inputs!$B$3&gt;=35,(10*INDEX(FactorTable!$B$2:$Y$301,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8="TRIUMPH_FEATHER",IF(C3182=TRUE,F3182,0),0)/100)*(1+IF(C3193=TRUE,F3193,0)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3174)</f>
        <v/>
      </c>
      <c r="L3174">
        <f>K3174*(MIN(Inputs!$B$23+(F3188-Calc!F22),(Inputs!$B$24+IF(ArtifactsInput!$M$15,CHOOSE(ArtifactsInput!$N$15+1,25,30,35,40,45,50)/100*(Inputs!$B$12-Inputs!$B$12),0)))/100+(Inputs!$B$24+IF(ArtifactsInput!$M$15,CHOOSE(ArtifactsInput!$N$15+1,25,30,35,40,45,50)/100*(Inputs!$B$12-Inputs!$B$12),0))/100)/2</f>
        <v/>
      </c>
      <c r="M3174">
        <f>L3174*(1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4">
        <f>L3174*(1-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3174*(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4">
        <f>(1-Summary!$B$11)*S3174+Summary!$B$11*U3174</f>
        <v/>
      </c>
      <c r="P3174">
        <f>IF(B3208=0,0,O3174/B3208)</f>
        <v/>
      </c>
      <c r="Q3174">
        <f>IFERROR(1/(IF(Inputs!$B$39="pvp",15,MAX(0.1,Skills!D8-IF(Skills!E8=TRUE,4.0,0)))*(1-IF(AND(ArtifactsInput!$M$27,Inputs!$B$4="Chapter Hunt"),CHOOSE(ArtifactsInput!$N$27+1,20,24,28,32,36,40),0)/100)),0)</f>
        <v/>
      </c>
      <c r="R3174">
        <f>IF(AND(Inputs!$B$39&lt;&gt;"pvp",Inputs!$B$44&gt;0),IF(MAX(0,Inputs!$B$44-B3205)&lt;=0,0,(INT(MAX(0,Inputs!$B$44-B3205)/(IF(Inputs!$B$39="pvp",15,MAX(0.1,Skills!D8-IF(Skills!E8=TRUE,4.0,0)))*(1-IF(AND(ArtifactsInput!$M$27,Inputs!$B$4="Chapter Hunt"),CHOOSE(ArtifactsInput!$N$27+1,20,24,28,32,36,40),0)/100)))+1)),0)</f>
        <v/>
      </c>
      <c r="S3174">
        <f>IF(C3174,(H3174*N3174*IF(AND(Inputs!$B$39&lt;&gt;"pvp",Inputs!$B$44&gt;0),((Skills!F8*((R3174-1)*IF(Skills!G8&gt;0,Skills!H8/Skills!G8,1)+IF(Skills!G8&gt;0,MIN(Skills!H8,MAX(0,MAX(0,Inputs!$B$44-B3205)-((R3174-1)*(IF(Inputs!$B$39="pvp",15,MAX(0.1,Skills!D8-IF(Skills!E8=TRUE,4.0,0)))*(1-IF(AND(ArtifactsInput!$M$27,Inputs!$B$4="Chapter Hunt"),CHOOSE(ArtifactsInput!$N$27+1,20,24,28,32,36,40),0)/100)))))/Skills!G8,1)))/Inputs!$B$44),G3174*Q3174))*IF(Inputs!$B$39="pvp",1,1+(Inputs!$B$21+Skills!O8+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3174*(1-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3174*(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3174*(1-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3174*(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4">
        <f>IF(C3174,(H3174*N3174*IF(AND(Inputs!$B$39&lt;&gt;"pvp",Inputs!$B$44&gt;0),((Skills!F8*((R3174-1)*IF(Skills!G8&gt;0,Skills!H8/Skills!G8,1)+IF(Skills!G8&gt;0,MIN(Skills!H8,MAX(0,MAX(0,Inputs!$B$44-B3205)-((R3174-1)*(IF(Inputs!$B$39="pvp",15,MAX(0.1,Skills!D8-IF(Skills!E8=TRUE,4.0,0)))*(1-IF(AND(ArtifactsInput!$M$27,Inputs!$B$4="Chapter Hunt"),CHOOSE(ArtifactsInput!$N$27+1,20,24,28,32,36,40),0)/100)))))/Skills!G8,1)))/Inputs!$B$44),G3174*Q3174))*IF(Inputs!$B$39="pvp",1,(1+(Inputs!$B$22+Skills!P8+B3197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5">
      <c r="A3175">
        <f>Skills!A9</f>
        <v/>
      </c>
      <c r="B3175">
        <f>Skills!B9</f>
        <v/>
      </c>
      <c r="C3175">
        <f>Inputs!$B$3&gt;=115</f>
        <v/>
      </c>
      <c r="D3175">
        <f>IF(Skills!C9=1,60+Inputs!$B$26+Inputs!$B$30,IF(Skills!C9=2,90+Inputs!$B$27+Inputs!$B$30,IF(Skills!C9=3,120+Inputs!$B$28+Inputs!$B$30,MAX(0,(Inputs!$B$3-100)*3)+Inputs!$B$29+Inputs!$B$30)))</f>
        <v/>
      </c>
      <c r="E3175">
        <f>INDEX(FactorTable!$B$2:$Y$301, MATCH(ROUND(MIN(300,MAX(1,D3175)),0), FactorTable!$A$2:$A$301,0), Skills!L9+1)</f>
        <v/>
      </c>
      <c r="F3175">
        <f>IF(Skills!M9=TRUE,(Skills!K9/10)*(E3175/1000),Skills!K9/10)+Skills!N9</f>
        <v/>
      </c>
      <c r="G3175">
        <f>Calc!G9</f>
        <v/>
      </c>
      <c r="H3175">
        <f>Calc!H9</f>
        <v/>
      </c>
      <c r="I3175">
        <f>IF(Skills!T9&lt;&gt;"",1+(Skills!T9/10)*($Z$3/1000)/100,1)</f>
        <v/>
      </c>
      <c r="J3175">
        <f>((Inputs!$B$6*(1+Inputs!$B$7/100))+(((Inputs!$B$13*(1+Inputs!$B$14/100))-(Inputs!$B$13*(1+Inputs!$B$14/100)))+0.25*(Inputs!$B$15-Inputs!$B$15))*(1+Inputs!$B$7/100))*(F3175/100)</f>
        <v/>
      </c>
      <c r="K3175">
        <f>J3175*(1+(((Inputs!$B$13+IF(Inputs!$B$3&gt;=35,(10*INDEX(FactorTable!$B$2:$Y$301,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9="TRIUMPH_FEATHER",IF(C3182=TRUE,F3182,0),0)/100)*(1+IF(C3193=TRUE,F3193,0)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3175)</f>
        <v/>
      </c>
      <c r="L3175">
        <f>K3175*(MIN(Inputs!$B$23+(F3188-Calc!F22),(Inputs!$B$24+IF(ArtifactsInput!$M$15,CHOOSE(ArtifactsInput!$N$15+1,25,30,35,40,45,50)/100*(Inputs!$B$12-Inputs!$B$12),0)))/100+(Inputs!$B$24+IF(ArtifactsInput!$M$15,CHOOSE(ArtifactsInput!$N$15+1,25,30,35,40,45,50)/100*(Inputs!$B$12-Inputs!$B$12),0))/100)/2</f>
        <v/>
      </c>
      <c r="M3175">
        <f>L3175*(1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5">
        <f>L3175*(1-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(1-Summary!$B$11)*S3175+Summary!$B$11*U3175</f>
        <v/>
      </c>
      <c r="P3175">
        <f>IF(B3208=0,0,O3175/B3208)</f>
        <v/>
      </c>
      <c r="Q3175">
        <f>IFERROR(1/(IF(Inputs!$B$39="pvp",15,MAX(0.1,Skills!D9-IF(Skills!E9=TRUE,4.0,0)))*(1-IF(AND(ArtifactsInput!$M$27,Inputs!$B$4="Chapter Hunt"),CHOOSE(ArtifactsInput!$N$27+1,20,24,28,32,36,40),0)/100)),0)</f>
        <v/>
      </c>
      <c r="R3175">
        <f>IF(AND(Inputs!$B$39&lt;&gt;"pvp",Inputs!$B$44&gt;0),IF(MAX(0,Inputs!$B$44-B3205)&lt;=0,0,(INT(MAX(0,Inputs!$B$44-B3205)/(IF(Inputs!$B$39="pvp",15,MAX(0.1,Skills!D9-IF(Skills!E9=TRUE,4.0,0)))*(1-IF(AND(ArtifactsInput!$M$27,Inputs!$B$4="Chapter Hunt"),CHOOSE(ArtifactsInput!$N$27+1,20,24,28,32,36,40),0)/100)))+1)),0)</f>
        <v/>
      </c>
      <c r="S3175">
        <f>IF(C3175,(H3175*N3175*IF(AND(Inputs!$B$39&lt;&gt;"pvp",Inputs!$B$44&gt;0),((Skills!F9*((R3175-1)*IF(Skills!G9&gt;0,Skills!H9/Skills!G9,1)+IF(Skills!G9&gt;0,MIN(Skills!H9,MAX(0,MAX(0,Inputs!$B$44-B3205)-((R3175-1)*(IF(Inputs!$B$39="pvp",15,MAX(0.1,Skills!D9-IF(Skills!E9=TRUE,4.0,0)))*(1-IF(AND(ArtifactsInput!$M$27,Inputs!$B$4="Chapter Hunt"),CHOOSE(ArtifactsInput!$N$27+1,20,24,28,32,36,40),0)/100)))))/Skills!G9,1)))/Inputs!$B$44),G3175*Q3175))*IF(Inputs!$B$39="pvp",1,1+(Inputs!$B$21+Skills!O9+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3175*(1-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IF(C3175,(H3175*N3175*IF(AND(Inputs!$B$39&lt;&gt;"pvp",Inputs!$B$44&gt;0),((Skills!F9*((R3175-1)*IF(Skills!G9&gt;0,Skills!H9/Skills!G9,1)+IF(Skills!G9&gt;0,MIN(Skills!H9,MAX(0,MAX(0,Inputs!$B$44-B3205)-((R3175-1)*(IF(Inputs!$B$39="pvp",15,MAX(0.1,Skills!D9-IF(Skills!E9=TRUE,4.0,0)))*(1-IF(AND(ArtifactsInput!$M$27,Inputs!$B$4="Chapter Hunt"),CHOOSE(ArtifactsInput!$N$27+1,20,24,28,32,36,40),0)/100)))))/Skills!G9,1)))/Inputs!$B$44),G3175*Q3175))*IF(Inputs!$B$39="pvp",1,(1+(Inputs!$B$22+Skills!P9+B3197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Skills!A10</f>
        <v/>
      </c>
      <c r="B3176">
        <f>Skills!B10</f>
        <v/>
      </c>
      <c r="C3176">
        <f>Inputs!$B$3&gt;=66</f>
        <v/>
      </c>
      <c r="D3176">
        <f>IF(Skills!C10=1,60+Inputs!$B$26+Inputs!$B$30,IF(Skills!C10=2,90+Inputs!$B$27+Inputs!$B$30,IF(Skills!C10=3,120+Inputs!$B$28+Inputs!$B$30,MAX(0,(Inputs!$B$3-100)*3)+Inputs!$B$29+Inputs!$B$30)))</f>
        <v/>
      </c>
      <c r="E3176">
        <f>INDEX(FactorTable!$B$2:$Y$301, MATCH(ROUND(MIN(300,MAX(1,D3176)),0), FactorTable!$A$2:$A$301,0), Skills!L10+1)</f>
        <v/>
      </c>
      <c r="F3176" t="n">
        <v>0</v>
      </c>
      <c r="G3176">
        <f>Calc!G10</f>
        <v/>
      </c>
      <c r="H3176">
        <f>Calc!H10</f>
        <v/>
      </c>
      <c r="I3176">
        <f>IF(Skills!T10&lt;&gt;"",1+(Skills!T10/10)*($Z$3/1000)/100,1)</f>
        <v/>
      </c>
      <c r="J3176" t="inlineStr"/>
      <c r="K3176" t="inlineStr"/>
      <c r="L3176" t="inlineStr"/>
      <c r="M3176" t="inlineStr"/>
      <c r="N3176" t="inlineStr"/>
      <c r="O3176">
        <f>(1-Summary!$B$11)*S3176+Summary!$B$11*U3176</f>
        <v/>
      </c>
      <c r="P3176">
        <f>IF(B3208=0,0,O3176/B3208)</f>
        <v/>
      </c>
      <c r="Q3176">
        <f>IFERROR(1/(IF(Inputs!$B$39="pvp",15,MAX(0.1,Skills!D10-IF(Skills!E10=TRUE,4.0,0)))*(1-IF(AND(ArtifactsInput!$M$27,Inputs!$B$4="Chapter Hunt"),CHOOSE(ArtifactsInput!$N$27+1,20,24,28,32,36,40),0)/100)),0)</f>
        <v/>
      </c>
      <c r="R3176">
        <f>IF(AND(Inputs!$B$39&lt;&gt;"pvp",Inputs!$B$44&gt;0),IF(MAX(0,Inputs!$B$44-B3205)&lt;=0,0,(INT(MAX(0,Inputs!$B$44-B3205)/(IF(Inputs!$B$39="pvp",15,MAX(0.1,Skills!D10-IF(Skills!E10=TRUE,4.0,0)))*(1-IF(AND(ArtifactsInput!$M$27,Inputs!$B$4="Chapter Hunt"),CHOOSE(ArtifactsInput!$N$27+1,20,24,28,32,36,40),0)/100)))+1)),0)</f>
        <v/>
      </c>
      <c r="S3176" t="n">
        <v>0</v>
      </c>
      <c r="U3176" t="n">
        <v>0</v>
      </c>
    </row>
    <row r="3177">
      <c r="A3177">
        <f>Skills!A11</f>
        <v/>
      </c>
      <c r="B3177">
        <f>Skills!B11</f>
        <v/>
      </c>
      <c r="C3177">
        <f>Inputs!$B$3&gt;=69</f>
        <v/>
      </c>
      <c r="D3177">
        <f>IF(Skills!C11=1,60+Inputs!$B$26+Inputs!$B$30,IF(Skills!C11=2,90+Inputs!$B$27+Inputs!$B$30,IF(Skills!C11=3,120+Inputs!$B$28+Inputs!$B$30,MAX(0,(Inputs!$B$3-100)*3)+Inputs!$B$29+Inputs!$B$30)))</f>
        <v/>
      </c>
      <c r="E3177">
        <f>INDEX(FactorTable!$B$2:$Y$301, MATCH(ROUND(MIN(300,MAX(1,D3177)),0), FactorTable!$A$2:$A$301,0), Skills!L11+1)</f>
        <v/>
      </c>
      <c r="F3177">
        <f>IF(Skills!M11=TRUE,(Skills!K11/10)*(E3177/1000),Skills!K11/10)+Skills!N11</f>
        <v/>
      </c>
      <c r="G3177">
        <f>Calc!G11</f>
        <v/>
      </c>
      <c r="H3177">
        <f>Calc!H11</f>
        <v/>
      </c>
      <c r="I3177">
        <f>IF(Skills!T11&lt;&gt;"",1+(Skills!T11/10)*($Z$3/1000)/100,1)</f>
        <v/>
      </c>
      <c r="J3177" t="inlineStr"/>
      <c r="K3177" t="inlineStr"/>
      <c r="L3177" t="inlineStr"/>
      <c r="M3177" t="inlineStr"/>
      <c r="N3177" t="inlineStr"/>
      <c r="O3177">
        <f>(1-Summary!$B$11)*S3177+Summary!$B$11*U3177</f>
        <v/>
      </c>
      <c r="P3177">
        <f>IF(B3208=0,0,O3177/B3208)</f>
        <v/>
      </c>
      <c r="Q3177">
        <f>IFERROR(1/(IF(Inputs!$B$39="pvp",15,MAX(0.1,Skills!D11-IF(Skills!E11=TRUE,4.0,0)))*(1-IF(AND(ArtifactsInput!$M$27,Inputs!$B$4="Chapter Hunt"),CHOOSE(ArtifactsInput!$N$27+1,20,24,28,32,36,40),0)/100)),0)</f>
        <v/>
      </c>
      <c r="R3177">
        <f>IF(AND(Inputs!$B$39&lt;&gt;"pvp",Inputs!$B$44&gt;0),IF(Inputs!$B$44&lt;=0,0,(INT(Inputs!$B$44/(IF(Inputs!$B$39="pvp",15,MAX(0.1,Skills!D11-IF(Skills!E11=TRUE,4.0,0)))*(1-IF(AND(ArtifactsInput!$M$27,Inputs!$B$4="Chapter Hunt"),CHOOSE(ArtifactsInput!$N$27+1,20,24,28,32,36,40),0)/100)))+1)),0)</f>
        <v/>
      </c>
      <c r="S3177" t="n">
        <v>0</v>
      </c>
      <c r="U3177" t="n">
        <v>0</v>
      </c>
    </row>
    <row r="3178">
      <c r="A3178">
        <f>Skills!A12</f>
        <v/>
      </c>
      <c r="B3178">
        <f>Skills!B12</f>
        <v/>
      </c>
      <c r="C3178">
        <f>Inputs!$B$3&gt;=72</f>
        <v/>
      </c>
      <c r="D3178">
        <f>IF(Skills!C12=1,60+Inputs!$B$26+Inputs!$B$30,IF(Skills!C12=2,90+Inputs!$B$27+Inputs!$B$30,IF(Skills!C12=3,120+Inputs!$B$28+Inputs!$B$30,MAX(0,(Inputs!$B$3-100)*3)+Inputs!$B$29+Inputs!$B$30)))</f>
        <v/>
      </c>
      <c r="E3178">
        <f>INDEX(FactorTable!$B$2:$Y$301, MATCH(ROUND(MIN(300,MAX(1,D3178)),0), FactorTable!$A$2:$A$301,0), Skills!L12+1)</f>
        <v/>
      </c>
      <c r="F3178">
        <f>IF(Skills!M12=TRUE,(Skills!K12/10)*(E3178/1000),Skills!K12/10)+Skills!N12</f>
        <v/>
      </c>
      <c r="G3178">
        <f>Calc!G12</f>
        <v/>
      </c>
      <c r="H3178">
        <f>Calc!H12</f>
        <v/>
      </c>
      <c r="I3178">
        <f>IF(Skills!T12&lt;&gt;"",1+(Skills!T12/10)*($Z$3/1000)/100,1)</f>
        <v/>
      </c>
      <c r="J3178" t="inlineStr"/>
      <c r="K3178" t="inlineStr"/>
      <c r="L3178" t="inlineStr"/>
      <c r="M3178" t="inlineStr"/>
      <c r="N3178" t="inlineStr"/>
      <c r="O3178">
        <f>(1-Summary!$B$11)*S3178+Summary!$B$11*U3178</f>
        <v/>
      </c>
      <c r="P3178">
        <f>IF(B3208=0,0,O3178/B3208)</f>
        <v/>
      </c>
      <c r="Q3178">
        <f>IFERROR(1/(IF(Inputs!$B$39="pvp",15,MAX(0.1,Skills!D12-IF(Skills!E12=TRUE,4.0,0)))*(1-IF(AND(ArtifactsInput!$M$27,Inputs!$B$4="Chapter Hunt"),CHOOSE(ArtifactsInput!$N$27+1,20,24,28,32,36,40),0)/100)),0)</f>
        <v/>
      </c>
      <c r="R3178">
        <f>IF(AND(Inputs!$B$39&lt;&gt;"pvp",Inputs!$B$44&gt;0),IF(MAX(0,Inputs!$B$44-B3205)&lt;=0,0,(INT(MAX(0,Inputs!$B$44-B3205)/(IF(Inputs!$B$39="pvp",15,MAX(0.1,Skills!D12-IF(Skills!E12=TRUE,4.0,0)))*(1-IF(AND(ArtifactsInput!$M$27,Inputs!$B$4="Chapter Hunt"),CHOOSE(ArtifactsInput!$N$27+1,20,24,28,32,36,40),0)/100)))+1)),0)</f>
        <v/>
      </c>
      <c r="S3178" t="n">
        <v>0</v>
      </c>
      <c r="U3178" t="n">
        <v>0</v>
      </c>
    </row>
    <row r="3179">
      <c r="A3179">
        <f>Skills!A13</f>
        <v/>
      </c>
      <c r="B3179">
        <f>Skills!B13</f>
        <v/>
      </c>
      <c r="C3179">
        <f>Inputs!$B$3&gt;=60</f>
        <v/>
      </c>
      <c r="D3179">
        <f>IF(Skills!C13=1,60+Inputs!$B$26+Inputs!$B$30,IF(Skills!C13=2,90+Inputs!$B$27+Inputs!$B$30,IF(Skills!C13=3,120+Inputs!$B$28+Inputs!$B$30,MAX(0,(Inputs!$B$3-100)*3)+Inputs!$B$29+Inputs!$B$30)))</f>
        <v/>
      </c>
      <c r="E3179">
        <f>INDEX(FactorTable!$B$2:$Y$301, MATCH(ROUND(MIN(300,MAX(1,D3179)),0), FactorTable!$A$2:$A$301,0), Skills!L13+1)</f>
        <v/>
      </c>
      <c r="F3179">
        <f>IF(Skills!M13=TRUE,(Skills!K13/10)*(E3179/1000),Skills!K13/10)+Skills!N13</f>
        <v/>
      </c>
      <c r="G3179">
        <f>Calc!G13</f>
        <v/>
      </c>
      <c r="H3179">
        <f>Calc!H13</f>
        <v/>
      </c>
      <c r="I3179">
        <f>IF(Skills!T13&lt;&gt;"",1+(Skills!T13/10)*($Z$3/1000)/100,1)</f>
        <v/>
      </c>
      <c r="J3179" t="inlineStr"/>
      <c r="K3179" t="inlineStr"/>
      <c r="L3179" t="inlineStr"/>
      <c r="M3179" t="inlineStr"/>
      <c r="N3179" t="inlineStr"/>
      <c r="O3179">
        <f>(1-Summary!$B$11)*S3179+Summary!$B$11*U3179</f>
        <v/>
      </c>
      <c r="P3179">
        <f>IF(B3208=0,0,O3179/B3208)</f>
        <v/>
      </c>
      <c r="Q3179">
        <f>IFERROR(1/(IF(Inputs!$B$39="pvp",15,MAX(0.1,Skills!D13-IF(Skills!E13=TRUE,4.0,0)))*(1-IF(AND(ArtifactsInput!$M$27,Inputs!$B$4="Chapter Hunt"),CHOOSE(ArtifactsInput!$N$27+1,20,24,28,32,36,40),0)/100)),0)</f>
        <v/>
      </c>
      <c r="R3179">
        <f>IF(AND(Inputs!$B$39&lt;&gt;"pvp",Inputs!$B$44&gt;0),IF(MAX(0,Inputs!$B$44-B3205)&lt;=0,0,(INT(MAX(0,Inputs!$B$44-B3205)/(IF(Inputs!$B$39="pvp",15,MAX(0.1,Skills!D13-IF(Skills!E13=TRUE,4.0,0)))*(1-IF(AND(ArtifactsInput!$M$27,Inputs!$B$4="Chapter Hunt"),CHOOSE(ArtifactsInput!$N$27+1,20,24,28,32,36,40),0)/100)))+1)),0)</f>
        <v/>
      </c>
      <c r="S3179" t="n">
        <v>0</v>
      </c>
      <c r="U3179" t="n">
        <v>0</v>
      </c>
    </row>
    <row r="3180">
      <c r="A3180">
        <f>Skills!A14</f>
        <v/>
      </c>
      <c r="B3180">
        <f>Skills!B14</f>
        <v/>
      </c>
      <c r="C3180">
        <f>Inputs!$B$3&gt;=107</f>
        <v/>
      </c>
      <c r="D3180">
        <f>IF(Skills!C14=1,60+Inputs!$B$26+Inputs!$B$30,IF(Skills!C14=2,90+Inputs!$B$27+Inputs!$B$30,IF(Skills!C14=3,120+Inputs!$B$28+Inputs!$B$30,MAX(0,(Inputs!$B$3-100)*3)+Inputs!$B$29+Inputs!$B$30)))</f>
        <v/>
      </c>
      <c r="E3180">
        <f>INDEX(FactorTable!$B$2:$Y$301, MATCH(ROUND(MIN(300,MAX(1,D3180)),0), FactorTable!$A$2:$A$301,0), Skills!L14+1)</f>
        <v/>
      </c>
      <c r="F3180">
        <f>IF(Skills!M14=TRUE,(Skills!K14/10)*(E3180/1000),Skills!K14/10)+Skills!N14</f>
        <v/>
      </c>
      <c r="G3180">
        <f>Calc!G14</f>
        <v/>
      </c>
      <c r="H3180">
        <f>Calc!H14</f>
        <v/>
      </c>
      <c r="I3180">
        <f>IF(Skills!T14&lt;&gt;"",1+(Skills!T14/10)*($Z$3/1000)/100,1)</f>
        <v/>
      </c>
      <c r="J3180" t="inlineStr"/>
      <c r="K3180" t="inlineStr"/>
      <c r="L3180" t="inlineStr"/>
      <c r="M3180" t="inlineStr"/>
      <c r="N3180" t="inlineStr"/>
      <c r="O3180">
        <f>(1-Summary!$B$11)*S3180+Summary!$B$11*U3180</f>
        <v/>
      </c>
      <c r="P3180">
        <f>IF(B3208=0,0,O3180/B3208)</f>
        <v/>
      </c>
      <c r="Q3180">
        <f>IFERROR(1/(IF(Inputs!$B$39="pvp",15,MAX(0.1,Skills!D14-IF(Skills!E14=TRUE,4.0,0)))*(1-IF(AND(ArtifactsInput!$M$27,Inputs!$B$4="Chapter Hunt"),CHOOSE(ArtifactsInput!$N$27+1,20,24,28,32,36,40),0)/100)),0)</f>
        <v/>
      </c>
      <c r="R3180">
        <f>IF(AND(Inputs!$B$39&lt;&gt;"pvp",Inputs!$B$44&gt;0),IF(Inputs!$B$44&lt;=0,0,(INT(Inputs!$B$44/(IF(Inputs!$B$39="pvp",15,MAX(0.1,Skills!D14-IF(Skills!E14=TRUE,4.0,0)))*(1-IF(AND(ArtifactsInput!$M$27,Inputs!$B$4="Chapter Hunt"),CHOOSE(ArtifactsInput!$N$27+1,20,24,28,32,36,40),0)/100)))+1)),0)</f>
        <v/>
      </c>
      <c r="S3180" t="n">
        <v>0</v>
      </c>
      <c r="U3180" t="n">
        <v>0</v>
      </c>
    </row>
    <row r="3181">
      <c r="A3181">
        <f>Skills!A15</f>
        <v/>
      </c>
      <c r="B3181">
        <f>Skills!B15</f>
        <v/>
      </c>
      <c r="C3181">
        <f>Inputs!$B$3&gt;=63</f>
        <v/>
      </c>
      <c r="D3181">
        <f>IF(Skills!C15=1,60+Inputs!$B$26+Inputs!$B$30,IF(Skills!C15=2,90+Inputs!$B$27+Inputs!$B$30,IF(Skills!C15=3,120+Inputs!$B$28+Inputs!$B$30,MAX(0,(Inputs!$B$3-100)*3)+Inputs!$B$29+Inputs!$B$30)))</f>
        <v/>
      </c>
      <c r="E3181">
        <f>INDEX(FactorTable!$B$2:$Y$301, MATCH(ROUND(MIN(300,MAX(1,D3181)),0), FactorTable!$A$2:$A$301,0), Skills!L15+1)</f>
        <v/>
      </c>
      <c r="F3181">
        <f>IF(Skills!M15=TRUE,(Skills!K15/10)*(E3181/1000),Skills!K15/10)+Skills!N15</f>
        <v/>
      </c>
      <c r="G3181">
        <f>Calc!G15</f>
        <v/>
      </c>
      <c r="H3181">
        <f>Calc!H15</f>
        <v/>
      </c>
      <c r="I3181">
        <f>IF(Skills!T15&lt;&gt;"",1+(Skills!T15/10)*($Z$3/1000)/100,1)</f>
        <v/>
      </c>
      <c r="J3181">
        <f>((Inputs!$B$6*(1+Inputs!$B$7/100))+(((Inputs!$B$13*(1+Inputs!$B$14/100))-(Inputs!$B$13*(1+Inputs!$B$14/100)))+0.25*(Inputs!$B$15-Inputs!$B$15))*(1+Inputs!$B$7/100))*(F3181/100)</f>
        <v/>
      </c>
      <c r="K3181">
        <f>J3181*(1+(((Inputs!$B$13+IF(Inputs!$B$3&gt;=35,(10*INDEX(FactorTable!$B$2:$Y$301,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15="TRIUMPH_FEATHER",IF(C3182=TRUE,F3182,0),0)/100)*(1+IF(C3193=TRUE,F3193,0)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3181)</f>
        <v/>
      </c>
      <c r="L3181">
        <f>K3181*(MIN(Inputs!$B$23+(F3188-Calc!F22),(Inputs!$B$24+IF(ArtifactsInput!$M$15,CHOOSE(ArtifactsInput!$N$15+1,25,30,35,40,45,50)/100*(Inputs!$B$12-Inputs!$B$12),0)))/100+(Inputs!$B$24+IF(ArtifactsInput!$M$15,CHOOSE(ArtifactsInput!$N$15+1,25,30,35,40,45,50)/100*(Inputs!$B$12-Inputs!$B$12),0))/100)/2</f>
        <v/>
      </c>
      <c r="M3181">
        <f>L3181*(1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81">
        <f>L3181*(1-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(1-Summary!$B$11)*S3181+Summary!$B$11*U3181</f>
        <v/>
      </c>
      <c r="P3181">
        <f>IF(B3208=0,0,O3181/B3208)</f>
        <v/>
      </c>
      <c r="Q3181">
        <f>IFERROR(1/(IF(Inputs!$B$39="pvp",15,MAX(0.1,Skills!D15-IF(Skills!E15=TRUE,4.0,0)))*(1-IF(AND(ArtifactsInput!$M$27,Inputs!$B$4="Chapter Hunt"),CHOOSE(ArtifactsInput!$N$27+1,20,24,28,32,36,40),0)/100)),0)</f>
        <v/>
      </c>
      <c r="R3181" t="n">
        <v>0</v>
      </c>
      <c r="S3181">
        <f>IF(C3181,(Skills!F15*N3181*((IF(Inputs!$B$3&gt;=78,25,15)/100*B3201*10)/(1+IF(Inputs!$B$3&gt;=78,25,15)/100*B3201*10))*(Skills!I15/100*B3201)/(1+Skills!G15*Skills!I15/100*B3201))*IF(Inputs!$B$39="pvp",1,1+(Inputs!$B$21+Skills!O15+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3181*(1-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81">
        <f>IF(C3181,(Skills!F15*N3181*((IF(Inputs!$B$3&gt;=78,25,15)/100*B3201*10)/(1+IF(Inputs!$B$3&gt;=78,25,15)/100*B3201*10))*(Skills!I15/100*B3201)/(1+Skills!G15*Skills!I15/100*B3201))*IF(Inputs!$B$39="pvp",1,(1+(Inputs!$B$22+Skills!P15+B3197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Skills!A16</f>
        <v/>
      </c>
      <c r="B3182">
        <f>Skills!B16</f>
        <v/>
      </c>
      <c r="C3182">
        <f>Inputs!$B$3&gt;=100</f>
        <v/>
      </c>
      <c r="D3182">
        <f>IF(Skills!C16=1,60+Inputs!$B$26+Inputs!$B$30,IF(Skills!C16=2,90+Inputs!$B$27+Inputs!$B$30,IF(Skills!C16=3,120+Inputs!$B$28+Inputs!$B$30,MAX(0,(Inputs!$B$3-100)*3)+Inputs!$B$29+Inputs!$B$30)))</f>
        <v/>
      </c>
      <c r="E3182">
        <f>INDEX(FactorTable!$B$2:$Y$301, MATCH(ROUND(MIN(300,MAX(1,D3182)),0), FactorTable!$A$2:$A$301,0), Skills!L16+1)</f>
        <v/>
      </c>
      <c r="F3182">
        <f>IF(Skills!M16=TRUE,(Skills!K16/10)*(E3182/1000),Skills!K16/10)+Skills!N16</f>
        <v/>
      </c>
      <c r="G3182">
        <f>Calc!G16</f>
        <v/>
      </c>
      <c r="H3182">
        <f>Calc!H16</f>
        <v/>
      </c>
      <c r="I3182">
        <f>IF(Skills!T16&lt;&gt;"",1+(Skills!T16/10)*($Z$3/1000)/100,1)</f>
        <v/>
      </c>
      <c r="J3182" t="inlineStr"/>
      <c r="K3182" t="inlineStr"/>
      <c r="L3182" t="inlineStr"/>
      <c r="M3182" t="inlineStr"/>
      <c r="N3182" t="inlineStr"/>
      <c r="O3182">
        <f>(1-Summary!$B$11)*S3182+Summary!$B$11*U3182</f>
        <v/>
      </c>
      <c r="P3182">
        <f>IF(B3208=0,0,O3182/B3208)</f>
        <v/>
      </c>
      <c r="Q3182">
        <f>IFERROR(1/(IF(Inputs!$B$39="pvp",15,MAX(0.1,Skills!D16-IF(Skills!E16=TRUE,4.0,0)))*(1-IF(AND(ArtifactsInput!$M$27,Inputs!$B$4="Chapter Hunt"),CHOOSE(ArtifactsInput!$N$27+1,20,24,28,32,36,40),0)/100)),0)</f>
        <v/>
      </c>
      <c r="R3182" t="n">
        <v>0</v>
      </c>
      <c r="S3182" t="n">
        <v>0</v>
      </c>
      <c r="U3182" t="n">
        <v>0</v>
      </c>
    </row>
    <row r="3183">
      <c r="A3183">
        <f>Skills!A17</f>
        <v/>
      </c>
      <c r="B3183">
        <f>Skills!B17</f>
        <v/>
      </c>
      <c r="C3183">
        <f>Inputs!$B$3&gt;=49</f>
        <v/>
      </c>
      <c r="D3183">
        <f>IF(Skills!C17=1,60+Inputs!$B$26+Inputs!$B$30,IF(Skills!C17=2,90+Inputs!$B$27+Inputs!$B$30,IF(Skills!C17=3,120+Inputs!$B$28+Inputs!$B$30,MAX(0,(Inputs!$B$3-100)*3)+Inputs!$B$29+Inputs!$B$30)))</f>
        <v/>
      </c>
      <c r="E3183">
        <f>INDEX(FactorTable!$B$2:$Y$301, MATCH(ROUND(MIN(300,MAX(1,D3183)),0), FactorTable!$A$2:$A$301,0), Skills!L17+1)</f>
        <v/>
      </c>
      <c r="F3183">
        <f>IF(Skills!M17=TRUE,(Skills!K17/10)*(E3183/1000),Skills!K17/10)+Skills!N17</f>
        <v/>
      </c>
      <c r="G3183">
        <f>Calc!G17</f>
        <v/>
      </c>
      <c r="H3183">
        <f>Calc!H17</f>
        <v/>
      </c>
      <c r="I3183">
        <f>IF(Skills!T17&lt;&gt;"",1+(Skills!T17/10)*($Z$3/1000)/100,1)</f>
        <v/>
      </c>
      <c r="J3183" t="inlineStr"/>
      <c r="K3183" t="inlineStr"/>
      <c r="L3183" t="inlineStr"/>
      <c r="M3183" t="inlineStr"/>
      <c r="N3183" t="inlineStr"/>
      <c r="O3183">
        <f>(1-Summary!$B$11)*S3183+Summary!$B$11*U3183</f>
        <v/>
      </c>
      <c r="P3183">
        <f>IF(B3208=0,0,O3183/B3208)</f>
        <v/>
      </c>
      <c r="Q3183">
        <f>IFERROR(1/(IF(Inputs!$B$39="pvp",15,MAX(0.1,Skills!D17-IF(Skills!E17=TRUE,4.0,0)))*(1-IF(AND(ArtifactsInput!$M$27,Inputs!$B$4="Chapter Hunt"),CHOOSE(ArtifactsInput!$N$27+1,20,24,28,32,36,40),0)/100)),0)</f>
        <v/>
      </c>
      <c r="R3183" t="n">
        <v>0</v>
      </c>
      <c r="S3183" t="n">
        <v>0</v>
      </c>
      <c r="U3183" t="n">
        <v>0</v>
      </c>
    </row>
    <row r="3184">
      <c r="A3184">
        <f>Skills!A18</f>
        <v/>
      </c>
      <c r="B3184">
        <f>Skills!B18</f>
        <v/>
      </c>
      <c r="C3184">
        <f>Inputs!$B$3&gt;=75</f>
        <v/>
      </c>
      <c r="D3184">
        <f>IF(Skills!C18=1,60+Inputs!$B$26+Inputs!$B$30,IF(Skills!C18=2,90+Inputs!$B$27+Inputs!$B$30,IF(Skills!C18=3,120+Inputs!$B$28+Inputs!$B$30,MAX(0,(Inputs!$B$3-100)*3)+Inputs!$B$29+Inputs!$B$30)))</f>
        <v/>
      </c>
      <c r="E3184">
        <f>INDEX(FactorTable!$B$2:$Y$301, MATCH(ROUND(MIN(300,MAX(1,D3184)),0), FactorTable!$A$2:$A$301,0), Skills!L18+1)</f>
        <v/>
      </c>
      <c r="F3184">
        <f>IF(Skills!M18=TRUE,(Skills!K18/10)*(E3184/1000),Skills!K18/10)+Skills!N18</f>
        <v/>
      </c>
      <c r="G3184">
        <f>Calc!G18</f>
        <v/>
      </c>
      <c r="H3184">
        <f>Calc!H18</f>
        <v/>
      </c>
      <c r="I3184">
        <f>IF(Skills!T18&lt;&gt;"",1+(Skills!T18/10)*($Z$3/1000)/100,1)</f>
        <v/>
      </c>
      <c r="J3184" t="inlineStr"/>
      <c r="K3184" t="inlineStr"/>
      <c r="L3184" t="inlineStr"/>
      <c r="M3184" t="inlineStr"/>
      <c r="N3184" t="inlineStr"/>
      <c r="O3184">
        <f>(1-Summary!$B$11)*S3184+Summary!$B$11*U3184</f>
        <v/>
      </c>
      <c r="P3184">
        <f>IF(B3208=0,0,O3184/B3208)</f>
        <v/>
      </c>
      <c r="Q3184">
        <f>IFERROR(1/(IF(Inputs!$B$39="pvp",15,MAX(0.1,Skills!D18-IF(Skills!E18=TRUE,4.0,0)))*(1-IF(AND(ArtifactsInput!$M$27,Inputs!$B$4="Chapter Hunt"),CHOOSE(ArtifactsInput!$N$27+1,20,24,28,32,36,40),0)/100)),0)</f>
        <v/>
      </c>
      <c r="R3184" t="n">
        <v>0</v>
      </c>
      <c r="S3184" t="n">
        <v>0</v>
      </c>
      <c r="U3184" t="n">
        <v>0</v>
      </c>
    </row>
    <row r="3185">
      <c r="A3185">
        <f>Skills!A19</f>
        <v/>
      </c>
      <c r="B3185">
        <f>Skills!B19</f>
        <v/>
      </c>
      <c r="C3185">
        <f>Inputs!$B$3&gt;=110</f>
        <v/>
      </c>
      <c r="D3185">
        <f>IF(Skills!C19=1,60+Inputs!$B$26+Inputs!$B$30,IF(Skills!C19=2,90+Inputs!$B$27+Inputs!$B$30,IF(Skills!C19=3,120+Inputs!$B$28+Inputs!$B$30,MAX(0,(Inputs!$B$3-100)*3)+Inputs!$B$29+Inputs!$B$30)))</f>
        <v/>
      </c>
      <c r="E3185">
        <f>INDEX(FactorTable!$B$2:$Y$301, MATCH(ROUND(MIN(300,MAX(1,D3185)),0), FactorTable!$A$2:$A$301,0), Skills!L19+1)</f>
        <v/>
      </c>
      <c r="F3185">
        <f>(Skills!K19/10)*(E3185/1000)*64/45+Skills!N19</f>
        <v/>
      </c>
      <c r="G3185">
        <f>Calc!G19</f>
        <v/>
      </c>
      <c r="H3185">
        <f>Calc!H19</f>
        <v/>
      </c>
      <c r="I3185">
        <f>IF(Skills!T19&lt;&gt;"",1+(Skills!T19/10)*($Z$3/1000)/100,1)</f>
        <v/>
      </c>
      <c r="J3185" t="inlineStr"/>
      <c r="K3185" t="inlineStr"/>
      <c r="L3185" t="inlineStr"/>
      <c r="M3185" t="inlineStr"/>
      <c r="N3185" t="inlineStr"/>
      <c r="O3185">
        <f>(1-Summary!$B$11)*S3185+Summary!$B$11*U3185</f>
        <v/>
      </c>
      <c r="P3185">
        <f>IF(B3208=0,0,O3185/B3208)</f>
        <v/>
      </c>
      <c r="Q3185">
        <f>IFERROR(1/(IF(Inputs!$B$39="pvp",15,MAX(0.1,Skills!D19-IF(Skills!E19=TRUE,4.0,0)))*(1-IF(AND(ArtifactsInput!$M$27,Inputs!$B$4="Chapter Hunt"),CHOOSE(ArtifactsInput!$N$27+1,20,24,28,32,36,40),0)/100)),0)</f>
        <v/>
      </c>
      <c r="R3185">
        <f>IF(AND(Inputs!$B$39&lt;&gt;"pvp",Inputs!$B$44&gt;0),IF(Inputs!$B$44&lt;=0,0,(INT(Inputs!$B$44/(IF(Inputs!$B$39="pvp",15,MAX(0.1,Skills!D19-IF(Skills!E19=TRUE,4.0,0)))*(1-IF(AND(ArtifactsInput!$M$27,Inputs!$B$4="Chapter Hunt"),CHOOSE(ArtifactsInput!$N$27+1,20,24,28,32,36,40),0)/100)))+1)),0)</f>
        <v/>
      </c>
      <c r="S3185" t="n">
        <v>0</v>
      </c>
      <c r="U3185" t="n">
        <v>0</v>
      </c>
    </row>
    <row r="3186">
      <c r="A3186">
        <f>Skills!A20</f>
        <v/>
      </c>
      <c r="B3186">
        <f>Skills!B20</f>
        <v/>
      </c>
      <c r="C3186">
        <f>Inputs!$B$3&gt;=125</f>
        <v/>
      </c>
      <c r="D3186">
        <f>IF(Skills!C20=1,60+Inputs!$B$26+Inputs!$B$30,IF(Skills!C20=2,90+Inputs!$B$27+Inputs!$B$30,IF(Skills!C20=3,120+Inputs!$B$28+Inputs!$B$30,MAX(0,(Inputs!$B$3-100)*3)+Inputs!$B$29+Inputs!$B$30)))</f>
        <v/>
      </c>
      <c r="E3186">
        <f>INDEX(FactorTable!$B$2:$Y$301, MATCH(ROUND(MIN(300,MAX(1,D3186)),0), FactorTable!$A$2:$A$301,0), Skills!L20+1)</f>
        <v/>
      </c>
      <c r="F3186">
        <f>IF(Skills!M20=TRUE,(Skills!K20/10)*(E3186/1000),Skills!K20/10)+Skills!N20</f>
        <v/>
      </c>
      <c r="G3186">
        <f>Calc!G20</f>
        <v/>
      </c>
      <c r="H3186">
        <f>Calc!H20</f>
        <v/>
      </c>
      <c r="I3186">
        <f>IF(Skills!T20&lt;&gt;"",1+(Skills!T20/10)*($Z$3/1000)/100,1)</f>
        <v/>
      </c>
      <c r="J3186" t="inlineStr"/>
      <c r="K3186" t="inlineStr"/>
      <c r="L3186" t="inlineStr"/>
      <c r="M3186" t="inlineStr"/>
      <c r="N3186" t="inlineStr"/>
      <c r="O3186">
        <f>(1-Summary!$B$11)*S3186+Summary!$B$11*U3186</f>
        <v/>
      </c>
      <c r="P3186">
        <f>IF(B3208=0,0,O3186/B3208)</f>
        <v/>
      </c>
      <c r="Q3186">
        <f>IFERROR(1/(IF(Inputs!$B$39="pvp",15,MAX(0.1,Skills!D20-IF(Skills!E20=TRUE,4.0,0)))*(1-IF(AND(ArtifactsInput!$M$27,Inputs!$B$4="Chapter Hunt"),CHOOSE(ArtifactsInput!$N$27+1,20,24,28,32,36,40),0)/100)),0)</f>
        <v/>
      </c>
      <c r="R3186" t="n">
        <v>0</v>
      </c>
      <c r="S3186" t="n">
        <v>0</v>
      </c>
      <c r="U3186" t="n">
        <v>0</v>
      </c>
    </row>
    <row r="3187">
      <c r="A3187">
        <f>Skills!A21</f>
        <v/>
      </c>
      <c r="B3187">
        <f>Skills!B21</f>
        <v/>
      </c>
      <c r="C3187">
        <f>Inputs!$B$3&gt;=33</f>
        <v/>
      </c>
      <c r="D3187">
        <f>IF(Skills!C21=1,60+Inputs!$B$26+Inputs!$B$30,IF(Skills!C21=2,90+Inputs!$B$27+Inputs!$B$30,IF(Skills!C21=3,120+Inputs!$B$28+Inputs!$B$30,MAX(0,(Inputs!$B$3-100)*3)+Inputs!$B$29+Inputs!$B$30)))</f>
        <v/>
      </c>
      <c r="E3187">
        <f>INDEX(FactorTable!$B$2:$Y$301, MATCH(ROUND(MIN(300,MAX(1,D3187)),0), FactorTable!$A$2:$A$301,0), Skills!L21+1)</f>
        <v/>
      </c>
      <c r="F3187">
        <f>IF(Skills!M21=TRUE,(Skills!K21/10)*(E3187/1000),Skills!K21/10)+Skills!N21</f>
        <v/>
      </c>
      <c r="G3187">
        <f>Calc!G21</f>
        <v/>
      </c>
      <c r="H3187">
        <f>Calc!H21</f>
        <v/>
      </c>
      <c r="I3187">
        <f>IF(Skills!T21&lt;&gt;"",1+(Skills!T21/10)*($Z$3/1000)/100,1)</f>
        <v/>
      </c>
      <c r="J3187" t="inlineStr"/>
      <c r="K3187" t="inlineStr"/>
      <c r="L3187" t="inlineStr"/>
      <c r="M3187" t="inlineStr"/>
      <c r="N3187" t="inlineStr"/>
      <c r="O3187">
        <f>(1-Summary!$B$11)*S3187+Summary!$B$11*U3187</f>
        <v/>
      </c>
      <c r="P3187">
        <f>IF(B3208=0,0,O3187/B3208)</f>
        <v/>
      </c>
      <c r="Q3187">
        <f>IFERROR(1/(IF(Inputs!$B$39="pvp",15,MAX(0.1,Skills!D21-IF(Skills!E21=TRUE,4.0,0)))*(1-IF(AND(ArtifactsInput!$M$27,Inputs!$B$4="Chapter Hunt"),CHOOSE(ArtifactsInput!$N$27+1,20,24,28,32,36,40),0)/100)),0)</f>
        <v/>
      </c>
      <c r="R3187" t="n">
        <v>0</v>
      </c>
      <c r="S3187" t="n">
        <v>0</v>
      </c>
      <c r="U3187" t="n">
        <v>0</v>
      </c>
    </row>
    <row r="3188">
      <c r="A3188">
        <f>Skills!A22</f>
        <v/>
      </c>
      <c r="B3188">
        <f>Skills!B22</f>
        <v/>
      </c>
      <c r="C3188">
        <f>Inputs!$B$3&gt;=43</f>
        <v/>
      </c>
      <c r="D3188">
        <f>IF(Skills!C22=1,60+Inputs!$B$26+Inputs!$B$30,IF(Skills!C22=2,90+Inputs!$B$27+Inputs!$B$30,IF(Skills!C22=3,120+Inputs!$B$28+Inputs!$B$30,MAX(0,(Inputs!$B$3-100)*3)+Inputs!$B$29+Inputs!$B$30)))</f>
        <v/>
      </c>
      <c r="E3188">
        <f>INDEX(FactorTable!$B$2:$Y$301, MATCH(ROUND(MIN(300,MAX(1,D3188)),0), FactorTable!$A$2:$A$301,0), Skills!L22+1)</f>
        <v/>
      </c>
      <c r="F3188">
        <f>IF(Skills!M22=TRUE,(Skills!K22/10)*(E3188/1000),Skills!K22/10)+Skills!N22</f>
        <v/>
      </c>
      <c r="G3188">
        <f>Calc!G22</f>
        <v/>
      </c>
      <c r="H3188">
        <f>Calc!H22</f>
        <v/>
      </c>
      <c r="I3188">
        <f>IF(Skills!T22&lt;&gt;"",1+(Skills!T22/10)*($Z$3/1000)/100,1)</f>
        <v/>
      </c>
      <c r="J3188" t="inlineStr"/>
      <c r="K3188" t="inlineStr"/>
      <c r="L3188" t="inlineStr"/>
      <c r="M3188" t="inlineStr"/>
      <c r="N3188" t="inlineStr"/>
      <c r="O3188">
        <f>(1-Summary!$B$11)*S3188+Summary!$B$11*U3188</f>
        <v/>
      </c>
      <c r="P3188">
        <f>IF(B3208=0,0,O3188/B3208)</f>
        <v/>
      </c>
      <c r="Q3188">
        <f>IFERROR(1/(IF(Inputs!$B$39="pvp",15,MAX(0.1,Skills!D22-IF(Skills!E22=TRUE,4.0,0)))*(1-IF(AND(ArtifactsInput!$M$27,Inputs!$B$4="Chapter Hunt"),CHOOSE(ArtifactsInput!$N$27+1,20,24,28,32,36,40),0)/100)),0)</f>
        <v/>
      </c>
      <c r="R3188" t="n">
        <v>0</v>
      </c>
      <c r="S3188" t="n">
        <v>0</v>
      </c>
      <c r="U3188" t="n">
        <v>0</v>
      </c>
    </row>
    <row r="3189">
      <c r="A3189">
        <f>Skills!A23</f>
        <v/>
      </c>
      <c r="B3189">
        <f>Skills!B23</f>
        <v/>
      </c>
      <c r="C3189">
        <f>Inputs!$B$3&gt;=50</f>
        <v/>
      </c>
      <c r="D3189">
        <f>IF(Skills!C23=1,60+Inputs!$B$26+Inputs!$B$30,IF(Skills!C23=2,90+Inputs!$B$27+Inputs!$B$30,IF(Skills!C23=3,120+Inputs!$B$28+Inputs!$B$30,MAX(0,(Inputs!$B$3-100)*3)+Inputs!$B$29+Inputs!$B$30)))</f>
        <v/>
      </c>
      <c r="E3189">
        <f>INDEX(FactorTable!$B$2:$Y$301, MATCH(ROUND(MIN(300,MAX(1,D3189)),0), FactorTable!$A$2:$A$301,0), Skills!L23+1)</f>
        <v/>
      </c>
      <c r="F3189">
        <f>IF(Skills!M23=TRUE,(Skills!K23/10)*(E3189/1000),Skills!K23/10)+Skills!N23</f>
        <v/>
      </c>
      <c r="G3189">
        <f>Calc!G23</f>
        <v/>
      </c>
      <c r="H3189">
        <f>Calc!H23</f>
        <v/>
      </c>
      <c r="I3189">
        <f>IF(Skills!T23&lt;&gt;"",1+(Skills!T23/10)*($Z$3/1000)/100,1)</f>
        <v/>
      </c>
      <c r="J3189" t="inlineStr"/>
      <c r="K3189" t="inlineStr"/>
      <c r="L3189" t="inlineStr"/>
      <c r="M3189" t="inlineStr"/>
      <c r="N3189" t="inlineStr"/>
      <c r="O3189">
        <f>(1-Summary!$B$11)*S3189+Summary!$B$11*U3189</f>
        <v/>
      </c>
      <c r="P3189">
        <f>IF(B3208=0,0,O3189/B3208)</f>
        <v/>
      </c>
      <c r="Q3189">
        <f>IFERROR(1/(IF(Inputs!$B$39="pvp",15,MAX(0.1,Skills!D23-IF(Skills!E23=TRUE,4.0,0)))*(1-IF(AND(ArtifactsInput!$M$27,Inputs!$B$4="Chapter Hunt"),CHOOSE(ArtifactsInput!$N$27+1,20,24,28,32,36,40),0)/100)),0)</f>
        <v/>
      </c>
      <c r="R3189" t="n">
        <v>0</v>
      </c>
      <c r="S3189" t="n">
        <v>0</v>
      </c>
      <c r="U3189" t="n">
        <v>0</v>
      </c>
    </row>
    <row r="3190">
      <c r="A3190">
        <f>Skills!A24</f>
        <v/>
      </c>
      <c r="B3190">
        <f>Skills!B24</f>
        <v/>
      </c>
      <c r="C3190">
        <f>Inputs!$B$3&gt;=74</f>
        <v/>
      </c>
      <c r="D3190">
        <f>IF(Skills!C24=1,60+Inputs!$B$26+Inputs!$B$30,IF(Skills!C24=2,90+Inputs!$B$27+Inputs!$B$30,IF(Skills!C24=3,120+Inputs!$B$28+Inputs!$B$30,MAX(0,(Inputs!$B$3-100)*3)+Inputs!$B$29+Inputs!$B$30)))</f>
        <v/>
      </c>
      <c r="E3190">
        <f>INDEX(FactorTable!$B$2:$Y$301, MATCH(ROUND(MIN(300,MAX(1,D3190)),0), FactorTable!$A$2:$A$301,0), Skills!L24+1)</f>
        <v/>
      </c>
      <c r="F3190">
        <f>IF(Skills!M24=TRUE,(Skills!K24/10)*(E3190/1000),Skills!K24/10)+Skills!N24</f>
        <v/>
      </c>
      <c r="G3190">
        <f>Calc!G24</f>
        <v/>
      </c>
      <c r="H3190">
        <f>Calc!H24</f>
        <v/>
      </c>
      <c r="I3190">
        <f>IF(Skills!T24&lt;&gt;"",1+(Skills!T24/10)*($Z$3/1000)/100,1)</f>
        <v/>
      </c>
      <c r="J3190" t="inlineStr"/>
      <c r="K3190" t="inlineStr"/>
      <c r="L3190" t="inlineStr"/>
      <c r="M3190" t="inlineStr"/>
      <c r="N3190" t="inlineStr"/>
      <c r="O3190">
        <f>(1-Summary!$B$11)*S3190+Summary!$B$11*U3190</f>
        <v/>
      </c>
      <c r="P3190">
        <f>IF(B3208=0,0,O3190/B3208)</f>
        <v/>
      </c>
      <c r="Q3190">
        <f>IFERROR(1/(IF(Inputs!$B$39="pvp",15,MAX(0.1,Skills!D24-IF(Skills!E24=TRUE,4.0,0)))*(1-IF(AND(ArtifactsInput!$M$27,Inputs!$B$4="Chapter Hunt"),CHOOSE(ArtifactsInput!$N$27+1,20,24,28,32,36,40),0)/100)),0)</f>
        <v/>
      </c>
      <c r="R3190" t="n">
        <v>0</v>
      </c>
      <c r="S3190" t="n">
        <v>0</v>
      </c>
      <c r="U3190" t="n">
        <v>0</v>
      </c>
    </row>
    <row r="3191">
      <c r="A3191">
        <f>Skills!A25</f>
        <v/>
      </c>
      <c r="B3191">
        <f>Skills!B25</f>
        <v/>
      </c>
      <c r="C3191">
        <f>Inputs!$B$3&gt;=74</f>
        <v/>
      </c>
      <c r="D3191">
        <f>IF(Skills!C25=1,60+Inputs!$B$26+Inputs!$B$30,IF(Skills!C25=2,90+Inputs!$B$27+Inputs!$B$30,IF(Skills!C25=3,120+Inputs!$B$28+Inputs!$B$30,MAX(0,(Inputs!$B$3-100)*3)+Inputs!$B$29+Inputs!$B$30)))</f>
        <v/>
      </c>
      <c r="E3191">
        <f>INDEX(FactorTable!$B$2:$Y$301, MATCH(ROUND(MIN(300,MAX(1,D3191)),0), FactorTable!$A$2:$A$301,0), Skills!L25+1)</f>
        <v/>
      </c>
      <c r="F3191">
        <f>IF(Skills!M25=TRUE,(Skills!K25/10)*(E3191/1000),Skills!K25/10)+Skills!N25</f>
        <v/>
      </c>
      <c r="G3191">
        <f>Calc!G25</f>
        <v/>
      </c>
      <c r="H3191">
        <f>Calc!H25</f>
        <v/>
      </c>
      <c r="I3191">
        <f>IF(Skills!T25&lt;&gt;"",1+(Skills!T25/10)*($Z$3/1000)/100,1)</f>
        <v/>
      </c>
      <c r="J3191" t="inlineStr"/>
      <c r="K3191" t="inlineStr"/>
      <c r="L3191" t="inlineStr"/>
      <c r="M3191" t="inlineStr"/>
      <c r="N3191" t="inlineStr"/>
      <c r="O3191">
        <f>(1-Summary!$B$11)*S3191+Summary!$B$11*U3191</f>
        <v/>
      </c>
      <c r="P3191">
        <f>IF(B3208=0,0,O3191/B3208)</f>
        <v/>
      </c>
      <c r="Q3191">
        <f>IFERROR(1/(IF(Inputs!$B$39="pvp",15,MAX(0.1,Skills!D25-IF(Skills!E25=TRUE,4.0,0)))*(1-IF(AND(ArtifactsInput!$M$27,Inputs!$B$4="Chapter Hunt"),CHOOSE(ArtifactsInput!$N$27+1,20,24,28,32,36,40),0)/100)),0)</f>
        <v/>
      </c>
      <c r="R3191" t="n">
        <v>0</v>
      </c>
      <c r="S3191" t="n">
        <v>0</v>
      </c>
      <c r="U3191" t="n">
        <v>0</v>
      </c>
    </row>
    <row r="3192">
      <c r="A3192">
        <f>Skills!A26</f>
        <v/>
      </c>
      <c r="B3192">
        <f>Skills!B26</f>
        <v/>
      </c>
      <c r="C3192">
        <f>Inputs!$B$3&gt;=117</f>
        <v/>
      </c>
      <c r="D3192">
        <f>IF(Skills!C26=1,60+Inputs!$B$26+Inputs!$B$30,IF(Skills!C26=2,90+Inputs!$B$27+Inputs!$B$30,IF(Skills!C26=3,120+Inputs!$B$28+Inputs!$B$30,MAX(0,(Inputs!$B$3-100)*3)+Inputs!$B$29+Inputs!$B$30)))</f>
        <v/>
      </c>
      <c r="E3192">
        <f>INDEX(FactorTable!$B$2:$Y$301, MATCH(ROUND(MIN(300,MAX(1,D3192)),0), FactorTable!$A$2:$A$301,0), Skills!L26+1)</f>
        <v/>
      </c>
      <c r="F3192">
        <f>IF(Skills!M26=TRUE,(Skills!K26/10)*(E3192/1000),Skills!K26/10)+Skills!N26</f>
        <v/>
      </c>
      <c r="G3192">
        <f>Calc!G26</f>
        <v/>
      </c>
      <c r="H3192">
        <f>Calc!H26</f>
        <v/>
      </c>
      <c r="I3192">
        <f>IF(Skills!T26&lt;&gt;"",1+(Skills!T26/10)*($Z$3/1000)/100,1)</f>
        <v/>
      </c>
      <c r="J3192" t="inlineStr"/>
      <c r="K3192" t="inlineStr"/>
      <c r="L3192" t="inlineStr"/>
      <c r="M3192" t="inlineStr"/>
      <c r="N3192" t="inlineStr"/>
      <c r="O3192">
        <f>(1-Summary!$B$11)*S3192+Summary!$B$11*U3192</f>
        <v/>
      </c>
      <c r="P3192">
        <f>IF(B3208=0,0,O3192/B3208)</f>
        <v/>
      </c>
      <c r="Q3192">
        <f>IFERROR(1/(IF(Inputs!$B$39="pvp",15,MAX(0.1,Skills!D26-IF(Skills!E26=TRUE,4.0,0)))*(1-IF(AND(ArtifactsInput!$M$27,Inputs!$B$4="Chapter Hunt"),CHOOSE(ArtifactsInput!$N$27+1,20,24,28,32,36,40),0)/100)),0)</f>
        <v/>
      </c>
      <c r="R3192" t="n">
        <v>0</v>
      </c>
      <c r="S3192" t="n">
        <v>0</v>
      </c>
      <c r="U3192" t="n">
        <v>0</v>
      </c>
    </row>
    <row r="3193">
      <c r="A3193">
        <f>Skills!A27</f>
        <v/>
      </c>
      <c r="B3193">
        <f>Skills!B27</f>
        <v/>
      </c>
      <c r="C3193">
        <f>Inputs!$B$3&gt;=120</f>
        <v/>
      </c>
      <c r="D3193">
        <f>IF(Skills!C27=1,60+Inputs!$B$26+Inputs!$B$30,IF(Skills!C27=2,90+Inputs!$B$27+Inputs!$B$30,IF(Skills!C27=3,120+Inputs!$B$28+Inputs!$B$30,MAX(0,(Inputs!$B$3-100)*3)+Inputs!$B$29+Inputs!$B$30)))</f>
        <v/>
      </c>
      <c r="E3193">
        <f>INDEX(FactorTable!$B$2:$Y$301, MATCH(ROUND(MIN(300,MAX(1,D3193)),0), FactorTable!$A$2:$A$301,0), Skills!L27+1)</f>
        <v/>
      </c>
      <c r="F3193">
        <f>IF(Skills!M27=TRUE,(Skills!K27/10)*(E3193/1000),Skills!K27/10)+Skills!N27</f>
        <v/>
      </c>
      <c r="G3193">
        <f>Calc!G27</f>
        <v/>
      </c>
      <c r="H3193">
        <f>Calc!H27</f>
        <v/>
      </c>
      <c r="I3193">
        <f>IF(Skills!T27&lt;&gt;"",1+(Skills!T27/10)*($Z$3/1000)/100,1)</f>
        <v/>
      </c>
      <c r="J3193" t="inlineStr"/>
      <c r="K3193" t="inlineStr"/>
      <c r="L3193" t="inlineStr"/>
      <c r="M3193" t="inlineStr"/>
      <c r="N3193" t="inlineStr"/>
      <c r="O3193">
        <f>(1-Summary!$B$11)*S3193+Summary!$B$11*U3193</f>
        <v/>
      </c>
      <c r="P3193">
        <f>IF(B3208=0,0,O3193/B3208)</f>
        <v/>
      </c>
      <c r="Q3193">
        <f>IFERROR(1/(IF(Inputs!$B$39="pvp",15,MAX(0.1,Skills!D27-IF(Skills!E27=TRUE,4.0,0)))*(1-IF(AND(ArtifactsInput!$M$27,Inputs!$B$4="Chapter Hunt"),CHOOSE(ArtifactsInput!$N$27+1,20,24,28,32,36,40),0)/100)),0)</f>
        <v/>
      </c>
      <c r="R3193" t="n">
        <v>0</v>
      </c>
      <c r="S3193" t="n">
        <v>0</v>
      </c>
      <c r="U3193" t="n">
        <v>0</v>
      </c>
    </row>
    <row r="3195">
      <c r="A3195" t="inlineStr">
        <is>
          <t>Average Buff Multiplier</t>
        </is>
      </c>
      <c r="B3195">
        <f>(1+(IF(C3169=TRUE,F3169*IF(AND(Inputs!$B$39&lt;&gt;"pvp",Inputs!$B$44&gt;0),(((R3169-1)*(Skills!S3*(1+((Inputs!$B$35+(ArtifactsInput!$M$7-ArtifactsInput!$M$7)*CHOOSE(ArtifactsInput!$N$7+1,6,7.2,8.4,9.6,10.8,12))+IF(Inputs!$B$3&gt;=117,F3192,0))/100))+MIN((Skills!S3*(1+((Inputs!$B$35+(ArtifactsInput!$M$7-ArtifactsInput!$M$7)*CHOOSE(ArtifactsInput!$N$7+1,6,7.2,8.4,9.6,10.8,12))+IF(Inputs!$B$3&gt;=117,F3192,0))/100)),MAX(0,Inputs!$B$44-((R3169-1)*Skills!D3))))/Inputs!$B$44),IF(Inputs!$B$39="pvp",MIN((Skills!S3*(1+((Inputs!$B$35+(ArtifactsInput!$M$7-ArtifactsInput!$M$7)*CHOOSE(ArtifactsInput!$N$7+1,6,7.2,8.4,9.6,10.8,12))+IF(Inputs!$B$3&gt;=117,F3192,0))/100)),15)/15,(Skills!S3*(1+((Inputs!$B$35+(ArtifactsInput!$M$7-ArtifactsInput!$M$7)*CHOOSE(ArtifactsInput!$N$7+1,6,7.2,8.4,9.6,10.8,12))+IF(Inputs!$B$3&gt;=117,F3192,0))/100))/Skills!D3)),0)+IF(C3170=TRUE,F3170*IF(AND(Inputs!$B$39&lt;&gt;"pvp",Inputs!$B$44&gt;0),(((R3170-1)*(Skills!S4*(1+((Inputs!$B$35+(ArtifactsInput!$M$7-ArtifactsInput!$M$7)*CHOOSE(ArtifactsInput!$N$7+1,6,7.2,8.4,9.6,10.8,12))+IF(Inputs!$B$3&gt;=117,F3192,0))/100))+MIN((Skills!S4*(1+((Inputs!$B$35+(ArtifactsInput!$M$7-ArtifactsInput!$M$7)*CHOOSE(ArtifactsInput!$N$7+1,6,7.2,8.4,9.6,10.8,12))+IF(Inputs!$B$3&gt;=117,F3192,0))/100)),MAX(0,Inputs!$B$44-((R3170-1)*Skills!D4))))/Inputs!$B$44),IF(Inputs!$B$39="pvp",MIN((Skills!S4*(1+((Inputs!$B$35+(ArtifactsInput!$M$7-ArtifactsInput!$M$7)*CHOOSE(ArtifactsInput!$N$7+1,6,7.2,8.4,9.6,10.8,12))+IF(Inputs!$B$3&gt;=117,F3192,0))/100)),15)/15,(Skills!S4*(1+((Inputs!$B$35+(ArtifactsInput!$M$7-ArtifactsInput!$M$7)*CHOOSE(ArtifactsInput!$N$7+1,6,7.2,8.4,9.6,10.8,12))+IF(Inputs!$B$3&gt;=117,F3192,0))/100))/Skills!D4)),0)+IF(C3171=TRUE,F3171*IF(AND(Inputs!$B$39&lt;&gt;"pvp",Inputs!$B$44&gt;0),(((R3171-1)*(Skills!S5*(1+((Inputs!$B$35+(ArtifactsInput!$M$7-ArtifactsInput!$M$7)*CHOOSE(ArtifactsInput!$N$7+1,6,7.2,8.4,9.6,10.8,12))+IF(Inputs!$B$3&gt;=117,F3192,0))/100))+MIN((Skills!S5*(1+((Inputs!$B$35+(ArtifactsInput!$M$7-ArtifactsInput!$M$7)*CHOOSE(ArtifactsInput!$N$7+1,6,7.2,8.4,9.6,10.8,12))+IF(Inputs!$B$3&gt;=117,F3192,0))/100)),MAX(0,Inputs!$B$44-((R3171-1)*Skills!D5))))/Inputs!$B$44),IF(Inputs!$B$39="pvp",MIN((Skills!S5*(1+((Inputs!$B$35+(ArtifactsInput!$M$7-ArtifactsInput!$M$7)*CHOOSE(ArtifactsInput!$N$7+1,6,7.2,8.4,9.6,10.8,12))+IF(Inputs!$B$3&gt;=117,F3192,0))/100)),15)/15,(Skills!S5*(1+((Inputs!$B$35+(ArtifactsInput!$M$7-ArtifactsInput!$M$7)*CHOOSE(ArtifactsInput!$N$7+1,6,7.2,8.4,9.6,10.8,12))+IF(Inputs!$B$3&gt;=117,F3192,0))/100))/Skills!D5)),0)+IF(C3177=TRUE,F3177*IF(AND(Inputs!$B$39&lt;&gt;"pvp",Inputs!$B$44&gt;0),(((R3177-1)*(Skills!S11*(1+((Inputs!$B$35+(ArtifactsInput!$M$7-ArtifactsInput!$M$7)*CHOOSE(ArtifactsInput!$N$7+1,6,7.2,8.4,9.6,10.8,12))+IF(Inputs!$B$3&gt;=117,F3192,0))/100))+MIN((Skills!S11*(1+((Inputs!$B$35+(ArtifactsInput!$M$7-ArtifactsInput!$M$7)*CHOOSE(ArtifactsInput!$N$7+1,6,7.2,8.4,9.6,10.8,12))+IF(Inputs!$B$3&gt;=117,F3192,0))/100)),MAX(0,Inputs!$B$44-((R3177-1)*Skills!D11))))/Inputs!$B$44),IF(Inputs!$B$39="pvp",MIN((Skills!S11*(1+((Inputs!$B$35+(ArtifactsInput!$M$7-ArtifactsInput!$M$7)*CHOOSE(ArtifactsInput!$N$7+1,6,7.2,8.4,9.6,10.8,12))+IF(Inputs!$B$3&gt;=117,F3192,0))/100)),15)/15,(Skills!S11*(1+((Inputs!$B$35+(ArtifactsInput!$M$7-ArtifactsInput!$M$7)*CHOOSE(ArtifactsInput!$N$7+1,6,7.2,8.4,9.6,10.8,12))+IF(Inputs!$B$3&gt;=117,F3192,0)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3180=TRUE,(1+F3180*IF(AND(Inputs!$B$39&lt;&gt;"pvp",Inputs!$B$44&gt;0),(((R3180-1)*(Skills!S14*(1+((Inputs!$B$35+(ArtifactsInput!$M$7-ArtifactsInput!$M$7)*CHOOSE(ArtifactsInput!$N$7+1,6,7.2,8.4,9.6,10.8,12))+IF(Inputs!$B$3&gt;=117,F3192,0))/100))+MIN((Skills!S14*(1+((Inputs!$B$35+(ArtifactsInput!$M$7-ArtifactsInput!$M$7)*CHOOSE(ArtifactsInput!$N$7+1,6,7.2,8.4,9.6,10.8,12))+IF(Inputs!$B$3&gt;=117,F3192,0))/100)),MAX(0,Inputs!$B$44-((R3180-1)*Skills!D14))))/Inputs!$B$44),IF(Inputs!$B$39="pvp",MIN((Skills!S14*(1+((Inputs!$B$35+(ArtifactsInput!$M$7-ArtifactsInput!$M$7)*CHOOSE(ArtifactsInput!$N$7+1,6,7.2,8.4,9.6,10.8,12))+IF(Inputs!$B$3&gt;=117,F3192,0))/100)),15)/15,(Skills!S14*(1+((Inputs!$B$35+(ArtifactsInput!$M$7-ArtifactsInput!$M$7)*CHOOSE(ArtifactsInput!$N$7+1,6,7.2,8.4,9.6,10.8,12))+IF(Inputs!$B$3&gt;=117,F3192,0))/100))/Skills!D14))/100),1)*IF(C3185=TRUE,(1+F3185*IF(AND(Inputs!$B$39&lt;&gt;"pvp",Inputs!$B$44&gt;0),(((R3185-1)*(Skills!S19*(1+((Inputs!$B$35+(ArtifactsInput!$M$7-ArtifactsInput!$M$7)*CHOOSE(ArtifactsInput!$N$7+1,6,7.2,8.4,9.6,10.8,12))+IF(Inputs!$B$3&gt;=117,F3192,0))/100))+MIN((Skills!S19*(1+((Inputs!$B$35+(ArtifactsInput!$M$7-ArtifactsInput!$M$7)*CHOOSE(ArtifactsInput!$N$7+1,6,7.2,8.4,9.6,10.8,12))+IF(Inputs!$B$3&gt;=117,F3192,0))/100)),MAX(0,Inputs!$B$44-((R3185-1)*Skills!D19))))/Inputs!$B$44),IF(Inputs!$B$39="pvp",MIN((Skills!S19*(1+((Inputs!$B$35+(ArtifactsInput!$M$7-ArtifactsInput!$M$7)*CHOOSE(ArtifactsInput!$N$7+1,6,7.2,8.4,9.6,10.8,12))+IF(Inputs!$B$3&gt;=117,F3192,0))/100)),15)/15,(Skills!S19*(1+((Inputs!$B$35+(ArtifactsInput!$M$7-ArtifactsInput!$M$7)*CHOOSE(ArtifactsInput!$N$7+1,6,7.2,8.4,9.6,10.8,12))+IF(Inputs!$B$3&gt;=117,F3192,0))/100))/Skills!D19))/100),1)</f>
        <v/>
      </c>
    </row>
    <row r="3196">
      <c r="A3196" t="inlineStr">
        <is>
          <t>Monster Damage Taken Bonus % (Holy Fountain)</t>
        </is>
      </c>
      <c r="B3196">
        <f>IF(Inputs!$B$3&gt;=68,20*IF(Inputs!$B$39="pvp",MIN((15*(1+((Inputs!$B$35+(ArtifactsInput!$M$7-ArtifactsInput!$M$7)*CHOOSE(ArtifactsInput!$N$7+1,6,7.2,8.4,9.6,10.8,12))+IF(Inputs!$B$3&gt;=117,F3192,0))/100)),15)/15,(15*(1+((Inputs!$B$35+(ArtifactsInput!$M$7-ArtifactsInput!$M$7)*CHOOSE(ArtifactsInput!$N$7+1,6,7.2,8.4,9.6,10.8,12))+IF(Inputs!$B$3&gt;=117,F3192,0))/100))/Skills!D10),0)</f>
        <v/>
      </c>
    </row>
    <row r="3197">
      <c r="A3197" t="inlineStr">
        <is>
          <t>Normal Monster Damage Bonus % (Holy Symbol)</t>
        </is>
      </c>
      <c r="B3197">
        <f>IF(C3178=TRUE,F3178*IF(AND(Inputs!$B$39&lt;&gt;"pvp",Inputs!$B$44&gt;0),(((R3178-1)*(Skills!S12*(1+((Inputs!$B$35+(ArtifactsInput!$M$7-ArtifactsInput!$M$7)*CHOOSE(ArtifactsInput!$N$7+1,6,7.2,8.4,9.6,10.8,12))+IF(Inputs!$B$3&gt;=117,F3192,0))/100))+MIN((Skills!S12*(1+((Inputs!$B$35+(ArtifactsInput!$M$7-ArtifactsInput!$M$7)*CHOOSE(ArtifactsInput!$N$7+1,6,7.2,8.4,9.6,10.8,12))+IF(Inputs!$B$3&gt;=117,F3192,0))/100)),MAX(0,Inputs!$B$44-((R3178-1)*Skills!D12))))/Inputs!$B$44),IF(Inputs!$B$39="pvp",MIN((Skills!S12*(1+((Inputs!$B$35+(ArtifactsInput!$M$7-ArtifactsInput!$M$7)*CHOOSE(ArtifactsInput!$N$7+1,6,7.2,8.4,9.6,10.8,12))+IF(Inputs!$B$3&gt;=117,F3192,0))/100)),15)/15,(Skills!S12*(1+((Inputs!$B$35+(ArtifactsInput!$M$7-ArtifactsInput!$M$7)*CHOOSE(ArtifactsInput!$N$7+1,6,7.2,8.4,9.6,10.8,12))+IF(Inputs!$B$3&gt;=117,F3192,0))/100))/Skills!D12)),0)</f>
        <v/>
      </c>
    </row>
    <row r="3198">
      <c r="A3198" t="inlineStr">
        <is>
          <t>Damage % Bonus (Holy Symbol - Damage Boost)</t>
        </is>
      </c>
      <c r="B3198">
        <f>Skills!O12</f>
        <v/>
      </c>
    </row>
    <row r="3199">
      <c r="A3199" t="inlineStr">
        <is>
          <t>Crit Damage % Bonus (Blood of the Divine)</t>
        </is>
      </c>
      <c r="B3199">
        <f>4*IF(C3186=TRUE,F3186,0)</f>
        <v/>
      </c>
    </row>
    <row r="3200">
      <c r="A3200" t="inlineStr">
        <is>
          <t>Attack Speed Bonus %</t>
        </is>
      </c>
      <c r="B3200">
        <f>IF(C3183=TRUE,F3183+(F3187-Calc!F21),0)+IF(Inputs!$B$3&gt;=134,15,0)</f>
        <v/>
      </c>
    </row>
    <row r="3201">
      <c r="A3201" t="inlineStr">
        <is>
          <t>Actions Per Second</t>
        </is>
      </c>
      <c r="B3201">
        <f>1+MIN(150,150*(1-(1-Inputs!$B$12/150)*(1-B3200/150)))/100</f>
        <v/>
      </c>
    </row>
    <row r="3202">
      <c r="A3202" t="inlineStr">
        <is>
          <t>Skill + Buff Cast Rate</t>
        </is>
      </c>
      <c r="B3202">
        <f>IF(AND(Inputs!$B$39&lt;&gt;"pvp",Inputs!$B$44&gt;0),SUMPRODUCT((Skills!E2:E27=TRUE)*(C3168:C3193=TRUE)*R3168:R3193)/Inputs!$B$44,SUMPRODUCT((Skills!E2:E27=TRUE)*(C3168:C3193=TRUE)*Q3168:Q3193))</f>
        <v/>
      </c>
    </row>
    <row r="3203">
      <c r="A3203" t="inlineStr">
        <is>
          <t>Big Bang Casts Per Second</t>
        </is>
      </c>
      <c r="B3203">
        <f>MAX(0,B3201-B3202)</f>
        <v/>
      </c>
    </row>
    <row r="3204">
      <c r="A3204" t="inlineStr">
        <is>
          <t>Defense % Bonus (Divine Protection)</t>
        </is>
      </c>
      <c r="B3204">
        <f>IF(C3179=TRUE,F3179*IF(AND(Inputs!$B$39&lt;&gt;"pvp",Inputs!$B$44&gt;0),(((R3179-1)*(Skills!S13*(1+((Inputs!$B$35+(ArtifactsInput!$M$7-ArtifactsInput!$M$7)*CHOOSE(ArtifactsInput!$N$7+1,6,7.2,8.4,9.6,10.8,12))+IF(Inputs!$B$3&gt;=117,F3192,0))/100))+MIN((Skills!S13*(1+((Inputs!$B$35+(ArtifactsInput!$M$7-ArtifactsInput!$M$7)*CHOOSE(ArtifactsInput!$N$7+1,6,7.2,8.4,9.6,10.8,12))+IF(Inputs!$B$3&gt;=117,F3192,0))/100)),MAX(0,Inputs!$B$44-((R3179-1)*Skills!D13))))/Inputs!$B$44),IF(Inputs!$B$39="pvp",MIN((Skills!S13*(1+((Inputs!$B$35+(ArtifactsInput!$M$7-ArtifactsInput!$M$7)*CHOOSE(ArtifactsInput!$N$7+1,6,7.2,8.4,9.6,10.8,12))+IF(Inputs!$B$3&gt;=117,F3192,0))/100)),15)/15,(Skills!S13*(1+((Inputs!$B$35+(ArtifactsInput!$M$7-ArtifactsInput!$M$7)*CHOOSE(ArtifactsInput!$N$7+1,6,7.2,8.4,9.6,10.8,12))+IF(Inputs!$B$3&gt;=117,F3192,0))/100))/Skills!D13)),0)</f>
        <v/>
      </c>
    </row>
    <row r="3205">
      <c r="A3205" t="inlineStr">
        <is>
          <t>Buff-Casting Startup Delay (s, fixed-duration only)</t>
        </is>
      </c>
      <c r="B3205">
        <f>IF(AND(Inputs!$B$39&lt;&gt;"pvp",Inputs!$B$44&gt;0),SUMPRODUCT((Skills!S2:S27&gt;0)*(Skills!E2:E27=TRUE)*(C3168:C3193=TRUE))/B3201,0)</f>
        <v/>
      </c>
    </row>
    <row r="3206">
      <c r="A3206" t="inlineStr">
        <is>
          <t>Boss-Only Total DPS (this block's swept value)</t>
        </is>
      </c>
      <c r="B3206">
        <f>SUM(S3168:S3193)</f>
        <v/>
      </c>
    </row>
    <row r="3207">
      <c r="A3207" t="inlineStr">
        <is>
          <t>Normal-Only Total DPS (this block's swept value)</t>
        </is>
      </c>
      <c r="B3207">
        <f>SUM(U3168:U3193)</f>
        <v/>
      </c>
    </row>
    <row r="3208">
      <c r="A3208" s="6" t="inlineStr">
        <is>
          <t>TOTAL DPS</t>
        </is>
      </c>
      <c r="B3208" s="6">
        <f>SUM(O3168:O3193)</f>
        <v/>
      </c>
    </row>
    <row r="3210">
      <c r="A3210" s="6" t="inlineStr">
        <is>
          <t>Stat: CDR = 4.5s</t>
        </is>
      </c>
    </row>
    <row r="3211">
      <c r="A3211" s="5" t="inlineStr">
        <is>
          <t>Key</t>
        </is>
      </c>
      <c r="B3211" s="5" t="inlineStr">
        <is>
          <t>Name</t>
        </is>
      </c>
      <c r="C3211" s="5" t="inlineStr">
        <is>
          <t>Unlocked</t>
        </is>
      </c>
      <c r="D3211" s="5" t="inlineStr">
        <is>
          <t>InputLevel</t>
        </is>
      </c>
      <c r="E3211" s="5" t="inlineStr">
        <is>
          <t>Factor</t>
        </is>
      </c>
      <c r="F3211" s="5" t="inlineStr">
        <is>
          <t>CoefficientPercent</t>
        </is>
      </c>
      <c r="G3211" s="5" t="inlineStr">
        <is>
          <t>EffectiveHits</t>
        </is>
      </c>
      <c r="H3211" s="5" t="inlineStr">
        <is>
          <t>ProcProbability</t>
        </is>
      </c>
      <c r="I3211" s="5" t="inlineStr">
        <is>
          <t>MapleHeroMultiplier</t>
        </is>
      </c>
      <c r="J3211" s="5" t="inlineStr">
        <is>
          <t>BaseDamage</t>
        </is>
      </c>
      <c r="K3211" s="5" t="inlineStr">
        <is>
          <t>BaseHitDamage</t>
        </is>
      </c>
      <c r="L3211" s="5" t="inlineStr">
        <is>
          <t>NonCritAvg</t>
        </is>
      </c>
      <c r="M3211" s="5" t="inlineStr">
        <is>
          <t>CritAvg</t>
        </is>
      </c>
      <c r="N3211" s="5" t="inlineStr">
        <is>
          <t>ExpectedDamage(perHit)</t>
        </is>
      </c>
      <c r="O3211" s="5" t="inlineStr">
        <is>
          <t>DPS</t>
        </is>
      </c>
      <c r="P3211" s="5" t="inlineStr">
        <is>
          <t>% of Total</t>
        </is>
      </c>
      <c r="R3211" t="inlineStr">
        <is>
          <t>helpers</t>
        </is>
      </c>
    </row>
    <row r="3212">
      <c r="A3212">
        <f>Skills!A2</f>
        <v/>
      </c>
      <c r="B3212">
        <f>Skills!B2</f>
        <v/>
      </c>
      <c r="C3212">
        <f>Inputs!$B$3&gt;=100</f>
        <v/>
      </c>
      <c r="D3212" t="inlineStr"/>
      <c r="E3212" t="inlineStr"/>
      <c r="F3212">
        <f>T3214+Skills!N2</f>
        <v/>
      </c>
      <c r="G3212">
        <f>Calc!G2</f>
        <v/>
      </c>
      <c r="H3212">
        <f>Calc!H2</f>
        <v/>
      </c>
      <c r="I3212">
        <f>IF(Skills!T2&lt;&gt;"",1+(Skills!T2/10)*($Z$3/1000)/100,1)</f>
        <v/>
      </c>
      <c r="J3212">
        <f>((Inputs!$B$6*(1+Inputs!$B$7/100))+(((Inputs!$B$13*(1+Inputs!$B$14/100))-(Inputs!$B$13*(1+Inputs!$B$14/100)))+0.25*(Inputs!$B$15-Inputs!$B$15))*(1+Inputs!$B$7/100))*(F3212/100)</f>
        <v/>
      </c>
      <c r="K3212">
        <f>J3212*(1+(((Inputs!$B$13+IF(Inputs!$B$3&gt;=35,(10*INDEX(FactorTable!$B$2:$Y$301,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2="TRIUMPH_FEATHER",IF(C3226=TRUE,F3226,0),0)/100)*(1+IF(C3237=TRUE,F3237,0)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3212)</f>
        <v/>
      </c>
      <c r="L3212">
        <f>K3212*(MIN(Inputs!$B$23+(F3232-Calc!F22),(Inputs!$B$24+IF(ArtifactsInput!$M$15,CHOOSE(ArtifactsInput!$N$15+1,25,30,35,40,45,50)/100*(Inputs!$B$12-Inputs!$B$12),0)))/100+(Inputs!$B$24+IF(ArtifactsInput!$M$15,CHOOSE(ArtifactsInput!$N$15+1,25,30,35,40,45,50)/100*(Inputs!$B$12-Inputs!$B$12),0))/100)/2</f>
        <v/>
      </c>
      <c r="M3212">
        <f>L3212*(1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2">
        <f>L3212*(1-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3212*(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2">
        <f>(1-Summary!$B$11)*S3212+Summary!$B$11*U3212</f>
        <v/>
      </c>
      <c r="P3212">
        <f>IF(B3252=0,0,O3212/B3252)</f>
        <v/>
      </c>
      <c r="Q3212">
        <f>IFERROR(1/(IF(Inputs!$B$39="pvp",15,MAX(0.1,Skills!D2-IF(Skills!E2=TRUE,4.5,0)))*(1-IF(AND(ArtifactsInput!$M$27,Inputs!$B$4="Chapter Hunt"),CHOOSE(ArtifactsInput!$N$27+1,20,24,28,32,36,40),0)/100)),0)</f>
        <v/>
      </c>
      <c r="R3212" t="n">
        <v>0</v>
      </c>
      <c r="S3212">
        <f>IF(C3212,(Skills!F2*N3212*B3247)*IF(Inputs!$B$39="pvp",1,1+(Inputs!$B$21+Skills!O2+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3212*(1-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3212*(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3212*(1-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3212*(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12">
        <f>MAX(0,(Inputs!$B$3-100)*3)+Inputs!$B$29+Inputs!$B$30</f>
        <v/>
      </c>
      <c r="U3212">
        <f>IF(C3212,(Skills!F2*N3212*B3247)*IF(Inputs!$B$39="pvp",1,(1+(Inputs!$B$22+Skills!P2+B3241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3">
      <c r="A3213">
        <f>Skills!A3</f>
        <v/>
      </c>
      <c r="B3213">
        <f>Skills!B3</f>
        <v/>
      </c>
      <c r="C3213">
        <f>Inputs!$B$3&gt;=15</f>
        <v/>
      </c>
      <c r="D3213">
        <f>IF(Skills!C3=1,60+Inputs!$B$26+Inputs!$B$30,IF(Skills!C3=2,90+Inputs!$B$27+Inputs!$B$30,IF(Skills!C3=3,120+Inputs!$B$28+Inputs!$B$30,MAX(0,(Inputs!$B$3-100)*3)+Inputs!$B$29+Inputs!$B$30)))</f>
        <v/>
      </c>
      <c r="E3213">
        <f>INDEX(FactorTable!$B$2:$Y$301, MATCH(ROUND(MIN(300,MAX(1,D3213)),0), FactorTable!$A$2:$A$301,0), Skills!L3+1)</f>
        <v/>
      </c>
      <c r="F3213">
        <f>IF(Skills!M3=TRUE,(Skills!K3/10)*(E3213/1000),Skills!K3/10)+Skills!N3</f>
        <v/>
      </c>
      <c r="G3213">
        <f>Calc!G3</f>
        <v/>
      </c>
      <c r="H3213">
        <f>Calc!H3</f>
        <v/>
      </c>
      <c r="I3213">
        <f>IF(Skills!T3&lt;&gt;"",1+(Skills!T3/10)*($Z$3/1000)/100,1)</f>
        <v/>
      </c>
      <c r="J3213" t="inlineStr"/>
      <c r="K3213" t="inlineStr"/>
      <c r="L3213" t="inlineStr"/>
      <c r="M3213" t="inlineStr"/>
      <c r="N3213" t="inlineStr"/>
      <c r="O3213">
        <f>(1-Summary!$B$11)*S3213+Summary!$B$11*U3213</f>
        <v/>
      </c>
      <c r="P3213">
        <f>IF(B3252=0,0,O3213/B3252)</f>
        <v/>
      </c>
      <c r="Q3213">
        <f>IFERROR(1/(IF(Inputs!$B$39="pvp",15,MAX(0.1,Skills!D3-IF(Skills!E3=TRUE,4.5,0)))*(1-IF(AND(ArtifactsInput!$M$27,Inputs!$B$4="Chapter Hunt"),CHOOSE(ArtifactsInput!$N$27+1,20,24,28,32,36,40),0)/100)),0)</f>
        <v/>
      </c>
      <c r="R3213">
        <f>IF(AND(Inputs!$B$39&lt;&gt;"pvp",Inputs!$B$44&gt;0),IF(Inputs!$B$44&lt;=0,0,(INT(Inputs!$B$44/(IF(Inputs!$B$39="pvp",15,MAX(0.1,Skills!D3-IF(Skills!E3=TRUE,4.5,0)))*(1-IF(AND(ArtifactsInput!$M$27,Inputs!$B$4="Chapter Hunt"),CHOOSE(ArtifactsInput!$N$27+1,20,24,28,32,36,40),0)/100)))+1)),0)</f>
        <v/>
      </c>
      <c r="S3213" t="n">
        <v>0</v>
      </c>
      <c r="T3213">
        <f>INDEX(FactorTable!$B$2:$Y$301, MATCH(ROUND(MIN(300,MAX(1,T3212)),0), FactorTable!$A$2:$A$301,0), 22)</f>
        <v/>
      </c>
      <c r="U3213" t="n">
        <v>0</v>
      </c>
    </row>
    <row r="3214">
      <c r="A3214">
        <f>Skills!A4</f>
        <v/>
      </c>
      <c r="B3214">
        <f>Skills!B4</f>
        <v/>
      </c>
      <c r="C3214">
        <f>Inputs!$B$3&gt;=38</f>
        <v/>
      </c>
      <c r="D3214">
        <f>IF(Skills!C4=1,60+Inputs!$B$26+Inputs!$B$30,IF(Skills!C4=2,90+Inputs!$B$27+Inputs!$B$30,IF(Skills!C4=3,120+Inputs!$B$28+Inputs!$B$30,MAX(0,(Inputs!$B$3-100)*3)+Inputs!$B$29+Inputs!$B$30)))</f>
        <v/>
      </c>
      <c r="E3214">
        <f>INDEX(FactorTable!$B$2:$Y$301, MATCH(ROUND(MIN(300,MAX(1,D3214)),0), FactorTable!$A$2:$A$301,0), Skills!L4+1)</f>
        <v/>
      </c>
      <c r="F3214">
        <f>IF(Skills!M4=TRUE,(Skills!K4/10)*(E3214/1000),Skills!K4/10)+Skills!N4</f>
        <v/>
      </c>
      <c r="G3214">
        <f>Calc!G4</f>
        <v/>
      </c>
      <c r="H3214">
        <f>Calc!H4</f>
        <v/>
      </c>
      <c r="I3214">
        <f>IF(Skills!T4&lt;&gt;"",1+(Skills!T4/10)*($Z$3/1000)/100,1)</f>
        <v/>
      </c>
      <c r="J3214" t="inlineStr"/>
      <c r="K3214" t="inlineStr"/>
      <c r="L3214" t="inlineStr"/>
      <c r="M3214" t="inlineStr"/>
      <c r="N3214" t="inlineStr"/>
      <c r="O3214">
        <f>(1-Summary!$B$11)*S3214+Summary!$B$11*U3214</f>
        <v/>
      </c>
      <c r="P3214">
        <f>IF(B3252=0,0,O3214/B3252)</f>
        <v/>
      </c>
      <c r="Q3214">
        <f>IFERROR(1/(IF(Inputs!$B$39="pvp",15,MAX(0.1,Skills!D4-IF(Skills!E4=TRUE,4.5,0)))*(1-IF(AND(ArtifactsInput!$M$27,Inputs!$B$4="Chapter Hunt"),CHOOSE(ArtifactsInput!$N$27+1,20,24,28,32,36,40),0)/100)),0)</f>
        <v/>
      </c>
      <c r="R3214">
        <f>IF(AND(Inputs!$B$39&lt;&gt;"pvp",Inputs!$B$44&gt;0),IF(Inputs!$B$44&lt;=0,0,(INT(Inputs!$B$44/(IF(Inputs!$B$39="pvp",15,MAX(0.1,Skills!D4-IF(Skills!E4=TRUE,4.5,0)))*(1-IF(AND(ArtifactsInput!$M$27,Inputs!$B$4="Chapter Hunt"),CHOOSE(ArtifactsInput!$N$27+1,20,24,28,32,36,40),0)/100)))+1)),0)</f>
        <v/>
      </c>
      <c r="S3214" t="n">
        <v>0</v>
      </c>
      <c r="T3214">
        <f>290*T3213/1000</f>
        <v/>
      </c>
      <c r="U3214" t="n">
        <v>0</v>
      </c>
    </row>
    <row r="3215">
      <c r="A3215">
        <f>Skills!A5</f>
        <v/>
      </c>
      <c r="B3215">
        <f>Skills!B5</f>
        <v/>
      </c>
      <c r="C3215">
        <f>Inputs!$B$3&gt;=40</f>
        <v/>
      </c>
      <c r="D3215">
        <f>IF(Skills!C5=1,60+Inputs!$B$26+Inputs!$B$30,IF(Skills!C5=2,90+Inputs!$B$27+Inputs!$B$30,IF(Skills!C5=3,120+Inputs!$B$28+Inputs!$B$30,MAX(0,(Inputs!$B$3-100)*3)+Inputs!$B$29+Inputs!$B$30)))</f>
        <v/>
      </c>
      <c r="E3215">
        <f>INDEX(FactorTable!$B$2:$Y$301, MATCH(ROUND(MIN(300,MAX(1,D3215)),0), FactorTable!$A$2:$A$301,0), Skills!L5+1)</f>
        <v/>
      </c>
      <c r="F3215">
        <f>IF(Skills!M5=TRUE,(Skills!K5/10)*(E3215/1000),Skills!K5/10)+Skills!N5</f>
        <v/>
      </c>
      <c r="G3215">
        <f>Calc!G5</f>
        <v/>
      </c>
      <c r="H3215">
        <f>Calc!H5</f>
        <v/>
      </c>
      <c r="I3215">
        <f>IF(Skills!T5&lt;&gt;"",1+(Skills!T5/10)*($Z$3/1000)/100,1)</f>
        <v/>
      </c>
      <c r="J3215" t="inlineStr"/>
      <c r="K3215" t="inlineStr"/>
      <c r="L3215" t="inlineStr"/>
      <c r="M3215" t="inlineStr"/>
      <c r="N3215" t="inlineStr"/>
      <c r="O3215">
        <f>(1-Summary!$B$11)*S3215+Summary!$B$11*U3215</f>
        <v/>
      </c>
      <c r="P3215">
        <f>IF(B3252=0,0,O3215/B3252)</f>
        <v/>
      </c>
      <c r="Q3215">
        <f>IFERROR(1/(IF(Inputs!$B$39="pvp",15,MAX(0.1,Skills!D5-IF(Skills!E5=TRUE,4.5,0)))*(1-IF(AND(ArtifactsInput!$M$27,Inputs!$B$4="Chapter Hunt"),CHOOSE(ArtifactsInput!$N$27+1,20,24,28,32,36,40),0)/100)),0)</f>
        <v/>
      </c>
      <c r="R3215">
        <f>IF(AND(Inputs!$B$39&lt;&gt;"pvp",Inputs!$B$44&gt;0),IF(Inputs!$B$44&lt;=0,0,(INT(Inputs!$B$44/(IF(Inputs!$B$39="pvp",15,MAX(0.1,Skills!D5-IF(Skills!E5=TRUE,4.5,0)))*(1-IF(AND(ArtifactsInput!$M$27,Inputs!$B$4="Chapter Hunt"),CHOOSE(ArtifactsInput!$N$27+1,20,24,28,32,36,40),0)/100)))+1)),0)</f>
        <v/>
      </c>
      <c r="S3215" t="n">
        <v>0</v>
      </c>
      <c r="U3215" t="n">
        <v>0</v>
      </c>
    </row>
    <row r="3216">
      <c r="A3216">
        <f>Skills!A6</f>
        <v/>
      </c>
      <c r="B3216">
        <f>Skills!B6</f>
        <v/>
      </c>
      <c r="C3216">
        <f>Inputs!$B$3&gt;=103</f>
        <v/>
      </c>
      <c r="D3216">
        <f>IF(Skills!C6=1,60+Inputs!$B$26+Inputs!$B$30,IF(Skills!C6=2,90+Inputs!$B$27+Inputs!$B$30,IF(Skills!C6=3,120+Inputs!$B$28+Inputs!$B$30,MAX(0,(Inputs!$B$3-100)*3)+Inputs!$B$29+Inputs!$B$30)))</f>
        <v/>
      </c>
      <c r="E3216">
        <f>INDEX(FactorTable!$B$2:$Y$301, MATCH(ROUND(MIN(300,MAX(1,D3216)),0), FactorTable!$A$2:$A$301,0), Skills!L6+1)</f>
        <v/>
      </c>
      <c r="F3216">
        <f>IF(Skills!M6=TRUE,(Skills!K6/10)*(E3216/1000),Skills!K6/10)+Skills!N6</f>
        <v/>
      </c>
      <c r="G3216">
        <f>Calc!G6</f>
        <v/>
      </c>
      <c r="H3216">
        <f>Calc!H6</f>
        <v/>
      </c>
      <c r="I3216">
        <f>IF(Skills!T6&lt;&gt;"",1+(Skills!T6/10)*($Z$3/1000)/100,1)</f>
        <v/>
      </c>
      <c r="J3216">
        <f>((Inputs!$B$6*(1+Inputs!$B$7/100))+(((Inputs!$B$13*(1+Inputs!$B$14/100))-(Inputs!$B$13*(1+Inputs!$B$14/100)))+0.25*(Inputs!$B$15-Inputs!$B$15))*(1+Inputs!$B$7/100))*(F3216/100)</f>
        <v/>
      </c>
      <c r="K3216">
        <f>J3216*(1+(((Inputs!$B$13+IF(Inputs!$B$3&gt;=35,(10*INDEX(FactorTable!$B$2:$Y$301,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6="TRIUMPH_FEATHER",IF(C3226=TRUE,F3226,0),0)/100)*(1+IF(C3237=TRUE,F3237,0)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3216)</f>
        <v/>
      </c>
      <c r="L3216">
        <f>K3216*(MIN(Inputs!$B$23+(F3232-Calc!F22),(Inputs!$B$24+IF(ArtifactsInput!$M$15,CHOOSE(ArtifactsInput!$N$15+1,25,30,35,40,45,50)/100*(Inputs!$B$12-Inputs!$B$12),0)))/100+(Inputs!$B$24+IF(ArtifactsInput!$M$15,CHOOSE(ArtifactsInput!$N$15+1,25,30,35,40,45,50)/100*(Inputs!$B$12-Inputs!$B$12),0))/100)/2</f>
        <v/>
      </c>
      <c r="M3216">
        <f>L3216*(1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6">
        <f>L3216*(1-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3216*(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6">
        <f>(1-Summary!$B$11)*S3216+Summary!$B$11*U3216</f>
        <v/>
      </c>
      <c r="P3216">
        <f>IF(B3252=0,0,O3216/B3252)</f>
        <v/>
      </c>
      <c r="Q3216">
        <f>IFERROR(1/(IF(Inputs!$B$39="pvp",15,MAX(0.1,Skills!D6-IF(Skills!E6=TRUE,4.5,0)))*(1-IF(AND(ArtifactsInput!$M$27,Inputs!$B$4="Chapter Hunt"),CHOOSE(ArtifactsInput!$N$27+1,20,24,28,32,36,40),0)/100)),0)</f>
        <v/>
      </c>
      <c r="R3216">
        <f>IF(AND(Inputs!$B$39&lt;&gt;"pvp",Inputs!$B$44&gt;0),IF(MAX(0,Inputs!$B$44-B3249)&lt;=0,0,(INT(MAX(0,Inputs!$B$44-B3249)/(IF(Inputs!$B$39="pvp",15,MAX(0.1,Skills!D6-IF(Skills!E6=TRUE,4.5,0)))*(1-IF(AND(ArtifactsInput!$M$27,Inputs!$B$4="Chapter Hunt"),CHOOSE(ArtifactsInput!$N$27+1,20,24,28,32,36,40),0)/100)))+1)),0)</f>
        <v/>
      </c>
      <c r="S3216">
        <f>IF(C3216,(H3216*N3216*IF(AND(Inputs!$B$39&lt;&gt;"pvp",Inputs!$B$44&gt;0),((Skills!F6*((R3216-1)*IF(Skills!G6&gt;0,Skills!H6/Skills!G6,1)+IF(Skills!G6&gt;0,MIN(Skills!H6,MAX(0,MAX(0,Inputs!$B$44-B3249)-((R3216-1)*(IF(Inputs!$B$39="pvp",15,MAX(0.1,Skills!D6-IF(Skills!E6=TRUE,4.5,0)))*(1-IF(AND(ArtifactsInput!$M$27,Inputs!$B$4="Chapter Hunt"),CHOOSE(ArtifactsInput!$N$27+1,20,24,28,32,36,40),0)/100)))))/Skills!G6,1)))/Inputs!$B$44),G3216*Q3216))*IF(Inputs!$B$39="pvp",1,1+(Inputs!$B$21+Skills!O6+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3216*(1-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3216*(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3216*(1-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3216*(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6">
        <f>IF(C3216,(H3216*N3216*IF(AND(Inputs!$B$39&lt;&gt;"pvp",Inputs!$B$44&gt;0),((Skills!F6*((R3216-1)*IF(Skills!G6&gt;0,Skills!H6/Skills!G6,1)+IF(Skills!G6&gt;0,MIN(Skills!H6,MAX(0,MAX(0,Inputs!$B$44-B3249)-((R3216-1)*(IF(Inputs!$B$39="pvp",15,MAX(0.1,Skills!D6-IF(Skills!E6=TRUE,4.5,0)))*(1-IF(AND(ArtifactsInput!$M$27,Inputs!$B$4="Chapter Hunt"),CHOOSE(ArtifactsInput!$N$27+1,20,24,28,32,36,40),0)/100)))))/Skills!G6,1)))/Inputs!$B$44),G3216*Q3216))*IF(Inputs!$B$39="pvp",1,(1+(Inputs!$B$22+Skills!P6+B3241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7">
      <c r="A3217">
        <f>Skills!A7</f>
        <v/>
      </c>
      <c r="B3217">
        <f>Skills!B7</f>
        <v/>
      </c>
      <c r="C3217">
        <f>Inputs!$B$3&gt;=122</f>
        <v/>
      </c>
      <c r="D3217">
        <f>IF(Skills!C7=1,60+Inputs!$B$26+Inputs!$B$30,IF(Skills!C7=2,90+Inputs!$B$27+Inputs!$B$30,IF(Skills!C7=3,120+Inputs!$B$28+Inputs!$B$30,MAX(0,(Inputs!$B$3-100)*3)+Inputs!$B$29+Inputs!$B$30)))</f>
        <v/>
      </c>
      <c r="E3217">
        <f>INDEX(FactorTable!$B$2:$Y$301, MATCH(ROUND(MIN(300,MAX(1,D3217)),0), FactorTable!$A$2:$A$301,0), Skills!L7+1)</f>
        <v/>
      </c>
      <c r="F3217">
        <f>IF(Skills!M7=TRUE,(Skills!K7/10)*(E3217/1000),Skills!K7/10)+Skills!N7</f>
        <v/>
      </c>
      <c r="G3217">
        <f>Calc!G7</f>
        <v/>
      </c>
      <c r="H3217">
        <f>Calc!H7</f>
        <v/>
      </c>
      <c r="I3217">
        <f>IF(Skills!T7&lt;&gt;"",1+(Skills!T7/10)*($Z$3/1000)/100,1)</f>
        <v/>
      </c>
      <c r="J3217">
        <f>((Inputs!$B$6*(1+Inputs!$B$7/100))+(((Inputs!$B$13*(1+Inputs!$B$14/100))-(Inputs!$B$13*(1+Inputs!$B$14/100)))+0.25*(Inputs!$B$15-Inputs!$B$15))*(1+Inputs!$B$7/100))*(F3217/100)</f>
        <v/>
      </c>
      <c r="K3217">
        <f>J3217*(1+(((Inputs!$B$13+IF(Inputs!$B$3&gt;=35,(10*INDEX(FactorTable!$B$2:$Y$301,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7="TRIUMPH_FEATHER",IF(C3226=TRUE,F3226,0),0)/100)*(1+IF(C3237=TRUE,F3237,0)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3217)</f>
        <v/>
      </c>
      <c r="L3217">
        <f>K3217*(MIN(Inputs!$B$23+(F3232-Calc!F22),(Inputs!$B$24+IF(ArtifactsInput!$M$15,CHOOSE(ArtifactsInput!$N$15+1,25,30,35,40,45,50)/100*(Inputs!$B$12-Inputs!$B$12),0)))/100+(Inputs!$B$24+IF(ArtifactsInput!$M$15,CHOOSE(ArtifactsInput!$N$15+1,25,30,35,40,45,50)/100*(Inputs!$B$12-Inputs!$B$12),0))/100)/2</f>
        <v/>
      </c>
      <c r="M3217">
        <f>L3217*(1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7">
        <f>L3217*(1-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3217*(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7">
        <f>(1-Summary!$B$11)*S3217+Summary!$B$11*U3217</f>
        <v/>
      </c>
      <c r="P3217">
        <f>IF(B3252=0,0,O3217/B3252)</f>
        <v/>
      </c>
      <c r="Q3217">
        <f>IFERROR(1/(IF(Inputs!$B$39="pvp",15,MAX(0.1,Skills!D7-IF(Skills!E6=TRUE,4.5,0)))*(1-IF(AND(ArtifactsInput!$M$27,Inputs!$B$4="Chapter Hunt"),CHOOSE(ArtifactsInput!$N$27+1,20,24,28,32,36,40),0)/100)),0)</f>
        <v/>
      </c>
      <c r="R3217">
        <f>IF(AND(Inputs!$B$39&lt;&gt;"pvp",Inputs!$B$44&gt;0),IF(MAX(0,Inputs!$B$44-B3249)&lt;=0,0,(INT(MAX(0,Inputs!$B$44-B3249)/(IF(Inputs!$B$39="pvp",15,MAX(0.1,Skills!D7-IF(Skills!E6=TRUE,4.5,0)))*(1-IF(AND(ArtifactsInput!$M$27,Inputs!$B$4="Chapter Hunt"),CHOOSE(ArtifactsInput!$N$27+1,20,24,28,32,36,40),0)/100)))+1)),0)</f>
        <v/>
      </c>
      <c r="S3217">
        <f>IF(C3217,H3217*N3217*IF(AND(Inputs!$B$39&lt;&gt;"pvp",Inputs!$B$44&gt;0),((Skills!F7*((R3217-1)*IF(Skills!G7&gt;0,Skills!H7/Skills!G7,1)+IF(Skills!G7&gt;0,MIN(Skills!H7,MAX(0,MAX(0,Inputs!$B$44-B3249)-((R3217-1)*(IF(Inputs!$B$39="pvp",15,MAX(0.1,Skills!D7-IF(Skills!E6=TRUE,4.5,0)))*(1-IF(AND(ArtifactsInput!$M$27,Inputs!$B$4="Chapter Hunt"),CHOOSE(ArtifactsInput!$N$27+1,20,24,28,32,36,40),0)/100)))))/Skills!G7,1)))/Inputs!$B$44),G3217*Q3217)*IF(Inputs!$B$39="pvp",1,1+(Inputs!$B$21+Skills!O7+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3217*(1-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3217*(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3217*(1-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3217*(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7" t="n">
        <v>0</v>
      </c>
    </row>
    <row r="3218">
      <c r="A3218">
        <f>Skills!A8</f>
        <v/>
      </c>
      <c r="B3218">
        <f>Skills!B8</f>
        <v/>
      </c>
      <c r="C3218">
        <f>Inputs!$B$3&gt;=105</f>
        <v/>
      </c>
      <c r="D3218">
        <f>IF(Skills!C8=1,60+Inputs!$B$26+Inputs!$B$30,IF(Skills!C8=2,90+Inputs!$B$27+Inputs!$B$30,IF(Skills!C8=3,120+Inputs!$B$28+Inputs!$B$30,MAX(0,(Inputs!$B$3-100)*3)+Inputs!$B$29+Inputs!$B$30)))</f>
        <v/>
      </c>
      <c r="E3218">
        <f>INDEX(FactorTable!$B$2:$Y$301, MATCH(ROUND(MIN(300,MAX(1,D3218)),0), FactorTable!$A$2:$A$301,0), Skills!L8+1)</f>
        <v/>
      </c>
      <c r="F3218">
        <f>IF(Skills!M8=TRUE,(Skills!K8/10)*(E3218/1000),Skills!K8/10)+Skills!N8</f>
        <v/>
      </c>
      <c r="G3218">
        <f>Calc!G8</f>
        <v/>
      </c>
      <c r="H3218">
        <f>Calc!H8</f>
        <v/>
      </c>
      <c r="I3218">
        <f>IF(Skills!T8&lt;&gt;"",1+(Skills!T8/10)*($Z$3/1000)/100,1)</f>
        <v/>
      </c>
      <c r="J3218">
        <f>((Inputs!$B$6*(1+Inputs!$B$7/100))+(((Inputs!$B$13*(1+Inputs!$B$14/100))-(Inputs!$B$13*(1+Inputs!$B$14/100)))+0.25*(Inputs!$B$15-Inputs!$B$15))*(1+Inputs!$B$7/100))*(F3218/100)</f>
        <v/>
      </c>
      <c r="K3218">
        <f>J3218*(1+(((Inputs!$B$13+IF(Inputs!$B$3&gt;=35,(10*INDEX(FactorTable!$B$2:$Y$301,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8="TRIUMPH_FEATHER",IF(C3226=TRUE,F3226,0),0)/100)*(1+IF(C3237=TRUE,F3237,0)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3218)</f>
        <v/>
      </c>
      <c r="L3218">
        <f>K3218*(MIN(Inputs!$B$23+(F3232-Calc!F22),(Inputs!$B$24+IF(ArtifactsInput!$M$15,CHOOSE(ArtifactsInput!$N$15+1,25,30,35,40,45,50)/100*(Inputs!$B$12-Inputs!$B$12),0)))/100+(Inputs!$B$24+IF(ArtifactsInput!$M$15,CHOOSE(ArtifactsInput!$N$15+1,25,30,35,40,45,50)/100*(Inputs!$B$12-Inputs!$B$12),0))/100)/2</f>
        <v/>
      </c>
      <c r="M3218">
        <f>L3218*(1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8">
        <f>L3218*(1-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3218*(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8">
        <f>(1-Summary!$B$11)*S3218+Summary!$B$11*U3218</f>
        <v/>
      </c>
      <c r="P3218">
        <f>IF(B3252=0,0,O3218/B3252)</f>
        <v/>
      </c>
      <c r="Q3218">
        <f>IFERROR(1/(IF(Inputs!$B$39="pvp",15,MAX(0.1,Skills!D8-IF(Skills!E8=TRUE,4.5,0)))*(1-IF(AND(ArtifactsInput!$M$27,Inputs!$B$4="Chapter Hunt"),CHOOSE(ArtifactsInput!$N$27+1,20,24,28,32,36,40),0)/100)),0)</f>
        <v/>
      </c>
      <c r="R3218">
        <f>IF(AND(Inputs!$B$39&lt;&gt;"pvp",Inputs!$B$44&gt;0),IF(MAX(0,Inputs!$B$44-B3249)&lt;=0,0,(INT(MAX(0,Inputs!$B$44-B3249)/(IF(Inputs!$B$39="pvp",15,MAX(0.1,Skills!D8-IF(Skills!E8=TRUE,4.5,0)))*(1-IF(AND(ArtifactsInput!$M$27,Inputs!$B$4="Chapter Hunt"),CHOOSE(ArtifactsInput!$N$27+1,20,24,28,32,36,40),0)/100)))+1)),0)</f>
        <v/>
      </c>
      <c r="S3218">
        <f>IF(C3218,(H3218*N3218*IF(AND(Inputs!$B$39&lt;&gt;"pvp",Inputs!$B$44&gt;0),((Skills!F8*((R3218-1)*IF(Skills!G8&gt;0,Skills!H8/Skills!G8,1)+IF(Skills!G8&gt;0,MIN(Skills!H8,MAX(0,MAX(0,Inputs!$B$44-B3249)-((R3218-1)*(IF(Inputs!$B$39="pvp",15,MAX(0.1,Skills!D8-IF(Skills!E8=TRUE,4.5,0)))*(1-IF(AND(ArtifactsInput!$M$27,Inputs!$B$4="Chapter Hunt"),CHOOSE(ArtifactsInput!$N$27+1,20,24,28,32,36,40),0)/100)))))/Skills!G8,1)))/Inputs!$B$44),G3218*Q3218))*IF(Inputs!$B$39="pvp",1,1+(Inputs!$B$21+Skills!O8+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3218*(1-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3218*(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3218*(1-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3218*(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8">
        <f>IF(C3218,(H3218*N3218*IF(AND(Inputs!$B$39&lt;&gt;"pvp",Inputs!$B$44&gt;0),((Skills!F8*((R3218-1)*IF(Skills!G8&gt;0,Skills!H8/Skills!G8,1)+IF(Skills!G8&gt;0,MIN(Skills!H8,MAX(0,MAX(0,Inputs!$B$44-B3249)-((R3218-1)*(IF(Inputs!$B$39="pvp",15,MAX(0.1,Skills!D8-IF(Skills!E8=TRUE,4.5,0)))*(1-IF(AND(ArtifactsInput!$M$27,Inputs!$B$4="Chapter Hunt"),CHOOSE(ArtifactsInput!$N$27+1,20,24,28,32,36,40),0)/100)))))/Skills!G8,1)))/Inputs!$B$44),G3218*Q3218))*IF(Inputs!$B$39="pvp",1,(1+(Inputs!$B$22+Skills!P8+B3241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9">
      <c r="A3219">
        <f>Skills!A9</f>
        <v/>
      </c>
      <c r="B3219">
        <f>Skills!B9</f>
        <v/>
      </c>
      <c r="C3219">
        <f>Inputs!$B$3&gt;=115</f>
        <v/>
      </c>
      <c r="D3219">
        <f>IF(Skills!C9=1,60+Inputs!$B$26+Inputs!$B$30,IF(Skills!C9=2,90+Inputs!$B$27+Inputs!$B$30,IF(Skills!C9=3,120+Inputs!$B$28+Inputs!$B$30,MAX(0,(Inputs!$B$3-100)*3)+Inputs!$B$29+Inputs!$B$30)))</f>
        <v/>
      </c>
      <c r="E3219">
        <f>INDEX(FactorTable!$B$2:$Y$301, MATCH(ROUND(MIN(300,MAX(1,D3219)),0), FactorTable!$A$2:$A$301,0), Skills!L9+1)</f>
        <v/>
      </c>
      <c r="F3219">
        <f>IF(Skills!M9=TRUE,(Skills!K9/10)*(E3219/1000),Skills!K9/10)+Skills!N9</f>
        <v/>
      </c>
      <c r="G3219">
        <f>Calc!G9</f>
        <v/>
      </c>
      <c r="H3219">
        <f>Calc!H9</f>
        <v/>
      </c>
      <c r="I3219">
        <f>IF(Skills!T9&lt;&gt;"",1+(Skills!T9/10)*($Z$3/1000)/100,1)</f>
        <v/>
      </c>
      <c r="J3219">
        <f>((Inputs!$B$6*(1+Inputs!$B$7/100))+(((Inputs!$B$13*(1+Inputs!$B$14/100))-(Inputs!$B$13*(1+Inputs!$B$14/100)))+0.25*(Inputs!$B$15-Inputs!$B$15))*(1+Inputs!$B$7/100))*(F3219/100)</f>
        <v/>
      </c>
      <c r="K3219">
        <f>J3219*(1+(((Inputs!$B$13+IF(Inputs!$B$3&gt;=35,(10*INDEX(FactorTable!$B$2:$Y$301,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9="TRIUMPH_FEATHER",IF(C3226=TRUE,F3226,0),0)/100)*(1+IF(C3237=TRUE,F3237,0)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3219)</f>
        <v/>
      </c>
      <c r="L3219">
        <f>K3219*(MIN(Inputs!$B$23+(F3232-Calc!F22),(Inputs!$B$24+IF(ArtifactsInput!$M$15,CHOOSE(ArtifactsInput!$N$15+1,25,30,35,40,45,50)/100*(Inputs!$B$12-Inputs!$B$12),0)))/100+(Inputs!$B$24+IF(ArtifactsInput!$M$15,CHOOSE(ArtifactsInput!$N$15+1,25,30,35,40,45,50)/100*(Inputs!$B$12-Inputs!$B$12),0))/100)/2</f>
        <v/>
      </c>
      <c r="M3219">
        <f>L3219*(1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9">
        <f>L3219*(1-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3219*(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9">
        <f>(1-Summary!$B$11)*S3219+Summary!$B$11*U3219</f>
        <v/>
      </c>
      <c r="P3219">
        <f>IF(B3252=0,0,O3219/B3252)</f>
        <v/>
      </c>
      <c r="Q3219">
        <f>IFERROR(1/(IF(Inputs!$B$39="pvp",15,MAX(0.1,Skills!D9-IF(Skills!E9=TRUE,4.5,0)))*(1-IF(AND(ArtifactsInput!$M$27,Inputs!$B$4="Chapter Hunt"),CHOOSE(ArtifactsInput!$N$27+1,20,24,28,32,36,40),0)/100)),0)</f>
        <v/>
      </c>
      <c r="R3219">
        <f>IF(AND(Inputs!$B$39&lt;&gt;"pvp",Inputs!$B$44&gt;0),IF(MAX(0,Inputs!$B$44-B3249)&lt;=0,0,(INT(MAX(0,Inputs!$B$44-B3249)/(IF(Inputs!$B$39="pvp",15,MAX(0.1,Skills!D9-IF(Skills!E9=TRUE,4.5,0)))*(1-IF(AND(ArtifactsInput!$M$27,Inputs!$B$4="Chapter Hunt"),CHOOSE(ArtifactsInput!$N$27+1,20,24,28,32,36,40),0)/100)))+1)),0)</f>
        <v/>
      </c>
      <c r="S3219">
        <f>IF(C3219,(H3219*N3219*IF(AND(Inputs!$B$39&lt;&gt;"pvp",Inputs!$B$44&gt;0),((Skills!F9*((R3219-1)*IF(Skills!G9&gt;0,Skills!H9/Skills!G9,1)+IF(Skills!G9&gt;0,MIN(Skills!H9,MAX(0,MAX(0,Inputs!$B$44-B3249)-((R3219-1)*(IF(Inputs!$B$39="pvp",15,MAX(0.1,Skills!D9-IF(Skills!E9=TRUE,4.5,0)))*(1-IF(AND(ArtifactsInput!$M$27,Inputs!$B$4="Chapter Hunt"),CHOOSE(ArtifactsInput!$N$27+1,20,24,28,32,36,40),0)/100)))))/Skills!G9,1)))/Inputs!$B$44),G3219*Q3219))*IF(Inputs!$B$39="pvp",1,1+(Inputs!$B$21+Skills!O9+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3219*(1-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3219*(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3219*(1-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3219*(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9">
        <f>IF(C3219,(H3219*N3219*IF(AND(Inputs!$B$39&lt;&gt;"pvp",Inputs!$B$44&gt;0),((Skills!F9*((R3219-1)*IF(Skills!G9&gt;0,Skills!H9/Skills!G9,1)+IF(Skills!G9&gt;0,MIN(Skills!H9,MAX(0,MAX(0,Inputs!$B$44-B3249)-((R3219-1)*(IF(Inputs!$B$39="pvp",15,MAX(0.1,Skills!D9-IF(Skills!E9=TRUE,4.5,0)))*(1-IF(AND(ArtifactsInput!$M$27,Inputs!$B$4="Chapter Hunt"),CHOOSE(ArtifactsInput!$N$27+1,20,24,28,32,36,40),0)/100)))))/Skills!G9,1)))/Inputs!$B$44),G3219*Q3219))*IF(Inputs!$B$39="pvp",1,(1+(Inputs!$B$22+Skills!P9+B3241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0">
      <c r="A3220">
        <f>Skills!A10</f>
        <v/>
      </c>
      <c r="B3220">
        <f>Skills!B10</f>
        <v/>
      </c>
      <c r="C3220">
        <f>Inputs!$B$3&gt;=66</f>
        <v/>
      </c>
      <c r="D3220">
        <f>IF(Skills!C10=1,60+Inputs!$B$26+Inputs!$B$30,IF(Skills!C10=2,90+Inputs!$B$27+Inputs!$B$30,IF(Skills!C10=3,120+Inputs!$B$28+Inputs!$B$30,MAX(0,(Inputs!$B$3-100)*3)+Inputs!$B$29+Inputs!$B$30)))</f>
        <v/>
      </c>
      <c r="E3220">
        <f>INDEX(FactorTable!$B$2:$Y$301, MATCH(ROUND(MIN(300,MAX(1,D3220)),0), FactorTable!$A$2:$A$301,0), Skills!L10+1)</f>
        <v/>
      </c>
      <c r="F3220" t="n">
        <v>0</v>
      </c>
      <c r="G3220">
        <f>Calc!G10</f>
        <v/>
      </c>
      <c r="H3220">
        <f>Calc!H10</f>
        <v/>
      </c>
      <c r="I3220">
        <f>IF(Skills!T10&lt;&gt;"",1+(Skills!T10/10)*($Z$3/1000)/100,1)</f>
        <v/>
      </c>
      <c r="J3220" t="inlineStr"/>
      <c r="K3220" t="inlineStr"/>
      <c r="L3220" t="inlineStr"/>
      <c r="M3220" t="inlineStr"/>
      <c r="N3220" t="inlineStr"/>
      <c r="O3220">
        <f>(1-Summary!$B$11)*S3220+Summary!$B$11*U3220</f>
        <v/>
      </c>
      <c r="P3220">
        <f>IF(B3252=0,0,O3220/B3252)</f>
        <v/>
      </c>
      <c r="Q3220">
        <f>IFERROR(1/(IF(Inputs!$B$39="pvp",15,MAX(0.1,Skills!D10-IF(Skills!E10=TRUE,4.5,0)))*(1-IF(AND(ArtifactsInput!$M$27,Inputs!$B$4="Chapter Hunt"),CHOOSE(ArtifactsInput!$N$27+1,20,24,28,32,36,40),0)/100)),0)</f>
        <v/>
      </c>
      <c r="R3220">
        <f>IF(AND(Inputs!$B$39&lt;&gt;"pvp",Inputs!$B$44&gt;0),IF(MAX(0,Inputs!$B$44-B3249)&lt;=0,0,(INT(MAX(0,Inputs!$B$44-B3249)/(IF(Inputs!$B$39="pvp",15,MAX(0.1,Skills!D10-IF(Skills!E10=TRUE,4.5,0)))*(1-IF(AND(ArtifactsInput!$M$27,Inputs!$B$4="Chapter Hunt"),CHOOSE(ArtifactsInput!$N$27+1,20,24,28,32,36,40),0)/100)))+1)),0)</f>
        <v/>
      </c>
      <c r="S3220" t="n">
        <v>0</v>
      </c>
      <c r="U3220" t="n">
        <v>0</v>
      </c>
    </row>
    <row r="3221">
      <c r="A3221">
        <f>Skills!A11</f>
        <v/>
      </c>
      <c r="B3221">
        <f>Skills!B11</f>
        <v/>
      </c>
      <c r="C3221">
        <f>Inputs!$B$3&gt;=69</f>
        <v/>
      </c>
      <c r="D3221">
        <f>IF(Skills!C11=1,60+Inputs!$B$26+Inputs!$B$30,IF(Skills!C11=2,90+Inputs!$B$27+Inputs!$B$30,IF(Skills!C11=3,120+Inputs!$B$28+Inputs!$B$30,MAX(0,(Inputs!$B$3-100)*3)+Inputs!$B$29+Inputs!$B$30)))</f>
        <v/>
      </c>
      <c r="E3221">
        <f>INDEX(FactorTable!$B$2:$Y$301, MATCH(ROUND(MIN(300,MAX(1,D3221)),0), FactorTable!$A$2:$A$301,0), Skills!L11+1)</f>
        <v/>
      </c>
      <c r="F3221">
        <f>IF(Skills!M11=TRUE,(Skills!K11/10)*(E3221/1000),Skills!K11/10)+Skills!N11</f>
        <v/>
      </c>
      <c r="G3221">
        <f>Calc!G11</f>
        <v/>
      </c>
      <c r="H3221">
        <f>Calc!H11</f>
        <v/>
      </c>
      <c r="I3221">
        <f>IF(Skills!T11&lt;&gt;"",1+(Skills!T11/10)*($Z$3/1000)/100,1)</f>
        <v/>
      </c>
      <c r="J3221" t="inlineStr"/>
      <c r="K3221" t="inlineStr"/>
      <c r="L3221" t="inlineStr"/>
      <c r="M3221" t="inlineStr"/>
      <c r="N3221" t="inlineStr"/>
      <c r="O3221">
        <f>(1-Summary!$B$11)*S3221+Summary!$B$11*U3221</f>
        <v/>
      </c>
      <c r="P3221">
        <f>IF(B3252=0,0,O3221/B3252)</f>
        <v/>
      </c>
      <c r="Q3221">
        <f>IFERROR(1/(IF(Inputs!$B$39="pvp",15,MAX(0.1,Skills!D11-IF(Skills!E11=TRUE,4.5,0)))*(1-IF(AND(ArtifactsInput!$M$27,Inputs!$B$4="Chapter Hunt"),CHOOSE(ArtifactsInput!$N$27+1,20,24,28,32,36,40),0)/100)),0)</f>
        <v/>
      </c>
      <c r="R3221">
        <f>IF(AND(Inputs!$B$39&lt;&gt;"pvp",Inputs!$B$44&gt;0),IF(Inputs!$B$44&lt;=0,0,(INT(Inputs!$B$44/(IF(Inputs!$B$39="pvp",15,MAX(0.1,Skills!D11-IF(Skills!E11=TRUE,4.5,0)))*(1-IF(AND(ArtifactsInput!$M$27,Inputs!$B$4="Chapter Hunt"),CHOOSE(ArtifactsInput!$N$27+1,20,24,28,32,36,40),0)/100)))+1)),0)</f>
        <v/>
      </c>
      <c r="S3221" t="n">
        <v>0</v>
      </c>
      <c r="U3221" t="n">
        <v>0</v>
      </c>
    </row>
    <row r="3222">
      <c r="A3222">
        <f>Skills!A12</f>
        <v/>
      </c>
      <c r="B3222">
        <f>Skills!B12</f>
        <v/>
      </c>
      <c r="C3222">
        <f>Inputs!$B$3&gt;=72</f>
        <v/>
      </c>
      <c r="D3222">
        <f>IF(Skills!C12=1,60+Inputs!$B$26+Inputs!$B$30,IF(Skills!C12=2,90+Inputs!$B$27+Inputs!$B$30,IF(Skills!C12=3,120+Inputs!$B$28+Inputs!$B$30,MAX(0,(Inputs!$B$3-100)*3)+Inputs!$B$29+Inputs!$B$30)))</f>
        <v/>
      </c>
      <c r="E3222">
        <f>INDEX(FactorTable!$B$2:$Y$301, MATCH(ROUND(MIN(300,MAX(1,D3222)),0), FactorTable!$A$2:$A$301,0), Skills!L12+1)</f>
        <v/>
      </c>
      <c r="F3222">
        <f>IF(Skills!M12=TRUE,(Skills!K12/10)*(E3222/1000),Skills!K12/10)+Skills!N12</f>
        <v/>
      </c>
      <c r="G3222">
        <f>Calc!G12</f>
        <v/>
      </c>
      <c r="H3222">
        <f>Calc!H12</f>
        <v/>
      </c>
      <c r="I3222">
        <f>IF(Skills!T12&lt;&gt;"",1+(Skills!T12/10)*($Z$3/1000)/100,1)</f>
        <v/>
      </c>
      <c r="J3222" t="inlineStr"/>
      <c r="K3222" t="inlineStr"/>
      <c r="L3222" t="inlineStr"/>
      <c r="M3222" t="inlineStr"/>
      <c r="N3222" t="inlineStr"/>
      <c r="O3222">
        <f>(1-Summary!$B$11)*S3222+Summary!$B$11*U3222</f>
        <v/>
      </c>
      <c r="P3222">
        <f>IF(B3252=0,0,O3222/B3252)</f>
        <v/>
      </c>
      <c r="Q3222">
        <f>IFERROR(1/(IF(Inputs!$B$39="pvp",15,MAX(0.1,Skills!D12-IF(Skills!E12=TRUE,4.5,0)))*(1-IF(AND(ArtifactsInput!$M$27,Inputs!$B$4="Chapter Hunt"),CHOOSE(ArtifactsInput!$N$27+1,20,24,28,32,36,40),0)/100)),0)</f>
        <v/>
      </c>
      <c r="R3222">
        <f>IF(AND(Inputs!$B$39&lt;&gt;"pvp",Inputs!$B$44&gt;0),IF(MAX(0,Inputs!$B$44-B3249)&lt;=0,0,(INT(MAX(0,Inputs!$B$44-B3249)/(IF(Inputs!$B$39="pvp",15,MAX(0.1,Skills!D12-IF(Skills!E12=TRUE,4.5,0)))*(1-IF(AND(ArtifactsInput!$M$27,Inputs!$B$4="Chapter Hunt"),CHOOSE(ArtifactsInput!$N$27+1,20,24,28,32,36,40),0)/100)))+1)),0)</f>
        <v/>
      </c>
      <c r="S3222" t="n">
        <v>0</v>
      </c>
      <c r="U3222" t="n">
        <v>0</v>
      </c>
    </row>
    <row r="3223">
      <c r="A3223">
        <f>Skills!A13</f>
        <v/>
      </c>
      <c r="B3223">
        <f>Skills!B13</f>
        <v/>
      </c>
      <c r="C3223">
        <f>Inputs!$B$3&gt;=60</f>
        <v/>
      </c>
      <c r="D3223">
        <f>IF(Skills!C13=1,60+Inputs!$B$26+Inputs!$B$30,IF(Skills!C13=2,90+Inputs!$B$27+Inputs!$B$30,IF(Skills!C13=3,120+Inputs!$B$28+Inputs!$B$30,MAX(0,(Inputs!$B$3-100)*3)+Inputs!$B$29+Inputs!$B$30)))</f>
        <v/>
      </c>
      <c r="E3223">
        <f>INDEX(FactorTable!$B$2:$Y$301, MATCH(ROUND(MIN(300,MAX(1,D3223)),0), FactorTable!$A$2:$A$301,0), Skills!L13+1)</f>
        <v/>
      </c>
      <c r="F3223">
        <f>IF(Skills!M13=TRUE,(Skills!K13/10)*(E3223/1000),Skills!K13/10)+Skills!N13</f>
        <v/>
      </c>
      <c r="G3223">
        <f>Calc!G13</f>
        <v/>
      </c>
      <c r="H3223">
        <f>Calc!H13</f>
        <v/>
      </c>
      <c r="I3223">
        <f>IF(Skills!T13&lt;&gt;"",1+(Skills!T13/10)*($Z$3/1000)/100,1)</f>
        <v/>
      </c>
      <c r="J3223" t="inlineStr"/>
      <c r="K3223" t="inlineStr"/>
      <c r="L3223" t="inlineStr"/>
      <c r="M3223" t="inlineStr"/>
      <c r="N3223" t="inlineStr"/>
      <c r="O3223">
        <f>(1-Summary!$B$11)*S3223+Summary!$B$11*U3223</f>
        <v/>
      </c>
      <c r="P3223">
        <f>IF(B3252=0,0,O3223/B3252)</f>
        <v/>
      </c>
      <c r="Q3223">
        <f>IFERROR(1/(IF(Inputs!$B$39="pvp",15,MAX(0.1,Skills!D13-IF(Skills!E13=TRUE,4.5,0)))*(1-IF(AND(ArtifactsInput!$M$27,Inputs!$B$4="Chapter Hunt"),CHOOSE(ArtifactsInput!$N$27+1,20,24,28,32,36,40),0)/100)),0)</f>
        <v/>
      </c>
      <c r="R3223">
        <f>IF(AND(Inputs!$B$39&lt;&gt;"pvp",Inputs!$B$44&gt;0),IF(MAX(0,Inputs!$B$44-B3249)&lt;=0,0,(INT(MAX(0,Inputs!$B$44-B3249)/(IF(Inputs!$B$39="pvp",15,MAX(0.1,Skills!D13-IF(Skills!E13=TRUE,4.5,0)))*(1-IF(AND(ArtifactsInput!$M$27,Inputs!$B$4="Chapter Hunt"),CHOOSE(ArtifactsInput!$N$27+1,20,24,28,32,36,40),0)/100)))+1)),0)</f>
        <v/>
      </c>
      <c r="S3223" t="n">
        <v>0</v>
      </c>
      <c r="U3223" t="n">
        <v>0</v>
      </c>
    </row>
    <row r="3224">
      <c r="A3224">
        <f>Skills!A14</f>
        <v/>
      </c>
      <c r="B3224">
        <f>Skills!B14</f>
        <v/>
      </c>
      <c r="C3224">
        <f>Inputs!$B$3&gt;=107</f>
        <v/>
      </c>
      <c r="D3224">
        <f>IF(Skills!C14=1,60+Inputs!$B$26+Inputs!$B$30,IF(Skills!C14=2,90+Inputs!$B$27+Inputs!$B$30,IF(Skills!C14=3,120+Inputs!$B$28+Inputs!$B$30,MAX(0,(Inputs!$B$3-100)*3)+Inputs!$B$29+Inputs!$B$30)))</f>
        <v/>
      </c>
      <c r="E3224">
        <f>INDEX(FactorTable!$B$2:$Y$301, MATCH(ROUND(MIN(300,MAX(1,D3224)),0), FactorTable!$A$2:$A$301,0), Skills!L14+1)</f>
        <v/>
      </c>
      <c r="F3224">
        <f>IF(Skills!M14=TRUE,(Skills!K14/10)*(E3224/1000),Skills!K14/10)+Skills!N14</f>
        <v/>
      </c>
      <c r="G3224">
        <f>Calc!G14</f>
        <v/>
      </c>
      <c r="H3224">
        <f>Calc!H14</f>
        <v/>
      </c>
      <c r="I3224">
        <f>IF(Skills!T14&lt;&gt;"",1+(Skills!T14/10)*($Z$3/1000)/100,1)</f>
        <v/>
      </c>
      <c r="J3224" t="inlineStr"/>
      <c r="K3224" t="inlineStr"/>
      <c r="L3224" t="inlineStr"/>
      <c r="M3224" t="inlineStr"/>
      <c r="N3224" t="inlineStr"/>
      <c r="O3224">
        <f>(1-Summary!$B$11)*S3224+Summary!$B$11*U3224</f>
        <v/>
      </c>
      <c r="P3224">
        <f>IF(B3252=0,0,O3224/B3252)</f>
        <v/>
      </c>
      <c r="Q3224">
        <f>IFERROR(1/(IF(Inputs!$B$39="pvp",15,MAX(0.1,Skills!D14-IF(Skills!E14=TRUE,4.5,0)))*(1-IF(AND(ArtifactsInput!$M$27,Inputs!$B$4="Chapter Hunt"),CHOOSE(ArtifactsInput!$N$27+1,20,24,28,32,36,40),0)/100)),0)</f>
        <v/>
      </c>
      <c r="R3224">
        <f>IF(AND(Inputs!$B$39&lt;&gt;"pvp",Inputs!$B$44&gt;0),IF(Inputs!$B$44&lt;=0,0,(INT(Inputs!$B$44/(IF(Inputs!$B$39="pvp",15,MAX(0.1,Skills!D14-IF(Skills!E14=TRUE,4.5,0)))*(1-IF(AND(ArtifactsInput!$M$27,Inputs!$B$4="Chapter Hunt"),CHOOSE(ArtifactsInput!$N$27+1,20,24,28,32,36,40),0)/100)))+1)),0)</f>
        <v/>
      </c>
      <c r="S3224" t="n">
        <v>0</v>
      </c>
      <c r="U3224" t="n">
        <v>0</v>
      </c>
    </row>
    <row r="3225">
      <c r="A3225">
        <f>Skills!A15</f>
        <v/>
      </c>
      <c r="B3225">
        <f>Skills!B15</f>
        <v/>
      </c>
      <c r="C3225">
        <f>Inputs!$B$3&gt;=63</f>
        <v/>
      </c>
      <c r="D3225">
        <f>IF(Skills!C15=1,60+Inputs!$B$26+Inputs!$B$30,IF(Skills!C15=2,90+Inputs!$B$27+Inputs!$B$30,IF(Skills!C15=3,120+Inputs!$B$28+Inputs!$B$30,MAX(0,(Inputs!$B$3-100)*3)+Inputs!$B$29+Inputs!$B$30)))</f>
        <v/>
      </c>
      <c r="E3225">
        <f>INDEX(FactorTable!$B$2:$Y$301, MATCH(ROUND(MIN(300,MAX(1,D3225)),0), FactorTable!$A$2:$A$301,0), Skills!L15+1)</f>
        <v/>
      </c>
      <c r="F3225">
        <f>IF(Skills!M15=TRUE,(Skills!K15/10)*(E3225/1000),Skills!K15/10)+Skills!N15</f>
        <v/>
      </c>
      <c r="G3225">
        <f>Calc!G15</f>
        <v/>
      </c>
      <c r="H3225">
        <f>Calc!H15</f>
        <v/>
      </c>
      <c r="I3225">
        <f>IF(Skills!T15&lt;&gt;"",1+(Skills!T15/10)*($Z$3/1000)/100,1)</f>
        <v/>
      </c>
      <c r="J3225">
        <f>((Inputs!$B$6*(1+Inputs!$B$7/100))+(((Inputs!$B$13*(1+Inputs!$B$14/100))-(Inputs!$B$13*(1+Inputs!$B$14/100)))+0.25*(Inputs!$B$15-Inputs!$B$15))*(1+Inputs!$B$7/100))*(F3225/100)</f>
        <v/>
      </c>
      <c r="K3225">
        <f>J3225*(1+(((Inputs!$B$13+IF(Inputs!$B$3&gt;=35,(10*INDEX(FactorTable!$B$2:$Y$301,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15="TRIUMPH_FEATHER",IF(C3226=TRUE,F3226,0),0)/100)*(1+IF(C3237=TRUE,F3237,0)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3225)</f>
        <v/>
      </c>
      <c r="L3225">
        <f>K3225*(MIN(Inputs!$B$23+(F3232-Calc!F22),(Inputs!$B$24+IF(ArtifactsInput!$M$15,CHOOSE(ArtifactsInput!$N$15+1,25,30,35,40,45,50)/100*(Inputs!$B$12-Inputs!$B$12),0)))/100+(Inputs!$B$24+IF(ArtifactsInput!$M$15,CHOOSE(ArtifactsInput!$N$15+1,25,30,35,40,45,50)/100*(Inputs!$B$12-Inputs!$B$12),0))/100)/2</f>
        <v/>
      </c>
      <c r="M3225">
        <f>L3225*(1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25">
        <f>L3225*(1-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(1-Summary!$B$11)*S3225+Summary!$B$11*U3225</f>
        <v/>
      </c>
      <c r="P3225">
        <f>IF(B3252=0,0,O3225/B3252)</f>
        <v/>
      </c>
      <c r="Q3225">
        <f>IFERROR(1/(IF(Inputs!$B$39="pvp",15,MAX(0.1,Skills!D15-IF(Skills!E15=TRUE,4.5,0)))*(1-IF(AND(ArtifactsInput!$M$27,Inputs!$B$4="Chapter Hunt"),CHOOSE(ArtifactsInput!$N$27+1,20,24,28,32,36,40),0)/100)),0)</f>
        <v/>
      </c>
      <c r="R3225" t="n">
        <v>0</v>
      </c>
      <c r="S3225">
        <f>IF(C3225,(Skills!F15*N3225*((IF(Inputs!$B$3&gt;=78,25,15)/100*B3245*10)/(1+IF(Inputs!$B$3&gt;=78,25,15)/100*B3245*10))*(Skills!I15/100*B3245)/(1+Skills!G15*Skills!I15/100*B3245))*IF(Inputs!$B$39="pvp",1,1+(Inputs!$B$21+Skills!O15+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3225*(1-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F(C3225,(Skills!F15*N3225*((IF(Inputs!$B$3&gt;=78,25,15)/100*B3245*10)/(1+IF(Inputs!$B$3&gt;=78,25,15)/100*B3245*10))*(Skills!I15/100*B3245)/(1+Skills!G15*Skills!I15/100*B3245))*IF(Inputs!$B$39="pvp",1,(1+(Inputs!$B$22+Skills!P15+B3241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Skills!A16</f>
        <v/>
      </c>
      <c r="B3226">
        <f>Skills!B16</f>
        <v/>
      </c>
      <c r="C3226">
        <f>Inputs!$B$3&gt;=100</f>
        <v/>
      </c>
      <c r="D3226">
        <f>IF(Skills!C16=1,60+Inputs!$B$26+Inputs!$B$30,IF(Skills!C16=2,90+Inputs!$B$27+Inputs!$B$30,IF(Skills!C16=3,120+Inputs!$B$28+Inputs!$B$30,MAX(0,(Inputs!$B$3-100)*3)+Inputs!$B$29+Inputs!$B$30)))</f>
        <v/>
      </c>
      <c r="E3226">
        <f>INDEX(FactorTable!$B$2:$Y$301, MATCH(ROUND(MIN(300,MAX(1,D3226)),0), FactorTable!$A$2:$A$301,0), Skills!L16+1)</f>
        <v/>
      </c>
      <c r="F3226">
        <f>IF(Skills!M16=TRUE,(Skills!K16/10)*(E3226/1000),Skills!K16/10)+Skills!N16</f>
        <v/>
      </c>
      <c r="G3226">
        <f>Calc!G16</f>
        <v/>
      </c>
      <c r="H3226">
        <f>Calc!H16</f>
        <v/>
      </c>
      <c r="I3226">
        <f>IF(Skills!T16&lt;&gt;"",1+(Skills!T16/10)*($Z$3/1000)/100,1)</f>
        <v/>
      </c>
      <c r="J3226" t="inlineStr"/>
      <c r="K3226" t="inlineStr"/>
      <c r="L3226" t="inlineStr"/>
      <c r="M3226" t="inlineStr"/>
      <c r="N3226" t="inlineStr"/>
      <c r="O3226">
        <f>(1-Summary!$B$11)*S3226+Summary!$B$11*U3226</f>
        <v/>
      </c>
      <c r="P3226">
        <f>IF(B3252=0,0,O3226/B3252)</f>
        <v/>
      </c>
      <c r="Q3226">
        <f>IFERROR(1/(IF(Inputs!$B$39="pvp",15,MAX(0.1,Skills!D16-IF(Skills!E16=TRUE,4.5,0)))*(1-IF(AND(ArtifactsInput!$M$27,Inputs!$B$4="Chapter Hunt"),CHOOSE(ArtifactsInput!$N$27+1,20,24,28,32,36,40),0)/100)),0)</f>
        <v/>
      </c>
      <c r="R3226" t="n">
        <v>0</v>
      </c>
      <c r="S3226" t="n">
        <v>0</v>
      </c>
      <c r="U3226" t="n">
        <v>0</v>
      </c>
    </row>
    <row r="3227">
      <c r="A3227">
        <f>Skills!A17</f>
        <v/>
      </c>
      <c r="B3227">
        <f>Skills!B17</f>
        <v/>
      </c>
      <c r="C3227">
        <f>Inputs!$B$3&gt;=49</f>
        <v/>
      </c>
      <c r="D3227">
        <f>IF(Skills!C17=1,60+Inputs!$B$26+Inputs!$B$30,IF(Skills!C17=2,90+Inputs!$B$27+Inputs!$B$30,IF(Skills!C17=3,120+Inputs!$B$28+Inputs!$B$30,MAX(0,(Inputs!$B$3-100)*3)+Inputs!$B$29+Inputs!$B$30)))</f>
        <v/>
      </c>
      <c r="E3227">
        <f>INDEX(FactorTable!$B$2:$Y$301, MATCH(ROUND(MIN(300,MAX(1,D3227)),0), FactorTable!$A$2:$A$301,0), Skills!L17+1)</f>
        <v/>
      </c>
      <c r="F3227">
        <f>IF(Skills!M17=TRUE,(Skills!K17/10)*(E3227/1000),Skills!K17/10)+Skills!N17</f>
        <v/>
      </c>
      <c r="G3227">
        <f>Calc!G17</f>
        <v/>
      </c>
      <c r="H3227">
        <f>Calc!H17</f>
        <v/>
      </c>
      <c r="I3227">
        <f>IF(Skills!T17&lt;&gt;"",1+(Skills!T17/10)*($Z$3/1000)/100,1)</f>
        <v/>
      </c>
      <c r="J3227" t="inlineStr"/>
      <c r="K3227" t="inlineStr"/>
      <c r="L3227" t="inlineStr"/>
      <c r="M3227" t="inlineStr"/>
      <c r="N3227" t="inlineStr"/>
      <c r="O3227">
        <f>(1-Summary!$B$11)*S3227+Summary!$B$11*U3227</f>
        <v/>
      </c>
      <c r="P3227">
        <f>IF(B3252=0,0,O3227/B3252)</f>
        <v/>
      </c>
      <c r="Q3227">
        <f>IFERROR(1/(IF(Inputs!$B$39="pvp",15,MAX(0.1,Skills!D17-IF(Skills!E17=TRUE,4.5,0)))*(1-IF(AND(ArtifactsInput!$M$27,Inputs!$B$4="Chapter Hunt"),CHOOSE(ArtifactsInput!$N$27+1,20,24,28,32,36,40),0)/100)),0)</f>
        <v/>
      </c>
      <c r="R3227" t="n">
        <v>0</v>
      </c>
      <c r="S3227" t="n">
        <v>0</v>
      </c>
      <c r="U3227" t="n">
        <v>0</v>
      </c>
    </row>
    <row r="3228">
      <c r="A3228">
        <f>Skills!A18</f>
        <v/>
      </c>
      <c r="B3228">
        <f>Skills!B18</f>
        <v/>
      </c>
      <c r="C3228">
        <f>Inputs!$B$3&gt;=75</f>
        <v/>
      </c>
      <c r="D3228">
        <f>IF(Skills!C18=1,60+Inputs!$B$26+Inputs!$B$30,IF(Skills!C18=2,90+Inputs!$B$27+Inputs!$B$30,IF(Skills!C18=3,120+Inputs!$B$28+Inputs!$B$30,MAX(0,(Inputs!$B$3-100)*3)+Inputs!$B$29+Inputs!$B$30)))</f>
        <v/>
      </c>
      <c r="E3228">
        <f>INDEX(FactorTable!$B$2:$Y$301, MATCH(ROUND(MIN(300,MAX(1,D3228)),0), FactorTable!$A$2:$A$301,0), Skills!L18+1)</f>
        <v/>
      </c>
      <c r="F3228">
        <f>IF(Skills!M18=TRUE,(Skills!K18/10)*(E3228/1000),Skills!K18/10)+Skills!N18</f>
        <v/>
      </c>
      <c r="G3228">
        <f>Calc!G18</f>
        <v/>
      </c>
      <c r="H3228">
        <f>Calc!H18</f>
        <v/>
      </c>
      <c r="I3228">
        <f>IF(Skills!T18&lt;&gt;"",1+(Skills!T18/10)*($Z$3/1000)/100,1)</f>
        <v/>
      </c>
      <c r="J3228" t="inlineStr"/>
      <c r="K3228" t="inlineStr"/>
      <c r="L3228" t="inlineStr"/>
      <c r="M3228" t="inlineStr"/>
      <c r="N3228" t="inlineStr"/>
      <c r="O3228">
        <f>(1-Summary!$B$11)*S3228+Summary!$B$11*U3228</f>
        <v/>
      </c>
      <c r="P3228">
        <f>IF(B3252=0,0,O3228/B3252)</f>
        <v/>
      </c>
      <c r="Q3228">
        <f>IFERROR(1/(IF(Inputs!$B$39="pvp",15,MAX(0.1,Skills!D18-IF(Skills!E18=TRUE,4.5,0)))*(1-IF(AND(ArtifactsInput!$M$27,Inputs!$B$4="Chapter Hunt"),CHOOSE(ArtifactsInput!$N$27+1,20,24,28,32,36,40),0)/100)),0)</f>
        <v/>
      </c>
      <c r="R3228" t="n">
        <v>0</v>
      </c>
      <c r="S3228" t="n">
        <v>0</v>
      </c>
      <c r="U3228" t="n">
        <v>0</v>
      </c>
    </row>
    <row r="3229">
      <c r="A3229">
        <f>Skills!A19</f>
        <v/>
      </c>
      <c r="B3229">
        <f>Skills!B19</f>
        <v/>
      </c>
      <c r="C3229">
        <f>Inputs!$B$3&gt;=110</f>
        <v/>
      </c>
      <c r="D3229">
        <f>IF(Skills!C19=1,60+Inputs!$B$26+Inputs!$B$30,IF(Skills!C19=2,90+Inputs!$B$27+Inputs!$B$30,IF(Skills!C19=3,120+Inputs!$B$28+Inputs!$B$30,MAX(0,(Inputs!$B$3-100)*3)+Inputs!$B$29+Inputs!$B$30)))</f>
        <v/>
      </c>
      <c r="E3229">
        <f>INDEX(FactorTable!$B$2:$Y$301, MATCH(ROUND(MIN(300,MAX(1,D3229)),0), FactorTable!$A$2:$A$301,0), Skills!L19+1)</f>
        <v/>
      </c>
      <c r="F3229">
        <f>(Skills!K19/10)*(E3229/1000)*64/45+Skills!N19</f>
        <v/>
      </c>
      <c r="G3229">
        <f>Calc!G19</f>
        <v/>
      </c>
      <c r="H3229">
        <f>Calc!H19</f>
        <v/>
      </c>
      <c r="I3229">
        <f>IF(Skills!T19&lt;&gt;"",1+(Skills!T19/10)*($Z$3/1000)/100,1)</f>
        <v/>
      </c>
      <c r="J3229" t="inlineStr"/>
      <c r="K3229" t="inlineStr"/>
      <c r="L3229" t="inlineStr"/>
      <c r="M3229" t="inlineStr"/>
      <c r="N3229" t="inlineStr"/>
      <c r="O3229">
        <f>(1-Summary!$B$11)*S3229+Summary!$B$11*U3229</f>
        <v/>
      </c>
      <c r="P3229">
        <f>IF(B3252=0,0,O3229/B3252)</f>
        <v/>
      </c>
      <c r="Q3229">
        <f>IFERROR(1/(IF(Inputs!$B$39="pvp",15,MAX(0.1,Skills!D19-IF(Skills!E19=TRUE,4.5,0)))*(1-IF(AND(ArtifactsInput!$M$27,Inputs!$B$4="Chapter Hunt"),CHOOSE(ArtifactsInput!$N$27+1,20,24,28,32,36,40),0)/100)),0)</f>
        <v/>
      </c>
      <c r="R3229">
        <f>IF(AND(Inputs!$B$39&lt;&gt;"pvp",Inputs!$B$44&gt;0),IF(Inputs!$B$44&lt;=0,0,(INT(Inputs!$B$44/(IF(Inputs!$B$39="pvp",15,MAX(0.1,Skills!D19-IF(Skills!E19=TRUE,4.5,0)))*(1-IF(AND(ArtifactsInput!$M$27,Inputs!$B$4="Chapter Hunt"),CHOOSE(ArtifactsInput!$N$27+1,20,24,28,32,36,40),0)/100)))+1)),0)</f>
        <v/>
      </c>
      <c r="S3229" t="n">
        <v>0</v>
      </c>
      <c r="U3229" t="n">
        <v>0</v>
      </c>
    </row>
    <row r="3230">
      <c r="A3230">
        <f>Skills!A20</f>
        <v/>
      </c>
      <c r="B3230">
        <f>Skills!B20</f>
        <v/>
      </c>
      <c r="C3230">
        <f>Inputs!$B$3&gt;=125</f>
        <v/>
      </c>
      <c r="D3230">
        <f>IF(Skills!C20=1,60+Inputs!$B$26+Inputs!$B$30,IF(Skills!C20=2,90+Inputs!$B$27+Inputs!$B$30,IF(Skills!C20=3,120+Inputs!$B$28+Inputs!$B$30,MAX(0,(Inputs!$B$3-100)*3)+Inputs!$B$29+Inputs!$B$30)))</f>
        <v/>
      </c>
      <c r="E3230">
        <f>INDEX(FactorTable!$B$2:$Y$301, MATCH(ROUND(MIN(300,MAX(1,D3230)),0), FactorTable!$A$2:$A$301,0), Skills!L20+1)</f>
        <v/>
      </c>
      <c r="F3230">
        <f>IF(Skills!M20=TRUE,(Skills!K20/10)*(E3230/1000),Skills!K20/10)+Skills!N20</f>
        <v/>
      </c>
      <c r="G3230">
        <f>Calc!G20</f>
        <v/>
      </c>
      <c r="H3230">
        <f>Calc!H20</f>
        <v/>
      </c>
      <c r="I3230">
        <f>IF(Skills!T20&lt;&gt;"",1+(Skills!T20/10)*($Z$3/1000)/100,1)</f>
        <v/>
      </c>
      <c r="J3230" t="inlineStr"/>
      <c r="K3230" t="inlineStr"/>
      <c r="L3230" t="inlineStr"/>
      <c r="M3230" t="inlineStr"/>
      <c r="N3230" t="inlineStr"/>
      <c r="O3230">
        <f>(1-Summary!$B$11)*S3230+Summary!$B$11*U3230</f>
        <v/>
      </c>
      <c r="P3230">
        <f>IF(B3252=0,0,O3230/B3252)</f>
        <v/>
      </c>
      <c r="Q3230">
        <f>IFERROR(1/(IF(Inputs!$B$39="pvp",15,MAX(0.1,Skills!D20-IF(Skills!E20=TRUE,4.5,0)))*(1-IF(AND(ArtifactsInput!$M$27,Inputs!$B$4="Chapter Hunt"),CHOOSE(ArtifactsInput!$N$27+1,20,24,28,32,36,40),0)/100)),0)</f>
        <v/>
      </c>
      <c r="R3230" t="n">
        <v>0</v>
      </c>
      <c r="S3230" t="n">
        <v>0</v>
      </c>
      <c r="U3230" t="n">
        <v>0</v>
      </c>
    </row>
    <row r="3231">
      <c r="A3231">
        <f>Skills!A21</f>
        <v/>
      </c>
      <c r="B3231">
        <f>Skills!B21</f>
        <v/>
      </c>
      <c r="C3231">
        <f>Inputs!$B$3&gt;=33</f>
        <v/>
      </c>
      <c r="D3231">
        <f>IF(Skills!C21=1,60+Inputs!$B$26+Inputs!$B$30,IF(Skills!C21=2,90+Inputs!$B$27+Inputs!$B$30,IF(Skills!C21=3,120+Inputs!$B$28+Inputs!$B$30,MAX(0,(Inputs!$B$3-100)*3)+Inputs!$B$29+Inputs!$B$30)))</f>
        <v/>
      </c>
      <c r="E3231">
        <f>INDEX(FactorTable!$B$2:$Y$301, MATCH(ROUND(MIN(300,MAX(1,D3231)),0), FactorTable!$A$2:$A$301,0), Skills!L21+1)</f>
        <v/>
      </c>
      <c r="F3231">
        <f>IF(Skills!M21=TRUE,(Skills!K21/10)*(E3231/1000),Skills!K21/10)+Skills!N21</f>
        <v/>
      </c>
      <c r="G3231">
        <f>Calc!G21</f>
        <v/>
      </c>
      <c r="H3231">
        <f>Calc!H21</f>
        <v/>
      </c>
      <c r="I3231">
        <f>IF(Skills!T21&lt;&gt;"",1+(Skills!T21/10)*($Z$3/1000)/100,1)</f>
        <v/>
      </c>
      <c r="J3231" t="inlineStr"/>
      <c r="K3231" t="inlineStr"/>
      <c r="L3231" t="inlineStr"/>
      <c r="M3231" t="inlineStr"/>
      <c r="N3231" t="inlineStr"/>
      <c r="O3231">
        <f>(1-Summary!$B$11)*S3231+Summary!$B$11*U3231</f>
        <v/>
      </c>
      <c r="P3231">
        <f>IF(B3252=0,0,O3231/B3252)</f>
        <v/>
      </c>
      <c r="Q3231">
        <f>IFERROR(1/(IF(Inputs!$B$39="pvp",15,MAX(0.1,Skills!D21-IF(Skills!E21=TRUE,4.5,0)))*(1-IF(AND(ArtifactsInput!$M$27,Inputs!$B$4="Chapter Hunt"),CHOOSE(ArtifactsInput!$N$27+1,20,24,28,32,36,40),0)/100)),0)</f>
        <v/>
      </c>
      <c r="R3231" t="n">
        <v>0</v>
      </c>
      <c r="S3231" t="n">
        <v>0</v>
      </c>
      <c r="U3231" t="n">
        <v>0</v>
      </c>
    </row>
    <row r="3232">
      <c r="A3232">
        <f>Skills!A22</f>
        <v/>
      </c>
      <c r="B3232">
        <f>Skills!B22</f>
        <v/>
      </c>
      <c r="C3232">
        <f>Inputs!$B$3&gt;=43</f>
        <v/>
      </c>
      <c r="D3232">
        <f>IF(Skills!C22=1,60+Inputs!$B$26+Inputs!$B$30,IF(Skills!C22=2,90+Inputs!$B$27+Inputs!$B$30,IF(Skills!C22=3,120+Inputs!$B$28+Inputs!$B$30,MAX(0,(Inputs!$B$3-100)*3)+Inputs!$B$29+Inputs!$B$30)))</f>
        <v/>
      </c>
      <c r="E3232">
        <f>INDEX(FactorTable!$B$2:$Y$301, MATCH(ROUND(MIN(300,MAX(1,D3232)),0), FactorTable!$A$2:$A$301,0), Skills!L22+1)</f>
        <v/>
      </c>
      <c r="F3232">
        <f>IF(Skills!M22=TRUE,(Skills!K22/10)*(E3232/1000),Skills!K22/10)+Skills!N22</f>
        <v/>
      </c>
      <c r="G3232">
        <f>Calc!G22</f>
        <v/>
      </c>
      <c r="H3232">
        <f>Calc!H22</f>
        <v/>
      </c>
      <c r="I3232">
        <f>IF(Skills!T22&lt;&gt;"",1+(Skills!T22/10)*($Z$3/1000)/100,1)</f>
        <v/>
      </c>
      <c r="J3232" t="inlineStr"/>
      <c r="K3232" t="inlineStr"/>
      <c r="L3232" t="inlineStr"/>
      <c r="M3232" t="inlineStr"/>
      <c r="N3232" t="inlineStr"/>
      <c r="O3232">
        <f>(1-Summary!$B$11)*S3232+Summary!$B$11*U3232</f>
        <v/>
      </c>
      <c r="P3232">
        <f>IF(B3252=0,0,O3232/B3252)</f>
        <v/>
      </c>
      <c r="Q3232">
        <f>IFERROR(1/(IF(Inputs!$B$39="pvp",15,MAX(0.1,Skills!D22-IF(Skills!E22=TRUE,4.5,0)))*(1-IF(AND(ArtifactsInput!$M$27,Inputs!$B$4="Chapter Hunt"),CHOOSE(ArtifactsInput!$N$27+1,20,24,28,32,36,40),0)/100)),0)</f>
        <v/>
      </c>
      <c r="R3232" t="n">
        <v>0</v>
      </c>
      <c r="S3232" t="n">
        <v>0</v>
      </c>
      <c r="U3232" t="n">
        <v>0</v>
      </c>
    </row>
    <row r="3233">
      <c r="A3233">
        <f>Skills!A23</f>
        <v/>
      </c>
      <c r="B3233">
        <f>Skills!B23</f>
        <v/>
      </c>
      <c r="C3233">
        <f>Inputs!$B$3&gt;=50</f>
        <v/>
      </c>
      <c r="D3233">
        <f>IF(Skills!C23=1,60+Inputs!$B$26+Inputs!$B$30,IF(Skills!C23=2,90+Inputs!$B$27+Inputs!$B$30,IF(Skills!C23=3,120+Inputs!$B$28+Inputs!$B$30,MAX(0,(Inputs!$B$3-100)*3)+Inputs!$B$29+Inputs!$B$30)))</f>
        <v/>
      </c>
      <c r="E3233">
        <f>INDEX(FactorTable!$B$2:$Y$301, MATCH(ROUND(MIN(300,MAX(1,D3233)),0), FactorTable!$A$2:$A$301,0), Skills!L23+1)</f>
        <v/>
      </c>
      <c r="F3233">
        <f>IF(Skills!M23=TRUE,(Skills!K23/10)*(E3233/1000),Skills!K23/10)+Skills!N23</f>
        <v/>
      </c>
      <c r="G3233">
        <f>Calc!G23</f>
        <v/>
      </c>
      <c r="H3233">
        <f>Calc!H23</f>
        <v/>
      </c>
      <c r="I3233">
        <f>IF(Skills!T23&lt;&gt;"",1+(Skills!T23/10)*($Z$3/1000)/100,1)</f>
        <v/>
      </c>
      <c r="J3233" t="inlineStr"/>
      <c r="K3233" t="inlineStr"/>
      <c r="L3233" t="inlineStr"/>
      <c r="M3233" t="inlineStr"/>
      <c r="N3233" t="inlineStr"/>
      <c r="O3233">
        <f>(1-Summary!$B$11)*S3233+Summary!$B$11*U3233</f>
        <v/>
      </c>
      <c r="P3233">
        <f>IF(B3252=0,0,O3233/B3252)</f>
        <v/>
      </c>
      <c r="Q3233">
        <f>IFERROR(1/(IF(Inputs!$B$39="pvp",15,MAX(0.1,Skills!D23-IF(Skills!E23=TRUE,4.5,0)))*(1-IF(AND(ArtifactsInput!$M$27,Inputs!$B$4="Chapter Hunt"),CHOOSE(ArtifactsInput!$N$27+1,20,24,28,32,36,40),0)/100)),0)</f>
        <v/>
      </c>
      <c r="R3233" t="n">
        <v>0</v>
      </c>
      <c r="S3233" t="n">
        <v>0</v>
      </c>
      <c r="U3233" t="n">
        <v>0</v>
      </c>
    </row>
    <row r="3234">
      <c r="A3234">
        <f>Skills!A24</f>
        <v/>
      </c>
      <c r="B3234">
        <f>Skills!B24</f>
        <v/>
      </c>
      <c r="C3234">
        <f>Inputs!$B$3&gt;=74</f>
        <v/>
      </c>
      <c r="D3234">
        <f>IF(Skills!C24=1,60+Inputs!$B$26+Inputs!$B$30,IF(Skills!C24=2,90+Inputs!$B$27+Inputs!$B$30,IF(Skills!C24=3,120+Inputs!$B$28+Inputs!$B$30,MAX(0,(Inputs!$B$3-100)*3)+Inputs!$B$29+Inputs!$B$30)))</f>
        <v/>
      </c>
      <c r="E3234">
        <f>INDEX(FactorTable!$B$2:$Y$301, MATCH(ROUND(MIN(300,MAX(1,D3234)),0), FactorTable!$A$2:$A$301,0), Skills!L24+1)</f>
        <v/>
      </c>
      <c r="F3234">
        <f>IF(Skills!M24=TRUE,(Skills!K24/10)*(E3234/1000),Skills!K24/10)+Skills!N24</f>
        <v/>
      </c>
      <c r="G3234">
        <f>Calc!G24</f>
        <v/>
      </c>
      <c r="H3234">
        <f>Calc!H24</f>
        <v/>
      </c>
      <c r="I3234">
        <f>IF(Skills!T24&lt;&gt;"",1+(Skills!T24/10)*($Z$3/1000)/100,1)</f>
        <v/>
      </c>
      <c r="J3234" t="inlineStr"/>
      <c r="K3234" t="inlineStr"/>
      <c r="L3234" t="inlineStr"/>
      <c r="M3234" t="inlineStr"/>
      <c r="N3234" t="inlineStr"/>
      <c r="O3234">
        <f>(1-Summary!$B$11)*S3234+Summary!$B$11*U3234</f>
        <v/>
      </c>
      <c r="P3234">
        <f>IF(B3252=0,0,O3234/B3252)</f>
        <v/>
      </c>
      <c r="Q3234">
        <f>IFERROR(1/(IF(Inputs!$B$39="pvp",15,MAX(0.1,Skills!D24-IF(Skills!E24=TRUE,4.5,0)))*(1-IF(AND(ArtifactsInput!$M$27,Inputs!$B$4="Chapter Hunt"),CHOOSE(ArtifactsInput!$N$27+1,20,24,28,32,36,40),0)/100)),0)</f>
        <v/>
      </c>
      <c r="R3234" t="n">
        <v>0</v>
      </c>
      <c r="S3234" t="n">
        <v>0</v>
      </c>
      <c r="U3234" t="n">
        <v>0</v>
      </c>
    </row>
    <row r="3235">
      <c r="A3235">
        <f>Skills!A25</f>
        <v/>
      </c>
      <c r="B3235">
        <f>Skills!B25</f>
        <v/>
      </c>
      <c r="C3235">
        <f>Inputs!$B$3&gt;=74</f>
        <v/>
      </c>
      <c r="D3235">
        <f>IF(Skills!C25=1,60+Inputs!$B$26+Inputs!$B$30,IF(Skills!C25=2,90+Inputs!$B$27+Inputs!$B$30,IF(Skills!C25=3,120+Inputs!$B$28+Inputs!$B$30,MAX(0,(Inputs!$B$3-100)*3)+Inputs!$B$29+Inputs!$B$30)))</f>
        <v/>
      </c>
      <c r="E3235">
        <f>INDEX(FactorTable!$B$2:$Y$301, MATCH(ROUND(MIN(300,MAX(1,D3235)),0), FactorTable!$A$2:$A$301,0), Skills!L25+1)</f>
        <v/>
      </c>
      <c r="F3235">
        <f>IF(Skills!M25=TRUE,(Skills!K25/10)*(E3235/1000),Skills!K25/10)+Skills!N25</f>
        <v/>
      </c>
      <c r="G3235">
        <f>Calc!G25</f>
        <v/>
      </c>
      <c r="H3235">
        <f>Calc!H25</f>
        <v/>
      </c>
      <c r="I3235">
        <f>IF(Skills!T25&lt;&gt;"",1+(Skills!T25/10)*($Z$3/1000)/100,1)</f>
        <v/>
      </c>
      <c r="J3235" t="inlineStr"/>
      <c r="K3235" t="inlineStr"/>
      <c r="L3235" t="inlineStr"/>
      <c r="M3235" t="inlineStr"/>
      <c r="N3235" t="inlineStr"/>
      <c r="O3235">
        <f>(1-Summary!$B$11)*S3235+Summary!$B$11*U3235</f>
        <v/>
      </c>
      <c r="P3235">
        <f>IF(B3252=0,0,O3235/B3252)</f>
        <v/>
      </c>
      <c r="Q3235">
        <f>IFERROR(1/(IF(Inputs!$B$39="pvp",15,MAX(0.1,Skills!D25-IF(Skills!E25=TRUE,4.5,0)))*(1-IF(AND(ArtifactsInput!$M$27,Inputs!$B$4="Chapter Hunt"),CHOOSE(ArtifactsInput!$N$27+1,20,24,28,32,36,40),0)/100)),0)</f>
        <v/>
      </c>
      <c r="R3235" t="n">
        <v>0</v>
      </c>
      <c r="S3235" t="n">
        <v>0</v>
      </c>
      <c r="U3235" t="n">
        <v>0</v>
      </c>
    </row>
    <row r="3236">
      <c r="A3236">
        <f>Skills!A26</f>
        <v/>
      </c>
      <c r="B3236">
        <f>Skills!B26</f>
        <v/>
      </c>
      <c r="C3236">
        <f>Inputs!$B$3&gt;=117</f>
        <v/>
      </c>
      <c r="D3236">
        <f>IF(Skills!C26=1,60+Inputs!$B$26+Inputs!$B$30,IF(Skills!C26=2,90+Inputs!$B$27+Inputs!$B$30,IF(Skills!C26=3,120+Inputs!$B$28+Inputs!$B$30,MAX(0,(Inputs!$B$3-100)*3)+Inputs!$B$29+Inputs!$B$30)))</f>
        <v/>
      </c>
      <c r="E3236">
        <f>INDEX(FactorTable!$B$2:$Y$301, MATCH(ROUND(MIN(300,MAX(1,D3236)),0), FactorTable!$A$2:$A$301,0), Skills!L26+1)</f>
        <v/>
      </c>
      <c r="F3236">
        <f>IF(Skills!M26=TRUE,(Skills!K26/10)*(E3236/1000),Skills!K26/10)+Skills!N26</f>
        <v/>
      </c>
      <c r="G3236">
        <f>Calc!G26</f>
        <v/>
      </c>
      <c r="H3236">
        <f>Calc!H26</f>
        <v/>
      </c>
      <c r="I3236">
        <f>IF(Skills!T26&lt;&gt;"",1+(Skills!T26/10)*($Z$3/1000)/100,1)</f>
        <v/>
      </c>
      <c r="J3236" t="inlineStr"/>
      <c r="K3236" t="inlineStr"/>
      <c r="L3236" t="inlineStr"/>
      <c r="M3236" t="inlineStr"/>
      <c r="N3236" t="inlineStr"/>
      <c r="O3236">
        <f>(1-Summary!$B$11)*S3236+Summary!$B$11*U3236</f>
        <v/>
      </c>
      <c r="P3236">
        <f>IF(B3252=0,0,O3236/B3252)</f>
        <v/>
      </c>
      <c r="Q3236">
        <f>IFERROR(1/(IF(Inputs!$B$39="pvp",15,MAX(0.1,Skills!D26-IF(Skills!E26=TRUE,4.5,0)))*(1-IF(AND(ArtifactsInput!$M$27,Inputs!$B$4="Chapter Hunt"),CHOOSE(ArtifactsInput!$N$27+1,20,24,28,32,36,40),0)/100)),0)</f>
        <v/>
      </c>
      <c r="R3236" t="n">
        <v>0</v>
      </c>
      <c r="S3236" t="n">
        <v>0</v>
      </c>
      <c r="U3236" t="n">
        <v>0</v>
      </c>
    </row>
    <row r="3237">
      <c r="A3237">
        <f>Skills!A27</f>
        <v/>
      </c>
      <c r="B3237">
        <f>Skills!B27</f>
        <v/>
      </c>
      <c r="C3237">
        <f>Inputs!$B$3&gt;=120</f>
        <v/>
      </c>
      <c r="D3237">
        <f>IF(Skills!C27=1,60+Inputs!$B$26+Inputs!$B$30,IF(Skills!C27=2,90+Inputs!$B$27+Inputs!$B$30,IF(Skills!C27=3,120+Inputs!$B$28+Inputs!$B$30,MAX(0,(Inputs!$B$3-100)*3)+Inputs!$B$29+Inputs!$B$30)))</f>
        <v/>
      </c>
      <c r="E3237">
        <f>INDEX(FactorTable!$B$2:$Y$301, MATCH(ROUND(MIN(300,MAX(1,D3237)),0), FactorTable!$A$2:$A$301,0), Skills!L27+1)</f>
        <v/>
      </c>
      <c r="F3237">
        <f>IF(Skills!M27=TRUE,(Skills!K27/10)*(E3237/1000),Skills!K27/10)+Skills!N27</f>
        <v/>
      </c>
      <c r="G3237">
        <f>Calc!G27</f>
        <v/>
      </c>
      <c r="H3237">
        <f>Calc!H27</f>
        <v/>
      </c>
      <c r="I3237">
        <f>IF(Skills!T27&lt;&gt;"",1+(Skills!T27/10)*($Z$3/1000)/100,1)</f>
        <v/>
      </c>
      <c r="J3237" t="inlineStr"/>
      <c r="K3237" t="inlineStr"/>
      <c r="L3237" t="inlineStr"/>
      <c r="M3237" t="inlineStr"/>
      <c r="N3237" t="inlineStr"/>
      <c r="O3237">
        <f>(1-Summary!$B$11)*S3237+Summary!$B$11*U3237</f>
        <v/>
      </c>
      <c r="P3237">
        <f>IF(B3252=0,0,O3237/B3252)</f>
        <v/>
      </c>
      <c r="Q3237">
        <f>IFERROR(1/(IF(Inputs!$B$39="pvp",15,MAX(0.1,Skills!D27-IF(Skills!E27=TRUE,4.5,0)))*(1-IF(AND(ArtifactsInput!$M$27,Inputs!$B$4="Chapter Hunt"),CHOOSE(ArtifactsInput!$N$27+1,20,24,28,32,36,40),0)/100)),0)</f>
        <v/>
      </c>
      <c r="R3237" t="n">
        <v>0</v>
      </c>
      <c r="S3237" t="n">
        <v>0</v>
      </c>
      <c r="U3237" t="n">
        <v>0</v>
      </c>
    </row>
    <row r="3239">
      <c r="A3239" t="inlineStr">
        <is>
          <t>Average Buff Multiplier</t>
        </is>
      </c>
      <c r="B3239">
        <f>(1+(IF(C3213=TRUE,F3213*IF(AND(Inputs!$B$39&lt;&gt;"pvp",Inputs!$B$44&gt;0),(((R3213-1)*(Skills!S3*(1+((Inputs!$B$35+(ArtifactsInput!$M$7-ArtifactsInput!$M$7)*CHOOSE(ArtifactsInput!$N$7+1,6,7.2,8.4,9.6,10.8,12))+IF(Inputs!$B$3&gt;=117,F3236,0))/100))+MIN((Skills!S3*(1+((Inputs!$B$35+(ArtifactsInput!$M$7-ArtifactsInput!$M$7)*CHOOSE(ArtifactsInput!$N$7+1,6,7.2,8.4,9.6,10.8,12))+IF(Inputs!$B$3&gt;=117,F3236,0))/100)),MAX(0,Inputs!$B$44-((R3213-1)*Skills!D3))))/Inputs!$B$44),IF(Inputs!$B$39="pvp",MIN((Skills!S3*(1+((Inputs!$B$35+(ArtifactsInput!$M$7-ArtifactsInput!$M$7)*CHOOSE(ArtifactsInput!$N$7+1,6,7.2,8.4,9.6,10.8,12))+IF(Inputs!$B$3&gt;=117,F3236,0))/100)),15)/15,(Skills!S3*(1+((Inputs!$B$35+(ArtifactsInput!$M$7-ArtifactsInput!$M$7)*CHOOSE(ArtifactsInput!$N$7+1,6,7.2,8.4,9.6,10.8,12))+IF(Inputs!$B$3&gt;=117,F3236,0))/100))/Skills!D3)),0)+IF(C3214=TRUE,F3214*IF(AND(Inputs!$B$39&lt;&gt;"pvp",Inputs!$B$44&gt;0),(((R3214-1)*(Skills!S4*(1+((Inputs!$B$35+(ArtifactsInput!$M$7-ArtifactsInput!$M$7)*CHOOSE(ArtifactsInput!$N$7+1,6,7.2,8.4,9.6,10.8,12))+IF(Inputs!$B$3&gt;=117,F3236,0))/100))+MIN((Skills!S4*(1+((Inputs!$B$35+(ArtifactsInput!$M$7-ArtifactsInput!$M$7)*CHOOSE(ArtifactsInput!$N$7+1,6,7.2,8.4,9.6,10.8,12))+IF(Inputs!$B$3&gt;=117,F3236,0))/100)),MAX(0,Inputs!$B$44-((R3214-1)*Skills!D4))))/Inputs!$B$44),IF(Inputs!$B$39="pvp",MIN((Skills!S4*(1+((Inputs!$B$35+(ArtifactsInput!$M$7-ArtifactsInput!$M$7)*CHOOSE(ArtifactsInput!$N$7+1,6,7.2,8.4,9.6,10.8,12))+IF(Inputs!$B$3&gt;=117,F3236,0))/100)),15)/15,(Skills!S4*(1+((Inputs!$B$35+(ArtifactsInput!$M$7-ArtifactsInput!$M$7)*CHOOSE(ArtifactsInput!$N$7+1,6,7.2,8.4,9.6,10.8,12))+IF(Inputs!$B$3&gt;=117,F3236,0))/100))/Skills!D4)),0)+IF(C3215=TRUE,F3215*IF(AND(Inputs!$B$39&lt;&gt;"pvp",Inputs!$B$44&gt;0),(((R3215-1)*(Skills!S5*(1+((Inputs!$B$35+(ArtifactsInput!$M$7-ArtifactsInput!$M$7)*CHOOSE(ArtifactsInput!$N$7+1,6,7.2,8.4,9.6,10.8,12))+IF(Inputs!$B$3&gt;=117,F3236,0))/100))+MIN((Skills!S5*(1+((Inputs!$B$35+(ArtifactsInput!$M$7-ArtifactsInput!$M$7)*CHOOSE(ArtifactsInput!$N$7+1,6,7.2,8.4,9.6,10.8,12))+IF(Inputs!$B$3&gt;=117,F3236,0))/100)),MAX(0,Inputs!$B$44-((R3215-1)*Skills!D5))))/Inputs!$B$44),IF(Inputs!$B$39="pvp",MIN((Skills!S5*(1+((Inputs!$B$35+(ArtifactsInput!$M$7-ArtifactsInput!$M$7)*CHOOSE(ArtifactsInput!$N$7+1,6,7.2,8.4,9.6,10.8,12))+IF(Inputs!$B$3&gt;=117,F3236,0))/100)),15)/15,(Skills!S5*(1+((Inputs!$B$35+(ArtifactsInput!$M$7-ArtifactsInput!$M$7)*CHOOSE(ArtifactsInput!$N$7+1,6,7.2,8.4,9.6,10.8,12))+IF(Inputs!$B$3&gt;=117,F3236,0))/100))/Skills!D5)),0)+IF(C3221=TRUE,F3221*IF(AND(Inputs!$B$39&lt;&gt;"pvp",Inputs!$B$44&gt;0),(((R3221-1)*(Skills!S11*(1+((Inputs!$B$35+(ArtifactsInput!$M$7-ArtifactsInput!$M$7)*CHOOSE(ArtifactsInput!$N$7+1,6,7.2,8.4,9.6,10.8,12))+IF(Inputs!$B$3&gt;=117,F3236,0))/100))+MIN((Skills!S11*(1+((Inputs!$B$35+(ArtifactsInput!$M$7-ArtifactsInput!$M$7)*CHOOSE(ArtifactsInput!$N$7+1,6,7.2,8.4,9.6,10.8,12))+IF(Inputs!$B$3&gt;=117,F3236,0))/100)),MAX(0,Inputs!$B$44-((R3221-1)*Skills!D11))))/Inputs!$B$44),IF(Inputs!$B$39="pvp",MIN((Skills!S11*(1+((Inputs!$B$35+(ArtifactsInput!$M$7-ArtifactsInput!$M$7)*CHOOSE(ArtifactsInput!$N$7+1,6,7.2,8.4,9.6,10.8,12))+IF(Inputs!$B$3&gt;=117,F3236,0))/100)),15)/15,(Skills!S11*(1+((Inputs!$B$35+(ArtifactsInput!$M$7-ArtifactsInput!$M$7)*CHOOSE(ArtifactsInput!$N$7+1,6,7.2,8.4,9.6,10.8,12))+IF(Inputs!$B$3&gt;=117,F3236,0)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3224=TRUE,(1+F3224*IF(AND(Inputs!$B$39&lt;&gt;"pvp",Inputs!$B$44&gt;0),(((R3224-1)*(Skills!S14*(1+((Inputs!$B$35+(ArtifactsInput!$M$7-ArtifactsInput!$M$7)*CHOOSE(ArtifactsInput!$N$7+1,6,7.2,8.4,9.6,10.8,12))+IF(Inputs!$B$3&gt;=117,F3236,0))/100))+MIN((Skills!S14*(1+((Inputs!$B$35+(ArtifactsInput!$M$7-ArtifactsInput!$M$7)*CHOOSE(ArtifactsInput!$N$7+1,6,7.2,8.4,9.6,10.8,12))+IF(Inputs!$B$3&gt;=117,F3236,0))/100)),MAX(0,Inputs!$B$44-((R3224-1)*Skills!D14))))/Inputs!$B$44),IF(Inputs!$B$39="pvp",MIN((Skills!S14*(1+((Inputs!$B$35+(ArtifactsInput!$M$7-ArtifactsInput!$M$7)*CHOOSE(ArtifactsInput!$N$7+1,6,7.2,8.4,9.6,10.8,12))+IF(Inputs!$B$3&gt;=117,F3236,0))/100)),15)/15,(Skills!S14*(1+((Inputs!$B$35+(ArtifactsInput!$M$7-ArtifactsInput!$M$7)*CHOOSE(ArtifactsInput!$N$7+1,6,7.2,8.4,9.6,10.8,12))+IF(Inputs!$B$3&gt;=117,F3236,0))/100))/Skills!D14))/100),1)*IF(C3229=TRUE,(1+F3229*IF(AND(Inputs!$B$39&lt;&gt;"pvp",Inputs!$B$44&gt;0),(((R3229-1)*(Skills!S19*(1+((Inputs!$B$35+(ArtifactsInput!$M$7-ArtifactsInput!$M$7)*CHOOSE(ArtifactsInput!$N$7+1,6,7.2,8.4,9.6,10.8,12))+IF(Inputs!$B$3&gt;=117,F3236,0))/100))+MIN((Skills!S19*(1+((Inputs!$B$35+(ArtifactsInput!$M$7-ArtifactsInput!$M$7)*CHOOSE(ArtifactsInput!$N$7+1,6,7.2,8.4,9.6,10.8,12))+IF(Inputs!$B$3&gt;=117,F3236,0))/100)),MAX(0,Inputs!$B$44-((R3229-1)*Skills!D19))))/Inputs!$B$44),IF(Inputs!$B$39="pvp",MIN((Skills!S19*(1+((Inputs!$B$35+(ArtifactsInput!$M$7-ArtifactsInput!$M$7)*CHOOSE(ArtifactsInput!$N$7+1,6,7.2,8.4,9.6,10.8,12))+IF(Inputs!$B$3&gt;=117,F3236,0))/100)),15)/15,(Skills!S19*(1+((Inputs!$B$35+(ArtifactsInput!$M$7-ArtifactsInput!$M$7)*CHOOSE(ArtifactsInput!$N$7+1,6,7.2,8.4,9.6,10.8,12))+IF(Inputs!$B$3&gt;=117,F3236,0))/100))/Skills!D19))/100),1)</f>
        <v/>
      </c>
    </row>
    <row r="3240">
      <c r="A3240" t="inlineStr">
        <is>
          <t>Monster Damage Taken Bonus % (Holy Fountain)</t>
        </is>
      </c>
      <c r="B3240">
        <f>IF(Inputs!$B$3&gt;=68,20*IF(Inputs!$B$39="pvp",MIN((15*(1+((Inputs!$B$35+(ArtifactsInput!$M$7-ArtifactsInput!$M$7)*CHOOSE(ArtifactsInput!$N$7+1,6,7.2,8.4,9.6,10.8,12))+IF(Inputs!$B$3&gt;=117,F3236,0))/100)),15)/15,(15*(1+((Inputs!$B$35+(ArtifactsInput!$M$7-ArtifactsInput!$M$7)*CHOOSE(ArtifactsInput!$N$7+1,6,7.2,8.4,9.6,10.8,12))+IF(Inputs!$B$3&gt;=117,F3236,0))/100))/Skills!D10),0)</f>
        <v/>
      </c>
    </row>
    <row r="3241">
      <c r="A3241" t="inlineStr">
        <is>
          <t>Normal Monster Damage Bonus % (Holy Symbol)</t>
        </is>
      </c>
      <c r="B3241">
        <f>IF(C3222=TRUE,F3222*IF(AND(Inputs!$B$39&lt;&gt;"pvp",Inputs!$B$44&gt;0),(((R3222-1)*(Skills!S12*(1+((Inputs!$B$35+(ArtifactsInput!$M$7-ArtifactsInput!$M$7)*CHOOSE(ArtifactsInput!$N$7+1,6,7.2,8.4,9.6,10.8,12))+IF(Inputs!$B$3&gt;=117,F3236,0))/100))+MIN((Skills!S12*(1+((Inputs!$B$35+(ArtifactsInput!$M$7-ArtifactsInput!$M$7)*CHOOSE(ArtifactsInput!$N$7+1,6,7.2,8.4,9.6,10.8,12))+IF(Inputs!$B$3&gt;=117,F3236,0))/100)),MAX(0,Inputs!$B$44-((R3222-1)*Skills!D12))))/Inputs!$B$44),IF(Inputs!$B$39="pvp",MIN((Skills!S12*(1+((Inputs!$B$35+(ArtifactsInput!$M$7-ArtifactsInput!$M$7)*CHOOSE(ArtifactsInput!$N$7+1,6,7.2,8.4,9.6,10.8,12))+IF(Inputs!$B$3&gt;=117,F3236,0))/100)),15)/15,(Skills!S12*(1+((Inputs!$B$35+(ArtifactsInput!$M$7-ArtifactsInput!$M$7)*CHOOSE(ArtifactsInput!$N$7+1,6,7.2,8.4,9.6,10.8,12))+IF(Inputs!$B$3&gt;=117,F3236,0))/100))/Skills!D12)),0)</f>
        <v/>
      </c>
    </row>
    <row r="3242">
      <c r="A3242" t="inlineStr">
        <is>
          <t>Damage % Bonus (Holy Symbol - Damage Boost)</t>
        </is>
      </c>
      <c r="B3242">
        <f>Skills!O12</f>
        <v/>
      </c>
    </row>
    <row r="3243">
      <c r="A3243" t="inlineStr">
        <is>
          <t>Crit Damage % Bonus (Blood of the Divine)</t>
        </is>
      </c>
      <c r="B3243">
        <f>4*IF(C3230=TRUE,F3230,0)</f>
        <v/>
      </c>
    </row>
    <row r="3244">
      <c r="A3244" t="inlineStr">
        <is>
          <t>Attack Speed Bonus %</t>
        </is>
      </c>
      <c r="B3244">
        <f>IF(C3227=TRUE,F3227+(F3231-Calc!F21),0)+IF(Inputs!$B$3&gt;=134,15,0)</f>
        <v/>
      </c>
    </row>
    <row r="3245">
      <c r="A3245" t="inlineStr">
        <is>
          <t>Actions Per Second</t>
        </is>
      </c>
      <c r="B3245">
        <f>1+MIN(150,150*(1-(1-Inputs!$B$12/150)*(1-B3244/150)))/100</f>
        <v/>
      </c>
    </row>
    <row r="3246">
      <c r="A3246" t="inlineStr">
        <is>
          <t>Skill + Buff Cast Rate</t>
        </is>
      </c>
      <c r="B3246">
        <f>IF(AND(Inputs!$B$39&lt;&gt;"pvp",Inputs!$B$44&gt;0),SUMPRODUCT((Skills!E2:E27=TRUE)*(C3212:C3237=TRUE)*R3212:R3237)/Inputs!$B$44,SUMPRODUCT((Skills!E2:E27=TRUE)*(C3212:C3237=TRUE)*Q3212:Q3237))</f>
        <v/>
      </c>
    </row>
    <row r="3247">
      <c r="A3247" t="inlineStr">
        <is>
          <t>Big Bang Casts Per Second</t>
        </is>
      </c>
      <c r="B3247">
        <f>MAX(0,B3245-B3246)</f>
        <v/>
      </c>
    </row>
    <row r="3248">
      <c r="A3248" t="inlineStr">
        <is>
          <t>Defense % Bonus (Divine Protection)</t>
        </is>
      </c>
      <c r="B3248">
        <f>IF(C3223=TRUE,F3223*IF(AND(Inputs!$B$39&lt;&gt;"pvp",Inputs!$B$44&gt;0),(((R3223-1)*(Skills!S13*(1+((Inputs!$B$35+(ArtifactsInput!$M$7-ArtifactsInput!$M$7)*CHOOSE(ArtifactsInput!$N$7+1,6,7.2,8.4,9.6,10.8,12))+IF(Inputs!$B$3&gt;=117,F3236,0))/100))+MIN((Skills!S13*(1+((Inputs!$B$35+(ArtifactsInput!$M$7-ArtifactsInput!$M$7)*CHOOSE(ArtifactsInput!$N$7+1,6,7.2,8.4,9.6,10.8,12))+IF(Inputs!$B$3&gt;=117,F3236,0))/100)),MAX(0,Inputs!$B$44-((R3223-1)*Skills!D13))))/Inputs!$B$44),IF(Inputs!$B$39="pvp",MIN((Skills!S13*(1+((Inputs!$B$35+(ArtifactsInput!$M$7-ArtifactsInput!$M$7)*CHOOSE(ArtifactsInput!$N$7+1,6,7.2,8.4,9.6,10.8,12))+IF(Inputs!$B$3&gt;=117,F3236,0))/100)),15)/15,(Skills!S13*(1+((Inputs!$B$35+(ArtifactsInput!$M$7-ArtifactsInput!$M$7)*CHOOSE(ArtifactsInput!$N$7+1,6,7.2,8.4,9.6,10.8,12))+IF(Inputs!$B$3&gt;=117,F3236,0))/100))/Skills!D13)),0)</f>
        <v/>
      </c>
    </row>
    <row r="3249">
      <c r="A3249" t="inlineStr">
        <is>
          <t>Buff-Casting Startup Delay (s, fixed-duration only)</t>
        </is>
      </c>
      <c r="B3249">
        <f>IF(AND(Inputs!$B$39&lt;&gt;"pvp",Inputs!$B$44&gt;0),SUMPRODUCT((Skills!S2:S27&gt;0)*(Skills!E2:E27=TRUE)*(C3212:C3237=TRUE))/B3245,0)</f>
        <v/>
      </c>
    </row>
    <row r="3250">
      <c r="A3250" t="inlineStr">
        <is>
          <t>Boss-Only Total DPS (this block's swept value)</t>
        </is>
      </c>
      <c r="B3250">
        <f>SUM(S3212:S3237)</f>
        <v/>
      </c>
    </row>
    <row r="3251">
      <c r="A3251" t="inlineStr">
        <is>
          <t>Normal-Only Total DPS (this block's swept value)</t>
        </is>
      </c>
      <c r="B3251">
        <f>SUM(U3212:U3237)</f>
        <v/>
      </c>
    </row>
    <row r="3252">
      <c r="A3252" s="6" t="inlineStr">
        <is>
          <t>TOTAL DPS</t>
        </is>
      </c>
      <c r="B3252" s="6">
        <f>SUM(O3212:O3237)</f>
        <v/>
      </c>
    </row>
    <row r="3254">
      <c r="A3254" s="6" t="inlineStr">
        <is>
          <t>Stat: CDR = 5.0s</t>
        </is>
      </c>
    </row>
    <row r="3255">
      <c r="A3255" s="5" t="inlineStr">
        <is>
          <t>Key</t>
        </is>
      </c>
      <c r="B3255" s="5" t="inlineStr">
        <is>
          <t>Name</t>
        </is>
      </c>
      <c r="C3255" s="5" t="inlineStr">
        <is>
          <t>Unlocked</t>
        </is>
      </c>
      <c r="D3255" s="5" t="inlineStr">
        <is>
          <t>InputLevel</t>
        </is>
      </c>
      <c r="E3255" s="5" t="inlineStr">
        <is>
          <t>Factor</t>
        </is>
      </c>
      <c r="F3255" s="5" t="inlineStr">
        <is>
          <t>CoefficientPercent</t>
        </is>
      </c>
      <c r="G3255" s="5" t="inlineStr">
        <is>
          <t>EffectiveHits</t>
        </is>
      </c>
      <c r="H3255" s="5" t="inlineStr">
        <is>
          <t>ProcProbability</t>
        </is>
      </c>
      <c r="I3255" s="5" t="inlineStr">
        <is>
          <t>MapleHeroMultiplier</t>
        </is>
      </c>
      <c r="J3255" s="5" t="inlineStr">
        <is>
          <t>BaseDamage</t>
        </is>
      </c>
      <c r="K3255" s="5" t="inlineStr">
        <is>
          <t>BaseHitDamage</t>
        </is>
      </c>
      <c r="L3255" s="5" t="inlineStr">
        <is>
          <t>NonCritAvg</t>
        </is>
      </c>
      <c r="M3255" s="5" t="inlineStr">
        <is>
          <t>CritAvg</t>
        </is>
      </c>
      <c r="N3255" s="5" t="inlineStr">
        <is>
          <t>ExpectedDamage(perHit)</t>
        </is>
      </c>
      <c r="O3255" s="5" t="inlineStr">
        <is>
          <t>DPS</t>
        </is>
      </c>
      <c r="P3255" s="5" t="inlineStr">
        <is>
          <t>% of Total</t>
        </is>
      </c>
      <c r="R3255" t="inlineStr">
        <is>
          <t>helpers</t>
        </is>
      </c>
    </row>
    <row r="3256">
      <c r="A3256">
        <f>Skills!A2</f>
        <v/>
      </c>
      <c r="B3256">
        <f>Skills!B2</f>
        <v/>
      </c>
      <c r="C3256">
        <f>Inputs!$B$3&gt;=100</f>
        <v/>
      </c>
      <c r="D3256" t="inlineStr"/>
      <c r="E3256" t="inlineStr"/>
      <c r="F3256">
        <f>T3258+Skills!N2</f>
        <v/>
      </c>
      <c r="G3256">
        <f>Calc!G2</f>
        <v/>
      </c>
      <c r="H3256">
        <f>Calc!H2</f>
        <v/>
      </c>
      <c r="I3256">
        <f>IF(Skills!T2&lt;&gt;"",1+(Skills!T2/10)*($Z$3/1000)/100,1)</f>
        <v/>
      </c>
      <c r="J3256">
        <f>((Inputs!$B$6*(1+Inputs!$B$7/100))+(((Inputs!$B$13*(1+Inputs!$B$14/100))-(Inputs!$B$13*(1+Inputs!$B$14/100)))+0.25*(Inputs!$B$15-Inputs!$B$15))*(1+Inputs!$B$7/100))*(F3256/100)</f>
        <v/>
      </c>
      <c r="K3256">
        <f>J3256*(1+(((Inputs!$B$13+IF(Inputs!$B$3&gt;=35,(10*INDEX(FactorTable!$B$2:$Y$301,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2="TRIUMPH_FEATHER",IF(C3270=TRUE,F3270,0),0)/100)*(1+IF(C3281=TRUE,F3281,0)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3256)</f>
        <v/>
      </c>
      <c r="L3256">
        <f>K3256*(MIN(Inputs!$B$23+(F3276-Calc!F22),(Inputs!$B$24+IF(ArtifactsInput!$M$15,CHOOSE(ArtifactsInput!$N$15+1,25,30,35,40,45,50)/100*(Inputs!$B$12-Inputs!$B$12),0)))/100+(Inputs!$B$24+IF(ArtifactsInput!$M$15,CHOOSE(ArtifactsInput!$N$15+1,25,30,35,40,45,50)/100*(Inputs!$B$12-Inputs!$B$12),0))/100)/2</f>
        <v/>
      </c>
      <c r="M3256">
        <f>L3256*(1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6">
        <f>L3256*(1-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3256*(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6">
        <f>(1-Summary!$B$11)*S3256+Summary!$B$11*U3256</f>
        <v/>
      </c>
      <c r="P3256">
        <f>IF(B3296=0,0,O3256/B3296)</f>
        <v/>
      </c>
      <c r="Q3256">
        <f>IFERROR(1/(IF(Inputs!$B$39="pvp",15,MAX(0.1,Skills!D2-IF(Skills!E2=TRUE,5.0,0)))*(1-IF(AND(ArtifactsInput!$M$27,Inputs!$B$4="Chapter Hunt"),CHOOSE(ArtifactsInput!$N$27+1,20,24,28,32,36,40),0)/100)),0)</f>
        <v/>
      </c>
      <c r="R3256" t="n">
        <v>0</v>
      </c>
      <c r="S3256">
        <f>IF(C3256,(Skills!F2*N3256*B3291)*IF(Inputs!$B$39="pvp",1,1+(Inputs!$B$21+Skills!O2+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3256*(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3256*(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56">
        <f>MAX(0,(Inputs!$B$3-100)*3)+Inputs!$B$29+Inputs!$B$30</f>
        <v/>
      </c>
      <c r="U3256">
        <f>IF(C3256,(Skills!F2*N3256*B3291)*IF(Inputs!$B$39="pvp",1,(1+(Inputs!$B$22+Skills!P2+B3285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7">
      <c r="A3257">
        <f>Skills!A3</f>
        <v/>
      </c>
      <c r="B3257">
        <f>Skills!B3</f>
        <v/>
      </c>
      <c r="C3257">
        <f>Inputs!$B$3&gt;=15</f>
        <v/>
      </c>
      <c r="D3257">
        <f>IF(Skills!C3=1,60+Inputs!$B$26+Inputs!$B$30,IF(Skills!C3=2,90+Inputs!$B$27+Inputs!$B$30,IF(Skills!C3=3,120+Inputs!$B$28+Inputs!$B$30,MAX(0,(Inputs!$B$3-100)*3)+Inputs!$B$29+Inputs!$B$30)))</f>
        <v/>
      </c>
      <c r="E3257">
        <f>INDEX(FactorTable!$B$2:$Y$301, MATCH(ROUND(MIN(300,MAX(1,D3257)),0), FactorTable!$A$2:$A$301,0), Skills!L3+1)</f>
        <v/>
      </c>
      <c r="F3257">
        <f>IF(Skills!M3=TRUE,(Skills!K3/10)*(E3257/1000),Skills!K3/10)+Skills!N3</f>
        <v/>
      </c>
      <c r="G3257">
        <f>Calc!G3</f>
        <v/>
      </c>
      <c r="H3257">
        <f>Calc!H3</f>
        <v/>
      </c>
      <c r="I3257">
        <f>IF(Skills!T3&lt;&gt;"",1+(Skills!T3/10)*($Z$3/1000)/100,1)</f>
        <v/>
      </c>
      <c r="J3257" t="inlineStr"/>
      <c r="K3257" t="inlineStr"/>
      <c r="L3257" t="inlineStr"/>
      <c r="M3257" t="inlineStr"/>
      <c r="N3257" t="inlineStr"/>
      <c r="O3257">
        <f>(1-Summary!$B$11)*S3257+Summary!$B$11*U3257</f>
        <v/>
      </c>
      <c r="P3257">
        <f>IF(B3296=0,0,O3257/B3296)</f>
        <v/>
      </c>
      <c r="Q3257">
        <f>IFERROR(1/(IF(Inputs!$B$39="pvp",15,MAX(0.1,Skills!D3-IF(Skills!E3=TRUE,5.0,0)))*(1-IF(AND(ArtifactsInput!$M$27,Inputs!$B$4="Chapter Hunt"),CHOOSE(ArtifactsInput!$N$27+1,20,24,28,32,36,40),0)/100)),0)</f>
        <v/>
      </c>
      <c r="R3257">
        <f>IF(AND(Inputs!$B$39&lt;&gt;"pvp",Inputs!$B$44&gt;0),IF(Inputs!$B$44&lt;=0,0,(INT(Inputs!$B$44/(IF(Inputs!$B$39="pvp",15,MAX(0.1,Skills!D3-IF(Skills!E3=TRUE,5.0,0)))*(1-IF(AND(ArtifactsInput!$M$27,Inputs!$B$4="Chapter Hunt"),CHOOSE(ArtifactsInput!$N$27+1,20,24,28,32,36,40),0)/100)))+1)),0)</f>
        <v/>
      </c>
      <c r="S3257" t="n">
        <v>0</v>
      </c>
      <c r="T3257">
        <f>INDEX(FactorTable!$B$2:$Y$301, MATCH(ROUND(MIN(300,MAX(1,T3256)),0), FactorTable!$A$2:$A$301,0), 22)</f>
        <v/>
      </c>
      <c r="U3257" t="n">
        <v>0</v>
      </c>
    </row>
    <row r="3258">
      <c r="A3258">
        <f>Skills!A4</f>
        <v/>
      </c>
      <c r="B3258">
        <f>Skills!B4</f>
        <v/>
      </c>
      <c r="C3258">
        <f>Inputs!$B$3&gt;=38</f>
        <v/>
      </c>
      <c r="D3258">
        <f>IF(Skills!C4=1,60+Inputs!$B$26+Inputs!$B$30,IF(Skills!C4=2,90+Inputs!$B$27+Inputs!$B$30,IF(Skills!C4=3,120+Inputs!$B$28+Inputs!$B$30,MAX(0,(Inputs!$B$3-100)*3)+Inputs!$B$29+Inputs!$B$30)))</f>
        <v/>
      </c>
      <c r="E3258">
        <f>INDEX(FactorTable!$B$2:$Y$301, MATCH(ROUND(MIN(300,MAX(1,D3258)),0), FactorTable!$A$2:$A$301,0), Skills!L4+1)</f>
        <v/>
      </c>
      <c r="F3258">
        <f>IF(Skills!M4=TRUE,(Skills!K4/10)*(E3258/1000),Skills!K4/10)+Skills!N4</f>
        <v/>
      </c>
      <c r="G3258">
        <f>Calc!G4</f>
        <v/>
      </c>
      <c r="H3258">
        <f>Calc!H4</f>
        <v/>
      </c>
      <c r="I3258">
        <f>IF(Skills!T4&lt;&gt;"",1+(Skills!T4/10)*($Z$3/1000)/100,1)</f>
        <v/>
      </c>
      <c r="J3258" t="inlineStr"/>
      <c r="K3258" t="inlineStr"/>
      <c r="L3258" t="inlineStr"/>
      <c r="M3258" t="inlineStr"/>
      <c r="N3258" t="inlineStr"/>
      <c r="O3258">
        <f>(1-Summary!$B$11)*S3258+Summary!$B$11*U3258</f>
        <v/>
      </c>
      <c r="P3258">
        <f>IF(B3296=0,0,O3258/B3296)</f>
        <v/>
      </c>
      <c r="Q3258">
        <f>IFERROR(1/(IF(Inputs!$B$39="pvp",15,MAX(0.1,Skills!D4-IF(Skills!E4=TRUE,5.0,0)))*(1-IF(AND(ArtifactsInput!$M$27,Inputs!$B$4="Chapter Hunt"),CHOOSE(ArtifactsInput!$N$27+1,20,24,28,32,36,40),0)/100)),0)</f>
        <v/>
      </c>
      <c r="R3258">
        <f>IF(AND(Inputs!$B$39&lt;&gt;"pvp",Inputs!$B$44&gt;0),IF(Inputs!$B$44&lt;=0,0,(INT(Inputs!$B$44/(IF(Inputs!$B$39="pvp",15,MAX(0.1,Skills!D4-IF(Skills!E4=TRUE,5.0,0)))*(1-IF(AND(ArtifactsInput!$M$27,Inputs!$B$4="Chapter Hunt"),CHOOSE(ArtifactsInput!$N$27+1,20,24,28,32,36,40),0)/100)))+1)),0)</f>
        <v/>
      </c>
      <c r="S3258" t="n">
        <v>0</v>
      </c>
      <c r="T3258">
        <f>290*T3257/1000</f>
        <v/>
      </c>
      <c r="U3258" t="n">
        <v>0</v>
      </c>
    </row>
    <row r="3259">
      <c r="A3259">
        <f>Skills!A5</f>
        <v/>
      </c>
      <c r="B3259">
        <f>Skills!B5</f>
        <v/>
      </c>
      <c r="C3259">
        <f>Inputs!$B$3&gt;=40</f>
        <v/>
      </c>
      <c r="D3259">
        <f>IF(Skills!C5=1,60+Inputs!$B$26+Inputs!$B$30,IF(Skills!C5=2,90+Inputs!$B$27+Inputs!$B$30,IF(Skills!C5=3,120+Inputs!$B$28+Inputs!$B$30,MAX(0,(Inputs!$B$3-100)*3)+Inputs!$B$29+Inputs!$B$30)))</f>
        <v/>
      </c>
      <c r="E3259">
        <f>INDEX(FactorTable!$B$2:$Y$301, MATCH(ROUND(MIN(300,MAX(1,D3259)),0), FactorTable!$A$2:$A$301,0), Skills!L5+1)</f>
        <v/>
      </c>
      <c r="F3259">
        <f>IF(Skills!M5=TRUE,(Skills!K5/10)*(E3259/1000),Skills!K5/10)+Skills!N5</f>
        <v/>
      </c>
      <c r="G3259">
        <f>Calc!G5</f>
        <v/>
      </c>
      <c r="H3259">
        <f>Calc!H5</f>
        <v/>
      </c>
      <c r="I3259">
        <f>IF(Skills!T5&lt;&gt;"",1+(Skills!T5/10)*($Z$3/1000)/100,1)</f>
        <v/>
      </c>
      <c r="J3259" t="inlineStr"/>
      <c r="K3259" t="inlineStr"/>
      <c r="L3259" t="inlineStr"/>
      <c r="M3259" t="inlineStr"/>
      <c r="N3259" t="inlineStr"/>
      <c r="O3259">
        <f>(1-Summary!$B$11)*S3259+Summary!$B$11*U3259</f>
        <v/>
      </c>
      <c r="P3259">
        <f>IF(B3296=0,0,O3259/B3296)</f>
        <v/>
      </c>
      <c r="Q3259">
        <f>IFERROR(1/(IF(Inputs!$B$39="pvp",15,MAX(0.1,Skills!D5-IF(Skills!E5=TRUE,5.0,0)))*(1-IF(AND(ArtifactsInput!$M$27,Inputs!$B$4="Chapter Hunt"),CHOOSE(ArtifactsInput!$N$27+1,20,24,28,32,36,40),0)/100)),0)</f>
        <v/>
      </c>
      <c r="R3259">
        <f>IF(AND(Inputs!$B$39&lt;&gt;"pvp",Inputs!$B$44&gt;0),IF(Inputs!$B$44&lt;=0,0,(INT(Inputs!$B$44/(IF(Inputs!$B$39="pvp",15,MAX(0.1,Skills!D5-IF(Skills!E5=TRUE,5.0,0)))*(1-IF(AND(ArtifactsInput!$M$27,Inputs!$B$4="Chapter Hunt"),CHOOSE(ArtifactsInput!$N$27+1,20,24,28,32,36,40),0)/100)))+1)),0)</f>
        <v/>
      </c>
      <c r="S3259" t="n">
        <v>0</v>
      </c>
      <c r="U3259" t="n">
        <v>0</v>
      </c>
    </row>
    <row r="3260">
      <c r="A3260">
        <f>Skills!A6</f>
        <v/>
      </c>
      <c r="B3260">
        <f>Skills!B6</f>
        <v/>
      </c>
      <c r="C3260">
        <f>Inputs!$B$3&gt;=103</f>
        <v/>
      </c>
      <c r="D3260">
        <f>IF(Skills!C6=1,60+Inputs!$B$26+Inputs!$B$30,IF(Skills!C6=2,90+Inputs!$B$27+Inputs!$B$30,IF(Skills!C6=3,120+Inputs!$B$28+Inputs!$B$30,MAX(0,(Inputs!$B$3-100)*3)+Inputs!$B$29+Inputs!$B$30)))</f>
        <v/>
      </c>
      <c r="E3260">
        <f>INDEX(FactorTable!$B$2:$Y$301, MATCH(ROUND(MIN(300,MAX(1,D3260)),0), FactorTable!$A$2:$A$301,0), Skills!L6+1)</f>
        <v/>
      </c>
      <c r="F3260">
        <f>IF(Skills!M6=TRUE,(Skills!K6/10)*(E3260/1000),Skills!K6/10)+Skills!N6</f>
        <v/>
      </c>
      <c r="G3260">
        <f>Calc!G6</f>
        <v/>
      </c>
      <c r="H3260">
        <f>Calc!H6</f>
        <v/>
      </c>
      <c r="I3260">
        <f>IF(Skills!T6&lt;&gt;"",1+(Skills!T6/10)*($Z$3/1000)/100,1)</f>
        <v/>
      </c>
      <c r="J3260">
        <f>((Inputs!$B$6*(1+Inputs!$B$7/100))+(((Inputs!$B$13*(1+Inputs!$B$14/100))-(Inputs!$B$13*(1+Inputs!$B$14/100)))+0.25*(Inputs!$B$15-Inputs!$B$15))*(1+Inputs!$B$7/100))*(F3260/100)</f>
        <v/>
      </c>
      <c r="K3260">
        <f>J3260*(1+(((Inputs!$B$13+IF(Inputs!$B$3&gt;=35,(10*INDEX(FactorTable!$B$2:$Y$301,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6="TRIUMPH_FEATHER",IF(C3270=TRUE,F3270,0),0)/100)*(1+IF(C3281=TRUE,F3281,0)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3260)</f>
        <v/>
      </c>
      <c r="L3260">
        <f>K3260*(MIN(Inputs!$B$23+(F3276-Calc!F22),(Inputs!$B$24+IF(ArtifactsInput!$M$15,CHOOSE(ArtifactsInput!$N$15+1,25,30,35,40,45,50)/100*(Inputs!$B$12-Inputs!$B$12),0)))/100+(Inputs!$B$24+IF(ArtifactsInput!$M$15,CHOOSE(ArtifactsInput!$N$15+1,25,30,35,40,45,50)/100*(Inputs!$B$12-Inputs!$B$12),0))/100)/2</f>
        <v/>
      </c>
      <c r="M3260">
        <f>L3260*(1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0">
        <f>L3260*(1-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3260*(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0">
        <f>(1-Summary!$B$11)*S3260+Summary!$B$11*U3260</f>
        <v/>
      </c>
      <c r="P3260">
        <f>IF(B3296=0,0,O3260/B3296)</f>
        <v/>
      </c>
      <c r="Q3260">
        <f>IFERROR(1/(IF(Inputs!$B$39="pvp",15,MAX(0.1,Skills!D6-IF(Skills!E6=TRUE,5.0,0)))*(1-IF(AND(ArtifactsInput!$M$27,Inputs!$B$4="Chapter Hunt"),CHOOSE(ArtifactsInput!$N$27+1,20,24,28,32,36,40),0)/100)),0)</f>
        <v/>
      </c>
      <c r="R3260">
        <f>IF(AND(Inputs!$B$39&lt;&gt;"pvp",Inputs!$B$44&gt;0),IF(MAX(0,Inputs!$B$44-B3293)&lt;=0,0,(INT(MAX(0,Inputs!$B$44-B3293)/(IF(Inputs!$B$39="pvp",15,MAX(0.1,Skills!D6-IF(Skills!E6=TRUE,5.0,0)))*(1-IF(AND(ArtifactsInput!$M$27,Inputs!$B$4="Chapter Hunt"),CHOOSE(ArtifactsInput!$N$27+1,20,24,28,32,36,40),0)/100)))+1)),0)</f>
        <v/>
      </c>
      <c r="S3260">
        <f>IF(C3260,(H3260*N3260*IF(AND(Inputs!$B$39&lt;&gt;"pvp",Inputs!$B$44&gt;0),((Skills!F6*((R3260-1)*IF(Skills!G6&gt;0,Skills!H6/Skills!G6,1)+IF(Skills!G6&gt;0,MIN(Skills!H6,MAX(0,MAX(0,Inputs!$B$44-B3293)-((R3260-1)*(IF(Inputs!$B$39="pvp",15,MAX(0.1,Skills!D6-IF(Skills!E6=TRUE,5.0,0)))*(1-IF(AND(ArtifactsInput!$M$27,Inputs!$B$4="Chapter Hunt"),CHOOSE(ArtifactsInput!$N$27+1,20,24,28,32,36,40),0)/100)))))/Skills!G6,1)))/Inputs!$B$44),G3260*Q3260))*IF(Inputs!$B$39="pvp",1,1+(Inputs!$B$21+Skills!O6+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3260*(1-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3260*(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3260*(1-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3260*(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0">
        <f>IF(C3260,(H3260*N3260*IF(AND(Inputs!$B$39&lt;&gt;"pvp",Inputs!$B$44&gt;0),((Skills!F6*((R3260-1)*IF(Skills!G6&gt;0,Skills!H6/Skills!G6,1)+IF(Skills!G6&gt;0,MIN(Skills!H6,MAX(0,MAX(0,Inputs!$B$44-B3293)-((R3260-1)*(IF(Inputs!$B$39="pvp",15,MAX(0.1,Skills!D6-IF(Skills!E6=TRUE,5.0,0)))*(1-IF(AND(ArtifactsInput!$M$27,Inputs!$B$4="Chapter Hunt"),CHOOSE(ArtifactsInput!$N$27+1,20,24,28,32,36,40),0)/100)))))/Skills!G6,1)))/Inputs!$B$44),G3260*Q3260))*IF(Inputs!$B$39="pvp",1,(1+(Inputs!$B$22+Skills!P6+B3285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1">
      <c r="A3261">
        <f>Skills!A7</f>
        <v/>
      </c>
      <c r="B3261">
        <f>Skills!B7</f>
        <v/>
      </c>
      <c r="C3261">
        <f>Inputs!$B$3&gt;=122</f>
        <v/>
      </c>
      <c r="D3261">
        <f>IF(Skills!C7=1,60+Inputs!$B$26+Inputs!$B$30,IF(Skills!C7=2,90+Inputs!$B$27+Inputs!$B$30,IF(Skills!C7=3,120+Inputs!$B$28+Inputs!$B$30,MAX(0,(Inputs!$B$3-100)*3)+Inputs!$B$29+Inputs!$B$30)))</f>
        <v/>
      </c>
      <c r="E3261">
        <f>INDEX(FactorTable!$B$2:$Y$301, MATCH(ROUND(MIN(300,MAX(1,D3261)),0), FactorTable!$A$2:$A$301,0), Skills!L7+1)</f>
        <v/>
      </c>
      <c r="F3261">
        <f>IF(Skills!M7=TRUE,(Skills!K7/10)*(E3261/1000),Skills!K7/10)+Skills!N7</f>
        <v/>
      </c>
      <c r="G3261">
        <f>Calc!G7</f>
        <v/>
      </c>
      <c r="H3261">
        <f>Calc!H7</f>
        <v/>
      </c>
      <c r="I3261">
        <f>IF(Skills!T7&lt;&gt;"",1+(Skills!T7/10)*($Z$3/1000)/100,1)</f>
        <v/>
      </c>
      <c r="J3261">
        <f>((Inputs!$B$6*(1+Inputs!$B$7/100))+(((Inputs!$B$13*(1+Inputs!$B$14/100))-(Inputs!$B$13*(1+Inputs!$B$14/100)))+0.25*(Inputs!$B$15-Inputs!$B$15))*(1+Inputs!$B$7/100))*(F3261/100)</f>
        <v/>
      </c>
      <c r="K3261">
        <f>J3261*(1+(((Inputs!$B$13+IF(Inputs!$B$3&gt;=35,(10*INDEX(FactorTable!$B$2:$Y$301,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7="TRIUMPH_FEATHER",IF(C3270=TRUE,F3270,0),0)/100)*(1+IF(C3281=TRUE,F3281,0)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3261)</f>
        <v/>
      </c>
      <c r="L3261">
        <f>K3261*(MIN(Inputs!$B$23+(F3276-Calc!F22),(Inputs!$B$24+IF(ArtifactsInput!$M$15,CHOOSE(ArtifactsInput!$N$15+1,25,30,35,40,45,50)/100*(Inputs!$B$12-Inputs!$B$12),0)))/100+(Inputs!$B$24+IF(ArtifactsInput!$M$15,CHOOSE(ArtifactsInput!$N$15+1,25,30,35,40,45,50)/100*(Inputs!$B$12-Inputs!$B$12),0))/100)/2</f>
        <v/>
      </c>
      <c r="M3261">
        <f>L3261*(1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1">
        <f>L3261*(1-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1">
        <f>(1-Summary!$B$11)*S3261+Summary!$B$11*U3261</f>
        <v/>
      </c>
      <c r="P3261">
        <f>IF(B3296=0,0,O3261/B3296)</f>
        <v/>
      </c>
      <c r="Q3261">
        <f>IFERROR(1/(IF(Inputs!$B$39="pvp",15,MAX(0.1,Skills!D7-IF(Skills!E6=TRUE,5.0,0)))*(1-IF(AND(ArtifactsInput!$M$27,Inputs!$B$4="Chapter Hunt"),CHOOSE(ArtifactsInput!$N$27+1,20,24,28,32,36,40),0)/100)),0)</f>
        <v/>
      </c>
      <c r="R3261">
        <f>IF(AND(Inputs!$B$39&lt;&gt;"pvp",Inputs!$B$44&gt;0),IF(MAX(0,Inputs!$B$44-B3293)&lt;=0,0,(INT(MAX(0,Inputs!$B$44-B3293)/(IF(Inputs!$B$39="pvp",15,MAX(0.1,Skills!D7-IF(Skills!E6=TRUE,5.0,0)))*(1-IF(AND(ArtifactsInput!$M$27,Inputs!$B$4="Chapter Hunt"),CHOOSE(ArtifactsInput!$N$27+1,20,24,28,32,36,40),0)/100)))+1)),0)</f>
        <v/>
      </c>
      <c r="S3261">
        <f>IF(C3261,H3261*N3261*IF(AND(Inputs!$B$39&lt;&gt;"pvp",Inputs!$B$44&gt;0),((Skills!F7*((R3261-1)*IF(Skills!G7&gt;0,Skills!H7/Skills!G7,1)+IF(Skills!G7&gt;0,MIN(Skills!H7,MAX(0,MAX(0,Inputs!$B$44-B3293)-((R3261-1)*(IF(Inputs!$B$39="pvp",15,MAX(0.1,Skills!D7-IF(Skills!E6=TRUE,5.0,0)))*(1-IF(AND(ArtifactsInput!$M$27,Inputs!$B$4="Chapter Hunt"),CHOOSE(ArtifactsInput!$N$27+1,20,24,28,32,36,40),0)/100)))))/Skills!G7,1)))/Inputs!$B$44),G3261*Q3261)*IF(Inputs!$B$39="pvp",1,1+(Inputs!$B$21+Skills!O7+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3261*(1-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1" t="n">
        <v>0</v>
      </c>
    </row>
    <row r="3262">
      <c r="A3262">
        <f>Skills!A8</f>
        <v/>
      </c>
      <c r="B3262">
        <f>Skills!B8</f>
        <v/>
      </c>
      <c r="C3262">
        <f>Inputs!$B$3&gt;=105</f>
        <v/>
      </c>
      <c r="D3262">
        <f>IF(Skills!C8=1,60+Inputs!$B$26+Inputs!$B$30,IF(Skills!C8=2,90+Inputs!$B$27+Inputs!$B$30,IF(Skills!C8=3,120+Inputs!$B$28+Inputs!$B$30,MAX(0,(Inputs!$B$3-100)*3)+Inputs!$B$29+Inputs!$B$30)))</f>
        <v/>
      </c>
      <c r="E3262">
        <f>INDEX(FactorTable!$B$2:$Y$301, MATCH(ROUND(MIN(300,MAX(1,D3262)),0), FactorTable!$A$2:$A$301,0), Skills!L8+1)</f>
        <v/>
      </c>
      <c r="F3262">
        <f>IF(Skills!M8=TRUE,(Skills!K8/10)*(E3262/1000),Skills!K8/10)+Skills!N8</f>
        <v/>
      </c>
      <c r="G3262">
        <f>Calc!G8</f>
        <v/>
      </c>
      <c r="H3262">
        <f>Calc!H8</f>
        <v/>
      </c>
      <c r="I3262">
        <f>IF(Skills!T8&lt;&gt;"",1+(Skills!T8/10)*($Z$3/1000)/100,1)</f>
        <v/>
      </c>
      <c r="J3262">
        <f>((Inputs!$B$6*(1+Inputs!$B$7/100))+(((Inputs!$B$13*(1+Inputs!$B$14/100))-(Inputs!$B$13*(1+Inputs!$B$14/100)))+0.25*(Inputs!$B$15-Inputs!$B$15))*(1+Inputs!$B$7/100))*(F3262/100)</f>
        <v/>
      </c>
      <c r="K3262">
        <f>J3262*(1+(((Inputs!$B$13+IF(Inputs!$B$3&gt;=35,(10*INDEX(FactorTable!$B$2:$Y$301,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8="TRIUMPH_FEATHER",IF(C3270=TRUE,F3270,0),0)/100)*(1+IF(C3281=TRUE,F3281,0)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3262)</f>
        <v/>
      </c>
      <c r="L3262">
        <f>K3262*(MIN(Inputs!$B$23+(F3276-Calc!F22),(Inputs!$B$24+IF(ArtifactsInput!$M$15,CHOOSE(ArtifactsInput!$N$15+1,25,30,35,40,45,50)/100*(Inputs!$B$12-Inputs!$B$12),0)))/100+(Inputs!$B$24+IF(ArtifactsInput!$M$15,CHOOSE(ArtifactsInput!$N$15+1,25,30,35,40,45,50)/100*(Inputs!$B$12-Inputs!$B$12),0))/100)/2</f>
        <v/>
      </c>
      <c r="M3262">
        <f>L3262*(1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2">
        <f>L3262*(1-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3262*(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2">
        <f>(1-Summary!$B$11)*S3262+Summary!$B$11*U3262</f>
        <v/>
      </c>
      <c r="P3262">
        <f>IF(B3296=0,0,O3262/B3296)</f>
        <v/>
      </c>
      <c r="Q3262">
        <f>IFERROR(1/(IF(Inputs!$B$39="pvp",15,MAX(0.1,Skills!D8-IF(Skills!E8=TRUE,5.0,0)))*(1-IF(AND(ArtifactsInput!$M$27,Inputs!$B$4="Chapter Hunt"),CHOOSE(ArtifactsInput!$N$27+1,20,24,28,32,36,40),0)/100)),0)</f>
        <v/>
      </c>
      <c r="R3262">
        <f>IF(AND(Inputs!$B$39&lt;&gt;"pvp",Inputs!$B$44&gt;0),IF(MAX(0,Inputs!$B$44-B3293)&lt;=0,0,(INT(MAX(0,Inputs!$B$44-B3293)/(IF(Inputs!$B$39="pvp",15,MAX(0.1,Skills!D8-IF(Skills!E8=TRUE,5.0,0)))*(1-IF(AND(ArtifactsInput!$M$27,Inputs!$B$4="Chapter Hunt"),CHOOSE(ArtifactsInput!$N$27+1,20,24,28,32,36,40),0)/100)))+1)),0)</f>
        <v/>
      </c>
      <c r="S3262">
        <f>IF(C3262,(H3262*N3262*IF(AND(Inputs!$B$39&lt;&gt;"pvp",Inputs!$B$44&gt;0),((Skills!F8*((R3262-1)*IF(Skills!G8&gt;0,Skills!H8/Skills!G8,1)+IF(Skills!G8&gt;0,MIN(Skills!H8,MAX(0,MAX(0,Inputs!$B$44-B3293)-((R3262-1)*(IF(Inputs!$B$39="pvp",15,MAX(0.1,Skills!D8-IF(Skills!E8=TRUE,5.0,0)))*(1-IF(AND(ArtifactsInput!$M$27,Inputs!$B$4="Chapter Hunt"),CHOOSE(ArtifactsInput!$N$27+1,20,24,28,32,36,40),0)/100)))))/Skills!G8,1)))/Inputs!$B$44),G3262*Q3262))*IF(Inputs!$B$39="pvp",1,1+(Inputs!$B$21+Skills!O8+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3262*(1-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3262*(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3262*(1-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3262*(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2">
        <f>IF(C3262,(H3262*N3262*IF(AND(Inputs!$B$39&lt;&gt;"pvp",Inputs!$B$44&gt;0),((Skills!F8*((R3262-1)*IF(Skills!G8&gt;0,Skills!H8/Skills!G8,1)+IF(Skills!G8&gt;0,MIN(Skills!H8,MAX(0,MAX(0,Inputs!$B$44-B3293)-((R3262-1)*(IF(Inputs!$B$39="pvp",15,MAX(0.1,Skills!D8-IF(Skills!E8=TRUE,5.0,0)))*(1-IF(AND(ArtifactsInput!$M$27,Inputs!$B$4="Chapter Hunt"),CHOOSE(ArtifactsInput!$N$27+1,20,24,28,32,36,40),0)/100)))))/Skills!G8,1)))/Inputs!$B$44),G3262*Q3262))*IF(Inputs!$B$39="pvp",1,(1+(Inputs!$B$22+Skills!P8+B3285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3">
      <c r="A3263">
        <f>Skills!A9</f>
        <v/>
      </c>
      <c r="B3263">
        <f>Skills!B9</f>
        <v/>
      </c>
      <c r="C3263">
        <f>Inputs!$B$3&gt;=115</f>
        <v/>
      </c>
      <c r="D3263">
        <f>IF(Skills!C9=1,60+Inputs!$B$26+Inputs!$B$30,IF(Skills!C9=2,90+Inputs!$B$27+Inputs!$B$30,IF(Skills!C9=3,120+Inputs!$B$28+Inputs!$B$30,MAX(0,(Inputs!$B$3-100)*3)+Inputs!$B$29+Inputs!$B$30)))</f>
        <v/>
      </c>
      <c r="E3263">
        <f>INDEX(FactorTable!$B$2:$Y$301, MATCH(ROUND(MIN(300,MAX(1,D3263)),0), FactorTable!$A$2:$A$301,0), Skills!L9+1)</f>
        <v/>
      </c>
      <c r="F3263">
        <f>IF(Skills!M9=TRUE,(Skills!K9/10)*(E3263/1000),Skills!K9/10)+Skills!N9</f>
        <v/>
      </c>
      <c r="G3263">
        <f>Calc!G9</f>
        <v/>
      </c>
      <c r="H3263">
        <f>Calc!H9</f>
        <v/>
      </c>
      <c r="I3263">
        <f>IF(Skills!T9&lt;&gt;"",1+(Skills!T9/10)*($Z$3/1000)/100,1)</f>
        <v/>
      </c>
      <c r="J3263">
        <f>((Inputs!$B$6*(1+Inputs!$B$7/100))+(((Inputs!$B$13*(1+Inputs!$B$14/100))-(Inputs!$B$13*(1+Inputs!$B$14/100)))+0.25*(Inputs!$B$15-Inputs!$B$15))*(1+Inputs!$B$7/100))*(F3263/100)</f>
        <v/>
      </c>
      <c r="K3263">
        <f>J3263*(1+(((Inputs!$B$13+IF(Inputs!$B$3&gt;=35,(10*INDEX(FactorTable!$B$2:$Y$301,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9="TRIUMPH_FEATHER",IF(C3270=TRUE,F3270,0),0)/100)*(1+IF(C3281=TRUE,F3281,0)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3263)</f>
        <v/>
      </c>
      <c r="L3263">
        <f>K3263*(MIN(Inputs!$B$23+(F3276-Calc!F22),(Inputs!$B$24+IF(ArtifactsInput!$M$15,CHOOSE(ArtifactsInput!$N$15+1,25,30,35,40,45,50)/100*(Inputs!$B$12-Inputs!$B$12),0)))/100+(Inputs!$B$24+IF(ArtifactsInput!$M$15,CHOOSE(ArtifactsInput!$N$15+1,25,30,35,40,45,50)/100*(Inputs!$B$12-Inputs!$B$12),0))/100)/2</f>
        <v/>
      </c>
      <c r="M3263">
        <f>L3263*(1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3">
        <f>L3263*(1-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3263*(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3">
        <f>(1-Summary!$B$11)*S3263+Summary!$B$11*U3263</f>
        <v/>
      </c>
      <c r="P3263">
        <f>IF(B3296=0,0,O3263/B3296)</f>
        <v/>
      </c>
      <c r="Q3263">
        <f>IFERROR(1/(IF(Inputs!$B$39="pvp",15,MAX(0.1,Skills!D9-IF(Skills!E9=TRUE,5.0,0)))*(1-IF(AND(ArtifactsInput!$M$27,Inputs!$B$4="Chapter Hunt"),CHOOSE(ArtifactsInput!$N$27+1,20,24,28,32,36,40),0)/100)),0)</f>
        <v/>
      </c>
      <c r="R3263">
        <f>IF(AND(Inputs!$B$39&lt;&gt;"pvp",Inputs!$B$44&gt;0),IF(MAX(0,Inputs!$B$44-B3293)&lt;=0,0,(INT(MAX(0,Inputs!$B$44-B3293)/(IF(Inputs!$B$39="pvp",15,MAX(0.1,Skills!D9-IF(Skills!E9=TRUE,5.0,0)))*(1-IF(AND(ArtifactsInput!$M$27,Inputs!$B$4="Chapter Hunt"),CHOOSE(ArtifactsInput!$N$27+1,20,24,28,32,36,40),0)/100)))+1)),0)</f>
        <v/>
      </c>
      <c r="S3263">
        <f>IF(C3263,(H3263*N3263*IF(AND(Inputs!$B$39&lt;&gt;"pvp",Inputs!$B$44&gt;0),((Skills!F9*((R3263-1)*IF(Skills!G9&gt;0,Skills!H9/Skills!G9,1)+IF(Skills!G9&gt;0,MIN(Skills!H9,MAX(0,MAX(0,Inputs!$B$44-B3293)-((R3263-1)*(IF(Inputs!$B$39="pvp",15,MAX(0.1,Skills!D9-IF(Skills!E9=TRUE,5.0,0)))*(1-IF(AND(ArtifactsInput!$M$27,Inputs!$B$4="Chapter Hunt"),CHOOSE(ArtifactsInput!$N$27+1,20,24,28,32,36,40),0)/100)))))/Skills!G9,1)))/Inputs!$B$44),G3263*Q3263))*IF(Inputs!$B$39="pvp",1,1+(Inputs!$B$21+Skills!O9+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3263*(1-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3263*(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3263*(1-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3263*(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3">
        <f>IF(C3263,(H3263*N3263*IF(AND(Inputs!$B$39&lt;&gt;"pvp",Inputs!$B$44&gt;0),((Skills!F9*((R3263-1)*IF(Skills!G9&gt;0,Skills!H9/Skills!G9,1)+IF(Skills!G9&gt;0,MIN(Skills!H9,MAX(0,MAX(0,Inputs!$B$44-B3293)-((R3263-1)*(IF(Inputs!$B$39="pvp",15,MAX(0.1,Skills!D9-IF(Skills!E9=TRUE,5.0,0)))*(1-IF(AND(ArtifactsInput!$M$27,Inputs!$B$4="Chapter Hunt"),CHOOSE(ArtifactsInput!$N$27+1,20,24,28,32,36,40),0)/100)))))/Skills!G9,1)))/Inputs!$B$44),G3263*Q3263))*IF(Inputs!$B$39="pvp",1,(1+(Inputs!$B$22+Skills!P9+B3285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4">
      <c r="A3264">
        <f>Skills!A10</f>
        <v/>
      </c>
      <c r="B3264">
        <f>Skills!B10</f>
        <v/>
      </c>
      <c r="C3264">
        <f>Inputs!$B$3&gt;=66</f>
        <v/>
      </c>
      <c r="D3264">
        <f>IF(Skills!C10=1,60+Inputs!$B$26+Inputs!$B$30,IF(Skills!C10=2,90+Inputs!$B$27+Inputs!$B$30,IF(Skills!C10=3,120+Inputs!$B$28+Inputs!$B$30,MAX(0,(Inputs!$B$3-100)*3)+Inputs!$B$29+Inputs!$B$30)))</f>
        <v/>
      </c>
      <c r="E3264">
        <f>INDEX(FactorTable!$B$2:$Y$301, MATCH(ROUND(MIN(300,MAX(1,D3264)),0), FactorTable!$A$2:$A$301,0), Skills!L10+1)</f>
        <v/>
      </c>
      <c r="F3264" t="n">
        <v>0</v>
      </c>
      <c r="G3264">
        <f>Calc!G10</f>
        <v/>
      </c>
      <c r="H3264">
        <f>Calc!H10</f>
        <v/>
      </c>
      <c r="I3264">
        <f>IF(Skills!T10&lt;&gt;"",1+(Skills!T10/10)*($Z$3/1000)/100,1)</f>
        <v/>
      </c>
      <c r="J3264" t="inlineStr"/>
      <c r="K3264" t="inlineStr"/>
      <c r="L3264" t="inlineStr"/>
      <c r="M3264" t="inlineStr"/>
      <c r="N3264" t="inlineStr"/>
      <c r="O3264">
        <f>(1-Summary!$B$11)*S3264+Summary!$B$11*U3264</f>
        <v/>
      </c>
      <c r="P3264">
        <f>IF(B3296=0,0,O3264/B3296)</f>
        <v/>
      </c>
      <c r="Q3264">
        <f>IFERROR(1/(IF(Inputs!$B$39="pvp",15,MAX(0.1,Skills!D10-IF(Skills!E10=TRUE,5.0,0)))*(1-IF(AND(ArtifactsInput!$M$27,Inputs!$B$4="Chapter Hunt"),CHOOSE(ArtifactsInput!$N$27+1,20,24,28,32,36,40),0)/100)),0)</f>
        <v/>
      </c>
      <c r="R3264">
        <f>IF(AND(Inputs!$B$39&lt;&gt;"pvp",Inputs!$B$44&gt;0),IF(MAX(0,Inputs!$B$44-B3293)&lt;=0,0,(INT(MAX(0,Inputs!$B$44-B3293)/(IF(Inputs!$B$39="pvp",15,MAX(0.1,Skills!D10-IF(Skills!E10=TRUE,5.0,0)))*(1-IF(AND(ArtifactsInput!$M$27,Inputs!$B$4="Chapter Hunt"),CHOOSE(ArtifactsInput!$N$27+1,20,24,28,32,36,40),0)/100)))+1)),0)</f>
        <v/>
      </c>
      <c r="S3264" t="n">
        <v>0</v>
      </c>
      <c r="U3264" t="n">
        <v>0</v>
      </c>
    </row>
    <row r="3265">
      <c r="A3265">
        <f>Skills!A11</f>
        <v/>
      </c>
      <c r="B3265">
        <f>Skills!B11</f>
        <v/>
      </c>
      <c r="C3265">
        <f>Inputs!$B$3&gt;=69</f>
        <v/>
      </c>
      <c r="D3265">
        <f>IF(Skills!C11=1,60+Inputs!$B$26+Inputs!$B$30,IF(Skills!C11=2,90+Inputs!$B$27+Inputs!$B$30,IF(Skills!C11=3,120+Inputs!$B$28+Inputs!$B$30,MAX(0,(Inputs!$B$3-100)*3)+Inputs!$B$29+Inputs!$B$30)))</f>
        <v/>
      </c>
      <c r="E3265">
        <f>INDEX(FactorTable!$B$2:$Y$301, MATCH(ROUND(MIN(300,MAX(1,D3265)),0), FactorTable!$A$2:$A$301,0), Skills!L11+1)</f>
        <v/>
      </c>
      <c r="F3265">
        <f>IF(Skills!M11=TRUE,(Skills!K11/10)*(E3265/1000),Skills!K11/10)+Skills!N11</f>
        <v/>
      </c>
      <c r="G3265">
        <f>Calc!G11</f>
        <v/>
      </c>
      <c r="H3265">
        <f>Calc!H11</f>
        <v/>
      </c>
      <c r="I3265">
        <f>IF(Skills!T11&lt;&gt;"",1+(Skills!T11/10)*($Z$3/1000)/100,1)</f>
        <v/>
      </c>
      <c r="J3265" t="inlineStr"/>
      <c r="K3265" t="inlineStr"/>
      <c r="L3265" t="inlineStr"/>
      <c r="M3265" t="inlineStr"/>
      <c r="N3265" t="inlineStr"/>
      <c r="O3265">
        <f>(1-Summary!$B$11)*S3265+Summary!$B$11*U3265</f>
        <v/>
      </c>
      <c r="P3265">
        <f>IF(B3296=0,0,O3265/B3296)</f>
        <v/>
      </c>
      <c r="Q3265">
        <f>IFERROR(1/(IF(Inputs!$B$39="pvp",15,MAX(0.1,Skills!D11-IF(Skills!E11=TRUE,5.0,0)))*(1-IF(AND(ArtifactsInput!$M$27,Inputs!$B$4="Chapter Hunt"),CHOOSE(ArtifactsInput!$N$27+1,20,24,28,32,36,40),0)/100)),0)</f>
        <v/>
      </c>
      <c r="R3265">
        <f>IF(AND(Inputs!$B$39&lt;&gt;"pvp",Inputs!$B$44&gt;0),IF(Inputs!$B$44&lt;=0,0,(INT(Inputs!$B$44/(IF(Inputs!$B$39="pvp",15,MAX(0.1,Skills!D11-IF(Skills!E11=TRUE,5.0,0)))*(1-IF(AND(ArtifactsInput!$M$27,Inputs!$B$4="Chapter Hunt"),CHOOSE(ArtifactsInput!$N$27+1,20,24,28,32,36,40),0)/100)))+1)),0)</f>
        <v/>
      </c>
      <c r="S3265" t="n">
        <v>0</v>
      </c>
      <c r="U3265" t="n">
        <v>0</v>
      </c>
    </row>
    <row r="3266">
      <c r="A3266">
        <f>Skills!A12</f>
        <v/>
      </c>
      <c r="B3266">
        <f>Skills!B12</f>
        <v/>
      </c>
      <c r="C3266">
        <f>Inputs!$B$3&gt;=72</f>
        <v/>
      </c>
      <c r="D3266">
        <f>IF(Skills!C12=1,60+Inputs!$B$26+Inputs!$B$30,IF(Skills!C12=2,90+Inputs!$B$27+Inputs!$B$30,IF(Skills!C12=3,120+Inputs!$B$28+Inputs!$B$30,MAX(0,(Inputs!$B$3-100)*3)+Inputs!$B$29+Inputs!$B$30)))</f>
        <v/>
      </c>
      <c r="E3266">
        <f>INDEX(FactorTable!$B$2:$Y$301, MATCH(ROUND(MIN(300,MAX(1,D3266)),0), FactorTable!$A$2:$A$301,0), Skills!L12+1)</f>
        <v/>
      </c>
      <c r="F3266">
        <f>IF(Skills!M12=TRUE,(Skills!K12/10)*(E3266/1000),Skills!K12/10)+Skills!N12</f>
        <v/>
      </c>
      <c r="G3266">
        <f>Calc!G12</f>
        <v/>
      </c>
      <c r="H3266">
        <f>Calc!H12</f>
        <v/>
      </c>
      <c r="I3266">
        <f>IF(Skills!T12&lt;&gt;"",1+(Skills!T12/10)*($Z$3/1000)/100,1)</f>
        <v/>
      </c>
      <c r="J3266" t="inlineStr"/>
      <c r="K3266" t="inlineStr"/>
      <c r="L3266" t="inlineStr"/>
      <c r="M3266" t="inlineStr"/>
      <c r="N3266" t="inlineStr"/>
      <c r="O3266">
        <f>(1-Summary!$B$11)*S3266+Summary!$B$11*U3266</f>
        <v/>
      </c>
      <c r="P3266">
        <f>IF(B3296=0,0,O3266/B3296)</f>
        <v/>
      </c>
      <c r="Q3266">
        <f>IFERROR(1/(IF(Inputs!$B$39="pvp",15,MAX(0.1,Skills!D12-IF(Skills!E12=TRUE,5.0,0)))*(1-IF(AND(ArtifactsInput!$M$27,Inputs!$B$4="Chapter Hunt"),CHOOSE(ArtifactsInput!$N$27+1,20,24,28,32,36,40),0)/100)),0)</f>
        <v/>
      </c>
      <c r="R3266">
        <f>IF(AND(Inputs!$B$39&lt;&gt;"pvp",Inputs!$B$44&gt;0),IF(MAX(0,Inputs!$B$44-B3293)&lt;=0,0,(INT(MAX(0,Inputs!$B$44-B3293)/(IF(Inputs!$B$39="pvp",15,MAX(0.1,Skills!D12-IF(Skills!E12=TRUE,5.0,0)))*(1-IF(AND(ArtifactsInput!$M$27,Inputs!$B$4="Chapter Hunt"),CHOOSE(ArtifactsInput!$N$27+1,20,24,28,32,36,40),0)/100)))+1)),0)</f>
        <v/>
      </c>
      <c r="S3266" t="n">
        <v>0</v>
      </c>
      <c r="U3266" t="n">
        <v>0</v>
      </c>
    </row>
    <row r="3267">
      <c r="A3267">
        <f>Skills!A13</f>
        <v/>
      </c>
      <c r="B3267">
        <f>Skills!B13</f>
        <v/>
      </c>
      <c r="C3267">
        <f>Inputs!$B$3&gt;=60</f>
        <v/>
      </c>
      <c r="D3267">
        <f>IF(Skills!C13=1,60+Inputs!$B$26+Inputs!$B$30,IF(Skills!C13=2,90+Inputs!$B$27+Inputs!$B$30,IF(Skills!C13=3,120+Inputs!$B$28+Inputs!$B$30,MAX(0,(Inputs!$B$3-100)*3)+Inputs!$B$29+Inputs!$B$30)))</f>
        <v/>
      </c>
      <c r="E3267">
        <f>INDEX(FactorTable!$B$2:$Y$301, MATCH(ROUND(MIN(300,MAX(1,D3267)),0), FactorTable!$A$2:$A$301,0), Skills!L13+1)</f>
        <v/>
      </c>
      <c r="F3267">
        <f>IF(Skills!M13=TRUE,(Skills!K13/10)*(E3267/1000),Skills!K13/10)+Skills!N13</f>
        <v/>
      </c>
      <c r="G3267">
        <f>Calc!G13</f>
        <v/>
      </c>
      <c r="H3267">
        <f>Calc!H13</f>
        <v/>
      </c>
      <c r="I3267">
        <f>IF(Skills!T13&lt;&gt;"",1+(Skills!T13/10)*($Z$3/1000)/100,1)</f>
        <v/>
      </c>
      <c r="J3267" t="inlineStr"/>
      <c r="K3267" t="inlineStr"/>
      <c r="L3267" t="inlineStr"/>
      <c r="M3267" t="inlineStr"/>
      <c r="N3267" t="inlineStr"/>
      <c r="O3267">
        <f>(1-Summary!$B$11)*S3267+Summary!$B$11*U3267</f>
        <v/>
      </c>
      <c r="P3267">
        <f>IF(B3296=0,0,O3267/B3296)</f>
        <v/>
      </c>
      <c r="Q3267">
        <f>IFERROR(1/(IF(Inputs!$B$39="pvp",15,MAX(0.1,Skills!D13-IF(Skills!E13=TRUE,5.0,0)))*(1-IF(AND(ArtifactsInput!$M$27,Inputs!$B$4="Chapter Hunt"),CHOOSE(ArtifactsInput!$N$27+1,20,24,28,32,36,40),0)/100)),0)</f>
        <v/>
      </c>
      <c r="R3267">
        <f>IF(AND(Inputs!$B$39&lt;&gt;"pvp",Inputs!$B$44&gt;0),IF(MAX(0,Inputs!$B$44-B3293)&lt;=0,0,(INT(MAX(0,Inputs!$B$44-B3293)/(IF(Inputs!$B$39="pvp",15,MAX(0.1,Skills!D13-IF(Skills!E13=TRUE,5.0,0)))*(1-IF(AND(ArtifactsInput!$M$27,Inputs!$B$4="Chapter Hunt"),CHOOSE(ArtifactsInput!$N$27+1,20,24,28,32,36,40),0)/100)))+1)),0)</f>
        <v/>
      </c>
      <c r="S3267" t="n">
        <v>0</v>
      </c>
      <c r="U3267" t="n">
        <v>0</v>
      </c>
    </row>
    <row r="3268">
      <c r="A3268">
        <f>Skills!A14</f>
        <v/>
      </c>
      <c r="B3268">
        <f>Skills!B14</f>
        <v/>
      </c>
      <c r="C3268">
        <f>Inputs!$B$3&gt;=107</f>
        <v/>
      </c>
      <c r="D3268">
        <f>IF(Skills!C14=1,60+Inputs!$B$26+Inputs!$B$30,IF(Skills!C14=2,90+Inputs!$B$27+Inputs!$B$30,IF(Skills!C14=3,120+Inputs!$B$28+Inputs!$B$30,MAX(0,(Inputs!$B$3-100)*3)+Inputs!$B$29+Inputs!$B$30)))</f>
        <v/>
      </c>
      <c r="E3268">
        <f>INDEX(FactorTable!$B$2:$Y$301, MATCH(ROUND(MIN(300,MAX(1,D3268)),0), FactorTable!$A$2:$A$301,0), Skills!L14+1)</f>
        <v/>
      </c>
      <c r="F3268">
        <f>IF(Skills!M14=TRUE,(Skills!K14/10)*(E3268/1000),Skills!K14/10)+Skills!N14</f>
        <v/>
      </c>
      <c r="G3268">
        <f>Calc!G14</f>
        <v/>
      </c>
      <c r="H3268">
        <f>Calc!H14</f>
        <v/>
      </c>
      <c r="I3268">
        <f>IF(Skills!T14&lt;&gt;"",1+(Skills!T14/10)*($Z$3/1000)/100,1)</f>
        <v/>
      </c>
      <c r="J3268" t="inlineStr"/>
      <c r="K3268" t="inlineStr"/>
      <c r="L3268" t="inlineStr"/>
      <c r="M3268" t="inlineStr"/>
      <c r="N3268" t="inlineStr"/>
      <c r="O3268">
        <f>(1-Summary!$B$11)*S3268+Summary!$B$11*U3268</f>
        <v/>
      </c>
      <c r="P3268">
        <f>IF(B3296=0,0,O3268/B3296)</f>
        <v/>
      </c>
      <c r="Q3268">
        <f>IFERROR(1/(IF(Inputs!$B$39="pvp",15,MAX(0.1,Skills!D14-IF(Skills!E14=TRUE,5.0,0)))*(1-IF(AND(ArtifactsInput!$M$27,Inputs!$B$4="Chapter Hunt"),CHOOSE(ArtifactsInput!$N$27+1,20,24,28,32,36,40),0)/100)),0)</f>
        <v/>
      </c>
      <c r="R3268">
        <f>IF(AND(Inputs!$B$39&lt;&gt;"pvp",Inputs!$B$44&gt;0),IF(Inputs!$B$44&lt;=0,0,(INT(Inputs!$B$44/(IF(Inputs!$B$39="pvp",15,MAX(0.1,Skills!D14-IF(Skills!E14=TRUE,5.0,0)))*(1-IF(AND(ArtifactsInput!$M$27,Inputs!$B$4="Chapter Hunt"),CHOOSE(ArtifactsInput!$N$27+1,20,24,28,32,36,40),0)/100)))+1)),0)</f>
        <v/>
      </c>
      <c r="S3268" t="n">
        <v>0</v>
      </c>
      <c r="U3268" t="n">
        <v>0</v>
      </c>
    </row>
    <row r="3269">
      <c r="A3269">
        <f>Skills!A15</f>
        <v/>
      </c>
      <c r="B3269">
        <f>Skills!B15</f>
        <v/>
      </c>
      <c r="C3269">
        <f>Inputs!$B$3&gt;=63</f>
        <v/>
      </c>
      <c r="D3269">
        <f>IF(Skills!C15=1,60+Inputs!$B$26+Inputs!$B$30,IF(Skills!C15=2,90+Inputs!$B$27+Inputs!$B$30,IF(Skills!C15=3,120+Inputs!$B$28+Inputs!$B$30,MAX(0,(Inputs!$B$3-100)*3)+Inputs!$B$29+Inputs!$B$30)))</f>
        <v/>
      </c>
      <c r="E3269">
        <f>INDEX(FactorTable!$B$2:$Y$301, MATCH(ROUND(MIN(300,MAX(1,D3269)),0), FactorTable!$A$2:$A$301,0), Skills!L15+1)</f>
        <v/>
      </c>
      <c r="F3269">
        <f>IF(Skills!M15=TRUE,(Skills!K15/10)*(E3269/1000),Skills!K15/10)+Skills!N15</f>
        <v/>
      </c>
      <c r="G3269">
        <f>Calc!G15</f>
        <v/>
      </c>
      <c r="H3269">
        <f>Calc!H15</f>
        <v/>
      </c>
      <c r="I3269">
        <f>IF(Skills!T15&lt;&gt;"",1+(Skills!T15/10)*($Z$3/1000)/100,1)</f>
        <v/>
      </c>
      <c r="J3269">
        <f>((Inputs!$B$6*(1+Inputs!$B$7/100))+(((Inputs!$B$13*(1+Inputs!$B$14/100))-(Inputs!$B$13*(1+Inputs!$B$14/100)))+0.25*(Inputs!$B$15-Inputs!$B$15))*(1+Inputs!$B$7/100))*(F3269/100)</f>
        <v/>
      </c>
      <c r="K3269">
        <f>J3269*(1+(((Inputs!$B$13+IF(Inputs!$B$3&gt;=35,(10*INDEX(FactorTable!$B$2:$Y$301,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15="TRIUMPH_FEATHER",IF(C3270=TRUE,F3270,0),0)/100)*(1+IF(C3281=TRUE,F3281,0)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3269)</f>
        <v/>
      </c>
      <c r="L3269">
        <f>K3269*(MIN(Inputs!$B$23+(F3276-Calc!F22),(Inputs!$B$24+IF(ArtifactsInput!$M$15,CHOOSE(ArtifactsInput!$N$15+1,25,30,35,40,45,50)/100*(Inputs!$B$12-Inputs!$B$12),0)))/100+(Inputs!$B$24+IF(ArtifactsInput!$M$15,CHOOSE(ArtifactsInput!$N$15+1,25,30,35,40,45,50)/100*(Inputs!$B$12-Inputs!$B$12),0))/100)/2</f>
        <v/>
      </c>
      <c r="M3269">
        <f>L3269*(1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9">
        <f>L3269*(1-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3269*(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9">
        <f>(1-Summary!$B$11)*S3269+Summary!$B$11*U3269</f>
        <v/>
      </c>
      <c r="P3269">
        <f>IF(B3296=0,0,O3269/B3296)</f>
        <v/>
      </c>
      <c r="Q3269">
        <f>IFERROR(1/(IF(Inputs!$B$39="pvp",15,MAX(0.1,Skills!D15-IF(Skills!E15=TRUE,5.0,0)))*(1-IF(AND(ArtifactsInput!$M$27,Inputs!$B$4="Chapter Hunt"),CHOOSE(ArtifactsInput!$N$27+1,20,24,28,32,36,40),0)/100)),0)</f>
        <v/>
      </c>
      <c r="R3269" t="n">
        <v>0</v>
      </c>
      <c r="S3269">
        <f>IF(C3269,(Skills!F15*N3269*((IF(Inputs!$B$3&gt;=78,25,15)/100*B3289*10)/(1+IF(Inputs!$B$3&gt;=78,25,15)/100*B3289*10))*(Skills!I15/100*B3289)/(1+Skills!G15*Skills!I15/100*B3289))*IF(Inputs!$B$39="pvp",1,1+(Inputs!$B$21+Skills!O15+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3269*(1-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3269*(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3269*(1-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3269*(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9">
        <f>IF(C3269,(Skills!F15*N3269*((IF(Inputs!$B$3&gt;=78,25,15)/100*B3289*10)/(1+IF(Inputs!$B$3&gt;=78,25,15)/100*B3289*10))*(Skills!I15/100*B3289)/(1+Skills!G15*Skills!I15/100*B3289))*IF(Inputs!$B$39="pvp",1,(1+(Inputs!$B$22+Skills!P15+B3285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0">
      <c r="A3270">
        <f>Skills!A16</f>
        <v/>
      </c>
      <c r="B3270">
        <f>Skills!B16</f>
        <v/>
      </c>
      <c r="C3270">
        <f>Inputs!$B$3&gt;=100</f>
        <v/>
      </c>
      <c r="D3270">
        <f>IF(Skills!C16=1,60+Inputs!$B$26+Inputs!$B$30,IF(Skills!C16=2,90+Inputs!$B$27+Inputs!$B$30,IF(Skills!C16=3,120+Inputs!$B$28+Inputs!$B$30,MAX(0,(Inputs!$B$3-100)*3)+Inputs!$B$29+Inputs!$B$30)))</f>
        <v/>
      </c>
      <c r="E3270">
        <f>INDEX(FactorTable!$B$2:$Y$301, MATCH(ROUND(MIN(300,MAX(1,D3270)),0), FactorTable!$A$2:$A$301,0), Skills!L16+1)</f>
        <v/>
      </c>
      <c r="F3270">
        <f>IF(Skills!M16=TRUE,(Skills!K16/10)*(E3270/1000),Skills!K16/10)+Skills!N16</f>
        <v/>
      </c>
      <c r="G3270">
        <f>Calc!G16</f>
        <v/>
      </c>
      <c r="H3270">
        <f>Calc!H16</f>
        <v/>
      </c>
      <c r="I3270">
        <f>IF(Skills!T16&lt;&gt;"",1+(Skills!T16/10)*($Z$3/1000)/100,1)</f>
        <v/>
      </c>
      <c r="J3270" t="inlineStr"/>
      <c r="K3270" t="inlineStr"/>
      <c r="L3270" t="inlineStr"/>
      <c r="M3270" t="inlineStr"/>
      <c r="N3270" t="inlineStr"/>
      <c r="O3270">
        <f>(1-Summary!$B$11)*S3270+Summary!$B$11*U3270</f>
        <v/>
      </c>
      <c r="P3270">
        <f>IF(B3296=0,0,O3270/B3296)</f>
        <v/>
      </c>
      <c r="Q3270">
        <f>IFERROR(1/(IF(Inputs!$B$39="pvp",15,MAX(0.1,Skills!D16-IF(Skills!E16=TRUE,5.0,0)))*(1-IF(AND(ArtifactsInput!$M$27,Inputs!$B$4="Chapter Hunt"),CHOOSE(ArtifactsInput!$N$27+1,20,24,28,32,36,40),0)/100)),0)</f>
        <v/>
      </c>
      <c r="R3270" t="n">
        <v>0</v>
      </c>
      <c r="S3270" t="n">
        <v>0</v>
      </c>
      <c r="U3270" t="n">
        <v>0</v>
      </c>
    </row>
    <row r="3271">
      <c r="A3271">
        <f>Skills!A17</f>
        <v/>
      </c>
      <c r="B3271">
        <f>Skills!B17</f>
        <v/>
      </c>
      <c r="C3271">
        <f>Inputs!$B$3&gt;=49</f>
        <v/>
      </c>
      <c r="D3271">
        <f>IF(Skills!C17=1,60+Inputs!$B$26+Inputs!$B$30,IF(Skills!C17=2,90+Inputs!$B$27+Inputs!$B$30,IF(Skills!C17=3,120+Inputs!$B$28+Inputs!$B$30,MAX(0,(Inputs!$B$3-100)*3)+Inputs!$B$29+Inputs!$B$30)))</f>
        <v/>
      </c>
      <c r="E3271">
        <f>INDEX(FactorTable!$B$2:$Y$301, MATCH(ROUND(MIN(300,MAX(1,D3271)),0), FactorTable!$A$2:$A$301,0), Skills!L17+1)</f>
        <v/>
      </c>
      <c r="F3271">
        <f>IF(Skills!M17=TRUE,(Skills!K17/10)*(E3271/1000),Skills!K17/10)+Skills!N17</f>
        <v/>
      </c>
      <c r="G3271">
        <f>Calc!G17</f>
        <v/>
      </c>
      <c r="H3271">
        <f>Calc!H17</f>
        <v/>
      </c>
      <c r="I3271">
        <f>IF(Skills!T17&lt;&gt;"",1+(Skills!T17/10)*($Z$3/1000)/100,1)</f>
        <v/>
      </c>
      <c r="J3271" t="inlineStr"/>
      <c r="K3271" t="inlineStr"/>
      <c r="L3271" t="inlineStr"/>
      <c r="M3271" t="inlineStr"/>
      <c r="N3271" t="inlineStr"/>
      <c r="O3271">
        <f>(1-Summary!$B$11)*S3271+Summary!$B$11*U3271</f>
        <v/>
      </c>
      <c r="P3271">
        <f>IF(B3296=0,0,O3271/B3296)</f>
        <v/>
      </c>
      <c r="Q3271">
        <f>IFERROR(1/(IF(Inputs!$B$39="pvp",15,MAX(0.1,Skills!D17-IF(Skills!E17=TRUE,5.0,0)))*(1-IF(AND(ArtifactsInput!$M$27,Inputs!$B$4="Chapter Hunt"),CHOOSE(ArtifactsInput!$N$27+1,20,24,28,32,36,40),0)/100)),0)</f>
        <v/>
      </c>
      <c r="R3271" t="n">
        <v>0</v>
      </c>
      <c r="S3271" t="n">
        <v>0</v>
      </c>
      <c r="U3271" t="n">
        <v>0</v>
      </c>
    </row>
    <row r="3272">
      <c r="A3272">
        <f>Skills!A18</f>
        <v/>
      </c>
      <c r="B3272">
        <f>Skills!B18</f>
        <v/>
      </c>
      <c r="C3272">
        <f>Inputs!$B$3&gt;=75</f>
        <v/>
      </c>
      <c r="D3272">
        <f>IF(Skills!C18=1,60+Inputs!$B$26+Inputs!$B$30,IF(Skills!C18=2,90+Inputs!$B$27+Inputs!$B$30,IF(Skills!C18=3,120+Inputs!$B$28+Inputs!$B$30,MAX(0,(Inputs!$B$3-100)*3)+Inputs!$B$29+Inputs!$B$30)))</f>
        <v/>
      </c>
      <c r="E3272">
        <f>INDEX(FactorTable!$B$2:$Y$301, MATCH(ROUND(MIN(300,MAX(1,D3272)),0), FactorTable!$A$2:$A$301,0), Skills!L18+1)</f>
        <v/>
      </c>
      <c r="F3272">
        <f>IF(Skills!M18=TRUE,(Skills!K18/10)*(E3272/1000),Skills!K18/10)+Skills!N18</f>
        <v/>
      </c>
      <c r="G3272">
        <f>Calc!G18</f>
        <v/>
      </c>
      <c r="H3272">
        <f>Calc!H18</f>
        <v/>
      </c>
      <c r="I3272">
        <f>IF(Skills!T18&lt;&gt;"",1+(Skills!T18/10)*($Z$3/1000)/100,1)</f>
        <v/>
      </c>
      <c r="J3272" t="inlineStr"/>
      <c r="K3272" t="inlineStr"/>
      <c r="L3272" t="inlineStr"/>
      <c r="M3272" t="inlineStr"/>
      <c r="N3272" t="inlineStr"/>
      <c r="O3272">
        <f>(1-Summary!$B$11)*S3272+Summary!$B$11*U3272</f>
        <v/>
      </c>
      <c r="P3272">
        <f>IF(B3296=0,0,O3272/B3296)</f>
        <v/>
      </c>
      <c r="Q3272">
        <f>IFERROR(1/(IF(Inputs!$B$39="pvp",15,MAX(0.1,Skills!D18-IF(Skills!E18=TRUE,5.0,0)))*(1-IF(AND(ArtifactsInput!$M$27,Inputs!$B$4="Chapter Hunt"),CHOOSE(ArtifactsInput!$N$27+1,20,24,28,32,36,40),0)/100)),0)</f>
        <v/>
      </c>
      <c r="R3272" t="n">
        <v>0</v>
      </c>
      <c r="S3272" t="n">
        <v>0</v>
      </c>
      <c r="U3272" t="n">
        <v>0</v>
      </c>
    </row>
    <row r="3273">
      <c r="A3273">
        <f>Skills!A19</f>
        <v/>
      </c>
      <c r="B3273">
        <f>Skills!B19</f>
        <v/>
      </c>
      <c r="C3273">
        <f>Inputs!$B$3&gt;=110</f>
        <v/>
      </c>
      <c r="D3273">
        <f>IF(Skills!C19=1,60+Inputs!$B$26+Inputs!$B$30,IF(Skills!C19=2,90+Inputs!$B$27+Inputs!$B$30,IF(Skills!C19=3,120+Inputs!$B$28+Inputs!$B$30,MAX(0,(Inputs!$B$3-100)*3)+Inputs!$B$29+Inputs!$B$30)))</f>
        <v/>
      </c>
      <c r="E3273">
        <f>INDEX(FactorTable!$B$2:$Y$301, MATCH(ROUND(MIN(300,MAX(1,D3273)),0), FactorTable!$A$2:$A$301,0), Skills!L19+1)</f>
        <v/>
      </c>
      <c r="F3273">
        <f>(Skills!K19/10)*(E3273/1000)*64/45+Skills!N19</f>
        <v/>
      </c>
      <c r="G3273">
        <f>Calc!G19</f>
        <v/>
      </c>
      <c r="H3273">
        <f>Calc!H19</f>
        <v/>
      </c>
      <c r="I3273">
        <f>IF(Skills!T19&lt;&gt;"",1+(Skills!T19/10)*($Z$3/1000)/100,1)</f>
        <v/>
      </c>
      <c r="J3273" t="inlineStr"/>
      <c r="K3273" t="inlineStr"/>
      <c r="L3273" t="inlineStr"/>
      <c r="M3273" t="inlineStr"/>
      <c r="N3273" t="inlineStr"/>
      <c r="O3273">
        <f>(1-Summary!$B$11)*S3273+Summary!$B$11*U3273</f>
        <v/>
      </c>
      <c r="P3273">
        <f>IF(B3296=0,0,O3273/B3296)</f>
        <v/>
      </c>
      <c r="Q3273">
        <f>IFERROR(1/(IF(Inputs!$B$39="pvp",15,MAX(0.1,Skills!D19-IF(Skills!E19=TRUE,5.0,0)))*(1-IF(AND(ArtifactsInput!$M$27,Inputs!$B$4="Chapter Hunt"),CHOOSE(ArtifactsInput!$N$27+1,20,24,28,32,36,40),0)/100)),0)</f>
        <v/>
      </c>
      <c r="R3273">
        <f>IF(AND(Inputs!$B$39&lt;&gt;"pvp",Inputs!$B$44&gt;0),IF(Inputs!$B$44&lt;=0,0,(INT(Inputs!$B$44/(IF(Inputs!$B$39="pvp",15,MAX(0.1,Skills!D19-IF(Skills!E19=TRUE,5.0,0)))*(1-IF(AND(ArtifactsInput!$M$27,Inputs!$B$4="Chapter Hunt"),CHOOSE(ArtifactsInput!$N$27+1,20,24,28,32,36,40),0)/100)))+1)),0)</f>
        <v/>
      </c>
      <c r="S3273" t="n">
        <v>0</v>
      </c>
      <c r="U3273" t="n">
        <v>0</v>
      </c>
    </row>
    <row r="3274">
      <c r="A3274">
        <f>Skills!A20</f>
        <v/>
      </c>
      <c r="B3274">
        <f>Skills!B20</f>
        <v/>
      </c>
      <c r="C3274">
        <f>Inputs!$B$3&gt;=125</f>
        <v/>
      </c>
      <c r="D3274">
        <f>IF(Skills!C20=1,60+Inputs!$B$26+Inputs!$B$30,IF(Skills!C20=2,90+Inputs!$B$27+Inputs!$B$30,IF(Skills!C20=3,120+Inputs!$B$28+Inputs!$B$30,MAX(0,(Inputs!$B$3-100)*3)+Inputs!$B$29+Inputs!$B$30)))</f>
        <v/>
      </c>
      <c r="E3274">
        <f>INDEX(FactorTable!$B$2:$Y$301, MATCH(ROUND(MIN(300,MAX(1,D3274)),0), FactorTable!$A$2:$A$301,0), Skills!L20+1)</f>
        <v/>
      </c>
      <c r="F3274">
        <f>IF(Skills!M20=TRUE,(Skills!K20/10)*(E3274/1000),Skills!K20/10)+Skills!N20</f>
        <v/>
      </c>
      <c r="G3274">
        <f>Calc!G20</f>
        <v/>
      </c>
      <c r="H3274">
        <f>Calc!H20</f>
        <v/>
      </c>
      <c r="I3274">
        <f>IF(Skills!T20&lt;&gt;"",1+(Skills!T20/10)*($Z$3/1000)/100,1)</f>
        <v/>
      </c>
      <c r="J3274" t="inlineStr"/>
      <c r="K3274" t="inlineStr"/>
      <c r="L3274" t="inlineStr"/>
      <c r="M3274" t="inlineStr"/>
      <c r="N3274" t="inlineStr"/>
      <c r="O3274">
        <f>(1-Summary!$B$11)*S3274+Summary!$B$11*U3274</f>
        <v/>
      </c>
      <c r="P3274">
        <f>IF(B3296=0,0,O3274/B3296)</f>
        <v/>
      </c>
      <c r="Q3274">
        <f>IFERROR(1/(IF(Inputs!$B$39="pvp",15,MAX(0.1,Skills!D20-IF(Skills!E20=TRUE,5.0,0)))*(1-IF(AND(ArtifactsInput!$M$27,Inputs!$B$4="Chapter Hunt"),CHOOSE(ArtifactsInput!$N$27+1,20,24,28,32,36,40),0)/100)),0)</f>
        <v/>
      </c>
      <c r="R3274" t="n">
        <v>0</v>
      </c>
      <c r="S3274" t="n">
        <v>0</v>
      </c>
      <c r="U3274" t="n">
        <v>0</v>
      </c>
    </row>
    <row r="3275">
      <c r="A3275">
        <f>Skills!A21</f>
        <v/>
      </c>
      <c r="B3275">
        <f>Skills!B21</f>
        <v/>
      </c>
      <c r="C3275">
        <f>Inputs!$B$3&gt;=33</f>
        <v/>
      </c>
      <c r="D3275">
        <f>IF(Skills!C21=1,60+Inputs!$B$26+Inputs!$B$30,IF(Skills!C21=2,90+Inputs!$B$27+Inputs!$B$30,IF(Skills!C21=3,120+Inputs!$B$28+Inputs!$B$30,MAX(0,(Inputs!$B$3-100)*3)+Inputs!$B$29+Inputs!$B$30)))</f>
        <v/>
      </c>
      <c r="E3275">
        <f>INDEX(FactorTable!$B$2:$Y$301, MATCH(ROUND(MIN(300,MAX(1,D3275)),0), FactorTable!$A$2:$A$301,0), Skills!L21+1)</f>
        <v/>
      </c>
      <c r="F3275">
        <f>IF(Skills!M21=TRUE,(Skills!K21/10)*(E3275/1000),Skills!K21/10)+Skills!N21</f>
        <v/>
      </c>
      <c r="G3275">
        <f>Calc!G21</f>
        <v/>
      </c>
      <c r="H3275">
        <f>Calc!H21</f>
        <v/>
      </c>
      <c r="I3275">
        <f>IF(Skills!T21&lt;&gt;"",1+(Skills!T21/10)*($Z$3/1000)/100,1)</f>
        <v/>
      </c>
      <c r="J3275" t="inlineStr"/>
      <c r="K3275" t="inlineStr"/>
      <c r="L3275" t="inlineStr"/>
      <c r="M3275" t="inlineStr"/>
      <c r="N3275" t="inlineStr"/>
      <c r="O3275">
        <f>(1-Summary!$B$11)*S3275+Summary!$B$11*U3275</f>
        <v/>
      </c>
      <c r="P3275">
        <f>IF(B3296=0,0,O3275/B3296)</f>
        <v/>
      </c>
      <c r="Q3275">
        <f>IFERROR(1/(IF(Inputs!$B$39="pvp",15,MAX(0.1,Skills!D21-IF(Skills!E21=TRUE,5.0,0)))*(1-IF(AND(ArtifactsInput!$M$27,Inputs!$B$4="Chapter Hunt"),CHOOSE(ArtifactsInput!$N$27+1,20,24,28,32,36,40),0)/100)),0)</f>
        <v/>
      </c>
      <c r="R3275" t="n">
        <v>0</v>
      </c>
      <c r="S3275" t="n">
        <v>0</v>
      </c>
      <c r="U3275" t="n">
        <v>0</v>
      </c>
    </row>
    <row r="3276">
      <c r="A3276">
        <f>Skills!A22</f>
        <v/>
      </c>
      <c r="B3276">
        <f>Skills!B22</f>
        <v/>
      </c>
      <c r="C3276">
        <f>Inputs!$B$3&gt;=43</f>
        <v/>
      </c>
      <c r="D3276">
        <f>IF(Skills!C22=1,60+Inputs!$B$26+Inputs!$B$30,IF(Skills!C22=2,90+Inputs!$B$27+Inputs!$B$30,IF(Skills!C22=3,120+Inputs!$B$28+Inputs!$B$30,MAX(0,(Inputs!$B$3-100)*3)+Inputs!$B$29+Inputs!$B$30)))</f>
        <v/>
      </c>
      <c r="E3276">
        <f>INDEX(FactorTable!$B$2:$Y$301, MATCH(ROUND(MIN(300,MAX(1,D3276)),0), FactorTable!$A$2:$A$301,0), Skills!L22+1)</f>
        <v/>
      </c>
      <c r="F3276">
        <f>IF(Skills!M22=TRUE,(Skills!K22/10)*(E3276/1000),Skills!K22/10)+Skills!N22</f>
        <v/>
      </c>
      <c r="G3276">
        <f>Calc!G22</f>
        <v/>
      </c>
      <c r="H3276">
        <f>Calc!H22</f>
        <v/>
      </c>
      <c r="I3276">
        <f>IF(Skills!T22&lt;&gt;"",1+(Skills!T22/10)*($Z$3/1000)/100,1)</f>
        <v/>
      </c>
      <c r="J3276" t="inlineStr"/>
      <c r="K3276" t="inlineStr"/>
      <c r="L3276" t="inlineStr"/>
      <c r="M3276" t="inlineStr"/>
      <c r="N3276" t="inlineStr"/>
      <c r="O3276">
        <f>(1-Summary!$B$11)*S3276+Summary!$B$11*U3276</f>
        <v/>
      </c>
      <c r="P3276">
        <f>IF(B3296=0,0,O3276/B3296)</f>
        <v/>
      </c>
      <c r="Q3276">
        <f>IFERROR(1/(IF(Inputs!$B$39="pvp",15,MAX(0.1,Skills!D22-IF(Skills!E22=TRUE,5.0,0)))*(1-IF(AND(ArtifactsInput!$M$27,Inputs!$B$4="Chapter Hunt"),CHOOSE(ArtifactsInput!$N$27+1,20,24,28,32,36,40),0)/100)),0)</f>
        <v/>
      </c>
      <c r="R3276" t="n">
        <v>0</v>
      </c>
      <c r="S3276" t="n">
        <v>0</v>
      </c>
      <c r="U3276" t="n">
        <v>0</v>
      </c>
    </row>
    <row r="3277">
      <c r="A3277">
        <f>Skills!A23</f>
        <v/>
      </c>
      <c r="B3277">
        <f>Skills!B23</f>
        <v/>
      </c>
      <c r="C3277">
        <f>Inputs!$B$3&gt;=50</f>
        <v/>
      </c>
      <c r="D3277">
        <f>IF(Skills!C23=1,60+Inputs!$B$26+Inputs!$B$30,IF(Skills!C23=2,90+Inputs!$B$27+Inputs!$B$30,IF(Skills!C23=3,120+Inputs!$B$28+Inputs!$B$30,MAX(0,(Inputs!$B$3-100)*3)+Inputs!$B$29+Inputs!$B$30)))</f>
        <v/>
      </c>
      <c r="E3277">
        <f>INDEX(FactorTable!$B$2:$Y$301, MATCH(ROUND(MIN(300,MAX(1,D3277)),0), FactorTable!$A$2:$A$301,0), Skills!L23+1)</f>
        <v/>
      </c>
      <c r="F3277">
        <f>IF(Skills!M23=TRUE,(Skills!K23/10)*(E3277/1000),Skills!K23/10)+Skills!N23</f>
        <v/>
      </c>
      <c r="G3277">
        <f>Calc!G23</f>
        <v/>
      </c>
      <c r="H3277">
        <f>Calc!H23</f>
        <v/>
      </c>
      <c r="I3277">
        <f>IF(Skills!T23&lt;&gt;"",1+(Skills!T23/10)*($Z$3/1000)/100,1)</f>
        <v/>
      </c>
      <c r="J3277" t="inlineStr"/>
      <c r="K3277" t="inlineStr"/>
      <c r="L3277" t="inlineStr"/>
      <c r="M3277" t="inlineStr"/>
      <c r="N3277" t="inlineStr"/>
      <c r="O3277">
        <f>(1-Summary!$B$11)*S3277+Summary!$B$11*U3277</f>
        <v/>
      </c>
      <c r="P3277">
        <f>IF(B3296=0,0,O3277/B3296)</f>
        <v/>
      </c>
      <c r="Q3277">
        <f>IFERROR(1/(IF(Inputs!$B$39="pvp",15,MAX(0.1,Skills!D23-IF(Skills!E23=TRUE,5.0,0)))*(1-IF(AND(ArtifactsInput!$M$27,Inputs!$B$4="Chapter Hunt"),CHOOSE(ArtifactsInput!$N$27+1,20,24,28,32,36,40),0)/100)),0)</f>
        <v/>
      </c>
      <c r="R3277" t="n">
        <v>0</v>
      </c>
      <c r="S3277" t="n">
        <v>0</v>
      </c>
      <c r="U3277" t="n">
        <v>0</v>
      </c>
    </row>
    <row r="3278">
      <c r="A3278">
        <f>Skills!A24</f>
        <v/>
      </c>
      <c r="B3278">
        <f>Skills!B24</f>
        <v/>
      </c>
      <c r="C3278">
        <f>Inputs!$B$3&gt;=74</f>
        <v/>
      </c>
      <c r="D3278">
        <f>IF(Skills!C24=1,60+Inputs!$B$26+Inputs!$B$30,IF(Skills!C24=2,90+Inputs!$B$27+Inputs!$B$30,IF(Skills!C24=3,120+Inputs!$B$28+Inputs!$B$30,MAX(0,(Inputs!$B$3-100)*3)+Inputs!$B$29+Inputs!$B$30)))</f>
        <v/>
      </c>
      <c r="E3278">
        <f>INDEX(FactorTable!$B$2:$Y$301, MATCH(ROUND(MIN(300,MAX(1,D3278)),0), FactorTable!$A$2:$A$301,0), Skills!L24+1)</f>
        <v/>
      </c>
      <c r="F3278">
        <f>IF(Skills!M24=TRUE,(Skills!K24/10)*(E3278/1000),Skills!K24/10)+Skills!N24</f>
        <v/>
      </c>
      <c r="G3278">
        <f>Calc!G24</f>
        <v/>
      </c>
      <c r="H3278">
        <f>Calc!H24</f>
        <v/>
      </c>
      <c r="I3278">
        <f>IF(Skills!T24&lt;&gt;"",1+(Skills!T24/10)*($Z$3/1000)/100,1)</f>
        <v/>
      </c>
      <c r="J3278" t="inlineStr"/>
      <c r="K3278" t="inlineStr"/>
      <c r="L3278" t="inlineStr"/>
      <c r="M3278" t="inlineStr"/>
      <c r="N3278" t="inlineStr"/>
      <c r="O3278">
        <f>(1-Summary!$B$11)*S3278+Summary!$B$11*U3278</f>
        <v/>
      </c>
      <c r="P3278">
        <f>IF(B3296=0,0,O3278/B3296)</f>
        <v/>
      </c>
      <c r="Q3278">
        <f>IFERROR(1/(IF(Inputs!$B$39="pvp",15,MAX(0.1,Skills!D24-IF(Skills!E24=TRUE,5.0,0)))*(1-IF(AND(ArtifactsInput!$M$27,Inputs!$B$4="Chapter Hunt"),CHOOSE(ArtifactsInput!$N$27+1,20,24,28,32,36,40),0)/100)),0)</f>
        <v/>
      </c>
      <c r="R3278" t="n">
        <v>0</v>
      </c>
      <c r="S3278" t="n">
        <v>0</v>
      </c>
      <c r="U3278" t="n">
        <v>0</v>
      </c>
    </row>
    <row r="3279">
      <c r="A3279">
        <f>Skills!A25</f>
        <v/>
      </c>
      <c r="B3279">
        <f>Skills!B25</f>
        <v/>
      </c>
      <c r="C3279">
        <f>Inputs!$B$3&gt;=74</f>
        <v/>
      </c>
      <c r="D3279">
        <f>IF(Skills!C25=1,60+Inputs!$B$26+Inputs!$B$30,IF(Skills!C25=2,90+Inputs!$B$27+Inputs!$B$30,IF(Skills!C25=3,120+Inputs!$B$28+Inputs!$B$30,MAX(0,(Inputs!$B$3-100)*3)+Inputs!$B$29+Inputs!$B$30)))</f>
        <v/>
      </c>
      <c r="E3279">
        <f>INDEX(FactorTable!$B$2:$Y$301, MATCH(ROUND(MIN(300,MAX(1,D3279)),0), FactorTable!$A$2:$A$301,0), Skills!L25+1)</f>
        <v/>
      </c>
      <c r="F3279">
        <f>IF(Skills!M25=TRUE,(Skills!K25/10)*(E3279/1000),Skills!K25/10)+Skills!N25</f>
        <v/>
      </c>
      <c r="G3279">
        <f>Calc!G25</f>
        <v/>
      </c>
      <c r="H3279">
        <f>Calc!H25</f>
        <v/>
      </c>
      <c r="I3279">
        <f>IF(Skills!T25&lt;&gt;"",1+(Skills!T25/10)*($Z$3/1000)/100,1)</f>
        <v/>
      </c>
      <c r="J3279" t="inlineStr"/>
      <c r="K3279" t="inlineStr"/>
      <c r="L3279" t="inlineStr"/>
      <c r="M3279" t="inlineStr"/>
      <c r="N3279" t="inlineStr"/>
      <c r="O3279">
        <f>(1-Summary!$B$11)*S3279+Summary!$B$11*U3279</f>
        <v/>
      </c>
      <c r="P3279">
        <f>IF(B3296=0,0,O3279/B3296)</f>
        <v/>
      </c>
      <c r="Q3279">
        <f>IFERROR(1/(IF(Inputs!$B$39="pvp",15,MAX(0.1,Skills!D25-IF(Skills!E25=TRUE,5.0,0)))*(1-IF(AND(ArtifactsInput!$M$27,Inputs!$B$4="Chapter Hunt"),CHOOSE(ArtifactsInput!$N$27+1,20,24,28,32,36,40),0)/100)),0)</f>
        <v/>
      </c>
      <c r="R3279" t="n">
        <v>0</v>
      </c>
      <c r="S3279" t="n">
        <v>0</v>
      </c>
      <c r="U3279" t="n">
        <v>0</v>
      </c>
    </row>
    <row r="3280">
      <c r="A3280">
        <f>Skills!A26</f>
        <v/>
      </c>
      <c r="B3280">
        <f>Skills!B26</f>
        <v/>
      </c>
      <c r="C3280">
        <f>Inputs!$B$3&gt;=117</f>
        <v/>
      </c>
      <c r="D3280">
        <f>IF(Skills!C26=1,60+Inputs!$B$26+Inputs!$B$30,IF(Skills!C26=2,90+Inputs!$B$27+Inputs!$B$30,IF(Skills!C26=3,120+Inputs!$B$28+Inputs!$B$30,MAX(0,(Inputs!$B$3-100)*3)+Inputs!$B$29+Inputs!$B$30)))</f>
        <v/>
      </c>
      <c r="E3280">
        <f>INDEX(FactorTable!$B$2:$Y$301, MATCH(ROUND(MIN(300,MAX(1,D3280)),0), FactorTable!$A$2:$A$301,0), Skills!L26+1)</f>
        <v/>
      </c>
      <c r="F3280">
        <f>IF(Skills!M26=TRUE,(Skills!K26/10)*(E3280/1000),Skills!K26/10)+Skills!N26</f>
        <v/>
      </c>
      <c r="G3280">
        <f>Calc!G26</f>
        <v/>
      </c>
      <c r="H3280">
        <f>Calc!H26</f>
        <v/>
      </c>
      <c r="I3280">
        <f>IF(Skills!T26&lt;&gt;"",1+(Skills!T26/10)*($Z$3/1000)/100,1)</f>
        <v/>
      </c>
      <c r="J3280" t="inlineStr"/>
      <c r="K3280" t="inlineStr"/>
      <c r="L3280" t="inlineStr"/>
      <c r="M3280" t="inlineStr"/>
      <c r="N3280" t="inlineStr"/>
      <c r="O3280">
        <f>(1-Summary!$B$11)*S3280+Summary!$B$11*U3280</f>
        <v/>
      </c>
      <c r="P3280">
        <f>IF(B3296=0,0,O3280/B3296)</f>
        <v/>
      </c>
      <c r="Q3280">
        <f>IFERROR(1/(IF(Inputs!$B$39="pvp",15,MAX(0.1,Skills!D26-IF(Skills!E26=TRUE,5.0,0)))*(1-IF(AND(ArtifactsInput!$M$27,Inputs!$B$4="Chapter Hunt"),CHOOSE(ArtifactsInput!$N$27+1,20,24,28,32,36,40),0)/100)),0)</f>
        <v/>
      </c>
      <c r="R3280" t="n">
        <v>0</v>
      </c>
      <c r="S3280" t="n">
        <v>0</v>
      </c>
      <c r="U3280" t="n">
        <v>0</v>
      </c>
    </row>
    <row r="3281">
      <c r="A3281">
        <f>Skills!A27</f>
        <v/>
      </c>
      <c r="B3281">
        <f>Skills!B27</f>
        <v/>
      </c>
      <c r="C3281">
        <f>Inputs!$B$3&gt;=120</f>
        <v/>
      </c>
      <c r="D3281">
        <f>IF(Skills!C27=1,60+Inputs!$B$26+Inputs!$B$30,IF(Skills!C27=2,90+Inputs!$B$27+Inputs!$B$30,IF(Skills!C27=3,120+Inputs!$B$28+Inputs!$B$30,MAX(0,(Inputs!$B$3-100)*3)+Inputs!$B$29+Inputs!$B$30)))</f>
        <v/>
      </c>
      <c r="E3281">
        <f>INDEX(FactorTable!$B$2:$Y$301, MATCH(ROUND(MIN(300,MAX(1,D3281)),0), FactorTable!$A$2:$A$301,0), Skills!L27+1)</f>
        <v/>
      </c>
      <c r="F3281">
        <f>IF(Skills!M27=TRUE,(Skills!K27/10)*(E3281/1000),Skills!K27/10)+Skills!N27</f>
        <v/>
      </c>
      <c r="G3281">
        <f>Calc!G27</f>
        <v/>
      </c>
      <c r="H3281">
        <f>Calc!H27</f>
        <v/>
      </c>
      <c r="I3281">
        <f>IF(Skills!T27&lt;&gt;"",1+(Skills!T27/10)*($Z$3/1000)/100,1)</f>
        <v/>
      </c>
      <c r="J3281" t="inlineStr"/>
      <c r="K3281" t="inlineStr"/>
      <c r="L3281" t="inlineStr"/>
      <c r="M3281" t="inlineStr"/>
      <c r="N3281" t="inlineStr"/>
      <c r="O3281">
        <f>(1-Summary!$B$11)*S3281+Summary!$B$11*U3281</f>
        <v/>
      </c>
      <c r="P3281">
        <f>IF(B3296=0,0,O3281/B3296)</f>
        <v/>
      </c>
      <c r="Q3281">
        <f>IFERROR(1/(IF(Inputs!$B$39="pvp",15,MAX(0.1,Skills!D27-IF(Skills!E27=TRUE,5.0,0)))*(1-IF(AND(ArtifactsInput!$M$27,Inputs!$B$4="Chapter Hunt"),CHOOSE(ArtifactsInput!$N$27+1,20,24,28,32,36,40),0)/100)),0)</f>
        <v/>
      </c>
      <c r="R3281" t="n">
        <v>0</v>
      </c>
      <c r="S3281" t="n">
        <v>0</v>
      </c>
      <c r="U3281" t="n">
        <v>0</v>
      </c>
    </row>
    <row r="3283">
      <c r="A3283" t="inlineStr">
        <is>
          <t>Average Buff Multiplier</t>
        </is>
      </c>
      <c r="B3283">
        <f>(1+(IF(C3257=TRUE,F3257*IF(AND(Inputs!$B$39&lt;&gt;"pvp",Inputs!$B$44&gt;0),(((R3257-1)*(Skills!S3*(1+((Inputs!$B$35+(ArtifactsInput!$M$7-ArtifactsInput!$M$7)*CHOOSE(ArtifactsInput!$N$7+1,6,7.2,8.4,9.6,10.8,12))+IF(Inputs!$B$3&gt;=117,F3280,0))/100))+MIN((Skills!S3*(1+((Inputs!$B$35+(ArtifactsInput!$M$7-ArtifactsInput!$M$7)*CHOOSE(ArtifactsInput!$N$7+1,6,7.2,8.4,9.6,10.8,12))+IF(Inputs!$B$3&gt;=117,F3280,0))/100)),MAX(0,Inputs!$B$44-((R3257-1)*Skills!D3))))/Inputs!$B$44),IF(Inputs!$B$39="pvp",MIN((Skills!S3*(1+((Inputs!$B$35+(ArtifactsInput!$M$7-ArtifactsInput!$M$7)*CHOOSE(ArtifactsInput!$N$7+1,6,7.2,8.4,9.6,10.8,12))+IF(Inputs!$B$3&gt;=117,F3280,0))/100)),15)/15,(Skills!S3*(1+((Inputs!$B$35+(ArtifactsInput!$M$7-ArtifactsInput!$M$7)*CHOOSE(ArtifactsInput!$N$7+1,6,7.2,8.4,9.6,10.8,12))+IF(Inputs!$B$3&gt;=117,F3280,0))/100))/Skills!D3)),0)+IF(C3258=TRUE,F3258*IF(AND(Inputs!$B$39&lt;&gt;"pvp",Inputs!$B$44&gt;0),(((R3258-1)*(Skills!S4*(1+((Inputs!$B$35+(ArtifactsInput!$M$7-ArtifactsInput!$M$7)*CHOOSE(ArtifactsInput!$N$7+1,6,7.2,8.4,9.6,10.8,12))+IF(Inputs!$B$3&gt;=117,F3280,0))/100))+MIN((Skills!S4*(1+((Inputs!$B$35+(ArtifactsInput!$M$7-ArtifactsInput!$M$7)*CHOOSE(ArtifactsInput!$N$7+1,6,7.2,8.4,9.6,10.8,12))+IF(Inputs!$B$3&gt;=117,F3280,0))/100)),MAX(0,Inputs!$B$44-((R3258-1)*Skills!D4))))/Inputs!$B$44),IF(Inputs!$B$39="pvp",MIN((Skills!S4*(1+((Inputs!$B$35+(ArtifactsInput!$M$7-ArtifactsInput!$M$7)*CHOOSE(ArtifactsInput!$N$7+1,6,7.2,8.4,9.6,10.8,12))+IF(Inputs!$B$3&gt;=117,F3280,0))/100)),15)/15,(Skills!S4*(1+((Inputs!$B$35+(ArtifactsInput!$M$7-ArtifactsInput!$M$7)*CHOOSE(ArtifactsInput!$N$7+1,6,7.2,8.4,9.6,10.8,12))+IF(Inputs!$B$3&gt;=117,F3280,0))/100))/Skills!D4)),0)+IF(C3259=TRUE,F3259*IF(AND(Inputs!$B$39&lt;&gt;"pvp",Inputs!$B$44&gt;0),(((R3259-1)*(Skills!S5*(1+((Inputs!$B$35+(ArtifactsInput!$M$7-ArtifactsInput!$M$7)*CHOOSE(ArtifactsInput!$N$7+1,6,7.2,8.4,9.6,10.8,12))+IF(Inputs!$B$3&gt;=117,F3280,0))/100))+MIN((Skills!S5*(1+((Inputs!$B$35+(ArtifactsInput!$M$7-ArtifactsInput!$M$7)*CHOOSE(ArtifactsInput!$N$7+1,6,7.2,8.4,9.6,10.8,12))+IF(Inputs!$B$3&gt;=117,F3280,0))/100)),MAX(0,Inputs!$B$44-((R3259-1)*Skills!D5))))/Inputs!$B$44),IF(Inputs!$B$39="pvp",MIN((Skills!S5*(1+((Inputs!$B$35+(ArtifactsInput!$M$7-ArtifactsInput!$M$7)*CHOOSE(ArtifactsInput!$N$7+1,6,7.2,8.4,9.6,10.8,12))+IF(Inputs!$B$3&gt;=117,F3280,0))/100)),15)/15,(Skills!S5*(1+((Inputs!$B$35+(ArtifactsInput!$M$7-ArtifactsInput!$M$7)*CHOOSE(ArtifactsInput!$N$7+1,6,7.2,8.4,9.6,10.8,12))+IF(Inputs!$B$3&gt;=117,F3280,0))/100))/Skills!D5)),0)+IF(C3265=TRUE,F3265*IF(AND(Inputs!$B$39&lt;&gt;"pvp",Inputs!$B$44&gt;0),(((R3265-1)*(Skills!S11*(1+((Inputs!$B$35+(ArtifactsInput!$M$7-ArtifactsInput!$M$7)*CHOOSE(ArtifactsInput!$N$7+1,6,7.2,8.4,9.6,10.8,12))+IF(Inputs!$B$3&gt;=117,F3280,0))/100))+MIN((Skills!S11*(1+((Inputs!$B$35+(ArtifactsInput!$M$7-ArtifactsInput!$M$7)*CHOOSE(ArtifactsInput!$N$7+1,6,7.2,8.4,9.6,10.8,12))+IF(Inputs!$B$3&gt;=117,F3280,0))/100)),MAX(0,Inputs!$B$44-((R3265-1)*Skills!D11))))/Inputs!$B$44),IF(Inputs!$B$39="pvp",MIN((Skills!S11*(1+((Inputs!$B$35+(ArtifactsInput!$M$7-ArtifactsInput!$M$7)*CHOOSE(ArtifactsInput!$N$7+1,6,7.2,8.4,9.6,10.8,12))+IF(Inputs!$B$3&gt;=117,F3280,0))/100)),15)/15,(Skills!S11*(1+((Inputs!$B$35+(ArtifactsInput!$M$7-ArtifactsInput!$M$7)*CHOOSE(ArtifactsInput!$N$7+1,6,7.2,8.4,9.6,10.8,12))+IF(Inputs!$B$3&gt;=117,F3280,0)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3268=TRUE,(1+F3268*IF(AND(Inputs!$B$39&lt;&gt;"pvp",Inputs!$B$44&gt;0),(((R3268-1)*(Skills!S14*(1+((Inputs!$B$35+(ArtifactsInput!$M$7-ArtifactsInput!$M$7)*CHOOSE(ArtifactsInput!$N$7+1,6,7.2,8.4,9.6,10.8,12))+IF(Inputs!$B$3&gt;=117,F3280,0))/100))+MIN((Skills!S14*(1+((Inputs!$B$35+(ArtifactsInput!$M$7-ArtifactsInput!$M$7)*CHOOSE(ArtifactsInput!$N$7+1,6,7.2,8.4,9.6,10.8,12))+IF(Inputs!$B$3&gt;=117,F3280,0))/100)),MAX(0,Inputs!$B$44-((R3268-1)*Skills!D14))))/Inputs!$B$44),IF(Inputs!$B$39="pvp",MIN((Skills!S14*(1+((Inputs!$B$35+(ArtifactsInput!$M$7-ArtifactsInput!$M$7)*CHOOSE(ArtifactsInput!$N$7+1,6,7.2,8.4,9.6,10.8,12))+IF(Inputs!$B$3&gt;=117,F3280,0))/100)),15)/15,(Skills!S14*(1+((Inputs!$B$35+(ArtifactsInput!$M$7-ArtifactsInput!$M$7)*CHOOSE(ArtifactsInput!$N$7+1,6,7.2,8.4,9.6,10.8,12))+IF(Inputs!$B$3&gt;=117,F3280,0))/100))/Skills!D14))/100),1)*IF(C3273=TRUE,(1+F3273*IF(AND(Inputs!$B$39&lt;&gt;"pvp",Inputs!$B$44&gt;0),(((R3273-1)*(Skills!S19*(1+((Inputs!$B$35+(ArtifactsInput!$M$7-ArtifactsInput!$M$7)*CHOOSE(ArtifactsInput!$N$7+1,6,7.2,8.4,9.6,10.8,12))+IF(Inputs!$B$3&gt;=117,F3280,0))/100))+MIN((Skills!S19*(1+((Inputs!$B$35+(ArtifactsInput!$M$7-ArtifactsInput!$M$7)*CHOOSE(ArtifactsInput!$N$7+1,6,7.2,8.4,9.6,10.8,12))+IF(Inputs!$B$3&gt;=117,F3280,0))/100)),MAX(0,Inputs!$B$44-((R3273-1)*Skills!D19))))/Inputs!$B$44),IF(Inputs!$B$39="pvp",MIN((Skills!S19*(1+((Inputs!$B$35+(ArtifactsInput!$M$7-ArtifactsInput!$M$7)*CHOOSE(ArtifactsInput!$N$7+1,6,7.2,8.4,9.6,10.8,12))+IF(Inputs!$B$3&gt;=117,F3280,0))/100)),15)/15,(Skills!S19*(1+((Inputs!$B$35+(ArtifactsInput!$M$7-ArtifactsInput!$M$7)*CHOOSE(ArtifactsInput!$N$7+1,6,7.2,8.4,9.6,10.8,12))+IF(Inputs!$B$3&gt;=117,F3280,0))/100))/Skills!D19))/100),1)</f>
        <v/>
      </c>
    </row>
    <row r="3284">
      <c r="A3284" t="inlineStr">
        <is>
          <t>Monster Damage Taken Bonus % (Holy Fountain)</t>
        </is>
      </c>
      <c r="B3284">
        <f>IF(Inputs!$B$3&gt;=68,20*IF(Inputs!$B$39="pvp",MIN((15*(1+((Inputs!$B$35+(ArtifactsInput!$M$7-ArtifactsInput!$M$7)*CHOOSE(ArtifactsInput!$N$7+1,6,7.2,8.4,9.6,10.8,12))+IF(Inputs!$B$3&gt;=117,F3280,0))/100)),15)/15,(15*(1+((Inputs!$B$35+(ArtifactsInput!$M$7-ArtifactsInput!$M$7)*CHOOSE(ArtifactsInput!$N$7+1,6,7.2,8.4,9.6,10.8,12))+IF(Inputs!$B$3&gt;=117,F3280,0))/100))/Skills!D10),0)</f>
        <v/>
      </c>
    </row>
    <row r="3285">
      <c r="A3285" t="inlineStr">
        <is>
          <t>Normal Monster Damage Bonus % (Holy Symbol)</t>
        </is>
      </c>
      <c r="B3285">
        <f>IF(C3266=TRUE,F3266*IF(AND(Inputs!$B$39&lt;&gt;"pvp",Inputs!$B$44&gt;0),(((R3266-1)*(Skills!S12*(1+((Inputs!$B$35+(ArtifactsInput!$M$7-ArtifactsInput!$M$7)*CHOOSE(ArtifactsInput!$N$7+1,6,7.2,8.4,9.6,10.8,12))+IF(Inputs!$B$3&gt;=117,F3280,0))/100))+MIN((Skills!S12*(1+((Inputs!$B$35+(ArtifactsInput!$M$7-ArtifactsInput!$M$7)*CHOOSE(ArtifactsInput!$N$7+1,6,7.2,8.4,9.6,10.8,12))+IF(Inputs!$B$3&gt;=117,F3280,0))/100)),MAX(0,Inputs!$B$44-((R3266-1)*Skills!D12))))/Inputs!$B$44),IF(Inputs!$B$39="pvp",MIN((Skills!S12*(1+((Inputs!$B$35+(ArtifactsInput!$M$7-ArtifactsInput!$M$7)*CHOOSE(ArtifactsInput!$N$7+1,6,7.2,8.4,9.6,10.8,12))+IF(Inputs!$B$3&gt;=117,F3280,0))/100)),15)/15,(Skills!S12*(1+((Inputs!$B$35+(ArtifactsInput!$M$7-ArtifactsInput!$M$7)*CHOOSE(ArtifactsInput!$N$7+1,6,7.2,8.4,9.6,10.8,12))+IF(Inputs!$B$3&gt;=117,F3280,0))/100))/Skills!D12)),0)</f>
        <v/>
      </c>
    </row>
    <row r="3286">
      <c r="A3286" t="inlineStr">
        <is>
          <t>Damage % Bonus (Holy Symbol - Damage Boost)</t>
        </is>
      </c>
      <c r="B3286">
        <f>Skills!O12</f>
        <v/>
      </c>
    </row>
    <row r="3287">
      <c r="A3287" t="inlineStr">
        <is>
          <t>Crit Damage % Bonus (Blood of the Divine)</t>
        </is>
      </c>
      <c r="B3287">
        <f>4*IF(C3274=TRUE,F3274,0)</f>
        <v/>
      </c>
    </row>
    <row r="3288">
      <c r="A3288" t="inlineStr">
        <is>
          <t>Attack Speed Bonus %</t>
        </is>
      </c>
      <c r="B3288">
        <f>IF(C3271=TRUE,F3271+(F3275-Calc!F21),0)+IF(Inputs!$B$3&gt;=134,15,0)</f>
        <v/>
      </c>
    </row>
    <row r="3289">
      <c r="A3289" t="inlineStr">
        <is>
          <t>Actions Per Second</t>
        </is>
      </c>
      <c r="B3289">
        <f>1+MIN(150,150*(1-(1-Inputs!$B$12/150)*(1-B3288/150)))/100</f>
        <v/>
      </c>
    </row>
    <row r="3290">
      <c r="A3290" t="inlineStr">
        <is>
          <t>Skill + Buff Cast Rate</t>
        </is>
      </c>
      <c r="B3290">
        <f>IF(AND(Inputs!$B$39&lt;&gt;"pvp",Inputs!$B$44&gt;0),SUMPRODUCT((Skills!E2:E27=TRUE)*(C3256:C3281=TRUE)*R3256:R3281)/Inputs!$B$44,SUMPRODUCT((Skills!E2:E27=TRUE)*(C3256:C3281=TRUE)*Q3256:Q3281))</f>
        <v/>
      </c>
    </row>
    <row r="3291">
      <c r="A3291" t="inlineStr">
        <is>
          <t>Big Bang Casts Per Second</t>
        </is>
      </c>
      <c r="B3291">
        <f>MAX(0,B3289-B3290)</f>
        <v/>
      </c>
    </row>
    <row r="3292">
      <c r="A3292" t="inlineStr">
        <is>
          <t>Defense % Bonus (Divine Protection)</t>
        </is>
      </c>
      <c r="B3292">
        <f>IF(C3267=TRUE,F3267*IF(AND(Inputs!$B$39&lt;&gt;"pvp",Inputs!$B$44&gt;0),(((R3267-1)*(Skills!S13*(1+((Inputs!$B$35+(ArtifactsInput!$M$7-ArtifactsInput!$M$7)*CHOOSE(ArtifactsInput!$N$7+1,6,7.2,8.4,9.6,10.8,12))+IF(Inputs!$B$3&gt;=117,F3280,0))/100))+MIN((Skills!S13*(1+((Inputs!$B$35+(ArtifactsInput!$M$7-ArtifactsInput!$M$7)*CHOOSE(ArtifactsInput!$N$7+1,6,7.2,8.4,9.6,10.8,12))+IF(Inputs!$B$3&gt;=117,F3280,0))/100)),MAX(0,Inputs!$B$44-((R3267-1)*Skills!D13))))/Inputs!$B$44),IF(Inputs!$B$39="pvp",MIN((Skills!S13*(1+((Inputs!$B$35+(ArtifactsInput!$M$7-ArtifactsInput!$M$7)*CHOOSE(ArtifactsInput!$N$7+1,6,7.2,8.4,9.6,10.8,12))+IF(Inputs!$B$3&gt;=117,F3280,0))/100)),15)/15,(Skills!S13*(1+((Inputs!$B$35+(ArtifactsInput!$M$7-ArtifactsInput!$M$7)*CHOOSE(ArtifactsInput!$N$7+1,6,7.2,8.4,9.6,10.8,12))+IF(Inputs!$B$3&gt;=117,F3280,0))/100))/Skills!D13)),0)</f>
        <v/>
      </c>
    </row>
    <row r="3293">
      <c r="A3293" t="inlineStr">
        <is>
          <t>Buff-Casting Startup Delay (s, fixed-duration only)</t>
        </is>
      </c>
      <c r="B3293">
        <f>IF(AND(Inputs!$B$39&lt;&gt;"pvp",Inputs!$B$44&gt;0),SUMPRODUCT((Skills!S2:S27&gt;0)*(Skills!E2:E27=TRUE)*(C3256:C3281=TRUE))/B3289,0)</f>
        <v/>
      </c>
    </row>
    <row r="3294">
      <c r="A3294" t="inlineStr">
        <is>
          <t>Boss-Only Total DPS (this block's swept value)</t>
        </is>
      </c>
      <c r="B3294">
        <f>SUM(S3256:S3281)</f>
        <v/>
      </c>
    </row>
    <row r="3295">
      <c r="A3295" t="inlineStr">
        <is>
          <t>Normal-Only Total DPS (this block's swept value)</t>
        </is>
      </c>
      <c r="B3295">
        <f>SUM(U3256:U3281)</f>
        <v/>
      </c>
    </row>
    <row r="3296">
      <c r="A3296" s="6" t="inlineStr">
        <is>
          <t>TOTAL DPS</t>
        </is>
      </c>
      <c r="B3296" s="6">
        <f>SUM(O3256:O3281)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IF(Inputs!$B$10+Artifacts!$B$32&gt;=100,Sensitivity!H17,Sensitivity!H16)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IF(Inputs!$B$10+Artifacts!$B$32&gt;=100,Sensitivity!H17,Sensitivity!H16)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IF(Inputs!$B$10+Artifacts!$B$32&gt;=100,Sensitivity!H17,Sensitivity!H16)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IF(Inputs!$B$10+Artifacts!$B$32&gt;=100,Sensitivity!H17,Sensitivity!H16)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IF(Inputs!$B$10+Artifacts!$B$32&gt;=100,Sensitivity!H17,Sensitivity!H16)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IF(Inputs!$B$10+Artifacts!$B$32&gt;=100,Sensitivity!H17,Sensitivity!H16)</f>
        <v/>
      </c>
    </row>
    <row r="67">
      <c r="A67" t="inlineStr">
        <is>
          <t>ALL</t>
        </is>
      </c>
      <c r="B67" t="inlineStr">
        <is>
          <t>rare</t>
        </is>
      </c>
      <c r="C67" t="n">
        <v>2</v>
      </c>
      <c r="D67" t="inlineStr">
        <is>
          <t>Critical Rate %</t>
        </is>
      </c>
      <c r="E67" t="n">
        <v>4.5</v>
      </c>
      <c r="F67" t="n">
        <v>0.6</v>
      </c>
      <c r="G67" t="b">
        <v>1</v>
      </c>
      <c r="H67">
        <f>IF(Inputs!$B$10+Artifacts!$B$32&gt;=100,Sensitivity!H17,Sensitivity!H16)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IF(Inputs!$B$10+Artifacts!$B$32&gt;=100,Sensitivity!H17,Sensitivity!H16)</f>
        <v/>
      </c>
    </row>
    <row r="99">
      <c r="A99" t="inlineStr">
        <is>
          <t>ALL</t>
        </is>
      </c>
      <c r="B99" t="inlineStr">
        <is>
          <t>rare</t>
        </is>
      </c>
      <c r="C99" t="n">
        <v>3</v>
      </c>
      <c r="D99" t="inlineStr">
        <is>
          <t>Critical Rate %</t>
        </is>
      </c>
      <c r="E99" t="n">
        <v>4.5</v>
      </c>
      <c r="F99" t="n">
        <v>0.2</v>
      </c>
      <c r="G99" t="b">
        <v>1</v>
      </c>
      <c r="H99">
        <f>IF(Inputs!$B$10+Artifacts!$B$32&gt;=100,Sensitivity!H17,Sensitivity!H16)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IF(Inputs!$B$10+Artifacts!$B$32&gt;=100,Sensitivity!H17,Sensitivity!H16)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IF(Inputs!$B$10+Artifacts!$B$32&gt;=100,Sensitivity!H17,Sensitivity!H16)</f>
        <v/>
      </c>
    </row>
    <row r="147">
      <c r="A147" t="inlineStr">
        <is>
          <t>ALL</t>
        </is>
      </c>
      <c r="B147" t="inlineStr">
        <is>
          <t>epic</t>
        </is>
      </c>
      <c r="C147" t="n">
        <v>2</v>
      </c>
      <c r="D147" t="inlineStr">
        <is>
          <t>Critical Rate %</t>
        </is>
      </c>
      <c r="E147" t="n">
        <v>6</v>
      </c>
      <c r="F147" t="n">
        <v>0.6</v>
      </c>
      <c r="G147" t="b">
        <v>1</v>
      </c>
      <c r="H147">
        <f>IF(Inputs!$B$10+Artifacts!$B$32&gt;=100,Sensitivity!H17,Sensitivity!H16)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IF(Inputs!$B$10+Artifacts!$B$32&gt;=100,Sensitivity!H17,Sensitivity!H16)</f>
        <v/>
      </c>
    </row>
    <row r="179">
      <c r="A179" t="inlineStr">
        <is>
          <t>ALL</t>
        </is>
      </c>
      <c r="B179" t="inlineStr">
        <is>
          <t>epic</t>
        </is>
      </c>
      <c r="C179" t="n">
        <v>3</v>
      </c>
      <c r="D179" t="inlineStr">
        <is>
          <t>Critical Rate %</t>
        </is>
      </c>
      <c r="E179" t="n">
        <v>6</v>
      </c>
      <c r="F179" t="n">
        <v>0.2</v>
      </c>
      <c r="G179" t="b">
        <v>1</v>
      </c>
      <c r="H179">
        <f>IF(Inputs!$B$10+Artifacts!$B$32&gt;=100,Sensitivity!H17,Sensitivity!H16)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IF(Inputs!$B$10+Artifacts!$B$32&gt;=100,Sensitivity!H17,Sensitivity!H16)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IF(Inputs!$B$10+Artifacts!$B$32&gt;=100,Sensitivity!H17,Sensitivity!H16)</f>
        <v/>
      </c>
    </row>
    <row r="227">
      <c r="A227" t="inlineStr">
        <is>
          <t>ALL</t>
        </is>
      </c>
      <c r="B227" t="inlineStr">
        <is>
          <t>unique</t>
        </is>
      </c>
      <c r="C227" t="n">
        <v>2</v>
      </c>
      <c r="D227" t="inlineStr">
        <is>
          <t>Critical Rate %</t>
        </is>
      </c>
      <c r="E227" t="n">
        <v>9</v>
      </c>
      <c r="F227" t="n">
        <v>0.6</v>
      </c>
      <c r="G227" t="b">
        <v>1</v>
      </c>
      <c r="H227">
        <f>IF(Inputs!$B$10+Artifacts!$B$32&gt;=100,Sensitivity!H17,Sensitivity!H16)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IF(Inputs!$B$10+Artifacts!$B$32&gt;=100,Sensitivity!H17,Sensitivity!H16)</f>
        <v/>
      </c>
    </row>
    <row r="259">
      <c r="A259" t="inlineStr">
        <is>
          <t>ALL</t>
        </is>
      </c>
      <c r="B259" t="inlineStr">
        <is>
          <t>unique</t>
        </is>
      </c>
      <c r="C259" t="n">
        <v>3</v>
      </c>
      <c r="D259" t="inlineStr">
        <is>
          <t>Critical Rate %</t>
        </is>
      </c>
      <c r="E259" t="n">
        <v>9</v>
      </c>
      <c r="F259" t="n">
        <v>0.2</v>
      </c>
      <c r="G259" t="b">
        <v>1</v>
      </c>
      <c r="H259">
        <f>IF(Inputs!$B$10+Artifacts!$B$32&gt;=100,Sensitivity!H17,Sensitivity!H16)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IF(Inputs!$B$10+Artifacts!$B$32&gt;=100,Sensitivity!H17,Sensitivity!H16)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IF(Inputs!$B$10+Artifacts!$B$32&gt;=100,Sensitivity!H17,Sensitivity!H16)</f>
        <v/>
      </c>
    </row>
    <row r="307">
      <c r="A307" t="inlineStr">
        <is>
          <t>ALL</t>
        </is>
      </c>
      <c r="B307" t="inlineStr">
        <is>
          <t>legendary</t>
        </is>
      </c>
      <c r="C307" t="n">
        <v>2</v>
      </c>
      <c r="D307" t="inlineStr">
        <is>
          <t>Critical Rate %</t>
        </is>
      </c>
      <c r="E307" t="n">
        <v>12</v>
      </c>
      <c r="F307" t="n">
        <v>0.6</v>
      </c>
      <c r="G307" t="b">
        <v>1</v>
      </c>
      <c r="H307">
        <f>IF(Inputs!$B$10+Artifacts!$B$32&gt;=100,Sensitivity!H17,Sensitivity!H16)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IF(Inputs!$B$10+Artifacts!$B$32&gt;=100,Sensitivity!H17,Sensitivity!H16)</f>
        <v/>
      </c>
    </row>
    <row r="339">
      <c r="A339" t="inlineStr">
        <is>
          <t>ALL</t>
        </is>
      </c>
      <c r="B339" t="inlineStr">
        <is>
          <t>legendary</t>
        </is>
      </c>
      <c r="C339" t="n">
        <v>3</v>
      </c>
      <c r="D339" t="inlineStr">
        <is>
          <t>Critical Rate %</t>
        </is>
      </c>
      <c r="E339" t="n">
        <v>12</v>
      </c>
      <c r="F339" t="n">
        <v>0.2</v>
      </c>
      <c r="G339" t="b">
        <v>1</v>
      </c>
      <c r="H339">
        <f>IF(Inputs!$B$10+Artifacts!$B$32&gt;=100,Sensitivity!H17,Sensitivity!H16)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IF(Inputs!$B$10+Artifacts!$B$32&gt;=100,Sensitivity!H17,Sensitivity!H16)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IF(Inputs!$B$10+Artifacts!$B$32&gt;=100,Sensitivity!H17,Sensitivity!H16)</f>
        <v/>
      </c>
    </row>
    <row r="387">
      <c r="A387" t="inlineStr">
        <is>
          <t>ALL</t>
        </is>
      </c>
      <c r="B387" t="inlineStr">
        <is>
          <t>mystic</t>
        </is>
      </c>
      <c r="C387" t="n">
        <v>2</v>
      </c>
      <c r="D387" t="inlineStr">
        <is>
          <t>Critical Rate %</t>
        </is>
      </c>
      <c r="E387" t="n">
        <v>15</v>
      </c>
      <c r="F387" t="n">
        <v>0.6</v>
      </c>
      <c r="G387" t="b">
        <v>1</v>
      </c>
      <c r="H387">
        <f>IF(Inputs!$B$10+Artifacts!$B$32&gt;=100,Sensitivity!H17,Sensitivity!H16)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IF(Inputs!$B$10+Artifacts!$B$32&gt;=100,Sensitivity!H17,Sensitivity!H16)</f>
        <v/>
      </c>
    </row>
    <row r="419">
      <c r="A419" t="inlineStr">
        <is>
          <t>ALL</t>
        </is>
      </c>
      <c r="B419" t="inlineStr">
        <is>
          <t>mystic</t>
        </is>
      </c>
      <c r="C419" t="n">
        <v>3</v>
      </c>
      <c r="D419" t="inlineStr">
        <is>
          <t>Critical Rate %</t>
        </is>
      </c>
      <c r="E419" t="n">
        <v>15</v>
      </c>
      <c r="F419" t="n">
        <v>0.2</v>
      </c>
      <c r="G419" t="b">
        <v>1</v>
      </c>
      <c r="H419">
        <f>IF(Inputs!$B$10+Artifacts!$B$32&gt;=100,Sensitivity!H17,Sensitivity!H16)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E5+H5+K5</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E6+H6+K6</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E7+H7+K7</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E8+H8+K8</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E10+H10+K10</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E11+H11+K11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E12+H12+K12</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E13+H13+K13</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E14+H14+K14</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E15+H15+K15</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E16+H16+K16</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E17+H17+K17</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E18+H18+K18</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E20+H20+K20</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E21+H21+K21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E22+H22+K22</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E23+H23+K23</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E24+H24+K24</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E25+H25+K25</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E26+H26+K26</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E27+H27+K27</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E28+H28+K28</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E29+H29+K29</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E30+H30+K30</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E31+H31+K31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E32+H32+K32</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E33+H33+K33</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E34+H34+K34</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E35+H35+K35</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E36+H36+K36</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E37+H37+K37</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E38+H38+K38</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E39+H39+K39</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E40+H40+K40</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E41+H41+K41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E42+H42+K42</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2026-09-24T04:31:04Z</dcterms:created>
  <dcterms:modified xsi:type="dcterms:W3CDTF">2026-09-24T04:31:04Z</dcterms:modified>
</cp:coreProperties>
</file>