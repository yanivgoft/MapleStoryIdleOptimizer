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Bishop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Blood of the Divine's HP-scaling Crit Damage bonus is assumed active at 100% HP (the best case), since HP fluctuation isn't otherwise modeled.</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Heal, Bless, Holy Magic Shell, Advanced Blessing, Infinity) are modeled at steady-state duty-cycle average uptime, not as an exact moment-to-moment state machine. Heal's own self-Attack% component is assumed active whenever target HP &gt;= 70%.</t>
        </is>
      </c>
    </row>
    <row r="13">
      <c r="A13" s="2" t="inlineStr">
        <is>
          <t>Triumph Feather's two-stage proc and Angel Ray's boss-only proc are modeled as steady-state average multipliers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Invincible (+10% of your total Defense as INT, once Lv.35 unlocks) IS modeled live — Defense (flat) and Defense % are their own tracked Inputs, feeding STAT_DAMAGE directly, with their own Sensitivity marginal-value rows and PotentialCubes Defense % support.</t>
        </is>
      </c>
    </row>
    <row r="16">
      <c r="A16" s="2" t="inlineStr">
        <is>
          <t>Not modeled (out of scope): crowd control, Accuracy/Evasion/Defense reduction, movement speed,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46" customWidth="1" min="1" max="1"/>
    <col width="16" customWidth="1" min="2" max="2"/>
  </cols>
  <sheetData>
    <row r="1">
      <c r="A1" s="4" t="inlineStr">
        <is>
          <t>Bishop — DPS Calculator Inputs</t>
        </is>
      </c>
    </row>
    <row r="3">
      <c r="A3" s="5" t="inlineStr">
        <is>
          <t>Character Level</t>
        </is>
      </c>
      <c r="B3" s="6" t="n">
        <v>200</v>
      </c>
    </row>
    <row r="4">
      <c r="A4" s="5" t="inlineStr">
        <is>
          <t>Content Type</t>
        </is>
      </c>
      <c r="B4" s="6" t="inlineStr">
        <is>
          <t>Chapter Boss</t>
        </is>
      </c>
    </row>
    <row r="5">
      <c r="A5" s="5" t="inlineStr">
        <is>
          <t>Chapter (used when Content Type is Chapter Boss / Breakthrough / Chapter Hunt)</t>
        </is>
      </c>
      <c r="B5" s="6" t="n">
        <v>28</v>
      </c>
    </row>
    <row r="6">
      <c r="A6" s="5" t="inlineStr">
        <is>
          <t>Stage — sub-stage within Chapter for Breakthrough/Chapter Hunt (e.g. the '9' in 28-9), or Dungeon Stage number for Weapon/Enhancement/EXP/Equipment/Hero Dungeon; ignored otherwise</t>
        </is>
      </c>
      <c r="B6" s="6" t="n">
        <v>9</v>
      </c>
    </row>
    <row r="7">
      <c r="A7" s="5" t="inlineStr">
        <is>
          <t>Flat ATTACK</t>
        </is>
      </c>
      <c r="B7" s="6" t="n">
        <v>10000</v>
      </c>
    </row>
    <row r="8">
      <c r="A8" s="5" t="inlineStr">
        <is>
          <t>ATTACK %</t>
        </is>
      </c>
      <c r="B8" s="6" t="n">
        <v>0</v>
      </c>
    </row>
    <row r="9">
      <c r="A9" s="5" t="inlineStr">
        <is>
          <t>Defense (flat) — your own DEF stat; Invincible converts 10% of it into INT, and PvP assumes the opponent has the same total Defense as you</t>
        </is>
      </c>
      <c r="B9" s="6" t="n">
        <v>0</v>
      </c>
    </row>
    <row r="10">
      <c r="A10" s="5" t="inlineStr">
        <is>
          <t>Defense % (Invincible converts total Defense, incl. this %, into INT)</t>
        </is>
      </c>
      <c r="B10" s="6" t="n">
        <v>0</v>
      </c>
    </row>
    <row r="11">
      <c r="A11" s="5" t="inlineStr">
        <is>
          <t>CRIT_RATE %</t>
        </is>
      </c>
      <c r="B11" s="6" t="n">
        <v>0</v>
      </c>
    </row>
    <row r="12">
      <c r="A12" s="5" t="inlineStr">
        <is>
          <t>CRIT_DAMAGE %</t>
        </is>
      </c>
      <c r="B12" s="6" t="n">
        <v>0</v>
      </c>
    </row>
    <row r="13">
      <c r="A13" s="5" t="inlineStr">
        <is>
          <t>ATTACK_SPEED % (base, excludes Nimble Feet/MP Eater/Blood of the Divine)</t>
        </is>
      </c>
      <c r="B13" s="6" t="n">
        <v>0</v>
      </c>
    </row>
    <row r="14">
      <c r="A14" s="5" t="inlineStr">
        <is>
          <t>Flat INT</t>
        </is>
      </c>
      <c r="B14" s="6" t="n">
        <v>0</v>
      </c>
    </row>
    <row r="15">
      <c r="A15" s="5" t="inlineStr">
        <is>
          <t>INT %</t>
        </is>
      </c>
      <c r="B15" s="6" t="n">
        <v>0</v>
      </c>
    </row>
    <row r="16">
      <c r="A16" s="5" t="inlineStr">
        <is>
          <t>LUK</t>
        </is>
      </c>
      <c r="B16" s="6" t="n">
        <v>0</v>
      </c>
    </row>
    <row r="17">
      <c r="A17" s="5" t="inlineStr">
        <is>
          <t>DAMAGE %</t>
        </is>
      </c>
      <c r="B17" s="6" t="n">
        <v>0</v>
      </c>
    </row>
    <row r="18">
      <c r="A18" s="5" t="inlineStr">
        <is>
          <t>DAMAGE_AMP %</t>
        </is>
      </c>
      <c r="B18" s="6" t="n">
        <v>0</v>
      </c>
    </row>
    <row r="19">
      <c r="A19" s="5" t="inlineStr">
        <is>
          <t>BASIC_ATTACK_DAMAGE %</t>
        </is>
      </c>
      <c r="B19" s="6" t="n">
        <v>0</v>
      </c>
    </row>
    <row r="20">
      <c r="A20" s="5" t="inlineStr">
        <is>
          <t>SKILL_DAMAGE %</t>
        </is>
      </c>
      <c r="B20" s="6" t="n">
        <v>0</v>
      </c>
    </row>
    <row r="21">
      <c r="A21" s="5" t="inlineStr">
        <is>
          <t>DEF_PEN %</t>
        </is>
      </c>
      <c r="B21" s="6" t="n">
        <v>0</v>
      </c>
    </row>
    <row r="22">
      <c r="A22" s="5" t="inlineStr">
        <is>
          <t>BOSS_DAMAGE %</t>
        </is>
      </c>
      <c r="B22" s="6" t="n">
        <v>0</v>
      </c>
    </row>
    <row r="23">
      <c r="A23" s="5" t="inlineStr">
        <is>
          <t>NORMAL_DAMAGE %</t>
        </is>
      </c>
      <c r="B23" s="6" t="n">
        <v>0</v>
      </c>
    </row>
    <row r="24">
      <c r="A24" s="5" t="inlineStr">
        <is>
          <t>MIN_DAMAGE %</t>
        </is>
      </c>
      <c r="B24" s="6" t="n">
        <v>100</v>
      </c>
    </row>
    <row r="25">
      <c r="A25" s="5" t="inlineStr">
        <is>
          <t>MAX_DAMAGE %</t>
        </is>
      </c>
      <c r="B25" s="6" t="n">
        <v>100</v>
      </c>
    </row>
    <row r="26">
      <c r="A26" s="5" t="inlineStr">
        <is>
          <t>FINAL_DAMAGE % (base, excludes Infinity/Blood of the Divine)</t>
        </is>
      </c>
      <c r="B26" s="6" t="n">
        <v>0</v>
      </c>
    </row>
    <row r="27">
      <c r="A27" s="5" t="inlineStr">
        <is>
          <t>Skill Level Bonus — 1st Job</t>
        </is>
      </c>
      <c r="B27" s="6" t="n">
        <v>0</v>
      </c>
    </row>
    <row r="28">
      <c r="A28" s="5" t="inlineStr">
        <is>
          <t>Skill Level Bonus — 2nd Job</t>
        </is>
      </c>
      <c r="B28" s="6" t="n">
        <v>0</v>
      </c>
    </row>
    <row r="29">
      <c r="A29" s="5" t="inlineStr">
        <is>
          <t>Skill Level Bonus — 3rd Job</t>
        </is>
      </c>
      <c r="B29" s="6" t="n">
        <v>0</v>
      </c>
    </row>
    <row r="30">
      <c r="A30" s="5" t="inlineStr">
        <is>
          <t>Skill Level Bonus — 4th Job</t>
        </is>
      </c>
      <c r="B30" s="6" t="n">
        <v>0</v>
      </c>
    </row>
    <row r="31">
      <c r="A31" s="5" t="inlineStr">
        <is>
          <t>Skill Level Bonus — All Skills</t>
        </is>
      </c>
      <c r="B31" s="6" t="n">
        <v>0</v>
      </c>
    </row>
    <row r="33">
      <c r="A33" s="7" t="inlineStr">
        <is>
          <t>Additional Bonuses</t>
        </is>
      </c>
    </row>
    <row r="34">
      <c r="A34" s="5" t="inlineStr">
        <is>
          <t>Skill Cooldown Decrease (seconds, only skills/buffs the character actively casts)</t>
        </is>
      </c>
      <c r="B34" s="6" t="n">
        <v>0</v>
      </c>
    </row>
    <row r="35">
      <c r="A35" s="5" t="inlineStr">
        <is>
          <t>Basic Attack Target Increase (flat, adds to the 6-target normal-monster base)</t>
        </is>
      </c>
      <c r="B35" s="6" t="n">
        <v>1</v>
      </c>
    </row>
    <row r="36">
      <c r="A36" s="5" t="inlineStr">
        <is>
          <t>Buff Duration Increase %</t>
        </is>
      </c>
      <c r="B36" s="6" t="n">
        <v>0</v>
      </c>
    </row>
    <row r="37">
      <c r="A37" s="5" t="inlineStr">
        <is>
          <t>Companion Summoning Time Increase % (companions not modeled — always 0 DPS impact)</t>
        </is>
      </c>
      <c r="B37" s="6" t="n">
        <v>0</v>
      </c>
    </row>
    <row r="38">
      <c r="A38" s="5" t="inlineStr">
        <is>
          <t>Boss/Normal Weight % (used when Content Type is Breakthrough or Hero Dungeon)</t>
        </is>
      </c>
      <c r="B38" s="6" t="n">
        <v>60</v>
      </c>
    </row>
    <row r="39">
      <c r="A39" s="5" t="inlineStr">
        <is>
          <t>Max Enemies Actually In Range (normal monsters only; default 999 = uncapped)</t>
        </is>
      </c>
      <c r="B39" s="6" t="n">
        <v>999</v>
      </c>
    </row>
    <row r="40" hidden="1">
      <c r="A40" s="5" t="inlineStr">
        <is>
          <t>Monster Type (auto-computed from Content Type) — computed, do not edit</t>
        </is>
      </c>
      <c r="B40" s="8">
        <f>IF(Inputs!$B$4="PvP","pvp",IF(OR(Inputs!$B$4="Breakthrough",Inputs!$B$4="Hero Dungeon"),"breakthrough",IF(OR(Inputs!$B$4="EXP Dungeon",Inputs!$B$4="Equipment Dungeon",Inputs!$B$4="Chapter Hunt"),"normal","boss")))</f>
        <v/>
      </c>
    </row>
    <row r="41" hidden="1">
      <c r="A41" s="5" t="inlineStr">
        <is>
          <t>Breakthrough Global Stage Index (helper) — computed, do not edit</t>
        </is>
      </c>
      <c r="B41" s="8">
        <f>IF(Inputs!$B$5=28,Inputs!$B$6-9,Inputs!$B$6+14*MAX(0,MIN(Inputs!$B$5-1,38)-28)+19*MAX(0,Inputs!$B$5-39))</f>
        <v/>
      </c>
    </row>
    <row r="42" hidden="1">
      <c r="A42" s="5" t="inlineStr">
        <is>
          <t>Monster Defense (auto-computed from Content Type) — computed, do not edit</t>
        </is>
      </c>
      <c r="B42" s="8">
        <f>IF(Inputs!$B$4="Chapter Boss",3200+50*(Inputs!$B$5-28),IF(Inputs!$B$4="World Boss",62100,IF(Inputs!$B$4="Weapon Dungeon",Inputs!$B$6*50,IF(Inputs!$B$4="Enhancement Dungeon",950+Inputs!$B$6*50,IF(OR(Inputs!$B$4="EXP Dungeon",Inputs!$B$4="Equipment Dungeon"),250+Inputs!$B$6*50,IF(Inputs!$B$4="Hero Dungeon",650+Inputs!$B$6*50,IF(OR(Inputs!$B$4="Breakthrough",Inputs!$B$4="Chapter Hunt"),4860+20*Inputs!$B$41,(Inputs!$B$9*(1+Inputs!$B$10/100)))))))))</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sheetData>
  <dataValidations count="1">
    <dataValidation sqref="B4" showDropDown="0" showInputMessage="0" showErrorMessage="0" allowBlank="0" type="list">
      <formula1>"Chapter Boss,Breakthrough,PvP,EXP Dungeon,Equipment Dungeon,Weapon Dungeon,Enhancement Dungeon,Hero Dungeon,World Boss,Chapter Hunt"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HitsPerCast</t>
        </is>
      </c>
      <c r="G1" s="9" t="inlineStr">
        <is>
          <t>ICD(s)</t>
        </is>
      </c>
      <c r="H1" s="9" t="inlineStr">
        <is>
          <t>ActiveWindow(s)</t>
        </is>
      </c>
      <c r="I1" s="9" t="inlineStr">
        <is>
          <t>ProcChance%</t>
        </is>
      </c>
      <c r="J1" s="9" t="inlineStr">
        <is>
          <t>RollsPerCast</t>
        </is>
      </c>
      <c r="K1" s="9" t="inlineStr">
        <is>
          <t>BaseDamage(tenths%)</t>
        </is>
      </c>
      <c r="L1" s="9" t="inlineStr">
        <is>
          <t>FactorIndex</t>
        </is>
      </c>
      <c r="M1" s="9" t="inlineStr">
        <is>
          <t>ScalesWithLevel</t>
        </is>
      </c>
      <c r="N1" s="9" t="inlineStr">
        <is>
          <t>SkillMasteryBonus%</t>
        </is>
      </c>
      <c r="O1" s="9" t="inlineStr">
        <is>
          <t>MasteryBossDamage%</t>
        </is>
      </c>
      <c r="P1" s="9" t="inlineStr">
        <is>
          <t>MasteryNormalDamage%</t>
        </is>
      </c>
      <c r="Q1" s="9" t="inlineStr">
        <is>
          <t>NormalMonsterTargets</t>
        </is>
      </c>
      <c r="R1" s="9" t="inlineStr">
        <is>
          <t>BuffTargetStat</t>
        </is>
      </c>
      <c r="S1" s="9" t="inlineStr">
        <is>
          <t>BuffDuration(s)</t>
        </is>
      </c>
      <c r="T1" s="9" t="inlineStr">
        <is>
          <t>MapleHeroBase(tenths%)</t>
        </is>
      </c>
      <c r="U1" s="9" t="inlineStr">
        <is>
          <t>MapleHeroFactorIndex</t>
        </is>
      </c>
      <c r="V1" s="9" t="inlineStr">
        <is>
          <t>Stacks</t>
        </is>
      </c>
      <c r="W1" s="9" t="inlineStr">
        <is>
          <t>Note</t>
        </is>
      </c>
    </row>
    <row r="2">
      <c r="A2" t="inlineStr">
        <is>
          <t>BIG_BANG</t>
        </is>
      </c>
      <c r="B2" t="inlineStr">
        <is>
          <t>Big Bang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6+Inputs!$B$35</f>
        <v/>
      </c>
      <c r="R2" t="inlineStr"/>
      <c r="S2" t="n">
        <v>0</v>
      </c>
      <c r="T2" t="inlineStr"/>
      <c r="U2" t="inlineStr"/>
      <c r="V2" t="inlineStr"/>
      <c r="W2" t="inlineStr">
        <is>
          <t>4th-job basic-attack effect (supersedes Energy Bolt/Holy Arrow/Shining Ray). HIGH-CONFIDENCE REUSE (not independently reverse-engineered — Bishop has no individual skill wiki pages at all): level-1 text ('290% damage to 6 target(s) 5 time(s)') is word-for-word identical to Ice-Lightning-Mage's own Chain Lightning, so this reuses that exact factorIndex 21/baseDamage 2900 tenths% pair, matching Inputs!skill_coefficient (=290*basic_factor/1000) exactly, same mechanism as every sibling class's own basic-attack row. SkillMasteryBonus% is the 6-tier 'Big Bang - Damage' mastery chain (102/106/116/120/128/132, cumulative totals 10%-&gt;15%, DELTA increments 10 then +1 five times). MasteryBossDamage% is the 2-tier 'Big Bang - Boss Monster Damage' chain (111/124, +10% each, +20% total).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15s duration/30s cooldown (Mastery Lv.21 -30% cooldown -&gt; 21s). factorIndex 21, baseDamage 120 tenths%. Shared verbatim w/ FP-Mage/Ice-Lightning-Mage (identical wiki wording and numbers).</t>
        </is>
      </c>
    </row>
    <row r="4">
      <c r="A4" t="inlineStr">
        <is>
          <t>HEAL</t>
        </is>
      </c>
      <c r="B4" t="inlineStr">
        <is>
          <t>Heal (self Attack%)</t>
        </is>
      </c>
      <c r="C4" t="n">
        <v>2</v>
      </c>
      <c r="D4" t="n">
        <v>18</v>
      </c>
      <c r="E4" t="b">
        <v>1</v>
      </c>
      <c r="F4" t="n">
        <v>1</v>
      </c>
      <c r="G4" t="n">
        <v>0</v>
      </c>
      <c r="H4" t="n">
        <v>0</v>
      </c>
      <c r="I4" t="n">
        <v>100</v>
      </c>
      <c r="J4" t="n">
        <v>1</v>
      </c>
      <c r="K4" t="n">
        <v>100</v>
      </c>
      <c r="L4" t="n">
        <v>22</v>
      </c>
      <c r="M4" t="b">
        <v>1</v>
      </c>
      <c r="N4">
        <f>SUMPRODUCT((Inputs!$B$3&gt;={54})*{8})</f>
        <v/>
      </c>
      <c r="O4" t="n">
        <v>0</v>
      </c>
      <c r="P4" t="n">
        <v>0</v>
      </c>
      <c r="Q4" t="n">
        <v>1</v>
      </c>
      <c r="R4" t="inlineStr">
        <is>
          <t>ATTACK</t>
        </is>
      </c>
      <c r="S4">
        <f>IF(Inputs!$B$3&gt;=39,10*1.5,10)</f>
        <v/>
      </c>
      <c r="T4" t="inlineStr"/>
      <c r="U4" t="inlineStr"/>
      <c r="V4" t="inlineStr"/>
      <c r="W4" t="inlineStr">
        <is>
          <t>FLAGGED ASSUMPTION (no wiki curve — only the level-1 value is known): factorIndex 22 (buff/passive convention), baseDamage 100 tenths% (10% level-1). Heal's own HP-recovery component is entirely out of scope (no HP tracking anywhere in this calculator). The conditional '+10% Attack while target HP&gt;=70%' component is modeled always-on (steady-state 'healthy' assumption, same tier as Ice-Lightning-Mage's always-5-Frost-stacks convention). Self-inclusive ('allied players' — matches Meditation's own established self-inclusive precedent in FP-Mage/Ice-Lightning-Mage). Duration 10s (Mastery Lv.39 'Heal - Persistence' +50% -&gt; 15s), cooldown 18s. SkillMasteryBonus% is the SEPARATE Mastery Lv.54 'Heal - Attack' (+8% Attack when the caster's OWN HP&gt;=50%) — a distinct mastery from the base skill's own conditional effect, also modeled always-on under the same 100%-HP assumption.</t>
        </is>
      </c>
    </row>
    <row r="5">
      <c r="A5" t="inlineStr">
        <is>
          <t>BLESS</t>
        </is>
      </c>
      <c r="B5" t="inlineStr">
        <is>
          <t>Bless</t>
        </is>
      </c>
      <c r="C5" t="n">
        <v>2</v>
      </c>
      <c r="D5" t="n">
        <v>24</v>
      </c>
      <c r="E5" t="b">
        <v>1</v>
      </c>
      <c r="F5" t="n">
        <v>1</v>
      </c>
      <c r="G5" t="n">
        <v>0</v>
      </c>
      <c r="H5" t="n">
        <v>0</v>
      </c>
      <c r="I5" t="n">
        <v>100</v>
      </c>
      <c r="J5" t="n">
        <v>1</v>
      </c>
      <c r="K5" t="n">
        <v>160</v>
      </c>
      <c r="L5" t="n">
        <v>22</v>
      </c>
      <c r="M5" t="b">
        <v>1</v>
      </c>
      <c r="N5" t="n">
        <v>0</v>
      </c>
      <c r="O5" t="n">
        <v>0</v>
      </c>
      <c r="P5" t="n">
        <v>0</v>
      </c>
      <c r="Q5" t="n">
        <v>1</v>
      </c>
      <c r="R5" t="inlineStr">
        <is>
          <t>ATTACK</t>
        </is>
      </c>
      <c r="S5">
        <f>IF(Inputs!$B$3&gt;=44,15*1.3,15)</f>
        <v/>
      </c>
      <c r="T5" t="inlineStr"/>
      <c r="U5" t="inlineStr"/>
      <c r="V5" t="inlineStr"/>
      <c r="W5" t="inlineStr">
        <is>
          <t>FLAGGED ASSUMPTION: factorIndex 22, baseDamage 160 tenths% (16% level-1). Bishop's own Meditation-equivalent (near-identical wording: 'Increases the Attack of allied players by 16% for 15 sec'), self-inclusive. Duration 15s (Mastery Lv.44 'Bless - Persistence' +30% -&gt; 19.5s), cooldown 24s.</t>
        </is>
      </c>
    </row>
    <row r="6">
      <c r="A6" t="inlineStr">
        <is>
          <t>ANGEL_RAY</t>
        </is>
      </c>
      <c r="B6" t="inlineStr">
        <is>
          <t>Angel Ray</t>
        </is>
      </c>
      <c r="C6" t="n">
        <v>4</v>
      </c>
      <c r="D6" t="n">
        <v>17</v>
      </c>
      <c r="E6" t="b">
        <v>1</v>
      </c>
      <c r="F6" t="n">
        <v>6</v>
      </c>
      <c r="G6" t="n">
        <v>0</v>
      </c>
      <c r="H6" t="n">
        <v>0</v>
      </c>
      <c r="I6" t="n">
        <v>100</v>
      </c>
      <c r="J6" t="n">
        <v>1</v>
      </c>
      <c r="K6" t="n">
        <v>6800</v>
      </c>
      <c r="L6" t="n">
        <v>12</v>
      </c>
      <c r="M6" t="b">
        <v>1</v>
      </c>
      <c r="N6">
        <f>SUMPRODUCT((Inputs!$B$3&gt;={108})*{50})</f>
        <v/>
      </c>
      <c r="O6" t="n">
        <v>0</v>
      </c>
      <c r="P6" t="n">
        <v>0</v>
      </c>
      <c r="Q6" t="n">
        <v>1</v>
      </c>
      <c r="R6" t="inlineStr"/>
      <c r="S6" t="n">
        <v>0</v>
      </c>
      <c r="T6" t="inlineStr"/>
      <c r="U6" t="inlineStr"/>
      <c r="V6" t="inlineStr"/>
      <c r="W6" t="inlineStr">
        <is>
          <t>FLAGGED ASSUMPTION: factorIndex 12 (burst convention), baseDamage 6800 tenths% (680% level-1). Wiki: 'Attacks the target with a holy sword 3 times to deal 680% damage 2 time(s) each' — read as 6 total hits (3 strikes x 2), single-target (no target count given, stun not modeled). Cooldown 17s. Mastery Lv.108 'Angel Ray - Damage' +50% (real SkillMasteryBonus%, separate from the Lv.122 Boss Monster Damage proc mastery).</t>
        </is>
      </c>
    </row>
    <row r="7">
      <c r="A7" t="inlineStr">
        <is>
          <t>ANGEL_RAY_BOSS_PROC</t>
        </is>
      </c>
      <c r="B7" t="inlineStr">
        <is>
          <t>Angel Ray - Boss Monster Damage (Mastery Lv.122)</t>
        </is>
      </c>
      <c r="C7" t="n">
        <v>4</v>
      </c>
      <c r="D7">
        <f>Skills!D6</f>
        <v/>
      </c>
      <c r="E7" t="b">
        <v>0</v>
      </c>
      <c r="F7" t="n">
        <v>1</v>
      </c>
      <c r="G7" t="n">
        <v>0</v>
      </c>
      <c r="H7" t="n">
        <v>0</v>
      </c>
      <c r="I7" t="n">
        <v>100</v>
      </c>
      <c r="J7" t="n">
        <v>1</v>
      </c>
      <c r="K7" t="n">
        <v>6800</v>
      </c>
      <c r="L7" t="n">
        <v>12</v>
      </c>
      <c r="M7" t="b">
        <v>1</v>
      </c>
      <c r="N7" t="n">
        <v>0</v>
      </c>
      <c r="O7" t="n">
        <v>0</v>
      </c>
      <c r="P7" t="n">
        <v>0</v>
      </c>
      <c r="Q7" t="n">
        <v>1</v>
      </c>
      <c r="R7" t="inlineStr"/>
      <c r="S7" t="n">
        <v>0</v>
      </c>
      <c r="T7" t="inlineStr"/>
      <c r="U7" t="inlineStr"/>
      <c r="V7" t="inlineStr"/>
      <c r="W7" t="inlineStr">
        <is>
          <t>FLAGGED ASSUMPTION: factorIndex 12 (same as its parent), baseDamage 6800 tenths% (matches the mastery's own stated 680%, which the wiki confirms 'increases with Angel Ray skill level' — i.e. it scales, not a flat bonus). Standalone proc row mirroring Ice-Lightning-Mage's Blizzard - Final Attack precedent: shares Angel Ray's own live Cooldown(s) cell. Unconditional on a boss hit (not a percentage roll — the wiki's own wording is 'when hitting a boss monster', no chance given), so ProcChance%=100 here is a placeholder; the boss-only condition is applied directly in this row's own bespoke Calc!O formula via (1-Inputs!normal_weight_frac) instead of the generic target-multiplier, since it must be 1 for boss AND pvp (both single-target) but 0 for pure normal-monster fights.</t>
        </is>
      </c>
    </row>
    <row r="8">
      <c r="A8" t="inlineStr">
        <is>
          <t>GENESIS</t>
        </is>
      </c>
      <c r="B8" t="inlineStr">
        <is>
          <t>Genesis</t>
        </is>
      </c>
      <c r="C8" t="n">
        <v>4</v>
      </c>
      <c r="D8">
        <f>IF(Inputs!$B$3&gt;=126,23*0.7,23)</f>
        <v/>
      </c>
      <c r="E8" t="b">
        <v>1</v>
      </c>
      <c r="F8" t="n">
        <v>6</v>
      </c>
      <c r="G8" t="n">
        <v>0</v>
      </c>
      <c r="H8" t="n">
        <v>0</v>
      </c>
      <c r="I8" t="n">
        <v>100</v>
      </c>
      <c r="J8" t="n">
        <v>1</v>
      </c>
      <c r="K8" t="n">
        <v>7000</v>
      </c>
      <c r="L8" t="n">
        <v>12</v>
      </c>
      <c r="M8" t="b">
        <v>1</v>
      </c>
      <c r="N8">
        <f>SUMPRODUCT((Inputs!$B$3&gt;={118})*{50})</f>
        <v/>
      </c>
      <c r="O8" t="n">
        <v>0</v>
      </c>
      <c r="P8" t="n">
        <v>0</v>
      </c>
      <c r="Q8" t="n">
        <v>10</v>
      </c>
      <c r="R8" t="inlineStr"/>
      <c r="S8" t="n">
        <v>0</v>
      </c>
      <c r="T8" t="inlineStr"/>
      <c r="U8" t="inlineStr"/>
      <c r="V8" t="inlineStr"/>
      <c r="W8" t="inlineStr">
        <is>
          <t>FLAGGED ASSUMPTION: factorIndex 12, baseDamage 7000 tenths% (700% level-1). Wiki: 'Drops a pillar of holy light on 10 nearby target(s) to deal 700% damage 6 time(s)' — burst, not a DoT (no duration/tick-interval given). Cooldown 23s. Mastery Lv.118 'Genesis - Damage' +50% (real SkillMasteryBonus%), Lv.126 'Genesis - Reuse' -30% cooldown (baked into the Cooldown(s) formula).</t>
        </is>
      </c>
    </row>
    <row r="9">
      <c r="A9" t="inlineStr">
        <is>
          <t>BAHAMUT</t>
        </is>
      </c>
      <c r="B9" t="inlineStr">
        <is>
          <t>Bahamut</t>
        </is>
      </c>
      <c r="C9" t="n">
        <v>4</v>
      </c>
      <c r="D9">
        <f>IF(Inputs!$B$3&gt;=138,80*0.7,80)</f>
        <v/>
      </c>
      <c r="E9" t="b">
        <v>1</v>
      </c>
      <c r="F9" t="n">
        <v>1</v>
      </c>
      <c r="G9" t="n">
        <v>4</v>
      </c>
      <c r="H9" t="n">
        <v>30</v>
      </c>
      <c r="I9" t="n">
        <v>100</v>
      </c>
      <c r="J9" t="n">
        <v>1</v>
      </c>
      <c r="K9" t="n">
        <v>35000</v>
      </c>
      <c r="L9" t="n">
        <v>12</v>
      </c>
      <c r="M9" t="b">
        <v>1</v>
      </c>
      <c r="N9">
        <f>SUMPRODUCT((Inputs!$B$3&gt;={130})*{50})</f>
        <v/>
      </c>
      <c r="O9" t="n">
        <v>0</v>
      </c>
      <c r="P9" t="n">
        <v>0</v>
      </c>
      <c r="Q9">
        <f>IF(Inputs!$B$3&gt;=130,6,3)</f>
        <v/>
      </c>
      <c r="R9" t="inlineStr"/>
      <c r="S9" t="n">
        <v>0</v>
      </c>
      <c r="T9" t="inlineStr"/>
      <c r="U9" t="inlineStr"/>
      <c r="V9" t="inlineStr"/>
      <c r="W9" t="inlineStr">
        <is>
          <t>HIGH-CONFIDENCE REUSE (see BIG_BANG's own note on the data-gap situation): level-1 text ('3500% damage every 4 sec to 3 target(s)... 30 sec... 80 sec cooldown') is word-for-word identical to Ice-Lightning-Mage's own Elquines, so this reuses that exact factorIndex 12/baseDamage 35000 tenths% pair. Mastery Lv.130 'Bahamut - Damage &amp; Target' +50% dmg AND +3 max targets (3-&gt;6, baked into the NormalMonsterTargets formula), Lv.138 'Bahamut - Reuse' -30% cooldown.</t>
        </is>
      </c>
    </row>
    <row r="10">
      <c r="A10" t="inlineStr">
        <is>
          <t>HOLY_FOUNTAIN</t>
        </is>
      </c>
      <c r="B10" t="inlineStr">
        <is>
          <t>Holy Fountain (Boss Dmg mastery only)</t>
        </is>
      </c>
      <c r="C10" t="n">
        <v>3</v>
      </c>
      <c r="D10" t="n">
        <v>30</v>
      </c>
      <c r="E10" t="b">
        <v>1</v>
      </c>
      <c r="F10" t="n">
        <v>1</v>
      </c>
      <c r="G10" t="n">
        <v>0</v>
      </c>
      <c r="H10" t="n">
        <v>0</v>
      </c>
      <c r="I10" t="n">
        <v>100</v>
      </c>
      <c r="J10" t="n">
        <v>1</v>
      </c>
      <c r="K10" t="inlineStr"/>
      <c r="L10" t="inlineStr"/>
      <c r="M10" t="b">
        <v>0</v>
      </c>
      <c r="N10" t="n">
        <v>0</v>
      </c>
      <c r="O10" t="n">
        <v>0</v>
      </c>
      <c r="P10" t="n">
        <v>0</v>
      </c>
      <c r="Q10" t="n">
        <v>1</v>
      </c>
      <c r="R10" t="inlineStr"/>
      <c r="S10" t="n">
        <v>0</v>
      </c>
      <c r="T10" t="inlineStr"/>
      <c r="U10" t="inlineStr"/>
      <c r="V10" t="inlineStr"/>
      <c r="W10" t="inlineStr">
        <is>
          <t>Holy Fountain's own base skill is pure HP recovery — entirely out of scope (no HP tracking anywhere in this calculator), so this row carries no BaseDamage/FactorIndex of its own; it exists only to hold a live Cooldown(s) cell (patched 40s-&gt;30s per the Aug 13 2026 patch note — the wiki page itself is stale) for Mastery Lv.68's own duty-cycle uptime reference (see build_summary_sheet) and to participate correctly in the cast-rate action-economy sum (CostsActionSlot=True). Mastery Lv.68 'Holy Fountain - Boss Monster Damage' (patched 10%-&gt;20%, confirmed in the Aug 13 2026 patch PDF) is a flat, non-scaling bonus (matches every other '-Boss Monster Damage' mastery elsewhere in this project, which are all flat level_gated_sum values, not factor-curve-scaled) — modeled as a duty-cycle-averaged self Boss Monster Damage buff tied to this row's own cooldown, mirroring Ice-Lightning-Mage's Freezing Breath - Weaken treatment exactly.</t>
        </is>
      </c>
    </row>
    <row r="11">
      <c r="A11" t="inlineStr">
        <is>
          <t>HOLY_MAGIC_SHELL</t>
        </is>
      </c>
      <c r="B11" t="inlineStr">
        <is>
          <t>Holy Magic Shell (self Attack%)</t>
        </is>
      </c>
      <c r="C11" t="n">
        <v>3</v>
      </c>
      <c r="D11" t="n">
        <v>27</v>
      </c>
      <c r="E11" t="b">
        <v>1</v>
      </c>
      <c r="F11" t="n">
        <v>1</v>
      </c>
      <c r="G11" t="n">
        <v>0</v>
      </c>
      <c r="H11" t="n">
        <v>0</v>
      </c>
      <c r="I11" t="n">
        <v>100</v>
      </c>
      <c r="J11" t="n">
        <v>1</v>
      </c>
      <c r="K11" t="n">
        <v>150</v>
      </c>
      <c r="L11" t="n">
        <v>22</v>
      </c>
      <c r="M11" t="b">
        <v>1</v>
      </c>
      <c r="N11" t="n">
        <v>0</v>
      </c>
      <c r="O11" t="n">
        <v>0</v>
      </c>
      <c r="P11" t="n">
        <v>0</v>
      </c>
      <c r="Q11" t="n">
        <v>1</v>
      </c>
      <c r="R11" t="inlineStr">
        <is>
          <t>ATTACK</t>
        </is>
      </c>
      <c r="S11" t="n">
        <v>22</v>
      </c>
      <c r="T11" t="inlineStr"/>
      <c r="U11" t="inlineStr"/>
      <c r="V11" t="inlineStr"/>
      <c r="W11" t="inlineStr">
        <is>
          <t>FLAGGED ASSUMPTION: factorIndex 22, baseDamage 150 tenths% (15% level-1). Wiki: 'Increases Attack by 15%... decreases damage taken by allied players by 5%' — the damage-taken reduction is defensive, out of scope (same exclusion precedent as Ice-Lightning-Mage's Frozen Break -5%-damage-taken note). Attack component modeled like Magic Guard, self-inclusive. Duration 22s, cooldown 27s. Mastery Lv.82 'Purification' (removes 1 debuff) not modeled — no debuff mechanic exists anywhere in this calculator.</t>
        </is>
      </c>
    </row>
    <row r="12">
      <c r="A12" t="inlineStr">
        <is>
          <t>HOLY_SYMBOL</t>
        </is>
      </c>
      <c r="B12" t="inlineStr">
        <is>
          <t>Holy Symbol</t>
        </is>
      </c>
      <c r="C12" t="n">
        <v>3</v>
      </c>
      <c r="D12" t="n">
        <v>28</v>
      </c>
      <c r="E12" t="b">
        <v>0</v>
      </c>
      <c r="F12" t="n">
        <v>1</v>
      </c>
      <c r="G12" t="n">
        <v>0</v>
      </c>
      <c r="H12" t="n">
        <v>0</v>
      </c>
      <c r="I12" t="n">
        <v>100</v>
      </c>
      <c r="J12" t="n">
        <v>1</v>
      </c>
      <c r="K12" t="n">
        <v>150</v>
      </c>
      <c r="L12" t="n">
        <v>22</v>
      </c>
      <c r="M12" t="b">
        <v>1</v>
      </c>
      <c r="N12" t="n">
        <v>0</v>
      </c>
      <c r="O12">
        <f>SUMPRODUCT((Inputs!$B$3&gt;={90})*{25})</f>
        <v/>
      </c>
      <c r="P12" t="n">
        <v>0</v>
      </c>
      <c r="Q12" t="n">
        <v>1</v>
      </c>
      <c r="R12" t="inlineStr"/>
      <c r="S12">
        <f>IF(Inputs!$B$3&gt;=98,14*1.5,14)</f>
        <v/>
      </c>
      <c r="T12" t="inlineStr"/>
      <c r="U12" t="inlineStr"/>
      <c r="V12" t="inlineStr"/>
      <c r="W12" t="inlineStr">
        <is>
          <t>FLAGGED ASSUMPTION: factorIndex 22, baseDamage 150 tenths% (15% level-1). Wiki: 'Increases allied players' Normal Monster Damage by 15%... every 28 sec' — auto-triggering passive, not player-cast (CostsActionSlot=False). Duration 14s (Mastery Lv.98 'Holy Symbol - Persistence' +50% -&gt; 21s). This row's own F-value feeds a duty-cycle-averaged bespoke Normal-Monster-only global bonus in build_summary_sheet (a new R_NORMAL_DMG_BONUS slot, structurally the normal-monster-only mirror of R_MONSTER_DMG_BONUS/Freezing Breath - Weaken), NOT the generic BuffTargetStat mechanism (left blank here since NM-only doesn't map onto any existing generic target). Debuff Tolerance component not modeled (no debuff mechanic exists). MasteryBossDamage% here holds Mastery Lv.90 'Holy Symbol - Damage Boost' (+25% flat Damage% if allied players excluding self &lt;=2) — ALWAYS TRUE for a solo player, so this becomes an unconditional flat Damage% bonus once unlocked, folded into the same Summary R_DAMAGE_BONUS-style slot Ice-Lightning-Mage's Frozen Break/Frost Clutch use (NOT consumed as MasteryBossDamage% normally would be — this row isn't a DAMAGE_ROW_KEYS row at all, so that field is otherwise unused here, safe to reuse purely as storage. Deliberately NOT stored in SkillMasteryBonus% — that field IS consumed unconditionally by the generic F-column formula for every row, which would have silently contaminated this row's own F-value (also legitimately used above for the Normal Monster Damage bonus calculation) — caught via the categorical monster_type sweep, not by the default-boss verification alone.</t>
        </is>
      </c>
    </row>
    <row r="13">
      <c r="A13" t="inlineStr">
        <is>
          <t>ADVANCED_BLESSING</t>
        </is>
      </c>
      <c r="B13" t="inlineStr">
        <is>
          <t>Advanced Blessing</t>
        </is>
      </c>
      <c r="C13" t="n">
        <v>4</v>
      </c>
      <c r="D13" t="n">
        <v>26</v>
      </c>
      <c r="E13" t="b">
        <v>1</v>
      </c>
      <c r="F13" t="n">
        <v>1</v>
      </c>
      <c r="G13" t="n">
        <v>0</v>
      </c>
      <c r="H13" t="n">
        <v>0</v>
      </c>
      <c r="I13" t="n">
        <v>100</v>
      </c>
      <c r="J13" t="n">
        <v>1</v>
      </c>
      <c r="K13" t="n">
        <v>70</v>
      </c>
      <c r="L13" t="n">
        <v>22</v>
      </c>
      <c r="M13" t="b">
        <v>1</v>
      </c>
      <c r="N13">
        <f>SUMPRODUCT((Inputs!$B$3&gt;={113})*{4})</f>
        <v/>
      </c>
      <c r="O13" t="n">
        <v>0</v>
      </c>
      <c r="P13" t="n">
        <v>0</v>
      </c>
      <c r="Q13" t="n">
        <v>1</v>
      </c>
      <c r="R13" t="inlineStr">
        <is>
          <t>FINAL_DAMAGE</t>
        </is>
      </c>
      <c r="S13" t="n">
        <v>20</v>
      </c>
      <c r="T13" t="inlineStr"/>
      <c r="U13" t="inlineStr"/>
      <c r="V13" t="inlineStr"/>
      <c r="W13" t="inlineStr">
        <is>
          <t>FLAGGED ASSUMPTION: factorIndex 22, baseDamage 70 tenths% (7% level-1). Wiki: 'Increases Final Damage of allied players by 7%... decreases their MP Cost by 7%' — MP-cost reduction out of scope (MP not tracked). Self-inclusive, FINAL_DAMAGE target (joins the Average Buff Multiplier chain in Summary alongside Magic Guard/Heal/Bless/Holy Magic Shell/Infinity). Duration 20s, cooldown 26s. Mastery Lv.113 '+4% Final Damage while MP&gt;=50%' modeled always-on (MP-condition-ignored, same decision as MP Eater/Element Amplification) — folded additively into this row's own SkillMasteryBonus%.</t>
        </is>
      </c>
    </row>
    <row r="14">
      <c r="A14" t="inlineStr">
        <is>
          <t>TRIUMPH_FEATHER</t>
        </is>
      </c>
      <c r="B14" t="inlineStr">
        <is>
          <t>Triumph Feather</t>
        </is>
      </c>
      <c r="C14" t="n">
        <v>3</v>
      </c>
      <c r="D14" t="inlineStr"/>
      <c r="E14" t="b">
        <v>0</v>
      </c>
      <c r="F14">
        <f>IF(Inputs!$B$3&gt;=104,3,2)</f>
        <v/>
      </c>
      <c r="G14" t="n">
        <v>1</v>
      </c>
      <c r="H14" t="n">
        <v>0</v>
      </c>
      <c r="I14" t="n">
        <v>35</v>
      </c>
      <c r="J14" t="n">
        <v>1</v>
      </c>
      <c r="K14" t="n">
        <v>1500</v>
      </c>
      <c r="L14" t="n">
        <v>12</v>
      </c>
      <c r="M14" t="b">
        <v>1</v>
      </c>
      <c r="N14">
        <f>SUMPRODUCT((Inputs!$B$3&gt;={73})*{50})</f>
        <v/>
      </c>
      <c r="O14" t="n">
        <v>0</v>
      </c>
      <c r="P14" t="n">
        <v>0</v>
      </c>
      <c r="Q14">
        <f>IF(Inputs!$B$3&gt;=94,7,1)</f>
        <v/>
      </c>
      <c r="R14" t="inlineStr"/>
      <c r="S14" t="n">
        <v>0</v>
      </c>
      <c r="T14" t="inlineStr"/>
      <c r="U14" t="inlineStr"/>
      <c r="V14" t="inlineStr"/>
      <c r="W14" t="inlineStr">
        <is>
          <t>FLAGGED ASSUMPTION: factorIndex 12, baseDamage 1500 tenths% (150% level-1). Genuinely new 2-stage-proc mechanic: wiki says 'When attacking, harnesses the power of the angel for 10 sec with a 15% chance [Mastery Lv.78 +10%p -&gt; 25%]. While harnessing, 35% chance/attack to create angel feathers dealing 150% additional damage 2 time(s), 1s ICD per target (treated as a single global ICD in this per-second-DPS model, not per-target).' Modeled as: this row's own ProcChance%=35 is stage 2's chance; stage 1's own steady-state busy-fraction (chance 15%/25%, duration 10s, driven by the character's own attack rate) is computed in build_calc_sheet as a bespoke multiplier on this row's own Calc!O formula, mirroring the queueing-rate approximation FP-Mage's own Meteor Proc uses — NOT the generic H-column ProcProbability-only pattern every other row uses, since this needs BOTH stages combined. Mastery Lv.73 +50% dmg (real SkillMasteryBonus%), Lv.94 'Harnessing' removes the 1s-per-target activation limit and spreads to 7 random targets (modeled here purely as the already-uncapped ICD assumption plus NormalMonsterTargets 1-&gt;7 — the ICD-removal itself is a known simplification, effectively a no-op under the already-global-ICD treatment, flagged as a known simplification), Lv.104 'Triumph Feather - Strike' +1 hit count (2-&gt;3, baked into the HitsPerCast formula — same convention as every other Strike+1 mastery elsewhere in this project). Maple Hero (Bishop's own, different mechanic shape — see MAPLE_HERO_BISHOP row) feeds this row's own Final Damage chain directly, not the generic MapleHeroMultiplier (I) column.</t>
        </is>
      </c>
    </row>
    <row r="15">
      <c r="A15" t="inlineStr">
        <is>
          <t>MAPLE_HERO_BISHOP</t>
        </is>
      </c>
      <c r="B15" t="inlineStr">
        <is>
          <t>Maple Hero</t>
        </is>
      </c>
      <c r="C15" t="n">
        <v>4</v>
      </c>
      <c r="D15" t="inlineStr"/>
      <c r="E15" t="b">
        <v>0</v>
      </c>
      <c r="F15" t="n">
        <v>1</v>
      </c>
      <c r="G15" t="n">
        <v>0</v>
      </c>
      <c r="H15" t="n">
        <v>0</v>
      </c>
      <c r="I15" t="n">
        <v>100</v>
      </c>
      <c r="J15" t="n">
        <v>1</v>
      </c>
      <c r="K15" t="n">
        <v>500</v>
      </c>
      <c r="L15" t="n">
        <v>23</v>
      </c>
      <c r="M15" t="b">
        <v>1</v>
      </c>
      <c r="N15" t="n">
        <v>0</v>
      </c>
      <c r="O15" t="n">
        <v>0</v>
      </c>
      <c r="P15" t="n">
        <v>0</v>
      </c>
      <c r="Q15" t="n">
        <v>1</v>
      </c>
      <c r="R15" t="inlineStr"/>
      <c r="S15" t="n">
        <v>0</v>
      </c>
      <c r="T15" t="inlineStr"/>
      <c r="U15" t="inlineStr"/>
      <c r="V15" t="inlineStr"/>
      <c r="W15" t="inlineStr">
        <is>
          <t>FLAGGED ASSUMPTION: factorIndex 23 (Maple Hero convention, matching every other class's own Maple Hero factorIndex), baseDamage 500 tenths% (50% level-1). Bishop's own Maple Hero targets Triumph Feather with a DIFFERENT mechanic shape than every other class's Maple Hero: 'Increases Final Damage of [Triumph Feather] by 50%' — a genuine Final-Damage-chain additive term (like Element Amplification), NOT a MapleHeroBase-scaled 'additional damage%' multiplier. No independent DPS row of its own (Calc columns J-N stay blank/0, same 'no independent row' pattern as Night Lord's own Night Lord's Mark) — only D/E/F (its own scaling coefficient) are computed, read directly by Triumph Feather's own Calc!K formula. Also increases HP Recovery of Heal/Holy Fountain (out of scope, no HP tracking).</t>
        </is>
      </c>
    </row>
    <row r="16">
      <c r="A16" t="inlineStr">
        <is>
          <t>MP_EATER_MP_BOOST</t>
        </is>
      </c>
      <c r="B16" t="inlineStr">
        <is>
          <t>MP Eater - MP Boost (Mastery Lv.49)</t>
        </is>
      </c>
      <c r="C16" t="n">
        <v>2</v>
      </c>
      <c r="D16" t="inlineStr"/>
      <c r="E16" t="b">
        <v>0</v>
      </c>
      <c r="F16" t="n">
        <v>1</v>
      </c>
      <c r="G16" t="n">
        <v>0</v>
      </c>
      <c r="H16" t="n">
        <v>0</v>
      </c>
      <c r="I16" t="n">
        <v>100</v>
      </c>
      <c r="J16" t="n">
        <v>1</v>
      </c>
      <c r="K16" t="n">
        <v>70</v>
      </c>
      <c r="L16" t="n">
        <v>0</v>
      </c>
      <c r="M16" t="b">
        <v>0</v>
      </c>
      <c r="N16" t="n">
        <v>0</v>
      </c>
      <c r="O16" t="n">
        <v>0</v>
      </c>
      <c r="P16" t="n">
        <v>0</v>
      </c>
      <c r="Q16" t="n">
        <v>1</v>
      </c>
      <c r="R16" t="inlineStr"/>
      <c r="S16" t="n">
        <v>0</v>
      </c>
      <c r="T16" t="inlineStr"/>
      <c r="U16" t="inlineStr"/>
      <c r="V16" t="inlineStr"/>
      <c r="W16" t="inlineStr">
        <is>
          <t>Shared verbatim w/ FP-Mage/Ice-Lightning-Mage: flat always-on +7% Attack Speed once unlocked (MP&gt;=50%(patched 35%) condition ignored per the always-on decision). Real, always-on contributor (NOT baked into Inputs) — folds into the Attack Speed diminishing-returns stack in Summary once unlocked, no uptime averaging (not a timed buff). FactorIndex is an unused placeholder (ScalesWithLevel=False).</t>
        </is>
      </c>
    </row>
    <row r="17">
      <c r="A17" t="inlineStr">
        <is>
          <t>ELEMENT_AMPLIFICATION</t>
        </is>
      </c>
      <c r="B17" t="inlineStr">
        <is>
          <t>Element Amplification</t>
        </is>
      </c>
      <c r="C17" t="n">
        <v>3</v>
      </c>
      <c r="D17" t="inlineStr"/>
      <c r="E17" t="b">
        <v>0</v>
      </c>
      <c r="F17" t="n">
        <v>1</v>
      </c>
      <c r="G17" t="n">
        <v>0</v>
      </c>
      <c r="H17" t="n">
        <v>0</v>
      </c>
      <c r="I17" t="n">
        <v>100</v>
      </c>
      <c r="J17" t="n">
        <v>1</v>
      </c>
      <c r="K17" t="n">
        <v>150</v>
      </c>
      <c r="L17" t="n">
        <v>22</v>
      </c>
      <c r="M17" t="b">
        <v>1</v>
      </c>
      <c r="N17" t="n">
        <v>0</v>
      </c>
      <c r="O17" t="n">
        <v>0</v>
      </c>
      <c r="P17" t="n">
        <v>0</v>
      </c>
      <c r="Q17" t="n">
        <v>1</v>
      </c>
      <c r="R17" t="inlineStr">
        <is>
          <t>FINAL_DAMAGE</t>
        </is>
      </c>
      <c r="S17" t="n">
        <v>0</v>
      </c>
      <c r="T17" t="inlineStr"/>
      <c r="U17" t="inlineStr"/>
      <c r="V17" t="inlineStr"/>
      <c r="W17" t="inlineStr">
        <is>
          <t>Shared verbatim w/ FP-Mage/Ice-Lightning-Mage: +15%-&gt;24% Final Damage, unconditional (ignore the MP&gt;=50%(patched 35%) condition per the same always-on decision applied everywhere else). Not reflected in Inputs — added directly into the Final Damage chain.</t>
        </is>
      </c>
    </row>
    <row r="18">
      <c r="A18" t="inlineStr">
        <is>
          <t>INFINITY</t>
        </is>
      </c>
      <c r="B18" t="inlineStr">
        <is>
          <t>Infinity</t>
        </is>
      </c>
      <c r="C18" t="n">
        <v>4</v>
      </c>
      <c r="D18" t="n">
        <v>30</v>
      </c>
      <c r="E18" t="b">
        <v>1</v>
      </c>
      <c r="F18" t="n">
        <v>1</v>
      </c>
      <c r="G18" t="n">
        <v>0</v>
      </c>
      <c r="H18" t="n">
        <v>0</v>
      </c>
      <c r="I18" t="n">
        <v>100</v>
      </c>
      <c r="J18" t="n">
        <v>1</v>
      </c>
      <c r="K18" t="n">
        <v>150</v>
      </c>
      <c r="L18" t="n">
        <v>21</v>
      </c>
      <c r="M18" t="b">
        <v>1</v>
      </c>
      <c r="N18" t="n">
        <v>0</v>
      </c>
      <c r="O18" t="n">
        <v>0</v>
      </c>
      <c r="P18" t="n">
        <v>0</v>
      </c>
      <c r="Q18" t="n">
        <v>1</v>
      </c>
      <c r="R18" t="inlineStr">
        <is>
          <t>FINAL_DAMAGE</t>
        </is>
      </c>
      <c r="S18" t="n">
        <v>15</v>
      </c>
      <c r="T18" t="inlineStr"/>
      <c r="U18" t="inlineStr"/>
      <c r="V18" t="inlineStr"/>
      <c r="W18" t="inlineStr">
        <is>
          <t>Shared verbatim w/ Ice-Lightning-Mage: base +15%-&gt;27% Final Damage for 15s, additionally +1%-&gt;1.8%/sec stacking up to 10 times — time-averaged total collapses to base*64/45 exactly (reverse-engineered for Ice-Lightning-Mage, identical wiki wording here). This row's own Calc!F needs the same bespoke base*64/45 formula in build_calc_sheet as every other class's Infinity, not the generic F-column formula.</t>
        </is>
      </c>
    </row>
    <row r="19">
      <c r="A19" t="inlineStr">
        <is>
          <t>BLOOD_OF_THE_DIVINE</t>
        </is>
      </c>
      <c r="B19" t="inlineStr">
        <is>
          <t>Blood of the Divine</t>
        </is>
      </c>
      <c r="C19" t="n">
        <v>4</v>
      </c>
      <c r="D19" t="inlineStr"/>
      <c r="E19" t="b">
        <v>0</v>
      </c>
      <c r="F19" t="n">
        <v>1</v>
      </c>
      <c r="G19" t="n">
        <v>0</v>
      </c>
      <c r="H19" t="n">
        <v>0</v>
      </c>
      <c r="I19" t="n">
        <v>100</v>
      </c>
      <c r="J19" t="n">
        <v>1</v>
      </c>
      <c r="K19" t="n">
        <v>50</v>
      </c>
      <c r="L19" t="n">
        <v>22</v>
      </c>
      <c r="M19" t="b">
        <v>1</v>
      </c>
      <c r="N19" t="n">
        <v>0</v>
      </c>
      <c r="O19" t="n">
        <v>0</v>
      </c>
      <c r="P19" t="n">
        <v>0</v>
      </c>
      <c r="Q19" t="n">
        <v>1</v>
      </c>
      <c r="R19" t="inlineStr"/>
      <c r="S19" t="n">
        <v>0</v>
      </c>
      <c r="T19" t="inlineStr"/>
      <c r="U19" t="inlineStr"/>
      <c r="V19" t="inlineStr"/>
      <c r="W19" t="inlineStr">
        <is>
          <t>FLAGGED ASSUMPTION: factorIndex 22, baseDamage 50 tenths% (5% level-1, the Final Damage component). HP-scaling passive — HP isn't tracked anywhere in this calculator, so modeled assuming permanently 100% HP (steady-state favorable assumption, same tier as Ice-Lightning-Mage's always-5-Frost-stacks convention). Wiki: 'Increases Final Damage by 5%. For every 10% of current HP increases Critical Damage by 2%' -&gt; at 100% HP, +20% Crit Damage, modeled as 4x this row's own F-value (preserving the level-1 5%FD:20%CD ratio across the same factor curve, a further simplification since no separate curve data exists for the Crit Damage component) — feeds a new Summary R_CRIT_DAMAGE_BONUS slot (mirrors Night Lord's own R_CRIT_DAMAGE_BONUS for Frailty Curse). Final Damage component feeds the Final Damage chain directly (like Element Amplification). Mastery Lv.134 '+1.5% Attack Speed per 10% HP' -&gt; flat +15% Attack Speed at 100% HP, modeled as a FLAT non-scaling addition (matches how masteries are typically flat elsewhere in this project, independent of this row's own F-value) once level&gt;=134, folded into the same always-on AS_BONUS slot MP_EATER_MP_BOOST feeds.</t>
        </is>
      </c>
    </row>
    <row r="20">
      <c r="A20" t="inlineStr">
        <is>
          <t>MAGIC_ACCELERATION</t>
        </is>
      </c>
      <c r="B20" t="inlineStr">
        <is>
          <t>Magic Acceleration</t>
        </is>
      </c>
      <c r="C20" t="n">
        <v>2</v>
      </c>
      <c r="D20" t="inlineStr"/>
      <c r="E20" t="b">
        <v>0</v>
      </c>
      <c r="F20" t="n">
        <v>1</v>
      </c>
      <c r="G20" t="n">
        <v>0</v>
      </c>
      <c r="H20" t="n">
        <v>0</v>
      </c>
      <c r="I20" t="n">
        <v>100</v>
      </c>
      <c r="J20" t="n">
        <v>1</v>
      </c>
      <c r="K20" t="n">
        <v>50</v>
      </c>
      <c r="L20" t="n">
        <v>22</v>
      </c>
      <c r="M20" t="b">
        <v>1</v>
      </c>
      <c r="N20" t="n">
        <v>0</v>
      </c>
      <c r="O20" t="n">
        <v>0</v>
      </c>
      <c r="P20" t="n">
        <v>0</v>
      </c>
      <c r="Q20" t="n">
        <v>1</v>
      </c>
      <c r="R20" t="inlineStr">
        <is>
          <t>ATTACK_SPEED</t>
        </is>
      </c>
      <c r="S20" t="n">
        <v>0</v>
      </c>
      <c r="T20" t="inlineStr"/>
      <c r="U20" t="inlineStr"/>
      <c r="V20" t="inlineStr"/>
      <c r="W20" t="inlineStr">
        <is>
          <t>Shared verbatim w/ FP-Mage/Ice-Lightning-Mage: Magic Critical pattern, already baked into Inputs!ATTACK_SPEED%; feeds the 2nd-Job Skill Level Bonus Sensitivity delta only.</t>
        </is>
      </c>
    </row>
    <row r="21">
      <c r="A21" t="inlineStr">
        <is>
          <t>SPELL_MASTERY</t>
        </is>
      </c>
      <c r="B21" t="inlineStr">
        <is>
          <t>Spell Mastery</t>
        </is>
      </c>
      <c r="C21" t="n">
        <v>2</v>
      </c>
      <c r="D21" t="inlineStr"/>
      <c r="E21" t="b">
        <v>0</v>
      </c>
      <c r="F21" t="n">
        <v>1</v>
      </c>
      <c r="G21" t="n">
        <v>0</v>
      </c>
      <c r="H21" t="n">
        <v>0</v>
      </c>
      <c r="I21" t="n">
        <v>100</v>
      </c>
      <c r="J21" t="n">
        <v>1</v>
      </c>
      <c r="K21" t="n">
        <v>150</v>
      </c>
      <c r="L21" t="n">
        <v>22</v>
      </c>
      <c r="M21" t="b">
        <v>1</v>
      </c>
      <c r="N21" t="n">
        <v>0</v>
      </c>
      <c r="O21" t="n">
        <v>0</v>
      </c>
      <c r="P21" t="n">
        <v>0</v>
      </c>
      <c r="Q21" t="n">
        <v>1</v>
      </c>
      <c r="R21" t="inlineStr">
        <is>
          <t>MIN_DAMAGE</t>
        </is>
      </c>
      <c r="S21" t="n">
        <v>0</v>
      </c>
      <c r="T21" t="inlineStr"/>
      <c r="U21" t="inlineStr"/>
      <c r="V21" t="inlineStr"/>
      <c r="W21" t="inlineStr">
        <is>
          <t>Shared verbatim w/ FP-Mage/Ice-Lightning-Mage: Magic Critical pattern, already baked into Inputs!MIN_DAMAGE%; feeds the 2nd-Job Skill Level Bonus delta.</t>
        </is>
      </c>
    </row>
    <row r="22">
      <c r="A22" t="inlineStr">
        <is>
          <t>HIGH_WISDOM</t>
        </is>
      </c>
      <c r="B22" t="inlineStr">
        <is>
          <t>High Wisdom</t>
        </is>
      </c>
      <c r="C22" t="n">
        <v>2</v>
      </c>
      <c r="D22" t="inlineStr"/>
      <c r="E22" t="b">
        <v>0</v>
      </c>
      <c r="F22" t="n">
        <v>1</v>
      </c>
      <c r="G22" t="n">
        <v>0</v>
      </c>
      <c r="H22" t="n">
        <v>0</v>
      </c>
      <c r="I22" t="n">
        <v>100</v>
      </c>
      <c r="J22" t="n">
        <v>1</v>
      </c>
      <c r="K22" t="n">
        <v>80</v>
      </c>
      <c r="L22" t="n">
        <v>22</v>
      </c>
      <c r="M22" t="b">
        <v>1</v>
      </c>
      <c r="N22" t="n">
        <v>0</v>
      </c>
      <c r="O22" t="n">
        <v>0</v>
      </c>
      <c r="P22" t="n">
        <v>0</v>
      </c>
      <c r="Q22" t="n">
        <v>1</v>
      </c>
      <c r="R22" t="inlineStr">
        <is>
          <t>CRIT_RATE</t>
        </is>
      </c>
      <c r="S22" t="n">
        <v>0</v>
      </c>
      <c r="T22" t="inlineStr"/>
      <c r="U22" t="inlineStr"/>
      <c r="V22" t="inlineStr"/>
      <c r="W22" t="inlineStr">
        <is>
          <t>Shared verbatim w/ Ice-Lightning-Mage: Magic Critical pattern, already baked into Inputs!CRIT_RATE% (jointly with Magic Critical (Crit Rate) below); feeds the 2nd-Job Skill Level Bonus delta.</t>
        </is>
      </c>
    </row>
    <row r="23">
      <c r="A23" t="inlineStr">
        <is>
          <t>MAGIC_CRITICAL_RATE</t>
        </is>
      </c>
      <c r="B23" t="inlineStr">
        <is>
          <t>Magic Critical (Crit Rate)</t>
        </is>
      </c>
      <c r="C23" t="n">
        <v>3</v>
      </c>
      <c r="D23" t="inlineStr"/>
      <c r="E23" t="b">
        <v>0</v>
      </c>
      <c r="F23" t="n">
        <v>1</v>
      </c>
      <c r="G23" t="n">
        <v>0</v>
      </c>
      <c r="H23" t="n">
        <v>0</v>
      </c>
      <c r="I23" t="n">
        <v>100</v>
      </c>
      <c r="J23" t="n">
        <v>1</v>
      </c>
      <c r="K23" t="n">
        <v>80</v>
      </c>
      <c r="L23" t="n">
        <v>22</v>
      </c>
      <c r="M23" t="b">
        <v>1</v>
      </c>
      <c r="N23" t="n">
        <v>0</v>
      </c>
      <c r="O23" t="n">
        <v>0</v>
      </c>
      <c r="P23" t="n">
        <v>0</v>
      </c>
      <c r="Q23" t="n">
        <v>1</v>
      </c>
      <c r="R23" t="inlineStr">
        <is>
          <t>CRIT_RATE</t>
        </is>
      </c>
      <c r="S23" t="n">
        <v>0</v>
      </c>
      <c r="T23" t="inlineStr"/>
      <c r="U23" t="inlineStr"/>
      <c r="V23" t="inlineStr"/>
      <c r="W23" t="inlineStr">
        <is>
          <t>Shared verbatim w/ FP-Mage/Ice-Lightning-Mage: Magic Critical pattern, already baked into Inputs!CRIT_RATE%; feeds the 3rd-Job Skill Level Bonus delta.</t>
        </is>
      </c>
    </row>
    <row r="24">
      <c r="A24" t="inlineStr">
        <is>
          <t>MAGIC_CRITICAL_DAMAGE</t>
        </is>
      </c>
      <c r="B24" t="inlineStr">
        <is>
          <t>Magic Critical (Crit Damage)</t>
        </is>
      </c>
      <c r="C24" t="n">
        <v>3</v>
      </c>
      <c r="D24" t="inlineStr"/>
      <c r="E24" t="b">
        <v>0</v>
      </c>
      <c r="F24" t="n">
        <v>1</v>
      </c>
      <c r="G24" t="n">
        <v>0</v>
      </c>
      <c r="H24" t="n">
        <v>0</v>
      </c>
      <c r="I24" t="n">
        <v>100</v>
      </c>
      <c r="J24" t="n">
        <v>1</v>
      </c>
      <c r="K24" t="n">
        <v>120</v>
      </c>
      <c r="L24" t="n">
        <v>22</v>
      </c>
      <c r="M24" t="b">
        <v>1</v>
      </c>
      <c r="N24" t="n">
        <v>0</v>
      </c>
      <c r="O24" t="n">
        <v>0</v>
      </c>
      <c r="P24" t="n">
        <v>0</v>
      </c>
      <c r="Q24" t="n">
        <v>1</v>
      </c>
      <c r="R24" t="inlineStr">
        <is>
          <t>CRIT_DAMAGE</t>
        </is>
      </c>
      <c r="S24" t="n">
        <v>0</v>
      </c>
      <c r="T24" t="inlineStr"/>
      <c r="U24" t="inlineStr"/>
      <c r="V24" t="inlineStr"/>
      <c r="W24" t="inlineStr">
        <is>
          <t>Shared verbatim w/ FP-Mage/Ice-Lightning-Mage: Magic Critical pattern, already baked into Inputs!CRIT_DAMAGE%; feeds the 3rd-Job Skill Level Bonus delta.</t>
        </is>
      </c>
    </row>
    <row r="25">
      <c r="A25" t="inlineStr">
        <is>
          <t>BUFF_MASTERY</t>
        </is>
      </c>
      <c r="B25" t="inlineStr">
        <is>
          <t>Buff Mastery</t>
        </is>
      </c>
      <c r="C25" t="n">
        <v>4</v>
      </c>
      <c r="D25" t="inlineStr"/>
      <c r="E25" t="b">
        <v>0</v>
      </c>
      <c r="F25" t="n">
        <v>1</v>
      </c>
      <c r="G25" t="n">
        <v>0</v>
      </c>
      <c r="H25" t="n">
        <v>0</v>
      </c>
      <c r="I25" t="n">
        <v>100</v>
      </c>
      <c r="J25" t="n">
        <v>1</v>
      </c>
      <c r="K25" t="n">
        <v>100</v>
      </c>
      <c r="L25" t="n">
        <v>22</v>
      </c>
      <c r="M25" t="b">
        <v>1</v>
      </c>
      <c r="N25" t="n">
        <v>0</v>
      </c>
      <c r="O25" t="n">
        <v>0</v>
      </c>
      <c r="P25" t="n">
        <v>0</v>
      </c>
      <c r="Q25" t="n">
        <v>1</v>
      </c>
      <c r="R25" t="inlineStr"/>
      <c r="S25" t="n">
        <v>0</v>
      </c>
      <c r="T25" t="inlineStr"/>
      <c r="U25" t="inlineStr"/>
      <c r="V25" t="inlineStr"/>
      <c r="W25" t="inlineStr">
        <is>
          <t>Shared verbatim w/ FP-Mage/Ice-Lightning-Mage: feeds bdi_with_buff_mastery_expr (Buff Duration Increase %) at unlock level 117 — not reflected in Inputs.</t>
        </is>
      </c>
    </row>
    <row r="26">
      <c r="A26" t="inlineStr">
        <is>
          <t>ARCANE_AIM</t>
        </is>
      </c>
      <c r="B26" t="inlineStr">
        <is>
          <t>Arcane Aim</t>
        </is>
      </c>
      <c r="C26" t="n">
        <v>4</v>
      </c>
      <c r="D26" t="inlineStr"/>
      <c r="E26" t="b">
        <v>0</v>
      </c>
      <c r="F26" t="n">
        <v>1</v>
      </c>
      <c r="G26" t="n">
        <v>0</v>
      </c>
      <c r="H26" t="n">
        <v>0</v>
      </c>
      <c r="I26" t="n">
        <v>100</v>
      </c>
      <c r="J26" t="n">
        <v>1</v>
      </c>
      <c r="K26" t="n">
        <v>30</v>
      </c>
      <c r="L26" t="n">
        <v>22</v>
      </c>
      <c r="M26" t="b">
        <v>1</v>
      </c>
      <c r="N26" t="n">
        <v>0</v>
      </c>
      <c r="O26" t="n">
        <v>0</v>
      </c>
      <c r="P26" t="n">
        <v>0</v>
      </c>
      <c r="Q26" t="n">
        <v>1</v>
      </c>
      <c r="R26" t="inlineStr"/>
      <c r="S26" t="n">
        <v>0</v>
      </c>
      <c r="T26" t="inlineStr"/>
      <c r="U26" t="inlineStr"/>
      <c r="V26" t="inlineStr"/>
      <c r="W26" t="inlineStr">
        <is>
          <t>Shared verbatim w/ FP-Mage/Ice-Lightning-Mage: 25% chance, +Final Damage% for 10s, stacks x5 — modeled always at max 5 stacks, combined multiplicatively as (1+Calc!F/100)^5.</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t="inlineStr">
        <is>
          <t>InvCooldown</t>
        </is>
      </c>
      <c r="R1" t="inlineStr">
        <is>
          <t>CastsInFight</t>
        </is>
      </c>
      <c r="Z1" s="5" t="inlineStr">
        <is>
          <t>Maple Hero helper (unused — see Note on MAPLE_HERO_BISHOP row)</t>
        </is>
      </c>
    </row>
    <row r="2">
      <c r="A2">
        <f>Skills!A2</f>
        <v/>
      </c>
      <c r="B2">
        <f>Skills!B2</f>
        <v/>
      </c>
      <c r="C2">
        <f>Inputs!$B$3&gt;=100</f>
        <v/>
      </c>
      <c r="D2" t="inlineStr"/>
      <c r="E2" t="inlineStr"/>
      <c r="F2">
        <f>Summary!$B$47+Skills!N2</f>
        <v/>
      </c>
      <c r="G2">
        <f>Skills!F2*IF(Skills!G2&gt;0,Skills!H2/Skills!G2,1)</f>
        <v/>
      </c>
      <c r="H2">
        <f>1-(1-Skills!I2/100)^Skills!J2</f>
        <v/>
      </c>
      <c r="I2">
        <f>IF(Skills!T2&lt;&gt;"",1+(Skills!T2/10)*($Z$3/1000)/100,1)</f>
        <v/>
      </c>
      <c r="J2">
        <f>Summary!$B$43*(F2/100)</f>
        <v/>
      </c>
      <c r="K2">
        <f>J2*(1+Summary!$B$44/100)*(1+(Inputs!$B$17+Summary!$B$53)/100)*(1+IF(Inputs!$B$40="pvp",0,(1-Summary!$B$48)*(Inputs!$B$22+Skills!O2+Summary!$B$51)+Summary!$B$48*(Inputs!$B$23+Skills!P2+Summary!$B$52))/100)*(1+Inputs!$B$18/100)*(5000/(6000+Inputs!$B$42*(1-Inputs!$B$21/100)))*(1+Inputs!$B$26/100)*(1+IF(C17=TRUE,F17,0)/100)*(1+IF(C19=TRUE,F19,0)/100)*(1+IF(Skills!A2="TRIUMPH_FEATHER",IF(C15=TRUE,F15,0),0)/100)*(1+IF(C26=TRUE,F26,0)/100)^5*(1+(IF(Skills!A2="BIG_BANG",Inputs!$B$19,Inputs!$B$20))/100)*(Summary!$B$50*I2)</f>
        <v/>
      </c>
      <c r="L2">
        <f>K2*(MIN(Inputs!$B$24,Inputs!$B$25)/100+Inputs!$B$25/100)/2</f>
        <v/>
      </c>
      <c r="M2">
        <f>L2*(1+(Inputs!$B$12+Summary!$B$54)/100)</f>
        <v/>
      </c>
      <c r="N2">
        <f>L2*(1-MIN(Inputs!$B$11,100)/100)+M2*(MIN(Inputs!$B$11,100)/100)</f>
        <v/>
      </c>
      <c r="O2">
        <f>IF(C2,Skills!F2*N2*Summary!$B$58*IF(Inputs!$B$40="pvp",1,(1-Summary!$B$48)*(1)+Summary!$B$48*(MIN(Skills!Q2,Inputs!$B$39))),0)</f>
        <v/>
      </c>
      <c r="P2">
        <f>IF(Summary!$B$3=0,0,O2/Summary!$B$3)</f>
        <v/>
      </c>
      <c r="Q2">
        <f>IFERROR(1/IF(Inputs!$B$40="pvp",15,MAX(0.1,Skills!D2-IF(Skills!E2=TRUE,Inputs!$B$34,0))),0)</f>
        <v/>
      </c>
      <c r="R2" t="n">
        <v>0</v>
      </c>
      <c r="Z2">
        <f>MAX(0,(Inputs!$B$3-100)*3)+Inputs!$B$30+Inputs!$B$31</f>
        <v/>
      </c>
    </row>
    <row r="3">
      <c r="A3">
        <f>Skills!A3</f>
        <v/>
      </c>
      <c r="B3">
        <f>Skills!B3</f>
        <v/>
      </c>
      <c r="C3">
        <f>Inputs!$B$3&gt;=15</f>
        <v/>
      </c>
      <c r="D3">
        <f>IF(Skills!C3=1,60+Inputs!$B$27+Inputs!$B$31,IF(Skills!C3=2,90+Inputs!$B$28+Inputs!$B$31,IF(Skills!C3=3,120+Inputs!$B$29+Inputs!$B$31,MAX(0,(Inputs!$B$3-100)*3)+Inputs!$B$30+Inputs!$B$31)))</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t="n">
        <v>0</v>
      </c>
      <c r="P3">
        <f>IF(Summary!$B$3=0,0,O3/Summary!$B$3)</f>
        <v/>
      </c>
      <c r="Q3">
        <f>IFERROR(1/IF(Inputs!$B$40="pvp",15,MAX(0.1,Skills!D3-IF(Skills!E3=TRUE,Inputs!$B$34,0))),0)</f>
        <v/>
      </c>
      <c r="R3">
        <f>IF(AND(Inputs!$B$40&lt;&gt;"pvp",Inputs!$B$43&gt;0),(INT(Inputs!$B$43/IF(Inputs!$B$40="pvp",15,MAX(0.1,Skills!D3-IF(Skills!E3=TRUE,Inputs!$B$34,0))))+1),0)</f>
        <v/>
      </c>
      <c r="Z3">
        <f>INDEX(FactorTable!$B$2:$Y$301, MATCH(ROUND(MIN(300,MAX(1,Z2)),0), FactorTable!$A$2:$A$301,0), 24)</f>
        <v/>
      </c>
    </row>
    <row r="4">
      <c r="A4">
        <f>Skills!A4</f>
        <v/>
      </c>
      <c r="B4">
        <f>Skills!B4</f>
        <v/>
      </c>
      <c r="C4">
        <f>Inputs!$B$3&gt;=38</f>
        <v/>
      </c>
      <c r="D4">
        <f>IF(Skills!C4=1,60+Inputs!$B$27+Inputs!$B$31,IF(Skills!C4=2,90+Inputs!$B$28+Inputs!$B$31,IF(Skills!C4=3,120+Inputs!$B$29+Inputs!$B$31,MAX(0,(Inputs!$B$3-100)*3)+Inputs!$B$30+Inputs!$B$31)))</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t="n">
        <v>0</v>
      </c>
      <c r="P4">
        <f>IF(Summary!$B$3=0,0,O4/Summary!$B$3)</f>
        <v/>
      </c>
      <c r="Q4">
        <f>IFERROR(1/IF(Inputs!$B$40="pvp",15,MAX(0.1,Skills!D4-IF(Skills!E4=TRUE,Inputs!$B$34,0))),0)</f>
        <v/>
      </c>
      <c r="R4">
        <f>IF(AND(Inputs!$B$40&lt;&gt;"pvp",Inputs!$B$43&gt;0),(INT(Inputs!$B$43/IF(Inputs!$B$40="pvp",15,MAX(0.1,Skills!D4-IF(Skills!E4=TRUE,Inputs!$B$34,0))))+1),0)</f>
        <v/>
      </c>
    </row>
    <row r="5">
      <c r="A5">
        <f>Skills!A5</f>
        <v/>
      </c>
      <c r="B5">
        <f>Skills!B5</f>
        <v/>
      </c>
      <c r="C5">
        <f>Inputs!$B$3&gt;=40</f>
        <v/>
      </c>
      <c r="D5">
        <f>IF(Skills!C5=1,60+Inputs!$B$27+Inputs!$B$31,IF(Skills!C5=2,90+Inputs!$B$28+Inputs!$B$31,IF(Skills!C5=3,120+Inputs!$B$29+Inputs!$B$31,MAX(0,(Inputs!$B$3-100)*3)+Inputs!$B$30+Inputs!$B$31)))</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t="inlineStr"/>
      <c r="K5" t="inlineStr"/>
      <c r="L5" t="inlineStr"/>
      <c r="M5" t="inlineStr"/>
      <c r="N5" t="inlineStr"/>
      <c r="O5" t="n">
        <v>0</v>
      </c>
      <c r="P5">
        <f>IF(Summary!$B$3=0,0,O5/Summary!$B$3)</f>
        <v/>
      </c>
      <c r="Q5">
        <f>IFERROR(1/IF(Inputs!$B$40="pvp",15,MAX(0.1,Skills!D5-IF(Skills!E5=TRUE,Inputs!$B$34,0))),0)</f>
        <v/>
      </c>
      <c r="R5">
        <f>IF(AND(Inputs!$B$40&lt;&gt;"pvp",Inputs!$B$43&gt;0),(INT(Inputs!$B$43/IF(Inputs!$B$40="pvp",15,MAX(0.1,Skills!D5-IF(Skills!E5=TRUE,Inputs!$B$34,0))))+1),0)</f>
        <v/>
      </c>
    </row>
    <row r="6">
      <c r="A6">
        <f>Skills!A6</f>
        <v/>
      </c>
      <c r="B6">
        <f>Skills!B6</f>
        <v/>
      </c>
      <c r="C6">
        <f>Inputs!$B$3&gt;=103</f>
        <v/>
      </c>
      <c r="D6">
        <f>IF(Skills!C6=1,60+Inputs!$B$27+Inputs!$B$31,IF(Skills!C6=2,90+Inputs!$B$28+Inputs!$B$31,IF(Skills!C6=3,120+Inputs!$B$29+Inputs!$B$31,MAX(0,(Inputs!$B$3-100)*3)+Inputs!$B$30+Inputs!$B$31)))</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Summary!$B$43*(F6/100)</f>
        <v/>
      </c>
      <c r="K6">
        <f>J6*(1+Summary!$B$44/100)*(1+(Inputs!$B$17+Summary!$B$53)/100)*(1+IF(Inputs!$B$40="pvp",0,(1-Summary!$B$48)*(Inputs!$B$22+Skills!O6+Summary!$B$51)+Summary!$B$48*(Inputs!$B$23+Skills!P6+Summary!$B$52))/100)*(1+Inputs!$B$18/100)*(5000/(6000+Inputs!$B$42*(1-Inputs!$B$21/100)))*(1+Inputs!$B$26/100)*(1+IF(C17=TRUE,F17,0)/100)*(1+IF(C19=TRUE,F19,0)/100)*(1+IF(Skills!A6="TRIUMPH_FEATHER",IF(C15=TRUE,F15,0),0)/100)*(1+IF(C26=TRUE,F26,0)/100)^5*(1+(IF(Skills!A6="BIG_BANG",Inputs!$B$19,Inputs!$B$20))/100)*(Summary!$B$50*I6)</f>
        <v/>
      </c>
      <c r="L6">
        <f>K6*(MIN(Inputs!$B$24,Inputs!$B$25)/100+Inputs!$B$25/100)/2</f>
        <v/>
      </c>
      <c r="M6">
        <f>L6*(1+(Inputs!$B$12+Summary!$B$54)/100)</f>
        <v/>
      </c>
      <c r="N6">
        <f>L6*(1-MIN(Inputs!$B$11,100)/100)+M6*(MIN(Inputs!$B$11,100)/100)</f>
        <v/>
      </c>
      <c r="O6">
        <f>IF(C6,H6*N6*IF(AND(Inputs!$B$40&lt;&gt;"pvp",Inputs!$B$43&gt;0),((Skills!F6*((R6-1)*IF(Skills!G6&gt;0,Skills!H6/Skills!G6,1)+IF(Skills!G6&gt;0,MIN(Skills!H6,MAX(0,Inputs!$B$43-((R6-1)*IF(Inputs!$B$40="pvp",15,MAX(0.1,Skills!D6-IF(Skills!E6=TRUE,Inputs!$B$34,0))))))/Skills!G6,1)))/Inputs!$B$43),G6*Q6)*IF(Inputs!$B$40="pvp",1,(1-Summary!$B$48)*(1)+Summary!$B$48*(MIN(Skills!Q6,Inputs!$B$39))),0)</f>
        <v/>
      </c>
      <c r="P6">
        <f>IF(Summary!$B$3=0,0,O6/Summary!$B$3)</f>
        <v/>
      </c>
      <c r="Q6">
        <f>IFERROR(1/IF(Inputs!$B$40="pvp",15,MAX(0.1,Skills!D6-IF(Skills!E6=TRUE,Inputs!$B$34,0))),0)</f>
        <v/>
      </c>
      <c r="R6">
        <f>IF(AND(Inputs!$B$40&lt;&gt;"pvp",Inputs!$B$43&gt;0),(INT(Inputs!$B$43/IF(Inputs!$B$40="pvp",15,MAX(0.1,Skills!D6-IF(Skills!E6=TRUE,Inputs!$B$34,0))))+1),0)</f>
        <v/>
      </c>
    </row>
    <row r="7">
      <c r="A7">
        <f>Skills!A7</f>
        <v/>
      </c>
      <c r="B7">
        <f>Skills!B7</f>
        <v/>
      </c>
      <c r="C7">
        <f>Inputs!$B$3&gt;=122</f>
        <v/>
      </c>
      <c r="D7">
        <f>IF(Skills!C7=1,60+Inputs!$B$27+Inputs!$B$31,IF(Skills!C7=2,90+Inputs!$B$28+Inputs!$B$31,IF(Skills!C7=3,120+Inputs!$B$29+Inputs!$B$31,MAX(0,(Inputs!$B$3-100)*3)+Inputs!$B$30+Inputs!$B$31)))</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Summary!$B$43*(F7/100)</f>
        <v/>
      </c>
      <c r="K7">
        <f>J7*(1+Summary!$B$44/100)*(1+(Inputs!$B$17+Summary!$B$53)/100)*(1+IF(Inputs!$B$40="pvp",0,(1-Summary!$B$48)*(Inputs!$B$22+Skills!O7+Summary!$B$51)+Summary!$B$48*(Inputs!$B$23+Skills!P7+Summary!$B$52))/100)*(1+Inputs!$B$18/100)*(5000/(6000+Inputs!$B$42*(1-Inputs!$B$21/100)))*(1+Inputs!$B$26/100)*(1+IF(C17=TRUE,F17,0)/100)*(1+IF(C19=TRUE,F19,0)/100)*(1+IF(Skills!A7="TRIUMPH_FEATHER",IF(C15=TRUE,F15,0),0)/100)*(1+IF(C26=TRUE,F26,0)/100)^5*(1+(IF(Skills!A7="BIG_BANG",Inputs!$B$19,Inputs!$B$20))/100)*(Summary!$B$50*I7)</f>
        <v/>
      </c>
      <c r="L7">
        <f>K7*(MIN(Inputs!$B$24,Inputs!$B$25)/100+Inputs!$B$25/100)/2</f>
        <v/>
      </c>
      <c r="M7">
        <f>L7*(1+(Inputs!$B$12+Summary!$B$54)/100)</f>
        <v/>
      </c>
      <c r="N7">
        <f>L7*(1-MIN(Inputs!$B$11,100)/100)+M7*(MIN(Inputs!$B$11,100)/100)</f>
        <v/>
      </c>
      <c r="O7">
        <f>IF(C7,H7*N7*IF(AND(Inputs!$B$40&lt;&gt;"pvp",Inputs!$B$43&gt;0),((Skills!F7*((R7-1)*IF(Skills!G7&gt;0,Skills!H7/Skills!G7,1)+IF(Skills!G7&gt;0,MIN(Skills!H7,MAX(0,Inputs!$B$43-((R7-1)*IF(Inputs!$B$40="pvp",15,MAX(0.1,Skills!D7-IF(Skills!E6=TRUE,Inputs!$B$34,0))))))/Skills!G7,1)))/Inputs!$B$43),G7*Q7)*(1-Summary!$B$48),0)</f>
        <v/>
      </c>
      <c r="P7">
        <f>IF(Summary!$B$3=0,0,O7/Summary!$B$3)</f>
        <v/>
      </c>
      <c r="Q7">
        <f>IFERROR(1/IF(Inputs!$B$40="pvp",15,MAX(0.1,Skills!D7-IF(Skills!E6=TRUE,Inputs!$B$34,0))),0)</f>
        <v/>
      </c>
      <c r="R7">
        <f>IF(AND(Inputs!$B$40&lt;&gt;"pvp",Inputs!$B$43&gt;0),(INT(Inputs!$B$43/IF(Inputs!$B$40="pvp",15,MAX(0.1,Skills!D7-IF(Skills!E6=TRUE,Inputs!$B$34,0))))+1),0)</f>
        <v/>
      </c>
    </row>
    <row r="8">
      <c r="A8">
        <f>Skills!A8</f>
        <v/>
      </c>
      <c r="B8">
        <f>Skills!B8</f>
        <v/>
      </c>
      <c r="C8">
        <f>Inputs!$B$3&gt;=105</f>
        <v/>
      </c>
      <c r="D8">
        <f>IF(Skills!C8=1,60+Inputs!$B$27+Inputs!$B$31,IF(Skills!C8=2,90+Inputs!$B$28+Inputs!$B$31,IF(Skills!C8=3,120+Inputs!$B$29+Inputs!$B$31,MAX(0,(Inputs!$B$3-100)*3)+Inputs!$B$30+Inputs!$B$31)))</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Summary!$B$43*(F8/100)</f>
        <v/>
      </c>
      <c r="K8">
        <f>J8*(1+Summary!$B$44/100)*(1+(Inputs!$B$17+Summary!$B$53)/100)*(1+IF(Inputs!$B$40="pvp",0,(1-Summary!$B$48)*(Inputs!$B$22+Skills!O8+Summary!$B$51)+Summary!$B$48*(Inputs!$B$23+Skills!P8+Summary!$B$52))/100)*(1+Inputs!$B$18/100)*(5000/(6000+Inputs!$B$42*(1-Inputs!$B$21/100)))*(1+Inputs!$B$26/100)*(1+IF(C17=TRUE,F17,0)/100)*(1+IF(C19=TRUE,F19,0)/100)*(1+IF(Skills!A8="TRIUMPH_FEATHER",IF(C15=TRUE,F15,0),0)/100)*(1+IF(C26=TRUE,F26,0)/100)^5*(1+(IF(Skills!A8="BIG_BANG",Inputs!$B$19,Inputs!$B$20))/100)*(Summary!$B$50*I8)</f>
        <v/>
      </c>
      <c r="L8">
        <f>K8*(MIN(Inputs!$B$24,Inputs!$B$25)/100+Inputs!$B$25/100)/2</f>
        <v/>
      </c>
      <c r="M8">
        <f>L8*(1+(Inputs!$B$12+Summary!$B$54)/100)</f>
        <v/>
      </c>
      <c r="N8">
        <f>L8*(1-MIN(Inputs!$B$11,100)/100)+M8*(MIN(Inputs!$B$11,100)/100)</f>
        <v/>
      </c>
      <c r="O8">
        <f>IF(C8,H8*N8*IF(AND(Inputs!$B$40&lt;&gt;"pvp",Inputs!$B$43&gt;0),((Skills!F8*((R8-1)*IF(Skills!G8&gt;0,Skills!H8/Skills!G8,1)+IF(Skills!G8&gt;0,MIN(Skills!H8,MAX(0,Inputs!$B$43-((R8-1)*IF(Inputs!$B$40="pvp",15,MAX(0.1,Skills!D8-IF(Skills!E8=TRUE,Inputs!$B$34,0))))))/Skills!G8,1)))/Inputs!$B$43),G8*Q8)*IF(Inputs!$B$40="pvp",1,(1-Summary!$B$48)*(1)+Summary!$B$48*(MIN(Skills!Q8,Inputs!$B$39))),0)</f>
        <v/>
      </c>
      <c r="P8">
        <f>IF(Summary!$B$3=0,0,O8/Summary!$B$3)</f>
        <v/>
      </c>
      <c r="Q8">
        <f>IFERROR(1/IF(Inputs!$B$40="pvp",15,MAX(0.1,Skills!D8-IF(Skills!E8=TRUE,Inputs!$B$34,0))),0)</f>
        <v/>
      </c>
      <c r="R8">
        <f>IF(AND(Inputs!$B$40&lt;&gt;"pvp",Inputs!$B$43&gt;0),(INT(Inputs!$B$43/IF(Inputs!$B$40="pvp",15,MAX(0.1,Skills!D8-IF(Skills!E8=TRUE,Inputs!$B$34,0))))+1),0)</f>
        <v/>
      </c>
    </row>
    <row r="9">
      <c r="A9">
        <f>Skills!A9</f>
        <v/>
      </c>
      <c r="B9">
        <f>Skills!B9</f>
        <v/>
      </c>
      <c r="C9">
        <f>Inputs!$B$3&gt;=115</f>
        <v/>
      </c>
      <c r="D9">
        <f>IF(Skills!C9=1,60+Inputs!$B$27+Inputs!$B$31,IF(Skills!C9=2,90+Inputs!$B$28+Inputs!$B$31,IF(Skills!C9=3,120+Inputs!$B$29+Inputs!$B$31,MAX(0,(Inputs!$B$3-100)*3)+Inputs!$B$30+Inputs!$B$31)))</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Summary!$B$43*(F9/100)</f>
        <v/>
      </c>
      <c r="K9">
        <f>J9*(1+Summary!$B$44/100)*(1+(Inputs!$B$17+Summary!$B$53)/100)*(1+IF(Inputs!$B$40="pvp",0,(1-Summary!$B$48)*(Inputs!$B$22+Skills!O9+Summary!$B$51)+Summary!$B$48*(Inputs!$B$23+Skills!P9+Summary!$B$52))/100)*(1+Inputs!$B$18/100)*(5000/(6000+Inputs!$B$42*(1-Inputs!$B$21/100)))*(1+Inputs!$B$26/100)*(1+IF(C17=TRUE,F17,0)/100)*(1+IF(C19=TRUE,F19,0)/100)*(1+IF(Skills!A9="TRIUMPH_FEATHER",IF(C15=TRUE,F15,0),0)/100)*(1+IF(C26=TRUE,F26,0)/100)^5*(1+(IF(Skills!A9="BIG_BANG",Inputs!$B$19,Inputs!$B$20))/100)*(Summary!$B$50*I9)</f>
        <v/>
      </c>
      <c r="L9">
        <f>K9*(MIN(Inputs!$B$24,Inputs!$B$25)/100+Inputs!$B$25/100)/2</f>
        <v/>
      </c>
      <c r="M9">
        <f>L9*(1+(Inputs!$B$12+Summary!$B$54)/100)</f>
        <v/>
      </c>
      <c r="N9">
        <f>L9*(1-MIN(Inputs!$B$11,100)/100)+M9*(MIN(Inputs!$B$11,100)/100)</f>
        <v/>
      </c>
      <c r="O9">
        <f>IF(C9,H9*N9*IF(AND(Inputs!$B$40&lt;&gt;"pvp",Inputs!$B$43&gt;0),((Skills!F9*((R9-1)*IF(Skills!G9&gt;0,Skills!H9/Skills!G9,1)+IF(Skills!G9&gt;0,MIN(Skills!H9,MAX(0,Inputs!$B$43-((R9-1)*IF(Inputs!$B$40="pvp",15,MAX(0.1,Skills!D9-IF(Skills!E9=TRUE,Inputs!$B$34,0))))))/Skills!G9,1)))/Inputs!$B$43),G9*Q9)*IF(Inputs!$B$40="pvp",1,(1-Summary!$B$48)*(1)+Summary!$B$48*(MIN(Skills!Q9,Inputs!$B$39))),0)</f>
        <v/>
      </c>
      <c r="P9">
        <f>IF(Summary!$B$3=0,0,O9/Summary!$B$3)</f>
        <v/>
      </c>
      <c r="Q9">
        <f>IFERROR(1/IF(Inputs!$B$40="pvp",15,MAX(0.1,Skills!D9-IF(Skills!E9=TRUE,Inputs!$B$34,0))),0)</f>
        <v/>
      </c>
      <c r="R9">
        <f>IF(AND(Inputs!$B$40&lt;&gt;"pvp",Inputs!$B$43&gt;0),(INT(Inputs!$B$43/IF(Inputs!$B$40="pvp",15,MAX(0.1,Skills!D9-IF(Skills!E9=TRUE,Inputs!$B$34,0))))+1),0)</f>
        <v/>
      </c>
    </row>
    <row r="10">
      <c r="A10">
        <f>Skills!A10</f>
        <v/>
      </c>
      <c r="B10">
        <f>Skills!B10</f>
        <v/>
      </c>
      <c r="C10">
        <f>Inputs!$B$3&gt;=66</f>
        <v/>
      </c>
      <c r="D10">
        <f>IF(Skills!C10=1,60+Inputs!$B$27+Inputs!$B$31,IF(Skills!C10=2,90+Inputs!$B$28+Inputs!$B$31,IF(Skills!C10=3,120+Inputs!$B$29+Inputs!$B$31,MAX(0,(Inputs!$B$3-100)*3)+Inputs!$B$30+Inputs!$B$31)))</f>
        <v/>
      </c>
      <c r="E10">
        <f>INDEX(FactorTable!$B$2:$Y$301, MATCH(ROUND(MIN(300,MAX(1,D10)),0), FactorTable!$A$2:$A$301,0), Skills!L10+1)</f>
        <v/>
      </c>
      <c r="F10" t="n">
        <v>0</v>
      </c>
      <c r="G10">
        <f>Skills!F10*IF(Skills!G10&gt;0,Skills!H10/Skills!G10,1)</f>
        <v/>
      </c>
      <c r="H10">
        <f>1-(1-Skills!I10/100)^Skills!J10</f>
        <v/>
      </c>
      <c r="I10">
        <f>IF(Skills!T10&lt;&gt;"",1+(Skills!T10/10)*($Z$3/1000)/100,1)</f>
        <v/>
      </c>
      <c r="J10" t="inlineStr"/>
      <c r="K10" t="inlineStr"/>
      <c r="L10" t="inlineStr"/>
      <c r="M10" t="inlineStr"/>
      <c r="N10" t="inlineStr"/>
      <c r="O10" t="n">
        <v>0</v>
      </c>
      <c r="P10">
        <f>IF(Summary!$B$3=0,0,O10/Summary!$B$3)</f>
        <v/>
      </c>
      <c r="Q10">
        <f>IFERROR(1/IF(Inputs!$B$40="pvp",15,MAX(0.1,Skills!D10-IF(Skills!E10=TRUE,Inputs!$B$34,0))),0)</f>
        <v/>
      </c>
      <c r="R10">
        <f>IF(AND(Inputs!$B$40&lt;&gt;"pvp",Inputs!$B$43&gt;0),(INT(Inputs!$B$43/IF(Inputs!$B$40="pvp",15,MAX(0.1,Skills!D10-IF(Skills!E10=TRUE,Inputs!$B$34,0))))+1),0)</f>
        <v/>
      </c>
    </row>
    <row r="11">
      <c r="A11">
        <f>Skills!A11</f>
        <v/>
      </c>
      <c r="B11">
        <f>Skills!B11</f>
        <v/>
      </c>
      <c r="C11">
        <f>Inputs!$B$3&gt;=69</f>
        <v/>
      </c>
      <c r="D11">
        <f>IF(Skills!C11=1,60+Inputs!$B$27+Inputs!$B$31,IF(Skills!C11=2,90+Inputs!$B$28+Inputs!$B$31,IF(Skills!C11=3,120+Inputs!$B$29+Inputs!$B$31,MAX(0,(Inputs!$B$3-100)*3)+Inputs!$B$30+Inputs!$B$31)))</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t="inlineStr"/>
      <c r="K11" t="inlineStr"/>
      <c r="L11" t="inlineStr"/>
      <c r="M11" t="inlineStr"/>
      <c r="N11" t="inlineStr"/>
      <c r="O11" t="n">
        <v>0</v>
      </c>
      <c r="P11">
        <f>IF(Summary!$B$3=0,0,O11/Summary!$B$3)</f>
        <v/>
      </c>
      <c r="Q11">
        <f>IFERROR(1/IF(Inputs!$B$40="pvp",15,MAX(0.1,Skills!D11-IF(Skills!E11=TRUE,Inputs!$B$34,0))),0)</f>
        <v/>
      </c>
      <c r="R11">
        <f>IF(AND(Inputs!$B$40&lt;&gt;"pvp",Inputs!$B$43&gt;0),(INT(Inputs!$B$43/IF(Inputs!$B$40="pvp",15,MAX(0.1,Skills!D11-IF(Skills!E11=TRUE,Inputs!$B$34,0))))+1),0)</f>
        <v/>
      </c>
    </row>
    <row r="12">
      <c r="A12">
        <f>Skills!A12</f>
        <v/>
      </c>
      <c r="B12">
        <f>Skills!B12</f>
        <v/>
      </c>
      <c r="C12">
        <f>Inputs!$B$3&gt;=72</f>
        <v/>
      </c>
      <c r="D12">
        <f>IF(Skills!C12=1,60+Inputs!$B$27+Inputs!$B$31,IF(Skills!C12=2,90+Inputs!$B$28+Inputs!$B$31,IF(Skills!C12=3,120+Inputs!$B$29+Inputs!$B$31,MAX(0,(Inputs!$B$3-100)*3)+Inputs!$B$30+Inputs!$B$31)))</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t="inlineStr"/>
      <c r="K12" t="inlineStr"/>
      <c r="L12" t="inlineStr"/>
      <c r="M12" t="inlineStr"/>
      <c r="N12" t="inlineStr"/>
      <c r="O12" t="n">
        <v>0</v>
      </c>
      <c r="P12">
        <f>IF(Summary!$B$3=0,0,O12/Summary!$B$3)</f>
        <v/>
      </c>
      <c r="Q12">
        <f>IFERROR(1/IF(Inputs!$B$40="pvp",15,MAX(0.1,Skills!D12-IF(Skills!E12=TRUE,Inputs!$B$34,0))),0)</f>
        <v/>
      </c>
      <c r="R12">
        <f>IF(AND(Inputs!$B$40&lt;&gt;"pvp",Inputs!$B$43&gt;0),(INT(Inputs!$B$43/IF(Inputs!$B$40="pvp",15,MAX(0.1,Skills!D12-IF(Skills!E12=TRUE,Inputs!$B$34,0))))+1),0)</f>
        <v/>
      </c>
    </row>
    <row r="13">
      <c r="A13">
        <f>Skills!A13</f>
        <v/>
      </c>
      <c r="B13">
        <f>Skills!B13</f>
        <v/>
      </c>
      <c r="C13">
        <f>Inputs!$B$3&gt;=107</f>
        <v/>
      </c>
      <c r="D13">
        <f>IF(Skills!C13=1,60+Inputs!$B$27+Inputs!$B$31,IF(Skills!C13=2,90+Inputs!$B$28+Inputs!$B$31,IF(Skills!C13=3,120+Inputs!$B$29+Inputs!$B$31,MAX(0,(Inputs!$B$3-100)*3)+Inputs!$B$30+Inputs!$B$31)))</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t="n">
        <v>0</v>
      </c>
      <c r="P13">
        <f>IF(Summary!$B$3=0,0,O13/Summary!$B$3)</f>
        <v/>
      </c>
      <c r="Q13">
        <f>IFERROR(1/IF(Inputs!$B$40="pvp",15,MAX(0.1,Skills!D13-IF(Skills!E13=TRUE,Inputs!$B$34,0))),0)</f>
        <v/>
      </c>
      <c r="R13">
        <f>IF(AND(Inputs!$B$40&lt;&gt;"pvp",Inputs!$B$43&gt;0),(INT(Inputs!$B$43/IF(Inputs!$B$40="pvp",15,MAX(0.1,Skills!D13-IF(Skills!E13=TRUE,Inputs!$B$34,0))))+1),0)</f>
        <v/>
      </c>
    </row>
    <row r="14">
      <c r="A14">
        <f>Skills!A14</f>
        <v/>
      </c>
      <c r="B14">
        <f>Skills!B14</f>
        <v/>
      </c>
      <c r="C14">
        <f>Inputs!$B$3&gt;=63</f>
        <v/>
      </c>
      <c r="D14">
        <f>IF(Skills!C14=1,60+Inputs!$B$27+Inputs!$B$31,IF(Skills!C14=2,90+Inputs!$B$28+Inputs!$B$31,IF(Skills!C14=3,120+Inputs!$B$29+Inputs!$B$31,MAX(0,(Inputs!$B$3-100)*3)+Inputs!$B$30+Inputs!$B$31)))</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f>Summary!$B$43*(F14/100)</f>
        <v/>
      </c>
      <c r="K14">
        <f>J14*(1+Summary!$B$44/100)*(1+(Inputs!$B$17+Summary!$B$53)/100)*(1+IF(Inputs!$B$40="pvp",0,(1-Summary!$B$48)*(Inputs!$B$22+Skills!O14+Summary!$B$51)+Summary!$B$48*(Inputs!$B$23+Skills!P14+Summary!$B$52))/100)*(1+Inputs!$B$18/100)*(5000/(6000+Inputs!$B$42*(1-Inputs!$B$21/100)))*(1+Inputs!$B$26/100)*(1+IF(C17=TRUE,F17,0)/100)*(1+IF(C19=TRUE,F19,0)/100)*(1+IF(Skills!A14="TRIUMPH_FEATHER",IF(C15=TRUE,F15,0),0)/100)*(1+IF(C26=TRUE,F26,0)/100)^5*(1+(IF(Skills!A14="BIG_BANG",Inputs!$B$19,Inputs!$B$20))/100)*(Summary!$B$50*I14)</f>
        <v/>
      </c>
      <c r="L14">
        <f>K14*(MIN(Inputs!$B$24,Inputs!$B$25)/100+Inputs!$B$25/100)/2</f>
        <v/>
      </c>
      <c r="M14">
        <f>L14*(1+(Inputs!$B$12+Summary!$B$54)/100)</f>
        <v/>
      </c>
      <c r="N14">
        <f>L14*(1-MIN(Inputs!$B$11,100)/100)+M14*(MIN(Inputs!$B$11,100)/100)</f>
        <v/>
      </c>
      <c r="O14">
        <f>IF(C14,Skills!F14*N14*((IF(Inputs!$B$3&gt;=78,25,15)/100*Summary!$B$56*10)/(1+IF(Inputs!$B$3&gt;=78,25,15)/100*Summary!$B$56*10))*(Skills!I14/100*Summary!$B$56)/(1+Skills!G14*Skills!I14/100*Summary!$B$56)*IF(Inputs!$B$40="pvp",1,(1-Summary!$B$48)*(1)+Summary!$B$48*(MIN(Skills!Q14,Inputs!$B$39))),0)</f>
        <v/>
      </c>
      <c r="P14">
        <f>IF(Summary!$B$3=0,0,O14/Summary!$B$3)</f>
        <v/>
      </c>
      <c r="Q14">
        <f>IFERROR(1/IF(Inputs!$B$40="pvp",15,MAX(0.1,Skills!D14-IF(Skills!E14=TRUE,Inputs!$B$34,0))),0)</f>
        <v/>
      </c>
      <c r="R14" t="n">
        <v>0</v>
      </c>
    </row>
    <row r="15">
      <c r="A15">
        <f>Skills!A15</f>
        <v/>
      </c>
      <c r="B15">
        <f>Skills!B15</f>
        <v/>
      </c>
      <c r="C15">
        <f>Inputs!$B$3&gt;=100</f>
        <v/>
      </c>
      <c r="D15">
        <f>IF(Skills!C15=1,60+Inputs!$B$27+Inputs!$B$31,IF(Skills!C15=2,90+Inputs!$B$28+Inputs!$B$31,IF(Skills!C15=3,120+Inputs!$B$29+Inputs!$B$31,MAX(0,(Inputs!$B$3-100)*3)+Inputs!$B$30+Inputs!$B$31)))</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t="n">
        <v>0</v>
      </c>
      <c r="P15">
        <f>IF(Summary!$B$3=0,0,O15/Summary!$B$3)</f>
        <v/>
      </c>
      <c r="Q15">
        <f>IFERROR(1/IF(Inputs!$B$40="pvp",15,MAX(0.1,Skills!D15-IF(Skills!E15=TRUE,Inputs!$B$34,0))),0)</f>
        <v/>
      </c>
      <c r="R15" t="n">
        <v>0</v>
      </c>
    </row>
    <row r="16">
      <c r="A16">
        <f>Skills!A16</f>
        <v/>
      </c>
      <c r="B16">
        <f>Skills!B16</f>
        <v/>
      </c>
      <c r="C16">
        <f>Inputs!$B$3&gt;=49</f>
        <v/>
      </c>
      <c r="D16">
        <f>IF(Skills!C16=1,60+Inputs!$B$27+Inputs!$B$31,IF(Skills!C16=2,90+Inputs!$B$28+Inputs!$B$31,IF(Skills!C16=3,120+Inputs!$B$29+Inputs!$B$31,MAX(0,(Inputs!$B$3-100)*3)+Inputs!$B$30+Inputs!$B$31)))</f>
        <v/>
      </c>
      <c r="E16">
        <f>INDEX(FactorTable!$B$2:$Y$301, MATCH(ROUND(MIN(300,MAX(1,D16)),0), FactorTable!$A$2:$A$301,0), Skills!L16+1)</f>
        <v/>
      </c>
      <c r="F16">
        <f>IF(Skills!M16=TRUE,(Skills!K16/10)*(E16/1000),Skills!K16/10)+Skills!N16</f>
        <v/>
      </c>
      <c r="G16">
        <f>Skills!F16*IF(Skills!G16&gt;0,Skills!H16/Skills!G16,1)</f>
        <v/>
      </c>
      <c r="H16">
        <f>1-(1-Skills!I16/100)^Skills!J16</f>
        <v/>
      </c>
      <c r="I16">
        <f>IF(Skills!T16&lt;&gt;"",1+(Skills!T16/10)*($Z$3/1000)/100,1)</f>
        <v/>
      </c>
      <c r="J16" t="inlineStr"/>
      <c r="K16" t="inlineStr"/>
      <c r="L16" t="inlineStr"/>
      <c r="M16" t="inlineStr"/>
      <c r="N16" t="inlineStr"/>
      <c r="O16" t="n">
        <v>0</v>
      </c>
      <c r="P16">
        <f>IF(Summary!$B$3=0,0,O16/Summary!$B$3)</f>
        <v/>
      </c>
      <c r="Q16">
        <f>IFERROR(1/IF(Inputs!$B$40="pvp",15,MAX(0.1,Skills!D16-IF(Skills!E16=TRUE,Inputs!$B$34,0))),0)</f>
        <v/>
      </c>
      <c r="R16" t="n">
        <v>0</v>
      </c>
    </row>
    <row r="17">
      <c r="A17">
        <f>Skills!A17</f>
        <v/>
      </c>
      <c r="B17">
        <f>Skills!B17</f>
        <v/>
      </c>
      <c r="C17">
        <f>Inputs!$B$3&gt;=75</f>
        <v/>
      </c>
      <c r="D17">
        <f>IF(Skills!C17=1,60+Inputs!$B$27+Inputs!$B$31,IF(Skills!C17=2,90+Inputs!$B$28+Inputs!$B$31,IF(Skills!C17=3,120+Inputs!$B$29+Inputs!$B$31,MAX(0,(Inputs!$B$3-100)*3)+Inputs!$B$30+Inputs!$B$31)))</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t="n">
        <v>0</v>
      </c>
      <c r="P17">
        <f>IF(Summary!$B$3=0,0,O17/Summary!$B$3)</f>
        <v/>
      </c>
      <c r="Q17">
        <f>IFERROR(1/IF(Inputs!$B$40="pvp",15,MAX(0.1,Skills!D17-IF(Skills!E17=TRUE,Inputs!$B$34,0))),0)</f>
        <v/>
      </c>
      <c r="R17" t="n">
        <v>0</v>
      </c>
    </row>
    <row r="18">
      <c r="A18">
        <f>Skills!A18</f>
        <v/>
      </c>
      <c r="B18">
        <f>Skills!B18</f>
        <v/>
      </c>
      <c r="C18">
        <f>Inputs!$B$3&gt;=110</f>
        <v/>
      </c>
      <c r="D18">
        <f>IF(Skills!C18=1,60+Inputs!$B$27+Inputs!$B$31,IF(Skills!C18=2,90+Inputs!$B$28+Inputs!$B$31,IF(Skills!C18=3,120+Inputs!$B$29+Inputs!$B$31,MAX(0,(Inputs!$B$3-100)*3)+Inputs!$B$30+Inputs!$B$31)))</f>
        <v/>
      </c>
      <c r="E18">
        <f>INDEX(FactorTable!$B$2:$Y$301, MATCH(ROUND(MIN(300,MAX(1,D18)),0), FactorTable!$A$2:$A$301,0), Skills!L18+1)</f>
        <v/>
      </c>
      <c r="F18">
        <f>(Skills!K18/10)*(E18/1000)*64/45+Skills!N18</f>
        <v/>
      </c>
      <c r="G18">
        <f>Skills!F18*IF(Skills!G18&gt;0,Skills!H18/Skills!G18,1)</f>
        <v/>
      </c>
      <c r="H18">
        <f>1-(1-Skills!I18/100)^Skills!J18</f>
        <v/>
      </c>
      <c r="I18">
        <f>IF(Skills!T18&lt;&gt;"",1+(Skills!T18/10)*($Z$3/1000)/100,1)</f>
        <v/>
      </c>
      <c r="J18" t="inlineStr"/>
      <c r="K18" t="inlineStr"/>
      <c r="L18" t="inlineStr"/>
      <c r="M18" t="inlineStr"/>
      <c r="N18" t="inlineStr"/>
      <c r="O18" t="n">
        <v>0</v>
      </c>
      <c r="P18">
        <f>IF(Summary!$B$3=0,0,O18/Summary!$B$3)</f>
        <v/>
      </c>
      <c r="Q18">
        <f>IFERROR(1/IF(Inputs!$B$40="pvp",15,MAX(0.1,Skills!D18-IF(Skills!E18=TRUE,Inputs!$B$34,0))),0)</f>
        <v/>
      </c>
      <c r="R18">
        <f>IF(AND(Inputs!$B$40&lt;&gt;"pvp",Inputs!$B$43&gt;0),(INT(Inputs!$B$43/IF(Inputs!$B$40="pvp",15,MAX(0.1,Skills!D18-IF(Skills!E18=TRUE,Inputs!$B$34,0))))+1),0)</f>
        <v/>
      </c>
    </row>
    <row r="19">
      <c r="A19">
        <f>Skills!A19</f>
        <v/>
      </c>
      <c r="B19">
        <f>Skills!B19</f>
        <v/>
      </c>
      <c r="C19">
        <f>Inputs!$B$3&gt;=125</f>
        <v/>
      </c>
      <c r="D19">
        <f>IF(Skills!C19=1,60+Inputs!$B$27+Inputs!$B$31,IF(Skills!C19=2,90+Inputs!$B$28+Inputs!$B$31,IF(Skills!C19=3,120+Inputs!$B$29+Inputs!$B$31,MAX(0,(Inputs!$B$3-100)*3)+Inputs!$B$30+Inputs!$B$31)))</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t="n">
        <v>0</v>
      </c>
      <c r="P19">
        <f>IF(Summary!$B$3=0,0,O19/Summary!$B$3)</f>
        <v/>
      </c>
      <c r="Q19">
        <f>IFERROR(1/IF(Inputs!$B$40="pvp",15,MAX(0.1,Skills!D19-IF(Skills!E19=TRUE,Inputs!$B$34,0))),0)</f>
        <v/>
      </c>
      <c r="R19" t="n">
        <v>0</v>
      </c>
    </row>
    <row r="20">
      <c r="A20">
        <f>Skills!A20</f>
        <v/>
      </c>
      <c r="B20">
        <f>Skills!B20</f>
        <v/>
      </c>
      <c r="C20">
        <f>Inputs!$B$3&gt;=33</f>
        <v/>
      </c>
      <c r="D20">
        <f>IF(Skills!C20=1,60+Inputs!$B$27+Inputs!$B$31,IF(Skills!C20=2,90+Inputs!$B$28+Inputs!$B$31,IF(Skills!C20=3,120+Inputs!$B$29+Inputs!$B$31,MAX(0,(Inputs!$B$3-100)*3)+Inputs!$B$30+Inputs!$B$31)))</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t="n">
        <v>0</v>
      </c>
      <c r="P20">
        <f>IF(Summary!$B$3=0,0,O20/Summary!$B$3)</f>
        <v/>
      </c>
      <c r="Q20">
        <f>IFERROR(1/IF(Inputs!$B$40="pvp",15,MAX(0.1,Skills!D20-IF(Skills!E20=TRUE,Inputs!$B$34,0))),0)</f>
        <v/>
      </c>
      <c r="R20" t="n">
        <v>0</v>
      </c>
    </row>
    <row r="21">
      <c r="A21">
        <f>Skills!A21</f>
        <v/>
      </c>
      <c r="B21">
        <f>Skills!B21</f>
        <v/>
      </c>
      <c r="C21">
        <f>Inputs!$B$3&gt;=43</f>
        <v/>
      </c>
      <c r="D21">
        <f>IF(Skills!C21=1,60+Inputs!$B$27+Inputs!$B$31,IF(Skills!C21=2,90+Inputs!$B$28+Inputs!$B$31,IF(Skills!C21=3,120+Inputs!$B$29+Inputs!$B$31,MAX(0,(Inputs!$B$3-100)*3)+Inputs!$B$30+Inputs!$B$31)))</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t="n">
        <v>0</v>
      </c>
      <c r="P21">
        <f>IF(Summary!$B$3=0,0,O21/Summary!$B$3)</f>
        <v/>
      </c>
      <c r="Q21">
        <f>IFERROR(1/IF(Inputs!$B$40="pvp",15,MAX(0.1,Skills!D21-IF(Skills!E21=TRUE,Inputs!$B$34,0))),0)</f>
        <v/>
      </c>
      <c r="R21" t="n">
        <v>0</v>
      </c>
    </row>
    <row r="22">
      <c r="A22">
        <f>Skills!A22</f>
        <v/>
      </c>
      <c r="B22">
        <f>Skills!B22</f>
        <v/>
      </c>
      <c r="C22">
        <f>Inputs!$B$3&gt;=50</f>
        <v/>
      </c>
      <c r="D22">
        <f>IF(Skills!C22=1,60+Inputs!$B$27+Inputs!$B$31,IF(Skills!C22=2,90+Inputs!$B$28+Inputs!$B$31,IF(Skills!C22=3,120+Inputs!$B$29+Inputs!$B$31,MAX(0,(Inputs!$B$3-100)*3)+Inputs!$B$30+Inputs!$B$31)))</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t="n">
        <v>0</v>
      </c>
      <c r="P22">
        <f>IF(Summary!$B$3=0,0,O22/Summary!$B$3)</f>
        <v/>
      </c>
      <c r="Q22">
        <f>IFERROR(1/IF(Inputs!$B$40="pvp",15,MAX(0.1,Skills!D22-IF(Skills!E22=TRUE,Inputs!$B$34,0))),0)</f>
        <v/>
      </c>
      <c r="R22" t="n">
        <v>0</v>
      </c>
    </row>
    <row r="23">
      <c r="A23">
        <f>Skills!A23</f>
        <v/>
      </c>
      <c r="B23">
        <f>Skills!B23</f>
        <v/>
      </c>
      <c r="C23">
        <f>Inputs!$B$3&gt;=74</f>
        <v/>
      </c>
      <c r="D23">
        <f>IF(Skills!C23=1,60+Inputs!$B$27+Inputs!$B$31,IF(Skills!C23=2,90+Inputs!$B$28+Inputs!$B$31,IF(Skills!C23=3,120+Inputs!$B$29+Inputs!$B$31,MAX(0,(Inputs!$B$3-100)*3)+Inputs!$B$30+Inputs!$B$31)))</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t="n">
        <v>0</v>
      </c>
      <c r="P23">
        <f>IF(Summary!$B$3=0,0,O23/Summary!$B$3)</f>
        <v/>
      </c>
      <c r="Q23">
        <f>IFERROR(1/IF(Inputs!$B$40="pvp",15,MAX(0.1,Skills!D23-IF(Skills!E23=TRUE,Inputs!$B$34,0))),0)</f>
        <v/>
      </c>
      <c r="R23" t="n">
        <v>0</v>
      </c>
    </row>
    <row r="24">
      <c r="A24">
        <f>Skills!A24</f>
        <v/>
      </c>
      <c r="B24">
        <f>Skills!B24</f>
        <v/>
      </c>
      <c r="C24">
        <f>Inputs!$B$3&gt;=74</f>
        <v/>
      </c>
      <c r="D24">
        <f>IF(Skills!C24=1,60+Inputs!$B$27+Inputs!$B$31,IF(Skills!C24=2,90+Inputs!$B$28+Inputs!$B$31,IF(Skills!C24=3,120+Inputs!$B$29+Inputs!$B$31,MAX(0,(Inputs!$B$3-100)*3)+Inputs!$B$30+Inputs!$B$31)))</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t="n">
        <v>0</v>
      </c>
      <c r="P24">
        <f>IF(Summary!$B$3=0,0,O24/Summary!$B$3)</f>
        <v/>
      </c>
      <c r="Q24">
        <f>IFERROR(1/IF(Inputs!$B$40="pvp",15,MAX(0.1,Skills!D24-IF(Skills!E24=TRUE,Inputs!$B$34,0))),0)</f>
        <v/>
      </c>
      <c r="R24" t="n">
        <v>0</v>
      </c>
    </row>
    <row r="25">
      <c r="A25">
        <f>Skills!A25</f>
        <v/>
      </c>
      <c r="B25">
        <f>Skills!B25</f>
        <v/>
      </c>
      <c r="C25">
        <f>Inputs!$B$3&gt;=117</f>
        <v/>
      </c>
      <c r="D25">
        <f>IF(Skills!C25=1,60+Inputs!$B$27+Inputs!$B$31,IF(Skills!C25=2,90+Inputs!$B$28+Inputs!$B$31,IF(Skills!C25=3,120+Inputs!$B$29+Inputs!$B$31,MAX(0,(Inputs!$B$3-100)*3)+Inputs!$B$30+Inputs!$B$31)))</f>
        <v/>
      </c>
      <c r="E25">
        <f>INDEX(FactorTable!$B$2:$Y$301, MATCH(ROUND(MIN(300,MAX(1,D25)),0), FactorTable!$A$2:$A$301,0), Skills!L25+1)</f>
        <v/>
      </c>
      <c r="F25">
        <f>IF(Skills!M25=TRUE,(Skills!K25/10)*(E25/1000),Skills!K25/10)+Skills!N25</f>
        <v/>
      </c>
      <c r="G25">
        <f>Skills!F25*IF(Skills!G25&gt;0,Skills!H25/Skills!G25,1)</f>
        <v/>
      </c>
      <c r="H25">
        <f>1-(1-Skills!I25/100)^Skills!J25</f>
        <v/>
      </c>
      <c r="I25">
        <f>IF(Skills!T25&lt;&gt;"",1+(Skills!T25/10)*($Z$3/1000)/100,1)</f>
        <v/>
      </c>
      <c r="J25" t="inlineStr"/>
      <c r="K25" t="inlineStr"/>
      <c r="L25" t="inlineStr"/>
      <c r="M25" t="inlineStr"/>
      <c r="N25" t="inlineStr"/>
      <c r="O25" t="n">
        <v>0</v>
      </c>
      <c r="P25">
        <f>IF(Summary!$B$3=0,0,O25/Summary!$B$3)</f>
        <v/>
      </c>
      <c r="Q25">
        <f>IFERROR(1/IF(Inputs!$B$40="pvp",15,MAX(0.1,Skills!D25-IF(Skills!E25=TRUE,Inputs!$B$34,0))),0)</f>
        <v/>
      </c>
      <c r="R25" t="n">
        <v>0</v>
      </c>
    </row>
    <row r="26">
      <c r="A26">
        <f>Skills!A26</f>
        <v/>
      </c>
      <c r="B26">
        <f>Skills!B26</f>
        <v/>
      </c>
      <c r="C26">
        <f>Inputs!$B$3&gt;=120</f>
        <v/>
      </c>
      <c r="D26">
        <f>IF(Skills!C26=1,60+Inputs!$B$27+Inputs!$B$31,IF(Skills!C26=2,90+Inputs!$B$28+Inputs!$B$31,IF(Skills!C26=3,120+Inputs!$B$29+Inputs!$B$31,MAX(0,(Inputs!$B$3-100)*3)+Inputs!$B$30+Inputs!$B$31)))</f>
        <v/>
      </c>
      <c r="E26">
        <f>INDEX(FactorTable!$B$2:$Y$301, MATCH(ROUND(MIN(300,MAX(1,D26)),0), FactorTable!$A$2:$A$301,0), Skills!L26+1)</f>
        <v/>
      </c>
      <c r="F26">
        <f>IF(Skills!M26=TRUE,(Skills!K26/10)*(E26/1000),Skills!K26/10)+Skills!N26</f>
        <v/>
      </c>
      <c r="G26">
        <f>Skills!F26*IF(Skills!G26&gt;0,Skills!H26/Skills!G26,1)</f>
        <v/>
      </c>
      <c r="H26">
        <f>1-(1-Skills!I26/100)^Skills!J26</f>
        <v/>
      </c>
      <c r="I26">
        <f>IF(Skills!T26&lt;&gt;"",1+(Skills!T26/10)*($Z$3/1000)/100,1)</f>
        <v/>
      </c>
      <c r="J26" t="inlineStr"/>
      <c r="K26" t="inlineStr"/>
      <c r="L26" t="inlineStr"/>
      <c r="M26" t="inlineStr"/>
      <c r="N26" t="inlineStr"/>
      <c r="O26" t="n">
        <v>0</v>
      </c>
      <c r="P26">
        <f>IF(Summary!$B$3=0,0,O26/Summary!$B$3)</f>
        <v/>
      </c>
      <c r="Q26">
        <f>IFERROR(1/IF(Inputs!$B$40="pvp",15,MAX(0.1,Skills!D26-IF(Skills!E26=TRUE,Inputs!$B$34,0))),0)</f>
        <v/>
      </c>
      <c r="R26"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59"/>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Bishop — DPS Summary</t>
        </is>
      </c>
    </row>
    <row r="3">
      <c r="A3" s="10" t="inlineStr">
        <is>
          <t>TOTAL DPS</t>
        </is>
      </c>
      <c r="B3" s="10">
        <f>SUM(Calc!O2:O26)</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Calc!B6</f>
        <v/>
      </c>
      <c r="B8">
        <f>Calc!O6</f>
        <v/>
      </c>
      <c r="C8">
        <f>Calc!P6*100</f>
        <v/>
      </c>
    </row>
    <row r="9">
      <c r="A9">
        <f>Calc!B7</f>
        <v/>
      </c>
      <c r="B9">
        <f>Calc!O7</f>
        <v/>
      </c>
      <c r="C9">
        <f>Calc!P7*100</f>
        <v/>
      </c>
    </row>
    <row r="10">
      <c r="A10">
        <f>Calc!B8</f>
        <v/>
      </c>
      <c r="B10">
        <f>Calc!O8</f>
        <v/>
      </c>
      <c r="C10">
        <f>Calc!P8*100</f>
        <v/>
      </c>
    </row>
    <row r="11">
      <c r="A11">
        <f>Calc!B9</f>
        <v/>
      </c>
      <c r="B11">
        <f>Calc!O9</f>
        <v/>
      </c>
      <c r="C11">
        <f>Calc!P9*100</f>
        <v/>
      </c>
    </row>
    <row r="12">
      <c r="A12">
        <f>Calc!B14</f>
        <v/>
      </c>
      <c r="B12">
        <f>Calc!O14</f>
        <v/>
      </c>
      <c r="C12">
        <f>Calc!P14*100</f>
        <v/>
      </c>
    </row>
    <row r="13">
      <c r="A13" s="7" t="inlineStr">
        <is>
          <t>Marginal DPS &amp; Stat Value (see Sensitivity for full detail)</t>
        </is>
      </c>
    </row>
    <row r="15">
      <c r="A15" s="9" t="inlineStr">
        <is>
          <t>Stat</t>
        </is>
      </c>
      <c r="B15" s="9" t="inlineStr">
        <is>
          <t>DPS per +1</t>
        </is>
      </c>
      <c r="C15" s="9" t="inlineStr">
        <is>
          <t>Units per +1% DPS</t>
        </is>
      </c>
    </row>
    <row r="16">
      <c r="A16">
        <f>Sensitivity!A5</f>
        <v/>
      </c>
      <c r="B16">
        <f>Sensitivity!H5</f>
        <v/>
      </c>
      <c r="C16">
        <f>Sensitivity!B5</f>
        <v/>
      </c>
    </row>
    <row r="17">
      <c r="A17">
        <f>Sensitivity!A6</f>
        <v/>
      </c>
      <c r="B17">
        <f>Sensitivity!H6</f>
        <v/>
      </c>
      <c r="C17">
        <f>Sensitivity!B6</f>
        <v/>
      </c>
    </row>
    <row r="18">
      <c r="A18">
        <f>Sensitivity!A7</f>
        <v/>
      </c>
      <c r="B18">
        <f>Sensitivity!H7</f>
        <v/>
      </c>
      <c r="C18">
        <f>Sensitivity!B7</f>
        <v/>
      </c>
    </row>
    <row r="19">
      <c r="A19">
        <f>Sensitivity!A8</f>
        <v/>
      </c>
      <c r="B19">
        <f>Sensitivity!H8</f>
        <v/>
      </c>
      <c r="C19">
        <f>Sensitivity!B8</f>
        <v/>
      </c>
    </row>
    <row r="20">
      <c r="A20">
        <f>Sensitivity!A9</f>
        <v/>
      </c>
      <c r="B20">
        <f>Sensitivity!H9</f>
        <v/>
      </c>
      <c r="C20">
        <f>Sensitivity!B9</f>
        <v/>
      </c>
    </row>
    <row r="21">
      <c r="A21">
        <f>Sensitivity!A10</f>
        <v/>
      </c>
      <c r="B21">
        <f>Sensitivity!H10</f>
        <v/>
      </c>
      <c r="C21">
        <f>Sensitivity!B10</f>
        <v/>
      </c>
    </row>
    <row r="22">
      <c r="A22">
        <f>Sensitivity!A11</f>
        <v/>
      </c>
      <c r="B22">
        <f>Sensitivity!H11</f>
        <v/>
      </c>
      <c r="C22">
        <f>Sensitivity!B11</f>
        <v/>
      </c>
    </row>
    <row r="23">
      <c r="A23">
        <f>Sensitivity!A12</f>
        <v/>
      </c>
      <c r="B23">
        <f>Sensitivity!H12</f>
        <v/>
      </c>
      <c r="C23">
        <f>Sensitivity!B12</f>
        <v/>
      </c>
    </row>
    <row r="24">
      <c r="A24">
        <f>Sensitivity!A13</f>
        <v/>
      </c>
      <c r="B24">
        <f>Sensitivity!H13</f>
        <v/>
      </c>
      <c r="C24">
        <f>Sensitivity!B13</f>
        <v/>
      </c>
    </row>
    <row r="25">
      <c r="A25">
        <f>Sensitivity!A14</f>
        <v/>
      </c>
      <c r="B25">
        <f>Sensitivity!H14</f>
        <v/>
      </c>
      <c r="C25">
        <f>Sensitivity!B14</f>
        <v/>
      </c>
    </row>
    <row r="26">
      <c r="A26">
        <f>Sensitivity!A15</f>
        <v/>
      </c>
      <c r="B26">
        <f>Sensitivity!H15</f>
        <v/>
      </c>
      <c r="C26">
        <f>Sensitivity!B15</f>
        <v/>
      </c>
    </row>
    <row r="27">
      <c r="A27">
        <f>Sensitivity!A16</f>
        <v/>
      </c>
      <c r="B27">
        <f>Sensitivity!H16</f>
        <v/>
      </c>
      <c r="C27">
        <f>Sensitivity!B16</f>
        <v/>
      </c>
    </row>
    <row r="28">
      <c r="A28">
        <f>Sensitivity!A17</f>
        <v/>
      </c>
      <c r="B28">
        <f>Sensitivity!H17</f>
        <v/>
      </c>
      <c r="C28">
        <f>Sensitivity!B17</f>
        <v/>
      </c>
    </row>
    <row r="29">
      <c r="A29">
        <f>Sensitivity!A18</f>
        <v/>
      </c>
      <c r="B29">
        <f>Sensitivity!H18</f>
        <v/>
      </c>
      <c r="C29">
        <f>Sensitivity!B18</f>
        <v/>
      </c>
    </row>
    <row r="30">
      <c r="A30">
        <f>Sensitivity!A19</f>
        <v/>
      </c>
      <c r="B30">
        <f>Sensitivity!H19</f>
        <v/>
      </c>
      <c r="C30">
        <f>Sensitivity!B19</f>
        <v/>
      </c>
    </row>
    <row r="31">
      <c r="A31">
        <f>Sensitivity!A20</f>
        <v/>
      </c>
      <c r="B31">
        <f>Sensitivity!H20</f>
        <v/>
      </c>
      <c r="C31">
        <f>Sensitivity!B20</f>
        <v/>
      </c>
    </row>
    <row r="32">
      <c r="A32">
        <f>Sensitivity!A21</f>
        <v/>
      </c>
      <c r="B32">
        <f>Sensitivity!H21</f>
        <v/>
      </c>
      <c r="C32">
        <f>Sensitivity!B21</f>
        <v/>
      </c>
    </row>
    <row r="33">
      <c r="A33">
        <f>Sensitivity!A22</f>
        <v/>
      </c>
      <c r="B33">
        <f>Sensitivity!H22</f>
        <v/>
      </c>
      <c r="C33">
        <f>Sensitivity!B22</f>
        <v/>
      </c>
    </row>
    <row r="34">
      <c r="A34">
        <f>Sensitivity!A23</f>
        <v/>
      </c>
      <c r="B34">
        <f>Sensitivity!H23</f>
        <v/>
      </c>
      <c r="C34">
        <f>Sensitivity!B23</f>
        <v/>
      </c>
    </row>
    <row r="35">
      <c r="A35">
        <f>Sensitivity!A24</f>
        <v/>
      </c>
      <c r="B35">
        <f>Sensitivity!H24</f>
        <v/>
      </c>
      <c r="C35">
        <f>Sensitivity!B24</f>
        <v/>
      </c>
    </row>
    <row r="36">
      <c r="A36">
        <f>Sensitivity!A25</f>
        <v/>
      </c>
      <c r="B36">
        <f>Sensitivity!H25</f>
        <v/>
      </c>
      <c r="C36">
        <f>Sensitivity!B25</f>
        <v/>
      </c>
    </row>
    <row r="37">
      <c r="A37">
        <f>Sensitivity!A26</f>
        <v/>
      </c>
      <c r="B37">
        <f>Sensitivity!H26</f>
        <v/>
      </c>
      <c r="C37">
        <f>Sensitivity!B26</f>
        <v/>
      </c>
    </row>
    <row r="38">
      <c r="A38">
        <f>Sensitivity!A27</f>
        <v/>
      </c>
      <c r="B38">
        <f>Sensitivity!H27</f>
        <v/>
      </c>
      <c r="C38">
        <f>Sensitivity!B27</f>
        <v/>
      </c>
    </row>
    <row r="39">
      <c r="A39">
        <f>Sensitivity!A28</f>
        <v/>
      </c>
      <c r="B39">
        <f>Sensitivity!H28</f>
        <v/>
      </c>
      <c r="C39">
        <f>Sensitivity!B28</f>
        <v/>
      </c>
    </row>
    <row r="40">
      <c r="A40">
        <f>Sensitivity!A29</f>
        <v/>
      </c>
      <c r="B40">
        <f>Sensitivity!H29</f>
        <v/>
      </c>
      <c r="C40">
        <f>Sensitivity!B29</f>
        <v/>
      </c>
    </row>
    <row r="41">
      <c r="A41">
        <f>Sensitivity!A30</f>
        <v/>
      </c>
      <c r="B41">
        <f>Sensitivity!H30</f>
        <v/>
      </c>
      <c r="C41">
        <f>Sensitivity!B30</f>
        <v/>
      </c>
    </row>
    <row r="42">
      <c r="A42" s="7">
        <f>Sensitivity!A31</f>
        <v/>
      </c>
      <c r="B42">
        <f>Sensitivity!H31</f>
        <v/>
      </c>
      <c r="C42">
        <f>Sensitivity!B31</f>
        <v/>
      </c>
    </row>
    <row r="43">
      <c r="A43" t="inlineStr">
        <is>
          <t>ATTACK (= Flat ATTACK x (1+ATTACK%/100))</t>
        </is>
      </c>
      <c r="B43">
        <f>Inputs!$B$7*(1+Inputs!$B$8/100)</f>
        <v/>
      </c>
    </row>
    <row r="44">
      <c r="A44" t="inlineStr">
        <is>
          <t>STAT_DAMAGE % (= 1% of total INT [incl. Invincible's Defense-&gt; INT] + 0.25% of LUK)</t>
        </is>
      </c>
      <c r="B44">
        <f>((Inputs!$B$14+IF(Inputs!$B$3&gt;=35,0.10*(Inputs!$B$9*(1+Inputs!$B$10/100)),0))*(1+Inputs!$B$15/100))*0.01+Inputs!$B$16*0.0025</f>
        <v/>
      </c>
    </row>
    <row r="45">
      <c r="A45" t="inlineStr">
        <is>
          <t>Basic Attack (Big Bang) Input Level (4th job formula)</t>
        </is>
      </c>
      <c r="B45">
        <f>MAX(0,(Inputs!$B$3-100)*3)+Inputs!$B$30+Inputs!$B$31</f>
        <v/>
      </c>
    </row>
    <row r="46">
      <c r="A46" t="inlineStr">
        <is>
          <t>Basic Attack Factor (factorIndex 21, from Big Bang == Chain Lightning reuse)</t>
        </is>
      </c>
      <c r="B46">
        <f>INDEX(FactorTable!$B$2:$Y$301, MATCH(ROUND(MIN(300,MAX(1,Summary!$B$45)),0), FactorTable!$A$2:$A$301,0), 22)</f>
        <v/>
      </c>
    </row>
    <row r="47">
      <c r="A47" t="inlineStr">
        <is>
          <t>SKILL_COEFFICIENT — Big Bang base coefficient % (before Skill Mastery)</t>
        </is>
      </c>
      <c r="B47">
        <f>290*Summary!$B$46/1000</f>
        <v/>
      </c>
    </row>
    <row r="48">
      <c r="A48" t="inlineStr">
        <is>
          <t>Normal-Monster Weight (= 0 for boss, 1 for normal, Breakthrough Normal Weight % for breakthrough, 0 for pvp)</t>
        </is>
      </c>
      <c r="B48">
        <f>IF(Inputs!$B$40="normal",1,IF(Inputs!$B$40="breakthrough",Inputs!$B$38/100,0))</f>
        <v/>
      </c>
    </row>
    <row r="50">
      <c r="A50" t="inlineStr">
        <is>
          <t>Average Buff Multiplier (Magic Guard + Heal + Bless + Holy Magic Shell, summed; then Advanced Blessing, Infinity)</t>
        </is>
      </c>
      <c r="B50">
        <f>(1+(IF(Calc!C3=TRUE,Calc!F3*IF(AND(Inputs!$B$40&lt;&gt;"pvp",Inputs!$B$43&gt;0),(((Calc!R3-1)*(Skills!S3*(1+(Inputs!$B$36+IF(Inputs!$B$3&gt;=117,Calc!F25,0))/100))+MIN((Skills!S3*(1+(Inputs!$B$36+IF(Inputs!$B$3&gt;=117,Calc!F25,0))/100)),MAX(0,Inputs!$B$43-((Calc!R3-1)*Skills!D3))))/Inputs!$B$43),IF(Inputs!$B$40="pvp",MIN((Skills!S3*(1+(Inputs!$B$36+IF(Inputs!$B$3&gt;=117,Calc!F25,0))/100)),15)/15,(Skills!S3*(1+(Inputs!$B$36+IF(Inputs!$B$3&gt;=117,Calc!F25,0))/100))/Skills!D3)),0)+IF(Calc!C4=TRUE,Calc!F4*IF(AND(Inputs!$B$40&lt;&gt;"pvp",Inputs!$B$43&gt;0),(((Calc!R4-1)*(Skills!S4*(1+(Inputs!$B$36+IF(Inputs!$B$3&gt;=117,Calc!F25,0))/100))+MIN((Skills!S4*(1+(Inputs!$B$36+IF(Inputs!$B$3&gt;=117,Calc!F25,0))/100)),MAX(0,Inputs!$B$43-((Calc!R4-1)*Skills!D4))))/Inputs!$B$43),IF(Inputs!$B$40="pvp",MIN((Skills!S4*(1+(Inputs!$B$36+IF(Inputs!$B$3&gt;=117,Calc!F25,0))/100)),15)/15,(Skills!S4*(1+(Inputs!$B$36+IF(Inputs!$B$3&gt;=117,Calc!F25,0))/100))/Skills!D4)),0)+IF(Calc!C5=TRUE,Calc!F5*IF(AND(Inputs!$B$40&lt;&gt;"pvp",Inputs!$B$43&gt;0),(((Calc!R5-1)*(Skills!S5*(1+(Inputs!$B$36+IF(Inputs!$B$3&gt;=117,Calc!F25,0))/100))+MIN((Skills!S5*(1+(Inputs!$B$36+IF(Inputs!$B$3&gt;=117,Calc!F25,0))/100)),MAX(0,Inputs!$B$43-((Calc!R5-1)*Skills!D5))))/Inputs!$B$43),IF(Inputs!$B$40="pvp",MIN((Skills!S5*(1+(Inputs!$B$36+IF(Inputs!$B$3&gt;=117,Calc!F25,0))/100)),15)/15,(Skills!S5*(1+(Inputs!$B$36+IF(Inputs!$B$3&gt;=117,Calc!F25,0))/100))/Skills!D5)),0)+IF(Calc!C11=TRUE,Calc!F11*IF(AND(Inputs!$B$40&lt;&gt;"pvp",Inputs!$B$43&gt;0),(((Calc!R11-1)*(Skills!S11*(1+(Inputs!$B$36+IF(Inputs!$B$3&gt;=117,Calc!F25,0))/100))+MIN((Skills!S11*(1+(Inputs!$B$36+IF(Inputs!$B$3&gt;=117,Calc!F25,0))/100)),MAX(0,Inputs!$B$43-((Calc!R11-1)*Skills!D11))))/Inputs!$B$43),IF(Inputs!$B$40="pvp",MIN((Skills!S11*(1+(Inputs!$B$36+IF(Inputs!$B$3&gt;=117,Calc!F25,0))/100)),15)/15,(Skills!S11*(1+(Inputs!$B$36+IF(Inputs!$B$3&gt;=117,Calc!F25,0))/100))/Skills!D11)),0))/100)*IF(Calc!C13=TRUE,(1+Calc!F13*IF(AND(Inputs!$B$40&lt;&gt;"pvp",Inputs!$B$43&gt;0),(((Calc!R13-1)*(Skills!S13*(1+(Inputs!$B$36+IF(Inputs!$B$3&gt;=117,Calc!F25,0))/100))+MIN((Skills!S13*(1+(Inputs!$B$36+IF(Inputs!$B$3&gt;=117,Calc!F25,0))/100)),MAX(0,Inputs!$B$43-((Calc!R13-1)*Skills!D13))))/Inputs!$B$43),IF(Inputs!$B$40="pvp",MIN((Skills!S13*(1+(Inputs!$B$36+IF(Inputs!$B$3&gt;=117,Calc!F25,0))/100)),15)/15,(Skills!S13*(1+(Inputs!$B$36+IF(Inputs!$B$3&gt;=117,Calc!F25,0))/100))/Skills!D13))/100),1)*IF(Calc!C18=TRUE,(1+Calc!F18*IF(AND(Inputs!$B$40&lt;&gt;"pvp",Inputs!$B$43&gt;0),(((Calc!R18-1)*(Skills!S18*(1+(Inputs!$B$36+IF(Inputs!$B$3&gt;=117,Calc!F25,0))/100))+MIN((Skills!S18*(1+(Inputs!$B$36+IF(Inputs!$B$3&gt;=117,Calc!F25,0))/100)),MAX(0,Inputs!$B$43-((Calc!R18-1)*Skills!D18))))/Inputs!$B$43),IF(Inputs!$B$40="pvp",MIN((Skills!S18*(1+(Inputs!$B$36+IF(Inputs!$B$3&gt;=117,Calc!F25,0))/100)),15)/15,(Skills!S18*(1+(Inputs!$B$36+IF(Inputs!$B$3&gt;=117,Calc!F25,0))/100))/Skills!D18))/100),1)</f>
        <v/>
      </c>
    </row>
    <row r="51">
      <c r="A51" t="inlineStr">
        <is>
          <t>Monster Damage Taken Bonus % (Holy Fountain - Boss Monster Damage, averaged)</t>
        </is>
      </c>
      <c r="B51">
        <f>IF(Inputs!$B$3&gt;=68,20*IF(Inputs!$B$40="pvp",MIN((15*(1+(Inputs!$B$36+IF(Inputs!$B$3&gt;=117,Calc!F25,0))/100)),15)/15,(15*(1+(Inputs!$B$36+IF(Inputs!$B$3&gt;=117,Calc!F25,0))/100))/Skills!D10),0)</f>
        <v/>
      </c>
    </row>
    <row r="52">
      <c r="A52" t="inlineStr">
        <is>
          <t>Normal Monster Damage Bonus % (Holy Symbol, averaged)</t>
        </is>
      </c>
      <c r="B52">
        <f>IF(Calc!C12=TRUE,Calc!F12*IF(AND(Inputs!$B$40&lt;&gt;"pvp",Inputs!$B$43&gt;0),(((Calc!R12-1)*(Skills!S12*(1+(Inputs!$B$36+IF(Inputs!$B$3&gt;=117,Calc!F25,0))/100))+MIN((Skills!S12*(1+(Inputs!$B$36+IF(Inputs!$B$3&gt;=117,Calc!F25,0))/100)),MAX(0,Inputs!$B$43-((Calc!R12-1)*Skills!D12))))/Inputs!$B$43),IF(Inputs!$B$40="pvp",MIN((Skills!S12*(1+(Inputs!$B$36+IF(Inputs!$B$3&gt;=117,Calc!F25,0))/100)),15)/15,(Skills!S12*(1+(Inputs!$B$36+IF(Inputs!$B$3&gt;=117,Calc!F25,0))/100))/Skills!D12)),0)</f>
        <v/>
      </c>
    </row>
    <row r="53">
      <c r="A53" t="inlineStr">
        <is>
          <t>Damage % Bonus (Holy Symbol - Damage Boost, solo-always-true)</t>
        </is>
      </c>
      <c r="B53">
        <f>Skills!O12</f>
        <v/>
      </c>
    </row>
    <row r="54">
      <c r="A54" t="inlineStr">
        <is>
          <t>Crit Damage % Bonus (Blood of the Divine, assumed 100% HP)</t>
        </is>
      </c>
      <c r="B54">
        <f>4*IF(Calc!C19=TRUE,Calc!F19,0)</f>
        <v/>
      </c>
    </row>
    <row r="55">
      <c r="A55" t="inlineStr">
        <is>
          <t>Attack Speed Bonus % (MP Eater - MP Boost + Blood of the Divine - Attack Speed, always-on)</t>
        </is>
      </c>
      <c r="B55">
        <f>IF(Calc!C16=TRUE,Calc!F16,0)+IF(Inputs!$B$3&gt;=134,15,0)</f>
        <v/>
      </c>
    </row>
    <row r="56">
      <c r="A56" t="inlineStr">
        <is>
          <t>Actions Per Second (Attack Speed combined via diminishing-returns stack, factor 150, then capped)</t>
        </is>
      </c>
      <c r="B56">
        <f>1+MIN(150,150*(1-(1-Inputs!$B$13/150)*(1-B55/150)))/100</f>
        <v/>
      </c>
    </row>
    <row r="57">
      <c r="A57" t="inlineStr">
        <is>
          <t>Skill + Buff Cast Rate (subtracted from Big Bang, 1/s)</t>
        </is>
      </c>
      <c r="B57">
        <f>IF(AND(Inputs!$B$40&lt;&gt;"pvp",Inputs!$B$43&gt;0),SUMPRODUCT((Skills!E2:E26=TRUE)*(Calc!C2:C26=TRUE)*Calc!R2:R26)/Inputs!$B$43,SUMPRODUCT((Skills!E2:E26=TRUE)*(Calc!C2:C26=TRUE)*Calc!Q2:Q26))</f>
        <v/>
      </c>
    </row>
    <row r="58">
      <c r="A58" t="inlineStr">
        <is>
          <t>Big Bang Casts Per Second (basic-attack rate)</t>
        </is>
      </c>
      <c r="B58">
        <f>MAX(0,B56-B57)</f>
        <v/>
      </c>
    </row>
    <row r="59">
      <c r="A59" t="inlineStr">
        <is>
          <t>Big Bang DPS</t>
        </is>
      </c>
      <c r="B59">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1138"/>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INT</t>
        </is>
      </c>
      <c r="B5">
        <f>IFERROR(1/(I5-100),"n/a")</f>
        <v/>
      </c>
      <c r="C5" t="inlineStr">
        <is>
          <t>flat</t>
        </is>
      </c>
      <c r="D5">
        <f>Inputs!$B$14</f>
        <v/>
      </c>
      <c r="E5">
        <f>(Inputs!$B$14+1)</f>
        <v/>
      </c>
      <c r="F5">
        <f>Summary!$B$3</f>
        <v/>
      </c>
      <c r="G5">
        <f>B72</f>
        <v/>
      </c>
      <c r="H5">
        <f>G5-F5</f>
        <v/>
      </c>
      <c r="I5">
        <f>IF(F5=0,0,G5/F5*100)</f>
        <v/>
      </c>
    </row>
    <row r="6">
      <c r="A6" t="inlineStr">
        <is>
          <t>INT %</t>
        </is>
      </c>
      <c r="B6">
        <f>IFERROR(1/(I6-100),"n/a")</f>
        <v/>
      </c>
      <c r="C6" t="inlineStr">
        <is>
          <t>pct</t>
        </is>
      </c>
      <c r="D6">
        <f>Inputs!$B$15</f>
        <v/>
      </c>
      <c r="E6">
        <f>(Inputs!$B$15+1)</f>
        <v/>
      </c>
      <c r="F6">
        <f>Summary!$B$3</f>
        <v/>
      </c>
      <c r="G6">
        <f>B113</f>
        <v/>
      </c>
      <c r="H6">
        <f>G6-F6</f>
        <v/>
      </c>
      <c r="I6">
        <f>IF(F6=0,0,G6/F6*100)</f>
        <v/>
      </c>
    </row>
    <row r="7">
      <c r="A7" t="inlineStr">
        <is>
          <t>Defense (flat) — Invincible converts 10% into INT</t>
        </is>
      </c>
      <c r="B7">
        <f>IFERROR(1/(I7-100),"n/a")</f>
        <v/>
      </c>
      <c r="C7" t="inlineStr">
        <is>
          <t>flat</t>
        </is>
      </c>
      <c r="D7">
        <f>Inputs!$B$9</f>
        <v/>
      </c>
      <c r="E7">
        <f>(Inputs!$B$9+1)</f>
        <v/>
      </c>
      <c r="F7">
        <f>Summary!$B$3</f>
        <v/>
      </c>
      <c r="G7">
        <f>B154</f>
        <v/>
      </c>
      <c r="H7">
        <f>G7-F7</f>
        <v/>
      </c>
      <c r="I7">
        <f>IF(F7=0,0,G7/F7*100)</f>
        <v/>
      </c>
    </row>
    <row r="8">
      <c r="A8" t="inlineStr">
        <is>
          <t>Defense %</t>
        </is>
      </c>
      <c r="B8">
        <f>IFERROR(1/(I8-100),"n/a")</f>
        <v/>
      </c>
      <c r="C8" t="inlineStr">
        <is>
          <t>pct</t>
        </is>
      </c>
      <c r="D8">
        <f>Inputs!$B$10</f>
        <v/>
      </c>
      <c r="E8">
        <f>(Inputs!$B$10+1)</f>
        <v/>
      </c>
      <c r="F8">
        <f>Summary!$B$3</f>
        <v/>
      </c>
      <c r="G8">
        <f>B195</f>
        <v/>
      </c>
      <c r="H8">
        <f>G8-F8</f>
        <v/>
      </c>
      <c r="I8">
        <f>IF(F8=0,0,G8/F8*100)</f>
        <v/>
      </c>
    </row>
    <row r="9">
      <c r="A9" t="inlineStr">
        <is>
          <t>DAMAGE %</t>
        </is>
      </c>
      <c r="B9">
        <f>IFERROR(1/(I9-100),"n/a")</f>
        <v/>
      </c>
      <c r="C9" t="inlineStr">
        <is>
          <t>pct</t>
        </is>
      </c>
      <c r="D9">
        <f>Inputs!$B$17</f>
        <v/>
      </c>
      <c r="E9">
        <f>(Inputs!$B$17+1)</f>
        <v/>
      </c>
      <c r="F9">
        <f>Summary!$B$3</f>
        <v/>
      </c>
      <c r="G9">
        <f>B236</f>
        <v/>
      </c>
      <c r="H9">
        <f>G9-F9</f>
        <v/>
      </c>
      <c r="I9">
        <f>IF(F9=0,0,G9/F9*100)</f>
        <v/>
      </c>
    </row>
    <row r="10">
      <c r="A10" t="inlineStr">
        <is>
          <t>DAMAGE_AMP %</t>
        </is>
      </c>
      <c r="B10">
        <f>IFERROR(1/(I10-100),"n/a")</f>
        <v/>
      </c>
      <c r="C10" t="inlineStr">
        <is>
          <t>pct</t>
        </is>
      </c>
      <c r="D10">
        <f>Inputs!$B$18</f>
        <v/>
      </c>
      <c r="E10">
        <f>(Inputs!$B$18+1)</f>
        <v/>
      </c>
      <c r="F10">
        <f>Summary!$B$3</f>
        <v/>
      </c>
      <c r="G10">
        <f>B277</f>
        <v/>
      </c>
      <c r="H10">
        <f>G10-F10</f>
        <v/>
      </c>
      <c r="I10">
        <f>IF(F10=0,0,G10/F10*100)</f>
        <v/>
      </c>
    </row>
    <row r="11">
      <c r="A11" t="inlineStr">
        <is>
          <t>BOSS_DAMAGE %</t>
        </is>
      </c>
      <c r="B11">
        <f>IFERROR(1/(I11-100),"n/a")</f>
        <v/>
      </c>
      <c r="C11" t="inlineStr">
        <is>
          <t>pct</t>
        </is>
      </c>
      <c r="D11">
        <f>Inputs!$B$22</f>
        <v/>
      </c>
      <c r="E11">
        <f>(Inputs!$B$22+1)</f>
        <v/>
      </c>
      <c r="F11">
        <f>Summary!$B$3</f>
        <v/>
      </c>
      <c r="G11">
        <f>B318</f>
        <v/>
      </c>
      <c r="H11">
        <f>G11-F11</f>
        <v/>
      </c>
      <c r="I11">
        <f>IF(F11=0,0,G11/F11*100)</f>
        <v/>
      </c>
    </row>
    <row r="12">
      <c r="A12" t="inlineStr">
        <is>
          <t>NORMAL_DAMAGE %</t>
        </is>
      </c>
      <c r="B12">
        <f>IFERROR(1/(I12-100),"n/a")</f>
        <v/>
      </c>
      <c r="C12" t="inlineStr">
        <is>
          <t>pct</t>
        </is>
      </c>
      <c r="D12">
        <f>Inputs!$B$23</f>
        <v/>
      </c>
      <c r="E12">
        <f>(Inputs!$B$23+1)</f>
        <v/>
      </c>
      <c r="F12">
        <f>Summary!$B$3</f>
        <v/>
      </c>
      <c r="G12">
        <f>B359</f>
        <v/>
      </c>
      <c r="H12">
        <f>G12-F12</f>
        <v/>
      </c>
      <c r="I12">
        <f>IF(F12=0,0,G12/F12*100)</f>
        <v/>
      </c>
    </row>
    <row r="13">
      <c r="A13" t="inlineStr">
        <is>
          <t>FINAL_DAMAGE % (multiplicative source)</t>
        </is>
      </c>
      <c r="B13">
        <f>IFERROR(1/(I13-100),"n/a")</f>
        <v/>
      </c>
      <c r="C13" t="inlineStr">
        <is>
          <t>mult</t>
        </is>
      </c>
      <c r="D13">
        <f>Inputs!$B$26</f>
        <v/>
      </c>
      <c r="E13">
        <f>((((1+Inputs!$B$26/100)*(1.01))-1)*100)</f>
        <v/>
      </c>
      <c r="F13">
        <f>Summary!$B$3</f>
        <v/>
      </c>
      <c r="G13">
        <f>B400</f>
        <v/>
      </c>
      <c r="H13">
        <f>G13-F13</f>
        <v/>
      </c>
      <c r="I13">
        <f>IF(F13=0,0,G13/F13*100)</f>
        <v/>
      </c>
    </row>
    <row r="14">
      <c r="A14" t="inlineStr">
        <is>
          <t>MIN_DAMAGE %</t>
        </is>
      </c>
      <c r="B14">
        <f>IFERROR(1/(I14-100),"n/a")</f>
        <v/>
      </c>
      <c r="C14" t="inlineStr">
        <is>
          <t>pct</t>
        </is>
      </c>
      <c r="D14">
        <f>Inputs!$B$24</f>
        <v/>
      </c>
      <c r="E14">
        <f>(Inputs!$B$24+1)</f>
        <v/>
      </c>
      <c r="F14">
        <f>Summary!$B$3</f>
        <v/>
      </c>
      <c r="G14">
        <f>B441</f>
        <v/>
      </c>
      <c r="H14">
        <f>G14-F14</f>
        <v/>
      </c>
      <c r="I14">
        <f>IF(F14=0,0,G14/F14*100)</f>
        <v/>
      </c>
    </row>
    <row r="15">
      <c r="A15" t="inlineStr">
        <is>
          <t>MAX_DAMAGE %</t>
        </is>
      </c>
      <c r="B15">
        <f>IFERROR(1/(I15-100),"n/a")</f>
        <v/>
      </c>
      <c r="C15" t="inlineStr">
        <is>
          <t>pct</t>
        </is>
      </c>
      <c r="D15">
        <f>Inputs!$B$25</f>
        <v/>
      </c>
      <c r="E15">
        <f>(Inputs!$B$25+1)</f>
        <v/>
      </c>
      <c r="F15">
        <f>Summary!$B$3</f>
        <v/>
      </c>
      <c r="G15">
        <f>B482</f>
        <v/>
      </c>
      <c r="H15">
        <f>G15-F15</f>
        <v/>
      </c>
      <c r="I15">
        <f>IF(F15=0,0,G15/F15*100)</f>
        <v/>
      </c>
    </row>
    <row r="16">
      <c r="A16" t="inlineStr">
        <is>
          <t>CRIT_RATE %</t>
        </is>
      </c>
      <c r="B16">
        <f>IFERROR(1/(I16-100),"n/a")</f>
        <v/>
      </c>
      <c r="C16" t="inlineStr">
        <is>
          <t>pct</t>
        </is>
      </c>
      <c r="D16">
        <f>Inputs!$B$11</f>
        <v/>
      </c>
      <c r="E16">
        <f>(Inputs!$B$11+1)</f>
        <v/>
      </c>
      <c r="F16">
        <f>Summary!$B$3</f>
        <v/>
      </c>
      <c r="G16">
        <f>B523</f>
        <v/>
      </c>
      <c r="H16">
        <f>G16-F16</f>
        <v/>
      </c>
      <c r="I16">
        <f>IF(F16=0,0,G16/F16*100)</f>
        <v/>
      </c>
    </row>
    <row r="17">
      <c r="A17" t="inlineStr">
        <is>
          <t>CRIT_DAMAGE %</t>
        </is>
      </c>
      <c r="B17">
        <f>IFERROR(1/(I17-100),"n/a")</f>
        <v/>
      </c>
      <c r="C17" t="inlineStr">
        <is>
          <t>pct</t>
        </is>
      </c>
      <c r="D17">
        <f>Inputs!$B$12</f>
        <v/>
      </c>
      <c r="E17">
        <f>(Inputs!$B$12+1)</f>
        <v/>
      </c>
      <c r="F17">
        <f>Summary!$B$3</f>
        <v/>
      </c>
      <c r="G17">
        <f>B564</f>
        <v/>
      </c>
      <c r="H17">
        <f>G17-F17</f>
        <v/>
      </c>
      <c r="I17">
        <f>IF(F17=0,0,G17/F17*100)</f>
        <v/>
      </c>
    </row>
    <row r="18">
      <c r="A18" t="inlineStr">
        <is>
          <t>ATTACK_SPEED % (diminishing returns, factor 150)</t>
        </is>
      </c>
      <c r="B18">
        <f>IFERROR(1/(I18-100),"n/a")</f>
        <v/>
      </c>
      <c r="C18" t="inlineStr">
        <is>
          <t>dr150</t>
        </is>
      </c>
      <c r="D18">
        <f>Inputs!$B$13</f>
        <v/>
      </c>
      <c r="E18">
        <f>((1-(1-Inputs!$B$13/150)*(1-1/150))*150)</f>
        <v/>
      </c>
      <c r="F18">
        <f>Summary!$B$3</f>
        <v/>
      </c>
      <c r="G18">
        <f>B605</f>
        <v/>
      </c>
      <c r="H18">
        <f>G18-F18</f>
        <v/>
      </c>
      <c r="I18">
        <f>IF(F18=0,0,G18/F18*100)</f>
        <v/>
      </c>
    </row>
    <row r="19">
      <c r="A19" t="inlineStr">
        <is>
          <t>DEF_PEN % (diminishing returns, factor 100)</t>
        </is>
      </c>
      <c r="B19">
        <f>IFERROR(1/(I19-100),"n/a")</f>
        <v/>
      </c>
      <c r="C19" t="inlineStr">
        <is>
          <t>dr100</t>
        </is>
      </c>
      <c r="D19">
        <f>Inputs!$B$21</f>
        <v/>
      </c>
      <c r="E19">
        <f>((1-(1-Inputs!$B$21/100)*(1-1/100))*100)</f>
        <v/>
      </c>
      <c r="F19">
        <f>Summary!$B$3</f>
        <v/>
      </c>
      <c r="G19">
        <f>B646</f>
        <v/>
      </c>
      <c r="H19">
        <f>G19-F19</f>
        <v/>
      </c>
      <c r="I19">
        <f>IF(F19=0,0,G19/F19*100)</f>
        <v/>
      </c>
    </row>
    <row r="20">
      <c r="A20" t="inlineStr">
        <is>
          <t>BASIC_ATTACK_DAMAGE %</t>
        </is>
      </c>
      <c r="B20">
        <f>IFERROR(1/(I20-100),"n/a")</f>
        <v/>
      </c>
      <c r="C20" t="inlineStr">
        <is>
          <t>pct</t>
        </is>
      </c>
      <c r="D20">
        <f>Inputs!$B$19</f>
        <v/>
      </c>
      <c r="E20">
        <f>(Inputs!$B$19+1)</f>
        <v/>
      </c>
      <c r="F20">
        <f>Summary!$B$3</f>
        <v/>
      </c>
      <c r="G20">
        <f>B687</f>
        <v/>
      </c>
      <c r="H20">
        <f>G20-F20</f>
        <v/>
      </c>
      <c r="I20">
        <f>IF(F20=0,0,G20/F20*100)</f>
        <v/>
      </c>
    </row>
    <row r="21">
      <c r="A21" t="inlineStr">
        <is>
          <t>SKILL_DAMAGE %</t>
        </is>
      </c>
      <c r="B21">
        <f>IFERROR(1/(I21-100),"n/a")</f>
        <v/>
      </c>
      <c r="C21" t="inlineStr">
        <is>
          <t>pct</t>
        </is>
      </c>
      <c r="D21">
        <f>Inputs!$B$20</f>
        <v/>
      </c>
      <c r="E21">
        <f>(Inputs!$B$20+1)</f>
        <v/>
      </c>
      <c r="F21">
        <f>Summary!$B$3</f>
        <v/>
      </c>
      <c r="G21">
        <f>B728</f>
        <v/>
      </c>
      <c r="H21">
        <f>G21-F21</f>
        <v/>
      </c>
      <c r="I21">
        <f>IF(F21=0,0,G21/F21*100)</f>
        <v/>
      </c>
    </row>
    <row r="22">
      <c r="A22" t="inlineStr">
        <is>
          <t>Skill Level Bonus — 1st Job</t>
        </is>
      </c>
      <c r="B22">
        <f>IFERROR(1/(I22-100),"n/a")</f>
        <v/>
      </c>
      <c r="C22" t="inlineStr">
        <is>
          <t>level</t>
        </is>
      </c>
      <c r="D22">
        <f>Inputs!$B$27</f>
        <v/>
      </c>
      <c r="E22">
        <f>(Inputs!$B$27+1)</f>
        <v/>
      </c>
      <c r="F22">
        <f>Summary!$B$3</f>
        <v/>
      </c>
      <c r="G22">
        <f>B769</f>
        <v/>
      </c>
      <c r="H22">
        <f>G22-F22</f>
        <v/>
      </c>
      <c r="I22">
        <f>IF(F22=0,0,G22/F22*100)</f>
        <v/>
      </c>
    </row>
    <row r="23">
      <c r="A23" t="inlineStr">
        <is>
          <t>Skill Level Bonus — 2nd Job</t>
        </is>
      </c>
      <c r="B23">
        <f>IFERROR(1/(I23-100),"n/a")</f>
        <v/>
      </c>
      <c r="C23" t="inlineStr">
        <is>
          <t>level</t>
        </is>
      </c>
      <c r="D23">
        <f>Inputs!$B$28</f>
        <v/>
      </c>
      <c r="E23">
        <f>(Inputs!$B$28+1)</f>
        <v/>
      </c>
      <c r="F23">
        <f>Summary!$B$3</f>
        <v/>
      </c>
      <c r="G23">
        <f>B810</f>
        <v/>
      </c>
      <c r="H23">
        <f>G23-F23</f>
        <v/>
      </c>
      <c r="I23">
        <f>IF(F23=0,0,G23/F23*100)</f>
        <v/>
      </c>
    </row>
    <row r="24">
      <c r="A24" t="inlineStr">
        <is>
          <t>Skill Level Bonus — 3rd Job</t>
        </is>
      </c>
      <c r="B24">
        <f>IFERROR(1/(I24-100),"n/a")</f>
        <v/>
      </c>
      <c r="C24" t="inlineStr">
        <is>
          <t>level</t>
        </is>
      </c>
      <c r="D24">
        <f>Inputs!$B$29</f>
        <v/>
      </c>
      <c r="E24">
        <f>(Inputs!$B$29+1)</f>
        <v/>
      </c>
      <c r="F24">
        <f>Summary!$B$3</f>
        <v/>
      </c>
      <c r="G24">
        <f>B851</f>
        <v/>
      </c>
      <c r="H24">
        <f>G24-F24</f>
        <v/>
      </c>
      <c r="I24">
        <f>IF(F24=0,0,G24/F24*100)</f>
        <v/>
      </c>
    </row>
    <row r="25">
      <c r="A25" t="inlineStr">
        <is>
          <t>Skill Level Bonus — 4th Job</t>
        </is>
      </c>
      <c r="B25">
        <f>IFERROR(1/(I25-100),"n/a")</f>
        <v/>
      </c>
      <c r="C25" t="inlineStr">
        <is>
          <t>level</t>
        </is>
      </c>
      <c r="D25">
        <f>Inputs!$B$30</f>
        <v/>
      </c>
      <c r="E25">
        <f>(Inputs!$B$30+1)</f>
        <v/>
      </c>
      <c r="F25">
        <f>Summary!$B$3</f>
        <v/>
      </c>
      <c r="G25">
        <f>B892</f>
        <v/>
      </c>
      <c r="H25">
        <f>G25-F25</f>
        <v/>
      </c>
      <c r="I25">
        <f>IF(F25=0,0,G25/F25*100)</f>
        <v/>
      </c>
    </row>
    <row r="26">
      <c r="A26" t="inlineStr">
        <is>
          <t>Skill Level Bonus — All Skills</t>
        </is>
      </c>
      <c r="B26">
        <f>IFERROR(1/(I26-100),"n/a")</f>
        <v/>
      </c>
      <c r="C26" t="inlineStr">
        <is>
          <t>level</t>
        </is>
      </c>
      <c r="D26">
        <f>Inputs!$B$31</f>
        <v/>
      </c>
      <c r="E26">
        <f>(Inputs!$B$31+1)</f>
        <v/>
      </c>
      <c r="F26">
        <f>Summary!$B$3</f>
        <v/>
      </c>
      <c r="G26">
        <f>B933</f>
        <v/>
      </c>
      <c r="H26">
        <f>G26-F26</f>
        <v/>
      </c>
      <c r="I26">
        <f>IF(F26=0,0,G26/F26*100)</f>
        <v/>
      </c>
    </row>
    <row r="27">
      <c r="A27" t="inlineStr">
        <is>
          <t>Flat ATTACK</t>
        </is>
      </c>
      <c r="B27">
        <f>IFERROR(1/(I27-100),"n/a")</f>
        <v/>
      </c>
      <c r="C27" t="inlineStr">
        <is>
          <t>flat</t>
        </is>
      </c>
      <c r="D27">
        <f>Inputs!$B$7</f>
        <v/>
      </c>
      <c r="E27">
        <f>(Inputs!$B$7+1)</f>
        <v/>
      </c>
      <c r="F27">
        <f>Summary!$B$3</f>
        <v/>
      </c>
      <c r="G27">
        <f>B974</f>
        <v/>
      </c>
      <c r="H27">
        <f>G27-F27</f>
        <v/>
      </c>
      <c r="I27">
        <f>IF(F27=0,0,G27/F27*100)</f>
        <v/>
      </c>
    </row>
    <row r="28">
      <c r="A28" t="inlineStr">
        <is>
          <t>ATTACK %</t>
        </is>
      </c>
      <c r="B28">
        <f>IFERROR(1/(I28-100),"n/a")</f>
        <v/>
      </c>
      <c r="C28" t="inlineStr">
        <is>
          <t>pct</t>
        </is>
      </c>
      <c r="D28">
        <f>Inputs!$B$8</f>
        <v/>
      </c>
      <c r="E28">
        <f>(Inputs!$B$8+1)</f>
        <v/>
      </c>
      <c r="F28">
        <f>Summary!$B$3</f>
        <v/>
      </c>
      <c r="G28">
        <f>B1015</f>
        <v/>
      </c>
      <c r="H28">
        <f>G28-F28</f>
        <v/>
      </c>
      <c r="I28">
        <f>IF(F28=0,0,G28/F28*100)</f>
        <v/>
      </c>
    </row>
    <row r="29">
      <c r="A29" t="inlineStr">
        <is>
          <t>Skill Cooldown Decrease (seconds)</t>
        </is>
      </c>
      <c r="B29">
        <f>IFERROR(1/(I29-100),"n/a")</f>
        <v/>
      </c>
      <c r="C29" t="inlineStr">
        <is>
          <t>flat</t>
        </is>
      </c>
      <c r="D29">
        <f>Inputs!$B$34</f>
        <v/>
      </c>
      <c r="E29">
        <f>(Inputs!$B$34+1)</f>
        <v/>
      </c>
      <c r="F29">
        <f>Summary!$B$3</f>
        <v/>
      </c>
      <c r="G29">
        <f>B1056</f>
        <v/>
      </c>
      <c r="H29">
        <f>G29-F29</f>
        <v/>
      </c>
      <c r="I29">
        <f>IF(F29=0,0,G29/F29*100)</f>
        <v/>
      </c>
    </row>
    <row r="30">
      <c r="A30" t="inlineStr">
        <is>
          <t>Basic Attack Target Increase (flat)</t>
        </is>
      </c>
      <c r="B30">
        <f>IFERROR(1/(I30-100),"n/a")</f>
        <v/>
      </c>
      <c r="C30" t="inlineStr">
        <is>
          <t>flat</t>
        </is>
      </c>
      <c r="D30">
        <f>Inputs!$B$35</f>
        <v/>
      </c>
      <c r="E30">
        <f>(Inputs!$B$35+1)</f>
        <v/>
      </c>
      <c r="F30">
        <f>Summary!$B$3</f>
        <v/>
      </c>
      <c r="G30">
        <f>B1097</f>
        <v/>
      </c>
      <c r="H30">
        <f>G30-F30</f>
        <v/>
      </c>
      <c r="I30">
        <f>IF(F30=0,0,G30/F30*100)</f>
        <v/>
      </c>
    </row>
    <row r="31">
      <c r="A31" t="inlineStr">
        <is>
          <t>Buff Duration Increase %</t>
        </is>
      </c>
      <c r="B31">
        <f>IFERROR(1/(I31-100),"n/a")</f>
        <v/>
      </c>
      <c r="C31" t="inlineStr">
        <is>
          <t>pct</t>
        </is>
      </c>
      <c r="D31">
        <f>Inputs!$B$36</f>
        <v/>
      </c>
      <c r="E31">
        <f>(Inputs!$B$36+1)</f>
        <v/>
      </c>
      <c r="F31">
        <f>Summary!$B$3</f>
        <v/>
      </c>
      <c r="G31">
        <f>B1138</f>
        <v/>
      </c>
      <c r="H31">
        <f>G31-F31</f>
        <v/>
      </c>
      <c r="I31">
        <f>IF(F31=0,0,G31/F31*100)</f>
        <v/>
      </c>
    </row>
    <row r="34">
      <c r="A34" s="5" t="inlineStr">
        <is>
          <t>Stat: Flat INT</t>
        </is>
      </c>
    </row>
    <row r="35">
      <c r="A35" s="9" t="inlineStr">
        <is>
          <t>Key</t>
        </is>
      </c>
      <c r="B35" s="9" t="inlineStr">
        <is>
          <t>Name</t>
        </is>
      </c>
      <c r="C35" s="9" t="inlineStr">
        <is>
          <t>Unlocked</t>
        </is>
      </c>
      <c r="D35" s="9" t="inlineStr">
        <is>
          <t>InputLevel</t>
        </is>
      </c>
      <c r="E35" s="9" t="inlineStr">
        <is>
          <t>Factor</t>
        </is>
      </c>
      <c r="F35" s="9" t="inlineStr">
        <is>
          <t>CoefficientPercent</t>
        </is>
      </c>
      <c r="G35" s="9" t="inlineStr">
        <is>
          <t>EffectiveHits</t>
        </is>
      </c>
      <c r="H35" s="9" t="inlineStr">
        <is>
          <t>ProcProbability</t>
        </is>
      </c>
      <c r="I35" s="9" t="inlineStr">
        <is>
          <t>MapleHeroMultiplier</t>
        </is>
      </c>
      <c r="J35" s="9" t="inlineStr">
        <is>
          <t>BaseDamage</t>
        </is>
      </c>
      <c r="K35" s="9" t="inlineStr">
        <is>
          <t>BaseHitDamage</t>
        </is>
      </c>
      <c r="L35" s="9" t="inlineStr">
        <is>
          <t>NonCritAvg</t>
        </is>
      </c>
      <c r="M35" s="9" t="inlineStr">
        <is>
          <t>CritAvg</t>
        </is>
      </c>
      <c r="N35" s="9" t="inlineStr">
        <is>
          <t>ExpectedDamage(perHit)</t>
        </is>
      </c>
      <c r="O35" s="9" t="inlineStr">
        <is>
          <t>DPS</t>
        </is>
      </c>
      <c r="P35" s="9" t="inlineStr">
        <is>
          <t>% of Total</t>
        </is>
      </c>
      <c r="R35" t="inlineStr">
        <is>
          <t>helpers</t>
        </is>
      </c>
    </row>
    <row r="36">
      <c r="A36">
        <f>Skills!A2</f>
        <v/>
      </c>
      <c r="B36">
        <f>Skills!B2</f>
        <v/>
      </c>
      <c r="C36">
        <f>Inputs!$B$3&gt;=100</f>
        <v/>
      </c>
      <c r="D36" t="inlineStr"/>
      <c r="E36" t="inlineStr"/>
      <c r="F36">
        <f>T38+Skills!N2</f>
        <v/>
      </c>
      <c r="G36">
        <f>Calc!G2</f>
        <v/>
      </c>
      <c r="H36">
        <f>Calc!H2</f>
        <v/>
      </c>
      <c r="I36">
        <f>IF(Skills!T2&lt;&gt;"",1+(Skills!T2/10)*($Z$3/1000)/100,1)</f>
        <v/>
      </c>
      <c r="J36">
        <f>(Inputs!$B$7*(1+Inputs!$B$8/100))*(F36/100)</f>
        <v/>
      </c>
      <c r="K36">
        <f>J36*(1+((((Inputs!$B$14+1)+IF(Inputs!$B$3&gt;=35,0.10*(Inputs!$B$9*(1+Inputs!$B$10/100)),0))*(1+Inputs!$B$15/100))*0.01+Inputs!$B$16*0.0025)/100)*(1+(Inputs!$B$17+B65)/100)*(1+IF(Inputs!$B$40="pvp",0,(1-Summary!$B$48)*(Inputs!$B$22+Skills!O2+B63)+Summary!$B$48*(Inputs!$B$23+Skills!P2+B64))/100)*(1+Inputs!$B$18/100)*(5000/(6000+Inputs!$B$42*(1-Inputs!$B$21/100)))*(1+Inputs!$B$26/100)*(1+IF(C51=TRUE,F51,0)/100)*(1+IF(C53=TRUE,F53,0)/100)*(1+IF(Skills!A2="TRIUMPH_FEATHER",IF(C49=TRUE,F49,0),0)/100)*(1+IF(C60=TRUE,F60,0)/100)^5*(1+(IF(Skills!A2="BIG_BANG",Inputs!$B$19,Inputs!$B$20))/100)*(B62*I36)</f>
        <v/>
      </c>
      <c r="L36">
        <f>K36*(MIN(Inputs!$B$24+(F55-Calc!F21),Inputs!$B$25)/100+Inputs!$B$25/100)/2</f>
        <v/>
      </c>
      <c r="M36">
        <f>L36*(1+(Inputs!$B$12+B66+(F58-Calc!F24))/100)</f>
        <v/>
      </c>
      <c r="N36">
        <f>L36*(1-MIN(Inputs!$B$11+((F57-Calc!F23)+(F56-Calc!F22)),100)/100)+M36*(MIN(Inputs!$B$11+((F57-Calc!F23)+(F56-Calc!F22)),100)/100)</f>
        <v/>
      </c>
      <c r="O36">
        <f>IF(C36,Skills!F2*N36*B70*IF(Inputs!$B$40="pvp",1,(1-Summary!$B$48)*(1)+Summary!$B$48*(MIN((6+Inputs!$B$35),Inputs!$B$39))),0)</f>
        <v/>
      </c>
      <c r="P36">
        <f>IF(B72=0,0,O36/B72)</f>
        <v/>
      </c>
      <c r="Q36">
        <f>IFERROR(1/IF(Inputs!$B$40="pvp",15,MAX(0.1,Skills!D2-IF(Skills!E2=TRUE,Inputs!$B$34,0))),0)</f>
        <v/>
      </c>
      <c r="R36" t="n">
        <v>0</v>
      </c>
      <c r="T36">
        <f>MAX(0,(Inputs!$B$3-100)*3)+Inputs!$B$30+Inputs!$B$31</f>
        <v/>
      </c>
    </row>
    <row r="37">
      <c r="A37">
        <f>Skills!A3</f>
        <v/>
      </c>
      <c r="B37">
        <f>Skills!B3</f>
        <v/>
      </c>
      <c r="C37">
        <f>Inputs!$B$3&gt;=15</f>
        <v/>
      </c>
      <c r="D37">
        <f>IF(Skills!C3=1,60+Inputs!$B$27+Inputs!$B$31,IF(Skills!C3=2,90+Inputs!$B$28+Inputs!$B$31,IF(Skills!C3=3,120+Inputs!$B$29+Inputs!$B$31,MAX(0,(Inputs!$B$3-100)*3)+Inputs!$B$30+Inputs!$B$31)))</f>
        <v/>
      </c>
      <c r="E37">
        <f>INDEX(FactorTable!$B$2:$Y$301, MATCH(ROUND(MIN(300,MAX(1,D37)),0), FactorTable!$A$2:$A$301,0), Skills!L3+1)</f>
        <v/>
      </c>
      <c r="F37">
        <f>IF(Skills!M3=TRUE,(Skills!K3/10)*(E37/1000),Skills!K3/10)+Skills!N3</f>
        <v/>
      </c>
      <c r="G37">
        <f>Calc!G3</f>
        <v/>
      </c>
      <c r="H37">
        <f>Calc!H3</f>
        <v/>
      </c>
      <c r="I37">
        <f>IF(Skills!T3&lt;&gt;"",1+(Skills!T3/10)*($Z$3/1000)/100,1)</f>
        <v/>
      </c>
      <c r="J37" t="inlineStr"/>
      <c r="K37" t="inlineStr"/>
      <c r="L37" t="inlineStr"/>
      <c r="M37" t="inlineStr"/>
      <c r="N37" t="inlineStr"/>
      <c r="O37" t="n">
        <v>0</v>
      </c>
      <c r="P37">
        <f>IF(B72=0,0,O37/B72)</f>
        <v/>
      </c>
      <c r="Q37">
        <f>IFERROR(1/IF(Inputs!$B$40="pvp",15,MAX(0.1,Skills!D3-IF(Skills!E3=TRUE,Inputs!$B$34,0))),0)</f>
        <v/>
      </c>
      <c r="R37">
        <f>IF(AND(Inputs!$B$40&lt;&gt;"pvp",Inputs!$B$43&gt;0),(INT(Inputs!$B$43/IF(Inputs!$B$40="pvp",15,MAX(0.1,Skills!D3-IF(Skills!E3=TRUE,Inputs!$B$34,0))))+1),0)</f>
        <v/>
      </c>
      <c r="T37">
        <f>INDEX(FactorTable!$B$2:$Y$301, MATCH(ROUND(MIN(300,MAX(1,T36)),0), FactorTable!$A$2:$A$301,0), 22)</f>
        <v/>
      </c>
    </row>
    <row r="38">
      <c r="A38">
        <f>Skills!A4</f>
        <v/>
      </c>
      <c r="B38">
        <f>Skills!B4</f>
        <v/>
      </c>
      <c r="C38">
        <f>Inputs!$B$3&gt;=38</f>
        <v/>
      </c>
      <c r="D38">
        <f>IF(Skills!C4=1,60+Inputs!$B$27+Inputs!$B$31,IF(Skills!C4=2,90+Inputs!$B$28+Inputs!$B$31,IF(Skills!C4=3,120+Inputs!$B$29+Inputs!$B$31,MAX(0,(Inputs!$B$3-100)*3)+Inputs!$B$30+Inputs!$B$31)))</f>
        <v/>
      </c>
      <c r="E38">
        <f>INDEX(FactorTable!$B$2:$Y$301, MATCH(ROUND(MIN(300,MAX(1,D38)),0), FactorTable!$A$2:$A$301,0), Skills!L4+1)</f>
        <v/>
      </c>
      <c r="F38">
        <f>IF(Skills!M4=TRUE,(Skills!K4/10)*(E38/1000),Skills!K4/10)+Skills!N4</f>
        <v/>
      </c>
      <c r="G38">
        <f>Calc!G4</f>
        <v/>
      </c>
      <c r="H38">
        <f>Calc!H4</f>
        <v/>
      </c>
      <c r="I38">
        <f>IF(Skills!T4&lt;&gt;"",1+(Skills!T4/10)*($Z$3/1000)/100,1)</f>
        <v/>
      </c>
      <c r="J38" t="inlineStr"/>
      <c r="K38" t="inlineStr"/>
      <c r="L38" t="inlineStr"/>
      <c r="M38" t="inlineStr"/>
      <c r="N38" t="inlineStr"/>
      <c r="O38" t="n">
        <v>0</v>
      </c>
      <c r="P38">
        <f>IF(B72=0,0,O38/B72)</f>
        <v/>
      </c>
      <c r="Q38">
        <f>IFERROR(1/IF(Inputs!$B$40="pvp",15,MAX(0.1,Skills!D4-IF(Skills!E4=TRUE,Inputs!$B$34,0))),0)</f>
        <v/>
      </c>
      <c r="R38">
        <f>IF(AND(Inputs!$B$40&lt;&gt;"pvp",Inputs!$B$43&gt;0),(INT(Inputs!$B$43/IF(Inputs!$B$40="pvp",15,MAX(0.1,Skills!D4-IF(Skills!E4=TRUE,Inputs!$B$34,0))))+1),0)</f>
        <v/>
      </c>
      <c r="T38">
        <f>290*T37/1000</f>
        <v/>
      </c>
    </row>
    <row r="39">
      <c r="A39">
        <f>Skills!A5</f>
        <v/>
      </c>
      <c r="B39">
        <f>Skills!B5</f>
        <v/>
      </c>
      <c r="C39">
        <f>Inputs!$B$3&gt;=40</f>
        <v/>
      </c>
      <c r="D39">
        <f>IF(Skills!C5=1,60+Inputs!$B$27+Inputs!$B$31,IF(Skills!C5=2,90+Inputs!$B$28+Inputs!$B$31,IF(Skills!C5=3,120+Inputs!$B$29+Inputs!$B$31,MAX(0,(Inputs!$B$3-100)*3)+Inputs!$B$30+Inputs!$B$31)))</f>
        <v/>
      </c>
      <c r="E39">
        <f>INDEX(FactorTable!$B$2:$Y$301, MATCH(ROUND(MIN(300,MAX(1,D39)),0), FactorTable!$A$2:$A$301,0), Skills!L5+1)</f>
        <v/>
      </c>
      <c r="F39">
        <f>IF(Skills!M5=TRUE,(Skills!K5/10)*(E39/1000),Skills!K5/10)+Skills!N5</f>
        <v/>
      </c>
      <c r="G39">
        <f>Calc!G5</f>
        <v/>
      </c>
      <c r="H39">
        <f>Calc!H5</f>
        <v/>
      </c>
      <c r="I39">
        <f>IF(Skills!T5&lt;&gt;"",1+(Skills!T5/10)*($Z$3/1000)/100,1)</f>
        <v/>
      </c>
      <c r="J39" t="inlineStr"/>
      <c r="K39" t="inlineStr"/>
      <c r="L39" t="inlineStr"/>
      <c r="M39" t="inlineStr"/>
      <c r="N39" t="inlineStr"/>
      <c r="O39" t="n">
        <v>0</v>
      </c>
      <c r="P39">
        <f>IF(B72=0,0,O39/B72)</f>
        <v/>
      </c>
      <c r="Q39">
        <f>IFERROR(1/IF(Inputs!$B$40="pvp",15,MAX(0.1,Skills!D5-IF(Skills!E5=TRUE,Inputs!$B$34,0))),0)</f>
        <v/>
      </c>
      <c r="R39">
        <f>IF(AND(Inputs!$B$40&lt;&gt;"pvp",Inputs!$B$43&gt;0),(INT(Inputs!$B$43/IF(Inputs!$B$40="pvp",15,MAX(0.1,Skills!D5-IF(Skills!E5=TRUE,Inputs!$B$34,0))))+1),0)</f>
        <v/>
      </c>
    </row>
    <row r="40">
      <c r="A40">
        <f>Skills!A6</f>
        <v/>
      </c>
      <c r="B40">
        <f>Skills!B6</f>
        <v/>
      </c>
      <c r="C40">
        <f>Inputs!$B$3&gt;=103</f>
        <v/>
      </c>
      <c r="D40">
        <f>IF(Skills!C6=1,60+Inputs!$B$27+Inputs!$B$31,IF(Skills!C6=2,90+Inputs!$B$28+Inputs!$B$31,IF(Skills!C6=3,120+Inputs!$B$29+Inputs!$B$31,MAX(0,(Inputs!$B$3-100)*3)+Inputs!$B$30+Inputs!$B$31)))</f>
        <v/>
      </c>
      <c r="E40">
        <f>INDEX(FactorTable!$B$2:$Y$301, MATCH(ROUND(MIN(300,MAX(1,D40)),0), FactorTable!$A$2:$A$301,0), Skills!L6+1)</f>
        <v/>
      </c>
      <c r="F40">
        <f>IF(Skills!M6=TRUE,(Skills!K6/10)*(E40/1000),Skills!K6/10)+Skills!N6</f>
        <v/>
      </c>
      <c r="G40">
        <f>Calc!G6</f>
        <v/>
      </c>
      <c r="H40">
        <f>Calc!H6</f>
        <v/>
      </c>
      <c r="I40">
        <f>IF(Skills!T6&lt;&gt;"",1+(Skills!T6/10)*($Z$3/1000)/100,1)</f>
        <v/>
      </c>
      <c r="J40">
        <f>(Inputs!$B$7*(1+Inputs!$B$8/100))*(F40/100)</f>
        <v/>
      </c>
      <c r="K40">
        <f>J40*(1+((((Inputs!$B$14+1)+IF(Inputs!$B$3&gt;=35,0.10*(Inputs!$B$9*(1+Inputs!$B$10/100)),0))*(1+Inputs!$B$15/100))*0.01+Inputs!$B$16*0.0025)/100)*(1+(Inputs!$B$17+B65)/100)*(1+IF(Inputs!$B$40="pvp",0,(1-Summary!$B$48)*(Inputs!$B$22+Skills!O6+B63)+Summary!$B$48*(Inputs!$B$23+Skills!P6+B64))/100)*(1+Inputs!$B$18/100)*(5000/(6000+Inputs!$B$42*(1-Inputs!$B$21/100)))*(1+Inputs!$B$26/100)*(1+IF(C51=TRUE,F51,0)/100)*(1+IF(C53=TRUE,F53,0)/100)*(1+IF(Skills!A6="TRIUMPH_FEATHER",IF(C49=TRUE,F49,0),0)/100)*(1+IF(C60=TRUE,F60,0)/100)^5*(1+(IF(Skills!A6="BIG_BANG",Inputs!$B$19,Inputs!$B$20))/100)*(B62*I40)</f>
        <v/>
      </c>
      <c r="L40">
        <f>K40*(MIN(Inputs!$B$24+(F55-Calc!F21),Inputs!$B$25)/100+Inputs!$B$25/100)/2</f>
        <v/>
      </c>
      <c r="M40">
        <f>L40*(1+(Inputs!$B$12+B66+(F58-Calc!F24))/100)</f>
        <v/>
      </c>
      <c r="N40">
        <f>L40*(1-MIN(Inputs!$B$11+((F57-Calc!F23)+(F56-Calc!F22)),100)/100)+M40*(MIN(Inputs!$B$11+((F57-Calc!F23)+(F56-Calc!F22)),100)/100)</f>
        <v/>
      </c>
      <c r="O40">
        <f>IF(C40,H40*N40*IF(AND(Inputs!$B$40&lt;&gt;"pvp",Inputs!$B$43&gt;0),((Skills!F6*((R40-1)*IF(Skills!G6&gt;0,Skills!H6/Skills!G6,1)+IF(Skills!G6&gt;0,MIN(Skills!H6,MAX(0,Inputs!$B$43-((R40-1)*IF(Inputs!$B$40="pvp",15,MAX(0.1,Skills!D6-IF(Skills!E6=TRUE,Inputs!$B$34,0))))))/Skills!G6,1)))/Inputs!$B$43),G40*Q40)*IF(Inputs!$B$40="pvp",1,(1-Summary!$B$48)*(1)+Summary!$B$48*(MIN(Skills!Q6,Inputs!$B$39))),0)</f>
        <v/>
      </c>
      <c r="P40">
        <f>IF(B72=0,0,O40/B72)</f>
        <v/>
      </c>
      <c r="Q40">
        <f>IFERROR(1/IF(Inputs!$B$40="pvp",15,MAX(0.1,Skills!D6-IF(Skills!E6=TRUE,Inputs!$B$34,0))),0)</f>
        <v/>
      </c>
      <c r="R40">
        <f>IF(AND(Inputs!$B$40&lt;&gt;"pvp",Inputs!$B$43&gt;0),(INT(Inputs!$B$43/IF(Inputs!$B$40="pvp",15,MAX(0.1,Skills!D6-IF(Skills!E6=TRUE,Inputs!$B$34,0))))+1),0)</f>
        <v/>
      </c>
    </row>
    <row r="41">
      <c r="A41">
        <f>Skills!A7</f>
        <v/>
      </c>
      <c r="B41">
        <f>Skills!B7</f>
        <v/>
      </c>
      <c r="C41">
        <f>Inputs!$B$3&gt;=122</f>
        <v/>
      </c>
      <c r="D41">
        <f>IF(Skills!C7=1,60+Inputs!$B$27+Inputs!$B$31,IF(Skills!C7=2,90+Inputs!$B$28+Inputs!$B$31,IF(Skills!C7=3,120+Inputs!$B$29+Inputs!$B$31,MAX(0,(Inputs!$B$3-100)*3)+Inputs!$B$30+Inputs!$B$31)))</f>
        <v/>
      </c>
      <c r="E41">
        <f>INDEX(FactorTable!$B$2:$Y$301, MATCH(ROUND(MIN(300,MAX(1,D41)),0), FactorTable!$A$2:$A$301,0), Skills!L7+1)</f>
        <v/>
      </c>
      <c r="F41">
        <f>IF(Skills!M7=TRUE,(Skills!K7/10)*(E41/1000),Skills!K7/10)+Skills!N7</f>
        <v/>
      </c>
      <c r="G41">
        <f>Calc!G7</f>
        <v/>
      </c>
      <c r="H41">
        <f>Calc!H7</f>
        <v/>
      </c>
      <c r="I41">
        <f>IF(Skills!T7&lt;&gt;"",1+(Skills!T7/10)*($Z$3/1000)/100,1)</f>
        <v/>
      </c>
      <c r="J41">
        <f>(Inputs!$B$7*(1+Inputs!$B$8/100))*(F41/100)</f>
        <v/>
      </c>
      <c r="K41">
        <f>J41*(1+((((Inputs!$B$14+1)+IF(Inputs!$B$3&gt;=35,0.10*(Inputs!$B$9*(1+Inputs!$B$10/100)),0))*(1+Inputs!$B$15/100))*0.01+Inputs!$B$16*0.0025)/100)*(1+(Inputs!$B$17+B65)/100)*(1+IF(Inputs!$B$40="pvp",0,(1-Summary!$B$48)*(Inputs!$B$22+Skills!O7+B63)+Summary!$B$48*(Inputs!$B$23+Skills!P7+B64))/100)*(1+Inputs!$B$18/100)*(5000/(6000+Inputs!$B$42*(1-Inputs!$B$21/100)))*(1+Inputs!$B$26/100)*(1+IF(C51=TRUE,F51,0)/100)*(1+IF(C53=TRUE,F53,0)/100)*(1+IF(Skills!A7="TRIUMPH_FEATHER",IF(C49=TRUE,F49,0),0)/100)*(1+IF(C60=TRUE,F60,0)/100)^5*(1+(IF(Skills!A7="BIG_BANG",Inputs!$B$19,Inputs!$B$20))/100)*(B62*I41)</f>
        <v/>
      </c>
      <c r="L41">
        <f>K41*(MIN(Inputs!$B$24+(F55-Calc!F21),Inputs!$B$25)/100+Inputs!$B$25/100)/2</f>
        <v/>
      </c>
      <c r="M41">
        <f>L41*(1+(Inputs!$B$12+B66+(F58-Calc!F24))/100)</f>
        <v/>
      </c>
      <c r="N41">
        <f>L41*(1-MIN(Inputs!$B$11+((F57-Calc!F23)+(F56-Calc!F22)),100)/100)+M41*(MIN(Inputs!$B$11+((F57-Calc!F23)+(F56-Calc!F22)),100)/100)</f>
        <v/>
      </c>
      <c r="O41">
        <f>IF(C41,H41*N41*IF(AND(Inputs!$B$40&lt;&gt;"pvp",Inputs!$B$43&gt;0),((Skills!F7*((R41-1)*IF(Skills!G7&gt;0,Skills!H7/Skills!G7,1)+IF(Skills!G7&gt;0,MIN(Skills!H7,MAX(0,Inputs!$B$43-((R41-1)*IF(Inputs!$B$40="pvp",15,MAX(0.1,Skills!D7-IF(Skills!E6=TRUE,Inputs!$B$34,0))))))/Skills!G7,1)))/Inputs!$B$43),G41*Q41)*(1-Summary!$B$48),0)</f>
        <v/>
      </c>
      <c r="P41">
        <f>IF(B72=0,0,O41/B72)</f>
        <v/>
      </c>
      <c r="Q41">
        <f>IFERROR(1/IF(Inputs!$B$40="pvp",15,MAX(0.1,Skills!D7-IF(Skills!E6=TRUE,Inputs!$B$34,0))),0)</f>
        <v/>
      </c>
      <c r="R41">
        <f>IF(AND(Inputs!$B$40&lt;&gt;"pvp",Inputs!$B$43&gt;0),(INT(Inputs!$B$43/IF(Inputs!$B$40="pvp",15,MAX(0.1,Skills!D7-IF(Skills!E6=TRUE,Inputs!$B$34,0))))+1),0)</f>
        <v/>
      </c>
    </row>
    <row r="42">
      <c r="A42">
        <f>Skills!A8</f>
        <v/>
      </c>
      <c r="B42">
        <f>Skills!B8</f>
        <v/>
      </c>
      <c r="C42">
        <f>Inputs!$B$3&gt;=105</f>
        <v/>
      </c>
      <c r="D42">
        <f>IF(Skills!C8=1,60+Inputs!$B$27+Inputs!$B$31,IF(Skills!C8=2,90+Inputs!$B$28+Inputs!$B$31,IF(Skills!C8=3,120+Inputs!$B$29+Inputs!$B$31,MAX(0,(Inputs!$B$3-100)*3)+Inputs!$B$30+Inputs!$B$31)))</f>
        <v/>
      </c>
      <c r="E42">
        <f>INDEX(FactorTable!$B$2:$Y$301, MATCH(ROUND(MIN(300,MAX(1,D42)),0), FactorTable!$A$2:$A$301,0), Skills!L8+1)</f>
        <v/>
      </c>
      <c r="F42">
        <f>IF(Skills!M8=TRUE,(Skills!K8/10)*(E42/1000),Skills!K8/10)+Skills!N8</f>
        <v/>
      </c>
      <c r="G42">
        <f>Calc!G8</f>
        <v/>
      </c>
      <c r="H42">
        <f>Calc!H8</f>
        <v/>
      </c>
      <c r="I42">
        <f>IF(Skills!T8&lt;&gt;"",1+(Skills!T8/10)*($Z$3/1000)/100,1)</f>
        <v/>
      </c>
      <c r="J42">
        <f>(Inputs!$B$7*(1+Inputs!$B$8/100))*(F42/100)</f>
        <v/>
      </c>
      <c r="K42">
        <f>J42*(1+((((Inputs!$B$14+1)+IF(Inputs!$B$3&gt;=35,0.10*(Inputs!$B$9*(1+Inputs!$B$10/100)),0))*(1+Inputs!$B$15/100))*0.01+Inputs!$B$16*0.0025)/100)*(1+(Inputs!$B$17+B65)/100)*(1+IF(Inputs!$B$40="pvp",0,(1-Summary!$B$48)*(Inputs!$B$22+Skills!O8+B63)+Summary!$B$48*(Inputs!$B$23+Skills!P8+B64))/100)*(1+Inputs!$B$18/100)*(5000/(6000+Inputs!$B$42*(1-Inputs!$B$21/100)))*(1+Inputs!$B$26/100)*(1+IF(C51=TRUE,F51,0)/100)*(1+IF(C53=TRUE,F53,0)/100)*(1+IF(Skills!A8="TRIUMPH_FEATHER",IF(C49=TRUE,F49,0),0)/100)*(1+IF(C60=TRUE,F60,0)/100)^5*(1+(IF(Skills!A8="BIG_BANG",Inputs!$B$19,Inputs!$B$20))/100)*(B62*I42)</f>
        <v/>
      </c>
      <c r="L42">
        <f>K42*(MIN(Inputs!$B$24+(F55-Calc!F21),Inputs!$B$25)/100+Inputs!$B$25/100)/2</f>
        <v/>
      </c>
      <c r="M42">
        <f>L42*(1+(Inputs!$B$12+B66+(F58-Calc!F24))/100)</f>
        <v/>
      </c>
      <c r="N42">
        <f>L42*(1-MIN(Inputs!$B$11+((F57-Calc!F23)+(F56-Calc!F22)),100)/100)+M42*(MIN(Inputs!$B$11+((F57-Calc!F23)+(F56-Calc!F22)),100)/100)</f>
        <v/>
      </c>
      <c r="O42">
        <f>IF(C42,H42*N42*IF(AND(Inputs!$B$40&lt;&gt;"pvp",Inputs!$B$43&gt;0),((Skills!F8*((R42-1)*IF(Skills!G8&gt;0,Skills!H8/Skills!G8,1)+IF(Skills!G8&gt;0,MIN(Skills!H8,MAX(0,Inputs!$B$43-((R42-1)*IF(Inputs!$B$40="pvp",15,MAX(0.1,Skills!D8-IF(Skills!E8=TRUE,Inputs!$B$34,0))))))/Skills!G8,1)))/Inputs!$B$43),G42*Q42)*IF(Inputs!$B$40="pvp",1,(1-Summary!$B$48)*(1)+Summary!$B$48*(MIN(Skills!Q8,Inputs!$B$39))),0)</f>
        <v/>
      </c>
      <c r="P42">
        <f>IF(B72=0,0,O42/B72)</f>
        <v/>
      </c>
      <c r="Q42">
        <f>IFERROR(1/IF(Inputs!$B$40="pvp",15,MAX(0.1,Skills!D8-IF(Skills!E8=TRUE,Inputs!$B$34,0))),0)</f>
        <v/>
      </c>
      <c r="R42">
        <f>IF(AND(Inputs!$B$40&lt;&gt;"pvp",Inputs!$B$43&gt;0),(INT(Inputs!$B$43/IF(Inputs!$B$40="pvp",15,MAX(0.1,Skills!D8-IF(Skills!E8=TRUE,Inputs!$B$34,0))))+1),0)</f>
        <v/>
      </c>
    </row>
    <row r="43">
      <c r="A43">
        <f>Skills!A9</f>
        <v/>
      </c>
      <c r="B43">
        <f>Skills!B9</f>
        <v/>
      </c>
      <c r="C43">
        <f>Inputs!$B$3&gt;=115</f>
        <v/>
      </c>
      <c r="D43">
        <f>IF(Skills!C9=1,60+Inputs!$B$27+Inputs!$B$31,IF(Skills!C9=2,90+Inputs!$B$28+Inputs!$B$31,IF(Skills!C9=3,120+Inputs!$B$29+Inputs!$B$31,MAX(0,(Inputs!$B$3-100)*3)+Inputs!$B$30+Inputs!$B$31)))</f>
        <v/>
      </c>
      <c r="E43">
        <f>INDEX(FactorTable!$B$2:$Y$301, MATCH(ROUND(MIN(300,MAX(1,D43)),0), FactorTable!$A$2:$A$301,0), Skills!L9+1)</f>
        <v/>
      </c>
      <c r="F43">
        <f>IF(Skills!M9=TRUE,(Skills!K9/10)*(E43/1000),Skills!K9/10)+Skills!N9</f>
        <v/>
      </c>
      <c r="G43">
        <f>Calc!G9</f>
        <v/>
      </c>
      <c r="H43">
        <f>Calc!H9</f>
        <v/>
      </c>
      <c r="I43">
        <f>IF(Skills!T9&lt;&gt;"",1+(Skills!T9/10)*($Z$3/1000)/100,1)</f>
        <v/>
      </c>
      <c r="J43">
        <f>(Inputs!$B$7*(1+Inputs!$B$8/100))*(F43/100)</f>
        <v/>
      </c>
      <c r="K43">
        <f>J43*(1+((((Inputs!$B$14+1)+IF(Inputs!$B$3&gt;=35,0.10*(Inputs!$B$9*(1+Inputs!$B$10/100)),0))*(1+Inputs!$B$15/100))*0.01+Inputs!$B$16*0.0025)/100)*(1+(Inputs!$B$17+B65)/100)*(1+IF(Inputs!$B$40="pvp",0,(1-Summary!$B$48)*(Inputs!$B$22+Skills!O9+B63)+Summary!$B$48*(Inputs!$B$23+Skills!P9+B64))/100)*(1+Inputs!$B$18/100)*(5000/(6000+Inputs!$B$42*(1-Inputs!$B$21/100)))*(1+Inputs!$B$26/100)*(1+IF(C51=TRUE,F51,0)/100)*(1+IF(C53=TRUE,F53,0)/100)*(1+IF(Skills!A9="TRIUMPH_FEATHER",IF(C49=TRUE,F49,0),0)/100)*(1+IF(C60=TRUE,F60,0)/100)^5*(1+(IF(Skills!A9="BIG_BANG",Inputs!$B$19,Inputs!$B$20))/100)*(B62*I43)</f>
        <v/>
      </c>
      <c r="L43">
        <f>K43*(MIN(Inputs!$B$24+(F55-Calc!F21),Inputs!$B$25)/100+Inputs!$B$25/100)/2</f>
        <v/>
      </c>
      <c r="M43">
        <f>L43*(1+(Inputs!$B$12+B66+(F58-Calc!F24))/100)</f>
        <v/>
      </c>
      <c r="N43">
        <f>L43*(1-MIN(Inputs!$B$11+((F57-Calc!F23)+(F56-Calc!F22)),100)/100)+M43*(MIN(Inputs!$B$11+((F57-Calc!F23)+(F56-Calc!F22)),100)/100)</f>
        <v/>
      </c>
      <c r="O43">
        <f>IF(C43,H43*N43*IF(AND(Inputs!$B$40&lt;&gt;"pvp",Inputs!$B$43&gt;0),((Skills!F9*((R43-1)*IF(Skills!G9&gt;0,Skills!H9/Skills!G9,1)+IF(Skills!G9&gt;0,MIN(Skills!H9,MAX(0,Inputs!$B$43-((R43-1)*IF(Inputs!$B$40="pvp",15,MAX(0.1,Skills!D9-IF(Skills!E9=TRUE,Inputs!$B$34,0))))))/Skills!G9,1)))/Inputs!$B$43),G43*Q43)*IF(Inputs!$B$40="pvp",1,(1-Summary!$B$48)*(1)+Summary!$B$48*(MIN(Skills!Q9,Inputs!$B$39))),0)</f>
        <v/>
      </c>
      <c r="P43">
        <f>IF(B72=0,0,O43/B72)</f>
        <v/>
      </c>
      <c r="Q43">
        <f>IFERROR(1/IF(Inputs!$B$40="pvp",15,MAX(0.1,Skills!D9-IF(Skills!E9=TRUE,Inputs!$B$34,0))),0)</f>
        <v/>
      </c>
      <c r="R43">
        <f>IF(AND(Inputs!$B$40&lt;&gt;"pvp",Inputs!$B$43&gt;0),(INT(Inputs!$B$43/IF(Inputs!$B$40="pvp",15,MAX(0.1,Skills!D9-IF(Skills!E9=TRUE,Inputs!$B$34,0))))+1),0)</f>
        <v/>
      </c>
    </row>
    <row r="44">
      <c r="A44">
        <f>Skills!A10</f>
        <v/>
      </c>
      <c r="B44">
        <f>Skills!B10</f>
        <v/>
      </c>
      <c r="C44">
        <f>Inputs!$B$3&gt;=66</f>
        <v/>
      </c>
      <c r="D44">
        <f>IF(Skills!C10=1,60+Inputs!$B$27+Inputs!$B$31,IF(Skills!C10=2,90+Inputs!$B$28+Inputs!$B$31,IF(Skills!C10=3,120+Inputs!$B$29+Inputs!$B$31,MAX(0,(Inputs!$B$3-100)*3)+Inputs!$B$30+Inputs!$B$31)))</f>
        <v/>
      </c>
      <c r="E44">
        <f>INDEX(FactorTable!$B$2:$Y$301, MATCH(ROUND(MIN(300,MAX(1,D44)),0), FactorTable!$A$2:$A$301,0), Skills!L10+1)</f>
        <v/>
      </c>
      <c r="F44" t="n">
        <v>0</v>
      </c>
      <c r="G44">
        <f>Calc!G10</f>
        <v/>
      </c>
      <c r="H44">
        <f>Calc!H10</f>
        <v/>
      </c>
      <c r="I44">
        <f>IF(Skills!T10&lt;&gt;"",1+(Skills!T10/10)*($Z$3/1000)/100,1)</f>
        <v/>
      </c>
      <c r="J44" t="inlineStr"/>
      <c r="K44" t="inlineStr"/>
      <c r="L44" t="inlineStr"/>
      <c r="M44" t="inlineStr"/>
      <c r="N44" t="inlineStr"/>
      <c r="O44" t="n">
        <v>0</v>
      </c>
      <c r="P44">
        <f>IF(B72=0,0,O44/B72)</f>
        <v/>
      </c>
      <c r="Q44">
        <f>IFERROR(1/IF(Inputs!$B$40="pvp",15,MAX(0.1,Skills!D10-IF(Skills!E10=TRUE,Inputs!$B$34,0))),0)</f>
        <v/>
      </c>
      <c r="R44">
        <f>IF(AND(Inputs!$B$40&lt;&gt;"pvp",Inputs!$B$43&gt;0),(INT(Inputs!$B$43/IF(Inputs!$B$40="pvp",15,MAX(0.1,Skills!D10-IF(Skills!E10=TRUE,Inputs!$B$34,0))))+1),0)</f>
        <v/>
      </c>
    </row>
    <row r="45">
      <c r="A45">
        <f>Skills!A11</f>
        <v/>
      </c>
      <c r="B45">
        <f>Skills!B11</f>
        <v/>
      </c>
      <c r="C45">
        <f>Inputs!$B$3&gt;=69</f>
        <v/>
      </c>
      <c r="D45">
        <f>IF(Skills!C11=1,60+Inputs!$B$27+Inputs!$B$31,IF(Skills!C11=2,90+Inputs!$B$28+Inputs!$B$31,IF(Skills!C11=3,120+Inputs!$B$29+Inputs!$B$31,MAX(0,(Inputs!$B$3-100)*3)+Inputs!$B$30+Inputs!$B$31)))</f>
        <v/>
      </c>
      <c r="E45">
        <f>INDEX(FactorTable!$B$2:$Y$301, MATCH(ROUND(MIN(300,MAX(1,D45)),0), FactorTable!$A$2:$A$301,0), Skills!L11+1)</f>
        <v/>
      </c>
      <c r="F45">
        <f>IF(Skills!M11=TRUE,(Skills!K11/10)*(E45/1000),Skills!K11/10)+Skills!N11</f>
        <v/>
      </c>
      <c r="G45">
        <f>Calc!G11</f>
        <v/>
      </c>
      <c r="H45">
        <f>Calc!H11</f>
        <v/>
      </c>
      <c r="I45">
        <f>IF(Skills!T11&lt;&gt;"",1+(Skills!T11/10)*($Z$3/1000)/100,1)</f>
        <v/>
      </c>
      <c r="J45" t="inlineStr"/>
      <c r="K45" t="inlineStr"/>
      <c r="L45" t="inlineStr"/>
      <c r="M45" t="inlineStr"/>
      <c r="N45" t="inlineStr"/>
      <c r="O45" t="n">
        <v>0</v>
      </c>
      <c r="P45">
        <f>IF(B72=0,0,O45/B72)</f>
        <v/>
      </c>
      <c r="Q45">
        <f>IFERROR(1/IF(Inputs!$B$40="pvp",15,MAX(0.1,Skills!D11-IF(Skills!E11=TRUE,Inputs!$B$34,0))),0)</f>
        <v/>
      </c>
      <c r="R45">
        <f>IF(AND(Inputs!$B$40&lt;&gt;"pvp",Inputs!$B$43&gt;0),(INT(Inputs!$B$43/IF(Inputs!$B$40="pvp",15,MAX(0.1,Skills!D11-IF(Skills!E11=TRUE,Inputs!$B$34,0))))+1),0)</f>
        <v/>
      </c>
    </row>
    <row r="46">
      <c r="A46">
        <f>Skills!A12</f>
        <v/>
      </c>
      <c r="B46">
        <f>Skills!B12</f>
        <v/>
      </c>
      <c r="C46">
        <f>Inputs!$B$3&gt;=72</f>
        <v/>
      </c>
      <c r="D46">
        <f>IF(Skills!C12=1,60+Inputs!$B$27+Inputs!$B$31,IF(Skills!C12=2,90+Inputs!$B$28+Inputs!$B$31,IF(Skills!C12=3,120+Inputs!$B$29+Inputs!$B$31,MAX(0,(Inputs!$B$3-100)*3)+Inputs!$B$30+Inputs!$B$31)))</f>
        <v/>
      </c>
      <c r="E46">
        <f>INDEX(FactorTable!$B$2:$Y$301, MATCH(ROUND(MIN(300,MAX(1,D46)),0), FactorTable!$A$2:$A$301,0), Skills!L12+1)</f>
        <v/>
      </c>
      <c r="F46">
        <f>IF(Skills!M12=TRUE,(Skills!K12/10)*(E46/1000),Skills!K12/10)+Skills!N12</f>
        <v/>
      </c>
      <c r="G46">
        <f>Calc!G12</f>
        <v/>
      </c>
      <c r="H46">
        <f>Calc!H12</f>
        <v/>
      </c>
      <c r="I46">
        <f>IF(Skills!T12&lt;&gt;"",1+(Skills!T12/10)*($Z$3/1000)/100,1)</f>
        <v/>
      </c>
      <c r="J46" t="inlineStr"/>
      <c r="K46" t="inlineStr"/>
      <c r="L46" t="inlineStr"/>
      <c r="M46" t="inlineStr"/>
      <c r="N46" t="inlineStr"/>
      <c r="O46" t="n">
        <v>0</v>
      </c>
      <c r="P46">
        <f>IF(B72=0,0,O46/B72)</f>
        <v/>
      </c>
      <c r="Q46">
        <f>IFERROR(1/IF(Inputs!$B$40="pvp",15,MAX(0.1,Skills!D12-IF(Skills!E12=TRUE,Inputs!$B$34,0))),0)</f>
        <v/>
      </c>
      <c r="R46">
        <f>IF(AND(Inputs!$B$40&lt;&gt;"pvp",Inputs!$B$43&gt;0),(INT(Inputs!$B$43/IF(Inputs!$B$40="pvp",15,MAX(0.1,Skills!D12-IF(Skills!E12=TRUE,Inputs!$B$34,0))))+1),0)</f>
        <v/>
      </c>
    </row>
    <row r="47">
      <c r="A47">
        <f>Skills!A13</f>
        <v/>
      </c>
      <c r="B47">
        <f>Skills!B13</f>
        <v/>
      </c>
      <c r="C47">
        <f>Inputs!$B$3&gt;=107</f>
        <v/>
      </c>
      <c r="D47">
        <f>IF(Skills!C13=1,60+Inputs!$B$27+Inputs!$B$31,IF(Skills!C13=2,90+Inputs!$B$28+Inputs!$B$31,IF(Skills!C13=3,120+Inputs!$B$29+Inputs!$B$31,MAX(0,(Inputs!$B$3-100)*3)+Inputs!$B$30+Inputs!$B$31)))</f>
        <v/>
      </c>
      <c r="E47">
        <f>INDEX(FactorTable!$B$2:$Y$301, MATCH(ROUND(MIN(300,MAX(1,D47)),0), FactorTable!$A$2:$A$301,0), Skills!L13+1)</f>
        <v/>
      </c>
      <c r="F47">
        <f>IF(Skills!M13=TRUE,(Skills!K13/10)*(E47/1000),Skills!K13/10)+Skills!N13</f>
        <v/>
      </c>
      <c r="G47">
        <f>Calc!G13</f>
        <v/>
      </c>
      <c r="H47">
        <f>Calc!H13</f>
        <v/>
      </c>
      <c r="I47">
        <f>IF(Skills!T13&lt;&gt;"",1+(Skills!T13/10)*($Z$3/1000)/100,1)</f>
        <v/>
      </c>
      <c r="J47" t="inlineStr"/>
      <c r="K47" t="inlineStr"/>
      <c r="L47" t="inlineStr"/>
      <c r="M47" t="inlineStr"/>
      <c r="N47" t="inlineStr"/>
      <c r="O47" t="n">
        <v>0</v>
      </c>
      <c r="P47">
        <f>IF(B72=0,0,O47/B72)</f>
        <v/>
      </c>
      <c r="Q47">
        <f>IFERROR(1/IF(Inputs!$B$40="pvp",15,MAX(0.1,Skills!D13-IF(Skills!E13=TRUE,Inputs!$B$34,0))),0)</f>
        <v/>
      </c>
      <c r="R47">
        <f>IF(AND(Inputs!$B$40&lt;&gt;"pvp",Inputs!$B$43&gt;0),(INT(Inputs!$B$43/IF(Inputs!$B$40="pvp",15,MAX(0.1,Skills!D13-IF(Skills!E13=TRUE,Inputs!$B$34,0))))+1),0)</f>
        <v/>
      </c>
    </row>
    <row r="48">
      <c r="A48">
        <f>Skills!A14</f>
        <v/>
      </c>
      <c r="B48">
        <f>Skills!B14</f>
        <v/>
      </c>
      <c r="C48">
        <f>Inputs!$B$3&gt;=63</f>
        <v/>
      </c>
      <c r="D48">
        <f>IF(Skills!C14=1,60+Inputs!$B$27+Inputs!$B$31,IF(Skills!C14=2,90+Inputs!$B$28+Inputs!$B$31,IF(Skills!C14=3,120+Inputs!$B$29+Inputs!$B$31,MAX(0,(Inputs!$B$3-100)*3)+Inputs!$B$30+Inputs!$B$31)))</f>
        <v/>
      </c>
      <c r="E48">
        <f>INDEX(FactorTable!$B$2:$Y$301, MATCH(ROUND(MIN(300,MAX(1,D48)),0), FactorTable!$A$2:$A$301,0), Skills!L14+1)</f>
        <v/>
      </c>
      <c r="F48">
        <f>IF(Skills!M14=TRUE,(Skills!K14/10)*(E48/1000),Skills!K14/10)+Skills!N14</f>
        <v/>
      </c>
      <c r="G48">
        <f>Calc!G14</f>
        <v/>
      </c>
      <c r="H48">
        <f>Calc!H14</f>
        <v/>
      </c>
      <c r="I48">
        <f>IF(Skills!T14&lt;&gt;"",1+(Skills!T14/10)*($Z$3/1000)/100,1)</f>
        <v/>
      </c>
      <c r="J48">
        <f>(Inputs!$B$7*(1+Inputs!$B$8/100))*(F48/100)</f>
        <v/>
      </c>
      <c r="K48">
        <f>J48*(1+((((Inputs!$B$14+1)+IF(Inputs!$B$3&gt;=35,0.10*(Inputs!$B$9*(1+Inputs!$B$10/100)),0))*(1+Inputs!$B$15/100))*0.01+Inputs!$B$16*0.0025)/100)*(1+(Inputs!$B$17+B65)/100)*(1+IF(Inputs!$B$40="pvp",0,(1-Summary!$B$48)*(Inputs!$B$22+Skills!O14+B63)+Summary!$B$48*(Inputs!$B$23+Skills!P14+B64))/100)*(1+Inputs!$B$18/100)*(5000/(6000+Inputs!$B$42*(1-Inputs!$B$21/100)))*(1+Inputs!$B$26/100)*(1+IF(C51=TRUE,F51,0)/100)*(1+IF(C53=TRUE,F53,0)/100)*(1+IF(Skills!A14="TRIUMPH_FEATHER",IF(C49=TRUE,F49,0),0)/100)*(1+IF(C60=TRUE,F60,0)/100)^5*(1+(IF(Skills!A14="BIG_BANG",Inputs!$B$19,Inputs!$B$20))/100)*(B62*I48)</f>
        <v/>
      </c>
      <c r="L48">
        <f>K48*(MIN(Inputs!$B$24+(F55-Calc!F21),Inputs!$B$25)/100+Inputs!$B$25/100)/2</f>
        <v/>
      </c>
      <c r="M48">
        <f>L48*(1+(Inputs!$B$12+B66+(F58-Calc!F24))/100)</f>
        <v/>
      </c>
      <c r="N48">
        <f>L48*(1-MIN(Inputs!$B$11+((F57-Calc!F23)+(F56-Calc!F22)),100)/100)+M48*(MIN(Inputs!$B$11+((F57-Calc!F23)+(F56-Calc!F22)),100)/100)</f>
        <v/>
      </c>
      <c r="O48">
        <f>IF(C48,Skills!F14*N48*((IF(Inputs!$B$3&gt;=78,25,15)/100*B68*10)/(1+IF(Inputs!$B$3&gt;=78,25,15)/100*B68*10))*(Skills!I14/100*B68)/(1+Skills!G14*Skills!I14/100*B68)*IF(Inputs!$B$40="pvp",1,(1-Summary!$B$48)*(1)+Summary!$B$48*(MIN(Skills!Q14,Inputs!$B$39))),0)</f>
        <v/>
      </c>
      <c r="P48">
        <f>IF(B72=0,0,O48/B72)</f>
        <v/>
      </c>
      <c r="Q48">
        <f>IFERROR(1/IF(Inputs!$B$40="pvp",15,MAX(0.1,Skills!D14-IF(Skills!E14=TRUE,Inputs!$B$34,0))),0)</f>
        <v/>
      </c>
      <c r="R48" t="n">
        <v>0</v>
      </c>
    </row>
    <row r="49">
      <c r="A49">
        <f>Skills!A15</f>
        <v/>
      </c>
      <c r="B49">
        <f>Skills!B15</f>
        <v/>
      </c>
      <c r="C49">
        <f>Inputs!$B$3&gt;=100</f>
        <v/>
      </c>
      <c r="D49">
        <f>IF(Skills!C15=1,60+Inputs!$B$27+Inputs!$B$31,IF(Skills!C15=2,90+Inputs!$B$28+Inputs!$B$31,IF(Skills!C15=3,120+Inputs!$B$29+Inputs!$B$31,MAX(0,(Inputs!$B$3-100)*3)+Inputs!$B$30+Inputs!$B$31)))</f>
        <v/>
      </c>
      <c r="E49">
        <f>INDEX(FactorTable!$B$2:$Y$301, MATCH(ROUND(MIN(300,MAX(1,D49)),0), FactorTable!$A$2:$A$301,0), Skills!L15+1)</f>
        <v/>
      </c>
      <c r="F49">
        <f>IF(Skills!M15=TRUE,(Skills!K15/10)*(E49/1000),Skills!K15/10)+Skills!N15</f>
        <v/>
      </c>
      <c r="G49">
        <f>Calc!G15</f>
        <v/>
      </c>
      <c r="H49">
        <f>Calc!H15</f>
        <v/>
      </c>
      <c r="I49">
        <f>IF(Skills!T15&lt;&gt;"",1+(Skills!T15/10)*($Z$3/1000)/100,1)</f>
        <v/>
      </c>
      <c r="J49" t="inlineStr"/>
      <c r="K49" t="inlineStr"/>
      <c r="L49" t="inlineStr"/>
      <c r="M49" t="inlineStr"/>
      <c r="N49" t="inlineStr"/>
      <c r="O49" t="n">
        <v>0</v>
      </c>
      <c r="P49">
        <f>IF(B72=0,0,O49/B72)</f>
        <v/>
      </c>
      <c r="Q49">
        <f>IFERROR(1/IF(Inputs!$B$40="pvp",15,MAX(0.1,Skills!D15-IF(Skills!E15=TRUE,Inputs!$B$34,0))),0)</f>
        <v/>
      </c>
      <c r="R49" t="n">
        <v>0</v>
      </c>
    </row>
    <row r="50">
      <c r="A50">
        <f>Skills!A16</f>
        <v/>
      </c>
      <c r="B50">
        <f>Skills!B16</f>
        <v/>
      </c>
      <c r="C50">
        <f>Inputs!$B$3&gt;=49</f>
        <v/>
      </c>
      <c r="D50">
        <f>IF(Skills!C16=1,60+Inputs!$B$27+Inputs!$B$31,IF(Skills!C16=2,90+Inputs!$B$28+Inputs!$B$31,IF(Skills!C16=3,120+Inputs!$B$29+Inputs!$B$31,MAX(0,(Inputs!$B$3-100)*3)+Inputs!$B$30+Inputs!$B$31)))</f>
        <v/>
      </c>
      <c r="E50">
        <f>INDEX(FactorTable!$B$2:$Y$301, MATCH(ROUND(MIN(300,MAX(1,D50)),0), FactorTable!$A$2:$A$301,0), Skills!L16+1)</f>
        <v/>
      </c>
      <c r="F50">
        <f>IF(Skills!M16=TRUE,(Skills!K16/10)*(E50/1000),Skills!K16/10)+Skills!N16</f>
        <v/>
      </c>
      <c r="G50">
        <f>Calc!G16</f>
        <v/>
      </c>
      <c r="H50">
        <f>Calc!H16</f>
        <v/>
      </c>
      <c r="I50">
        <f>IF(Skills!T16&lt;&gt;"",1+(Skills!T16/10)*($Z$3/1000)/100,1)</f>
        <v/>
      </c>
      <c r="J50" t="inlineStr"/>
      <c r="K50" t="inlineStr"/>
      <c r="L50" t="inlineStr"/>
      <c r="M50" t="inlineStr"/>
      <c r="N50" t="inlineStr"/>
      <c r="O50" t="n">
        <v>0</v>
      </c>
      <c r="P50">
        <f>IF(B72=0,0,O50/B72)</f>
        <v/>
      </c>
      <c r="Q50">
        <f>IFERROR(1/IF(Inputs!$B$40="pvp",15,MAX(0.1,Skills!D16-IF(Skills!E16=TRUE,Inputs!$B$34,0))),0)</f>
        <v/>
      </c>
      <c r="R50" t="n">
        <v>0</v>
      </c>
    </row>
    <row r="51">
      <c r="A51">
        <f>Skills!A17</f>
        <v/>
      </c>
      <c r="B51">
        <f>Skills!B17</f>
        <v/>
      </c>
      <c r="C51">
        <f>Inputs!$B$3&gt;=75</f>
        <v/>
      </c>
      <c r="D51">
        <f>IF(Skills!C17=1,60+Inputs!$B$27+Inputs!$B$31,IF(Skills!C17=2,90+Inputs!$B$28+Inputs!$B$31,IF(Skills!C17=3,120+Inputs!$B$29+Inputs!$B$31,MAX(0,(Inputs!$B$3-100)*3)+Inputs!$B$30+Inputs!$B$31)))</f>
        <v/>
      </c>
      <c r="E51">
        <f>INDEX(FactorTable!$B$2:$Y$301, MATCH(ROUND(MIN(300,MAX(1,D51)),0), FactorTable!$A$2:$A$301,0), Skills!L17+1)</f>
        <v/>
      </c>
      <c r="F51">
        <f>IF(Skills!M17=TRUE,(Skills!K17/10)*(E51/1000),Skills!K17/10)+Skills!N17</f>
        <v/>
      </c>
      <c r="G51">
        <f>Calc!G17</f>
        <v/>
      </c>
      <c r="H51">
        <f>Calc!H17</f>
        <v/>
      </c>
      <c r="I51">
        <f>IF(Skills!T17&lt;&gt;"",1+(Skills!T17/10)*($Z$3/1000)/100,1)</f>
        <v/>
      </c>
      <c r="J51" t="inlineStr"/>
      <c r="K51" t="inlineStr"/>
      <c r="L51" t="inlineStr"/>
      <c r="M51" t="inlineStr"/>
      <c r="N51" t="inlineStr"/>
      <c r="O51" t="n">
        <v>0</v>
      </c>
      <c r="P51">
        <f>IF(B72=0,0,O51/B72)</f>
        <v/>
      </c>
      <c r="Q51">
        <f>IFERROR(1/IF(Inputs!$B$40="pvp",15,MAX(0.1,Skills!D17-IF(Skills!E17=TRUE,Inputs!$B$34,0))),0)</f>
        <v/>
      </c>
      <c r="R51" t="n">
        <v>0</v>
      </c>
    </row>
    <row r="52">
      <c r="A52">
        <f>Skills!A18</f>
        <v/>
      </c>
      <c r="B52">
        <f>Skills!B18</f>
        <v/>
      </c>
      <c r="C52">
        <f>Inputs!$B$3&gt;=110</f>
        <v/>
      </c>
      <c r="D52">
        <f>IF(Skills!C18=1,60+Inputs!$B$27+Inputs!$B$31,IF(Skills!C18=2,90+Inputs!$B$28+Inputs!$B$31,IF(Skills!C18=3,120+Inputs!$B$29+Inputs!$B$31,MAX(0,(Inputs!$B$3-100)*3)+Inputs!$B$30+Inputs!$B$31)))</f>
        <v/>
      </c>
      <c r="E52">
        <f>INDEX(FactorTable!$B$2:$Y$301, MATCH(ROUND(MIN(300,MAX(1,D52)),0), FactorTable!$A$2:$A$301,0), Skills!L18+1)</f>
        <v/>
      </c>
      <c r="F52">
        <f>(Skills!K18/10)*(E52/1000)*64/45+Skills!N18</f>
        <v/>
      </c>
      <c r="G52">
        <f>Calc!G18</f>
        <v/>
      </c>
      <c r="H52">
        <f>Calc!H18</f>
        <v/>
      </c>
      <c r="I52">
        <f>IF(Skills!T18&lt;&gt;"",1+(Skills!T18/10)*($Z$3/1000)/100,1)</f>
        <v/>
      </c>
      <c r="J52" t="inlineStr"/>
      <c r="K52" t="inlineStr"/>
      <c r="L52" t="inlineStr"/>
      <c r="M52" t="inlineStr"/>
      <c r="N52" t="inlineStr"/>
      <c r="O52" t="n">
        <v>0</v>
      </c>
      <c r="P52">
        <f>IF(B72=0,0,O52/B72)</f>
        <v/>
      </c>
      <c r="Q52">
        <f>IFERROR(1/IF(Inputs!$B$40="pvp",15,MAX(0.1,Skills!D18-IF(Skills!E18=TRUE,Inputs!$B$34,0))),0)</f>
        <v/>
      </c>
      <c r="R52">
        <f>IF(AND(Inputs!$B$40&lt;&gt;"pvp",Inputs!$B$43&gt;0),(INT(Inputs!$B$43/IF(Inputs!$B$40="pvp",15,MAX(0.1,Skills!D18-IF(Skills!E18=TRUE,Inputs!$B$34,0))))+1),0)</f>
        <v/>
      </c>
    </row>
    <row r="53">
      <c r="A53">
        <f>Skills!A19</f>
        <v/>
      </c>
      <c r="B53">
        <f>Skills!B19</f>
        <v/>
      </c>
      <c r="C53">
        <f>Inputs!$B$3&gt;=125</f>
        <v/>
      </c>
      <c r="D53">
        <f>IF(Skills!C19=1,60+Inputs!$B$27+Inputs!$B$31,IF(Skills!C19=2,90+Inputs!$B$28+Inputs!$B$31,IF(Skills!C19=3,120+Inputs!$B$29+Inputs!$B$31,MAX(0,(Inputs!$B$3-100)*3)+Inputs!$B$30+Inputs!$B$31)))</f>
        <v/>
      </c>
      <c r="E53">
        <f>INDEX(FactorTable!$B$2:$Y$301, MATCH(ROUND(MIN(300,MAX(1,D53)),0), FactorTable!$A$2:$A$301,0), Skills!L19+1)</f>
        <v/>
      </c>
      <c r="F53">
        <f>IF(Skills!M19=TRUE,(Skills!K19/10)*(E53/1000),Skills!K19/10)+Skills!N19</f>
        <v/>
      </c>
      <c r="G53">
        <f>Calc!G19</f>
        <v/>
      </c>
      <c r="H53">
        <f>Calc!H19</f>
        <v/>
      </c>
      <c r="I53">
        <f>IF(Skills!T19&lt;&gt;"",1+(Skills!T19/10)*($Z$3/1000)/100,1)</f>
        <v/>
      </c>
      <c r="J53" t="inlineStr"/>
      <c r="K53" t="inlineStr"/>
      <c r="L53" t="inlineStr"/>
      <c r="M53" t="inlineStr"/>
      <c r="N53" t="inlineStr"/>
      <c r="O53" t="n">
        <v>0</v>
      </c>
      <c r="P53">
        <f>IF(B72=0,0,O53/B72)</f>
        <v/>
      </c>
      <c r="Q53">
        <f>IFERROR(1/IF(Inputs!$B$40="pvp",15,MAX(0.1,Skills!D19-IF(Skills!E19=TRUE,Inputs!$B$34,0))),0)</f>
        <v/>
      </c>
      <c r="R53" t="n">
        <v>0</v>
      </c>
    </row>
    <row r="54">
      <c r="A54">
        <f>Skills!A20</f>
        <v/>
      </c>
      <c r="B54">
        <f>Skills!B20</f>
        <v/>
      </c>
      <c r="C54">
        <f>Inputs!$B$3&gt;=33</f>
        <v/>
      </c>
      <c r="D54">
        <f>IF(Skills!C20=1,60+Inputs!$B$27+Inputs!$B$31,IF(Skills!C20=2,90+Inputs!$B$28+Inputs!$B$31,IF(Skills!C20=3,120+Inputs!$B$29+Inputs!$B$31,MAX(0,(Inputs!$B$3-100)*3)+Inputs!$B$30+Inputs!$B$31)))</f>
        <v/>
      </c>
      <c r="E54">
        <f>INDEX(FactorTable!$B$2:$Y$301, MATCH(ROUND(MIN(300,MAX(1,D54)),0), FactorTable!$A$2:$A$301,0), Skills!L20+1)</f>
        <v/>
      </c>
      <c r="F54">
        <f>IF(Skills!M20=TRUE,(Skills!K20/10)*(E54/1000),Skills!K20/10)+Skills!N20</f>
        <v/>
      </c>
      <c r="G54">
        <f>Calc!G20</f>
        <v/>
      </c>
      <c r="H54">
        <f>Calc!H20</f>
        <v/>
      </c>
      <c r="I54">
        <f>IF(Skills!T20&lt;&gt;"",1+(Skills!T20/10)*($Z$3/1000)/100,1)</f>
        <v/>
      </c>
      <c r="J54" t="inlineStr"/>
      <c r="K54" t="inlineStr"/>
      <c r="L54" t="inlineStr"/>
      <c r="M54" t="inlineStr"/>
      <c r="N54" t="inlineStr"/>
      <c r="O54" t="n">
        <v>0</v>
      </c>
      <c r="P54">
        <f>IF(B72=0,0,O54/B72)</f>
        <v/>
      </c>
      <c r="Q54">
        <f>IFERROR(1/IF(Inputs!$B$40="pvp",15,MAX(0.1,Skills!D20-IF(Skills!E20=TRUE,Inputs!$B$34,0))),0)</f>
        <v/>
      </c>
      <c r="R54" t="n">
        <v>0</v>
      </c>
    </row>
    <row r="55">
      <c r="A55">
        <f>Skills!A21</f>
        <v/>
      </c>
      <c r="B55">
        <f>Skills!B21</f>
        <v/>
      </c>
      <c r="C55">
        <f>Inputs!$B$3&gt;=43</f>
        <v/>
      </c>
      <c r="D55">
        <f>IF(Skills!C21=1,60+Inputs!$B$27+Inputs!$B$31,IF(Skills!C21=2,90+Inputs!$B$28+Inputs!$B$31,IF(Skills!C21=3,120+Inputs!$B$29+Inputs!$B$31,MAX(0,(Inputs!$B$3-100)*3)+Inputs!$B$30+Inputs!$B$31)))</f>
        <v/>
      </c>
      <c r="E55">
        <f>INDEX(FactorTable!$B$2:$Y$301, MATCH(ROUND(MIN(300,MAX(1,D55)),0), FactorTable!$A$2:$A$301,0), Skills!L21+1)</f>
        <v/>
      </c>
      <c r="F55">
        <f>IF(Skills!M21=TRUE,(Skills!K21/10)*(E55/1000),Skills!K21/10)+Skills!N21</f>
        <v/>
      </c>
      <c r="G55">
        <f>Calc!G21</f>
        <v/>
      </c>
      <c r="H55">
        <f>Calc!H21</f>
        <v/>
      </c>
      <c r="I55">
        <f>IF(Skills!T21&lt;&gt;"",1+(Skills!T21/10)*($Z$3/1000)/100,1)</f>
        <v/>
      </c>
      <c r="J55" t="inlineStr"/>
      <c r="K55" t="inlineStr"/>
      <c r="L55" t="inlineStr"/>
      <c r="M55" t="inlineStr"/>
      <c r="N55" t="inlineStr"/>
      <c r="O55" t="n">
        <v>0</v>
      </c>
      <c r="P55">
        <f>IF(B72=0,0,O55/B72)</f>
        <v/>
      </c>
      <c r="Q55">
        <f>IFERROR(1/IF(Inputs!$B$40="pvp",15,MAX(0.1,Skills!D21-IF(Skills!E21=TRUE,Inputs!$B$34,0))),0)</f>
        <v/>
      </c>
      <c r="R55" t="n">
        <v>0</v>
      </c>
    </row>
    <row r="56">
      <c r="A56">
        <f>Skills!A22</f>
        <v/>
      </c>
      <c r="B56">
        <f>Skills!B22</f>
        <v/>
      </c>
      <c r="C56">
        <f>Inputs!$B$3&gt;=50</f>
        <v/>
      </c>
      <c r="D56">
        <f>IF(Skills!C22=1,60+Inputs!$B$27+Inputs!$B$31,IF(Skills!C22=2,90+Inputs!$B$28+Inputs!$B$31,IF(Skills!C22=3,120+Inputs!$B$29+Inputs!$B$31,MAX(0,(Inputs!$B$3-100)*3)+Inputs!$B$30+Inputs!$B$31)))</f>
        <v/>
      </c>
      <c r="E56">
        <f>INDEX(FactorTable!$B$2:$Y$301, MATCH(ROUND(MIN(300,MAX(1,D56)),0), FactorTable!$A$2:$A$301,0), Skills!L22+1)</f>
        <v/>
      </c>
      <c r="F56">
        <f>IF(Skills!M22=TRUE,(Skills!K22/10)*(E56/1000),Skills!K22/10)+Skills!N22</f>
        <v/>
      </c>
      <c r="G56">
        <f>Calc!G22</f>
        <v/>
      </c>
      <c r="H56">
        <f>Calc!H22</f>
        <v/>
      </c>
      <c r="I56">
        <f>IF(Skills!T22&lt;&gt;"",1+(Skills!T22/10)*($Z$3/1000)/100,1)</f>
        <v/>
      </c>
      <c r="J56" t="inlineStr"/>
      <c r="K56" t="inlineStr"/>
      <c r="L56" t="inlineStr"/>
      <c r="M56" t="inlineStr"/>
      <c r="N56" t="inlineStr"/>
      <c r="O56" t="n">
        <v>0</v>
      </c>
      <c r="P56">
        <f>IF(B72=0,0,O56/B72)</f>
        <v/>
      </c>
      <c r="Q56">
        <f>IFERROR(1/IF(Inputs!$B$40="pvp",15,MAX(0.1,Skills!D22-IF(Skills!E22=TRUE,Inputs!$B$34,0))),0)</f>
        <v/>
      </c>
      <c r="R56" t="n">
        <v>0</v>
      </c>
    </row>
    <row r="57">
      <c r="A57">
        <f>Skills!A23</f>
        <v/>
      </c>
      <c r="B57">
        <f>Skills!B23</f>
        <v/>
      </c>
      <c r="C57">
        <f>Inputs!$B$3&gt;=74</f>
        <v/>
      </c>
      <c r="D57">
        <f>IF(Skills!C23=1,60+Inputs!$B$27+Inputs!$B$31,IF(Skills!C23=2,90+Inputs!$B$28+Inputs!$B$31,IF(Skills!C23=3,120+Inputs!$B$29+Inputs!$B$31,MAX(0,(Inputs!$B$3-100)*3)+Inputs!$B$30+Inputs!$B$31)))</f>
        <v/>
      </c>
      <c r="E57">
        <f>INDEX(FactorTable!$B$2:$Y$301, MATCH(ROUND(MIN(300,MAX(1,D57)),0), FactorTable!$A$2:$A$301,0), Skills!L23+1)</f>
        <v/>
      </c>
      <c r="F57">
        <f>IF(Skills!M23=TRUE,(Skills!K23/10)*(E57/1000),Skills!K23/10)+Skills!N23</f>
        <v/>
      </c>
      <c r="G57">
        <f>Calc!G23</f>
        <v/>
      </c>
      <c r="H57">
        <f>Calc!H23</f>
        <v/>
      </c>
      <c r="I57">
        <f>IF(Skills!T23&lt;&gt;"",1+(Skills!T23/10)*($Z$3/1000)/100,1)</f>
        <v/>
      </c>
      <c r="J57" t="inlineStr"/>
      <c r="K57" t="inlineStr"/>
      <c r="L57" t="inlineStr"/>
      <c r="M57" t="inlineStr"/>
      <c r="N57" t="inlineStr"/>
      <c r="O57" t="n">
        <v>0</v>
      </c>
      <c r="P57">
        <f>IF(B72=0,0,O57/B72)</f>
        <v/>
      </c>
      <c r="Q57">
        <f>IFERROR(1/IF(Inputs!$B$40="pvp",15,MAX(0.1,Skills!D23-IF(Skills!E23=TRUE,Inputs!$B$34,0))),0)</f>
        <v/>
      </c>
      <c r="R57" t="n">
        <v>0</v>
      </c>
    </row>
    <row r="58">
      <c r="A58">
        <f>Skills!A24</f>
        <v/>
      </c>
      <c r="B58">
        <f>Skills!B24</f>
        <v/>
      </c>
      <c r="C58">
        <f>Inputs!$B$3&gt;=74</f>
        <v/>
      </c>
      <c r="D58">
        <f>IF(Skills!C24=1,60+Inputs!$B$27+Inputs!$B$31,IF(Skills!C24=2,90+Inputs!$B$28+Inputs!$B$31,IF(Skills!C24=3,120+Inputs!$B$29+Inputs!$B$31,MAX(0,(Inputs!$B$3-100)*3)+Inputs!$B$30+Inputs!$B$31)))</f>
        <v/>
      </c>
      <c r="E58">
        <f>INDEX(FactorTable!$B$2:$Y$301, MATCH(ROUND(MIN(300,MAX(1,D58)),0), FactorTable!$A$2:$A$301,0), Skills!L24+1)</f>
        <v/>
      </c>
      <c r="F58">
        <f>IF(Skills!M24=TRUE,(Skills!K24/10)*(E58/1000),Skills!K24/10)+Skills!N24</f>
        <v/>
      </c>
      <c r="G58">
        <f>Calc!G24</f>
        <v/>
      </c>
      <c r="H58">
        <f>Calc!H24</f>
        <v/>
      </c>
      <c r="I58">
        <f>IF(Skills!T24&lt;&gt;"",1+(Skills!T24/10)*($Z$3/1000)/100,1)</f>
        <v/>
      </c>
      <c r="J58" t="inlineStr"/>
      <c r="K58" t="inlineStr"/>
      <c r="L58" t="inlineStr"/>
      <c r="M58" t="inlineStr"/>
      <c r="N58" t="inlineStr"/>
      <c r="O58" t="n">
        <v>0</v>
      </c>
      <c r="P58">
        <f>IF(B72=0,0,O58/B72)</f>
        <v/>
      </c>
      <c r="Q58">
        <f>IFERROR(1/IF(Inputs!$B$40="pvp",15,MAX(0.1,Skills!D24-IF(Skills!E24=TRUE,Inputs!$B$34,0))),0)</f>
        <v/>
      </c>
      <c r="R58" t="n">
        <v>0</v>
      </c>
    </row>
    <row r="59">
      <c r="A59">
        <f>Skills!A25</f>
        <v/>
      </c>
      <c r="B59">
        <f>Skills!B25</f>
        <v/>
      </c>
      <c r="C59">
        <f>Inputs!$B$3&gt;=117</f>
        <v/>
      </c>
      <c r="D59">
        <f>IF(Skills!C25=1,60+Inputs!$B$27+Inputs!$B$31,IF(Skills!C25=2,90+Inputs!$B$28+Inputs!$B$31,IF(Skills!C25=3,120+Inputs!$B$29+Inputs!$B$31,MAX(0,(Inputs!$B$3-100)*3)+Inputs!$B$30+Inputs!$B$31)))</f>
        <v/>
      </c>
      <c r="E59">
        <f>INDEX(FactorTable!$B$2:$Y$301, MATCH(ROUND(MIN(300,MAX(1,D59)),0), FactorTable!$A$2:$A$301,0), Skills!L25+1)</f>
        <v/>
      </c>
      <c r="F59">
        <f>IF(Skills!M25=TRUE,(Skills!K25/10)*(E59/1000),Skills!K25/10)+Skills!N25</f>
        <v/>
      </c>
      <c r="G59">
        <f>Calc!G25</f>
        <v/>
      </c>
      <c r="H59">
        <f>Calc!H25</f>
        <v/>
      </c>
      <c r="I59">
        <f>IF(Skills!T25&lt;&gt;"",1+(Skills!T25/10)*($Z$3/1000)/100,1)</f>
        <v/>
      </c>
      <c r="J59" t="inlineStr"/>
      <c r="K59" t="inlineStr"/>
      <c r="L59" t="inlineStr"/>
      <c r="M59" t="inlineStr"/>
      <c r="N59" t="inlineStr"/>
      <c r="O59" t="n">
        <v>0</v>
      </c>
      <c r="P59">
        <f>IF(B72=0,0,O59/B72)</f>
        <v/>
      </c>
      <c r="Q59">
        <f>IFERROR(1/IF(Inputs!$B$40="pvp",15,MAX(0.1,Skills!D25-IF(Skills!E25=TRUE,Inputs!$B$34,0))),0)</f>
        <v/>
      </c>
      <c r="R59" t="n">
        <v>0</v>
      </c>
    </row>
    <row r="60">
      <c r="A60">
        <f>Skills!A26</f>
        <v/>
      </c>
      <c r="B60">
        <f>Skills!B26</f>
        <v/>
      </c>
      <c r="C60">
        <f>Inputs!$B$3&gt;=120</f>
        <v/>
      </c>
      <c r="D60">
        <f>IF(Skills!C26=1,60+Inputs!$B$27+Inputs!$B$31,IF(Skills!C26=2,90+Inputs!$B$28+Inputs!$B$31,IF(Skills!C26=3,120+Inputs!$B$29+Inputs!$B$31,MAX(0,(Inputs!$B$3-100)*3)+Inputs!$B$30+Inputs!$B$31)))</f>
        <v/>
      </c>
      <c r="E60">
        <f>INDEX(FactorTable!$B$2:$Y$301, MATCH(ROUND(MIN(300,MAX(1,D60)),0), FactorTable!$A$2:$A$301,0), Skills!L26+1)</f>
        <v/>
      </c>
      <c r="F60">
        <f>IF(Skills!M26=TRUE,(Skills!K26/10)*(E60/1000),Skills!K26/10)+Skills!N26</f>
        <v/>
      </c>
      <c r="G60">
        <f>Calc!G26</f>
        <v/>
      </c>
      <c r="H60">
        <f>Calc!H26</f>
        <v/>
      </c>
      <c r="I60">
        <f>IF(Skills!T26&lt;&gt;"",1+(Skills!T26/10)*($Z$3/1000)/100,1)</f>
        <v/>
      </c>
      <c r="J60" t="inlineStr"/>
      <c r="K60" t="inlineStr"/>
      <c r="L60" t="inlineStr"/>
      <c r="M60" t="inlineStr"/>
      <c r="N60" t="inlineStr"/>
      <c r="O60" t="n">
        <v>0</v>
      </c>
      <c r="P60">
        <f>IF(B72=0,0,O60/B72)</f>
        <v/>
      </c>
      <c r="Q60">
        <f>IFERROR(1/IF(Inputs!$B$40="pvp",15,MAX(0.1,Skills!D26-IF(Skills!E26=TRUE,Inputs!$B$34,0))),0)</f>
        <v/>
      </c>
      <c r="R60" t="n">
        <v>0</v>
      </c>
    </row>
    <row r="62">
      <c r="A62" t="inlineStr">
        <is>
          <t>Average Buff Multiplier</t>
        </is>
      </c>
      <c r="B62">
        <f>(1+(IF(C37=TRUE,F37*IF(AND(Inputs!$B$40&lt;&gt;"pvp",Inputs!$B$43&gt;0),(((R37-1)*(Skills!S3*(1+(Inputs!$B$36+IF(Inputs!$B$3&gt;=117,F59,0))/100))+MIN((Skills!S3*(1+(Inputs!$B$36+IF(Inputs!$B$3&gt;=117,F59,0))/100)),MAX(0,Inputs!$B$43-((R37-1)*Skills!D3))))/Inputs!$B$43),IF(Inputs!$B$40="pvp",MIN((Skills!S3*(1+(Inputs!$B$36+IF(Inputs!$B$3&gt;=117,F59,0))/100)),15)/15,(Skills!S3*(1+(Inputs!$B$36+IF(Inputs!$B$3&gt;=117,F59,0))/100))/Skills!D3)),0)+IF(C38=TRUE,F38*IF(AND(Inputs!$B$40&lt;&gt;"pvp",Inputs!$B$43&gt;0),(((R38-1)*(Skills!S4*(1+(Inputs!$B$36+IF(Inputs!$B$3&gt;=117,F59,0))/100))+MIN((Skills!S4*(1+(Inputs!$B$36+IF(Inputs!$B$3&gt;=117,F59,0))/100)),MAX(0,Inputs!$B$43-((R38-1)*Skills!D4))))/Inputs!$B$43),IF(Inputs!$B$40="pvp",MIN((Skills!S4*(1+(Inputs!$B$36+IF(Inputs!$B$3&gt;=117,F59,0))/100)),15)/15,(Skills!S4*(1+(Inputs!$B$36+IF(Inputs!$B$3&gt;=117,F59,0))/100))/Skills!D4)),0)+IF(C39=TRUE,F39*IF(AND(Inputs!$B$40&lt;&gt;"pvp",Inputs!$B$43&gt;0),(((R39-1)*(Skills!S5*(1+(Inputs!$B$36+IF(Inputs!$B$3&gt;=117,F59,0))/100))+MIN((Skills!S5*(1+(Inputs!$B$36+IF(Inputs!$B$3&gt;=117,F59,0))/100)),MAX(0,Inputs!$B$43-((R39-1)*Skills!D5))))/Inputs!$B$43),IF(Inputs!$B$40="pvp",MIN((Skills!S5*(1+(Inputs!$B$36+IF(Inputs!$B$3&gt;=117,F59,0))/100)),15)/15,(Skills!S5*(1+(Inputs!$B$36+IF(Inputs!$B$3&gt;=117,F59,0))/100))/Skills!D5)),0)+IF(C45=TRUE,F45*IF(AND(Inputs!$B$40&lt;&gt;"pvp",Inputs!$B$43&gt;0),(((R45-1)*(Skills!S11*(1+(Inputs!$B$36+IF(Inputs!$B$3&gt;=117,F59,0))/100))+MIN((Skills!S11*(1+(Inputs!$B$36+IF(Inputs!$B$3&gt;=117,F59,0))/100)),MAX(0,Inputs!$B$43-((R45-1)*Skills!D11))))/Inputs!$B$43),IF(Inputs!$B$40="pvp",MIN((Skills!S11*(1+(Inputs!$B$36+IF(Inputs!$B$3&gt;=117,F59,0))/100)),15)/15,(Skills!S11*(1+(Inputs!$B$36+IF(Inputs!$B$3&gt;=117,F59,0))/100))/Skills!D11)),0))/100)*IF(C47=TRUE,(1+F47*IF(AND(Inputs!$B$40&lt;&gt;"pvp",Inputs!$B$43&gt;0),(((R47-1)*(Skills!S13*(1+(Inputs!$B$36+IF(Inputs!$B$3&gt;=117,F59,0))/100))+MIN((Skills!S13*(1+(Inputs!$B$36+IF(Inputs!$B$3&gt;=117,F59,0))/100)),MAX(0,Inputs!$B$43-((R47-1)*Skills!D13))))/Inputs!$B$43),IF(Inputs!$B$40="pvp",MIN((Skills!S13*(1+(Inputs!$B$36+IF(Inputs!$B$3&gt;=117,F59,0))/100)),15)/15,(Skills!S13*(1+(Inputs!$B$36+IF(Inputs!$B$3&gt;=117,F59,0))/100))/Skills!D13))/100),1)*IF(C52=TRUE,(1+F52*IF(AND(Inputs!$B$40&lt;&gt;"pvp",Inputs!$B$43&gt;0),(((R52-1)*(Skills!S18*(1+(Inputs!$B$36+IF(Inputs!$B$3&gt;=117,F59,0))/100))+MIN((Skills!S18*(1+(Inputs!$B$36+IF(Inputs!$B$3&gt;=117,F59,0))/100)),MAX(0,Inputs!$B$43-((R52-1)*Skills!D18))))/Inputs!$B$43),IF(Inputs!$B$40="pvp",MIN((Skills!S18*(1+(Inputs!$B$36+IF(Inputs!$B$3&gt;=117,F59,0))/100)),15)/15,(Skills!S18*(1+(Inputs!$B$36+IF(Inputs!$B$3&gt;=117,F59,0))/100))/Skills!D18))/100),1)</f>
        <v/>
      </c>
    </row>
    <row r="63">
      <c r="A63" t="inlineStr">
        <is>
          <t>Monster Damage Taken Bonus % (Holy Fountain)</t>
        </is>
      </c>
      <c r="B63">
        <f>IF(Inputs!$B$3&gt;=68,20*IF(Inputs!$B$40="pvp",MIN((15*(1+(Inputs!$B$36+IF(Inputs!$B$3&gt;=117,F59,0))/100)),15)/15,(15*(1+(Inputs!$B$36+IF(Inputs!$B$3&gt;=117,F59,0))/100))/Skills!D10),0)</f>
        <v/>
      </c>
    </row>
    <row r="64">
      <c r="A64" t="inlineStr">
        <is>
          <t>Normal Monster Damage Bonus % (Holy Symbol)</t>
        </is>
      </c>
      <c r="B64">
        <f>IF(C46=TRUE,F46*IF(AND(Inputs!$B$40&lt;&gt;"pvp",Inputs!$B$43&gt;0),(((R46-1)*(Skills!S12*(1+(Inputs!$B$36+IF(Inputs!$B$3&gt;=117,F59,0))/100))+MIN((Skills!S12*(1+(Inputs!$B$36+IF(Inputs!$B$3&gt;=117,F59,0))/100)),MAX(0,Inputs!$B$43-((R46-1)*Skills!D12))))/Inputs!$B$43),IF(Inputs!$B$40="pvp",MIN((Skills!S12*(1+(Inputs!$B$36+IF(Inputs!$B$3&gt;=117,F59,0))/100)),15)/15,(Skills!S12*(1+(Inputs!$B$36+IF(Inputs!$B$3&gt;=117,F59,0))/100))/Skills!D12)),0)</f>
        <v/>
      </c>
    </row>
    <row r="65">
      <c r="A65" t="inlineStr">
        <is>
          <t>Damage % Bonus (Holy Symbol - Damage Boost)</t>
        </is>
      </c>
      <c r="B65">
        <f>Skills!O12</f>
        <v/>
      </c>
    </row>
    <row r="66">
      <c r="A66" t="inlineStr">
        <is>
          <t>Crit Damage % Bonus (Blood of the Divine)</t>
        </is>
      </c>
      <c r="B66">
        <f>4*IF(C53=TRUE,F53,0)</f>
        <v/>
      </c>
    </row>
    <row r="67">
      <c r="A67" t="inlineStr">
        <is>
          <t>Attack Speed Bonus %</t>
        </is>
      </c>
      <c r="B67">
        <f>IF(C50=TRUE,F50+(F54-Calc!F20),0)+IF(Inputs!$B$3&gt;=134,15,0)</f>
        <v/>
      </c>
    </row>
    <row r="68">
      <c r="A68" t="inlineStr">
        <is>
          <t>Actions Per Second</t>
        </is>
      </c>
      <c r="B68">
        <f>1+MIN(150,150*(1-(1-Inputs!$B$13/150)*(1-B67/150)))/100</f>
        <v/>
      </c>
    </row>
    <row r="69">
      <c r="A69" t="inlineStr">
        <is>
          <t>Skill + Buff Cast Rate</t>
        </is>
      </c>
      <c r="B69">
        <f>IF(AND(Inputs!$B$40&lt;&gt;"pvp",Inputs!$B$43&gt;0),SUMPRODUCT((Skills!E2:E26=TRUE)*(C36:C60=TRUE)*R36:R60)/Inputs!$B$43,SUMPRODUCT((Skills!E2:E26=TRUE)*(C36:C60=TRUE)*Q36:Q60))</f>
        <v/>
      </c>
    </row>
    <row r="70">
      <c r="A70" t="inlineStr">
        <is>
          <t>Big Bang Casts Per Second</t>
        </is>
      </c>
      <c r="B70">
        <f>MAX(0,B68-B69)</f>
        <v/>
      </c>
    </row>
    <row r="72">
      <c r="A72" s="5" t="inlineStr">
        <is>
          <t>TOTAL DPS</t>
        </is>
      </c>
      <c r="B72" s="5">
        <f>SUM(O36:O60)</f>
        <v/>
      </c>
    </row>
    <row r="75">
      <c r="A75" s="5" t="inlineStr">
        <is>
          <t>Stat: INT %</t>
        </is>
      </c>
    </row>
    <row r="76">
      <c r="A76" s="9" t="inlineStr">
        <is>
          <t>Key</t>
        </is>
      </c>
      <c r="B76" s="9" t="inlineStr">
        <is>
          <t>Name</t>
        </is>
      </c>
      <c r="C76" s="9" t="inlineStr">
        <is>
          <t>Unlocked</t>
        </is>
      </c>
      <c r="D76" s="9" t="inlineStr">
        <is>
          <t>InputLevel</t>
        </is>
      </c>
      <c r="E76" s="9" t="inlineStr">
        <is>
          <t>Factor</t>
        </is>
      </c>
      <c r="F76" s="9" t="inlineStr">
        <is>
          <t>CoefficientPercent</t>
        </is>
      </c>
      <c r="G76" s="9" t="inlineStr">
        <is>
          <t>EffectiveHits</t>
        </is>
      </c>
      <c r="H76" s="9" t="inlineStr">
        <is>
          <t>ProcProbability</t>
        </is>
      </c>
      <c r="I76" s="9" t="inlineStr">
        <is>
          <t>MapleHeroMultiplier</t>
        </is>
      </c>
      <c r="J76" s="9" t="inlineStr">
        <is>
          <t>BaseDamage</t>
        </is>
      </c>
      <c r="K76" s="9" t="inlineStr">
        <is>
          <t>BaseHitDamage</t>
        </is>
      </c>
      <c r="L76" s="9" t="inlineStr">
        <is>
          <t>NonCritAvg</t>
        </is>
      </c>
      <c r="M76" s="9" t="inlineStr">
        <is>
          <t>CritAvg</t>
        </is>
      </c>
      <c r="N76" s="9" t="inlineStr">
        <is>
          <t>ExpectedDamage(perHit)</t>
        </is>
      </c>
      <c r="O76" s="9" t="inlineStr">
        <is>
          <t>DPS</t>
        </is>
      </c>
      <c r="P76" s="9" t="inlineStr">
        <is>
          <t>% of Total</t>
        </is>
      </c>
      <c r="R76" t="inlineStr">
        <is>
          <t>helpers</t>
        </is>
      </c>
    </row>
    <row r="77">
      <c r="A77">
        <f>Skills!A2</f>
        <v/>
      </c>
      <c r="B77">
        <f>Skills!B2</f>
        <v/>
      </c>
      <c r="C77">
        <f>Inputs!$B$3&gt;=100</f>
        <v/>
      </c>
      <c r="D77" t="inlineStr"/>
      <c r="E77" t="inlineStr"/>
      <c r="F77">
        <f>T79+Skills!N2</f>
        <v/>
      </c>
      <c r="G77">
        <f>Calc!G2</f>
        <v/>
      </c>
      <c r="H77">
        <f>Calc!H2</f>
        <v/>
      </c>
      <c r="I77">
        <f>IF(Skills!T2&lt;&gt;"",1+(Skills!T2/10)*($Z$3/1000)/100,1)</f>
        <v/>
      </c>
      <c r="J77">
        <f>(Inputs!$B$7*(1+Inputs!$B$8/100))*(F77/100)</f>
        <v/>
      </c>
      <c r="K77">
        <f>J77*(1+(((Inputs!$B$14+IF(Inputs!$B$3&gt;=35,0.10*(Inputs!$B$9*(1+Inputs!$B$10/100)),0))*(1+(Inputs!$B$15+1)/100))*0.01+Inputs!$B$16*0.0025)/100)*(1+(Inputs!$B$17+B106)/100)*(1+IF(Inputs!$B$40="pvp",0,(1-Summary!$B$48)*(Inputs!$B$22+Skills!O2+B104)+Summary!$B$48*(Inputs!$B$23+Skills!P2+B105))/100)*(1+Inputs!$B$18/100)*(5000/(6000+Inputs!$B$42*(1-Inputs!$B$21/100)))*(1+Inputs!$B$26/100)*(1+IF(C92=TRUE,F92,0)/100)*(1+IF(C94=TRUE,F94,0)/100)*(1+IF(Skills!A2="TRIUMPH_FEATHER",IF(C90=TRUE,F90,0),0)/100)*(1+IF(C101=TRUE,F101,0)/100)^5*(1+(IF(Skills!A2="BIG_BANG",Inputs!$B$19,Inputs!$B$20))/100)*(B103*I77)</f>
        <v/>
      </c>
      <c r="L77">
        <f>K77*(MIN(Inputs!$B$24+(F96-Calc!F21),Inputs!$B$25)/100+Inputs!$B$25/100)/2</f>
        <v/>
      </c>
      <c r="M77">
        <f>L77*(1+(Inputs!$B$12+B107+(F99-Calc!F24))/100)</f>
        <v/>
      </c>
      <c r="N77">
        <f>L77*(1-MIN(Inputs!$B$11+((F98-Calc!F23)+(F97-Calc!F22)),100)/100)+M77*(MIN(Inputs!$B$11+((F98-Calc!F23)+(F97-Calc!F22)),100)/100)</f>
        <v/>
      </c>
      <c r="O77">
        <f>IF(C77,Skills!F2*N77*B111*IF(Inputs!$B$40="pvp",1,(1-Summary!$B$48)*(1)+Summary!$B$48*(MIN((6+Inputs!$B$35),Inputs!$B$39))),0)</f>
        <v/>
      </c>
      <c r="P77">
        <f>IF(B113=0,0,O77/B113)</f>
        <v/>
      </c>
      <c r="Q77">
        <f>IFERROR(1/IF(Inputs!$B$40="pvp",15,MAX(0.1,Skills!D2-IF(Skills!E2=TRUE,Inputs!$B$34,0))),0)</f>
        <v/>
      </c>
      <c r="R77" t="n">
        <v>0</v>
      </c>
      <c r="T77">
        <f>MAX(0,(Inputs!$B$3-100)*3)+Inputs!$B$30+Inputs!$B$31</f>
        <v/>
      </c>
    </row>
    <row r="78">
      <c r="A78">
        <f>Skills!A3</f>
        <v/>
      </c>
      <c r="B78">
        <f>Skills!B3</f>
        <v/>
      </c>
      <c r="C78">
        <f>Inputs!$B$3&gt;=15</f>
        <v/>
      </c>
      <c r="D78">
        <f>IF(Skills!C3=1,60+Inputs!$B$27+Inputs!$B$31,IF(Skills!C3=2,90+Inputs!$B$28+Inputs!$B$31,IF(Skills!C3=3,120+Inputs!$B$29+Inputs!$B$31,MAX(0,(Inputs!$B$3-100)*3)+Inputs!$B$30+Inputs!$B$31)))</f>
        <v/>
      </c>
      <c r="E78">
        <f>INDEX(FactorTable!$B$2:$Y$301, MATCH(ROUND(MIN(300,MAX(1,D78)),0), FactorTable!$A$2:$A$301,0), Skills!L3+1)</f>
        <v/>
      </c>
      <c r="F78">
        <f>IF(Skills!M3=TRUE,(Skills!K3/10)*(E78/1000),Skills!K3/10)+Skills!N3</f>
        <v/>
      </c>
      <c r="G78">
        <f>Calc!G3</f>
        <v/>
      </c>
      <c r="H78">
        <f>Calc!H3</f>
        <v/>
      </c>
      <c r="I78">
        <f>IF(Skills!T3&lt;&gt;"",1+(Skills!T3/10)*($Z$3/1000)/100,1)</f>
        <v/>
      </c>
      <c r="J78" t="inlineStr"/>
      <c r="K78" t="inlineStr"/>
      <c r="L78" t="inlineStr"/>
      <c r="M78" t="inlineStr"/>
      <c r="N78" t="inlineStr"/>
      <c r="O78" t="n">
        <v>0</v>
      </c>
      <c r="P78">
        <f>IF(B113=0,0,O78/B113)</f>
        <v/>
      </c>
      <c r="Q78">
        <f>IFERROR(1/IF(Inputs!$B$40="pvp",15,MAX(0.1,Skills!D3-IF(Skills!E3=TRUE,Inputs!$B$34,0))),0)</f>
        <v/>
      </c>
      <c r="R78">
        <f>IF(AND(Inputs!$B$40&lt;&gt;"pvp",Inputs!$B$43&gt;0),(INT(Inputs!$B$43/IF(Inputs!$B$40="pvp",15,MAX(0.1,Skills!D3-IF(Skills!E3=TRUE,Inputs!$B$34,0))))+1),0)</f>
        <v/>
      </c>
      <c r="T78">
        <f>INDEX(FactorTable!$B$2:$Y$301, MATCH(ROUND(MIN(300,MAX(1,T77)),0), FactorTable!$A$2:$A$301,0), 22)</f>
        <v/>
      </c>
    </row>
    <row r="79">
      <c r="A79">
        <f>Skills!A4</f>
        <v/>
      </c>
      <c r="B79">
        <f>Skills!B4</f>
        <v/>
      </c>
      <c r="C79">
        <f>Inputs!$B$3&gt;=38</f>
        <v/>
      </c>
      <c r="D79">
        <f>IF(Skills!C4=1,60+Inputs!$B$27+Inputs!$B$31,IF(Skills!C4=2,90+Inputs!$B$28+Inputs!$B$31,IF(Skills!C4=3,120+Inputs!$B$29+Inputs!$B$31,MAX(0,(Inputs!$B$3-100)*3)+Inputs!$B$30+Inputs!$B$31)))</f>
        <v/>
      </c>
      <c r="E79">
        <f>INDEX(FactorTable!$B$2:$Y$301, MATCH(ROUND(MIN(300,MAX(1,D79)),0), FactorTable!$A$2:$A$301,0), Skills!L4+1)</f>
        <v/>
      </c>
      <c r="F79">
        <f>IF(Skills!M4=TRUE,(Skills!K4/10)*(E79/1000),Skills!K4/10)+Skills!N4</f>
        <v/>
      </c>
      <c r="G79">
        <f>Calc!G4</f>
        <v/>
      </c>
      <c r="H79">
        <f>Calc!H4</f>
        <v/>
      </c>
      <c r="I79">
        <f>IF(Skills!T4&lt;&gt;"",1+(Skills!T4/10)*($Z$3/1000)/100,1)</f>
        <v/>
      </c>
      <c r="J79" t="inlineStr"/>
      <c r="K79" t="inlineStr"/>
      <c r="L79" t="inlineStr"/>
      <c r="M79" t="inlineStr"/>
      <c r="N79" t="inlineStr"/>
      <c r="O79" t="n">
        <v>0</v>
      </c>
      <c r="P79">
        <f>IF(B113=0,0,O79/B113)</f>
        <v/>
      </c>
      <c r="Q79">
        <f>IFERROR(1/IF(Inputs!$B$40="pvp",15,MAX(0.1,Skills!D4-IF(Skills!E4=TRUE,Inputs!$B$34,0))),0)</f>
        <v/>
      </c>
      <c r="R79">
        <f>IF(AND(Inputs!$B$40&lt;&gt;"pvp",Inputs!$B$43&gt;0),(INT(Inputs!$B$43/IF(Inputs!$B$40="pvp",15,MAX(0.1,Skills!D4-IF(Skills!E4=TRUE,Inputs!$B$34,0))))+1),0)</f>
        <v/>
      </c>
      <c r="T79">
        <f>290*T78/1000</f>
        <v/>
      </c>
    </row>
    <row r="80">
      <c r="A80">
        <f>Skills!A5</f>
        <v/>
      </c>
      <c r="B80">
        <f>Skills!B5</f>
        <v/>
      </c>
      <c r="C80">
        <f>Inputs!$B$3&gt;=40</f>
        <v/>
      </c>
      <c r="D80">
        <f>IF(Skills!C5=1,60+Inputs!$B$27+Inputs!$B$31,IF(Skills!C5=2,90+Inputs!$B$28+Inputs!$B$31,IF(Skills!C5=3,120+Inputs!$B$29+Inputs!$B$31,MAX(0,(Inputs!$B$3-100)*3)+Inputs!$B$30+Inputs!$B$31)))</f>
        <v/>
      </c>
      <c r="E80">
        <f>INDEX(FactorTable!$B$2:$Y$301, MATCH(ROUND(MIN(300,MAX(1,D80)),0), FactorTable!$A$2:$A$301,0), Skills!L5+1)</f>
        <v/>
      </c>
      <c r="F80">
        <f>IF(Skills!M5=TRUE,(Skills!K5/10)*(E80/1000),Skills!K5/10)+Skills!N5</f>
        <v/>
      </c>
      <c r="G80">
        <f>Calc!G5</f>
        <v/>
      </c>
      <c r="H80">
        <f>Calc!H5</f>
        <v/>
      </c>
      <c r="I80">
        <f>IF(Skills!T5&lt;&gt;"",1+(Skills!T5/10)*($Z$3/1000)/100,1)</f>
        <v/>
      </c>
      <c r="J80" t="inlineStr"/>
      <c r="K80" t="inlineStr"/>
      <c r="L80" t="inlineStr"/>
      <c r="M80" t="inlineStr"/>
      <c r="N80" t="inlineStr"/>
      <c r="O80" t="n">
        <v>0</v>
      </c>
      <c r="P80">
        <f>IF(B113=0,0,O80/B113)</f>
        <v/>
      </c>
      <c r="Q80">
        <f>IFERROR(1/IF(Inputs!$B$40="pvp",15,MAX(0.1,Skills!D5-IF(Skills!E5=TRUE,Inputs!$B$34,0))),0)</f>
        <v/>
      </c>
      <c r="R80">
        <f>IF(AND(Inputs!$B$40&lt;&gt;"pvp",Inputs!$B$43&gt;0),(INT(Inputs!$B$43/IF(Inputs!$B$40="pvp",15,MAX(0.1,Skills!D5-IF(Skills!E5=TRUE,Inputs!$B$34,0))))+1),0)</f>
        <v/>
      </c>
    </row>
    <row r="81">
      <c r="A81">
        <f>Skills!A6</f>
        <v/>
      </c>
      <c r="B81">
        <f>Skills!B6</f>
        <v/>
      </c>
      <c r="C81">
        <f>Inputs!$B$3&gt;=103</f>
        <v/>
      </c>
      <c r="D81">
        <f>IF(Skills!C6=1,60+Inputs!$B$27+Inputs!$B$31,IF(Skills!C6=2,90+Inputs!$B$28+Inputs!$B$31,IF(Skills!C6=3,120+Inputs!$B$29+Inputs!$B$31,MAX(0,(Inputs!$B$3-100)*3)+Inputs!$B$30+Inputs!$B$31)))</f>
        <v/>
      </c>
      <c r="E81">
        <f>INDEX(FactorTable!$B$2:$Y$301, MATCH(ROUND(MIN(300,MAX(1,D81)),0), FactorTable!$A$2:$A$301,0), Skills!L6+1)</f>
        <v/>
      </c>
      <c r="F81">
        <f>IF(Skills!M6=TRUE,(Skills!K6/10)*(E81/1000),Skills!K6/10)+Skills!N6</f>
        <v/>
      </c>
      <c r="G81">
        <f>Calc!G6</f>
        <v/>
      </c>
      <c r="H81">
        <f>Calc!H6</f>
        <v/>
      </c>
      <c r="I81">
        <f>IF(Skills!T6&lt;&gt;"",1+(Skills!T6/10)*($Z$3/1000)/100,1)</f>
        <v/>
      </c>
      <c r="J81">
        <f>(Inputs!$B$7*(1+Inputs!$B$8/100))*(F81/100)</f>
        <v/>
      </c>
      <c r="K81">
        <f>J81*(1+(((Inputs!$B$14+IF(Inputs!$B$3&gt;=35,0.10*(Inputs!$B$9*(1+Inputs!$B$10/100)),0))*(1+(Inputs!$B$15+1)/100))*0.01+Inputs!$B$16*0.0025)/100)*(1+(Inputs!$B$17+B106)/100)*(1+IF(Inputs!$B$40="pvp",0,(1-Summary!$B$48)*(Inputs!$B$22+Skills!O6+B104)+Summary!$B$48*(Inputs!$B$23+Skills!P6+B105))/100)*(1+Inputs!$B$18/100)*(5000/(6000+Inputs!$B$42*(1-Inputs!$B$21/100)))*(1+Inputs!$B$26/100)*(1+IF(C92=TRUE,F92,0)/100)*(1+IF(C94=TRUE,F94,0)/100)*(1+IF(Skills!A6="TRIUMPH_FEATHER",IF(C90=TRUE,F90,0),0)/100)*(1+IF(C101=TRUE,F101,0)/100)^5*(1+(IF(Skills!A6="BIG_BANG",Inputs!$B$19,Inputs!$B$20))/100)*(B103*I81)</f>
        <v/>
      </c>
      <c r="L81">
        <f>K81*(MIN(Inputs!$B$24+(F96-Calc!F21),Inputs!$B$25)/100+Inputs!$B$25/100)/2</f>
        <v/>
      </c>
      <c r="M81">
        <f>L81*(1+(Inputs!$B$12+B107+(F99-Calc!F24))/100)</f>
        <v/>
      </c>
      <c r="N81">
        <f>L81*(1-MIN(Inputs!$B$11+((F98-Calc!F23)+(F97-Calc!F22)),100)/100)+M81*(MIN(Inputs!$B$11+((F98-Calc!F23)+(F97-Calc!F22)),100)/100)</f>
        <v/>
      </c>
      <c r="O81">
        <f>IF(C81,H81*N81*IF(AND(Inputs!$B$40&lt;&gt;"pvp",Inputs!$B$43&gt;0),((Skills!F6*((R81-1)*IF(Skills!G6&gt;0,Skills!H6/Skills!G6,1)+IF(Skills!G6&gt;0,MIN(Skills!H6,MAX(0,Inputs!$B$43-((R81-1)*IF(Inputs!$B$40="pvp",15,MAX(0.1,Skills!D6-IF(Skills!E6=TRUE,Inputs!$B$34,0))))))/Skills!G6,1)))/Inputs!$B$43),G81*Q81)*IF(Inputs!$B$40="pvp",1,(1-Summary!$B$48)*(1)+Summary!$B$48*(MIN(Skills!Q6,Inputs!$B$39))),0)</f>
        <v/>
      </c>
      <c r="P81">
        <f>IF(B113=0,0,O81/B113)</f>
        <v/>
      </c>
      <c r="Q81">
        <f>IFERROR(1/IF(Inputs!$B$40="pvp",15,MAX(0.1,Skills!D6-IF(Skills!E6=TRUE,Inputs!$B$34,0))),0)</f>
        <v/>
      </c>
      <c r="R81">
        <f>IF(AND(Inputs!$B$40&lt;&gt;"pvp",Inputs!$B$43&gt;0),(INT(Inputs!$B$43/IF(Inputs!$B$40="pvp",15,MAX(0.1,Skills!D6-IF(Skills!E6=TRUE,Inputs!$B$34,0))))+1),0)</f>
        <v/>
      </c>
    </row>
    <row r="82">
      <c r="A82">
        <f>Skills!A7</f>
        <v/>
      </c>
      <c r="B82">
        <f>Skills!B7</f>
        <v/>
      </c>
      <c r="C82">
        <f>Inputs!$B$3&gt;=122</f>
        <v/>
      </c>
      <c r="D82">
        <f>IF(Skills!C7=1,60+Inputs!$B$27+Inputs!$B$31,IF(Skills!C7=2,90+Inputs!$B$28+Inputs!$B$31,IF(Skills!C7=3,120+Inputs!$B$29+Inputs!$B$31,MAX(0,(Inputs!$B$3-100)*3)+Inputs!$B$30+Inputs!$B$31)))</f>
        <v/>
      </c>
      <c r="E82">
        <f>INDEX(FactorTable!$B$2:$Y$301, MATCH(ROUND(MIN(300,MAX(1,D82)),0), FactorTable!$A$2:$A$301,0), Skills!L7+1)</f>
        <v/>
      </c>
      <c r="F82">
        <f>IF(Skills!M7=TRUE,(Skills!K7/10)*(E82/1000),Skills!K7/10)+Skills!N7</f>
        <v/>
      </c>
      <c r="G82">
        <f>Calc!G7</f>
        <v/>
      </c>
      <c r="H82">
        <f>Calc!H7</f>
        <v/>
      </c>
      <c r="I82">
        <f>IF(Skills!T7&lt;&gt;"",1+(Skills!T7/10)*($Z$3/1000)/100,1)</f>
        <v/>
      </c>
      <c r="J82">
        <f>(Inputs!$B$7*(1+Inputs!$B$8/100))*(F82/100)</f>
        <v/>
      </c>
      <c r="K82">
        <f>J82*(1+(((Inputs!$B$14+IF(Inputs!$B$3&gt;=35,0.10*(Inputs!$B$9*(1+Inputs!$B$10/100)),0))*(1+(Inputs!$B$15+1)/100))*0.01+Inputs!$B$16*0.0025)/100)*(1+(Inputs!$B$17+B106)/100)*(1+IF(Inputs!$B$40="pvp",0,(1-Summary!$B$48)*(Inputs!$B$22+Skills!O7+B104)+Summary!$B$48*(Inputs!$B$23+Skills!P7+B105))/100)*(1+Inputs!$B$18/100)*(5000/(6000+Inputs!$B$42*(1-Inputs!$B$21/100)))*(1+Inputs!$B$26/100)*(1+IF(C92=TRUE,F92,0)/100)*(1+IF(C94=TRUE,F94,0)/100)*(1+IF(Skills!A7="TRIUMPH_FEATHER",IF(C90=TRUE,F90,0),0)/100)*(1+IF(C101=TRUE,F101,0)/100)^5*(1+(IF(Skills!A7="BIG_BANG",Inputs!$B$19,Inputs!$B$20))/100)*(B103*I82)</f>
        <v/>
      </c>
      <c r="L82">
        <f>K82*(MIN(Inputs!$B$24+(F96-Calc!F21),Inputs!$B$25)/100+Inputs!$B$25/100)/2</f>
        <v/>
      </c>
      <c r="M82">
        <f>L82*(1+(Inputs!$B$12+B107+(F99-Calc!F24))/100)</f>
        <v/>
      </c>
      <c r="N82">
        <f>L82*(1-MIN(Inputs!$B$11+((F98-Calc!F23)+(F97-Calc!F22)),100)/100)+M82*(MIN(Inputs!$B$11+((F98-Calc!F23)+(F97-Calc!F22)),100)/100)</f>
        <v/>
      </c>
      <c r="O82">
        <f>IF(C82,H82*N82*IF(AND(Inputs!$B$40&lt;&gt;"pvp",Inputs!$B$43&gt;0),((Skills!F7*((R82-1)*IF(Skills!G7&gt;0,Skills!H7/Skills!G7,1)+IF(Skills!G7&gt;0,MIN(Skills!H7,MAX(0,Inputs!$B$43-((R82-1)*IF(Inputs!$B$40="pvp",15,MAX(0.1,Skills!D7-IF(Skills!E6=TRUE,Inputs!$B$34,0))))))/Skills!G7,1)))/Inputs!$B$43),G82*Q82)*(1-Summary!$B$48),0)</f>
        <v/>
      </c>
      <c r="P82">
        <f>IF(B113=0,0,O82/B113)</f>
        <v/>
      </c>
      <c r="Q82">
        <f>IFERROR(1/IF(Inputs!$B$40="pvp",15,MAX(0.1,Skills!D7-IF(Skills!E6=TRUE,Inputs!$B$34,0))),0)</f>
        <v/>
      </c>
      <c r="R82">
        <f>IF(AND(Inputs!$B$40&lt;&gt;"pvp",Inputs!$B$43&gt;0),(INT(Inputs!$B$43/IF(Inputs!$B$40="pvp",15,MAX(0.1,Skills!D7-IF(Skills!E6=TRUE,Inputs!$B$34,0))))+1),0)</f>
        <v/>
      </c>
    </row>
    <row r="83">
      <c r="A83">
        <f>Skills!A8</f>
        <v/>
      </c>
      <c r="B83">
        <f>Skills!B8</f>
        <v/>
      </c>
      <c r="C83">
        <f>Inputs!$B$3&gt;=105</f>
        <v/>
      </c>
      <c r="D83">
        <f>IF(Skills!C8=1,60+Inputs!$B$27+Inputs!$B$31,IF(Skills!C8=2,90+Inputs!$B$28+Inputs!$B$31,IF(Skills!C8=3,120+Inputs!$B$29+Inputs!$B$31,MAX(0,(Inputs!$B$3-100)*3)+Inputs!$B$30+Inputs!$B$31)))</f>
        <v/>
      </c>
      <c r="E83">
        <f>INDEX(FactorTable!$B$2:$Y$301, MATCH(ROUND(MIN(300,MAX(1,D83)),0), FactorTable!$A$2:$A$301,0), Skills!L8+1)</f>
        <v/>
      </c>
      <c r="F83">
        <f>IF(Skills!M8=TRUE,(Skills!K8/10)*(E83/1000),Skills!K8/10)+Skills!N8</f>
        <v/>
      </c>
      <c r="G83">
        <f>Calc!G8</f>
        <v/>
      </c>
      <c r="H83">
        <f>Calc!H8</f>
        <v/>
      </c>
      <c r="I83">
        <f>IF(Skills!T8&lt;&gt;"",1+(Skills!T8/10)*($Z$3/1000)/100,1)</f>
        <v/>
      </c>
      <c r="J83">
        <f>(Inputs!$B$7*(1+Inputs!$B$8/100))*(F83/100)</f>
        <v/>
      </c>
      <c r="K83">
        <f>J83*(1+(((Inputs!$B$14+IF(Inputs!$B$3&gt;=35,0.10*(Inputs!$B$9*(1+Inputs!$B$10/100)),0))*(1+(Inputs!$B$15+1)/100))*0.01+Inputs!$B$16*0.0025)/100)*(1+(Inputs!$B$17+B106)/100)*(1+IF(Inputs!$B$40="pvp",0,(1-Summary!$B$48)*(Inputs!$B$22+Skills!O8+B104)+Summary!$B$48*(Inputs!$B$23+Skills!P8+B105))/100)*(1+Inputs!$B$18/100)*(5000/(6000+Inputs!$B$42*(1-Inputs!$B$21/100)))*(1+Inputs!$B$26/100)*(1+IF(C92=TRUE,F92,0)/100)*(1+IF(C94=TRUE,F94,0)/100)*(1+IF(Skills!A8="TRIUMPH_FEATHER",IF(C90=TRUE,F90,0),0)/100)*(1+IF(C101=TRUE,F101,0)/100)^5*(1+(IF(Skills!A8="BIG_BANG",Inputs!$B$19,Inputs!$B$20))/100)*(B103*I83)</f>
        <v/>
      </c>
      <c r="L83">
        <f>K83*(MIN(Inputs!$B$24+(F96-Calc!F21),Inputs!$B$25)/100+Inputs!$B$25/100)/2</f>
        <v/>
      </c>
      <c r="M83">
        <f>L83*(1+(Inputs!$B$12+B107+(F99-Calc!F24))/100)</f>
        <v/>
      </c>
      <c r="N83">
        <f>L83*(1-MIN(Inputs!$B$11+((F98-Calc!F23)+(F97-Calc!F22)),100)/100)+M83*(MIN(Inputs!$B$11+((F98-Calc!F23)+(F97-Calc!F22)),100)/100)</f>
        <v/>
      </c>
      <c r="O83">
        <f>IF(C83,H83*N83*IF(AND(Inputs!$B$40&lt;&gt;"pvp",Inputs!$B$43&gt;0),((Skills!F8*((R83-1)*IF(Skills!G8&gt;0,Skills!H8/Skills!G8,1)+IF(Skills!G8&gt;0,MIN(Skills!H8,MAX(0,Inputs!$B$43-((R83-1)*IF(Inputs!$B$40="pvp",15,MAX(0.1,Skills!D8-IF(Skills!E8=TRUE,Inputs!$B$34,0))))))/Skills!G8,1)))/Inputs!$B$43),G83*Q83)*IF(Inputs!$B$40="pvp",1,(1-Summary!$B$48)*(1)+Summary!$B$48*(MIN(Skills!Q8,Inputs!$B$39))),0)</f>
        <v/>
      </c>
      <c r="P83">
        <f>IF(B113=0,0,O83/B113)</f>
        <v/>
      </c>
      <c r="Q83">
        <f>IFERROR(1/IF(Inputs!$B$40="pvp",15,MAX(0.1,Skills!D8-IF(Skills!E8=TRUE,Inputs!$B$34,0))),0)</f>
        <v/>
      </c>
      <c r="R83">
        <f>IF(AND(Inputs!$B$40&lt;&gt;"pvp",Inputs!$B$43&gt;0),(INT(Inputs!$B$43/IF(Inputs!$B$40="pvp",15,MAX(0.1,Skills!D8-IF(Skills!E8=TRUE,Inputs!$B$34,0))))+1),0)</f>
        <v/>
      </c>
    </row>
    <row r="84">
      <c r="A84">
        <f>Skills!A9</f>
        <v/>
      </c>
      <c r="B84">
        <f>Skills!B9</f>
        <v/>
      </c>
      <c r="C84">
        <f>Inputs!$B$3&gt;=115</f>
        <v/>
      </c>
      <c r="D84">
        <f>IF(Skills!C9=1,60+Inputs!$B$27+Inputs!$B$31,IF(Skills!C9=2,90+Inputs!$B$28+Inputs!$B$31,IF(Skills!C9=3,120+Inputs!$B$29+Inputs!$B$31,MAX(0,(Inputs!$B$3-100)*3)+Inputs!$B$30+Inputs!$B$31)))</f>
        <v/>
      </c>
      <c r="E84">
        <f>INDEX(FactorTable!$B$2:$Y$301, MATCH(ROUND(MIN(300,MAX(1,D84)),0), FactorTable!$A$2:$A$301,0), Skills!L9+1)</f>
        <v/>
      </c>
      <c r="F84">
        <f>IF(Skills!M9=TRUE,(Skills!K9/10)*(E84/1000),Skills!K9/10)+Skills!N9</f>
        <v/>
      </c>
      <c r="G84">
        <f>Calc!G9</f>
        <v/>
      </c>
      <c r="H84">
        <f>Calc!H9</f>
        <v/>
      </c>
      <c r="I84">
        <f>IF(Skills!T9&lt;&gt;"",1+(Skills!T9/10)*($Z$3/1000)/100,1)</f>
        <v/>
      </c>
      <c r="J84">
        <f>(Inputs!$B$7*(1+Inputs!$B$8/100))*(F84/100)</f>
        <v/>
      </c>
      <c r="K84">
        <f>J84*(1+(((Inputs!$B$14+IF(Inputs!$B$3&gt;=35,0.10*(Inputs!$B$9*(1+Inputs!$B$10/100)),0))*(1+(Inputs!$B$15+1)/100))*0.01+Inputs!$B$16*0.0025)/100)*(1+(Inputs!$B$17+B106)/100)*(1+IF(Inputs!$B$40="pvp",0,(1-Summary!$B$48)*(Inputs!$B$22+Skills!O9+B104)+Summary!$B$48*(Inputs!$B$23+Skills!P9+B105))/100)*(1+Inputs!$B$18/100)*(5000/(6000+Inputs!$B$42*(1-Inputs!$B$21/100)))*(1+Inputs!$B$26/100)*(1+IF(C92=TRUE,F92,0)/100)*(1+IF(C94=TRUE,F94,0)/100)*(1+IF(Skills!A9="TRIUMPH_FEATHER",IF(C90=TRUE,F90,0),0)/100)*(1+IF(C101=TRUE,F101,0)/100)^5*(1+(IF(Skills!A9="BIG_BANG",Inputs!$B$19,Inputs!$B$20))/100)*(B103*I84)</f>
        <v/>
      </c>
      <c r="L84">
        <f>K84*(MIN(Inputs!$B$24+(F96-Calc!F21),Inputs!$B$25)/100+Inputs!$B$25/100)/2</f>
        <v/>
      </c>
      <c r="M84">
        <f>L84*(1+(Inputs!$B$12+B107+(F99-Calc!F24))/100)</f>
        <v/>
      </c>
      <c r="N84">
        <f>L84*(1-MIN(Inputs!$B$11+((F98-Calc!F23)+(F97-Calc!F22)),100)/100)+M84*(MIN(Inputs!$B$11+((F98-Calc!F23)+(F97-Calc!F22)),100)/100)</f>
        <v/>
      </c>
      <c r="O84">
        <f>IF(C84,H84*N84*IF(AND(Inputs!$B$40&lt;&gt;"pvp",Inputs!$B$43&gt;0),((Skills!F9*((R84-1)*IF(Skills!G9&gt;0,Skills!H9/Skills!G9,1)+IF(Skills!G9&gt;0,MIN(Skills!H9,MAX(0,Inputs!$B$43-((R84-1)*IF(Inputs!$B$40="pvp",15,MAX(0.1,Skills!D9-IF(Skills!E9=TRUE,Inputs!$B$34,0))))))/Skills!G9,1)))/Inputs!$B$43),G84*Q84)*IF(Inputs!$B$40="pvp",1,(1-Summary!$B$48)*(1)+Summary!$B$48*(MIN(Skills!Q9,Inputs!$B$39))),0)</f>
        <v/>
      </c>
      <c r="P84">
        <f>IF(B113=0,0,O84/B113)</f>
        <v/>
      </c>
      <c r="Q84">
        <f>IFERROR(1/IF(Inputs!$B$40="pvp",15,MAX(0.1,Skills!D9-IF(Skills!E9=TRUE,Inputs!$B$34,0))),0)</f>
        <v/>
      </c>
      <c r="R84">
        <f>IF(AND(Inputs!$B$40&lt;&gt;"pvp",Inputs!$B$43&gt;0),(INT(Inputs!$B$43/IF(Inputs!$B$40="pvp",15,MAX(0.1,Skills!D9-IF(Skills!E9=TRUE,Inputs!$B$34,0))))+1),0)</f>
        <v/>
      </c>
    </row>
    <row r="85">
      <c r="A85">
        <f>Skills!A10</f>
        <v/>
      </c>
      <c r="B85">
        <f>Skills!B10</f>
        <v/>
      </c>
      <c r="C85">
        <f>Inputs!$B$3&gt;=66</f>
        <v/>
      </c>
      <c r="D85">
        <f>IF(Skills!C10=1,60+Inputs!$B$27+Inputs!$B$31,IF(Skills!C10=2,90+Inputs!$B$28+Inputs!$B$31,IF(Skills!C10=3,120+Inputs!$B$29+Inputs!$B$31,MAX(0,(Inputs!$B$3-100)*3)+Inputs!$B$30+Inputs!$B$31)))</f>
        <v/>
      </c>
      <c r="E85">
        <f>INDEX(FactorTable!$B$2:$Y$301, MATCH(ROUND(MIN(300,MAX(1,D85)),0), FactorTable!$A$2:$A$301,0), Skills!L10+1)</f>
        <v/>
      </c>
      <c r="F85" t="n">
        <v>0</v>
      </c>
      <c r="G85">
        <f>Calc!G10</f>
        <v/>
      </c>
      <c r="H85">
        <f>Calc!H10</f>
        <v/>
      </c>
      <c r="I85">
        <f>IF(Skills!T10&lt;&gt;"",1+(Skills!T10/10)*($Z$3/1000)/100,1)</f>
        <v/>
      </c>
      <c r="J85" t="inlineStr"/>
      <c r="K85" t="inlineStr"/>
      <c r="L85" t="inlineStr"/>
      <c r="M85" t="inlineStr"/>
      <c r="N85" t="inlineStr"/>
      <c r="O85" t="n">
        <v>0</v>
      </c>
      <c r="P85">
        <f>IF(B113=0,0,O85/B113)</f>
        <v/>
      </c>
      <c r="Q85">
        <f>IFERROR(1/IF(Inputs!$B$40="pvp",15,MAX(0.1,Skills!D10-IF(Skills!E10=TRUE,Inputs!$B$34,0))),0)</f>
        <v/>
      </c>
      <c r="R85">
        <f>IF(AND(Inputs!$B$40&lt;&gt;"pvp",Inputs!$B$43&gt;0),(INT(Inputs!$B$43/IF(Inputs!$B$40="pvp",15,MAX(0.1,Skills!D10-IF(Skills!E10=TRUE,Inputs!$B$34,0))))+1),0)</f>
        <v/>
      </c>
    </row>
    <row r="86">
      <c r="A86">
        <f>Skills!A11</f>
        <v/>
      </c>
      <c r="B86">
        <f>Skills!B11</f>
        <v/>
      </c>
      <c r="C86">
        <f>Inputs!$B$3&gt;=69</f>
        <v/>
      </c>
      <c r="D86">
        <f>IF(Skills!C11=1,60+Inputs!$B$27+Inputs!$B$31,IF(Skills!C11=2,90+Inputs!$B$28+Inputs!$B$31,IF(Skills!C11=3,120+Inputs!$B$29+Inputs!$B$31,MAX(0,(Inputs!$B$3-100)*3)+Inputs!$B$30+Inputs!$B$31)))</f>
        <v/>
      </c>
      <c r="E86">
        <f>INDEX(FactorTable!$B$2:$Y$301, MATCH(ROUND(MIN(300,MAX(1,D86)),0), FactorTable!$A$2:$A$301,0), Skills!L11+1)</f>
        <v/>
      </c>
      <c r="F86">
        <f>IF(Skills!M11=TRUE,(Skills!K11/10)*(E86/1000),Skills!K11/10)+Skills!N11</f>
        <v/>
      </c>
      <c r="G86">
        <f>Calc!G11</f>
        <v/>
      </c>
      <c r="H86">
        <f>Calc!H11</f>
        <v/>
      </c>
      <c r="I86">
        <f>IF(Skills!T11&lt;&gt;"",1+(Skills!T11/10)*($Z$3/1000)/100,1)</f>
        <v/>
      </c>
      <c r="J86" t="inlineStr"/>
      <c r="K86" t="inlineStr"/>
      <c r="L86" t="inlineStr"/>
      <c r="M86" t="inlineStr"/>
      <c r="N86" t="inlineStr"/>
      <c r="O86" t="n">
        <v>0</v>
      </c>
      <c r="P86">
        <f>IF(B113=0,0,O86/B113)</f>
        <v/>
      </c>
      <c r="Q86">
        <f>IFERROR(1/IF(Inputs!$B$40="pvp",15,MAX(0.1,Skills!D11-IF(Skills!E11=TRUE,Inputs!$B$34,0))),0)</f>
        <v/>
      </c>
      <c r="R86">
        <f>IF(AND(Inputs!$B$40&lt;&gt;"pvp",Inputs!$B$43&gt;0),(INT(Inputs!$B$43/IF(Inputs!$B$40="pvp",15,MAX(0.1,Skills!D11-IF(Skills!E11=TRUE,Inputs!$B$34,0))))+1),0)</f>
        <v/>
      </c>
    </row>
    <row r="87">
      <c r="A87">
        <f>Skills!A12</f>
        <v/>
      </c>
      <c r="B87">
        <f>Skills!B12</f>
        <v/>
      </c>
      <c r="C87">
        <f>Inputs!$B$3&gt;=72</f>
        <v/>
      </c>
      <c r="D87">
        <f>IF(Skills!C12=1,60+Inputs!$B$27+Inputs!$B$31,IF(Skills!C12=2,90+Inputs!$B$28+Inputs!$B$31,IF(Skills!C12=3,120+Inputs!$B$29+Inputs!$B$31,MAX(0,(Inputs!$B$3-100)*3)+Inputs!$B$30+Inputs!$B$31)))</f>
        <v/>
      </c>
      <c r="E87">
        <f>INDEX(FactorTable!$B$2:$Y$301, MATCH(ROUND(MIN(300,MAX(1,D87)),0), FactorTable!$A$2:$A$301,0), Skills!L12+1)</f>
        <v/>
      </c>
      <c r="F87">
        <f>IF(Skills!M12=TRUE,(Skills!K12/10)*(E87/1000),Skills!K12/10)+Skills!N12</f>
        <v/>
      </c>
      <c r="G87">
        <f>Calc!G12</f>
        <v/>
      </c>
      <c r="H87">
        <f>Calc!H12</f>
        <v/>
      </c>
      <c r="I87">
        <f>IF(Skills!T12&lt;&gt;"",1+(Skills!T12/10)*($Z$3/1000)/100,1)</f>
        <v/>
      </c>
      <c r="J87" t="inlineStr"/>
      <c r="K87" t="inlineStr"/>
      <c r="L87" t="inlineStr"/>
      <c r="M87" t="inlineStr"/>
      <c r="N87" t="inlineStr"/>
      <c r="O87" t="n">
        <v>0</v>
      </c>
      <c r="P87">
        <f>IF(B113=0,0,O87/B113)</f>
        <v/>
      </c>
      <c r="Q87">
        <f>IFERROR(1/IF(Inputs!$B$40="pvp",15,MAX(0.1,Skills!D12-IF(Skills!E12=TRUE,Inputs!$B$34,0))),0)</f>
        <v/>
      </c>
      <c r="R87">
        <f>IF(AND(Inputs!$B$40&lt;&gt;"pvp",Inputs!$B$43&gt;0),(INT(Inputs!$B$43/IF(Inputs!$B$40="pvp",15,MAX(0.1,Skills!D12-IF(Skills!E12=TRUE,Inputs!$B$34,0))))+1),0)</f>
        <v/>
      </c>
    </row>
    <row r="88">
      <c r="A88">
        <f>Skills!A13</f>
        <v/>
      </c>
      <c r="B88">
        <f>Skills!B13</f>
        <v/>
      </c>
      <c r="C88">
        <f>Inputs!$B$3&gt;=107</f>
        <v/>
      </c>
      <c r="D88">
        <f>IF(Skills!C13=1,60+Inputs!$B$27+Inputs!$B$31,IF(Skills!C13=2,90+Inputs!$B$28+Inputs!$B$31,IF(Skills!C13=3,120+Inputs!$B$29+Inputs!$B$31,MAX(0,(Inputs!$B$3-100)*3)+Inputs!$B$30+Inputs!$B$31)))</f>
        <v/>
      </c>
      <c r="E88">
        <f>INDEX(FactorTable!$B$2:$Y$301, MATCH(ROUND(MIN(300,MAX(1,D88)),0), FactorTable!$A$2:$A$301,0), Skills!L13+1)</f>
        <v/>
      </c>
      <c r="F88">
        <f>IF(Skills!M13=TRUE,(Skills!K13/10)*(E88/1000),Skills!K13/10)+Skills!N13</f>
        <v/>
      </c>
      <c r="G88">
        <f>Calc!G13</f>
        <v/>
      </c>
      <c r="H88">
        <f>Calc!H13</f>
        <v/>
      </c>
      <c r="I88">
        <f>IF(Skills!T13&lt;&gt;"",1+(Skills!T13/10)*($Z$3/1000)/100,1)</f>
        <v/>
      </c>
      <c r="J88" t="inlineStr"/>
      <c r="K88" t="inlineStr"/>
      <c r="L88" t="inlineStr"/>
      <c r="M88" t="inlineStr"/>
      <c r="N88" t="inlineStr"/>
      <c r="O88" t="n">
        <v>0</v>
      </c>
      <c r="P88">
        <f>IF(B113=0,0,O88/B113)</f>
        <v/>
      </c>
      <c r="Q88">
        <f>IFERROR(1/IF(Inputs!$B$40="pvp",15,MAX(0.1,Skills!D13-IF(Skills!E13=TRUE,Inputs!$B$34,0))),0)</f>
        <v/>
      </c>
      <c r="R88">
        <f>IF(AND(Inputs!$B$40&lt;&gt;"pvp",Inputs!$B$43&gt;0),(INT(Inputs!$B$43/IF(Inputs!$B$40="pvp",15,MAX(0.1,Skills!D13-IF(Skills!E13=TRUE,Inputs!$B$34,0))))+1),0)</f>
        <v/>
      </c>
    </row>
    <row r="89">
      <c r="A89">
        <f>Skills!A14</f>
        <v/>
      </c>
      <c r="B89">
        <f>Skills!B14</f>
        <v/>
      </c>
      <c r="C89">
        <f>Inputs!$B$3&gt;=63</f>
        <v/>
      </c>
      <c r="D89">
        <f>IF(Skills!C14=1,60+Inputs!$B$27+Inputs!$B$31,IF(Skills!C14=2,90+Inputs!$B$28+Inputs!$B$31,IF(Skills!C14=3,120+Inputs!$B$29+Inputs!$B$31,MAX(0,(Inputs!$B$3-100)*3)+Inputs!$B$30+Inputs!$B$31)))</f>
        <v/>
      </c>
      <c r="E89">
        <f>INDEX(FactorTable!$B$2:$Y$301, MATCH(ROUND(MIN(300,MAX(1,D89)),0), FactorTable!$A$2:$A$301,0), Skills!L14+1)</f>
        <v/>
      </c>
      <c r="F89">
        <f>IF(Skills!M14=TRUE,(Skills!K14/10)*(E89/1000),Skills!K14/10)+Skills!N14</f>
        <v/>
      </c>
      <c r="G89">
        <f>Calc!G14</f>
        <v/>
      </c>
      <c r="H89">
        <f>Calc!H14</f>
        <v/>
      </c>
      <c r="I89">
        <f>IF(Skills!T14&lt;&gt;"",1+(Skills!T14/10)*($Z$3/1000)/100,1)</f>
        <v/>
      </c>
      <c r="J89">
        <f>(Inputs!$B$7*(1+Inputs!$B$8/100))*(F89/100)</f>
        <v/>
      </c>
      <c r="K89">
        <f>J89*(1+(((Inputs!$B$14+IF(Inputs!$B$3&gt;=35,0.10*(Inputs!$B$9*(1+Inputs!$B$10/100)),0))*(1+(Inputs!$B$15+1)/100))*0.01+Inputs!$B$16*0.0025)/100)*(1+(Inputs!$B$17+B106)/100)*(1+IF(Inputs!$B$40="pvp",0,(1-Summary!$B$48)*(Inputs!$B$22+Skills!O14+B104)+Summary!$B$48*(Inputs!$B$23+Skills!P14+B105))/100)*(1+Inputs!$B$18/100)*(5000/(6000+Inputs!$B$42*(1-Inputs!$B$21/100)))*(1+Inputs!$B$26/100)*(1+IF(C92=TRUE,F92,0)/100)*(1+IF(C94=TRUE,F94,0)/100)*(1+IF(Skills!A14="TRIUMPH_FEATHER",IF(C90=TRUE,F90,0),0)/100)*(1+IF(C101=TRUE,F101,0)/100)^5*(1+(IF(Skills!A14="BIG_BANG",Inputs!$B$19,Inputs!$B$20))/100)*(B103*I89)</f>
        <v/>
      </c>
      <c r="L89">
        <f>K89*(MIN(Inputs!$B$24+(F96-Calc!F21),Inputs!$B$25)/100+Inputs!$B$25/100)/2</f>
        <v/>
      </c>
      <c r="M89">
        <f>L89*(1+(Inputs!$B$12+B107+(F99-Calc!F24))/100)</f>
        <v/>
      </c>
      <c r="N89">
        <f>L89*(1-MIN(Inputs!$B$11+((F98-Calc!F23)+(F97-Calc!F22)),100)/100)+M89*(MIN(Inputs!$B$11+((F98-Calc!F23)+(F97-Calc!F22)),100)/100)</f>
        <v/>
      </c>
      <c r="O89">
        <f>IF(C89,Skills!F14*N89*((IF(Inputs!$B$3&gt;=78,25,15)/100*B109*10)/(1+IF(Inputs!$B$3&gt;=78,25,15)/100*B109*10))*(Skills!I14/100*B109)/(1+Skills!G14*Skills!I14/100*B109)*IF(Inputs!$B$40="pvp",1,(1-Summary!$B$48)*(1)+Summary!$B$48*(MIN(Skills!Q14,Inputs!$B$39))),0)</f>
        <v/>
      </c>
      <c r="P89">
        <f>IF(B113=0,0,O89/B113)</f>
        <v/>
      </c>
      <c r="Q89">
        <f>IFERROR(1/IF(Inputs!$B$40="pvp",15,MAX(0.1,Skills!D14-IF(Skills!E14=TRUE,Inputs!$B$34,0))),0)</f>
        <v/>
      </c>
      <c r="R89" t="n">
        <v>0</v>
      </c>
    </row>
    <row r="90">
      <c r="A90">
        <f>Skills!A15</f>
        <v/>
      </c>
      <c r="B90">
        <f>Skills!B15</f>
        <v/>
      </c>
      <c r="C90">
        <f>Inputs!$B$3&gt;=100</f>
        <v/>
      </c>
      <c r="D90">
        <f>IF(Skills!C15=1,60+Inputs!$B$27+Inputs!$B$31,IF(Skills!C15=2,90+Inputs!$B$28+Inputs!$B$31,IF(Skills!C15=3,120+Inputs!$B$29+Inputs!$B$31,MAX(0,(Inputs!$B$3-100)*3)+Inputs!$B$30+Inputs!$B$31)))</f>
        <v/>
      </c>
      <c r="E90">
        <f>INDEX(FactorTable!$B$2:$Y$301, MATCH(ROUND(MIN(300,MAX(1,D90)),0), FactorTable!$A$2:$A$301,0), Skills!L15+1)</f>
        <v/>
      </c>
      <c r="F90">
        <f>IF(Skills!M15=TRUE,(Skills!K15/10)*(E90/1000),Skills!K15/10)+Skills!N15</f>
        <v/>
      </c>
      <c r="G90">
        <f>Calc!G15</f>
        <v/>
      </c>
      <c r="H90">
        <f>Calc!H15</f>
        <v/>
      </c>
      <c r="I90">
        <f>IF(Skills!T15&lt;&gt;"",1+(Skills!T15/10)*($Z$3/1000)/100,1)</f>
        <v/>
      </c>
      <c r="J90" t="inlineStr"/>
      <c r="K90" t="inlineStr"/>
      <c r="L90" t="inlineStr"/>
      <c r="M90" t="inlineStr"/>
      <c r="N90" t="inlineStr"/>
      <c r="O90" t="n">
        <v>0</v>
      </c>
      <c r="P90">
        <f>IF(B113=0,0,O90/B113)</f>
        <v/>
      </c>
      <c r="Q90">
        <f>IFERROR(1/IF(Inputs!$B$40="pvp",15,MAX(0.1,Skills!D15-IF(Skills!E15=TRUE,Inputs!$B$34,0))),0)</f>
        <v/>
      </c>
      <c r="R90" t="n">
        <v>0</v>
      </c>
    </row>
    <row r="91">
      <c r="A91">
        <f>Skills!A16</f>
        <v/>
      </c>
      <c r="B91">
        <f>Skills!B16</f>
        <v/>
      </c>
      <c r="C91">
        <f>Inputs!$B$3&gt;=49</f>
        <v/>
      </c>
      <c r="D91">
        <f>IF(Skills!C16=1,60+Inputs!$B$27+Inputs!$B$31,IF(Skills!C16=2,90+Inputs!$B$28+Inputs!$B$31,IF(Skills!C16=3,120+Inputs!$B$29+Inputs!$B$31,MAX(0,(Inputs!$B$3-100)*3)+Inputs!$B$30+Inputs!$B$31)))</f>
        <v/>
      </c>
      <c r="E91">
        <f>INDEX(FactorTable!$B$2:$Y$301, MATCH(ROUND(MIN(300,MAX(1,D91)),0), FactorTable!$A$2:$A$301,0), Skills!L16+1)</f>
        <v/>
      </c>
      <c r="F91">
        <f>IF(Skills!M16=TRUE,(Skills!K16/10)*(E91/1000),Skills!K16/10)+Skills!N16</f>
        <v/>
      </c>
      <c r="G91">
        <f>Calc!G16</f>
        <v/>
      </c>
      <c r="H91">
        <f>Calc!H16</f>
        <v/>
      </c>
      <c r="I91">
        <f>IF(Skills!T16&lt;&gt;"",1+(Skills!T16/10)*($Z$3/1000)/100,1)</f>
        <v/>
      </c>
      <c r="J91" t="inlineStr"/>
      <c r="K91" t="inlineStr"/>
      <c r="L91" t="inlineStr"/>
      <c r="M91" t="inlineStr"/>
      <c r="N91" t="inlineStr"/>
      <c r="O91" t="n">
        <v>0</v>
      </c>
      <c r="P91">
        <f>IF(B113=0,0,O91/B113)</f>
        <v/>
      </c>
      <c r="Q91">
        <f>IFERROR(1/IF(Inputs!$B$40="pvp",15,MAX(0.1,Skills!D16-IF(Skills!E16=TRUE,Inputs!$B$34,0))),0)</f>
        <v/>
      </c>
      <c r="R91" t="n">
        <v>0</v>
      </c>
    </row>
    <row r="92">
      <c r="A92">
        <f>Skills!A17</f>
        <v/>
      </c>
      <c r="B92">
        <f>Skills!B17</f>
        <v/>
      </c>
      <c r="C92">
        <f>Inputs!$B$3&gt;=75</f>
        <v/>
      </c>
      <c r="D92">
        <f>IF(Skills!C17=1,60+Inputs!$B$27+Inputs!$B$31,IF(Skills!C17=2,90+Inputs!$B$28+Inputs!$B$31,IF(Skills!C17=3,120+Inputs!$B$29+Inputs!$B$31,MAX(0,(Inputs!$B$3-100)*3)+Inputs!$B$30+Inputs!$B$31)))</f>
        <v/>
      </c>
      <c r="E92">
        <f>INDEX(FactorTable!$B$2:$Y$301, MATCH(ROUND(MIN(300,MAX(1,D92)),0), FactorTable!$A$2:$A$301,0), Skills!L17+1)</f>
        <v/>
      </c>
      <c r="F92">
        <f>IF(Skills!M17=TRUE,(Skills!K17/10)*(E92/1000),Skills!K17/10)+Skills!N17</f>
        <v/>
      </c>
      <c r="G92">
        <f>Calc!G17</f>
        <v/>
      </c>
      <c r="H92">
        <f>Calc!H17</f>
        <v/>
      </c>
      <c r="I92">
        <f>IF(Skills!T17&lt;&gt;"",1+(Skills!T17/10)*($Z$3/1000)/100,1)</f>
        <v/>
      </c>
      <c r="J92" t="inlineStr"/>
      <c r="K92" t="inlineStr"/>
      <c r="L92" t="inlineStr"/>
      <c r="M92" t="inlineStr"/>
      <c r="N92" t="inlineStr"/>
      <c r="O92" t="n">
        <v>0</v>
      </c>
      <c r="P92">
        <f>IF(B113=0,0,O92/B113)</f>
        <v/>
      </c>
      <c r="Q92">
        <f>IFERROR(1/IF(Inputs!$B$40="pvp",15,MAX(0.1,Skills!D17-IF(Skills!E17=TRUE,Inputs!$B$34,0))),0)</f>
        <v/>
      </c>
      <c r="R92" t="n">
        <v>0</v>
      </c>
    </row>
    <row r="93">
      <c r="A93">
        <f>Skills!A18</f>
        <v/>
      </c>
      <c r="B93">
        <f>Skills!B18</f>
        <v/>
      </c>
      <c r="C93">
        <f>Inputs!$B$3&gt;=110</f>
        <v/>
      </c>
      <c r="D93">
        <f>IF(Skills!C18=1,60+Inputs!$B$27+Inputs!$B$31,IF(Skills!C18=2,90+Inputs!$B$28+Inputs!$B$31,IF(Skills!C18=3,120+Inputs!$B$29+Inputs!$B$31,MAX(0,(Inputs!$B$3-100)*3)+Inputs!$B$30+Inputs!$B$31)))</f>
        <v/>
      </c>
      <c r="E93">
        <f>INDEX(FactorTable!$B$2:$Y$301, MATCH(ROUND(MIN(300,MAX(1,D93)),0), FactorTable!$A$2:$A$301,0), Skills!L18+1)</f>
        <v/>
      </c>
      <c r="F93">
        <f>(Skills!K18/10)*(E93/1000)*64/45+Skills!N18</f>
        <v/>
      </c>
      <c r="G93">
        <f>Calc!G18</f>
        <v/>
      </c>
      <c r="H93">
        <f>Calc!H18</f>
        <v/>
      </c>
      <c r="I93">
        <f>IF(Skills!T18&lt;&gt;"",1+(Skills!T18/10)*($Z$3/1000)/100,1)</f>
        <v/>
      </c>
      <c r="J93" t="inlineStr"/>
      <c r="K93" t="inlineStr"/>
      <c r="L93" t="inlineStr"/>
      <c r="M93" t="inlineStr"/>
      <c r="N93" t="inlineStr"/>
      <c r="O93" t="n">
        <v>0</v>
      </c>
      <c r="P93">
        <f>IF(B113=0,0,O93/B113)</f>
        <v/>
      </c>
      <c r="Q93">
        <f>IFERROR(1/IF(Inputs!$B$40="pvp",15,MAX(0.1,Skills!D18-IF(Skills!E18=TRUE,Inputs!$B$34,0))),0)</f>
        <v/>
      </c>
      <c r="R93">
        <f>IF(AND(Inputs!$B$40&lt;&gt;"pvp",Inputs!$B$43&gt;0),(INT(Inputs!$B$43/IF(Inputs!$B$40="pvp",15,MAX(0.1,Skills!D18-IF(Skills!E18=TRUE,Inputs!$B$34,0))))+1),0)</f>
        <v/>
      </c>
    </row>
    <row r="94">
      <c r="A94">
        <f>Skills!A19</f>
        <v/>
      </c>
      <c r="B94">
        <f>Skills!B19</f>
        <v/>
      </c>
      <c r="C94">
        <f>Inputs!$B$3&gt;=125</f>
        <v/>
      </c>
      <c r="D94">
        <f>IF(Skills!C19=1,60+Inputs!$B$27+Inputs!$B$31,IF(Skills!C19=2,90+Inputs!$B$28+Inputs!$B$31,IF(Skills!C19=3,120+Inputs!$B$29+Inputs!$B$31,MAX(0,(Inputs!$B$3-100)*3)+Inputs!$B$30+Inputs!$B$31)))</f>
        <v/>
      </c>
      <c r="E94">
        <f>INDEX(FactorTable!$B$2:$Y$301, MATCH(ROUND(MIN(300,MAX(1,D94)),0), FactorTable!$A$2:$A$301,0), Skills!L19+1)</f>
        <v/>
      </c>
      <c r="F94">
        <f>IF(Skills!M19=TRUE,(Skills!K19/10)*(E94/1000),Skills!K19/10)+Skills!N19</f>
        <v/>
      </c>
      <c r="G94">
        <f>Calc!G19</f>
        <v/>
      </c>
      <c r="H94">
        <f>Calc!H19</f>
        <v/>
      </c>
      <c r="I94">
        <f>IF(Skills!T19&lt;&gt;"",1+(Skills!T19/10)*($Z$3/1000)/100,1)</f>
        <v/>
      </c>
      <c r="J94" t="inlineStr"/>
      <c r="K94" t="inlineStr"/>
      <c r="L94" t="inlineStr"/>
      <c r="M94" t="inlineStr"/>
      <c r="N94" t="inlineStr"/>
      <c r="O94" t="n">
        <v>0</v>
      </c>
      <c r="P94">
        <f>IF(B113=0,0,O94/B113)</f>
        <v/>
      </c>
      <c r="Q94">
        <f>IFERROR(1/IF(Inputs!$B$40="pvp",15,MAX(0.1,Skills!D19-IF(Skills!E19=TRUE,Inputs!$B$34,0))),0)</f>
        <v/>
      </c>
      <c r="R94" t="n">
        <v>0</v>
      </c>
    </row>
    <row r="95">
      <c r="A95">
        <f>Skills!A20</f>
        <v/>
      </c>
      <c r="B95">
        <f>Skills!B20</f>
        <v/>
      </c>
      <c r="C95">
        <f>Inputs!$B$3&gt;=33</f>
        <v/>
      </c>
      <c r="D95">
        <f>IF(Skills!C20=1,60+Inputs!$B$27+Inputs!$B$31,IF(Skills!C20=2,90+Inputs!$B$28+Inputs!$B$31,IF(Skills!C20=3,120+Inputs!$B$29+Inputs!$B$31,MAX(0,(Inputs!$B$3-100)*3)+Inputs!$B$30+Inputs!$B$31)))</f>
        <v/>
      </c>
      <c r="E95">
        <f>INDEX(FactorTable!$B$2:$Y$301, MATCH(ROUND(MIN(300,MAX(1,D95)),0), FactorTable!$A$2:$A$301,0), Skills!L20+1)</f>
        <v/>
      </c>
      <c r="F95">
        <f>IF(Skills!M20=TRUE,(Skills!K20/10)*(E95/1000),Skills!K20/10)+Skills!N20</f>
        <v/>
      </c>
      <c r="G95">
        <f>Calc!G20</f>
        <v/>
      </c>
      <c r="H95">
        <f>Calc!H20</f>
        <v/>
      </c>
      <c r="I95">
        <f>IF(Skills!T20&lt;&gt;"",1+(Skills!T20/10)*($Z$3/1000)/100,1)</f>
        <v/>
      </c>
      <c r="J95" t="inlineStr"/>
      <c r="K95" t="inlineStr"/>
      <c r="L95" t="inlineStr"/>
      <c r="M95" t="inlineStr"/>
      <c r="N95" t="inlineStr"/>
      <c r="O95" t="n">
        <v>0</v>
      </c>
      <c r="P95">
        <f>IF(B113=0,0,O95/B113)</f>
        <v/>
      </c>
      <c r="Q95">
        <f>IFERROR(1/IF(Inputs!$B$40="pvp",15,MAX(0.1,Skills!D20-IF(Skills!E20=TRUE,Inputs!$B$34,0))),0)</f>
        <v/>
      </c>
      <c r="R95" t="n">
        <v>0</v>
      </c>
    </row>
    <row r="96">
      <c r="A96">
        <f>Skills!A21</f>
        <v/>
      </c>
      <c r="B96">
        <f>Skills!B21</f>
        <v/>
      </c>
      <c r="C96">
        <f>Inputs!$B$3&gt;=43</f>
        <v/>
      </c>
      <c r="D96">
        <f>IF(Skills!C21=1,60+Inputs!$B$27+Inputs!$B$31,IF(Skills!C21=2,90+Inputs!$B$28+Inputs!$B$31,IF(Skills!C21=3,120+Inputs!$B$29+Inputs!$B$31,MAX(0,(Inputs!$B$3-100)*3)+Inputs!$B$30+Inputs!$B$31)))</f>
        <v/>
      </c>
      <c r="E96">
        <f>INDEX(FactorTable!$B$2:$Y$301, MATCH(ROUND(MIN(300,MAX(1,D96)),0), FactorTable!$A$2:$A$301,0), Skills!L21+1)</f>
        <v/>
      </c>
      <c r="F96">
        <f>IF(Skills!M21=TRUE,(Skills!K21/10)*(E96/1000),Skills!K21/10)+Skills!N21</f>
        <v/>
      </c>
      <c r="G96">
        <f>Calc!G21</f>
        <v/>
      </c>
      <c r="H96">
        <f>Calc!H21</f>
        <v/>
      </c>
      <c r="I96">
        <f>IF(Skills!T21&lt;&gt;"",1+(Skills!T21/10)*($Z$3/1000)/100,1)</f>
        <v/>
      </c>
      <c r="J96" t="inlineStr"/>
      <c r="K96" t="inlineStr"/>
      <c r="L96" t="inlineStr"/>
      <c r="M96" t="inlineStr"/>
      <c r="N96" t="inlineStr"/>
      <c r="O96" t="n">
        <v>0</v>
      </c>
      <c r="P96">
        <f>IF(B113=0,0,O96/B113)</f>
        <v/>
      </c>
      <c r="Q96">
        <f>IFERROR(1/IF(Inputs!$B$40="pvp",15,MAX(0.1,Skills!D21-IF(Skills!E21=TRUE,Inputs!$B$34,0))),0)</f>
        <v/>
      </c>
      <c r="R96" t="n">
        <v>0</v>
      </c>
    </row>
    <row r="97">
      <c r="A97">
        <f>Skills!A22</f>
        <v/>
      </c>
      <c r="B97">
        <f>Skills!B22</f>
        <v/>
      </c>
      <c r="C97">
        <f>Inputs!$B$3&gt;=50</f>
        <v/>
      </c>
      <c r="D97">
        <f>IF(Skills!C22=1,60+Inputs!$B$27+Inputs!$B$31,IF(Skills!C22=2,90+Inputs!$B$28+Inputs!$B$31,IF(Skills!C22=3,120+Inputs!$B$29+Inputs!$B$31,MAX(0,(Inputs!$B$3-100)*3)+Inputs!$B$30+Inputs!$B$31)))</f>
        <v/>
      </c>
      <c r="E97">
        <f>INDEX(FactorTable!$B$2:$Y$301, MATCH(ROUND(MIN(300,MAX(1,D97)),0), FactorTable!$A$2:$A$301,0), Skills!L22+1)</f>
        <v/>
      </c>
      <c r="F97">
        <f>IF(Skills!M22=TRUE,(Skills!K22/10)*(E97/1000),Skills!K22/10)+Skills!N22</f>
        <v/>
      </c>
      <c r="G97">
        <f>Calc!G22</f>
        <v/>
      </c>
      <c r="H97">
        <f>Calc!H22</f>
        <v/>
      </c>
      <c r="I97">
        <f>IF(Skills!T22&lt;&gt;"",1+(Skills!T22/10)*($Z$3/1000)/100,1)</f>
        <v/>
      </c>
      <c r="J97" t="inlineStr"/>
      <c r="K97" t="inlineStr"/>
      <c r="L97" t="inlineStr"/>
      <c r="M97" t="inlineStr"/>
      <c r="N97" t="inlineStr"/>
      <c r="O97" t="n">
        <v>0</v>
      </c>
      <c r="P97">
        <f>IF(B113=0,0,O97/B113)</f>
        <v/>
      </c>
      <c r="Q97">
        <f>IFERROR(1/IF(Inputs!$B$40="pvp",15,MAX(0.1,Skills!D22-IF(Skills!E22=TRUE,Inputs!$B$34,0))),0)</f>
        <v/>
      </c>
      <c r="R97" t="n">
        <v>0</v>
      </c>
    </row>
    <row r="98">
      <c r="A98">
        <f>Skills!A23</f>
        <v/>
      </c>
      <c r="B98">
        <f>Skills!B23</f>
        <v/>
      </c>
      <c r="C98">
        <f>Inputs!$B$3&gt;=74</f>
        <v/>
      </c>
      <c r="D98">
        <f>IF(Skills!C23=1,60+Inputs!$B$27+Inputs!$B$31,IF(Skills!C23=2,90+Inputs!$B$28+Inputs!$B$31,IF(Skills!C23=3,120+Inputs!$B$29+Inputs!$B$31,MAX(0,(Inputs!$B$3-100)*3)+Inputs!$B$30+Inputs!$B$31)))</f>
        <v/>
      </c>
      <c r="E98">
        <f>INDEX(FactorTable!$B$2:$Y$301, MATCH(ROUND(MIN(300,MAX(1,D98)),0), FactorTable!$A$2:$A$301,0), Skills!L23+1)</f>
        <v/>
      </c>
      <c r="F98">
        <f>IF(Skills!M23=TRUE,(Skills!K23/10)*(E98/1000),Skills!K23/10)+Skills!N23</f>
        <v/>
      </c>
      <c r="G98">
        <f>Calc!G23</f>
        <v/>
      </c>
      <c r="H98">
        <f>Calc!H23</f>
        <v/>
      </c>
      <c r="I98">
        <f>IF(Skills!T23&lt;&gt;"",1+(Skills!T23/10)*($Z$3/1000)/100,1)</f>
        <v/>
      </c>
      <c r="J98" t="inlineStr"/>
      <c r="K98" t="inlineStr"/>
      <c r="L98" t="inlineStr"/>
      <c r="M98" t="inlineStr"/>
      <c r="N98" t="inlineStr"/>
      <c r="O98" t="n">
        <v>0</v>
      </c>
      <c r="P98">
        <f>IF(B113=0,0,O98/B113)</f>
        <v/>
      </c>
      <c r="Q98">
        <f>IFERROR(1/IF(Inputs!$B$40="pvp",15,MAX(0.1,Skills!D23-IF(Skills!E23=TRUE,Inputs!$B$34,0))),0)</f>
        <v/>
      </c>
      <c r="R98" t="n">
        <v>0</v>
      </c>
    </row>
    <row r="99">
      <c r="A99">
        <f>Skills!A24</f>
        <v/>
      </c>
      <c r="B99">
        <f>Skills!B24</f>
        <v/>
      </c>
      <c r="C99">
        <f>Inputs!$B$3&gt;=74</f>
        <v/>
      </c>
      <c r="D99">
        <f>IF(Skills!C24=1,60+Inputs!$B$27+Inputs!$B$31,IF(Skills!C24=2,90+Inputs!$B$28+Inputs!$B$31,IF(Skills!C24=3,120+Inputs!$B$29+Inputs!$B$31,MAX(0,(Inputs!$B$3-100)*3)+Inputs!$B$30+Inputs!$B$31)))</f>
        <v/>
      </c>
      <c r="E99">
        <f>INDEX(FactorTable!$B$2:$Y$301, MATCH(ROUND(MIN(300,MAX(1,D99)),0), FactorTable!$A$2:$A$301,0), Skills!L24+1)</f>
        <v/>
      </c>
      <c r="F99">
        <f>IF(Skills!M24=TRUE,(Skills!K24/10)*(E99/1000),Skills!K24/10)+Skills!N24</f>
        <v/>
      </c>
      <c r="G99">
        <f>Calc!G24</f>
        <v/>
      </c>
      <c r="H99">
        <f>Calc!H24</f>
        <v/>
      </c>
      <c r="I99">
        <f>IF(Skills!T24&lt;&gt;"",1+(Skills!T24/10)*($Z$3/1000)/100,1)</f>
        <v/>
      </c>
      <c r="J99" t="inlineStr"/>
      <c r="K99" t="inlineStr"/>
      <c r="L99" t="inlineStr"/>
      <c r="M99" t="inlineStr"/>
      <c r="N99" t="inlineStr"/>
      <c r="O99" t="n">
        <v>0</v>
      </c>
      <c r="P99">
        <f>IF(B113=0,0,O99/B113)</f>
        <v/>
      </c>
      <c r="Q99">
        <f>IFERROR(1/IF(Inputs!$B$40="pvp",15,MAX(0.1,Skills!D24-IF(Skills!E24=TRUE,Inputs!$B$34,0))),0)</f>
        <v/>
      </c>
      <c r="R99" t="n">
        <v>0</v>
      </c>
    </row>
    <row r="100">
      <c r="A100">
        <f>Skills!A25</f>
        <v/>
      </c>
      <c r="B100">
        <f>Skills!B25</f>
        <v/>
      </c>
      <c r="C100">
        <f>Inputs!$B$3&gt;=117</f>
        <v/>
      </c>
      <c r="D100">
        <f>IF(Skills!C25=1,60+Inputs!$B$27+Inputs!$B$31,IF(Skills!C25=2,90+Inputs!$B$28+Inputs!$B$31,IF(Skills!C25=3,120+Inputs!$B$29+Inputs!$B$31,MAX(0,(Inputs!$B$3-100)*3)+Inputs!$B$30+Inputs!$B$31)))</f>
        <v/>
      </c>
      <c r="E100">
        <f>INDEX(FactorTable!$B$2:$Y$301, MATCH(ROUND(MIN(300,MAX(1,D100)),0), FactorTable!$A$2:$A$301,0), Skills!L25+1)</f>
        <v/>
      </c>
      <c r="F100">
        <f>IF(Skills!M25=TRUE,(Skills!K25/10)*(E100/1000),Skills!K25/10)+Skills!N25</f>
        <v/>
      </c>
      <c r="G100">
        <f>Calc!G25</f>
        <v/>
      </c>
      <c r="H100">
        <f>Calc!H25</f>
        <v/>
      </c>
      <c r="I100">
        <f>IF(Skills!T25&lt;&gt;"",1+(Skills!T25/10)*($Z$3/1000)/100,1)</f>
        <v/>
      </c>
      <c r="J100" t="inlineStr"/>
      <c r="K100" t="inlineStr"/>
      <c r="L100" t="inlineStr"/>
      <c r="M100" t="inlineStr"/>
      <c r="N100" t="inlineStr"/>
      <c r="O100" t="n">
        <v>0</v>
      </c>
      <c r="P100">
        <f>IF(B113=0,0,O100/B113)</f>
        <v/>
      </c>
      <c r="Q100">
        <f>IFERROR(1/IF(Inputs!$B$40="pvp",15,MAX(0.1,Skills!D25-IF(Skills!E25=TRUE,Inputs!$B$34,0))),0)</f>
        <v/>
      </c>
      <c r="R100" t="n">
        <v>0</v>
      </c>
    </row>
    <row r="101">
      <c r="A101">
        <f>Skills!A26</f>
        <v/>
      </c>
      <c r="B101">
        <f>Skills!B26</f>
        <v/>
      </c>
      <c r="C101">
        <f>Inputs!$B$3&gt;=120</f>
        <v/>
      </c>
      <c r="D101">
        <f>IF(Skills!C26=1,60+Inputs!$B$27+Inputs!$B$31,IF(Skills!C26=2,90+Inputs!$B$28+Inputs!$B$31,IF(Skills!C26=3,120+Inputs!$B$29+Inputs!$B$31,MAX(0,(Inputs!$B$3-100)*3)+Inputs!$B$30+Inputs!$B$31)))</f>
        <v/>
      </c>
      <c r="E101">
        <f>INDEX(FactorTable!$B$2:$Y$301, MATCH(ROUND(MIN(300,MAX(1,D101)),0), FactorTable!$A$2:$A$301,0), Skills!L26+1)</f>
        <v/>
      </c>
      <c r="F101">
        <f>IF(Skills!M26=TRUE,(Skills!K26/10)*(E101/1000),Skills!K26/10)+Skills!N26</f>
        <v/>
      </c>
      <c r="G101">
        <f>Calc!G26</f>
        <v/>
      </c>
      <c r="H101">
        <f>Calc!H26</f>
        <v/>
      </c>
      <c r="I101">
        <f>IF(Skills!T26&lt;&gt;"",1+(Skills!T26/10)*($Z$3/1000)/100,1)</f>
        <v/>
      </c>
      <c r="J101" t="inlineStr"/>
      <c r="K101" t="inlineStr"/>
      <c r="L101" t="inlineStr"/>
      <c r="M101" t="inlineStr"/>
      <c r="N101" t="inlineStr"/>
      <c r="O101" t="n">
        <v>0</v>
      </c>
      <c r="P101">
        <f>IF(B113=0,0,O101/B113)</f>
        <v/>
      </c>
      <c r="Q101">
        <f>IFERROR(1/IF(Inputs!$B$40="pvp",15,MAX(0.1,Skills!D26-IF(Skills!E26=TRUE,Inputs!$B$34,0))),0)</f>
        <v/>
      </c>
      <c r="R101" t="n">
        <v>0</v>
      </c>
    </row>
    <row r="103">
      <c r="A103" t="inlineStr">
        <is>
          <t>Average Buff Multiplier</t>
        </is>
      </c>
      <c r="B103">
        <f>(1+(IF(C78=TRUE,F78*IF(AND(Inputs!$B$40&lt;&gt;"pvp",Inputs!$B$43&gt;0),(((R78-1)*(Skills!S3*(1+(Inputs!$B$36+IF(Inputs!$B$3&gt;=117,F100,0))/100))+MIN((Skills!S3*(1+(Inputs!$B$36+IF(Inputs!$B$3&gt;=117,F100,0))/100)),MAX(0,Inputs!$B$43-((R78-1)*Skills!D3))))/Inputs!$B$43),IF(Inputs!$B$40="pvp",MIN((Skills!S3*(1+(Inputs!$B$36+IF(Inputs!$B$3&gt;=117,F100,0))/100)),15)/15,(Skills!S3*(1+(Inputs!$B$36+IF(Inputs!$B$3&gt;=117,F100,0))/100))/Skills!D3)),0)+IF(C79=TRUE,F79*IF(AND(Inputs!$B$40&lt;&gt;"pvp",Inputs!$B$43&gt;0),(((R79-1)*(Skills!S4*(1+(Inputs!$B$36+IF(Inputs!$B$3&gt;=117,F100,0))/100))+MIN((Skills!S4*(1+(Inputs!$B$36+IF(Inputs!$B$3&gt;=117,F100,0))/100)),MAX(0,Inputs!$B$43-((R79-1)*Skills!D4))))/Inputs!$B$43),IF(Inputs!$B$40="pvp",MIN((Skills!S4*(1+(Inputs!$B$36+IF(Inputs!$B$3&gt;=117,F100,0))/100)),15)/15,(Skills!S4*(1+(Inputs!$B$36+IF(Inputs!$B$3&gt;=117,F100,0))/100))/Skills!D4)),0)+IF(C80=TRUE,F80*IF(AND(Inputs!$B$40&lt;&gt;"pvp",Inputs!$B$43&gt;0),(((R80-1)*(Skills!S5*(1+(Inputs!$B$36+IF(Inputs!$B$3&gt;=117,F100,0))/100))+MIN((Skills!S5*(1+(Inputs!$B$36+IF(Inputs!$B$3&gt;=117,F100,0))/100)),MAX(0,Inputs!$B$43-((R80-1)*Skills!D5))))/Inputs!$B$43),IF(Inputs!$B$40="pvp",MIN((Skills!S5*(1+(Inputs!$B$36+IF(Inputs!$B$3&gt;=117,F100,0))/100)),15)/15,(Skills!S5*(1+(Inputs!$B$36+IF(Inputs!$B$3&gt;=117,F100,0))/100))/Skills!D5)),0)+IF(C86=TRUE,F86*IF(AND(Inputs!$B$40&lt;&gt;"pvp",Inputs!$B$43&gt;0),(((R86-1)*(Skills!S11*(1+(Inputs!$B$36+IF(Inputs!$B$3&gt;=117,F100,0))/100))+MIN((Skills!S11*(1+(Inputs!$B$36+IF(Inputs!$B$3&gt;=117,F100,0))/100)),MAX(0,Inputs!$B$43-((R86-1)*Skills!D11))))/Inputs!$B$43),IF(Inputs!$B$40="pvp",MIN((Skills!S11*(1+(Inputs!$B$36+IF(Inputs!$B$3&gt;=117,F100,0))/100)),15)/15,(Skills!S11*(1+(Inputs!$B$36+IF(Inputs!$B$3&gt;=117,F100,0))/100))/Skills!D11)),0))/100)*IF(C88=TRUE,(1+F88*IF(AND(Inputs!$B$40&lt;&gt;"pvp",Inputs!$B$43&gt;0),(((R88-1)*(Skills!S13*(1+(Inputs!$B$36+IF(Inputs!$B$3&gt;=117,F100,0))/100))+MIN((Skills!S13*(1+(Inputs!$B$36+IF(Inputs!$B$3&gt;=117,F100,0))/100)),MAX(0,Inputs!$B$43-((R88-1)*Skills!D13))))/Inputs!$B$43),IF(Inputs!$B$40="pvp",MIN((Skills!S13*(1+(Inputs!$B$36+IF(Inputs!$B$3&gt;=117,F100,0))/100)),15)/15,(Skills!S13*(1+(Inputs!$B$36+IF(Inputs!$B$3&gt;=117,F100,0))/100))/Skills!D13))/100),1)*IF(C93=TRUE,(1+F93*IF(AND(Inputs!$B$40&lt;&gt;"pvp",Inputs!$B$43&gt;0),(((R93-1)*(Skills!S18*(1+(Inputs!$B$36+IF(Inputs!$B$3&gt;=117,F100,0))/100))+MIN((Skills!S18*(1+(Inputs!$B$36+IF(Inputs!$B$3&gt;=117,F100,0))/100)),MAX(0,Inputs!$B$43-((R93-1)*Skills!D18))))/Inputs!$B$43),IF(Inputs!$B$40="pvp",MIN((Skills!S18*(1+(Inputs!$B$36+IF(Inputs!$B$3&gt;=117,F100,0))/100)),15)/15,(Skills!S18*(1+(Inputs!$B$36+IF(Inputs!$B$3&gt;=117,F100,0))/100))/Skills!D18))/100),1)</f>
        <v/>
      </c>
    </row>
    <row r="104">
      <c r="A104" t="inlineStr">
        <is>
          <t>Monster Damage Taken Bonus % (Holy Fountain)</t>
        </is>
      </c>
      <c r="B104">
        <f>IF(Inputs!$B$3&gt;=68,20*IF(Inputs!$B$40="pvp",MIN((15*(1+(Inputs!$B$36+IF(Inputs!$B$3&gt;=117,F100,0))/100)),15)/15,(15*(1+(Inputs!$B$36+IF(Inputs!$B$3&gt;=117,F100,0))/100))/Skills!D10),0)</f>
        <v/>
      </c>
    </row>
    <row r="105">
      <c r="A105" t="inlineStr">
        <is>
          <t>Normal Monster Damage Bonus % (Holy Symbol)</t>
        </is>
      </c>
      <c r="B105">
        <f>IF(C87=TRUE,F87*IF(AND(Inputs!$B$40&lt;&gt;"pvp",Inputs!$B$43&gt;0),(((R87-1)*(Skills!S12*(1+(Inputs!$B$36+IF(Inputs!$B$3&gt;=117,F100,0))/100))+MIN((Skills!S12*(1+(Inputs!$B$36+IF(Inputs!$B$3&gt;=117,F100,0))/100)),MAX(0,Inputs!$B$43-((R87-1)*Skills!D12))))/Inputs!$B$43),IF(Inputs!$B$40="pvp",MIN((Skills!S12*(1+(Inputs!$B$36+IF(Inputs!$B$3&gt;=117,F100,0))/100)),15)/15,(Skills!S12*(1+(Inputs!$B$36+IF(Inputs!$B$3&gt;=117,F100,0))/100))/Skills!D12)),0)</f>
        <v/>
      </c>
    </row>
    <row r="106">
      <c r="A106" t="inlineStr">
        <is>
          <t>Damage % Bonus (Holy Symbol - Damage Boost)</t>
        </is>
      </c>
      <c r="B106">
        <f>Skills!O12</f>
        <v/>
      </c>
    </row>
    <row r="107">
      <c r="A107" t="inlineStr">
        <is>
          <t>Crit Damage % Bonus (Blood of the Divine)</t>
        </is>
      </c>
      <c r="B107">
        <f>4*IF(C94=TRUE,F94,0)</f>
        <v/>
      </c>
    </row>
    <row r="108">
      <c r="A108" t="inlineStr">
        <is>
          <t>Attack Speed Bonus %</t>
        </is>
      </c>
      <c r="B108">
        <f>IF(C91=TRUE,F91+(F95-Calc!F20),0)+IF(Inputs!$B$3&gt;=134,15,0)</f>
        <v/>
      </c>
    </row>
    <row r="109">
      <c r="A109" t="inlineStr">
        <is>
          <t>Actions Per Second</t>
        </is>
      </c>
      <c r="B109">
        <f>1+MIN(150,150*(1-(1-Inputs!$B$13/150)*(1-B108/150)))/100</f>
        <v/>
      </c>
    </row>
    <row r="110">
      <c r="A110" t="inlineStr">
        <is>
          <t>Skill + Buff Cast Rate</t>
        </is>
      </c>
      <c r="B110">
        <f>IF(AND(Inputs!$B$40&lt;&gt;"pvp",Inputs!$B$43&gt;0),SUMPRODUCT((Skills!E2:E26=TRUE)*(C77:C101=TRUE)*R77:R101)/Inputs!$B$43,SUMPRODUCT((Skills!E2:E26=TRUE)*(C77:C101=TRUE)*Q77:Q101))</f>
        <v/>
      </c>
    </row>
    <row r="111">
      <c r="A111" t="inlineStr">
        <is>
          <t>Big Bang Casts Per Second</t>
        </is>
      </c>
      <c r="B111">
        <f>MAX(0,B109-B110)</f>
        <v/>
      </c>
    </row>
    <row r="113">
      <c r="A113" s="5" t="inlineStr">
        <is>
          <t>TOTAL DPS</t>
        </is>
      </c>
      <c r="B113" s="5">
        <f>SUM(O77:O101)</f>
        <v/>
      </c>
    </row>
    <row r="116">
      <c r="A116" s="5" t="inlineStr">
        <is>
          <t>Stat: Defense (flat) — Invincible converts 10% into INT</t>
        </is>
      </c>
    </row>
    <row r="117">
      <c r="A117" s="9" t="inlineStr">
        <is>
          <t>Key</t>
        </is>
      </c>
      <c r="B117" s="9" t="inlineStr">
        <is>
          <t>Name</t>
        </is>
      </c>
      <c r="C117" s="9" t="inlineStr">
        <is>
          <t>Unlocked</t>
        </is>
      </c>
      <c r="D117" s="9" t="inlineStr">
        <is>
          <t>InputLevel</t>
        </is>
      </c>
      <c r="E117" s="9" t="inlineStr">
        <is>
          <t>Factor</t>
        </is>
      </c>
      <c r="F117" s="9" t="inlineStr">
        <is>
          <t>CoefficientPercent</t>
        </is>
      </c>
      <c r="G117" s="9" t="inlineStr">
        <is>
          <t>EffectiveHits</t>
        </is>
      </c>
      <c r="H117" s="9" t="inlineStr">
        <is>
          <t>ProcProbability</t>
        </is>
      </c>
      <c r="I117" s="9" t="inlineStr">
        <is>
          <t>MapleHeroMultiplier</t>
        </is>
      </c>
      <c r="J117" s="9" t="inlineStr">
        <is>
          <t>BaseDamage</t>
        </is>
      </c>
      <c r="K117" s="9" t="inlineStr">
        <is>
          <t>BaseHitDamage</t>
        </is>
      </c>
      <c r="L117" s="9" t="inlineStr">
        <is>
          <t>NonCritAvg</t>
        </is>
      </c>
      <c r="M117" s="9" t="inlineStr">
        <is>
          <t>CritAvg</t>
        </is>
      </c>
      <c r="N117" s="9" t="inlineStr">
        <is>
          <t>ExpectedDamage(perHit)</t>
        </is>
      </c>
      <c r="O117" s="9" t="inlineStr">
        <is>
          <t>DPS</t>
        </is>
      </c>
      <c r="P117" s="9" t="inlineStr">
        <is>
          <t>% of Total</t>
        </is>
      </c>
      <c r="R117" t="inlineStr">
        <is>
          <t>helpers</t>
        </is>
      </c>
    </row>
    <row r="118">
      <c r="A118">
        <f>Skills!A2</f>
        <v/>
      </c>
      <c r="B118">
        <f>Skills!B2</f>
        <v/>
      </c>
      <c r="C118">
        <f>Inputs!$B$3&gt;=100</f>
        <v/>
      </c>
      <c r="D118" t="inlineStr"/>
      <c r="E118" t="inlineStr"/>
      <c r="F118">
        <f>T120+Skills!N2</f>
        <v/>
      </c>
      <c r="G118">
        <f>Calc!G2</f>
        <v/>
      </c>
      <c r="H118">
        <f>Calc!H2</f>
        <v/>
      </c>
      <c r="I118">
        <f>IF(Skills!T2&lt;&gt;"",1+(Skills!T2/10)*($Z$3/1000)/100,1)</f>
        <v/>
      </c>
      <c r="J118">
        <f>(Inputs!$B$7*(1+Inputs!$B$8/100))*(F118/100)</f>
        <v/>
      </c>
      <c r="K118">
        <f>J118*(1+(((Inputs!$B$14+IF(Inputs!$B$3&gt;=35,0.10*((Inputs!$B$9+1)*(1+Inputs!$B$10/100)),0))*(1+Inputs!$B$15/100))*0.01+Inputs!$B$16*0.0025)/100)*(1+(Inputs!$B$17+B147)/100)*(1+IF(Inputs!$B$40="pvp",0,(1-Summary!$B$48)*(Inputs!$B$22+Skills!O2+B145)+Summary!$B$48*(Inputs!$B$23+Skills!P2+B146))/100)*(1+Inputs!$B$18/100)*(5000/(6000+Inputs!$B$42*(1-Inputs!$B$21/100)))*(1+Inputs!$B$26/100)*(1+IF(C133=TRUE,F133,0)/100)*(1+IF(C135=TRUE,F135,0)/100)*(1+IF(Skills!A2="TRIUMPH_FEATHER",IF(C131=TRUE,F131,0),0)/100)*(1+IF(C142=TRUE,F142,0)/100)^5*(1+(IF(Skills!A2="BIG_BANG",Inputs!$B$19,Inputs!$B$20))/100)*(B144*I118)</f>
        <v/>
      </c>
      <c r="L118">
        <f>K118*(MIN(Inputs!$B$24+(F137-Calc!F21),Inputs!$B$25)/100+Inputs!$B$25/100)/2</f>
        <v/>
      </c>
      <c r="M118">
        <f>L118*(1+(Inputs!$B$12+B148+(F140-Calc!F24))/100)</f>
        <v/>
      </c>
      <c r="N118">
        <f>L118*(1-MIN(Inputs!$B$11+((F139-Calc!F23)+(F138-Calc!F22)),100)/100)+M118*(MIN(Inputs!$B$11+((F139-Calc!F23)+(F138-Calc!F22)),100)/100)</f>
        <v/>
      </c>
      <c r="O118">
        <f>IF(C118,Skills!F2*N118*B152*IF(Inputs!$B$40="pvp",1,(1-Summary!$B$48)*(1)+Summary!$B$48*(MIN((6+Inputs!$B$35),Inputs!$B$39))),0)</f>
        <v/>
      </c>
      <c r="P118">
        <f>IF(B154=0,0,O118/B154)</f>
        <v/>
      </c>
      <c r="Q118">
        <f>IFERROR(1/IF(Inputs!$B$40="pvp",15,MAX(0.1,Skills!D2-IF(Skills!E2=TRUE,Inputs!$B$34,0))),0)</f>
        <v/>
      </c>
      <c r="R118" t="n">
        <v>0</v>
      </c>
      <c r="T118">
        <f>MAX(0,(Inputs!$B$3-100)*3)+Inputs!$B$30+Inputs!$B$31</f>
        <v/>
      </c>
    </row>
    <row r="119">
      <c r="A119">
        <f>Skills!A3</f>
        <v/>
      </c>
      <c r="B119">
        <f>Skills!B3</f>
        <v/>
      </c>
      <c r="C119">
        <f>Inputs!$B$3&gt;=15</f>
        <v/>
      </c>
      <c r="D119">
        <f>IF(Skills!C3=1,60+Inputs!$B$27+Inputs!$B$31,IF(Skills!C3=2,90+Inputs!$B$28+Inputs!$B$31,IF(Skills!C3=3,120+Inputs!$B$29+Inputs!$B$31,MAX(0,(Inputs!$B$3-100)*3)+Inputs!$B$30+Inputs!$B$31)))</f>
        <v/>
      </c>
      <c r="E119">
        <f>INDEX(FactorTable!$B$2:$Y$301, MATCH(ROUND(MIN(300,MAX(1,D119)),0), FactorTable!$A$2:$A$301,0), Skills!L3+1)</f>
        <v/>
      </c>
      <c r="F119">
        <f>IF(Skills!M3=TRUE,(Skills!K3/10)*(E119/1000),Skills!K3/10)+Skills!N3</f>
        <v/>
      </c>
      <c r="G119">
        <f>Calc!G3</f>
        <v/>
      </c>
      <c r="H119">
        <f>Calc!H3</f>
        <v/>
      </c>
      <c r="I119">
        <f>IF(Skills!T3&lt;&gt;"",1+(Skills!T3/10)*($Z$3/1000)/100,1)</f>
        <v/>
      </c>
      <c r="J119" t="inlineStr"/>
      <c r="K119" t="inlineStr"/>
      <c r="L119" t="inlineStr"/>
      <c r="M119" t="inlineStr"/>
      <c r="N119" t="inlineStr"/>
      <c r="O119" t="n">
        <v>0</v>
      </c>
      <c r="P119">
        <f>IF(B154=0,0,O119/B154)</f>
        <v/>
      </c>
      <c r="Q119">
        <f>IFERROR(1/IF(Inputs!$B$40="pvp",15,MAX(0.1,Skills!D3-IF(Skills!E3=TRUE,Inputs!$B$34,0))),0)</f>
        <v/>
      </c>
      <c r="R119">
        <f>IF(AND(Inputs!$B$40&lt;&gt;"pvp",Inputs!$B$43&gt;0),(INT(Inputs!$B$43/IF(Inputs!$B$40="pvp",15,MAX(0.1,Skills!D3-IF(Skills!E3=TRUE,Inputs!$B$34,0))))+1),0)</f>
        <v/>
      </c>
      <c r="T119">
        <f>INDEX(FactorTable!$B$2:$Y$301, MATCH(ROUND(MIN(300,MAX(1,T118)),0), FactorTable!$A$2:$A$301,0), 22)</f>
        <v/>
      </c>
    </row>
    <row r="120">
      <c r="A120">
        <f>Skills!A4</f>
        <v/>
      </c>
      <c r="B120">
        <f>Skills!B4</f>
        <v/>
      </c>
      <c r="C120">
        <f>Inputs!$B$3&gt;=38</f>
        <v/>
      </c>
      <c r="D120">
        <f>IF(Skills!C4=1,60+Inputs!$B$27+Inputs!$B$31,IF(Skills!C4=2,90+Inputs!$B$28+Inputs!$B$31,IF(Skills!C4=3,120+Inputs!$B$29+Inputs!$B$31,MAX(0,(Inputs!$B$3-100)*3)+Inputs!$B$30+Inputs!$B$31)))</f>
        <v/>
      </c>
      <c r="E120">
        <f>INDEX(FactorTable!$B$2:$Y$301, MATCH(ROUND(MIN(300,MAX(1,D120)),0), FactorTable!$A$2:$A$301,0), Skills!L4+1)</f>
        <v/>
      </c>
      <c r="F120">
        <f>IF(Skills!M4=TRUE,(Skills!K4/10)*(E120/1000),Skills!K4/10)+Skills!N4</f>
        <v/>
      </c>
      <c r="G120">
        <f>Calc!G4</f>
        <v/>
      </c>
      <c r="H120">
        <f>Calc!H4</f>
        <v/>
      </c>
      <c r="I120">
        <f>IF(Skills!T4&lt;&gt;"",1+(Skills!T4/10)*($Z$3/1000)/100,1)</f>
        <v/>
      </c>
      <c r="J120" t="inlineStr"/>
      <c r="K120" t="inlineStr"/>
      <c r="L120" t="inlineStr"/>
      <c r="M120" t="inlineStr"/>
      <c r="N120" t="inlineStr"/>
      <c r="O120" t="n">
        <v>0</v>
      </c>
      <c r="P120">
        <f>IF(B154=0,0,O120/B154)</f>
        <v/>
      </c>
      <c r="Q120">
        <f>IFERROR(1/IF(Inputs!$B$40="pvp",15,MAX(0.1,Skills!D4-IF(Skills!E4=TRUE,Inputs!$B$34,0))),0)</f>
        <v/>
      </c>
      <c r="R120">
        <f>IF(AND(Inputs!$B$40&lt;&gt;"pvp",Inputs!$B$43&gt;0),(INT(Inputs!$B$43/IF(Inputs!$B$40="pvp",15,MAX(0.1,Skills!D4-IF(Skills!E4=TRUE,Inputs!$B$34,0))))+1),0)</f>
        <v/>
      </c>
      <c r="T120">
        <f>290*T119/1000</f>
        <v/>
      </c>
    </row>
    <row r="121">
      <c r="A121">
        <f>Skills!A5</f>
        <v/>
      </c>
      <c r="B121">
        <f>Skills!B5</f>
        <v/>
      </c>
      <c r="C121">
        <f>Inputs!$B$3&gt;=40</f>
        <v/>
      </c>
      <c r="D121">
        <f>IF(Skills!C5=1,60+Inputs!$B$27+Inputs!$B$31,IF(Skills!C5=2,90+Inputs!$B$28+Inputs!$B$31,IF(Skills!C5=3,120+Inputs!$B$29+Inputs!$B$31,MAX(0,(Inputs!$B$3-100)*3)+Inputs!$B$30+Inputs!$B$31)))</f>
        <v/>
      </c>
      <c r="E121">
        <f>INDEX(FactorTable!$B$2:$Y$301, MATCH(ROUND(MIN(300,MAX(1,D121)),0), FactorTable!$A$2:$A$301,0), Skills!L5+1)</f>
        <v/>
      </c>
      <c r="F121">
        <f>IF(Skills!M5=TRUE,(Skills!K5/10)*(E121/1000),Skills!K5/10)+Skills!N5</f>
        <v/>
      </c>
      <c r="G121">
        <f>Calc!G5</f>
        <v/>
      </c>
      <c r="H121">
        <f>Calc!H5</f>
        <v/>
      </c>
      <c r="I121">
        <f>IF(Skills!T5&lt;&gt;"",1+(Skills!T5/10)*($Z$3/1000)/100,1)</f>
        <v/>
      </c>
      <c r="J121" t="inlineStr"/>
      <c r="K121" t="inlineStr"/>
      <c r="L121" t="inlineStr"/>
      <c r="M121" t="inlineStr"/>
      <c r="N121" t="inlineStr"/>
      <c r="O121" t="n">
        <v>0</v>
      </c>
      <c r="P121">
        <f>IF(B154=0,0,O121/B154)</f>
        <v/>
      </c>
      <c r="Q121">
        <f>IFERROR(1/IF(Inputs!$B$40="pvp",15,MAX(0.1,Skills!D5-IF(Skills!E5=TRUE,Inputs!$B$34,0))),0)</f>
        <v/>
      </c>
      <c r="R121">
        <f>IF(AND(Inputs!$B$40&lt;&gt;"pvp",Inputs!$B$43&gt;0),(INT(Inputs!$B$43/IF(Inputs!$B$40="pvp",15,MAX(0.1,Skills!D5-IF(Skills!E5=TRUE,Inputs!$B$34,0))))+1),0)</f>
        <v/>
      </c>
    </row>
    <row r="122">
      <c r="A122">
        <f>Skills!A6</f>
        <v/>
      </c>
      <c r="B122">
        <f>Skills!B6</f>
        <v/>
      </c>
      <c r="C122">
        <f>Inputs!$B$3&gt;=103</f>
        <v/>
      </c>
      <c r="D122">
        <f>IF(Skills!C6=1,60+Inputs!$B$27+Inputs!$B$31,IF(Skills!C6=2,90+Inputs!$B$28+Inputs!$B$31,IF(Skills!C6=3,120+Inputs!$B$29+Inputs!$B$31,MAX(0,(Inputs!$B$3-100)*3)+Inputs!$B$30+Inputs!$B$31)))</f>
        <v/>
      </c>
      <c r="E122">
        <f>INDEX(FactorTable!$B$2:$Y$301, MATCH(ROUND(MIN(300,MAX(1,D122)),0), FactorTable!$A$2:$A$301,0), Skills!L6+1)</f>
        <v/>
      </c>
      <c r="F122">
        <f>IF(Skills!M6=TRUE,(Skills!K6/10)*(E122/1000),Skills!K6/10)+Skills!N6</f>
        <v/>
      </c>
      <c r="G122">
        <f>Calc!G6</f>
        <v/>
      </c>
      <c r="H122">
        <f>Calc!H6</f>
        <v/>
      </c>
      <c r="I122">
        <f>IF(Skills!T6&lt;&gt;"",1+(Skills!T6/10)*($Z$3/1000)/100,1)</f>
        <v/>
      </c>
      <c r="J122">
        <f>(Inputs!$B$7*(1+Inputs!$B$8/100))*(F122/100)</f>
        <v/>
      </c>
      <c r="K122">
        <f>J122*(1+(((Inputs!$B$14+IF(Inputs!$B$3&gt;=35,0.10*((Inputs!$B$9+1)*(1+Inputs!$B$10/100)),0))*(1+Inputs!$B$15/100))*0.01+Inputs!$B$16*0.0025)/100)*(1+(Inputs!$B$17+B147)/100)*(1+IF(Inputs!$B$40="pvp",0,(1-Summary!$B$48)*(Inputs!$B$22+Skills!O6+B145)+Summary!$B$48*(Inputs!$B$23+Skills!P6+B146))/100)*(1+Inputs!$B$18/100)*(5000/(6000+Inputs!$B$42*(1-Inputs!$B$21/100)))*(1+Inputs!$B$26/100)*(1+IF(C133=TRUE,F133,0)/100)*(1+IF(C135=TRUE,F135,0)/100)*(1+IF(Skills!A6="TRIUMPH_FEATHER",IF(C131=TRUE,F131,0),0)/100)*(1+IF(C142=TRUE,F142,0)/100)^5*(1+(IF(Skills!A6="BIG_BANG",Inputs!$B$19,Inputs!$B$20))/100)*(B144*I122)</f>
        <v/>
      </c>
      <c r="L122">
        <f>K122*(MIN(Inputs!$B$24+(F137-Calc!F21),Inputs!$B$25)/100+Inputs!$B$25/100)/2</f>
        <v/>
      </c>
      <c r="M122">
        <f>L122*(1+(Inputs!$B$12+B148+(F140-Calc!F24))/100)</f>
        <v/>
      </c>
      <c r="N122">
        <f>L122*(1-MIN(Inputs!$B$11+((F139-Calc!F23)+(F138-Calc!F22)),100)/100)+M122*(MIN(Inputs!$B$11+((F139-Calc!F23)+(F138-Calc!F22)),100)/100)</f>
        <v/>
      </c>
      <c r="O122">
        <f>IF(C122,H122*N122*IF(AND(Inputs!$B$40&lt;&gt;"pvp",Inputs!$B$43&gt;0),((Skills!F6*((R122-1)*IF(Skills!G6&gt;0,Skills!H6/Skills!G6,1)+IF(Skills!G6&gt;0,MIN(Skills!H6,MAX(0,Inputs!$B$43-((R122-1)*IF(Inputs!$B$40="pvp",15,MAX(0.1,Skills!D6-IF(Skills!E6=TRUE,Inputs!$B$34,0))))))/Skills!G6,1)))/Inputs!$B$43),G122*Q122)*IF(Inputs!$B$40="pvp",1,(1-Summary!$B$48)*(1)+Summary!$B$48*(MIN(Skills!Q6,Inputs!$B$39))),0)</f>
        <v/>
      </c>
      <c r="P122">
        <f>IF(B154=0,0,O122/B154)</f>
        <v/>
      </c>
      <c r="Q122">
        <f>IFERROR(1/IF(Inputs!$B$40="pvp",15,MAX(0.1,Skills!D6-IF(Skills!E6=TRUE,Inputs!$B$34,0))),0)</f>
        <v/>
      </c>
      <c r="R122">
        <f>IF(AND(Inputs!$B$40&lt;&gt;"pvp",Inputs!$B$43&gt;0),(INT(Inputs!$B$43/IF(Inputs!$B$40="pvp",15,MAX(0.1,Skills!D6-IF(Skills!E6=TRUE,Inputs!$B$34,0))))+1),0)</f>
        <v/>
      </c>
    </row>
    <row r="123">
      <c r="A123">
        <f>Skills!A7</f>
        <v/>
      </c>
      <c r="B123">
        <f>Skills!B7</f>
        <v/>
      </c>
      <c r="C123">
        <f>Inputs!$B$3&gt;=122</f>
        <v/>
      </c>
      <c r="D123">
        <f>IF(Skills!C7=1,60+Inputs!$B$27+Inputs!$B$31,IF(Skills!C7=2,90+Inputs!$B$28+Inputs!$B$31,IF(Skills!C7=3,120+Inputs!$B$29+Inputs!$B$31,MAX(0,(Inputs!$B$3-100)*3)+Inputs!$B$30+Inputs!$B$31)))</f>
        <v/>
      </c>
      <c r="E123">
        <f>INDEX(FactorTable!$B$2:$Y$301, MATCH(ROUND(MIN(300,MAX(1,D123)),0), FactorTable!$A$2:$A$301,0), Skills!L7+1)</f>
        <v/>
      </c>
      <c r="F123">
        <f>IF(Skills!M7=TRUE,(Skills!K7/10)*(E123/1000),Skills!K7/10)+Skills!N7</f>
        <v/>
      </c>
      <c r="G123">
        <f>Calc!G7</f>
        <v/>
      </c>
      <c r="H123">
        <f>Calc!H7</f>
        <v/>
      </c>
      <c r="I123">
        <f>IF(Skills!T7&lt;&gt;"",1+(Skills!T7/10)*($Z$3/1000)/100,1)</f>
        <v/>
      </c>
      <c r="J123">
        <f>(Inputs!$B$7*(1+Inputs!$B$8/100))*(F123/100)</f>
        <v/>
      </c>
      <c r="K123">
        <f>J123*(1+(((Inputs!$B$14+IF(Inputs!$B$3&gt;=35,0.10*((Inputs!$B$9+1)*(1+Inputs!$B$10/100)),0))*(1+Inputs!$B$15/100))*0.01+Inputs!$B$16*0.0025)/100)*(1+(Inputs!$B$17+B147)/100)*(1+IF(Inputs!$B$40="pvp",0,(1-Summary!$B$48)*(Inputs!$B$22+Skills!O7+B145)+Summary!$B$48*(Inputs!$B$23+Skills!P7+B146))/100)*(1+Inputs!$B$18/100)*(5000/(6000+Inputs!$B$42*(1-Inputs!$B$21/100)))*(1+Inputs!$B$26/100)*(1+IF(C133=TRUE,F133,0)/100)*(1+IF(C135=TRUE,F135,0)/100)*(1+IF(Skills!A7="TRIUMPH_FEATHER",IF(C131=TRUE,F131,0),0)/100)*(1+IF(C142=TRUE,F142,0)/100)^5*(1+(IF(Skills!A7="BIG_BANG",Inputs!$B$19,Inputs!$B$20))/100)*(B144*I123)</f>
        <v/>
      </c>
      <c r="L123">
        <f>K123*(MIN(Inputs!$B$24+(F137-Calc!F21),Inputs!$B$25)/100+Inputs!$B$25/100)/2</f>
        <v/>
      </c>
      <c r="M123">
        <f>L123*(1+(Inputs!$B$12+B148+(F140-Calc!F24))/100)</f>
        <v/>
      </c>
      <c r="N123">
        <f>L123*(1-MIN(Inputs!$B$11+((F139-Calc!F23)+(F138-Calc!F22)),100)/100)+M123*(MIN(Inputs!$B$11+((F139-Calc!F23)+(F138-Calc!F22)),100)/100)</f>
        <v/>
      </c>
      <c r="O123">
        <f>IF(C123,H123*N123*IF(AND(Inputs!$B$40&lt;&gt;"pvp",Inputs!$B$43&gt;0),((Skills!F7*((R123-1)*IF(Skills!G7&gt;0,Skills!H7/Skills!G7,1)+IF(Skills!G7&gt;0,MIN(Skills!H7,MAX(0,Inputs!$B$43-((R123-1)*IF(Inputs!$B$40="pvp",15,MAX(0.1,Skills!D7-IF(Skills!E6=TRUE,Inputs!$B$34,0))))))/Skills!G7,1)))/Inputs!$B$43),G123*Q123)*(1-Summary!$B$48),0)</f>
        <v/>
      </c>
      <c r="P123">
        <f>IF(B154=0,0,O123/B154)</f>
        <v/>
      </c>
      <c r="Q123">
        <f>IFERROR(1/IF(Inputs!$B$40="pvp",15,MAX(0.1,Skills!D7-IF(Skills!E6=TRUE,Inputs!$B$34,0))),0)</f>
        <v/>
      </c>
      <c r="R123">
        <f>IF(AND(Inputs!$B$40&lt;&gt;"pvp",Inputs!$B$43&gt;0),(INT(Inputs!$B$43/IF(Inputs!$B$40="pvp",15,MAX(0.1,Skills!D7-IF(Skills!E6=TRUE,Inputs!$B$34,0))))+1),0)</f>
        <v/>
      </c>
    </row>
    <row r="124">
      <c r="A124">
        <f>Skills!A8</f>
        <v/>
      </c>
      <c r="B124">
        <f>Skills!B8</f>
        <v/>
      </c>
      <c r="C124">
        <f>Inputs!$B$3&gt;=105</f>
        <v/>
      </c>
      <c r="D124">
        <f>IF(Skills!C8=1,60+Inputs!$B$27+Inputs!$B$31,IF(Skills!C8=2,90+Inputs!$B$28+Inputs!$B$31,IF(Skills!C8=3,120+Inputs!$B$29+Inputs!$B$31,MAX(0,(Inputs!$B$3-100)*3)+Inputs!$B$30+Inputs!$B$31)))</f>
        <v/>
      </c>
      <c r="E124">
        <f>INDEX(FactorTable!$B$2:$Y$301, MATCH(ROUND(MIN(300,MAX(1,D124)),0), FactorTable!$A$2:$A$301,0), Skills!L8+1)</f>
        <v/>
      </c>
      <c r="F124">
        <f>IF(Skills!M8=TRUE,(Skills!K8/10)*(E124/1000),Skills!K8/10)+Skills!N8</f>
        <v/>
      </c>
      <c r="G124">
        <f>Calc!G8</f>
        <v/>
      </c>
      <c r="H124">
        <f>Calc!H8</f>
        <v/>
      </c>
      <c r="I124">
        <f>IF(Skills!T8&lt;&gt;"",1+(Skills!T8/10)*($Z$3/1000)/100,1)</f>
        <v/>
      </c>
      <c r="J124">
        <f>(Inputs!$B$7*(1+Inputs!$B$8/100))*(F124/100)</f>
        <v/>
      </c>
      <c r="K124">
        <f>J124*(1+(((Inputs!$B$14+IF(Inputs!$B$3&gt;=35,0.10*((Inputs!$B$9+1)*(1+Inputs!$B$10/100)),0))*(1+Inputs!$B$15/100))*0.01+Inputs!$B$16*0.0025)/100)*(1+(Inputs!$B$17+B147)/100)*(1+IF(Inputs!$B$40="pvp",0,(1-Summary!$B$48)*(Inputs!$B$22+Skills!O8+B145)+Summary!$B$48*(Inputs!$B$23+Skills!P8+B146))/100)*(1+Inputs!$B$18/100)*(5000/(6000+Inputs!$B$42*(1-Inputs!$B$21/100)))*(1+Inputs!$B$26/100)*(1+IF(C133=TRUE,F133,0)/100)*(1+IF(C135=TRUE,F135,0)/100)*(1+IF(Skills!A8="TRIUMPH_FEATHER",IF(C131=TRUE,F131,0),0)/100)*(1+IF(C142=TRUE,F142,0)/100)^5*(1+(IF(Skills!A8="BIG_BANG",Inputs!$B$19,Inputs!$B$20))/100)*(B144*I124)</f>
        <v/>
      </c>
      <c r="L124">
        <f>K124*(MIN(Inputs!$B$24+(F137-Calc!F21),Inputs!$B$25)/100+Inputs!$B$25/100)/2</f>
        <v/>
      </c>
      <c r="M124">
        <f>L124*(1+(Inputs!$B$12+B148+(F140-Calc!F24))/100)</f>
        <v/>
      </c>
      <c r="N124">
        <f>L124*(1-MIN(Inputs!$B$11+((F139-Calc!F23)+(F138-Calc!F22)),100)/100)+M124*(MIN(Inputs!$B$11+((F139-Calc!F23)+(F138-Calc!F22)),100)/100)</f>
        <v/>
      </c>
      <c r="O124">
        <f>IF(C124,H124*N124*IF(AND(Inputs!$B$40&lt;&gt;"pvp",Inputs!$B$43&gt;0),((Skills!F8*((R124-1)*IF(Skills!G8&gt;0,Skills!H8/Skills!G8,1)+IF(Skills!G8&gt;0,MIN(Skills!H8,MAX(0,Inputs!$B$43-((R124-1)*IF(Inputs!$B$40="pvp",15,MAX(0.1,Skills!D8-IF(Skills!E8=TRUE,Inputs!$B$34,0))))))/Skills!G8,1)))/Inputs!$B$43),G124*Q124)*IF(Inputs!$B$40="pvp",1,(1-Summary!$B$48)*(1)+Summary!$B$48*(MIN(Skills!Q8,Inputs!$B$39))),0)</f>
        <v/>
      </c>
      <c r="P124">
        <f>IF(B154=0,0,O124/B154)</f>
        <v/>
      </c>
      <c r="Q124">
        <f>IFERROR(1/IF(Inputs!$B$40="pvp",15,MAX(0.1,Skills!D8-IF(Skills!E8=TRUE,Inputs!$B$34,0))),0)</f>
        <v/>
      </c>
      <c r="R124">
        <f>IF(AND(Inputs!$B$40&lt;&gt;"pvp",Inputs!$B$43&gt;0),(INT(Inputs!$B$43/IF(Inputs!$B$40="pvp",15,MAX(0.1,Skills!D8-IF(Skills!E8=TRUE,Inputs!$B$34,0))))+1),0)</f>
        <v/>
      </c>
    </row>
    <row r="125">
      <c r="A125">
        <f>Skills!A9</f>
        <v/>
      </c>
      <c r="B125">
        <f>Skills!B9</f>
        <v/>
      </c>
      <c r="C125">
        <f>Inputs!$B$3&gt;=115</f>
        <v/>
      </c>
      <c r="D125">
        <f>IF(Skills!C9=1,60+Inputs!$B$27+Inputs!$B$31,IF(Skills!C9=2,90+Inputs!$B$28+Inputs!$B$31,IF(Skills!C9=3,120+Inputs!$B$29+Inputs!$B$31,MAX(0,(Inputs!$B$3-100)*3)+Inputs!$B$30+Inputs!$B$31)))</f>
        <v/>
      </c>
      <c r="E125">
        <f>INDEX(FactorTable!$B$2:$Y$301, MATCH(ROUND(MIN(300,MAX(1,D125)),0), FactorTable!$A$2:$A$301,0), Skills!L9+1)</f>
        <v/>
      </c>
      <c r="F125">
        <f>IF(Skills!M9=TRUE,(Skills!K9/10)*(E125/1000),Skills!K9/10)+Skills!N9</f>
        <v/>
      </c>
      <c r="G125">
        <f>Calc!G9</f>
        <v/>
      </c>
      <c r="H125">
        <f>Calc!H9</f>
        <v/>
      </c>
      <c r="I125">
        <f>IF(Skills!T9&lt;&gt;"",1+(Skills!T9/10)*($Z$3/1000)/100,1)</f>
        <v/>
      </c>
      <c r="J125">
        <f>(Inputs!$B$7*(1+Inputs!$B$8/100))*(F125/100)</f>
        <v/>
      </c>
      <c r="K125">
        <f>J125*(1+(((Inputs!$B$14+IF(Inputs!$B$3&gt;=35,0.10*((Inputs!$B$9+1)*(1+Inputs!$B$10/100)),0))*(1+Inputs!$B$15/100))*0.01+Inputs!$B$16*0.0025)/100)*(1+(Inputs!$B$17+B147)/100)*(1+IF(Inputs!$B$40="pvp",0,(1-Summary!$B$48)*(Inputs!$B$22+Skills!O9+B145)+Summary!$B$48*(Inputs!$B$23+Skills!P9+B146))/100)*(1+Inputs!$B$18/100)*(5000/(6000+Inputs!$B$42*(1-Inputs!$B$21/100)))*(1+Inputs!$B$26/100)*(1+IF(C133=TRUE,F133,0)/100)*(1+IF(C135=TRUE,F135,0)/100)*(1+IF(Skills!A9="TRIUMPH_FEATHER",IF(C131=TRUE,F131,0),0)/100)*(1+IF(C142=TRUE,F142,0)/100)^5*(1+(IF(Skills!A9="BIG_BANG",Inputs!$B$19,Inputs!$B$20))/100)*(B144*I125)</f>
        <v/>
      </c>
      <c r="L125">
        <f>K125*(MIN(Inputs!$B$24+(F137-Calc!F21),Inputs!$B$25)/100+Inputs!$B$25/100)/2</f>
        <v/>
      </c>
      <c r="M125">
        <f>L125*(1+(Inputs!$B$12+B148+(F140-Calc!F24))/100)</f>
        <v/>
      </c>
      <c r="N125">
        <f>L125*(1-MIN(Inputs!$B$11+((F139-Calc!F23)+(F138-Calc!F22)),100)/100)+M125*(MIN(Inputs!$B$11+((F139-Calc!F23)+(F138-Calc!F22)),100)/100)</f>
        <v/>
      </c>
      <c r="O125">
        <f>IF(C125,H125*N125*IF(AND(Inputs!$B$40&lt;&gt;"pvp",Inputs!$B$43&gt;0),((Skills!F9*((R125-1)*IF(Skills!G9&gt;0,Skills!H9/Skills!G9,1)+IF(Skills!G9&gt;0,MIN(Skills!H9,MAX(0,Inputs!$B$43-((R125-1)*IF(Inputs!$B$40="pvp",15,MAX(0.1,Skills!D9-IF(Skills!E9=TRUE,Inputs!$B$34,0))))))/Skills!G9,1)))/Inputs!$B$43),G125*Q125)*IF(Inputs!$B$40="pvp",1,(1-Summary!$B$48)*(1)+Summary!$B$48*(MIN(Skills!Q9,Inputs!$B$39))),0)</f>
        <v/>
      </c>
      <c r="P125">
        <f>IF(B154=0,0,O125/B154)</f>
        <v/>
      </c>
      <c r="Q125">
        <f>IFERROR(1/IF(Inputs!$B$40="pvp",15,MAX(0.1,Skills!D9-IF(Skills!E9=TRUE,Inputs!$B$34,0))),0)</f>
        <v/>
      </c>
      <c r="R125">
        <f>IF(AND(Inputs!$B$40&lt;&gt;"pvp",Inputs!$B$43&gt;0),(INT(Inputs!$B$43/IF(Inputs!$B$40="pvp",15,MAX(0.1,Skills!D9-IF(Skills!E9=TRUE,Inputs!$B$34,0))))+1),0)</f>
        <v/>
      </c>
    </row>
    <row r="126">
      <c r="A126">
        <f>Skills!A10</f>
        <v/>
      </c>
      <c r="B126">
        <f>Skills!B10</f>
        <v/>
      </c>
      <c r="C126">
        <f>Inputs!$B$3&gt;=66</f>
        <v/>
      </c>
      <c r="D126">
        <f>IF(Skills!C10=1,60+Inputs!$B$27+Inputs!$B$31,IF(Skills!C10=2,90+Inputs!$B$28+Inputs!$B$31,IF(Skills!C10=3,120+Inputs!$B$29+Inputs!$B$31,MAX(0,(Inputs!$B$3-100)*3)+Inputs!$B$30+Inputs!$B$31)))</f>
        <v/>
      </c>
      <c r="E126">
        <f>INDEX(FactorTable!$B$2:$Y$301, MATCH(ROUND(MIN(300,MAX(1,D126)),0), FactorTable!$A$2:$A$301,0), Skills!L10+1)</f>
        <v/>
      </c>
      <c r="F126" t="n">
        <v>0</v>
      </c>
      <c r="G126">
        <f>Calc!G10</f>
        <v/>
      </c>
      <c r="H126">
        <f>Calc!H10</f>
        <v/>
      </c>
      <c r="I126">
        <f>IF(Skills!T10&lt;&gt;"",1+(Skills!T10/10)*($Z$3/1000)/100,1)</f>
        <v/>
      </c>
      <c r="J126" t="inlineStr"/>
      <c r="K126" t="inlineStr"/>
      <c r="L126" t="inlineStr"/>
      <c r="M126" t="inlineStr"/>
      <c r="N126" t="inlineStr"/>
      <c r="O126" t="n">
        <v>0</v>
      </c>
      <c r="P126">
        <f>IF(B154=0,0,O126/B154)</f>
        <v/>
      </c>
      <c r="Q126">
        <f>IFERROR(1/IF(Inputs!$B$40="pvp",15,MAX(0.1,Skills!D10-IF(Skills!E10=TRUE,Inputs!$B$34,0))),0)</f>
        <v/>
      </c>
      <c r="R126">
        <f>IF(AND(Inputs!$B$40&lt;&gt;"pvp",Inputs!$B$43&gt;0),(INT(Inputs!$B$43/IF(Inputs!$B$40="pvp",15,MAX(0.1,Skills!D10-IF(Skills!E10=TRUE,Inputs!$B$34,0))))+1),0)</f>
        <v/>
      </c>
    </row>
    <row r="127">
      <c r="A127">
        <f>Skills!A11</f>
        <v/>
      </c>
      <c r="B127">
        <f>Skills!B11</f>
        <v/>
      </c>
      <c r="C127">
        <f>Inputs!$B$3&gt;=69</f>
        <v/>
      </c>
      <c r="D127">
        <f>IF(Skills!C11=1,60+Inputs!$B$27+Inputs!$B$31,IF(Skills!C11=2,90+Inputs!$B$28+Inputs!$B$31,IF(Skills!C11=3,120+Inputs!$B$29+Inputs!$B$31,MAX(0,(Inputs!$B$3-100)*3)+Inputs!$B$30+Inputs!$B$31)))</f>
        <v/>
      </c>
      <c r="E127">
        <f>INDEX(FactorTable!$B$2:$Y$301, MATCH(ROUND(MIN(300,MAX(1,D127)),0), FactorTable!$A$2:$A$301,0), Skills!L11+1)</f>
        <v/>
      </c>
      <c r="F127">
        <f>IF(Skills!M11=TRUE,(Skills!K11/10)*(E127/1000),Skills!K11/10)+Skills!N11</f>
        <v/>
      </c>
      <c r="G127">
        <f>Calc!G11</f>
        <v/>
      </c>
      <c r="H127">
        <f>Calc!H11</f>
        <v/>
      </c>
      <c r="I127">
        <f>IF(Skills!T11&lt;&gt;"",1+(Skills!T11/10)*($Z$3/1000)/100,1)</f>
        <v/>
      </c>
      <c r="J127" t="inlineStr"/>
      <c r="K127" t="inlineStr"/>
      <c r="L127" t="inlineStr"/>
      <c r="M127" t="inlineStr"/>
      <c r="N127" t="inlineStr"/>
      <c r="O127" t="n">
        <v>0</v>
      </c>
      <c r="P127">
        <f>IF(B154=0,0,O127/B154)</f>
        <v/>
      </c>
      <c r="Q127">
        <f>IFERROR(1/IF(Inputs!$B$40="pvp",15,MAX(0.1,Skills!D11-IF(Skills!E11=TRUE,Inputs!$B$34,0))),0)</f>
        <v/>
      </c>
      <c r="R127">
        <f>IF(AND(Inputs!$B$40&lt;&gt;"pvp",Inputs!$B$43&gt;0),(INT(Inputs!$B$43/IF(Inputs!$B$40="pvp",15,MAX(0.1,Skills!D11-IF(Skills!E11=TRUE,Inputs!$B$34,0))))+1),0)</f>
        <v/>
      </c>
    </row>
    <row r="128">
      <c r="A128">
        <f>Skills!A12</f>
        <v/>
      </c>
      <c r="B128">
        <f>Skills!B12</f>
        <v/>
      </c>
      <c r="C128">
        <f>Inputs!$B$3&gt;=72</f>
        <v/>
      </c>
      <c r="D128">
        <f>IF(Skills!C12=1,60+Inputs!$B$27+Inputs!$B$31,IF(Skills!C12=2,90+Inputs!$B$28+Inputs!$B$31,IF(Skills!C12=3,120+Inputs!$B$29+Inputs!$B$31,MAX(0,(Inputs!$B$3-100)*3)+Inputs!$B$30+Inputs!$B$31)))</f>
        <v/>
      </c>
      <c r="E128">
        <f>INDEX(FactorTable!$B$2:$Y$301, MATCH(ROUND(MIN(300,MAX(1,D128)),0), FactorTable!$A$2:$A$301,0), Skills!L12+1)</f>
        <v/>
      </c>
      <c r="F128">
        <f>IF(Skills!M12=TRUE,(Skills!K12/10)*(E128/1000),Skills!K12/10)+Skills!N12</f>
        <v/>
      </c>
      <c r="G128">
        <f>Calc!G12</f>
        <v/>
      </c>
      <c r="H128">
        <f>Calc!H12</f>
        <v/>
      </c>
      <c r="I128">
        <f>IF(Skills!T12&lt;&gt;"",1+(Skills!T12/10)*($Z$3/1000)/100,1)</f>
        <v/>
      </c>
      <c r="J128" t="inlineStr"/>
      <c r="K128" t="inlineStr"/>
      <c r="L128" t="inlineStr"/>
      <c r="M128" t="inlineStr"/>
      <c r="N128" t="inlineStr"/>
      <c r="O128" t="n">
        <v>0</v>
      </c>
      <c r="P128">
        <f>IF(B154=0,0,O128/B154)</f>
        <v/>
      </c>
      <c r="Q128">
        <f>IFERROR(1/IF(Inputs!$B$40="pvp",15,MAX(0.1,Skills!D12-IF(Skills!E12=TRUE,Inputs!$B$34,0))),0)</f>
        <v/>
      </c>
      <c r="R128">
        <f>IF(AND(Inputs!$B$40&lt;&gt;"pvp",Inputs!$B$43&gt;0),(INT(Inputs!$B$43/IF(Inputs!$B$40="pvp",15,MAX(0.1,Skills!D12-IF(Skills!E12=TRUE,Inputs!$B$34,0))))+1),0)</f>
        <v/>
      </c>
    </row>
    <row r="129">
      <c r="A129">
        <f>Skills!A13</f>
        <v/>
      </c>
      <c r="B129">
        <f>Skills!B13</f>
        <v/>
      </c>
      <c r="C129">
        <f>Inputs!$B$3&gt;=107</f>
        <v/>
      </c>
      <c r="D129">
        <f>IF(Skills!C13=1,60+Inputs!$B$27+Inputs!$B$31,IF(Skills!C13=2,90+Inputs!$B$28+Inputs!$B$31,IF(Skills!C13=3,120+Inputs!$B$29+Inputs!$B$31,MAX(0,(Inputs!$B$3-100)*3)+Inputs!$B$30+Inputs!$B$31)))</f>
        <v/>
      </c>
      <c r="E129">
        <f>INDEX(FactorTable!$B$2:$Y$301, MATCH(ROUND(MIN(300,MAX(1,D129)),0), FactorTable!$A$2:$A$301,0), Skills!L13+1)</f>
        <v/>
      </c>
      <c r="F129">
        <f>IF(Skills!M13=TRUE,(Skills!K13/10)*(E129/1000),Skills!K13/10)+Skills!N13</f>
        <v/>
      </c>
      <c r="G129">
        <f>Calc!G13</f>
        <v/>
      </c>
      <c r="H129">
        <f>Calc!H13</f>
        <v/>
      </c>
      <c r="I129">
        <f>IF(Skills!T13&lt;&gt;"",1+(Skills!T13/10)*($Z$3/1000)/100,1)</f>
        <v/>
      </c>
      <c r="J129" t="inlineStr"/>
      <c r="K129" t="inlineStr"/>
      <c r="L129" t="inlineStr"/>
      <c r="M129" t="inlineStr"/>
      <c r="N129" t="inlineStr"/>
      <c r="O129" t="n">
        <v>0</v>
      </c>
      <c r="P129">
        <f>IF(B154=0,0,O129/B154)</f>
        <v/>
      </c>
      <c r="Q129">
        <f>IFERROR(1/IF(Inputs!$B$40="pvp",15,MAX(0.1,Skills!D13-IF(Skills!E13=TRUE,Inputs!$B$34,0))),0)</f>
        <v/>
      </c>
      <c r="R129">
        <f>IF(AND(Inputs!$B$40&lt;&gt;"pvp",Inputs!$B$43&gt;0),(INT(Inputs!$B$43/IF(Inputs!$B$40="pvp",15,MAX(0.1,Skills!D13-IF(Skills!E13=TRUE,Inputs!$B$34,0))))+1),0)</f>
        <v/>
      </c>
    </row>
    <row r="130">
      <c r="A130">
        <f>Skills!A14</f>
        <v/>
      </c>
      <c r="B130">
        <f>Skills!B14</f>
        <v/>
      </c>
      <c r="C130">
        <f>Inputs!$B$3&gt;=63</f>
        <v/>
      </c>
      <c r="D130">
        <f>IF(Skills!C14=1,60+Inputs!$B$27+Inputs!$B$31,IF(Skills!C14=2,90+Inputs!$B$28+Inputs!$B$31,IF(Skills!C14=3,120+Inputs!$B$29+Inputs!$B$31,MAX(0,(Inputs!$B$3-100)*3)+Inputs!$B$30+Inputs!$B$31)))</f>
        <v/>
      </c>
      <c r="E130">
        <f>INDEX(FactorTable!$B$2:$Y$301, MATCH(ROUND(MIN(300,MAX(1,D130)),0), FactorTable!$A$2:$A$301,0), Skills!L14+1)</f>
        <v/>
      </c>
      <c r="F130">
        <f>IF(Skills!M14=TRUE,(Skills!K14/10)*(E130/1000),Skills!K14/10)+Skills!N14</f>
        <v/>
      </c>
      <c r="G130">
        <f>Calc!G14</f>
        <v/>
      </c>
      <c r="H130">
        <f>Calc!H14</f>
        <v/>
      </c>
      <c r="I130">
        <f>IF(Skills!T14&lt;&gt;"",1+(Skills!T14/10)*($Z$3/1000)/100,1)</f>
        <v/>
      </c>
      <c r="J130">
        <f>(Inputs!$B$7*(1+Inputs!$B$8/100))*(F130/100)</f>
        <v/>
      </c>
      <c r="K130">
        <f>J130*(1+(((Inputs!$B$14+IF(Inputs!$B$3&gt;=35,0.10*((Inputs!$B$9+1)*(1+Inputs!$B$10/100)),0))*(1+Inputs!$B$15/100))*0.01+Inputs!$B$16*0.0025)/100)*(1+(Inputs!$B$17+B147)/100)*(1+IF(Inputs!$B$40="pvp",0,(1-Summary!$B$48)*(Inputs!$B$22+Skills!O14+B145)+Summary!$B$48*(Inputs!$B$23+Skills!P14+B146))/100)*(1+Inputs!$B$18/100)*(5000/(6000+Inputs!$B$42*(1-Inputs!$B$21/100)))*(1+Inputs!$B$26/100)*(1+IF(C133=TRUE,F133,0)/100)*(1+IF(C135=TRUE,F135,0)/100)*(1+IF(Skills!A14="TRIUMPH_FEATHER",IF(C131=TRUE,F131,0),0)/100)*(1+IF(C142=TRUE,F142,0)/100)^5*(1+(IF(Skills!A14="BIG_BANG",Inputs!$B$19,Inputs!$B$20))/100)*(B144*I130)</f>
        <v/>
      </c>
      <c r="L130">
        <f>K130*(MIN(Inputs!$B$24+(F137-Calc!F21),Inputs!$B$25)/100+Inputs!$B$25/100)/2</f>
        <v/>
      </c>
      <c r="M130">
        <f>L130*(1+(Inputs!$B$12+B148+(F140-Calc!F24))/100)</f>
        <v/>
      </c>
      <c r="N130">
        <f>L130*(1-MIN(Inputs!$B$11+((F139-Calc!F23)+(F138-Calc!F22)),100)/100)+M130*(MIN(Inputs!$B$11+((F139-Calc!F23)+(F138-Calc!F22)),100)/100)</f>
        <v/>
      </c>
      <c r="O130">
        <f>IF(C130,Skills!F14*N130*((IF(Inputs!$B$3&gt;=78,25,15)/100*B150*10)/(1+IF(Inputs!$B$3&gt;=78,25,15)/100*B150*10))*(Skills!I14/100*B150)/(1+Skills!G14*Skills!I14/100*B150)*IF(Inputs!$B$40="pvp",1,(1-Summary!$B$48)*(1)+Summary!$B$48*(MIN(Skills!Q14,Inputs!$B$39))),0)</f>
        <v/>
      </c>
      <c r="P130">
        <f>IF(B154=0,0,O130/B154)</f>
        <v/>
      </c>
      <c r="Q130">
        <f>IFERROR(1/IF(Inputs!$B$40="pvp",15,MAX(0.1,Skills!D14-IF(Skills!E14=TRUE,Inputs!$B$34,0))),0)</f>
        <v/>
      </c>
      <c r="R130" t="n">
        <v>0</v>
      </c>
    </row>
    <row r="131">
      <c r="A131">
        <f>Skills!A15</f>
        <v/>
      </c>
      <c r="B131">
        <f>Skills!B15</f>
        <v/>
      </c>
      <c r="C131">
        <f>Inputs!$B$3&gt;=100</f>
        <v/>
      </c>
      <c r="D131">
        <f>IF(Skills!C15=1,60+Inputs!$B$27+Inputs!$B$31,IF(Skills!C15=2,90+Inputs!$B$28+Inputs!$B$31,IF(Skills!C15=3,120+Inputs!$B$29+Inputs!$B$31,MAX(0,(Inputs!$B$3-100)*3)+Inputs!$B$30+Inputs!$B$31)))</f>
        <v/>
      </c>
      <c r="E131">
        <f>INDEX(FactorTable!$B$2:$Y$301, MATCH(ROUND(MIN(300,MAX(1,D131)),0), FactorTable!$A$2:$A$301,0), Skills!L15+1)</f>
        <v/>
      </c>
      <c r="F131">
        <f>IF(Skills!M15=TRUE,(Skills!K15/10)*(E131/1000),Skills!K15/10)+Skills!N15</f>
        <v/>
      </c>
      <c r="G131">
        <f>Calc!G15</f>
        <v/>
      </c>
      <c r="H131">
        <f>Calc!H15</f>
        <v/>
      </c>
      <c r="I131">
        <f>IF(Skills!T15&lt;&gt;"",1+(Skills!T15/10)*($Z$3/1000)/100,1)</f>
        <v/>
      </c>
      <c r="J131" t="inlineStr"/>
      <c r="K131" t="inlineStr"/>
      <c r="L131" t="inlineStr"/>
      <c r="M131" t="inlineStr"/>
      <c r="N131" t="inlineStr"/>
      <c r="O131" t="n">
        <v>0</v>
      </c>
      <c r="P131">
        <f>IF(B154=0,0,O131/B154)</f>
        <v/>
      </c>
      <c r="Q131">
        <f>IFERROR(1/IF(Inputs!$B$40="pvp",15,MAX(0.1,Skills!D15-IF(Skills!E15=TRUE,Inputs!$B$34,0))),0)</f>
        <v/>
      </c>
      <c r="R131" t="n">
        <v>0</v>
      </c>
    </row>
    <row r="132">
      <c r="A132">
        <f>Skills!A16</f>
        <v/>
      </c>
      <c r="B132">
        <f>Skills!B16</f>
        <v/>
      </c>
      <c r="C132">
        <f>Inputs!$B$3&gt;=49</f>
        <v/>
      </c>
      <c r="D132">
        <f>IF(Skills!C16=1,60+Inputs!$B$27+Inputs!$B$31,IF(Skills!C16=2,90+Inputs!$B$28+Inputs!$B$31,IF(Skills!C16=3,120+Inputs!$B$29+Inputs!$B$31,MAX(0,(Inputs!$B$3-100)*3)+Inputs!$B$30+Inputs!$B$31)))</f>
        <v/>
      </c>
      <c r="E132">
        <f>INDEX(FactorTable!$B$2:$Y$301, MATCH(ROUND(MIN(300,MAX(1,D132)),0), FactorTable!$A$2:$A$301,0), Skills!L16+1)</f>
        <v/>
      </c>
      <c r="F132">
        <f>IF(Skills!M16=TRUE,(Skills!K16/10)*(E132/1000),Skills!K16/10)+Skills!N16</f>
        <v/>
      </c>
      <c r="G132">
        <f>Calc!G16</f>
        <v/>
      </c>
      <c r="H132">
        <f>Calc!H16</f>
        <v/>
      </c>
      <c r="I132">
        <f>IF(Skills!T16&lt;&gt;"",1+(Skills!T16/10)*($Z$3/1000)/100,1)</f>
        <v/>
      </c>
      <c r="J132" t="inlineStr"/>
      <c r="K132" t="inlineStr"/>
      <c r="L132" t="inlineStr"/>
      <c r="M132" t="inlineStr"/>
      <c r="N132" t="inlineStr"/>
      <c r="O132" t="n">
        <v>0</v>
      </c>
      <c r="P132">
        <f>IF(B154=0,0,O132/B154)</f>
        <v/>
      </c>
      <c r="Q132">
        <f>IFERROR(1/IF(Inputs!$B$40="pvp",15,MAX(0.1,Skills!D16-IF(Skills!E16=TRUE,Inputs!$B$34,0))),0)</f>
        <v/>
      </c>
      <c r="R132" t="n">
        <v>0</v>
      </c>
    </row>
    <row r="133">
      <c r="A133">
        <f>Skills!A17</f>
        <v/>
      </c>
      <c r="B133">
        <f>Skills!B17</f>
        <v/>
      </c>
      <c r="C133">
        <f>Inputs!$B$3&gt;=75</f>
        <v/>
      </c>
      <c r="D133">
        <f>IF(Skills!C17=1,60+Inputs!$B$27+Inputs!$B$31,IF(Skills!C17=2,90+Inputs!$B$28+Inputs!$B$31,IF(Skills!C17=3,120+Inputs!$B$29+Inputs!$B$31,MAX(0,(Inputs!$B$3-100)*3)+Inputs!$B$30+Inputs!$B$31)))</f>
        <v/>
      </c>
      <c r="E133">
        <f>INDEX(FactorTable!$B$2:$Y$301, MATCH(ROUND(MIN(300,MAX(1,D133)),0), FactorTable!$A$2:$A$301,0), Skills!L17+1)</f>
        <v/>
      </c>
      <c r="F133">
        <f>IF(Skills!M17=TRUE,(Skills!K17/10)*(E133/1000),Skills!K17/10)+Skills!N17</f>
        <v/>
      </c>
      <c r="G133">
        <f>Calc!G17</f>
        <v/>
      </c>
      <c r="H133">
        <f>Calc!H17</f>
        <v/>
      </c>
      <c r="I133">
        <f>IF(Skills!T17&lt;&gt;"",1+(Skills!T17/10)*($Z$3/1000)/100,1)</f>
        <v/>
      </c>
      <c r="J133" t="inlineStr"/>
      <c r="K133" t="inlineStr"/>
      <c r="L133" t="inlineStr"/>
      <c r="M133" t="inlineStr"/>
      <c r="N133" t="inlineStr"/>
      <c r="O133" t="n">
        <v>0</v>
      </c>
      <c r="P133">
        <f>IF(B154=0,0,O133/B154)</f>
        <v/>
      </c>
      <c r="Q133">
        <f>IFERROR(1/IF(Inputs!$B$40="pvp",15,MAX(0.1,Skills!D17-IF(Skills!E17=TRUE,Inputs!$B$34,0))),0)</f>
        <v/>
      </c>
      <c r="R133" t="n">
        <v>0</v>
      </c>
    </row>
    <row r="134">
      <c r="A134">
        <f>Skills!A18</f>
        <v/>
      </c>
      <c r="B134">
        <f>Skills!B18</f>
        <v/>
      </c>
      <c r="C134">
        <f>Inputs!$B$3&gt;=110</f>
        <v/>
      </c>
      <c r="D134">
        <f>IF(Skills!C18=1,60+Inputs!$B$27+Inputs!$B$31,IF(Skills!C18=2,90+Inputs!$B$28+Inputs!$B$31,IF(Skills!C18=3,120+Inputs!$B$29+Inputs!$B$31,MAX(0,(Inputs!$B$3-100)*3)+Inputs!$B$30+Inputs!$B$31)))</f>
        <v/>
      </c>
      <c r="E134">
        <f>INDEX(FactorTable!$B$2:$Y$301, MATCH(ROUND(MIN(300,MAX(1,D134)),0), FactorTable!$A$2:$A$301,0), Skills!L18+1)</f>
        <v/>
      </c>
      <c r="F134">
        <f>(Skills!K18/10)*(E134/1000)*64/45+Skills!N18</f>
        <v/>
      </c>
      <c r="G134">
        <f>Calc!G18</f>
        <v/>
      </c>
      <c r="H134">
        <f>Calc!H18</f>
        <v/>
      </c>
      <c r="I134">
        <f>IF(Skills!T18&lt;&gt;"",1+(Skills!T18/10)*($Z$3/1000)/100,1)</f>
        <v/>
      </c>
      <c r="J134" t="inlineStr"/>
      <c r="K134" t="inlineStr"/>
      <c r="L134" t="inlineStr"/>
      <c r="M134" t="inlineStr"/>
      <c r="N134" t="inlineStr"/>
      <c r="O134" t="n">
        <v>0</v>
      </c>
      <c r="P134">
        <f>IF(B154=0,0,O134/B154)</f>
        <v/>
      </c>
      <c r="Q134">
        <f>IFERROR(1/IF(Inputs!$B$40="pvp",15,MAX(0.1,Skills!D18-IF(Skills!E18=TRUE,Inputs!$B$34,0))),0)</f>
        <v/>
      </c>
      <c r="R134">
        <f>IF(AND(Inputs!$B$40&lt;&gt;"pvp",Inputs!$B$43&gt;0),(INT(Inputs!$B$43/IF(Inputs!$B$40="pvp",15,MAX(0.1,Skills!D18-IF(Skills!E18=TRUE,Inputs!$B$34,0))))+1),0)</f>
        <v/>
      </c>
    </row>
    <row r="135">
      <c r="A135">
        <f>Skills!A19</f>
        <v/>
      </c>
      <c r="B135">
        <f>Skills!B19</f>
        <v/>
      </c>
      <c r="C135">
        <f>Inputs!$B$3&gt;=125</f>
        <v/>
      </c>
      <c r="D135">
        <f>IF(Skills!C19=1,60+Inputs!$B$27+Inputs!$B$31,IF(Skills!C19=2,90+Inputs!$B$28+Inputs!$B$31,IF(Skills!C19=3,120+Inputs!$B$29+Inputs!$B$31,MAX(0,(Inputs!$B$3-100)*3)+Inputs!$B$30+Inputs!$B$31)))</f>
        <v/>
      </c>
      <c r="E135">
        <f>INDEX(FactorTable!$B$2:$Y$301, MATCH(ROUND(MIN(300,MAX(1,D135)),0), FactorTable!$A$2:$A$301,0), Skills!L19+1)</f>
        <v/>
      </c>
      <c r="F135">
        <f>IF(Skills!M19=TRUE,(Skills!K19/10)*(E135/1000),Skills!K19/10)+Skills!N19</f>
        <v/>
      </c>
      <c r="G135">
        <f>Calc!G19</f>
        <v/>
      </c>
      <c r="H135">
        <f>Calc!H19</f>
        <v/>
      </c>
      <c r="I135">
        <f>IF(Skills!T19&lt;&gt;"",1+(Skills!T19/10)*($Z$3/1000)/100,1)</f>
        <v/>
      </c>
      <c r="J135" t="inlineStr"/>
      <c r="K135" t="inlineStr"/>
      <c r="L135" t="inlineStr"/>
      <c r="M135" t="inlineStr"/>
      <c r="N135" t="inlineStr"/>
      <c r="O135" t="n">
        <v>0</v>
      </c>
      <c r="P135">
        <f>IF(B154=0,0,O135/B154)</f>
        <v/>
      </c>
      <c r="Q135">
        <f>IFERROR(1/IF(Inputs!$B$40="pvp",15,MAX(0.1,Skills!D19-IF(Skills!E19=TRUE,Inputs!$B$34,0))),0)</f>
        <v/>
      </c>
      <c r="R135" t="n">
        <v>0</v>
      </c>
    </row>
    <row r="136">
      <c r="A136">
        <f>Skills!A20</f>
        <v/>
      </c>
      <c r="B136">
        <f>Skills!B20</f>
        <v/>
      </c>
      <c r="C136">
        <f>Inputs!$B$3&gt;=33</f>
        <v/>
      </c>
      <c r="D136">
        <f>IF(Skills!C20=1,60+Inputs!$B$27+Inputs!$B$31,IF(Skills!C20=2,90+Inputs!$B$28+Inputs!$B$31,IF(Skills!C20=3,120+Inputs!$B$29+Inputs!$B$31,MAX(0,(Inputs!$B$3-100)*3)+Inputs!$B$30+Inputs!$B$31)))</f>
        <v/>
      </c>
      <c r="E136">
        <f>INDEX(FactorTable!$B$2:$Y$301, MATCH(ROUND(MIN(300,MAX(1,D136)),0), FactorTable!$A$2:$A$301,0), Skills!L20+1)</f>
        <v/>
      </c>
      <c r="F136">
        <f>IF(Skills!M20=TRUE,(Skills!K20/10)*(E136/1000),Skills!K20/10)+Skills!N20</f>
        <v/>
      </c>
      <c r="G136">
        <f>Calc!G20</f>
        <v/>
      </c>
      <c r="H136">
        <f>Calc!H20</f>
        <v/>
      </c>
      <c r="I136">
        <f>IF(Skills!T20&lt;&gt;"",1+(Skills!T20/10)*($Z$3/1000)/100,1)</f>
        <v/>
      </c>
      <c r="J136" t="inlineStr"/>
      <c r="K136" t="inlineStr"/>
      <c r="L136" t="inlineStr"/>
      <c r="M136" t="inlineStr"/>
      <c r="N136" t="inlineStr"/>
      <c r="O136" t="n">
        <v>0</v>
      </c>
      <c r="P136">
        <f>IF(B154=0,0,O136/B154)</f>
        <v/>
      </c>
      <c r="Q136">
        <f>IFERROR(1/IF(Inputs!$B$40="pvp",15,MAX(0.1,Skills!D20-IF(Skills!E20=TRUE,Inputs!$B$34,0))),0)</f>
        <v/>
      </c>
      <c r="R136" t="n">
        <v>0</v>
      </c>
    </row>
    <row r="137">
      <c r="A137">
        <f>Skills!A21</f>
        <v/>
      </c>
      <c r="B137">
        <f>Skills!B21</f>
        <v/>
      </c>
      <c r="C137">
        <f>Inputs!$B$3&gt;=43</f>
        <v/>
      </c>
      <c r="D137">
        <f>IF(Skills!C21=1,60+Inputs!$B$27+Inputs!$B$31,IF(Skills!C21=2,90+Inputs!$B$28+Inputs!$B$31,IF(Skills!C21=3,120+Inputs!$B$29+Inputs!$B$31,MAX(0,(Inputs!$B$3-100)*3)+Inputs!$B$30+Inputs!$B$31)))</f>
        <v/>
      </c>
      <c r="E137">
        <f>INDEX(FactorTable!$B$2:$Y$301, MATCH(ROUND(MIN(300,MAX(1,D137)),0), FactorTable!$A$2:$A$301,0), Skills!L21+1)</f>
        <v/>
      </c>
      <c r="F137">
        <f>IF(Skills!M21=TRUE,(Skills!K21/10)*(E137/1000),Skills!K21/10)+Skills!N21</f>
        <v/>
      </c>
      <c r="G137">
        <f>Calc!G21</f>
        <v/>
      </c>
      <c r="H137">
        <f>Calc!H21</f>
        <v/>
      </c>
      <c r="I137">
        <f>IF(Skills!T21&lt;&gt;"",1+(Skills!T21/10)*($Z$3/1000)/100,1)</f>
        <v/>
      </c>
      <c r="J137" t="inlineStr"/>
      <c r="K137" t="inlineStr"/>
      <c r="L137" t="inlineStr"/>
      <c r="M137" t="inlineStr"/>
      <c r="N137" t="inlineStr"/>
      <c r="O137" t="n">
        <v>0</v>
      </c>
      <c r="P137">
        <f>IF(B154=0,0,O137/B154)</f>
        <v/>
      </c>
      <c r="Q137">
        <f>IFERROR(1/IF(Inputs!$B$40="pvp",15,MAX(0.1,Skills!D21-IF(Skills!E21=TRUE,Inputs!$B$34,0))),0)</f>
        <v/>
      </c>
      <c r="R137" t="n">
        <v>0</v>
      </c>
    </row>
    <row r="138">
      <c r="A138">
        <f>Skills!A22</f>
        <v/>
      </c>
      <c r="B138">
        <f>Skills!B22</f>
        <v/>
      </c>
      <c r="C138">
        <f>Inputs!$B$3&gt;=50</f>
        <v/>
      </c>
      <c r="D138">
        <f>IF(Skills!C22=1,60+Inputs!$B$27+Inputs!$B$31,IF(Skills!C22=2,90+Inputs!$B$28+Inputs!$B$31,IF(Skills!C22=3,120+Inputs!$B$29+Inputs!$B$31,MAX(0,(Inputs!$B$3-100)*3)+Inputs!$B$30+Inputs!$B$31)))</f>
        <v/>
      </c>
      <c r="E138">
        <f>INDEX(FactorTable!$B$2:$Y$301, MATCH(ROUND(MIN(300,MAX(1,D138)),0), FactorTable!$A$2:$A$301,0), Skills!L22+1)</f>
        <v/>
      </c>
      <c r="F138">
        <f>IF(Skills!M22=TRUE,(Skills!K22/10)*(E138/1000),Skills!K22/10)+Skills!N22</f>
        <v/>
      </c>
      <c r="G138">
        <f>Calc!G22</f>
        <v/>
      </c>
      <c r="H138">
        <f>Calc!H22</f>
        <v/>
      </c>
      <c r="I138">
        <f>IF(Skills!T22&lt;&gt;"",1+(Skills!T22/10)*($Z$3/1000)/100,1)</f>
        <v/>
      </c>
      <c r="J138" t="inlineStr"/>
      <c r="K138" t="inlineStr"/>
      <c r="L138" t="inlineStr"/>
      <c r="M138" t="inlineStr"/>
      <c r="N138" t="inlineStr"/>
      <c r="O138" t="n">
        <v>0</v>
      </c>
      <c r="P138">
        <f>IF(B154=0,0,O138/B154)</f>
        <v/>
      </c>
      <c r="Q138">
        <f>IFERROR(1/IF(Inputs!$B$40="pvp",15,MAX(0.1,Skills!D22-IF(Skills!E22=TRUE,Inputs!$B$34,0))),0)</f>
        <v/>
      </c>
      <c r="R138" t="n">
        <v>0</v>
      </c>
    </row>
    <row r="139">
      <c r="A139">
        <f>Skills!A23</f>
        <v/>
      </c>
      <c r="B139">
        <f>Skills!B23</f>
        <v/>
      </c>
      <c r="C139">
        <f>Inputs!$B$3&gt;=74</f>
        <v/>
      </c>
      <c r="D139">
        <f>IF(Skills!C23=1,60+Inputs!$B$27+Inputs!$B$31,IF(Skills!C23=2,90+Inputs!$B$28+Inputs!$B$31,IF(Skills!C23=3,120+Inputs!$B$29+Inputs!$B$31,MAX(0,(Inputs!$B$3-100)*3)+Inputs!$B$30+Inputs!$B$31)))</f>
        <v/>
      </c>
      <c r="E139">
        <f>INDEX(FactorTable!$B$2:$Y$301, MATCH(ROUND(MIN(300,MAX(1,D139)),0), FactorTable!$A$2:$A$301,0), Skills!L23+1)</f>
        <v/>
      </c>
      <c r="F139">
        <f>IF(Skills!M23=TRUE,(Skills!K23/10)*(E139/1000),Skills!K23/10)+Skills!N23</f>
        <v/>
      </c>
      <c r="G139">
        <f>Calc!G23</f>
        <v/>
      </c>
      <c r="H139">
        <f>Calc!H23</f>
        <v/>
      </c>
      <c r="I139">
        <f>IF(Skills!T23&lt;&gt;"",1+(Skills!T23/10)*($Z$3/1000)/100,1)</f>
        <v/>
      </c>
      <c r="J139" t="inlineStr"/>
      <c r="K139" t="inlineStr"/>
      <c r="L139" t="inlineStr"/>
      <c r="M139" t="inlineStr"/>
      <c r="N139" t="inlineStr"/>
      <c r="O139" t="n">
        <v>0</v>
      </c>
      <c r="P139">
        <f>IF(B154=0,0,O139/B154)</f>
        <v/>
      </c>
      <c r="Q139">
        <f>IFERROR(1/IF(Inputs!$B$40="pvp",15,MAX(0.1,Skills!D23-IF(Skills!E23=TRUE,Inputs!$B$34,0))),0)</f>
        <v/>
      </c>
      <c r="R139" t="n">
        <v>0</v>
      </c>
    </row>
    <row r="140">
      <c r="A140">
        <f>Skills!A24</f>
        <v/>
      </c>
      <c r="B140">
        <f>Skills!B24</f>
        <v/>
      </c>
      <c r="C140">
        <f>Inputs!$B$3&gt;=74</f>
        <v/>
      </c>
      <c r="D140">
        <f>IF(Skills!C24=1,60+Inputs!$B$27+Inputs!$B$31,IF(Skills!C24=2,90+Inputs!$B$28+Inputs!$B$31,IF(Skills!C24=3,120+Inputs!$B$29+Inputs!$B$31,MAX(0,(Inputs!$B$3-100)*3)+Inputs!$B$30+Inputs!$B$31)))</f>
        <v/>
      </c>
      <c r="E140">
        <f>INDEX(FactorTable!$B$2:$Y$301, MATCH(ROUND(MIN(300,MAX(1,D140)),0), FactorTable!$A$2:$A$301,0), Skills!L24+1)</f>
        <v/>
      </c>
      <c r="F140">
        <f>IF(Skills!M24=TRUE,(Skills!K24/10)*(E140/1000),Skills!K24/10)+Skills!N24</f>
        <v/>
      </c>
      <c r="G140">
        <f>Calc!G24</f>
        <v/>
      </c>
      <c r="H140">
        <f>Calc!H24</f>
        <v/>
      </c>
      <c r="I140">
        <f>IF(Skills!T24&lt;&gt;"",1+(Skills!T24/10)*($Z$3/1000)/100,1)</f>
        <v/>
      </c>
      <c r="J140" t="inlineStr"/>
      <c r="K140" t="inlineStr"/>
      <c r="L140" t="inlineStr"/>
      <c r="M140" t="inlineStr"/>
      <c r="N140" t="inlineStr"/>
      <c r="O140" t="n">
        <v>0</v>
      </c>
      <c r="P140">
        <f>IF(B154=0,0,O140/B154)</f>
        <v/>
      </c>
      <c r="Q140">
        <f>IFERROR(1/IF(Inputs!$B$40="pvp",15,MAX(0.1,Skills!D24-IF(Skills!E24=TRUE,Inputs!$B$34,0))),0)</f>
        <v/>
      </c>
      <c r="R140" t="n">
        <v>0</v>
      </c>
    </row>
    <row r="141">
      <c r="A141">
        <f>Skills!A25</f>
        <v/>
      </c>
      <c r="B141">
        <f>Skills!B25</f>
        <v/>
      </c>
      <c r="C141">
        <f>Inputs!$B$3&gt;=117</f>
        <v/>
      </c>
      <c r="D141">
        <f>IF(Skills!C25=1,60+Inputs!$B$27+Inputs!$B$31,IF(Skills!C25=2,90+Inputs!$B$28+Inputs!$B$31,IF(Skills!C25=3,120+Inputs!$B$29+Inputs!$B$31,MAX(0,(Inputs!$B$3-100)*3)+Inputs!$B$30+Inputs!$B$31)))</f>
        <v/>
      </c>
      <c r="E141">
        <f>INDEX(FactorTable!$B$2:$Y$301, MATCH(ROUND(MIN(300,MAX(1,D141)),0), FactorTable!$A$2:$A$301,0), Skills!L25+1)</f>
        <v/>
      </c>
      <c r="F141">
        <f>IF(Skills!M25=TRUE,(Skills!K25/10)*(E141/1000),Skills!K25/10)+Skills!N25</f>
        <v/>
      </c>
      <c r="G141">
        <f>Calc!G25</f>
        <v/>
      </c>
      <c r="H141">
        <f>Calc!H25</f>
        <v/>
      </c>
      <c r="I141">
        <f>IF(Skills!T25&lt;&gt;"",1+(Skills!T25/10)*($Z$3/1000)/100,1)</f>
        <v/>
      </c>
      <c r="J141" t="inlineStr"/>
      <c r="K141" t="inlineStr"/>
      <c r="L141" t="inlineStr"/>
      <c r="M141" t="inlineStr"/>
      <c r="N141" t="inlineStr"/>
      <c r="O141" t="n">
        <v>0</v>
      </c>
      <c r="P141">
        <f>IF(B154=0,0,O141/B154)</f>
        <v/>
      </c>
      <c r="Q141">
        <f>IFERROR(1/IF(Inputs!$B$40="pvp",15,MAX(0.1,Skills!D25-IF(Skills!E25=TRUE,Inputs!$B$34,0))),0)</f>
        <v/>
      </c>
      <c r="R141" t="n">
        <v>0</v>
      </c>
    </row>
    <row r="142">
      <c r="A142">
        <f>Skills!A26</f>
        <v/>
      </c>
      <c r="B142">
        <f>Skills!B26</f>
        <v/>
      </c>
      <c r="C142">
        <f>Inputs!$B$3&gt;=120</f>
        <v/>
      </c>
      <c r="D142">
        <f>IF(Skills!C26=1,60+Inputs!$B$27+Inputs!$B$31,IF(Skills!C26=2,90+Inputs!$B$28+Inputs!$B$31,IF(Skills!C26=3,120+Inputs!$B$29+Inputs!$B$31,MAX(0,(Inputs!$B$3-100)*3)+Inputs!$B$30+Inputs!$B$31)))</f>
        <v/>
      </c>
      <c r="E142">
        <f>INDEX(FactorTable!$B$2:$Y$301, MATCH(ROUND(MIN(300,MAX(1,D142)),0), FactorTable!$A$2:$A$301,0), Skills!L26+1)</f>
        <v/>
      </c>
      <c r="F142">
        <f>IF(Skills!M26=TRUE,(Skills!K26/10)*(E142/1000),Skills!K26/10)+Skills!N26</f>
        <v/>
      </c>
      <c r="G142">
        <f>Calc!G26</f>
        <v/>
      </c>
      <c r="H142">
        <f>Calc!H26</f>
        <v/>
      </c>
      <c r="I142">
        <f>IF(Skills!T26&lt;&gt;"",1+(Skills!T26/10)*($Z$3/1000)/100,1)</f>
        <v/>
      </c>
      <c r="J142" t="inlineStr"/>
      <c r="K142" t="inlineStr"/>
      <c r="L142" t="inlineStr"/>
      <c r="M142" t="inlineStr"/>
      <c r="N142" t="inlineStr"/>
      <c r="O142" t="n">
        <v>0</v>
      </c>
      <c r="P142">
        <f>IF(B154=0,0,O142/B154)</f>
        <v/>
      </c>
      <c r="Q142">
        <f>IFERROR(1/IF(Inputs!$B$40="pvp",15,MAX(0.1,Skills!D26-IF(Skills!E26=TRUE,Inputs!$B$34,0))),0)</f>
        <v/>
      </c>
      <c r="R142" t="n">
        <v>0</v>
      </c>
    </row>
    <row r="144">
      <c r="A144" t="inlineStr">
        <is>
          <t>Average Buff Multiplier</t>
        </is>
      </c>
      <c r="B144">
        <f>(1+(IF(C119=TRUE,F119*IF(AND(Inputs!$B$40&lt;&gt;"pvp",Inputs!$B$43&gt;0),(((R119-1)*(Skills!S3*(1+(Inputs!$B$36+IF(Inputs!$B$3&gt;=117,F141,0))/100))+MIN((Skills!S3*(1+(Inputs!$B$36+IF(Inputs!$B$3&gt;=117,F141,0))/100)),MAX(0,Inputs!$B$43-((R119-1)*Skills!D3))))/Inputs!$B$43),IF(Inputs!$B$40="pvp",MIN((Skills!S3*(1+(Inputs!$B$36+IF(Inputs!$B$3&gt;=117,F141,0))/100)),15)/15,(Skills!S3*(1+(Inputs!$B$36+IF(Inputs!$B$3&gt;=117,F141,0))/100))/Skills!D3)),0)+IF(C120=TRUE,F120*IF(AND(Inputs!$B$40&lt;&gt;"pvp",Inputs!$B$43&gt;0),(((R120-1)*(Skills!S4*(1+(Inputs!$B$36+IF(Inputs!$B$3&gt;=117,F141,0))/100))+MIN((Skills!S4*(1+(Inputs!$B$36+IF(Inputs!$B$3&gt;=117,F141,0))/100)),MAX(0,Inputs!$B$43-((R120-1)*Skills!D4))))/Inputs!$B$43),IF(Inputs!$B$40="pvp",MIN((Skills!S4*(1+(Inputs!$B$36+IF(Inputs!$B$3&gt;=117,F141,0))/100)),15)/15,(Skills!S4*(1+(Inputs!$B$36+IF(Inputs!$B$3&gt;=117,F141,0))/100))/Skills!D4)),0)+IF(C121=TRUE,F121*IF(AND(Inputs!$B$40&lt;&gt;"pvp",Inputs!$B$43&gt;0),(((R121-1)*(Skills!S5*(1+(Inputs!$B$36+IF(Inputs!$B$3&gt;=117,F141,0))/100))+MIN((Skills!S5*(1+(Inputs!$B$36+IF(Inputs!$B$3&gt;=117,F141,0))/100)),MAX(0,Inputs!$B$43-((R121-1)*Skills!D5))))/Inputs!$B$43),IF(Inputs!$B$40="pvp",MIN((Skills!S5*(1+(Inputs!$B$36+IF(Inputs!$B$3&gt;=117,F141,0))/100)),15)/15,(Skills!S5*(1+(Inputs!$B$36+IF(Inputs!$B$3&gt;=117,F141,0))/100))/Skills!D5)),0)+IF(C127=TRUE,F127*IF(AND(Inputs!$B$40&lt;&gt;"pvp",Inputs!$B$43&gt;0),(((R127-1)*(Skills!S11*(1+(Inputs!$B$36+IF(Inputs!$B$3&gt;=117,F141,0))/100))+MIN((Skills!S11*(1+(Inputs!$B$36+IF(Inputs!$B$3&gt;=117,F141,0))/100)),MAX(0,Inputs!$B$43-((R127-1)*Skills!D11))))/Inputs!$B$43),IF(Inputs!$B$40="pvp",MIN((Skills!S11*(1+(Inputs!$B$36+IF(Inputs!$B$3&gt;=117,F141,0))/100)),15)/15,(Skills!S11*(1+(Inputs!$B$36+IF(Inputs!$B$3&gt;=117,F141,0))/100))/Skills!D11)),0))/100)*IF(C129=TRUE,(1+F129*IF(AND(Inputs!$B$40&lt;&gt;"pvp",Inputs!$B$43&gt;0),(((R129-1)*(Skills!S13*(1+(Inputs!$B$36+IF(Inputs!$B$3&gt;=117,F141,0))/100))+MIN((Skills!S13*(1+(Inputs!$B$36+IF(Inputs!$B$3&gt;=117,F141,0))/100)),MAX(0,Inputs!$B$43-((R129-1)*Skills!D13))))/Inputs!$B$43),IF(Inputs!$B$40="pvp",MIN((Skills!S13*(1+(Inputs!$B$36+IF(Inputs!$B$3&gt;=117,F141,0))/100)),15)/15,(Skills!S13*(1+(Inputs!$B$36+IF(Inputs!$B$3&gt;=117,F141,0))/100))/Skills!D13))/100),1)*IF(C134=TRUE,(1+F134*IF(AND(Inputs!$B$40&lt;&gt;"pvp",Inputs!$B$43&gt;0),(((R134-1)*(Skills!S18*(1+(Inputs!$B$36+IF(Inputs!$B$3&gt;=117,F141,0))/100))+MIN((Skills!S18*(1+(Inputs!$B$36+IF(Inputs!$B$3&gt;=117,F141,0))/100)),MAX(0,Inputs!$B$43-((R134-1)*Skills!D18))))/Inputs!$B$43),IF(Inputs!$B$40="pvp",MIN((Skills!S18*(1+(Inputs!$B$36+IF(Inputs!$B$3&gt;=117,F141,0))/100)),15)/15,(Skills!S18*(1+(Inputs!$B$36+IF(Inputs!$B$3&gt;=117,F141,0))/100))/Skills!D18))/100),1)</f>
        <v/>
      </c>
    </row>
    <row r="145">
      <c r="A145" t="inlineStr">
        <is>
          <t>Monster Damage Taken Bonus % (Holy Fountain)</t>
        </is>
      </c>
      <c r="B145">
        <f>IF(Inputs!$B$3&gt;=68,20*IF(Inputs!$B$40="pvp",MIN((15*(1+(Inputs!$B$36+IF(Inputs!$B$3&gt;=117,F141,0))/100)),15)/15,(15*(1+(Inputs!$B$36+IF(Inputs!$B$3&gt;=117,F141,0))/100))/Skills!D10),0)</f>
        <v/>
      </c>
    </row>
    <row r="146">
      <c r="A146" t="inlineStr">
        <is>
          <t>Normal Monster Damage Bonus % (Holy Symbol)</t>
        </is>
      </c>
      <c r="B146">
        <f>IF(C128=TRUE,F128*IF(AND(Inputs!$B$40&lt;&gt;"pvp",Inputs!$B$43&gt;0),(((R128-1)*(Skills!S12*(1+(Inputs!$B$36+IF(Inputs!$B$3&gt;=117,F141,0))/100))+MIN((Skills!S12*(1+(Inputs!$B$36+IF(Inputs!$B$3&gt;=117,F141,0))/100)),MAX(0,Inputs!$B$43-((R128-1)*Skills!D12))))/Inputs!$B$43),IF(Inputs!$B$40="pvp",MIN((Skills!S12*(1+(Inputs!$B$36+IF(Inputs!$B$3&gt;=117,F141,0))/100)),15)/15,(Skills!S12*(1+(Inputs!$B$36+IF(Inputs!$B$3&gt;=117,F141,0))/100))/Skills!D12)),0)</f>
        <v/>
      </c>
    </row>
    <row r="147">
      <c r="A147" t="inlineStr">
        <is>
          <t>Damage % Bonus (Holy Symbol - Damage Boost)</t>
        </is>
      </c>
      <c r="B147">
        <f>Skills!O12</f>
        <v/>
      </c>
    </row>
    <row r="148">
      <c r="A148" t="inlineStr">
        <is>
          <t>Crit Damage % Bonus (Blood of the Divine)</t>
        </is>
      </c>
      <c r="B148">
        <f>4*IF(C135=TRUE,F135,0)</f>
        <v/>
      </c>
    </row>
    <row r="149">
      <c r="A149" t="inlineStr">
        <is>
          <t>Attack Speed Bonus %</t>
        </is>
      </c>
      <c r="B149">
        <f>IF(C132=TRUE,F132+(F136-Calc!F20),0)+IF(Inputs!$B$3&gt;=134,15,0)</f>
        <v/>
      </c>
    </row>
    <row r="150">
      <c r="A150" t="inlineStr">
        <is>
          <t>Actions Per Second</t>
        </is>
      </c>
      <c r="B150">
        <f>1+MIN(150,150*(1-(1-Inputs!$B$13/150)*(1-B149/150)))/100</f>
        <v/>
      </c>
    </row>
    <row r="151">
      <c r="A151" t="inlineStr">
        <is>
          <t>Skill + Buff Cast Rate</t>
        </is>
      </c>
      <c r="B151">
        <f>IF(AND(Inputs!$B$40&lt;&gt;"pvp",Inputs!$B$43&gt;0),SUMPRODUCT((Skills!E2:E26=TRUE)*(C118:C142=TRUE)*R118:R142)/Inputs!$B$43,SUMPRODUCT((Skills!E2:E26=TRUE)*(C118:C142=TRUE)*Q118:Q142))</f>
        <v/>
      </c>
    </row>
    <row r="152">
      <c r="A152" t="inlineStr">
        <is>
          <t>Big Bang Casts Per Second</t>
        </is>
      </c>
      <c r="B152">
        <f>MAX(0,B150-B151)</f>
        <v/>
      </c>
    </row>
    <row r="154">
      <c r="A154" s="5" t="inlineStr">
        <is>
          <t>TOTAL DPS</t>
        </is>
      </c>
      <c r="B154" s="5">
        <f>SUM(O118:O142)</f>
        <v/>
      </c>
    </row>
    <row r="157">
      <c r="A157" s="5" t="inlineStr">
        <is>
          <t>Stat: Defense %</t>
        </is>
      </c>
    </row>
    <row r="158">
      <c r="A158" s="9" t="inlineStr">
        <is>
          <t>Key</t>
        </is>
      </c>
      <c r="B158" s="9" t="inlineStr">
        <is>
          <t>Name</t>
        </is>
      </c>
      <c r="C158" s="9" t="inlineStr">
        <is>
          <t>Unlocked</t>
        </is>
      </c>
      <c r="D158" s="9" t="inlineStr">
        <is>
          <t>InputLevel</t>
        </is>
      </c>
      <c r="E158" s="9" t="inlineStr">
        <is>
          <t>Factor</t>
        </is>
      </c>
      <c r="F158" s="9" t="inlineStr">
        <is>
          <t>CoefficientPercent</t>
        </is>
      </c>
      <c r="G158" s="9" t="inlineStr">
        <is>
          <t>EffectiveHits</t>
        </is>
      </c>
      <c r="H158" s="9" t="inlineStr">
        <is>
          <t>ProcProbability</t>
        </is>
      </c>
      <c r="I158" s="9" t="inlineStr">
        <is>
          <t>MapleHeroMultiplier</t>
        </is>
      </c>
      <c r="J158" s="9" t="inlineStr">
        <is>
          <t>BaseDamage</t>
        </is>
      </c>
      <c r="K158" s="9" t="inlineStr">
        <is>
          <t>BaseHitDamage</t>
        </is>
      </c>
      <c r="L158" s="9" t="inlineStr">
        <is>
          <t>NonCritAvg</t>
        </is>
      </c>
      <c r="M158" s="9" t="inlineStr">
        <is>
          <t>CritAvg</t>
        </is>
      </c>
      <c r="N158" s="9" t="inlineStr">
        <is>
          <t>ExpectedDamage(perHit)</t>
        </is>
      </c>
      <c r="O158" s="9" t="inlineStr">
        <is>
          <t>DPS</t>
        </is>
      </c>
      <c r="P158" s="9" t="inlineStr">
        <is>
          <t>% of Total</t>
        </is>
      </c>
      <c r="R158" t="inlineStr">
        <is>
          <t>helpers</t>
        </is>
      </c>
    </row>
    <row r="159">
      <c r="A159">
        <f>Skills!A2</f>
        <v/>
      </c>
      <c r="B159">
        <f>Skills!B2</f>
        <v/>
      </c>
      <c r="C159">
        <f>Inputs!$B$3&gt;=100</f>
        <v/>
      </c>
      <c r="D159" t="inlineStr"/>
      <c r="E159" t="inlineStr"/>
      <c r="F159">
        <f>T161+Skills!N2</f>
        <v/>
      </c>
      <c r="G159">
        <f>Calc!G2</f>
        <v/>
      </c>
      <c r="H159">
        <f>Calc!H2</f>
        <v/>
      </c>
      <c r="I159">
        <f>IF(Skills!T2&lt;&gt;"",1+(Skills!T2/10)*($Z$3/1000)/100,1)</f>
        <v/>
      </c>
      <c r="J159">
        <f>(Inputs!$B$7*(1+Inputs!$B$8/100))*(F159/100)</f>
        <v/>
      </c>
      <c r="K159">
        <f>J159*(1+(((Inputs!$B$14+IF(Inputs!$B$3&gt;=35,0.10*(Inputs!$B$9*(1+(Inputs!$B$10+1)/100)),0))*(1+Inputs!$B$15/100))*0.01+Inputs!$B$16*0.0025)/100)*(1+(Inputs!$B$17+B188)/100)*(1+IF(Inputs!$B$40="pvp",0,(1-Summary!$B$48)*(Inputs!$B$22+Skills!O2+B186)+Summary!$B$48*(Inputs!$B$23+Skills!P2+B187))/100)*(1+Inputs!$B$18/100)*(5000/(6000+Inputs!$B$42*(1-Inputs!$B$21/100)))*(1+Inputs!$B$26/100)*(1+IF(C174=TRUE,F174,0)/100)*(1+IF(C176=TRUE,F176,0)/100)*(1+IF(Skills!A2="TRIUMPH_FEATHER",IF(C172=TRUE,F172,0),0)/100)*(1+IF(C183=TRUE,F183,0)/100)^5*(1+(IF(Skills!A2="BIG_BANG",Inputs!$B$19,Inputs!$B$20))/100)*(B185*I159)</f>
        <v/>
      </c>
      <c r="L159">
        <f>K159*(MIN(Inputs!$B$24+(F178-Calc!F21),Inputs!$B$25)/100+Inputs!$B$25/100)/2</f>
        <v/>
      </c>
      <c r="M159">
        <f>L159*(1+(Inputs!$B$12+B189+(F181-Calc!F24))/100)</f>
        <v/>
      </c>
      <c r="N159">
        <f>L159*(1-MIN(Inputs!$B$11+((F180-Calc!F23)+(F179-Calc!F22)),100)/100)+M159*(MIN(Inputs!$B$11+((F180-Calc!F23)+(F179-Calc!F22)),100)/100)</f>
        <v/>
      </c>
      <c r="O159">
        <f>IF(C159,Skills!F2*N159*B193*IF(Inputs!$B$40="pvp",1,(1-Summary!$B$48)*(1)+Summary!$B$48*(MIN((6+Inputs!$B$35),Inputs!$B$39))),0)</f>
        <v/>
      </c>
      <c r="P159">
        <f>IF(B195=0,0,O159/B195)</f>
        <v/>
      </c>
      <c r="Q159">
        <f>IFERROR(1/IF(Inputs!$B$40="pvp",15,MAX(0.1,Skills!D2-IF(Skills!E2=TRUE,Inputs!$B$34,0))),0)</f>
        <v/>
      </c>
      <c r="R159" t="n">
        <v>0</v>
      </c>
      <c r="T159">
        <f>MAX(0,(Inputs!$B$3-100)*3)+Inputs!$B$30+Inputs!$B$31</f>
        <v/>
      </c>
    </row>
    <row r="160">
      <c r="A160">
        <f>Skills!A3</f>
        <v/>
      </c>
      <c r="B160">
        <f>Skills!B3</f>
        <v/>
      </c>
      <c r="C160">
        <f>Inputs!$B$3&gt;=15</f>
        <v/>
      </c>
      <c r="D160">
        <f>IF(Skills!C3=1,60+Inputs!$B$27+Inputs!$B$31,IF(Skills!C3=2,90+Inputs!$B$28+Inputs!$B$31,IF(Skills!C3=3,120+Inputs!$B$29+Inputs!$B$31,MAX(0,(Inputs!$B$3-100)*3)+Inputs!$B$30+Inputs!$B$31)))</f>
        <v/>
      </c>
      <c r="E160">
        <f>INDEX(FactorTable!$B$2:$Y$301, MATCH(ROUND(MIN(300,MAX(1,D160)),0), FactorTable!$A$2:$A$301,0), Skills!L3+1)</f>
        <v/>
      </c>
      <c r="F160">
        <f>IF(Skills!M3=TRUE,(Skills!K3/10)*(E160/1000),Skills!K3/10)+Skills!N3</f>
        <v/>
      </c>
      <c r="G160">
        <f>Calc!G3</f>
        <v/>
      </c>
      <c r="H160">
        <f>Calc!H3</f>
        <v/>
      </c>
      <c r="I160">
        <f>IF(Skills!T3&lt;&gt;"",1+(Skills!T3/10)*($Z$3/1000)/100,1)</f>
        <v/>
      </c>
      <c r="J160" t="inlineStr"/>
      <c r="K160" t="inlineStr"/>
      <c r="L160" t="inlineStr"/>
      <c r="M160" t="inlineStr"/>
      <c r="N160" t="inlineStr"/>
      <c r="O160" t="n">
        <v>0</v>
      </c>
      <c r="P160">
        <f>IF(B195=0,0,O160/B195)</f>
        <v/>
      </c>
      <c r="Q160">
        <f>IFERROR(1/IF(Inputs!$B$40="pvp",15,MAX(0.1,Skills!D3-IF(Skills!E3=TRUE,Inputs!$B$34,0))),0)</f>
        <v/>
      </c>
      <c r="R160">
        <f>IF(AND(Inputs!$B$40&lt;&gt;"pvp",Inputs!$B$43&gt;0),(INT(Inputs!$B$43/IF(Inputs!$B$40="pvp",15,MAX(0.1,Skills!D3-IF(Skills!E3=TRUE,Inputs!$B$34,0))))+1),0)</f>
        <v/>
      </c>
      <c r="T160">
        <f>INDEX(FactorTable!$B$2:$Y$301, MATCH(ROUND(MIN(300,MAX(1,T159)),0), FactorTable!$A$2:$A$301,0), 22)</f>
        <v/>
      </c>
    </row>
    <row r="161">
      <c r="A161">
        <f>Skills!A4</f>
        <v/>
      </c>
      <c r="B161">
        <f>Skills!B4</f>
        <v/>
      </c>
      <c r="C161">
        <f>Inputs!$B$3&gt;=38</f>
        <v/>
      </c>
      <c r="D161">
        <f>IF(Skills!C4=1,60+Inputs!$B$27+Inputs!$B$31,IF(Skills!C4=2,90+Inputs!$B$28+Inputs!$B$31,IF(Skills!C4=3,120+Inputs!$B$29+Inputs!$B$31,MAX(0,(Inputs!$B$3-100)*3)+Inputs!$B$30+Inputs!$B$31)))</f>
        <v/>
      </c>
      <c r="E161">
        <f>INDEX(FactorTable!$B$2:$Y$301, MATCH(ROUND(MIN(300,MAX(1,D161)),0), FactorTable!$A$2:$A$301,0), Skills!L4+1)</f>
        <v/>
      </c>
      <c r="F161">
        <f>IF(Skills!M4=TRUE,(Skills!K4/10)*(E161/1000),Skills!K4/10)+Skills!N4</f>
        <v/>
      </c>
      <c r="G161">
        <f>Calc!G4</f>
        <v/>
      </c>
      <c r="H161">
        <f>Calc!H4</f>
        <v/>
      </c>
      <c r="I161">
        <f>IF(Skills!T4&lt;&gt;"",1+(Skills!T4/10)*($Z$3/1000)/100,1)</f>
        <v/>
      </c>
      <c r="J161" t="inlineStr"/>
      <c r="K161" t="inlineStr"/>
      <c r="L161" t="inlineStr"/>
      <c r="M161" t="inlineStr"/>
      <c r="N161" t="inlineStr"/>
      <c r="O161" t="n">
        <v>0</v>
      </c>
      <c r="P161">
        <f>IF(B195=0,0,O161/B195)</f>
        <v/>
      </c>
      <c r="Q161">
        <f>IFERROR(1/IF(Inputs!$B$40="pvp",15,MAX(0.1,Skills!D4-IF(Skills!E4=TRUE,Inputs!$B$34,0))),0)</f>
        <v/>
      </c>
      <c r="R161">
        <f>IF(AND(Inputs!$B$40&lt;&gt;"pvp",Inputs!$B$43&gt;0),(INT(Inputs!$B$43/IF(Inputs!$B$40="pvp",15,MAX(0.1,Skills!D4-IF(Skills!E4=TRUE,Inputs!$B$34,0))))+1),0)</f>
        <v/>
      </c>
      <c r="T161">
        <f>290*T160/1000</f>
        <v/>
      </c>
    </row>
    <row r="162">
      <c r="A162">
        <f>Skills!A5</f>
        <v/>
      </c>
      <c r="B162">
        <f>Skills!B5</f>
        <v/>
      </c>
      <c r="C162">
        <f>Inputs!$B$3&gt;=40</f>
        <v/>
      </c>
      <c r="D162">
        <f>IF(Skills!C5=1,60+Inputs!$B$27+Inputs!$B$31,IF(Skills!C5=2,90+Inputs!$B$28+Inputs!$B$31,IF(Skills!C5=3,120+Inputs!$B$29+Inputs!$B$31,MAX(0,(Inputs!$B$3-100)*3)+Inputs!$B$30+Inputs!$B$31)))</f>
        <v/>
      </c>
      <c r="E162">
        <f>INDEX(FactorTable!$B$2:$Y$301, MATCH(ROUND(MIN(300,MAX(1,D162)),0), FactorTable!$A$2:$A$301,0), Skills!L5+1)</f>
        <v/>
      </c>
      <c r="F162">
        <f>IF(Skills!M5=TRUE,(Skills!K5/10)*(E162/1000),Skills!K5/10)+Skills!N5</f>
        <v/>
      </c>
      <c r="G162">
        <f>Calc!G5</f>
        <v/>
      </c>
      <c r="H162">
        <f>Calc!H5</f>
        <v/>
      </c>
      <c r="I162">
        <f>IF(Skills!T5&lt;&gt;"",1+(Skills!T5/10)*($Z$3/1000)/100,1)</f>
        <v/>
      </c>
      <c r="J162" t="inlineStr"/>
      <c r="K162" t="inlineStr"/>
      <c r="L162" t="inlineStr"/>
      <c r="M162" t="inlineStr"/>
      <c r="N162" t="inlineStr"/>
      <c r="O162" t="n">
        <v>0</v>
      </c>
      <c r="P162">
        <f>IF(B195=0,0,O162/B195)</f>
        <v/>
      </c>
      <c r="Q162">
        <f>IFERROR(1/IF(Inputs!$B$40="pvp",15,MAX(0.1,Skills!D5-IF(Skills!E5=TRUE,Inputs!$B$34,0))),0)</f>
        <v/>
      </c>
      <c r="R162">
        <f>IF(AND(Inputs!$B$40&lt;&gt;"pvp",Inputs!$B$43&gt;0),(INT(Inputs!$B$43/IF(Inputs!$B$40="pvp",15,MAX(0.1,Skills!D5-IF(Skills!E5=TRUE,Inputs!$B$34,0))))+1),0)</f>
        <v/>
      </c>
    </row>
    <row r="163">
      <c r="A163">
        <f>Skills!A6</f>
        <v/>
      </c>
      <c r="B163">
        <f>Skills!B6</f>
        <v/>
      </c>
      <c r="C163">
        <f>Inputs!$B$3&gt;=103</f>
        <v/>
      </c>
      <c r="D163">
        <f>IF(Skills!C6=1,60+Inputs!$B$27+Inputs!$B$31,IF(Skills!C6=2,90+Inputs!$B$28+Inputs!$B$31,IF(Skills!C6=3,120+Inputs!$B$29+Inputs!$B$31,MAX(0,(Inputs!$B$3-100)*3)+Inputs!$B$30+Inputs!$B$31)))</f>
        <v/>
      </c>
      <c r="E163">
        <f>INDEX(FactorTable!$B$2:$Y$301, MATCH(ROUND(MIN(300,MAX(1,D163)),0), FactorTable!$A$2:$A$301,0), Skills!L6+1)</f>
        <v/>
      </c>
      <c r="F163">
        <f>IF(Skills!M6=TRUE,(Skills!K6/10)*(E163/1000),Skills!K6/10)+Skills!N6</f>
        <v/>
      </c>
      <c r="G163">
        <f>Calc!G6</f>
        <v/>
      </c>
      <c r="H163">
        <f>Calc!H6</f>
        <v/>
      </c>
      <c r="I163">
        <f>IF(Skills!T6&lt;&gt;"",1+(Skills!T6/10)*($Z$3/1000)/100,1)</f>
        <v/>
      </c>
      <c r="J163">
        <f>(Inputs!$B$7*(1+Inputs!$B$8/100))*(F163/100)</f>
        <v/>
      </c>
      <c r="K163">
        <f>J163*(1+(((Inputs!$B$14+IF(Inputs!$B$3&gt;=35,0.10*(Inputs!$B$9*(1+(Inputs!$B$10+1)/100)),0))*(1+Inputs!$B$15/100))*0.01+Inputs!$B$16*0.0025)/100)*(1+(Inputs!$B$17+B188)/100)*(1+IF(Inputs!$B$40="pvp",0,(1-Summary!$B$48)*(Inputs!$B$22+Skills!O6+B186)+Summary!$B$48*(Inputs!$B$23+Skills!P6+B187))/100)*(1+Inputs!$B$18/100)*(5000/(6000+Inputs!$B$42*(1-Inputs!$B$21/100)))*(1+Inputs!$B$26/100)*(1+IF(C174=TRUE,F174,0)/100)*(1+IF(C176=TRUE,F176,0)/100)*(1+IF(Skills!A6="TRIUMPH_FEATHER",IF(C172=TRUE,F172,0),0)/100)*(1+IF(C183=TRUE,F183,0)/100)^5*(1+(IF(Skills!A6="BIG_BANG",Inputs!$B$19,Inputs!$B$20))/100)*(B185*I163)</f>
        <v/>
      </c>
      <c r="L163">
        <f>K163*(MIN(Inputs!$B$24+(F178-Calc!F21),Inputs!$B$25)/100+Inputs!$B$25/100)/2</f>
        <v/>
      </c>
      <c r="M163">
        <f>L163*(1+(Inputs!$B$12+B189+(F181-Calc!F24))/100)</f>
        <v/>
      </c>
      <c r="N163">
        <f>L163*(1-MIN(Inputs!$B$11+((F180-Calc!F23)+(F179-Calc!F22)),100)/100)+M163*(MIN(Inputs!$B$11+((F180-Calc!F23)+(F179-Calc!F22)),100)/100)</f>
        <v/>
      </c>
      <c r="O163">
        <f>IF(C163,H163*N163*IF(AND(Inputs!$B$40&lt;&gt;"pvp",Inputs!$B$43&gt;0),((Skills!F6*((R163-1)*IF(Skills!G6&gt;0,Skills!H6/Skills!G6,1)+IF(Skills!G6&gt;0,MIN(Skills!H6,MAX(0,Inputs!$B$43-((R163-1)*IF(Inputs!$B$40="pvp",15,MAX(0.1,Skills!D6-IF(Skills!E6=TRUE,Inputs!$B$34,0))))))/Skills!G6,1)))/Inputs!$B$43),G163*Q163)*IF(Inputs!$B$40="pvp",1,(1-Summary!$B$48)*(1)+Summary!$B$48*(MIN(Skills!Q6,Inputs!$B$39))),0)</f>
        <v/>
      </c>
      <c r="P163">
        <f>IF(B195=0,0,O163/B195)</f>
        <v/>
      </c>
      <c r="Q163">
        <f>IFERROR(1/IF(Inputs!$B$40="pvp",15,MAX(0.1,Skills!D6-IF(Skills!E6=TRUE,Inputs!$B$34,0))),0)</f>
        <v/>
      </c>
      <c r="R163">
        <f>IF(AND(Inputs!$B$40&lt;&gt;"pvp",Inputs!$B$43&gt;0),(INT(Inputs!$B$43/IF(Inputs!$B$40="pvp",15,MAX(0.1,Skills!D6-IF(Skills!E6=TRUE,Inputs!$B$34,0))))+1),0)</f>
        <v/>
      </c>
    </row>
    <row r="164">
      <c r="A164">
        <f>Skills!A7</f>
        <v/>
      </c>
      <c r="B164">
        <f>Skills!B7</f>
        <v/>
      </c>
      <c r="C164">
        <f>Inputs!$B$3&gt;=122</f>
        <v/>
      </c>
      <c r="D164">
        <f>IF(Skills!C7=1,60+Inputs!$B$27+Inputs!$B$31,IF(Skills!C7=2,90+Inputs!$B$28+Inputs!$B$31,IF(Skills!C7=3,120+Inputs!$B$29+Inputs!$B$31,MAX(0,(Inputs!$B$3-100)*3)+Inputs!$B$30+Inputs!$B$31)))</f>
        <v/>
      </c>
      <c r="E164">
        <f>INDEX(FactorTable!$B$2:$Y$301, MATCH(ROUND(MIN(300,MAX(1,D164)),0), FactorTable!$A$2:$A$301,0), Skills!L7+1)</f>
        <v/>
      </c>
      <c r="F164">
        <f>IF(Skills!M7=TRUE,(Skills!K7/10)*(E164/1000),Skills!K7/10)+Skills!N7</f>
        <v/>
      </c>
      <c r="G164">
        <f>Calc!G7</f>
        <v/>
      </c>
      <c r="H164">
        <f>Calc!H7</f>
        <v/>
      </c>
      <c r="I164">
        <f>IF(Skills!T7&lt;&gt;"",1+(Skills!T7/10)*($Z$3/1000)/100,1)</f>
        <v/>
      </c>
      <c r="J164">
        <f>(Inputs!$B$7*(1+Inputs!$B$8/100))*(F164/100)</f>
        <v/>
      </c>
      <c r="K164">
        <f>J164*(1+(((Inputs!$B$14+IF(Inputs!$B$3&gt;=35,0.10*(Inputs!$B$9*(1+(Inputs!$B$10+1)/100)),0))*(1+Inputs!$B$15/100))*0.01+Inputs!$B$16*0.0025)/100)*(1+(Inputs!$B$17+B188)/100)*(1+IF(Inputs!$B$40="pvp",0,(1-Summary!$B$48)*(Inputs!$B$22+Skills!O7+B186)+Summary!$B$48*(Inputs!$B$23+Skills!P7+B187))/100)*(1+Inputs!$B$18/100)*(5000/(6000+Inputs!$B$42*(1-Inputs!$B$21/100)))*(1+Inputs!$B$26/100)*(1+IF(C174=TRUE,F174,0)/100)*(1+IF(C176=TRUE,F176,0)/100)*(1+IF(Skills!A7="TRIUMPH_FEATHER",IF(C172=TRUE,F172,0),0)/100)*(1+IF(C183=TRUE,F183,0)/100)^5*(1+(IF(Skills!A7="BIG_BANG",Inputs!$B$19,Inputs!$B$20))/100)*(B185*I164)</f>
        <v/>
      </c>
      <c r="L164">
        <f>K164*(MIN(Inputs!$B$24+(F178-Calc!F21),Inputs!$B$25)/100+Inputs!$B$25/100)/2</f>
        <v/>
      </c>
      <c r="M164">
        <f>L164*(1+(Inputs!$B$12+B189+(F181-Calc!F24))/100)</f>
        <v/>
      </c>
      <c r="N164">
        <f>L164*(1-MIN(Inputs!$B$11+((F180-Calc!F23)+(F179-Calc!F22)),100)/100)+M164*(MIN(Inputs!$B$11+((F180-Calc!F23)+(F179-Calc!F22)),100)/100)</f>
        <v/>
      </c>
      <c r="O164">
        <f>IF(C164,H164*N164*IF(AND(Inputs!$B$40&lt;&gt;"pvp",Inputs!$B$43&gt;0),((Skills!F7*((R164-1)*IF(Skills!G7&gt;0,Skills!H7/Skills!G7,1)+IF(Skills!G7&gt;0,MIN(Skills!H7,MAX(0,Inputs!$B$43-((R164-1)*IF(Inputs!$B$40="pvp",15,MAX(0.1,Skills!D7-IF(Skills!E6=TRUE,Inputs!$B$34,0))))))/Skills!G7,1)))/Inputs!$B$43),G164*Q164)*(1-Summary!$B$48),0)</f>
        <v/>
      </c>
      <c r="P164">
        <f>IF(B195=0,0,O164/B195)</f>
        <v/>
      </c>
      <c r="Q164">
        <f>IFERROR(1/IF(Inputs!$B$40="pvp",15,MAX(0.1,Skills!D7-IF(Skills!E6=TRUE,Inputs!$B$34,0))),0)</f>
        <v/>
      </c>
      <c r="R164">
        <f>IF(AND(Inputs!$B$40&lt;&gt;"pvp",Inputs!$B$43&gt;0),(INT(Inputs!$B$43/IF(Inputs!$B$40="pvp",15,MAX(0.1,Skills!D7-IF(Skills!E6=TRUE,Inputs!$B$34,0))))+1),0)</f>
        <v/>
      </c>
    </row>
    <row r="165">
      <c r="A165">
        <f>Skills!A8</f>
        <v/>
      </c>
      <c r="B165">
        <f>Skills!B8</f>
        <v/>
      </c>
      <c r="C165">
        <f>Inputs!$B$3&gt;=105</f>
        <v/>
      </c>
      <c r="D165">
        <f>IF(Skills!C8=1,60+Inputs!$B$27+Inputs!$B$31,IF(Skills!C8=2,90+Inputs!$B$28+Inputs!$B$31,IF(Skills!C8=3,120+Inputs!$B$29+Inputs!$B$31,MAX(0,(Inputs!$B$3-100)*3)+Inputs!$B$30+Inputs!$B$31)))</f>
        <v/>
      </c>
      <c r="E165">
        <f>INDEX(FactorTable!$B$2:$Y$301, MATCH(ROUND(MIN(300,MAX(1,D165)),0), FactorTable!$A$2:$A$301,0), Skills!L8+1)</f>
        <v/>
      </c>
      <c r="F165">
        <f>IF(Skills!M8=TRUE,(Skills!K8/10)*(E165/1000),Skills!K8/10)+Skills!N8</f>
        <v/>
      </c>
      <c r="G165">
        <f>Calc!G8</f>
        <v/>
      </c>
      <c r="H165">
        <f>Calc!H8</f>
        <v/>
      </c>
      <c r="I165">
        <f>IF(Skills!T8&lt;&gt;"",1+(Skills!T8/10)*($Z$3/1000)/100,1)</f>
        <v/>
      </c>
      <c r="J165">
        <f>(Inputs!$B$7*(1+Inputs!$B$8/100))*(F165/100)</f>
        <v/>
      </c>
      <c r="K165">
        <f>J165*(1+(((Inputs!$B$14+IF(Inputs!$B$3&gt;=35,0.10*(Inputs!$B$9*(1+(Inputs!$B$10+1)/100)),0))*(1+Inputs!$B$15/100))*0.01+Inputs!$B$16*0.0025)/100)*(1+(Inputs!$B$17+B188)/100)*(1+IF(Inputs!$B$40="pvp",0,(1-Summary!$B$48)*(Inputs!$B$22+Skills!O8+B186)+Summary!$B$48*(Inputs!$B$23+Skills!P8+B187))/100)*(1+Inputs!$B$18/100)*(5000/(6000+Inputs!$B$42*(1-Inputs!$B$21/100)))*(1+Inputs!$B$26/100)*(1+IF(C174=TRUE,F174,0)/100)*(1+IF(C176=TRUE,F176,0)/100)*(1+IF(Skills!A8="TRIUMPH_FEATHER",IF(C172=TRUE,F172,0),0)/100)*(1+IF(C183=TRUE,F183,0)/100)^5*(1+(IF(Skills!A8="BIG_BANG",Inputs!$B$19,Inputs!$B$20))/100)*(B185*I165)</f>
        <v/>
      </c>
      <c r="L165">
        <f>K165*(MIN(Inputs!$B$24+(F178-Calc!F21),Inputs!$B$25)/100+Inputs!$B$25/100)/2</f>
        <v/>
      </c>
      <c r="M165">
        <f>L165*(1+(Inputs!$B$12+B189+(F181-Calc!F24))/100)</f>
        <v/>
      </c>
      <c r="N165">
        <f>L165*(1-MIN(Inputs!$B$11+((F180-Calc!F23)+(F179-Calc!F22)),100)/100)+M165*(MIN(Inputs!$B$11+((F180-Calc!F23)+(F179-Calc!F22)),100)/100)</f>
        <v/>
      </c>
      <c r="O165">
        <f>IF(C165,H165*N165*IF(AND(Inputs!$B$40&lt;&gt;"pvp",Inputs!$B$43&gt;0),((Skills!F8*((R165-1)*IF(Skills!G8&gt;0,Skills!H8/Skills!G8,1)+IF(Skills!G8&gt;0,MIN(Skills!H8,MAX(0,Inputs!$B$43-((R165-1)*IF(Inputs!$B$40="pvp",15,MAX(0.1,Skills!D8-IF(Skills!E8=TRUE,Inputs!$B$34,0))))))/Skills!G8,1)))/Inputs!$B$43),G165*Q165)*IF(Inputs!$B$40="pvp",1,(1-Summary!$B$48)*(1)+Summary!$B$48*(MIN(Skills!Q8,Inputs!$B$39))),0)</f>
        <v/>
      </c>
      <c r="P165">
        <f>IF(B195=0,0,O165/B195)</f>
        <v/>
      </c>
      <c r="Q165">
        <f>IFERROR(1/IF(Inputs!$B$40="pvp",15,MAX(0.1,Skills!D8-IF(Skills!E8=TRUE,Inputs!$B$34,0))),0)</f>
        <v/>
      </c>
      <c r="R165">
        <f>IF(AND(Inputs!$B$40&lt;&gt;"pvp",Inputs!$B$43&gt;0),(INT(Inputs!$B$43/IF(Inputs!$B$40="pvp",15,MAX(0.1,Skills!D8-IF(Skills!E8=TRUE,Inputs!$B$34,0))))+1),0)</f>
        <v/>
      </c>
    </row>
    <row r="166">
      <c r="A166">
        <f>Skills!A9</f>
        <v/>
      </c>
      <c r="B166">
        <f>Skills!B9</f>
        <v/>
      </c>
      <c r="C166">
        <f>Inputs!$B$3&gt;=115</f>
        <v/>
      </c>
      <c r="D166">
        <f>IF(Skills!C9=1,60+Inputs!$B$27+Inputs!$B$31,IF(Skills!C9=2,90+Inputs!$B$28+Inputs!$B$31,IF(Skills!C9=3,120+Inputs!$B$29+Inputs!$B$31,MAX(0,(Inputs!$B$3-100)*3)+Inputs!$B$30+Inputs!$B$31)))</f>
        <v/>
      </c>
      <c r="E166">
        <f>INDEX(FactorTable!$B$2:$Y$301, MATCH(ROUND(MIN(300,MAX(1,D166)),0), FactorTable!$A$2:$A$301,0), Skills!L9+1)</f>
        <v/>
      </c>
      <c r="F166">
        <f>IF(Skills!M9=TRUE,(Skills!K9/10)*(E166/1000),Skills!K9/10)+Skills!N9</f>
        <v/>
      </c>
      <c r="G166">
        <f>Calc!G9</f>
        <v/>
      </c>
      <c r="H166">
        <f>Calc!H9</f>
        <v/>
      </c>
      <c r="I166">
        <f>IF(Skills!T9&lt;&gt;"",1+(Skills!T9/10)*($Z$3/1000)/100,1)</f>
        <v/>
      </c>
      <c r="J166">
        <f>(Inputs!$B$7*(1+Inputs!$B$8/100))*(F166/100)</f>
        <v/>
      </c>
      <c r="K166">
        <f>J166*(1+(((Inputs!$B$14+IF(Inputs!$B$3&gt;=35,0.10*(Inputs!$B$9*(1+(Inputs!$B$10+1)/100)),0))*(1+Inputs!$B$15/100))*0.01+Inputs!$B$16*0.0025)/100)*(1+(Inputs!$B$17+B188)/100)*(1+IF(Inputs!$B$40="pvp",0,(1-Summary!$B$48)*(Inputs!$B$22+Skills!O9+B186)+Summary!$B$48*(Inputs!$B$23+Skills!P9+B187))/100)*(1+Inputs!$B$18/100)*(5000/(6000+Inputs!$B$42*(1-Inputs!$B$21/100)))*(1+Inputs!$B$26/100)*(1+IF(C174=TRUE,F174,0)/100)*(1+IF(C176=TRUE,F176,0)/100)*(1+IF(Skills!A9="TRIUMPH_FEATHER",IF(C172=TRUE,F172,0),0)/100)*(1+IF(C183=TRUE,F183,0)/100)^5*(1+(IF(Skills!A9="BIG_BANG",Inputs!$B$19,Inputs!$B$20))/100)*(B185*I166)</f>
        <v/>
      </c>
      <c r="L166">
        <f>K166*(MIN(Inputs!$B$24+(F178-Calc!F21),Inputs!$B$25)/100+Inputs!$B$25/100)/2</f>
        <v/>
      </c>
      <c r="M166">
        <f>L166*(1+(Inputs!$B$12+B189+(F181-Calc!F24))/100)</f>
        <v/>
      </c>
      <c r="N166">
        <f>L166*(1-MIN(Inputs!$B$11+((F180-Calc!F23)+(F179-Calc!F22)),100)/100)+M166*(MIN(Inputs!$B$11+((F180-Calc!F23)+(F179-Calc!F22)),100)/100)</f>
        <v/>
      </c>
      <c r="O166">
        <f>IF(C166,H166*N166*IF(AND(Inputs!$B$40&lt;&gt;"pvp",Inputs!$B$43&gt;0),((Skills!F9*((R166-1)*IF(Skills!G9&gt;0,Skills!H9/Skills!G9,1)+IF(Skills!G9&gt;0,MIN(Skills!H9,MAX(0,Inputs!$B$43-((R166-1)*IF(Inputs!$B$40="pvp",15,MAX(0.1,Skills!D9-IF(Skills!E9=TRUE,Inputs!$B$34,0))))))/Skills!G9,1)))/Inputs!$B$43),G166*Q166)*IF(Inputs!$B$40="pvp",1,(1-Summary!$B$48)*(1)+Summary!$B$48*(MIN(Skills!Q9,Inputs!$B$39))),0)</f>
        <v/>
      </c>
      <c r="P166">
        <f>IF(B195=0,0,O166/B195)</f>
        <v/>
      </c>
      <c r="Q166">
        <f>IFERROR(1/IF(Inputs!$B$40="pvp",15,MAX(0.1,Skills!D9-IF(Skills!E9=TRUE,Inputs!$B$34,0))),0)</f>
        <v/>
      </c>
      <c r="R166">
        <f>IF(AND(Inputs!$B$40&lt;&gt;"pvp",Inputs!$B$43&gt;0),(INT(Inputs!$B$43/IF(Inputs!$B$40="pvp",15,MAX(0.1,Skills!D9-IF(Skills!E9=TRUE,Inputs!$B$34,0))))+1),0)</f>
        <v/>
      </c>
    </row>
    <row r="167">
      <c r="A167">
        <f>Skills!A10</f>
        <v/>
      </c>
      <c r="B167">
        <f>Skills!B10</f>
        <v/>
      </c>
      <c r="C167">
        <f>Inputs!$B$3&gt;=66</f>
        <v/>
      </c>
      <c r="D167">
        <f>IF(Skills!C10=1,60+Inputs!$B$27+Inputs!$B$31,IF(Skills!C10=2,90+Inputs!$B$28+Inputs!$B$31,IF(Skills!C10=3,120+Inputs!$B$29+Inputs!$B$31,MAX(0,(Inputs!$B$3-100)*3)+Inputs!$B$30+Inputs!$B$31)))</f>
        <v/>
      </c>
      <c r="E167">
        <f>INDEX(FactorTable!$B$2:$Y$301, MATCH(ROUND(MIN(300,MAX(1,D167)),0), FactorTable!$A$2:$A$301,0), Skills!L10+1)</f>
        <v/>
      </c>
      <c r="F167" t="n">
        <v>0</v>
      </c>
      <c r="G167">
        <f>Calc!G10</f>
        <v/>
      </c>
      <c r="H167">
        <f>Calc!H10</f>
        <v/>
      </c>
      <c r="I167">
        <f>IF(Skills!T10&lt;&gt;"",1+(Skills!T10/10)*($Z$3/1000)/100,1)</f>
        <v/>
      </c>
      <c r="J167" t="inlineStr"/>
      <c r="K167" t="inlineStr"/>
      <c r="L167" t="inlineStr"/>
      <c r="M167" t="inlineStr"/>
      <c r="N167" t="inlineStr"/>
      <c r="O167" t="n">
        <v>0</v>
      </c>
      <c r="P167">
        <f>IF(B195=0,0,O167/B195)</f>
        <v/>
      </c>
      <c r="Q167">
        <f>IFERROR(1/IF(Inputs!$B$40="pvp",15,MAX(0.1,Skills!D10-IF(Skills!E10=TRUE,Inputs!$B$34,0))),0)</f>
        <v/>
      </c>
      <c r="R167">
        <f>IF(AND(Inputs!$B$40&lt;&gt;"pvp",Inputs!$B$43&gt;0),(INT(Inputs!$B$43/IF(Inputs!$B$40="pvp",15,MAX(0.1,Skills!D10-IF(Skills!E10=TRUE,Inputs!$B$34,0))))+1),0)</f>
        <v/>
      </c>
    </row>
    <row r="168">
      <c r="A168">
        <f>Skills!A11</f>
        <v/>
      </c>
      <c r="B168">
        <f>Skills!B11</f>
        <v/>
      </c>
      <c r="C168">
        <f>Inputs!$B$3&gt;=69</f>
        <v/>
      </c>
      <c r="D168">
        <f>IF(Skills!C11=1,60+Inputs!$B$27+Inputs!$B$31,IF(Skills!C11=2,90+Inputs!$B$28+Inputs!$B$31,IF(Skills!C11=3,120+Inputs!$B$29+Inputs!$B$31,MAX(0,(Inputs!$B$3-100)*3)+Inputs!$B$30+Inputs!$B$31)))</f>
        <v/>
      </c>
      <c r="E168">
        <f>INDEX(FactorTable!$B$2:$Y$301, MATCH(ROUND(MIN(300,MAX(1,D168)),0), FactorTable!$A$2:$A$301,0), Skills!L11+1)</f>
        <v/>
      </c>
      <c r="F168">
        <f>IF(Skills!M11=TRUE,(Skills!K11/10)*(E168/1000),Skills!K11/10)+Skills!N11</f>
        <v/>
      </c>
      <c r="G168">
        <f>Calc!G11</f>
        <v/>
      </c>
      <c r="H168">
        <f>Calc!H11</f>
        <v/>
      </c>
      <c r="I168">
        <f>IF(Skills!T11&lt;&gt;"",1+(Skills!T11/10)*($Z$3/1000)/100,1)</f>
        <v/>
      </c>
      <c r="J168" t="inlineStr"/>
      <c r="K168" t="inlineStr"/>
      <c r="L168" t="inlineStr"/>
      <c r="M168" t="inlineStr"/>
      <c r="N168" t="inlineStr"/>
      <c r="O168" t="n">
        <v>0</v>
      </c>
      <c r="P168">
        <f>IF(B195=0,0,O168/B195)</f>
        <v/>
      </c>
      <c r="Q168">
        <f>IFERROR(1/IF(Inputs!$B$40="pvp",15,MAX(0.1,Skills!D11-IF(Skills!E11=TRUE,Inputs!$B$34,0))),0)</f>
        <v/>
      </c>
      <c r="R168">
        <f>IF(AND(Inputs!$B$40&lt;&gt;"pvp",Inputs!$B$43&gt;0),(INT(Inputs!$B$43/IF(Inputs!$B$40="pvp",15,MAX(0.1,Skills!D11-IF(Skills!E11=TRUE,Inputs!$B$34,0))))+1),0)</f>
        <v/>
      </c>
    </row>
    <row r="169">
      <c r="A169">
        <f>Skills!A12</f>
        <v/>
      </c>
      <c r="B169">
        <f>Skills!B12</f>
        <v/>
      </c>
      <c r="C169">
        <f>Inputs!$B$3&gt;=72</f>
        <v/>
      </c>
      <c r="D169">
        <f>IF(Skills!C12=1,60+Inputs!$B$27+Inputs!$B$31,IF(Skills!C12=2,90+Inputs!$B$28+Inputs!$B$31,IF(Skills!C12=3,120+Inputs!$B$29+Inputs!$B$31,MAX(0,(Inputs!$B$3-100)*3)+Inputs!$B$30+Inputs!$B$31)))</f>
        <v/>
      </c>
      <c r="E169">
        <f>INDEX(FactorTable!$B$2:$Y$301, MATCH(ROUND(MIN(300,MAX(1,D169)),0), FactorTable!$A$2:$A$301,0), Skills!L12+1)</f>
        <v/>
      </c>
      <c r="F169">
        <f>IF(Skills!M12=TRUE,(Skills!K12/10)*(E169/1000),Skills!K12/10)+Skills!N12</f>
        <v/>
      </c>
      <c r="G169">
        <f>Calc!G12</f>
        <v/>
      </c>
      <c r="H169">
        <f>Calc!H12</f>
        <v/>
      </c>
      <c r="I169">
        <f>IF(Skills!T12&lt;&gt;"",1+(Skills!T12/10)*($Z$3/1000)/100,1)</f>
        <v/>
      </c>
      <c r="J169" t="inlineStr"/>
      <c r="K169" t="inlineStr"/>
      <c r="L169" t="inlineStr"/>
      <c r="M169" t="inlineStr"/>
      <c r="N169" t="inlineStr"/>
      <c r="O169" t="n">
        <v>0</v>
      </c>
      <c r="P169">
        <f>IF(B195=0,0,O169/B195)</f>
        <v/>
      </c>
      <c r="Q169">
        <f>IFERROR(1/IF(Inputs!$B$40="pvp",15,MAX(0.1,Skills!D12-IF(Skills!E12=TRUE,Inputs!$B$34,0))),0)</f>
        <v/>
      </c>
      <c r="R169">
        <f>IF(AND(Inputs!$B$40&lt;&gt;"pvp",Inputs!$B$43&gt;0),(INT(Inputs!$B$43/IF(Inputs!$B$40="pvp",15,MAX(0.1,Skills!D12-IF(Skills!E12=TRUE,Inputs!$B$34,0))))+1),0)</f>
        <v/>
      </c>
    </row>
    <row r="170">
      <c r="A170">
        <f>Skills!A13</f>
        <v/>
      </c>
      <c r="B170">
        <f>Skills!B13</f>
        <v/>
      </c>
      <c r="C170">
        <f>Inputs!$B$3&gt;=107</f>
        <v/>
      </c>
      <c r="D170">
        <f>IF(Skills!C13=1,60+Inputs!$B$27+Inputs!$B$31,IF(Skills!C13=2,90+Inputs!$B$28+Inputs!$B$31,IF(Skills!C13=3,120+Inputs!$B$29+Inputs!$B$31,MAX(0,(Inputs!$B$3-100)*3)+Inputs!$B$30+Inputs!$B$31)))</f>
        <v/>
      </c>
      <c r="E170">
        <f>INDEX(FactorTable!$B$2:$Y$301, MATCH(ROUND(MIN(300,MAX(1,D170)),0), FactorTable!$A$2:$A$301,0), Skills!L13+1)</f>
        <v/>
      </c>
      <c r="F170">
        <f>IF(Skills!M13=TRUE,(Skills!K13/10)*(E170/1000),Skills!K13/10)+Skills!N13</f>
        <v/>
      </c>
      <c r="G170">
        <f>Calc!G13</f>
        <v/>
      </c>
      <c r="H170">
        <f>Calc!H13</f>
        <v/>
      </c>
      <c r="I170">
        <f>IF(Skills!T13&lt;&gt;"",1+(Skills!T13/10)*($Z$3/1000)/100,1)</f>
        <v/>
      </c>
      <c r="J170" t="inlineStr"/>
      <c r="K170" t="inlineStr"/>
      <c r="L170" t="inlineStr"/>
      <c r="M170" t="inlineStr"/>
      <c r="N170" t="inlineStr"/>
      <c r="O170" t="n">
        <v>0</v>
      </c>
      <c r="P170">
        <f>IF(B195=0,0,O170/B195)</f>
        <v/>
      </c>
      <c r="Q170">
        <f>IFERROR(1/IF(Inputs!$B$40="pvp",15,MAX(0.1,Skills!D13-IF(Skills!E13=TRUE,Inputs!$B$34,0))),0)</f>
        <v/>
      </c>
      <c r="R170">
        <f>IF(AND(Inputs!$B$40&lt;&gt;"pvp",Inputs!$B$43&gt;0),(INT(Inputs!$B$43/IF(Inputs!$B$40="pvp",15,MAX(0.1,Skills!D13-IF(Skills!E13=TRUE,Inputs!$B$34,0))))+1),0)</f>
        <v/>
      </c>
    </row>
    <row r="171">
      <c r="A171">
        <f>Skills!A14</f>
        <v/>
      </c>
      <c r="B171">
        <f>Skills!B14</f>
        <v/>
      </c>
      <c r="C171">
        <f>Inputs!$B$3&gt;=63</f>
        <v/>
      </c>
      <c r="D171">
        <f>IF(Skills!C14=1,60+Inputs!$B$27+Inputs!$B$31,IF(Skills!C14=2,90+Inputs!$B$28+Inputs!$B$31,IF(Skills!C14=3,120+Inputs!$B$29+Inputs!$B$31,MAX(0,(Inputs!$B$3-100)*3)+Inputs!$B$30+Inputs!$B$31)))</f>
        <v/>
      </c>
      <c r="E171">
        <f>INDEX(FactorTable!$B$2:$Y$301, MATCH(ROUND(MIN(300,MAX(1,D171)),0), FactorTable!$A$2:$A$301,0), Skills!L14+1)</f>
        <v/>
      </c>
      <c r="F171">
        <f>IF(Skills!M14=TRUE,(Skills!K14/10)*(E171/1000),Skills!K14/10)+Skills!N14</f>
        <v/>
      </c>
      <c r="G171">
        <f>Calc!G14</f>
        <v/>
      </c>
      <c r="H171">
        <f>Calc!H14</f>
        <v/>
      </c>
      <c r="I171">
        <f>IF(Skills!T14&lt;&gt;"",1+(Skills!T14/10)*($Z$3/1000)/100,1)</f>
        <v/>
      </c>
      <c r="J171">
        <f>(Inputs!$B$7*(1+Inputs!$B$8/100))*(F171/100)</f>
        <v/>
      </c>
      <c r="K171">
        <f>J171*(1+(((Inputs!$B$14+IF(Inputs!$B$3&gt;=35,0.10*(Inputs!$B$9*(1+(Inputs!$B$10+1)/100)),0))*(1+Inputs!$B$15/100))*0.01+Inputs!$B$16*0.0025)/100)*(1+(Inputs!$B$17+B188)/100)*(1+IF(Inputs!$B$40="pvp",0,(1-Summary!$B$48)*(Inputs!$B$22+Skills!O14+B186)+Summary!$B$48*(Inputs!$B$23+Skills!P14+B187))/100)*(1+Inputs!$B$18/100)*(5000/(6000+Inputs!$B$42*(1-Inputs!$B$21/100)))*(1+Inputs!$B$26/100)*(1+IF(C174=TRUE,F174,0)/100)*(1+IF(C176=TRUE,F176,0)/100)*(1+IF(Skills!A14="TRIUMPH_FEATHER",IF(C172=TRUE,F172,0),0)/100)*(1+IF(C183=TRUE,F183,0)/100)^5*(1+(IF(Skills!A14="BIG_BANG",Inputs!$B$19,Inputs!$B$20))/100)*(B185*I171)</f>
        <v/>
      </c>
      <c r="L171">
        <f>K171*(MIN(Inputs!$B$24+(F178-Calc!F21),Inputs!$B$25)/100+Inputs!$B$25/100)/2</f>
        <v/>
      </c>
      <c r="M171">
        <f>L171*(1+(Inputs!$B$12+B189+(F181-Calc!F24))/100)</f>
        <v/>
      </c>
      <c r="N171">
        <f>L171*(1-MIN(Inputs!$B$11+((F180-Calc!F23)+(F179-Calc!F22)),100)/100)+M171*(MIN(Inputs!$B$11+((F180-Calc!F23)+(F179-Calc!F22)),100)/100)</f>
        <v/>
      </c>
      <c r="O171">
        <f>IF(C171,Skills!F14*N171*((IF(Inputs!$B$3&gt;=78,25,15)/100*B191*10)/(1+IF(Inputs!$B$3&gt;=78,25,15)/100*B191*10))*(Skills!I14/100*B191)/(1+Skills!G14*Skills!I14/100*B191)*IF(Inputs!$B$40="pvp",1,(1-Summary!$B$48)*(1)+Summary!$B$48*(MIN(Skills!Q14,Inputs!$B$39))),0)</f>
        <v/>
      </c>
      <c r="P171">
        <f>IF(B195=0,0,O171/B195)</f>
        <v/>
      </c>
      <c r="Q171">
        <f>IFERROR(1/IF(Inputs!$B$40="pvp",15,MAX(0.1,Skills!D14-IF(Skills!E14=TRUE,Inputs!$B$34,0))),0)</f>
        <v/>
      </c>
      <c r="R171" t="n">
        <v>0</v>
      </c>
    </row>
    <row r="172">
      <c r="A172">
        <f>Skills!A15</f>
        <v/>
      </c>
      <c r="B172">
        <f>Skills!B15</f>
        <v/>
      </c>
      <c r="C172">
        <f>Inputs!$B$3&gt;=100</f>
        <v/>
      </c>
      <c r="D172">
        <f>IF(Skills!C15=1,60+Inputs!$B$27+Inputs!$B$31,IF(Skills!C15=2,90+Inputs!$B$28+Inputs!$B$31,IF(Skills!C15=3,120+Inputs!$B$29+Inputs!$B$31,MAX(0,(Inputs!$B$3-100)*3)+Inputs!$B$30+Inputs!$B$31)))</f>
        <v/>
      </c>
      <c r="E172">
        <f>INDEX(FactorTable!$B$2:$Y$301, MATCH(ROUND(MIN(300,MAX(1,D172)),0), FactorTable!$A$2:$A$301,0), Skills!L15+1)</f>
        <v/>
      </c>
      <c r="F172">
        <f>IF(Skills!M15=TRUE,(Skills!K15/10)*(E172/1000),Skills!K15/10)+Skills!N15</f>
        <v/>
      </c>
      <c r="G172">
        <f>Calc!G15</f>
        <v/>
      </c>
      <c r="H172">
        <f>Calc!H15</f>
        <v/>
      </c>
      <c r="I172">
        <f>IF(Skills!T15&lt;&gt;"",1+(Skills!T15/10)*($Z$3/1000)/100,1)</f>
        <v/>
      </c>
      <c r="J172" t="inlineStr"/>
      <c r="K172" t="inlineStr"/>
      <c r="L172" t="inlineStr"/>
      <c r="M172" t="inlineStr"/>
      <c r="N172" t="inlineStr"/>
      <c r="O172" t="n">
        <v>0</v>
      </c>
      <c r="P172">
        <f>IF(B195=0,0,O172/B195)</f>
        <v/>
      </c>
      <c r="Q172">
        <f>IFERROR(1/IF(Inputs!$B$40="pvp",15,MAX(0.1,Skills!D15-IF(Skills!E15=TRUE,Inputs!$B$34,0))),0)</f>
        <v/>
      </c>
      <c r="R172" t="n">
        <v>0</v>
      </c>
    </row>
    <row r="173">
      <c r="A173">
        <f>Skills!A16</f>
        <v/>
      </c>
      <c r="B173">
        <f>Skills!B16</f>
        <v/>
      </c>
      <c r="C173">
        <f>Inputs!$B$3&gt;=49</f>
        <v/>
      </c>
      <c r="D173">
        <f>IF(Skills!C16=1,60+Inputs!$B$27+Inputs!$B$31,IF(Skills!C16=2,90+Inputs!$B$28+Inputs!$B$31,IF(Skills!C16=3,120+Inputs!$B$29+Inputs!$B$31,MAX(0,(Inputs!$B$3-100)*3)+Inputs!$B$30+Inputs!$B$31)))</f>
        <v/>
      </c>
      <c r="E173">
        <f>INDEX(FactorTable!$B$2:$Y$301, MATCH(ROUND(MIN(300,MAX(1,D173)),0), FactorTable!$A$2:$A$301,0), Skills!L16+1)</f>
        <v/>
      </c>
      <c r="F173">
        <f>IF(Skills!M16=TRUE,(Skills!K16/10)*(E173/1000),Skills!K16/10)+Skills!N16</f>
        <v/>
      </c>
      <c r="G173">
        <f>Calc!G16</f>
        <v/>
      </c>
      <c r="H173">
        <f>Calc!H16</f>
        <v/>
      </c>
      <c r="I173">
        <f>IF(Skills!T16&lt;&gt;"",1+(Skills!T16/10)*($Z$3/1000)/100,1)</f>
        <v/>
      </c>
      <c r="J173" t="inlineStr"/>
      <c r="K173" t="inlineStr"/>
      <c r="L173" t="inlineStr"/>
      <c r="M173" t="inlineStr"/>
      <c r="N173" t="inlineStr"/>
      <c r="O173" t="n">
        <v>0</v>
      </c>
      <c r="P173">
        <f>IF(B195=0,0,O173/B195)</f>
        <v/>
      </c>
      <c r="Q173">
        <f>IFERROR(1/IF(Inputs!$B$40="pvp",15,MAX(0.1,Skills!D16-IF(Skills!E16=TRUE,Inputs!$B$34,0))),0)</f>
        <v/>
      </c>
      <c r="R173" t="n">
        <v>0</v>
      </c>
    </row>
    <row r="174">
      <c r="A174">
        <f>Skills!A17</f>
        <v/>
      </c>
      <c r="B174">
        <f>Skills!B17</f>
        <v/>
      </c>
      <c r="C174">
        <f>Inputs!$B$3&gt;=75</f>
        <v/>
      </c>
      <c r="D174">
        <f>IF(Skills!C17=1,60+Inputs!$B$27+Inputs!$B$31,IF(Skills!C17=2,90+Inputs!$B$28+Inputs!$B$31,IF(Skills!C17=3,120+Inputs!$B$29+Inputs!$B$31,MAX(0,(Inputs!$B$3-100)*3)+Inputs!$B$30+Inputs!$B$31)))</f>
        <v/>
      </c>
      <c r="E174">
        <f>INDEX(FactorTable!$B$2:$Y$301, MATCH(ROUND(MIN(300,MAX(1,D174)),0), FactorTable!$A$2:$A$301,0), Skills!L17+1)</f>
        <v/>
      </c>
      <c r="F174">
        <f>IF(Skills!M17=TRUE,(Skills!K17/10)*(E174/1000),Skills!K17/10)+Skills!N17</f>
        <v/>
      </c>
      <c r="G174">
        <f>Calc!G17</f>
        <v/>
      </c>
      <c r="H174">
        <f>Calc!H17</f>
        <v/>
      </c>
      <c r="I174">
        <f>IF(Skills!T17&lt;&gt;"",1+(Skills!T17/10)*($Z$3/1000)/100,1)</f>
        <v/>
      </c>
      <c r="J174" t="inlineStr"/>
      <c r="K174" t="inlineStr"/>
      <c r="L174" t="inlineStr"/>
      <c r="M174" t="inlineStr"/>
      <c r="N174" t="inlineStr"/>
      <c r="O174" t="n">
        <v>0</v>
      </c>
      <c r="P174">
        <f>IF(B195=0,0,O174/B195)</f>
        <v/>
      </c>
      <c r="Q174">
        <f>IFERROR(1/IF(Inputs!$B$40="pvp",15,MAX(0.1,Skills!D17-IF(Skills!E17=TRUE,Inputs!$B$34,0))),0)</f>
        <v/>
      </c>
      <c r="R174" t="n">
        <v>0</v>
      </c>
    </row>
    <row r="175">
      <c r="A175">
        <f>Skills!A18</f>
        <v/>
      </c>
      <c r="B175">
        <f>Skills!B18</f>
        <v/>
      </c>
      <c r="C175">
        <f>Inputs!$B$3&gt;=110</f>
        <v/>
      </c>
      <c r="D175">
        <f>IF(Skills!C18=1,60+Inputs!$B$27+Inputs!$B$31,IF(Skills!C18=2,90+Inputs!$B$28+Inputs!$B$31,IF(Skills!C18=3,120+Inputs!$B$29+Inputs!$B$31,MAX(0,(Inputs!$B$3-100)*3)+Inputs!$B$30+Inputs!$B$31)))</f>
        <v/>
      </c>
      <c r="E175">
        <f>INDEX(FactorTable!$B$2:$Y$301, MATCH(ROUND(MIN(300,MAX(1,D175)),0), FactorTable!$A$2:$A$301,0), Skills!L18+1)</f>
        <v/>
      </c>
      <c r="F175">
        <f>(Skills!K18/10)*(E175/1000)*64/45+Skills!N18</f>
        <v/>
      </c>
      <c r="G175">
        <f>Calc!G18</f>
        <v/>
      </c>
      <c r="H175">
        <f>Calc!H18</f>
        <v/>
      </c>
      <c r="I175">
        <f>IF(Skills!T18&lt;&gt;"",1+(Skills!T18/10)*($Z$3/1000)/100,1)</f>
        <v/>
      </c>
      <c r="J175" t="inlineStr"/>
      <c r="K175" t="inlineStr"/>
      <c r="L175" t="inlineStr"/>
      <c r="M175" t="inlineStr"/>
      <c r="N175" t="inlineStr"/>
      <c r="O175" t="n">
        <v>0</v>
      </c>
      <c r="P175">
        <f>IF(B195=0,0,O175/B195)</f>
        <v/>
      </c>
      <c r="Q175">
        <f>IFERROR(1/IF(Inputs!$B$40="pvp",15,MAX(0.1,Skills!D18-IF(Skills!E18=TRUE,Inputs!$B$34,0))),0)</f>
        <v/>
      </c>
      <c r="R175">
        <f>IF(AND(Inputs!$B$40&lt;&gt;"pvp",Inputs!$B$43&gt;0),(INT(Inputs!$B$43/IF(Inputs!$B$40="pvp",15,MAX(0.1,Skills!D18-IF(Skills!E18=TRUE,Inputs!$B$34,0))))+1),0)</f>
        <v/>
      </c>
    </row>
    <row r="176">
      <c r="A176">
        <f>Skills!A19</f>
        <v/>
      </c>
      <c r="B176">
        <f>Skills!B19</f>
        <v/>
      </c>
      <c r="C176">
        <f>Inputs!$B$3&gt;=125</f>
        <v/>
      </c>
      <c r="D176">
        <f>IF(Skills!C19=1,60+Inputs!$B$27+Inputs!$B$31,IF(Skills!C19=2,90+Inputs!$B$28+Inputs!$B$31,IF(Skills!C19=3,120+Inputs!$B$29+Inputs!$B$31,MAX(0,(Inputs!$B$3-100)*3)+Inputs!$B$30+Inputs!$B$31)))</f>
        <v/>
      </c>
      <c r="E176">
        <f>INDEX(FactorTable!$B$2:$Y$301, MATCH(ROUND(MIN(300,MAX(1,D176)),0), FactorTable!$A$2:$A$301,0), Skills!L19+1)</f>
        <v/>
      </c>
      <c r="F176">
        <f>IF(Skills!M19=TRUE,(Skills!K19/10)*(E176/1000),Skills!K19/10)+Skills!N19</f>
        <v/>
      </c>
      <c r="G176">
        <f>Calc!G19</f>
        <v/>
      </c>
      <c r="H176">
        <f>Calc!H19</f>
        <v/>
      </c>
      <c r="I176">
        <f>IF(Skills!T19&lt;&gt;"",1+(Skills!T19/10)*($Z$3/1000)/100,1)</f>
        <v/>
      </c>
      <c r="J176" t="inlineStr"/>
      <c r="K176" t="inlineStr"/>
      <c r="L176" t="inlineStr"/>
      <c r="M176" t="inlineStr"/>
      <c r="N176" t="inlineStr"/>
      <c r="O176" t="n">
        <v>0</v>
      </c>
      <c r="P176">
        <f>IF(B195=0,0,O176/B195)</f>
        <v/>
      </c>
      <c r="Q176">
        <f>IFERROR(1/IF(Inputs!$B$40="pvp",15,MAX(0.1,Skills!D19-IF(Skills!E19=TRUE,Inputs!$B$34,0))),0)</f>
        <v/>
      </c>
      <c r="R176" t="n">
        <v>0</v>
      </c>
    </row>
    <row r="177">
      <c r="A177">
        <f>Skills!A20</f>
        <v/>
      </c>
      <c r="B177">
        <f>Skills!B20</f>
        <v/>
      </c>
      <c r="C177">
        <f>Inputs!$B$3&gt;=33</f>
        <v/>
      </c>
      <c r="D177">
        <f>IF(Skills!C20=1,60+Inputs!$B$27+Inputs!$B$31,IF(Skills!C20=2,90+Inputs!$B$28+Inputs!$B$31,IF(Skills!C20=3,120+Inputs!$B$29+Inputs!$B$31,MAX(0,(Inputs!$B$3-100)*3)+Inputs!$B$30+Inputs!$B$31)))</f>
        <v/>
      </c>
      <c r="E177">
        <f>INDEX(FactorTable!$B$2:$Y$301, MATCH(ROUND(MIN(300,MAX(1,D177)),0), FactorTable!$A$2:$A$301,0), Skills!L20+1)</f>
        <v/>
      </c>
      <c r="F177">
        <f>IF(Skills!M20=TRUE,(Skills!K20/10)*(E177/1000),Skills!K20/10)+Skills!N20</f>
        <v/>
      </c>
      <c r="G177">
        <f>Calc!G20</f>
        <v/>
      </c>
      <c r="H177">
        <f>Calc!H20</f>
        <v/>
      </c>
      <c r="I177">
        <f>IF(Skills!T20&lt;&gt;"",1+(Skills!T20/10)*($Z$3/1000)/100,1)</f>
        <v/>
      </c>
      <c r="J177" t="inlineStr"/>
      <c r="K177" t="inlineStr"/>
      <c r="L177" t="inlineStr"/>
      <c r="M177" t="inlineStr"/>
      <c r="N177" t="inlineStr"/>
      <c r="O177" t="n">
        <v>0</v>
      </c>
      <c r="P177">
        <f>IF(B195=0,0,O177/B195)</f>
        <v/>
      </c>
      <c r="Q177">
        <f>IFERROR(1/IF(Inputs!$B$40="pvp",15,MAX(0.1,Skills!D20-IF(Skills!E20=TRUE,Inputs!$B$34,0))),0)</f>
        <v/>
      </c>
      <c r="R177" t="n">
        <v>0</v>
      </c>
    </row>
    <row r="178">
      <c r="A178">
        <f>Skills!A21</f>
        <v/>
      </c>
      <c r="B178">
        <f>Skills!B21</f>
        <v/>
      </c>
      <c r="C178">
        <f>Inputs!$B$3&gt;=43</f>
        <v/>
      </c>
      <c r="D178">
        <f>IF(Skills!C21=1,60+Inputs!$B$27+Inputs!$B$31,IF(Skills!C21=2,90+Inputs!$B$28+Inputs!$B$31,IF(Skills!C21=3,120+Inputs!$B$29+Inputs!$B$31,MAX(0,(Inputs!$B$3-100)*3)+Inputs!$B$30+Inputs!$B$31)))</f>
        <v/>
      </c>
      <c r="E178">
        <f>INDEX(FactorTable!$B$2:$Y$301, MATCH(ROUND(MIN(300,MAX(1,D178)),0), FactorTable!$A$2:$A$301,0), Skills!L21+1)</f>
        <v/>
      </c>
      <c r="F178">
        <f>IF(Skills!M21=TRUE,(Skills!K21/10)*(E178/1000),Skills!K21/10)+Skills!N21</f>
        <v/>
      </c>
      <c r="G178">
        <f>Calc!G21</f>
        <v/>
      </c>
      <c r="H178">
        <f>Calc!H21</f>
        <v/>
      </c>
      <c r="I178">
        <f>IF(Skills!T21&lt;&gt;"",1+(Skills!T21/10)*($Z$3/1000)/100,1)</f>
        <v/>
      </c>
      <c r="J178" t="inlineStr"/>
      <c r="K178" t="inlineStr"/>
      <c r="L178" t="inlineStr"/>
      <c r="M178" t="inlineStr"/>
      <c r="N178" t="inlineStr"/>
      <c r="O178" t="n">
        <v>0</v>
      </c>
      <c r="P178">
        <f>IF(B195=0,0,O178/B195)</f>
        <v/>
      </c>
      <c r="Q178">
        <f>IFERROR(1/IF(Inputs!$B$40="pvp",15,MAX(0.1,Skills!D21-IF(Skills!E21=TRUE,Inputs!$B$34,0))),0)</f>
        <v/>
      </c>
      <c r="R178" t="n">
        <v>0</v>
      </c>
    </row>
    <row r="179">
      <c r="A179">
        <f>Skills!A22</f>
        <v/>
      </c>
      <c r="B179">
        <f>Skills!B22</f>
        <v/>
      </c>
      <c r="C179">
        <f>Inputs!$B$3&gt;=50</f>
        <v/>
      </c>
      <c r="D179">
        <f>IF(Skills!C22=1,60+Inputs!$B$27+Inputs!$B$31,IF(Skills!C22=2,90+Inputs!$B$28+Inputs!$B$31,IF(Skills!C22=3,120+Inputs!$B$29+Inputs!$B$31,MAX(0,(Inputs!$B$3-100)*3)+Inputs!$B$30+Inputs!$B$31)))</f>
        <v/>
      </c>
      <c r="E179">
        <f>INDEX(FactorTable!$B$2:$Y$301, MATCH(ROUND(MIN(300,MAX(1,D179)),0), FactorTable!$A$2:$A$301,0), Skills!L22+1)</f>
        <v/>
      </c>
      <c r="F179">
        <f>IF(Skills!M22=TRUE,(Skills!K22/10)*(E179/1000),Skills!K22/10)+Skills!N22</f>
        <v/>
      </c>
      <c r="G179">
        <f>Calc!G22</f>
        <v/>
      </c>
      <c r="H179">
        <f>Calc!H22</f>
        <v/>
      </c>
      <c r="I179">
        <f>IF(Skills!T22&lt;&gt;"",1+(Skills!T22/10)*($Z$3/1000)/100,1)</f>
        <v/>
      </c>
      <c r="J179" t="inlineStr"/>
      <c r="K179" t="inlineStr"/>
      <c r="L179" t="inlineStr"/>
      <c r="M179" t="inlineStr"/>
      <c r="N179" t="inlineStr"/>
      <c r="O179" t="n">
        <v>0</v>
      </c>
      <c r="P179">
        <f>IF(B195=0,0,O179/B195)</f>
        <v/>
      </c>
      <c r="Q179">
        <f>IFERROR(1/IF(Inputs!$B$40="pvp",15,MAX(0.1,Skills!D22-IF(Skills!E22=TRUE,Inputs!$B$34,0))),0)</f>
        <v/>
      </c>
      <c r="R179" t="n">
        <v>0</v>
      </c>
    </row>
    <row r="180">
      <c r="A180">
        <f>Skills!A23</f>
        <v/>
      </c>
      <c r="B180">
        <f>Skills!B23</f>
        <v/>
      </c>
      <c r="C180">
        <f>Inputs!$B$3&gt;=74</f>
        <v/>
      </c>
      <c r="D180">
        <f>IF(Skills!C23=1,60+Inputs!$B$27+Inputs!$B$31,IF(Skills!C23=2,90+Inputs!$B$28+Inputs!$B$31,IF(Skills!C23=3,120+Inputs!$B$29+Inputs!$B$31,MAX(0,(Inputs!$B$3-100)*3)+Inputs!$B$30+Inputs!$B$31)))</f>
        <v/>
      </c>
      <c r="E180">
        <f>INDEX(FactorTable!$B$2:$Y$301, MATCH(ROUND(MIN(300,MAX(1,D180)),0), FactorTable!$A$2:$A$301,0), Skills!L23+1)</f>
        <v/>
      </c>
      <c r="F180">
        <f>IF(Skills!M23=TRUE,(Skills!K23/10)*(E180/1000),Skills!K23/10)+Skills!N23</f>
        <v/>
      </c>
      <c r="G180">
        <f>Calc!G23</f>
        <v/>
      </c>
      <c r="H180">
        <f>Calc!H23</f>
        <v/>
      </c>
      <c r="I180">
        <f>IF(Skills!T23&lt;&gt;"",1+(Skills!T23/10)*($Z$3/1000)/100,1)</f>
        <v/>
      </c>
      <c r="J180" t="inlineStr"/>
      <c r="K180" t="inlineStr"/>
      <c r="L180" t="inlineStr"/>
      <c r="M180" t="inlineStr"/>
      <c r="N180" t="inlineStr"/>
      <c r="O180" t="n">
        <v>0</v>
      </c>
      <c r="P180">
        <f>IF(B195=0,0,O180/B195)</f>
        <v/>
      </c>
      <c r="Q180">
        <f>IFERROR(1/IF(Inputs!$B$40="pvp",15,MAX(0.1,Skills!D23-IF(Skills!E23=TRUE,Inputs!$B$34,0))),0)</f>
        <v/>
      </c>
      <c r="R180" t="n">
        <v>0</v>
      </c>
    </row>
    <row r="181">
      <c r="A181">
        <f>Skills!A24</f>
        <v/>
      </c>
      <c r="B181">
        <f>Skills!B24</f>
        <v/>
      </c>
      <c r="C181">
        <f>Inputs!$B$3&gt;=74</f>
        <v/>
      </c>
      <c r="D181">
        <f>IF(Skills!C24=1,60+Inputs!$B$27+Inputs!$B$31,IF(Skills!C24=2,90+Inputs!$B$28+Inputs!$B$31,IF(Skills!C24=3,120+Inputs!$B$29+Inputs!$B$31,MAX(0,(Inputs!$B$3-100)*3)+Inputs!$B$30+Inputs!$B$31)))</f>
        <v/>
      </c>
      <c r="E181">
        <f>INDEX(FactorTable!$B$2:$Y$301, MATCH(ROUND(MIN(300,MAX(1,D181)),0), FactorTable!$A$2:$A$301,0), Skills!L24+1)</f>
        <v/>
      </c>
      <c r="F181">
        <f>IF(Skills!M24=TRUE,(Skills!K24/10)*(E181/1000),Skills!K24/10)+Skills!N24</f>
        <v/>
      </c>
      <c r="G181">
        <f>Calc!G24</f>
        <v/>
      </c>
      <c r="H181">
        <f>Calc!H24</f>
        <v/>
      </c>
      <c r="I181">
        <f>IF(Skills!T24&lt;&gt;"",1+(Skills!T24/10)*($Z$3/1000)/100,1)</f>
        <v/>
      </c>
      <c r="J181" t="inlineStr"/>
      <c r="K181" t="inlineStr"/>
      <c r="L181" t="inlineStr"/>
      <c r="M181" t="inlineStr"/>
      <c r="N181" t="inlineStr"/>
      <c r="O181" t="n">
        <v>0</v>
      </c>
      <c r="P181">
        <f>IF(B195=0,0,O181/B195)</f>
        <v/>
      </c>
      <c r="Q181">
        <f>IFERROR(1/IF(Inputs!$B$40="pvp",15,MAX(0.1,Skills!D24-IF(Skills!E24=TRUE,Inputs!$B$34,0))),0)</f>
        <v/>
      </c>
      <c r="R181" t="n">
        <v>0</v>
      </c>
    </row>
    <row r="182">
      <c r="A182">
        <f>Skills!A25</f>
        <v/>
      </c>
      <c r="B182">
        <f>Skills!B25</f>
        <v/>
      </c>
      <c r="C182">
        <f>Inputs!$B$3&gt;=117</f>
        <v/>
      </c>
      <c r="D182">
        <f>IF(Skills!C25=1,60+Inputs!$B$27+Inputs!$B$31,IF(Skills!C25=2,90+Inputs!$B$28+Inputs!$B$31,IF(Skills!C25=3,120+Inputs!$B$29+Inputs!$B$31,MAX(0,(Inputs!$B$3-100)*3)+Inputs!$B$30+Inputs!$B$31)))</f>
        <v/>
      </c>
      <c r="E182">
        <f>INDEX(FactorTable!$B$2:$Y$301, MATCH(ROUND(MIN(300,MAX(1,D182)),0), FactorTable!$A$2:$A$301,0), Skills!L25+1)</f>
        <v/>
      </c>
      <c r="F182">
        <f>IF(Skills!M25=TRUE,(Skills!K25/10)*(E182/1000),Skills!K25/10)+Skills!N25</f>
        <v/>
      </c>
      <c r="G182">
        <f>Calc!G25</f>
        <v/>
      </c>
      <c r="H182">
        <f>Calc!H25</f>
        <v/>
      </c>
      <c r="I182">
        <f>IF(Skills!T25&lt;&gt;"",1+(Skills!T25/10)*($Z$3/1000)/100,1)</f>
        <v/>
      </c>
      <c r="J182" t="inlineStr"/>
      <c r="K182" t="inlineStr"/>
      <c r="L182" t="inlineStr"/>
      <c r="M182" t="inlineStr"/>
      <c r="N182" t="inlineStr"/>
      <c r="O182" t="n">
        <v>0</v>
      </c>
      <c r="P182">
        <f>IF(B195=0,0,O182/B195)</f>
        <v/>
      </c>
      <c r="Q182">
        <f>IFERROR(1/IF(Inputs!$B$40="pvp",15,MAX(0.1,Skills!D25-IF(Skills!E25=TRUE,Inputs!$B$34,0))),0)</f>
        <v/>
      </c>
      <c r="R182" t="n">
        <v>0</v>
      </c>
    </row>
    <row r="183">
      <c r="A183">
        <f>Skills!A26</f>
        <v/>
      </c>
      <c r="B183">
        <f>Skills!B26</f>
        <v/>
      </c>
      <c r="C183">
        <f>Inputs!$B$3&gt;=120</f>
        <v/>
      </c>
      <c r="D183">
        <f>IF(Skills!C26=1,60+Inputs!$B$27+Inputs!$B$31,IF(Skills!C26=2,90+Inputs!$B$28+Inputs!$B$31,IF(Skills!C26=3,120+Inputs!$B$29+Inputs!$B$31,MAX(0,(Inputs!$B$3-100)*3)+Inputs!$B$30+Inputs!$B$31)))</f>
        <v/>
      </c>
      <c r="E183">
        <f>INDEX(FactorTable!$B$2:$Y$301, MATCH(ROUND(MIN(300,MAX(1,D183)),0), FactorTable!$A$2:$A$301,0), Skills!L26+1)</f>
        <v/>
      </c>
      <c r="F183">
        <f>IF(Skills!M26=TRUE,(Skills!K26/10)*(E183/1000),Skills!K26/10)+Skills!N26</f>
        <v/>
      </c>
      <c r="G183">
        <f>Calc!G26</f>
        <v/>
      </c>
      <c r="H183">
        <f>Calc!H26</f>
        <v/>
      </c>
      <c r="I183">
        <f>IF(Skills!T26&lt;&gt;"",1+(Skills!T26/10)*($Z$3/1000)/100,1)</f>
        <v/>
      </c>
      <c r="J183" t="inlineStr"/>
      <c r="K183" t="inlineStr"/>
      <c r="L183" t="inlineStr"/>
      <c r="M183" t="inlineStr"/>
      <c r="N183" t="inlineStr"/>
      <c r="O183" t="n">
        <v>0</v>
      </c>
      <c r="P183">
        <f>IF(B195=0,0,O183/B195)</f>
        <v/>
      </c>
      <c r="Q183">
        <f>IFERROR(1/IF(Inputs!$B$40="pvp",15,MAX(0.1,Skills!D26-IF(Skills!E26=TRUE,Inputs!$B$34,0))),0)</f>
        <v/>
      </c>
      <c r="R183" t="n">
        <v>0</v>
      </c>
    </row>
    <row r="185">
      <c r="A185" t="inlineStr">
        <is>
          <t>Average Buff Multiplier</t>
        </is>
      </c>
      <c r="B185">
        <f>(1+(IF(C160=TRUE,F160*IF(AND(Inputs!$B$40&lt;&gt;"pvp",Inputs!$B$43&gt;0),(((R160-1)*(Skills!S3*(1+(Inputs!$B$36+IF(Inputs!$B$3&gt;=117,F182,0))/100))+MIN((Skills!S3*(1+(Inputs!$B$36+IF(Inputs!$B$3&gt;=117,F182,0))/100)),MAX(0,Inputs!$B$43-((R160-1)*Skills!D3))))/Inputs!$B$43),IF(Inputs!$B$40="pvp",MIN((Skills!S3*(1+(Inputs!$B$36+IF(Inputs!$B$3&gt;=117,F182,0))/100)),15)/15,(Skills!S3*(1+(Inputs!$B$36+IF(Inputs!$B$3&gt;=117,F182,0))/100))/Skills!D3)),0)+IF(C161=TRUE,F161*IF(AND(Inputs!$B$40&lt;&gt;"pvp",Inputs!$B$43&gt;0),(((R161-1)*(Skills!S4*(1+(Inputs!$B$36+IF(Inputs!$B$3&gt;=117,F182,0))/100))+MIN((Skills!S4*(1+(Inputs!$B$36+IF(Inputs!$B$3&gt;=117,F182,0))/100)),MAX(0,Inputs!$B$43-((R161-1)*Skills!D4))))/Inputs!$B$43),IF(Inputs!$B$40="pvp",MIN((Skills!S4*(1+(Inputs!$B$36+IF(Inputs!$B$3&gt;=117,F182,0))/100)),15)/15,(Skills!S4*(1+(Inputs!$B$36+IF(Inputs!$B$3&gt;=117,F182,0))/100))/Skills!D4)),0)+IF(C162=TRUE,F162*IF(AND(Inputs!$B$40&lt;&gt;"pvp",Inputs!$B$43&gt;0),(((R162-1)*(Skills!S5*(1+(Inputs!$B$36+IF(Inputs!$B$3&gt;=117,F182,0))/100))+MIN((Skills!S5*(1+(Inputs!$B$36+IF(Inputs!$B$3&gt;=117,F182,0))/100)),MAX(0,Inputs!$B$43-((R162-1)*Skills!D5))))/Inputs!$B$43),IF(Inputs!$B$40="pvp",MIN((Skills!S5*(1+(Inputs!$B$36+IF(Inputs!$B$3&gt;=117,F182,0))/100)),15)/15,(Skills!S5*(1+(Inputs!$B$36+IF(Inputs!$B$3&gt;=117,F182,0))/100))/Skills!D5)),0)+IF(C168=TRUE,F168*IF(AND(Inputs!$B$40&lt;&gt;"pvp",Inputs!$B$43&gt;0),(((R168-1)*(Skills!S11*(1+(Inputs!$B$36+IF(Inputs!$B$3&gt;=117,F182,0))/100))+MIN((Skills!S11*(1+(Inputs!$B$36+IF(Inputs!$B$3&gt;=117,F182,0))/100)),MAX(0,Inputs!$B$43-((R168-1)*Skills!D11))))/Inputs!$B$43),IF(Inputs!$B$40="pvp",MIN((Skills!S11*(1+(Inputs!$B$36+IF(Inputs!$B$3&gt;=117,F182,0))/100)),15)/15,(Skills!S11*(1+(Inputs!$B$36+IF(Inputs!$B$3&gt;=117,F182,0))/100))/Skills!D11)),0))/100)*IF(C170=TRUE,(1+F170*IF(AND(Inputs!$B$40&lt;&gt;"pvp",Inputs!$B$43&gt;0),(((R170-1)*(Skills!S13*(1+(Inputs!$B$36+IF(Inputs!$B$3&gt;=117,F182,0))/100))+MIN((Skills!S13*(1+(Inputs!$B$36+IF(Inputs!$B$3&gt;=117,F182,0))/100)),MAX(0,Inputs!$B$43-((R170-1)*Skills!D13))))/Inputs!$B$43),IF(Inputs!$B$40="pvp",MIN((Skills!S13*(1+(Inputs!$B$36+IF(Inputs!$B$3&gt;=117,F182,0))/100)),15)/15,(Skills!S13*(1+(Inputs!$B$36+IF(Inputs!$B$3&gt;=117,F182,0))/100))/Skills!D13))/100),1)*IF(C175=TRUE,(1+F175*IF(AND(Inputs!$B$40&lt;&gt;"pvp",Inputs!$B$43&gt;0),(((R175-1)*(Skills!S18*(1+(Inputs!$B$36+IF(Inputs!$B$3&gt;=117,F182,0))/100))+MIN((Skills!S18*(1+(Inputs!$B$36+IF(Inputs!$B$3&gt;=117,F182,0))/100)),MAX(0,Inputs!$B$43-((R175-1)*Skills!D18))))/Inputs!$B$43),IF(Inputs!$B$40="pvp",MIN((Skills!S18*(1+(Inputs!$B$36+IF(Inputs!$B$3&gt;=117,F182,0))/100)),15)/15,(Skills!S18*(1+(Inputs!$B$36+IF(Inputs!$B$3&gt;=117,F182,0))/100))/Skills!D18))/100),1)</f>
        <v/>
      </c>
    </row>
    <row r="186">
      <c r="A186" t="inlineStr">
        <is>
          <t>Monster Damage Taken Bonus % (Holy Fountain)</t>
        </is>
      </c>
      <c r="B186">
        <f>IF(Inputs!$B$3&gt;=68,20*IF(Inputs!$B$40="pvp",MIN((15*(1+(Inputs!$B$36+IF(Inputs!$B$3&gt;=117,F182,0))/100)),15)/15,(15*(1+(Inputs!$B$36+IF(Inputs!$B$3&gt;=117,F182,0))/100))/Skills!D10),0)</f>
        <v/>
      </c>
    </row>
    <row r="187">
      <c r="A187" t="inlineStr">
        <is>
          <t>Normal Monster Damage Bonus % (Holy Symbol)</t>
        </is>
      </c>
      <c r="B187">
        <f>IF(C169=TRUE,F169*IF(AND(Inputs!$B$40&lt;&gt;"pvp",Inputs!$B$43&gt;0),(((R169-1)*(Skills!S12*(1+(Inputs!$B$36+IF(Inputs!$B$3&gt;=117,F182,0))/100))+MIN((Skills!S12*(1+(Inputs!$B$36+IF(Inputs!$B$3&gt;=117,F182,0))/100)),MAX(0,Inputs!$B$43-((R169-1)*Skills!D12))))/Inputs!$B$43),IF(Inputs!$B$40="pvp",MIN((Skills!S12*(1+(Inputs!$B$36+IF(Inputs!$B$3&gt;=117,F182,0))/100)),15)/15,(Skills!S12*(1+(Inputs!$B$36+IF(Inputs!$B$3&gt;=117,F182,0))/100))/Skills!D12)),0)</f>
        <v/>
      </c>
    </row>
    <row r="188">
      <c r="A188" t="inlineStr">
        <is>
          <t>Damage % Bonus (Holy Symbol - Damage Boost)</t>
        </is>
      </c>
      <c r="B188">
        <f>Skills!O12</f>
        <v/>
      </c>
    </row>
    <row r="189">
      <c r="A189" t="inlineStr">
        <is>
          <t>Crit Damage % Bonus (Blood of the Divine)</t>
        </is>
      </c>
      <c r="B189">
        <f>4*IF(C176=TRUE,F176,0)</f>
        <v/>
      </c>
    </row>
    <row r="190">
      <c r="A190" t="inlineStr">
        <is>
          <t>Attack Speed Bonus %</t>
        </is>
      </c>
      <c r="B190">
        <f>IF(C173=TRUE,F173+(F177-Calc!F20),0)+IF(Inputs!$B$3&gt;=134,15,0)</f>
        <v/>
      </c>
    </row>
    <row r="191">
      <c r="A191" t="inlineStr">
        <is>
          <t>Actions Per Second</t>
        </is>
      </c>
      <c r="B191">
        <f>1+MIN(150,150*(1-(1-Inputs!$B$13/150)*(1-B190/150)))/100</f>
        <v/>
      </c>
    </row>
    <row r="192">
      <c r="A192" t="inlineStr">
        <is>
          <t>Skill + Buff Cast Rate</t>
        </is>
      </c>
      <c r="B192">
        <f>IF(AND(Inputs!$B$40&lt;&gt;"pvp",Inputs!$B$43&gt;0),SUMPRODUCT((Skills!E2:E26=TRUE)*(C159:C183=TRUE)*R159:R183)/Inputs!$B$43,SUMPRODUCT((Skills!E2:E26=TRUE)*(C159:C183=TRUE)*Q159:Q183))</f>
        <v/>
      </c>
    </row>
    <row r="193">
      <c r="A193" t="inlineStr">
        <is>
          <t>Big Bang Casts Per Second</t>
        </is>
      </c>
      <c r="B193">
        <f>MAX(0,B191-B192)</f>
        <v/>
      </c>
    </row>
    <row r="195">
      <c r="A195" s="5" t="inlineStr">
        <is>
          <t>TOTAL DPS</t>
        </is>
      </c>
      <c r="B195" s="5">
        <f>SUM(O159:O183)</f>
        <v/>
      </c>
    </row>
    <row r="198">
      <c r="A198" s="5" t="inlineStr">
        <is>
          <t>Stat: DAMAGE %</t>
        </is>
      </c>
    </row>
    <row r="199">
      <c r="A199" s="9" t="inlineStr">
        <is>
          <t>Key</t>
        </is>
      </c>
      <c r="B199" s="9" t="inlineStr">
        <is>
          <t>Name</t>
        </is>
      </c>
      <c r="C199" s="9" t="inlineStr">
        <is>
          <t>Unlocked</t>
        </is>
      </c>
      <c r="D199" s="9" t="inlineStr">
        <is>
          <t>InputLevel</t>
        </is>
      </c>
      <c r="E199" s="9" t="inlineStr">
        <is>
          <t>Factor</t>
        </is>
      </c>
      <c r="F199" s="9" t="inlineStr">
        <is>
          <t>CoefficientPercent</t>
        </is>
      </c>
      <c r="G199" s="9" t="inlineStr">
        <is>
          <t>EffectiveHits</t>
        </is>
      </c>
      <c r="H199" s="9" t="inlineStr">
        <is>
          <t>ProcProbability</t>
        </is>
      </c>
      <c r="I199" s="9" t="inlineStr">
        <is>
          <t>MapleHeroMultiplier</t>
        </is>
      </c>
      <c r="J199" s="9" t="inlineStr">
        <is>
          <t>BaseDamage</t>
        </is>
      </c>
      <c r="K199" s="9" t="inlineStr">
        <is>
          <t>BaseHitDamage</t>
        </is>
      </c>
      <c r="L199" s="9" t="inlineStr">
        <is>
          <t>NonCritAvg</t>
        </is>
      </c>
      <c r="M199" s="9" t="inlineStr">
        <is>
          <t>CritAvg</t>
        </is>
      </c>
      <c r="N199" s="9" t="inlineStr">
        <is>
          <t>ExpectedDamage(perHit)</t>
        </is>
      </c>
      <c r="O199" s="9" t="inlineStr">
        <is>
          <t>DPS</t>
        </is>
      </c>
      <c r="P199" s="9" t="inlineStr">
        <is>
          <t>% of Total</t>
        </is>
      </c>
      <c r="R199" t="inlineStr">
        <is>
          <t>helpers</t>
        </is>
      </c>
    </row>
    <row r="200">
      <c r="A200">
        <f>Skills!A2</f>
        <v/>
      </c>
      <c r="B200">
        <f>Skills!B2</f>
        <v/>
      </c>
      <c r="C200">
        <f>Inputs!$B$3&gt;=100</f>
        <v/>
      </c>
      <c r="D200" t="inlineStr"/>
      <c r="E200" t="inlineStr"/>
      <c r="F200">
        <f>T202+Skills!N2</f>
        <v/>
      </c>
      <c r="G200">
        <f>Calc!G2</f>
        <v/>
      </c>
      <c r="H200">
        <f>Calc!H2</f>
        <v/>
      </c>
      <c r="I200">
        <f>IF(Skills!T2&lt;&gt;"",1+(Skills!T2/10)*($Z$3/1000)/100,1)</f>
        <v/>
      </c>
      <c r="J200">
        <f>(Inputs!$B$7*(1+Inputs!$B$8/100))*(F200/100)</f>
        <v/>
      </c>
      <c r="K200">
        <f>J200*(1+(((Inputs!$B$14+IF(Inputs!$B$3&gt;=35,0.10*(Inputs!$B$9*(1+Inputs!$B$10/100)),0))*(1+Inputs!$B$15/100))*0.01+Inputs!$B$16*0.0025)/100)*(1+((Inputs!$B$17+1)+B229)/100)*(1+IF(Inputs!$B$40="pvp",0,(1-Summary!$B$48)*(Inputs!$B$22+Skills!O2+B227)+Summary!$B$48*(Inputs!$B$23+Skills!P2+B228))/100)*(1+Inputs!$B$18/100)*(5000/(6000+Inputs!$B$42*(1-Inputs!$B$21/100)))*(1+Inputs!$B$26/100)*(1+IF(C215=TRUE,F215,0)/100)*(1+IF(C217=TRUE,F217,0)/100)*(1+IF(Skills!A2="TRIUMPH_FEATHER",IF(C213=TRUE,F213,0),0)/100)*(1+IF(C224=TRUE,F224,0)/100)^5*(1+(IF(Skills!A2="BIG_BANG",Inputs!$B$19,Inputs!$B$20))/100)*(B226*I200)</f>
        <v/>
      </c>
      <c r="L200">
        <f>K200*(MIN(Inputs!$B$24+(F219-Calc!F21),Inputs!$B$25)/100+Inputs!$B$25/100)/2</f>
        <v/>
      </c>
      <c r="M200">
        <f>L200*(1+(Inputs!$B$12+B230+(F222-Calc!F24))/100)</f>
        <v/>
      </c>
      <c r="N200">
        <f>L200*(1-MIN(Inputs!$B$11+((F221-Calc!F23)+(F220-Calc!F22)),100)/100)+M200*(MIN(Inputs!$B$11+((F221-Calc!F23)+(F220-Calc!F22)),100)/100)</f>
        <v/>
      </c>
      <c r="O200">
        <f>IF(C200,Skills!F2*N200*B234*IF(Inputs!$B$40="pvp",1,(1-Summary!$B$48)*(1)+Summary!$B$48*(MIN((6+Inputs!$B$35),Inputs!$B$39))),0)</f>
        <v/>
      </c>
      <c r="P200">
        <f>IF(B236=0,0,O200/B236)</f>
        <v/>
      </c>
      <c r="Q200">
        <f>IFERROR(1/IF(Inputs!$B$40="pvp",15,MAX(0.1,Skills!D2-IF(Skills!E2=TRUE,Inputs!$B$34,0))),0)</f>
        <v/>
      </c>
      <c r="R200" t="n">
        <v>0</v>
      </c>
      <c r="T200">
        <f>MAX(0,(Inputs!$B$3-100)*3)+Inputs!$B$30+Inputs!$B$31</f>
        <v/>
      </c>
    </row>
    <row r="201">
      <c r="A201">
        <f>Skills!A3</f>
        <v/>
      </c>
      <c r="B201">
        <f>Skills!B3</f>
        <v/>
      </c>
      <c r="C201">
        <f>Inputs!$B$3&gt;=15</f>
        <v/>
      </c>
      <c r="D201">
        <f>IF(Skills!C3=1,60+Inputs!$B$27+Inputs!$B$31,IF(Skills!C3=2,90+Inputs!$B$28+Inputs!$B$31,IF(Skills!C3=3,120+Inputs!$B$29+Inputs!$B$31,MAX(0,(Inputs!$B$3-100)*3)+Inputs!$B$30+Inputs!$B$31)))</f>
        <v/>
      </c>
      <c r="E201">
        <f>INDEX(FactorTable!$B$2:$Y$301, MATCH(ROUND(MIN(300,MAX(1,D201)),0), FactorTable!$A$2:$A$301,0), Skills!L3+1)</f>
        <v/>
      </c>
      <c r="F201">
        <f>IF(Skills!M3=TRUE,(Skills!K3/10)*(E201/1000),Skills!K3/10)+Skills!N3</f>
        <v/>
      </c>
      <c r="G201">
        <f>Calc!G3</f>
        <v/>
      </c>
      <c r="H201">
        <f>Calc!H3</f>
        <v/>
      </c>
      <c r="I201">
        <f>IF(Skills!T3&lt;&gt;"",1+(Skills!T3/10)*($Z$3/1000)/100,1)</f>
        <v/>
      </c>
      <c r="J201" t="inlineStr"/>
      <c r="K201" t="inlineStr"/>
      <c r="L201" t="inlineStr"/>
      <c r="M201" t="inlineStr"/>
      <c r="N201" t="inlineStr"/>
      <c r="O201" t="n">
        <v>0</v>
      </c>
      <c r="P201">
        <f>IF(B236=0,0,O201/B236)</f>
        <v/>
      </c>
      <c r="Q201">
        <f>IFERROR(1/IF(Inputs!$B$40="pvp",15,MAX(0.1,Skills!D3-IF(Skills!E3=TRUE,Inputs!$B$34,0))),0)</f>
        <v/>
      </c>
      <c r="R201">
        <f>IF(AND(Inputs!$B$40&lt;&gt;"pvp",Inputs!$B$43&gt;0),(INT(Inputs!$B$43/IF(Inputs!$B$40="pvp",15,MAX(0.1,Skills!D3-IF(Skills!E3=TRUE,Inputs!$B$34,0))))+1),0)</f>
        <v/>
      </c>
      <c r="T201">
        <f>INDEX(FactorTable!$B$2:$Y$301, MATCH(ROUND(MIN(300,MAX(1,T200)),0), FactorTable!$A$2:$A$301,0), 22)</f>
        <v/>
      </c>
    </row>
    <row r="202">
      <c r="A202">
        <f>Skills!A4</f>
        <v/>
      </c>
      <c r="B202">
        <f>Skills!B4</f>
        <v/>
      </c>
      <c r="C202">
        <f>Inputs!$B$3&gt;=38</f>
        <v/>
      </c>
      <c r="D202">
        <f>IF(Skills!C4=1,60+Inputs!$B$27+Inputs!$B$31,IF(Skills!C4=2,90+Inputs!$B$28+Inputs!$B$31,IF(Skills!C4=3,120+Inputs!$B$29+Inputs!$B$31,MAX(0,(Inputs!$B$3-100)*3)+Inputs!$B$30+Inputs!$B$31)))</f>
        <v/>
      </c>
      <c r="E202">
        <f>INDEX(FactorTable!$B$2:$Y$301, MATCH(ROUND(MIN(300,MAX(1,D202)),0), FactorTable!$A$2:$A$301,0), Skills!L4+1)</f>
        <v/>
      </c>
      <c r="F202">
        <f>IF(Skills!M4=TRUE,(Skills!K4/10)*(E202/1000),Skills!K4/10)+Skills!N4</f>
        <v/>
      </c>
      <c r="G202">
        <f>Calc!G4</f>
        <v/>
      </c>
      <c r="H202">
        <f>Calc!H4</f>
        <v/>
      </c>
      <c r="I202">
        <f>IF(Skills!T4&lt;&gt;"",1+(Skills!T4/10)*($Z$3/1000)/100,1)</f>
        <v/>
      </c>
      <c r="J202" t="inlineStr"/>
      <c r="K202" t="inlineStr"/>
      <c r="L202" t="inlineStr"/>
      <c r="M202" t="inlineStr"/>
      <c r="N202" t="inlineStr"/>
      <c r="O202" t="n">
        <v>0</v>
      </c>
      <c r="P202">
        <f>IF(B236=0,0,O202/B236)</f>
        <v/>
      </c>
      <c r="Q202">
        <f>IFERROR(1/IF(Inputs!$B$40="pvp",15,MAX(0.1,Skills!D4-IF(Skills!E4=TRUE,Inputs!$B$34,0))),0)</f>
        <v/>
      </c>
      <c r="R202">
        <f>IF(AND(Inputs!$B$40&lt;&gt;"pvp",Inputs!$B$43&gt;0),(INT(Inputs!$B$43/IF(Inputs!$B$40="pvp",15,MAX(0.1,Skills!D4-IF(Skills!E4=TRUE,Inputs!$B$34,0))))+1),0)</f>
        <v/>
      </c>
      <c r="T202">
        <f>290*T201/1000</f>
        <v/>
      </c>
    </row>
    <row r="203">
      <c r="A203">
        <f>Skills!A5</f>
        <v/>
      </c>
      <c r="B203">
        <f>Skills!B5</f>
        <v/>
      </c>
      <c r="C203">
        <f>Inputs!$B$3&gt;=40</f>
        <v/>
      </c>
      <c r="D203">
        <f>IF(Skills!C5=1,60+Inputs!$B$27+Inputs!$B$31,IF(Skills!C5=2,90+Inputs!$B$28+Inputs!$B$31,IF(Skills!C5=3,120+Inputs!$B$29+Inputs!$B$31,MAX(0,(Inputs!$B$3-100)*3)+Inputs!$B$30+Inputs!$B$31)))</f>
        <v/>
      </c>
      <c r="E203">
        <f>INDEX(FactorTable!$B$2:$Y$301, MATCH(ROUND(MIN(300,MAX(1,D203)),0), FactorTable!$A$2:$A$301,0), Skills!L5+1)</f>
        <v/>
      </c>
      <c r="F203">
        <f>IF(Skills!M5=TRUE,(Skills!K5/10)*(E203/1000),Skills!K5/10)+Skills!N5</f>
        <v/>
      </c>
      <c r="G203">
        <f>Calc!G5</f>
        <v/>
      </c>
      <c r="H203">
        <f>Calc!H5</f>
        <v/>
      </c>
      <c r="I203">
        <f>IF(Skills!T5&lt;&gt;"",1+(Skills!T5/10)*($Z$3/1000)/100,1)</f>
        <v/>
      </c>
      <c r="J203" t="inlineStr"/>
      <c r="K203" t="inlineStr"/>
      <c r="L203" t="inlineStr"/>
      <c r="M203" t="inlineStr"/>
      <c r="N203" t="inlineStr"/>
      <c r="O203" t="n">
        <v>0</v>
      </c>
      <c r="P203">
        <f>IF(B236=0,0,O203/B236)</f>
        <v/>
      </c>
      <c r="Q203">
        <f>IFERROR(1/IF(Inputs!$B$40="pvp",15,MAX(0.1,Skills!D5-IF(Skills!E5=TRUE,Inputs!$B$34,0))),0)</f>
        <v/>
      </c>
      <c r="R203">
        <f>IF(AND(Inputs!$B$40&lt;&gt;"pvp",Inputs!$B$43&gt;0),(INT(Inputs!$B$43/IF(Inputs!$B$40="pvp",15,MAX(0.1,Skills!D5-IF(Skills!E5=TRUE,Inputs!$B$34,0))))+1),0)</f>
        <v/>
      </c>
    </row>
    <row r="204">
      <c r="A204">
        <f>Skills!A6</f>
        <v/>
      </c>
      <c r="B204">
        <f>Skills!B6</f>
        <v/>
      </c>
      <c r="C204">
        <f>Inputs!$B$3&gt;=103</f>
        <v/>
      </c>
      <c r="D204">
        <f>IF(Skills!C6=1,60+Inputs!$B$27+Inputs!$B$31,IF(Skills!C6=2,90+Inputs!$B$28+Inputs!$B$31,IF(Skills!C6=3,120+Inputs!$B$29+Inputs!$B$31,MAX(0,(Inputs!$B$3-100)*3)+Inputs!$B$30+Inputs!$B$31)))</f>
        <v/>
      </c>
      <c r="E204">
        <f>INDEX(FactorTable!$B$2:$Y$301, MATCH(ROUND(MIN(300,MAX(1,D204)),0), FactorTable!$A$2:$A$301,0), Skills!L6+1)</f>
        <v/>
      </c>
      <c r="F204">
        <f>IF(Skills!M6=TRUE,(Skills!K6/10)*(E204/1000),Skills!K6/10)+Skills!N6</f>
        <v/>
      </c>
      <c r="G204">
        <f>Calc!G6</f>
        <v/>
      </c>
      <c r="H204">
        <f>Calc!H6</f>
        <v/>
      </c>
      <c r="I204">
        <f>IF(Skills!T6&lt;&gt;"",1+(Skills!T6/10)*($Z$3/1000)/100,1)</f>
        <v/>
      </c>
      <c r="J204">
        <f>(Inputs!$B$7*(1+Inputs!$B$8/100))*(F204/100)</f>
        <v/>
      </c>
      <c r="K204">
        <f>J204*(1+(((Inputs!$B$14+IF(Inputs!$B$3&gt;=35,0.10*(Inputs!$B$9*(1+Inputs!$B$10/100)),0))*(1+Inputs!$B$15/100))*0.01+Inputs!$B$16*0.0025)/100)*(1+((Inputs!$B$17+1)+B229)/100)*(1+IF(Inputs!$B$40="pvp",0,(1-Summary!$B$48)*(Inputs!$B$22+Skills!O6+B227)+Summary!$B$48*(Inputs!$B$23+Skills!P6+B228))/100)*(1+Inputs!$B$18/100)*(5000/(6000+Inputs!$B$42*(1-Inputs!$B$21/100)))*(1+Inputs!$B$26/100)*(1+IF(C215=TRUE,F215,0)/100)*(1+IF(C217=TRUE,F217,0)/100)*(1+IF(Skills!A6="TRIUMPH_FEATHER",IF(C213=TRUE,F213,0),0)/100)*(1+IF(C224=TRUE,F224,0)/100)^5*(1+(IF(Skills!A6="BIG_BANG",Inputs!$B$19,Inputs!$B$20))/100)*(B226*I204)</f>
        <v/>
      </c>
      <c r="L204">
        <f>K204*(MIN(Inputs!$B$24+(F219-Calc!F21),Inputs!$B$25)/100+Inputs!$B$25/100)/2</f>
        <v/>
      </c>
      <c r="M204">
        <f>L204*(1+(Inputs!$B$12+B230+(F222-Calc!F24))/100)</f>
        <v/>
      </c>
      <c r="N204">
        <f>L204*(1-MIN(Inputs!$B$11+((F221-Calc!F23)+(F220-Calc!F22)),100)/100)+M204*(MIN(Inputs!$B$11+((F221-Calc!F23)+(F220-Calc!F22)),100)/100)</f>
        <v/>
      </c>
      <c r="O204">
        <f>IF(C204,H204*N204*IF(AND(Inputs!$B$40&lt;&gt;"pvp",Inputs!$B$43&gt;0),((Skills!F6*((R204-1)*IF(Skills!G6&gt;0,Skills!H6/Skills!G6,1)+IF(Skills!G6&gt;0,MIN(Skills!H6,MAX(0,Inputs!$B$43-((R204-1)*IF(Inputs!$B$40="pvp",15,MAX(0.1,Skills!D6-IF(Skills!E6=TRUE,Inputs!$B$34,0))))))/Skills!G6,1)))/Inputs!$B$43),G204*Q204)*IF(Inputs!$B$40="pvp",1,(1-Summary!$B$48)*(1)+Summary!$B$48*(MIN(Skills!Q6,Inputs!$B$39))),0)</f>
        <v/>
      </c>
      <c r="P204">
        <f>IF(B236=0,0,O204/B236)</f>
        <v/>
      </c>
      <c r="Q204">
        <f>IFERROR(1/IF(Inputs!$B$40="pvp",15,MAX(0.1,Skills!D6-IF(Skills!E6=TRUE,Inputs!$B$34,0))),0)</f>
        <v/>
      </c>
      <c r="R204">
        <f>IF(AND(Inputs!$B$40&lt;&gt;"pvp",Inputs!$B$43&gt;0),(INT(Inputs!$B$43/IF(Inputs!$B$40="pvp",15,MAX(0.1,Skills!D6-IF(Skills!E6=TRUE,Inputs!$B$34,0))))+1),0)</f>
        <v/>
      </c>
    </row>
    <row r="205">
      <c r="A205">
        <f>Skills!A7</f>
        <v/>
      </c>
      <c r="B205">
        <f>Skills!B7</f>
        <v/>
      </c>
      <c r="C205">
        <f>Inputs!$B$3&gt;=122</f>
        <v/>
      </c>
      <c r="D205">
        <f>IF(Skills!C7=1,60+Inputs!$B$27+Inputs!$B$31,IF(Skills!C7=2,90+Inputs!$B$28+Inputs!$B$31,IF(Skills!C7=3,120+Inputs!$B$29+Inputs!$B$31,MAX(0,(Inputs!$B$3-100)*3)+Inputs!$B$30+Inputs!$B$31)))</f>
        <v/>
      </c>
      <c r="E205">
        <f>INDEX(FactorTable!$B$2:$Y$301, MATCH(ROUND(MIN(300,MAX(1,D205)),0), FactorTable!$A$2:$A$301,0), Skills!L7+1)</f>
        <v/>
      </c>
      <c r="F205">
        <f>IF(Skills!M7=TRUE,(Skills!K7/10)*(E205/1000),Skills!K7/10)+Skills!N7</f>
        <v/>
      </c>
      <c r="G205">
        <f>Calc!G7</f>
        <v/>
      </c>
      <c r="H205">
        <f>Calc!H7</f>
        <v/>
      </c>
      <c r="I205">
        <f>IF(Skills!T7&lt;&gt;"",1+(Skills!T7/10)*($Z$3/1000)/100,1)</f>
        <v/>
      </c>
      <c r="J205">
        <f>(Inputs!$B$7*(1+Inputs!$B$8/100))*(F205/100)</f>
        <v/>
      </c>
      <c r="K205">
        <f>J205*(1+(((Inputs!$B$14+IF(Inputs!$B$3&gt;=35,0.10*(Inputs!$B$9*(1+Inputs!$B$10/100)),0))*(1+Inputs!$B$15/100))*0.01+Inputs!$B$16*0.0025)/100)*(1+((Inputs!$B$17+1)+B229)/100)*(1+IF(Inputs!$B$40="pvp",0,(1-Summary!$B$48)*(Inputs!$B$22+Skills!O7+B227)+Summary!$B$48*(Inputs!$B$23+Skills!P7+B228))/100)*(1+Inputs!$B$18/100)*(5000/(6000+Inputs!$B$42*(1-Inputs!$B$21/100)))*(1+Inputs!$B$26/100)*(1+IF(C215=TRUE,F215,0)/100)*(1+IF(C217=TRUE,F217,0)/100)*(1+IF(Skills!A7="TRIUMPH_FEATHER",IF(C213=TRUE,F213,0),0)/100)*(1+IF(C224=TRUE,F224,0)/100)^5*(1+(IF(Skills!A7="BIG_BANG",Inputs!$B$19,Inputs!$B$20))/100)*(B226*I205)</f>
        <v/>
      </c>
      <c r="L205">
        <f>K205*(MIN(Inputs!$B$24+(F219-Calc!F21),Inputs!$B$25)/100+Inputs!$B$25/100)/2</f>
        <v/>
      </c>
      <c r="M205">
        <f>L205*(1+(Inputs!$B$12+B230+(F222-Calc!F24))/100)</f>
        <v/>
      </c>
      <c r="N205">
        <f>L205*(1-MIN(Inputs!$B$11+((F221-Calc!F23)+(F220-Calc!F22)),100)/100)+M205*(MIN(Inputs!$B$11+((F221-Calc!F23)+(F220-Calc!F22)),100)/100)</f>
        <v/>
      </c>
      <c r="O205">
        <f>IF(C205,H205*N205*IF(AND(Inputs!$B$40&lt;&gt;"pvp",Inputs!$B$43&gt;0),((Skills!F7*((R205-1)*IF(Skills!G7&gt;0,Skills!H7/Skills!G7,1)+IF(Skills!G7&gt;0,MIN(Skills!H7,MAX(0,Inputs!$B$43-((R205-1)*IF(Inputs!$B$40="pvp",15,MAX(0.1,Skills!D7-IF(Skills!E6=TRUE,Inputs!$B$34,0))))))/Skills!G7,1)))/Inputs!$B$43),G205*Q205)*(1-Summary!$B$48),0)</f>
        <v/>
      </c>
      <c r="P205">
        <f>IF(B236=0,0,O205/B236)</f>
        <v/>
      </c>
      <c r="Q205">
        <f>IFERROR(1/IF(Inputs!$B$40="pvp",15,MAX(0.1,Skills!D7-IF(Skills!E6=TRUE,Inputs!$B$34,0))),0)</f>
        <v/>
      </c>
      <c r="R205">
        <f>IF(AND(Inputs!$B$40&lt;&gt;"pvp",Inputs!$B$43&gt;0),(INT(Inputs!$B$43/IF(Inputs!$B$40="pvp",15,MAX(0.1,Skills!D7-IF(Skills!E6=TRUE,Inputs!$B$34,0))))+1),0)</f>
        <v/>
      </c>
    </row>
    <row r="206">
      <c r="A206">
        <f>Skills!A8</f>
        <v/>
      </c>
      <c r="B206">
        <f>Skills!B8</f>
        <v/>
      </c>
      <c r="C206">
        <f>Inputs!$B$3&gt;=105</f>
        <v/>
      </c>
      <c r="D206">
        <f>IF(Skills!C8=1,60+Inputs!$B$27+Inputs!$B$31,IF(Skills!C8=2,90+Inputs!$B$28+Inputs!$B$31,IF(Skills!C8=3,120+Inputs!$B$29+Inputs!$B$31,MAX(0,(Inputs!$B$3-100)*3)+Inputs!$B$30+Inputs!$B$31)))</f>
        <v/>
      </c>
      <c r="E206">
        <f>INDEX(FactorTable!$B$2:$Y$301, MATCH(ROUND(MIN(300,MAX(1,D206)),0), FactorTable!$A$2:$A$301,0), Skills!L8+1)</f>
        <v/>
      </c>
      <c r="F206">
        <f>IF(Skills!M8=TRUE,(Skills!K8/10)*(E206/1000),Skills!K8/10)+Skills!N8</f>
        <v/>
      </c>
      <c r="G206">
        <f>Calc!G8</f>
        <v/>
      </c>
      <c r="H206">
        <f>Calc!H8</f>
        <v/>
      </c>
      <c r="I206">
        <f>IF(Skills!T8&lt;&gt;"",1+(Skills!T8/10)*($Z$3/1000)/100,1)</f>
        <v/>
      </c>
      <c r="J206">
        <f>(Inputs!$B$7*(1+Inputs!$B$8/100))*(F206/100)</f>
        <v/>
      </c>
      <c r="K206">
        <f>J206*(1+(((Inputs!$B$14+IF(Inputs!$B$3&gt;=35,0.10*(Inputs!$B$9*(1+Inputs!$B$10/100)),0))*(1+Inputs!$B$15/100))*0.01+Inputs!$B$16*0.0025)/100)*(1+((Inputs!$B$17+1)+B229)/100)*(1+IF(Inputs!$B$40="pvp",0,(1-Summary!$B$48)*(Inputs!$B$22+Skills!O8+B227)+Summary!$B$48*(Inputs!$B$23+Skills!P8+B228))/100)*(1+Inputs!$B$18/100)*(5000/(6000+Inputs!$B$42*(1-Inputs!$B$21/100)))*(1+Inputs!$B$26/100)*(1+IF(C215=TRUE,F215,0)/100)*(1+IF(C217=TRUE,F217,0)/100)*(1+IF(Skills!A8="TRIUMPH_FEATHER",IF(C213=TRUE,F213,0),0)/100)*(1+IF(C224=TRUE,F224,0)/100)^5*(1+(IF(Skills!A8="BIG_BANG",Inputs!$B$19,Inputs!$B$20))/100)*(B226*I206)</f>
        <v/>
      </c>
      <c r="L206">
        <f>K206*(MIN(Inputs!$B$24+(F219-Calc!F21),Inputs!$B$25)/100+Inputs!$B$25/100)/2</f>
        <v/>
      </c>
      <c r="M206">
        <f>L206*(1+(Inputs!$B$12+B230+(F222-Calc!F24))/100)</f>
        <v/>
      </c>
      <c r="N206">
        <f>L206*(1-MIN(Inputs!$B$11+((F221-Calc!F23)+(F220-Calc!F22)),100)/100)+M206*(MIN(Inputs!$B$11+((F221-Calc!F23)+(F220-Calc!F22)),100)/100)</f>
        <v/>
      </c>
      <c r="O206">
        <f>IF(C206,H206*N206*IF(AND(Inputs!$B$40&lt;&gt;"pvp",Inputs!$B$43&gt;0),((Skills!F8*((R206-1)*IF(Skills!G8&gt;0,Skills!H8/Skills!G8,1)+IF(Skills!G8&gt;0,MIN(Skills!H8,MAX(0,Inputs!$B$43-((R206-1)*IF(Inputs!$B$40="pvp",15,MAX(0.1,Skills!D8-IF(Skills!E8=TRUE,Inputs!$B$34,0))))))/Skills!G8,1)))/Inputs!$B$43),G206*Q206)*IF(Inputs!$B$40="pvp",1,(1-Summary!$B$48)*(1)+Summary!$B$48*(MIN(Skills!Q8,Inputs!$B$39))),0)</f>
        <v/>
      </c>
      <c r="P206">
        <f>IF(B236=0,0,O206/B236)</f>
        <v/>
      </c>
      <c r="Q206">
        <f>IFERROR(1/IF(Inputs!$B$40="pvp",15,MAX(0.1,Skills!D8-IF(Skills!E8=TRUE,Inputs!$B$34,0))),0)</f>
        <v/>
      </c>
      <c r="R206">
        <f>IF(AND(Inputs!$B$40&lt;&gt;"pvp",Inputs!$B$43&gt;0),(INT(Inputs!$B$43/IF(Inputs!$B$40="pvp",15,MAX(0.1,Skills!D8-IF(Skills!E8=TRUE,Inputs!$B$34,0))))+1),0)</f>
        <v/>
      </c>
    </row>
    <row r="207">
      <c r="A207">
        <f>Skills!A9</f>
        <v/>
      </c>
      <c r="B207">
        <f>Skills!B9</f>
        <v/>
      </c>
      <c r="C207">
        <f>Inputs!$B$3&gt;=115</f>
        <v/>
      </c>
      <c r="D207">
        <f>IF(Skills!C9=1,60+Inputs!$B$27+Inputs!$B$31,IF(Skills!C9=2,90+Inputs!$B$28+Inputs!$B$31,IF(Skills!C9=3,120+Inputs!$B$29+Inputs!$B$31,MAX(0,(Inputs!$B$3-100)*3)+Inputs!$B$30+Inputs!$B$31)))</f>
        <v/>
      </c>
      <c r="E207">
        <f>INDEX(FactorTable!$B$2:$Y$301, MATCH(ROUND(MIN(300,MAX(1,D207)),0), FactorTable!$A$2:$A$301,0), Skills!L9+1)</f>
        <v/>
      </c>
      <c r="F207">
        <f>IF(Skills!M9=TRUE,(Skills!K9/10)*(E207/1000),Skills!K9/10)+Skills!N9</f>
        <v/>
      </c>
      <c r="G207">
        <f>Calc!G9</f>
        <v/>
      </c>
      <c r="H207">
        <f>Calc!H9</f>
        <v/>
      </c>
      <c r="I207">
        <f>IF(Skills!T9&lt;&gt;"",1+(Skills!T9/10)*($Z$3/1000)/100,1)</f>
        <v/>
      </c>
      <c r="J207">
        <f>(Inputs!$B$7*(1+Inputs!$B$8/100))*(F207/100)</f>
        <v/>
      </c>
      <c r="K207">
        <f>J207*(1+(((Inputs!$B$14+IF(Inputs!$B$3&gt;=35,0.10*(Inputs!$B$9*(1+Inputs!$B$10/100)),0))*(1+Inputs!$B$15/100))*0.01+Inputs!$B$16*0.0025)/100)*(1+((Inputs!$B$17+1)+B229)/100)*(1+IF(Inputs!$B$40="pvp",0,(1-Summary!$B$48)*(Inputs!$B$22+Skills!O9+B227)+Summary!$B$48*(Inputs!$B$23+Skills!P9+B228))/100)*(1+Inputs!$B$18/100)*(5000/(6000+Inputs!$B$42*(1-Inputs!$B$21/100)))*(1+Inputs!$B$26/100)*(1+IF(C215=TRUE,F215,0)/100)*(1+IF(C217=TRUE,F217,0)/100)*(1+IF(Skills!A9="TRIUMPH_FEATHER",IF(C213=TRUE,F213,0),0)/100)*(1+IF(C224=TRUE,F224,0)/100)^5*(1+(IF(Skills!A9="BIG_BANG",Inputs!$B$19,Inputs!$B$20))/100)*(B226*I207)</f>
        <v/>
      </c>
      <c r="L207">
        <f>K207*(MIN(Inputs!$B$24+(F219-Calc!F21),Inputs!$B$25)/100+Inputs!$B$25/100)/2</f>
        <v/>
      </c>
      <c r="M207">
        <f>L207*(1+(Inputs!$B$12+B230+(F222-Calc!F24))/100)</f>
        <v/>
      </c>
      <c r="N207">
        <f>L207*(1-MIN(Inputs!$B$11+((F221-Calc!F23)+(F220-Calc!F22)),100)/100)+M207*(MIN(Inputs!$B$11+((F221-Calc!F23)+(F220-Calc!F22)),100)/100)</f>
        <v/>
      </c>
      <c r="O207">
        <f>IF(C207,H207*N207*IF(AND(Inputs!$B$40&lt;&gt;"pvp",Inputs!$B$43&gt;0),((Skills!F9*((R207-1)*IF(Skills!G9&gt;0,Skills!H9/Skills!G9,1)+IF(Skills!G9&gt;0,MIN(Skills!H9,MAX(0,Inputs!$B$43-((R207-1)*IF(Inputs!$B$40="pvp",15,MAX(0.1,Skills!D9-IF(Skills!E9=TRUE,Inputs!$B$34,0))))))/Skills!G9,1)))/Inputs!$B$43),G207*Q207)*IF(Inputs!$B$40="pvp",1,(1-Summary!$B$48)*(1)+Summary!$B$48*(MIN(Skills!Q9,Inputs!$B$39))),0)</f>
        <v/>
      </c>
      <c r="P207">
        <f>IF(B236=0,0,O207/B236)</f>
        <v/>
      </c>
      <c r="Q207">
        <f>IFERROR(1/IF(Inputs!$B$40="pvp",15,MAX(0.1,Skills!D9-IF(Skills!E9=TRUE,Inputs!$B$34,0))),0)</f>
        <v/>
      </c>
      <c r="R207">
        <f>IF(AND(Inputs!$B$40&lt;&gt;"pvp",Inputs!$B$43&gt;0),(INT(Inputs!$B$43/IF(Inputs!$B$40="pvp",15,MAX(0.1,Skills!D9-IF(Skills!E9=TRUE,Inputs!$B$34,0))))+1),0)</f>
        <v/>
      </c>
    </row>
    <row r="208">
      <c r="A208">
        <f>Skills!A10</f>
        <v/>
      </c>
      <c r="B208">
        <f>Skills!B10</f>
        <v/>
      </c>
      <c r="C208">
        <f>Inputs!$B$3&gt;=66</f>
        <v/>
      </c>
      <c r="D208">
        <f>IF(Skills!C10=1,60+Inputs!$B$27+Inputs!$B$31,IF(Skills!C10=2,90+Inputs!$B$28+Inputs!$B$31,IF(Skills!C10=3,120+Inputs!$B$29+Inputs!$B$31,MAX(0,(Inputs!$B$3-100)*3)+Inputs!$B$30+Inputs!$B$31)))</f>
        <v/>
      </c>
      <c r="E208">
        <f>INDEX(FactorTable!$B$2:$Y$301, MATCH(ROUND(MIN(300,MAX(1,D208)),0), FactorTable!$A$2:$A$301,0), Skills!L10+1)</f>
        <v/>
      </c>
      <c r="F208" t="n">
        <v>0</v>
      </c>
      <c r="G208">
        <f>Calc!G10</f>
        <v/>
      </c>
      <c r="H208">
        <f>Calc!H10</f>
        <v/>
      </c>
      <c r="I208">
        <f>IF(Skills!T10&lt;&gt;"",1+(Skills!T10/10)*($Z$3/1000)/100,1)</f>
        <v/>
      </c>
      <c r="J208" t="inlineStr"/>
      <c r="K208" t="inlineStr"/>
      <c r="L208" t="inlineStr"/>
      <c r="M208" t="inlineStr"/>
      <c r="N208" t="inlineStr"/>
      <c r="O208" t="n">
        <v>0</v>
      </c>
      <c r="P208">
        <f>IF(B236=0,0,O208/B236)</f>
        <v/>
      </c>
      <c r="Q208">
        <f>IFERROR(1/IF(Inputs!$B$40="pvp",15,MAX(0.1,Skills!D10-IF(Skills!E10=TRUE,Inputs!$B$34,0))),0)</f>
        <v/>
      </c>
      <c r="R208">
        <f>IF(AND(Inputs!$B$40&lt;&gt;"pvp",Inputs!$B$43&gt;0),(INT(Inputs!$B$43/IF(Inputs!$B$40="pvp",15,MAX(0.1,Skills!D10-IF(Skills!E10=TRUE,Inputs!$B$34,0))))+1),0)</f>
        <v/>
      </c>
    </row>
    <row r="209">
      <c r="A209">
        <f>Skills!A11</f>
        <v/>
      </c>
      <c r="B209">
        <f>Skills!B11</f>
        <v/>
      </c>
      <c r="C209">
        <f>Inputs!$B$3&gt;=69</f>
        <v/>
      </c>
      <c r="D209">
        <f>IF(Skills!C11=1,60+Inputs!$B$27+Inputs!$B$31,IF(Skills!C11=2,90+Inputs!$B$28+Inputs!$B$31,IF(Skills!C11=3,120+Inputs!$B$29+Inputs!$B$31,MAX(0,(Inputs!$B$3-100)*3)+Inputs!$B$30+Inputs!$B$31)))</f>
        <v/>
      </c>
      <c r="E209">
        <f>INDEX(FactorTable!$B$2:$Y$301, MATCH(ROUND(MIN(300,MAX(1,D209)),0), FactorTable!$A$2:$A$301,0), Skills!L11+1)</f>
        <v/>
      </c>
      <c r="F209">
        <f>IF(Skills!M11=TRUE,(Skills!K11/10)*(E209/1000),Skills!K11/10)+Skills!N11</f>
        <v/>
      </c>
      <c r="G209">
        <f>Calc!G11</f>
        <v/>
      </c>
      <c r="H209">
        <f>Calc!H11</f>
        <v/>
      </c>
      <c r="I209">
        <f>IF(Skills!T11&lt;&gt;"",1+(Skills!T11/10)*($Z$3/1000)/100,1)</f>
        <v/>
      </c>
      <c r="J209" t="inlineStr"/>
      <c r="K209" t="inlineStr"/>
      <c r="L209" t="inlineStr"/>
      <c r="M209" t="inlineStr"/>
      <c r="N209" t="inlineStr"/>
      <c r="O209" t="n">
        <v>0</v>
      </c>
      <c r="P209">
        <f>IF(B236=0,0,O209/B236)</f>
        <v/>
      </c>
      <c r="Q209">
        <f>IFERROR(1/IF(Inputs!$B$40="pvp",15,MAX(0.1,Skills!D11-IF(Skills!E11=TRUE,Inputs!$B$34,0))),0)</f>
        <v/>
      </c>
      <c r="R209">
        <f>IF(AND(Inputs!$B$40&lt;&gt;"pvp",Inputs!$B$43&gt;0),(INT(Inputs!$B$43/IF(Inputs!$B$40="pvp",15,MAX(0.1,Skills!D11-IF(Skills!E11=TRUE,Inputs!$B$34,0))))+1),0)</f>
        <v/>
      </c>
    </row>
    <row r="210">
      <c r="A210">
        <f>Skills!A12</f>
        <v/>
      </c>
      <c r="B210">
        <f>Skills!B12</f>
        <v/>
      </c>
      <c r="C210">
        <f>Inputs!$B$3&gt;=72</f>
        <v/>
      </c>
      <c r="D210">
        <f>IF(Skills!C12=1,60+Inputs!$B$27+Inputs!$B$31,IF(Skills!C12=2,90+Inputs!$B$28+Inputs!$B$31,IF(Skills!C12=3,120+Inputs!$B$29+Inputs!$B$31,MAX(0,(Inputs!$B$3-100)*3)+Inputs!$B$30+Inputs!$B$31)))</f>
        <v/>
      </c>
      <c r="E210">
        <f>INDEX(FactorTable!$B$2:$Y$301, MATCH(ROUND(MIN(300,MAX(1,D210)),0), FactorTable!$A$2:$A$301,0), Skills!L12+1)</f>
        <v/>
      </c>
      <c r="F210">
        <f>IF(Skills!M12=TRUE,(Skills!K12/10)*(E210/1000),Skills!K12/10)+Skills!N12</f>
        <v/>
      </c>
      <c r="G210">
        <f>Calc!G12</f>
        <v/>
      </c>
      <c r="H210">
        <f>Calc!H12</f>
        <v/>
      </c>
      <c r="I210">
        <f>IF(Skills!T12&lt;&gt;"",1+(Skills!T12/10)*($Z$3/1000)/100,1)</f>
        <v/>
      </c>
      <c r="J210" t="inlineStr"/>
      <c r="K210" t="inlineStr"/>
      <c r="L210" t="inlineStr"/>
      <c r="M210" t="inlineStr"/>
      <c r="N210" t="inlineStr"/>
      <c r="O210" t="n">
        <v>0</v>
      </c>
      <c r="P210">
        <f>IF(B236=0,0,O210/B236)</f>
        <v/>
      </c>
      <c r="Q210">
        <f>IFERROR(1/IF(Inputs!$B$40="pvp",15,MAX(0.1,Skills!D12-IF(Skills!E12=TRUE,Inputs!$B$34,0))),0)</f>
        <v/>
      </c>
      <c r="R210">
        <f>IF(AND(Inputs!$B$40&lt;&gt;"pvp",Inputs!$B$43&gt;0),(INT(Inputs!$B$43/IF(Inputs!$B$40="pvp",15,MAX(0.1,Skills!D12-IF(Skills!E12=TRUE,Inputs!$B$34,0))))+1),0)</f>
        <v/>
      </c>
    </row>
    <row r="211">
      <c r="A211">
        <f>Skills!A13</f>
        <v/>
      </c>
      <c r="B211">
        <f>Skills!B13</f>
        <v/>
      </c>
      <c r="C211">
        <f>Inputs!$B$3&gt;=107</f>
        <v/>
      </c>
      <c r="D211">
        <f>IF(Skills!C13=1,60+Inputs!$B$27+Inputs!$B$31,IF(Skills!C13=2,90+Inputs!$B$28+Inputs!$B$31,IF(Skills!C13=3,120+Inputs!$B$29+Inputs!$B$31,MAX(0,(Inputs!$B$3-100)*3)+Inputs!$B$30+Inputs!$B$31)))</f>
        <v/>
      </c>
      <c r="E211">
        <f>INDEX(FactorTable!$B$2:$Y$301, MATCH(ROUND(MIN(300,MAX(1,D211)),0), FactorTable!$A$2:$A$301,0), Skills!L13+1)</f>
        <v/>
      </c>
      <c r="F211">
        <f>IF(Skills!M13=TRUE,(Skills!K13/10)*(E211/1000),Skills!K13/10)+Skills!N13</f>
        <v/>
      </c>
      <c r="G211">
        <f>Calc!G13</f>
        <v/>
      </c>
      <c r="H211">
        <f>Calc!H13</f>
        <v/>
      </c>
      <c r="I211">
        <f>IF(Skills!T13&lt;&gt;"",1+(Skills!T13/10)*($Z$3/1000)/100,1)</f>
        <v/>
      </c>
      <c r="J211" t="inlineStr"/>
      <c r="K211" t="inlineStr"/>
      <c r="L211" t="inlineStr"/>
      <c r="M211" t="inlineStr"/>
      <c r="N211" t="inlineStr"/>
      <c r="O211" t="n">
        <v>0</v>
      </c>
      <c r="P211">
        <f>IF(B236=0,0,O211/B236)</f>
        <v/>
      </c>
      <c r="Q211">
        <f>IFERROR(1/IF(Inputs!$B$40="pvp",15,MAX(0.1,Skills!D13-IF(Skills!E13=TRUE,Inputs!$B$34,0))),0)</f>
        <v/>
      </c>
      <c r="R211">
        <f>IF(AND(Inputs!$B$40&lt;&gt;"pvp",Inputs!$B$43&gt;0),(INT(Inputs!$B$43/IF(Inputs!$B$40="pvp",15,MAX(0.1,Skills!D13-IF(Skills!E13=TRUE,Inputs!$B$34,0))))+1),0)</f>
        <v/>
      </c>
    </row>
    <row r="212">
      <c r="A212">
        <f>Skills!A14</f>
        <v/>
      </c>
      <c r="B212">
        <f>Skills!B14</f>
        <v/>
      </c>
      <c r="C212">
        <f>Inputs!$B$3&gt;=63</f>
        <v/>
      </c>
      <c r="D212">
        <f>IF(Skills!C14=1,60+Inputs!$B$27+Inputs!$B$31,IF(Skills!C14=2,90+Inputs!$B$28+Inputs!$B$31,IF(Skills!C14=3,120+Inputs!$B$29+Inputs!$B$31,MAX(0,(Inputs!$B$3-100)*3)+Inputs!$B$30+Inputs!$B$31)))</f>
        <v/>
      </c>
      <c r="E212">
        <f>INDEX(FactorTable!$B$2:$Y$301, MATCH(ROUND(MIN(300,MAX(1,D212)),0), FactorTable!$A$2:$A$301,0), Skills!L14+1)</f>
        <v/>
      </c>
      <c r="F212">
        <f>IF(Skills!M14=TRUE,(Skills!K14/10)*(E212/1000),Skills!K14/10)+Skills!N14</f>
        <v/>
      </c>
      <c r="G212">
        <f>Calc!G14</f>
        <v/>
      </c>
      <c r="H212">
        <f>Calc!H14</f>
        <v/>
      </c>
      <c r="I212">
        <f>IF(Skills!T14&lt;&gt;"",1+(Skills!T14/10)*($Z$3/1000)/100,1)</f>
        <v/>
      </c>
      <c r="J212">
        <f>(Inputs!$B$7*(1+Inputs!$B$8/100))*(F212/100)</f>
        <v/>
      </c>
      <c r="K212">
        <f>J212*(1+(((Inputs!$B$14+IF(Inputs!$B$3&gt;=35,0.10*(Inputs!$B$9*(1+Inputs!$B$10/100)),0))*(1+Inputs!$B$15/100))*0.01+Inputs!$B$16*0.0025)/100)*(1+((Inputs!$B$17+1)+B229)/100)*(1+IF(Inputs!$B$40="pvp",0,(1-Summary!$B$48)*(Inputs!$B$22+Skills!O14+B227)+Summary!$B$48*(Inputs!$B$23+Skills!P14+B228))/100)*(1+Inputs!$B$18/100)*(5000/(6000+Inputs!$B$42*(1-Inputs!$B$21/100)))*(1+Inputs!$B$26/100)*(1+IF(C215=TRUE,F215,0)/100)*(1+IF(C217=TRUE,F217,0)/100)*(1+IF(Skills!A14="TRIUMPH_FEATHER",IF(C213=TRUE,F213,0),0)/100)*(1+IF(C224=TRUE,F224,0)/100)^5*(1+(IF(Skills!A14="BIG_BANG",Inputs!$B$19,Inputs!$B$20))/100)*(B226*I212)</f>
        <v/>
      </c>
      <c r="L212">
        <f>K212*(MIN(Inputs!$B$24+(F219-Calc!F21),Inputs!$B$25)/100+Inputs!$B$25/100)/2</f>
        <v/>
      </c>
      <c r="M212">
        <f>L212*(1+(Inputs!$B$12+B230+(F222-Calc!F24))/100)</f>
        <v/>
      </c>
      <c r="N212">
        <f>L212*(1-MIN(Inputs!$B$11+((F221-Calc!F23)+(F220-Calc!F22)),100)/100)+M212*(MIN(Inputs!$B$11+((F221-Calc!F23)+(F220-Calc!F22)),100)/100)</f>
        <v/>
      </c>
      <c r="O212">
        <f>IF(C212,Skills!F14*N212*((IF(Inputs!$B$3&gt;=78,25,15)/100*B232*10)/(1+IF(Inputs!$B$3&gt;=78,25,15)/100*B232*10))*(Skills!I14/100*B232)/(1+Skills!G14*Skills!I14/100*B232)*IF(Inputs!$B$40="pvp",1,(1-Summary!$B$48)*(1)+Summary!$B$48*(MIN(Skills!Q14,Inputs!$B$39))),0)</f>
        <v/>
      </c>
      <c r="P212">
        <f>IF(B236=0,0,O212/B236)</f>
        <v/>
      </c>
      <c r="Q212">
        <f>IFERROR(1/IF(Inputs!$B$40="pvp",15,MAX(0.1,Skills!D14-IF(Skills!E14=TRUE,Inputs!$B$34,0))),0)</f>
        <v/>
      </c>
      <c r="R212" t="n">
        <v>0</v>
      </c>
    </row>
    <row r="213">
      <c r="A213">
        <f>Skills!A15</f>
        <v/>
      </c>
      <c r="B213">
        <f>Skills!B15</f>
        <v/>
      </c>
      <c r="C213">
        <f>Inputs!$B$3&gt;=100</f>
        <v/>
      </c>
      <c r="D213">
        <f>IF(Skills!C15=1,60+Inputs!$B$27+Inputs!$B$31,IF(Skills!C15=2,90+Inputs!$B$28+Inputs!$B$31,IF(Skills!C15=3,120+Inputs!$B$29+Inputs!$B$31,MAX(0,(Inputs!$B$3-100)*3)+Inputs!$B$30+Inputs!$B$31)))</f>
        <v/>
      </c>
      <c r="E213">
        <f>INDEX(FactorTable!$B$2:$Y$301, MATCH(ROUND(MIN(300,MAX(1,D213)),0), FactorTable!$A$2:$A$301,0), Skills!L15+1)</f>
        <v/>
      </c>
      <c r="F213">
        <f>IF(Skills!M15=TRUE,(Skills!K15/10)*(E213/1000),Skills!K15/10)+Skills!N15</f>
        <v/>
      </c>
      <c r="G213">
        <f>Calc!G15</f>
        <v/>
      </c>
      <c r="H213">
        <f>Calc!H15</f>
        <v/>
      </c>
      <c r="I213">
        <f>IF(Skills!T15&lt;&gt;"",1+(Skills!T15/10)*($Z$3/1000)/100,1)</f>
        <v/>
      </c>
      <c r="J213" t="inlineStr"/>
      <c r="K213" t="inlineStr"/>
      <c r="L213" t="inlineStr"/>
      <c r="M213" t="inlineStr"/>
      <c r="N213" t="inlineStr"/>
      <c r="O213" t="n">
        <v>0</v>
      </c>
      <c r="P213">
        <f>IF(B236=0,0,O213/B236)</f>
        <v/>
      </c>
      <c r="Q213">
        <f>IFERROR(1/IF(Inputs!$B$40="pvp",15,MAX(0.1,Skills!D15-IF(Skills!E15=TRUE,Inputs!$B$34,0))),0)</f>
        <v/>
      </c>
      <c r="R213" t="n">
        <v>0</v>
      </c>
    </row>
    <row r="214">
      <c r="A214">
        <f>Skills!A16</f>
        <v/>
      </c>
      <c r="B214">
        <f>Skills!B16</f>
        <v/>
      </c>
      <c r="C214">
        <f>Inputs!$B$3&gt;=49</f>
        <v/>
      </c>
      <c r="D214">
        <f>IF(Skills!C16=1,60+Inputs!$B$27+Inputs!$B$31,IF(Skills!C16=2,90+Inputs!$B$28+Inputs!$B$31,IF(Skills!C16=3,120+Inputs!$B$29+Inputs!$B$31,MAX(0,(Inputs!$B$3-100)*3)+Inputs!$B$30+Inputs!$B$31)))</f>
        <v/>
      </c>
      <c r="E214">
        <f>INDEX(FactorTable!$B$2:$Y$301, MATCH(ROUND(MIN(300,MAX(1,D214)),0), FactorTable!$A$2:$A$301,0), Skills!L16+1)</f>
        <v/>
      </c>
      <c r="F214">
        <f>IF(Skills!M16=TRUE,(Skills!K16/10)*(E214/1000),Skills!K16/10)+Skills!N16</f>
        <v/>
      </c>
      <c r="G214">
        <f>Calc!G16</f>
        <v/>
      </c>
      <c r="H214">
        <f>Calc!H16</f>
        <v/>
      </c>
      <c r="I214">
        <f>IF(Skills!T16&lt;&gt;"",1+(Skills!T16/10)*($Z$3/1000)/100,1)</f>
        <v/>
      </c>
      <c r="J214" t="inlineStr"/>
      <c r="K214" t="inlineStr"/>
      <c r="L214" t="inlineStr"/>
      <c r="M214" t="inlineStr"/>
      <c r="N214" t="inlineStr"/>
      <c r="O214" t="n">
        <v>0</v>
      </c>
      <c r="P214">
        <f>IF(B236=0,0,O214/B236)</f>
        <v/>
      </c>
      <c r="Q214">
        <f>IFERROR(1/IF(Inputs!$B$40="pvp",15,MAX(0.1,Skills!D16-IF(Skills!E16=TRUE,Inputs!$B$34,0))),0)</f>
        <v/>
      </c>
      <c r="R214" t="n">
        <v>0</v>
      </c>
    </row>
    <row r="215">
      <c r="A215">
        <f>Skills!A17</f>
        <v/>
      </c>
      <c r="B215">
        <f>Skills!B17</f>
        <v/>
      </c>
      <c r="C215">
        <f>Inputs!$B$3&gt;=75</f>
        <v/>
      </c>
      <c r="D215">
        <f>IF(Skills!C17=1,60+Inputs!$B$27+Inputs!$B$31,IF(Skills!C17=2,90+Inputs!$B$28+Inputs!$B$31,IF(Skills!C17=3,120+Inputs!$B$29+Inputs!$B$31,MAX(0,(Inputs!$B$3-100)*3)+Inputs!$B$30+Inputs!$B$31)))</f>
        <v/>
      </c>
      <c r="E215">
        <f>INDEX(FactorTable!$B$2:$Y$301, MATCH(ROUND(MIN(300,MAX(1,D215)),0), FactorTable!$A$2:$A$301,0), Skills!L17+1)</f>
        <v/>
      </c>
      <c r="F215">
        <f>IF(Skills!M17=TRUE,(Skills!K17/10)*(E215/1000),Skills!K17/10)+Skills!N17</f>
        <v/>
      </c>
      <c r="G215">
        <f>Calc!G17</f>
        <v/>
      </c>
      <c r="H215">
        <f>Calc!H17</f>
        <v/>
      </c>
      <c r="I215">
        <f>IF(Skills!T17&lt;&gt;"",1+(Skills!T17/10)*($Z$3/1000)/100,1)</f>
        <v/>
      </c>
      <c r="J215" t="inlineStr"/>
      <c r="K215" t="inlineStr"/>
      <c r="L215" t="inlineStr"/>
      <c r="M215" t="inlineStr"/>
      <c r="N215" t="inlineStr"/>
      <c r="O215" t="n">
        <v>0</v>
      </c>
      <c r="P215">
        <f>IF(B236=0,0,O215/B236)</f>
        <v/>
      </c>
      <c r="Q215">
        <f>IFERROR(1/IF(Inputs!$B$40="pvp",15,MAX(0.1,Skills!D17-IF(Skills!E17=TRUE,Inputs!$B$34,0))),0)</f>
        <v/>
      </c>
      <c r="R215" t="n">
        <v>0</v>
      </c>
    </row>
    <row r="216">
      <c r="A216">
        <f>Skills!A18</f>
        <v/>
      </c>
      <c r="B216">
        <f>Skills!B18</f>
        <v/>
      </c>
      <c r="C216">
        <f>Inputs!$B$3&gt;=110</f>
        <v/>
      </c>
      <c r="D216">
        <f>IF(Skills!C18=1,60+Inputs!$B$27+Inputs!$B$31,IF(Skills!C18=2,90+Inputs!$B$28+Inputs!$B$31,IF(Skills!C18=3,120+Inputs!$B$29+Inputs!$B$31,MAX(0,(Inputs!$B$3-100)*3)+Inputs!$B$30+Inputs!$B$31)))</f>
        <v/>
      </c>
      <c r="E216">
        <f>INDEX(FactorTable!$B$2:$Y$301, MATCH(ROUND(MIN(300,MAX(1,D216)),0), FactorTable!$A$2:$A$301,0), Skills!L18+1)</f>
        <v/>
      </c>
      <c r="F216">
        <f>(Skills!K18/10)*(E216/1000)*64/45+Skills!N18</f>
        <v/>
      </c>
      <c r="G216">
        <f>Calc!G18</f>
        <v/>
      </c>
      <c r="H216">
        <f>Calc!H18</f>
        <v/>
      </c>
      <c r="I216">
        <f>IF(Skills!T18&lt;&gt;"",1+(Skills!T18/10)*($Z$3/1000)/100,1)</f>
        <v/>
      </c>
      <c r="J216" t="inlineStr"/>
      <c r="K216" t="inlineStr"/>
      <c r="L216" t="inlineStr"/>
      <c r="M216" t="inlineStr"/>
      <c r="N216" t="inlineStr"/>
      <c r="O216" t="n">
        <v>0</v>
      </c>
      <c r="P216">
        <f>IF(B236=0,0,O216/B236)</f>
        <v/>
      </c>
      <c r="Q216">
        <f>IFERROR(1/IF(Inputs!$B$40="pvp",15,MAX(0.1,Skills!D18-IF(Skills!E18=TRUE,Inputs!$B$34,0))),0)</f>
        <v/>
      </c>
      <c r="R216">
        <f>IF(AND(Inputs!$B$40&lt;&gt;"pvp",Inputs!$B$43&gt;0),(INT(Inputs!$B$43/IF(Inputs!$B$40="pvp",15,MAX(0.1,Skills!D18-IF(Skills!E18=TRUE,Inputs!$B$34,0))))+1),0)</f>
        <v/>
      </c>
    </row>
    <row r="217">
      <c r="A217">
        <f>Skills!A19</f>
        <v/>
      </c>
      <c r="B217">
        <f>Skills!B19</f>
        <v/>
      </c>
      <c r="C217">
        <f>Inputs!$B$3&gt;=125</f>
        <v/>
      </c>
      <c r="D217">
        <f>IF(Skills!C19=1,60+Inputs!$B$27+Inputs!$B$31,IF(Skills!C19=2,90+Inputs!$B$28+Inputs!$B$31,IF(Skills!C19=3,120+Inputs!$B$29+Inputs!$B$31,MAX(0,(Inputs!$B$3-100)*3)+Inputs!$B$30+Inputs!$B$31)))</f>
        <v/>
      </c>
      <c r="E217">
        <f>INDEX(FactorTable!$B$2:$Y$301, MATCH(ROUND(MIN(300,MAX(1,D217)),0), FactorTable!$A$2:$A$301,0), Skills!L19+1)</f>
        <v/>
      </c>
      <c r="F217">
        <f>IF(Skills!M19=TRUE,(Skills!K19/10)*(E217/1000),Skills!K19/10)+Skills!N19</f>
        <v/>
      </c>
      <c r="G217">
        <f>Calc!G19</f>
        <v/>
      </c>
      <c r="H217">
        <f>Calc!H19</f>
        <v/>
      </c>
      <c r="I217">
        <f>IF(Skills!T19&lt;&gt;"",1+(Skills!T19/10)*($Z$3/1000)/100,1)</f>
        <v/>
      </c>
      <c r="J217" t="inlineStr"/>
      <c r="K217" t="inlineStr"/>
      <c r="L217" t="inlineStr"/>
      <c r="M217" t="inlineStr"/>
      <c r="N217" t="inlineStr"/>
      <c r="O217" t="n">
        <v>0</v>
      </c>
      <c r="P217">
        <f>IF(B236=0,0,O217/B236)</f>
        <v/>
      </c>
      <c r="Q217">
        <f>IFERROR(1/IF(Inputs!$B$40="pvp",15,MAX(0.1,Skills!D19-IF(Skills!E19=TRUE,Inputs!$B$34,0))),0)</f>
        <v/>
      </c>
      <c r="R217" t="n">
        <v>0</v>
      </c>
    </row>
    <row r="218">
      <c r="A218">
        <f>Skills!A20</f>
        <v/>
      </c>
      <c r="B218">
        <f>Skills!B20</f>
        <v/>
      </c>
      <c r="C218">
        <f>Inputs!$B$3&gt;=33</f>
        <v/>
      </c>
      <c r="D218">
        <f>IF(Skills!C20=1,60+Inputs!$B$27+Inputs!$B$31,IF(Skills!C20=2,90+Inputs!$B$28+Inputs!$B$31,IF(Skills!C20=3,120+Inputs!$B$29+Inputs!$B$31,MAX(0,(Inputs!$B$3-100)*3)+Inputs!$B$30+Inputs!$B$31)))</f>
        <v/>
      </c>
      <c r="E218">
        <f>INDEX(FactorTable!$B$2:$Y$301, MATCH(ROUND(MIN(300,MAX(1,D218)),0), FactorTable!$A$2:$A$301,0), Skills!L20+1)</f>
        <v/>
      </c>
      <c r="F218">
        <f>IF(Skills!M20=TRUE,(Skills!K20/10)*(E218/1000),Skills!K20/10)+Skills!N20</f>
        <v/>
      </c>
      <c r="G218">
        <f>Calc!G20</f>
        <v/>
      </c>
      <c r="H218">
        <f>Calc!H20</f>
        <v/>
      </c>
      <c r="I218">
        <f>IF(Skills!T20&lt;&gt;"",1+(Skills!T20/10)*($Z$3/1000)/100,1)</f>
        <v/>
      </c>
      <c r="J218" t="inlineStr"/>
      <c r="K218" t="inlineStr"/>
      <c r="L218" t="inlineStr"/>
      <c r="M218" t="inlineStr"/>
      <c r="N218" t="inlineStr"/>
      <c r="O218" t="n">
        <v>0</v>
      </c>
      <c r="P218">
        <f>IF(B236=0,0,O218/B236)</f>
        <v/>
      </c>
      <c r="Q218">
        <f>IFERROR(1/IF(Inputs!$B$40="pvp",15,MAX(0.1,Skills!D20-IF(Skills!E20=TRUE,Inputs!$B$34,0))),0)</f>
        <v/>
      </c>
      <c r="R218" t="n">
        <v>0</v>
      </c>
    </row>
    <row r="219">
      <c r="A219">
        <f>Skills!A21</f>
        <v/>
      </c>
      <c r="B219">
        <f>Skills!B21</f>
        <v/>
      </c>
      <c r="C219">
        <f>Inputs!$B$3&gt;=43</f>
        <v/>
      </c>
      <c r="D219">
        <f>IF(Skills!C21=1,60+Inputs!$B$27+Inputs!$B$31,IF(Skills!C21=2,90+Inputs!$B$28+Inputs!$B$31,IF(Skills!C21=3,120+Inputs!$B$29+Inputs!$B$31,MAX(0,(Inputs!$B$3-100)*3)+Inputs!$B$30+Inputs!$B$31)))</f>
        <v/>
      </c>
      <c r="E219">
        <f>INDEX(FactorTable!$B$2:$Y$301, MATCH(ROUND(MIN(300,MAX(1,D219)),0), FactorTable!$A$2:$A$301,0), Skills!L21+1)</f>
        <v/>
      </c>
      <c r="F219">
        <f>IF(Skills!M21=TRUE,(Skills!K21/10)*(E219/1000),Skills!K21/10)+Skills!N21</f>
        <v/>
      </c>
      <c r="G219">
        <f>Calc!G21</f>
        <v/>
      </c>
      <c r="H219">
        <f>Calc!H21</f>
        <v/>
      </c>
      <c r="I219">
        <f>IF(Skills!T21&lt;&gt;"",1+(Skills!T21/10)*($Z$3/1000)/100,1)</f>
        <v/>
      </c>
      <c r="J219" t="inlineStr"/>
      <c r="K219" t="inlineStr"/>
      <c r="L219" t="inlineStr"/>
      <c r="M219" t="inlineStr"/>
      <c r="N219" t="inlineStr"/>
      <c r="O219" t="n">
        <v>0</v>
      </c>
      <c r="P219">
        <f>IF(B236=0,0,O219/B236)</f>
        <v/>
      </c>
      <c r="Q219">
        <f>IFERROR(1/IF(Inputs!$B$40="pvp",15,MAX(0.1,Skills!D21-IF(Skills!E21=TRUE,Inputs!$B$34,0))),0)</f>
        <v/>
      </c>
      <c r="R219" t="n">
        <v>0</v>
      </c>
    </row>
    <row r="220">
      <c r="A220">
        <f>Skills!A22</f>
        <v/>
      </c>
      <c r="B220">
        <f>Skills!B22</f>
        <v/>
      </c>
      <c r="C220">
        <f>Inputs!$B$3&gt;=50</f>
        <v/>
      </c>
      <c r="D220">
        <f>IF(Skills!C22=1,60+Inputs!$B$27+Inputs!$B$31,IF(Skills!C22=2,90+Inputs!$B$28+Inputs!$B$31,IF(Skills!C22=3,120+Inputs!$B$29+Inputs!$B$31,MAX(0,(Inputs!$B$3-100)*3)+Inputs!$B$30+Inputs!$B$31)))</f>
        <v/>
      </c>
      <c r="E220">
        <f>INDEX(FactorTable!$B$2:$Y$301, MATCH(ROUND(MIN(300,MAX(1,D220)),0), FactorTable!$A$2:$A$301,0), Skills!L22+1)</f>
        <v/>
      </c>
      <c r="F220">
        <f>IF(Skills!M22=TRUE,(Skills!K22/10)*(E220/1000),Skills!K22/10)+Skills!N22</f>
        <v/>
      </c>
      <c r="G220">
        <f>Calc!G22</f>
        <v/>
      </c>
      <c r="H220">
        <f>Calc!H22</f>
        <v/>
      </c>
      <c r="I220">
        <f>IF(Skills!T22&lt;&gt;"",1+(Skills!T22/10)*($Z$3/1000)/100,1)</f>
        <v/>
      </c>
      <c r="J220" t="inlineStr"/>
      <c r="K220" t="inlineStr"/>
      <c r="L220" t="inlineStr"/>
      <c r="M220" t="inlineStr"/>
      <c r="N220" t="inlineStr"/>
      <c r="O220" t="n">
        <v>0</v>
      </c>
      <c r="P220">
        <f>IF(B236=0,0,O220/B236)</f>
        <v/>
      </c>
      <c r="Q220">
        <f>IFERROR(1/IF(Inputs!$B$40="pvp",15,MAX(0.1,Skills!D22-IF(Skills!E22=TRUE,Inputs!$B$34,0))),0)</f>
        <v/>
      </c>
      <c r="R220" t="n">
        <v>0</v>
      </c>
    </row>
    <row r="221">
      <c r="A221">
        <f>Skills!A23</f>
        <v/>
      </c>
      <c r="B221">
        <f>Skills!B23</f>
        <v/>
      </c>
      <c r="C221">
        <f>Inputs!$B$3&gt;=74</f>
        <v/>
      </c>
      <c r="D221">
        <f>IF(Skills!C23=1,60+Inputs!$B$27+Inputs!$B$31,IF(Skills!C23=2,90+Inputs!$B$28+Inputs!$B$31,IF(Skills!C23=3,120+Inputs!$B$29+Inputs!$B$31,MAX(0,(Inputs!$B$3-100)*3)+Inputs!$B$30+Inputs!$B$31)))</f>
        <v/>
      </c>
      <c r="E221">
        <f>INDEX(FactorTable!$B$2:$Y$301, MATCH(ROUND(MIN(300,MAX(1,D221)),0), FactorTable!$A$2:$A$301,0), Skills!L23+1)</f>
        <v/>
      </c>
      <c r="F221">
        <f>IF(Skills!M23=TRUE,(Skills!K23/10)*(E221/1000),Skills!K23/10)+Skills!N23</f>
        <v/>
      </c>
      <c r="G221">
        <f>Calc!G23</f>
        <v/>
      </c>
      <c r="H221">
        <f>Calc!H23</f>
        <v/>
      </c>
      <c r="I221">
        <f>IF(Skills!T23&lt;&gt;"",1+(Skills!T23/10)*($Z$3/1000)/100,1)</f>
        <v/>
      </c>
      <c r="J221" t="inlineStr"/>
      <c r="K221" t="inlineStr"/>
      <c r="L221" t="inlineStr"/>
      <c r="M221" t="inlineStr"/>
      <c r="N221" t="inlineStr"/>
      <c r="O221" t="n">
        <v>0</v>
      </c>
      <c r="P221">
        <f>IF(B236=0,0,O221/B236)</f>
        <v/>
      </c>
      <c r="Q221">
        <f>IFERROR(1/IF(Inputs!$B$40="pvp",15,MAX(0.1,Skills!D23-IF(Skills!E23=TRUE,Inputs!$B$34,0))),0)</f>
        <v/>
      </c>
      <c r="R221" t="n">
        <v>0</v>
      </c>
    </row>
    <row r="222">
      <c r="A222">
        <f>Skills!A24</f>
        <v/>
      </c>
      <c r="B222">
        <f>Skills!B24</f>
        <v/>
      </c>
      <c r="C222">
        <f>Inputs!$B$3&gt;=74</f>
        <v/>
      </c>
      <c r="D222">
        <f>IF(Skills!C24=1,60+Inputs!$B$27+Inputs!$B$31,IF(Skills!C24=2,90+Inputs!$B$28+Inputs!$B$31,IF(Skills!C24=3,120+Inputs!$B$29+Inputs!$B$31,MAX(0,(Inputs!$B$3-100)*3)+Inputs!$B$30+Inputs!$B$31)))</f>
        <v/>
      </c>
      <c r="E222">
        <f>INDEX(FactorTable!$B$2:$Y$301, MATCH(ROUND(MIN(300,MAX(1,D222)),0), FactorTable!$A$2:$A$301,0), Skills!L24+1)</f>
        <v/>
      </c>
      <c r="F222">
        <f>IF(Skills!M24=TRUE,(Skills!K24/10)*(E222/1000),Skills!K24/10)+Skills!N24</f>
        <v/>
      </c>
      <c r="G222">
        <f>Calc!G24</f>
        <v/>
      </c>
      <c r="H222">
        <f>Calc!H24</f>
        <v/>
      </c>
      <c r="I222">
        <f>IF(Skills!T24&lt;&gt;"",1+(Skills!T24/10)*($Z$3/1000)/100,1)</f>
        <v/>
      </c>
      <c r="J222" t="inlineStr"/>
      <c r="K222" t="inlineStr"/>
      <c r="L222" t="inlineStr"/>
      <c r="M222" t="inlineStr"/>
      <c r="N222" t="inlineStr"/>
      <c r="O222" t="n">
        <v>0</v>
      </c>
      <c r="P222">
        <f>IF(B236=0,0,O222/B236)</f>
        <v/>
      </c>
      <c r="Q222">
        <f>IFERROR(1/IF(Inputs!$B$40="pvp",15,MAX(0.1,Skills!D24-IF(Skills!E24=TRUE,Inputs!$B$34,0))),0)</f>
        <v/>
      </c>
      <c r="R222" t="n">
        <v>0</v>
      </c>
    </row>
    <row r="223">
      <c r="A223">
        <f>Skills!A25</f>
        <v/>
      </c>
      <c r="B223">
        <f>Skills!B25</f>
        <v/>
      </c>
      <c r="C223">
        <f>Inputs!$B$3&gt;=117</f>
        <v/>
      </c>
      <c r="D223">
        <f>IF(Skills!C25=1,60+Inputs!$B$27+Inputs!$B$31,IF(Skills!C25=2,90+Inputs!$B$28+Inputs!$B$31,IF(Skills!C25=3,120+Inputs!$B$29+Inputs!$B$31,MAX(0,(Inputs!$B$3-100)*3)+Inputs!$B$30+Inputs!$B$31)))</f>
        <v/>
      </c>
      <c r="E223">
        <f>INDEX(FactorTable!$B$2:$Y$301, MATCH(ROUND(MIN(300,MAX(1,D223)),0), FactorTable!$A$2:$A$301,0), Skills!L25+1)</f>
        <v/>
      </c>
      <c r="F223">
        <f>IF(Skills!M25=TRUE,(Skills!K25/10)*(E223/1000),Skills!K25/10)+Skills!N25</f>
        <v/>
      </c>
      <c r="G223">
        <f>Calc!G25</f>
        <v/>
      </c>
      <c r="H223">
        <f>Calc!H25</f>
        <v/>
      </c>
      <c r="I223">
        <f>IF(Skills!T25&lt;&gt;"",1+(Skills!T25/10)*($Z$3/1000)/100,1)</f>
        <v/>
      </c>
      <c r="J223" t="inlineStr"/>
      <c r="K223" t="inlineStr"/>
      <c r="L223" t="inlineStr"/>
      <c r="M223" t="inlineStr"/>
      <c r="N223" t="inlineStr"/>
      <c r="O223" t="n">
        <v>0</v>
      </c>
      <c r="P223">
        <f>IF(B236=0,0,O223/B236)</f>
        <v/>
      </c>
      <c r="Q223">
        <f>IFERROR(1/IF(Inputs!$B$40="pvp",15,MAX(0.1,Skills!D25-IF(Skills!E25=TRUE,Inputs!$B$34,0))),0)</f>
        <v/>
      </c>
      <c r="R223" t="n">
        <v>0</v>
      </c>
    </row>
    <row r="224">
      <c r="A224">
        <f>Skills!A26</f>
        <v/>
      </c>
      <c r="B224">
        <f>Skills!B26</f>
        <v/>
      </c>
      <c r="C224">
        <f>Inputs!$B$3&gt;=120</f>
        <v/>
      </c>
      <c r="D224">
        <f>IF(Skills!C26=1,60+Inputs!$B$27+Inputs!$B$31,IF(Skills!C26=2,90+Inputs!$B$28+Inputs!$B$31,IF(Skills!C26=3,120+Inputs!$B$29+Inputs!$B$31,MAX(0,(Inputs!$B$3-100)*3)+Inputs!$B$30+Inputs!$B$31)))</f>
        <v/>
      </c>
      <c r="E224">
        <f>INDEX(FactorTable!$B$2:$Y$301, MATCH(ROUND(MIN(300,MAX(1,D224)),0), FactorTable!$A$2:$A$301,0), Skills!L26+1)</f>
        <v/>
      </c>
      <c r="F224">
        <f>IF(Skills!M26=TRUE,(Skills!K26/10)*(E224/1000),Skills!K26/10)+Skills!N26</f>
        <v/>
      </c>
      <c r="G224">
        <f>Calc!G26</f>
        <v/>
      </c>
      <c r="H224">
        <f>Calc!H26</f>
        <v/>
      </c>
      <c r="I224">
        <f>IF(Skills!T26&lt;&gt;"",1+(Skills!T26/10)*($Z$3/1000)/100,1)</f>
        <v/>
      </c>
      <c r="J224" t="inlineStr"/>
      <c r="K224" t="inlineStr"/>
      <c r="L224" t="inlineStr"/>
      <c r="M224" t="inlineStr"/>
      <c r="N224" t="inlineStr"/>
      <c r="O224" t="n">
        <v>0</v>
      </c>
      <c r="P224">
        <f>IF(B236=0,0,O224/B236)</f>
        <v/>
      </c>
      <c r="Q224">
        <f>IFERROR(1/IF(Inputs!$B$40="pvp",15,MAX(0.1,Skills!D26-IF(Skills!E26=TRUE,Inputs!$B$34,0))),0)</f>
        <v/>
      </c>
      <c r="R224" t="n">
        <v>0</v>
      </c>
    </row>
    <row r="226">
      <c r="A226" t="inlineStr">
        <is>
          <t>Average Buff Multiplier</t>
        </is>
      </c>
      <c r="B226">
        <f>(1+(IF(C201=TRUE,F201*IF(AND(Inputs!$B$40&lt;&gt;"pvp",Inputs!$B$43&gt;0),(((R201-1)*(Skills!S3*(1+(Inputs!$B$36+IF(Inputs!$B$3&gt;=117,F223,0))/100))+MIN((Skills!S3*(1+(Inputs!$B$36+IF(Inputs!$B$3&gt;=117,F223,0))/100)),MAX(0,Inputs!$B$43-((R201-1)*Skills!D3))))/Inputs!$B$43),IF(Inputs!$B$40="pvp",MIN((Skills!S3*(1+(Inputs!$B$36+IF(Inputs!$B$3&gt;=117,F223,0))/100)),15)/15,(Skills!S3*(1+(Inputs!$B$36+IF(Inputs!$B$3&gt;=117,F223,0))/100))/Skills!D3)),0)+IF(C202=TRUE,F202*IF(AND(Inputs!$B$40&lt;&gt;"pvp",Inputs!$B$43&gt;0),(((R202-1)*(Skills!S4*(1+(Inputs!$B$36+IF(Inputs!$B$3&gt;=117,F223,0))/100))+MIN((Skills!S4*(1+(Inputs!$B$36+IF(Inputs!$B$3&gt;=117,F223,0))/100)),MAX(0,Inputs!$B$43-((R202-1)*Skills!D4))))/Inputs!$B$43),IF(Inputs!$B$40="pvp",MIN((Skills!S4*(1+(Inputs!$B$36+IF(Inputs!$B$3&gt;=117,F223,0))/100)),15)/15,(Skills!S4*(1+(Inputs!$B$36+IF(Inputs!$B$3&gt;=117,F223,0))/100))/Skills!D4)),0)+IF(C203=TRUE,F203*IF(AND(Inputs!$B$40&lt;&gt;"pvp",Inputs!$B$43&gt;0),(((R203-1)*(Skills!S5*(1+(Inputs!$B$36+IF(Inputs!$B$3&gt;=117,F223,0))/100))+MIN((Skills!S5*(1+(Inputs!$B$36+IF(Inputs!$B$3&gt;=117,F223,0))/100)),MAX(0,Inputs!$B$43-((R203-1)*Skills!D5))))/Inputs!$B$43),IF(Inputs!$B$40="pvp",MIN((Skills!S5*(1+(Inputs!$B$36+IF(Inputs!$B$3&gt;=117,F223,0))/100)),15)/15,(Skills!S5*(1+(Inputs!$B$36+IF(Inputs!$B$3&gt;=117,F223,0))/100))/Skills!D5)),0)+IF(C209=TRUE,F209*IF(AND(Inputs!$B$40&lt;&gt;"pvp",Inputs!$B$43&gt;0),(((R209-1)*(Skills!S11*(1+(Inputs!$B$36+IF(Inputs!$B$3&gt;=117,F223,0))/100))+MIN((Skills!S11*(1+(Inputs!$B$36+IF(Inputs!$B$3&gt;=117,F223,0))/100)),MAX(0,Inputs!$B$43-((R209-1)*Skills!D11))))/Inputs!$B$43),IF(Inputs!$B$40="pvp",MIN((Skills!S11*(1+(Inputs!$B$36+IF(Inputs!$B$3&gt;=117,F223,0))/100)),15)/15,(Skills!S11*(1+(Inputs!$B$36+IF(Inputs!$B$3&gt;=117,F223,0))/100))/Skills!D11)),0))/100)*IF(C211=TRUE,(1+F211*IF(AND(Inputs!$B$40&lt;&gt;"pvp",Inputs!$B$43&gt;0),(((R211-1)*(Skills!S13*(1+(Inputs!$B$36+IF(Inputs!$B$3&gt;=117,F223,0))/100))+MIN((Skills!S13*(1+(Inputs!$B$36+IF(Inputs!$B$3&gt;=117,F223,0))/100)),MAX(0,Inputs!$B$43-((R211-1)*Skills!D13))))/Inputs!$B$43),IF(Inputs!$B$40="pvp",MIN((Skills!S13*(1+(Inputs!$B$36+IF(Inputs!$B$3&gt;=117,F223,0))/100)),15)/15,(Skills!S13*(1+(Inputs!$B$36+IF(Inputs!$B$3&gt;=117,F223,0))/100))/Skills!D13))/100),1)*IF(C216=TRUE,(1+F216*IF(AND(Inputs!$B$40&lt;&gt;"pvp",Inputs!$B$43&gt;0),(((R216-1)*(Skills!S18*(1+(Inputs!$B$36+IF(Inputs!$B$3&gt;=117,F223,0))/100))+MIN((Skills!S18*(1+(Inputs!$B$36+IF(Inputs!$B$3&gt;=117,F223,0))/100)),MAX(0,Inputs!$B$43-((R216-1)*Skills!D18))))/Inputs!$B$43),IF(Inputs!$B$40="pvp",MIN((Skills!S18*(1+(Inputs!$B$36+IF(Inputs!$B$3&gt;=117,F223,0))/100)),15)/15,(Skills!S18*(1+(Inputs!$B$36+IF(Inputs!$B$3&gt;=117,F223,0))/100))/Skills!D18))/100),1)</f>
        <v/>
      </c>
    </row>
    <row r="227">
      <c r="A227" t="inlineStr">
        <is>
          <t>Monster Damage Taken Bonus % (Holy Fountain)</t>
        </is>
      </c>
      <c r="B227">
        <f>IF(Inputs!$B$3&gt;=68,20*IF(Inputs!$B$40="pvp",MIN((15*(1+(Inputs!$B$36+IF(Inputs!$B$3&gt;=117,F223,0))/100)),15)/15,(15*(1+(Inputs!$B$36+IF(Inputs!$B$3&gt;=117,F223,0))/100))/Skills!D10),0)</f>
        <v/>
      </c>
    </row>
    <row r="228">
      <c r="A228" t="inlineStr">
        <is>
          <t>Normal Monster Damage Bonus % (Holy Symbol)</t>
        </is>
      </c>
      <c r="B228">
        <f>IF(C210=TRUE,F210*IF(AND(Inputs!$B$40&lt;&gt;"pvp",Inputs!$B$43&gt;0),(((R210-1)*(Skills!S12*(1+(Inputs!$B$36+IF(Inputs!$B$3&gt;=117,F223,0))/100))+MIN((Skills!S12*(1+(Inputs!$B$36+IF(Inputs!$B$3&gt;=117,F223,0))/100)),MAX(0,Inputs!$B$43-((R210-1)*Skills!D12))))/Inputs!$B$43),IF(Inputs!$B$40="pvp",MIN((Skills!S12*(1+(Inputs!$B$36+IF(Inputs!$B$3&gt;=117,F223,0))/100)),15)/15,(Skills!S12*(1+(Inputs!$B$36+IF(Inputs!$B$3&gt;=117,F223,0))/100))/Skills!D12)),0)</f>
        <v/>
      </c>
    </row>
    <row r="229">
      <c r="A229" t="inlineStr">
        <is>
          <t>Damage % Bonus (Holy Symbol - Damage Boost)</t>
        </is>
      </c>
      <c r="B229">
        <f>Skills!O12</f>
        <v/>
      </c>
    </row>
    <row r="230">
      <c r="A230" t="inlineStr">
        <is>
          <t>Crit Damage % Bonus (Blood of the Divine)</t>
        </is>
      </c>
      <c r="B230">
        <f>4*IF(C217=TRUE,F217,0)</f>
        <v/>
      </c>
    </row>
    <row r="231">
      <c r="A231" t="inlineStr">
        <is>
          <t>Attack Speed Bonus %</t>
        </is>
      </c>
      <c r="B231">
        <f>IF(C214=TRUE,F214+(F218-Calc!F20),0)+IF(Inputs!$B$3&gt;=134,15,0)</f>
        <v/>
      </c>
    </row>
    <row r="232">
      <c r="A232" t="inlineStr">
        <is>
          <t>Actions Per Second</t>
        </is>
      </c>
      <c r="B232">
        <f>1+MIN(150,150*(1-(1-Inputs!$B$13/150)*(1-B231/150)))/100</f>
        <v/>
      </c>
    </row>
    <row r="233">
      <c r="A233" t="inlineStr">
        <is>
          <t>Skill + Buff Cast Rate</t>
        </is>
      </c>
      <c r="B233">
        <f>IF(AND(Inputs!$B$40&lt;&gt;"pvp",Inputs!$B$43&gt;0),SUMPRODUCT((Skills!E2:E26=TRUE)*(C200:C224=TRUE)*R200:R224)/Inputs!$B$43,SUMPRODUCT((Skills!E2:E26=TRUE)*(C200:C224=TRUE)*Q200:Q224))</f>
        <v/>
      </c>
    </row>
    <row r="234">
      <c r="A234" t="inlineStr">
        <is>
          <t>Big Bang Casts Per Second</t>
        </is>
      </c>
      <c r="B234">
        <f>MAX(0,B232-B233)</f>
        <v/>
      </c>
    </row>
    <row r="236">
      <c r="A236" s="5" t="inlineStr">
        <is>
          <t>TOTAL DPS</t>
        </is>
      </c>
      <c r="B236" s="5">
        <f>SUM(O200:O224)</f>
        <v/>
      </c>
    </row>
    <row r="239">
      <c r="A239" s="5" t="inlineStr">
        <is>
          <t>Stat: DAMAGE_AMP %</t>
        </is>
      </c>
    </row>
    <row r="240">
      <c r="A240" s="9" t="inlineStr">
        <is>
          <t>Key</t>
        </is>
      </c>
      <c r="B240" s="9" t="inlineStr">
        <is>
          <t>Name</t>
        </is>
      </c>
      <c r="C240" s="9" t="inlineStr">
        <is>
          <t>Unlocked</t>
        </is>
      </c>
      <c r="D240" s="9" t="inlineStr">
        <is>
          <t>InputLevel</t>
        </is>
      </c>
      <c r="E240" s="9" t="inlineStr">
        <is>
          <t>Factor</t>
        </is>
      </c>
      <c r="F240" s="9" t="inlineStr">
        <is>
          <t>CoefficientPercent</t>
        </is>
      </c>
      <c r="G240" s="9" t="inlineStr">
        <is>
          <t>EffectiveHits</t>
        </is>
      </c>
      <c r="H240" s="9" t="inlineStr">
        <is>
          <t>ProcProbability</t>
        </is>
      </c>
      <c r="I240" s="9" t="inlineStr">
        <is>
          <t>MapleHeroMultiplier</t>
        </is>
      </c>
      <c r="J240" s="9" t="inlineStr">
        <is>
          <t>BaseDamage</t>
        </is>
      </c>
      <c r="K240" s="9" t="inlineStr">
        <is>
          <t>BaseHitDamage</t>
        </is>
      </c>
      <c r="L240" s="9" t="inlineStr">
        <is>
          <t>NonCritAvg</t>
        </is>
      </c>
      <c r="M240" s="9" t="inlineStr">
        <is>
          <t>CritAvg</t>
        </is>
      </c>
      <c r="N240" s="9" t="inlineStr">
        <is>
          <t>ExpectedDamage(perHit)</t>
        </is>
      </c>
      <c r="O240" s="9" t="inlineStr">
        <is>
          <t>DPS</t>
        </is>
      </c>
      <c r="P240" s="9" t="inlineStr">
        <is>
          <t>% of Total</t>
        </is>
      </c>
      <c r="R240" t="inlineStr">
        <is>
          <t>helpers</t>
        </is>
      </c>
    </row>
    <row r="241">
      <c r="A241">
        <f>Skills!A2</f>
        <v/>
      </c>
      <c r="B241">
        <f>Skills!B2</f>
        <v/>
      </c>
      <c r="C241">
        <f>Inputs!$B$3&gt;=100</f>
        <v/>
      </c>
      <c r="D241" t="inlineStr"/>
      <c r="E241" t="inlineStr"/>
      <c r="F241">
        <f>T243+Skills!N2</f>
        <v/>
      </c>
      <c r="G241">
        <f>Calc!G2</f>
        <v/>
      </c>
      <c r="H241">
        <f>Calc!H2</f>
        <v/>
      </c>
      <c r="I241">
        <f>IF(Skills!T2&lt;&gt;"",1+(Skills!T2/10)*($Z$3/1000)/100,1)</f>
        <v/>
      </c>
      <c r="J241">
        <f>(Inputs!$B$7*(1+Inputs!$B$8/100))*(F241/100)</f>
        <v/>
      </c>
      <c r="K241">
        <f>J241*(1+(((Inputs!$B$14+IF(Inputs!$B$3&gt;=35,0.10*(Inputs!$B$9*(1+Inputs!$B$10/100)),0))*(1+Inputs!$B$15/100))*0.01+Inputs!$B$16*0.0025)/100)*(1+(Inputs!$B$17+B270)/100)*(1+IF(Inputs!$B$40="pvp",0,(1-Summary!$B$48)*(Inputs!$B$22+Skills!O2+B268)+Summary!$B$48*(Inputs!$B$23+Skills!P2+B269))/100)*(1+(Inputs!$B$18+1)/100)*(5000/(6000+Inputs!$B$42*(1-Inputs!$B$21/100)))*(1+Inputs!$B$26/100)*(1+IF(C256=TRUE,F256,0)/100)*(1+IF(C258=TRUE,F258,0)/100)*(1+IF(Skills!A2="TRIUMPH_FEATHER",IF(C254=TRUE,F254,0),0)/100)*(1+IF(C265=TRUE,F265,0)/100)^5*(1+(IF(Skills!A2="BIG_BANG",Inputs!$B$19,Inputs!$B$20))/100)*(B267*I241)</f>
        <v/>
      </c>
      <c r="L241">
        <f>K241*(MIN(Inputs!$B$24+(F260-Calc!F21),Inputs!$B$25)/100+Inputs!$B$25/100)/2</f>
        <v/>
      </c>
      <c r="M241">
        <f>L241*(1+(Inputs!$B$12+B271+(F263-Calc!F24))/100)</f>
        <v/>
      </c>
      <c r="N241">
        <f>L241*(1-MIN(Inputs!$B$11+((F262-Calc!F23)+(F261-Calc!F22)),100)/100)+M241*(MIN(Inputs!$B$11+((F262-Calc!F23)+(F261-Calc!F22)),100)/100)</f>
        <v/>
      </c>
      <c r="O241">
        <f>IF(C241,Skills!F2*N241*B275*IF(Inputs!$B$40="pvp",1,(1-Summary!$B$48)*(1)+Summary!$B$48*(MIN((6+Inputs!$B$35),Inputs!$B$39))),0)</f>
        <v/>
      </c>
      <c r="P241">
        <f>IF(B277=0,0,O241/B277)</f>
        <v/>
      </c>
      <c r="Q241">
        <f>IFERROR(1/IF(Inputs!$B$40="pvp",15,MAX(0.1,Skills!D2-IF(Skills!E2=TRUE,Inputs!$B$34,0))),0)</f>
        <v/>
      </c>
      <c r="R241" t="n">
        <v>0</v>
      </c>
      <c r="T241">
        <f>MAX(0,(Inputs!$B$3-100)*3)+Inputs!$B$30+Inputs!$B$31</f>
        <v/>
      </c>
    </row>
    <row r="242">
      <c r="A242">
        <f>Skills!A3</f>
        <v/>
      </c>
      <c r="B242">
        <f>Skills!B3</f>
        <v/>
      </c>
      <c r="C242">
        <f>Inputs!$B$3&gt;=15</f>
        <v/>
      </c>
      <c r="D242">
        <f>IF(Skills!C3=1,60+Inputs!$B$27+Inputs!$B$31,IF(Skills!C3=2,90+Inputs!$B$28+Inputs!$B$31,IF(Skills!C3=3,120+Inputs!$B$29+Inputs!$B$31,MAX(0,(Inputs!$B$3-100)*3)+Inputs!$B$30+Inputs!$B$31)))</f>
        <v/>
      </c>
      <c r="E242">
        <f>INDEX(FactorTable!$B$2:$Y$301, MATCH(ROUND(MIN(300,MAX(1,D242)),0), FactorTable!$A$2:$A$301,0), Skills!L3+1)</f>
        <v/>
      </c>
      <c r="F242">
        <f>IF(Skills!M3=TRUE,(Skills!K3/10)*(E242/1000),Skills!K3/10)+Skills!N3</f>
        <v/>
      </c>
      <c r="G242">
        <f>Calc!G3</f>
        <v/>
      </c>
      <c r="H242">
        <f>Calc!H3</f>
        <v/>
      </c>
      <c r="I242">
        <f>IF(Skills!T3&lt;&gt;"",1+(Skills!T3/10)*($Z$3/1000)/100,1)</f>
        <v/>
      </c>
      <c r="J242" t="inlineStr"/>
      <c r="K242" t="inlineStr"/>
      <c r="L242" t="inlineStr"/>
      <c r="M242" t="inlineStr"/>
      <c r="N242" t="inlineStr"/>
      <c r="O242" t="n">
        <v>0</v>
      </c>
      <c r="P242">
        <f>IF(B277=0,0,O242/B277)</f>
        <v/>
      </c>
      <c r="Q242">
        <f>IFERROR(1/IF(Inputs!$B$40="pvp",15,MAX(0.1,Skills!D3-IF(Skills!E3=TRUE,Inputs!$B$34,0))),0)</f>
        <v/>
      </c>
      <c r="R242">
        <f>IF(AND(Inputs!$B$40&lt;&gt;"pvp",Inputs!$B$43&gt;0),(INT(Inputs!$B$43/IF(Inputs!$B$40="pvp",15,MAX(0.1,Skills!D3-IF(Skills!E3=TRUE,Inputs!$B$34,0))))+1),0)</f>
        <v/>
      </c>
      <c r="T242">
        <f>INDEX(FactorTable!$B$2:$Y$301, MATCH(ROUND(MIN(300,MAX(1,T241)),0), FactorTable!$A$2:$A$301,0), 22)</f>
        <v/>
      </c>
    </row>
    <row r="243">
      <c r="A243">
        <f>Skills!A4</f>
        <v/>
      </c>
      <c r="B243">
        <f>Skills!B4</f>
        <v/>
      </c>
      <c r="C243">
        <f>Inputs!$B$3&gt;=38</f>
        <v/>
      </c>
      <c r="D243">
        <f>IF(Skills!C4=1,60+Inputs!$B$27+Inputs!$B$31,IF(Skills!C4=2,90+Inputs!$B$28+Inputs!$B$31,IF(Skills!C4=3,120+Inputs!$B$29+Inputs!$B$31,MAX(0,(Inputs!$B$3-100)*3)+Inputs!$B$30+Inputs!$B$31)))</f>
        <v/>
      </c>
      <c r="E243">
        <f>INDEX(FactorTable!$B$2:$Y$301, MATCH(ROUND(MIN(300,MAX(1,D243)),0), FactorTable!$A$2:$A$301,0), Skills!L4+1)</f>
        <v/>
      </c>
      <c r="F243">
        <f>IF(Skills!M4=TRUE,(Skills!K4/10)*(E243/1000),Skills!K4/10)+Skills!N4</f>
        <v/>
      </c>
      <c r="G243">
        <f>Calc!G4</f>
        <v/>
      </c>
      <c r="H243">
        <f>Calc!H4</f>
        <v/>
      </c>
      <c r="I243">
        <f>IF(Skills!T4&lt;&gt;"",1+(Skills!T4/10)*($Z$3/1000)/100,1)</f>
        <v/>
      </c>
      <c r="J243" t="inlineStr"/>
      <c r="K243" t="inlineStr"/>
      <c r="L243" t="inlineStr"/>
      <c r="M243" t="inlineStr"/>
      <c r="N243" t="inlineStr"/>
      <c r="O243" t="n">
        <v>0</v>
      </c>
      <c r="P243">
        <f>IF(B277=0,0,O243/B277)</f>
        <v/>
      </c>
      <c r="Q243">
        <f>IFERROR(1/IF(Inputs!$B$40="pvp",15,MAX(0.1,Skills!D4-IF(Skills!E4=TRUE,Inputs!$B$34,0))),0)</f>
        <v/>
      </c>
      <c r="R243">
        <f>IF(AND(Inputs!$B$40&lt;&gt;"pvp",Inputs!$B$43&gt;0),(INT(Inputs!$B$43/IF(Inputs!$B$40="pvp",15,MAX(0.1,Skills!D4-IF(Skills!E4=TRUE,Inputs!$B$34,0))))+1),0)</f>
        <v/>
      </c>
      <c r="T243">
        <f>290*T242/1000</f>
        <v/>
      </c>
    </row>
    <row r="244">
      <c r="A244">
        <f>Skills!A5</f>
        <v/>
      </c>
      <c r="B244">
        <f>Skills!B5</f>
        <v/>
      </c>
      <c r="C244">
        <f>Inputs!$B$3&gt;=40</f>
        <v/>
      </c>
      <c r="D244">
        <f>IF(Skills!C5=1,60+Inputs!$B$27+Inputs!$B$31,IF(Skills!C5=2,90+Inputs!$B$28+Inputs!$B$31,IF(Skills!C5=3,120+Inputs!$B$29+Inputs!$B$31,MAX(0,(Inputs!$B$3-100)*3)+Inputs!$B$30+Inputs!$B$31)))</f>
        <v/>
      </c>
      <c r="E244">
        <f>INDEX(FactorTable!$B$2:$Y$301, MATCH(ROUND(MIN(300,MAX(1,D244)),0), FactorTable!$A$2:$A$301,0), Skills!L5+1)</f>
        <v/>
      </c>
      <c r="F244">
        <f>IF(Skills!M5=TRUE,(Skills!K5/10)*(E244/1000),Skills!K5/10)+Skills!N5</f>
        <v/>
      </c>
      <c r="G244">
        <f>Calc!G5</f>
        <v/>
      </c>
      <c r="H244">
        <f>Calc!H5</f>
        <v/>
      </c>
      <c r="I244">
        <f>IF(Skills!T5&lt;&gt;"",1+(Skills!T5/10)*($Z$3/1000)/100,1)</f>
        <v/>
      </c>
      <c r="J244" t="inlineStr"/>
      <c r="K244" t="inlineStr"/>
      <c r="L244" t="inlineStr"/>
      <c r="M244" t="inlineStr"/>
      <c r="N244" t="inlineStr"/>
      <c r="O244" t="n">
        <v>0</v>
      </c>
      <c r="P244">
        <f>IF(B277=0,0,O244/B277)</f>
        <v/>
      </c>
      <c r="Q244">
        <f>IFERROR(1/IF(Inputs!$B$40="pvp",15,MAX(0.1,Skills!D5-IF(Skills!E5=TRUE,Inputs!$B$34,0))),0)</f>
        <v/>
      </c>
      <c r="R244">
        <f>IF(AND(Inputs!$B$40&lt;&gt;"pvp",Inputs!$B$43&gt;0),(INT(Inputs!$B$43/IF(Inputs!$B$40="pvp",15,MAX(0.1,Skills!D5-IF(Skills!E5=TRUE,Inputs!$B$34,0))))+1),0)</f>
        <v/>
      </c>
    </row>
    <row r="245">
      <c r="A245">
        <f>Skills!A6</f>
        <v/>
      </c>
      <c r="B245">
        <f>Skills!B6</f>
        <v/>
      </c>
      <c r="C245">
        <f>Inputs!$B$3&gt;=103</f>
        <v/>
      </c>
      <c r="D245">
        <f>IF(Skills!C6=1,60+Inputs!$B$27+Inputs!$B$31,IF(Skills!C6=2,90+Inputs!$B$28+Inputs!$B$31,IF(Skills!C6=3,120+Inputs!$B$29+Inputs!$B$31,MAX(0,(Inputs!$B$3-100)*3)+Inputs!$B$30+Inputs!$B$31)))</f>
        <v/>
      </c>
      <c r="E245">
        <f>INDEX(FactorTable!$B$2:$Y$301, MATCH(ROUND(MIN(300,MAX(1,D245)),0), FactorTable!$A$2:$A$301,0), Skills!L6+1)</f>
        <v/>
      </c>
      <c r="F245">
        <f>IF(Skills!M6=TRUE,(Skills!K6/10)*(E245/1000),Skills!K6/10)+Skills!N6</f>
        <v/>
      </c>
      <c r="G245">
        <f>Calc!G6</f>
        <v/>
      </c>
      <c r="H245">
        <f>Calc!H6</f>
        <v/>
      </c>
      <c r="I245">
        <f>IF(Skills!T6&lt;&gt;"",1+(Skills!T6/10)*($Z$3/1000)/100,1)</f>
        <v/>
      </c>
      <c r="J245">
        <f>(Inputs!$B$7*(1+Inputs!$B$8/100))*(F245/100)</f>
        <v/>
      </c>
      <c r="K245">
        <f>J245*(1+(((Inputs!$B$14+IF(Inputs!$B$3&gt;=35,0.10*(Inputs!$B$9*(1+Inputs!$B$10/100)),0))*(1+Inputs!$B$15/100))*0.01+Inputs!$B$16*0.0025)/100)*(1+(Inputs!$B$17+B270)/100)*(1+IF(Inputs!$B$40="pvp",0,(1-Summary!$B$48)*(Inputs!$B$22+Skills!O6+B268)+Summary!$B$48*(Inputs!$B$23+Skills!P6+B269))/100)*(1+(Inputs!$B$18+1)/100)*(5000/(6000+Inputs!$B$42*(1-Inputs!$B$21/100)))*(1+Inputs!$B$26/100)*(1+IF(C256=TRUE,F256,0)/100)*(1+IF(C258=TRUE,F258,0)/100)*(1+IF(Skills!A6="TRIUMPH_FEATHER",IF(C254=TRUE,F254,0),0)/100)*(1+IF(C265=TRUE,F265,0)/100)^5*(1+(IF(Skills!A6="BIG_BANG",Inputs!$B$19,Inputs!$B$20))/100)*(B267*I245)</f>
        <v/>
      </c>
      <c r="L245">
        <f>K245*(MIN(Inputs!$B$24+(F260-Calc!F21),Inputs!$B$25)/100+Inputs!$B$25/100)/2</f>
        <v/>
      </c>
      <c r="M245">
        <f>L245*(1+(Inputs!$B$12+B271+(F263-Calc!F24))/100)</f>
        <v/>
      </c>
      <c r="N245">
        <f>L245*(1-MIN(Inputs!$B$11+((F262-Calc!F23)+(F261-Calc!F22)),100)/100)+M245*(MIN(Inputs!$B$11+((F262-Calc!F23)+(F261-Calc!F22)),100)/100)</f>
        <v/>
      </c>
      <c r="O245">
        <f>IF(C245,H245*N245*IF(AND(Inputs!$B$40&lt;&gt;"pvp",Inputs!$B$43&gt;0),((Skills!F6*((R245-1)*IF(Skills!G6&gt;0,Skills!H6/Skills!G6,1)+IF(Skills!G6&gt;0,MIN(Skills!H6,MAX(0,Inputs!$B$43-((R245-1)*IF(Inputs!$B$40="pvp",15,MAX(0.1,Skills!D6-IF(Skills!E6=TRUE,Inputs!$B$34,0))))))/Skills!G6,1)))/Inputs!$B$43),G245*Q245)*IF(Inputs!$B$40="pvp",1,(1-Summary!$B$48)*(1)+Summary!$B$48*(MIN(Skills!Q6,Inputs!$B$39))),0)</f>
        <v/>
      </c>
      <c r="P245">
        <f>IF(B277=0,0,O245/B277)</f>
        <v/>
      </c>
      <c r="Q245">
        <f>IFERROR(1/IF(Inputs!$B$40="pvp",15,MAX(0.1,Skills!D6-IF(Skills!E6=TRUE,Inputs!$B$34,0))),0)</f>
        <v/>
      </c>
      <c r="R245">
        <f>IF(AND(Inputs!$B$40&lt;&gt;"pvp",Inputs!$B$43&gt;0),(INT(Inputs!$B$43/IF(Inputs!$B$40="pvp",15,MAX(0.1,Skills!D6-IF(Skills!E6=TRUE,Inputs!$B$34,0))))+1),0)</f>
        <v/>
      </c>
    </row>
    <row r="246">
      <c r="A246">
        <f>Skills!A7</f>
        <v/>
      </c>
      <c r="B246">
        <f>Skills!B7</f>
        <v/>
      </c>
      <c r="C246">
        <f>Inputs!$B$3&gt;=122</f>
        <v/>
      </c>
      <c r="D246">
        <f>IF(Skills!C7=1,60+Inputs!$B$27+Inputs!$B$31,IF(Skills!C7=2,90+Inputs!$B$28+Inputs!$B$31,IF(Skills!C7=3,120+Inputs!$B$29+Inputs!$B$31,MAX(0,(Inputs!$B$3-100)*3)+Inputs!$B$30+Inputs!$B$31)))</f>
        <v/>
      </c>
      <c r="E246">
        <f>INDEX(FactorTable!$B$2:$Y$301, MATCH(ROUND(MIN(300,MAX(1,D246)),0), FactorTable!$A$2:$A$301,0), Skills!L7+1)</f>
        <v/>
      </c>
      <c r="F246">
        <f>IF(Skills!M7=TRUE,(Skills!K7/10)*(E246/1000),Skills!K7/10)+Skills!N7</f>
        <v/>
      </c>
      <c r="G246">
        <f>Calc!G7</f>
        <v/>
      </c>
      <c r="H246">
        <f>Calc!H7</f>
        <v/>
      </c>
      <c r="I246">
        <f>IF(Skills!T7&lt;&gt;"",1+(Skills!T7/10)*($Z$3/1000)/100,1)</f>
        <v/>
      </c>
      <c r="J246">
        <f>(Inputs!$B$7*(1+Inputs!$B$8/100))*(F246/100)</f>
        <v/>
      </c>
      <c r="K246">
        <f>J246*(1+(((Inputs!$B$14+IF(Inputs!$B$3&gt;=35,0.10*(Inputs!$B$9*(1+Inputs!$B$10/100)),0))*(1+Inputs!$B$15/100))*0.01+Inputs!$B$16*0.0025)/100)*(1+(Inputs!$B$17+B270)/100)*(1+IF(Inputs!$B$40="pvp",0,(1-Summary!$B$48)*(Inputs!$B$22+Skills!O7+B268)+Summary!$B$48*(Inputs!$B$23+Skills!P7+B269))/100)*(1+(Inputs!$B$18+1)/100)*(5000/(6000+Inputs!$B$42*(1-Inputs!$B$21/100)))*(1+Inputs!$B$26/100)*(1+IF(C256=TRUE,F256,0)/100)*(1+IF(C258=TRUE,F258,0)/100)*(1+IF(Skills!A7="TRIUMPH_FEATHER",IF(C254=TRUE,F254,0),0)/100)*(1+IF(C265=TRUE,F265,0)/100)^5*(1+(IF(Skills!A7="BIG_BANG",Inputs!$B$19,Inputs!$B$20))/100)*(B267*I246)</f>
        <v/>
      </c>
      <c r="L246">
        <f>K246*(MIN(Inputs!$B$24+(F260-Calc!F21),Inputs!$B$25)/100+Inputs!$B$25/100)/2</f>
        <v/>
      </c>
      <c r="M246">
        <f>L246*(1+(Inputs!$B$12+B271+(F263-Calc!F24))/100)</f>
        <v/>
      </c>
      <c r="N246">
        <f>L246*(1-MIN(Inputs!$B$11+((F262-Calc!F23)+(F261-Calc!F22)),100)/100)+M246*(MIN(Inputs!$B$11+((F262-Calc!F23)+(F261-Calc!F22)),100)/100)</f>
        <v/>
      </c>
      <c r="O246">
        <f>IF(C246,H246*N246*IF(AND(Inputs!$B$40&lt;&gt;"pvp",Inputs!$B$43&gt;0),((Skills!F7*((R246-1)*IF(Skills!G7&gt;0,Skills!H7/Skills!G7,1)+IF(Skills!G7&gt;0,MIN(Skills!H7,MAX(0,Inputs!$B$43-((R246-1)*IF(Inputs!$B$40="pvp",15,MAX(0.1,Skills!D7-IF(Skills!E6=TRUE,Inputs!$B$34,0))))))/Skills!G7,1)))/Inputs!$B$43),G246*Q246)*(1-Summary!$B$48),0)</f>
        <v/>
      </c>
      <c r="P246">
        <f>IF(B277=0,0,O246/B277)</f>
        <v/>
      </c>
      <c r="Q246">
        <f>IFERROR(1/IF(Inputs!$B$40="pvp",15,MAX(0.1,Skills!D7-IF(Skills!E6=TRUE,Inputs!$B$34,0))),0)</f>
        <v/>
      </c>
      <c r="R246">
        <f>IF(AND(Inputs!$B$40&lt;&gt;"pvp",Inputs!$B$43&gt;0),(INT(Inputs!$B$43/IF(Inputs!$B$40="pvp",15,MAX(0.1,Skills!D7-IF(Skills!E6=TRUE,Inputs!$B$34,0))))+1),0)</f>
        <v/>
      </c>
    </row>
    <row r="247">
      <c r="A247">
        <f>Skills!A8</f>
        <v/>
      </c>
      <c r="B247">
        <f>Skills!B8</f>
        <v/>
      </c>
      <c r="C247">
        <f>Inputs!$B$3&gt;=105</f>
        <v/>
      </c>
      <c r="D247">
        <f>IF(Skills!C8=1,60+Inputs!$B$27+Inputs!$B$31,IF(Skills!C8=2,90+Inputs!$B$28+Inputs!$B$31,IF(Skills!C8=3,120+Inputs!$B$29+Inputs!$B$31,MAX(0,(Inputs!$B$3-100)*3)+Inputs!$B$30+Inputs!$B$31)))</f>
        <v/>
      </c>
      <c r="E247">
        <f>INDEX(FactorTable!$B$2:$Y$301, MATCH(ROUND(MIN(300,MAX(1,D247)),0), FactorTable!$A$2:$A$301,0), Skills!L8+1)</f>
        <v/>
      </c>
      <c r="F247">
        <f>IF(Skills!M8=TRUE,(Skills!K8/10)*(E247/1000),Skills!K8/10)+Skills!N8</f>
        <v/>
      </c>
      <c r="G247">
        <f>Calc!G8</f>
        <v/>
      </c>
      <c r="H247">
        <f>Calc!H8</f>
        <v/>
      </c>
      <c r="I247">
        <f>IF(Skills!T8&lt;&gt;"",1+(Skills!T8/10)*($Z$3/1000)/100,1)</f>
        <v/>
      </c>
      <c r="J247">
        <f>(Inputs!$B$7*(1+Inputs!$B$8/100))*(F247/100)</f>
        <v/>
      </c>
      <c r="K247">
        <f>J247*(1+(((Inputs!$B$14+IF(Inputs!$B$3&gt;=35,0.10*(Inputs!$B$9*(1+Inputs!$B$10/100)),0))*(1+Inputs!$B$15/100))*0.01+Inputs!$B$16*0.0025)/100)*(1+(Inputs!$B$17+B270)/100)*(1+IF(Inputs!$B$40="pvp",0,(1-Summary!$B$48)*(Inputs!$B$22+Skills!O8+B268)+Summary!$B$48*(Inputs!$B$23+Skills!P8+B269))/100)*(1+(Inputs!$B$18+1)/100)*(5000/(6000+Inputs!$B$42*(1-Inputs!$B$21/100)))*(1+Inputs!$B$26/100)*(1+IF(C256=TRUE,F256,0)/100)*(1+IF(C258=TRUE,F258,0)/100)*(1+IF(Skills!A8="TRIUMPH_FEATHER",IF(C254=TRUE,F254,0),0)/100)*(1+IF(C265=TRUE,F265,0)/100)^5*(1+(IF(Skills!A8="BIG_BANG",Inputs!$B$19,Inputs!$B$20))/100)*(B267*I247)</f>
        <v/>
      </c>
      <c r="L247">
        <f>K247*(MIN(Inputs!$B$24+(F260-Calc!F21),Inputs!$B$25)/100+Inputs!$B$25/100)/2</f>
        <v/>
      </c>
      <c r="M247">
        <f>L247*(1+(Inputs!$B$12+B271+(F263-Calc!F24))/100)</f>
        <v/>
      </c>
      <c r="N247">
        <f>L247*(1-MIN(Inputs!$B$11+((F262-Calc!F23)+(F261-Calc!F22)),100)/100)+M247*(MIN(Inputs!$B$11+((F262-Calc!F23)+(F261-Calc!F22)),100)/100)</f>
        <v/>
      </c>
      <c r="O247">
        <f>IF(C247,H247*N247*IF(AND(Inputs!$B$40&lt;&gt;"pvp",Inputs!$B$43&gt;0),((Skills!F8*((R247-1)*IF(Skills!G8&gt;0,Skills!H8/Skills!G8,1)+IF(Skills!G8&gt;0,MIN(Skills!H8,MAX(0,Inputs!$B$43-((R247-1)*IF(Inputs!$B$40="pvp",15,MAX(0.1,Skills!D8-IF(Skills!E8=TRUE,Inputs!$B$34,0))))))/Skills!G8,1)))/Inputs!$B$43),G247*Q247)*IF(Inputs!$B$40="pvp",1,(1-Summary!$B$48)*(1)+Summary!$B$48*(MIN(Skills!Q8,Inputs!$B$39))),0)</f>
        <v/>
      </c>
      <c r="P247">
        <f>IF(B277=0,0,O247/B277)</f>
        <v/>
      </c>
      <c r="Q247">
        <f>IFERROR(1/IF(Inputs!$B$40="pvp",15,MAX(0.1,Skills!D8-IF(Skills!E8=TRUE,Inputs!$B$34,0))),0)</f>
        <v/>
      </c>
      <c r="R247">
        <f>IF(AND(Inputs!$B$40&lt;&gt;"pvp",Inputs!$B$43&gt;0),(INT(Inputs!$B$43/IF(Inputs!$B$40="pvp",15,MAX(0.1,Skills!D8-IF(Skills!E8=TRUE,Inputs!$B$34,0))))+1),0)</f>
        <v/>
      </c>
    </row>
    <row r="248">
      <c r="A248">
        <f>Skills!A9</f>
        <v/>
      </c>
      <c r="B248">
        <f>Skills!B9</f>
        <v/>
      </c>
      <c r="C248">
        <f>Inputs!$B$3&gt;=115</f>
        <v/>
      </c>
      <c r="D248">
        <f>IF(Skills!C9=1,60+Inputs!$B$27+Inputs!$B$31,IF(Skills!C9=2,90+Inputs!$B$28+Inputs!$B$31,IF(Skills!C9=3,120+Inputs!$B$29+Inputs!$B$31,MAX(0,(Inputs!$B$3-100)*3)+Inputs!$B$30+Inputs!$B$31)))</f>
        <v/>
      </c>
      <c r="E248">
        <f>INDEX(FactorTable!$B$2:$Y$301, MATCH(ROUND(MIN(300,MAX(1,D248)),0), FactorTable!$A$2:$A$301,0), Skills!L9+1)</f>
        <v/>
      </c>
      <c r="F248">
        <f>IF(Skills!M9=TRUE,(Skills!K9/10)*(E248/1000),Skills!K9/10)+Skills!N9</f>
        <v/>
      </c>
      <c r="G248">
        <f>Calc!G9</f>
        <v/>
      </c>
      <c r="H248">
        <f>Calc!H9</f>
        <v/>
      </c>
      <c r="I248">
        <f>IF(Skills!T9&lt;&gt;"",1+(Skills!T9/10)*($Z$3/1000)/100,1)</f>
        <v/>
      </c>
      <c r="J248">
        <f>(Inputs!$B$7*(1+Inputs!$B$8/100))*(F248/100)</f>
        <v/>
      </c>
      <c r="K248">
        <f>J248*(1+(((Inputs!$B$14+IF(Inputs!$B$3&gt;=35,0.10*(Inputs!$B$9*(1+Inputs!$B$10/100)),0))*(1+Inputs!$B$15/100))*0.01+Inputs!$B$16*0.0025)/100)*(1+(Inputs!$B$17+B270)/100)*(1+IF(Inputs!$B$40="pvp",0,(1-Summary!$B$48)*(Inputs!$B$22+Skills!O9+B268)+Summary!$B$48*(Inputs!$B$23+Skills!P9+B269))/100)*(1+(Inputs!$B$18+1)/100)*(5000/(6000+Inputs!$B$42*(1-Inputs!$B$21/100)))*(1+Inputs!$B$26/100)*(1+IF(C256=TRUE,F256,0)/100)*(1+IF(C258=TRUE,F258,0)/100)*(1+IF(Skills!A9="TRIUMPH_FEATHER",IF(C254=TRUE,F254,0),0)/100)*(1+IF(C265=TRUE,F265,0)/100)^5*(1+(IF(Skills!A9="BIG_BANG",Inputs!$B$19,Inputs!$B$20))/100)*(B267*I248)</f>
        <v/>
      </c>
      <c r="L248">
        <f>K248*(MIN(Inputs!$B$24+(F260-Calc!F21),Inputs!$B$25)/100+Inputs!$B$25/100)/2</f>
        <v/>
      </c>
      <c r="M248">
        <f>L248*(1+(Inputs!$B$12+B271+(F263-Calc!F24))/100)</f>
        <v/>
      </c>
      <c r="N248">
        <f>L248*(1-MIN(Inputs!$B$11+((F262-Calc!F23)+(F261-Calc!F22)),100)/100)+M248*(MIN(Inputs!$B$11+((F262-Calc!F23)+(F261-Calc!F22)),100)/100)</f>
        <v/>
      </c>
      <c r="O248">
        <f>IF(C248,H248*N248*IF(AND(Inputs!$B$40&lt;&gt;"pvp",Inputs!$B$43&gt;0),((Skills!F9*((R248-1)*IF(Skills!G9&gt;0,Skills!H9/Skills!G9,1)+IF(Skills!G9&gt;0,MIN(Skills!H9,MAX(0,Inputs!$B$43-((R248-1)*IF(Inputs!$B$40="pvp",15,MAX(0.1,Skills!D9-IF(Skills!E9=TRUE,Inputs!$B$34,0))))))/Skills!G9,1)))/Inputs!$B$43),G248*Q248)*IF(Inputs!$B$40="pvp",1,(1-Summary!$B$48)*(1)+Summary!$B$48*(MIN(Skills!Q9,Inputs!$B$39))),0)</f>
        <v/>
      </c>
      <c r="P248">
        <f>IF(B277=0,0,O248/B277)</f>
        <v/>
      </c>
      <c r="Q248">
        <f>IFERROR(1/IF(Inputs!$B$40="pvp",15,MAX(0.1,Skills!D9-IF(Skills!E9=TRUE,Inputs!$B$34,0))),0)</f>
        <v/>
      </c>
      <c r="R248">
        <f>IF(AND(Inputs!$B$40&lt;&gt;"pvp",Inputs!$B$43&gt;0),(INT(Inputs!$B$43/IF(Inputs!$B$40="pvp",15,MAX(0.1,Skills!D9-IF(Skills!E9=TRUE,Inputs!$B$34,0))))+1),0)</f>
        <v/>
      </c>
    </row>
    <row r="249">
      <c r="A249">
        <f>Skills!A10</f>
        <v/>
      </c>
      <c r="B249">
        <f>Skills!B10</f>
        <v/>
      </c>
      <c r="C249">
        <f>Inputs!$B$3&gt;=66</f>
        <v/>
      </c>
      <c r="D249">
        <f>IF(Skills!C10=1,60+Inputs!$B$27+Inputs!$B$31,IF(Skills!C10=2,90+Inputs!$B$28+Inputs!$B$31,IF(Skills!C10=3,120+Inputs!$B$29+Inputs!$B$31,MAX(0,(Inputs!$B$3-100)*3)+Inputs!$B$30+Inputs!$B$31)))</f>
        <v/>
      </c>
      <c r="E249">
        <f>INDEX(FactorTable!$B$2:$Y$301, MATCH(ROUND(MIN(300,MAX(1,D249)),0), FactorTable!$A$2:$A$301,0), Skills!L10+1)</f>
        <v/>
      </c>
      <c r="F249" t="n">
        <v>0</v>
      </c>
      <c r="G249">
        <f>Calc!G10</f>
        <v/>
      </c>
      <c r="H249">
        <f>Calc!H10</f>
        <v/>
      </c>
      <c r="I249">
        <f>IF(Skills!T10&lt;&gt;"",1+(Skills!T10/10)*($Z$3/1000)/100,1)</f>
        <v/>
      </c>
      <c r="J249" t="inlineStr"/>
      <c r="K249" t="inlineStr"/>
      <c r="L249" t="inlineStr"/>
      <c r="M249" t="inlineStr"/>
      <c r="N249" t="inlineStr"/>
      <c r="O249" t="n">
        <v>0</v>
      </c>
      <c r="P249">
        <f>IF(B277=0,0,O249/B277)</f>
        <v/>
      </c>
      <c r="Q249">
        <f>IFERROR(1/IF(Inputs!$B$40="pvp",15,MAX(0.1,Skills!D10-IF(Skills!E10=TRUE,Inputs!$B$34,0))),0)</f>
        <v/>
      </c>
      <c r="R249">
        <f>IF(AND(Inputs!$B$40&lt;&gt;"pvp",Inputs!$B$43&gt;0),(INT(Inputs!$B$43/IF(Inputs!$B$40="pvp",15,MAX(0.1,Skills!D10-IF(Skills!E10=TRUE,Inputs!$B$34,0))))+1),0)</f>
        <v/>
      </c>
    </row>
    <row r="250">
      <c r="A250">
        <f>Skills!A11</f>
        <v/>
      </c>
      <c r="B250">
        <f>Skills!B11</f>
        <v/>
      </c>
      <c r="C250">
        <f>Inputs!$B$3&gt;=69</f>
        <v/>
      </c>
      <c r="D250">
        <f>IF(Skills!C11=1,60+Inputs!$B$27+Inputs!$B$31,IF(Skills!C11=2,90+Inputs!$B$28+Inputs!$B$31,IF(Skills!C11=3,120+Inputs!$B$29+Inputs!$B$31,MAX(0,(Inputs!$B$3-100)*3)+Inputs!$B$30+Inputs!$B$31)))</f>
        <v/>
      </c>
      <c r="E250">
        <f>INDEX(FactorTable!$B$2:$Y$301, MATCH(ROUND(MIN(300,MAX(1,D250)),0), FactorTable!$A$2:$A$301,0), Skills!L11+1)</f>
        <v/>
      </c>
      <c r="F250">
        <f>IF(Skills!M11=TRUE,(Skills!K11/10)*(E250/1000),Skills!K11/10)+Skills!N11</f>
        <v/>
      </c>
      <c r="G250">
        <f>Calc!G11</f>
        <v/>
      </c>
      <c r="H250">
        <f>Calc!H11</f>
        <v/>
      </c>
      <c r="I250">
        <f>IF(Skills!T11&lt;&gt;"",1+(Skills!T11/10)*($Z$3/1000)/100,1)</f>
        <v/>
      </c>
      <c r="J250" t="inlineStr"/>
      <c r="K250" t="inlineStr"/>
      <c r="L250" t="inlineStr"/>
      <c r="M250" t="inlineStr"/>
      <c r="N250" t="inlineStr"/>
      <c r="O250" t="n">
        <v>0</v>
      </c>
      <c r="P250">
        <f>IF(B277=0,0,O250/B277)</f>
        <v/>
      </c>
      <c r="Q250">
        <f>IFERROR(1/IF(Inputs!$B$40="pvp",15,MAX(0.1,Skills!D11-IF(Skills!E11=TRUE,Inputs!$B$34,0))),0)</f>
        <v/>
      </c>
      <c r="R250">
        <f>IF(AND(Inputs!$B$40&lt;&gt;"pvp",Inputs!$B$43&gt;0),(INT(Inputs!$B$43/IF(Inputs!$B$40="pvp",15,MAX(0.1,Skills!D11-IF(Skills!E11=TRUE,Inputs!$B$34,0))))+1),0)</f>
        <v/>
      </c>
    </row>
    <row r="251">
      <c r="A251">
        <f>Skills!A12</f>
        <v/>
      </c>
      <c r="B251">
        <f>Skills!B12</f>
        <v/>
      </c>
      <c r="C251">
        <f>Inputs!$B$3&gt;=72</f>
        <v/>
      </c>
      <c r="D251">
        <f>IF(Skills!C12=1,60+Inputs!$B$27+Inputs!$B$31,IF(Skills!C12=2,90+Inputs!$B$28+Inputs!$B$31,IF(Skills!C12=3,120+Inputs!$B$29+Inputs!$B$31,MAX(0,(Inputs!$B$3-100)*3)+Inputs!$B$30+Inputs!$B$31)))</f>
        <v/>
      </c>
      <c r="E251">
        <f>INDEX(FactorTable!$B$2:$Y$301, MATCH(ROUND(MIN(300,MAX(1,D251)),0), FactorTable!$A$2:$A$301,0), Skills!L12+1)</f>
        <v/>
      </c>
      <c r="F251">
        <f>IF(Skills!M12=TRUE,(Skills!K12/10)*(E251/1000),Skills!K12/10)+Skills!N12</f>
        <v/>
      </c>
      <c r="G251">
        <f>Calc!G12</f>
        <v/>
      </c>
      <c r="H251">
        <f>Calc!H12</f>
        <v/>
      </c>
      <c r="I251">
        <f>IF(Skills!T12&lt;&gt;"",1+(Skills!T12/10)*($Z$3/1000)/100,1)</f>
        <v/>
      </c>
      <c r="J251" t="inlineStr"/>
      <c r="K251" t="inlineStr"/>
      <c r="L251" t="inlineStr"/>
      <c r="M251" t="inlineStr"/>
      <c r="N251" t="inlineStr"/>
      <c r="O251" t="n">
        <v>0</v>
      </c>
      <c r="P251">
        <f>IF(B277=0,0,O251/B277)</f>
        <v/>
      </c>
      <c r="Q251">
        <f>IFERROR(1/IF(Inputs!$B$40="pvp",15,MAX(0.1,Skills!D12-IF(Skills!E12=TRUE,Inputs!$B$34,0))),0)</f>
        <v/>
      </c>
      <c r="R251">
        <f>IF(AND(Inputs!$B$40&lt;&gt;"pvp",Inputs!$B$43&gt;0),(INT(Inputs!$B$43/IF(Inputs!$B$40="pvp",15,MAX(0.1,Skills!D12-IF(Skills!E12=TRUE,Inputs!$B$34,0))))+1),0)</f>
        <v/>
      </c>
    </row>
    <row r="252">
      <c r="A252">
        <f>Skills!A13</f>
        <v/>
      </c>
      <c r="B252">
        <f>Skills!B13</f>
        <v/>
      </c>
      <c r="C252">
        <f>Inputs!$B$3&gt;=107</f>
        <v/>
      </c>
      <c r="D252">
        <f>IF(Skills!C13=1,60+Inputs!$B$27+Inputs!$B$31,IF(Skills!C13=2,90+Inputs!$B$28+Inputs!$B$31,IF(Skills!C13=3,120+Inputs!$B$29+Inputs!$B$31,MAX(0,(Inputs!$B$3-100)*3)+Inputs!$B$30+Inputs!$B$31)))</f>
        <v/>
      </c>
      <c r="E252">
        <f>INDEX(FactorTable!$B$2:$Y$301, MATCH(ROUND(MIN(300,MAX(1,D252)),0), FactorTable!$A$2:$A$301,0), Skills!L13+1)</f>
        <v/>
      </c>
      <c r="F252">
        <f>IF(Skills!M13=TRUE,(Skills!K13/10)*(E252/1000),Skills!K13/10)+Skills!N13</f>
        <v/>
      </c>
      <c r="G252">
        <f>Calc!G13</f>
        <v/>
      </c>
      <c r="H252">
        <f>Calc!H13</f>
        <v/>
      </c>
      <c r="I252">
        <f>IF(Skills!T13&lt;&gt;"",1+(Skills!T13/10)*($Z$3/1000)/100,1)</f>
        <v/>
      </c>
      <c r="J252" t="inlineStr"/>
      <c r="K252" t="inlineStr"/>
      <c r="L252" t="inlineStr"/>
      <c r="M252" t="inlineStr"/>
      <c r="N252" t="inlineStr"/>
      <c r="O252" t="n">
        <v>0</v>
      </c>
      <c r="P252">
        <f>IF(B277=0,0,O252/B277)</f>
        <v/>
      </c>
      <c r="Q252">
        <f>IFERROR(1/IF(Inputs!$B$40="pvp",15,MAX(0.1,Skills!D13-IF(Skills!E13=TRUE,Inputs!$B$34,0))),0)</f>
        <v/>
      </c>
      <c r="R252">
        <f>IF(AND(Inputs!$B$40&lt;&gt;"pvp",Inputs!$B$43&gt;0),(INT(Inputs!$B$43/IF(Inputs!$B$40="pvp",15,MAX(0.1,Skills!D13-IF(Skills!E13=TRUE,Inputs!$B$34,0))))+1),0)</f>
        <v/>
      </c>
    </row>
    <row r="253">
      <c r="A253">
        <f>Skills!A14</f>
        <v/>
      </c>
      <c r="B253">
        <f>Skills!B14</f>
        <v/>
      </c>
      <c r="C253">
        <f>Inputs!$B$3&gt;=63</f>
        <v/>
      </c>
      <c r="D253">
        <f>IF(Skills!C14=1,60+Inputs!$B$27+Inputs!$B$31,IF(Skills!C14=2,90+Inputs!$B$28+Inputs!$B$31,IF(Skills!C14=3,120+Inputs!$B$29+Inputs!$B$31,MAX(0,(Inputs!$B$3-100)*3)+Inputs!$B$30+Inputs!$B$31)))</f>
        <v/>
      </c>
      <c r="E253">
        <f>INDEX(FactorTable!$B$2:$Y$301, MATCH(ROUND(MIN(300,MAX(1,D253)),0), FactorTable!$A$2:$A$301,0), Skills!L14+1)</f>
        <v/>
      </c>
      <c r="F253">
        <f>IF(Skills!M14=TRUE,(Skills!K14/10)*(E253/1000),Skills!K14/10)+Skills!N14</f>
        <v/>
      </c>
      <c r="G253">
        <f>Calc!G14</f>
        <v/>
      </c>
      <c r="H253">
        <f>Calc!H14</f>
        <v/>
      </c>
      <c r="I253">
        <f>IF(Skills!T14&lt;&gt;"",1+(Skills!T14/10)*($Z$3/1000)/100,1)</f>
        <v/>
      </c>
      <c r="J253">
        <f>(Inputs!$B$7*(1+Inputs!$B$8/100))*(F253/100)</f>
        <v/>
      </c>
      <c r="K253">
        <f>J253*(1+(((Inputs!$B$14+IF(Inputs!$B$3&gt;=35,0.10*(Inputs!$B$9*(1+Inputs!$B$10/100)),0))*(1+Inputs!$B$15/100))*0.01+Inputs!$B$16*0.0025)/100)*(1+(Inputs!$B$17+B270)/100)*(1+IF(Inputs!$B$40="pvp",0,(1-Summary!$B$48)*(Inputs!$B$22+Skills!O14+B268)+Summary!$B$48*(Inputs!$B$23+Skills!P14+B269))/100)*(1+(Inputs!$B$18+1)/100)*(5000/(6000+Inputs!$B$42*(1-Inputs!$B$21/100)))*(1+Inputs!$B$26/100)*(1+IF(C256=TRUE,F256,0)/100)*(1+IF(C258=TRUE,F258,0)/100)*(1+IF(Skills!A14="TRIUMPH_FEATHER",IF(C254=TRUE,F254,0),0)/100)*(1+IF(C265=TRUE,F265,0)/100)^5*(1+(IF(Skills!A14="BIG_BANG",Inputs!$B$19,Inputs!$B$20))/100)*(B267*I253)</f>
        <v/>
      </c>
      <c r="L253">
        <f>K253*(MIN(Inputs!$B$24+(F260-Calc!F21),Inputs!$B$25)/100+Inputs!$B$25/100)/2</f>
        <v/>
      </c>
      <c r="M253">
        <f>L253*(1+(Inputs!$B$12+B271+(F263-Calc!F24))/100)</f>
        <v/>
      </c>
      <c r="N253">
        <f>L253*(1-MIN(Inputs!$B$11+((F262-Calc!F23)+(F261-Calc!F22)),100)/100)+M253*(MIN(Inputs!$B$11+((F262-Calc!F23)+(F261-Calc!F22)),100)/100)</f>
        <v/>
      </c>
      <c r="O253">
        <f>IF(C253,Skills!F14*N253*((IF(Inputs!$B$3&gt;=78,25,15)/100*B273*10)/(1+IF(Inputs!$B$3&gt;=78,25,15)/100*B273*10))*(Skills!I14/100*B273)/(1+Skills!G14*Skills!I14/100*B273)*IF(Inputs!$B$40="pvp",1,(1-Summary!$B$48)*(1)+Summary!$B$48*(MIN(Skills!Q14,Inputs!$B$39))),0)</f>
        <v/>
      </c>
      <c r="P253">
        <f>IF(B277=0,0,O253/B277)</f>
        <v/>
      </c>
      <c r="Q253">
        <f>IFERROR(1/IF(Inputs!$B$40="pvp",15,MAX(0.1,Skills!D14-IF(Skills!E14=TRUE,Inputs!$B$34,0))),0)</f>
        <v/>
      </c>
      <c r="R253" t="n">
        <v>0</v>
      </c>
    </row>
    <row r="254">
      <c r="A254">
        <f>Skills!A15</f>
        <v/>
      </c>
      <c r="B254">
        <f>Skills!B15</f>
        <v/>
      </c>
      <c r="C254">
        <f>Inputs!$B$3&gt;=100</f>
        <v/>
      </c>
      <c r="D254">
        <f>IF(Skills!C15=1,60+Inputs!$B$27+Inputs!$B$31,IF(Skills!C15=2,90+Inputs!$B$28+Inputs!$B$31,IF(Skills!C15=3,120+Inputs!$B$29+Inputs!$B$31,MAX(0,(Inputs!$B$3-100)*3)+Inputs!$B$30+Inputs!$B$31)))</f>
        <v/>
      </c>
      <c r="E254">
        <f>INDEX(FactorTable!$B$2:$Y$301, MATCH(ROUND(MIN(300,MAX(1,D254)),0), FactorTable!$A$2:$A$301,0), Skills!L15+1)</f>
        <v/>
      </c>
      <c r="F254">
        <f>IF(Skills!M15=TRUE,(Skills!K15/10)*(E254/1000),Skills!K15/10)+Skills!N15</f>
        <v/>
      </c>
      <c r="G254">
        <f>Calc!G15</f>
        <v/>
      </c>
      <c r="H254">
        <f>Calc!H15</f>
        <v/>
      </c>
      <c r="I254">
        <f>IF(Skills!T15&lt;&gt;"",1+(Skills!T15/10)*($Z$3/1000)/100,1)</f>
        <v/>
      </c>
      <c r="J254" t="inlineStr"/>
      <c r="K254" t="inlineStr"/>
      <c r="L254" t="inlineStr"/>
      <c r="M254" t="inlineStr"/>
      <c r="N254" t="inlineStr"/>
      <c r="O254" t="n">
        <v>0</v>
      </c>
      <c r="P254">
        <f>IF(B277=0,0,O254/B277)</f>
        <v/>
      </c>
      <c r="Q254">
        <f>IFERROR(1/IF(Inputs!$B$40="pvp",15,MAX(0.1,Skills!D15-IF(Skills!E15=TRUE,Inputs!$B$34,0))),0)</f>
        <v/>
      </c>
      <c r="R254" t="n">
        <v>0</v>
      </c>
    </row>
    <row r="255">
      <c r="A255">
        <f>Skills!A16</f>
        <v/>
      </c>
      <c r="B255">
        <f>Skills!B16</f>
        <v/>
      </c>
      <c r="C255">
        <f>Inputs!$B$3&gt;=49</f>
        <v/>
      </c>
      <c r="D255">
        <f>IF(Skills!C16=1,60+Inputs!$B$27+Inputs!$B$31,IF(Skills!C16=2,90+Inputs!$B$28+Inputs!$B$31,IF(Skills!C16=3,120+Inputs!$B$29+Inputs!$B$31,MAX(0,(Inputs!$B$3-100)*3)+Inputs!$B$30+Inputs!$B$31)))</f>
        <v/>
      </c>
      <c r="E255">
        <f>INDEX(FactorTable!$B$2:$Y$301, MATCH(ROUND(MIN(300,MAX(1,D255)),0), FactorTable!$A$2:$A$301,0), Skills!L16+1)</f>
        <v/>
      </c>
      <c r="F255">
        <f>IF(Skills!M16=TRUE,(Skills!K16/10)*(E255/1000),Skills!K16/10)+Skills!N16</f>
        <v/>
      </c>
      <c r="G255">
        <f>Calc!G16</f>
        <v/>
      </c>
      <c r="H255">
        <f>Calc!H16</f>
        <v/>
      </c>
      <c r="I255">
        <f>IF(Skills!T16&lt;&gt;"",1+(Skills!T16/10)*($Z$3/1000)/100,1)</f>
        <v/>
      </c>
      <c r="J255" t="inlineStr"/>
      <c r="K255" t="inlineStr"/>
      <c r="L255" t="inlineStr"/>
      <c r="M255" t="inlineStr"/>
      <c r="N255" t="inlineStr"/>
      <c r="O255" t="n">
        <v>0</v>
      </c>
      <c r="P255">
        <f>IF(B277=0,0,O255/B277)</f>
        <v/>
      </c>
      <c r="Q255">
        <f>IFERROR(1/IF(Inputs!$B$40="pvp",15,MAX(0.1,Skills!D16-IF(Skills!E16=TRUE,Inputs!$B$34,0))),0)</f>
        <v/>
      </c>
      <c r="R255" t="n">
        <v>0</v>
      </c>
    </row>
    <row r="256">
      <c r="A256">
        <f>Skills!A17</f>
        <v/>
      </c>
      <c r="B256">
        <f>Skills!B17</f>
        <v/>
      </c>
      <c r="C256">
        <f>Inputs!$B$3&gt;=75</f>
        <v/>
      </c>
      <c r="D256">
        <f>IF(Skills!C17=1,60+Inputs!$B$27+Inputs!$B$31,IF(Skills!C17=2,90+Inputs!$B$28+Inputs!$B$31,IF(Skills!C17=3,120+Inputs!$B$29+Inputs!$B$31,MAX(0,(Inputs!$B$3-100)*3)+Inputs!$B$30+Inputs!$B$31)))</f>
        <v/>
      </c>
      <c r="E256">
        <f>INDEX(FactorTable!$B$2:$Y$301, MATCH(ROUND(MIN(300,MAX(1,D256)),0), FactorTable!$A$2:$A$301,0), Skills!L17+1)</f>
        <v/>
      </c>
      <c r="F256">
        <f>IF(Skills!M17=TRUE,(Skills!K17/10)*(E256/1000),Skills!K17/10)+Skills!N17</f>
        <v/>
      </c>
      <c r="G256">
        <f>Calc!G17</f>
        <v/>
      </c>
      <c r="H256">
        <f>Calc!H17</f>
        <v/>
      </c>
      <c r="I256">
        <f>IF(Skills!T17&lt;&gt;"",1+(Skills!T17/10)*($Z$3/1000)/100,1)</f>
        <v/>
      </c>
      <c r="J256" t="inlineStr"/>
      <c r="K256" t="inlineStr"/>
      <c r="L256" t="inlineStr"/>
      <c r="M256" t="inlineStr"/>
      <c r="N256" t="inlineStr"/>
      <c r="O256" t="n">
        <v>0</v>
      </c>
      <c r="P256">
        <f>IF(B277=0,0,O256/B277)</f>
        <v/>
      </c>
      <c r="Q256">
        <f>IFERROR(1/IF(Inputs!$B$40="pvp",15,MAX(0.1,Skills!D17-IF(Skills!E17=TRUE,Inputs!$B$34,0))),0)</f>
        <v/>
      </c>
      <c r="R256" t="n">
        <v>0</v>
      </c>
    </row>
    <row r="257">
      <c r="A257">
        <f>Skills!A18</f>
        <v/>
      </c>
      <c r="B257">
        <f>Skills!B18</f>
        <v/>
      </c>
      <c r="C257">
        <f>Inputs!$B$3&gt;=110</f>
        <v/>
      </c>
      <c r="D257">
        <f>IF(Skills!C18=1,60+Inputs!$B$27+Inputs!$B$31,IF(Skills!C18=2,90+Inputs!$B$28+Inputs!$B$31,IF(Skills!C18=3,120+Inputs!$B$29+Inputs!$B$31,MAX(0,(Inputs!$B$3-100)*3)+Inputs!$B$30+Inputs!$B$31)))</f>
        <v/>
      </c>
      <c r="E257">
        <f>INDEX(FactorTable!$B$2:$Y$301, MATCH(ROUND(MIN(300,MAX(1,D257)),0), FactorTable!$A$2:$A$301,0), Skills!L18+1)</f>
        <v/>
      </c>
      <c r="F257">
        <f>(Skills!K18/10)*(E257/1000)*64/45+Skills!N18</f>
        <v/>
      </c>
      <c r="G257">
        <f>Calc!G18</f>
        <v/>
      </c>
      <c r="H257">
        <f>Calc!H18</f>
        <v/>
      </c>
      <c r="I257">
        <f>IF(Skills!T18&lt;&gt;"",1+(Skills!T18/10)*($Z$3/1000)/100,1)</f>
        <v/>
      </c>
      <c r="J257" t="inlineStr"/>
      <c r="K257" t="inlineStr"/>
      <c r="L257" t="inlineStr"/>
      <c r="M257" t="inlineStr"/>
      <c r="N257" t="inlineStr"/>
      <c r="O257" t="n">
        <v>0</v>
      </c>
      <c r="P257">
        <f>IF(B277=0,0,O257/B277)</f>
        <v/>
      </c>
      <c r="Q257">
        <f>IFERROR(1/IF(Inputs!$B$40="pvp",15,MAX(0.1,Skills!D18-IF(Skills!E18=TRUE,Inputs!$B$34,0))),0)</f>
        <v/>
      </c>
      <c r="R257">
        <f>IF(AND(Inputs!$B$40&lt;&gt;"pvp",Inputs!$B$43&gt;0),(INT(Inputs!$B$43/IF(Inputs!$B$40="pvp",15,MAX(0.1,Skills!D18-IF(Skills!E18=TRUE,Inputs!$B$34,0))))+1),0)</f>
        <v/>
      </c>
    </row>
    <row r="258">
      <c r="A258">
        <f>Skills!A19</f>
        <v/>
      </c>
      <c r="B258">
        <f>Skills!B19</f>
        <v/>
      </c>
      <c r="C258">
        <f>Inputs!$B$3&gt;=125</f>
        <v/>
      </c>
      <c r="D258">
        <f>IF(Skills!C19=1,60+Inputs!$B$27+Inputs!$B$31,IF(Skills!C19=2,90+Inputs!$B$28+Inputs!$B$31,IF(Skills!C19=3,120+Inputs!$B$29+Inputs!$B$31,MAX(0,(Inputs!$B$3-100)*3)+Inputs!$B$30+Inputs!$B$31)))</f>
        <v/>
      </c>
      <c r="E258">
        <f>INDEX(FactorTable!$B$2:$Y$301, MATCH(ROUND(MIN(300,MAX(1,D258)),0), FactorTable!$A$2:$A$301,0), Skills!L19+1)</f>
        <v/>
      </c>
      <c r="F258">
        <f>IF(Skills!M19=TRUE,(Skills!K19/10)*(E258/1000),Skills!K19/10)+Skills!N19</f>
        <v/>
      </c>
      <c r="G258">
        <f>Calc!G19</f>
        <v/>
      </c>
      <c r="H258">
        <f>Calc!H19</f>
        <v/>
      </c>
      <c r="I258">
        <f>IF(Skills!T19&lt;&gt;"",1+(Skills!T19/10)*($Z$3/1000)/100,1)</f>
        <v/>
      </c>
      <c r="J258" t="inlineStr"/>
      <c r="K258" t="inlineStr"/>
      <c r="L258" t="inlineStr"/>
      <c r="M258" t="inlineStr"/>
      <c r="N258" t="inlineStr"/>
      <c r="O258" t="n">
        <v>0</v>
      </c>
      <c r="P258">
        <f>IF(B277=0,0,O258/B277)</f>
        <v/>
      </c>
      <c r="Q258">
        <f>IFERROR(1/IF(Inputs!$B$40="pvp",15,MAX(0.1,Skills!D19-IF(Skills!E19=TRUE,Inputs!$B$34,0))),0)</f>
        <v/>
      </c>
      <c r="R258" t="n">
        <v>0</v>
      </c>
    </row>
    <row r="259">
      <c r="A259">
        <f>Skills!A20</f>
        <v/>
      </c>
      <c r="B259">
        <f>Skills!B20</f>
        <v/>
      </c>
      <c r="C259">
        <f>Inputs!$B$3&gt;=33</f>
        <v/>
      </c>
      <c r="D259">
        <f>IF(Skills!C20=1,60+Inputs!$B$27+Inputs!$B$31,IF(Skills!C20=2,90+Inputs!$B$28+Inputs!$B$31,IF(Skills!C20=3,120+Inputs!$B$29+Inputs!$B$31,MAX(0,(Inputs!$B$3-100)*3)+Inputs!$B$30+Inputs!$B$31)))</f>
        <v/>
      </c>
      <c r="E259">
        <f>INDEX(FactorTable!$B$2:$Y$301, MATCH(ROUND(MIN(300,MAX(1,D259)),0), FactorTable!$A$2:$A$301,0), Skills!L20+1)</f>
        <v/>
      </c>
      <c r="F259">
        <f>IF(Skills!M20=TRUE,(Skills!K20/10)*(E259/1000),Skills!K20/10)+Skills!N20</f>
        <v/>
      </c>
      <c r="G259">
        <f>Calc!G20</f>
        <v/>
      </c>
      <c r="H259">
        <f>Calc!H20</f>
        <v/>
      </c>
      <c r="I259">
        <f>IF(Skills!T20&lt;&gt;"",1+(Skills!T20/10)*($Z$3/1000)/100,1)</f>
        <v/>
      </c>
      <c r="J259" t="inlineStr"/>
      <c r="K259" t="inlineStr"/>
      <c r="L259" t="inlineStr"/>
      <c r="M259" t="inlineStr"/>
      <c r="N259" t="inlineStr"/>
      <c r="O259" t="n">
        <v>0</v>
      </c>
      <c r="P259">
        <f>IF(B277=0,0,O259/B277)</f>
        <v/>
      </c>
      <c r="Q259">
        <f>IFERROR(1/IF(Inputs!$B$40="pvp",15,MAX(0.1,Skills!D20-IF(Skills!E20=TRUE,Inputs!$B$34,0))),0)</f>
        <v/>
      </c>
      <c r="R259" t="n">
        <v>0</v>
      </c>
    </row>
    <row r="260">
      <c r="A260">
        <f>Skills!A21</f>
        <v/>
      </c>
      <c r="B260">
        <f>Skills!B21</f>
        <v/>
      </c>
      <c r="C260">
        <f>Inputs!$B$3&gt;=43</f>
        <v/>
      </c>
      <c r="D260">
        <f>IF(Skills!C21=1,60+Inputs!$B$27+Inputs!$B$31,IF(Skills!C21=2,90+Inputs!$B$28+Inputs!$B$31,IF(Skills!C21=3,120+Inputs!$B$29+Inputs!$B$31,MAX(0,(Inputs!$B$3-100)*3)+Inputs!$B$30+Inputs!$B$31)))</f>
        <v/>
      </c>
      <c r="E260">
        <f>INDEX(FactorTable!$B$2:$Y$301, MATCH(ROUND(MIN(300,MAX(1,D260)),0), FactorTable!$A$2:$A$301,0), Skills!L21+1)</f>
        <v/>
      </c>
      <c r="F260">
        <f>IF(Skills!M21=TRUE,(Skills!K21/10)*(E260/1000),Skills!K21/10)+Skills!N21</f>
        <v/>
      </c>
      <c r="G260">
        <f>Calc!G21</f>
        <v/>
      </c>
      <c r="H260">
        <f>Calc!H21</f>
        <v/>
      </c>
      <c r="I260">
        <f>IF(Skills!T21&lt;&gt;"",1+(Skills!T21/10)*($Z$3/1000)/100,1)</f>
        <v/>
      </c>
      <c r="J260" t="inlineStr"/>
      <c r="K260" t="inlineStr"/>
      <c r="L260" t="inlineStr"/>
      <c r="M260" t="inlineStr"/>
      <c r="N260" t="inlineStr"/>
      <c r="O260" t="n">
        <v>0</v>
      </c>
      <c r="P260">
        <f>IF(B277=0,0,O260/B277)</f>
        <v/>
      </c>
      <c r="Q260">
        <f>IFERROR(1/IF(Inputs!$B$40="pvp",15,MAX(0.1,Skills!D21-IF(Skills!E21=TRUE,Inputs!$B$34,0))),0)</f>
        <v/>
      </c>
      <c r="R260" t="n">
        <v>0</v>
      </c>
    </row>
    <row r="261">
      <c r="A261">
        <f>Skills!A22</f>
        <v/>
      </c>
      <c r="B261">
        <f>Skills!B22</f>
        <v/>
      </c>
      <c r="C261">
        <f>Inputs!$B$3&gt;=50</f>
        <v/>
      </c>
      <c r="D261">
        <f>IF(Skills!C22=1,60+Inputs!$B$27+Inputs!$B$31,IF(Skills!C22=2,90+Inputs!$B$28+Inputs!$B$31,IF(Skills!C22=3,120+Inputs!$B$29+Inputs!$B$31,MAX(0,(Inputs!$B$3-100)*3)+Inputs!$B$30+Inputs!$B$31)))</f>
        <v/>
      </c>
      <c r="E261">
        <f>INDEX(FactorTable!$B$2:$Y$301, MATCH(ROUND(MIN(300,MAX(1,D261)),0), FactorTable!$A$2:$A$301,0), Skills!L22+1)</f>
        <v/>
      </c>
      <c r="F261">
        <f>IF(Skills!M22=TRUE,(Skills!K22/10)*(E261/1000),Skills!K22/10)+Skills!N22</f>
        <v/>
      </c>
      <c r="G261">
        <f>Calc!G22</f>
        <v/>
      </c>
      <c r="H261">
        <f>Calc!H22</f>
        <v/>
      </c>
      <c r="I261">
        <f>IF(Skills!T22&lt;&gt;"",1+(Skills!T22/10)*($Z$3/1000)/100,1)</f>
        <v/>
      </c>
      <c r="J261" t="inlineStr"/>
      <c r="K261" t="inlineStr"/>
      <c r="L261" t="inlineStr"/>
      <c r="M261" t="inlineStr"/>
      <c r="N261" t="inlineStr"/>
      <c r="O261" t="n">
        <v>0</v>
      </c>
      <c r="P261">
        <f>IF(B277=0,0,O261/B277)</f>
        <v/>
      </c>
      <c r="Q261">
        <f>IFERROR(1/IF(Inputs!$B$40="pvp",15,MAX(0.1,Skills!D22-IF(Skills!E22=TRUE,Inputs!$B$34,0))),0)</f>
        <v/>
      </c>
      <c r="R261" t="n">
        <v>0</v>
      </c>
    </row>
    <row r="262">
      <c r="A262">
        <f>Skills!A23</f>
        <v/>
      </c>
      <c r="B262">
        <f>Skills!B23</f>
        <v/>
      </c>
      <c r="C262">
        <f>Inputs!$B$3&gt;=74</f>
        <v/>
      </c>
      <c r="D262">
        <f>IF(Skills!C23=1,60+Inputs!$B$27+Inputs!$B$31,IF(Skills!C23=2,90+Inputs!$B$28+Inputs!$B$31,IF(Skills!C23=3,120+Inputs!$B$29+Inputs!$B$31,MAX(0,(Inputs!$B$3-100)*3)+Inputs!$B$30+Inputs!$B$31)))</f>
        <v/>
      </c>
      <c r="E262">
        <f>INDEX(FactorTable!$B$2:$Y$301, MATCH(ROUND(MIN(300,MAX(1,D262)),0), FactorTable!$A$2:$A$301,0), Skills!L23+1)</f>
        <v/>
      </c>
      <c r="F262">
        <f>IF(Skills!M23=TRUE,(Skills!K23/10)*(E262/1000),Skills!K23/10)+Skills!N23</f>
        <v/>
      </c>
      <c r="G262">
        <f>Calc!G23</f>
        <v/>
      </c>
      <c r="H262">
        <f>Calc!H23</f>
        <v/>
      </c>
      <c r="I262">
        <f>IF(Skills!T23&lt;&gt;"",1+(Skills!T23/10)*($Z$3/1000)/100,1)</f>
        <v/>
      </c>
      <c r="J262" t="inlineStr"/>
      <c r="K262" t="inlineStr"/>
      <c r="L262" t="inlineStr"/>
      <c r="M262" t="inlineStr"/>
      <c r="N262" t="inlineStr"/>
      <c r="O262" t="n">
        <v>0</v>
      </c>
      <c r="P262">
        <f>IF(B277=0,0,O262/B277)</f>
        <v/>
      </c>
      <c r="Q262">
        <f>IFERROR(1/IF(Inputs!$B$40="pvp",15,MAX(0.1,Skills!D23-IF(Skills!E23=TRUE,Inputs!$B$34,0))),0)</f>
        <v/>
      </c>
      <c r="R262" t="n">
        <v>0</v>
      </c>
    </row>
    <row r="263">
      <c r="A263">
        <f>Skills!A24</f>
        <v/>
      </c>
      <c r="B263">
        <f>Skills!B24</f>
        <v/>
      </c>
      <c r="C263">
        <f>Inputs!$B$3&gt;=74</f>
        <v/>
      </c>
      <c r="D263">
        <f>IF(Skills!C24=1,60+Inputs!$B$27+Inputs!$B$31,IF(Skills!C24=2,90+Inputs!$B$28+Inputs!$B$31,IF(Skills!C24=3,120+Inputs!$B$29+Inputs!$B$31,MAX(0,(Inputs!$B$3-100)*3)+Inputs!$B$30+Inputs!$B$31)))</f>
        <v/>
      </c>
      <c r="E263">
        <f>INDEX(FactorTable!$B$2:$Y$301, MATCH(ROUND(MIN(300,MAX(1,D263)),0), FactorTable!$A$2:$A$301,0), Skills!L24+1)</f>
        <v/>
      </c>
      <c r="F263">
        <f>IF(Skills!M24=TRUE,(Skills!K24/10)*(E263/1000),Skills!K24/10)+Skills!N24</f>
        <v/>
      </c>
      <c r="G263">
        <f>Calc!G24</f>
        <v/>
      </c>
      <c r="H263">
        <f>Calc!H24</f>
        <v/>
      </c>
      <c r="I263">
        <f>IF(Skills!T24&lt;&gt;"",1+(Skills!T24/10)*($Z$3/1000)/100,1)</f>
        <v/>
      </c>
      <c r="J263" t="inlineStr"/>
      <c r="K263" t="inlineStr"/>
      <c r="L263" t="inlineStr"/>
      <c r="M263" t="inlineStr"/>
      <c r="N263" t="inlineStr"/>
      <c r="O263" t="n">
        <v>0</v>
      </c>
      <c r="P263">
        <f>IF(B277=0,0,O263/B277)</f>
        <v/>
      </c>
      <c r="Q263">
        <f>IFERROR(1/IF(Inputs!$B$40="pvp",15,MAX(0.1,Skills!D24-IF(Skills!E24=TRUE,Inputs!$B$34,0))),0)</f>
        <v/>
      </c>
      <c r="R263" t="n">
        <v>0</v>
      </c>
    </row>
    <row r="264">
      <c r="A264">
        <f>Skills!A25</f>
        <v/>
      </c>
      <c r="B264">
        <f>Skills!B25</f>
        <v/>
      </c>
      <c r="C264">
        <f>Inputs!$B$3&gt;=117</f>
        <v/>
      </c>
      <c r="D264">
        <f>IF(Skills!C25=1,60+Inputs!$B$27+Inputs!$B$31,IF(Skills!C25=2,90+Inputs!$B$28+Inputs!$B$31,IF(Skills!C25=3,120+Inputs!$B$29+Inputs!$B$31,MAX(0,(Inputs!$B$3-100)*3)+Inputs!$B$30+Inputs!$B$31)))</f>
        <v/>
      </c>
      <c r="E264">
        <f>INDEX(FactorTable!$B$2:$Y$301, MATCH(ROUND(MIN(300,MAX(1,D264)),0), FactorTable!$A$2:$A$301,0), Skills!L25+1)</f>
        <v/>
      </c>
      <c r="F264">
        <f>IF(Skills!M25=TRUE,(Skills!K25/10)*(E264/1000),Skills!K25/10)+Skills!N25</f>
        <v/>
      </c>
      <c r="G264">
        <f>Calc!G25</f>
        <v/>
      </c>
      <c r="H264">
        <f>Calc!H25</f>
        <v/>
      </c>
      <c r="I264">
        <f>IF(Skills!T25&lt;&gt;"",1+(Skills!T25/10)*($Z$3/1000)/100,1)</f>
        <v/>
      </c>
      <c r="J264" t="inlineStr"/>
      <c r="K264" t="inlineStr"/>
      <c r="L264" t="inlineStr"/>
      <c r="M264" t="inlineStr"/>
      <c r="N264" t="inlineStr"/>
      <c r="O264" t="n">
        <v>0</v>
      </c>
      <c r="P264">
        <f>IF(B277=0,0,O264/B277)</f>
        <v/>
      </c>
      <c r="Q264">
        <f>IFERROR(1/IF(Inputs!$B$40="pvp",15,MAX(0.1,Skills!D25-IF(Skills!E25=TRUE,Inputs!$B$34,0))),0)</f>
        <v/>
      </c>
      <c r="R264" t="n">
        <v>0</v>
      </c>
    </row>
    <row r="265">
      <c r="A265">
        <f>Skills!A26</f>
        <v/>
      </c>
      <c r="B265">
        <f>Skills!B26</f>
        <v/>
      </c>
      <c r="C265">
        <f>Inputs!$B$3&gt;=120</f>
        <v/>
      </c>
      <c r="D265">
        <f>IF(Skills!C26=1,60+Inputs!$B$27+Inputs!$B$31,IF(Skills!C26=2,90+Inputs!$B$28+Inputs!$B$31,IF(Skills!C26=3,120+Inputs!$B$29+Inputs!$B$31,MAX(0,(Inputs!$B$3-100)*3)+Inputs!$B$30+Inputs!$B$31)))</f>
        <v/>
      </c>
      <c r="E265">
        <f>INDEX(FactorTable!$B$2:$Y$301, MATCH(ROUND(MIN(300,MAX(1,D265)),0), FactorTable!$A$2:$A$301,0), Skills!L26+1)</f>
        <v/>
      </c>
      <c r="F265">
        <f>IF(Skills!M26=TRUE,(Skills!K26/10)*(E265/1000),Skills!K26/10)+Skills!N26</f>
        <v/>
      </c>
      <c r="G265">
        <f>Calc!G26</f>
        <v/>
      </c>
      <c r="H265">
        <f>Calc!H26</f>
        <v/>
      </c>
      <c r="I265">
        <f>IF(Skills!T26&lt;&gt;"",1+(Skills!T26/10)*($Z$3/1000)/100,1)</f>
        <v/>
      </c>
      <c r="J265" t="inlineStr"/>
      <c r="K265" t="inlineStr"/>
      <c r="L265" t="inlineStr"/>
      <c r="M265" t="inlineStr"/>
      <c r="N265" t="inlineStr"/>
      <c r="O265" t="n">
        <v>0</v>
      </c>
      <c r="P265">
        <f>IF(B277=0,0,O265/B277)</f>
        <v/>
      </c>
      <c r="Q265">
        <f>IFERROR(1/IF(Inputs!$B$40="pvp",15,MAX(0.1,Skills!D26-IF(Skills!E26=TRUE,Inputs!$B$34,0))),0)</f>
        <v/>
      </c>
      <c r="R265" t="n">
        <v>0</v>
      </c>
    </row>
    <row r="267">
      <c r="A267" t="inlineStr">
        <is>
          <t>Average Buff Multiplier</t>
        </is>
      </c>
      <c r="B267">
        <f>(1+(IF(C242=TRUE,F242*IF(AND(Inputs!$B$40&lt;&gt;"pvp",Inputs!$B$43&gt;0),(((R242-1)*(Skills!S3*(1+(Inputs!$B$36+IF(Inputs!$B$3&gt;=117,F264,0))/100))+MIN((Skills!S3*(1+(Inputs!$B$36+IF(Inputs!$B$3&gt;=117,F264,0))/100)),MAX(0,Inputs!$B$43-((R242-1)*Skills!D3))))/Inputs!$B$43),IF(Inputs!$B$40="pvp",MIN((Skills!S3*(1+(Inputs!$B$36+IF(Inputs!$B$3&gt;=117,F264,0))/100)),15)/15,(Skills!S3*(1+(Inputs!$B$36+IF(Inputs!$B$3&gt;=117,F264,0))/100))/Skills!D3)),0)+IF(C243=TRUE,F243*IF(AND(Inputs!$B$40&lt;&gt;"pvp",Inputs!$B$43&gt;0),(((R243-1)*(Skills!S4*(1+(Inputs!$B$36+IF(Inputs!$B$3&gt;=117,F264,0))/100))+MIN((Skills!S4*(1+(Inputs!$B$36+IF(Inputs!$B$3&gt;=117,F264,0))/100)),MAX(0,Inputs!$B$43-((R243-1)*Skills!D4))))/Inputs!$B$43),IF(Inputs!$B$40="pvp",MIN((Skills!S4*(1+(Inputs!$B$36+IF(Inputs!$B$3&gt;=117,F264,0))/100)),15)/15,(Skills!S4*(1+(Inputs!$B$36+IF(Inputs!$B$3&gt;=117,F264,0))/100))/Skills!D4)),0)+IF(C244=TRUE,F244*IF(AND(Inputs!$B$40&lt;&gt;"pvp",Inputs!$B$43&gt;0),(((R244-1)*(Skills!S5*(1+(Inputs!$B$36+IF(Inputs!$B$3&gt;=117,F264,0))/100))+MIN((Skills!S5*(1+(Inputs!$B$36+IF(Inputs!$B$3&gt;=117,F264,0))/100)),MAX(0,Inputs!$B$43-((R244-1)*Skills!D5))))/Inputs!$B$43),IF(Inputs!$B$40="pvp",MIN((Skills!S5*(1+(Inputs!$B$36+IF(Inputs!$B$3&gt;=117,F264,0))/100)),15)/15,(Skills!S5*(1+(Inputs!$B$36+IF(Inputs!$B$3&gt;=117,F264,0))/100))/Skills!D5)),0)+IF(C250=TRUE,F250*IF(AND(Inputs!$B$40&lt;&gt;"pvp",Inputs!$B$43&gt;0),(((R250-1)*(Skills!S11*(1+(Inputs!$B$36+IF(Inputs!$B$3&gt;=117,F264,0))/100))+MIN((Skills!S11*(1+(Inputs!$B$36+IF(Inputs!$B$3&gt;=117,F264,0))/100)),MAX(0,Inputs!$B$43-((R250-1)*Skills!D11))))/Inputs!$B$43),IF(Inputs!$B$40="pvp",MIN((Skills!S11*(1+(Inputs!$B$36+IF(Inputs!$B$3&gt;=117,F264,0))/100)),15)/15,(Skills!S11*(1+(Inputs!$B$36+IF(Inputs!$B$3&gt;=117,F264,0))/100))/Skills!D11)),0))/100)*IF(C252=TRUE,(1+F252*IF(AND(Inputs!$B$40&lt;&gt;"pvp",Inputs!$B$43&gt;0),(((R252-1)*(Skills!S13*(1+(Inputs!$B$36+IF(Inputs!$B$3&gt;=117,F264,0))/100))+MIN((Skills!S13*(1+(Inputs!$B$36+IF(Inputs!$B$3&gt;=117,F264,0))/100)),MAX(0,Inputs!$B$43-((R252-1)*Skills!D13))))/Inputs!$B$43),IF(Inputs!$B$40="pvp",MIN((Skills!S13*(1+(Inputs!$B$36+IF(Inputs!$B$3&gt;=117,F264,0))/100)),15)/15,(Skills!S13*(1+(Inputs!$B$36+IF(Inputs!$B$3&gt;=117,F264,0))/100))/Skills!D13))/100),1)*IF(C257=TRUE,(1+F257*IF(AND(Inputs!$B$40&lt;&gt;"pvp",Inputs!$B$43&gt;0),(((R257-1)*(Skills!S18*(1+(Inputs!$B$36+IF(Inputs!$B$3&gt;=117,F264,0))/100))+MIN((Skills!S18*(1+(Inputs!$B$36+IF(Inputs!$B$3&gt;=117,F264,0))/100)),MAX(0,Inputs!$B$43-((R257-1)*Skills!D18))))/Inputs!$B$43),IF(Inputs!$B$40="pvp",MIN((Skills!S18*(1+(Inputs!$B$36+IF(Inputs!$B$3&gt;=117,F264,0))/100)),15)/15,(Skills!S18*(1+(Inputs!$B$36+IF(Inputs!$B$3&gt;=117,F264,0))/100))/Skills!D18))/100),1)</f>
        <v/>
      </c>
    </row>
    <row r="268">
      <c r="A268" t="inlineStr">
        <is>
          <t>Monster Damage Taken Bonus % (Holy Fountain)</t>
        </is>
      </c>
      <c r="B268">
        <f>IF(Inputs!$B$3&gt;=68,20*IF(Inputs!$B$40="pvp",MIN((15*(1+(Inputs!$B$36+IF(Inputs!$B$3&gt;=117,F264,0))/100)),15)/15,(15*(1+(Inputs!$B$36+IF(Inputs!$B$3&gt;=117,F264,0))/100))/Skills!D10),0)</f>
        <v/>
      </c>
    </row>
    <row r="269">
      <c r="A269" t="inlineStr">
        <is>
          <t>Normal Monster Damage Bonus % (Holy Symbol)</t>
        </is>
      </c>
      <c r="B269">
        <f>IF(C251=TRUE,F251*IF(AND(Inputs!$B$40&lt;&gt;"pvp",Inputs!$B$43&gt;0),(((R251-1)*(Skills!S12*(1+(Inputs!$B$36+IF(Inputs!$B$3&gt;=117,F264,0))/100))+MIN((Skills!S12*(1+(Inputs!$B$36+IF(Inputs!$B$3&gt;=117,F264,0))/100)),MAX(0,Inputs!$B$43-((R251-1)*Skills!D12))))/Inputs!$B$43),IF(Inputs!$B$40="pvp",MIN((Skills!S12*(1+(Inputs!$B$36+IF(Inputs!$B$3&gt;=117,F264,0))/100)),15)/15,(Skills!S12*(1+(Inputs!$B$36+IF(Inputs!$B$3&gt;=117,F264,0))/100))/Skills!D12)),0)</f>
        <v/>
      </c>
    </row>
    <row r="270">
      <c r="A270" t="inlineStr">
        <is>
          <t>Damage % Bonus (Holy Symbol - Damage Boost)</t>
        </is>
      </c>
      <c r="B270">
        <f>Skills!O12</f>
        <v/>
      </c>
    </row>
    <row r="271">
      <c r="A271" t="inlineStr">
        <is>
          <t>Crit Damage % Bonus (Blood of the Divine)</t>
        </is>
      </c>
      <c r="B271">
        <f>4*IF(C258=TRUE,F258,0)</f>
        <v/>
      </c>
    </row>
    <row r="272">
      <c r="A272" t="inlineStr">
        <is>
          <t>Attack Speed Bonus %</t>
        </is>
      </c>
      <c r="B272">
        <f>IF(C255=TRUE,F255+(F259-Calc!F20),0)+IF(Inputs!$B$3&gt;=134,15,0)</f>
        <v/>
      </c>
    </row>
    <row r="273">
      <c r="A273" t="inlineStr">
        <is>
          <t>Actions Per Second</t>
        </is>
      </c>
      <c r="B273">
        <f>1+MIN(150,150*(1-(1-Inputs!$B$13/150)*(1-B272/150)))/100</f>
        <v/>
      </c>
    </row>
    <row r="274">
      <c r="A274" t="inlineStr">
        <is>
          <t>Skill + Buff Cast Rate</t>
        </is>
      </c>
      <c r="B274">
        <f>IF(AND(Inputs!$B$40&lt;&gt;"pvp",Inputs!$B$43&gt;0),SUMPRODUCT((Skills!E2:E26=TRUE)*(C241:C265=TRUE)*R241:R265)/Inputs!$B$43,SUMPRODUCT((Skills!E2:E26=TRUE)*(C241:C265=TRUE)*Q241:Q265))</f>
        <v/>
      </c>
    </row>
    <row r="275">
      <c r="A275" t="inlineStr">
        <is>
          <t>Big Bang Casts Per Second</t>
        </is>
      </c>
      <c r="B275">
        <f>MAX(0,B273-B274)</f>
        <v/>
      </c>
    </row>
    <row r="277">
      <c r="A277" s="5" t="inlineStr">
        <is>
          <t>TOTAL DPS</t>
        </is>
      </c>
      <c r="B277" s="5">
        <f>SUM(O241:O265)</f>
        <v/>
      </c>
    </row>
    <row r="280">
      <c r="A280" s="5" t="inlineStr">
        <is>
          <t>Stat: BOSS_DAMAGE %</t>
        </is>
      </c>
    </row>
    <row r="281">
      <c r="A281" s="9" t="inlineStr">
        <is>
          <t>Key</t>
        </is>
      </c>
      <c r="B281" s="9" t="inlineStr">
        <is>
          <t>Name</t>
        </is>
      </c>
      <c r="C281" s="9" t="inlineStr">
        <is>
          <t>Unlocked</t>
        </is>
      </c>
      <c r="D281" s="9" t="inlineStr">
        <is>
          <t>InputLevel</t>
        </is>
      </c>
      <c r="E281" s="9" t="inlineStr">
        <is>
          <t>Factor</t>
        </is>
      </c>
      <c r="F281" s="9" t="inlineStr">
        <is>
          <t>CoefficientPercent</t>
        </is>
      </c>
      <c r="G281" s="9" t="inlineStr">
        <is>
          <t>EffectiveHits</t>
        </is>
      </c>
      <c r="H281" s="9" t="inlineStr">
        <is>
          <t>ProcProbability</t>
        </is>
      </c>
      <c r="I281" s="9" t="inlineStr">
        <is>
          <t>MapleHeroMultiplier</t>
        </is>
      </c>
      <c r="J281" s="9" t="inlineStr">
        <is>
          <t>BaseDamage</t>
        </is>
      </c>
      <c r="K281" s="9" t="inlineStr">
        <is>
          <t>BaseHitDamage</t>
        </is>
      </c>
      <c r="L281" s="9" t="inlineStr">
        <is>
          <t>NonCritAvg</t>
        </is>
      </c>
      <c r="M281" s="9" t="inlineStr">
        <is>
          <t>CritAvg</t>
        </is>
      </c>
      <c r="N281" s="9" t="inlineStr">
        <is>
          <t>ExpectedDamage(perHit)</t>
        </is>
      </c>
      <c r="O281" s="9" t="inlineStr">
        <is>
          <t>DPS</t>
        </is>
      </c>
      <c r="P281" s="9" t="inlineStr">
        <is>
          <t>% of Total</t>
        </is>
      </c>
      <c r="R281" t="inlineStr">
        <is>
          <t>helpers</t>
        </is>
      </c>
    </row>
    <row r="282">
      <c r="A282">
        <f>Skills!A2</f>
        <v/>
      </c>
      <c r="B282">
        <f>Skills!B2</f>
        <v/>
      </c>
      <c r="C282">
        <f>Inputs!$B$3&gt;=100</f>
        <v/>
      </c>
      <c r="D282" t="inlineStr"/>
      <c r="E282" t="inlineStr"/>
      <c r="F282">
        <f>T284+Skills!N2</f>
        <v/>
      </c>
      <c r="G282">
        <f>Calc!G2</f>
        <v/>
      </c>
      <c r="H282">
        <f>Calc!H2</f>
        <v/>
      </c>
      <c r="I282">
        <f>IF(Skills!T2&lt;&gt;"",1+(Skills!T2/10)*($Z$3/1000)/100,1)</f>
        <v/>
      </c>
      <c r="J282">
        <f>(Inputs!$B$7*(1+Inputs!$B$8/100))*(F282/100)</f>
        <v/>
      </c>
      <c r="K282">
        <f>J282*(1+(((Inputs!$B$14+IF(Inputs!$B$3&gt;=35,0.10*(Inputs!$B$9*(1+Inputs!$B$10/100)),0))*(1+Inputs!$B$15/100))*0.01+Inputs!$B$16*0.0025)/100)*(1+(Inputs!$B$17+B311)/100)*(1+IF(Inputs!$B$40="pvp",0,(1-Summary!$B$48)*((Inputs!$B$22+1)+Skills!O2+B309)+Summary!$B$48*(Inputs!$B$23+Skills!P2+B310))/100)*(1+Inputs!$B$18/100)*(5000/(6000+Inputs!$B$42*(1-Inputs!$B$21/100)))*(1+Inputs!$B$26/100)*(1+IF(C297=TRUE,F297,0)/100)*(1+IF(C299=TRUE,F299,0)/100)*(1+IF(Skills!A2="TRIUMPH_FEATHER",IF(C295=TRUE,F295,0),0)/100)*(1+IF(C306=TRUE,F306,0)/100)^5*(1+(IF(Skills!A2="BIG_BANG",Inputs!$B$19,Inputs!$B$20))/100)*(B308*I282)</f>
        <v/>
      </c>
      <c r="L282">
        <f>K282*(MIN(Inputs!$B$24+(F301-Calc!F21),Inputs!$B$25)/100+Inputs!$B$25/100)/2</f>
        <v/>
      </c>
      <c r="M282">
        <f>L282*(1+(Inputs!$B$12+B312+(F304-Calc!F24))/100)</f>
        <v/>
      </c>
      <c r="N282">
        <f>L282*(1-MIN(Inputs!$B$11+((F303-Calc!F23)+(F302-Calc!F22)),100)/100)+M282*(MIN(Inputs!$B$11+((F303-Calc!F23)+(F302-Calc!F22)),100)/100)</f>
        <v/>
      </c>
      <c r="O282">
        <f>IF(C282,Skills!F2*N282*B316*IF(Inputs!$B$40="pvp",1,(1-Summary!$B$48)*(1)+Summary!$B$48*(MIN((6+Inputs!$B$35),Inputs!$B$39))),0)</f>
        <v/>
      </c>
      <c r="P282">
        <f>IF(B318=0,0,O282/B318)</f>
        <v/>
      </c>
      <c r="Q282">
        <f>IFERROR(1/IF(Inputs!$B$40="pvp",15,MAX(0.1,Skills!D2-IF(Skills!E2=TRUE,Inputs!$B$34,0))),0)</f>
        <v/>
      </c>
      <c r="R282" t="n">
        <v>0</v>
      </c>
      <c r="T282">
        <f>MAX(0,(Inputs!$B$3-100)*3)+Inputs!$B$30+Inputs!$B$31</f>
        <v/>
      </c>
    </row>
    <row r="283">
      <c r="A283">
        <f>Skills!A3</f>
        <v/>
      </c>
      <c r="B283">
        <f>Skills!B3</f>
        <v/>
      </c>
      <c r="C283">
        <f>Inputs!$B$3&gt;=15</f>
        <v/>
      </c>
      <c r="D283">
        <f>IF(Skills!C3=1,60+Inputs!$B$27+Inputs!$B$31,IF(Skills!C3=2,90+Inputs!$B$28+Inputs!$B$31,IF(Skills!C3=3,120+Inputs!$B$29+Inputs!$B$31,MAX(0,(Inputs!$B$3-100)*3)+Inputs!$B$30+Inputs!$B$31)))</f>
        <v/>
      </c>
      <c r="E283">
        <f>INDEX(FactorTable!$B$2:$Y$301, MATCH(ROUND(MIN(300,MAX(1,D283)),0), FactorTable!$A$2:$A$301,0), Skills!L3+1)</f>
        <v/>
      </c>
      <c r="F283">
        <f>IF(Skills!M3=TRUE,(Skills!K3/10)*(E283/1000),Skills!K3/10)+Skills!N3</f>
        <v/>
      </c>
      <c r="G283">
        <f>Calc!G3</f>
        <v/>
      </c>
      <c r="H283">
        <f>Calc!H3</f>
        <v/>
      </c>
      <c r="I283">
        <f>IF(Skills!T3&lt;&gt;"",1+(Skills!T3/10)*($Z$3/1000)/100,1)</f>
        <v/>
      </c>
      <c r="J283" t="inlineStr"/>
      <c r="K283" t="inlineStr"/>
      <c r="L283" t="inlineStr"/>
      <c r="M283" t="inlineStr"/>
      <c r="N283" t="inlineStr"/>
      <c r="O283" t="n">
        <v>0</v>
      </c>
      <c r="P283">
        <f>IF(B318=0,0,O283/B318)</f>
        <v/>
      </c>
      <c r="Q283">
        <f>IFERROR(1/IF(Inputs!$B$40="pvp",15,MAX(0.1,Skills!D3-IF(Skills!E3=TRUE,Inputs!$B$34,0))),0)</f>
        <v/>
      </c>
      <c r="R283">
        <f>IF(AND(Inputs!$B$40&lt;&gt;"pvp",Inputs!$B$43&gt;0),(INT(Inputs!$B$43/IF(Inputs!$B$40="pvp",15,MAX(0.1,Skills!D3-IF(Skills!E3=TRUE,Inputs!$B$34,0))))+1),0)</f>
        <v/>
      </c>
      <c r="T283">
        <f>INDEX(FactorTable!$B$2:$Y$301, MATCH(ROUND(MIN(300,MAX(1,T282)),0), FactorTable!$A$2:$A$301,0), 22)</f>
        <v/>
      </c>
    </row>
    <row r="284">
      <c r="A284">
        <f>Skills!A4</f>
        <v/>
      </c>
      <c r="B284">
        <f>Skills!B4</f>
        <v/>
      </c>
      <c r="C284">
        <f>Inputs!$B$3&gt;=38</f>
        <v/>
      </c>
      <c r="D284">
        <f>IF(Skills!C4=1,60+Inputs!$B$27+Inputs!$B$31,IF(Skills!C4=2,90+Inputs!$B$28+Inputs!$B$31,IF(Skills!C4=3,120+Inputs!$B$29+Inputs!$B$31,MAX(0,(Inputs!$B$3-100)*3)+Inputs!$B$30+Inputs!$B$31)))</f>
        <v/>
      </c>
      <c r="E284">
        <f>INDEX(FactorTable!$B$2:$Y$301, MATCH(ROUND(MIN(300,MAX(1,D284)),0), FactorTable!$A$2:$A$301,0), Skills!L4+1)</f>
        <v/>
      </c>
      <c r="F284">
        <f>IF(Skills!M4=TRUE,(Skills!K4/10)*(E284/1000),Skills!K4/10)+Skills!N4</f>
        <v/>
      </c>
      <c r="G284">
        <f>Calc!G4</f>
        <v/>
      </c>
      <c r="H284">
        <f>Calc!H4</f>
        <v/>
      </c>
      <c r="I284">
        <f>IF(Skills!T4&lt;&gt;"",1+(Skills!T4/10)*($Z$3/1000)/100,1)</f>
        <v/>
      </c>
      <c r="J284" t="inlineStr"/>
      <c r="K284" t="inlineStr"/>
      <c r="L284" t="inlineStr"/>
      <c r="M284" t="inlineStr"/>
      <c r="N284" t="inlineStr"/>
      <c r="O284" t="n">
        <v>0</v>
      </c>
      <c r="P284">
        <f>IF(B318=0,0,O284/B318)</f>
        <v/>
      </c>
      <c r="Q284">
        <f>IFERROR(1/IF(Inputs!$B$40="pvp",15,MAX(0.1,Skills!D4-IF(Skills!E4=TRUE,Inputs!$B$34,0))),0)</f>
        <v/>
      </c>
      <c r="R284">
        <f>IF(AND(Inputs!$B$40&lt;&gt;"pvp",Inputs!$B$43&gt;0),(INT(Inputs!$B$43/IF(Inputs!$B$40="pvp",15,MAX(0.1,Skills!D4-IF(Skills!E4=TRUE,Inputs!$B$34,0))))+1),0)</f>
        <v/>
      </c>
      <c r="T284">
        <f>290*T283/1000</f>
        <v/>
      </c>
    </row>
    <row r="285">
      <c r="A285">
        <f>Skills!A5</f>
        <v/>
      </c>
      <c r="B285">
        <f>Skills!B5</f>
        <v/>
      </c>
      <c r="C285">
        <f>Inputs!$B$3&gt;=40</f>
        <v/>
      </c>
      <c r="D285">
        <f>IF(Skills!C5=1,60+Inputs!$B$27+Inputs!$B$31,IF(Skills!C5=2,90+Inputs!$B$28+Inputs!$B$31,IF(Skills!C5=3,120+Inputs!$B$29+Inputs!$B$31,MAX(0,(Inputs!$B$3-100)*3)+Inputs!$B$30+Inputs!$B$31)))</f>
        <v/>
      </c>
      <c r="E285">
        <f>INDEX(FactorTable!$B$2:$Y$301, MATCH(ROUND(MIN(300,MAX(1,D285)),0), FactorTable!$A$2:$A$301,0), Skills!L5+1)</f>
        <v/>
      </c>
      <c r="F285">
        <f>IF(Skills!M5=TRUE,(Skills!K5/10)*(E285/1000),Skills!K5/10)+Skills!N5</f>
        <v/>
      </c>
      <c r="G285">
        <f>Calc!G5</f>
        <v/>
      </c>
      <c r="H285">
        <f>Calc!H5</f>
        <v/>
      </c>
      <c r="I285">
        <f>IF(Skills!T5&lt;&gt;"",1+(Skills!T5/10)*($Z$3/1000)/100,1)</f>
        <v/>
      </c>
      <c r="J285" t="inlineStr"/>
      <c r="K285" t="inlineStr"/>
      <c r="L285" t="inlineStr"/>
      <c r="M285" t="inlineStr"/>
      <c r="N285" t="inlineStr"/>
      <c r="O285" t="n">
        <v>0</v>
      </c>
      <c r="P285">
        <f>IF(B318=0,0,O285/B318)</f>
        <v/>
      </c>
      <c r="Q285">
        <f>IFERROR(1/IF(Inputs!$B$40="pvp",15,MAX(0.1,Skills!D5-IF(Skills!E5=TRUE,Inputs!$B$34,0))),0)</f>
        <v/>
      </c>
      <c r="R285">
        <f>IF(AND(Inputs!$B$40&lt;&gt;"pvp",Inputs!$B$43&gt;0),(INT(Inputs!$B$43/IF(Inputs!$B$40="pvp",15,MAX(0.1,Skills!D5-IF(Skills!E5=TRUE,Inputs!$B$34,0))))+1),0)</f>
        <v/>
      </c>
    </row>
    <row r="286">
      <c r="A286">
        <f>Skills!A6</f>
        <v/>
      </c>
      <c r="B286">
        <f>Skills!B6</f>
        <v/>
      </c>
      <c r="C286">
        <f>Inputs!$B$3&gt;=103</f>
        <v/>
      </c>
      <c r="D286">
        <f>IF(Skills!C6=1,60+Inputs!$B$27+Inputs!$B$31,IF(Skills!C6=2,90+Inputs!$B$28+Inputs!$B$31,IF(Skills!C6=3,120+Inputs!$B$29+Inputs!$B$31,MAX(0,(Inputs!$B$3-100)*3)+Inputs!$B$30+Inputs!$B$31)))</f>
        <v/>
      </c>
      <c r="E286">
        <f>INDEX(FactorTable!$B$2:$Y$301, MATCH(ROUND(MIN(300,MAX(1,D286)),0), FactorTable!$A$2:$A$301,0), Skills!L6+1)</f>
        <v/>
      </c>
      <c r="F286">
        <f>IF(Skills!M6=TRUE,(Skills!K6/10)*(E286/1000),Skills!K6/10)+Skills!N6</f>
        <v/>
      </c>
      <c r="G286">
        <f>Calc!G6</f>
        <v/>
      </c>
      <c r="H286">
        <f>Calc!H6</f>
        <v/>
      </c>
      <c r="I286">
        <f>IF(Skills!T6&lt;&gt;"",1+(Skills!T6/10)*($Z$3/1000)/100,1)</f>
        <v/>
      </c>
      <c r="J286">
        <f>(Inputs!$B$7*(1+Inputs!$B$8/100))*(F286/100)</f>
        <v/>
      </c>
      <c r="K286">
        <f>J286*(1+(((Inputs!$B$14+IF(Inputs!$B$3&gt;=35,0.10*(Inputs!$B$9*(1+Inputs!$B$10/100)),0))*(1+Inputs!$B$15/100))*0.01+Inputs!$B$16*0.0025)/100)*(1+(Inputs!$B$17+B311)/100)*(1+IF(Inputs!$B$40="pvp",0,(1-Summary!$B$48)*((Inputs!$B$22+1)+Skills!O6+B309)+Summary!$B$48*(Inputs!$B$23+Skills!P6+B310))/100)*(1+Inputs!$B$18/100)*(5000/(6000+Inputs!$B$42*(1-Inputs!$B$21/100)))*(1+Inputs!$B$26/100)*(1+IF(C297=TRUE,F297,0)/100)*(1+IF(C299=TRUE,F299,0)/100)*(1+IF(Skills!A6="TRIUMPH_FEATHER",IF(C295=TRUE,F295,0),0)/100)*(1+IF(C306=TRUE,F306,0)/100)^5*(1+(IF(Skills!A6="BIG_BANG",Inputs!$B$19,Inputs!$B$20))/100)*(B308*I286)</f>
        <v/>
      </c>
      <c r="L286">
        <f>K286*(MIN(Inputs!$B$24+(F301-Calc!F21),Inputs!$B$25)/100+Inputs!$B$25/100)/2</f>
        <v/>
      </c>
      <c r="M286">
        <f>L286*(1+(Inputs!$B$12+B312+(F304-Calc!F24))/100)</f>
        <v/>
      </c>
      <c r="N286">
        <f>L286*(1-MIN(Inputs!$B$11+((F303-Calc!F23)+(F302-Calc!F22)),100)/100)+M286*(MIN(Inputs!$B$11+((F303-Calc!F23)+(F302-Calc!F22)),100)/100)</f>
        <v/>
      </c>
      <c r="O286">
        <f>IF(C286,H286*N286*IF(AND(Inputs!$B$40&lt;&gt;"pvp",Inputs!$B$43&gt;0),((Skills!F6*((R286-1)*IF(Skills!G6&gt;0,Skills!H6/Skills!G6,1)+IF(Skills!G6&gt;0,MIN(Skills!H6,MAX(0,Inputs!$B$43-((R286-1)*IF(Inputs!$B$40="pvp",15,MAX(0.1,Skills!D6-IF(Skills!E6=TRUE,Inputs!$B$34,0))))))/Skills!G6,1)))/Inputs!$B$43),G286*Q286)*IF(Inputs!$B$40="pvp",1,(1-Summary!$B$48)*(1)+Summary!$B$48*(MIN(Skills!Q6,Inputs!$B$39))),0)</f>
        <v/>
      </c>
      <c r="P286">
        <f>IF(B318=0,0,O286/B318)</f>
        <v/>
      </c>
      <c r="Q286">
        <f>IFERROR(1/IF(Inputs!$B$40="pvp",15,MAX(0.1,Skills!D6-IF(Skills!E6=TRUE,Inputs!$B$34,0))),0)</f>
        <v/>
      </c>
      <c r="R286">
        <f>IF(AND(Inputs!$B$40&lt;&gt;"pvp",Inputs!$B$43&gt;0),(INT(Inputs!$B$43/IF(Inputs!$B$40="pvp",15,MAX(0.1,Skills!D6-IF(Skills!E6=TRUE,Inputs!$B$34,0))))+1),0)</f>
        <v/>
      </c>
    </row>
    <row r="287">
      <c r="A287">
        <f>Skills!A7</f>
        <v/>
      </c>
      <c r="B287">
        <f>Skills!B7</f>
        <v/>
      </c>
      <c r="C287">
        <f>Inputs!$B$3&gt;=122</f>
        <v/>
      </c>
      <c r="D287">
        <f>IF(Skills!C7=1,60+Inputs!$B$27+Inputs!$B$31,IF(Skills!C7=2,90+Inputs!$B$28+Inputs!$B$31,IF(Skills!C7=3,120+Inputs!$B$29+Inputs!$B$31,MAX(0,(Inputs!$B$3-100)*3)+Inputs!$B$30+Inputs!$B$31)))</f>
        <v/>
      </c>
      <c r="E287">
        <f>INDEX(FactorTable!$B$2:$Y$301, MATCH(ROUND(MIN(300,MAX(1,D287)),0), FactorTable!$A$2:$A$301,0), Skills!L7+1)</f>
        <v/>
      </c>
      <c r="F287">
        <f>IF(Skills!M7=TRUE,(Skills!K7/10)*(E287/1000),Skills!K7/10)+Skills!N7</f>
        <v/>
      </c>
      <c r="G287">
        <f>Calc!G7</f>
        <v/>
      </c>
      <c r="H287">
        <f>Calc!H7</f>
        <v/>
      </c>
      <c r="I287">
        <f>IF(Skills!T7&lt;&gt;"",1+(Skills!T7/10)*($Z$3/1000)/100,1)</f>
        <v/>
      </c>
      <c r="J287">
        <f>(Inputs!$B$7*(1+Inputs!$B$8/100))*(F287/100)</f>
        <v/>
      </c>
      <c r="K287">
        <f>J287*(1+(((Inputs!$B$14+IF(Inputs!$B$3&gt;=35,0.10*(Inputs!$B$9*(1+Inputs!$B$10/100)),0))*(1+Inputs!$B$15/100))*0.01+Inputs!$B$16*0.0025)/100)*(1+(Inputs!$B$17+B311)/100)*(1+IF(Inputs!$B$40="pvp",0,(1-Summary!$B$48)*((Inputs!$B$22+1)+Skills!O7+B309)+Summary!$B$48*(Inputs!$B$23+Skills!P7+B310))/100)*(1+Inputs!$B$18/100)*(5000/(6000+Inputs!$B$42*(1-Inputs!$B$21/100)))*(1+Inputs!$B$26/100)*(1+IF(C297=TRUE,F297,0)/100)*(1+IF(C299=TRUE,F299,0)/100)*(1+IF(Skills!A7="TRIUMPH_FEATHER",IF(C295=TRUE,F295,0),0)/100)*(1+IF(C306=TRUE,F306,0)/100)^5*(1+(IF(Skills!A7="BIG_BANG",Inputs!$B$19,Inputs!$B$20))/100)*(B308*I287)</f>
        <v/>
      </c>
      <c r="L287">
        <f>K287*(MIN(Inputs!$B$24+(F301-Calc!F21),Inputs!$B$25)/100+Inputs!$B$25/100)/2</f>
        <v/>
      </c>
      <c r="M287">
        <f>L287*(1+(Inputs!$B$12+B312+(F304-Calc!F24))/100)</f>
        <v/>
      </c>
      <c r="N287">
        <f>L287*(1-MIN(Inputs!$B$11+((F303-Calc!F23)+(F302-Calc!F22)),100)/100)+M287*(MIN(Inputs!$B$11+((F303-Calc!F23)+(F302-Calc!F22)),100)/100)</f>
        <v/>
      </c>
      <c r="O287">
        <f>IF(C287,H287*N287*IF(AND(Inputs!$B$40&lt;&gt;"pvp",Inputs!$B$43&gt;0),((Skills!F7*((R287-1)*IF(Skills!G7&gt;0,Skills!H7/Skills!G7,1)+IF(Skills!G7&gt;0,MIN(Skills!H7,MAX(0,Inputs!$B$43-((R287-1)*IF(Inputs!$B$40="pvp",15,MAX(0.1,Skills!D7-IF(Skills!E6=TRUE,Inputs!$B$34,0))))))/Skills!G7,1)))/Inputs!$B$43),G287*Q287)*(1-Summary!$B$48),0)</f>
        <v/>
      </c>
      <c r="P287">
        <f>IF(B318=0,0,O287/B318)</f>
        <v/>
      </c>
      <c r="Q287">
        <f>IFERROR(1/IF(Inputs!$B$40="pvp",15,MAX(0.1,Skills!D7-IF(Skills!E6=TRUE,Inputs!$B$34,0))),0)</f>
        <v/>
      </c>
      <c r="R287">
        <f>IF(AND(Inputs!$B$40&lt;&gt;"pvp",Inputs!$B$43&gt;0),(INT(Inputs!$B$43/IF(Inputs!$B$40="pvp",15,MAX(0.1,Skills!D7-IF(Skills!E6=TRUE,Inputs!$B$34,0))))+1),0)</f>
        <v/>
      </c>
    </row>
    <row r="288">
      <c r="A288">
        <f>Skills!A8</f>
        <v/>
      </c>
      <c r="B288">
        <f>Skills!B8</f>
        <v/>
      </c>
      <c r="C288">
        <f>Inputs!$B$3&gt;=105</f>
        <v/>
      </c>
      <c r="D288">
        <f>IF(Skills!C8=1,60+Inputs!$B$27+Inputs!$B$31,IF(Skills!C8=2,90+Inputs!$B$28+Inputs!$B$31,IF(Skills!C8=3,120+Inputs!$B$29+Inputs!$B$31,MAX(0,(Inputs!$B$3-100)*3)+Inputs!$B$30+Inputs!$B$31)))</f>
        <v/>
      </c>
      <c r="E288">
        <f>INDEX(FactorTable!$B$2:$Y$301, MATCH(ROUND(MIN(300,MAX(1,D288)),0), FactorTable!$A$2:$A$301,0), Skills!L8+1)</f>
        <v/>
      </c>
      <c r="F288">
        <f>IF(Skills!M8=TRUE,(Skills!K8/10)*(E288/1000),Skills!K8/10)+Skills!N8</f>
        <v/>
      </c>
      <c r="G288">
        <f>Calc!G8</f>
        <v/>
      </c>
      <c r="H288">
        <f>Calc!H8</f>
        <v/>
      </c>
      <c r="I288">
        <f>IF(Skills!T8&lt;&gt;"",1+(Skills!T8/10)*($Z$3/1000)/100,1)</f>
        <v/>
      </c>
      <c r="J288">
        <f>(Inputs!$B$7*(1+Inputs!$B$8/100))*(F288/100)</f>
        <v/>
      </c>
      <c r="K288">
        <f>J288*(1+(((Inputs!$B$14+IF(Inputs!$B$3&gt;=35,0.10*(Inputs!$B$9*(1+Inputs!$B$10/100)),0))*(1+Inputs!$B$15/100))*0.01+Inputs!$B$16*0.0025)/100)*(1+(Inputs!$B$17+B311)/100)*(1+IF(Inputs!$B$40="pvp",0,(1-Summary!$B$48)*((Inputs!$B$22+1)+Skills!O8+B309)+Summary!$B$48*(Inputs!$B$23+Skills!P8+B310))/100)*(1+Inputs!$B$18/100)*(5000/(6000+Inputs!$B$42*(1-Inputs!$B$21/100)))*(1+Inputs!$B$26/100)*(1+IF(C297=TRUE,F297,0)/100)*(1+IF(C299=TRUE,F299,0)/100)*(1+IF(Skills!A8="TRIUMPH_FEATHER",IF(C295=TRUE,F295,0),0)/100)*(1+IF(C306=TRUE,F306,0)/100)^5*(1+(IF(Skills!A8="BIG_BANG",Inputs!$B$19,Inputs!$B$20))/100)*(B308*I288)</f>
        <v/>
      </c>
      <c r="L288">
        <f>K288*(MIN(Inputs!$B$24+(F301-Calc!F21),Inputs!$B$25)/100+Inputs!$B$25/100)/2</f>
        <v/>
      </c>
      <c r="M288">
        <f>L288*(1+(Inputs!$B$12+B312+(F304-Calc!F24))/100)</f>
        <v/>
      </c>
      <c r="N288">
        <f>L288*(1-MIN(Inputs!$B$11+((F303-Calc!F23)+(F302-Calc!F22)),100)/100)+M288*(MIN(Inputs!$B$11+((F303-Calc!F23)+(F302-Calc!F22)),100)/100)</f>
        <v/>
      </c>
      <c r="O288">
        <f>IF(C288,H288*N288*IF(AND(Inputs!$B$40&lt;&gt;"pvp",Inputs!$B$43&gt;0),((Skills!F8*((R288-1)*IF(Skills!G8&gt;0,Skills!H8/Skills!G8,1)+IF(Skills!G8&gt;0,MIN(Skills!H8,MAX(0,Inputs!$B$43-((R288-1)*IF(Inputs!$B$40="pvp",15,MAX(0.1,Skills!D8-IF(Skills!E8=TRUE,Inputs!$B$34,0))))))/Skills!G8,1)))/Inputs!$B$43),G288*Q288)*IF(Inputs!$B$40="pvp",1,(1-Summary!$B$48)*(1)+Summary!$B$48*(MIN(Skills!Q8,Inputs!$B$39))),0)</f>
        <v/>
      </c>
      <c r="P288">
        <f>IF(B318=0,0,O288/B318)</f>
        <v/>
      </c>
      <c r="Q288">
        <f>IFERROR(1/IF(Inputs!$B$40="pvp",15,MAX(0.1,Skills!D8-IF(Skills!E8=TRUE,Inputs!$B$34,0))),0)</f>
        <v/>
      </c>
      <c r="R288">
        <f>IF(AND(Inputs!$B$40&lt;&gt;"pvp",Inputs!$B$43&gt;0),(INT(Inputs!$B$43/IF(Inputs!$B$40="pvp",15,MAX(0.1,Skills!D8-IF(Skills!E8=TRUE,Inputs!$B$34,0))))+1),0)</f>
        <v/>
      </c>
    </row>
    <row r="289">
      <c r="A289">
        <f>Skills!A9</f>
        <v/>
      </c>
      <c r="B289">
        <f>Skills!B9</f>
        <v/>
      </c>
      <c r="C289">
        <f>Inputs!$B$3&gt;=115</f>
        <v/>
      </c>
      <c r="D289">
        <f>IF(Skills!C9=1,60+Inputs!$B$27+Inputs!$B$31,IF(Skills!C9=2,90+Inputs!$B$28+Inputs!$B$31,IF(Skills!C9=3,120+Inputs!$B$29+Inputs!$B$31,MAX(0,(Inputs!$B$3-100)*3)+Inputs!$B$30+Inputs!$B$31)))</f>
        <v/>
      </c>
      <c r="E289">
        <f>INDEX(FactorTable!$B$2:$Y$301, MATCH(ROUND(MIN(300,MAX(1,D289)),0), FactorTable!$A$2:$A$301,0), Skills!L9+1)</f>
        <v/>
      </c>
      <c r="F289">
        <f>IF(Skills!M9=TRUE,(Skills!K9/10)*(E289/1000),Skills!K9/10)+Skills!N9</f>
        <v/>
      </c>
      <c r="G289">
        <f>Calc!G9</f>
        <v/>
      </c>
      <c r="H289">
        <f>Calc!H9</f>
        <v/>
      </c>
      <c r="I289">
        <f>IF(Skills!T9&lt;&gt;"",1+(Skills!T9/10)*($Z$3/1000)/100,1)</f>
        <v/>
      </c>
      <c r="J289">
        <f>(Inputs!$B$7*(1+Inputs!$B$8/100))*(F289/100)</f>
        <v/>
      </c>
      <c r="K289">
        <f>J289*(1+(((Inputs!$B$14+IF(Inputs!$B$3&gt;=35,0.10*(Inputs!$B$9*(1+Inputs!$B$10/100)),0))*(1+Inputs!$B$15/100))*0.01+Inputs!$B$16*0.0025)/100)*(1+(Inputs!$B$17+B311)/100)*(1+IF(Inputs!$B$40="pvp",0,(1-Summary!$B$48)*((Inputs!$B$22+1)+Skills!O9+B309)+Summary!$B$48*(Inputs!$B$23+Skills!P9+B310))/100)*(1+Inputs!$B$18/100)*(5000/(6000+Inputs!$B$42*(1-Inputs!$B$21/100)))*(1+Inputs!$B$26/100)*(1+IF(C297=TRUE,F297,0)/100)*(1+IF(C299=TRUE,F299,0)/100)*(1+IF(Skills!A9="TRIUMPH_FEATHER",IF(C295=TRUE,F295,0),0)/100)*(1+IF(C306=TRUE,F306,0)/100)^5*(1+(IF(Skills!A9="BIG_BANG",Inputs!$B$19,Inputs!$B$20))/100)*(B308*I289)</f>
        <v/>
      </c>
      <c r="L289">
        <f>K289*(MIN(Inputs!$B$24+(F301-Calc!F21),Inputs!$B$25)/100+Inputs!$B$25/100)/2</f>
        <v/>
      </c>
      <c r="M289">
        <f>L289*(1+(Inputs!$B$12+B312+(F304-Calc!F24))/100)</f>
        <v/>
      </c>
      <c r="N289">
        <f>L289*(1-MIN(Inputs!$B$11+((F303-Calc!F23)+(F302-Calc!F22)),100)/100)+M289*(MIN(Inputs!$B$11+((F303-Calc!F23)+(F302-Calc!F22)),100)/100)</f>
        <v/>
      </c>
      <c r="O289">
        <f>IF(C289,H289*N289*IF(AND(Inputs!$B$40&lt;&gt;"pvp",Inputs!$B$43&gt;0),((Skills!F9*((R289-1)*IF(Skills!G9&gt;0,Skills!H9/Skills!G9,1)+IF(Skills!G9&gt;0,MIN(Skills!H9,MAX(0,Inputs!$B$43-((R289-1)*IF(Inputs!$B$40="pvp",15,MAX(0.1,Skills!D9-IF(Skills!E9=TRUE,Inputs!$B$34,0))))))/Skills!G9,1)))/Inputs!$B$43),G289*Q289)*IF(Inputs!$B$40="pvp",1,(1-Summary!$B$48)*(1)+Summary!$B$48*(MIN(Skills!Q9,Inputs!$B$39))),0)</f>
        <v/>
      </c>
      <c r="P289">
        <f>IF(B318=0,0,O289/B318)</f>
        <v/>
      </c>
      <c r="Q289">
        <f>IFERROR(1/IF(Inputs!$B$40="pvp",15,MAX(0.1,Skills!D9-IF(Skills!E9=TRUE,Inputs!$B$34,0))),0)</f>
        <v/>
      </c>
      <c r="R289">
        <f>IF(AND(Inputs!$B$40&lt;&gt;"pvp",Inputs!$B$43&gt;0),(INT(Inputs!$B$43/IF(Inputs!$B$40="pvp",15,MAX(0.1,Skills!D9-IF(Skills!E9=TRUE,Inputs!$B$34,0))))+1),0)</f>
        <v/>
      </c>
    </row>
    <row r="290">
      <c r="A290">
        <f>Skills!A10</f>
        <v/>
      </c>
      <c r="B290">
        <f>Skills!B10</f>
        <v/>
      </c>
      <c r="C290">
        <f>Inputs!$B$3&gt;=66</f>
        <v/>
      </c>
      <c r="D290">
        <f>IF(Skills!C10=1,60+Inputs!$B$27+Inputs!$B$31,IF(Skills!C10=2,90+Inputs!$B$28+Inputs!$B$31,IF(Skills!C10=3,120+Inputs!$B$29+Inputs!$B$31,MAX(0,(Inputs!$B$3-100)*3)+Inputs!$B$30+Inputs!$B$31)))</f>
        <v/>
      </c>
      <c r="E290">
        <f>INDEX(FactorTable!$B$2:$Y$301, MATCH(ROUND(MIN(300,MAX(1,D290)),0), FactorTable!$A$2:$A$301,0), Skills!L10+1)</f>
        <v/>
      </c>
      <c r="F290" t="n">
        <v>0</v>
      </c>
      <c r="G290">
        <f>Calc!G10</f>
        <v/>
      </c>
      <c r="H290">
        <f>Calc!H10</f>
        <v/>
      </c>
      <c r="I290">
        <f>IF(Skills!T10&lt;&gt;"",1+(Skills!T10/10)*($Z$3/1000)/100,1)</f>
        <v/>
      </c>
      <c r="J290" t="inlineStr"/>
      <c r="K290" t="inlineStr"/>
      <c r="L290" t="inlineStr"/>
      <c r="M290" t="inlineStr"/>
      <c r="N290" t="inlineStr"/>
      <c r="O290" t="n">
        <v>0</v>
      </c>
      <c r="P290">
        <f>IF(B318=0,0,O290/B318)</f>
        <v/>
      </c>
      <c r="Q290">
        <f>IFERROR(1/IF(Inputs!$B$40="pvp",15,MAX(0.1,Skills!D10-IF(Skills!E10=TRUE,Inputs!$B$34,0))),0)</f>
        <v/>
      </c>
      <c r="R290">
        <f>IF(AND(Inputs!$B$40&lt;&gt;"pvp",Inputs!$B$43&gt;0),(INT(Inputs!$B$43/IF(Inputs!$B$40="pvp",15,MAX(0.1,Skills!D10-IF(Skills!E10=TRUE,Inputs!$B$34,0))))+1),0)</f>
        <v/>
      </c>
    </row>
    <row r="291">
      <c r="A291">
        <f>Skills!A11</f>
        <v/>
      </c>
      <c r="B291">
        <f>Skills!B11</f>
        <v/>
      </c>
      <c r="C291">
        <f>Inputs!$B$3&gt;=69</f>
        <v/>
      </c>
      <c r="D291">
        <f>IF(Skills!C11=1,60+Inputs!$B$27+Inputs!$B$31,IF(Skills!C11=2,90+Inputs!$B$28+Inputs!$B$31,IF(Skills!C11=3,120+Inputs!$B$29+Inputs!$B$31,MAX(0,(Inputs!$B$3-100)*3)+Inputs!$B$30+Inputs!$B$31)))</f>
        <v/>
      </c>
      <c r="E291">
        <f>INDEX(FactorTable!$B$2:$Y$301, MATCH(ROUND(MIN(300,MAX(1,D291)),0), FactorTable!$A$2:$A$301,0), Skills!L11+1)</f>
        <v/>
      </c>
      <c r="F291">
        <f>IF(Skills!M11=TRUE,(Skills!K11/10)*(E291/1000),Skills!K11/10)+Skills!N11</f>
        <v/>
      </c>
      <c r="G291">
        <f>Calc!G11</f>
        <v/>
      </c>
      <c r="H291">
        <f>Calc!H11</f>
        <v/>
      </c>
      <c r="I291">
        <f>IF(Skills!T11&lt;&gt;"",1+(Skills!T11/10)*($Z$3/1000)/100,1)</f>
        <v/>
      </c>
      <c r="J291" t="inlineStr"/>
      <c r="K291" t="inlineStr"/>
      <c r="L291" t="inlineStr"/>
      <c r="M291" t="inlineStr"/>
      <c r="N291" t="inlineStr"/>
      <c r="O291" t="n">
        <v>0</v>
      </c>
      <c r="P291">
        <f>IF(B318=0,0,O291/B318)</f>
        <v/>
      </c>
      <c r="Q291">
        <f>IFERROR(1/IF(Inputs!$B$40="pvp",15,MAX(0.1,Skills!D11-IF(Skills!E11=TRUE,Inputs!$B$34,0))),0)</f>
        <v/>
      </c>
      <c r="R291">
        <f>IF(AND(Inputs!$B$40&lt;&gt;"pvp",Inputs!$B$43&gt;0),(INT(Inputs!$B$43/IF(Inputs!$B$40="pvp",15,MAX(0.1,Skills!D11-IF(Skills!E11=TRUE,Inputs!$B$34,0))))+1),0)</f>
        <v/>
      </c>
    </row>
    <row r="292">
      <c r="A292">
        <f>Skills!A12</f>
        <v/>
      </c>
      <c r="B292">
        <f>Skills!B12</f>
        <v/>
      </c>
      <c r="C292">
        <f>Inputs!$B$3&gt;=72</f>
        <v/>
      </c>
      <c r="D292">
        <f>IF(Skills!C12=1,60+Inputs!$B$27+Inputs!$B$31,IF(Skills!C12=2,90+Inputs!$B$28+Inputs!$B$31,IF(Skills!C12=3,120+Inputs!$B$29+Inputs!$B$31,MAX(0,(Inputs!$B$3-100)*3)+Inputs!$B$30+Inputs!$B$31)))</f>
        <v/>
      </c>
      <c r="E292">
        <f>INDEX(FactorTable!$B$2:$Y$301, MATCH(ROUND(MIN(300,MAX(1,D292)),0), FactorTable!$A$2:$A$301,0), Skills!L12+1)</f>
        <v/>
      </c>
      <c r="F292">
        <f>IF(Skills!M12=TRUE,(Skills!K12/10)*(E292/1000),Skills!K12/10)+Skills!N12</f>
        <v/>
      </c>
      <c r="G292">
        <f>Calc!G12</f>
        <v/>
      </c>
      <c r="H292">
        <f>Calc!H12</f>
        <v/>
      </c>
      <c r="I292">
        <f>IF(Skills!T12&lt;&gt;"",1+(Skills!T12/10)*($Z$3/1000)/100,1)</f>
        <v/>
      </c>
      <c r="J292" t="inlineStr"/>
      <c r="K292" t="inlineStr"/>
      <c r="L292" t="inlineStr"/>
      <c r="M292" t="inlineStr"/>
      <c r="N292" t="inlineStr"/>
      <c r="O292" t="n">
        <v>0</v>
      </c>
      <c r="P292">
        <f>IF(B318=0,0,O292/B318)</f>
        <v/>
      </c>
      <c r="Q292">
        <f>IFERROR(1/IF(Inputs!$B$40="pvp",15,MAX(0.1,Skills!D12-IF(Skills!E12=TRUE,Inputs!$B$34,0))),0)</f>
        <v/>
      </c>
      <c r="R292">
        <f>IF(AND(Inputs!$B$40&lt;&gt;"pvp",Inputs!$B$43&gt;0),(INT(Inputs!$B$43/IF(Inputs!$B$40="pvp",15,MAX(0.1,Skills!D12-IF(Skills!E12=TRUE,Inputs!$B$34,0))))+1),0)</f>
        <v/>
      </c>
    </row>
    <row r="293">
      <c r="A293">
        <f>Skills!A13</f>
        <v/>
      </c>
      <c r="B293">
        <f>Skills!B13</f>
        <v/>
      </c>
      <c r="C293">
        <f>Inputs!$B$3&gt;=107</f>
        <v/>
      </c>
      <c r="D293">
        <f>IF(Skills!C13=1,60+Inputs!$B$27+Inputs!$B$31,IF(Skills!C13=2,90+Inputs!$B$28+Inputs!$B$31,IF(Skills!C13=3,120+Inputs!$B$29+Inputs!$B$31,MAX(0,(Inputs!$B$3-100)*3)+Inputs!$B$30+Inputs!$B$31)))</f>
        <v/>
      </c>
      <c r="E293">
        <f>INDEX(FactorTable!$B$2:$Y$301, MATCH(ROUND(MIN(300,MAX(1,D293)),0), FactorTable!$A$2:$A$301,0), Skills!L13+1)</f>
        <v/>
      </c>
      <c r="F293">
        <f>IF(Skills!M13=TRUE,(Skills!K13/10)*(E293/1000),Skills!K13/10)+Skills!N13</f>
        <v/>
      </c>
      <c r="G293">
        <f>Calc!G13</f>
        <v/>
      </c>
      <c r="H293">
        <f>Calc!H13</f>
        <v/>
      </c>
      <c r="I293">
        <f>IF(Skills!T13&lt;&gt;"",1+(Skills!T13/10)*($Z$3/1000)/100,1)</f>
        <v/>
      </c>
      <c r="J293" t="inlineStr"/>
      <c r="K293" t="inlineStr"/>
      <c r="L293" t="inlineStr"/>
      <c r="M293" t="inlineStr"/>
      <c r="N293" t="inlineStr"/>
      <c r="O293" t="n">
        <v>0</v>
      </c>
      <c r="P293">
        <f>IF(B318=0,0,O293/B318)</f>
        <v/>
      </c>
      <c r="Q293">
        <f>IFERROR(1/IF(Inputs!$B$40="pvp",15,MAX(0.1,Skills!D13-IF(Skills!E13=TRUE,Inputs!$B$34,0))),0)</f>
        <v/>
      </c>
      <c r="R293">
        <f>IF(AND(Inputs!$B$40&lt;&gt;"pvp",Inputs!$B$43&gt;0),(INT(Inputs!$B$43/IF(Inputs!$B$40="pvp",15,MAX(0.1,Skills!D13-IF(Skills!E13=TRUE,Inputs!$B$34,0))))+1),0)</f>
        <v/>
      </c>
    </row>
    <row r="294">
      <c r="A294">
        <f>Skills!A14</f>
        <v/>
      </c>
      <c r="B294">
        <f>Skills!B14</f>
        <v/>
      </c>
      <c r="C294">
        <f>Inputs!$B$3&gt;=63</f>
        <v/>
      </c>
      <c r="D294">
        <f>IF(Skills!C14=1,60+Inputs!$B$27+Inputs!$B$31,IF(Skills!C14=2,90+Inputs!$B$28+Inputs!$B$31,IF(Skills!C14=3,120+Inputs!$B$29+Inputs!$B$31,MAX(0,(Inputs!$B$3-100)*3)+Inputs!$B$30+Inputs!$B$31)))</f>
        <v/>
      </c>
      <c r="E294">
        <f>INDEX(FactorTable!$B$2:$Y$301, MATCH(ROUND(MIN(300,MAX(1,D294)),0), FactorTable!$A$2:$A$301,0), Skills!L14+1)</f>
        <v/>
      </c>
      <c r="F294">
        <f>IF(Skills!M14=TRUE,(Skills!K14/10)*(E294/1000),Skills!K14/10)+Skills!N14</f>
        <v/>
      </c>
      <c r="G294">
        <f>Calc!G14</f>
        <v/>
      </c>
      <c r="H294">
        <f>Calc!H14</f>
        <v/>
      </c>
      <c r="I294">
        <f>IF(Skills!T14&lt;&gt;"",1+(Skills!T14/10)*($Z$3/1000)/100,1)</f>
        <v/>
      </c>
      <c r="J294">
        <f>(Inputs!$B$7*(1+Inputs!$B$8/100))*(F294/100)</f>
        <v/>
      </c>
      <c r="K294">
        <f>J294*(1+(((Inputs!$B$14+IF(Inputs!$B$3&gt;=35,0.10*(Inputs!$B$9*(1+Inputs!$B$10/100)),0))*(1+Inputs!$B$15/100))*0.01+Inputs!$B$16*0.0025)/100)*(1+(Inputs!$B$17+B311)/100)*(1+IF(Inputs!$B$40="pvp",0,(1-Summary!$B$48)*((Inputs!$B$22+1)+Skills!O14+B309)+Summary!$B$48*(Inputs!$B$23+Skills!P14+B310))/100)*(1+Inputs!$B$18/100)*(5000/(6000+Inputs!$B$42*(1-Inputs!$B$21/100)))*(1+Inputs!$B$26/100)*(1+IF(C297=TRUE,F297,0)/100)*(1+IF(C299=TRUE,F299,0)/100)*(1+IF(Skills!A14="TRIUMPH_FEATHER",IF(C295=TRUE,F295,0),0)/100)*(1+IF(C306=TRUE,F306,0)/100)^5*(1+(IF(Skills!A14="BIG_BANG",Inputs!$B$19,Inputs!$B$20))/100)*(B308*I294)</f>
        <v/>
      </c>
      <c r="L294">
        <f>K294*(MIN(Inputs!$B$24+(F301-Calc!F21),Inputs!$B$25)/100+Inputs!$B$25/100)/2</f>
        <v/>
      </c>
      <c r="M294">
        <f>L294*(1+(Inputs!$B$12+B312+(F304-Calc!F24))/100)</f>
        <v/>
      </c>
      <c r="N294">
        <f>L294*(1-MIN(Inputs!$B$11+((F303-Calc!F23)+(F302-Calc!F22)),100)/100)+M294*(MIN(Inputs!$B$11+((F303-Calc!F23)+(F302-Calc!F22)),100)/100)</f>
        <v/>
      </c>
      <c r="O294">
        <f>IF(C294,Skills!F14*N294*((IF(Inputs!$B$3&gt;=78,25,15)/100*B314*10)/(1+IF(Inputs!$B$3&gt;=78,25,15)/100*B314*10))*(Skills!I14/100*B314)/(1+Skills!G14*Skills!I14/100*B314)*IF(Inputs!$B$40="pvp",1,(1-Summary!$B$48)*(1)+Summary!$B$48*(MIN(Skills!Q14,Inputs!$B$39))),0)</f>
        <v/>
      </c>
      <c r="P294">
        <f>IF(B318=0,0,O294/B318)</f>
        <v/>
      </c>
      <c r="Q294">
        <f>IFERROR(1/IF(Inputs!$B$40="pvp",15,MAX(0.1,Skills!D14-IF(Skills!E14=TRUE,Inputs!$B$34,0))),0)</f>
        <v/>
      </c>
      <c r="R294" t="n">
        <v>0</v>
      </c>
    </row>
    <row r="295">
      <c r="A295">
        <f>Skills!A15</f>
        <v/>
      </c>
      <c r="B295">
        <f>Skills!B15</f>
        <v/>
      </c>
      <c r="C295">
        <f>Inputs!$B$3&gt;=100</f>
        <v/>
      </c>
      <c r="D295">
        <f>IF(Skills!C15=1,60+Inputs!$B$27+Inputs!$B$31,IF(Skills!C15=2,90+Inputs!$B$28+Inputs!$B$31,IF(Skills!C15=3,120+Inputs!$B$29+Inputs!$B$31,MAX(0,(Inputs!$B$3-100)*3)+Inputs!$B$30+Inputs!$B$31)))</f>
        <v/>
      </c>
      <c r="E295">
        <f>INDEX(FactorTable!$B$2:$Y$301, MATCH(ROUND(MIN(300,MAX(1,D295)),0), FactorTable!$A$2:$A$301,0), Skills!L15+1)</f>
        <v/>
      </c>
      <c r="F295">
        <f>IF(Skills!M15=TRUE,(Skills!K15/10)*(E295/1000),Skills!K15/10)+Skills!N15</f>
        <v/>
      </c>
      <c r="G295">
        <f>Calc!G15</f>
        <v/>
      </c>
      <c r="H295">
        <f>Calc!H15</f>
        <v/>
      </c>
      <c r="I295">
        <f>IF(Skills!T15&lt;&gt;"",1+(Skills!T15/10)*($Z$3/1000)/100,1)</f>
        <v/>
      </c>
      <c r="J295" t="inlineStr"/>
      <c r="K295" t="inlineStr"/>
      <c r="L295" t="inlineStr"/>
      <c r="M295" t="inlineStr"/>
      <c r="N295" t="inlineStr"/>
      <c r="O295" t="n">
        <v>0</v>
      </c>
      <c r="P295">
        <f>IF(B318=0,0,O295/B318)</f>
        <v/>
      </c>
      <c r="Q295">
        <f>IFERROR(1/IF(Inputs!$B$40="pvp",15,MAX(0.1,Skills!D15-IF(Skills!E15=TRUE,Inputs!$B$34,0))),0)</f>
        <v/>
      </c>
      <c r="R295" t="n">
        <v>0</v>
      </c>
    </row>
    <row r="296">
      <c r="A296">
        <f>Skills!A16</f>
        <v/>
      </c>
      <c r="B296">
        <f>Skills!B16</f>
        <v/>
      </c>
      <c r="C296">
        <f>Inputs!$B$3&gt;=49</f>
        <v/>
      </c>
      <c r="D296">
        <f>IF(Skills!C16=1,60+Inputs!$B$27+Inputs!$B$31,IF(Skills!C16=2,90+Inputs!$B$28+Inputs!$B$31,IF(Skills!C16=3,120+Inputs!$B$29+Inputs!$B$31,MAX(0,(Inputs!$B$3-100)*3)+Inputs!$B$30+Inputs!$B$31)))</f>
        <v/>
      </c>
      <c r="E296">
        <f>INDEX(FactorTable!$B$2:$Y$301, MATCH(ROUND(MIN(300,MAX(1,D296)),0), FactorTable!$A$2:$A$301,0), Skills!L16+1)</f>
        <v/>
      </c>
      <c r="F296">
        <f>IF(Skills!M16=TRUE,(Skills!K16/10)*(E296/1000),Skills!K16/10)+Skills!N16</f>
        <v/>
      </c>
      <c r="G296">
        <f>Calc!G16</f>
        <v/>
      </c>
      <c r="H296">
        <f>Calc!H16</f>
        <v/>
      </c>
      <c r="I296">
        <f>IF(Skills!T16&lt;&gt;"",1+(Skills!T16/10)*($Z$3/1000)/100,1)</f>
        <v/>
      </c>
      <c r="J296" t="inlineStr"/>
      <c r="K296" t="inlineStr"/>
      <c r="L296" t="inlineStr"/>
      <c r="M296" t="inlineStr"/>
      <c r="N296" t="inlineStr"/>
      <c r="O296" t="n">
        <v>0</v>
      </c>
      <c r="P296">
        <f>IF(B318=0,0,O296/B318)</f>
        <v/>
      </c>
      <c r="Q296">
        <f>IFERROR(1/IF(Inputs!$B$40="pvp",15,MAX(0.1,Skills!D16-IF(Skills!E16=TRUE,Inputs!$B$34,0))),0)</f>
        <v/>
      </c>
      <c r="R296" t="n">
        <v>0</v>
      </c>
    </row>
    <row r="297">
      <c r="A297">
        <f>Skills!A17</f>
        <v/>
      </c>
      <c r="B297">
        <f>Skills!B17</f>
        <v/>
      </c>
      <c r="C297">
        <f>Inputs!$B$3&gt;=75</f>
        <v/>
      </c>
      <c r="D297">
        <f>IF(Skills!C17=1,60+Inputs!$B$27+Inputs!$B$31,IF(Skills!C17=2,90+Inputs!$B$28+Inputs!$B$31,IF(Skills!C17=3,120+Inputs!$B$29+Inputs!$B$31,MAX(0,(Inputs!$B$3-100)*3)+Inputs!$B$30+Inputs!$B$31)))</f>
        <v/>
      </c>
      <c r="E297">
        <f>INDEX(FactorTable!$B$2:$Y$301, MATCH(ROUND(MIN(300,MAX(1,D297)),0), FactorTable!$A$2:$A$301,0), Skills!L17+1)</f>
        <v/>
      </c>
      <c r="F297">
        <f>IF(Skills!M17=TRUE,(Skills!K17/10)*(E297/1000),Skills!K17/10)+Skills!N17</f>
        <v/>
      </c>
      <c r="G297">
        <f>Calc!G17</f>
        <v/>
      </c>
      <c r="H297">
        <f>Calc!H17</f>
        <v/>
      </c>
      <c r="I297">
        <f>IF(Skills!T17&lt;&gt;"",1+(Skills!T17/10)*($Z$3/1000)/100,1)</f>
        <v/>
      </c>
      <c r="J297" t="inlineStr"/>
      <c r="K297" t="inlineStr"/>
      <c r="L297" t="inlineStr"/>
      <c r="M297" t="inlineStr"/>
      <c r="N297" t="inlineStr"/>
      <c r="O297" t="n">
        <v>0</v>
      </c>
      <c r="P297">
        <f>IF(B318=0,0,O297/B318)</f>
        <v/>
      </c>
      <c r="Q297">
        <f>IFERROR(1/IF(Inputs!$B$40="pvp",15,MAX(0.1,Skills!D17-IF(Skills!E17=TRUE,Inputs!$B$34,0))),0)</f>
        <v/>
      </c>
      <c r="R297" t="n">
        <v>0</v>
      </c>
    </row>
    <row r="298">
      <c r="A298">
        <f>Skills!A18</f>
        <v/>
      </c>
      <c r="B298">
        <f>Skills!B18</f>
        <v/>
      </c>
      <c r="C298">
        <f>Inputs!$B$3&gt;=110</f>
        <v/>
      </c>
      <c r="D298">
        <f>IF(Skills!C18=1,60+Inputs!$B$27+Inputs!$B$31,IF(Skills!C18=2,90+Inputs!$B$28+Inputs!$B$31,IF(Skills!C18=3,120+Inputs!$B$29+Inputs!$B$31,MAX(0,(Inputs!$B$3-100)*3)+Inputs!$B$30+Inputs!$B$31)))</f>
        <v/>
      </c>
      <c r="E298">
        <f>INDEX(FactorTable!$B$2:$Y$301, MATCH(ROUND(MIN(300,MAX(1,D298)),0), FactorTable!$A$2:$A$301,0), Skills!L18+1)</f>
        <v/>
      </c>
      <c r="F298">
        <f>(Skills!K18/10)*(E298/1000)*64/45+Skills!N18</f>
        <v/>
      </c>
      <c r="G298">
        <f>Calc!G18</f>
        <v/>
      </c>
      <c r="H298">
        <f>Calc!H18</f>
        <v/>
      </c>
      <c r="I298">
        <f>IF(Skills!T18&lt;&gt;"",1+(Skills!T18/10)*($Z$3/1000)/100,1)</f>
        <v/>
      </c>
      <c r="J298" t="inlineStr"/>
      <c r="K298" t="inlineStr"/>
      <c r="L298" t="inlineStr"/>
      <c r="M298" t="inlineStr"/>
      <c r="N298" t="inlineStr"/>
      <c r="O298" t="n">
        <v>0</v>
      </c>
      <c r="P298">
        <f>IF(B318=0,0,O298/B318)</f>
        <v/>
      </c>
      <c r="Q298">
        <f>IFERROR(1/IF(Inputs!$B$40="pvp",15,MAX(0.1,Skills!D18-IF(Skills!E18=TRUE,Inputs!$B$34,0))),0)</f>
        <v/>
      </c>
      <c r="R298">
        <f>IF(AND(Inputs!$B$40&lt;&gt;"pvp",Inputs!$B$43&gt;0),(INT(Inputs!$B$43/IF(Inputs!$B$40="pvp",15,MAX(0.1,Skills!D18-IF(Skills!E18=TRUE,Inputs!$B$34,0))))+1),0)</f>
        <v/>
      </c>
    </row>
    <row r="299">
      <c r="A299">
        <f>Skills!A19</f>
        <v/>
      </c>
      <c r="B299">
        <f>Skills!B19</f>
        <v/>
      </c>
      <c r="C299">
        <f>Inputs!$B$3&gt;=125</f>
        <v/>
      </c>
      <c r="D299">
        <f>IF(Skills!C19=1,60+Inputs!$B$27+Inputs!$B$31,IF(Skills!C19=2,90+Inputs!$B$28+Inputs!$B$31,IF(Skills!C19=3,120+Inputs!$B$29+Inputs!$B$31,MAX(0,(Inputs!$B$3-100)*3)+Inputs!$B$30+Inputs!$B$31)))</f>
        <v/>
      </c>
      <c r="E299">
        <f>INDEX(FactorTable!$B$2:$Y$301, MATCH(ROUND(MIN(300,MAX(1,D299)),0), FactorTable!$A$2:$A$301,0), Skills!L19+1)</f>
        <v/>
      </c>
      <c r="F299">
        <f>IF(Skills!M19=TRUE,(Skills!K19/10)*(E299/1000),Skills!K19/10)+Skills!N19</f>
        <v/>
      </c>
      <c r="G299">
        <f>Calc!G19</f>
        <v/>
      </c>
      <c r="H299">
        <f>Calc!H19</f>
        <v/>
      </c>
      <c r="I299">
        <f>IF(Skills!T19&lt;&gt;"",1+(Skills!T19/10)*($Z$3/1000)/100,1)</f>
        <v/>
      </c>
      <c r="J299" t="inlineStr"/>
      <c r="K299" t="inlineStr"/>
      <c r="L299" t="inlineStr"/>
      <c r="M299" t="inlineStr"/>
      <c r="N299" t="inlineStr"/>
      <c r="O299" t="n">
        <v>0</v>
      </c>
      <c r="P299">
        <f>IF(B318=0,0,O299/B318)</f>
        <v/>
      </c>
      <c r="Q299">
        <f>IFERROR(1/IF(Inputs!$B$40="pvp",15,MAX(0.1,Skills!D19-IF(Skills!E19=TRUE,Inputs!$B$34,0))),0)</f>
        <v/>
      </c>
      <c r="R299" t="n">
        <v>0</v>
      </c>
    </row>
    <row r="300">
      <c r="A300">
        <f>Skills!A20</f>
        <v/>
      </c>
      <c r="B300">
        <f>Skills!B20</f>
        <v/>
      </c>
      <c r="C300">
        <f>Inputs!$B$3&gt;=33</f>
        <v/>
      </c>
      <c r="D300">
        <f>IF(Skills!C20=1,60+Inputs!$B$27+Inputs!$B$31,IF(Skills!C20=2,90+Inputs!$B$28+Inputs!$B$31,IF(Skills!C20=3,120+Inputs!$B$29+Inputs!$B$31,MAX(0,(Inputs!$B$3-100)*3)+Inputs!$B$30+Inputs!$B$31)))</f>
        <v/>
      </c>
      <c r="E300">
        <f>INDEX(FactorTable!$B$2:$Y$301, MATCH(ROUND(MIN(300,MAX(1,D300)),0), FactorTable!$A$2:$A$301,0), Skills!L20+1)</f>
        <v/>
      </c>
      <c r="F300">
        <f>IF(Skills!M20=TRUE,(Skills!K20/10)*(E300/1000),Skills!K20/10)+Skills!N20</f>
        <v/>
      </c>
      <c r="G300">
        <f>Calc!G20</f>
        <v/>
      </c>
      <c r="H300">
        <f>Calc!H20</f>
        <v/>
      </c>
      <c r="I300">
        <f>IF(Skills!T20&lt;&gt;"",1+(Skills!T20/10)*($Z$3/1000)/100,1)</f>
        <v/>
      </c>
      <c r="J300" t="inlineStr"/>
      <c r="K300" t="inlineStr"/>
      <c r="L300" t="inlineStr"/>
      <c r="M300" t="inlineStr"/>
      <c r="N300" t="inlineStr"/>
      <c r="O300" t="n">
        <v>0</v>
      </c>
      <c r="P300">
        <f>IF(B318=0,0,O300/B318)</f>
        <v/>
      </c>
      <c r="Q300">
        <f>IFERROR(1/IF(Inputs!$B$40="pvp",15,MAX(0.1,Skills!D20-IF(Skills!E20=TRUE,Inputs!$B$34,0))),0)</f>
        <v/>
      </c>
      <c r="R300" t="n">
        <v>0</v>
      </c>
    </row>
    <row r="301">
      <c r="A301">
        <f>Skills!A21</f>
        <v/>
      </c>
      <c r="B301">
        <f>Skills!B21</f>
        <v/>
      </c>
      <c r="C301">
        <f>Inputs!$B$3&gt;=43</f>
        <v/>
      </c>
      <c r="D301">
        <f>IF(Skills!C21=1,60+Inputs!$B$27+Inputs!$B$31,IF(Skills!C21=2,90+Inputs!$B$28+Inputs!$B$31,IF(Skills!C21=3,120+Inputs!$B$29+Inputs!$B$31,MAX(0,(Inputs!$B$3-100)*3)+Inputs!$B$30+Inputs!$B$31)))</f>
        <v/>
      </c>
      <c r="E301">
        <f>INDEX(FactorTable!$B$2:$Y$301, MATCH(ROUND(MIN(300,MAX(1,D301)),0), FactorTable!$A$2:$A$301,0), Skills!L21+1)</f>
        <v/>
      </c>
      <c r="F301">
        <f>IF(Skills!M21=TRUE,(Skills!K21/10)*(E301/1000),Skills!K21/10)+Skills!N21</f>
        <v/>
      </c>
      <c r="G301">
        <f>Calc!G21</f>
        <v/>
      </c>
      <c r="H301">
        <f>Calc!H21</f>
        <v/>
      </c>
      <c r="I301">
        <f>IF(Skills!T21&lt;&gt;"",1+(Skills!T21/10)*($Z$3/1000)/100,1)</f>
        <v/>
      </c>
      <c r="J301" t="inlineStr"/>
      <c r="K301" t="inlineStr"/>
      <c r="L301" t="inlineStr"/>
      <c r="M301" t="inlineStr"/>
      <c r="N301" t="inlineStr"/>
      <c r="O301" t="n">
        <v>0</v>
      </c>
      <c r="P301">
        <f>IF(B318=0,0,O301/B318)</f>
        <v/>
      </c>
      <c r="Q301">
        <f>IFERROR(1/IF(Inputs!$B$40="pvp",15,MAX(0.1,Skills!D21-IF(Skills!E21=TRUE,Inputs!$B$34,0))),0)</f>
        <v/>
      </c>
      <c r="R301" t="n">
        <v>0</v>
      </c>
    </row>
    <row r="302">
      <c r="A302">
        <f>Skills!A22</f>
        <v/>
      </c>
      <c r="B302">
        <f>Skills!B22</f>
        <v/>
      </c>
      <c r="C302">
        <f>Inputs!$B$3&gt;=50</f>
        <v/>
      </c>
      <c r="D302">
        <f>IF(Skills!C22=1,60+Inputs!$B$27+Inputs!$B$31,IF(Skills!C22=2,90+Inputs!$B$28+Inputs!$B$31,IF(Skills!C22=3,120+Inputs!$B$29+Inputs!$B$31,MAX(0,(Inputs!$B$3-100)*3)+Inputs!$B$30+Inputs!$B$31)))</f>
        <v/>
      </c>
      <c r="E302">
        <f>INDEX(FactorTable!$B$2:$Y$301, MATCH(ROUND(MIN(300,MAX(1,D302)),0), FactorTable!$A$2:$A$301,0), Skills!L22+1)</f>
        <v/>
      </c>
      <c r="F302">
        <f>IF(Skills!M22=TRUE,(Skills!K22/10)*(E302/1000),Skills!K22/10)+Skills!N22</f>
        <v/>
      </c>
      <c r="G302">
        <f>Calc!G22</f>
        <v/>
      </c>
      <c r="H302">
        <f>Calc!H22</f>
        <v/>
      </c>
      <c r="I302">
        <f>IF(Skills!T22&lt;&gt;"",1+(Skills!T22/10)*($Z$3/1000)/100,1)</f>
        <v/>
      </c>
      <c r="J302" t="inlineStr"/>
      <c r="K302" t="inlineStr"/>
      <c r="L302" t="inlineStr"/>
      <c r="M302" t="inlineStr"/>
      <c r="N302" t="inlineStr"/>
      <c r="O302" t="n">
        <v>0</v>
      </c>
      <c r="P302">
        <f>IF(B318=0,0,O302/B318)</f>
        <v/>
      </c>
      <c r="Q302">
        <f>IFERROR(1/IF(Inputs!$B$40="pvp",15,MAX(0.1,Skills!D22-IF(Skills!E22=TRUE,Inputs!$B$34,0))),0)</f>
        <v/>
      </c>
      <c r="R302" t="n">
        <v>0</v>
      </c>
    </row>
    <row r="303">
      <c r="A303">
        <f>Skills!A23</f>
        <v/>
      </c>
      <c r="B303">
        <f>Skills!B23</f>
        <v/>
      </c>
      <c r="C303">
        <f>Inputs!$B$3&gt;=74</f>
        <v/>
      </c>
      <c r="D303">
        <f>IF(Skills!C23=1,60+Inputs!$B$27+Inputs!$B$31,IF(Skills!C23=2,90+Inputs!$B$28+Inputs!$B$31,IF(Skills!C23=3,120+Inputs!$B$29+Inputs!$B$31,MAX(0,(Inputs!$B$3-100)*3)+Inputs!$B$30+Inputs!$B$31)))</f>
        <v/>
      </c>
      <c r="E303">
        <f>INDEX(FactorTable!$B$2:$Y$301, MATCH(ROUND(MIN(300,MAX(1,D303)),0), FactorTable!$A$2:$A$301,0), Skills!L23+1)</f>
        <v/>
      </c>
      <c r="F303">
        <f>IF(Skills!M23=TRUE,(Skills!K23/10)*(E303/1000),Skills!K23/10)+Skills!N23</f>
        <v/>
      </c>
      <c r="G303">
        <f>Calc!G23</f>
        <v/>
      </c>
      <c r="H303">
        <f>Calc!H23</f>
        <v/>
      </c>
      <c r="I303">
        <f>IF(Skills!T23&lt;&gt;"",1+(Skills!T23/10)*($Z$3/1000)/100,1)</f>
        <v/>
      </c>
      <c r="J303" t="inlineStr"/>
      <c r="K303" t="inlineStr"/>
      <c r="L303" t="inlineStr"/>
      <c r="M303" t="inlineStr"/>
      <c r="N303" t="inlineStr"/>
      <c r="O303" t="n">
        <v>0</v>
      </c>
      <c r="P303">
        <f>IF(B318=0,0,O303/B318)</f>
        <v/>
      </c>
      <c r="Q303">
        <f>IFERROR(1/IF(Inputs!$B$40="pvp",15,MAX(0.1,Skills!D23-IF(Skills!E23=TRUE,Inputs!$B$34,0))),0)</f>
        <v/>
      </c>
      <c r="R303" t="n">
        <v>0</v>
      </c>
    </row>
    <row r="304">
      <c r="A304">
        <f>Skills!A24</f>
        <v/>
      </c>
      <c r="B304">
        <f>Skills!B24</f>
        <v/>
      </c>
      <c r="C304">
        <f>Inputs!$B$3&gt;=74</f>
        <v/>
      </c>
      <c r="D304">
        <f>IF(Skills!C24=1,60+Inputs!$B$27+Inputs!$B$31,IF(Skills!C24=2,90+Inputs!$B$28+Inputs!$B$31,IF(Skills!C24=3,120+Inputs!$B$29+Inputs!$B$31,MAX(0,(Inputs!$B$3-100)*3)+Inputs!$B$30+Inputs!$B$31)))</f>
        <v/>
      </c>
      <c r="E304">
        <f>INDEX(FactorTable!$B$2:$Y$301, MATCH(ROUND(MIN(300,MAX(1,D304)),0), FactorTable!$A$2:$A$301,0), Skills!L24+1)</f>
        <v/>
      </c>
      <c r="F304">
        <f>IF(Skills!M24=TRUE,(Skills!K24/10)*(E304/1000),Skills!K24/10)+Skills!N24</f>
        <v/>
      </c>
      <c r="G304">
        <f>Calc!G24</f>
        <v/>
      </c>
      <c r="H304">
        <f>Calc!H24</f>
        <v/>
      </c>
      <c r="I304">
        <f>IF(Skills!T24&lt;&gt;"",1+(Skills!T24/10)*($Z$3/1000)/100,1)</f>
        <v/>
      </c>
      <c r="J304" t="inlineStr"/>
      <c r="K304" t="inlineStr"/>
      <c r="L304" t="inlineStr"/>
      <c r="M304" t="inlineStr"/>
      <c r="N304" t="inlineStr"/>
      <c r="O304" t="n">
        <v>0</v>
      </c>
      <c r="P304">
        <f>IF(B318=0,0,O304/B318)</f>
        <v/>
      </c>
      <c r="Q304">
        <f>IFERROR(1/IF(Inputs!$B$40="pvp",15,MAX(0.1,Skills!D24-IF(Skills!E24=TRUE,Inputs!$B$34,0))),0)</f>
        <v/>
      </c>
      <c r="R304" t="n">
        <v>0</v>
      </c>
    </row>
    <row r="305">
      <c r="A305">
        <f>Skills!A25</f>
        <v/>
      </c>
      <c r="B305">
        <f>Skills!B25</f>
        <v/>
      </c>
      <c r="C305">
        <f>Inputs!$B$3&gt;=117</f>
        <v/>
      </c>
      <c r="D305">
        <f>IF(Skills!C25=1,60+Inputs!$B$27+Inputs!$B$31,IF(Skills!C25=2,90+Inputs!$B$28+Inputs!$B$31,IF(Skills!C25=3,120+Inputs!$B$29+Inputs!$B$31,MAX(0,(Inputs!$B$3-100)*3)+Inputs!$B$30+Inputs!$B$31)))</f>
        <v/>
      </c>
      <c r="E305">
        <f>INDEX(FactorTable!$B$2:$Y$301, MATCH(ROUND(MIN(300,MAX(1,D305)),0), FactorTable!$A$2:$A$301,0), Skills!L25+1)</f>
        <v/>
      </c>
      <c r="F305">
        <f>IF(Skills!M25=TRUE,(Skills!K25/10)*(E305/1000),Skills!K25/10)+Skills!N25</f>
        <v/>
      </c>
      <c r="G305">
        <f>Calc!G25</f>
        <v/>
      </c>
      <c r="H305">
        <f>Calc!H25</f>
        <v/>
      </c>
      <c r="I305">
        <f>IF(Skills!T25&lt;&gt;"",1+(Skills!T25/10)*($Z$3/1000)/100,1)</f>
        <v/>
      </c>
      <c r="J305" t="inlineStr"/>
      <c r="K305" t="inlineStr"/>
      <c r="L305" t="inlineStr"/>
      <c r="M305" t="inlineStr"/>
      <c r="N305" t="inlineStr"/>
      <c r="O305" t="n">
        <v>0</v>
      </c>
      <c r="P305">
        <f>IF(B318=0,0,O305/B318)</f>
        <v/>
      </c>
      <c r="Q305">
        <f>IFERROR(1/IF(Inputs!$B$40="pvp",15,MAX(0.1,Skills!D25-IF(Skills!E25=TRUE,Inputs!$B$34,0))),0)</f>
        <v/>
      </c>
      <c r="R305" t="n">
        <v>0</v>
      </c>
    </row>
    <row r="306">
      <c r="A306">
        <f>Skills!A26</f>
        <v/>
      </c>
      <c r="B306">
        <f>Skills!B26</f>
        <v/>
      </c>
      <c r="C306">
        <f>Inputs!$B$3&gt;=120</f>
        <v/>
      </c>
      <c r="D306">
        <f>IF(Skills!C26=1,60+Inputs!$B$27+Inputs!$B$31,IF(Skills!C26=2,90+Inputs!$B$28+Inputs!$B$31,IF(Skills!C26=3,120+Inputs!$B$29+Inputs!$B$31,MAX(0,(Inputs!$B$3-100)*3)+Inputs!$B$30+Inputs!$B$31)))</f>
        <v/>
      </c>
      <c r="E306">
        <f>INDEX(FactorTable!$B$2:$Y$301, MATCH(ROUND(MIN(300,MAX(1,D306)),0), FactorTable!$A$2:$A$301,0), Skills!L26+1)</f>
        <v/>
      </c>
      <c r="F306">
        <f>IF(Skills!M26=TRUE,(Skills!K26/10)*(E306/1000),Skills!K26/10)+Skills!N26</f>
        <v/>
      </c>
      <c r="G306">
        <f>Calc!G26</f>
        <v/>
      </c>
      <c r="H306">
        <f>Calc!H26</f>
        <v/>
      </c>
      <c r="I306">
        <f>IF(Skills!T26&lt;&gt;"",1+(Skills!T26/10)*($Z$3/1000)/100,1)</f>
        <v/>
      </c>
      <c r="J306" t="inlineStr"/>
      <c r="K306" t="inlineStr"/>
      <c r="L306" t="inlineStr"/>
      <c r="M306" t="inlineStr"/>
      <c r="N306" t="inlineStr"/>
      <c r="O306" t="n">
        <v>0</v>
      </c>
      <c r="P306">
        <f>IF(B318=0,0,O306/B318)</f>
        <v/>
      </c>
      <c r="Q306">
        <f>IFERROR(1/IF(Inputs!$B$40="pvp",15,MAX(0.1,Skills!D26-IF(Skills!E26=TRUE,Inputs!$B$34,0))),0)</f>
        <v/>
      </c>
      <c r="R306" t="n">
        <v>0</v>
      </c>
    </row>
    <row r="308">
      <c r="A308" t="inlineStr">
        <is>
          <t>Average Buff Multiplier</t>
        </is>
      </c>
      <c r="B308">
        <f>(1+(IF(C283=TRUE,F283*IF(AND(Inputs!$B$40&lt;&gt;"pvp",Inputs!$B$43&gt;0),(((R283-1)*(Skills!S3*(1+(Inputs!$B$36+IF(Inputs!$B$3&gt;=117,F305,0))/100))+MIN((Skills!S3*(1+(Inputs!$B$36+IF(Inputs!$B$3&gt;=117,F305,0))/100)),MAX(0,Inputs!$B$43-((R283-1)*Skills!D3))))/Inputs!$B$43),IF(Inputs!$B$40="pvp",MIN((Skills!S3*(1+(Inputs!$B$36+IF(Inputs!$B$3&gt;=117,F305,0))/100)),15)/15,(Skills!S3*(1+(Inputs!$B$36+IF(Inputs!$B$3&gt;=117,F305,0))/100))/Skills!D3)),0)+IF(C284=TRUE,F284*IF(AND(Inputs!$B$40&lt;&gt;"pvp",Inputs!$B$43&gt;0),(((R284-1)*(Skills!S4*(1+(Inputs!$B$36+IF(Inputs!$B$3&gt;=117,F305,0))/100))+MIN((Skills!S4*(1+(Inputs!$B$36+IF(Inputs!$B$3&gt;=117,F305,0))/100)),MAX(0,Inputs!$B$43-((R284-1)*Skills!D4))))/Inputs!$B$43),IF(Inputs!$B$40="pvp",MIN((Skills!S4*(1+(Inputs!$B$36+IF(Inputs!$B$3&gt;=117,F305,0))/100)),15)/15,(Skills!S4*(1+(Inputs!$B$36+IF(Inputs!$B$3&gt;=117,F305,0))/100))/Skills!D4)),0)+IF(C285=TRUE,F285*IF(AND(Inputs!$B$40&lt;&gt;"pvp",Inputs!$B$43&gt;0),(((R285-1)*(Skills!S5*(1+(Inputs!$B$36+IF(Inputs!$B$3&gt;=117,F305,0))/100))+MIN((Skills!S5*(1+(Inputs!$B$36+IF(Inputs!$B$3&gt;=117,F305,0))/100)),MAX(0,Inputs!$B$43-((R285-1)*Skills!D5))))/Inputs!$B$43),IF(Inputs!$B$40="pvp",MIN((Skills!S5*(1+(Inputs!$B$36+IF(Inputs!$B$3&gt;=117,F305,0))/100)),15)/15,(Skills!S5*(1+(Inputs!$B$36+IF(Inputs!$B$3&gt;=117,F305,0))/100))/Skills!D5)),0)+IF(C291=TRUE,F291*IF(AND(Inputs!$B$40&lt;&gt;"pvp",Inputs!$B$43&gt;0),(((R291-1)*(Skills!S11*(1+(Inputs!$B$36+IF(Inputs!$B$3&gt;=117,F305,0))/100))+MIN((Skills!S11*(1+(Inputs!$B$36+IF(Inputs!$B$3&gt;=117,F305,0))/100)),MAX(0,Inputs!$B$43-((R291-1)*Skills!D11))))/Inputs!$B$43),IF(Inputs!$B$40="pvp",MIN((Skills!S11*(1+(Inputs!$B$36+IF(Inputs!$B$3&gt;=117,F305,0))/100)),15)/15,(Skills!S11*(1+(Inputs!$B$36+IF(Inputs!$B$3&gt;=117,F305,0))/100))/Skills!D11)),0))/100)*IF(C293=TRUE,(1+F293*IF(AND(Inputs!$B$40&lt;&gt;"pvp",Inputs!$B$43&gt;0),(((R293-1)*(Skills!S13*(1+(Inputs!$B$36+IF(Inputs!$B$3&gt;=117,F305,0))/100))+MIN((Skills!S13*(1+(Inputs!$B$36+IF(Inputs!$B$3&gt;=117,F305,0))/100)),MAX(0,Inputs!$B$43-((R293-1)*Skills!D13))))/Inputs!$B$43),IF(Inputs!$B$40="pvp",MIN((Skills!S13*(1+(Inputs!$B$36+IF(Inputs!$B$3&gt;=117,F305,0))/100)),15)/15,(Skills!S13*(1+(Inputs!$B$36+IF(Inputs!$B$3&gt;=117,F305,0))/100))/Skills!D13))/100),1)*IF(C298=TRUE,(1+F298*IF(AND(Inputs!$B$40&lt;&gt;"pvp",Inputs!$B$43&gt;0),(((R298-1)*(Skills!S18*(1+(Inputs!$B$36+IF(Inputs!$B$3&gt;=117,F305,0))/100))+MIN((Skills!S18*(1+(Inputs!$B$36+IF(Inputs!$B$3&gt;=117,F305,0))/100)),MAX(0,Inputs!$B$43-((R298-1)*Skills!D18))))/Inputs!$B$43),IF(Inputs!$B$40="pvp",MIN((Skills!S18*(1+(Inputs!$B$36+IF(Inputs!$B$3&gt;=117,F305,0))/100)),15)/15,(Skills!S18*(1+(Inputs!$B$36+IF(Inputs!$B$3&gt;=117,F305,0))/100))/Skills!D18))/100),1)</f>
        <v/>
      </c>
    </row>
    <row r="309">
      <c r="A309" t="inlineStr">
        <is>
          <t>Monster Damage Taken Bonus % (Holy Fountain)</t>
        </is>
      </c>
      <c r="B309">
        <f>IF(Inputs!$B$3&gt;=68,20*IF(Inputs!$B$40="pvp",MIN((15*(1+(Inputs!$B$36+IF(Inputs!$B$3&gt;=117,F305,0))/100)),15)/15,(15*(1+(Inputs!$B$36+IF(Inputs!$B$3&gt;=117,F305,0))/100))/Skills!D10),0)</f>
        <v/>
      </c>
    </row>
    <row r="310">
      <c r="A310" t="inlineStr">
        <is>
          <t>Normal Monster Damage Bonus % (Holy Symbol)</t>
        </is>
      </c>
      <c r="B310">
        <f>IF(C292=TRUE,F292*IF(AND(Inputs!$B$40&lt;&gt;"pvp",Inputs!$B$43&gt;0),(((R292-1)*(Skills!S12*(1+(Inputs!$B$36+IF(Inputs!$B$3&gt;=117,F305,0))/100))+MIN((Skills!S12*(1+(Inputs!$B$36+IF(Inputs!$B$3&gt;=117,F305,0))/100)),MAX(0,Inputs!$B$43-((R292-1)*Skills!D12))))/Inputs!$B$43),IF(Inputs!$B$40="pvp",MIN((Skills!S12*(1+(Inputs!$B$36+IF(Inputs!$B$3&gt;=117,F305,0))/100)),15)/15,(Skills!S12*(1+(Inputs!$B$36+IF(Inputs!$B$3&gt;=117,F305,0))/100))/Skills!D12)),0)</f>
        <v/>
      </c>
    </row>
    <row r="311">
      <c r="A311" t="inlineStr">
        <is>
          <t>Damage % Bonus (Holy Symbol - Damage Boost)</t>
        </is>
      </c>
      <c r="B311">
        <f>Skills!O12</f>
        <v/>
      </c>
    </row>
    <row r="312">
      <c r="A312" t="inlineStr">
        <is>
          <t>Crit Damage % Bonus (Blood of the Divine)</t>
        </is>
      </c>
      <c r="B312">
        <f>4*IF(C299=TRUE,F299,0)</f>
        <v/>
      </c>
    </row>
    <row r="313">
      <c r="A313" t="inlineStr">
        <is>
          <t>Attack Speed Bonus %</t>
        </is>
      </c>
      <c r="B313">
        <f>IF(C296=TRUE,F296+(F300-Calc!F20),0)+IF(Inputs!$B$3&gt;=134,15,0)</f>
        <v/>
      </c>
    </row>
    <row r="314">
      <c r="A314" t="inlineStr">
        <is>
          <t>Actions Per Second</t>
        </is>
      </c>
      <c r="B314">
        <f>1+MIN(150,150*(1-(1-Inputs!$B$13/150)*(1-B313/150)))/100</f>
        <v/>
      </c>
    </row>
    <row r="315">
      <c r="A315" t="inlineStr">
        <is>
          <t>Skill + Buff Cast Rate</t>
        </is>
      </c>
      <c r="B315">
        <f>IF(AND(Inputs!$B$40&lt;&gt;"pvp",Inputs!$B$43&gt;0),SUMPRODUCT((Skills!E2:E26=TRUE)*(C282:C306=TRUE)*R282:R306)/Inputs!$B$43,SUMPRODUCT((Skills!E2:E26=TRUE)*(C282:C306=TRUE)*Q282:Q306))</f>
        <v/>
      </c>
    </row>
    <row r="316">
      <c r="A316" t="inlineStr">
        <is>
          <t>Big Bang Casts Per Second</t>
        </is>
      </c>
      <c r="B316">
        <f>MAX(0,B314-B315)</f>
        <v/>
      </c>
    </row>
    <row r="318">
      <c r="A318" s="5" t="inlineStr">
        <is>
          <t>TOTAL DPS</t>
        </is>
      </c>
      <c r="B318" s="5">
        <f>SUM(O282:O306)</f>
        <v/>
      </c>
    </row>
    <row r="321">
      <c r="A321" s="5" t="inlineStr">
        <is>
          <t>Stat: NORMAL_DAMAGE %</t>
        </is>
      </c>
    </row>
    <row r="322">
      <c r="A322" s="9" t="inlineStr">
        <is>
          <t>Key</t>
        </is>
      </c>
      <c r="B322" s="9" t="inlineStr">
        <is>
          <t>Name</t>
        </is>
      </c>
      <c r="C322" s="9" t="inlineStr">
        <is>
          <t>Unlocked</t>
        </is>
      </c>
      <c r="D322" s="9" t="inlineStr">
        <is>
          <t>InputLevel</t>
        </is>
      </c>
      <c r="E322" s="9" t="inlineStr">
        <is>
          <t>Factor</t>
        </is>
      </c>
      <c r="F322" s="9" t="inlineStr">
        <is>
          <t>CoefficientPercent</t>
        </is>
      </c>
      <c r="G322" s="9" t="inlineStr">
        <is>
          <t>EffectiveHits</t>
        </is>
      </c>
      <c r="H322" s="9" t="inlineStr">
        <is>
          <t>ProcProbability</t>
        </is>
      </c>
      <c r="I322" s="9" t="inlineStr">
        <is>
          <t>MapleHeroMultiplier</t>
        </is>
      </c>
      <c r="J322" s="9" t="inlineStr">
        <is>
          <t>BaseDamage</t>
        </is>
      </c>
      <c r="K322" s="9" t="inlineStr">
        <is>
          <t>BaseHitDamage</t>
        </is>
      </c>
      <c r="L322" s="9" t="inlineStr">
        <is>
          <t>NonCritAvg</t>
        </is>
      </c>
      <c r="M322" s="9" t="inlineStr">
        <is>
          <t>CritAvg</t>
        </is>
      </c>
      <c r="N322" s="9" t="inlineStr">
        <is>
          <t>ExpectedDamage(perHit)</t>
        </is>
      </c>
      <c r="O322" s="9" t="inlineStr">
        <is>
          <t>DPS</t>
        </is>
      </c>
      <c r="P322" s="9" t="inlineStr">
        <is>
          <t>% of Total</t>
        </is>
      </c>
      <c r="R322" t="inlineStr">
        <is>
          <t>helpers</t>
        </is>
      </c>
    </row>
    <row r="323">
      <c r="A323">
        <f>Skills!A2</f>
        <v/>
      </c>
      <c r="B323">
        <f>Skills!B2</f>
        <v/>
      </c>
      <c r="C323">
        <f>Inputs!$B$3&gt;=100</f>
        <v/>
      </c>
      <c r="D323" t="inlineStr"/>
      <c r="E323" t="inlineStr"/>
      <c r="F323">
        <f>T325+Skills!N2</f>
        <v/>
      </c>
      <c r="G323">
        <f>Calc!G2</f>
        <v/>
      </c>
      <c r="H323">
        <f>Calc!H2</f>
        <v/>
      </c>
      <c r="I323">
        <f>IF(Skills!T2&lt;&gt;"",1+(Skills!T2/10)*($Z$3/1000)/100,1)</f>
        <v/>
      </c>
      <c r="J323">
        <f>(Inputs!$B$7*(1+Inputs!$B$8/100))*(F323/100)</f>
        <v/>
      </c>
      <c r="K323">
        <f>J323*(1+(((Inputs!$B$14+IF(Inputs!$B$3&gt;=35,0.10*(Inputs!$B$9*(1+Inputs!$B$10/100)),0))*(1+Inputs!$B$15/100))*0.01+Inputs!$B$16*0.0025)/100)*(1+(Inputs!$B$17+B352)/100)*(1+IF(Inputs!$B$40="pvp",0,(1-Summary!$B$48)*(Inputs!$B$22+Skills!O2+B350)+Summary!$B$48*((Inputs!$B$23+1)+Skills!P2+B351))/100)*(1+Inputs!$B$18/100)*(5000/(6000+Inputs!$B$42*(1-Inputs!$B$21/100)))*(1+Inputs!$B$26/100)*(1+IF(C338=TRUE,F338,0)/100)*(1+IF(C340=TRUE,F340,0)/100)*(1+IF(Skills!A2="TRIUMPH_FEATHER",IF(C336=TRUE,F336,0),0)/100)*(1+IF(C347=TRUE,F347,0)/100)^5*(1+(IF(Skills!A2="BIG_BANG",Inputs!$B$19,Inputs!$B$20))/100)*(B349*I323)</f>
        <v/>
      </c>
      <c r="L323">
        <f>K323*(MIN(Inputs!$B$24+(F342-Calc!F21),Inputs!$B$25)/100+Inputs!$B$25/100)/2</f>
        <v/>
      </c>
      <c r="M323">
        <f>L323*(1+(Inputs!$B$12+B353+(F345-Calc!F24))/100)</f>
        <v/>
      </c>
      <c r="N323">
        <f>L323*(1-MIN(Inputs!$B$11+((F344-Calc!F23)+(F343-Calc!F22)),100)/100)+M323*(MIN(Inputs!$B$11+((F344-Calc!F23)+(F343-Calc!F22)),100)/100)</f>
        <v/>
      </c>
      <c r="O323">
        <f>IF(C323,Skills!F2*N323*B357*IF(Inputs!$B$40="pvp",1,(1-Summary!$B$48)*(1)+Summary!$B$48*(MIN((6+Inputs!$B$35),Inputs!$B$39))),0)</f>
        <v/>
      </c>
      <c r="P323">
        <f>IF(B359=0,0,O323/B359)</f>
        <v/>
      </c>
      <c r="Q323">
        <f>IFERROR(1/IF(Inputs!$B$40="pvp",15,MAX(0.1,Skills!D2-IF(Skills!E2=TRUE,Inputs!$B$34,0))),0)</f>
        <v/>
      </c>
      <c r="R323" t="n">
        <v>0</v>
      </c>
      <c r="T323">
        <f>MAX(0,(Inputs!$B$3-100)*3)+Inputs!$B$30+Inputs!$B$31</f>
        <v/>
      </c>
    </row>
    <row r="324">
      <c r="A324">
        <f>Skills!A3</f>
        <v/>
      </c>
      <c r="B324">
        <f>Skills!B3</f>
        <v/>
      </c>
      <c r="C324">
        <f>Inputs!$B$3&gt;=15</f>
        <v/>
      </c>
      <c r="D324">
        <f>IF(Skills!C3=1,60+Inputs!$B$27+Inputs!$B$31,IF(Skills!C3=2,90+Inputs!$B$28+Inputs!$B$31,IF(Skills!C3=3,120+Inputs!$B$29+Inputs!$B$31,MAX(0,(Inputs!$B$3-100)*3)+Inputs!$B$30+Inputs!$B$31)))</f>
        <v/>
      </c>
      <c r="E324">
        <f>INDEX(FactorTable!$B$2:$Y$301, MATCH(ROUND(MIN(300,MAX(1,D324)),0), FactorTable!$A$2:$A$301,0), Skills!L3+1)</f>
        <v/>
      </c>
      <c r="F324">
        <f>IF(Skills!M3=TRUE,(Skills!K3/10)*(E324/1000),Skills!K3/10)+Skills!N3</f>
        <v/>
      </c>
      <c r="G324">
        <f>Calc!G3</f>
        <v/>
      </c>
      <c r="H324">
        <f>Calc!H3</f>
        <v/>
      </c>
      <c r="I324">
        <f>IF(Skills!T3&lt;&gt;"",1+(Skills!T3/10)*($Z$3/1000)/100,1)</f>
        <v/>
      </c>
      <c r="J324" t="inlineStr"/>
      <c r="K324" t="inlineStr"/>
      <c r="L324" t="inlineStr"/>
      <c r="M324" t="inlineStr"/>
      <c r="N324" t="inlineStr"/>
      <c r="O324" t="n">
        <v>0</v>
      </c>
      <c r="P324">
        <f>IF(B359=0,0,O324/B359)</f>
        <v/>
      </c>
      <c r="Q324">
        <f>IFERROR(1/IF(Inputs!$B$40="pvp",15,MAX(0.1,Skills!D3-IF(Skills!E3=TRUE,Inputs!$B$34,0))),0)</f>
        <v/>
      </c>
      <c r="R324">
        <f>IF(AND(Inputs!$B$40&lt;&gt;"pvp",Inputs!$B$43&gt;0),(INT(Inputs!$B$43/IF(Inputs!$B$40="pvp",15,MAX(0.1,Skills!D3-IF(Skills!E3=TRUE,Inputs!$B$34,0))))+1),0)</f>
        <v/>
      </c>
      <c r="T324">
        <f>INDEX(FactorTable!$B$2:$Y$301, MATCH(ROUND(MIN(300,MAX(1,T323)),0), FactorTable!$A$2:$A$301,0), 22)</f>
        <v/>
      </c>
    </row>
    <row r="325">
      <c r="A325">
        <f>Skills!A4</f>
        <v/>
      </c>
      <c r="B325">
        <f>Skills!B4</f>
        <v/>
      </c>
      <c r="C325">
        <f>Inputs!$B$3&gt;=38</f>
        <v/>
      </c>
      <c r="D325">
        <f>IF(Skills!C4=1,60+Inputs!$B$27+Inputs!$B$31,IF(Skills!C4=2,90+Inputs!$B$28+Inputs!$B$31,IF(Skills!C4=3,120+Inputs!$B$29+Inputs!$B$31,MAX(0,(Inputs!$B$3-100)*3)+Inputs!$B$30+Inputs!$B$31)))</f>
        <v/>
      </c>
      <c r="E325">
        <f>INDEX(FactorTable!$B$2:$Y$301, MATCH(ROUND(MIN(300,MAX(1,D325)),0), FactorTable!$A$2:$A$301,0), Skills!L4+1)</f>
        <v/>
      </c>
      <c r="F325">
        <f>IF(Skills!M4=TRUE,(Skills!K4/10)*(E325/1000),Skills!K4/10)+Skills!N4</f>
        <v/>
      </c>
      <c r="G325">
        <f>Calc!G4</f>
        <v/>
      </c>
      <c r="H325">
        <f>Calc!H4</f>
        <v/>
      </c>
      <c r="I325">
        <f>IF(Skills!T4&lt;&gt;"",1+(Skills!T4/10)*($Z$3/1000)/100,1)</f>
        <v/>
      </c>
      <c r="J325" t="inlineStr"/>
      <c r="K325" t="inlineStr"/>
      <c r="L325" t="inlineStr"/>
      <c r="M325" t="inlineStr"/>
      <c r="N325" t="inlineStr"/>
      <c r="O325" t="n">
        <v>0</v>
      </c>
      <c r="P325">
        <f>IF(B359=0,0,O325/B359)</f>
        <v/>
      </c>
      <c r="Q325">
        <f>IFERROR(1/IF(Inputs!$B$40="pvp",15,MAX(0.1,Skills!D4-IF(Skills!E4=TRUE,Inputs!$B$34,0))),0)</f>
        <v/>
      </c>
      <c r="R325">
        <f>IF(AND(Inputs!$B$40&lt;&gt;"pvp",Inputs!$B$43&gt;0),(INT(Inputs!$B$43/IF(Inputs!$B$40="pvp",15,MAX(0.1,Skills!D4-IF(Skills!E4=TRUE,Inputs!$B$34,0))))+1),0)</f>
        <v/>
      </c>
      <c r="T325">
        <f>290*T324/1000</f>
        <v/>
      </c>
    </row>
    <row r="326">
      <c r="A326">
        <f>Skills!A5</f>
        <v/>
      </c>
      <c r="B326">
        <f>Skills!B5</f>
        <v/>
      </c>
      <c r="C326">
        <f>Inputs!$B$3&gt;=40</f>
        <v/>
      </c>
      <c r="D326">
        <f>IF(Skills!C5=1,60+Inputs!$B$27+Inputs!$B$31,IF(Skills!C5=2,90+Inputs!$B$28+Inputs!$B$31,IF(Skills!C5=3,120+Inputs!$B$29+Inputs!$B$31,MAX(0,(Inputs!$B$3-100)*3)+Inputs!$B$30+Inputs!$B$31)))</f>
        <v/>
      </c>
      <c r="E326">
        <f>INDEX(FactorTable!$B$2:$Y$301, MATCH(ROUND(MIN(300,MAX(1,D326)),0), FactorTable!$A$2:$A$301,0), Skills!L5+1)</f>
        <v/>
      </c>
      <c r="F326">
        <f>IF(Skills!M5=TRUE,(Skills!K5/10)*(E326/1000),Skills!K5/10)+Skills!N5</f>
        <v/>
      </c>
      <c r="G326">
        <f>Calc!G5</f>
        <v/>
      </c>
      <c r="H326">
        <f>Calc!H5</f>
        <v/>
      </c>
      <c r="I326">
        <f>IF(Skills!T5&lt;&gt;"",1+(Skills!T5/10)*($Z$3/1000)/100,1)</f>
        <v/>
      </c>
      <c r="J326" t="inlineStr"/>
      <c r="K326" t="inlineStr"/>
      <c r="L326" t="inlineStr"/>
      <c r="M326" t="inlineStr"/>
      <c r="N326" t="inlineStr"/>
      <c r="O326" t="n">
        <v>0</v>
      </c>
      <c r="P326">
        <f>IF(B359=0,0,O326/B359)</f>
        <v/>
      </c>
      <c r="Q326">
        <f>IFERROR(1/IF(Inputs!$B$40="pvp",15,MAX(0.1,Skills!D5-IF(Skills!E5=TRUE,Inputs!$B$34,0))),0)</f>
        <v/>
      </c>
      <c r="R326">
        <f>IF(AND(Inputs!$B$40&lt;&gt;"pvp",Inputs!$B$43&gt;0),(INT(Inputs!$B$43/IF(Inputs!$B$40="pvp",15,MAX(0.1,Skills!D5-IF(Skills!E5=TRUE,Inputs!$B$34,0))))+1),0)</f>
        <v/>
      </c>
    </row>
    <row r="327">
      <c r="A327">
        <f>Skills!A6</f>
        <v/>
      </c>
      <c r="B327">
        <f>Skills!B6</f>
        <v/>
      </c>
      <c r="C327">
        <f>Inputs!$B$3&gt;=103</f>
        <v/>
      </c>
      <c r="D327">
        <f>IF(Skills!C6=1,60+Inputs!$B$27+Inputs!$B$31,IF(Skills!C6=2,90+Inputs!$B$28+Inputs!$B$31,IF(Skills!C6=3,120+Inputs!$B$29+Inputs!$B$31,MAX(0,(Inputs!$B$3-100)*3)+Inputs!$B$30+Inputs!$B$31)))</f>
        <v/>
      </c>
      <c r="E327">
        <f>INDEX(FactorTable!$B$2:$Y$301, MATCH(ROUND(MIN(300,MAX(1,D327)),0), FactorTable!$A$2:$A$301,0), Skills!L6+1)</f>
        <v/>
      </c>
      <c r="F327">
        <f>IF(Skills!M6=TRUE,(Skills!K6/10)*(E327/1000),Skills!K6/10)+Skills!N6</f>
        <v/>
      </c>
      <c r="G327">
        <f>Calc!G6</f>
        <v/>
      </c>
      <c r="H327">
        <f>Calc!H6</f>
        <v/>
      </c>
      <c r="I327">
        <f>IF(Skills!T6&lt;&gt;"",1+(Skills!T6/10)*($Z$3/1000)/100,1)</f>
        <v/>
      </c>
      <c r="J327">
        <f>(Inputs!$B$7*(1+Inputs!$B$8/100))*(F327/100)</f>
        <v/>
      </c>
      <c r="K327">
        <f>J327*(1+(((Inputs!$B$14+IF(Inputs!$B$3&gt;=35,0.10*(Inputs!$B$9*(1+Inputs!$B$10/100)),0))*(1+Inputs!$B$15/100))*0.01+Inputs!$B$16*0.0025)/100)*(1+(Inputs!$B$17+B352)/100)*(1+IF(Inputs!$B$40="pvp",0,(1-Summary!$B$48)*(Inputs!$B$22+Skills!O6+B350)+Summary!$B$48*((Inputs!$B$23+1)+Skills!P6+B351))/100)*(1+Inputs!$B$18/100)*(5000/(6000+Inputs!$B$42*(1-Inputs!$B$21/100)))*(1+Inputs!$B$26/100)*(1+IF(C338=TRUE,F338,0)/100)*(1+IF(C340=TRUE,F340,0)/100)*(1+IF(Skills!A6="TRIUMPH_FEATHER",IF(C336=TRUE,F336,0),0)/100)*(1+IF(C347=TRUE,F347,0)/100)^5*(1+(IF(Skills!A6="BIG_BANG",Inputs!$B$19,Inputs!$B$20))/100)*(B349*I327)</f>
        <v/>
      </c>
      <c r="L327">
        <f>K327*(MIN(Inputs!$B$24+(F342-Calc!F21),Inputs!$B$25)/100+Inputs!$B$25/100)/2</f>
        <v/>
      </c>
      <c r="M327">
        <f>L327*(1+(Inputs!$B$12+B353+(F345-Calc!F24))/100)</f>
        <v/>
      </c>
      <c r="N327">
        <f>L327*(1-MIN(Inputs!$B$11+((F344-Calc!F23)+(F343-Calc!F22)),100)/100)+M327*(MIN(Inputs!$B$11+((F344-Calc!F23)+(F343-Calc!F22)),100)/100)</f>
        <v/>
      </c>
      <c r="O327">
        <f>IF(C327,H327*N327*IF(AND(Inputs!$B$40&lt;&gt;"pvp",Inputs!$B$43&gt;0),((Skills!F6*((R327-1)*IF(Skills!G6&gt;0,Skills!H6/Skills!G6,1)+IF(Skills!G6&gt;0,MIN(Skills!H6,MAX(0,Inputs!$B$43-((R327-1)*IF(Inputs!$B$40="pvp",15,MAX(0.1,Skills!D6-IF(Skills!E6=TRUE,Inputs!$B$34,0))))))/Skills!G6,1)))/Inputs!$B$43),G327*Q327)*IF(Inputs!$B$40="pvp",1,(1-Summary!$B$48)*(1)+Summary!$B$48*(MIN(Skills!Q6,Inputs!$B$39))),0)</f>
        <v/>
      </c>
      <c r="P327">
        <f>IF(B359=0,0,O327/B359)</f>
        <v/>
      </c>
      <c r="Q327">
        <f>IFERROR(1/IF(Inputs!$B$40="pvp",15,MAX(0.1,Skills!D6-IF(Skills!E6=TRUE,Inputs!$B$34,0))),0)</f>
        <v/>
      </c>
      <c r="R327">
        <f>IF(AND(Inputs!$B$40&lt;&gt;"pvp",Inputs!$B$43&gt;0),(INT(Inputs!$B$43/IF(Inputs!$B$40="pvp",15,MAX(0.1,Skills!D6-IF(Skills!E6=TRUE,Inputs!$B$34,0))))+1),0)</f>
        <v/>
      </c>
    </row>
    <row r="328">
      <c r="A328">
        <f>Skills!A7</f>
        <v/>
      </c>
      <c r="B328">
        <f>Skills!B7</f>
        <v/>
      </c>
      <c r="C328">
        <f>Inputs!$B$3&gt;=122</f>
        <v/>
      </c>
      <c r="D328">
        <f>IF(Skills!C7=1,60+Inputs!$B$27+Inputs!$B$31,IF(Skills!C7=2,90+Inputs!$B$28+Inputs!$B$31,IF(Skills!C7=3,120+Inputs!$B$29+Inputs!$B$31,MAX(0,(Inputs!$B$3-100)*3)+Inputs!$B$30+Inputs!$B$31)))</f>
        <v/>
      </c>
      <c r="E328">
        <f>INDEX(FactorTable!$B$2:$Y$301, MATCH(ROUND(MIN(300,MAX(1,D328)),0), FactorTable!$A$2:$A$301,0), Skills!L7+1)</f>
        <v/>
      </c>
      <c r="F328">
        <f>IF(Skills!M7=TRUE,(Skills!K7/10)*(E328/1000),Skills!K7/10)+Skills!N7</f>
        <v/>
      </c>
      <c r="G328">
        <f>Calc!G7</f>
        <v/>
      </c>
      <c r="H328">
        <f>Calc!H7</f>
        <v/>
      </c>
      <c r="I328">
        <f>IF(Skills!T7&lt;&gt;"",1+(Skills!T7/10)*($Z$3/1000)/100,1)</f>
        <v/>
      </c>
      <c r="J328">
        <f>(Inputs!$B$7*(1+Inputs!$B$8/100))*(F328/100)</f>
        <v/>
      </c>
      <c r="K328">
        <f>J328*(1+(((Inputs!$B$14+IF(Inputs!$B$3&gt;=35,0.10*(Inputs!$B$9*(1+Inputs!$B$10/100)),0))*(1+Inputs!$B$15/100))*0.01+Inputs!$B$16*0.0025)/100)*(1+(Inputs!$B$17+B352)/100)*(1+IF(Inputs!$B$40="pvp",0,(1-Summary!$B$48)*(Inputs!$B$22+Skills!O7+B350)+Summary!$B$48*((Inputs!$B$23+1)+Skills!P7+B351))/100)*(1+Inputs!$B$18/100)*(5000/(6000+Inputs!$B$42*(1-Inputs!$B$21/100)))*(1+Inputs!$B$26/100)*(1+IF(C338=TRUE,F338,0)/100)*(1+IF(C340=TRUE,F340,0)/100)*(1+IF(Skills!A7="TRIUMPH_FEATHER",IF(C336=TRUE,F336,0),0)/100)*(1+IF(C347=TRUE,F347,0)/100)^5*(1+(IF(Skills!A7="BIG_BANG",Inputs!$B$19,Inputs!$B$20))/100)*(B349*I328)</f>
        <v/>
      </c>
      <c r="L328">
        <f>K328*(MIN(Inputs!$B$24+(F342-Calc!F21),Inputs!$B$25)/100+Inputs!$B$25/100)/2</f>
        <v/>
      </c>
      <c r="M328">
        <f>L328*(1+(Inputs!$B$12+B353+(F345-Calc!F24))/100)</f>
        <v/>
      </c>
      <c r="N328">
        <f>L328*(1-MIN(Inputs!$B$11+((F344-Calc!F23)+(F343-Calc!F22)),100)/100)+M328*(MIN(Inputs!$B$11+((F344-Calc!F23)+(F343-Calc!F22)),100)/100)</f>
        <v/>
      </c>
      <c r="O328">
        <f>IF(C328,H328*N328*IF(AND(Inputs!$B$40&lt;&gt;"pvp",Inputs!$B$43&gt;0),((Skills!F7*((R328-1)*IF(Skills!G7&gt;0,Skills!H7/Skills!G7,1)+IF(Skills!G7&gt;0,MIN(Skills!H7,MAX(0,Inputs!$B$43-((R328-1)*IF(Inputs!$B$40="pvp",15,MAX(0.1,Skills!D7-IF(Skills!E6=TRUE,Inputs!$B$34,0))))))/Skills!G7,1)))/Inputs!$B$43),G328*Q328)*(1-Summary!$B$48),0)</f>
        <v/>
      </c>
      <c r="P328">
        <f>IF(B359=0,0,O328/B359)</f>
        <v/>
      </c>
      <c r="Q328">
        <f>IFERROR(1/IF(Inputs!$B$40="pvp",15,MAX(0.1,Skills!D7-IF(Skills!E6=TRUE,Inputs!$B$34,0))),0)</f>
        <v/>
      </c>
      <c r="R328">
        <f>IF(AND(Inputs!$B$40&lt;&gt;"pvp",Inputs!$B$43&gt;0),(INT(Inputs!$B$43/IF(Inputs!$B$40="pvp",15,MAX(0.1,Skills!D7-IF(Skills!E6=TRUE,Inputs!$B$34,0))))+1),0)</f>
        <v/>
      </c>
    </row>
    <row r="329">
      <c r="A329">
        <f>Skills!A8</f>
        <v/>
      </c>
      <c r="B329">
        <f>Skills!B8</f>
        <v/>
      </c>
      <c r="C329">
        <f>Inputs!$B$3&gt;=105</f>
        <v/>
      </c>
      <c r="D329">
        <f>IF(Skills!C8=1,60+Inputs!$B$27+Inputs!$B$31,IF(Skills!C8=2,90+Inputs!$B$28+Inputs!$B$31,IF(Skills!C8=3,120+Inputs!$B$29+Inputs!$B$31,MAX(0,(Inputs!$B$3-100)*3)+Inputs!$B$30+Inputs!$B$31)))</f>
        <v/>
      </c>
      <c r="E329">
        <f>INDEX(FactorTable!$B$2:$Y$301, MATCH(ROUND(MIN(300,MAX(1,D329)),0), FactorTable!$A$2:$A$301,0), Skills!L8+1)</f>
        <v/>
      </c>
      <c r="F329">
        <f>IF(Skills!M8=TRUE,(Skills!K8/10)*(E329/1000),Skills!K8/10)+Skills!N8</f>
        <v/>
      </c>
      <c r="G329">
        <f>Calc!G8</f>
        <v/>
      </c>
      <c r="H329">
        <f>Calc!H8</f>
        <v/>
      </c>
      <c r="I329">
        <f>IF(Skills!T8&lt;&gt;"",1+(Skills!T8/10)*($Z$3/1000)/100,1)</f>
        <v/>
      </c>
      <c r="J329">
        <f>(Inputs!$B$7*(1+Inputs!$B$8/100))*(F329/100)</f>
        <v/>
      </c>
      <c r="K329">
        <f>J329*(1+(((Inputs!$B$14+IF(Inputs!$B$3&gt;=35,0.10*(Inputs!$B$9*(1+Inputs!$B$10/100)),0))*(1+Inputs!$B$15/100))*0.01+Inputs!$B$16*0.0025)/100)*(1+(Inputs!$B$17+B352)/100)*(1+IF(Inputs!$B$40="pvp",0,(1-Summary!$B$48)*(Inputs!$B$22+Skills!O8+B350)+Summary!$B$48*((Inputs!$B$23+1)+Skills!P8+B351))/100)*(1+Inputs!$B$18/100)*(5000/(6000+Inputs!$B$42*(1-Inputs!$B$21/100)))*(1+Inputs!$B$26/100)*(1+IF(C338=TRUE,F338,0)/100)*(1+IF(C340=TRUE,F340,0)/100)*(1+IF(Skills!A8="TRIUMPH_FEATHER",IF(C336=TRUE,F336,0),0)/100)*(1+IF(C347=TRUE,F347,0)/100)^5*(1+(IF(Skills!A8="BIG_BANG",Inputs!$B$19,Inputs!$B$20))/100)*(B349*I329)</f>
        <v/>
      </c>
      <c r="L329">
        <f>K329*(MIN(Inputs!$B$24+(F342-Calc!F21),Inputs!$B$25)/100+Inputs!$B$25/100)/2</f>
        <v/>
      </c>
      <c r="M329">
        <f>L329*(1+(Inputs!$B$12+B353+(F345-Calc!F24))/100)</f>
        <v/>
      </c>
      <c r="N329">
        <f>L329*(1-MIN(Inputs!$B$11+((F344-Calc!F23)+(F343-Calc!F22)),100)/100)+M329*(MIN(Inputs!$B$11+((F344-Calc!F23)+(F343-Calc!F22)),100)/100)</f>
        <v/>
      </c>
      <c r="O329">
        <f>IF(C329,H329*N329*IF(AND(Inputs!$B$40&lt;&gt;"pvp",Inputs!$B$43&gt;0),((Skills!F8*((R329-1)*IF(Skills!G8&gt;0,Skills!H8/Skills!G8,1)+IF(Skills!G8&gt;0,MIN(Skills!H8,MAX(0,Inputs!$B$43-((R329-1)*IF(Inputs!$B$40="pvp",15,MAX(0.1,Skills!D8-IF(Skills!E8=TRUE,Inputs!$B$34,0))))))/Skills!G8,1)))/Inputs!$B$43),G329*Q329)*IF(Inputs!$B$40="pvp",1,(1-Summary!$B$48)*(1)+Summary!$B$48*(MIN(Skills!Q8,Inputs!$B$39))),0)</f>
        <v/>
      </c>
      <c r="P329">
        <f>IF(B359=0,0,O329/B359)</f>
        <v/>
      </c>
      <c r="Q329">
        <f>IFERROR(1/IF(Inputs!$B$40="pvp",15,MAX(0.1,Skills!D8-IF(Skills!E8=TRUE,Inputs!$B$34,0))),0)</f>
        <v/>
      </c>
      <c r="R329">
        <f>IF(AND(Inputs!$B$40&lt;&gt;"pvp",Inputs!$B$43&gt;0),(INT(Inputs!$B$43/IF(Inputs!$B$40="pvp",15,MAX(0.1,Skills!D8-IF(Skills!E8=TRUE,Inputs!$B$34,0))))+1),0)</f>
        <v/>
      </c>
    </row>
    <row r="330">
      <c r="A330">
        <f>Skills!A9</f>
        <v/>
      </c>
      <c r="B330">
        <f>Skills!B9</f>
        <v/>
      </c>
      <c r="C330">
        <f>Inputs!$B$3&gt;=115</f>
        <v/>
      </c>
      <c r="D330">
        <f>IF(Skills!C9=1,60+Inputs!$B$27+Inputs!$B$31,IF(Skills!C9=2,90+Inputs!$B$28+Inputs!$B$31,IF(Skills!C9=3,120+Inputs!$B$29+Inputs!$B$31,MAX(0,(Inputs!$B$3-100)*3)+Inputs!$B$30+Inputs!$B$31)))</f>
        <v/>
      </c>
      <c r="E330">
        <f>INDEX(FactorTable!$B$2:$Y$301, MATCH(ROUND(MIN(300,MAX(1,D330)),0), FactorTable!$A$2:$A$301,0), Skills!L9+1)</f>
        <v/>
      </c>
      <c r="F330">
        <f>IF(Skills!M9=TRUE,(Skills!K9/10)*(E330/1000),Skills!K9/10)+Skills!N9</f>
        <v/>
      </c>
      <c r="G330">
        <f>Calc!G9</f>
        <v/>
      </c>
      <c r="H330">
        <f>Calc!H9</f>
        <v/>
      </c>
      <c r="I330">
        <f>IF(Skills!T9&lt;&gt;"",1+(Skills!T9/10)*($Z$3/1000)/100,1)</f>
        <v/>
      </c>
      <c r="J330">
        <f>(Inputs!$B$7*(1+Inputs!$B$8/100))*(F330/100)</f>
        <v/>
      </c>
      <c r="K330">
        <f>J330*(1+(((Inputs!$B$14+IF(Inputs!$B$3&gt;=35,0.10*(Inputs!$B$9*(1+Inputs!$B$10/100)),0))*(1+Inputs!$B$15/100))*0.01+Inputs!$B$16*0.0025)/100)*(1+(Inputs!$B$17+B352)/100)*(1+IF(Inputs!$B$40="pvp",0,(1-Summary!$B$48)*(Inputs!$B$22+Skills!O9+B350)+Summary!$B$48*((Inputs!$B$23+1)+Skills!P9+B351))/100)*(1+Inputs!$B$18/100)*(5000/(6000+Inputs!$B$42*(1-Inputs!$B$21/100)))*(1+Inputs!$B$26/100)*(1+IF(C338=TRUE,F338,0)/100)*(1+IF(C340=TRUE,F340,0)/100)*(1+IF(Skills!A9="TRIUMPH_FEATHER",IF(C336=TRUE,F336,0),0)/100)*(1+IF(C347=TRUE,F347,0)/100)^5*(1+(IF(Skills!A9="BIG_BANG",Inputs!$B$19,Inputs!$B$20))/100)*(B349*I330)</f>
        <v/>
      </c>
      <c r="L330">
        <f>K330*(MIN(Inputs!$B$24+(F342-Calc!F21),Inputs!$B$25)/100+Inputs!$B$25/100)/2</f>
        <v/>
      </c>
      <c r="M330">
        <f>L330*(1+(Inputs!$B$12+B353+(F345-Calc!F24))/100)</f>
        <v/>
      </c>
      <c r="N330">
        <f>L330*(1-MIN(Inputs!$B$11+((F344-Calc!F23)+(F343-Calc!F22)),100)/100)+M330*(MIN(Inputs!$B$11+((F344-Calc!F23)+(F343-Calc!F22)),100)/100)</f>
        <v/>
      </c>
      <c r="O330">
        <f>IF(C330,H330*N330*IF(AND(Inputs!$B$40&lt;&gt;"pvp",Inputs!$B$43&gt;0),((Skills!F9*((R330-1)*IF(Skills!G9&gt;0,Skills!H9/Skills!G9,1)+IF(Skills!G9&gt;0,MIN(Skills!H9,MAX(0,Inputs!$B$43-((R330-1)*IF(Inputs!$B$40="pvp",15,MAX(0.1,Skills!D9-IF(Skills!E9=TRUE,Inputs!$B$34,0))))))/Skills!G9,1)))/Inputs!$B$43),G330*Q330)*IF(Inputs!$B$40="pvp",1,(1-Summary!$B$48)*(1)+Summary!$B$48*(MIN(Skills!Q9,Inputs!$B$39))),0)</f>
        <v/>
      </c>
      <c r="P330">
        <f>IF(B359=0,0,O330/B359)</f>
        <v/>
      </c>
      <c r="Q330">
        <f>IFERROR(1/IF(Inputs!$B$40="pvp",15,MAX(0.1,Skills!D9-IF(Skills!E9=TRUE,Inputs!$B$34,0))),0)</f>
        <v/>
      </c>
      <c r="R330">
        <f>IF(AND(Inputs!$B$40&lt;&gt;"pvp",Inputs!$B$43&gt;0),(INT(Inputs!$B$43/IF(Inputs!$B$40="pvp",15,MAX(0.1,Skills!D9-IF(Skills!E9=TRUE,Inputs!$B$34,0))))+1),0)</f>
        <v/>
      </c>
    </row>
    <row r="331">
      <c r="A331">
        <f>Skills!A10</f>
        <v/>
      </c>
      <c r="B331">
        <f>Skills!B10</f>
        <v/>
      </c>
      <c r="C331">
        <f>Inputs!$B$3&gt;=66</f>
        <v/>
      </c>
      <c r="D331">
        <f>IF(Skills!C10=1,60+Inputs!$B$27+Inputs!$B$31,IF(Skills!C10=2,90+Inputs!$B$28+Inputs!$B$31,IF(Skills!C10=3,120+Inputs!$B$29+Inputs!$B$31,MAX(0,(Inputs!$B$3-100)*3)+Inputs!$B$30+Inputs!$B$31)))</f>
        <v/>
      </c>
      <c r="E331">
        <f>INDEX(FactorTable!$B$2:$Y$301, MATCH(ROUND(MIN(300,MAX(1,D331)),0), FactorTable!$A$2:$A$301,0), Skills!L10+1)</f>
        <v/>
      </c>
      <c r="F331" t="n">
        <v>0</v>
      </c>
      <c r="G331">
        <f>Calc!G10</f>
        <v/>
      </c>
      <c r="H331">
        <f>Calc!H10</f>
        <v/>
      </c>
      <c r="I331">
        <f>IF(Skills!T10&lt;&gt;"",1+(Skills!T10/10)*($Z$3/1000)/100,1)</f>
        <v/>
      </c>
      <c r="J331" t="inlineStr"/>
      <c r="K331" t="inlineStr"/>
      <c r="L331" t="inlineStr"/>
      <c r="M331" t="inlineStr"/>
      <c r="N331" t="inlineStr"/>
      <c r="O331" t="n">
        <v>0</v>
      </c>
      <c r="P331">
        <f>IF(B359=0,0,O331/B359)</f>
        <v/>
      </c>
      <c r="Q331">
        <f>IFERROR(1/IF(Inputs!$B$40="pvp",15,MAX(0.1,Skills!D10-IF(Skills!E10=TRUE,Inputs!$B$34,0))),0)</f>
        <v/>
      </c>
      <c r="R331">
        <f>IF(AND(Inputs!$B$40&lt;&gt;"pvp",Inputs!$B$43&gt;0),(INT(Inputs!$B$43/IF(Inputs!$B$40="pvp",15,MAX(0.1,Skills!D10-IF(Skills!E10=TRUE,Inputs!$B$34,0))))+1),0)</f>
        <v/>
      </c>
    </row>
    <row r="332">
      <c r="A332">
        <f>Skills!A11</f>
        <v/>
      </c>
      <c r="B332">
        <f>Skills!B11</f>
        <v/>
      </c>
      <c r="C332">
        <f>Inputs!$B$3&gt;=69</f>
        <v/>
      </c>
      <c r="D332">
        <f>IF(Skills!C11=1,60+Inputs!$B$27+Inputs!$B$31,IF(Skills!C11=2,90+Inputs!$B$28+Inputs!$B$31,IF(Skills!C11=3,120+Inputs!$B$29+Inputs!$B$31,MAX(0,(Inputs!$B$3-100)*3)+Inputs!$B$30+Inputs!$B$31)))</f>
        <v/>
      </c>
      <c r="E332">
        <f>INDEX(FactorTable!$B$2:$Y$301, MATCH(ROUND(MIN(300,MAX(1,D332)),0), FactorTable!$A$2:$A$301,0), Skills!L11+1)</f>
        <v/>
      </c>
      <c r="F332">
        <f>IF(Skills!M11=TRUE,(Skills!K11/10)*(E332/1000),Skills!K11/10)+Skills!N11</f>
        <v/>
      </c>
      <c r="G332">
        <f>Calc!G11</f>
        <v/>
      </c>
      <c r="H332">
        <f>Calc!H11</f>
        <v/>
      </c>
      <c r="I332">
        <f>IF(Skills!T11&lt;&gt;"",1+(Skills!T11/10)*($Z$3/1000)/100,1)</f>
        <v/>
      </c>
      <c r="J332" t="inlineStr"/>
      <c r="K332" t="inlineStr"/>
      <c r="L332" t="inlineStr"/>
      <c r="M332" t="inlineStr"/>
      <c r="N332" t="inlineStr"/>
      <c r="O332" t="n">
        <v>0</v>
      </c>
      <c r="P332">
        <f>IF(B359=0,0,O332/B359)</f>
        <v/>
      </c>
      <c r="Q332">
        <f>IFERROR(1/IF(Inputs!$B$40="pvp",15,MAX(0.1,Skills!D11-IF(Skills!E11=TRUE,Inputs!$B$34,0))),0)</f>
        <v/>
      </c>
      <c r="R332">
        <f>IF(AND(Inputs!$B$40&lt;&gt;"pvp",Inputs!$B$43&gt;0),(INT(Inputs!$B$43/IF(Inputs!$B$40="pvp",15,MAX(0.1,Skills!D11-IF(Skills!E11=TRUE,Inputs!$B$34,0))))+1),0)</f>
        <v/>
      </c>
    </row>
    <row r="333">
      <c r="A333">
        <f>Skills!A12</f>
        <v/>
      </c>
      <c r="B333">
        <f>Skills!B12</f>
        <v/>
      </c>
      <c r="C333">
        <f>Inputs!$B$3&gt;=72</f>
        <v/>
      </c>
      <c r="D333">
        <f>IF(Skills!C12=1,60+Inputs!$B$27+Inputs!$B$31,IF(Skills!C12=2,90+Inputs!$B$28+Inputs!$B$31,IF(Skills!C12=3,120+Inputs!$B$29+Inputs!$B$31,MAX(0,(Inputs!$B$3-100)*3)+Inputs!$B$30+Inputs!$B$31)))</f>
        <v/>
      </c>
      <c r="E333">
        <f>INDEX(FactorTable!$B$2:$Y$301, MATCH(ROUND(MIN(300,MAX(1,D333)),0), FactorTable!$A$2:$A$301,0), Skills!L12+1)</f>
        <v/>
      </c>
      <c r="F333">
        <f>IF(Skills!M12=TRUE,(Skills!K12/10)*(E333/1000),Skills!K12/10)+Skills!N12</f>
        <v/>
      </c>
      <c r="G333">
        <f>Calc!G12</f>
        <v/>
      </c>
      <c r="H333">
        <f>Calc!H12</f>
        <v/>
      </c>
      <c r="I333">
        <f>IF(Skills!T12&lt;&gt;"",1+(Skills!T12/10)*($Z$3/1000)/100,1)</f>
        <v/>
      </c>
      <c r="J333" t="inlineStr"/>
      <c r="K333" t="inlineStr"/>
      <c r="L333" t="inlineStr"/>
      <c r="M333" t="inlineStr"/>
      <c r="N333" t="inlineStr"/>
      <c r="O333" t="n">
        <v>0</v>
      </c>
      <c r="P333">
        <f>IF(B359=0,0,O333/B359)</f>
        <v/>
      </c>
      <c r="Q333">
        <f>IFERROR(1/IF(Inputs!$B$40="pvp",15,MAX(0.1,Skills!D12-IF(Skills!E12=TRUE,Inputs!$B$34,0))),0)</f>
        <v/>
      </c>
      <c r="R333">
        <f>IF(AND(Inputs!$B$40&lt;&gt;"pvp",Inputs!$B$43&gt;0),(INT(Inputs!$B$43/IF(Inputs!$B$40="pvp",15,MAX(0.1,Skills!D12-IF(Skills!E12=TRUE,Inputs!$B$34,0))))+1),0)</f>
        <v/>
      </c>
    </row>
    <row r="334">
      <c r="A334">
        <f>Skills!A13</f>
        <v/>
      </c>
      <c r="B334">
        <f>Skills!B13</f>
        <v/>
      </c>
      <c r="C334">
        <f>Inputs!$B$3&gt;=107</f>
        <v/>
      </c>
      <c r="D334">
        <f>IF(Skills!C13=1,60+Inputs!$B$27+Inputs!$B$31,IF(Skills!C13=2,90+Inputs!$B$28+Inputs!$B$31,IF(Skills!C13=3,120+Inputs!$B$29+Inputs!$B$31,MAX(0,(Inputs!$B$3-100)*3)+Inputs!$B$30+Inputs!$B$31)))</f>
        <v/>
      </c>
      <c r="E334">
        <f>INDEX(FactorTable!$B$2:$Y$301, MATCH(ROUND(MIN(300,MAX(1,D334)),0), FactorTable!$A$2:$A$301,0), Skills!L13+1)</f>
        <v/>
      </c>
      <c r="F334">
        <f>IF(Skills!M13=TRUE,(Skills!K13/10)*(E334/1000),Skills!K13/10)+Skills!N13</f>
        <v/>
      </c>
      <c r="G334">
        <f>Calc!G13</f>
        <v/>
      </c>
      <c r="H334">
        <f>Calc!H13</f>
        <v/>
      </c>
      <c r="I334">
        <f>IF(Skills!T13&lt;&gt;"",1+(Skills!T13/10)*($Z$3/1000)/100,1)</f>
        <v/>
      </c>
      <c r="J334" t="inlineStr"/>
      <c r="K334" t="inlineStr"/>
      <c r="L334" t="inlineStr"/>
      <c r="M334" t="inlineStr"/>
      <c r="N334" t="inlineStr"/>
      <c r="O334" t="n">
        <v>0</v>
      </c>
      <c r="P334">
        <f>IF(B359=0,0,O334/B359)</f>
        <v/>
      </c>
      <c r="Q334">
        <f>IFERROR(1/IF(Inputs!$B$40="pvp",15,MAX(0.1,Skills!D13-IF(Skills!E13=TRUE,Inputs!$B$34,0))),0)</f>
        <v/>
      </c>
      <c r="R334">
        <f>IF(AND(Inputs!$B$40&lt;&gt;"pvp",Inputs!$B$43&gt;0),(INT(Inputs!$B$43/IF(Inputs!$B$40="pvp",15,MAX(0.1,Skills!D13-IF(Skills!E13=TRUE,Inputs!$B$34,0))))+1),0)</f>
        <v/>
      </c>
    </row>
    <row r="335">
      <c r="A335">
        <f>Skills!A14</f>
        <v/>
      </c>
      <c r="B335">
        <f>Skills!B14</f>
        <v/>
      </c>
      <c r="C335">
        <f>Inputs!$B$3&gt;=63</f>
        <v/>
      </c>
      <c r="D335">
        <f>IF(Skills!C14=1,60+Inputs!$B$27+Inputs!$B$31,IF(Skills!C14=2,90+Inputs!$B$28+Inputs!$B$31,IF(Skills!C14=3,120+Inputs!$B$29+Inputs!$B$31,MAX(0,(Inputs!$B$3-100)*3)+Inputs!$B$30+Inputs!$B$31)))</f>
        <v/>
      </c>
      <c r="E335">
        <f>INDEX(FactorTable!$B$2:$Y$301, MATCH(ROUND(MIN(300,MAX(1,D335)),0), FactorTable!$A$2:$A$301,0), Skills!L14+1)</f>
        <v/>
      </c>
      <c r="F335">
        <f>IF(Skills!M14=TRUE,(Skills!K14/10)*(E335/1000),Skills!K14/10)+Skills!N14</f>
        <v/>
      </c>
      <c r="G335">
        <f>Calc!G14</f>
        <v/>
      </c>
      <c r="H335">
        <f>Calc!H14</f>
        <v/>
      </c>
      <c r="I335">
        <f>IF(Skills!T14&lt;&gt;"",1+(Skills!T14/10)*($Z$3/1000)/100,1)</f>
        <v/>
      </c>
      <c r="J335">
        <f>(Inputs!$B$7*(1+Inputs!$B$8/100))*(F335/100)</f>
        <v/>
      </c>
      <c r="K335">
        <f>J335*(1+(((Inputs!$B$14+IF(Inputs!$B$3&gt;=35,0.10*(Inputs!$B$9*(1+Inputs!$B$10/100)),0))*(1+Inputs!$B$15/100))*0.01+Inputs!$B$16*0.0025)/100)*(1+(Inputs!$B$17+B352)/100)*(1+IF(Inputs!$B$40="pvp",0,(1-Summary!$B$48)*(Inputs!$B$22+Skills!O14+B350)+Summary!$B$48*((Inputs!$B$23+1)+Skills!P14+B351))/100)*(1+Inputs!$B$18/100)*(5000/(6000+Inputs!$B$42*(1-Inputs!$B$21/100)))*(1+Inputs!$B$26/100)*(1+IF(C338=TRUE,F338,0)/100)*(1+IF(C340=TRUE,F340,0)/100)*(1+IF(Skills!A14="TRIUMPH_FEATHER",IF(C336=TRUE,F336,0),0)/100)*(1+IF(C347=TRUE,F347,0)/100)^5*(1+(IF(Skills!A14="BIG_BANG",Inputs!$B$19,Inputs!$B$20))/100)*(B349*I335)</f>
        <v/>
      </c>
      <c r="L335">
        <f>K335*(MIN(Inputs!$B$24+(F342-Calc!F21),Inputs!$B$25)/100+Inputs!$B$25/100)/2</f>
        <v/>
      </c>
      <c r="M335">
        <f>L335*(1+(Inputs!$B$12+B353+(F345-Calc!F24))/100)</f>
        <v/>
      </c>
      <c r="N335">
        <f>L335*(1-MIN(Inputs!$B$11+((F344-Calc!F23)+(F343-Calc!F22)),100)/100)+M335*(MIN(Inputs!$B$11+((F344-Calc!F23)+(F343-Calc!F22)),100)/100)</f>
        <v/>
      </c>
      <c r="O335">
        <f>IF(C335,Skills!F14*N335*((IF(Inputs!$B$3&gt;=78,25,15)/100*B355*10)/(1+IF(Inputs!$B$3&gt;=78,25,15)/100*B355*10))*(Skills!I14/100*B355)/(1+Skills!G14*Skills!I14/100*B355)*IF(Inputs!$B$40="pvp",1,(1-Summary!$B$48)*(1)+Summary!$B$48*(MIN(Skills!Q14,Inputs!$B$39))),0)</f>
        <v/>
      </c>
      <c r="P335">
        <f>IF(B359=0,0,O335/B359)</f>
        <v/>
      </c>
      <c r="Q335">
        <f>IFERROR(1/IF(Inputs!$B$40="pvp",15,MAX(0.1,Skills!D14-IF(Skills!E14=TRUE,Inputs!$B$34,0))),0)</f>
        <v/>
      </c>
      <c r="R335" t="n">
        <v>0</v>
      </c>
    </row>
    <row r="336">
      <c r="A336">
        <f>Skills!A15</f>
        <v/>
      </c>
      <c r="B336">
        <f>Skills!B15</f>
        <v/>
      </c>
      <c r="C336">
        <f>Inputs!$B$3&gt;=100</f>
        <v/>
      </c>
      <c r="D336">
        <f>IF(Skills!C15=1,60+Inputs!$B$27+Inputs!$B$31,IF(Skills!C15=2,90+Inputs!$B$28+Inputs!$B$31,IF(Skills!C15=3,120+Inputs!$B$29+Inputs!$B$31,MAX(0,(Inputs!$B$3-100)*3)+Inputs!$B$30+Inputs!$B$31)))</f>
        <v/>
      </c>
      <c r="E336">
        <f>INDEX(FactorTable!$B$2:$Y$301, MATCH(ROUND(MIN(300,MAX(1,D336)),0), FactorTable!$A$2:$A$301,0), Skills!L15+1)</f>
        <v/>
      </c>
      <c r="F336">
        <f>IF(Skills!M15=TRUE,(Skills!K15/10)*(E336/1000),Skills!K15/10)+Skills!N15</f>
        <v/>
      </c>
      <c r="G336">
        <f>Calc!G15</f>
        <v/>
      </c>
      <c r="H336">
        <f>Calc!H15</f>
        <v/>
      </c>
      <c r="I336">
        <f>IF(Skills!T15&lt;&gt;"",1+(Skills!T15/10)*($Z$3/1000)/100,1)</f>
        <v/>
      </c>
      <c r="J336" t="inlineStr"/>
      <c r="K336" t="inlineStr"/>
      <c r="L336" t="inlineStr"/>
      <c r="M336" t="inlineStr"/>
      <c r="N336" t="inlineStr"/>
      <c r="O336" t="n">
        <v>0</v>
      </c>
      <c r="P336">
        <f>IF(B359=0,0,O336/B359)</f>
        <v/>
      </c>
      <c r="Q336">
        <f>IFERROR(1/IF(Inputs!$B$40="pvp",15,MAX(0.1,Skills!D15-IF(Skills!E15=TRUE,Inputs!$B$34,0))),0)</f>
        <v/>
      </c>
      <c r="R336" t="n">
        <v>0</v>
      </c>
    </row>
    <row r="337">
      <c r="A337">
        <f>Skills!A16</f>
        <v/>
      </c>
      <c r="B337">
        <f>Skills!B16</f>
        <v/>
      </c>
      <c r="C337">
        <f>Inputs!$B$3&gt;=49</f>
        <v/>
      </c>
      <c r="D337">
        <f>IF(Skills!C16=1,60+Inputs!$B$27+Inputs!$B$31,IF(Skills!C16=2,90+Inputs!$B$28+Inputs!$B$31,IF(Skills!C16=3,120+Inputs!$B$29+Inputs!$B$31,MAX(0,(Inputs!$B$3-100)*3)+Inputs!$B$30+Inputs!$B$31)))</f>
        <v/>
      </c>
      <c r="E337">
        <f>INDEX(FactorTable!$B$2:$Y$301, MATCH(ROUND(MIN(300,MAX(1,D337)),0), FactorTable!$A$2:$A$301,0), Skills!L16+1)</f>
        <v/>
      </c>
      <c r="F337">
        <f>IF(Skills!M16=TRUE,(Skills!K16/10)*(E337/1000),Skills!K16/10)+Skills!N16</f>
        <v/>
      </c>
      <c r="G337">
        <f>Calc!G16</f>
        <v/>
      </c>
      <c r="H337">
        <f>Calc!H16</f>
        <v/>
      </c>
      <c r="I337">
        <f>IF(Skills!T16&lt;&gt;"",1+(Skills!T16/10)*($Z$3/1000)/100,1)</f>
        <v/>
      </c>
      <c r="J337" t="inlineStr"/>
      <c r="K337" t="inlineStr"/>
      <c r="L337" t="inlineStr"/>
      <c r="M337" t="inlineStr"/>
      <c r="N337" t="inlineStr"/>
      <c r="O337" t="n">
        <v>0</v>
      </c>
      <c r="P337">
        <f>IF(B359=0,0,O337/B359)</f>
        <v/>
      </c>
      <c r="Q337">
        <f>IFERROR(1/IF(Inputs!$B$40="pvp",15,MAX(0.1,Skills!D16-IF(Skills!E16=TRUE,Inputs!$B$34,0))),0)</f>
        <v/>
      </c>
      <c r="R337" t="n">
        <v>0</v>
      </c>
    </row>
    <row r="338">
      <c r="A338">
        <f>Skills!A17</f>
        <v/>
      </c>
      <c r="B338">
        <f>Skills!B17</f>
        <v/>
      </c>
      <c r="C338">
        <f>Inputs!$B$3&gt;=75</f>
        <v/>
      </c>
      <c r="D338">
        <f>IF(Skills!C17=1,60+Inputs!$B$27+Inputs!$B$31,IF(Skills!C17=2,90+Inputs!$B$28+Inputs!$B$31,IF(Skills!C17=3,120+Inputs!$B$29+Inputs!$B$31,MAX(0,(Inputs!$B$3-100)*3)+Inputs!$B$30+Inputs!$B$31)))</f>
        <v/>
      </c>
      <c r="E338">
        <f>INDEX(FactorTable!$B$2:$Y$301, MATCH(ROUND(MIN(300,MAX(1,D338)),0), FactorTable!$A$2:$A$301,0), Skills!L17+1)</f>
        <v/>
      </c>
      <c r="F338">
        <f>IF(Skills!M17=TRUE,(Skills!K17/10)*(E338/1000),Skills!K17/10)+Skills!N17</f>
        <v/>
      </c>
      <c r="G338">
        <f>Calc!G17</f>
        <v/>
      </c>
      <c r="H338">
        <f>Calc!H17</f>
        <v/>
      </c>
      <c r="I338">
        <f>IF(Skills!T17&lt;&gt;"",1+(Skills!T17/10)*($Z$3/1000)/100,1)</f>
        <v/>
      </c>
      <c r="J338" t="inlineStr"/>
      <c r="K338" t="inlineStr"/>
      <c r="L338" t="inlineStr"/>
      <c r="M338" t="inlineStr"/>
      <c r="N338" t="inlineStr"/>
      <c r="O338" t="n">
        <v>0</v>
      </c>
      <c r="P338">
        <f>IF(B359=0,0,O338/B359)</f>
        <v/>
      </c>
      <c r="Q338">
        <f>IFERROR(1/IF(Inputs!$B$40="pvp",15,MAX(0.1,Skills!D17-IF(Skills!E17=TRUE,Inputs!$B$34,0))),0)</f>
        <v/>
      </c>
      <c r="R338" t="n">
        <v>0</v>
      </c>
    </row>
    <row r="339">
      <c r="A339">
        <f>Skills!A18</f>
        <v/>
      </c>
      <c r="B339">
        <f>Skills!B18</f>
        <v/>
      </c>
      <c r="C339">
        <f>Inputs!$B$3&gt;=110</f>
        <v/>
      </c>
      <c r="D339">
        <f>IF(Skills!C18=1,60+Inputs!$B$27+Inputs!$B$31,IF(Skills!C18=2,90+Inputs!$B$28+Inputs!$B$31,IF(Skills!C18=3,120+Inputs!$B$29+Inputs!$B$31,MAX(0,(Inputs!$B$3-100)*3)+Inputs!$B$30+Inputs!$B$31)))</f>
        <v/>
      </c>
      <c r="E339">
        <f>INDEX(FactorTable!$B$2:$Y$301, MATCH(ROUND(MIN(300,MAX(1,D339)),0), FactorTable!$A$2:$A$301,0), Skills!L18+1)</f>
        <v/>
      </c>
      <c r="F339">
        <f>(Skills!K18/10)*(E339/1000)*64/45+Skills!N18</f>
        <v/>
      </c>
      <c r="G339">
        <f>Calc!G18</f>
        <v/>
      </c>
      <c r="H339">
        <f>Calc!H18</f>
        <v/>
      </c>
      <c r="I339">
        <f>IF(Skills!T18&lt;&gt;"",1+(Skills!T18/10)*($Z$3/1000)/100,1)</f>
        <v/>
      </c>
      <c r="J339" t="inlineStr"/>
      <c r="K339" t="inlineStr"/>
      <c r="L339" t="inlineStr"/>
      <c r="M339" t="inlineStr"/>
      <c r="N339" t="inlineStr"/>
      <c r="O339" t="n">
        <v>0</v>
      </c>
      <c r="P339">
        <f>IF(B359=0,0,O339/B359)</f>
        <v/>
      </c>
      <c r="Q339">
        <f>IFERROR(1/IF(Inputs!$B$40="pvp",15,MAX(0.1,Skills!D18-IF(Skills!E18=TRUE,Inputs!$B$34,0))),0)</f>
        <v/>
      </c>
      <c r="R339">
        <f>IF(AND(Inputs!$B$40&lt;&gt;"pvp",Inputs!$B$43&gt;0),(INT(Inputs!$B$43/IF(Inputs!$B$40="pvp",15,MAX(0.1,Skills!D18-IF(Skills!E18=TRUE,Inputs!$B$34,0))))+1),0)</f>
        <v/>
      </c>
    </row>
    <row r="340">
      <c r="A340">
        <f>Skills!A19</f>
        <v/>
      </c>
      <c r="B340">
        <f>Skills!B19</f>
        <v/>
      </c>
      <c r="C340">
        <f>Inputs!$B$3&gt;=125</f>
        <v/>
      </c>
      <c r="D340">
        <f>IF(Skills!C19=1,60+Inputs!$B$27+Inputs!$B$31,IF(Skills!C19=2,90+Inputs!$B$28+Inputs!$B$31,IF(Skills!C19=3,120+Inputs!$B$29+Inputs!$B$31,MAX(0,(Inputs!$B$3-100)*3)+Inputs!$B$30+Inputs!$B$31)))</f>
        <v/>
      </c>
      <c r="E340">
        <f>INDEX(FactorTable!$B$2:$Y$301, MATCH(ROUND(MIN(300,MAX(1,D340)),0), FactorTable!$A$2:$A$301,0), Skills!L19+1)</f>
        <v/>
      </c>
      <c r="F340">
        <f>IF(Skills!M19=TRUE,(Skills!K19/10)*(E340/1000),Skills!K19/10)+Skills!N19</f>
        <v/>
      </c>
      <c r="G340">
        <f>Calc!G19</f>
        <v/>
      </c>
      <c r="H340">
        <f>Calc!H19</f>
        <v/>
      </c>
      <c r="I340">
        <f>IF(Skills!T19&lt;&gt;"",1+(Skills!T19/10)*($Z$3/1000)/100,1)</f>
        <v/>
      </c>
      <c r="J340" t="inlineStr"/>
      <c r="K340" t="inlineStr"/>
      <c r="L340" t="inlineStr"/>
      <c r="M340" t="inlineStr"/>
      <c r="N340" t="inlineStr"/>
      <c r="O340" t="n">
        <v>0</v>
      </c>
      <c r="P340">
        <f>IF(B359=0,0,O340/B359)</f>
        <v/>
      </c>
      <c r="Q340">
        <f>IFERROR(1/IF(Inputs!$B$40="pvp",15,MAX(0.1,Skills!D19-IF(Skills!E19=TRUE,Inputs!$B$34,0))),0)</f>
        <v/>
      </c>
      <c r="R340" t="n">
        <v>0</v>
      </c>
    </row>
    <row r="341">
      <c r="A341">
        <f>Skills!A20</f>
        <v/>
      </c>
      <c r="B341">
        <f>Skills!B20</f>
        <v/>
      </c>
      <c r="C341">
        <f>Inputs!$B$3&gt;=33</f>
        <v/>
      </c>
      <c r="D341">
        <f>IF(Skills!C20=1,60+Inputs!$B$27+Inputs!$B$31,IF(Skills!C20=2,90+Inputs!$B$28+Inputs!$B$31,IF(Skills!C20=3,120+Inputs!$B$29+Inputs!$B$31,MAX(0,(Inputs!$B$3-100)*3)+Inputs!$B$30+Inputs!$B$31)))</f>
        <v/>
      </c>
      <c r="E341">
        <f>INDEX(FactorTable!$B$2:$Y$301, MATCH(ROUND(MIN(300,MAX(1,D341)),0), FactorTable!$A$2:$A$301,0), Skills!L20+1)</f>
        <v/>
      </c>
      <c r="F341">
        <f>IF(Skills!M20=TRUE,(Skills!K20/10)*(E341/1000),Skills!K20/10)+Skills!N20</f>
        <v/>
      </c>
      <c r="G341">
        <f>Calc!G20</f>
        <v/>
      </c>
      <c r="H341">
        <f>Calc!H20</f>
        <v/>
      </c>
      <c r="I341">
        <f>IF(Skills!T20&lt;&gt;"",1+(Skills!T20/10)*($Z$3/1000)/100,1)</f>
        <v/>
      </c>
      <c r="J341" t="inlineStr"/>
      <c r="K341" t="inlineStr"/>
      <c r="L341" t="inlineStr"/>
      <c r="M341" t="inlineStr"/>
      <c r="N341" t="inlineStr"/>
      <c r="O341" t="n">
        <v>0</v>
      </c>
      <c r="P341">
        <f>IF(B359=0,0,O341/B359)</f>
        <v/>
      </c>
      <c r="Q341">
        <f>IFERROR(1/IF(Inputs!$B$40="pvp",15,MAX(0.1,Skills!D20-IF(Skills!E20=TRUE,Inputs!$B$34,0))),0)</f>
        <v/>
      </c>
      <c r="R341" t="n">
        <v>0</v>
      </c>
    </row>
    <row r="342">
      <c r="A342">
        <f>Skills!A21</f>
        <v/>
      </c>
      <c r="B342">
        <f>Skills!B21</f>
        <v/>
      </c>
      <c r="C342">
        <f>Inputs!$B$3&gt;=43</f>
        <v/>
      </c>
      <c r="D342">
        <f>IF(Skills!C21=1,60+Inputs!$B$27+Inputs!$B$31,IF(Skills!C21=2,90+Inputs!$B$28+Inputs!$B$31,IF(Skills!C21=3,120+Inputs!$B$29+Inputs!$B$31,MAX(0,(Inputs!$B$3-100)*3)+Inputs!$B$30+Inputs!$B$31)))</f>
        <v/>
      </c>
      <c r="E342">
        <f>INDEX(FactorTable!$B$2:$Y$301, MATCH(ROUND(MIN(300,MAX(1,D342)),0), FactorTable!$A$2:$A$301,0), Skills!L21+1)</f>
        <v/>
      </c>
      <c r="F342">
        <f>IF(Skills!M21=TRUE,(Skills!K21/10)*(E342/1000),Skills!K21/10)+Skills!N21</f>
        <v/>
      </c>
      <c r="G342">
        <f>Calc!G21</f>
        <v/>
      </c>
      <c r="H342">
        <f>Calc!H21</f>
        <v/>
      </c>
      <c r="I342">
        <f>IF(Skills!T21&lt;&gt;"",1+(Skills!T21/10)*($Z$3/1000)/100,1)</f>
        <v/>
      </c>
      <c r="J342" t="inlineStr"/>
      <c r="K342" t="inlineStr"/>
      <c r="L342" t="inlineStr"/>
      <c r="M342" t="inlineStr"/>
      <c r="N342" t="inlineStr"/>
      <c r="O342" t="n">
        <v>0</v>
      </c>
      <c r="P342">
        <f>IF(B359=0,0,O342/B359)</f>
        <v/>
      </c>
      <c r="Q342">
        <f>IFERROR(1/IF(Inputs!$B$40="pvp",15,MAX(0.1,Skills!D21-IF(Skills!E21=TRUE,Inputs!$B$34,0))),0)</f>
        <v/>
      </c>
      <c r="R342" t="n">
        <v>0</v>
      </c>
    </row>
    <row r="343">
      <c r="A343">
        <f>Skills!A22</f>
        <v/>
      </c>
      <c r="B343">
        <f>Skills!B22</f>
        <v/>
      </c>
      <c r="C343">
        <f>Inputs!$B$3&gt;=50</f>
        <v/>
      </c>
      <c r="D343">
        <f>IF(Skills!C22=1,60+Inputs!$B$27+Inputs!$B$31,IF(Skills!C22=2,90+Inputs!$B$28+Inputs!$B$31,IF(Skills!C22=3,120+Inputs!$B$29+Inputs!$B$31,MAX(0,(Inputs!$B$3-100)*3)+Inputs!$B$30+Inputs!$B$31)))</f>
        <v/>
      </c>
      <c r="E343">
        <f>INDEX(FactorTable!$B$2:$Y$301, MATCH(ROUND(MIN(300,MAX(1,D343)),0), FactorTable!$A$2:$A$301,0), Skills!L22+1)</f>
        <v/>
      </c>
      <c r="F343">
        <f>IF(Skills!M22=TRUE,(Skills!K22/10)*(E343/1000),Skills!K22/10)+Skills!N22</f>
        <v/>
      </c>
      <c r="G343">
        <f>Calc!G22</f>
        <v/>
      </c>
      <c r="H343">
        <f>Calc!H22</f>
        <v/>
      </c>
      <c r="I343">
        <f>IF(Skills!T22&lt;&gt;"",1+(Skills!T22/10)*($Z$3/1000)/100,1)</f>
        <v/>
      </c>
      <c r="J343" t="inlineStr"/>
      <c r="K343" t="inlineStr"/>
      <c r="L343" t="inlineStr"/>
      <c r="M343" t="inlineStr"/>
      <c r="N343" t="inlineStr"/>
      <c r="O343" t="n">
        <v>0</v>
      </c>
      <c r="P343">
        <f>IF(B359=0,0,O343/B359)</f>
        <v/>
      </c>
      <c r="Q343">
        <f>IFERROR(1/IF(Inputs!$B$40="pvp",15,MAX(0.1,Skills!D22-IF(Skills!E22=TRUE,Inputs!$B$34,0))),0)</f>
        <v/>
      </c>
      <c r="R343" t="n">
        <v>0</v>
      </c>
    </row>
    <row r="344">
      <c r="A344">
        <f>Skills!A23</f>
        <v/>
      </c>
      <c r="B344">
        <f>Skills!B23</f>
        <v/>
      </c>
      <c r="C344">
        <f>Inputs!$B$3&gt;=74</f>
        <v/>
      </c>
      <c r="D344">
        <f>IF(Skills!C23=1,60+Inputs!$B$27+Inputs!$B$31,IF(Skills!C23=2,90+Inputs!$B$28+Inputs!$B$31,IF(Skills!C23=3,120+Inputs!$B$29+Inputs!$B$31,MAX(0,(Inputs!$B$3-100)*3)+Inputs!$B$30+Inputs!$B$31)))</f>
        <v/>
      </c>
      <c r="E344">
        <f>INDEX(FactorTable!$B$2:$Y$301, MATCH(ROUND(MIN(300,MAX(1,D344)),0), FactorTable!$A$2:$A$301,0), Skills!L23+1)</f>
        <v/>
      </c>
      <c r="F344">
        <f>IF(Skills!M23=TRUE,(Skills!K23/10)*(E344/1000),Skills!K23/10)+Skills!N23</f>
        <v/>
      </c>
      <c r="G344">
        <f>Calc!G23</f>
        <v/>
      </c>
      <c r="H344">
        <f>Calc!H23</f>
        <v/>
      </c>
      <c r="I344">
        <f>IF(Skills!T23&lt;&gt;"",1+(Skills!T23/10)*($Z$3/1000)/100,1)</f>
        <v/>
      </c>
      <c r="J344" t="inlineStr"/>
      <c r="K344" t="inlineStr"/>
      <c r="L344" t="inlineStr"/>
      <c r="M344" t="inlineStr"/>
      <c r="N344" t="inlineStr"/>
      <c r="O344" t="n">
        <v>0</v>
      </c>
      <c r="P344">
        <f>IF(B359=0,0,O344/B359)</f>
        <v/>
      </c>
      <c r="Q344">
        <f>IFERROR(1/IF(Inputs!$B$40="pvp",15,MAX(0.1,Skills!D23-IF(Skills!E23=TRUE,Inputs!$B$34,0))),0)</f>
        <v/>
      </c>
      <c r="R344" t="n">
        <v>0</v>
      </c>
    </row>
    <row r="345">
      <c r="A345">
        <f>Skills!A24</f>
        <v/>
      </c>
      <c r="B345">
        <f>Skills!B24</f>
        <v/>
      </c>
      <c r="C345">
        <f>Inputs!$B$3&gt;=74</f>
        <v/>
      </c>
      <c r="D345">
        <f>IF(Skills!C24=1,60+Inputs!$B$27+Inputs!$B$31,IF(Skills!C24=2,90+Inputs!$B$28+Inputs!$B$31,IF(Skills!C24=3,120+Inputs!$B$29+Inputs!$B$31,MAX(0,(Inputs!$B$3-100)*3)+Inputs!$B$30+Inputs!$B$31)))</f>
        <v/>
      </c>
      <c r="E345">
        <f>INDEX(FactorTable!$B$2:$Y$301, MATCH(ROUND(MIN(300,MAX(1,D345)),0), FactorTable!$A$2:$A$301,0), Skills!L24+1)</f>
        <v/>
      </c>
      <c r="F345">
        <f>IF(Skills!M24=TRUE,(Skills!K24/10)*(E345/1000),Skills!K24/10)+Skills!N24</f>
        <v/>
      </c>
      <c r="G345">
        <f>Calc!G24</f>
        <v/>
      </c>
      <c r="H345">
        <f>Calc!H24</f>
        <v/>
      </c>
      <c r="I345">
        <f>IF(Skills!T24&lt;&gt;"",1+(Skills!T24/10)*($Z$3/1000)/100,1)</f>
        <v/>
      </c>
      <c r="J345" t="inlineStr"/>
      <c r="K345" t="inlineStr"/>
      <c r="L345" t="inlineStr"/>
      <c r="M345" t="inlineStr"/>
      <c r="N345" t="inlineStr"/>
      <c r="O345" t="n">
        <v>0</v>
      </c>
      <c r="P345">
        <f>IF(B359=0,0,O345/B359)</f>
        <v/>
      </c>
      <c r="Q345">
        <f>IFERROR(1/IF(Inputs!$B$40="pvp",15,MAX(0.1,Skills!D24-IF(Skills!E24=TRUE,Inputs!$B$34,0))),0)</f>
        <v/>
      </c>
      <c r="R345" t="n">
        <v>0</v>
      </c>
    </row>
    <row r="346">
      <c r="A346">
        <f>Skills!A25</f>
        <v/>
      </c>
      <c r="B346">
        <f>Skills!B25</f>
        <v/>
      </c>
      <c r="C346">
        <f>Inputs!$B$3&gt;=117</f>
        <v/>
      </c>
      <c r="D346">
        <f>IF(Skills!C25=1,60+Inputs!$B$27+Inputs!$B$31,IF(Skills!C25=2,90+Inputs!$B$28+Inputs!$B$31,IF(Skills!C25=3,120+Inputs!$B$29+Inputs!$B$31,MAX(0,(Inputs!$B$3-100)*3)+Inputs!$B$30+Inputs!$B$31)))</f>
        <v/>
      </c>
      <c r="E346">
        <f>INDEX(FactorTable!$B$2:$Y$301, MATCH(ROUND(MIN(300,MAX(1,D346)),0), FactorTable!$A$2:$A$301,0), Skills!L25+1)</f>
        <v/>
      </c>
      <c r="F346">
        <f>IF(Skills!M25=TRUE,(Skills!K25/10)*(E346/1000),Skills!K25/10)+Skills!N25</f>
        <v/>
      </c>
      <c r="G346">
        <f>Calc!G25</f>
        <v/>
      </c>
      <c r="H346">
        <f>Calc!H25</f>
        <v/>
      </c>
      <c r="I346">
        <f>IF(Skills!T25&lt;&gt;"",1+(Skills!T25/10)*($Z$3/1000)/100,1)</f>
        <v/>
      </c>
      <c r="J346" t="inlineStr"/>
      <c r="K346" t="inlineStr"/>
      <c r="L346" t="inlineStr"/>
      <c r="M346" t="inlineStr"/>
      <c r="N346" t="inlineStr"/>
      <c r="O346" t="n">
        <v>0</v>
      </c>
      <c r="P346">
        <f>IF(B359=0,0,O346/B359)</f>
        <v/>
      </c>
      <c r="Q346">
        <f>IFERROR(1/IF(Inputs!$B$40="pvp",15,MAX(0.1,Skills!D25-IF(Skills!E25=TRUE,Inputs!$B$34,0))),0)</f>
        <v/>
      </c>
      <c r="R346" t="n">
        <v>0</v>
      </c>
    </row>
    <row r="347">
      <c r="A347">
        <f>Skills!A26</f>
        <v/>
      </c>
      <c r="B347">
        <f>Skills!B26</f>
        <v/>
      </c>
      <c r="C347">
        <f>Inputs!$B$3&gt;=120</f>
        <v/>
      </c>
      <c r="D347">
        <f>IF(Skills!C26=1,60+Inputs!$B$27+Inputs!$B$31,IF(Skills!C26=2,90+Inputs!$B$28+Inputs!$B$31,IF(Skills!C26=3,120+Inputs!$B$29+Inputs!$B$31,MAX(0,(Inputs!$B$3-100)*3)+Inputs!$B$30+Inputs!$B$31)))</f>
        <v/>
      </c>
      <c r="E347">
        <f>INDEX(FactorTable!$B$2:$Y$301, MATCH(ROUND(MIN(300,MAX(1,D347)),0), FactorTable!$A$2:$A$301,0), Skills!L26+1)</f>
        <v/>
      </c>
      <c r="F347">
        <f>IF(Skills!M26=TRUE,(Skills!K26/10)*(E347/1000),Skills!K26/10)+Skills!N26</f>
        <v/>
      </c>
      <c r="G347">
        <f>Calc!G26</f>
        <v/>
      </c>
      <c r="H347">
        <f>Calc!H26</f>
        <v/>
      </c>
      <c r="I347">
        <f>IF(Skills!T26&lt;&gt;"",1+(Skills!T26/10)*($Z$3/1000)/100,1)</f>
        <v/>
      </c>
      <c r="J347" t="inlineStr"/>
      <c r="K347" t="inlineStr"/>
      <c r="L347" t="inlineStr"/>
      <c r="M347" t="inlineStr"/>
      <c r="N347" t="inlineStr"/>
      <c r="O347" t="n">
        <v>0</v>
      </c>
      <c r="P347">
        <f>IF(B359=0,0,O347/B359)</f>
        <v/>
      </c>
      <c r="Q347">
        <f>IFERROR(1/IF(Inputs!$B$40="pvp",15,MAX(0.1,Skills!D26-IF(Skills!E26=TRUE,Inputs!$B$34,0))),0)</f>
        <v/>
      </c>
      <c r="R347" t="n">
        <v>0</v>
      </c>
    </row>
    <row r="349">
      <c r="A349" t="inlineStr">
        <is>
          <t>Average Buff Multiplier</t>
        </is>
      </c>
      <c r="B349">
        <f>(1+(IF(C324=TRUE,F324*IF(AND(Inputs!$B$40&lt;&gt;"pvp",Inputs!$B$43&gt;0),(((R324-1)*(Skills!S3*(1+(Inputs!$B$36+IF(Inputs!$B$3&gt;=117,F346,0))/100))+MIN((Skills!S3*(1+(Inputs!$B$36+IF(Inputs!$B$3&gt;=117,F346,0))/100)),MAX(0,Inputs!$B$43-((R324-1)*Skills!D3))))/Inputs!$B$43),IF(Inputs!$B$40="pvp",MIN((Skills!S3*(1+(Inputs!$B$36+IF(Inputs!$B$3&gt;=117,F346,0))/100)),15)/15,(Skills!S3*(1+(Inputs!$B$36+IF(Inputs!$B$3&gt;=117,F346,0))/100))/Skills!D3)),0)+IF(C325=TRUE,F325*IF(AND(Inputs!$B$40&lt;&gt;"pvp",Inputs!$B$43&gt;0),(((R325-1)*(Skills!S4*(1+(Inputs!$B$36+IF(Inputs!$B$3&gt;=117,F346,0))/100))+MIN((Skills!S4*(1+(Inputs!$B$36+IF(Inputs!$B$3&gt;=117,F346,0))/100)),MAX(0,Inputs!$B$43-((R325-1)*Skills!D4))))/Inputs!$B$43),IF(Inputs!$B$40="pvp",MIN((Skills!S4*(1+(Inputs!$B$36+IF(Inputs!$B$3&gt;=117,F346,0))/100)),15)/15,(Skills!S4*(1+(Inputs!$B$36+IF(Inputs!$B$3&gt;=117,F346,0))/100))/Skills!D4)),0)+IF(C326=TRUE,F326*IF(AND(Inputs!$B$40&lt;&gt;"pvp",Inputs!$B$43&gt;0),(((R326-1)*(Skills!S5*(1+(Inputs!$B$36+IF(Inputs!$B$3&gt;=117,F346,0))/100))+MIN((Skills!S5*(1+(Inputs!$B$36+IF(Inputs!$B$3&gt;=117,F346,0))/100)),MAX(0,Inputs!$B$43-((R326-1)*Skills!D5))))/Inputs!$B$43),IF(Inputs!$B$40="pvp",MIN((Skills!S5*(1+(Inputs!$B$36+IF(Inputs!$B$3&gt;=117,F346,0))/100)),15)/15,(Skills!S5*(1+(Inputs!$B$36+IF(Inputs!$B$3&gt;=117,F346,0))/100))/Skills!D5)),0)+IF(C332=TRUE,F332*IF(AND(Inputs!$B$40&lt;&gt;"pvp",Inputs!$B$43&gt;0),(((R332-1)*(Skills!S11*(1+(Inputs!$B$36+IF(Inputs!$B$3&gt;=117,F346,0))/100))+MIN((Skills!S11*(1+(Inputs!$B$36+IF(Inputs!$B$3&gt;=117,F346,0))/100)),MAX(0,Inputs!$B$43-((R332-1)*Skills!D11))))/Inputs!$B$43),IF(Inputs!$B$40="pvp",MIN((Skills!S11*(1+(Inputs!$B$36+IF(Inputs!$B$3&gt;=117,F346,0))/100)),15)/15,(Skills!S11*(1+(Inputs!$B$36+IF(Inputs!$B$3&gt;=117,F346,0))/100))/Skills!D11)),0))/100)*IF(C334=TRUE,(1+F334*IF(AND(Inputs!$B$40&lt;&gt;"pvp",Inputs!$B$43&gt;0),(((R334-1)*(Skills!S13*(1+(Inputs!$B$36+IF(Inputs!$B$3&gt;=117,F346,0))/100))+MIN((Skills!S13*(1+(Inputs!$B$36+IF(Inputs!$B$3&gt;=117,F346,0))/100)),MAX(0,Inputs!$B$43-((R334-1)*Skills!D13))))/Inputs!$B$43),IF(Inputs!$B$40="pvp",MIN((Skills!S13*(1+(Inputs!$B$36+IF(Inputs!$B$3&gt;=117,F346,0))/100)),15)/15,(Skills!S13*(1+(Inputs!$B$36+IF(Inputs!$B$3&gt;=117,F346,0))/100))/Skills!D13))/100),1)*IF(C339=TRUE,(1+F339*IF(AND(Inputs!$B$40&lt;&gt;"pvp",Inputs!$B$43&gt;0),(((R339-1)*(Skills!S18*(1+(Inputs!$B$36+IF(Inputs!$B$3&gt;=117,F346,0))/100))+MIN((Skills!S18*(1+(Inputs!$B$36+IF(Inputs!$B$3&gt;=117,F346,0))/100)),MAX(0,Inputs!$B$43-((R339-1)*Skills!D18))))/Inputs!$B$43),IF(Inputs!$B$40="pvp",MIN((Skills!S18*(1+(Inputs!$B$36+IF(Inputs!$B$3&gt;=117,F346,0))/100)),15)/15,(Skills!S18*(1+(Inputs!$B$36+IF(Inputs!$B$3&gt;=117,F346,0))/100))/Skills!D18))/100),1)</f>
        <v/>
      </c>
    </row>
    <row r="350">
      <c r="A350" t="inlineStr">
        <is>
          <t>Monster Damage Taken Bonus % (Holy Fountain)</t>
        </is>
      </c>
      <c r="B350">
        <f>IF(Inputs!$B$3&gt;=68,20*IF(Inputs!$B$40="pvp",MIN((15*(1+(Inputs!$B$36+IF(Inputs!$B$3&gt;=117,F346,0))/100)),15)/15,(15*(1+(Inputs!$B$36+IF(Inputs!$B$3&gt;=117,F346,0))/100))/Skills!D10),0)</f>
        <v/>
      </c>
    </row>
    <row r="351">
      <c r="A351" t="inlineStr">
        <is>
          <t>Normal Monster Damage Bonus % (Holy Symbol)</t>
        </is>
      </c>
      <c r="B351">
        <f>IF(C333=TRUE,F333*IF(AND(Inputs!$B$40&lt;&gt;"pvp",Inputs!$B$43&gt;0),(((R333-1)*(Skills!S12*(1+(Inputs!$B$36+IF(Inputs!$B$3&gt;=117,F346,0))/100))+MIN((Skills!S12*(1+(Inputs!$B$36+IF(Inputs!$B$3&gt;=117,F346,0))/100)),MAX(0,Inputs!$B$43-((R333-1)*Skills!D12))))/Inputs!$B$43),IF(Inputs!$B$40="pvp",MIN((Skills!S12*(1+(Inputs!$B$36+IF(Inputs!$B$3&gt;=117,F346,0))/100)),15)/15,(Skills!S12*(1+(Inputs!$B$36+IF(Inputs!$B$3&gt;=117,F346,0))/100))/Skills!D12)),0)</f>
        <v/>
      </c>
    </row>
    <row r="352">
      <c r="A352" t="inlineStr">
        <is>
          <t>Damage % Bonus (Holy Symbol - Damage Boost)</t>
        </is>
      </c>
      <c r="B352">
        <f>Skills!O12</f>
        <v/>
      </c>
    </row>
    <row r="353">
      <c r="A353" t="inlineStr">
        <is>
          <t>Crit Damage % Bonus (Blood of the Divine)</t>
        </is>
      </c>
      <c r="B353">
        <f>4*IF(C340=TRUE,F340,0)</f>
        <v/>
      </c>
    </row>
    <row r="354">
      <c r="A354" t="inlineStr">
        <is>
          <t>Attack Speed Bonus %</t>
        </is>
      </c>
      <c r="B354">
        <f>IF(C337=TRUE,F337+(F341-Calc!F20),0)+IF(Inputs!$B$3&gt;=134,15,0)</f>
        <v/>
      </c>
    </row>
    <row r="355">
      <c r="A355" t="inlineStr">
        <is>
          <t>Actions Per Second</t>
        </is>
      </c>
      <c r="B355">
        <f>1+MIN(150,150*(1-(1-Inputs!$B$13/150)*(1-B354/150)))/100</f>
        <v/>
      </c>
    </row>
    <row r="356">
      <c r="A356" t="inlineStr">
        <is>
          <t>Skill + Buff Cast Rate</t>
        </is>
      </c>
      <c r="B356">
        <f>IF(AND(Inputs!$B$40&lt;&gt;"pvp",Inputs!$B$43&gt;0),SUMPRODUCT((Skills!E2:E26=TRUE)*(C323:C347=TRUE)*R323:R347)/Inputs!$B$43,SUMPRODUCT((Skills!E2:E26=TRUE)*(C323:C347=TRUE)*Q323:Q347))</f>
        <v/>
      </c>
    </row>
    <row r="357">
      <c r="A357" t="inlineStr">
        <is>
          <t>Big Bang Casts Per Second</t>
        </is>
      </c>
      <c r="B357">
        <f>MAX(0,B355-B356)</f>
        <v/>
      </c>
    </row>
    <row r="359">
      <c r="A359" s="5" t="inlineStr">
        <is>
          <t>TOTAL DPS</t>
        </is>
      </c>
      <c r="B359" s="5">
        <f>SUM(O323:O347)</f>
        <v/>
      </c>
    </row>
    <row r="362">
      <c r="A362" s="5" t="inlineStr">
        <is>
          <t>Stat: FINAL_DAMAGE % (multiplicative source)</t>
        </is>
      </c>
    </row>
    <row r="363">
      <c r="A363" s="9" t="inlineStr">
        <is>
          <t>Key</t>
        </is>
      </c>
      <c r="B363" s="9" t="inlineStr">
        <is>
          <t>Name</t>
        </is>
      </c>
      <c r="C363" s="9" t="inlineStr">
        <is>
          <t>Unlocked</t>
        </is>
      </c>
      <c r="D363" s="9" t="inlineStr">
        <is>
          <t>InputLevel</t>
        </is>
      </c>
      <c r="E363" s="9" t="inlineStr">
        <is>
          <t>Factor</t>
        </is>
      </c>
      <c r="F363" s="9" t="inlineStr">
        <is>
          <t>CoefficientPercent</t>
        </is>
      </c>
      <c r="G363" s="9" t="inlineStr">
        <is>
          <t>EffectiveHits</t>
        </is>
      </c>
      <c r="H363" s="9" t="inlineStr">
        <is>
          <t>ProcProbability</t>
        </is>
      </c>
      <c r="I363" s="9" t="inlineStr">
        <is>
          <t>MapleHeroMultiplier</t>
        </is>
      </c>
      <c r="J363" s="9" t="inlineStr">
        <is>
          <t>BaseDamage</t>
        </is>
      </c>
      <c r="K363" s="9" t="inlineStr">
        <is>
          <t>BaseHitDamage</t>
        </is>
      </c>
      <c r="L363" s="9" t="inlineStr">
        <is>
          <t>NonCritAvg</t>
        </is>
      </c>
      <c r="M363" s="9" t="inlineStr">
        <is>
          <t>CritAvg</t>
        </is>
      </c>
      <c r="N363" s="9" t="inlineStr">
        <is>
          <t>ExpectedDamage(perHit)</t>
        </is>
      </c>
      <c r="O363" s="9" t="inlineStr">
        <is>
          <t>DPS</t>
        </is>
      </c>
      <c r="P363" s="9" t="inlineStr">
        <is>
          <t>% of Total</t>
        </is>
      </c>
      <c r="R363" t="inlineStr">
        <is>
          <t>helpers</t>
        </is>
      </c>
    </row>
    <row r="364">
      <c r="A364">
        <f>Skills!A2</f>
        <v/>
      </c>
      <c r="B364">
        <f>Skills!B2</f>
        <v/>
      </c>
      <c r="C364">
        <f>Inputs!$B$3&gt;=100</f>
        <v/>
      </c>
      <c r="D364" t="inlineStr"/>
      <c r="E364" t="inlineStr"/>
      <c r="F364">
        <f>T366+Skills!N2</f>
        <v/>
      </c>
      <c r="G364">
        <f>Calc!G2</f>
        <v/>
      </c>
      <c r="H364">
        <f>Calc!H2</f>
        <v/>
      </c>
      <c r="I364">
        <f>IF(Skills!T2&lt;&gt;"",1+(Skills!T2/10)*($Z$3/1000)/100,1)</f>
        <v/>
      </c>
      <c r="J364">
        <f>(Inputs!$B$7*(1+Inputs!$B$8/100))*(F364/100)</f>
        <v/>
      </c>
      <c r="K364">
        <f>J364*(1+(((Inputs!$B$14+IF(Inputs!$B$3&gt;=35,0.10*(Inputs!$B$9*(1+Inputs!$B$10/100)),0))*(1+Inputs!$B$15/100))*0.01+Inputs!$B$16*0.0025)/100)*(1+(Inputs!$B$17+B393)/100)*(1+IF(Inputs!$B$40="pvp",0,(1-Summary!$B$48)*(Inputs!$B$22+Skills!O2+B391)+Summary!$B$48*(Inputs!$B$23+Skills!P2+B392))/100)*(1+Inputs!$B$18/100)*(5000/(6000+Inputs!$B$42*(1-Inputs!$B$21/100)))*(1+((((1+Inputs!$B$26/100)*(1.01))-1)*100)/100)*(1+IF(C379=TRUE,F379,0)/100)*(1+IF(C381=TRUE,F381,0)/100)*(1+IF(Skills!A2="TRIUMPH_FEATHER",IF(C377=TRUE,F377,0),0)/100)*(1+IF(C388=TRUE,F388,0)/100)^5*(1+(IF(Skills!A2="BIG_BANG",Inputs!$B$19,Inputs!$B$20))/100)*(B390*I364)</f>
        <v/>
      </c>
      <c r="L364">
        <f>K364*(MIN(Inputs!$B$24+(F383-Calc!F21),Inputs!$B$25)/100+Inputs!$B$25/100)/2</f>
        <v/>
      </c>
      <c r="M364">
        <f>L364*(1+(Inputs!$B$12+B394+(F386-Calc!F24))/100)</f>
        <v/>
      </c>
      <c r="N364">
        <f>L364*(1-MIN(Inputs!$B$11+((F385-Calc!F23)+(F384-Calc!F22)),100)/100)+M364*(MIN(Inputs!$B$11+((F385-Calc!F23)+(F384-Calc!F22)),100)/100)</f>
        <v/>
      </c>
      <c r="O364">
        <f>IF(C364,Skills!F2*N364*B398*IF(Inputs!$B$40="pvp",1,(1-Summary!$B$48)*(1)+Summary!$B$48*(MIN((6+Inputs!$B$35),Inputs!$B$39))),0)</f>
        <v/>
      </c>
      <c r="P364">
        <f>IF(B400=0,0,O364/B400)</f>
        <v/>
      </c>
      <c r="Q364">
        <f>IFERROR(1/IF(Inputs!$B$40="pvp",15,MAX(0.1,Skills!D2-IF(Skills!E2=TRUE,Inputs!$B$34,0))),0)</f>
        <v/>
      </c>
      <c r="R364" t="n">
        <v>0</v>
      </c>
      <c r="T364">
        <f>MAX(0,(Inputs!$B$3-100)*3)+Inputs!$B$30+Inputs!$B$31</f>
        <v/>
      </c>
    </row>
    <row r="365">
      <c r="A365">
        <f>Skills!A3</f>
        <v/>
      </c>
      <c r="B365">
        <f>Skills!B3</f>
        <v/>
      </c>
      <c r="C365">
        <f>Inputs!$B$3&gt;=15</f>
        <v/>
      </c>
      <c r="D365">
        <f>IF(Skills!C3=1,60+Inputs!$B$27+Inputs!$B$31,IF(Skills!C3=2,90+Inputs!$B$28+Inputs!$B$31,IF(Skills!C3=3,120+Inputs!$B$29+Inputs!$B$31,MAX(0,(Inputs!$B$3-100)*3)+Inputs!$B$30+Inputs!$B$31)))</f>
        <v/>
      </c>
      <c r="E365">
        <f>INDEX(FactorTable!$B$2:$Y$301, MATCH(ROUND(MIN(300,MAX(1,D365)),0), FactorTable!$A$2:$A$301,0), Skills!L3+1)</f>
        <v/>
      </c>
      <c r="F365">
        <f>IF(Skills!M3=TRUE,(Skills!K3/10)*(E365/1000),Skills!K3/10)+Skills!N3</f>
        <v/>
      </c>
      <c r="G365">
        <f>Calc!G3</f>
        <v/>
      </c>
      <c r="H365">
        <f>Calc!H3</f>
        <v/>
      </c>
      <c r="I365">
        <f>IF(Skills!T3&lt;&gt;"",1+(Skills!T3/10)*($Z$3/1000)/100,1)</f>
        <v/>
      </c>
      <c r="J365" t="inlineStr"/>
      <c r="K365" t="inlineStr"/>
      <c r="L365" t="inlineStr"/>
      <c r="M365" t="inlineStr"/>
      <c r="N365" t="inlineStr"/>
      <c r="O365" t="n">
        <v>0</v>
      </c>
      <c r="P365">
        <f>IF(B400=0,0,O365/B400)</f>
        <v/>
      </c>
      <c r="Q365">
        <f>IFERROR(1/IF(Inputs!$B$40="pvp",15,MAX(0.1,Skills!D3-IF(Skills!E3=TRUE,Inputs!$B$34,0))),0)</f>
        <v/>
      </c>
      <c r="R365">
        <f>IF(AND(Inputs!$B$40&lt;&gt;"pvp",Inputs!$B$43&gt;0),(INT(Inputs!$B$43/IF(Inputs!$B$40="pvp",15,MAX(0.1,Skills!D3-IF(Skills!E3=TRUE,Inputs!$B$34,0))))+1),0)</f>
        <v/>
      </c>
      <c r="T365">
        <f>INDEX(FactorTable!$B$2:$Y$301, MATCH(ROUND(MIN(300,MAX(1,T364)),0), FactorTable!$A$2:$A$301,0), 22)</f>
        <v/>
      </c>
    </row>
    <row r="366">
      <c r="A366">
        <f>Skills!A4</f>
        <v/>
      </c>
      <c r="B366">
        <f>Skills!B4</f>
        <v/>
      </c>
      <c r="C366">
        <f>Inputs!$B$3&gt;=38</f>
        <v/>
      </c>
      <c r="D366">
        <f>IF(Skills!C4=1,60+Inputs!$B$27+Inputs!$B$31,IF(Skills!C4=2,90+Inputs!$B$28+Inputs!$B$31,IF(Skills!C4=3,120+Inputs!$B$29+Inputs!$B$31,MAX(0,(Inputs!$B$3-100)*3)+Inputs!$B$30+Inputs!$B$31)))</f>
        <v/>
      </c>
      <c r="E366">
        <f>INDEX(FactorTable!$B$2:$Y$301, MATCH(ROUND(MIN(300,MAX(1,D366)),0), FactorTable!$A$2:$A$301,0), Skills!L4+1)</f>
        <v/>
      </c>
      <c r="F366">
        <f>IF(Skills!M4=TRUE,(Skills!K4/10)*(E366/1000),Skills!K4/10)+Skills!N4</f>
        <v/>
      </c>
      <c r="G366">
        <f>Calc!G4</f>
        <v/>
      </c>
      <c r="H366">
        <f>Calc!H4</f>
        <v/>
      </c>
      <c r="I366">
        <f>IF(Skills!T4&lt;&gt;"",1+(Skills!T4/10)*($Z$3/1000)/100,1)</f>
        <v/>
      </c>
      <c r="J366" t="inlineStr"/>
      <c r="K366" t="inlineStr"/>
      <c r="L366" t="inlineStr"/>
      <c r="M366" t="inlineStr"/>
      <c r="N366" t="inlineStr"/>
      <c r="O366" t="n">
        <v>0</v>
      </c>
      <c r="P366">
        <f>IF(B400=0,0,O366/B400)</f>
        <v/>
      </c>
      <c r="Q366">
        <f>IFERROR(1/IF(Inputs!$B$40="pvp",15,MAX(0.1,Skills!D4-IF(Skills!E4=TRUE,Inputs!$B$34,0))),0)</f>
        <v/>
      </c>
      <c r="R366">
        <f>IF(AND(Inputs!$B$40&lt;&gt;"pvp",Inputs!$B$43&gt;0),(INT(Inputs!$B$43/IF(Inputs!$B$40="pvp",15,MAX(0.1,Skills!D4-IF(Skills!E4=TRUE,Inputs!$B$34,0))))+1),0)</f>
        <v/>
      </c>
      <c r="T366">
        <f>290*T365/1000</f>
        <v/>
      </c>
    </row>
    <row r="367">
      <c r="A367">
        <f>Skills!A5</f>
        <v/>
      </c>
      <c r="B367">
        <f>Skills!B5</f>
        <v/>
      </c>
      <c r="C367">
        <f>Inputs!$B$3&gt;=40</f>
        <v/>
      </c>
      <c r="D367">
        <f>IF(Skills!C5=1,60+Inputs!$B$27+Inputs!$B$31,IF(Skills!C5=2,90+Inputs!$B$28+Inputs!$B$31,IF(Skills!C5=3,120+Inputs!$B$29+Inputs!$B$31,MAX(0,(Inputs!$B$3-100)*3)+Inputs!$B$30+Inputs!$B$31)))</f>
        <v/>
      </c>
      <c r="E367">
        <f>INDEX(FactorTable!$B$2:$Y$301, MATCH(ROUND(MIN(300,MAX(1,D367)),0), FactorTable!$A$2:$A$301,0), Skills!L5+1)</f>
        <v/>
      </c>
      <c r="F367">
        <f>IF(Skills!M5=TRUE,(Skills!K5/10)*(E367/1000),Skills!K5/10)+Skills!N5</f>
        <v/>
      </c>
      <c r="G367">
        <f>Calc!G5</f>
        <v/>
      </c>
      <c r="H367">
        <f>Calc!H5</f>
        <v/>
      </c>
      <c r="I367">
        <f>IF(Skills!T5&lt;&gt;"",1+(Skills!T5/10)*($Z$3/1000)/100,1)</f>
        <v/>
      </c>
      <c r="J367" t="inlineStr"/>
      <c r="K367" t="inlineStr"/>
      <c r="L367" t="inlineStr"/>
      <c r="M367" t="inlineStr"/>
      <c r="N367" t="inlineStr"/>
      <c r="O367" t="n">
        <v>0</v>
      </c>
      <c r="P367">
        <f>IF(B400=0,0,O367/B400)</f>
        <v/>
      </c>
      <c r="Q367">
        <f>IFERROR(1/IF(Inputs!$B$40="pvp",15,MAX(0.1,Skills!D5-IF(Skills!E5=TRUE,Inputs!$B$34,0))),0)</f>
        <v/>
      </c>
      <c r="R367">
        <f>IF(AND(Inputs!$B$40&lt;&gt;"pvp",Inputs!$B$43&gt;0),(INT(Inputs!$B$43/IF(Inputs!$B$40="pvp",15,MAX(0.1,Skills!D5-IF(Skills!E5=TRUE,Inputs!$B$34,0))))+1),0)</f>
        <v/>
      </c>
    </row>
    <row r="368">
      <c r="A368">
        <f>Skills!A6</f>
        <v/>
      </c>
      <c r="B368">
        <f>Skills!B6</f>
        <v/>
      </c>
      <c r="C368">
        <f>Inputs!$B$3&gt;=103</f>
        <v/>
      </c>
      <c r="D368">
        <f>IF(Skills!C6=1,60+Inputs!$B$27+Inputs!$B$31,IF(Skills!C6=2,90+Inputs!$B$28+Inputs!$B$31,IF(Skills!C6=3,120+Inputs!$B$29+Inputs!$B$31,MAX(0,(Inputs!$B$3-100)*3)+Inputs!$B$30+Inputs!$B$31)))</f>
        <v/>
      </c>
      <c r="E368">
        <f>INDEX(FactorTable!$B$2:$Y$301, MATCH(ROUND(MIN(300,MAX(1,D368)),0), FactorTable!$A$2:$A$301,0), Skills!L6+1)</f>
        <v/>
      </c>
      <c r="F368">
        <f>IF(Skills!M6=TRUE,(Skills!K6/10)*(E368/1000),Skills!K6/10)+Skills!N6</f>
        <v/>
      </c>
      <c r="G368">
        <f>Calc!G6</f>
        <v/>
      </c>
      <c r="H368">
        <f>Calc!H6</f>
        <v/>
      </c>
      <c r="I368">
        <f>IF(Skills!T6&lt;&gt;"",1+(Skills!T6/10)*($Z$3/1000)/100,1)</f>
        <v/>
      </c>
      <c r="J368">
        <f>(Inputs!$B$7*(1+Inputs!$B$8/100))*(F368/100)</f>
        <v/>
      </c>
      <c r="K368">
        <f>J368*(1+(((Inputs!$B$14+IF(Inputs!$B$3&gt;=35,0.10*(Inputs!$B$9*(1+Inputs!$B$10/100)),0))*(1+Inputs!$B$15/100))*0.01+Inputs!$B$16*0.0025)/100)*(1+(Inputs!$B$17+B393)/100)*(1+IF(Inputs!$B$40="pvp",0,(1-Summary!$B$48)*(Inputs!$B$22+Skills!O6+B391)+Summary!$B$48*(Inputs!$B$23+Skills!P6+B392))/100)*(1+Inputs!$B$18/100)*(5000/(6000+Inputs!$B$42*(1-Inputs!$B$21/100)))*(1+((((1+Inputs!$B$26/100)*(1.01))-1)*100)/100)*(1+IF(C379=TRUE,F379,0)/100)*(1+IF(C381=TRUE,F381,0)/100)*(1+IF(Skills!A6="TRIUMPH_FEATHER",IF(C377=TRUE,F377,0),0)/100)*(1+IF(C388=TRUE,F388,0)/100)^5*(1+(IF(Skills!A6="BIG_BANG",Inputs!$B$19,Inputs!$B$20))/100)*(B390*I368)</f>
        <v/>
      </c>
      <c r="L368">
        <f>K368*(MIN(Inputs!$B$24+(F383-Calc!F21),Inputs!$B$25)/100+Inputs!$B$25/100)/2</f>
        <v/>
      </c>
      <c r="M368">
        <f>L368*(1+(Inputs!$B$12+B394+(F386-Calc!F24))/100)</f>
        <v/>
      </c>
      <c r="N368">
        <f>L368*(1-MIN(Inputs!$B$11+((F385-Calc!F23)+(F384-Calc!F22)),100)/100)+M368*(MIN(Inputs!$B$11+((F385-Calc!F23)+(F384-Calc!F22)),100)/100)</f>
        <v/>
      </c>
      <c r="O368">
        <f>IF(C368,H368*N368*IF(AND(Inputs!$B$40&lt;&gt;"pvp",Inputs!$B$43&gt;0),((Skills!F6*((R368-1)*IF(Skills!G6&gt;0,Skills!H6/Skills!G6,1)+IF(Skills!G6&gt;0,MIN(Skills!H6,MAX(0,Inputs!$B$43-((R368-1)*IF(Inputs!$B$40="pvp",15,MAX(0.1,Skills!D6-IF(Skills!E6=TRUE,Inputs!$B$34,0))))))/Skills!G6,1)))/Inputs!$B$43),G368*Q368)*IF(Inputs!$B$40="pvp",1,(1-Summary!$B$48)*(1)+Summary!$B$48*(MIN(Skills!Q6,Inputs!$B$39))),0)</f>
        <v/>
      </c>
      <c r="P368">
        <f>IF(B400=0,0,O368/B400)</f>
        <v/>
      </c>
      <c r="Q368">
        <f>IFERROR(1/IF(Inputs!$B$40="pvp",15,MAX(0.1,Skills!D6-IF(Skills!E6=TRUE,Inputs!$B$34,0))),0)</f>
        <v/>
      </c>
      <c r="R368">
        <f>IF(AND(Inputs!$B$40&lt;&gt;"pvp",Inputs!$B$43&gt;0),(INT(Inputs!$B$43/IF(Inputs!$B$40="pvp",15,MAX(0.1,Skills!D6-IF(Skills!E6=TRUE,Inputs!$B$34,0))))+1),0)</f>
        <v/>
      </c>
    </row>
    <row r="369">
      <c r="A369">
        <f>Skills!A7</f>
        <v/>
      </c>
      <c r="B369">
        <f>Skills!B7</f>
        <v/>
      </c>
      <c r="C369">
        <f>Inputs!$B$3&gt;=122</f>
        <v/>
      </c>
      <c r="D369">
        <f>IF(Skills!C7=1,60+Inputs!$B$27+Inputs!$B$31,IF(Skills!C7=2,90+Inputs!$B$28+Inputs!$B$31,IF(Skills!C7=3,120+Inputs!$B$29+Inputs!$B$31,MAX(0,(Inputs!$B$3-100)*3)+Inputs!$B$30+Inputs!$B$31)))</f>
        <v/>
      </c>
      <c r="E369">
        <f>INDEX(FactorTable!$B$2:$Y$301, MATCH(ROUND(MIN(300,MAX(1,D369)),0), FactorTable!$A$2:$A$301,0), Skills!L7+1)</f>
        <v/>
      </c>
      <c r="F369">
        <f>IF(Skills!M7=TRUE,(Skills!K7/10)*(E369/1000),Skills!K7/10)+Skills!N7</f>
        <v/>
      </c>
      <c r="G369">
        <f>Calc!G7</f>
        <v/>
      </c>
      <c r="H369">
        <f>Calc!H7</f>
        <v/>
      </c>
      <c r="I369">
        <f>IF(Skills!T7&lt;&gt;"",1+(Skills!T7/10)*($Z$3/1000)/100,1)</f>
        <v/>
      </c>
      <c r="J369">
        <f>(Inputs!$B$7*(1+Inputs!$B$8/100))*(F369/100)</f>
        <v/>
      </c>
      <c r="K369">
        <f>J369*(1+(((Inputs!$B$14+IF(Inputs!$B$3&gt;=35,0.10*(Inputs!$B$9*(1+Inputs!$B$10/100)),0))*(1+Inputs!$B$15/100))*0.01+Inputs!$B$16*0.0025)/100)*(1+(Inputs!$B$17+B393)/100)*(1+IF(Inputs!$B$40="pvp",0,(1-Summary!$B$48)*(Inputs!$B$22+Skills!O7+B391)+Summary!$B$48*(Inputs!$B$23+Skills!P7+B392))/100)*(1+Inputs!$B$18/100)*(5000/(6000+Inputs!$B$42*(1-Inputs!$B$21/100)))*(1+((((1+Inputs!$B$26/100)*(1.01))-1)*100)/100)*(1+IF(C379=TRUE,F379,0)/100)*(1+IF(C381=TRUE,F381,0)/100)*(1+IF(Skills!A7="TRIUMPH_FEATHER",IF(C377=TRUE,F377,0),0)/100)*(1+IF(C388=TRUE,F388,0)/100)^5*(1+(IF(Skills!A7="BIG_BANG",Inputs!$B$19,Inputs!$B$20))/100)*(B390*I369)</f>
        <v/>
      </c>
      <c r="L369">
        <f>K369*(MIN(Inputs!$B$24+(F383-Calc!F21),Inputs!$B$25)/100+Inputs!$B$25/100)/2</f>
        <v/>
      </c>
      <c r="M369">
        <f>L369*(1+(Inputs!$B$12+B394+(F386-Calc!F24))/100)</f>
        <v/>
      </c>
      <c r="N369">
        <f>L369*(1-MIN(Inputs!$B$11+((F385-Calc!F23)+(F384-Calc!F22)),100)/100)+M369*(MIN(Inputs!$B$11+((F385-Calc!F23)+(F384-Calc!F22)),100)/100)</f>
        <v/>
      </c>
      <c r="O369">
        <f>IF(C369,H369*N369*IF(AND(Inputs!$B$40&lt;&gt;"pvp",Inputs!$B$43&gt;0),((Skills!F7*((R369-1)*IF(Skills!G7&gt;0,Skills!H7/Skills!G7,1)+IF(Skills!G7&gt;0,MIN(Skills!H7,MAX(0,Inputs!$B$43-((R369-1)*IF(Inputs!$B$40="pvp",15,MAX(0.1,Skills!D7-IF(Skills!E6=TRUE,Inputs!$B$34,0))))))/Skills!G7,1)))/Inputs!$B$43),G369*Q369)*(1-Summary!$B$48),0)</f>
        <v/>
      </c>
      <c r="P369">
        <f>IF(B400=0,0,O369/B400)</f>
        <v/>
      </c>
      <c r="Q369">
        <f>IFERROR(1/IF(Inputs!$B$40="pvp",15,MAX(0.1,Skills!D7-IF(Skills!E6=TRUE,Inputs!$B$34,0))),0)</f>
        <v/>
      </c>
      <c r="R369">
        <f>IF(AND(Inputs!$B$40&lt;&gt;"pvp",Inputs!$B$43&gt;0),(INT(Inputs!$B$43/IF(Inputs!$B$40="pvp",15,MAX(0.1,Skills!D7-IF(Skills!E6=TRUE,Inputs!$B$34,0))))+1),0)</f>
        <v/>
      </c>
    </row>
    <row r="370">
      <c r="A370">
        <f>Skills!A8</f>
        <v/>
      </c>
      <c r="B370">
        <f>Skills!B8</f>
        <v/>
      </c>
      <c r="C370">
        <f>Inputs!$B$3&gt;=105</f>
        <v/>
      </c>
      <c r="D370">
        <f>IF(Skills!C8=1,60+Inputs!$B$27+Inputs!$B$31,IF(Skills!C8=2,90+Inputs!$B$28+Inputs!$B$31,IF(Skills!C8=3,120+Inputs!$B$29+Inputs!$B$31,MAX(0,(Inputs!$B$3-100)*3)+Inputs!$B$30+Inputs!$B$31)))</f>
        <v/>
      </c>
      <c r="E370">
        <f>INDEX(FactorTable!$B$2:$Y$301, MATCH(ROUND(MIN(300,MAX(1,D370)),0), FactorTable!$A$2:$A$301,0), Skills!L8+1)</f>
        <v/>
      </c>
      <c r="F370">
        <f>IF(Skills!M8=TRUE,(Skills!K8/10)*(E370/1000),Skills!K8/10)+Skills!N8</f>
        <v/>
      </c>
      <c r="G370">
        <f>Calc!G8</f>
        <v/>
      </c>
      <c r="H370">
        <f>Calc!H8</f>
        <v/>
      </c>
      <c r="I370">
        <f>IF(Skills!T8&lt;&gt;"",1+(Skills!T8/10)*($Z$3/1000)/100,1)</f>
        <v/>
      </c>
      <c r="J370">
        <f>(Inputs!$B$7*(1+Inputs!$B$8/100))*(F370/100)</f>
        <v/>
      </c>
      <c r="K370">
        <f>J370*(1+(((Inputs!$B$14+IF(Inputs!$B$3&gt;=35,0.10*(Inputs!$B$9*(1+Inputs!$B$10/100)),0))*(1+Inputs!$B$15/100))*0.01+Inputs!$B$16*0.0025)/100)*(1+(Inputs!$B$17+B393)/100)*(1+IF(Inputs!$B$40="pvp",0,(1-Summary!$B$48)*(Inputs!$B$22+Skills!O8+B391)+Summary!$B$48*(Inputs!$B$23+Skills!P8+B392))/100)*(1+Inputs!$B$18/100)*(5000/(6000+Inputs!$B$42*(1-Inputs!$B$21/100)))*(1+((((1+Inputs!$B$26/100)*(1.01))-1)*100)/100)*(1+IF(C379=TRUE,F379,0)/100)*(1+IF(C381=TRUE,F381,0)/100)*(1+IF(Skills!A8="TRIUMPH_FEATHER",IF(C377=TRUE,F377,0),0)/100)*(1+IF(C388=TRUE,F388,0)/100)^5*(1+(IF(Skills!A8="BIG_BANG",Inputs!$B$19,Inputs!$B$20))/100)*(B390*I370)</f>
        <v/>
      </c>
      <c r="L370">
        <f>K370*(MIN(Inputs!$B$24+(F383-Calc!F21),Inputs!$B$25)/100+Inputs!$B$25/100)/2</f>
        <v/>
      </c>
      <c r="M370">
        <f>L370*(1+(Inputs!$B$12+B394+(F386-Calc!F24))/100)</f>
        <v/>
      </c>
      <c r="N370">
        <f>L370*(1-MIN(Inputs!$B$11+((F385-Calc!F23)+(F384-Calc!F22)),100)/100)+M370*(MIN(Inputs!$B$11+((F385-Calc!F23)+(F384-Calc!F22)),100)/100)</f>
        <v/>
      </c>
      <c r="O370">
        <f>IF(C370,H370*N370*IF(AND(Inputs!$B$40&lt;&gt;"pvp",Inputs!$B$43&gt;0),((Skills!F8*((R370-1)*IF(Skills!G8&gt;0,Skills!H8/Skills!G8,1)+IF(Skills!G8&gt;0,MIN(Skills!H8,MAX(0,Inputs!$B$43-((R370-1)*IF(Inputs!$B$40="pvp",15,MAX(0.1,Skills!D8-IF(Skills!E8=TRUE,Inputs!$B$34,0))))))/Skills!G8,1)))/Inputs!$B$43),G370*Q370)*IF(Inputs!$B$40="pvp",1,(1-Summary!$B$48)*(1)+Summary!$B$48*(MIN(Skills!Q8,Inputs!$B$39))),0)</f>
        <v/>
      </c>
      <c r="P370">
        <f>IF(B400=0,0,O370/B400)</f>
        <v/>
      </c>
      <c r="Q370">
        <f>IFERROR(1/IF(Inputs!$B$40="pvp",15,MAX(0.1,Skills!D8-IF(Skills!E8=TRUE,Inputs!$B$34,0))),0)</f>
        <v/>
      </c>
      <c r="R370">
        <f>IF(AND(Inputs!$B$40&lt;&gt;"pvp",Inputs!$B$43&gt;0),(INT(Inputs!$B$43/IF(Inputs!$B$40="pvp",15,MAX(0.1,Skills!D8-IF(Skills!E8=TRUE,Inputs!$B$34,0))))+1),0)</f>
        <v/>
      </c>
    </row>
    <row r="371">
      <c r="A371">
        <f>Skills!A9</f>
        <v/>
      </c>
      <c r="B371">
        <f>Skills!B9</f>
        <v/>
      </c>
      <c r="C371">
        <f>Inputs!$B$3&gt;=115</f>
        <v/>
      </c>
      <c r="D371">
        <f>IF(Skills!C9=1,60+Inputs!$B$27+Inputs!$B$31,IF(Skills!C9=2,90+Inputs!$B$28+Inputs!$B$31,IF(Skills!C9=3,120+Inputs!$B$29+Inputs!$B$31,MAX(0,(Inputs!$B$3-100)*3)+Inputs!$B$30+Inputs!$B$31)))</f>
        <v/>
      </c>
      <c r="E371">
        <f>INDEX(FactorTable!$B$2:$Y$301, MATCH(ROUND(MIN(300,MAX(1,D371)),0), FactorTable!$A$2:$A$301,0), Skills!L9+1)</f>
        <v/>
      </c>
      <c r="F371">
        <f>IF(Skills!M9=TRUE,(Skills!K9/10)*(E371/1000),Skills!K9/10)+Skills!N9</f>
        <v/>
      </c>
      <c r="G371">
        <f>Calc!G9</f>
        <v/>
      </c>
      <c r="H371">
        <f>Calc!H9</f>
        <v/>
      </c>
      <c r="I371">
        <f>IF(Skills!T9&lt;&gt;"",1+(Skills!T9/10)*($Z$3/1000)/100,1)</f>
        <v/>
      </c>
      <c r="J371">
        <f>(Inputs!$B$7*(1+Inputs!$B$8/100))*(F371/100)</f>
        <v/>
      </c>
      <c r="K371">
        <f>J371*(1+(((Inputs!$B$14+IF(Inputs!$B$3&gt;=35,0.10*(Inputs!$B$9*(1+Inputs!$B$10/100)),0))*(1+Inputs!$B$15/100))*0.01+Inputs!$B$16*0.0025)/100)*(1+(Inputs!$B$17+B393)/100)*(1+IF(Inputs!$B$40="pvp",0,(1-Summary!$B$48)*(Inputs!$B$22+Skills!O9+B391)+Summary!$B$48*(Inputs!$B$23+Skills!P9+B392))/100)*(1+Inputs!$B$18/100)*(5000/(6000+Inputs!$B$42*(1-Inputs!$B$21/100)))*(1+((((1+Inputs!$B$26/100)*(1.01))-1)*100)/100)*(1+IF(C379=TRUE,F379,0)/100)*(1+IF(C381=TRUE,F381,0)/100)*(1+IF(Skills!A9="TRIUMPH_FEATHER",IF(C377=TRUE,F377,0),0)/100)*(1+IF(C388=TRUE,F388,0)/100)^5*(1+(IF(Skills!A9="BIG_BANG",Inputs!$B$19,Inputs!$B$20))/100)*(B390*I371)</f>
        <v/>
      </c>
      <c r="L371">
        <f>K371*(MIN(Inputs!$B$24+(F383-Calc!F21),Inputs!$B$25)/100+Inputs!$B$25/100)/2</f>
        <v/>
      </c>
      <c r="M371">
        <f>L371*(1+(Inputs!$B$12+B394+(F386-Calc!F24))/100)</f>
        <v/>
      </c>
      <c r="N371">
        <f>L371*(1-MIN(Inputs!$B$11+((F385-Calc!F23)+(F384-Calc!F22)),100)/100)+M371*(MIN(Inputs!$B$11+((F385-Calc!F23)+(F384-Calc!F22)),100)/100)</f>
        <v/>
      </c>
      <c r="O371">
        <f>IF(C371,H371*N371*IF(AND(Inputs!$B$40&lt;&gt;"pvp",Inputs!$B$43&gt;0),((Skills!F9*((R371-1)*IF(Skills!G9&gt;0,Skills!H9/Skills!G9,1)+IF(Skills!G9&gt;0,MIN(Skills!H9,MAX(0,Inputs!$B$43-((R371-1)*IF(Inputs!$B$40="pvp",15,MAX(0.1,Skills!D9-IF(Skills!E9=TRUE,Inputs!$B$34,0))))))/Skills!G9,1)))/Inputs!$B$43),G371*Q371)*IF(Inputs!$B$40="pvp",1,(1-Summary!$B$48)*(1)+Summary!$B$48*(MIN(Skills!Q9,Inputs!$B$39))),0)</f>
        <v/>
      </c>
      <c r="P371">
        <f>IF(B400=0,0,O371/B400)</f>
        <v/>
      </c>
      <c r="Q371">
        <f>IFERROR(1/IF(Inputs!$B$40="pvp",15,MAX(0.1,Skills!D9-IF(Skills!E9=TRUE,Inputs!$B$34,0))),0)</f>
        <v/>
      </c>
      <c r="R371">
        <f>IF(AND(Inputs!$B$40&lt;&gt;"pvp",Inputs!$B$43&gt;0),(INT(Inputs!$B$43/IF(Inputs!$B$40="pvp",15,MAX(0.1,Skills!D9-IF(Skills!E9=TRUE,Inputs!$B$34,0))))+1),0)</f>
        <v/>
      </c>
    </row>
    <row r="372">
      <c r="A372">
        <f>Skills!A10</f>
        <v/>
      </c>
      <c r="B372">
        <f>Skills!B10</f>
        <v/>
      </c>
      <c r="C372">
        <f>Inputs!$B$3&gt;=66</f>
        <v/>
      </c>
      <c r="D372">
        <f>IF(Skills!C10=1,60+Inputs!$B$27+Inputs!$B$31,IF(Skills!C10=2,90+Inputs!$B$28+Inputs!$B$31,IF(Skills!C10=3,120+Inputs!$B$29+Inputs!$B$31,MAX(0,(Inputs!$B$3-100)*3)+Inputs!$B$30+Inputs!$B$31)))</f>
        <v/>
      </c>
      <c r="E372">
        <f>INDEX(FactorTable!$B$2:$Y$301, MATCH(ROUND(MIN(300,MAX(1,D372)),0), FactorTable!$A$2:$A$301,0), Skills!L10+1)</f>
        <v/>
      </c>
      <c r="F372" t="n">
        <v>0</v>
      </c>
      <c r="G372">
        <f>Calc!G10</f>
        <v/>
      </c>
      <c r="H372">
        <f>Calc!H10</f>
        <v/>
      </c>
      <c r="I372">
        <f>IF(Skills!T10&lt;&gt;"",1+(Skills!T10/10)*($Z$3/1000)/100,1)</f>
        <v/>
      </c>
      <c r="J372" t="inlineStr"/>
      <c r="K372" t="inlineStr"/>
      <c r="L372" t="inlineStr"/>
      <c r="M372" t="inlineStr"/>
      <c r="N372" t="inlineStr"/>
      <c r="O372" t="n">
        <v>0</v>
      </c>
      <c r="P372">
        <f>IF(B400=0,0,O372/B400)</f>
        <v/>
      </c>
      <c r="Q372">
        <f>IFERROR(1/IF(Inputs!$B$40="pvp",15,MAX(0.1,Skills!D10-IF(Skills!E10=TRUE,Inputs!$B$34,0))),0)</f>
        <v/>
      </c>
      <c r="R372">
        <f>IF(AND(Inputs!$B$40&lt;&gt;"pvp",Inputs!$B$43&gt;0),(INT(Inputs!$B$43/IF(Inputs!$B$40="pvp",15,MAX(0.1,Skills!D10-IF(Skills!E10=TRUE,Inputs!$B$34,0))))+1),0)</f>
        <v/>
      </c>
    </row>
    <row r="373">
      <c r="A373">
        <f>Skills!A11</f>
        <v/>
      </c>
      <c r="B373">
        <f>Skills!B11</f>
        <v/>
      </c>
      <c r="C373">
        <f>Inputs!$B$3&gt;=69</f>
        <v/>
      </c>
      <c r="D373">
        <f>IF(Skills!C11=1,60+Inputs!$B$27+Inputs!$B$31,IF(Skills!C11=2,90+Inputs!$B$28+Inputs!$B$31,IF(Skills!C11=3,120+Inputs!$B$29+Inputs!$B$31,MAX(0,(Inputs!$B$3-100)*3)+Inputs!$B$30+Inputs!$B$31)))</f>
        <v/>
      </c>
      <c r="E373">
        <f>INDEX(FactorTable!$B$2:$Y$301, MATCH(ROUND(MIN(300,MAX(1,D373)),0), FactorTable!$A$2:$A$301,0), Skills!L11+1)</f>
        <v/>
      </c>
      <c r="F373">
        <f>IF(Skills!M11=TRUE,(Skills!K11/10)*(E373/1000),Skills!K11/10)+Skills!N11</f>
        <v/>
      </c>
      <c r="G373">
        <f>Calc!G11</f>
        <v/>
      </c>
      <c r="H373">
        <f>Calc!H11</f>
        <v/>
      </c>
      <c r="I373">
        <f>IF(Skills!T11&lt;&gt;"",1+(Skills!T11/10)*($Z$3/1000)/100,1)</f>
        <v/>
      </c>
      <c r="J373" t="inlineStr"/>
      <c r="K373" t="inlineStr"/>
      <c r="L373" t="inlineStr"/>
      <c r="M373" t="inlineStr"/>
      <c r="N373" t="inlineStr"/>
      <c r="O373" t="n">
        <v>0</v>
      </c>
      <c r="P373">
        <f>IF(B400=0,0,O373/B400)</f>
        <v/>
      </c>
      <c r="Q373">
        <f>IFERROR(1/IF(Inputs!$B$40="pvp",15,MAX(0.1,Skills!D11-IF(Skills!E11=TRUE,Inputs!$B$34,0))),0)</f>
        <v/>
      </c>
      <c r="R373">
        <f>IF(AND(Inputs!$B$40&lt;&gt;"pvp",Inputs!$B$43&gt;0),(INT(Inputs!$B$43/IF(Inputs!$B$40="pvp",15,MAX(0.1,Skills!D11-IF(Skills!E11=TRUE,Inputs!$B$34,0))))+1),0)</f>
        <v/>
      </c>
    </row>
    <row r="374">
      <c r="A374">
        <f>Skills!A12</f>
        <v/>
      </c>
      <c r="B374">
        <f>Skills!B12</f>
        <v/>
      </c>
      <c r="C374">
        <f>Inputs!$B$3&gt;=72</f>
        <v/>
      </c>
      <c r="D374">
        <f>IF(Skills!C12=1,60+Inputs!$B$27+Inputs!$B$31,IF(Skills!C12=2,90+Inputs!$B$28+Inputs!$B$31,IF(Skills!C12=3,120+Inputs!$B$29+Inputs!$B$31,MAX(0,(Inputs!$B$3-100)*3)+Inputs!$B$30+Inputs!$B$31)))</f>
        <v/>
      </c>
      <c r="E374">
        <f>INDEX(FactorTable!$B$2:$Y$301, MATCH(ROUND(MIN(300,MAX(1,D374)),0), FactorTable!$A$2:$A$301,0), Skills!L12+1)</f>
        <v/>
      </c>
      <c r="F374">
        <f>IF(Skills!M12=TRUE,(Skills!K12/10)*(E374/1000),Skills!K12/10)+Skills!N12</f>
        <v/>
      </c>
      <c r="G374">
        <f>Calc!G12</f>
        <v/>
      </c>
      <c r="H374">
        <f>Calc!H12</f>
        <v/>
      </c>
      <c r="I374">
        <f>IF(Skills!T12&lt;&gt;"",1+(Skills!T12/10)*($Z$3/1000)/100,1)</f>
        <v/>
      </c>
      <c r="J374" t="inlineStr"/>
      <c r="K374" t="inlineStr"/>
      <c r="L374" t="inlineStr"/>
      <c r="M374" t="inlineStr"/>
      <c r="N374" t="inlineStr"/>
      <c r="O374" t="n">
        <v>0</v>
      </c>
      <c r="P374">
        <f>IF(B400=0,0,O374/B400)</f>
        <v/>
      </c>
      <c r="Q374">
        <f>IFERROR(1/IF(Inputs!$B$40="pvp",15,MAX(0.1,Skills!D12-IF(Skills!E12=TRUE,Inputs!$B$34,0))),0)</f>
        <v/>
      </c>
      <c r="R374">
        <f>IF(AND(Inputs!$B$40&lt;&gt;"pvp",Inputs!$B$43&gt;0),(INT(Inputs!$B$43/IF(Inputs!$B$40="pvp",15,MAX(0.1,Skills!D12-IF(Skills!E12=TRUE,Inputs!$B$34,0))))+1),0)</f>
        <v/>
      </c>
    </row>
    <row r="375">
      <c r="A375">
        <f>Skills!A13</f>
        <v/>
      </c>
      <c r="B375">
        <f>Skills!B13</f>
        <v/>
      </c>
      <c r="C375">
        <f>Inputs!$B$3&gt;=107</f>
        <v/>
      </c>
      <c r="D375">
        <f>IF(Skills!C13=1,60+Inputs!$B$27+Inputs!$B$31,IF(Skills!C13=2,90+Inputs!$B$28+Inputs!$B$31,IF(Skills!C13=3,120+Inputs!$B$29+Inputs!$B$31,MAX(0,(Inputs!$B$3-100)*3)+Inputs!$B$30+Inputs!$B$31)))</f>
        <v/>
      </c>
      <c r="E375">
        <f>INDEX(FactorTable!$B$2:$Y$301, MATCH(ROUND(MIN(300,MAX(1,D375)),0), FactorTable!$A$2:$A$301,0), Skills!L13+1)</f>
        <v/>
      </c>
      <c r="F375">
        <f>IF(Skills!M13=TRUE,(Skills!K13/10)*(E375/1000),Skills!K13/10)+Skills!N13</f>
        <v/>
      </c>
      <c r="G375">
        <f>Calc!G13</f>
        <v/>
      </c>
      <c r="H375">
        <f>Calc!H13</f>
        <v/>
      </c>
      <c r="I375">
        <f>IF(Skills!T13&lt;&gt;"",1+(Skills!T13/10)*($Z$3/1000)/100,1)</f>
        <v/>
      </c>
      <c r="J375" t="inlineStr"/>
      <c r="K375" t="inlineStr"/>
      <c r="L375" t="inlineStr"/>
      <c r="M375" t="inlineStr"/>
      <c r="N375" t="inlineStr"/>
      <c r="O375" t="n">
        <v>0</v>
      </c>
      <c r="P375">
        <f>IF(B400=0,0,O375/B400)</f>
        <v/>
      </c>
      <c r="Q375">
        <f>IFERROR(1/IF(Inputs!$B$40="pvp",15,MAX(0.1,Skills!D13-IF(Skills!E13=TRUE,Inputs!$B$34,0))),0)</f>
        <v/>
      </c>
      <c r="R375">
        <f>IF(AND(Inputs!$B$40&lt;&gt;"pvp",Inputs!$B$43&gt;0),(INT(Inputs!$B$43/IF(Inputs!$B$40="pvp",15,MAX(0.1,Skills!D13-IF(Skills!E13=TRUE,Inputs!$B$34,0))))+1),0)</f>
        <v/>
      </c>
    </row>
    <row r="376">
      <c r="A376">
        <f>Skills!A14</f>
        <v/>
      </c>
      <c r="B376">
        <f>Skills!B14</f>
        <v/>
      </c>
      <c r="C376">
        <f>Inputs!$B$3&gt;=63</f>
        <v/>
      </c>
      <c r="D376">
        <f>IF(Skills!C14=1,60+Inputs!$B$27+Inputs!$B$31,IF(Skills!C14=2,90+Inputs!$B$28+Inputs!$B$31,IF(Skills!C14=3,120+Inputs!$B$29+Inputs!$B$31,MAX(0,(Inputs!$B$3-100)*3)+Inputs!$B$30+Inputs!$B$31)))</f>
        <v/>
      </c>
      <c r="E376">
        <f>INDEX(FactorTable!$B$2:$Y$301, MATCH(ROUND(MIN(300,MAX(1,D376)),0), FactorTable!$A$2:$A$301,0), Skills!L14+1)</f>
        <v/>
      </c>
      <c r="F376">
        <f>IF(Skills!M14=TRUE,(Skills!K14/10)*(E376/1000),Skills!K14/10)+Skills!N14</f>
        <v/>
      </c>
      <c r="G376">
        <f>Calc!G14</f>
        <v/>
      </c>
      <c r="H376">
        <f>Calc!H14</f>
        <v/>
      </c>
      <c r="I376">
        <f>IF(Skills!T14&lt;&gt;"",1+(Skills!T14/10)*($Z$3/1000)/100,1)</f>
        <v/>
      </c>
      <c r="J376">
        <f>(Inputs!$B$7*(1+Inputs!$B$8/100))*(F376/100)</f>
        <v/>
      </c>
      <c r="K376">
        <f>J376*(1+(((Inputs!$B$14+IF(Inputs!$B$3&gt;=35,0.10*(Inputs!$B$9*(1+Inputs!$B$10/100)),0))*(1+Inputs!$B$15/100))*0.01+Inputs!$B$16*0.0025)/100)*(1+(Inputs!$B$17+B393)/100)*(1+IF(Inputs!$B$40="pvp",0,(1-Summary!$B$48)*(Inputs!$B$22+Skills!O14+B391)+Summary!$B$48*(Inputs!$B$23+Skills!P14+B392))/100)*(1+Inputs!$B$18/100)*(5000/(6000+Inputs!$B$42*(1-Inputs!$B$21/100)))*(1+((((1+Inputs!$B$26/100)*(1.01))-1)*100)/100)*(1+IF(C379=TRUE,F379,0)/100)*(1+IF(C381=TRUE,F381,0)/100)*(1+IF(Skills!A14="TRIUMPH_FEATHER",IF(C377=TRUE,F377,0),0)/100)*(1+IF(C388=TRUE,F388,0)/100)^5*(1+(IF(Skills!A14="BIG_BANG",Inputs!$B$19,Inputs!$B$20))/100)*(B390*I376)</f>
        <v/>
      </c>
      <c r="L376">
        <f>K376*(MIN(Inputs!$B$24+(F383-Calc!F21),Inputs!$B$25)/100+Inputs!$B$25/100)/2</f>
        <v/>
      </c>
      <c r="M376">
        <f>L376*(1+(Inputs!$B$12+B394+(F386-Calc!F24))/100)</f>
        <v/>
      </c>
      <c r="N376">
        <f>L376*(1-MIN(Inputs!$B$11+((F385-Calc!F23)+(F384-Calc!F22)),100)/100)+M376*(MIN(Inputs!$B$11+((F385-Calc!F23)+(F384-Calc!F22)),100)/100)</f>
        <v/>
      </c>
      <c r="O376">
        <f>IF(C376,Skills!F14*N376*((IF(Inputs!$B$3&gt;=78,25,15)/100*B396*10)/(1+IF(Inputs!$B$3&gt;=78,25,15)/100*B396*10))*(Skills!I14/100*B396)/(1+Skills!G14*Skills!I14/100*B396)*IF(Inputs!$B$40="pvp",1,(1-Summary!$B$48)*(1)+Summary!$B$48*(MIN(Skills!Q14,Inputs!$B$39))),0)</f>
        <v/>
      </c>
      <c r="P376">
        <f>IF(B400=0,0,O376/B400)</f>
        <v/>
      </c>
      <c r="Q376">
        <f>IFERROR(1/IF(Inputs!$B$40="pvp",15,MAX(0.1,Skills!D14-IF(Skills!E14=TRUE,Inputs!$B$34,0))),0)</f>
        <v/>
      </c>
      <c r="R376" t="n">
        <v>0</v>
      </c>
    </row>
    <row r="377">
      <c r="A377">
        <f>Skills!A15</f>
        <v/>
      </c>
      <c r="B377">
        <f>Skills!B15</f>
        <v/>
      </c>
      <c r="C377">
        <f>Inputs!$B$3&gt;=100</f>
        <v/>
      </c>
      <c r="D377">
        <f>IF(Skills!C15=1,60+Inputs!$B$27+Inputs!$B$31,IF(Skills!C15=2,90+Inputs!$B$28+Inputs!$B$31,IF(Skills!C15=3,120+Inputs!$B$29+Inputs!$B$31,MAX(0,(Inputs!$B$3-100)*3)+Inputs!$B$30+Inputs!$B$31)))</f>
        <v/>
      </c>
      <c r="E377">
        <f>INDEX(FactorTable!$B$2:$Y$301, MATCH(ROUND(MIN(300,MAX(1,D377)),0), FactorTable!$A$2:$A$301,0), Skills!L15+1)</f>
        <v/>
      </c>
      <c r="F377">
        <f>IF(Skills!M15=TRUE,(Skills!K15/10)*(E377/1000),Skills!K15/10)+Skills!N15</f>
        <v/>
      </c>
      <c r="G377">
        <f>Calc!G15</f>
        <v/>
      </c>
      <c r="H377">
        <f>Calc!H15</f>
        <v/>
      </c>
      <c r="I377">
        <f>IF(Skills!T15&lt;&gt;"",1+(Skills!T15/10)*($Z$3/1000)/100,1)</f>
        <v/>
      </c>
      <c r="J377" t="inlineStr"/>
      <c r="K377" t="inlineStr"/>
      <c r="L377" t="inlineStr"/>
      <c r="M377" t="inlineStr"/>
      <c r="N377" t="inlineStr"/>
      <c r="O377" t="n">
        <v>0</v>
      </c>
      <c r="P377">
        <f>IF(B400=0,0,O377/B400)</f>
        <v/>
      </c>
      <c r="Q377">
        <f>IFERROR(1/IF(Inputs!$B$40="pvp",15,MAX(0.1,Skills!D15-IF(Skills!E15=TRUE,Inputs!$B$34,0))),0)</f>
        <v/>
      </c>
      <c r="R377" t="n">
        <v>0</v>
      </c>
    </row>
    <row r="378">
      <c r="A378">
        <f>Skills!A16</f>
        <v/>
      </c>
      <c r="B378">
        <f>Skills!B16</f>
        <v/>
      </c>
      <c r="C378">
        <f>Inputs!$B$3&gt;=49</f>
        <v/>
      </c>
      <c r="D378">
        <f>IF(Skills!C16=1,60+Inputs!$B$27+Inputs!$B$31,IF(Skills!C16=2,90+Inputs!$B$28+Inputs!$B$31,IF(Skills!C16=3,120+Inputs!$B$29+Inputs!$B$31,MAX(0,(Inputs!$B$3-100)*3)+Inputs!$B$30+Inputs!$B$31)))</f>
        <v/>
      </c>
      <c r="E378">
        <f>INDEX(FactorTable!$B$2:$Y$301, MATCH(ROUND(MIN(300,MAX(1,D378)),0), FactorTable!$A$2:$A$301,0), Skills!L16+1)</f>
        <v/>
      </c>
      <c r="F378">
        <f>IF(Skills!M16=TRUE,(Skills!K16/10)*(E378/1000),Skills!K16/10)+Skills!N16</f>
        <v/>
      </c>
      <c r="G378">
        <f>Calc!G16</f>
        <v/>
      </c>
      <c r="H378">
        <f>Calc!H16</f>
        <v/>
      </c>
      <c r="I378">
        <f>IF(Skills!T16&lt;&gt;"",1+(Skills!T16/10)*($Z$3/1000)/100,1)</f>
        <v/>
      </c>
      <c r="J378" t="inlineStr"/>
      <c r="K378" t="inlineStr"/>
      <c r="L378" t="inlineStr"/>
      <c r="M378" t="inlineStr"/>
      <c r="N378" t="inlineStr"/>
      <c r="O378" t="n">
        <v>0</v>
      </c>
      <c r="P378">
        <f>IF(B400=0,0,O378/B400)</f>
        <v/>
      </c>
      <c r="Q378">
        <f>IFERROR(1/IF(Inputs!$B$40="pvp",15,MAX(0.1,Skills!D16-IF(Skills!E16=TRUE,Inputs!$B$34,0))),0)</f>
        <v/>
      </c>
      <c r="R378" t="n">
        <v>0</v>
      </c>
    </row>
    <row r="379">
      <c r="A379">
        <f>Skills!A17</f>
        <v/>
      </c>
      <c r="B379">
        <f>Skills!B17</f>
        <v/>
      </c>
      <c r="C379">
        <f>Inputs!$B$3&gt;=75</f>
        <v/>
      </c>
      <c r="D379">
        <f>IF(Skills!C17=1,60+Inputs!$B$27+Inputs!$B$31,IF(Skills!C17=2,90+Inputs!$B$28+Inputs!$B$31,IF(Skills!C17=3,120+Inputs!$B$29+Inputs!$B$31,MAX(0,(Inputs!$B$3-100)*3)+Inputs!$B$30+Inputs!$B$31)))</f>
        <v/>
      </c>
      <c r="E379">
        <f>INDEX(FactorTable!$B$2:$Y$301, MATCH(ROUND(MIN(300,MAX(1,D379)),0), FactorTable!$A$2:$A$301,0), Skills!L17+1)</f>
        <v/>
      </c>
      <c r="F379">
        <f>IF(Skills!M17=TRUE,(Skills!K17/10)*(E379/1000),Skills!K17/10)+Skills!N17</f>
        <v/>
      </c>
      <c r="G379">
        <f>Calc!G17</f>
        <v/>
      </c>
      <c r="H379">
        <f>Calc!H17</f>
        <v/>
      </c>
      <c r="I379">
        <f>IF(Skills!T17&lt;&gt;"",1+(Skills!T17/10)*($Z$3/1000)/100,1)</f>
        <v/>
      </c>
      <c r="J379" t="inlineStr"/>
      <c r="K379" t="inlineStr"/>
      <c r="L379" t="inlineStr"/>
      <c r="M379" t="inlineStr"/>
      <c r="N379" t="inlineStr"/>
      <c r="O379" t="n">
        <v>0</v>
      </c>
      <c r="P379">
        <f>IF(B400=0,0,O379/B400)</f>
        <v/>
      </c>
      <c r="Q379">
        <f>IFERROR(1/IF(Inputs!$B$40="pvp",15,MAX(0.1,Skills!D17-IF(Skills!E17=TRUE,Inputs!$B$34,0))),0)</f>
        <v/>
      </c>
      <c r="R379" t="n">
        <v>0</v>
      </c>
    </row>
    <row r="380">
      <c r="A380">
        <f>Skills!A18</f>
        <v/>
      </c>
      <c r="B380">
        <f>Skills!B18</f>
        <v/>
      </c>
      <c r="C380">
        <f>Inputs!$B$3&gt;=110</f>
        <v/>
      </c>
      <c r="D380">
        <f>IF(Skills!C18=1,60+Inputs!$B$27+Inputs!$B$31,IF(Skills!C18=2,90+Inputs!$B$28+Inputs!$B$31,IF(Skills!C18=3,120+Inputs!$B$29+Inputs!$B$31,MAX(0,(Inputs!$B$3-100)*3)+Inputs!$B$30+Inputs!$B$31)))</f>
        <v/>
      </c>
      <c r="E380">
        <f>INDEX(FactorTable!$B$2:$Y$301, MATCH(ROUND(MIN(300,MAX(1,D380)),0), FactorTable!$A$2:$A$301,0), Skills!L18+1)</f>
        <v/>
      </c>
      <c r="F380">
        <f>(Skills!K18/10)*(E380/1000)*64/45+Skills!N18</f>
        <v/>
      </c>
      <c r="G380">
        <f>Calc!G18</f>
        <v/>
      </c>
      <c r="H380">
        <f>Calc!H18</f>
        <v/>
      </c>
      <c r="I380">
        <f>IF(Skills!T18&lt;&gt;"",1+(Skills!T18/10)*($Z$3/1000)/100,1)</f>
        <v/>
      </c>
      <c r="J380" t="inlineStr"/>
      <c r="K380" t="inlineStr"/>
      <c r="L380" t="inlineStr"/>
      <c r="M380" t="inlineStr"/>
      <c r="N380" t="inlineStr"/>
      <c r="O380" t="n">
        <v>0</v>
      </c>
      <c r="P380">
        <f>IF(B400=0,0,O380/B400)</f>
        <v/>
      </c>
      <c r="Q380">
        <f>IFERROR(1/IF(Inputs!$B$40="pvp",15,MAX(0.1,Skills!D18-IF(Skills!E18=TRUE,Inputs!$B$34,0))),0)</f>
        <v/>
      </c>
      <c r="R380">
        <f>IF(AND(Inputs!$B$40&lt;&gt;"pvp",Inputs!$B$43&gt;0),(INT(Inputs!$B$43/IF(Inputs!$B$40="pvp",15,MAX(0.1,Skills!D18-IF(Skills!E18=TRUE,Inputs!$B$34,0))))+1),0)</f>
        <v/>
      </c>
    </row>
    <row r="381">
      <c r="A381">
        <f>Skills!A19</f>
        <v/>
      </c>
      <c r="B381">
        <f>Skills!B19</f>
        <v/>
      </c>
      <c r="C381">
        <f>Inputs!$B$3&gt;=125</f>
        <v/>
      </c>
      <c r="D381">
        <f>IF(Skills!C19=1,60+Inputs!$B$27+Inputs!$B$31,IF(Skills!C19=2,90+Inputs!$B$28+Inputs!$B$31,IF(Skills!C19=3,120+Inputs!$B$29+Inputs!$B$31,MAX(0,(Inputs!$B$3-100)*3)+Inputs!$B$30+Inputs!$B$31)))</f>
        <v/>
      </c>
      <c r="E381">
        <f>INDEX(FactorTable!$B$2:$Y$301, MATCH(ROUND(MIN(300,MAX(1,D381)),0), FactorTable!$A$2:$A$301,0), Skills!L19+1)</f>
        <v/>
      </c>
      <c r="F381">
        <f>IF(Skills!M19=TRUE,(Skills!K19/10)*(E381/1000),Skills!K19/10)+Skills!N19</f>
        <v/>
      </c>
      <c r="G381">
        <f>Calc!G19</f>
        <v/>
      </c>
      <c r="H381">
        <f>Calc!H19</f>
        <v/>
      </c>
      <c r="I381">
        <f>IF(Skills!T19&lt;&gt;"",1+(Skills!T19/10)*($Z$3/1000)/100,1)</f>
        <v/>
      </c>
      <c r="J381" t="inlineStr"/>
      <c r="K381" t="inlineStr"/>
      <c r="L381" t="inlineStr"/>
      <c r="M381" t="inlineStr"/>
      <c r="N381" t="inlineStr"/>
      <c r="O381" t="n">
        <v>0</v>
      </c>
      <c r="P381">
        <f>IF(B400=0,0,O381/B400)</f>
        <v/>
      </c>
      <c r="Q381">
        <f>IFERROR(1/IF(Inputs!$B$40="pvp",15,MAX(0.1,Skills!D19-IF(Skills!E19=TRUE,Inputs!$B$34,0))),0)</f>
        <v/>
      </c>
      <c r="R381" t="n">
        <v>0</v>
      </c>
    </row>
    <row r="382">
      <c r="A382">
        <f>Skills!A20</f>
        <v/>
      </c>
      <c r="B382">
        <f>Skills!B20</f>
        <v/>
      </c>
      <c r="C382">
        <f>Inputs!$B$3&gt;=33</f>
        <v/>
      </c>
      <c r="D382">
        <f>IF(Skills!C20=1,60+Inputs!$B$27+Inputs!$B$31,IF(Skills!C20=2,90+Inputs!$B$28+Inputs!$B$31,IF(Skills!C20=3,120+Inputs!$B$29+Inputs!$B$31,MAX(0,(Inputs!$B$3-100)*3)+Inputs!$B$30+Inputs!$B$31)))</f>
        <v/>
      </c>
      <c r="E382">
        <f>INDEX(FactorTable!$B$2:$Y$301, MATCH(ROUND(MIN(300,MAX(1,D382)),0), FactorTable!$A$2:$A$301,0), Skills!L20+1)</f>
        <v/>
      </c>
      <c r="F382">
        <f>IF(Skills!M20=TRUE,(Skills!K20/10)*(E382/1000),Skills!K20/10)+Skills!N20</f>
        <v/>
      </c>
      <c r="G382">
        <f>Calc!G20</f>
        <v/>
      </c>
      <c r="H382">
        <f>Calc!H20</f>
        <v/>
      </c>
      <c r="I382">
        <f>IF(Skills!T20&lt;&gt;"",1+(Skills!T20/10)*($Z$3/1000)/100,1)</f>
        <v/>
      </c>
      <c r="J382" t="inlineStr"/>
      <c r="K382" t="inlineStr"/>
      <c r="L382" t="inlineStr"/>
      <c r="M382" t="inlineStr"/>
      <c r="N382" t="inlineStr"/>
      <c r="O382" t="n">
        <v>0</v>
      </c>
      <c r="P382">
        <f>IF(B400=0,0,O382/B400)</f>
        <v/>
      </c>
      <c r="Q382">
        <f>IFERROR(1/IF(Inputs!$B$40="pvp",15,MAX(0.1,Skills!D20-IF(Skills!E20=TRUE,Inputs!$B$34,0))),0)</f>
        <v/>
      </c>
      <c r="R382" t="n">
        <v>0</v>
      </c>
    </row>
    <row r="383">
      <c r="A383">
        <f>Skills!A21</f>
        <v/>
      </c>
      <c r="B383">
        <f>Skills!B21</f>
        <v/>
      </c>
      <c r="C383">
        <f>Inputs!$B$3&gt;=43</f>
        <v/>
      </c>
      <c r="D383">
        <f>IF(Skills!C21=1,60+Inputs!$B$27+Inputs!$B$31,IF(Skills!C21=2,90+Inputs!$B$28+Inputs!$B$31,IF(Skills!C21=3,120+Inputs!$B$29+Inputs!$B$31,MAX(0,(Inputs!$B$3-100)*3)+Inputs!$B$30+Inputs!$B$31)))</f>
        <v/>
      </c>
      <c r="E383">
        <f>INDEX(FactorTable!$B$2:$Y$301, MATCH(ROUND(MIN(300,MAX(1,D383)),0), FactorTable!$A$2:$A$301,0), Skills!L21+1)</f>
        <v/>
      </c>
      <c r="F383">
        <f>IF(Skills!M21=TRUE,(Skills!K21/10)*(E383/1000),Skills!K21/10)+Skills!N21</f>
        <v/>
      </c>
      <c r="G383">
        <f>Calc!G21</f>
        <v/>
      </c>
      <c r="H383">
        <f>Calc!H21</f>
        <v/>
      </c>
      <c r="I383">
        <f>IF(Skills!T21&lt;&gt;"",1+(Skills!T21/10)*($Z$3/1000)/100,1)</f>
        <v/>
      </c>
      <c r="J383" t="inlineStr"/>
      <c r="K383" t="inlineStr"/>
      <c r="L383" t="inlineStr"/>
      <c r="M383" t="inlineStr"/>
      <c r="N383" t="inlineStr"/>
      <c r="O383" t="n">
        <v>0</v>
      </c>
      <c r="P383">
        <f>IF(B400=0,0,O383/B400)</f>
        <v/>
      </c>
      <c r="Q383">
        <f>IFERROR(1/IF(Inputs!$B$40="pvp",15,MAX(0.1,Skills!D21-IF(Skills!E21=TRUE,Inputs!$B$34,0))),0)</f>
        <v/>
      </c>
      <c r="R383" t="n">
        <v>0</v>
      </c>
    </row>
    <row r="384">
      <c r="A384">
        <f>Skills!A22</f>
        <v/>
      </c>
      <c r="B384">
        <f>Skills!B22</f>
        <v/>
      </c>
      <c r="C384">
        <f>Inputs!$B$3&gt;=50</f>
        <v/>
      </c>
      <c r="D384">
        <f>IF(Skills!C22=1,60+Inputs!$B$27+Inputs!$B$31,IF(Skills!C22=2,90+Inputs!$B$28+Inputs!$B$31,IF(Skills!C22=3,120+Inputs!$B$29+Inputs!$B$31,MAX(0,(Inputs!$B$3-100)*3)+Inputs!$B$30+Inputs!$B$31)))</f>
        <v/>
      </c>
      <c r="E384">
        <f>INDEX(FactorTable!$B$2:$Y$301, MATCH(ROUND(MIN(300,MAX(1,D384)),0), FactorTable!$A$2:$A$301,0), Skills!L22+1)</f>
        <v/>
      </c>
      <c r="F384">
        <f>IF(Skills!M22=TRUE,(Skills!K22/10)*(E384/1000),Skills!K22/10)+Skills!N22</f>
        <v/>
      </c>
      <c r="G384">
        <f>Calc!G22</f>
        <v/>
      </c>
      <c r="H384">
        <f>Calc!H22</f>
        <v/>
      </c>
      <c r="I384">
        <f>IF(Skills!T22&lt;&gt;"",1+(Skills!T22/10)*($Z$3/1000)/100,1)</f>
        <v/>
      </c>
      <c r="J384" t="inlineStr"/>
      <c r="K384" t="inlineStr"/>
      <c r="L384" t="inlineStr"/>
      <c r="M384" t="inlineStr"/>
      <c r="N384" t="inlineStr"/>
      <c r="O384" t="n">
        <v>0</v>
      </c>
      <c r="P384">
        <f>IF(B400=0,0,O384/B400)</f>
        <v/>
      </c>
      <c r="Q384">
        <f>IFERROR(1/IF(Inputs!$B$40="pvp",15,MAX(0.1,Skills!D22-IF(Skills!E22=TRUE,Inputs!$B$34,0))),0)</f>
        <v/>
      </c>
      <c r="R384" t="n">
        <v>0</v>
      </c>
    </row>
    <row r="385">
      <c r="A385">
        <f>Skills!A23</f>
        <v/>
      </c>
      <c r="B385">
        <f>Skills!B23</f>
        <v/>
      </c>
      <c r="C385">
        <f>Inputs!$B$3&gt;=74</f>
        <v/>
      </c>
      <c r="D385">
        <f>IF(Skills!C23=1,60+Inputs!$B$27+Inputs!$B$31,IF(Skills!C23=2,90+Inputs!$B$28+Inputs!$B$31,IF(Skills!C23=3,120+Inputs!$B$29+Inputs!$B$31,MAX(0,(Inputs!$B$3-100)*3)+Inputs!$B$30+Inputs!$B$31)))</f>
        <v/>
      </c>
      <c r="E385">
        <f>INDEX(FactorTable!$B$2:$Y$301, MATCH(ROUND(MIN(300,MAX(1,D385)),0), FactorTable!$A$2:$A$301,0), Skills!L23+1)</f>
        <v/>
      </c>
      <c r="F385">
        <f>IF(Skills!M23=TRUE,(Skills!K23/10)*(E385/1000),Skills!K23/10)+Skills!N23</f>
        <v/>
      </c>
      <c r="G385">
        <f>Calc!G23</f>
        <v/>
      </c>
      <c r="H385">
        <f>Calc!H23</f>
        <v/>
      </c>
      <c r="I385">
        <f>IF(Skills!T23&lt;&gt;"",1+(Skills!T23/10)*($Z$3/1000)/100,1)</f>
        <v/>
      </c>
      <c r="J385" t="inlineStr"/>
      <c r="K385" t="inlineStr"/>
      <c r="L385" t="inlineStr"/>
      <c r="M385" t="inlineStr"/>
      <c r="N385" t="inlineStr"/>
      <c r="O385" t="n">
        <v>0</v>
      </c>
      <c r="P385">
        <f>IF(B400=0,0,O385/B400)</f>
        <v/>
      </c>
      <c r="Q385">
        <f>IFERROR(1/IF(Inputs!$B$40="pvp",15,MAX(0.1,Skills!D23-IF(Skills!E23=TRUE,Inputs!$B$34,0))),0)</f>
        <v/>
      </c>
      <c r="R385" t="n">
        <v>0</v>
      </c>
    </row>
    <row r="386">
      <c r="A386">
        <f>Skills!A24</f>
        <v/>
      </c>
      <c r="B386">
        <f>Skills!B24</f>
        <v/>
      </c>
      <c r="C386">
        <f>Inputs!$B$3&gt;=74</f>
        <v/>
      </c>
      <c r="D386">
        <f>IF(Skills!C24=1,60+Inputs!$B$27+Inputs!$B$31,IF(Skills!C24=2,90+Inputs!$B$28+Inputs!$B$31,IF(Skills!C24=3,120+Inputs!$B$29+Inputs!$B$31,MAX(0,(Inputs!$B$3-100)*3)+Inputs!$B$30+Inputs!$B$31)))</f>
        <v/>
      </c>
      <c r="E386">
        <f>INDEX(FactorTable!$B$2:$Y$301, MATCH(ROUND(MIN(300,MAX(1,D386)),0), FactorTable!$A$2:$A$301,0), Skills!L24+1)</f>
        <v/>
      </c>
      <c r="F386">
        <f>IF(Skills!M24=TRUE,(Skills!K24/10)*(E386/1000),Skills!K24/10)+Skills!N24</f>
        <v/>
      </c>
      <c r="G386">
        <f>Calc!G24</f>
        <v/>
      </c>
      <c r="H386">
        <f>Calc!H24</f>
        <v/>
      </c>
      <c r="I386">
        <f>IF(Skills!T24&lt;&gt;"",1+(Skills!T24/10)*($Z$3/1000)/100,1)</f>
        <v/>
      </c>
      <c r="J386" t="inlineStr"/>
      <c r="K386" t="inlineStr"/>
      <c r="L386" t="inlineStr"/>
      <c r="M386" t="inlineStr"/>
      <c r="N386" t="inlineStr"/>
      <c r="O386" t="n">
        <v>0</v>
      </c>
      <c r="P386">
        <f>IF(B400=0,0,O386/B400)</f>
        <v/>
      </c>
      <c r="Q386">
        <f>IFERROR(1/IF(Inputs!$B$40="pvp",15,MAX(0.1,Skills!D24-IF(Skills!E24=TRUE,Inputs!$B$34,0))),0)</f>
        <v/>
      </c>
      <c r="R386" t="n">
        <v>0</v>
      </c>
    </row>
    <row r="387">
      <c r="A387">
        <f>Skills!A25</f>
        <v/>
      </c>
      <c r="B387">
        <f>Skills!B25</f>
        <v/>
      </c>
      <c r="C387">
        <f>Inputs!$B$3&gt;=117</f>
        <v/>
      </c>
      <c r="D387">
        <f>IF(Skills!C25=1,60+Inputs!$B$27+Inputs!$B$31,IF(Skills!C25=2,90+Inputs!$B$28+Inputs!$B$31,IF(Skills!C25=3,120+Inputs!$B$29+Inputs!$B$31,MAX(0,(Inputs!$B$3-100)*3)+Inputs!$B$30+Inputs!$B$31)))</f>
        <v/>
      </c>
      <c r="E387">
        <f>INDEX(FactorTable!$B$2:$Y$301, MATCH(ROUND(MIN(300,MAX(1,D387)),0), FactorTable!$A$2:$A$301,0), Skills!L25+1)</f>
        <v/>
      </c>
      <c r="F387">
        <f>IF(Skills!M25=TRUE,(Skills!K25/10)*(E387/1000),Skills!K25/10)+Skills!N25</f>
        <v/>
      </c>
      <c r="G387">
        <f>Calc!G25</f>
        <v/>
      </c>
      <c r="H387">
        <f>Calc!H25</f>
        <v/>
      </c>
      <c r="I387">
        <f>IF(Skills!T25&lt;&gt;"",1+(Skills!T25/10)*($Z$3/1000)/100,1)</f>
        <v/>
      </c>
      <c r="J387" t="inlineStr"/>
      <c r="K387" t="inlineStr"/>
      <c r="L387" t="inlineStr"/>
      <c r="M387" t="inlineStr"/>
      <c r="N387" t="inlineStr"/>
      <c r="O387" t="n">
        <v>0</v>
      </c>
      <c r="P387">
        <f>IF(B400=0,0,O387/B400)</f>
        <v/>
      </c>
      <c r="Q387">
        <f>IFERROR(1/IF(Inputs!$B$40="pvp",15,MAX(0.1,Skills!D25-IF(Skills!E25=TRUE,Inputs!$B$34,0))),0)</f>
        <v/>
      </c>
      <c r="R387" t="n">
        <v>0</v>
      </c>
    </row>
    <row r="388">
      <c r="A388">
        <f>Skills!A26</f>
        <v/>
      </c>
      <c r="B388">
        <f>Skills!B26</f>
        <v/>
      </c>
      <c r="C388">
        <f>Inputs!$B$3&gt;=120</f>
        <v/>
      </c>
      <c r="D388">
        <f>IF(Skills!C26=1,60+Inputs!$B$27+Inputs!$B$31,IF(Skills!C26=2,90+Inputs!$B$28+Inputs!$B$31,IF(Skills!C26=3,120+Inputs!$B$29+Inputs!$B$31,MAX(0,(Inputs!$B$3-100)*3)+Inputs!$B$30+Inputs!$B$31)))</f>
        <v/>
      </c>
      <c r="E388">
        <f>INDEX(FactorTable!$B$2:$Y$301, MATCH(ROUND(MIN(300,MAX(1,D388)),0), FactorTable!$A$2:$A$301,0), Skills!L26+1)</f>
        <v/>
      </c>
      <c r="F388">
        <f>IF(Skills!M26=TRUE,(Skills!K26/10)*(E388/1000),Skills!K26/10)+Skills!N26</f>
        <v/>
      </c>
      <c r="G388">
        <f>Calc!G26</f>
        <v/>
      </c>
      <c r="H388">
        <f>Calc!H26</f>
        <v/>
      </c>
      <c r="I388">
        <f>IF(Skills!T26&lt;&gt;"",1+(Skills!T26/10)*($Z$3/1000)/100,1)</f>
        <v/>
      </c>
      <c r="J388" t="inlineStr"/>
      <c r="K388" t="inlineStr"/>
      <c r="L388" t="inlineStr"/>
      <c r="M388" t="inlineStr"/>
      <c r="N388" t="inlineStr"/>
      <c r="O388" t="n">
        <v>0</v>
      </c>
      <c r="P388">
        <f>IF(B400=0,0,O388/B400)</f>
        <v/>
      </c>
      <c r="Q388">
        <f>IFERROR(1/IF(Inputs!$B$40="pvp",15,MAX(0.1,Skills!D26-IF(Skills!E26=TRUE,Inputs!$B$34,0))),0)</f>
        <v/>
      </c>
      <c r="R388" t="n">
        <v>0</v>
      </c>
    </row>
    <row r="390">
      <c r="A390" t="inlineStr">
        <is>
          <t>Average Buff Multiplier</t>
        </is>
      </c>
      <c r="B390">
        <f>(1+(IF(C365=TRUE,F365*IF(AND(Inputs!$B$40&lt;&gt;"pvp",Inputs!$B$43&gt;0),(((R365-1)*(Skills!S3*(1+(Inputs!$B$36+IF(Inputs!$B$3&gt;=117,F387,0))/100))+MIN((Skills!S3*(1+(Inputs!$B$36+IF(Inputs!$B$3&gt;=117,F387,0))/100)),MAX(0,Inputs!$B$43-((R365-1)*Skills!D3))))/Inputs!$B$43),IF(Inputs!$B$40="pvp",MIN((Skills!S3*(1+(Inputs!$B$36+IF(Inputs!$B$3&gt;=117,F387,0))/100)),15)/15,(Skills!S3*(1+(Inputs!$B$36+IF(Inputs!$B$3&gt;=117,F387,0))/100))/Skills!D3)),0)+IF(C366=TRUE,F366*IF(AND(Inputs!$B$40&lt;&gt;"pvp",Inputs!$B$43&gt;0),(((R366-1)*(Skills!S4*(1+(Inputs!$B$36+IF(Inputs!$B$3&gt;=117,F387,0))/100))+MIN((Skills!S4*(1+(Inputs!$B$36+IF(Inputs!$B$3&gt;=117,F387,0))/100)),MAX(0,Inputs!$B$43-((R366-1)*Skills!D4))))/Inputs!$B$43),IF(Inputs!$B$40="pvp",MIN((Skills!S4*(1+(Inputs!$B$36+IF(Inputs!$B$3&gt;=117,F387,0))/100)),15)/15,(Skills!S4*(1+(Inputs!$B$36+IF(Inputs!$B$3&gt;=117,F387,0))/100))/Skills!D4)),0)+IF(C367=TRUE,F367*IF(AND(Inputs!$B$40&lt;&gt;"pvp",Inputs!$B$43&gt;0),(((R367-1)*(Skills!S5*(1+(Inputs!$B$36+IF(Inputs!$B$3&gt;=117,F387,0))/100))+MIN((Skills!S5*(1+(Inputs!$B$36+IF(Inputs!$B$3&gt;=117,F387,0))/100)),MAX(0,Inputs!$B$43-((R367-1)*Skills!D5))))/Inputs!$B$43),IF(Inputs!$B$40="pvp",MIN((Skills!S5*(1+(Inputs!$B$36+IF(Inputs!$B$3&gt;=117,F387,0))/100)),15)/15,(Skills!S5*(1+(Inputs!$B$36+IF(Inputs!$B$3&gt;=117,F387,0))/100))/Skills!D5)),0)+IF(C373=TRUE,F373*IF(AND(Inputs!$B$40&lt;&gt;"pvp",Inputs!$B$43&gt;0),(((R373-1)*(Skills!S11*(1+(Inputs!$B$36+IF(Inputs!$B$3&gt;=117,F387,0))/100))+MIN((Skills!S11*(1+(Inputs!$B$36+IF(Inputs!$B$3&gt;=117,F387,0))/100)),MAX(0,Inputs!$B$43-((R373-1)*Skills!D11))))/Inputs!$B$43),IF(Inputs!$B$40="pvp",MIN((Skills!S11*(1+(Inputs!$B$36+IF(Inputs!$B$3&gt;=117,F387,0))/100)),15)/15,(Skills!S11*(1+(Inputs!$B$36+IF(Inputs!$B$3&gt;=117,F387,0))/100))/Skills!D11)),0))/100)*IF(C375=TRUE,(1+F375*IF(AND(Inputs!$B$40&lt;&gt;"pvp",Inputs!$B$43&gt;0),(((R375-1)*(Skills!S13*(1+(Inputs!$B$36+IF(Inputs!$B$3&gt;=117,F387,0))/100))+MIN((Skills!S13*(1+(Inputs!$B$36+IF(Inputs!$B$3&gt;=117,F387,0))/100)),MAX(0,Inputs!$B$43-((R375-1)*Skills!D13))))/Inputs!$B$43),IF(Inputs!$B$40="pvp",MIN((Skills!S13*(1+(Inputs!$B$36+IF(Inputs!$B$3&gt;=117,F387,0))/100)),15)/15,(Skills!S13*(1+(Inputs!$B$36+IF(Inputs!$B$3&gt;=117,F387,0))/100))/Skills!D13))/100),1)*IF(C380=TRUE,(1+F380*IF(AND(Inputs!$B$40&lt;&gt;"pvp",Inputs!$B$43&gt;0),(((R380-1)*(Skills!S18*(1+(Inputs!$B$36+IF(Inputs!$B$3&gt;=117,F387,0))/100))+MIN((Skills!S18*(1+(Inputs!$B$36+IF(Inputs!$B$3&gt;=117,F387,0))/100)),MAX(0,Inputs!$B$43-((R380-1)*Skills!D18))))/Inputs!$B$43),IF(Inputs!$B$40="pvp",MIN((Skills!S18*(1+(Inputs!$B$36+IF(Inputs!$B$3&gt;=117,F387,0))/100)),15)/15,(Skills!S18*(1+(Inputs!$B$36+IF(Inputs!$B$3&gt;=117,F387,0))/100))/Skills!D18))/100),1)</f>
        <v/>
      </c>
    </row>
    <row r="391">
      <c r="A391" t="inlineStr">
        <is>
          <t>Monster Damage Taken Bonus % (Holy Fountain)</t>
        </is>
      </c>
      <c r="B391">
        <f>IF(Inputs!$B$3&gt;=68,20*IF(Inputs!$B$40="pvp",MIN((15*(1+(Inputs!$B$36+IF(Inputs!$B$3&gt;=117,F387,0))/100)),15)/15,(15*(1+(Inputs!$B$36+IF(Inputs!$B$3&gt;=117,F387,0))/100))/Skills!D10),0)</f>
        <v/>
      </c>
    </row>
    <row r="392">
      <c r="A392" t="inlineStr">
        <is>
          <t>Normal Monster Damage Bonus % (Holy Symbol)</t>
        </is>
      </c>
      <c r="B392">
        <f>IF(C374=TRUE,F374*IF(AND(Inputs!$B$40&lt;&gt;"pvp",Inputs!$B$43&gt;0),(((R374-1)*(Skills!S12*(1+(Inputs!$B$36+IF(Inputs!$B$3&gt;=117,F387,0))/100))+MIN((Skills!S12*(1+(Inputs!$B$36+IF(Inputs!$B$3&gt;=117,F387,0))/100)),MAX(0,Inputs!$B$43-((R374-1)*Skills!D12))))/Inputs!$B$43),IF(Inputs!$B$40="pvp",MIN((Skills!S12*(1+(Inputs!$B$36+IF(Inputs!$B$3&gt;=117,F387,0))/100)),15)/15,(Skills!S12*(1+(Inputs!$B$36+IF(Inputs!$B$3&gt;=117,F387,0))/100))/Skills!D12)),0)</f>
        <v/>
      </c>
    </row>
    <row r="393">
      <c r="A393" t="inlineStr">
        <is>
          <t>Damage % Bonus (Holy Symbol - Damage Boost)</t>
        </is>
      </c>
      <c r="B393">
        <f>Skills!O12</f>
        <v/>
      </c>
    </row>
    <row r="394">
      <c r="A394" t="inlineStr">
        <is>
          <t>Crit Damage % Bonus (Blood of the Divine)</t>
        </is>
      </c>
      <c r="B394">
        <f>4*IF(C381=TRUE,F381,0)</f>
        <v/>
      </c>
    </row>
    <row r="395">
      <c r="A395" t="inlineStr">
        <is>
          <t>Attack Speed Bonus %</t>
        </is>
      </c>
      <c r="B395">
        <f>IF(C378=TRUE,F378+(F382-Calc!F20),0)+IF(Inputs!$B$3&gt;=134,15,0)</f>
        <v/>
      </c>
    </row>
    <row r="396">
      <c r="A396" t="inlineStr">
        <is>
          <t>Actions Per Second</t>
        </is>
      </c>
      <c r="B396">
        <f>1+MIN(150,150*(1-(1-Inputs!$B$13/150)*(1-B395/150)))/100</f>
        <v/>
      </c>
    </row>
    <row r="397">
      <c r="A397" t="inlineStr">
        <is>
          <t>Skill + Buff Cast Rate</t>
        </is>
      </c>
      <c r="B397">
        <f>IF(AND(Inputs!$B$40&lt;&gt;"pvp",Inputs!$B$43&gt;0),SUMPRODUCT((Skills!E2:E26=TRUE)*(C364:C388=TRUE)*R364:R388)/Inputs!$B$43,SUMPRODUCT((Skills!E2:E26=TRUE)*(C364:C388=TRUE)*Q364:Q388))</f>
        <v/>
      </c>
    </row>
    <row r="398">
      <c r="A398" t="inlineStr">
        <is>
          <t>Big Bang Casts Per Second</t>
        </is>
      </c>
      <c r="B398">
        <f>MAX(0,B396-B397)</f>
        <v/>
      </c>
    </row>
    <row r="400">
      <c r="A400" s="5" t="inlineStr">
        <is>
          <t>TOTAL DPS</t>
        </is>
      </c>
      <c r="B400" s="5">
        <f>SUM(O364:O388)</f>
        <v/>
      </c>
    </row>
    <row r="403">
      <c r="A403" s="5" t="inlineStr">
        <is>
          <t>Stat: MIN_DAMAGE %</t>
        </is>
      </c>
    </row>
    <row r="404">
      <c r="A404" s="9" t="inlineStr">
        <is>
          <t>Key</t>
        </is>
      </c>
      <c r="B404" s="9" t="inlineStr">
        <is>
          <t>Name</t>
        </is>
      </c>
      <c r="C404" s="9" t="inlineStr">
        <is>
          <t>Unlocked</t>
        </is>
      </c>
      <c r="D404" s="9" t="inlineStr">
        <is>
          <t>InputLevel</t>
        </is>
      </c>
      <c r="E404" s="9" t="inlineStr">
        <is>
          <t>Factor</t>
        </is>
      </c>
      <c r="F404" s="9" t="inlineStr">
        <is>
          <t>CoefficientPercent</t>
        </is>
      </c>
      <c r="G404" s="9" t="inlineStr">
        <is>
          <t>EffectiveHits</t>
        </is>
      </c>
      <c r="H404" s="9" t="inlineStr">
        <is>
          <t>ProcProbability</t>
        </is>
      </c>
      <c r="I404" s="9" t="inlineStr">
        <is>
          <t>MapleHeroMultiplier</t>
        </is>
      </c>
      <c r="J404" s="9" t="inlineStr">
        <is>
          <t>BaseDamage</t>
        </is>
      </c>
      <c r="K404" s="9" t="inlineStr">
        <is>
          <t>BaseHitDamage</t>
        </is>
      </c>
      <c r="L404" s="9" t="inlineStr">
        <is>
          <t>NonCritAvg</t>
        </is>
      </c>
      <c r="M404" s="9" t="inlineStr">
        <is>
          <t>CritAvg</t>
        </is>
      </c>
      <c r="N404" s="9" t="inlineStr">
        <is>
          <t>ExpectedDamage(perHit)</t>
        </is>
      </c>
      <c r="O404" s="9" t="inlineStr">
        <is>
          <t>DPS</t>
        </is>
      </c>
      <c r="P404" s="9" t="inlineStr">
        <is>
          <t>% of Total</t>
        </is>
      </c>
      <c r="R404" t="inlineStr">
        <is>
          <t>helpers</t>
        </is>
      </c>
    </row>
    <row r="405">
      <c r="A405">
        <f>Skills!A2</f>
        <v/>
      </c>
      <c r="B405">
        <f>Skills!B2</f>
        <v/>
      </c>
      <c r="C405">
        <f>Inputs!$B$3&gt;=100</f>
        <v/>
      </c>
      <c r="D405" t="inlineStr"/>
      <c r="E405" t="inlineStr"/>
      <c r="F405">
        <f>T407+Skills!N2</f>
        <v/>
      </c>
      <c r="G405">
        <f>Calc!G2</f>
        <v/>
      </c>
      <c r="H405">
        <f>Calc!H2</f>
        <v/>
      </c>
      <c r="I405">
        <f>IF(Skills!T2&lt;&gt;"",1+(Skills!T2/10)*($Z$3/1000)/100,1)</f>
        <v/>
      </c>
      <c r="J405">
        <f>(Inputs!$B$7*(1+Inputs!$B$8/100))*(F405/100)</f>
        <v/>
      </c>
      <c r="K405">
        <f>J405*(1+(((Inputs!$B$14+IF(Inputs!$B$3&gt;=35,0.10*(Inputs!$B$9*(1+Inputs!$B$10/100)),0))*(1+Inputs!$B$15/100))*0.01+Inputs!$B$16*0.0025)/100)*(1+(Inputs!$B$17+B434)/100)*(1+IF(Inputs!$B$40="pvp",0,(1-Summary!$B$48)*(Inputs!$B$22+Skills!O2+B432)+Summary!$B$48*(Inputs!$B$23+Skills!P2+B433))/100)*(1+Inputs!$B$18/100)*(5000/(6000+Inputs!$B$42*(1-Inputs!$B$21/100)))*(1+Inputs!$B$26/100)*(1+IF(C420=TRUE,F420,0)/100)*(1+IF(C422=TRUE,F422,0)/100)*(1+IF(Skills!A2="TRIUMPH_FEATHER",IF(C418=TRUE,F418,0),0)/100)*(1+IF(C429=TRUE,F429,0)/100)^5*(1+(IF(Skills!A2="BIG_BANG",Inputs!$B$19,Inputs!$B$20))/100)*(B431*I405)</f>
        <v/>
      </c>
      <c r="L405">
        <f>K405*(MIN((Inputs!$B$24+1)+(F424-Calc!F21),Inputs!$B$25)/100+Inputs!$B$25/100)/2</f>
        <v/>
      </c>
      <c r="M405">
        <f>L405*(1+(Inputs!$B$12+B435+(F427-Calc!F24))/100)</f>
        <v/>
      </c>
      <c r="N405">
        <f>L405*(1-MIN(Inputs!$B$11+((F426-Calc!F23)+(F425-Calc!F22)),100)/100)+M405*(MIN(Inputs!$B$11+((F426-Calc!F23)+(F425-Calc!F22)),100)/100)</f>
        <v/>
      </c>
      <c r="O405">
        <f>IF(C405,Skills!F2*N405*B439*IF(Inputs!$B$40="pvp",1,(1-Summary!$B$48)*(1)+Summary!$B$48*(MIN((6+Inputs!$B$35),Inputs!$B$39))),0)</f>
        <v/>
      </c>
      <c r="P405">
        <f>IF(B441=0,0,O405/B441)</f>
        <v/>
      </c>
      <c r="Q405">
        <f>IFERROR(1/IF(Inputs!$B$40="pvp",15,MAX(0.1,Skills!D2-IF(Skills!E2=TRUE,Inputs!$B$34,0))),0)</f>
        <v/>
      </c>
      <c r="R405" t="n">
        <v>0</v>
      </c>
      <c r="T405">
        <f>MAX(0,(Inputs!$B$3-100)*3)+Inputs!$B$30+Inputs!$B$31</f>
        <v/>
      </c>
    </row>
    <row r="406">
      <c r="A406">
        <f>Skills!A3</f>
        <v/>
      </c>
      <c r="B406">
        <f>Skills!B3</f>
        <v/>
      </c>
      <c r="C406">
        <f>Inputs!$B$3&gt;=15</f>
        <v/>
      </c>
      <c r="D406">
        <f>IF(Skills!C3=1,60+Inputs!$B$27+Inputs!$B$31,IF(Skills!C3=2,90+Inputs!$B$28+Inputs!$B$31,IF(Skills!C3=3,120+Inputs!$B$29+Inputs!$B$31,MAX(0,(Inputs!$B$3-100)*3)+Inputs!$B$30+Inputs!$B$31)))</f>
        <v/>
      </c>
      <c r="E406">
        <f>INDEX(FactorTable!$B$2:$Y$301, MATCH(ROUND(MIN(300,MAX(1,D406)),0), FactorTable!$A$2:$A$301,0), Skills!L3+1)</f>
        <v/>
      </c>
      <c r="F406">
        <f>IF(Skills!M3=TRUE,(Skills!K3/10)*(E406/1000),Skills!K3/10)+Skills!N3</f>
        <v/>
      </c>
      <c r="G406">
        <f>Calc!G3</f>
        <v/>
      </c>
      <c r="H406">
        <f>Calc!H3</f>
        <v/>
      </c>
      <c r="I406">
        <f>IF(Skills!T3&lt;&gt;"",1+(Skills!T3/10)*($Z$3/1000)/100,1)</f>
        <v/>
      </c>
      <c r="J406" t="inlineStr"/>
      <c r="K406" t="inlineStr"/>
      <c r="L406" t="inlineStr"/>
      <c r="M406" t="inlineStr"/>
      <c r="N406" t="inlineStr"/>
      <c r="O406" t="n">
        <v>0</v>
      </c>
      <c r="P406">
        <f>IF(B441=0,0,O406/B441)</f>
        <v/>
      </c>
      <c r="Q406">
        <f>IFERROR(1/IF(Inputs!$B$40="pvp",15,MAX(0.1,Skills!D3-IF(Skills!E3=TRUE,Inputs!$B$34,0))),0)</f>
        <v/>
      </c>
      <c r="R406">
        <f>IF(AND(Inputs!$B$40&lt;&gt;"pvp",Inputs!$B$43&gt;0),(INT(Inputs!$B$43/IF(Inputs!$B$40="pvp",15,MAX(0.1,Skills!D3-IF(Skills!E3=TRUE,Inputs!$B$34,0))))+1),0)</f>
        <v/>
      </c>
      <c r="T406">
        <f>INDEX(FactorTable!$B$2:$Y$301, MATCH(ROUND(MIN(300,MAX(1,T405)),0), FactorTable!$A$2:$A$301,0), 22)</f>
        <v/>
      </c>
    </row>
    <row r="407">
      <c r="A407">
        <f>Skills!A4</f>
        <v/>
      </c>
      <c r="B407">
        <f>Skills!B4</f>
        <v/>
      </c>
      <c r="C407">
        <f>Inputs!$B$3&gt;=38</f>
        <v/>
      </c>
      <c r="D407">
        <f>IF(Skills!C4=1,60+Inputs!$B$27+Inputs!$B$31,IF(Skills!C4=2,90+Inputs!$B$28+Inputs!$B$31,IF(Skills!C4=3,120+Inputs!$B$29+Inputs!$B$31,MAX(0,(Inputs!$B$3-100)*3)+Inputs!$B$30+Inputs!$B$31)))</f>
        <v/>
      </c>
      <c r="E407">
        <f>INDEX(FactorTable!$B$2:$Y$301, MATCH(ROUND(MIN(300,MAX(1,D407)),0), FactorTable!$A$2:$A$301,0), Skills!L4+1)</f>
        <v/>
      </c>
      <c r="F407">
        <f>IF(Skills!M4=TRUE,(Skills!K4/10)*(E407/1000),Skills!K4/10)+Skills!N4</f>
        <v/>
      </c>
      <c r="G407">
        <f>Calc!G4</f>
        <v/>
      </c>
      <c r="H407">
        <f>Calc!H4</f>
        <v/>
      </c>
      <c r="I407">
        <f>IF(Skills!T4&lt;&gt;"",1+(Skills!T4/10)*($Z$3/1000)/100,1)</f>
        <v/>
      </c>
      <c r="J407" t="inlineStr"/>
      <c r="K407" t="inlineStr"/>
      <c r="L407" t="inlineStr"/>
      <c r="M407" t="inlineStr"/>
      <c r="N407" t="inlineStr"/>
      <c r="O407" t="n">
        <v>0</v>
      </c>
      <c r="P407">
        <f>IF(B441=0,0,O407/B441)</f>
        <v/>
      </c>
      <c r="Q407">
        <f>IFERROR(1/IF(Inputs!$B$40="pvp",15,MAX(0.1,Skills!D4-IF(Skills!E4=TRUE,Inputs!$B$34,0))),0)</f>
        <v/>
      </c>
      <c r="R407">
        <f>IF(AND(Inputs!$B$40&lt;&gt;"pvp",Inputs!$B$43&gt;0),(INT(Inputs!$B$43/IF(Inputs!$B$40="pvp",15,MAX(0.1,Skills!D4-IF(Skills!E4=TRUE,Inputs!$B$34,0))))+1),0)</f>
        <v/>
      </c>
      <c r="T407">
        <f>290*T406/1000</f>
        <v/>
      </c>
    </row>
    <row r="408">
      <c r="A408">
        <f>Skills!A5</f>
        <v/>
      </c>
      <c r="B408">
        <f>Skills!B5</f>
        <v/>
      </c>
      <c r="C408">
        <f>Inputs!$B$3&gt;=40</f>
        <v/>
      </c>
      <c r="D408">
        <f>IF(Skills!C5=1,60+Inputs!$B$27+Inputs!$B$31,IF(Skills!C5=2,90+Inputs!$B$28+Inputs!$B$31,IF(Skills!C5=3,120+Inputs!$B$29+Inputs!$B$31,MAX(0,(Inputs!$B$3-100)*3)+Inputs!$B$30+Inputs!$B$31)))</f>
        <v/>
      </c>
      <c r="E408">
        <f>INDEX(FactorTable!$B$2:$Y$301, MATCH(ROUND(MIN(300,MAX(1,D408)),0), FactorTable!$A$2:$A$301,0), Skills!L5+1)</f>
        <v/>
      </c>
      <c r="F408">
        <f>IF(Skills!M5=TRUE,(Skills!K5/10)*(E408/1000),Skills!K5/10)+Skills!N5</f>
        <v/>
      </c>
      <c r="G408">
        <f>Calc!G5</f>
        <v/>
      </c>
      <c r="H408">
        <f>Calc!H5</f>
        <v/>
      </c>
      <c r="I408">
        <f>IF(Skills!T5&lt;&gt;"",1+(Skills!T5/10)*($Z$3/1000)/100,1)</f>
        <v/>
      </c>
      <c r="J408" t="inlineStr"/>
      <c r="K408" t="inlineStr"/>
      <c r="L408" t="inlineStr"/>
      <c r="M408" t="inlineStr"/>
      <c r="N408" t="inlineStr"/>
      <c r="O408" t="n">
        <v>0</v>
      </c>
      <c r="P408">
        <f>IF(B441=0,0,O408/B441)</f>
        <v/>
      </c>
      <c r="Q408">
        <f>IFERROR(1/IF(Inputs!$B$40="pvp",15,MAX(0.1,Skills!D5-IF(Skills!E5=TRUE,Inputs!$B$34,0))),0)</f>
        <v/>
      </c>
      <c r="R408">
        <f>IF(AND(Inputs!$B$40&lt;&gt;"pvp",Inputs!$B$43&gt;0),(INT(Inputs!$B$43/IF(Inputs!$B$40="pvp",15,MAX(0.1,Skills!D5-IF(Skills!E5=TRUE,Inputs!$B$34,0))))+1),0)</f>
        <v/>
      </c>
    </row>
    <row r="409">
      <c r="A409">
        <f>Skills!A6</f>
        <v/>
      </c>
      <c r="B409">
        <f>Skills!B6</f>
        <v/>
      </c>
      <c r="C409">
        <f>Inputs!$B$3&gt;=103</f>
        <v/>
      </c>
      <c r="D409">
        <f>IF(Skills!C6=1,60+Inputs!$B$27+Inputs!$B$31,IF(Skills!C6=2,90+Inputs!$B$28+Inputs!$B$31,IF(Skills!C6=3,120+Inputs!$B$29+Inputs!$B$31,MAX(0,(Inputs!$B$3-100)*3)+Inputs!$B$30+Inputs!$B$31)))</f>
        <v/>
      </c>
      <c r="E409">
        <f>INDEX(FactorTable!$B$2:$Y$301, MATCH(ROUND(MIN(300,MAX(1,D409)),0), FactorTable!$A$2:$A$301,0), Skills!L6+1)</f>
        <v/>
      </c>
      <c r="F409">
        <f>IF(Skills!M6=TRUE,(Skills!K6/10)*(E409/1000),Skills!K6/10)+Skills!N6</f>
        <v/>
      </c>
      <c r="G409">
        <f>Calc!G6</f>
        <v/>
      </c>
      <c r="H409">
        <f>Calc!H6</f>
        <v/>
      </c>
      <c r="I409">
        <f>IF(Skills!T6&lt;&gt;"",1+(Skills!T6/10)*($Z$3/1000)/100,1)</f>
        <v/>
      </c>
      <c r="J409">
        <f>(Inputs!$B$7*(1+Inputs!$B$8/100))*(F409/100)</f>
        <v/>
      </c>
      <c r="K409">
        <f>J409*(1+(((Inputs!$B$14+IF(Inputs!$B$3&gt;=35,0.10*(Inputs!$B$9*(1+Inputs!$B$10/100)),0))*(1+Inputs!$B$15/100))*0.01+Inputs!$B$16*0.0025)/100)*(1+(Inputs!$B$17+B434)/100)*(1+IF(Inputs!$B$40="pvp",0,(1-Summary!$B$48)*(Inputs!$B$22+Skills!O6+B432)+Summary!$B$48*(Inputs!$B$23+Skills!P6+B433))/100)*(1+Inputs!$B$18/100)*(5000/(6000+Inputs!$B$42*(1-Inputs!$B$21/100)))*(1+Inputs!$B$26/100)*(1+IF(C420=TRUE,F420,0)/100)*(1+IF(C422=TRUE,F422,0)/100)*(1+IF(Skills!A6="TRIUMPH_FEATHER",IF(C418=TRUE,F418,0),0)/100)*(1+IF(C429=TRUE,F429,0)/100)^5*(1+(IF(Skills!A6="BIG_BANG",Inputs!$B$19,Inputs!$B$20))/100)*(B431*I409)</f>
        <v/>
      </c>
      <c r="L409">
        <f>K409*(MIN((Inputs!$B$24+1)+(F424-Calc!F21),Inputs!$B$25)/100+Inputs!$B$25/100)/2</f>
        <v/>
      </c>
      <c r="M409">
        <f>L409*(1+(Inputs!$B$12+B435+(F427-Calc!F24))/100)</f>
        <v/>
      </c>
      <c r="N409">
        <f>L409*(1-MIN(Inputs!$B$11+((F426-Calc!F23)+(F425-Calc!F22)),100)/100)+M409*(MIN(Inputs!$B$11+((F426-Calc!F23)+(F425-Calc!F22)),100)/100)</f>
        <v/>
      </c>
      <c r="O409">
        <f>IF(C409,H409*N409*IF(AND(Inputs!$B$40&lt;&gt;"pvp",Inputs!$B$43&gt;0),((Skills!F6*((R409-1)*IF(Skills!G6&gt;0,Skills!H6/Skills!G6,1)+IF(Skills!G6&gt;0,MIN(Skills!H6,MAX(0,Inputs!$B$43-((R409-1)*IF(Inputs!$B$40="pvp",15,MAX(0.1,Skills!D6-IF(Skills!E6=TRUE,Inputs!$B$34,0))))))/Skills!G6,1)))/Inputs!$B$43),G409*Q409)*IF(Inputs!$B$40="pvp",1,(1-Summary!$B$48)*(1)+Summary!$B$48*(MIN(Skills!Q6,Inputs!$B$39))),0)</f>
        <v/>
      </c>
      <c r="P409">
        <f>IF(B441=0,0,O409/B441)</f>
        <v/>
      </c>
      <c r="Q409">
        <f>IFERROR(1/IF(Inputs!$B$40="pvp",15,MAX(0.1,Skills!D6-IF(Skills!E6=TRUE,Inputs!$B$34,0))),0)</f>
        <v/>
      </c>
      <c r="R409">
        <f>IF(AND(Inputs!$B$40&lt;&gt;"pvp",Inputs!$B$43&gt;0),(INT(Inputs!$B$43/IF(Inputs!$B$40="pvp",15,MAX(0.1,Skills!D6-IF(Skills!E6=TRUE,Inputs!$B$34,0))))+1),0)</f>
        <v/>
      </c>
    </row>
    <row r="410">
      <c r="A410">
        <f>Skills!A7</f>
        <v/>
      </c>
      <c r="B410">
        <f>Skills!B7</f>
        <v/>
      </c>
      <c r="C410">
        <f>Inputs!$B$3&gt;=122</f>
        <v/>
      </c>
      <c r="D410">
        <f>IF(Skills!C7=1,60+Inputs!$B$27+Inputs!$B$31,IF(Skills!C7=2,90+Inputs!$B$28+Inputs!$B$31,IF(Skills!C7=3,120+Inputs!$B$29+Inputs!$B$31,MAX(0,(Inputs!$B$3-100)*3)+Inputs!$B$30+Inputs!$B$31)))</f>
        <v/>
      </c>
      <c r="E410">
        <f>INDEX(FactorTable!$B$2:$Y$301, MATCH(ROUND(MIN(300,MAX(1,D410)),0), FactorTable!$A$2:$A$301,0), Skills!L7+1)</f>
        <v/>
      </c>
      <c r="F410">
        <f>IF(Skills!M7=TRUE,(Skills!K7/10)*(E410/1000),Skills!K7/10)+Skills!N7</f>
        <v/>
      </c>
      <c r="G410">
        <f>Calc!G7</f>
        <v/>
      </c>
      <c r="H410">
        <f>Calc!H7</f>
        <v/>
      </c>
      <c r="I410">
        <f>IF(Skills!T7&lt;&gt;"",1+(Skills!T7/10)*($Z$3/1000)/100,1)</f>
        <v/>
      </c>
      <c r="J410">
        <f>(Inputs!$B$7*(1+Inputs!$B$8/100))*(F410/100)</f>
        <v/>
      </c>
      <c r="K410">
        <f>J410*(1+(((Inputs!$B$14+IF(Inputs!$B$3&gt;=35,0.10*(Inputs!$B$9*(1+Inputs!$B$10/100)),0))*(1+Inputs!$B$15/100))*0.01+Inputs!$B$16*0.0025)/100)*(1+(Inputs!$B$17+B434)/100)*(1+IF(Inputs!$B$40="pvp",0,(1-Summary!$B$48)*(Inputs!$B$22+Skills!O7+B432)+Summary!$B$48*(Inputs!$B$23+Skills!P7+B433))/100)*(1+Inputs!$B$18/100)*(5000/(6000+Inputs!$B$42*(1-Inputs!$B$21/100)))*(1+Inputs!$B$26/100)*(1+IF(C420=TRUE,F420,0)/100)*(1+IF(C422=TRUE,F422,0)/100)*(1+IF(Skills!A7="TRIUMPH_FEATHER",IF(C418=TRUE,F418,0),0)/100)*(1+IF(C429=TRUE,F429,0)/100)^5*(1+(IF(Skills!A7="BIG_BANG",Inputs!$B$19,Inputs!$B$20))/100)*(B431*I410)</f>
        <v/>
      </c>
      <c r="L410">
        <f>K410*(MIN((Inputs!$B$24+1)+(F424-Calc!F21),Inputs!$B$25)/100+Inputs!$B$25/100)/2</f>
        <v/>
      </c>
      <c r="M410">
        <f>L410*(1+(Inputs!$B$12+B435+(F427-Calc!F24))/100)</f>
        <v/>
      </c>
      <c r="N410">
        <f>L410*(1-MIN(Inputs!$B$11+((F426-Calc!F23)+(F425-Calc!F22)),100)/100)+M410*(MIN(Inputs!$B$11+((F426-Calc!F23)+(F425-Calc!F22)),100)/100)</f>
        <v/>
      </c>
      <c r="O410">
        <f>IF(C410,H410*N410*IF(AND(Inputs!$B$40&lt;&gt;"pvp",Inputs!$B$43&gt;0),((Skills!F7*((R410-1)*IF(Skills!G7&gt;0,Skills!H7/Skills!G7,1)+IF(Skills!G7&gt;0,MIN(Skills!H7,MAX(0,Inputs!$B$43-((R410-1)*IF(Inputs!$B$40="pvp",15,MAX(0.1,Skills!D7-IF(Skills!E6=TRUE,Inputs!$B$34,0))))))/Skills!G7,1)))/Inputs!$B$43),G410*Q410)*(1-Summary!$B$48),0)</f>
        <v/>
      </c>
      <c r="P410">
        <f>IF(B441=0,0,O410/B441)</f>
        <v/>
      </c>
      <c r="Q410">
        <f>IFERROR(1/IF(Inputs!$B$40="pvp",15,MAX(0.1,Skills!D7-IF(Skills!E6=TRUE,Inputs!$B$34,0))),0)</f>
        <v/>
      </c>
      <c r="R410">
        <f>IF(AND(Inputs!$B$40&lt;&gt;"pvp",Inputs!$B$43&gt;0),(INT(Inputs!$B$43/IF(Inputs!$B$40="pvp",15,MAX(0.1,Skills!D7-IF(Skills!E6=TRUE,Inputs!$B$34,0))))+1),0)</f>
        <v/>
      </c>
    </row>
    <row r="411">
      <c r="A411">
        <f>Skills!A8</f>
        <v/>
      </c>
      <c r="B411">
        <f>Skills!B8</f>
        <v/>
      </c>
      <c r="C411">
        <f>Inputs!$B$3&gt;=105</f>
        <v/>
      </c>
      <c r="D411">
        <f>IF(Skills!C8=1,60+Inputs!$B$27+Inputs!$B$31,IF(Skills!C8=2,90+Inputs!$B$28+Inputs!$B$31,IF(Skills!C8=3,120+Inputs!$B$29+Inputs!$B$31,MAX(0,(Inputs!$B$3-100)*3)+Inputs!$B$30+Inputs!$B$31)))</f>
        <v/>
      </c>
      <c r="E411">
        <f>INDEX(FactorTable!$B$2:$Y$301, MATCH(ROUND(MIN(300,MAX(1,D411)),0), FactorTable!$A$2:$A$301,0), Skills!L8+1)</f>
        <v/>
      </c>
      <c r="F411">
        <f>IF(Skills!M8=TRUE,(Skills!K8/10)*(E411/1000),Skills!K8/10)+Skills!N8</f>
        <v/>
      </c>
      <c r="G411">
        <f>Calc!G8</f>
        <v/>
      </c>
      <c r="H411">
        <f>Calc!H8</f>
        <v/>
      </c>
      <c r="I411">
        <f>IF(Skills!T8&lt;&gt;"",1+(Skills!T8/10)*($Z$3/1000)/100,1)</f>
        <v/>
      </c>
      <c r="J411">
        <f>(Inputs!$B$7*(1+Inputs!$B$8/100))*(F411/100)</f>
        <v/>
      </c>
      <c r="K411">
        <f>J411*(1+(((Inputs!$B$14+IF(Inputs!$B$3&gt;=35,0.10*(Inputs!$B$9*(1+Inputs!$B$10/100)),0))*(1+Inputs!$B$15/100))*0.01+Inputs!$B$16*0.0025)/100)*(1+(Inputs!$B$17+B434)/100)*(1+IF(Inputs!$B$40="pvp",0,(1-Summary!$B$48)*(Inputs!$B$22+Skills!O8+B432)+Summary!$B$48*(Inputs!$B$23+Skills!P8+B433))/100)*(1+Inputs!$B$18/100)*(5000/(6000+Inputs!$B$42*(1-Inputs!$B$21/100)))*(1+Inputs!$B$26/100)*(1+IF(C420=TRUE,F420,0)/100)*(1+IF(C422=TRUE,F422,0)/100)*(1+IF(Skills!A8="TRIUMPH_FEATHER",IF(C418=TRUE,F418,0),0)/100)*(1+IF(C429=TRUE,F429,0)/100)^5*(1+(IF(Skills!A8="BIG_BANG",Inputs!$B$19,Inputs!$B$20))/100)*(B431*I411)</f>
        <v/>
      </c>
      <c r="L411">
        <f>K411*(MIN((Inputs!$B$24+1)+(F424-Calc!F21),Inputs!$B$25)/100+Inputs!$B$25/100)/2</f>
        <v/>
      </c>
      <c r="M411">
        <f>L411*(1+(Inputs!$B$12+B435+(F427-Calc!F24))/100)</f>
        <v/>
      </c>
      <c r="N411">
        <f>L411*(1-MIN(Inputs!$B$11+((F426-Calc!F23)+(F425-Calc!F22)),100)/100)+M411*(MIN(Inputs!$B$11+((F426-Calc!F23)+(F425-Calc!F22)),100)/100)</f>
        <v/>
      </c>
      <c r="O411">
        <f>IF(C411,H411*N411*IF(AND(Inputs!$B$40&lt;&gt;"pvp",Inputs!$B$43&gt;0),((Skills!F8*((R411-1)*IF(Skills!G8&gt;0,Skills!H8/Skills!G8,1)+IF(Skills!G8&gt;0,MIN(Skills!H8,MAX(0,Inputs!$B$43-((R411-1)*IF(Inputs!$B$40="pvp",15,MAX(0.1,Skills!D8-IF(Skills!E8=TRUE,Inputs!$B$34,0))))))/Skills!G8,1)))/Inputs!$B$43),G411*Q411)*IF(Inputs!$B$40="pvp",1,(1-Summary!$B$48)*(1)+Summary!$B$48*(MIN(Skills!Q8,Inputs!$B$39))),0)</f>
        <v/>
      </c>
      <c r="P411">
        <f>IF(B441=0,0,O411/B441)</f>
        <v/>
      </c>
      <c r="Q411">
        <f>IFERROR(1/IF(Inputs!$B$40="pvp",15,MAX(0.1,Skills!D8-IF(Skills!E8=TRUE,Inputs!$B$34,0))),0)</f>
        <v/>
      </c>
      <c r="R411">
        <f>IF(AND(Inputs!$B$40&lt;&gt;"pvp",Inputs!$B$43&gt;0),(INT(Inputs!$B$43/IF(Inputs!$B$40="pvp",15,MAX(0.1,Skills!D8-IF(Skills!E8=TRUE,Inputs!$B$34,0))))+1),0)</f>
        <v/>
      </c>
    </row>
    <row r="412">
      <c r="A412">
        <f>Skills!A9</f>
        <v/>
      </c>
      <c r="B412">
        <f>Skills!B9</f>
        <v/>
      </c>
      <c r="C412">
        <f>Inputs!$B$3&gt;=115</f>
        <v/>
      </c>
      <c r="D412">
        <f>IF(Skills!C9=1,60+Inputs!$B$27+Inputs!$B$31,IF(Skills!C9=2,90+Inputs!$B$28+Inputs!$B$31,IF(Skills!C9=3,120+Inputs!$B$29+Inputs!$B$31,MAX(0,(Inputs!$B$3-100)*3)+Inputs!$B$30+Inputs!$B$31)))</f>
        <v/>
      </c>
      <c r="E412">
        <f>INDEX(FactorTable!$B$2:$Y$301, MATCH(ROUND(MIN(300,MAX(1,D412)),0), FactorTable!$A$2:$A$301,0), Skills!L9+1)</f>
        <v/>
      </c>
      <c r="F412">
        <f>IF(Skills!M9=TRUE,(Skills!K9/10)*(E412/1000),Skills!K9/10)+Skills!N9</f>
        <v/>
      </c>
      <c r="G412">
        <f>Calc!G9</f>
        <v/>
      </c>
      <c r="H412">
        <f>Calc!H9</f>
        <v/>
      </c>
      <c r="I412">
        <f>IF(Skills!T9&lt;&gt;"",1+(Skills!T9/10)*($Z$3/1000)/100,1)</f>
        <v/>
      </c>
      <c r="J412">
        <f>(Inputs!$B$7*(1+Inputs!$B$8/100))*(F412/100)</f>
        <v/>
      </c>
      <c r="K412">
        <f>J412*(1+(((Inputs!$B$14+IF(Inputs!$B$3&gt;=35,0.10*(Inputs!$B$9*(1+Inputs!$B$10/100)),0))*(1+Inputs!$B$15/100))*0.01+Inputs!$B$16*0.0025)/100)*(1+(Inputs!$B$17+B434)/100)*(1+IF(Inputs!$B$40="pvp",0,(1-Summary!$B$48)*(Inputs!$B$22+Skills!O9+B432)+Summary!$B$48*(Inputs!$B$23+Skills!P9+B433))/100)*(1+Inputs!$B$18/100)*(5000/(6000+Inputs!$B$42*(1-Inputs!$B$21/100)))*(1+Inputs!$B$26/100)*(1+IF(C420=TRUE,F420,0)/100)*(1+IF(C422=TRUE,F422,0)/100)*(1+IF(Skills!A9="TRIUMPH_FEATHER",IF(C418=TRUE,F418,0),0)/100)*(1+IF(C429=TRUE,F429,0)/100)^5*(1+(IF(Skills!A9="BIG_BANG",Inputs!$B$19,Inputs!$B$20))/100)*(B431*I412)</f>
        <v/>
      </c>
      <c r="L412">
        <f>K412*(MIN((Inputs!$B$24+1)+(F424-Calc!F21),Inputs!$B$25)/100+Inputs!$B$25/100)/2</f>
        <v/>
      </c>
      <c r="M412">
        <f>L412*(1+(Inputs!$B$12+B435+(F427-Calc!F24))/100)</f>
        <v/>
      </c>
      <c r="N412">
        <f>L412*(1-MIN(Inputs!$B$11+((F426-Calc!F23)+(F425-Calc!F22)),100)/100)+M412*(MIN(Inputs!$B$11+((F426-Calc!F23)+(F425-Calc!F22)),100)/100)</f>
        <v/>
      </c>
      <c r="O412">
        <f>IF(C412,H412*N412*IF(AND(Inputs!$B$40&lt;&gt;"pvp",Inputs!$B$43&gt;0),((Skills!F9*((R412-1)*IF(Skills!G9&gt;0,Skills!H9/Skills!G9,1)+IF(Skills!G9&gt;0,MIN(Skills!H9,MAX(0,Inputs!$B$43-((R412-1)*IF(Inputs!$B$40="pvp",15,MAX(0.1,Skills!D9-IF(Skills!E9=TRUE,Inputs!$B$34,0))))))/Skills!G9,1)))/Inputs!$B$43),G412*Q412)*IF(Inputs!$B$40="pvp",1,(1-Summary!$B$48)*(1)+Summary!$B$48*(MIN(Skills!Q9,Inputs!$B$39))),0)</f>
        <v/>
      </c>
      <c r="P412">
        <f>IF(B441=0,0,O412/B441)</f>
        <v/>
      </c>
      <c r="Q412">
        <f>IFERROR(1/IF(Inputs!$B$40="pvp",15,MAX(0.1,Skills!D9-IF(Skills!E9=TRUE,Inputs!$B$34,0))),0)</f>
        <v/>
      </c>
      <c r="R412">
        <f>IF(AND(Inputs!$B$40&lt;&gt;"pvp",Inputs!$B$43&gt;0),(INT(Inputs!$B$43/IF(Inputs!$B$40="pvp",15,MAX(0.1,Skills!D9-IF(Skills!E9=TRUE,Inputs!$B$34,0))))+1),0)</f>
        <v/>
      </c>
    </row>
    <row r="413">
      <c r="A413">
        <f>Skills!A10</f>
        <v/>
      </c>
      <c r="B413">
        <f>Skills!B10</f>
        <v/>
      </c>
      <c r="C413">
        <f>Inputs!$B$3&gt;=66</f>
        <v/>
      </c>
      <c r="D413">
        <f>IF(Skills!C10=1,60+Inputs!$B$27+Inputs!$B$31,IF(Skills!C10=2,90+Inputs!$B$28+Inputs!$B$31,IF(Skills!C10=3,120+Inputs!$B$29+Inputs!$B$31,MAX(0,(Inputs!$B$3-100)*3)+Inputs!$B$30+Inputs!$B$31)))</f>
        <v/>
      </c>
      <c r="E413">
        <f>INDEX(FactorTable!$B$2:$Y$301, MATCH(ROUND(MIN(300,MAX(1,D413)),0), FactorTable!$A$2:$A$301,0), Skills!L10+1)</f>
        <v/>
      </c>
      <c r="F413" t="n">
        <v>0</v>
      </c>
      <c r="G413">
        <f>Calc!G10</f>
        <v/>
      </c>
      <c r="H413">
        <f>Calc!H10</f>
        <v/>
      </c>
      <c r="I413">
        <f>IF(Skills!T10&lt;&gt;"",1+(Skills!T10/10)*($Z$3/1000)/100,1)</f>
        <v/>
      </c>
      <c r="J413" t="inlineStr"/>
      <c r="K413" t="inlineStr"/>
      <c r="L413" t="inlineStr"/>
      <c r="M413" t="inlineStr"/>
      <c r="N413" t="inlineStr"/>
      <c r="O413" t="n">
        <v>0</v>
      </c>
      <c r="P413">
        <f>IF(B441=0,0,O413/B441)</f>
        <v/>
      </c>
      <c r="Q413">
        <f>IFERROR(1/IF(Inputs!$B$40="pvp",15,MAX(0.1,Skills!D10-IF(Skills!E10=TRUE,Inputs!$B$34,0))),0)</f>
        <v/>
      </c>
      <c r="R413">
        <f>IF(AND(Inputs!$B$40&lt;&gt;"pvp",Inputs!$B$43&gt;0),(INT(Inputs!$B$43/IF(Inputs!$B$40="pvp",15,MAX(0.1,Skills!D10-IF(Skills!E10=TRUE,Inputs!$B$34,0))))+1),0)</f>
        <v/>
      </c>
    </row>
    <row r="414">
      <c r="A414">
        <f>Skills!A11</f>
        <v/>
      </c>
      <c r="B414">
        <f>Skills!B11</f>
        <v/>
      </c>
      <c r="C414">
        <f>Inputs!$B$3&gt;=69</f>
        <v/>
      </c>
      <c r="D414">
        <f>IF(Skills!C11=1,60+Inputs!$B$27+Inputs!$B$31,IF(Skills!C11=2,90+Inputs!$B$28+Inputs!$B$31,IF(Skills!C11=3,120+Inputs!$B$29+Inputs!$B$31,MAX(0,(Inputs!$B$3-100)*3)+Inputs!$B$30+Inputs!$B$31)))</f>
        <v/>
      </c>
      <c r="E414">
        <f>INDEX(FactorTable!$B$2:$Y$301, MATCH(ROUND(MIN(300,MAX(1,D414)),0), FactorTable!$A$2:$A$301,0), Skills!L11+1)</f>
        <v/>
      </c>
      <c r="F414">
        <f>IF(Skills!M11=TRUE,(Skills!K11/10)*(E414/1000),Skills!K11/10)+Skills!N11</f>
        <v/>
      </c>
      <c r="G414">
        <f>Calc!G11</f>
        <v/>
      </c>
      <c r="H414">
        <f>Calc!H11</f>
        <v/>
      </c>
      <c r="I414">
        <f>IF(Skills!T11&lt;&gt;"",1+(Skills!T11/10)*($Z$3/1000)/100,1)</f>
        <v/>
      </c>
      <c r="J414" t="inlineStr"/>
      <c r="K414" t="inlineStr"/>
      <c r="L414" t="inlineStr"/>
      <c r="M414" t="inlineStr"/>
      <c r="N414" t="inlineStr"/>
      <c r="O414" t="n">
        <v>0</v>
      </c>
      <c r="P414">
        <f>IF(B441=0,0,O414/B441)</f>
        <v/>
      </c>
      <c r="Q414">
        <f>IFERROR(1/IF(Inputs!$B$40="pvp",15,MAX(0.1,Skills!D11-IF(Skills!E11=TRUE,Inputs!$B$34,0))),0)</f>
        <v/>
      </c>
      <c r="R414">
        <f>IF(AND(Inputs!$B$40&lt;&gt;"pvp",Inputs!$B$43&gt;0),(INT(Inputs!$B$43/IF(Inputs!$B$40="pvp",15,MAX(0.1,Skills!D11-IF(Skills!E11=TRUE,Inputs!$B$34,0))))+1),0)</f>
        <v/>
      </c>
    </row>
    <row r="415">
      <c r="A415">
        <f>Skills!A12</f>
        <v/>
      </c>
      <c r="B415">
        <f>Skills!B12</f>
        <v/>
      </c>
      <c r="C415">
        <f>Inputs!$B$3&gt;=72</f>
        <v/>
      </c>
      <c r="D415">
        <f>IF(Skills!C12=1,60+Inputs!$B$27+Inputs!$B$31,IF(Skills!C12=2,90+Inputs!$B$28+Inputs!$B$31,IF(Skills!C12=3,120+Inputs!$B$29+Inputs!$B$31,MAX(0,(Inputs!$B$3-100)*3)+Inputs!$B$30+Inputs!$B$31)))</f>
        <v/>
      </c>
      <c r="E415">
        <f>INDEX(FactorTable!$B$2:$Y$301, MATCH(ROUND(MIN(300,MAX(1,D415)),0), FactorTable!$A$2:$A$301,0), Skills!L12+1)</f>
        <v/>
      </c>
      <c r="F415">
        <f>IF(Skills!M12=TRUE,(Skills!K12/10)*(E415/1000),Skills!K12/10)+Skills!N12</f>
        <v/>
      </c>
      <c r="G415">
        <f>Calc!G12</f>
        <v/>
      </c>
      <c r="H415">
        <f>Calc!H12</f>
        <v/>
      </c>
      <c r="I415">
        <f>IF(Skills!T12&lt;&gt;"",1+(Skills!T12/10)*($Z$3/1000)/100,1)</f>
        <v/>
      </c>
      <c r="J415" t="inlineStr"/>
      <c r="K415" t="inlineStr"/>
      <c r="L415" t="inlineStr"/>
      <c r="M415" t="inlineStr"/>
      <c r="N415" t="inlineStr"/>
      <c r="O415" t="n">
        <v>0</v>
      </c>
      <c r="P415">
        <f>IF(B441=0,0,O415/B441)</f>
        <v/>
      </c>
      <c r="Q415">
        <f>IFERROR(1/IF(Inputs!$B$40="pvp",15,MAX(0.1,Skills!D12-IF(Skills!E12=TRUE,Inputs!$B$34,0))),0)</f>
        <v/>
      </c>
      <c r="R415">
        <f>IF(AND(Inputs!$B$40&lt;&gt;"pvp",Inputs!$B$43&gt;0),(INT(Inputs!$B$43/IF(Inputs!$B$40="pvp",15,MAX(0.1,Skills!D12-IF(Skills!E12=TRUE,Inputs!$B$34,0))))+1),0)</f>
        <v/>
      </c>
    </row>
    <row r="416">
      <c r="A416">
        <f>Skills!A13</f>
        <v/>
      </c>
      <c r="B416">
        <f>Skills!B13</f>
        <v/>
      </c>
      <c r="C416">
        <f>Inputs!$B$3&gt;=107</f>
        <v/>
      </c>
      <c r="D416">
        <f>IF(Skills!C13=1,60+Inputs!$B$27+Inputs!$B$31,IF(Skills!C13=2,90+Inputs!$B$28+Inputs!$B$31,IF(Skills!C13=3,120+Inputs!$B$29+Inputs!$B$31,MAX(0,(Inputs!$B$3-100)*3)+Inputs!$B$30+Inputs!$B$31)))</f>
        <v/>
      </c>
      <c r="E416">
        <f>INDEX(FactorTable!$B$2:$Y$301, MATCH(ROUND(MIN(300,MAX(1,D416)),0), FactorTable!$A$2:$A$301,0), Skills!L13+1)</f>
        <v/>
      </c>
      <c r="F416">
        <f>IF(Skills!M13=TRUE,(Skills!K13/10)*(E416/1000),Skills!K13/10)+Skills!N13</f>
        <v/>
      </c>
      <c r="G416">
        <f>Calc!G13</f>
        <v/>
      </c>
      <c r="H416">
        <f>Calc!H13</f>
        <v/>
      </c>
      <c r="I416">
        <f>IF(Skills!T13&lt;&gt;"",1+(Skills!T13/10)*($Z$3/1000)/100,1)</f>
        <v/>
      </c>
      <c r="J416" t="inlineStr"/>
      <c r="K416" t="inlineStr"/>
      <c r="L416" t="inlineStr"/>
      <c r="M416" t="inlineStr"/>
      <c r="N416" t="inlineStr"/>
      <c r="O416" t="n">
        <v>0</v>
      </c>
      <c r="P416">
        <f>IF(B441=0,0,O416/B441)</f>
        <v/>
      </c>
      <c r="Q416">
        <f>IFERROR(1/IF(Inputs!$B$40="pvp",15,MAX(0.1,Skills!D13-IF(Skills!E13=TRUE,Inputs!$B$34,0))),0)</f>
        <v/>
      </c>
      <c r="R416">
        <f>IF(AND(Inputs!$B$40&lt;&gt;"pvp",Inputs!$B$43&gt;0),(INT(Inputs!$B$43/IF(Inputs!$B$40="pvp",15,MAX(0.1,Skills!D13-IF(Skills!E13=TRUE,Inputs!$B$34,0))))+1),0)</f>
        <v/>
      </c>
    </row>
    <row r="417">
      <c r="A417">
        <f>Skills!A14</f>
        <v/>
      </c>
      <c r="B417">
        <f>Skills!B14</f>
        <v/>
      </c>
      <c r="C417">
        <f>Inputs!$B$3&gt;=63</f>
        <v/>
      </c>
      <c r="D417">
        <f>IF(Skills!C14=1,60+Inputs!$B$27+Inputs!$B$31,IF(Skills!C14=2,90+Inputs!$B$28+Inputs!$B$31,IF(Skills!C14=3,120+Inputs!$B$29+Inputs!$B$31,MAX(0,(Inputs!$B$3-100)*3)+Inputs!$B$30+Inputs!$B$31)))</f>
        <v/>
      </c>
      <c r="E417">
        <f>INDEX(FactorTable!$B$2:$Y$301, MATCH(ROUND(MIN(300,MAX(1,D417)),0), FactorTable!$A$2:$A$301,0), Skills!L14+1)</f>
        <v/>
      </c>
      <c r="F417">
        <f>IF(Skills!M14=TRUE,(Skills!K14/10)*(E417/1000),Skills!K14/10)+Skills!N14</f>
        <v/>
      </c>
      <c r="G417">
        <f>Calc!G14</f>
        <v/>
      </c>
      <c r="H417">
        <f>Calc!H14</f>
        <v/>
      </c>
      <c r="I417">
        <f>IF(Skills!T14&lt;&gt;"",1+(Skills!T14/10)*($Z$3/1000)/100,1)</f>
        <v/>
      </c>
      <c r="J417">
        <f>(Inputs!$B$7*(1+Inputs!$B$8/100))*(F417/100)</f>
        <v/>
      </c>
      <c r="K417">
        <f>J417*(1+(((Inputs!$B$14+IF(Inputs!$B$3&gt;=35,0.10*(Inputs!$B$9*(1+Inputs!$B$10/100)),0))*(1+Inputs!$B$15/100))*0.01+Inputs!$B$16*0.0025)/100)*(1+(Inputs!$B$17+B434)/100)*(1+IF(Inputs!$B$40="pvp",0,(1-Summary!$B$48)*(Inputs!$B$22+Skills!O14+B432)+Summary!$B$48*(Inputs!$B$23+Skills!P14+B433))/100)*(1+Inputs!$B$18/100)*(5000/(6000+Inputs!$B$42*(1-Inputs!$B$21/100)))*(1+Inputs!$B$26/100)*(1+IF(C420=TRUE,F420,0)/100)*(1+IF(C422=TRUE,F422,0)/100)*(1+IF(Skills!A14="TRIUMPH_FEATHER",IF(C418=TRUE,F418,0),0)/100)*(1+IF(C429=TRUE,F429,0)/100)^5*(1+(IF(Skills!A14="BIG_BANG",Inputs!$B$19,Inputs!$B$20))/100)*(B431*I417)</f>
        <v/>
      </c>
      <c r="L417">
        <f>K417*(MIN((Inputs!$B$24+1)+(F424-Calc!F21),Inputs!$B$25)/100+Inputs!$B$25/100)/2</f>
        <v/>
      </c>
      <c r="M417">
        <f>L417*(1+(Inputs!$B$12+B435+(F427-Calc!F24))/100)</f>
        <v/>
      </c>
      <c r="N417">
        <f>L417*(1-MIN(Inputs!$B$11+((F426-Calc!F23)+(F425-Calc!F22)),100)/100)+M417*(MIN(Inputs!$B$11+((F426-Calc!F23)+(F425-Calc!F22)),100)/100)</f>
        <v/>
      </c>
      <c r="O417">
        <f>IF(C417,Skills!F14*N417*((IF(Inputs!$B$3&gt;=78,25,15)/100*B437*10)/(1+IF(Inputs!$B$3&gt;=78,25,15)/100*B437*10))*(Skills!I14/100*B437)/(1+Skills!G14*Skills!I14/100*B437)*IF(Inputs!$B$40="pvp",1,(1-Summary!$B$48)*(1)+Summary!$B$48*(MIN(Skills!Q14,Inputs!$B$39))),0)</f>
        <v/>
      </c>
      <c r="P417">
        <f>IF(B441=0,0,O417/B441)</f>
        <v/>
      </c>
      <c r="Q417">
        <f>IFERROR(1/IF(Inputs!$B$40="pvp",15,MAX(0.1,Skills!D14-IF(Skills!E14=TRUE,Inputs!$B$34,0))),0)</f>
        <v/>
      </c>
      <c r="R417" t="n">
        <v>0</v>
      </c>
    </row>
    <row r="418">
      <c r="A418">
        <f>Skills!A15</f>
        <v/>
      </c>
      <c r="B418">
        <f>Skills!B15</f>
        <v/>
      </c>
      <c r="C418">
        <f>Inputs!$B$3&gt;=100</f>
        <v/>
      </c>
      <c r="D418">
        <f>IF(Skills!C15=1,60+Inputs!$B$27+Inputs!$B$31,IF(Skills!C15=2,90+Inputs!$B$28+Inputs!$B$31,IF(Skills!C15=3,120+Inputs!$B$29+Inputs!$B$31,MAX(0,(Inputs!$B$3-100)*3)+Inputs!$B$30+Inputs!$B$31)))</f>
        <v/>
      </c>
      <c r="E418">
        <f>INDEX(FactorTable!$B$2:$Y$301, MATCH(ROUND(MIN(300,MAX(1,D418)),0), FactorTable!$A$2:$A$301,0), Skills!L15+1)</f>
        <v/>
      </c>
      <c r="F418">
        <f>IF(Skills!M15=TRUE,(Skills!K15/10)*(E418/1000),Skills!K15/10)+Skills!N15</f>
        <v/>
      </c>
      <c r="G418">
        <f>Calc!G15</f>
        <v/>
      </c>
      <c r="H418">
        <f>Calc!H15</f>
        <v/>
      </c>
      <c r="I418">
        <f>IF(Skills!T15&lt;&gt;"",1+(Skills!T15/10)*($Z$3/1000)/100,1)</f>
        <v/>
      </c>
      <c r="J418" t="inlineStr"/>
      <c r="K418" t="inlineStr"/>
      <c r="L418" t="inlineStr"/>
      <c r="M418" t="inlineStr"/>
      <c r="N418" t="inlineStr"/>
      <c r="O418" t="n">
        <v>0</v>
      </c>
      <c r="P418">
        <f>IF(B441=0,0,O418/B441)</f>
        <v/>
      </c>
      <c r="Q418">
        <f>IFERROR(1/IF(Inputs!$B$40="pvp",15,MAX(0.1,Skills!D15-IF(Skills!E15=TRUE,Inputs!$B$34,0))),0)</f>
        <v/>
      </c>
      <c r="R418" t="n">
        <v>0</v>
      </c>
    </row>
    <row r="419">
      <c r="A419">
        <f>Skills!A16</f>
        <v/>
      </c>
      <c r="B419">
        <f>Skills!B16</f>
        <v/>
      </c>
      <c r="C419">
        <f>Inputs!$B$3&gt;=49</f>
        <v/>
      </c>
      <c r="D419">
        <f>IF(Skills!C16=1,60+Inputs!$B$27+Inputs!$B$31,IF(Skills!C16=2,90+Inputs!$B$28+Inputs!$B$31,IF(Skills!C16=3,120+Inputs!$B$29+Inputs!$B$31,MAX(0,(Inputs!$B$3-100)*3)+Inputs!$B$30+Inputs!$B$31)))</f>
        <v/>
      </c>
      <c r="E419">
        <f>INDEX(FactorTable!$B$2:$Y$301, MATCH(ROUND(MIN(300,MAX(1,D419)),0), FactorTable!$A$2:$A$301,0), Skills!L16+1)</f>
        <v/>
      </c>
      <c r="F419">
        <f>IF(Skills!M16=TRUE,(Skills!K16/10)*(E419/1000),Skills!K16/10)+Skills!N16</f>
        <v/>
      </c>
      <c r="G419">
        <f>Calc!G16</f>
        <v/>
      </c>
      <c r="H419">
        <f>Calc!H16</f>
        <v/>
      </c>
      <c r="I419">
        <f>IF(Skills!T16&lt;&gt;"",1+(Skills!T16/10)*($Z$3/1000)/100,1)</f>
        <v/>
      </c>
      <c r="J419" t="inlineStr"/>
      <c r="K419" t="inlineStr"/>
      <c r="L419" t="inlineStr"/>
      <c r="M419" t="inlineStr"/>
      <c r="N419" t="inlineStr"/>
      <c r="O419" t="n">
        <v>0</v>
      </c>
      <c r="P419">
        <f>IF(B441=0,0,O419/B441)</f>
        <v/>
      </c>
      <c r="Q419">
        <f>IFERROR(1/IF(Inputs!$B$40="pvp",15,MAX(0.1,Skills!D16-IF(Skills!E16=TRUE,Inputs!$B$34,0))),0)</f>
        <v/>
      </c>
      <c r="R419" t="n">
        <v>0</v>
      </c>
    </row>
    <row r="420">
      <c r="A420">
        <f>Skills!A17</f>
        <v/>
      </c>
      <c r="B420">
        <f>Skills!B17</f>
        <v/>
      </c>
      <c r="C420">
        <f>Inputs!$B$3&gt;=75</f>
        <v/>
      </c>
      <c r="D420">
        <f>IF(Skills!C17=1,60+Inputs!$B$27+Inputs!$B$31,IF(Skills!C17=2,90+Inputs!$B$28+Inputs!$B$31,IF(Skills!C17=3,120+Inputs!$B$29+Inputs!$B$31,MAX(0,(Inputs!$B$3-100)*3)+Inputs!$B$30+Inputs!$B$31)))</f>
        <v/>
      </c>
      <c r="E420">
        <f>INDEX(FactorTable!$B$2:$Y$301, MATCH(ROUND(MIN(300,MAX(1,D420)),0), FactorTable!$A$2:$A$301,0), Skills!L17+1)</f>
        <v/>
      </c>
      <c r="F420">
        <f>IF(Skills!M17=TRUE,(Skills!K17/10)*(E420/1000),Skills!K17/10)+Skills!N17</f>
        <v/>
      </c>
      <c r="G420">
        <f>Calc!G17</f>
        <v/>
      </c>
      <c r="H420">
        <f>Calc!H17</f>
        <v/>
      </c>
      <c r="I420">
        <f>IF(Skills!T17&lt;&gt;"",1+(Skills!T17/10)*($Z$3/1000)/100,1)</f>
        <v/>
      </c>
      <c r="J420" t="inlineStr"/>
      <c r="K420" t="inlineStr"/>
      <c r="L420" t="inlineStr"/>
      <c r="M420" t="inlineStr"/>
      <c r="N420" t="inlineStr"/>
      <c r="O420" t="n">
        <v>0</v>
      </c>
      <c r="P420">
        <f>IF(B441=0,0,O420/B441)</f>
        <v/>
      </c>
      <c r="Q420">
        <f>IFERROR(1/IF(Inputs!$B$40="pvp",15,MAX(0.1,Skills!D17-IF(Skills!E17=TRUE,Inputs!$B$34,0))),0)</f>
        <v/>
      </c>
      <c r="R420" t="n">
        <v>0</v>
      </c>
    </row>
    <row r="421">
      <c r="A421">
        <f>Skills!A18</f>
        <v/>
      </c>
      <c r="B421">
        <f>Skills!B18</f>
        <v/>
      </c>
      <c r="C421">
        <f>Inputs!$B$3&gt;=110</f>
        <v/>
      </c>
      <c r="D421">
        <f>IF(Skills!C18=1,60+Inputs!$B$27+Inputs!$B$31,IF(Skills!C18=2,90+Inputs!$B$28+Inputs!$B$31,IF(Skills!C18=3,120+Inputs!$B$29+Inputs!$B$31,MAX(0,(Inputs!$B$3-100)*3)+Inputs!$B$30+Inputs!$B$31)))</f>
        <v/>
      </c>
      <c r="E421">
        <f>INDEX(FactorTable!$B$2:$Y$301, MATCH(ROUND(MIN(300,MAX(1,D421)),0), FactorTable!$A$2:$A$301,0), Skills!L18+1)</f>
        <v/>
      </c>
      <c r="F421">
        <f>(Skills!K18/10)*(E421/1000)*64/45+Skills!N18</f>
        <v/>
      </c>
      <c r="G421">
        <f>Calc!G18</f>
        <v/>
      </c>
      <c r="H421">
        <f>Calc!H18</f>
        <v/>
      </c>
      <c r="I421">
        <f>IF(Skills!T18&lt;&gt;"",1+(Skills!T18/10)*($Z$3/1000)/100,1)</f>
        <v/>
      </c>
      <c r="J421" t="inlineStr"/>
      <c r="K421" t="inlineStr"/>
      <c r="L421" t="inlineStr"/>
      <c r="M421" t="inlineStr"/>
      <c r="N421" t="inlineStr"/>
      <c r="O421" t="n">
        <v>0</v>
      </c>
      <c r="P421">
        <f>IF(B441=0,0,O421/B441)</f>
        <v/>
      </c>
      <c r="Q421">
        <f>IFERROR(1/IF(Inputs!$B$40="pvp",15,MAX(0.1,Skills!D18-IF(Skills!E18=TRUE,Inputs!$B$34,0))),0)</f>
        <v/>
      </c>
      <c r="R421">
        <f>IF(AND(Inputs!$B$40&lt;&gt;"pvp",Inputs!$B$43&gt;0),(INT(Inputs!$B$43/IF(Inputs!$B$40="pvp",15,MAX(0.1,Skills!D18-IF(Skills!E18=TRUE,Inputs!$B$34,0))))+1),0)</f>
        <v/>
      </c>
    </row>
    <row r="422">
      <c r="A422">
        <f>Skills!A19</f>
        <v/>
      </c>
      <c r="B422">
        <f>Skills!B19</f>
        <v/>
      </c>
      <c r="C422">
        <f>Inputs!$B$3&gt;=125</f>
        <v/>
      </c>
      <c r="D422">
        <f>IF(Skills!C19=1,60+Inputs!$B$27+Inputs!$B$31,IF(Skills!C19=2,90+Inputs!$B$28+Inputs!$B$31,IF(Skills!C19=3,120+Inputs!$B$29+Inputs!$B$31,MAX(0,(Inputs!$B$3-100)*3)+Inputs!$B$30+Inputs!$B$31)))</f>
        <v/>
      </c>
      <c r="E422">
        <f>INDEX(FactorTable!$B$2:$Y$301, MATCH(ROUND(MIN(300,MAX(1,D422)),0), FactorTable!$A$2:$A$301,0), Skills!L19+1)</f>
        <v/>
      </c>
      <c r="F422">
        <f>IF(Skills!M19=TRUE,(Skills!K19/10)*(E422/1000),Skills!K19/10)+Skills!N19</f>
        <v/>
      </c>
      <c r="G422">
        <f>Calc!G19</f>
        <v/>
      </c>
      <c r="H422">
        <f>Calc!H19</f>
        <v/>
      </c>
      <c r="I422">
        <f>IF(Skills!T19&lt;&gt;"",1+(Skills!T19/10)*($Z$3/1000)/100,1)</f>
        <v/>
      </c>
      <c r="J422" t="inlineStr"/>
      <c r="K422" t="inlineStr"/>
      <c r="L422" t="inlineStr"/>
      <c r="M422" t="inlineStr"/>
      <c r="N422" t="inlineStr"/>
      <c r="O422" t="n">
        <v>0</v>
      </c>
      <c r="P422">
        <f>IF(B441=0,0,O422/B441)</f>
        <v/>
      </c>
      <c r="Q422">
        <f>IFERROR(1/IF(Inputs!$B$40="pvp",15,MAX(0.1,Skills!D19-IF(Skills!E19=TRUE,Inputs!$B$34,0))),0)</f>
        <v/>
      </c>
      <c r="R422" t="n">
        <v>0</v>
      </c>
    </row>
    <row r="423">
      <c r="A423">
        <f>Skills!A20</f>
        <v/>
      </c>
      <c r="B423">
        <f>Skills!B20</f>
        <v/>
      </c>
      <c r="C423">
        <f>Inputs!$B$3&gt;=33</f>
        <v/>
      </c>
      <c r="D423">
        <f>IF(Skills!C20=1,60+Inputs!$B$27+Inputs!$B$31,IF(Skills!C20=2,90+Inputs!$B$28+Inputs!$B$31,IF(Skills!C20=3,120+Inputs!$B$29+Inputs!$B$31,MAX(0,(Inputs!$B$3-100)*3)+Inputs!$B$30+Inputs!$B$31)))</f>
        <v/>
      </c>
      <c r="E423">
        <f>INDEX(FactorTable!$B$2:$Y$301, MATCH(ROUND(MIN(300,MAX(1,D423)),0), FactorTable!$A$2:$A$301,0), Skills!L20+1)</f>
        <v/>
      </c>
      <c r="F423">
        <f>IF(Skills!M20=TRUE,(Skills!K20/10)*(E423/1000),Skills!K20/10)+Skills!N20</f>
        <v/>
      </c>
      <c r="G423">
        <f>Calc!G20</f>
        <v/>
      </c>
      <c r="H423">
        <f>Calc!H20</f>
        <v/>
      </c>
      <c r="I423">
        <f>IF(Skills!T20&lt;&gt;"",1+(Skills!T20/10)*($Z$3/1000)/100,1)</f>
        <v/>
      </c>
      <c r="J423" t="inlineStr"/>
      <c r="K423" t="inlineStr"/>
      <c r="L423" t="inlineStr"/>
      <c r="M423" t="inlineStr"/>
      <c r="N423" t="inlineStr"/>
      <c r="O423" t="n">
        <v>0</v>
      </c>
      <c r="P423">
        <f>IF(B441=0,0,O423/B441)</f>
        <v/>
      </c>
      <c r="Q423">
        <f>IFERROR(1/IF(Inputs!$B$40="pvp",15,MAX(0.1,Skills!D20-IF(Skills!E20=TRUE,Inputs!$B$34,0))),0)</f>
        <v/>
      </c>
      <c r="R423" t="n">
        <v>0</v>
      </c>
    </row>
    <row r="424">
      <c r="A424">
        <f>Skills!A21</f>
        <v/>
      </c>
      <c r="B424">
        <f>Skills!B21</f>
        <v/>
      </c>
      <c r="C424">
        <f>Inputs!$B$3&gt;=43</f>
        <v/>
      </c>
      <c r="D424">
        <f>IF(Skills!C21=1,60+Inputs!$B$27+Inputs!$B$31,IF(Skills!C21=2,90+Inputs!$B$28+Inputs!$B$31,IF(Skills!C21=3,120+Inputs!$B$29+Inputs!$B$31,MAX(0,(Inputs!$B$3-100)*3)+Inputs!$B$30+Inputs!$B$31)))</f>
        <v/>
      </c>
      <c r="E424">
        <f>INDEX(FactorTable!$B$2:$Y$301, MATCH(ROUND(MIN(300,MAX(1,D424)),0), FactorTable!$A$2:$A$301,0), Skills!L21+1)</f>
        <v/>
      </c>
      <c r="F424">
        <f>IF(Skills!M21=TRUE,(Skills!K21/10)*(E424/1000),Skills!K21/10)+Skills!N21</f>
        <v/>
      </c>
      <c r="G424">
        <f>Calc!G21</f>
        <v/>
      </c>
      <c r="H424">
        <f>Calc!H21</f>
        <v/>
      </c>
      <c r="I424">
        <f>IF(Skills!T21&lt;&gt;"",1+(Skills!T21/10)*($Z$3/1000)/100,1)</f>
        <v/>
      </c>
      <c r="J424" t="inlineStr"/>
      <c r="K424" t="inlineStr"/>
      <c r="L424" t="inlineStr"/>
      <c r="M424" t="inlineStr"/>
      <c r="N424" t="inlineStr"/>
      <c r="O424" t="n">
        <v>0</v>
      </c>
      <c r="P424">
        <f>IF(B441=0,0,O424/B441)</f>
        <v/>
      </c>
      <c r="Q424">
        <f>IFERROR(1/IF(Inputs!$B$40="pvp",15,MAX(0.1,Skills!D21-IF(Skills!E21=TRUE,Inputs!$B$34,0))),0)</f>
        <v/>
      </c>
      <c r="R424" t="n">
        <v>0</v>
      </c>
    </row>
    <row r="425">
      <c r="A425">
        <f>Skills!A22</f>
        <v/>
      </c>
      <c r="B425">
        <f>Skills!B22</f>
        <v/>
      </c>
      <c r="C425">
        <f>Inputs!$B$3&gt;=50</f>
        <v/>
      </c>
      <c r="D425">
        <f>IF(Skills!C22=1,60+Inputs!$B$27+Inputs!$B$31,IF(Skills!C22=2,90+Inputs!$B$28+Inputs!$B$31,IF(Skills!C22=3,120+Inputs!$B$29+Inputs!$B$31,MAX(0,(Inputs!$B$3-100)*3)+Inputs!$B$30+Inputs!$B$31)))</f>
        <v/>
      </c>
      <c r="E425">
        <f>INDEX(FactorTable!$B$2:$Y$301, MATCH(ROUND(MIN(300,MAX(1,D425)),0), FactorTable!$A$2:$A$301,0), Skills!L22+1)</f>
        <v/>
      </c>
      <c r="F425">
        <f>IF(Skills!M22=TRUE,(Skills!K22/10)*(E425/1000),Skills!K22/10)+Skills!N22</f>
        <v/>
      </c>
      <c r="G425">
        <f>Calc!G22</f>
        <v/>
      </c>
      <c r="H425">
        <f>Calc!H22</f>
        <v/>
      </c>
      <c r="I425">
        <f>IF(Skills!T22&lt;&gt;"",1+(Skills!T22/10)*($Z$3/1000)/100,1)</f>
        <v/>
      </c>
      <c r="J425" t="inlineStr"/>
      <c r="K425" t="inlineStr"/>
      <c r="L425" t="inlineStr"/>
      <c r="M425" t="inlineStr"/>
      <c r="N425" t="inlineStr"/>
      <c r="O425" t="n">
        <v>0</v>
      </c>
      <c r="P425">
        <f>IF(B441=0,0,O425/B441)</f>
        <v/>
      </c>
      <c r="Q425">
        <f>IFERROR(1/IF(Inputs!$B$40="pvp",15,MAX(0.1,Skills!D22-IF(Skills!E22=TRUE,Inputs!$B$34,0))),0)</f>
        <v/>
      </c>
      <c r="R425" t="n">
        <v>0</v>
      </c>
    </row>
    <row r="426">
      <c r="A426">
        <f>Skills!A23</f>
        <v/>
      </c>
      <c r="B426">
        <f>Skills!B23</f>
        <v/>
      </c>
      <c r="C426">
        <f>Inputs!$B$3&gt;=74</f>
        <v/>
      </c>
      <c r="D426">
        <f>IF(Skills!C23=1,60+Inputs!$B$27+Inputs!$B$31,IF(Skills!C23=2,90+Inputs!$B$28+Inputs!$B$31,IF(Skills!C23=3,120+Inputs!$B$29+Inputs!$B$31,MAX(0,(Inputs!$B$3-100)*3)+Inputs!$B$30+Inputs!$B$31)))</f>
        <v/>
      </c>
      <c r="E426">
        <f>INDEX(FactorTable!$B$2:$Y$301, MATCH(ROUND(MIN(300,MAX(1,D426)),0), FactorTable!$A$2:$A$301,0), Skills!L23+1)</f>
        <v/>
      </c>
      <c r="F426">
        <f>IF(Skills!M23=TRUE,(Skills!K23/10)*(E426/1000),Skills!K23/10)+Skills!N23</f>
        <v/>
      </c>
      <c r="G426">
        <f>Calc!G23</f>
        <v/>
      </c>
      <c r="H426">
        <f>Calc!H23</f>
        <v/>
      </c>
      <c r="I426">
        <f>IF(Skills!T23&lt;&gt;"",1+(Skills!T23/10)*($Z$3/1000)/100,1)</f>
        <v/>
      </c>
      <c r="J426" t="inlineStr"/>
      <c r="K426" t="inlineStr"/>
      <c r="L426" t="inlineStr"/>
      <c r="M426" t="inlineStr"/>
      <c r="N426" t="inlineStr"/>
      <c r="O426" t="n">
        <v>0</v>
      </c>
      <c r="P426">
        <f>IF(B441=0,0,O426/B441)</f>
        <v/>
      </c>
      <c r="Q426">
        <f>IFERROR(1/IF(Inputs!$B$40="pvp",15,MAX(0.1,Skills!D23-IF(Skills!E23=TRUE,Inputs!$B$34,0))),0)</f>
        <v/>
      </c>
      <c r="R426" t="n">
        <v>0</v>
      </c>
    </row>
    <row r="427">
      <c r="A427">
        <f>Skills!A24</f>
        <v/>
      </c>
      <c r="B427">
        <f>Skills!B24</f>
        <v/>
      </c>
      <c r="C427">
        <f>Inputs!$B$3&gt;=74</f>
        <v/>
      </c>
      <c r="D427">
        <f>IF(Skills!C24=1,60+Inputs!$B$27+Inputs!$B$31,IF(Skills!C24=2,90+Inputs!$B$28+Inputs!$B$31,IF(Skills!C24=3,120+Inputs!$B$29+Inputs!$B$31,MAX(0,(Inputs!$B$3-100)*3)+Inputs!$B$30+Inputs!$B$31)))</f>
        <v/>
      </c>
      <c r="E427">
        <f>INDEX(FactorTable!$B$2:$Y$301, MATCH(ROUND(MIN(300,MAX(1,D427)),0), FactorTable!$A$2:$A$301,0), Skills!L24+1)</f>
        <v/>
      </c>
      <c r="F427">
        <f>IF(Skills!M24=TRUE,(Skills!K24/10)*(E427/1000),Skills!K24/10)+Skills!N24</f>
        <v/>
      </c>
      <c r="G427">
        <f>Calc!G24</f>
        <v/>
      </c>
      <c r="H427">
        <f>Calc!H24</f>
        <v/>
      </c>
      <c r="I427">
        <f>IF(Skills!T24&lt;&gt;"",1+(Skills!T24/10)*($Z$3/1000)/100,1)</f>
        <v/>
      </c>
      <c r="J427" t="inlineStr"/>
      <c r="K427" t="inlineStr"/>
      <c r="L427" t="inlineStr"/>
      <c r="M427" t="inlineStr"/>
      <c r="N427" t="inlineStr"/>
      <c r="O427" t="n">
        <v>0</v>
      </c>
      <c r="P427">
        <f>IF(B441=0,0,O427/B441)</f>
        <v/>
      </c>
      <c r="Q427">
        <f>IFERROR(1/IF(Inputs!$B$40="pvp",15,MAX(0.1,Skills!D24-IF(Skills!E24=TRUE,Inputs!$B$34,0))),0)</f>
        <v/>
      </c>
      <c r="R427" t="n">
        <v>0</v>
      </c>
    </row>
    <row r="428">
      <c r="A428">
        <f>Skills!A25</f>
        <v/>
      </c>
      <c r="B428">
        <f>Skills!B25</f>
        <v/>
      </c>
      <c r="C428">
        <f>Inputs!$B$3&gt;=117</f>
        <v/>
      </c>
      <c r="D428">
        <f>IF(Skills!C25=1,60+Inputs!$B$27+Inputs!$B$31,IF(Skills!C25=2,90+Inputs!$B$28+Inputs!$B$31,IF(Skills!C25=3,120+Inputs!$B$29+Inputs!$B$31,MAX(0,(Inputs!$B$3-100)*3)+Inputs!$B$30+Inputs!$B$31)))</f>
        <v/>
      </c>
      <c r="E428">
        <f>INDEX(FactorTable!$B$2:$Y$301, MATCH(ROUND(MIN(300,MAX(1,D428)),0), FactorTable!$A$2:$A$301,0), Skills!L25+1)</f>
        <v/>
      </c>
      <c r="F428">
        <f>IF(Skills!M25=TRUE,(Skills!K25/10)*(E428/1000),Skills!K25/10)+Skills!N25</f>
        <v/>
      </c>
      <c r="G428">
        <f>Calc!G25</f>
        <v/>
      </c>
      <c r="H428">
        <f>Calc!H25</f>
        <v/>
      </c>
      <c r="I428">
        <f>IF(Skills!T25&lt;&gt;"",1+(Skills!T25/10)*($Z$3/1000)/100,1)</f>
        <v/>
      </c>
      <c r="J428" t="inlineStr"/>
      <c r="K428" t="inlineStr"/>
      <c r="L428" t="inlineStr"/>
      <c r="M428" t="inlineStr"/>
      <c r="N428" t="inlineStr"/>
      <c r="O428" t="n">
        <v>0</v>
      </c>
      <c r="P428">
        <f>IF(B441=0,0,O428/B441)</f>
        <v/>
      </c>
      <c r="Q428">
        <f>IFERROR(1/IF(Inputs!$B$40="pvp",15,MAX(0.1,Skills!D25-IF(Skills!E25=TRUE,Inputs!$B$34,0))),0)</f>
        <v/>
      </c>
      <c r="R428" t="n">
        <v>0</v>
      </c>
    </row>
    <row r="429">
      <c r="A429">
        <f>Skills!A26</f>
        <v/>
      </c>
      <c r="B429">
        <f>Skills!B26</f>
        <v/>
      </c>
      <c r="C429">
        <f>Inputs!$B$3&gt;=120</f>
        <v/>
      </c>
      <c r="D429">
        <f>IF(Skills!C26=1,60+Inputs!$B$27+Inputs!$B$31,IF(Skills!C26=2,90+Inputs!$B$28+Inputs!$B$31,IF(Skills!C26=3,120+Inputs!$B$29+Inputs!$B$31,MAX(0,(Inputs!$B$3-100)*3)+Inputs!$B$30+Inputs!$B$31)))</f>
        <v/>
      </c>
      <c r="E429">
        <f>INDEX(FactorTable!$B$2:$Y$301, MATCH(ROUND(MIN(300,MAX(1,D429)),0), FactorTable!$A$2:$A$301,0), Skills!L26+1)</f>
        <v/>
      </c>
      <c r="F429">
        <f>IF(Skills!M26=TRUE,(Skills!K26/10)*(E429/1000),Skills!K26/10)+Skills!N26</f>
        <v/>
      </c>
      <c r="G429">
        <f>Calc!G26</f>
        <v/>
      </c>
      <c r="H429">
        <f>Calc!H26</f>
        <v/>
      </c>
      <c r="I429">
        <f>IF(Skills!T26&lt;&gt;"",1+(Skills!T26/10)*($Z$3/1000)/100,1)</f>
        <v/>
      </c>
      <c r="J429" t="inlineStr"/>
      <c r="K429" t="inlineStr"/>
      <c r="L429" t="inlineStr"/>
      <c r="M429" t="inlineStr"/>
      <c r="N429" t="inlineStr"/>
      <c r="O429" t="n">
        <v>0</v>
      </c>
      <c r="P429">
        <f>IF(B441=0,0,O429/B441)</f>
        <v/>
      </c>
      <c r="Q429">
        <f>IFERROR(1/IF(Inputs!$B$40="pvp",15,MAX(0.1,Skills!D26-IF(Skills!E26=TRUE,Inputs!$B$34,0))),0)</f>
        <v/>
      </c>
      <c r="R429" t="n">
        <v>0</v>
      </c>
    </row>
    <row r="431">
      <c r="A431" t="inlineStr">
        <is>
          <t>Average Buff Multiplier</t>
        </is>
      </c>
      <c r="B431">
        <f>(1+(IF(C406=TRUE,F406*IF(AND(Inputs!$B$40&lt;&gt;"pvp",Inputs!$B$43&gt;0),(((R406-1)*(Skills!S3*(1+(Inputs!$B$36+IF(Inputs!$B$3&gt;=117,F428,0))/100))+MIN((Skills!S3*(1+(Inputs!$B$36+IF(Inputs!$B$3&gt;=117,F428,0))/100)),MAX(0,Inputs!$B$43-((R406-1)*Skills!D3))))/Inputs!$B$43),IF(Inputs!$B$40="pvp",MIN((Skills!S3*(1+(Inputs!$B$36+IF(Inputs!$B$3&gt;=117,F428,0))/100)),15)/15,(Skills!S3*(1+(Inputs!$B$36+IF(Inputs!$B$3&gt;=117,F428,0))/100))/Skills!D3)),0)+IF(C407=TRUE,F407*IF(AND(Inputs!$B$40&lt;&gt;"pvp",Inputs!$B$43&gt;0),(((R407-1)*(Skills!S4*(1+(Inputs!$B$36+IF(Inputs!$B$3&gt;=117,F428,0))/100))+MIN((Skills!S4*(1+(Inputs!$B$36+IF(Inputs!$B$3&gt;=117,F428,0))/100)),MAX(0,Inputs!$B$43-((R407-1)*Skills!D4))))/Inputs!$B$43),IF(Inputs!$B$40="pvp",MIN((Skills!S4*(1+(Inputs!$B$36+IF(Inputs!$B$3&gt;=117,F428,0))/100)),15)/15,(Skills!S4*(1+(Inputs!$B$36+IF(Inputs!$B$3&gt;=117,F428,0))/100))/Skills!D4)),0)+IF(C408=TRUE,F408*IF(AND(Inputs!$B$40&lt;&gt;"pvp",Inputs!$B$43&gt;0),(((R408-1)*(Skills!S5*(1+(Inputs!$B$36+IF(Inputs!$B$3&gt;=117,F428,0))/100))+MIN((Skills!S5*(1+(Inputs!$B$36+IF(Inputs!$B$3&gt;=117,F428,0))/100)),MAX(0,Inputs!$B$43-((R408-1)*Skills!D5))))/Inputs!$B$43),IF(Inputs!$B$40="pvp",MIN((Skills!S5*(1+(Inputs!$B$36+IF(Inputs!$B$3&gt;=117,F428,0))/100)),15)/15,(Skills!S5*(1+(Inputs!$B$36+IF(Inputs!$B$3&gt;=117,F428,0))/100))/Skills!D5)),0)+IF(C414=TRUE,F414*IF(AND(Inputs!$B$40&lt;&gt;"pvp",Inputs!$B$43&gt;0),(((R414-1)*(Skills!S11*(1+(Inputs!$B$36+IF(Inputs!$B$3&gt;=117,F428,0))/100))+MIN((Skills!S11*(1+(Inputs!$B$36+IF(Inputs!$B$3&gt;=117,F428,0))/100)),MAX(0,Inputs!$B$43-((R414-1)*Skills!D11))))/Inputs!$B$43),IF(Inputs!$B$40="pvp",MIN((Skills!S11*(1+(Inputs!$B$36+IF(Inputs!$B$3&gt;=117,F428,0))/100)),15)/15,(Skills!S11*(1+(Inputs!$B$36+IF(Inputs!$B$3&gt;=117,F428,0))/100))/Skills!D11)),0))/100)*IF(C416=TRUE,(1+F416*IF(AND(Inputs!$B$40&lt;&gt;"pvp",Inputs!$B$43&gt;0),(((R416-1)*(Skills!S13*(1+(Inputs!$B$36+IF(Inputs!$B$3&gt;=117,F428,0))/100))+MIN((Skills!S13*(1+(Inputs!$B$36+IF(Inputs!$B$3&gt;=117,F428,0))/100)),MAX(0,Inputs!$B$43-((R416-1)*Skills!D13))))/Inputs!$B$43),IF(Inputs!$B$40="pvp",MIN((Skills!S13*(1+(Inputs!$B$36+IF(Inputs!$B$3&gt;=117,F428,0))/100)),15)/15,(Skills!S13*(1+(Inputs!$B$36+IF(Inputs!$B$3&gt;=117,F428,0))/100))/Skills!D13))/100),1)*IF(C421=TRUE,(1+F421*IF(AND(Inputs!$B$40&lt;&gt;"pvp",Inputs!$B$43&gt;0),(((R421-1)*(Skills!S18*(1+(Inputs!$B$36+IF(Inputs!$B$3&gt;=117,F428,0))/100))+MIN((Skills!S18*(1+(Inputs!$B$36+IF(Inputs!$B$3&gt;=117,F428,0))/100)),MAX(0,Inputs!$B$43-((R421-1)*Skills!D18))))/Inputs!$B$43),IF(Inputs!$B$40="pvp",MIN((Skills!S18*(1+(Inputs!$B$36+IF(Inputs!$B$3&gt;=117,F428,0))/100)),15)/15,(Skills!S18*(1+(Inputs!$B$36+IF(Inputs!$B$3&gt;=117,F428,0))/100))/Skills!D18))/100),1)</f>
        <v/>
      </c>
    </row>
    <row r="432">
      <c r="A432" t="inlineStr">
        <is>
          <t>Monster Damage Taken Bonus % (Holy Fountain)</t>
        </is>
      </c>
      <c r="B432">
        <f>IF(Inputs!$B$3&gt;=68,20*IF(Inputs!$B$40="pvp",MIN((15*(1+(Inputs!$B$36+IF(Inputs!$B$3&gt;=117,F428,0))/100)),15)/15,(15*(1+(Inputs!$B$36+IF(Inputs!$B$3&gt;=117,F428,0))/100))/Skills!D10),0)</f>
        <v/>
      </c>
    </row>
    <row r="433">
      <c r="A433" t="inlineStr">
        <is>
          <t>Normal Monster Damage Bonus % (Holy Symbol)</t>
        </is>
      </c>
      <c r="B433">
        <f>IF(C415=TRUE,F415*IF(AND(Inputs!$B$40&lt;&gt;"pvp",Inputs!$B$43&gt;0),(((R415-1)*(Skills!S12*(1+(Inputs!$B$36+IF(Inputs!$B$3&gt;=117,F428,0))/100))+MIN((Skills!S12*(1+(Inputs!$B$36+IF(Inputs!$B$3&gt;=117,F428,0))/100)),MAX(0,Inputs!$B$43-((R415-1)*Skills!D12))))/Inputs!$B$43),IF(Inputs!$B$40="pvp",MIN((Skills!S12*(1+(Inputs!$B$36+IF(Inputs!$B$3&gt;=117,F428,0))/100)),15)/15,(Skills!S12*(1+(Inputs!$B$36+IF(Inputs!$B$3&gt;=117,F428,0))/100))/Skills!D12)),0)</f>
        <v/>
      </c>
    </row>
    <row r="434">
      <c r="A434" t="inlineStr">
        <is>
          <t>Damage % Bonus (Holy Symbol - Damage Boost)</t>
        </is>
      </c>
      <c r="B434">
        <f>Skills!O12</f>
        <v/>
      </c>
    </row>
    <row r="435">
      <c r="A435" t="inlineStr">
        <is>
          <t>Crit Damage % Bonus (Blood of the Divine)</t>
        </is>
      </c>
      <c r="B435">
        <f>4*IF(C422=TRUE,F422,0)</f>
        <v/>
      </c>
    </row>
    <row r="436">
      <c r="A436" t="inlineStr">
        <is>
          <t>Attack Speed Bonus %</t>
        </is>
      </c>
      <c r="B436">
        <f>IF(C419=TRUE,F419+(F423-Calc!F20),0)+IF(Inputs!$B$3&gt;=134,15,0)</f>
        <v/>
      </c>
    </row>
    <row r="437">
      <c r="A437" t="inlineStr">
        <is>
          <t>Actions Per Second</t>
        </is>
      </c>
      <c r="B437">
        <f>1+MIN(150,150*(1-(1-Inputs!$B$13/150)*(1-B436/150)))/100</f>
        <v/>
      </c>
    </row>
    <row r="438">
      <c r="A438" t="inlineStr">
        <is>
          <t>Skill + Buff Cast Rate</t>
        </is>
      </c>
      <c r="B438">
        <f>IF(AND(Inputs!$B$40&lt;&gt;"pvp",Inputs!$B$43&gt;0),SUMPRODUCT((Skills!E2:E26=TRUE)*(C405:C429=TRUE)*R405:R429)/Inputs!$B$43,SUMPRODUCT((Skills!E2:E26=TRUE)*(C405:C429=TRUE)*Q405:Q429))</f>
        <v/>
      </c>
    </row>
    <row r="439">
      <c r="A439" t="inlineStr">
        <is>
          <t>Big Bang Casts Per Second</t>
        </is>
      </c>
      <c r="B439">
        <f>MAX(0,B437-B438)</f>
        <v/>
      </c>
    </row>
    <row r="441">
      <c r="A441" s="5" t="inlineStr">
        <is>
          <t>TOTAL DPS</t>
        </is>
      </c>
      <c r="B441" s="5">
        <f>SUM(O405:O429)</f>
        <v/>
      </c>
    </row>
    <row r="444">
      <c r="A444" s="5" t="inlineStr">
        <is>
          <t>Stat: MAX_DAMAGE %</t>
        </is>
      </c>
    </row>
    <row r="445">
      <c r="A445" s="9" t="inlineStr">
        <is>
          <t>Key</t>
        </is>
      </c>
      <c r="B445" s="9" t="inlineStr">
        <is>
          <t>Name</t>
        </is>
      </c>
      <c r="C445" s="9" t="inlineStr">
        <is>
          <t>Unlocked</t>
        </is>
      </c>
      <c r="D445" s="9" t="inlineStr">
        <is>
          <t>InputLevel</t>
        </is>
      </c>
      <c r="E445" s="9" t="inlineStr">
        <is>
          <t>Factor</t>
        </is>
      </c>
      <c r="F445" s="9" t="inlineStr">
        <is>
          <t>CoefficientPercent</t>
        </is>
      </c>
      <c r="G445" s="9" t="inlineStr">
        <is>
          <t>EffectiveHits</t>
        </is>
      </c>
      <c r="H445" s="9" t="inlineStr">
        <is>
          <t>ProcProbability</t>
        </is>
      </c>
      <c r="I445" s="9" t="inlineStr">
        <is>
          <t>MapleHeroMultiplier</t>
        </is>
      </c>
      <c r="J445" s="9" t="inlineStr">
        <is>
          <t>BaseDamage</t>
        </is>
      </c>
      <c r="K445" s="9" t="inlineStr">
        <is>
          <t>BaseHitDamage</t>
        </is>
      </c>
      <c r="L445" s="9" t="inlineStr">
        <is>
          <t>NonCritAvg</t>
        </is>
      </c>
      <c r="M445" s="9" t="inlineStr">
        <is>
          <t>CritAvg</t>
        </is>
      </c>
      <c r="N445" s="9" t="inlineStr">
        <is>
          <t>ExpectedDamage(perHit)</t>
        </is>
      </c>
      <c r="O445" s="9" t="inlineStr">
        <is>
          <t>DPS</t>
        </is>
      </c>
      <c r="P445" s="9" t="inlineStr">
        <is>
          <t>% of Total</t>
        </is>
      </c>
      <c r="R445" t="inlineStr">
        <is>
          <t>helpers</t>
        </is>
      </c>
    </row>
    <row r="446">
      <c r="A446">
        <f>Skills!A2</f>
        <v/>
      </c>
      <c r="B446">
        <f>Skills!B2</f>
        <v/>
      </c>
      <c r="C446">
        <f>Inputs!$B$3&gt;=100</f>
        <v/>
      </c>
      <c r="D446" t="inlineStr"/>
      <c r="E446" t="inlineStr"/>
      <c r="F446">
        <f>T448+Skills!N2</f>
        <v/>
      </c>
      <c r="G446">
        <f>Calc!G2</f>
        <v/>
      </c>
      <c r="H446">
        <f>Calc!H2</f>
        <v/>
      </c>
      <c r="I446">
        <f>IF(Skills!T2&lt;&gt;"",1+(Skills!T2/10)*($Z$3/1000)/100,1)</f>
        <v/>
      </c>
      <c r="J446">
        <f>(Inputs!$B$7*(1+Inputs!$B$8/100))*(F446/100)</f>
        <v/>
      </c>
      <c r="K446">
        <f>J446*(1+(((Inputs!$B$14+IF(Inputs!$B$3&gt;=35,0.10*(Inputs!$B$9*(1+Inputs!$B$10/100)),0))*(1+Inputs!$B$15/100))*0.01+Inputs!$B$16*0.0025)/100)*(1+(Inputs!$B$17+B475)/100)*(1+IF(Inputs!$B$40="pvp",0,(1-Summary!$B$48)*(Inputs!$B$22+Skills!O2+B473)+Summary!$B$48*(Inputs!$B$23+Skills!P2+B474))/100)*(1+Inputs!$B$18/100)*(5000/(6000+Inputs!$B$42*(1-Inputs!$B$21/100)))*(1+Inputs!$B$26/100)*(1+IF(C461=TRUE,F461,0)/100)*(1+IF(C463=TRUE,F463,0)/100)*(1+IF(Skills!A2="TRIUMPH_FEATHER",IF(C459=TRUE,F459,0),0)/100)*(1+IF(C470=TRUE,F470,0)/100)^5*(1+(IF(Skills!A2="BIG_BANG",Inputs!$B$19,Inputs!$B$20))/100)*(B472*I446)</f>
        <v/>
      </c>
      <c r="L446">
        <f>K446*(MIN(Inputs!$B$24+(F465-Calc!F21),(Inputs!$B$25+1))/100+(Inputs!$B$25+1)/100)/2</f>
        <v/>
      </c>
      <c r="M446">
        <f>L446*(1+(Inputs!$B$12+B476+(F468-Calc!F24))/100)</f>
        <v/>
      </c>
      <c r="N446">
        <f>L446*(1-MIN(Inputs!$B$11+((F467-Calc!F23)+(F466-Calc!F22)),100)/100)+M446*(MIN(Inputs!$B$11+((F467-Calc!F23)+(F466-Calc!F22)),100)/100)</f>
        <v/>
      </c>
      <c r="O446">
        <f>IF(C446,Skills!F2*N446*B480*IF(Inputs!$B$40="pvp",1,(1-Summary!$B$48)*(1)+Summary!$B$48*(MIN((6+Inputs!$B$35),Inputs!$B$39))),0)</f>
        <v/>
      </c>
      <c r="P446">
        <f>IF(B482=0,0,O446/B482)</f>
        <v/>
      </c>
      <c r="Q446">
        <f>IFERROR(1/IF(Inputs!$B$40="pvp",15,MAX(0.1,Skills!D2-IF(Skills!E2=TRUE,Inputs!$B$34,0))),0)</f>
        <v/>
      </c>
      <c r="R446" t="n">
        <v>0</v>
      </c>
      <c r="T446">
        <f>MAX(0,(Inputs!$B$3-100)*3)+Inputs!$B$30+Inputs!$B$31</f>
        <v/>
      </c>
    </row>
    <row r="447">
      <c r="A447">
        <f>Skills!A3</f>
        <v/>
      </c>
      <c r="B447">
        <f>Skills!B3</f>
        <v/>
      </c>
      <c r="C447">
        <f>Inputs!$B$3&gt;=15</f>
        <v/>
      </c>
      <c r="D447">
        <f>IF(Skills!C3=1,60+Inputs!$B$27+Inputs!$B$31,IF(Skills!C3=2,90+Inputs!$B$28+Inputs!$B$31,IF(Skills!C3=3,120+Inputs!$B$29+Inputs!$B$31,MAX(0,(Inputs!$B$3-100)*3)+Inputs!$B$30+Inputs!$B$31)))</f>
        <v/>
      </c>
      <c r="E447">
        <f>INDEX(FactorTable!$B$2:$Y$301, MATCH(ROUND(MIN(300,MAX(1,D447)),0), FactorTable!$A$2:$A$301,0), Skills!L3+1)</f>
        <v/>
      </c>
      <c r="F447">
        <f>IF(Skills!M3=TRUE,(Skills!K3/10)*(E447/1000),Skills!K3/10)+Skills!N3</f>
        <v/>
      </c>
      <c r="G447">
        <f>Calc!G3</f>
        <v/>
      </c>
      <c r="H447">
        <f>Calc!H3</f>
        <v/>
      </c>
      <c r="I447">
        <f>IF(Skills!T3&lt;&gt;"",1+(Skills!T3/10)*($Z$3/1000)/100,1)</f>
        <v/>
      </c>
      <c r="J447" t="inlineStr"/>
      <c r="K447" t="inlineStr"/>
      <c r="L447" t="inlineStr"/>
      <c r="M447" t="inlineStr"/>
      <c r="N447" t="inlineStr"/>
      <c r="O447" t="n">
        <v>0</v>
      </c>
      <c r="P447">
        <f>IF(B482=0,0,O447/B482)</f>
        <v/>
      </c>
      <c r="Q447">
        <f>IFERROR(1/IF(Inputs!$B$40="pvp",15,MAX(0.1,Skills!D3-IF(Skills!E3=TRUE,Inputs!$B$34,0))),0)</f>
        <v/>
      </c>
      <c r="R447">
        <f>IF(AND(Inputs!$B$40&lt;&gt;"pvp",Inputs!$B$43&gt;0),(INT(Inputs!$B$43/IF(Inputs!$B$40="pvp",15,MAX(0.1,Skills!D3-IF(Skills!E3=TRUE,Inputs!$B$34,0))))+1),0)</f>
        <v/>
      </c>
      <c r="T447">
        <f>INDEX(FactorTable!$B$2:$Y$301, MATCH(ROUND(MIN(300,MAX(1,T446)),0), FactorTable!$A$2:$A$301,0), 22)</f>
        <v/>
      </c>
    </row>
    <row r="448">
      <c r="A448">
        <f>Skills!A4</f>
        <v/>
      </c>
      <c r="B448">
        <f>Skills!B4</f>
        <v/>
      </c>
      <c r="C448">
        <f>Inputs!$B$3&gt;=38</f>
        <v/>
      </c>
      <c r="D448">
        <f>IF(Skills!C4=1,60+Inputs!$B$27+Inputs!$B$31,IF(Skills!C4=2,90+Inputs!$B$28+Inputs!$B$31,IF(Skills!C4=3,120+Inputs!$B$29+Inputs!$B$31,MAX(0,(Inputs!$B$3-100)*3)+Inputs!$B$30+Inputs!$B$31)))</f>
        <v/>
      </c>
      <c r="E448">
        <f>INDEX(FactorTable!$B$2:$Y$301, MATCH(ROUND(MIN(300,MAX(1,D448)),0), FactorTable!$A$2:$A$301,0), Skills!L4+1)</f>
        <v/>
      </c>
      <c r="F448">
        <f>IF(Skills!M4=TRUE,(Skills!K4/10)*(E448/1000),Skills!K4/10)+Skills!N4</f>
        <v/>
      </c>
      <c r="G448">
        <f>Calc!G4</f>
        <v/>
      </c>
      <c r="H448">
        <f>Calc!H4</f>
        <v/>
      </c>
      <c r="I448">
        <f>IF(Skills!T4&lt;&gt;"",1+(Skills!T4/10)*($Z$3/1000)/100,1)</f>
        <v/>
      </c>
      <c r="J448" t="inlineStr"/>
      <c r="K448" t="inlineStr"/>
      <c r="L448" t="inlineStr"/>
      <c r="M448" t="inlineStr"/>
      <c r="N448" t="inlineStr"/>
      <c r="O448" t="n">
        <v>0</v>
      </c>
      <c r="P448">
        <f>IF(B482=0,0,O448/B482)</f>
        <v/>
      </c>
      <c r="Q448">
        <f>IFERROR(1/IF(Inputs!$B$40="pvp",15,MAX(0.1,Skills!D4-IF(Skills!E4=TRUE,Inputs!$B$34,0))),0)</f>
        <v/>
      </c>
      <c r="R448">
        <f>IF(AND(Inputs!$B$40&lt;&gt;"pvp",Inputs!$B$43&gt;0),(INT(Inputs!$B$43/IF(Inputs!$B$40="pvp",15,MAX(0.1,Skills!D4-IF(Skills!E4=TRUE,Inputs!$B$34,0))))+1),0)</f>
        <v/>
      </c>
      <c r="T448">
        <f>290*T447/1000</f>
        <v/>
      </c>
    </row>
    <row r="449">
      <c r="A449">
        <f>Skills!A5</f>
        <v/>
      </c>
      <c r="B449">
        <f>Skills!B5</f>
        <v/>
      </c>
      <c r="C449">
        <f>Inputs!$B$3&gt;=40</f>
        <v/>
      </c>
      <c r="D449">
        <f>IF(Skills!C5=1,60+Inputs!$B$27+Inputs!$B$31,IF(Skills!C5=2,90+Inputs!$B$28+Inputs!$B$31,IF(Skills!C5=3,120+Inputs!$B$29+Inputs!$B$31,MAX(0,(Inputs!$B$3-100)*3)+Inputs!$B$30+Inputs!$B$31)))</f>
        <v/>
      </c>
      <c r="E449">
        <f>INDEX(FactorTable!$B$2:$Y$301, MATCH(ROUND(MIN(300,MAX(1,D449)),0), FactorTable!$A$2:$A$301,0), Skills!L5+1)</f>
        <v/>
      </c>
      <c r="F449">
        <f>IF(Skills!M5=TRUE,(Skills!K5/10)*(E449/1000),Skills!K5/10)+Skills!N5</f>
        <v/>
      </c>
      <c r="G449">
        <f>Calc!G5</f>
        <v/>
      </c>
      <c r="H449">
        <f>Calc!H5</f>
        <v/>
      </c>
      <c r="I449">
        <f>IF(Skills!T5&lt;&gt;"",1+(Skills!T5/10)*($Z$3/1000)/100,1)</f>
        <v/>
      </c>
      <c r="J449" t="inlineStr"/>
      <c r="K449" t="inlineStr"/>
      <c r="L449" t="inlineStr"/>
      <c r="M449" t="inlineStr"/>
      <c r="N449" t="inlineStr"/>
      <c r="O449" t="n">
        <v>0</v>
      </c>
      <c r="P449">
        <f>IF(B482=0,0,O449/B482)</f>
        <v/>
      </c>
      <c r="Q449">
        <f>IFERROR(1/IF(Inputs!$B$40="pvp",15,MAX(0.1,Skills!D5-IF(Skills!E5=TRUE,Inputs!$B$34,0))),0)</f>
        <v/>
      </c>
      <c r="R449">
        <f>IF(AND(Inputs!$B$40&lt;&gt;"pvp",Inputs!$B$43&gt;0),(INT(Inputs!$B$43/IF(Inputs!$B$40="pvp",15,MAX(0.1,Skills!D5-IF(Skills!E5=TRUE,Inputs!$B$34,0))))+1),0)</f>
        <v/>
      </c>
    </row>
    <row r="450">
      <c r="A450">
        <f>Skills!A6</f>
        <v/>
      </c>
      <c r="B450">
        <f>Skills!B6</f>
        <v/>
      </c>
      <c r="C450">
        <f>Inputs!$B$3&gt;=103</f>
        <v/>
      </c>
      <c r="D450">
        <f>IF(Skills!C6=1,60+Inputs!$B$27+Inputs!$B$31,IF(Skills!C6=2,90+Inputs!$B$28+Inputs!$B$31,IF(Skills!C6=3,120+Inputs!$B$29+Inputs!$B$31,MAX(0,(Inputs!$B$3-100)*3)+Inputs!$B$30+Inputs!$B$31)))</f>
        <v/>
      </c>
      <c r="E450">
        <f>INDEX(FactorTable!$B$2:$Y$301, MATCH(ROUND(MIN(300,MAX(1,D450)),0), FactorTable!$A$2:$A$301,0), Skills!L6+1)</f>
        <v/>
      </c>
      <c r="F450">
        <f>IF(Skills!M6=TRUE,(Skills!K6/10)*(E450/1000),Skills!K6/10)+Skills!N6</f>
        <v/>
      </c>
      <c r="G450">
        <f>Calc!G6</f>
        <v/>
      </c>
      <c r="H450">
        <f>Calc!H6</f>
        <v/>
      </c>
      <c r="I450">
        <f>IF(Skills!T6&lt;&gt;"",1+(Skills!T6/10)*($Z$3/1000)/100,1)</f>
        <v/>
      </c>
      <c r="J450">
        <f>(Inputs!$B$7*(1+Inputs!$B$8/100))*(F450/100)</f>
        <v/>
      </c>
      <c r="K450">
        <f>J450*(1+(((Inputs!$B$14+IF(Inputs!$B$3&gt;=35,0.10*(Inputs!$B$9*(1+Inputs!$B$10/100)),0))*(1+Inputs!$B$15/100))*0.01+Inputs!$B$16*0.0025)/100)*(1+(Inputs!$B$17+B475)/100)*(1+IF(Inputs!$B$40="pvp",0,(1-Summary!$B$48)*(Inputs!$B$22+Skills!O6+B473)+Summary!$B$48*(Inputs!$B$23+Skills!P6+B474))/100)*(1+Inputs!$B$18/100)*(5000/(6000+Inputs!$B$42*(1-Inputs!$B$21/100)))*(1+Inputs!$B$26/100)*(1+IF(C461=TRUE,F461,0)/100)*(1+IF(C463=TRUE,F463,0)/100)*(1+IF(Skills!A6="TRIUMPH_FEATHER",IF(C459=TRUE,F459,0),0)/100)*(1+IF(C470=TRUE,F470,0)/100)^5*(1+(IF(Skills!A6="BIG_BANG",Inputs!$B$19,Inputs!$B$20))/100)*(B472*I450)</f>
        <v/>
      </c>
      <c r="L450">
        <f>K450*(MIN(Inputs!$B$24+(F465-Calc!F21),(Inputs!$B$25+1))/100+(Inputs!$B$25+1)/100)/2</f>
        <v/>
      </c>
      <c r="M450">
        <f>L450*(1+(Inputs!$B$12+B476+(F468-Calc!F24))/100)</f>
        <v/>
      </c>
      <c r="N450">
        <f>L450*(1-MIN(Inputs!$B$11+((F467-Calc!F23)+(F466-Calc!F22)),100)/100)+M450*(MIN(Inputs!$B$11+((F467-Calc!F23)+(F466-Calc!F22)),100)/100)</f>
        <v/>
      </c>
      <c r="O450">
        <f>IF(C450,H450*N450*IF(AND(Inputs!$B$40&lt;&gt;"pvp",Inputs!$B$43&gt;0),((Skills!F6*((R450-1)*IF(Skills!G6&gt;0,Skills!H6/Skills!G6,1)+IF(Skills!G6&gt;0,MIN(Skills!H6,MAX(0,Inputs!$B$43-((R450-1)*IF(Inputs!$B$40="pvp",15,MAX(0.1,Skills!D6-IF(Skills!E6=TRUE,Inputs!$B$34,0))))))/Skills!G6,1)))/Inputs!$B$43),G450*Q450)*IF(Inputs!$B$40="pvp",1,(1-Summary!$B$48)*(1)+Summary!$B$48*(MIN(Skills!Q6,Inputs!$B$39))),0)</f>
        <v/>
      </c>
      <c r="P450">
        <f>IF(B482=0,0,O450/B482)</f>
        <v/>
      </c>
      <c r="Q450">
        <f>IFERROR(1/IF(Inputs!$B$40="pvp",15,MAX(0.1,Skills!D6-IF(Skills!E6=TRUE,Inputs!$B$34,0))),0)</f>
        <v/>
      </c>
      <c r="R450">
        <f>IF(AND(Inputs!$B$40&lt;&gt;"pvp",Inputs!$B$43&gt;0),(INT(Inputs!$B$43/IF(Inputs!$B$40="pvp",15,MAX(0.1,Skills!D6-IF(Skills!E6=TRUE,Inputs!$B$34,0))))+1),0)</f>
        <v/>
      </c>
    </row>
    <row r="451">
      <c r="A451">
        <f>Skills!A7</f>
        <v/>
      </c>
      <c r="B451">
        <f>Skills!B7</f>
        <v/>
      </c>
      <c r="C451">
        <f>Inputs!$B$3&gt;=122</f>
        <v/>
      </c>
      <c r="D451">
        <f>IF(Skills!C7=1,60+Inputs!$B$27+Inputs!$B$31,IF(Skills!C7=2,90+Inputs!$B$28+Inputs!$B$31,IF(Skills!C7=3,120+Inputs!$B$29+Inputs!$B$31,MAX(0,(Inputs!$B$3-100)*3)+Inputs!$B$30+Inputs!$B$31)))</f>
        <v/>
      </c>
      <c r="E451">
        <f>INDEX(FactorTable!$B$2:$Y$301, MATCH(ROUND(MIN(300,MAX(1,D451)),0), FactorTable!$A$2:$A$301,0), Skills!L7+1)</f>
        <v/>
      </c>
      <c r="F451">
        <f>IF(Skills!M7=TRUE,(Skills!K7/10)*(E451/1000),Skills!K7/10)+Skills!N7</f>
        <v/>
      </c>
      <c r="G451">
        <f>Calc!G7</f>
        <v/>
      </c>
      <c r="H451">
        <f>Calc!H7</f>
        <v/>
      </c>
      <c r="I451">
        <f>IF(Skills!T7&lt;&gt;"",1+(Skills!T7/10)*($Z$3/1000)/100,1)</f>
        <v/>
      </c>
      <c r="J451">
        <f>(Inputs!$B$7*(1+Inputs!$B$8/100))*(F451/100)</f>
        <v/>
      </c>
      <c r="K451">
        <f>J451*(1+(((Inputs!$B$14+IF(Inputs!$B$3&gt;=35,0.10*(Inputs!$B$9*(1+Inputs!$B$10/100)),0))*(1+Inputs!$B$15/100))*0.01+Inputs!$B$16*0.0025)/100)*(1+(Inputs!$B$17+B475)/100)*(1+IF(Inputs!$B$40="pvp",0,(1-Summary!$B$48)*(Inputs!$B$22+Skills!O7+B473)+Summary!$B$48*(Inputs!$B$23+Skills!P7+B474))/100)*(1+Inputs!$B$18/100)*(5000/(6000+Inputs!$B$42*(1-Inputs!$B$21/100)))*(1+Inputs!$B$26/100)*(1+IF(C461=TRUE,F461,0)/100)*(1+IF(C463=TRUE,F463,0)/100)*(1+IF(Skills!A7="TRIUMPH_FEATHER",IF(C459=TRUE,F459,0),0)/100)*(1+IF(C470=TRUE,F470,0)/100)^5*(1+(IF(Skills!A7="BIG_BANG",Inputs!$B$19,Inputs!$B$20))/100)*(B472*I451)</f>
        <v/>
      </c>
      <c r="L451">
        <f>K451*(MIN(Inputs!$B$24+(F465-Calc!F21),(Inputs!$B$25+1))/100+(Inputs!$B$25+1)/100)/2</f>
        <v/>
      </c>
      <c r="M451">
        <f>L451*(1+(Inputs!$B$12+B476+(F468-Calc!F24))/100)</f>
        <v/>
      </c>
      <c r="N451">
        <f>L451*(1-MIN(Inputs!$B$11+((F467-Calc!F23)+(F466-Calc!F22)),100)/100)+M451*(MIN(Inputs!$B$11+((F467-Calc!F23)+(F466-Calc!F22)),100)/100)</f>
        <v/>
      </c>
      <c r="O451">
        <f>IF(C451,H451*N451*IF(AND(Inputs!$B$40&lt;&gt;"pvp",Inputs!$B$43&gt;0),((Skills!F7*((R451-1)*IF(Skills!G7&gt;0,Skills!H7/Skills!G7,1)+IF(Skills!G7&gt;0,MIN(Skills!H7,MAX(0,Inputs!$B$43-((R451-1)*IF(Inputs!$B$40="pvp",15,MAX(0.1,Skills!D7-IF(Skills!E6=TRUE,Inputs!$B$34,0))))))/Skills!G7,1)))/Inputs!$B$43),G451*Q451)*(1-Summary!$B$48),0)</f>
        <v/>
      </c>
      <c r="P451">
        <f>IF(B482=0,0,O451/B482)</f>
        <v/>
      </c>
      <c r="Q451">
        <f>IFERROR(1/IF(Inputs!$B$40="pvp",15,MAX(0.1,Skills!D7-IF(Skills!E6=TRUE,Inputs!$B$34,0))),0)</f>
        <v/>
      </c>
      <c r="R451">
        <f>IF(AND(Inputs!$B$40&lt;&gt;"pvp",Inputs!$B$43&gt;0),(INT(Inputs!$B$43/IF(Inputs!$B$40="pvp",15,MAX(0.1,Skills!D7-IF(Skills!E6=TRUE,Inputs!$B$34,0))))+1),0)</f>
        <v/>
      </c>
    </row>
    <row r="452">
      <c r="A452">
        <f>Skills!A8</f>
        <v/>
      </c>
      <c r="B452">
        <f>Skills!B8</f>
        <v/>
      </c>
      <c r="C452">
        <f>Inputs!$B$3&gt;=105</f>
        <v/>
      </c>
      <c r="D452">
        <f>IF(Skills!C8=1,60+Inputs!$B$27+Inputs!$B$31,IF(Skills!C8=2,90+Inputs!$B$28+Inputs!$B$31,IF(Skills!C8=3,120+Inputs!$B$29+Inputs!$B$31,MAX(0,(Inputs!$B$3-100)*3)+Inputs!$B$30+Inputs!$B$31)))</f>
        <v/>
      </c>
      <c r="E452">
        <f>INDEX(FactorTable!$B$2:$Y$301, MATCH(ROUND(MIN(300,MAX(1,D452)),0), FactorTable!$A$2:$A$301,0), Skills!L8+1)</f>
        <v/>
      </c>
      <c r="F452">
        <f>IF(Skills!M8=TRUE,(Skills!K8/10)*(E452/1000),Skills!K8/10)+Skills!N8</f>
        <v/>
      </c>
      <c r="G452">
        <f>Calc!G8</f>
        <v/>
      </c>
      <c r="H452">
        <f>Calc!H8</f>
        <v/>
      </c>
      <c r="I452">
        <f>IF(Skills!T8&lt;&gt;"",1+(Skills!T8/10)*($Z$3/1000)/100,1)</f>
        <v/>
      </c>
      <c r="J452">
        <f>(Inputs!$B$7*(1+Inputs!$B$8/100))*(F452/100)</f>
        <v/>
      </c>
      <c r="K452">
        <f>J452*(1+(((Inputs!$B$14+IF(Inputs!$B$3&gt;=35,0.10*(Inputs!$B$9*(1+Inputs!$B$10/100)),0))*(1+Inputs!$B$15/100))*0.01+Inputs!$B$16*0.0025)/100)*(1+(Inputs!$B$17+B475)/100)*(1+IF(Inputs!$B$40="pvp",0,(1-Summary!$B$48)*(Inputs!$B$22+Skills!O8+B473)+Summary!$B$48*(Inputs!$B$23+Skills!P8+B474))/100)*(1+Inputs!$B$18/100)*(5000/(6000+Inputs!$B$42*(1-Inputs!$B$21/100)))*(1+Inputs!$B$26/100)*(1+IF(C461=TRUE,F461,0)/100)*(1+IF(C463=TRUE,F463,0)/100)*(1+IF(Skills!A8="TRIUMPH_FEATHER",IF(C459=TRUE,F459,0),0)/100)*(1+IF(C470=TRUE,F470,0)/100)^5*(1+(IF(Skills!A8="BIG_BANG",Inputs!$B$19,Inputs!$B$20))/100)*(B472*I452)</f>
        <v/>
      </c>
      <c r="L452">
        <f>K452*(MIN(Inputs!$B$24+(F465-Calc!F21),(Inputs!$B$25+1))/100+(Inputs!$B$25+1)/100)/2</f>
        <v/>
      </c>
      <c r="M452">
        <f>L452*(1+(Inputs!$B$12+B476+(F468-Calc!F24))/100)</f>
        <v/>
      </c>
      <c r="N452">
        <f>L452*(1-MIN(Inputs!$B$11+((F467-Calc!F23)+(F466-Calc!F22)),100)/100)+M452*(MIN(Inputs!$B$11+((F467-Calc!F23)+(F466-Calc!F22)),100)/100)</f>
        <v/>
      </c>
      <c r="O452">
        <f>IF(C452,H452*N452*IF(AND(Inputs!$B$40&lt;&gt;"pvp",Inputs!$B$43&gt;0),((Skills!F8*((R452-1)*IF(Skills!G8&gt;0,Skills!H8/Skills!G8,1)+IF(Skills!G8&gt;0,MIN(Skills!H8,MAX(0,Inputs!$B$43-((R452-1)*IF(Inputs!$B$40="pvp",15,MAX(0.1,Skills!D8-IF(Skills!E8=TRUE,Inputs!$B$34,0))))))/Skills!G8,1)))/Inputs!$B$43),G452*Q452)*IF(Inputs!$B$40="pvp",1,(1-Summary!$B$48)*(1)+Summary!$B$48*(MIN(Skills!Q8,Inputs!$B$39))),0)</f>
        <v/>
      </c>
      <c r="P452">
        <f>IF(B482=0,0,O452/B482)</f>
        <v/>
      </c>
      <c r="Q452">
        <f>IFERROR(1/IF(Inputs!$B$40="pvp",15,MAX(0.1,Skills!D8-IF(Skills!E8=TRUE,Inputs!$B$34,0))),0)</f>
        <v/>
      </c>
      <c r="R452">
        <f>IF(AND(Inputs!$B$40&lt;&gt;"pvp",Inputs!$B$43&gt;0),(INT(Inputs!$B$43/IF(Inputs!$B$40="pvp",15,MAX(0.1,Skills!D8-IF(Skills!E8=TRUE,Inputs!$B$34,0))))+1),0)</f>
        <v/>
      </c>
    </row>
    <row r="453">
      <c r="A453">
        <f>Skills!A9</f>
        <v/>
      </c>
      <c r="B453">
        <f>Skills!B9</f>
        <v/>
      </c>
      <c r="C453">
        <f>Inputs!$B$3&gt;=115</f>
        <v/>
      </c>
      <c r="D453">
        <f>IF(Skills!C9=1,60+Inputs!$B$27+Inputs!$B$31,IF(Skills!C9=2,90+Inputs!$B$28+Inputs!$B$31,IF(Skills!C9=3,120+Inputs!$B$29+Inputs!$B$31,MAX(0,(Inputs!$B$3-100)*3)+Inputs!$B$30+Inputs!$B$31)))</f>
        <v/>
      </c>
      <c r="E453">
        <f>INDEX(FactorTable!$B$2:$Y$301, MATCH(ROUND(MIN(300,MAX(1,D453)),0), FactorTable!$A$2:$A$301,0), Skills!L9+1)</f>
        <v/>
      </c>
      <c r="F453">
        <f>IF(Skills!M9=TRUE,(Skills!K9/10)*(E453/1000),Skills!K9/10)+Skills!N9</f>
        <v/>
      </c>
      <c r="G453">
        <f>Calc!G9</f>
        <v/>
      </c>
      <c r="H453">
        <f>Calc!H9</f>
        <v/>
      </c>
      <c r="I453">
        <f>IF(Skills!T9&lt;&gt;"",1+(Skills!T9/10)*($Z$3/1000)/100,1)</f>
        <v/>
      </c>
      <c r="J453">
        <f>(Inputs!$B$7*(1+Inputs!$B$8/100))*(F453/100)</f>
        <v/>
      </c>
      <c r="K453">
        <f>J453*(1+(((Inputs!$B$14+IF(Inputs!$B$3&gt;=35,0.10*(Inputs!$B$9*(1+Inputs!$B$10/100)),0))*(1+Inputs!$B$15/100))*0.01+Inputs!$B$16*0.0025)/100)*(1+(Inputs!$B$17+B475)/100)*(1+IF(Inputs!$B$40="pvp",0,(1-Summary!$B$48)*(Inputs!$B$22+Skills!O9+B473)+Summary!$B$48*(Inputs!$B$23+Skills!P9+B474))/100)*(1+Inputs!$B$18/100)*(5000/(6000+Inputs!$B$42*(1-Inputs!$B$21/100)))*(1+Inputs!$B$26/100)*(1+IF(C461=TRUE,F461,0)/100)*(1+IF(C463=TRUE,F463,0)/100)*(1+IF(Skills!A9="TRIUMPH_FEATHER",IF(C459=TRUE,F459,0),0)/100)*(1+IF(C470=TRUE,F470,0)/100)^5*(1+(IF(Skills!A9="BIG_BANG",Inputs!$B$19,Inputs!$B$20))/100)*(B472*I453)</f>
        <v/>
      </c>
      <c r="L453">
        <f>K453*(MIN(Inputs!$B$24+(F465-Calc!F21),(Inputs!$B$25+1))/100+(Inputs!$B$25+1)/100)/2</f>
        <v/>
      </c>
      <c r="M453">
        <f>L453*(1+(Inputs!$B$12+B476+(F468-Calc!F24))/100)</f>
        <v/>
      </c>
      <c r="N453">
        <f>L453*(1-MIN(Inputs!$B$11+((F467-Calc!F23)+(F466-Calc!F22)),100)/100)+M453*(MIN(Inputs!$B$11+((F467-Calc!F23)+(F466-Calc!F22)),100)/100)</f>
        <v/>
      </c>
      <c r="O453">
        <f>IF(C453,H453*N453*IF(AND(Inputs!$B$40&lt;&gt;"pvp",Inputs!$B$43&gt;0),((Skills!F9*((R453-1)*IF(Skills!G9&gt;0,Skills!H9/Skills!G9,1)+IF(Skills!G9&gt;0,MIN(Skills!H9,MAX(0,Inputs!$B$43-((R453-1)*IF(Inputs!$B$40="pvp",15,MAX(0.1,Skills!D9-IF(Skills!E9=TRUE,Inputs!$B$34,0))))))/Skills!G9,1)))/Inputs!$B$43),G453*Q453)*IF(Inputs!$B$40="pvp",1,(1-Summary!$B$48)*(1)+Summary!$B$48*(MIN(Skills!Q9,Inputs!$B$39))),0)</f>
        <v/>
      </c>
      <c r="P453">
        <f>IF(B482=0,0,O453/B482)</f>
        <v/>
      </c>
      <c r="Q453">
        <f>IFERROR(1/IF(Inputs!$B$40="pvp",15,MAX(0.1,Skills!D9-IF(Skills!E9=TRUE,Inputs!$B$34,0))),0)</f>
        <v/>
      </c>
      <c r="R453">
        <f>IF(AND(Inputs!$B$40&lt;&gt;"pvp",Inputs!$B$43&gt;0),(INT(Inputs!$B$43/IF(Inputs!$B$40="pvp",15,MAX(0.1,Skills!D9-IF(Skills!E9=TRUE,Inputs!$B$34,0))))+1),0)</f>
        <v/>
      </c>
    </row>
    <row r="454">
      <c r="A454">
        <f>Skills!A10</f>
        <v/>
      </c>
      <c r="B454">
        <f>Skills!B10</f>
        <v/>
      </c>
      <c r="C454">
        <f>Inputs!$B$3&gt;=66</f>
        <v/>
      </c>
      <c r="D454">
        <f>IF(Skills!C10=1,60+Inputs!$B$27+Inputs!$B$31,IF(Skills!C10=2,90+Inputs!$B$28+Inputs!$B$31,IF(Skills!C10=3,120+Inputs!$B$29+Inputs!$B$31,MAX(0,(Inputs!$B$3-100)*3)+Inputs!$B$30+Inputs!$B$31)))</f>
        <v/>
      </c>
      <c r="E454">
        <f>INDEX(FactorTable!$B$2:$Y$301, MATCH(ROUND(MIN(300,MAX(1,D454)),0), FactorTable!$A$2:$A$301,0), Skills!L10+1)</f>
        <v/>
      </c>
      <c r="F454" t="n">
        <v>0</v>
      </c>
      <c r="G454">
        <f>Calc!G10</f>
        <v/>
      </c>
      <c r="H454">
        <f>Calc!H10</f>
        <v/>
      </c>
      <c r="I454">
        <f>IF(Skills!T10&lt;&gt;"",1+(Skills!T10/10)*($Z$3/1000)/100,1)</f>
        <v/>
      </c>
      <c r="J454" t="inlineStr"/>
      <c r="K454" t="inlineStr"/>
      <c r="L454" t="inlineStr"/>
      <c r="M454" t="inlineStr"/>
      <c r="N454" t="inlineStr"/>
      <c r="O454" t="n">
        <v>0</v>
      </c>
      <c r="P454">
        <f>IF(B482=0,0,O454/B482)</f>
        <v/>
      </c>
      <c r="Q454">
        <f>IFERROR(1/IF(Inputs!$B$40="pvp",15,MAX(0.1,Skills!D10-IF(Skills!E10=TRUE,Inputs!$B$34,0))),0)</f>
        <v/>
      </c>
      <c r="R454">
        <f>IF(AND(Inputs!$B$40&lt;&gt;"pvp",Inputs!$B$43&gt;0),(INT(Inputs!$B$43/IF(Inputs!$B$40="pvp",15,MAX(0.1,Skills!D10-IF(Skills!E10=TRUE,Inputs!$B$34,0))))+1),0)</f>
        <v/>
      </c>
    </row>
    <row r="455">
      <c r="A455">
        <f>Skills!A11</f>
        <v/>
      </c>
      <c r="B455">
        <f>Skills!B11</f>
        <v/>
      </c>
      <c r="C455">
        <f>Inputs!$B$3&gt;=69</f>
        <v/>
      </c>
      <c r="D455">
        <f>IF(Skills!C11=1,60+Inputs!$B$27+Inputs!$B$31,IF(Skills!C11=2,90+Inputs!$B$28+Inputs!$B$31,IF(Skills!C11=3,120+Inputs!$B$29+Inputs!$B$31,MAX(0,(Inputs!$B$3-100)*3)+Inputs!$B$30+Inputs!$B$31)))</f>
        <v/>
      </c>
      <c r="E455">
        <f>INDEX(FactorTable!$B$2:$Y$301, MATCH(ROUND(MIN(300,MAX(1,D455)),0), FactorTable!$A$2:$A$301,0), Skills!L11+1)</f>
        <v/>
      </c>
      <c r="F455">
        <f>IF(Skills!M11=TRUE,(Skills!K11/10)*(E455/1000),Skills!K11/10)+Skills!N11</f>
        <v/>
      </c>
      <c r="G455">
        <f>Calc!G11</f>
        <v/>
      </c>
      <c r="H455">
        <f>Calc!H11</f>
        <v/>
      </c>
      <c r="I455">
        <f>IF(Skills!T11&lt;&gt;"",1+(Skills!T11/10)*($Z$3/1000)/100,1)</f>
        <v/>
      </c>
      <c r="J455" t="inlineStr"/>
      <c r="K455" t="inlineStr"/>
      <c r="L455" t="inlineStr"/>
      <c r="M455" t="inlineStr"/>
      <c r="N455" t="inlineStr"/>
      <c r="O455" t="n">
        <v>0</v>
      </c>
      <c r="P455">
        <f>IF(B482=0,0,O455/B482)</f>
        <v/>
      </c>
      <c r="Q455">
        <f>IFERROR(1/IF(Inputs!$B$40="pvp",15,MAX(0.1,Skills!D11-IF(Skills!E11=TRUE,Inputs!$B$34,0))),0)</f>
        <v/>
      </c>
      <c r="R455">
        <f>IF(AND(Inputs!$B$40&lt;&gt;"pvp",Inputs!$B$43&gt;0),(INT(Inputs!$B$43/IF(Inputs!$B$40="pvp",15,MAX(0.1,Skills!D11-IF(Skills!E11=TRUE,Inputs!$B$34,0))))+1),0)</f>
        <v/>
      </c>
    </row>
    <row r="456">
      <c r="A456">
        <f>Skills!A12</f>
        <v/>
      </c>
      <c r="B456">
        <f>Skills!B12</f>
        <v/>
      </c>
      <c r="C456">
        <f>Inputs!$B$3&gt;=72</f>
        <v/>
      </c>
      <c r="D456">
        <f>IF(Skills!C12=1,60+Inputs!$B$27+Inputs!$B$31,IF(Skills!C12=2,90+Inputs!$B$28+Inputs!$B$31,IF(Skills!C12=3,120+Inputs!$B$29+Inputs!$B$31,MAX(0,(Inputs!$B$3-100)*3)+Inputs!$B$30+Inputs!$B$31)))</f>
        <v/>
      </c>
      <c r="E456">
        <f>INDEX(FactorTable!$B$2:$Y$301, MATCH(ROUND(MIN(300,MAX(1,D456)),0), FactorTable!$A$2:$A$301,0), Skills!L12+1)</f>
        <v/>
      </c>
      <c r="F456">
        <f>IF(Skills!M12=TRUE,(Skills!K12/10)*(E456/1000),Skills!K12/10)+Skills!N12</f>
        <v/>
      </c>
      <c r="G456">
        <f>Calc!G12</f>
        <v/>
      </c>
      <c r="H456">
        <f>Calc!H12</f>
        <v/>
      </c>
      <c r="I456">
        <f>IF(Skills!T12&lt;&gt;"",1+(Skills!T12/10)*($Z$3/1000)/100,1)</f>
        <v/>
      </c>
      <c r="J456" t="inlineStr"/>
      <c r="K456" t="inlineStr"/>
      <c r="L456" t="inlineStr"/>
      <c r="M456" t="inlineStr"/>
      <c r="N456" t="inlineStr"/>
      <c r="O456" t="n">
        <v>0</v>
      </c>
      <c r="P456">
        <f>IF(B482=0,0,O456/B482)</f>
        <v/>
      </c>
      <c r="Q456">
        <f>IFERROR(1/IF(Inputs!$B$40="pvp",15,MAX(0.1,Skills!D12-IF(Skills!E12=TRUE,Inputs!$B$34,0))),0)</f>
        <v/>
      </c>
      <c r="R456">
        <f>IF(AND(Inputs!$B$40&lt;&gt;"pvp",Inputs!$B$43&gt;0),(INT(Inputs!$B$43/IF(Inputs!$B$40="pvp",15,MAX(0.1,Skills!D12-IF(Skills!E12=TRUE,Inputs!$B$34,0))))+1),0)</f>
        <v/>
      </c>
    </row>
    <row r="457">
      <c r="A457">
        <f>Skills!A13</f>
        <v/>
      </c>
      <c r="B457">
        <f>Skills!B13</f>
        <v/>
      </c>
      <c r="C457">
        <f>Inputs!$B$3&gt;=107</f>
        <v/>
      </c>
      <c r="D457">
        <f>IF(Skills!C13=1,60+Inputs!$B$27+Inputs!$B$31,IF(Skills!C13=2,90+Inputs!$B$28+Inputs!$B$31,IF(Skills!C13=3,120+Inputs!$B$29+Inputs!$B$31,MAX(0,(Inputs!$B$3-100)*3)+Inputs!$B$30+Inputs!$B$31)))</f>
        <v/>
      </c>
      <c r="E457">
        <f>INDEX(FactorTable!$B$2:$Y$301, MATCH(ROUND(MIN(300,MAX(1,D457)),0), FactorTable!$A$2:$A$301,0), Skills!L13+1)</f>
        <v/>
      </c>
      <c r="F457">
        <f>IF(Skills!M13=TRUE,(Skills!K13/10)*(E457/1000),Skills!K13/10)+Skills!N13</f>
        <v/>
      </c>
      <c r="G457">
        <f>Calc!G13</f>
        <v/>
      </c>
      <c r="H457">
        <f>Calc!H13</f>
        <v/>
      </c>
      <c r="I457">
        <f>IF(Skills!T13&lt;&gt;"",1+(Skills!T13/10)*($Z$3/1000)/100,1)</f>
        <v/>
      </c>
      <c r="J457" t="inlineStr"/>
      <c r="K457" t="inlineStr"/>
      <c r="L457" t="inlineStr"/>
      <c r="M457" t="inlineStr"/>
      <c r="N457" t="inlineStr"/>
      <c r="O457" t="n">
        <v>0</v>
      </c>
      <c r="P457">
        <f>IF(B482=0,0,O457/B482)</f>
        <v/>
      </c>
      <c r="Q457">
        <f>IFERROR(1/IF(Inputs!$B$40="pvp",15,MAX(0.1,Skills!D13-IF(Skills!E13=TRUE,Inputs!$B$34,0))),0)</f>
        <v/>
      </c>
      <c r="R457">
        <f>IF(AND(Inputs!$B$40&lt;&gt;"pvp",Inputs!$B$43&gt;0),(INT(Inputs!$B$43/IF(Inputs!$B$40="pvp",15,MAX(0.1,Skills!D13-IF(Skills!E13=TRUE,Inputs!$B$34,0))))+1),0)</f>
        <v/>
      </c>
    </row>
    <row r="458">
      <c r="A458">
        <f>Skills!A14</f>
        <v/>
      </c>
      <c r="B458">
        <f>Skills!B14</f>
        <v/>
      </c>
      <c r="C458">
        <f>Inputs!$B$3&gt;=63</f>
        <v/>
      </c>
      <c r="D458">
        <f>IF(Skills!C14=1,60+Inputs!$B$27+Inputs!$B$31,IF(Skills!C14=2,90+Inputs!$B$28+Inputs!$B$31,IF(Skills!C14=3,120+Inputs!$B$29+Inputs!$B$31,MAX(0,(Inputs!$B$3-100)*3)+Inputs!$B$30+Inputs!$B$31)))</f>
        <v/>
      </c>
      <c r="E458">
        <f>INDEX(FactorTable!$B$2:$Y$301, MATCH(ROUND(MIN(300,MAX(1,D458)),0), FactorTable!$A$2:$A$301,0), Skills!L14+1)</f>
        <v/>
      </c>
      <c r="F458">
        <f>IF(Skills!M14=TRUE,(Skills!K14/10)*(E458/1000),Skills!K14/10)+Skills!N14</f>
        <v/>
      </c>
      <c r="G458">
        <f>Calc!G14</f>
        <v/>
      </c>
      <c r="H458">
        <f>Calc!H14</f>
        <v/>
      </c>
      <c r="I458">
        <f>IF(Skills!T14&lt;&gt;"",1+(Skills!T14/10)*($Z$3/1000)/100,1)</f>
        <v/>
      </c>
      <c r="J458">
        <f>(Inputs!$B$7*(1+Inputs!$B$8/100))*(F458/100)</f>
        <v/>
      </c>
      <c r="K458">
        <f>J458*(1+(((Inputs!$B$14+IF(Inputs!$B$3&gt;=35,0.10*(Inputs!$B$9*(1+Inputs!$B$10/100)),0))*(1+Inputs!$B$15/100))*0.01+Inputs!$B$16*0.0025)/100)*(1+(Inputs!$B$17+B475)/100)*(1+IF(Inputs!$B$40="pvp",0,(1-Summary!$B$48)*(Inputs!$B$22+Skills!O14+B473)+Summary!$B$48*(Inputs!$B$23+Skills!P14+B474))/100)*(1+Inputs!$B$18/100)*(5000/(6000+Inputs!$B$42*(1-Inputs!$B$21/100)))*(1+Inputs!$B$26/100)*(1+IF(C461=TRUE,F461,0)/100)*(1+IF(C463=TRUE,F463,0)/100)*(1+IF(Skills!A14="TRIUMPH_FEATHER",IF(C459=TRUE,F459,0),0)/100)*(1+IF(C470=TRUE,F470,0)/100)^5*(1+(IF(Skills!A14="BIG_BANG",Inputs!$B$19,Inputs!$B$20))/100)*(B472*I458)</f>
        <v/>
      </c>
      <c r="L458">
        <f>K458*(MIN(Inputs!$B$24+(F465-Calc!F21),(Inputs!$B$25+1))/100+(Inputs!$B$25+1)/100)/2</f>
        <v/>
      </c>
      <c r="M458">
        <f>L458*(1+(Inputs!$B$12+B476+(F468-Calc!F24))/100)</f>
        <v/>
      </c>
      <c r="N458">
        <f>L458*(1-MIN(Inputs!$B$11+((F467-Calc!F23)+(F466-Calc!F22)),100)/100)+M458*(MIN(Inputs!$B$11+((F467-Calc!F23)+(F466-Calc!F22)),100)/100)</f>
        <v/>
      </c>
      <c r="O458">
        <f>IF(C458,Skills!F14*N458*((IF(Inputs!$B$3&gt;=78,25,15)/100*B478*10)/(1+IF(Inputs!$B$3&gt;=78,25,15)/100*B478*10))*(Skills!I14/100*B478)/(1+Skills!G14*Skills!I14/100*B478)*IF(Inputs!$B$40="pvp",1,(1-Summary!$B$48)*(1)+Summary!$B$48*(MIN(Skills!Q14,Inputs!$B$39))),0)</f>
        <v/>
      </c>
      <c r="P458">
        <f>IF(B482=0,0,O458/B482)</f>
        <v/>
      </c>
      <c r="Q458">
        <f>IFERROR(1/IF(Inputs!$B$40="pvp",15,MAX(0.1,Skills!D14-IF(Skills!E14=TRUE,Inputs!$B$34,0))),0)</f>
        <v/>
      </c>
      <c r="R458" t="n">
        <v>0</v>
      </c>
    </row>
    <row r="459">
      <c r="A459">
        <f>Skills!A15</f>
        <v/>
      </c>
      <c r="B459">
        <f>Skills!B15</f>
        <v/>
      </c>
      <c r="C459">
        <f>Inputs!$B$3&gt;=100</f>
        <v/>
      </c>
      <c r="D459">
        <f>IF(Skills!C15=1,60+Inputs!$B$27+Inputs!$B$31,IF(Skills!C15=2,90+Inputs!$B$28+Inputs!$B$31,IF(Skills!C15=3,120+Inputs!$B$29+Inputs!$B$31,MAX(0,(Inputs!$B$3-100)*3)+Inputs!$B$30+Inputs!$B$31)))</f>
        <v/>
      </c>
      <c r="E459">
        <f>INDEX(FactorTable!$B$2:$Y$301, MATCH(ROUND(MIN(300,MAX(1,D459)),0), FactorTable!$A$2:$A$301,0), Skills!L15+1)</f>
        <v/>
      </c>
      <c r="F459">
        <f>IF(Skills!M15=TRUE,(Skills!K15/10)*(E459/1000),Skills!K15/10)+Skills!N15</f>
        <v/>
      </c>
      <c r="G459">
        <f>Calc!G15</f>
        <v/>
      </c>
      <c r="H459">
        <f>Calc!H15</f>
        <v/>
      </c>
      <c r="I459">
        <f>IF(Skills!T15&lt;&gt;"",1+(Skills!T15/10)*($Z$3/1000)/100,1)</f>
        <v/>
      </c>
      <c r="J459" t="inlineStr"/>
      <c r="K459" t="inlineStr"/>
      <c r="L459" t="inlineStr"/>
      <c r="M459" t="inlineStr"/>
      <c r="N459" t="inlineStr"/>
      <c r="O459" t="n">
        <v>0</v>
      </c>
      <c r="P459">
        <f>IF(B482=0,0,O459/B482)</f>
        <v/>
      </c>
      <c r="Q459">
        <f>IFERROR(1/IF(Inputs!$B$40="pvp",15,MAX(0.1,Skills!D15-IF(Skills!E15=TRUE,Inputs!$B$34,0))),0)</f>
        <v/>
      </c>
      <c r="R459" t="n">
        <v>0</v>
      </c>
    </row>
    <row r="460">
      <c r="A460">
        <f>Skills!A16</f>
        <v/>
      </c>
      <c r="B460">
        <f>Skills!B16</f>
        <v/>
      </c>
      <c r="C460">
        <f>Inputs!$B$3&gt;=49</f>
        <v/>
      </c>
      <c r="D460">
        <f>IF(Skills!C16=1,60+Inputs!$B$27+Inputs!$B$31,IF(Skills!C16=2,90+Inputs!$B$28+Inputs!$B$31,IF(Skills!C16=3,120+Inputs!$B$29+Inputs!$B$31,MAX(0,(Inputs!$B$3-100)*3)+Inputs!$B$30+Inputs!$B$31)))</f>
        <v/>
      </c>
      <c r="E460">
        <f>INDEX(FactorTable!$B$2:$Y$301, MATCH(ROUND(MIN(300,MAX(1,D460)),0), FactorTable!$A$2:$A$301,0), Skills!L16+1)</f>
        <v/>
      </c>
      <c r="F460">
        <f>IF(Skills!M16=TRUE,(Skills!K16/10)*(E460/1000),Skills!K16/10)+Skills!N16</f>
        <v/>
      </c>
      <c r="G460">
        <f>Calc!G16</f>
        <v/>
      </c>
      <c r="H460">
        <f>Calc!H16</f>
        <v/>
      </c>
      <c r="I460">
        <f>IF(Skills!T16&lt;&gt;"",1+(Skills!T16/10)*($Z$3/1000)/100,1)</f>
        <v/>
      </c>
      <c r="J460" t="inlineStr"/>
      <c r="K460" t="inlineStr"/>
      <c r="L460" t="inlineStr"/>
      <c r="M460" t="inlineStr"/>
      <c r="N460" t="inlineStr"/>
      <c r="O460" t="n">
        <v>0</v>
      </c>
      <c r="P460">
        <f>IF(B482=0,0,O460/B482)</f>
        <v/>
      </c>
      <c r="Q460">
        <f>IFERROR(1/IF(Inputs!$B$40="pvp",15,MAX(0.1,Skills!D16-IF(Skills!E16=TRUE,Inputs!$B$34,0))),0)</f>
        <v/>
      </c>
      <c r="R460" t="n">
        <v>0</v>
      </c>
    </row>
    <row r="461">
      <c r="A461">
        <f>Skills!A17</f>
        <v/>
      </c>
      <c r="B461">
        <f>Skills!B17</f>
        <v/>
      </c>
      <c r="C461">
        <f>Inputs!$B$3&gt;=75</f>
        <v/>
      </c>
      <c r="D461">
        <f>IF(Skills!C17=1,60+Inputs!$B$27+Inputs!$B$31,IF(Skills!C17=2,90+Inputs!$B$28+Inputs!$B$31,IF(Skills!C17=3,120+Inputs!$B$29+Inputs!$B$31,MAX(0,(Inputs!$B$3-100)*3)+Inputs!$B$30+Inputs!$B$31)))</f>
        <v/>
      </c>
      <c r="E461">
        <f>INDEX(FactorTable!$B$2:$Y$301, MATCH(ROUND(MIN(300,MAX(1,D461)),0), FactorTable!$A$2:$A$301,0), Skills!L17+1)</f>
        <v/>
      </c>
      <c r="F461">
        <f>IF(Skills!M17=TRUE,(Skills!K17/10)*(E461/1000),Skills!K17/10)+Skills!N17</f>
        <v/>
      </c>
      <c r="G461">
        <f>Calc!G17</f>
        <v/>
      </c>
      <c r="H461">
        <f>Calc!H17</f>
        <v/>
      </c>
      <c r="I461">
        <f>IF(Skills!T17&lt;&gt;"",1+(Skills!T17/10)*($Z$3/1000)/100,1)</f>
        <v/>
      </c>
      <c r="J461" t="inlineStr"/>
      <c r="K461" t="inlineStr"/>
      <c r="L461" t="inlineStr"/>
      <c r="M461" t="inlineStr"/>
      <c r="N461" t="inlineStr"/>
      <c r="O461" t="n">
        <v>0</v>
      </c>
      <c r="P461">
        <f>IF(B482=0,0,O461/B482)</f>
        <v/>
      </c>
      <c r="Q461">
        <f>IFERROR(1/IF(Inputs!$B$40="pvp",15,MAX(0.1,Skills!D17-IF(Skills!E17=TRUE,Inputs!$B$34,0))),0)</f>
        <v/>
      </c>
      <c r="R461" t="n">
        <v>0</v>
      </c>
    </row>
    <row r="462">
      <c r="A462">
        <f>Skills!A18</f>
        <v/>
      </c>
      <c r="B462">
        <f>Skills!B18</f>
        <v/>
      </c>
      <c r="C462">
        <f>Inputs!$B$3&gt;=110</f>
        <v/>
      </c>
      <c r="D462">
        <f>IF(Skills!C18=1,60+Inputs!$B$27+Inputs!$B$31,IF(Skills!C18=2,90+Inputs!$B$28+Inputs!$B$31,IF(Skills!C18=3,120+Inputs!$B$29+Inputs!$B$31,MAX(0,(Inputs!$B$3-100)*3)+Inputs!$B$30+Inputs!$B$31)))</f>
        <v/>
      </c>
      <c r="E462">
        <f>INDEX(FactorTable!$B$2:$Y$301, MATCH(ROUND(MIN(300,MAX(1,D462)),0), FactorTable!$A$2:$A$301,0), Skills!L18+1)</f>
        <v/>
      </c>
      <c r="F462">
        <f>(Skills!K18/10)*(E462/1000)*64/45+Skills!N18</f>
        <v/>
      </c>
      <c r="G462">
        <f>Calc!G18</f>
        <v/>
      </c>
      <c r="H462">
        <f>Calc!H18</f>
        <v/>
      </c>
      <c r="I462">
        <f>IF(Skills!T18&lt;&gt;"",1+(Skills!T18/10)*($Z$3/1000)/100,1)</f>
        <v/>
      </c>
      <c r="J462" t="inlineStr"/>
      <c r="K462" t="inlineStr"/>
      <c r="L462" t="inlineStr"/>
      <c r="M462" t="inlineStr"/>
      <c r="N462" t="inlineStr"/>
      <c r="O462" t="n">
        <v>0</v>
      </c>
      <c r="P462">
        <f>IF(B482=0,0,O462/B482)</f>
        <v/>
      </c>
      <c r="Q462">
        <f>IFERROR(1/IF(Inputs!$B$40="pvp",15,MAX(0.1,Skills!D18-IF(Skills!E18=TRUE,Inputs!$B$34,0))),0)</f>
        <v/>
      </c>
      <c r="R462">
        <f>IF(AND(Inputs!$B$40&lt;&gt;"pvp",Inputs!$B$43&gt;0),(INT(Inputs!$B$43/IF(Inputs!$B$40="pvp",15,MAX(0.1,Skills!D18-IF(Skills!E18=TRUE,Inputs!$B$34,0))))+1),0)</f>
        <v/>
      </c>
    </row>
    <row r="463">
      <c r="A463">
        <f>Skills!A19</f>
        <v/>
      </c>
      <c r="B463">
        <f>Skills!B19</f>
        <v/>
      </c>
      <c r="C463">
        <f>Inputs!$B$3&gt;=125</f>
        <v/>
      </c>
      <c r="D463">
        <f>IF(Skills!C19=1,60+Inputs!$B$27+Inputs!$B$31,IF(Skills!C19=2,90+Inputs!$B$28+Inputs!$B$31,IF(Skills!C19=3,120+Inputs!$B$29+Inputs!$B$31,MAX(0,(Inputs!$B$3-100)*3)+Inputs!$B$30+Inputs!$B$31)))</f>
        <v/>
      </c>
      <c r="E463">
        <f>INDEX(FactorTable!$B$2:$Y$301, MATCH(ROUND(MIN(300,MAX(1,D463)),0), FactorTable!$A$2:$A$301,0), Skills!L19+1)</f>
        <v/>
      </c>
      <c r="F463">
        <f>IF(Skills!M19=TRUE,(Skills!K19/10)*(E463/1000),Skills!K19/10)+Skills!N19</f>
        <v/>
      </c>
      <c r="G463">
        <f>Calc!G19</f>
        <v/>
      </c>
      <c r="H463">
        <f>Calc!H19</f>
        <v/>
      </c>
      <c r="I463">
        <f>IF(Skills!T19&lt;&gt;"",1+(Skills!T19/10)*($Z$3/1000)/100,1)</f>
        <v/>
      </c>
      <c r="J463" t="inlineStr"/>
      <c r="K463" t="inlineStr"/>
      <c r="L463" t="inlineStr"/>
      <c r="M463" t="inlineStr"/>
      <c r="N463" t="inlineStr"/>
      <c r="O463" t="n">
        <v>0</v>
      </c>
      <c r="P463">
        <f>IF(B482=0,0,O463/B482)</f>
        <v/>
      </c>
      <c r="Q463">
        <f>IFERROR(1/IF(Inputs!$B$40="pvp",15,MAX(0.1,Skills!D19-IF(Skills!E19=TRUE,Inputs!$B$34,0))),0)</f>
        <v/>
      </c>
      <c r="R463" t="n">
        <v>0</v>
      </c>
    </row>
    <row r="464">
      <c r="A464">
        <f>Skills!A20</f>
        <v/>
      </c>
      <c r="B464">
        <f>Skills!B20</f>
        <v/>
      </c>
      <c r="C464">
        <f>Inputs!$B$3&gt;=33</f>
        <v/>
      </c>
      <c r="D464">
        <f>IF(Skills!C20=1,60+Inputs!$B$27+Inputs!$B$31,IF(Skills!C20=2,90+Inputs!$B$28+Inputs!$B$31,IF(Skills!C20=3,120+Inputs!$B$29+Inputs!$B$31,MAX(0,(Inputs!$B$3-100)*3)+Inputs!$B$30+Inputs!$B$31)))</f>
        <v/>
      </c>
      <c r="E464">
        <f>INDEX(FactorTable!$B$2:$Y$301, MATCH(ROUND(MIN(300,MAX(1,D464)),0), FactorTable!$A$2:$A$301,0), Skills!L20+1)</f>
        <v/>
      </c>
      <c r="F464">
        <f>IF(Skills!M20=TRUE,(Skills!K20/10)*(E464/1000),Skills!K20/10)+Skills!N20</f>
        <v/>
      </c>
      <c r="G464">
        <f>Calc!G20</f>
        <v/>
      </c>
      <c r="H464">
        <f>Calc!H20</f>
        <v/>
      </c>
      <c r="I464">
        <f>IF(Skills!T20&lt;&gt;"",1+(Skills!T20/10)*($Z$3/1000)/100,1)</f>
        <v/>
      </c>
      <c r="J464" t="inlineStr"/>
      <c r="K464" t="inlineStr"/>
      <c r="L464" t="inlineStr"/>
      <c r="M464" t="inlineStr"/>
      <c r="N464" t="inlineStr"/>
      <c r="O464" t="n">
        <v>0</v>
      </c>
      <c r="P464">
        <f>IF(B482=0,0,O464/B482)</f>
        <v/>
      </c>
      <c r="Q464">
        <f>IFERROR(1/IF(Inputs!$B$40="pvp",15,MAX(0.1,Skills!D20-IF(Skills!E20=TRUE,Inputs!$B$34,0))),0)</f>
        <v/>
      </c>
      <c r="R464" t="n">
        <v>0</v>
      </c>
    </row>
    <row r="465">
      <c r="A465">
        <f>Skills!A21</f>
        <v/>
      </c>
      <c r="B465">
        <f>Skills!B21</f>
        <v/>
      </c>
      <c r="C465">
        <f>Inputs!$B$3&gt;=43</f>
        <v/>
      </c>
      <c r="D465">
        <f>IF(Skills!C21=1,60+Inputs!$B$27+Inputs!$B$31,IF(Skills!C21=2,90+Inputs!$B$28+Inputs!$B$31,IF(Skills!C21=3,120+Inputs!$B$29+Inputs!$B$31,MAX(0,(Inputs!$B$3-100)*3)+Inputs!$B$30+Inputs!$B$31)))</f>
        <v/>
      </c>
      <c r="E465">
        <f>INDEX(FactorTable!$B$2:$Y$301, MATCH(ROUND(MIN(300,MAX(1,D465)),0), FactorTable!$A$2:$A$301,0), Skills!L21+1)</f>
        <v/>
      </c>
      <c r="F465">
        <f>IF(Skills!M21=TRUE,(Skills!K21/10)*(E465/1000),Skills!K21/10)+Skills!N21</f>
        <v/>
      </c>
      <c r="G465">
        <f>Calc!G21</f>
        <v/>
      </c>
      <c r="H465">
        <f>Calc!H21</f>
        <v/>
      </c>
      <c r="I465">
        <f>IF(Skills!T21&lt;&gt;"",1+(Skills!T21/10)*($Z$3/1000)/100,1)</f>
        <v/>
      </c>
      <c r="J465" t="inlineStr"/>
      <c r="K465" t="inlineStr"/>
      <c r="L465" t="inlineStr"/>
      <c r="M465" t="inlineStr"/>
      <c r="N465" t="inlineStr"/>
      <c r="O465" t="n">
        <v>0</v>
      </c>
      <c r="P465">
        <f>IF(B482=0,0,O465/B482)</f>
        <v/>
      </c>
      <c r="Q465">
        <f>IFERROR(1/IF(Inputs!$B$40="pvp",15,MAX(0.1,Skills!D21-IF(Skills!E21=TRUE,Inputs!$B$34,0))),0)</f>
        <v/>
      </c>
      <c r="R465" t="n">
        <v>0</v>
      </c>
    </row>
    <row r="466">
      <c r="A466">
        <f>Skills!A22</f>
        <v/>
      </c>
      <c r="B466">
        <f>Skills!B22</f>
        <v/>
      </c>
      <c r="C466">
        <f>Inputs!$B$3&gt;=50</f>
        <v/>
      </c>
      <c r="D466">
        <f>IF(Skills!C22=1,60+Inputs!$B$27+Inputs!$B$31,IF(Skills!C22=2,90+Inputs!$B$28+Inputs!$B$31,IF(Skills!C22=3,120+Inputs!$B$29+Inputs!$B$31,MAX(0,(Inputs!$B$3-100)*3)+Inputs!$B$30+Inputs!$B$31)))</f>
        <v/>
      </c>
      <c r="E466">
        <f>INDEX(FactorTable!$B$2:$Y$301, MATCH(ROUND(MIN(300,MAX(1,D466)),0), FactorTable!$A$2:$A$301,0), Skills!L22+1)</f>
        <v/>
      </c>
      <c r="F466">
        <f>IF(Skills!M22=TRUE,(Skills!K22/10)*(E466/1000),Skills!K22/10)+Skills!N22</f>
        <v/>
      </c>
      <c r="G466">
        <f>Calc!G22</f>
        <v/>
      </c>
      <c r="H466">
        <f>Calc!H22</f>
        <v/>
      </c>
      <c r="I466">
        <f>IF(Skills!T22&lt;&gt;"",1+(Skills!T22/10)*($Z$3/1000)/100,1)</f>
        <v/>
      </c>
      <c r="J466" t="inlineStr"/>
      <c r="K466" t="inlineStr"/>
      <c r="L466" t="inlineStr"/>
      <c r="M466" t="inlineStr"/>
      <c r="N466" t="inlineStr"/>
      <c r="O466" t="n">
        <v>0</v>
      </c>
      <c r="P466">
        <f>IF(B482=0,0,O466/B482)</f>
        <v/>
      </c>
      <c r="Q466">
        <f>IFERROR(1/IF(Inputs!$B$40="pvp",15,MAX(0.1,Skills!D22-IF(Skills!E22=TRUE,Inputs!$B$34,0))),0)</f>
        <v/>
      </c>
      <c r="R466" t="n">
        <v>0</v>
      </c>
    </row>
    <row r="467">
      <c r="A467">
        <f>Skills!A23</f>
        <v/>
      </c>
      <c r="B467">
        <f>Skills!B23</f>
        <v/>
      </c>
      <c r="C467">
        <f>Inputs!$B$3&gt;=74</f>
        <v/>
      </c>
      <c r="D467">
        <f>IF(Skills!C23=1,60+Inputs!$B$27+Inputs!$B$31,IF(Skills!C23=2,90+Inputs!$B$28+Inputs!$B$31,IF(Skills!C23=3,120+Inputs!$B$29+Inputs!$B$31,MAX(0,(Inputs!$B$3-100)*3)+Inputs!$B$30+Inputs!$B$31)))</f>
        <v/>
      </c>
      <c r="E467">
        <f>INDEX(FactorTable!$B$2:$Y$301, MATCH(ROUND(MIN(300,MAX(1,D467)),0), FactorTable!$A$2:$A$301,0), Skills!L23+1)</f>
        <v/>
      </c>
      <c r="F467">
        <f>IF(Skills!M23=TRUE,(Skills!K23/10)*(E467/1000),Skills!K23/10)+Skills!N23</f>
        <v/>
      </c>
      <c r="G467">
        <f>Calc!G23</f>
        <v/>
      </c>
      <c r="H467">
        <f>Calc!H23</f>
        <v/>
      </c>
      <c r="I467">
        <f>IF(Skills!T23&lt;&gt;"",1+(Skills!T23/10)*($Z$3/1000)/100,1)</f>
        <v/>
      </c>
      <c r="J467" t="inlineStr"/>
      <c r="K467" t="inlineStr"/>
      <c r="L467" t="inlineStr"/>
      <c r="M467" t="inlineStr"/>
      <c r="N467" t="inlineStr"/>
      <c r="O467" t="n">
        <v>0</v>
      </c>
      <c r="P467">
        <f>IF(B482=0,0,O467/B482)</f>
        <v/>
      </c>
      <c r="Q467">
        <f>IFERROR(1/IF(Inputs!$B$40="pvp",15,MAX(0.1,Skills!D23-IF(Skills!E23=TRUE,Inputs!$B$34,0))),0)</f>
        <v/>
      </c>
      <c r="R467" t="n">
        <v>0</v>
      </c>
    </row>
    <row r="468">
      <c r="A468">
        <f>Skills!A24</f>
        <v/>
      </c>
      <c r="B468">
        <f>Skills!B24</f>
        <v/>
      </c>
      <c r="C468">
        <f>Inputs!$B$3&gt;=74</f>
        <v/>
      </c>
      <c r="D468">
        <f>IF(Skills!C24=1,60+Inputs!$B$27+Inputs!$B$31,IF(Skills!C24=2,90+Inputs!$B$28+Inputs!$B$31,IF(Skills!C24=3,120+Inputs!$B$29+Inputs!$B$31,MAX(0,(Inputs!$B$3-100)*3)+Inputs!$B$30+Inputs!$B$31)))</f>
        <v/>
      </c>
      <c r="E468">
        <f>INDEX(FactorTable!$B$2:$Y$301, MATCH(ROUND(MIN(300,MAX(1,D468)),0), FactorTable!$A$2:$A$301,0), Skills!L24+1)</f>
        <v/>
      </c>
      <c r="F468">
        <f>IF(Skills!M24=TRUE,(Skills!K24/10)*(E468/1000),Skills!K24/10)+Skills!N24</f>
        <v/>
      </c>
      <c r="G468">
        <f>Calc!G24</f>
        <v/>
      </c>
      <c r="H468">
        <f>Calc!H24</f>
        <v/>
      </c>
      <c r="I468">
        <f>IF(Skills!T24&lt;&gt;"",1+(Skills!T24/10)*($Z$3/1000)/100,1)</f>
        <v/>
      </c>
      <c r="J468" t="inlineStr"/>
      <c r="K468" t="inlineStr"/>
      <c r="L468" t="inlineStr"/>
      <c r="M468" t="inlineStr"/>
      <c r="N468" t="inlineStr"/>
      <c r="O468" t="n">
        <v>0</v>
      </c>
      <c r="P468">
        <f>IF(B482=0,0,O468/B482)</f>
        <v/>
      </c>
      <c r="Q468">
        <f>IFERROR(1/IF(Inputs!$B$40="pvp",15,MAX(0.1,Skills!D24-IF(Skills!E24=TRUE,Inputs!$B$34,0))),0)</f>
        <v/>
      </c>
      <c r="R468" t="n">
        <v>0</v>
      </c>
    </row>
    <row r="469">
      <c r="A469">
        <f>Skills!A25</f>
        <v/>
      </c>
      <c r="B469">
        <f>Skills!B25</f>
        <v/>
      </c>
      <c r="C469">
        <f>Inputs!$B$3&gt;=117</f>
        <v/>
      </c>
      <c r="D469">
        <f>IF(Skills!C25=1,60+Inputs!$B$27+Inputs!$B$31,IF(Skills!C25=2,90+Inputs!$B$28+Inputs!$B$31,IF(Skills!C25=3,120+Inputs!$B$29+Inputs!$B$31,MAX(0,(Inputs!$B$3-100)*3)+Inputs!$B$30+Inputs!$B$31)))</f>
        <v/>
      </c>
      <c r="E469">
        <f>INDEX(FactorTable!$B$2:$Y$301, MATCH(ROUND(MIN(300,MAX(1,D469)),0), FactorTable!$A$2:$A$301,0), Skills!L25+1)</f>
        <v/>
      </c>
      <c r="F469">
        <f>IF(Skills!M25=TRUE,(Skills!K25/10)*(E469/1000),Skills!K25/10)+Skills!N25</f>
        <v/>
      </c>
      <c r="G469">
        <f>Calc!G25</f>
        <v/>
      </c>
      <c r="H469">
        <f>Calc!H25</f>
        <v/>
      </c>
      <c r="I469">
        <f>IF(Skills!T25&lt;&gt;"",1+(Skills!T25/10)*($Z$3/1000)/100,1)</f>
        <v/>
      </c>
      <c r="J469" t="inlineStr"/>
      <c r="K469" t="inlineStr"/>
      <c r="L469" t="inlineStr"/>
      <c r="M469" t="inlineStr"/>
      <c r="N469" t="inlineStr"/>
      <c r="O469" t="n">
        <v>0</v>
      </c>
      <c r="P469">
        <f>IF(B482=0,0,O469/B482)</f>
        <v/>
      </c>
      <c r="Q469">
        <f>IFERROR(1/IF(Inputs!$B$40="pvp",15,MAX(0.1,Skills!D25-IF(Skills!E25=TRUE,Inputs!$B$34,0))),0)</f>
        <v/>
      </c>
      <c r="R469" t="n">
        <v>0</v>
      </c>
    </row>
    <row r="470">
      <c r="A470">
        <f>Skills!A26</f>
        <v/>
      </c>
      <c r="B470">
        <f>Skills!B26</f>
        <v/>
      </c>
      <c r="C470">
        <f>Inputs!$B$3&gt;=120</f>
        <v/>
      </c>
      <c r="D470">
        <f>IF(Skills!C26=1,60+Inputs!$B$27+Inputs!$B$31,IF(Skills!C26=2,90+Inputs!$B$28+Inputs!$B$31,IF(Skills!C26=3,120+Inputs!$B$29+Inputs!$B$31,MAX(0,(Inputs!$B$3-100)*3)+Inputs!$B$30+Inputs!$B$31)))</f>
        <v/>
      </c>
      <c r="E470">
        <f>INDEX(FactorTable!$B$2:$Y$301, MATCH(ROUND(MIN(300,MAX(1,D470)),0), FactorTable!$A$2:$A$301,0), Skills!L26+1)</f>
        <v/>
      </c>
      <c r="F470">
        <f>IF(Skills!M26=TRUE,(Skills!K26/10)*(E470/1000),Skills!K26/10)+Skills!N26</f>
        <v/>
      </c>
      <c r="G470">
        <f>Calc!G26</f>
        <v/>
      </c>
      <c r="H470">
        <f>Calc!H26</f>
        <v/>
      </c>
      <c r="I470">
        <f>IF(Skills!T26&lt;&gt;"",1+(Skills!T26/10)*($Z$3/1000)/100,1)</f>
        <v/>
      </c>
      <c r="J470" t="inlineStr"/>
      <c r="K470" t="inlineStr"/>
      <c r="L470" t="inlineStr"/>
      <c r="M470" t="inlineStr"/>
      <c r="N470" t="inlineStr"/>
      <c r="O470" t="n">
        <v>0</v>
      </c>
      <c r="P470">
        <f>IF(B482=0,0,O470/B482)</f>
        <v/>
      </c>
      <c r="Q470">
        <f>IFERROR(1/IF(Inputs!$B$40="pvp",15,MAX(0.1,Skills!D26-IF(Skills!E26=TRUE,Inputs!$B$34,0))),0)</f>
        <v/>
      </c>
      <c r="R470" t="n">
        <v>0</v>
      </c>
    </row>
    <row r="472">
      <c r="A472" t="inlineStr">
        <is>
          <t>Average Buff Multiplier</t>
        </is>
      </c>
      <c r="B472">
        <f>(1+(IF(C447=TRUE,F447*IF(AND(Inputs!$B$40&lt;&gt;"pvp",Inputs!$B$43&gt;0),(((R447-1)*(Skills!S3*(1+(Inputs!$B$36+IF(Inputs!$B$3&gt;=117,F469,0))/100))+MIN((Skills!S3*(1+(Inputs!$B$36+IF(Inputs!$B$3&gt;=117,F469,0))/100)),MAX(0,Inputs!$B$43-((R447-1)*Skills!D3))))/Inputs!$B$43),IF(Inputs!$B$40="pvp",MIN((Skills!S3*(1+(Inputs!$B$36+IF(Inputs!$B$3&gt;=117,F469,0))/100)),15)/15,(Skills!S3*(1+(Inputs!$B$36+IF(Inputs!$B$3&gt;=117,F469,0))/100))/Skills!D3)),0)+IF(C448=TRUE,F448*IF(AND(Inputs!$B$40&lt;&gt;"pvp",Inputs!$B$43&gt;0),(((R448-1)*(Skills!S4*(1+(Inputs!$B$36+IF(Inputs!$B$3&gt;=117,F469,0))/100))+MIN((Skills!S4*(1+(Inputs!$B$36+IF(Inputs!$B$3&gt;=117,F469,0))/100)),MAX(0,Inputs!$B$43-((R448-1)*Skills!D4))))/Inputs!$B$43),IF(Inputs!$B$40="pvp",MIN((Skills!S4*(1+(Inputs!$B$36+IF(Inputs!$B$3&gt;=117,F469,0))/100)),15)/15,(Skills!S4*(1+(Inputs!$B$36+IF(Inputs!$B$3&gt;=117,F469,0))/100))/Skills!D4)),0)+IF(C449=TRUE,F449*IF(AND(Inputs!$B$40&lt;&gt;"pvp",Inputs!$B$43&gt;0),(((R449-1)*(Skills!S5*(1+(Inputs!$B$36+IF(Inputs!$B$3&gt;=117,F469,0))/100))+MIN((Skills!S5*(1+(Inputs!$B$36+IF(Inputs!$B$3&gt;=117,F469,0))/100)),MAX(0,Inputs!$B$43-((R449-1)*Skills!D5))))/Inputs!$B$43),IF(Inputs!$B$40="pvp",MIN((Skills!S5*(1+(Inputs!$B$36+IF(Inputs!$B$3&gt;=117,F469,0))/100)),15)/15,(Skills!S5*(1+(Inputs!$B$36+IF(Inputs!$B$3&gt;=117,F469,0))/100))/Skills!D5)),0)+IF(C455=TRUE,F455*IF(AND(Inputs!$B$40&lt;&gt;"pvp",Inputs!$B$43&gt;0),(((R455-1)*(Skills!S11*(1+(Inputs!$B$36+IF(Inputs!$B$3&gt;=117,F469,0))/100))+MIN((Skills!S11*(1+(Inputs!$B$36+IF(Inputs!$B$3&gt;=117,F469,0))/100)),MAX(0,Inputs!$B$43-((R455-1)*Skills!D11))))/Inputs!$B$43),IF(Inputs!$B$40="pvp",MIN((Skills!S11*(1+(Inputs!$B$36+IF(Inputs!$B$3&gt;=117,F469,0))/100)),15)/15,(Skills!S11*(1+(Inputs!$B$36+IF(Inputs!$B$3&gt;=117,F469,0))/100))/Skills!D11)),0))/100)*IF(C457=TRUE,(1+F457*IF(AND(Inputs!$B$40&lt;&gt;"pvp",Inputs!$B$43&gt;0),(((R457-1)*(Skills!S13*(1+(Inputs!$B$36+IF(Inputs!$B$3&gt;=117,F469,0))/100))+MIN((Skills!S13*(1+(Inputs!$B$36+IF(Inputs!$B$3&gt;=117,F469,0))/100)),MAX(0,Inputs!$B$43-((R457-1)*Skills!D13))))/Inputs!$B$43),IF(Inputs!$B$40="pvp",MIN((Skills!S13*(1+(Inputs!$B$36+IF(Inputs!$B$3&gt;=117,F469,0))/100)),15)/15,(Skills!S13*(1+(Inputs!$B$36+IF(Inputs!$B$3&gt;=117,F469,0))/100))/Skills!D13))/100),1)*IF(C462=TRUE,(1+F462*IF(AND(Inputs!$B$40&lt;&gt;"pvp",Inputs!$B$43&gt;0),(((R462-1)*(Skills!S18*(1+(Inputs!$B$36+IF(Inputs!$B$3&gt;=117,F469,0))/100))+MIN((Skills!S18*(1+(Inputs!$B$36+IF(Inputs!$B$3&gt;=117,F469,0))/100)),MAX(0,Inputs!$B$43-((R462-1)*Skills!D18))))/Inputs!$B$43),IF(Inputs!$B$40="pvp",MIN((Skills!S18*(1+(Inputs!$B$36+IF(Inputs!$B$3&gt;=117,F469,0))/100)),15)/15,(Skills!S18*(1+(Inputs!$B$36+IF(Inputs!$B$3&gt;=117,F469,0))/100))/Skills!D18))/100),1)</f>
        <v/>
      </c>
    </row>
    <row r="473">
      <c r="A473" t="inlineStr">
        <is>
          <t>Monster Damage Taken Bonus % (Holy Fountain)</t>
        </is>
      </c>
      <c r="B473">
        <f>IF(Inputs!$B$3&gt;=68,20*IF(Inputs!$B$40="pvp",MIN((15*(1+(Inputs!$B$36+IF(Inputs!$B$3&gt;=117,F469,0))/100)),15)/15,(15*(1+(Inputs!$B$36+IF(Inputs!$B$3&gt;=117,F469,0))/100))/Skills!D10),0)</f>
        <v/>
      </c>
    </row>
    <row r="474">
      <c r="A474" t="inlineStr">
        <is>
          <t>Normal Monster Damage Bonus % (Holy Symbol)</t>
        </is>
      </c>
      <c r="B474">
        <f>IF(C456=TRUE,F456*IF(AND(Inputs!$B$40&lt;&gt;"pvp",Inputs!$B$43&gt;0),(((R456-1)*(Skills!S12*(1+(Inputs!$B$36+IF(Inputs!$B$3&gt;=117,F469,0))/100))+MIN((Skills!S12*(1+(Inputs!$B$36+IF(Inputs!$B$3&gt;=117,F469,0))/100)),MAX(0,Inputs!$B$43-((R456-1)*Skills!D12))))/Inputs!$B$43),IF(Inputs!$B$40="pvp",MIN((Skills!S12*(1+(Inputs!$B$36+IF(Inputs!$B$3&gt;=117,F469,0))/100)),15)/15,(Skills!S12*(1+(Inputs!$B$36+IF(Inputs!$B$3&gt;=117,F469,0))/100))/Skills!D12)),0)</f>
        <v/>
      </c>
    </row>
    <row r="475">
      <c r="A475" t="inlineStr">
        <is>
          <t>Damage % Bonus (Holy Symbol - Damage Boost)</t>
        </is>
      </c>
      <c r="B475">
        <f>Skills!O12</f>
        <v/>
      </c>
    </row>
    <row r="476">
      <c r="A476" t="inlineStr">
        <is>
          <t>Crit Damage % Bonus (Blood of the Divine)</t>
        </is>
      </c>
      <c r="B476">
        <f>4*IF(C463=TRUE,F463,0)</f>
        <v/>
      </c>
    </row>
    <row r="477">
      <c r="A477" t="inlineStr">
        <is>
          <t>Attack Speed Bonus %</t>
        </is>
      </c>
      <c r="B477">
        <f>IF(C460=TRUE,F460+(F464-Calc!F20),0)+IF(Inputs!$B$3&gt;=134,15,0)</f>
        <v/>
      </c>
    </row>
    <row r="478">
      <c r="A478" t="inlineStr">
        <is>
          <t>Actions Per Second</t>
        </is>
      </c>
      <c r="B478">
        <f>1+MIN(150,150*(1-(1-Inputs!$B$13/150)*(1-B477/150)))/100</f>
        <v/>
      </c>
    </row>
    <row r="479">
      <c r="A479" t="inlineStr">
        <is>
          <t>Skill + Buff Cast Rate</t>
        </is>
      </c>
      <c r="B479">
        <f>IF(AND(Inputs!$B$40&lt;&gt;"pvp",Inputs!$B$43&gt;0),SUMPRODUCT((Skills!E2:E26=TRUE)*(C446:C470=TRUE)*R446:R470)/Inputs!$B$43,SUMPRODUCT((Skills!E2:E26=TRUE)*(C446:C470=TRUE)*Q446:Q470))</f>
        <v/>
      </c>
    </row>
    <row r="480">
      <c r="A480" t="inlineStr">
        <is>
          <t>Big Bang Casts Per Second</t>
        </is>
      </c>
      <c r="B480">
        <f>MAX(0,B478-B479)</f>
        <v/>
      </c>
    </row>
    <row r="482">
      <c r="A482" s="5" t="inlineStr">
        <is>
          <t>TOTAL DPS</t>
        </is>
      </c>
      <c r="B482" s="5">
        <f>SUM(O446:O470)</f>
        <v/>
      </c>
    </row>
    <row r="485">
      <c r="A485" s="5" t="inlineStr">
        <is>
          <t>Stat: CRIT_RATE %</t>
        </is>
      </c>
    </row>
    <row r="486">
      <c r="A486" s="9" t="inlineStr">
        <is>
          <t>Key</t>
        </is>
      </c>
      <c r="B486" s="9" t="inlineStr">
        <is>
          <t>Name</t>
        </is>
      </c>
      <c r="C486" s="9" t="inlineStr">
        <is>
          <t>Unlocked</t>
        </is>
      </c>
      <c r="D486" s="9" t="inlineStr">
        <is>
          <t>InputLevel</t>
        </is>
      </c>
      <c r="E486" s="9" t="inlineStr">
        <is>
          <t>Factor</t>
        </is>
      </c>
      <c r="F486" s="9" t="inlineStr">
        <is>
          <t>CoefficientPercent</t>
        </is>
      </c>
      <c r="G486" s="9" t="inlineStr">
        <is>
          <t>EffectiveHits</t>
        </is>
      </c>
      <c r="H486" s="9" t="inlineStr">
        <is>
          <t>ProcProbability</t>
        </is>
      </c>
      <c r="I486" s="9" t="inlineStr">
        <is>
          <t>MapleHeroMultiplier</t>
        </is>
      </c>
      <c r="J486" s="9" t="inlineStr">
        <is>
          <t>BaseDamage</t>
        </is>
      </c>
      <c r="K486" s="9" t="inlineStr">
        <is>
          <t>BaseHitDamage</t>
        </is>
      </c>
      <c r="L486" s="9" t="inlineStr">
        <is>
          <t>NonCritAvg</t>
        </is>
      </c>
      <c r="M486" s="9" t="inlineStr">
        <is>
          <t>CritAvg</t>
        </is>
      </c>
      <c r="N486" s="9" t="inlineStr">
        <is>
          <t>ExpectedDamage(perHit)</t>
        </is>
      </c>
      <c r="O486" s="9" t="inlineStr">
        <is>
          <t>DPS</t>
        </is>
      </c>
      <c r="P486" s="9" t="inlineStr">
        <is>
          <t>% of Total</t>
        </is>
      </c>
      <c r="R486" t="inlineStr">
        <is>
          <t>helpers</t>
        </is>
      </c>
    </row>
    <row r="487">
      <c r="A487">
        <f>Skills!A2</f>
        <v/>
      </c>
      <c r="B487">
        <f>Skills!B2</f>
        <v/>
      </c>
      <c r="C487">
        <f>Inputs!$B$3&gt;=100</f>
        <v/>
      </c>
      <c r="D487" t="inlineStr"/>
      <c r="E487" t="inlineStr"/>
      <c r="F487">
        <f>T489+Skills!N2</f>
        <v/>
      </c>
      <c r="G487">
        <f>Calc!G2</f>
        <v/>
      </c>
      <c r="H487">
        <f>Calc!H2</f>
        <v/>
      </c>
      <c r="I487">
        <f>IF(Skills!T2&lt;&gt;"",1+(Skills!T2/10)*($Z$3/1000)/100,1)</f>
        <v/>
      </c>
      <c r="J487">
        <f>(Inputs!$B$7*(1+Inputs!$B$8/100))*(F487/100)</f>
        <v/>
      </c>
      <c r="K487">
        <f>J487*(1+(((Inputs!$B$14+IF(Inputs!$B$3&gt;=35,0.10*(Inputs!$B$9*(1+Inputs!$B$10/100)),0))*(1+Inputs!$B$15/100))*0.01+Inputs!$B$16*0.0025)/100)*(1+(Inputs!$B$17+B516)/100)*(1+IF(Inputs!$B$40="pvp",0,(1-Summary!$B$48)*(Inputs!$B$22+Skills!O2+B514)+Summary!$B$48*(Inputs!$B$23+Skills!P2+B515))/100)*(1+Inputs!$B$18/100)*(5000/(6000+Inputs!$B$42*(1-Inputs!$B$21/100)))*(1+Inputs!$B$26/100)*(1+IF(C502=TRUE,F502,0)/100)*(1+IF(C504=TRUE,F504,0)/100)*(1+IF(Skills!A2="TRIUMPH_FEATHER",IF(C500=TRUE,F500,0),0)/100)*(1+IF(C511=TRUE,F511,0)/100)^5*(1+(IF(Skills!A2="BIG_BANG",Inputs!$B$19,Inputs!$B$20))/100)*(B513*I487)</f>
        <v/>
      </c>
      <c r="L487">
        <f>K487*(MIN(Inputs!$B$24+(F506-Calc!F21),Inputs!$B$25)/100+Inputs!$B$25/100)/2</f>
        <v/>
      </c>
      <c r="M487">
        <f>L487*(1+(Inputs!$B$12+B517+(F509-Calc!F24))/100)</f>
        <v/>
      </c>
      <c r="N487">
        <f>L487*(1-MIN((Inputs!$B$11+1)+((F508-Calc!F23)+(F507-Calc!F22)),100)/100)+M487*(MIN((Inputs!$B$11+1)+((F508-Calc!F23)+(F507-Calc!F22)),100)/100)</f>
        <v/>
      </c>
      <c r="O487">
        <f>IF(C487,Skills!F2*N487*B521*IF(Inputs!$B$40="pvp",1,(1-Summary!$B$48)*(1)+Summary!$B$48*(MIN((6+Inputs!$B$35),Inputs!$B$39))),0)</f>
        <v/>
      </c>
      <c r="P487">
        <f>IF(B523=0,0,O487/B523)</f>
        <v/>
      </c>
      <c r="Q487">
        <f>IFERROR(1/IF(Inputs!$B$40="pvp",15,MAX(0.1,Skills!D2-IF(Skills!E2=TRUE,Inputs!$B$34,0))),0)</f>
        <v/>
      </c>
      <c r="R487" t="n">
        <v>0</v>
      </c>
      <c r="T487">
        <f>MAX(0,(Inputs!$B$3-100)*3)+Inputs!$B$30+Inputs!$B$31</f>
        <v/>
      </c>
    </row>
    <row r="488">
      <c r="A488">
        <f>Skills!A3</f>
        <v/>
      </c>
      <c r="B488">
        <f>Skills!B3</f>
        <v/>
      </c>
      <c r="C488">
        <f>Inputs!$B$3&gt;=15</f>
        <v/>
      </c>
      <c r="D488">
        <f>IF(Skills!C3=1,60+Inputs!$B$27+Inputs!$B$31,IF(Skills!C3=2,90+Inputs!$B$28+Inputs!$B$31,IF(Skills!C3=3,120+Inputs!$B$29+Inputs!$B$31,MAX(0,(Inputs!$B$3-100)*3)+Inputs!$B$30+Inputs!$B$31)))</f>
        <v/>
      </c>
      <c r="E488">
        <f>INDEX(FactorTable!$B$2:$Y$301, MATCH(ROUND(MIN(300,MAX(1,D488)),0), FactorTable!$A$2:$A$301,0), Skills!L3+1)</f>
        <v/>
      </c>
      <c r="F488">
        <f>IF(Skills!M3=TRUE,(Skills!K3/10)*(E488/1000),Skills!K3/10)+Skills!N3</f>
        <v/>
      </c>
      <c r="G488">
        <f>Calc!G3</f>
        <v/>
      </c>
      <c r="H488">
        <f>Calc!H3</f>
        <v/>
      </c>
      <c r="I488">
        <f>IF(Skills!T3&lt;&gt;"",1+(Skills!T3/10)*($Z$3/1000)/100,1)</f>
        <v/>
      </c>
      <c r="J488" t="inlineStr"/>
      <c r="K488" t="inlineStr"/>
      <c r="L488" t="inlineStr"/>
      <c r="M488" t="inlineStr"/>
      <c r="N488" t="inlineStr"/>
      <c r="O488" t="n">
        <v>0</v>
      </c>
      <c r="P488">
        <f>IF(B523=0,0,O488/B523)</f>
        <v/>
      </c>
      <c r="Q488">
        <f>IFERROR(1/IF(Inputs!$B$40="pvp",15,MAX(0.1,Skills!D3-IF(Skills!E3=TRUE,Inputs!$B$34,0))),0)</f>
        <v/>
      </c>
      <c r="R488">
        <f>IF(AND(Inputs!$B$40&lt;&gt;"pvp",Inputs!$B$43&gt;0),(INT(Inputs!$B$43/IF(Inputs!$B$40="pvp",15,MAX(0.1,Skills!D3-IF(Skills!E3=TRUE,Inputs!$B$34,0))))+1),0)</f>
        <v/>
      </c>
      <c r="T488">
        <f>INDEX(FactorTable!$B$2:$Y$301, MATCH(ROUND(MIN(300,MAX(1,T487)),0), FactorTable!$A$2:$A$301,0), 22)</f>
        <v/>
      </c>
    </row>
    <row r="489">
      <c r="A489">
        <f>Skills!A4</f>
        <v/>
      </c>
      <c r="B489">
        <f>Skills!B4</f>
        <v/>
      </c>
      <c r="C489">
        <f>Inputs!$B$3&gt;=38</f>
        <v/>
      </c>
      <c r="D489">
        <f>IF(Skills!C4=1,60+Inputs!$B$27+Inputs!$B$31,IF(Skills!C4=2,90+Inputs!$B$28+Inputs!$B$31,IF(Skills!C4=3,120+Inputs!$B$29+Inputs!$B$31,MAX(0,(Inputs!$B$3-100)*3)+Inputs!$B$30+Inputs!$B$31)))</f>
        <v/>
      </c>
      <c r="E489">
        <f>INDEX(FactorTable!$B$2:$Y$301, MATCH(ROUND(MIN(300,MAX(1,D489)),0), FactorTable!$A$2:$A$301,0), Skills!L4+1)</f>
        <v/>
      </c>
      <c r="F489">
        <f>IF(Skills!M4=TRUE,(Skills!K4/10)*(E489/1000),Skills!K4/10)+Skills!N4</f>
        <v/>
      </c>
      <c r="G489">
        <f>Calc!G4</f>
        <v/>
      </c>
      <c r="H489">
        <f>Calc!H4</f>
        <v/>
      </c>
      <c r="I489">
        <f>IF(Skills!T4&lt;&gt;"",1+(Skills!T4/10)*($Z$3/1000)/100,1)</f>
        <v/>
      </c>
      <c r="J489" t="inlineStr"/>
      <c r="K489" t="inlineStr"/>
      <c r="L489" t="inlineStr"/>
      <c r="M489" t="inlineStr"/>
      <c r="N489" t="inlineStr"/>
      <c r="O489" t="n">
        <v>0</v>
      </c>
      <c r="P489">
        <f>IF(B523=0,0,O489/B523)</f>
        <v/>
      </c>
      <c r="Q489">
        <f>IFERROR(1/IF(Inputs!$B$40="pvp",15,MAX(0.1,Skills!D4-IF(Skills!E4=TRUE,Inputs!$B$34,0))),0)</f>
        <v/>
      </c>
      <c r="R489">
        <f>IF(AND(Inputs!$B$40&lt;&gt;"pvp",Inputs!$B$43&gt;0),(INT(Inputs!$B$43/IF(Inputs!$B$40="pvp",15,MAX(0.1,Skills!D4-IF(Skills!E4=TRUE,Inputs!$B$34,0))))+1),0)</f>
        <v/>
      </c>
      <c r="T489">
        <f>290*T488/1000</f>
        <v/>
      </c>
    </row>
    <row r="490">
      <c r="A490">
        <f>Skills!A5</f>
        <v/>
      </c>
      <c r="B490">
        <f>Skills!B5</f>
        <v/>
      </c>
      <c r="C490">
        <f>Inputs!$B$3&gt;=40</f>
        <v/>
      </c>
      <c r="D490">
        <f>IF(Skills!C5=1,60+Inputs!$B$27+Inputs!$B$31,IF(Skills!C5=2,90+Inputs!$B$28+Inputs!$B$31,IF(Skills!C5=3,120+Inputs!$B$29+Inputs!$B$31,MAX(0,(Inputs!$B$3-100)*3)+Inputs!$B$30+Inputs!$B$31)))</f>
        <v/>
      </c>
      <c r="E490">
        <f>INDEX(FactorTable!$B$2:$Y$301, MATCH(ROUND(MIN(300,MAX(1,D490)),0), FactorTable!$A$2:$A$301,0), Skills!L5+1)</f>
        <v/>
      </c>
      <c r="F490">
        <f>IF(Skills!M5=TRUE,(Skills!K5/10)*(E490/1000),Skills!K5/10)+Skills!N5</f>
        <v/>
      </c>
      <c r="G490">
        <f>Calc!G5</f>
        <v/>
      </c>
      <c r="H490">
        <f>Calc!H5</f>
        <v/>
      </c>
      <c r="I490">
        <f>IF(Skills!T5&lt;&gt;"",1+(Skills!T5/10)*($Z$3/1000)/100,1)</f>
        <v/>
      </c>
      <c r="J490" t="inlineStr"/>
      <c r="K490" t="inlineStr"/>
      <c r="L490" t="inlineStr"/>
      <c r="M490" t="inlineStr"/>
      <c r="N490" t="inlineStr"/>
      <c r="O490" t="n">
        <v>0</v>
      </c>
      <c r="P490">
        <f>IF(B523=0,0,O490/B523)</f>
        <v/>
      </c>
      <c r="Q490">
        <f>IFERROR(1/IF(Inputs!$B$40="pvp",15,MAX(0.1,Skills!D5-IF(Skills!E5=TRUE,Inputs!$B$34,0))),0)</f>
        <v/>
      </c>
      <c r="R490">
        <f>IF(AND(Inputs!$B$40&lt;&gt;"pvp",Inputs!$B$43&gt;0),(INT(Inputs!$B$43/IF(Inputs!$B$40="pvp",15,MAX(0.1,Skills!D5-IF(Skills!E5=TRUE,Inputs!$B$34,0))))+1),0)</f>
        <v/>
      </c>
    </row>
    <row r="491">
      <c r="A491">
        <f>Skills!A6</f>
        <v/>
      </c>
      <c r="B491">
        <f>Skills!B6</f>
        <v/>
      </c>
      <c r="C491">
        <f>Inputs!$B$3&gt;=103</f>
        <v/>
      </c>
      <c r="D491">
        <f>IF(Skills!C6=1,60+Inputs!$B$27+Inputs!$B$31,IF(Skills!C6=2,90+Inputs!$B$28+Inputs!$B$31,IF(Skills!C6=3,120+Inputs!$B$29+Inputs!$B$31,MAX(0,(Inputs!$B$3-100)*3)+Inputs!$B$30+Inputs!$B$31)))</f>
        <v/>
      </c>
      <c r="E491">
        <f>INDEX(FactorTable!$B$2:$Y$301, MATCH(ROUND(MIN(300,MAX(1,D491)),0), FactorTable!$A$2:$A$301,0), Skills!L6+1)</f>
        <v/>
      </c>
      <c r="F491">
        <f>IF(Skills!M6=TRUE,(Skills!K6/10)*(E491/1000),Skills!K6/10)+Skills!N6</f>
        <v/>
      </c>
      <c r="G491">
        <f>Calc!G6</f>
        <v/>
      </c>
      <c r="H491">
        <f>Calc!H6</f>
        <v/>
      </c>
      <c r="I491">
        <f>IF(Skills!T6&lt;&gt;"",1+(Skills!T6/10)*($Z$3/1000)/100,1)</f>
        <v/>
      </c>
      <c r="J491">
        <f>(Inputs!$B$7*(1+Inputs!$B$8/100))*(F491/100)</f>
        <v/>
      </c>
      <c r="K491">
        <f>J491*(1+(((Inputs!$B$14+IF(Inputs!$B$3&gt;=35,0.10*(Inputs!$B$9*(1+Inputs!$B$10/100)),0))*(1+Inputs!$B$15/100))*0.01+Inputs!$B$16*0.0025)/100)*(1+(Inputs!$B$17+B516)/100)*(1+IF(Inputs!$B$40="pvp",0,(1-Summary!$B$48)*(Inputs!$B$22+Skills!O6+B514)+Summary!$B$48*(Inputs!$B$23+Skills!P6+B515))/100)*(1+Inputs!$B$18/100)*(5000/(6000+Inputs!$B$42*(1-Inputs!$B$21/100)))*(1+Inputs!$B$26/100)*(1+IF(C502=TRUE,F502,0)/100)*(1+IF(C504=TRUE,F504,0)/100)*(1+IF(Skills!A6="TRIUMPH_FEATHER",IF(C500=TRUE,F500,0),0)/100)*(1+IF(C511=TRUE,F511,0)/100)^5*(1+(IF(Skills!A6="BIG_BANG",Inputs!$B$19,Inputs!$B$20))/100)*(B513*I491)</f>
        <v/>
      </c>
      <c r="L491">
        <f>K491*(MIN(Inputs!$B$24+(F506-Calc!F21),Inputs!$B$25)/100+Inputs!$B$25/100)/2</f>
        <v/>
      </c>
      <c r="M491">
        <f>L491*(1+(Inputs!$B$12+B517+(F509-Calc!F24))/100)</f>
        <v/>
      </c>
      <c r="N491">
        <f>L491*(1-MIN((Inputs!$B$11+1)+((F508-Calc!F23)+(F507-Calc!F22)),100)/100)+M491*(MIN((Inputs!$B$11+1)+((F508-Calc!F23)+(F507-Calc!F22)),100)/100)</f>
        <v/>
      </c>
      <c r="O491">
        <f>IF(C491,H491*N491*IF(AND(Inputs!$B$40&lt;&gt;"pvp",Inputs!$B$43&gt;0),((Skills!F6*((R491-1)*IF(Skills!G6&gt;0,Skills!H6/Skills!G6,1)+IF(Skills!G6&gt;0,MIN(Skills!H6,MAX(0,Inputs!$B$43-((R491-1)*IF(Inputs!$B$40="pvp",15,MAX(0.1,Skills!D6-IF(Skills!E6=TRUE,Inputs!$B$34,0))))))/Skills!G6,1)))/Inputs!$B$43),G491*Q491)*IF(Inputs!$B$40="pvp",1,(1-Summary!$B$48)*(1)+Summary!$B$48*(MIN(Skills!Q6,Inputs!$B$39))),0)</f>
        <v/>
      </c>
      <c r="P491">
        <f>IF(B523=0,0,O491/B523)</f>
        <v/>
      </c>
      <c r="Q491">
        <f>IFERROR(1/IF(Inputs!$B$40="pvp",15,MAX(0.1,Skills!D6-IF(Skills!E6=TRUE,Inputs!$B$34,0))),0)</f>
        <v/>
      </c>
      <c r="R491">
        <f>IF(AND(Inputs!$B$40&lt;&gt;"pvp",Inputs!$B$43&gt;0),(INT(Inputs!$B$43/IF(Inputs!$B$40="pvp",15,MAX(0.1,Skills!D6-IF(Skills!E6=TRUE,Inputs!$B$34,0))))+1),0)</f>
        <v/>
      </c>
    </row>
    <row r="492">
      <c r="A492">
        <f>Skills!A7</f>
        <v/>
      </c>
      <c r="B492">
        <f>Skills!B7</f>
        <v/>
      </c>
      <c r="C492">
        <f>Inputs!$B$3&gt;=122</f>
        <v/>
      </c>
      <c r="D492">
        <f>IF(Skills!C7=1,60+Inputs!$B$27+Inputs!$B$31,IF(Skills!C7=2,90+Inputs!$B$28+Inputs!$B$31,IF(Skills!C7=3,120+Inputs!$B$29+Inputs!$B$31,MAX(0,(Inputs!$B$3-100)*3)+Inputs!$B$30+Inputs!$B$31)))</f>
        <v/>
      </c>
      <c r="E492">
        <f>INDEX(FactorTable!$B$2:$Y$301, MATCH(ROUND(MIN(300,MAX(1,D492)),0), FactorTable!$A$2:$A$301,0), Skills!L7+1)</f>
        <v/>
      </c>
      <c r="F492">
        <f>IF(Skills!M7=TRUE,(Skills!K7/10)*(E492/1000),Skills!K7/10)+Skills!N7</f>
        <v/>
      </c>
      <c r="G492">
        <f>Calc!G7</f>
        <v/>
      </c>
      <c r="H492">
        <f>Calc!H7</f>
        <v/>
      </c>
      <c r="I492">
        <f>IF(Skills!T7&lt;&gt;"",1+(Skills!T7/10)*($Z$3/1000)/100,1)</f>
        <v/>
      </c>
      <c r="J492">
        <f>(Inputs!$B$7*(1+Inputs!$B$8/100))*(F492/100)</f>
        <v/>
      </c>
      <c r="K492">
        <f>J492*(1+(((Inputs!$B$14+IF(Inputs!$B$3&gt;=35,0.10*(Inputs!$B$9*(1+Inputs!$B$10/100)),0))*(1+Inputs!$B$15/100))*0.01+Inputs!$B$16*0.0025)/100)*(1+(Inputs!$B$17+B516)/100)*(1+IF(Inputs!$B$40="pvp",0,(1-Summary!$B$48)*(Inputs!$B$22+Skills!O7+B514)+Summary!$B$48*(Inputs!$B$23+Skills!P7+B515))/100)*(1+Inputs!$B$18/100)*(5000/(6000+Inputs!$B$42*(1-Inputs!$B$21/100)))*(1+Inputs!$B$26/100)*(1+IF(C502=TRUE,F502,0)/100)*(1+IF(C504=TRUE,F504,0)/100)*(1+IF(Skills!A7="TRIUMPH_FEATHER",IF(C500=TRUE,F500,0),0)/100)*(1+IF(C511=TRUE,F511,0)/100)^5*(1+(IF(Skills!A7="BIG_BANG",Inputs!$B$19,Inputs!$B$20))/100)*(B513*I492)</f>
        <v/>
      </c>
      <c r="L492">
        <f>K492*(MIN(Inputs!$B$24+(F506-Calc!F21),Inputs!$B$25)/100+Inputs!$B$25/100)/2</f>
        <v/>
      </c>
      <c r="M492">
        <f>L492*(1+(Inputs!$B$12+B517+(F509-Calc!F24))/100)</f>
        <v/>
      </c>
      <c r="N492">
        <f>L492*(1-MIN((Inputs!$B$11+1)+((F508-Calc!F23)+(F507-Calc!F22)),100)/100)+M492*(MIN((Inputs!$B$11+1)+((F508-Calc!F23)+(F507-Calc!F22)),100)/100)</f>
        <v/>
      </c>
      <c r="O492">
        <f>IF(C492,H492*N492*IF(AND(Inputs!$B$40&lt;&gt;"pvp",Inputs!$B$43&gt;0),((Skills!F7*((R492-1)*IF(Skills!G7&gt;0,Skills!H7/Skills!G7,1)+IF(Skills!G7&gt;0,MIN(Skills!H7,MAX(0,Inputs!$B$43-((R492-1)*IF(Inputs!$B$40="pvp",15,MAX(0.1,Skills!D7-IF(Skills!E6=TRUE,Inputs!$B$34,0))))))/Skills!G7,1)))/Inputs!$B$43),G492*Q492)*(1-Summary!$B$48),0)</f>
        <v/>
      </c>
      <c r="P492">
        <f>IF(B523=0,0,O492/B523)</f>
        <v/>
      </c>
      <c r="Q492">
        <f>IFERROR(1/IF(Inputs!$B$40="pvp",15,MAX(0.1,Skills!D7-IF(Skills!E6=TRUE,Inputs!$B$34,0))),0)</f>
        <v/>
      </c>
      <c r="R492">
        <f>IF(AND(Inputs!$B$40&lt;&gt;"pvp",Inputs!$B$43&gt;0),(INT(Inputs!$B$43/IF(Inputs!$B$40="pvp",15,MAX(0.1,Skills!D7-IF(Skills!E6=TRUE,Inputs!$B$34,0))))+1),0)</f>
        <v/>
      </c>
    </row>
    <row r="493">
      <c r="A493">
        <f>Skills!A8</f>
        <v/>
      </c>
      <c r="B493">
        <f>Skills!B8</f>
        <v/>
      </c>
      <c r="C493">
        <f>Inputs!$B$3&gt;=105</f>
        <v/>
      </c>
      <c r="D493">
        <f>IF(Skills!C8=1,60+Inputs!$B$27+Inputs!$B$31,IF(Skills!C8=2,90+Inputs!$B$28+Inputs!$B$31,IF(Skills!C8=3,120+Inputs!$B$29+Inputs!$B$31,MAX(0,(Inputs!$B$3-100)*3)+Inputs!$B$30+Inputs!$B$31)))</f>
        <v/>
      </c>
      <c r="E493">
        <f>INDEX(FactorTable!$B$2:$Y$301, MATCH(ROUND(MIN(300,MAX(1,D493)),0), FactorTable!$A$2:$A$301,0), Skills!L8+1)</f>
        <v/>
      </c>
      <c r="F493">
        <f>IF(Skills!M8=TRUE,(Skills!K8/10)*(E493/1000),Skills!K8/10)+Skills!N8</f>
        <v/>
      </c>
      <c r="G493">
        <f>Calc!G8</f>
        <v/>
      </c>
      <c r="H493">
        <f>Calc!H8</f>
        <v/>
      </c>
      <c r="I493">
        <f>IF(Skills!T8&lt;&gt;"",1+(Skills!T8/10)*($Z$3/1000)/100,1)</f>
        <v/>
      </c>
      <c r="J493">
        <f>(Inputs!$B$7*(1+Inputs!$B$8/100))*(F493/100)</f>
        <v/>
      </c>
      <c r="K493">
        <f>J493*(1+(((Inputs!$B$14+IF(Inputs!$B$3&gt;=35,0.10*(Inputs!$B$9*(1+Inputs!$B$10/100)),0))*(1+Inputs!$B$15/100))*0.01+Inputs!$B$16*0.0025)/100)*(1+(Inputs!$B$17+B516)/100)*(1+IF(Inputs!$B$40="pvp",0,(1-Summary!$B$48)*(Inputs!$B$22+Skills!O8+B514)+Summary!$B$48*(Inputs!$B$23+Skills!P8+B515))/100)*(1+Inputs!$B$18/100)*(5000/(6000+Inputs!$B$42*(1-Inputs!$B$21/100)))*(1+Inputs!$B$26/100)*(1+IF(C502=TRUE,F502,0)/100)*(1+IF(C504=TRUE,F504,0)/100)*(1+IF(Skills!A8="TRIUMPH_FEATHER",IF(C500=TRUE,F500,0),0)/100)*(1+IF(C511=TRUE,F511,0)/100)^5*(1+(IF(Skills!A8="BIG_BANG",Inputs!$B$19,Inputs!$B$20))/100)*(B513*I493)</f>
        <v/>
      </c>
      <c r="L493">
        <f>K493*(MIN(Inputs!$B$24+(F506-Calc!F21),Inputs!$B$25)/100+Inputs!$B$25/100)/2</f>
        <v/>
      </c>
      <c r="M493">
        <f>L493*(1+(Inputs!$B$12+B517+(F509-Calc!F24))/100)</f>
        <v/>
      </c>
      <c r="N493">
        <f>L493*(1-MIN((Inputs!$B$11+1)+((F508-Calc!F23)+(F507-Calc!F22)),100)/100)+M493*(MIN((Inputs!$B$11+1)+((F508-Calc!F23)+(F507-Calc!F22)),100)/100)</f>
        <v/>
      </c>
      <c r="O493">
        <f>IF(C493,H493*N493*IF(AND(Inputs!$B$40&lt;&gt;"pvp",Inputs!$B$43&gt;0),((Skills!F8*((R493-1)*IF(Skills!G8&gt;0,Skills!H8/Skills!G8,1)+IF(Skills!G8&gt;0,MIN(Skills!H8,MAX(0,Inputs!$B$43-((R493-1)*IF(Inputs!$B$40="pvp",15,MAX(0.1,Skills!D8-IF(Skills!E8=TRUE,Inputs!$B$34,0))))))/Skills!G8,1)))/Inputs!$B$43),G493*Q493)*IF(Inputs!$B$40="pvp",1,(1-Summary!$B$48)*(1)+Summary!$B$48*(MIN(Skills!Q8,Inputs!$B$39))),0)</f>
        <v/>
      </c>
      <c r="P493">
        <f>IF(B523=0,0,O493/B523)</f>
        <v/>
      </c>
      <c r="Q493">
        <f>IFERROR(1/IF(Inputs!$B$40="pvp",15,MAX(0.1,Skills!D8-IF(Skills!E8=TRUE,Inputs!$B$34,0))),0)</f>
        <v/>
      </c>
      <c r="R493">
        <f>IF(AND(Inputs!$B$40&lt;&gt;"pvp",Inputs!$B$43&gt;0),(INT(Inputs!$B$43/IF(Inputs!$B$40="pvp",15,MAX(0.1,Skills!D8-IF(Skills!E8=TRUE,Inputs!$B$34,0))))+1),0)</f>
        <v/>
      </c>
    </row>
    <row r="494">
      <c r="A494">
        <f>Skills!A9</f>
        <v/>
      </c>
      <c r="B494">
        <f>Skills!B9</f>
        <v/>
      </c>
      <c r="C494">
        <f>Inputs!$B$3&gt;=115</f>
        <v/>
      </c>
      <c r="D494">
        <f>IF(Skills!C9=1,60+Inputs!$B$27+Inputs!$B$31,IF(Skills!C9=2,90+Inputs!$B$28+Inputs!$B$31,IF(Skills!C9=3,120+Inputs!$B$29+Inputs!$B$31,MAX(0,(Inputs!$B$3-100)*3)+Inputs!$B$30+Inputs!$B$31)))</f>
        <v/>
      </c>
      <c r="E494">
        <f>INDEX(FactorTable!$B$2:$Y$301, MATCH(ROUND(MIN(300,MAX(1,D494)),0), FactorTable!$A$2:$A$301,0), Skills!L9+1)</f>
        <v/>
      </c>
      <c r="F494">
        <f>IF(Skills!M9=TRUE,(Skills!K9/10)*(E494/1000),Skills!K9/10)+Skills!N9</f>
        <v/>
      </c>
      <c r="G494">
        <f>Calc!G9</f>
        <v/>
      </c>
      <c r="H494">
        <f>Calc!H9</f>
        <v/>
      </c>
      <c r="I494">
        <f>IF(Skills!T9&lt;&gt;"",1+(Skills!T9/10)*($Z$3/1000)/100,1)</f>
        <v/>
      </c>
      <c r="J494">
        <f>(Inputs!$B$7*(1+Inputs!$B$8/100))*(F494/100)</f>
        <v/>
      </c>
      <c r="K494">
        <f>J494*(1+(((Inputs!$B$14+IF(Inputs!$B$3&gt;=35,0.10*(Inputs!$B$9*(1+Inputs!$B$10/100)),0))*(1+Inputs!$B$15/100))*0.01+Inputs!$B$16*0.0025)/100)*(1+(Inputs!$B$17+B516)/100)*(1+IF(Inputs!$B$40="pvp",0,(1-Summary!$B$48)*(Inputs!$B$22+Skills!O9+B514)+Summary!$B$48*(Inputs!$B$23+Skills!P9+B515))/100)*(1+Inputs!$B$18/100)*(5000/(6000+Inputs!$B$42*(1-Inputs!$B$21/100)))*(1+Inputs!$B$26/100)*(1+IF(C502=TRUE,F502,0)/100)*(1+IF(C504=TRUE,F504,0)/100)*(1+IF(Skills!A9="TRIUMPH_FEATHER",IF(C500=TRUE,F500,0),0)/100)*(1+IF(C511=TRUE,F511,0)/100)^5*(1+(IF(Skills!A9="BIG_BANG",Inputs!$B$19,Inputs!$B$20))/100)*(B513*I494)</f>
        <v/>
      </c>
      <c r="L494">
        <f>K494*(MIN(Inputs!$B$24+(F506-Calc!F21),Inputs!$B$25)/100+Inputs!$B$25/100)/2</f>
        <v/>
      </c>
      <c r="M494">
        <f>L494*(1+(Inputs!$B$12+B517+(F509-Calc!F24))/100)</f>
        <v/>
      </c>
      <c r="N494">
        <f>L494*(1-MIN((Inputs!$B$11+1)+((F508-Calc!F23)+(F507-Calc!F22)),100)/100)+M494*(MIN((Inputs!$B$11+1)+((F508-Calc!F23)+(F507-Calc!F22)),100)/100)</f>
        <v/>
      </c>
      <c r="O494">
        <f>IF(C494,H494*N494*IF(AND(Inputs!$B$40&lt;&gt;"pvp",Inputs!$B$43&gt;0),((Skills!F9*((R494-1)*IF(Skills!G9&gt;0,Skills!H9/Skills!G9,1)+IF(Skills!G9&gt;0,MIN(Skills!H9,MAX(0,Inputs!$B$43-((R494-1)*IF(Inputs!$B$40="pvp",15,MAX(0.1,Skills!D9-IF(Skills!E9=TRUE,Inputs!$B$34,0))))))/Skills!G9,1)))/Inputs!$B$43),G494*Q494)*IF(Inputs!$B$40="pvp",1,(1-Summary!$B$48)*(1)+Summary!$B$48*(MIN(Skills!Q9,Inputs!$B$39))),0)</f>
        <v/>
      </c>
      <c r="P494">
        <f>IF(B523=0,0,O494/B523)</f>
        <v/>
      </c>
      <c r="Q494">
        <f>IFERROR(1/IF(Inputs!$B$40="pvp",15,MAX(0.1,Skills!D9-IF(Skills!E9=TRUE,Inputs!$B$34,0))),0)</f>
        <v/>
      </c>
      <c r="R494">
        <f>IF(AND(Inputs!$B$40&lt;&gt;"pvp",Inputs!$B$43&gt;0),(INT(Inputs!$B$43/IF(Inputs!$B$40="pvp",15,MAX(0.1,Skills!D9-IF(Skills!E9=TRUE,Inputs!$B$34,0))))+1),0)</f>
        <v/>
      </c>
    </row>
    <row r="495">
      <c r="A495">
        <f>Skills!A10</f>
        <v/>
      </c>
      <c r="B495">
        <f>Skills!B10</f>
        <v/>
      </c>
      <c r="C495">
        <f>Inputs!$B$3&gt;=66</f>
        <v/>
      </c>
      <c r="D495">
        <f>IF(Skills!C10=1,60+Inputs!$B$27+Inputs!$B$31,IF(Skills!C10=2,90+Inputs!$B$28+Inputs!$B$31,IF(Skills!C10=3,120+Inputs!$B$29+Inputs!$B$31,MAX(0,(Inputs!$B$3-100)*3)+Inputs!$B$30+Inputs!$B$31)))</f>
        <v/>
      </c>
      <c r="E495">
        <f>INDEX(FactorTable!$B$2:$Y$301, MATCH(ROUND(MIN(300,MAX(1,D495)),0), FactorTable!$A$2:$A$301,0), Skills!L10+1)</f>
        <v/>
      </c>
      <c r="F495" t="n">
        <v>0</v>
      </c>
      <c r="G495">
        <f>Calc!G10</f>
        <v/>
      </c>
      <c r="H495">
        <f>Calc!H10</f>
        <v/>
      </c>
      <c r="I495">
        <f>IF(Skills!T10&lt;&gt;"",1+(Skills!T10/10)*($Z$3/1000)/100,1)</f>
        <v/>
      </c>
      <c r="J495" t="inlineStr"/>
      <c r="K495" t="inlineStr"/>
      <c r="L495" t="inlineStr"/>
      <c r="M495" t="inlineStr"/>
      <c r="N495" t="inlineStr"/>
      <c r="O495" t="n">
        <v>0</v>
      </c>
      <c r="P495">
        <f>IF(B523=0,0,O495/B523)</f>
        <v/>
      </c>
      <c r="Q495">
        <f>IFERROR(1/IF(Inputs!$B$40="pvp",15,MAX(0.1,Skills!D10-IF(Skills!E10=TRUE,Inputs!$B$34,0))),0)</f>
        <v/>
      </c>
      <c r="R495">
        <f>IF(AND(Inputs!$B$40&lt;&gt;"pvp",Inputs!$B$43&gt;0),(INT(Inputs!$B$43/IF(Inputs!$B$40="pvp",15,MAX(0.1,Skills!D10-IF(Skills!E10=TRUE,Inputs!$B$34,0))))+1),0)</f>
        <v/>
      </c>
    </row>
    <row r="496">
      <c r="A496">
        <f>Skills!A11</f>
        <v/>
      </c>
      <c r="B496">
        <f>Skills!B11</f>
        <v/>
      </c>
      <c r="C496">
        <f>Inputs!$B$3&gt;=69</f>
        <v/>
      </c>
      <c r="D496">
        <f>IF(Skills!C11=1,60+Inputs!$B$27+Inputs!$B$31,IF(Skills!C11=2,90+Inputs!$B$28+Inputs!$B$31,IF(Skills!C11=3,120+Inputs!$B$29+Inputs!$B$31,MAX(0,(Inputs!$B$3-100)*3)+Inputs!$B$30+Inputs!$B$31)))</f>
        <v/>
      </c>
      <c r="E496">
        <f>INDEX(FactorTable!$B$2:$Y$301, MATCH(ROUND(MIN(300,MAX(1,D496)),0), FactorTable!$A$2:$A$301,0), Skills!L11+1)</f>
        <v/>
      </c>
      <c r="F496">
        <f>IF(Skills!M11=TRUE,(Skills!K11/10)*(E496/1000),Skills!K11/10)+Skills!N11</f>
        <v/>
      </c>
      <c r="G496">
        <f>Calc!G11</f>
        <v/>
      </c>
      <c r="H496">
        <f>Calc!H11</f>
        <v/>
      </c>
      <c r="I496">
        <f>IF(Skills!T11&lt;&gt;"",1+(Skills!T11/10)*($Z$3/1000)/100,1)</f>
        <v/>
      </c>
      <c r="J496" t="inlineStr"/>
      <c r="K496" t="inlineStr"/>
      <c r="L496" t="inlineStr"/>
      <c r="M496" t="inlineStr"/>
      <c r="N496" t="inlineStr"/>
      <c r="O496" t="n">
        <v>0</v>
      </c>
      <c r="P496">
        <f>IF(B523=0,0,O496/B523)</f>
        <v/>
      </c>
      <c r="Q496">
        <f>IFERROR(1/IF(Inputs!$B$40="pvp",15,MAX(0.1,Skills!D11-IF(Skills!E11=TRUE,Inputs!$B$34,0))),0)</f>
        <v/>
      </c>
      <c r="R496">
        <f>IF(AND(Inputs!$B$40&lt;&gt;"pvp",Inputs!$B$43&gt;0),(INT(Inputs!$B$43/IF(Inputs!$B$40="pvp",15,MAX(0.1,Skills!D11-IF(Skills!E11=TRUE,Inputs!$B$34,0))))+1),0)</f>
        <v/>
      </c>
    </row>
    <row r="497">
      <c r="A497">
        <f>Skills!A12</f>
        <v/>
      </c>
      <c r="B497">
        <f>Skills!B12</f>
        <v/>
      </c>
      <c r="C497">
        <f>Inputs!$B$3&gt;=72</f>
        <v/>
      </c>
      <c r="D497">
        <f>IF(Skills!C12=1,60+Inputs!$B$27+Inputs!$B$31,IF(Skills!C12=2,90+Inputs!$B$28+Inputs!$B$31,IF(Skills!C12=3,120+Inputs!$B$29+Inputs!$B$31,MAX(0,(Inputs!$B$3-100)*3)+Inputs!$B$30+Inputs!$B$31)))</f>
        <v/>
      </c>
      <c r="E497">
        <f>INDEX(FactorTable!$B$2:$Y$301, MATCH(ROUND(MIN(300,MAX(1,D497)),0), FactorTable!$A$2:$A$301,0), Skills!L12+1)</f>
        <v/>
      </c>
      <c r="F497">
        <f>IF(Skills!M12=TRUE,(Skills!K12/10)*(E497/1000),Skills!K12/10)+Skills!N12</f>
        <v/>
      </c>
      <c r="G497">
        <f>Calc!G12</f>
        <v/>
      </c>
      <c r="H497">
        <f>Calc!H12</f>
        <v/>
      </c>
      <c r="I497">
        <f>IF(Skills!T12&lt;&gt;"",1+(Skills!T12/10)*($Z$3/1000)/100,1)</f>
        <v/>
      </c>
      <c r="J497" t="inlineStr"/>
      <c r="K497" t="inlineStr"/>
      <c r="L497" t="inlineStr"/>
      <c r="M497" t="inlineStr"/>
      <c r="N497" t="inlineStr"/>
      <c r="O497" t="n">
        <v>0</v>
      </c>
      <c r="P497">
        <f>IF(B523=0,0,O497/B523)</f>
        <v/>
      </c>
      <c r="Q497">
        <f>IFERROR(1/IF(Inputs!$B$40="pvp",15,MAX(0.1,Skills!D12-IF(Skills!E12=TRUE,Inputs!$B$34,0))),0)</f>
        <v/>
      </c>
      <c r="R497">
        <f>IF(AND(Inputs!$B$40&lt;&gt;"pvp",Inputs!$B$43&gt;0),(INT(Inputs!$B$43/IF(Inputs!$B$40="pvp",15,MAX(0.1,Skills!D12-IF(Skills!E12=TRUE,Inputs!$B$34,0))))+1),0)</f>
        <v/>
      </c>
    </row>
    <row r="498">
      <c r="A498">
        <f>Skills!A13</f>
        <v/>
      </c>
      <c r="B498">
        <f>Skills!B13</f>
        <v/>
      </c>
      <c r="C498">
        <f>Inputs!$B$3&gt;=107</f>
        <v/>
      </c>
      <c r="D498">
        <f>IF(Skills!C13=1,60+Inputs!$B$27+Inputs!$B$31,IF(Skills!C13=2,90+Inputs!$B$28+Inputs!$B$31,IF(Skills!C13=3,120+Inputs!$B$29+Inputs!$B$31,MAX(0,(Inputs!$B$3-100)*3)+Inputs!$B$30+Inputs!$B$31)))</f>
        <v/>
      </c>
      <c r="E498">
        <f>INDEX(FactorTable!$B$2:$Y$301, MATCH(ROUND(MIN(300,MAX(1,D498)),0), FactorTable!$A$2:$A$301,0), Skills!L13+1)</f>
        <v/>
      </c>
      <c r="F498">
        <f>IF(Skills!M13=TRUE,(Skills!K13/10)*(E498/1000),Skills!K13/10)+Skills!N13</f>
        <v/>
      </c>
      <c r="G498">
        <f>Calc!G13</f>
        <v/>
      </c>
      <c r="H498">
        <f>Calc!H13</f>
        <v/>
      </c>
      <c r="I498">
        <f>IF(Skills!T13&lt;&gt;"",1+(Skills!T13/10)*($Z$3/1000)/100,1)</f>
        <v/>
      </c>
      <c r="J498" t="inlineStr"/>
      <c r="K498" t="inlineStr"/>
      <c r="L498" t="inlineStr"/>
      <c r="M498" t="inlineStr"/>
      <c r="N498" t="inlineStr"/>
      <c r="O498" t="n">
        <v>0</v>
      </c>
      <c r="P498">
        <f>IF(B523=0,0,O498/B523)</f>
        <v/>
      </c>
      <c r="Q498">
        <f>IFERROR(1/IF(Inputs!$B$40="pvp",15,MAX(0.1,Skills!D13-IF(Skills!E13=TRUE,Inputs!$B$34,0))),0)</f>
        <v/>
      </c>
      <c r="R498">
        <f>IF(AND(Inputs!$B$40&lt;&gt;"pvp",Inputs!$B$43&gt;0),(INT(Inputs!$B$43/IF(Inputs!$B$40="pvp",15,MAX(0.1,Skills!D13-IF(Skills!E13=TRUE,Inputs!$B$34,0))))+1),0)</f>
        <v/>
      </c>
    </row>
    <row r="499">
      <c r="A499">
        <f>Skills!A14</f>
        <v/>
      </c>
      <c r="B499">
        <f>Skills!B14</f>
        <v/>
      </c>
      <c r="C499">
        <f>Inputs!$B$3&gt;=63</f>
        <v/>
      </c>
      <c r="D499">
        <f>IF(Skills!C14=1,60+Inputs!$B$27+Inputs!$B$31,IF(Skills!C14=2,90+Inputs!$B$28+Inputs!$B$31,IF(Skills!C14=3,120+Inputs!$B$29+Inputs!$B$31,MAX(0,(Inputs!$B$3-100)*3)+Inputs!$B$30+Inputs!$B$31)))</f>
        <v/>
      </c>
      <c r="E499">
        <f>INDEX(FactorTable!$B$2:$Y$301, MATCH(ROUND(MIN(300,MAX(1,D499)),0), FactorTable!$A$2:$A$301,0), Skills!L14+1)</f>
        <v/>
      </c>
      <c r="F499">
        <f>IF(Skills!M14=TRUE,(Skills!K14/10)*(E499/1000),Skills!K14/10)+Skills!N14</f>
        <v/>
      </c>
      <c r="G499">
        <f>Calc!G14</f>
        <v/>
      </c>
      <c r="H499">
        <f>Calc!H14</f>
        <v/>
      </c>
      <c r="I499">
        <f>IF(Skills!T14&lt;&gt;"",1+(Skills!T14/10)*($Z$3/1000)/100,1)</f>
        <v/>
      </c>
      <c r="J499">
        <f>(Inputs!$B$7*(1+Inputs!$B$8/100))*(F499/100)</f>
        <v/>
      </c>
      <c r="K499">
        <f>J499*(1+(((Inputs!$B$14+IF(Inputs!$B$3&gt;=35,0.10*(Inputs!$B$9*(1+Inputs!$B$10/100)),0))*(1+Inputs!$B$15/100))*0.01+Inputs!$B$16*0.0025)/100)*(1+(Inputs!$B$17+B516)/100)*(1+IF(Inputs!$B$40="pvp",0,(1-Summary!$B$48)*(Inputs!$B$22+Skills!O14+B514)+Summary!$B$48*(Inputs!$B$23+Skills!P14+B515))/100)*(1+Inputs!$B$18/100)*(5000/(6000+Inputs!$B$42*(1-Inputs!$B$21/100)))*(1+Inputs!$B$26/100)*(1+IF(C502=TRUE,F502,0)/100)*(1+IF(C504=TRUE,F504,0)/100)*(1+IF(Skills!A14="TRIUMPH_FEATHER",IF(C500=TRUE,F500,0),0)/100)*(1+IF(C511=TRUE,F511,0)/100)^5*(1+(IF(Skills!A14="BIG_BANG",Inputs!$B$19,Inputs!$B$20))/100)*(B513*I499)</f>
        <v/>
      </c>
      <c r="L499">
        <f>K499*(MIN(Inputs!$B$24+(F506-Calc!F21),Inputs!$B$25)/100+Inputs!$B$25/100)/2</f>
        <v/>
      </c>
      <c r="M499">
        <f>L499*(1+(Inputs!$B$12+B517+(F509-Calc!F24))/100)</f>
        <v/>
      </c>
      <c r="N499">
        <f>L499*(1-MIN((Inputs!$B$11+1)+((F508-Calc!F23)+(F507-Calc!F22)),100)/100)+M499*(MIN((Inputs!$B$11+1)+((F508-Calc!F23)+(F507-Calc!F22)),100)/100)</f>
        <v/>
      </c>
      <c r="O499">
        <f>IF(C499,Skills!F14*N499*((IF(Inputs!$B$3&gt;=78,25,15)/100*B519*10)/(1+IF(Inputs!$B$3&gt;=78,25,15)/100*B519*10))*(Skills!I14/100*B519)/(1+Skills!G14*Skills!I14/100*B519)*IF(Inputs!$B$40="pvp",1,(1-Summary!$B$48)*(1)+Summary!$B$48*(MIN(Skills!Q14,Inputs!$B$39))),0)</f>
        <v/>
      </c>
      <c r="P499">
        <f>IF(B523=0,0,O499/B523)</f>
        <v/>
      </c>
      <c r="Q499">
        <f>IFERROR(1/IF(Inputs!$B$40="pvp",15,MAX(0.1,Skills!D14-IF(Skills!E14=TRUE,Inputs!$B$34,0))),0)</f>
        <v/>
      </c>
      <c r="R499" t="n">
        <v>0</v>
      </c>
    </row>
    <row r="500">
      <c r="A500">
        <f>Skills!A15</f>
        <v/>
      </c>
      <c r="B500">
        <f>Skills!B15</f>
        <v/>
      </c>
      <c r="C500">
        <f>Inputs!$B$3&gt;=100</f>
        <v/>
      </c>
      <c r="D500">
        <f>IF(Skills!C15=1,60+Inputs!$B$27+Inputs!$B$31,IF(Skills!C15=2,90+Inputs!$B$28+Inputs!$B$31,IF(Skills!C15=3,120+Inputs!$B$29+Inputs!$B$31,MAX(0,(Inputs!$B$3-100)*3)+Inputs!$B$30+Inputs!$B$31)))</f>
        <v/>
      </c>
      <c r="E500">
        <f>INDEX(FactorTable!$B$2:$Y$301, MATCH(ROUND(MIN(300,MAX(1,D500)),0), FactorTable!$A$2:$A$301,0), Skills!L15+1)</f>
        <v/>
      </c>
      <c r="F500">
        <f>IF(Skills!M15=TRUE,(Skills!K15/10)*(E500/1000),Skills!K15/10)+Skills!N15</f>
        <v/>
      </c>
      <c r="G500">
        <f>Calc!G15</f>
        <v/>
      </c>
      <c r="H500">
        <f>Calc!H15</f>
        <v/>
      </c>
      <c r="I500">
        <f>IF(Skills!T15&lt;&gt;"",1+(Skills!T15/10)*($Z$3/1000)/100,1)</f>
        <v/>
      </c>
      <c r="J500" t="inlineStr"/>
      <c r="K500" t="inlineStr"/>
      <c r="L500" t="inlineStr"/>
      <c r="M500" t="inlineStr"/>
      <c r="N500" t="inlineStr"/>
      <c r="O500" t="n">
        <v>0</v>
      </c>
      <c r="P500">
        <f>IF(B523=0,0,O500/B523)</f>
        <v/>
      </c>
      <c r="Q500">
        <f>IFERROR(1/IF(Inputs!$B$40="pvp",15,MAX(0.1,Skills!D15-IF(Skills!E15=TRUE,Inputs!$B$34,0))),0)</f>
        <v/>
      </c>
      <c r="R500" t="n">
        <v>0</v>
      </c>
    </row>
    <row r="501">
      <c r="A501">
        <f>Skills!A16</f>
        <v/>
      </c>
      <c r="B501">
        <f>Skills!B16</f>
        <v/>
      </c>
      <c r="C501">
        <f>Inputs!$B$3&gt;=49</f>
        <v/>
      </c>
      <c r="D501">
        <f>IF(Skills!C16=1,60+Inputs!$B$27+Inputs!$B$31,IF(Skills!C16=2,90+Inputs!$B$28+Inputs!$B$31,IF(Skills!C16=3,120+Inputs!$B$29+Inputs!$B$31,MAX(0,(Inputs!$B$3-100)*3)+Inputs!$B$30+Inputs!$B$31)))</f>
        <v/>
      </c>
      <c r="E501">
        <f>INDEX(FactorTable!$B$2:$Y$301, MATCH(ROUND(MIN(300,MAX(1,D501)),0), FactorTable!$A$2:$A$301,0), Skills!L16+1)</f>
        <v/>
      </c>
      <c r="F501">
        <f>IF(Skills!M16=TRUE,(Skills!K16/10)*(E501/1000),Skills!K16/10)+Skills!N16</f>
        <v/>
      </c>
      <c r="G501">
        <f>Calc!G16</f>
        <v/>
      </c>
      <c r="H501">
        <f>Calc!H16</f>
        <v/>
      </c>
      <c r="I501">
        <f>IF(Skills!T16&lt;&gt;"",1+(Skills!T16/10)*($Z$3/1000)/100,1)</f>
        <v/>
      </c>
      <c r="J501" t="inlineStr"/>
      <c r="K501" t="inlineStr"/>
      <c r="L501" t="inlineStr"/>
      <c r="M501" t="inlineStr"/>
      <c r="N501" t="inlineStr"/>
      <c r="O501" t="n">
        <v>0</v>
      </c>
      <c r="P501">
        <f>IF(B523=0,0,O501/B523)</f>
        <v/>
      </c>
      <c r="Q501">
        <f>IFERROR(1/IF(Inputs!$B$40="pvp",15,MAX(0.1,Skills!D16-IF(Skills!E16=TRUE,Inputs!$B$34,0))),0)</f>
        <v/>
      </c>
      <c r="R501" t="n">
        <v>0</v>
      </c>
    </row>
    <row r="502">
      <c r="A502">
        <f>Skills!A17</f>
        <v/>
      </c>
      <c r="B502">
        <f>Skills!B17</f>
        <v/>
      </c>
      <c r="C502">
        <f>Inputs!$B$3&gt;=75</f>
        <v/>
      </c>
      <c r="D502">
        <f>IF(Skills!C17=1,60+Inputs!$B$27+Inputs!$B$31,IF(Skills!C17=2,90+Inputs!$B$28+Inputs!$B$31,IF(Skills!C17=3,120+Inputs!$B$29+Inputs!$B$31,MAX(0,(Inputs!$B$3-100)*3)+Inputs!$B$30+Inputs!$B$31)))</f>
        <v/>
      </c>
      <c r="E502">
        <f>INDEX(FactorTable!$B$2:$Y$301, MATCH(ROUND(MIN(300,MAX(1,D502)),0), FactorTable!$A$2:$A$301,0), Skills!L17+1)</f>
        <v/>
      </c>
      <c r="F502">
        <f>IF(Skills!M17=TRUE,(Skills!K17/10)*(E502/1000),Skills!K17/10)+Skills!N17</f>
        <v/>
      </c>
      <c r="G502">
        <f>Calc!G17</f>
        <v/>
      </c>
      <c r="H502">
        <f>Calc!H17</f>
        <v/>
      </c>
      <c r="I502">
        <f>IF(Skills!T17&lt;&gt;"",1+(Skills!T17/10)*($Z$3/1000)/100,1)</f>
        <v/>
      </c>
      <c r="J502" t="inlineStr"/>
      <c r="K502" t="inlineStr"/>
      <c r="L502" t="inlineStr"/>
      <c r="M502" t="inlineStr"/>
      <c r="N502" t="inlineStr"/>
      <c r="O502" t="n">
        <v>0</v>
      </c>
      <c r="P502">
        <f>IF(B523=0,0,O502/B523)</f>
        <v/>
      </c>
      <c r="Q502">
        <f>IFERROR(1/IF(Inputs!$B$40="pvp",15,MAX(0.1,Skills!D17-IF(Skills!E17=TRUE,Inputs!$B$34,0))),0)</f>
        <v/>
      </c>
      <c r="R502" t="n">
        <v>0</v>
      </c>
    </row>
    <row r="503">
      <c r="A503">
        <f>Skills!A18</f>
        <v/>
      </c>
      <c r="B503">
        <f>Skills!B18</f>
        <v/>
      </c>
      <c r="C503">
        <f>Inputs!$B$3&gt;=110</f>
        <v/>
      </c>
      <c r="D503">
        <f>IF(Skills!C18=1,60+Inputs!$B$27+Inputs!$B$31,IF(Skills!C18=2,90+Inputs!$B$28+Inputs!$B$31,IF(Skills!C18=3,120+Inputs!$B$29+Inputs!$B$31,MAX(0,(Inputs!$B$3-100)*3)+Inputs!$B$30+Inputs!$B$31)))</f>
        <v/>
      </c>
      <c r="E503">
        <f>INDEX(FactorTable!$B$2:$Y$301, MATCH(ROUND(MIN(300,MAX(1,D503)),0), FactorTable!$A$2:$A$301,0), Skills!L18+1)</f>
        <v/>
      </c>
      <c r="F503">
        <f>(Skills!K18/10)*(E503/1000)*64/45+Skills!N18</f>
        <v/>
      </c>
      <c r="G503">
        <f>Calc!G18</f>
        <v/>
      </c>
      <c r="H503">
        <f>Calc!H18</f>
        <v/>
      </c>
      <c r="I503">
        <f>IF(Skills!T18&lt;&gt;"",1+(Skills!T18/10)*($Z$3/1000)/100,1)</f>
        <v/>
      </c>
      <c r="J503" t="inlineStr"/>
      <c r="K503" t="inlineStr"/>
      <c r="L503" t="inlineStr"/>
      <c r="M503" t="inlineStr"/>
      <c r="N503" t="inlineStr"/>
      <c r="O503" t="n">
        <v>0</v>
      </c>
      <c r="P503">
        <f>IF(B523=0,0,O503/B523)</f>
        <v/>
      </c>
      <c r="Q503">
        <f>IFERROR(1/IF(Inputs!$B$40="pvp",15,MAX(0.1,Skills!D18-IF(Skills!E18=TRUE,Inputs!$B$34,0))),0)</f>
        <v/>
      </c>
      <c r="R503">
        <f>IF(AND(Inputs!$B$40&lt;&gt;"pvp",Inputs!$B$43&gt;0),(INT(Inputs!$B$43/IF(Inputs!$B$40="pvp",15,MAX(0.1,Skills!D18-IF(Skills!E18=TRUE,Inputs!$B$34,0))))+1),0)</f>
        <v/>
      </c>
    </row>
    <row r="504">
      <c r="A504">
        <f>Skills!A19</f>
        <v/>
      </c>
      <c r="B504">
        <f>Skills!B19</f>
        <v/>
      </c>
      <c r="C504">
        <f>Inputs!$B$3&gt;=125</f>
        <v/>
      </c>
      <c r="D504">
        <f>IF(Skills!C19=1,60+Inputs!$B$27+Inputs!$B$31,IF(Skills!C19=2,90+Inputs!$B$28+Inputs!$B$31,IF(Skills!C19=3,120+Inputs!$B$29+Inputs!$B$31,MAX(0,(Inputs!$B$3-100)*3)+Inputs!$B$30+Inputs!$B$31)))</f>
        <v/>
      </c>
      <c r="E504">
        <f>INDEX(FactorTable!$B$2:$Y$301, MATCH(ROUND(MIN(300,MAX(1,D504)),0), FactorTable!$A$2:$A$301,0), Skills!L19+1)</f>
        <v/>
      </c>
      <c r="F504">
        <f>IF(Skills!M19=TRUE,(Skills!K19/10)*(E504/1000),Skills!K19/10)+Skills!N19</f>
        <v/>
      </c>
      <c r="G504">
        <f>Calc!G19</f>
        <v/>
      </c>
      <c r="H504">
        <f>Calc!H19</f>
        <v/>
      </c>
      <c r="I504">
        <f>IF(Skills!T19&lt;&gt;"",1+(Skills!T19/10)*($Z$3/1000)/100,1)</f>
        <v/>
      </c>
      <c r="J504" t="inlineStr"/>
      <c r="K504" t="inlineStr"/>
      <c r="L504" t="inlineStr"/>
      <c r="M504" t="inlineStr"/>
      <c r="N504" t="inlineStr"/>
      <c r="O504" t="n">
        <v>0</v>
      </c>
      <c r="P504">
        <f>IF(B523=0,0,O504/B523)</f>
        <v/>
      </c>
      <c r="Q504">
        <f>IFERROR(1/IF(Inputs!$B$40="pvp",15,MAX(0.1,Skills!D19-IF(Skills!E19=TRUE,Inputs!$B$34,0))),0)</f>
        <v/>
      </c>
      <c r="R504" t="n">
        <v>0</v>
      </c>
    </row>
    <row r="505">
      <c r="A505">
        <f>Skills!A20</f>
        <v/>
      </c>
      <c r="B505">
        <f>Skills!B20</f>
        <v/>
      </c>
      <c r="C505">
        <f>Inputs!$B$3&gt;=33</f>
        <v/>
      </c>
      <c r="D505">
        <f>IF(Skills!C20=1,60+Inputs!$B$27+Inputs!$B$31,IF(Skills!C20=2,90+Inputs!$B$28+Inputs!$B$31,IF(Skills!C20=3,120+Inputs!$B$29+Inputs!$B$31,MAX(0,(Inputs!$B$3-100)*3)+Inputs!$B$30+Inputs!$B$31)))</f>
        <v/>
      </c>
      <c r="E505">
        <f>INDEX(FactorTable!$B$2:$Y$301, MATCH(ROUND(MIN(300,MAX(1,D505)),0), FactorTable!$A$2:$A$301,0), Skills!L20+1)</f>
        <v/>
      </c>
      <c r="F505">
        <f>IF(Skills!M20=TRUE,(Skills!K20/10)*(E505/1000),Skills!K20/10)+Skills!N20</f>
        <v/>
      </c>
      <c r="G505">
        <f>Calc!G20</f>
        <v/>
      </c>
      <c r="H505">
        <f>Calc!H20</f>
        <v/>
      </c>
      <c r="I505">
        <f>IF(Skills!T20&lt;&gt;"",1+(Skills!T20/10)*($Z$3/1000)/100,1)</f>
        <v/>
      </c>
      <c r="J505" t="inlineStr"/>
      <c r="K505" t="inlineStr"/>
      <c r="L505" t="inlineStr"/>
      <c r="M505" t="inlineStr"/>
      <c r="N505" t="inlineStr"/>
      <c r="O505" t="n">
        <v>0</v>
      </c>
      <c r="P505">
        <f>IF(B523=0,0,O505/B523)</f>
        <v/>
      </c>
      <c r="Q505">
        <f>IFERROR(1/IF(Inputs!$B$40="pvp",15,MAX(0.1,Skills!D20-IF(Skills!E20=TRUE,Inputs!$B$34,0))),0)</f>
        <v/>
      </c>
      <c r="R505" t="n">
        <v>0</v>
      </c>
    </row>
    <row r="506">
      <c r="A506">
        <f>Skills!A21</f>
        <v/>
      </c>
      <c r="B506">
        <f>Skills!B21</f>
        <v/>
      </c>
      <c r="C506">
        <f>Inputs!$B$3&gt;=43</f>
        <v/>
      </c>
      <c r="D506">
        <f>IF(Skills!C21=1,60+Inputs!$B$27+Inputs!$B$31,IF(Skills!C21=2,90+Inputs!$B$28+Inputs!$B$31,IF(Skills!C21=3,120+Inputs!$B$29+Inputs!$B$31,MAX(0,(Inputs!$B$3-100)*3)+Inputs!$B$30+Inputs!$B$31)))</f>
        <v/>
      </c>
      <c r="E506">
        <f>INDEX(FactorTable!$B$2:$Y$301, MATCH(ROUND(MIN(300,MAX(1,D506)),0), FactorTable!$A$2:$A$301,0), Skills!L21+1)</f>
        <v/>
      </c>
      <c r="F506">
        <f>IF(Skills!M21=TRUE,(Skills!K21/10)*(E506/1000),Skills!K21/10)+Skills!N21</f>
        <v/>
      </c>
      <c r="G506">
        <f>Calc!G21</f>
        <v/>
      </c>
      <c r="H506">
        <f>Calc!H21</f>
        <v/>
      </c>
      <c r="I506">
        <f>IF(Skills!T21&lt;&gt;"",1+(Skills!T21/10)*($Z$3/1000)/100,1)</f>
        <v/>
      </c>
      <c r="J506" t="inlineStr"/>
      <c r="K506" t="inlineStr"/>
      <c r="L506" t="inlineStr"/>
      <c r="M506" t="inlineStr"/>
      <c r="N506" t="inlineStr"/>
      <c r="O506" t="n">
        <v>0</v>
      </c>
      <c r="P506">
        <f>IF(B523=0,0,O506/B523)</f>
        <v/>
      </c>
      <c r="Q506">
        <f>IFERROR(1/IF(Inputs!$B$40="pvp",15,MAX(0.1,Skills!D21-IF(Skills!E21=TRUE,Inputs!$B$34,0))),0)</f>
        <v/>
      </c>
      <c r="R506" t="n">
        <v>0</v>
      </c>
    </row>
    <row r="507">
      <c r="A507">
        <f>Skills!A22</f>
        <v/>
      </c>
      <c r="B507">
        <f>Skills!B22</f>
        <v/>
      </c>
      <c r="C507">
        <f>Inputs!$B$3&gt;=50</f>
        <v/>
      </c>
      <c r="D507">
        <f>IF(Skills!C22=1,60+Inputs!$B$27+Inputs!$B$31,IF(Skills!C22=2,90+Inputs!$B$28+Inputs!$B$31,IF(Skills!C22=3,120+Inputs!$B$29+Inputs!$B$31,MAX(0,(Inputs!$B$3-100)*3)+Inputs!$B$30+Inputs!$B$31)))</f>
        <v/>
      </c>
      <c r="E507">
        <f>INDEX(FactorTable!$B$2:$Y$301, MATCH(ROUND(MIN(300,MAX(1,D507)),0), FactorTable!$A$2:$A$301,0), Skills!L22+1)</f>
        <v/>
      </c>
      <c r="F507">
        <f>IF(Skills!M22=TRUE,(Skills!K22/10)*(E507/1000),Skills!K22/10)+Skills!N22</f>
        <v/>
      </c>
      <c r="G507">
        <f>Calc!G22</f>
        <v/>
      </c>
      <c r="H507">
        <f>Calc!H22</f>
        <v/>
      </c>
      <c r="I507">
        <f>IF(Skills!T22&lt;&gt;"",1+(Skills!T22/10)*($Z$3/1000)/100,1)</f>
        <v/>
      </c>
      <c r="J507" t="inlineStr"/>
      <c r="K507" t="inlineStr"/>
      <c r="L507" t="inlineStr"/>
      <c r="M507" t="inlineStr"/>
      <c r="N507" t="inlineStr"/>
      <c r="O507" t="n">
        <v>0</v>
      </c>
      <c r="P507">
        <f>IF(B523=0,0,O507/B523)</f>
        <v/>
      </c>
      <c r="Q507">
        <f>IFERROR(1/IF(Inputs!$B$40="pvp",15,MAX(0.1,Skills!D22-IF(Skills!E22=TRUE,Inputs!$B$34,0))),0)</f>
        <v/>
      </c>
      <c r="R507" t="n">
        <v>0</v>
      </c>
    </row>
    <row r="508">
      <c r="A508">
        <f>Skills!A23</f>
        <v/>
      </c>
      <c r="B508">
        <f>Skills!B23</f>
        <v/>
      </c>
      <c r="C508">
        <f>Inputs!$B$3&gt;=74</f>
        <v/>
      </c>
      <c r="D508">
        <f>IF(Skills!C23=1,60+Inputs!$B$27+Inputs!$B$31,IF(Skills!C23=2,90+Inputs!$B$28+Inputs!$B$31,IF(Skills!C23=3,120+Inputs!$B$29+Inputs!$B$31,MAX(0,(Inputs!$B$3-100)*3)+Inputs!$B$30+Inputs!$B$31)))</f>
        <v/>
      </c>
      <c r="E508">
        <f>INDEX(FactorTable!$B$2:$Y$301, MATCH(ROUND(MIN(300,MAX(1,D508)),0), FactorTable!$A$2:$A$301,0), Skills!L23+1)</f>
        <v/>
      </c>
      <c r="F508">
        <f>IF(Skills!M23=TRUE,(Skills!K23/10)*(E508/1000),Skills!K23/10)+Skills!N23</f>
        <v/>
      </c>
      <c r="G508">
        <f>Calc!G23</f>
        <v/>
      </c>
      <c r="H508">
        <f>Calc!H23</f>
        <v/>
      </c>
      <c r="I508">
        <f>IF(Skills!T23&lt;&gt;"",1+(Skills!T23/10)*($Z$3/1000)/100,1)</f>
        <v/>
      </c>
      <c r="J508" t="inlineStr"/>
      <c r="K508" t="inlineStr"/>
      <c r="L508" t="inlineStr"/>
      <c r="M508" t="inlineStr"/>
      <c r="N508" t="inlineStr"/>
      <c r="O508" t="n">
        <v>0</v>
      </c>
      <c r="P508">
        <f>IF(B523=0,0,O508/B523)</f>
        <v/>
      </c>
      <c r="Q508">
        <f>IFERROR(1/IF(Inputs!$B$40="pvp",15,MAX(0.1,Skills!D23-IF(Skills!E23=TRUE,Inputs!$B$34,0))),0)</f>
        <v/>
      </c>
      <c r="R508" t="n">
        <v>0</v>
      </c>
    </row>
    <row r="509">
      <c r="A509">
        <f>Skills!A24</f>
        <v/>
      </c>
      <c r="B509">
        <f>Skills!B24</f>
        <v/>
      </c>
      <c r="C509">
        <f>Inputs!$B$3&gt;=74</f>
        <v/>
      </c>
      <c r="D509">
        <f>IF(Skills!C24=1,60+Inputs!$B$27+Inputs!$B$31,IF(Skills!C24=2,90+Inputs!$B$28+Inputs!$B$31,IF(Skills!C24=3,120+Inputs!$B$29+Inputs!$B$31,MAX(0,(Inputs!$B$3-100)*3)+Inputs!$B$30+Inputs!$B$31)))</f>
        <v/>
      </c>
      <c r="E509">
        <f>INDEX(FactorTable!$B$2:$Y$301, MATCH(ROUND(MIN(300,MAX(1,D509)),0), FactorTable!$A$2:$A$301,0), Skills!L24+1)</f>
        <v/>
      </c>
      <c r="F509">
        <f>IF(Skills!M24=TRUE,(Skills!K24/10)*(E509/1000),Skills!K24/10)+Skills!N24</f>
        <v/>
      </c>
      <c r="G509">
        <f>Calc!G24</f>
        <v/>
      </c>
      <c r="H509">
        <f>Calc!H24</f>
        <v/>
      </c>
      <c r="I509">
        <f>IF(Skills!T24&lt;&gt;"",1+(Skills!T24/10)*($Z$3/1000)/100,1)</f>
        <v/>
      </c>
      <c r="J509" t="inlineStr"/>
      <c r="K509" t="inlineStr"/>
      <c r="L509" t="inlineStr"/>
      <c r="M509" t="inlineStr"/>
      <c r="N509" t="inlineStr"/>
      <c r="O509" t="n">
        <v>0</v>
      </c>
      <c r="P509">
        <f>IF(B523=0,0,O509/B523)</f>
        <v/>
      </c>
      <c r="Q509">
        <f>IFERROR(1/IF(Inputs!$B$40="pvp",15,MAX(0.1,Skills!D24-IF(Skills!E24=TRUE,Inputs!$B$34,0))),0)</f>
        <v/>
      </c>
      <c r="R509" t="n">
        <v>0</v>
      </c>
    </row>
    <row r="510">
      <c r="A510">
        <f>Skills!A25</f>
        <v/>
      </c>
      <c r="B510">
        <f>Skills!B25</f>
        <v/>
      </c>
      <c r="C510">
        <f>Inputs!$B$3&gt;=117</f>
        <v/>
      </c>
      <c r="D510">
        <f>IF(Skills!C25=1,60+Inputs!$B$27+Inputs!$B$31,IF(Skills!C25=2,90+Inputs!$B$28+Inputs!$B$31,IF(Skills!C25=3,120+Inputs!$B$29+Inputs!$B$31,MAX(0,(Inputs!$B$3-100)*3)+Inputs!$B$30+Inputs!$B$31)))</f>
        <v/>
      </c>
      <c r="E510">
        <f>INDEX(FactorTable!$B$2:$Y$301, MATCH(ROUND(MIN(300,MAX(1,D510)),0), FactorTable!$A$2:$A$301,0), Skills!L25+1)</f>
        <v/>
      </c>
      <c r="F510">
        <f>IF(Skills!M25=TRUE,(Skills!K25/10)*(E510/1000),Skills!K25/10)+Skills!N25</f>
        <v/>
      </c>
      <c r="G510">
        <f>Calc!G25</f>
        <v/>
      </c>
      <c r="H510">
        <f>Calc!H25</f>
        <v/>
      </c>
      <c r="I510">
        <f>IF(Skills!T25&lt;&gt;"",1+(Skills!T25/10)*($Z$3/1000)/100,1)</f>
        <v/>
      </c>
      <c r="J510" t="inlineStr"/>
      <c r="K510" t="inlineStr"/>
      <c r="L510" t="inlineStr"/>
      <c r="M510" t="inlineStr"/>
      <c r="N510" t="inlineStr"/>
      <c r="O510" t="n">
        <v>0</v>
      </c>
      <c r="P510">
        <f>IF(B523=0,0,O510/B523)</f>
        <v/>
      </c>
      <c r="Q510">
        <f>IFERROR(1/IF(Inputs!$B$40="pvp",15,MAX(0.1,Skills!D25-IF(Skills!E25=TRUE,Inputs!$B$34,0))),0)</f>
        <v/>
      </c>
      <c r="R510" t="n">
        <v>0</v>
      </c>
    </row>
    <row r="511">
      <c r="A511">
        <f>Skills!A26</f>
        <v/>
      </c>
      <c r="B511">
        <f>Skills!B26</f>
        <v/>
      </c>
      <c r="C511">
        <f>Inputs!$B$3&gt;=120</f>
        <v/>
      </c>
      <c r="D511">
        <f>IF(Skills!C26=1,60+Inputs!$B$27+Inputs!$B$31,IF(Skills!C26=2,90+Inputs!$B$28+Inputs!$B$31,IF(Skills!C26=3,120+Inputs!$B$29+Inputs!$B$31,MAX(0,(Inputs!$B$3-100)*3)+Inputs!$B$30+Inputs!$B$31)))</f>
        <v/>
      </c>
      <c r="E511">
        <f>INDEX(FactorTable!$B$2:$Y$301, MATCH(ROUND(MIN(300,MAX(1,D511)),0), FactorTable!$A$2:$A$301,0), Skills!L26+1)</f>
        <v/>
      </c>
      <c r="F511">
        <f>IF(Skills!M26=TRUE,(Skills!K26/10)*(E511/1000),Skills!K26/10)+Skills!N26</f>
        <v/>
      </c>
      <c r="G511">
        <f>Calc!G26</f>
        <v/>
      </c>
      <c r="H511">
        <f>Calc!H26</f>
        <v/>
      </c>
      <c r="I511">
        <f>IF(Skills!T26&lt;&gt;"",1+(Skills!T26/10)*($Z$3/1000)/100,1)</f>
        <v/>
      </c>
      <c r="J511" t="inlineStr"/>
      <c r="K511" t="inlineStr"/>
      <c r="L511" t="inlineStr"/>
      <c r="M511" t="inlineStr"/>
      <c r="N511" t="inlineStr"/>
      <c r="O511" t="n">
        <v>0</v>
      </c>
      <c r="P511">
        <f>IF(B523=0,0,O511/B523)</f>
        <v/>
      </c>
      <c r="Q511">
        <f>IFERROR(1/IF(Inputs!$B$40="pvp",15,MAX(0.1,Skills!D26-IF(Skills!E26=TRUE,Inputs!$B$34,0))),0)</f>
        <v/>
      </c>
      <c r="R511" t="n">
        <v>0</v>
      </c>
    </row>
    <row r="513">
      <c r="A513" t="inlineStr">
        <is>
          <t>Average Buff Multiplier</t>
        </is>
      </c>
      <c r="B513">
        <f>(1+(IF(C488=TRUE,F488*IF(AND(Inputs!$B$40&lt;&gt;"pvp",Inputs!$B$43&gt;0),(((R488-1)*(Skills!S3*(1+(Inputs!$B$36+IF(Inputs!$B$3&gt;=117,F510,0))/100))+MIN((Skills!S3*(1+(Inputs!$B$36+IF(Inputs!$B$3&gt;=117,F510,0))/100)),MAX(0,Inputs!$B$43-((R488-1)*Skills!D3))))/Inputs!$B$43),IF(Inputs!$B$40="pvp",MIN((Skills!S3*(1+(Inputs!$B$36+IF(Inputs!$B$3&gt;=117,F510,0))/100)),15)/15,(Skills!S3*(1+(Inputs!$B$36+IF(Inputs!$B$3&gt;=117,F510,0))/100))/Skills!D3)),0)+IF(C489=TRUE,F489*IF(AND(Inputs!$B$40&lt;&gt;"pvp",Inputs!$B$43&gt;0),(((R489-1)*(Skills!S4*(1+(Inputs!$B$36+IF(Inputs!$B$3&gt;=117,F510,0))/100))+MIN((Skills!S4*(1+(Inputs!$B$36+IF(Inputs!$B$3&gt;=117,F510,0))/100)),MAX(0,Inputs!$B$43-((R489-1)*Skills!D4))))/Inputs!$B$43),IF(Inputs!$B$40="pvp",MIN((Skills!S4*(1+(Inputs!$B$36+IF(Inputs!$B$3&gt;=117,F510,0))/100)),15)/15,(Skills!S4*(1+(Inputs!$B$36+IF(Inputs!$B$3&gt;=117,F510,0))/100))/Skills!D4)),0)+IF(C490=TRUE,F490*IF(AND(Inputs!$B$40&lt;&gt;"pvp",Inputs!$B$43&gt;0),(((R490-1)*(Skills!S5*(1+(Inputs!$B$36+IF(Inputs!$B$3&gt;=117,F510,0))/100))+MIN((Skills!S5*(1+(Inputs!$B$36+IF(Inputs!$B$3&gt;=117,F510,0))/100)),MAX(0,Inputs!$B$43-((R490-1)*Skills!D5))))/Inputs!$B$43),IF(Inputs!$B$40="pvp",MIN((Skills!S5*(1+(Inputs!$B$36+IF(Inputs!$B$3&gt;=117,F510,0))/100)),15)/15,(Skills!S5*(1+(Inputs!$B$36+IF(Inputs!$B$3&gt;=117,F510,0))/100))/Skills!D5)),0)+IF(C496=TRUE,F496*IF(AND(Inputs!$B$40&lt;&gt;"pvp",Inputs!$B$43&gt;0),(((R496-1)*(Skills!S11*(1+(Inputs!$B$36+IF(Inputs!$B$3&gt;=117,F510,0))/100))+MIN((Skills!S11*(1+(Inputs!$B$36+IF(Inputs!$B$3&gt;=117,F510,0))/100)),MAX(0,Inputs!$B$43-((R496-1)*Skills!D11))))/Inputs!$B$43),IF(Inputs!$B$40="pvp",MIN((Skills!S11*(1+(Inputs!$B$36+IF(Inputs!$B$3&gt;=117,F510,0))/100)),15)/15,(Skills!S11*(1+(Inputs!$B$36+IF(Inputs!$B$3&gt;=117,F510,0))/100))/Skills!D11)),0))/100)*IF(C498=TRUE,(1+F498*IF(AND(Inputs!$B$40&lt;&gt;"pvp",Inputs!$B$43&gt;0),(((R498-1)*(Skills!S13*(1+(Inputs!$B$36+IF(Inputs!$B$3&gt;=117,F510,0))/100))+MIN((Skills!S13*(1+(Inputs!$B$36+IF(Inputs!$B$3&gt;=117,F510,0))/100)),MAX(0,Inputs!$B$43-((R498-1)*Skills!D13))))/Inputs!$B$43),IF(Inputs!$B$40="pvp",MIN((Skills!S13*(1+(Inputs!$B$36+IF(Inputs!$B$3&gt;=117,F510,0))/100)),15)/15,(Skills!S13*(1+(Inputs!$B$36+IF(Inputs!$B$3&gt;=117,F510,0))/100))/Skills!D13))/100),1)*IF(C503=TRUE,(1+F503*IF(AND(Inputs!$B$40&lt;&gt;"pvp",Inputs!$B$43&gt;0),(((R503-1)*(Skills!S18*(1+(Inputs!$B$36+IF(Inputs!$B$3&gt;=117,F510,0))/100))+MIN((Skills!S18*(1+(Inputs!$B$36+IF(Inputs!$B$3&gt;=117,F510,0))/100)),MAX(0,Inputs!$B$43-((R503-1)*Skills!D18))))/Inputs!$B$43),IF(Inputs!$B$40="pvp",MIN((Skills!S18*(1+(Inputs!$B$36+IF(Inputs!$B$3&gt;=117,F510,0))/100)),15)/15,(Skills!S18*(1+(Inputs!$B$36+IF(Inputs!$B$3&gt;=117,F510,0))/100))/Skills!D18))/100),1)</f>
        <v/>
      </c>
    </row>
    <row r="514">
      <c r="A514" t="inlineStr">
        <is>
          <t>Monster Damage Taken Bonus % (Holy Fountain)</t>
        </is>
      </c>
      <c r="B514">
        <f>IF(Inputs!$B$3&gt;=68,20*IF(Inputs!$B$40="pvp",MIN((15*(1+(Inputs!$B$36+IF(Inputs!$B$3&gt;=117,F510,0))/100)),15)/15,(15*(1+(Inputs!$B$36+IF(Inputs!$B$3&gt;=117,F510,0))/100))/Skills!D10),0)</f>
        <v/>
      </c>
    </row>
    <row r="515">
      <c r="A515" t="inlineStr">
        <is>
          <t>Normal Monster Damage Bonus % (Holy Symbol)</t>
        </is>
      </c>
      <c r="B515">
        <f>IF(C497=TRUE,F497*IF(AND(Inputs!$B$40&lt;&gt;"pvp",Inputs!$B$43&gt;0),(((R497-1)*(Skills!S12*(1+(Inputs!$B$36+IF(Inputs!$B$3&gt;=117,F510,0))/100))+MIN((Skills!S12*(1+(Inputs!$B$36+IF(Inputs!$B$3&gt;=117,F510,0))/100)),MAX(0,Inputs!$B$43-((R497-1)*Skills!D12))))/Inputs!$B$43),IF(Inputs!$B$40="pvp",MIN((Skills!S12*(1+(Inputs!$B$36+IF(Inputs!$B$3&gt;=117,F510,0))/100)),15)/15,(Skills!S12*(1+(Inputs!$B$36+IF(Inputs!$B$3&gt;=117,F510,0))/100))/Skills!D12)),0)</f>
        <v/>
      </c>
    </row>
    <row r="516">
      <c r="A516" t="inlineStr">
        <is>
          <t>Damage % Bonus (Holy Symbol - Damage Boost)</t>
        </is>
      </c>
      <c r="B516">
        <f>Skills!O12</f>
        <v/>
      </c>
    </row>
    <row r="517">
      <c r="A517" t="inlineStr">
        <is>
          <t>Crit Damage % Bonus (Blood of the Divine)</t>
        </is>
      </c>
      <c r="B517">
        <f>4*IF(C504=TRUE,F504,0)</f>
        <v/>
      </c>
    </row>
    <row r="518">
      <c r="A518" t="inlineStr">
        <is>
          <t>Attack Speed Bonus %</t>
        </is>
      </c>
      <c r="B518">
        <f>IF(C501=TRUE,F501+(F505-Calc!F20),0)+IF(Inputs!$B$3&gt;=134,15,0)</f>
        <v/>
      </c>
    </row>
    <row r="519">
      <c r="A519" t="inlineStr">
        <is>
          <t>Actions Per Second</t>
        </is>
      </c>
      <c r="B519">
        <f>1+MIN(150,150*(1-(1-Inputs!$B$13/150)*(1-B518/150)))/100</f>
        <v/>
      </c>
    </row>
    <row r="520">
      <c r="A520" t="inlineStr">
        <is>
          <t>Skill + Buff Cast Rate</t>
        </is>
      </c>
      <c r="B520">
        <f>IF(AND(Inputs!$B$40&lt;&gt;"pvp",Inputs!$B$43&gt;0),SUMPRODUCT((Skills!E2:E26=TRUE)*(C487:C511=TRUE)*R487:R511)/Inputs!$B$43,SUMPRODUCT((Skills!E2:E26=TRUE)*(C487:C511=TRUE)*Q487:Q511))</f>
        <v/>
      </c>
    </row>
    <row r="521">
      <c r="A521" t="inlineStr">
        <is>
          <t>Big Bang Casts Per Second</t>
        </is>
      </c>
      <c r="B521">
        <f>MAX(0,B519-B520)</f>
        <v/>
      </c>
    </row>
    <row r="523">
      <c r="A523" s="5" t="inlineStr">
        <is>
          <t>TOTAL DPS</t>
        </is>
      </c>
      <c r="B523" s="5">
        <f>SUM(O487:O511)</f>
        <v/>
      </c>
    </row>
    <row r="526">
      <c r="A526" s="5" t="inlineStr">
        <is>
          <t>Stat: CRIT_DAMAGE %</t>
        </is>
      </c>
    </row>
    <row r="527">
      <c r="A527" s="9" t="inlineStr">
        <is>
          <t>Key</t>
        </is>
      </c>
      <c r="B527" s="9" t="inlineStr">
        <is>
          <t>Name</t>
        </is>
      </c>
      <c r="C527" s="9" t="inlineStr">
        <is>
          <t>Unlocked</t>
        </is>
      </c>
      <c r="D527" s="9" t="inlineStr">
        <is>
          <t>InputLevel</t>
        </is>
      </c>
      <c r="E527" s="9" t="inlineStr">
        <is>
          <t>Factor</t>
        </is>
      </c>
      <c r="F527" s="9" t="inlineStr">
        <is>
          <t>CoefficientPercent</t>
        </is>
      </c>
      <c r="G527" s="9" t="inlineStr">
        <is>
          <t>EffectiveHits</t>
        </is>
      </c>
      <c r="H527" s="9" t="inlineStr">
        <is>
          <t>ProcProbability</t>
        </is>
      </c>
      <c r="I527" s="9" t="inlineStr">
        <is>
          <t>MapleHeroMultiplier</t>
        </is>
      </c>
      <c r="J527" s="9" t="inlineStr">
        <is>
          <t>BaseDamage</t>
        </is>
      </c>
      <c r="K527" s="9" t="inlineStr">
        <is>
          <t>BaseHitDamage</t>
        </is>
      </c>
      <c r="L527" s="9" t="inlineStr">
        <is>
          <t>NonCritAvg</t>
        </is>
      </c>
      <c r="M527" s="9" t="inlineStr">
        <is>
          <t>CritAvg</t>
        </is>
      </c>
      <c r="N527" s="9" t="inlineStr">
        <is>
          <t>ExpectedDamage(perHit)</t>
        </is>
      </c>
      <c r="O527" s="9" t="inlineStr">
        <is>
          <t>DPS</t>
        </is>
      </c>
      <c r="P527" s="9" t="inlineStr">
        <is>
          <t>% of Total</t>
        </is>
      </c>
      <c r="R527" t="inlineStr">
        <is>
          <t>helpers</t>
        </is>
      </c>
    </row>
    <row r="528">
      <c r="A528">
        <f>Skills!A2</f>
        <v/>
      </c>
      <c r="B528">
        <f>Skills!B2</f>
        <v/>
      </c>
      <c r="C528">
        <f>Inputs!$B$3&gt;=100</f>
        <v/>
      </c>
      <c r="D528" t="inlineStr"/>
      <c r="E528" t="inlineStr"/>
      <c r="F528">
        <f>T530+Skills!N2</f>
        <v/>
      </c>
      <c r="G528">
        <f>Calc!G2</f>
        <v/>
      </c>
      <c r="H528">
        <f>Calc!H2</f>
        <v/>
      </c>
      <c r="I528">
        <f>IF(Skills!T2&lt;&gt;"",1+(Skills!T2/10)*($Z$3/1000)/100,1)</f>
        <v/>
      </c>
      <c r="J528">
        <f>(Inputs!$B$7*(1+Inputs!$B$8/100))*(F528/100)</f>
        <v/>
      </c>
      <c r="K528">
        <f>J528*(1+(((Inputs!$B$14+IF(Inputs!$B$3&gt;=35,0.10*(Inputs!$B$9*(1+Inputs!$B$10/100)),0))*(1+Inputs!$B$15/100))*0.01+Inputs!$B$16*0.0025)/100)*(1+(Inputs!$B$17+B557)/100)*(1+IF(Inputs!$B$40="pvp",0,(1-Summary!$B$48)*(Inputs!$B$22+Skills!O2+B555)+Summary!$B$48*(Inputs!$B$23+Skills!P2+B556))/100)*(1+Inputs!$B$18/100)*(5000/(6000+Inputs!$B$42*(1-Inputs!$B$21/100)))*(1+Inputs!$B$26/100)*(1+IF(C543=TRUE,F543,0)/100)*(1+IF(C545=TRUE,F545,0)/100)*(1+IF(Skills!A2="TRIUMPH_FEATHER",IF(C541=TRUE,F541,0),0)/100)*(1+IF(C552=TRUE,F552,0)/100)^5*(1+(IF(Skills!A2="BIG_BANG",Inputs!$B$19,Inputs!$B$20))/100)*(B554*I528)</f>
        <v/>
      </c>
      <c r="L528">
        <f>K528*(MIN(Inputs!$B$24+(F547-Calc!F21),Inputs!$B$25)/100+Inputs!$B$25/100)/2</f>
        <v/>
      </c>
      <c r="M528">
        <f>L528*(1+((Inputs!$B$12+1)+B558+(F550-Calc!F24))/100)</f>
        <v/>
      </c>
      <c r="N528">
        <f>L528*(1-MIN(Inputs!$B$11+((F549-Calc!F23)+(F548-Calc!F22)),100)/100)+M528*(MIN(Inputs!$B$11+((F549-Calc!F23)+(F548-Calc!F22)),100)/100)</f>
        <v/>
      </c>
      <c r="O528">
        <f>IF(C528,Skills!F2*N528*B562*IF(Inputs!$B$40="pvp",1,(1-Summary!$B$48)*(1)+Summary!$B$48*(MIN((6+Inputs!$B$35),Inputs!$B$39))),0)</f>
        <v/>
      </c>
      <c r="P528">
        <f>IF(B564=0,0,O528/B564)</f>
        <v/>
      </c>
      <c r="Q528">
        <f>IFERROR(1/IF(Inputs!$B$40="pvp",15,MAX(0.1,Skills!D2-IF(Skills!E2=TRUE,Inputs!$B$34,0))),0)</f>
        <v/>
      </c>
      <c r="R528" t="n">
        <v>0</v>
      </c>
      <c r="T528">
        <f>MAX(0,(Inputs!$B$3-100)*3)+Inputs!$B$30+Inputs!$B$31</f>
        <v/>
      </c>
    </row>
    <row r="529">
      <c r="A529">
        <f>Skills!A3</f>
        <v/>
      </c>
      <c r="B529">
        <f>Skills!B3</f>
        <v/>
      </c>
      <c r="C529">
        <f>Inputs!$B$3&gt;=15</f>
        <v/>
      </c>
      <c r="D529">
        <f>IF(Skills!C3=1,60+Inputs!$B$27+Inputs!$B$31,IF(Skills!C3=2,90+Inputs!$B$28+Inputs!$B$31,IF(Skills!C3=3,120+Inputs!$B$29+Inputs!$B$31,MAX(0,(Inputs!$B$3-100)*3)+Inputs!$B$30+Inputs!$B$31)))</f>
        <v/>
      </c>
      <c r="E529">
        <f>INDEX(FactorTable!$B$2:$Y$301, MATCH(ROUND(MIN(300,MAX(1,D529)),0), FactorTable!$A$2:$A$301,0), Skills!L3+1)</f>
        <v/>
      </c>
      <c r="F529">
        <f>IF(Skills!M3=TRUE,(Skills!K3/10)*(E529/1000),Skills!K3/10)+Skills!N3</f>
        <v/>
      </c>
      <c r="G529">
        <f>Calc!G3</f>
        <v/>
      </c>
      <c r="H529">
        <f>Calc!H3</f>
        <v/>
      </c>
      <c r="I529">
        <f>IF(Skills!T3&lt;&gt;"",1+(Skills!T3/10)*($Z$3/1000)/100,1)</f>
        <v/>
      </c>
      <c r="J529" t="inlineStr"/>
      <c r="K529" t="inlineStr"/>
      <c r="L529" t="inlineStr"/>
      <c r="M529" t="inlineStr"/>
      <c r="N529" t="inlineStr"/>
      <c r="O529" t="n">
        <v>0</v>
      </c>
      <c r="P529">
        <f>IF(B564=0,0,O529/B564)</f>
        <v/>
      </c>
      <c r="Q529">
        <f>IFERROR(1/IF(Inputs!$B$40="pvp",15,MAX(0.1,Skills!D3-IF(Skills!E3=TRUE,Inputs!$B$34,0))),0)</f>
        <v/>
      </c>
      <c r="R529">
        <f>IF(AND(Inputs!$B$40&lt;&gt;"pvp",Inputs!$B$43&gt;0),(INT(Inputs!$B$43/IF(Inputs!$B$40="pvp",15,MAX(0.1,Skills!D3-IF(Skills!E3=TRUE,Inputs!$B$34,0))))+1),0)</f>
        <v/>
      </c>
      <c r="T529">
        <f>INDEX(FactorTable!$B$2:$Y$301, MATCH(ROUND(MIN(300,MAX(1,T528)),0), FactorTable!$A$2:$A$301,0), 22)</f>
        <v/>
      </c>
    </row>
    <row r="530">
      <c r="A530">
        <f>Skills!A4</f>
        <v/>
      </c>
      <c r="B530">
        <f>Skills!B4</f>
        <v/>
      </c>
      <c r="C530">
        <f>Inputs!$B$3&gt;=38</f>
        <v/>
      </c>
      <c r="D530">
        <f>IF(Skills!C4=1,60+Inputs!$B$27+Inputs!$B$31,IF(Skills!C4=2,90+Inputs!$B$28+Inputs!$B$31,IF(Skills!C4=3,120+Inputs!$B$29+Inputs!$B$31,MAX(0,(Inputs!$B$3-100)*3)+Inputs!$B$30+Inputs!$B$31)))</f>
        <v/>
      </c>
      <c r="E530">
        <f>INDEX(FactorTable!$B$2:$Y$301, MATCH(ROUND(MIN(300,MAX(1,D530)),0), FactorTable!$A$2:$A$301,0), Skills!L4+1)</f>
        <v/>
      </c>
      <c r="F530">
        <f>IF(Skills!M4=TRUE,(Skills!K4/10)*(E530/1000),Skills!K4/10)+Skills!N4</f>
        <v/>
      </c>
      <c r="G530">
        <f>Calc!G4</f>
        <v/>
      </c>
      <c r="H530">
        <f>Calc!H4</f>
        <v/>
      </c>
      <c r="I530">
        <f>IF(Skills!T4&lt;&gt;"",1+(Skills!T4/10)*($Z$3/1000)/100,1)</f>
        <v/>
      </c>
      <c r="J530" t="inlineStr"/>
      <c r="K530" t="inlineStr"/>
      <c r="L530" t="inlineStr"/>
      <c r="M530" t="inlineStr"/>
      <c r="N530" t="inlineStr"/>
      <c r="O530" t="n">
        <v>0</v>
      </c>
      <c r="P530">
        <f>IF(B564=0,0,O530/B564)</f>
        <v/>
      </c>
      <c r="Q530">
        <f>IFERROR(1/IF(Inputs!$B$40="pvp",15,MAX(0.1,Skills!D4-IF(Skills!E4=TRUE,Inputs!$B$34,0))),0)</f>
        <v/>
      </c>
      <c r="R530">
        <f>IF(AND(Inputs!$B$40&lt;&gt;"pvp",Inputs!$B$43&gt;0),(INT(Inputs!$B$43/IF(Inputs!$B$40="pvp",15,MAX(0.1,Skills!D4-IF(Skills!E4=TRUE,Inputs!$B$34,0))))+1),0)</f>
        <v/>
      </c>
      <c r="T530">
        <f>290*T529/1000</f>
        <v/>
      </c>
    </row>
    <row r="531">
      <c r="A531">
        <f>Skills!A5</f>
        <v/>
      </c>
      <c r="B531">
        <f>Skills!B5</f>
        <v/>
      </c>
      <c r="C531">
        <f>Inputs!$B$3&gt;=40</f>
        <v/>
      </c>
      <c r="D531">
        <f>IF(Skills!C5=1,60+Inputs!$B$27+Inputs!$B$31,IF(Skills!C5=2,90+Inputs!$B$28+Inputs!$B$31,IF(Skills!C5=3,120+Inputs!$B$29+Inputs!$B$31,MAX(0,(Inputs!$B$3-100)*3)+Inputs!$B$30+Inputs!$B$31)))</f>
        <v/>
      </c>
      <c r="E531">
        <f>INDEX(FactorTable!$B$2:$Y$301, MATCH(ROUND(MIN(300,MAX(1,D531)),0), FactorTable!$A$2:$A$301,0), Skills!L5+1)</f>
        <v/>
      </c>
      <c r="F531">
        <f>IF(Skills!M5=TRUE,(Skills!K5/10)*(E531/1000),Skills!K5/10)+Skills!N5</f>
        <v/>
      </c>
      <c r="G531">
        <f>Calc!G5</f>
        <v/>
      </c>
      <c r="H531">
        <f>Calc!H5</f>
        <v/>
      </c>
      <c r="I531">
        <f>IF(Skills!T5&lt;&gt;"",1+(Skills!T5/10)*($Z$3/1000)/100,1)</f>
        <v/>
      </c>
      <c r="J531" t="inlineStr"/>
      <c r="K531" t="inlineStr"/>
      <c r="L531" t="inlineStr"/>
      <c r="M531" t="inlineStr"/>
      <c r="N531" t="inlineStr"/>
      <c r="O531" t="n">
        <v>0</v>
      </c>
      <c r="P531">
        <f>IF(B564=0,0,O531/B564)</f>
        <v/>
      </c>
      <c r="Q531">
        <f>IFERROR(1/IF(Inputs!$B$40="pvp",15,MAX(0.1,Skills!D5-IF(Skills!E5=TRUE,Inputs!$B$34,0))),0)</f>
        <v/>
      </c>
      <c r="R531">
        <f>IF(AND(Inputs!$B$40&lt;&gt;"pvp",Inputs!$B$43&gt;0),(INT(Inputs!$B$43/IF(Inputs!$B$40="pvp",15,MAX(0.1,Skills!D5-IF(Skills!E5=TRUE,Inputs!$B$34,0))))+1),0)</f>
        <v/>
      </c>
    </row>
    <row r="532">
      <c r="A532">
        <f>Skills!A6</f>
        <v/>
      </c>
      <c r="B532">
        <f>Skills!B6</f>
        <v/>
      </c>
      <c r="C532">
        <f>Inputs!$B$3&gt;=103</f>
        <v/>
      </c>
      <c r="D532">
        <f>IF(Skills!C6=1,60+Inputs!$B$27+Inputs!$B$31,IF(Skills!C6=2,90+Inputs!$B$28+Inputs!$B$31,IF(Skills!C6=3,120+Inputs!$B$29+Inputs!$B$31,MAX(0,(Inputs!$B$3-100)*3)+Inputs!$B$30+Inputs!$B$31)))</f>
        <v/>
      </c>
      <c r="E532">
        <f>INDEX(FactorTable!$B$2:$Y$301, MATCH(ROUND(MIN(300,MAX(1,D532)),0), FactorTable!$A$2:$A$301,0), Skills!L6+1)</f>
        <v/>
      </c>
      <c r="F532">
        <f>IF(Skills!M6=TRUE,(Skills!K6/10)*(E532/1000),Skills!K6/10)+Skills!N6</f>
        <v/>
      </c>
      <c r="G532">
        <f>Calc!G6</f>
        <v/>
      </c>
      <c r="H532">
        <f>Calc!H6</f>
        <v/>
      </c>
      <c r="I532">
        <f>IF(Skills!T6&lt;&gt;"",1+(Skills!T6/10)*($Z$3/1000)/100,1)</f>
        <v/>
      </c>
      <c r="J532">
        <f>(Inputs!$B$7*(1+Inputs!$B$8/100))*(F532/100)</f>
        <v/>
      </c>
      <c r="K532">
        <f>J532*(1+(((Inputs!$B$14+IF(Inputs!$B$3&gt;=35,0.10*(Inputs!$B$9*(1+Inputs!$B$10/100)),0))*(1+Inputs!$B$15/100))*0.01+Inputs!$B$16*0.0025)/100)*(1+(Inputs!$B$17+B557)/100)*(1+IF(Inputs!$B$40="pvp",0,(1-Summary!$B$48)*(Inputs!$B$22+Skills!O6+B555)+Summary!$B$48*(Inputs!$B$23+Skills!P6+B556))/100)*(1+Inputs!$B$18/100)*(5000/(6000+Inputs!$B$42*(1-Inputs!$B$21/100)))*(1+Inputs!$B$26/100)*(1+IF(C543=TRUE,F543,0)/100)*(1+IF(C545=TRUE,F545,0)/100)*(1+IF(Skills!A6="TRIUMPH_FEATHER",IF(C541=TRUE,F541,0),0)/100)*(1+IF(C552=TRUE,F552,0)/100)^5*(1+(IF(Skills!A6="BIG_BANG",Inputs!$B$19,Inputs!$B$20))/100)*(B554*I532)</f>
        <v/>
      </c>
      <c r="L532">
        <f>K532*(MIN(Inputs!$B$24+(F547-Calc!F21),Inputs!$B$25)/100+Inputs!$B$25/100)/2</f>
        <v/>
      </c>
      <c r="M532">
        <f>L532*(1+((Inputs!$B$12+1)+B558+(F550-Calc!F24))/100)</f>
        <v/>
      </c>
      <c r="N532">
        <f>L532*(1-MIN(Inputs!$B$11+((F549-Calc!F23)+(F548-Calc!F22)),100)/100)+M532*(MIN(Inputs!$B$11+((F549-Calc!F23)+(F548-Calc!F22)),100)/100)</f>
        <v/>
      </c>
      <c r="O532">
        <f>IF(C532,H532*N532*IF(AND(Inputs!$B$40&lt;&gt;"pvp",Inputs!$B$43&gt;0),((Skills!F6*((R532-1)*IF(Skills!G6&gt;0,Skills!H6/Skills!G6,1)+IF(Skills!G6&gt;0,MIN(Skills!H6,MAX(0,Inputs!$B$43-((R532-1)*IF(Inputs!$B$40="pvp",15,MAX(0.1,Skills!D6-IF(Skills!E6=TRUE,Inputs!$B$34,0))))))/Skills!G6,1)))/Inputs!$B$43),G532*Q532)*IF(Inputs!$B$40="pvp",1,(1-Summary!$B$48)*(1)+Summary!$B$48*(MIN(Skills!Q6,Inputs!$B$39))),0)</f>
        <v/>
      </c>
      <c r="P532">
        <f>IF(B564=0,0,O532/B564)</f>
        <v/>
      </c>
      <c r="Q532">
        <f>IFERROR(1/IF(Inputs!$B$40="pvp",15,MAX(0.1,Skills!D6-IF(Skills!E6=TRUE,Inputs!$B$34,0))),0)</f>
        <v/>
      </c>
      <c r="R532">
        <f>IF(AND(Inputs!$B$40&lt;&gt;"pvp",Inputs!$B$43&gt;0),(INT(Inputs!$B$43/IF(Inputs!$B$40="pvp",15,MAX(0.1,Skills!D6-IF(Skills!E6=TRUE,Inputs!$B$34,0))))+1),0)</f>
        <v/>
      </c>
    </row>
    <row r="533">
      <c r="A533">
        <f>Skills!A7</f>
        <v/>
      </c>
      <c r="B533">
        <f>Skills!B7</f>
        <v/>
      </c>
      <c r="C533">
        <f>Inputs!$B$3&gt;=122</f>
        <v/>
      </c>
      <c r="D533">
        <f>IF(Skills!C7=1,60+Inputs!$B$27+Inputs!$B$31,IF(Skills!C7=2,90+Inputs!$B$28+Inputs!$B$31,IF(Skills!C7=3,120+Inputs!$B$29+Inputs!$B$31,MAX(0,(Inputs!$B$3-100)*3)+Inputs!$B$30+Inputs!$B$31)))</f>
        <v/>
      </c>
      <c r="E533">
        <f>INDEX(FactorTable!$B$2:$Y$301, MATCH(ROUND(MIN(300,MAX(1,D533)),0), FactorTable!$A$2:$A$301,0), Skills!L7+1)</f>
        <v/>
      </c>
      <c r="F533">
        <f>IF(Skills!M7=TRUE,(Skills!K7/10)*(E533/1000),Skills!K7/10)+Skills!N7</f>
        <v/>
      </c>
      <c r="G533">
        <f>Calc!G7</f>
        <v/>
      </c>
      <c r="H533">
        <f>Calc!H7</f>
        <v/>
      </c>
      <c r="I533">
        <f>IF(Skills!T7&lt;&gt;"",1+(Skills!T7/10)*($Z$3/1000)/100,1)</f>
        <v/>
      </c>
      <c r="J533">
        <f>(Inputs!$B$7*(1+Inputs!$B$8/100))*(F533/100)</f>
        <v/>
      </c>
      <c r="K533">
        <f>J533*(1+(((Inputs!$B$14+IF(Inputs!$B$3&gt;=35,0.10*(Inputs!$B$9*(1+Inputs!$B$10/100)),0))*(1+Inputs!$B$15/100))*0.01+Inputs!$B$16*0.0025)/100)*(1+(Inputs!$B$17+B557)/100)*(1+IF(Inputs!$B$40="pvp",0,(1-Summary!$B$48)*(Inputs!$B$22+Skills!O7+B555)+Summary!$B$48*(Inputs!$B$23+Skills!P7+B556))/100)*(1+Inputs!$B$18/100)*(5000/(6000+Inputs!$B$42*(1-Inputs!$B$21/100)))*(1+Inputs!$B$26/100)*(1+IF(C543=TRUE,F543,0)/100)*(1+IF(C545=TRUE,F545,0)/100)*(1+IF(Skills!A7="TRIUMPH_FEATHER",IF(C541=TRUE,F541,0),0)/100)*(1+IF(C552=TRUE,F552,0)/100)^5*(1+(IF(Skills!A7="BIG_BANG",Inputs!$B$19,Inputs!$B$20))/100)*(B554*I533)</f>
        <v/>
      </c>
      <c r="L533">
        <f>K533*(MIN(Inputs!$B$24+(F547-Calc!F21),Inputs!$B$25)/100+Inputs!$B$25/100)/2</f>
        <v/>
      </c>
      <c r="M533">
        <f>L533*(1+((Inputs!$B$12+1)+B558+(F550-Calc!F24))/100)</f>
        <v/>
      </c>
      <c r="N533">
        <f>L533*(1-MIN(Inputs!$B$11+((F549-Calc!F23)+(F548-Calc!F22)),100)/100)+M533*(MIN(Inputs!$B$11+((F549-Calc!F23)+(F548-Calc!F22)),100)/100)</f>
        <v/>
      </c>
      <c r="O533">
        <f>IF(C533,H533*N533*IF(AND(Inputs!$B$40&lt;&gt;"pvp",Inputs!$B$43&gt;0),((Skills!F7*((R533-1)*IF(Skills!G7&gt;0,Skills!H7/Skills!G7,1)+IF(Skills!G7&gt;0,MIN(Skills!H7,MAX(0,Inputs!$B$43-((R533-1)*IF(Inputs!$B$40="pvp",15,MAX(0.1,Skills!D7-IF(Skills!E6=TRUE,Inputs!$B$34,0))))))/Skills!G7,1)))/Inputs!$B$43),G533*Q533)*(1-Summary!$B$48),0)</f>
        <v/>
      </c>
      <c r="P533">
        <f>IF(B564=0,0,O533/B564)</f>
        <v/>
      </c>
      <c r="Q533">
        <f>IFERROR(1/IF(Inputs!$B$40="pvp",15,MAX(0.1,Skills!D7-IF(Skills!E6=TRUE,Inputs!$B$34,0))),0)</f>
        <v/>
      </c>
      <c r="R533">
        <f>IF(AND(Inputs!$B$40&lt;&gt;"pvp",Inputs!$B$43&gt;0),(INT(Inputs!$B$43/IF(Inputs!$B$40="pvp",15,MAX(0.1,Skills!D7-IF(Skills!E6=TRUE,Inputs!$B$34,0))))+1),0)</f>
        <v/>
      </c>
    </row>
    <row r="534">
      <c r="A534">
        <f>Skills!A8</f>
        <v/>
      </c>
      <c r="B534">
        <f>Skills!B8</f>
        <v/>
      </c>
      <c r="C534">
        <f>Inputs!$B$3&gt;=105</f>
        <v/>
      </c>
      <c r="D534">
        <f>IF(Skills!C8=1,60+Inputs!$B$27+Inputs!$B$31,IF(Skills!C8=2,90+Inputs!$B$28+Inputs!$B$31,IF(Skills!C8=3,120+Inputs!$B$29+Inputs!$B$31,MAX(0,(Inputs!$B$3-100)*3)+Inputs!$B$30+Inputs!$B$31)))</f>
        <v/>
      </c>
      <c r="E534">
        <f>INDEX(FactorTable!$B$2:$Y$301, MATCH(ROUND(MIN(300,MAX(1,D534)),0), FactorTable!$A$2:$A$301,0), Skills!L8+1)</f>
        <v/>
      </c>
      <c r="F534">
        <f>IF(Skills!M8=TRUE,(Skills!K8/10)*(E534/1000),Skills!K8/10)+Skills!N8</f>
        <v/>
      </c>
      <c r="G534">
        <f>Calc!G8</f>
        <v/>
      </c>
      <c r="H534">
        <f>Calc!H8</f>
        <v/>
      </c>
      <c r="I534">
        <f>IF(Skills!T8&lt;&gt;"",1+(Skills!T8/10)*($Z$3/1000)/100,1)</f>
        <v/>
      </c>
      <c r="J534">
        <f>(Inputs!$B$7*(1+Inputs!$B$8/100))*(F534/100)</f>
        <v/>
      </c>
      <c r="K534">
        <f>J534*(1+(((Inputs!$B$14+IF(Inputs!$B$3&gt;=35,0.10*(Inputs!$B$9*(1+Inputs!$B$10/100)),0))*(1+Inputs!$B$15/100))*0.01+Inputs!$B$16*0.0025)/100)*(1+(Inputs!$B$17+B557)/100)*(1+IF(Inputs!$B$40="pvp",0,(1-Summary!$B$48)*(Inputs!$B$22+Skills!O8+B555)+Summary!$B$48*(Inputs!$B$23+Skills!P8+B556))/100)*(1+Inputs!$B$18/100)*(5000/(6000+Inputs!$B$42*(1-Inputs!$B$21/100)))*(1+Inputs!$B$26/100)*(1+IF(C543=TRUE,F543,0)/100)*(1+IF(C545=TRUE,F545,0)/100)*(1+IF(Skills!A8="TRIUMPH_FEATHER",IF(C541=TRUE,F541,0),0)/100)*(1+IF(C552=TRUE,F552,0)/100)^5*(1+(IF(Skills!A8="BIG_BANG",Inputs!$B$19,Inputs!$B$20))/100)*(B554*I534)</f>
        <v/>
      </c>
      <c r="L534">
        <f>K534*(MIN(Inputs!$B$24+(F547-Calc!F21),Inputs!$B$25)/100+Inputs!$B$25/100)/2</f>
        <v/>
      </c>
      <c r="M534">
        <f>L534*(1+((Inputs!$B$12+1)+B558+(F550-Calc!F24))/100)</f>
        <v/>
      </c>
      <c r="N534">
        <f>L534*(1-MIN(Inputs!$B$11+((F549-Calc!F23)+(F548-Calc!F22)),100)/100)+M534*(MIN(Inputs!$B$11+((F549-Calc!F23)+(F548-Calc!F22)),100)/100)</f>
        <v/>
      </c>
      <c r="O534">
        <f>IF(C534,H534*N534*IF(AND(Inputs!$B$40&lt;&gt;"pvp",Inputs!$B$43&gt;0),((Skills!F8*((R534-1)*IF(Skills!G8&gt;0,Skills!H8/Skills!G8,1)+IF(Skills!G8&gt;0,MIN(Skills!H8,MAX(0,Inputs!$B$43-((R534-1)*IF(Inputs!$B$40="pvp",15,MAX(0.1,Skills!D8-IF(Skills!E8=TRUE,Inputs!$B$34,0))))))/Skills!G8,1)))/Inputs!$B$43),G534*Q534)*IF(Inputs!$B$40="pvp",1,(1-Summary!$B$48)*(1)+Summary!$B$48*(MIN(Skills!Q8,Inputs!$B$39))),0)</f>
        <v/>
      </c>
      <c r="P534">
        <f>IF(B564=0,0,O534/B564)</f>
        <v/>
      </c>
      <c r="Q534">
        <f>IFERROR(1/IF(Inputs!$B$40="pvp",15,MAX(0.1,Skills!D8-IF(Skills!E8=TRUE,Inputs!$B$34,0))),0)</f>
        <v/>
      </c>
      <c r="R534">
        <f>IF(AND(Inputs!$B$40&lt;&gt;"pvp",Inputs!$B$43&gt;0),(INT(Inputs!$B$43/IF(Inputs!$B$40="pvp",15,MAX(0.1,Skills!D8-IF(Skills!E8=TRUE,Inputs!$B$34,0))))+1),0)</f>
        <v/>
      </c>
    </row>
    <row r="535">
      <c r="A535">
        <f>Skills!A9</f>
        <v/>
      </c>
      <c r="B535">
        <f>Skills!B9</f>
        <v/>
      </c>
      <c r="C535">
        <f>Inputs!$B$3&gt;=115</f>
        <v/>
      </c>
      <c r="D535">
        <f>IF(Skills!C9=1,60+Inputs!$B$27+Inputs!$B$31,IF(Skills!C9=2,90+Inputs!$B$28+Inputs!$B$31,IF(Skills!C9=3,120+Inputs!$B$29+Inputs!$B$31,MAX(0,(Inputs!$B$3-100)*3)+Inputs!$B$30+Inputs!$B$31)))</f>
        <v/>
      </c>
      <c r="E535">
        <f>INDEX(FactorTable!$B$2:$Y$301, MATCH(ROUND(MIN(300,MAX(1,D535)),0), FactorTable!$A$2:$A$301,0), Skills!L9+1)</f>
        <v/>
      </c>
      <c r="F535">
        <f>IF(Skills!M9=TRUE,(Skills!K9/10)*(E535/1000),Skills!K9/10)+Skills!N9</f>
        <v/>
      </c>
      <c r="G535">
        <f>Calc!G9</f>
        <v/>
      </c>
      <c r="H535">
        <f>Calc!H9</f>
        <v/>
      </c>
      <c r="I535">
        <f>IF(Skills!T9&lt;&gt;"",1+(Skills!T9/10)*($Z$3/1000)/100,1)</f>
        <v/>
      </c>
      <c r="J535">
        <f>(Inputs!$B$7*(1+Inputs!$B$8/100))*(F535/100)</f>
        <v/>
      </c>
      <c r="K535">
        <f>J535*(1+(((Inputs!$B$14+IF(Inputs!$B$3&gt;=35,0.10*(Inputs!$B$9*(1+Inputs!$B$10/100)),0))*(1+Inputs!$B$15/100))*0.01+Inputs!$B$16*0.0025)/100)*(1+(Inputs!$B$17+B557)/100)*(1+IF(Inputs!$B$40="pvp",0,(1-Summary!$B$48)*(Inputs!$B$22+Skills!O9+B555)+Summary!$B$48*(Inputs!$B$23+Skills!P9+B556))/100)*(1+Inputs!$B$18/100)*(5000/(6000+Inputs!$B$42*(1-Inputs!$B$21/100)))*(1+Inputs!$B$26/100)*(1+IF(C543=TRUE,F543,0)/100)*(1+IF(C545=TRUE,F545,0)/100)*(1+IF(Skills!A9="TRIUMPH_FEATHER",IF(C541=TRUE,F541,0),0)/100)*(1+IF(C552=TRUE,F552,0)/100)^5*(1+(IF(Skills!A9="BIG_BANG",Inputs!$B$19,Inputs!$B$20))/100)*(B554*I535)</f>
        <v/>
      </c>
      <c r="L535">
        <f>K535*(MIN(Inputs!$B$24+(F547-Calc!F21),Inputs!$B$25)/100+Inputs!$B$25/100)/2</f>
        <v/>
      </c>
      <c r="M535">
        <f>L535*(1+((Inputs!$B$12+1)+B558+(F550-Calc!F24))/100)</f>
        <v/>
      </c>
      <c r="N535">
        <f>L535*(1-MIN(Inputs!$B$11+((F549-Calc!F23)+(F548-Calc!F22)),100)/100)+M535*(MIN(Inputs!$B$11+((F549-Calc!F23)+(F548-Calc!F22)),100)/100)</f>
        <v/>
      </c>
      <c r="O535">
        <f>IF(C535,H535*N535*IF(AND(Inputs!$B$40&lt;&gt;"pvp",Inputs!$B$43&gt;0),((Skills!F9*((R535-1)*IF(Skills!G9&gt;0,Skills!H9/Skills!G9,1)+IF(Skills!G9&gt;0,MIN(Skills!H9,MAX(0,Inputs!$B$43-((R535-1)*IF(Inputs!$B$40="pvp",15,MAX(0.1,Skills!D9-IF(Skills!E9=TRUE,Inputs!$B$34,0))))))/Skills!G9,1)))/Inputs!$B$43),G535*Q535)*IF(Inputs!$B$40="pvp",1,(1-Summary!$B$48)*(1)+Summary!$B$48*(MIN(Skills!Q9,Inputs!$B$39))),0)</f>
        <v/>
      </c>
      <c r="P535">
        <f>IF(B564=0,0,O535/B564)</f>
        <v/>
      </c>
      <c r="Q535">
        <f>IFERROR(1/IF(Inputs!$B$40="pvp",15,MAX(0.1,Skills!D9-IF(Skills!E9=TRUE,Inputs!$B$34,0))),0)</f>
        <v/>
      </c>
      <c r="R535">
        <f>IF(AND(Inputs!$B$40&lt;&gt;"pvp",Inputs!$B$43&gt;0),(INT(Inputs!$B$43/IF(Inputs!$B$40="pvp",15,MAX(0.1,Skills!D9-IF(Skills!E9=TRUE,Inputs!$B$34,0))))+1),0)</f>
        <v/>
      </c>
    </row>
    <row r="536">
      <c r="A536">
        <f>Skills!A10</f>
        <v/>
      </c>
      <c r="B536">
        <f>Skills!B10</f>
        <v/>
      </c>
      <c r="C536">
        <f>Inputs!$B$3&gt;=66</f>
        <v/>
      </c>
      <c r="D536">
        <f>IF(Skills!C10=1,60+Inputs!$B$27+Inputs!$B$31,IF(Skills!C10=2,90+Inputs!$B$28+Inputs!$B$31,IF(Skills!C10=3,120+Inputs!$B$29+Inputs!$B$31,MAX(0,(Inputs!$B$3-100)*3)+Inputs!$B$30+Inputs!$B$31)))</f>
        <v/>
      </c>
      <c r="E536">
        <f>INDEX(FactorTable!$B$2:$Y$301, MATCH(ROUND(MIN(300,MAX(1,D536)),0), FactorTable!$A$2:$A$301,0), Skills!L10+1)</f>
        <v/>
      </c>
      <c r="F536" t="n">
        <v>0</v>
      </c>
      <c r="G536">
        <f>Calc!G10</f>
        <v/>
      </c>
      <c r="H536">
        <f>Calc!H10</f>
        <v/>
      </c>
      <c r="I536">
        <f>IF(Skills!T10&lt;&gt;"",1+(Skills!T10/10)*($Z$3/1000)/100,1)</f>
        <v/>
      </c>
      <c r="J536" t="inlineStr"/>
      <c r="K536" t="inlineStr"/>
      <c r="L536" t="inlineStr"/>
      <c r="M536" t="inlineStr"/>
      <c r="N536" t="inlineStr"/>
      <c r="O536" t="n">
        <v>0</v>
      </c>
      <c r="P536">
        <f>IF(B564=0,0,O536/B564)</f>
        <v/>
      </c>
      <c r="Q536">
        <f>IFERROR(1/IF(Inputs!$B$40="pvp",15,MAX(0.1,Skills!D10-IF(Skills!E10=TRUE,Inputs!$B$34,0))),0)</f>
        <v/>
      </c>
      <c r="R536">
        <f>IF(AND(Inputs!$B$40&lt;&gt;"pvp",Inputs!$B$43&gt;0),(INT(Inputs!$B$43/IF(Inputs!$B$40="pvp",15,MAX(0.1,Skills!D10-IF(Skills!E10=TRUE,Inputs!$B$34,0))))+1),0)</f>
        <v/>
      </c>
    </row>
    <row r="537">
      <c r="A537">
        <f>Skills!A11</f>
        <v/>
      </c>
      <c r="B537">
        <f>Skills!B11</f>
        <v/>
      </c>
      <c r="C537">
        <f>Inputs!$B$3&gt;=69</f>
        <v/>
      </c>
      <c r="D537">
        <f>IF(Skills!C11=1,60+Inputs!$B$27+Inputs!$B$31,IF(Skills!C11=2,90+Inputs!$B$28+Inputs!$B$31,IF(Skills!C11=3,120+Inputs!$B$29+Inputs!$B$31,MAX(0,(Inputs!$B$3-100)*3)+Inputs!$B$30+Inputs!$B$31)))</f>
        <v/>
      </c>
      <c r="E537">
        <f>INDEX(FactorTable!$B$2:$Y$301, MATCH(ROUND(MIN(300,MAX(1,D537)),0), FactorTable!$A$2:$A$301,0), Skills!L11+1)</f>
        <v/>
      </c>
      <c r="F537">
        <f>IF(Skills!M11=TRUE,(Skills!K11/10)*(E537/1000),Skills!K11/10)+Skills!N11</f>
        <v/>
      </c>
      <c r="G537">
        <f>Calc!G11</f>
        <v/>
      </c>
      <c r="H537">
        <f>Calc!H11</f>
        <v/>
      </c>
      <c r="I537">
        <f>IF(Skills!T11&lt;&gt;"",1+(Skills!T11/10)*($Z$3/1000)/100,1)</f>
        <v/>
      </c>
      <c r="J537" t="inlineStr"/>
      <c r="K537" t="inlineStr"/>
      <c r="L537" t="inlineStr"/>
      <c r="M537" t="inlineStr"/>
      <c r="N537" t="inlineStr"/>
      <c r="O537" t="n">
        <v>0</v>
      </c>
      <c r="P537">
        <f>IF(B564=0,0,O537/B564)</f>
        <v/>
      </c>
      <c r="Q537">
        <f>IFERROR(1/IF(Inputs!$B$40="pvp",15,MAX(0.1,Skills!D11-IF(Skills!E11=TRUE,Inputs!$B$34,0))),0)</f>
        <v/>
      </c>
      <c r="R537">
        <f>IF(AND(Inputs!$B$40&lt;&gt;"pvp",Inputs!$B$43&gt;0),(INT(Inputs!$B$43/IF(Inputs!$B$40="pvp",15,MAX(0.1,Skills!D11-IF(Skills!E11=TRUE,Inputs!$B$34,0))))+1),0)</f>
        <v/>
      </c>
    </row>
    <row r="538">
      <c r="A538">
        <f>Skills!A12</f>
        <v/>
      </c>
      <c r="B538">
        <f>Skills!B12</f>
        <v/>
      </c>
      <c r="C538">
        <f>Inputs!$B$3&gt;=72</f>
        <v/>
      </c>
      <c r="D538">
        <f>IF(Skills!C12=1,60+Inputs!$B$27+Inputs!$B$31,IF(Skills!C12=2,90+Inputs!$B$28+Inputs!$B$31,IF(Skills!C12=3,120+Inputs!$B$29+Inputs!$B$31,MAX(0,(Inputs!$B$3-100)*3)+Inputs!$B$30+Inputs!$B$31)))</f>
        <v/>
      </c>
      <c r="E538">
        <f>INDEX(FactorTable!$B$2:$Y$301, MATCH(ROUND(MIN(300,MAX(1,D538)),0), FactorTable!$A$2:$A$301,0), Skills!L12+1)</f>
        <v/>
      </c>
      <c r="F538">
        <f>IF(Skills!M12=TRUE,(Skills!K12/10)*(E538/1000),Skills!K12/10)+Skills!N12</f>
        <v/>
      </c>
      <c r="G538">
        <f>Calc!G12</f>
        <v/>
      </c>
      <c r="H538">
        <f>Calc!H12</f>
        <v/>
      </c>
      <c r="I538">
        <f>IF(Skills!T12&lt;&gt;"",1+(Skills!T12/10)*($Z$3/1000)/100,1)</f>
        <v/>
      </c>
      <c r="J538" t="inlineStr"/>
      <c r="K538" t="inlineStr"/>
      <c r="L538" t="inlineStr"/>
      <c r="M538" t="inlineStr"/>
      <c r="N538" t="inlineStr"/>
      <c r="O538" t="n">
        <v>0</v>
      </c>
      <c r="P538">
        <f>IF(B564=0,0,O538/B564)</f>
        <v/>
      </c>
      <c r="Q538">
        <f>IFERROR(1/IF(Inputs!$B$40="pvp",15,MAX(0.1,Skills!D12-IF(Skills!E12=TRUE,Inputs!$B$34,0))),0)</f>
        <v/>
      </c>
      <c r="R538">
        <f>IF(AND(Inputs!$B$40&lt;&gt;"pvp",Inputs!$B$43&gt;0),(INT(Inputs!$B$43/IF(Inputs!$B$40="pvp",15,MAX(0.1,Skills!D12-IF(Skills!E12=TRUE,Inputs!$B$34,0))))+1),0)</f>
        <v/>
      </c>
    </row>
    <row r="539">
      <c r="A539">
        <f>Skills!A13</f>
        <v/>
      </c>
      <c r="B539">
        <f>Skills!B13</f>
        <v/>
      </c>
      <c r="C539">
        <f>Inputs!$B$3&gt;=107</f>
        <v/>
      </c>
      <c r="D539">
        <f>IF(Skills!C13=1,60+Inputs!$B$27+Inputs!$B$31,IF(Skills!C13=2,90+Inputs!$B$28+Inputs!$B$31,IF(Skills!C13=3,120+Inputs!$B$29+Inputs!$B$31,MAX(0,(Inputs!$B$3-100)*3)+Inputs!$B$30+Inputs!$B$31)))</f>
        <v/>
      </c>
      <c r="E539">
        <f>INDEX(FactorTable!$B$2:$Y$301, MATCH(ROUND(MIN(300,MAX(1,D539)),0), FactorTable!$A$2:$A$301,0), Skills!L13+1)</f>
        <v/>
      </c>
      <c r="F539">
        <f>IF(Skills!M13=TRUE,(Skills!K13/10)*(E539/1000),Skills!K13/10)+Skills!N13</f>
        <v/>
      </c>
      <c r="G539">
        <f>Calc!G13</f>
        <v/>
      </c>
      <c r="H539">
        <f>Calc!H13</f>
        <v/>
      </c>
      <c r="I539">
        <f>IF(Skills!T13&lt;&gt;"",1+(Skills!T13/10)*($Z$3/1000)/100,1)</f>
        <v/>
      </c>
      <c r="J539" t="inlineStr"/>
      <c r="K539" t="inlineStr"/>
      <c r="L539" t="inlineStr"/>
      <c r="M539" t="inlineStr"/>
      <c r="N539" t="inlineStr"/>
      <c r="O539" t="n">
        <v>0</v>
      </c>
      <c r="P539">
        <f>IF(B564=0,0,O539/B564)</f>
        <v/>
      </c>
      <c r="Q539">
        <f>IFERROR(1/IF(Inputs!$B$40="pvp",15,MAX(0.1,Skills!D13-IF(Skills!E13=TRUE,Inputs!$B$34,0))),0)</f>
        <v/>
      </c>
      <c r="R539">
        <f>IF(AND(Inputs!$B$40&lt;&gt;"pvp",Inputs!$B$43&gt;0),(INT(Inputs!$B$43/IF(Inputs!$B$40="pvp",15,MAX(0.1,Skills!D13-IF(Skills!E13=TRUE,Inputs!$B$34,0))))+1),0)</f>
        <v/>
      </c>
    </row>
    <row r="540">
      <c r="A540">
        <f>Skills!A14</f>
        <v/>
      </c>
      <c r="B540">
        <f>Skills!B14</f>
        <v/>
      </c>
      <c r="C540">
        <f>Inputs!$B$3&gt;=63</f>
        <v/>
      </c>
      <c r="D540">
        <f>IF(Skills!C14=1,60+Inputs!$B$27+Inputs!$B$31,IF(Skills!C14=2,90+Inputs!$B$28+Inputs!$B$31,IF(Skills!C14=3,120+Inputs!$B$29+Inputs!$B$31,MAX(0,(Inputs!$B$3-100)*3)+Inputs!$B$30+Inputs!$B$31)))</f>
        <v/>
      </c>
      <c r="E540">
        <f>INDEX(FactorTable!$B$2:$Y$301, MATCH(ROUND(MIN(300,MAX(1,D540)),0), FactorTable!$A$2:$A$301,0), Skills!L14+1)</f>
        <v/>
      </c>
      <c r="F540">
        <f>IF(Skills!M14=TRUE,(Skills!K14/10)*(E540/1000),Skills!K14/10)+Skills!N14</f>
        <v/>
      </c>
      <c r="G540">
        <f>Calc!G14</f>
        <v/>
      </c>
      <c r="H540">
        <f>Calc!H14</f>
        <v/>
      </c>
      <c r="I540">
        <f>IF(Skills!T14&lt;&gt;"",1+(Skills!T14/10)*($Z$3/1000)/100,1)</f>
        <v/>
      </c>
      <c r="J540">
        <f>(Inputs!$B$7*(1+Inputs!$B$8/100))*(F540/100)</f>
        <v/>
      </c>
      <c r="K540">
        <f>J540*(1+(((Inputs!$B$14+IF(Inputs!$B$3&gt;=35,0.10*(Inputs!$B$9*(1+Inputs!$B$10/100)),0))*(1+Inputs!$B$15/100))*0.01+Inputs!$B$16*0.0025)/100)*(1+(Inputs!$B$17+B557)/100)*(1+IF(Inputs!$B$40="pvp",0,(1-Summary!$B$48)*(Inputs!$B$22+Skills!O14+B555)+Summary!$B$48*(Inputs!$B$23+Skills!P14+B556))/100)*(1+Inputs!$B$18/100)*(5000/(6000+Inputs!$B$42*(1-Inputs!$B$21/100)))*(1+Inputs!$B$26/100)*(1+IF(C543=TRUE,F543,0)/100)*(1+IF(C545=TRUE,F545,0)/100)*(1+IF(Skills!A14="TRIUMPH_FEATHER",IF(C541=TRUE,F541,0),0)/100)*(1+IF(C552=TRUE,F552,0)/100)^5*(1+(IF(Skills!A14="BIG_BANG",Inputs!$B$19,Inputs!$B$20))/100)*(B554*I540)</f>
        <v/>
      </c>
      <c r="L540">
        <f>K540*(MIN(Inputs!$B$24+(F547-Calc!F21),Inputs!$B$25)/100+Inputs!$B$25/100)/2</f>
        <v/>
      </c>
      <c r="M540">
        <f>L540*(1+((Inputs!$B$12+1)+B558+(F550-Calc!F24))/100)</f>
        <v/>
      </c>
      <c r="N540">
        <f>L540*(1-MIN(Inputs!$B$11+((F549-Calc!F23)+(F548-Calc!F22)),100)/100)+M540*(MIN(Inputs!$B$11+((F549-Calc!F23)+(F548-Calc!F22)),100)/100)</f>
        <v/>
      </c>
      <c r="O540">
        <f>IF(C540,Skills!F14*N540*((IF(Inputs!$B$3&gt;=78,25,15)/100*B560*10)/(1+IF(Inputs!$B$3&gt;=78,25,15)/100*B560*10))*(Skills!I14/100*B560)/(1+Skills!G14*Skills!I14/100*B560)*IF(Inputs!$B$40="pvp",1,(1-Summary!$B$48)*(1)+Summary!$B$48*(MIN(Skills!Q14,Inputs!$B$39))),0)</f>
        <v/>
      </c>
      <c r="P540">
        <f>IF(B564=0,0,O540/B564)</f>
        <v/>
      </c>
      <c r="Q540">
        <f>IFERROR(1/IF(Inputs!$B$40="pvp",15,MAX(0.1,Skills!D14-IF(Skills!E14=TRUE,Inputs!$B$34,0))),0)</f>
        <v/>
      </c>
      <c r="R540" t="n">
        <v>0</v>
      </c>
    </row>
    <row r="541">
      <c r="A541">
        <f>Skills!A15</f>
        <v/>
      </c>
      <c r="B541">
        <f>Skills!B15</f>
        <v/>
      </c>
      <c r="C541">
        <f>Inputs!$B$3&gt;=100</f>
        <v/>
      </c>
      <c r="D541">
        <f>IF(Skills!C15=1,60+Inputs!$B$27+Inputs!$B$31,IF(Skills!C15=2,90+Inputs!$B$28+Inputs!$B$31,IF(Skills!C15=3,120+Inputs!$B$29+Inputs!$B$31,MAX(0,(Inputs!$B$3-100)*3)+Inputs!$B$30+Inputs!$B$31)))</f>
        <v/>
      </c>
      <c r="E541">
        <f>INDEX(FactorTable!$B$2:$Y$301, MATCH(ROUND(MIN(300,MAX(1,D541)),0), FactorTable!$A$2:$A$301,0), Skills!L15+1)</f>
        <v/>
      </c>
      <c r="F541">
        <f>IF(Skills!M15=TRUE,(Skills!K15/10)*(E541/1000),Skills!K15/10)+Skills!N15</f>
        <v/>
      </c>
      <c r="G541">
        <f>Calc!G15</f>
        <v/>
      </c>
      <c r="H541">
        <f>Calc!H15</f>
        <v/>
      </c>
      <c r="I541">
        <f>IF(Skills!T15&lt;&gt;"",1+(Skills!T15/10)*($Z$3/1000)/100,1)</f>
        <v/>
      </c>
      <c r="J541" t="inlineStr"/>
      <c r="K541" t="inlineStr"/>
      <c r="L541" t="inlineStr"/>
      <c r="M541" t="inlineStr"/>
      <c r="N541" t="inlineStr"/>
      <c r="O541" t="n">
        <v>0</v>
      </c>
      <c r="P541">
        <f>IF(B564=0,0,O541/B564)</f>
        <v/>
      </c>
      <c r="Q541">
        <f>IFERROR(1/IF(Inputs!$B$40="pvp",15,MAX(0.1,Skills!D15-IF(Skills!E15=TRUE,Inputs!$B$34,0))),0)</f>
        <v/>
      </c>
      <c r="R541" t="n">
        <v>0</v>
      </c>
    </row>
    <row r="542">
      <c r="A542">
        <f>Skills!A16</f>
        <v/>
      </c>
      <c r="B542">
        <f>Skills!B16</f>
        <v/>
      </c>
      <c r="C542">
        <f>Inputs!$B$3&gt;=49</f>
        <v/>
      </c>
      <c r="D542">
        <f>IF(Skills!C16=1,60+Inputs!$B$27+Inputs!$B$31,IF(Skills!C16=2,90+Inputs!$B$28+Inputs!$B$31,IF(Skills!C16=3,120+Inputs!$B$29+Inputs!$B$31,MAX(0,(Inputs!$B$3-100)*3)+Inputs!$B$30+Inputs!$B$31)))</f>
        <v/>
      </c>
      <c r="E542">
        <f>INDEX(FactorTable!$B$2:$Y$301, MATCH(ROUND(MIN(300,MAX(1,D542)),0), FactorTable!$A$2:$A$301,0), Skills!L16+1)</f>
        <v/>
      </c>
      <c r="F542">
        <f>IF(Skills!M16=TRUE,(Skills!K16/10)*(E542/1000),Skills!K16/10)+Skills!N16</f>
        <v/>
      </c>
      <c r="G542">
        <f>Calc!G16</f>
        <v/>
      </c>
      <c r="H542">
        <f>Calc!H16</f>
        <v/>
      </c>
      <c r="I542">
        <f>IF(Skills!T16&lt;&gt;"",1+(Skills!T16/10)*($Z$3/1000)/100,1)</f>
        <v/>
      </c>
      <c r="J542" t="inlineStr"/>
      <c r="K542" t="inlineStr"/>
      <c r="L542" t="inlineStr"/>
      <c r="M542" t="inlineStr"/>
      <c r="N542" t="inlineStr"/>
      <c r="O542" t="n">
        <v>0</v>
      </c>
      <c r="P542">
        <f>IF(B564=0,0,O542/B564)</f>
        <v/>
      </c>
      <c r="Q542">
        <f>IFERROR(1/IF(Inputs!$B$40="pvp",15,MAX(0.1,Skills!D16-IF(Skills!E16=TRUE,Inputs!$B$34,0))),0)</f>
        <v/>
      </c>
      <c r="R542" t="n">
        <v>0</v>
      </c>
    </row>
    <row r="543">
      <c r="A543">
        <f>Skills!A17</f>
        <v/>
      </c>
      <c r="B543">
        <f>Skills!B17</f>
        <v/>
      </c>
      <c r="C543">
        <f>Inputs!$B$3&gt;=75</f>
        <v/>
      </c>
      <c r="D543">
        <f>IF(Skills!C17=1,60+Inputs!$B$27+Inputs!$B$31,IF(Skills!C17=2,90+Inputs!$B$28+Inputs!$B$31,IF(Skills!C17=3,120+Inputs!$B$29+Inputs!$B$31,MAX(0,(Inputs!$B$3-100)*3)+Inputs!$B$30+Inputs!$B$31)))</f>
        <v/>
      </c>
      <c r="E543">
        <f>INDEX(FactorTable!$B$2:$Y$301, MATCH(ROUND(MIN(300,MAX(1,D543)),0), FactorTable!$A$2:$A$301,0), Skills!L17+1)</f>
        <v/>
      </c>
      <c r="F543">
        <f>IF(Skills!M17=TRUE,(Skills!K17/10)*(E543/1000),Skills!K17/10)+Skills!N17</f>
        <v/>
      </c>
      <c r="G543">
        <f>Calc!G17</f>
        <v/>
      </c>
      <c r="H543">
        <f>Calc!H17</f>
        <v/>
      </c>
      <c r="I543">
        <f>IF(Skills!T17&lt;&gt;"",1+(Skills!T17/10)*($Z$3/1000)/100,1)</f>
        <v/>
      </c>
      <c r="J543" t="inlineStr"/>
      <c r="K543" t="inlineStr"/>
      <c r="L543" t="inlineStr"/>
      <c r="M543" t="inlineStr"/>
      <c r="N543" t="inlineStr"/>
      <c r="O543" t="n">
        <v>0</v>
      </c>
      <c r="P543">
        <f>IF(B564=0,0,O543/B564)</f>
        <v/>
      </c>
      <c r="Q543">
        <f>IFERROR(1/IF(Inputs!$B$40="pvp",15,MAX(0.1,Skills!D17-IF(Skills!E17=TRUE,Inputs!$B$34,0))),0)</f>
        <v/>
      </c>
      <c r="R543" t="n">
        <v>0</v>
      </c>
    </row>
    <row r="544">
      <c r="A544">
        <f>Skills!A18</f>
        <v/>
      </c>
      <c r="B544">
        <f>Skills!B18</f>
        <v/>
      </c>
      <c r="C544">
        <f>Inputs!$B$3&gt;=110</f>
        <v/>
      </c>
      <c r="D544">
        <f>IF(Skills!C18=1,60+Inputs!$B$27+Inputs!$B$31,IF(Skills!C18=2,90+Inputs!$B$28+Inputs!$B$31,IF(Skills!C18=3,120+Inputs!$B$29+Inputs!$B$31,MAX(0,(Inputs!$B$3-100)*3)+Inputs!$B$30+Inputs!$B$31)))</f>
        <v/>
      </c>
      <c r="E544">
        <f>INDEX(FactorTable!$B$2:$Y$301, MATCH(ROUND(MIN(300,MAX(1,D544)),0), FactorTable!$A$2:$A$301,0), Skills!L18+1)</f>
        <v/>
      </c>
      <c r="F544">
        <f>(Skills!K18/10)*(E544/1000)*64/45+Skills!N18</f>
        <v/>
      </c>
      <c r="G544">
        <f>Calc!G18</f>
        <v/>
      </c>
      <c r="H544">
        <f>Calc!H18</f>
        <v/>
      </c>
      <c r="I544">
        <f>IF(Skills!T18&lt;&gt;"",1+(Skills!T18/10)*($Z$3/1000)/100,1)</f>
        <v/>
      </c>
      <c r="J544" t="inlineStr"/>
      <c r="K544" t="inlineStr"/>
      <c r="L544" t="inlineStr"/>
      <c r="M544" t="inlineStr"/>
      <c r="N544" t="inlineStr"/>
      <c r="O544" t="n">
        <v>0</v>
      </c>
      <c r="P544">
        <f>IF(B564=0,0,O544/B564)</f>
        <v/>
      </c>
      <c r="Q544">
        <f>IFERROR(1/IF(Inputs!$B$40="pvp",15,MAX(0.1,Skills!D18-IF(Skills!E18=TRUE,Inputs!$B$34,0))),0)</f>
        <v/>
      </c>
      <c r="R544">
        <f>IF(AND(Inputs!$B$40&lt;&gt;"pvp",Inputs!$B$43&gt;0),(INT(Inputs!$B$43/IF(Inputs!$B$40="pvp",15,MAX(0.1,Skills!D18-IF(Skills!E18=TRUE,Inputs!$B$34,0))))+1),0)</f>
        <v/>
      </c>
    </row>
    <row r="545">
      <c r="A545">
        <f>Skills!A19</f>
        <v/>
      </c>
      <c r="B545">
        <f>Skills!B19</f>
        <v/>
      </c>
      <c r="C545">
        <f>Inputs!$B$3&gt;=125</f>
        <v/>
      </c>
      <c r="D545">
        <f>IF(Skills!C19=1,60+Inputs!$B$27+Inputs!$B$31,IF(Skills!C19=2,90+Inputs!$B$28+Inputs!$B$31,IF(Skills!C19=3,120+Inputs!$B$29+Inputs!$B$31,MAX(0,(Inputs!$B$3-100)*3)+Inputs!$B$30+Inputs!$B$31)))</f>
        <v/>
      </c>
      <c r="E545">
        <f>INDEX(FactorTable!$B$2:$Y$301, MATCH(ROUND(MIN(300,MAX(1,D545)),0), FactorTable!$A$2:$A$301,0), Skills!L19+1)</f>
        <v/>
      </c>
      <c r="F545">
        <f>IF(Skills!M19=TRUE,(Skills!K19/10)*(E545/1000),Skills!K19/10)+Skills!N19</f>
        <v/>
      </c>
      <c r="G545">
        <f>Calc!G19</f>
        <v/>
      </c>
      <c r="H545">
        <f>Calc!H19</f>
        <v/>
      </c>
      <c r="I545">
        <f>IF(Skills!T19&lt;&gt;"",1+(Skills!T19/10)*($Z$3/1000)/100,1)</f>
        <v/>
      </c>
      <c r="J545" t="inlineStr"/>
      <c r="K545" t="inlineStr"/>
      <c r="L545" t="inlineStr"/>
      <c r="M545" t="inlineStr"/>
      <c r="N545" t="inlineStr"/>
      <c r="O545" t="n">
        <v>0</v>
      </c>
      <c r="P545">
        <f>IF(B564=0,0,O545/B564)</f>
        <v/>
      </c>
      <c r="Q545">
        <f>IFERROR(1/IF(Inputs!$B$40="pvp",15,MAX(0.1,Skills!D19-IF(Skills!E19=TRUE,Inputs!$B$34,0))),0)</f>
        <v/>
      </c>
      <c r="R545" t="n">
        <v>0</v>
      </c>
    </row>
    <row r="546">
      <c r="A546">
        <f>Skills!A20</f>
        <v/>
      </c>
      <c r="B546">
        <f>Skills!B20</f>
        <v/>
      </c>
      <c r="C546">
        <f>Inputs!$B$3&gt;=33</f>
        <v/>
      </c>
      <c r="D546">
        <f>IF(Skills!C20=1,60+Inputs!$B$27+Inputs!$B$31,IF(Skills!C20=2,90+Inputs!$B$28+Inputs!$B$31,IF(Skills!C20=3,120+Inputs!$B$29+Inputs!$B$31,MAX(0,(Inputs!$B$3-100)*3)+Inputs!$B$30+Inputs!$B$31)))</f>
        <v/>
      </c>
      <c r="E546">
        <f>INDEX(FactorTable!$B$2:$Y$301, MATCH(ROUND(MIN(300,MAX(1,D546)),0), FactorTable!$A$2:$A$301,0), Skills!L20+1)</f>
        <v/>
      </c>
      <c r="F546">
        <f>IF(Skills!M20=TRUE,(Skills!K20/10)*(E546/1000),Skills!K20/10)+Skills!N20</f>
        <v/>
      </c>
      <c r="G546">
        <f>Calc!G20</f>
        <v/>
      </c>
      <c r="H546">
        <f>Calc!H20</f>
        <v/>
      </c>
      <c r="I546">
        <f>IF(Skills!T20&lt;&gt;"",1+(Skills!T20/10)*($Z$3/1000)/100,1)</f>
        <v/>
      </c>
      <c r="J546" t="inlineStr"/>
      <c r="K546" t="inlineStr"/>
      <c r="L546" t="inlineStr"/>
      <c r="M546" t="inlineStr"/>
      <c r="N546" t="inlineStr"/>
      <c r="O546" t="n">
        <v>0</v>
      </c>
      <c r="P546">
        <f>IF(B564=0,0,O546/B564)</f>
        <v/>
      </c>
      <c r="Q546">
        <f>IFERROR(1/IF(Inputs!$B$40="pvp",15,MAX(0.1,Skills!D20-IF(Skills!E20=TRUE,Inputs!$B$34,0))),0)</f>
        <v/>
      </c>
      <c r="R546" t="n">
        <v>0</v>
      </c>
    </row>
    <row r="547">
      <c r="A547">
        <f>Skills!A21</f>
        <v/>
      </c>
      <c r="B547">
        <f>Skills!B21</f>
        <v/>
      </c>
      <c r="C547">
        <f>Inputs!$B$3&gt;=43</f>
        <v/>
      </c>
      <c r="D547">
        <f>IF(Skills!C21=1,60+Inputs!$B$27+Inputs!$B$31,IF(Skills!C21=2,90+Inputs!$B$28+Inputs!$B$31,IF(Skills!C21=3,120+Inputs!$B$29+Inputs!$B$31,MAX(0,(Inputs!$B$3-100)*3)+Inputs!$B$30+Inputs!$B$31)))</f>
        <v/>
      </c>
      <c r="E547">
        <f>INDEX(FactorTable!$B$2:$Y$301, MATCH(ROUND(MIN(300,MAX(1,D547)),0), FactorTable!$A$2:$A$301,0), Skills!L21+1)</f>
        <v/>
      </c>
      <c r="F547">
        <f>IF(Skills!M21=TRUE,(Skills!K21/10)*(E547/1000),Skills!K21/10)+Skills!N21</f>
        <v/>
      </c>
      <c r="G547">
        <f>Calc!G21</f>
        <v/>
      </c>
      <c r="H547">
        <f>Calc!H21</f>
        <v/>
      </c>
      <c r="I547">
        <f>IF(Skills!T21&lt;&gt;"",1+(Skills!T21/10)*($Z$3/1000)/100,1)</f>
        <v/>
      </c>
      <c r="J547" t="inlineStr"/>
      <c r="K547" t="inlineStr"/>
      <c r="L547" t="inlineStr"/>
      <c r="M547" t="inlineStr"/>
      <c r="N547" t="inlineStr"/>
      <c r="O547" t="n">
        <v>0</v>
      </c>
      <c r="P547">
        <f>IF(B564=0,0,O547/B564)</f>
        <v/>
      </c>
      <c r="Q547">
        <f>IFERROR(1/IF(Inputs!$B$40="pvp",15,MAX(0.1,Skills!D21-IF(Skills!E21=TRUE,Inputs!$B$34,0))),0)</f>
        <v/>
      </c>
      <c r="R547" t="n">
        <v>0</v>
      </c>
    </row>
    <row r="548">
      <c r="A548">
        <f>Skills!A22</f>
        <v/>
      </c>
      <c r="B548">
        <f>Skills!B22</f>
        <v/>
      </c>
      <c r="C548">
        <f>Inputs!$B$3&gt;=50</f>
        <v/>
      </c>
      <c r="D548">
        <f>IF(Skills!C22=1,60+Inputs!$B$27+Inputs!$B$31,IF(Skills!C22=2,90+Inputs!$B$28+Inputs!$B$31,IF(Skills!C22=3,120+Inputs!$B$29+Inputs!$B$31,MAX(0,(Inputs!$B$3-100)*3)+Inputs!$B$30+Inputs!$B$31)))</f>
        <v/>
      </c>
      <c r="E548">
        <f>INDEX(FactorTable!$B$2:$Y$301, MATCH(ROUND(MIN(300,MAX(1,D548)),0), FactorTable!$A$2:$A$301,0), Skills!L22+1)</f>
        <v/>
      </c>
      <c r="F548">
        <f>IF(Skills!M22=TRUE,(Skills!K22/10)*(E548/1000),Skills!K22/10)+Skills!N22</f>
        <v/>
      </c>
      <c r="G548">
        <f>Calc!G22</f>
        <v/>
      </c>
      <c r="H548">
        <f>Calc!H22</f>
        <v/>
      </c>
      <c r="I548">
        <f>IF(Skills!T22&lt;&gt;"",1+(Skills!T22/10)*($Z$3/1000)/100,1)</f>
        <v/>
      </c>
      <c r="J548" t="inlineStr"/>
      <c r="K548" t="inlineStr"/>
      <c r="L548" t="inlineStr"/>
      <c r="M548" t="inlineStr"/>
      <c r="N548" t="inlineStr"/>
      <c r="O548" t="n">
        <v>0</v>
      </c>
      <c r="P548">
        <f>IF(B564=0,0,O548/B564)</f>
        <v/>
      </c>
      <c r="Q548">
        <f>IFERROR(1/IF(Inputs!$B$40="pvp",15,MAX(0.1,Skills!D22-IF(Skills!E22=TRUE,Inputs!$B$34,0))),0)</f>
        <v/>
      </c>
      <c r="R548" t="n">
        <v>0</v>
      </c>
    </row>
    <row r="549">
      <c r="A549">
        <f>Skills!A23</f>
        <v/>
      </c>
      <c r="B549">
        <f>Skills!B23</f>
        <v/>
      </c>
      <c r="C549">
        <f>Inputs!$B$3&gt;=74</f>
        <v/>
      </c>
      <c r="D549">
        <f>IF(Skills!C23=1,60+Inputs!$B$27+Inputs!$B$31,IF(Skills!C23=2,90+Inputs!$B$28+Inputs!$B$31,IF(Skills!C23=3,120+Inputs!$B$29+Inputs!$B$31,MAX(0,(Inputs!$B$3-100)*3)+Inputs!$B$30+Inputs!$B$31)))</f>
        <v/>
      </c>
      <c r="E549">
        <f>INDEX(FactorTable!$B$2:$Y$301, MATCH(ROUND(MIN(300,MAX(1,D549)),0), FactorTable!$A$2:$A$301,0), Skills!L23+1)</f>
        <v/>
      </c>
      <c r="F549">
        <f>IF(Skills!M23=TRUE,(Skills!K23/10)*(E549/1000),Skills!K23/10)+Skills!N23</f>
        <v/>
      </c>
      <c r="G549">
        <f>Calc!G23</f>
        <v/>
      </c>
      <c r="H549">
        <f>Calc!H23</f>
        <v/>
      </c>
      <c r="I549">
        <f>IF(Skills!T23&lt;&gt;"",1+(Skills!T23/10)*($Z$3/1000)/100,1)</f>
        <v/>
      </c>
      <c r="J549" t="inlineStr"/>
      <c r="K549" t="inlineStr"/>
      <c r="L549" t="inlineStr"/>
      <c r="M549" t="inlineStr"/>
      <c r="N549" t="inlineStr"/>
      <c r="O549" t="n">
        <v>0</v>
      </c>
      <c r="P549">
        <f>IF(B564=0,0,O549/B564)</f>
        <v/>
      </c>
      <c r="Q549">
        <f>IFERROR(1/IF(Inputs!$B$40="pvp",15,MAX(0.1,Skills!D23-IF(Skills!E23=TRUE,Inputs!$B$34,0))),0)</f>
        <v/>
      </c>
      <c r="R549" t="n">
        <v>0</v>
      </c>
    </row>
    <row r="550">
      <c r="A550">
        <f>Skills!A24</f>
        <v/>
      </c>
      <c r="B550">
        <f>Skills!B24</f>
        <v/>
      </c>
      <c r="C550">
        <f>Inputs!$B$3&gt;=74</f>
        <v/>
      </c>
      <c r="D550">
        <f>IF(Skills!C24=1,60+Inputs!$B$27+Inputs!$B$31,IF(Skills!C24=2,90+Inputs!$B$28+Inputs!$B$31,IF(Skills!C24=3,120+Inputs!$B$29+Inputs!$B$31,MAX(0,(Inputs!$B$3-100)*3)+Inputs!$B$30+Inputs!$B$31)))</f>
        <v/>
      </c>
      <c r="E550">
        <f>INDEX(FactorTable!$B$2:$Y$301, MATCH(ROUND(MIN(300,MAX(1,D550)),0), FactorTable!$A$2:$A$301,0), Skills!L24+1)</f>
        <v/>
      </c>
      <c r="F550">
        <f>IF(Skills!M24=TRUE,(Skills!K24/10)*(E550/1000),Skills!K24/10)+Skills!N24</f>
        <v/>
      </c>
      <c r="G550">
        <f>Calc!G24</f>
        <v/>
      </c>
      <c r="H550">
        <f>Calc!H24</f>
        <v/>
      </c>
      <c r="I550">
        <f>IF(Skills!T24&lt;&gt;"",1+(Skills!T24/10)*($Z$3/1000)/100,1)</f>
        <v/>
      </c>
      <c r="J550" t="inlineStr"/>
      <c r="K550" t="inlineStr"/>
      <c r="L550" t="inlineStr"/>
      <c r="M550" t="inlineStr"/>
      <c r="N550" t="inlineStr"/>
      <c r="O550" t="n">
        <v>0</v>
      </c>
      <c r="P550">
        <f>IF(B564=0,0,O550/B564)</f>
        <v/>
      </c>
      <c r="Q550">
        <f>IFERROR(1/IF(Inputs!$B$40="pvp",15,MAX(0.1,Skills!D24-IF(Skills!E24=TRUE,Inputs!$B$34,0))),0)</f>
        <v/>
      </c>
      <c r="R550" t="n">
        <v>0</v>
      </c>
    </row>
    <row r="551">
      <c r="A551">
        <f>Skills!A25</f>
        <v/>
      </c>
      <c r="B551">
        <f>Skills!B25</f>
        <v/>
      </c>
      <c r="C551">
        <f>Inputs!$B$3&gt;=117</f>
        <v/>
      </c>
      <c r="D551">
        <f>IF(Skills!C25=1,60+Inputs!$B$27+Inputs!$B$31,IF(Skills!C25=2,90+Inputs!$B$28+Inputs!$B$31,IF(Skills!C25=3,120+Inputs!$B$29+Inputs!$B$31,MAX(0,(Inputs!$B$3-100)*3)+Inputs!$B$30+Inputs!$B$31)))</f>
        <v/>
      </c>
      <c r="E551">
        <f>INDEX(FactorTable!$B$2:$Y$301, MATCH(ROUND(MIN(300,MAX(1,D551)),0), FactorTable!$A$2:$A$301,0), Skills!L25+1)</f>
        <v/>
      </c>
      <c r="F551">
        <f>IF(Skills!M25=TRUE,(Skills!K25/10)*(E551/1000),Skills!K25/10)+Skills!N25</f>
        <v/>
      </c>
      <c r="G551">
        <f>Calc!G25</f>
        <v/>
      </c>
      <c r="H551">
        <f>Calc!H25</f>
        <v/>
      </c>
      <c r="I551">
        <f>IF(Skills!T25&lt;&gt;"",1+(Skills!T25/10)*($Z$3/1000)/100,1)</f>
        <v/>
      </c>
      <c r="J551" t="inlineStr"/>
      <c r="K551" t="inlineStr"/>
      <c r="L551" t="inlineStr"/>
      <c r="M551" t="inlineStr"/>
      <c r="N551" t="inlineStr"/>
      <c r="O551" t="n">
        <v>0</v>
      </c>
      <c r="P551">
        <f>IF(B564=0,0,O551/B564)</f>
        <v/>
      </c>
      <c r="Q551">
        <f>IFERROR(1/IF(Inputs!$B$40="pvp",15,MAX(0.1,Skills!D25-IF(Skills!E25=TRUE,Inputs!$B$34,0))),0)</f>
        <v/>
      </c>
      <c r="R551" t="n">
        <v>0</v>
      </c>
    </row>
    <row r="552">
      <c r="A552">
        <f>Skills!A26</f>
        <v/>
      </c>
      <c r="B552">
        <f>Skills!B26</f>
        <v/>
      </c>
      <c r="C552">
        <f>Inputs!$B$3&gt;=120</f>
        <v/>
      </c>
      <c r="D552">
        <f>IF(Skills!C26=1,60+Inputs!$B$27+Inputs!$B$31,IF(Skills!C26=2,90+Inputs!$B$28+Inputs!$B$31,IF(Skills!C26=3,120+Inputs!$B$29+Inputs!$B$31,MAX(0,(Inputs!$B$3-100)*3)+Inputs!$B$30+Inputs!$B$31)))</f>
        <v/>
      </c>
      <c r="E552">
        <f>INDEX(FactorTable!$B$2:$Y$301, MATCH(ROUND(MIN(300,MAX(1,D552)),0), FactorTable!$A$2:$A$301,0), Skills!L26+1)</f>
        <v/>
      </c>
      <c r="F552">
        <f>IF(Skills!M26=TRUE,(Skills!K26/10)*(E552/1000),Skills!K26/10)+Skills!N26</f>
        <v/>
      </c>
      <c r="G552">
        <f>Calc!G26</f>
        <v/>
      </c>
      <c r="H552">
        <f>Calc!H26</f>
        <v/>
      </c>
      <c r="I552">
        <f>IF(Skills!T26&lt;&gt;"",1+(Skills!T26/10)*($Z$3/1000)/100,1)</f>
        <v/>
      </c>
      <c r="J552" t="inlineStr"/>
      <c r="K552" t="inlineStr"/>
      <c r="L552" t="inlineStr"/>
      <c r="M552" t="inlineStr"/>
      <c r="N552" t="inlineStr"/>
      <c r="O552" t="n">
        <v>0</v>
      </c>
      <c r="P552">
        <f>IF(B564=0,0,O552/B564)</f>
        <v/>
      </c>
      <c r="Q552">
        <f>IFERROR(1/IF(Inputs!$B$40="pvp",15,MAX(0.1,Skills!D26-IF(Skills!E26=TRUE,Inputs!$B$34,0))),0)</f>
        <v/>
      </c>
      <c r="R552" t="n">
        <v>0</v>
      </c>
    </row>
    <row r="554">
      <c r="A554" t="inlineStr">
        <is>
          <t>Average Buff Multiplier</t>
        </is>
      </c>
      <c r="B554">
        <f>(1+(IF(C529=TRUE,F529*IF(AND(Inputs!$B$40&lt;&gt;"pvp",Inputs!$B$43&gt;0),(((R529-1)*(Skills!S3*(1+(Inputs!$B$36+IF(Inputs!$B$3&gt;=117,F551,0))/100))+MIN((Skills!S3*(1+(Inputs!$B$36+IF(Inputs!$B$3&gt;=117,F551,0))/100)),MAX(0,Inputs!$B$43-((R529-1)*Skills!D3))))/Inputs!$B$43),IF(Inputs!$B$40="pvp",MIN((Skills!S3*(1+(Inputs!$B$36+IF(Inputs!$B$3&gt;=117,F551,0))/100)),15)/15,(Skills!S3*(1+(Inputs!$B$36+IF(Inputs!$B$3&gt;=117,F551,0))/100))/Skills!D3)),0)+IF(C530=TRUE,F530*IF(AND(Inputs!$B$40&lt;&gt;"pvp",Inputs!$B$43&gt;0),(((R530-1)*(Skills!S4*(1+(Inputs!$B$36+IF(Inputs!$B$3&gt;=117,F551,0))/100))+MIN((Skills!S4*(1+(Inputs!$B$36+IF(Inputs!$B$3&gt;=117,F551,0))/100)),MAX(0,Inputs!$B$43-((R530-1)*Skills!D4))))/Inputs!$B$43),IF(Inputs!$B$40="pvp",MIN((Skills!S4*(1+(Inputs!$B$36+IF(Inputs!$B$3&gt;=117,F551,0))/100)),15)/15,(Skills!S4*(1+(Inputs!$B$36+IF(Inputs!$B$3&gt;=117,F551,0))/100))/Skills!D4)),0)+IF(C531=TRUE,F531*IF(AND(Inputs!$B$40&lt;&gt;"pvp",Inputs!$B$43&gt;0),(((R531-1)*(Skills!S5*(1+(Inputs!$B$36+IF(Inputs!$B$3&gt;=117,F551,0))/100))+MIN((Skills!S5*(1+(Inputs!$B$36+IF(Inputs!$B$3&gt;=117,F551,0))/100)),MAX(0,Inputs!$B$43-((R531-1)*Skills!D5))))/Inputs!$B$43),IF(Inputs!$B$40="pvp",MIN((Skills!S5*(1+(Inputs!$B$36+IF(Inputs!$B$3&gt;=117,F551,0))/100)),15)/15,(Skills!S5*(1+(Inputs!$B$36+IF(Inputs!$B$3&gt;=117,F551,0))/100))/Skills!D5)),0)+IF(C537=TRUE,F537*IF(AND(Inputs!$B$40&lt;&gt;"pvp",Inputs!$B$43&gt;0),(((R537-1)*(Skills!S11*(1+(Inputs!$B$36+IF(Inputs!$B$3&gt;=117,F551,0))/100))+MIN((Skills!S11*(1+(Inputs!$B$36+IF(Inputs!$B$3&gt;=117,F551,0))/100)),MAX(0,Inputs!$B$43-((R537-1)*Skills!D11))))/Inputs!$B$43),IF(Inputs!$B$40="pvp",MIN((Skills!S11*(1+(Inputs!$B$36+IF(Inputs!$B$3&gt;=117,F551,0))/100)),15)/15,(Skills!S11*(1+(Inputs!$B$36+IF(Inputs!$B$3&gt;=117,F551,0))/100))/Skills!D11)),0))/100)*IF(C539=TRUE,(1+F539*IF(AND(Inputs!$B$40&lt;&gt;"pvp",Inputs!$B$43&gt;0),(((R539-1)*(Skills!S13*(1+(Inputs!$B$36+IF(Inputs!$B$3&gt;=117,F551,0))/100))+MIN((Skills!S13*(1+(Inputs!$B$36+IF(Inputs!$B$3&gt;=117,F551,0))/100)),MAX(0,Inputs!$B$43-((R539-1)*Skills!D13))))/Inputs!$B$43),IF(Inputs!$B$40="pvp",MIN((Skills!S13*(1+(Inputs!$B$36+IF(Inputs!$B$3&gt;=117,F551,0))/100)),15)/15,(Skills!S13*(1+(Inputs!$B$36+IF(Inputs!$B$3&gt;=117,F551,0))/100))/Skills!D13))/100),1)*IF(C544=TRUE,(1+F544*IF(AND(Inputs!$B$40&lt;&gt;"pvp",Inputs!$B$43&gt;0),(((R544-1)*(Skills!S18*(1+(Inputs!$B$36+IF(Inputs!$B$3&gt;=117,F551,0))/100))+MIN((Skills!S18*(1+(Inputs!$B$36+IF(Inputs!$B$3&gt;=117,F551,0))/100)),MAX(0,Inputs!$B$43-((R544-1)*Skills!D18))))/Inputs!$B$43),IF(Inputs!$B$40="pvp",MIN((Skills!S18*(1+(Inputs!$B$36+IF(Inputs!$B$3&gt;=117,F551,0))/100)),15)/15,(Skills!S18*(1+(Inputs!$B$36+IF(Inputs!$B$3&gt;=117,F551,0))/100))/Skills!D18))/100),1)</f>
        <v/>
      </c>
    </row>
    <row r="555">
      <c r="A555" t="inlineStr">
        <is>
          <t>Monster Damage Taken Bonus % (Holy Fountain)</t>
        </is>
      </c>
      <c r="B555">
        <f>IF(Inputs!$B$3&gt;=68,20*IF(Inputs!$B$40="pvp",MIN((15*(1+(Inputs!$B$36+IF(Inputs!$B$3&gt;=117,F551,0))/100)),15)/15,(15*(1+(Inputs!$B$36+IF(Inputs!$B$3&gt;=117,F551,0))/100))/Skills!D10),0)</f>
        <v/>
      </c>
    </row>
    <row r="556">
      <c r="A556" t="inlineStr">
        <is>
          <t>Normal Monster Damage Bonus % (Holy Symbol)</t>
        </is>
      </c>
      <c r="B556">
        <f>IF(C538=TRUE,F538*IF(AND(Inputs!$B$40&lt;&gt;"pvp",Inputs!$B$43&gt;0),(((R538-1)*(Skills!S12*(1+(Inputs!$B$36+IF(Inputs!$B$3&gt;=117,F551,0))/100))+MIN((Skills!S12*(1+(Inputs!$B$36+IF(Inputs!$B$3&gt;=117,F551,0))/100)),MAX(0,Inputs!$B$43-((R538-1)*Skills!D12))))/Inputs!$B$43),IF(Inputs!$B$40="pvp",MIN((Skills!S12*(1+(Inputs!$B$36+IF(Inputs!$B$3&gt;=117,F551,0))/100)),15)/15,(Skills!S12*(1+(Inputs!$B$36+IF(Inputs!$B$3&gt;=117,F551,0))/100))/Skills!D12)),0)</f>
        <v/>
      </c>
    </row>
    <row r="557">
      <c r="A557" t="inlineStr">
        <is>
          <t>Damage % Bonus (Holy Symbol - Damage Boost)</t>
        </is>
      </c>
      <c r="B557">
        <f>Skills!O12</f>
        <v/>
      </c>
    </row>
    <row r="558">
      <c r="A558" t="inlineStr">
        <is>
          <t>Crit Damage % Bonus (Blood of the Divine)</t>
        </is>
      </c>
      <c r="B558">
        <f>4*IF(C545=TRUE,F545,0)</f>
        <v/>
      </c>
    </row>
    <row r="559">
      <c r="A559" t="inlineStr">
        <is>
          <t>Attack Speed Bonus %</t>
        </is>
      </c>
      <c r="B559">
        <f>IF(C542=TRUE,F542+(F546-Calc!F20),0)+IF(Inputs!$B$3&gt;=134,15,0)</f>
        <v/>
      </c>
    </row>
    <row r="560">
      <c r="A560" t="inlineStr">
        <is>
          <t>Actions Per Second</t>
        </is>
      </c>
      <c r="B560">
        <f>1+MIN(150,150*(1-(1-Inputs!$B$13/150)*(1-B559/150)))/100</f>
        <v/>
      </c>
    </row>
    <row r="561">
      <c r="A561" t="inlineStr">
        <is>
          <t>Skill + Buff Cast Rate</t>
        </is>
      </c>
      <c r="B561">
        <f>IF(AND(Inputs!$B$40&lt;&gt;"pvp",Inputs!$B$43&gt;0),SUMPRODUCT((Skills!E2:E26=TRUE)*(C528:C552=TRUE)*R528:R552)/Inputs!$B$43,SUMPRODUCT((Skills!E2:E26=TRUE)*(C528:C552=TRUE)*Q528:Q552))</f>
        <v/>
      </c>
    </row>
    <row r="562">
      <c r="A562" t="inlineStr">
        <is>
          <t>Big Bang Casts Per Second</t>
        </is>
      </c>
      <c r="B562">
        <f>MAX(0,B560-B561)</f>
        <v/>
      </c>
    </row>
    <row r="564">
      <c r="A564" s="5" t="inlineStr">
        <is>
          <t>TOTAL DPS</t>
        </is>
      </c>
      <c r="B564" s="5">
        <f>SUM(O528:O552)</f>
        <v/>
      </c>
    </row>
    <row r="567">
      <c r="A567" s="5" t="inlineStr">
        <is>
          <t>Stat: ATTACK_SPEED % (diminishing returns, factor 150)</t>
        </is>
      </c>
    </row>
    <row r="568">
      <c r="A568" s="9" t="inlineStr">
        <is>
          <t>Key</t>
        </is>
      </c>
      <c r="B568" s="9" t="inlineStr">
        <is>
          <t>Name</t>
        </is>
      </c>
      <c r="C568" s="9" t="inlineStr">
        <is>
          <t>Unlocked</t>
        </is>
      </c>
      <c r="D568" s="9" t="inlineStr">
        <is>
          <t>InputLevel</t>
        </is>
      </c>
      <c r="E568" s="9" t="inlineStr">
        <is>
          <t>Factor</t>
        </is>
      </c>
      <c r="F568" s="9" t="inlineStr">
        <is>
          <t>CoefficientPercent</t>
        </is>
      </c>
      <c r="G568" s="9" t="inlineStr">
        <is>
          <t>EffectiveHits</t>
        </is>
      </c>
      <c r="H568" s="9" t="inlineStr">
        <is>
          <t>ProcProbability</t>
        </is>
      </c>
      <c r="I568" s="9" t="inlineStr">
        <is>
          <t>MapleHeroMultiplier</t>
        </is>
      </c>
      <c r="J568" s="9" t="inlineStr">
        <is>
          <t>BaseDamage</t>
        </is>
      </c>
      <c r="K568" s="9" t="inlineStr">
        <is>
          <t>BaseHitDamage</t>
        </is>
      </c>
      <c r="L568" s="9" t="inlineStr">
        <is>
          <t>NonCritAvg</t>
        </is>
      </c>
      <c r="M568" s="9" t="inlineStr">
        <is>
          <t>CritAvg</t>
        </is>
      </c>
      <c r="N568" s="9" t="inlineStr">
        <is>
          <t>ExpectedDamage(perHit)</t>
        </is>
      </c>
      <c r="O568" s="9" t="inlineStr">
        <is>
          <t>DPS</t>
        </is>
      </c>
      <c r="P568" s="9" t="inlineStr">
        <is>
          <t>% of Total</t>
        </is>
      </c>
      <c r="R568" t="inlineStr">
        <is>
          <t>helpers</t>
        </is>
      </c>
    </row>
    <row r="569">
      <c r="A569">
        <f>Skills!A2</f>
        <v/>
      </c>
      <c r="B569">
        <f>Skills!B2</f>
        <v/>
      </c>
      <c r="C569">
        <f>Inputs!$B$3&gt;=100</f>
        <v/>
      </c>
      <c r="D569" t="inlineStr"/>
      <c r="E569" t="inlineStr"/>
      <c r="F569">
        <f>T571+Skills!N2</f>
        <v/>
      </c>
      <c r="G569">
        <f>Calc!G2</f>
        <v/>
      </c>
      <c r="H569">
        <f>Calc!H2</f>
        <v/>
      </c>
      <c r="I569">
        <f>IF(Skills!T2&lt;&gt;"",1+(Skills!T2/10)*($Z$3/1000)/100,1)</f>
        <v/>
      </c>
      <c r="J569">
        <f>(Inputs!$B$7*(1+Inputs!$B$8/100))*(F569/100)</f>
        <v/>
      </c>
      <c r="K569">
        <f>J569*(1+(((Inputs!$B$14+IF(Inputs!$B$3&gt;=35,0.10*(Inputs!$B$9*(1+Inputs!$B$10/100)),0))*(1+Inputs!$B$15/100))*0.01+Inputs!$B$16*0.0025)/100)*(1+(Inputs!$B$17+B598)/100)*(1+IF(Inputs!$B$40="pvp",0,(1-Summary!$B$48)*(Inputs!$B$22+Skills!O2+B596)+Summary!$B$48*(Inputs!$B$23+Skills!P2+B597))/100)*(1+Inputs!$B$18/100)*(5000/(6000+Inputs!$B$42*(1-Inputs!$B$21/100)))*(1+Inputs!$B$26/100)*(1+IF(C584=TRUE,F584,0)/100)*(1+IF(C586=TRUE,F586,0)/100)*(1+IF(Skills!A2="TRIUMPH_FEATHER",IF(C582=TRUE,F582,0),0)/100)*(1+IF(C593=TRUE,F593,0)/100)^5*(1+(IF(Skills!A2="BIG_BANG",Inputs!$B$19,Inputs!$B$20))/100)*(B595*I569)</f>
        <v/>
      </c>
      <c r="L569">
        <f>K569*(MIN(Inputs!$B$24+(F588-Calc!F21),Inputs!$B$25)/100+Inputs!$B$25/100)/2</f>
        <v/>
      </c>
      <c r="M569">
        <f>L569*(1+(Inputs!$B$12+B599+(F591-Calc!F24))/100)</f>
        <v/>
      </c>
      <c r="N569">
        <f>L569*(1-MIN(Inputs!$B$11+((F590-Calc!F23)+(F589-Calc!F22)),100)/100)+M569*(MIN(Inputs!$B$11+((F590-Calc!F23)+(F589-Calc!F22)),100)/100)</f>
        <v/>
      </c>
      <c r="O569">
        <f>IF(C569,Skills!F2*N569*B603*IF(Inputs!$B$40="pvp",1,(1-Summary!$B$48)*(1)+Summary!$B$48*(MIN((6+Inputs!$B$35),Inputs!$B$39))),0)</f>
        <v/>
      </c>
      <c r="P569">
        <f>IF(B605=0,0,O569/B605)</f>
        <v/>
      </c>
      <c r="Q569">
        <f>IFERROR(1/IF(Inputs!$B$40="pvp",15,MAX(0.1,Skills!D2-IF(Skills!E2=TRUE,Inputs!$B$34,0))),0)</f>
        <v/>
      </c>
      <c r="R569" t="n">
        <v>0</v>
      </c>
      <c r="T569">
        <f>MAX(0,(Inputs!$B$3-100)*3)+Inputs!$B$30+Inputs!$B$31</f>
        <v/>
      </c>
    </row>
    <row r="570">
      <c r="A570">
        <f>Skills!A3</f>
        <v/>
      </c>
      <c r="B570">
        <f>Skills!B3</f>
        <v/>
      </c>
      <c r="C570">
        <f>Inputs!$B$3&gt;=15</f>
        <v/>
      </c>
      <c r="D570">
        <f>IF(Skills!C3=1,60+Inputs!$B$27+Inputs!$B$31,IF(Skills!C3=2,90+Inputs!$B$28+Inputs!$B$31,IF(Skills!C3=3,120+Inputs!$B$29+Inputs!$B$31,MAX(0,(Inputs!$B$3-100)*3)+Inputs!$B$30+Inputs!$B$31)))</f>
        <v/>
      </c>
      <c r="E570">
        <f>INDEX(FactorTable!$B$2:$Y$301, MATCH(ROUND(MIN(300,MAX(1,D570)),0), FactorTable!$A$2:$A$301,0), Skills!L3+1)</f>
        <v/>
      </c>
      <c r="F570">
        <f>IF(Skills!M3=TRUE,(Skills!K3/10)*(E570/1000),Skills!K3/10)+Skills!N3</f>
        <v/>
      </c>
      <c r="G570">
        <f>Calc!G3</f>
        <v/>
      </c>
      <c r="H570">
        <f>Calc!H3</f>
        <v/>
      </c>
      <c r="I570">
        <f>IF(Skills!T3&lt;&gt;"",1+(Skills!T3/10)*($Z$3/1000)/100,1)</f>
        <v/>
      </c>
      <c r="J570" t="inlineStr"/>
      <c r="K570" t="inlineStr"/>
      <c r="L570" t="inlineStr"/>
      <c r="M570" t="inlineStr"/>
      <c r="N570" t="inlineStr"/>
      <c r="O570" t="n">
        <v>0</v>
      </c>
      <c r="P570">
        <f>IF(B605=0,0,O570/B605)</f>
        <v/>
      </c>
      <c r="Q570">
        <f>IFERROR(1/IF(Inputs!$B$40="pvp",15,MAX(0.1,Skills!D3-IF(Skills!E3=TRUE,Inputs!$B$34,0))),0)</f>
        <v/>
      </c>
      <c r="R570">
        <f>IF(AND(Inputs!$B$40&lt;&gt;"pvp",Inputs!$B$43&gt;0),(INT(Inputs!$B$43/IF(Inputs!$B$40="pvp",15,MAX(0.1,Skills!D3-IF(Skills!E3=TRUE,Inputs!$B$34,0))))+1),0)</f>
        <v/>
      </c>
      <c r="T570">
        <f>INDEX(FactorTable!$B$2:$Y$301, MATCH(ROUND(MIN(300,MAX(1,T569)),0), FactorTable!$A$2:$A$301,0), 22)</f>
        <v/>
      </c>
    </row>
    <row r="571">
      <c r="A571">
        <f>Skills!A4</f>
        <v/>
      </c>
      <c r="B571">
        <f>Skills!B4</f>
        <v/>
      </c>
      <c r="C571">
        <f>Inputs!$B$3&gt;=38</f>
        <v/>
      </c>
      <c r="D571">
        <f>IF(Skills!C4=1,60+Inputs!$B$27+Inputs!$B$31,IF(Skills!C4=2,90+Inputs!$B$28+Inputs!$B$31,IF(Skills!C4=3,120+Inputs!$B$29+Inputs!$B$31,MAX(0,(Inputs!$B$3-100)*3)+Inputs!$B$30+Inputs!$B$31)))</f>
        <v/>
      </c>
      <c r="E571">
        <f>INDEX(FactorTable!$B$2:$Y$301, MATCH(ROUND(MIN(300,MAX(1,D571)),0), FactorTable!$A$2:$A$301,0), Skills!L4+1)</f>
        <v/>
      </c>
      <c r="F571">
        <f>IF(Skills!M4=TRUE,(Skills!K4/10)*(E571/1000),Skills!K4/10)+Skills!N4</f>
        <v/>
      </c>
      <c r="G571">
        <f>Calc!G4</f>
        <v/>
      </c>
      <c r="H571">
        <f>Calc!H4</f>
        <v/>
      </c>
      <c r="I571">
        <f>IF(Skills!T4&lt;&gt;"",1+(Skills!T4/10)*($Z$3/1000)/100,1)</f>
        <v/>
      </c>
      <c r="J571" t="inlineStr"/>
      <c r="K571" t="inlineStr"/>
      <c r="L571" t="inlineStr"/>
      <c r="M571" t="inlineStr"/>
      <c r="N571" t="inlineStr"/>
      <c r="O571" t="n">
        <v>0</v>
      </c>
      <c r="P571">
        <f>IF(B605=0,0,O571/B605)</f>
        <v/>
      </c>
      <c r="Q571">
        <f>IFERROR(1/IF(Inputs!$B$40="pvp",15,MAX(0.1,Skills!D4-IF(Skills!E4=TRUE,Inputs!$B$34,0))),0)</f>
        <v/>
      </c>
      <c r="R571">
        <f>IF(AND(Inputs!$B$40&lt;&gt;"pvp",Inputs!$B$43&gt;0),(INT(Inputs!$B$43/IF(Inputs!$B$40="pvp",15,MAX(0.1,Skills!D4-IF(Skills!E4=TRUE,Inputs!$B$34,0))))+1),0)</f>
        <v/>
      </c>
      <c r="T571">
        <f>290*T570/1000</f>
        <v/>
      </c>
    </row>
    <row r="572">
      <c r="A572">
        <f>Skills!A5</f>
        <v/>
      </c>
      <c r="B572">
        <f>Skills!B5</f>
        <v/>
      </c>
      <c r="C572">
        <f>Inputs!$B$3&gt;=40</f>
        <v/>
      </c>
      <c r="D572">
        <f>IF(Skills!C5=1,60+Inputs!$B$27+Inputs!$B$31,IF(Skills!C5=2,90+Inputs!$B$28+Inputs!$B$31,IF(Skills!C5=3,120+Inputs!$B$29+Inputs!$B$31,MAX(0,(Inputs!$B$3-100)*3)+Inputs!$B$30+Inputs!$B$31)))</f>
        <v/>
      </c>
      <c r="E572">
        <f>INDEX(FactorTable!$B$2:$Y$301, MATCH(ROUND(MIN(300,MAX(1,D572)),0), FactorTable!$A$2:$A$301,0), Skills!L5+1)</f>
        <v/>
      </c>
      <c r="F572">
        <f>IF(Skills!M5=TRUE,(Skills!K5/10)*(E572/1000),Skills!K5/10)+Skills!N5</f>
        <v/>
      </c>
      <c r="G572">
        <f>Calc!G5</f>
        <v/>
      </c>
      <c r="H572">
        <f>Calc!H5</f>
        <v/>
      </c>
      <c r="I572">
        <f>IF(Skills!T5&lt;&gt;"",1+(Skills!T5/10)*($Z$3/1000)/100,1)</f>
        <v/>
      </c>
      <c r="J572" t="inlineStr"/>
      <c r="K572" t="inlineStr"/>
      <c r="L572" t="inlineStr"/>
      <c r="M572" t="inlineStr"/>
      <c r="N572" t="inlineStr"/>
      <c r="O572" t="n">
        <v>0</v>
      </c>
      <c r="P572">
        <f>IF(B605=0,0,O572/B605)</f>
        <v/>
      </c>
      <c r="Q572">
        <f>IFERROR(1/IF(Inputs!$B$40="pvp",15,MAX(0.1,Skills!D5-IF(Skills!E5=TRUE,Inputs!$B$34,0))),0)</f>
        <v/>
      </c>
      <c r="R572">
        <f>IF(AND(Inputs!$B$40&lt;&gt;"pvp",Inputs!$B$43&gt;0),(INT(Inputs!$B$43/IF(Inputs!$B$40="pvp",15,MAX(0.1,Skills!D5-IF(Skills!E5=TRUE,Inputs!$B$34,0))))+1),0)</f>
        <v/>
      </c>
    </row>
    <row r="573">
      <c r="A573">
        <f>Skills!A6</f>
        <v/>
      </c>
      <c r="B573">
        <f>Skills!B6</f>
        <v/>
      </c>
      <c r="C573">
        <f>Inputs!$B$3&gt;=103</f>
        <v/>
      </c>
      <c r="D573">
        <f>IF(Skills!C6=1,60+Inputs!$B$27+Inputs!$B$31,IF(Skills!C6=2,90+Inputs!$B$28+Inputs!$B$31,IF(Skills!C6=3,120+Inputs!$B$29+Inputs!$B$31,MAX(0,(Inputs!$B$3-100)*3)+Inputs!$B$30+Inputs!$B$31)))</f>
        <v/>
      </c>
      <c r="E573">
        <f>INDEX(FactorTable!$B$2:$Y$301, MATCH(ROUND(MIN(300,MAX(1,D573)),0), FactorTable!$A$2:$A$301,0), Skills!L6+1)</f>
        <v/>
      </c>
      <c r="F573">
        <f>IF(Skills!M6=TRUE,(Skills!K6/10)*(E573/1000),Skills!K6/10)+Skills!N6</f>
        <v/>
      </c>
      <c r="G573">
        <f>Calc!G6</f>
        <v/>
      </c>
      <c r="H573">
        <f>Calc!H6</f>
        <v/>
      </c>
      <c r="I573">
        <f>IF(Skills!T6&lt;&gt;"",1+(Skills!T6/10)*($Z$3/1000)/100,1)</f>
        <v/>
      </c>
      <c r="J573">
        <f>(Inputs!$B$7*(1+Inputs!$B$8/100))*(F573/100)</f>
        <v/>
      </c>
      <c r="K573">
        <f>J573*(1+(((Inputs!$B$14+IF(Inputs!$B$3&gt;=35,0.10*(Inputs!$B$9*(1+Inputs!$B$10/100)),0))*(1+Inputs!$B$15/100))*0.01+Inputs!$B$16*0.0025)/100)*(1+(Inputs!$B$17+B598)/100)*(1+IF(Inputs!$B$40="pvp",0,(1-Summary!$B$48)*(Inputs!$B$22+Skills!O6+B596)+Summary!$B$48*(Inputs!$B$23+Skills!P6+B597))/100)*(1+Inputs!$B$18/100)*(5000/(6000+Inputs!$B$42*(1-Inputs!$B$21/100)))*(1+Inputs!$B$26/100)*(1+IF(C584=TRUE,F584,0)/100)*(1+IF(C586=TRUE,F586,0)/100)*(1+IF(Skills!A6="TRIUMPH_FEATHER",IF(C582=TRUE,F582,0),0)/100)*(1+IF(C593=TRUE,F593,0)/100)^5*(1+(IF(Skills!A6="BIG_BANG",Inputs!$B$19,Inputs!$B$20))/100)*(B595*I573)</f>
        <v/>
      </c>
      <c r="L573">
        <f>K573*(MIN(Inputs!$B$24+(F588-Calc!F21),Inputs!$B$25)/100+Inputs!$B$25/100)/2</f>
        <v/>
      </c>
      <c r="M573">
        <f>L573*(1+(Inputs!$B$12+B599+(F591-Calc!F24))/100)</f>
        <v/>
      </c>
      <c r="N573">
        <f>L573*(1-MIN(Inputs!$B$11+((F590-Calc!F23)+(F589-Calc!F22)),100)/100)+M573*(MIN(Inputs!$B$11+((F590-Calc!F23)+(F589-Calc!F22)),100)/100)</f>
        <v/>
      </c>
      <c r="O573">
        <f>IF(C573,H573*N573*IF(AND(Inputs!$B$40&lt;&gt;"pvp",Inputs!$B$43&gt;0),((Skills!F6*((R573-1)*IF(Skills!G6&gt;0,Skills!H6/Skills!G6,1)+IF(Skills!G6&gt;0,MIN(Skills!H6,MAX(0,Inputs!$B$43-((R573-1)*IF(Inputs!$B$40="pvp",15,MAX(0.1,Skills!D6-IF(Skills!E6=TRUE,Inputs!$B$34,0))))))/Skills!G6,1)))/Inputs!$B$43),G573*Q573)*IF(Inputs!$B$40="pvp",1,(1-Summary!$B$48)*(1)+Summary!$B$48*(MIN(Skills!Q6,Inputs!$B$39))),0)</f>
        <v/>
      </c>
      <c r="P573">
        <f>IF(B605=0,0,O573/B605)</f>
        <v/>
      </c>
      <c r="Q573">
        <f>IFERROR(1/IF(Inputs!$B$40="pvp",15,MAX(0.1,Skills!D6-IF(Skills!E6=TRUE,Inputs!$B$34,0))),0)</f>
        <v/>
      </c>
      <c r="R573">
        <f>IF(AND(Inputs!$B$40&lt;&gt;"pvp",Inputs!$B$43&gt;0),(INT(Inputs!$B$43/IF(Inputs!$B$40="pvp",15,MAX(0.1,Skills!D6-IF(Skills!E6=TRUE,Inputs!$B$34,0))))+1),0)</f>
        <v/>
      </c>
    </row>
    <row r="574">
      <c r="A574">
        <f>Skills!A7</f>
        <v/>
      </c>
      <c r="B574">
        <f>Skills!B7</f>
        <v/>
      </c>
      <c r="C574">
        <f>Inputs!$B$3&gt;=122</f>
        <v/>
      </c>
      <c r="D574">
        <f>IF(Skills!C7=1,60+Inputs!$B$27+Inputs!$B$31,IF(Skills!C7=2,90+Inputs!$B$28+Inputs!$B$31,IF(Skills!C7=3,120+Inputs!$B$29+Inputs!$B$31,MAX(0,(Inputs!$B$3-100)*3)+Inputs!$B$30+Inputs!$B$31)))</f>
        <v/>
      </c>
      <c r="E574">
        <f>INDEX(FactorTable!$B$2:$Y$301, MATCH(ROUND(MIN(300,MAX(1,D574)),0), FactorTable!$A$2:$A$301,0), Skills!L7+1)</f>
        <v/>
      </c>
      <c r="F574">
        <f>IF(Skills!M7=TRUE,(Skills!K7/10)*(E574/1000),Skills!K7/10)+Skills!N7</f>
        <v/>
      </c>
      <c r="G574">
        <f>Calc!G7</f>
        <v/>
      </c>
      <c r="H574">
        <f>Calc!H7</f>
        <v/>
      </c>
      <c r="I574">
        <f>IF(Skills!T7&lt;&gt;"",1+(Skills!T7/10)*($Z$3/1000)/100,1)</f>
        <v/>
      </c>
      <c r="J574">
        <f>(Inputs!$B$7*(1+Inputs!$B$8/100))*(F574/100)</f>
        <v/>
      </c>
      <c r="K574">
        <f>J574*(1+(((Inputs!$B$14+IF(Inputs!$B$3&gt;=35,0.10*(Inputs!$B$9*(1+Inputs!$B$10/100)),0))*(1+Inputs!$B$15/100))*0.01+Inputs!$B$16*0.0025)/100)*(1+(Inputs!$B$17+B598)/100)*(1+IF(Inputs!$B$40="pvp",0,(1-Summary!$B$48)*(Inputs!$B$22+Skills!O7+B596)+Summary!$B$48*(Inputs!$B$23+Skills!P7+B597))/100)*(1+Inputs!$B$18/100)*(5000/(6000+Inputs!$B$42*(1-Inputs!$B$21/100)))*(1+Inputs!$B$26/100)*(1+IF(C584=TRUE,F584,0)/100)*(1+IF(C586=TRUE,F586,0)/100)*(1+IF(Skills!A7="TRIUMPH_FEATHER",IF(C582=TRUE,F582,0),0)/100)*(1+IF(C593=TRUE,F593,0)/100)^5*(1+(IF(Skills!A7="BIG_BANG",Inputs!$B$19,Inputs!$B$20))/100)*(B595*I574)</f>
        <v/>
      </c>
      <c r="L574">
        <f>K574*(MIN(Inputs!$B$24+(F588-Calc!F21),Inputs!$B$25)/100+Inputs!$B$25/100)/2</f>
        <v/>
      </c>
      <c r="M574">
        <f>L574*(1+(Inputs!$B$12+B599+(F591-Calc!F24))/100)</f>
        <v/>
      </c>
      <c r="N574">
        <f>L574*(1-MIN(Inputs!$B$11+((F590-Calc!F23)+(F589-Calc!F22)),100)/100)+M574*(MIN(Inputs!$B$11+((F590-Calc!F23)+(F589-Calc!F22)),100)/100)</f>
        <v/>
      </c>
      <c r="O574">
        <f>IF(C574,H574*N574*IF(AND(Inputs!$B$40&lt;&gt;"pvp",Inputs!$B$43&gt;0),((Skills!F7*((R574-1)*IF(Skills!G7&gt;0,Skills!H7/Skills!G7,1)+IF(Skills!G7&gt;0,MIN(Skills!H7,MAX(0,Inputs!$B$43-((R574-1)*IF(Inputs!$B$40="pvp",15,MAX(0.1,Skills!D7-IF(Skills!E6=TRUE,Inputs!$B$34,0))))))/Skills!G7,1)))/Inputs!$B$43),G574*Q574)*(1-Summary!$B$48),0)</f>
        <v/>
      </c>
      <c r="P574">
        <f>IF(B605=0,0,O574/B605)</f>
        <v/>
      </c>
      <c r="Q574">
        <f>IFERROR(1/IF(Inputs!$B$40="pvp",15,MAX(0.1,Skills!D7-IF(Skills!E6=TRUE,Inputs!$B$34,0))),0)</f>
        <v/>
      </c>
      <c r="R574">
        <f>IF(AND(Inputs!$B$40&lt;&gt;"pvp",Inputs!$B$43&gt;0),(INT(Inputs!$B$43/IF(Inputs!$B$40="pvp",15,MAX(0.1,Skills!D7-IF(Skills!E6=TRUE,Inputs!$B$34,0))))+1),0)</f>
        <v/>
      </c>
    </row>
    <row r="575">
      <c r="A575">
        <f>Skills!A8</f>
        <v/>
      </c>
      <c r="B575">
        <f>Skills!B8</f>
        <v/>
      </c>
      <c r="C575">
        <f>Inputs!$B$3&gt;=105</f>
        <v/>
      </c>
      <c r="D575">
        <f>IF(Skills!C8=1,60+Inputs!$B$27+Inputs!$B$31,IF(Skills!C8=2,90+Inputs!$B$28+Inputs!$B$31,IF(Skills!C8=3,120+Inputs!$B$29+Inputs!$B$31,MAX(0,(Inputs!$B$3-100)*3)+Inputs!$B$30+Inputs!$B$31)))</f>
        <v/>
      </c>
      <c r="E575">
        <f>INDEX(FactorTable!$B$2:$Y$301, MATCH(ROUND(MIN(300,MAX(1,D575)),0), FactorTable!$A$2:$A$301,0), Skills!L8+1)</f>
        <v/>
      </c>
      <c r="F575">
        <f>IF(Skills!M8=TRUE,(Skills!K8/10)*(E575/1000),Skills!K8/10)+Skills!N8</f>
        <v/>
      </c>
      <c r="G575">
        <f>Calc!G8</f>
        <v/>
      </c>
      <c r="H575">
        <f>Calc!H8</f>
        <v/>
      </c>
      <c r="I575">
        <f>IF(Skills!T8&lt;&gt;"",1+(Skills!T8/10)*($Z$3/1000)/100,1)</f>
        <v/>
      </c>
      <c r="J575">
        <f>(Inputs!$B$7*(1+Inputs!$B$8/100))*(F575/100)</f>
        <v/>
      </c>
      <c r="K575">
        <f>J575*(1+(((Inputs!$B$14+IF(Inputs!$B$3&gt;=35,0.10*(Inputs!$B$9*(1+Inputs!$B$10/100)),0))*(1+Inputs!$B$15/100))*0.01+Inputs!$B$16*0.0025)/100)*(1+(Inputs!$B$17+B598)/100)*(1+IF(Inputs!$B$40="pvp",0,(1-Summary!$B$48)*(Inputs!$B$22+Skills!O8+B596)+Summary!$B$48*(Inputs!$B$23+Skills!P8+B597))/100)*(1+Inputs!$B$18/100)*(5000/(6000+Inputs!$B$42*(1-Inputs!$B$21/100)))*(1+Inputs!$B$26/100)*(1+IF(C584=TRUE,F584,0)/100)*(1+IF(C586=TRUE,F586,0)/100)*(1+IF(Skills!A8="TRIUMPH_FEATHER",IF(C582=TRUE,F582,0),0)/100)*(1+IF(C593=TRUE,F593,0)/100)^5*(1+(IF(Skills!A8="BIG_BANG",Inputs!$B$19,Inputs!$B$20))/100)*(B595*I575)</f>
        <v/>
      </c>
      <c r="L575">
        <f>K575*(MIN(Inputs!$B$24+(F588-Calc!F21),Inputs!$B$25)/100+Inputs!$B$25/100)/2</f>
        <v/>
      </c>
      <c r="M575">
        <f>L575*(1+(Inputs!$B$12+B599+(F591-Calc!F24))/100)</f>
        <v/>
      </c>
      <c r="N575">
        <f>L575*(1-MIN(Inputs!$B$11+((F590-Calc!F23)+(F589-Calc!F22)),100)/100)+M575*(MIN(Inputs!$B$11+((F590-Calc!F23)+(F589-Calc!F22)),100)/100)</f>
        <v/>
      </c>
      <c r="O575">
        <f>IF(C575,H575*N575*IF(AND(Inputs!$B$40&lt;&gt;"pvp",Inputs!$B$43&gt;0),((Skills!F8*((R575-1)*IF(Skills!G8&gt;0,Skills!H8/Skills!G8,1)+IF(Skills!G8&gt;0,MIN(Skills!H8,MAX(0,Inputs!$B$43-((R575-1)*IF(Inputs!$B$40="pvp",15,MAX(0.1,Skills!D8-IF(Skills!E8=TRUE,Inputs!$B$34,0))))))/Skills!G8,1)))/Inputs!$B$43),G575*Q575)*IF(Inputs!$B$40="pvp",1,(1-Summary!$B$48)*(1)+Summary!$B$48*(MIN(Skills!Q8,Inputs!$B$39))),0)</f>
        <v/>
      </c>
      <c r="P575">
        <f>IF(B605=0,0,O575/B605)</f>
        <v/>
      </c>
      <c r="Q575">
        <f>IFERROR(1/IF(Inputs!$B$40="pvp",15,MAX(0.1,Skills!D8-IF(Skills!E8=TRUE,Inputs!$B$34,0))),0)</f>
        <v/>
      </c>
      <c r="R575">
        <f>IF(AND(Inputs!$B$40&lt;&gt;"pvp",Inputs!$B$43&gt;0),(INT(Inputs!$B$43/IF(Inputs!$B$40="pvp",15,MAX(0.1,Skills!D8-IF(Skills!E8=TRUE,Inputs!$B$34,0))))+1),0)</f>
        <v/>
      </c>
    </row>
    <row r="576">
      <c r="A576">
        <f>Skills!A9</f>
        <v/>
      </c>
      <c r="B576">
        <f>Skills!B9</f>
        <v/>
      </c>
      <c r="C576">
        <f>Inputs!$B$3&gt;=115</f>
        <v/>
      </c>
      <c r="D576">
        <f>IF(Skills!C9=1,60+Inputs!$B$27+Inputs!$B$31,IF(Skills!C9=2,90+Inputs!$B$28+Inputs!$B$31,IF(Skills!C9=3,120+Inputs!$B$29+Inputs!$B$31,MAX(0,(Inputs!$B$3-100)*3)+Inputs!$B$30+Inputs!$B$31)))</f>
        <v/>
      </c>
      <c r="E576">
        <f>INDEX(FactorTable!$B$2:$Y$301, MATCH(ROUND(MIN(300,MAX(1,D576)),0), FactorTable!$A$2:$A$301,0), Skills!L9+1)</f>
        <v/>
      </c>
      <c r="F576">
        <f>IF(Skills!M9=TRUE,(Skills!K9/10)*(E576/1000),Skills!K9/10)+Skills!N9</f>
        <v/>
      </c>
      <c r="G576">
        <f>Calc!G9</f>
        <v/>
      </c>
      <c r="H576">
        <f>Calc!H9</f>
        <v/>
      </c>
      <c r="I576">
        <f>IF(Skills!T9&lt;&gt;"",1+(Skills!T9/10)*($Z$3/1000)/100,1)</f>
        <v/>
      </c>
      <c r="J576">
        <f>(Inputs!$B$7*(1+Inputs!$B$8/100))*(F576/100)</f>
        <v/>
      </c>
      <c r="K576">
        <f>J576*(1+(((Inputs!$B$14+IF(Inputs!$B$3&gt;=35,0.10*(Inputs!$B$9*(1+Inputs!$B$10/100)),0))*(1+Inputs!$B$15/100))*0.01+Inputs!$B$16*0.0025)/100)*(1+(Inputs!$B$17+B598)/100)*(1+IF(Inputs!$B$40="pvp",0,(1-Summary!$B$48)*(Inputs!$B$22+Skills!O9+B596)+Summary!$B$48*(Inputs!$B$23+Skills!P9+B597))/100)*(1+Inputs!$B$18/100)*(5000/(6000+Inputs!$B$42*(1-Inputs!$B$21/100)))*(1+Inputs!$B$26/100)*(1+IF(C584=TRUE,F584,0)/100)*(1+IF(C586=TRUE,F586,0)/100)*(1+IF(Skills!A9="TRIUMPH_FEATHER",IF(C582=TRUE,F582,0),0)/100)*(1+IF(C593=TRUE,F593,0)/100)^5*(1+(IF(Skills!A9="BIG_BANG",Inputs!$B$19,Inputs!$B$20))/100)*(B595*I576)</f>
        <v/>
      </c>
      <c r="L576">
        <f>K576*(MIN(Inputs!$B$24+(F588-Calc!F21),Inputs!$B$25)/100+Inputs!$B$25/100)/2</f>
        <v/>
      </c>
      <c r="M576">
        <f>L576*(1+(Inputs!$B$12+B599+(F591-Calc!F24))/100)</f>
        <v/>
      </c>
      <c r="N576">
        <f>L576*(1-MIN(Inputs!$B$11+((F590-Calc!F23)+(F589-Calc!F22)),100)/100)+M576*(MIN(Inputs!$B$11+((F590-Calc!F23)+(F589-Calc!F22)),100)/100)</f>
        <v/>
      </c>
      <c r="O576">
        <f>IF(C576,H576*N576*IF(AND(Inputs!$B$40&lt;&gt;"pvp",Inputs!$B$43&gt;0),((Skills!F9*((R576-1)*IF(Skills!G9&gt;0,Skills!H9/Skills!G9,1)+IF(Skills!G9&gt;0,MIN(Skills!H9,MAX(0,Inputs!$B$43-((R576-1)*IF(Inputs!$B$40="pvp",15,MAX(0.1,Skills!D9-IF(Skills!E9=TRUE,Inputs!$B$34,0))))))/Skills!G9,1)))/Inputs!$B$43),G576*Q576)*IF(Inputs!$B$40="pvp",1,(1-Summary!$B$48)*(1)+Summary!$B$48*(MIN(Skills!Q9,Inputs!$B$39))),0)</f>
        <v/>
      </c>
      <c r="P576">
        <f>IF(B605=0,0,O576/B605)</f>
        <v/>
      </c>
      <c r="Q576">
        <f>IFERROR(1/IF(Inputs!$B$40="pvp",15,MAX(0.1,Skills!D9-IF(Skills!E9=TRUE,Inputs!$B$34,0))),0)</f>
        <v/>
      </c>
      <c r="R576">
        <f>IF(AND(Inputs!$B$40&lt;&gt;"pvp",Inputs!$B$43&gt;0),(INT(Inputs!$B$43/IF(Inputs!$B$40="pvp",15,MAX(0.1,Skills!D9-IF(Skills!E9=TRUE,Inputs!$B$34,0))))+1),0)</f>
        <v/>
      </c>
    </row>
    <row r="577">
      <c r="A577">
        <f>Skills!A10</f>
        <v/>
      </c>
      <c r="B577">
        <f>Skills!B10</f>
        <v/>
      </c>
      <c r="C577">
        <f>Inputs!$B$3&gt;=66</f>
        <v/>
      </c>
      <c r="D577">
        <f>IF(Skills!C10=1,60+Inputs!$B$27+Inputs!$B$31,IF(Skills!C10=2,90+Inputs!$B$28+Inputs!$B$31,IF(Skills!C10=3,120+Inputs!$B$29+Inputs!$B$31,MAX(0,(Inputs!$B$3-100)*3)+Inputs!$B$30+Inputs!$B$31)))</f>
        <v/>
      </c>
      <c r="E577">
        <f>INDEX(FactorTable!$B$2:$Y$301, MATCH(ROUND(MIN(300,MAX(1,D577)),0), FactorTable!$A$2:$A$301,0), Skills!L10+1)</f>
        <v/>
      </c>
      <c r="F577" t="n">
        <v>0</v>
      </c>
      <c r="G577">
        <f>Calc!G10</f>
        <v/>
      </c>
      <c r="H577">
        <f>Calc!H10</f>
        <v/>
      </c>
      <c r="I577">
        <f>IF(Skills!T10&lt;&gt;"",1+(Skills!T10/10)*($Z$3/1000)/100,1)</f>
        <v/>
      </c>
      <c r="J577" t="inlineStr"/>
      <c r="K577" t="inlineStr"/>
      <c r="L577" t="inlineStr"/>
      <c r="M577" t="inlineStr"/>
      <c r="N577" t="inlineStr"/>
      <c r="O577" t="n">
        <v>0</v>
      </c>
      <c r="P577">
        <f>IF(B605=0,0,O577/B605)</f>
        <v/>
      </c>
      <c r="Q577">
        <f>IFERROR(1/IF(Inputs!$B$40="pvp",15,MAX(0.1,Skills!D10-IF(Skills!E10=TRUE,Inputs!$B$34,0))),0)</f>
        <v/>
      </c>
      <c r="R577">
        <f>IF(AND(Inputs!$B$40&lt;&gt;"pvp",Inputs!$B$43&gt;0),(INT(Inputs!$B$43/IF(Inputs!$B$40="pvp",15,MAX(0.1,Skills!D10-IF(Skills!E10=TRUE,Inputs!$B$34,0))))+1),0)</f>
        <v/>
      </c>
    </row>
    <row r="578">
      <c r="A578">
        <f>Skills!A11</f>
        <v/>
      </c>
      <c r="B578">
        <f>Skills!B11</f>
        <v/>
      </c>
      <c r="C578">
        <f>Inputs!$B$3&gt;=69</f>
        <v/>
      </c>
      <c r="D578">
        <f>IF(Skills!C11=1,60+Inputs!$B$27+Inputs!$B$31,IF(Skills!C11=2,90+Inputs!$B$28+Inputs!$B$31,IF(Skills!C11=3,120+Inputs!$B$29+Inputs!$B$31,MAX(0,(Inputs!$B$3-100)*3)+Inputs!$B$30+Inputs!$B$31)))</f>
        <v/>
      </c>
      <c r="E578">
        <f>INDEX(FactorTable!$B$2:$Y$301, MATCH(ROUND(MIN(300,MAX(1,D578)),0), FactorTable!$A$2:$A$301,0), Skills!L11+1)</f>
        <v/>
      </c>
      <c r="F578">
        <f>IF(Skills!M11=TRUE,(Skills!K11/10)*(E578/1000),Skills!K11/10)+Skills!N11</f>
        <v/>
      </c>
      <c r="G578">
        <f>Calc!G11</f>
        <v/>
      </c>
      <c r="H578">
        <f>Calc!H11</f>
        <v/>
      </c>
      <c r="I578">
        <f>IF(Skills!T11&lt;&gt;"",1+(Skills!T11/10)*($Z$3/1000)/100,1)</f>
        <v/>
      </c>
      <c r="J578" t="inlineStr"/>
      <c r="K578" t="inlineStr"/>
      <c r="L578" t="inlineStr"/>
      <c r="M578" t="inlineStr"/>
      <c r="N578" t="inlineStr"/>
      <c r="O578" t="n">
        <v>0</v>
      </c>
      <c r="P578">
        <f>IF(B605=0,0,O578/B605)</f>
        <v/>
      </c>
      <c r="Q578">
        <f>IFERROR(1/IF(Inputs!$B$40="pvp",15,MAX(0.1,Skills!D11-IF(Skills!E11=TRUE,Inputs!$B$34,0))),0)</f>
        <v/>
      </c>
      <c r="R578">
        <f>IF(AND(Inputs!$B$40&lt;&gt;"pvp",Inputs!$B$43&gt;0),(INT(Inputs!$B$43/IF(Inputs!$B$40="pvp",15,MAX(0.1,Skills!D11-IF(Skills!E11=TRUE,Inputs!$B$34,0))))+1),0)</f>
        <v/>
      </c>
    </row>
    <row r="579">
      <c r="A579">
        <f>Skills!A12</f>
        <v/>
      </c>
      <c r="B579">
        <f>Skills!B12</f>
        <v/>
      </c>
      <c r="C579">
        <f>Inputs!$B$3&gt;=72</f>
        <v/>
      </c>
      <c r="D579">
        <f>IF(Skills!C12=1,60+Inputs!$B$27+Inputs!$B$31,IF(Skills!C12=2,90+Inputs!$B$28+Inputs!$B$31,IF(Skills!C12=3,120+Inputs!$B$29+Inputs!$B$31,MAX(0,(Inputs!$B$3-100)*3)+Inputs!$B$30+Inputs!$B$31)))</f>
        <v/>
      </c>
      <c r="E579">
        <f>INDEX(FactorTable!$B$2:$Y$301, MATCH(ROUND(MIN(300,MAX(1,D579)),0), FactorTable!$A$2:$A$301,0), Skills!L12+1)</f>
        <v/>
      </c>
      <c r="F579">
        <f>IF(Skills!M12=TRUE,(Skills!K12/10)*(E579/1000),Skills!K12/10)+Skills!N12</f>
        <v/>
      </c>
      <c r="G579">
        <f>Calc!G12</f>
        <v/>
      </c>
      <c r="H579">
        <f>Calc!H12</f>
        <v/>
      </c>
      <c r="I579">
        <f>IF(Skills!T12&lt;&gt;"",1+(Skills!T12/10)*($Z$3/1000)/100,1)</f>
        <v/>
      </c>
      <c r="J579" t="inlineStr"/>
      <c r="K579" t="inlineStr"/>
      <c r="L579" t="inlineStr"/>
      <c r="M579" t="inlineStr"/>
      <c r="N579" t="inlineStr"/>
      <c r="O579" t="n">
        <v>0</v>
      </c>
      <c r="P579">
        <f>IF(B605=0,0,O579/B605)</f>
        <v/>
      </c>
      <c r="Q579">
        <f>IFERROR(1/IF(Inputs!$B$40="pvp",15,MAX(0.1,Skills!D12-IF(Skills!E12=TRUE,Inputs!$B$34,0))),0)</f>
        <v/>
      </c>
      <c r="R579">
        <f>IF(AND(Inputs!$B$40&lt;&gt;"pvp",Inputs!$B$43&gt;0),(INT(Inputs!$B$43/IF(Inputs!$B$40="pvp",15,MAX(0.1,Skills!D12-IF(Skills!E12=TRUE,Inputs!$B$34,0))))+1),0)</f>
        <v/>
      </c>
    </row>
    <row r="580">
      <c r="A580">
        <f>Skills!A13</f>
        <v/>
      </c>
      <c r="B580">
        <f>Skills!B13</f>
        <v/>
      </c>
      <c r="C580">
        <f>Inputs!$B$3&gt;=107</f>
        <v/>
      </c>
      <c r="D580">
        <f>IF(Skills!C13=1,60+Inputs!$B$27+Inputs!$B$31,IF(Skills!C13=2,90+Inputs!$B$28+Inputs!$B$31,IF(Skills!C13=3,120+Inputs!$B$29+Inputs!$B$31,MAX(0,(Inputs!$B$3-100)*3)+Inputs!$B$30+Inputs!$B$31)))</f>
        <v/>
      </c>
      <c r="E580">
        <f>INDEX(FactorTable!$B$2:$Y$301, MATCH(ROUND(MIN(300,MAX(1,D580)),0), FactorTable!$A$2:$A$301,0), Skills!L13+1)</f>
        <v/>
      </c>
      <c r="F580">
        <f>IF(Skills!M13=TRUE,(Skills!K13/10)*(E580/1000),Skills!K13/10)+Skills!N13</f>
        <v/>
      </c>
      <c r="G580">
        <f>Calc!G13</f>
        <v/>
      </c>
      <c r="H580">
        <f>Calc!H13</f>
        <v/>
      </c>
      <c r="I580">
        <f>IF(Skills!T13&lt;&gt;"",1+(Skills!T13/10)*($Z$3/1000)/100,1)</f>
        <v/>
      </c>
      <c r="J580" t="inlineStr"/>
      <c r="K580" t="inlineStr"/>
      <c r="L580" t="inlineStr"/>
      <c r="M580" t="inlineStr"/>
      <c r="N580" t="inlineStr"/>
      <c r="O580" t="n">
        <v>0</v>
      </c>
      <c r="P580">
        <f>IF(B605=0,0,O580/B605)</f>
        <v/>
      </c>
      <c r="Q580">
        <f>IFERROR(1/IF(Inputs!$B$40="pvp",15,MAX(0.1,Skills!D13-IF(Skills!E13=TRUE,Inputs!$B$34,0))),0)</f>
        <v/>
      </c>
      <c r="R580">
        <f>IF(AND(Inputs!$B$40&lt;&gt;"pvp",Inputs!$B$43&gt;0),(INT(Inputs!$B$43/IF(Inputs!$B$40="pvp",15,MAX(0.1,Skills!D13-IF(Skills!E13=TRUE,Inputs!$B$34,0))))+1),0)</f>
        <v/>
      </c>
    </row>
    <row r="581">
      <c r="A581">
        <f>Skills!A14</f>
        <v/>
      </c>
      <c r="B581">
        <f>Skills!B14</f>
        <v/>
      </c>
      <c r="C581">
        <f>Inputs!$B$3&gt;=63</f>
        <v/>
      </c>
      <c r="D581">
        <f>IF(Skills!C14=1,60+Inputs!$B$27+Inputs!$B$31,IF(Skills!C14=2,90+Inputs!$B$28+Inputs!$B$31,IF(Skills!C14=3,120+Inputs!$B$29+Inputs!$B$31,MAX(0,(Inputs!$B$3-100)*3)+Inputs!$B$30+Inputs!$B$31)))</f>
        <v/>
      </c>
      <c r="E581">
        <f>INDEX(FactorTable!$B$2:$Y$301, MATCH(ROUND(MIN(300,MAX(1,D581)),0), FactorTable!$A$2:$A$301,0), Skills!L14+1)</f>
        <v/>
      </c>
      <c r="F581">
        <f>IF(Skills!M14=TRUE,(Skills!K14/10)*(E581/1000),Skills!K14/10)+Skills!N14</f>
        <v/>
      </c>
      <c r="G581">
        <f>Calc!G14</f>
        <v/>
      </c>
      <c r="H581">
        <f>Calc!H14</f>
        <v/>
      </c>
      <c r="I581">
        <f>IF(Skills!T14&lt;&gt;"",1+(Skills!T14/10)*($Z$3/1000)/100,1)</f>
        <v/>
      </c>
      <c r="J581">
        <f>(Inputs!$B$7*(1+Inputs!$B$8/100))*(F581/100)</f>
        <v/>
      </c>
      <c r="K581">
        <f>J581*(1+(((Inputs!$B$14+IF(Inputs!$B$3&gt;=35,0.10*(Inputs!$B$9*(1+Inputs!$B$10/100)),0))*(1+Inputs!$B$15/100))*0.01+Inputs!$B$16*0.0025)/100)*(1+(Inputs!$B$17+B598)/100)*(1+IF(Inputs!$B$40="pvp",0,(1-Summary!$B$48)*(Inputs!$B$22+Skills!O14+B596)+Summary!$B$48*(Inputs!$B$23+Skills!P14+B597))/100)*(1+Inputs!$B$18/100)*(5000/(6000+Inputs!$B$42*(1-Inputs!$B$21/100)))*(1+Inputs!$B$26/100)*(1+IF(C584=TRUE,F584,0)/100)*(1+IF(C586=TRUE,F586,0)/100)*(1+IF(Skills!A14="TRIUMPH_FEATHER",IF(C582=TRUE,F582,0),0)/100)*(1+IF(C593=TRUE,F593,0)/100)^5*(1+(IF(Skills!A14="BIG_BANG",Inputs!$B$19,Inputs!$B$20))/100)*(B595*I581)</f>
        <v/>
      </c>
      <c r="L581">
        <f>K581*(MIN(Inputs!$B$24+(F588-Calc!F21),Inputs!$B$25)/100+Inputs!$B$25/100)/2</f>
        <v/>
      </c>
      <c r="M581">
        <f>L581*(1+(Inputs!$B$12+B599+(F591-Calc!F24))/100)</f>
        <v/>
      </c>
      <c r="N581">
        <f>L581*(1-MIN(Inputs!$B$11+((F590-Calc!F23)+(F589-Calc!F22)),100)/100)+M581*(MIN(Inputs!$B$11+((F590-Calc!F23)+(F589-Calc!F22)),100)/100)</f>
        <v/>
      </c>
      <c r="O581">
        <f>IF(C581,Skills!F14*N581*((IF(Inputs!$B$3&gt;=78,25,15)/100*B601*10)/(1+IF(Inputs!$B$3&gt;=78,25,15)/100*B601*10))*(Skills!I14/100*B601)/(1+Skills!G14*Skills!I14/100*B601)*IF(Inputs!$B$40="pvp",1,(1-Summary!$B$48)*(1)+Summary!$B$48*(MIN(Skills!Q14,Inputs!$B$39))),0)</f>
        <v/>
      </c>
      <c r="P581">
        <f>IF(B605=0,0,O581/B605)</f>
        <v/>
      </c>
      <c r="Q581">
        <f>IFERROR(1/IF(Inputs!$B$40="pvp",15,MAX(0.1,Skills!D14-IF(Skills!E14=TRUE,Inputs!$B$34,0))),0)</f>
        <v/>
      </c>
      <c r="R581" t="n">
        <v>0</v>
      </c>
    </row>
    <row r="582">
      <c r="A582">
        <f>Skills!A15</f>
        <v/>
      </c>
      <c r="B582">
        <f>Skills!B15</f>
        <v/>
      </c>
      <c r="C582">
        <f>Inputs!$B$3&gt;=100</f>
        <v/>
      </c>
      <c r="D582">
        <f>IF(Skills!C15=1,60+Inputs!$B$27+Inputs!$B$31,IF(Skills!C15=2,90+Inputs!$B$28+Inputs!$B$31,IF(Skills!C15=3,120+Inputs!$B$29+Inputs!$B$31,MAX(0,(Inputs!$B$3-100)*3)+Inputs!$B$30+Inputs!$B$31)))</f>
        <v/>
      </c>
      <c r="E582">
        <f>INDEX(FactorTable!$B$2:$Y$301, MATCH(ROUND(MIN(300,MAX(1,D582)),0), FactorTable!$A$2:$A$301,0), Skills!L15+1)</f>
        <v/>
      </c>
      <c r="F582">
        <f>IF(Skills!M15=TRUE,(Skills!K15/10)*(E582/1000),Skills!K15/10)+Skills!N15</f>
        <v/>
      </c>
      <c r="G582">
        <f>Calc!G15</f>
        <v/>
      </c>
      <c r="H582">
        <f>Calc!H15</f>
        <v/>
      </c>
      <c r="I582">
        <f>IF(Skills!T15&lt;&gt;"",1+(Skills!T15/10)*($Z$3/1000)/100,1)</f>
        <v/>
      </c>
      <c r="J582" t="inlineStr"/>
      <c r="K582" t="inlineStr"/>
      <c r="L582" t="inlineStr"/>
      <c r="M582" t="inlineStr"/>
      <c r="N582" t="inlineStr"/>
      <c r="O582" t="n">
        <v>0</v>
      </c>
      <c r="P582">
        <f>IF(B605=0,0,O582/B605)</f>
        <v/>
      </c>
      <c r="Q582">
        <f>IFERROR(1/IF(Inputs!$B$40="pvp",15,MAX(0.1,Skills!D15-IF(Skills!E15=TRUE,Inputs!$B$34,0))),0)</f>
        <v/>
      </c>
      <c r="R582" t="n">
        <v>0</v>
      </c>
    </row>
    <row r="583">
      <c r="A583">
        <f>Skills!A16</f>
        <v/>
      </c>
      <c r="B583">
        <f>Skills!B16</f>
        <v/>
      </c>
      <c r="C583">
        <f>Inputs!$B$3&gt;=49</f>
        <v/>
      </c>
      <c r="D583">
        <f>IF(Skills!C16=1,60+Inputs!$B$27+Inputs!$B$31,IF(Skills!C16=2,90+Inputs!$B$28+Inputs!$B$31,IF(Skills!C16=3,120+Inputs!$B$29+Inputs!$B$31,MAX(0,(Inputs!$B$3-100)*3)+Inputs!$B$30+Inputs!$B$31)))</f>
        <v/>
      </c>
      <c r="E583">
        <f>INDEX(FactorTable!$B$2:$Y$301, MATCH(ROUND(MIN(300,MAX(1,D583)),0), FactorTable!$A$2:$A$301,0), Skills!L16+1)</f>
        <v/>
      </c>
      <c r="F583">
        <f>IF(Skills!M16=TRUE,(Skills!K16/10)*(E583/1000),Skills!K16/10)+Skills!N16</f>
        <v/>
      </c>
      <c r="G583">
        <f>Calc!G16</f>
        <v/>
      </c>
      <c r="H583">
        <f>Calc!H16</f>
        <v/>
      </c>
      <c r="I583">
        <f>IF(Skills!T16&lt;&gt;"",1+(Skills!T16/10)*($Z$3/1000)/100,1)</f>
        <v/>
      </c>
      <c r="J583" t="inlineStr"/>
      <c r="K583" t="inlineStr"/>
      <c r="L583" t="inlineStr"/>
      <c r="M583" t="inlineStr"/>
      <c r="N583" t="inlineStr"/>
      <c r="O583" t="n">
        <v>0</v>
      </c>
      <c r="P583">
        <f>IF(B605=0,0,O583/B605)</f>
        <v/>
      </c>
      <c r="Q583">
        <f>IFERROR(1/IF(Inputs!$B$40="pvp",15,MAX(0.1,Skills!D16-IF(Skills!E16=TRUE,Inputs!$B$34,0))),0)</f>
        <v/>
      </c>
      <c r="R583" t="n">
        <v>0</v>
      </c>
    </row>
    <row r="584">
      <c r="A584">
        <f>Skills!A17</f>
        <v/>
      </c>
      <c r="B584">
        <f>Skills!B17</f>
        <v/>
      </c>
      <c r="C584">
        <f>Inputs!$B$3&gt;=75</f>
        <v/>
      </c>
      <c r="D584">
        <f>IF(Skills!C17=1,60+Inputs!$B$27+Inputs!$B$31,IF(Skills!C17=2,90+Inputs!$B$28+Inputs!$B$31,IF(Skills!C17=3,120+Inputs!$B$29+Inputs!$B$31,MAX(0,(Inputs!$B$3-100)*3)+Inputs!$B$30+Inputs!$B$31)))</f>
        <v/>
      </c>
      <c r="E584">
        <f>INDEX(FactorTable!$B$2:$Y$301, MATCH(ROUND(MIN(300,MAX(1,D584)),0), FactorTable!$A$2:$A$301,0), Skills!L17+1)</f>
        <v/>
      </c>
      <c r="F584">
        <f>IF(Skills!M17=TRUE,(Skills!K17/10)*(E584/1000),Skills!K17/10)+Skills!N17</f>
        <v/>
      </c>
      <c r="G584">
        <f>Calc!G17</f>
        <v/>
      </c>
      <c r="H584">
        <f>Calc!H17</f>
        <v/>
      </c>
      <c r="I584">
        <f>IF(Skills!T17&lt;&gt;"",1+(Skills!T17/10)*($Z$3/1000)/100,1)</f>
        <v/>
      </c>
      <c r="J584" t="inlineStr"/>
      <c r="K584" t="inlineStr"/>
      <c r="L584" t="inlineStr"/>
      <c r="M584" t="inlineStr"/>
      <c r="N584" t="inlineStr"/>
      <c r="O584" t="n">
        <v>0</v>
      </c>
      <c r="P584">
        <f>IF(B605=0,0,O584/B605)</f>
        <v/>
      </c>
      <c r="Q584">
        <f>IFERROR(1/IF(Inputs!$B$40="pvp",15,MAX(0.1,Skills!D17-IF(Skills!E17=TRUE,Inputs!$B$34,0))),0)</f>
        <v/>
      </c>
      <c r="R584" t="n">
        <v>0</v>
      </c>
    </row>
    <row r="585">
      <c r="A585">
        <f>Skills!A18</f>
        <v/>
      </c>
      <c r="B585">
        <f>Skills!B18</f>
        <v/>
      </c>
      <c r="C585">
        <f>Inputs!$B$3&gt;=110</f>
        <v/>
      </c>
      <c r="D585">
        <f>IF(Skills!C18=1,60+Inputs!$B$27+Inputs!$B$31,IF(Skills!C18=2,90+Inputs!$B$28+Inputs!$B$31,IF(Skills!C18=3,120+Inputs!$B$29+Inputs!$B$31,MAX(0,(Inputs!$B$3-100)*3)+Inputs!$B$30+Inputs!$B$31)))</f>
        <v/>
      </c>
      <c r="E585">
        <f>INDEX(FactorTable!$B$2:$Y$301, MATCH(ROUND(MIN(300,MAX(1,D585)),0), FactorTable!$A$2:$A$301,0), Skills!L18+1)</f>
        <v/>
      </c>
      <c r="F585">
        <f>(Skills!K18/10)*(E585/1000)*64/45+Skills!N18</f>
        <v/>
      </c>
      <c r="G585">
        <f>Calc!G18</f>
        <v/>
      </c>
      <c r="H585">
        <f>Calc!H18</f>
        <v/>
      </c>
      <c r="I585">
        <f>IF(Skills!T18&lt;&gt;"",1+(Skills!T18/10)*($Z$3/1000)/100,1)</f>
        <v/>
      </c>
      <c r="J585" t="inlineStr"/>
      <c r="K585" t="inlineStr"/>
      <c r="L585" t="inlineStr"/>
      <c r="M585" t="inlineStr"/>
      <c r="N585" t="inlineStr"/>
      <c r="O585" t="n">
        <v>0</v>
      </c>
      <c r="P585">
        <f>IF(B605=0,0,O585/B605)</f>
        <v/>
      </c>
      <c r="Q585">
        <f>IFERROR(1/IF(Inputs!$B$40="pvp",15,MAX(0.1,Skills!D18-IF(Skills!E18=TRUE,Inputs!$B$34,0))),0)</f>
        <v/>
      </c>
      <c r="R585">
        <f>IF(AND(Inputs!$B$40&lt;&gt;"pvp",Inputs!$B$43&gt;0),(INT(Inputs!$B$43/IF(Inputs!$B$40="pvp",15,MAX(0.1,Skills!D18-IF(Skills!E18=TRUE,Inputs!$B$34,0))))+1),0)</f>
        <v/>
      </c>
    </row>
    <row r="586">
      <c r="A586">
        <f>Skills!A19</f>
        <v/>
      </c>
      <c r="B586">
        <f>Skills!B19</f>
        <v/>
      </c>
      <c r="C586">
        <f>Inputs!$B$3&gt;=125</f>
        <v/>
      </c>
      <c r="D586">
        <f>IF(Skills!C19=1,60+Inputs!$B$27+Inputs!$B$31,IF(Skills!C19=2,90+Inputs!$B$28+Inputs!$B$31,IF(Skills!C19=3,120+Inputs!$B$29+Inputs!$B$31,MAX(0,(Inputs!$B$3-100)*3)+Inputs!$B$30+Inputs!$B$31)))</f>
        <v/>
      </c>
      <c r="E586">
        <f>INDEX(FactorTable!$B$2:$Y$301, MATCH(ROUND(MIN(300,MAX(1,D586)),0), FactorTable!$A$2:$A$301,0), Skills!L19+1)</f>
        <v/>
      </c>
      <c r="F586">
        <f>IF(Skills!M19=TRUE,(Skills!K19/10)*(E586/1000),Skills!K19/10)+Skills!N19</f>
        <v/>
      </c>
      <c r="G586">
        <f>Calc!G19</f>
        <v/>
      </c>
      <c r="H586">
        <f>Calc!H19</f>
        <v/>
      </c>
      <c r="I586">
        <f>IF(Skills!T19&lt;&gt;"",1+(Skills!T19/10)*($Z$3/1000)/100,1)</f>
        <v/>
      </c>
      <c r="J586" t="inlineStr"/>
      <c r="K586" t="inlineStr"/>
      <c r="L586" t="inlineStr"/>
      <c r="M586" t="inlineStr"/>
      <c r="N586" t="inlineStr"/>
      <c r="O586" t="n">
        <v>0</v>
      </c>
      <c r="P586">
        <f>IF(B605=0,0,O586/B605)</f>
        <v/>
      </c>
      <c r="Q586">
        <f>IFERROR(1/IF(Inputs!$B$40="pvp",15,MAX(0.1,Skills!D19-IF(Skills!E19=TRUE,Inputs!$B$34,0))),0)</f>
        <v/>
      </c>
      <c r="R586" t="n">
        <v>0</v>
      </c>
    </row>
    <row r="587">
      <c r="A587">
        <f>Skills!A20</f>
        <v/>
      </c>
      <c r="B587">
        <f>Skills!B20</f>
        <v/>
      </c>
      <c r="C587">
        <f>Inputs!$B$3&gt;=33</f>
        <v/>
      </c>
      <c r="D587">
        <f>IF(Skills!C20=1,60+Inputs!$B$27+Inputs!$B$31,IF(Skills!C20=2,90+Inputs!$B$28+Inputs!$B$31,IF(Skills!C20=3,120+Inputs!$B$29+Inputs!$B$31,MAX(0,(Inputs!$B$3-100)*3)+Inputs!$B$30+Inputs!$B$31)))</f>
        <v/>
      </c>
      <c r="E587">
        <f>INDEX(FactorTable!$B$2:$Y$301, MATCH(ROUND(MIN(300,MAX(1,D587)),0), FactorTable!$A$2:$A$301,0), Skills!L20+1)</f>
        <v/>
      </c>
      <c r="F587">
        <f>IF(Skills!M20=TRUE,(Skills!K20/10)*(E587/1000),Skills!K20/10)+Skills!N20</f>
        <v/>
      </c>
      <c r="G587">
        <f>Calc!G20</f>
        <v/>
      </c>
      <c r="H587">
        <f>Calc!H20</f>
        <v/>
      </c>
      <c r="I587">
        <f>IF(Skills!T20&lt;&gt;"",1+(Skills!T20/10)*($Z$3/1000)/100,1)</f>
        <v/>
      </c>
      <c r="J587" t="inlineStr"/>
      <c r="K587" t="inlineStr"/>
      <c r="L587" t="inlineStr"/>
      <c r="M587" t="inlineStr"/>
      <c r="N587" t="inlineStr"/>
      <c r="O587" t="n">
        <v>0</v>
      </c>
      <c r="P587">
        <f>IF(B605=0,0,O587/B605)</f>
        <v/>
      </c>
      <c r="Q587">
        <f>IFERROR(1/IF(Inputs!$B$40="pvp",15,MAX(0.1,Skills!D20-IF(Skills!E20=TRUE,Inputs!$B$34,0))),0)</f>
        <v/>
      </c>
      <c r="R587" t="n">
        <v>0</v>
      </c>
    </row>
    <row r="588">
      <c r="A588">
        <f>Skills!A21</f>
        <v/>
      </c>
      <c r="B588">
        <f>Skills!B21</f>
        <v/>
      </c>
      <c r="C588">
        <f>Inputs!$B$3&gt;=43</f>
        <v/>
      </c>
      <c r="D588">
        <f>IF(Skills!C21=1,60+Inputs!$B$27+Inputs!$B$31,IF(Skills!C21=2,90+Inputs!$B$28+Inputs!$B$31,IF(Skills!C21=3,120+Inputs!$B$29+Inputs!$B$31,MAX(0,(Inputs!$B$3-100)*3)+Inputs!$B$30+Inputs!$B$31)))</f>
        <v/>
      </c>
      <c r="E588">
        <f>INDEX(FactorTable!$B$2:$Y$301, MATCH(ROUND(MIN(300,MAX(1,D588)),0), FactorTable!$A$2:$A$301,0), Skills!L21+1)</f>
        <v/>
      </c>
      <c r="F588">
        <f>IF(Skills!M21=TRUE,(Skills!K21/10)*(E588/1000),Skills!K21/10)+Skills!N21</f>
        <v/>
      </c>
      <c r="G588">
        <f>Calc!G21</f>
        <v/>
      </c>
      <c r="H588">
        <f>Calc!H21</f>
        <v/>
      </c>
      <c r="I588">
        <f>IF(Skills!T21&lt;&gt;"",1+(Skills!T21/10)*($Z$3/1000)/100,1)</f>
        <v/>
      </c>
      <c r="J588" t="inlineStr"/>
      <c r="K588" t="inlineStr"/>
      <c r="L588" t="inlineStr"/>
      <c r="M588" t="inlineStr"/>
      <c r="N588" t="inlineStr"/>
      <c r="O588" t="n">
        <v>0</v>
      </c>
      <c r="P588">
        <f>IF(B605=0,0,O588/B605)</f>
        <v/>
      </c>
      <c r="Q588">
        <f>IFERROR(1/IF(Inputs!$B$40="pvp",15,MAX(0.1,Skills!D21-IF(Skills!E21=TRUE,Inputs!$B$34,0))),0)</f>
        <v/>
      </c>
      <c r="R588" t="n">
        <v>0</v>
      </c>
    </row>
    <row r="589">
      <c r="A589">
        <f>Skills!A22</f>
        <v/>
      </c>
      <c r="B589">
        <f>Skills!B22</f>
        <v/>
      </c>
      <c r="C589">
        <f>Inputs!$B$3&gt;=50</f>
        <v/>
      </c>
      <c r="D589">
        <f>IF(Skills!C22=1,60+Inputs!$B$27+Inputs!$B$31,IF(Skills!C22=2,90+Inputs!$B$28+Inputs!$B$31,IF(Skills!C22=3,120+Inputs!$B$29+Inputs!$B$31,MAX(0,(Inputs!$B$3-100)*3)+Inputs!$B$30+Inputs!$B$31)))</f>
        <v/>
      </c>
      <c r="E589">
        <f>INDEX(FactorTable!$B$2:$Y$301, MATCH(ROUND(MIN(300,MAX(1,D589)),0), FactorTable!$A$2:$A$301,0), Skills!L22+1)</f>
        <v/>
      </c>
      <c r="F589">
        <f>IF(Skills!M22=TRUE,(Skills!K22/10)*(E589/1000),Skills!K22/10)+Skills!N22</f>
        <v/>
      </c>
      <c r="G589">
        <f>Calc!G22</f>
        <v/>
      </c>
      <c r="H589">
        <f>Calc!H22</f>
        <v/>
      </c>
      <c r="I589">
        <f>IF(Skills!T22&lt;&gt;"",1+(Skills!T22/10)*($Z$3/1000)/100,1)</f>
        <v/>
      </c>
      <c r="J589" t="inlineStr"/>
      <c r="K589" t="inlineStr"/>
      <c r="L589" t="inlineStr"/>
      <c r="M589" t="inlineStr"/>
      <c r="N589" t="inlineStr"/>
      <c r="O589" t="n">
        <v>0</v>
      </c>
      <c r="P589">
        <f>IF(B605=0,0,O589/B605)</f>
        <v/>
      </c>
      <c r="Q589">
        <f>IFERROR(1/IF(Inputs!$B$40="pvp",15,MAX(0.1,Skills!D22-IF(Skills!E22=TRUE,Inputs!$B$34,0))),0)</f>
        <v/>
      </c>
      <c r="R589" t="n">
        <v>0</v>
      </c>
    </row>
    <row r="590">
      <c r="A590">
        <f>Skills!A23</f>
        <v/>
      </c>
      <c r="B590">
        <f>Skills!B23</f>
        <v/>
      </c>
      <c r="C590">
        <f>Inputs!$B$3&gt;=74</f>
        <v/>
      </c>
      <c r="D590">
        <f>IF(Skills!C23=1,60+Inputs!$B$27+Inputs!$B$31,IF(Skills!C23=2,90+Inputs!$B$28+Inputs!$B$31,IF(Skills!C23=3,120+Inputs!$B$29+Inputs!$B$31,MAX(0,(Inputs!$B$3-100)*3)+Inputs!$B$30+Inputs!$B$31)))</f>
        <v/>
      </c>
      <c r="E590">
        <f>INDEX(FactorTable!$B$2:$Y$301, MATCH(ROUND(MIN(300,MAX(1,D590)),0), FactorTable!$A$2:$A$301,0), Skills!L23+1)</f>
        <v/>
      </c>
      <c r="F590">
        <f>IF(Skills!M23=TRUE,(Skills!K23/10)*(E590/1000),Skills!K23/10)+Skills!N23</f>
        <v/>
      </c>
      <c r="G590">
        <f>Calc!G23</f>
        <v/>
      </c>
      <c r="H590">
        <f>Calc!H23</f>
        <v/>
      </c>
      <c r="I590">
        <f>IF(Skills!T23&lt;&gt;"",1+(Skills!T23/10)*($Z$3/1000)/100,1)</f>
        <v/>
      </c>
      <c r="J590" t="inlineStr"/>
      <c r="K590" t="inlineStr"/>
      <c r="L590" t="inlineStr"/>
      <c r="M590" t="inlineStr"/>
      <c r="N590" t="inlineStr"/>
      <c r="O590" t="n">
        <v>0</v>
      </c>
      <c r="P590">
        <f>IF(B605=0,0,O590/B605)</f>
        <v/>
      </c>
      <c r="Q590">
        <f>IFERROR(1/IF(Inputs!$B$40="pvp",15,MAX(0.1,Skills!D23-IF(Skills!E23=TRUE,Inputs!$B$34,0))),0)</f>
        <v/>
      </c>
      <c r="R590" t="n">
        <v>0</v>
      </c>
    </row>
    <row r="591">
      <c r="A591">
        <f>Skills!A24</f>
        <v/>
      </c>
      <c r="B591">
        <f>Skills!B24</f>
        <v/>
      </c>
      <c r="C591">
        <f>Inputs!$B$3&gt;=74</f>
        <v/>
      </c>
      <c r="D591">
        <f>IF(Skills!C24=1,60+Inputs!$B$27+Inputs!$B$31,IF(Skills!C24=2,90+Inputs!$B$28+Inputs!$B$31,IF(Skills!C24=3,120+Inputs!$B$29+Inputs!$B$31,MAX(0,(Inputs!$B$3-100)*3)+Inputs!$B$30+Inputs!$B$31)))</f>
        <v/>
      </c>
      <c r="E591">
        <f>INDEX(FactorTable!$B$2:$Y$301, MATCH(ROUND(MIN(300,MAX(1,D591)),0), FactorTable!$A$2:$A$301,0), Skills!L24+1)</f>
        <v/>
      </c>
      <c r="F591">
        <f>IF(Skills!M24=TRUE,(Skills!K24/10)*(E591/1000),Skills!K24/10)+Skills!N24</f>
        <v/>
      </c>
      <c r="G591">
        <f>Calc!G24</f>
        <v/>
      </c>
      <c r="H591">
        <f>Calc!H24</f>
        <v/>
      </c>
      <c r="I591">
        <f>IF(Skills!T24&lt;&gt;"",1+(Skills!T24/10)*($Z$3/1000)/100,1)</f>
        <v/>
      </c>
      <c r="J591" t="inlineStr"/>
      <c r="K591" t="inlineStr"/>
      <c r="L591" t="inlineStr"/>
      <c r="M591" t="inlineStr"/>
      <c r="N591" t="inlineStr"/>
      <c r="O591" t="n">
        <v>0</v>
      </c>
      <c r="P591">
        <f>IF(B605=0,0,O591/B605)</f>
        <v/>
      </c>
      <c r="Q591">
        <f>IFERROR(1/IF(Inputs!$B$40="pvp",15,MAX(0.1,Skills!D24-IF(Skills!E24=TRUE,Inputs!$B$34,0))),0)</f>
        <v/>
      </c>
      <c r="R591" t="n">
        <v>0</v>
      </c>
    </row>
    <row r="592">
      <c r="A592">
        <f>Skills!A25</f>
        <v/>
      </c>
      <c r="B592">
        <f>Skills!B25</f>
        <v/>
      </c>
      <c r="C592">
        <f>Inputs!$B$3&gt;=117</f>
        <v/>
      </c>
      <c r="D592">
        <f>IF(Skills!C25=1,60+Inputs!$B$27+Inputs!$B$31,IF(Skills!C25=2,90+Inputs!$B$28+Inputs!$B$31,IF(Skills!C25=3,120+Inputs!$B$29+Inputs!$B$31,MAX(0,(Inputs!$B$3-100)*3)+Inputs!$B$30+Inputs!$B$31)))</f>
        <v/>
      </c>
      <c r="E592">
        <f>INDEX(FactorTable!$B$2:$Y$301, MATCH(ROUND(MIN(300,MAX(1,D592)),0), FactorTable!$A$2:$A$301,0), Skills!L25+1)</f>
        <v/>
      </c>
      <c r="F592">
        <f>IF(Skills!M25=TRUE,(Skills!K25/10)*(E592/1000),Skills!K25/10)+Skills!N25</f>
        <v/>
      </c>
      <c r="G592">
        <f>Calc!G25</f>
        <v/>
      </c>
      <c r="H592">
        <f>Calc!H25</f>
        <v/>
      </c>
      <c r="I592">
        <f>IF(Skills!T25&lt;&gt;"",1+(Skills!T25/10)*($Z$3/1000)/100,1)</f>
        <v/>
      </c>
      <c r="J592" t="inlineStr"/>
      <c r="K592" t="inlineStr"/>
      <c r="L592" t="inlineStr"/>
      <c r="M592" t="inlineStr"/>
      <c r="N592" t="inlineStr"/>
      <c r="O592" t="n">
        <v>0</v>
      </c>
      <c r="P592">
        <f>IF(B605=0,0,O592/B605)</f>
        <v/>
      </c>
      <c r="Q592">
        <f>IFERROR(1/IF(Inputs!$B$40="pvp",15,MAX(0.1,Skills!D25-IF(Skills!E25=TRUE,Inputs!$B$34,0))),0)</f>
        <v/>
      </c>
      <c r="R592" t="n">
        <v>0</v>
      </c>
    </row>
    <row r="593">
      <c r="A593">
        <f>Skills!A26</f>
        <v/>
      </c>
      <c r="B593">
        <f>Skills!B26</f>
        <v/>
      </c>
      <c r="C593">
        <f>Inputs!$B$3&gt;=120</f>
        <v/>
      </c>
      <c r="D593">
        <f>IF(Skills!C26=1,60+Inputs!$B$27+Inputs!$B$31,IF(Skills!C26=2,90+Inputs!$B$28+Inputs!$B$31,IF(Skills!C26=3,120+Inputs!$B$29+Inputs!$B$31,MAX(0,(Inputs!$B$3-100)*3)+Inputs!$B$30+Inputs!$B$31)))</f>
        <v/>
      </c>
      <c r="E593">
        <f>INDEX(FactorTable!$B$2:$Y$301, MATCH(ROUND(MIN(300,MAX(1,D593)),0), FactorTable!$A$2:$A$301,0), Skills!L26+1)</f>
        <v/>
      </c>
      <c r="F593">
        <f>IF(Skills!M26=TRUE,(Skills!K26/10)*(E593/1000),Skills!K26/10)+Skills!N26</f>
        <v/>
      </c>
      <c r="G593">
        <f>Calc!G26</f>
        <v/>
      </c>
      <c r="H593">
        <f>Calc!H26</f>
        <v/>
      </c>
      <c r="I593">
        <f>IF(Skills!T26&lt;&gt;"",1+(Skills!T26/10)*($Z$3/1000)/100,1)</f>
        <v/>
      </c>
      <c r="J593" t="inlineStr"/>
      <c r="K593" t="inlineStr"/>
      <c r="L593" t="inlineStr"/>
      <c r="M593" t="inlineStr"/>
      <c r="N593" t="inlineStr"/>
      <c r="O593" t="n">
        <v>0</v>
      </c>
      <c r="P593">
        <f>IF(B605=0,0,O593/B605)</f>
        <v/>
      </c>
      <c r="Q593">
        <f>IFERROR(1/IF(Inputs!$B$40="pvp",15,MAX(0.1,Skills!D26-IF(Skills!E26=TRUE,Inputs!$B$34,0))),0)</f>
        <v/>
      </c>
      <c r="R593" t="n">
        <v>0</v>
      </c>
    </row>
    <row r="595">
      <c r="A595" t="inlineStr">
        <is>
          <t>Average Buff Multiplier</t>
        </is>
      </c>
      <c r="B595">
        <f>(1+(IF(C570=TRUE,F570*IF(AND(Inputs!$B$40&lt;&gt;"pvp",Inputs!$B$43&gt;0),(((R570-1)*(Skills!S3*(1+(Inputs!$B$36+IF(Inputs!$B$3&gt;=117,F592,0))/100))+MIN((Skills!S3*(1+(Inputs!$B$36+IF(Inputs!$B$3&gt;=117,F592,0))/100)),MAX(0,Inputs!$B$43-((R570-1)*Skills!D3))))/Inputs!$B$43),IF(Inputs!$B$40="pvp",MIN((Skills!S3*(1+(Inputs!$B$36+IF(Inputs!$B$3&gt;=117,F592,0))/100)),15)/15,(Skills!S3*(1+(Inputs!$B$36+IF(Inputs!$B$3&gt;=117,F592,0))/100))/Skills!D3)),0)+IF(C571=TRUE,F571*IF(AND(Inputs!$B$40&lt;&gt;"pvp",Inputs!$B$43&gt;0),(((R571-1)*(Skills!S4*(1+(Inputs!$B$36+IF(Inputs!$B$3&gt;=117,F592,0))/100))+MIN((Skills!S4*(1+(Inputs!$B$36+IF(Inputs!$B$3&gt;=117,F592,0))/100)),MAX(0,Inputs!$B$43-((R571-1)*Skills!D4))))/Inputs!$B$43),IF(Inputs!$B$40="pvp",MIN((Skills!S4*(1+(Inputs!$B$36+IF(Inputs!$B$3&gt;=117,F592,0))/100)),15)/15,(Skills!S4*(1+(Inputs!$B$36+IF(Inputs!$B$3&gt;=117,F592,0))/100))/Skills!D4)),0)+IF(C572=TRUE,F572*IF(AND(Inputs!$B$40&lt;&gt;"pvp",Inputs!$B$43&gt;0),(((R572-1)*(Skills!S5*(1+(Inputs!$B$36+IF(Inputs!$B$3&gt;=117,F592,0))/100))+MIN((Skills!S5*(1+(Inputs!$B$36+IF(Inputs!$B$3&gt;=117,F592,0))/100)),MAX(0,Inputs!$B$43-((R572-1)*Skills!D5))))/Inputs!$B$43),IF(Inputs!$B$40="pvp",MIN((Skills!S5*(1+(Inputs!$B$36+IF(Inputs!$B$3&gt;=117,F592,0))/100)),15)/15,(Skills!S5*(1+(Inputs!$B$36+IF(Inputs!$B$3&gt;=117,F592,0))/100))/Skills!D5)),0)+IF(C578=TRUE,F578*IF(AND(Inputs!$B$40&lt;&gt;"pvp",Inputs!$B$43&gt;0),(((R578-1)*(Skills!S11*(1+(Inputs!$B$36+IF(Inputs!$B$3&gt;=117,F592,0))/100))+MIN((Skills!S11*(1+(Inputs!$B$36+IF(Inputs!$B$3&gt;=117,F592,0))/100)),MAX(0,Inputs!$B$43-((R578-1)*Skills!D11))))/Inputs!$B$43),IF(Inputs!$B$40="pvp",MIN((Skills!S11*(1+(Inputs!$B$36+IF(Inputs!$B$3&gt;=117,F592,0))/100)),15)/15,(Skills!S11*(1+(Inputs!$B$36+IF(Inputs!$B$3&gt;=117,F592,0))/100))/Skills!D11)),0))/100)*IF(C580=TRUE,(1+F580*IF(AND(Inputs!$B$40&lt;&gt;"pvp",Inputs!$B$43&gt;0),(((R580-1)*(Skills!S13*(1+(Inputs!$B$36+IF(Inputs!$B$3&gt;=117,F592,0))/100))+MIN((Skills!S13*(1+(Inputs!$B$36+IF(Inputs!$B$3&gt;=117,F592,0))/100)),MAX(0,Inputs!$B$43-((R580-1)*Skills!D13))))/Inputs!$B$43),IF(Inputs!$B$40="pvp",MIN((Skills!S13*(1+(Inputs!$B$36+IF(Inputs!$B$3&gt;=117,F592,0))/100)),15)/15,(Skills!S13*(1+(Inputs!$B$36+IF(Inputs!$B$3&gt;=117,F592,0))/100))/Skills!D13))/100),1)*IF(C585=TRUE,(1+F585*IF(AND(Inputs!$B$40&lt;&gt;"pvp",Inputs!$B$43&gt;0),(((R585-1)*(Skills!S18*(1+(Inputs!$B$36+IF(Inputs!$B$3&gt;=117,F592,0))/100))+MIN((Skills!S18*(1+(Inputs!$B$36+IF(Inputs!$B$3&gt;=117,F592,0))/100)),MAX(0,Inputs!$B$43-((R585-1)*Skills!D18))))/Inputs!$B$43),IF(Inputs!$B$40="pvp",MIN((Skills!S18*(1+(Inputs!$B$36+IF(Inputs!$B$3&gt;=117,F592,0))/100)),15)/15,(Skills!S18*(1+(Inputs!$B$36+IF(Inputs!$B$3&gt;=117,F592,0))/100))/Skills!D18))/100),1)</f>
        <v/>
      </c>
    </row>
    <row r="596">
      <c r="A596" t="inlineStr">
        <is>
          <t>Monster Damage Taken Bonus % (Holy Fountain)</t>
        </is>
      </c>
      <c r="B596">
        <f>IF(Inputs!$B$3&gt;=68,20*IF(Inputs!$B$40="pvp",MIN((15*(1+(Inputs!$B$36+IF(Inputs!$B$3&gt;=117,F592,0))/100)),15)/15,(15*(1+(Inputs!$B$36+IF(Inputs!$B$3&gt;=117,F592,0))/100))/Skills!D10),0)</f>
        <v/>
      </c>
    </row>
    <row r="597">
      <c r="A597" t="inlineStr">
        <is>
          <t>Normal Monster Damage Bonus % (Holy Symbol)</t>
        </is>
      </c>
      <c r="B597">
        <f>IF(C579=TRUE,F579*IF(AND(Inputs!$B$40&lt;&gt;"pvp",Inputs!$B$43&gt;0),(((R579-1)*(Skills!S12*(1+(Inputs!$B$36+IF(Inputs!$B$3&gt;=117,F592,0))/100))+MIN((Skills!S12*(1+(Inputs!$B$36+IF(Inputs!$B$3&gt;=117,F592,0))/100)),MAX(0,Inputs!$B$43-((R579-1)*Skills!D12))))/Inputs!$B$43),IF(Inputs!$B$40="pvp",MIN((Skills!S12*(1+(Inputs!$B$36+IF(Inputs!$B$3&gt;=117,F592,0))/100)),15)/15,(Skills!S12*(1+(Inputs!$B$36+IF(Inputs!$B$3&gt;=117,F592,0))/100))/Skills!D12)),0)</f>
        <v/>
      </c>
    </row>
    <row r="598">
      <c r="A598" t="inlineStr">
        <is>
          <t>Damage % Bonus (Holy Symbol - Damage Boost)</t>
        </is>
      </c>
      <c r="B598">
        <f>Skills!O12</f>
        <v/>
      </c>
    </row>
    <row r="599">
      <c r="A599" t="inlineStr">
        <is>
          <t>Crit Damage % Bonus (Blood of the Divine)</t>
        </is>
      </c>
      <c r="B599">
        <f>4*IF(C586=TRUE,F586,0)</f>
        <v/>
      </c>
    </row>
    <row r="600">
      <c r="A600" t="inlineStr">
        <is>
          <t>Attack Speed Bonus %</t>
        </is>
      </c>
      <c r="B600">
        <f>IF(C583=TRUE,F583+(F587-Calc!F20),0)+IF(Inputs!$B$3&gt;=134,15,0)</f>
        <v/>
      </c>
    </row>
    <row r="601">
      <c r="A601" t="inlineStr">
        <is>
          <t>Actions Per Second</t>
        </is>
      </c>
      <c r="B601">
        <f>1+MIN(150,150*(1-(1-((1-(1-Inputs!$B$13/150)*(1-1/150))*150)/150)*(1-B600/150)))/100</f>
        <v/>
      </c>
    </row>
    <row r="602">
      <c r="A602" t="inlineStr">
        <is>
          <t>Skill + Buff Cast Rate</t>
        </is>
      </c>
      <c r="B602">
        <f>IF(AND(Inputs!$B$40&lt;&gt;"pvp",Inputs!$B$43&gt;0),SUMPRODUCT((Skills!E2:E26=TRUE)*(C569:C593=TRUE)*R569:R593)/Inputs!$B$43,SUMPRODUCT((Skills!E2:E26=TRUE)*(C569:C593=TRUE)*Q569:Q593))</f>
        <v/>
      </c>
    </row>
    <row r="603">
      <c r="A603" t="inlineStr">
        <is>
          <t>Big Bang Casts Per Second</t>
        </is>
      </c>
      <c r="B603">
        <f>MAX(0,B601-B602)</f>
        <v/>
      </c>
    </row>
    <row r="605">
      <c r="A605" s="5" t="inlineStr">
        <is>
          <t>TOTAL DPS</t>
        </is>
      </c>
      <c r="B605" s="5">
        <f>SUM(O569:O593)</f>
        <v/>
      </c>
    </row>
    <row r="608">
      <c r="A608" s="5" t="inlineStr">
        <is>
          <t>Stat: DEF_PEN % (diminishing returns, factor 100)</t>
        </is>
      </c>
    </row>
    <row r="609">
      <c r="A609" s="9" t="inlineStr">
        <is>
          <t>Key</t>
        </is>
      </c>
      <c r="B609" s="9" t="inlineStr">
        <is>
          <t>Name</t>
        </is>
      </c>
      <c r="C609" s="9" t="inlineStr">
        <is>
          <t>Unlocked</t>
        </is>
      </c>
      <c r="D609" s="9" t="inlineStr">
        <is>
          <t>InputLevel</t>
        </is>
      </c>
      <c r="E609" s="9" t="inlineStr">
        <is>
          <t>Factor</t>
        </is>
      </c>
      <c r="F609" s="9" t="inlineStr">
        <is>
          <t>CoefficientPercent</t>
        </is>
      </c>
      <c r="G609" s="9" t="inlineStr">
        <is>
          <t>EffectiveHits</t>
        </is>
      </c>
      <c r="H609" s="9" t="inlineStr">
        <is>
          <t>ProcProbability</t>
        </is>
      </c>
      <c r="I609" s="9" t="inlineStr">
        <is>
          <t>MapleHeroMultiplier</t>
        </is>
      </c>
      <c r="J609" s="9" t="inlineStr">
        <is>
          <t>BaseDamage</t>
        </is>
      </c>
      <c r="K609" s="9" t="inlineStr">
        <is>
          <t>BaseHitDamage</t>
        </is>
      </c>
      <c r="L609" s="9" t="inlineStr">
        <is>
          <t>NonCritAvg</t>
        </is>
      </c>
      <c r="M609" s="9" t="inlineStr">
        <is>
          <t>CritAvg</t>
        </is>
      </c>
      <c r="N609" s="9" t="inlineStr">
        <is>
          <t>ExpectedDamage(perHit)</t>
        </is>
      </c>
      <c r="O609" s="9" t="inlineStr">
        <is>
          <t>DPS</t>
        </is>
      </c>
      <c r="P609" s="9" t="inlineStr">
        <is>
          <t>% of Total</t>
        </is>
      </c>
      <c r="R609" t="inlineStr">
        <is>
          <t>helpers</t>
        </is>
      </c>
    </row>
    <row r="610">
      <c r="A610">
        <f>Skills!A2</f>
        <v/>
      </c>
      <c r="B610">
        <f>Skills!B2</f>
        <v/>
      </c>
      <c r="C610">
        <f>Inputs!$B$3&gt;=100</f>
        <v/>
      </c>
      <c r="D610" t="inlineStr"/>
      <c r="E610" t="inlineStr"/>
      <c r="F610">
        <f>T612+Skills!N2</f>
        <v/>
      </c>
      <c r="G610">
        <f>Calc!G2</f>
        <v/>
      </c>
      <c r="H610">
        <f>Calc!H2</f>
        <v/>
      </c>
      <c r="I610">
        <f>IF(Skills!T2&lt;&gt;"",1+(Skills!T2/10)*($Z$3/1000)/100,1)</f>
        <v/>
      </c>
      <c r="J610">
        <f>(Inputs!$B$7*(1+Inputs!$B$8/100))*(F610/100)</f>
        <v/>
      </c>
      <c r="K610">
        <f>J610*(1+(((Inputs!$B$14+IF(Inputs!$B$3&gt;=35,0.10*(Inputs!$B$9*(1+Inputs!$B$10/100)),0))*(1+Inputs!$B$15/100))*0.01+Inputs!$B$16*0.0025)/100)*(1+(Inputs!$B$17+B639)/100)*(1+IF(Inputs!$B$40="pvp",0,(1-Summary!$B$48)*(Inputs!$B$22+Skills!O2+B637)+Summary!$B$48*(Inputs!$B$23+Skills!P2+B638))/100)*(1+Inputs!$B$18/100)*(5000/(6000+Inputs!$B$42*(1-((1-(1-Inputs!$B$21/100)*(1-1/100))*100)/100)))*(1+Inputs!$B$26/100)*(1+IF(C625=TRUE,F625,0)/100)*(1+IF(C627=TRUE,F627,0)/100)*(1+IF(Skills!A2="TRIUMPH_FEATHER",IF(C623=TRUE,F623,0),0)/100)*(1+IF(C634=TRUE,F634,0)/100)^5*(1+(IF(Skills!A2="BIG_BANG",Inputs!$B$19,Inputs!$B$20))/100)*(B636*I610)</f>
        <v/>
      </c>
      <c r="L610">
        <f>K610*(MIN(Inputs!$B$24+(F629-Calc!F21),Inputs!$B$25)/100+Inputs!$B$25/100)/2</f>
        <v/>
      </c>
      <c r="M610">
        <f>L610*(1+(Inputs!$B$12+B640+(F632-Calc!F24))/100)</f>
        <v/>
      </c>
      <c r="N610">
        <f>L610*(1-MIN(Inputs!$B$11+((F631-Calc!F23)+(F630-Calc!F22)),100)/100)+M610*(MIN(Inputs!$B$11+((F631-Calc!F23)+(F630-Calc!F22)),100)/100)</f>
        <v/>
      </c>
      <c r="O610">
        <f>IF(C610,Skills!F2*N610*B644*IF(Inputs!$B$40="pvp",1,(1-Summary!$B$48)*(1)+Summary!$B$48*(MIN((6+Inputs!$B$35),Inputs!$B$39))),0)</f>
        <v/>
      </c>
      <c r="P610">
        <f>IF(B646=0,0,O610/B646)</f>
        <v/>
      </c>
      <c r="Q610">
        <f>IFERROR(1/IF(Inputs!$B$40="pvp",15,MAX(0.1,Skills!D2-IF(Skills!E2=TRUE,Inputs!$B$34,0))),0)</f>
        <v/>
      </c>
      <c r="R610" t="n">
        <v>0</v>
      </c>
      <c r="T610">
        <f>MAX(0,(Inputs!$B$3-100)*3)+Inputs!$B$30+Inputs!$B$31</f>
        <v/>
      </c>
    </row>
    <row r="611">
      <c r="A611">
        <f>Skills!A3</f>
        <v/>
      </c>
      <c r="B611">
        <f>Skills!B3</f>
        <v/>
      </c>
      <c r="C611">
        <f>Inputs!$B$3&gt;=15</f>
        <v/>
      </c>
      <c r="D611">
        <f>IF(Skills!C3=1,60+Inputs!$B$27+Inputs!$B$31,IF(Skills!C3=2,90+Inputs!$B$28+Inputs!$B$31,IF(Skills!C3=3,120+Inputs!$B$29+Inputs!$B$31,MAX(0,(Inputs!$B$3-100)*3)+Inputs!$B$30+Inputs!$B$31)))</f>
        <v/>
      </c>
      <c r="E611">
        <f>INDEX(FactorTable!$B$2:$Y$301, MATCH(ROUND(MIN(300,MAX(1,D611)),0), FactorTable!$A$2:$A$301,0), Skills!L3+1)</f>
        <v/>
      </c>
      <c r="F611">
        <f>IF(Skills!M3=TRUE,(Skills!K3/10)*(E611/1000),Skills!K3/10)+Skills!N3</f>
        <v/>
      </c>
      <c r="G611">
        <f>Calc!G3</f>
        <v/>
      </c>
      <c r="H611">
        <f>Calc!H3</f>
        <v/>
      </c>
      <c r="I611">
        <f>IF(Skills!T3&lt;&gt;"",1+(Skills!T3/10)*($Z$3/1000)/100,1)</f>
        <v/>
      </c>
      <c r="J611" t="inlineStr"/>
      <c r="K611" t="inlineStr"/>
      <c r="L611" t="inlineStr"/>
      <c r="M611" t="inlineStr"/>
      <c r="N611" t="inlineStr"/>
      <c r="O611" t="n">
        <v>0</v>
      </c>
      <c r="P611">
        <f>IF(B646=0,0,O611/B646)</f>
        <v/>
      </c>
      <c r="Q611">
        <f>IFERROR(1/IF(Inputs!$B$40="pvp",15,MAX(0.1,Skills!D3-IF(Skills!E3=TRUE,Inputs!$B$34,0))),0)</f>
        <v/>
      </c>
      <c r="R611">
        <f>IF(AND(Inputs!$B$40&lt;&gt;"pvp",Inputs!$B$43&gt;0),(INT(Inputs!$B$43/IF(Inputs!$B$40="pvp",15,MAX(0.1,Skills!D3-IF(Skills!E3=TRUE,Inputs!$B$34,0))))+1),0)</f>
        <v/>
      </c>
      <c r="T611">
        <f>INDEX(FactorTable!$B$2:$Y$301, MATCH(ROUND(MIN(300,MAX(1,T610)),0), FactorTable!$A$2:$A$301,0), 22)</f>
        <v/>
      </c>
    </row>
    <row r="612">
      <c r="A612">
        <f>Skills!A4</f>
        <v/>
      </c>
      <c r="B612">
        <f>Skills!B4</f>
        <v/>
      </c>
      <c r="C612">
        <f>Inputs!$B$3&gt;=38</f>
        <v/>
      </c>
      <c r="D612">
        <f>IF(Skills!C4=1,60+Inputs!$B$27+Inputs!$B$31,IF(Skills!C4=2,90+Inputs!$B$28+Inputs!$B$31,IF(Skills!C4=3,120+Inputs!$B$29+Inputs!$B$31,MAX(0,(Inputs!$B$3-100)*3)+Inputs!$B$30+Inputs!$B$31)))</f>
        <v/>
      </c>
      <c r="E612">
        <f>INDEX(FactorTable!$B$2:$Y$301, MATCH(ROUND(MIN(300,MAX(1,D612)),0), FactorTable!$A$2:$A$301,0), Skills!L4+1)</f>
        <v/>
      </c>
      <c r="F612">
        <f>IF(Skills!M4=TRUE,(Skills!K4/10)*(E612/1000),Skills!K4/10)+Skills!N4</f>
        <v/>
      </c>
      <c r="G612">
        <f>Calc!G4</f>
        <v/>
      </c>
      <c r="H612">
        <f>Calc!H4</f>
        <v/>
      </c>
      <c r="I612">
        <f>IF(Skills!T4&lt;&gt;"",1+(Skills!T4/10)*($Z$3/1000)/100,1)</f>
        <v/>
      </c>
      <c r="J612" t="inlineStr"/>
      <c r="K612" t="inlineStr"/>
      <c r="L612" t="inlineStr"/>
      <c r="M612" t="inlineStr"/>
      <c r="N612" t="inlineStr"/>
      <c r="O612" t="n">
        <v>0</v>
      </c>
      <c r="P612">
        <f>IF(B646=0,0,O612/B646)</f>
        <v/>
      </c>
      <c r="Q612">
        <f>IFERROR(1/IF(Inputs!$B$40="pvp",15,MAX(0.1,Skills!D4-IF(Skills!E4=TRUE,Inputs!$B$34,0))),0)</f>
        <v/>
      </c>
      <c r="R612">
        <f>IF(AND(Inputs!$B$40&lt;&gt;"pvp",Inputs!$B$43&gt;0),(INT(Inputs!$B$43/IF(Inputs!$B$40="pvp",15,MAX(0.1,Skills!D4-IF(Skills!E4=TRUE,Inputs!$B$34,0))))+1),0)</f>
        <v/>
      </c>
      <c r="T612">
        <f>290*T611/1000</f>
        <v/>
      </c>
    </row>
    <row r="613">
      <c r="A613">
        <f>Skills!A5</f>
        <v/>
      </c>
      <c r="B613">
        <f>Skills!B5</f>
        <v/>
      </c>
      <c r="C613">
        <f>Inputs!$B$3&gt;=40</f>
        <v/>
      </c>
      <c r="D613">
        <f>IF(Skills!C5=1,60+Inputs!$B$27+Inputs!$B$31,IF(Skills!C5=2,90+Inputs!$B$28+Inputs!$B$31,IF(Skills!C5=3,120+Inputs!$B$29+Inputs!$B$31,MAX(0,(Inputs!$B$3-100)*3)+Inputs!$B$30+Inputs!$B$31)))</f>
        <v/>
      </c>
      <c r="E613">
        <f>INDEX(FactorTable!$B$2:$Y$301, MATCH(ROUND(MIN(300,MAX(1,D613)),0), FactorTable!$A$2:$A$301,0), Skills!L5+1)</f>
        <v/>
      </c>
      <c r="F613">
        <f>IF(Skills!M5=TRUE,(Skills!K5/10)*(E613/1000),Skills!K5/10)+Skills!N5</f>
        <v/>
      </c>
      <c r="G613">
        <f>Calc!G5</f>
        <v/>
      </c>
      <c r="H613">
        <f>Calc!H5</f>
        <v/>
      </c>
      <c r="I613">
        <f>IF(Skills!T5&lt;&gt;"",1+(Skills!T5/10)*($Z$3/1000)/100,1)</f>
        <v/>
      </c>
      <c r="J613" t="inlineStr"/>
      <c r="K613" t="inlineStr"/>
      <c r="L613" t="inlineStr"/>
      <c r="M613" t="inlineStr"/>
      <c r="N613" t="inlineStr"/>
      <c r="O613" t="n">
        <v>0</v>
      </c>
      <c r="P613">
        <f>IF(B646=0,0,O613/B646)</f>
        <v/>
      </c>
      <c r="Q613">
        <f>IFERROR(1/IF(Inputs!$B$40="pvp",15,MAX(0.1,Skills!D5-IF(Skills!E5=TRUE,Inputs!$B$34,0))),0)</f>
        <v/>
      </c>
      <c r="R613">
        <f>IF(AND(Inputs!$B$40&lt;&gt;"pvp",Inputs!$B$43&gt;0),(INT(Inputs!$B$43/IF(Inputs!$B$40="pvp",15,MAX(0.1,Skills!D5-IF(Skills!E5=TRUE,Inputs!$B$34,0))))+1),0)</f>
        <v/>
      </c>
    </row>
    <row r="614">
      <c r="A614">
        <f>Skills!A6</f>
        <v/>
      </c>
      <c r="B614">
        <f>Skills!B6</f>
        <v/>
      </c>
      <c r="C614">
        <f>Inputs!$B$3&gt;=103</f>
        <v/>
      </c>
      <c r="D614">
        <f>IF(Skills!C6=1,60+Inputs!$B$27+Inputs!$B$31,IF(Skills!C6=2,90+Inputs!$B$28+Inputs!$B$31,IF(Skills!C6=3,120+Inputs!$B$29+Inputs!$B$31,MAX(0,(Inputs!$B$3-100)*3)+Inputs!$B$30+Inputs!$B$31)))</f>
        <v/>
      </c>
      <c r="E614">
        <f>INDEX(FactorTable!$B$2:$Y$301, MATCH(ROUND(MIN(300,MAX(1,D614)),0), FactorTable!$A$2:$A$301,0), Skills!L6+1)</f>
        <v/>
      </c>
      <c r="F614">
        <f>IF(Skills!M6=TRUE,(Skills!K6/10)*(E614/1000),Skills!K6/10)+Skills!N6</f>
        <v/>
      </c>
      <c r="G614">
        <f>Calc!G6</f>
        <v/>
      </c>
      <c r="H614">
        <f>Calc!H6</f>
        <v/>
      </c>
      <c r="I614">
        <f>IF(Skills!T6&lt;&gt;"",1+(Skills!T6/10)*($Z$3/1000)/100,1)</f>
        <v/>
      </c>
      <c r="J614">
        <f>(Inputs!$B$7*(1+Inputs!$B$8/100))*(F614/100)</f>
        <v/>
      </c>
      <c r="K614">
        <f>J614*(1+(((Inputs!$B$14+IF(Inputs!$B$3&gt;=35,0.10*(Inputs!$B$9*(1+Inputs!$B$10/100)),0))*(1+Inputs!$B$15/100))*0.01+Inputs!$B$16*0.0025)/100)*(1+(Inputs!$B$17+B639)/100)*(1+IF(Inputs!$B$40="pvp",0,(1-Summary!$B$48)*(Inputs!$B$22+Skills!O6+B637)+Summary!$B$48*(Inputs!$B$23+Skills!P6+B638))/100)*(1+Inputs!$B$18/100)*(5000/(6000+Inputs!$B$42*(1-((1-(1-Inputs!$B$21/100)*(1-1/100))*100)/100)))*(1+Inputs!$B$26/100)*(1+IF(C625=TRUE,F625,0)/100)*(1+IF(C627=TRUE,F627,0)/100)*(1+IF(Skills!A6="TRIUMPH_FEATHER",IF(C623=TRUE,F623,0),0)/100)*(1+IF(C634=TRUE,F634,0)/100)^5*(1+(IF(Skills!A6="BIG_BANG",Inputs!$B$19,Inputs!$B$20))/100)*(B636*I614)</f>
        <v/>
      </c>
      <c r="L614">
        <f>K614*(MIN(Inputs!$B$24+(F629-Calc!F21),Inputs!$B$25)/100+Inputs!$B$25/100)/2</f>
        <v/>
      </c>
      <c r="M614">
        <f>L614*(1+(Inputs!$B$12+B640+(F632-Calc!F24))/100)</f>
        <v/>
      </c>
      <c r="N614">
        <f>L614*(1-MIN(Inputs!$B$11+((F631-Calc!F23)+(F630-Calc!F22)),100)/100)+M614*(MIN(Inputs!$B$11+((F631-Calc!F23)+(F630-Calc!F22)),100)/100)</f>
        <v/>
      </c>
      <c r="O614">
        <f>IF(C614,H614*N614*IF(AND(Inputs!$B$40&lt;&gt;"pvp",Inputs!$B$43&gt;0),((Skills!F6*((R614-1)*IF(Skills!G6&gt;0,Skills!H6/Skills!G6,1)+IF(Skills!G6&gt;0,MIN(Skills!H6,MAX(0,Inputs!$B$43-((R614-1)*IF(Inputs!$B$40="pvp",15,MAX(0.1,Skills!D6-IF(Skills!E6=TRUE,Inputs!$B$34,0))))))/Skills!G6,1)))/Inputs!$B$43),G614*Q614)*IF(Inputs!$B$40="pvp",1,(1-Summary!$B$48)*(1)+Summary!$B$48*(MIN(Skills!Q6,Inputs!$B$39))),0)</f>
        <v/>
      </c>
      <c r="P614">
        <f>IF(B646=0,0,O614/B646)</f>
        <v/>
      </c>
      <c r="Q614">
        <f>IFERROR(1/IF(Inputs!$B$40="pvp",15,MAX(0.1,Skills!D6-IF(Skills!E6=TRUE,Inputs!$B$34,0))),0)</f>
        <v/>
      </c>
      <c r="R614">
        <f>IF(AND(Inputs!$B$40&lt;&gt;"pvp",Inputs!$B$43&gt;0),(INT(Inputs!$B$43/IF(Inputs!$B$40="pvp",15,MAX(0.1,Skills!D6-IF(Skills!E6=TRUE,Inputs!$B$34,0))))+1),0)</f>
        <v/>
      </c>
    </row>
    <row r="615">
      <c r="A615">
        <f>Skills!A7</f>
        <v/>
      </c>
      <c r="B615">
        <f>Skills!B7</f>
        <v/>
      </c>
      <c r="C615">
        <f>Inputs!$B$3&gt;=122</f>
        <v/>
      </c>
      <c r="D615">
        <f>IF(Skills!C7=1,60+Inputs!$B$27+Inputs!$B$31,IF(Skills!C7=2,90+Inputs!$B$28+Inputs!$B$31,IF(Skills!C7=3,120+Inputs!$B$29+Inputs!$B$31,MAX(0,(Inputs!$B$3-100)*3)+Inputs!$B$30+Inputs!$B$31)))</f>
        <v/>
      </c>
      <c r="E615">
        <f>INDEX(FactorTable!$B$2:$Y$301, MATCH(ROUND(MIN(300,MAX(1,D615)),0), FactorTable!$A$2:$A$301,0), Skills!L7+1)</f>
        <v/>
      </c>
      <c r="F615">
        <f>IF(Skills!M7=TRUE,(Skills!K7/10)*(E615/1000),Skills!K7/10)+Skills!N7</f>
        <v/>
      </c>
      <c r="G615">
        <f>Calc!G7</f>
        <v/>
      </c>
      <c r="H615">
        <f>Calc!H7</f>
        <v/>
      </c>
      <c r="I615">
        <f>IF(Skills!T7&lt;&gt;"",1+(Skills!T7/10)*($Z$3/1000)/100,1)</f>
        <v/>
      </c>
      <c r="J615">
        <f>(Inputs!$B$7*(1+Inputs!$B$8/100))*(F615/100)</f>
        <v/>
      </c>
      <c r="K615">
        <f>J615*(1+(((Inputs!$B$14+IF(Inputs!$B$3&gt;=35,0.10*(Inputs!$B$9*(1+Inputs!$B$10/100)),0))*(1+Inputs!$B$15/100))*0.01+Inputs!$B$16*0.0025)/100)*(1+(Inputs!$B$17+B639)/100)*(1+IF(Inputs!$B$40="pvp",0,(1-Summary!$B$48)*(Inputs!$B$22+Skills!O7+B637)+Summary!$B$48*(Inputs!$B$23+Skills!P7+B638))/100)*(1+Inputs!$B$18/100)*(5000/(6000+Inputs!$B$42*(1-((1-(1-Inputs!$B$21/100)*(1-1/100))*100)/100)))*(1+Inputs!$B$26/100)*(1+IF(C625=TRUE,F625,0)/100)*(1+IF(C627=TRUE,F627,0)/100)*(1+IF(Skills!A7="TRIUMPH_FEATHER",IF(C623=TRUE,F623,0),0)/100)*(1+IF(C634=TRUE,F634,0)/100)^5*(1+(IF(Skills!A7="BIG_BANG",Inputs!$B$19,Inputs!$B$20))/100)*(B636*I615)</f>
        <v/>
      </c>
      <c r="L615">
        <f>K615*(MIN(Inputs!$B$24+(F629-Calc!F21),Inputs!$B$25)/100+Inputs!$B$25/100)/2</f>
        <v/>
      </c>
      <c r="M615">
        <f>L615*(1+(Inputs!$B$12+B640+(F632-Calc!F24))/100)</f>
        <v/>
      </c>
      <c r="N615">
        <f>L615*(1-MIN(Inputs!$B$11+((F631-Calc!F23)+(F630-Calc!F22)),100)/100)+M615*(MIN(Inputs!$B$11+((F631-Calc!F23)+(F630-Calc!F22)),100)/100)</f>
        <v/>
      </c>
      <c r="O615">
        <f>IF(C615,H615*N615*IF(AND(Inputs!$B$40&lt;&gt;"pvp",Inputs!$B$43&gt;0),((Skills!F7*((R615-1)*IF(Skills!G7&gt;0,Skills!H7/Skills!G7,1)+IF(Skills!G7&gt;0,MIN(Skills!H7,MAX(0,Inputs!$B$43-((R615-1)*IF(Inputs!$B$40="pvp",15,MAX(0.1,Skills!D7-IF(Skills!E6=TRUE,Inputs!$B$34,0))))))/Skills!G7,1)))/Inputs!$B$43),G615*Q615)*(1-Summary!$B$48),0)</f>
        <v/>
      </c>
      <c r="P615">
        <f>IF(B646=0,0,O615/B646)</f>
        <v/>
      </c>
      <c r="Q615">
        <f>IFERROR(1/IF(Inputs!$B$40="pvp",15,MAX(0.1,Skills!D7-IF(Skills!E6=TRUE,Inputs!$B$34,0))),0)</f>
        <v/>
      </c>
      <c r="R615">
        <f>IF(AND(Inputs!$B$40&lt;&gt;"pvp",Inputs!$B$43&gt;0),(INT(Inputs!$B$43/IF(Inputs!$B$40="pvp",15,MAX(0.1,Skills!D7-IF(Skills!E6=TRUE,Inputs!$B$34,0))))+1),0)</f>
        <v/>
      </c>
    </row>
    <row r="616">
      <c r="A616">
        <f>Skills!A8</f>
        <v/>
      </c>
      <c r="B616">
        <f>Skills!B8</f>
        <v/>
      </c>
      <c r="C616">
        <f>Inputs!$B$3&gt;=105</f>
        <v/>
      </c>
      <c r="D616">
        <f>IF(Skills!C8=1,60+Inputs!$B$27+Inputs!$B$31,IF(Skills!C8=2,90+Inputs!$B$28+Inputs!$B$31,IF(Skills!C8=3,120+Inputs!$B$29+Inputs!$B$31,MAX(0,(Inputs!$B$3-100)*3)+Inputs!$B$30+Inputs!$B$31)))</f>
        <v/>
      </c>
      <c r="E616">
        <f>INDEX(FactorTable!$B$2:$Y$301, MATCH(ROUND(MIN(300,MAX(1,D616)),0), FactorTable!$A$2:$A$301,0), Skills!L8+1)</f>
        <v/>
      </c>
      <c r="F616">
        <f>IF(Skills!M8=TRUE,(Skills!K8/10)*(E616/1000),Skills!K8/10)+Skills!N8</f>
        <v/>
      </c>
      <c r="G616">
        <f>Calc!G8</f>
        <v/>
      </c>
      <c r="H616">
        <f>Calc!H8</f>
        <v/>
      </c>
      <c r="I616">
        <f>IF(Skills!T8&lt;&gt;"",1+(Skills!T8/10)*($Z$3/1000)/100,1)</f>
        <v/>
      </c>
      <c r="J616">
        <f>(Inputs!$B$7*(1+Inputs!$B$8/100))*(F616/100)</f>
        <v/>
      </c>
      <c r="K616">
        <f>J616*(1+(((Inputs!$B$14+IF(Inputs!$B$3&gt;=35,0.10*(Inputs!$B$9*(1+Inputs!$B$10/100)),0))*(1+Inputs!$B$15/100))*0.01+Inputs!$B$16*0.0025)/100)*(1+(Inputs!$B$17+B639)/100)*(1+IF(Inputs!$B$40="pvp",0,(1-Summary!$B$48)*(Inputs!$B$22+Skills!O8+B637)+Summary!$B$48*(Inputs!$B$23+Skills!P8+B638))/100)*(1+Inputs!$B$18/100)*(5000/(6000+Inputs!$B$42*(1-((1-(1-Inputs!$B$21/100)*(1-1/100))*100)/100)))*(1+Inputs!$B$26/100)*(1+IF(C625=TRUE,F625,0)/100)*(1+IF(C627=TRUE,F627,0)/100)*(1+IF(Skills!A8="TRIUMPH_FEATHER",IF(C623=TRUE,F623,0),0)/100)*(1+IF(C634=TRUE,F634,0)/100)^5*(1+(IF(Skills!A8="BIG_BANG",Inputs!$B$19,Inputs!$B$20))/100)*(B636*I616)</f>
        <v/>
      </c>
      <c r="L616">
        <f>K616*(MIN(Inputs!$B$24+(F629-Calc!F21),Inputs!$B$25)/100+Inputs!$B$25/100)/2</f>
        <v/>
      </c>
      <c r="M616">
        <f>L616*(1+(Inputs!$B$12+B640+(F632-Calc!F24))/100)</f>
        <v/>
      </c>
      <c r="N616">
        <f>L616*(1-MIN(Inputs!$B$11+((F631-Calc!F23)+(F630-Calc!F22)),100)/100)+M616*(MIN(Inputs!$B$11+((F631-Calc!F23)+(F630-Calc!F22)),100)/100)</f>
        <v/>
      </c>
      <c r="O616">
        <f>IF(C616,H616*N616*IF(AND(Inputs!$B$40&lt;&gt;"pvp",Inputs!$B$43&gt;0),((Skills!F8*((R616-1)*IF(Skills!G8&gt;0,Skills!H8/Skills!G8,1)+IF(Skills!G8&gt;0,MIN(Skills!H8,MAX(0,Inputs!$B$43-((R616-1)*IF(Inputs!$B$40="pvp",15,MAX(0.1,Skills!D8-IF(Skills!E8=TRUE,Inputs!$B$34,0))))))/Skills!G8,1)))/Inputs!$B$43),G616*Q616)*IF(Inputs!$B$40="pvp",1,(1-Summary!$B$48)*(1)+Summary!$B$48*(MIN(Skills!Q8,Inputs!$B$39))),0)</f>
        <v/>
      </c>
      <c r="P616">
        <f>IF(B646=0,0,O616/B646)</f>
        <v/>
      </c>
      <c r="Q616">
        <f>IFERROR(1/IF(Inputs!$B$40="pvp",15,MAX(0.1,Skills!D8-IF(Skills!E8=TRUE,Inputs!$B$34,0))),0)</f>
        <v/>
      </c>
      <c r="R616">
        <f>IF(AND(Inputs!$B$40&lt;&gt;"pvp",Inputs!$B$43&gt;0),(INT(Inputs!$B$43/IF(Inputs!$B$40="pvp",15,MAX(0.1,Skills!D8-IF(Skills!E8=TRUE,Inputs!$B$34,0))))+1),0)</f>
        <v/>
      </c>
    </row>
    <row r="617">
      <c r="A617">
        <f>Skills!A9</f>
        <v/>
      </c>
      <c r="B617">
        <f>Skills!B9</f>
        <v/>
      </c>
      <c r="C617">
        <f>Inputs!$B$3&gt;=115</f>
        <v/>
      </c>
      <c r="D617">
        <f>IF(Skills!C9=1,60+Inputs!$B$27+Inputs!$B$31,IF(Skills!C9=2,90+Inputs!$B$28+Inputs!$B$31,IF(Skills!C9=3,120+Inputs!$B$29+Inputs!$B$31,MAX(0,(Inputs!$B$3-100)*3)+Inputs!$B$30+Inputs!$B$31)))</f>
        <v/>
      </c>
      <c r="E617">
        <f>INDEX(FactorTable!$B$2:$Y$301, MATCH(ROUND(MIN(300,MAX(1,D617)),0), FactorTable!$A$2:$A$301,0), Skills!L9+1)</f>
        <v/>
      </c>
      <c r="F617">
        <f>IF(Skills!M9=TRUE,(Skills!K9/10)*(E617/1000),Skills!K9/10)+Skills!N9</f>
        <v/>
      </c>
      <c r="G617">
        <f>Calc!G9</f>
        <v/>
      </c>
      <c r="H617">
        <f>Calc!H9</f>
        <v/>
      </c>
      <c r="I617">
        <f>IF(Skills!T9&lt;&gt;"",1+(Skills!T9/10)*($Z$3/1000)/100,1)</f>
        <v/>
      </c>
      <c r="J617">
        <f>(Inputs!$B$7*(1+Inputs!$B$8/100))*(F617/100)</f>
        <v/>
      </c>
      <c r="K617">
        <f>J617*(1+(((Inputs!$B$14+IF(Inputs!$B$3&gt;=35,0.10*(Inputs!$B$9*(1+Inputs!$B$10/100)),0))*(1+Inputs!$B$15/100))*0.01+Inputs!$B$16*0.0025)/100)*(1+(Inputs!$B$17+B639)/100)*(1+IF(Inputs!$B$40="pvp",0,(1-Summary!$B$48)*(Inputs!$B$22+Skills!O9+B637)+Summary!$B$48*(Inputs!$B$23+Skills!P9+B638))/100)*(1+Inputs!$B$18/100)*(5000/(6000+Inputs!$B$42*(1-((1-(1-Inputs!$B$21/100)*(1-1/100))*100)/100)))*(1+Inputs!$B$26/100)*(1+IF(C625=TRUE,F625,0)/100)*(1+IF(C627=TRUE,F627,0)/100)*(1+IF(Skills!A9="TRIUMPH_FEATHER",IF(C623=TRUE,F623,0),0)/100)*(1+IF(C634=TRUE,F634,0)/100)^5*(1+(IF(Skills!A9="BIG_BANG",Inputs!$B$19,Inputs!$B$20))/100)*(B636*I617)</f>
        <v/>
      </c>
      <c r="L617">
        <f>K617*(MIN(Inputs!$B$24+(F629-Calc!F21),Inputs!$B$25)/100+Inputs!$B$25/100)/2</f>
        <v/>
      </c>
      <c r="M617">
        <f>L617*(1+(Inputs!$B$12+B640+(F632-Calc!F24))/100)</f>
        <v/>
      </c>
      <c r="N617">
        <f>L617*(1-MIN(Inputs!$B$11+((F631-Calc!F23)+(F630-Calc!F22)),100)/100)+M617*(MIN(Inputs!$B$11+((F631-Calc!F23)+(F630-Calc!F22)),100)/100)</f>
        <v/>
      </c>
      <c r="O617">
        <f>IF(C617,H617*N617*IF(AND(Inputs!$B$40&lt;&gt;"pvp",Inputs!$B$43&gt;0),((Skills!F9*((R617-1)*IF(Skills!G9&gt;0,Skills!H9/Skills!G9,1)+IF(Skills!G9&gt;0,MIN(Skills!H9,MAX(0,Inputs!$B$43-((R617-1)*IF(Inputs!$B$40="pvp",15,MAX(0.1,Skills!D9-IF(Skills!E9=TRUE,Inputs!$B$34,0))))))/Skills!G9,1)))/Inputs!$B$43),G617*Q617)*IF(Inputs!$B$40="pvp",1,(1-Summary!$B$48)*(1)+Summary!$B$48*(MIN(Skills!Q9,Inputs!$B$39))),0)</f>
        <v/>
      </c>
      <c r="P617">
        <f>IF(B646=0,0,O617/B646)</f>
        <v/>
      </c>
      <c r="Q617">
        <f>IFERROR(1/IF(Inputs!$B$40="pvp",15,MAX(0.1,Skills!D9-IF(Skills!E9=TRUE,Inputs!$B$34,0))),0)</f>
        <v/>
      </c>
      <c r="R617">
        <f>IF(AND(Inputs!$B$40&lt;&gt;"pvp",Inputs!$B$43&gt;0),(INT(Inputs!$B$43/IF(Inputs!$B$40="pvp",15,MAX(0.1,Skills!D9-IF(Skills!E9=TRUE,Inputs!$B$34,0))))+1),0)</f>
        <v/>
      </c>
    </row>
    <row r="618">
      <c r="A618">
        <f>Skills!A10</f>
        <v/>
      </c>
      <c r="B618">
        <f>Skills!B10</f>
        <v/>
      </c>
      <c r="C618">
        <f>Inputs!$B$3&gt;=66</f>
        <v/>
      </c>
      <c r="D618">
        <f>IF(Skills!C10=1,60+Inputs!$B$27+Inputs!$B$31,IF(Skills!C10=2,90+Inputs!$B$28+Inputs!$B$31,IF(Skills!C10=3,120+Inputs!$B$29+Inputs!$B$31,MAX(0,(Inputs!$B$3-100)*3)+Inputs!$B$30+Inputs!$B$31)))</f>
        <v/>
      </c>
      <c r="E618">
        <f>INDEX(FactorTable!$B$2:$Y$301, MATCH(ROUND(MIN(300,MAX(1,D618)),0), FactorTable!$A$2:$A$301,0), Skills!L10+1)</f>
        <v/>
      </c>
      <c r="F618" t="n">
        <v>0</v>
      </c>
      <c r="G618">
        <f>Calc!G10</f>
        <v/>
      </c>
      <c r="H618">
        <f>Calc!H10</f>
        <v/>
      </c>
      <c r="I618">
        <f>IF(Skills!T10&lt;&gt;"",1+(Skills!T10/10)*($Z$3/1000)/100,1)</f>
        <v/>
      </c>
      <c r="J618" t="inlineStr"/>
      <c r="K618" t="inlineStr"/>
      <c r="L618" t="inlineStr"/>
      <c r="M618" t="inlineStr"/>
      <c r="N618" t="inlineStr"/>
      <c r="O618" t="n">
        <v>0</v>
      </c>
      <c r="P618">
        <f>IF(B646=0,0,O618/B646)</f>
        <v/>
      </c>
      <c r="Q618">
        <f>IFERROR(1/IF(Inputs!$B$40="pvp",15,MAX(0.1,Skills!D10-IF(Skills!E10=TRUE,Inputs!$B$34,0))),0)</f>
        <v/>
      </c>
      <c r="R618">
        <f>IF(AND(Inputs!$B$40&lt;&gt;"pvp",Inputs!$B$43&gt;0),(INT(Inputs!$B$43/IF(Inputs!$B$40="pvp",15,MAX(0.1,Skills!D10-IF(Skills!E10=TRUE,Inputs!$B$34,0))))+1),0)</f>
        <v/>
      </c>
    </row>
    <row r="619">
      <c r="A619">
        <f>Skills!A11</f>
        <v/>
      </c>
      <c r="B619">
        <f>Skills!B11</f>
        <v/>
      </c>
      <c r="C619">
        <f>Inputs!$B$3&gt;=69</f>
        <v/>
      </c>
      <c r="D619">
        <f>IF(Skills!C11=1,60+Inputs!$B$27+Inputs!$B$31,IF(Skills!C11=2,90+Inputs!$B$28+Inputs!$B$31,IF(Skills!C11=3,120+Inputs!$B$29+Inputs!$B$31,MAX(0,(Inputs!$B$3-100)*3)+Inputs!$B$30+Inputs!$B$31)))</f>
        <v/>
      </c>
      <c r="E619">
        <f>INDEX(FactorTable!$B$2:$Y$301, MATCH(ROUND(MIN(300,MAX(1,D619)),0), FactorTable!$A$2:$A$301,0), Skills!L11+1)</f>
        <v/>
      </c>
      <c r="F619">
        <f>IF(Skills!M11=TRUE,(Skills!K11/10)*(E619/1000),Skills!K11/10)+Skills!N11</f>
        <v/>
      </c>
      <c r="G619">
        <f>Calc!G11</f>
        <v/>
      </c>
      <c r="H619">
        <f>Calc!H11</f>
        <v/>
      </c>
      <c r="I619">
        <f>IF(Skills!T11&lt;&gt;"",1+(Skills!T11/10)*($Z$3/1000)/100,1)</f>
        <v/>
      </c>
      <c r="J619" t="inlineStr"/>
      <c r="K619" t="inlineStr"/>
      <c r="L619" t="inlineStr"/>
      <c r="M619" t="inlineStr"/>
      <c r="N619" t="inlineStr"/>
      <c r="O619" t="n">
        <v>0</v>
      </c>
      <c r="P619">
        <f>IF(B646=0,0,O619/B646)</f>
        <v/>
      </c>
      <c r="Q619">
        <f>IFERROR(1/IF(Inputs!$B$40="pvp",15,MAX(0.1,Skills!D11-IF(Skills!E11=TRUE,Inputs!$B$34,0))),0)</f>
        <v/>
      </c>
      <c r="R619">
        <f>IF(AND(Inputs!$B$40&lt;&gt;"pvp",Inputs!$B$43&gt;0),(INT(Inputs!$B$43/IF(Inputs!$B$40="pvp",15,MAX(0.1,Skills!D11-IF(Skills!E11=TRUE,Inputs!$B$34,0))))+1),0)</f>
        <v/>
      </c>
    </row>
    <row r="620">
      <c r="A620">
        <f>Skills!A12</f>
        <v/>
      </c>
      <c r="B620">
        <f>Skills!B12</f>
        <v/>
      </c>
      <c r="C620">
        <f>Inputs!$B$3&gt;=72</f>
        <v/>
      </c>
      <c r="D620">
        <f>IF(Skills!C12=1,60+Inputs!$B$27+Inputs!$B$31,IF(Skills!C12=2,90+Inputs!$B$28+Inputs!$B$31,IF(Skills!C12=3,120+Inputs!$B$29+Inputs!$B$31,MAX(0,(Inputs!$B$3-100)*3)+Inputs!$B$30+Inputs!$B$31)))</f>
        <v/>
      </c>
      <c r="E620">
        <f>INDEX(FactorTable!$B$2:$Y$301, MATCH(ROUND(MIN(300,MAX(1,D620)),0), FactorTable!$A$2:$A$301,0), Skills!L12+1)</f>
        <v/>
      </c>
      <c r="F620">
        <f>IF(Skills!M12=TRUE,(Skills!K12/10)*(E620/1000),Skills!K12/10)+Skills!N12</f>
        <v/>
      </c>
      <c r="G620">
        <f>Calc!G12</f>
        <v/>
      </c>
      <c r="H620">
        <f>Calc!H12</f>
        <v/>
      </c>
      <c r="I620">
        <f>IF(Skills!T12&lt;&gt;"",1+(Skills!T12/10)*($Z$3/1000)/100,1)</f>
        <v/>
      </c>
      <c r="J620" t="inlineStr"/>
      <c r="K620" t="inlineStr"/>
      <c r="L620" t="inlineStr"/>
      <c r="M620" t="inlineStr"/>
      <c r="N620" t="inlineStr"/>
      <c r="O620" t="n">
        <v>0</v>
      </c>
      <c r="P620">
        <f>IF(B646=0,0,O620/B646)</f>
        <v/>
      </c>
      <c r="Q620">
        <f>IFERROR(1/IF(Inputs!$B$40="pvp",15,MAX(0.1,Skills!D12-IF(Skills!E12=TRUE,Inputs!$B$34,0))),0)</f>
        <v/>
      </c>
      <c r="R620">
        <f>IF(AND(Inputs!$B$40&lt;&gt;"pvp",Inputs!$B$43&gt;0),(INT(Inputs!$B$43/IF(Inputs!$B$40="pvp",15,MAX(0.1,Skills!D12-IF(Skills!E12=TRUE,Inputs!$B$34,0))))+1),0)</f>
        <v/>
      </c>
    </row>
    <row r="621">
      <c r="A621">
        <f>Skills!A13</f>
        <v/>
      </c>
      <c r="B621">
        <f>Skills!B13</f>
        <v/>
      </c>
      <c r="C621">
        <f>Inputs!$B$3&gt;=107</f>
        <v/>
      </c>
      <c r="D621">
        <f>IF(Skills!C13=1,60+Inputs!$B$27+Inputs!$B$31,IF(Skills!C13=2,90+Inputs!$B$28+Inputs!$B$31,IF(Skills!C13=3,120+Inputs!$B$29+Inputs!$B$31,MAX(0,(Inputs!$B$3-100)*3)+Inputs!$B$30+Inputs!$B$31)))</f>
        <v/>
      </c>
      <c r="E621">
        <f>INDEX(FactorTable!$B$2:$Y$301, MATCH(ROUND(MIN(300,MAX(1,D621)),0), FactorTable!$A$2:$A$301,0), Skills!L13+1)</f>
        <v/>
      </c>
      <c r="F621">
        <f>IF(Skills!M13=TRUE,(Skills!K13/10)*(E621/1000),Skills!K13/10)+Skills!N13</f>
        <v/>
      </c>
      <c r="G621">
        <f>Calc!G13</f>
        <v/>
      </c>
      <c r="H621">
        <f>Calc!H13</f>
        <v/>
      </c>
      <c r="I621">
        <f>IF(Skills!T13&lt;&gt;"",1+(Skills!T13/10)*($Z$3/1000)/100,1)</f>
        <v/>
      </c>
      <c r="J621" t="inlineStr"/>
      <c r="K621" t="inlineStr"/>
      <c r="L621" t="inlineStr"/>
      <c r="M621" t="inlineStr"/>
      <c r="N621" t="inlineStr"/>
      <c r="O621" t="n">
        <v>0</v>
      </c>
      <c r="P621">
        <f>IF(B646=0,0,O621/B646)</f>
        <v/>
      </c>
      <c r="Q621">
        <f>IFERROR(1/IF(Inputs!$B$40="pvp",15,MAX(0.1,Skills!D13-IF(Skills!E13=TRUE,Inputs!$B$34,0))),0)</f>
        <v/>
      </c>
      <c r="R621">
        <f>IF(AND(Inputs!$B$40&lt;&gt;"pvp",Inputs!$B$43&gt;0),(INT(Inputs!$B$43/IF(Inputs!$B$40="pvp",15,MAX(0.1,Skills!D13-IF(Skills!E13=TRUE,Inputs!$B$34,0))))+1),0)</f>
        <v/>
      </c>
    </row>
    <row r="622">
      <c r="A622">
        <f>Skills!A14</f>
        <v/>
      </c>
      <c r="B622">
        <f>Skills!B14</f>
        <v/>
      </c>
      <c r="C622">
        <f>Inputs!$B$3&gt;=63</f>
        <v/>
      </c>
      <c r="D622">
        <f>IF(Skills!C14=1,60+Inputs!$B$27+Inputs!$B$31,IF(Skills!C14=2,90+Inputs!$B$28+Inputs!$B$31,IF(Skills!C14=3,120+Inputs!$B$29+Inputs!$B$31,MAX(0,(Inputs!$B$3-100)*3)+Inputs!$B$30+Inputs!$B$31)))</f>
        <v/>
      </c>
      <c r="E622">
        <f>INDEX(FactorTable!$B$2:$Y$301, MATCH(ROUND(MIN(300,MAX(1,D622)),0), FactorTable!$A$2:$A$301,0), Skills!L14+1)</f>
        <v/>
      </c>
      <c r="F622">
        <f>IF(Skills!M14=TRUE,(Skills!K14/10)*(E622/1000),Skills!K14/10)+Skills!N14</f>
        <v/>
      </c>
      <c r="G622">
        <f>Calc!G14</f>
        <v/>
      </c>
      <c r="H622">
        <f>Calc!H14</f>
        <v/>
      </c>
      <c r="I622">
        <f>IF(Skills!T14&lt;&gt;"",1+(Skills!T14/10)*($Z$3/1000)/100,1)</f>
        <v/>
      </c>
      <c r="J622">
        <f>(Inputs!$B$7*(1+Inputs!$B$8/100))*(F622/100)</f>
        <v/>
      </c>
      <c r="K622">
        <f>J622*(1+(((Inputs!$B$14+IF(Inputs!$B$3&gt;=35,0.10*(Inputs!$B$9*(1+Inputs!$B$10/100)),0))*(1+Inputs!$B$15/100))*0.01+Inputs!$B$16*0.0025)/100)*(1+(Inputs!$B$17+B639)/100)*(1+IF(Inputs!$B$40="pvp",0,(1-Summary!$B$48)*(Inputs!$B$22+Skills!O14+B637)+Summary!$B$48*(Inputs!$B$23+Skills!P14+B638))/100)*(1+Inputs!$B$18/100)*(5000/(6000+Inputs!$B$42*(1-((1-(1-Inputs!$B$21/100)*(1-1/100))*100)/100)))*(1+Inputs!$B$26/100)*(1+IF(C625=TRUE,F625,0)/100)*(1+IF(C627=TRUE,F627,0)/100)*(1+IF(Skills!A14="TRIUMPH_FEATHER",IF(C623=TRUE,F623,0),0)/100)*(1+IF(C634=TRUE,F634,0)/100)^5*(1+(IF(Skills!A14="BIG_BANG",Inputs!$B$19,Inputs!$B$20))/100)*(B636*I622)</f>
        <v/>
      </c>
      <c r="L622">
        <f>K622*(MIN(Inputs!$B$24+(F629-Calc!F21),Inputs!$B$25)/100+Inputs!$B$25/100)/2</f>
        <v/>
      </c>
      <c r="M622">
        <f>L622*(1+(Inputs!$B$12+B640+(F632-Calc!F24))/100)</f>
        <v/>
      </c>
      <c r="N622">
        <f>L622*(1-MIN(Inputs!$B$11+((F631-Calc!F23)+(F630-Calc!F22)),100)/100)+M622*(MIN(Inputs!$B$11+((F631-Calc!F23)+(F630-Calc!F22)),100)/100)</f>
        <v/>
      </c>
      <c r="O622">
        <f>IF(C622,Skills!F14*N622*((IF(Inputs!$B$3&gt;=78,25,15)/100*B642*10)/(1+IF(Inputs!$B$3&gt;=78,25,15)/100*B642*10))*(Skills!I14/100*B642)/(1+Skills!G14*Skills!I14/100*B642)*IF(Inputs!$B$40="pvp",1,(1-Summary!$B$48)*(1)+Summary!$B$48*(MIN(Skills!Q14,Inputs!$B$39))),0)</f>
        <v/>
      </c>
      <c r="P622">
        <f>IF(B646=0,0,O622/B646)</f>
        <v/>
      </c>
      <c r="Q622">
        <f>IFERROR(1/IF(Inputs!$B$40="pvp",15,MAX(0.1,Skills!D14-IF(Skills!E14=TRUE,Inputs!$B$34,0))),0)</f>
        <v/>
      </c>
      <c r="R622" t="n">
        <v>0</v>
      </c>
    </row>
    <row r="623">
      <c r="A623">
        <f>Skills!A15</f>
        <v/>
      </c>
      <c r="B623">
        <f>Skills!B15</f>
        <v/>
      </c>
      <c r="C623">
        <f>Inputs!$B$3&gt;=100</f>
        <v/>
      </c>
      <c r="D623">
        <f>IF(Skills!C15=1,60+Inputs!$B$27+Inputs!$B$31,IF(Skills!C15=2,90+Inputs!$B$28+Inputs!$B$31,IF(Skills!C15=3,120+Inputs!$B$29+Inputs!$B$31,MAX(0,(Inputs!$B$3-100)*3)+Inputs!$B$30+Inputs!$B$31)))</f>
        <v/>
      </c>
      <c r="E623">
        <f>INDEX(FactorTable!$B$2:$Y$301, MATCH(ROUND(MIN(300,MAX(1,D623)),0), FactorTable!$A$2:$A$301,0), Skills!L15+1)</f>
        <v/>
      </c>
      <c r="F623">
        <f>IF(Skills!M15=TRUE,(Skills!K15/10)*(E623/1000),Skills!K15/10)+Skills!N15</f>
        <v/>
      </c>
      <c r="G623">
        <f>Calc!G15</f>
        <v/>
      </c>
      <c r="H623">
        <f>Calc!H15</f>
        <v/>
      </c>
      <c r="I623">
        <f>IF(Skills!T15&lt;&gt;"",1+(Skills!T15/10)*($Z$3/1000)/100,1)</f>
        <v/>
      </c>
      <c r="J623" t="inlineStr"/>
      <c r="K623" t="inlineStr"/>
      <c r="L623" t="inlineStr"/>
      <c r="M623" t="inlineStr"/>
      <c r="N623" t="inlineStr"/>
      <c r="O623" t="n">
        <v>0</v>
      </c>
      <c r="P623">
        <f>IF(B646=0,0,O623/B646)</f>
        <v/>
      </c>
      <c r="Q623">
        <f>IFERROR(1/IF(Inputs!$B$40="pvp",15,MAX(0.1,Skills!D15-IF(Skills!E15=TRUE,Inputs!$B$34,0))),0)</f>
        <v/>
      </c>
      <c r="R623" t="n">
        <v>0</v>
      </c>
    </row>
    <row r="624">
      <c r="A624">
        <f>Skills!A16</f>
        <v/>
      </c>
      <c r="B624">
        <f>Skills!B16</f>
        <v/>
      </c>
      <c r="C624">
        <f>Inputs!$B$3&gt;=49</f>
        <v/>
      </c>
      <c r="D624">
        <f>IF(Skills!C16=1,60+Inputs!$B$27+Inputs!$B$31,IF(Skills!C16=2,90+Inputs!$B$28+Inputs!$B$31,IF(Skills!C16=3,120+Inputs!$B$29+Inputs!$B$31,MAX(0,(Inputs!$B$3-100)*3)+Inputs!$B$30+Inputs!$B$31)))</f>
        <v/>
      </c>
      <c r="E624">
        <f>INDEX(FactorTable!$B$2:$Y$301, MATCH(ROUND(MIN(300,MAX(1,D624)),0), FactorTable!$A$2:$A$301,0), Skills!L16+1)</f>
        <v/>
      </c>
      <c r="F624">
        <f>IF(Skills!M16=TRUE,(Skills!K16/10)*(E624/1000),Skills!K16/10)+Skills!N16</f>
        <v/>
      </c>
      <c r="G624">
        <f>Calc!G16</f>
        <v/>
      </c>
      <c r="H624">
        <f>Calc!H16</f>
        <v/>
      </c>
      <c r="I624">
        <f>IF(Skills!T16&lt;&gt;"",1+(Skills!T16/10)*($Z$3/1000)/100,1)</f>
        <v/>
      </c>
      <c r="J624" t="inlineStr"/>
      <c r="K624" t="inlineStr"/>
      <c r="L624" t="inlineStr"/>
      <c r="M624" t="inlineStr"/>
      <c r="N624" t="inlineStr"/>
      <c r="O624" t="n">
        <v>0</v>
      </c>
      <c r="P624">
        <f>IF(B646=0,0,O624/B646)</f>
        <v/>
      </c>
      <c r="Q624">
        <f>IFERROR(1/IF(Inputs!$B$40="pvp",15,MAX(0.1,Skills!D16-IF(Skills!E16=TRUE,Inputs!$B$34,0))),0)</f>
        <v/>
      </c>
      <c r="R624" t="n">
        <v>0</v>
      </c>
    </row>
    <row r="625">
      <c r="A625">
        <f>Skills!A17</f>
        <v/>
      </c>
      <c r="B625">
        <f>Skills!B17</f>
        <v/>
      </c>
      <c r="C625">
        <f>Inputs!$B$3&gt;=75</f>
        <v/>
      </c>
      <c r="D625">
        <f>IF(Skills!C17=1,60+Inputs!$B$27+Inputs!$B$31,IF(Skills!C17=2,90+Inputs!$B$28+Inputs!$B$31,IF(Skills!C17=3,120+Inputs!$B$29+Inputs!$B$31,MAX(0,(Inputs!$B$3-100)*3)+Inputs!$B$30+Inputs!$B$31)))</f>
        <v/>
      </c>
      <c r="E625">
        <f>INDEX(FactorTable!$B$2:$Y$301, MATCH(ROUND(MIN(300,MAX(1,D625)),0), FactorTable!$A$2:$A$301,0), Skills!L17+1)</f>
        <v/>
      </c>
      <c r="F625">
        <f>IF(Skills!M17=TRUE,(Skills!K17/10)*(E625/1000),Skills!K17/10)+Skills!N17</f>
        <v/>
      </c>
      <c r="G625">
        <f>Calc!G17</f>
        <v/>
      </c>
      <c r="H625">
        <f>Calc!H17</f>
        <v/>
      </c>
      <c r="I625">
        <f>IF(Skills!T17&lt;&gt;"",1+(Skills!T17/10)*($Z$3/1000)/100,1)</f>
        <v/>
      </c>
      <c r="J625" t="inlineStr"/>
      <c r="K625" t="inlineStr"/>
      <c r="L625" t="inlineStr"/>
      <c r="M625" t="inlineStr"/>
      <c r="N625" t="inlineStr"/>
      <c r="O625" t="n">
        <v>0</v>
      </c>
      <c r="P625">
        <f>IF(B646=0,0,O625/B646)</f>
        <v/>
      </c>
      <c r="Q625">
        <f>IFERROR(1/IF(Inputs!$B$40="pvp",15,MAX(0.1,Skills!D17-IF(Skills!E17=TRUE,Inputs!$B$34,0))),0)</f>
        <v/>
      </c>
      <c r="R625" t="n">
        <v>0</v>
      </c>
    </row>
    <row r="626">
      <c r="A626">
        <f>Skills!A18</f>
        <v/>
      </c>
      <c r="B626">
        <f>Skills!B18</f>
        <v/>
      </c>
      <c r="C626">
        <f>Inputs!$B$3&gt;=110</f>
        <v/>
      </c>
      <c r="D626">
        <f>IF(Skills!C18=1,60+Inputs!$B$27+Inputs!$B$31,IF(Skills!C18=2,90+Inputs!$B$28+Inputs!$B$31,IF(Skills!C18=3,120+Inputs!$B$29+Inputs!$B$31,MAX(0,(Inputs!$B$3-100)*3)+Inputs!$B$30+Inputs!$B$31)))</f>
        <v/>
      </c>
      <c r="E626">
        <f>INDEX(FactorTable!$B$2:$Y$301, MATCH(ROUND(MIN(300,MAX(1,D626)),0), FactorTable!$A$2:$A$301,0), Skills!L18+1)</f>
        <v/>
      </c>
      <c r="F626">
        <f>(Skills!K18/10)*(E626/1000)*64/45+Skills!N18</f>
        <v/>
      </c>
      <c r="G626">
        <f>Calc!G18</f>
        <v/>
      </c>
      <c r="H626">
        <f>Calc!H18</f>
        <v/>
      </c>
      <c r="I626">
        <f>IF(Skills!T18&lt;&gt;"",1+(Skills!T18/10)*($Z$3/1000)/100,1)</f>
        <v/>
      </c>
      <c r="J626" t="inlineStr"/>
      <c r="K626" t="inlineStr"/>
      <c r="L626" t="inlineStr"/>
      <c r="M626" t="inlineStr"/>
      <c r="N626" t="inlineStr"/>
      <c r="O626" t="n">
        <v>0</v>
      </c>
      <c r="P626">
        <f>IF(B646=0,0,O626/B646)</f>
        <v/>
      </c>
      <c r="Q626">
        <f>IFERROR(1/IF(Inputs!$B$40="pvp",15,MAX(0.1,Skills!D18-IF(Skills!E18=TRUE,Inputs!$B$34,0))),0)</f>
        <v/>
      </c>
      <c r="R626">
        <f>IF(AND(Inputs!$B$40&lt;&gt;"pvp",Inputs!$B$43&gt;0),(INT(Inputs!$B$43/IF(Inputs!$B$40="pvp",15,MAX(0.1,Skills!D18-IF(Skills!E18=TRUE,Inputs!$B$34,0))))+1),0)</f>
        <v/>
      </c>
    </row>
    <row r="627">
      <c r="A627">
        <f>Skills!A19</f>
        <v/>
      </c>
      <c r="B627">
        <f>Skills!B19</f>
        <v/>
      </c>
      <c r="C627">
        <f>Inputs!$B$3&gt;=125</f>
        <v/>
      </c>
      <c r="D627">
        <f>IF(Skills!C19=1,60+Inputs!$B$27+Inputs!$B$31,IF(Skills!C19=2,90+Inputs!$B$28+Inputs!$B$31,IF(Skills!C19=3,120+Inputs!$B$29+Inputs!$B$31,MAX(0,(Inputs!$B$3-100)*3)+Inputs!$B$30+Inputs!$B$31)))</f>
        <v/>
      </c>
      <c r="E627">
        <f>INDEX(FactorTable!$B$2:$Y$301, MATCH(ROUND(MIN(300,MAX(1,D627)),0), FactorTable!$A$2:$A$301,0), Skills!L19+1)</f>
        <v/>
      </c>
      <c r="F627">
        <f>IF(Skills!M19=TRUE,(Skills!K19/10)*(E627/1000),Skills!K19/10)+Skills!N19</f>
        <v/>
      </c>
      <c r="G627">
        <f>Calc!G19</f>
        <v/>
      </c>
      <c r="H627">
        <f>Calc!H19</f>
        <v/>
      </c>
      <c r="I627">
        <f>IF(Skills!T19&lt;&gt;"",1+(Skills!T19/10)*($Z$3/1000)/100,1)</f>
        <v/>
      </c>
      <c r="J627" t="inlineStr"/>
      <c r="K627" t="inlineStr"/>
      <c r="L627" t="inlineStr"/>
      <c r="M627" t="inlineStr"/>
      <c r="N627" t="inlineStr"/>
      <c r="O627" t="n">
        <v>0</v>
      </c>
      <c r="P627">
        <f>IF(B646=0,0,O627/B646)</f>
        <v/>
      </c>
      <c r="Q627">
        <f>IFERROR(1/IF(Inputs!$B$40="pvp",15,MAX(0.1,Skills!D19-IF(Skills!E19=TRUE,Inputs!$B$34,0))),0)</f>
        <v/>
      </c>
      <c r="R627" t="n">
        <v>0</v>
      </c>
    </row>
    <row r="628">
      <c r="A628">
        <f>Skills!A20</f>
        <v/>
      </c>
      <c r="B628">
        <f>Skills!B20</f>
        <v/>
      </c>
      <c r="C628">
        <f>Inputs!$B$3&gt;=33</f>
        <v/>
      </c>
      <c r="D628">
        <f>IF(Skills!C20=1,60+Inputs!$B$27+Inputs!$B$31,IF(Skills!C20=2,90+Inputs!$B$28+Inputs!$B$31,IF(Skills!C20=3,120+Inputs!$B$29+Inputs!$B$31,MAX(0,(Inputs!$B$3-100)*3)+Inputs!$B$30+Inputs!$B$31)))</f>
        <v/>
      </c>
      <c r="E628">
        <f>INDEX(FactorTable!$B$2:$Y$301, MATCH(ROUND(MIN(300,MAX(1,D628)),0), FactorTable!$A$2:$A$301,0), Skills!L20+1)</f>
        <v/>
      </c>
      <c r="F628">
        <f>IF(Skills!M20=TRUE,(Skills!K20/10)*(E628/1000),Skills!K20/10)+Skills!N20</f>
        <v/>
      </c>
      <c r="G628">
        <f>Calc!G20</f>
        <v/>
      </c>
      <c r="H628">
        <f>Calc!H20</f>
        <v/>
      </c>
      <c r="I628">
        <f>IF(Skills!T20&lt;&gt;"",1+(Skills!T20/10)*($Z$3/1000)/100,1)</f>
        <v/>
      </c>
      <c r="J628" t="inlineStr"/>
      <c r="K628" t="inlineStr"/>
      <c r="L628" t="inlineStr"/>
      <c r="M628" t="inlineStr"/>
      <c r="N628" t="inlineStr"/>
      <c r="O628" t="n">
        <v>0</v>
      </c>
      <c r="P628">
        <f>IF(B646=0,0,O628/B646)</f>
        <v/>
      </c>
      <c r="Q628">
        <f>IFERROR(1/IF(Inputs!$B$40="pvp",15,MAX(0.1,Skills!D20-IF(Skills!E20=TRUE,Inputs!$B$34,0))),0)</f>
        <v/>
      </c>
      <c r="R628" t="n">
        <v>0</v>
      </c>
    </row>
    <row r="629">
      <c r="A629">
        <f>Skills!A21</f>
        <v/>
      </c>
      <c r="B629">
        <f>Skills!B21</f>
        <v/>
      </c>
      <c r="C629">
        <f>Inputs!$B$3&gt;=43</f>
        <v/>
      </c>
      <c r="D629">
        <f>IF(Skills!C21=1,60+Inputs!$B$27+Inputs!$B$31,IF(Skills!C21=2,90+Inputs!$B$28+Inputs!$B$31,IF(Skills!C21=3,120+Inputs!$B$29+Inputs!$B$31,MAX(0,(Inputs!$B$3-100)*3)+Inputs!$B$30+Inputs!$B$31)))</f>
        <v/>
      </c>
      <c r="E629">
        <f>INDEX(FactorTable!$B$2:$Y$301, MATCH(ROUND(MIN(300,MAX(1,D629)),0), FactorTable!$A$2:$A$301,0), Skills!L21+1)</f>
        <v/>
      </c>
      <c r="F629">
        <f>IF(Skills!M21=TRUE,(Skills!K21/10)*(E629/1000),Skills!K21/10)+Skills!N21</f>
        <v/>
      </c>
      <c r="G629">
        <f>Calc!G21</f>
        <v/>
      </c>
      <c r="H629">
        <f>Calc!H21</f>
        <v/>
      </c>
      <c r="I629">
        <f>IF(Skills!T21&lt;&gt;"",1+(Skills!T21/10)*($Z$3/1000)/100,1)</f>
        <v/>
      </c>
      <c r="J629" t="inlineStr"/>
      <c r="K629" t="inlineStr"/>
      <c r="L629" t="inlineStr"/>
      <c r="M629" t="inlineStr"/>
      <c r="N629" t="inlineStr"/>
      <c r="O629" t="n">
        <v>0</v>
      </c>
      <c r="P629">
        <f>IF(B646=0,0,O629/B646)</f>
        <v/>
      </c>
      <c r="Q629">
        <f>IFERROR(1/IF(Inputs!$B$40="pvp",15,MAX(0.1,Skills!D21-IF(Skills!E21=TRUE,Inputs!$B$34,0))),0)</f>
        <v/>
      </c>
      <c r="R629" t="n">
        <v>0</v>
      </c>
    </row>
    <row r="630">
      <c r="A630">
        <f>Skills!A22</f>
        <v/>
      </c>
      <c r="B630">
        <f>Skills!B22</f>
        <v/>
      </c>
      <c r="C630">
        <f>Inputs!$B$3&gt;=50</f>
        <v/>
      </c>
      <c r="D630">
        <f>IF(Skills!C22=1,60+Inputs!$B$27+Inputs!$B$31,IF(Skills!C22=2,90+Inputs!$B$28+Inputs!$B$31,IF(Skills!C22=3,120+Inputs!$B$29+Inputs!$B$31,MAX(0,(Inputs!$B$3-100)*3)+Inputs!$B$30+Inputs!$B$31)))</f>
        <v/>
      </c>
      <c r="E630">
        <f>INDEX(FactorTable!$B$2:$Y$301, MATCH(ROUND(MIN(300,MAX(1,D630)),0), FactorTable!$A$2:$A$301,0), Skills!L22+1)</f>
        <v/>
      </c>
      <c r="F630">
        <f>IF(Skills!M22=TRUE,(Skills!K22/10)*(E630/1000),Skills!K22/10)+Skills!N22</f>
        <v/>
      </c>
      <c r="G630">
        <f>Calc!G22</f>
        <v/>
      </c>
      <c r="H630">
        <f>Calc!H22</f>
        <v/>
      </c>
      <c r="I630">
        <f>IF(Skills!T22&lt;&gt;"",1+(Skills!T22/10)*($Z$3/1000)/100,1)</f>
        <v/>
      </c>
      <c r="J630" t="inlineStr"/>
      <c r="K630" t="inlineStr"/>
      <c r="L630" t="inlineStr"/>
      <c r="M630" t="inlineStr"/>
      <c r="N630" t="inlineStr"/>
      <c r="O630" t="n">
        <v>0</v>
      </c>
      <c r="P630">
        <f>IF(B646=0,0,O630/B646)</f>
        <v/>
      </c>
      <c r="Q630">
        <f>IFERROR(1/IF(Inputs!$B$40="pvp",15,MAX(0.1,Skills!D22-IF(Skills!E22=TRUE,Inputs!$B$34,0))),0)</f>
        <v/>
      </c>
      <c r="R630" t="n">
        <v>0</v>
      </c>
    </row>
    <row r="631">
      <c r="A631">
        <f>Skills!A23</f>
        <v/>
      </c>
      <c r="B631">
        <f>Skills!B23</f>
        <v/>
      </c>
      <c r="C631">
        <f>Inputs!$B$3&gt;=74</f>
        <v/>
      </c>
      <c r="D631">
        <f>IF(Skills!C23=1,60+Inputs!$B$27+Inputs!$B$31,IF(Skills!C23=2,90+Inputs!$B$28+Inputs!$B$31,IF(Skills!C23=3,120+Inputs!$B$29+Inputs!$B$31,MAX(0,(Inputs!$B$3-100)*3)+Inputs!$B$30+Inputs!$B$31)))</f>
        <v/>
      </c>
      <c r="E631">
        <f>INDEX(FactorTable!$B$2:$Y$301, MATCH(ROUND(MIN(300,MAX(1,D631)),0), FactorTable!$A$2:$A$301,0), Skills!L23+1)</f>
        <v/>
      </c>
      <c r="F631">
        <f>IF(Skills!M23=TRUE,(Skills!K23/10)*(E631/1000),Skills!K23/10)+Skills!N23</f>
        <v/>
      </c>
      <c r="G631">
        <f>Calc!G23</f>
        <v/>
      </c>
      <c r="H631">
        <f>Calc!H23</f>
        <v/>
      </c>
      <c r="I631">
        <f>IF(Skills!T23&lt;&gt;"",1+(Skills!T23/10)*($Z$3/1000)/100,1)</f>
        <v/>
      </c>
      <c r="J631" t="inlineStr"/>
      <c r="K631" t="inlineStr"/>
      <c r="L631" t="inlineStr"/>
      <c r="M631" t="inlineStr"/>
      <c r="N631" t="inlineStr"/>
      <c r="O631" t="n">
        <v>0</v>
      </c>
      <c r="P631">
        <f>IF(B646=0,0,O631/B646)</f>
        <v/>
      </c>
      <c r="Q631">
        <f>IFERROR(1/IF(Inputs!$B$40="pvp",15,MAX(0.1,Skills!D23-IF(Skills!E23=TRUE,Inputs!$B$34,0))),0)</f>
        <v/>
      </c>
      <c r="R631" t="n">
        <v>0</v>
      </c>
    </row>
    <row r="632">
      <c r="A632">
        <f>Skills!A24</f>
        <v/>
      </c>
      <c r="B632">
        <f>Skills!B24</f>
        <v/>
      </c>
      <c r="C632">
        <f>Inputs!$B$3&gt;=74</f>
        <v/>
      </c>
      <c r="D632">
        <f>IF(Skills!C24=1,60+Inputs!$B$27+Inputs!$B$31,IF(Skills!C24=2,90+Inputs!$B$28+Inputs!$B$31,IF(Skills!C24=3,120+Inputs!$B$29+Inputs!$B$31,MAX(0,(Inputs!$B$3-100)*3)+Inputs!$B$30+Inputs!$B$31)))</f>
        <v/>
      </c>
      <c r="E632">
        <f>INDEX(FactorTable!$B$2:$Y$301, MATCH(ROUND(MIN(300,MAX(1,D632)),0), FactorTable!$A$2:$A$301,0), Skills!L24+1)</f>
        <v/>
      </c>
      <c r="F632">
        <f>IF(Skills!M24=TRUE,(Skills!K24/10)*(E632/1000),Skills!K24/10)+Skills!N24</f>
        <v/>
      </c>
      <c r="G632">
        <f>Calc!G24</f>
        <v/>
      </c>
      <c r="H632">
        <f>Calc!H24</f>
        <v/>
      </c>
      <c r="I632">
        <f>IF(Skills!T24&lt;&gt;"",1+(Skills!T24/10)*($Z$3/1000)/100,1)</f>
        <v/>
      </c>
      <c r="J632" t="inlineStr"/>
      <c r="K632" t="inlineStr"/>
      <c r="L632" t="inlineStr"/>
      <c r="M632" t="inlineStr"/>
      <c r="N632" t="inlineStr"/>
      <c r="O632" t="n">
        <v>0</v>
      </c>
      <c r="P632">
        <f>IF(B646=0,0,O632/B646)</f>
        <v/>
      </c>
      <c r="Q632">
        <f>IFERROR(1/IF(Inputs!$B$40="pvp",15,MAX(0.1,Skills!D24-IF(Skills!E24=TRUE,Inputs!$B$34,0))),0)</f>
        <v/>
      </c>
      <c r="R632" t="n">
        <v>0</v>
      </c>
    </row>
    <row r="633">
      <c r="A633">
        <f>Skills!A25</f>
        <v/>
      </c>
      <c r="B633">
        <f>Skills!B25</f>
        <v/>
      </c>
      <c r="C633">
        <f>Inputs!$B$3&gt;=117</f>
        <v/>
      </c>
      <c r="D633">
        <f>IF(Skills!C25=1,60+Inputs!$B$27+Inputs!$B$31,IF(Skills!C25=2,90+Inputs!$B$28+Inputs!$B$31,IF(Skills!C25=3,120+Inputs!$B$29+Inputs!$B$31,MAX(0,(Inputs!$B$3-100)*3)+Inputs!$B$30+Inputs!$B$31)))</f>
        <v/>
      </c>
      <c r="E633">
        <f>INDEX(FactorTable!$B$2:$Y$301, MATCH(ROUND(MIN(300,MAX(1,D633)),0), FactorTable!$A$2:$A$301,0), Skills!L25+1)</f>
        <v/>
      </c>
      <c r="F633">
        <f>IF(Skills!M25=TRUE,(Skills!K25/10)*(E633/1000),Skills!K25/10)+Skills!N25</f>
        <v/>
      </c>
      <c r="G633">
        <f>Calc!G25</f>
        <v/>
      </c>
      <c r="H633">
        <f>Calc!H25</f>
        <v/>
      </c>
      <c r="I633">
        <f>IF(Skills!T25&lt;&gt;"",1+(Skills!T25/10)*($Z$3/1000)/100,1)</f>
        <v/>
      </c>
      <c r="J633" t="inlineStr"/>
      <c r="K633" t="inlineStr"/>
      <c r="L633" t="inlineStr"/>
      <c r="M633" t="inlineStr"/>
      <c r="N633" t="inlineStr"/>
      <c r="O633" t="n">
        <v>0</v>
      </c>
      <c r="P633">
        <f>IF(B646=0,0,O633/B646)</f>
        <v/>
      </c>
      <c r="Q633">
        <f>IFERROR(1/IF(Inputs!$B$40="pvp",15,MAX(0.1,Skills!D25-IF(Skills!E25=TRUE,Inputs!$B$34,0))),0)</f>
        <v/>
      </c>
      <c r="R633" t="n">
        <v>0</v>
      </c>
    </row>
    <row r="634">
      <c r="A634">
        <f>Skills!A26</f>
        <v/>
      </c>
      <c r="B634">
        <f>Skills!B26</f>
        <v/>
      </c>
      <c r="C634">
        <f>Inputs!$B$3&gt;=120</f>
        <v/>
      </c>
      <c r="D634">
        <f>IF(Skills!C26=1,60+Inputs!$B$27+Inputs!$B$31,IF(Skills!C26=2,90+Inputs!$B$28+Inputs!$B$31,IF(Skills!C26=3,120+Inputs!$B$29+Inputs!$B$31,MAX(0,(Inputs!$B$3-100)*3)+Inputs!$B$30+Inputs!$B$31)))</f>
        <v/>
      </c>
      <c r="E634">
        <f>INDEX(FactorTable!$B$2:$Y$301, MATCH(ROUND(MIN(300,MAX(1,D634)),0), FactorTable!$A$2:$A$301,0), Skills!L26+1)</f>
        <v/>
      </c>
      <c r="F634">
        <f>IF(Skills!M26=TRUE,(Skills!K26/10)*(E634/1000),Skills!K26/10)+Skills!N26</f>
        <v/>
      </c>
      <c r="G634">
        <f>Calc!G26</f>
        <v/>
      </c>
      <c r="H634">
        <f>Calc!H26</f>
        <v/>
      </c>
      <c r="I634">
        <f>IF(Skills!T26&lt;&gt;"",1+(Skills!T26/10)*($Z$3/1000)/100,1)</f>
        <v/>
      </c>
      <c r="J634" t="inlineStr"/>
      <c r="K634" t="inlineStr"/>
      <c r="L634" t="inlineStr"/>
      <c r="M634" t="inlineStr"/>
      <c r="N634" t="inlineStr"/>
      <c r="O634" t="n">
        <v>0</v>
      </c>
      <c r="P634">
        <f>IF(B646=0,0,O634/B646)</f>
        <v/>
      </c>
      <c r="Q634">
        <f>IFERROR(1/IF(Inputs!$B$40="pvp",15,MAX(0.1,Skills!D26-IF(Skills!E26=TRUE,Inputs!$B$34,0))),0)</f>
        <v/>
      </c>
      <c r="R634" t="n">
        <v>0</v>
      </c>
    </row>
    <row r="636">
      <c r="A636" t="inlineStr">
        <is>
          <t>Average Buff Multiplier</t>
        </is>
      </c>
      <c r="B636">
        <f>(1+(IF(C611=TRUE,F611*IF(AND(Inputs!$B$40&lt;&gt;"pvp",Inputs!$B$43&gt;0),(((R611-1)*(Skills!S3*(1+(Inputs!$B$36+IF(Inputs!$B$3&gt;=117,F633,0))/100))+MIN((Skills!S3*(1+(Inputs!$B$36+IF(Inputs!$B$3&gt;=117,F633,0))/100)),MAX(0,Inputs!$B$43-((R611-1)*Skills!D3))))/Inputs!$B$43),IF(Inputs!$B$40="pvp",MIN((Skills!S3*(1+(Inputs!$B$36+IF(Inputs!$B$3&gt;=117,F633,0))/100)),15)/15,(Skills!S3*(1+(Inputs!$B$36+IF(Inputs!$B$3&gt;=117,F633,0))/100))/Skills!D3)),0)+IF(C612=TRUE,F612*IF(AND(Inputs!$B$40&lt;&gt;"pvp",Inputs!$B$43&gt;0),(((R612-1)*(Skills!S4*(1+(Inputs!$B$36+IF(Inputs!$B$3&gt;=117,F633,0))/100))+MIN((Skills!S4*(1+(Inputs!$B$36+IF(Inputs!$B$3&gt;=117,F633,0))/100)),MAX(0,Inputs!$B$43-((R612-1)*Skills!D4))))/Inputs!$B$43),IF(Inputs!$B$40="pvp",MIN((Skills!S4*(1+(Inputs!$B$36+IF(Inputs!$B$3&gt;=117,F633,0))/100)),15)/15,(Skills!S4*(1+(Inputs!$B$36+IF(Inputs!$B$3&gt;=117,F633,0))/100))/Skills!D4)),0)+IF(C613=TRUE,F613*IF(AND(Inputs!$B$40&lt;&gt;"pvp",Inputs!$B$43&gt;0),(((R613-1)*(Skills!S5*(1+(Inputs!$B$36+IF(Inputs!$B$3&gt;=117,F633,0))/100))+MIN((Skills!S5*(1+(Inputs!$B$36+IF(Inputs!$B$3&gt;=117,F633,0))/100)),MAX(0,Inputs!$B$43-((R613-1)*Skills!D5))))/Inputs!$B$43),IF(Inputs!$B$40="pvp",MIN((Skills!S5*(1+(Inputs!$B$36+IF(Inputs!$B$3&gt;=117,F633,0))/100)),15)/15,(Skills!S5*(1+(Inputs!$B$36+IF(Inputs!$B$3&gt;=117,F633,0))/100))/Skills!D5)),0)+IF(C619=TRUE,F619*IF(AND(Inputs!$B$40&lt;&gt;"pvp",Inputs!$B$43&gt;0),(((R619-1)*(Skills!S11*(1+(Inputs!$B$36+IF(Inputs!$B$3&gt;=117,F633,0))/100))+MIN((Skills!S11*(1+(Inputs!$B$36+IF(Inputs!$B$3&gt;=117,F633,0))/100)),MAX(0,Inputs!$B$43-((R619-1)*Skills!D11))))/Inputs!$B$43),IF(Inputs!$B$40="pvp",MIN((Skills!S11*(1+(Inputs!$B$36+IF(Inputs!$B$3&gt;=117,F633,0))/100)),15)/15,(Skills!S11*(1+(Inputs!$B$36+IF(Inputs!$B$3&gt;=117,F633,0))/100))/Skills!D11)),0))/100)*IF(C621=TRUE,(1+F621*IF(AND(Inputs!$B$40&lt;&gt;"pvp",Inputs!$B$43&gt;0),(((R621-1)*(Skills!S13*(1+(Inputs!$B$36+IF(Inputs!$B$3&gt;=117,F633,0))/100))+MIN((Skills!S13*(1+(Inputs!$B$36+IF(Inputs!$B$3&gt;=117,F633,0))/100)),MAX(0,Inputs!$B$43-((R621-1)*Skills!D13))))/Inputs!$B$43),IF(Inputs!$B$40="pvp",MIN((Skills!S13*(1+(Inputs!$B$36+IF(Inputs!$B$3&gt;=117,F633,0))/100)),15)/15,(Skills!S13*(1+(Inputs!$B$36+IF(Inputs!$B$3&gt;=117,F633,0))/100))/Skills!D13))/100),1)*IF(C626=TRUE,(1+F626*IF(AND(Inputs!$B$40&lt;&gt;"pvp",Inputs!$B$43&gt;0),(((R626-1)*(Skills!S18*(1+(Inputs!$B$36+IF(Inputs!$B$3&gt;=117,F633,0))/100))+MIN((Skills!S18*(1+(Inputs!$B$36+IF(Inputs!$B$3&gt;=117,F633,0))/100)),MAX(0,Inputs!$B$43-((R626-1)*Skills!D18))))/Inputs!$B$43),IF(Inputs!$B$40="pvp",MIN((Skills!S18*(1+(Inputs!$B$36+IF(Inputs!$B$3&gt;=117,F633,0))/100)),15)/15,(Skills!S18*(1+(Inputs!$B$36+IF(Inputs!$B$3&gt;=117,F633,0))/100))/Skills!D18))/100),1)</f>
        <v/>
      </c>
    </row>
    <row r="637">
      <c r="A637" t="inlineStr">
        <is>
          <t>Monster Damage Taken Bonus % (Holy Fountain)</t>
        </is>
      </c>
      <c r="B637">
        <f>IF(Inputs!$B$3&gt;=68,20*IF(Inputs!$B$40="pvp",MIN((15*(1+(Inputs!$B$36+IF(Inputs!$B$3&gt;=117,F633,0))/100)),15)/15,(15*(1+(Inputs!$B$36+IF(Inputs!$B$3&gt;=117,F633,0))/100))/Skills!D10),0)</f>
        <v/>
      </c>
    </row>
    <row r="638">
      <c r="A638" t="inlineStr">
        <is>
          <t>Normal Monster Damage Bonus % (Holy Symbol)</t>
        </is>
      </c>
      <c r="B638">
        <f>IF(C620=TRUE,F620*IF(AND(Inputs!$B$40&lt;&gt;"pvp",Inputs!$B$43&gt;0),(((R620-1)*(Skills!S12*(1+(Inputs!$B$36+IF(Inputs!$B$3&gt;=117,F633,0))/100))+MIN((Skills!S12*(1+(Inputs!$B$36+IF(Inputs!$B$3&gt;=117,F633,0))/100)),MAX(0,Inputs!$B$43-((R620-1)*Skills!D12))))/Inputs!$B$43),IF(Inputs!$B$40="pvp",MIN((Skills!S12*(1+(Inputs!$B$36+IF(Inputs!$B$3&gt;=117,F633,0))/100)),15)/15,(Skills!S12*(1+(Inputs!$B$36+IF(Inputs!$B$3&gt;=117,F633,0))/100))/Skills!D12)),0)</f>
        <v/>
      </c>
    </row>
    <row r="639">
      <c r="A639" t="inlineStr">
        <is>
          <t>Damage % Bonus (Holy Symbol - Damage Boost)</t>
        </is>
      </c>
      <c r="B639">
        <f>Skills!O12</f>
        <v/>
      </c>
    </row>
    <row r="640">
      <c r="A640" t="inlineStr">
        <is>
          <t>Crit Damage % Bonus (Blood of the Divine)</t>
        </is>
      </c>
      <c r="B640">
        <f>4*IF(C627=TRUE,F627,0)</f>
        <v/>
      </c>
    </row>
    <row r="641">
      <c r="A641" t="inlineStr">
        <is>
          <t>Attack Speed Bonus %</t>
        </is>
      </c>
      <c r="B641">
        <f>IF(C624=TRUE,F624+(F628-Calc!F20),0)+IF(Inputs!$B$3&gt;=134,15,0)</f>
        <v/>
      </c>
    </row>
    <row r="642">
      <c r="A642" t="inlineStr">
        <is>
          <t>Actions Per Second</t>
        </is>
      </c>
      <c r="B642">
        <f>1+MIN(150,150*(1-(1-Inputs!$B$13/150)*(1-B641/150)))/100</f>
        <v/>
      </c>
    </row>
    <row r="643">
      <c r="A643" t="inlineStr">
        <is>
          <t>Skill + Buff Cast Rate</t>
        </is>
      </c>
      <c r="B643">
        <f>IF(AND(Inputs!$B$40&lt;&gt;"pvp",Inputs!$B$43&gt;0),SUMPRODUCT((Skills!E2:E26=TRUE)*(C610:C634=TRUE)*R610:R634)/Inputs!$B$43,SUMPRODUCT((Skills!E2:E26=TRUE)*(C610:C634=TRUE)*Q610:Q634))</f>
        <v/>
      </c>
    </row>
    <row r="644">
      <c r="A644" t="inlineStr">
        <is>
          <t>Big Bang Casts Per Second</t>
        </is>
      </c>
      <c r="B644">
        <f>MAX(0,B642-B643)</f>
        <v/>
      </c>
    </row>
    <row r="646">
      <c r="A646" s="5" t="inlineStr">
        <is>
          <t>TOTAL DPS</t>
        </is>
      </c>
      <c r="B646" s="5">
        <f>SUM(O610:O634)</f>
        <v/>
      </c>
    </row>
    <row r="649">
      <c r="A649" s="5" t="inlineStr">
        <is>
          <t>Stat: BASIC_ATTACK_DAMAGE %</t>
        </is>
      </c>
    </row>
    <row r="650">
      <c r="A650" s="9" t="inlineStr">
        <is>
          <t>Key</t>
        </is>
      </c>
      <c r="B650" s="9" t="inlineStr">
        <is>
          <t>Name</t>
        </is>
      </c>
      <c r="C650" s="9" t="inlineStr">
        <is>
          <t>Unlocked</t>
        </is>
      </c>
      <c r="D650" s="9" t="inlineStr">
        <is>
          <t>InputLevel</t>
        </is>
      </c>
      <c r="E650" s="9" t="inlineStr">
        <is>
          <t>Factor</t>
        </is>
      </c>
      <c r="F650" s="9" t="inlineStr">
        <is>
          <t>CoefficientPercent</t>
        </is>
      </c>
      <c r="G650" s="9" t="inlineStr">
        <is>
          <t>EffectiveHits</t>
        </is>
      </c>
      <c r="H650" s="9" t="inlineStr">
        <is>
          <t>ProcProbability</t>
        </is>
      </c>
      <c r="I650" s="9" t="inlineStr">
        <is>
          <t>MapleHeroMultiplier</t>
        </is>
      </c>
      <c r="J650" s="9" t="inlineStr">
        <is>
          <t>BaseDamage</t>
        </is>
      </c>
      <c r="K650" s="9" t="inlineStr">
        <is>
          <t>BaseHitDamage</t>
        </is>
      </c>
      <c r="L650" s="9" t="inlineStr">
        <is>
          <t>NonCritAvg</t>
        </is>
      </c>
      <c r="M650" s="9" t="inlineStr">
        <is>
          <t>CritAvg</t>
        </is>
      </c>
      <c r="N650" s="9" t="inlineStr">
        <is>
          <t>ExpectedDamage(perHit)</t>
        </is>
      </c>
      <c r="O650" s="9" t="inlineStr">
        <is>
          <t>DPS</t>
        </is>
      </c>
      <c r="P650" s="9" t="inlineStr">
        <is>
          <t>% of Total</t>
        </is>
      </c>
      <c r="R650" t="inlineStr">
        <is>
          <t>helpers</t>
        </is>
      </c>
    </row>
    <row r="651">
      <c r="A651">
        <f>Skills!A2</f>
        <v/>
      </c>
      <c r="B651">
        <f>Skills!B2</f>
        <v/>
      </c>
      <c r="C651">
        <f>Inputs!$B$3&gt;=100</f>
        <v/>
      </c>
      <c r="D651" t="inlineStr"/>
      <c r="E651" t="inlineStr"/>
      <c r="F651">
        <f>T653+Skills!N2</f>
        <v/>
      </c>
      <c r="G651">
        <f>Calc!G2</f>
        <v/>
      </c>
      <c r="H651">
        <f>Calc!H2</f>
        <v/>
      </c>
      <c r="I651">
        <f>IF(Skills!T2&lt;&gt;"",1+(Skills!T2/10)*($Z$3/1000)/100,1)</f>
        <v/>
      </c>
      <c r="J651">
        <f>(Inputs!$B$7*(1+Inputs!$B$8/100))*(F651/100)</f>
        <v/>
      </c>
      <c r="K651">
        <f>J651*(1+(((Inputs!$B$14+IF(Inputs!$B$3&gt;=35,0.10*(Inputs!$B$9*(1+Inputs!$B$10/100)),0))*(1+Inputs!$B$15/100))*0.01+Inputs!$B$16*0.0025)/100)*(1+(Inputs!$B$17+B680)/100)*(1+IF(Inputs!$B$40="pvp",0,(1-Summary!$B$48)*(Inputs!$B$22+Skills!O2+B678)+Summary!$B$48*(Inputs!$B$23+Skills!P2+B679))/100)*(1+Inputs!$B$18/100)*(5000/(6000+Inputs!$B$42*(1-Inputs!$B$21/100)))*(1+Inputs!$B$26/100)*(1+IF(C666=TRUE,F666,0)/100)*(1+IF(C668=TRUE,F668,0)/100)*(1+IF(Skills!A2="TRIUMPH_FEATHER",IF(C664=TRUE,F664,0),0)/100)*(1+IF(C675=TRUE,F675,0)/100)^5*(1+(IF(Skills!A2="BIG_BANG",(Inputs!$B$19+1),Inputs!$B$20))/100)*(B677*I651)</f>
        <v/>
      </c>
      <c r="L651">
        <f>K651*(MIN(Inputs!$B$24+(F670-Calc!F21),Inputs!$B$25)/100+Inputs!$B$25/100)/2</f>
        <v/>
      </c>
      <c r="M651">
        <f>L651*(1+(Inputs!$B$12+B681+(F673-Calc!F24))/100)</f>
        <v/>
      </c>
      <c r="N651">
        <f>L651*(1-MIN(Inputs!$B$11+((F672-Calc!F23)+(F671-Calc!F22)),100)/100)+M651*(MIN(Inputs!$B$11+((F672-Calc!F23)+(F671-Calc!F22)),100)/100)</f>
        <v/>
      </c>
      <c r="O651">
        <f>IF(C651,Skills!F2*N651*B685*IF(Inputs!$B$40="pvp",1,(1-Summary!$B$48)*(1)+Summary!$B$48*(MIN((6+Inputs!$B$35),Inputs!$B$39))),0)</f>
        <v/>
      </c>
      <c r="P651">
        <f>IF(B687=0,0,O651/B687)</f>
        <v/>
      </c>
      <c r="Q651">
        <f>IFERROR(1/IF(Inputs!$B$40="pvp",15,MAX(0.1,Skills!D2-IF(Skills!E2=TRUE,Inputs!$B$34,0))),0)</f>
        <v/>
      </c>
      <c r="R651" t="n">
        <v>0</v>
      </c>
      <c r="T651">
        <f>MAX(0,(Inputs!$B$3-100)*3)+Inputs!$B$30+Inputs!$B$31</f>
        <v/>
      </c>
    </row>
    <row r="652">
      <c r="A652">
        <f>Skills!A3</f>
        <v/>
      </c>
      <c r="B652">
        <f>Skills!B3</f>
        <v/>
      </c>
      <c r="C652">
        <f>Inputs!$B$3&gt;=15</f>
        <v/>
      </c>
      <c r="D652">
        <f>IF(Skills!C3=1,60+Inputs!$B$27+Inputs!$B$31,IF(Skills!C3=2,90+Inputs!$B$28+Inputs!$B$31,IF(Skills!C3=3,120+Inputs!$B$29+Inputs!$B$31,MAX(0,(Inputs!$B$3-100)*3)+Inputs!$B$30+Inputs!$B$31)))</f>
        <v/>
      </c>
      <c r="E652">
        <f>INDEX(FactorTable!$B$2:$Y$301, MATCH(ROUND(MIN(300,MAX(1,D652)),0), FactorTable!$A$2:$A$301,0), Skills!L3+1)</f>
        <v/>
      </c>
      <c r="F652">
        <f>IF(Skills!M3=TRUE,(Skills!K3/10)*(E652/1000),Skills!K3/10)+Skills!N3</f>
        <v/>
      </c>
      <c r="G652">
        <f>Calc!G3</f>
        <v/>
      </c>
      <c r="H652">
        <f>Calc!H3</f>
        <v/>
      </c>
      <c r="I652">
        <f>IF(Skills!T3&lt;&gt;"",1+(Skills!T3/10)*($Z$3/1000)/100,1)</f>
        <v/>
      </c>
      <c r="J652" t="inlineStr"/>
      <c r="K652" t="inlineStr"/>
      <c r="L652" t="inlineStr"/>
      <c r="M652" t="inlineStr"/>
      <c r="N652" t="inlineStr"/>
      <c r="O652" t="n">
        <v>0</v>
      </c>
      <c r="P652">
        <f>IF(B687=0,0,O652/B687)</f>
        <v/>
      </c>
      <c r="Q652">
        <f>IFERROR(1/IF(Inputs!$B$40="pvp",15,MAX(0.1,Skills!D3-IF(Skills!E3=TRUE,Inputs!$B$34,0))),0)</f>
        <v/>
      </c>
      <c r="R652">
        <f>IF(AND(Inputs!$B$40&lt;&gt;"pvp",Inputs!$B$43&gt;0),(INT(Inputs!$B$43/IF(Inputs!$B$40="pvp",15,MAX(0.1,Skills!D3-IF(Skills!E3=TRUE,Inputs!$B$34,0))))+1),0)</f>
        <v/>
      </c>
      <c r="T652">
        <f>INDEX(FactorTable!$B$2:$Y$301, MATCH(ROUND(MIN(300,MAX(1,T651)),0), FactorTable!$A$2:$A$301,0), 22)</f>
        <v/>
      </c>
    </row>
    <row r="653">
      <c r="A653">
        <f>Skills!A4</f>
        <v/>
      </c>
      <c r="B653">
        <f>Skills!B4</f>
        <v/>
      </c>
      <c r="C653">
        <f>Inputs!$B$3&gt;=38</f>
        <v/>
      </c>
      <c r="D653">
        <f>IF(Skills!C4=1,60+Inputs!$B$27+Inputs!$B$31,IF(Skills!C4=2,90+Inputs!$B$28+Inputs!$B$31,IF(Skills!C4=3,120+Inputs!$B$29+Inputs!$B$31,MAX(0,(Inputs!$B$3-100)*3)+Inputs!$B$30+Inputs!$B$31)))</f>
        <v/>
      </c>
      <c r="E653">
        <f>INDEX(FactorTable!$B$2:$Y$301, MATCH(ROUND(MIN(300,MAX(1,D653)),0), FactorTable!$A$2:$A$301,0), Skills!L4+1)</f>
        <v/>
      </c>
      <c r="F653">
        <f>IF(Skills!M4=TRUE,(Skills!K4/10)*(E653/1000),Skills!K4/10)+Skills!N4</f>
        <v/>
      </c>
      <c r="G653">
        <f>Calc!G4</f>
        <v/>
      </c>
      <c r="H653">
        <f>Calc!H4</f>
        <v/>
      </c>
      <c r="I653">
        <f>IF(Skills!T4&lt;&gt;"",1+(Skills!T4/10)*($Z$3/1000)/100,1)</f>
        <v/>
      </c>
      <c r="J653" t="inlineStr"/>
      <c r="K653" t="inlineStr"/>
      <c r="L653" t="inlineStr"/>
      <c r="M653" t="inlineStr"/>
      <c r="N653" t="inlineStr"/>
      <c r="O653" t="n">
        <v>0</v>
      </c>
      <c r="P653">
        <f>IF(B687=0,0,O653/B687)</f>
        <v/>
      </c>
      <c r="Q653">
        <f>IFERROR(1/IF(Inputs!$B$40="pvp",15,MAX(0.1,Skills!D4-IF(Skills!E4=TRUE,Inputs!$B$34,0))),0)</f>
        <v/>
      </c>
      <c r="R653">
        <f>IF(AND(Inputs!$B$40&lt;&gt;"pvp",Inputs!$B$43&gt;0),(INT(Inputs!$B$43/IF(Inputs!$B$40="pvp",15,MAX(0.1,Skills!D4-IF(Skills!E4=TRUE,Inputs!$B$34,0))))+1),0)</f>
        <v/>
      </c>
      <c r="T653">
        <f>290*T652/1000</f>
        <v/>
      </c>
    </row>
    <row r="654">
      <c r="A654">
        <f>Skills!A5</f>
        <v/>
      </c>
      <c r="B654">
        <f>Skills!B5</f>
        <v/>
      </c>
      <c r="C654">
        <f>Inputs!$B$3&gt;=40</f>
        <v/>
      </c>
      <c r="D654">
        <f>IF(Skills!C5=1,60+Inputs!$B$27+Inputs!$B$31,IF(Skills!C5=2,90+Inputs!$B$28+Inputs!$B$31,IF(Skills!C5=3,120+Inputs!$B$29+Inputs!$B$31,MAX(0,(Inputs!$B$3-100)*3)+Inputs!$B$30+Inputs!$B$31)))</f>
        <v/>
      </c>
      <c r="E654">
        <f>INDEX(FactorTable!$B$2:$Y$301, MATCH(ROUND(MIN(300,MAX(1,D654)),0), FactorTable!$A$2:$A$301,0), Skills!L5+1)</f>
        <v/>
      </c>
      <c r="F654">
        <f>IF(Skills!M5=TRUE,(Skills!K5/10)*(E654/1000),Skills!K5/10)+Skills!N5</f>
        <v/>
      </c>
      <c r="G654">
        <f>Calc!G5</f>
        <v/>
      </c>
      <c r="H654">
        <f>Calc!H5</f>
        <v/>
      </c>
      <c r="I654">
        <f>IF(Skills!T5&lt;&gt;"",1+(Skills!T5/10)*($Z$3/1000)/100,1)</f>
        <v/>
      </c>
      <c r="J654" t="inlineStr"/>
      <c r="K654" t="inlineStr"/>
      <c r="L654" t="inlineStr"/>
      <c r="M654" t="inlineStr"/>
      <c r="N654" t="inlineStr"/>
      <c r="O654" t="n">
        <v>0</v>
      </c>
      <c r="P654">
        <f>IF(B687=0,0,O654/B687)</f>
        <v/>
      </c>
      <c r="Q654">
        <f>IFERROR(1/IF(Inputs!$B$40="pvp",15,MAX(0.1,Skills!D5-IF(Skills!E5=TRUE,Inputs!$B$34,0))),0)</f>
        <v/>
      </c>
      <c r="R654">
        <f>IF(AND(Inputs!$B$40&lt;&gt;"pvp",Inputs!$B$43&gt;0),(INT(Inputs!$B$43/IF(Inputs!$B$40="pvp",15,MAX(0.1,Skills!D5-IF(Skills!E5=TRUE,Inputs!$B$34,0))))+1),0)</f>
        <v/>
      </c>
    </row>
    <row r="655">
      <c r="A655">
        <f>Skills!A6</f>
        <v/>
      </c>
      <c r="B655">
        <f>Skills!B6</f>
        <v/>
      </c>
      <c r="C655">
        <f>Inputs!$B$3&gt;=103</f>
        <v/>
      </c>
      <c r="D655">
        <f>IF(Skills!C6=1,60+Inputs!$B$27+Inputs!$B$31,IF(Skills!C6=2,90+Inputs!$B$28+Inputs!$B$31,IF(Skills!C6=3,120+Inputs!$B$29+Inputs!$B$31,MAX(0,(Inputs!$B$3-100)*3)+Inputs!$B$30+Inputs!$B$31)))</f>
        <v/>
      </c>
      <c r="E655">
        <f>INDEX(FactorTable!$B$2:$Y$301, MATCH(ROUND(MIN(300,MAX(1,D655)),0), FactorTable!$A$2:$A$301,0), Skills!L6+1)</f>
        <v/>
      </c>
      <c r="F655">
        <f>IF(Skills!M6=TRUE,(Skills!K6/10)*(E655/1000),Skills!K6/10)+Skills!N6</f>
        <v/>
      </c>
      <c r="G655">
        <f>Calc!G6</f>
        <v/>
      </c>
      <c r="H655">
        <f>Calc!H6</f>
        <v/>
      </c>
      <c r="I655">
        <f>IF(Skills!T6&lt;&gt;"",1+(Skills!T6/10)*($Z$3/1000)/100,1)</f>
        <v/>
      </c>
      <c r="J655">
        <f>(Inputs!$B$7*(1+Inputs!$B$8/100))*(F655/100)</f>
        <v/>
      </c>
      <c r="K655">
        <f>J655*(1+(((Inputs!$B$14+IF(Inputs!$B$3&gt;=35,0.10*(Inputs!$B$9*(1+Inputs!$B$10/100)),0))*(1+Inputs!$B$15/100))*0.01+Inputs!$B$16*0.0025)/100)*(1+(Inputs!$B$17+B680)/100)*(1+IF(Inputs!$B$40="pvp",0,(1-Summary!$B$48)*(Inputs!$B$22+Skills!O6+B678)+Summary!$B$48*(Inputs!$B$23+Skills!P6+B679))/100)*(1+Inputs!$B$18/100)*(5000/(6000+Inputs!$B$42*(1-Inputs!$B$21/100)))*(1+Inputs!$B$26/100)*(1+IF(C666=TRUE,F666,0)/100)*(1+IF(C668=TRUE,F668,0)/100)*(1+IF(Skills!A6="TRIUMPH_FEATHER",IF(C664=TRUE,F664,0),0)/100)*(1+IF(C675=TRUE,F675,0)/100)^5*(1+(IF(Skills!A6="BIG_BANG",(Inputs!$B$19+1),Inputs!$B$20))/100)*(B677*I655)</f>
        <v/>
      </c>
      <c r="L655">
        <f>K655*(MIN(Inputs!$B$24+(F670-Calc!F21),Inputs!$B$25)/100+Inputs!$B$25/100)/2</f>
        <v/>
      </c>
      <c r="M655">
        <f>L655*(1+(Inputs!$B$12+B681+(F673-Calc!F24))/100)</f>
        <v/>
      </c>
      <c r="N655">
        <f>L655*(1-MIN(Inputs!$B$11+((F672-Calc!F23)+(F671-Calc!F22)),100)/100)+M655*(MIN(Inputs!$B$11+((F672-Calc!F23)+(F671-Calc!F22)),100)/100)</f>
        <v/>
      </c>
      <c r="O655">
        <f>IF(C655,H655*N655*IF(AND(Inputs!$B$40&lt;&gt;"pvp",Inputs!$B$43&gt;0),((Skills!F6*((R655-1)*IF(Skills!G6&gt;0,Skills!H6/Skills!G6,1)+IF(Skills!G6&gt;0,MIN(Skills!H6,MAX(0,Inputs!$B$43-((R655-1)*IF(Inputs!$B$40="pvp",15,MAX(0.1,Skills!D6-IF(Skills!E6=TRUE,Inputs!$B$34,0))))))/Skills!G6,1)))/Inputs!$B$43),G655*Q655)*IF(Inputs!$B$40="pvp",1,(1-Summary!$B$48)*(1)+Summary!$B$48*(MIN(Skills!Q6,Inputs!$B$39))),0)</f>
        <v/>
      </c>
      <c r="P655">
        <f>IF(B687=0,0,O655/B687)</f>
        <v/>
      </c>
      <c r="Q655">
        <f>IFERROR(1/IF(Inputs!$B$40="pvp",15,MAX(0.1,Skills!D6-IF(Skills!E6=TRUE,Inputs!$B$34,0))),0)</f>
        <v/>
      </c>
      <c r="R655">
        <f>IF(AND(Inputs!$B$40&lt;&gt;"pvp",Inputs!$B$43&gt;0),(INT(Inputs!$B$43/IF(Inputs!$B$40="pvp",15,MAX(0.1,Skills!D6-IF(Skills!E6=TRUE,Inputs!$B$34,0))))+1),0)</f>
        <v/>
      </c>
    </row>
    <row r="656">
      <c r="A656">
        <f>Skills!A7</f>
        <v/>
      </c>
      <c r="B656">
        <f>Skills!B7</f>
        <v/>
      </c>
      <c r="C656">
        <f>Inputs!$B$3&gt;=122</f>
        <v/>
      </c>
      <c r="D656">
        <f>IF(Skills!C7=1,60+Inputs!$B$27+Inputs!$B$31,IF(Skills!C7=2,90+Inputs!$B$28+Inputs!$B$31,IF(Skills!C7=3,120+Inputs!$B$29+Inputs!$B$31,MAX(0,(Inputs!$B$3-100)*3)+Inputs!$B$30+Inputs!$B$31)))</f>
        <v/>
      </c>
      <c r="E656">
        <f>INDEX(FactorTable!$B$2:$Y$301, MATCH(ROUND(MIN(300,MAX(1,D656)),0), FactorTable!$A$2:$A$301,0), Skills!L7+1)</f>
        <v/>
      </c>
      <c r="F656">
        <f>IF(Skills!M7=TRUE,(Skills!K7/10)*(E656/1000),Skills!K7/10)+Skills!N7</f>
        <v/>
      </c>
      <c r="G656">
        <f>Calc!G7</f>
        <v/>
      </c>
      <c r="H656">
        <f>Calc!H7</f>
        <v/>
      </c>
      <c r="I656">
        <f>IF(Skills!T7&lt;&gt;"",1+(Skills!T7/10)*($Z$3/1000)/100,1)</f>
        <v/>
      </c>
      <c r="J656">
        <f>(Inputs!$B$7*(1+Inputs!$B$8/100))*(F656/100)</f>
        <v/>
      </c>
      <c r="K656">
        <f>J656*(1+(((Inputs!$B$14+IF(Inputs!$B$3&gt;=35,0.10*(Inputs!$B$9*(1+Inputs!$B$10/100)),0))*(1+Inputs!$B$15/100))*0.01+Inputs!$B$16*0.0025)/100)*(1+(Inputs!$B$17+B680)/100)*(1+IF(Inputs!$B$40="pvp",0,(1-Summary!$B$48)*(Inputs!$B$22+Skills!O7+B678)+Summary!$B$48*(Inputs!$B$23+Skills!P7+B679))/100)*(1+Inputs!$B$18/100)*(5000/(6000+Inputs!$B$42*(1-Inputs!$B$21/100)))*(1+Inputs!$B$26/100)*(1+IF(C666=TRUE,F666,0)/100)*(1+IF(C668=TRUE,F668,0)/100)*(1+IF(Skills!A7="TRIUMPH_FEATHER",IF(C664=TRUE,F664,0),0)/100)*(1+IF(C675=TRUE,F675,0)/100)^5*(1+(IF(Skills!A7="BIG_BANG",(Inputs!$B$19+1),Inputs!$B$20))/100)*(B677*I656)</f>
        <v/>
      </c>
      <c r="L656">
        <f>K656*(MIN(Inputs!$B$24+(F670-Calc!F21),Inputs!$B$25)/100+Inputs!$B$25/100)/2</f>
        <v/>
      </c>
      <c r="M656">
        <f>L656*(1+(Inputs!$B$12+B681+(F673-Calc!F24))/100)</f>
        <v/>
      </c>
      <c r="N656">
        <f>L656*(1-MIN(Inputs!$B$11+((F672-Calc!F23)+(F671-Calc!F22)),100)/100)+M656*(MIN(Inputs!$B$11+((F672-Calc!F23)+(F671-Calc!F22)),100)/100)</f>
        <v/>
      </c>
      <c r="O656">
        <f>IF(C656,H656*N656*IF(AND(Inputs!$B$40&lt;&gt;"pvp",Inputs!$B$43&gt;0),((Skills!F7*((R656-1)*IF(Skills!G7&gt;0,Skills!H7/Skills!G7,1)+IF(Skills!G7&gt;0,MIN(Skills!H7,MAX(0,Inputs!$B$43-((R656-1)*IF(Inputs!$B$40="pvp",15,MAX(0.1,Skills!D7-IF(Skills!E6=TRUE,Inputs!$B$34,0))))))/Skills!G7,1)))/Inputs!$B$43),G656*Q656)*(1-Summary!$B$48),0)</f>
        <v/>
      </c>
      <c r="P656">
        <f>IF(B687=0,0,O656/B687)</f>
        <v/>
      </c>
      <c r="Q656">
        <f>IFERROR(1/IF(Inputs!$B$40="pvp",15,MAX(0.1,Skills!D7-IF(Skills!E6=TRUE,Inputs!$B$34,0))),0)</f>
        <v/>
      </c>
      <c r="R656">
        <f>IF(AND(Inputs!$B$40&lt;&gt;"pvp",Inputs!$B$43&gt;0),(INT(Inputs!$B$43/IF(Inputs!$B$40="pvp",15,MAX(0.1,Skills!D7-IF(Skills!E6=TRUE,Inputs!$B$34,0))))+1),0)</f>
        <v/>
      </c>
    </row>
    <row r="657">
      <c r="A657">
        <f>Skills!A8</f>
        <v/>
      </c>
      <c r="B657">
        <f>Skills!B8</f>
        <v/>
      </c>
      <c r="C657">
        <f>Inputs!$B$3&gt;=105</f>
        <v/>
      </c>
      <c r="D657">
        <f>IF(Skills!C8=1,60+Inputs!$B$27+Inputs!$B$31,IF(Skills!C8=2,90+Inputs!$B$28+Inputs!$B$31,IF(Skills!C8=3,120+Inputs!$B$29+Inputs!$B$31,MAX(0,(Inputs!$B$3-100)*3)+Inputs!$B$30+Inputs!$B$31)))</f>
        <v/>
      </c>
      <c r="E657">
        <f>INDEX(FactorTable!$B$2:$Y$301, MATCH(ROUND(MIN(300,MAX(1,D657)),0), FactorTable!$A$2:$A$301,0), Skills!L8+1)</f>
        <v/>
      </c>
      <c r="F657">
        <f>IF(Skills!M8=TRUE,(Skills!K8/10)*(E657/1000),Skills!K8/10)+Skills!N8</f>
        <v/>
      </c>
      <c r="G657">
        <f>Calc!G8</f>
        <v/>
      </c>
      <c r="H657">
        <f>Calc!H8</f>
        <v/>
      </c>
      <c r="I657">
        <f>IF(Skills!T8&lt;&gt;"",1+(Skills!T8/10)*($Z$3/1000)/100,1)</f>
        <v/>
      </c>
      <c r="J657">
        <f>(Inputs!$B$7*(1+Inputs!$B$8/100))*(F657/100)</f>
        <v/>
      </c>
      <c r="K657">
        <f>J657*(1+(((Inputs!$B$14+IF(Inputs!$B$3&gt;=35,0.10*(Inputs!$B$9*(1+Inputs!$B$10/100)),0))*(1+Inputs!$B$15/100))*0.01+Inputs!$B$16*0.0025)/100)*(1+(Inputs!$B$17+B680)/100)*(1+IF(Inputs!$B$40="pvp",0,(1-Summary!$B$48)*(Inputs!$B$22+Skills!O8+B678)+Summary!$B$48*(Inputs!$B$23+Skills!P8+B679))/100)*(1+Inputs!$B$18/100)*(5000/(6000+Inputs!$B$42*(1-Inputs!$B$21/100)))*(1+Inputs!$B$26/100)*(1+IF(C666=TRUE,F666,0)/100)*(1+IF(C668=TRUE,F668,0)/100)*(1+IF(Skills!A8="TRIUMPH_FEATHER",IF(C664=TRUE,F664,0),0)/100)*(1+IF(C675=TRUE,F675,0)/100)^5*(1+(IF(Skills!A8="BIG_BANG",(Inputs!$B$19+1),Inputs!$B$20))/100)*(B677*I657)</f>
        <v/>
      </c>
      <c r="L657">
        <f>K657*(MIN(Inputs!$B$24+(F670-Calc!F21),Inputs!$B$25)/100+Inputs!$B$25/100)/2</f>
        <v/>
      </c>
      <c r="M657">
        <f>L657*(1+(Inputs!$B$12+B681+(F673-Calc!F24))/100)</f>
        <v/>
      </c>
      <c r="N657">
        <f>L657*(1-MIN(Inputs!$B$11+((F672-Calc!F23)+(F671-Calc!F22)),100)/100)+M657*(MIN(Inputs!$B$11+((F672-Calc!F23)+(F671-Calc!F22)),100)/100)</f>
        <v/>
      </c>
      <c r="O657">
        <f>IF(C657,H657*N657*IF(AND(Inputs!$B$40&lt;&gt;"pvp",Inputs!$B$43&gt;0),((Skills!F8*((R657-1)*IF(Skills!G8&gt;0,Skills!H8/Skills!G8,1)+IF(Skills!G8&gt;0,MIN(Skills!H8,MAX(0,Inputs!$B$43-((R657-1)*IF(Inputs!$B$40="pvp",15,MAX(0.1,Skills!D8-IF(Skills!E8=TRUE,Inputs!$B$34,0))))))/Skills!G8,1)))/Inputs!$B$43),G657*Q657)*IF(Inputs!$B$40="pvp",1,(1-Summary!$B$48)*(1)+Summary!$B$48*(MIN(Skills!Q8,Inputs!$B$39))),0)</f>
        <v/>
      </c>
      <c r="P657">
        <f>IF(B687=0,0,O657/B687)</f>
        <v/>
      </c>
      <c r="Q657">
        <f>IFERROR(1/IF(Inputs!$B$40="pvp",15,MAX(0.1,Skills!D8-IF(Skills!E8=TRUE,Inputs!$B$34,0))),0)</f>
        <v/>
      </c>
      <c r="R657">
        <f>IF(AND(Inputs!$B$40&lt;&gt;"pvp",Inputs!$B$43&gt;0),(INT(Inputs!$B$43/IF(Inputs!$B$40="pvp",15,MAX(0.1,Skills!D8-IF(Skills!E8=TRUE,Inputs!$B$34,0))))+1),0)</f>
        <v/>
      </c>
    </row>
    <row r="658">
      <c r="A658">
        <f>Skills!A9</f>
        <v/>
      </c>
      <c r="B658">
        <f>Skills!B9</f>
        <v/>
      </c>
      <c r="C658">
        <f>Inputs!$B$3&gt;=115</f>
        <v/>
      </c>
      <c r="D658">
        <f>IF(Skills!C9=1,60+Inputs!$B$27+Inputs!$B$31,IF(Skills!C9=2,90+Inputs!$B$28+Inputs!$B$31,IF(Skills!C9=3,120+Inputs!$B$29+Inputs!$B$31,MAX(0,(Inputs!$B$3-100)*3)+Inputs!$B$30+Inputs!$B$31)))</f>
        <v/>
      </c>
      <c r="E658">
        <f>INDEX(FactorTable!$B$2:$Y$301, MATCH(ROUND(MIN(300,MAX(1,D658)),0), FactorTable!$A$2:$A$301,0), Skills!L9+1)</f>
        <v/>
      </c>
      <c r="F658">
        <f>IF(Skills!M9=TRUE,(Skills!K9/10)*(E658/1000),Skills!K9/10)+Skills!N9</f>
        <v/>
      </c>
      <c r="G658">
        <f>Calc!G9</f>
        <v/>
      </c>
      <c r="H658">
        <f>Calc!H9</f>
        <v/>
      </c>
      <c r="I658">
        <f>IF(Skills!T9&lt;&gt;"",1+(Skills!T9/10)*($Z$3/1000)/100,1)</f>
        <v/>
      </c>
      <c r="J658">
        <f>(Inputs!$B$7*(1+Inputs!$B$8/100))*(F658/100)</f>
        <v/>
      </c>
      <c r="K658">
        <f>J658*(1+(((Inputs!$B$14+IF(Inputs!$B$3&gt;=35,0.10*(Inputs!$B$9*(1+Inputs!$B$10/100)),0))*(1+Inputs!$B$15/100))*0.01+Inputs!$B$16*0.0025)/100)*(1+(Inputs!$B$17+B680)/100)*(1+IF(Inputs!$B$40="pvp",0,(1-Summary!$B$48)*(Inputs!$B$22+Skills!O9+B678)+Summary!$B$48*(Inputs!$B$23+Skills!P9+B679))/100)*(1+Inputs!$B$18/100)*(5000/(6000+Inputs!$B$42*(1-Inputs!$B$21/100)))*(1+Inputs!$B$26/100)*(1+IF(C666=TRUE,F666,0)/100)*(1+IF(C668=TRUE,F668,0)/100)*(1+IF(Skills!A9="TRIUMPH_FEATHER",IF(C664=TRUE,F664,0),0)/100)*(1+IF(C675=TRUE,F675,0)/100)^5*(1+(IF(Skills!A9="BIG_BANG",(Inputs!$B$19+1),Inputs!$B$20))/100)*(B677*I658)</f>
        <v/>
      </c>
      <c r="L658">
        <f>K658*(MIN(Inputs!$B$24+(F670-Calc!F21),Inputs!$B$25)/100+Inputs!$B$25/100)/2</f>
        <v/>
      </c>
      <c r="M658">
        <f>L658*(1+(Inputs!$B$12+B681+(F673-Calc!F24))/100)</f>
        <v/>
      </c>
      <c r="N658">
        <f>L658*(1-MIN(Inputs!$B$11+((F672-Calc!F23)+(F671-Calc!F22)),100)/100)+M658*(MIN(Inputs!$B$11+((F672-Calc!F23)+(F671-Calc!F22)),100)/100)</f>
        <v/>
      </c>
      <c r="O658">
        <f>IF(C658,H658*N658*IF(AND(Inputs!$B$40&lt;&gt;"pvp",Inputs!$B$43&gt;0),((Skills!F9*((R658-1)*IF(Skills!G9&gt;0,Skills!H9/Skills!G9,1)+IF(Skills!G9&gt;0,MIN(Skills!H9,MAX(0,Inputs!$B$43-((R658-1)*IF(Inputs!$B$40="pvp",15,MAX(0.1,Skills!D9-IF(Skills!E9=TRUE,Inputs!$B$34,0))))))/Skills!G9,1)))/Inputs!$B$43),G658*Q658)*IF(Inputs!$B$40="pvp",1,(1-Summary!$B$48)*(1)+Summary!$B$48*(MIN(Skills!Q9,Inputs!$B$39))),0)</f>
        <v/>
      </c>
      <c r="P658">
        <f>IF(B687=0,0,O658/B687)</f>
        <v/>
      </c>
      <c r="Q658">
        <f>IFERROR(1/IF(Inputs!$B$40="pvp",15,MAX(0.1,Skills!D9-IF(Skills!E9=TRUE,Inputs!$B$34,0))),0)</f>
        <v/>
      </c>
      <c r="R658">
        <f>IF(AND(Inputs!$B$40&lt;&gt;"pvp",Inputs!$B$43&gt;0),(INT(Inputs!$B$43/IF(Inputs!$B$40="pvp",15,MAX(0.1,Skills!D9-IF(Skills!E9=TRUE,Inputs!$B$34,0))))+1),0)</f>
        <v/>
      </c>
    </row>
    <row r="659">
      <c r="A659">
        <f>Skills!A10</f>
        <v/>
      </c>
      <c r="B659">
        <f>Skills!B10</f>
        <v/>
      </c>
      <c r="C659">
        <f>Inputs!$B$3&gt;=66</f>
        <v/>
      </c>
      <c r="D659">
        <f>IF(Skills!C10=1,60+Inputs!$B$27+Inputs!$B$31,IF(Skills!C10=2,90+Inputs!$B$28+Inputs!$B$31,IF(Skills!C10=3,120+Inputs!$B$29+Inputs!$B$31,MAX(0,(Inputs!$B$3-100)*3)+Inputs!$B$30+Inputs!$B$31)))</f>
        <v/>
      </c>
      <c r="E659">
        <f>INDEX(FactorTable!$B$2:$Y$301, MATCH(ROUND(MIN(300,MAX(1,D659)),0), FactorTable!$A$2:$A$301,0), Skills!L10+1)</f>
        <v/>
      </c>
      <c r="F659" t="n">
        <v>0</v>
      </c>
      <c r="G659">
        <f>Calc!G10</f>
        <v/>
      </c>
      <c r="H659">
        <f>Calc!H10</f>
        <v/>
      </c>
      <c r="I659">
        <f>IF(Skills!T10&lt;&gt;"",1+(Skills!T10/10)*($Z$3/1000)/100,1)</f>
        <v/>
      </c>
      <c r="J659" t="inlineStr"/>
      <c r="K659" t="inlineStr"/>
      <c r="L659" t="inlineStr"/>
      <c r="M659" t="inlineStr"/>
      <c r="N659" t="inlineStr"/>
      <c r="O659" t="n">
        <v>0</v>
      </c>
      <c r="P659">
        <f>IF(B687=0,0,O659/B687)</f>
        <v/>
      </c>
      <c r="Q659">
        <f>IFERROR(1/IF(Inputs!$B$40="pvp",15,MAX(0.1,Skills!D10-IF(Skills!E10=TRUE,Inputs!$B$34,0))),0)</f>
        <v/>
      </c>
      <c r="R659">
        <f>IF(AND(Inputs!$B$40&lt;&gt;"pvp",Inputs!$B$43&gt;0),(INT(Inputs!$B$43/IF(Inputs!$B$40="pvp",15,MAX(0.1,Skills!D10-IF(Skills!E10=TRUE,Inputs!$B$34,0))))+1),0)</f>
        <v/>
      </c>
    </row>
    <row r="660">
      <c r="A660">
        <f>Skills!A11</f>
        <v/>
      </c>
      <c r="B660">
        <f>Skills!B11</f>
        <v/>
      </c>
      <c r="C660">
        <f>Inputs!$B$3&gt;=69</f>
        <v/>
      </c>
      <c r="D660">
        <f>IF(Skills!C11=1,60+Inputs!$B$27+Inputs!$B$31,IF(Skills!C11=2,90+Inputs!$B$28+Inputs!$B$31,IF(Skills!C11=3,120+Inputs!$B$29+Inputs!$B$31,MAX(0,(Inputs!$B$3-100)*3)+Inputs!$B$30+Inputs!$B$31)))</f>
        <v/>
      </c>
      <c r="E660">
        <f>INDEX(FactorTable!$B$2:$Y$301, MATCH(ROUND(MIN(300,MAX(1,D660)),0), FactorTable!$A$2:$A$301,0), Skills!L11+1)</f>
        <v/>
      </c>
      <c r="F660">
        <f>IF(Skills!M11=TRUE,(Skills!K11/10)*(E660/1000),Skills!K11/10)+Skills!N11</f>
        <v/>
      </c>
      <c r="G660">
        <f>Calc!G11</f>
        <v/>
      </c>
      <c r="H660">
        <f>Calc!H11</f>
        <v/>
      </c>
      <c r="I660">
        <f>IF(Skills!T11&lt;&gt;"",1+(Skills!T11/10)*($Z$3/1000)/100,1)</f>
        <v/>
      </c>
      <c r="J660" t="inlineStr"/>
      <c r="K660" t="inlineStr"/>
      <c r="L660" t="inlineStr"/>
      <c r="M660" t="inlineStr"/>
      <c r="N660" t="inlineStr"/>
      <c r="O660" t="n">
        <v>0</v>
      </c>
      <c r="P660">
        <f>IF(B687=0,0,O660/B687)</f>
        <v/>
      </c>
      <c r="Q660">
        <f>IFERROR(1/IF(Inputs!$B$40="pvp",15,MAX(0.1,Skills!D11-IF(Skills!E11=TRUE,Inputs!$B$34,0))),0)</f>
        <v/>
      </c>
      <c r="R660">
        <f>IF(AND(Inputs!$B$40&lt;&gt;"pvp",Inputs!$B$43&gt;0),(INT(Inputs!$B$43/IF(Inputs!$B$40="pvp",15,MAX(0.1,Skills!D11-IF(Skills!E11=TRUE,Inputs!$B$34,0))))+1),0)</f>
        <v/>
      </c>
    </row>
    <row r="661">
      <c r="A661">
        <f>Skills!A12</f>
        <v/>
      </c>
      <c r="B661">
        <f>Skills!B12</f>
        <v/>
      </c>
      <c r="C661">
        <f>Inputs!$B$3&gt;=72</f>
        <v/>
      </c>
      <c r="D661">
        <f>IF(Skills!C12=1,60+Inputs!$B$27+Inputs!$B$31,IF(Skills!C12=2,90+Inputs!$B$28+Inputs!$B$31,IF(Skills!C12=3,120+Inputs!$B$29+Inputs!$B$31,MAX(0,(Inputs!$B$3-100)*3)+Inputs!$B$30+Inputs!$B$31)))</f>
        <v/>
      </c>
      <c r="E661">
        <f>INDEX(FactorTable!$B$2:$Y$301, MATCH(ROUND(MIN(300,MAX(1,D661)),0), FactorTable!$A$2:$A$301,0), Skills!L12+1)</f>
        <v/>
      </c>
      <c r="F661">
        <f>IF(Skills!M12=TRUE,(Skills!K12/10)*(E661/1000),Skills!K12/10)+Skills!N12</f>
        <v/>
      </c>
      <c r="G661">
        <f>Calc!G12</f>
        <v/>
      </c>
      <c r="H661">
        <f>Calc!H12</f>
        <v/>
      </c>
      <c r="I661">
        <f>IF(Skills!T12&lt;&gt;"",1+(Skills!T12/10)*($Z$3/1000)/100,1)</f>
        <v/>
      </c>
      <c r="J661" t="inlineStr"/>
      <c r="K661" t="inlineStr"/>
      <c r="L661" t="inlineStr"/>
      <c r="M661" t="inlineStr"/>
      <c r="N661" t="inlineStr"/>
      <c r="O661" t="n">
        <v>0</v>
      </c>
      <c r="P661">
        <f>IF(B687=0,0,O661/B687)</f>
        <v/>
      </c>
      <c r="Q661">
        <f>IFERROR(1/IF(Inputs!$B$40="pvp",15,MAX(0.1,Skills!D12-IF(Skills!E12=TRUE,Inputs!$B$34,0))),0)</f>
        <v/>
      </c>
      <c r="R661">
        <f>IF(AND(Inputs!$B$40&lt;&gt;"pvp",Inputs!$B$43&gt;0),(INT(Inputs!$B$43/IF(Inputs!$B$40="pvp",15,MAX(0.1,Skills!D12-IF(Skills!E12=TRUE,Inputs!$B$34,0))))+1),0)</f>
        <v/>
      </c>
    </row>
    <row r="662">
      <c r="A662">
        <f>Skills!A13</f>
        <v/>
      </c>
      <c r="B662">
        <f>Skills!B13</f>
        <v/>
      </c>
      <c r="C662">
        <f>Inputs!$B$3&gt;=107</f>
        <v/>
      </c>
      <c r="D662">
        <f>IF(Skills!C13=1,60+Inputs!$B$27+Inputs!$B$31,IF(Skills!C13=2,90+Inputs!$B$28+Inputs!$B$31,IF(Skills!C13=3,120+Inputs!$B$29+Inputs!$B$31,MAX(0,(Inputs!$B$3-100)*3)+Inputs!$B$30+Inputs!$B$31)))</f>
        <v/>
      </c>
      <c r="E662">
        <f>INDEX(FactorTable!$B$2:$Y$301, MATCH(ROUND(MIN(300,MAX(1,D662)),0), FactorTable!$A$2:$A$301,0), Skills!L13+1)</f>
        <v/>
      </c>
      <c r="F662">
        <f>IF(Skills!M13=TRUE,(Skills!K13/10)*(E662/1000),Skills!K13/10)+Skills!N13</f>
        <v/>
      </c>
      <c r="G662">
        <f>Calc!G13</f>
        <v/>
      </c>
      <c r="H662">
        <f>Calc!H13</f>
        <v/>
      </c>
      <c r="I662">
        <f>IF(Skills!T13&lt;&gt;"",1+(Skills!T13/10)*($Z$3/1000)/100,1)</f>
        <v/>
      </c>
      <c r="J662" t="inlineStr"/>
      <c r="K662" t="inlineStr"/>
      <c r="L662" t="inlineStr"/>
      <c r="M662" t="inlineStr"/>
      <c r="N662" t="inlineStr"/>
      <c r="O662" t="n">
        <v>0</v>
      </c>
      <c r="P662">
        <f>IF(B687=0,0,O662/B687)</f>
        <v/>
      </c>
      <c r="Q662">
        <f>IFERROR(1/IF(Inputs!$B$40="pvp",15,MAX(0.1,Skills!D13-IF(Skills!E13=TRUE,Inputs!$B$34,0))),0)</f>
        <v/>
      </c>
      <c r="R662">
        <f>IF(AND(Inputs!$B$40&lt;&gt;"pvp",Inputs!$B$43&gt;0),(INT(Inputs!$B$43/IF(Inputs!$B$40="pvp",15,MAX(0.1,Skills!D13-IF(Skills!E13=TRUE,Inputs!$B$34,0))))+1),0)</f>
        <v/>
      </c>
    </row>
    <row r="663">
      <c r="A663">
        <f>Skills!A14</f>
        <v/>
      </c>
      <c r="B663">
        <f>Skills!B14</f>
        <v/>
      </c>
      <c r="C663">
        <f>Inputs!$B$3&gt;=63</f>
        <v/>
      </c>
      <c r="D663">
        <f>IF(Skills!C14=1,60+Inputs!$B$27+Inputs!$B$31,IF(Skills!C14=2,90+Inputs!$B$28+Inputs!$B$31,IF(Skills!C14=3,120+Inputs!$B$29+Inputs!$B$31,MAX(0,(Inputs!$B$3-100)*3)+Inputs!$B$30+Inputs!$B$31)))</f>
        <v/>
      </c>
      <c r="E663">
        <f>INDEX(FactorTable!$B$2:$Y$301, MATCH(ROUND(MIN(300,MAX(1,D663)),0), FactorTable!$A$2:$A$301,0), Skills!L14+1)</f>
        <v/>
      </c>
      <c r="F663">
        <f>IF(Skills!M14=TRUE,(Skills!K14/10)*(E663/1000),Skills!K14/10)+Skills!N14</f>
        <v/>
      </c>
      <c r="G663">
        <f>Calc!G14</f>
        <v/>
      </c>
      <c r="H663">
        <f>Calc!H14</f>
        <v/>
      </c>
      <c r="I663">
        <f>IF(Skills!T14&lt;&gt;"",1+(Skills!T14/10)*($Z$3/1000)/100,1)</f>
        <v/>
      </c>
      <c r="J663">
        <f>(Inputs!$B$7*(1+Inputs!$B$8/100))*(F663/100)</f>
        <v/>
      </c>
      <c r="K663">
        <f>J663*(1+(((Inputs!$B$14+IF(Inputs!$B$3&gt;=35,0.10*(Inputs!$B$9*(1+Inputs!$B$10/100)),0))*(1+Inputs!$B$15/100))*0.01+Inputs!$B$16*0.0025)/100)*(1+(Inputs!$B$17+B680)/100)*(1+IF(Inputs!$B$40="pvp",0,(1-Summary!$B$48)*(Inputs!$B$22+Skills!O14+B678)+Summary!$B$48*(Inputs!$B$23+Skills!P14+B679))/100)*(1+Inputs!$B$18/100)*(5000/(6000+Inputs!$B$42*(1-Inputs!$B$21/100)))*(1+Inputs!$B$26/100)*(1+IF(C666=TRUE,F666,0)/100)*(1+IF(C668=TRUE,F668,0)/100)*(1+IF(Skills!A14="TRIUMPH_FEATHER",IF(C664=TRUE,F664,0),0)/100)*(1+IF(C675=TRUE,F675,0)/100)^5*(1+(IF(Skills!A14="BIG_BANG",(Inputs!$B$19+1),Inputs!$B$20))/100)*(B677*I663)</f>
        <v/>
      </c>
      <c r="L663">
        <f>K663*(MIN(Inputs!$B$24+(F670-Calc!F21),Inputs!$B$25)/100+Inputs!$B$25/100)/2</f>
        <v/>
      </c>
      <c r="M663">
        <f>L663*(1+(Inputs!$B$12+B681+(F673-Calc!F24))/100)</f>
        <v/>
      </c>
      <c r="N663">
        <f>L663*(1-MIN(Inputs!$B$11+((F672-Calc!F23)+(F671-Calc!F22)),100)/100)+M663*(MIN(Inputs!$B$11+((F672-Calc!F23)+(F671-Calc!F22)),100)/100)</f>
        <v/>
      </c>
      <c r="O663">
        <f>IF(C663,Skills!F14*N663*((IF(Inputs!$B$3&gt;=78,25,15)/100*B683*10)/(1+IF(Inputs!$B$3&gt;=78,25,15)/100*B683*10))*(Skills!I14/100*B683)/(1+Skills!G14*Skills!I14/100*B683)*IF(Inputs!$B$40="pvp",1,(1-Summary!$B$48)*(1)+Summary!$B$48*(MIN(Skills!Q14,Inputs!$B$39))),0)</f>
        <v/>
      </c>
      <c r="P663">
        <f>IF(B687=0,0,O663/B687)</f>
        <v/>
      </c>
      <c r="Q663">
        <f>IFERROR(1/IF(Inputs!$B$40="pvp",15,MAX(0.1,Skills!D14-IF(Skills!E14=TRUE,Inputs!$B$34,0))),0)</f>
        <v/>
      </c>
      <c r="R663" t="n">
        <v>0</v>
      </c>
    </row>
    <row r="664">
      <c r="A664">
        <f>Skills!A15</f>
        <v/>
      </c>
      <c r="B664">
        <f>Skills!B15</f>
        <v/>
      </c>
      <c r="C664">
        <f>Inputs!$B$3&gt;=100</f>
        <v/>
      </c>
      <c r="D664">
        <f>IF(Skills!C15=1,60+Inputs!$B$27+Inputs!$B$31,IF(Skills!C15=2,90+Inputs!$B$28+Inputs!$B$31,IF(Skills!C15=3,120+Inputs!$B$29+Inputs!$B$31,MAX(0,(Inputs!$B$3-100)*3)+Inputs!$B$30+Inputs!$B$31)))</f>
        <v/>
      </c>
      <c r="E664">
        <f>INDEX(FactorTable!$B$2:$Y$301, MATCH(ROUND(MIN(300,MAX(1,D664)),0), FactorTable!$A$2:$A$301,0), Skills!L15+1)</f>
        <v/>
      </c>
      <c r="F664">
        <f>IF(Skills!M15=TRUE,(Skills!K15/10)*(E664/1000),Skills!K15/10)+Skills!N15</f>
        <v/>
      </c>
      <c r="G664">
        <f>Calc!G15</f>
        <v/>
      </c>
      <c r="H664">
        <f>Calc!H15</f>
        <v/>
      </c>
      <c r="I664">
        <f>IF(Skills!T15&lt;&gt;"",1+(Skills!T15/10)*($Z$3/1000)/100,1)</f>
        <v/>
      </c>
      <c r="J664" t="inlineStr"/>
      <c r="K664" t="inlineStr"/>
      <c r="L664" t="inlineStr"/>
      <c r="M664" t="inlineStr"/>
      <c r="N664" t="inlineStr"/>
      <c r="O664" t="n">
        <v>0</v>
      </c>
      <c r="P664">
        <f>IF(B687=0,0,O664/B687)</f>
        <v/>
      </c>
      <c r="Q664">
        <f>IFERROR(1/IF(Inputs!$B$40="pvp",15,MAX(0.1,Skills!D15-IF(Skills!E15=TRUE,Inputs!$B$34,0))),0)</f>
        <v/>
      </c>
      <c r="R664" t="n">
        <v>0</v>
      </c>
    </row>
    <row r="665">
      <c r="A665">
        <f>Skills!A16</f>
        <v/>
      </c>
      <c r="B665">
        <f>Skills!B16</f>
        <v/>
      </c>
      <c r="C665">
        <f>Inputs!$B$3&gt;=49</f>
        <v/>
      </c>
      <c r="D665">
        <f>IF(Skills!C16=1,60+Inputs!$B$27+Inputs!$B$31,IF(Skills!C16=2,90+Inputs!$B$28+Inputs!$B$31,IF(Skills!C16=3,120+Inputs!$B$29+Inputs!$B$31,MAX(0,(Inputs!$B$3-100)*3)+Inputs!$B$30+Inputs!$B$31)))</f>
        <v/>
      </c>
      <c r="E665">
        <f>INDEX(FactorTable!$B$2:$Y$301, MATCH(ROUND(MIN(300,MAX(1,D665)),0), FactorTable!$A$2:$A$301,0), Skills!L16+1)</f>
        <v/>
      </c>
      <c r="F665">
        <f>IF(Skills!M16=TRUE,(Skills!K16/10)*(E665/1000),Skills!K16/10)+Skills!N16</f>
        <v/>
      </c>
      <c r="G665">
        <f>Calc!G16</f>
        <v/>
      </c>
      <c r="H665">
        <f>Calc!H16</f>
        <v/>
      </c>
      <c r="I665">
        <f>IF(Skills!T16&lt;&gt;"",1+(Skills!T16/10)*($Z$3/1000)/100,1)</f>
        <v/>
      </c>
      <c r="J665" t="inlineStr"/>
      <c r="K665" t="inlineStr"/>
      <c r="L665" t="inlineStr"/>
      <c r="M665" t="inlineStr"/>
      <c r="N665" t="inlineStr"/>
      <c r="O665" t="n">
        <v>0</v>
      </c>
      <c r="P665">
        <f>IF(B687=0,0,O665/B687)</f>
        <v/>
      </c>
      <c r="Q665">
        <f>IFERROR(1/IF(Inputs!$B$40="pvp",15,MAX(0.1,Skills!D16-IF(Skills!E16=TRUE,Inputs!$B$34,0))),0)</f>
        <v/>
      </c>
      <c r="R665" t="n">
        <v>0</v>
      </c>
    </row>
    <row r="666">
      <c r="A666">
        <f>Skills!A17</f>
        <v/>
      </c>
      <c r="B666">
        <f>Skills!B17</f>
        <v/>
      </c>
      <c r="C666">
        <f>Inputs!$B$3&gt;=75</f>
        <v/>
      </c>
      <c r="D666">
        <f>IF(Skills!C17=1,60+Inputs!$B$27+Inputs!$B$31,IF(Skills!C17=2,90+Inputs!$B$28+Inputs!$B$31,IF(Skills!C17=3,120+Inputs!$B$29+Inputs!$B$31,MAX(0,(Inputs!$B$3-100)*3)+Inputs!$B$30+Inputs!$B$31)))</f>
        <v/>
      </c>
      <c r="E666">
        <f>INDEX(FactorTable!$B$2:$Y$301, MATCH(ROUND(MIN(300,MAX(1,D666)),0), FactorTable!$A$2:$A$301,0), Skills!L17+1)</f>
        <v/>
      </c>
      <c r="F666">
        <f>IF(Skills!M17=TRUE,(Skills!K17/10)*(E666/1000),Skills!K17/10)+Skills!N17</f>
        <v/>
      </c>
      <c r="G666">
        <f>Calc!G17</f>
        <v/>
      </c>
      <c r="H666">
        <f>Calc!H17</f>
        <v/>
      </c>
      <c r="I666">
        <f>IF(Skills!T17&lt;&gt;"",1+(Skills!T17/10)*($Z$3/1000)/100,1)</f>
        <v/>
      </c>
      <c r="J666" t="inlineStr"/>
      <c r="K666" t="inlineStr"/>
      <c r="L666" t="inlineStr"/>
      <c r="M666" t="inlineStr"/>
      <c r="N666" t="inlineStr"/>
      <c r="O666" t="n">
        <v>0</v>
      </c>
      <c r="P666">
        <f>IF(B687=0,0,O666/B687)</f>
        <v/>
      </c>
      <c r="Q666">
        <f>IFERROR(1/IF(Inputs!$B$40="pvp",15,MAX(0.1,Skills!D17-IF(Skills!E17=TRUE,Inputs!$B$34,0))),0)</f>
        <v/>
      </c>
      <c r="R666" t="n">
        <v>0</v>
      </c>
    </row>
    <row r="667">
      <c r="A667">
        <f>Skills!A18</f>
        <v/>
      </c>
      <c r="B667">
        <f>Skills!B18</f>
        <v/>
      </c>
      <c r="C667">
        <f>Inputs!$B$3&gt;=110</f>
        <v/>
      </c>
      <c r="D667">
        <f>IF(Skills!C18=1,60+Inputs!$B$27+Inputs!$B$31,IF(Skills!C18=2,90+Inputs!$B$28+Inputs!$B$31,IF(Skills!C18=3,120+Inputs!$B$29+Inputs!$B$31,MAX(0,(Inputs!$B$3-100)*3)+Inputs!$B$30+Inputs!$B$31)))</f>
        <v/>
      </c>
      <c r="E667">
        <f>INDEX(FactorTable!$B$2:$Y$301, MATCH(ROUND(MIN(300,MAX(1,D667)),0), FactorTable!$A$2:$A$301,0), Skills!L18+1)</f>
        <v/>
      </c>
      <c r="F667">
        <f>(Skills!K18/10)*(E667/1000)*64/45+Skills!N18</f>
        <v/>
      </c>
      <c r="G667">
        <f>Calc!G18</f>
        <v/>
      </c>
      <c r="H667">
        <f>Calc!H18</f>
        <v/>
      </c>
      <c r="I667">
        <f>IF(Skills!T18&lt;&gt;"",1+(Skills!T18/10)*($Z$3/1000)/100,1)</f>
        <v/>
      </c>
      <c r="J667" t="inlineStr"/>
      <c r="K667" t="inlineStr"/>
      <c r="L667" t="inlineStr"/>
      <c r="M667" t="inlineStr"/>
      <c r="N667" t="inlineStr"/>
      <c r="O667" t="n">
        <v>0</v>
      </c>
      <c r="P667">
        <f>IF(B687=0,0,O667/B687)</f>
        <v/>
      </c>
      <c r="Q667">
        <f>IFERROR(1/IF(Inputs!$B$40="pvp",15,MAX(0.1,Skills!D18-IF(Skills!E18=TRUE,Inputs!$B$34,0))),0)</f>
        <v/>
      </c>
      <c r="R667">
        <f>IF(AND(Inputs!$B$40&lt;&gt;"pvp",Inputs!$B$43&gt;0),(INT(Inputs!$B$43/IF(Inputs!$B$40="pvp",15,MAX(0.1,Skills!D18-IF(Skills!E18=TRUE,Inputs!$B$34,0))))+1),0)</f>
        <v/>
      </c>
    </row>
    <row r="668">
      <c r="A668">
        <f>Skills!A19</f>
        <v/>
      </c>
      <c r="B668">
        <f>Skills!B19</f>
        <v/>
      </c>
      <c r="C668">
        <f>Inputs!$B$3&gt;=125</f>
        <v/>
      </c>
      <c r="D668">
        <f>IF(Skills!C19=1,60+Inputs!$B$27+Inputs!$B$31,IF(Skills!C19=2,90+Inputs!$B$28+Inputs!$B$31,IF(Skills!C19=3,120+Inputs!$B$29+Inputs!$B$31,MAX(0,(Inputs!$B$3-100)*3)+Inputs!$B$30+Inputs!$B$31)))</f>
        <v/>
      </c>
      <c r="E668">
        <f>INDEX(FactorTable!$B$2:$Y$301, MATCH(ROUND(MIN(300,MAX(1,D668)),0), FactorTable!$A$2:$A$301,0), Skills!L19+1)</f>
        <v/>
      </c>
      <c r="F668">
        <f>IF(Skills!M19=TRUE,(Skills!K19/10)*(E668/1000),Skills!K19/10)+Skills!N19</f>
        <v/>
      </c>
      <c r="G668">
        <f>Calc!G19</f>
        <v/>
      </c>
      <c r="H668">
        <f>Calc!H19</f>
        <v/>
      </c>
      <c r="I668">
        <f>IF(Skills!T19&lt;&gt;"",1+(Skills!T19/10)*($Z$3/1000)/100,1)</f>
        <v/>
      </c>
      <c r="J668" t="inlineStr"/>
      <c r="K668" t="inlineStr"/>
      <c r="L668" t="inlineStr"/>
      <c r="M668" t="inlineStr"/>
      <c r="N668" t="inlineStr"/>
      <c r="O668" t="n">
        <v>0</v>
      </c>
      <c r="P668">
        <f>IF(B687=0,0,O668/B687)</f>
        <v/>
      </c>
      <c r="Q668">
        <f>IFERROR(1/IF(Inputs!$B$40="pvp",15,MAX(0.1,Skills!D19-IF(Skills!E19=TRUE,Inputs!$B$34,0))),0)</f>
        <v/>
      </c>
      <c r="R668" t="n">
        <v>0</v>
      </c>
    </row>
    <row r="669">
      <c r="A669">
        <f>Skills!A20</f>
        <v/>
      </c>
      <c r="B669">
        <f>Skills!B20</f>
        <v/>
      </c>
      <c r="C669">
        <f>Inputs!$B$3&gt;=33</f>
        <v/>
      </c>
      <c r="D669">
        <f>IF(Skills!C20=1,60+Inputs!$B$27+Inputs!$B$31,IF(Skills!C20=2,90+Inputs!$B$28+Inputs!$B$31,IF(Skills!C20=3,120+Inputs!$B$29+Inputs!$B$31,MAX(0,(Inputs!$B$3-100)*3)+Inputs!$B$30+Inputs!$B$31)))</f>
        <v/>
      </c>
      <c r="E669">
        <f>INDEX(FactorTable!$B$2:$Y$301, MATCH(ROUND(MIN(300,MAX(1,D669)),0), FactorTable!$A$2:$A$301,0), Skills!L20+1)</f>
        <v/>
      </c>
      <c r="F669">
        <f>IF(Skills!M20=TRUE,(Skills!K20/10)*(E669/1000),Skills!K20/10)+Skills!N20</f>
        <v/>
      </c>
      <c r="G669">
        <f>Calc!G20</f>
        <v/>
      </c>
      <c r="H669">
        <f>Calc!H20</f>
        <v/>
      </c>
      <c r="I669">
        <f>IF(Skills!T20&lt;&gt;"",1+(Skills!T20/10)*($Z$3/1000)/100,1)</f>
        <v/>
      </c>
      <c r="J669" t="inlineStr"/>
      <c r="K669" t="inlineStr"/>
      <c r="L669" t="inlineStr"/>
      <c r="M669" t="inlineStr"/>
      <c r="N669" t="inlineStr"/>
      <c r="O669" t="n">
        <v>0</v>
      </c>
      <c r="P669">
        <f>IF(B687=0,0,O669/B687)</f>
        <v/>
      </c>
      <c r="Q669">
        <f>IFERROR(1/IF(Inputs!$B$40="pvp",15,MAX(0.1,Skills!D20-IF(Skills!E20=TRUE,Inputs!$B$34,0))),0)</f>
        <v/>
      </c>
      <c r="R669" t="n">
        <v>0</v>
      </c>
    </row>
    <row r="670">
      <c r="A670">
        <f>Skills!A21</f>
        <v/>
      </c>
      <c r="B670">
        <f>Skills!B21</f>
        <v/>
      </c>
      <c r="C670">
        <f>Inputs!$B$3&gt;=43</f>
        <v/>
      </c>
      <c r="D670">
        <f>IF(Skills!C21=1,60+Inputs!$B$27+Inputs!$B$31,IF(Skills!C21=2,90+Inputs!$B$28+Inputs!$B$31,IF(Skills!C21=3,120+Inputs!$B$29+Inputs!$B$31,MAX(0,(Inputs!$B$3-100)*3)+Inputs!$B$30+Inputs!$B$31)))</f>
        <v/>
      </c>
      <c r="E670">
        <f>INDEX(FactorTable!$B$2:$Y$301, MATCH(ROUND(MIN(300,MAX(1,D670)),0), FactorTable!$A$2:$A$301,0), Skills!L21+1)</f>
        <v/>
      </c>
      <c r="F670">
        <f>IF(Skills!M21=TRUE,(Skills!K21/10)*(E670/1000),Skills!K21/10)+Skills!N21</f>
        <v/>
      </c>
      <c r="G670">
        <f>Calc!G21</f>
        <v/>
      </c>
      <c r="H670">
        <f>Calc!H21</f>
        <v/>
      </c>
      <c r="I670">
        <f>IF(Skills!T21&lt;&gt;"",1+(Skills!T21/10)*($Z$3/1000)/100,1)</f>
        <v/>
      </c>
      <c r="J670" t="inlineStr"/>
      <c r="K670" t="inlineStr"/>
      <c r="L670" t="inlineStr"/>
      <c r="M670" t="inlineStr"/>
      <c r="N670" t="inlineStr"/>
      <c r="O670" t="n">
        <v>0</v>
      </c>
      <c r="P670">
        <f>IF(B687=0,0,O670/B687)</f>
        <v/>
      </c>
      <c r="Q670">
        <f>IFERROR(1/IF(Inputs!$B$40="pvp",15,MAX(0.1,Skills!D21-IF(Skills!E21=TRUE,Inputs!$B$34,0))),0)</f>
        <v/>
      </c>
      <c r="R670" t="n">
        <v>0</v>
      </c>
    </row>
    <row r="671">
      <c r="A671">
        <f>Skills!A22</f>
        <v/>
      </c>
      <c r="B671">
        <f>Skills!B22</f>
        <v/>
      </c>
      <c r="C671">
        <f>Inputs!$B$3&gt;=50</f>
        <v/>
      </c>
      <c r="D671">
        <f>IF(Skills!C22=1,60+Inputs!$B$27+Inputs!$B$31,IF(Skills!C22=2,90+Inputs!$B$28+Inputs!$B$31,IF(Skills!C22=3,120+Inputs!$B$29+Inputs!$B$31,MAX(0,(Inputs!$B$3-100)*3)+Inputs!$B$30+Inputs!$B$31)))</f>
        <v/>
      </c>
      <c r="E671">
        <f>INDEX(FactorTable!$B$2:$Y$301, MATCH(ROUND(MIN(300,MAX(1,D671)),0), FactorTable!$A$2:$A$301,0), Skills!L22+1)</f>
        <v/>
      </c>
      <c r="F671">
        <f>IF(Skills!M22=TRUE,(Skills!K22/10)*(E671/1000),Skills!K22/10)+Skills!N22</f>
        <v/>
      </c>
      <c r="G671">
        <f>Calc!G22</f>
        <v/>
      </c>
      <c r="H671">
        <f>Calc!H22</f>
        <v/>
      </c>
      <c r="I671">
        <f>IF(Skills!T22&lt;&gt;"",1+(Skills!T22/10)*($Z$3/1000)/100,1)</f>
        <v/>
      </c>
      <c r="J671" t="inlineStr"/>
      <c r="K671" t="inlineStr"/>
      <c r="L671" t="inlineStr"/>
      <c r="M671" t="inlineStr"/>
      <c r="N671" t="inlineStr"/>
      <c r="O671" t="n">
        <v>0</v>
      </c>
      <c r="P671">
        <f>IF(B687=0,0,O671/B687)</f>
        <v/>
      </c>
      <c r="Q671">
        <f>IFERROR(1/IF(Inputs!$B$40="pvp",15,MAX(0.1,Skills!D22-IF(Skills!E22=TRUE,Inputs!$B$34,0))),0)</f>
        <v/>
      </c>
      <c r="R671" t="n">
        <v>0</v>
      </c>
    </row>
    <row r="672">
      <c r="A672">
        <f>Skills!A23</f>
        <v/>
      </c>
      <c r="B672">
        <f>Skills!B23</f>
        <v/>
      </c>
      <c r="C672">
        <f>Inputs!$B$3&gt;=74</f>
        <v/>
      </c>
      <c r="D672">
        <f>IF(Skills!C23=1,60+Inputs!$B$27+Inputs!$B$31,IF(Skills!C23=2,90+Inputs!$B$28+Inputs!$B$31,IF(Skills!C23=3,120+Inputs!$B$29+Inputs!$B$31,MAX(0,(Inputs!$B$3-100)*3)+Inputs!$B$30+Inputs!$B$31)))</f>
        <v/>
      </c>
      <c r="E672">
        <f>INDEX(FactorTable!$B$2:$Y$301, MATCH(ROUND(MIN(300,MAX(1,D672)),0), FactorTable!$A$2:$A$301,0), Skills!L23+1)</f>
        <v/>
      </c>
      <c r="F672">
        <f>IF(Skills!M23=TRUE,(Skills!K23/10)*(E672/1000),Skills!K23/10)+Skills!N23</f>
        <v/>
      </c>
      <c r="G672">
        <f>Calc!G23</f>
        <v/>
      </c>
      <c r="H672">
        <f>Calc!H23</f>
        <v/>
      </c>
      <c r="I672">
        <f>IF(Skills!T23&lt;&gt;"",1+(Skills!T23/10)*($Z$3/1000)/100,1)</f>
        <v/>
      </c>
      <c r="J672" t="inlineStr"/>
      <c r="K672" t="inlineStr"/>
      <c r="L672" t="inlineStr"/>
      <c r="M672" t="inlineStr"/>
      <c r="N672" t="inlineStr"/>
      <c r="O672" t="n">
        <v>0</v>
      </c>
      <c r="P672">
        <f>IF(B687=0,0,O672/B687)</f>
        <v/>
      </c>
      <c r="Q672">
        <f>IFERROR(1/IF(Inputs!$B$40="pvp",15,MAX(0.1,Skills!D23-IF(Skills!E23=TRUE,Inputs!$B$34,0))),0)</f>
        <v/>
      </c>
      <c r="R672" t="n">
        <v>0</v>
      </c>
    </row>
    <row r="673">
      <c r="A673">
        <f>Skills!A24</f>
        <v/>
      </c>
      <c r="B673">
        <f>Skills!B24</f>
        <v/>
      </c>
      <c r="C673">
        <f>Inputs!$B$3&gt;=74</f>
        <v/>
      </c>
      <c r="D673">
        <f>IF(Skills!C24=1,60+Inputs!$B$27+Inputs!$B$31,IF(Skills!C24=2,90+Inputs!$B$28+Inputs!$B$31,IF(Skills!C24=3,120+Inputs!$B$29+Inputs!$B$31,MAX(0,(Inputs!$B$3-100)*3)+Inputs!$B$30+Inputs!$B$31)))</f>
        <v/>
      </c>
      <c r="E673">
        <f>INDEX(FactorTable!$B$2:$Y$301, MATCH(ROUND(MIN(300,MAX(1,D673)),0), FactorTable!$A$2:$A$301,0), Skills!L24+1)</f>
        <v/>
      </c>
      <c r="F673">
        <f>IF(Skills!M24=TRUE,(Skills!K24/10)*(E673/1000),Skills!K24/10)+Skills!N24</f>
        <v/>
      </c>
      <c r="G673">
        <f>Calc!G24</f>
        <v/>
      </c>
      <c r="H673">
        <f>Calc!H24</f>
        <v/>
      </c>
      <c r="I673">
        <f>IF(Skills!T24&lt;&gt;"",1+(Skills!T24/10)*($Z$3/1000)/100,1)</f>
        <v/>
      </c>
      <c r="J673" t="inlineStr"/>
      <c r="K673" t="inlineStr"/>
      <c r="L673" t="inlineStr"/>
      <c r="M673" t="inlineStr"/>
      <c r="N673" t="inlineStr"/>
      <c r="O673" t="n">
        <v>0</v>
      </c>
      <c r="P673">
        <f>IF(B687=0,0,O673/B687)</f>
        <v/>
      </c>
      <c r="Q673">
        <f>IFERROR(1/IF(Inputs!$B$40="pvp",15,MAX(0.1,Skills!D24-IF(Skills!E24=TRUE,Inputs!$B$34,0))),0)</f>
        <v/>
      </c>
      <c r="R673" t="n">
        <v>0</v>
      </c>
    </row>
    <row r="674">
      <c r="A674">
        <f>Skills!A25</f>
        <v/>
      </c>
      <c r="B674">
        <f>Skills!B25</f>
        <v/>
      </c>
      <c r="C674">
        <f>Inputs!$B$3&gt;=117</f>
        <v/>
      </c>
      <c r="D674">
        <f>IF(Skills!C25=1,60+Inputs!$B$27+Inputs!$B$31,IF(Skills!C25=2,90+Inputs!$B$28+Inputs!$B$31,IF(Skills!C25=3,120+Inputs!$B$29+Inputs!$B$31,MAX(0,(Inputs!$B$3-100)*3)+Inputs!$B$30+Inputs!$B$31)))</f>
        <v/>
      </c>
      <c r="E674">
        <f>INDEX(FactorTable!$B$2:$Y$301, MATCH(ROUND(MIN(300,MAX(1,D674)),0), FactorTable!$A$2:$A$301,0), Skills!L25+1)</f>
        <v/>
      </c>
      <c r="F674">
        <f>IF(Skills!M25=TRUE,(Skills!K25/10)*(E674/1000),Skills!K25/10)+Skills!N25</f>
        <v/>
      </c>
      <c r="G674">
        <f>Calc!G25</f>
        <v/>
      </c>
      <c r="H674">
        <f>Calc!H25</f>
        <v/>
      </c>
      <c r="I674">
        <f>IF(Skills!T25&lt;&gt;"",1+(Skills!T25/10)*($Z$3/1000)/100,1)</f>
        <v/>
      </c>
      <c r="J674" t="inlineStr"/>
      <c r="K674" t="inlineStr"/>
      <c r="L674" t="inlineStr"/>
      <c r="M674" t="inlineStr"/>
      <c r="N674" t="inlineStr"/>
      <c r="O674" t="n">
        <v>0</v>
      </c>
      <c r="P674">
        <f>IF(B687=0,0,O674/B687)</f>
        <v/>
      </c>
      <c r="Q674">
        <f>IFERROR(1/IF(Inputs!$B$40="pvp",15,MAX(0.1,Skills!D25-IF(Skills!E25=TRUE,Inputs!$B$34,0))),0)</f>
        <v/>
      </c>
      <c r="R674" t="n">
        <v>0</v>
      </c>
    </row>
    <row r="675">
      <c r="A675">
        <f>Skills!A26</f>
        <v/>
      </c>
      <c r="B675">
        <f>Skills!B26</f>
        <v/>
      </c>
      <c r="C675">
        <f>Inputs!$B$3&gt;=120</f>
        <v/>
      </c>
      <c r="D675">
        <f>IF(Skills!C26=1,60+Inputs!$B$27+Inputs!$B$31,IF(Skills!C26=2,90+Inputs!$B$28+Inputs!$B$31,IF(Skills!C26=3,120+Inputs!$B$29+Inputs!$B$31,MAX(0,(Inputs!$B$3-100)*3)+Inputs!$B$30+Inputs!$B$31)))</f>
        <v/>
      </c>
      <c r="E675">
        <f>INDEX(FactorTable!$B$2:$Y$301, MATCH(ROUND(MIN(300,MAX(1,D675)),0), FactorTable!$A$2:$A$301,0), Skills!L26+1)</f>
        <v/>
      </c>
      <c r="F675">
        <f>IF(Skills!M26=TRUE,(Skills!K26/10)*(E675/1000),Skills!K26/10)+Skills!N26</f>
        <v/>
      </c>
      <c r="G675">
        <f>Calc!G26</f>
        <v/>
      </c>
      <c r="H675">
        <f>Calc!H26</f>
        <v/>
      </c>
      <c r="I675">
        <f>IF(Skills!T26&lt;&gt;"",1+(Skills!T26/10)*($Z$3/1000)/100,1)</f>
        <v/>
      </c>
      <c r="J675" t="inlineStr"/>
      <c r="K675" t="inlineStr"/>
      <c r="L675" t="inlineStr"/>
      <c r="M675" t="inlineStr"/>
      <c r="N675" t="inlineStr"/>
      <c r="O675" t="n">
        <v>0</v>
      </c>
      <c r="P675">
        <f>IF(B687=0,0,O675/B687)</f>
        <v/>
      </c>
      <c r="Q675">
        <f>IFERROR(1/IF(Inputs!$B$40="pvp",15,MAX(0.1,Skills!D26-IF(Skills!E26=TRUE,Inputs!$B$34,0))),0)</f>
        <v/>
      </c>
      <c r="R675" t="n">
        <v>0</v>
      </c>
    </row>
    <row r="677">
      <c r="A677" t="inlineStr">
        <is>
          <t>Average Buff Multiplier</t>
        </is>
      </c>
      <c r="B677">
        <f>(1+(IF(C652=TRUE,F652*IF(AND(Inputs!$B$40&lt;&gt;"pvp",Inputs!$B$43&gt;0),(((R652-1)*(Skills!S3*(1+(Inputs!$B$36+IF(Inputs!$B$3&gt;=117,F674,0))/100))+MIN((Skills!S3*(1+(Inputs!$B$36+IF(Inputs!$B$3&gt;=117,F674,0))/100)),MAX(0,Inputs!$B$43-((R652-1)*Skills!D3))))/Inputs!$B$43),IF(Inputs!$B$40="pvp",MIN((Skills!S3*(1+(Inputs!$B$36+IF(Inputs!$B$3&gt;=117,F674,0))/100)),15)/15,(Skills!S3*(1+(Inputs!$B$36+IF(Inputs!$B$3&gt;=117,F674,0))/100))/Skills!D3)),0)+IF(C653=TRUE,F653*IF(AND(Inputs!$B$40&lt;&gt;"pvp",Inputs!$B$43&gt;0),(((R653-1)*(Skills!S4*(1+(Inputs!$B$36+IF(Inputs!$B$3&gt;=117,F674,0))/100))+MIN((Skills!S4*(1+(Inputs!$B$36+IF(Inputs!$B$3&gt;=117,F674,0))/100)),MAX(0,Inputs!$B$43-((R653-1)*Skills!D4))))/Inputs!$B$43),IF(Inputs!$B$40="pvp",MIN((Skills!S4*(1+(Inputs!$B$36+IF(Inputs!$B$3&gt;=117,F674,0))/100)),15)/15,(Skills!S4*(1+(Inputs!$B$36+IF(Inputs!$B$3&gt;=117,F674,0))/100))/Skills!D4)),0)+IF(C654=TRUE,F654*IF(AND(Inputs!$B$40&lt;&gt;"pvp",Inputs!$B$43&gt;0),(((R654-1)*(Skills!S5*(1+(Inputs!$B$36+IF(Inputs!$B$3&gt;=117,F674,0))/100))+MIN((Skills!S5*(1+(Inputs!$B$36+IF(Inputs!$B$3&gt;=117,F674,0))/100)),MAX(0,Inputs!$B$43-((R654-1)*Skills!D5))))/Inputs!$B$43),IF(Inputs!$B$40="pvp",MIN((Skills!S5*(1+(Inputs!$B$36+IF(Inputs!$B$3&gt;=117,F674,0))/100)),15)/15,(Skills!S5*(1+(Inputs!$B$36+IF(Inputs!$B$3&gt;=117,F674,0))/100))/Skills!D5)),0)+IF(C660=TRUE,F660*IF(AND(Inputs!$B$40&lt;&gt;"pvp",Inputs!$B$43&gt;0),(((R660-1)*(Skills!S11*(1+(Inputs!$B$36+IF(Inputs!$B$3&gt;=117,F674,0))/100))+MIN((Skills!S11*(1+(Inputs!$B$36+IF(Inputs!$B$3&gt;=117,F674,0))/100)),MAX(0,Inputs!$B$43-((R660-1)*Skills!D11))))/Inputs!$B$43),IF(Inputs!$B$40="pvp",MIN((Skills!S11*(1+(Inputs!$B$36+IF(Inputs!$B$3&gt;=117,F674,0))/100)),15)/15,(Skills!S11*(1+(Inputs!$B$36+IF(Inputs!$B$3&gt;=117,F674,0))/100))/Skills!D11)),0))/100)*IF(C662=TRUE,(1+F662*IF(AND(Inputs!$B$40&lt;&gt;"pvp",Inputs!$B$43&gt;0),(((R662-1)*(Skills!S13*(1+(Inputs!$B$36+IF(Inputs!$B$3&gt;=117,F674,0))/100))+MIN((Skills!S13*(1+(Inputs!$B$36+IF(Inputs!$B$3&gt;=117,F674,0))/100)),MAX(0,Inputs!$B$43-((R662-1)*Skills!D13))))/Inputs!$B$43),IF(Inputs!$B$40="pvp",MIN((Skills!S13*(1+(Inputs!$B$36+IF(Inputs!$B$3&gt;=117,F674,0))/100)),15)/15,(Skills!S13*(1+(Inputs!$B$36+IF(Inputs!$B$3&gt;=117,F674,0))/100))/Skills!D13))/100),1)*IF(C667=TRUE,(1+F667*IF(AND(Inputs!$B$40&lt;&gt;"pvp",Inputs!$B$43&gt;0),(((R667-1)*(Skills!S18*(1+(Inputs!$B$36+IF(Inputs!$B$3&gt;=117,F674,0))/100))+MIN((Skills!S18*(1+(Inputs!$B$36+IF(Inputs!$B$3&gt;=117,F674,0))/100)),MAX(0,Inputs!$B$43-((R667-1)*Skills!D18))))/Inputs!$B$43),IF(Inputs!$B$40="pvp",MIN((Skills!S18*(1+(Inputs!$B$36+IF(Inputs!$B$3&gt;=117,F674,0))/100)),15)/15,(Skills!S18*(1+(Inputs!$B$36+IF(Inputs!$B$3&gt;=117,F674,0))/100))/Skills!D18))/100),1)</f>
        <v/>
      </c>
    </row>
    <row r="678">
      <c r="A678" t="inlineStr">
        <is>
          <t>Monster Damage Taken Bonus % (Holy Fountain)</t>
        </is>
      </c>
      <c r="B678">
        <f>IF(Inputs!$B$3&gt;=68,20*IF(Inputs!$B$40="pvp",MIN((15*(1+(Inputs!$B$36+IF(Inputs!$B$3&gt;=117,F674,0))/100)),15)/15,(15*(1+(Inputs!$B$36+IF(Inputs!$B$3&gt;=117,F674,0))/100))/Skills!D10),0)</f>
        <v/>
      </c>
    </row>
    <row r="679">
      <c r="A679" t="inlineStr">
        <is>
          <t>Normal Monster Damage Bonus % (Holy Symbol)</t>
        </is>
      </c>
      <c r="B679">
        <f>IF(C661=TRUE,F661*IF(AND(Inputs!$B$40&lt;&gt;"pvp",Inputs!$B$43&gt;0),(((R661-1)*(Skills!S12*(1+(Inputs!$B$36+IF(Inputs!$B$3&gt;=117,F674,0))/100))+MIN((Skills!S12*(1+(Inputs!$B$36+IF(Inputs!$B$3&gt;=117,F674,0))/100)),MAX(0,Inputs!$B$43-((R661-1)*Skills!D12))))/Inputs!$B$43),IF(Inputs!$B$40="pvp",MIN((Skills!S12*(1+(Inputs!$B$36+IF(Inputs!$B$3&gt;=117,F674,0))/100)),15)/15,(Skills!S12*(1+(Inputs!$B$36+IF(Inputs!$B$3&gt;=117,F674,0))/100))/Skills!D12)),0)</f>
        <v/>
      </c>
    </row>
    <row r="680">
      <c r="A680" t="inlineStr">
        <is>
          <t>Damage % Bonus (Holy Symbol - Damage Boost)</t>
        </is>
      </c>
      <c r="B680">
        <f>Skills!O12</f>
        <v/>
      </c>
    </row>
    <row r="681">
      <c r="A681" t="inlineStr">
        <is>
          <t>Crit Damage % Bonus (Blood of the Divine)</t>
        </is>
      </c>
      <c r="B681">
        <f>4*IF(C668=TRUE,F668,0)</f>
        <v/>
      </c>
    </row>
    <row r="682">
      <c r="A682" t="inlineStr">
        <is>
          <t>Attack Speed Bonus %</t>
        </is>
      </c>
      <c r="B682">
        <f>IF(C665=TRUE,F665+(F669-Calc!F20),0)+IF(Inputs!$B$3&gt;=134,15,0)</f>
        <v/>
      </c>
    </row>
    <row r="683">
      <c r="A683" t="inlineStr">
        <is>
          <t>Actions Per Second</t>
        </is>
      </c>
      <c r="B683">
        <f>1+MIN(150,150*(1-(1-Inputs!$B$13/150)*(1-B682/150)))/100</f>
        <v/>
      </c>
    </row>
    <row r="684">
      <c r="A684" t="inlineStr">
        <is>
          <t>Skill + Buff Cast Rate</t>
        </is>
      </c>
      <c r="B684">
        <f>IF(AND(Inputs!$B$40&lt;&gt;"pvp",Inputs!$B$43&gt;0),SUMPRODUCT((Skills!E2:E26=TRUE)*(C651:C675=TRUE)*R651:R675)/Inputs!$B$43,SUMPRODUCT((Skills!E2:E26=TRUE)*(C651:C675=TRUE)*Q651:Q675))</f>
        <v/>
      </c>
    </row>
    <row r="685">
      <c r="A685" t="inlineStr">
        <is>
          <t>Big Bang Casts Per Second</t>
        </is>
      </c>
      <c r="B685">
        <f>MAX(0,B683-B684)</f>
        <v/>
      </c>
    </row>
    <row r="687">
      <c r="A687" s="5" t="inlineStr">
        <is>
          <t>TOTAL DPS</t>
        </is>
      </c>
      <c r="B687" s="5">
        <f>SUM(O651:O675)</f>
        <v/>
      </c>
    </row>
    <row r="690">
      <c r="A690" s="5" t="inlineStr">
        <is>
          <t>Stat: SKILL_DAMAGE %</t>
        </is>
      </c>
    </row>
    <row r="691">
      <c r="A691" s="9" t="inlineStr">
        <is>
          <t>Key</t>
        </is>
      </c>
      <c r="B691" s="9" t="inlineStr">
        <is>
          <t>Name</t>
        </is>
      </c>
      <c r="C691" s="9" t="inlineStr">
        <is>
          <t>Unlocked</t>
        </is>
      </c>
      <c r="D691" s="9" t="inlineStr">
        <is>
          <t>InputLevel</t>
        </is>
      </c>
      <c r="E691" s="9" t="inlineStr">
        <is>
          <t>Factor</t>
        </is>
      </c>
      <c r="F691" s="9" t="inlineStr">
        <is>
          <t>CoefficientPercent</t>
        </is>
      </c>
      <c r="G691" s="9" t="inlineStr">
        <is>
          <t>EffectiveHits</t>
        </is>
      </c>
      <c r="H691" s="9" t="inlineStr">
        <is>
          <t>ProcProbability</t>
        </is>
      </c>
      <c r="I691" s="9" t="inlineStr">
        <is>
          <t>MapleHeroMultiplier</t>
        </is>
      </c>
      <c r="J691" s="9" t="inlineStr">
        <is>
          <t>BaseDamage</t>
        </is>
      </c>
      <c r="K691" s="9" t="inlineStr">
        <is>
          <t>BaseHitDamage</t>
        </is>
      </c>
      <c r="L691" s="9" t="inlineStr">
        <is>
          <t>NonCritAvg</t>
        </is>
      </c>
      <c r="M691" s="9" t="inlineStr">
        <is>
          <t>CritAvg</t>
        </is>
      </c>
      <c r="N691" s="9" t="inlineStr">
        <is>
          <t>ExpectedDamage(perHit)</t>
        </is>
      </c>
      <c r="O691" s="9" t="inlineStr">
        <is>
          <t>DPS</t>
        </is>
      </c>
      <c r="P691" s="9" t="inlineStr">
        <is>
          <t>% of Total</t>
        </is>
      </c>
      <c r="R691" t="inlineStr">
        <is>
          <t>helpers</t>
        </is>
      </c>
    </row>
    <row r="692">
      <c r="A692">
        <f>Skills!A2</f>
        <v/>
      </c>
      <c r="B692">
        <f>Skills!B2</f>
        <v/>
      </c>
      <c r="C692">
        <f>Inputs!$B$3&gt;=100</f>
        <v/>
      </c>
      <c r="D692" t="inlineStr"/>
      <c r="E692" t="inlineStr"/>
      <c r="F692">
        <f>T694+Skills!N2</f>
        <v/>
      </c>
      <c r="G692">
        <f>Calc!G2</f>
        <v/>
      </c>
      <c r="H692">
        <f>Calc!H2</f>
        <v/>
      </c>
      <c r="I692">
        <f>IF(Skills!T2&lt;&gt;"",1+(Skills!T2/10)*($Z$3/1000)/100,1)</f>
        <v/>
      </c>
      <c r="J692">
        <f>(Inputs!$B$7*(1+Inputs!$B$8/100))*(F692/100)</f>
        <v/>
      </c>
      <c r="K692">
        <f>J692*(1+(((Inputs!$B$14+IF(Inputs!$B$3&gt;=35,0.10*(Inputs!$B$9*(1+Inputs!$B$10/100)),0))*(1+Inputs!$B$15/100))*0.01+Inputs!$B$16*0.0025)/100)*(1+(Inputs!$B$17+B721)/100)*(1+IF(Inputs!$B$40="pvp",0,(1-Summary!$B$48)*(Inputs!$B$22+Skills!O2+B719)+Summary!$B$48*(Inputs!$B$23+Skills!P2+B720))/100)*(1+Inputs!$B$18/100)*(5000/(6000+Inputs!$B$42*(1-Inputs!$B$21/100)))*(1+Inputs!$B$26/100)*(1+IF(C707=TRUE,F707,0)/100)*(1+IF(C709=TRUE,F709,0)/100)*(1+IF(Skills!A2="TRIUMPH_FEATHER",IF(C705=TRUE,F705,0),0)/100)*(1+IF(C716=TRUE,F716,0)/100)^5*(1+(IF(Skills!A2="BIG_BANG",Inputs!$B$19,(Inputs!$B$20+1)))/100)*(B718*I692)</f>
        <v/>
      </c>
      <c r="L692">
        <f>K692*(MIN(Inputs!$B$24+(F711-Calc!F21),Inputs!$B$25)/100+Inputs!$B$25/100)/2</f>
        <v/>
      </c>
      <c r="M692">
        <f>L692*(1+(Inputs!$B$12+B722+(F714-Calc!F24))/100)</f>
        <v/>
      </c>
      <c r="N692">
        <f>L692*(1-MIN(Inputs!$B$11+((F713-Calc!F23)+(F712-Calc!F22)),100)/100)+M692*(MIN(Inputs!$B$11+((F713-Calc!F23)+(F712-Calc!F22)),100)/100)</f>
        <v/>
      </c>
      <c r="O692">
        <f>IF(C692,Skills!F2*N692*B726*IF(Inputs!$B$40="pvp",1,(1-Summary!$B$48)*(1)+Summary!$B$48*(MIN((6+Inputs!$B$35),Inputs!$B$39))),0)</f>
        <v/>
      </c>
      <c r="P692">
        <f>IF(B728=0,0,O692/B728)</f>
        <v/>
      </c>
      <c r="Q692">
        <f>IFERROR(1/IF(Inputs!$B$40="pvp",15,MAX(0.1,Skills!D2-IF(Skills!E2=TRUE,Inputs!$B$34,0))),0)</f>
        <v/>
      </c>
      <c r="R692" t="n">
        <v>0</v>
      </c>
      <c r="T692">
        <f>MAX(0,(Inputs!$B$3-100)*3)+Inputs!$B$30+Inputs!$B$31</f>
        <v/>
      </c>
    </row>
    <row r="693">
      <c r="A693">
        <f>Skills!A3</f>
        <v/>
      </c>
      <c r="B693">
        <f>Skills!B3</f>
        <v/>
      </c>
      <c r="C693">
        <f>Inputs!$B$3&gt;=15</f>
        <v/>
      </c>
      <c r="D693">
        <f>IF(Skills!C3=1,60+Inputs!$B$27+Inputs!$B$31,IF(Skills!C3=2,90+Inputs!$B$28+Inputs!$B$31,IF(Skills!C3=3,120+Inputs!$B$29+Inputs!$B$31,MAX(0,(Inputs!$B$3-100)*3)+Inputs!$B$30+Inputs!$B$31)))</f>
        <v/>
      </c>
      <c r="E693">
        <f>INDEX(FactorTable!$B$2:$Y$301, MATCH(ROUND(MIN(300,MAX(1,D693)),0), FactorTable!$A$2:$A$301,0), Skills!L3+1)</f>
        <v/>
      </c>
      <c r="F693">
        <f>IF(Skills!M3=TRUE,(Skills!K3/10)*(E693/1000),Skills!K3/10)+Skills!N3</f>
        <v/>
      </c>
      <c r="G693">
        <f>Calc!G3</f>
        <v/>
      </c>
      <c r="H693">
        <f>Calc!H3</f>
        <v/>
      </c>
      <c r="I693">
        <f>IF(Skills!T3&lt;&gt;"",1+(Skills!T3/10)*($Z$3/1000)/100,1)</f>
        <v/>
      </c>
      <c r="J693" t="inlineStr"/>
      <c r="K693" t="inlineStr"/>
      <c r="L693" t="inlineStr"/>
      <c r="M693" t="inlineStr"/>
      <c r="N693" t="inlineStr"/>
      <c r="O693" t="n">
        <v>0</v>
      </c>
      <c r="P693">
        <f>IF(B728=0,0,O693/B728)</f>
        <v/>
      </c>
      <c r="Q693">
        <f>IFERROR(1/IF(Inputs!$B$40="pvp",15,MAX(0.1,Skills!D3-IF(Skills!E3=TRUE,Inputs!$B$34,0))),0)</f>
        <v/>
      </c>
      <c r="R693">
        <f>IF(AND(Inputs!$B$40&lt;&gt;"pvp",Inputs!$B$43&gt;0),(INT(Inputs!$B$43/IF(Inputs!$B$40="pvp",15,MAX(0.1,Skills!D3-IF(Skills!E3=TRUE,Inputs!$B$34,0))))+1),0)</f>
        <v/>
      </c>
      <c r="T693">
        <f>INDEX(FactorTable!$B$2:$Y$301, MATCH(ROUND(MIN(300,MAX(1,T692)),0), FactorTable!$A$2:$A$301,0), 22)</f>
        <v/>
      </c>
    </row>
    <row r="694">
      <c r="A694">
        <f>Skills!A4</f>
        <v/>
      </c>
      <c r="B694">
        <f>Skills!B4</f>
        <v/>
      </c>
      <c r="C694">
        <f>Inputs!$B$3&gt;=38</f>
        <v/>
      </c>
      <c r="D694">
        <f>IF(Skills!C4=1,60+Inputs!$B$27+Inputs!$B$31,IF(Skills!C4=2,90+Inputs!$B$28+Inputs!$B$31,IF(Skills!C4=3,120+Inputs!$B$29+Inputs!$B$31,MAX(0,(Inputs!$B$3-100)*3)+Inputs!$B$30+Inputs!$B$31)))</f>
        <v/>
      </c>
      <c r="E694">
        <f>INDEX(FactorTable!$B$2:$Y$301, MATCH(ROUND(MIN(300,MAX(1,D694)),0), FactorTable!$A$2:$A$301,0), Skills!L4+1)</f>
        <v/>
      </c>
      <c r="F694">
        <f>IF(Skills!M4=TRUE,(Skills!K4/10)*(E694/1000),Skills!K4/10)+Skills!N4</f>
        <v/>
      </c>
      <c r="G694">
        <f>Calc!G4</f>
        <v/>
      </c>
      <c r="H694">
        <f>Calc!H4</f>
        <v/>
      </c>
      <c r="I694">
        <f>IF(Skills!T4&lt;&gt;"",1+(Skills!T4/10)*($Z$3/1000)/100,1)</f>
        <v/>
      </c>
      <c r="J694" t="inlineStr"/>
      <c r="K694" t="inlineStr"/>
      <c r="L694" t="inlineStr"/>
      <c r="M694" t="inlineStr"/>
      <c r="N694" t="inlineStr"/>
      <c r="O694" t="n">
        <v>0</v>
      </c>
      <c r="P694">
        <f>IF(B728=0,0,O694/B728)</f>
        <v/>
      </c>
      <c r="Q694">
        <f>IFERROR(1/IF(Inputs!$B$40="pvp",15,MAX(0.1,Skills!D4-IF(Skills!E4=TRUE,Inputs!$B$34,0))),0)</f>
        <v/>
      </c>
      <c r="R694">
        <f>IF(AND(Inputs!$B$40&lt;&gt;"pvp",Inputs!$B$43&gt;0),(INT(Inputs!$B$43/IF(Inputs!$B$40="pvp",15,MAX(0.1,Skills!D4-IF(Skills!E4=TRUE,Inputs!$B$34,0))))+1),0)</f>
        <v/>
      </c>
      <c r="T694">
        <f>290*T693/1000</f>
        <v/>
      </c>
    </row>
    <row r="695">
      <c r="A695">
        <f>Skills!A5</f>
        <v/>
      </c>
      <c r="B695">
        <f>Skills!B5</f>
        <v/>
      </c>
      <c r="C695">
        <f>Inputs!$B$3&gt;=40</f>
        <v/>
      </c>
      <c r="D695">
        <f>IF(Skills!C5=1,60+Inputs!$B$27+Inputs!$B$31,IF(Skills!C5=2,90+Inputs!$B$28+Inputs!$B$31,IF(Skills!C5=3,120+Inputs!$B$29+Inputs!$B$31,MAX(0,(Inputs!$B$3-100)*3)+Inputs!$B$30+Inputs!$B$31)))</f>
        <v/>
      </c>
      <c r="E695">
        <f>INDEX(FactorTable!$B$2:$Y$301, MATCH(ROUND(MIN(300,MAX(1,D695)),0), FactorTable!$A$2:$A$301,0), Skills!L5+1)</f>
        <v/>
      </c>
      <c r="F695">
        <f>IF(Skills!M5=TRUE,(Skills!K5/10)*(E695/1000),Skills!K5/10)+Skills!N5</f>
        <v/>
      </c>
      <c r="G695">
        <f>Calc!G5</f>
        <v/>
      </c>
      <c r="H695">
        <f>Calc!H5</f>
        <v/>
      </c>
      <c r="I695">
        <f>IF(Skills!T5&lt;&gt;"",1+(Skills!T5/10)*($Z$3/1000)/100,1)</f>
        <v/>
      </c>
      <c r="J695" t="inlineStr"/>
      <c r="K695" t="inlineStr"/>
      <c r="L695" t="inlineStr"/>
      <c r="M695" t="inlineStr"/>
      <c r="N695" t="inlineStr"/>
      <c r="O695" t="n">
        <v>0</v>
      </c>
      <c r="P695">
        <f>IF(B728=0,0,O695/B728)</f>
        <v/>
      </c>
      <c r="Q695">
        <f>IFERROR(1/IF(Inputs!$B$40="pvp",15,MAX(0.1,Skills!D5-IF(Skills!E5=TRUE,Inputs!$B$34,0))),0)</f>
        <v/>
      </c>
      <c r="R695">
        <f>IF(AND(Inputs!$B$40&lt;&gt;"pvp",Inputs!$B$43&gt;0),(INT(Inputs!$B$43/IF(Inputs!$B$40="pvp",15,MAX(0.1,Skills!D5-IF(Skills!E5=TRUE,Inputs!$B$34,0))))+1),0)</f>
        <v/>
      </c>
    </row>
    <row r="696">
      <c r="A696">
        <f>Skills!A6</f>
        <v/>
      </c>
      <c r="B696">
        <f>Skills!B6</f>
        <v/>
      </c>
      <c r="C696">
        <f>Inputs!$B$3&gt;=103</f>
        <v/>
      </c>
      <c r="D696">
        <f>IF(Skills!C6=1,60+Inputs!$B$27+Inputs!$B$31,IF(Skills!C6=2,90+Inputs!$B$28+Inputs!$B$31,IF(Skills!C6=3,120+Inputs!$B$29+Inputs!$B$31,MAX(0,(Inputs!$B$3-100)*3)+Inputs!$B$30+Inputs!$B$31)))</f>
        <v/>
      </c>
      <c r="E696">
        <f>INDEX(FactorTable!$B$2:$Y$301, MATCH(ROUND(MIN(300,MAX(1,D696)),0), FactorTable!$A$2:$A$301,0), Skills!L6+1)</f>
        <v/>
      </c>
      <c r="F696">
        <f>IF(Skills!M6=TRUE,(Skills!K6/10)*(E696/1000),Skills!K6/10)+Skills!N6</f>
        <v/>
      </c>
      <c r="G696">
        <f>Calc!G6</f>
        <v/>
      </c>
      <c r="H696">
        <f>Calc!H6</f>
        <v/>
      </c>
      <c r="I696">
        <f>IF(Skills!T6&lt;&gt;"",1+(Skills!T6/10)*($Z$3/1000)/100,1)</f>
        <v/>
      </c>
      <c r="J696">
        <f>(Inputs!$B$7*(1+Inputs!$B$8/100))*(F696/100)</f>
        <v/>
      </c>
      <c r="K696">
        <f>J696*(1+(((Inputs!$B$14+IF(Inputs!$B$3&gt;=35,0.10*(Inputs!$B$9*(1+Inputs!$B$10/100)),0))*(1+Inputs!$B$15/100))*0.01+Inputs!$B$16*0.0025)/100)*(1+(Inputs!$B$17+B721)/100)*(1+IF(Inputs!$B$40="pvp",0,(1-Summary!$B$48)*(Inputs!$B$22+Skills!O6+B719)+Summary!$B$48*(Inputs!$B$23+Skills!P6+B720))/100)*(1+Inputs!$B$18/100)*(5000/(6000+Inputs!$B$42*(1-Inputs!$B$21/100)))*(1+Inputs!$B$26/100)*(1+IF(C707=TRUE,F707,0)/100)*(1+IF(C709=TRUE,F709,0)/100)*(1+IF(Skills!A6="TRIUMPH_FEATHER",IF(C705=TRUE,F705,0),0)/100)*(1+IF(C716=TRUE,F716,0)/100)^5*(1+(IF(Skills!A6="BIG_BANG",Inputs!$B$19,(Inputs!$B$20+1)))/100)*(B718*I696)</f>
        <v/>
      </c>
      <c r="L696">
        <f>K696*(MIN(Inputs!$B$24+(F711-Calc!F21),Inputs!$B$25)/100+Inputs!$B$25/100)/2</f>
        <v/>
      </c>
      <c r="M696">
        <f>L696*(1+(Inputs!$B$12+B722+(F714-Calc!F24))/100)</f>
        <v/>
      </c>
      <c r="N696">
        <f>L696*(1-MIN(Inputs!$B$11+((F713-Calc!F23)+(F712-Calc!F22)),100)/100)+M696*(MIN(Inputs!$B$11+((F713-Calc!F23)+(F712-Calc!F22)),100)/100)</f>
        <v/>
      </c>
      <c r="O696">
        <f>IF(C696,H696*N696*IF(AND(Inputs!$B$40&lt;&gt;"pvp",Inputs!$B$43&gt;0),((Skills!F6*((R696-1)*IF(Skills!G6&gt;0,Skills!H6/Skills!G6,1)+IF(Skills!G6&gt;0,MIN(Skills!H6,MAX(0,Inputs!$B$43-((R696-1)*IF(Inputs!$B$40="pvp",15,MAX(0.1,Skills!D6-IF(Skills!E6=TRUE,Inputs!$B$34,0))))))/Skills!G6,1)))/Inputs!$B$43),G696*Q696)*IF(Inputs!$B$40="pvp",1,(1-Summary!$B$48)*(1)+Summary!$B$48*(MIN(Skills!Q6,Inputs!$B$39))),0)</f>
        <v/>
      </c>
      <c r="P696">
        <f>IF(B728=0,0,O696/B728)</f>
        <v/>
      </c>
      <c r="Q696">
        <f>IFERROR(1/IF(Inputs!$B$40="pvp",15,MAX(0.1,Skills!D6-IF(Skills!E6=TRUE,Inputs!$B$34,0))),0)</f>
        <v/>
      </c>
      <c r="R696">
        <f>IF(AND(Inputs!$B$40&lt;&gt;"pvp",Inputs!$B$43&gt;0),(INT(Inputs!$B$43/IF(Inputs!$B$40="pvp",15,MAX(0.1,Skills!D6-IF(Skills!E6=TRUE,Inputs!$B$34,0))))+1),0)</f>
        <v/>
      </c>
    </row>
    <row r="697">
      <c r="A697">
        <f>Skills!A7</f>
        <v/>
      </c>
      <c r="B697">
        <f>Skills!B7</f>
        <v/>
      </c>
      <c r="C697">
        <f>Inputs!$B$3&gt;=122</f>
        <v/>
      </c>
      <c r="D697">
        <f>IF(Skills!C7=1,60+Inputs!$B$27+Inputs!$B$31,IF(Skills!C7=2,90+Inputs!$B$28+Inputs!$B$31,IF(Skills!C7=3,120+Inputs!$B$29+Inputs!$B$31,MAX(0,(Inputs!$B$3-100)*3)+Inputs!$B$30+Inputs!$B$31)))</f>
        <v/>
      </c>
      <c r="E697">
        <f>INDEX(FactorTable!$B$2:$Y$301, MATCH(ROUND(MIN(300,MAX(1,D697)),0), FactorTable!$A$2:$A$301,0), Skills!L7+1)</f>
        <v/>
      </c>
      <c r="F697">
        <f>IF(Skills!M7=TRUE,(Skills!K7/10)*(E697/1000),Skills!K7/10)+Skills!N7</f>
        <v/>
      </c>
      <c r="G697">
        <f>Calc!G7</f>
        <v/>
      </c>
      <c r="H697">
        <f>Calc!H7</f>
        <v/>
      </c>
      <c r="I697">
        <f>IF(Skills!T7&lt;&gt;"",1+(Skills!T7/10)*($Z$3/1000)/100,1)</f>
        <v/>
      </c>
      <c r="J697">
        <f>(Inputs!$B$7*(1+Inputs!$B$8/100))*(F697/100)</f>
        <v/>
      </c>
      <c r="K697">
        <f>J697*(1+(((Inputs!$B$14+IF(Inputs!$B$3&gt;=35,0.10*(Inputs!$B$9*(1+Inputs!$B$10/100)),0))*(1+Inputs!$B$15/100))*0.01+Inputs!$B$16*0.0025)/100)*(1+(Inputs!$B$17+B721)/100)*(1+IF(Inputs!$B$40="pvp",0,(1-Summary!$B$48)*(Inputs!$B$22+Skills!O7+B719)+Summary!$B$48*(Inputs!$B$23+Skills!P7+B720))/100)*(1+Inputs!$B$18/100)*(5000/(6000+Inputs!$B$42*(1-Inputs!$B$21/100)))*(1+Inputs!$B$26/100)*(1+IF(C707=TRUE,F707,0)/100)*(1+IF(C709=TRUE,F709,0)/100)*(1+IF(Skills!A7="TRIUMPH_FEATHER",IF(C705=TRUE,F705,0),0)/100)*(1+IF(C716=TRUE,F716,0)/100)^5*(1+(IF(Skills!A7="BIG_BANG",Inputs!$B$19,(Inputs!$B$20+1)))/100)*(B718*I697)</f>
        <v/>
      </c>
      <c r="L697">
        <f>K697*(MIN(Inputs!$B$24+(F711-Calc!F21),Inputs!$B$25)/100+Inputs!$B$25/100)/2</f>
        <v/>
      </c>
      <c r="M697">
        <f>L697*(1+(Inputs!$B$12+B722+(F714-Calc!F24))/100)</f>
        <v/>
      </c>
      <c r="N697">
        <f>L697*(1-MIN(Inputs!$B$11+((F713-Calc!F23)+(F712-Calc!F22)),100)/100)+M697*(MIN(Inputs!$B$11+((F713-Calc!F23)+(F712-Calc!F22)),100)/100)</f>
        <v/>
      </c>
      <c r="O697">
        <f>IF(C697,H697*N697*IF(AND(Inputs!$B$40&lt;&gt;"pvp",Inputs!$B$43&gt;0),((Skills!F7*((R697-1)*IF(Skills!G7&gt;0,Skills!H7/Skills!G7,1)+IF(Skills!G7&gt;0,MIN(Skills!H7,MAX(0,Inputs!$B$43-((R697-1)*IF(Inputs!$B$40="pvp",15,MAX(0.1,Skills!D7-IF(Skills!E6=TRUE,Inputs!$B$34,0))))))/Skills!G7,1)))/Inputs!$B$43),G697*Q697)*(1-Summary!$B$48),0)</f>
        <v/>
      </c>
      <c r="P697">
        <f>IF(B728=0,0,O697/B728)</f>
        <v/>
      </c>
      <c r="Q697">
        <f>IFERROR(1/IF(Inputs!$B$40="pvp",15,MAX(0.1,Skills!D7-IF(Skills!E6=TRUE,Inputs!$B$34,0))),0)</f>
        <v/>
      </c>
      <c r="R697">
        <f>IF(AND(Inputs!$B$40&lt;&gt;"pvp",Inputs!$B$43&gt;0),(INT(Inputs!$B$43/IF(Inputs!$B$40="pvp",15,MAX(0.1,Skills!D7-IF(Skills!E6=TRUE,Inputs!$B$34,0))))+1),0)</f>
        <v/>
      </c>
    </row>
    <row r="698">
      <c r="A698">
        <f>Skills!A8</f>
        <v/>
      </c>
      <c r="B698">
        <f>Skills!B8</f>
        <v/>
      </c>
      <c r="C698">
        <f>Inputs!$B$3&gt;=105</f>
        <v/>
      </c>
      <c r="D698">
        <f>IF(Skills!C8=1,60+Inputs!$B$27+Inputs!$B$31,IF(Skills!C8=2,90+Inputs!$B$28+Inputs!$B$31,IF(Skills!C8=3,120+Inputs!$B$29+Inputs!$B$31,MAX(0,(Inputs!$B$3-100)*3)+Inputs!$B$30+Inputs!$B$31)))</f>
        <v/>
      </c>
      <c r="E698">
        <f>INDEX(FactorTable!$B$2:$Y$301, MATCH(ROUND(MIN(300,MAX(1,D698)),0), FactorTable!$A$2:$A$301,0), Skills!L8+1)</f>
        <v/>
      </c>
      <c r="F698">
        <f>IF(Skills!M8=TRUE,(Skills!K8/10)*(E698/1000),Skills!K8/10)+Skills!N8</f>
        <v/>
      </c>
      <c r="G698">
        <f>Calc!G8</f>
        <v/>
      </c>
      <c r="H698">
        <f>Calc!H8</f>
        <v/>
      </c>
      <c r="I698">
        <f>IF(Skills!T8&lt;&gt;"",1+(Skills!T8/10)*($Z$3/1000)/100,1)</f>
        <v/>
      </c>
      <c r="J698">
        <f>(Inputs!$B$7*(1+Inputs!$B$8/100))*(F698/100)</f>
        <v/>
      </c>
      <c r="K698">
        <f>J698*(1+(((Inputs!$B$14+IF(Inputs!$B$3&gt;=35,0.10*(Inputs!$B$9*(1+Inputs!$B$10/100)),0))*(1+Inputs!$B$15/100))*0.01+Inputs!$B$16*0.0025)/100)*(1+(Inputs!$B$17+B721)/100)*(1+IF(Inputs!$B$40="pvp",0,(1-Summary!$B$48)*(Inputs!$B$22+Skills!O8+B719)+Summary!$B$48*(Inputs!$B$23+Skills!P8+B720))/100)*(1+Inputs!$B$18/100)*(5000/(6000+Inputs!$B$42*(1-Inputs!$B$21/100)))*(1+Inputs!$B$26/100)*(1+IF(C707=TRUE,F707,0)/100)*(1+IF(C709=TRUE,F709,0)/100)*(1+IF(Skills!A8="TRIUMPH_FEATHER",IF(C705=TRUE,F705,0),0)/100)*(1+IF(C716=TRUE,F716,0)/100)^5*(1+(IF(Skills!A8="BIG_BANG",Inputs!$B$19,(Inputs!$B$20+1)))/100)*(B718*I698)</f>
        <v/>
      </c>
      <c r="L698">
        <f>K698*(MIN(Inputs!$B$24+(F711-Calc!F21),Inputs!$B$25)/100+Inputs!$B$25/100)/2</f>
        <v/>
      </c>
      <c r="M698">
        <f>L698*(1+(Inputs!$B$12+B722+(F714-Calc!F24))/100)</f>
        <v/>
      </c>
      <c r="N698">
        <f>L698*(1-MIN(Inputs!$B$11+((F713-Calc!F23)+(F712-Calc!F22)),100)/100)+M698*(MIN(Inputs!$B$11+((F713-Calc!F23)+(F712-Calc!F22)),100)/100)</f>
        <v/>
      </c>
      <c r="O698">
        <f>IF(C698,H698*N698*IF(AND(Inputs!$B$40&lt;&gt;"pvp",Inputs!$B$43&gt;0),((Skills!F8*((R698-1)*IF(Skills!G8&gt;0,Skills!H8/Skills!G8,1)+IF(Skills!G8&gt;0,MIN(Skills!H8,MAX(0,Inputs!$B$43-((R698-1)*IF(Inputs!$B$40="pvp",15,MAX(0.1,Skills!D8-IF(Skills!E8=TRUE,Inputs!$B$34,0))))))/Skills!G8,1)))/Inputs!$B$43),G698*Q698)*IF(Inputs!$B$40="pvp",1,(1-Summary!$B$48)*(1)+Summary!$B$48*(MIN(Skills!Q8,Inputs!$B$39))),0)</f>
        <v/>
      </c>
      <c r="P698">
        <f>IF(B728=0,0,O698/B728)</f>
        <v/>
      </c>
      <c r="Q698">
        <f>IFERROR(1/IF(Inputs!$B$40="pvp",15,MAX(0.1,Skills!D8-IF(Skills!E8=TRUE,Inputs!$B$34,0))),0)</f>
        <v/>
      </c>
      <c r="R698">
        <f>IF(AND(Inputs!$B$40&lt;&gt;"pvp",Inputs!$B$43&gt;0),(INT(Inputs!$B$43/IF(Inputs!$B$40="pvp",15,MAX(0.1,Skills!D8-IF(Skills!E8=TRUE,Inputs!$B$34,0))))+1),0)</f>
        <v/>
      </c>
    </row>
    <row r="699">
      <c r="A699">
        <f>Skills!A9</f>
        <v/>
      </c>
      <c r="B699">
        <f>Skills!B9</f>
        <v/>
      </c>
      <c r="C699">
        <f>Inputs!$B$3&gt;=115</f>
        <v/>
      </c>
      <c r="D699">
        <f>IF(Skills!C9=1,60+Inputs!$B$27+Inputs!$B$31,IF(Skills!C9=2,90+Inputs!$B$28+Inputs!$B$31,IF(Skills!C9=3,120+Inputs!$B$29+Inputs!$B$31,MAX(0,(Inputs!$B$3-100)*3)+Inputs!$B$30+Inputs!$B$31)))</f>
        <v/>
      </c>
      <c r="E699">
        <f>INDEX(FactorTable!$B$2:$Y$301, MATCH(ROUND(MIN(300,MAX(1,D699)),0), FactorTable!$A$2:$A$301,0), Skills!L9+1)</f>
        <v/>
      </c>
      <c r="F699">
        <f>IF(Skills!M9=TRUE,(Skills!K9/10)*(E699/1000),Skills!K9/10)+Skills!N9</f>
        <v/>
      </c>
      <c r="G699">
        <f>Calc!G9</f>
        <v/>
      </c>
      <c r="H699">
        <f>Calc!H9</f>
        <v/>
      </c>
      <c r="I699">
        <f>IF(Skills!T9&lt;&gt;"",1+(Skills!T9/10)*($Z$3/1000)/100,1)</f>
        <v/>
      </c>
      <c r="J699">
        <f>(Inputs!$B$7*(1+Inputs!$B$8/100))*(F699/100)</f>
        <v/>
      </c>
      <c r="K699">
        <f>J699*(1+(((Inputs!$B$14+IF(Inputs!$B$3&gt;=35,0.10*(Inputs!$B$9*(1+Inputs!$B$10/100)),0))*(1+Inputs!$B$15/100))*0.01+Inputs!$B$16*0.0025)/100)*(1+(Inputs!$B$17+B721)/100)*(1+IF(Inputs!$B$40="pvp",0,(1-Summary!$B$48)*(Inputs!$B$22+Skills!O9+B719)+Summary!$B$48*(Inputs!$B$23+Skills!P9+B720))/100)*(1+Inputs!$B$18/100)*(5000/(6000+Inputs!$B$42*(1-Inputs!$B$21/100)))*(1+Inputs!$B$26/100)*(1+IF(C707=TRUE,F707,0)/100)*(1+IF(C709=TRUE,F709,0)/100)*(1+IF(Skills!A9="TRIUMPH_FEATHER",IF(C705=TRUE,F705,0),0)/100)*(1+IF(C716=TRUE,F716,0)/100)^5*(1+(IF(Skills!A9="BIG_BANG",Inputs!$B$19,(Inputs!$B$20+1)))/100)*(B718*I699)</f>
        <v/>
      </c>
      <c r="L699">
        <f>K699*(MIN(Inputs!$B$24+(F711-Calc!F21),Inputs!$B$25)/100+Inputs!$B$25/100)/2</f>
        <v/>
      </c>
      <c r="M699">
        <f>L699*(1+(Inputs!$B$12+B722+(F714-Calc!F24))/100)</f>
        <v/>
      </c>
      <c r="N699">
        <f>L699*(1-MIN(Inputs!$B$11+((F713-Calc!F23)+(F712-Calc!F22)),100)/100)+M699*(MIN(Inputs!$B$11+((F713-Calc!F23)+(F712-Calc!F22)),100)/100)</f>
        <v/>
      </c>
      <c r="O699">
        <f>IF(C699,H699*N699*IF(AND(Inputs!$B$40&lt;&gt;"pvp",Inputs!$B$43&gt;0),((Skills!F9*((R699-1)*IF(Skills!G9&gt;0,Skills!H9/Skills!G9,1)+IF(Skills!G9&gt;0,MIN(Skills!H9,MAX(0,Inputs!$B$43-((R699-1)*IF(Inputs!$B$40="pvp",15,MAX(0.1,Skills!D9-IF(Skills!E9=TRUE,Inputs!$B$34,0))))))/Skills!G9,1)))/Inputs!$B$43),G699*Q699)*IF(Inputs!$B$40="pvp",1,(1-Summary!$B$48)*(1)+Summary!$B$48*(MIN(Skills!Q9,Inputs!$B$39))),0)</f>
        <v/>
      </c>
      <c r="P699">
        <f>IF(B728=0,0,O699/B728)</f>
        <v/>
      </c>
      <c r="Q699">
        <f>IFERROR(1/IF(Inputs!$B$40="pvp",15,MAX(0.1,Skills!D9-IF(Skills!E9=TRUE,Inputs!$B$34,0))),0)</f>
        <v/>
      </c>
      <c r="R699">
        <f>IF(AND(Inputs!$B$40&lt;&gt;"pvp",Inputs!$B$43&gt;0),(INT(Inputs!$B$43/IF(Inputs!$B$40="pvp",15,MAX(0.1,Skills!D9-IF(Skills!E9=TRUE,Inputs!$B$34,0))))+1),0)</f>
        <v/>
      </c>
    </row>
    <row r="700">
      <c r="A700">
        <f>Skills!A10</f>
        <v/>
      </c>
      <c r="B700">
        <f>Skills!B10</f>
        <v/>
      </c>
      <c r="C700">
        <f>Inputs!$B$3&gt;=66</f>
        <v/>
      </c>
      <c r="D700">
        <f>IF(Skills!C10=1,60+Inputs!$B$27+Inputs!$B$31,IF(Skills!C10=2,90+Inputs!$B$28+Inputs!$B$31,IF(Skills!C10=3,120+Inputs!$B$29+Inputs!$B$31,MAX(0,(Inputs!$B$3-100)*3)+Inputs!$B$30+Inputs!$B$31)))</f>
        <v/>
      </c>
      <c r="E700">
        <f>INDEX(FactorTable!$B$2:$Y$301, MATCH(ROUND(MIN(300,MAX(1,D700)),0), FactorTable!$A$2:$A$301,0), Skills!L10+1)</f>
        <v/>
      </c>
      <c r="F700" t="n">
        <v>0</v>
      </c>
      <c r="G700">
        <f>Calc!G10</f>
        <v/>
      </c>
      <c r="H700">
        <f>Calc!H10</f>
        <v/>
      </c>
      <c r="I700">
        <f>IF(Skills!T10&lt;&gt;"",1+(Skills!T10/10)*($Z$3/1000)/100,1)</f>
        <v/>
      </c>
      <c r="J700" t="inlineStr"/>
      <c r="K700" t="inlineStr"/>
      <c r="L700" t="inlineStr"/>
      <c r="M700" t="inlineStr"/>
      <c r="N700" t="inlineStr"/>
      <c r="O700" t="n">
        <v>0</v>
      </c>
      <c r="P700">
        <f>IF(B728=0,0,O700/B728)</f>
        <v/>
      </c>
      <c r="Q700">
        <f>IFERROR(1/IF(Inputs!$B$40="pvp",15,MAX(0.1,Skills!D10-IF(Skills!E10=TRUE,Inputs!$B$34,0))),0)</f>
        <v/>
      </c>
      <c r="R700">
        <f>IF(AND(Inputs!$B$40&lt;&gt;"pvp",Inputs!$B$43&gt;0),(INT(Inputs!$B$43/IF(Inputs!$B$40="pvp",15,MAX(0.1,Skills!D10-IF(Skills!E10=TRUE,Inputs!$B$34,0))))+1),0)</f>
        <v/>
      </c>
    </row>
    <row r="701">
      <c r="A701">
        <f>Skills!A11</f>
        <v/>
      </c>
      <c r="B701">
        <f>Skills!B11</f>
        <v/>
      </c>
      <c r="C701">
        <f>Inputs!$B$3&gt;=69</f>
        <v/>
      </c>
      <c r="D701">
        <f>IF(Skills!C11=1,60+Inputs!$B$27+Inputs!$B$31,IF(Skills!C11=2,90+Inputs!$B$28+Inputs!$B$31,IF(Skills!C11=3,120+Inputs!$B$29+Inputs!$B$31,MAX(0,(Inputs!$B$3-100)*3)+Inputs!$B$30+Inputs!$B$31)))</f>
        <v/>
      </c>
      <c r="E701">
        <f>INDEX(FactorTable!$B$2:$Y$301, MATCH(ROUND(MIN(300,MAX(1,D701)),0), FactorTable!$A$2:$A$301,0), Skills!L11+1)</f>
        <v/>
      </c>
      <c r="F701">
        <f>IF(Skills!M11=TRUE,(Skills!K11/10)*(E701/1000),Skills!K11/10)+Skills!N11</f>
        <v/>
      </c>
      <c r="G701">
        <f>Calc!G11</f>
        <v/>
      </c>
      <c r="H701">
        <f>Calc!H11</f>
        <v/>
      </c>
      <c r="I701">
        <f>IF(Skills!T11&lt;&gt;"",1+(Skills!T11/10)*($Z$3/1000)/100,1)</f>
        <v/>
      </c>
      <c r="J701" t="inlineStr"/>
      <c r="K701" t="inlineStr"/>
      <c r="L701" t="inlineStr"/>
      <c r="M701" t="inlineStr"/>
      <c r="N701" t="inlineStr"/>
      <c r="O701" t="n">
        <v>0</v>
      </c>
      <c r="P701">
        <f>IF(B728=0,0,O701/B728)</f>
        <v/>
      </c>
      <c r="Q701">
        <f>IFERROR(1/IF(Inputs!$B$40="pvp",15,MAX(0.1,Skills!D11-IF(Skills!E11=TRUE,Inputs!$B$34,0))),0)</f>
        <v/>
      </c>
      <c r="R701">
        <f>IF(AND(Inputs!$B$40&lt;&gt;"pvp",Inputs!$B$43&gt;0),(INT(Inputs!$B$43/IF(Inputs!$B$40="pvp",15,MAX(0.1,Skills!D11-IF(Skills!E11=TRUE,Inputs!$B$34,0))))+1),0)</f>
        <v/>
      </c>
    </row>
    <row r="702">
      <c r="A702">
        <f>Skills!A12</f>
        <v/>
      </c>
      <c r="B702">
        <f>Skills!B12</f>
        <v/>
      </c>
      <c r="C702">
        <f>Inputs!$B$3&gt;=72</f>
        <v/>
      </c>
      <c r="D702">
        <f>IF(Skills!C12=1,60+Inputs!$B$27+Inputs!$B$31,IF(Skills!C12=2,90+Inputs!$B$28+Inputs!$B$31,IF(Skills!C12=3,120+Inputs!$B$29+Inputs!$B$31,MAX(0,(Inputs!$B$3-100)*3)+Inputs!$B$30+Inputs!$B$31)))</f>
        <v/>
      </c>
      <c r="E702">
        <f>INDEX(FactorTable!$B$2:$Y$301, MATCH(ROUND(MIN(300,MAX(1,D702)),0), FactorTable!$A$2:$A$301,0), Skills!L12+1)</f>
        <v/>
      </c>
      <c r="F702">
        <f>IF(Skills!M12=TRUE,(Skills!K12/10)*(E702/1000),Skills!K12/10)+Skills!N12</f>
        <v/>
      </c>
      <c r="G702">
        <f>Calc!G12</f>
        <v/>
      </c>
      <c r="H702">
        <f>Calc!H12</f>
        <v/>
      </c>
      <c r="I702">
        <f>IF(Skills!T12&lt;&gt;"",1+(Skills!T12/10)*($Z$3/1000)/100,1)</f>
        <v/>
      </c>
      <c r="J702" t="inlineStr"/>
      <c r="K702" t="inlineStr"/>
      <c r="L702" t="inlineStr"/>
      <c r="M702" t="inlineStr"/>
      <c r="N702" t="inlineStr"/>
      <c r="O702" t="n">
        <v>0</v>
      </c>
      <c r="P702">
        <f>IF(B728=0,0,O702/B728)</f>
        <v/>
      </c>
      <c r="Q702">
        <f>IFERROR(1/IF(Inputs!$B$40="pvp",15,MAX(0.1,Skills!D12-IF(Skills!E12=TRUE,Inputs!$B$34,0))),0)</f>
        <v/>
      </c>
      <c r="R702">
        <f>IF(AND(Inputs!$B$40&lt;&gt;"pvp",Inputs!$B$43&gt;0),(INT(Inputs!$B$43/IF(Inputs!$B$40="pvp",15,MAX(0.1,Skills!D12-IF(Skills!E12=TRUE,Inputs!$B$34,0))))+1),0)</f>
        <v/>
      </c>
    </row>
    <row r="703">
      <c r="A703">
        <f>Skills!A13</f>
        <v/>
      </c>
      <c r="B703">
        <f>Skills!B13</f>
        <v/>
      </c>
      <c r="C703">
        <f>Inputs!$B$3&gt;=107</f>
        <v/>
      </c>
      <c r="D703">
        <f>IF(Skills!C13=1,60+Inputs!$B$27+Inputs!$B$31,IF(Skills!C13=2,90+Inputs!$B$28+Inputs!$B$31,IF(Skills!C13=3,120+Inputs!$B$29+Inputs!$B$31,MAX(0,(Inputs!$B$3-100)*3)+Inputs!$B$30+Inputs!$B$31)))</f>
        <v/>
      </c>
      <c r="E703">
        <f>INDEX(FactorTable!$B$2:$Y$301, MATCH(ROUND(MIN(300,MAX(1,D703)),0), FactorTable!$A$2:$A$301,0), Skills!L13+1)</f>
        <v/>
      </c>
      <c r="F703">
        <f>IF(Skills!M13=TRUE,(Skills!K13/10)*(E703/1000),Skills!K13/10)+Skills!N13</f>
        <v/>
      </c>
      <c r="G703">
        <f>Calc!G13</f>
        <v/>
      </c>
      <c r="H703">
        <f>Calc!H13</f>
        <v/>
      </c>
      <c r="I703">
        <f>IF(Skills!T13&lt;&gt;"",1+(Skills!T13/10)*($Z$3/1000)/100,1)</f>
        <v/>
      </c>
      <c r="J703" t="inlineStr"/>
      <c r="K703" t="inlineStr"/>
      <c r="L703" t="inlineStr"/>
      <c r="M703" t="inlineStr"/>
      <c r="N703" t="inlineStr"/>
      <c r="O703" t="n">
        <v>0</v>
      </c>
      <c r="P703">
        <f>IF(B728=0,0,O703/B728)</f>
        <v/>
      </c>
      <c r="Q703">
        <f>IFERROR(1/IF(Inputs!$B$40="pvp",15,MAX(0.1,Skills!D13-IF(Skills!E13=TRUE,Inputs!$B$34,0))),0)</f>
        <v/>
      </c>
      <c r="R703">
        <f>IF(AND(Inputs!$B$40&lt;&gt;"pvp",Inputs!$B$43&gt;0),(INT(Inputs!$B$43/IF(Inputs!$B$40="pvp",15,MAX(0.1,Skills!D13-IF(Skills!E13=TRUE,Inputs!$B$34,0))))+1),0)</f>
        <v/>
      </c>
    </row>
    <row r="704">
      <c r="A704">
        <f>Skills!A14</f>
        <v/>
      </c>
      <c r="B704">
        <f>Skills!B14</f>
        <v/>
      </c>
      <c r="C704">
        <f>Inputs!$B$3&gt;=63</f>
        <v/>
      </c>
      <c r="D704">
        <f>IF(Skills!C14=1,60+Inputs!$B$27+Inputs!$B$31,IF(Skills!C14=2,90+Inputs!$B$28+Inputs!$B$31,IF(Skills!C14=3,120+Inputs!$B$29+Inputs!$B$31,MAX(0,(Inputs!$B$3-100)*3)+Inputs!$B$30+Inputs!$B$31)))</f>
        <v/>
      </c>
      <c r="E704">
        <f>INDEX(FactorTable!$B$2:$Y$301, MATCH(ROUND(MIN(300,MAX(1,D704)),0), FactorTable!$A$2:$A$301,0), Skills!L14+1)</f>
        <v/>
      </c>
      <c r="F704">
        <f>IF(Skills!M14=TRUE,(Skills!K14/10)*(E704/1000),Skills!K14/10)+Skills!N14</f>
        <v/>
      </c>
      <c r="G704">
        <f>Calc!G14</f>
        <v/>
      </c>
      <c r="H704">
        <f>Calc!H14</f>
        <v/>
      </c>
      <c r="I704">
        <f>IF(Skills!T14&lt;&gt;"",1+(Skills!T14/10)*($Z$3/1000)/100,1)</f>
        <v/>
      </c>
      <c r="J704">
        <f>(Inputs!$B$7*(1+Inputs!$B$8/100))*(F704/100)</f>
        <v/>
      </c>
      <c r="K704">
        <f>J704*(1+(((Inputs!$B$14+IF(Inputs!$B$3&gt;=35,0.10*(Inputs!$B$9*(1+Inputs!$B$10/100)),0))*(1+Inputs!$B$15/100))*0.01+Inputs!$B$16*0.0025)/100)*(1+(Inputs!$B$17+B721)/100)*(1+IF(Inputs!$B$40="pvp",0,(1-Summary!$B$48)*(Inputs!$B$22+Skills!O14+B719)+Summary!$B$48*(Inputs!$B$23+Skills!P14+B720))/100)*(1+Inputs!$B$18/100)*(5000/(6000+Inputs!$B$42*(1-Inputs!$B$21/100)))*(1+Inputs!$B$26/100)*(1+IF(C707=TRUE,F707,0)/100)*(1+IF(C709=TRUE,F709,0)/100)*(1+IF(Skills!A14="TRIUMPH_FEATHER",IF(C705=TRUE,F705,0),0)/100)*(1+IF(C716=TRUE,F716,0)/100)^5*(1+(IF(Skills!A14="BIG_BANG",Inputs!$B$19,(Inputs!$B$20+1)))/100)*(B718*I704)</f>
        <v/>
      </c>
      <c r="L704">
        <f>K704*(MIN(Inputs!$B$24+(F711-Calc!F21),Inputs!$B$25)/100+Inputs!$B$25/100)/2</f>
        <v/>
      </c>
      <c r="M704">
        <f>L704*(1+(Inputs!$B$12+B722+(F714-Calc!F24))/100)</f>
        <v/>
      </c>
      <c r="N704">
        <f>L704*(1-MIN(Inputs!$B$11+((F713-Calc!F23)+(F712-Calc!F22)),100)/100)+M704*(MIN(Inputs!$B$11+((F713-Calc!F23)+(F712-Calc!F22)),100)/100)</f>
        <v/>
      </c>
      <c r="O704">
        <f>IF(C704,Skills!F14*N704*((IF(Inputs!$B$3&gt;=78,25,15)/100*B724*10)/(1+IF(Inputs!$B$3&gt;=78,25,15)/100*B724*10))*(Skills!I14/100*B724)/(1+Skills!G14*Skills!I14/100*B724)*IF(Inputs!$B$40="pvp",1,(1-Summary!$B$48)*(1)+Summary!$B$48*(MIN(Skills!Q14,Inputs!$B$39))),0)</f>
        <v/>
      </c>
      <c r="P704">
        <f>IF(B728=0,0,O704/B728)</f>
        <v/>
      </c>
      <c r="Q704">
        <f>IFERROR(1/IF(Inputs!$B$40="pvp",15,MAX(0.1,Skills!D14-IF(Skills!E14=TRUE,Inputs!$B$34,0))),0)</f>
        <v/>
      </c>
      <c r="R704" t="n">
        <v>0</v>
      </c>
    </row>
    <row r="705">
      <c r="A705">
        <f>Skills!A15</f>
        <v/>
      </c>
      <c r="B705">
        <f>Skills!B15</f>
        <v/>
      </c>
      <c r="C705">
        <f>Inputs!$B$3&gt;=100</f>
        <v/>
      </c>
      <c r="D705">
        <f>IF(Skills!C15=1,60+Inputs!$B$27+Inputs!$B$31,IF(Skills!C15=2,90+Inputs!$B$28+Inputs!$B$31,IF(Skills!C15=3,120+Inputs!$B$29+Inputs!$B$31,MAX(0,(Inputs!$B$3-100)*3)+Inputs!$B$30+Inputs!$B$31)))</f>
        <v/>
      </c>
      <c r="E705">
        <f>INDEX(FactorTable!$B$2:$Y$301, MATCH(ROUND(MIN(300,MAX(1,D705)),0), FactorTable!$A$2:$A$301,0), Skills!L15+1)</f>
        <v/>
      </c>
      <c r="F705">
        <f>IF(Skills!M15=TRUE,(Skills!K15/10)*(E705/1000),Skills!K15/10)+Skills!N15</f>
        <v/>
      </c>
      <c r="G705">
        <f>Calc!G15</f>
        <v/>
      </c>
      <c r="H705">
        <f>Calc!H15</f>
        <v/>
      </c>
      <c r="I705">
        <f>IF(Skills!T15&lt;&gt;"",1+(Skills!T15/10)*($Z$3/1000)/100,1)</f>
        <v/>
      </c>
      <c r="J705" t="inlineStr"/>
      <c r="K705" t="inlineStr"/>
      <c r="L705" t="inlineStr"/>
      <c r="M705" t="inlineStr"/>
      <c r="N705" t="inlineStr"/>
      <c r="O705" t="n">
        <v>0</v>
      </c>
      <c r="P705">
        <f>IF(B728=0,0,O705/B728)</f>
        <v/>
      </c>
      <c r="Q705">
        <f>IFERROR(1/IF(Inputs!$B$40="pvp",15,MAX(0.1,Skills!D15-IF(Skills!E15=TRUE,Inputs!$B$34,0))),0)</f>
        <v/>
      </c>
      <c r="R705" t="n">
        <v>0</v>
      </c>
    </row>
    <row r="706">
      <c r="A706">
        <f>Skills!A16</f>
        <v/>
      </c>
      <c r="B706">
        <f>Skills!B16</f>
        <v/>
      </c>
      <c r="C706">
        <f>Inputs!$B$3&gt;=49</f>
        <v/>
      </c>
      <c r="D706">
        <f>IF(Skills!C16=1,60+Inputs!$B$27+Inputs!$B$31,IF(Skills!C16=2,90+Inputs!$B$28+Inputs!$B$31,IF(Skills!C16=3,120+Inputs!$B$29+Inputs!$B$31,MAX(0,(Inputs!$B$3-100)*3)+Inputs!$B$30+Inputs!$B$31)))</f>
        <v/>
      </c>
      <c r="E706">
        <f>INDEX(FactorTable!$B$2:$Y$301, MATCH(ROUND(MIN(300,MAX(1,D706)),0), FactorTable!$A$2:$A$301,0), Skills!L16+1)</f>
        <v/>
      </c>
      <c r="F706">
        <f>IF(Skills!M16=TRUE,(Skills!K16/10)*(E706/1000),Skills!K16/10)+Skills!N16</f>
        <v/>
      </c>
      <c r="G706">
        <f>Calc!G16</f>
        <v/>
      </c>
      <c r="H706">
        <f>Calc!H16</f>
        <v/>
      </c>
      <c r="I706">
        <f>IF(Skills!T16&lt;&gt;"",1+(Skills!T16/10)*($Z$3/1000)/100,1)</f>
        <v/>
      </c>
      <c r="J706" t="inlineStr"/>
      <c r="K706" t="inlineStr"/>
      <c r="L706" t="inlineStr"/>
      <c r="M706" t="inlineStr"/>
      <c r="N706" t="inlineStr"/>
      <c r="O706" t="n">
        <v>0</v>
      </c>
      <c r="P706">
        <f>IF(B728=0,0,O706/B728)</f>
        <v/>
      </c>
      <c r="Q706">
        <f>IFERROR(1/IF(Inputs!$B$40="pvp",15,MAX(0.1,Skills!D16-IF(Skills!E16=TRUE,Inputs!$B$34,0))),0)</f>
        <v/>
      </c>
      <c r="R706" t="n">
        <v>0</v>
      </c>
    </row>
    <row r="707">
      <c r="A707">
        <f>Skills!A17</f>
        <v/>
      </c>
      <c r="B707">
        <f>Skills!B17</f>
        <v/>
      </c>
      <c r="C707">
        <f>Inputs!$B$3&gt;=75</f>
        <v/>
      </c>
      <c r="D707">
        <f>IF(Skills!C17=1,60+Inputs!$B$27+Inputs!$B$31,IF(Skills!C17=2,90+Inputs!$B$28+Inputs!$B$31,IF(Skills!C17=3,120+Inputs!$B$29+Inputs!$B$31,MAX(0,(Inputs!$B$3-100)*3)+Inputs!$B$30+Inputs!$B$31)))</f>
        <v/>
      </c>
      <c r="E707">
        <f>INDEX(FactorTable!$B$2:$Y$301, MATCH(ROUND(MIN(300,MAX(1,D707)),0), FactorTable!$A$2:$A$301,0), Skills!L17+1)</f>
        <v/>
      </c>
      <c r="F707">
        <f>IF(Skills!M17=TRUE,(Skills!K17/10)*(E707/1000),Skills!K17/10)+Skills!N17</f>
        <v/>
      </c>
      <c r="G707">
        <f>Calc!G17</f>
        <v/>
      </c>
      <c r="H707">
        <f>Calc!H17</f>
        <v/>
      </c>
      <c r="I707">
        <f>IF(Skills!T17&lt;&gt;"",1+(Skills!T17/10)*($Z$3/1000)/100,1)</f>
        <v/>
      </c>
      <c r="J707" t="inlineStr"/>
      <c r="K707" t="inlineStr"/>
      <c r="L707" t="inlineStr"/>
      <c r="M707" t="inlineStr"/>
      <c r="N707" t="inlineStr"/>
      <c r="O707" t="n">
        <v>0</v>
      </c>
      <c r="P707">
        <f>IF(B728=0,0,O707/B728)</f>
        <v/>
      </c>
      <c r="Q707">
        <f>IFERROR(1/IF(Inputs!$B$40="pvp",15,MAX(0.1,Skills!D17-IF(Skills!E17=TRUE,Inputs!$B$34,0))),0)</f>
        <v/>
      </c>
      <c r="R707" t="n">
        <v>0</v>
      </c>
    </row>
    <row r="708">
      <c r="A708">
        <f>Skills!A18</f>
        <v/>
      </c>
      <c r="B708">
        <f>Skills!B18</f>
        <v/>
      </c>
      <c r="C708">
        <f>Inputs!$B$3&gt;=110</f>
        <v/>
      </c>
      <c r="D708">
        <f>IF(Skills!C18=1,60+Inputs!$B$27+Inputs!$B$31,IF(Skills!C18=2,90+Inputs!$B$28+Inputs!$B$31,IF(Skills!C18=3,120+Inputs!$B$29+Inputs!$B$31,MAX(0,(Inputs!$B$3-100)*3)+Inputs!$B$30+Inputs!$B$31)))</f>
        <v/>
      </c>
      <c r="E708">
        <f>INDEX(FactorTable!$B$2:$Y$301, MATCH(ROUND(MIN(300,MAX(1,D708)),0), FactorTable!$A$2:$A$301,0), Skills!L18+1)</f>
        <v/>
      </c>
      <c r="F708">
        <f>(Skills!K18/10)*(E708/1000)*64/45+Skills!N18</f>
        <v/>
      </c>
      <c r="G708">
        <f>Calc!G18</f>
        <v/>
      </c>
      <c r="H708">
        <f>Calc!H18</f>
        <v/>
      </c>
      <c r="I708">
        <f>IF(Skills!T18&lt;&gt;"",1+(Skills!T18/10)*($Z$3/1000)/100,1)</f>
        <v/>
      </c>
      <c r="J708" t="inlineStr"/>
      <c r="K708" t="inlineStr"/>
      <c r="L708" t="inlineStr"/>
      <c r="M708" t="inlineStr"/>
      <c r="N708" t="inlineStr"/>
      <c r="O708" t="n">
        <v>0</v>
      </c>
      <c r="P708">
        <f>IF(B728=0,0,O708/B728)</f>
        <v/>
      </c>
      <c r="Q708">
        <f>IFERROR(1/IF(Inputs!$B$40="pvp",15,MAX(0.1,Skills!D18-IF(Skills!E18=TRUE,Inputs!$B$34,0))),0)</f>
        <v/>
      </c>
      <c r="R708">
        <f>IF(AND(Inputs!$B$40&lt;&gt;"pvp",Inputs!$B$43&gt;0),(INT(Inputs!$B$43/IF(Inputs!$B$40="pvp",15,MAX(0.1,Skills!D18-IF(Skills!E18=TRUE,Inputs!$B$34,0))))+1),0)</f>
        <v/>
      </c>
    </row>
    <row r="709">
      <c r="A709">
        <f>Skills!A19</f>
        <v/>
      </c>
      <c r="B709">
        <f>Skills!B19</f>
        <v/>
      </c>
      <c r="C709">
        <f>Inputs!$B$3&gt;=125</f>
        <v/>
      </c>
      <c r="D709">
        <f>IF(Skills!C19=1,60+Inputs!$B$27+Inputs!$B$31,IF(Skills!C19=2,90+Inputs!$B$28+Inputs!$B$31,IF(Skills!C19=3,120+Inputs!$B$29+Inputs!$B$31,MAX(0,(Inputs!$B$3-100)*3)+Inputs!$B$30+Inputs!$B$31)))</f>
        <v/>
      </c>
      <c r="E709">
        <f>INDEX(FactorTable!$B$2:$Y$301, MATCH(ROUND(MIN(300,MAX(1,D709)),0), FactorTable!$A$2:$A$301,0), Skills!L19+1)</f>
        <v/>
      </c>
      <c r="F709">
        <f>IF(Skills!M19=TRUE,(Skills!K19/10)*(E709/1000),Skills!K19/10)+Skills!N19</f>
        <v/>
      </c>
      <c r="G709">
        <f>Calc!G19</f>
        <v/>
      </c>
      <c r="H709">
        <f>Calc!H19</f>
        <v/>
      </c>
      <c r="I709">
        <f>IF(Skills!T19&lt;&gt;"",1+(Skills!T19/10)*($Z$3/1000)/100,1)</f>
        <v/>
      </c>
      <c r="J709" t="inlineStr"/>
      <c r="K709" t="inlineStr"/>
      <c r="L709" t="inlineStr"/>
      <c r="M709" t="inlineStr"/>
      <c r="N709" t="inlineStr"/>
      <c r="O709" t="n">
        <v>0</v>
      </c>
      <c r="P709">
        <f>IF(B728=0,0,O709/B728)</f>
        <v/>
      </c>
      <c r="Q709">
        <f>IFERROR(1/IF(Inputs!$B$40="pvp",15,MAX(0.1,Skills!D19-IF(Skills!E19=TRUE,Inputs!$B$34,0))),0)</f>
        <v/>
      </c>
      <c r="R709" t="n">
        <v>0</v>
      </c>
    </row>
    <row r="710">
      <c r="A710">
        <f>Skills!A20</f>
        <v/>
      </c>
      <c r="B710">
        <f>Skills!B20</f>
        <v/>
      </c>
      <c r="C710">
        <f>Inputs!$B$3&gt;=33</f>
        <v/>
      </c>
      <c r="D710">
        <f>IF(Skills!C20=1,60+Inputs!$B$27+Inputs!$B$31,IF(Skills!C20=2,90+Inputs!$B$28+Inputs!$B$31,IF(Skills!C20=3,120+Inputs!$B$29+Inputs!$B$31,MAX(0,(Inputs!$B$3-100)*3)+Inputs!$B$30+Inputs!$B$31)))</f>
        <v/>
      </c>
      <c r="E710">
        <f>INDEX(FactorTable!$B$2:$Y$301, MATCH(ROUND(MIN(300,MAX(1,D710)),0), FactorTable!$A$2:$A$301,0), Skills!L20+1)</f>
        <v/>
      </c>
      <c r="F710">
        <f>IF(Skills!M20=TRUE,(Skills!K20/10)*(E710/1000),Skills!K20/10)+Skills!N20</f>
        <v/>
      </c>
      <c r="G710">
        <f>Calc!G20</f>
        <v/>
      </c>
      <c r="H710">
        <f>Calc!H20</f>
        <v/>
      </c>
      <c r="I710">
        <f>IF(Skills!T20&lt;&gt;"",1+(Skills!T20/10)*($Z$3/1000)/100,1)</f>
        <v/>
      </c>
      <c r="J710" t="inlineStr"/>
      <c r="K710" t="inlineStr"/>
      <c r="L710" t="inlineStr"/>
      <c r="M710" t="inlineStr"/>
      <c r="N710" t="inlineStr"/>
      <c r="O710" t="n">
        <v>0</v>
      </c>
      <c r="P710">
        <f>IF(B728=0,0,O710/B728)</f>
        <v/>
      </c>
      <c r="Q710">
        <f>IFERROR(1/IF(Inputs!$B$40="pvp",15,MAX(0.1,Skills!D20-IF(Skills!E20=TRUE,Inputs!$B$34,0))),0)</f>
        <v/>
      </c>
      <c r="R710" t="n">
        <v>0</v>
      </c>
    </row>
    <row r="711">
      <c r="A711">
        <f>Skills!A21</f>
        <v/>
      </c>
      <c r="B711">
        <f>Skills!B21</f>
        <v/>
      </c>
      <c r="C711">
        <f>Inputs!$B$3&gt;=43</f>
        <v/>
      </c>
      <c r="D711">
        <f>IF(Skills!C21=1,60+Inputs!$B$27+Inputs!$B$31,IF(Skills!C21=2,90+Inputs!$B$28+Inputs!$B$31,IF(Skills!C21=3,120+Inputs!$B$29+Inputs!$B$31,MAX(0,(Inputs!$B$3-100)*3)+Inputs!$B$30+Inputs!$B$31)))</f>
        <v/>
      </c>
      <c r="E711">
        <f>INDEX(FactorTable!$B$2:$Y$301, MATCH(ROUND(MIN(300,MAX(1,D711)),0), FactorTable!$A$2:$A$301,0), Skills!L21+1)</f>
        <v/>
      </c>
      <c r="F711">
        <f>IF(Skills!M21=TRUE,(Skills!K21/10)*(E711/1000),Skills!K21/10)+Skills!N21</f>
        <v/>
      </c>
      <c r="G711">
        <f>Calc!G21</f>
        <v/>
      </c>
      <c r="H711">
        <f>Calc!H21</f>
        <v/>
      </c>
      <c r="I711">
        <f>IF(Skills!T21&lt;&gt;"",1+(Skills!T21/10)*($Z$3/1000)/100,1)</f>
        <v/>
      </c>
      <c r="J711" t="inlineStr"/>
      <c r="K711" t="inlineStr"/>
      <c r="L711" t="inlineStr"/>
      <c r="M711" t="inlineStr"/>
      <c r="N711" t="inlineStr"/>
      <c r="O711" t="n">
        <v>0</v>
      </c>
      <c r="P711">
        <f>IF(B728=0,0,O711/B728)</f>
        <v/>
      </c>
      <c r="Q711">
        <f>IFERROR(1/IF(Inputs!$B$40="pvp",15,MAX(0.1,Skills!D21-IF(Skills!E21=TRUE,Inputs!$B$34,0))),0)</f>
        <v/>
      </c>
      <c r="R711" t="n">
        <v>0</v>
      </c>
    </row>
    <row r="712">
      <c r="A712">
        <f>Skills!A22</f>
        <v/>
      </c>
      <c r="B712">
        <f>Skills!B22</f>
        <v/>
      </c>
      <c r="C712">
        <f>Inputs!$B$3&gt;=50</f>
        <v/>
      </c>
      <c r="D712">
        <f>IF(Skills!C22=1,60+Inputs!$B$27+Inputs!$B$31,IF(Skills!C22=2,90+Inputs!$B$28+Inputs!$B$31,IF(Skills!C22=3,120+Inputs!$B$29+Inputs!$B$31,MAX(0,(Inputs!$B$3-100)*3)+Inputs!$B$30+Inputs!$B$31)))</f>
        <v/>
      </c>
      <c r="E712">
        <f>INDEX(FactorTable!$B$2:$Y$301, MATCH(ROUND(MIN(300,MAX(1,D712)),0), FactorTable!$A$2:$A$301,0), Skills!L22+1)</f>
        <v/>
      </c>
      <c r="F712">
        <f>IF(Skills!M22=TRUE,(Skills!K22/10)*(E712/1000),Skills!K22/10)+Skills!N22</f>
        <v/>
      </c>
      <c r="G712">
        <f>Calc!G22</f>
        <v/>
      </c>
      <c r="H712">
        <f>Calc!H22</f>
        <v/>
      </c>
      <c r="I712">
        <f>IF(Skills!T22&lt;&gt;"",1+(Skills!T22/10)*($Z$3/1000)/100,1)</f>
        <v/>
      </c>
      <c r="J712" t="inlineStr"/>
      <c r="K712" t="inlineStr"/>
      <c r="L712" t="inlineStr"/>
      <c r="M712" t="inlineStr"/>
      <c r="N712" t="inlineStr"/>
      <c r="O712" t="n">
        <v>0</v>
      </c>
      <c r="P712">
        <f>IF(B728=0,0,O712/B728)</f>
        <v/>
      </c>
      <c r="Q712">
        <f>IFERROR(1/IF(Inputs!$B$40="pvp",15,MAX(0.1,Skills!D22-IF(Skills!E22=TRUE,Inputs!$B$34,0))),0)</f>
        <v/>
      </c>
      <c r="R712" t="n">
        <v>0</v>
      </c>
    </row>
    <row r="713">
      <c r="A713">
        <f>Skills!A23</f>
        <v/>
      </c>
      <c r="B713">
        <f>Skills!B23</f>
        <v/>
      </c>
      <c r="C713">
        <f>Inputs!$B$3&gt;=74</f>
        <v/>
      </c>
      <c r="D713">
        <f>IF(Skills!C23=1,60+Inputs!$B$27+Inputs!$B$31,IF(Skills!C23=2,90+Inputs!$B$28+Inputs!$B$31,IF(Skills!C23=3,120+Inputs!$B$29+Inputs!$B$31,MAX(0,(Inputs!$B$3-100)*3)+Inputs!$B$30+Inputs!$B$31)))</f>
        <v/>
      </c>
      <c r="E713">
        <f>INDEX(FactorTable!$B$2:$Y$301, MATCH(ROUND(MIN(300,MAX(1,D713)),0), FactorTable!$A$2:$A$301,0), Skills!L23+1)</f>
        <v/>
      </c>
      <c r="F713">
        <f>IF(Skills!M23=TRUE,(Skills!K23/10)*(E713/1000),Skills!K23/10)+Skills!N23</f>
        <v/>
      </c>
      <c r="G713">
        <f>Calc!G23</f>
        <v/>
      </c>
      <c r="H713">
        <f>Calc!H23</f>
        <v/>
      </c>
      <c r="I713">
        <f>IF(Skills!T23&lt;&gt;"",1+(Skills!T23/10)*($Z$3/1000)/100,1)</f>
        <v/>
      </c>
      <c r="J713" t="inlineStr"/>
      <c r="K713" t="inlineStr"/>
      <c r="L713" t="inlineStr"/>
      <c r="M713" t="inlineStr"/>
      <c r="N713" t="inlineStr"/>
      <c r="O713" t="n">
        <v>0</v>
      </c>
      <c r="P713">
        <f>IF(B728=0,0,O713/B728)</f>
        <v/>
      </c>
      <c r="Q713">
        <f>IFERROR(1/IF(Inputs!$B$40="pvp",15,MAX(0.1,Skills!D23-IF(Skills!E23=TRUE,Inputs!$B$34,0))),0)</f>
        <v/>
      </c>
      <c r="R713" t="n">
        <v>0</v>
      </c>
    </row>
    <row r="714">
      <c r="A714">
        <f>Skills!A24</f>
        <v/>
      </c>
      <c r="B714">
        <f>Skills!B24</f>
        <v/>
      </c>
      <c r="C714">
        <f>Inputs!$B$3&gt;=74</f>
        <v/>
      </c>
      <c r="D714">
        <f>IF(Skills!C24=1,60+Inputs!$B$27+Inputs!$B$31,IF(Skills!C24=2,90+Inputs!$B$28+Inputs!$B$31,IF(Skills!C24=3,120+Inputs!$B$29+Inputs!$B$31,MAX(0,(Inputs!$B$3-100)*3)+Inputs!$B$30+Inputs!$B$31)))</f>
        <v/>
      </c>
      <c r="E714">
        <f>INDEX(FactorTable!$B$2:$Y$301, MATCH(ROUND(MIN(300,MAX(1,D714)),0), FactorTable!$A$2:$A$301,0), Skills!L24+1)</f>
        <v/>
      </c>
      <c r="F714">
        <f>IF(Skills!M24=TRUE,(Skills!K24/10)*(E714/1000),Skills!K24/10)+Skills!N24</f>
        <v/>
      </c>
      <c r="G714">
        <f>Calc!G24</f>
        <v/>
      </c>
      <c r="H714">
        <f>Calc!H24</f>
        <v/>
      </c>
      <c r="I714">
        <f>IF(Skills!T24&lt;&gt;"",1+(Skills!T24/10)*($Z$3/1000)/100,1)</f>
        <v/>
      </c>
      <c r="J714" t="inlineStr"/>
      <c r="K714" t="inlineStr"/>
      <c r="L714" t="inlineStr"/>
      <c r="M714" t="inlineStr"/>
      <c r="N714" t="inlineStr"/>
      <c r="O714" t="n">
        <v>0</v>
      </c>
      <c r="P714">
        <f>IF(B728=0,0,O714/B728)</f>
        <v/>
      </c>
      <c r="Q714">
        <f>IFERROR(1/IF(Inputs!$B$40="pvp",15,MAX(0.1,Skills!D24-IF(Skills!E24=TRUE,Inputs!$B$34,0))),0)</f>
        <v/>
      </c>
      <c r="R714" t="n">
        <v>0</v>
      </c>
    </row>
    <row r="715">
      <c r="A715">
        <f>Skills!A25</f>
        <v/>
      </c>
      <c r="B715">
        <f>Skills!B25</f>
        <v/>
      </c>
      <c r="C715">
        <f>Inputs!$B$3&gt;=117</f>
        <v/>
      </c>
      <c r="D715">
        <f>IF(Skills!C25=1,60+Inputs!$B$27+Inputs!$B$31,IF(Skills!C25=2,90+Inputs!$B$28+Inputs!$B$31,IF(Skills!C25=3,120+Inputs!$B$29+Inputs!$B$31,MAX(0,(Inputs!$B$3-100)*3)+Inputs!$B$30+Inputs!$B$31)))</f>
        <v/>
      </c>
      <c r="E715">
        <f>INDEX(FactorTable!$B$2:$Y$301, MATCH(ROUND(MIN(300,MAX(1,D715)),0), FactorTable!$A$2:$A$301,0), Skills!L25+1)</f>
        <v/>
      </c>
      <c r="F715">
        <f>IF(Skills!M25=TRUE,(Skills!K25/10)*(E715/1000),Skills!K25/10)+Skills!N25</f>
        <v/>
      </c>
      <c r="G715">
        <f>Calc!G25</f>
        <v/>
      </c>
      <c r="H715">
        <f>Calc!H25</f>
        <v/>
      </c>
      <c r="I715">
        <f>IF(Skills!T25&lt;&gt;"",1+(Skills!T25/10)*($Z$3/1000)/100,1)</f>
        <v/>
      </c>
      <c r="J715" t="inlineStr"/>
      <c r="K715" t="inlineStr"/>
      <c r="L715" t="inlineStr"/>
      <c r="M715" t="inlineStr"/>
      <c r="N715" t="inlineStr"/>
      <c r="O715" t="n">
        <v>0</v>
      </c>
      <c r="P715">
        <f>IF(B728=0,0,O715/B728)</f>
        <v/>
      </c>
      <c r="Q715">
        <f>IFERROR(1/IF(Inputs!$B$40="pvp",15,MAX(0.1,Skills!D25-IF(Skills!E25=TRUE,Inputs!$B$34,0))),0)</f>
        <v/>
      </c>
      <c r="R715" t="n">
        <v>0</v>
      </c>
    </row>
    <row r="716">
      <c r="A716">
        <f>Skills!A26</f>
        <v/>
      </c>
      <c r="B716">
        <f>Skills!B26</f>
        <v/>
      </c>
      <c r="C716">
        <f>Inputs!$B$3&gt;=120</f>
        <v/>
      </c>
      <c r="D716">
        <f>IF(Skills!C26=1,60+Inputs!$B$27+Inputs!$B$31,IF(Skills!C26=2,90+Inputs!$B$28+Inputs!$B$31,IF(Skills!C26=3,120+Inputs!$B$29+Inputs!$B$31,MAX(0,(Inputs!$B$3-100)*3)+Inputs!$B$30+Inputs!$B$31)))</f>
        <v/>
      </c>
      <c r="E716">
        <f>INDEX(FactorTable!$B$2:$Y$301, MATCH(ROUND(MIN(300,MAX(1,D716)),0), FactorTable!$A$2:$A$301,0), Skills!L26+1)</f>
        <v/>
      </c>
      <c r="F716">
        <f>IF(Skills!M26=TRUE,(Skills!K26/10)*(E716/1000),Skills!K26/10)+Skills!N26</f>
        <v/>
      </c>
      <c r="G716">
        <f>Calc!G26</f>
        <v/>
      </c>
      <c r="H716">
        <f>Calc!H26</f>
        <v/>
      </c>
      <c r="I716">
        <f>IF(Skills!T26&lt;&gt;"",1+(Skills!T26/10)*($Z$3/1000)/100,1)</f>
        <v/>
      </c>
      <c r="J716" t="inlineStr"/>
      <c r="K716" t="inlineStr"/>
      <c r="L716" t="inlineStr"/>
      <c r="M716" t="inlineStr"/>
      <c r="N716" t="inlineStr"/>
      <c r="O716" t="n">
        <v>0</v>
      </c>
      <c r="P716">
        <f>IF(B728=0,0,O716/B728)</f>
        <v/>
      </c>
      <c r="Q716">
        <f>IFERROR(1/IF(Inputs!$B$40="pvp",15,MAX(0.1,Skills!D26-IF(Skills!E26=TRUE,Inputs!$B$34,0))),0)</f>
        <v/>
      </c>
      <c r="R716" t="n">
        <v>0</v>
      </c>
    </row>
    <row r="718">
      <c r="A718" t="inlineStr">
        <is>
          <t>Average Buff Multiplier</t>
        </is>
      </c>
      <c r="B718">
        <f>(1+(IF(C693=TRUE,F693*IF(AND(Inputs!$B$40&lt;&gt;"pvp",Inputs!$B$43&gt;0),(((R693-1)*(Skills!S3*(1+(Inputs!$B$36+IF(Inputs!$B$3&gt;=117,F715,0))/100))+MIN((Skills!S3*(1+(Inputs!$B$36+IF(Inputs!$B$3&gt;=117,F715,0))/100)),MAX(0,Inputs!$B$43-((R693-1)*Skills!D3))))/Inputs!$B$43),IF(Inputs!$B$40="pvp",MIN((Skills!S3*(1+(Inputs!$B$36+IF(Inputs!$B$3&gt;=117,F715,0))/100)),15)/15,(Skills!S3*(1+(Inputs!$B$36+IF(Inputs!$B$3&gt;=117,F715,0))/100))/Skills!D3)),0)+IF(C694=TRUE,F694*IF(AND(Inputs!$B$40&lt;&gt;"pvp",Inputs!$B$43&gt;0),(((R694-1)*(Skills!S4*(1+(Inputs!$B$36+IF(Inputs!$B$3&gt;=117,F715,0))/100))+MIN((Skills!S4*(1+(Inputs!$B$36+IF(Inputs!$B$3&gt;=117,F715,0))/100)),MAX(0,Inputs!$B$43-((R694-1)*Skills!D4))))/Inputs!$B$43),IF(Inputs!$B$40="pvp",MIN((Skills!S4*(1+(Inputs!$B$36+IF(Inputs!$B$3&gt;=117,F715,0))/100)),15)/15,(Skills!S4*(1+(Inputs!$B$36+IF(Inputs!$B$3&gt;=117,F715,0))/100))/Skills!D4)),0)+IF(C695=TRUE,F695*IF(AND(Inputs!$B$40&lt;&gt;"pvp",Inputs!$B$43&gt;0),(((R695-1)*(Skills!S5*(1+(Inputs!$B$36+IF(Inputs!$B$3&gt;=117,F715,0))/100))+MIN((Skills!S5*(1+(Inputs!$B$36+IF(Inputs!$B$3&gt;=117,F715,0))/100)),MAX(0,Inputs!$B$43-((R695-1)*Skills!D5))))/Inputs!$B$43),IF(Inputs!$B$40="pvp",MIN((Skills!S5*(1+(Inputs!$B$36+IF(Inputs!$B$3&gt;=117,F715,0))/100)),15)/15,(Skills!S5*(1+(Inputs!$B$36+IF(Inputs!$B$3&gt;=117,F715,0))/100))/Skills!D5)),0)+IF(C701=TRUE,F701*IF(AND(Inputs!$B$40&lt;&gt;"pvp",Inputs!$B$43&gt;0),(((R701-1)*(Skills!S11*(1+(Inputs!$B$36+IF(Inputs!$B$3&gt;=117,F715,0))/100))+MIN((Skills!S11*(1+(Inputs!$B$36+IF(Inputs!$B$3&gt;=117,F715,0))/100)),MAX(0,Inputs!$B$43-((R701-1)*Skills!D11))))/Inputs!$B$43),IF(Inputs!$B$40="pvp",MIN((Skills!S11*(1+(Inputs!$B$36+IF(Inputs!$B$3&gt;=117,F715,0))/100)),15)/15,(Skills!S11*(1+(Inputs!$B$36+IF(Inputs!$B$3&gt;=117,F715,0))/100))/Skills!D11)),0))/100)*IF(C703=TRUE,(1+F703*IF(AND(Inputs!$B$40&lt;&gt;"pvp",Inputs!$B$43&gt;0),(((R703-1)*(Skills!S13*(1+(Inputs!$B$36+IF(Inputs!$B$3&gt;=117,F715,0))/100))+MIN((Skills!S13*(1+(Inputs!$B$36+IF(Inputs!$B$3&gt;=117,F715,0))/100)),MAX(0,Inputs!$B$43-((R703-1)*Skills!D13))))/Inputs!$B$43),IF(Inputs!$B$40="pvp",MIN((Skills!S13*(1+(Inputs!$B$36+IF(Inputs!$B$3&gt;=117,F715,0))/100)),15)/15,(Skills!S13*(1+(Inputs!$B$36+IF(Inputs!$B$3&gt;=117,F715,0))/100))/Skills!D13))/100),1)*IF(C708=TRUE,(1+F708*IF(AND(Inputs!$B$40&lt;&gt;"pvp",Inputs!$B$43&gt;0),(((R708-1)*(Skills!S18*(1+(Inputs!$B$36+IF(Inputs!$B$3&gt;=117,F715,0))/100))+MIN((Skills!S18*(1+(Inputs!$B$36+IF(Inputs!$B$3&gt;=117,F715,0))/100)),MAX(0,Inputs!$B$43-((R708-1)*Skills!D18))))/Inputs!$B$43),IF(Inputs!$B$40="pvp",MIN((Skills!S18*(1+(Inputs!$B$36+IF(Inputs!$B$3&gt;=117,F715,0))/100)),15)/15,(Skills!S18*(1+(Inputs!$B$36+IF(Inputs!$B$3&gt;=117,F715,0))/100))/Skills!D18))/100),1)</f>
        <v/>
      </c>
    </row>
    <row r="719">
      <c r="A719" t="inlineStr">
        <is>
          <t>Monster Damage Taken Bonus % (Holy Fountain)</t>
        </is>
      </c>
      <c r="B719">
        <f>IF(Inputs!$B$3&gt;=68,20*IF(Inputs!$B$40="pvp",MIN((15*(1+(Inputs!$B$36+IF(Inputs!$B$3&gt;=117,F715,0))/100)),15)/15,(15*(1+(Inputs!$B$36+IF(Inputs!$B$3&gt;=117,F715,0))/100))/Skills!D10),0)</f>
        <v/>
      </c>
    </row>
    <row r="720">
      <c r="A720" t="inlineStr">
        <is>
          <t>Normal Monster Damage Bonus % (Holy Symbol)</t>
        </is>
      </c>
      <c r="B720">
        <f>IF(C702=TRUE,F702*IF(AND(Inputs!$B$40&lt;&gt;"pvp",Inputs!$B$43&gt;0),(((R702-1)*(Skills!S12*(1+(Inputs!$B$36+IF(Inputs!$B$3&gt;=117,F715,0))/100))+MIN((Skills!S12*(1+(Inputs!$B$36+IF(Inputs!$B$3&gt;=117,F715,0))/100)),MAX(0,Inputs!$B$43-((R702-1)*Skills!D12))))/Inputs!$B$43),IF(Inputs!$B$40="pvp",MIN((Skills!S12*(1+(Inputs!$B$36+IF(Inputs!$B$3&gt;=117,F715,0))/100)),15)/15,(Skills!S12*(1+(Inputs!$B$36+IF(Inputs!$B$3&gt;=117,F715,0))/100))/Skills!D12)),0)</f>
        <v/>
      </c>
    </row>
    <row r="721">
      <c r="A721" t="inlineStr">
        <is>
          <t>Damage % Bonus (Holy Symbol - Damage Boost)</t>
        </is>
      </c>
      <c r="B721">
        <f>Skills!O12</f>
        <v/>
      </c>
    </row>
    <row r="722">
      <c r="A722" t="inlineStr">
        <is>
          <t>Crit Damage % Bonus (Blood of the Divine)</t>
        </is>
      </c>
      <c r="B722">
        <f>4*IF(C709=TRUE,F709,0)</f>
        <v/>
      </c>
    </row>
    <row r="723">
      <c r="A723" t="inlineStr">
        <is>
          <t>Attack Speed Bonus %</t>
        </is>
      </c>
      <c r="B723">
        <f>IF(C706=TRUE,F706+(F710-Calc!F20),0)+IF(Inputs!$B$3&gt;=134,15,0)</f>
        <v/>
      </c>
    </row>
    <row r="724">
      <c r="A724" t="inlineStr">
        <is>
          <t>Actions Per Second</t>
        </is>
      </c>
      <c r="B724">
        <f>1+MIN(150,150*(1-(1-Inputs!$B$13/150)*(1-B723/150)))/100</f>
        <v/>
      </c>
    </row>
    <row r="725">
      <c r="A725" t="inlineStr">
        <is>
          <t>Skill + Buff Cast Rate</t>
        </is>
      </c>
      <c r="B725">
        <f>IF(AND(Inputs!$B$40&lt;&gt;"pvp",Inputs!$B$43&gt;0),SUMPRODUCT((Skills!E2:E26=TRUE)*(C692:C716=TRUE)*R692:R716)/Inputs!$B$43,SUMPRODUCT((Skills!E2:E26=TRUE)*(C692:C716=TRUE)*Q692:Q716))</f>
        <v/>
      </c>
    </row>
    <row r="726">
      <c r="A726" t="inlineStr">
        <is>
          <t>Big Bang Casts Per Second</t>
        </is>
      </c>
      <c r="B726">
        <f>MAX(0,B724-B725)</f>
        <v/>
      </c>
    </row>
    <row r="728">
      <c r="A728" s="5" t="inlineStr">
        <is>
          <t>TOTAL DPS</t>
        </is>
      </c>
      <c r="B728" s="5">
        <f>SUM(O692:O716)</f>
        <v/>
      </c>
    </row>
    <row r="731">
      <c r="A731" s="5" t="inlineStr">
        <is>
          <t>Stat: Skill Level Bonus — 1st Job</t>
        </is>
      </c>
    </row>
    <row r="732">
      <c r="A732" s="9" t="inlineStr">
        <is>
          <t>Key</t>
        </is>
      </c>
      <c r="B732" s="9" t="inlineStr">
        <is>
          <t>Name</t>
        </is>
      </c>
      <c r="C732" s="9" t="inlineStr">
        <is>
          <t>Unlocked</t>
        </is>
      </c>
      <c r="D732" s="9" t="inlineStr">
        <is>
          <t>InputLevel</t>
        </is>
      </c>
      <c r="E732" s="9" t="inlineStr">
        <is>
          <t>Factor</t>
        </is>
      </c>
      <c r="F732" s="9" t="inlineStr">
        <is>
          <t>CoefficientPercent</t>
        </is>
      </c>
      <c r="G732" s="9" t="inlineStr">
        <is>
          <t>EffectiveHits</t>
        </is>
      </c>
      <c r="H732" s="9" t="inlineStr">
        <is>
          <t>ProcProbability</t>
        </is>
      </c>
      <c r="I732" s="9" t="inlineStr">
        <is>
          <t>MapleHeroMultiplier</t>
        </is>
      </c>
      <c r="J732" s="9" t="inlineStr">
        <is>
          <t>BaseDamage</t>
        </is>
      </c>
      <c r="K732" s="9" t="inlineStr">
        <is>
          <t>BaseHitDamage</t>
        </is>
      </c>
      <c r="L732" s="9" t="inlineStr">
        <is>
          <t>NonCritAvg</t>
        </is>
      </c>
      <c r="M732" s="9" t="inlineStr">
        <is>
          <t>CritAvg</t>
        </is>
      </c>
      <c r="N732" s="9" t="inlineStr">
        <is>
          <t>ExpectedDamage(perHit)</t>
        </is>
      </c>
      <c r="O732" s="9" t="inlineStr">
        <is>
          <t>DPS</t>
        </is>
      </c>
      <c r="P732" s="9" t="inlineStr">
        <is>
          <t>% of Total</t>
        </is>
      </c>
      <c r="R732" t="inlineStr">
        <is>
          <t>helpers</t>
        </is>
      </c>
    </row>
    <row r="733">
      <c r="A733">
        <f>Skills!A2</f>
        <v/>
      </c>
      <c r="B733">
        <f>Skills!B2</f>
        <v/>
      </c>
      <c r="C733">
        <f>Inputs!$B$3&gt;=100</f>
        <v/>
      </c>
      <c r="D733" t="inlineStr"/>
      <c r="E733" t="inlineStr"/>
      <c r="F733">
        <f>T735+Skills!N2</f>
        <v/>
      </c>
      <c r="G733">
        <f>Calc!G2</f>
        <v/>
      </c>
      <c r="H733">
        <f>Calc!H2</f>
        <v/>
      </c>
      <c r="I733">
        <f>IF(Skills!T2&lt;&gt;"",1+(Skills!T2/10)*($Z$3/1000)/100,1)</f>
        <v/>
      </c>
      <c r="J733">
        <f>(Inputs!$B$7*(1+Inputs!$B$8/100))*(F733/100)</f>
        <v/>
      </c>
      <c r="K733">
        <f>J733*(1+(((Inputs!$B$14+IF(Inputs!$B$3&gt;=35,0.10*(Inputs!$B$9*(1+Inputs!$B$10/100)),0))*(1+Inputs!$B$15/100))*0.01+Inputs!$B$16*0.0025)/100)*(1+(Inputs!$B$17+B762)/100)*(1+IF(Inputs!$B$40="pvp",0,(1-Summary!$B$48)*(Inputs!$B$22+Skills!O2+B760)+Summary!$B$48*(Inputs!$B$23+Skills!P2+B761))/100)*(1+Inputs!$B$18/100)*(5000/(6000+Inputs!$B$42*(1-Inputs!$B$21/100)))*(1+Inputs!$B$26/100)*(1+IF(C748=TRUE,F748,0)/100)*(1+IF(C750=TRUE,F750,0)/100)*(1+IF(Skills!A2="TRIUMPH_FEATHER",IF(C746=TRUE,F746,0),0)/100)*(1+IF(C757=TRUE,F757,0)/100)^5*(1+(IF(Skills!A2="BIG_BANG",Inputs!$B$19,Inputs!$B$20))/100)*(B759*I733)</f>
        <v/>
      </c>
      <c r="L733">
        <f>K733*(MIN(Inputs!$B$24+(F752-Calc!F21),Inputs!$B$25)/100+Inputs!$B$25/100)/2</f>
        <v/>
      </c>
      <c r="M733">
        <f>L733*(1+(Inputs!$B$12+B763+(F755-Calc!F24))/100)</f>
        <v/>
      </c>
      <c r="N733">
        <f>L733*(1-MIN(Inputs!$B$11+((F754-Calc!F23)+(F753-Calc!F22)),100)/100)+M733*(MIN(Inputs!$B$11+((F754-Calc!F23)+(F753-Calc!F22)),100)/100)</f>
        <v/>
      </c>
      <c r="O733">
        <f>IF(C733,Skills!F2*N733*B767*IF(Inputs!$B$40="pvp",1,(1-Summary!$B$48)*(1)+Summary!$B$48*(MIN((6+Inputs!$B$35),Inputs!$B$39))),0)</f>
        <v/>
      </c>
      <c r="P733">
        <f>IF(B769=0,0,O733/B769)</f>
        <v/>
      </c>
      <c r="Q733">
        <f>IFERROR(1/IF(Inputs!$B$40="pvp",15,MAX(0.1,Skills!D2-IF(Skills!E2=TRUE,Inputs!$B$34,0))),0)</f>
        <v/>
      </c>
      <c r="R733" t="n">
        <v>0</v>
      </c>
      <c r="T733">
        <f>MAX(0,(Inputs!$B$3-100)*3)+Inputs!$B$30+Inputs!$B$31</f>
        <v/>
      </c>
    </row>
    <row r="734">
      <c r="A734">
        <f>Skills!A3</f>
        <v/>
      </c>
      <c r="B734">
        <f>Skills!B3</f>
        <v/>
      </c>
      <c r="C734">
        <f>Inputs!$B$3&gt;=15</f>
        <v/>
      </c>
      <c r="D734">
        <f>IF(Skills!C3=1,60+(Inputs!$B$27+1)+Inputs!$B$31,IF(Skills!C3=2,90+Inputs!$B$28+Inputs!$B$31,IF(Skills!C3=3,120+Inputs!$B$29+Inputs!$B$31,MAX(0,(Inputs!$B$3-100)*3)+Inputs!$B$30+Inputs!$B$31)))</f>
        <v/>
      </c>
      <c r="E734">
        <f>INDEX(FactorTable!$B$2:$Y$301, MATCH(ROUND(MIN(300,MAX(1,D734)),0), FactorTable!$A$2:$A$301,0), Skills!L3+1)</f>
        <v/>
      </c>
      <c r="F734">
        <f>IF(Skills!M3=TRUE,(Skills!K3/10)*(E734/1000),Skills!K3/10)+Skills!N3</f>
        <v/>
      </c>
      <c r="G734">
        <f>Calc!G3</f>
        <v/>
      </c>
      <c r="H734">
        <f>Calc!H3</f>
        <v/>
      </c>
      <c r="I734">
        <f>IF(Skills!T3&lt;&gt;"",1+(Skills!T3/10)*($Z$3/1000)/100,1)</f>
        <v/>
      </c>
      <c r="J734" t="inlineStr"/>
      <c r="K734" t="inlineStr"/>
      <c r="L734" t="inlineStr"/>
      <c r="M734" t="inlineStr"/>
      <c r="N734" t="inlineStr"/>
      <c r="O734" t="n">
        <v>0</v>
      </c>
      <c r="P734">
        <f>IF(B769=0,0,O734/B769)</f>
        <v/>
      </c>
      <c r="Q734">
        <f>IFERROR(1/IF(Inputs!$B$40="pvp",15,MAX(0.1,Skills!D3-IF(Skills!E3=TRUE,Inputs!$B$34,0))),0)</f>
        <v/>
      </c>
      <c r="R734">
        <f>IF(AND(Inputs!$B$40&lt;&gt;"pvp",Inputs!$B$43&gt;0),(INT(Inputs!$B$43/IF(Inputs!$B$40="pvp",15,MAX(0.1,Skills!D3-IF(Skills!E3=TRUE,Inputs!$B$34,0))))+1),0)</f>
        <v/>
      </c>
      <c r="T734">
        <f>INDEX(FactorTable!$B$2:$Y$301, MATCH(ROUND(MIN(300,MAX(1,T733)),0), FactorTable!$A$2:$A$301,0), 22)</f>
        <v/>
      </c>
    </row>
    <row r="735">
      <c r="A735">
        <f>Skills!A4</f>
        <v/>
      </c>
      <c r="B735">
        <f>Skills!B4</f>
        <v/>
      </c>
      <c r="C735">
        <f>Inputs!$B$3&gt;=38</f>
        <v/>
      </c>
      <c r="D735">
        <f>IF(Skills!C4=1,60+(Inputs!$B$27+1)+Inputs!$B$31,IF(Skills!C4=2,90+Inputs!$B$28+Inputs!$B$31,IF(Skills!C4=3,120+Inputs!$B$29+Inputs!$B$31,MAX(0,(Inputs!$B$3-100)*3)+Inputs!$B$30+Inputs!$B$31)))</f>
        <v/>
      </c>
      <c r="E735">
        <f>INDEX(FactorTable!$B$2:$Y$301, MATCH(ROUND(MIN(300,MAX(1,D735)),0), FactorTable!$A$2:$A$301,0), Skills!L4+1)</f>
        <v/>
      </c>
      <c r="F735">
        <f>IF(Skills!M4=TRUE,(Skills!K4/10)*(E735/1000),Skills!K4/10)+Skills!N4</f>
        <v/>
      </c>
      <c r="G735">
        <f>Calc!G4</f>
        <v/>
      </c>
      <c r="H735">
        <f>Calc!H4</f>
        <v/>
      </c>
      <c r="I735">
        <f>IF(Skills!T4&lt;&gt;"",1+(Skills!T4/10)*($Z$3/1000)/100,1)</f>
        <v/>
      </c>
      <c r="J735" t="inlineStr"/>
      <c r="K735" t="inlineStr"/>
      <c r="L735" t="inlineStr"/>
      <c r="M735" t="inlineStr"/>
      <c r="N735" t="inlineStr"/>
      <c r="O735" t="n">
        <v>0</v>
      </c>
      <c r="P735">
        <f>IF(B769=0,0,O735/B769)</f>
        <v/>
      </c>
      <c r="Q735">
        <f>IFERROR(1/IF(Inputs!$B$40="pvp",15,MAX(0.1,Skills!D4-IF(Skills!E4=TRUE,Inputs!$B$34,0))),0)</f>
        <v/>
      </c>
      <c r="R735">
        <f>IF(AND(Inputs!$B$40&lt;&gt;"pvp",Inputs!$B$43&gt;0),(INT(Inputs!$B$43/IF(Inputs!$B$40="pvp",15,MAX(0.1,Skills!D4-IF(Skills!E4=TRUE,Inputs!$B$34,0))))+1),0)</f>
        <v/>
      </c>
      <c r="T735">
        <f>290*T734/1000</f>
        <v/>
      </c>
    </row>
    <row r="736">
      <c r="A736">
        <f>Skills!A5</f>
        <v/>
      </c>
      <c r="B736">
        <f>Skills!B5</f>
        <v/>
      </c>
      <c r="C736">
        <f>Inputs!$B$3&gt;=40</f>
        <v/>
      </c>
      <c r="D736">
        <f>IF(Skills!C5=1,60+(Inputs!$B$27+1)+Inputs!$B$31,IF(Skills!C5=2,90+Inputs!$B$28+Inputs!$B$31,IF(Skills!C5=3,120+Inputs!$B$29+Inputs!$B$31,MAX(0,(Inputs!$B$3-100)*3)+Inputs!$B$30+Inputs!$B$31)))</f>
        <v/>
      </c>
      <c r="E736">
        <f>INDEX(FactorTable!$B$2:$Y$301, MATCH(ROUND(MIN(300,MAX(1,D736)),0), FactorTable!$A$2:$A$301,0), Skills!L5+1)</f>
        <v/>
      </c>
      <c r="F736">
        <f>IF(Skills!M5=TRUE,(Skills!K5/10)*(E736/1000),Skills!K5/10)+Skills!N5</f>
        <v/>
      </c>
      <c r="G736">
        <f>Calc!G5</f>
        <v/>
      </c>
      <c r="H736">
        <f>Calc!H5</f>
        <v/>
      </c>
      <c r="I736">
        <f>IF(Skills!T5&lt;&gt;"",1+(Skills!T5/10)*($Z$3/1000)/100,1)</f>
        <v/>
      </c>
      <c r="J736" t="inlineStr"/>
      <c r="K736" t="inlineStr"/>
      <c r="L736" t="inlineStr"/>
      <c r="M736" t="inlineStr"/>
      <c r="N736" t="inlineStr"/>
      <c r="O736" t="n">
        <v>0</v>
      </c>
      <c r="P736">
        <f>IF(B769=0,0,O736/B769)</f>
        <v/>
      </c>
      <c r="Q736">
        <f>IFERROR(1/IF(Inputs!$B$40="pvp",15,MAX(0.1,Skills!D5-IF(Skills!E5=TRUE,Inputs!$B$34,0))),0)</f>
        <v/>
      </c>
      <c r="R736">
        <f>IF(AND(Inputs!$B$40&lt;&gt;"pvp",Inputs!$B$43&gt;0),(INT(Inputs!$B$43/IF(Inputs!$B$40="pvp",15,MAX(0.1,Skills!D5-IF(Skills!E5=TRUE,Inputs!$B$34,0))))+1),0)</f>
        <v/>
      </c>
    </row>
    <row r="737">
      <c r="A737">
        <f>Skills!A6</f>
        <v/>
      </c>
      <c r="B737">
        <f>Skills!B6</f>
        <v/>
      </c>
      <c r="C737">
        <f>Inputs!$B$3&gt;=103</f>
        <v/>
      </c>
      <c r="D737">
        <f>IF(Skills!C6=1,60+(Inputs!$B$27+1)+Inputs!$B$31,IF(Skills!C6=2,90+Inputs!$B$28+Inputs!$B$31,IF(Skills!C6=3,120+Inputs!$B$29+Inputs!$B$31,MAX(0,(Inputs!$B$3-100)*3)+Inputs!$B$30+Inputs!$B$31)))</f>
        <v/>
      </c>
      <c r="E737">
        <f>INDEX(FactorTable!$B$2:$Y$301, MATCH(ROUND(MIN(300,MAX(1,D737)),0), FactorTable!$A$2:$A$301,0), Skills!L6+1)</f>
        <v/>
      </c>
      <c r="F737">
        <f>IF(Skills!M6=TRUE,(Skills!K6/10)*(E737/1000),Skills!K6/10)+Skills!N6</f>
        <v/>
      </c>
      <c r="G737">
        <f>Calc!G6</f>
        <v/>
      </c>
      <c r="H737">
        <f>Calc!H6</f>
        <v/>
      </c>
      <c r="I737">
        <f>IF(Skills!T6&lt;&gt;"",1+(Skills!T6/10)*($Z$3/1000)/100,1)</f>
        <v/>
      </c>
      <c r="J737">
        <f>(Inputs!$B$7*(1+Inputs!$B$8/100))*(F737/100)</f>
        <v/>
      </c>
      <c r="K737">
        <f>J737*(1+(((Inputs!$B$14+IF(Inputs!$B$3&gt;=35,0.10*(Inputs!$B$9*(1+Inputs!$B$10/100)),0))*(1+Inputs!$B$15/100))*0.01+Inputs!$B$16*0.0025)/100)*(1+(Inputs!$B$17+B762)/100)*(1+IF(Inputs!$B$40="pvp",0,(1-Summary!$B$48)*(Inputs!$B$22+Skills!O6+B760)+Summary!$B$48*(Inputs!$B$23+Skills!P6+B761))/100)*(1+Inputs!$B$18/100)*(5000/(6000+Inputs!$B$42*(1-Inputs!$B$21/100)))*(1+Inputs!$B$26/100)*(1+IF(C748=TRUE,F748,0)/100)*(1+IF(C750=TRUE,F750,0)/100)*(1+IF(Skills!A6="TRIUMPH_FEATHER",IF(C746=TRUE,F746,0),0)/100)*(1+IF(C757=TRUE,F757,0)/100)^5*(1+(IF(Skills!A6="BIG_BANG",Inputs!$B$19,Inputs!$B$20))/100)*(B759*I737)</f>
        <v/>
      </c>
      <c r="L737">
        <f>K737*(MIN(Inputs!$B$24+(F752-Calc!F21),Inputs!$B$25)/100+Inputs!$B$25/100)/2</f>
        <v/>
      </c>
      <c r="M737">
        <f>L737*(1+(Inputs!$B$12+B763+(F755-Calc!F24))/100)</f>
        <v/>
      </c>
      <c r="N737">
        <f>L737*(1-MIN(Inputs!$B$11+((F754-Calc!F23)+(F753-Calc!F22)),100)/100)+M737*(MIN(Inputs!$B$11+((F754-Calc!F23)+(F753-Calc!F22)),100)/100)</f>
        <v/>
      </c>
      <c r="O737">
        <f>IF(C737,H737*N737*IF(AND(Inputs!$B$40&lt;&gt;"pvp",Inputs!$B$43&gt;0),((Skills!F6*((R737-1)*IF(Skills!G6&gt;0,Skills!H6/Skills!G6,1)+IF(Skills!G6&gt;0,MIN(Skills!H6,MAX(0,Inputs!$B$43-((R737-1)*IF(Inputs!$B$40="pvp",15,MAX(0.1,Skills!D6-IF(Skills!E6=TRUE,Inputs!$B$34,0))))))/Skills!G6,1)))/Inputs!$B$43),G737*Q737)*IF(Inputs!$B$40="pvp",1,(1-Summary!$B$48)*(1)+Summary!$B$48*(MIN(Skills!Q6,Inputs!$B$39))),0)</f>
        <v/>
      </c>
      <c r="P737">
        <f>IF(B769=0,0,O737/B769)</f>
        <v/>
      </c>
      <c r="Q737">
        <f>IFERROR(1/IF(Inputs!$B$40="pvp",15,MAX(0.1,Skills!D6-IF(Skills!E6=TRUE,Inputs!$B$34,0))),0)</f>
        <v/>
      </c>
      <c r="R737">
        <f>IF(AND(Inputs!$B$40&lt;&gt;"pvp",Inputs!$B$43&gt;0),(INT(Inputs!$B$43/IF(Inputs!$B$40="pvp",15,MAX(0.1,Skills!D6-IF(Skills!E6=TRUE,Inputs!$B$34,0))))+1),0)</f>
        <v/>
      </c>
    </row>
    <row r="738">
      <c r="A738">
        <f>Skills!A7</f>
        <v/>
      </c>
      <c r="B738">
        <f>Skills!B7</f>
        <v/>
      </c>
      <c r="C738">
        <f>Inputs!$B$3&gt;=122</f>
        <v/>
      </c>
      <c r="D738">
        <f>IF(Skills!C7=1,60+(Inputs!$B$27+1)+Inputs!$B$31,IF(Skills!C7=2,90+Inputs!$B$28+Inputs!$B$31,IF(Skills!C7=3,120+Inputs!$B$29+Inputs!$B$31,MAX(0,(Inputs!$B$3-100)*3)+Inputs!$B$30+Inputs!$B$31)))</f>
        <v/>
      </c>
      <c r="E738">
        <f>INDEX(FactorTable!$B$2:$Y$301, MATCH(ROUND(MIN(300,MAX(1,D738)),0), FactorTable!$A$2:$A$301,0), Skills!L7+1)</f>
        <v/>
      </c>
      <c r="F738">
        <f>IF(Skills!M7=TRUE,(Skills!K7/10)*(E738/1000),Skills!K7/10)+Skills!N7</f>
        <v/>
      </c>
      <c r="G738">
        <f>Calc!G7</f>
        <v/>
      </c>
      <c r="H738">
        <f>Calc!H7</f>
        <v/>
      </c>
      <c r="I738">
        <f>IF(Skills!T7&lt;&gt;"",1+(Skills!T7/10)*($Z$3/1000)/100,1)</f>
        <v/>
      </c>
      <c r="J738">
        <f>(Inputs!$B$7*(1+Inputs!$B$8/100))*(F738/100)</f>
        <v/>
      </c>
      <c r="K738">
        <f>J738*(1+(((Inputs!$B$14+IF(Inputs!$B$3&gt;=35,0.10*(Inputs!$B$9*(1+Inputs!$B$10/100)),0))*(1+Inputs!$B$15/100))*0.01+Inputs!$B$16*0.0025)/100)*(1+(Inputs!$B$17+B762)/100)*(1+IF(Inputs!$B$40="pvp",0,(1-Summary!$B$48)*(Inputs!$B$22+Skills!O7+B760)+Summary!$B$48*(Inputs!$B$23+Skills!P7+B761))/100)*(1+Inputs!$B$18/100)*(5000/(6000+Inputs!$B$42*(1-Inputs!$B$21/100)))*(1+Inputs!$B$26/100)*(1+IF(C748=TRUE,F748,0)/100)*(1+IF(C750=TRUE,F750,0)/100)*(1+IF(Skills!A7="TRIUMPH_FEATHER",IF(C746=TRUE,F746,0),0)/100)*(1+IF(C757=TRUE,F757,0)/100)^5*(1+(IF(Skills!A7="BIG_BANG",Inputs!$B$19,Inputs!$B$20))/100)*(B759*I738)</f>
        <v/>
      </c>
      <c r="L738">
        <f>K738*(MIN(Inputs!$B$24+(F752-Calc!F21),Inputs!$B$25)/100+Inputs!$B$25/100)/2</f>
        <v/>
      </c>
      <c r="M738">
        <f>L738*(1+(Inputs!$B$12+B763+(F755-Calc!F24))/100)</f>
        <v/>
      </c>
      <c r="N738">
        <f>L738*(1-MIN(Inputs!$B$11+((F754-Calc!F23)+(F753-Calc!F22)),100)/100)+M738*(MIN(Inputs!$B$11+((F754-Calc!F23)+(F753-Calc!F22)),100)/100)</f>
        <v/>
      </c>
      <c r="O738">
        <f>IF(C738,H738*N738*IF(AND(Inputs!$B$40&lt;&gt;"pvp",Inputs!$B$43&gt;0),((Skills!F7*((R738-1)*IF(Skills!G7&gt;0,Skills!H7/Skills!G7,1)+IF(Skills!G7&gt;0,MIN(Skills!H7,MAX(0,Inputs!$B$43-((R738-1)*IF(Inputs!$B$40="pvp",15,MAX(0.1,Skills!D7-IF(Skills!E6=TRUE,Inputs!$B$34,0))))))/Skills!G7,1)))/Inputs!$B$43),G738*Q738)*(1-Summary!$B$48),0)</f>
        <v/>
      </c>
      <c r="P738">
        <f>IF(B769=0,0,O738/B769)</f>
        <v/>
      </c>
      <c r="Q738">
        <f>IFERROR(1/IF(Inputs!$B$40="pvp",15,MAX(0.1,Skills!D7-IF(Skills!E6=TRUE,Inputs!$B$34,0))),0)</f>
        <v/>
      </c>
      <c r="R738">
        <f>IF(AND(Inputs!$B$40&lt;&gt;"pvp",Inputs!$B$43&gt;0),(INT(Inputs!$B$43/IF(Inputs!$B$40="pvp",15,MAX(0.1,Skills!D7-IF(Skills!E6=TRUE,Inputs!$B$34,0))))+1),0)</f>
        <v/>
      </c>
    </row>
    <row r="739">
      <c r="A739">
        <f>Skills!A8</f>
        <v/>
      </c>
      <c r="B739">
        <f>Skills!B8</f>
        <v/>
      </c>
      <c r="C739">
        <f>Inputs!$B$3&gt;=105</f>
        <v/>
      </c>
      <c r="D739">
        <f>IF(Skills!C8=1,60+(Inputs!$B$27+1)+Inputs!$B$31,IF(Skills!C8=2,90+Inputs!$B$28+Inputs!$B$31,IF(Skills!C8=3,120+Inputs!$B$29+Inputs!$B$31,MAX(0,(Inputs!$B$3-100)*3)+Inputs!$B$30+Inputs!$B$31)))</f>
        <v/>
      </c>
      <c r="E739">
        <f>INDEX(FactorTable!$B$2:$Y$301, MATCH(ROUND(MIN(300,MAX(1,D739)),0), FactorTable!$A$2:$A$301,0), Skills!L8+1)</f>
        <v/>
      </c>
      <c r="F739">
        <f>IF(Skills!M8=TRUE,(Skills!K8/10)*(E739/1000),Skills!K8/10)+Skills!N8</f>
        <v/>
      </c>
      <c r="G739">
        <f>Calc!G8</f>
        <v/>
      </c>
      <c r="H739">
        <f>Calc!H8</f>
        <v/>
      </c>
      <c r="I739">
        <f>IF(Skills!T8&lt;&gt;"",1+(Skills!T8/10)*($Z$3/1000)/100,1)</f>
        <v/>
      </c>
      <c r="J739">
        <f>(Inputs!$B$7*(1+Inputs!$B$8/100))*(F739/100)</f>
        <v/>
      </c>
      <c r="K739">
        <f>J739*(1+(((Inputs!$B$14+IF(Inputs!$B$3&gt;=35,0.10*(Inputs!$B$9*(1+Inputs!$B$10/100)),0))*(1+Inputs!$B$15/100))*0.01+Inputs!$B$16*0.0025)/100)*(1+(Inputs!$B$17+B762)/100)*(1+IF(Inputs!$B$40="pvp",0,(1-Summary!$B$48)*(Inputs!$B$22+Skills!O8+B760)+Summary!$B$48*(Inputs!$B$23+Skills!P8+B761))/100)*(1+Inputs!$B$18/100)*(5000/(6000+Inputs!$B$42*(1-Inputs!$B$21/100)))*(1+Inputs!$B$26/100)*(1+IF(C748=TRUE,F748,0)/100)*(1+IF(C750=TRUE,F750,0)/100)*(1+IF(Skills!A8="TRIUMPH_FEATHER",IF(C746=TRUE,F746,0),0)/100)*(1+IF(C757=TRUE,F757,0)/100)^5*(1+(IF(Skills!A8="BIG_BANG",Inputs!$B$19,Inputs!$B$20))/100)*(B759*I739)</f>
        <v/>
      </c>
      <c r="L739">
        <f>K739*(MIN(Inputs!$B$24+(F752-Calc!F21),Inputs!$B$25)/100+Inputs!$B$25/100)/2</f>
        <v/>
      </c>
      <c r="M739">
        <f>L739*(1+(Inputs!$B$12+B763+(F755-Calc!F24))/100)</f>
        <v/>
      </c>
      <c r="N739">
        <f>L739*(1-MIN(Inputs!$B$11+((F754-Calc!F23)+(F753-Calc!F22)),100)/100)+M739*(MIN(Inputs!$B$11+((F754-Calc!F23)+(F753-Calc!F22)),100)/100)</f>
        <v/>
      </c>
      <c r="O739">
        <f>IF(C739,H739*N739*IF(AND(Inputs!$B$40&lt;&gt;"pvp",Inputs!$B$43&gt;0),((Skills!F8*((R739-1)*IF(Skills!G8&gt;0,Skills!H8/Skills!G8,1)+IF(Skills!G8&gt;0,MIN(Skills!H8,MAX(0,Inputs!$B$43-((R739-1)*IF(Inputs!$B$40="pvp",15,MAX(0.1,Skills!D8-IF(Skills!E8=TRUE,Inputs!$B$34,0))))))/Skills!G8,1)))/Inputs!$B$43),G739*Q739)*IF(Inputs!$B$40="pvp",1,(1-Summary!$B$48)*(1)+Summary!$B$48*(MIN(Skills!Q8,Inputs!$B$39))),0)</f>
        <v/>
      </c>
      <c r="P739">
        <f>IF(B769=0,0,O739/B769)</f>
        <v/>
      </c>
      <c r="Q739">
        <f>IFERROR(1/IF(Inputs!$B$40="pvp",15,MAX(0.1,Skills!D8-IF(Skills!E8=TRUE,Inputs!$B$34,0))),0)</f>
        <v/>
      </c>
      <c r="R739">
        <f>IF(AND(Inputs!$B$40&lt;&gt;"pvp",Inputs!$B$43&gt;0),(INT(Inputs!$B$43/IF(Inputs!$B$40="pvp",15,MAX(0.1,Skills!D8-IF(Skills!E8=TRUE,Inputs!$B$34,0))))+1),0)</f>
        <v/>
      </c>
    </row>
    <row r="740">
      <c r="A740">
        <f>Skills!A9</f>
        <v/>
      </c>
      <c r="B740">
        <f>Skills!B9</f>
        <v/>
      </c>
      <c r="C740">
        <f>Inputs!$B$3&gt;=115</f>
        <v/>
      </c>
      <c r="D740">
        <f>IF(Skills!C9=1,60+(Inputs!$B$27+1)+Inputs!$B$31,IF(Skills!C9=2,90+Inputs!$B$28+Inputs!$B$31,IF(Skills!C9=3,120+Inputs!$B$29+Inputs!$B$31,MAX(0,(Inputs!$B$3-100)*3)+Inputs!$B$30+Inputs!$B$31)))</f>
        <v/>
      </c>
      <c r="E740">
        <f>INDEX(FactorTable!$B$2:$Y$301, MATCH(ROUND(MIN(300,MAX(1,D740)),0), FactorTable!$A$2:$A$301,0), Skills!L9+1)</f>
        <v/>
      </c>
      <c r="F740">
        <f>IF(Skills!M9=TRUE,(Skills!K9/10)*(E740/1000),Skills!K9/10)+Skills!N9</f>
        <v/>
      </c>
      <c r="G740">
        <f>Calc!G9</f>
        <v/>
      </c>
      <c r="H740">
        <f>Calc!H9</f>
        <v/>
      </c>
      <c r="I740">
        <f>IF(Skills!T9&lt;&gt;"",1+(Skills!T9/10)*($Z$3/1000)/100,1)</f>
        <v/>
      </c>
      <c r="J740">
        <f>(Inputs!$B$7*(1+Inputs!$B$8/100))*(F740/100)</f>
        <v/>
      </c>
      <c r="K740">
        <f>J740*(1+(((Inputs!$B$14+IF(Inputs!$B$3&gt;=35,0.10*(Inputs!$B$9*(1+Inputs!$B$10/100)),0))*(1+Inputs!$B$15/100))*0.01+Inputs!$B$16*0.0025)/100)*(1+(Inputs!$B$17+B762)/100)*(1+IF(Inputs!$B$40="pvp",0,(1-Summary!$B$48)*(Inputs!$B$22+Skills!O9+B760)+Summary!$B$48*(Inputs!$B$23+Skills!P9+B761))/100)*(1+Inputs!$B$18/100)*(5000/(6000+Inputs!$B$42*(1-Inputs!$B$21/100)))*(1+Inputs!$B$26/100)*(1+IF(C748=TRUE,F748,0)/100)*(1+IF(C750=TRUE,F750,0)/100)*(1+IF(Skills!A9="TRIUMPH_FEATHER",IF(C746=TRUE,F746,0),0)/100)*(1+IF(C757=TRUE,F757,0)/100)^5*(1+(IF(Skills!A9="BIG_BANG",Inputs!$B$19,Inputs!$B$20))/100)*(B759*I740)</f>
        <v/>
      </c>
      <c r="L740">
        <f>K740*(MIN(Inputs!$B$24+(F752-Calc!F21),Inputs!$B$25)/100+Inputs!$B$25/100)/2</f>
        <v/>
      </c>
      <c r="M740">
        <f>L740*(1+(Inputs!$B$12+B763+(F755-Calc!F24))/100)</f>
        <v/>
      </c>
      <c r="N740">
        <f>L740*(1-MIN(Inputs!$B$11+((F754-Calc!F23)+(F753-Calc!F22)),100)/100)+M740*(MIN(Inputs!$B$11+((F754-Calc!F23)+(F753-Calc!F22)),100)/100)</f>
        <v/>
      </c>
      <c r="O740">
        <f>IF(C740,H740*N740*IF(AND(Inputs!$B$40&lt;&gt;"pvp",Inputs!$B$43&gt;0),((Skills!F9*((R740-1)*IF(Skills!G9&gt;0,Skills!H9/Skills!G9,1)+IF(Skills!G9&gt;0,MIN(Skills!H9,MAX(0,Inputs!$B$43-((R740-1)*IF(Inputs!$B$40="pvp",15,MAX(0.1,Skills!D9-IF(Skills!E9=TRUE,Inputs!$B$34,0))))))/Skills!G9,1)))/Inputs!$B$43),G740*Q740)*IF(Inputs!$B$40="pvp",1,(1-Summary!$B$48)*(1)+Summary!$B$48*(MIN(Skills!Q9,Inputs!$B$39))),0)</f>
        <v/>
      </c>
      <c r="P740">
        <f>IF(B769=0,0,O740/B769)</f>
        <v/>
      </c>
      <c r="Q740">
        <f>IFERROR(1/IF(Inputs!$B$40="pvp",15,MAX(0.1,Skills!D9-IF(Skills!E9=TRUE,Inputs!$B$34,0))),0)</f>
        <v/>
      </c>
      <c r="R740">
        <f>IF(AND(Inputs!$B$40&lt;&gt;"pvp",Inputs!$B$43&gt;0),(INT(Inputs!$B$43/IF(Inputs!$B$40="pvp",15,MAX(0.1,Skills!D9-IF(Skills!E9=TRUE,Inputs!$B$34,0))))+1),0)</f>
        <v/>
      </c>
    </row>
    <row r="741">
      <c r="A741">
        <f>Skills!A10</f>
        <v/>
      </c>
      <c r="B741">
        <f>Skills!B10</f>
        <v/>
      </c>
      <c r="C741">
        <f>Inputs!$B$3&gt;=66</f>
        <v/>
      </c>
      <c r="D741">
        <f>IF(Skills!C10=1,60+(Inputs!$B$27+1)+Inputs!$B$31,IF(Skills!C10=2,90+Inputs!$B$28+Inputs!$B$31,IF(Skills!C10=3,120+Inputs!$B$29+Inputs!$B$31,MAX(0,(Inputs!$B$3-100)*3)+Inputs!$B$30+Inputs!$B$31)))</f>
        <v/>
      </c>
      <c r="E741">
        <f>INDEX(FactorTable!$B$2:$Y$301, MATCH(ROUND(MIN(300,MAX(1,D741)),0), FactorTable!$A$2:$A$301,0), Skills!L10+1)</f>
        <v/>
      </c>
      <c r="F741" t="n">
        <v>0</v>
      </c>
      <c r="G741">
        <f>Calc!G10</f>
        <v/>
      </c>
      <c r="H741">
        <f>Calc!H10</f>
        <v/>
      </c>
      <c r="I741">
        <f>IF(Skills!T10&lt;&gt;"",1+(Skills!T10/10)*($Z$3/1000)/100,1)</f>
        <v/>
      </c>
      <c r="J741" t="inlineStr"/>
      <c r="K741" t="inlineStr"/>
      <c r="L741" t="inlineStr"/>
      <c r="M741" t="inlineStr"/>
      <c r="N741" t="inlineStr"/>
      <c r="O741" t="n">
        <v>0</v>
      </c>
      <c r="P741">
        <f>IF(B769=0,0,O741/B769)</f>
        <v/>
      </c>
      <c r="Q741">
        <f>IFERROR(1/IF(Inputs!$B$40="pvp",15,MAX(0.1,Skills!D10-IF(Skills!E10=TRUE,Inputs!$B$34,0))),0)</f>
        <v/>
      </c>
      <c r="R741">
        <f>IF(AND(Inputs!$B$40&lt;&gt;"pvp",Inputs!$B$43&gt;0),(INT(Inputs!$B$43/IF(Inputs!$B$40="pvp",15,MAX(0.1,Skills!D10-IF(Skills!E10=TRUE,Inputs!$B$34,0))))+1),0)</f>
        <v/>
      </c>
    </row>
    <row r="742">
      <c r="A742">
        <f>Skills!A11</f>
        <v/>
      </c>
      <c r="B742">
        <f>Skills!B11</f>
        <v/>
      </c>
      <c r="C742">
        <f>Inputs!$B$3&gt;=69</f>
        <v/>
      </c>
      <c r="D742">
        <f>IF(Skills!C11=1,60+(Inputs!$B$27+1)+Inputs!$B$31,IF(Skills!C11=2,90+Inputs!$B$28+Inputs!$B$31,IF(Skills!C11=3,120+Inputs!$B$29+Inputs!$B$31,MAX(0,(Inputs!$B$3-100)*3)+Inputs!$B$30+Inputs!$B$31)))</f>
        <v/>
      </c>
      <c r="E742">
        <f>INDEX(FactorTable!$B$2:$Y$301, MATCH(ROUND(MIN(300,MAX(1,D742)),0), FactorTable!$A$2:$A$301,0), Skills!L11+1)</f>
        <v/>
      </c>
      <c r="F742">
        <f>IF(Skills!M11=TRUE,(Skills!K11/10)*(E742/1000),Skills!K11/10)+Skills!N11</f>
        <v/>
      </c>
      <c r="G742">
        <f>Calc!G11</f>
        <v/>
      </c>
      <c r="H742">
        <f>Calc!H11</f>
        <v/>
      </c>
      <c r="I742">
        <f>IF(Skills!T11&lt;&gt;"",1+(Skills!T11/10)*($Z$3/1000)/100,1)</f>
        <v/>
      </c>
      <c r="J742" t="inlineStr"/>
      <c r="K742" t="inlineStr"/>
      <c r="L742" t="inlineStr"/>
      <c r="M742" t="inlineStr"/>
      <c r="N742" t="inlineStr"/>
      <c r="O742" t="n">
        <v>0</v>
      </c>
      <c r="P742">
        <f>IF(B769=0,0,O742/B769)</f>
        <v/>
      </c>
      <c r="Q742">
        <f>IFERROR(1/IF(Inputs!$B$40="pvp",15,MAX(0.1,Skills!D11-IF(Skills!E11=TRUE,Inputs!$B$34,0))),0)</f>
        <v/>
      </c>
      <c r="R742">
        <f>IF(AND(Inputs!$B$40&lt;&gt;"pvp",Inputs!$B$43&gt;0),(INT(Inputs!$B$43/IF(Inputs!$B$40="pvp",15,MAX(0.1,Skills!D11-IF(Skills!E11=TRUE,Inputs!$B$34,0))))+1),0)</f>
        <v/>
      </c>
    </row>
    <row r="743">
      <c r="A743">
        <f>Skills!A12</f>
        <v/>
      </c>
      <c r="B743">
        <f>Skills!B12</f>
        <v/>
      </c>
      <c r="C743">
        <f>Inputs!$B$3&gt;=72</f>
        <v/>
      </c>
      <c r="D743">
        <f>IF(Skills!C12=1,60+(Inputs!$B$27+1)+Inputs!$B$31,IF(Skills!C12=2,90+Inputs!$B$28+Inputs!$B$31,IF(Skills!C12=3,120+Inputs!$B$29+Inputs!$B$31,MAX(0,(Inputs!$B$3-100)*3)+Inputs!$B$30+Inputs!$B$31)))</f>
        <v/>
      </c>
      <c r="E743">
        <f>INDEX(FactorTable!$B$2:$Y$301, MATCH(ROUND(MIN(300,MAX(1,D743)),0), FactorTable!$A$2:$A$301,0), Skills!L12+1)</f>
        <v/>
      </c>
      <c r="F743">
        <f>IF(Skills!M12=TRUE,(Skills!K12/10)*(E743/1000),Skills!K12/10)+Skills!N12</f>
        <v/>
      </c>
      <c r="G743">
        <f>Calc!G12</f>
        <v/>
      </c>
      <c r="H743">
        <f>Calc!H12</f>
        <v/>
      </c>
      <c r="I743">
        <f>IF(Skills!T12&lt;&gt;"",1+(Skills!T12/10)*($Z$3/1000)/100,1)</f>
        <v/>
      </c>
      <c r="J743" t="inlineStr"/>
      <c r="K743" t="inlineStr"/>
      <c r="L743" t="inlineStr"/>
      <c r="M743" t="inlineStr"/>
      <c r="N743" t="inlineStr"/>
      <c r="O743" t="n">
        <v>0</v>
      </c>
      <c r="P743">
        <f>IF(B769=0,0,O743/B769)</f>
        <v/>
      </c>
      <c r="Q743">
        <f>IFERROR(1/IF(Inputs!$B$40="pvp",15,MAX(0.1,Skills!D12-IF(Skills!E12=TRUE,Inputs!$B$34,0))),0)</f>
        <v/>
      </c>
      <c r="R743">
        <f>IF(AND(Inputs!$B$40&lt;&gt;"pvp",Inputs!$B$43&gt;0),(INT(Inputs!$B$43/IF(Inputs!$B$40="pvp",15,MAX(0.1,Skills!D12-IF(Skills!E12=TRUE,Inputs!$B$34,0))))+1),0)</f>
        <v/>
      </c>
    </row>
    <row r="744">
      <c r="A744">
        <f>Skills!A13</f>
        <v/>
      </c>
      <c r="B744">
        <f>Skills!B13</f>
        <v/>
      </c>
      <c r="C744">
        <f>Inputs!$B$3&gt;=107</f>
        <v/>
      </c>
      <c r="D744">
        <f>IF(Skills!C13=1,60+(Inputs!$B$27+1)+Inputs!$B$31,IF(Skills!C13=2,90+Inputs!$B$28+Inputs!$B$31,IF(Skills!C13=3,120+Inputs!$B$29+Inputs!$B$31,MAX(0,(Inputs!$B$3-100)*3)+Inputs!$B$30+Inputs!$B$31)))</f>
        <v/>
      </c>
      <c r="E744">
        <f>INDEX(FactorTable!$B$2:$Y$301, MATCH(ROUND(MIN(300,MAX(1,D744)),0), FactorTable!$A$2:$A$301,0), Skills!L13+1)</f>
        <v/>
      </c>
      <c r="F744">
        <f>IF(Skills!M13=TRUE,(Skills!K13/10)*(E744/1000),Skills!K13/10)+Skills!N13</f>
        <v/>
      </c>
      <c r="G744">
        <f>Calc!G13</f>
        <v/>
      </c>
      <c r="H744">
        <f>Calc!H13</f>
        <v/>
      </c>
      <c r="I744">
        <f>IF(Skills!T13&lt;&gt;"",1+(Skills!T13/10)*($Z$3/1000)/100,1)</f>
        <v/>
      </c>
      <c r="J744" t="inlineStr"/>
      <c r="K744" t="inlineStr"/>
      <c r="L744" t="inlineStr"/>
      <c r="M744" t="inlineStr"/>
      <c r="N744" t="inlineStr"/>
      <c r="O744" t="n">
        <v>0</v>
      </c>
      <c r="P744">
        <f>IF(B769=0,0,O744/B769)</f>
        <v/>
      </c>
      <c r="Q744">
        <f>IFERROR(1/IF(Inputs!$B$40="pvp",15,MAX(0.1,Skills!D13-IF(Skills!E13=TRUE,Inputs!$B$34,0))),0)</f>
        <v/>
      </c>
      <c r="R744">
        <f>IF(AND(Inputs!$B$40&lt;&gt;"pvp",Inputs!$B$43&gt;0),(INT(Inputs!$B$43/IF(Inputs!$B$40="pvp",15,MAX(0.1,Skills!D13-IF(Skills!E13=TRUE,Inputs!$B$34,0))))+1),0)</f>
        <v/>
      </c>
    </row>
    <row r="745">
      <c r="A745">
        <f>Skills!A14</f>
        <v/>
      </c>
      <c r="B745">
        <f>Skills!B14</f>
        <v/>
      </c>
      <c r="C745">
        <f>Inputs!$B$3&gt;=63</f>
        <v/>
      </c>
      <c r="D745">
        <f>IF(Skills!C14=1,60+(Inputs!$B$27+1)+Inputs!$B$31,IF(Skills!C14=2,90+Inputs!$B$28+Inputs!$B$31,IF(Skills!C14=3,120+Inputs!$B$29+Inputs!$B$31,MAX(0,(Inputs!$B$3-100)*3)+Inputs!$B$30+Inputs!$B$31)))</f>
        <v/>
      </c>
      <c r="E745">
        <f>INDEX(FactorTable!$B$2:$Y$301, MATCH(ROUND(MIN(300,MAX(1,D745)),0), FactorTable!$A$2:$A$301,0), Skills!L14+1)</f>
        <v/>
      </c>
      <c r="F745">
        <f>IF(Skills!M14=TRUE,(Skills!K14/10)*(E745/1000),Skills!K14/10)+Skills!N14</f>
        <v/>
      </c>
      <c r="G745">
        <f>Calc!G14</f>
        <v/>
      </c>
      <c r="H745">
        <f>Calc!H14</f>
        <v/>
      </c>
      <c r="I745">
        <f>IF(Skills!T14&lt;&gt;"",1+(Skills!T14/10)*($Z$3/1000)/100,1)</f>
        <v/>
      </c>
      <c r="J745">
        <f>(Inputs!$B$7*(1+Inputs!$B$8/100))*(F745/100)</f>
        <v/>
      </c>
      <c r="K745">
        <f>J745*(1+(((Inputs!$B$14+IF(Inputs!$B$3&gt;=35,0.10*(Inputs!$B$9*(1+Inputs!$B$10/100)),0))*(1+Inputs!$B$15/100))*0.01+Inputs!$B$16*0.0025)/100)*(1+(Inputs!$B$17+B762)/100)*(1+IF(Inputs!$B$40="pvp",0,(1-Summary!$B$48)*(Inputs!$B$22+Skills!O14+B760)+Summary!$B$48*(Inputs!$B$23+Skills!P14+B761))/100)*(1+Inputs!$B$18/100)*(5000/(6000+Inputs!$B$42*(1-Inputs!$B$21/100)))*(1+Inputs!$B$26/100)*(1+IF(C748=TRUE,F748,0)/100)*(1+IF(C750=TRUE,F750,0)/100)*(1+IF(Skills!A14="TRIUMPH_FEATHER",IF(C746=TRUE,F746,0),0)/100)*(1+IF(C757=TRUE,F757,0)/100)^5*(1+(IF(Skills!A14="BIG_BANG",Inputs!$B$19,Inputs!$B$20))/100)*(B759*I745)</f>
        <v/>
      </c>
      <c r="L745">
        <f>K745*(MIN(Inputs!$B$24+(F752-Calc!F21),Inputs!$B$25)/100+Inputs!$B$25/100)/2</f>
        <v/>
      </c>
      <c r="M745">
        <f>L745*(1+(Inputs!$B$12+B763+(F755-Calc!F24))/100)</f>
        <v/>
      </c>
      <c r="N745">
        <f>L745*(1-MIN(Inputs!$B$11+((F754-Calc!F23)+(F753-Calc!F22)),100)/100)+M745*(MIN(Inputs!$B$11+((F754-Calc!F23)+(F753-Calc!F22)),100)/100)</f>
        <v/>
      </c>
      <c r="O745">
        <f>IF(C745,Skills!F14*N745*((IF(Inputs!$B$3&gt;=78,25,15)/100*B765*10)/(1+IF(Inputs!$B$3&gt;=78,25,15)/100*B765*10))*(Skills!I14/100*B765)/(1+Skills!G14*Skills!I14/100*B765)*IF(Inputs!$B$40="pvp",1,(1-Summary!$B$48)*(1)+Summary!$B$48*(MIN(Skills!Q14,Inputs!$B$39))),0)</f>
        <v/>
      </c>
      <c r="P745">
        <f>IF(B769=0,0,O745/B769)</f>
        <v/>
      </c>
      <c r="Q745">
        <f>IFERROR(1/IF(Inputs!$B$40="pvp",15,MAX(0.1,Skills!D14-IF(Skills!E14=TRUE,Inputs!$B$34,0))),0)</f>
        <v/>
      </c>
      <c r="R745" t="n">
        <v>0</v>
      </c>
    </row>
    <row r="746">
      <c r="A746">
        <f>Skills!A15</f>
        <v/>
      </c>
      <c r="B746">
        <f>Skills!B15</f>
        <v/>
      </c>
      <c r="C746">
        <f>Inputs!$B$3&gt;=100</f>
        <v/>
      </c>
      <c r="D746">
        <f>IF(Skills!C15=1,60+(Inputs!$B$27+1)+Inputs!$B$31,IF(Skills!C15=2,90+Inputs!$B$28+Inputs!$B$31,IF(Skills!C15=3,120+Inputs!$B$29+Inputs!$B$31,MAX(0,(Inputs!$B$3-100)*3)+Inputs!$B$30+Inputs!$B$31)))</f>
        <v/>
      </c>
      <c r="E746">
        <f>INDEX(FactorTable!$B$2:$Y$301, MATCH(ROUND(MIN(300,MAX(1,D746)),0), FactorTable!$A$2:$A$301,0), Skills!L15+1)</f>
        <v/>
      </c>
      <c r="F746">
        <f>IF(Skills!M15=TRUE,(Skills!K15/10)*(E746/1000),Skills!K15/10)+Skills!N15</f>
        <v/>
      </c>
      <c r="G746">
        <f>Calc!G15</f>
        <v/>
      </c>
      <c r="H746">
        <f>Calc!H15</f>
        <v/>
      </c>
      <c r="I746">
        <f>IF(Skills!T15&lt;&gt;"",1+(Skills!T15/10)*($Z$3/1000)/100,1)</f>
        <v/>
      </c>
      <c r="J746" t="inlineStr"/>
      <c r="K746" t="inlineStr"/>
      <c r="L746" t="inlineStr"/>
      <c r="M746" t="inlineStr"/>
      <c r="N746" t="inlineStr"/>
      <c r="O746" t="n">
        <v>0</v>
      </c>
      <c r="P746">
        <f>IF(B769=0,0,O746/B769)</f>
        <v/>
      </c>
      <c r="Q746">
        <f>IFERROR(1/IF(Inputs!$B$40="pvp",15,MAX(0.1,Skills!D15-IF(Skills!E15=TRUE,Inputs!$B$34,0))),0)</f>
        <v/>
      </c>
      <c r="R746" t="n">
        <v>0</v>
      </c>
    </row>
    <row r="747">
      <c r="A747">
        <f>Skills!A16</f>
        <v/>
      </c>
      <c r="B747">
        <f>Skills!B16</f>
        <v/>
      </c>
      <c r="C747">
        <f>Inputs!$B$3&gt;=49</f>
        <v/>
      </c>
      <c r="D747">
        <f>IF(Skills!C16=1,60+(Inputs!$B$27+1)+Inputs!$B$31,IF(Skills!C16=2,90+Inputs!$B$28+Inputs!$B$31,IF(Skills!C16=3,120+Inputs!$B$29+Inputs!$B$31,MAX(0,(Inputs!$B$3-100)*3)+Inputs!$B$30+Inputs!$B$31)))</f>
        <v/>
      </c>
      <c r="E747">
        <f>INDEX(FactorTable!$B$2:$Y$301, MATCH(ROUND(MIN(300,MAX(1,D747)),0), FactorTable!$A$2:$A$301,0), Skills!L16+1)</f>
        <v/>
      </c>
      <c r="F747">
        <f>IF(Skills!M16=TRUE,(Skills!K16/10)*(E747/1000),Skills!K16/10)+Skills!N16</f>
        <v/>
      </c>
      <c r="G747">
        <f>Calc!G16</f>
        <v/>
      </c>
      <c r="H747">
        <f>Calc!H16</f>
        <v/>
      </c>
      <c r="I747">
        <f>IF(Skills!T16&lt;&gt;"",1+(Skills!T16/10)*($Z$3/1000)/100,1)</f>
        <v/>
      </c>
      <c r="J747" t="inlineStr"/>
      <c r="K747" t="inlineStr"/>
      <c r="L747" t="inlineStr"/>
      <c r="M747" t="inlineStr"/>
      <c r="N747" t="inlineStr"/>
      <c r="O747" t="n">
        <v>0</v>
      </c>
      <c r="P747">
        <f>IF(B769=0,0,O747/B769)</f>
        <v/>
      </c>
      <c r="Q747">
        <f>IFERROR(1/IF(Inputs!$B$40="pvp",15,MAX(0.1,Skills!D16-IF(Skills!E16=TRUE,Inputs!$B$34,0))),0)</f>
        <v/>
      </c>
      <c r="R747" t="n">
        <v>0</v>
      </c>
    </row>
    <row r="748">
      <c r="A748">
        <f>Skills!A17</f>
        <v/>
      </c>
      <c r="B748">
        <f>Skills!B17</f>
        <v/>
      </c>
      <c r="C748">
        <f>Inputs!$B$3&gt;=75</f>
        <v/>
      </c>
      <c r="D748">
        <f>IF(Skills!C17=1,60+(Inputs!$B$27+1)+Inputs!$B$31,IF(Skills!C17=2,90+Inputs!$B$28+Inputs!$B$31,IF(Skills!C17=3,120+Inputs!$B$29+Inputs!$B$31,MAX(0,(Inputs!$B$3-100)*3)+Inputs!$B$30+Inputs!$B$31)))</f>
        <v/>
      </c>
      <c r="E748">
        <f>INDEX(FactorTable!$B$2:$Y$301, MATCH(ROUND(MIN(300,MAX(1,D748)),0), FactorTable!$A$2:$A$301,0), Skills!L17+1)</f>
        <v/>
      </c>
      <c r="F748">
        <f>IF(Skills!M17=TRUE,(Skills!K17/10)*(E748/1000),Skills!K17/10)+Skills!N17</f>
        <v/>
      </c>
      <c r="G748">
        <f>Calc!G17</f>
        <v/>
      </c>
      <c r="H748">
        <f>Calc!H17</f>
        <v/>
      </c>
      <c r="I748">
        <f>IF(Skills!T17&lt;&gt;"",1+(Skills!T17/10)*($Z$3/1000)/100,1)</f>
        <v/>
      </c>
      <c r="J748" t="inlineStr"/>
      <c r="K748" t="inlineStr"/>
      <c r="L748" t="inlineStr"/>
      <c r="M748" t="inlineStr"/>
      <c r="N748" t="inlineStr"/>
      <c r="O748" t="n">
        <v>0</v>
      </c>
      <c r="P748">
        <f>IF(B769=0,0,O748/B769)</f>
        <v/>
      </c>
      <c r="Q748">
        <f>IFERROR(1/IF(Inputs!$B$40="pvp",15,MAX(0.1,Skills!D17-IF(Skills!E17=TRUE,Inputs!$B$34,0))),0)</f>
        <v/>
      </c>
      <c r="R748" t="n">
        <v>0</v>
      </c>
    </row>
    <row r="749">
      <c r="A749">
        <f>Skills!A18</f>
        <v/>
      </c>
      <c r="B749">
        <f>Skills!B18</f>
        <v/>
      </c>
      <c r="C749">
        <f>Inputs!$B$3&gt;=110</f>
        <v/>
      </c>
      <c r="D749">
        <f>IF(Skills!C18=1,60+(Inputs!$B$27+1)+Inputs!$B$31,IF(Skills!C18=2,90+Inputs!$B$28+Inputs!$B$31,IF(Skills!C18=3,120+Inputs!$B$29+Inputs!$B$31,MAX(0,(Inputs!$B$3-100)*3)+Inputs!$B$30+Inputs!$B$31)))</f>
        <v/>
      </c>
      <c r="E749">
        <f>INDEX(FactorTable!$B$2:$Y$301, MATCH(ROUND(MIN(300,MAX(1,D749)),0), FactorTable!$A$2:$A$301,0), Skills!L18+1)</f>
        <v/>
      </c>
      <c r="F749">
        <f>(Skills!K18/10)*(E749/1000)*64/45+Skills!N18</f>
        <v/>
      </c>
      <c r="G749">
        <f>Calc!G18</f>
        <v/>
      </c>
      <c r="H749">
        <f>Calc!H18</f>
        <v/>
      </c>
      <c r="I749">
        <f>IF(Skills!T18&lt;&gt;"",1+(Skills!T18/10)*($Z$3/1000)/100,1)</f>
        <v/>
      </c>
      <c r="J749" t="inlineStr"/>
      <c r="K749" t="inlineStr"/>
      <c r="L749" t="inlineStr"/>
      <c r="M749" t="inlineStr"/>
      <c r="N749" t="inlineStr"/>
      <c r="O749" t="n">
        <v>0</v>
      </c>
      <c r="P749">
        <f>IF(B769=0,0,O749/B769)</f>
        <v/>
      </c>
      <c r="Q749">
        <f>IFERROR(1/IF(Inputs!$B$40="pvp",15,MAX(0.1,Skills!D18-IF(Skills!E18=TRUE,Inputs!$B$34,0))),0)</f>
        <v/>
      </c>
      <c r="R749">
        <f>IF(AND(Inputs!$B$40&lt;&gt;"pvp",Inputs!$B$43&gt;0),(INT(Inputs!$B$43/IF(Inputs!$B$40="pvp",15,MAX(0.1,Skills!D18-IF(Skills!E18=TRUE,Inputs!$B$34,0))))+1),0)</f>
        <v/>
      </c>
    </row>
    <row r="750">
      <c r="A750">
        <f>Skills!A19</f>
        <v/>
      </c>
      <c r="B750">
        <f>Skills!B19</f>
        <v/>
      </c>
      <c r="C750">
        <f>Inputs!$B$3&gt;=125</f>
        <v/>
      </c>
      <c r="D750">
        <f>IF(Skills!C19=1,60+(Inputs!$B$27+1)+Inputs!$B$31,IF(Skills!C19=2,90+Inputs!$B$28+Inputs!$B$31,IF(Skills!C19=3,120+Inputs!$B$29+Inputs!$B$31,MAX(0,(Inputs!$B$3-100)*3)+Inputs!$B$30+Inputs!$B$31)))</f>
        <v/>
      </c>
      <c r="E750">
        <f>INDEX(FactorTable!$B$2:$Y$301, MATCH(ROUND(MIN(300,MAX(1,D750)),0), FactorTable!$A$2:$A$301,0), Skills!L19+1)</f>
        <v/>
      </c>
      <c r="F750">
        <f>IF(Skills!M19=TRUE,(Skills!K19/10)*(E750/1000),Skills!K19/10)+Skills!N19</f>
        <v/>
      </c>
      <c r="G750">
        <f>Calc!G19</f>
        <v/>
      </c>
      <c r="H750">
        <f>Calc!H19</f>
        <v/>
      </c>
      <c r="I750">
        <f>IF(Skills!T19&lt;&gt;"",1+(Skills!T19/10)*($Z$3/1000)/100,1)</f>
        <v/>
      </c>
      <c r="J750" t="inlineStr"/>
      <c r="K750" t="inlineStr"/>
      <c r="L750" t="inlineStr"/>
      <c r="M750" t="inlineStr"/>
      <c r="N750" t="inlineStr"/>
      <c r="O750" t="n">
        <v>0</v>
      </c>
      <c r="P750">
        <f>IF(B769=0,0,O750/B769)</f>
        <v/>
      </c>
      <c r="Q750">
        <f>IFERROR(1/IF(Inputs!$B$40="pvp",15,MAX(0.1,Skills!D19-IF(Skills!E19=TRUE,Inputs!$B$34,0))),0)</f>
        <v/>
      </c>
      <c r="R750" t="n">
        <v>0</v>
      </c>
    </row>
    <row r="751">
      <c r="A751">
        <f>Skills!A20</f>
        <v/>
      </c>
      <c r="B751">
        <f>Skills!B20</f>
        <v/>
      </c>
      <c r="C751">
        <f>Inputs!$B$3&gt;=33</f>
        <v/>
      </c>
      <c r="D751">
        <f>IF(Skills!C20=1,60+(Inputs!$B$27+1)+Inputs!$B$31,IF(Skills!C20=2,90+Inputs!$B$28+Inputs!$B$31,IF(Skills!C20=3,120+Inputs!$B$29+Inputs!$B$31,MAX(0,(Inputs!$B$3-100)*3)+Inputs!$B$30+Inputs!$B$31)))</f>
        <v/>
      </c>
      <c r="E751">
        <f>INDEX(FactorTable!$B$2:$Y$301, MATCH(ROUND(MIN(300,MAX(1,D751)),0), FactorTable!$A$2:$A$301,0), Skills!L20+1)</f>
        <v/>
      </c>
      <c r="F751">
        <f>IF(Skills!M20=TRUE,(Skills!K20/10)*(E751/1000),Skills!K20/10)+Skills!N20</f>
        <v/>
      </c>
      <c r="G751">
        <f>Calc!G20</f>
        <v/>
      </c>
      <c r="H751">
        <f>Calc!H20</f>
        <v/>
      </c>
      <c r="I751">
        <f>IF(Skills!T20&lt;&gt;"",1+(Skills!T20/10)*($Z$3/1000)/100,1)</f>
        <v/>
      </c>
      <c r="J751" t="inlineStr"/>
      <c r="K751" t="inlineStr"/>
      <c r="L751" t="inlineStr"/>
      <c r="M751" t="inlineStr"/>
      <c r="N751" t="inlineStr"/>
      <c r="O751" t="n">
        <v>0</v>
      </c>
      <c r="P751">
        <f>IF(B769=0,0,O751/B769)</f>
        <v/>
      </c>
      <c r="Q751">
        <f>IFERROR(1/IF(Inputs!$B$40="pvp",15,MAX(0.1,Skills!D20-IF(Skills!E20=TRUE,Inputs!$B$34,0))),0)</f>
        <v/>
      </c>
      <c r="R751" t="n">
        <v>0</v>
      </c>
    </row>
    <row r="752">
      <c r="A752">
        <f>Skills!A21</f>
        <v/>
      </c>
      <c r="B752">
        <f>Skills!B21</f>
        <v/>
      </c>
      <c r="C752">
        <f>Inputs!$B$3&gt;=43</f>
        <v/>
      </c>
      <c r="D752">
        <f>IF(Skills!C21=1,60+(Inputs!$B$27+1)+Inputs!$B$31,IF(Skills!C21=2,90+Inputs!$B$28+Inputs!$B$31,IF(Skills!C21=3,120+Inputs!$B$29+Inputs!$B$31,MAX(0,(Inputs!$B$3-100)*3)+Inputs!$B$30+Inputs!$B$31)))</f>
        <v/>
      </c>
      <c r="E752">
        <f>INDEX(FactorTable!$B$2:$Y$301, MATCH(ROUND(MIN(300,MAX(1,D752)),0), FactorTable!$A$2:$A$301,0), Skills!L21+1)</f>
        <v/>
      </c>
      <c r="F752">
        <f>IF(Skills!M21=TRUE,(Skills!K21/10)*(E752/1000),Skills!K21/10)+Skills!N21</f>
        <v/>
      </c>
      <c r="G752">
        <f>Calc!G21</f>
        <v/>
      </c>
      <c r="H752">
        <f>Calc!H21</f>
        <v/>
      </c>
      <c r="I752">
        <f>IF(Skills!T21&lt;&gt;"",1+(Skills!T21/10)*($Z$3/1000)/100,1)</f>
        <v/>
      </c>
      <c r="J752" t="inlineStr"/>
      <c r="K752" t="inlineStr"/>
      <c r="L752" t="inlineStr"/>
      <c r="M752" t="inlineStr"/>
      <c r="N752" t="inlineStr"/>
      <c r="O752" t="n">
        <v>0</v>
      </c>
      <c r="P752">
        <f>IF(B769=0,0,O752/B769)</f>
        <v/>
      </c>
      <c r="Q752">
        <f>IFERROR(1/IF(Inputs!$B$40="pvp",15,MAX(0.1,Skills!D21-IF(Skills!E21=TRUE,Inputs!$B$34,0))),0)</f>
        <v/>
      </c>
      <c r="R752" t="n">
        <v>0</v>
      </c>
    </row>
    <row r="753">
      <c r="A753">
        <f>Skills!A22</f>
        <v/>
      </c>
      <c r="B753">
        <f>Skills!B22</f>
        <v/>
      </c>
      <c r="C753">
        <f>Inputs!$B$3&gt;=50</f>
        <v/>
      </c>
      <c r="D753">
        <f>IF(Skills!C22=1,60+(Inputs!$B$27+1)+Inputs!$B$31,IF(Skills!C22=2,90+Inputs!$B$28+Inputs!$B$31,IF(Skills!C22=3,120+Inputs!$B$29+Inputs!$B$31,MAX(0,(Inputs!$B$3-100)*3)+Inputs!$B$30+Inputs!$B$31)))</f>
        <v/>
      </c>
      <c r="E753">
        <f>INDEX(FactorTable!$B$2:$Y$301, MATCH(ROUND(MIN(300,MAX(1,D753)),0), FactorTable!$A$2:$A$301,0), Skills!L22+1)</f>
        <v/>
      </c>
      <c r="F753">
        <f>IF(Skills!M22=TRUE,(Skills!K22/10)*(E753/1000),Skills!K22/10)+Skills!N22</f>
        <v/>
      </c>
      <c r="G753">
        <f>Calc!G22</f>
        <v/>
      </c>
      <c r="H753">
        <f>Calc!H22</f>
        <v/>
      </c>
      <c r="I753">
        <f>IF(Skills!T22&lt;&gt;"",1+(Skills!T22/10)*($Z$3/1000)/100,1)</f>
        <v/>
      </c>
      <c r="J753" t="inlineStr"/>
      <c r="K753" t="inlineStr"/>
      <c r="L753" t="inlineStr"/>
      <c r="M753" t="inlineStr"/>
      <c r="N753" t="inlineStr"/>
      <c r="O753" t="n">
        <v>0</v>
      </c>
      <c r="P753">
        <f>IF(B769=0,0,O753/B769)</f>
        <v/>
      </c>
      <c r="Q753">
        <f>IFERROR(1/IF(Inputs!$B$40="pvp",15,MAX(0.1,Skills!D22-IF(Skills!E22=TRUE,Inputs!$B$34,0))),0)</f>
        <v/>
      </c>
      <c r="R753" t="n">
        <v>0</v>
      </c>
    </row>
    <row r="754">
      <c r="A754">
        <f>Skills!A23</f>
        <v/>
      </c>
      <c r="B754">
        <f>Skills!B23</f>
        <v/>
      </c>
      <c r="C754">
        <f>Inputs!$B$3&gt;=74</f>
        <v/>
      </c>
      <c r="D754">
        <f>IF(Skills!C23=1,60+(Inputs!$B$27+1)+Inputs!$B$31,IF(Skills!C23=2,90+Inputs!$B$28+Inputs!$B$31,IF(Skills!C23=3,120+Inputs!$B$29+Inputs!$B$31,MAX(0,(Inputs!$B$3-100)*3)+Inputs!$B$30+Inputs!$B$31)))</f>
        <v/>
      </c>
      <c r="E754">
        <f>INDEX(FactorTable!$B$2:$Y$301, MATCH(ROUND(MIN(300,MAX(1,D754)),0), FactorTable!$A$2:$A$301,0), Skills!L23+1)</f>
        <v/>
      </c>
      <c r="F754">
        <f>IF(Skills!M23=TRUE,(Skills!K23/10)*(E754/1000),Skills!K23/10)+Skills!N23</f>
        <v/>
      </c>
      <c r="G754">
        <f>Calc!G23</f>
        <v/>
      </c>
      <c r="H754">
        <f>Calc!H23</f>
        <v/>
      </c>
      <c r="I754">
        <f>IF(Skills!T23&lt;&gt;"",1+(Skills!T23/10)*($Z$3/1000)/100,1)</f>
        <v/>
      </c>
      <c r="J754" t="inlineStr"/>
      <c r="K754" t="inlineStr"/>
      <c r="L754" t="inlineStr"/>
      <c r="M754" t="inlineStr"/>
      <c r="N754" t="inlineStr"/>
      <c r="O754" t="n">
        <v>0</v>
      </c>
      <c r="P754">
        <f>IF(B769=0,0,O754/B769)</f>
        <v/>
      </c>
      <c r="Q754">
        <f>IFERROR(1/IF(Inputs!$B$40="pvp",15,MAX(0.1,Skills!D23-IF(Skills!E23=TRUE,Inputs!$B$34,0))),0)</f>
        <v/>
      </c>
      <c r="R754" t="n">
        <v>0</v>
      </c>
    </row>
    <row r="755">
      <c r="A755">
        <f>Skills!A24</f>
        <v/>
      </c>
      <c r="B755">
        <f>Skills!B24</f>
        <v/>
      </c>
      <c r="C755">
        <f>Inputs!$B$3&gt;=74</f>
        <v/>
      </c>
      <c r="D755">
        <f>IF(Skills!C24=1,60+(Inputs!$B$27+1)+Inputs!$B$31,IF(Skills!C24=2,90+Inputs!$B$28+Inputs!$B$31,IF(Skills!C24=3,120+Inputs!$B$29+Inputs!$B$31,MAX(0,(Inputs!$B$3-100)*3)+Inputs!$B$30+Inputs!$B$31)))</f>
        <v/>
      </c>
      <c r="E755">
        <f>INDEX(FactorTable!$B$2:$Y$301, MATCH(ROUND(MIN(300,MAX(1,D755)),0), FactorTable!$A$2:$A$301,0), Skills!L24+1)</f>
        <v/>
      </c>
      <c r="F755">
        <f>IF(Skills!M24=TRUE,(Skills!K24/10)*(E755/1000),Skills!K24/10)+Skills!N24</f>
        <v/>
      </c>
      <c r="G755">
        <f>Calc!G24</f>
        <v/>
      </c>
      <c r="H755">
        <f>Calc!H24</f>
        <v/>
      </c>
      <c r="I755">
        <f>IF(Skills!T24&lt;&gt;"",1+(Skills!T24/10)*($Z$3/1000)/100,1)</f>
        <v/>
      </c>
      <c r="J755" t="inlineStr"/>
      <c r="K755" t="inlineStr"/>
      <c r="L755" t="inlineStr"/>
      <c r="M755" t="inlineStr"/>
      <c r="N755" t="inlineStr"/>
      <c r="O755" t="n">
        <v>0</v>
      </c>
      <c r="P755">
        <f>IF(B769=0,0,O755/B769)</f>
        <v/>
      </c>
      <c r="Q755">
        <f>IFERROR(1/IF(Inputs!$B$40="pvp",15,MAX(0.1,Skills!D24-IF(Skills!E24=TRUE,Inputs!$B$34,0))),0)</f>
        <v/>
      </c>
      <c r="R755" t="n">
        <v>0</v>
      </c>
    </row>
    <row r="756">
      <c r="A756">
        <f>Skills!A25</f>
        <v/>
      </c>
      <c r="B756">
        <f>Skills!B25</f>
        <v/>
      </c>
      <c r="C756">
        <f>Inputs!$B$3&gt;=117</f>
        <v/>
      </c>
      <c r="D756">
        <f>IF(Skills!C25=1,60+(Inputs!$B$27+1)+Inputs!$B$31,IF(Skills!C25=2,90+Inputs!$B$28+Inputs!$B$31,IF(Skills!C25=3,120+Inputs!$B$29+Inputs!$B$31,MAX(0,(Inputs!$B$3-100)*3)+Inputs!$B$30+Inputs!$B$31)))</f>
        <v/>
      </c>
      <c r="E756">
        <f>INDEX(FactorTable!$B$2:$Y$301, MATCH(ROUND(MIN(300,MAX(1,D756)),0), FactorTable!$A$2:$A$301,0), Skills!L25+1)</f>
        <v/>
      </c>
      <c r="F756">
        <f>IF(Skills!M25=TRUE,(Skills!K25/10)*(E756/1000),Skills!K25/10)+Skills!N25</f>
        <v/>
      </c>
      <c r="G756">
        <f>Calc!G25</f>
        <v/>
      </c>
      <c r="H756">
        <f>Calc!H25</f>
        <v/>
      </c>
      <c r="I756">
        <f>IF(Skills!T25&lt;&gt;"",1+(Skills!T25/10)*($Z$3/1000)/100,1)</f>
        <v/>
      </c>
      <c r="J756" t="inlineStr"/>
      <c r="K756" t="inlineStr"/>
      <c r="L756" t="inlineStr"/>
      <c r="M756" t="inlineStr"/>
      <c r="N756" t="inlineStr"/>
      <c r="O756" t="n">
        <v>0</v>
      </c>
      <c r="P756">
        <f>IF(B769=0,0,O756/B769)</f>
        <v/>
      </c>
      <c r="Q756">
        <f>IFERROR(1/IF(Inputs!$B$40="pvp",15,MAX(0.1,Skills!D25-IF(Skills!E25=TRUE,Inputs!$B$34,0))),0)</f>
        <v/>
      </c>
      <c r="R756" t="n">
        <v>0</v>
      </c>
    </row>
    <row r="757">
      <c r="A757">
        <f>Skills!A26</f>
        <v/>
      </c>
      <c r="B757">
        <f>Skills!B26</f>
        <v/>
      </c>
      <c r="C757">
        <f>Inputs!$B$3&gt;=120</f>
        <v/>
      </c>
      <c r="D757">
        <f>IF(Skills!C26=1,60+(Inputs!$B$27+1)+Inputs!$B$31,IF(Skills!C26=2,90+Inputs!$B$28+Inputs!$B$31,IF(Skills!C26=3,120+Inputs!$B$29+Inputs!$B$31,MAX(0,(Inputs!$B$3-100)*3)+Inputs!$B$30+Inputs!$B$31)))</f>
        <v/>
      </c>
      <c r="E757">
        <f>INDEX(FactorTable!$B$2:$Y$301, MATCH(ROUND(MIN(300,MAX(1,D757)),0), FactorTable!$A$2:$A$301,0), Skills!L26+1)</f>
        <v/>
      </c>
      <c r="F757">
        <f>IF(Skills!M26=TRUE,(Skills!K26/10)*(E757/1000),Skills!K26/10)+Skills!N26</f>
        <v/>
      </c>
      <c r="G757">
        <f>Calc!G26</f>
        <v/>
      </c>
      <c r="H757">
        <f>Calc!H26</f>
        <v/>
      </c>
      <c r="I757">
        <f>IF(Skills!T26&lt;&gt;"",1+(Skills!T26/10)*($Z$3/1000)/100,1)</f>
        <v/>
      </c>
      <c r="J757" t="inlineStr"/>
      <c r="K757" t="inlineStr"/>
      <c r="L757" t="inlineStr"/>
      <c r="M757" t="inlineStr"/>
      <c r="N757" t="inlineStr"/>
      <c r="O757" t="n">
        <v>0</v>
      </c>
      <c r="P757">
        <f>IF(B769=0,0,O757/B769)</f>
        <v/>
      </c>
      <c r="Q757">
        <f>IFERROR(1/IF(Inputs!$B$40="pvp",15,MAX(0.1,Skills!D26-IF(Skills!E26=TRUE,Inputs!$B$34,0))),0)</f>
        <v/>
      </c>
      <c r="R757" t="n">
        <v>0</v>
      </c>
    </row>
    <row r="759">
      <c r="A759" t="inlineStr">
        <is>
          <t>Average Buff Multiplier</t>
        </is>
      </c>
      <c r="B759">
        <f>(1+(IF(C734=TRUE,F734*IF(AND(Inputs!$B$40&lt;&gt;"pvp",Inputs!$B$43&gt;0),(((R734-1)*(Skills!S3*(1+(Inputs!$B$36+IF(Inputs!$B$3&gt;=117,F756,0))/100))+MIN((Skills!S3*(1+(Inputs!$B$36+IF(Inputs!$B$3&gt;=117,F756,0))/100)),MAX(0,Inputs!$B$43-((R734-1)*Skills!D3))))/Inputs!$B$43),IF(Inputs!$B$40="pvp",MIN((Skills!S3*(1+(Inputs!$B$36+IF(Inputs!$B$3&gt;=117,F756,0))/100)),15)/15,(Skills!S3*(1+(Inputs!$B$36+IF(Inputs!$B$3&gt;=117,F756,0))/100))/Skills!D3)),0)+IF(C735=TRUE,F735*IF(AND(Inputs!$B$40&lt;&gt;"pvp",Inputs!$B$43&gt;0),(((R735-1)*(Skills!S4*(1+(Inputs!$B$36+IF(Inputs!$B$3&gt;=117,F756,0))/100))+MIN((Skills!S4*(1+(Inputs!$B$36+IF(Inputs!$B$3&gt;=117,F756,0))/100)),MAX(0,Inputs!$B$43-((R735-1)*Skills!D4))))/Inputs!$B$43),IF(Inputs!$B$40="pvp",MIN((Skills!S4*(1+(Inputs!$B$36+IF(Inputs!$B$3&gt;=117,F756,0))/100)),15)/15,(Skills!S4*(1+(Inputs!$B$36+IF(Inputs!$B$3&gt;=117,F756,0))/100))/Skills!D4)),0)+IF(C736=TRUE,F736*IF(AND(Inputs!$B$40&lt;&gt;"pvp",Inputs!$B$43&gt;0),(((R736-1)*(Skills!S5*(1+(Inputs!$B$36+IF(Inputs!$B$3&gt;=117,F756,0))/100))+MIN((Skills!S5*(1+(Inputs!$B$36+IF(Inputs!$B$3&gt;=117,F756,0))/100)),MAX(0,Inputs!$B$43-((R736-1)*Skills!D5))))/Inputs!$B$43),IF(Inputs!$B$40="pvp",MIN((Skills!S5*(1+(Inputs!$B$36+IF(Inputs!$B$3&gt;=117,F756,0))/100)),15)/15,(Skills!S5*(1+(Inputs!$B$36+IF(Inputs!$B$3&gt;=117,F756,0))/100))/Skills!D5)),0)+IF(C742=TRUE,F742*IF(AND(Inputs!$B$40&lt;&gt;"pvp",Inputs!$B$43&gt;0),(((R742-1)*(Skills!S11*(1+(Inputs!$B$36+IF(Inputs!$B$3&gt;=117,F756,0))/100))+MIN((Skills!S11*(1+(Inputs!$B$36+IF(Inputs!$B$3&gt;=117,F756,0))/100)),MAX(0,Inputs!$B$43-((R742-1)*Skills!D11))))/Inputs!$B$43),IF(Inputs!$B$40="pvp",MIN((Skills!S11*(1+(Inputs!$B$36+IF(Inputs!$B$3&gt;=117,F756,0))/100)),15)/15,(Skills!S11*(1+(Inputs!$B$36+IF(Inputs!$B$3&gt;=117,F756,0))/100))/Skills!D11)),0))/100)*IF(C744=TRUE,(1+F744*IF(AND(Inputs!$B$40&lt;&gt;"pvp",Inputs!$B$43&gt;0),(((R744-1)*(Skills!S13*(1+(Inputs!$B$36+IF(Inputs!$B$3&gt;=117,F756,0))/100))+MIN((Skills!S13*(1+(Inputs!$B$36+IF(Inputs!$B$3&gt;=117,F756,0))/100)),MAX(0,Inputs!$B$43-((R744-1)*Skills!D13))))/Inputs!$B$43),IF(Inputs!$B$40="pvp",MIN((Skills!S13*(1+(Inputs!$B$36+IF(Inputs!$B$3&gt;=117,F756,0))/100)),15)/15,(Skills!S13*(1+(Inputs!$B$36+IF(Inputs!$B$3&gt;=117,F756,0))/100))/Skills!D13))/100),1)*IF(C749=TRUE,(1+F749*IF(AND(Inputs!$B$40&lt;&gt;"pvp",Inputs!$B$43&gt;0),(((R749-1)*(Skills!S18*(1+(Inputs!$B$36+IF(Inputs!$B$3&gt;=117,F756,0))/100))+MIN((Skills!S18*(1+(Inputs!$B$36+IF(Inputs!$B$3&gt;=117,F756,0))/100)),MAX(0,Inputs!$B$43-((R749-1)*Skills!D18))))/Inputs!$B$43),IF(Inputs!$B$40="pvp",MIN((Skills!S18*(1+(Inputs!$B$36+IF(Inputs!$B$3&gt;=117,F756,0))/100)),15)/15,(Skills!S18*(1+(Inputs!$B$36+IF(Inputs!$B$3&gt;=117,F756,0))/100))/Skills!D18))/100),1)</f>
        <v/>
      </c>
    </row>
    <row r="760">
      <c r="A760" t="inlineStr">
        <is>
          <t>Monster Damage Taken Bonus % (Holy Fountain)</t>
        </is>
      </c>
      <c r="B760">
        <f>IF(Inputs!$B$3&gt;=68,20*IF(Inputs!$B$40="pvp",MIN((15*(1+(Inputs!$B$36+IF(Inputs!$B$3&gt;=117,F756,0))/100)),15)/15,(15*(1+(Inputs!$B$36+IF(Inputs!$B$3&gt;=117,F756,0))/100))/Skills!D10),0)</f>
        <v/>
      </c>
    </row>
    <row r="761">
      <c r="A761" t="inlineStr">
        <is>
          <t>Normal Monster Damage Bonus % (Holy Symbol)</t>
        </is>
      </c>
      <c r="B761">
        <f>IF(C743=TRUE,F743*IF(AND(Inputs!$B$40&lt;&gt;"pvp",Inputs!$B$43&gt;0),(((R743-1)*(Skills!S12*(1+(Inputs!$B$36+IF(Inputs!$B$3&gt;=117,F756,0))/100))+MIN((Skills!S12*(1+(Inputs!$B$36+IF(Inputs!$B$3&gt;=117,F756,0))/100)),MAX(0,Inputs!$B$43-((R743-1)*Skills!D12))))/Inputs!$B$43),IF(Inputs!$B$40="pvp",MIN((Skills!S12*(1+(Inputs!$B$36+IF(Inputs!$B$3&gt;=117,F756,0))/100)),15)/15,(Skills!S12*(1+(Inputs!$B$36+IF(Inputs!$B$3&gt;=117,F756,0))/100))/Skills!D12)),0)</f>
        <v/>
      </c>
    </row>
    <row r="762">
      <c r="A762" t="inlineStr">
        <is>
          <t>Damage % Bonus (Holy Symbol - Damage Boost)</t>
        </is>
      </c>
      <c r="B762">
        <f>Skills!O12</f>
        <v/>
      </c>
    </row>
    <row r="763">
      <c r="A763" t="inlineStr">
        <is>
          <t>Crit Damage % Bonus (Blood of the Divine)</t>
        </is>
      </c>
      <c r="B763">
        <f>4*IF(C750=TRUE,F750,0)</f>
        <v/>
      </c>
    </row>
    <row r="764">
      <c r="A764" t="inlineStr">
        <is>
          <t>Attack Speed Bonus %</t>
        </is>
      </c>
      <c r="B764">
        <f>IF(C747=TRUE,F747+(F751-Calc!F20),0)+IF(Inputs!$B$3&gt;=134,15,0)</f>
        <v/>
      </c>
    </row>
    <row r="765">
      <c r="A765" t="inlineStr">
        <is>
          <t>Actions Per Second</t>
        </is>
      </c>
      <c r="B765">
        <f>1+MIN(150,150*(1-(1-Inputs!$B$13/150)*(1-B764/150)))/100</f>
        <v/>
      </c>
    </row>
    <row r="766">
      <c r="A766" t="inlineStr">
        <is>
          <t>Skill + Buff Cast Rate</t>
        </is>
      </c>
      <c r="B766">
        <f>IF(AND(Inputs!$B$40&lt;&gt;"pvp",Inputs!$B$43&gt;0),SUMPRODUCT((Skills!E2:E26=TRUE)*(C733:C757=TRUE)*R733:R757)/Inputs!$B$43,SUMPRODUCT((Skills!E2:E26=TRUE)*(C733:C757=TRUE)*Q733:Q757))</f>
        <v/>
      </c>
    </row>
    <row r="767">
      <c r="A767" t="inlineStr">
        <is>
          <t>Big Bang Casts Per Second</t>
        </is>
      </c>
      <c r="B767">
        <f>MAX(0,B765-B766)</f>
        <v/>
      </c>
    </row>
    <row r="769">
      <c r="A769" s="5" t="inlineStr">
        <is>
          <t>TOTAL DPS</t>
        </is>
      </c>
      <c r="B769" s="5">
        <f>SUM(O733:O757)</f>
        <v/>
      </c>
    </row>
    <row r="772">
      <c r="A772" s="5" t="inlineStr">
        <is>
          <t>Stat: Skill Level Bonus — 2nd Job</t>
        </is>
      </c>
    </row>
    <row r="773">
      <c r="A773" s="9" t="inlineStr">
        <is>
          <t>Key</t>
        </is>
      </c>
      <c r="B773" s="9" t="inlineStr">
        <is>
          <t>Name</t>
        </is>
      </c>
      <c r="C773" s="9" t="inlineStr">
        <is>
          <t>Unlocked</t>
        </is>
      </c>
      <c r="D773" s="9" t="inlineStr">
        <is>
          <t>InputLevel</t>
        </is>
      </c>
      <c r="E773" s="9" t="inlineStr">
        <is>
          <t>Factor</t>
        </is>
      </c>
      <c r="F773" s="9" t="inlineStr">
        <is>
          <t>CoefficientPercent</t>
        </is>
      </c>
      <c r="G773" s="9" t="inlineStr">
        <is>
          <t>EffectiveHits</t>
        </is>
      </c>
      <c r="H773" s="9" t="inlineStr">
        <is>
          <t>ProcProbability</t>
        </is>
      </c>
      <c r="I773" s="9" t="inlineStr">
        <is>
          <t>MapleHeroMultiplier</t>
        </is>
      </c>
      <c r="J773" s="9" t="inlineStr">
        <is>
          <t>BaseDamage</t>
        </is>
      </c>
      <c r="K773" s="9" t="inlineStr">
        <is>
          <t>BaseHitDamage</t>
        </is>
      </c>
      <c r="L773" s="9" t="inlineStr">
        <is>
          <t>NonCritAvg</t>
        </is>
      </c>
      <c r="M773" s="9" t="inlineStr">
        <is>
          <t>CritAvg</t>
        </is>
      </c>
      <c r="N773" s="9" t="inlineStr">
        <is>
          <t>ExpectedDamage(perHit)</t>
        </is>
      </c>
      <c r="O773" s="9" t="inlineStr">
        <is>
          <t>DPS</t>
        </is>
      </c>
      <c r="P773" s="9" t="inlineStr">
        <is>
          <t>% of Total</t>
        </is>
      </c>
      <c r="R773" t="inlineStr">
        <is>
          <t>helpers</t>
        </is>
      </c>
    </row>
    <row r="774">
      <c r="A774">
        <f>Skills!A2</f>
        <v/>
      </c>
      <c r="B774">
        <f>Skills!B2</f>
        <v/>
      </c>
      <c r="C774">
        <f>Inputs!$B$3&gt;=100</f>
        <v/>
      </c>
      <c r="D774" t="inlineStr"/>
      <c r="E774" t="inlineStr"/>
      <c r="F774">
        <f>T776+Skills!N2</f>
        <v/>
      </c>
      <c r="G774">
        <f>Calc!G2</f>
        <v/>
      </c>
      <c r="H774">
        <f>Calc!H2</f>
        <v/>
      </c>
      <c r="I774">
        <f>IF(Skills!T2&lt;&gt;"",1+(Skills!T2/10)*($Z$3/1000)/100,1)</f>
        <v/>
      </c>
      <c r="J774">
        <f>(Inputs!$B$7*(1+Inputs!$B$8/100))*(F774/100)</f>
        <v/>
      </c>
      <c r="K774">
        <f>J774*(1+(((Inputs!$B$14+IF(Inputs!$B$3&gt;=35,0.10*(Inputs!$B$9*(1+Inputs!$B$10/100)),0))*(1+Inputs!$B$15/100))*0.01+Inputs!$B$16*0.0025)/100)*(1+(Inputs!$B$17+B803)/100)*(1+IF(Inputs!$B$40="pvp",0,(1-Summary!$B$48)*(Inputs!$B$22+Skills!O2+B801)+Summary!$B$48*(Inputs!$B$23+Skills!P2+B802))/100)*(1+Inputs!$B$18/100)*(5000/(6000+Inputs!$B$42*(1-Inputs!$B$21/100)))*(1+Inputs!$B$26/100)*(1+IF(C789=TRUE,F789,0)/100)*(1+IF(C791=TRUE,F791,0)/100)*(1+IF(Skills!A2="TRIUMPH_FEATHER",IF(C787=TRUE,F787,0),0)/100)*(1+IF(C798=TRUE,F798,0)/100)^5*(1+(IF(Skills!A2="BIG_BANG",Inputs!$B$19,Inputs!$B$20))/100)*(B800*I774)</f>
        <v/>
      </c>
      <c r="L774">
        <f>K774*(MIN(Inputs!$B$24+(F793-Calc!F21),Inputs!$B$25)/100+Inputs!$B$25/100)/2</f>
        <v/>
      </c>
      <c r="M774">
        <f>L774*(1+(Inputs!$B$12+B804+(F796-Calc!F24))/100)</f>
        <v/>
      </c>
      <c r="N774">
        <f>L774*(1-MIN(Inputs!$B$11+((F795-Calc!F23)+(F794-Calc!F22)),100)/100)+M774*(MIN(Inputs!$B$11+((F795-Calc!F23)+(F794-Calc!F22)),100)/100)</f>
        <v/>
      </c>
      <c r="O774">
        <f>IF(C774,Skills!F2*N774*B808*IF(Inputs!$B$40="pvp",1,(1-Summary!$B$48)*(1)+Summary!$B$48*(MIN((6+Inputs!$B$35),Inputs!$B$39))),0)</f>
        <v/>
      </c>
      <c r="P774">
        <f>IF(B810=0,0,O774/B810)</f>
        <v/>
      </c>
      <c r="Q774">
        <f>IFERROR(1/IF(Inputs!$B$40="pvp",15,MAX(0.1,Skills!D2-IF(Skills!E2=TRUE,Inputs!$B$34,0))),0)</f>
        <v/>
      </c>
      <c r="R774" t="n">
        <v>0</v>
      </c>
      <c r="T774">
        <f>MAX(0,(Inputs!$B$3-100)*3)+Inputs!$B$30+Inputs!$B$31</f>
        <v/>
      </c>
    </row>
    <row r="775">
      <c r="A775">
        <f>Skills!A3</f>
        <v/>
      </c>
      <c r="B775">
        <f>Skills!B3</f>
        <v/>
      </c>
      <c r="C775">
        <f>Inputs!$B$3&gt;=15</f>
        <v/>
      </c>
      <c r="D775">
        <f>IF(Skills!C3=1,60+Inputs!$B$27+Inputs!$B$31,IF(Skills!C3=2,90+(Inputs!$B$28+1)+Inputs!$B$31,IF(Skills!C3=3,120+Inputs!$B$29+Inputs!$B$31,MAX(0,(Inputs!$B$3-100)*3)+Inputs!$B$30+Inputs!$B$31)))</f>
        <v/>
      </c>
      <c r="E775">
        <f>INDEX(FactorTable!$B$2:$Y$301, MATCH(ROUND(MIN(300,MAX(1,D775)),0), FactorTable!$A$2:$A$301,0), Skills!L3+1)</f>
        <v/>
      </c>
      <c r="F775">
        <f>IF(Skills!M3=TRUE,(Skills!K3/10)*(E775/1000),Skills!K3/10)+Skills!N3</f>
        <v/>
      </c>
      <c r="G775">
        <f>Calc!G3</f>
        <v/>
      </c>
      <c r="H775">
        <f>Calc!H3</f>
        <v/>
      </c>
      <c r="I775">
        <f>IF(Skills!T3&lt;&gt;"",1+(Skills!T3/10)*($Z$3/1000)/100,1)</f>
        <v/>
      </c>
      <c r="J775" t="inlineStr"/>
      <c r="K775" t="inlineStr"/>
      <c r="L775" t="inlineStr"/>
      <c r="M775" t="inlineStr"/>
      <c r="N775" t="inlineStr"/>
      <c r="O775" t="n">
        <v>0</v>
      </c>
      <c r="P775">
        <f>IF(B810=0,0,O775/B810)</f>
        <v/>
      </c>
      <c r="Q775">
        <f>IFERROR(1/IF(Inputs!$B$40="pvp",15,MAX(0.1,Skills!D3-IF(Skills!E3=TRUE,Inputs!$B$34,0))),0)</f>
        <v/>
      </c>
      <c r="R775">
        <f>IF(AND(Inputs!$B$40&lt;&gt;"pvp",Inputs!$B$43&gt;0),(INT(Inputs!$B$43/IF(Inputs!$B$40="pvp",15,MAX(0.1,Skills!D3-IF(Skills!E3=TRUE,Inputs!$B$34,0))))+1),0)</f>
        <v/>
      </c>
      <c r="T775">
        <f>INDEX(FactorTable!$B$2:$Y$301, MATCH(ROUND(MIN(300,MAX(1,T774)),0), FactorTable!$A$2:$A$301,0), 22)</f>
        <v/>
      </c>
    </row>
    <row r="776">
      <c r="A776">
        <f>Skills!A4</f>
        <v/>
      </c>
      <c r="B776">
        <f>Skills!B4</f>
        <v/>
      </c>
      <c r="C776">
        <f>Inputs!$B$3&gt;=38</f>
        <v/>
      </c>
      <c r="D776">
        <f>IF(Skills!C4=1,60+Inputs!$B$27+Inputs!$B$31,IF(Skills!C4=2,90+(Inputs!$B$28+1)+Inputs!$B$31,IF(Skills!C4=3,120+Inputs!$B$29+Inputs!$B$31,MAX(0,(Inputs!$B$3-100)*3)+Inputs!$B$30+Inputs!$B$31)))</f>
        <v/>
      </c>
      <c r="E776">
        <f>INDEX(FactorTable!$B$2:$Y$301, MATCH(ROUND(MIN(300,MAX(1,D776)),0), FactorTable!$A$2:$A$301,0), Skills!L4+1)</f>
        <v/>
      </c>
      <c r="F776">
        <f>IF(Skills!M4=TRUE,(Skills!K4/10)*(E776/1000),Skills!K4/10)+Skills!N4</f>
        <v/>
      </c>
      <c r="G776">
        <f>Calc!G4</f>
        <v/>
      </c>
      <c r="H776">
        <f>Calc!H4</f>
        <v/>
      </c>
      <c r="I776">
        <f>IF(Skills!T4&lt;&gt;"",1+(Skills!T4/10)*($Z$3/1000)/100,1)</f>
        <v/>
      </c>
      <c r="J776" t="inlineStr"/>
      <c r="K776" t="inlineStr"/>
      <c r="L776" t="inlineStr"/>
      <c r="M776" t="inlineStr"/>
      <c r="N776" t="inlineStr"/>
      <c r="O776" t="n">
        <v>0</v>
      </c>
      <c r="P776">
        <f>IF(B810=0,0,O776/B810)</f>
        <v/>
      </c>
      <c r="Q776">
        <f>IFERROR(1/IF(Inputs!$B$40="pvp",15,MAX(0.1,Skills!D4-IF(Skills!E4=TRUE,Inputs!$B$34,0))),0)</f>
        <v/>
      </c>
      <c r="R776">
        <f>IF(AND(Inputs!$B$40&lt;&gt;"pvp",Inputs!$B$43&gt;0),(INT(Inputs!$B$43/IF(Inputs!$B$40="pvp",15,MAX(0.1,Skills!D4-IF(Skills!E4=TRUE,Inputs!$B$34,0))))+1),0)</f>
        <v/>
      </c>
      <c r="T776">
        <f>290*T775/1000</f>
        <v/>
      </c>
    </row>
    <row r="777">
      <c r="A777">
        <f>Skills!A5</f>
        <v/>
      </c>
      <c r="B777">
        <f>Skills!B5</f>
        <v/>
      </c>
      <c r="C777">
        <f>Inputs!$B$3&gt;=40</f>
        <v/>
      </c>
      <c r="D777">
        <f>IF(Skills!C5=1,60+Inputs!$B$27+Inputs!$B$31,IF(Skills!C5=2,90+(Inputs!$B$28+1)+Inputs!$B$31,IF(Skills!C5=3,120+Inputs!$B$29+Inputs!$B$31,MAX(0,(Inputs!$B$3-100)*3)+Inputs!$B$30+Inputs!$B$31)))</f>
        <v/>
      </c>
      <c r="E777">
        <f>INDEX(FactorTable!$B$2:$Y$301, MATCH(ROUND(MIN(300,MAX(1,D777)),0), FactorTable!$A$2:$A$301,0), Skills!L5+1)</f>
        <v/>
      </c>
      <c r="F777">
        <f>IF(Skills!M5=TRUE,(Skills!K5/10)*(E777/1000),Skills!K5/10)+Skills!N5</f>
        <v/>
      </c>
      <c r="G777">
        <f>Calc!G5</f>
        <v/>
      </c>
      <c r="H777">
        <f>Calc!H5</f>
        <v/>
      </c>
      <c r="I777">
        <f>IF(Skills!T5&lt;&gt;"",1+(Skills!T5/10)*($Z$3/1000)/100,1)</f>
        <v/>
      </c>
      <c r="J777" t="inlineStr"/>
      <c r="K777" t="inlineStr"/>
      <c r="L777" t="inlineStr"/>
      <c r="M777" t="inlineStr"/>
      <c r="N777" t="inlineStr"/>
      <c r="O777" t="n">
        <v>0</v>
      </c>
      <c r="P777">
        <f>IF(B810=0,0,O777/B810)</f>
        <v/>
      </c>
      <c r="Q777">
        <f>IFERROR(1/IF(Inputs!$B$40="pvp",15,MAX(0.1,Skills!D5-IF(Skills!E5=TRUE,Inputs!$B$34,0))),0)</f>
        <v/>
      </c>
      <c r="R777">
        <f>IF(AND(Inputs!$B$40&lt;&gt;"pvp",Inputs!$B$43&gt;0),(INT(Inputs!$B$43/IF(Inputs!$B$40="pvp",15,MAX(0.1,Skills!D5-IF(Skills!E5=TRUE,Inputs!$B$34,0))))+1),0)</f>
        <v/>
      </c>
    </row>
    <row r="778">
      <c r="A778">
        <f>Skills!A6</f>
        <v/>
      </c>
      <c r="B778">
        <f>Skills!B6</f>
        <v/>
      </c>
      <c r="C778">
        <f>Inputs!$B$3&gt;=103</f>
        <v/>
      </c>
      <c r="D778">
        <f>IF(Skills!C6=1,60+Inputs!$B$27+Inputs!$B$31,IF(Skills!C6=2,90+(Inputs!$B$28+1)+Inputs!$B$31,IF(Skills!C6=3,120+Inputs!$B$29+Inputs!$B$31,MAX(0,(Inputs!$B$3-100)*3)+Inputs!$B$30+Inputs!$B$31)))</f>
        <v/>
      </c>
      <c r="E778">
        <f>INDEX(FactorTable!$B$2:$Y$301, MATCH(ROUND(MIN(300,MAX(1,D778)),0), FactorTable!$A$2:$A$301,0), Skills!L6+1)</f>
        <v/>
      </c>
      <c r="F778">
        <f>IF(Skills!M6=TRUE,(Skills!K6/10)*(E778/1000),Skills!K6/10)+Skills!N6</f>
        <v/>
      </c>
      <c r="G778">
        <f>Calc!G6</f>
        <v/>
      </c>
      <c r="H778">
        <f>Calc!H6</f>
        <v/>
      </c>
      <c r="I778">
        <f>IF(Skills!T6&lt;&gt;"",1+(Skills!T6/10)*($Z$3/1000)/100,1)</f>
        <v/>
      </c>
      <c r="J778">
        <f>(Inputs!$B$7*(1+Inputs!$B$8/100))*(F778/100)</f>
        <v/>
      </c>
      <c r="K778">
        <f>J778*(1+(((Inputs!$B$14+IF(Inputs!$B$3&gt;=35,0.10*(Inputs!$B$9*(1+Inputs!$B$10/100)),0))*(1+Inputs!$B$15/100))*0.01+Inputs!$B$16*0.0025)/100)*(1+(Inputs!$B$17+B803)/100)*(1+IF(Inputs!$B$40="pvp",0,(1-Summary!$B$48)*(Inputs!$B$22+Skills!O6+B801)+Summary!$B$48*(Inputs!$B$23+Skills!P6+B802))/100)*(1+Inputs!$B$18/100)*(5000/(6000+Inputs!$B$42*(1-Inputs!$B$21/100)))*(1+Inputs!$B$26/100)*(1+IF(C789=TRUE,F789,0)/100)*(1+IF(C791=TRUE,F791,0)/100)*(1+IF(Skills!A6="TRIUMPH_FEATHER",IF(C787=TRUE,F787,0),0)/100)*(1+IF(C798=TRUE,F798,0)/100)^5*(1+(IF(Skills!A6="BIG_BANG",Inputs!$B$19,Inputs!$B$20))/100)*(B800*I778)</f>
        <v/>
      </c>
      <c r="L778">
        <f>K778*(MIN(Inputs!$B$24+(F793-Calc!F21),Inputs!$B$25)/100+Inputs!$B$25/100)/2</f>
        <v/>
      </c>
      <c r="M778">
        <f>L778*(1+(Inputs!$B$12+B804+(F796-Calc!F24))/100)</f>
        <v/>
      </c>
      <c r="N778">
        <f>L778*(1-MIN(Inputs!$B$11+((F795-Calc!F23)+(F794-Calc!F22)),100)/100)+M778*(MIN(Inputs!$B$11+((F795-Calc!F23)+(F794-Calc!F22)),100)/100)</f>
        <v/>
      </c>
      <c r="O778">
        <f>IF(C778,H778*N778*IF(AND(Inputs!$B$40&lt;&gt;"pvp",Inputs!$B$43&gt;0),((Skills!F6*((R778-1)*IF(Skills!G6&gt;0,Skills!H6/Skills!G6,1)+IF(Skills!G6&gt;0,MIN(Skills!H6,MAX(0,Inputs!$B$43-((R778-1)*IF(Inputs!$B$40="pvp",15,MAX(0.1,Skills!D6-IF(Skills!E6=TRUE,Inputs!$B$34,0))))))/Skills!G6,1)))/Inputs!$B$43),G778*Q778)*IF(Inputs!$B$40="pvp",1,(1-Summary!$B$48)*(1)+Summary!$B$48*(MIN(Skills!Q6,Inputs!$B$39))),0)</f>
        <v/>
      </c>
      <c r="P778">
        <f>IF(B810=0,0,O778/B810)</f>
        <v/>
      </c>
      <c r="Q778">
        <f>IFERROR(1/IF(Inputs!$B$40="pvp",15,MAX(0.1,Skills!D6-IF(Skills!E6=TRUE,Inputs!$B$34,0))),0)</f>
        <v/>
      </c>
      <c r="R778">
        <f>IF(AND(Inputs!$B$40&lt;&gt;"pvp",Inputs!$B$43&gt;0),(INT(Inputs!$B$43/IF(Inputs!$B$40="pvp",15,MAX(0.1,Skills!D6-IF(Skills!E6=TRUE,Inputs!$B$34,0))))+1),0)</f>
        <v/>
      </c>
    </row>
    <row r="779">
      <c r="A779">
        <f>Skills!A7</f>
        <v/>
      </c>
      <c r="B779">
        <f>Skills!B7</f>
        <v/>
      </c>
      <c r="C779">
        <f>Inputs!$B$3&gt;=122</f>
        <v/>
      </c>
      <c r="D779">
        <f>IF(Skills!C7=1,60+Inputs!$B$27+Inputs!$B$31,IF(Skills!C7=2,90+(Inputs!$B$28+1)+Inputs!$B$31,IF(Skills!C7=3,120+Inputs!$B$29+Inputs!$B$31,MAX(0,(Inputs!$B$3-100)*3)+Inputs!$B$30+Inputs!$B$31)))</f>
        <v/>
      </c>
      <c r="E779">
        <f>INDEX(FactorTable!$B$2:$Y$301, MATCH(ROUND(MIN(300,MAX(1,D779)),0), FactorTable!$A$2:$A$301,0), Skills!L7+1)</f>
        <v/>
      </c>
      <c r="F779">
        <f>IF(Skills!M7=TRUE,(Skills!K7/10)*(E779/1000),Skills!K7/10)+Skills!N7</f>
        <v/>
      </c>
      <c r="G779">
        <f>Calc!G7</f>
        <v/>
      </c>
      <c r="H779">
        <f>Calc!H7</f>
        <v/>
      </c>
      <c r="I779">
        <f>IF(Skills!T7&lt;&gt;"",1+(Skills!T7/10)*($Z$3/1000)/100,1)</f>
        <v/>
      </c>
      <c r="J779">
        <f>(Inputs!$B$7*(1+Inputs!$B$8/100))*(F779/100)</f>
        <v/>
      </c>
      <c r="K779">
        <f>J779*(1+(((Inputs!$B$14+IF(Inputs!$B$3&gt;=35,0.10*(Inputs!$B$9*(1+Inputs!$B$10/100)),0))*(1+Inputs!$B$15/100))*0.01+Inputs!$B$16*0.0025)/100)*(1+(Inputs!$B$17+B803)/100)*(1+IF(Inputs!$B$40="pvp",0,(1-Summary!$B$48)*(Inputs!$B$22+Skills!O7+B801)+Summary!$B$48*(Inputs!$B$23+Skills!P7+B802))/100)*(1+Inputs!$B$18/100)*(5000/(6000+Inputs!$B$42*(1-Inputs!$B$21/100)))*(1+Inputs!$B$26/100)*(1+IF(C789=TRUE,F789,0)/100)*(1+IF(C791=TRUE,F791,0)/100)*(1+IF(Skills!A7="TRIUMPH_FEATHER",IF(C787=TRUE,F787,0),0)/100)*(1+IF(C798=TRUE,F798,0)/100)^5*(1+(IF(Skills!A7="BIG_BANG",Inputs!$B$19,Inputs!$B$20))/100)*(B800*I779)</f>
        <v/>
      </c>
      <c r="L779">
        <f>K779*(MIN(Inputs!$B$24+(F793-Calc!F21),Inputs!$B$25)/100+Inputs!$B$25/100)/2</f>
        <v/>
      </c>
      <c r="M779">
        <f>L779*(1+(Inputs!$B$12+B804+(F796-Calc!F24))/100)</f>
        <v/>
      </c>
      <c r="N779">
        <f>L779*(1-MIN(Inputs!$B$11+((F795-Calc!F23)+(F794-Calc!F22)),100)/100)+M779*(MIN(Inputs!$B$11+((F795-Calc!F23)+(F794-Calc!F22)),100)/100)</f>
        <v/>
      </c>
      <c r="O779">
        <f>IF(C779,H779*N779*IF(AND(Inputs!$B$40&lt;&gt;"pvp",Inputs!$B$43&gt;0),((Skills!F7*((R779-1)*IF(Skills!G7&gt;0,Skills!H7/Skills!G7,1)+IF(Skills!G7&gt;0,MIN(Skills!H7,MAX(0,Inputs!$B$43-((R779-1)*IF(Inputs!$B$40="pvp",15,MAX(0.1,Skills!D7-IF(Skills!E6=TRUE,Inputs!$B$34,0))))))/Skills!G7,1)))/Inputs!$B$43),G779*Q779)*(1-Summary!$B$48),0)</f>
        <v/>
      </c>
      <c r="P779">
        <f>IF(B810=0,0,O779/B810)</f>
        <v/>
      </c>
      <c r="Q779">
        <f>IFERROR(1/IF(Inputs!$B$40="pvp",15,MAX(0.1,Skills!D7-IF(Skills!E6=TRUE,Inputs!$B$34,0))),0)</f>
        <v/>
      </c>
      <c r="R779">
        <f>IF(AND(Inputs!$B$40&lt;&gt;"pvp",Inputs!$B$43&gt;0),(INT(Inputs!$B$43/IF(Inputs!$B$40="pvp",15,MAX(0.1,Skills!D7-IF(Skills!E6=TRUE,Inputs!$B$34,0))))+1),0)</f>
        <v/>
      </c>
    </row>
    <row r="780">
      <c r="A780">
        <f>Skills!A8</f>
        <v/>
      </c>
      <c r="B780">
        <f>Skills!B8</f>
        <v/>
      </c>
      <c r="C780">
        <f>Inputs!$B$3&gt;=105</f>
        <v/>
      </c>
      <c r="D780">
        <f>IF(Skills!C8=1,60+Inputs!$B$27+Inputs!$B$31,IF(Skills!C8=2,90+(Inputs!$B$28+1)+Inputs!$B$31,IF(Skills!C8=3,120+Inputs!$B$29+Inputs!$B$31,MAX(0,(Inputs!$B$3-100)*3)+Inputs!$B$30+Inputs!$B$31)))</f>
        <v/>
      </c>
      <c r="E780">
        <f>INDEX(FactorTable!$B$2:$Y$301, MATCH(ROUND(MIN(300,MAX(1,D780)),0), FactorTable!$A$2:$A$301,0), Skills!L8+1)</f>
        <v/>
      </c>
      <c r="F780">
        <f>IF(Skills!M8=TRUE,(Skills!K8/10)*(E780/1000),Skills!K8/10)+Skills!N8</f>
        <v/>
      </c>
      <c r="G780">
        <f>Calc!G8</f>
        <v/>
      </c>
      <c r="H780">
        <f>Calc!H8</f>
        <v/>
      </c>
      <c r="I780">
        <f>IF(Skills!T8&lt;&gt;"",1+(Skills!T8/10)*($Z$3/1000)/100,1)</f>
        <v/>
      </c>
      <c r="J780">
        <f>(Inputs!$B$7*(1+Inputs!$B$8/100))*(F780/100)</f>
        <v/>
      </c>
      <c r="K780">
        <f>J780*(1+(((Inputs!$B$14+IF(Inputs!$B$3&gt;=35,0.10*(Inputs!$B$9*(1+Inputs!$B$10/100)),0))*(1+Inputs!$B$15/100))*0.01+Inputs!$B$16*0.0025)/100)*(1+(Inputs!$B$17+B803)/100)*(1+IF(Inputs!$B$40="pvp",0,(1-Summary!$B$48)*(Inputs!$B$22+Skills!O8+B801)+Summary!$B$48*(Inputs!$B$23+Skills!P8+B802))/100)*(1+Inputs!$B$18/100)*(5000/(6000+Inputs!$B$42*(1-Inputs!$B$21/100)))*(1+Inputs!$B$26/100)*(1+IF(C789=TRUE,F789,0)/100)*(1+IF(C791=TRUE,F791,0)/100)*(1+IF(Skills!A8="TRIUMPH_FEATHER",IF(C787=TRUE,F787,0),0)/100)*(1+IF(C798=TRUE,F798,0)/100)^5*(1+(IF(Skills!A8="BIG_BANG",Inputs!$B$19,Inputs!$B$20))/100)*(B800*I780)</f>
        <v/>
      </c>
      <c r="L780">
        <f>K780*(MIN(Inputs!$B$24+(F793-Calc!F21),Inputs!$B$25)/100+Inputs!$B$25/100)/2</f>
        <v/>
      </c>
      <c r="M780">
        <f>L780*(1+(Inputs!$B$12+B804+(F796-Calc!F24))/100)</f>
        <v/>
      </c>
      <c r="N780">
        <f>L780*(1-MIN(Inputs!$B$11+((F795-Calc!F23)+(F794-Calc!F22)),100)/100)+M780*(MIN(Inputs!$B$11+((F795-Calc!F23)+(F794-Calc!F22)),100)/100)</f>
        <v/>
      </c>
      <c r="O780">
        <f>IF(C780,H780*N780*IF(AND(Inputs!$B$40&lt;&gt;"pvp",Inputs!$B$43&gt;0),((Skills!F8*((R780-1)*IF(Skills!G8&gt;0,Skills!H8/Skills!G8,1)+IF(Skills!G8&gt;0,MIN(Skills!H8,MAX(0,Inputs!$B$43-((R780-1)*IF(Inputs!$B$40="pvp",15,MAX(0.1,Skills!D8-IF(Skills!E8=TRUE,Inputs!$B$34,0))))))/Skills!G8,1)))/Inputs!$B$43),G780*Q780)*IF(Inputs!$B$40="pvp",1,(1-Summary!$B$48)*(1)+Summary!$B$48*(MIN(Skills!Q8,Inputs!$B$39))),0)</f>
        <v/>
      </c>
      <c r="P780">
        <f>IF(B810=0,0,O780/B810)</f>
        <v/>
      </c>
      <c r="Q780">
        <f>IFERROR(1/IF(Inputs!$B$40="pvp",15,MAX(0.1,Skills!D8-IF(Skills!E8=TRUE,Inputs!$B$34,0))),0)</f>
        <v/>
      </c>
      <c r="R780">
        <f>IF(AND(Inputs!$B$40&lt;&gt;"pvp",Inputs!$B$43&gt;0),(INT(Inputs!$B$43/IF(Inputs!$B$40="pvp",15,MAX(0.1,Skills!D8-IF(Skills!E8=TRUE,Inputs!$B$34,0))))+1),0)</f>
        <v/>
      </c>
    </row>
    <row r="781">
      <c r="A781">
        <f>Skills!A9</f>
        <v/>
      </c>
      <c r="B781">
        <f>Skills!B9</f>
        <v/>
      </c>
      <c r="C781">
        <f>Inputs!$B$3&gt;=115</f>
        <v/>
      </c>
      <c r="D781">
        <f>IF(Skills!C9=1,60+Inputs!$B$27+Inputs!$B$31,IF(Skills!C9=2,90+(Inputs!$B$28+1)+Inputs!$B$31,IF(Skills!C9=3,120+Inputs!$B$29+Inputs!$B$31,MAX(0,(Inputs!$B$3-100)*3)+Inputs!$B$30+Inputs!$B$31)))</f>
        <v/>
      </c>
      <c r="E781">
        <f>INDEX(FactorTable!$B$2:$Y$301, MATCH(ROUND(MIN(300,MAX(1,D781)),0), FactorTable!$A$2:$A$301,0), Skills!L9+1)</f>
        <v/>
      </c>
      <c r="F781">
        <f>IF(Skills!M9=TRUE,(Skills!K9/10)*(E781/1000),Skills!K9/10)+Skills!N9</f>
        <v/>
      </c>
      <c r="G781">
        <f>Calc!G9</f>
        <v/>
      </c>
      <c r="H781">
        <f>Calc!H9</f>
        <v/>
      </c>
      <c r="I781">
        <f>IF(Skills!T9&lt;&gt;"",1+(Skills!T9/10)*($Z$3/1000)/100,1)</f>
        <v/>
      </c>
      <c r="J781">
        <f>(Inputs!$B$7*(1+Inputs!$B$8/100))*(F781/100)</f>
        <v/>
      </c>
      <c r="K781">
        <f>J781*(1+(((Inputs!$B$14+IF(Inputs!$B$3&gt;=35,0.10*(Inputs!$B$9*(1+Inputs!$B$10/100)),0))*(1+Inputs!$B$15/100))*0.01+Inputs!$B$16*0.0025)/100)*(1+(Inputs!$B$17+B803)/100)*(1+IF(Inputs!$B$40="pvp",0,(1-Summary!$B$48)*(Inputs!$B$22+Skills!O9+B801)+Summary!$B$48*(Inputs!$B$23+Skills!P9+B802))/100)*(1+Inputs!$B$18/100)*(5000/(6000+Inputs!$B$42*(1-Inputs!$B$21/100)))*(1+Inputs!$B$26/100)*(1+IF(C789=TRUE,F789,0)/100)*(1+IF(C791=TRUE,F791,0)/100)*(1+IF(Skills!A9="TRIUMPH_FEATHER",IF(C787=TRUE,F787,0),0)/100)*(1+IF(C798=TRUE,F798,0)/100)^5*(1+(IF(Skills!A9="BIG_BANG",Inputs!$B$19,Inputs!$B$20))/100)*(B800*I781)</f>
        <v/>
      </c>
      <c r="L781">
        <f>K781*(MIN(Inputs!$B$24+(F793-Calc!F21),Inputs!$B$25)/100+Inputs!$B$25/100)/2</f>
        <v/>
      </c>
      <c r="M781">
        <f>L781*(1+(Inputs!$B$12+B804+(F796-Calc!F24))/100)</f>
        <v/>
      </c>
      <c r="N781">
        <f>L781*(1-MIN(Inputs!$B$11+((F795-Calc!F23)+(F794-Calc!F22)),100)/100)+M781*(MIN(Inputs!$B$11+((F795-Calc!F23)+(F794-Calc!F22)),100)/100)</f>
        <v/>
      </c>
      <c r="O781">
        <f>IF(C781,H781*N781*IF(AND(Inputs!$B$40&lt;&gt;"pvp",Inputs!$B$43&gt;0),((Skills!F9*((R781-1)*IF(Skills!G9&gt;0,Skills!H9/Skills!G9,1)+IF(Skills!G9&gt;0,MIN(Skills!H9,MAX(0,Inputs!$B$43-((R781-1)*IF(Inputs!$B$40="pvp",15,MAX(0.1,Skills!D9-IF(Skills!E9=TRUE,Inputs!$B$34,0))))))/Skills!G9,1)))/Inputs!$B$43),G781*Q781)*IF(Inputs!$B$40="pvp",1,(1-Summary!$B$48)*(1)+Summary!$B$48*(MIN(Skills!Q9,Inputs!$B$39))),0)</f>
        <v/>
      </c>
      <c r="P781">
        <f>IF(B810=0,0,O781/B810)</f>
        <v/>
      </c>
      <c r="Q781">
        <f>IFERROR(1/IF(Inputs!$B$40="pvp",15,MAX(0.1,Skills!D9-IF(Skills!E9=TRUE,Inputs!$B$34,0))),0)</f>
        <v/>
      </c>
      <c r="R781">
        <f>IF(AND(Inputs!$B$40&lt;&gt;"pvp",Inputs!$B$43&gt;0),(INT(Inputs!$B$43/IF(Inputs!$B$40="pvp",15,MAX(0.1,Skills!D9-IF(Skills!E9=TRUE,Inputs!$B$34,0))))+1),0)</f>
        <v/>
      </c>
    </row>
    <row r="782">
      <c r="A782">
        <f>Skills!A10</f>
        <v/>
      </c>
      <c r="B782">
        <f>Skills!B10</f>
        <v/>
      </c>
      <c r="C782">
        <f>Inputs!$B$3&gt;=66</f>
        <v/>
      </c>
      <c r="D782">
        <f>IF(Skills!C10=1,60+Inputs!$B$27+Inputs!$B$31,IF(Skills!C10=2,90+(Inputs!$B$28+1)+Inputs!$B$31,IF(Skills!C10=3,120+Inputs!$B$29+Inputs!$B$31,MAX(0,(Inputs!$B$3-100)*3)+Inputs!$B$30+Inputs!$B$31)))</f>
        <v/>
      </c>
      <c r="E782">
        <f>INDEX(FactorTable!$B$2:$Y$301, MATCH(ROUND(MIN(300,MAX(1,D782)),0), FactorTable!$A$2:$A$301,0), Skills!L10+1)</f>
        <v/>
      </c>
      <c r="F782" t="n">
        <v>0</v>
      </c>
      <c r="G782">
        <f>Calc!G10</f>
        <v/>
      </c>
      <c r="H782">
        <f>Calc!H10</f>
        <v/>
      </c>
      <c r="I782">
        <f>IF(Skills!T10&lt;&gt;"",1+(Skills!T10/10)*($Z$3/1000)/100,1)</f>
        <v/>
      </c>
      <c r="J782" t="inlineStr"/>
      <c r="K782" t="inlineStr"/>
      <c r="L782" t="inlineStr"/>
      <c r="M782" t="inlineStr"/>
      <c r="N782" t="inlineStr"/>
      <c r="O782" t="n">
        <v>0</v>
      </c>
      <c r="P782">
        <f>IF(B810=0,0,O782/B810)</f>
        <v/>
      </c>
      <c r="Q782">
        <f>IFERROR(1/IF(Inputs!$B$40="pvp",15,MAX(0.1,Skills!D10-IF(Skills!E10=TRUE,Inputs!$B$34,0))),0)</f>
        <v/>
      </c>
      <c r="R782">
        <f>IF(AND(Inputs!$B$40&lt;&gt;"pvp",Inputs!$B$43&gt;0),(INT(Inputs!$B$43/IF(Inputs!$B$40="pvp",15,MAX(0.1,Skills!D10-IF(Skills!E10=TRUE,Inputs!$B$34,0))))+1),0)</f>
        <v/>
      </c>
    </row>
    <row r="783">
      <c r="A783">
        <f>Skills!A11</f>
        <v/>
      </c>
      <c r="B783">
        <f>Skills!B11</f>
        <v/>
      </c>
      <c r="C783">
        <f>Inputs!$B$3&gt;=69</f>
        <v/>
      </c>
      <c r="D783">
        <f>IF(Skills!C11=1,60+Inputs!$B$27+Inputs!$B$31,IF(Skills!C11=2,90+(Inputs!$B$28+1)+Inputs!$B$31,IF(Skills!C11=3,120+Inputs!$B$29+Inputs!$B$31,MAX(0,(Inputs!$B$3-100)*3)+Inputs!$B$30+Inputs!$B$31)))</f>
        <v/>
      </c>
      <c r="E783">
        <f>INDEX(FactorTable!$B$2:$Y$301, MATCH(ROUND(MIN(300,MAX(1,D783)),0), FactorTable!$A$2:$A$301,0), Skills!L11+1)</f>
        <v/>
      </c>
      <c r="F783">
        <f>IF(Skills!M11=TRUE,(Skills!K11/10)*(E783/1000),Skills!K11/10)+Skills!N11</f>
        <v/>
      </c>
      <c r="G783">
        <f>Calc!G11</f>
        <v/>
      </c>
      <c r="H783">
        <f>Calc!H11</f>
        <v/>
      </c>
      <c r="I783">
        <f>IF(Skills!T11&lt;&gt;"",1+(Skills!T11/10)*($Z$3/1000)/100,1)</f>
        <v/>
      </c>
      <c r="J783" t="inlineStr"/>
      <c r="K783" t="inlineStr"/>
      <c r="L783" t="inlineStr"/>
      <c r="M783" t="inlineStr"/>
      <c r="N783" t="inlineStr"/>
      <c r="O783" t="n">
        <v>0</v>
      </c>
      <c r="P783">
        <f>IF(B810=0,0,O783/B810)</f>
        <v/>
      </c>
      <c r="Q783">
        <f>IFERROR(1/IF(Inputs!$B$40="pvp",15,MAX(0.1,Skills!D11-IF(Skills!E11=TRUE,Inputs!$B$34,0))),0)</f>
        <v/>
      </c>
      <c r="R783">
        <f>IF(AND(Inputs!$B$40&lt;&gt;"pvp",Inputs!$B$43&gt;0),(INT(Inputs!$B$43/IF(Inputs!$B$40="pvp",15,MAX(0.1,Skills!D11-IF(Skills!E11=TRUE,Inputs!$B$34,0))))+1),0)</f>
        <v/>
      </c>
    </row>
    <row r="784">
      <c r="A784">
        <f>Skills!A12</f>
        <v/>
      </c>
      <c r="B784">
        <f>Skills!B12</f>
        <v/>
      </c>
      <c r="C784">
        <f>Inputs!$B$3&gt;=72</f>
        <v/>
      </c>
      <c r="D784">
        <f>IF(Skills!C12=1,60+Inputs!$B$27+Inputs!$B$31,IF(Skills!C12=2,90+(Inputs!$B$28+1)+Inputs!$B$31,IF(Skills!C12=3,120+Inputs!$B$29+Inputs!$B$31,MAX(0,(Inputs!$B$3-100)*3)+Inputs!$B$30+Inputs!$B$31)))</f>
        <v/>
      </c>
      <c r="E784">
        <f>INDEX(FactorTable!$B$2:$Y$301, MATCH(ROUND(MIN(300,MAX(1,D784)),0), FactorTable!$A$2:$A$301,0), Skills!L12+1)</f>
        <v/>
      </c>
      <c r="F784">
        <f>IF(Skills!M12=TRUE,(Skills!K12/10)*(E784/1000),Skills!K12/10)+Skills!N12</f>
        <v/>
      </c>
      <c r="G784">
        <f>Calc!G12</f>
        <v/>
      </c>
      <c r="H784">
        <f>Calc!H12</f>
        <v/>
      </c>
      <c r="I784">
        <f>IF(Skills!T12&lt;&gt;"",1+(Skills!T12/10)*($Z$3/1000)/100,1)</f>
        <v/>
      </c>
      <c r="J784" t="inlineStr"/>
      <c r="K784" t="inlineStr"/>
      <c r="L784" t="inlineStr"/>
      <c r="M784" t="inlineStr"/>
      <c r="N784" t="inlineStr"/>
      <c r="O784" t="n">
        <v>0</v>
      </c>
      <c r="P784">
        <f>IF(B810=0,0,O784/B810)</f>
        <v/>
      </c>
      <c r="Q784">
        <f>IFERROR(1/IF(Inputs!$B$40="pvp",15,MAX(0.1,Skills!D12-IF(Skills!E12=TRUE,Inputs!$B$34,0))),0)</f>
        <v/>
      </c>
      <c r="R784">
        <f>IF(AND(Inputs!$B$40&lt;&gt;"pvp",Inputs!$B$43&gt;0),(INT(Inputs!$B$43/IF(Inputs!$B$40="pvp",15,MAX(0.1,Skills!D12-IF(Skills!E12=TRUE,Inputs!$B$34,0))))+1),0)</f>
        <v/>
      </c>
    </row>
    <row r="785">
      <c r="A785">
        <f>Skills!A13</f>
        <v/>
      </c>
      <c r="B785">
        <f>Skills!B13</f>
        <v/>
      </c>
      <c r="C785">
        <f>Inputs!$B$3&gt;=107</f>
        <v/>
      </c>
      <c r="D785">
        <f>IF(Skills!C13=1,60+Inputs!$B$27+Inputs!$B$31,IF(Skills!C13=2,90+(Inputs!$B$28+1)+Inputs!$B$31,IF(Skills!C13=3,120+Inputs!$B$29+Inputs!$B$31,MAX(0,(Inputs!$B$3-100)*3)+Inputs!$B$30+Inputs!$B$31)))</f>
        <v/>
      </c>
      <c r="E785">
        <f>INDEX(FactorTable!$B$2:$Y$301, MATCH(ROUND(MIN(300,MAX(1,D785)),0), FactorTable!$A$2:$A$301,0), Skills!L13+1)</f>
        <v/>
      </c>
      <c r="F785">
        <f>IF(Skills!M13=TRUE,(Skills!K13/10)*(E785/1000),Skills!K13/10)+Skills!N13</f>
        <v/>
      </c>
      <c r="G785">
        <f>Calc!G13</f>
        <v/>
      </c>
      <c r="H785">
        <f>Calc!H13</f>
        <v/>
      </c>
      <c r="I785">
        <f>IF(Skills!T13&lt;&gt;"",1+(Skills!T13/10)*($Z$3/1000)/100,1)</f>
        <v/>
      </c>
      <c r="J785" t="inlineStr"/>
      <c r="K785" t="inlineStr"/>
      <c r="L785" t="inlineStr"/>
      <c r="M785" t="inlineStr"/>
      <c r="N785" t="inlineStr"/>
      <c r="O785" t="n">
        <v>0</v>
      </c>
      <c r="P785">
        <f>IF(B810=0,0,O785/B810)</f>
        <v/>
      </c>
      <c r="Q785">
        <f>IFERROR(1/IF(Inputs!$B$40="pvp",15,MAX(0.1,Skills!D13-IF(Skills!E13=TRUE,Inputs!$B$34,0))),0)</f>
        <v/>
      </c>
      <c r="R785">
        <f>IF(AND(Inputs!$B$40&lt;&gt;"pvp",Inputs!$B$43&gt;0),(INT(Inputs!$B$43/IF(Inputs!$B$40="pvp",15,MAX(0.1,Skills!D13-IF(Skills!E13=TRUE,Inputs!$B$34,0))))+1),0)</f>
        <v/>
      </c>
    </row>
    <row r="786">
      <c r="A786">
        <f>Skills!A14</f>
        <v/>
      </c>
      <c r="B786">
        <f>Skills!B14</f>
        <v/>
      </c>
      <c r="C786">
        <f>Inputs!$B$3&gt;=63</f>
        <v/>
      </c>
      <c r="D786">
        <f>IF(Skills!C14=1,60+Inputs!$B$27+Inputs!$B$31,IF(Skills!C14=2,90+(Inputs!$B$28+1)+Inputs!$B$31,IF(Skills!C14=3,120+Inputs!$B$29+Inputs!$B$31,MAX(0,(Inputs!$B$3-100)*3)+Inputs!$B$30+Inputs!$B$31)))</f>
        <v/>
      </c>
      <c r="E786">
        <f>INDEX(FactorTable!$B$2:$Y$301, MATCH(ROUND(MIN(300,MAX(1,D786)),0), FactorTable!$A$2:$A$301,0), Skills!L14+1)</f>
        <v/>
      </c>
      <c r="F786">
        <f>IF(Skills!M14=TRUE,(Skills!K14/10)*(E786/1000),Skills!K14/10)+Skills!N14</f>
        <v/>
      </c>
      <c r="G786">
        <f>Calc!G14</f>
        <v/>
      </c>
      <c r="H786">
        <f>Calc!H14</f>
        <v/>
      </c>
      <c r="I786">
        <f>IF(Skills!T14&lt;&gt;"",1+(Skills!T14/10)*($Z$3/1000)/100,1)</f>
        <v/>
      </c>
      <c r="J786">
        <f>(Inputs!$B$7*(1+Inputs!$B$8/100))*(F786/100)</f>
        <v/>
      </c>
      <c r="K786">
        <f>J786*(1+(((Inputs!$B$14+IF(Inputs!$B$3&gt;=35,0.10*(Inputs!$B$9*(1+Inputs!$B$10/100)),0))*(1+Inputs!$B$15/100))*0.01+Inputs!$B$16*0.0025)/100)*(1+(Inputs!$B$17+B803)/100)*(1+IF(Inputs!$B$40="pvp",0,(1-Summary!$B$48)*(Inputs!$B$22+Skills!O14+B801)+Summary!$B$48*(Inputs!$B$23+Skills!P14+B802))/100)*(1+Inputs!$B$18/100)*(5000/(6000+Inputs!$B$42*(1-Inputs!$B$21/100)))*(1+Inputs!$B$26/100)*(1+IF(C789=TRUE,F789,0)/100)*(1+IF(C791=TRUE,F791,0)/100)*(1+IF(Skills!A14="TRIUMPH_FEATHER",IF(C787=TRUE,F787,0),0)/100)*(1+IF(C798=TRUE,F798,0)/100)^5*(1+(IF(Skills!A14="BIG_BANG",Inputs!$B$19,Inputs!$B$20))/100)*(B800*I786)</f>
        <v/>
      </c>
      <c r="L786">
        <f>K786*(MIN(Inputs!$B$24+(F793-Calc!F21),Inputs!$B$25)/100+Inputs!$B$25/100)/2</f>
        <v/>
      </c>
      <c r="M786">
        <f>L786*(1+(Inputs!$B$12+B804+(F796-Calc!F24))/100)</f>
        <v/>
      </c>
      <c r="N786">
        <f>L786*(1-MIN(Inputs!$B$11+((F795-Calc!F23)+(F794-Calc!F22)),100)/100)+M786*(MIN(Inputs!$B$11+((F795-Calc!F23)+(F794-Calc!F22)),100)/100)</f>
        <v/>
      </c>
      <c r="O786">
        <f>IF(C786,Skills!F14*N786*((IF(Inputs!$B$3&gt;=78,25,15)/100*B806*10)/(1+IF(Inputs!$B$3&gt;=78,25,15)/100*B806*10))*(Skills!I14/100*B806)/(1+Skills!G14*Skills!I14/100*B806)*IF(Inputs!$B$40="pvp",1,(1-Summary!$B$48)*(1)+Summary!$B$48*(MIN(Skills!Q14,Inputs!$B$39))),0)</f>
        <v/>
      </c>
      <c r="P786">
        <f>IF(B810=0,0,O786/B810)</f>
        <v/>
      </c>
      <c r="Q786">
        <f>IFERROR(1/IF(Inputs!$B$40="pvp",15,MAX(0.1,Skills!D14-IF(Skills!E14=TRUE,Inputs!$B$34,0))),0)</f>
        <v/>
      </c>
      <c r="R786" t="n">
        <v>0</v>
      </c>
    </row>
    <row r="787">
      <c r="A787">
        <f>Skills!A15</f>
        <v/>
      </c>
      <c r="B787">
        <f>Skills!B15</f>
        <v/>
      </c>
      <c r="C787">
        <f>Inputs!$B$3&gt;=100</f>
        <v/>
      </c>
      <c r="D787">
        <f>IF(Skills!C15=1,60+Inputs!$B$27+Inputs!$B$31,IF(Skills!C15=2,90+(Inputs!$B$28+1)+Inputs!$B$31,IF(Skills!C15=3,120+Inputs!$B$29+Inputs!$B$31,MAX(0,(Inputs!$B$3-100)*3)+Inputs!$B$30+Inputs!$B$31)))</f>
        <v/>
      </c>
      <c r="E787">
        <f>INDEX(FactorTable!$B$2:$Y$301, MATCH(ROUND(MIN(300,MAX(1,D787)),0), FactorTable!$A$2:$A$301,0), Skills!L15+1)</f>
        <v/>
      </c>
      <c r="F787">
        <f>IF(Skills!M15=TRUE,(Skills!K15/10)*(E787/1000),Skills!K15/10)+Skills!N15</f>
        <v/>
      </c>
      <c r="G787">
        <f>Calc!G15</f>
        <v/>
      </c>
      <c r="H787">
        <f>Calc!H15</f>
        <v/>
      </c>
      <c r="I787">
        <f>IF(Skills!T15&lt;&gt;"",1+(Skills!T15/10)*($Z$3/1000)/100,1)</f>
        <v/>
      </c>
      <c r="J787" t="inlineStr"/>
      <c r="K787" t="inlineStr"/>
      <c r="L787" t="inlineStr"/>
      <c r="M787" t="inlineStr"/>
      <c r="N787" t="inlineStr"/>
      <c r="O787" t="n">
        <v>0</v>
      </c>
      <c r="P787">
        <f>IF(B810=0,0,O787/B810)</f>
        <v/>
      </c>
      <c r="Q787">
        <f>IFERROR(1/IF(Inputs!$B$40="pvp",15,MAX(0.1,Skills!D15-IF(Skills!E15=TRUE,Inputs!$B$34,0))),0)</f>
        <v/>
      </c>
      <c r="R787" t="n">
        <v>0</v>
      </c>
    </row>
    <row r="788">
      <c r="A788">
        <f>Skills!A16</f>
        <v/>
      </c>
      <c r="B788">
        <f>Skills!B16</f>
        <v/>
      </c>
      <c r="C788">
        <f>Inputs!$B$3&gt;=49</f>
        <v/>
      </c>
      <c r="D788">
        <f>IF(Skills!C16=1,60+Inputs!$B$27+Inputs!$B$31,IF(Skills!C16=2,90+(Inputs!$B$28+1)+Inputs!$B$31,IF(Skills!C16=3,120+Inputs!$B$29+Inputs!$B$31,MAX(0,(Inputs!$B$3-100)*3)+Inputs!$B$30+Inputs!$B$31)))</f>
        <v/>
      </c>
      <c r="E788">
        <f>INDEX(FactorTable!$B$2:$Y$301, MATCH(ROUND(MIN(300,MAX(1,D788)),0), FactorTable!$A$2:$A$301,0), Skills!L16+1)</f>
        <v/>
      </c>
      <c r="F788">
        <f>IF(Skills!M16=TRUE,(Skills!K16/10)*(E788/1000),Skills!K16/10)+Skills!N16</f>
        <v/>
      </c>
      <c r="G788">
        <f>Calc!G16</f>
        <v/>
      </c>
      <c r="H788">
        <f>Calc!H16</f>
        <v/>
      </c>
      <c r="I788">
        <f>IF(Skills!T16&lt;&gt;"",1+(Skills!T16/10)*($Z$3/1000)/100,1)</f>
        <v/>
      </c>
      <c r="J788" t="inlineStr"/>
      <c r="K788" t="inlineStr"/>
      <c r="L788" t="inlineStr"/>
      <c r="M788" t="inlineStr"/>
      <c r="N788" t="inlineStr"/>
      <c r="O788" t="n">
        <v>0</v>
      </c>
      <c r="P788">
        <f>IF(B810=0,0,O788/B810)</f>
        <v/>
      </c>
      <c r="Q788">
        <f>IFERROR(1/IF(Inputs!$B$40="pvp",15,MAX(0.1,Skills!D16-IF(Skills!E16=TRUE,Inputs!$B$34,0))),0)</f>
        <v/>
      </c>
      <c r="R788" t="n">
        <v>0</v>
      </c>
    </row>
    <row r="789">
      <c r="A789">
        <f>Skills!A17</f>
        <v/>
      </c>
      <c r="B789">
        <f>Skills!B17</f>
        <v/>
      </c>
      <c r="C789">
        <f>Inputs!$B$3&gt;=75</f>
        <v/>
      </c>
      <c r="D789">
        <f>IF(Skills!C17=1,60+Inputs!$B$27+Inputs!$B$31,IF(Skills!C17=2,90+(Inputs!$B$28+1)+Inputs!$B$31,IF(Skills!C17=3,120+Inputs!$B$29+Inputs!$B$31,MAX(0,(Inputs!$B$3-100)*3)+Inputs!$B$30+Inputs!$B$31)))</f>
        <v/>
      </c>
      <c r="E789">
        <f>INDEX(FactorTable!$B$2:$Y$301, MATCH(ROUND(MIN(300,MAX(1,D789)),0), FactorTable!$A$2:$A$301,0), Skills!L17+1)</f>
        <v/>
      </c>
      <c r="F789">
        <f>IF(Skills!M17=TRUE,(Skills!K17/10)*(E789/1000),Skills!K17/10)+Skills!N17</f>
        <v/>
      </c>
      <c r="G789">
        <f>Calc!G17</f>
        <v/>
      </c>
      <c r="H789">
        <f>Calc!H17</f>
        <v/>
      </c>
      <c r="I789">
        <f>IF(Skills!T17&lt;&gt;"",1+(Skills!T17/10)*($Z$3/1000)/100,1)</f>
        <v/>
      </c>
      <c r="J789" t="inlineStr"/>
      <c r="K789" t="inlineStr"/>
      <c r="L789" t="inlineStr"/>
      <c r="M789" t="inlineStr"/>
      <c r="N789" t="inlineStr"/>
      <c r="O789" t="n">
        <v>0</v>
      </c>
      <c r="P789">
        <f>IF(B810=0,0,O789/B810)</f>
        <v/>
      </c>
      <c r="Q789">
        <f>IFERROR(1/IF(Inputs!$B$40="pvp",15,MAX(0.1,Skills!D17-IF(Skills!E17=TRUE,Inputs!$B$34,0))),0)</f>
        <v/>
      </c>
      <c r="R789" t="n">
        <v>0</v>
      </c>
    </row>
    <row r="790">
      <c r="A790">
        <f>Skills!A18</f>
        <v/>
      </c>
      <c r="B790">
        <f>Skills!B18</f>
        <v/>
      </c>
      <c r="C790">
        <f>Inputs!$B$3&gt;=110</f>
        <v/>
      </c>
      <c r="D790">
        <f>IF(Skills!C18=1,60+Inputs!$B$27+Inputs!$B$31,IF(Skills!C18=2,90+(Inputs!$B$28+1)+Inputs!$B$31,IF(Skills!C18=3,120+Inputs!$B$29+Inputs!$B$31,MAX(0,(Inputs!$B$3-100)*3)+Inputs!$B$30+Inputs!$B$31)))</f>
        <v/>
      </c>
      <c r="E790">
        <f>INDEX(FactorTable!$B$2:$Y$301, MATCH(ROUND(MIN(300,MAX(1,D790)),0), FactorTable!$A$2:$A$301,0), Skills!L18+1)</f>
        <v/>
      </c>
      <c r="F790">
        <f>(Skills!K18/10)*(E790/1000)*64/45+Skills!N18</f>
        <v/>
      </c>
      <c r="G790">
        <f>Calc!G18</f>
        <v/>
      </c>
      <c r="H790">
        <f>Calc!H18</f>
        <v/>
      </c>
      <c r="I790">
        <f>IF(Skills!T18&lt;&gt;"",1+(Skills!T18/10)*($Z$3/1000)/100,1)</f>
        <v/>
      </c>
      <c r="J790" t="inlineStr"/>
      <c r="K790" t="inlineStr"/>
      <c r="L790" t="inlineStr"/>
      <c r="M790" t="inlineStr"/>
      <c r="N790" t="inlineStr"/>
      <c r="O790" t="n">
        <v>0</v>
      </c>
      <c r="P790">
        <f>IF(B810=0,0,O790/B810)</f>
        <v/>
      </c>
      <c r="Q790">
        <f>IFERROR(1/IF(Inputs!$B$40="pvp",15,MAX(0.1,Skills!D18-IF(Skills!E18=TRUE,Inputs!$B$34,0))),0)</f>
        <v/>
      </c>
      <c r="R790">
        <f>IF(AND(Inputs!$B$40&lt;&gt;"pvp",Inputs!$B$43&gt;0),(INT(Inputs!$B$43/IF(Inputs!$B$40="pvp",15,MAX(0.1,Skills!D18-IF(Skills!E18=TRUE,Inputs!$B$34,0))))+1),0)</f>
        <v/>
      </c>
    </row>
    <row r="791">
      <c r="A791">
        <f>Skills!A19</f>
        <v/>
      </c>
      <c r="B791">
        <f>Skills!B19</f>
        <v/>
      </c>
      <c r="C791">
        <f>Inputs!$B$3&gt;=125</f>
        <v/>
      </c>
      <c r="D791">
        <f>IF(Skills!C19=1,60+Inputs!$B$27+Inputs!$B$31,IF(Skills!C19=2,90+(Inputs!$B$28+1)+Inputs!$B$31,IF(Skills!C19=3,120+Inputs!$B$29+Inputs!$B$31,MAX(0,(Inputs!$B$3-100)*3)+Inputs!$B$30+Inputs!$B$31)))</f>
        <v/>
      </c>
      <c r="E791">
        <f>INDEX(FactorTable!$B$2:$Y$301, MATCH(ROUND(MIN(300,MAX(1,D791)),0), FactorTable!$A$2:$A$301,0), Skills!L19+1)</f>
        <v/>
      </c>
      <c r="F791">
        <f>IF(Skills!M19=TRUE,(Skills!K19/10)*(E791/1000),Skills!K19/10)+Skills!N19</f>
        <v/>
      </c>
      <c r="G791">
        <f>Calc!G19</f>
        <v/>
      </c>
      <c r="H791">
        <f>Calc!H19</f>
        <v/>
      </c>
      <c r="I791">
        <f>IF(Skills!T19&lt;&gt;"",1+(Skills!T19/10)*($Z$3/1000)/100,1)</f>
        <v/>
      </c>
      <c r="J791" t="inlineStr"/>
      <c r="K791" t="inlineStr"/>
      <c r="L791" t="inlineStr"/>
      <c r="M791" t="inlineStr"/>
      <c r="N791" t="inlineStr"/>
      <c r="O791" t="n">
        <v>0</v>
      </c>
      <c r="P791">
        <f>IF(B810=0,0,O791/B810)</f>
        <v/>
      </c>
      <c r="Q791">
        <f>IFERROR(1/IF(Inputs!$B$40="pvp",15,MAX(0.1,Skills!D19-IF(Skills!E19=TRUE,Inputs!$B$34,0))),0)</f>
        <v/>
      </c>
      <c r="R791" t="n">
        <v>0</v>
      </c>
    </row>
    <row r="792">
      <c r="A792">
        <f>Skills!A20</f>
        <v/>
      </c>
      <c r="B792">
        <f>Skills!B20</f>
        <v/>
      </c>
      <c r="C792">
        <f>Inputs!$B$3&gt;=33</f>
        <v/>
      </c>
      <c r="D792">
        <f>IF(Skills!C20=1,60+Inputs!$B$27+Inputs!$B$31,IF(Skills!C20=2,90+(Inputs!$B$28+1)+Inputs!$B$31,IF(Skills!C20=3,120+Inputs!$B$29+Inputs!$B$31,MAX(0,(Inputs!$B$3-100)*3)+Inputs!$B$30+Inputs!$B$31)))</f>
        <v/>
      </c>
      <c r="E792">
        <f>INDEX(FactorTable!$B$2:$Y$301, MATCH(ROUND(MIN(300,MAX(1,D792)),0), FactorTable!$A$2:$A$301,0), Skills!L20+1)</f>
        <v/>
      </c>
      <c r="F792">
        <f>IF(Skills!M20=TRUE,(Skills!K20/10)*(E792/1000),Skills!K20/10)+Skills!N20</f>
        <v/>
      </c>
      <c r="G792">
        <f>Calc!G20</f>
        <v/>
      </c>
      <c r="H792">
        <f>Calc!H20</f>
        <v/>
      </c>
      <c r="I792">
        <f>IF(Skills!T20&lt;&gt;"",1+(Skills!T20/10)*($Z$3/1000)/100,1)</f>
        <v/>
      </c>
      <c r="J792" t="inlineStr"/>
      <c r="K792" t="inlineStr"/>
      <c r="L792" t="inlineStr"/>
      <c r="M792" t="inlineStr"/>
      <c r="N792" t="inlineStr"/>
      <c r="O792" t="n">
        <v>0</v>
      </c>
      <c r="P792">
        <f>IF(B810=0,0,O792/B810)</f>
        <v/>
      </c>
      <c r="Q792">
        <f>IFERROR(1/IF(Inputs!$B$40="pvp",15,MAX(0.1,Skills!D20-IF(Skills!E20=TRUE,Inputs!$B$34,0))),0)</f>
        <v/>
      </c>
      <c r="R792" t="n">
        <v>0</v>
      </c>
    </row>
    <row r="793">
      <c r="A793">
        <f>Skills!A21</f>
        <v/>
      </c>
      <c r="B793">
        <f>Skills!B21</f>
        <v/>
      </c>
      <c r="C793">
        <f>Inputs!$B$3&gt;=43</f>
        <v/>
      </c>
      <c r="D793">
        <f>IF(Skills!C21=1,60+Inputs!$B$27+Inputs!$B$31,IF(Skills!C21=2,90+(Inputs!$B$28+1)+Inputs!$B$31,IF(Skills!C21=3,120+Inputs!$B$29+Inputs!$B$31,MAX(0,(Inputs!$B$3-100)*3)+Inputs!$B$30+Inputs!$B$31)))</f>
        <v/>
      </c>
      <c r="E793">
        <f>INDEX(FactorTable!$B$2:$Y$301, MATCH(ROUND(MIN(300,MAX(1,D793)),0), FactorTable!$A$2:$A$301,0), Skills!L21+1)</f>
        <v/>
      </c>
      <c r="F793">
        <f>IF(Skills!M21=TRUE,(Skills!K21/10)*(E793/1000),Skills!K21/10)+Skills!N21</f>
        <v/>
      </c>
      <c r="G793">
        <f>Calc!G21</f>
        <v/>
      </c>
      <c r="H793">
        <f>Calc!H21</f>
        <v/>
      </c>
      <c r="I793">
        <f>IF(Skills!T21&lt;&gt;"",1+(Skills!T21/10)*($Z$3/1000)/100,1)</f>
        <v/>
      </c>
      <c r="J793" t="inlineStr"/>
      <c r="K793" t="inlineStr"/>
      <c r="L793" t="inlineStr"/>
      <c r="M793" t="inlineStr"/>
      <c r="N793" t="inlineStr"/>
      <c r="O793" t="n">
        <v>0</v>
      </c>
      <c r="P793">
        <f>IF(B810=0,0,O793/B810)</f>
        <v/>
      </c>
      <c r="Q793">
        <f>IFERROR(1/IF(Inputs!$B$40="pvp",15,MAX(0.1,Skills!D21-IF(Skills!E21=TRUE,Inputs!$B$34,0))),0)</f>
        <v/>
      </c>
      <c r="R793" t="n">
        <v>0</v>
      </c>
    </row>
    <row r="794">
      <c r="A794">
        <f>Skills!A22</f>
        <v/>
      </c>
      <c r="B794">
        <f>Skills!B22</f>
        <v/>
      </c>
      <c r="C794">
        <f>Inputs!$B$3&gt;=50</f>
        <v/>
      </c>
      <c r="D794">
        <f>IF(Skills!C22=1,60+Inputs!$B$27+Inputs!$B$31,IF(Skills!C22=2,90+(Inputs!$B$28+1)+Inputs!$B$31,IF(Skills!C22=3,120+Inputs!$B$29+Inputs!$B$31,MAX(0,(Inputs!$B$3-100)*3)+Inputs!$B$30+Inputs!$B$31)))</f>
        <v/>
      </c>
      <c r="E794">
        <f>INDEX(FactorTable!$B$2:$Y$301, MATCH(ROUND(MIN(300,MAX(1,D794)),0), FactorTable!$A$2:$A$301,0), Skills!L22+1)</f>
        <v/>
      </c>
      <c r="F794">
        <f>IF(Skills!M22=TRUE,(Skills!K22/10)*(E794/1000),Skills!K22/10)+Skills!N22</f>
        <v/>
      </c>
      <c r="G794">
        <f>Calc!G22</f>
        <v/>
      </c>
      <c r="H794">
        <f>Calc!H22</f>
        <v/>
      </c>
      <c r="I794">
        <f>IF(Skills!T22&lt;&gt;"",1+(Skills!T22/10)*($Z$3/1000)/100,1)</f>
        <v/>
      </c>
      <c r="J794" t="inlineStr"/>
      <c r="K794" t="inlineStr"/>
      <c r="L794" t="inlineStr"/>
      <c r="M794" t="inlineStr"/>
      <c r="N794" t="inlineStr"/>
      <c r="O794" t="n">
        <v>0</v>
      </c>
      <c r="P794">
        <f>IF(B810=0,0,O794/B810)</f>
        <v/>
      </c>
      <c r="Q794">
        <f>IFERROR(1/IF(Inputs!$B$40="pvp",15,MAX(0.1,Skills!D22-IF(Skills!E22=TRUE,Inputs!$B$34,0))),0)</f>
        <v/>
      </c>
      <c r="R794" t="n">
        <v>0</v>
      </c>
    </row>
    <row r="795">
      <c r="A795">
        <f>Skills!A23</f>
        <v/>
      </c>
      <c r="B795">
        <f>Skills!B23</f>
        <v/>
      </c>
      <c r="C795">
        <f>Inputs!$B$3&gt;=74</f>
        <v/>
      </c>
      <c r="D795">
        <f>IF(Skills!C23=1,60+Inputs!$B$27+Inputs!$B$31,IF(Skills!C23=2,90+(Inputs!$B$28+1)+Inputs!$B$31,IF(Skills!C23=3,120+Inputs!$B$29+Inputs!$B$31,MAX(0,(Inputs!$B$3-100)*3)+Inputs!$B$30+Inputs!$B$31)))</f>
        <v/>
      </c>
      <c r="E795">
        <f>INDEX(FactorTable!$B$2:$Y$301, MATCH(ROUND(MIN(300,MAX(1,D795)),0), FactorTable!$A$2:$A$301,0), Skills!L23+1)</f>
        <v/>
      </c>
      <c r="F795">
        <f>IF(Skills!M23=TRUE,(Skills!K23/10)*(E795/1000),Skills!K23/10)+Skills!N23</f>
        <v/>
      </c>
      <c r="G795">
        <f>Calc!G23</f>
        <v/>
      </c>
      <c r="H795">
        <f>Calc!H23</f>
        <v/>
      </c>
      <c r="I795">
        <f>IF(Skills!T23&lt;&gt;"",1+(Skills!T23/10)*($Z$3/1000)/100,1)</f>
        <v/>
      </c>
      <c r="J795" t="inlineStr"/>
      <c r="K795" t="inlineStr"/>
      <c r="L795" t="inlineStr"/>
      <c r="M795" t="inlineStr"/>
      <c r="N795" t="inlineStr"/>
      <c r="O795" t="n">
        <v>0</v>
      </c>
      <c r="P795">
        <f>IF(B810=0,0,O795/B810)</f>
        <v/>
      </c>
      <c r="Q795">
        <f>IFERROR(1/IF(Inputs!$B$40="pvp",15,MAX(0.1,Skills!D23-IF(Skills!E23=TRUE,Inputs!$B$34,0))),0)</f>
        <v/>
      </c>
      <c r="R795" t="n">
        <v>0</v>
      </c>
    </row>
    <row r="796">
      <c r="A796">
        <f>Skills!A24</f>
        <v/>
      </c>
      <c r="B796">
        <f>Skills!B24</f>
        <v/>
      </c>
      <c r="C796">
        <f>Inputs!$B$3&gt;=74</f>
        <v/>
      </c>
      <c r="D796">
        <f>IF(Skills!C24=1,60+Inputs!$B$27+Inputs!$B$31,IF(Skills!C24=2,90+(Inputs!$B$28+1)+Inputs!$B$31,IF(Skills!C24=3,120+Inputs!$B$29+Inputs!$B$31,MAX(0,(Inputs!$B$3-100)*3)+Inputs!$B$30+Inputs!$B$31)))</f>
        <v/>
      </c>
      <c r="E796">
        <f>INDEX(FactorTable!$B$2:$Y$301, MATCH(ROUND(MIN(300,MAX(1,D796)),0), FactorTable!$A$2:$A$301,0), Skills!L24+1)</f>
        <v/>
      </c>
      <c r="F796">
        <f>IF(Skills!M24=TRUE,(Skills!K24/10)*(E796/1000),Skills!K24/10)+Skills!N24</f>
        <v/>
      </c>
      <c r="G796">
        <f>Calc!G24</f>
        <v/>
      </c>
      <c r="H796">
        <f>Calc!H24</f>
        <v/>
      </c>
      <c r="I796">
        <f>IF(Skills!T24&lt;&gt;"",1+(Skills!T24/10)*($Z$3/1000)/100,1)</f>
        <v/>
      </c>
      <c r="J796" t="inlineStr"/>
      <c r="K796" t="inlineStr"/>
      <c r="L796" t="inlineStr"/>
      <c r="M796" t="inlineStr"/>
      <c r="N796" t="inlineStr"/>
      <c r="O796" t="n">
        <v>0</v>
      </c>
      <c r="P796">
        <f>IF(B810=0,0,O796/B810)</f>
        <v/>
      </c>
      <c r="Q796">
        <f>IFERROR(1/IF(Inputs!$B$40="pvp",15,MAX(0.1,Skills!D24-IF(Skills!E24=TRUE,Inputs!$B$34,0))),0)</f>
        <v/>
      </c>
      <c r="R796" t="n">
        <v>0</v>
      </c>
    </row>
    <row r="797">
      <c r="A797">
        <f>Skills!A25</f>
        <v/>
      </c>
      <c r="B797">
        <f>Skills!B25</f>
        <v/>
      </c>
      <c r="C797">
        <f>Inputs!$B$3&gt;=117</f>
        <v/>
      </c>
      <c r="D797">
        <f>IF(Skills!C25=1,60+Inputs!$B$27+Inputs!$B$31,IF(Skills!C25=2,90+(Inputs!$B$28+1)+Inputs!$B$31,IF(Skills!C25=3,120+Inputs!$B$29+Inputs!$B$31,MAX(0,(Inputs!$B$3-100)*3)+Inputs!$B$30+Inputs!$B$31)))</f>
        <v/>
      </c>
      <c r="E797">
        <f>INDEX(FactorTable!$B$2:$Y$301, MATCH(ROUND(MIN(300,MAX(1,D797)),0), FactorTable!$A$2:$A$301,0), Skills!L25+1)</f>
        <v/>
      </c>
      <c r="F797">
        <f>IF(Skills!M25=TRUE,(Skills!K25/10)*(E797/1000),Skills!K25/10)+Skills!N25</f>
        <v/>
      </c>
      <c r="G797">
        <f>Calc!G25</f>
        <v/>
      </c>
      <c r="H797">
        <f>Calc!H25</f>
        <v/>
      </c>
      <c r="I797">
        <f>IF(Skills!T25&lt;&gt;"",1+(Skills!T25/10)*($Z$3/1000)/100,1)</f>
        <v/>
      </c>
      <c r="J797" t="inlineStr"/>
      <c r="K797" t="inlineStr"/>
      <c r="L797" t="inlineStr"/>
      <c r="M797" t="inlineStr"/>
      <c r="N797" t="inlineStr"/>
      <c r="O797" t="n">
        <v>0</v>
      </c>
      <c r="P797">
        <f>IF(B810=0,0,O797/B810)</f>
        <v/>
      </c>
      <c r="Q797">
        <f>IFERROR(1/IF(Inputs!$B$40="pvp",15,MAX(0.1,Skills!D25-IF(Skills!E25=TRUE,Inputs!$B$34,0))),0)</f>
        <v/>
      </c>
      <c r="R797" t="n">
        <v>0</v>
      </c>
    </row>
    <row r="798">
      <c r="A798">
        <f>Skills!A26</f>
        <v/>
      </c>
      <c r="B798">
        <f>Skills!B26</f>
        <v/>
      </c>
      <c r="C798">
        <f>Inputs!$B$3&gt;=120</f>
        <v/>
      </c>
      <c r="D798">
        <f>IF(Skills!C26=1,60+Inputs!$B$27+Inputs!$B$31,IF(Skills!C26=2,90+(Inputs!$B$28+1)+Inputs!$B$31,IF(Skills!C26=3,120+Inputs!$B$29+Inputs!$B$31,MAX(0,(Inputs!$B$3-100)*3)+Inputs!$B$30+Inputs!$B$31)))</f>
        <v/>
      </c>
      <c r="E798">
        <f>INDEX(FactorTable!$B$2:$Y$301, MATCH(ROUND(MIN(300,MAX(1,D798)),0), FactorTable!$A$2:$A$301,0), Skills!L26+1)</f>
        <v/>
      </c>
      <c r="F798">
        <f>IF(Skills!M26=TRUE,(Skills!K26/10)*(E798/1000),Skills!K26/10)+Skills!N26</f>
        <v/>
      </c>
      <c r="G798">
        <f>Calc!G26</f>
        <v/>
      </c>
      <c r="H798">
        <f>Calc!H26</f>
        <v/>
      </c>
      <c r="I798">
        <f>IF(Skills!T26&lt;&gt;"",1+(Skills!T26/10)*($Z$3/1000)/100,1)</f>
        <v/>
      </c>
      <c r="J798" t="inlineStr"/>
      <c r="K798" t="inlineStr"/>
      <c r="L798" t="inlineStr"/>
      <c r="M798" t="inlineStr"/>
      <c r="N798" t="inlineStr"/>
      <c r="O798" t="n">
        <v>0</v>
      </c>
      <c r="P798">
        <f>IF(B810=0,0,O798/B810)</f>
        <v/>
      </c>
      <c r="Q798">
        <f>IFERROR(1/IF(Inputs!$B$40="pvp",15,MAX(0.1,Skills!D26-IF(Skills!E26=TRUE,Inputs!$B$34,0))),0)</f>
        <v/>
      </c>
      <c r="R798" t="n">
        <v>0</v>
      </c>
    </row>
    <row r="800">
      <c r="A800" t="inlineStr">
        <is>
          <t>Average Buff Multiplier</t>
        </is>
      </c>
      <c r="B800">
        <f>(1+(IF(C775=TRUE,F775*IF(AND(Inputs!$B$40&lt;&gt;"pvp",Inputs!$B$43&gt;0),(((R775-1)*(Skills!S3*(1+(Inputs!$B$36+IF(Inputs!$B$3&gt;=117,F797,0))/100))+MIN((Skills!S3*(1+(Inputs!$B$36+IF(Inputs!$B$3&gt;=117,F797,0))/100)),MAX(0,Inputs!$B$43-((R775-1)*Skills!D3))))/Inputs!$B$43),IF(Inputs!$B$40="pvp",MIN((Skills!S3*(1+(Inputs!$B$36+IF(Inputs!$B$3&gt;=117,F797,0))/100)),15)/15,(Skills!S3*(1+(Inputs!$B$36+IF(Inputs!$B$3&gt;=117,F797,0))/100))/Skills!D3)),0)+IF(C776=TRUE,F776*IF(AND(Inputs!$B$40&lt;&gt;"pvp",Inputs!$B$43&gt;0),(((R776-1)*(Skills!S4*(1+(Inputs!$B$36+IF(Inputs!$B$3&gt;=117,F797,0))/100))+MIN((Skills!S4*(1+(Inputs!$B$36+IF(Inputs!$B$3&gt;=117,F797,0))/100)),MAX(0,Inputs!$B$43-((R776-1)*Skills!D4))))/Inputs!$B$43),IF(Inputs!$B$40="pvp",MIN((Skills!S4*(1+(Inputs!$B$36+IF(Inputs!$B$3&gt;=117,F797,0))/100)),15)/15,(Skills!S4*(1+(Inputs!$B$36+IF(Inputs!$B$3&gt;=117,F797,0))/100))/Skills!D4)),0)+IF(C777=TRUE,F777*IF(AND(Inputs!$B$40&lt;&gt;"pvp",Inputs!$B$43&gt;0),(((R777-1)*(Skills!S5*(1+(Inputs!$B$36+IF(Inputs!$B$3&gt;=117,F797,0))/100))+MIN((Skills!S5*(1+(Inputs!$B$36+IF(Inputs!$B$3&gt;=117,F797,0))/100)),MAX(0,Inputs!$B$43-((R777-1)*Skills!D5))))/Inputs!$B$43),IF(Inputs!$B$40="pvp",MIN((Skills!S5*(1+(Inputs!$B$36+IF(Inputs!$B$3&gt;=117,F797,0))/100)),15)/15,(Skills!S5*(1+(Inputs!$B$36+IF(Inputs!$B$3&gt;=117,F797,0))/100))/Skills!D5)),0)+IF(C783=TRUE,F783*IF(AND(Inputs!$B$40&lt;&gt;"pvp",Inputs!$B$43&gt;0),(((R783-1)*(Skills!S11*(1+(Inputs!$B$36+IF(Inputs!$B$3&gt;=117,F797,0))/100))+MIN((Skills!S11*(1+(Inputs!$B$36+IF(Inputs!$B$3&gt;=117,F797,0))/100)),MAX(0,Inputs!$B$43-((R783-1)*Skills!D11))))/Inputs!$B$43),IF(Inputs!$B$40="pvp",MIN((Skills!S11*(1+(Inputs!$B$36+IF(Inputs!$B$3&gt;=117,F797,0))/100)),15)/15,(Skills!S11*(1+(Inputs!$B$36+IF(Inputs!$B$3&gt;=117,F797,0))/100))/Skills!D11)),0))/100)*IF(C785=TRUE,(1+F785*IF(AND(Inputs!$B$40&lt;&gt;"pvp",Inputs!$B$43&gt;0),(((R785-1)*(Skills!S13*(1+(Inputs!$B$36+IF(Inputs!$B$3&gt;=117,F797,0))/100))+MIN((Skills!S13*(1+(Inputs!$B$36+IF(Inputs!$B$3&gt;=117,F797,0))/100)),MAX(0,Inputs!$B$43-((R785-1)*Skills!D13))))/Inputs!$B$43),IF(Inputs!$B$40="pvp",MIN((Skills!S13*(1+(Inputs!$B$36+IF(Inputs!$B$3&gt;=117,F797,0))/100)),15)/15,(Skills!S13*(1+(Inputs!$B$36+IF(Inputs!$B$3&gt;=117,F797,0))/100))/Skills!D13))/100),1)*IF(C790=TRUE,(1+F790*IF(AND(Inputs!$B$40&lt;&gt;"pvp",Inputs!$B$43&gt;0),(((R790-1)*(Skills!S18*(1+(Inputs!$B$36+IF(Inputs!$B$3&gt;=117,F797,0))/100))+MIN((Skills!S18*(1+(Inputs!$B$36+IF(Inputs!$B$3&gt;=117,F797,0))/100)),MAX(0,Inputs!$B$43-((R790-1)*Skills!D18))))/Inputs!$B$43),IF(Inputs!$B$40="pvp",MIN((Skills!S18*(1+(Inputs!$B$36+IF(Inputs!$B$3&gt;=117,F797,0))/100)),15)/15,(Skills!S18*(1+(Inputs!$B$36+IF(Inputs!$B$3&gt;=117,F797,0))/100))/Skills!D18))/100),1)</f>
        <v/>
      </c>
    </row>
    <row r="801">
      <c r="A801" t="inlineStr">
        <is>
          <t>Monster Damage Taken Bonus % (Holy Fountain)</t>
        </is>
      </c>
      <c r="B801">
        <f>IF(Inputs!$B$3&gt;=68,20*IF(Inputs!$B$40="pvp",MIN((15*(1+(Inputs!$B$36+IF(Inputs!$B$3&gt;=117,F797,0))/100)),15)/15,(15*(1+(Inputs!$B$36+IF(Inputs!$B$3&gt;=117,F797,0))/100))/Skills!D10),0)</f>
        <v/>
      </c>
    </row>
    <row r="802">
      <c r="A802" t="inlineStr">
        <is>
          <t>Normal Monster Damage Bonus % (Holy Symbol)</t>
        </is>
      </c>
      <c r="B802">
        <f>IF(C784=TRUE,F784*IF(AND(Inputs!$B$40&lt;&gt;"pvp",Inputs!$B$43&gt;0),(((R784-1)*(Skills!S12*(1+(Inputs!$B$36+IF(Inputs!$B$3&gt;=117,F797,0))/100))+MIN((Skills!S12*(1+(Inputs!$B$36+IF(Inputs!$B$3&gt;=117,F797,0))/100)),MAX(0,Inputs!$B$43-((R784-1)*Skills!D12))))/Inputs!$B$43),IF(Inputs!$B$40="pvp",MIN((Skills!S12*(1+(Inputs!$B$36+IF(Inputs!$B$3&gt;=117,F797,0))/100)),15)/15,(Skills!S12*(1+(Inputs!$B$36+IF(Inputs!$B$3&gt;=117,F797,0))/100))/Skills!D12)),0)</f>
        <v/>
      </c>
    </row>
    <row r="803">
      <c r="A803" t="inlineStr">
        <is>
          <t>Damage % Bonus (Holy Symbol - Damage Boost)</t>
        </is>
      </c>
      <c r="B803">
        <f>Skills!O12</f>
        <v/>
      </c>
    </row>
    <row r="804">
      <c r="A804" t="inlineStr">
        <is>
          <t>Crit Damage % Bonus (Blood of the Divine)</t>
        </is>
      </c>
      <c r="B804">
        <f>4*IF(C791=TRUE,F791,0)</f>
        <v/>
      </c>
    </row>
    <row r="805">
      <c r="A805" t="inlineStr">
        <is>
          <t>Attack Speed Bonus %</t>
        </is>
      </c>
      <c r="B805">
        <f>IF(C788=TRUE,F788+(F792-Calc!F20),0)+IF(Inputs!$B$3&gt;=134,15,0)</f>
        <v/>
      </c>
    </row>
    <row r="806">
      <c r="A806" t="inlineStr">
        <is>
          <t>Actions Per Second</t>
        </is>
      </c>
      <c r="B806">
        <f>1+MIN(150,150*(1-(1-Inputs!$B$13/150)*(1-B805/150)))/100</f>
        <v/>
      </c>
    </row>
    <row r="807">
      <c r="A807" t="inlineStr">
        <is>
          <t>Skill + Buff Cast Rate</t>
        </is>
      </c>
      <c r="B807">
        <f>IF(AND(Inputs!$B$40&lt;&gt;"pvp",Inputs!$B$43&gt;0),SUMPRODUCT((Skills!E2:E26=TRUE)*(C774:C798=TRUE)*R774:R798)/Inputs!$B$43,SUMPRODUCT((Skills!E2:E26=TRUE)*(C774:C798=TRUE)*Q774:Q798))</f>
        <v/>
      </c>
    </row>
    <row r="808">
      <c r="A808" t="inlineStr">
        <is>
          <t>Big Bang Casts Per Second</t>
        </is>
      </c>
      <c r="B808">
        <f>MAX(0,B806-B807)</f>
        <v/>
      </c>
    </row>
    <row r="810">
      <c r="A810" s="5" t="inlineStr">
        <is>
          <t>TOTAL DPS</t>
        </is>
      </c>
      <c r="B810" s="5">
        <f>SUM(O774:O798)</f>
        <v/>
      </c>
    </row>
    <row r="813">
      <c r="A813" s="5" t="inlineStr">
        <is>
          <t>Stat: Skill Level Bonus — 3rd Job</t>
        </is>
      </c>
    </row>
    <row r="814">
      <c r="A814" s="9" t="inlineStr">
        <is>
          <t>Key</t>
        </is>
      </c>
      <c r="B814" s="9" t="inlineStr">
        <is>
          <t>Name</t>
        </is>
      </c>
      <c r="C814" s="9" t="inlineStr">
        <is>
          <t>Unlocked</t>
        </is>
      </c>
      <c r="D814" s="9" t="inlineStr">
        <is>
          <t>InputLevel</t>
        </is>
      </c>
      <c r="E814" s="9" t="inlineStr">
        <is>
          <t>Factor</t>
        </is>
      </c>
      <c r="F814" s="9" t="inlineStr">
        <is>
          <t>CoefficientPercent</t>
        </is>
      </c>
      <c r="G814" s="9" t="inlineStr">
        <is>
          <t>EffectiveHits</t>
        </is>
      </c>
      <c r="H814" s="9" t="inlineStr">
        <is>
          <t>ProcProbability</t>
        </is>
      </c>
      <c r="I814" s="9" t="inlineStr">
        <is>
          <t>MapleHeroMultiplier</t>
        </is>
      </c>
      <c r="J814" s="9" t="inlineStr">
        <is>
          <t>BaseDamage</t>
        </is>
      </c>
      <c r="K814" s="9" t="inlineStr">
        <is>
          <t>BaseHitDamage</t>
        </is>
      </c>
      <c r="L814" s="9" t="inlineStr">
        <is>
          <t>NonCritAvg</t>
        </is>
      </c>
      <c r="M814" s="9" t="inlineStr">
        <is>
          <t>CritAvg</t>
        </is>
      </c>
      <c r="N814" s="9" t="inlineStr">
        <is>
          <t>ExpectedDamage(perHit)</t>
        </is>
      </c>
      <c r="O814" s="9" t="inlineStr">
        <is>
          <t>DPS</t>
        </is>
      </c>
      <c r="P814" s="9" t="inlineStr">
        <is>
          <t>% of Total</t>
        </is>
      </c>
      <c r="R814" t="inlineStr">
        <is>
          <t>helpers</t>
        </is>
      </c>
    </row>
    <row r="815">
      <c r="A815">
        <f>Skills!A2</f>
        <v/>
      </c>
      <c r="B815">
        <f>Skills!B2</f>
        <v/>
      </c>
      <c r="C815">
        <f>Inputs!$B$3&gt;=100</f>
        <v/>
      </c>
      <c r="D815" t="inlineStr"/>
      <c r="E815" t="inlineStr"/>
      <c r="F815">
        <f>T817+Skills!N2</f>
        <v/>
      </c>
      <c r="G815">
        <f>Calc!G2</f>
        <v/>
      </c>
      <c r="H815">
        <f>Calc!H2</f>
        <v/>
      </c>
      <c r="I815">
        <f>IF(Skills!T2&lt;&gt;"",1+(Skills!T2/10)*($Z$3/1000)/100,1)</f>
        <v/>
      </c>
      <c r="J815">
        <f>(Inputs!$B$7*(1+Inputs!$B$8/100))*(F815/100)</f>
        <v/>
      </c>
      <c r="K815">
        <f>J815*(1+(((Inputs!$B$14+IF(Inputs!$B$3&gt;=35,0.10*(Inputs!$B$9*(1+Inputs!$B$10/100)),0))*(1+Inputs!$B$15/100))*0.01+Inputs!$B$16*0.0025)/100)*(1+(Inputs!$B$17+B844)/100)*(1+IF(Inputs!$B$40="pvp",0,(1-Summary!$B$48)*(Inputs!$B$22+Skills!O2+B842)+Summary!$B$48*(Inputs!$B$23+Skills!P2+B843))/100)*(1+Inputs!$B$18/100)*(5000/(6000+Inputs!$B$42*(1-Inputs!$B$21/100)))*(1+Inputs!$B$26/100)*(1+IF(C830=TRUE,F830,0)/100)*(1+IF(C832=TRUE,F832,0)/100)*(1+IF(Skills!A2="TRIUMPH_FEATHER",IF(C828=TRUE,F828,0),0)/100)*(1+IF(C839=TRUE,F839,0)/100)^5*(1+(IF(Skills!A2="BIG_BANG",Inputs!$B$19,Inputs!$B$20))/100)*(B841*I815)</f>
        <v/>
      </c>
      <c r="L815">
        <f>K815*(MIN(Inputs!$B$24+(F834-Calc!F21),Inputs!$B$25)/100+Inputs!$B$25/100)/2</f>
        <v/>
      </c>
      <c r="M815">
        <f>L815*(1+(Inputs!$B$12+B845+(F837-Calc!F24))/100)</f>
        <v/>
      </c>
      <c r="N815">
        <f>L815*(1-MIN(Inputs!$B$11+((F836-Calc!F23)+(F835-Calc!F22)),100)/100)+M815*(MIN(Inputs!$B$11+((F836-Calc!F23)+(F835-Calc!F22)),100)/100)</f>
        <v/>
      </c>
      <c r="O815">
        <f>IF(C815,Skills!F2*N815*B849*IF(Inputs!$B$40="pvp",1,(1-Summary!$B$48)*(1)+Summary!$B$48*(MIN((6+Inputs!$B$35),Inputs!$B$39))),0)</f>
        <v/>
      </c>
      <c r="P815">
        <f>IF(B851=0,0,O815/B851)</f>
        <v/>
      </c>
      <c r="Q815">
        <f>IFERROR(1/IF(Inputs!$B$40="pvp",15,MAX(0.1,Skills!D2-IF(Skills!E2=TRUE,Inputs!$B$34,0))),0)</f>
        <v/>
      </c>
      <c r="R815" t="n">
        <v>0</v>
      </c>
      <c r="T815">
        <f>MAX(0,(Inputs!$B$3-100)*3)+Inputs!$B$30+Inputs!$B$31</f>
        <v/>
      </c>
    </row>
    <row r="816">
      <c r="A816">
        <f>Skills!A3</f>
        <v/>
      </c>
      <c r="B816">
        <f>Skills!B3</f>
        <v/>
      </c>
      <c r="C816">
        <f>Inputs!$B$3&gt;=15</f>
        <v/>
      </c>
      <c r="D816">
        <f>IF(Skills!C3=1,60+Inputs!$B$27+Inputs!$B$31,IF(Skills!C3=2,90+Inputs!$B$28+Inputs!$B$31,IF(Skills!C3=3,120+(Inputs!$B$29+1)+Inputs!$B$31,MAX(0,(Inputs!$B$3-100)*3)+Inputs!$B$30+Inputs!$B$31)))</f>
        <v/>
      </c>
      <c r="E816">
        <f>INDEX(FactorTable!$B$2:$Y$301, MATCH(ROUND(MIN(300,MAX(1,D816)),0), FactorTable!$A$2:$A$301,0), Skills!L3+1)</f>
        <v/>
      </c>
      <c r="F816">
        <f>IF(Skills!M3=TRUE,(Skills!K3/10)*(E816/1000),Skills!K3/10)+Skills!N3</f>
        <v/>
      </c>
      <c r="G816">
        <f>Calc!G3</f>
        <v/>
      </c>
      <c r="H816">
        <f>Calc!H3</f>
        <v/>
      </c>
      <c r="I816">
        <f>IF(Skills!T3&lt;&gt;"",1+(Skills!T3/10)*($Z$3/1000)/100,1)</f>
        <v/>
      </c>
      <c r="J816" t="inlineStr"/>
      <c r="K816" t="inlineStr"/>
      <c r="L816" t="inlineStr"/>
      <c r="M816" t="inlineStr"/>
      <c r="N816" t="inlineStr"/>
      <c r="O816" t="n">
        <v>0</v>
      </c>
      <c r="P816">
        <f>IF(B851=0,0,O816/B851)</f>
        <v/>
      </c>
      <c r="Q816">
        <f>IFERROR(1/IF(Inputs!$B$40="pvp",15,MAX(0.1,Skills!D3-IF(Skills!E3=TRUE,Inputs!$B$34,0))),0)</f>
        <v/>
      </c>
      <c r="R816">
        <f>IF(AND(Inputs!$B$40&lt;&gt;"pvp",Inputs!$B$43&gt;0),(INT(Inputs!$B$43/IF(Inputs!$B$40="pvp",15,MAX(0.1,Skills!D3-IF(Skills!E3=TRUE,Inputs!$B$34,0))))+1),0)</f>
        <v/>
      </c>
      <c r="T816">
        <f>INDEX(FactorTable!$B$2:$Y$301, MATCH(ROUND(MIN(300,MAX(1,T815)),0), FactorTable!$A$2:$A$301,0), 22)</f>
        <v/>
      </c>
    </row>
    <row r="817">
      <c r="A817">
        <f>Skills!A4</f>
        <v/>
      </c>
      <c r="B817">
        <f>Skills!B4</f>
        <v/>
      </c>
      <c r="C817">
        <f>Inputs!$B$3&gt;=38</f>
        <v/>
      </c>
      <c r="D817">
        <f>IF(Skills!C4=1,60+Inputs!$B$27+Inputs!$B$31,IF(Skills!C4=2,90+Inputs!$B$28+Inputs!$B$31,IF(Skills!C4=3,120+(Inputs!$B$29+1)+Inputs!$B$31,MAX(0,(Inputs!$B$3-100)*3)+Inputs!$B$30+Inputs!$B$31)))</f>
        <v/>
      </c>
      <c r="E817">
        <f>INDEX(FactorTable!$B$2:$Y$301, MATCH(ROUND(MIN(300,MAX(1,D817)),0), FactorTable!$A$2:$A$301,0), Skills!L4+1)</f>
        <v/>
      </c>
      <c r="F817">
        <f>IF(Skills!M4=TRUE,(Skills!K4/10)*(E817/1000),Skills!K4/10)+Skills!N4</f>
        <v/>
      </c>
      <c r="G817">
        <f>Calc!G4</f>
        <v/>
      </c>
      <c r="H817">
        <f>Calc!H4</f>
        <v/>
      </c>
      <c r="I817">
        <f>IF(Skills!T4&lt;&gt;"",1+(Skills!T4/10)*($Z$3/1000)/100,1)</f>
        <v/>
      </c>
      <c r="J817" t="inlineStr"/>
      <c r="K817" t="inlineStr"/>
      <c r="L817" t="inlineStr"/>
      <c r="M817" t="inlineStr"/>
      <c r="N817" t="inlineStr"/>
      <c r="O817" t="n">
        <v>0</v>
      </c>
      <c r="P817">
        <f>IF(B851=0,0,O817/B851)</f>
        <v/>
      </c>
      <c r="Q817">
        <f>IFERROR(1/IF(Inputs!$B$40="pvp",15,MAX(0.1,Skills!D4-IF(Skills!E4=TRUE,Inputs!$B$34,0))),0)</f>
        <v/>
      </c>
      <c r="R817">
        <f>IF(AND(Inputs!$B$40&lt;&gt;"pvp",Inputs!$B$43&gt;0),(INT(Inputs!$B$43/IF(Inputs!$B$40="pvp",15,MAX(0.1,Skills!D4-IF(Skills!E4=TRUE,Inputs!$B$34,0))))+1),0)</f>
        <v/>
      </c>
      <c r="T817">
        <f>290*T816/1000</f>
        <v/>
      </c>
    </row>
    <row r="818">
      <c r="A818">
        <f>Skills!A5</f>
        <v/>
      </c>
      <c r="B818">
        <f>Skills!B5</f>
        <v/>
      </c>
      <c r="C818">
        <f>Inputs!$B$3&gt;=40</f>
        <v/>
      </c>
      <c r="D818">
        <f>IF(Skills!C5=1,60+Inputs!$B$27+Inputs!$B$31,IF(Skills!C5=2,90+Inputs!$B$28+Inputs!$B$31,IF(Skills!C5=3,120+(Inputs!$B$29+1)+Inputs!$B$31,MAX(0,(Inputs!$B$3-100)*3)+Inputs!$B$30+Inputs!$B$31)))</f>
        <v/>
      </c>
      <c r="E818">
        <f>INDEX(FactorTable!$B$2:$Y$301, MATCH(ROUND(MIN(300,MAX(1,D818)),0), FactorTable!$A$2:$A$301,0), Skills!L5+1)</f>
        <v/>
      </c>
      <c r="F818">
        <f>IF(Skills!M5=TRUE,(Skills!K5/10)*(E818/1000),Skills!K5/10)+Skills!N5</f>
        <v/>
      </c>
      <c r="G818">
        <f>Calc!G5</f>
        <v/>
      </c>
      <c r="H818">
        <f>Calc!H5</f>
        <v/>
      </c>
      <c r="I818">
        <f>IF(Skills!T5&lt;&gt;"",1+(Skills!T5/10)*($Z$3/1000)/100,1)</f>
        <v/>
      </c>
      <c r="J818" t="inlineStr"/>
      <c r="K818" t="inlineStr"/>
      <c r="L818" t="inlineStr"/>
      <c r="M818" t="inlineStr"/>
      <c r="N818" t="inlineStr"/>
      <c r="O818" t="n">
        <v>0</v>
      </c>
      <c r="P818">
        <f>IF(B851=0,0,O818/B851)</f>
        <v/>
      </c>
      <c r="Q818">
        <f>IFERROR(1/IF(Inputs!$B$40="pvp",15,MAX(0.1,Skills!D5-IF(Skills!E5=TRUE,Inputs!$B$34,0))),0)</f>
        <v/>
      </c>
      <c r="R818">
        <f>IF(AND(Inputs!$B$40&lt;&gt;"pvp",Inputs!$B$43&gt;0),(INT(Inputs!$B$43/IF(Inputs!$B$40="pvp",15,MAX(0.1,Skills!D5-IF(Skills!E5=TRUE,Inputs!$B$34,0))))+1),0)</f>
        <v/>
      </c>
    </row>
    <row r="819">
      <c r="A819">
        <f>Skills!A6</f>
        <v/>
      </c>
      <c r="B819">
        <f>Skills!B6</f>
        <v/>
      </c>
      <c r="C819">
        <f>Inputs!$B$3&gt;=103</f>
        <v/>
      </c>
      <c r="D819">
        <f>IF(Skills!C6=1,60+Inputs!$B$27+Inputs!$B$31,IF(Skills!C6=2,90+Inputs!$B$28+Inputs!$B$31,IF(Skills!C6=3,120+(Inputs!$B$29+1)+Inputs!$B$31,MAX(0,(Inputs!$B$3-100)*3)+Inputs!$B$30+Inputs!$B$31)))</f>
        <v/>
      </c>
      <c r="E819">
        <f>INDEX(FactorTable!$B$2:$Y$301, MATCH(ROUND(MIN(300,MAX(1,D819)),0), FactorTable!$A$2:$A$301,0), Skills!L6+1)</f>
        <v/>
      </c>
      <c r="F819">
        <f>IF(Skills!M6=TRUE,(Skills!K6/10)*(E819/1000),Skills!K6/10)+Skills!N6</f>
        <v/>
      </c>
      <c r="G819">
        <f>Calc!G6</f>
        <v/>
      </c>
      <c r="H819">
        <f>Calc!H6</f>
        <v/>
      </c>
      <c r="I819">
        <f>IF(Skills!T6&lt;&gt;"",1+(Skills!T6/10)*($Z$3/1000)/100,1)</f>
        <v/>
      </c>
      <c r="J819">
        <f>(Inputs!$B$7*(1+Inputs!$B$8/100))*(F819/100)</f>
        <v/>
      </c>
      <c r="K819">
        <f>J819*(1+(((Inputs!$B$14+IF(Inputs!$B$3&gt;=35,0.10*(Inputs!$B$9*(1+Inputs!$B$10/100)),0))*(1+Inputs!$B$15/100))*0.01+Inputs!$B$16*0.0025)/100)*(1+(Inputs!$B$17+B844)/100)*(1+IF(Inputs!$B$40="pvp",0,(1-Summary!$B$48)*(Inputs!$B$22+Skills!O6+B842)+Summary!$B$48*(Inputs!$B$23+Skills!P6+B843))/100)*(1+Inputs!$B$18/100)*(5000/(6000+Inputs!$B$42*(1-Inputs!$B$21/100)))*(1+Inputs!$B$26/100)*(1+IF(C830=TRUE,F830,0)/100)*(1+IF(C832=TRUE,F832,0)/100)*(1+IF(Skills!A6="TRIUMPH_FEATHER",IF(C828=TRUE,F828,0),0)/100)*(1+IF(C839=TRUE,F839,0)/100)^5*(1+(IF(Skills!A6="BIG_BANG",Inputs!$B$19,Inputs!$B$20))/100)*(B841*I819)</f>
        <v/>
      </c>
      <c r="L819">
        <f>K819*(MIN(Inputs!$B$24+(F834-Calc!F21),Inputs!$B$25)/100+Inputs!$B$25/100)/2</f>
        <v/>
      </c>
      <c r="M819">
        <f>L819*(1+(Inputs!$B$12+B845+(F837-Calc!F24))/100)</f>
        <v/>
      </c>
      <c r="N819">
        <f>L819*(1-MIN(Inputs!$B$11+((F836-Calc!F23)+(F835-Calc!F22)),100)/100)+M819*(MIN(Inputs!$B$11+((F836-Calc!F23)+(F835-Calc!F22)),100)/100)</f>
        <v/>
      </c>
      <c r="O819">
        <f>IF(C819,H819*N819*IF(AND(Inputs!$B$40&lt;&gt;"pvp",Inputs!$B$43&gt;0),((Skills!F6*((R819-1)*IF(Skills!G6&gt;0,Skills!H6/Skills!G6,1)+IF(Skills!G6&gt;0,MIN(Skills!H6,MAX(0,Inputs!$B$43-((R819-1)*IF(Inputs!$B$40="pvp",15,MAX(0.1,Skills!D6-IF(Skills!E6=TRUE,Inputs!$B$34,0))))))/Skills!G6,1)))/Inputs!$B$43),G819*Q819)*IF(Inputs!$B$40="pvp",1,(1-Summary!$B$48)*(1)+Summary!$B$48*(MIN(Skills!Q6,Inputs!$B$39))),0)</f>
        <v/>
      </c>
      <c r="P819">
        <f>IF(B851=0,0,O819/B851)</f>
        <v/>
      </c>
      <c r="Q819">
        <f>IFERROR(1/IF(Inputs!$B$40="pvp",15,MAX(0.1,Skills!D6-IF(Skills!E6=TRUE,Inputs!$B$34,0))),0)</f>
        <v/>
      </c>
      <c r="R819">
        <f>IF(AND(Inputs!$B$40&lt;&gt;"pvp",Inputs!$B$43&gt;0),(INT(Inputs!$B$43/IF(Inputs!$B$40="pvp",15,MAX(0.1,Skills!D6-IF(Skills!E6=TRUE,Inputs!$B$34,0))))+1),0)</f>
        <v/>
      </c>
    </row>
    <row r="820">
      <c r="A820">
        <f>Skills!A7</f>
        <v/>
      </c>
      <c r="B820">
        <f>Skills!B7</f>
        <v/>
      </c>
      <c r="C820">
        <f>Inputs!$B$3&gt;=122</f>
        <v/>
      </c>
      <c r="D820">
        <f>IF(Skills!C7=1,60+Inputs!$B$27+Inputs!$B$31,IF(Skills!C7=2,90+Inputs!$B$28+Inputs!$B$31,IF(Skills!C7=3,120+(Inputs!$B$29+1)+Inputs!$B$31,MAX(0,(Inputs!$B$3-100)*3)+Inputs!$B$30+Inputs!$B$31)))</f>
        <v/>
      </c>
      <c r="E820">
        <f>INDEX(FactorTable!$B$2:$Y$301, MATCH(ROUND(MIN(300,MAX(1,D820)),0), FactorTable!$A$2:$A$301,0), Skills!L7+1)</f>
        <v/>
      </c>
      <c r="F820">
        <f>IF(Skills!M7=TRUE,(Skills!K7/10)*(E820/1000),Skills!K7/10)+Skills!N7</f>
        <v/>
      </c>
      <c r="G820">
        <f>Calc!G7</f>
        <v/>
      </c>
      <c r="H820">
        <f>Calc!H7</f>
        <v/>
      </c>
      <c r="I820">
        <f>IF(Skills!T7&lt;&gt;"",1+(Skills!T7/10)*($Z$3/1000)/100,1)</f>
        <v/>
      </c>
      <c r="J820">
        <f>(Inputs!$B$7*(1+Inputs!$B$8/100))*(F820/100)</f>
        <v/>
      </c>
      <c r="K820">
        <f>J820*(1+(((Inputs!$B$14+IF(Inputs!$B$3&gt;=35,0.10*(Inputs!$B$9*(1+Inputs!$B$10/100)),0))*(1+Inputs!$B$15/100))*0.01+Inputs!$B$16*0.0025)/100)*(1+(Inputs!$B$17+B844)/100)*(1+IF(Inputs!$B$40="pvp",0,(1-Summary!$B$48)*(Inputs!$B$22+Skills!O7+B842)+Summary!$B$48*(Inputs!$B$23+Skills!P7+B843))/100)*(1+Inputs!$B$18/100)*(5000/(6000+Inputs!$B$42*(1-Inputs!$B$21/100)))*(1+Inputs!$B$26/100)*(1+IF(C830=TRUE,F830,0)/100)*(1+IF(C832=TRUE,F832,0)/100)*(1+IF(Skills!A7="TRIUMPH_FEATHER",IF(C828=TRUE,F828,0),0)/100)*(1+IF(C839=TRUE,F839,0)/100)^5*(1+(IF(Skills!A7="BIG_BANG",Inputs!$B$19,Inputs!$B$20))/100)*(B841*I820)</f>
        <v/>
      </c>
      <c r="L820">
        <f>K820*(MIN(Inputs!$B$24+(F834-Calc!F21),Inputs!$B$25)/100+Inputs!$B$25/100)/2</f>
        <v/>
      </c>
      <c r="M820">
        <f>L820*(1+(Inputs!$B$12+B845+(F837-Calc!F24))/100)</f>
        <v/>
      </c>
      <c r="N820">
        <f>L820*(1-MIN(Inputs!$B$11+((F836-Calc!F23)+(F835-Calc!F22)),100)/100)+M820*(MIN(Inputs!$B$11+((F836-Calc!F23)+(F835-Calc!F22)),100)/100)</f>
        <v/>
      </c>
      <c r="O820">
        <f>IF(C820,H820*N820*IF(AND(Inputs!$B$40&lt;&gt;"pvp",Inputs!$B$43&gt;0),((Skills!F7*((R820-1)*IF(Skills!G7&gt;0,Skills!H7/Skills!G7,1)+IF(Skills!G7&gt;0,MIN(Skills!H7,MAX(0,Inputs!$B$43-((R820-1)*IF(Inputs!$B$40="pvp",15,MAX(0.1,Skills!D7-IF(Skills!E6=TRUE,Inputs!$B$34,0))))))/Skills!G7,1)))/Inputs!$B$43),G820*Q820)*(1-Summary!$B$48),0)</f>
        <v/>
      </c>
      <c r="P820">
        <f>IF(B851=0,0,O820/B851)</f>
        <v/>
      </c>
      <c r="Q820">
        <f>IFERROR(1/IF(Inputs!$B$40="pvp",15,MAX(0.1,Skills!D7-IF(Skills!E6=TRUE,Inputs!$B$34,0))),0)</f>
        <v/>
      </c>
      <c r="R820">
        <f>IF(AND(Inputs!$B$40&lt;&gt;"pvp",Inputs!$B$43&gt;0),(INT(Inputs!$B$43/IF(Inputs!$B$40="pvp",15,MAX(0.1,Skills!D7-IF(Skills!E6=TRUE,Inputs!$B$34,0))))+1),0)</f>
        <v/>
      </c>
    </row>
    <row r="821">
      <c r="A821">
        <f>Skills!A8</f>
        <v/>
      </c>
      <c r="B821">
        <f>Skills!B8</f>
        <v/>
      </c>
      <c r="C821">
        <f>Inputs!$B$3&gt;=105</f>
        <v/>
      </c>
      <c r="D821">
        <f>IF(Skills!C8=1,60+Inputs!$B$27+Inputs!$B$31,IF(Skills!C8=2,90+Inputs!$B$28+Inputs!$B$31,IF(Skills!C8=3,120+(Inputs!$B$29+1)+Inputs!$B$31,MAX(0,(Inputs!$B$3-100)*3)+Inputs!$B$30+Inputs!$B$31)))</f>
        <v/>
      </c>
      <c r="E821">
        <f>INDEX(FactorTable!$B$2:$Y$301, MATCH(ROUND(MIN(300,MAX(1,D821)),0), FactorTable!$A$2:$A$301,0), Skills!L8+1)</f>
        <v/>
      </c>
      <c r="F821">
        <f>IF(Skills!M8=TRUE,(Skills!K8/10)*(E821/1000),Skills!K8/10)+Skills!N8</f>
        <v/>
      </c>
      <c r="G821">
        <f>Calc!G8</f>
        <v/>
      </c>
      <c r="H821">
        <f>Calc!H8</f>
        <v/>
      </c>
      <c r="I821">
        <f>IF(Skills!T8&lt;&gt;"",1+(Skills!T8/10)*($Z$3/1000)/100,1)</f>
        <v/>
      </c>
      <c r="J821">
        <f>(Inputs!$B$7*(1+Inputs!$B$8/100))*(F821/100)</f>
        <v/>
      </c>
      <c r="K821">
        <f>J821*(1+(((Inputs!$B$14+IF(Inputs!$B$3&gt;=35,0.10*(Inputs!$B$9*(1+Inputs!$B$10/100)),0))*(1+Inputs!$B$15/100))*0.01+Inputs!$B$16*0.0025)/100)*(1+(Inputs!$B$17+B844)/100)*(1+IF(Inputs!$B$40="pvp",0,(1-Summary!$B$48)*(Inputs!$B$22+Skills!O8+B842)+Summary!$B$48*(Inputs!$B$23+Skills!P8+B843))/100)*(1+Inputs!$B$18/100)*(5000/(6000+Inputs!$B$42*(1-Inputs!$B$21/100)))*(1+Inputs!$B$26/100)*(1+IF(C830=TRUE,F830,0)/100)*(1+IF(C832=TRUE,F832,0)/100)*(1+IF(Skills!A8="TRIUMPH_FEATHER",IF(C828=TRUE,F828,0),0)/100)*(1+IF(C839=TRUE,F839,0)/100)^5*(1+(IF(Skills!A8="BIG_BANG",Inputs!$B$19,Inputs!$B$20))/100)*(B841*I821)</f>
        <v/>
      </c>
      <c r="L821">
        <f>K821*(MIN(Inputs!$B$24+(F834-Calc!F21),Inputs!$B$25)/100+Inputs!$B$25/100)/2</f>
        <v/>
      </c>
      <c r="M821">
        <f>L821*(1+(Inputs!$B$12+B845+(F837-Calc!F24))/100)</f>
        <v/>
      </c>
      <c r="N821">
        <f>L821*(1-MIN(Inputs!$B$11+((F836-Calc!F23)+(F835-Calc!F22)),100)/100)+M821*(MIN(Inputs!$B$11+((F836-Calc!F23)+(F835-Calc!F22)),100)/100)</f>
        <v/>
      </c>
      <c r="O821">
        <f>IF(C821,H821*N821*IF(AND(Inputs!$B$40&lt;&gt;"pvp",Inputs!$B$43&gt;0),((Skills!F8*((R821-1)*IF(Skills!G8&gt;0,Skills!H8/Skills!G8,1)+IF(Skills!G8&gt;0,MIN(Skills!H8,MAX(0,Inputs!$B$43-((R821-1)*IF(Inputs!$B$40="pvp",15,MAX(0.1,Skills!D8-IF(Skills!E8=TRUE,Inputs!$B$34,0))))))/Skills!G8,1)))/Inputs!$B$43),G821*Q821)*IF(Inputs!$B$40="pvp",1,(1-Summary!$B$48)*(1)+Summary!$B$48*(MIN(Skills!Q8,Inputs!$B$39))),0)</f>
        <v/>
      </c>
      <c r="P821">
        <f>IF(B851=0,0,O821/B851)</f>
        <v/>
      </c>
      <c r="Q821">
        <f>IFERROR(1/IF(Inputs!$B$40="pvp",15,MAX(0.1,Skills!D8-IF(Skills!E8=TRUE,Inputs!$B$34,0))),0)</f>
        <v/>
      </c>
      <c r="R821">
        <f>IF(AND(Inputs!$B$40&lt;&gt;"pvp",Inputs!$B$43&gt;0),(INT(Inputs!$B$43/IF(Inputs!$B$40="pvp",15,MAX(0.1,Skills!D8-IF(Skills!E8=TRUE,Inputs!$B$34,0))))+1),0)</f>
        <v/>
      </c>
    </row>
    <row r="822">
      <c r="A822">
        <f>Skills!A9</f>
        <v/>
      </c>
      <c r="B822">
        <f>Skills!B9</f>
        <v/>
      </c>
      <c r="C822">
        <f>Inputs!$B$3&gt;=115</f>
        <v/>
      </c>
      <c r="D822">
        <f>IF(Skills!C9=1,60+Inputs!$B$27+Inputs!$B$31,IF(Skills!C9=2,90+Inputs!$B$28+Inputs!$B$31,IF(Skills!C9=3,120+(Inputs!$B$29+1)+Inputs!$B$31,MAX(0,(Inputs!$B$3-100)*3)+Inputs!$B$30+Inputs!$B$31)))</f>
        <v/>
      </c>
      <c r="E822">
        <f>INDEX(FactorTable!$B$2:$Y$301, MATCH(ROUND(MIN(300,MAX(1,D822)),0), FactorTable!$A$2:$A$301,0), Skills!L9+1)</f>
        <v/>
      </c>
      <c r="F822">
        <f>IF(Skills!M9=TRUE,(Skills!K9/10)*(E822/1000),Skills!K9/10)+Skills!N9</f>
        <v/>
      </c>
      <c r="G822">
        <f>Calc!G9</f>
        <v/>
      </c>
      <c r="H822">
        <f>Calc!H9</f>
        <v/>
      </c>
      <c r="I822">
        <f>IF(Skills!T9&lt;&gt;"",1+(Skills!T9/10)*($Z$3/1000)/100,1)</f>
        <v/>
      </c>
      <c r="J822">
        <f>(Inputs!$B$7*(1+Inputs!$B$8/100))*(F822/100)</f>
        <v/>
      </c>
      <c r="K822">
        <f>J822*(1+(((Inputs!$B$14+IF(Inputs!$B$3&gt;=35,0.10*(Inputs!$B$9*(1+Inputs!$B$10/100)),0))*(1+Inputs!$B$15/100))*0.01+Inputs!$B$16*0.0025)/100)*(1+(Inputs!$B$17+B844)/100)*(1+IF(Inputs!$B$40="pvp",0,(1-Summary!$B$48)*(Inputs!$B$22+Skills!O9+B842)+Summary!$B$48*(Inputs!$B$23+Skills!P9+B843))/100)*(1+Inputs!$B$18/100)*(5000/(6000+Inputs!$B$42*(1-Inputs!$B$21/100)))*(1+Inputs!$B$26/100)*(1+IF(C830=TRUE,F830,0)/100)*(1+IF(C832=TRUE,F832,0)/100)*(1+IF(Skills!A9="TRIUMPH_FEATHER",IF(C828=TRUE,F828,0),0)/100)*(1+IF(C839=TRUE,F839,0)/100)^5*(1+(IF(Skills!A9="BIG_BANG",Inputs!$B$19,Inputs!$B$20))/100)*(B841*I822)</f>
        <v/>
      </c>
      <c r="L822">
        <f>K822*(MIN(Inputs!$B$24+(F834-Calc!F21),Inputs!$B$25)/100+Inputs!$B$25/100)/2</f>
        <v/>
      </c>
      <c r="M822">
        <f>L822*(1+(Inputs!$B$12+B845+(F837-Calc!F24))/100)</f>
        <v/>
      </c>
      <c r="N822">
        <f>L822*(1-MIN(Inputs!$B$11+((F836-Calc!F23)+(F835-Calc!F22)),100)/100)+M822*(MIN(Inputs!$B$11+((F836-Calc!F23)+(F835-Calc!F22)),100)/100)</f>
        <v/>
      </c>
      <c r="O822">
        <f>IF(C822,H822*N822*IF(AND(Inputs!$B$40&lt;&gt;"pvp",Inputs!$B$43&gt;0),((Skills!F9*((R822-1)*IF(Skills!G9&gt;0,Skills!H9/Skills!G9,1)+IF(Skills!G9&gt;0,MIN(Skills!H9,MAX(0,Inputs!$B$43-((R822-1)*IF(Inputs!$B$40="pvp",15,MAX(0.1,Skills!D9-IF(Skills!E9=TRUE,Inputs!$B$34,0))))))/Skills!G9,1)))/Inputs!$B$43),G822*Q822)*IF(Inputs!$B$40="pvp",1,(1-Summary!$B$48)*(1)+Summary!$B$48*(MIN(Skills!Q9,Inputs!$B$39))),0)</f>
        <v/>
      </c>
      <c r="P822">
        <f>IF(B851=0,0,O822/B851)</f>
        <v/>
      </c>
      <c r="Q822">
        <f>IFERROR(1/IF(Inputs!$B$40="pvp",15,MAX(0.1,Skills!D9-IF(Skills!E9=TRUE,Inputs!$B$34,0))),0)</f>
        <v/>
      </c>
      <c r="R822">
        <f>IF(AND(Inputs!$B$40&lt;&gt;"pvp",Inputs!$B$43&gt;0),(INT(Inputs!$B$43/IF(Inputs!$B$40="pvp",15,MAX(0.1,Skills!D9-IF(Skills!E9=TRUE,Inputs!$B$34,0))))+1),0)</f>
        <v/>
      </c>
    </row>
    <row r="823">
      <c r="A823">
        <f>Skills!A10</f>
        <v/>
      </c>
      <c r="B823">
        <f>Skills!B10</f>
        <v/>
      </c>
      <c r="C823">
        <f>Inputs!$B$3&gt;=66</f>
        <v/>
      </c>
      <c r="D823">
        <f>IF(Skills!C10=1,60+Inputs!$B$27+Inputs!$B$31,IF(Skills!C10=2,90+Inputs!$B$28+Inputs!$B$31,IF(Skills!C10=3,120+(Inputs!$B$29+1)+Inputs!$B$31,MAX(0,(Inputs!$B$3-100)*3)+Inputs!$B$30+Inputs!$B$31)))</f>
        <v/>
      </c>
      <c r="E823">
        <f>INDEX(FactorTable!$B$2:$Y$301, MATCH(ROUND(MIN(300,MAX(1,D823)),0), FactorTable!$A$2:$A$301,0), Skills!L10+1)</f>
        <v/>
      </c>
      <c r="F823" t="n">
        <v>0</v>
      </c>
      <c r="G823">
        <f>Calc!G10</f>
        <v/>
      </c>
      <c r="H823">
        <f>Calc!H10</f>
        <v/>
      </c>
      <c r="I823">
        <f>IF(Skills!T10&lt;&gt;"",1+(Skills!T10/10)*($Z$3/1000)/100,1)</f>
        <v/>
      </c>
      <c r="J823" t="inlineStr"/>
      <c r="K823" t="inlineStr"/>
      <c r="L823" t="inlineStr"/>
      <c r="M823" t="inlineStr"/>
      <c r="N823" t="inlineStr"/>
      <c r="O823" t="n">
        <v>0</v>
      </c>
      <c r="P823">
        <f>IF(B851=0,0,O823/B851)</f>
        <v/>
      </c>
      <c r="Q823">
        <f>IFERROR(1/IF(Inputs!$B$40="pvp",15,MAX(0.1,Skills!D10-IF(Skills!E10=TRUE,Inputs!$B$34,0))),0)</f>
        <v/>
      </c>
      <c r="R823">
        <f>IF(AND(Inputs!$B$40&lt;&gt;"pvp",Inputs!$B$43&gt;0),(INT(Inputs!$B$43/IF(Inputs!$B$40="pvp",15,MAX(0.1,Skills!D10-IF(Skills!E10=TRUE,Inputs!$B$34,0))))+1),0)</f>
        <v/>
      </c>
    </row>
    <row r="824">
      <c r="A824">
        <f>Skills!A11</f>
        <v/>
      </c>
      <c r="B824">
        <f>Skills!B11</f>
        <v/>
      </c>
      <c r="C824">
        <f>Inputs!$B$3&gt;=69</f>
        <v/>
      </c>
      <c r="D824">
        <f>IF(Skills!C11=1,60+Inputs!$B$27+Inputs!$B$31,IF(Skills!C11=2,90+Inputs!$B$28+Inputs!$B$31,IF(Skills!C11=3,120+(Inputs!$B$29+1)+Inputs!$B$31,MAX(0,(Inputs!$B$3-100)*3)+Inputs!$B$30+Inputs!$B$31)))</f>
        <v/>
      </c>
      <c r="E824">
        <f>INDEX(FactorTable!$B$2:$Y$301, MATCH(ROUND(MIN(300,MAX(1,D824)),0), FactorTable!$A$2:$A$301,0), Skills!L11+1)</f>
        <v/>
      </c>
      <c r="F824">
        <f>IF(Skills!M11=TRUE,(Skills!K11/10)*(E824/1000),Skills!K11/10)+Skills!N11</f>
        <v/>
      </c>
      <c r="G824">
        <f>Calc!G11</f>
        <v/>
      </c>
      <c r="H824">
        <f>Calc!H11</f>
        <v/>
      </c>
      <c r="I824">
        <f>IF(Skills!T11&lt;&gt;"",1+(Skills!T11/10)*($Z$3/1000)/100,1)</f>
        <v/>
      </c>
      <c r="J824" t="inlineStr"/>
      <c r="K824" t="inlineStr"/>
      <c r="L824" t="inlineStr"/>
      <c r="M824" t="inlineStr"/>
      <c r="N824" t="inlineStr"/>
      <c r="O824" t="n">
        <v>0</v>
      </c>
      <c r="P824">
        <f>IF(B851=0,0,O824/B851)</f>
        <v/>
      </c>
      <c r="Q824">
        <f>IFERROR(1/IF(Inputs!$B$40="pvp",15,MAX(0.1,Skills!D11-IF(Skills!E11=TRUE,Inputs!$B$34,0))),0)</f>
        <v/>
      </c>
      <c r="R824">
        <f>IF(AND(Inputs!$B$40&lt;&gt;"pvp",Inputs!$B$43&gt;0),(INT(Inputs!$B$43/IF(Inputs!$B$40="pvp",15,MAX(0.1,Skills!D11-IF(Skills!E11=TRUE,Inputs!$B$34,0))))+1),0)</f>
        <v/>
      </c>
    </row>
    <row r="825">
      <c r="A825">
        <f>Skills!A12</f>
        <v/>
      </c>
      <c r="B825">
        <f>Skills!B12</f>
        <v/>
      </c>
      <c r="C825">
        <f>Inputs!$B$3&gt;=72</f>
        <v/>
      </c>
      <c r="D825">
        <f>IF(Skills!C12=1,60+Inputs!$B$27+Inputs!$B$31,IF(Skills!C12=2,90+Inputs!$B$28+Inputs!$B$31,IF(Skills!C12=3,120+(Inputs!$B$29+1)+Inputs!$B$31,MAX(0,(Inputs!$B$3-100)*3)+Inputs!$B$30+Inputs!$B$31)))</f>
        <v/>
      </c>
      <c r="E825">
        <f>INDEX(FactorTable!$B$2:$Y$301, MATCH(ROUND(MIN(300,MAX(1,D825)),0), FactorTable!$A$2:$A$301,0), Skills!L12+1)</f>
        <v/>
      </c>
      <c r="F825">
        <f>IF(Skills!M12=TRUE,(Skills!K12/10)*(E825/1000),Skills!K12/10)+Skills!N12</f>
        <v/>
      </c>
      <c r="G825">
        <f>Calc!G12</f>
        <v/>
      </c>
      <c r="H825">
        <f>Calc!H12</f>
        <v/>
      </c>
      <c r="I825">
        <f>IF(Skills!T12&lt;&gt;"",1+(Skills!T12/10)*($Z$3/1000)/100,1)</f>
        <v/>
      </c>
      <c r="J825" t="inlineStr"/>
      <c r="K825" t="inlineStr"/>
      <c r="L825" t="inlineStr"/>
      <c r="M825" t="inlineStr"/>
      <c r="N825" t="inlineStr"/>
      <c r="O825" t="n">
        <v>0</v>
      </c>
      <c r="P825">
        <f>IF(B851=0,0,O825/B851)</f>
        <v/>
      </c>
      <c r="Q825">
        <f>IFERROR(1/IF(Inputs!$B$40="pvp",15,MAX(0.1,Skills!D12-IF(Skills!E12=TRUE,Inputs!$B$34,0))),0)</f>
        <v/>
      </c>
      <c r="R825">
        <f>IF(AND(Inputs!$B$40&lt;&gt;"pvp",Inputs!$B$43&gt;0),(INT(Inputs!$B$43/IF(Inputs!$B$40="pvp",15,MAX(0.1,Skills!D12-IF(Skills!E12=TRUE,Inputs!$B$34,0))))+1),0)</f>
        <v/>
      </c>
    </row>
    <row r="826">
      <c r="A826">
        <f>Skills!A13</f>
        <v/>
      </c>
      <c r="B826">
        <f>Skills!B13</f>
        <v/>
      </c>
      <c r="C826">
        <f>Inputs!$B$3&gt;=107</f>
        <v/>
      </c>
      <c r="D826">
        <f>IF(Skills!C13=1,60+Inputs!$B$27+Inputs!$B$31,IF(Skills!C13=2,90+Inputs!$B$28+Inputs!$B$31,IF(Skills!C13=3,120+(Inputs!$B$29+1)+Inputs!$B$31,MAX(0,(Inputs!$B$3-100)*3)+Inputs!$B$30+Inputs!$B$31)))</f>
        <v/>
      </c>
      <c r="E826">
        <f>INDEX(FactorTable!$B$2:$Y$301, MATCH(ROUND(MIN(300,MAX(1,D826)),0), FactorTable!$A$2:$A$301,0), Skills!L13+1)</f>
        <v/>
      </c>
      <c r="F826">
        <f>IF(Skills!M13=TRUE,(Skills!K13/10)*(E826/1000),Skills!K13/10)+Skills!N13</f>
        <v/>
      </c>
      <c r="G826">
        <f>Calc!G13</f>
        <v/>
      </c>
      <c r="H826">
        <f>Calc!H13</f>
        <v/>
      </c>
      <c r="I826">
        <f>IF(Skills!T13&lt;&gt;"",1+(Skills!T13/10)*($Z$3/1000)/100,1)</f>
        <v/>
      </c>
      <c r="J826" t="inlineStr"/>
      <c r="K826" t="inlineStr"/>
      <c r="L826" t="inlineStr"/>
      <c r="M826" t="inlineStr"/>
      <c r="N826" t="inlineStr"/>
      <c r="O826" t="n">
        <v>0</v>
      </c>
      <c r="P826">
        <f>IF(B851=0,0,O826/B851)</f>
        <v/>
      </c>
      <c r="Q826">
        <f>IFERROR(1/IF(Inputs!$B$40="pvp",15,MAX(0.1,Skills!D13-IF(Skills!E13=TRUE,Inputs!$B$34,0))),0)</f>
        <v/>
      </c>
      <c r="R826">
        <f>IF(AND(Inputs!$B$40&lt;&gt;"pvp",Inputs!$B$43&gt;0),(INT(Inputs!$B$43/IF(Inputs!$B$40="pvp",15,MAX(0.1,Skills!D13-IF(Skills!E13=TRUE,Inputs!$B$34,0))))+1),0)</f>
        <v/>
      </c>
    </row>
    <row r="827">
      <c r="A827">
        <f>Skills!A14</f>
        <v/>
      </c>
      <c r="B827">
        <f>Skills!B14</f>
        <v/>
      </c>
      <c r="C827">
        <f>Inputs!$B$3&gt;=63</f>
        <v/>
      </c>
      <c r="D827">
        <f>IF(Skills!C14=1,60+Inputs!$B$27+Inputs!$B$31,IF(Skills!C14=2,90+Inputs!$B$28+Inputs!$B$31,IF(Skills!C14=3,120+(Inputs!$B$29+1)+Inputs!$B$31,MAX(0,(Inputs!$B$3-100)*3)+Inputs!$B$30+Inputs!$B$31)))</f>
        <v/>
      </c>
      <c r="E827">
        <f>INDEX(FactorTable!$B$2:$Y$301, MATCH(ROUND(MIN(300,MAX(1,D827)),0), FactorTable!$A$2:$A$301,0), Skills!L14+1)</f>
        <v/>
      </c>
      <c r="F827">
        <f>IF(Skills!M14=TRUE,(Skills!K14/10)*(E827/1000),Skills!K14/10)+Skills!N14</f>
        <v/>
      </c>
      <c r="G827">
        <f>Calc!G14</f>
        <v/>
      </c>
      <c r="H827">
        <f>Calc!H14</f>
        <v/>
      </c>
      <c r="I827">
        <f>IF(Skills!T14&lt;&gt;"",1+(Skills!T14/10)*($Z$3/1000)/100,1)</f>
        <v/>
      </c>
      <c r="J827">
        <f>(Inputs!$B$7*(1+Inputs!$B$8/100))*(F827/100)</f>
        <v/>
      </c>
      <c r="K827">
        <f>J827*(1+(((Inputs!$B$14+IF(Inputs!$B$3&gt;=35,0.10*(Inputs!$B$9*(1+Inputs!$B$10/100)),0))*(1+Inputs!$B$15/100))*0.01+Inputs!$B$16*0.0025)/100)*(1+(Inputs!$B$17+B844)/100)*(1+IF(Inputs!$B$40="pvp",0,(1-Summary!$B$48)*(Inputs!$B$22+Skills!O14+B842)+Summary!$B$48*(Inputs!$B$23+Skills!P14+B843))/100)*(1+Inputs!$B$18/100)*(5000/(6000+Inputs!$B$42*(1-Inputs!$B$21/100)))*(1+Inputs!$B$26/100)*(1+IF(C830=TRUE,F830,0)/100)*(1+IF(C832=TRUE,F832,0)/100)*(1+IF(Skills!A14="TRIUMPH_FEATHER",IF(C828=TRUE,F828,0),0)/100)*(1+IF(C839=TRUE,F839,0)/100)^5*(1+(IF(Skills!A14="BIG_BANG",Inputs!$B$19,Inputs!$B$20))/100)*(B841*I827)</f>
        <v/>
      </c>
      <c r="L827">
        <f>K827*(MIN(Inputs!$B$24+(F834-Calc!F21),Inputs!$B$25)/100+Inputs!$B$25/100)/2</f>
        <v/>
      </c>
      <c r="M827">
        <f>L827*(1+(Inputs!$B$12+B845+(F837-Calc!F24))/100)</f>
        <v/>
      </c>
      <c r="N827">
        <f>L827*(1-MIN(Inputs!$B$11+((F836-Calc!F23)+(F835-Calc!F22)),100)/100)+M827*(MIN(Inputs!$B$11+((F836-Calc!F23)+(F835-Calc!F22)),100)/100)</f>
        <v/>
      </c>
      <c r="O827">
        <f>IF(C827,Skills!F14*N827*((IF(Inputs!$B$3&gt;=78,25,15)/100*B847*10)/(1+IF(Inputs!$B$3&gt;=78,25,15)/100*B847*10))*(Skills!I14/100*B847)/(1+Skills!G14*Skills!I14/100*B847)*IF(Inputs!$B$40="pvp",1,(1-Summary!$B$48)*(1)+Summary!$B$48*(MIN(Skills!Q14,Inputs!$B$39))),0)</f>
        <v/>
      </c>
      <c r="P827">
        <f>IF(B851=0,0,O827/B851)</f>
        <v/>
      </c>
      <c r="Q827">
        <f>IFERROR(1/IF(Inputs!$B$40="pvp",15,MAX(0.1,Skills!D14-IF(Skills!E14=TRUE,Inputs!$B$34,0))),0)</f>
        <v/>
      </c>
      <c r="R827" t="n">
        <v>0</v>
      </c>
    </row>
    <row r="828">
      <c r="A828">
        <f>Skills!A15</f>
        <v/>
      </c>
      <c r="B828">
        <f>Skills!B15</f>
        <v/>
      </c>
      <c r="C828">
        <f>Inputs!$B$3&gt;=100</f>
        <v/>
      </c>
      <c r="D828">
        <f>IF(Skills!C15=1,60+Inputs!$B$27+Inputs!$B$31,IF(Skills!C15=2,90+Inputs!$B$28+Inputs!$B$31,IF(Skills!C15=3,120+(Inputs!$B$29+1)+Inputs!$B$31,MAX(0,(Inputs!$B$3-100)*3)+Inputs!$B$30+Inputs!$B$31)))</f>
        <v/>
      </c>
      <c r="E828">
        <f>INDEX(FactorTable!$B$2:$Y$301, MATCH(ROUND(MIN(300,MAX(1,D828)),0), FactorTable!$A$2:$A$301,0), Skills!L15+1)</f>
        <v/>
      </c>
      <c r="F828">
        <f>IF(Skills!M15=TRUE,(Skills!K15/10)*(E828/1000),Skills!K15/10)+Skills!N15</f>
        <v/>
      </c>
      <c r="G828">
        <f>Calc!G15</f>
        <v/>
      </c>
      <c r="H828">
        <f>Calc!H15</f>
        <v/>
      </c>
      <c r="I828">
        <f>IF(Skills!T15&lt;&gt;"",1+(Skills!T15/10)*($Z$3/1000)/100,1)</f>
        <v/>
      </c>
      <c r="J828" t="inlineStr"/>
      <c r="K828" t="inlineStr"/>
      <c r="L828" t="inlineStr"/>
      <c r="M828" t="inlineStr"/>
      <c r="N828" t="inlineStr"/>
      <c r="O828" t="n">
        <v>0</v>
      </c>
      <c r="P828">
        <f>IF(B851=0,0,O828/B851)</f>
        <v/>
      </c>
      <c r="Q828">
        <f>IFERROR(1/IF(Inputs!$B$40="pvp",15,MAX(0.1,Skills!D15-IF(Skills!E15=TRUE,Inputs!$B$34,0))),0)</f>
        <v/>
      </c>
      <c r="R828" t="n">
        <v>0</v>
      </c>
    </row>
    <row r="829">
      <c r="A829">
        <f>Skills!A16</f>
        <v/>
      </c>
      <c r="B829">
        <f>Skills!B16</f>
        <v/>
      </c>
      <c r="C829">
        <f>Inputs!$B$3&gt;=49</f>
        <v/>
      </c>
      <c r="D829">
        <f>IF(Skills!C16=1,60+Inputs!$B$27+Inputs!$B$31,IF(Skills!C16=2,90+Inputs!$B$28+Inputs!$B$31,IF(Skills!C16=3,120+(Inputs!$B$29+1)+Inputs!$B$31,MAX(0,(Inputs!$B$3-100)*3)+Inputs!$B$30+Inputs!$B$31)))</f>
        <v/>
      </c>
      <c r="E829">
        <f>INDEX(FactorTable!$B$2:$Y$301, MATCH(ROUND(MIN(300,MAX(1,D829)),0), FactorTable!$A$2:$A$301,0), Skills!L16+1)</f>
        <v/>
      </c>
      <c r="F829">
        <f>IF(Skills!M16=TRUE,(Skills!K16/10)*(E829/1000),Skills!K16/10)+Skills!N16</f>
        <v/>
      </c>
      <c r="G829">
        <f>Calc!G16</f>
        <v/>
      </c>
      <c r="H829">
        <f>Calc!H16</f>
        <v/>
      </c>
      <c r="I829">
        <f>IF(Skills!T16&lt;&gt;"",1+(Skills!T16/10)*($Z$3/1000)/100,1)</f>
        <v/>
      </c>
      <c r="J829" t="inlineStr"/>
      <c r="K829" t="inlineStr"/>
      <c r="L829" t="inlineStr"/>
      <c r="M829" t="inlineStr"/>
      <c r="N829" t="inlineStr"/>
      <c r="O829" t="n">
        <v>0</v>
      </c>
      <c r="P829">
        <f>IF(B851=0,0,O829/B851)</f>
        <v/>
      </c>
      <c r="Q829">
        <f>IFERROR(1/IF(Inputs!$B$40="pvp",15,MAX(0.1,Skills!D16-IF(Skills!E16=TRUE,Inputs!$B$34,0))),0)</f>
        <v/>
      </c>
      <c r="R829" t="n">
        <v>0</v>
      </c>
    </row>
    <row r="830">
      <c r="A830">
        <f>Skills!A17</f>
        <v/>
      </c>
      <c r="B830">
        <f>Skills!B17</f>
        <v/>
      </c>
      <c r="C830">
        <f>Inputs!$B$3&gt;=75</f>
        <v/>
      </c>
      <c r="D830">
        <f>IF(Skills!C17=1,60+Inputs!$B$27+Inputs!$B$31,IF(Skills!C17=2,90+Inputs!$B$28+Inputs!$B$31,IF(Skills!C17=3,120+(Inputs!$B$29+1)+Inputs!$B$31,MAX(0,(Inputs!$B$3-100)*3)+Inputs!$B$30+Inputs!$B$31)))</f>
        <v/>
      </c>
      <c r="E830">
        <f>INDEX(FactorTable!$B$2:$Y$301, MATCH(ROUND(MIN(300,MAX(1,D830)),0), FactorTable!$A$2:$A$301,0), Skills!L17+1)</f>
        <v/>
      </c>
      <c r="F830">
        <f>IF(Skills!M17=TRUE,(Skills!K17/10)*(E830/1000),Skills!K17/10)+Skills!N17</f>
        <v/>
      </c>
      <c r="G830">
        <f>Calc!G17</f>
        <v/>
      </c>
      <c r="H830">
        <f>Calc!H17</f>
        <v/>
      </c>
      <c r="I830">
        <f>IF(Skills!T17&lt;&gt;"",1+(Skills!T17/10)*($Z$3/1000)/100,1)</f>
        <v/>
      </c>
      <c r="J830" t="inlineStr"/>
      <c r="K830" t="inlineStr"/>
      <c r="L830" t="inlineStr"/>
      <c r="M830" t="inlineStr"/>
      <c r="N830" t="inlineStr"/>
      <c r="O830" t="n">
        <v>0</v>
      </c>
      <c r="P830">
        <f>IF(B851=0,0,O830/B851)</f>
        <v/>
      </c>
      <c r="Q830">
        <f>IFERROR(1/IF(Inputs!$B$40="pvp",15,MAX(0.1,Skills!D17-IF(Skills!E17=TRUE,Inputs!$B$34,0))),0)</f>
        <v/>
      </c>
      <c r="R830" t="n">
        <v>0</v>
      </c>
    </row>
    <row r="831">
      <c r="A831">
        <f>Skills!A18</f>
        <v/>
      </c>
      <c r="B831">
        <f>Skills!B18</f>
        <v/>
      </c>
      <c r="C831">
        <f>Inputs!$B$3&gt;=110</f>
        <v/>
      </c>
      <c r="D831">
        <f>IF(Skills!C18=1,60+Inputs!$B$27+Inputs!$B$31,IF(Skills!C18=2,90+Inputs!$B$28+Inputs!$B$31,IF(Skills!C18=3,120+(Inputs!$B$29+1)+Inputs!$B$31,MAX(0,(Inputs!$B$3-100)*3)+Inputs!$B$30+Inputs!$B$31)))</f>
        <v/>
      </c>
      <c r="E831">
        <f>INDEX(FactorTable!$B$2:$Y$301, MATCH(ROUND(MIN(300,MAX(1,D831)),0), FactorTable!$A$2:$A$301,0), Skills!L18+1)</f>
        <v/>
      </c>
      <c r="F831">
        <f>(Skills!K18/10)*(E831/1000)*64/45+Skills!N18</f>
        <v/>
      </c>
      <c r="G831">
        <f>Calc!G18</f>
        <v/>
      </c>
      <c r="H831">
        <f>Calc!H18</f>
        <v/>
      </c>
      <c r="I831">
        <f>IF(Skills!T18&lt;&gt;"",1+(Skills!T18/10)*($Z$3/1000)/100,1)</f>
        <v/>
      </c>
      <c r="J831" t="inlineStr"/>
      <c r="K831" t="inlineStr"/>
      <c r="L831" t="inlineStr"/>
      <c r="M831" t="inlineStr"/>
      <c r="N831" t="inlineStr"/>
      <c r="O831" t="n">
        <v>0</v>
      </c>
      <c r="P831">
        <f>IF(B851=0,0,O831/B851)</f>
        <v/>
      </c>
      <c r="Q831">
        <f>IFERROR(1/IF(Inputs!$B$40="pvp",15,MAX(0.1,Skills!D18-IF(Skills!E18=TRUE,Inputs!$B$34,0))),0)</f>
        <v/>
      </c>
      <c r="R831">
        <f>IF(AND(Inputs!$B$40&lt;&gt;"pvp",Inputs!$B$43&gt;0),(INT(Inputs!$B$43/IF(Inputs!$B$40="pvp",15,MAX(0.1,Skills!D18-IF(Skills!E18=TRUE,Inputs!$B$34,0))))+1),0)</f>
        <v/>
      </c>
    </row>
    <row r="832">
      <c r="A832">
        <f>Skills!A19</f>
        <v/>
      </c>
      <c r="B832">
        <f>Skills!B19</f>
        <v/>
      </c>
      <c r="C832">
        <f>Inputs!$B$3&gt;=125</f>
        <v/>
      </c>
      <c r="D832">
        <f>IF(Skills!C19=1,60+Inputs!$B$27+Inputs!$B$31,IF(Skills!C19=2,90+Inputs!$B$28+Inputs!$B$31,IF(Skills!C19=3,120+(Inputs!$B$29+1)+Inputs!$B$31,MAX(0,(Inputs!$B$3-100)*3)+Inputs!$B$30+Inputs!$B$31)))</f>
        <v/>
      </c>
      <c r="E832">
        <f>INDEX(FactorTable!$B$2:$Y$301, MATCH(ROUND(MIN(300,MAX(1,D832)),0), FactorTable!$A$2:$A$301,0), Skills!L19+1)</f>
        <v/>
      </c>
      <c r="F832">
        <f>IF(Skills!M19=TRUE,(Skills!K19/10)*(E832/1000),Skills!K19/10)+Skills!N19</f>
        <v/>
      </c>
      <c r="G832">
        <f>Calc!G19</f>
        <v/>
      </c>
      <c r="H832">
        <f>Calc!H19</f>
        <v/>
      </c>
      <c r="I832">
        <f>IF(Skills!T19&lt;&gt;"",1+(Skills!T19/10)*($Z$3/1000)/100,1)</f>
        <v/>
      </c>
      <c r="J832" t="inlineStr"/>
      <c r="K832" t="inlineStr"/>
      <c r="L832" t="inlineStr"/>
      <c r="M832" t="inlineStr"/>
      <c r="N832" t="inlineStr"/>
      <c r="O832" t="n">
        <v>0</v>
      </c>
      <c r="P832">
        <f>IF(B851=0,0,O832/B851)</f>
        <v/>
      </c>
      <c r="Q832">
        <f>IFERROR(1/IF(Inputs!$B$40="pvp",15,MAX(0.1,Skills!D19-IF(Skills!E19=TRUE,Inputs!$B$34,0))),0)</f>
        <v/>
      </c>
      <c r="R832" t="n">
        <v>0</v>
      </c>
    </row>
    <row r="833">
      <c r="A833">
        <f>Skills!A20</f>
        <v/>
      </c>
      <c r="B833">
        <f>Skills!B20</f>
        <v/>
      </c>
      <c r="C833">
        <f>Inputs!$B$3&gt;=33</f>
        <v/>
      </c>
      <c r="D833">
        <f>IF(Skills!C20=1,60+Inputs!$B$27+Inputs!$B$31,IF(Skills!C20=2,90+Inputs!$B$28+Inputs!$B$31,IF(Skills!C20=3,120+(Inputs!$B$29+1)+Inputs!$B$31,MAX(0,(Inputs!$B$3-100)*3)+Inputs!$B$30+Inputs!$B$31)))</f>
        <v/>
      </c>
      <c r="E833">
        <f>INDEX(FactorTable!$B$2:$Y$301, MATCH(ROUND(MIN(300,MAX(1,D833)),0), FactorTable!$A$2:$A$301,0), Skills!L20+1)</f>
        <v/>
      </c>
      <c r="F833">
        <f>IF(Skills!M20=TRUE,(Skills!K20/10)*(E833/1000),Skills!K20/10)+Skills!N20</f>
        <v/>
      </c>
      <c r="G833">
        <f>Calc!G20</f>
        <v/>
      </c>
      <c r="H833">
        <f>Calc!H20</f>
        <v/>
      </c>
      <c r="I833">
        <f>IF(Skills!T20&lt;&gt;"",1+(Skills!T20/10)*($Z$3/1000)/100,1)</f>
        <v/>
      </c>
      <c r="J833" t="inlineStr"/>
      <c r="K833" t="inlineStr"/>
      <c r="L833" t="inlineStr"/>
      <c r="M833" t="inlineStr"/>
      <c r="N833" t="inlineStr"/>
      <c r="O833" t="n">
        <v>0</v>
      </c>
      <c r="P833">
        <f>IF(B851=0,0,O833/B851)</f>
        <v/>
      </c>
      <c r="Q833">
        <f>IFERROR(1/IF(Inputs!$B$40="pvp",15,MAX(0.1,Skills!D20-IF(Skills!E20=TRUE,Inputs!$B$34,0))),0)</f>
        <v/>
      </c>
      <c r="R833" t="n">
        <v>0</v>
      </c>
    </row>
    <row r="834">
      <c r="A834">
        <f>Skills!A21</f>
        <v/>
      </c>
      <c r="B834">
        <f>Skills!B21</f>
        <v/>
      </c>
      <c r="C834">
        <f>Inputs!$B$3&gt;=43</f>
        <v/>
      </c>
      <c r="D834">
        <f>IF(Skills!C21=1,60+Inputs!$B$27+Inputs!$B$31,IF(Skills!C21=2,90+Inputs!$B$28+Inputs!$B$31,IF(Skills!C21=3,120+(Inputs!$B$29+1)+Inputs!$B$31,MAX(0,(Inputs!$B$3-100)*3)+Inputs!$B$30+Inputs!$B$31)))</f>
        <v/>
      </c>
      <c r="E834">
        <f>INDEX(FactorTable!$B$2:$Y$301, MATCH(ROUND(MIN(300,MAX(1,D834)),0), FactorTable!$A$2:$A$301,0), Skills!L21+1)</f>
        <v/>
      </c>
      <c r="F834">
        <f>IF(Skills!M21=TRUE,(Skills!K21/10)*(E834/1000),Skills!K21/10)+Skills!N21</f>
        <v/>
      </c>
      <c r="G834">
        <f>Calc!G21</f>
        <v/>
      </c>
      <c r="H834">
        <f>Calc!H21</f>
        <v/>
      </c>
      <c r="I834">
        <f>IF(Skills!T21&lt;&gt;"",1+(Skills!T21/10)*($Z$3/1000)/100,1)</f>
        <v/>
      </c>
      <c r="J834" t="inlineStr"/>
      <c r="K834" t="inlineStr"/>
      <c r="L834" t="inlineStr"/>
      <c r="M834" t="inlineStr"/>
      <c r="N834" t="inlineStr"/>
      <c r="O834" t="n">
        <v>0</v>
      </c>
      <c r="P834">
        <f>IF(B851=0,0,O834/B851)</f>
        <v/>
      </c>
      <c r="Q834">
        <f>IFERROR(1/IF(Inputs!$B$40="pvp",15,MAX(0.1,Skills!D21-IF(Skills!E21=TRUE,Inputs!$B$34,0))),0)</f>
        <v/>
      </c>
      <c r="R834" t="n">
        <v>0</v>
      </c>
    </row>
    <row r="835">
      <c r="A835">
        <f>Skills!A22</f>
        <v/>
      </c>
      <c r="B835">
        <f>Skills!B22</f>
        <v/>
      </c>
      <c r="C835">
        <f>Inputs!$B$3&gt;=50</f>
        <v/>
      </c>
      <c r="D835">
        <f>IF(Skills!C22=1,60+Inputs!$B$27+Inputs!$B$31,IF(Skills!C22=2,90+Inputs!$B$28+Inputs!$B$31,IF(Skills!C22=3,120+(Inputs!$B$29+1)+Inputs!$B$31,MAX(0,(Inputs!$B$3-100)*3)+Inputs!$B$30+Inputs!$B$31)))</f>
        <v/>
      </c>
      <c r="E835">
        <f>INDEX(FactorTable!$B$2:$Y$301, MATCH(ROUND(MIN(300,MAX(1,D835)),0), FactorTable!$A$2:$A$301,0), Skills!L22+1)</f>
        <v/>
      </c>
      <c r="F835">
        <f>IF(Skills!M22=TRUE,(Skills!K22/10)*(E835/1000),Skills!K22/10)+Skills!N22</f>
        <v/>
      </c>
      <c r="G835">
        <f>Calc!G22</f>
        <v/>
      </c>
      <c r="H835">
        <f>Calc!H22</f>
        <v/>
      </c>
      <c r="I835">
        <f>IF(Skills!T22&lt;&gt;"",1+(Skills!T22/10)*($Z$3/1000)/100,1)</f>
        <v/>
      </c>
      <c r="J835" t="inlineStr"/>
      <c r="K835" t="inlineStr"/>
      <c r="L835" t="inlineStr"/>
      <c r="M835" t="inlineStr"/>
      <c r="N835" t="inlineStr"/>
      <c r="O835" t="n">
        <v>0</v>
      </c>
      <c r="P835">
        <f>IF(B851=0,0,O835/B851)</f>
        <v/>
      </c>
      <c r="Q835">
        <f>IFERROR(1/IF(Inputs!$B$40="pvp",15,MAX(0.1,Skills!D22-IF(Skills!E22=TRUE,Inputs!$B$34,0))),0)</f>
        <v/>
      </c>
      <c r="R835" t="n">
        <v>0</v>
      </c>
    </row>
    <row r="836">
      <c r="A836">
        <f>Skills!A23</f>
        <v/>
      </c>
      <c r="B836">
        <f>Skills!B23</f>
        <v/>
      </c>
      <c r="C836">
        <f>Inputs!$B$3&gt;=74</f>
        <v/>
      </c>
      <c r="D836">
        <f>IF(Skills!C23=1,60+Inputs!$B$27+Inputs!$B$31,IF(Skills!C23=2,90+Inputs!$B$28+Inputs!$B$31,IF(Skills!C23=3,120+(Inputs!$B$29+1)+Inputs!$B$31,MAX(0,(Inputs!$B$3-100)*3)+Inputs!$B$30+Inputs!$B$31)))</f>
        <v/>
      </c>
      <c r="E836">
        <f>INDEX(FactorTable!$B$2:$Y$301, MATCH(ROUND(MIN(300,MAX(1,D836)),0), FactorTable!$A$2:$A$301,0), Skills!L23+1)</f>
        <v/>
      </c>
      <c r="F836">
        <f>IF(Skills!M23=TRUE,(Skills!K23/10)*(E836/1000),Skills!K23/10)+Skills!N23</f>
        <v/>
      </c>
      <c r="G836">
        <f>Calc!G23</f>
        <v/>
      </c>
      <c r="H836">
        <f>Calc!H23</f>
        <v/>
      </c>
      <c r="I836">
        <f>IF(Skills!T23&lt;&gt;"",1+(Skills!T23/10)*($Z$3/1000)/100,1)</f>
        <v/>
      </c>
      <c r="J836" t="inlineStr"/>
      <c r="K836" t="inlineStr"/>
      <c r="L836" t="inlineStr"/>
      <c r="M836" t="inlineStr"/>
      <c r="N836" t="inlineStr"/>
      <c r="O836" t="n">
        <v>0</v>
      </c>
      <c r="P836">
        <f>IF(B851=0,0,O836/B851)</f>
        <v/>
      </c>
      <c r="Q836">
        <f>IFERROR(1/IF(Inputs!$B$40="pvp",15,MAX(0.1,Skills!D23-IF(Skills!E23=TRUE,Inputs!$B$34,0))),0)</f>
        <v/>
      </c>
      <c r="R836" t="n">
        <v>0</v>
      </c>
    </row>
    <row r="837">
      <c r="A837">
        <f>Skills!A24</f>
        <v/>
      </c>
      <c r="B837">
        <f>Skills!B24</f>
        <v/>
      </c>
      <c r="C837">
        <f>Inputs!$B$3&gt;=74</f>
        <v/>
      </c>
      <c r="D837">
        <f>IF(Skills!C24=1,60+Inputs!$B$27+Inputs!$B$31,IF(Skills!C24=2,90+Inputs!$B$28+Inputs!$B$31,IF(Skills!C24=3,120+(Inputs!$B$29+1)+Inputs!$B$31,MAX(0,(Inputs!$B$3-100)*3)+Inputs!$B$30+Inputs!$B$31)))</f>
        <v/>
      </c>
      <c r="E837">
        <f>INDEX(FactorTable!$B$2:$Y$301, MATCH(ROUND(MIN(300,MAX(1,D837)),0), FactorTable!$A$2:$A$301,0), Skills!L24+1)</f>
        <v/>
      </c>
      <c r="F837">
        <f>IF(Skills!M24=TRUE,(Skills!K24/10)*(E837/1000),Skills!K24/10)+Skills!N24</f>
        <v/>
      </c>
      <c r="G837">
        <f>Calc!G24</f>
        <v/>
      </c>
      <c r="H837">
        <f>Calc!H24</f>
        <v/>
      </c>
      <c r="I837">
        <f>IF(Skills!T24&lt;&gt;"",1+(Skills!T24/10)*($Z$3/1000)/100,1)</f>
        <v/>
      </c>
      <c r="J837" t="inlineStr"/>
      <c r="K837" t="inlineStr"/>
      <c r="L837" t="inlineStr"/>
      <c r="M837" t="inlineStr"/>
      <c r="N837" t="inlineStr"/>
      <c r="O837" t="n">
        <v>0</v>
      </c>
      <c r="P837">
        <f>IF(B851=0,0,O837/B851)</f>
        <v/>
      </c>
      <c r="Q837">
        <f>IFERROR(1/IF(Inputs!$B$40="pvp",15,MAX(0.1,Skills!D24-IF(Skills!E24=TRUE,Inputs!$B$34,0))),0)</f>
        <v/>
      </c>
      <c r="R837" t="n">
        <v>0</v>
      </c>
    </row>
    <row r="838">
      <c r="A838">
        <f>Skills!A25</f>
        <v/>
      </c>
      <c r="B838">
        <f>Skills!B25</f>
        <v/>
      </c>
      <c r="C838">
        <f>Inputs!$B$3&gt;=117</f>
        <v/>
      </c>
      <c r="D838">
        <f>IF(Skills!C25=1,60+Inputs!$B$27+Inputs!$B$31,IF(Skills!C25=2,90+Inputs!$B$28+Inputs!$B$31,IF(Skills!C25=3,120+(Inputs!$B$29+1)+Inputs!$B$31,MAX(0,(Inputs!$B$3-100)*3)+Inputs!$B$30+Inputs!$B$31)))</f>
        <v/>
      </c>
      <c r="E838">
        <f>INDEX(FactorTable!$B$2:$Y$301, MATCH(ROUND(MIN(300,MAX(1,D838)),0), FactorTable!$A$2:$A$301,0), Skills!L25+1)</f>
        <v/>
      </c>
      <c r="F838">
        <f>IF(Skills!M25=TRUE,(Skills!K25/10)*(E838/1000),Skills!K25/10)+Skills!N25</f>
        <v/>
      </c>
      <c r="G838">
        <f>Calc!G25</f>
        <v/>
      </c>
      <c r="H838">
        <f>Calc!H25</f>
        <v/>
      </c>
      <c r="I838">
        <f>IF(Skills!T25&lt;&gt;"",1+(Skills!T25/10)*($Z$3/1000)/100,1)</f>
        <v/>
      </c>
      <c r="J838" t="inlineStr"/>
      <c r="K838" t="inlineStr"/>
      <c r="L838" t="inlineStr"/>
      <c r="M838" t="inlineStr"/>
      <c r="N838" t="inlineStr"/>
      <c r="O838" t="n">
        <v>0</v>
      </c>
      <c r="P838">
        <f>IF(B851=0,0,O838/B851)</f>
        <v/>
      </c>
      <c r="Q838">
        <f>IFERROR(1/IF(Inputs!$B$40="pvp",15,MAX(0.1,Skills!D25-IF(Skills!E25=TRUE,Inputs!$B$34,0))),0)</f>
        <v/>
      </c>
      <c r="R838" t="n">
        <v>0</v>
      </c>
    </row>
    <row r="839">
      <c r="A839">
        <f>Skills!A26</f>
        <v/>
      </c>
      <c r="B839">
        <f>Skills!B26</f>
        <v/>
      </c>
      <c r="C839">
        <f>Inputs!$B$3&gt;=120</f>
        <v/>
      </c>
      <c r="D839">
        <f>IF(Skills!C26=1,60+Inputs!$B$27+Inputs!$B$31,IF(Skills!C26=2,90+Inputs!$B$28+Inputs!$B$31,IF(Skills!C26=3,120+(Inputs!$B$29+1)+Inputs!$B$31,MAX(0,(Inputs!$B$3-100)*3)+Inputs!$B$30+Inputs!$B$31)))</f>
        <v/>
      </c>
      <c r="E839">
        <f>INDEX(FactorTable!$B$2:$Y$301, MATCH(ROUND(MIN(300,MAX(1,D839)),0), FactorTable!$A$2:$A$301,0), Skills!L26+1)</f>
        <v/>
      </c>
      <c r="F839">
        <f>IF(Skills!M26=TRUE,(Skills!K26/10)*(E839/1000),Skills!K26/10)+Skills!N26</f>
        <v/>
      </c>
      <c r="G839">
        <f>Calc!G26</f>
        <v/>
      </c>
      <c r="H839">
        <f>Calc!H26</f>
        <v/>
      </c>
      <c r="I839">
        <f>IF(Skills!T26&lt;&gt;"",1+(Skills!T26/10)*($Z$3/1000)/100,1)</f>
        <v/>
      </c>
      <c r="J839" t="inlineStr"/>
      <c r="K839" t="inlineStr"/>
      <c r="L839" t="inlineStr"/>
      <c r="M839" t="inlineStr"/>
      <c r="N839" t="inlineStr"/>
      <c r="O839" t="n">
        <v>0</v>
      </c>
      <c r="P839">
        <f>IF(B851=0,0,O839/B851)</f>
        <v/>
      </c>
      <c r="Q839">
        <f>IFERROR(1/IF(Inputs!$B$40="pvp",15,MAX(0.1,Skills!D26-IF(Skills!E26=TRUE,Inputs!$B$34,0))),0)</f>
        <v/>
      </c>
      <c r="R839" t="n">
        <v>0</v>
      </c>
    </row>
    <row r="841">
      <c r="A841" t="inlineStr">
        <is>
          <t>Average Buff Multiplier</t>
        </is>
      </c>
      <c r="B841">
        <f>(1+(IF(C816=TRUE,F816*IF(AND(Inputs!$B$40&lt;&gt;"pvp",Inputs!$B$43&gt;0),(((R816-1)*(Skills!S3*(1+(Inputs!$B$36+IF(Inputs!$B$3&gt;=117,F838,0))/100))+MIN((Skills!S3*(1+(Inputs!$B$36+IF(Inputs!$B$3&gt;=117,F838,0))/100)),MAX(0,Inputs!$B$43-((R816-1)*Skills!D3))))/Inputs!$B$43),IF(Inputs!$B$40="pvp",MIN((Skills!S3*(1+(Inputs!$B$36+IF(Inputs!$B$3&gt;=117,F838,0))/100)),15)/15,(Skills!S3*(1+(Inputs!$B$36+IF(Inputs!$B$3&gt;=117,F838,0))/100))/Skills!D3)),0)+IF(C817=TRUE,F817*IF(AND(Inputs!$B$40&lt;&gt;"pvp",Inputs!$B$43&gt;0),(((R817-1)*(Skills!S4*(1+(Inputs!$B$36+IF(Inputs!$B$3&gt;=117,F838,0))/100))+MIN((Skills!S4*(1+(Inputs!$B$36+IF(Inputs!$B$3&gt;=117,F838,0))/100)),MAX(0,Inputs!$B$43-((R817-1)*Skills!D4))))/Inputs!$B$43),IF(Inputs!$B$40="pvp",MIN((Skills!S4*(1+(Inputs!$B$36+IF(Inputs!$B$3&gt;=117,F838,0))/100)),15)/15,(Skills!S4*(1+(Inputs!$B$36+IF(Inputs!$B$3&gt;=117,F838,0))/100))/Skills!D4)),0)+IF(C818=TRUE,F818*IF(AND(Inputs!$B$40&lt;&gt;"pvp",Inputs!$B$43&gt;0),(((R818-1)*(Skills!S5*(1+(Inputs!$B$36+IF(Inputs!$B$3&gt;=117,F838,0))/100))+MIN((Skills!S5*(1+(Inputs!$B$36+IF(Inputs!$B$3&gt;=117,F838,0))/100)),MAX(0,Inputs!$B$43-((R818-1)*Skills!D5))))/Inputs!$B$43),IF(Inputs!$B$40="pvp",MIN((Skills!S5*(1+(Inputs!$B$36+IF(Inputs!$B$3&gt;=117,F838,0))/100)),15)/15,(Skills!S5*(1+(Inputs!$B$36+IF(Inputs!$B$3&gt;=117,F838,0))/100))/Skills!D5)),0)+IF(C824=TRUE,F824*IF(AND(Inputs!$B$40&lt;&gt;"pvp",Inputs!$B$43&gt;0),(((R824-1)*(Skills!S11*(1+(Inputs!$B$36+IF(Inputs!$B$3&gt;=117,F838,0))/100))+MIN((Skills!S11*(1+(Inputs!$B$36+IF(Inputs!$B$3&gt;=117,F838,0))/100)),MAX(0,Inputs!$B$43-((R824-1)*Skills!D11))))/Inputs!$B$43),IF(Inputs!$B$40="pvp",MIN((Skills!S11*(1+(Inputs!$B$36+IF(Inputs!$B$3&gt;=117,F838,0))/100)),15)/15,(Skills!S11*(1+(Inputs!$B$36+IF(Inputs!$B$3&gt;=117,F838,0))/100))/Skills!D11)),0))/100)*IF(C826=TRUE,(1+F826*IF(AND(Inputs!$B$40&lt;&gt;"pvp",Inputs!$B$43&gt;0),(((R826-1)*(Skills!S13*(1+(Inputs!$B$36+IF(Inputs!$B$3&gt;=117,F838,0))/100))+MIN((Skills!S13*(1+(Inputs!$B$36+IF(Inputs!$B$3&gt;=117,F838,0))/100)),MAX(0,Inputs!$B$43-((R826-1)*Skills!D13))))/Inputs!$B$43),IF(Inputs!$B$40="pvp",MIN((Skills!S13*(1+(Inputs!$B$36+IF(Inputs!$B$3&gt;=117,F838,0))/100)),15)/15,(Skills!S13*(1+(Inputs!$B$36+IF(Inputs!$B$3&gt;=117,F838,0))/100))/Skills!D13))/100),1)*IF(C831=TRUE,(1+F831*IF(AND(Inputs!$B$40&lt;&gt;"pvp",Inputs!$B$43&gt;0),(((R831-1)*(Skills!S18*(1+(Inputs!$B$36+IF(Inputs!$B$3&gt;=117,F838,0))/100))+MIN((Skills!S18*(1+(Inputs!$B$36+IF(Inputs!$B$3&gt;=117,F838,0))/100)),MAX(0,Inputs!$B$43-((R831-1)*Skills!D18))))/Inputs!$B$43),IF(Inputs!$B$40="pvp",MIN((Skills!S18*(1+(Inputs!$B$36+IF(Inputs!$B$3&gt;=117,F838,0))/100)),15)/15,(Skills!S18*(1+(Inputs!$B$36+IF(Inputs!$B$3&gt;=117,F838,0))/100))/Skills!D18))/100),1)</f>
        <v/>
      </c>
    </row>
    <row r="842">
      <c r="A842" t="inlineStr">
        <is>
          <t>Monster Damage Taken Bonus % (Holy Fountain)</t>
        </is>
      </c>
      <c r="B842">
        <f>IF(Inputs!$B$3&gt;=68,20*IF(Inputs!$B$40="pvp",MIN((15*(1+(Inputs!$B$36+IF(Inputs!$B$3&gt;=117,F838,0))/100)),15)/15,(15*(1+(Inputs!$B$36+IF(Inputs!$B$3&gt;=117,F838,0))/100))/Skills!D10),0)</f>
        <v/>
      </c>
    </row>
    <row r="843">
      <c r="A843" t="inlineStr">
        <is>
          <t>Normal Monster Damage Bonus % (Holy Symbol)</t>
        </is>
      </c>
      <c r="B843">
        <f>IF(C825=TRUE,F825*IF(AND(Inputs!$B$40&lt;&gt;"pvp",Inputs!$B$43&gt;0),(((R825-1)*(Skills!S12*(1+(Inputs!$B$36+IF(Inputs!$B$3&gt;=117,F838,0))/100))+MIN((Skills!S12*(1+(Inputs!$B$36+IF(Inputs!$B$3&gt;=117,F838,0))/100)),MAX(0,Inputs!$B$43-((R825-1)*Skills!D12))))/Inputs!$B$43),IF(Inputs!$B$40="pvp",MIN((Skills!S12*(1+(Inputs!$B$36+IF(Inputs!$B$3&gt;=117,F838,0))/100)),15)/15,(Skills!S12*(1+(Inputs!$B$36+IF(Inputs!$B$3&gt;=117,F838,0))/100))/Skills!D12)),0)</f>
        <v/>
      </c>
    </row>
    <row r="844">
      <c r="A844" t="inlineStr">
        <is>
          <t>Damage % Bonus (Holy Symbol - Damage Boost)</t>
        </is>
      </c>
      <c r="B844">
        <f>Skills!O12</f>
        <v/>
      </c>
    </row>
    <row r="845">
      <c r="A845" t="inlineStr">
        <is>
          <t>Crit Damage % Bonus (Blood of the Divine)</t>
        </is>
      </c>
      <c r="B845">
        <f>4*IF(C832=TRUE,F832,0)</f>
        <v/>
      </c>
    </row>
    <row r="846">
      <c r="A846" t="inlineStr">
        <is>
          <t>Attack Speed Bonus %</t>
        </is>
      </c>
      <c r="B846">
        <f>IF(C829=TRUE,F829+(F833-Calc!F20),0)+IF(Inputs!$B$3&gt;=134,15,0)</f>
        <v/>
      </c>
    </row>
    <row r="847">
      <c r="A847" t="inlineStr">
        <is>
          <t>Actions Per Second</t>
        </is>
      </c>
      <c r="B847">
        <f>1+MIN(150,150*(1-(1-Inputs!$B$13/150)*(1-B846/150)))/100</f>
        <v/>
      </c>
    </row>
    <row r="848">
      <c r="A848" t="inlineStr">
        <is>
          <t>Skill + Buff Cast Rate</t>
        </is>
      </c>
      <c r="B848">
        <f>IF(AND(Inputs!$B$40&lt;&gt;"pvp",Inputs!$B$43&gt;0),SUMPRODUCT((Skills!E2:E26=TRUE)*(C815:C839=TRUE)*R815:R839)/Inputs!$B$43,SUMPRODUCT((Skills!E2:E26=TRUE)*(C815:C839=TRUE)*Q815:Q839))</f>
        <v/>
      </c>
    </row>
    <row r="849">
      <c r="A849" t="inlineStr">
        <is>
          <t>Big Bang Casts Per Second</t>
        </is>
      </c>
      <c r="B849">
        <f>MAX(0,B847-B848)</f>
        <v/>
      </c>
    </row>
    <row r="851">
      <c r="A851" s="5" t="inlineStr">
        <is>
          <t>TOTAL DPS</t>
        </is>
      </c>
      <c r="B851" s="5">
        <f>SUM(O815:O839)</f>
        <v/>
      </c>
    </row>
    <row r="854">
      <c r="A854" s="5" t="inlineStr">
        <is>
          <t>Stat: Skill Level Bonus — 4th Job</t>
        </is>
      </c>
    </row>
    <row r="855">
      <c r="A855" s="9" t="inlineStr">
        <is>
          <t>Key</t>
        </is>
      </c>
      <c r="B855" s="9" t="inlineStr">
        <is>
          <t>Name</t>
        </is>
      </c>
      <c r="C855" s="9" t="inlineStr">
        <is>
          <t>Unlocked</t>
        </is>
      </c>
      <c r="D855" s="9" t="inlineStr">
        <is>
          <t>InputLevel</t>
        </is>
      </c>
      <c r="E855" s="9" t="inlineStr">
        <is>
          <t>Factor</t>
        </is>
      </c>
      <c r="F855" s="9" t="inlineStr">
        <is>
          <t>CoefficientPercent</t>
        </is>
      </c>
      <c r="G855" s="9" t="inlineStr">
        <is>
          <t>EffectiveHits</t>
        </is>
      </c>
      <c r="H855" s="9" t="inlineStr">
        <is>
          <t>ProcProbability</t>
        </is>
      </c>
      <c r="I855" s="9" t="inlineStr">
        <is>
          <t>MapleHeroMultiplier</t>
        </is>
      </c>
      <c r="J855" s="9" t="inlineStr">
        <is>
          <t>BaseDamage</t>
        </is>
      </c>
      <c r="K855" s="9" t="inlineStr">
        <is>
          <t>BaseHitDamage</t>
        </is>
      </c>
      <c r="L855" s="9" t="inlineStr">
        <is>
          <t>NonCritAvg</t>
        </is>
      </c>
      <c r="M855" s="9" t="inlineStr">
        <is>
          <t>CritAvg</t>
        </is>
      </c>
      <c r="N855" s="9" t="inlineStr">
        <is>
          <t>ExpectedDamage(perHit)</t>
        </is>
      </c>
      <c r="O855" s="9" t="inlineStr">
        <is>
          <t>DPS</t>
        </is>
      </c>
      <c r="P855" s="9" t="inlineStr">
        <is>
          <t>% of Total</t>
        </is>
      </c>
      <c r="R855" t="inlineStr">
        <is>
          <t>helpers</t>
        </is>
      </c>
    </row>
    <row r="856">
      <c r="A856">
        <f>Skills!A2</f>
        <v/>
      </c>
      <c r="B856">
        <f>Skills!B2</f>
        <v/>
      </c>
      <c r="C856">
        <f>Inputs!$B$3&gt;=100</f>
        <v/>
      </c>
      <c r="D856" t="inlineStr"/>
      <c r="E856" t="inlineStr"/>
      <c r="F856">
        <f>T858+Skills!N2</f>
        <v/>
      </c>
      <c r="G856">
        <f>Calc!G2</f>
        <v/>
      </c>
      <c r="H856">
        <f>Calc!H2</f>
        <v/>
      </c>
      <c r="I856">
        <f>IF(Skills!T2&lt;&gt;"",1+(Skills!T2/10)*($Z$3/1000)/100,1)</f>
        <v/>
      </c>
      <c r="J856">
        <f>(Inputs!$B$7*(1+Inputs!$B$8/100))*(F856/100)</f>
        <v/>
      </c>
      <c r="K856">
        <f>J856*(1+(((Inputs!$B$14+IF(Inputs!$B$3&gt;=35,0.10*(Inputs!$B$9*(1+Inputs!$B$10/100)),0))*(1+Inputs!$B$15/100))*0.01+Inputs!$B$16*0.0025)/100)*(1+(Inputs!$B$17+B885)/100)*(1+IF(Inputs!$B$40="pvp",0,(1-Summary!$B$48)*(Inputs!$B$22+Skills!O2+B883)+Summary!$B$48*(Inputs!$B$23+Skills!P2+B884))/100)*(1+Inputs!$B$18/100)*(5000/(6000+Inputs!$B$42*(1-Inputs!$B$21/100)))*(1+Inputs!$B$26/100)*(1+IF(C871=TRUE,F871,0)/100)*(1+IF(C873=TRUE,F873,0)/100)*(1+IF(Skills!A2="TRIUMPH_FEATHER",IF(C869=TRUE,F869,0),0)/100)*(1+IF(C880=TRUE,F880,0)/100)^5*(1+(IF(Skills!A2="BIG_BANG",Inputs!$B$19,Inputs!$B$20))/100)*(B882*I856)</f>
        <v/>
      </c>
      <c r="L856">
        <f>K856*(MIN(Inputs!$B$24+(F875-Calc!F21),Inputs!$B$25)/100+Inputs!$B$25/100)/2</f>
        <v/>
      </c>
      <c r="M856">
        <f>L856*(1+(Inputs!$B$12+B886+(F878-Calc!F24))/100)</f>
        <v/>
      </c>
      <c r="N856">
        <f>L856*(1-MIN(Inputs!$B$11+((F877-Calc!F23)+(F876-Calc!F22)),100)/100)+M856*(MIN(Inputs!$B$11+((F877-Calc!F23)+(F876-Calc!F22)),100)/100)</f>
        <v/>
      </c>
      <c r="O856">
        <f>IF(C856,Skills!F2*N856*B890*IF(Inputs!$B$40="pvp",1,(1-Summary!$B$48)*(1)+Summary!$B$48*(MIN((6+Inputs!$B$35),Inputs!$B$39))),0)</f>
        <v/>
      </c>
      <c r="P856">
        <f>IF(B892=0,0,O856/B892)</f>
        <v/>
      </c>
      <c r="Q856">
        <f>IFERROR(1/IF(Inputs!$B$40="pvp",15,MAX(0.1,Skills!D2-IF(Skills!E2=TRUE,Inputs!$B$34,0))),0)</f>
        <v/>
      </c>
      <c r="R856" t="n">
        <v>0</v>
      </c>
      <c r="T856">
        <f>MAX(0,(Inputs!$B$3-100)*3)+(Inputs!$B$30+1)+Inputs!$B$31</f>
        <v/>
      </c>
    </row>
    <row r="857">
      <c r="A857">
        <f>Skills!A3</f>
        <v/>
      </c>
      <c r="B857">
        <f>Skills!B3</f>
        <v/>
      </c>
      <c r="C857">
        <f>Inputs!$B$3&gt;=15</f>
        <v/>
      </c>
      <c r="D857">
        <f>IF(Skills!C3=1,60+Inputs!$B$27+Inputs!$B$31,IF(Skills!C3=2,90+Inputs!$B$28+Inputs!$B$31,IF(Skills!C3=3,120+Inputs!$B$29+Inputs!$B$31,MAX(0,(Inputs!$B$3-100)*3)+(Inputs!$B$30+1)+Inputs!$B$31)))</f>
        <v/>
      </c>
      <c r="E857">
        <f>INDEX(FactorTable!$B$2:$Y$301, MATCH(ROUND(MIN(300,MAX(1,D857)),0), FactorTable!$A$2:$A$301,0), Skills!L3+1)</f>
        <v/>
      </c>
      <c r="F857">
        <f>IF(Skills!M3=TRUE,(Skills!K3/10)*(E857/1000),Skills!K3/10)+Skills!N3</f>
        <v/>
      </c>
      <c r="G857">
        <f>Calc!G3</f>
        <v/>
      </c>
      <c r="H857">
        <f>Calc!H3</f>
        <v/>
      </c>
      <c r="I857">
        <f>IF(Skills!T3&lt;&gt;"",1+(Skills!T3/10)*($Z$3/1000)/100,1)</f>
        <v/>
      </c>
      <c r="J857" t="inlineStr"/>
      <c r="K857" t="inlineStr"/>
      <c r="L857" t="inlineStr"/>
      <c r="M857" t="inlineStr"/>
      <c r="N857" t="inlineStr"/>
      <c r="O857" t="n">
        <v>0</v>
      </c>
      <c r="P857">
        <f>IF(B892=0,0,O857/B892)</f>
        <v/>
      </c>
      <c r="Q857">
        <f>IFERROR(1/IF(Inputs!$B$40="pvp",15,MAX(0.1,Skills!D3-IF(Skills!E3=TRUE,Inputs!$B$34,0))),0)</f>
        <v/>
      </c>
      <c r="R857">
        <f>IF(AND(Inputs!$B$40&lt;&gt;"pvp",Inputs!$B$43&gt;0),(INT(Inputs!$B$43/IF(Inputs!$B$40="pvp",15,MAX(0.1,Skills!D3-IF(Skills!E3=TRUE,Inputs!$B$34,0))))+1),0)</f>
        <v/>
      </c>
      <c r="T857">
        <f>INDEX(FactorTable!$B$2:$Y$301, MATCH(ROUND(MIN(300,MAX(1,T856)),0), FactorTable!$A$2:$A$301,0), 22)</f>
        <v/>
      </c>
    </row>
    <row r="858">
      <c r="A858">
        <f>Skills!A4</f>
        <v/>
      </c>
      <c r="B858">
        <f>Skills!B4</f>
        <v/>
      </c>
      <c r="C858">
        <f>Inputs!$B$3&gt;=38</f>
        <v/>
      </c>
      <c r="D858">
        <f>IF(Skills!C4=1,60+Inputs!$B$27+Inputs!$B$31,IF(Skills!C4=2,90+Inputs!$B$28+Inputs!$B$31,IF(Skills!C4=3,120+Inputs!$B$29+Inputs!$B$31,MAX(0,(Inputs!$B$3-100)*3)+(Inputs!$B$30+1)+Inputs!$B$31)))</f>
        <v/>
      </c>
      <c r="E858">
        <f>INDEX(FactorTable!$B$2:$Y$301, MATCH(ROUND(MIN(300,MAX(1,D858)),0), FactorTable!$A$2:$A$301,0), Skills!L4+1)</f>
        <v/>
      </c>
      <c r="F858">
        <f>IF(Skills!M4=TRUE,(Skills!K4/10)*(E858/1000),Skills!K4/10)+Skills!N4</f>
        <v/>
      </c>
      <c r="G858">
        <f>Calc!G4</f>
        <v/>
      </c>
      <c r="H858">
        <f>Calc!H4</f>
        <v/>
      </c>
      <c r="I858">
        <f>IF(Skills!T4&lt;&gt;"",1+(Skills!T4/10)*($Z$3/1000)/100,1)</f>
        <v/>
      </c>
      <c r="J858" t="inlineStr"/>
      <c r="K858" t="inlineStr"/>
      <c r="L858" t="inlineStr"/>
      <c r="M858" t="inlineStr"/>
      <c r="N858" t="inlineStr"/>
      <c r="O858" t="n">
        <v>0</v>
      </c>
      <c r="P858">
        <f>IF(B892=0,0,O858/B892)</f>
        <v/>
      </c>
      <c r="Q858">
        <f>IFERROR(1/IF(Inputs!$B$40="pvp",15,MAX(0.1,Skills!D4-IF(Skills!E4=TRUE,Inputs!$B$34,0))),0)</f>
        <v/>
      </c>
      <c r="R858">
        <f>IF(AND(Inputs!$B$40&lt;&gt;"pvp",Inputs!$B$43&gt;0),(INT(Inputs!$B$43/IF(Inputs!$B$40="pvp",15,MAX(0.1,Skills!D4-IF(Skills!E4=TRUE,Inputs!$B$34,0))))+1),0)</f>
        <v/>
      </c>
      <c r="T858">
        <f>290*T857/1000</f>
        <v/>
      </c>
    </row>
    <row r="859">
      <c r="A859">
        <f>Skills!A5</f>
        <v/>
      </c>
      <c r="B859">
        <f>Skills!B5</f>
        <v/>
      </c>
      <c r="C859">
        <f>Inputs!$B$3&gt;=40</f>
        <v/>
      </c>
      <c r="D859">
        <f>IF(Skills!C5=1,60+Inputs!$B$27+Inputs!$B$31,IF(Skills!C5=2,90+Inputs!$B$28+Inputs!$B$31,IF(Skills!C5=3,120+Inputs!$B$29+Inputs!$B$31,MAX(0,(Inputs!$B$3-100)*3)+(Inputs!$B$30+1)+Inputs!$B$31)))</f>
        <v/>
      </c>
      <c r="E859">
        <f>INDEX(FactorTable!$B$2:$Y$301, MATCH(ROUND(MIN(300,MAX(1,D859)),0), FactorTable!$A$2:$A$301,0), Skills!L5+1)</f>
        <v/>
      </c>
      <c r="F859">
        <f>IF(Skills!M5=TRUE,(Skills!K5/10)*(E859/1000),Skills!K5/10)+Skills!N5</f>
        <v/>
      </c>
      <c r="G859">
        <f>Calc!G5</f>
        <v/>
      </c>
      <c r="H859">
        <f>Calc!H5</f>
        <v/>
      </c>
      <c r="I859">
        <f>IF(Skills!T5&lt;&gt;"",1+(Skills!T5/10)*($Z$3/1000)/100,1)</f>
        <v/>
      </c>
      <c r="J859" t="inlineStr"/>
      <c r="K859" t="inlineStr"/>
      <c r="L859" t="inlineStr"/>
      <c r="M859" t="inlineStr"/>
      <c r="N859" t="inlineStr"/>
      <c r="O859" t="n">
        <v>0</v>
      </c>
      <c r="P859">
        <f>IF(B892=0,0,O859/B892)</f>
        <v/>
      </c>
      <c r="Q859">
        <f>IFERROR(1/IF(Inputs!$B$40="pvp",15,MAX(0.1,Skills!D5-IF(Skills!E5=TRUE,Inputs!$B$34,0))),0)</f>
        <v/>
      </c>
      <c r="R859">
        <f>IF(AND(Inputs!$B$40&lt;&gt;"pvp",Inputs!$B$43&gt;0),(INT(Inputs!$B$43/IF(Inputs!$B$40="pvp",15,MAX(0.1,Skills!D5-IF(Skills!E5=TRUE,Inputs!$B$34,0))))+1),0)</f>
        <v/>
      </c>
    </row>
    <row r="860">
      <c r="A860">
        <f>Skills!A6</f>
        <v/>
      </c>
      <c r="B860">
        <f>Skills!B6</f>
        <v/>
      </c>
      <c r="C860">
        <f>Inputs!$B$3&gt;=103</f>
        <v/>
      </c>
      <c r="D860">
        <f>IF(Skills!C6=1,60+Inputs!$B$27+Inputs!$B$31,IF(Skills!C6=2,90+Inputs!$B$28+Inputs!$B$31,IF(Skills!C6=3,120+Inputs!$B$29+Inputs!$B$31,MAX(0,(Inputs!$B$3-100)*3)+(Inputs!$B$30+1)+Inputs!$B$31)))</f>
        <v/>
      </c>
      <c r="E860">
        <f>INDEX(FactorTable!$B$2:$Y$301, MATCH(ROUND(MIN(300,MAX(1,D860)),0), FactorTable!$A$2:$A$301,0), Skills!L6+1)</f>
        <v/>
      </c>
      <c r="F860">
        <f>IF(Skills!M6=TRUE,(Skills!K6/10)*(E860/1000),Skills!K6/10)+Skills!N6</f>
        <v/>
      </c>
      <c r="G860">
        <f>Calc!G6</f>
        <v/>
      </c>
      <c r="H860">
        <f>Calc!H6</f>
        <v/>
      </c>
      <c r="I860">
        <f>IF(Skills!T6&lt;&gt;"",1+(Skills!T6/10)*($Z$3/1000)/100,1)</f>
        <v/>
      </c>
      <c r="J860">
        <f>(Inputs!$B$7*(1+Inputs!$B$8/100))*(F860/100)</f>
        <v/>
      </c>
      <c r="K860">
        <f>J860*(1+(((Inputs!$B$14+IF(Inputs!$B$3&gt;=35,0.10*(Inputs!$B$9*(1+Inputs!$B$10/100)),0))*(1+Inputs!$B$15/100))*0.01+Inputs!$B$16*0.0025)/100)*(1+(Inputs!$B$17+B885)/100)*(1+IF(Inputs!$B$40="pvp",0,(1-Summary!$B$48)*(Inputs!$B$22+Skills!O6+B883)+Summary!$B$48*(Inputs!$B$23+Skills!P6+B884))/100)*(1+Inputs!$B$18/100)*(5000/(6000+Inputs!$B$42*(1-Inputs!$B$21/100)))*(1+Inputs!$B$26/100)*(1+IF(C871=TRUE,F871,0)/100)*(1+IF(C873=TRUE,F873,0)/100)*(1+IF(Skills!A6="TRIUMPH_FEATHER",IF(C869=TRUE,F869,0),0)/100)*(1+IF(C880=TRUE,F880,0)/100)^5*(1+(IF(Skills!A6="BIG_BANG",Inputs!$B$19,Inputs!$B$20))/100)*(B882*I860)</f>
        <v/>
      </c>
      <c r="L860">
        <f>K860*(MIN(Inputs!$B$24+(F875-Calc!F21),Inputs!$B$25)/100+Inputs!$B$25/100)/2</f>
        <v/>
      </c>
      <c r="M860">
        <f>L860*(1+(Inputs!$B$12+B886+(F878-Calc!F24))/100)</f>
        <v/>
      </c>
      <c r="N860">
        <f>L860*(1-MIN(Inputs!$B$11+((F877-Calc!F23)+(F876-Calc!F22)),100)/100)+M860*(MIN(Inputs!$B$11+((F877-Calc!F23)+(F876-Calc!F22)),100)/100)</f>
        <v/>
      </c>
      <c r="O860">
        <f>IF(C860,H860*N860*IF(AND(Inputs!$B$40&lt;&gt;"pvp",Inputs!$B$43&gt;0),((Skills!F6*((R860-1)*IF(Skills!G6&gt;0,Skills!H6/Skills!G6,1)+IF(Skills!G6&gt;0,MIN(Skills!H6,MAX(0,Inputs!$B$43-((R860-1)*IF(Inputs!$B$40="pvp",15,MAX(0.1,Skills!D6-IF(Skills!E6=TRUE,Inputs!$B$34,0))))))/Skills!G6,1)))/Inputs!$B$43),G860*Q860)*IF(Inputs!$B$40="pvp",1,(1-Summary!$B$48)*(1)+Summary!$B$48*(MIN(Skills!Q6,Inputs!$B$39))),0)</f>
        <v/>
      </c>
      <c r="P860">
        <f>IF(B892=0,0,O860/B892)</f>
        <v/>
      </c>
      <c r="Q860">
        <f>IFERROR(1/IF(Inputs!$B$40="pvp",15,MAX(0.1,Skills!D6-IF(Skills!E6=TRUE,Inputs!$B$34,0))),0)</f>
        <v/>
      </c>
      <c r="R860">
        <f>IF(AND(Inputs!$B$40&lt;&gt;"pvp",Inputs!$B$43&gt;0),(INT(Inputs!$B$43/IF(Inputs!$B$40="pvp",15,MAX(0.1,Skills!D6-IF(Skills!E6=TRUE,Inputs!$B$34,0))))+1),0)</f>
        <v/>
      </c>
    </row>
    <row r="861">
      <c r="A861">
        <f>Skills!A7</f>
        <v/>
      </c>
      <c r="B861">
        <f>Skills!B7</f>
        <v/>
      </c>
      <c r="C861">
        <f>Inputs!$B$3&gt;=122</f>
        <v/>
      </c>
      <c r="D861">
        <f>IF(Skills!C7=1,60+Inputs!$B$27+Inputs!$B$31,IF(Skills!C7=2,90+Inputs!$B$28+Inputs!$B$31,IF(Skills!C7=3,120+Inputs!$B$29+Inputs!$B$31,MAX(0,(Inputs!$B$3-100)*3)+(Inputs!$B$30+1)+Inputs!$B$31)))</f>
        <v/>
      </c>
      <c r="E861">
        <f>INDEX(FactorTable!$B$2:$Y$301, MATCH(ROUND(MIN(300,MAX(1,D861)),0), FactorTable!$A$2:$A$301,0), Skills!L7+1)</f>
        <v/>
      </c>
      <c r="F861">
        <f>IF(Skills!M7=TRUE,(Skills!K7/10)*(E861/1000),Skills!K7/10)+Skills!N7</f>
        <v/>
      </c>
      <c r="G861">
        <f>Calc!G7</f>
        <v/>
      </c>
      <c r="H861">
        <f>Calc!H7</f>
        <v/>
      </c>
      <c r="I861">
        <f>IF(Skills!T7&lt;&gt;"",1+(Skills!T7/10)*($Z$3/1000)/100,1)</f>
        <v/>
      </c>
      <c r="J861">
        <f>(Inputs!$B$7*(1+Inputs!$B$8/100))*(F861/100)</f>
        <v/>
      </c>
      <c r="K861">
        <f>J861*(1+(((Inputs!$B$14+IF(Inputs!$B$3&gt;=35,0.10*(Inputs!$B$9*(1+Inputs!$B$10/100)),0))*(1+Inputs!$B$15/100))*0.01+Inputs!$B$16*0.0025)/100)*(1+(Inputs!$B$17+B885)/100)*(1+IF(Inputs!$B$40="pvp",0,(1-Summary!$B$48)*(Inputs!$B$22+Skills!O7+B883)+Summary!$B$48*(Inputs!$B$23+Skills!P7+B884))/100)*(1+Inputs!$B$18/100)*(5000/(6000+Inputs!$B$42*(1-Inputs!$B$21/100)))*(1+Inputs!$B$26/100)*(1+IF(C871=TRUE,F871,0)/100)*(1+IF(C873=TRUE,F873,0)/100)*(1+IF(Skills!A7="TRIUMPH_FEATHER",IF(C869=TRUE,F869,0),0)/100)*(1+IF(C880=TRUE,F880,0)/100)^5*(1+(IF(Skills!A7="BIG_BANG",Inputs!$B$19,Inputs!$B$20))/100)*(B882*I861)</f>
        <v/>
      </c>
      <c r="L861">
        <f>K861*(MIN(Inputs!$B$24+(F875-Calc!F21),Inputs!$B$25)/100+Inputs!$B$25/100)/2</f>
        <v/>
      </c>
      <c r="M861">
        <f>L861*(1+(Inputs!$B$12+B886+(F878-Calc!F24))/100)</f>
        <v/>
      </c>
      <c r="N861">
        <f>L861*(1-MIN(Inputs!$B$11+((F877-Calc!F23)+(F876-Calc!F22)),100)/100)+M861*(MIN(Inputs!$B$11+((F877-Calc!F23)+(F876-Calc!F22)),100)/100)</f>
        <v/>
      </c>
      <c r="O861">
        <f>IF(C861,H861*N861*IF(AND(Inputs!$B$40&lt;&gt;"pvp",Inputs!$B$43&gt;0),((Skills!F7*((R861-1)*IF(Skills!G7&gt;0,Skills!H7/Skills!G7,1)+IF(Skills!G7&gt;0,MIN(Skills!H7,MAX(0,Inputs!$B$43-((R861-1)*IF(Inputs!$B$40="pvp",15,MAX(0.1,Skills!D7-IF(Skills!E6=TRUE,Inputs!$B$34,0))))))/Skills!G7,1)))/Inputs!$B$43),G861*Q861)*(1-Summary!$B$48),0)</f>
        <v/>
      </c>
      <c r="P861">
        <f>IF(B892=0,0,O861/B892)</f>
        <v/>
      </c>
      <c r="Q861">
        <f>IFERROR(1/IF(Inputs!$B$40="pvp",15,MAX(0.1,Skills!D7-IF(Skills!E6=TRUE,Inputs!$B$34,0))),0)</f>
        <v/>
      </c>
      <c r="R861">
        <f>IF(AND(Inputs!$B$40&lt;&gt;"pvp",Inputs!$B$43&gt;0),(INT(Inputs!$B$43/IF(Inputs!$B$40="pvp",15,MAX(0.1,Skills!D7-IF(Skills!E6=TRUE,Inputs!$B$34,0))))+1),0)</f>
        <v/>
      </c>
    </row>
    <row r="862">
      <c r="A862">
        <f>Skills!A8</f>
        <v/>
      </c>
      <c r="B862">
        <f>Skills!B8</f>
        <v/>
      </c>
      <c r="C862">
        <f>Inputs!$B$3&gt;=105</f>
        <v/>
      </c>
      <c r="D862">
        <f>IF(Skills!C8=1,60+Inputs!$B$27+Inputs!$B$31,IF(Skills!C8=2,90+Inputs!$B$28+Inputs!$B$31,IF(Skills!C8=3,120+Inputs!$B$29+Inputs!$B$31,MAX(0,(Inputs!$B$3-100)*3)+(Inputs!$B$30+1)+Inputs!$B$31)))</f>
        <v/>
      </c>
      <c r="E862">
        <f>INDEX(FactorTable!$B$2:$Y$301, MATCH(ROUND(MIN(300,MAX(1,D862)),0), FactorTable!$A$2:$A$301,0), Skills!L8+1)</f>
        <v/>
      </c>
      <c r="F862">
        <f>IF(Skills!M8=TRUE,(Skills!K8/10)*(E862/1000),Skills!K8/10)+Skills!N8</f>
        <v/>
      </c>
      <c r="G862">
        <f>Calc!G8</f>
        <v/>
      </c>
      <c r="H862">
        <f>Calc!H8</f>
        <v/>
      </c>
      <c r="I862">
        <f>IF(Skills!T8&lt;&gt;"",1+(Skills!T8/10)*($Z$3/1000)/100,1)</f>
        <v/>
      </c>
      <c r="J862">
        <f>(Inputs!$B$7*(1+Inputs!$B$8/100))*(F862/100)</f>
        <v/>
      </c>
      <c r="K862">
        <f>J862*(1+(((Inputs!$B$14+IF(Inputs!$B$3&gt;=35,0.10*(Inputs!$B$9*(1+Inputs!$B$10/100)),0))*(1+Inputs!$B$15/100))*0.01+Inputs!$B$16*0.0025)/100)*(1+(Inputs!$B$17+B885)/100)*(1+IF(Inputs!$B$40="pvp",0,(1-Summary!$B$48)*(Inputs!$B$22+Skills!O8+B883)+Summary!$B$48*(Inputs!$B$23+Skills!P8+B884))/100)*(1+Inputs!$B$18/100)*(5000/(6000+Inputs!$B$42*(1-Inputs!$B$21/100)))*(1+Inputs!$B$26/100)*(1+IF(C871=TRUE,F871,0)/100)*(1+IF(C873=TRUE,F873,0)/100)*(1+IF(Skills!A8="TRIUMPH_FEATHER",IF(C869=TRUE,F869,0),0)/100)*(1+IF(C880=TRUE,F880,0)/100)^5*(1+(IF(Skills!A8="BIG_BANG",Inputs!$B$19,Inputs!$B$20))/100)*(B882*I862)</f>
        <v/>
      </c>
      <c r="L862">
        <f>K862*(MIN(Inputs!$B$24+(F875-Calc!F21),Inputs!$B$25)/100+Inputs!$B$25/100)/2</f>
        <v/>
      </c>
      <c r="M862">
        <f>L862*(1+(Inputs!$B$12+B886+(F878-Calc!F24))/100)</f>
        <v/>
      </c>
      <c r="N862">
        <f>L862*(1-MIN(Inputs!$B$11+((F877-Calc!F23)+(F876-Calc!F22)),100)/100)+M862*(MIN(Inputs!$B$11+((F877-Calc!F23)+(F876-Calc!F22)),100)/100)</f>
        <v/>
      </c>
      <c r="O862">
        <f>IF(C862,H862*N862*IF(AND(Inputs!$B$40&lt;&gt;"pvp",Inputs!$B$43&gt;0),((Skills!F8*((R862-1)*IF(Skills!G8&gt;0,Skills!H8/Skills!G8,1)+IF(Skills!G8&gt;0,MIN(Skills!H8,MAX(0,Inputs!$B$43-((R862-1)*IF(Inputs!$B$40="pvp",15,MAX(0.1,Skills!D8-IF(Skills!E8=TRUE,Inputs!$B$34,0))))))/Skills!G8,1)))/Inputs!$B$43),G862*Q862)*IF(Inputs!$B$40="pvp",1,(1-Summary!$B$48)*(1)+Summary!$B$48*(MIN(Skills!Q8,Inputs!$B$39))),0)</f>
        <v/>
      </c>
      <c r="P862">
        <f>IF(B892=0,0,O862/B892)</f>
        <v/>
      </c>
      <c r="Q862">
        <f>IFERROR(1/IF(Inputs!$B$40="pvp",15,MAX(0.1,Skills!D8-IF(Skills!E8=TRUE,Inputs!$B$34,0))),0)</f>
        <v/>
      </c>
      <c r="R862">
        <f>IF(AND(Inputs!$B$40&lt;&gt;"pvp",Inputs!$B$43&gt;0),(INT(Inputs!$B$43/IF(Inputs!$B$40="pvp",15,MAX(0.1,Skills!D8-IF(Skills!E8=TRUE,Inputs!$B$34,0))))+1),0)</f>
        <v/>
      </c>
    </row>
    <row r="863">
      <c r="A863">
        <f>Skills!A9</f>
        <v/>
      </c>
      <c r="B863">
        <f>Skills!B9</f>
        <v/>
      </c>
      <c r="C863">
        <f>Inputs!$B$3&gt;=115</f>
        <v/>
      </c>
      <c r="D863">
        <f>IF(Skills!C9=1,60+Inputs!$B$27+Inputs!$B$31,IF(Skills!C9=2,90+Inputs!$B$28+Inputs!$B$31,IF(Skills!C9=3,120+Inputs!$B$29+Inputs!$B$31,MAX(0,(Inputs!$B$3-100)*3)+(Inputs!$B$30+1)+Inputs!$B$31)))</f>
        <v/>
      </c>
      <c r="E863">
        <f>INDEX(FactorTable!$B$2:$Y$301, MATCH(ROUND(MIN(300,MAX(1,D863)),0), FactorTable!$A$2:$A$301,0), Skills!L9+1)</f>
        <v/>
      </c>
      <c r="F863">
        <f>IF(Skills!M9=TRUE,(Skills!K9/10)*(E863/1000),Skills!K9/10)+Skills!N9</f>
        <v/>
      </c>
      <c r="G863">
        <f>Calc!G9</f>
        <v/>
      </c>
      <c r="H863">
        <f>Calc!H9</f>
        <v/>
      </c>
      <c r="I863">
        <f>IF(Skills!T9&lt;&gt;"",1+(Skills!T9/10)*($Z$3/1000)/100,1)</f>
        <v/>
      </c>
      <c r="J863">
        <f>(Inputs!$B$7*(1+Inputs!$B$8/100))*(F863/100)</f>
        <v/>
      </c>
      <c r="K863">
        <f>J863*(1+(((Inputs!$B$14+IF(Inputs!$B$3&gt;=35,0.10*(Inputs!$B$9*(1+Inputs!$B$10/100)),0))*(1+Inputs!$B$15/100))*0.01+Inputs!$B$16*0.0025)/100)*(1+(Inputs!$B$17+B885)/100)*(1+IF(Inputs!$B$40="pvp",0,(1-Summary!$B$48)*(Inputs!$B$22+Skills!O9+B883)+Summary!$B$48*(Inputs!$B$23+Skills!P9+B884))/100)*(1+Inputs!$B$18/100)*(5000/(6000+Inputs!$B$42*(1-Inputs!$B$21/100)))*(1+Inputs!$B$26/100)*(1+IF(C871=TRUE,F871,0)/100)*(1+IF(C873=TRUE,F873,0)/100)*(1+IF(Skills!A9="TRIUMPH_FEATHER",IF(C869=TRUE,F869,0),0)/100)*(1+IF(C880=TRUE,F880,0)/100)^5*(1+(IF(Skills!A9="BIG_BANG",Inputs!$B$19,Inputs!$B$20))/100)*(B882*I863)</f>
        <v/>
      </c>
      <c r="L863">
        <f>K863*(MIN(Inputs!$B$24+(F875-Calc!F21),Inputs!$B$25)/100+Inputs!$B$25/100)/2</f>
        <v/>
      </c>
      <c r="M863">
        <f>L863*(1+(Inputs!$B$12+B886+(F878-Calc!F24))/100)</f>
        <v/>
      </c>
      <c r="N863">
        <f>L863*(1-MIN(Inputs!$B$11+((F877-Calc!F23)+(F876-Calc!F22)),100)/100)+M863*(MIN(Inputs!$B$11+((F877-Calc!F23)+(F876-Calc!F22)),100)/100)</f>
        <v/>
      </c>
      <c r="O863">
        <f>IF(C863,H863*N863*IF(AND(Inputs!$B$40&lt;&gt;"pvp",Inputs!$B$43&gt;0),((Skills!F9*((R863-1)*IF(Skills!G9&gt;0,Skills!H9/Skills!G9,1)+IF(Skills!G9&gt;0,MIN(Skills!H9,MAX(0,Inputs!$B$43-((R863-1)*IF(Inputs!$B$40="pvp",15,MAX(0.1,Skills!D9-IF(Skills!E9=TRUE,Inputs!$B$34,0))))))/Skills!G9,1)))/Inputs!$B$43),G863*Q863)*IF(Inputs!$B$40="pvp",1,(1-Summary!$B$48)*(1)+Summary!$B$48*(MIN(Skills!Q9,Inputs!$B$39))),0)</f>
        <v/>
      </c>
      <c r="P863">
        <f>IF(B892=0,0,O863/B892)</f>
        <v/>
      </c>
      <c r="Q863">
        <f>IFERROR(1/IF(Inputs!$B$40="pvp",15,MAX(0.1,Skills!D9-IF(Skills!E9=TRUE,Inputs!$B$34,0))),0)</f>
        <v/>
      </c>
      <c r="R863">
        <f>IF(AND(Inputs!$B$40&lt;&gt;"pvp",Inputs!$B$43&gt;0),(INT(Inputs!$B$43/IF(Inputs!$B$40="pvp",15,MAX(0.1,Skills!D9-IF(Skills!E9=TRUE,Inputs!$B$34,0))))+1),0)</f>
        <v/>
      </c>
    </row>
    <row r="864">
      <c r="A864">
        <f>Skills!A10</f>
        <v/>
      </c>
      <c r="B864">
        <f>Skills!B10</f>
        <v/>
      </c>
      <c r="C864">
        <f>Inputs!$B$3&gt;=66</f>
        <v/>
      </c>
      <c r="D864">
        <f>IF(Skills!C10=1,60+Inputs!$B$27+Inputs!$B$31,IF(Skills!C10=2,90+Inputs!$B$28+Inputs!$B$31,IF(Skills!C10=3,120+Inputs!$B$29+Inputs!$B$31,MAX(0,(Inputs!$B$3-100)*3)+(Inputs!$B$30+1)+Inputs!$B$31)))</f>
        <v/>
      </c>
      <c r="E864">
        <f>INDEX(FactorTable!$B$2:$Y$301, MATCH(ROUND(MIN(300,MAX(1,D864)),0), FactorTable!$A$2:$A$301,0), Skills!L10+1)</f>
        <v/>
      </c>
      <c r="F864" t="n">
        <v>0</v>
      </c>
      <c r="G864">
        <f>Calc!G10</f>
        <v/>
      </c>
      <c r="H864">
        <f>Calc!H10</f>
        <v/>
      </c>
      <c r="I864">
        <f>IF(Skills!T10&lt;&gt;"",1+(Skills!T10/10)*($Z$3/1000)/100,1)</f>
        <v/>
      </c>
      <c r="J864" t="inlineStr"/>
      <c r="K864" t="inlineStr"/>
      <c r="L864" t="inlineStr"/>
      <c r="M864" t="inlineStr"/>
      <c r="N864" t="inlineStr"/>
      <c r="O864" t="n">
        <v>0</v>
      </c>
      <c r="P864">
        <f>IF(B892=0,0,O864/B892)</f>
        <v/>
      </c>
      <c r="Q864">
        <f>IFERROR(1/IF(Inputs!$B$40="pvp",15,MAX(0.1,Skills!D10-IF(Skills!E10=TRUE,Inputs!$B$34,0))),0)</f>
        <v/>
      </c>
      <c r="R864">
        <f>IF(AND(Inputs!$B$40&lt;&gt;"pvp",Inputs!$B$43&gt;0),(INT(Inputs!$B$43/IF(Inputs!$B$40="pvp",15,MAX(0.1,Skills!D10-IF(Skills!E10=TRUE,Inputs!$B$34,0))))+1),0)</f>
        <v/>
      </c>
    </row>
    <row r="865">
      <c r="A865">
        <f>Skills!A11</f>
        <v/>
      </c>
      <c r="B865">
        <f>Skills!B11</f>
        <v/>
      </c>
      <c r="C865">
        <f>Inputs!$B$3&gt;=69</f>
        <v/>
      </c>
      <c r="D865">
        <f>IF(Skills!C11=1,60+Inputs!$B$27+Inputs!$B$31,IF(Skills!C11=2,90+Inputs!$B$28+Inputs!$B$31,IF(Skills!C11=3,120+Inputs!$B$29+Inputs!$B$31,MAX(0,(Inputs!$B$3-100)*3)+(Inputs!$B$30+1)+Inputs!$B$31)))</f>
        <v/>
      </c>
      <c r="E865">
        <f>INDEX(FactorTable!$B$2:$Y$301, MATCH(ROUND(MIN(300,MAX(1,D865)),0), FactorTable!$A$2:$A$301,0), Skills!L11+1)</f>
        <v/>
      </c>
      <c r="F865">
        <f>IF(Skills!M11=TRUE,(Skills!K11/10)*(E865/1000),Skills!K11/10)+Skills!N11</f>
        <v/>
      </c>
      <c r="G865">
        <f>Calc!G11</f>
        <v/>
      </c>
      <c r="H865">
        <f>Calc!H11</f>
        <v/>
      </c>
      <c r="I865">
        <f>IF(Skills!T11&lt;&gt;"",1+(Skills!T11/10)*($Z$3/1000)/100,1)</f>
        <v/>
      </c>
      <c r="J865" t="inlineStr"/>
      <c r="K865" t="inlineStr"/>
      <c r="L865" t="inlineStr"/>
      <c r="M865" t="inlineStr"/>
      <c r="N865" t="inlineStr"/>
      <c r="O865" t="n">
        <v>0</v>
      </c>
      <c r="P865">
        <f>IF(B892=0,0,O865/B892)</f>
        <v/>
      </c>
      <c r="Q865">
        <f>IFERROR(1/IF(Inputs!$B$40="pvp",15,MAX(0.1,Skills!D11-IF(Skills!E11=TRUE,Inputs!$B$34,0))),0)</f>
        <v/>
      </c>
      <c r="R865">
        <f>IF(AND(Inputs!$B$40&lt;&gt;"pvp",Inputs!$B$43&gt;0),(INT(Inputs!$B$43/IF(Inputs!$B$40="pvp",15,MAX(0.1,Skills!D11-IF(Skills!E11=TRUE,Inputs!$B$34,0))))+1),0)</f>
        <v/>
      </c>
    </row>
    <row r="866">
      <c r="A866">
        <f>Skills!A12</f>
        <v/>
      </c>
      <c r="B866">
        <f>Skills!B12</f>
        <v/>
      </c>
      <c r="C866">
        <f>Inputs!$B$3&gt;=72</f>
        <v/>
      </c>
      <c r="D866">
        <f>IF(Skills!C12=1,60+Inputs!$B$27+Inputs!$B$31,IF(Skills!C12=2,90+Inputs!$B$28+Inputs!$B$31,IF(Skills!C12=3,120+Inputs!$B$29+Inputs!$B$31,MAX(0,(Inputs!$B$3-100)*3)+(Inputs!$B$30+1)+Inputs!$B$31)))</f>
        <v/>
      </c>
      <c r="E866">
        <f>INDEX(FactorTable!$B$2:$Y$301, MATCH(ROUND(MIN(300,MAX(1,D866)),0), FactorTable!$A$2:$A$301,0), Skills!L12+1)</f>
        <v/>
      </c>
      <c r="F866">
        <f>IF(Skills!M12=TRUE,(Skills!K12/10)*(E866/1000),Skills!K12/10)+Skills!N12</f>
        <v/>
      </c>
      <c r="G866">
        <f>Calc!G12</f>
        <v/>
      </c>
      <c r="H866">
        <f>Calc!H12</f>
        <v/>
      </c>
      <c r="I866">
        <f>IF(Skills!T12&lt;&gt;"",1+(Skills!T12/10)*($Z$3/1000)/100,1)</f>
        <v/>
      </c>
      <c r="J866" t="inlineStr"/>
      <c r="K866" t="inlineStr"/>
      <c r="L866" t="inlineStr"/>
      <c r="M866" t="inlineStr"/>
      <c r="N866" t="inlineStr"/>
      <c r="O866" t="n">
        <v>0</v>
      </c>
      <c r="P866">
        <f>IF(B892=0,0,O866/B892)</f>
        <v/>
      </c>
      <c r="Q866">
        <f>IFERROR(1/IF(Inputs!$B$40="pvp",15,MAX(0.1,Skills!D12-IF(Skills!E12=TRUE,Inputs!$B$34,0))),0)</f>
        <v/>
      </c>
      <c r="R866">
        <f>IF(AND(Inputs!$B$40&lt;&gt;"pvp",Inputs!$B$43&gt;0),(INT(Inputs!$B$43/IF(Inputs!$B$40="pvp",15,MAX(0.1,Skills!D12-IF(Skills!E12=TRUE,Inputs!$B$34,0))))+1),0)</f>
        <v/>
      </c>
    </row>
    <row r="867">
      <c r="A867">
        <f>Skills!A13</f>
        <v/>
      </c>
      <c r="B867">
        <f>Skills!B13</f>
        <v/>
      </c>
      <c r="C867">
        <f>Inputs!$B$3&gt;=107</f>
        <v/>
      </c>
      <c r="D867">
        <f>IF(Skills!C13=1,60+Inputs!$B$27+Inputs!$B$31,IF(Skills!C13=2,90+Inputs!$B$28+Inputs!$B$31,IF(Skills!C13=3,120+Inputs!$B$29+Inputs!$B$31,MAX(0,(Inputs!$B$3-100)*3)+(Inputs!$B$30+1)+Inputs!$B$31)))</f>
        <v/>
      </c>
      <c r="E867">
        <f>INDEX(FactorTable!$B$2:$Y$301, MATCH(ROUND(MIN(300,MAX(1,D867)),0), FactorTable!$A$2:$A$301,0), Skills!L13+1)</f>
        <v/>
      </c>
      <c r="F867">
        <f>IF(Skills!M13=TRUE,(Skills!K13/10)*(E867/1000),Skills!K13/10)+Skills!N13</f>
        <v/>
      </c>
      <c r="G867">
        <f>Calc!G13</f>
        <v/>
      </c>
      <c r="H867">
        <f>Calc!H13</f>
        <v/>
      </c>
      <c r="I867">
        <f>IF(Skills!T13&lt;&gt;"",1+(Skills!T13/10)*($Z$3/1000)/100,1)</f>
        <v/>
      </c>
      <c r="J867" t="inlineStr"/>
      <c r="K867" t="inlineStr"/>
      <c r="L867" t="inlineStr"/>
      <c r="M867" t="inlineStr"/>
      <c r="N867" t="inlineStr"/>
      <c r="O867" t="n">
        <v>0</v>
      </c>
      <c r="P867">
        <f>IF(B892=0,0,O867/B892)</f>
        <v/>
      </c>
      <c r="Q867">
        <f>IFERROR(1/IF(Inputs!$B$40="pvp",15,MAX(0.1,Skills!D13-IF(Skills!E13=TRUE,Inputs!$B$34,0))),0)</f>
        <v/>
      </c>
      <c r="R867">
        <f>IF(AND(Inputs!$B$40&lt;&gt;"pvp",Inputs!$B$43&gt;0),(INT(Inputs!$B$43/IF(Inputs!$B$40="pvp",15,MAX(0.1,Skills!D13-IF(Skills!E13=TRUE,Inputs!$B$34,0))))+1),0)</f>
        <v/>
      </c>
    </row>
    <row r="868">
      <c r="A868">
        <f>Skills!A14</f>
        <v/>
      </c>
      <c r="B868">
        <f>Skills!B14</f>
        <v/>
      </c>
      <c r="C868">
        <f>Inputs!$B$3&gt;=63</f>
        <v/>
      </c>
      <c r="D868">
        <f>IF(Skills!C14=1,60+Inputs!$B$27+Inputs!$B$31,IF(Skills!C14=2,90+Inputs!$B$28+Inputs!$B$31,IF(Skills!C14=3,120+Inputs!$B$29+Inputs!$B$31,MAX(0,(Inputs!$B$3-100)*3)+(Inputs!$B$30+1)+Inputs!$B$31)))</f>
        <v/>
      </c>
      <c r="E868">
        <f>INDEX(FactorTable!$B$2:$Y$301, MATCH(ROUND(MIN(300,MAX(1,D868)),0), FactorTable!$A$2:$A$301,0), Skills!L14+1)</f>
        <v/>
      </c>
      <c r="F868">
        <f>IF(Skills!M14=TRUE,(Skills!K14/10)*(E868/1000),Skills!K14/10)+Skills!N14</f>
        <v/>
      </c>
      <c r="G868">
        <f>Calc!G14</f>
        <v/>
      </c>
      <c r="H868">
        <f>Calc!H14</f>
        <v/>
      </c>
      <c r="I868">
        <f>IF(Skills!T14&lt;&gt;"",1+(Skills!T14/10)*($Z$3/1000)/100,1)</f>
        <v/>
      </c>
      <c r="J868">
        <f>(Inputs!$B$7*(1+Inputs!$B$8/100))*(F868/100)</f>
        <v/>
      </c>
      <c r="K868">
        <f>J868*(1+(((Inputs!$B$14+IF(Inputs!$B$3&gt;=35,0.10*(Inputs!$B$9*(1+Inputs!$B$10/100)),0))*(1+Inputs!$B$15/100))*0.01+Inputs!$B$16*0.0025)/100)*(1+(Inputs!$B$17+B885)/100)*(1+IF(Inputs!$B$40="pvp",0,(1-Summary!$B$48)*(Inputs!$B$22+Skills!O14+B883)+Summary!$B$48*(Inputs!$B$23+Skills!P14+B884))/100)*(1+Inputs!$B$18/100)*(5000/(6000+Inputs!$B$42*(1-Inputs!$B$21/100)))*(1+Inputs!$B$26/100)*(1+IF(C871=TRUE,F871,0)/100)*(1+IF(C873=TRUE,F873,0)/100)*(1+IF(Skills!A14="TRIUMPH_FEATHER",IF(C869=TRUE,F869,0),0)/100)*(1+IF(C880=TRUE,F880,0)/100)^5*(1+(IF(Skills!A14="BIG_BANG",Inputs!$B$19,Inputs!$B$20))/100)*(B882*I868)</f>
        <v/>
      </c>
      <c r="L868">
        <f>K868*(MIN(Inputs!$B$24+(F875-Calc!F21),Inputs!$B$25)/100+Inputs!$B$25/100)/2</f>
        <v/>
      </c>
      <c r="M868">
        <f>L868*(1+(Inputs!$B$12+B886+(F878-Calc!F24))/100)</f>
        <v/>
      </c>
      <c r="N868">
        <f>L868*(1-MIN(Inputs!$B$11+((F877-Calc!F23)+(F876-Calc!F22)),100)/100)+M868*(MIN(Inputs!$B$11+((F877-Calc!F23)+(F876-Calc!F22)),100)/100)</f>
        <v/>
      </c>
      <c r="O868">
        <f>IF(C868,Skills!F14*N868*((IF(Inputs!$B$3&gt;=78,25,15)/100*B888*10)/(1+IF(Inputs!$B$3&gt;=78,25,15)/100*B888*10))*(Skills!I14/100*B888)/(1+Skills!G14*Skills!I14/100*B888)*IF(Inputs!$B$40="pvp",1,(1-Summary!$B$48)*(1)+Summary!$B$48*(MIN(Skills!Q14,Inputs!$B$39))),0)</f>
        <v/>
      </c>
      <c r="P868">
        <f>IF(B892=0,0,O868/B892)</f>
        <v/>
      </c>
      <c r="Q868">
        <f>IFERROR(1/IF(Inputs!$B$40="pvp",15,MAX(0.1,Skills!D14-IF(Skills!E14=TRUE,Inputs!$B$34,0))),0)</f>
        <v/>
      </c>
      <c r="R868" t="n">
        <v>0</v>
      </c>
    </row>
    <row r="869">
      <c r="A869">
        <f>Skills!A15</f>
        <v/>
      </c>
      <c r="B869">
        <f>Skills!B15</f>
        <v/>
      </c>
      <c r="C869">
        <f>Inputs!$B$3&gt;=100</f>
        <v/>
      </c>
      <c r="D869">
        <f>IF(Skills!C15=1,60+Inputs!$B$27+Inputs!$B$31,IF(Skills!C15=2,90+Inputs!$B$28+Inputs!$B$31,IF(Skills!C15=3,120+Inputs!$B$29+Inputs!$B$31,MAX(0,(Inputs!$B$3-100)*3)+(Inputs!$B$30+1)+Inputs!$B$31)))</f>
        <v/>
      </c>
      <c r="E869">
        <f>INDEX(FactorTable!$B$2:$Y$301, MATCH(ROUND(MIN(300,MAX(1,D869)),0), FactorTable!$A$2:$A$301,0), Skills!L15+1)</f>
        <v/>
      </c>
      <c r="F869">
        <f>IF(Skills!M15=TRUE,(Skills!K15/10)*(E869/1000),Skills!K15/10)+Skills!N15</f>
        <v/>
      </c>
      <c r="G869">
        <f>Calc!G15</f>
        <v/>
      </c>
      <c r="H869">
        <f>Calc!H15</f>
        <v/>
      </c>
      <c r="I869">
        <f>IF(Skills!T15&lt;&gt;"",1+(Skills!T15/10)*($Z$3/1000)/100,1)</f>
        <v/>
      </c>
      <c r="J869" t="inlineStr"/>
      <c r="K869" t="inlineStr"/>
      <c r="L869" t="inlineStr"/>
      <c r="M869" t="inlineStr"/>
      <c r="N869" t="inlineStr"/>
      <c r="O869" t="n">
        <v>0</v>
      </c>
      <c r="P869">
        <f>IF(B892=0,0,O869/B892)</f>
        <v/>
      </c>
      <c r="Q869">
        <f>IFERROR(1/IF(Inputs!$B$40="pvp",15,MAX(0.1,Skills!D15-IF(Skills!E15=TRUE,Inputs!$B$34,0))),0)</f>
        <v/>
      </c>
      <c r="R869" t="n">
        <v>0</v>
      </c>
    </row>
    <row r="870">
      <c r="A870">
        <f>Skills!A16</f>
        <v/>
      </c>
      <c r="B870">
        <f>Skills!B16</f>
        <v/>
      </c>
      <c r="C870">
        <f>Inputs!$B$3&gt;=49</f>
        <v/>
      </c>
      <c r="D870">
        <f>IF(Skills!C16=1,60+Inputs!$B$27+Inputs!$B$31,IF(Skills!C16=2,90+Inputs!$B$28+Inputs!$B$31,IF(Skills!C16=3,120+Inputs!$B$29+Inputs!$B$31,MAX(0,(Inputs!$B$3-100)*3)+(Inputs!$B$30+1)+Inputs!$B$31)))</f>
        <v/>
      </c>
      <c r="E870">
        <f>INDEX(FactorTable!$B$2:$Y$301, MATCH(ROUND(MIN(300,MAX(1,D870)),0), FactorTable!$A$2:$A$301,0), Skills!L16+1)</f>
        <v/>
      </c>
      <c r="F870">
        <f>IF(Skills!M16=TRUE,(Skills!K16/10)*(E870/1000),Skills!K16/10)+Skills!N16</f>
        <v/>
      </c>
      <c r="G870">
        <f>Calc!G16</f>
        <v/>
      </c>
      <c r="H870">
        <f>Calc!H16</f>
        <v/>
      </c>
      <c r="I870">
        <f>IF(Skills!T16&lt;&gt;"",1+(Skills!T16/10)*($Z$3/1000)/100,1)</f>
        <v/>
      </c>
      <c r="J870" t="inlineStr"/>
      <c r="K870" t="inlineStr"/>
      <c r="L870" t="inlineStr"/>
      <c r="M870" t="inlineStr"/>
      <c r="N870" t="inlineStr"/>
      <c r="O870" t="n">
        <v>0</v>
      </c>
      <c r="P870">
        <f>IF(B892=0,0,O870/B892)</f>
        <v/>
      </c>
      <c r="Q870">
        <f>IFERROR(1/IF(Inputs!$B$40="pvp",15,MAX(0.1,Skills!D16-IF(Skills!E16=TRUE,Inputs!$B$34,0))),0)</f>
        <v/>
      </c>
      <c r="R870" t="n">
        <v>0</v>
      </c>
    </row>
    <row r="871">
      <c r="A871">
        <f>Skills!A17</f>
        <v/>
      </c>
      <c r="B871">
        <f>Skills!B17</f>
        <v/>
      </c>
      <c r="C871">
        <f>Inputs!$B$3&gt;=75</f>
        <v/>
      </c>
      <c r="D871">
        <f>IF(Skills!C17=1,60+Inputs!$B$27+Inputs!$B$31,IF(Skills!C17=2,90+Inputs!$B$28+Inputs!$B$31,IF(Skills!C17=3,120+Inputs!$B$29+Inputs!$B$31,MAX(0,(Inputs!$B$3-100)*3)+(Inputs!$B$30+1)+Inputs!$B$31)))</f>
        <v/>
      </c>
      <c r="E871">
        <f>INDEX(FactorTable!$B$2:$Y$301, MATCH(ROUND(MIN(300,MAX(1,D871)),0), FactorTable!$A$2:$A$301,0), Skills!L17+1)</f>
        <v/>
      </c>
      <c r="F871">
        <f>IF(Skills!M17=TRUE,(Skills!K17/10)*(E871/1000),Skills!K17/10)+Skills!N17</f>
        <v/>
      </c>
      <c r="G871">
        <f>Calc!G17</f>
        <v/>
      </c>
      <c r="H871">
        <f>Calc!H17</f>
        <v/>
      </c>
      <c r="I871">
        <f>IF(Skills!T17&lt;&gt;"",1+(Skills!T17/10)*($Z$3/1000)/100,1)</f>
        <v/>
      </c>
      <c r="J871" t="inlineStr"/>
      <c r="K871" t="inlineStr"/>
      <c r="L871" t="inlineStr"/>
      <c r="M871" t="inlineStr"/>
      <c r="N871" t="inlineStr"/>
      <c r="O871" t="n">
        <v>0</v>
      </c>
      <c r="P871">
        <f>IF(B892=0,0,O871/B892)</f>
        <v/>
      </c>
      <c r="Q871">
        <f>IFERROR(1/IF(Inputs!$B$40="pvp",15,MAX(0.1,Skills!D17-IF(Skills!E17=TRUE,Inputs!$B$34,0))),0)</f>
        <v/>
      </c>
      <c r="R871" t="n">
        <v>0</v>
      </c>
    </row>
    <row r="872">
      <c r="A872">
        <f>Skills!A18</f>
        <v/>
      </c>
      <c r="B872">
        <f>Skills!B18</f>
        <v/>
      </c>
      <c r="C872">
        <f>Inputs!$B$3&gt;=110</f>
        <v/>
      </c>
      <c r="D872">
        <f>IF(Skills!C18=1,60+Inputs!$B$27+Inputs!$B$31,IF(Skills!C18=2,90+Inputs!$B$28+Inputs!$B$31,IF(Skills!C18=3,120+Inputs!$B$29+Inputs!$B$31,MAX(0,(Inputs!$B$3-100)*3)+(Inputs!$B$30+1)+Inputs!$B$31)))</f>
        <v/>
      </c>
      <c r="E872">
        <f>INDEX(FactorTable!$B$2:$Y$301, MATCH(ROUND(MIN(300,MAX(1,D872)),0), FactorTable!$A$2:$A$301,0), Skills!L18+1)</f>
        <v/>
      </c>
      <c r="F872">
        <f>(Skills!K18/10)*(E872/1000)*64/45+Skills!N18</f>
        <v/>
      </c>
      <c r="G872">
        <f>Calc!G18</f>
        <v/>
      </c>
      <c r="H872">
        <f>Calc!H18</f>
        <v/>
      </c>
      <c r="I872">
        <f>IF(Skills!T18&lt;&gt;"",1+(Skills!T18/10)*($Z$3/1000)/100,1)</f>
        <v/>
      </c>
      <c r="J872" t="inlineStr"/>
      <c r="K872" t="inlineStr"/>
      <c r="L872" t="inlineStr"/>
      <c r="M872" t="inlineStr"/>
      <c r="N872" t="inlineStr"/>
      <c r="O872" t="n">
        <v>0</v>
      </c>
      <c r="P872">
        <f>IF(B892=0,0,O872/B892)</f>
        <v/>
      </c>
      <c r="Q872">
        <f>IFERROR(1/IF(Inputs!$B$40="pvp",15,MAX(0.1,Skills!D18-IF(Skills!E18=TRUE,Inputs!$B$34,0))),0)</f>
        <v/>
      </c>
      <c r="R872">
        <f>IF(AND(Inputs!$B$40&lt;&gt;"pvp",Inputs!$B$43&gt;0),(INT(Inputs!$B$43/IF(Inputs!$B$40="pvp",15,MAX(0.1,Skills!D18-IF(Skills!E18=TRUE,Inputs!$B$34,0))))+1),0)</f>
        <v/>
      </c>
    </row>
    <row r="873">
      <c r="A873">
        <f>Skills!A19</f>
        <v/>
      </c>
      <c r="B873">
        <f>Skills!B19</f>
        <v/>
      </c>
      <c r="C873">
        <f>Inputs!$B$3&gt;=125</f>
        <v/>
      </c>
      <c r="D873">
        <f>IF(Skills!C19=1,60+Inputs!$B$27+Inputs!$B$31,IF(Skills!C19=2,90+Inputs!$B$28+Inputs!$B$31,IF(Skills!C19=3,120+Inputs!$B$29+Inputs!$B$31,MAX(0,(Inputs!$B$3-100)*3)+(Inputs!$B$30+1)+Inputs!$B$31)))</f>
        <v/>
      </c>
      <c r="E873">
        <f>INDEX(FactorTable!$B$2:$Y$301, MATCH(ROUND(MIN(300,MAX(1,D873)),0), FactorTable!$A$2:$A$301,0), Skills!L19+1)</f>
        <v/>
      </c>
      <c r="F873">
        <f>IF(Skills!M19=TRUE,(Skills!K19/10)*(E873/1000),Skills!K19/10)+Skills!N19</f>
        <v/>
      </c>
      <c r="G873">
        <f>Calc!G19</f>
        <v/>
      </c>
      <c r="H873">
        <f>Calc!H19</f>
        <v/>
      </c>
      <c r="I873">
        <f>IF(Skills!T19&lt;&gt;"",1+(Skills!T19/10)*($Z$3/1000)/100,1)</f>
        <v/>
      </c>
      <c r="J873" t="inlineStr"/>
      <c r="K873" t="inlineStr"/>
      <c r="L873" t="inlineStr"/>
      <c r="M873" t="inlineStr"/>
      <c r="N873" t="inlineStr"/>
      <c r="O873" t="n">
        <v>0</v>
      </c>
      <c r="P873">
        <f>IF(B892=0,0,O873/B892)</f>
        <v/>
      </c>
      <c r="Q873">
        <f>IFERROR(1/IF(Inputs!$B$40="pvp",15,MAX(0.1,Skills!D19-IF(Skills!E19=TRUE,Inputs!$B$34,0))),0)</f>
        <v/>
      </c>
      <c r="R873" t="n">
        <v>0</v>
      </c>
    </row>
    <row r="874">
      <c r="A874">
        <f>Skills!A20</f>
        <v/>
      </c>
      <c r="B874">
        <f>Skills!B20</f>
        <v/>
      </c>
      <c r="C874">
        <f>Inputs!$B$3&gt;=33</f>
        <v/>
      </c>
      <c r="D874">
        <f>IF(Skills!C20=1,60+Inputs!$B$27+Inputs!$B$31,IF(Skills!C20=2,90+Inputs!$B$28+Inputs!$B$31,IF(Skills!C20=3,120+Inputs!$B$29+Inputs!$B$31,MAX(0,(Inputs!$B$3-100)*3)+(Inputs!$B$30+1)+Inputs!$B$31)))</f>
        <v/>
      </c>
      <c r="E874">
        <f>INDEX(FactorTable!$B$2:$Y$301, MATCH(ROUND(MIN(300,MAX(1,D874)),0), FactorTable!$A$2:$A$301,0), Skills!L20+1)</f>
        <v/>
      </c>
      <c r="F874">
        <f>IF(Skills!M20=TRUE,(Skills!K20/10)*(E874/1000),Skills!K20/10)+Skills!N20</f>
        <v/>
      </c>
      <c r="G874">
        <f>Calc!G20</f>
        <v/>
      </c>
      <c r="H874">
        <f>Calc!H20</f>
        <v/>
      </c>
      <c r="I874">
        <f>IF(Skills!T20&lt;&gt;"",1+(Skills!T20/10)*($Z$3/1000)/100,1)</f>
        <v/>
      </c>
      <c r="J874" t="inlineStr"/>
      <c r="K874" t="inlineStr"/>
      <c r="L874" t="inlineStr"/>
      <c r="M874" t="inlineStr"/>
      <c r="N874" t="inlineStr"/>
      <c r="O874" t="n">
        <v>0</v>
      </c>
      <c r="P874">
        <f>IF(B892=0,0,O874/B892)</f>
        <v/>
      </c>
      <c r="Q874">
        <f>IFERROR(1/IF(Inputs!$B$40="pvp",15,MAX(0.1,Skills!D20-IF(Skills!E20=TRUE,Inputs!$B$34,0))),0)</f>
        <v/>
      </c>
      <c r="R874" t="n">
        <v>0</v>
      </c>
    </row>
    <row r="875">
      <c r="A875">
        <f>Skills!A21</f>
        <v/>
      </c>
      <c r="B875">
        <f>Skills!B21</f>
        <v/>
      </c>
      <c r="C875">
        <f>Inputs!$B$3&gt;=43</f>
        <v/>
      </c>
      <c r="D875">
        <f>IF(Skills!C21=1,60+Inputs!$B$27+Inputs!$B$31,IF(Skills!C21=2,90+Inputs!$B$28+Inputs!$B$31,IF(Skills!C21=3,120+Inputs!$B$29+Inputs!$B$31,MAX(0,(Inputs!$B$3-100)*3)+(Inputs!$B$30+1)+Inputs!$B$31)))</f>
        <v/>
      </c>
      <c r="E875">
        <f>INDEX(FactorTable!$B$2:$Y$301, MATCH(ROUND(MIN(300,MAX(1,D875)),0), FactorTable!$A$2:$A$301,0), Skills!L21+1)</f>
        <v/>
      </c>
      <c r="F875">
        <f>IF(Skills!M21=TRUE,(Skills!K21/10)*(E875/1000),Skills!K21/10)+Skills!N21</f>
        <v/>
      </c>
      <c r="G875">
        <f>Calc!G21</f>
        <v/>
      </c>
      <c r="H875">
        <f>Calc!H21</f>
        <v/>
      </c>
      <c r="I875">
        <f>IF(Skills!T21&lt;&gt;"",1+(Skills!T21/10)*($Z$3/1000)/100,1)</f>
        <v/>
      </c>
      <c r="J875" t="inlineStr"/>
      <c r="K875" t="inlineStr"/>
      <c r="L875" t="inlineStr"/>
      <c r="M875" t="inlineStr"/>
      <c r="N875" t="inlineStr"/>
      <c r="O875" t="n">
        <v>0</v>
      </c>
      <c r="P875">
        <f>IF(B892=0,0,O875/B892)</f>
        <v/>
      </c>
      <c r="Q875">
        <f>IFERROR(1/IF(Inputs!$B$40="pvp",15,MAX(0.1,Skills!D21-IF(Skills!E21=TRUE,Inputs!$B$34,0))),0)</f>
        <v/>
      </c>
      <c r="R875" t="n">
        <v>0</v>
      </c>
    </row>
    <row r="876">
      <c r="A876">
        <f>Skills!A22</f>
        <v/>
      </c>
      <c r="B876">
        <f>Skills!B22</f>
        <v/>
      </c>
      <c r="C876">
        <f>Inputs!$B$3&gt;=50</f>
        <v/>
      </c>
      <c r="D876">
        <f>IF(Skills!C22=1,60+Inputs!$B$27+Inputs!$B$31,IF(Skills!C22=2,90+Inputs!$B$28+Inputs!$B$31,IF(Skills!C22=3,120+Inputs!$B$29+Inputs!$B$31,MAX(0,(Inputs!$B$3-100)*3)+(Inputs!$B$30+1)+Inputs!$B$31)))</f>
        <v/>
      </c>
      <c r="E876">
        <f>INDEX(FactorTable!$B$2:$Y$301, MATCH(ROUND(MIN(300,MAX(1,D876)),0), FactorTable!$A$2:$A$301,0), Skills!L22+1)</f>
        <v/>
      </c>
      <c r="F876">
        <f>IF(Skills!M22=TRUE,(Skills!K22/10)*(E876/1000),Skills!K22/10)+Skills!N22</f>
        <v/>
      </c>
      <c r="G876">
        <f>Calc!G22</f>
        <v/>
      </c>
      <c r="H876">
        <f>Calc!H22</f>
        <v/>
      </c>
      <c r="I876">
        <f>IF(Skills!T22&lt;&gt;"",1+(Skills!T22/10)*($Z$3/1000)/100,1)</f>
        <v/>
      </c>
      <c r="J876" t="inlineStr"/>
      <c r="K876" t="inlineStr"/>
      <c r="L876" t="inlineStr"/>
      <c r="M876" t="inlineStr"/>
      <c r="N876" t="inlineStr"/>
      <c r="O876" t="n">
        <v>0</v>
      </c>
      <c r="P876">
        <f>IF(B892=0,0,O876/B892)</f>
        <v/>
      </c>
      <c r="Q876">
        <f>IFERROR(1/IF(Inputs!$B$40="pvp",15,MAX(0.1,Skills!D22-IF(Skills!E22=TRUE,Inputs!$B$34,0))),0)</f>
        <v/>
      </c>
      <c r="R876" t="n">
        <v>0</v>
      </c>
    </row>
    <row r="877">
      <c r="A877">
        <f>Skills!A23</f>
        <v/>
      </c>
      <c r="B877">
        <f>Skills!B23</f>
        <v/>
      </c>
      <c r="C877">
        <f>Inputs!$B$3&gt;=74</f>
        <v/>
      </c>
      <c r="D877">
        <f>IF(Skills!C23=1,60+Inputs!$B$27+Inputs!$B$31,IF(Skills!C23=2,90+Inputs!$B$28+Inputs!$B$31,IF(Skills!C23=3,120+Inputs!$B$29+Inputs!$B$31,MAX(0,(Inputs!$B$3-100)*3)+(Inputs!$B$30+1)+Inputs!$B$31)))</f>
        <v/>
      </c>
      <c r="E877">
        <f>INDEX(FactorTable!$B$2:$Y$301, MATCH(ROUND(MIN(300,MAX(1,D877)),0), FactorTable!$A$2:$A$301,0), Skills!L23+1)</f>
        <v/>
      </c>
      <c r="F877">
        <f>IF(Skills!M23=TRUE,(Skills!K23/10)*(E877/1000),Skills!K23/10)+Skills!N23</f>
        <v/>
      </c>
      <c r="G877">
        <f>Calc!G23</f>
        <v/>
      </c>
      <c r="H877">
        <f>Calc!H23</f>
        <v/>
      </c>
      <c r="I877">
        <f>IF(Skills!T23&lt;&gt;"",1+(Skills!T23/10)*($Z$3/1000)/100,1)</f>
        <v/>
      </c>
      <c r="J877" t="inlineStr"/>
      <c r="K877" t="inlineStr"/>
      <c r="L877" t="inlineStr"/>
      <c r="M877" t="inlineStr"/>
      <c r="N877" t="inlineStr"/>
      <c r="O877" t="n">
        <v>0</v>
      </c>
      <c r="P877">
        <f>IF(B892=0,0,O877/B892)</f>
        <v/>
      </c>
      <c r="Q877">
        <f>IFERROR(1/IF(Inputs!$B$40="pvp",15,MAX(0.1,Skills!D23-IF(Skills!E23=TRUE,Inputs!$B$34,0))),0)</f>
        <v/>
      </c>
      <c r="R877" t="n">
        <v>0</v>
      </c>
    </row>
    <row r="878">
      <c r="A878">
        <f>Skills!A24</f>
        <v/>
      </c>
      <c r="B878">
        <f>Skills!B24</f>
        <v/>
      </c>
      <c r="C878">
        <f>Inputs!$B$3&gt;=74</f>
        <v/>
      </c>
      <c r="D878">
        <f>IF(Skills!C24=1,60+Inputs!$B$27+Inputs!$B$31,IF(Skills!C24=2,90+Inputs!$B$28+Inputs!$B$31,IF(Skills!C24=3,120+Inputs!$B$29+Inputs!$B$31,MAX(0,(Inputs!$B$3-100)*3)+(Inputs!$B$30+1)+Inputs!$B$31)))</f>
        <v/>
      </c>
      <c r="E878">
        <f>INDEX(FactorTable!$B$2:$Y$301, MATCH(ROUND(MIN(300,MAX(1,D878)),0), FactorTable!$A$2:$A$301,0), Skills!L24+1)</f>
        <v/>
      </c>
      <c r="F878">
        <f>IF(Skills!M24=TRUE,(Skills!K24/10)*(E878/1000),Skills!K24/10)+Skills!N24</f>
        <v/>
      </c>
      <c r="G878">
        <f>Calc!G24</f>
        <v/>
      </c>
      <c r="H878">
        <f>Calc!H24</f>
        <v/>
      </c>
      <c r="I878">
        <f>IF(Skills!T24&lt;&gt;"",1+(Skills!T24/10)*($Z$3/1000)/100,1)</f>
        <v/>
      </c>
      <c r="J878" t="inlineStr"/>
      <c r="K878" t="inlineStr"/>
      <c r="L878" t="inlineStr"/>
      <c r="M878" t="inlineStr"/>
      <c r="N878" t="inlineStr"/>
      <c r="O878" t="n">
        <v>0</v>
      </c>
      <c r="P878">
        <f>IF(B892=0,0,O878/B892)</f>
        <v/>
      </c>
      <c r="Q878">
        <f>IFERROR(1/IF(Inputs!$B$40="pvp",15,MAX(0.1,Skills!D24-IF(Skills!E24=TRUE,Inputs!$B$34,0))),0)</f>
        <v/>
      </c>
      <c r="R878" t="n">
        <v>0</v>
      </c>
    </row>
    <row r="879">
      <c r="A879">
        <f>Skills!A25</f>
        <v/>
      </c>
      <c r="B879">
        <f>Skills!B25</f>
        <v/>
      </c>
      <c r="C879">
        <f>Inputs!$B$3&gt;=117</f>
        <v/>
      </c>
      <c r="D879">
        <f>IF(Skills!C25=1,60+Inputs!$B$27+Inputs!$B$31,IF(Skills!C25=2,90+Inputs!$B$28+Inputs!$B$31,IF(Skills!C25=3,120+Inputs!$B$29+Inputs!$B$31,MAX(0,(Inputs!$B$3-100)*3)+(Inputs!$B$30+1)+Inputs!$B$31)))</f>
        <v/>
      </c>
      <c r="E879">
        <f>INDEX(FactorTable!$B$2:$Y$301, MATCH(ROUND(MIN(300,MAX(1,D879)),0), FactorTable!$A$2:$A$301,0), Skills!L25+1)</f>
        <v/>
      </c>
      <c r="F879">
        <f>IF(Skills!M25=TRUE,(Skills!K25/10)*(E879/1000),Skills!K25/10)+Skills!N25</f>
        <v/>
      </c>
      <c r="G879">
        <f>Calc!G25</f>
        <v/>
      </c>
      <c r="H879">
        <f>Calc!H25</f>
        <v/>
      </c>
      <c r="I879">
        <f>IF(Skills!T25&lt;&gt;"",1+(Skills!T25/10)*($Z$3/1000)/100,1)</f>
        <v/>
      </c>
      <c r="J879" t="inlineStr"/>
      <c r="K879" t="inlineStr"/>
      <c r="L879" t="inlineStr"/>
      <c r="M879" t="inlineStr"/>
      <c r="N879" t="inlineStr"/>
      <c r="O879" t="n">
        <v>0</v>
      </c>
      <c r="P879">
        <f>IF(B892=0,0,O879/B892)</f>
        <v/>
      </c>
      <c r="Q879">
        <f>IFERROR(1/IF(Inputs!$B$40="pvp",15,MAX(0.1,Skills!D25-IF(Skills!E25=TRUE,Inputs!$B$34,0))),0)</f>
        <v/>
      </c>
      <c r="R879" t="n">
        <v>0</v>
      </c>
    </row>
    <row r="880">
      <c r="A880">
        <f>Skills!A26</f>
        <v/>
      </c>
      <c r="B880">
        <f>Skills!B26</f>
        <v/>
      </c>
      <c r="C880">
        <f>Inputs!$B$3&gt;=120</f>
        <v/>
      </c>
      <c r="D880">
        <f>IF(Skills!C26=1,60+Inputs!$B$27+Inputs!$B$31,IF(Skills!C26=2,90+Inputs!$B$28+Inputs!$B$31,IF(Skills!C26=3,120+Inputs!$B$29+Inputs!$B$31,MAX(0,(Inputs!$B$3-100)*3)+(Inputs!$B$30+1)+Inputs!$B$31)))</f>
        <v/>
      </c>
      <c r="E880">
        <f>INDEX(FactorTable!$B$2:$Y$301, MATCH(ROUND(MIN(300,MAX(1,D880)),0), FactorTable!$A$2:$A$301,0), Skills!L26+1)</f>
        <v/>
      </c>
      <c r="F880">
        <f>IF(Skills!M26=TRUE,(Skills!K26/10)*(E880/1000),Skills!K26/10)+Skills!N26</f>
        <v/>
      </c>
      <c r="G880">
        <f>Calc!G26</f>
        <v/>
      </c>
      <c r="H880">
        <f>Calc!H26</f>
        <v/>
      </c>
      <c r="I880">
        <f>IF(Skills!T26&lt;&gt;"",1+(Skills!T26/10)*($Z$3/1000)/100,1)</f>
        <v/>
      </c>
      <c r="J880" t="inlineStr"/>
      <c r="K880" t="inlineStr"/>
      <c r="L880" t="inlineStr"/>
      <c r="M880" t="inlineStr"/>
      <c r="N880" t="inlineStr"/>
      <c r="O880" t="n">
        <v>0</v>
      </c>
      <c r="P880">
        <f>IF(B892=0,0,O880/B892)</f>
        <v/>
      </c>
      <c r="Q880">
        <f>IFERROR(1/IF(Inputs!$B$40="pvp",15,MAX(0.1,Skills!D26-IF(Skills!E26=TRUE,Inputs!$B$34,0))),0)</f>
        <v/>
      </c>
      <c r="R880" t="n">
        <v>0</v>
      </c>
    </row>
    <row r="882">
      <c r="A882" t="inlineStr">
        <is>
          <t>Average Buff Multiplier</t>
        </is>
      </c>
      <c r="B882">
        <f>(1+(IF(C857=TRUE,F857*IF(AND(Inputs!$B$40&lt;&gt;"pvp",Inputs!$B$43&gt;0),(((R857-1)*(Skills!S3*(1+(Inputs!$B$36+IF(Inputs!$B$3&gt;=117,F879,0))/100))+MIN((Skills!S3*(1+(Inputs!$B$36+IF(Inputs!$B$3&gt;=117,F879,0))/100)),MAX(0,Inputs!$B$43-((R857-1)*Skills!D3))))/Inputs!$B$43),IF(Inputs!$B$40="pvp",MIN((Skills!S3*(1+(Inputs!$B$36+IF(Inputs!$B$3&gt;=117,F879,0))/100)),15)/15,(Skills!S3*(1+(Inputs!$B$36+IF(Inputs!$B$3&gt;=117,F879,0))/100))/Skills!D3)),0)+IF(C858=TRUE,F858*IF(AND(Inputs!$B$40&lt;&gt;"pvp",Inputs!$B$43&gt;0),(((R858-1)*(Skills!S4*(1+(Inputs!$B$36+IF(Inputs!$B$3&gt;=117,F879,0))/100))+MIN((Skills!S4*(1+(Inputs!$B$36+IF(Inputs!$B$3&gt;=117,F879,0))/100)),MAX(0,Inputs!$B$43-((R858-1)*Skills!D4))))/Inputs!$B$43),IF(Inputs!$B$40="pvp",MIN((Skills!S4*(1+(Inputs!$B$36+IF(Inputs!$B$3&gt;=117,F879,0))/100)),15)/15,(Skills!S4*(1+(Inputs!$B$36+IF(Inputs!$B$3&gt;=117,F879,0))/100))/Skills!D4)),0)+IF(C859=TRUE,F859*IF(AND(Inputs!$B$40&lt;&gt;"pvp",Inputs!$B$43&gt;0),(((R859-1)*(Skills!S5*(1+(Inputs!$B$36+IF(Inputs!$B$3&gt;=117,F879,0))/100))+MIN((Skills!S5*(1+(Inputs!$B$36+IF(Inputs!$B$3&gt;=117,F879,0))/100)),MAX(0,Inputs!$B$43-((R859-1)*Skills!D5))))/Inputs!$B$43),IF(Inputs!$B$40="pvp",MIN((Skills!S5*(1+(Inputs!$B$36+IF(Inputs!$B$3&gt;=117,F879,0))/100)),15)/15,(Skills!S5*(1+(Inputs!$B$36+IF(Inputs!$B$3&gt;=117,F879,0))/100))/Skills!D5)),0)+IF(C865=TRUE,F865*IF(AND(Inputs!$B$40&lt;&gt;"pvp",Inputs!$B$43&gt;0),(((R865-1)*(Skills!S11*(1+(Inputs!$B$36+IF(Inputs!$B$3&gt;=117,F879,0))/100))+MIN((Skills!S11*(1+(Inputs!$B$36+IF(Inputs!$B$3&gt;=117,F879,0))/100)),MAX(0,Inputs!$B$43-((R865-1)*Skills!D11))))/Inputs!$B$43),IF(Inputs!$B$40="pvp",MIN((Skills!S11*(1+(Inputs!$B$36+IF(Inputs!$B$3&gt;=117,F879,0))/100)),15)/15,(Skills!S11*(1+(Inputs!$B$36+IF(Inputs!$B$3&gt;=117,F879,0))/100))/Skills!D11)),0))/100)*IF(C867=TRUE,(1+F867*IF(AND(Inputs!$B$40&lt;&gt;"pvp",Inputs!$B$43&gt;0),(((R867-1)*(Skills!S13*(1+(Inputs!$B$36+IF(Inputs!$B$3&gt;=117,F879,0))/100))+MIN((Skills!S13*(1+(Inputs!$B$36+IF(Inputs!$B$3&gt;=117,F879,0))/100)),MAX(0,Inputs!$B$43-((R867-1)*Skills!D13))))/Inputs!$B$43),IF(Inputs!$B$40="pvp",MIN((Skills!S13*(1+(Inputs!$B$36+IF(Inputs!$B$3&gt;=117,F879,0))/100)),15)/15,(Skills!S13*(1+(Inputs!$B$36+IF(Inputs!$B$3&gt;=117,F879,0))/100))/Skills!D13))/100),1)*IF(C872=TRUE,(1+F872*IF(AND(Inputs!$B$40&lt;&gt;"pvp",Inputs!$B$43&gt;0),(((R872-1)*(Skills!S18*(1+(Inputs!$B$36+IF(Inputs!$B$3&gt;=117,F879,0))/100))+MIN((Skills!S18*(1+(Inputs!$B$36+IF(Inputs!$B$3&gt;=117,F879,0))/100)),MAX(0,Inputs!$B$43-((R872-1)*Skills!D18))))/Inputs!$B$43),IF(Inputs!$B$40="pvp",MIN((Skills!S18*(1+(Inputs!$B$36+IF(Inputs!$B$3&gt;=117,F879,0))/100)),15)/15,(Skills!S18*(1+(Inputs!$B$36+IF(Inputs!$B$3&gt;=117,F879,0))/100))/Skills!D18))/100),1)</f>
        <v/>
      </c>
    </row>
    <row r="883">
      <c r="A883" t="inlineStr">
        <is>
          <t>Monster Damage Taken Bonus % (Holy Fountain)</t>
        </is>
      </c>
      <c r="B883">
        <f>IF(Inputs!$B$3&gt;=68,20*IF(Inputs!$B$40="pvp",MIN((15*(1+(Inputs!$B$36+IF(Inputs!$B$3&gt;=117,F879,0))/100)),15)/15,(15*(1+(Inputs!$B$36+IF(Inputs!$B$3&gt;=117,F879,0))/100))/Skills!D10),0)</f>
        <v/>
      </c>
    </row>
    <row r="884">
      <c r="A884" t="inlineStr">
        <is>
          <t>Normal Monster Damage Bonus % (Holy Symbol)</t>
        </is>
      </c>
      <c r="B884">
        <f>IF(C866=TRUE,F866*IF(AND(Inputs!$B$40&lt;&gt;"pvp",Inputs!$B$43&gt;0),(((R866-1)*(Skills!S12*(1+(Inputs!$B$36+IF(Inputs!$B$3&gt;=117,F879,0))/100))+MIN((Skills!S12*(1+(Inputs!$B$36+IF(Inputs!$B$3&gt;=117,F879,0))/100)),MAX(0,Inputs!$B$43-((R866-1)*Skills!D12))))/Inputs!$B$43),IF(Inputs!$B$40="pvp",MIN((Skills!S12*(1+(Inputs!$B$36+IF(Inputs!$B$3&gt;=117,F879,0))/100)),15)/15,(Skills!S12*(1+(Inputs!$B$36+IF(Inputs!$B$3&gt;=117,F879,0))/100))/Skills!D12)),0)</f>
        <v/>
      </c>
    </row>
    <row r="885">
      <c r="A885" t="inlineStr">
        <is>
          <t>Damage % Bonus (Holy Symbol - Damage Boost)</t>
        </is>
      </c>
      <c r="B885">
        <f>Skills!O12</f>
        <v/>
      </c>
    </row>
    <row r="886">
      <c r="A886" t="inlineStr">
        <is>
          <t>Crit Damage % Bonus (Blood of the Divine)</t>
        </is>
      </c>
      <c r="B886">
        <f>4*IF(C873=TRUE,F873,0)</f>
        <v/>
      </c>
    </row>
    <row r="887">
      <c r="A887" t="inlineStr">
        <is>
          <t>Attack Speed Bonus %</t>
        </is>
      </c>
      <c r="B887">
        <f>IF(C870=TRUE,F870+(F874-Calc!F20),0)+IF(Inputs!$B$3&gt;=134,15,0)</f>
        <v/>
      </c>
    </row>
    <row r="888">
      <c r="A888" t="inlineStr">
        <is>
          <t>Actions Per Second</t>
        </is>
      </c>
      <c r="B888">
        <f>1+MIN(150,150*(1-(1-Inputs!$B$13/150)*(1-B887/150)))/100</f>
        <v/>
      </c>
    </row>
    <row r="889">
      <c r="A889" t="inlineStr">
        <is>
          <t>Skill + Buff Cast Rate</t>
        </is>
      </c>
      <c r="B889">
        <f>IF(AND(Inputs!$B$40&lt;&gt;"pvp",Inputs!$B$43&gt;0),SUMPRODUCT((Skills!E2:E26=TRUE)*(C856:C880=TRUE)*R856:R880)/Inputs!$B$43,SUMPRODUCT((Skills!E2:E26=TRUE)*(C856:C880=TRUE)*Q856:Q880))</f>
        <v/>
      </c>
    </row>
    <row r="890">
      <c r="A890" t="inlineStr">
        <is>
          <t>Big Bang Casts Per Second</t>
        </is>
      </c>
      <c r="B890">
        <f>MAX(0,B888-B889)</f>
        <v/>
      </c>
    </row>
    <row r="892">
      <c r="A892" s="5" t="inlineStr">
        <is>
          <t>TOTAL DPS</t>
        </is>
      </c>
      <c r="B892" s="5">
        <f>SUM(O856:O880)</f>
        <v/>
      </c>
    </row>
    <row r="895">
      <c r="A895" s="5" t="inlineStr">
        <is>
          <t>Stat: Skill Level Bonus — All Skills</t>
        </is>
      </c>
    </row>
    <row r="896">
      <c r="A896" s="9" t="inlineStr">
        <is>
          <t>Key</t>
        </is>
      </c>
      <c r="B896" s="9" t="inlineStr">
        <is>
          <t>Name</t>
        </is>
      </c>
      <c r="C896" s="9" t="inlineStr">
        <is>
          <t>Unlocked</t>
        </is>
      </c>
      <c r="D896" s="9" t="inlineStr">
        <is>
          <t>InputLevel</t>
        </is>
      </c>
      <c r="E896" s="9" t="inlineStr">
        <is>
          <t>Factor</t>
        </is>
      </c>
      <c r="F896" s="9" t="inlineStr">
        <is>
          <t>CoefficientPercent</t>
        </is>
      </c>
      <c r="G896" s="9" t="inlineStr">
        <is>
          <t>EffectiveHits</t>
        </is>
      </c>
      <c r="H896" s="9" t="inlineStr">
        <is>
          <t>ProcProbability</t>
        </is>
      </c>
      <c r="I896" s="9" t="inlineStr">
        <is>
          <t>MapleHeroMultiplier</t>
        </is>
      </c>
      <c r="J896" s="9" t="inlineStr">
        <is>
          <t>BaseDamage</t>
        </is>
      </c>
      <c r="K896" s="9" t="inlineStr">
        <is>
          <t>BaseHitDamage</t>
        </is>
      </c>
      <c r="L896" s="9" t="inlineStr">
        <is>
          <t>NonCritAvg</t>
        </is>
      </c>
      <c r="M896" s="9" t="inlineStr">
        <is>
          <t>CritAvg</t>
        </is>
      </c>
      <c r="N896" s="9" t="inlineStr">
        <is>
          <t>ExpectedDamage(perHit)</t>
        </is>
      </c>
      <c r="O896" s="9" t="inlineStr">
        <is>
          <t>DPS</t>
        </is>
      </c>
      <c r="P896" s="9" t="inlineStr">
        <is>
          <t>% of Total</t>
        </is>
      </c>
      <c r="R896" t="inlineStr">
        <is>
          <t>helpers</t>
        </is>
      </c>
    </row>
    <row r="897">
      <c r="A897">
        <f>Skills!A2</f>
        <v/>
      </c>
      <c r="B897">
        <f>Skills!B2</f>
        <v/>
      </c>
      <c r="C897">
        <f>Inputs!$B$3&gt;=100</f>
        <v/>
      </c>
      <c r="D897" t="inlineStr"/>
      <c r="E897" t="inlineStr"/>
      <c r="F897">
        <f>T899+Skills!N2</f>
        <v/>
      </c>
      <c r="G897">
        <f>Calc!G2</f>
        <v/>
      </c>
      <c r="H897">
        <f>Calc!H2</f>
        <v/>
      </c>
      <c r="I897">
        <f>IF(Skills!T2&lt;&gt;"",1+(Skills!T2/10)*($Z$3/1000)/100,1)</f>
        <v/>
      </c>
      <c r="J897">
        <f>(Inputs!$B$7*(1+Inputs!$B$8/100))*(F897/100)</f>
        <v/>
      </c>
      <c r="K897">
        <f>J897*(1+(((Inputs!$B$14+IF(Inputs!$B$3&gt;=35,0.10*(Inputs!$B$9*(1+Inputs!$B$10/100)),0))*(1+Inputs!$B$15/100))*0.01+Inputs!$B$16*0.0025)/100)*(1+(Inputs!$B$17+B926)/100)*(1+IF(Inputs!$B$40="pvp",0,(1-Summary!$B$48)*(Inputs!$B$22+Skills!O2+B924)+Summary!$B$48*(Inputs!$B$23+Skills!P2+B925))/100)*(1+Inputs!$B$18/100)*(5000/(6000+Inputs!$B$42*(1-Inputs!$B$21/100)))*(1+Inputs!$B$26/100)*(1+IF(C912=TRUE,F912,0)/100)*(1+IF(C914=TRUE,F914,0)/100)*(1+IF(Skills!A2="TRIUMPH_FEATHER",IF(C910=TRUE,F910,0),0)/100)*(1+IF(C921=TRUE,F921,0)/100)^5*(1+(IF(Skills!A2="BIG_BANG",Inputs!$B$19,Inputs!$B$20))/100)*(B923*I897)</f>
        <v/>
      </c>
      <c r="L897">
        <f>K897*(MIN(Inputs!$B$24+(F916-Calc!F21),Inputs!$B$25)/100+Inputs!$B$25/100)/2</f>
        <v/>
      </c>
      <c r="M897">
        <f>L897*(1+(Inputs!$B$12+B927+(F919-Calc!F24))/100)</f>
        <v/>
      </c>
      <c r="N897">
        <f>L897*(1-MIN(Inputs!$B$11+((F918-Calc!F23)+(F917-Calc!F22)),100)/100)+M897*(MIN(Inputs!$B$11+((F918-Calc!F23)+(F917-Calc!F22)),100)/100)</f>
        <v/>
      </c>
      <c r="O897">
        <f>IF(C897,Skills!F2*N897*B931*IF(Inputs!$B$40="pvp",1,(1-Summary!$B$48)*(1)+Summary!$B$48*(MIN((6+Inputs!$B$35),Inputs!$B$39))),0)</f>
        <v/>
      </c>
      <c r="P897">
        <f>IF(B933=0,0,O897/B933)</f>
        <v/>
      </c>
      <c r="Q897">
        <f>IFERROR(1/IF(Inputs!$B$40="pvp",15,MAX(0.1,Skills!D2-IF(Skills!E2=TRUE,Inputs!$B$34,0))),0)</f>
        <v/>
      </c>
      <c r="R897" t="n">
        <v>0</v>
      </c>
      <c r="T897">
        <f>MAX(0,(Inputs!$B$3-100)*3)+Inputs!$B$30+(Inputs!$B$31+1)</f>
        <v/>
      </c>
    </row>
    <row r="898">
      <c r="A898">
        <f>Skills!A3</f>
        <v/>
      </c>
      <c r="B898">
        <f>Skills!B3</f>
        <v/>
      </c>
      <c r="C898">
        <f>Inputs!$B$3&gt;=15</f>
        <v/>
      </c>
      <c r="D898">
        <f>IF(Skills!C3=1,60+Inputs!$B$27+(Inputs!$B$31+1),IF(Skills!C3=2,90+Inputs!$B$28+(Inputs!$B$31+1),IF(Skills!C3=3,120+Inputs!$B$29+(Inputs!$B$31+1),MAX(0,(Inputs!$B$3-100)*3)+Inputs!$B$30+(Inputs!$B$31+1))))</f>
        <v/>
      </c>
      <c r="E898">
        <f>INDEX(FactorTable!$B$2:$Y$301, MATCH(ROUND(MIN(300,MAX(1,D898)),0), FactorTable!$A$2:$A$301,0), Skills!L3+1)</f>
        <v/>
      </c>
      <c r="F898">
        <f>IF(Skills!M3=TRUE,(Skills!K3/10)*(E898/1000),Skills!K3/10)+Skills!N3</f>
        <v/>
      </c>
      <c r="G898">
        <f>Calc!G3</f>
        <v/>
      </c>
      <c r="H898">
        <f>Calc!H3</f>
        <v/>
      </c>
      <c r="I898">
        <f>IF(Skills!T3&lt;&gt;"",1+(Skills!T3/10)*($Z$3/1000)/100,1)</f>
        <v/>
      </c>
      <c r="J898" t="inlineStr"/>
      <c r="K898" t="inlineStr"/>
      <c r="L898" t="inlineStr"/>
      <c r="M898" t="inlineStr"/>
      <c r="N898" t="inlineStr"/>
      <c r="O898" t="n">
        <v>0</v>
      </c>
      <c r="P898">
        <f>IF(B933=0,0,O898/B933)</f>
        <v/>
      </c>
      <c r="Q898">
        <f>IFERROR(1/IF(Inputs!$B$40="pvp",15,MAX(0.1,Skills!D3-IF(Skills!E3=TRUE,Inputs!$B$34,0))),0)</f>
        <v/>
      </c>
      <c r="R898">
        <f>IF(AND(Inputs!$B$40&lt;&gt;"pvp",Inputs!$B$43&gt;0),(INT(Inputs!$B$43/IF(Inputs!$B$40="pvp",15,MAX(0.1,Skills!D3-IF(Skills!E3=TRUE,Inputs!$B$34,0))))+1),0)</f>
        <v/>
      </c>
      <c r="T898">
        <f>INDEX(FactorTable!$B$2:$Y$301, MATCH(ROUND(MIN(300,MAX(1,T897)),0), FactorTable!$A$2:$A$301,0), 22)</f>
        <v/>
      </c>
    </row>
    <row r="899">
      <c r="A899">
        <f>Skills!A4</f>
        <v/>
      </c>
      <c r="B899">
        <f>Skills!B4</f>
        <v/>
      </c>
      <c r="C899">
        <f>Inputs!$B$3&gt;=38</f>
        <v/>
      </c>
      <c r="D899">
        <f>IF(Skills!C4=1,60+Inputs!$B$27+(Inputs!$B$31+1),IF(Skills!C4=2,90+Inputs!$B$28+(Inputs!$B$31+1),IF(Skills!C4=3,120+Inputs!$B$29+(Inputs!$B$31+1),MAX(0,(Inputs!$B$3-100)*3)+Inputs!$B$30+(Inputs!$B$31+1))))</f>
        <v/>
      </c>
      <c r="E899">
        <f>INDEX(FactorTable!$B$2:$Y$301, MATCH(ROUND(MIN(300,MAX(1,D899)),0), FactorTable!$A$2:$A$301,0), Skills!L4+1)</f>
        <v/>
      </c>
      <c r="F899">
        <f>IF(Skills!M4=TRUE,(Skills!K4/10)*(E899/1000),Skills!K4/10)+Skills!N4</f>
        <v/>
      </c>
      <c r="G899">
        <f>Calc!G4</f>
        <v/>
      </c>
      <c r="H899">
        <f>Calc!H4</f>
        <v/>
      </c>
      <c r="I899">
        <f>IF(Skills!T4&lt;&gt;"",1+(Skills!T4/10)*($Z$3/1000)/100,1)</f>
        <v/>
      </c>
      <c r="J899" t="inlineStr"/>
      <c r="K899" t="inlineStr"/>
      <c r="L899" t="inlineStr"/>
      <c r="M899" t="inlineStr"/>
      <c r="N899" t="inlineStr"/>
      <c r="O899" t="n">
        <v>0</v>
      </c>
      <c r="P899">
        <f>IF(B933=0,0,O899/B933)</f>
        <v/>
      </c>
      <c r="Q899">
        <f>IFERROR(1/IF(Inputs!$B$40="pvp",15,MAX(0.1,Skills!D4-IF(Skills!E4=TRUE,Inputs!$B$34,0))),0)</f>
        <v/>
      </c>
      <c r="R899">
        <f>IF(AND(Inputs!$B$40&lt;&gt;"pvp",Inputs!$B$43&gt;0),(INT(Inputs!$B$43/IF(Inputs!$B$40="pvp",15,MAX(0.1,Skills!D4-IF(Skills!E4=TRUE,Inputs!$B$34,0))))+1),0)</f>
        <v/>
      </c>
      <c r="T899">
        <f>290*T898/1000</f>
        <v/>
      </c>
    </row>
    <row r="900">
      <c r="A900">
        <f>Skills!A5</f>
        <v/>
      </c>
      <c r="B900">
        <f>Skills!B5</f>
        <v/>
      </c>
      <c r="C900">
        <f>Inputs!$B$3&gt;=40</f>
        <v/>
      </c>
      <c r="D900">
        <f>IF(Skills!C5=1,60+Inputs!$B$27+(Inputs!$B$31+1),IF(Skills!C5=2,90+Inputs!$B$28+(Inputs!$B$31+1),IF(Skills!C5=3,120+Inputs!$B$29+(Inputs!$B$31+1),MAX(0,(Inputs!$B$3-100)*3)+Inputs!$B$30+(Inputs!$B$31+1))))</f>
        <v/>
      </c>
      <c r="E900">
        <f>INDEX(FactorTable!$B$2:$Y$301, MATCH(ROUND(MIN(300,MAX(1,D900)),0), FactorTable!$A$2:$A$301,0), Skills!L5+1)</f>
        <v/>
      </c>
      <c r="F900">
        <f>IF(Skills!M5=TRUE,(Skills!K5/10)*(E900/1000),Skills!K5/10)+Skills!N5</f>
        <v/>
      </c>
      <c r="G900">
        <f>Calc!G5</f>
        <v/>
      </c>
      <c r="H900">
        <f>Calc!H5</f>
        <v/>
      </c>
      <c r="I900">
        <f>IF(Skills!T5&lt;&gt;"",1+(Skills!T5/10)*($Z$3/1000)/100,1)</f>
        <v/>
      </c>
      <c r="J900" t="inlineStr"/>
      <c r="K900" t="inlineStr"/>
      <c r="L900" t="inlineStr"/>
      <c r="M900" t="inlineStr"/>
      <c r="N900" t="inlineStr"/>
      <c r="O900" t="n">
        <v>0</v>
      </c>
      <c r="P900">
        <f>IF(B933=0,0,O900/B933)</f>
        <v/>
      </c>
      <c r="Q900">
        <f>IFERROR(1/IF(Inputs!$B$40="pvp",15,MAX(0.1,Skills!D5-IF(Skills!E5=TRUE,Inputs!$B$34,0))),0)</f>
        <v/>
      </c>
      <c r="R900">
        <f>IF(AND(Inputs!$B$40&lt;&gt;"pvp",Inputs!$B$43&gt;0),(INT(Inputs!$B$43/IF(Inputs!$B$40="pvp",15,MAX(0.1,Skills!D5-IF(Skills!E5=TRUE,Inputs!$B$34,0))))+1),0)</f>
        <v/>
      </c>
    </row>
    <row r="901">
      <c r="A901">
        <f>Skills!A6</f>
        <v/>
      </c>
      <c r="B901">
        <f>Skills!B6</f>
        <v/>
      </c>
      <c r="C901">
        <f>Inputs!$B$3&gt;=103</f>
        <v/>
      </c>
      <c r="D901">
        <f>IF(Skills!C6=1,60+Inputs!$B$27+(Inputs!$B$31+1),IF(Skills!C6=2,90+Inputs!$B$28+(Inputs!$B$31+1),IF(Skills!C6=3,120+Inputs!$B$29+(Inputs!$B$31+1),MAX(0,(Inputs!$B$3-100)*3)+Inputs!$B$30+(Inputs!$B$31+1))))</f>
        <v/>
      </c>
      <c r="E901">
        <f>INDEX(FactorTable!$B$2:$Y$301, MATCH(ROUND(MIN(300,MAX(1,D901)),0), FactorTable!$A$2:$A$301,0), Skills!L6+1)</f>
        <v/>
      </c>
      <c r="F901">
        <f>IF(Skills!M6=TRUE,(Skills!K6/10)*(E901/1000),Skills!K6/10)+Skills!N6</f>
        <v/>
      </c>
      <c r="G901">
        <f>Calc!G6</f>
        <v/>
      </c>
      <c r="H901">
        <f>Calc!H6</f>
        <v/>
      </c>
      <c r="I901">
        <f>IF(Skills!T6&lt;&gt;"",1+(Skills!T6/10)*($Z$3/1000)/100,1)</f>
        <v/>
      </c>
      <c r="J901">
        <f>(Inputs!$B$7*(1+Inputs!$B$8/100))*(F901/100)</f>
        <v/>
      </c>
      <c r="K901">
        <f>J901*(1+(((Inputs!$B$14+IF(Inputs!$B$3&gt;=35,0.10*(Inputs!$B$9*(1+Inputs!$B$10/100)),0))*(1+Inputs!$B$15/100))*0.01+Inputs!$B$16*0.0025)/100)*(1+(Inputs!$B$17+B926)/100)*(1+IF(Inputs!$B$40="pvp",0,(1-Summary!$B$48)*(Inputs!$B$22+Skills!O6+B924)+Summary!$B$48*(Inputs!$B$23+Skills!P6+B925))/100)*(1+Inputs!$B$18/100)*(5000/(6000+Inputs!$B$42*(1-Inputs!$B$21/100)))*(1+Inputs!$B$26/100)*(1+IF(C912=TRUE,F912,0)/100)*(1+IF(C914=TRUE,F914,0)/100)*(1+IF(Skills!A6="TRIUMPH_FEATHER",IF(C910=TRUE,F910,0),0)/100)*(1+IF(C921=TRUE,F921,0)/100)^5*(1+(IF(Skills!A6="BIG_BANG",Inputs!$B$19,Inputs!$B$20))/100)*(B923*I901)</f>
        <v/>
      </c>
      <c r="L901">
        <f>K901*(MIN(Inputs!$B$24+(F916-Calc!F21),Inputs!$B$25)/100+Inputs!$B$25/100)/2</f>
        <v/>
      </c>
      <c r="M901">
        <f>L901*(1+(Inputs!$B$12+B927+(F919-Calc!F24))/100)</f>
        <v/>
      </c>
      <c r="N901">
        <f>L901*(1-MIN(Inputs!$B$11+((F918-Calc!F23)+(F917-Calc!F22)),100)/100)+M901*(MIN(Inputs!$B$11+((F918-Calc!F23)+(F917-Calc!F22)),100)/100)</f>
        <v/>
      </c>
      <c r="O901">
        <f>IF(C901,H901*N901*IF(AND(Inputs!$B$40&lt;&gt;"pvp",Inputs!$B$43&gt;0),((Skills!F6*((R901-1)*IF(Skills!G6&gt;0,Skills!H6/Skills!G6,1)+IF(Skills!G6&gt;0,MIN(Skills!H6,MAX(0,Inputs!$B$43-((R901-1)*IF(Inputs!$B$40="pvp",15,MAX(0.1,Skills!D6-IF(Skills!E6=TRUE,Inputs!$B$34,0))))))/Skills!G6,1)))/Inputs!$B$43),G901*Q901)*IF(Inputs!$B$40="pvp",1,(1-Summary!$B$48)*(1)+Summary!$B$48*(MIN(Skills!Q6,Inputs!$B$39))),0)</f>
        <v/>
      </c>
      <c r="P901">
        <f>IF(B933=0,0,O901/B933)</f>
        <v/>
      </c>
      <c r="Q901">
        <f>IFERROR(1/IF(Inputs!$B$40="pvp",15,MAX(0.1,Skills!D6-IF(Skills!E6=TRUE,Inputs!$B$34,0))),0)</f>
        <v/>
      </c>
      <c r="R901">
        <f>IF(AND(Inputs!$B$40&lt;&gt;"pvp",Inputs!$B$43&gt;0),(INT(Inputs!$B$43/IF(Inputs!$B$40="pvp",15,MAX(0.1,Skills!D6-IF(Skills!E6=TRUE,Inputs!$B$34,0))))+1),0)</f>
        <v/>
      </c>
    </row>
    <row r="902">
      <c r="A902">
        <f>Skills!A7</f>
        <v/>
      </c>
      <c r="B902">
        <f>Skills!B7</f>
        <v/>
      </c>
      <c r="C902">
        <f>Inputs!$B$3&gt;=122</f>
        <v/>
      </c>
      <c r="D902">
        <f>IF(Skills!C7=1,60+Inputs!$B$27+(Inputs!$B$31+1),IF(Skills!C7=2,90+Inputs!$B$28+(Inputs!$B$31+1),IF(Skills!C7=3,120+Inputs!$B$29+(Inputs!$B$31+1),MAX(0,(Inputs!$B$3-100)*3)+Inputs!$B$30+(Inputs!$B$31+1))))</f>
        <v/>
      </c>
      <c r="E902">
        <f>INDEX(FactorTable!$B$2:$Y$301, MATCH(ROUND(MIN(300,MAX(1,D902)),0), FactorTable!$A$2:$A$301,0), Skills!L7+1)</f>
        <v/>
      </c>
      <c r="F902">
        <f>IF(Skills!M7=TRUE,(Skills!K7/10)*(E902/1000),Skills!K7/10)+Skills!N7</f>
        <v/>
      </c>
      <c r="G902">
        <f>Calc!G7</f>
        <v/>
      </c>
      <c r="H902">
        <f>Calc!H7</f>
        <v/>
      </c>
      <c r="I902">
        <f>IF(Skills!T7&lt;&gt;"",1+(Skills!T7/10)*($Z$3/1000)/100,1)</f>
        <v/>
      </c>
      <c r="J902">
        <f>(Inputs!$B$7*(1+Inputs!$B$8/100))*(F902/100)</f>
        <v/>
      </c>
      <c r="K902">
        <f>J902*(1+(((Inputs!$B$14+IF(Inputs!$B$3&gt;=35,0.10*(Inputs!$B$9*(1+Inputs!$B$10/100)),0))*(1+Inputs!$B$15/100))*0.01+Inputs!$B$16*0.0025)/100)*(1+(Inputs!$B$17+B926)/100)*(1+IF(Inputs!$B$40="pvp",0,(1-Summary!$B$48)*(Inputs!$B$22+Skills!O7+B924)+Summary!$B$48*(Inputs!$B$23+Skills!P7+B925))/100)*(1+Inputs!$B$18/100)*(5000/(6000+Inputs!$B$42*(1-Inputs!$B$21/100)))*(1+Inputs!$B$26/100)*(1+IF(C912=TRUE,F912,0)/100)*(1+IF(C914=TRUE,F914,0)/100)*(1+IF(Skills!A7="TRIUMPH_FEATHER",IF(C910=TRUE,F910,0),0)/100)*(1+IF(C921=TRUE,F921,0)/100)^5*(1+(IF(Skills!A7="BIG_BANG",Inputs!$B$19,Inputs!$B$20))/100)*(B923*I902)</f>
        <v/>
      </c>
      <c r="L902">
        <f>K902*(MIN(Inputs!$B$24+(F916-Calc!F21),Inputs!$B$25)/100+Inputs!$B$25/100)/2</f>
        <v/>
      </c>
      <c r="M902">
        <f>L902*(1+(Inputs!$B$12+B927+(F919-Calc!F24))/100)</f>
        <v/>
      </c>
      <c r="N902">
        <f>L902*(1-MIN(Inputs!$B$11+((F918-Calc!F23)+(F917-Calc!F22)),100)/100)+M902*(MIN(Inputs!$B$11+((F918-Calc!F23)+(F917-Calc!F22)),100)/100)</f>
        <v/>
      </c>
      <c r="O902">
        <f>IF(C902,H902*N902*IF(AND(Inputs!$B$40&lt;&gt;"pvp",Inputs!$B$43&gt;0),((Skills!F7*((R902-1)*IF(Skills!G7&gt;0,Skills!H7/Skills!G7,1)+IF(Skills!G7&gt;0,MIN(Skills!H7,MAX(0,Inputs!$B$43-((R902-1)*IF(Inputs!$B$40="pvp",15,MAX(0.1,Skills!D7-IF(Skills!E6=TRUE,Inputs!$B$34,0))))))/Skills!G7,1)))/Inputs!$B$43),G902*Q902)*(1-Summary!$B$48),0)</f>
        <v/>
      </c>
      <c r="P902">
        <f>IF(B933=0,0,O902/B933)</f>
        <v/>
      </c>
      <c r="Q902">
        <f>IFERROR(1/IF(Inputs!$B$40="pvp",15,MAX(0.1,Skills!D7-IF(Skills!E6=TRUE,Inputs!$B$34,0))),0)</f>
        <v/>
      </c>
      <c r="R902">
        <f>IF(AND(Inputs!$B$40&lt;&gt;"pvp",Inputs!$B$43&gt;0),(INT(Inputs!$B$43/IF(Inputs!$B$40="pvp",15,MAX(0.1,Skills!D7-IF(Skills!E6=TRUE,Inputs!$B$34,0))))+1),0)</f>
        <v/>
      </c>
    </row>
    <row r="903">
      <c r="A903">
        <f>Skills!A8</f>
        <v/>
      </c>
      <c r="B903">
        <f>Skills!B8</f>
        <v/>
      </c>
      <c r="C903">
        <f>Inputs!$B$3&gt;=105</f>
        <v/>
      </c>
      <c r="D903">
        <f>IF(Skills!C8=1,60+Inputs!$B$27+(Inputs!$B$31+1),IF(Skills!C8=2,90+Inputs!$B$28+(Inputs!$B$31+1),IF(Skills!C8=3,120+Inputs!$B$29+(Inputs!$B$31+1),MAX(0,(Inputs!$B$3-100)*3)+Inputs!$B$30+(Inputs!$B$31+1))))</f>
        <v/>
      </c>
      <c r="E903">
        <f>INDEX(FactorTable!$B$2:$Y$301, MATCH(ROUND(MIN(300,MAX(1,D903)),0), FactorTable!$A$2:$A$301,0), Skills!L8+1)</f>
        <v/>
      </c>
      <c r="F903">
        <f>IF(Skills!M8=TRUE,(Skills!K8/10)*(E903/1000),Skills!K8/10)+Skills!N8</f>
        <v/>
      </c>
      <c r="G903">
        <f>Calc!G8</f>
        <v/>
      </c>
      <c r="H903">
        <f>Calc!H8</f>
        <v/>
      </c>
      <c r="I903">
        <f>IF(Skills!T8&lt;&gt;"",1+(Skills!T8/10)*($Z$3/1000)/100,1)</f>
        <v/>
      </c>
      <c r="J903">
        <f>(Inputs!$B$7*(1+Inputs!$B$8/100))*(F903/100)</f>
        <v/>
      </c>
      <c r="K903">
        <f>J903*(1+(((Inputs!$B$14+IF(Inputs!$B$3&gt;=35,0.10*(Inputs!$B$9*(1+Inputs!$B$10/100)),0))*(1+Inputs!$B$15/100))*0.01+Inputs!$B$16*0.0025)/100)*(1+(Inputs!$B$17+B926)/100)*(1+IF(Inputs!$B$40="pvp",0,(1-Summary!$B$48)*(Inputs!$B$22+Skills!O8+B924)+Summary!$B$48*(Inputs!$B$23+Skills!P8+B925))/100)*(1+Inputs!$B$18/100)*(5000/(6000+Inputs!$B$42*(1-Inputs!$B$21/100)))*(1+Inputs!$B$26/100)*(1+IF(C912=TRUE,F912,0)/100)*(1+IF(C914=TRUE,F914,0)/100)*(1+IF(Skills!A8="TRIUMPH_FEATHER",IF(C910=TRUE,F910,0),0)/100)*(1+IF(C921=TRUE,F921,0)/100)^5*(1+(IF(Skills!A8="BIG_BANG",Inputs!$B$19,Inputs!$B$20))/100)*(B923*I903)</f>
        <v/>
      </c>
      <c r="L903">
        <f>K903*(MIN(Inputs!$B$24+(F916-Calc!F21),Inputs!$B$25)/100+Inputs!$B$25/100)/2</f>
        <v/>
      </c>
      <c r="M903">
        <f>L903*(1+(Inputs!$B$12+B927+(F919-Calc!F24))/100)</f>
        <v/>
      </c>
      <c r="N903">
        <f>L903*(1-MIN(Inputs!$B$11+((F918-Calc!F23)+(F917-Calc!F22)),100)/100)+M903*(MIN(Inputs!$B$11+((F918-Calc!F23)+(F917-Calc!F22)),100)/100)</f>
        <v/>
      </c>
      <c r="O903">
        <f>IF(C903,H903*N903*IF(AND(Inputs!$B$40&lt;&gt;"pvp",Inputs!$B$43&gt;0),((Skills!F8*((R903-1)*IF(Skills!G8&gt;0,Skills!H8/Skills!G8,1)+IF(Skills!G8&gt;0,MIN(Skills!H8,MAX(0,Inputs!$B$43-((R903-1)*IF(Inputs!$B$40="pvp",15,MAX(0.1,Skills!D8-IF(Skills!E8=TRUE,Inputs!$B$34,0))))))/Skills!G8,1)))/Inputs!$B$43),G903*Q903)*IF(Inputs!$B$40="pvp",1,(1-Summary!$B$48)*(1)+Summary!$B$48*(MIN(Skills!Q8,Inputs!$B$39))),0)</f>
        <v/>
      </c>
      <c r="P903">
        <f>IF(B933=0,0,O903/B933)</f>
        <v/>
      </c>
      <c r="Q903">
        <f>IFERROR(1/IF(Inputs!$B$40="pvp",15,MAX(0.1,Skills!D8-IF(Skills!E8=TRUE,Inputs!$B$34,0))),0)</f>
        <v/>
      </c>
      <c r="R903">
        <f>IF(AND(Inputs!$B$40&lt;&gt;"pvp",Inputs!$B$43&gt;0),(INT(Inputs!$B$43/IF(Inputs!$B$40="pvp",15,MAX(0.1,Skills!D8-IF(Skills!E8=TRUE,Inputs!$B$34,0))))+1),0)</f>
        <v/>
      </c>
    </row>
    <row r="904">
      <c r="A904">
        <f>Skills!A9</f>
        <v/>
      </c>
      <c r="B904">
        <f>Skills!B9</f>
        <v/>
      </c>
      <c r="C904">
        <f>Inputs!$B$3&gt;=115</f>
        <v/>
      </c>
      <c r="D904">
        <f>IF(Skills!C9=1,60+Inputs!$B$27+(Inputs!$B$31+1),IF(Skills!C9=2,90+Inputs!$B$28+(Inputs!$B$31+1),IF(Skills!C9=3,120+Inputs!$B$29+(Inputs!$B$31+1),MAX(0,(Inputs!$B$3-100)*3)+Inputs!$B$30+(Inputs!$B$31+1))))</f>
        <v/>
      </c>
      <c r="E904">
        <f>INDEX(FactorTable!$B$2:$Y$301, MATCH(ROUND(MIN(300,MAX(1,D904)),0), FactorTable!$A$2:$A$301,0), Skills!L9+1)</f>
        <v/>
      </c>
      <c r="F904">
        <f>IF(Skills!M9=TRUE,(Skills!K9/10)*(E904/1000),Skills!K9/10)+Skills!N9</f>
        <v/>
      </c>
      <c r="G904">
        <f>Calc!G9</f>
        <v/>
      </c>
      <c r="H904">
        <f>Calc!H9</f>
        <v/>
      </c>
      <c r="I904">
        <f>IF(Skills!T9&lt;&gt;"",1+(Skills!T9/10)*($Z$3/1000)/100,1)</f>
        <v/>
      </c>
      <c r="J904">
        <f>(Inputs!$B$7*(1+Inputs!$B$8/100))*(F904/100)</f>
        <v/>
      </c>
      <c r="K904">
        <f>J904*(1+(((Inputs!$B$14+IF(Inputs!$B$3&gt;=35,0.10*(Inputs!$B$9*(1+Inputs!$B$10/100)),0))*(1+Inputs!$B$15/100))*0.01+Inputs!$B$16*0.0025)/100)*(1+(Inputs!$B$17+B926)/100)*(1+IF(Inputs!$B$40="pvp",0,(1-Summary!$B$48)*(Inputs!$B$22+Skills!O9+B924)+Summary!$B$48*(Inputs!$B$23+Skills!P9+B925))/100)*(1+Inputs!$B$18/100)*(5000/(6000+Inputs!$B$42*(1-Inputs!$B$21/100)))*(1+Inputs!$B$26/100)*(1+IF(C912=TRUE,F912,0)/100)*(1+IF(C914=TRUE,F914,0)/100)*(1+IF(Skills!A9="TRIUMPH_FEATHER",IF(C910=TRUE,F910,0),0)/100)*(1+IF(C921=TRUE,F921,0)/100)^5*(1+(IF(Skills!A9="BIG_BANG",Inputs!$B$19,Inputs!$B$20))/100)*(B923*I904)</f>
        <v/>
      </c>
      <c r="L904">
        <f>K904*(MIN(Inputs!$B$24+(F916-Calc!F21),Inputs!$B$25)/100+Inputs!$B$25/100)/2</f>
        <v/>
      </c>
      <c r="M904">
        <f>L904*(1+(Inputs!$B$12+B927+(F919-Calc!F24))/100)</f>
        <v/>
      </c>
      <c r="N904">
        <f>L904*(1-MIN(Inputs!$B$11+((F918-Calc!F23)+(F917-Calc!F22)),100)/100)+M904*(MIN(Inputs!$B$11+((F918-Calc!F23)+(F917-Calc!F22)),100)/100)</f>
        <v/>
      </c>
      <c r="O904">
        <f>IF(C904,H904*N904*IF(AND(Inputs!$B$40&lt;&gt;"pvp",Inputs!$B$43&gt;0),((Skills!F9*((R904-1)*IF(Skills!G9&gt;0,Skills!H9/Skills!G9,1)+IF(Skills!G9&gt;0,MIN(Skills!H9,MAX(0,Inputs!$B$43-((R904-1)*IF(Inputs!$B$40="pvp",15,MAX(0.1,Skills!D9-IF(Skills!E9=TRUE,Inputs!$B$34,0))))))/Skills!G9,1)))/Inputs!$B$43),G904*Q904)*IF(Inputs!$B$40="pvp",1,(1-Summary!$B$48)*(1)+Summary!$B$48*(MIN(Skills!Q9,Inputs!$B$39))),0)</f>
        <v/>
      </c>
      <c r="P904">
        <f>IF(B933=0,0,O904/B933)</f>
        <v/>
      </c>
      <c r="Q904">
        <f>IFERROR(1/IF(Inputs!$B$40="pvp",15,MAX(0.1,Skills!D9-IF(Skills!E9=TRUE,Inputs!$B$34,0))),0)</f>
        <v/>
      </c>
      <c r="R904">
        <f>IF(AND(Inputs!$B$40&lt;&gt;"pvp",Inputs!$B$43&gt;0),(INT(Inputs!$B$43/IF(Inputs!$B$40="pvp",15,MAX(0.1,Skills!D9-IF(Skills!E9=TRUE,Inputs!$B$34,0))))+1),0)</f>
        <v/>
      </c>
    </row>
    <row r="905">
      <c r="A905">
        <f>Skills!A10</f>
        <v/>
      </c>
      <c r="B905">
        <f>Skills!B10</f>
        <v/>
      </c>
      <c r="C905">
        <f>Inputs!$B$3&gt;=66</f>
        <v/>
      </c>
      <c r="D905">
        <f>IF(Skills!C10=1,60+Inputs!$B$27+(Inputs!$B$31+1),IF(Skills!C10=2,90+Inputs!$B$28+(Inputs!$B$31+1),IF(Skills!C10=3,120+Inputs!$B$29+(Inputs!$B$31+1),MAX(0,(Inputs!$B$3-100)*3)+Inputs!$B$30+(Inputs!$B$31+1))))</f>
        <v/>
      </c>
      <c r="E905">
        <f>INDEX(FactorTable!$B$2:$Y$301, MATCH(ROUND(MIN(300,MAX(1,D905)),0), FactorTable!$A$2:$A$301,0), Skills!L10+1)</f>
        <v/>
      </c>
      <c r="F905" t="n">
        <v>0</v>
      </c>
      <c r="G905">
        <f>Calc!G10</f>
        <v/>
      </c>
      <c r="H905">
        <f>Calc!H10</f>
        <v/>
      </c>
      <c r="I905">
        <f>IF(Skills!T10&lt;&gt;"",1+(Skills!T10/10)*($Z$3/1000)/100,1)</f>
        <v/>
      </c>
      <c r="J905" t="inlineStr"/>
      <c r="K905" t="inlineStr"/>
      <c r="L905" t="inlineStr"/>
      <c r="M905" t="inlineStr"/>
      <c r="N905" t="inlineStr"/>
      <c r="O905" t="n">
        <v>0</v>
      </c>
      <c r="P905">
        <f>IF(B933=0,0,O905/B933)</f>
        <v/>
      </c>
      <c r="Q905">
        <f>IFERROR(1/IF(Inputs!$B$40="pvp",15,MAX(0.1,Skills!D10-IF(Skills!E10=TRUE,Inputs!$B$34,0))),0)</f>
        <v/>
      </c>
      <c r="R905">
        <f>IF(AND(Inputs!$B$40&lt;&gt;"pvp",Inputs!$B$43&gt;0),(INT(Inputs!$B$43/IF(Inputs!$B$40="pvp",15,MAX(0.1,Skills!D10-IF(Skills!E10=TRUE,Inputs!$B$34,0))))+1),0)</f>
        <v/>
      </c>
    </row>
    <row r="906">
      <c r="A906">
        <f>Skills!A11</f>
        <v/>
      </c>
      <c r="B906">
        <f>Skills!B11</f>
        <v/>
      </c>
      <c r="C906">
        <f>Inputs!$B$3&gt;=69</f>
        <v/>
      </c>
      <c r="D906">
        <f>IF(Skills!C11=1,60+Inputs!$B$27+(Inputs!$B$31+1),IF(Skills!C11=2,90+Inputs!$B$28+(Inputs!$B$31+1),IF(Skills!C11=3,120+Inputs!$B$29+(Inputs!$B$31+1),MAX(0,(Inputs!$B$3-100)*3)+Inputs!$B$30+(Inputs!$B$31+1))))</f>
        <v/>
      </c>
      <c r="E906">
        <f>INDEX(FactorTable!$B$2:$Y$301, MATCH(ROUND(MIN(300,MAX(1,D906)),0), FactorTable!$A$2:$A$301,0), Skills!L11+1)</f>
        <v/>
      </c>
      <c r="F906">
        <f>IF(Skills!M11=TRUE,(Skills!K11/10)*(E906/1000),Skills!K11/10)+Skills!N11</f>
        <v/>
      </c>
      <c r="G906">
        <f>Calc!G11</f>
        <v/>
      </c>
      <c r="H906">
        <f>Calc!H11</f>
        <v/>
      </c>
      <c r="I906">
        <f>IF(Skills!T11&lt;&gt;"",1+(Skills!T11/10)*($Z$3/1000)/100,1)</f>
        <v/>
      </c>
      <c r="J906" t="inlineStr"/>
      <c r="K906" t="inlineStr"/>
      <c r="L906" t="inlineStr"/>
      <c r="M906" t="inlineStr"/>
      <c r="N906" t="inlineStr"/>
      <c r="O906" t="n">
        <v>0</v>
      </c>
      <c r="P906">
        <f>IF(B933=0,0,O906/B933)</f>
        <v/>
      </c>
      <c r="Q906">
        <f>IFERROR(1/IF(Inputs!$B$40="pvp",15,MAX(0.1,Skills!D11-IF(Skills!E11=TRUE,Inputs!$B$34,0))),0)</f>
        <v/>
      </c>
      <c r="R906">
        <f>IF(AND(Inputs!$B$40&lt;&gt;"pvp",Inputs!$B$43&gt;0),(INT(Inputs!$B$43/IF(Inputs!$B$40="pvp",15,MAX(0.1,Skills!D11-IF(Skills!E11=TRUE,Inputs!$B$34,0))))+1),0)</f>
        <v/>
      </c>
    </row>
    <row r="907">
      <c r="A907">
        <f>Skills!A12</f>
        <v/>
      </c>
      <c r="B907">
        <f>Skills!B12</f>
        <v/>
      </c>
      <c r="C907">
        <f>Inputs!$B$3&gt;=72</f>
        <v/>
      </c>
      <c r="D907">
        <f>IF(Skills!C12=1,60+Inputs!$B$27+(Inputs!$B$31+1),IF(Skills!C12=2,90+Inputs!$B$28+(Inputs!$B$31+1),IF(Skills!C12=3,120+Inputs!$B$29+(Inputs!$B$31+1),MAX(0,(Inputs!$B$3-100)*3)+Inputs!$B$30+(Inputs!$B$31+1))))</f>
        <v/>
      </c>
      <c r="E907">
        <f>INDEX(FactorTable!$B$2:$Y$301, MATCH(ROUND(MIN(300,MAX(1,D907)),0), FactorTable!$A$2:$A$301,0), Skills!L12+1)</f>
        <v/>
      </c>
      <c r="F907">
        <f>IF(Skills!M12=TRUE,(Skills!K12/10)*(E907/1000),Skills!K12/10)+Skills!N12</f>
        <v/>
      </c>
      <c r="G907">
        <f>Calc!G12</f>
        <v/>
      </c>
      <c r="H907">
        <f>Calc!H12</f>
        <v/>
      </c>
      <c r="I907">
        <f>IF(Skills!T12&lt;&gt;"",1+(Skills!T12/10)*($Z$3/1000)/100,1)</f>
        <v/>
      </c>
      <c r="J907" t="inlineStr"/>
      <c r="K907" t="inlineStr"/>
      <c r="L907" t="inlineStr"/>
      <c r="M907" t="inlineStr"/>
      <c r="N907" t="inlineStr"/>
      <c r="O907" t="n">
        <v>0</v>
      </c>
      <c r="P907">
        <f>IF(B933=0,0,O907/B933)</f>
        <v/>
      </c>
      <c r="Q907">
        <f>IFERROR(1/IF(Inputs!$B$40="pvp",15,MAX(0.1,Skills!D12-IF(Skills!E12=TRUE,Inputs!$B$34,0))),0)</f>
        <v/>
      </c>
      <c r="R907">
        <f>IF(AND(Inputs!$B$40&lt;&gt;"pvp",Inputs!$B$43&gt;0),(INT(Inputs!$B$43/IF(Inputs!$B$40="pvp",15,MAX(0.1,Skills!D12-IF(Skills!E12=TRUE,Inputs!$B$34,0))))+1),0)</f>
        <v/>
      </c>
    </row>
    <row r="908">
      <c r="A908">
        <f>Skills!A13</f>
        <v/>
      </c>
      <c r="B908">
        <f>Skills!B13</f>
        <v/>
      </c>
      <c r="C908">
        <f>Inputs!$B$3&gt;=107</f>
        <v/>
      </c>
      <c r="D908">
        <f>IF(Skills!C13=1,60+Inputs!$B$27+(Inputs!$B$31+1),IF(Skills!C13=2,90+Inputs!$B$28+(Inputs!$B$31+1),IF(Skills!C13=3,120+Inputs!$B$29+(Inputs!$B$31+1),MAX(0,(Inputs!$B$3-100)*3)+Inputs!$B$30+(Inputs!$B$31+1))))</f>
        <v/>
      </c>
      <c r="E908">
        <f>INDEX(FactorTable!$B$2:$Y$301, MATCH(ROUND(MIN(300,MAX(1,D908)),0), FactorTable!$A$2:$A$301,0), Skills!L13+1)</f>
        <v/>
      </c>
      <c r="F908">
        <f>IF(Skills!M13=TRUE,(Skills!K13/10)*(E908/1000),Skills!K13/10)+Skills!N13</f>
        <v/>
      </c>
      <c r="G908">
        <f>Calc!G13</f>
        <v/>
      </c>
      <c r="H908">
        <f>Calc!H13</f>
        <v/>
      </c>
      <c r="I908">
        <f>IF(Skills!T13&lt;&gt;"",1+(Skills!T13/10)*($Z$3/1000)/100,1)</f>
        <v/>
      </c>
      <c r="J908" t="inlineStr"/>
      <c r="K908" t="inlineStr"/>
      <c r="L908" t="inlineStr"/>
      <c r="M908" t="inlineStr"/>
      <c r="N908" t="inlineStr"/>
      <c r="O908" t="n">
        <v>0</v>
      </c>
      <c r="P908">
        <f>IF(B933=0,0,O908/B933)</f>
        <v/>
      </c>
      <c r="Q908">
        <f>IFERROR(1/IF(Inputs!$B$40="pvp",15,MAX(0.1,Skills!D13-IF(Skills!E13=TRUE,Inputs!$B$34,0))),0)</f>
        <v/>
      </c>
      <c r="R908">
        <f>IF(AND(Inputs!$B$40&lt;&gt;"pvp",Inputs!$B$43&gt;0),(INT(Inputs!$B$43/IF(Inputs!$B$40="pvp",15,MAX(0.1,Skills!D13-IF(Skills!E13=TRUE,Inputs!$B$34,0))))+1),0)</f>
        <v/>
      </c>
    </row>
    <row r="909">
      <c r="A909">
        <f>Skills!A14</f>
        <v/>
      </c>
      <c r="B909">
        <f>Skills!B14</f>
        <v/>
      </c>
      <c r="C909">
        <f>Inputs!$B$3&gt;=63</f>
        <v/>
      </c>
      <c r="D909">
        <f>IF(Skills!C14=1,60+Inputs!$B$27+(Inputs!$B$31+1),IF(Skills!C14=2,90+Inputs!$B$28+(Inputs!$B$31+1),IF(Skills!C14=3,120+Inputs!$B$29+(Inputs!$B$31+1),MAX(0,(Inputs!$B$3-100)*3)+Inputs!$B$30+(Inputs!$B$31+1))))</f>
        <v/>
      </c>
      <c r="E909">
        <f>INDEX(FactorTable!$B$2:$Y$301, MATCH(ROUND(MIN(300,MAX(1,D909)),0), FactorTable!$A$2:$A$301,0), Skills!L14+1)</f>
        <v/>
      </c>
      <c r="F909">
        <f>IF(Skills!M14=TRUE,(Skills!K14/10)*(E909/1000),Skills!K14/10)+Skills!N14</f>
        <v/>
      </c>
      <c r="G909">
        <f>Calc!G14</f>
        <v/>
      </c>
      <c r="H909">
        <f>Calc!H14</f>
        <v/>
      </c>
      <c r="I909">
        <f>IF(Skills!T14&lt;&gt;"",1+(Skills!T14/10)*($Z$3/1000)/100,1)</f>
        <v/>
      </c>
      <c r="J909">
        <f>(Inputs!$B$7*(1+Inputs!$B$8/100))*(F909/100)</f>
        <v/>
      </c>
      <c r="K909">
        <f>J909*(1+(((Inputs!$B$14+IF(Inputs!$B$3&gt;=35,0.10*(Inputs!$B$9*(1+Inputs!$B$10/100)),0))*(1+Inputs!$B$15/100))*0.01+Inputs!$B$16*0.0025)/100)*(1+(Inputs!$B$17+B926)/100)*(1+IF(Inputs!$B$40="pvp",0,(1-Summary!$B$48)*(Inputs!$B$22+Skills!O14+B924)+Summary!$B$48*(Inputs!$B$23+Skills!P14+B925))/100)*(1+Inputs!$B$18/100)*(5000/(6000+Inputs!$B$42*(1-Inputs!$B$21/100)))*(1+Inputs!$B$26/100)*(1+IF(C912=TRUE,F912,0)/100)*(1+IF(C914=TRUE,F914,0)/100)*(1+IF(Skills!A14="TRIUMPH_FEATHER",IF(C910=TRUE,F910,0),0)/100)*(1+IF(C921=TRUE,F921,0)/100)^5*(1+(IF(Skills!A14="BIG_BANG",Inputs!$B$19,Inputs!$B$20))/100)*(B923*I909)</f>
        <v/>
      </c>
      <c r="L909">
        <f>K909*(MIN(Inputs!$B$24+(F916-Calc!F21),Inputs!$B$25)/100+Inputs!$B$25/100)/2</f>
        <v/>
      </c>
      <c r="M909">
        <f>L909*(1+(Inputs!$B$12+B927+(F919-Calc!F24))/100)</f>
        <v/>
      </c>
      <c r="N909">
        <f>L909*(1-MIN(Inputs!$B$11+((F918-Calc!F23)+(F917-Calc!F22)),100)/100)+M909*(MIN(Inputs!$B$11+((F918-Calc!F23)+(F917-Calc!F22)),100)/100)</f>
        <v/>
      </c>
      <c r="O909">
        <f>IF(C909,Skills!F14*N909*((IF(Inputs!$B$3&gt;=78,25,15)/100*B929*10)/(1+IF(Inputs!$B$3&gt;=78,25,15)/100*B929*10))*(Skills!I14/100*B929)/(1+Skills!G14*Skills!I14/100*B929)*IF(Inputs!$B$40="pvp",1,(1-Summary!$B$48)*(1)+Summary!$B$48*(MIN(Skills!Q14,Inputs!$B$39))),0)</f>
        <v/>
      </c>
      <c r="P909">
        <f>IF(B933=0,0,O909/B933)</f>
        <v/>
      </c>
      <c r="Q909">
        <f>IFERROR(1/IF(Inputs!$B$40="pvp",15,MAX(0.1,Skills!D14-IF(Skills!E14=TRUE,Inputs!$B$34,0))),0)</f>
        <v/>
      </c>
      <c r="R909" t="n">
        <v>0</v>
      </c>
    </row>
    <row r="910">
      <c r="A910">
        <f>Skills!A15</f>
        <v/>
      </c>
      <c r="B910">
        <f>Skills!B15</f>
        <v/>
      </c>
      <c r="C910">
        <f>Inputs!$B$3&gt;=100</f>
        <v/>
      </c>
      <c r="D910">
        <f>IF(Skills!C15=1,60+Inputs!$B$27+(Inputs!$B$31+1),IF(Skills!C15=2,90+Inputs!$B$28+(Inputs!$B$31+1),IF(Skills!C15=3,120+Inputs!$B$29+(Inputs!$B$31+1),MAX(0,(Inputs!$B$3-100)*3)+Inputs!$B$30+(Inputs!$B$31+1))))</f>
        <v/>
      </c>
      <c r="E910">
        <f>INDEX(FactorTable!$B$2:$Y$301, MATCH(ROUND(MIN(300,MAX(1,D910)),0), FactorTable!$A$2:$A$301,0), Skills!L15+1)</f>
        <v/>
      </c>
      <c r="F910">
        <f>IF(Skills!M15=TRUE,(Skills!K15/10)*(E910/1000),Skills!K15/10)+Skills!N15</f>
        <v/>
      </c>
      <c r="G910">
        <f>Calc!G15</f>
        <v/>
      </c>
      <c r="H910">
        <f>Calc!H15</f>
        <v/>
      </c>
      <c r="I910">
        <f>IF(Skills!T15&lt;&gt;"",1+(Skills!T15/10)*($Z$3/1000)/100,1)</f>
        <v/>
      </c>
      <c r="J910" t="inlineStr"/>
      <c r="K910" t="inlineStr"/>
      <c r="L910" t="inlineStr"/>
      <c r="M910" t="inlineStr"/>
      <c r="N910" t="inlineStr"/>
      <c r="O910" t="n">
        <v>0</v>
      </c>
      <c r="P910">
        <f>IF(B933=0,0,O910/B933)</f>
        <v/>
      </c>
      <c r="Q910">
        <f>IFERROR(1/IF(Inputs!$B$40="pvp",15,MAX(0.1,Skills!D15-IF(Skills!E15=TRUE,Inputs!$B$34,0))),0)</f>
        <v/>
      </c>
      <c r="R910" t="n">
        <v>0</v>
      </c>
    </row>
    <row r="911">
      <c r="A911">
        <f>Skills!A16</f>
        <v/>
      </c>
      <c r="B911">
        <f>Skills!B16</f>
        <v/>
      </c>
      <c r="C911">
        <f>Inputs!$B$3&gt;=49</f>
        <v/>
      </c>
      <c r="D911">
        <f>IF(Skills!C16=1,60+Inputs!$B$27+(Inputs!$B$31+1),IF(Skills!C16=2,90+Inputs!$B$28+(Inputs!$B$31+1),IF(Skills!C16=3,120+Inputs!$B$29+(Inputs!$B$31+1),MAX(0,(Inputs!$B$3-100)*3)+Inputs!$B$30+(Inputs!$B$31+1))))</f>
        <v/>
      </c>
      <c r="E911">
        <f>INDEX(FactorTable!$B$2:$Y$301, MATCH(ROUND(MIN(300,MAX(1,D911)),0), FactorTable!$A$2:$A$301,0), Skills!L16+1)</f>
        <v/>
      </c>
      <c r="F911">
        <f>IF(Skills!M16=TRUE,(Skills!K16/10)*(E911/1000),Skills!K16/10)+Skills!N16</f>
        <v/>
      </c>
      <c r="G911">
        <f>Calc!G16</f>
        <v/>
      </c>
      <c r="H911">
        <f>Calc!H16</f>
        <v/>
      </c>
      <c r="I911">
        <f>IF(Skills!T16&lt;&gt;"",1+(Skills!T16/10)*($Z$3/1000)/100,1)</f>
        <v/>
      </c>
      <c r="J911" t="inlineStr"/>
      <c r="K911" t="inlineStr"/>
      <c r="L911" t="inlineStr"/>
      <c r="M911" t="inlineStr"/>
      <c r="N911" t="inlineStr"/>
      <c r="O911" t="n">
        <v>0</v>
      </c>
      <c r="P911">
        <f>IF(B933=0,0,O911/B933)</f>
        <v/>
      </c>
      <c r="Q911">
        <f>IFERROR(1/IF(Inputs!$B$40="pvp",15,MAX(0.1,Skills!D16-IF(Skills!E16=TRUE,Inputs!$B$34,0))),0)</f>
        <v/>
      </c>
      <c r="R911" t="n">
        <v>0</v>
      </c>
    </row>
    <row r="912">
      <c r="A912">
        <f>Skills!A17</f>
        <v/>
      </c>
      <c r="B912">
        <f>Skills!B17</f>
        <v/>
      </c>
      <c r="C912">
        <f>Inputs!$B$3&gt;=75</f>
        <v/>
      </c>
      <c r="D912">
        <f>IF(Skills!C17=1,60+Inputs!$B$27+(Inputs!$B$31+1),IF(Skills!C17=2,90+Inputs!$B$28+(Inputs!$B$31+1),IF(Skills!C17=3,120+Inputs!$B$29+(Inputs!$B$31+1),MAX(0,(Inputs!$B$3-100)*3)+Inputs!$B$30+(Inputs!$B$31+1))))</f>
        <v/>
      </c>
      <c r="E912">
        <f>INDEX(FactorTable!$B$2:$Y$301, MATCH(ROUND(MIN(300,MAX(1,D912)),0), FactorTable!$A$2:$A$301,0), Skills!L17+1)</f>
        <v/>
      </c>
      <c r="F912">
        <f>IF(Skills!M17=TRUE,(Skills!K17/10)*(E912/1000),Skills!K17/10)+Skills!N17</f>
        <v/>
      </c>
      <c r="G912">
        <f>Calc!G17</f>
        <v/>
      </c>
      <c r="H912">
        <f>Calc!H17</f>
        <v/>
      </c>
      <c r="I912">
        <f>IF(Skills!T17&lt;&gt;"",1+(Skills!T17/10)*($Z$3/1000)/100,1)</f>
        <v/>
      </c>
      <c r="J912" t="inlineStr"/>
      <c r="K912" t="inlineStr"/>
      <c r="L912" t="inlineStr"/>
      <c r="M912" t="inlineStr"/>
      <c r="N912" t="inlineStr"/>
      <c r="O912" t="n">
        <v>0</v>
      </c>
      <c r="P912">
        <f>IF(B933=0,0,O912/B933)</f>
        <v/>
      </c>
      <c r="Q912">
        <f>IFERROR(1/IF(Inputs!$B$40="pvp",15,MAX(0.1,Skills!D17-IF(Skills!E17=TRUE,Inputs!$B$34,0))),0)</f>
        <v/>
      </c>
      <c r="R912" t="n">
        <v>0</v>
      </c>
    </row>
    <row r="913">
      <c r="A913">
        <f>Skills!A18</f>
        <v/>
      </c>
      <c r="B913">
        <f>Skills!B18</f>
        <v/>
      </c>
      <c r="C913">
        <f>Inputs!$B$3&gt;=110</f>
        <v/>
      </c>
      <c r="D913">
        <f>IF(Skills!C18=1,60+Inputs!$B$27+(Inputs!$B$31+1),IF(Skills!C18=2,90+Inputs!$B$28+(Inputs!$B$31+1),IF(Skills!C18=3,120+Inputs!$B$29+(Inputs!$B$31+1),MAX(0,(Inputs!$B$3-100)*3)+Inputs!$B$30+(Inputs!$B$31+1))))</f>
        <v/>
      </c>
      <c r="E913">
        <f>INDEX(FactorTable!$B$2:$Y$301, MATCH(ROUND(MIN(300,MAX(1,D913)),0), FactorTable!$A$2:$A$301,0), Skills!L18+1)</f>
        <v/>
      </c>
      <c r="F913">
        <f>(Skills!K18/10)*(E913/1000)*64/45+Skills!N18</f>
        <v/>
      </c>
      <c r="G913">
        <f>Calc!G18</f>
        <v/>
      </c>
      <c r="H913">
        <f>Calc!H18</f>
        <v/>
      </c>
      <c r="I913">
        <f>IF(Skills!T18&lt;&gt;"",1+(Skills!T18/10)*($Z$3/1000)/100,1)</f>
        <v/>
      </c>
      <c r="J913" t="inlineStr"/>
      <c r="K913" t="inlineStr"/>
      <c r="L913" t="inlineStr"/>
      <c r="M913" t="inlineStr"/>
      <c r="N913" t="inlineStr"/>
      <c r="O913" t="n">
        <v>0</v>
      </c>
      <c r="P913">
        <f>IF(B933=0,0,O913/B933)</f>
        <v/>
      </c>
      <c r="Q913">
        <f>IFERROR(1/IF(Inputs!$B$40="pvp",15,MAX(0.1,Skills!D18-IF(Skills!E18=TRUE,Inputs!$B$34,0))),0)</f>
        <v/>
      </c>
      <c r="R913">
        <f>IF(AND(Inputs!$B$40&lt;&gt;"pvp",Inputs!$B$43&gt;0),(INT(Inputs!$B$43/IF(Inputs!$B$40="pvp",15,MAX(0.1,Skills!D18-IF(Skills!E18=TRUE,Inputs!$B$34,0))))+1),0)</f>
        <v/>
      </c>
    </row>
    <row r="914">
      <c r="A914">
        <f>Skills!A19</f>
        <v/>
      </c>
      <c r="B914">
        <f>Skills!B19</f>
        <v/>
      </c>
      <c r="C914">
        <f>Inputs!$B$3&gt;=125</f>
        <v/>
      </c>
      <c r="D914">
        <f>IF(Skills!C19=1,60+Inputs!$B$27+(Inputs!$B$31+1),IF(Skills!C19=2,90+Inputs!$B$28+(Inputs!$B$31+1),IF(Skills!C19=3,120+Inputs!$B$29+(Inputs!$B$31+1),MAX(0,(Inputs!$B$3-100)*3)+Inputs!$B$30+(Inputs!$B$31+1))))</f>
        <v/>
      </c>
      <c r="E914">
        <f>INDEX(FactorTable!$B$2:$Y$301, MATCH(ROUND(MIN(300,MAX(1,D914)),0), FactorTable!$A$2:$A$301,0), Skills!L19+1)</f>
        <v/>
      </c>
      <c r="F914">
        <f>IF(Skills!M19=TRUE,(Skills!K19/10)*(E914/1000),Skills!K19/10)+Skills!N19</f>
        <v/>
      </c>
      <c r="G914">
        <f>Calc!G19</f>
        <v/>
      </c>
      <c r="H914">
        <f>Calc!H19</f>
        <v/>
      </c>
      <c r="I914">
        <f>IF(Skills!T19&lt;&gt;"",1+(Skills!T19/10)*($Z$3/1000)/100,1)</f>
        <v/>
      </c>
      <c r="J914" t="inlineStr"/>
      <c r="K914" t="inlineStr"/>
      <c r="L914" t="inlineStr"/>
      <c r="M914" t="inlineStr"/>
      <c r="N914" t="inlineStr"/>
      <c r="O914" t="n">
        <v>0</v>
      </c>
      <c r="P914">
        <f>IF(B933=0,0,O914/B933)</f>
        <v/>
      </c>
      <c r="Q914">
        <f>IFERROR(1/IF(Inputs!$B$40="pvp",15,MAX(0.1,Skills!D19-IF(Skills!E19=TRUE,Inputs!$B$34,0))),0)</f>
        <v/>
      </c>
      <c r="R914" t="n">
        <v>0</v>
      </c>
    </row>
    <row r="915">
      <c r="A915">
        <f>Skills!A20</f>
        <v/>
      </c>
      <c r="B915">
        <f>Skills!B20</f>
        <v/>
      </c>
      <c r="C915">
        <f>Inputs!$B$3&gt;=33</f>
        <v/>
      </c>
      <c r="D915">
        <f>IF(Skills!C20=1,60+Inputs!$B$27+(Inputs!$B$31+1),IF(Skills!C20=2,90+Inputs!$B$28+(Inputs!$B$31+1),IF(Skills!C20=3,120+Inputs!$B$29+(Inputs!$B$31+1),MAX(0,(Inputs!$B$3-100)*3)+Inputs!$B$30+(Inputs!$B$31+1))))</f>
        <v/>
      </c>
      <c r="E915">
        <f>INDEX(FactorTable!$B$2:$Y$301, MATCH(ROUND(MIN(300,MAX(1,D915)),0), FactorTable!$A$2:$A$301,0), Skills!L20+1)</f>
        <v/>
      </c>
      <c r="F915">
        <f>IF(Skills!M20=TRUE,(Skills!K20/10)*(E915/1000),Skills!K20/10)+Skills!N20</f>
        <v/>
      </c>
      <c r="G915">
        <f>Calc!G20</f>
        <v/>
      </c>
      <c r="H915">
        <f>Calc!H20</f>
        <v/>
      </c>
      <c r="I915">
        <f>IF(Skills!T20&lt;&gt;"",1+(Skills!T20/10)*($Z$3/1000)/100,1)</f>
        <v/>
      </c>
      <c r="J915" t="inlineStr"/>
      <c r="K915" t="inlineStr"/>
      <c r="L915" t="inlineStr"/>
      <c r="M915" t="inlineStr"/>
      <c r="N915" t="inlineStr"/>
      <c r="O915" t="n">
        <v>0</v>
      </c>
      <c r="P915">
        <f>IF(B933=0,0,O915/B933)</f>
        <v/>
      </c>
      <c r="Q915">
        <f>IFERROR(1/IF(Inputs!$B$40="pvp",15,MAX(0.1,Skills!D20-IF(Skills!E20=TRUE,Inputs!$B$34,0))),0)</f>
        <v/>
      </c>
      <c r="R915" t="n">
        <v>0</v>
      </c>
    </row>
    <row r="916">
      <c r="A916">
        <f>Skills!A21</f>
        <v/>
      </c>
      <c r="B916">
        <f>Skills!B21</f>
        <v/>
      </c>
      <c r="C916">
        <f>Inputs!$B$3&gt;=43</f>
        <v/>
      </c>
      <c r="D916">
        <f>IF(Skills!C21=1,60+Inputs!$B$27+(Inputs!$B$31+1),IF(Skills!C21=2,90+Inputs!$B$28+(Inputs!$B$31+1),IF(Skills!C21=3,120+Inputs!$B$29+(Inputs!$B$31+1),MAX(0,(Inputs!$B$3-100)*3)+Inputs!$B$30+(Inputs!$B$31+1))))</f>
        <v/>
      </c>
      <c r="E916">
        <f>INDEX(FactorTable!$B$2:$Y$301, MATCH(ROUND(MIN(300,MAX(1,D916)),0), FactorTable!$A$2:$A$301,0), Skills!L21+1)</f>
        <v/>
      </c>
      <c r="F916">
        <f>IF(Skills!M21=TRUE,(Skills!K21/10)*(E916/1000),Skills!K21/10)+Skills!N21</f>
        <v/>
      </c>
      <c r="G916">
        <f>Calc!G21</f>
        <v/>
      </c>
      <c r="H916">
        <f>Calc!H21</f>
        <v/>
      </c>
      <c r="I916">
        <f>IF(Skills!T21&lt;&gt;"",1+(Skills!T21/10)*($Z$3/1000)/100,1)</f>
        <v/>
      </c>
      <c r="J916" t="inlineStr"/>
      <c r="K916" t="inlineStr"/>
      <c r="L916" t="inlineStr"/>
      <c r="M916" t="inlineStr"/>
      <c r="N916" t="inlineStr"/>
      <c r="O916" t="n">
        <v>0</v>
      </c>
      <c r="P916">
        <f>IF(B933=0,0,O916/B933)</f>
        <v/>
      </c>
      <c r="Q916">
        <f>IFERROR(1/IF(Inputs!$B$40="pvp",15,MAX(0.1,Skills!D21-IF(Skills!E21=TRUE,Inputs!$B$34,0))),0)</f>
        <v/>
      </c>
      <c r="R916" t="n">
        <v>0</v>
      </c>
    </row>
    <row r="917">
      <c r="A917">
        <f>Skills!A22</f>
        <v/>
      </c>
      <c r="B917">
        <f>Skills!B22</f>
        <v/>
      </c>
      <c r="C917">
        <f>Inputs!$B$3&gt;=50</f>
        <v/>
      </c>
      <c r="D917">
        <f>IF(Skills!C22=1,60+Inputs!$B$27+(Inputs!$B$31+1),IF(Skills!C22=2,90+Inputs!$B$28+(Inputs!$B$31+1),IF(Skills!C22=3,120+Inputs!$B$29+(Inputs!$B$31+1),MAX(0,(Inputs!$B$3-100)*3)+Inputs!$B$30+(Inputs!$B$31+1))))</f>
        <v/>
      </c>
      <c r="E917">
        <f>INDEX(FactorTable!$B$2:$Y$301, MATCH(ROUND(MIN(300,MAX(1,D917)),0), FactorTable!$A$2:$A$301,0), Skills!L22+1)</f>
        <v/>
      </c>
      <c r="F917">
        <f>IF(Skills!M22=TRUE,(Skills!K22/10)*(E917/1000),Skills!K22/10)+Skills!N22</f>
        <v/>
      </c>
      <c r="G917">
        <f>Calc!G22</f>
        <v/>
      </c>
      <c r="H917">
        <f>Calc!H22</f>
        <v/>
      </c>
      <c r="I917">
        <f>IF(Skills!T22&lt;&gt;"",1+(Skills!T22/10)*($Z$3/1000)/100,1)</f>
        <v/>
      </c>
      <c r="J917" t="inlineStr"/>
      <c r="K917" t="inlineStr"/>
      <c r="L917" t="inlineStr"/>
      <c r="M917" t="inlineStr"/>
      <c r="N917" t="inlineStr"/>
      <c r="O917" t="n">
        <v>0</v>
      </c>
      <c r="P917">
        <f>IF(B933=0,0,O917/B933)</f>
        <v/>
      </c>
      <c r="Q917">
        <f>IFERROR(1/IF(Inputs!$B$40="pvp",15,MAX(0.1,Skills!D22-IF(Skills!E22=TRUE,Inputs!$B$34,0))),0)</f>
        <v/>
      </c>
      <c r="R917" t="n">
        <v>0</v>
      </c>
    </row>
    <row r="918">
      <c r="A918">
        <f>Skills!A23</f>
        <v/>
      </c>
      <c r="B918">
        <f>Skills!B23</f>
        <v/>
      </c>
      <c r="C918">
        <f>Inputs!$B$3&gt;=74</f>
        <v/>
      </c>
      <c r="D918">
        <f>IF(Skills!C23=1,60+Inputs!$B$27+(Inputs!$B$31+1),IF(Skills!C23=2,90+Inputs!$B$28+(Inputs!$B$31+1),IF(Skills!C23=3,120+Inputs!$B$29+(Inputs!$B$31+1),MAX(0,(Inputs!$B$3-100)*3)+Inputs!$B$30+(Inputs!$B$31+1))))</f>
        <v/>
      </c>
      <c r="E918">
        <f>INDEX(FactorTable!$B$2:$Y$301, MATCH(ROUND(MIN(300,MAX(1,D918)),0), FactorTable!$A$2:$A$301,0), Skills!L23+1)</f>
        <v/>
      </c>
      <c r="F918">
        <f>IF(Skills!M23=TRUE,(Skills!K23/10)*(E918/1000),Skills!K23/10)+Skills!N23</f>
        <v/>
      </c>
      <c r="G918">
        <f>Calc!G23</f>
        <v/>
      </c>
      <c r="H918">
        <f>Calc!H23</f>
        <v/>
      </c>
      <c r="I918">
        <f>IF(Skills!T23&lt;&gt;"",1+(Skills!T23/10)*($Z$3/1000)/100,1)</f>
        <v/>
      </c>
      <c r="J918" t="inlineStr"/>
      <c r="K918" t="inlineStr"/>
      <c r="L918" t="inlineStr"/>
      <c r="M918" t="inlineStr"/>
      <c r="N918" t="inlineStr"/>
      <c r="O918" t="n">
        <v>0</v>
      </c>
      <c r="P918">
        <f>IF(B933=0,0,O918/B933)</f>
        <v/>
      </c>
      <c r="Q918">
        <f>IFERROR(1/IF(Inputs!$B$40="pvp",15,MAX(0.1,Skills!D23-IF(Skills!E23=TRUE,Inputs!$B$34,0))),0)</f>
        <v/>
      </c>
      <c r="R918" t="n">
        <v>0</v>
      </c>
    </row>
    <row r="919">
      <c r="A919">
        <f>Skills!A24</f>
        <v/>
      </c>
      <c r="B919">
        <f>Skills!B24</f>
        <v/>
      </c>
      <c r="C919">
        <f>Inputs!$B$3&gt;=74</f>
        <v/>
      </c>
      <c r="D919">
        <f>IF(Skills!C24=1,60+Inputs!$B$27+(Inputs!$B$31+1),IF(Skills!C24=2,90+Inputs!$B$28+(Inputs!$B$31+1),IF(Skills!C24=3,120+Inputs!$B$29+(Inputs!$B$31+1),MAX(0,(Inputs!$B$3-100)*3)+Inputs!$B$30+(Inputs!$B$31+1))))</f>
        <v/>
      </c>
      <c r="E919">
        <f>INDEX(FactorTable!$B$2:$Y$301, MATCH(ROUND(MIN(300,MAX(1,D919)),0), FactorTable!$A$2:$A$301,0), Skills!L24+1)</f>
        <v/>
      </c>
      <c r="F919">
        <f>IF(Skills!M24=TRUE,(Skills!K24/10)*(E919/1000),Skills!K24/10)+Skills!N24</f>
        <v/>
      </c>
      <c r="G919">
        <f>Calc!G24</f>
        <v/>
      </c>
      <c r="H919">
        <f>Calc!H24</f>
        <v/>
      </c>
      <c r="I919">
        <f>IF(Skills!T24&lt;&gt;"",1+(Skills!T24/10)*($Z$3/1000)/100,1)</f>
        <v/>
      </c>
      <c r="J919" t="inlineStr"/>
      <c r="K919" t="inlineStr"/>
      <c r="L919" t="inlineStr"/>
      <c r="M919" t="inlineStr"/>
      <c r="N919" t="inlineStr"/>
      <c r="O919" t="n">
        <v>0</v>
      </c>
      <c r="P919">
        <f>IF(B933=0,0,O919/B933)</f>
        <v/>
      </c>
      <c r="Q919">
        <f>IFERROR(1/IF(Inputs!$B$40="pvp",15,MAX(0.1,Skills!D24-IF(Skills!E24=TRUE,Inputs!$B$34,0))),0)</f>
        <v/>
      </c>
      <c r="R919" t="n">
        <v>0</v>
      </c>
    </row>
    <row r="920">
      <c r="A920">
        <f>Skills!A25</f>
        <v/>
      </c>
      <c r="B920">
        <f>Skills!B25</f>
        <v/>
      </c>
      <c r="C920">
        <f>Inputs!$B$3&gt;=117</f>
        <v/>
      </c>
      <c r="D920">
        <f>IF(Skills!C25=1,60+Inputs!$B$27+(Inputs!$B$31+1),IF(Skills!C25=2,90+Inputs!$B$28+(Inputs!$B$31+1),IF(Skills!C25=3,120+Inputs!$B$29+(Inputs!$B$31+1),MAX(0,(Inputs!$B$3-100)*3)+Inputs!$B$30+(Inputs!$B$31+1))))</f>
        <v/>
      </c>
      <c r="E920">
        <f>INDEX(FactorTable!$B$2:$Y$301, MATCH(ROUND(MIN(300,MAX(1,D920)),0), FactorTable!$A$2:$A$301,0), Skills!L25+1)</f>
        <v/>
      </c>
      <c r="F920">
        <f>IF(Skills!M25=TRUE,(Skills!K25/10)*(E920/1000),Skills!K25/10)+Skills!N25</f>
        <v/>
      </c>
      <c r="G920">
        <f>Calc!G25</f>
        <v/>
      </c>
      <c r="H920">
        <f>Calc!H25</f>
        <v/>
      </c>
      <c r="I920">
        <f>IF(Skills!T25&lt;&gt;"",1+(Skills!T25/10)*($Z$3/1000)/100,1)</f>
        <v/>
      </c>
      <c r="J920" t="inlineStr"/>
      <c r="K920" t="inlineStr"/>
      <c r="L920" t="inlineStr"/>
      <c r="M920" t="inlineStr"/>
      <c r="N920" t="inlineStr"/>
      <c r="O920" t="n">
        <v>0</v>
      </c>
      <c r="P920">
        <f>IF(B933=0,0,O920/B933)</f>
        <v/>
      </c>
      <c r="Q920">
        <f>IFERROR(1/IF(Inputs!$B$40="pvp",15,MAX(0.1,Skills!D25-IF(Skills!E25=TRUE,Inputs!$B$34,0))),0)</f>
        <v/>
      </c>
      <c r="R920" t="n">
        <v>0</v>
      </c>
    </row>
    <row r="921">
      <c r="A921">
        <f>Skills!A26</f>
        <v/>
      </c>
      <c r="B921">
        <f>Skills!B26</f>
        <v/>
      </c>
      <c r="C921">
        <f>Inputs!$B$3&gt;=120</f>
        <v/>
      </c>
      <c r="D921">
        <f>IF(Skills!C26=1,60+Inputs!$B$27+(Inputs!$B$31+1),IF(Skills!C26=2,90+Inputs!$B$28+(Inputs!$B$31+1),IF(Skills!C26=3,120+Inputs!$B$29+(Inputs!$B$31+1),MAX(0,(Inputs!$B$3-100)*3)+Inputs!$B$30+(Inputs!$B$31+1))))</f>
        <v/>
      </c>
      <c r="E921">
        <f>INDEX(FactorTable!$B$2:$Y$301, MATCH(ROUND(MIN(300,MAX(1,D921)),0), FactorTable!$A$2:$A$301,0), Skills!L26+1)</f>
        <v/>
      </c>
      <c r="F921">
        <f>IF(Skills!M26=TRUE,(Skills!K26/10)*(E921/1000),Skills!K26/10)+Skills!N26</f>
        <v/>
      </c>
      <c r="G921">
        <f>Calc!G26</f>
        <v/>
      </c>
      <c r="H921">
        <f>Calc!H26</f>
        <v/>
      </c>
      <c r="I921">
        <f>IF(Skills!T26&lt;&gt;"",1+(Skills!T26/10)*($Z$3/1000)/100,1)</f>
        <v/>
      </c>
      <c r="J921" t="inlineStr"/>
      <c r="K921" t="inlineStr"/>
      <c r="L921" t="inlineStr"/>
      <c r="M921" t="inlineStr"/>
      <c r="N921" t="inlineStr"/>
      <c r="O921" t="n">
        <v>0</v>
      </c>
      <c r="P921">
        <f>IF(B933=0,0,O921/B933)</f>
        <v/>
      </c>
      <c r="Q921">
        <f>IFERROR(1/IF(Inputs!$B$40="pvp",15,MAX(0.1,Skills!D26-IF(Skills!E26=TRUE,Inputs!$B$34,0))),0)</f>
        <v/>
      </c>
      <c r="R921" t="n">
        <v>0</v>
      </c>
    </row>
    <row r="923">
      <c r="A923" t="inlineStr">
        <is>
          <t>Average Buff Multiplier</t>
        </is>
      </c>
      <c r="B923">
        <f>(1+(IF(C898=TRUE,F898*IF(AND(Inputs!$B$40&lt;&gt;"pvp",Inputs!$B$43&gt;0),(((R898-1)*(Skills!S3*(1+(Inputs!$B$36+IF(Inputs!$B$3&gt;=117,F920,0))/100))+MIN((Skills!S3*(1+(Inputs!$B$36+IF(Inputs!$B$3&gt;=117,F920,0))/100)),MAX(0,Inputs!$B$43-((R898-1)*Skills!D3))))/Inputs!$B$43),IF(Inputs!$B$40="pvp",MIN((Skills!S3*(1+(Inputs!$B$36+IF(Inputs!$B$3&gt;=117,F920,0))/100)),15)/15,(Skills!S3*(1+(Inputs!$B$36+IF(Inputs!$B$3&gt;=117,F920,0))/100))/Skills!D3)),0)+IF(C899=TRUE,F899*IF(AND(Inputs!$B$40&lt;&gt;"pvp",Inputs!$B$43&gt;0),(((R899-1)*(Skills!S4*(1+(Inputs!$B$36+IF(Inputs!$B$3&gt;=117,F920,0))/100))+MIN((Skills!S4*(1+(Inputs!$B$36+IF(Inputs!$B$3&gt;=117,F920,0))/100)),MAX(0,Inputs!$B$43-((R899-1)*Skills!D4))))/Inputs!$B$43),IF(Inputs!$B$40="pvp",MIN((Skills!S4*(1+(Inputs!$B$36+IF(Inputs!$B$3&gt;=117,F920,0))/100)),15)/15,(Skills!S4*(1+(Inputs!$B$36+IF(Inputs!$B$3&gt;=117,F920,0))/100))/Skills!D4)),0)+IF(C900=TRUE,F900*IF(AND(Inputs!$B$40&lt;&gt;"pvp",Inputs!$B$43&gt;0),(((R900-1)*(Skills!S5*(1+(Inputs!$B$36+IF(Inputs!$B$3&gt;=117,F920,0))/100))+MIN((Skills!S5*(1+(Inputs!$B$36+IF(Inputs!$B$3&gt;=117,F920,0))/100)),MAX(0,Inputs!$B$43-((R900-1)*Skills!D5))))/Inputs!$B$43),IF(Inputs!$B$40="pvp",MIN((Skills!S5*(1+(Inputs!$B$36+IF(Inputs!$B$3&gt;=117,F920,0))/100)),15)/15,(Skills!S5*(1+(Inputs!$B$36+IF(Inputs!$B$3&gt;=117,F920,0))/100))/Skills!D5)),0)+IF(C906=TRUE,F906*IF(AND(Inputs!$B$40&lt;&gt;"pvp",Inputs!$B$43&gt;0),(((R906-1)*(Skills!S11*(1+(Inputs!$B$36+IF(Inputs!$B$3&gt;=117,F920,0))/100))+MIN((Skills!S11*(1+(Inputs!$B$36+IF(Inputs!$B$3&gt;=117,F920,0))/100)),MAX(0,Inputs!$B$43-((R906-1)*Skills!D11))))/Inputs!$B$43),IF(Inputs!$B$40="pvp",MIN((Skills!S11*(1+(Inputs!$B$36+IF(Inputs!$B$3&gt;=117,F920,0))/100)),15)/15,(Skills!S11*(1+(Inputs!$B$36+IF(Inputs!$B$3&gt;=117,F920,0))/100))/Skills!D11)),0))/100)*IF(C908=TRUE,(1+F908*IF(AND(Inputs!$B$40&lt;&gt;"pvp",Inputs!$B$43&gt;0),(((R908-1)*(Skills!S13*(1+(Inputs!$B$36+IF(Inputs!$B$3&gt;=117,F920,0))/100))+MIN((Skills!S13*(1+(Inputs!$B$36+IF(Inputs!$B$3&gt;=117,F920,0))/100)),MAX(0,Inputs!$B$43-((R908-1)*Skills!D13))))/Inputs!$B$43),IF(Inputs!$B$40="pvp",MIN((Skills!S13*(1+(Inputs!$B$36+IF(Inputs!$B$3&gt;=117,F920,0))/100)),15)/15,(Skills!S13*(1+(Inputs!$B$36+IF(Inputs!$B$3&gt;=117,F920,0))/100))/Skills!D13))/100),1)*IF(C913=TRUE,(1+F913*IF(AND(Inputs!$B$40&lt;&gt;"pvp",Inputs!$B$43&gt;0),(((R913-1)*(Skills!S18*(1+(Inputs!$B$36+IF(Inputs!$B$3&gt;=117,F920,0))/100))+MIN((Skills!S18*(1+(Inputs!$B$36+IF(Inputs!$B$3&gt;=117,F920,0))/100)),MAX(0,Inputs!$B$43-((R913-1)*Skills!D18))))/Inputs!$B$43),IF(Inputs!$B$40="pvp",MIN((Skills!S18*(1+(Inputs!$B$36+IF(Inputs!$B$3&gt;=117,F920,0))/100)),15)/15,(Skills!S18*(1+(Inputs!$B$36+IF(Inputs!$B$3&gt;=117,F920,0))/100))/Skills!D18))/100),1)</f>
        <v/>
      </c>
    </row>
    <row r="924">
      <c r="A924" t="inlineStr">
        <is>
          <t>Monster Damage Taken Bonus % (Holy Fountain)</t>
        </is>
      </c>
      <c r="B924">
        <f>IF(Inputs!$B$3&gt;=68,20*IF(Inputs!$B$40="pvp",MIN((15*(1+(Inputs!$B$36+IF(Inputs!$B$3&gt;=117,F920,0))/100)),15)/15,(15*(1+(Inputs!$B$36+IF(Inputs!$B$3&gt;=117,F920,0))/100))/Skills!D10),0)</f>
        <v/>
      </c>
    </row>
    <row r="925">
      <c r="A925" t="inlineStr">
        <is>
          <t>Normal Monster Damage Bonus % (Holy Symbol)</t>
        </is>
      </c>
      <c r="B925">
        <f>IF(C907=TRUE,F907*IF(AND(Inputs!$B$40&lt;&gt;"pvp",Inputs!$B$43&gt;0),(((R907-1)*(Skills!S12*(1+(Inputs!$B$36+IF(Inputs!$B$3&gt;=117,F920,0))/100))+MIN((Skills!S12*(1+(Inputs!$B$36+IF(Inputs!$B$3&gt;=117,F920,0))/100)),MAX(0,Inputs!$B$43-((R907-1)*Skills!D12))))/Inputs!$B$43),IF(Inputs!$B$40="pvp",MIN((Skills!S12*(1+(Inputs!$B$36+IF(Inputs!$B$3&gt;=117,F920,0))/100)),15)/15,(Skills!S12*(1+(Inputs!$B$36+IF(Inputs!$B$3&gt;=117,F920,0))/100))/Skills!D12)),0)</f>
        <v/>
      </c>
    </row>
    <row r="926">
      <c r="A926" t="inlineStr">
        <is>
          <t>Damage % Bonus (Holy Symbol - Damage Boost)</t>
        </is>
      </c>
      <c r="B926">
        <f>Skills!O12</f>
        <v/>
      </c>
    </row>
    <row r="927">
      <c r="A927" t="inlineStr">
        <is>
          <t>Crit Damage % Bonus (Blood of the Divine)</t>
        </is>
      </c>
      <c r="B927">
        <f>4*IF(C914=TRUE,F914,0)</f>
        <v/>
      </c>
    </row>
    <row r="928">
      <c r="A928" t="inlineStr">
        <is>
          <t>Attack Speed Bonus %</t>
        </is>
      </c>
      <c r="B928">
        <f>IF(C911=TRUE,F911+(F915-Calc!F20),0)+IF(Inputs!$B$3&gt;=134,15,0)</f>
        <v/>
      </c>
    </row>
    <row r="929">
      <c r="A929" t="inlineStr">
        <is>
          <t>Actions Per Second</t>
        </is>
      </c>
      <c r="B929">
        <f>1+MIN(150,150*(1-(1-Inputs!$B$13/150)*(1-B928/150)))/100</f>
        <v/>
      </c>
    </row>
    <row r="930">
      <c r="A930" t="inlineStr">
        <is>
          <t>Skill + Buff Cast Rate</t>
        </is>
      </c>
      <c r="B930">
        <f>IF(AND(Inputs!$B$40&lt;&gt;"pvp",Inputs!$B$43&gt;0),SUMPRODUCT((Skills!E2:E26=TRUE)*(C897:C921=TRUE)*R897:R921)/Inputs!$B$43,SUMPRODUCT((Skills!E2:E26=TRUE)*(C897:C921=TRUE)*Q897:Q921))</f>
        <v/>
      </c>
    </row>
    <row r="931">
      <c r="A931" t="inlineStr">
        <is>
          <t>Big Bang Casts Per Second</t>
        </is>
      </c>
      <c r="B931">
        <f>MAX(0,B929-B930)</f>
        <v/>
      </c>
    </row>
    <row r="933">
      <c r="A933" s="5" t="inlineStr">
        <is>
          <t>TOTAL DPS</t>
        </is>
      </c>
      <c r="B933" s="5">
        <f>SUM(O897:O921)</f>
        <v/>
      </c>
    </row>
    <row r="936">
      <c r="A936" s="5" t="inlineStr">
        <is>
          <t>Stat: Flat ATTACK</t>
        </is>
      </c>
    </row>
    <row r="937">
      <c r="A937" s="9" t="inlineStr">
        <is>
          <t>Key</t>
        </is>
      </c>
      <c r="B937" s="9" t="inlineStr">
        <is>
          <t>Name</t>
        </is>
      </c>
      <c r="C937" s="9" t="inlineStr">
        <is>
          <t>Unlocked</t>
        </is>
      </c>
      <c r="D937" s="9" t="inlineStr">
        <is>
          <t>InputLevel</t>
        </is>
      </c>
      <c r="E937" s="9" t="inlineStr">
        <is>
          <t>Factor</t>
        </is>
      </c>
      <c r="F937" s="9" t="inlineStr">
        <is>
          <t>CoefficientPercent</t>
        </is>
      </c>
      <c r="G937" s="9" t="inlineStr">
        <is>
          <t>EffectiveHits</t>
        </is>
      </c>
      <c r="H937" s="9" t="inlineStr">
        <is>
          <t>ProcProbability</t>
        </is>
      </c>
      <c r="I937" s="9" t="inlineStr">
        <is>
          <t>MapleHeroMultiplier</t>
        </is>
      </c>
      <c r="J937" s="9" t="inlineStr">
        <is>
          <t>BaseDamage</t>
        </is>
      </c>
      <c r="K937" s="9" t="inlineStr">
        <is>
          <t>BaseHitDamage</t>
        </is>
      </c>
      <c r="L937" s="9" t="inlineStr">
        <is>
          <t>NonCritAvg</t>
        </is>
      </c>
      <c r="M937" s="9" t="inlineStr">
        <is>
          <t>CritAvg</t>
        </is>
      </c>
      <c r="N937" s="9" t="inlineStr">
        <is>
          <t>ExpectedDamage(perHit)</t>
        </is>
      </c>
      <c r="O937" s="9" t="inlineStr">
        <is>
          <t>DPS</t>
        </is>
      </c>
      <c r="P937" s="9" t="inlineStr">
        <is>
          <t>% of Total</t>
        </is>
      </c>
      <c r="R937" t="inlineStr">
        <is>
          <t>helpers</t>
        </is>
      </c>
    </row>
    <row r="938">
      <c r="A938">
        <f>Skills!A2</f>
        <v/>
      </c>
      <c r="B938">
        <f>Skills!B2</f>
        <v/>
      </c>
      <c r="C938">
        <f>Inputs!$B$3&gt;=100</f>
        <v/>
      </c>
      <c r="D938" t="inlineStr"/>
      <c r="E938" t="inlineStr"/>
      <c r="F938">
        <f>T940+Skills!N2</f>
        <v/>
      </c>
      <c r="G938">
        <f>Calc!G2</f>
        <v/>
      </c>
      <c r="H938">
        <f>Calc!H2</f>
        <v/>
      </c>
      <c r="I938">
        <f>IF(Skills!T2&lt;&gt;"",1+(Skills!T2/10)*($Z$3/1000)/100,1)</f>
        <v/>
      </c>
      <c r="J938">
        <f>((Inputs!$B$7+1)*(1+Inputs!$B$8/100))*(F938/100)</f>
        <v/>
      </c>
      <c r="K938">
        <f>J938*(1+(((Inputs!$B$14+IF(Inputs!$B$3&gt;=35,0.10*(Inputs!$B$9*(1+Inputs!$B$10/100)),0))*(1+Inputs!$B$15/100))*0.01+Inputs!$B$16*0.0025)/100)*(1+(Inputs!$B$17+B967)/100)*(1+IF(Inputs!$B$40="pvp",0,(1-Summary!$B$48)*(Inputs!$B$22+Skills!O2+B965)+Summary!$B$48*(Inputs!$B$23+Skills!P2+B966))/100)*(1+Inputs!$B$18/100)*(5000/(6000+Inputs!$B$42*(1-Inputs!$B$21/100)))*(1+Inputs!$B$26/100)*(1+IF(C953=TRUE,F953,0)/100)*(1+IF(C955=TRUE,F955,0)/100)*(1+IF(Skills!A2="TRIUMPH_FEATHER",IF(C951=TRUE,F951,0),0)/100)*(1+IF(C962=TRUE,F962,0)/100)^5*(1+(IF(Skills!A2="BIG_BANG",Inputs!$B$19,Inputs!$B$20))/100)*(B964*I938)</f>
        <v/>
      </c>
      <c r="L938">
        <f>K938*(MIN(Inputs!$B$24+(F957-Calc!F21),Inputs!$B$25)/100+Inputs!$B$25/100)/2</f>
        <v/>
      </c>
      <c r="M938">
        <f>L938*(1+(Inputs!$B$12+B968+(F960-Calc!F24))/100)</f>
        <v/>
      </c>
      <c r="N938">
        <f>L938*(1-MIN(Inputs!$B$11+((F959-Calc!F23)+(F958-Calc!F22)),100)/100)+M938*(MIN(Inputs!$B$11+((F959-Calc!F23)+(F958-Calc!F22)),100)/100)</f>
        <v/>
      </c>
      <c r="O938">
        <f>IF(C938,Skills!F2*N938*B972*IF(Inputs!$B$40="pvp",1,(1-Summary!$B$48)*(1)+Summary!$B$48*(MIN((6+Inputs!$B$35),Inputs!$B$39))),0)</f>
        <v/>
      </c>
      <c r="P938">
        <f>IF(B974=0,0,O938/B974)</f>
        <v/>
      </c>
      <c r="Q938">
        <f>IFERROR(1/IF(Inputs!$B$40="pvp",15,MAX(0.1,Skills!D2-IF(Skills!E2=TRUE,Inputs!$B$34,0))),0)</f>
        <v/>
      </c>
      <c r="R938" t="n">
        <v>0</v>
      </c>
      <c r="T938">
        <f>MAX(0,(Inputs!$B$3-100)*3)+Inputs!$B$30+Inputs!$B$31</f>
        <v/>
      </c>
    </row>
    <row r="939">
      <c r="A939">
        <f>Skills!A3</f>
        <v/>
      </c>
      <c r="B939">
        <f>Skills!B3</f>
        <v/>
      </c>
      <c r="C939">
        <f>Inputs!$B$3&gt;=15</f>
        <v/>
      </c>
      <c r="D939">
        <f>IF(Skills!C3=1,60+Inputs!$B$27+Inputs!$B$31,IF(Skills!C3=2,90+Inputs!$B$28+Inputs!$B$31,IF(Skills!C3=3,120+Inputs!$B$29+Inputs!$B$31,MAX(0,(Inputs!$B$3-100)*3)+Inputs!$B$30+Inputs!$B$31)))</f>
        <v/>
      </c>
      <c r="E939">
        <f>INDEX(FactorTable!$B$2:$Y$301, MATCH(ROUND(MIN(300,MAX(1,D939)),0), FactorTable!$A$2:$A$301,0), Skills!L3+1)</f>
        <v/>
      </c>
      <c r="F939">
        <f>IF(Skills!M3=TRUE,(Skills!K3/10)*(E939/1000),Skills!K3/10)+Skills!N3</f>
        <v/>
      </c>
      <c r="G939">
        <f>Calc!G3</f>
        <v/>
      </c>
      <c r="H939">
        <f>Calc!H3</f>
        <v/>
      </c>
      <c r="I939">
        <f>IF(Skills!T3&lt;&gt;"",1+(Skills!T3/10)*($Z$3/1000)/100,1)</f>
        <v/>
      </c>
      <c r="J939" t="inlineStr"/>
      <c r="K939" t="inlineStr"/>
      <c r="L939" t="inlineStr"/>
      <c r="M939" t="inlineStr"/>
      <c r="N939" t="inlineStr"/>
      <c r="O939" t="n">
        <v>0</v>
      </c>
      <c r="P939">
        <f>IF(B974=0,0,O939/B974)</f>
        <v/>
      </c>
      <c r="Q939">
        <f>IFERROR(1/IF(Inputs!$B$40="pvp",15,MAX(0.1,Skills!D3-IF(Skills!E3=TRUE,Inputs!$B$34,0))),0)</f>
        <v/>
      </c>
      <c r="R939">
        <f>IF(AND(Inputs!$B$40&lt;&gt;"pvp",Inputs!$B$43&gt;0),(INT(Inputs!$B$43/IF(Inputs!$B$40="pvp",15,MAX(0.1,Skills!D3-IF(Skills!E3=TRUE,Inputs!$B$34,0))))+1),0)</f>
        <v/>
      </c>
      <c r="T939">
        <f>INDEX(FactorTable!$B$2:$Y$301, MATCH(ROUND(MIN(300,MAX(1,T938)),0), FactorTable!$A$2:$A$301,0), 22)</f>
        <v/>
      </c>
    </row>
    <row r="940">
      <c r="A940">
        <f>Skills!A4</f>
        <v/>
      </c>
      <c r="B940">
        <f>Skills!B4</f>
        <v/>
      </c>
      <c r="C940">
        <f>Inputs!$B$3&gt;=38</f>
        <v/>
      </c>
      <c r="D940">
        <f>IF(Skills!C4=1,60+Inputs!$B$27+Inputs!$B$31,IF(Skills!C4=2,90+Inputs!$B$28+Inputs!$B$31,IF(Skills!C4=3,120+Inputs!$B$29+Inputs!$B$31,MAX(0,(Inputs!$B$3-100)*3)+Inputs!$B$30+Inputs!$B$31)))</f>
        <v/>
      </c>
      <c r="E940">
        <f>INDEX(FactorTable!$B$2:$Y$301, MATCH(ROUND(MIN(300,MAX(1,D940)),0), FactorTable!$A$2:$A$301,0), Skills!L4+1)</f>
        <v/>
      </c>
      <c r="F940">
        <f>IF(Skills!M4=TRUE,(Skills!K4/10)*(E940/1000),Skills!K4/10)+Skills!N4</f>
        <v/>
      </c>
      <c r="G940">
        <f>Calc!G4</f>
        <v/>
      </c>
      <c r="H940">
        <f>Calc!H4</f>
        <v/>
      </c>
      <c r="I940">
        <f>IF(Skills!T4&lt;&gt;"",1+(Skills!T4/10)*($Z$3/1000)/100,1)</f>
        <v/>
      </c>
      <c r="J940" t="inlineStr"/>
      <c r="K940" t="inlineStr"/>
      <c r="L940" t="inlineStr"/>
      <c r="M940" t="inlineStr"/>
      <c r="N940" t="inlineStr"/>
      <c r="O940" t="n">
        <v>0</v>
      </c>
      <c r="P940">
        <f>IF(B974=0,0,O940/B974)</f>
        <v/>
      </c>
      <c r="Q940">
        <f>IFERROR(1/IF(Inputs!$B$40="pvp",15,MAX(0.1,Skills!D4-IF(Skills!E4=TRUE,Inputs!$B$34,0))),0)</f>
        <v/>
      </c>
      <c r="R940">
        <f>IF(AND(Inputs!$B$40&lt;&gt;"pvp",Inputs!$B$43&gt;0),(INT(Inputs!$B$43/IF(Inputs!$B$40="pvp",15,MAX(0.1,Skills!D4-IF(Skills!E4=TRUE,Inputs!$B$34,0))))+1),0)</f>
        <v/>
      </c>
      <c r="T940">
        <f>290*T939/1000</f>
        <v/>
      </c>
    </row>
    <row r="941">
      <c r="A941">
        <f>Skills!A5</f>
        <v/>
      </c>
      <c r="B941">
        <f>Skills!B5</f>
        <v/>
      </c>
      <c r="C941">
        <f>Inputs!$B$3&gt;=40</f>
        <v/>
      </c>
      <c r="D941">
        <f>IF(Skills!C5=1,60+Inputs!$B$27+Inputs!$B$31,IF(Skills!C5=2,90+Inputs!$B$28+Inputs!$B$31,IF(Skills!C5=3,120+Inputs!$B$29+Inputs!$B$31,MAX(0,(Inputs!$B$3-100)*3)+Inputs!$B$30+Inputs!$B$31)))</f>
        <v/>
      </c>
      <c r="E941">
        <f>INDEX(FactorTable!$B$2:$Y$301, MATCH(ROUND(MIN(300,MAX(1,D941)),0), FactorTable!$A$2:$A$301,0), Skills!L5+1)</f>
        <v/>
      </c>
      <c r="F941">
        <f>IF(Skills!M5=TRUE,(Skills!K5/10)*(E941/1000),Skills!K5/10)+Skills!N5</f>
        <v/>
      </c>
      <c r="G941">
        <f>Calc!G5</f>
        <v/>
      </c>
      <c r="H941">
        <f>Calc!H5</f>
        <v/>
      </c>
      <c r="I941">
        <f>IF(Skills!T5&lt;&gt;"",1+(Skills!T5/10)*($Z$3/1000)/100,1)</f>
        <v/>
      </c>
      <c r="J941" t="inlineStr"/>
      <c r="K941" t="inlineStr"/>
      <c r="L941" t="inlineStr"/>
      <c r="M941" t="inlineStr"/>
      <c r="N941" t="inlineStr"/>
      <c r="O941" t="n">
        <v>0</v>
      </c>
      <c r="P941">
        <f>IF(B974=0,0,O941/B974)</f>
        <v/>
      </c>
      <c r="Q941">
        <f>IFERROR(1/IF(Inputs!$B$40="pvp",15,MAX(0.1,Skills!D5-IF(Skills!E5=TRUE,Inputs!$B$34,0))),0)</f>
        <v/>
      </c>
      <c r="R941">
        <f>IF(AND(Inputs!$B$40&lt;&gt;"pvp",Inputs!$B$43&gt;0),(INT(Inputs!$B$43/IF(Inputs!$B$40="pvp",15,MAX(0.1,Skills!D5-IF(Skills!E5=TRUE,Inputs!$B$34,0))))+1),0)</f>
        <v/>
      </c>
    </row>
    <row r="942">
      <c r="A942">
        <f>Skills!A6</f>
        <v/>
      </c>
      <c r="B942">
        <f>Skills!B6</f>
        <v/>
      </c>
      <c r="C942">
        <f>Inputs!$B$3&gt;=103</f>
        <v/>
      </c>
      <c r="D942">
        <f>IF(Skills!C6=1,60+Inputs!$B$27+Inputs!$B$31,IF(Skills!C6=2,90+Inputs!$B$28+Inputs!$B$31,IF(Skills!C6=3,120+Inputs!$B$29+Inputs!$B$31,MAX(0,(Inputs!$B$3-100)*3)+Inputs!$B$30+Inputs!$B$31)))</f>
        <v/>
      </c>
      <c r="E942">
        <f>INDEX(FactorTable!$B$2:$Y$301, MATCH(ROUND(MIN(300,MAX(1,D942)),0), FactorTable!$A$2:$A$301,0), Skills!L6+1)</f>
        <v/>
      </c>
      <c r="F942">
        <f>IF(Skills!M6=TRUE,(Skills!K6/10)*(E942/1000),Skills!K6/10)+Skills!N6</f>
        <v/>
      </c>
      <c r="G942">
        <f>Calc!G6</f>
        <v/>
      </c>
      <c r="H942">
        <f>Calc!H6</f>
        <v/>
      </c>
      <c r="I942">
        <f>IF(Skills!T6&lt;&gt;"",1+(Skills!T6/10)*($Z$3/1000)/100,1)</f>
        <v/>
      </c>
      <c r="J942">
        <f>((Inputs!$B$7+1)*(1+Inputs!$B$8/100))*(F942/100)</f>
        <v/>
      </c>
      <c r="K942">
        <f>J942*(1+(((Inputs!$B$14+IF(Inputs!$B$3&gt;=35,0.10*(Inputs!$B$9*(1+Inputs!$B$10/100)),0))*(1+Inputs!$B$15/100))*0.01+Inputs!$B$16*0.0025)/100)*(1+(Inputs!$B$17+B967)/100)*(1+IF(Inputs!$B$40="pvp",0,(1-Summary!$B$48)*(Inputs!$B$22+Skills!O6+B965)+Summary!$B$48*(Inputs!$B$23+Skills!P6+B966))/100)*(1+Inputs!$B$18/100)*(5000/(6000+Inputs!$B$42*(1-Inputs!$B$21/100)))*(1+Inputs!$B$26/100)*(1+IF(C953=TRUE,F953,0)/100)*(1+IF(C955=TRUE,F955,0)/100)*(1+IF(Skills!A6="TRIUMPH_FEATHER",IF(C951=TRUE,F951,0),0)/100)*(1+IF(C962=TRUE,F962,0)/100)^5*(1+(IF(Skills!A6="BIG_BANG",Inputs!$B$19,Inputs!$B$20))/100)*(B964*I942)</f>
        <v/>
      </c>
      <c r="L942">
        <f>K942*(MIN(Inputs!$B$24+(F957-Calc!F21),Inputs!$B$25)/100+Inputs!$B$25/100)/2</f>
        <v/>
      </c>
      <c r="M942">
        <f>L942*(1+(Inputs!$B$12+B968+(F960-Calc!F24))/100)</f>
        <v/>
      </c>
      <c r="N942">
        <f>L942*(1-MIN(Inputs!$B$11+((F959-Calc!F23)+(F958-Calc!F22)),100)/100)+M942*(MIN(Inputs!$B$11+((F959-Calc!F23)+(F958-Calc!F22)),100)/100)</f>
        <v/>
      </c>
      <c r="O942">
        <f>IF(C942,H942*N942*IF(AND(Inputs!$B$40&lt;&gt;"pvp",Inputs!$B$43&gt;0),((Skills!F6*((R942-1)*IF(Skills!G6&gt;0,Skills!H6/Skills!G6,1)+IF(Skills!G6&gt;0,MIN(Skills!H6,MAX(0,Inputs!$B$43-((R942-1)*IF(Inputs!$B$40="pvp",15,MAX(0.1,Skills!D6-IF(Skills!E6=TRUE,Inputs!$B$34,0))))))/Skills!G6,1)))/Inputs!$B$43),G942*Q942)*IF(Inputs!$B$40="pvp",1,(1-Summary!$B$48)*(1)+Summary!$B$48*(MIN(Skills!Q6,Inputs!$B$39))),0)</f>
        <v/>
      </c>
      <c r="P942">
        <f>IF(B974=0,0,O942/B974)</f>
        <v/>
      </c>
      <c r="Q942">
        <f>IFERROR(1/IF(Inputs!$B$40="pvp",15,MAX(0.1,Skills!D6-IF(Skills!E6=TRUE,Inputs!$B$34,0))),0)</f>
        <v/>
      </c>
      <c r="R942">
        <f>IF(AND(Inputs!$B$40&lt;&gt;"pvp",Inputs!$B$43&gt;0),(INT(Inputs!$B$43/IF(Inputs!$B$40="pvp",15,MAX(0.1,Skills!D6-IF(Skills!E6=TRUE,Inputs!$B$34,0))))+1),0)</f>
        <v/>
      </c>
    </row>
    <row r="943">
      <c r="A943">
        <f>Skills!A7</f>
        <v/>
      </c>
      <c r="B943">
        <f>Skills!B7</f>
        <v/>
      </c>
      <c r="C943">
        <f>Inputs!$B$3&gt;=122</f>
        <v/>
      </c>
      <c r="D943">
        <f>IF(Skills!C7=1,60+Inputs!$B$27+Inputs!$B$31,IF(Skills!C7=2,90+Inputs!$B$28+Inputs!$B$31,IF(Skills!C7=3,120+Inputs!$B$29+Inputs!$B$31,MAX(0,(Inputs!$B$3-100)*3)+Inputs!$B$30+Inputs!$B$31)))</f>
        <v/>
      </c>
      <c r="E943">
        <f>INDEX(FactorTable!$B$2:$Y$301, MATCH(ROUND(MIN(300,MAX(1,D943)),0), FactorTable!$A$2:$A$301,0), Skills!L7+1)</f>
        <v/>
      </c>
      <c r="F943">
        <f>IF(Skills!M7=TRUE,(Skills!K7/10)*(E943/1000),Skills!K7/10)+Skills!N7</f>
        <v/>
      </c>
      <c r="G943">
        <f>Calc!G7</f>
        <v/>
      </c>
      <c r="H943">
        <f>Calc!H7</f>
        <v/>
      </c>
      <c r="I943">
        <f>IF(Skills!T7&lt;&gt;"",1+(Skills!T7/10)*($Z$3/1000)/100,1)</f>
        <v/>
      </c>
      <c r="J943">
        <f>((Inputs!$B$7+1)*(1+Inputs!$B$8/100))*(F943/100)</f>
        <v/>
      </c>
      <c r="K943">
        <f>J943*(1+(((Inputs!$B$14+IF(Inputs!$B$3&gt;=35,0.10*(Inputs!$B$9*(1+Inputs!$B$10/100)),0))*(1+Inputs!$B$15/100))*0.01+Inputs!$B$16*0.0025)/100)*(1+(Inputs!$B$17+B967)/100)*(1+IF(Inputs!$B$40="pvp",0,(1-Summary!$B$48)*(Inputs!$B$22+Skills!O7+B965)+Summary!$B$48*(Inputs!$B$23+Skills!P7+B966))/100)*(1+Inputs!$B$18/100)*(5000/(6000+Inputs!$B$42*(1-Inputs!$B$21/100)))*(1+Inputs!$B$26/100)*(1+IF(C953=TRUE,F953,0)/100)*(1+IF(C955=TRUE,F955,0)/100)*(1+IF(Skills!A7="TRIUMPH_FEATHER",IF(C951=TRUE,F951,0),0)/100)*(1+IF(C962=TRUE,F962,0)/100)^5*(1+(IF(Skills!A7="BIG_BANG",Inputs!$B$19,Inputs!$B$20))/100)*(B964*I943)</f>
        <v/>
      </c>
      <c r="L943">
        <f>K943*(MIN(Inputs!$B$24+(F957-Calc!F21),Inputs!$B$25)/100+Inputs!$B$25/100)/2</f>
        <v/>
      </c>
      <c r="M943">
        <f>L943*(1+(Inputs!$B$12+B968+(F960-Calc!F24))/100)</f>
        <v/>
      </c>
      <c r="N943">
        <f>L943*(1-MIN(Inputs!$B$11+((F959-Calc!F23)+(F958-Calc!F22)),100)/100)+M943*(MIN(Inputs!$B$11+((F959-Calc!F23)+(F958-Calc!F22)),100)/100)</f>
        <v/>
      </c>
      <c r="O943">
        <f>IF(C943,H943*N943*IF(AND(Inputs!$B$40&lt;&gt;"pvp",Inputs!$B$43&gt;0),((Skills!F7*((R943-1)*IF(Skills!G7&gt;0,Skills!H7/Skills!G7,1)+IF(Skills!G7&gt;0,MIN(Skills!H7,MAX(0,Inputs!$B$43-((R943-1)*IF(Inputs!$B$40="pvp",15,MAX(0.1,Skills!D7-IF(Skills!E6=TRUE,Inputs!$B$34,0))))))/Skills!G7,1)))/Inputs!$B$43),G943*Q943)*(1-Summary!$B$48),0)</f>
        <v/>
      </c>
      <c r="P943">
        <f>IF(B974=0,0,O943/B974)</f>
        <v/>
      </c>
      <c r="Q943">
        <f>IFERROR(1/IF(Inputs!$B$40="pvp",15,MAX(0.1,Skills!D7-IF(Skills!E6=TRUE,Inputs!$B$34,0))),0)</f>
        <v/>
      </c>
      <c r="R943">
        <f>IF(AND(Inputs!$B$40&lt;&gt;"pvp",Inputs!$B$43&gt;0),(INT(Inputs!$B$43/IF(Inputs!$B$40="pvp",15,MAX(0.1,Skills!D7-IF(Skills!E6=TRUE,Inputs!$B$34,0))))+1),0)</f>
        <v/>
      </c>
    </row>
    <row r="944">
      <c r="A944">
        <f>Skills!A8</f>
        <v/>
      </c>
      <c r="B944">
        <f>Skills!B8</f>
        <v/>
      </c>
      <c r="C944">
        <f>Inputs!$B$3&gt;=105</f>
        <v/>
      </c>
      <c r="D944">
        <f>IF(Skills!C8=1,60+Inputs!$B$27+Inputs!$B$31,IF(Skills!C8=2,90+Inputs!$B$28+Inputs!$B$31,IF(Skills!C8=3,120+Inputs!$B$29+Inputs!$B$31,MAX(0,(Inputs!$B$3-100)*3)+Inputs!$B$30+Inputs!$B$31)))</f>
        <v/>
      </c>
      <c r="E944">
        <f>INDEX(FactorTable!$B$2:$Y$301, MATCH(ROUND(MIN(300,MAX(1,D944)),0), FactorTable!$A$2:$A$301,0), Skills!L8+1)</f>
        <v/>
      </c>
      <c r="F944">
        <f>IF(Skills!M8=TRUE,(Skills!K8/10)*(E944/1000),Skills!K8/10)+Skills!N8</f>
        <v/>
      </c>
      <c r="G944">
        <f>Calc!G8</f>
        <v/>
      </c>
      <c r="H944">
        <f>Calc!H8</f>
        <v/>
      </c>
      <c r="I944">
        <f>IF(Skills!T8&lt;&gt;"",1+(Skills!T8/10)*($Z$3/1000)/100,1)</f>
        <v/>
      </c>
      <c r="J944">
        <f>((Inputs!$B$7+1)*(1+Inputs!$B$8/100))*(F944/100)</f>
        <v/>
      </c>
      <c r="K944">
        <f>J944*(1+(((Inputs!$B$14+IF(Inputs!$B$3&gt;=35,0.10*(Inputs!$B$9*(1+Inputs!$B$10/100)),0))*(1+Inputs!$B$15/100))*0.01+Inputs!$B$16*0.0025)/100)*(1+(Inputs!$B$17+B967)/100)*(1+IF(Inputs!$B$40="pvp",0,(1-Summary!$B$48)*(Inputs!$B$22+Skills!O8+B965)+Summary!$B$48*(Inputs!$B$23+Skills!P8+B966))/100)*(1+Inputs!$B$18/100)*(5000/(6000+Inputs!$B$42*(1-Inputs!$B$21/100)))*(1+Inputs!$B$26/100)*(1+IF(C953=TRUE,F953,0)/100)*(1+IF(C955=TRUE,F955,0)/100)*(1+IF(Skills!A8="TRIUMPH_FEATHER",IF(C951=TRUE,F951,0),0)/100)*(1+IF(C962=TRUE,F962,0)/100)^5*(1+(IF(Skills!A8="BIG_BANG",Inputs!$B$19,Inputs!$B$20))/100)*(B964*I944)</f>
        <v/>
      </c>
      <c r="L944">
        <f>K944*(MIN(Inputs!$B$24+(F957-Calc!F21),Inputs!$B$25)/100+Inputs!$B$25/100)/2</f>
        <v/>
      </c>
      <c r="M944">
        <f>L944*(1+(Inputs!$B$12+B968+(F960-Calc!F24))/100)</f>
        <v/>
      </c>
      <c r="N944">
        <f>L944*(1-MIN(Inputs!$B$11+((F959-Calc!F23)+(F958-Calc!F22)),100)/100)+M944*(MIN(Inputs!$B$11+((F959-Calc!F23)+(F958-Calc!F22)),100)/100)</f>
        <v/>
      </c>
      <c r="O944">
        <f>IF(C944,H944*N944*IF(AND(Inputs!$B$40&lt;&gt;"pvp",Inputs!$B$43&gt;0),((Skills!F8*((R944-1)*IF(Skills!G8&gt;0,Skills!H8/Skills!G8,1)+IF(Skills!G8&gt;0,MIN(Skills!H8,MAX(0,Inputs!$B$43-((R944-1)*IF(Inputs!$B$40="pvp",15,MAX(0.1,Skills!D8-IF(Skills!E8=TRUE,Inputs!$B$34,0))))))/Skills!G8,1)))/Inputs!$B$43),G944*Q944)*IF(Inputs!$B$40="pvp",1,(1-Summary!$B$48)*(1)+Summary!$B$48*(MIN(Skills!Q8,Inputs!$B$39))),0)</f>
        <v/>
      </c>
      <c r="P944">
        <f>IF(B974=0,0,O944/B974)</f>
        <v/>
      </c>
      <c r="Q944">
        <f>IFERROR(1/IF(Inputs!$B$40="pvp",15,MAX(0.1,Skills!D8-IF(Skills!E8=TRUE,Inputs!$B$34,0))),0)</f>
        <v/>
      </c>
      <c r="R944">
        <f>IF(AND(Inputs!$B$40&lt;&gt;"pvp",Inputs!$B$43&gt;0),(INT(Inputs!$B$43/IF(Inputs!$B$40="pvp",15,MAX(0.1,Skills!D8-IF(Skills!E8=TRUE,Inputs!$B$34,0))))+1),0)</f>
        <v/>
      </c>
    </row>
    <row r="945">
      <c r="A945">
        <f>Skills!A9</f>
        <v/>
      </c>
      <c r="B945">
        <f>Skills!B9</f>
        <v/>
      </c>
      <c r="C945">
        <f>Inputs!$B$3&gt;=115</f>
        <v/>
      </c>
      <c r="D945">
        <f>IF(Skills!C9=1,60+Inputs!$B$27+Inputs!$B$31,IF(Skills!C9=2,90+Inputs!$B$28+Inputs!$B$31,IF(Skills!C9=3,120+Inputs!$B$29+Inputs!$B$31,MAX(0,(Inputs!$B$3-100)*3)+Inputs!$B$30+Inputs!$B$31)))</f>
        <v/>
      </c>
      <c r="E945">
        <f>INDEX(FactorTable!$B$2:$Y$301, MATCH(ROUND(MIN(300,MAX(1,D945)),0), FactorTable!$A$2:$A$301,0), Skills!L9+1)</f>
        <v/>
      </c>
      <c r="F945">
        <f>IF(Skills!M9=TRUE,(Skills!K9/10)*(E945/1000),Skills!K9/10)+Skills!N9</f>
        <v/>
      </c>
      <c r="G945">
        <f>Calc!G9</f>
        <v/>
      </c>
      <c r="H945">
        <f>Calc!H9</f>
        <v/>
      </c>
      <c r="I945">
        <f>IF(Skills!T9&lt;&gt;"",1+(Skills!T9/10)*($Z$3/1000)/100,1)</f>
        <v/>
      </c>
      <c r="J945">
        <f>((Inputs!$B$7+1)*(1+Inputs!$B$8/100))*(F945/100)</f>
        <v/>
      </c>
      <c r="K945">
        <f>J945*(1+(((Inputs!$B$14+IF(Inputs!$B$3&gt;=35,0.10*(Inputs!$B$9*(1+Inputs!$B$10/100)),0))*(1+Inputs!$B$15/100))*0.01+Inputs!$B$16*0.0025)/100)*(1+(Inputs!$B$17+B967)/100)*(1+IF(Inputs!$B$40="pvp",0,(1-Summary!$B$48)*(Inputs!$B$22+Skills!O9+B965)+Summary!$B$48*(Inputs!$B$23+Skills!P9+B966))/100)*(1+Inputs!$B$18/100)*(5000/(6000+Inputs!$B$42*(1-Inputs!$B$21/100)))*(1+Inputs!$B$26/100)*(1+IF(C953=TRUE,F953,0)/100)*(1+IF(C955=TRUE,F955,0)/100)*(1+IF(Skills!A9="TRIUMPH_FEATHER",IF(C951=TRUE,F951,0),0)/100)*(1+IF(C962=TRUE,F962,0)/100)^5*(1+(IF(Skills!A9="BIG_BANG",Inputs!$B$19,Inputs!$B$20))/100)*(B964*I945)</f>
        <v/>
      </c>
      <c r="L945">
        <f>K945*(MIN(Inputs!$B$24+(F957-Calc!F21),Inputs!$B$25)/100+Inputs!$B$25/100)/2</f>
        <v/>
      </c>
      <c r="M945">
        <f>L945*(1+(Inputs!$B$12+B968+(F960-Calc!F24))/100)</f>
        <v/>
      </c>
      <c r="N945">
        <f>L945*(1-MIN(Inputs!$B$11+((F959-Calc!F23)+(F958-Calc!F22)),100)/100)+M945*(MIN(Inputs!$B$11+((F959-Calc!F23)+(F958-Calc!F22)),100)/100)</f>
        <v/>
      </c>
      <c r="O945">
        <f>IF(C945,H945*N945*IF(AND(Inputs!$B$40&lt;&gt;"pvp",Inputs!$B$43&gt;0),((Skills!F9*((R945-1)*IF(Skills!G9&gt;0,Skills!H9/Skills!G9,1)+IF(Skills!G9&gt;0,MIN(Skills!H9,MAX(0,Inputs!$B$43-((R945-1)*IF(Inputs!$B$40="pvp",15,MAX(0.1,Skills!D9-IF(Skills!E9=TRUE,Inputs!$B$34,0))))))/Skills!G9,1)))/Inputs!$B$43),G945*Q945)*IF(Inputs!$B$40="pvp",1,(1-Summary!$B$48)*(1)+Summary!$B$48*(MIN(Skills!Q9,Inputs!$B$39))),0)</f>
        <v/>
      </c>
      <c r="P945">
        <f>IF(B974=0,0,O945/B974)</f>
        <v/>
      </c>
      <c r="Q945">
        <f>IFERROR(1/IF(Inputs!$B$40="pvp",15,MAX(0.1,Skills!D9-IF(Skills!E9=TRUE,Inputs!$B$34,0))),0)</f>
        <v/>
      </c>
      <c r="R945">
        <f>IF(AND(Inputs!$B$40&lt;&gt;"pvp",Inputs!$B$43&gt;0),(INT(Inputs!$B$43/IF(Inputs!$B$40="pvp",15,MAX(0.1,Skills!D9-IF(Skills!E9=TRUE,Inputs!$B$34,0))))+1),0)</f>
        <v/>
      </c>
    </row>
    <row r="946">
      <c r="A946">
        <f>Skills!A10</f>
        <v/>
      </c>
      <c r="B946">
        <f>Skills!B10</f>
        <v/>
      </c>
      <c r="C946">
        <f>Inputs!$B$3&gt;=66</f>
        <v/>
      </c>
      <c r="D946">
        <f>IF(Skills!C10=1,60+Inputs!$B$27+Inputs!$B$31,IF(Skills!C10=2,90+Inputs!$B$28+Inputs!$B$31,IF(Skills!C10=3,120+Inputs!$B$29+Inputs!$B$31,MAX(0,(Inputs!$B$3-100)*3)+Inputs!$B$30+Inputs!$B$31)))</f>
        <v/>
      </c>
      <c r="E946">
        <f>INDEX(FactorTable!$B$2:$Y$301, MATCH(ROUND(MIN(300,MAX(1,D946)),0), FactorTable!$A$2:$A$301,0), Skills!L10+1)</f>
        <v/>
      </c>
      <c r="F946" t="n">
        <v>0</v>
      </c>
      <c r="G946">
        <f>Calc!G10</f>
        <v/>
      </c>
      <c r="H946">
        <f>Calc!H10</f>
        <v/>
      </c>
      <c r="I946">
        <f>IF(Skills!T10&lt;&gt;"",1+(Skills!T10/10)*($Z$3/1000)/100,1)</f>
        <v/>
      </c>
      <c r="J946" t="inlineStr"/>
      <c r="K946" t="inlineStr"/>
      <c r="L946" t="inlineStr"/>
      <c r="M946" t="inlineStr"/>
      <c r="N946" t="inlineStr"/>
      <c r="O946" t="n">
        <v>0</v>
      </c>
      <c r="P946">
        <f>IF(B974=0,0,O946/B974)</f>
        <v/>
      </c>
      <c r="Q946">
        <f>IFERROR(1/IF(Inputs!$B$40="pvp",15,MAX(0.1,Skills!D10-IF(Skills!E10=TRUE,Inputs!$B$34,0))),0)</f>
        <v/>
      </c>
      <c r="R946">
        <f>IF(AND(Inputs!$B$40&lt;&gt;"pvp",Inputs!$B$43&gt;0),(INT(Inputs!$B$43/IF(Inputs!$B$40="pvp",15,MAX(0.1,Skills!D10-IF(Skills!E10=TRUE,Inputs!$B$34,0))))+1),0)</f>
        <v/>
      </c>
    </row>
    <row r="947">
      <c r="A947">
        <f>Skills!A11</f>
        <v/>
      </c>
      <c r="B947">
        <f>Skills!B11</f>
        <v/>
      </c>
      <c r="C947">
        <f>Inputs!$B$3&gt;=69</f>
        <v/>
      </c>
      <c r="D947">
        <f>IF(Skills!C11=1,60+Inputs!$B$27+Inputs!$B$31,IF(Skills!C11=2,90+Inputs!$B$28+Inputs!$B$31,IF(Skills!C11=3,120+Inputs!$B$29+Inputs!$B$31,MAX(0,(Inputs!$B$3-100)*3)+Inputs!$B$30+Inputs!$B$31)))</f>
        <v/>
      </c>
      <c r="E947">
        <f>INDEX(FactorTable!$B$2:$Y$301, MATCH(ROUND(MIN(300,MAX(1,D947)),0), FactorTable!$A$2:$A$301,0), Skills!L11+1)</f>
        <v/>
      </c>
      <c r="F947">
        <f>IF(Skills!M11=TRUE,(Skills!K11/10)*(E947/1000),Skills!K11/10)+Skills!N11</f>
        <v/>
      </c>
      <c r="G947">
        <f>Calc!G11</f>
        <v/>
      </c>
      <c r="H947">
        <f>Calc!H11</f>
        <v/>
      </c>
      <c r="I947">
        <f>IF(Skills!T11&lt;&gt;"",1+(Skills!T11/10)*($Z$3/1000)/100,1)</f>
        <v/>
      </c>
      <c r="J947" t="inlineStr"/>
      <c r="K947" t="inlineStr"/>
      <c r="L947" t="inlineStr"/>
      <c r="M947" t="inlineStr"/>
      <c r="N947" t="inlineStr"/>
      <c r="O947" t="n">
        <v>0</v>
      </c>
      <c r="P947">
        <f>IF(B974=0,0,O947/B974)</f>
        <v/>
      </c>
      <c r="Q947">
        <f>IFERROR(1/IF(Inputs!$B$40="pvp",15,MAX(0.1,Skills!D11-IF(Skills!E11=TRUE,Inputs!$B$34,0))),0)</f>
        <v/>
      </c>
      <c r="R947">
        <f>IF(AND(Inputs!$B$40&lt;&gt;"pvp",Inputs!$B$43&gt;0),(INT(Inputs!$B$43/IF(Inputs!$B$40="pvp",15,MAX(0.1,Skills!D11-IF(Skills!E11=TRUE,Inputs!$B$34,0))))+1),0)</f>
        <v/>
      </c>
    </row>
    <row r="948">
      <c r="A948">
        <f>Skills!A12</f>
        <v/>
      </c>
      <c r="B948">
        <f>Skills!B12</f>
        <v/>
      </c>
      <c r="C948">
        <f>Inputs!$B$3&gt;=72</f>
        <v/>
      </c>
      <c r="D948">
        <f>IF(Skills!C12=1,60+Inputs!$B$27+Inputs!$B$31,IF(Skills!C12=2,90+Inputs!$B$28+Inputs!$B$31,IF(Skills!C12=3,120+Inputs!$B$29+Inputs!$B$31,MAX(0,(Inputs!$B$3-100)*3)+Inputs!$B$30+Inputs!$B$31)))</f>
        <v/>
      </c>
      <c r="E948">
        <f>INDEX(FactorTable!$B$2:$Y$301, MATCH(ROUND(MIN(300,MAX(1,D948)),0), FactorTable!$A$2:$A$301,0), Skills!L12+1)</f>
        <v/>
      </c>
      <c r="F948">
        <f>IF(Skills!M12=TRUE,(Skills!K12/10)*(E948/1000),Skills!K12/10)+Skills!N12</f>
        <v/>
      </c>
      <c r="G948">
        <f>Calc!G12</f>
        <v/>
      </c>
      <c r="H948">
        <f>Calc!H12</f>
        <v/>
      </c>
      <c r="I948">
        <f>IF(Skills!T12&lt;&gt;"",1+(Skills!T12/10)*($Z$3/1000)/100,1)</f>
        <v/>
      </c>
      <c r="J948" t="inlineStr"/>
      <c r="K948" t="inlineStr"/>
      <c r="L948" t="inlineStr"/>
      <c r="M948" t="inlineStr"/>
      <c r="N948" t="inlineStr"/>
      <c r="O948" t="n">
        <v>0</v>
      </c>
      <c r="P948">
        <f>IF(B974=0,0,O948/B974)</f>
        <v/>
      </c>
      <c r="Q948">
        <f>IFERROR(1/IF(Inputs!$B$40="pvp",15,MAX(0.1,Skills!D12-IF(Skills!E12=TRUE,Inputs!$B$34,0))),0)</f>
        <v/>
      </c>
      <c r="R948">
        <f>IF(AND(Inputs!$B$40&lt;&gt;"pvp",Inputs!$B$43&gt;0),(INT(Inputs!$B$43/IF(Inputs!$B$40="pvp",15,MAX(0.1,Skills!D12-IF(Skills!E12=TRUE,Inputs!$B$34,0))))+1),0)</f>
        <v/>
      </c>
    </row>
    <row r="949">
      <c r="A949">
        <f>Skills!A13</f>
        <v/>
      </c>
      <c r="B949">
        <f>Skills!B13</f>
        <v/>
      </c>
      <c r="C949">
        <f>Inputs!$B$3&gt;=107</f>
        <v/>
      </c>
      <c r="D949">
        <f>IF(Skills!C13=1,60+Inputs!$B$27+Inputs!$B$31,IF(Skills!C13=2,90+Inputs!$B$28+Inputs!$B$31,IF(Skills!C13=3,120+Inputs!$B$29+Inputs!$B$31,MAX(0,(Inputs!$B$3-100)*3)+Inputs!$B$30+Inputs!$B$31)))</f>
        <v/>
      </c>
      <c r="E949">
        <f>INDEX(FactorTable!$B$2:$Y$301, MATCH(ROUND(MIN(300,MAX(1,D949)),0), FactorTable!$A$2:$A$301,0), Skills!L13+1)</f>
        <v/>
      </c>
      <c r="F949">
        <f>IF(Skills!M13=TRUE,(Skills!K13/10)*(E949/1000),Skills!K13/10)+Skills!N13</f>
        <v/>
      </c>
      <c r="G949">
        <f>Calc!G13</f>
        <v/>
      </c>
      <c r="H949">
        <f>Calc!H13</f>
        <v/>
      </c>
      <c r="I949">
        <f>IF(Skills!T13&lt;&gt;"",1+(Skills!T13/10)*($Z$3/1000)/100,1)</f>
        <v/>
      </c>
      <c r="J949" t="inlineStr"/>
      <c r="K949" t="inlineStr"/>
      <c r="L949" t="inlineStr"/>
      <c r="M949" t="inlineStr"/>
      <c r="N949" t="inlineStr"/>
      <c r="O949" t="n">
        <v>0</v>
      </c>
      <c r="P949">
        <f>IF(B974=0,0,O949/B974)</f>
        <v/>
      </c>
      <c r="Q949">
        <f>IFERROR(1/IF(Inputs!$B$40="pvp",15,MAX(0.1,Skills!D13-IF(Skills!E13=TRUE,Inputs!$B$34,0))),0)</f>
        <v/>
      </c>
      <c r="R949">
        <f>IF(AND(Inputs!$B$40&lt;&gt;"pvp",Inputs!$B$43&gt;0),(INT(Inputs!$B$43/IF(Inputs!$B$40="pvp",15,MAX(0.1,Skills!D13-IF(Skills!E13=TRUE,Inputs!$B$34,0))))+1),0)</f>
        <v/>
      </c>
    </row>
    <row r="950">
      <c r="A950">
        <f>Skills!A14</f>
        <v/>
      </c>
      <c r="B950">
        <f>Skills!B14</f>
        <v/>
      </c>
      <c r="C950">
        <f>Inputs!$B$3&gt;=63</f>
        <v/>
      </c>
      <c r="D950">
        <f>IF(Skills!C14=1,60+Inputs!$B$27+Inputs!$B$31,IF(Skills!C14=2,90+Inputs!$B$28+Inputs!$B$31,IF(Skills!C14=3,120+Inputs!$B$29+Inputs!$B$31,MAX(0,(Inputs!$B$3-100)*3)+Inputs!$B$30+Inputs!$B$31)))</f>
        <v/>
      </c>
      <c r="E950">
        <f>INDEX(FactorTable!$B$2:$Y$301, MATCH(ROUND(MIN(300,MAX(1,D950)),0), FactorTable!$A$2:$A$301,0), Skills!L14+1)</f>
        <v/>
      </c>
      <c r="F950">
        <f>IF(Skills!M14=TRUE,(Skills!K14/10)*(E950/1000),Skills!K14/10)+Skills!N14</f>
        <v/>
      </c>
      <c r="G950">
        <f>Calc!G14</f>
        <v/>
      </c>
      <c r="H950">
        <f>Calc!H14</f>
        <v/>
      </c>
      <c r="I950">
        <f>IF(Skills!T14&lt;&gt;"",1+(Skills!T14/10)*($Z$3/1000)/100,1)</f>
        <v/>
      </c>
      <c r="J950">
        <f>((Inputs!$B$7+1)*(1+Inputs!$B$8/100))*(F950/100)</f>
        <v/>
      </c>
      <c r="K950">
        <f>J950*(1+(((Inputs!$B$14+IF(Inputs!$B$3&gt;=35,0.10*(Inputs!$B$9*(1+Inputs!$B$10/100)),0))*(1+Inputs!$B$15/100))*0.01+Inputs!$B$16*0.0025)/100)*(1+(Inputs!$B$17+B967)/100)*(1+IF(Inputs!$B$40="pvp",0,(1-Summary!$B$48)*(Inputs!$B$22+Skills!O14+B965)+Summary!$B$48*(Inputs!$B$23+Skills!P14+B966))/100)*(1+Inputs!$B$18/100)*(5000/(6000+Inputs!$B$42*(1-Inputs!$B$21/100)))*(1+Inputs!$B$26/100)*(1+IF(C953=TRUE,F953,0)/100)*(1+IF(C955=TRUE,F955,0)/100)*(1+IF(Skills!A14="TRIUMPH_FEATHER",IF(C951=TRUE,F951,0),0)/100)*(1+IF(C962=TRUE,F962,0)/100)^5*(1+(IF(Skills!A14="BIG_BANG",Inputs!$B$19,Inputs!$B$20))/100)*(B964*I950)</f>
        <v/>
      </c>
      <c r="L950">
        <f>K950*(MIN(Inputs!$B$24+(F957-Calc!F21),Inputs!$B$25)/100+Inputs!$B$25/100)/2</f>
        <v/>
      </c>
      <c r="M950">
        <f>L950*(1+(Inputs!$B$12+B968+(F960-Calc!F24))/100)</f>
        <v/>
      </c>
      <c r="N950">
        <f>L950*(1-MIN(Inputs!$B$11+((F959-Calc!F23)+(F958-Calc!F22)),100)/100)+M950*(MIN(Inputs!$B$11+((F959-Calc!F23)+(F958-Calc!F22)),100)/100)</f>
        <v/>
      </c>
      <c r="O950">
        <f>IF(C950,Skills!F14*N950*((IF(Inputs!$B$3&gt;=78,25,15)/100*B970*10)/(1+IF(Inputs!$B$3&gt;=78,25,15)/100*B970*10))*(Skills!I14/100*B970)/(1+Skills!G14*Skills!I14/100*B970)*IF(Inputs!$B$40="pvp",1,(1-Summary!$B$48)*(1)+Summary!$B$48*(MIN(Skills!Q14,Inputs!$B$39))),0)</f>
        <v/>
      </c>
      <c r="P950">
        <f>IF(B974=0,0,O950/B974)</f>
        <v/>
      </c>
      <c r="Q950">
        <f>IFERROR(1/IF(Inputs!$B$40="pvp",15,MAX(0.1,Skills!D14-IF(Skills!E14=TRUE,Inputs!$B$34,0))),0)</f>
        <v/>
      </c>
      <c r="R950" t="n">
        <v>0</v>
      </c>
    </row>
    <row r="951">
      <c r="A951">
        <f>Skills!A15</f>
        <v/>
      </c>
      <c r="B951">
        <f>Skills!B15</f>
        <v/>
      </c>
      <c r="C951">
        <f>Inputs!$B$3&gt;=100</f>
        <v/>
      </c>
      <c r="D951">
        <f>IF(Skills!C15=1,60+Inputs!$B$27+Inputs!$B$31,IF(Skills!C15=2,90+Inputs!$B$28+Inputs!$B$31,IF(Skills!C15=3,120+Inputs!$B$29+Inputs!$B$31,MAX(0,(Inputs!$B$3-100)*3)+Inputs!$B$30+Inputs!$B$31)))</f>
        <v/>
      </c>
      <c r="E951">
        <f>INDEX(FactorTable!$B$2:$Y$301, MATCH(ROUND(MIN(300,MAX(1,D951)),0), FactorTable!$A$2:$A$301,0), Skills!L15+1)</f>
        <v/>
      </c>
      <c r="F951">
        <f>IF(Skills!M15=TRUE,(Skills!K15/10)*(E951/1000),Skills!K15/10)+Skills!N15</f>
        <v/>
      </c>
      <c r="G951">
        <f>Calc!G15</f>
        <v/>
      </c>
      <c r="H951">
        <f>Calc!H15</f>
        <v/>
      </c>
      <c r="I951">
        <f>IF(Skills!T15&lt;&gt;"",1+(Skills!T15/10)*($Z$3/1000)/100,1)</f>
        <v/>
      </c>
      <c r="J951" t="inlineStr"/>
      <c r="K951" t="inlineStr"/>
      <c r="L951" t="inlineStr"/>
      <c r="M951" t="inlineStr"/>
      <c r="N951" t="inlineStr"/>
      <c r="O951" t="n">
        <v>0</v>
      </c>
      <c r="P951">
        <f>IF(B974=0,0,O951/B974)</f>
        <v/>
      </c>
      <c r="Q951">
        <f>IFERROR(1/IF(Inputs!$B$40="pvp",15,MAX(0.1,Skills!D15-IF(Skills!E15=TRUE,Inputs!$B$34,0))),0)</f>
        <v/>
      </c>
      <c r="R951" t="n">
        <v>0</v>
      </c>
    </row>
    <row r="952">
      <c r="A952">
        <f>Skills!A16</f>
        <v/>
      </c>
      <c r="B952">
        <f>Skills!B16</f>
        <v/>
      </c>
      <c r="C952">
        <f>Inputs!$B$3&gt;=49</f>
        <v/>
      </c>
      <c r="D952">
        <f>IF(Skills!C16=1,60+Inputs!$B$27+Inputs!$B$31,IF(Skills!C16=2,90+Inputs!$B$28+Inputs!$B$31,IF(Skills!C16=3,120+Inputs!$B$29+Inputs!$B$31,MAX(0,(Inputs!$B$3-100)*3)+Inputs!$B$30+Inputs!$B$31)))</f>
        <v/>
      </c>
      <c r="E952">
        <f>INDEX(FactorTable!$B$2:$Y$301, MATCH(ROUND(MIN(300,MAX(1,D952)),0), FactorTable!$A$2:$A$301,0), Skills!L16+1)</f>
        <v/>
      </c>
      <c r="F952">
        <f>IF(Skills!M16=TRUE,(Skills!K16/10)*(E952/1000),Skills!K16/10)+Skills!N16</f>
        <v/>
      </c>
      <c r="G952">
        <f>Calc!G16</f>
        <v/>
      </c>
      <c r="H952">
        <f>Calc!H16</f>
        <v/>
      </c>
      <c r="I952">
        <f>IF(Skills!T16&lt;&gt;"",1+(Skills!T16/10)*($Z$3/1000)/100,1)</f>
        <v/>
      </c>
      <c r="J952" t="inlineStr"/>
      <c r="K952" t="inlineStr"/>
      <c r="L952" t="inlineStr"/>
      <c r="M952" t="inlineStr"/>
      <c r="N952" t="inlineStr"/>
      <c r="O952" t="n">
        <v>0</v>
      </c>
      <c r="P952">
        <f>IF(B974=0,0,O952/B974)</f>
        <v/>
      </c>
      <c r="Q952">
        <f>IFERROR(1/IF(Inputs!$B$40="pvp",15,MAX(0.1,Skills!D16-IF(Skills!E16=TRUE,Inputs!$B$34,0))),0)</f>
        <v/>
      </c>
      <c r="R952" t="n">
        <v>0</v>
      </c>
    </row>
    <row r="953">
      <c r="A953">
        <f>Skills!A17</f>
        <v/>
      </c>
      <c r="B953">
        <f>Skills!B17</f>
        <v/>
      </c>
      <c r="C953">
        <f>Inputs!$B$3&gt;=75</f>
        <v/>
      </c>
      <c r="D953">
        <f>IF(Skills!C17=1,60+Inputs!$B$27+Inputs!$B$31,IF(Skills!C17=2,90+Inputs!$B$28+Inputs!$B$31,IF(Skills!C17=3,120+Inputs!$B$29+Inputs!$B$31,MAX(0,(Inputs!$B$3-100)*3)+Inputs!$B$30+Inputs!$B$31)))</f>
        <v/>
      </c>
      <c r="E953">
        <f>INDEX(FactorTable!$B$2:$Y$301, MATCH(ROUND(MIN(300,MAX(1,D953)),0), FactorTable!$A$2:$A$301,0), Skills!L17+1)</f>
        <v/>
      </c>
      <c r="F953">
        <f>IF(Skills!M17=TRUE,(Skills!K17/10)*(E953/1000),Skills!K17/10)+Skills!N17</f>
        <v/>
      </c>
      <c r="G953">
        <f>Calc!G17</f>
        <v/>
      </c>
      <c r="H953">
        <f>Calc!H17</f>
        <v/>
      </c>
      <c r="I953">
        <f>IF(Skills!T17&lt;&gt;"",1+(Skills!T17/10)*($Z$3/1000)/100,1)</f>
        <v/>
      </c>
      <c r="J953" t="inlineStr"/>
      <c r="K953" t="inlineStr"/>
      <c r="L953" t="inlineStr"/>
      <c r="M953" t="inlineStr"/>
      <c r="N953" t="inlineStr"/>
      <c r="O953" t="n">
        <v>0</v>
      </c>
      <c r="P953">
        <f>IF(B974=0,0,O953/B974)</f>
        <v/>
      </c>
      <c r="Q953">
        <f>IFERROR(1/IF(Inputs!$B$40="pvp",15,MAX(0.1,Skills!D17-IF(Skills!E17=TRUE,Inputs!$B$34,0))),0)</f>
        <v/>
      </c>
      <c r="R953" t="n">
        <v>0</v>
      </c>
    </row>
    <row r="954">
      <c r="A954">
        <f>Skills!A18</f>
        <v/>
      </c>
      <c r="B954">
        <f>Skills!B18</f>
        <v/>
      </c>
      <c r="C954">
        <f>Inputs!$B$3&gt;=110</f>
        <v/>
      </c>
      <c r="D954">
        <f>IF(Skills!C18=1,60+Inputs!$B$27+Inputs!$B$31,IF(Skills!C18=2,90+Inputs!$B$28+Inputs!$B$31,IF(Skills!C18=3,120+Inputs!$B$29+Inputs!$B$31,MAX(0,(Inputs!$B$3-100)*3)+Inputs!$B$30+Inputs!$B$31)))</f>
        <v/>
      </c>
      <c r="E954">
        <f>INDEX(FactorTable!$B$2:$Y$301, MATCH(ROUND(MIN(300,MAX(1,D954)),0), FactorTable!$A$2:$A$301,0), Skills!L18+1)</f>
        <v/>
      </c>
      <c r="F954">
        <f>(Skills!K18/10)*(E954/1000)*64/45+Skills!N18</f>
        <v/>
      </c>
      <c r="G954">
        <f>Calc!G18</f>
        <v/>
      </c>
      <c r="H954">
        <f>Calc!H18</f>
        <v/>
      </c>
      <c r="I954">
        <f>IF(Skills!T18&lt;&gt;"",1+(Skills!T18/10)*($Z$3/1000)/100,1)</f>
        <v/>
      </c>
      <c r="J954" t="inlineStr"/>
      <c r="K954" t="inlineStr"/>
      <c r="L954" t="inlineStr"/>
      <c r="M954" t="inlineStr"/>
      <c r="N954" t="inlineStr"/>
      <c r="O954" t="n">
        <v>0</v>
      </c>
      <c r="P954">
        <f>IF(B974=0,0,O954/B974)</f>
        <v/>
      </c>
      <c r="Q954">
        <f>IFERROR(1/IF(Inputs!$B$40="pvp",15,MAX(0.1,Skills!D18-IF(Skills!E18=TRUE,Inputs!$B$34,0))),0)</f>
        <v/>
      </c>
      <c r="R954">
        <f>IF(AND(Inputs!$B$40&lt;&gt;"pvp",Inputs!$B$43&gt;0),(INT(Inputs!$B$43/IF(Inputs!$B$40="pvp",15,MAX(0.1,Skills!D18-IF(Skills!E18=TRUE,Inputs!$B$34,0))))+1),0)</f>
        <v/>
      </c>
    </row>
    <row r="955">
      <c r="A955">
        <f>Skills!A19</f>
        <v/>
      </c>
      <c r="B955">
        <f>Skills!B19</f>
        <v/>
      </c>
      <c r="C955">
        <f>Inputs!$B$3&gt;=125</f>
        <v/>
      </c>
      <c r="D955">
        <f>IF(Skills!C19=1,60+Inputs!$B$27+Inputs!$B$31,IF(Skills!C19=2,90+Inputs!$B$28+Inputs!$B$31,IF(Skills!C19=3,120+Inputs!$B$29+Inputs!$B$31,MAX(0,(Inputs!$B$3-100)*3)+Inputs!$B$30+Inputs!$B$31)))</f>
        <v/>
      </c>
      <c r="E955">
        <f>INDEX(FactorTable!$B$2:$Y$301, MATCH(ROUND(MIN(300,MAX(1,D955)),0), FactorTable!$A$2:$A$301,0), Skills!L19+1)</f>
        <v/>
      </c>
      <c r="F955">
        <f>IF(Skills!M19=TRUE,(Skills!K19/10)*(E955/1000),Skills!K19/10)+Skills!N19</f>
        <v/>
      </c>
      <c r="G955">
        <f>Calc!G19</f>
        <v/>
      </c>
      <c r="H955">
        <f>Calc!H19</f>
        <v/>
      </c>
      <c r="I955">
        <f>IF(Skills!T19&lt;&gt;"",1+(Skills!T19/10)*($Z$3/1000)/100,1)</f>
        <v/>
      </c>
      <c r="J955" t="inlineStr"/>
      <c r="K955" t="inlineStr"/>
      <c r="L955" t="inlineStr"/>
      <c r="M955" t="inlineStr"/>
      <c r="N955" t="inlineStr"/>
      <c r="O955" t="n">
        <v>0</v>
      </c>
      <c r="P955">
        <f>IF(B974=0,0,O955/B974)</f>
        <v/>
      </c>
      <c r="Q955">
        <f>IFERROR(1/IF(Inputs!$B$40="pvp",15,MAX(0.1,Skills!D19-IF(Skills!E19=TRUE,Inputs!$B$34,0))),0)</f>
        <v/>
      </c>
      <c r="R955" t="n">
        <v>0</v>
      </c>
    </row>
    <row r="956">
      <c r="A956">
        <f>Skills!A20</f>
        <v/>
      </c>
      <c r="B956">
        <f>Skills!B20</f>
        <v/>
      </c>
      <c r="C956">
        <f>Inputs!$B$3&gt;=33</f>
        <v/>
      </c>
      <c r="D956">
        <f>IF(Skills!C20=1,60+Inputs!$B$27+Inputs!$B$31,IF(Skills!C20=2,90+Inputs!$B$28+Inputs!$B$31,IF(Skills!C20=3,120+Inputs!$B$29+Inputs!$B$31,MAX(0,(Inputs!$B$3-100)*3)+Inputs!$B$30+Inputs!$B$31)))</f>
        <v/>
      </c>
      <c r="E956">
        <f>INDEX(FactorTable!$B$2:$Y$301, MATCH(ROUND(MIN(300,MAX(1,D956)),0), FactorTable!$A$2:$A$301,0), Skills!L20+1)</f>
        <v/>
      </c>
      <c r="F956">
        <f>IF(Skills!M20=TRUE,(Skills!K20/10)*(E956/1000),Skills!K20/10)+Skills!N20</f>
        <v/>
      </c>
      <c r="G956">
        <f>Calc!G20</f>
        <v/>
      </c>
      <c r="H956">
        <f>Calc!H20</f>
        <v/>
      </c>
      <c r="I956">
        <f>IF(Skills!T20&lt;&gt;"",1+(Skills!T20/10)*($Z$3/1000)/100,1)</f>
        <v/>
      </c>
      <c r="J956" t="inlineStr"/>
      <c r="K956" t="inlineStr"/>
      <c r="L956" t="inlineStr"/>
      <c r="M956" t="inlineStr"/>
      <c r="N956" t="inlineStr"/>
      <c r="O956" t="n">
        <v>0</v>
      </c>
      <c r="P956">
        <f>IF(B974=0,0,O956/B974)</f>
        <v/>
      </c>
      <c r="Q956">
        <f>IFERROR(1/IF(Inputs!$B$40="pvp",15,MAX(0.1,Skills!D20-IF(Skills!E20=TRUE,Inputs!$B$34,0))),0)</f>
        <v/>
      </c>
      <c r="R956" t="n">
        <v>0</v>
      </c>
    </row>
    <row r="957">
      <c r="A957">
        <f>Skills!A21</f>
        <v/>
      </c>
      <c r="B957">
        <f>Skills!B21</f>
        <v/>
      </c>
      <c r="C957">
        <f>Inputs!$B$3&gt;=43</f>
        <v/>
      </c>
      <c r="D957">
        <f>IF(Skills!C21=1,60+Inputs!$B$27+Inputs!$B$31,IF(Skills!C21=2,90+Inputs!$B$28+Inputs!$B$31,IF(Skills!C21=3,120+Inputs!$B$29+Inputs!$B$31,MAX(0,(Inputs!$B$3-100)*3)+Inputs!$B$30+Inputs!$B$31)))</f>
        <v/>
      </c>
      <c r="E957">
        <f>INDEX(FactorTable!$B$2:$Y$301, MATCH(ROUND(MIN(300,MAX(1,D957)),0), FactorTable!$A$2:$A$301,0), Skills!L21+1)</f>
        <v/>
      </c>
      <c r="F957">
        <f>IF(Skills!M21=TRUE,(Skills!K21/10)*(E957/1000),Skills!K21/10)+Skills!N21</f>
        <v/>
      </c>
      <c r="G957">
        <f>Calc!G21</f>
        <v/>
      </c>
      <c r="H957">
        <f>Calc!H21</f>
        <v/>
      </c>
      <c r="I957">
        <f>IF(Skills!T21&lt;&gt;"",1+(Skills!T21/10)*($Z$3/1000)/100,1)</f>
        <v/>
      </c>
      <c r="J957" t="inlineStr"/>
      <c r="K957" t="inlineStr"/>
      <c r="L957" t="inlineStr"/>
      <c r="M957" t="inlineStr"/>
      <c r="N957" t="inlineStr"/>
      <c r="O957" t="n">
        <v>0</v>
      </c>
      <c r="P957">
        <f>IF(B974=0,0,O957/B974)</f>
        <v/>
      </c>
      <c r="Q957">
        <f>IFERROR(1/IF(Inputs!$B$40="pvp",15,MAX(0.1,Skills!D21-IF(Skills!E21=TRUE,Inputs!$B$34,0))),0)</f>
        <v/>
      </c>
      <c r="R957" t="n">
        <v>0</v>
      </c>
    </row>
    <row r="958">
      <c r="A958">
        <f>Skills!A22</f>
        <v/>
      </c>
      <c r="B958">
        <f>Skills!B22</f>
        <v/>
      </c>
      <c r="C958">
        <f>Inputs!$B$3&gt;=50</f>
        <v/>
      </c>
      <c r="D958">
        <f>IF(Skills!C22=1,60+Inputs!$B$27+Inputs!$B$31,IF(Skills!C22=2,90+Inputs!$B$28+Inputs!$B$31,IF(Skills!C22=3,120+Inputs!$B$29+Inputs!$B$31,MAX(0,(Inputs!$B$3-100)*3)+Inputs!$B$30+Inputs!$B$31)))</f>
        <v/>
      </c>
      <c r="E958">
        <f>INDEX(FactorTable!$B$2:$Y$301, MATCH(ROUND(MIN(300,MAX(1,D958)),0), FactorTable!$A$2:$A$301,0), Skills!L22+1)</f>
        <v/>
      </c>
      <c r="F958">
        <f>IF(Skills!M22=TRUE,(Skills!K22/10)*(E958/1000),Skills!K22/10)+Skills!N22</f>
        <v/>
      </c>
      <c r="G958">
        <f>Calc!G22</f>
        <v/>
      </c>
      <c r="H958">
        <f>Calc!H22</f>
        <v/>
      </c>
      <c r="I958">
        <f>IF(Skills!T22&lt;&gt;"",1+(Skills!T22/10)*($Z$3/1000)/100,1)</f>
        <v/>
      </c>
      <c r="J958" t="inlineStr"/>
      <c r="K958" t="inlineStr"/>
      <c r="L958" t="inlineStr"/>
      <c r="M958" t="inlineStr"/>
      <c r="N958" t="inlineStr"/>
      <c r="O958" t="n">
        <v>0</v>
      </c>
      <c r="P958">
        <f>IF(B974=0,0,O958/B974)</f>
        <v/>
      </c>
      <c r="Q958">
        <f>IFERROR(1/IF(Inputs!$B$40="pvp",15,MAX(0.1,Skills!D22-IF(Skills!E22=TRUE,Inputs!$B$34,0))),0)</f>
        <v/>
      </c>
      <c r="R958" t="n">
        <v>0</v>
      </c>
    </row>
    <row r="959">
      <c r="A959">
        <f>Skills!A23</f>
        <v/>
      </c>
      <c r="B959">
        <f>Skills!B23</f>
        <v/>
      </c>
      <c r="C959">
        <f>Inputs!$B$3&gt;=74</f>
        <v/>
      </c>
      <c r="D959">
        <f>IF(Skills!C23=1,60+Inputs!$B$27+Inputs!$B$31,IF(Skills!C23=2,90+Inputs!$B$28+Inputs!$B$31,IF(Skills!C23=3,120+Inputs!$B$29+Inputs!$B$31,MAX(0,(Inputs!$B$3-100)*3)+Inputs!$B$30+Inputs!$B$31)))</f>
        <v/>
      </c>
      <c r="E959">
        <f>INDEX(FactorTable!$B$2:$Y$301, MATCH(ROUND(MIN(300,MAX(1,D959)),0), FactorTable!$A$2:$A$301,0), Skills!L23+1)</f>
        <v/>
      </c>
      <c r="F959">
        <f>IF(Skills!M23=TRUE,(Skills!K23/10)*(E959/1000),Skills!K23/10)+Skills!N23</f>
        <v/>
      </c>
      <c r="G959">
        <f>Calc!G23</f>
        <v/>
      </c>
      <c r="H959">
        <f>Calc!H23</f>
        <v/>
      </c>
      <c r="I959">
        <f>IF(Skills!T23&lt;&gt;"",1+(Skills!T23/10)*($Z$3/1000)/100,1)</f>
        <v/>
      </c>
      <c r="J959" t="inlineStr"/>
      <c r="K959" t="inlineStr"/>
      <c r="L959" t="inlineStr"/>
      <c r="M959" t="inlineStr"/>
      <c r="N959" t="inlineStr"/>
      <c r="O959" t="n">
        <v>0</v>
      </c>
      <c r="P959">
        <f>IF(B974=0,0,O959/B974)</f>
        <v/>
      </c>
      <c r="Q959">
        <f>IFERROR(1/IF(Inputs!$B$40="pvp",15,MAX(0.1,Skills!D23-IF(Skills!E23=TRUE,Inputs!$B$34,0))),0)</f>
        <v/>
      </c>
      <c r="R959" t="n">
        <v>0</v>
      </c>
    </row>
    <row r="960">
      <c r="A960">
        <f>Skills!A24</f>
        <v/>
      </c>
      <c r="B960">
        <f>Skills!B24</f>
        <v/>
      </c>
      <c r="C960">
        <f>Inputs!$B$3&gt;=74</f>
        <v/>
      </c>
      <c r="D960">
        <f>IF(Skills!C24=1,60+Inputs!$B$27+Inputs!$B$31,IF(Skills!C24=2,90+Inputs!$B$28+Inputs!$B$31,IF(Skills!C24=3,120+Inputs!$B$29+Inputs!$B$31,MAX(0,(Inputs!$B$3-100)*3)+Inputs!$B$30+Inputs!$B$31)))</f>
        <v/>
      </c>
      <c r="E960">
        <f>INDEX(FactorTable!$B$2:$Y$301, MATCH(ROUND(MIN(300,MAX(1,D960)),0), FactorTable!$A$2:$A$301,0), Skills!L24+1)</f>
        <v/>
      </c>
      <c r="F960">
        <f>IF(Skills!M24=TRUE,(Skills!K24/10)*(E960/1000),Skills!K24/10)+Skills!N24</f>
        <v/>
      </c>
      <c r="G960">
        <f>Calc!G24</f>
        <v/>
      </c>
      <c r="H960">
        <f>Calc!H24</f>
        <v/>
      </c>
      <c r="I960">
        <f>IF(Skills!T24&lt;&gt;"",1+(Skills!T24/10)*($Z$3/1000)/100,1)</f>
        <v/>
      </c>
      <c r="J960" t="inlineStr"/>
      <c r="K960" t="inlineStr"/>
      <c r="L960" t="inlineStr"/>
      <c r="M960" t="inlineStr"/>
      <c r="N960" t="inlineStr"/>
      <c r="O960" t="n">
        <v>0</v>
      </c>
      <c r="P960">
        <f>IF(B974=0,0,O960/B974)</f>
        <v/>
      </c>
      <c r="Q960">
        <f>IFERROR(1/IF(Inputs!$B$40="pvp",15,MAX(0.1,Skills!D24-IF(Skills!E24=TRUE,Inputs!$B$34,0))),0)</f>
        <v/>
      </c>
      <c r="R960" t="n">
        <v>0</v>
      </c>
    </row>
    <row r="961">
      <c r="A961">
        <f>Skills!A25</f>
        <v/>
      </c>
      <c r="B961">
        <f>Skills!B25</f>
        <v/>
      </c>
      <c r="C961">
        <f>Inputs!$B$3&gt;=117</f>
        <v/>
      </c>
      <c r="D961">
        <f>IF(Skills!C25=1,60+Inputs!$B$27+Inputs!$B$31,IF(Skills!C25=2,90+Inputs!$B$28+Inputs!$B$31,IF(Skills!C25=3,120+Inputs!$B$29+Inputs!$B$31,MAX(0,(Inputs!$B$3-100)*3)+Inputs!$B$30+Inputs!$B$31)))</f>
        <v/>
      </c>
      <c r="E961">
        <f>INDEX(FactorTable!$B$2:$Y$301, MATCH(ROUND(MIN(300,MAX(1,D961)),0), FactorTable!$A$2:$A$301,0), Skills!L25+1)</f>
        <v/>
      </c>
      <c r="F961">
        <f>IF(Skills!M25=TRUE,(Skills!K25/10)*(E961/1000),Skills!K25/10)+Skills!N25</f>
        <v/>
      </c>
      <c r="G961">
        <f>Calc!G25</f>
        <v/>
      </c>
      <c r="H961">
        <f>Calc!H25</f>
        <v/>
      </c>
      <c r="I961">
        <f>IF(Skills!T25&lt;&gt;"",1+(Skills!T25/10)*($Z$3/1000)/100,1)</f>
        <v/>
      </c>
      <c r="J961" t="inlineStr"/>
      <c r="K961" t="inlineStr"/>
      <c r="L961" t="inlineStr"/>
      <c r="M961" t="inlineStr"/>
      <c r="N961" t="inlineStr"/>
      <c r="O961" t="n">
        <v>0</v>
      </c>
      <c r="P961">
        <f>IF(B974=0,0,O961/B974)</f>
        <v/>
      </c>
      <c r="Q961">
        <f>IFERROR(1/IF(Inputs!$B$40="pvp",15,MAX(0.1,Skills!D25-IF(Skills!E25=TRUE,Inputs!$B$34,0))),0)</f>
        <v/>
      </c>
      <c r="R961" t="n">
        <v>0</v>
      </c>
    </row>
    <row r="962">
      <c r="A962">
        <f>Skills!A26</f>
        <v/>
      </c>
      <c r="B962">
        <f>Skills!B26</f>
        <v/>
      </c>
      <c r="C962">
        <f>Inputs!$B$3&gt;=120</f>
        <v/>
      </c>
      <c r="D962">
        <f>IF(Skills!C26=1,60+Inputs!$B$27+Inputs!$B$31,IF(Skills!C26=2,90+Inputs!$B$28+Inputs!$B$31,IF(Skills!C26=3,120+Inputs!$B$29+Inputs!$B$31,MAX(0,(Inputs!$B$3-100)*3)+Inputs!$B$30+Inputs!$B$31)))</f>
        <v/>
      </c>
      <c r="E962">
        <f>INDEX(FactorTable!$B$2:$Y$301, MATCH(ROUND(MIN(300,MAX(1,D962)),0), FactorTable!$A$2:$A$301,0), Skills!L26+1)</f>
        <v/>
      </c>
      <c r="F962">
        <f>IF(Skills!M26=TRUE,(Skills!K26/10)*(E962/1000),Skills!K26/10)+Skills!N26</f>
        <v/>
      </c>
      <c r="G962">
        <f>Calc!G26</f>
        <v/>
      </c>
      <c r="H962">
        <f>Calc!H26</f>
        <v/>
      </c>
      <c r="I962">
        <f>IF(Skills!T26&lt;&gt;"",1+(Skills!T26/10)*($Z$3/1000)/100,1)</f>
        <v/>
      </c>
      <c r="J962" t="inlineStr"/>
      <c r="K962" t="inlineStr"/>
      <c r="L962" t="inlineStr"/>
      <c r="M962" t="inlineStr"/>
      <c r="N962" t="inlineStr"/>
      <c r="O962" t="n">
        <v>0</v>
      </c>
      <c r="P962">
        <f>IF(B974=0,0,O962/B974)</f>
        <v/>
      </c>
      <c r="Q962">
        <f>IFERROR(1/IF(Inputs!$B$40="pvp",15,MAX(0.1,Skills!D26-IF(Skills!E26=TRUE,Inputs!$B$34,0))),0)</f>
        <v/>
      </c>
      <c r="R962" t="n">
        <v>0</v>
      </c>
    </row>
    <row r="964">
      <c r="A964" t="inlineStr">
        <is>
          <t>Average Buff Multiplier</t>
        </is>
      </c>
      <c r="B964">
        <f>(1+(IF(C939=TRUE,F939*IF(AND(Inputs!$B$40&lt;&gt;"pvp",Inputs!$B$43&gt;0),(((R939-1)*(Skills!S3*(1+(Inputs!$B$36+IF(Inputs!$B$3&gt;=117,F961,0))/100))+MIN((Skills!S3*(1+(Inputs!$B$36+IF(Inputs!$B$3&gt;=117,F961,0))/100)),MAX(0,Inputs!$B$43-((R939-1)*Skills!D3))))/Inputs!$B$43),IF(Inputs!$B$40="pvp",MIN((Skills!S3*(1+(Inputs!$B$36+IF(Inputs!$B$3&gt;=117,F961,0))/100)),15)/15,(Skills!S3*(1+(Inputs!$B$36+IF(Inputs!$B$3&gt;=117,F961,0))/100))/Skills!D3)),0)+IF(C940=TRUE,F940*IF(AND(Inputs!$B$40&lt;&gt;"pvp",Inputs!$B$43&gt;0),(((R940-1)*(Skills!S4*(1+(Inputs!$B$36+IF(Inputs!$B$3&gt;=117,F961,0))/100))+MIN((Skills!S4*(1+(Inputs!$B$36+IF(Inputs!$B$3&gt;=117,F961,0))/100)),MAX(0,Inputs!$B$43-((R940-1)*Skills!D4))))/Inputs!$B$43),IF(Inputs!$B$40="pvp",MIN((Skills!S4*(1+(Inputs!$B$36+IF(Inputs!$B$3&gt;=117,F961,0))/100)),15)/15,(Skills!S4*(1+(Inputs!$B$36+IF(Inputs!$B$3&gt;=117,F961,0))/100))/Skills!D4)),0)+IF(C941=TRUE,F941*IF(AND(Inputs!$B$40&lt;&gt;"pvp",Inputs!$B$43&gt;0),(((R941-1)*(Skills!S5*(1+(Inputs!$B$36+IF(Inputs!$B$3&gt;=117,F961,0))/100))+MIN((Skills!S5*(1+(Inputs!$B$36+IF(Inputs!$B$3&gt;=117,F961,0))/100)),MAX(0,Inputs!$B$43-((R941-1)*Skills!D5))))/Inputs!$B$43),IF(Inputs!$B$40="pvp",MIN((Skills!S5*(1+(Inputs!$B$36+IF(Inputs!$B$3&gt;=117,F961,0))/100)),15)/15,(Skills!S5*(1+(Inputs!$B$36+IF(Inputs!$B$3&gt;=117,F961,0))/100))/Skills!D5)),0)+IF(C947=TRUE,F947*IF(AND(Inputs!$B$40&lt;&gt;"pvp",Inputs!$B$43&gt;0),(((R947-1)*(Skills!S11*(1+(Inputs!$B$36+IF(Inputs!$B$3&gt;=117,F961,0))/100))+MIN((Skills!S11*(1+(Inputs!$B$36+IF(Inputs!$B$3&gt;=117,F961,0))/100)),MAX(0,Inputs!$B$43-((R947-1)*Skills!D11))))/Inputs!$B$43),IF(Inputs!$B$40="pvp",MIN((Skills!S11*(1+(Inputs!$B$36+IF(Inputs!$B$3&gt;=117,F961,0))/100)),15)/15,(Skills!S11*(1+(Inputs!$B$36+IF(Inputs!$B$3&gt;=117,F961,0))/100))/Skills!D11)),0))/100)*IF(C949=TRUE,(1+F949*IF(AND(Inputs!$B$40&lt;&gt;"pvp",Inputs!$B$43&gt;0),(((R949-1)*(Skills!S13*(1+(Inputs!$B$36+IF(Inputs!$B$3&gt;=117,F961,0))/100))+MIN((Skills!S13*(1+(Inputs!$B$36+IF(Inputs!$B$3&gt;=117,F961,0))/100)),MAX(0,Inputs!$B$43-((R949-1)*Skills!D13))))/Inputs!$B$43),IF(Inputs!$B$40="pvp",MIN((Skills!S13*(1+(Inputs!$B$36+IF(Inputs!$B$3&gt;=117,F961,0))/100)),15)/15,(Skills!S13*(1+(Inputs!$B$36+IF(Inputs!$B$3&gt;=117,F961,0))/100))/Skills!D13))/100),1)*IF(C954=TRUE,(1+F954*IF(AND(Inputs!$B$40&lt;&gt;"pvp",Inputs!$B$43&gt;0),(((R954-1)*(Skills!S18*(1+(Inputs!$B$36+IF(Inputs!$B$3&gt;=117,F961,0))/100))+MIN((Skills!S18*(1+(Inputs!$B$36+IF(Inputs!$B$3&gt;=117,F961,0))/100)),MAX(0,Inputs!$B$43-((R954-1)*Skills!D18))))/Inputs!$B$43),IF(Inputs!$B$40="pvp",MIN((Skills!S18*(1+(Inputs!$B$36+IF(Inputs!$B$3&gt;=117,F961,0))/100)),15)/15,(Skills!S18*(1+(Inputs!$B$36+IF(Inputs!$B$3&gt;=117,F961,0))/100))/Skills!D18))/100),1)</f>
        <v/>
      </c>
    </row>
    <row r="965">
      <c r="A965" t="inlineStr">
        <is>
          <t>Monster Damage Taken Bonus % (Holy Fountain)</t>
        </is>
      </c>
      <c r="B965">
        <f>IF(Inputs!$B$3&gt;=68,20*IF(Inputs!$B$40="pvp",MIN((15*(1+(Inputs!$B$36+IF(Inputs!$B$3&gt;=117,F961,0))/100)),15)/15,(15*(1+(Inputs!$B$36+IF(Inputs!$B$3&gt;=117,F961,0))/100))/Skills!D10),0)</f>
        <v/>
      </c>
    </row>
    <row r="966">
      <c r="A966" t="inlineStr">
        <is>
          <t>Normal Monster Damage Bonus % (Holy Symbol)</t>
        </is>
      </c>
      <c r="B966">
        <f>IF(C948=TRUE,F948*IF(AND(Inputs!$B$40&lt;&gt;"pvp",Inputs!$B$43&gt;0),(((R948-1)*(Skills!S12*(1+(Inputs!$B$36+IF(Inputs!$B$3&gt;=117,F961,0))/100))+MIN((Skills!S12*(1+(Inputs!$B$36+IF(Inputs!$B$3&gt;=117,F961,0))/100)),MAX(0,Inputs!$B$43-((R948-1)*Skills!D12))))/Inputs!$B$43),IF(Inputs!$B$40="pvp",MIN((Skills!S12*(1+(Inputs!$B$36+IF(Inputs!$B$3&gt;=117,F961,0))/100)),15)/15,(Skills!S12*(1+(Inputs!$B$36+IF(Inputs!$B$3&gt;=117,F961,0))/100))/Skills!D12)),0)</f>
        <v/>
      </c>
    </row>
    <row r="967">
      <c r="A967" t="inlineStr">
        <is>
          <t>Damage % Bonus (Holy Symbol - Damage Boost)</t>
        </is>
      </c>
      <c r="B967">
        <f>Skills!O12</f>
        <v/>
      </c>
    </row>
    <row r="968">
      <c r="A968" t="inlineStr">
        <is>
          <t>Crit Damage % Bonus (Blood of the Divine)</t>
        </is>
      </c>
      <c r="B968">
        <f>4*IF(C955=TRUE,F955,0)</f>
        <v/>
      </c>
    </row>
    <row r="969">
      <c r="A969" t="inlineStr">
        <is>
          <t>Attack Speed Bonus %</t>
        </is>
      </c>
      <c r="B969">
        <f>IF(C952=TRUE,F952+(F956-Calc!F20),0)+IF(Inputs!$B$3&gt;=134,15,0)</f>
        <v/>
      </c>
    </row>
    <row r="970">
      <c r="A970" t="inlineStr">
        <is>
          <t>Actions Per Second</t>
        </is>
      </c>
      <c r="B970">
        <f>1+MIN(150,150*(1-(1-Inputs!$B$13/150)*(1-B969/150)))/100</f>
        <v/>
      </c>
    </row>
    <row r="971">
      <c r="A971" t="inlineStr">
        <is>
          <t>Skill + Buff Cast Rate</t>
        </is>
      </c>
      <c r="B971">
        <f>IF(AND(Inputs!$B$40&lt;&gt;"pvp",Inputs!$B$43&gt;0),SUMPRODUCT((Skills!E2:E26=TRUE)*(C938:C962=TRUE)*R938:R962)/Inputs!$B$43,SUMPRODUCT((Skills!E2:E26=TRUE)*(C938:C962=TRUE)*Q938:Q962))</f>
        <v/>
      </c>
    </row>
    <row r="972">
      <c r="A972" t="inlineStr">
        <is>
          <t>Big Bang Casts Per Second</t>
        </is>
      </c>
      <c r="B972">
        <f>MAX(0,B970-B971)</f>
        <v/>
      </c>
    </row>
    <row r="974">
      <c r="A974" s="5" t="inlineStr">
        <is>
          <t>TOTAL DPS</t>
        </is>
      </c>
      <c r="B974" s="5">
        <f>SUM(O938:O962)</f>
        <v/>
      </c>
    </row>
    <row r="977">
      <c r="A977" s="5" t="inlineStr">
        <is>
          <t>Stat: ATTACK %</t>
        </is>
      </c>
    </row>
    <row r="978">
      <c r="A978" s="9" t="inlineStr">
        <is>
          <t>Key</t>
        </is>
      </c>
      <c r="B978" s="9" t="inlineStr">
        <is>
          <t>Name</t>
        </is>
      </c>
      <c r="C978" s="9" t="inlineStr">
        <is>
          <t>Unlocked</t>
        </is>
      </c>
      <c r="D978" s="9" t="inlineStr">
        <is>
          <t>InputLevel</t>
        </is>
      </c>
      <c r="E978" s="9" t="inlineStr">
        <is>
          <t>Factor</t>
        </is>
      </c>
      <c r="F978" s="9" t="inlineStr">
        <is>
          <t>CoefficientPercent</t>
        </is>
      </c>
      <c r="G978" s="9" t="inlineStr">
        <is>
          <t>EffectiveHits</t>
        </is>
      </c>
      <c r="H978" s="9" t="inlineStr">
        <is>
          <t>ProcProbability</t>
        </is>
      </c>
      <c r="I978" s="9" t="inlineStr">
        <is>
          <t>MapleHeroMultiplier</t>
        </is>
      </c>
      <c r="J978" s="9" t="inlineStr">
        <is>
          <t>BaseDamage</t>
        </is>
      </c>
      <c r="K978" s="9" t="inlineStr">
        <is>
          <t>BaseHitDamage</t>
        </is>
      </c>
      <c r="L978" s="9" t="inlineStr">
        <is>
          <t>NonCritAvg</t>
        </is>
      </c>
      <c r="M978" s="9" t="inlineStr">
        <is>
          <t>CritAvg</t>
        </is>
      </c>
      <c r="N978" s="9" t="inlineStr">
        <is>
          <t>ExpectedDamage(perHit)</t>
        </is>
      </c>
      <c r="O978" s="9" t="inlineStr">
        <is>
          <t>DPS</t>
        </is>
      </c>
      <c r="P978" s="9" t="inlineStr">
        <is>
          <t>% of Total</t>
        </is>
      </c>
      <c r="R978" t="inlineStr">
        <is>
          <t>helpers</t>
        </is>
      </c>
    </row>
    <row r="979">
      <c r="A979">
        <f>Skills!A2</f>
        <v/>
      </c>
      <c r="B979">
        <f>Skills!B2</f>
        <v/>
      </c>
      <c r="C979">
        <f>Inputs!$B$3&gt;=100</f>
        <v/>
      </c>
      <c r="D979" t="inlineStr"/>
      <c r="E979" t="inlineStr"/>
      <c r="F979">
        <f>T981+Skills!N2</f>
        <v/>
      </c>
      <c r="G979">
        <f>Calc!G2</f>
        <v/>
      </c>
      <c r="H979">
        <f>Calc!H2</f>
        <v/>
      </c>
      <c r="I979">
        <f>IF(Skills!T2&lt;&gt;"",1+(Skills!T2/10)*($Z$3/1000)/100,1)</f>
        <v/>
      </c>
      <c r="J979">
        <f>(Inputs!$B$7*(1+(Inputs!$B$8+1)/100))*(F979/100)</f>
        <v/>
      </c>
      <c r="K979">
        <f>J979*(1+(((Inputs!$B$14+IF(Inputs!$B$3&gt;=35,0.10*(Inputs!$B$9*(1+Inputs!$B$10/100)),0))*(1+Inputs!$B$15/100))*0.01+Inputs!$B$16*0.0025)/100)*(1+(Inputs!$B$17+B1008)/100)*(1+IF(Inputs!$B$40="pvp",0,(1-Summary!$B$48)*(Inputs!$B$22+Skills!O2+B1006)+Summary!$B$48*(Inputs!$B$23+Skills!P2+B1007))/100)*(1+Inputs!$B$18/100)*(5000/(6000+Inputs!$B$42*(1-Inputs!$B$21/100)))*(1+Inputs!$B$26/100)*(1+IF(C994=TRUE,F994,0)/100)*(1+IF(C996=TRUE,F996,0)/100)*(1+IF(Skills!A2="TRIUMPH_FEATHER",IF(C992=TRUE,F992,0),0)/100)*(1+IF(C1003=TRUE,F1003,0)/100)^5*(1+(IF(Skills!A2="BIG_BANG",Inputs!$B$19,Inputs!$B$20))/100)*(B1005*I979)</f>
        <v/>
      </c>
      <c r="L979">
        <f>K979*(MIN(Inputs!$B$24+(F998-Calc!F21),Inputs!$B$25)/100+Inputs!$B$25/100)/2</f>
        <v/>
      </c>
      <c r="M979">
        <f>L979*(1+(Inputs!$B$12+B1009+(F1001-Calc!F24))/100)</f>
        <v/>
      </c>
      <c r="N979">
        <f>L979*(1-MIN(Inputs!$B$11+((F1000-Calc!F23)+(F999-Calc!F22)),100)/100)+M979*(MIN(Inputs!$B$11+((F1000-Calc!F23)+(F999-Calc!F22)),100)/100)</f>
        <v/>
      </c>
      <c r="O979">
        <f>IF(C979,Skills!F2*N979*B1013*IF(Inputs!$B$40="pvp",1,(1-Summary!$B$48)*(1)+Summary!$B$48*(MIN((6+Inputs!$B$35),Inputs!$B$39))),0)</f>
        <v/>
      </c>
      <c r="P979">
        <f>IF(B1015=0,0,O979/B1015)</f>
        <v/>
      </c>
      <c r="Q979">
        <f>IFERROR(1/IF(Inputs!$B$40="pvp",15,MAX(0.1,Skills!D2-IF(Skills!E2=TRUE,Inputs!$B$34,0))),0)</f>
        <v/>
      </c>
      <c r="R979" t="n">
        <v>0</v>
      </c>
      <c r="T979">
        <f>MAX(0,(Inputs!$B$3-100)*3)+Inputs!$B$30+Inputs!$B$31</f>
        <v/>
      </c>
    </row>
    <row r="980">
      <c r="A980">
        <f>Skills!A3</f>
        <v/>
      </c>
      <c r="B980">
        <f>Skills!B3</f>
        <v/>
      </c>
      <c r="C980">
        <f>Inputs!$B$3&gt;=15</f>
        <v/>
      </c>
      <c r="D980">
        <f>IF(Skills!C3=1,60+Inputs!$B$27+Inputs!$B$31,IF(Skills!C3=2,90+Inputs!$B$28+Inputs!$B$31,IF(Skills!C3=3,120+Inputs!$B$29+Inputs!$B$31,MAX(0,(Inputs!$B$3-100)*3)+Inputs!$B$30+Inputs!$B$31)))</f>
        <v/>
      </c>
      <c r="E980">
        <f>INDEX(FactorTable!$B$2:$Y$301, MATCH(ROUND(MIN(300,MAX(1,D980)),0), FactorTable!$A$2:$A$301,0), Skills!L3+1)</f>
        <v/>
      </c>
      <c r="F980">
        <f>IF(Skills!M3=TRUE,(Skills!K3/10)*(E980/1000),Skills!K3/10)+Skills!N3</f>
        <v/>
      </c>
      <c r="G980">
        <f>Calc!G3</f>
        <v/>
      </c>
      <c r="H980">
        <f>Calc!H3</f>
        <v/>
      </c>
      <c r="I980">
        <f>IF(Skills!T3&lt;&gt;"",1+(Skills!T3/10)*($Z$3/1000)/100,1)</f>
        <v/>
      </c>
      <c r="J980" t="inlineStr"/>
      <c r="K980" t="inlineStr"/>
      <c r="L980" t="inlineStr"/>
      <c r="M980" t="inlineStr"/>
      <c r="N980" t="inlineStr"/>
      <c r="O980" t="n">
        <v>0</v>
      </c>
      <c r="P980">
        <f>IF(B1015=0,0,O980/B1015)</f>
        <v/>
      </c>
      <c r="Q980">
        <f>IFERROR(1/IF(Inputs!$B$40="pvp",15,MAX(0.1,Skills!D3-IF(Skills!E3=TRUE,Inputs!$B$34,0))),0)</f>
        <v/>
      </c>
      <c r="R980">
        <f>IF(AND(Inputs!$B$40&lt;&gt;"pvp",Inputs!$B$43&gt;0),(INT(Inputs!$B$43/IF(Inputs!$B$40="pvp",15,MAX(0.1,Skills!D3-IF(Skills!E3=TRUE,Inputs!$B$34,0))))+1),0)</f>
        <v/>
      </c>
      <c r="T980">
        <f>INDEX(FactorTable!$B$2:$Y$301, MATCH(ROUND(MIN(300,MAX(1,T979)),0), FactorTable!$A$2:$A$301,0), 22)</f>
        <v/>
      </c>
    </row>
    <row r="981">
      <c r="A981">
        <f>Skills!A4</f>
        <v/>
      </c>
      <c r="B981">
        <f>Skills!B4</f>
        <v/>
      </c>
      <c r="C981">
        <f>Inputs!$B$3&gt;=38</f>
        <v/>
      </c>
      <c r="D981">
        <f>IF(Skills!C4=1,60+Inputs!$B$27+Inputs!$B$31,IF(Skills!C4=2,90+Inputs!$B$28+Inputs!$B$31,IF(Skills!C4=3,120+Inputs!$B$29+Inputs!$B$31,MAX(0,(Inputs!$B$3-100)*3)+Inputs!$B$30+Inputs!$B$31)))</f>
        <v/>
      </c>
      <c r="E981">
        <f>INDEX(FactorTable!$B$2:$Y$301, MATCH(ROUND(MIN(300,MAX(1,D981)),0), FactorTable!$A$2:$A$301,0), Skills!L4+1)</f>
        <v/>
      </c>
      <c r="F981">
        <f>IF(Skills!M4=TRUE,(Skills!K4/10)*(E981/1000),Skills!K4/10)+Skills!N4</f>
        <v/>
      </c>
      <c r="G981">
        <f>Calc!G4</f>
        <v/>
      </c>
      <c r="H981">
        <f>Calc!H4</f>
        <v/>
      </c>
      <c r="I981">
        <f>IF(Skills!T4&lt;&gt;"",1+(Skills!T4/10)*($Z$3/1000)/100,1)</f>
        <v/>
      </c>
      <c r="J981" t="inlineStr"/>
      <c r="K981" t="inlineStr"/>
      <c r="L981" t="inlineStr"/>
      <c r="M981" t="inlineStr"/>
      <c r="N981" t="inlineStr"/>
      <c r="O981" t="n">
        <v>0</v>
      </c>
      <c r="P981">
        <f>IF(B1015=0,0,O981/B1015)</f>
        <v/>
      </c>
      <c r="Q981">
        <f>IFERROR(1/IF(Inputs!$B$40="pvp",15,MAX(0.1,Skills!D4-IF(Skills!E4=TRUE,Inputs!$B$34,0))),0)</f>
        <v/>
      </c>
      <c r="R981">
        <f>IF(AND(Inputs!$B$40&lt;&gt;"pvp",Inputs!$B$43&gt;0),(INT(Inputs!$B$43/IF(Inputs!$B$40="pvp",15,MAX(0.1,Skills!D4-IF(Skills!E4=TRUE,Inputs!$B$34,0))))+1),0)</f>
        <v/>
      </c>
      <c r="T981">
        <f>290*T980/1000</f>
        <v/>
      </c>
    </row>
    <row r="982">
      <c r="A982">
        <f>Skills!A5</f>
        <v/>
      </c>
      <c r="B982">
        <f>Skills!B5</f>
        <v/>
      </c>
      <c r="C982">
        <f>Inputs!$B$3&gt;=40</f>
        <v/>
      </c>
      <c r="D982">
        <f>IF(Skills!C5=1,60+Inputs!$B$27+Inputs!$B$31,IF(Skills!C5=2,90+Inputs!$B$28+Inputs!$B$31,IF(Skills!C5=3,120+Inputs!$B$29+Inputs!$B$31,MAX(0,(Inputs!$B$3-100)*3)+Inputs!$B$30+Inputs!$B$31)))</f>
        <v/>
      </c>
      <c r="E982">
        <f>INDEX(FactorTable!$B$2:$Y$301, MATCH(ROUND(MIN(300,MAX(1,D982)),0), FactorTable!$A$2:$A$301,0), Skills!L5+1)</f>
        <v/>
      </c>
      <c r="F982">
        <f>IF(Skills!M5=TRUE,(Skills!K5/10)*(E982/1000),Skills!K5/10)+Skills!N5</f>
        <v/>
      </c>
      <c r="G982">
        <f>Calc!G5</f>
        <v/>
      </c>
      <c r="H982">
        <f>Calc!H5</f>
        <v/>
      </c>
      <c r="I982">
        <f>IF(Skills!T5&lt;&gt;"",1+(Skills!T5/10)*($Z$3/1000)/100,1)</f>
        <v/>
      </c>
      <c r="J982" t="inlineStr"/>
      <c r="K982" t="inlineStr"/>
      <c r="L982" t="inlineStr"/>
      <c r="M982" t="inlineStr"/>
      <c r="N982" t="inlineStr"/>
      <c r="O982" t="n">
        <v>0</v>
      </c>
      <c r="P982">
        <f>IF(B1015=0,0,O982/B1015)</f>
        <v/>
      </c>
      <c r="Q982">
        <f>IFERROR(1/IF(Inputs!$B$40="pvp",15,MAX(0.1,Skills!D5-IF(Skills!E5=TRUE,Inputs!$B$34,0))),0)</f>
        <v/>
      </c>
      <c r="R982">
        <f>IF(AND(Inputs!$B$40&lt;&gt;"pvp",Inputs!$B$43&gt;0),(INT(Inputs!$B$43/IF(Inputs!$B$40="pvp",15,MAX(0.1,Skills!D5-IF(Skills!E5=TRUE,Inputs!$B$34,0))))+1),0)</f>
        <v/>
      </c>
    </row>
    <row r="983">
      <c r="A983">
        <f>Skills!A6</f>
        <v/>
      </c>
      <c r="B983">
        <f>Skills!B6</f>
        <v/>
      </c>
      <c r="C983">
        <f>Inputs!$B$3&gt;=103</f>
        <v/>
      </c>
      <c r="D983">
        <f>IF(Skills!C6=1,60+Inputs!$B$27+Inputs!$B$31,IF(Skills!C6=2,90+Inputs!$B$28+Inputs!$B$31,IF(Skills!C6=3,120+Inputs!$B$29+Inputs!$B$31,MAX(0,(Inputs!$B$3-100)*3)+Inputs!$B$30+Inputs!$B$31)))</f>
        <v/>
      </c>
      <c r="E983">
        <f>INDEX(FactorTable!$B$2:$Y$301, MATCH(ROUND(MIN(300,MAX(1,D983)),0), FactorTable!$A$2:$A$301,0), Skills!L6+1)</f>
        <v/>
      </c>
      <c r="F983">
        <f>IF(Skills!M6=TRUE,(Skills!K6/10)*(E983/1000),Skills!K6/10)+Skills!N6</f>
        <v/>
      </c>
      <c r="G983">
        <f>Calc!G6</f>
        <v/>
      </c>
      <c r="H983">
        <f>Calc!H6</f>
        <v/>
      </c>
      <c r="I983">
        <f>IF(Skills!T6&lt;&gt;"",1+(Skills!T6/10)*($Z$3/1000)/100,1)</f>
        <v/>
      </c>
      <c r="J983">
        <f>(Inputs!$B$7*(1+(Inputs!$B$8+1)/100))*(F983/100)</f>
        <v/>
      </c>
      <c r="K983">
        <f>J983*(1+(((Inputs!$B$14+IF(Inputs!$B$3&gt;=35,0.10*(Inputs!$B$9*(1+Inputs!$B$10/100)),0))*(1+Inputs!$B$15/100))*0.01+Inputs!$B$16*0.0025)/100)*(1+(Inputs!$B$17+B1008)/100)*(1+IF(Inputs!$B$40="pvp",0,(1-Summary!$B$48)*(Inputs!$B$22+Skills!O6+B1006)+Summary!$B$48*(Inputs!$B$23+Skills!P6+B1007))/100)*(1+Inputs!$B$18/100)*(5000/(6000+Inputs!$B$42*(1-Inputs!$B$21/100)))*(1+Inputs!$B$26/100)*(1+IF(C994=TRUE,F994,0)/100)*(1+IF(C996=TRUE,F996,0)/100)*(1+IF(Skills!A6="TRIUMPH_FEATHER",IF(C992=TRUE,F992,0),0)/100)*(1+IF(C1003=TRUE,F1003,0)/100)^5*(1+(IF(Skills!A6="BIG_BANG",Inputs!$B$19,Inputs!$B$20))/100)*(B1005*I983)</f>
        <v/>
      </c>
      <c r="L983">
        <f>K983*(MIN(Inputs!$B$24+(F998-Calc!F21),Inputs!$B$25)/100+Inputs!$B$25/100)/2</f>
        <v/>
      </c>
      <c r="M983">
        <f>L983*(1+(Inputs!$B$12+B1009+(F1001-Calc!F24))/100)</f>
        <v/>
      </c>
      <c r="N983">
        <f>L983*(1-MIN(Inputs!$B$11+((F1000-Calc!F23)+(F999-Calc!F22)),100)/100)+M983*(MIN(Inputs!$B$11+((F1000-Calc!F23)+(F999-Calc!F22)),100)/100)</f>
        <v/>
      </c>
      <c r="O983">
        <f>IF(C983,H983*N983*IF(AND(Inputs!$B$40&lt;&gt;"pvp",Inputs!$B$43&gt;0),((Skills!F6*((R983-1)*IF(Skills!G6&gt;0,Skills!H6/Skills!G6,1)+IF(Skills!G6&gt;0,MIN(Skills!H6,MAX(0,Inputs!$B$43-((R983-1)*IF(Inputs!$B$40="pvp",15,MAX(0.1,Skills!D6-IF(Skills!E6=TRUE,Inputs!$B$34,0))))))/Skills!G6,1)))/Inputs!$B$43),G983*Q983)*IF(Inputs!$B$40="pvp",1,(1-Summary!$B$48)*(1)+Summary!$B$48*(MIN(Skills!Q6,Inputs!$B$39))),0)</f>
        <v/>
      </c>
      <c r="P983">
        <f>IF(B1015=0,0,O983/B1015)</f>
        <v/>
      </c>
      <c r="Q983">
        <f>IFERROR(1/IF(Inputs!$B$40="pvp",15,MAX(0.1,Skills!D6-IF(Skills!E6=TRUE,Inputs!$B$34,0))),0)</f>
        <v/>
      </c>
      <c r="R983">
        <f>IF(AND(Inputs!$B$40&lt;&gt;"pvp",Inputs!$B$43&gt;0),(INT(Inputs!$B$43/IF(Inputs!$B$40="pvp",15,MAX(0.1,Skills!D6-IF(Skills!E6=TRUE,Inputs!$B$34,0))))+1),0)</f>
        <v/>
      </c>
    </row>
    <row r="984">
      <c r="A984">
        <f>Skills!A7</f>
        <v/>
      </c>
      <c r="B984">
        <f>Skills!B7</f>
        <v/>
      </c>
      <c r="C984">
        <f>Inputs!$B$3&gt;=122</f>
        <v/>
      </c>
      <c r="D984">
        <f>IF(Skills!C7=1,60+Inputs!$B$27+Inputs!$B$31,IF(Skills!C7=2,90+Inputs!$B$28+Inputs!$B$31,IF(Skills!C7=3,120+Inputs!$B$29+Inputs!$B$31,MAX(0,(Inputs!$B$3-100)*3)+Inputs!$B$30+Inputs!$B$31)))</f>
        <v/>
      </c>
      <c r="E984">
        <f>INDEX(FactorTable!$B$2:$Y$301, MATCH(ROUND(MIN(300,MAX(1,D984)),0), FactorTable!$A$2:$A$301,0), Skills!L7+1)</f>
        <v/>
      </c>
      <c r="F984">
        <f>IF(Skills!M7=TRUE,(Skills!K7/10)*(E984/1000),Skills!K7/10)+Skills!N7</f>
        <v/>
      </c>
      <c r="G984">
        <f>Calc!G7</f>
        <v/>
      </c>
      <c r="H984">
        <f>Calc!H7</f>
        <v/>
      </c>
      <c r="I984">
        <f>IF(Skills!T7&lt;&gt;"",1+(Skills!T7/10)*($Z$3/1000)/100,1)</f>
        <v/>
      </c>
      <c r="J984">
        <f>(Inputs!$B$7*(1+(Inputs!$B$8+1)/100))*(F984/100)</f>
        <v/>
      </c>
      <c r="K984">
        <f>J984*(1+(((Inputs!$B$14+IF(Inputs!$B$3&gt;=35,0.10*(Inputs!$B$9*(1+Inputs!$B$10/100)),0))*(1+Inputs!$B$15/100))*0.01+Inputs!$B$16*0.0025)/100)*(1+(Inputs!$B$17+B1008)/100)*(1+IF(Inputs!$B$40="pvp",0,(1-Summary!$B$48)*(Inputs!$B$22+Skills!O7+B1006)+Summary!$B$48*(Inputs!$B$23+Skills!P7+B1007))/100)*(1+Inputs!$B$18/100)*(5000/(6000+Inputs!$B$42*(1-Inputs!$B$21/100)))*(1+Inputs!$B$26/100)*(1+IF(C994=TRUE,F994,0)/100)*(1+IF(C996=TRUE,F996,0)/100)*(1+IF(Skills!A7="TRIUMPH_FEATHER",IF(C992=TRUE,F992,0),0)/100)*(1+IF(C1003=TRUE,F1003,0)/100)^5*(1+(IF(Skills!A7="BIG_BANG",Inputs!$B$19,Inputs!$B$20))/100)*(B1005*I984)</f>
        <v/>
      </c>
      <c r="L984">
        <f>K984*(MIN(Inputs!$B$24+(F998-Calc!F21),Inputs!$B$25)/100+Inputs!$B$25/100)/2</f>
        <v/>
      </c>
      <c r="M984">
        <f>L984*(1+(Inputs!$B$12+B1009+(F1001-Calc!F24))/100)</f>
        <v/>
      </c>
      <c r="N984">
        <f>L984*(1-MIN(Inputs!$B$11+((F1000-Calc!F23)+(F999-Calc!F22)),100)/100)+M984*(MIN(Inputs!$B$11+((F1000-Calc!F23)+(F999-Calc!F22)),100)/100)</f>
        <v/>
      </c>
      <c r="O984">
        <f>IF(C984,H984*N984*IF(AND(Inputs!$B$40&lt;&gt;"pvp",Inputs!$B$43&gt;0),((Skills!F7*((R984-1)*IF(Skills!G7&gt;0,Skills!H7/Skills!G7,1)+IF(Skills!G7&gt;0,MIN(Skills!H7,MAX(0,Inputs!$B$43-((R984-1)*IF(Inputs!$B$40="pvp",15,MAX(0.1,Skills!D7-IF(Skills!E6=TRUE,Inputs!$B$34,0))))))/Skills!G7,1)))/Inputs!$B$43),G984*Q984)*(1-Summary!$B$48),0)</f>
        <v/>
      </c>
      <c r="P984">
        <f>IF(B1015=0,0,O984/B1015)</f>
        <v/>
      </c>
      <c r="Q984">
        <f>IFERROR(1/IF(Inputs!$B$40="pvp",15,MAX(0.1,Skills!D7-IF(Skills!E6=TRUE,Inputs!$B$34,0))),0)</f>
        <v/>
      </c>
      <c r="R984">
        <f>IF(AND(Inputs!$B$40&lt;&gt;"pvp",Inputs!$B$43&gt;0),(INT(Inputs!$B$43/IF(Inputs!$B$40="pvp",15,MAX(0.1,Skills!D7-IF(Skills!E6=TRUE,Inputs!$B$34,0))))+1),0)</f>
        <v/>
      </c>
    </row>
    <row r="985">
      <c r="A985">
        <f>Skills!A8</f>
        <v/>
      </c>
      <c r="B985">
        <f>Skills!B8</f>
        <v/>
      </c>
      <c r="C985">
        <f>Inputs!$B$3&gt;=105</f>
        <v/>
      </c>
      <c r="D985">
        <f>IF(Skills!C8=1,60+Inputs!$B$27+Inputs!$B$31,IF(Skills!C8=2,90+Inputs!$B$28+Inputs!$B$31,IF(Skills!C8=3,120+Inputs!$B$29+Inputs!$B$31,MAX(0,(Inputs!$B$3-100)*3)+Inputs!$B$30+Inputs!$B$31)))</f>
        <v/>
      </c>
      <c r="E985">
        <f>INDEX(FactorTable!$B$2:$Y$301, MATCH(ROUND(MIN(300,MAX(1,D985)),0), FactorTable!$A$2:$A$301,0), Skills!L8+1)</f>
        <v/>
      </c>
      <c r="F985">
        <f>IF(Skills!M8=TRUE,(Skills!K8/10)*(E985/1000),Skills!K8/10)+Skills!N8</f>
        <v/>
      </c>
      <c r="G985">
        <f>Calc!G8</f>
        <v/>
      </c>
      <c r="H985">
        <f>Calc!H8</f>
        <v/>
      </c>
      <c r="I985">
        <f>IF(Skills!T8&lt;&gt;"",1+(Skills!T8/10)*($Z$3/1000)/100,1)</f>
        <v/>
      </c>
      <c r="J985">
        <f>(Inputs!$B$7*(1+(Inputs!$B$8+1)/100))*(F985/100)</f>
        <v/>
      </c>
      <c r="K985">
        <f>J985*(1+(((Inputs!$B$14+IF(Inputs!$B$3&gt;=35,0.10*(Inputs!$B$9*(1+Inputs!$B$10/100)),0))*(1+Inputs!$B$15/100))*0.01+Inputs!$B$16*0.0025)/100)*(1+(Inputs!$B$17+B1008)/100)*(1+IF(Inputs!$B$40="pvp",0,(1-Summary!$B$48)*(Inputs!$B$22+Skills!O8+B1006)+Summary!$B$48*(Inputs!$B$23+Skills!P8+B1007))/100)*(1+Inputs!$B$18/100)*(5000/(6000+Inputs!$B$42*(1-Inputs!$B$21/100)))*(1+Inputs!$B$26/100)*(1+IF(C994=TRUE,F994,0)/100)*(1+IF(C996=TRUE,F996,0)/100)*(1+IF(Skills!A8="TRIUMPH_FEATHER",IF(C992=TRUE,F992,0),0)/100)*(1+IF(C1003=TRUE,F1003,0)/100)^5*(1+(IF(Skills!A8="BIG_BANG",Inputs!$B$19,Inputs!$B$20))/100)*(B1005*I985)</f>
        <v/>
      </c>
      <c r="L985">
        <f>K985*(MIN(Inputs!$B$24+(F998-Calc!F21),Inputs!$B$25)/100+Inputs!$B$25/100)/2</f>
        <v/>
      </c>
      <c r="M985">
        <f>L985*(1+(Inputs!$B$12+B1009+(F1001-Calc!F24))/100)</f>
        <v/>
      </c>
      <c r="N985">
        <f>L985*(1-MIN(Inputs!$B$11+((F1000-Calc!F23)+(F999-Calc!F22)),100)/100)+M985*(MIN(Inputs!$B$11+((F1000-Calc!F23)+(F999-Calc!F22)),100)/100)</f>
        <v/>
      </c>
      <c r="O985">
        <f>IF(C985,H985*N985*IF(AND(Inputs!$B$40&lt;&gt;"pvp",Inputs!$B$43&gt;0),((Skills!F8*((R985-1)*IF(Skills!G8&gt;0,Skills!H8/Skills!G8,1)+IF(Skills!G8&gt;0,MIN(Skills!H8,MAX(0,Inputs!$B$43-((R985-1)*IF(Inputs!$B$40="pvp",15,MAX(0.1,Skills!D8-IF(Skills!E8=TRUE,Inputs!$B$34,0))))))/Skills!G8,1)))/Inputs!$B$43),G985*Q985)*IF(Inputs!$B$40="pvp",1,(1-Summary!$B$48)*(1)+Summary!$B$48*(MIN(Skills!Q8,Inputs!$B$39))),0)</f>
        <v/>
      </c>
      <c r="P985">
        <f>IF(B1015=0,0,O985/B1015)</f>
        <v/>
      </c>
      <c r="Q985">
        <f>IFERROR(1/IF(Inputs!$B$40="pvp",15,MAX(0.1,Skills!D8-IF(Skills!E8=TRUE,Inputs!$B$34,0))),0)</f>
        <v/>
      </c>
      <c r="R985">
        <f>IF(AND(Inputs!$B$40&lt;&gt;"pvp",Inputs!$B$43&gt;0),(INT(Inputs!$B$43/IF(Inputs!$B$40="pvp",15,MAX(0.1,Skills!D8-IF(Skills!E8=TRUE,Inputs!$B$34,0))))+1),0)</f>
        <v/>
      </c>
    </row>
    <row r="986">
      <c r="A986">
        <f>Skills!A9</f>
        <v/>
      </c>
      <c r="B986">
        <f>Skills!B9</f>
        <v/>
      </c>
      <c r="C986">
        <f>Inputs!$B$3&gt;=115</f>
        <v/>
      </c>
      <c r="D986">
        <f>IF(Skills!C9=1,60+Inputs!$B$27+Inputs!$B$31,IF(Skills!C9=2,90+Inputs!$B$28+Inputs!$B$31,IF(Skills!C9=3,120+Inputs!$B$29+Inputs!$B$31,MAX(0,(Inputs!$B$3-100)*3)+Inputs!$B$30+Inputs!$B$31)))</f>
        <v/>
      </c>
      <c r="E986">
        <f>INDEX(FactorTable!$B$2:$Y$301, MATCH(ROUND(MIN(300,MAX(1,D986)),0), FactorTable!$A$2:$A$301,0), Skills!L9+1)</f>
        <v/>
      </c>
      <c r="F986">
        <f>IF(Skills!M9=TRUE,(Skills!K9/10)*(E986/1000),Skills!K9/10)+Skills!N9</f>
        <v/>
      </c>
      <c r="G986">
        <f>Calc!G9</f>
        <v/>
      </c>
      <c r="H986">
        <f>Calc!H9</f>
        <v/>
      </c>
      <c r="I986">
        <f>IF(Skills!T9&lt;&gt;"",1+(Skills!T9/10)*($Z$3/1000)/100,1)</f>
        <v/>
      </c>
      <c r="J986">
        <f>(Inputs!$B$7*(1+(Inputs!$B$8+1)/100))*(F986/100)</f>
        <v/>
      </c>
      <c r="K986">
        <f>J986*(1+(((Inputs!$B$14+IF(Inputs!$B$3&gt;=35,0.10*(Inputs!$B$9*(1+Inputs!$B$10/100)),0))*(1+Inputs!$B$15/100))*0.01+Inputs!$B$16*0.0025)/100)*(1+(Inputs!$B$17+B1008)/100)*(1+IF(Inputs!$B$40="pvp",0,(1-Summary!$B$48)*(Inputs!$B$22+Skills!O9+B1006)+Summary!$B$48*(Inputs!$B$23+Skills!P9+B1007))/100)*(1+Inputs!$B$18/100)*(5000/(6000+Inputs!$B$42*(1-Inputs!$B$21/100)))*(1+Inputs!$B$26/100)*(1+IF(C994=TRUE,F994,0)/100)*(1+IF(C996=TRUE,F996,0)/100)*(1+IF(Skills!A9="TRIUMPH_FEATHER",IF(C992=TRUE,F992,0),0)/100)*(1+IF(C1003=TRUE,F1003,0)/100)^5*(1+(IF(Skills!A9="BIG_BANG",Inputs!$B$19,Inputs!$B$20))/100)*(B1005*I986)</f>
        <v/>
      </c>
      <c r="L986">
        <f>K986*(MIN(Inputs!$B$24+(F998-Calc!F21),Inputs!$B$25)/100+Inputs!$B$25/100)/2</f>
        <v/>
      </c>
      <c r="M986">
        <f>L986*(1+(Inputs!$B$12+B1009+(F1001-Calc!F24))/100)</f>
        <v/>
      </c>
      <c r="N986">
        <f>L986*(1-MIN(Inputs!$B$11+((F1000-Calc!F23)+(F999-Calc!F22)),100)/100)+M986*(MIN(Inputs!$B$11+((F1000-Calc!F23)+(F999-Calc!F22)),100)/100)</f>
        <v/>
      </c>
      <c r="O986">
        <f>IF(C986,H986*N986*IF(AND(Inputs!$B$40&lt;&gt;"pvp",Inputs!$B$43&gt;0),((Skills!F9*((R986-1)*IF(Skills!G9&gt;0,Skills!H9/Skills!G9,1)+IF(Skills!G9&gt;0,MIN(Skills!H9,MAX(0,Inputs!$B$43-((R986-1)*IF(Inputs!$B$40="pvp",15,MAX(0.1,Skills!D9-IF(Skills!E9=TRUE,Inputs!$B$34,0))))))/Skills!G9,1)))/Inputs!$B$43),G986*Q986)*IF(Inputs!$B$40="pvp",1,(1-Summary!$B$48)*(1)+Summary!$B$48*(MIN(Skills!Q9,Inputs!$B$39))),0)</f>
        <v/>
      </c>
      <c r="P986">
        <f>IF(B1015=0,0,O986/B1015)</f>
        <v/>
      </c>
      <c r="Q986">
        <f>IFERROR(1/IF(Inputs!$B$40="pvp",15,MAX(0.1,Skills!D9-IF(Skills!E9=TRUE,Inputs!$B$34,0))),0)</f>
        <v/>
      </c>
      <c r="R986">
        <f>IF(AND(Inputs!$B$40&lt;&gt;"pvp",Inputs!$B$43&gt;0),(INT(Inputs!$B$43/IF(Inputs!$B$40="pvp",15,MAX(0.1,Skills!D9-IF(Skills!E9=TRUE,Inputs!$B$34,0))))+1),0)</f>
        <v/>
      </c>
    </row>
    <row r="987">
      <c r="A987">
        <f>Skills!A10</f>
        <v/>
      </c>
      <c r="B987">
        <f>Skills!B10</f>
        <v/>
      </c>
      <c r="C987">
        <f>Inputs!$B$3&gt;=66</f>
        <v/>
      </c>
      <c r="D987">
        <f>IF(Skills!C10=1,60+Inputs!$B$27+Inputs!$B$31,IF(Skills!C10=2,90+Inputs!$B$28+Inputs!$B$31,IF(Skills!C10=3,120+Inputs!$B$29+Inputs!$B$31,MAX(0,(Inputs!$B$3-100)*3)+Inputs!$B$30+Inputs!$B$31)))</f>
        <v/>
      </c>
      <c r="E987">
        <f>INDEX(FactorTable!$B$2:$Y$301, MATCH(ROUND(MIN(300,MAX(1,D987)),0), FactorTable!$A$2:$A$301,0), Skills!L10+1)</f>
        <v/>
      </c>
      <c r="F987" t="n">
        <v>0</v>
      </c>
      <c r="G987">
        <f>Calc!G10</f>
        <v/>
      </c>
      <c r="H987">
        <f>Calc!H10</f>
        <v/>
      </c>
      <c r="I987">
        <f>IF(Skills!T10&lt;&gt;"",1+(Skills!T10/10)*($Z$3/1000)/100,1)</f>
        <v/>
      </c>
      <c r="J987" t="inlineStr"/>
      <c r="K987" t="inlineStr"/>
      <c r="L987" t="inlineStr"/>
      <c r="M987" t="inlineStr"/>
      <c r="N987" t="inlineStr"/>
      <c r="O987" t="n">
        <v>0</v>
      </c>
      <c r="P987">
        <f>IF(B1015=0,0,O987/B1015)</f>
        <v/>
      </c>
      <c r="Q987">
        <f>IFERROR(1/IF(Inputs!$B$40="pvp",15,MAX(0.1,Skills!D10-IF(Skills!E10=TRUE,Inputs!$B$34,0))),0)</f>
        <v/>
      </c>
      <c r="R987">
        <f>IF(AND(Inputs!$B$40&lt;&gt;"pvp",Inputs!$B$43&gt;0),(INT(Inputs!$B$43/IF(Inputs!$B$40="pvp",15,MAX(0.1,Skills!D10-IF(Skills!E10=TRUE,Inputs!$B$34,0))))+1),0)</f>
        <v/>
      </c>
    </row>
    <row r="988">
      <c r="A988">
        <f>Skills!A11</f>
        <v/>
      </c>
      <c r="B988">
        <f>Skills!B11</f>
        <v/>
      </c>
      <c r="C988">
        <f>Inputs!$B$3&gt;=69</f>
        <v/>
      </c>
      <c r="D988">
        <f>IF(Skills!C11=1,60+Inputs!$B$27+Inputs!$B$31,IF(Skills!C11=2,90+Inputs!$B$28+Inputs!$B$31,IF(Skills!C11=3,120+Inputs!$B$29+Inputs!$B$31,MAX(0,(Inputs!$B$3-100)*3)+Inputs!$B$30+Inputs!$B$31)))</f>
        <v/>
      </c>
      <c r="E988">
        <f>INDEX(FactorTable!$B$2:$Y$301, MATCH(ROUND(MIN(300,MAX(1,D988)),0), FactorTable!$A$2:$A$301,0), Skills!L11+1)</f>
        <v/>
      </c>
      <c r="F988">
        <f>IF(Skills!M11=TRUE,(Skills!K11/10)*(E988/1000),Skills!K11/10)+Skills!N11</f>
        <v/>
      </c>
      <c r="G988">
        <f>Calc!G11</f>
        <v/>
      </c>
      <c r="H988">
        <f>Calc!H11</f>
        <v/>
      </c>
      <c r="I988">
        <f>IF(Skills!T11&lt;&gt;"",1+(Skills!T11/10)*($Z$3/1000)/100,1)</f>
        <v/>
      </c>
      <c r="J988" t="inlineStr"/>
      <c r="K988" t="inlineStr"/>
      <c r="L988" t="inlineStr"/>
      <c r="M988" t="inlineStr"/>
      <c r="N988" t="inlineStr"/>
      <c r="O988" t="n">
        <v>0</v>
      </c>
      <c r="P988">
        <f>IF(B1015=0,0,O988/B1015)</f>
        <v/>
      </c>
      <c r="Q988">
        <f>IFERROR(1/IF(Inputs!$B$40="pvp",15,MAX(0.1,Skills!D11-IF(Skills!E11=TRUE,Inputs!$B$34,0))),0)</f>
        <v/>
      </c>
      <c r="R988">
        <f>IF(AND(Inputs!$B$40&lt;&gt;"pvp",Inputs!$B$43&gt;0),(INT(Inputs!$B$43/IF(Inputs!$B$40="pvp",15,MAX(0.1,Skills!D11-IF(Skills!E11=TRUE,Inputs!$B$34,0))))+1),0)</f>
        <v/>
      </c>
    </row>
    <row r="989">
      <c r="A989">
        <f>Skills!A12</f>
        <v/>
      </c>
      <c r="B989">
        <f>Skills!B12</f>
        <v/>
      </c>
      <c r="C989">
        <f>Inputs!$B$3&gt;=72</f>
        <v/>
      </c>
      <c r="D989">
        <f>IF(Skills!C12=1,60+Inputs!$B$27+Inputs!$B$31,IF(Skills!C12=2,90+Inputs!$B$28+Inputs!$B$31,IF(Skills!C12=3,120+Inputs!$B$29+Inputs!$B$31,MAX(0,(Inputs!$B$3-100)*3)+Inputs!$B$30+Inputs!$B$31)))</f>
        <v/>
      </c>
      <c r="E989">
        <f>INDEX(FactorTable!$B$2:$Y$301, MATCH(ROUND(MIN(300,MAX(1,D989)),0), FactorTable!$A$2:$A$301,0), Skills!L12+1)</f>
        <v/>
      </c>
      <c r="F989">
        <f>IF(Skills!M12=TRUE,(Skills!K12/10)*(E989/1000),Skills!K12/10)+Skills!N12</f>
        <v/>
      </c>
      <c r="G989">
        <f>Calc!G12</f>
        <v/>
      </c>
      <c r="H989">
        <f>Calc!H12</f>
        <v/>
      </c>
      <c r="I989">
        <f>IF(Skills!T12&lt;&gt;"",1+(Skills!T12/10)*($Z$3/1000)/100,1)</f>
        <v/>
      </c>
      <c r="J989" t="inlineStr"/>
      <c r="K989" t="inlineStr"/>
      <c r="L989" t="inlineStr"/>
      <c r="M989" t="inlineStr"/>
      <c r="N989" t="inlineStr"/>
      <c r="O989" t="n">
        <v>0</v>
      </c>
      <c r="P989">
        <f>IF(B1015=0,0,O989/B1015)</f>
        <v/>
      </c>
      <c r="Q989">
        <f>IFERROR(1/IF(Inputs!$B$40="pvp",15,MAX(0.1,Skills!D12-IF(Skills!E12=TRUE,Inputs!$B$34,0))),0)</f>
        <v/>
      </c>
      <c r="R989">
        <f>IF(AND(Inputs!$B$40&lt;&gt;"pvp",Inputs!$B$43&gt;0),(INT(Inputs!$B$43/IF(Inputs!$B$40="pvp",15,MAX(0.1,Skills!D12-IF(Skills!E12=TRUE,Inputs!$B$34,0))))+1),0)</f>
        <v/>
      </c>
    </row>
    <row r="990">
      <c r="A990">
        <f>Skills!A13</f>
        <v/>
      </c>
      <c r="B990">
        <f>Skills!B13</f>
        <v/>
      </c>
      <c r="C990">
        <f>Inputs!$B$3&gt;=107</f>
        <v/>
      </c>
      <c r="D990">
        <f>IF(Skills!C13=1,60+Inputs!$B$27+Inputs!$B$31,IF(Skills!C13=2,90+Inputs!$B$28+Inputs!$B$31,IF(Skills!C13=3,120+Inputs!$B$29+Inputs!$B$31,MAX(0,(Inputs!$B$3-100)*3)+Inputs!$B$30+Inputs!$B$31)))</f>
        <v/>
      </c>
      <c r="E990">
        <f>INDEX(FactorTable!$B$2:$Y$301, MATCH(ROUND(MIN(300,MAX(1,D990)),0), FactorTable!$A$2:$A$301,0), Skills!L13+1)</f>
        <v/>
      </c>
      <c r="F990">
        <f>IF(Skills!M13=TRUE,(Skills!K13/10)*(E990/1000),Skills!K13/10)+Skills!N13</f>
        <v/>
      </c>
      <c r="G990">
        <f>Calc!G13</f>
        <v/>
      </c>
      <c r="H990">
        <f>Calc!H13</f>
        <v/>
      </c>
      <c r="I990">
        <f>IF(Skills!T13&lt;&gt;"",1+(Skills!T13/10)*($Z$3/1000)/100,1)</f>
        <v/>
      </c>
      <c r="J990" t="inlineStr"/>
      <c r="K990" t="inlineStr"/>
      <c r="L990" t="inlineStr"/>
      <c r="M990" t="inlineStr"/>
      <c r="N990" t="inlineStr"/>
      <c r="O990" t="n">
        <v>0</v>
      </c>
      <c r="P990">
        <f>IF(B1015=0,0,O990/B1015)</f>
        <v/>
      </c>
      <c r="Q990">
        <f>IFERROR(1/IF(Inputs!$B$40="pvp",15,MAX(0.1,Skills!D13-IF(Skills!E13=TRUE,Inputs!$B$34,0))),0)</f>
        <v/>
      </c>
      <c r="R990">
        <f>IF(AND(Inputs!$B$40&lt;&gt;"pvp",Inputs!$B$43&gt;0),(INT(Inputs!$B$43/IF(Inputs!$B$40="pvp",15,MAX(0.1,Skills!D13-IF(Skills!E13=TRUE,Inputs!$B$34,0))))+1),0)</f>
        <v/>
      </c>
    </row>
    <row r="991">
      <c r="A991">
        <f>Skills!A14</f>
        <v/>
      </c>
      <c r="B991">
        <f>Skills!B14</f>
        <v/>
      </c>
      <c r="C991">
        <f>Inputs!$B$3&gt;=63</f>
        <v/>
      </c>
      <c r="D991">
        <f>IF(Skills!C14=1,60+Inputs!$B$27+Inputs!$B$31,IF(Skills!C14=2,90+Inputs!$B$28+Inputs!$B$31,IF(Skills!C14=3,120+Inputs!$B$29+Inputs!$B$31,MAX(0,(Inputs!$B$3-100)*3)+Inputs!$B$30+Inputs!$B$31)))</f>
        <v/>
      </c>
      <c r="E991">
        <f>INDEX(FactorTable!$B$2:$Y$301, MATCH(ROUND(MIN(300,MAX(1,D991)),0), FactorTable!$A$2:$A$301,0), Skills!L14+1)</f>
        <v/>
      </c>
      <c r="F991">
        <f>IF(Skills!M14=TRUE,(Skills!K14/10)*(E991/1000),Skills!K14/10)+Skills!N14</f>
        <v/>
      </c>
      <c r="G991">
        <f>Calc!G14</f>
        <v/>
      </c>
      <c r="H991">
        <f>Calc!H14</f>
        <v/>
      </c>
      <c r="I991">
        <f>IF(Skills!T14&lt;&gt;"",1+(Skills!T14/10)*($Z$3/1000)/100,1)</f>
        <v/>
      </c>
      <c r="J991">
        <f>(Inputs!$B$7*(1+(Inputs!$B$8+1)/100))*(F991/100)</f>
        <v/>
      </c>
      <c r="K991">
        <f>J991*(1+(((Inputs!$B$14+IF(Inputs!$B$3&gt;=35,0.10*(Inputs!$B$9*(1+Inputs!$B$10/100)),0))*(1+Inputs!$B$15/100))*0.01+Inputs!$B$16*0.0025)/100)*(1+(Inputs!$B$17+B1008)/100)*(1+IF(Inputs!$B$40="pvp",0,(1-Summary!$B$48)*(Inputs!$B$22+Skills!O14+B1006)+Summary!$B$48*(Inputs!$B$23+Skills!P14+B1007))/100)*(1+Inputs!$B$18/100)*(5000/(6000+Inputs!$B$42*(1-Inputs!$B$21/100)))*(1+Inputs!$B$26/100)*(1+IF(C994=TRUE,F994,0)/100)*(1+IF(C996=TRUE,F996,0)/100)*(1+IF(Skills!A14="TRIUMPH_FEATHER",IF(C992=TRUE,F992,0),0)/100)*(1+IF(C1003=TRUE,F1003,0)/100)^5*(1+(IF(Skills!A14="BIG_BANG",Inputs!$B$19,Inputs!$B$20))/100)*(B1005*I991)</f>
        <v/>
      </c>
      <c r="L991">
        <f>K991*(MIN(Inputs!$B$24+(F998-Calc!F21),Inputs!$B$25)/100+Inputs!$B$25/100)/2</f>
        <v/>
      </c>
      <c r="M991">
        <f>L991*(1+(Inputs!$B$12+B1009+(F1001-Calc!F24))/100)</f>
        <v/>
      </c>
      <c r="N991">
        <f>L991*(1-MIN(Inputs!$B$11+((F1000-Calc!F23)+(F999-Calc!F22)),100)/100)+M991*(MIN(Inputs!$B$11+((F1000-Calc!F23)+(F999-Calc!F22)),100)/100)</f>
        <v/>
      </c>
      <c r="O991">
        <f>IF(C991,Skills!F14*N991*((IF(Inputs!$B$3&gt;=78,25,15)/100*B1011*10)/(1+IF(Inputs!$B$3&gt;=78,25,15)/100*B1011*10))*(Skills!I14/100*B1011)/(1+Skills!G14*Skills!I14/100*B1011)*IF(Inputs!$B$40="pvp",1,(1-Summary!$B$48)*(1)+Summary!$B$48*(MIN(Skills!Q14,Inputs!$B$39))),0)</f>
        <v/>
      </c>
      <c r="P991">
        <f>IF(B1015=0,0,O991/B1015)</f>
        <v/>
      </c>
      <c r="Q991">
        <f>IFERROR(1/IF(Inputs!$B$40="pvp",15,MAX(0.1,Skills!D14-IF(Skills!E14=TRUE,Inputs!$B$34,0))),0)</f>
        <v/>
      </c>
      <c r="R991" t="n">
        <v>0</v>
      </c>
    </row>
    <row r="992">
      <c r="A992">
        <f>Skills!A15</f>
        <v/>
      </c>
      <c r="B992">
        <f>Skills!B15</f>
        <v/>
      </c>
      <c r="C992">
        <f>Inputs!$B$3&gt;=100</f>
        <v/>
      </c>
      <c r="D992">
        <f>IF(Skills!C15=1,60+Inputs!$B$27+Inputs!$B$31,IF(Skills!C15=2,90+Inputs!$B$28+Inputs!$B$31,IF(Skills!C15=3,120+Inputs!$B$29+Inputs!$B$31,MAX(0,(Inputs!$B$3-100)*3)+Inputs!$B$30+Inputs!$B$31)))</f>
        <v/>
      </c>
      <c r="E992">
        <f>INDEX(FactorTable!$B$2:$Y$301, MATCH(ROUND(MIN(300,MAX(1,D992)),0), FactorTable!$A$2:$A$301,0), Skills!L15+1)</f>
        <v/>
      </c>
      <c r="F992">
        <f>IF(Skills!M15=TRUE,(Skills!K15/10)*(E992/1000),Skills!K15/10)+Skills!N15</f>
        <v/>
      </c>
      <c r="G992">
        <f>Calc!G15</f>
        <v/>
      </c>
      <c r="H992">
        <f>Calc!H15</f>
        <v/>
      </c>
      <c r="I992">
        <f>IF(Skills!T15&lt;&gt;"",1+(Skills!T15/10)*($Z$3/1000)/100,1)</f>
        <v/>
      </c>
      <c r="J992" t="inlineStr"/>
      <c r="K992" t="inlineStr"/>
      <c r="L992" t="inlineStr"/>
      <c r="M992" t="inlineStr"/>
      <c r="N992" t="inlineStr"/>
      <c r="O992" t="n">
        <v>0</v>
      </c>
      <c r="P992">
        <f>IF(B1015=0,0,O992/B1015)</f>
        <v/>
      </c>
      <c r="Q992">
        <f>IFERROR(1/IF(Inputs!$B$40="pvp",15,MAX(0.1,Skills!D15-IF(Skills!E15=TRUE,Inputs!$B$34,0))),0)</f>
        <v/>
      </c>
      <c r="R992" t="n">
        <v>0</v>
      </c>
    </row>
    <row r="993">
      <c r="A993">
        <f>Skills!A16</f>
        <v/>
      </c>
      <c r="B993">
        <f>Skills!B16</f>
        <v/>
      </c>
      <c r="C993">
        <f>Inputs!$B$3&gt;=49</f>
        <v/>
      </c>
      <c r="D993">
        <f>IF(Skills!C16=1,60+Inputs!$B$27+Inputs!$B$31,IF(Skills!C16=2,90+Inputs!$B$28+Inputs!$B$31,IF(Skills!C16=3,120+Inputs!$B$29+Inputs!$B$31,MAX(0,(Inputs!$B$3-100)*3)+Inputs!$B$30+Inputs!$B$31)))</f>
        <v/>
      </c>
      <c r="E993">
        <f>INDEX(FactorTable!$B$2:$Y$301, MATCH(ROUND(MIN(300,MAX(1,D993)),0), FactorTable!$A$2:$A$301,0), Skills!L16+1)</f>
        <v/>
      </c>
      <c r="F993">
        <f>IF(Skills!M16=TRUE,(Skills!K16/10)*(E993/1000),Skills!K16/10)+Skills!N16</f>
        <v/>
      </c>
      <c r="G993">
        <f>Calc!G16</f>
        <v/>
      </c>
      <c r="H993">
        <f>Calc!H16</f>
        <v/>
      </c>
      <c r="I993">
        <f>IF(Skills!T16&lt;&gt;"",1+(Skills!T16/10)*($Z$3/1000)/100,1)</f>
        <v/>
      </c>
      <c r="J993" t="inlineStr"/>
      <c r="K993" t="inlineStr"/>
      <c r="L993" t="inlineStr"/>
      <c r="M993" t="inlineStr"/>
      <c r="N993" t="inlineStr"/>
      <c r="O993" t="n">
        <v>0</v>
      </c>
      <c r="P993">
        <f>IF(B1015=0,0,O993/B1015)</f>
        <v/>
      </c>
      <c r="Q993">
        <f>IFERROR(1/IF(Inputs!$B$40="pvp",15,MAX(0.1,Skills!D16-IF(Skills!E16=TRUE,Inputs!$B$34,0))),0)</f>
        <v/>
      </c>
      <c r="R993" t="n">
        <v>0</v>
      </c>
    </row>
    <row r="994">
      <c r="A994">
        <f>Skills!A17</f>
        <v/>
      </c>
      <c r="B994">
        <f>Skills!B17</f>
        <v/>
      </c>
      <c r="C994">
        <f>Inputs!$B$3&gt;=75</f>
        <v/>
      </c>
      <c r="D994">
        <f>IF(Skills!C17=1,60+Inputs!$B$27+Inputs!$B$31,IF(Skills!C17=2,90+Inputs!$B$28+Inputs!$B$31,IF(Skills!C17=3,120+Inputs!$B$29+Inputs!$B$31,MAX(0,(Inputs!$B$3-100)*3)+Inputs!$B$30+Inputs!$B$31)))</f>
        <v/>
      </c>
      <c r="E994">
        <f>INDEX(FactorTable!$B$2:$Y$301, MATCH(ROUND(MIN(300,MAX(1,D994)),0), FactorTable!$A$2:$A$301,0), Skills!L17+1)</f>
        <v/>
      </c>
      <c r="F994">
        <f>IF(Skills!M17=TRUE,(Skills!K17/10)*(E994/1000),Skills!K17/10)+Skills!N17</f>
        <v/>
      </c>
      <c r="G994">
        <f>Calc!G17</f>
        <v/>
      </c>
      <c r="H994">
        <f>Calc!H17</f>
        <v/>
      </c>
      <c r="I994">
        <f>IF(Skills!T17&lt;&gt;"",1+(Skills!T17/10)*($Z$3/1000)/100,1)</f>
        <v/>
      </c>
      <c r="J994" t="inlineStr"/>
      <c r="K994" t="inlineStr"/>
      <c r="L994" t="inlineStr"/>
      <c r="M994" t="inlineStr"/>
      <c r="N994" t="inlineStr"/>
      <c r="O994" t="n">
        <v>0</v>
      </c>
      <c r="P994">
        <f>IF(B1015=0,0,O994/B1015)</f>
        <v/>
      </c>
      <c r="Q994">
        <f>IFERROR(1/IF(Inputs!$B$40="pvp",15,MAX(0.1,Skills!D17-IF(Skills!E17=TRUE,Inputs!$B$34,0))),0)</f>
        <v/>
      </c>
      <c r="R994" t="n">
        <v>0</v>
      </c>
    </row>
    <row r="995">
      <c r="A995">
        <f>Skills!A18</f>
        <v/>
      </c>
      <c r="B995">
        <f>Skills!B18</f>
        <v/>
      </c>
      <c r="C995">
        <f>Inputs!$B$3&gt;=110</f>
        <v/>
      </c>
      <c r="D995">
        <f>IF(Skills!C18=1,60+Inputs!$B$27+Inputs!$B$31,IF(Skills!C18=2,90+Inputs!$B$28+Inputs!$B$31,IF(Skills!C18=3,120+Inputs!$B$29+Inputs!$B$31,MAX(0,(Inputs!$B$3-100)*3)+Inputs!$B$30+Inputs!$B$31)))</f>
        <v/>
      </c>
      <c r="E995">
        <f>INDEX(FactorTable!$B$2:$Y$301, MATCH(ROUND(MIN(300,MAX(1,D995)),0), FactorTable!$A$2:$A$301,0), Skills!L18+1)</f>
        <v/>
      </c>
      <c r="F995">
        <f>(Skills!K18/10)*(E995/1000)*64/45+Skills!N18</f>
        <v/>
      </c>
      <c r="G995">
        <f>Calc!G18</f>
        <v/>
      </c>
      <c r="H995">
        <f>Calc!H18</f>
        <v/>
      </c>
      <c r="I995">
        <f>IF(Skills!T18&lt;&gt;"",1+(Skills!T18/10)*($Z$3/1000)/100,1)</f>
        <v/>
      </c>
      <c r="J995" t="inlineStr"/>
      <c r="K995" t="inlineStr"/>
      <c r="L995" t="inlineStr"/>
      <c r="M995" t="inlineStr"/>
      <c r="N995" t="inlineStr"/>
      <c r="O995" t="n">
        <v>0</v>
      </c>
      <c r="P995">
        <f>IF(B1015=0,0,O995/B1015)</f>
        <v/>
      </c>
      <c r="Q995">
        <f>IFERROR(1/IF(Inputs!$B$40="pvp",15,MAX(0.1,Skills!D18-IF(Skills!E18=TRUE,Inputs!$B$34,0))),0)</f>
        <v/>
      </c>
      <c r="R995">
        <f>IF(AND(Inputs!$B$40&lt;&gt;"pvp",Inputs!$B$43&gt;0),(INT(Inputs!$B$43/IF(Inputs!$B$40="pvp",15,MAX(0.1,Skills!D18-IF(Skills!E18=TRUE,Inputs!$B$34,0))))+1),0)</f>
        <v/>
      </c>
    </row>
    <row r="996">
      <c r="A996">
        <f>Skills!A19</f>
        <v/>
      </c>
      <c r="B996">
        <f>Skills!B19</f>
        <v/>
      </c>
      <c r="C996">
        <f>Inputs!$B$3&gt;=125</f>
        <v/>
      </c>
      <c r="D996">
        <f>IF(Skills!C19=1,60+Inputs!$B$27+Inputs!$B$31,IF(Skills!C19=2,90+Inputs!$B$28+Inputs!$B$31,IF(Skills!C19=3,120+Inputs!$B$29+Inputs!$B$31,MAX(0,(Inputs!$B$3-100)*3)+Inputs!$B$30+Inputs!$B$31)))</f>
        <v/>
      </c>
      <c r="E996">
        <f>INDEX(FactorTable!$B$2:$Y$301, MATCH(ROUND(MIN(300,MAX(1,D996)),0), FactorTable!$A$2:$A$301,0), Skills!L19+1)</f>
        <v/>
      </c>
      <c r="F996">
        <f>IF(Skills!M19=TRUE,(Skills!K19/10)*(E996/1000),Skills!K19/10)+Skills!N19</f>
        <v/>
      </c>
      <c r="G996">
        <f>Calc!G19</f>
        <v/>
      </c>
      <c r="H996">
        <f>Calc!H19</f>
        <v/>
      </c>
      <c r="I996">
        <f>IF(Skills!T19&lt;&gt;"",1+(Skills!T19/10)*($Z$3/1000)/100,1)</f>
        <v/>
      </c>
      <c r="J996" t="inlineStr"/>
      <c r="K996" t="inlineStr"/>
      <c r="L996" t="inlineStr"/>
      <c r="M996" t="inlineStr"/>
      <c r="N996" t="inlineStr"/>
      <c r="O996" t="n">
        <v>0</v>
      </c>
      <c r="P996">
        <f>IF(B1015=0,0,O996/B1015)</f>
        <v/>
      </c>
      <c r="Q996">
        <f>IFERROR(1/IF(Inputs!$B$40="pvp",15,MAX(0.1,Skills!D19-IF(Skills!E19=TRUE,Inputs!$B$34,0))),0)</f>
        <v/>
      </c>
      <c r="R996" t="n">
        <v>0</v>
      </c>
    </row>
    <row r="997">
      <c r="A997">
        <f>Skills!A20</f>
        <v/>
      </c>
      <c r="B997">
        <f>Skills!B20</f>
        <v/>
      </c>
      <c r="C997">
        <f>Inputs!$B$3&gt;=33</f>
        <v/>
      </c>
      <c r="D997">
        <f>IF(Skills!C20=1,60+Inputs!$B$27+Inputs!$B$31,IF(Skills!C20=2,90+Inputs!$B$28+Inputs!$B$31,IF(Skills!C20=3,120+Inputs!$B$29+Inputs!$B$31,MAX(0,(Inputs!$B$3-100)*3)+Inputs!$B$30+Inputs!$B$31)))</f>
        <v/>
      </c>
      <c r="E997">
        <f>INDEX(FactorTable!$B$2:$Y$301, MATCH(ROUND(MIN(300,MAX(1,D997)),0), FactorTable!$A$2:$A$301,0), Skills!L20+1)</f>
        <v/>
      </c>
      <c r="F997">
        <f>IF(Skills!M20=TRUE,(Skills!K20/10)*(E997/1000),Skills!K20/10)+Skills!N20</f>
        <v/>
      </c>
      <c r="G997">
        <f>Calc!G20</f>
        <v/>
      </c>
      <c r="H997">
        <f>Calc!H20</f>
        <v/>
      </c>
      <c r="I997">
        <f>IF(Skills!T20&lt;&gt;"",1+(Skills!T20/10)*($Z$3/1000)/100,1)</f>
        <v/>
      </c>
      <c r="J997" t="inlineStr"/>
      <c r="K997" t="inlineStr"/>
      <c r="L997" t="inlineStr"/>
      <c r="M997" t="inlineStr"/>
      <c r="N997" t="inlineStr"/>
      <c r="O997" t="n">
        <v>0</v>
      </c>
      <c r="P997">
        <f>IF(B1015=0,0,O997/B1015)</f>
        <v/>
      </c>
      <c r="Q997">
        <f>IFERROR(1/IF(Inputs!$B$40="pvp",15,MAX(0.1,Skills!D20-IF(Skills!E20=TRUE,Inputs!$B$34,0))),0)</f>
        <v/>
      </c>
      <c r="R997" t="n">
        <v>0</v>
      </c>
    </row>
    <row r="998">
      <c r="A998">
        <f>Skills!A21</f>
        <v/>
      </c>
      <c r="B998">
        <f>Skills!B21</f>
        <v/>
      </c>
      <c r="C998">
        <f>Inputs!$B$3&gt;=43</f>
        <v/>
      </c>
      <c r="D998">
        <f>IF(Skills!C21=1,60+Inputs!$B$27+Inputs!$B$31,IF(Skills!C21=2,90+Inputs!$B$28+Inputs!$B$31,IF(Skills!C21=3,120+Inputs!$B$29+Inputs!$B$31,MAX(0,(Inputs!$B$3-100)*3)+Inputs!$B$30+Inputs!$B$31)))</f>
        <v/>
      </c>
      <c r="E998">
        <f>INDEX(FactorTable!$B$2:$Y$301, MATCH(ROUND(MIN(300,MAX(1,D998)),0), FactorTable!$A$2:$A$301,0), Skills!L21+1)</f>
        <v/>
      </c>
      <c r="F998">
        <f>IF(Skills!M21=TRUE,(Skills!K21/10)*(E998/1000),Skills!K21/10)+Skills!N21</f>
        <v/>
      </c>
      <c r="G998">
        <f>Calc!G21</f>
        <v/>
      </c>
      <c r="H998">
        <f>Calc!H21</f>
        <v/>
      </c>
      <c r="I998">
        <f>IF(Skills!T21&lt;&gt;"",1+(Skills!T21/10)*($Z$3/1000)/100,1)</f>
        <v/>
      </c>
      <c r="J998" t="inlineStr"/>
      <c r="K998" t="inlineStr"/>
      <c r="L998" t="inlineStr"/>
      <c r="M998" t="inlineStr"/>
      <c r="N998" t="inlineStr"/>
      <c r="O998" t="n">
        <v>0</v>
      </c>
      <c r="P998">
        <f>IF(B1015=0,0,O998/B1015)</f>
        <v/>
      </c>
      <c r="Q998">
        <f>IFERROR(1/IF(Inputs!$B$40="pvp",15,MAX(0.1,Skills!D21-IF(Skills!E21=TRUE,Inputs!$B$34,0))),0)</f>
        <v/>
      </c>
      <c r="R998" t="n">
        <v>0</v>
      </c>
    </row>
    <row r="999">
      <c r="A999">
        <f>Skills!A22</f>
        <v/>
      </c>
      <c r="B999">
        <f>Skills!B22</f>
        <v/>
      </c>
      <c r="C999">
        <f>Inputs!$B$3&gt;=50</f>
        <v/>
      </c>
      <c r="D999">
        <f>IF(Skills!C22=1,60+Inputs!$B$27+Inputs!$B$31,IF(Skills!C22=2,90+Inputs!$B$28+Inputs!$B$31,IF(Skills!C22=3,120+Inputs!$B$29+Inputs!$B$31,MAX(0,(Inputs!$B$3-100)*3)+Inputs!$B$30+Inputs!$B$31)))</f>
        <v/>
      </c>
      <c r="E999">
        <f>INDEX(FactorTable!$B$2:$Y$301, MATCH(ROUND(MIN(300,MAX(1,D999)),0), FactorTable!$A$2:$A$301,0), Skills!L22+1)</f>
        <v/>
      </c>
      <c r="F999">
        <f>IF(Skills!M22=TRUE,(Skills!K22/10)*(E999/1000),Skills!K22/10)+Skills!N22</f>
        <v/>
      </c>
      <c r="G999">
        <f>Calc!G22</f>
        <v/>
      </c>
      <c r="H999">
        <f>Calc!H22</f>
        <v/>
      </c>
      <c r="I999">
        <f>IF(Skills!T22&lt;&gt;"",1+(Skills!T22/10)*($Z$3/1000)/100,1)</f>
        <v/>
      </c>
      <c r="J999" t="inlineStr"/>
      <c r="K999" t="inlineStr"/>
      <c r="L999" t="inlineStr"/>
      <c r="M999" t="inlineStr"/>
      <c r="N999" t="inlineStr"/>
      <c r="O999" t="n">
        <v>0</v>
      </c>
      <c r="P999">
        <f>IF(B1015=0,0,O999/B1015)</f>
        <v/>
      </c>
      <c r="Q999">
        <f>IFERROR(1/IF(Inputs!$B$40="pvp",15,MAX(0.1,Skills!D22-IF(Skills!E22=TRUE,Inputs!$B$34,0))),0)</f>
        <v/>
      </c>
      <c r="R999" t="n">
        <v>0</v>
      </c>
    </row>
    <row r="1000">
      <c r="A1000">
        <f>Skills!A23</f>
        <v/>
      </c>
      <c r="B1000">
        <f>Skills!B23</f>
        <v/>
      </c>
      <c r="C1000">
        <f>Inputs!$B$3&gt;=74</f>
        <v/>
      </c>
      <c r="D1000">
        <f>IF(Skills!C23=1,60+Inputs!$B$27+Inputs!$B$31,IF(Skills!C23=2,90+Inputs!$B$28+Inputs!$B$31,IF(Skills!C23=3,120+Inputs!$B$29+Inputs!$B$31,MAX(0,(Inputs!$B$3-100)*3)+Inputs!$B$30+Inputs!$B$31)))</f>
        <v/>
      </c>
      <c r="E1000">
        <f>INDEX(FactorTable!$B$2:$Y$301, MATCH(ROUND(MIN(300,MAX(1,D1000)),0), FactorTable!$A$2:$A$301,0), Skills!L23+1)</f>
        <v/>
      </c>
      <c r="F1000">
        <f>IF(Skills!M23=TRUE,(Skills!K23/10)*(E1000/1000),Skills!K23/10)+Skills!N23</f>
        <v/>
      </c>
      <c r="G1000">
        <f>Calc!G23</f>
        <v/>
      </c>
      <c r="H1000">
        <f>Calc!H23</f>
        <v/>
      </c>
      <c r="I1000">
        <f>IF(Skills!T23&lt;&gt;"",1+(Skills!T23/10)*($Z$3/1000)/100,1)</f>
        <v/>
      </c>
      <c r="J1000" t="inlineStr"/>
      <c r="K1000" t="inlineStr"/>
      <c r="L1000" t="inlineStr"/>
      <c r="M1000" t="inlineStr"/>
      <c r="N1000" t="inlineStr"/>
      <c r="O1000" t="n">
        <v>0</v>
      </c>
      <c r="P1000">
        <f>IF(B1015=0,0,O1000/B1015)</f>
        <v/>
      </c>
      <c r="Q1000">
        <f>IFERROR(1/IF(Inputs!$B$40="pvp",15,MAX(0.1,Skills!D23-IF(Skills!E23=TRUE,Inputs!$B$34,0))),0)</f>
        <v/>
      </c>
      <c r="R1000" t="n">
        <v>0</v>
      </c>
    </row>
    <row r="1001">
      <c r="A1001">
        <f>Skills!A24</f>
        <v/>
      </c>
      <c r="B1001">
        <f>Skills!B24</f>
        <v/>
      </c>
      <c r="C1001">
        <f>Inputs!$B$3&gt;=74</f>
        <v/>
      </c>
      <c r="D1001">
        <f>IF(Skills!C24=1,60+Inputs!$B$27+Inputs!$B$31,IF(Skills!C24=2,90+Inputs!$B$28+Inputs!$B$31,IF(Skills!C24=3,120+Inputs!$B$29+Inputs!$B$31,MAX(0,(Inputs!$B$3-100)*3)+Inputs!$B$30+Inputs!$B$31)))</f>
        <v/>
      </c>
      <c r="E1001">
        <f>INDEX(FactorTable!$B$2:$Y$301, MATCH(ROUND(MIN(300,MAX(1,D1001)),0), FactorTable!$A$2:$A$301,0), Skills!L24+1)</f>
        <v/>
      </c>
      <c r="F1001">
        <f>IF(Skills!M24=TRUE,(Skills!K24/10)*(E1001/1000),Skills!K24/10)+Skills!N24</f>
        <v/>
      </c>
      <c r="G1001">
        <f>Calc!G24</f>
        <v/>
      </c>
      <c r="H1001">
        <f>Calc!H24</f>
        <v/>
      </c>
      <c r="I1001">
        <f>IF(Skills!T24&lt;&gt;"",1+(Skills!T24/10)*($Z$3/1000)/100,1)</f>
        <v/>
      </c>
      <c r="J1001" t="inlineStr"/>
      <c r="K1001" t="inlineStr"/>
      <c r="L1001" t="inlineStr"/>
      <c r="M1001" t="inlineStr"/>
      <c r="N1001" t="inlineStr"/>
      <c r="O1001" t="n">
        <v>0</v>
      </c>
      <c r="P1001">
        <f>IF(B1015=0,0,O1001/B1015)</f>
        <v/>
      </c>
      <c r="Q1001">
        <f>IFERROR(1/IF(Inputs!$B$40="pvp",15,MAX(0.1,Skills!D24-IF(Skills!E24=TRUE,Inputs!$B$34,0))),0)</f>
        <v/>
      </c>
      <c r="R1001" t="n">
        <v>0</v>
      </c>
    </row>
    <row r="1002">
      <c r="A1002">
        <f>Skills!A25</f>
        <v/>
      </c>
      <c r="B1002">
        <f>Skills!B25</f>
        <v/>
      </c>
      <c r="C1002">
        <f>Inputs!$B$3&gt;=117</f>
        <v/>
      </c>
      <c r="D1002">
        <f>IF(Skills!C25=1,60+Inputs!$B$27+Inputs!$B$31,IF(Skills!C25=2,90+Inputs!$B$28+Inputs!$B$31,IF(Skills!C25=3,120+Inputs!$B$29+Inputs!$B$31,MAX(0,(Inputs!$B$3-100)*3)+Inputs!$B$30+Inputs!$B$31)))</f>
        <v/>
      </c>
      <c r="E1002">
        <f>INDEX(FactorTable!$B$2:$Y$301, MATCH(ROUND(MIN(300,MAX(1,D1002)),0), FactorTable!$A$2:$A$301,0), Skills!L25+1)</f>
        <v/>
      </c>
      <c r="F1002">
        <f>IF(Skills!M25=TRUE,(Skills!K25/10)*(E1002/1000),Skills!K25/10)+Skills!N25</f>
        <v/>
      </c>
      <c r="G1002">
        <f>Calc!G25</f>
        <v/>
      </c>
      <c r="H1002">
        <f>Calc!H25</f>
        <v/>
      </c>
      <c r="I1002">
        <f>IF(Skills!T25&lt;&gt;"",1+(Skills!T25/10)*($Z$3/1000)/100,1)</f>
        <v/>
      </c>
      <c r="J1002" t="inlineStr"/>
      <c r="K1002" t="inlineStr"/>
      <c r="L1002" t="inlineStr"/>
      <c r="M1002" t="inlineStr"/>
      <c r="N1002" t="inlineStr"/>
      <c r="O1002" t="n">
        <v>0</v>
      </c>
      <c r="P1002">
        <f>IF(B1015=0,0,O1002/B1015)</f>
        <v/>
      </c>
      <c r="Q1002">
        <f>IFERROR(1/IF(Inputs!$B$40="pvp",15,MAX(0.1,Skills!D25-IF(Skills!E25=TRUE,Inputs!$B$34,0))),0)</f>
        <v/>
      </c>
      <c r="R1002" t="n">
        <v>0</v>
      </c>
    </row>
    <row r="1003">
      <c r="A1003">
        <f>Skills!A26</f>
        <v/>
      </c>
      <c r="B1003">
        <f>Skills!B26</f>
        <v/>
      </c>
      <c r="C1003">
        <f>Inputs!$B$3&gt;=120</f>
        <v/>
      </c>
      <c r="D1003">
        <f>IF(Skills!C26=1,60+Inputs!$B$27+Inputs!$B$31,IF(Skills!C26=2,90+Inputs!$B$28+Inputs!$B$31,IF(Skills!C26=3,120+Inputs!$B$29+Inputs!$B$31,MAX(0,(Inputs!$B$3-100)*3)+Inputs!$B$30+Inputs!$B$31)))</f>
        <v/>
      </c>
      <c r="E1003">
        <f>INDEX(FactorTable!$B$2:$Y$301, MATCH(ROUND(MIN(300,MAX(1,D1003)),0), FactorTable!$A$2:$A$301,0), Skills!L26+1)</f>
        <v/>
      </c>
      <c r="F1003">
        <f>IF(Skills!M26=TRUE,(Skills!K26/10)*(E1003/1000),Skills!K26/10)+Skills!N26</f>
        <v/>
      </c>
      <c r="G1003">
        <f>Calc!G26</f>
        <v/>
      </c>
      <c r="H1003">
        <f>Calc!H26</f>
        <v/>
      </c>
      <c r="I1003">
        <f>IF(Skills!T26&lt;&gt;"",1+(Skills!T26/10)*($Z$3/1000)/100,1)</f>
        <v/>
      </c>
      <c r="J1003" t="inlineStr"/>
      <c r="K1003" t="inlineStr"/>
      <c r="L1003" t="inlineStr"/>
      <c r="M1003" t="inlineStr"/>
      <c r="N1003" t="inlineStr"/>
      <c r="O1003" t="n">
        <v>0</v>
      </c>
      <c r="P1003">
        <f>IF(B1015=0,0,O1003/B1015)</f>
        <v/>
      </c>
      <c r="Q1003">
        <f>IFERROR(1/IF(Inputs!$B$40="pvp",15,MAX(0.1,Skills!D26-IF(Skills!E26=TRUE,Inputs!$B$34,0))),0)</f>
        <v/>
      </c>
      <c r="R1003" t="n">
        <v>0</v>
      </c>
    </row>
    <row r="1005">
      <c r="A1005" t="inlineStr">
        <is>
          <t>Average Buff Multiplier</t>
        </is>
      </c>
      <c r="B1005">
        <f>(1+(IF(C980=TRUE,F980*IF(AND(Inputs!$B$40&lt;&gt;"pvp",Inputs!$B$43&gt;0),(((R980-1)*(Skills!S3*(1+(Inputs!$B$36+IF(Inputs!$B$3&gt;=117,F1002,0))/100))+MIN((Skills!S3*(1+(Inputs!$B$36+IF(Inputs!$B$3&gt;=117,F1002,0))/100)),MAX(0,Inputs!$B$43-((R980-1)*Skills!D3))))/Inputs!$B$43),IF(Inputs!$B$40="pvp",MIN((Skills!S3*(1+(Inputs!$B$36+IF(Inputs!$B$3&gt;=117,F1002,0))/100)),15)/15,(Skills!S3*(1+(Inputs!$B$36+IF(Inputs!$B$3&gt;=117,F1002,0))/100))/Skills!D3)),0)+IF(C981=TRUE,F981*IF(AND(Inputs!$B$40&lt;&gt;"pvp",Inputs!$B$43&gt;0),(((R981-1)*(Skills!S4*(1+(Inputs!$B$36+IF(Inputs!$B$3&gt;=117,F1002,0))/100))+MIN((Skills!S4*(1+(Inputs!$B$36+IF(Inputs!$B$3&gt;=117,F1002,0))/100)),MAX(0,Inputs!$B$43-((R981-1)*Skills!D4))))/Inputs!$B$43),IF(Inputs!$B$40="pvp",MIN((Skills!S4*(1+(Inputs!$B$36+IF(Inputs!$B$3&gt;=117,F1002,0))/100)),15)/15,(Skills!S4*(1+(Inputs!$B$36+IF(Inputs!$B$3&gt;=117,F1002,0))/100))/Skills!D4)),0)+IF(C982=TRUE,F982*IF(AND(Inputs!$B$40&lt;&gt;"pvp",Inputs!$B$43&gt;0),(((R982-1)*(Skills!S5*(1+(Inputs!$B$36+IF(Inputs!$B$3&gt;=117,F1002,0))/100))+MIN((Skills!S5*(1+(Inputs!$B$36+IF(Inputs!$B$3&gt;=117,F1002,0))/100)),MAX(0,Inputs!$B$43-((R982-1)*Skills!D5))))/Inputs!$B$43),IF(Inputs!$B$40="pvp",MIN((Skills!S5*(1+(Inputs!$B$36+IF(Inputs!$B$3&gt;=117,F1002,0))/100)),15)/15,(Skills!S5*(1+(Inputs!$B$36+IF(Inputs!$B$3&gt;=117,F1002,0))/100))/Skills!D5)),0)+IF(C988=TRUE,F988*IF(AND(Inputs!$B$40&lt;&gt;"pvp",Inputs!$B$43&gt;0),(((R988-1)*(Skills!S11*(1+(Inputs!$B$36+IF(Inputs!$B$3&gt;=117,F1002,0))/100))+MIN((Skills!S11*(1+(Inputs!$B$36+IF(Inputs!$B$3&gt;=117,F1002,0))/100)),MAX(0,Inputs!$B$43-((R988-1)*Skills!D11))))/Inputs!$B$43),IF(Inputs!$B$40="pvp",MIN((Skills!S11*(1+(Inputs!$B$36+IF(Inputs!$B$3&gt;=117,F1002,0))/100)),15)/15,(Skills!S11*(1+(Inputs!$B$36+IF(Inputs!$B$3&gt;=117,F1002,0))/100))/Skills!D11)),0))/100)*IF(C990=TRUE,(1+F990*IF(AND(Inputs!$B$40&lt;&gt;"pvp",Inputs!$B$43&gt;0),(((R990-1)*(Skills!S13*(1+(Inputs!$B$36+IF(Inputs!$B$3&gt;=117,F1002,0))/100))+MIN((Skills!S13*(1+(Inputs!$B$36+IF(Inputs!$B$3&gt;=117,F1002,0))/100)),MAX(0,Inputs!$B$43-((R990-1)*Skills!D13))))/Inputs!$B$43),IF(Inputs!$B$40="pvp",MIN((Skills!S13*(1+(Inputs!$B$36+IF(Inputs!$B$3&gt;=117,F1002,0))/100)),15)/15,(Skills!S13*(1+(Inputs!$B$36+IF(Inputs!$B$3&gt;=117,F1002,0))/100))/Skills!D13))/100),1)*IF(C995=TRUE,(1+F995*IF(AND(Inputs!$B$40&lt;&gt;"pvp",Inputs!$B$43&gt;0),(((R995-1)*(Skills!S18*(1+(Inputs!$B$36+IF(Inputs!$B$3&gt;=117,F1002,0))/100))+MIN((Skills!S18*(1+(Inputs!$B$36+IF(Inputs!$B$3&gt;=117,F1002,0))/100)),MAX(0,Inputs!$B$43-((R995-1)*Skills!D18))))/Inputs!$B$43),IF(Inputs!$B$40="pvp",MIN((Skills!S18*(1+(Inputs!$B$36+IF(Inputs!$B$3&gt;=117,F1002,0))/100)),15)/15,(Skills!S18*(1+(Inputs!$B$36+IF(Inputs!$B$3&gt;=117,F1002,0))/100))/Skills!D18))/100),1)</f>
        <v/>
      </c>
    </row>
    <row r="1006">
      <c r="A1006" t="inlineStr">
        <is>
          <t>Monster Damage Taken Bonus % (Holy Fountain)</t>
        </is>
      </c>
      <c r="B1006">
        <f>IF(Inputs!$B$3&gt;=68,20*IF(Inputs!$B$40="pvp",MIN((15*(1+(Inputs!$B$36+IF(Inputs!$B$3&gt;=117,F1002,0))/100)),15)/15,(15*(1+(Inputs!$B$36+IF(Inputs!$B$3&gt;=117,F1002,0))/100))/Skills!D10),0)</f>
        <v/>
      </c>
    </row>
    <row r="1007">
      <c r="A1007" t="inlineStr">
        <is>
          <t>Normal Monster Damage Bonus % (Holy Symbol)</t>
        </is>
      </c>
      <c r="B1007">
        <f>IF(C989=TRUE,F989*IF(AND(Inputs!$B$40&lt;&gt;"pvp",Inputs!$B$43&gt;0),(((R989-1)*(Skills!S12*(1+(Inputs!$B$36+IF(Inputs!$B$3&gt;=117,F1002,0))/100))+MIN((Skills!S12*(1+(Inputs!$B$36+IF(Inputs!$B$3&gt;=117,F1002,0))/100)),MAX(0,Inputs!$B$43-((R989-1)*Skills!D12))))/Inputs!$B$43),IF(Inputs!$B$40="pvp",MIN((Skills!S12*(1+(Inputs!$B$36+IF(Inputs!$B$3&gt;=117,F1002,0))/100)),15)/15,(Skills!S12*(1+(Inputs!$B$36+IF(Inputs!$B$3&gt;=117,F1002,0))/100))/Skills!D12)),0)</f>
        <v/>
      </c>
    </row>
    <row r="1008">
      <c r="A1008" t="inlineStr">
        <is>
          <t>Damage % Bonus (Holy Symbol - Damage Boost)</t>
        </is>
      </c>
      <c r="B1008">
        <f>Skills!O12</f>
        <v/>
      </c>
    </row>
    <row r="1009">
      <c r="A1009" t="inlineStr">
        <is>
          <t>Crit Damage % Bonus (Blood of the Divine)</t>
        </is>
      </c>
      <c r="B1009">
        <f>4*IF(C996=TRUE,F996,0)</f>
        <v/>
      </c>
    </row>
    <row r="1010">
      <c r="A1010" t="inlineStr">
        <is>
          <t>Attack Speed Bonus %</t>
        </is>
      </c>
      <c r="B1010">
        <f>IF(C993=TRUE,F993+(F997-Calc!F20),0)+IF(Inputs!$B$3&gt;=134,15,0)</f>
        <v/>
      </c>
    </row>
    <row r="1011">
      <c r="A1011" t="inlineStr">
        <is>
          <t>Actions Per Second</t>
        </is>
      </c>
      <c r="B1011">
        <f>1+MIN(150,150*(1-(1-Inputs!$B$13/150)*(1-B1010/150)))/100</f>
        <v/>
      </c>
    </row>
    <row r="1012">
      <c r="A1012" t="inlineStr">
        <is>
          <t>Skill + Buff Cast Rate</t>
        </is>
      </c>
      <c r="B1012">
        <f>IF(AND(Inputs!$B$40&lt;&gt;"pvp",Inputs!$B$43&gt;0),SUMPRODUCT((Skills!E2:E26=TRUE)*(C979:C1003=TRUE)*R979:R1003)/Inputs!$B$43,SUMPRODUCT((Skills!E2:E26=TRUE)*(C979:C1003=TRUE)*Q979:Q1003))</f>
        <v/>
      </c>
    </row>
    <row r="1013">
      <c r="A1013" t="inlineStr">
        <is>
          <t>Big Bang Casts Per Second</t>
        </is>
      </c>
      <c r="B1013">
        <f>MAX(0,B1011-B1012)</f>
        <v/>
      </c>
    </row>
    <row r="1015">
      <c r="A1015" s="5" t="inlineStr">
        <is>
          <t>TOTAL DPS</t>
        </is>
      </c>
      <c r="B1015" s="5">
        <f>SUM(O979:O1003)</f>
        <v/>
      </c>
    </row>
    <row r="1018">
      <c r="A1018" s="5" t="inlineStr">
        <is>
          <t>Stat: Skill Cooldown Decrease (seconds)</t>
        </is>
      </c>
    </row>
    <row r="1019">
      <c r="A1019" s="9" t="inlineStr">
        <is>
          <t>Key</t>
        </is>
      </c>
      <c r="B1019" s="9" t="inlineStr">
        <is>
          <t>Name</t>
        </is>
      </c>
      <c r="C1019" s="9" t="inlineStr">
        <is>
          <t>Unlocked</t>
        </is>
      </c>
      <c r="D1019" s="9" t="inlineStr">
        <is>
          <t>InputLevel</t>
        </is>
      </c>
      <c r="E1019" s="9" t="inlineStr">
        <is>
          <t>Factor</t>
        </is>
      </c>
      <c r="F1019" s="9" t="inlineStr">
        <is>
          <t>CoefficientPercent</t>
        </is>
      </c>
      <c r="G1019" s="9" t="inlineStr">
        <is>
          <t>EffectiveHits</t>
        </is>
      </c>
      <c r="H1019" s="9" t="inlineStr">
        <is>
          <t>ProcProbability</t>
        </is>
      </c>
      <c r="I1019" s="9" t="inlineStr">
        <is>
          <t>MapleHeroMultiplier</t>
        </is>
      </c>
      <c r="J1019" s="9" t="inlineStr">
        <is>
          <t>BaseDamage</t>
        </is>
      </c>
      <c r="K1019" s="9" t="inlineStr">
        <is>
          <t>BaseHitDamage</t>
        </is>
      </c>
      <c r="L1019" s="9" t="inlineStr">
        <is>
          <t>NonCritAvg</t>
        </is>
      </c>
      <c r="M1019" s="9" t="inlineStr">
        <is>
          <t>CritAvg</t>
        </is>
      </c>
      <c r="N1019" s="9" t="inlineStr">
        <is>
          <t>ExpectedDamage(perHit)</t>
        </is>
      </c>
      <c r="O1019" s="9" t="inlineStr">
        <is>
          <t>DPS</t>
        </is>
      </c>
      <c r="P1019" s="9" t="inlineStr">
        <is>
          <t>% of Total</t>
        </is>
      </c>
      <c r="R1019" t="inlineStr">
        <is>
          <t>helpers</t>
        </is>
      </c>
    </row>
    <row r="1020">
      <c r="A1020">
        <f>Skills!A2</f>
        <v/>
      </c>
      <c r="B1020">
        <f>Skills!B2</f>
        <v/>
      </c>
      <c r="C1020">
        <f>Inputs!$B$3&gt;=100</f>
        <v/>
      </c>
      <c r="D1020" t="inlineStr"/>
      <c r="E1020" t="inlineStr"/>
      <c r="F1020">
        <f>T1022+Skills!N2</f>
        <v/>
      </c>
      <c r="G1020">
        <f>Calc!G2</f>
        <v/>
      </c>
      <c r="H1020">
        <f>Calc!H2</f>
        <v/>
      </c>
      <c r="I1020">
        <f>IF(Skills!T2&lt;&gt;"",1+(Skills!T2/10)*($Z$3/1000)/100,1)</f>
        <v/>
      </c>
      <c r="J1020">
        <f>(Inputs!$B$7*(1+Inputs!$B$8/100))*(F1020/100)</f>
        <v/>
      </c>
      <c r="K1020">
        <f>J1020*(1+(((Inputs!$B$14+IF(Inputs!$B$3&gt;=35,0.10*(Inputs!$B$9*(1+Inputs!$B$10/100)),0))*(1+Inputs!$B$15/100))*0.01+Inputs!$B$16*0.0025)/100)*(1+(Inputs!$B$17+B1049)/100)*(1+IF(Inputs!$B$40="pvp",0,(1-Summary!$B$48)*(Inputs!$B$22+Skills!O2+B1047)+Summary!$B$48*(Inputs!$B$23+Skills!P2+B1048))/100)*(1+Inputs!$B$18/100)*(5000/(6000+Inputs!$B$42*(1-Inputs!$B$21/100)))*(1+Inputs!$B$26/100)*(1+IF(C1035=TRUE,F1035,0)/100)*(1+IF(C1037=TRUE,F1037,0)/100)*(1+IF(Skills!A2="TRIUMPH_FEATHER",IF(C1033=TRUE,F1033,0),0)/100)*(1+IF(C1044=TRUE,F1044,0)/100)^5*(1+(IF(Skills!A2="BIG_BANG",Inputs!$B$19,Inputs!$B$20))/100)*(B1046*I1020)</f>
        <v/>
      </c>
      <c r="L1020">
        <f>K1020*(MIN(Inputs!$B$24+(F1039-Calc!F21),Inputs!$B$25)/100+Inputs!$B$25/100)/2</f>
        <v/>
      </c>
      <c r="M1020">
        <f>L1020*(1+(Inputs!$B$12+B1050+(F1042-Calc!F24))/100)</f>
        <v/>
      </c>
      <c r="N1020">
        <f>L1020*(1-MIN(Inputs!$B$11+((F1041-Calc!F23)+(F1040-Calc!F22)),100)/100)+M1020*(MIN(Inputs!$B$11+((F1041-Calc!F23)+(F1040-Calc!F22)),100)/100)</f>
        <v/>
      </c>
      <c r="O1020">
        <f>IF(C1020,Skills!F2*N1020*B1054*IF(Inputs!$B$40="pvp",1,(1-Summary!$B$48)*(1)+Summary!$B$48*(MIN((6+Inputs!$B$35),Inputs!$B$39))),0)</f>
        <v/>
      </c>
      <c r="P1020">
        <f>IF(B1056=0,0,O1020/B1056)</f>
        <v/>
      </c>
      <c r="Q1020">
        <f>IFERROR(1/IF(Inputs!$B$40="pvp",15,MAX(0.1,Skills!D2-IF(Skills!E2=TRUE,(Inputs!$B$34+1),0))),0)</f>
        <v/>
      </c>
      <c r="R1020" t="n">
        <v>0</v>
      </c>
      <c r="T1020">
        <f>MAX(0,(Inputs!$B$3-100)*3)+Inputs!$B$30+Inputs!$B$31</f>
        <v/>
      </c>
    </row>
    <row r="1021">
      <c r="A1021">
        <f>Skills!A3</f>
        <v/>
      </c>
      <c r="B1021">
        <f>Skills!B3</f>
        <v/>
      </c>
      <c r="C1021">
        <f>Inputs!$B$3&gt;=15</f>
        <v/>
      </c>
      <c r="D1021">
        <f>IF(Skills!C3=1,60+Inputs!$B$27+Inputs!$B$31,IF(Skills!C3=2,90+Inputs!$B$28+Inputs!$B$31,IF(Skills!C3=3,120+Inputs!$B$29+Inputs!$B$31,MAX(0,(Inputs!$B$3-100)*3)+Inputs!$B$30+Inputs!$B$31)))</f>
        <v/>
      </c>
      <c r="E1021">
        <f>INDEX(FactorTable!$B$2:$Y$301, MATCH(ROUND(MIN(300,MAX(1,D1021)),0), FactorTable!$A$2:$A$301,0), Skills!L3+1)</f>
        <v/>
      </c>
      <c r="F1021">
        <f>IF(Skills!M3=TRUE,(Skills!K3/10)*(E1021/1000),Skills!K3/10)+Skills!N3</f>
        <v/>
      </c>
      <c r="G1021">
        <f>Calc!G3</f>
        <v/>
      </c>
      <c r="H1021">
        <f>Calc!H3</f>
        <v/>
      </c>
      <c r="I1021">
        <f>IF(Skills!T3&lt;&gt;"",1+(Skills!T3/10)*($Z$3/1000)/100,1)</f>
        <v/>
      </c>
      <c r="J1021" t="inlineStr"/>
      <c r="K1021" t="inlineStr"/>
      <c r="L1021" t="inlineStr"/>
      <c r="M1021" t="inlineStr"/>
      <c r="N1021" t="inlineStr"/>
      <c r="O1021" t="n">
        <v>0</v>
      </c>
      <c r="P1021">
        <f>IF(B1056=0,0,O1021/B1056)</f>
        <v/>
      </c>
      <c r="Q1021">
        <f>IFERROR(1/IF(Inputs!$B$40="pvp",15,MAX(0.1,Skills!D3-IF(Skills!E3=TRUE,(Inputs!$B$34+1),0))),0)</f>
        <v/>
      </c>
      <c r="R1021">
        <f>IF(AND(Inputs!$B$40&lt;&gt;"pvp",Inputs!$B$43&gt;0),(INT(Inputs!$B$43/IF(Inputs!$B$40="pvp",15,MAX(0.1,Skills!D3-IF(Skills!E3=TRUE,(Inputs!$B$34+1),0))))+1),0)</f>
        <v/>
      </c>
      <c r="T1021">
        <f>INDEX(FactorTable!$B$2:$Y$301, MATCH(ROUND(MIN(300,MAX(1,T1020)),0), FactorTable!$A$2:$A$301,0), 22)</f>
        <v/>
      </c>
    </row>
    <row r="1022">
      <c r="A1022">
        <f>Skills!A4</f>
        <v/>
      </c>
      <c r="B1022">
        <f>Skills!B4</f>
        <v/>
      </c>
      <c r="C1022">
        <f>Inputs!$B$3&gt;=38</f>
        <v/>
      </c>
      <c r="D1022">
        <f>IF(Skills!C4=1,60+Inputs!$B$27+Inputs!$B$31,IF(Skills!C4=2,90+Inputs!$B$28+Inputs!$B$31,IF(Skills!C4=3,120+Inputs!$B$29+Inputs!$B$31,MAX(0,(Inputs!$B$3-100)*3)+Inputs!$B$30+Inputs!$B$31)))</f>
        <v/>
      </c>
      <c r="E1022">
        <f>INDEX(FactorTable!$B$2:$Y$301, MATCH(ROUND(MIN(300,MAX(1,D1022)),0), FactorTable!$A$2:$A$301,0), Skills!L4+1)</f>
        <v/>
      </c>
      <c r="F1022">
        <f>IF(Skills!M4=TRUE,(Skills!K4/10)*(E1022/1000),Skills!K4/10)+Skills!N4</f>
        <v/>
      </c>
      <c r="G1022">
        <f>Calc!G4</f>
        <v/>
      </c>
      <c r="H1022">
        <f>Calc!H4</f>
        <v/>
      </c>
      <c r="I1022">
        <f>IF(Skills!T4&lt;&gt;"",1+(Skills!T4/10)*($Z$3/1000)/100,1)</f>
        <v/>
      </c>
      <c r="J1022" t="inlineStr"/>
      <c r="K1022" t="inlineStr"/>
      <c r="L1022" t="inlineStr"/>
      <c r="M1022" t="inlineStr"/>
      <c r="N1022" t="inlineStr"/>
      <c r="O1022" t="n">
        <v>0</v>
      </c>
      <c r="P1022">
        <f>IF(B1056=0,0,O1022/B1056)</f>
        <v/>
      </c>
      <c r="Q1022">
        <f>IFERROR(1/IF(Inputs!$B$40="pvp",15,MAX(0.1,Skills!D4-IF(Skills!E4=TRUE,(Inputs!$B$34+1),0))),0)</f>
        <v/>
      </c>
      <c r="R1022">
        <f>IF(AND(Inputs!$B$40&lt;&gt;"pvp",Inputs!$B$43&gt;0),(INT(Inputs!$B$43/IF(Inputs!$B$40="pvp",15,MAX(0.1,Skills!D4-IF(Skills!E4=TRUE,(Inputs!$B$34+1),0))))+1),0)</f>
        <v/>
      </c>
      <c r="T1022">
        <f>290*T1021/1000</f>
        <v/>
      </c>
    </row>
    <row r="1023">
      <c r="A1023">
        <f>Skills!A5</f>
        <v/>
      </c>
      <c r="B1023">
        <f>Skills!B5</f>
        <v/>
      </c>
      <c r="C1023">
        <f>Inputs!$B$3&gt;=40</f>
        <v/>
      </c>
      <c r="D1023">
        <f>IF(Skills!C5=1,60+Inputs!$B$27+Inputs!$B$31,IF(Skills!C5=2,90+Inputs!$B$28+Inputs!$B$31,IF(Skills!C5=3,120+Inputs!$B$29+Inputs!$B$31,MAX(0,(Inputs!$B$3-100)*3)+Inputs!$B$30+Inputs!$B$31)))</f>
        <v/>
      </c>
      <c r="E1023">
        <f>INDEX(FactorTable!$B$2:$Y$301, MATCH(ROUND(MIN(300,MAX(1,D1023)),0), FactorTable!$A$2:$A$301,0), Skills!L5+1)</f>
        <v/>
      </c>
      <c r="F1023">
        <f>IF(Skills!M5=TRUE,(Skills!K5/10)*(E1023/1000),Skills!K5/10)+Skills!N5</f>
        <v/>
      </c>
      <c r="G1023">
        <f>Calc!G5</f>
        <v/>
      </c>
      <c r="H1023">
        <f>Calc!H5</f>
        <v/>
      </c>
      <c r="I1023">
        <f>IF(Skills!T5&lt;&gt;"",1+(Skills!T5/10)*($Z$3/1000)/100,1)</f>
        <v/>
      </c>
      <c r="J1023" t="inlineStr"/>
      <c r="K1023" t="inlineStr"/>
      <c r="L1023" t="inlineStr"/>
      <c r="M1023" t="inlineStr"/>
      <c r="N1023" t="inlineStr"/>
      <c r="O1023" t="n">
        <v>0</v>
      </c>
      <c r="P1023">
        <f>IF(B1056=0,0,O1023/B1056)</f>
        <v/>
      </c>
      <c r="Q1023">
        <f>IFERROR(1/IF(Inputs!$B$40="pvp",15,MAX(0.1,Skills!D5-IF(Skills!E5=TRUE,(Inputs!$B$34+1),0))),0)</f>
        <v/>
      </c>
      <c r="R1023">
        <f>IF(AND(Inputs!$B$40&lt;&gt;"pvp",Inputs!$B$43&gt;0),(INT(Inputs!$B$43/IF(Inputs!$B$40="pvp",15,MAX(0.1,Skills!D5-IF(Skills!E5=TRUE,(Inputs!$B$34+1),0))))+1),0)</f>
        <v/>
      </c>
    </row>
    <row r="1024">
      <c r="A1024">
        <f>Skills!A6</f>
        <v/>
      </c>
      <c r="B1024">
        <f>Skills!B6</f>
        <v/>
      </c>
      <c r="C1024">
        <f>Inputs!$B$3&gt;=103</f>
        <v/>
      </c>
      <c r="D1024">
        <f>IF(Skills!C6=1,60+Inputs!$B$27+Inputs!$B$31,IF(Skills!C6=2,90+Inputs!$B$28+Inputs!$B$31,IF(Skills!C6=3,120+Inputs!$B$29+Inputs!$B$31,MAX(0,(Inputs!$B$3-100)*3)+Inputs!$B$30+Inputs!$B$31)))</f>
        <v/>
      </c>
      <c r="E1024">
        <f>INDEX(FactorTable!$B$2:$Y$301, MATCH(ROUND(MIN(300,MAX(1,D1024)),0), FactorTable!$A$2:$A$301,0), Skills!L6+1)</f>
        <v/>
      </c>
      <c r="F1024">
        <f>IF(Skills!M6=TRUE,(Skills!K6/10)*(E1024/1000),Skills!K6/10)+Skills!N6</f>
        <v/>
      </c>
      <c r="G1024">
        <f>Calc!G6</f>
        <v/>
      </c>
      <c r="H1024">
        <f>Calc!H6</f>
        <v/>
      </c>
      <c r="I1024">
        <f>IF(Skills!T6&lt;&gt;"",1+(Skills!T6/10)*($Z$3/1000)/100,1)</f>
        <v/>
      </c>
      <c r="J1024">
        <f>(Inputs!$B$7*(1+Inputs!$B$8/100))*(F1024/100)</f>
        <v/>
      </c>
      <c r="K1024">
        <f>J1024*(1+(((Inputs!$B$14+IF(Inputs!$B$3&gt;=35,0.10*(Inputs!$B$9*(1+Inputs!$B$10/100)),0))*(1+Inputs!$B$15/100))*0.01+Inputs!$B$16*0.0025)/100)*(1+(Inputs!$B$17+B1049)/100)*(1+IF(Inputs!$B$40="pvp",0,(1-Summary!$B$48)*(Inputs!$B$22+Skills!O6+B1047)+Summary!$B$48*(Inputs!$B$23+Skills!P6+B1048))/100)*(1+Inputs!$B$18/100)*(5000/(6000+Inputs!$B$42*(1-Inputs!$B$21/100)))*(1+Inputs!$B$26/100)*(1+IF(C1035=TRUE,F1035,0)/100)*(1+IF(C1037=TRUE,F1037,0)/100)*(1+IF(Skills!A6="TRIUMPH_FEATHER",IF(C1033=TRUE,F1033,0),0)/100)*(1+IF(C1044=TRUE,F1044,0)/100)^5*(1+(IF(Skills!A6="BIG_BANG",Inputs!$B$19,Inputs!$B$20))/100)*(B1046*I1024)</f>
        <v/>
      </c>
      <c r="L1024">
        <f>K1024*(MIN(Inputs!$B$24+(F1039-Calc!F21),Inputs!$B$25)/100+Inputs!$B$25/100)/2</f>
        <v/>
      </c>
      <c r="M1024">
        <f>L1024*(1+(Inputs!$B$12+B1050+(F1042-Calc!F24))/100)</f>
        <v/>
      </c>
      <c r="N1024">
        <f>L1024*(1-MIN(Inputs!$B$11+((F1041-Calc!F23)+(F1040-Calc!F22)),100)/100)+M1024*(MIN(Inputs!$B$11+((F1041-Calc!F23)+(F1040-Calc!F22)),100)/100)</f>
        <v/>
      </c>
      <c r="O1024">
        <f>IF(C1024,H1024*N1024*IF(AND(Inputs!$B$40&lt;&gt;"pvp",Inputs!$B$43&gt;0),((Skills!F6*((R1024-1)*IF(Skills!G6&gt;0,Skills!H6/Skills!G6,1)+IF(Skills!G6&gt;0,MIN(Skills!H6,MAX(0,Inputs!$B$43-((R1024-1)*IF(Inputs!$B$40="pvp",15,MAX(0.1,Skills!D6-IF(Skills!E6=TRUE,(Inputs!$B$34+1),0))))))/Skills!G6,1)))/Inputs!$B$43),G1024*Q1024)*IF(Inputs!$B$40="pvp",1,(1-Summary!$B$48)*(1)+Summary!$B$48*(MIN(Skills!Q6,Inputs!$B$39))),0)</f>
        <v/>
      </c>
      <c r="P1024">
        <f>IF(B1056=0,0,O1024/B1056)</f>
        <v/>
      </c>
      <c r="Q1024">
        <f>IFERROR(1/IF(Inputs!$B$40="pvp",15,MAX(0.1,Skills!D6-IF(Skills!E6=TRUE,(Inputs!$B$34+1),0))),0)</f>
        <v/>
      </c>
      <c r="R1024">
        <f>IF(AND(Inputs!$B$40&lt;&gt;"pvp",Inputs!$B$43&gt;0),(INT(Inputs!$B$43/IF(Inputs!$B$40="pvp",15,MAX(0.1,Skills!D6-IF(Skills!E6=TRUE,(Inputs!$B$34+1),0))))+1),0)</f>
        <v/>
      </c>
    </row>
    <row r="1025">
      <c r="A1025">
        <f>Skills!A7</f>
        <v/>
      </c>
      <c r="B1025">
        <f>Skills!B7</f>
        <v/>
      </c>
      <c r="C1025">
        <f>Inputs!$B$3&gt;=122</f>
        <v/>
      </c>
      <c r="D1025">
        <f>IF(Skills!C7=1,60+Inputs!$B$27+Inputs!$B$31,IF(Skills!C7=2,90+Inputs!$B$28+Inputs!$B$31,IF(Skills!C7=3,120+Inputs!$B$29+Inputs!$B$31,MAX(0,(Inputs!$B$3-100)*3)+Inputs!$B$30+Inputs!$B$31)))</f>
        <v/>
      </c>
      <c r="E1025">
        <f>INDEX(FactorTable!$B$2:$Y$301, MATCH(ROUND(MIN(300,MAX(1,D1025)),0), FactorTable!$A$2:$A$301,0), Skills!L7+1)</f>
        <v/>
      </c>
      <c r="F1025">
        <f>IF(Skills!M7=TRUE,(Skills!K7/10)*(E1025/1000),Skills!K7/10)+Skills!N7</f>
        <v/>
      </c>
      <c r="G1025">
        <f>Calc!G7</f>
        <v/>
      </c>
      <c r="H1025">
        <f>Calc!H7</f>
        <v/>
      </c>
      <c r="I1025">
        <f>IF(Skills!T7&lt;&gt;"",1+(Skills!T7/10)*($Z$3/1000)/100,1)</f>
        <v/>
      </c>
      <c r="J1025">
        <f>(Inputs!$B$7*(1+Inputs!$B$8/100))*(F1025/100)</f>
        <v/>
      </c>
      <c r="K1025">
        <f>J1025*(1+(((Inputs!$B$14+IF(Inputs!$B$3&gt;=35,0.10*(Inputs!$B$9*(1+Inputs!$B$10/100)),0))*(1+Inputs!$B$15/100))*0.01+Inputs!$B$16*0.0025)/100)*(1+(Inputs!$B$17+B1049)/100)*(1+IF(Inputs!$B$40="pvp",0,(1-Summary!$B$48)*(Inputs!$B$22+Skills!O7+B1047)+Summary!$B$48*(Inputs!$B$23+Skills!P7+B1048))/100)*(1+Inputs!$B$18/100)*(5000/(6000+Inputs!$B$42*(1-Inputs!$B$21/100)))*(1+Inputs!$B$26/100)*(1+IF(C1035=TRUE,F1035,0)/100)*(1+IF(C1037=TRUE,F1037,0)/100)*(1+IF(Skills!A7="TRIUMPH_FEATHER",IF(C1033=TRUE,F1033,0),0)/100)*(1+IF(C1044=TRUE,F1044,0)/100)^5*(1+(IF(Skills!A7="BIG_BANG",Inputs!$B$19,Inputs!$B$20))/100)*(B1046*I1025)</f>
        <v/>
      </c>
      <c r="L1025">
        <f>K1025*(MIN(Inputs!$B$24+(F1039-Calc!F21),Inputs!$B$25)/100+Inputs!$B$25/100)/2</f>
        <v/>
      </c>
      <c r="M1025">
        <f>L1025*(1+(Inputs!$B$12+B1050+(F1042-Calc!F24))/100)</f>
        <v/>
      </c>
      <c r="N1025">
        <f>L1025*(1-MIN(Inputs!$B$11+((F1041-Calc!F23)+(F1040-Calc!F22)),100)/100)+M1025*(MIN(Inputs!$B$11+((F1041-Calc!F23)+(F1040-Calc!F22)),100)/100)</f>
        <v/>
      </c>
      <c r="O1025">
        <f>IF(C1025,H1025*N1025*IF(AND(Inputs!$B$40&lt;&gt;"pvp",Inputs!$B$43&gt;0),((Skills!F7*((R1025-1)*IF(Skills!G7&gt;0,Skills!H7/Skills!G7,1)+IF(Skills!G7&gt;0,MIN(Skills!H7,MAX(0,Inputs!$B$43-((R1025-1)*IF(Inputs!$B$40="pvp",15,MAX(0.1,Skills!D7-IF(Skills!E6=TRUE,(Inputs!$B$34+1),0))))))/Skills!G7,1)))/Inputs!$B$43),G1025*Q1025)*(1-Summary!$B$48),0)</f>
        <v/>
      </c>
      <c r="P1025">
        <f>IF(B1056=0,0,O1025/B1056)</f>
        <v/>
      </c>
      <c r="Q1025">
        <f>IFERROR(1/IF(Inputs!$B$40="pvp",15,MAX(0.1,Skills!D7-IF(Skills!E6=TRUE,(Inputs!$B$34+1),0))),0)</f>
        <v/>
      </c>
      <c r="R1025">
        <f>IF(AND(Inputs!$B$40&lt;&gt;"pvp",Inputs!$B$43&gt;0),(INT(Inputs!$B$43/IF(Inputs!$B$40="pvp",15,MAX(0.1,Skills!D7-IF(Skills!E6=TRUE,(Inputs!$B$34+1),0))))+1),0)</f>
        <v/>
      </c>
    </row>
    <row r="1026">
      <c r="A1026">
        <f>Skills!A8</f>
        <v/>
      </c>
      <c r="B1026">
        <f>Skills!B8</f>
        <v/>
      </c>
      <c r="C1026">
        <f>Inputs!$B$3&gt;=105</f>
        <v/>
      </c>
      <c r="D1026">
        <f>IF(Skills!C8=1,60+Inputs!$B$27+Inputs!$B$31,IF(Skills!C8=2,90+Inputs!$B$28+Inputs!$B$31,IF(Skills!C8=3,120+Inputs!$B$29+Inputs!$B$31,MAX(0,(Inputs!$B$3-100)*3)+Inputs!$B$30+Inputs!$B$31)))</f>
        <v/>
      </c>
      <c r="E1026">
        <f>INDEX(FactorTable!$B$2:$Y$301, MATCH(ROUND(MIN(300,MAX(1,D1026)),0), FactorTable!$A$2:$A$301,0), Skills!L8+1)</f>
        <v/>
      </c>
      <c r="F1026">
        <f>IF(Skills!M8=TRUE,(Skills!K8/10)*(E1026/1000),Skills!K8/10)+Skills!N8</f>
        <v/>
      </c>
      <c r="G1026">
        <f>Calc!G8</f>
        <v/>
      </c>
      <c r="H1026">
        <f>Calc!H8</f>
        <v/>
      </c>
      <c r="I1026">
        <f>IF(Skills!T8&lt;&gt;"",1+(Skills!T8/10)*($Z$3/1000)/100,1)</f>
        <v/>
      </c>
      <c r="J1026">
        <f>(Inputs!$B$7*(1+Inputs!$B$8/100))*(F1026/100)</f>
        <v/>
      </c>
      <c r="K1026">
        <f>J1026*(1+(((Inputs!$B$14+IF(Inputs!$B$3&gt;=35,0.10*(Inputs!$B$9*(1+Inputs!$B$10/100)),0))*(1+Inputs!$B$15/100))*0.01+Inputs!$B$16*0.0025)/100)*(1+(Inputs!$B$17+B1049)/100)*(1+IF(Inputs!$B$40="pvp",0,(1-Summary!$B$48)*(Inputs!$B$22+Skills!O8+B1047)+Summary!$B$48*(Inputs!$B$23+Skills!P8+B1048))/100)*(1+Inputs!$B$18/100)*(5000/(6000+Inputs!$B$42*(1-Inputs!$B$21/100)))*(1+Inputs!$B$26/100)*(1+IF(C1035=TRUE,F1035,0)/100)*(1+IF(C1037=TRUE,F1037,0)/100)*(1+IF(Skills!A8="TRIUMPH_FEATHER",IF(C1033=TRUE,F1033,0),0)/100)*(1+IF(C1044=TRUE,F1044,0)/100)^5*(1+(IF(Skills!A8="BIG_BANG",Inputs!$B$19,Inputs!$B$20))/100)*(B1046*I1026)</f>
        <v/>
      </c>
      <c r="L1026">
        <f>K1026*(MIN(Inputs!$B$24+(F1039-Calc!F21),Inputs!$B$25)/100+Inputs!$B$25/100)/2</f>
        <v/>
      </c>
      <c r="M1026">
        <f>L1026*(1+(Inputs!$B$12+B1050+(F1042-Calc!F24))/100)</f>
        <v/>
      </c>
      <c r="N1026">
        <f>L1026*(1-MIN(Inputs!$B$11+((F1041-Calc!F23)+(F1040-Calc!F22)),100)/100)+M1026*(MIN(Inputs!$B$11+((F1041-Calc!F23)+(F1040-Calc!F22)),100)/100)</f>
        <v/>
      </c>
      <c r="O1026">
        <f>IF(C1026,H1026*N1026*IF(AND(Inputs!$B$40&lt;&gt;"pvp",Inputs!$B$43&gt;0),((Skills!F8*((R1026-1)*IF(Skills!G8&gt;0,Skills!H8/Skills!G8,1)+IF(Skills!G8&gt;0,MIN(Skills!H8,MAX(0,Inputs!$B$43-((R1026-1)*IF(Inputs!$B$40="pvp",15,MAX(0.1,Skills!D8-IF(Skills!E8=TRUE,(Inputs!$B$34+1),0))))))/Skills!G8,1)))/Inputs!$B$43),G1026*Q1026)*IF(Inputs!$B$40="pvp",1,(1-Summary!$B$48)*(1)+Summary!$B$48*(MIN(Skills!Q8,Inputs!$B$39))),0)</f>
        <v/>
      </c>
      <c r="P1026">
        <f>IF(B1056=0,0,O1026/B1056)</f>
        <v/>
      </c>
      <c r="Q1026">
        <f>IFERROR(1/IF(Inputs!$B$40="pvp",15,MAX(0.1,Skills!D8-IF(Skills!E8=TRUE,(Inputs!$B$34+1),0))),0)</f>
        <v/>
      </c>
      <c r="R1026">
        <f>IF(AND(Inputs!$B$40&lt;&gt;"pvp",Inputs!$B$43&gt;0),(INT(Inputs!$B$43/IF(Inputs!$B$40="pvp",15,MAX(0.1,Skills!D8-IF(Skills!E8=TRUE,(Inputs!$B$34+1),0))))+1),0)</f>
        <v/>
      </c>
    </row>
    <row r="1027">
      <c r="A1027">
        <f>Skills!A9</f>
        <v/>
      </c>
      <c r="B1027">
        <f>Skills!B9</f>
        <v/>
      </c>
      <c r="C1027">
        <f>Inputs!$B$3&gt;=115</f>
        <v/>
      </c>
      <c r="D1027">
        <f>IF(Skills!C9=1,60+Inputs!$B$27+Inputs!$B$31,IF(Skills!C9=2,90+Inputs!$B$28+Inputs!$B$31,IF(Skills!C9=3,120+Inputs!$B$29+Inputs!$B$31,MAX(0,(Inputs!$B$3-100)*3)+Inputs!$B$30+Inputs!$B$31)))</f>
        <v/>
      </c>
      <c r="E1027">
        <f>INDEX(FactorTable!$B$2:$Y$301, MATCH(ROUND(MIN(300,MAX(1,D1027)),0), FactorTable!$A$2:$A$301,0), Skills!L9+1)</f>
        <v/>
      </c>
      <c r="F1027">
        <f>IF(Skills!M9=TRUE,(Skills!K9/10)*(E1027/1000),Skills!K9/10)+Skills!N9</f>
        <v/>
      </c>
      <c r="G1027">
        <f>Calc!G9</f>
        <v/>
      </c>
      <c r="H1027">
        <f>Calc!H9</f>
        <v/>
      </c>
      <c r="I1027">
        <f>IF(Skills!T9&lt;&gt;"",1+(Skills!T9/10)*($Z$3/1000)/100,1)</f>
        <v/>
      </c>
      <c r="J1027">
        <f>(Inputs!$B$7*(1+Inputs!$B$8/100))*(F1027/100)</f>
        <v/>
      </c>
      <c r="K1027">
        <f>J1027*(1+(((Inputs!$B$14+IF(Inputs!$B$3&gt;=35,0.10*(Inputs!$B$9*(1+Inputs!$B$10/100)),0))*(1+Inputs!$B$15/100))*0.01+Inputs!$B$16*0.0025)/100)*(1+(Inputs!$B$17+B1049)/100)*(1+IF(Inputs!$B$40="pvp",0,(1-Summary!$B$48)*(Inputs!$B$22+Skills!O9+B1047)+Summary!$B$48*(Inputs!$B$23+Skills!P9+B1048))/100)*(1+Inputs!$B$18/100)*(5000/(6000+Inputs!$B$42*(1-Inputs!$B$21/100)))*(1+Inputs!$B$26/100)*(1+IF(C1035=TRUE,F1035,0)/100)*(1+IF(C1037=TRUE,F1037,0)/100)*(1+IF(Skills!A9="TRIUMPH_FEATHER",IF(C1033=TRUE,F1033,0),0)/100)*(1+IF(C1044=TRUE,F1044,0)/100)^5*(1+(IF(Skills!A9="BIG_BANG",Inputs!$B$19,Inputs!$B$20))/100)*(B1046*I1027)</f>
        <v/>
      </c>
      <c r="L1027">
        <f>K1027*(MIN(Inputs!$B$24+(F1039-Calc!F21),Inputs!$B$25)/100+Inputs!$B$25/100)/2</f>
        <v/>
      </c>
      <c r="M1027">
        <f>L1027*(1+(Inputs!$B$12+B1050+(F1042-Calc!F24))/100)</f>
        <v/>
      </c>
      <c r="N1027">
        <f>L1027*(1-MIN(Inputs!$B$11+((F1041-Calc!F23)+(F1040-Calc!F22)),100)/100)+M1027*(MIN(Inputs!$B$11+((F1041-Calc!F23)+(F1040-Calc!F22)),100)/100)</f>
        <v/>
      </c>
      <c r="O1027">
        <f>IF(C1027,H1027*N1027*IF(AND(Inputs!$B$40&lt;&gt;"pvp",Inputs!$B$43&gt;0),((Skills!F9*((R1027-1)*IF(Skills!G9&gt;0,Skills!H9/Skills!G9,1)+IF(Skills!G9&gt;0,MIN(Skills!H9,MAX(0,Inputs!$B$43-((R1027-1)*IF(Inputs!$B$40="pvp",15,MAX(0.1,Skills!D9-IF(Skills!E9=TRUE,(Inputs!$B$34+1),0))))))/Skills!G9,1)))/Inputs!$B$43),G1027*Q1027)*IF(Inputs!$B$40="pvp",1,(1-Summary!$B$48)*(1)+Summary!$B$48*(MIN(Skills!Q9,Inputs!$B$39))),0)</f>
        <v/>
      </c>
      <c r="P1027">
        <f>IF(B1056=0,0,O1027/B1056)</f>
        <v/>
      </c>
      <c r="Q1027">
        <f>IFERROR(1/IF(Inputs!$B$40="pvp",15,MAX(0.1,Skills!D9-IF(Skills!E9=TRUE,(Inputs!$B$34+1),0))),0)</f>
        <v/>
      </c>
      <c r="R1027">
        <f>IF(AND(Inputs!$B$40&lt;&gt;"pvp",Inputs!$B$43&gt;0),(INT(Inputs!$B$43/IF(Inputs!$B$40="pvp",15,MAX(0.1,Skills!D9-IF(Skills!E9=TRUE,(Inputs!$B$34+1),0))))+1),0)</f>
        <v/>
      </c>
    </row>
    <row r="1028">
      <c r="A1028">
        <f>Skills!A10</f>
        <v/>
      </c>
      <c r="B1028">
        <f>Skills!B10</f>
        <v/>
      </c>
      <c r="C1028">
        <f>Inputs!$B$3&gt;=66</f>
        <v/>
      </c>
      <c r="D1028">
        <f>IF(Skills!C10=1,60+Inputs!$B$27+Inputs!$B$31,IF(Skills!C10=2,90+Inputs!$B$28+Inputs!$B$31,IF(Skills!C10=3,120+Inputs!$B$29+Inputs!$B$31,MAX(0,(Inputs!$B$3-100)*3)+Inputs!$B$30+Inputs!$B$31)))</f>
        <v/>
      </c>
      <c r="E1028">
        <f>INDEX(FactorTable!$B$2:$Y$301, MATCH(ROUND(MIN(300,MAX(1,D1028)),0), FactorTable!$A$2:$A$301,0), Skills!L10+1)</f>
        <v/>
      </c>
      <c r="F1028" t="n">
        <v>0</v>
      </c>
      <c r="G1028">
        <f>Calc!G10</f>
        <v/>
      </c>
      <c r="H1028">
        <f>Calc!H10</f>
        <v/>
      </c>
      <c r="I1028">
        <f>IF(Skills!T10&lt;&gt;"",1+(Skills!T10/10)*($Z$3/1000)/100,1)</f>
        <v/>
      </c>
      <c r="J1028" t="inlineStr"/>
      <c r="K1028" t="inlineStr"/>
      <c r="L1028" t="inlineStr"/>
      <c r="M1028" t="inlineStr"/>
      <c r="N1028" t="inlineStr"/>
      <c r="O1028" t="n">
        <v>0</v>
      </c>
      <c r="P1028">
        <f>IF(B1056=0,0,O1028/B1056)</f>
        <v/>
      </c>
      <c r="Q1028">
        <f>IFERROR(1/IF(Inputs!$B$40="pvp",15,MAX(0.1,Skills!D10-IF(Skills!E10=TRUE,(Inputs!$B$34+1),0))),0)</f>
        <v/>
      </c>
      <c r="R1028">
        <f>IF(AND(Inputs!$B$40&lt;&gt;"pvp",Inputs!$B$43&gt;0),(INT(Inputs!$B$43/IF(Inputs!$B$40="pvp",15,MAX(0.1,Skills!D10-IF(Skills!E10=TRUE,(Inputs!$B$34+1),0))))+1),0)</f>
        <v/>
      </c>
    </row>
    <row r="1029">
      <c r="A1029">
        <f>Skills!A11</f>
        <v/>
      </c>
      <c r="B1029">
        <f>Skills!B11</f>
        <v/>
      </c>
      <c r="C1029">
        <f>Inputs!$B$3&gt;=69</f>
        <v/>
      </c>
      <c r="D1029">
        <f>IF(Skills!C11=1,60+Inputs!$B$27+Inputs!$B$31,IF(Skills!C11=2,90+Inputs!$B$28+Inputs!$B$31,IF(Skills!C11=3,120+Inputs!$B$29+Inputs!$B$31,MAX(0,(Inputs!$B$3-100)*3)+Inputs!$B$30+Inputs!$B$31)))</f>
        <v/>
      </c>
      <c r="E1029">
        <f>INDEX(FactorTable!$B$2:$Y$301, MATCH(ROUND(MIN(300,MAX(1,D1029)),0), FactorTable!$A$2:$A$301,0), Skills!L11+1)</f>
        <v/>
      </c>
      <c r="F1029">
        <f>IF(Skills!M11=TRUE,(Skills!K11/10)*(E1029/1000),Skills!K11/10)+Skills!N11</f>
        <v/>
      </c>
      <c r="G1029">
        <f>Calc!G11</f>
        <v/>
      </c>
      <c r="H1029">
        <f>Calc!H11</f>
        <v/>
      </c>
      <c r="I1029">
        <f>IF(Skills!T11&lt;&gt;"",1+(Skills!T11/10)*($Z$3/1000)/100,1)</f>
        <v/>
      </c>
      <c r="J1029" t="inlineStr"/>
      <c r="K1029" t="inlineStr"/>
      <c r="L1029" t="inlineStr"/>
      <c r="M1029" t="inlineStr"/>
      <c r="N1029" t="inlineStr"/>
      <c r="O1029" t="n">
        <v>0</v>
      </c>
      <c r="P1029">
        <f>IF(B1056=0,0,O1029/B1056)</f>
        <v/>
      </c>
      <c r="Q1029">
        <f>IFERROR(1/IF(Inputs!$B$40="pvp",15,MAX(0.1,Skills!D11-IF(Skills!E11=TRUE,(Inputs!$B$34+1),0))),0)</f>
        <v/>
      </c>
      <c r="R1029">
        <f>IF(AND(Inputs!$B$40&lt;&gt;"pvp",Inputs!$B$43&gt;0),(INT(Inputs!$B$43/IF(Inputs!$B$40="pvp",15,MAX(0.1,Skills!D11-IF(Skills!E11=TRUE,(Inputs!$B$34+1),0))))+1),0)</f>
        <v/>
      </c>
    </row>
    <row r="1030">
      <c r="A1030">
        <f>Skills!A12</f>
        <v/>
      </c>
      <c r="B1030">
        <f>Skills!B12</f>
        <v/>
      </c>
      <c r="C1030">
        <f>Inputs!$B$3&gt;=72</f>
        <v/>
      </c>
      <c r="D1030">
        <f>IF(Skills!C12=1,60+Inputs!$B$27+Inputs!$B$31,IF(Skills!C12=2,90+Inputs!$B$28+Inputs!$B$31,IF(Skills!C12=3,120+Inputs!$B$29+Inputs!$B$31,MAX(0,(Inputs!$B$3-100)*3)+Inputs!$B$30+Inputs!$B$31)))</f>
        <v/>
      </c>
      <c r="E1030">
        <f>INDEX(FactorTable!$B$2:$Y$301, MATCH(ROUND(MIN(300,MAX(1,D1030)),0), FactorTable!$A$2:$A$301,0), Skills!L12+1)</f>
        <v/>
      </c>
      <c r="F1030">
        <f>IF(Skills!M12=TRUE,(Skills!K12/10)*(E1030/1000),Skills!K12/10)+Skills!N12</f>
        <v/>
      </c>
      <c r="G1030">
        <f>Calc!G12</f>
        <v/>
      </c>
      <c r="H1030">
        <f>Calc!H12</f>
        <v/>
      </c>
      <c r="I1030">
        <f>IF(Skills!T12&lt;&gt;"",1+(Skills!T12/10)*($Z$3/1000)/100,1)</f>
        <v/>
      </c>
      <c r="J1030" t="inlineStr"/>
      <c r="K1030" t="inlineStr"/>
      <c r="L1030" t="inlineStr"/>
      <c r="M1030" t="inlineStr"/>
      <c r="N1030" t="inlineStr"/>
      <c r="O1030" t="n">
        <v>0</v>
      </c>
      <c r="P1030">
        <f>IF(B1056=0,0,O1030/B1056)</f>
        <v/>
      </c>
      <c r="Q1030">
        <f>IFERROR(1/IF(Inputs!$B$40="pvp",15,MAX(0.1,Skills!D12-IF(Skills!E12=TRUE,(Inputs!$B$34+1),0))),0)</f>
        <v/>
      </c>
      <c r="R1030">
        <f>IF(AND(Inputs!$B$40&lt;&gt;"pvp",Inputs!$B$43&gt;0),(INT(Inputs!$B$43/IF(Inputs!$B$40="pvp",15,MAX(0.1,Skills!D12-IF(Skills!E12=TRUE,(Inputs!$B$34+1),0))))+1),0)</f>
        <v/>
      </c>
    </row>
    <row r="1031">
      <c r="A1031">
        <f>Skills!A13</f>
        <v/>
      </c>
      <c r="B1031">
        <f>Skills!B13</f>
        <v/>
      </c>
      <c r="C1031">
        <f>Inputs!$B$3&gt;=107</f>
        <v/>
      </c>
      <c r="D1031">
        <f>IF(Skills!C13=1,60+Inputs!$B$27+Inputs!$B$31,IF(Skills!C13=2,90+Inputs!$B$28+Inputs!$B$31,IF(Skills!C13=3,120+Inputs!$B$29+Inputs!$B$31,MAX(0,(Inputs!$B$3-100)*3)+Inputs!$B$30+Inputs!$B$31)))</f>
        <v/>
      </c>
      <c r="E1031">
        <f>INDEX(FactorTable!$B$2:$Y$301, MATCH(ROUND(MIN(300,MAX(1,D1031)),0), FactorTable!$A$2:$A$301,0), Skills!L13+1)</f>
        <v/>
      </c>
      <c r="F1031">
        <f>IF(Skills!M13=TRUE,(Skills!K13/10)*(E1031/1000),Skills!K13/10)+Skills!N13</f>
        <v/>
      </c>
      <c r="G1031">
        <f>Calc!G13</f>
        <v/>
      </c>
      <c r="H1031">
        <f>Calc!H13</f>
        <v/>
      </c>
      <c r="I1031">
        <f>IF(Skills!T13&lt;&gt;"",1+(Skills!T13/10)*($Z$3/1000)/100,1)</f>
        <v/>
      </c>
      <c r="J1031" t="inlineStr"/>
      <c r="K1031" t="inlineStr"/>
      <c r="L1031" t="inlineStr"/>
      <c r="M1031" t="inlineStr"/>
      <c r="N1031" t="inlineStr"/>
      <c r="O1031" t="n">
        <v>0</v>
      </c>
      <c r="P1031">
        <f>IF(B1056=0,0,O1031/B1056)</f>
        <v/>
      </c>
      <c r="Q1031">
        <f>IFERROR(1/IF(Inputs!$B$40="pvp",15,MAX(0.1,Skills!D13-IF(Skills!E13=TRUE,(Inputs!$B$34+1),0))),0)</f>
        <v/>
      </c>
      <c r="R1031">
        <f>IF(AND(Inputs!$B$40&lt;&gt;"pvp",Inputs!$B$43&gt;0),(INT(Inputs!$B$43/IF(Inputs!$B$40="pvp",15,MAX(0.1,Skills!D13-IF(Skills!E13=TRUE,(Inputs!$B$34+1),0))))+1),0)</f>
        <v/>
      </c>
    </row>
    <row r="1032">
      <c r="A1032">
        <f>Skills!A14</f>
        <v/>
      </c>
      <c r="B1032">
        <f>Skills!B14</f>
        <v/>
      </c>
      <c r="C1032">
        <f>Inputs!$B$3&gt;=63</f>
        <v/>
      </c>
      <c r="D1032">
        <f>IF(Skills!C14=1,60+Inputs!$B$27+Inputs!$B$31,IF(Skills!C14=2,90+Inputs!$B$28+Inputs!$B$31,IF(Skills!C14=3,120+Inputs!$B$29+Inputs!$B$31,MAX(0,(Inputs!$B$3-100)*3)+Inputs!$B$30+Inputs!$B$31)))</f>
        <v/>
      </c>
      <c r="E1032">
        <f>INDEX(FactorTable!$B$2:$Y$301, MATCH(ROUND(MIN(300,MAX(1,D1032)),0), FactorTable!$A$2:$A$301,0), Skills!L14+1)</f>
        <v/>
      </c>
      <c r="F1032">
        <f>IF(Skills!M14=TRUE,(Skills!K14/10)*(E1032/1000),Skills!K14/10)+Skills!N14</f>
        <v/>
      </c>
      <c r="G1032">
        <f>Calc!G14</f>
        <v/>
      </c>
      <c r="H1032">
        <f>Calc!H14</f>
        <v/>
      </c>
      <c r="I1032">
        <f>IF(Skills!T14&lt;&gt;"",1+(Skills!T14/10)*($Z$3/1000)/100,1)</f>
        <v/>
      </c>
      <c r="J1032">
        <f>(Inputs!$B$7*(1+Inputs!$B$8/100))*(F1032/100)</f>
        <v/>
      </c>
      <c r="K1032">
        <f>J1032*(1+(((Inputs!$B$14+IF(Inputs!$B$3&gt;=35,0.10*(Inputs!$B$9*(1+Inputs!$B$10/100)),0))*(1+Inputs!$B$15/100))*0.01+Inputs!$B$16*0.0025)/100)*(1+(Inputs!$B$17+B1049)/100)*(1+IF(Inputs!$B$40="pvp",0,(1-Summary!$B$48)*(Inputs!$B$22+Skills!O14+B1047)+Summary!$B$48*(Inputs!$B$23+Skills!P14+B1048))/100)*(1+Inputs!$B$18/100)*(5000/(6000+Inputs!$B$42*(1-Inputs!$B$21/100)))*(1+Inputs!$B$26/100)*(1+IF(C1035=TRUE,F1035,0)/100)*(1+IF(C1037=TRUE,F1037,0)/100)*(1+IF(Skills!A14="TRIUMPH_FEATHER",IF(C1033=TRUE,F1033,0),0)/100)*(1+IF(C1044=TRUE,F1044,0)/100)^5*(1+(IF(Skills!A14="BIG_BANG",Inputs!$B$19,Inputs!$B$20))/100)*(B1046*I1032)</f>
        <v/>
      </c>
      <c r="L1032">
        <f>K1032*(MIN(Inputs!$B$24+(F1039-Calc!F21),Inputs!$B$25)/100+Inputs!$B$25/100)/2</f>
        <v/>
      </c>
      <c r="M1032">
        <f>L1032*(1+(Inputs!$B$12+B1050+(F1042-Calc!F24))/100)</f>
        <v/>
      </c>
      <c r="N1032">
        <f>L1032*(1-MIN(Inputs!$B$11+((F1041-Calc!F23)+(F1040-Calc!F22)),100)/100)+M1032*(MIN(Inputs!$B$11+((F1041-Calc!F23)+(F1040-Calc!F22)),100)/100)</f>
        <v/>
      </c>
      <c r="O1032">
        <f>IF(C1032,Skills!F14*N1032*((IF(Inputs!$B$3&gt;=78,25,15)/100*B1052*10)/(1+IF(Inputs!$B$3&gt;=78,25,15)/100*B1052*10))*(Skills!I14/100*B1052)/(1+Skills!G14*Skills!I14/100*B1052)*IF(Inputs!$B$40="pvp",1,(1-Summary!$B$48)*(1)+Summary!$B$48*(MIN(Skills!Q14,Inputs!$B$39))),0)</f>
        <v/>
      </c>
      <c r="P1032">
        <f>IF(B1056=0,0,O1032/B1056)</f>
        <v/>
      </c>
      <c r="Q1032">
        <f>IFERROR(1/IF(Inputs!$B$40="pvp",15,MAX(0.1,Skills!D14-IF(Skills!E14=TRUE,(Inputs!$B$34+1),0))),0)</f>
        <v/>
      </c>
      <c r="R1032" t="n">
        <v>0</v>
      </c>
    </row>
    <row r="1033">
      <c r="A1033">
        <f>Skills!A15</f>
        <v/>
      </c>
      <c r="B1033">
        <f>Skills!B15</f>
        <v/>
      </c>
      <c r="C1033">
        <f>Inputs!$B$3&gt;=100</f>
        <v/>
      </c>
      <c r="D1033">
        <f>IF(Skills!C15=1,60+Inputs!$B$27+Inputs!$B$31,IF(Skills!C15=2,90+Inputs!$B$28+Inputs!$B$31,IF(Skills!C15=3,120+Inputs!$B$29+Inputs!$B$31,MAX(0,(Inputs!$B$3-100)*3)+Inputs!$B$30+Inputs!$B$31)))</f>
        <v/>
      </c>
      <c r="E1033">
        <f>INDEX(FactorTable!$B$2:$Y$301, MATCH(ROUND(MIN(300,MAX(1,D1033)),0), FactorTable!$A$2:$A$301,0), Skills!L15+1)</f>
        <v/>
      </c>
      <c r="F1033">
        <f>IF(Skills!M15=TRUE,(Skills!K15/10)*(E1033/1000),Skills!K15/10)+Skills!N15</f>
        <v/>
      </c>
      <c r="G1033">
        <f>Calc!G15</f>
        <v/>
      </c>
      <c r="H1033">
        <f>Calc!H15</f>
        <v/>
      </c>
      <c r="I1033">
        <f>IF(Skills!T15&lt;&gt;"",1+(Skills!T15/10)*($Z$3/1000)/100,1)</f>
        <v/>
      </c>
      <c r="J1033" t="inlineStr"/>
      <c r="K1033" t="inlineStr"/>
      <c r="L1033" t="inlineStr"/>
      <c r="M1033" t="inlineStr"/>
      <c r="N1033" t="inlineStr"/>
      <c r="O1033" t="n">
        <v>0</v>
      </c>
      <c r="P1033">
        <f>IF(B1056=0,0,O1033/B1056)</f>
        <v/>
      </c>
      <c r="Q1033">
        <f>IFERROR(1/IF(Inputs!$B$40="pvp",15,MAX(0.1,Skills!D15-IF(Skills!E15=TRUE,(Inputs!$B$34+1),0))),0)</f>
        <v/>
      </c>
      <c r="R1033" t="n">
        <v>0</v>
      </c>
    </row>
    <row r="1034">
      <c r="A1034">
        <f>Skills!A16</f>
        <v/>
      </c>
      <c r="B1034">
        <f>Skills!B16</f>
        <v/>
      </c>
      <c r="C1034">
        <f>Inputs!$B$3&gt;=49</f>
        <v/>
      </c>
      <c r="D1034">
        <f>IF(Skills!C16=1,60+Inputs!$B$27+Inputs!$B$31,IF(Skills!C16=2,90+Inputs!$B$28+Inputs!$B$31,IF(Skills!C16=3,120+Inputs!$B$29+Inputs!$B$31,MAX(0,(Inputs!$B$3-100)*3)+Inputs!$B$30+Inputs!$B$31)))</f>
        <v/>
      </c>
      <c r="E1034">
        <f>INDEX(FactorTable!$B$2:$Y$301, MATCH(ROUND(MIN(300,MAX(1,D1034)),0), FactorTable!$A$2:$A$301,0), Skills!L16+1)</f>
        <v/>
      </c>
      <c r="F1034">
        <f>IF(Skills!M16=TRUE,(Skills!K16/10)*(E1034/1000),Skills!K16/10)+Skills!N16</f>
        <v/>
      </c>
      <c r="G1034">
        <f>Calc!G16</f>
        <v/>
      </c>
      <c r="H1034">
        <f>Calc!H16</f>
        <v/>
      </c>
      <c r="I1034">
        <f>IF(Skills!T16&lt;&gt;"",1+(Skills!T16/10)*($Z$3/1000)/100,1)</f>
        <v/>
      </c>
      <c r="J1034" t="inlineStr"/>
      <c r="K1034" t="inlineStr"/>
      <c r="L1034" t="inlineStr"/>
      <c r="M1034" t="inlineStr"/>
      <c r="N1034" t="inlineStr"/>
      <c r="O1034" t="n">
        <v>0</v>
      </c>
      <c r="P1034">
        <f>IF(B1056=0,0,O1034/B1056)</f>
        <v/>
      </c>
      <c r="Q1034">
        <f>IFERROR(1/IF(Inputs!$B$40="pvp",15,MAX(0.1,Skills!D16-IF(Skills!E16=TRUE,(Inputs!$B$34+1),0))),0)</f>
        <v/>
      </c>
      <c r="R1034" t="n">
        <v>0</v>
      </c>
    </row>
    <row r="1035">
      <c r="A1035">
        <f>Skills!A17</f>
        <v/>
      </c>
      <c r="B1035">
        <f>Skills!B17</f>
        <v/>
      </c>
      <c r="C1035">
        <f>Inputs!$B$3&gt;=75</f>
        <v/>
      </c>
      <c r="D1035">
        <f>IF(Skills!C17=1,60+Inputs!$B$27+Inputs!$B$31,IF(Skills!C17=2,90+Inputs!$B$28+Inputs!$B$31,IF(Skills!C17=3,120+Inputs!$B$29+Inputs!$B$31,MAX(0,(Inputs!$B$3-100)*3)+Inputs!$B$30+Inputs!$B$31)))</f>
        <v/>
      </c>
      <c r="E1035">
        <f>INDEX(FactorTable!$B$2:$Y$301, MATCH(ROUND(MIN(300,MAX(1,D1035)),0), FactorTable!$A$2:$A$301,0), Skills!L17+1)</f>
        <v/>
      </c>
      <c r="F1035">
        <f>IF(Skills!M17=TRUE,(Skills!K17/10)*(E1035/1000),Skills!K17/10)+Skills!N17</f>
        <v/>
      </c>
      <c r="G1035">
        <f>Calc!G17</f>
        <v/>
      </c>
      <c r="H1035">
        <f>Calc!H17</f>
        <v/>
      </c>
      <c r="I1035">
        <f>IF(Skills!T17&lt;&gt;"",1+(Skills!T17/10)*($Z$3/1000)/100,1)</f>
        <v/>
      </c>
      <c r="J1035" t="inlineStr"/>
      <c r="K1035" t="inlineStr"/>
      <c r="L1035" t="inlineStr"/>
      <c r="M1035" t="inlineStr"/>
      <c r="N1035" t="inlineStr"/>
      <c r="O1035" t="n">
        <v>0</v>
      </c>
      <c r="P1035">
        <f>IF(B1056=0,0,O1035/B1056)</f>
        <v/>
      </c>
      <c r="Q1035">
        <f>IFERROR(1/IF(Inputs!$B$40="pvp",15,MAX(0.1,Skills!D17-IF(Skills!E17=TRUE,(Inputs!$B$34+1),0))),0)</f>
        <v/>
      </c>
      <c r="R1035" t="n">
        <v>0</v>
      </c>
    </row>
    <row r="1036">
      <c r="A1036">
        <f>Skills!A18</f>
        <v/>
      </c>
      <c r="B1036">
        <f>Skills!B18</f>
        <v/>
      </c>
      <c r="C1036">
        <f>Inputs!$B$3&gt;=110</f>
        <v/>
      </c>
      <c r="D1036">
        <f>IF(Skills!C18=1,60+Inputs!$B$27+Inputs!$B$31,IF(Skills!C18=2,90+Inputs!$B$28+Inputs!$B$31,IF(Skills!C18=3,120+Inputs!$B$29+Inputs!$B$31,MAX(0,(Inputs!$B$3-100)*3)+Inputs!$B$30+Inputs!$B$31)))</f>
        <v/>
      </c>
      <c r="E1036">
        <f>INDEX(FactorTable!$B$2:$Y$301, MATCH(ROUND(MIN(300,MAX(1,D1036)),0), FactorTable!$A$2:$A$301,0), Skills!L18+1)</f>
        <v/>
      </c>
      <c r="F1036">
        <f>(Skills!K18/10)*(E1036/1000)*64/45+Skills!N18</f>
        <v/>
      </c>
      <c r="G1036">
        <f>Calc!G18</f>
        <v/>
      </c>
      <c r="H1036">
        <f>Calc!H18</f>
        <v/>
      </c>
      <c r="I1036">
        <f>IF(Skills!T18&lt;&gt;"",1+(Skills!T18/10)*($Z$3/1000)/100,1)</f>
        <v/>
      </c>
      <c r="J1036" t="inlineStr"/>
      <c r="K1036" t="inlineStr"/>
      <c r="L1036" t="inlineStr"/>
      <c r="M1036" t="inlineStr"/>
      <c r="N1036" t="inlineStr"/>
      <c r="O1036" t="n">
        <v>0</v>
      </c>
      <c r="P1036">
        <f>IF(B1056=0,0,O1036/B1056)</f>
        <v/>
      </c>
      <c r="Q1036">
        <f>IFERROR(1/IF(Inputs!$B$40="pvp",15,MAX(0.1,Skills!D18-IF(Skills!E18=TRUE,(Inputs!$B$34+1),0))),0)</f>
        <v/>
      </c>
      <c r="R1036">
        <f>IF(AND(Inputs!$B$40&lt;&gt;"pvp",Inputs!$B$43&gt;0),(INT(Inputs!$B$43/IF(Inputs!$B$40="pvp",15,MAX(0.1,Skills!D18-IF(Skills!E18=TRUE,(Inputs!$B$34+1),0))))+1),0)</f>
        <v/>
      </c>
    </row>
    <row r="1037">
      <c r="A1037">
        <f>Skills!A19</f>
        <v/>
      </c>
      <c r="B1037">
        <f>Skills!B19</f>
        <v/>
      </c>
      <c r="C1037">
        <f>Inputs!$B$3&gt;=125</f>
        <v/>
      </c>
      <c r="D1037">
        <f>IF(Skills!C19=1,60+Inputs!$B$27+Inputs!$B$31,IF(Skills!C19=2,90+Inputs!$B$28+Inputs!$B$31,IF(Skills!C19=3,120+Inputs!$B$29+Inputs!$B$31,MAX(0,(Inputs!$B$3-100)*3)+Inputs!$B$30+Inputs!$B$31)))</f>
        <v/>
      </c>
      <c r="E1037">
        <f>INDEX(FactorTable!$B$2:$Y$301, MATCH(ROUND(MIN(300,MAX(1,D1037)),0), FactorTable!$A$2:$A$301,0), Skills!L19+1)</f>
        <v/>
      </c>
      <c r="F1037">
        <f>IF(Skills!M19=TRUE,(Skills!K19/10)*(E1037/1000),Skills!K19/10)+Skills!N19</f>
        <v/>
      </c>
      <c r="G1037">
        <f>Calc!G19</f>
        <v/>
      </c>
      <c r="H1037">
        <f>Calc!H19</f>
        <v/>
      </c>
      <c r="I1037">
        <f>IF(Skills!T19&lt;&gt;"",1+(Skills!T19/10)*($Z$3/1000)/100,1)</f>
        <v/>
      </c>
      <c r="J1037" t="inlineStr"/>
      <c r="K1037" t="inlineStr"/>
      <c r="L1037" t="inlineStr"/>
      <c r="M1037" t="inlineStr"/>
      <c r="N1037" t="inlineStr"/>
      <c r="O1037" t="n">
        <v>0</v>
      </c>
      <c r="P1037">
        <f>IF(B1056=0,0,O1037/B1056)</f>
        <v/>
      </c>
      <c r="Q1037">
        <f>IFERROR(1/IF(Inputs!$B$40="pvp",15,MAX(0.1,Skills!D19-IF(Skills!E19=TRUE,(Inputs!$B$34+1),0))),0)</f>
        <v/>
      </c>
      <c r="R1037" t="n">
        <v>0</v>
      </c>
    </row>
    <row r="1038">
      <c r="A1038">
        <f>Skills!A20</f>
        <v/>
      </c>
      <c r="B1038">
        <f>Skills!B20</f>
        <v/>
      </c>
      <c r="C1038">
        <f>Inputs!$B$3&gt;=33</f>
        <v/>
      </c>
      <c r="D1038">
        <f>IF(Skills!C20=1,60+Inputs!$B$27+Inputs!$B$31,IF(Skills!C20=2,90+Inputs!$B$28+Inputs!$B$31,IF(Skills!C20=3,120+Inputs!$B$29+Inputs!$B$31,MAX(0,(Inputs!$B$3-100)*3)+Inputs!$B$30+Inputs!$B$31)))</f>
        <v/>
      </c>
      <c r="E1038">
        <f>INDEX(FactorTable!$B$2:$Y$301, MATCH(ROUND(MIN(300,MAX(1,D1038)),0), FactorTable!$A$2:$A$301,0), Skills!L20+1)</f>
        <v/>
      </c>
      <c r="F1038">
        <f>IF(Skills!M20=TRUE,(Skills!K20/10)*(E1038/1000),Skills!K20/10)+Skills!N20</f>
        <v/>
      </c>
      <c r="G1038">
        <f>Calc!G20</f>
        <v/>
      </c>
      <c r="H1038">
        <f>Calc!H20</f>
        <v/>
      </c>
      <c r="I1038">
        <f>IF(Skills!T20&lt;&gt;"",1+(Skills!T20/10)*($Z$3/1000)/100,1)</f>
        <v/>
      </c>
      <c r="J1038" t="inlineStr"/>
      <c r="K1038" t="inlineStr"/>
      <c r="L1038" t="inlineStr"/>
      <c r="M1038" t="inlineStr"/>
      <c r="N1038" t="inlineStr"/>
      <c r="O1038" t="n">
        <v>0</v>
      </c>
      <c r="P1038">
        <f>IF(B1056=0,0,O1038/B1056)</f>
        <v/>
      </c>
      <c r="Q1038">
        <f>IFERROR(1/IF(Inputs!$B$40="pvp",15,MAX(0.1,Skills!D20-IF(Skills!E20=TRUE,(Inputs!$B$34+1),0))),0)</f>
        <v/>
      </c>
      <c r="R1038" t="n">
        <v>0</v>
      </c>
    </row>
    <row r="1039">
      <c r="A1039">
        <f>Skills!A21</f>
        <v/>
      </c>
      <c r="B1039">
        <f>Skills!B21</f>
        <v/>
      </c>
      <c r="C1039">
        <f>Inputs!$B$3&gt;=43</f>
        <v/>
      </c>
      <c r="D1039">
        <f>IF(Skills!C21=1,60+Inputs!$B$27+Inputs!$B$31,IF(Skills!C21=2,90+Inputs!$B$28+Inputs!$B$31,IF(Skills!C21=3,120+Inputs!$B$29+Inputs!$B$31,MAX(0,(Inputs!$B$3-100)*3)+Inputs!$B$30+Inputs!$B$31)))</f>
        <v/>
      </c>
      <c r="E1039">
        <f>INDEX(FactorTable!$B$2:$Y$301, MATCH(ROUND(MIN(300,MAX(1,D1039)),0), FactorTable!$A$2:$A$301,0), Skills!L21+1)</f>
        <v/>
      </c>
      <c r="F1039">
        <f>IF(Skills!M21=TRUE,(Skills!K21/10)*(E1039/1000),Skills!K21/10)+Skills!N21</f>
        <v/>
      </c>
      <c r="G1039">
        <f>Calc!G21</f>
        <v/>
      </c>
      <c r="H1039">
        <f>Calc!H21</f>
        <v/>
      </c>
      <c r="I1039">
        <f>IF(Skills!T21&lt;&gt;"",1+(Skills!T21/10)*($Z$3/1000)/100,1)</f>
        <v/>
      </c>
      <c r="J1039" t="inlineStr"/>
      <c r="K1039" t="inlineStr"/>
      <c r="L1039" t="inlineStr"/>
      <c r="M1039" t="inlineStr"/>
      <c r="N1039" t="inlineStr"/>
      <c r="O1039" t="n">
        <v>0</v>
      </c>
      <c r="P1039">
        <f>IF(B1056=0,0,O1039/B1056)</f>
        <v/>
      </c>
      <c r="Q1039">
        <f>IFERROR(1/IF(Inputs!$B$40="pvp",15,MAX(0.1,Skills!D21-IF(Skills!E21=TRUE,(Inputs!$B$34+1),0))),0)</f>
        <v/>
      </c>
      <c r="R1039" t="n">
        <v>0</v>
      </c>
    </row>
    <row r="1040">
      <c r="A1040">
        <f>Skills!A22</f>
        <v/>
      </c>
      <c r="B1040">
        <f>Skills!B22</f>
        <v/>
      </c>
      <c r="C1040">
        <f>Inputs!$B$3&gt;=50</f>
        <v/>
      </c>
      <c r="D1040">
        <f>IF(Skills!C22=1,60+Inputs!$B$27+Inputs!$B$31,IF(Skills!C22=2,90+Inputs!$B$28+Inputs!$B$31,IF(Skills!C22=3,120+Inputs!$B$29+Inputs!$B$31,MAX(0,(Inputs!$B$3-100)*3)+Inputs!$B$30+Inputs!$B$31)))</f>
        <v/>
      </c>
      <c r="E1040">
        <f>INDEX(FactorTable!$B$2:$Y$301, MATCH(ROUND(MIN(300,MAX(1,D1040)),0), FactorTable!$A$2:$A$301,0), Skills!L22+1)</f>
        <v/>
      </c>
      <c r="F1040">
        <f>IF(Skills!M22=TRUE,(Skills!K22/10)*(E1040/1000),Skills!K22/10)+Skills!N22</f>
        <v/>
      </c>
      <c r="G1040">
        <f>Calc!G22</f>
        <v/>
      </c>
      <c r="H1040">
        <f>Calc!H22</f>
        <v/>
      </c>
      <c r="I1040">
        <f>IF(Skills!T22&lt;&gt;"",1+(Skills!T22/10)*($Z$3/1000)/100,1)</f>
        <v/>
      </c>
      <c r="J1040" t="inlineStr"/>
      <c r="K1040" t="inlineStr"/>
      <c r="L1040" t="inlineStr"/>
      <c r="M1040" t="inlineStr"/>
      <c r="N1040" t="inlineStr"/>
      <c r="O1040" t="n">
        <v>0</v>
      </c>
      <c r="P1040">
        <f>IF(B1056=0,0,O1040/B1056)</f>
        <v/>
      </c>
      <c r="Q1040">
        <f>IFERROR(1/IF(Inputs!$B$40="pvp",15,MAX(0.1,Skills!D22-IF(Skills!E22=TRUE,(Inputs!$B$34+1),0))),0)</f>
        <v/>
      </c>
      <c r="R1040" t="n">
        <v>0</v>
      </c>
    </row>
    <row r="1041">
      <c r="A1041">
        <f>Skills!A23</f>
        <v/>
      </c>
      <c r="B1041">
        <f>Skills!B23</f>
        <v/>
      </c>
      <c r="C1041">
        <f>Inputs!$B$3&gt;=74</f>
        <v/>
      </c>
      <c r="D1041">
        <f>IF(Skills!C23=1,60+Inputs!$B$27+Inputs!$B$31,IF(Skills!C23=2,90+Inputs!$B$28+Inputs!$B$31,IF(Skills!C23=3,120+Inputs!$B$29+Inputs!$B$31,MAX(0,(Inputs!$B$3-100)*3)+Inputs!$B$30+Inputs!$B$31)))</f>
        <v/>
      </c>
      <c r="E1041">
        <f>INDEX(FactorTable!$B$2:$Y$301, MATCH(ROUND(MIN(300,MAX(1,D1041)),0), FactorTable!$A$2:$A$301,0), Skills!L23+1)</f>
        <v/>
      </c>
      <c r="F1041">
        <f>IF(Skills!M23=TRUE,(Skills!K23/10)*(E1041/1000),Skills!K23/10)+Skills!N23</f>
        <v/>
      </c>
      <c r="G1041">
        <f>Calc!G23</f>
        <v/>
      </c>
      <c r="H1041">
        <f>Calc!H23</f>
        <v/>
      </c>
      <c r="I1041">
        <f>IF(Skills!T23&lt;&gt;"",1+(Skills!T23/10)*($Z$3/1000)/100,1)</f>
        <v/>
      </c>
      <c r="J1041" t="inlineStr"/>
      <c r="K1041" t="inlineStr"/>
      <c r="L1041" t="inlineStr"/>
      <c r="M1041" t="inlineStr"/>
      <c r="N1041" t="inlineStr"/>
      <c r="O1041" t="n">
        <v>0</v>
      </c>
      <c r="P1041">
        <f>IF(B1056=0,0,O1041/B1056)</f>
        <v/>
      </c>
      <c r="Q1041">
        <f>IFERROR(1/IF(Inputs!$B$40="pvp",15,MAX(0.1,Skills!D23-IF(Skills!E23=TRUE,(Inputs!$B$34+1),0))),0)</f>
        <v/>
      </c>
      <c r="R1041" t="n">
        <v>0</v>
      </c>
    </row>
    <row r="1042">
      <c r="A1042">
        <f>Skills!A24</f>
        <v/>
      </c>
      <c r="B1042">
        <f>Skills!B24</f>
        <v/>
      </c>
      <c r="C1042">
        <f>Inputs!$B$3&gt;=74</f>
        <v/>
      </c>
      <c r="D1042">
        <f>IF(Skills!C24=1,60+Inputs!$B$27+Inputs!$B$31,IF(Skills!C24=2,90+Inputs!$B$28+Inputs!$B$31,IF(Skills!C24=3,120+Inputs!$B$29+Inputs!$B$31,MAX(0,(Inputs!$B$3-100)*3)+Inputs!$B$30+Inputs!$B$31)))</f>
        <v/>
      </c>
      <c r="E1042">
        <f>INDEX(FactorTable!$B$2:$Y$301, MATCH(ROUND(MIN(300,MAX(1,D1042)),0), FactorTable!$A$2:$A$301,0), Skills!L24+1)</f>
        <v/>
      </c>
      <c r="F1042">
        <f>IF(Skills!M24=TRUE,(Skills!K24/10)*(E1042/1000),Skills!K24/10)+Skills!N24</f>
        <v/>
      </c>
      <c r="G1042">
        <f>Calc!G24</f>
        <v/>
      </c>
      <c r="H1042">
        <f>Calc!H24</f>
        <v/>
      </c>
      <c r="I1042">
        <f>IF(Skills!T24&lt;&gt;"",1+(Skills!T24/10)*($Z$3/1000)/100,1)</f>
        <v/>
      </c>
      <c r="J1042" t="inlineStr"/>
      <c r="K1042" t="inlineStr"/>
      <c r="L1042" t="inlineStr"/>
      <c r="M1042" t="inlineStr"/>
      <c r="N1042" t="inlineStr"/>
      <c r="O1042" t="n">
        <v>0</v>
      </c>
      <c r="P1042">
        <f>IF(B1056=0,0,O1042/B1056)</f>
        <v/>
      </c>
      <c r="Q1042">
        <f>IFERROR(1/IF(Inputs!$B$40="pvp",15,MAX(0.1,Skills!D24-IF(Skills!E24=TRUE,(Inputs!$B$34+1),0))),0)</f>
        <v/>
      </c>
      <c r="R1042" t="n">
        <v>0</v>
      </c>
    </row>
    <row r="1043">
      <c r="A1043">
        <f>Skills!A25</f>
        <v/>
      </c>
      <c r="B1043">
        <f>Skills!B25</f>
        <v/>
      </c>
      <c r="C1043">
        <f>Inputs!$B$3&gt;=117</f>
        <v/>
      </c>
      <c r="D1043">
        <f>IF(Skills!C25=1,60+Inputs!$B$27+Inputs!$B$31,IF(Skills!C25=2,90+Inputs!$B$28+Inputs!$B$31,IF(Skills!C25=3,120+Inputs!$B$29+Inputs!$B$31,MAX(0,(Inputs!$B$3-100)*3)+Inputs!$B$30+Inputs!$B$31)))</f>
        <v/>
      </c>
      <c r="E1043">
        <f>INDEX(FactorTable!$B$2:$Y$301, MATCH(ROUND(MIN(300,MAX(1,D1043)),0), FactorTable!$A$2:$A$301,0), Skills!L25+1)</f>
        <v/>
      </c>
      <c r="F1043">
        <f>IF(Skills!M25=TRUE,(Skills!K25/10)*(E1043/1000),Skills!K25/10)+Skills!N25</f>
        <v/>
      </c>
      <c r="G1043">
        <f>Calc!G25</f>
        <v/>
      </c>
      <c r="H1043">
        <f>Calc!H25</f>
        <v/>
      </c>
      <c r="I1043">
        <f>IF(Skills!T25&lt;&gt;"",1+(Skills!T25/10)*($Z$3/1000)/100,1)</f>
        <v/>
      </c>
      <c r="J1043" t="inlineStr"/>
      <c r="K1043" t="inlineStr"/>
      <c r="L1043" t="inlineStr"/>
      <c r="M1043" t="inlineStr"/>
      <c r="N1043" t="inlineStr"/>
      <c r="O1043" t="n">
        <v>0</v>
      </c>
      <c r="P1043">
        <f>IF(B1056=0,0,O1043/B1056)</f>
        <v/>
      </c>
      <c r="Q1043">
        <f>IFERROR(1/IF(Inputs!$B$40="pvp",15,MAX(0.1,Skills!D25-IF(Skills!E25=TRUE,(Inputs!$B$34+1),0))),0)</f>
        <v/>
      </c>
      <c r="R1043" t="n">
        <v>0</v>
      </c>
    </row>
    <row r="1044">
      <c r="A1044">
        <f>Skills!A26</f>
        <v/>
      </c>
      <c r="B1044">
        <f>Skills!B26</f>
        <v/>
      </c>
      <c r="C1044">
        <f>Inputs!$B$3&gt;=120</f>
        <v/>
      </c>
      <c r="D1044">
        <f>IF(Skills!C26=1,60+Inputs!$B$27+Inputs!$B$31,IF(Skills!C26=2,90+Inputs!$B$28+Inputs!$B$31,IF(Skills!C26=3,120+Inputs!$B$29+Inputs!$B$31,MAX(0,(Inputs!$B$3-100)*3)+Inputs!$B$30+Inputs!$B$31)))</f>
        <v/>
      </c>
      <c r="E1044">
        <f>INDEX(FactorTable!$B$2:$Y$301, MATCH(ROUND(MIN(300,MAX(1,D1044)),0), FactorTable!$A$2:$A$301,0), Skills!L26+1)</f>
        <v/>
      </c>
      <c r="F1044">
        <f>IF(Skills!M26=TRUE,(Skills!K26/10)*(E1044/1000),Skills!K26/10)+Skills!N26</f>
        <v/>
      </c>
      <c r="G1044">
        <f>Calc!G26</f>
        <v/>
      </c>
      <c r="H1044">
        <f>Calc!H26</f>
        <v/>
      </c>
      <c r="I1044">
        <f>IF(Skills!T26&lt;&gt;"",1+(Skills!T26/10)*($Z$3/1000)/100,1)</f>
        <v/>
      </c>
      <c r="J1044" t="inlineStr"/>
      <c r="K1044" t="inlineStr"/>
      <c r="L1044" t="inlineStr"/>
      <c r="M1044" t="inlineStr"/>
      <c r="N1044" t="inlineStr"/>
      <c r="O1044" t="n">
        <v>0</v>
      </c>
      <c r="P1044">
        <f>IF(B1056=0,0,O1044/B1056)</f>
        <v/>
      </c>
      <c r="Q1044">
        <f>IFERROR(1/IF(Inputs!$B$40="pvp",15,MAX(0.1,Skills!D26-IF(Skills!E26=TRUE,(Inputs!$B$34+1),0))),0)</f>
        <v/>
      </c>
      <c r="R1044" t="n">
        <v>0</v>
      </c>
    </row>
    <row r="1046">
      <c r="A1046" t="inlineStr">
        <is>
          <t>Average Buff Multiplier</t>
        </is>
      </c>
      <c r="B1046">
        <f>(1+(IF(C1021=TRUE,F1021*IF(AND(Inputs!$B$40&lt;&gt;"pvp",Inputs!$B$43&gt;0),(((R1021-1)*(Skills!S3*(1+(Inputs!$B$36+IF(Inputs!$B$3&gt;=117,F1043,0))/100))+MIN((Skills!S3*(1+(Inputs!$B$36+IF(Inputs!$B$3&gt;=117,F1043,0))/100)),MAX(0,Inputs!$B$43-((R1021-1)*Skills!D3))))/Inputs!$B$43),IF(Inputs!$B$40="pvp",MIN((Skills!S3*(1+(Inputs!$B$36+IF(Inputs!$B$3&gt;=117,F1043,0))/100)),15)/15,(Skills!S3*(1+(Inputs!$B$36+IF(Inputs!$B$3&gt;=117,F1043,0))/100))/Skills!D3)),0)+IF(C1022=TRUE,F1022*IF(AND(Inputs!$B$40&lt;&gt;"pvp",Inputs!$B$43&gt;0),(((R1022-1)*(Skills!S4*(1+(Inputs!$B$36+IF(Inputs!$B$3&gt;=117,F1043,0))/100))+MIN((Skills!S4*(1+(Inputs!$B$36+IF(Inputs!$B$3&gt;=117,F1043,0))/100)),MAX(0,Inputs!$B$43-((R1022-1)*Skills!D4))))/Inputs!$B$43),IF(Inputs!$B$40="pvp",MIN((Skills!S4*(1+(Inputs!$B$36+IF(Inputs!$B$3&gt;=117,F1043,0))/100)),15)/15,(Skills!S4*(1+(Inputs!$B$36+IF(Inputs!$B$3&gt;=117,F1043,0))/100))/Skills!D4)),0)+IF(C1023=TRUE,F1023*IF(AND(Inputs!$B$40&lt;&gt;"pvp",Inputs!$B$43&gt;0),(((R1023-1)*(Skills!S5*(1+(Inputs!$B$36+IF(Inputs!$B$3&gt;=117,F1043,0))/100))+MIN((Skills!S5*(1+(Inputs!$B$36+IF(Inputs!$B$3&gt;=117,F1043,0))/100)),MAX(0,Inputs!$B$43-((R1023-1)*Skills!D5))))/Inputs!$B$43),IF(Inputs!$B$40="pvp",MIN((Skills!S5*(1+(Inputs!$B$36+IF(Inputs!$B$3&gt;=117,F1043,0))/100)),15)/15,(Skills!S5*(1+(Inputs!$B$36+IF(Inputs!$B$3&gt;=117,F1043,0))/100))/Skills!D5)),0)+IF(C1029=TRUE,F1029*IF(AND(Inputs!$B$40&lt;&gt;"pvp",Inputs!$B$43&gt;0),(((R1029-1)*(Skills!S11*(1+(Inputs!$B$36+IF(Inputs!$B$3&gt;=117,F1043,0))/100))+MIN((Skills!S11*(1+(Inputs!$B$36+IF(Inputs!$B$3&gt;=117,F1043,0))/100)),MAX(0,Inputs!$B$43-((R1029-1)*Skills!D11))))/Inputs!$B$43),IF(Inputs!$B$40="pvp",MIN((Skills!S11*(1+(Inputs!$B$36+IF(Inputs!$B$3&gt;=117,F1043,0))/100)),15)/15,(Skills!S11*(1+(Inputs!$B$36+IF(Inputs!$B$3&gt;=117,F1043,0))/100))/Skills!D11)),0))/100)*IF(C1031=TRUE,(1+F1031*IF(AND(Inputs!$B$40&lt;&gt;"pvp",Inputs!$B$43&gt;0),(((R1031-1)*(Skills!S13*(1+(Inputs!$B$36+IF(Inputs!$B$3&gt;=117,F1043,0))/100))+MIN((Skills!S13*(1+(Inputs!$B$36+IF(Inputs!$B$3&gt;=117,F1043,0))/100)),MAX(0,Inputs!$B$43-((R1031-1)*Skills!D13))))/Inputs!$B$43),IF(Inputs!$B$40="pvp",MIN((Skills!S13*(1+(Inputs!$B$36+IF(Inputs!$B$3&gt;=117,F1043,0))/100)),15)/15,(Skills!S13*(1+(Inputs!$B$36+IF(Inputs!$B$3&gt;=117,F1043,0))/100))/Skills!D13))/100),1)*IF(C1036=TRUE,(1+F1036*IF(AND(Inputs!$B$40&lt;&gt;"pvp",Inputs!$B$43&gt;0),(((R1036-1)*(Skills!S18*(1+(Inputs!$B$36+IF(Inputs!$B$3&gt;=117,F1043,0))/100))+MIN((Skills!S18*(1+(Inputs!$B$36+IF(Inputs!$B$3&gt;=117,F1043,0))/100)),MAX(0,Inputs!$B$43-((R1036-1)*Skills!D18))))/Inputs!$B$43),IF(Inputs!$B$40="pvp",MIN((Skills!S18*(1+(Inputs!$B$36+IF(Inputs!$B$3&gt;=117,F1043,0))/100)),15)/15,(Skills!S18*(1+(Inputs!$B$36+IF(Inputs!$B$3&gt;=117,F1043,0))/100))/Skills!D18))/100),1)</f>
        <v/>
      </c>
    </row>
    <row r="1047">
      <c r="A1047" t="inlineStr">
        <is>
          <t>Monster Damage Taken Bonus % (Holy Fountain)</t>
        </is>
      </c>
      <c r="B1047">
        <f>IF(Inputs!$B$3&gt;=68,20*IF(Inputs!$B$40="pvp",MIN((15*(1+(Inputs!$B$36+IF(Inputs!$B$3&gt;=117,F1043,0))/100)),15)/15,(15*(1+(Inputs!$B$36+IF(Inputs!$B$3&gt;=117,F1043,0))/100))/Skills!D10),0)</f>
        <v/>
      </c>
    </row>
    <row r="1048">
      <c r="A1048" t="inlineStr">
        <is>
          <t>Normal Monster Damage Bonus % (Holy Symbol)</t>
        </is>
      </c>
      <c r="B1048">
        <f>IF(C1030=TRUE,F1030*IF(AND(Inputs!$B$40&lt;&gt;"pvp",Inputs!$B$43&gt;0),(((R1030-1)*(Skills!S12*(1+(Inputs!$B$36+IF(Inputs!$B$3&gt;=117,F1043,0))/100))+MIN((Skills!S12*(1+(Inputs!$B$36+IF(Inputs!$B$3&gt;=117,F1043,0))/100)),MAX(0,Inputs!$B$43-((R1030-1)*Skills!D12))))/Inputs!$B$43),IF(Inputs!$B$40="pvp",MIN((Skills!S12*(1+(Inputs!$B$36+IF(Inputs!$B$3&gt;=117,F1043,0))/100)),15)/15,(Skills!S12*(1+(Inputs!$B$36+IF(Inputs!$B$3&gt;=117,F1043,0))/100))/Skills!D12)),0)</f>
        <v/>
      </c>
    </row>
    <row r="1049">
      <c r="A1049" t="inlineStr">
        <is>
          <t>Damage % Bonus (Holy Symbol - Damage Boost)</t>
        </is>
      </c>
      <c r="B1049">
        <f>Skills!O12</f>
        <v/>
      </c>
    </row>
    <row r="1050">
      <c r="A1050" t="inlineStr">
        <is>
          <t>Crit Damage % Bonus (Blood of the Divine)</t>
        </is>
      </c>
      <c r="B1050">
        <f>4*IF(C1037=TRUE,F1037,0)</f>
        <v/>
      </c>
    </row>
    <row r="1051">
      <c r="A1051" t="inlineStr">
        <is>
          <t>Attack Speed Bonus %</t>
        </is>
      </c>
      <c r="B1051">
        <f>IF(C1034=TRUE,F1034+(F1038-Calc!F20),0)+IF(Inputs!$B$3&gt;=134,15,0)</f>
        <v/>
      </c>
    </row>
    <row r="1052">
      <c r="A1052" t="inlineStr">
        <is>
          <t>Actions Per Second</t>
        </is>
      </c>
      <c r="B1052">
        <f>1+MIN(150,150*(1-(1-Inputs!$B$13/150)*(1-B1051/150)))/100</f>
        <v/>
      </c>
    </row>
    <row r="1053">
      <c r="A1053" t="inlineStr">
        <is>
          <t>Skill + Buff Cast Rate</t>
        </is>
      </c>
      <c r="B1053">
        <f>IF(AND(Inputs!$B$40&lt;&gt;"pvp",Inputs!$B$43&gt;0),SUMPRODUCT((Skills!E2:E26=TRUE)*(C1020:C1044=TRUE)*R1020:R1044)/Inputs!$B$43,SUMPRODUCT((Skills!E2:E26=TRUE)*(C1020:C1044=TRUE)*Q1020:Q1044))</f>
        <v/>
      </c>
    </row>
    <row r="1054">
      <c r="A1054" t="inlineStr">
        <is>
          <t>Big Bang Casts Per Second</t>
        </is>
      </c>
      <c r="B1054">
        <f>MAX(0,B1052-B1053)</f>
        <v/>
      </c>
    </row>
    <row r="1056">
      <c r="A1056" s="5" t="inlineStr">
        <is>
          <t>TOTAL DPS</t>
        </is>
      </c>
      <c r="B1056" s="5">
        <f>SUM(O1020:O1044)</f>
        <v/>
      </c>
    </row>
    <row r="1059">
      <c r="A1059" s="5" t="inlineStr">
        <is>
          <t>Stat: Basic Attack Target Increase (flat)</t>
        </is>
      </c>
    </row>
    <row r="1060">
      <c r="A1060" s="9" t="inlineStr">
        <is>
          <t>Key</t>
        </is>
      </c>
      <c r="B1060" s="9" t="inlineStr">
        <is>
          <t>Name</t>
        </is>
      </c>
      <c r="C1060" s="9" t="inlineStr">
        <is>
          <t>Unlocked</t>
        </is>
      </c>
      <c r="D1060" s="9" t="inlineStr">
        <is>
          <t>InputLevel</t>
        </is>
      </c>
      <c r="E1060" s="9" t="inlineStr">
        <is>
          <t>Factor</t>
        </is>
      </c>
      <c r="F1060" s="9" t="inlineStr">
        <is>
          <t>CoefficientPercent</t>
        </is>
      </c>
      <c r="G1060" s="9" t="inlineStr">
        <is>
          <t>EffectiveHits</t>
        </is>
      </c>
      <c r="H1060" s="9" t="inlineStr">
        <is>
          <t>ProcProbability</t>
        </is>
      </c>
      <c r="I1060" s="9" t="inlineStr">
        <is>
          <t>MapleHeroMultiplier</t>
        </is>
      </c>
      <c r="J1060" s="9" t="inlineStr">
        <is>
          <t>BaseDamage</t>
        </is>
      </c>
      <c r="K1060" s="9" t="inlineStr">
        <is>
          <t>BaseHitDamage</t>
        </is>
      </c>
      <c r="L1060" s="9" t="inlineStr">
        <is>
          <t>NonCritAvg</t>
        </is>
      </c>
      <c r="M1060" s="9" t="inlineStr">
        <is>
          <t>CritAvg</t>
        </is>
      </c>
      <c r="N1060" s="9" t="inlineStr">
        <is>
          <t>ExpectedDamage(perHit)</t>
        </is>
      </c>
      <c r="O1060" s="9" t="inlineStr">
        <is>
          <t>DPS</t>
        </is>
      </c>
      <c r="P1060" s="9" t="inlineStr">
        <is>
          <t>% of Total</t>
        </is>
      </c>
      <c r="R1060" t="inlineStr">
        <is>
          <t>helpers</t>
        </is>
      </c>
    </row>
    <row r="1061">
      <c r="A1061">
        <f>Skills!A2</f>
        <v/>
      </c>
      <c r="B1061">
        <f>Skills!B2</f>
        <v/>
      </c>
      <c r="C1061">
        <f>Inputs!$B$3&gt;=100</f>
        <v/>
      </c>
      <c r="D1061" t="inlineStr"/>
      <c r="E1061" t="inlineStr"/>
      <c r="F1061">
        <f>T1063+Skills!N2</f>
        <v/>
      </c>
      <c r="G1061">
        <f>Calc!G2</f>
        <v/>
      </c>
      <c r="H1061">
        <f>Calc!H2</f>
        <v/>
      </c>
      <c r="I1061">
        <f>IF(Skills!T2&lt;&gt;"",1+(Skills!T2/10)*($Z$3/1000)/100,1)</f>
        <v/>
      </c>
      <c r="J1061">
        <f>(Inputs!$B$7*(1+Inputs!$B$8/100))*(F1061/100)</f>
        <v/>
      </c>
      <c r="K1061">
        <f>J1061*(1+(((Inputs!$B$14+IF(Inputs!$B$3&gt;=35,0.10*(Inputs!$B$9*(1+Inputs!$B$10/100)),0))*(1+Inputs!$B$15/100))*0.01+Inputs!$B$16*0.0025)/100)*(1+(Inputs!$B$17+B1090)/100)*(1+IF(Inputs!$B$40="pvp",0,(1-Summary!$B$48)*(Inputs!$B$22+Skills!O2+B1088)+Summary!$B$48*(Inputs!$B$23+Skills!P2+B1089))/100)*(1+Inputs!$B$18/100)*(5000/(6000+Inputs!$B$42*(1-Inputs!$B$21/100)))*(1+Inputs!$B$26/100)*(1+IF(C1076=TRUE,F1076,0)/100)*(1+IF(C1078=TRUE,F1078,0)/100)*(1+IF(Skills!A2="TRIUMPH_FEATHER",IF(C1074=TRUE,F1074,0),0)/100)*(1+IF(C1085=TRUE,F1085,0)/100)^5*(1+(IF(Skills!A2="BIG_BANG",Inputs!$B$19,Inputs!$B$20))/100)*(B1087*I1061)</f>
        <v/>
      </c>
      <c r="L1061">
        <f>K1061*(MIN(Inputs!$B$24+(F1080-Calc!F21),Inputs!$B$25)/100+Inputs!$B$25/100)/2</f>
        <v/>
      </c>
      <c r="M1061">
        <f>L1061*(1+(Inputs!$B$12+B1091+(F1083-Calc!F24))/100)</f>
        <v/>
      </c>
      <c r="N1061">
        <f>L1061*(1-MIN(Inputs!$B$11+((F1082-Calc!F23)+(F1081-Calc!F22)),100)/100)+M1061*(MIN(Inputs!$B$11+((F1082-Calc!F23)+(F1081-Calc!F22)),100)/100)</f>
        <v/>
      </c>
      <c r="O1061">
        <f>IF(C1061,Skills!F2*N1061*B1095*IF(Inputs!$B$40="pvp",1,(1-Summary!$B$48)*(1)+Summary!$B$48*(MIN((6+(Inputs!$B$35+1)),Inputs!$B$39))),0)</f>
        <v/>
      </c>
      <c r="P1061">
        <f>IF(B1097=0,0,O1061/B1097)</f>
        <v/>
      </c>
      <c r="Q1061">
        <f>IFERROR(1/IF(Inputs!$B$40="pvp",15,MAX(0.1,Skills!D2-IF(Skills!E2=TRUE,Inputs!$B$34,0))),0)</f>
        <v/>
      </c>
      <c r="R1061" t="n">
        <v>0</v>
      </c>
      <c r="T1061">
        <f>MAX(0,(Inputs!$B$3-100)*3)+Inputs!$B$30+Inputs!$B$31</f>
        <v/>
      </c>
    </row>
    <row r="1062">
      <c r="A1062">
        <f>Skills!A3</f>
        <v/>
      </c>
      <c r="B1062">
        <f>Skills!B3</f>
        <v/>
      </c>
      <c r="C1062">
        <f>Inputs!$B$3&gt;=15</f>
        <v/>
      </c>
      <c r="D1062">
        <f>IF(Skills!C3=1,60+Inputs!$B$27+Inputs!$B$31,IF(Skills!C3=2,90+Inputs!$B$28+Inputs!$B$31,IF(Skills!C3=3,120+Inputs!$B$29+Inputs!$B$31,MAX(0,(Inputs!$B$3-100)*3)+Inputs!$B$30+Inputs!$B$31)))</f>
        <v/>
      </c>
      <c r="E1062">
        <f>INDEX(FactorTable!$B$2:$Y$301, MATCH(ROUND(MIN(300,MAX(1,D1062)),0), FactorTable!$A$2:$A$301,0), Skills!L3+1)</f>
        <v/>
      </c>
      <c r="F1062">
        <f>IF(Skills!M3=TRUE,(Skills!K3/10)*(E1062/1000),Skills!K3/10)+Skills!N3</f>
        <v/>
      </c>
      <c r="G1062">
        <f>Calc!G3</f>
        <v/>
      </c>
      <c r="H1062">
        <f>Calc!H3</f>
        <v/>
      </c>
      <c r="I1062">
        <f>IF(Skills!T3&lt;&gt;"",1+(Skills!T3/10)*($Z$3/1000)/100,1)</f>
        <v/>
      </c>
      <c r="J1062" t="inlineStr"/>
      <c r="K1062" t="inlineStr"/>
      <c r="L1062" t="inlineStr"/>
      <c r="M1062" t="inlineStr"/>
      <c r="N1062" t="inlineStr"/>
      <c r="O1062" t="n">
        <v>0</v>
      </c>
      <c r="P1062">
        <f>IF(B1097=0,0,O1062/B1097)</f>
        <v/>
      </c>
      <c r="Q1062">
        <f>IFERROR(1/IF(Inputs!$B$40="pvp",15,MAX(0.1,Skills!D3-IF(Skills!E3=TRUE,Inputs!$B$34,0))),0)</f>
        <v/>
      </c>
      <c r="R1062">
        <f>IF(AND(Inputs!$B$40&lt;&gt;"pvp",Inputs!$B$43&gt;0),(INT(Inputs!$B$43/IF(Inputs!$B$40="pvp",15,MAX(0.1,Skills!D3-IF(Skills!E3=TRUE,Inputs!$B$34,0))))+1),0)</f>
        <v/>
      </c>
      <c r="T1062">
        <f>INDEX(FactorTable!$B$2:$Y$301, MATCH(ROUND(MIN(300,MAX(1,T1061)),0), FactorTable!$A$2:$A$301,0), 22)</f>
        <v/>
      </c>
    </row>
    <row r="1063">
      <c r="A1063">
        <f>Skills!A4</f>
        <v/>
      </c>
      <c r="B1063">
        <f>Skills!B4</f>
        <v/>
      </c>
      <c r="C1063">
        <f>Inputs!$B$3&gt;=38</f>
        <v/>
      </c>
      <c r="D1063">
        <f>IF(Skills!C4=1,60+Inputs!$B$27+Inputs!$B$31,IF(Skills!C4=2,90+Inputs!$B$28+Inputs!$B$31,IF(Skills!C4=3,120+Inputs!$B$29+Inputs!$B$31,MAX(0,(Inputs!$B$3-100)*3)+Inputs!$B$30+Inputs!$B$31)))</f>
        <v/>
      </c>
      <c r="E1063">
        <f>INDEX(FactorTable!$B$2:$Y$301, MATCH(ROUND(MIN(300,MAX(1,D1063)),0), FactorTable!$A$2:$A$301,0), Skills!L4+1)</f>
        <v/>
      </c>
      <c r="F1063">
        <f>IF(Skills!M4=TRUE,(Skills!K4/10)*(E1063/1000),Skills!K4/10)+Skills!N4</f>
        <v/>
      </c>
      <c r="G1063">
        <f>Calc!G4</f>
        <v/>
      </c>
      <c r="H1063">
        <f>Calc!H4</f>
        <v/>
      </c>
      <c r="I1063">
        <f>IF(Skills!T4&lt;&gt;"",1+(Skills!T4/10)*($Z$3/1000)/100,1)</f>
        <v/>
      </c>
      <c r="J1063" t="inlineStr"/>
      <c r="K1063" t="inlineStr"/>
      <c r="L1063" t="inlineStr"/>
      <c r="M1063" t="inlineStr"/>
      <c r="N1063" t="inlineStr"/>
      <c r="O1063" t="n">
        <v>0</v>
      </c>
      <c r="P1063">
        <f>IF(B1097=0,0,O1063/B1097)</f>
        <v/>
      </c>
      <c r="Q1063">
        <f>IFERROR(1/IF(Inputs!$B$40="pvp",15,MAX(0.1,Skills!D4-IF(Skills!E4=TRUE,Inputs!$B$34,0))),0)</f>
        <v/>
      </c>
      <c r="R1063">
        <f>IF(AND(Inputs!$B$40&lt;&gt;"pvp",Inputs!$B$43&gt;0),(INT(Inputs!$B$43/IF(Inputs!$B$40="pvp",15,MAX(0.1,Skills!D4-IF(Skills!E4=TRUE,Inputs!$B$34,0))))+1),0)</f>
        <v/>
      </c>
      <c r="T1063">
        <f>290*T1062/1000</f>
        <v/>
      </c>
    </row>
    <row r="1064">
      <c r="A1064">
        <f>Skills!A5</f>
        <v/>
      </c>
      <c r="B1064">
        <f>Skills!B5</f>
        <v/>
      </c>
      <c r="C1064">
        <f>Inputs!$B$3&gt;=40</f>
        <v/>
      </c>
      <c r="D1064">
        <f>IF(Skills!C5=1,60+Inputs!$B$27+Inputs!$B$31,IF(Skills!C5=2,90+Inputs!$B$28+Inputs!$B$31,IF(Skills!C5=3,120+Inputs!$B$29+Inputs!$B$31,MAX(0,(Inputs!$B$3-100)*3)+Inputs!$B$30+Inputs!$B$31)))</f>
        <v/>
      </c>
      <c r="E1064">
        <f>INDEX(FactorTable!$B$2:$Y$301, MATCH(ROUND(MIN(300,MAX(1,D1064)),0), FactorTable!$A$2:$A$301,0), Skills!L5+1)</f>
        <v/>
      </c>
      <c r="F1064">
        <f>IF(Skills!M5=TRUE,(Skills!K5/10)*(E1064/1000),Skills!K5/10)+Skills!N5</f>
        <v/>
      </c>
      <c r="G1064">
        <f>Calc!G5</f>
        <v/>
      </c>
      <c r="H1064">
        <f>Calc!H5</f>
        <v/>
      </c>
      <c r="I1064">
        <f>IF(Skills!T5&lt;&gt;"",1+(Skills!T5/10)*($Z$3/1000)/100,1)</f>
        <v/>
      </c>
      <c r="J1064" t="inlineStr"/>
      <c r="K1064" t="inlineStr"/>
      <c r="L1064" t="inlineStr"/>
      <c r="M1064" t="inlineStr"/>
      <c r="N1064" t="inlineStr"/>
      <c r="O1064" t="n">
        <v>0</v>
      </c>
      <c r="P1064">
        <f>IF(B1097=0,0,O1064/B1097)</f>
        <v/>
      </c>
      <c r="Q1064">
        <f>IFERROR(1/IF(Inputs!$B$40="pvp",15,MAX(0.1,Skills!D5-IF(Skills!E5=TRUE,Inputs!$B$34,0))),0)</f>
        <v/>
      </c>
      <c r="R1064">
        <f>IF(AND(Inputs!$B$40&lt;&gt;"pvp",Inputs!$B$43&gt;0),(INT(Inputs!$B$43/IF(Inputs!$B$40="pvp",15,MAX(0.1,Skills!D5-IF(Skills!E5=TRUE,Inputs!$B$34,0))))+1),0)</f>
        <v/>
      </c>
    </row>
    <row r="1065">
      <c r="A1065">
        <f>Skills!A6</f>
        <v/>
      </c>
      <c r="B1065">
        <f>Skills!B6</f>
        <v/>
      </c>
      <c r="C1065">
        <f>Inputs!$B$3&gt;=103</f>
        <v/>
      </c>
      <c r="D1065">
        <f>IF(Skills!C6=1,60+Inputs!$B$27+Inputs!$B$31,IF(Skills!C6=2,90+Inputs!$B$28+Inputs!$B$31,IF(Skills!C6=3,120+Inputs!$B$29+Inputs!$B$31,MAX(0,(Inputs!$B$3-100)*3)+Inputs!$B$30+Inputs!$B$31)))</f>
        <v/>
      </c>
      <c r="E1065">
        <f>INDEX(FactorTable!$B$2:$Y$301, MATCH(ROUND(MIN(300,MAX(1,D1065)),0), FactorTable!$A$2:$A$301,0), Skills!L6+1)</f>
        <v/>
      </c>
      <c r="F1065">
        <f>IF(Skills!M6=TRUE,(Skills!K6/10)*(E1065/1000),Skills!K6/10)+Skills!N6</f>
        <v/>
      </c>
      <c r="G1065">
        <f>Calc!G6</f>
        <v/>
      </c>
      <c r="H1065">
        <f>Calc!H6</f>
        <v/>
      </c>
      <c r="I1065">
        <f>IF(Skills!T6&lt;&gt;"",1+(Skills!T6/10)*($Z$3/1000)/100,1)</f>
        <v/>
      </c>
      <c r="J1065">
        <f>(Inputs!$B$7*(1+Inputs!$B$8/100))*(F1065/100)</f>
        <v/>
      </c>
      <c r="K1065">
        <f>J1065*(1+(((Inputs!$B$14+IF(Inputs!$B$3&gt;=35,0.10*(Inputs!$B$9*(1+Inputs!$B$10/100)),0))*(1+Inputs!$B$15/100))*0.01+Inputs!$B$16*0.0025)/100)*(1+(Inputs!$B$17+B1090)/100)*(1+IF(Inputs!$B$40="pvp",0,(1-Summary!$B$48)*(Inputs!$B$22+Skills!O6+B1088)+Summary!$B$48*(Inputs!$B$23+Skills!P6+B1089))/100)*(1+Inputs!$B$18/100)*(5000/(6000+Inputs!$B$42*(1-Inputs!$B$21/100)))*(1+Inputs!$B$26/100)*(1+IF(C1076=TRUE,F1076,0)/100)*(1+IF(C1078=TRUE,F1078,0)/100)*(1+IF(Skills!A6="TRIUMPH_FEATHER",IF(C1074=TRUE,F1074,0),0)/100)*(1+IF(C1085=TRUE,F1085,0)/100)^5*(1+(IF(Skills!A6="BIG_BANG",Inputs!$B$19,Inputs!$B$20))/100)*(B1087*I1065)</f>
        <v/>
      </c>
      <c r="L1065">
        <f>K1065*(MIN(Inputs!$B$24+(F1080-Calc!F21),Inputs!$B$25)/100+Inputs!$B$25/100)/2</f>
        <v/>
      </c>
      <c r="M1065">
        <f>L1065*(1+(Inputs!$B$12+B1091+(F1083-Calc!F24))/100)</f>
        <v/>
      </c>
      <c r="N1065">
        <f>L1065*(1-MIN(Inputs!$B$11+((F1082-Calc!F23)+(F1081-Calc!F22)),100)/100)+M1065*(MIN(Inputs!$B$11+((F1082-Calc!F23)+(F1081-Calc!F22)),100)/100)</f>
        <v/>
      </c>
      <c r="O1065">
        <f>IF(C1065,H1065*N1065*IF(AND(Inputs!$B$40&lt;&gt;"pvp",Inputs!$B$43&gt;0),((Skills!F6*((R1065-1)*IF(Skills!G6&gt;0,Skills!H6/Skills!G6,1)+IF(Skills!G6&gt;0,MIN(Skills!H6,MAX(0,Inputs!$B$43-((R1065-1)*IF(Inputs!$B$40="pvp",15,MAX(0.1,Skills!D6-IF(Skills!E6=TRUE,Inputs!$B$34,0))))))/Skills!G6,1)))/Inputs!$B$43),G1065*Q1065)*IF(Inputs!$B$40="pvp",1,(1-Summary!$B$48)*(1)+Summary!$B$48*(MIN(Skills!Q6,Inputs!$B$39))),0)</f>
        <v/>
      </c>
      <c r="P1065">
        <f>IF(B1097=0,0,O1065/B1097)</f>
        <v/>
      </c>
      <c r="Q1065">
        <f>IFERROR(1/IF(Inputs!$B$40="pvp",15,MAX(0.1,Skills!D6-IF(Skills!E6=TRUE,Inputs!$B$34,0))),0)</f>
        <v/>
      </c>
      <c r="R1065">
        <f>IF(AND(Inputs!$B$40&lt;&gt;"pvp",Inputs!$B$43&gt;0),(INT(Inputs!$B$43/IF(Inputs!$B$40="pvp",15,MAX(0.1,Skills!D6-IF(Skills!E6=TRUE,Inputs!$B$34,0))))+1),0)</f>
        <v/>
      </c>
    </row>
    <row r="1066">
      <c r="A1066">
        <f>Skills!A7</f>
        <v/>
      </c>
      <c r="B1066">
        <f>Skills!B7</f>
        <v/>
      </c>
      <c r="C1066">
        <f>Inputs!$B$3&gt;=122</f>
        <v/>
      </c>
      <c r="D1066">
        <f>IF(Skills!C7=1,60+Inputs!$B$27+Inputs!$B$31,IF(Skills!C7=2,90+Inputs!$B$28+Inputs!$B$31,IF(Skills!C7=3,120+Inputs!$B$29+Inputs!$B$31,MAX(0,(Inputs!$B$3-100)*3)+Inputs!$B$30+Inputs!$B$31)))</f>
        <v/>
      </c>
      <c r="E1066">
        <f>INDEX(FactorTable!$B$2:$Y$301, MATCH(ROUND(MIN(300,MAX(1,D1066)),0), FactorTable!$A$2:$A$301,0), Skills!L7+1)</f>
        <v/>
      </c>
      <c r="F1066">
        <f>IF(Skills!M7=TRUE,(Skills!K7/10)*(E1066/1000),Skills!K7/10)+Skills!N7</f>
        <v/>
      </c>
      <c r="G1066">
        <f>Calc!G7</f>
        <v/>
      </c>
      <c r="H1066">
        <f>Calc!H7</f>
        <v/>
      </c>
      <c r="I1066">
        <f>IF(Skills!T7&lt;&gt;"",1+(Skills!T7/10)*($Z$3/1000)/100,1)</f>
        <v/>
      </c>
      <c r="J1066">
        <f>(Inputs!$B$7*(1+Inputs!$B$8/100))*(F1066/100)</f>
        <v/>
      </c>
      <c r="K1066">
        <f>J1066*(1+(((Inputs!$B$14+IF(Inputs!$B$3&gt;=35,0.10*(Inputs!$B$9*(1+Inputs!$B$10/100)),0))*(1+Inputs!$B$15/100))*0.01+Inputs!$B$16*0.0025)/100)*(1+(Inputs!$B$17+B1090)/100)*(1+IF(Inputs!$B$40="pvp",0,(1-Summary!$B$48)*(Inputs!$B$22+Skills!O7+B1088)+Summary!$B$48*(Inputs!$B$23+Skills!P7+B1089))/100)*(1+Inputs!$B$18/100)*(5000/(6000+Inputs!$B$42*(1-Inputs!$B$21/100)))*(1+Inputs!$B$26/100)*(1+IF(C1076=TRUE,F1076,0)/100)*(1+IF(C1078=TRUE,F1078,0)/100)*(1+IF(Skills!A7="TRIUMPH_FEATHER",IF(C1074=TRUE,F1074,0),0)/100)*(1+IF(C1085=TRUE,F1085,0)/100)^5*(1+(IF(Skills!A7="BIG_BANG",Inputs!$B$19,Inputs!$B$20))/100)*(B1087*I1066)</f>
        <v/>
      </c>
      <c r="L1066">
        <f>K1066*(MIN(Inputs!$B$24+(F1080-Calc!F21),Inputs!$B$25)/100+Inputs!$B$25/100)/2</f>
        <v/>
      </c>
      <c r="M1066">
        <f>L1066*(1+(Inputs!$B$12+B1091+(F1083-Calc!F24))/100)</f>
        <v/>
      </c>
      <c r="N1066">
        <f>L1066*(1-MIN(Inputs!$B$11+((F1082-Calc!F23)+(F1081-Calc!F22)),100)/100)+M1066*(MIN(Inputs!$B$11+((F1082-Calc!F23)+(F1081-Calc!F22)),100)/100)</f>
        <v/>
      </c>
      <c r="O1066">
        <f>IF(C1066,H1066*N1066*IF(AND(Inputs!$B$40&lt;&gt;"pvp",Inputs!$B$43&gt;0),((Skills!F7*((R1066-1)*IF(Skills!G7&gt;0,Skills!H7/Skills!G7,1)+IF(Skills!G7&gt;0,MIN(Skills!H7,MAX(0,Inputs!$B$43-((R1066-1)*IF(Inputs!$B$40="pvp",15,MAX(0.1,Skills!D7-IF(Skills!E6=TRUE,Inputs!$B$34,0))))))/Skills!G7,1)))/Inputs!$B$43),G1066*Q1066)*(1-Summary!$B$48),0)</f>
        <v/>
      </c>
      <c r="P1066">
        <f>IF(B1097=0,0,O1066/B1097)</f>
        <v/>
      </c>
      <c r="Q1066">
        <f>IFERROR(1/IF(Inputs!$B$40="pvp",15,MAX(0.1,Skills!D7-IF(Skills!E6=TRUE,Inputs!$B$34,0))),0)</f>
        <v/>
      </c>
      <c r="R1066">
        <f>IF(AND(Inputs!$B$40&lt;&gt;"pvp",Inputs!$B$43&gt;0),(INT(Inputs!$B$43/IF(Inputs!$B$40="pvp",15,MAX(0.1,Skills!D7-IF(Skills!E6=TRUE,Inputs!$B$34,0))))+1),0)</f>
        <v/>
      </c>
    </row>
    <row r="1067">
      <c r="A1067">
        <f>Skills!A8</f>
        <v/>
      </c>
      <c r="B1067">
        <f>Skills!B8</f>
        <v/>
      </c>
      <c r="C1067">
        <f>Inputs!$B$3&gt;=105</f>
        <v/>
      </c>
      <c r="D1067">
        <f>IF(Skills!C8=1,60+Inputs!$B$27+Inputs!$B$31,IF(Skills!C8=2,90+Inputs!$B$28+Inputs!$B$31,IF(Skills!C8=3,120+Inputs!$B$29+Inputs!$B$31,MAX(0,(Inputs!$B$3-100)*3)+Inputs!$B$30+Inputs!$B$31)))</f>
        <v/>
      </c>
      <c r="E1067">
        <f>INDEX(FactorTable!$B$2:$Y$301, MATCH(ROUND(MIN(300,MAX(1,D1067)),0), FactorTable!$A$2:$A$301,0), Skills!L8+1)</f>
        <v/>
      </c>
      <c r="F1067">
        <f>IF(Skills!M8=TRUE,(Skills!K8/10)*(E1067/1000),Skills!K8/10)+Skills!N8</f>
        <v/>
      </c>
      <c r="G1067">
        <f>Calc!G8</f>
        <v/>
      </c>
      <c r="H1067">
        <f>Calc!H8</f>
        <v/>
      </c>
      <c r="I1067">
        <f>IF(Skills!T8&lt;&gt;"",1+(Skills!T8/10)*($Z$3/1000)/100,1)</f>
        <v/>
      </c>
      <c r="J1067">
        <f>(Inputs!$B$7*(1+Inputs!$B$8/100))*(F1067/100)</f>
        <v/>
      </c>
      <c r="K1067">
        <f>J1067*(1+(((Inputs!$B$14+IF(Inputs!$B$3&gt;=35,0.10*(Inputs!$B$9*(1+Inputs!$B$10/100)),0))*(1+Inputs!$B$15/100))*0.01+Inputs!$B$16*0.0025)/100)*(1+(Inputs!$B$17+B1090)/100)*(1+IF(Inputs!$B$40="pvp",0,(1-Summary!$B$48)*(Inputs!$B$22+Skills!O8+B1088)+Summary!$B$48*(Inputs!$B$23+Skills!P8+B1089))/100)*(1+Inputs!$B$18/100)*(5000/(6000+Inputs!$B$42*(1-Inputs!$B$21/100)))*(1+Inputs!$B$26/100)*(1+IF(C1076=TRUE,F1076,0)/100)*(1+IF(C1078=TRUE,F1078,0)/100)*(1+IF(Skills!A8="TRIUMPH_FEATHER",IF(C1074=TRUE,F1074,0),0)/100)*(1+IF(C1085=TRUE,F1085,0)/100)^5*(1+(IF(Skills!A8="BIG_BANG",Inputs!$B$19,Inputs!$B$20))/100)*(B1087*I1067)</f>
        <v/>
      </c>
      <c r="L1067">
        <f>K1067*(MIN(Inputs!$B$24+(F1080-Calc!F21),Inputs!$B$25)/100+Inputs!$B$25/100)/2</f>
        <v/>
      </c>
      <c r="M1067">
        <f>L1067*(1+(Inputs!$B$12+B1091+(F1083-Calc!F24))/100)</f>
        <v/>
      </c>
      <c r="N1067">
        <f>L1067*(1-MIN(Inputs!$B$11+((F1082-Calc!F23)+(F1081-Calc!F22)),100)/100)+M1067*(MIN(Inputs!$B$11+((F1082-Calc!F23)+(F1081-Calc!F22)),100)/100)</f>
        <v/>
      </c>
      <c r="O1067">
        <f>IF(C1067,H1067*N1067*IF(AND(Inputs!$B$40&lt;&gt;"pvp",Inputs!$B$43&gt;0),((Skills!F8*((R1067-1)*IF(Skills!G8&gt;0,Skills!H8/Skills!G8,1)+IF(Skills!G8&gt;0,MIN(Skills!H8,MAX(0,Inputs!$B$43-((R1067-1)*IF(Inputs!$B$40="pvp",15,MAX(0.1,Skills!D8-IF(Skills!E8=TRUE,Inputs!$B$34,0))))))/Skills!G8,1)))/Inputs!$B$43),G1067*Q1067)*IF(Inputs!$B$40="pvp",1,(1-Summary!$B$48)*(1)+Summary!$B$48*(MIN(Skills!Q8,Inputs!$B$39))),0)</f>
        <v/>
      </c>
      <c r="P1067">
        <f>IF(B1097=0,0,O1067/B1097)</f>
        <v/>
      </c>
      <c r="Q1067">
        <f>IFERROR(1/IF(Inputs!$B$40="pvp",15,MAX(0.1,Skills!D8-IF(Skills!E8=TRUE,Inputs!$B$34,0))),0)</f>
        <v/>
      </c>
      <c r="R1067">
        <f>IF(AND(Inputs!$B$40&lt;&gt;"pvp",Inputs!$B$43&gt;0),(INT(Inputs!$B$43/IF(Inputs!$B$40="pvp",15,MAX(0.1,Skills!D8-IF(Skills!E8=TRUE,Inputs!$B$34,0))))+1),0)</f>
        <v/>
      </c>
    </row>
    <row r="1068">
      <c r="A1068">
        <f>Skills!A9</f>
        <v/>
      </c>
      <c r="B1068">
        <f>Skills!B9</f>
        <v/>
      </c>
      <c r="C1068">
        <f>Inputs!$B$3&gt;=115</f>
        <v/>
      </c>
      <c r="D1068">
        <f>IF(Skills!C9=1,60+Inputs!$B$27+Inputs!$B$31,IF(Skills!C9=2,90+Inputs!$B$28+Inputs!$B$31,IF(Skills!C9=3,120+Inputs!$B$29+Inputs!$B$31,MAX(0,(Inputs!$B$3-100)*3)+Inputs!$B$30+Inputs!$B$31)))</f>
        <v/>
      </c>
      <c r="E1068">
        <f>INDEX(FactorTable!$B$2:$Y$301, MATCH(ROUND(MIN(300,MAX(1,D1068)),0), FactorTable!$A$2:$A$301,0), Skills!L9+1)</f>
        <v/>
      </c>
      <c r="F1068">
        <f>IF(Skills!M9=TRUE,(Skills!K9/10)*(E1068/1000),Skills!K9/10)+Skills!N9</f>
        <v/>
      </c>
      <c r="G1068">
        <f>Calc!G9</f>
        <v/>
      </c>
      <c r="H1068">
        <f>Calc!H9</f>
        <v/>
      </c>
      <c r="I1068">
        <f>IF(Skills!T9&lt;&gt;"",1+(Skills!T9/10)*($Z$3/1000)/100,1)</f>
        <v/>
      </c>
      <c r="J1068">
        <f>(Inputs!$B$7*(1+Inputs!$B$8/100))*(F1068/100)</f>
        <v/>
      </c>
      <c r="K1068">
        <f>J1068*(1+(((Inputs!$B$14+IF(Inputs!$B$3&gt;=35,0.10*(Inputs!$B$9*(1+Inputs!$B$10/100)),0))*(1+Inputs!$B$15/100))*0.01+Inputs!$B$16*0.0025)/100)*(1+(Inputs!$B$17+B1090)/100)*(1+IF(Inputs!$B$40="pvp",0,(1-Summary!$B$48)*(Inputs!$B$22+Skills!O9+B1088)+Summary!$B$48*(Inputs!$B$23+Skills!P9+B1089))/100)*(1+Inputs!$B$18/100)*(5000/(6000+Inputs!$B$42*(1-Inputs!$B$21/100)))*(1+Inputs!$B$26/100)*(1+IF(C1076=TRUE,F1076,0)/100)*(1+IF(C1078=TRUE,F1078,0)/100)*(1+IF(Skills!A9="TRIUMPH_FEATHER",IF(C1074=TRUE,F1074,0),0)/100)*(1+IF(C1085=TRUE,F1085,0)/100)^5*(1+(IF(Skills!A9="BIG_BANG",Inputs!$B$19,Inputs!$B$20))/100)*(B1087*I1068)</f>
        <v/>
      </c>
      <c r="L1068">
        <f>K1068*(MIN(Inputs!$B$24+(F1080-Calc!F21),Inputs!$B$25)/100+Inputs!$B$25/100)/2</f>
        <v/>
      </c>
      <c r="M1068">
        <f>L1068*(1+(Inputs!$B$12+B1091+(F1083-Calc!F24))/100)</f>
        <v/>
      </c>
      <c r="N1068">
        <f>L1068*(1-MIN(Inputs!$B$11+((F1082-Calc!F23)+(F1081-Calc!F22)),100)/100)+M1068*(MIN(Inputs!$B$11+((F1082-Calc!F23)+(F1081-Calc!F22)),100)/100)</f>
        <v/>
      </c>
      <c r="O1068">
        <f>IF(C1068,H1068*N1068*IF(AND(Inputs!$B$40&lt;&gt;"pvp",Inputs!$B$43&gt;0),((Skills!F9*((R1068-1)*IF(Skills!G9&gt;0,Skills!H9/Skills!G9,1)+IF(Skills!G9&gt;0,MIN(Skills!H9,MAX(0,Inputs!$B$43-((R1068-1)*IF(Inputs!$B$40="pvp",15,MAX(0.1,Skills!D9-IF(Skills!E9=TRUE,Inputs!$B$34,0))))))/Skills!G9,1)))/Inputs!$B$43),G1068*Q1068)*IF(Inputs!$B$40="pvp",1,(1-Summary!$B$48)*(1)+Summary!$B$48*(MIN(Skills!Q9,Inputs!$B$39))),0)</f>
        <v/>
      </c>
      <c r="P1068">
        <f>IF(B1097=0,0,O1068/B1097)</f>
        <v/>
      </c>
      <c r="Q1068">
        <f>IFERROR(1/IF(Inputs!$B$40="pvp",15,MAX(0.1,Skills!D9-IF(Skills!E9=TRUE,Inputs!$B$34,0))),0)</f>
        <v/>
      </c>
      <c r="R1068">
        <f>IF(AND(Inputs!$B$40&lt;&gt;"pvp",Inputs!$B$43&gt;0),(INT(Inputs!$B$43/IF(Inputs!$B$40="pvp",15,MAX(0.1,Skills!D9-IF(Skills!E9=TRUE,Inputs!$B$34,0))))+1),0)</f>
        <v/>
      </c>
    </row>
    <row r="1069">
      <c r="A1069">
        <f>Skills!A10</f>
        <v/>
      </c>
      <c r="B1069">
        <f>Skills!B10</f>
        <v/>
      </c>
      <c r="C1069">
        <f>Inputs!$B$3&gt;=66</f>
        <v/>
      </c>
      <c r="D1069">
        <f>IF(Skills!C10=1,60+Inputs!$B$27+Inputs!$B$31,IF(Skills!C10=2,90+Inputs!$B$28+Inputs!$B$31,IF(Skills!C10=3,120+Inputs!$B$29+Inputs!$B$31,MAX(0,(Inputs!$B$3-100)*3)+Inputs!$B$30+Inputs!$B$31)))</f>
        <v/>
      </c>
      <c r="E1069">
        <f>INDEX(FactorTable!$B$2:$Y$301, MATCH(ROUND(MIN(300,MAX(1,D1069)),0), FactorTable!$A$2:$A$301,0), Skills!L10+1)</f>
        <v/>
      </c>
      <c r="F1069" t="n">
        <v>0</v>
      </c>
      <c r="G1069">
        <f>Calc!G10</f>
        <v/>
      </c>
      <c r="H1069">
        <f>Calc!H10</f>
        <v/>
      </c>
      <c r="I1069">
        <f>IF(Skills!T10&lt;&gt;"",1+(Skills!T10/10)*($Z$3/1000)/100,1)</f>
        <v/>
      </c>
      <c r="J1069" t="inlineStr"/>
      <c r="K1069" t="inlineStr"/>
      <c r="L1069" t="inlineStr"/>
      <c r="M1069" t="inlineStr"/>
      <c r="N1069" t="inlineStr"/>
      <c r="O1069" t="n">
        <v>0</v>
      </c>
      <c r="P1069">
        <f>IF(B1097=0,0,O1069/B1097)</f>
        <v/>
      </c>
      <c r="Q1069">
        <f>IFERROR(1/IF(Inputs!$B$40="pvp",15,MAX(0.1,Skills!D10-IF(Skills!E10=TRUE,Inputs!$B$34,0))),0)</f>
        <v/>
      </c>
      <c r="R1069">
        <f>IF(AND(Inputs!$B$40&lt;&gt;"pvp",Inputs!$B$43&gt;0),(INT(Inputs!$B$43/IF(Inputs!$B$40="pvp",15,MAX(0.1,Skills!D10-IF(Skills!E10=TRUE,Inputs!$B$34,0))))+1),0)</f>
        <v/>
      </c>
    </row>
    <row r="1070">
      <c r="A1070">
        <f>Skills!A11</f>
        <v/>
      </c>
      <c r="B1070">
        <f>Skills!B11</f>
        <v/>
      </c>
      <c r="C1070">
        <f>Inputs!$B$3&gt;=69</f>
        <v/>
      </c>
      <c r="D1070">
        <f>IF(Skills!C11=1,60+Inputs!$B$27+Inputs!$B$31,IF(Skills!C11=2,90+Inputs!$B$28+Inputs!$B$31,IF(Skills!C11=3,120+Inputs!$B$29+Inputs!$B$31,MAX(0,(Inputs!$B$3-100)*3)+Inputs!$B$30+Inputs!$B$31)))</f>
        <v/>
      </c>
      <c r="E1070">
        <f>INDEX(FactorTable!$B$2:$Y$301, MATCH(ROUND(MIN(300,MAX(1,D1070)),0), FactorTable!$A$2:$A$301,0), Skills!L11+1)</f>
        <v/>
      </c>
      <c r="F1070">
        <f>IF(Skills!M11=TRUE,(Skills!K11/10)*(E1070/1000),Skills!K11/10)+Skills!N11</f>
        <v/>
      </c>
      <c r="G1070">
        <f>Calc!G11</f>
        <v/>
      </c>
      <c r="H1070">
        <f>Calc!H11</f>
        <v/>
      </c>
      <c r="I1070">
        <f>IF(Skills!T11&lt;&gt;"",1+(Skills!T11/10)*($Z$3/1000)/100,1)</f>
        <v/>
      </c>
      <c r="J1070" t="inlineStr"/>
      <c r="K1070" t="inlineStr"/>
      <c r="L1070" t="inlineStr"/>
      <c r="M1070" t="inlineStr"/>
      <c r="N1070" t="inlineStr"/>
      <c r="O1070" t="n">
        <v>0</v>
      </c>
      <c r="P1070">
        <f>IF(B1097=0,0,O1070/B1097)</f>
        <v/>
      </c>
      <c r="Q1070">
        <f>IFERROR(1/IF(Inputs!$B$40="pvp",15,MAX(0.1,Skills!D11-IF(Skills!E11=TRUE,Inputs!$B$34,0))),0)</f>
        <v/>
      </c>
      <c r="R1070">
        <f>IF(AND(Inputs!$B$40&lt;&gt;"pvp",Inputs!$B$43&gt;0),(INT(Inputs!$B$43/IF(Inputs!$B$40="pvp",15,MAX(0.1,Skills!D11-IF(Skills!E11=TRUE,Inputs!$B$34,0))))+1),0)</f>
        <v/>
      </c>
    </row>
    <row r="1071">
      <c r="A1071">
        <f>Skills!A12</f>
        <v/>
      </c>
      <c r="B1071">
        <f>Skills!B12</f>
        <v/>
      </c>
      <c r="C1071">
        <f>Inputs!$B$3&gt;=72</f>
        <v/>
      </c>
      <c r="D1071">
        <f>IF(Skills!C12=1,60+Inputs!$B$27+Inputs!$B$31,IF(Skills!C12=2,90+Inputs!$B$28+Inputs!$B$31,IF(Skills!C12=3,120+Inputs!$B$29+Inputs!$B$31,MAX(0,(Inputs!$B$3-100)*3)+Inputs!$B$30+Inputs!$B$31)))</f>
        <v/>
      </c>
      <c r="E1071">
        <f>INDEX(FactorTable!$B$2:$Y$301, MATCH(ROUND(MIN(300,MAX(1,D1071)),0), FactorTable!$A$2:$A$301,0), Skills!L12+1)</f>
        <v/>
      </c>
      <c r="F1071">
        <f>IF(Skills!M12=TRUE,(Skills!K12/10)*(E1071/1000),Skills!K12/10)+Skills!N12</f>
        <v/>
      </c>
      <c r="G1071">
        <f>Calc!G12</f>
        <v/>
      </c>
      <c r="H1071">
        <f>Calc!H12</f>
        <v/>
      </c>
      <c r="I1071">
        <f>IF(Skills!T12&lt;&gt;"",1+(Skills!T12/10)*($Z$3/1000)/100,1)</f>
        <v/>
      </c>
      <c r="J1071" t="inlineStr"/>
      <c r="K1071" t="inlineStr"/>
      <c r="L1071" t="inlineStr"/>
      <c r="M1071" t="inlineStr"/>
      <c r="N1071" t="inlineStr"/>
      <c r="O1071" t="n">
        <v>0</v>
      </c>
      <c r="P1071">
        <f>IF(B1097=0,0,O1071/B1097)</f>
        <v/>
      </c>
      <c r="Q1071">
        <f>IFERROR(1/IF(Inputs!$B$40="pvp",15,MAX(0.1,Skills!D12-IF(Skills!E12=TRUE,Inputs!$B$34,0))),0)</f>
        <v/>
      </c>
      <c r="R1071">
        <f>IF(AND(Inputs!$B$40&lt;&gt;"pvp",Inputs!$B$43&gt;0),(INT(Inputs!$B$43/IF(Inputs!$B$40="pvp",15,MAX(0.1,Skills!D12-IF(Skills!E12=TRUE,Inputs!$B$34,0))))+1),0)</f>
        <v/>
      </c>
    </row>
    <row r="1072">
      <c r="A1072">
        <f>Skills!A13</f>
        <v/>
      </c>
      <c r="B1072">
        <f>Skills!B13</f>
        <v/>
      </c>
      <c r="C1072">
        <f>Inputs!$B$3&gt;=107</f>
        <v/>
      </c>
      <c r="D1072">
        <f>IF(Skills!C13=1,60+Inputs!$B$27+Inputs!$B$31,IF(Skills!C13=2,90+Inputs!$B$28+Inputs!$B$31,IF(Skills!C13=3,120+Inputs!$B$29+Inputs!$B$31,MAX(0,(Inputs!$B$3-100)*3)+Inputs!$B$30+Inputs!$B$31)))</f>
        <v/>
      </c>
      <c r="E1072">
        <f>INDEX(FactorTable!$B$2:$Y$301, MATCH(ROUND(MIN(300,MAX(1,D1072)),0), FactorTable!$A$2:$A$301,0), Skills!L13+1)</f>
        <v/>
      </c>
      <c r="F1072">
        <f>IF(Skills!M13=TRUE,(Skills!K13/10)*(E1072/1000),Skills!K13/10)+Skills!N13</f>
        <v/>
      </c>
      <c r="G1072">
        <f>Calc!G13</f>
        <v/>
      </c>
      <c r="H1072">
        <f>Calc!H13</f>
        <v/>
      </c>
      <c r="I1072">
        <f>IF(Skills!T13&lt;&gt;"",1+(Skills!T13/10)*($Z$3/1000)/100,1)</f>
        <v/>
      </c>
      <c r="J1072" t="inlineStr"/>
      <c r="K1072" t="inlineStr"/>
      <c r="L1072" t="inlineStr"/>
      <c r="M1072" t="inlineStr"/>
      <c r="N1072" t="inlineStr"/>
      <c r="O1072" t="n">
        <v>0</v>
      </c>
      <c r="P1072">
        <f>IF(B1097=0,0,O1072/B1097)</f>
        <v/>
      </c>
      <c r="Q1072">
        <f>IFERROR(1/IF(Inputs!$B$40="pvp",15,MAX(0.1,Skills!D13-IF(Skills!E13=TRUE,Inputs!$B$34,0))),0)</f>
        <v/>
      </c>
      <c r="R1072">
        <f>IF(AND(Inputs!$B$40&lt;&gt;"pvp",Inputs!$B$43&gt;0),(INT(Inputs!$B$43/IF(Inputs!$B$40="pvp",15,MAX(0.1,Skills!D13-IF(Skills!E13=TRUE,Inputs!$B$34,0))))+1),0)</f>
        <v/>
      </c>
    </row>
    <row r="1073">
      <c r="A1073">
        <f>Skills!A14</f>
        <v/>
      </c>
      <c r="B1073">
        <f>Skills!B14</f>
        <v/>
      </c>
      <c r="C1073">
        <f>Inputs!$B$3&gt;=63</f>
        <v/>
      </c>
      <c r="D1073">
        <f>IF(Skills!C14=1,60+Inputs!$B$27+Inputs!$B$31,IF(Skills!C14=2,90+Inputs!$B$28+Inputs!$B$31,IF(Skills!C14=3,120+Inputs!$B$29+Inputs!$B$31,MAX(0,(Inputs!$B$3-100)*3)+Inputs!$B$30+Inputs!$B$31)))</f>
        <v/>
      </c>
      <c r="E1073">
        <f>INDEX(FactorTable!$B$2:$Y$301, MATCH(ROUND(MIN(300,MAX(1,D1073)),0), FactorTable!$A$2:$A$301,0), Skills!L14+1)</f>
        <v/>
      </c>
      <c r="F1073">
        <f>IF(Skills!M14=TRUE,(Skills!K14/10)*(E1073/1000),Skills!K14/10)+Skills!N14</f>
        <v/>
      </c>
      <c r="G1073">
        <f>Calc!G14</f>
        <v/>
      </c>
      <c r="H1073">
        <f>Calc!H14</f>
        <v/>
      </c>
      <c r="I1073">
        <f>IF(Skills!T14&lt;&gt;"",1+(Skills!T14/10)*($Z$3/1000)/100,1)</f>
        <v/>
      </c>
      <c r="J1073">
        <f>(Inputs!$B$7*(1+Inputs!$B$8/100))*(F1073/100)</f>
        <v/>
      </c>
      <c r="K1073">
        <f>J1073*(1+(((Inputs!$B$14+IF(Inputs!$B$3&gt;=35,0.10*(Inputs!$B$9*(1+Inputs!$B$10/100)),0))*(1+Inputs!$B$15/100))*0.01+Inputs!$B$16*0.0025)/100)*(1+(Inputs!$B$17+B1090)/100)*(1+IF(Inputs!$B$40="pvp",0,(1-Summary!$B$48)*(Inputs!$B$22+Skills!O14+B1088)+Summary!$B$48*(Inputs!$B$23+Skills!P14+B1089))/100)*(1+Inputs!$B$18/100)*(5000/(6000+Inputs!$B$42*(1-Inputs!$B$21/100)))*(1+Inputs!$B$26/100)*(1+IF(C1076=TRUE,F1076,0)/100)*(1+IF(C1078=TRUE,F1078,0)/100)*(1+IF(Skills!A14="TRIUMPH_FEATHER",IF(C1074=TRUE,F1074,0),0)/100)*(1+IF(C1085=TRUE,F1085,0)/100)^5*(1+(IF(Skills!A14="BIG_BANG",Inputs!$B$19,Inputs!$B$20))/100)*(B1087*I1073)</f>
        <v/>
      </c>
      <c r="L1073">
        <f>K1073*(MIN(Inputs!$B$24+(F1080-Calc!F21),Inputs!$B$25)/100+Inputs!$B$25/100)/2</f>
        <v/>
      </c>
      <c r="M1073">
        <f>L1073*(1+(Inputs!$B$12+B1091+(F1083-Calc!F24))/100)</f>
        <v/>
      </c>
      <c r="N1073">
        <f>L1073*(1-MIN(Inputs!$B$11+((F1082-Calc!F23)+(F1081-Calc!F22)),100)/100)+M1073*(MIN(Inputs!$B$11+((F1082-Calc!F23)+(F1081-Calc!F22)),100)/100)</f>
        <v/>
      </c>
      <c r="O1073">
        <f>IF(C1073,Skills!F14*N1073*((IF(Inputs!$B$3&gt;=78,25,15)/100*B1093*10)/(1+IF(Inputs!$B$3&gt;=78,25,15)/100*B1093*10))*(Skills!I14/100*B1093)/(1+Skills!G14*Skills!I14/100*B1093)*IF(Inputs!$B$40="pvp",1,(1-Summary!$B$48)*(1)+Summary!$B$48*(MIN(Skills!Q14,Inputs!$B$39))),0)</f>
        <v/>
      </c>
      <c r="P1073">
        <f>IF(B1097=0,0,O1073/B1097)</f>
        <v/>
      </c>
      <c r="Q1073">
        <f>IFERROR(1/IF(Inputs!$B$40="pvp",15,MAX(0.1,Skills!D14-IF(Skills!E14=TRUE,Inputs!$B$34,0))),0)</f>
        <v/>
      </c>
      <c r="R1073" t="n">
        <v>0</v>
      </c>
    </row>
    <row r="1074">
      <c r="A1074">
        <f>Skills!A15</f>
        <v/>
      </c>
      <c r="B1074">
        <f>Skills!B15</f>
        <v/>
      </c>
      <c r="C1074">
        <f>Inputs!$B$3&gt;=100</f>
        <v/>
      </c>
      <c r="D1074">
        <f>IF(Skills!C15=1,60+Inputs!$B$27+Inputs!$B$31,IF(Skills!C15=2,90+Inputs!$B$28+Inputs!$B$31,IF(Skills!C15=3,120+Inputs!$B$29+Inputs!$B$31,MAX(0,(Inputs!$B$3-100)*3)+Inputs!$B$30+Inputs!$B$31)))</f>
        <v/>
      </c>
      <c r="E1074">
        <f>INDEX(FactorTable!$B$2:$Y$301, MATCH(ROUND(MIN(300,MAX(1,D1074)),0), FactorTable!$A$2:$A$301,0), Skills!L15+1)</f>
        <v/>
      </c>
      <c r="F1074">
        <f>IF(Skills!M15=TRUE,(Skills!K15/10)*(E1074/1000),Skills!K15/10)+Skills!N15</f>
        <v/>
      </c>
      <c r="G1074">
        <f>Calc!G15</f>
        <v/>
      </c>
      <c r="H1074">
        <f>Calc!H15</f>
        <v/>
      </c>
      <c r="I1074">
        <f>IF(Skills!T15&lt;&gt;"",1+(Skills!T15/10)*($Z$3/1000)/100,1)</f>
        <v/>
      </c>
      <c r="J1074" t="inlineStr"/>
      <c r="K1074" t="inlineStr"/>
      <c r="L1074" t="inlineStr"/>
      <c r="M1074" t="inlineStr"/>
      <c r="N1074" t="inlineStr"/>
      <c r="O1074" t="n">
        <v>0</v>
      </c>
      <c r="P1074">
        <f>IF(B1097=0,0,O1074/B1097)</f>
        <v/>
      </c>
      <c r="Q1074">
        <f>IFERROR(1/IF(Inputs!$B$40="pvp",15,MAX(0.1,Skills!D15-IF(Skills!E15=TRUE,Inputs!$B$34,0))),0)</f>
        <v/>
      </c>
      <c r="R1074" t="n">
        <v>0</v>
      </c>
    </row>
    <row r="1075">
      <c r="A1075">
        <f>Skills!A16</f>
        <v/>
      </c>
      <c r="B1075">
        <f>Skills!B16</f>
        <v/>
      </c>
      <c r="C1075">
        <f>Inputs!$B$3&gt;=49</f>
        <v/>
      </c>
      <c r="D1075">
        <f>IF(Skills!C16=1,60+Inputs!$B$27+Inputs!$B$31,IF(Skills!C16=2,90+Inputs!$B$28+Inputs!$B$31,IF(Skills!C16=3,120+Inputs!$B$29+Inputs!$B$31,MAX(0,(Inputs!$B$3-100)*3)+Inputs!$B$30+Inputs!$B$31)))</f>
        <v/>
      </c>
      <c r="E1075">
        <f>INDEX(FactorTable!$B$2:$Y$301, MATCH(ROUND(MIN(300,MAX(1,D1075)),0), FactorTable!$A$2:$A$301,0), Skills!L16+1)</f>
        <v/>
      </c>
      <c r="F1075">
        <f>IF(Skills!M16=TRUE,(Skills!K16/10)*(E1075/1000),Skills!K16/10)+Skills!N16</f>
        <v/>
      </c>
      <c r="G1075">
        <f>Calc!G16</f>
        <v/>
      </c>
      <c r="H1075">
        <f>Calc!H16</f>
        <v/>
      </c>
      <c r="I1075">
        <f>IF(Skills!T16&lt;&gt;"",1+(Skills!T16/10)*($Z$3/1000)/100,1)</f>
        <v/>
      </c>
      <c r="J1075" t="inlineStr"/>
      <c r="K1075" t="inlineStr"/>
      <c r="L1075" t="inlineStr"/>
      <c r="M1075" t="inlineStr"/>
      <c r="N1075" t="inlineStr"/>
      <c r="O1075" t="n">
        <v>0</v>
      </c>
      <c r="P1075">
        <f>IF(B1097=0,0,O1075/B1097)</f>
        <v/>
      </c>
      <c r="Q1075">
        <f>IFERROR(1/IF(Inputs!$B$40="pvp",15,MAX(0.1,Skills!D16-IF(Skills!E16=TRUE,Inputs!$B$34,0))),0)</f>
        <v/>
      </c>
      <c r="R1075" t="n">
        <v>0</v>
      </c>
    </row>
    <row r="1076">
      <c r="A1076">
        <f>Skills!A17</f>
        <v/>
      </c>
      <c r="B1076">
        <f>Skills!B17</f>
        <v/>
      </c>
      <c r="C1076">
        <f>Inputs!$B$3&gt;=75</f>
        <v/>
      </c>
      <c r="D1076">
        <f>IF(Skills!C17=1,60+Inputs!$B$27+Inputs!$B$31,IF(Skills!C17=2,90+Inputs!$B$28+Inputs!$B$31,IF(Skills!C17=3,120+Inputs!$B$29+Inputs!$B$31,MAX(0,(Inputs!$B$3-100)*3)+Inputs!$B$30+Inputs!$B$31)))</f>
        <v/>
      </c>
      <c r="E1076">
        <f>INDEX(FactorTable!$B$2:$Y$301, MATCH(ROUND(MIN(300,MAX(1,D1076)),0), FactorTable!$A$2:$A$301,0), Skills!L17+1)</f>
        <v/>
      </c>
      <c r="F1076">
        <f>IF(Skills!M17=TRUE,(Skills!K17/10)*(E1076/1000),Skills!K17/10)+Skills!N17</f>
        <v/>
      </c>
      <c r="G1076">
        <f>Calc!G17</f>
        <v/>
      </c>
      <c r="H1076">
        <f>Calc!H17</f>
        <v/>
      </c>
      <c r="I1076">
        <f>IF(Skills!T17&lt;&gt;"",1+(Skills!T17/10)*($Z$3/1000)/100,1)</f>
        <v/>
      </c>
      <c r="J1076" t="inlineStr"/>
      <c r="K1076" t="inlineStr"/>
      <c r="L1076" t="inlineStr"/>
      <c r="M1076" t="inlineStr"/>
      <c r="N1076" t="inlineStr"/>
      <c r="O1076" t="n">
        <v>0</v>
      </c>
      <c r="P1076">
        <f>IF(B1097=0,0,O1076/B1097)</f>
        <v/>
      </c>
      <c r="Q1076">
        <f>IFERROR(1/IF(Inputs!$B$40="pvp",15,MAX(0.1,Skills!D17-IF(Skills!E17=TRUE,Inputs!$B$34,0))),0)</f>
        <v/>
      </c>
      <c r="R1076" t="n">
        <v>0</v>
      </c>
    </row>
    <row r="1077">
      <c r="A1077">
        <f>Skills!A18</f>
        <v/>
      </c>
      <c r="B1077">
        <f>Skills!B18</f>
        <v/>
      </c>
      <c r="C1077">
        <f>Inputs!$B$3&gt;=110</f>
        <v/>
      </c>
      <c r="D1077">
        <f>IF(Skills!C18=1,60+Inputs!$B$27+Inputs!$B$31,IF(Skills!C18=2,90+Inputs!$B$28+Inputs!$B$31,IF(Skills!C18=3,120+Inputs!$B$29+Inputs!$B$31,MAX(0,(Inputs!$B$3-100)*3)+Inputs!$B$30+Inputs!$B$31)))</f>
        <v/>
      </c>
      <c r="E1077">
        <f>INDEX(FactorTable!$B$2:$Y$301, MATCH(ROUND(MIN(300,MAX(1,D1077)),0), FactorTable!$A$2:$A$301,0), Skills!L18+1)</f>
        <v/>
      </c>
      <c r="F1077">
        <f>(Skills!K18/10)*(E1077/1000)*64/45+Skills!N18</f>
        <v/>
      </c>
      <c r="G1077">
        <f>Calc!G18</f>
        <v/>
      </c>
      <c r="H1077">
        <f>Calc!H18</f>
        <v/>
      </c>
      <c r="I1077">
        <f>IF(Skills!T18&lt;&gt;"",1+(Skills!T18/10)*($Z$3/1000)/100,1)</f>
        <v/>
      </c>
      <c r="J1077" t="inlineStr"/>
      <c r="K1077" t="inlineStr"/>
      <c r="L1077" t="inlineStr"/>
      <c r="M1077" t="inlineStr"/>
      <c r="N1077" t="inlineStr"/>
      <c r="O1077" t="n">
        <v>0</v>
      </c>
      <c r="P1077">
        <f>IF(B1097=0,0,O1077/B1097)</f>
        <v/>
      </c>
      <c r="Q1077">
        <f>IFERROR(1/IF(Inputs!$B$40="pvp",15,MAX(0.1,Skills!D18-IF(Skills!E18=TRUE,Inputs!$B$34,0))),0)</f>
        <v/>
      </c>
      <c r="R1077">
        <f>IF(AND(Inputs!$B$40&lt;&gt;"pvp",Inputs!$B$43&gt;0),(INT(Inputs!$B$43/IF(Inputs!$B$40="pvp",15,MAX(0.1,Skills!D18-IF(Skills!E18=TRUE,Inputs!$B$34,0))))+1),0)</f>
        <v/>
      </c>
    </row>
    <row r="1078">
      <c r="A1078">
        <f>Skills!A19</f>
        <v/>
      </c>
      <c r="B1078">
        <f>Skills!B19</f>
        <v/>
      </c>
      <c r="C1078">
        <f>Inputs!$B$3&gt;=125</f>
        <v/>
      </c>
      <c r="D1078">
        <f>IF(Skills!C19=1,60+Inputs!$B$27+Inputs!$B$31,IF(Skills!C19=2,90+Inputs!$B$28+Inputs!$B$31,IF(Skills!C19=3,120+Inputs!$B$29+Inputs!$B$31,MAX(0,(Inputs!$B$3-100)*3)+Inputs!$B$30+Inputs!$B$31)))</f>
        <v/>
      </c>
      <c r="E1078">
        <f>INDEX(FactorTable!$B$2:$Y$301, MATCH(ROUND(MIN(300,MAX(1,D1078)),0), FactorTable!$A$2:$A$301,0), Skills!L19+1)</f>
        <v/>
      </c>
      <c r="F1078">
        <f>IF(Skills!M19=TRUE,(Skills!K19/10)*(E1078/1000),Skills!K19/10)+Skills!N19</f>
        <v/>
      </c>
      <c r="G1078">
        <f>Calc!G19</f>
        <v/>
      </c>
      <c r="H1078">
        <f>Calc!H19</f>
        <v/>
      </c>
      <c r="I1078">
        <f>IF(Skills!T19&lt;&gt;"",1+(Skills!T19/10)*($Z$3/1000)/100,1)</f>
        <v/>
      </c>
      <c r="J1078" t="inlineStr"/>
      <c r="K1078" t="inlineStr"/>
      <c r="L1078" t="inlineStr"/>
      <c r="M1078" t="inlineStr"/>
      <c r="N1078" t="inlineStr"/>
      <c r="O1078" t="n">
        <v>0</v>
      </c>
      <c r="P1078">
        <f>IF(B1097=0,0,O1078/B1097)</f>
        <v/>
      </c>
      <c r="Q1078">
        <f>IFERROR(1/IF(Inputs!$B$40="pvp",15,MAX(0.1,Skills!D19-IF(Skills!E19=TRUE,Inputs!$B$34,0))),0)</f>
        <v/>
      </c>
      <c r="R1078" t="n">
        <v>0</v>
      </c>
    </row>
    <row r="1079">
      <c r="A1079">
        <f>Skills!A20</f>
        <v/>
      </c>
      <c r="B1079">
        <f>Skills!B20</f>
        <v/>
      </c>
      <c r="C1079">
        <f>Inputs!$B$3&gt;=33</f>
        <v/>
      </c>
      <c r="D1079">
        <f>IF(Skills!C20=1,60+Inputs!$B$27+Inputs!$B$31,IF(Skills!C20=2,90+Inputs!$B$28+Inputs!$B$31,IF(Skills!C20=3,120+Inputs!$B$29+Inputs!$B$31,MAX(0,(Inputs!$B$3-100)*3)+Inputs!$B$30+Inputs!$B$31)))</f>
        <v/>
      </c>
      <c r="E1079">
        <f>INDEX(FactorTable!$B$2:$Y$301, MATCH(ROUND(MIN(300,MAX(1,D1079)),0), FactorTable!$A$2:$A$301,0), Skills!L20+1)</f>
        <v/>
      </c>
      <c r="F1079">
        <f>IF(Skills!M20=TRUE,(Skills!K20/10)*(E1079/1000),Skills!K20/10)+Skills!N20</f>
        <v/>
      </c>
      <c r="G1079">
        <f>Calc!G20</f>
        <v/>
      </c>
      <c r="H1079">
        <f>Calc!H20</f>
        <v/>
      </c>
      <c r="I1079">
        <f>IF(Skills!T20&lt;&gt;"",1+(Skills!T20/10)*($Z$3/1000)/100,1)</f>
        <v/>
      </c>
      <c r="J1079" t="inlineStr"/>
      <c r="K1079" t="inlineStr"/>
      <c r="L1079" t="inlineStr"/>
      <c r="M1079" t="inlineStr"/>
      <c r="N1079" t="inlineStr"/>
      <c r="O1079" t="n">
        <v>0</v>
      </c>
      <c r="P1079">
        <f>IF(B1097=0,0,O1079/B1097)</f>
        <v/>
      </c>
      <c r="Q1079">
        <f>IFERROR(1/IF(Inputs!$B$40="pvp",15,MAX(0.1,Skills!D20-IF(Skills!E20=TRUE,Inputs!$B$34,0))),0)</f>
        <v/>
      </c>
      <c r="R1079" t="n">
        <v>0</v>
      </c>
    </row>
    <row r="1080">
      <c r="A1080">
        <f>Skills!A21</f>
        <v/>
      </c>
      <c r="B1080">
        <f>Skills!B21</f>
        <v/>
      </c>
      <c r="C1080">
        <f>Inputs!$B$3&gt;=43</f>
        <v/>
      </c>
      <c r="D1080">
        <f>IF(Skills!C21=1,60+Inputs!$B$27+Inputs!$B$31,IF(Skills!C21=2,90+Inputs!$B$28+Inputs!$B$31,IF(Skills!C21=3,120+Inputs!$B$29+Inputs!$B$31,MAX(0,(Inputs!$B$3-100)*3)+Inputs!$B$30+Inputs!$B$31)))</f>
        <v/>
      </c>
      <c r="E1080">
        <f>INDEX(FactorTable!$B$2:$Y$301, MATCH(ROUND(MIN(300,MAX(1,D1080)),0), FactorTable!$A$2:$A$301,0), Skills!L21+1)</f>
        <v/>
      </c>
      <c r="F1080">
        <f>IF(Skills!M21=TRUE,(Skills!K21/10)*(E1080/1000),Skills!K21/10)+Skills!N21</f>
        <v/>
      </c>
      <c r="G1080">
        <f>Calc!G21</f>
        <v/>
      </c>
      <c r="H1080">
        <f>Calc!H21</f>
        <v/>
      </c>
      <c r="I1080">
        <f>IF(Skills!T21&lt;&gt;"",1+(Skills!T21/10)*($Z$3/1000)/100,1)</f>
        <v/>
      </c>
      <c r="J1080" t="inlineStr"/>
      <c r="K1080" t="inlineStr"/>
      <c r="L1080" t="inlineStr"/>
      <c r="M1080" t="inlineStr"/>
      <c r="N1080" t="inlineStr"/>
      <c r="O1080" t="n">
        <v>0</v>
      </c>
      <c r="P1080">
        <f>IF(B1097=0,0,O1080/B1097)</f>
        <v/>
      </c>
      <c r="Q1080">
        <f>IFERROR(1/IF(Inputs!$B$40="pvp",15,MAX(0.1,Skills!D21-IF(Skills!E21=TRUE,Inputs!$B$34,0))),0)</f>
        <v/>
      </c>
      <c r="R1080" t="n">
        <v>0</v>
      </c>
    </row>
    <row r="1081">
      <c r="A1081">
        <f>Skills!A22</f>
        <v/>
      </c>
      <c r="B1081">
        <f>Skills!B22</f>
        <v/>
      </c>
      <c r="C1081">
        <f>Inputs!$B$3&gt;=50</f>
        <v/>
      </c>
      <c r="D1081">
        <f>IF(Skills!C22=1,60+Inputs!$B$27+Inputs!$B$31,IF(Skills!C22=2,90+Inputs!$B$28+Inputs!$B$31,IF(Skills!C22=3,120+Inputs!$B$29+Inputs!$B$31,MAX(0,(Inputs!$B$3-100)*3)+Inputs!$B$30+Inputs!$B$31)))</f>
        <v/>
      </c>
      <c r="E1081">
        <f>INDEX(FactorTable!$B$2:$Y$301, MATCH(ROUND(MIN(300,MAX(1,D1081)),0), FactorTable!$A$2:$A$301,0), Skills!L22+1)</f>
        <v/>
      </c>
      <c r="F1081">
        <f>IF(Skills!M22=TRUE,(Skills!K22/10)*(E1081/1000),Skills!K22/10)+Skills!N22</f>
        <v/>
      </c>
      <c r="G1081">
        <f>Calc!G22</f>
        <v/>
      </c>
      <c r="H1081">
        <f>Calc!H22</f>
        <v/>
      </c>
      <c r="I1081">
        <f>IF(Skills!T22&lt;&gt;"",1+(Skills!T22/10)*($Z$3/1000)/100,1)</f>
        <v/>
      </c>
      <c r="J1081" t="inlineStr"/>
      <c r="K1081" t="inlineStr"/>
      <c r="L1081" t="inlineStr"/>
      <c r="M1081" t="inlineStr"/>
      <c r="N1081" t="inlineStr"/>
      <c r="O1081" t="n">
        <v>0</v>
      </c>
      <c r="P1081">
        <f>IF(B1097=0,0,O1081/B1097)</f>
        <v/>
      </c>
      <c r="Q1081">
        <f>IFERROR(1/IF(Inputs!$B$40="pvp",15,MAX(0.1,Skills!D22-IF(Skills!E22=TRUE,Inputs!$B$34,0))),0)</f>
        <v/>
      </c>
      <c r="R1081" t="n">
        <v>0</v>
      </c>
    </row>
    <row r="1082">
      <c r="A1082">
        <f>Skills!A23</f>
        <v/>
      </c>
      <c r="B1082">
        <f>Skills!B23</f>
        <v/>
      </c>
      <c r="C1082">
        <f>Inputs!$B$3&gt;=74</f>
        <v/>
      </c>
      <c r="D1082">
        <f>IF(Skills!C23=1,60+Inputs!$B$27+Inputs!$B$31,IF(Skills!C23=2,90+Inputs!$B$28+Inputs!$B$31,IF(Skills!C23=3,120+Inputs!$B$29+Inputs!$B$31,MAX(0,(Inputs!$B$3-100)*3)+Inputs!$B$30+Inputs!$B$31)))</f>
        <v/>
      </c>
      <c r="E1082">
        <f>INDEX(FactorTable!$B$2:$Y$301, MATCH(ROUND(MIN(300,MAX(1,D1082)),0), FactorTable!$A$2:$A$301,0), Skills!L23+1)</f>
        <v/>
      </c>
      <c r="F1082">
        <f>IF(Skills!M23=TRUE,(Skills!K23/10)*(E1082/1000),Skills!K23/10)+Skills!N23</f>
        <v/>
      </c>
      <c r="G1082">
        <f>Calc!G23</f>
        <v/>
      </c>
      <c r="H1082">
        <f>Calc!H23</f>
        <v/>
      </c>
      <c r="I1082">
        <f>IF(Skills!T23&lt;&gt;"",1+(Skills!T23/10)*($Z$3/1000)/100,1)</f>
        <v/>
      </c>
      <c r="J1082" t="inlineStr"/>
      <c r="K1082" t="inlineStr"/>
      <c r="L1082" t="inlineStr"/>
      <c r="M1082" t="inlineStr"/>
      <c r="N1082" t="inlineStr"/>
      <c r="O1082" t="n">
        <v>0</v>
      </c>
      <c r="P1082">
        <f>IF(B1097=0,0,O1082/B1097)</f>
        <v/>
      </c>
      <c r="Q1082">
        <f>IFERROR(1/IF(Inputs!$B$40="pvp",15,MAX(0.1,Skills!D23-IF(Skills!E23=TRUE,Inputs!$B$34,0))),0)</f>
        <v/>
      </c>
      <c r="R1082" t="n">
        <v>0</v>
      </c>
    </row>
    <row r="1083">
      <c r="A1083">
        <f>Skills!A24</f>
        <v/>
      </c>
      <c r="B1083">
        <f>Skills!B24</f>
        <v/>
      </c>
      <c r="C1083">
        <f>Inputs!$B$3&gt;=74</f>
        <v/>
      </c>
      <c r="D1083">
        <f>IF(Skills!C24=1,60+Inputs!$B$27+Inputs!$B$31,IF(Skills!C24=2,90+Inputs!$B$28+Inputs!$B$31,IF(Skills!C24=3,120+Inputs!$B$29+Inputs!$B$31,MAX(0,(Inputs!$B$3-100)*3)+Inputs!$B$30+Inputs!$B$31)))</f>
        <v/>
      </c>
      <c r="E1083">
        <f>INDEX(FactorTable!$B$2:$Y$301, MATCH(ROUND(MIN(300,MAX(1,D1083)),0), FactorTable!$A$2:$A$301,0), Skills!L24+1)</f>
        <v/>
      </c>
      <c r="F1083">
        <f>IF(Skills!M24=TRUE,(Skills!K24/10)*(E1083/1000),Skills!K24/10)+Skills!N24</f>
        <v/>
      </c>
      <c r="G1083">
        <f>Calc!G24</f>
        <v/>
      </c>
      <c r="H1083">
        <f>Calc!H24</f>
        <v/>
      </c>
      <c r="I1083">
        <f>IF(Skills!T24&lt;&gt;"",1+(Skills!T24/10)*($Z$3/1000)/100,1)</f>
        <v/>
      </c>
      <c r="J1083" t="inlineStr"/>
      <c r="K1083" t="inlineStr"/>
      <c r="L1083" t="inlineStr"/>
      <c r="M1083" t="inlineStr"/>
      <c r="N1083" t="inlineStr"/>
      <c r="O1083" t="n">
        <v>0</v>
      </c>
      <c r="P1083">
        <f>IF(B1097=0,0,O1083/B1097)</f>
        <v/>
      </c>
      <c r="Q1083">
        <f>IFERROR(1/IF(Inputs!$B$40="pvp",15,MAX(0.1,Skills!D24-IF(Skills!E24=TRUE,Inputs!$B$34,0))),0)</f>
        <v/>
      </c>
      <c r="R1083" t="n">
        <v>0</v>
      </c>
    </row>
    <row r="1084">
      <c r="A1084">
        <f>Skills!A25</f>
        <v/>
      </c>
      <c r="B1084">
        <f>Skills!B25</f>
        <v/>
      </c>
      <c r="C1084">
        <f>Inputs!$B$3&gt;=117</f>
        <v/>
      </c>
      <c r="D1084">
        <f>IF(Skills!C25=1,60+Inputs!$B$27+Inputs!$B$31,IF(Skills!C25=2,90+Inputs!$B$28+Inputs!$B$31,IF(Skills!C25=3,120+Inputs!$B$29+Inputs!$B$31,MAX(0,(Inputs!$B$3-100)*3)+Inputs!$B$30+Inputs!$B$31)))</f>
        <v/>
      </c>
      <c r="E1084">
        <f>INDEX(FactorTable!$B$2:$Y$301, MATCH(ROUND(MIN(300,MAX(1,D1084)),0), FactorTable!$A$2:$A$301,0), Skills!L25+1)</f>
        <v/>
      </c>
      <c r="F1084">
        <f>IF(Skills!M25=TRUE,(Skills!K25/10)*(E1084/1000),Skills!K25/10)+Skills!N25</f>
        <v/>
      </c>
      <c r="G1084">
        <f>Calc!G25</f>
        <v/>
      </c>
      <c r="H1084">
        <f>Calc!H25</f>
        <v/>
      </c>
      <c r="I1084">
        <f>IF(Skills!T25&lt;&gt;"",1+(Skills!T25/10)*($Z$3/1000)/100,1)</f>
        <v/>
      </c>
      <c r="J1084" t="inlineStr"/>
      <c r="K1084" t="inlineStr"/>
      <c r="L1084" t="inlineStr"/>
      <c r="M1084" t="inlineStr"/>
      <c r="N1084" t="inlineStr"/>
      <c r="O1084" t="n">
        <v>0</v>
      </c>
      <c r="P1084">
        <f>IF(B1097=0,0,O1084/B1097)</f>
        <v/>
      </c>
      <c r="Q1084">
        <f>IFERROR(1/IF(Inputs!$B$40="pvp",15,MAX(0.1,Skills!D25-IF(Skills!E25=TRUE,Inputs!$B$34,0))),0)</f>
        <v/>
      </c>
      <c r="R1084" t="n">
        <v>0</v>
      </c>
    </row>
    <row r="1085">
      <c r="A1085">
        <f>Skills!A26</f>
        <v/>
      </c>
      <c r="B1085">
        <f>Skills!B26</f>
        <v/>
      </c>
      <c r="C1085">
        <f>Inputs!$B$3&gt;=120</f>
        <v/>
      </c>
      <c r="D1085">
        <f>IF(Skills!C26=1,60+Inputs!$B$27+Inputs!$B$31,IF(Skills!C26=2,90+Inputs!$B$28+Inputs!$B$31,IF(Skills!C26=3,120+Inputs!$B$29+Inputs!$B$31,MAX(0,(Inputs!$B$3-100)*3)+Inputs!$B$30+Inputs!$B$31)))</f>
        <v/>
      </c>
      <c r="E1085">
        <f>INDEX(FactorTable!$B$2:$Y$301, MATCH(ROUND(MIN(300,MAX(1,D1085)),0), FactorTable!$A$2:$A$301,0), Skills!L26+1)</f>
        <v/>
      </c>
      <c r="F1085">
        <f>IF(Skills!M26=TRUE,(Skills!K26/10)*(E1085/1000),Skills!K26/10)+Skills!N26</f>
        <v/>
      </c>
      <c r="G1085">
        <f>Calc!G26</f>
        <v/>
      </c>
      <c r="H1085">
        <f>Calc!H26</f>
        <v/>
      </c>
      <c r="I1085">
        <f>IF(Skills!T26&lt;&gt;"",1+(Skills!T26/10)*($Z$3/1000)/100,1)</f>
        <v/>
      </c>
      <c r="J1085" t="inlineStr"/>
      <c r="K1085" t="inlineStr"/>
      <c r="L1085" t="inlineStr"/>
      <c r="M1085" t="inlineStr"/>
      <c r="N1085" t="inlineStr"/>
      <c r="O1085" t="n">
        <v>0</v>
      </c>
      <c r="P1085">
        <f>IF(B1097=0,0,O1085/B1097)</f>
        <v/>
      </c>
      <c r="Q1085">
        <f>IFERROR(1/IF(Inputs!$B$40="pvp",15,MAX(0.1,Skills!D26-IF(Skills!E26=TRUE,Inputs!$B$34,0))),0)</f>
        <v/>
      </c>
      <c r="R1085" t="n">
        <v>0</v>
      </c>
    </row>
    <row r="1087">
      <c r="A1087" t="inlineStr">
        <is>
          <t>Average Buff Multiplier</t>
        </is>
      </c>
      <c r="B1087">
        <f>(1+(IF(C1062=TRUE,F1062*IF(AND(Inputs!$B$40&lt;&gt;"pvp",Inputs!$B$43&gt;0),(((R1062-1)*(Skills!S3*(1+(Inputs!$B$36+IF(Inputs!$B$3&gt;=117,F1084,0))/100))+MIN((Skills!S3*(1+(Inputs!$B$36+IF(Inputs!$B$3&gt;=117,F1084,0))/100)),MAX(0,Inputs!$B$43-((R1062-1)*Skills!D3))))/Inputs!$B$43),IF(Inputs!$B$40="pvp",MIN((Skills!S3*(1+(Inputs!$B$36+IF(Inputs!$B$3&gt;=117,F1084,0))/100)),15)/15,(Skills!S3*(1+(Inputs!$B$36+IF(Inputs!$B$3&gt;=117,F1084,0))/100))/Skills!D3)),0)+IF(C1063=TRUE,F1063*IF(AND(Inputs!$B$40&lt;&gt;"pvp",Inputs!$B$43&gt;0),(((R1063-1)*(Skills!S4*(1+(Inputs!$B$36+IF(Inputs!$B$3&gt;=117,F1084,0))/100))+MIN((Skills!S4*(1+(Inputs!$B$36+IF(Inputs!$B$3&gt;=117,F1084,0))/100)),MAX(0,Inputs!$B$43-((R1063-1)*Skills!D4))))/Inputs!$B$43),IF(Inputs!$B$40="pvp",MIN((Skills!S4*(1+(Inputs!$B$36+IF(Inputs!$B$3&gt;=117,F1084,0))/100)),15)/15,(Skills!S4*(1+(Inputs!$B$36+IF(Inputs!$B$3&gt;=117,F1084,0))/100))/Skills!D4)),0)+IF(C1064=TRUE,F1064*IF(AND(Inputs!$B$40&lt;&gt;"pvp",Inputs!$B$43&gt;0),(((R1064-1)*(Skills!S5*(1+(Inputs!$B$36+IF(Inputs!$B$3&gt;=117,F1084,0))/100))+MIN((Skills!S5*(1+(Inputs!$B$36+IF(Inputs!$B$3&gt;=117,F1084,0))/100)),MAX(0,Inputs!$B$43-((R1064-1)*Skills!D5))))/Inputs!$B$43),IF(Inputs!$B$40="pvp",MIN((Skills!S5*(1+(Inputs!$B$36+IF(Inputs!$B$3&gt;=117,F1084,0))/100)),15)/15,(Skills!S5*(1+(Inputs!$B$36+IF(Inputs!$B$3&gt;=117,F1084,0))/100))/Skills!D5)),0)+IF(C1070=TRUE,F1070*IF(AND(Inputs!$B$40&lt;&gt;"pvp",Inputs!$B$43&gt;0),(((R1070-1)*(Skills!S11*(1+(Inputs!$B$36+IF(Inputs!$B$3&gt;=117,F1084,0))/100))+MIN((Skills!S11*(1+(Inputs!$B$36+IF(Inputs!$B$3&gt;=117,F1084,0))/100)),MAX(0,Inputs!$B$43-((R1070-1)*Skills!D11))))/Inputs!$B$43),IF(Inputs!$B$40="pvp",MIN((Skills!S11*(1+(Inputs!$B$36+IF(Inputs!$B$3&gt;=117,F1084,0))/100)),15)/15,(Skills!S11*(1+(Inputs!$B$36+IF(Inputs!$B$3&gt;=117,F1084,0))/100))/Skills!D11)),0))/100)*IF(C1072=TRUE,(1+F1072*IF(AND(Inputs!$B$40&lt;&gt;"pvp",Inputs!$B$43&gt;0),(((R1072-1)*(Skills!S13*(1+(Inputs!$B$36+IF(Inputs!$B$3&gt;=117,F1084,0))/100))+MIN((Skills!S13*(1+(Inputs!$B$36+IF(Inputs!$B$3&gt;=117,F1084,0))/100)),MAX(0,Inputs!$B$43-((R1072-1)*Skills!D13))))/Inputs!$B$43),IF(Inputs!$B$40="pvp",MIN((Skills!S13*(1+(Inputs!$B$36+IF(Inputs!$B$3&gt;=117,F1084,0))/100)),15)/15,(Skills!S13*(1+(Inputs!$B$36+IF(Inputs!$B$3&gt;=117,F1084,0))/100))/Skills!D13))/100),1)*IF(C1077=TRUE,(1+F1077*IF(AND(Inputs!$B$40&lt;&gt;"pvp",Inputs!$B$43&gt;0),(((R1077-1)*(Skills!S18*(1+(Inputs!$B$36+IF(Inputs!$B$3&gt;=117,F1084,0))/100))+MIN((Skills!S18*(1+(Inputs!$B$36+IF(Inputs!$B$3&gt;=117,F1084,0))/100)),MAX(0,Inputs!$B$43-((R1077-1)*Skills!D18))))/Inputs!$B$43),IF(Inputs!$B$40="pvp",MIN((Skills!S18*(1+(Inputs!$B$36+IF(Inputs!$B$3&gt;=117,F1084,0))/100)),15)/15,(Skills!S18*(1+(Inputs!$B$36+IF(Inputs!$B$3&gt;=117,F1084,0))/100))/Skills!D18))/100),1)</f>
        <v/>
      </c>
    </row>
    <row r="1088">
      <c r="A1088" t="inlineStr">
        <is>
          <t>Monster Damage Taken Bonus % (Holy Fountain)</t>
        </is>
      </c>
      <c r="B1088">
        <f>IF(Inputs!$B$3&gt;=68,20*IF(Inputs!$B$40="pvp",MIN((15*(1+(Inputs!$B$36+IF(Inputs!$B$3&gt;=117,F1084,0))/100)),15)/15,(15*(1+(Inputs!$B$36+IF(Inputs!$B$3&gt;=117,F1084,0))/100))/Skills!D10),0)</f>
        <v/>
      </c>
    </row>
    <row r="1089">
      <c r="A1089" t="inlineStr">
        <is>
          <t>Normal Monster Damage Bonus % (Holy Symbol)</t>
        </is>
      </c>
      <c r="B1089">
        <f>IF(C1071=TRUE,F1071*IF(AND(Inputs!$B$40&lt;&gt;"pvp",Inputs!$B$43&gt;0),(((R1071-1)*(Skills!S12*(1+(Inputs!$B$36+IF(Inputs!$B$3&gt;=117,F1084,0))/100))+MIN((Skills!S12*(1+(Inputs!$B$36+IF(Inputs!$B$3&gt;=117,F1084,0))/100)),MAX(0,Inputs!$B$43-((R1071-1)*Skills!D12))))/Inputs!$B$43),IF(Inputs!$B$40="pvp",MIN((Skills!S12*(1+(Inputs!$B$36+IF(Inputs!$B$3&gt;=117,F1084,0))/100)),15)/15,(Skills!S12*(1+(Inputs!$B$36+IF(Inputs!$B$3&gt;=117,F1084,0))/100))/Skills!D12)),0)</f>
        <v/>
      </c>
    </row>
    <row r="1090">
      <c r="A1090" t="inlineStr">
        <is>
          <t>Damage % Bonus (Holy Symbol - Damage Boost)</t>
        </is>
      </c>
      <c r="B1090">
        <f>Skills!O12</f>
        <v/>
      </c>
    </row>
    <row r="1091">
      <c r="A1091" t="inlineStr">
        <is>
          <t>Crit Damage % Bonus (Blood of the Divine)</t>
        </is>
      </c>
      <c r="B1091">
        <f>4*IF(C1078=TRUE,F1078,0)</f>
        <v/>
      </c>
    </row>
    <row r="1092">
      <c r="A1092" t="inlineStr">
        <is>
          <t>Attack Speed Bonus %</t>
        </is>
      </c>
      <c r="B1092">
        <f>IF(C1075=TRUE,F1075+(F1079-Calc!F20),0)+IF(Inputs!$B$3&gt;=134,15,0)</f>
        <v/>
      </c>
    </row>
    <row r="1093">
      <c r="A1093" t="inlineStr">
        <is>
          <t>Actions Per Second</t>
        </is>
      </c>
      <c r="B1093">
        <f>1+MIN(150,150*(1-(1-Inputs!$B$13/150)*(1-B1092/150)))/100</f>
        <v/>
      </c>
    </row>
    <row r="1094">
      <c r="A1094" t="inlineStr">
        <is>
          <t>Skill + Buff Cast Rate</t>
        </is>
      </c>
      <c r="B1094">
        <f>IF(AND(Inputs!$B$40&lt;&gt;"pvp",Inputs!$B$43&gt;0),SUMPRODUCT((Skills!E2:E26=TRUE)*(C1061:C1085=TRUE)*R1061:R1085)/Inputs!$B$43,SUMPRODUCT((Skills!E2:E26=TRUE)*(C1061:C1085=TRUE)*Q1061:Q1085))</f>
        <v/>
      </c>
    </row>
    <row r="1095">
      <c r="A1095" t="inlineStr">
        <is>
          <t>Big Bang Casts Per Second</t>
        </is>
      </c>
      <c r="B1095">
        <f>MAX(0,B1093-B1094)</f>
        <v/>
      </c>
    </row>
    <row r="1097">
      <c r="A1097" s="5" t="inlineStr">
        <is>
          <t>TOTAL DPS</t>
        </is>
      </c>
      <c r="B1097" s="5">
        <f>SUM(O1061:O1085)</f>
        <v/>
      </c>
    </row>
    <row r="1100">
      <c r="A1100" s="5" t="inlineStr">
        <is>
          <t>Stat: Buff Duration Increase %</t>
        </is>
      </c>
    </row>
    <row r="1101">
      <c r="A1101" s="9" t="inlineStr">
        <is>
          <t>Key</t>
        </is>
      </c>
      <c r="B1101" s="9" t="inlineStr">
        <is>
          <t>Name</t>
        </is>
      </c>
      <c r="C1101" s="9" t="inlineStr">
        <is>
          <t>Unlocked</t>
        </is>
      </c>
      <c r="D1101" s="9" t="inlineStr">
        <is>
          <t>InputLevel</t>
        </is>
      </c>
      <c r="E1101" s="9" t="inlineStr">
        <is>
          <t>Factor</t>
        </is>
      </c>
      <c r="F1101" s="9" t="inlineStr">
        <is>
          <t>CoefficientPercent</t>
        </is>
      </c>
      <c r="G1101" s="9" t="inlineStr">
        <is>
          <t>EffectiveHits</t>
        </is>
      </c>
      <c r="H1101" s="9" t="inlineStr">
        <is>
          <t>ProcProbability</t>
        </is>
      </c>
      <c r="I1101" s="9" t="inlineStr">
        <is>
          <t>MapleHeroMultiplier</t>
        </is>
      </c>
      <c r="J1101" s="9" t="inlineStr">
        <is>
          <t>BaseDamage</t>
        </is>
      </c>
      <c r="K1101" s="9" t="inlineStr">
        <is>
          <t>BaseHitDamage</t>
        </is>
      </c>
      <c r="L1101" s="9" t="inlineStr">
        <is>
          <t>NonCritAvg</t>
        </is>
      </c>
      <c r="M1101" s="9" t="inlineStr">
        <is>
          <t>CritAvg</t>
        </is>
      </c>
      <c r="N1101" s="9" t="inlineStr">
        <is>
          <t>ExpectedDamage(perHit)</t>
        </is>
      </c>
      <c r="O1101" s="9" t="inlineStr">
        <is>
          <t>DPS</t>
        </is>
      </c>
      <c r="P1101" s="9" t="inlineStr">
        <is>
          <t>% of Total</t>
        </is>
      </c>
      <c r="R1101" t="inlineStr">
        <is>
          <t>helpers</t>
        </is>
      </c>
    </row>
    <row r="1102">
      <c r="A1102">
        <f>Skills!A2</f>
        <v/>
      </c>
      <c r="B1102">
        <f>Skills!B2</f>
        <v/>
      </c>
      <c r="C1102">
        <f>Inputs!$B$3&gt;=100</f>
        <v/>
      </c>
      <c r="D1102" t="inlineStr"/>
      <c r="E1102" t="inlineStr"/>
      <c r="F1102">
        <f>T1104+Skills!N2</f>
        <v/>
      </c>
      <c r="G1102">
        <f>Calc!G2</f>
        <v/>
      </c>
      <c r="H1102">
        <f>Calc!H2</f>
        <v/>
      </c>
      <c r="I1102">
        <f>IF(Skills!T2&lt;&gt;"",1+(Skills!T2/10)*($Z$3/1000)/100,1)</f>
        <v/>
      </c>
      <c r="J1102">
        <f>(Inputs!$B$7*(1+Inputs!$B$8/100))*(F1102/100)</f>
        <v/>
      </c>
      <c r="K1102">
        <f>J1102*(1+(((Inputs!$B$14+IF(Inputs!$B$3&gt;=35,0.10*(Inputs!$B$9*(1+Inputs!$B$10/100)),0))*(1+Inputs!$B$15/100))*0.01+Inputs!$B$16*0.0025)/100)*(1+(Inputs!$B$17+B1131)/100)*(1+IF(Inputs!$B$40="pvp",0,(1-Summary!$B$48)*(Inputs!$B$22+Skills!O2+B1129)+Summary!$B$48*(Inputs!$B$23+Skills!P2+B1130))/100)*(1+Inputs!$B$18/100)*(5000/(6000+Inputs!$B$42*(1-Inputs!$B$21/100)))*(1+Inputs!$B$26/100)*(1+IF(C1117=TRUE,F1117,0)/100)*(1+IF(C1119=TRUE,F1119,0)/100)*(1+IF(Skills!A2="TRIUMPH_FEATHER",IF(C1115=TRUE,F1115,0),0)/100)*(1+IF(C1126=TRUE,F1126,0)/100)^5*(1+(IF(Skills!A2="BIG_BANG",Inputs!$B$19,Inputs!$B$20))/100)*(B1128*I1102)</f>
        <v/>
      </c>
      <c r="L1102">
        <f>K1102*(MIN(Inputs!$B$24+(F1121-Calc!F21),Inputs!$B$25)/100+Inputs!$B$25/100)/2</f>
        <v/>
      </c>
      <c r="M1102">
        <f>L1102*(1+(Inputs!$B$12+B1132+(F1124-Calc!F24))/100)</f>
        <v/>
      </c>
      <c r="N1102">
        <f>L1102*(1-MIN(Inputs!$B$11+((F1123-Calc!F23)+(F1122-Calc!F22)),100)/100)+M1102*(MIN(Inputs!$B$11+((F1123-Calc!F23)+(F1122-Calc!F22)),100)/100)</f>
        <v/>
      </c>
      <c r="O1102">
        <f>IF(C1102,Skills!F2*N1102*B1136*IF(Inputs!$B$40="pvp",1,(1-Summary!$B$48)*(1)+Summary!$B$48*(MIN((6+Inputs!$B$35),Inputs!$B$39))),0)</f>
        <v/>
      </c>
      <c r="P1102">
        <f>IF(B1138=0,0,O1102/B1138)</f>
        <v/>
      </c>
      <c r="Q1102">
        <f>IFERROR(1/IF(Inputs!$B$40="pvp",15,MAX(0.1,Skills!D2-IF(Skills!E2=TRUE,Inputs!$B$34,0))),0)</f>
        <v/>
      </c>
      <c r="R1102" t="n">
        <v>0</v>
      </c>
      <c r="T1102">
        <f>MAX(0,(Inputs!$B$3-100)*3)+Inputs!$B$30+Inputs!$B$31</f>
        <v/>
      </c>
    </row>
    <row r="1103">
      <c r="A1103">
        <f>Skills!A3</f>
        <v/>
      </c>
      <c r="B1103">
        <f>Skills!B3</f>
        <v/>
      </c>
      <c r="C1103">
        <f>Inputs!$B$3&gt;=15</f>
        <v/>
      </c>
      <c r="D1103">
        <f>IF(Skills!C3=1,60+Inputs!$B$27+Inputs!$B$31,IF(Skills!C3=2,90+Inputs!$B$28+Inputs!$B$31,IF(Skills!C3=3,120+Inputs!$B$29+Inputs!$B$31,MAX(0,(Inputs!$B$3-100)*3)+Inputs!$B$30+Inputs!$B$31)))</f>
        <v/>
      </c>
      <c r="E1103">
        <f>INDEX(FactorTable!$B$2:$Y$301, MATCH(ROUND(MIN(300,MAX(1,D1103)),0), FactorTable!$A$2:$A$301,0), Skills!L3+1)</f>
        <v/>
      </c>
      <c r="F1103">
        <f>IF(Skills!M3=TRUE,(Skills!K3/10)*(E1103/1000),Skills!K3/10)+Skills!N3</f>
        <v/>
      </c>
      <c r="G1103">
        <f>Calc!G3</f>
        <v/>
      </c>
      <c r="H1103">
        <f>Calc!H3</f>
        <v/>
      </c>
      <c r="I1103">
        <f>IF(Skills!T3&lt;&gt;"",1+(Skills!T3/10)*($Z$3/1000)/100,1)</f>
        <v/>
      </c>
      <c r="J1103" t="inlineStr"/>
      <c r="K1103" t="inlineStr"/>
      <c r="L1103" t="inlineStr"/>
      <c r="M1103" t="inlineStr"/>
      <c r="N1103" t="inlineStr"/>
      <c r="O1103" t="n">
        <v>0</v>
      </c>
      <c r="P1103">
        <f>IF(B1138=0,0,O1103/B1138)</f>
        <v/>
      </c>
      <c r="Q1103">
        <f>IFERROR(1/IF(Inputs!$B$40="pvp",15,MAX(0.1,Skills!D3-IF(Skills!E3=TRUE,Inputs!$B$34,0))),0)</f>
        <v/>
      </c>
      <c r="R1103">
        <f>IF(AND(Inputs!$B$40&lt;&gt;"pvp",Inputs!$B$43&gt;0),(INT(Inputs!$B$43/IF(Inputs!$B$40="pvp",15,MAX(0.1,Skills!D3-IF(Skills!E3=TRUE,Inputs!$B$34,0))))+1),0)</f>
        <v/>
      </c>
      <c r="T1103">
        <f>INDEX(FactorTable!$B$2:$Y$301, MATCH(ROUND(MIN(300,MAX(1,T1102)),0), FactorTable!$A$2:$A$301,0), 22)</f>
        <v/>
      </c>
    </row>
    <row r="1104">
      <c r="A1104">
        <f>Skills!A4</f>
        <v/>
      </c>
      <c r="B1104">
        <f>Skills!B4</f>
        <v/>
      </c>
      <c r="C1104">
        <f>Inputs!$B$3&gt;=38</f>
        <v/>
      </c>
      <c r="D1104">
        <f>IF(Skills!C4=1,60+Inputs!$B$27+Inputs!$B$31,IF(Skills!C4=2,90+Inputs!$B$28+Inputs!$B$31,IF(Skills!C4=3,120+Inputs!$B$29+Inputs!$B$31,MAX(0,(Inputs!$B$3-100)*3)+Inputs!$B$30+Inputs!$B$31)))</f>
        <v/>
      </c>
      <c r="E1104">
        <f>INDEX(FactorTable!$B$2:$Y$301, MATCH(ROUND(MIN(300,MAX(1,D1104)),0), FactorTable!$A$2:$A$301,0), Skills!L4+1)</f>
        <v/>
      </c>
      <c r="F1104">
        <f>IF(Skills!M4=TRUE,(Skills!K4/10)*(E1104/1000),Skills!K4/10)+Skills!N4</f>
        <v/>
      </c>
      <c r="G1104">
        <f>Calc!G4</f>
        <v/>
      </c>
      <c r="H1104">
        <f>Calc!H4</f>
        <v/>
      </c>
      <c r="I1104">
        <f>IF(Skills!T4&lt;&gt;"",1+(Skills!T4/10)*($Z$3/1000)/100,1)</f>
        <v/>
      </c>
      <c r="J1104" t="inlineStr"/>
      <c r="K1104" t="inlineStr"/>
      <c r="L1104" t="inlineStr"/>
      <c r="M1104" t="inlineStr"/>
      <c r="N1104" t="inlineStr"/>
      <c r="O1104" t="n">
        <v>0</v>
      </c>
      <c r="P1104">
        <f>IF(B1138=0,0,O1104/B1138)</f>
        <v/>
      </c>
      <c r="Q1104">
        <f>IFERROR(1/IF(Inputs!$B$40="pvp",15,MAX(0.1,Skills!D4-IF(Skills!E4=TRUE,Inputs!$B$34,0))),0)</f>
        <v/>
      </c>
      <c r="R1104">
        <f>IF(AND(Inputs!$B$40&lt;&gt;"pvp",Inputs!$B$43&gt;0),(INT(Inputs!$B$43/IF(Inputs!$B$40="pvp",15,MAX(0.1,Skills!D4-IF(Skills!E4=TRUE,Inputs!$B$34,0))))+1),0)</f>
        <v/>
      </c>
      <c r="T1104">
        <f>290*T1103/1000</f>
        <v/>
      </c>
    </row>
    <row r="1105">
      <c r="A1105">
        <f>Skills!A5</f>
        <v/>
      </c>
      <c r="B1105">
        <f>Skills!B5</f>
        <v/>
      </c>
      <c r="C1105">
        <f>Inputs!$B$3&gt;=40</f>
        <v/>
      </c>
      <c r="D1105">
        <f>IF(Skills!C5=1,60+Inputs!$B$27+Inputs!$B$31,IF(Skills!C5=2,90+Inputs!$B$28+Inputs!$B$31,IF(Skills!C5=3,120+Inputs!$B$29+Inputs!$B$31,MAX(0,(Inputs!$B$3-100)*3)+Inputs!$B$30+Inputs!$B$31)))</f>
        <v/>
      </c>
      <c r="E1105">
        <f>INDEX(FactorTable!$B$2:$Y$301, MATCH(ROUND(MIN(300,MAX(1,D1105)),0), FactorTable!$A$2:$A$301,0), Skills!L5+1)</f>
        <v/>
      </c>
      <c r="F1105">
        <f>IF(Skills!M5=TRUE,(Skills!K5/10)*(E1105/1000),Skills!K5/10)+Skills!N5</f>
        <v/>
      </c>
      <c r="G1105">
        <f>Calc!G5</f>
        <v/>
      </c>
      <c r="H1105">
        <f>Calc!H5</f>
        <v/>
      </c>
      <c r="I1105">
        <f>IF(Skills!T5&lt;&gt;"",1+(Skills!T5/10)*($Z$3/1000)/100,1)</f>
        <v/>
      </c>
      <c r="J1105" t="inlineStr"/>
      <c r="K1105" t="inlineStr"/>
      <c r="L1105" t="inlineStr"/>
      <c r="M1105" t="inlineStr"/>
      <c r="N1105" t="inlineStr"/>
      <c r="O1105" t="n">
        <v>0</v>
      </c>
      <c r="P1105">
        <f>IF(B1138=0,0,O1105/B1138)</f>
        <v/>
      </c>
      <c r="Q1105">
        <f>IFERROR(1/IF(Inputs!$B$40="pvp",15,MAX(0.1,Skills!D5-IF(Skills!E5=TRUE,Inputs!$B$34,0))),0)</f>
        <v/>
      </c>
      <c r="R1105">
        <f>IF(AND(Inputs!$B$40&lt;&gt;"pvp",Inputs!$B$43&gt;0),(INT(Inputs!$B$43/IF(Inputs!$B$40="pvp",15,MAX(0.1,Skills!D5-IF(Skills!E5=TRUE,Inputs!$B$34,0))))+1),0)</f>
        <v/>
      </c>
    </row>
    <row r="1106">
      <c r="A1106">
        <f>Skills!A6</f>
        <v/>
      </c>
      <c r="B1106">
        <f>Skills!B6</f>
        <v/>
      </c>
      <c r="C1106">
        <f>Inputs!$B$3&gt;=103</f>
        <v/>
      </c>
      <c r="D1106">
        <f>IF(Skills!C6=1,60+Inputs!$B$27+Inputs!$B$31,IF(Skills!C6=2,90+Inputs!$B$28+Inputs!$B$31,IF(Skills!C6=3,120+Inputs!$B$29+Inputs!$B$31,MAX(0,(Inputs!$B$3-100)*3)+Inputs!$B$30+Inputs!$B$31)))</f>
        <v/>
      </c>
      <c r="E1106">
        <f>INDEX(FactorTable!$B$2:$Y$301, MATCH(ROUND(MIN(300,MAX(1,D1106)),0), FactorTable!$A$2:$A$301,0), Skills!L6+1)</f>
        <v/>
      </c>
      <c r="F1106">
        <f>IF(Skills!M6=TRUE,(Skills!K6/10)*(E1106/1000),Skills!K6/10)+Skills!N6</f>
        <v/>
      </c>
      <c r="G1106">
        <f>Calc!G6</f>
        <v/>
      </c>
      <c r="H1106">
        <f>Calc!H6</f>
        <v/>
      </c>
      <c r="I1106">
        <f>IF(Skills!T6&lt;&gt;"",1+(Skills!T6/10)*($Z$3/1000)/100,1)</f>
        <v/>
      </c>
      <c r="J1106">
        <f>(Inputs!$B$7*(1+Inputs!$B$8/100))*(F1106/100)</f>
        <v/>
      </c>
      <c r="K1106">
        <f>J1106*(1+(((Inputs!$B$14+IF(Inputs!$B$3&gt;=35,0.10*(Inputs!$B$9*(1+Inputs!$B$10/100)),0))*(1+Inputs!$B$15/100))*0.01+Inputs!$B$16*0.0025)/100)*(1+(Inputs!$B$17+B1131)/100)*(1+IF(Inputs!$B$40="pvp",0,(1-Summary!$B$48)*(Inputs!$B$22+Skills!O6+B1129)+Summary!$B$48*(Inputs!$B$23+Skills!P6+B1130))/100)*(1+Inputs!$B$18/100)*(5000/(6000+Inputs!$B$42*(1-Inputs!$B$21/100)))*(1+Inputs!$B$26/100)*(1+IF(C1117=TRUE,F1117,0)/100)*(1+IF(C1119=TRUE,F1119,0)/100)*(1+IF(Skills!A6="TRIUMPH_FEATHER",IF(C1115=TRUE,F1115,0),0)/100)*(1+IF(C1126=TRUE,F1126,0)/100)^5*(1+(IF(Skills!A6="BIG_BANG",Inputs!$B$19,Inputs!$B$20))/100)*(B1128*I1106)</f>
        <v/>
      </c>
      <c r="L1106">
        <f>K1106*(MIN(Inputs!$B$24+(F1121-Calc!F21),Inputs!$B$25)/100+Inputs!$B$25/100)/2</f>
        <v/>
      </c>
      <c r="M1106">
        <f>L1106*(1+(Inputs!$B$12+B1132+(F1124-Calc!F24))/100)</f>
        <v/>
      </c>
      <c r="N1106">
        <f>L1106*(1-MIN(Inputs!$B$11+((F1123-Calc!F23)+(F1122-Calc!F22)),100)/100)+M1106*(MIN(Inputs!$B$11+((F1123-Calc!F23)+(F1122-Calc!F22)),100)/100)</f>
        <v/>
      </c>
      <c r="O1106">
        <f>IF(C1106,H1106*N1106*IF(AND(Inputs!$B$40&lt;&gt;"pvp",Inputs!$B$43&gt;0),((Skills!F6*((R1106-1)*IF(Skills!G6&gt;0,Skills!H6/Skills!G6,1)+IF(Skills!G6&gt;0,MIN(Skills!H6,MAX(0,Inputs!$B$43-((R1106-1)*IF(Inputs!$B$40="pvp",15,MAX(0.1,Skills!D6-IF(Skills!E6=TRUE,Inputs!$B$34,0))))))/Skills!G6,1)))/Inputs!$B$43),G1106*Q1106)*IF(Inputs!$B$40="pvp",1,(1-Summary!$B$48)*(1)+Summary!$B$48*(MIN(Skills!Q6,Inputs!$B$39))),0)</f>
        <v/>
      </c>
      <c r="P1106">
        <f>IF(B1138=0,0,O1106/B1138)</f>
        <v/>
      </c>
      <c r="Q1106">
        <f>IFERROR(1/IF(Inputs!$B$40="pvp",15,MAX(0.1,Skills!D6-IF(Skills!E6=TRUE,Inputs!$B$34,0))),0)</f>
        <v/>
      </c>
      <c r="R1106">
        <f>IF(AND(Inputs!$B$40&lt;&gt;"pvp",Inputs!$B$43&gt;0),(INT(Inputs!$B$43/IF(Inputs!$B$40="pvp",15,MAX(0.1,Skills!D6-IF(Skills!E6=TRUE,Inputs!$B$34,0))))+1),0)</f>
        <v/>
      </c>
    </row>
    <row r="1107">
      <c r="A1107">
        <f>Skills!A7</f>
        <v/>
      </c>
      <c r="B1107">
        <f>Skills!B7</f>
        <v/>
      </c>
      <c r="C1107">
        <f>Inputs!$B$3&gt;=122</f>
        <v/>
      </c>
      <c r="D1107">
        <f>IF(Skills!C7=1,60+Inputs!$B$27+Inputs!$B$31,IF(Skills!C7=2,90+Inputs!$B$28+Inputs!$B$31,IF(Skills!C7=3,120+Inputs!$B$29+Inputs!$B$31,MAX(0,(Inputs!$B$3-100)*3)+Inputs!$B$30+Inputs!$B$31)))</f>
        <v/>
      </c>
      <c r="E1107">
        <f>INDEX(FactorTable!$B$2:$Y$301, MATCH(ROUND(MIN(300,MAX(1,D1107)),0), FactorTable!$A$2:$A$301,0), Skills!L7+1)</f>
        <v/>
      </c>
      <c r="F1107">
        <f>IF(Skills!M7=TRUE,(Skills!K7/10)*(E1107/1000),Skills!K7/10)+Skills!N7</f>
        <v/>
      </c>
      <c r="G1107">
        <f>Calc!G7</f>
        <v/>
      </c>
      <c r="H1107">
        <f>Calc!H7</f>
        <v/>
      </c>
      <c r="I1107">
        <f>IF(Skills!T7&lt;&gt;"",1+(Skills!T7/10)*($Z$3/1000)/100,1)</f>
        <v/>
      </c>
      <c r="J1107">
        <f>(Inputs!$B$7*(1+Inputs!$B$8/100))*(F1107/100)</f>
        <v/>
      </c>
      <c r="K1107">
        <f>J1107*(1+(((Inputs!$B$14+IF(Inputs!$B$3&gt;=35,0.10*(Inputs!$B$9*(1+Inputs!$B$10/100)),0))*(1+Inputs!$B$15/100))*0.01+Inputs!$B$16*0.0025)/100)*(1+(Inputs!$B$17+B1131)/100)*(1+IF(Inputs!$B$40="pvp",0,(1-Summary!$B$48)*(Inputs!$B$22+Skills!O7+B1129)+Summary!$B$48*(Inputs!$B$23+Skills!P7+B1130))/100)*(1+Inputs!$B$18/100)*(5000/(6000+Inputs!$B$42*(1-Inputs!$B$21/100)))*(1+Inputs!$B$26/100)*(1+IF(C1117=TRUE,F1117,0)/100)*(1+IF(C1119=TRUE,F1119,0)/100)*(1+IF(Skills!A7="TRIUMPH_FEATHER",IF(C1115=TRUE,F1115,0),0)/100)*(1+IF(C1126=TRUE,F1126,0)/100)^5*(1+(IF(Skills!A7="BIG_BANG",Inputs!$B$19,Inputs!$B$20))/100)*(B1128*I1107)</f>
        <v/>
      </c>
      <c r="L1107">
        <f>K1107*(MIN(Inputs!$B$24+(F1121-Calc!F21),Inputs!$B$25)/100+Inputs!$B$25/100)/2</f>
        <v/>
      </c>
      <c r="M1107">
        <f>L1107*(1+(Inputs!$B$12+B1132+(F1124-Calc!F24))/100)</f>
        <v/>
      </c>
      <c r="N1107">
        <f>L1107*(1-MIN(Inputs!$B$11+((F1123-Calc!F23)+(F1122-Calc!F22)),100)/100)+M1107*(MIN(Inputs!$B$11+((F1123-Calc!F23)+(F1122-Calc!F22)),100)/100)</f>
        <v/>
      </c>
      <c r="O1107">
        <f>IF(C1107,H1107*N1107*IF(AND(Inputs!$B$40&lt;&gt;"pvp",Inputs!$B$43&gt;0),((Skills!F7*((R1107-1)*IF(Skills!G7&gt;0,Skills!H7/Skills!G7,1)+IF(Skills!G7&gt;0,MIN(Skills!H7,MAX(0,Inputs!$B$43-((R1107-1)*IF(Inputs!$B$40="pvp",15,MAX(0.1,Skills!D7-IF(Skills!E6=TRUE,Inputs!$B$34,0))))))/Skills!G7,1)))/Inputs!$B$43),G1107*Q1107)*(1-Summary!$B$48),0)</f>
        <v/>
      </c>
      <c r="P1107">
        <f>IF(B1138=0,0,O1107/B1138)</f>
        <v/>
      </c>
      <c r="Q1107">
        <f>IFERROR(1/IF(Inputs!$B$40="pvp",15,MAX(0.1,Skills!D7-IF(Skills!E6=TRUE,Inputs!$B$34,0))),0)</f>
        <v/>
      </c>
      <c r="R1107">
        <f>IF(AND(Inputs!$B$40&lt;&gt;"pvp",Inputs!$B$43&gt;0),(INT(Inputs!$B$43/IF(Inputs!$B$40="pvp",15,MAX(0.1,Skills!D7-IF(Skills!E6=TRUE,Inputs!$B$34,0))))+1),0)</f>
        <v/>
      </c>
    </row>
    <row r="1108">
      <c r="A1108">
        <f>Skills!A8</f>
        <v/>
      </c>
      <c r="B1108">
        <f>Skills!B8</f>
        <v/>
      </c>
      <c r="C1108">
        <f>Inputs!$B$3&gt;=105</f>
        <v/>
      </c>
      <c r="D1108">
        <f>IF(Skills!C8=1,60+Inputs!$B$27+Inputs!$B$31,IF(Skills!C8=2,90+Inputs!$B$28+Inputs!$B$31,IF(Skills!C8=3,120+Inputs!$B$29+Inputs!$B$31,MAX(0,(Inputs!$B$3-100)*3)+Inputs!$B$30+Inputs!$B$31)))</f>
        <v/>
      </c>
      <c r="E1108">
        <f>INDEX(FactorTable!$B$2:$Y$301, MATCH(ROUND(MIN(300,MAX(1,D1108)),0), FactorTable!$A$2:$A$301,0), Skills!L8+1)</f>
        <v/>
      </c>
      <c r="F1108">
        <f>IF(Skills!M8=TRUE,(Skills!K8/10)*(E1108/1000),Skills!K8/10)+Skills!N8</f>
        <v/>
      </c>
      <c r="G1108">
        <f>Calc!G8</f>
        <v/>
      </c>
      <c r="H1108">
        <f>Calc!H8</f>
        <v/>
      </c>
      <c r="I1108">
        <f>IF(Skills!T8&lt;&gt;"",1+(Skills!T8/10)*($Z$3/1000)/100,1)</f>
        <v/>
      </c>
      <c r="J1108">
        <f>(Inputs!$B$7*(1+Inputs!$B$8/100))*(F1108/100)</f>
        <v/>
      </c>
      <c r="K1108">
        <f>J1108*(1+(((Inputs!$B$14+IF(Inputs!$B$3&gt;=35,0.10*(Inputs!$B$9*(1+Inputs!$B$10/100)),0))*(1+Inputs!$B$15/100))*0.01+Inputs!$B$16*0.0025)/100)*(1+(Inputs!$B$17+B1131)/100)*(1+IF(Inputs!$B$40="pvp",0,(1-Summary!$B$48)*(Inputs!$B$22+Skills!O8+B1129)+Summary!$B$48*(Inputs!$B$23+Skills!P8+B1130))/100)*(1+Inputs!$B$18/100)*(5000/(6000+Inputs!$B$42*(1-Inputs!$B$21/100)))*(1+Inputs!$B$26/100)*(1+IF(C1117=TRUE,F1117,0)/100)*(1+IF(C1119=TRUE,F1119,0)/100)*(1+IF(Skills!A8="TRIUMPH_FEATHER",IF(C1115=TRUE,F1115,0),0)/100)*(1+IF(C1126=TRUE,F1126,0)/100)^5*(1+(IF(Skills!A8="BIG_BANG",Inputs!$B$19,Inputs!$B$20))/100)*(B1128*I1108)</f>
        <v/>
      </c>
      <c r="L1108">
        <f>K1108*(MIN(Inputs!$B$24+(F1121-Calc!F21),Inputs!$B$25)/100+Inputs!$B$25/100)/2</f>
        <v/>
      </c>
      <c r="M1108">
        <f>L1108*(1+(Inputs!$B$12+B1132+(F1124-Calc!F24))/100)</f>
        <v/>
      </c>
      <c r="N1108">
        <f>L1108*(1-MIN(Inputs!$B$11+((F1123-Calc!F23)+(F1122-Calc!F22)),100)/100)+M1108*(MIN(Inputs!$B$11+((F1123-Calc!F23)+(F1122-Calc!F22)),100)/100)</f>
        <v/>
      </c>
      <c r="O1108">
        <f>IF(C1108,H1108*N1108*IF(AND(Inputs!$B$40&lt;&gt;"pvp",Inputs!$B$43&gt;0),((Skills!F8*((R1108-1)*IF(Skills!G8&gt;0,Skills!H8/Skills!G8,1)+IF(Skills!G8&gt;0,MIN(Skills!H8,MAX(0,Inputs!$B$43-((R1108-1)*IF(Inputs!$B$40="pvp",15,MAX(0.1,Skills!D8-IF(Skills!E8=TRUE,Inputs!$B$34,0))))))/Skills!G8,1)))/Inputs!$B$43),G1108*Q1108)*IF(Inputs!$B$40="pvp",1,(1-Summary!$B$48)*(1)+Summary!$B$48*(MIN(Skills!Q8,Inputs!$B$39))),0)</f>
        <v/>
      </c>
      <c r="P1108">
        <f>IF(B1138=0,0,O1108/B1138)</f>
        <v/>
      </c>
      <c r="Q1108">
        <f>IFERROR(1/IF(Inputs!$B$40="pvp",15,MAX(0.1,Skills!D8-IF(Skills!E8=TRUE,Inputs!$B$34,0))),0)</f>
        <v/>
      </c>
      <c r="R1108">
        <f>IF(AND(Inputs!$B$40&lt;&gt;"pvp",Inputs!$B$43&gt;0),(INT(Inputs!$B$43/IF(Inputs!$B$40="pvp",15,MAX(0.1,Skills!D8-IF(Skills!E8=TRUE,Inputs!$B$34,0))))+1),0)</f>
        <v/>
      </c>
    </row>
    <row r="1109">
      <c r="A1109">
        <f>Skills!A9</f>
        <v/>
      </c>
      <c r="B1109">
        <f>Skills!B9</f>
        <v/>
      </c>
      <c r="C1109">
        <f>Inputs!$B$3&gt;=115</f>
        <v/>
      </c>
      <c r="D1109">
        <f>IF(Skills!C9=1,60+Inputs!$B$27+Inputs!$B$31,IF(Skills!C9=2,90+Inputs!$B$28+Inputs!$B$31,IF(Skills!C9=3,120+Inputs!$B$29+Inputs!$B$31,MAX(0,(Inputs!$B$3-100)*3)+Inputs!$B$30+Inputs!$B$31)))</f>
        <v/>
      </c>
      <c r="E1109">
        <f>INDEX(FactorTable!$B$2:$Y$301, MATCH(ROUND(MIN(300,MAX(1,D1109)),0), FactorTable!$A$2:$A$301,0), Skills!L9+1)</f>
        <v/>
      </c>
      <c r="F1109">
        <f>IF(Skills!M9=TRUE,(Skills!K9/10)*(E1109/1000),Skills!K9/10)+Skills!N9</f>
        <v/>
      </c>
      <c r="G1109">
        <f>Calc!G9</f>
        <v/>
      </c>
      <c r="H1109">
        <f>Calc!H9</f>
        <v/>
      </c>
      <c r="I1109">
        <f>IF(Skills!T9&lt;&gt;"",1+(Skills!T9/10)*($Z$3/1000)/100,1)</f>
        <v/>
      </c>
      <c r="J1109">
        <f>(Inputs!$B$7*(1+Inputs!$B$8/100))*(F1109/100)</f>
        <v/>
      </c>
      <c r="K1109">
        <f>J1109*(1+(((Inputs!$B$14+IF(Inputs!$B$3&gt;=35,0.10*(Inputs!$B$9*(1+Inputs!$B$10/100)),0))*(1+Inputs!$B$15/100))*0.01+Inputs!$B$16*0.0025)/100)*(1+(Inputs!$B$17+B1131)/100)*(1+IF(Inputs!$B$40="pvp",0,(1-Summary!$B$48)*(Inputs!$B$22+Skills!O9+B1129)+Summary!$B$48*(Inputs!$B$23+Skills!P9+B1130))/100)*(1+Inputs!$B$18/100)*(5000/(6000+Inputs!$B$42*(1-Inputs!$B$21/100)))*(1+Inputs!$B$26/100)*(1+IF(C1117=TRUE,F1117,0)/100)*(1+IF(C1119=TRUE,F1119,0)/100)*(1+IF(Skills!A9="TRIUMPH_FEATHER",IF(C1115=TRUE,F1115,0),0)/100)*(1+IF(C1126=TRUE,F1126,0)/100)^5*(1+(IF(Skills!A9="BIG_BANG",Inputs!$B$19,Inputs!$B$20))/100)*(B1128*I1109)</f>
        <v/>
      </c>
      <c r="L1109">
        <f>K1109*(MIN(Inputs!$B$24+(F1121-Calc!F21),Inputs!$B$25)/100+Inputs!$B$25/100)/2</f>
        <v/>
      </c>
      <c r="M1109">
        <f>L1109*(1+(Inputs!$B$12+B1132+(F1124-Calc!F24))/100)</f>
        <v/>
      </c>
      <c r="N1109">
        <f>L1109*(1-MIN(Inputs!$B$11+((F1123-Calc!F23)+(F1122-Calc!F22)),100)/100)+M1109*(MIN(Inputs!$B$11+((F1123-Calc!F23)+(F1122-Calc!F22)),100)/100)</f>
        <v/>
      </c>
      <c r="O1109">
        <f>IF(C1109,H1109*N1109*IF(AND(Inputs!$B$40&lt;&gt;"pvp",Inputs!$B$43&gt;0),((Skills!F9*((R1109-1)*IF(Skills!G9&gt;0,Skills!H9/Skills!G9,1)+IF(Skills!G9&gt;0,MIN(Skills!H9,MAX(0,Inputs!$B$43-((R1109-1)*IF(Inputs!$B$40="pvp",15,MAX(0.1,Skills!D9-IF(Skills!E9=TRUE,Inputs!$B$34,0))))))/Skills!G9,1)))/Inputs!$B$43),G1109*Q1109)*IF(Inputs!$B$40="pvp",1,(1-Summary!$B$48)*(1)+Summary!$B$48*(MIN(Skills!Q9,Inputs!$B$39))),0)</f>
        <v/>
      </c>
      <c r="P1109">
        <f>IF(B1138=0,0,O1109/B1138)</f>
        <v/>
      </c>
      <c r="Q1109">
        <f>IFERROR(1/IF(Inputs!$B$40="pvp",15,MAX(0.1,Skills!D9-IF(Skills!E9=TRUE,Inputs!$B$34,0))),0)</f>
        <v/>
      </c>
      <c r="R1109">
        <f>IF(AND(Inputs!$B$40&lt;&gt;"pvp",Inputs!$B$43&gt;0),(INT(Inputs!$B$43/IF(Inputs!$B$40="pvp",15,MAX(0.1,Skills!D9-IF(Skills!E9=TRUE,Inputs!$B$34,0))))+1),0)</f>
        <v/>
      </c>
    </row>
    <row r="1110">
      <c r="A1110">
        <f>Skills!A10</f>
        <v/>
      </c>
      <c r="B1110">
        <f>Skills!B10</f>
        <v/>
      </c>
      <c r="C1110">
        <f>Inputs!$B$3&gt;=66</f>
        <v/>
      </c>
      <c r="D1110">
        <f>IF(Skills!C10=1,60+Inputs!$B$27+Inputs!$B$31,IF(Skills!C10=2,90+Inputs!$B$28+Inputs!$B$31,IF(Skills!C10=3,120+Inputs!$B$29+Inputs!$B$31,MAX(0,(Inputs!$B$3-100)*3)+Inputs!$B$30+Inputs!$B$31)))</f>
        <v/>
      </c>
      <c r="E1110">
        <f>INDEX(FactorTable!$B$2:$Y$301, MATCH(ROUND(MIN(300,MAX(1,D1110)),0), FactorTable!$A$2:$A$301,0), Skills!L10+1)</f>
        <v/>
      </c>
      <c r="F1110" t="n">
        <v>0</v>
      </c>
      <c r="G1110">
        <f>Calc!G10</f>
        <v/>
      </c>
      <c r="H1110">
        <f>Calc!H10</f>
        <v/>
      </c>
      <c r="I1110">
        <f>IF(Skills!T10&lt;&gt;"",1+(Skills!T10/10)*($Z$3/1000)/100,1)</f>
        <v/>
      </c>
      <c r="J1110" t="inlineStr"/>
      <c r="K1110" t="inlineStr"/>
      <c r="L1110" t="inlineStr"/>
      <c r="M1110" t="inlineStr"/>
      <c r="N1110" t="inlineStr"/>
      <c r="O1110" t="n">
        <v>0</v>
      </c>
      <c r="P1110">
        <f>IF(B1138=0,0,O1110/B1138)</f>
        <v/>
      </c>
      <c r="Q1110">
        <f>IFERROR(1/IF(Inputs!$B$40="pvp",15,MAX(0.1,Skills!D10-IF(Skills!E10=TRUE,Inputs!$B$34,0))),0)</f>
        <v/>
      </c>
      <c r="R1110">
        <f>IF(AND(Inputs!$B$40&lt;&gt;"pvp",Inputs!$B$43&gt;0),(INT(Inputs!$B$43/IF(Inputs!$B$40="pvp",15,MAX(0.1,Skills!D10-IF(Skills!E10=TRUE,Inputs!$B$34,0))))+1),0)</f>
        <v/>
      </c>
    </row>
    <row r="1111">
      <c r="A1111">
        <f>Skills!A11</f>
        <v/>
      </c>
      <c r="B1111">
        <f>Skills!B11</f>
        <v/>
      </c>
      <c r="C1111">
        <f>Inputs!$B$3&gt;=69</f>
        <v/>
      </c>
      <c r="D1111">
        <f>IF(Skills!C11=1,60+Inputs!$B$27+Inputs!$B$31,IF(Skills!C11=2,90+Inputs!$B$28+Inputs!$B$31,IF(Skills!C11=3,120+Inputs!$B$29+Inputs!$B$31,MAX(0,(Inputs!$B$3-100)*3)+Inputs!$B$30+Inputs!$B$31)))</f>
        <v/>
      </c>
      <c r="E1111">
        <f>INDEX(FactorTable!$B$2:$Y$301, MATCH(ROUND(MIN(300,MAX(1,D1111)),0), FactorTable!$A$2:$A$301,0), Skills!L11+1)</f>
        <v/>
      </c>
      <c r="F1111">
        <f>IF(Skills!M11=TRUE,(Skills!K11/10)*(E1111/1000),Skills!K11/10)+Skills!N11</f>
        <v/>
      </c>
      <c r="G1111">
        <f>Calc!G11</f>
        <v/>
      </c>
      <c r="H1111">
        <f>Calc!H11</f>
        <v/>
      </c>
      <c r="I1111">
        <f>IF(Skills!T11&lt;&gt;"",1+(Skills!T11/10)*($Z$3/1000)/100,1)</f>
        <v/>
      </c>
      <c r="J1111" t="inlineStr"/>
      <c r="K1111" t="inlineStr"/>
      <c r="L1111" t="inlineStr"/>
      <c r="M1111" t="inlineStr"/>
      <c r="N1111" t="inlineStr"/>
      <c r="O1111" t="n">
        <v>0</v>
      </c>
      <c r="P1111">
        <f>IF(B1138=0,0,O1111/B1138)</f>
        <v/>
      </c>
      <c r="Q1111">
        <f>IFERROR(1/IF(Inputs!$B$40="pvp",15,MAX(0.1,Skills!D11-IF(Skills!E11=TRUE,Inputs!$B$34,0))),0)</f>
        <v/>
      </c>
      <c r="R1111">
        <f>IF(AND(Inputs!$B$40&lt;&gt;"pvp",Inputs!$B$43&gt;0),(INT(Inputs!$B$43/IF(Inputs!$B$40="pvp",15,MAX(0.1,Skills!D11-IF(Skills!E11=TRUE,Inputs!$B$34,0))))+1),0)</f>
        <v/>
      </c>
    </row>
    <row r="1112">
      <c r="A1112">
        <f>Skills!A12</f>
        <v/>
      </c>
      <c r="B1112">
        <f>Skills!B12</f>
        <v/>
      </c>
      <c r="C1112">
        <f>Inputs!$B$3&gt;=72</f>
        <v/>
      </c>
      <c r="D1112">
        <f>IF(Skills!C12=1,60+Inputs!$B$27+Inputs!$B$31,IF(Skills!C12=2,90+Inputs!$B$28+Inputs!$B$31,IF(Skills!C12=3,120+Inputs!$B$29+Inputs!$B$31,MAX(0,(Inputs!$B$3-100)*3)+Inputs!$B$30+Inputs!$B$31)))</f>
        <v/>
      </c>
      <c r="E1112">
        <f>INDEX(FactorTable!$B$2:$Y$301, MATCH(ROUND(MIN(300,MAX(1,D1112)),0), FactorTable!$A$2:$A$301,0), Skills!L12+1)</f>
        <v/>
      </c>
      <c r="F1112">
        <f>IF(Skills!M12=TRUE,(Skills!K12/10)*(E1112/1000),Skills!K12/10)+Skills!N12</f>
        <v/>
      </c>
      <c r="G1112">
        <f>Calc!G12</f>
        <v/>
      </c>
      <c r="H1112">
        <f>Calc!H12</f>
        <v/>
      </c>
      <c r="I1112">
        <f>IF(Skills!T12&lt;&gt;"",1+(Skills!T12/10)*($Z$3/1000)/100,1)</f>
        <v/>
      </c>
      <c r="J1112" t="inlineStr"/>
      <c r="K1112" t="inlineStr"/>
      <c r="L1112" t="inlineStr"/>
      <c r="M1112" t="inlineStr"/>
      <c r="N1112" t="inlineStr"/>
      <c r="O1112" t="n">
        <v>0</v>
      </c>
      <c r="P1112">
        <f>IF(B1138=0,0,O1112/B1138)</f>
        <v/>
      </c>
      <c r="Q1112">
        <f>IFERROR(1/IF(Inputs!$B$40="pvp",15,MAX(0.1,Skills!D12-IF(Skills!E12=TRUE,Inputs!$B$34,0))),0)</f>
        <v/>
      </c>
      <c r="R1112">
        <f>IF(AND(Inputs!$B$40&lt;&gt;"pvp",Inputs!$B$43&gt;0),(INT(Inputs!$B$43/IF(Inputs!$B$40="pvp",15,MAX(0.1,Skills!D12-IF(Skills!E12=TRUE,Inputs!$B$34,0))))+1),0)</f>
        <v/>
      </c>
    </row>
    <row r="1113">
      <c r="A1113">
        <f>Skills!A13</f>
        <v/>
      </c>
      <c r="B1113">
        <f>Skills!B13</f>
        <v/>
      </c>
      <c r="C1113">
        <f>Inputs!$B$3&gt;=107</f>
        <v/>
      </c>
      <c r="D1113">
        <f>IF(Skills!C13=1,60+Inputs!$B$27+Inputs!$B$31,IF(Skills!C13=2,90+Inputs!$B$28+Inputs!$B$31,IF(Skills!C13=3,120+Inputs!$B$29+Inputs!$B$31,MAX(0,(Inputs!$B$3-100)*3)+Inputs!$B$30+Inputs!$B$31)))</f>
        <v/>
      </c>
      <c r="E1113">
        <f>INDEX(FactorTable!$B$2:$Y$301, MATCH(ROUND(MIN(300,MAX(1,D1113)),0), FactorTable!$A$2:$A$301,0), Skills!L13+1)</f>
        <v/>
      </c>
      <c r="F1113">
        <f>IF(Skills!M13=TRUE,(Skills!K13/10)*(E1113/1000),Skills!K13/10)+Skills!N13</f>
        <v/>
      </c>
      <c r="G1113">
        <f>Calc!G13</f>
        <v/>
      </c>
      <c r="H1113">
        <f>Calc!H13</f>
        <v/>
      </c>
      <c r="I1113">
        <f>IF(Skills!T13&lt;&gt;"",1+(Skills!T13/10)*($Z$3/1000)/100,1)</f>
        <v/>
      </c>
      <c r="J1113" t="inlineStr"/>
      <c r="K1113" t="inlineStr"/>
      <c r="L1113" t="inlineStr"/>
      <c r="M1113" t="inlineStr"/>
      <c r="N1113" t="inlineStr"/>
      <c r="O1113" t="n">
        <v>0</v>
      </c>
      <c r="P1113">
        <f>IF(B1138=0,0,O1113/B1138)</f>
        <v/>
      </c>
      <c r="Q1113">
        <f>IFERROR(1/IF(Inputs!$B$40="pvp",15,MAX(0.1,Skills!D13-IF(Skills!E13=TRUE,Inputs!$B$34,0))),0)</f>
        <v/>
      </c>
      <c r="R1113">
        <f>IF(AND(Inputs!$B$40&lt;&gt;"pvp",Inputs!$B$43&gt;0),(INT(Inputs!$B$43/IF(Inputs!$B$40="pvp",15,MAX(0.1,Skills!D13-IF(Skills!E13=TRUE,Inputs!$B$34,0))))+1),0)</f>
        <v/>
      </c>
    </row>
    <row r="1114">
      <c r="A1114">
        <f>Skills!A14</f>
        <v/>
      </c>
      <c r="B1114">
        <f>Skills!B14</f>
        <v/>
      </c>
      <c r="C1114">
        <f>Inputs!$B$3&gt;=63</f>
        <v/>
      </c>
      <c r="D1114">
        <f>IF(Skills!C14=1,60+Inputs!$B$27+Inputs!$B$31,IF(Skills!C14=2,90+Inputs!$B$28+Inputs!$B$31,IF(Skills!C14=3,120+Inputs!$B$29+Inputs!$B$31,MAX(0,(Inputs!$B$3-100)*3)+Inputs!$B$30+Inputs!$B$31)))</f>
        <v/>
      </c>
      <c r="E1114">
        <f>INDEX(FactorTable!$B$2:$Y$301, MATCH(ROUND(MIN(300,MAX(1,D1114)),0), FactorTable!$A$2:$A$301,0), Skills!L14+1)</f>
        <v/>
      </c>
      <c r="F1114">
        <f>IF(Skills!M14=TRUE,(Skills!K14/10)*(E1114/1000),Skills!K14/10)+Skills!N14</f>
        <v/>
      </c>
      <c r="G1114">
        <f>Calc!G14</f>
        <v/>
      </c>
      <c r="H1114">
        <f>Calc!H14</f>
        <v/>
      </c>
      <c r="I1114">
        <f>IF(Skills!T14&lt;&gt;"",1+(Skills!T14/10)*($Z$3/1000)/100,1)</f>
        <v/>
      </c>
      <c r="J1114">
        <f>(Inputs!$B$7*(1+Inputs!$B$8/100))*(F1114/100)</f>
        <v/>
      </c>
      <c r="K1114">
        <f>J1114*(1+(((Inputs!$B$14+IF(Inputs!$B$3&gt;=35,0.10*(Inputs!$B$9*(1+Inputs!$B$10/100)),0))*(1+Inputs!$B$15/100))*0.01+Inputs!$B$16*0.0025)/100)*(1+(Inputs!$B$17+B1131)/100)*(1+IF(Inputs!$B$40="pvp",0,(1-Summary!$B$48)*(Inputs!$B$22+Skills!O14+B1129)+Summary!$B$48*(Inputs!$B$23+Skills!P14+B1130))/100)*(1+Inputs!$B$18/100)*(5000/(6000+Inputs!$B$42*(1-Inputs!$B$21/100)))*(1+Inputs!$B$26/100)*(1+IF(C1117=TRUE,F1117,0)/100)*(1+IF(C1119=TRUE,F1119,0)/100)*(1+IF(Skills!A14="TRIUMPH_FEATHER",IF(C1115=TRUE,F1115,0),0)/100)*(1+IF(C1126=TRUE,F1126,0)/100)^5*(1+(IF(Skills!A14="BIG_BANG",Inputs!$B$19,Inputs!$B$20))/100)*(B1128*I1114)</f>
        <v/>
      </c>
      <c r="L1114">
        <f>K1114*(MIN(Inputs!$B$24+(F1121-Calc!F21),Inputs!$B$25)/100+Inputs!$B$25/100)/2</f>
        <v/>
      </c>
      <c r="M1114">
        <f>L1114*(1+(Inputs!$B$12+B1132+(F1124-Calc!F24))/100)</f>
        <v/>
      </c>
      <c r="N1114">
        <f>L1114*(1-MIN(Inputs!$B$11+((F1123-Calc!F23)+(F1122-Calc!F22)),100)/100)+M1114*(MIN(Inputs!$B$11+((F1123-Calc!F23)+(F1122-Calc!F22)),100)/100)</f>
        <v/>
      </c>
      <c r="O1114">
        <f>IF(C1114,Skills!F14*N1114*((IF(Inputs!$B$3&gt;=78,25,15)/100*B1134*10)/(1+IF(Inputs!$B$3&gt;=78,25,15)/100*B1134*10))*(Skills!I14/100*B1134)/(1+Skills!G14*Skills!I14/100*B1134)*IF(Inputs!$B$40="pvp",1,(1-Summary!$B$48)*(1)+Summary!$B$48*(MIN(Skills!Q14,Inputs!$B$39))),0)</f>
        <v/>
      </c>
      <c r="P1114">
        <f>IF(B1138=0,0,O1114/B1138)</f>
        <v/>
      </c>
      <c r="Q1114">
        <f>IFERROR(1/IF(Inputs!$B$40="pvp",15,MAX(0.1,Skills!D14-IF(Skills!E14=TRUE,Inputs!$B$34,0))),0)</f>
        <v/>
      </c>
      <c r="R1114" t="n">
        <v>0</v>
      </c>
    </row>
    <row r="1115">
      <c r="A1115">
        <f>Skills!A15</f>
        <v/>
      </c>
      <c r="B1115">
        <f>Skills!B15</f>
        <v/>
      </c>
      <c r="C1115">
        <f>Inputs!$B$3&gt;=100</f>
        <v/>
      </c>
      <c r="D1115">
        <f>IF(Skills!C15=1,60+Inputs!$B$27+Inputs!$B$31,IF(Skills!C15=2,90+Inputs!$B$28+Inputs!$B$31,IF(Skills!C15=3,120+Inputs!$B$29+Inputs!$B$31,MAX(0,(Inputs!$B$3-100)*3)+Inputs!$B$30+Inputs!$B$31)))</f>
        <v/>
      </c>
      <c r="E1115">
        <f>INDEX(FactorTable!$B$2:$Y$301, MATCH(ROUND(MIN(300,MAX(1,D1115)),0), FactorTable!$A$2:$A$301,0), Skills!L15+1)</f>
        <v/>
      </c>
      <c r="F1115">
        <f>IF(Skills!M15=TRUE,(Skills!K15/10)*(E1115/1000),Skills!K15/10)+Skills!N15</f>
        <v/>
      </c>
      <c r="G1115">
        <f>Calc!G15</f>
        <v/>
      </c>
      <c r="H1115">
        <f>Calc!H15</f>
        <v/>
      </c>
      <c r="I1115">
        <f>IF(Skills!T15&lt;&gt;"",1+(Skills!T15/10)*($Z$3/1000)/100,1)</f>
        <v/>
      </c>
      <c r="J1115" t="inlineStr"/>
      <c r="K1115" t="inlineStr"/>
      <c r="L1115" t="inlineStr"/>
      <c r="M1115" t="inlineStr"/>
      <c r="N1115" t="inlineStr"/>
      <c r="O1115" t="n">
        <v>0</v>
      </c>
      <c r="P1115">
        <f>IF(B1138=0,0,O1115/B1138)</f>
        <v/>
      </c>
      <c r="Q1115">
        <f>IFERROR(1/IF(Inputs!$B$40="pvp",15,MAX(0.1,Skills!D15-IF(Skills!E15=TRUE,Inputs!$B$34,0))),0)</f>
        <v/>
      </c>
      <c r="R1115" t="n">
        <v>0</v>
      </c>
    </row>
    <row r="1116">
      <c r="A1116">
        <f>Skills!A16</f>
        <v/>
      </c>
      <c r="B1116">
        <f>Skills!B16</f>
        <v/>
      </c>
      <c r="C1116">
        <f>Inputs!$B$3&gt;=49</f>
        <v/>
      </c>
      <c r="D1116">
        <f>IF(Skills!C16=1,60+Inputs!$B$27+Inputs!$B$31,IF(Skills!C16=2,90+Inputs!$B$28+Inputs!$B$31,IF(Skills!C16=3,120+Inputs!$B$29+Inputs!$B$31,MAX(0,(Inputs!$B$3-100)*3)+Inputs!$B$30+Inputs!$B$31)))</f>
        <v/>
      </c>
      <c r="E1116">
        <f>INDEX(FactorTable!$B$2:$Y$301, MATCH(ROUND(MIN(300,MAX(1,D1116)),0), FactorTable!$A$2:$A$301,0), Skills!L16+1)</f>
        <v/>
      </c>
      <c r="F1116">
        <f>IF(Skills!M16=TRUE,(Skills!K16/10)*(E1116/1000),Skills!K16/10)+Skills!N16</f>
        <v/>
      </c>
      <c r="G1116">
        <f>Calc!G16</f>
        <v/>
      </c>
      <c r="H1116">
        <f>Calc!H16</f>
        <v/>
      </c>
      <c r="I1116">
        <f>IF(Skills!T16&lt;&gt;"",1+(Skills!T16/10)*($Z$3/1000)/100,1)</f>
        <v/>
      </c>
      <c r="J1116" t="inlineStr"/>
      <c r="K1116" t="inlineStr"/>
      <c r="L1116" t="inlineStr"/>
      <c r="M1116" t="inlineStr"/>
      <c r="N1116" t="inlineStr"/>
      <c r="O1116" t="n">
        <v>0</v>
      </c>
      <c r="P1116">
        <f>IF(B1138=0,0,O1116/B1138)</f>
        <v/>
      </c>
      <c r="Q1116">
        <f>IFERROR(1/IF(Inputs!$B$40="pvp",15,MAX(0.1,Skills!D16-IF(Skills!E16=TRUE,Inputs!$B$34,0))),0)</f>
        <v/>
      </c>
      <c r="R1116" t="n">
        <v>0</v>
      </c>
    </row>
    <row r="1117">
      <c r="A1117">
        <f>Skills!A17</f>
        <v/>
      </c>
      <c r="B1117">
        <f>Skills!B17</f>
        <v/>
      </c>
      <c r="C1117">
        <f>Inputs!$B$3&gt;=75</f>
        <v/>
      </c>
      <c r="D1117">
        <f>IF(Skills!C17=1,60+Inputs!$B$27+Inputs!$B$31,IF(Skills!C17=2,90+Inputs!$B$28+Inputs!$B$31,IF(Skills!C17=3,120+Inputs!$B$29+Inputs!$B$31,MAX(0,(Inputs!$B$3-100)*3)+Inputs!$B$30+Inputs!$B$31)))</f>
        <v/>
      </c>
      <c r="E1117">
        <f>INDEX(FactorTable!$B$2:$Y$301, MATCH(ROUND(MIN(300,MAX(1,D1117)),0), FactorTable!$A$2:$A$301,0), Skills!L17+1)</f>
        <v/>
      </c>
      <c r="F1117">
        <f>IF(Skills!M17=TRUE,(Skills!K17/10)*(E1117/1000),Skills!K17/10)+Skills!N17</f>
        <v/>
      </c>
      <c r="G1117">
        <f>Calc!G17</f>
        <v/>
      </c>
      <c r="H1117">
        <f>Calc!H17</f>
        <v/>
      </c>
      <c r="I1117">
        <f>IF(Skills!T17&lt;&gt;"",1+(Skills!T17/10)*($Z$3/1000)/100,1)</f>
        <v/>
      </c>
      <c r="J1117" t="inlineStr"/>
      <c r="K1117" t="inlineStr"/>
      <c r="L1117" t="inlineStr"/>
      <c r="M1117" t="inlineStr"/>
      <c r="N1117" t="inlineStr"/>
      <c r="O1117" t="n">
        <v>0</v>
      </c>
      <c r="P1117">
        <f>IF(B1138=0,0,O1117/B1138)</f>
        <v/>
      </c>
      <c r="Q1117">
        <f>IFERROR(1/IF(Inputs!$B$40="pvp",15,MAX(0.1,Skills!D17-IF(Skills!E17=TRUE,Inputs!$B$34,0))),0)</f>
        <v/>
      </c>
      <c r="R1117" t="n">
        <v>0</v>
      </c>
    </row>
    <row r="1118">
      <c r="A1118">
        <f>Skills!A18</f>
        <v/>
      </c>
      <c r="B1118">
        <f>Skills!B18</f>
        <v/>
      </c>
      <c r="C1118">
        <f>Inputs!$B$3&gt;=110</f>
        <v/>
      </c>
      <c r="D1118">
        <f>IF(Skills!C18=1,60+Inputs!$B$27+Inputs!$B$31,IF(Skills!C18=2,90+Inputs!$B$28+Inputs!$B$31,IF(Skills!C18=3,120+Inputs!$B$29+Inputs!$B$31,MAX(0,(Inputs!$B$3-100)*3)+Inputs!$B$30+Inputs!$B$31)))</f>
        <v/>
      </c>
      <c r="E1118">
        <f>INDEX(FactorTable!$B$2:$Y$301, MATCH(ROUND(MIN(300,MAX(1,D1118)),0), FactorTable!$A$2:$A$301,0), Skills!L18+1)</f>
        <v/>
      </c>
      <c r="F1118">
        <f>(Skills!K18/10)*(E1118/1000)*64/45+Skills!N18</f>
        <v/>
      </c>
      <c r="G1118">
        <f>Calc!G18</f>
        <v/>
      </c>
      <c r="H1118">
        <f>Calc!H18</f>
        <v/>
      </c>
      <c r="I1118">
        <f>IF(Skills!T18&lt;&gt;"",1+(Skills!T18/10)*($Z$3/1000)/100,1)</f>
        <v/>
      </c>
      <c r="J1118" t="inlineStr"/>
      <c r="K1118" t="inlineStr"/>
      <c r="L1118" t="inlineStr"/>
      <c r="M1118" t="inlineStr"/>
      <c r="N1118" t="inlineStr"/>
      <c r="O1118" t="n">
        <v>0</v>
      </c>
      <c r="P1118">
        <f>IF(B1138=0,0,O1118/B1138)</f>
        <v/>
      </c>
      <c r="Q1118">
        <f>IFERROR(1/IF(Inputs!$B$40="pvp",15,MAX(0.1,Skills!D18-IF(Skills!E18=TRUE,Inputs!$B$34,0))),0)</f>
        <v/>
      </c>
      <c r="R1118">
        <f>IF(AND(Inputs!$B$40&lt;&gt;"pvp",Inputs!$B$43&gt;0),(INT(Inputs!$B$43/IF(Inputs!$B$40="pvp",15,MAX(0.1,Skills!D18-IF(Skills!E18=TRUE,Inputs!$B$34,0))))+1),0)</f>
        <v/>
      </c>
    </row>
    <row r="1119">
      <c r="A1119">
        <f>Skills!A19</f>
        <v/>
      </c>
      <c r="B1119">
        <f>Skills!B19</f>
        <v/>
      </c>
      <c r="C1119">
        <f>Inputs!$B$3&gt;=125</f>
        <v/>
      </c>
      <c r="D1119">
        <f>IF(Skills!C19=1,60+Inputs!$B$27+Inputs!$B$31,IF(Skills!C19=2,90+Inputs!$B$28+Inputs!$B$31,IF(Skills!C19=3,120+Inputs!$B$29+Inputs!$B$31,MAX(0,(Inputs!$B$3-100)*3)+Inputs!$B$30+Inputs!$B$31)))</f>
        <v/>
      </c>
      <c r="E1119">
        <f>INDEX(FactorTable!$B$2:$Y$301, MATCH(ROUND(MIN(300,MAX(1,D1119)),0), FactorTable!$A$2:$A$301,0), Skills!L19+1)</f>
        <v/>
      </c>
      <c r="F1119">
        <f>IF(Skills!M19=TRUE,(Skills!K19/10)*(E1119/1000),Skills!K19/10)+Skills!N19</f>
        <v/>
      </c>
      <c r="G1119">
        <f>Calc!G19</f>
        <v/>
      </c>
      <c r="H1119">
        <f>Calc!H19</f>
        <v/>
      </c>
      <c r="I1119">
        <f>IF(Skills!T19&lt;&gt;"",1+(Skills!T19/10)*($Z$3/1000)/100,1)</f>
        <v/>
      </c>
      <c r="J1119" t="inlineStr"/>
      <c r="K1119" t="inlineStr"/>
      <c r="L1119" t="inlineStr"/>
      <c r="M1119" t="inlineStr"/>
      <c r="N1119" t="inlineStr"/>
      <c r="O1119" t="n">
        <v>0</v>
      </c>
      <c r="P1119">
        <f>IF(B1138=0,0,O1119/B1138)</f>
        <v/>
      </c>
      <c r="Q1119">
        <f>IFERROR(1/IF(Inputs!$B$40="pvp",15,MAX(0.1,Skills!D19-IF(Skills!E19=TRUE,Inputs!$B$34,0))),0)</f>
        <v/>
      </c>
      <c r="R1119" t="n">
        <v>0</v>
      </c>
    </row>
    <row r="1120">
      <c r="A1120">
        <f>Skills!A20</f>
        <v/>
      </c>
      <c r="B1120">
        <f>Skills!B20</f>
        <v/>
      </c>
      <c r="C1120">
        <f>Inputs!$B$3&gt;=33</f>
        <v/>
      </c>
      <c r="D1120">
        <f>IF(Skills!C20=1,60+Inputs!$B$27+Inputs!$B$31,IF(Skills!C20=2,90+Inputs!$B$28+Inputs!$B$31,IF(Skills!C20=3,120+Inputs!$B$29+Inputs!$B$31,MAX(0,(Inputs!$B$3-100)*3)+Inputs!$B$30+Inputs!$B$31)))</f>
        <v/>
      </c>
      <c r="E1120">
        <f>INDEX(FactorTable!$B$2:$Y$301, MATCH(ROUND(MIN(300,MAX(1,D1120)),0), FactorTable!$A$2:$A$301,0), Skills!L20+1)</f>
        <v/>
      </c>
      <c r="F1120">
        <f>IF(Skills!M20=TRUE,(Skills!K20/10)*(E1120/1000),Skills!K20/10)+Skills!N20</f>
        <v/>
      </c>
      <c r="G1120">
        <f>Calc!G20</f>
        <v/>
      </c>
      <c r="H1120">
        <f>Calc!H20</f>
        <v/>
      </c>
      <c r="I1120">
        <f>IF(Skills!T20&lt;&gt;"",1+(Skills!T20/10)*($Z$3/1000)/100,1)</f>
        <v/>
      </c>
      <c r="J1120" t="inlineStr"/>
      <c r="K1120" t="inlineStr"/>
      <c r="L1120" t="inlineStr"/>
      <c r="M1120" t="inlineStr"/>
      <c r="N1120" t="inlineStr"/>
      <c r="O1120" t="n">
        <v>0</v>
      </c>
      <c r="P1120">
        <f>IF(B1138=0,0,O1120/B1138)</f>
        <v/>
      </c>
      <c r="Q1120">
        <f>IFERROR(1/IF(Inputs!$B$40="pvp",15,MAX(0.1,Skills!D20-IF(Skills!E20=TRUE,Inputs!$B$34,0))),0)</f>
        <v/>
      </c>
      <c r="R1120" t="n">
        <v>0</v>
      </c>
    </row>
    <row r="1121">
      <c r="A1121">
        <f>Skills!A21</f>
        <v/>
      </c>
      <c r="B1121">
        <f>Skills!B21</f>
        <v/>
      </c>
      <c r="C1121">
        <f>Inputs!$B$3&gt;=43</f>
        <v/>
      </c>
      <c r="D1121">
        <f>IF(Skills!C21=1,60+Inputs!$B$27+Inputs!$B$31,IF(Skills!C21=2,90+Inputs!$B$28+Inputs!$B$31,IF(Skills!C21=3,120+Inputs!$B$29+Inputs!$B$31,MAX(0,(Inputs!$B$3-100)*3)+Inputs!$B$30+Inputs!$B$31)))</f>
        <v/>
      </c>
      <c r="E1121">
        <f>INDEX(FactorTable!$B$2:$Y$301, MATCH(ROUND(MIN(300,MAX(1,D1121)),0), FactorTable!$A$2:$A$301,0), Skills!L21+1)</f>
        <v/>
      </c>
      <c r="F1121">
        <f>IF(Skills!M21=TRUE,(Skills!K21/10)*(E1121/1000),Skills!K21/10)+Skills!N21</f>
        <v/>
      </c>
      <c r="G1121">
        <f>Calc!G21</f>
        <v/>
      </c>
      <c r="H1121">
        <f>Calc!H21</f>
        <v/>
      </c>
      <c r="I1121">
        <f>IF(Skills!T21&lt;&gt;"",1+(Skills!T21/10)*($Z$3/1000)/100,1)</f>
        <v/>
      </c>
      <c r="J1121" t="inlineStr"/>
      <c r="K1121" t="inlineStr"/>
      <c r="L1121" t="inlineStr"/>
      <c r="M1121" t="inlineStr"/>
      <c r="N1121" t="inlineStr"/>
      <c r="O1121" t="n">
        <v>0</v>
      </c>
      <c r="P1121">
        <f>IF(B1138=0,0,O1121/B1138)</f>
        <v/>
      </c>
      <c r="Q1121">
        <f>IFERROR(1/IF(Inputs!$B$40="pvp",15,MAX(0.1,Skills!D21-IF(Skills!E21=TRUE,Inputs!$B$34,0))),0)</f>
        <v/>
      </c>
      <c r="R1121" t="n">
        <v>0</v>
      </c>
    </row>
    <row r="1122">
      <c r="A1122">
        <f>Skills!A22</f>
        <v/>
      </c>
      <c r="B1122">
        <f>Skills!B22</f>
        <v/>
      </c>
      <c r="C1122">
        <f>Inputs!$B$3&gt;=50</f>
        <v/>
      </c>
      <c r="D1122">
        <f>IF(Skills!C22=1,60+Inputs!$B$27+Inputs!$B$31,IF(Skills!C22=2,90+Inputs!$B$28+Inputs!$B$31,IF(Skills!C22=3,120+Inputs!$B$29+Inputs!$B$31,MAX(0,(Inputs!$B$3-100)*3)+Inputs!$B$30+Inputs!$B$31)))</f>
        <v/>
      </c>
      <c r="E1122">
        <f>INDEX(FactorTable!$B$2:$Y$301, MATCH(ROUND(MIN(300,MAX(1,D1122)),0), FactorTable!$A$2:$A$301,0), Skills!L22+1)</f>
        <v/>
      </c>
      <c r="F1122">
        <f>IF(Skills!M22=TRUE,(Skills!K22/10)*(E1122/1000),Skills!K22/10)+Skills!N22</f>
        <v/>
      </c>
      <c r="G1122">
        <f>Calc!G22</f>
        <v/>
      </c>
      <c r="H1122">
        <f>Calc!H22</f>
        <v/>
      </c>
      <c r="I1122">
        <f>IF(Skills!T22&lt;&gt;"",1+(Skills!T22/10)*($Z$3/1000)/100,1)</f>
        <v/>
      </c>
      <c r="J1122" t="inlineStr"/>
      <c r="K1122" t="inlineStr"/>
      <c r="L1122" t="inlineStr"/>
      <c r="M1122" t="inlineStr"/>
      <c r="N1122" t="inlineStr"/>
      <c r="O1122" t="n">
        <v>0</v>
      </c>
      <c r="P1122">
        <f>IF(B1138=0,0,O1122/B1138)</f>
        <v/>
      </c>
      <c r="Q1122">
        <f>IFERROR(1/IF(Inputs!$B$40="pvp",15,MAX(0.1,Skills!D22-IF(Skills!E22=TRUE,Inputs!$B$34,0))),0)</f>
        <v/>
      </c>
      <c r="R1122" t="n">
        <v>0</v>
      </c>
    </row>
    <row r="1123">
      <c r="A1123">
        <f>Skills!A23</f>
        <v/>
      </c>
      <c r="B1123">
        <f>Skills!B23</f>
        <v/>
      </c>
      <c r="C1123">
        <f>Inputs!$B$3&gt;=74</f>
        <v/>
      </c>
      <c r="D1123">
        <f>IF(Skills!C23=1,60+Inputs!$B$27+Inputs!$B$31,IF(Skills!C23=2,90+Inputs!$B$28+Inputs!$B$31,IF(Skills!C23=3,120+Inputs!$B$29+Inputs!$B$31,MAX(0,(Inputs!$B$3-100)*3)+Inputs!$B$30+Inputs!$B$31)))</f>
        <v/>
      </c>
      <c r="E1123">
        <f>INDEX(FactorTable!$B$2:$Y$301, MATCH(ROUND(MIN(300,MAX(1,D1123)),0), FactorTable!$A$2:$A$301,0), Skills!L23+1)</f>
        <v/>
      </c>
      <c r="F1123">
        <f>IF(Skills!M23=TRUE,(Skills!K23/10)*(E1123/1000),Skills!K23/10)+Skills!N23</f>
        <v/>
      </c>
      <c r="G1123">
        <f>Calc!G23</f>
        <v/>
      </c>
      <c r="H1123">
        <f>Calc!H23</f>
        <v/>
      </c>
      <c r="I1123">
        <f>IF(Skills!T23&lt;&gt;"",1+(Skills!T23/10)*($Z$3/1000)/100,1)</f>
        <v/>
      </c>
      <c r="J1123" t="inlineStr"/>
      <c r="K1123" t="inlineStr"/>
      <c r="L1123" t="inlineStr"/>
      <c r="M1123" t="inlineStr"/>
      <c r="N1123" t="inlineStr"/>
      <c r="O1123" t="n">
        <v>0</v>
      </c>
      <c r="P1123">
        <f>IF(B1138=0,0,O1123/B1138)</f>
        <v/>
      </c>
      <c r="Q1123">
        <f>IFERROR(1/IF(Inputs!$B$40="pvp",15,MAX(0.1,Skills!D23-IF(Skills!E23=TRUE,Inputs!$B$34,0))),0)</f>
        <v/>
      </c>
      <c r="R1123" t="n">
        <v>0</v>
      </c>
    </row>
    <row r="1124">
      <c r="A1124">
        <f>Skills!A24</f>
        <v/>
      </c>
      <c r="B1124">
        <f>Skills!B24</f>
        <v/>
      </c>
      <c r="C1124">
        <f>Inputs!$B$3&gt;=74</f>
        <v/>
      </c>
      <c r="D1124">
        <f>IF(Skills!C24=1,60+Inputs!$B$27+Inputs!$B$31,IF(Skills!C24=2,90+Inputs!$B$28+Inputs!$B$31,IF(Skills!C24=3,120+Inputs!$B$29+Inputs!$B$31,MAX(0,(Inputs!$B$3-100)*3)+Inputs!$B$30+Inputs!$B$31)))</f>
        <v/>
      </c>
      <c r="E1124">
        <f>INDEX(FactorTable!$B$2:$Y$301, MATCH(ROUND(MIN(300,MAX(1,D1124)),0), FactorTable!$A$2:$A$301,0), Skills!L24+1)</f>
        <v/>
      </c>
      <c r="F1124">
        <f>IF(Skills!M24=TRUE,(Skills!K24/10)*(E1124/1000),Skills!K24/10)+Skills!N24</f>
        <v/>
      </c>
      <c r="G1124">
        <f>Calc!G24</f>
        <v/>
      </c>
      <c r="H1124">
        <f>Calc!H24</f>
        <v/>
      </c>
      <c r="I1124">
        <f>IF(Skills!T24&lt;&gt;"",1+(Skills!T24/10)*($Z$3/1000)/100,1)</f>
        <v/>
      </c>
      <c r="J1124" t="inlineStr"/>
      <c r="K1124" t="inlineStr"/>
      <c r="L1124" t="inlineStr"/>
      <c r="M1124" t="inlineStr"/>
      <c r="N1124" t="inlineStr"/>
      <c r="O1124" t="n">
        <v>0</v>
      </c>
      <c r="P1124">
        <f>IF(B1138=0,0,O1124/B1138)</f>
        <v/>
      </c>
      <c r="Q1124">
        <f>IFERROR(1/IF(Inputs!$B$40="pvp",15,MAX(0.1,Skills!D24-IF(Skills!E24=TRUE,Inputs!$B$34,0))),0)</f>
        <v/>
      </c>
      <c r="R1124" t="n">
        <v>0</v>
      </c>
    </row>
    <row r="1125">
      <c r="A1125">
        <f>Skills!A25</f>
        <v/>
      </c>
      <c r="B1125">
        <f>Skills!B25</f>
        <v/>
      </c>
      <c r="C1125">
        <f>Inputs!$B$3&gt;=117</f>
        <v/>
      </c>
      <c r="D1125">
        <f>IF(Skills!C25=1,60+Inputs!$B$27+Inputs!$B$31,IF(Skills!C25=2,90+Inputs!$B$28+Inputs!$B$31,IF(Skills!C25=3,120+Inputs!$B$29+Inputs!$B$31,MAX(0,(Inputs!$B$3-100)*3)+Inputs!$B$30+Inputs!$B$31)))</f>
        <v/>
      </c>
      <c r="E1125">
        <f>INDEX(FactorTable!$B$2:$Y$301, MATCH(ROUND(MIN(300,MAX(1,D1125)),0), FactorTable!$A$2:$A$301,0), Skills!L25+1)</f>
        <v/>
      </c>
      <c r="F1125">
        <f>IF(Skills!M25=TRUE,(Skills!K25/10)*(E1125/1000),Skills!K25/10)+Skills!N25</f>
        <v/>
      </c>
      <c r="G1125">
        <f>Calc!G25</f>
        <v/>
      </c>
      <c r="H1125">
        <f>Calc!H25</f>
        <v/>
      </c>
      <c r="I1125">
        <f>IF(Skills!T25&lt;&gt;"",1+(Skills!T25/10)*($Z$3/1000)/100,1)</f>
        <v/>
      </c>
      <c r="J1125" t="inlineStr"/>
      <c r="K1125" t="inlineStr"/>
      <c r="L1125" t="inlineStr"/>
      <c r="M1125" t="inlineStr"/>
      <c r="N1125" t="inlineStr"/>
      <c r="O1125" t="n">
        <v>0</v>
      </c>
      <c r="P1125">
        <f>IF(B1138=0,0,O1125/B1138)</f>
        <v/>
      </c>
      <c r="Q1125">
        <f>IFERROR(1/IF(Inputs!$B$40="pvp",15,MAX(0.1,Skills!D25-IF(Skills!E25=TRUE,Inputs!$B$34,0))),0)</f>
        <v/>
      </c>
      <c r="R1125" t="n">
        <v>0</v>
      </c>
    </row>
    <row r="1126">
      <c r="A1126">
        <f>Skills!A26</f>
        <v/>
      </c>
      <c r="B1126">
        <f>Skills!B26</f>
        <v/>
      </c>
      <c r="C1126">
        <f>Inputs!$B$3&gt;=120</f>
        <v/>
      </c>
      <c r="D1126">
        <f>IF(Skills!C26=1,60+Inputs!$B$27+Inputs!$B$31,IF(Skills!C26=2,90+Inputs!$B$28+Inputs!$B$31,IF(Skills!C26=3,120+Inputs!$B$29+Inputs!$B$31,MAX(0,(Inputs!$B$3-100)*3)+Inputs!$B$30+Inputs!$B$31)))</f>
        <v/>
      </c>
      <c r="E1126">
        <f>INDEX(FactorTable!$B$2:$Y$301, MATCH(ROUND(MIN(300,MAX(1,D1126)),0), FactorTable!$A$2:$A$301,0), Skills!L26+1)</f>
        <v/>
      </c>
      <c r="F1126">
        <f>IF(Skills!M26=TRUE,(Skills!K26/10)*(E1126/1000),Skills!K26/10)+Skills!N26</f>
        <v/>
      </c>
      <c r="G1126">
        <f>Calc!G26</f>
        <v/>
      </c>
      <c r="H1126">
        <f>Calc!H26</f>
        <v/>
      </c>
      <c r="I1126">
        <f>IF(Skills!T26&lt;&gt;"",1+(Skills!T26/10)*($Z$3/1000)/100,1)</f>
        <v/>
      </c>
      <c r="J1126" t="inlineStr"/>
      <c r="K1126" t="inlineStr"/>
      <c r="L1126" t="inlineStr"/>
      <c r="M1126" t="inlineStr"/>
      <c r="N1126" t="inlineStr"/>
      <c r="O1126" t="n">
        <v>0</v>
      </c>
      <c r="P1126">
        <f>IF(B1138=0,0,O1126/B1138)</f>
        <v/>
      </c>
      <c r="Q1126">
        <f>IFERROR(1/IF(Inputs!$B$40="pvp",15,MAX(0.1,Skills!D26-IF(Skills!E26=TRUE,Inputs!$B$34,0))),0)</f>
        <v/>
      </c>
      <c r="R1126" t="n">
        <v>0</v>
      </c>
    </row>
    <row r="1128">
      <c r="A1128" t="inlineStr">
        <is>
          <t>Average Buff Multiplier</t>
        </is>
      </c>
      <c r="B1128">
        <f>(1+(IF(C1103=TRUE,F1103*IF(AND(Inputs!$B$40&lt;&gt;"pvp",Inputs!$B$43&gt;0),(((R1103-1)*(Skills!S3*(1+((Inputs!$B$36+1)+IF(Inputs!$B$3&gt;=117,F1125,0))/100))+MIN((Skills!S3*(1+((Inputs!$B$36+1)+IF(Inputs!$B$3&gt;=117,F1125,0))/100)),MAX(0,Inputs!$B$43-((R1103-1)*Skills!D3))))/Inputs!$B$43),IF(Inputs!$B$40="pvp",MIN((Skills!S3*(1+((Inputs!$B$36+1)+IF(Inputs!$B$3&gt;=117,F1125,0))/100)),15)/15,(Skills!S3*(1+((Inputs!$B$36+1)+IF(Inputs!$B$3&gt;=117,F1125,0))/100))/Skills!D3)),0)+IF(C1104=TRUE,F1104*IF(AND(Inputs!$B$40&lt;&gt;"pvp",Inputs!$B$43&gt;0),(((R1104-1)*(Skills!S4*(1+((Inputs!$B$36+1)+IF(Inputs!$B$3&gt;=117,F1125,0))/100))+MIN((Skills!S4*(1+((Inputs!$B$36+1)+IF(Inputs!$B$3&gt;=117,F1125,0))/100)),MAX(0,Inputs!$B$43-((R1104-1)*Skills!D4))))/Inputs!$B$43),IF(Inputs!$B$40="pvp",MIN((Skills!S4*(1+((Inputs!$B$36+1)+IF(Inputs!$B$3&gt;=117,F1125,0))/100)),15)/15,(Skills!S4*(1+((Inputs!$B$36+1)+IF(Inputs!$B$3&gt;=117,F1125,0))/100))/Skills!D4)),0)+IF(C1105=TRUE,F1105*IF(AND(Inputs!$B$40&lt;&gt;"pvp",Inputs!$B$43&gt;0),(((R1105-1)*(Skills!S5*(1+((Inputs!$B$36+1)+IF(Inputs!$B$3&gt;=117,F1125,0))/100))+MIN((Skills!S5*(1+((Inputs!$B$36+1)+IF(Inputs!$B$3&gt;=117,F1125,0))/100)),MAX(0,Inputs!$B$43-((R1105-1)*Skills!D5))))/Inputs!$B$43),IF(Inputs!$B$40="pvp",MIN((Skills!S5*(1+((Inputs!$B$36+1)+IF(Inputs!$B$3&gt;=117,F1125,0))/100)),15)/15,(Skills!S5*(1+((Inputs!$B$36+1)+IF(Inputs!$B$3&gt;=117,F1125,0))/100))/Skills!D5)),0)+IF(C1111=TRUE,F1111*IF(AND(Inputs!$B$40&lt;&gt;"pvp",Inputs!$B$43&gt;0),(((R1111-1)*(Skills!S11*(1+((Inputs!$B$36+1)+IF(Inputs!$B$3&gt;=117,F1125,0))/100))+MIN((Skills!S11*(1+((Inputs!$B$36+1)+IF(Inputs!$B$3&gt;=117,F1125,0))/100)),MAX(0,Inputs!$B$43-((R1111-1)*Skills!D11))))/Inputs!$B$43),IF(Inputs!$B$40="pvp",MIN((Skills!S11*(1+((Inputs!$B$36+1)+IF(Inputs!$B$3&gt;=117,F1125,0))/100)),15)/15,(Skills!S11*(1+((Inputs!$B$36+1)+IF(Inputs!$B$3&gt;=117,F1125,0))/100))/Skills!D11)),0))/100)*IF(C1113=TRUE,(1+F1113*IF(AND(Inputs!$B$40&lt;&gt;"pvp",Inputs!$B$43&gt;0),(((R1113-1)*(Skills!S13*(1+((Inputs!$B$36+1)+IF(Inputs!$B$3&gt;=117,F1125,0))/100))+MIN((Skills!S13*(1+((Inputs!$B$36+1)+IF(Inputs!$B$3&gt;=117,F1125,0))/100)),MAX(0,Inputs!$B$43-((R1113-1)*Skills!D13))))/Inputs!$B$43),IF(Inputs!$B$40="pvp",MIN((Skills!S13*(1+((Inputs!$B$36+1)+IF(Inputs!$B$3&gt;=117,F1125,0))/100)),15)/15,(Skills!S13*(1+((Inputs!$B$36+1)+IF(Inputs!$B$3&gt;=117,F1125,0))/100))/Skills!D13))/100),1)*IF(C1118=TRUE,(1+F1118*IF(AND(Inputs!$B$40&lt;&gt;"pvp",Inputs!$B$43&gt;0),(((R1118-1)*(Skills!S18*(1+((Inputs!$B$36+1)+IF(Inputs!$B$3&gt;=117,F1125,0))/100))+MIN((Skills!S18*(1+((Inputs!$B$36+1)+IF(Inputs!$B$3&gt;=117,F1125,0))/100)),MAX(0,Inputs!$B$43-((R1118-1)*Skills!D18))))/Inputs!$B$43),IF(Inputs!$B$40="pvp",MIN((Skills!S18*(1+((Inputs!$B$36+1)+IF(Inputs!$B$3&gt;=117,F1125,0))/100)),15)/15,(Skills!S18*(1+((Inputs!$B$36+1)+IF(Inputs!$B$3&gt;=117,F1125,0))/100))/Skills!D18))/100),1)</f>
        <v/>
      </c>
    </row>
    <row r="1129">
      <c r="A1129" t="inlineStr">
        <is>
          <t>Monster Damage Taken Bonus % (Holy Fountain)</t>
        </is>
      </c>
      <c r="B1129">
        <f>IF(Inputs!$B$3&gt;=68,20*IF(Inputs!$B$40="pvp",MIN((15*(1+((Inputs!$B$36+1)+IF(Inputs!$B$3&gt;=117,F1125,0))/100)),15)/15,(15*(1+((Inputs!$B$36+1)+IF(Inputs!$B$3&gt;=117,F1125,0))/100))/Skills!D10),0)</f>
        <v/>
      </c>
    </row>
    <row r="1130">
      <c r="A1130" t="inlineStr">
        <is>
          <t>Normal Monster Damage Bonus % (Holy Symbol)</t>
        </is>
      </c>
      <c r="B1130">
        <f>IF(C1112=TRUE,F1112*IF(AND(Inputs!$B$40&lt;&gt;"pvp",Inputs!$B$43&gt;0),(((R1112-1)*(Skills!S12*(1+((Inputs!$B$36+1)+IF(Inputs!$B$3&gt;=117,F1125,0))/100))+MIN((Skills!S12*(1+((Inputs!$B$36+1)+IF(Inputs!$B$3&gt;=117,F1125,0))/100)),MAX(0,Inputs!$B$43-((R1112-1)*Skills!D12))))/Inputs!$B$43),IF(Inputs!$B$40="pvp",MIN((Skills!S12*(1+((Inputs!$B$36+1)+IF(Inputs!$B$3&gt;=117,F1125,0))/100)),15)/15,(Skills!S12*(1+((Inputs!$B$36+1)+IF(Inputs!$B$3&gt;=117,F1125,0))/100))/Skills!D12)),0)</f>
        <v/>
      </c>
    </row>
    <row r="1131">
      <c r="A1131" t="inlineStr">
        <is>
          <t>Damage % Bonus (Holy Symbol - Damage Boost)</t>
        </is>
      </c>
      <c r="B1131">
        <f>Skills!O12</f>
        <v/>
      </c>
    </row>
    <row r="1132">
      <c r="A1132" t="inlineStr">
        <is>
          <t>Crit Damage % Bonus (Blood of the Divine)</t>
        </is>
      </c>
      <c r="B1132">
        <f>4*IF(C1119=TRUE,F1119,0)</f>
        <v/>
      </c>
    </row>
    <row r="1133">
      <c r="A1133" t="inlineStr">
        <is>
          <t>Attack Speed Bonus %</t>
        </is>
      </c>
      <c r="B1133">
        <f>IF(C1116=TRUE,F1116+(F1120-Calc!F20),0)+IF(Inputs!$B$3&gt;=134,15,0)</f>
        <v/>
      </c>
    </row>
    <row r="1134">
      <c r="A1134" t="inlineStr">
        <is>
          <t>Actions Per Second</t>
        </is>
      </c>
      <c r="B1134">
        <f>1+MIN(150,150*(1-(1-Inputs!$B$13/150)*(1-B1133/150)))/100</f>
        <v/>
      </c>
    </row>
    <row r="1135">
      <c r="A1135" t="inlineStr">
        <is>
          <t>Skill + Buff Cast Rate</t>
        </is>
      </c>
      <c r="B1135">
        <f>IF(AND(Inputs!$B$40&lt;&gt;"pvp",Inputs!$B$43&gt;0),SUMPRODUCT((Skills!E2:E26=TRUE)*(C1102:C1126=TRUE)*R1102:R1126)/Inputs!$B$43,SUMPRODUCT((Skills!E2:E26=TRUE)*(C1102:C1126=TRUE)*Q1102:Q1126))</f>
        <v/>
      </c>
    </row>
    <row r="1136">
      <c r="A1136" t="inlineStr">
        <is>
          <t>Big Bang Casts Per Second</t>
        </is>
      </c>
      <c r="B1136">
        <f>MAX(0,B1134-B1135)</f>
        <v/>
      </c>
    </row>
    <row r="1138">
      <c r="A1138" s="5" t="inlineStr">
        <is>
          <t>TOTAL DPS</t>
        </is>
      </c>
      <c r="B1138" s="5">
        <f>SUM(O1102:O1126)</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IF(Inputs!$B$11&gt;=100,Sensitivity!H17,Sensitivity!H16)</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Sensitivity!H18</f>
        <v/>
      </c>
      <c r="J3" t="inlineStr">
        <is>
          <t>All Skill Level</t>
        </is>
      </c>
      <c r="K3">
        <f>Sensitivity!H26</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Sensitivity!H9</f>
        <v/>
      </c>
      <c r="J4" t="inlineStr">
        <is>
          <t>Attack Speed %</t>
        </is>
      </c>
      <c r="K4">
        <f>Sensitivity!H18</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Sensitivity!H14</f>
        <v/>
      </c>
      <c r="J5" t="inlineStr">
        <is>
          <t>Basic Attack Damage %</t>
        </is>
      </c>
      <c r="K5">
        <f>Sensitivity!H20</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Sensitivity!H15</f>
        <v/>
      </c>
      <c r="J6" t="inlineStr">
        <is>
          <t>Basic Attack Target Increase</t>
        </is>
      </c>
      <c r="K6">
        <f>Sensitivity!H30</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Sensitivity!H31</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Sensitivity!H17</f>
        <v/>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Sensitivity!H17</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IF(Inputs!$B$11&gt;=100,Sensitivity!H17,Sensitivity!H16)</f>
        <v/>
      </c>
      <c r="Q10" t="inlineStr">
        <is>
          <t>ring</t>
        </is>
      </c>
    </row>
    <row r="11">
      <c r="A11" t="inlineStr">
        <is>
          <t>ALL</t>
        </is>
      </c>
      <c r="B11" t="inlineStr">
        <is>
          <t>normal</t>
        </is>
      </c>
      <c r="C11" t="n">
        <v>1</v>
      </c>
      <c r="D11" t="inlineStr">
        <is>
          <t>Defense %</t>
        </is>
      </c>
      <c r="E11" t="n">
        <v>3</v>
      </c>
      <c r="F11" t="n">
        <v>9</v>
      </c>
      <c r="G11" t="b">
        <v>0</v>
      </c>
      <c r="H11">
        <f>Sensitivity!H8</f>
        <v/>
      </c>
      <c r="J11" t="inlineStr">
        <is>
          <t>Damage %</t>
        </is>
      </c>
      <c r="K11">
        <f>Sensitivity!H9</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f>Sensitivity!H8</f>
        <v/>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Sensitivity!H19</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Sensitivity!H13</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IF(Inputs!$B$11&gt;=100,Sensitivity!H17,Sensitivity!H16)</f>
        <v/>
      </c>
      <c r="J18" t="inlineStr">
        <is>
          <t>Int %</t>
        </is>
      </c>
      <c r="K18">
        <f>Sensitivity!H6</f>
        <v/>
      </c>
    </row>
    <row r="19">
      <c r="A19" t="inlineStr">
        <is>
          <t>ALL</t>
        </is>
      </c>
      <c r="B19" t="inlineStr">
        <is>
          <t>normal</t>
        </is>
      </c>
      <c r="C19" t="n">
        <v>2</v>
      </c>
      <c r="D19" t="inlineStr">
        <is>
          <t>Attack Speed %</t>
        </is>
      </c>
      <c r="E19" t="n">
        <v>3</v>
      </c>
      <c r="F19" t="n">
        <v>2.5</v>
      </c>
      <c r="G19" t="b">
        <v>0</v>
      </c>
      <c r="H19">
        <f>Sensitivity!H18</f>
        <v/>
      </c>
      <c r="J19" t="inlineStr">
        <is>
          <t>Luk</t>
        </is>
      </c>
      <c r="K19" t="inlineStr">
        <is>
          <t>0</t>
        </is>
      </c>
    </row>
    <row r="20">
      <c r="A20" t="inlineStr">
        <is>
          <t>ALL</t>
        </is>
      </c>
      <c r="B20" t="inlineStr">
        <is>
          <t>normal</t>
        </is>
      </c>
      <c r="C20" t="n">
        <v>2</v>
      </c>
      <c r="D20" t="inlineStr">
        <is>
          <t>Damage %</t>
        </is>
      </c>
      <c r="E20" t="n">
        <v>5</v>
      </c>
      <c r="F20" t="n">
        <v>4</v>
      </c>
      <c r="G20" t="b">
        <v>0</v>
      </c>
      <c r="H20">
        <f>Sensitivity!H9</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Sensitivity!H14</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Sensitivity!H15</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Sensitivity!H15</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Sensitivity!H14</f>
        <v/>
      </c>
    </row>
    <row r="27">
      <c r="A27" t="inlineStr">
        <is>
          <t>ALL</t>
        </is>
      </c>
      <c r="B27" t="inlineStr">
        <is>
          <t>normal</t>
        </is>
      </c>
      <c r="C27" t="n">
        <v>2</v>
      </c>
      <c r="D27" t="inlineStr">
        <is>
          <t>Defense %</t>
        </is>
      </c>
      <c r="E27" t="n">
        <v>3</v>
      </c>
      <c r="F27" t="n">
        <v>9</v>
      </c>
      <c r="G27" t="b">
        <v>0</v>
      </c>
      <c r="H27">
        <f>Sensitivity!H8</f>
        <v/>
      </c>
      <c r="J27" t="inlineStr">
        <is>
          <t>Skill Cooldown Decrease (seconds)</t>
        </is>
      </c>
      <c r="K27">
        <f>Sensitivity!H29</f>
        <v/>
      </c>
    </row>
    <row r="28">
      <c r="A28" t="inlineStr">
        <is>
          <t>ALL</t>
        </is>
      </c>
      <c r="B28" t="inlineStr">
        <is>
          <t>normal</t>
        </is>
      </c>
      <c r="C28" t="n">
        <v>2</v>
      </c>
      <c r="D28" t="inlineStr">
        <is>
          <t>Max HP %</t>
        </is>
      </c>
      <c r="E28" t="n">
        <v>6</v>
      </c>
      <c r="F28" t="n">
        <v>9</v>
      </c>
      <c r="G28" t="b">
        <v>0</v>
      </c>
      <c r="H28" t="inlineStr">
        <is>
          <t>0</t>
        </is>
      </c>
      <c r="J28" t="inlineStr">
        <is>
          <t>Skill Damage %</t>
        </is>
      </c>
      <c r="K28">
        <f>Sensitivity!H21</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IF(Inputs!$B$11&gt;=100,Sensitivity!H17,Sensitivity!H16)</f>
        <v/>
      </c>
    </row>
    <row r="35">
      <c r="A35" t="inlineStr">
        <is>
          <t>ALL</t>
        </is>
      </c>
      <c r="B35" t="inlineStr">
        <is>
          <t>normal</t>
        </is>
      </c>
      <c r="C35" t="n">
        <v>3</v>
      </c>
      <c r="D35" t="inlineStr">
        <is>
          <t>Attack Speed %</t>
        </is>
      </c>
      <c r="E35" t="n">
        <v>3</v>
      </c>
      <c r="F35" t="n">
        <v>2.5</v>
      </c>
      <c r="G35" t="b">
        <v>0</v>
      </c>
      <c r="H35">
        <f>Sensitivity!H18</f>
        <v/>
      </c>
    </row>
    <row r="36">
      <c r="A36" t="inlineStr">
        <is>
          <t>ALL</t>
        </is>
      </c>
      <c r="B36" t="inlineStr">
        <is>
          <t>normal</t>
        </is>
      </c>
      <c r="C36" t="n">
        <v>3</v>
      </c>
      <c r="D36" t="inlineStr">
        <is>
          <t>Damage %</t>
        </is>
      </c>
      <c r="E36" t="n">
        <v>5</v>
      </c>
      <c r="F36" t="n">
        <v>4</v>
      </c>
      <c r="G36" t="b">
        <v>0</v>
      </c>
      <c r="H36">
        <f>Sensitivity!H9</f>
        <v/>
      </c>
    </row>
    <row r="37">
      <c r="A37" t="inlineStr">
        <is>
          <t>ALL</t>
        </is>
      </c>
      <c r="B37" t="inlineStr">
        <is>
          <t>normal</t>
        </is>
      </c>
      <c r="C37" t="n">
        <v>3</v>
      </c>
      <c r="D37" t="inlineStr">
        <is>
          <t>Min Damage Multiplier %</t>
        </is>
      </c>
      <c r="E37" t="n">
        <v>3</v>
      </c>
      <c r="F37" t="n">
        <v>4</v>
      </c>
      <c r="G37" t="b">
        <v>0</v>
      </c>
      <c r="H37">
        <f>Sensitivity!H14</f>
        <v/>
      </c>
    </row>
    <row r="38">
      <c r="A38" t="inlineStr">
        <is>
          <t>ALL</t>
        </is>
      </c>
      <c r="B38" t="inlineStr">
        <is>
          <t>normal</t>
        </is>
      </c>
      <c r="C38" t="n">
        <v>3</v>
      </c>
      <c r="D38" t="inlineStr">
        <is>
          <t>Max Damage Multiplier %</t>
        </is>
      </c>
      <c r="E38" t="n">
        <v>3</v>
      </c>
      <c r="F38" t="n">
        <v>4</v>
      </c>
      <c r="G38" t="b">
        <v>0</v>
      </c>
      <c r="H38">
        <f>Sensitivity!H15</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f>Sensitivity!H8</f>
        <v/>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IF(Inputs!$B$11&gt;=100,Sensitivity!H17,Sensitivity!H16)</f>
        <v/>
      </c>
    </row>
    <row r="51">
      <c r="A51" t="inlineStr">
        <is>
          <t>ALL</t>
        </is>
      </c>
      <c r="B51" t="inlineStr">
        <is>
          <t>rare</t>
        </is>
      </c>
      <c r="C51" t="n">
        <v>1</v>
      </c>
      <c r="D51" t="inlineStr">
        <is>
          <t>Attack Speed %</t>
        </is>
      </c>
      <c r="E51" t="n">
        <v>3.5</v>
      </c>
      <c r="F51" t="n">
        <v>2.5</v>
      </c>
      <c r="G51" t="b">
        <v>1</v>
      </c>
      <c r="H51">
        <f>Sensitivity!H18</f>
        <v/>
      </c>
    </row>
    <row r="52">
      <c r="A52" t="inlineStr">
        <is>
          <t>ALL</t>
        </is>
      </c>
      <c r="B52" t="inlineStr">
        <is>
          <t>rare</t>
        </is>
      </c>
      <c r="C52" t="n">
        <v>1</v>
      </c>
      <c r="D52" t="inlineStr">
        <is>
          <t>Damage %</t>
        </is>
      </c>
      <c r="E52" t="n">
        <v>8</v>
      </c>
      <c r="F52" t="n">
        <v>4</v>
      </c>
      <c r="G52" t="b">
        <v>1</v>
      </c>
      <c r="H52">
        <f>Sensitivity!H9</f>
        <v/>
      </c>
    </row>
    <row r="53">
      <c r="A53" t="inlineStr">
        <is>
          <t>ALL</t>
        </is>
      </c>
      <c r="B53" t="inlineStr">
        <is>
          <t>rare</t>
        </is>
      </c>
      <c r="C53" t="n">
        <v>1</v>
      </c>
      <c r="D53" t="inlineStr">
        <is>
          <t>Min Damage Multiplier %</t>
        </is>
      </c>
      <c r="E53" t="n">
        <v>6</v>
      </c>
      <c r="F53" t="n">
        <v>4</v>
      </c>
      <c r="G53" t="b">
        <v>1</v>
      </c>
      <c r="H53">
        <f>Sensitivity!H14</f>
        <v/>
      </c>
    </row>
    <row r="54">
      <c r="A54" t="inlineStr">
        <is>
          <t>ALL</t>
        </is>
      </c>
      <c r="B54" t="inlineStr">
        <is>
          <t>rare</t>
        </is>
      </c>
      <c r="C54" t="n">
        <v>1</v>
      </c>
      <c r="D54" t="inlineStr">
        <is>
          <t>Max Damage Multiplier %</t>
        </is>
      </c>
      <c r="E54" t="n">
        <v>6</v>
      </c>
      <c r="F54" t="n">
        <v>4</v>
      </c>
      <c r="G54" t="b">
        <v>1</v>
      </c>
      <c r="H54">
        <f>Sensitivity!H15</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f>Sensitivity!H8</f>
        <v/>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IF(Inputs!$B$11&gt;=100,Sensitivity!H17,Sensitivity!H16)</f>
        <v/>
      </c>
    </row>
    <row r="67">
      <c r="A67" t="inlineStr">
        <is>
          <t>ALL</t>
        </is>
      </c>
      <c r="B67" t="inlineStr">
        <is>
          <t>rare</t>
        </is>
      </c>
      <c r="C67" t="n">
        <v>2</v>
      </c>
      <c r="D67" t="inlineStr">
        <is>
          <t>Critical Rate %</t>
        </is>
      </c>
      <c r="E67" t="n">
        <v>4.5</v>
      </c>
      <c r="F67" t="n">
        <v>0.6</v>
      </c>
      <c r="G67" t="b">
        <v>1</v>
      </c>
      <c r="H67">
        <f>IF(Inputs!$B$11&gt;=100,Sensitivity!H17,Sensitivity!H16)</f>
        <v/>
      </c>
    </row>
    <row r="68">
      <c r="A68" t="inlineStr">
        <is>
          <t>ALL</t>
        </is>
      </c>
      <c r="B68" t="inlineStr">
        <is>
          <t>rare</t>
        </is>
      </c>
      <c r="C68" t="n">
        <v>2</v>
      </c>
      <c r="D68" t="inlineStr">
        <is>
          <t>Attack Speed %</t>
        </is>
      </c>
      <c r="E68" t="n">
        <v>3</v>
      </c>
      <c r="F68" t="n">
        <v>1.9</v>
      </c>
      <c r="G68" t="b">
        <v>0</v>
      </c>
      <c r="H68">
        <f>Sensitivity!H18</f>
        <v/>
      </c>
    </row>
    <row r="69">
      <c r="A69" t="inlineStr">
        <is>
          <t>ALL</t>
        </is>
      </c>
      <c r="B69" t="inlineStr">
        <is>
          <t>rare</t>
        </is>
      </c>
      <c r="C69" t="n">
        <v>2</v>
      </c>
      <c r="D69" t="inlineStr">
        <is>
          <t>Attack Speed %</t>
        </is>
      </c>
      <c r="E69" t="n">
        <v>3.5</v>
      </c>
      <c r="F69" t="n">
        <v>0.6</v>
      </c>
      <c r="G69" t="b">
        <v>1</v>
      </c>
      <c r="H69">
        <f>Sensitivity!H18</f>
        <v/>
      </c>
    </row>
    <row r="70">
      <c r="A70" t="inlineStr">
        <is>
          <t>ALL</t>
        </is>
      </c>
      <c r="B70" t="inlineStr">
        <is>
          <t>rare</t>
        </is>
      </c>
      <c r="C70" t="n">
        <v>2</v>
      </c>
      <c r="D70" t="inlineStr">
        <is>
          <t>Damage %</t>
        </is>
      </c>
      <c r="E70" t="n">
        <v>5</v>
      </c>
      <c r="F70" t="n">
        <v>3.04</v>
      </c>
      <c r="G70" t="b">
        <v>0</v>
      </c>
      <c r="H70">
        <f>Sensitivity!H9</f>
        <v/>
      </c>
    </row>
    <row r="71">
      <c r="A71" t="inlineStr">
        <is>
          <t>ALL</t>
        </is>
      </c>
      <c r="B71" t="inlineStr">
        <is>
          <t>rare</t>
        </is>
      </c>
      <c r="C71" t="n">
        <v>2</v>
      </c>
      <c r="D71" t="inlineStr">
        <is>
          <t>Damage %</t>
        </is>
      </c>
      <c r="E71" t="n">
        <v>8</v>
      </c>
      <c r="F71" t="n">
        <v>0.96</v>
      </c>
      <c r="G71" t="b">
        <v>1</v>
      </c>
      <c r="H71">
        <f>Sensitivity!H9</f>
        <v/>
      </c>
    </row>
    <row r="72">
      <c r="A72" t="inlineStr">
        <is>
          <t>ALL</t>
        </is>
      </c>
      <c r="B72" t="inlineStr">
        <is>
          <t>rare</t>
        </is>
      </c>
      <c r="C72" t="n">
        <v>2</v>
      </c>
      <c r="D72" t="inlineStr">
        <is>
          <t>Min Damage Multiplier %</t>
        </is>
      </c>
      <c r="E72" t="n">
        <v>3</v>
      </c>
      <c r="F72" t="n">
        <v>3.04</v>
      </c>
      <c r="G72" t="b">
        <v>0</v>
      </c>
      <c r="H72">
        <f>Sensitivity!H14</f>
        <v/>
      </c>
    </row>
    <row r="73">
      <c r="A73" t="inlineStr">
        <is>
          <t>ALL</t>
        </is>
      </c>
      <c r="B73" t="inlineStr">
        <is>
          <t>rare</t>
        </is>
      </c>
      <c r="C73" t="n">
        <v>2</v>
      </c>
      <c r="D73" t="inlineStr">
        <is>
          <t>Min Damage Multiplier %</t>
        </is>
      </c>
      <c r="E73" t="n">
        <v>6</v>
      </c>
      <c r="F73" t="n">
        <v>0.96</v>
      </c>
      <c r="G73" t="b">
        <v>1</v>
      </c>
      <c r="H73">
        <f>Sensitivity!H14</f>
        <v/>
      </c>
    </row>
    <row r="74">
      <c r="A74" t="inlineStr">
        <is>
          <t>ALL</t>
        </is>
      </c>
      <c r="B74" t="inlineStr">
        <is>
          <t>rare</t>
        </is>
      </c>
      <c r="C74" t="n">
        <v>2</v>
      </c>
      <c r="D74" t="inlineStr">
        <is>
          <t>Max Damage Multiplier %</t>
        </is>
      </c>
      <c r="E74" t="n">
        <v>3</v>
      </c>
      <c r="F74" t="n">
        <v>3.04</v>
      </c>
      <c r="G74" t="b">
        <v>0</v>
      </c>
      <c r="H74">
        <f>Sensitivity!H15</f>
        <v/>
      </c>
    </row>
    <row r="75">
      <c r="A75" t="inlineStr">
        <is>
          <t>ALL</t>
        </is>
      </c>
      <c r="B75" t="inlineStr">
        <is>
          <t>rare</t>
        </is>
      </c>
      <c r="C75" t="n">
        <v>2</v>
      </c>
      <c r="D75" t="inlineStr">
        <is>
          <t>Max Damage Multiplier %</t>
        </is>
      </c>
      <c r="E75" t="n">
        <v>6</v>
      </c>
      <c r="F75" t="n">
        <v>0.96</v>
      </c>
      <c r="G75" t="b">
        <v>1</v>
      </c>
      <c r="H75">
        <f>Sensitivity!H15</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f>Sensitivity!H8</f>
        <v/>
      </c>
    </row>
    <row r="85">
      <c r="A85" t="inlineStr">
        <is>
          <t>ALL</t>
        </is>
      </c>
      <c r="B85" t="inlineStr">
        <is>
          <t>rare</t>
        </is>
      </c>
      <c r="C85" t="n">
        <v>2</v>
      </c>
      <c r="D85" t="inlineStr">
        <is>
          <t>Defense %</t>
        </is>
      </c>
      <c r="E85" t="n">
        <v>4.5</v>
      </c>
      <c r="F85" t="n">
        <v>2.16</v>
      </c>
      <c r="G85" t="b">
        <v>1</v>
      </c>
      <c r="H85">
        <f>Sensitivity!H8</f>
        <v/>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IF(Inputs!$B$11&gt;=100,Sensitivity!H17,Sensitivity!H16)</f>
        <v/>
      </c>
    </row>
    <row r="99">
      <c r="A99" t="inlineStr">
        <is>
          <t>ALL</t>
        </is>
      </c>
      <c r="B99" t="inlineStr">
        <is>
          <t>rare</t>
        </is>
      </c>
      <c r="C99" t="n">
        <v>3</v>
      </c>
      <c r="D99" t="inlineStr">
        <is>
          <t>Critical Rate %</t>
        </is>
      </c>
      <c r="E99" t="n">
        <v>4.5</v>
      </c>
      <c r="F99" t="n">
        <v>0.2</v>
      </c>
      <c r="G99" t="b">
        <v>1</v>
      </c>
      <c r="H99">
        <f>IF(Inputs!$B$11&gt;=100,Sensitivity!H17,Sensitivity!H16)</f>
        <v/>
      </c>
    </row>
    <row r="100">
      <c r="A100" t="inlineStr">
        <is>
          <t>ALL</t>
        </is>
      </c>
      <c r="B100" t="inlineStr">
        <is>
          <t>rare</t>
        </is>
      </c>
      <c r="C100" t="n">
        <v>3</v>
      </c>
      <c r="D100" t="inlineStr">
        <is>
          <t>Attack Speed %</t>
        </is>
      </c>
      <c r="E100" t="n">
        <v>3</v>
      </c>
      <c r="F100" t="n">
        <v>2.3</v>
      </c>
      <c r="G100" t="b">
        <v>0</v>
      </c>
      <c r="H100">
        <f>Sensitivity!H18</f>
        <v/>
      </c>
    </row>
    <row r="101">
      <c r="A101" t="inlineStr">
        <is>
          <t>ALL</t>
        </is>
      </c>
      <c r="B101" t="inlineStr">
        <is>
          <t>rare</t>
        </is>
      </c>
      <c r="C101" t="n">
        <v>3</v>
      </c>
      <c r="D101" t="inlineStr">
        <is>
          <t>Attack Speed %</t>
        </is>
      </c>
      <c r="E101" t="n">
        <v>3.5</v>
      </c>
      <c r="F101" t="n">
        <v>0.2</v>
      </c>
      <c r="G101" t="b">
        <v>1</v>
      </c>
      <c r="H101">
        <f>Sensitivity!H18</f>
        <v/>
      </c>
    </row>
    <row r="102">
      <c r="A102" t="inlineStr">
        <is>
          <t>ALL</t>
        </is>
      </c>
      <c r="B102" t="inlineStr">
        <is>
          <t>rare</t>
        </is>
      </c>
      <c r="C102" t="n">
        <v>3</v>
      </c>
      <c r="D102" t="inlineStr">
        <is>
          <t>Damage %</t>
        </is>
      </c>
      <c r="E102" t="n">
        <v>5</v>
      </c>
      <c r="F102" t="n">
        <v>3.68</v>
      </c>
      <c r="G102" t="b">
        <v>0</v>
      </c>
      <c r="H102">
        <f>Sensitivity!H9</f>
        <v/>
      </c>
    </row>
    <row r="103">
      <c r="A103" t="inlineStr">
        <is>
          <t>ALL</t>
        </is>
      </c>
      <c r="B103" t="inlineStr">
        <is>
          <t>rare</t>
        </is>
      </c>
      <c r="C103" t="n">
        <v>3</v>
      </c>
      <c r="D103" t="inlineStr">
        <is>
          <t>Damage %</t>
        </is>
      </c>
      <c r="E103" t="n">
        <v>8</v>
      </c>
      <c r="F103" t="n">
        <v>0.32</v>
      </c>
      <c r="G103" t="b">
        <v>1</v>
      </c>
      <c r="H103">
        <f>Sensitivity!H9</f>
        <v/>
      </c>
    </row>
    <row r="104">
      <c r="A104" t="inlineStr">
        <is>
          <t>ALL</t>
        </is>
      </c>
      <c r="B104" t="inlineStr">
        <is>
          <t>rare</t>
        </is>
      </c>
      <c r="C104" t="n">
        <v>3</v>
      </c>
      <c r="D104" t="inlineStr">
        <is>
          <t>Min Damage Multiplier %</t>
        </is>
      </c>
      <c r="E104" t="n">
        <v>3</v>
      </c>
      <c r="F104" t="n">
        <v>3.68</v>
      </c>
      <c r="G104" t="b">
        <v>0</v>
      </c>
      <c r="H104">
        <f>Sensitivity!H14</f>
        <v/>
      </c>
    </row>
    <row r="105">
      <c r="A105" t="inlineStr">
        <is>
          <t>ALL</t>
        </is>
      </c>
      <c r="B105" t="inlineStr">
        <is>
          <t>rare</t>
        </is>
      </c>
      <c r="C105" t="n">
        <v>3</v>
      </c>
      <c r="D105" t="inlineStr">
        <is>
          <t>Min Damage Multiplier %</t>
        </is>
      </c>
      <c r="E105" t="n">
        <v>6</v>
      </c>
      <c r="F105" t="n">
        <v>0.32</v>
      </c>
      <c r="G105" t="b">
        <v>1</v>
      </c>
      <c r="H105">
        <f>Sensitivity!H14</f>
        <v/>
      </c>
    </row>
    <row r="106">
      <c r="A106" t="inlineStr">
        <is>
          <t>ALL</t>
        </is>
      </c>
      <c r="B106" t="inlineStr">
        <is>
          <t>rare</t>
        </is>
      </c>
      <c r="C106" t="n">
        <v>3</v>
      </c>
      <c r="D106" t="inlineStr">
        <is>
          <t>Max Damage Multiplier %</t>
        </is>
      </c>
      <c r="E106" t="n">
        <v>3</v>
      </c>
      <c r="F106" t="n">
        <v>3.68</v>
      </c>
      <c r="G106" t="b">
        <v>0</v>
      </c>
      <c r="H106">
        <f>Sensitivity!H15</f>
        <v/>
      </c>
    </row>
    <row r="107">
      <c r="A107" t="inlineStr">
        <is>
          <t>ALL</t>
        </is>
      </c>
      <c r="B107" t="inlineStr">
        <is>
          <t>rare</t>
        </is>
      </c>
      <c r="C107" t="n">
        <v>3</v>
      </c>
      <c r="D107" t="inlineStr">
        <is>
          <t>Max Damage Multiplier %</t>
        </is>
      </c>
      <c r="E107" t="n">
        <v>6</v>
      </c>
      <c r="F107" t="n">
        <v>0.32</v>
      </c>
      <c r="G107" t="b">
        <v>1</v>
      </c>
      <c r="H107">
        <f>Sensitivity!H15</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f>Sensitivity!H8</f>
        <v/>
      </c>
    </row>
    <row r="117">
      <c r="A117" t="inlineStr">
        <is>
          <t>ALL</t>
        </is>
      </c>
      <c r="B117" t="inlineStr">
        <is>
          <t>rare</t>
        </is>
      </c>
      <c r="C117" t="n">
        <v>3</v>
      </c>
      <c r="D117" t="inlineStr">
        <is>
          <t>Defense %</t>
        </is>
      </c>
      <c r="E117" t="n">
        <v>4.5</v>
      </c>
      <c r="F117" t="n">
        <v>0.72</v>
      </c>
      <c r="G117" t="b">
        <v>1</v>
      </c>
      <c r="H117">
        <f>Sensitivity!H8</f>
        <v/>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IF(Inputs!$B$11&gt;=100,Sensitivity!H17,Sensitivity!H16)</f>
        <v/>
      </c>
    </row>
    <row r="131">
      <c r="A131" t="inlineStr">
        <is>
          <t>ALL</t>
        </is>
      </c>
      <c r="B131" t="inlineStr">
        <is>
          <t>epic</t>
        </is>
      </c>
      <c r="C131" t="n">
        <v>1</v>
      </c>
      <c r="D131" t="inlineStr">
        <is>
          <t>Attack Speed %</t>
        </is>
      </c>
      <c r="E131" t="n">
        <v>4</v>
      </c>
      <c r="F131" t="n">
        <v>2.5</v>
      </c>
      <c r="G131" t="b">
        <v>1</v>
      </c>
      <c r="H131">
        <f>Sensitivity!H18</f>
        <v/>
      </c>
    </row>
    <row r="132">
      <c r="A132" t="inlineStr">
        <is>
          <t>ALL</t>
        </is>
      </c>
      <c r="B132" t="inlineStr">
        <is>
          <t>epic</t>
        </is>
      </c>
      <c r="C132" t="n">
        <v>1</v>
      </c>
      <c r="D132" t="inlineStr">
        <is>
          <t>Damage %</t>
        </is>
      </c>
      <c r="E132" t="n">
        <v>12</v>
      </c>
      <c r="F132" t="n">
        <v>4</v>
      </c>
      <c r="G132" t="b">
        <v>1</v>
      </c>
      <c r="H132">
        <f>Sensitivity!H9</f>
        <v/>
      </c>
    </row>
    <row r="133">
      <c r="A133" t="inlineStr">
        <is>
          <t>ALL</t>
        </is>
      </c>
      <c r="B133" t="inlineStr">
        <is>
          <t>epic</t>
        </is>
      </c>
      <c r="C133" t="n">
        <v>1</v>
      </c>
      <c r="D133" t="inlineStr">
        <is>
          <t>Min Damage Multiplier %</t>
        </is>
      </c>
      <c r="E133" t="n">
        <v>8</v>
      </c>
      <c r="F133" t="n">
        <v>4</v>
      </c>
      <c r="G133" t="b">
        <v>1</v>
      </c>
      <c r="H133">
        <f>Sensitivity!H14</f>
        <v/>
      </c>
    </row>
    <row r="134">
      <c r="A134" t="inlineStr">
        <is>
          <t>ALL</t>
        </is>
      </c>
      <c r="B134" t="inlineStr">
        <is>
          <t>epic</t>
        </is>
      </c>
      <c r="C134" t="n">
        <v>1</v>
      </c>
      <c r="D134" t="inlineStr">
        <is>
          <t>Max Damage Multiplier %</t>
        </is>
      </c>
      <c r="E134" t="n">
        <v>8</v>
      </c>
      <c r="F134" t="n">
        <v>4</v>
      </c>
      <c r="G134" t="b">
        <v>1</v>
      </c>
      <c r="H134">
        <f>Sensitivity!H15</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f>Sensitivity!H8</f>
        <v/>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IF(Inputs!$B$11&gt;=100,Sensitivity!H17,Sensitivity!H16)</f>
        <v/>
      </c>
    </row>
    <row r="147">
      <c r="A147" t="inlineStr">
        <is>
          <t>ALL</t>
        </is>
      </c>
      <c r="B147" t="inlineStr">
        <is>
          <t>epic</t>
        </is>
      </c>
      <c r="C147" t="n">
        <v>2</v>
      </c>
      <c r="D147" t="inlineStr">
        <is>
          <t>Critical Rate %</t>
        </is>
      </c>
      <c r="E147" t="n">
        <v>6</v>
      </c>
      <c r="F147" t="n">
        <v>0.6</v>
      </c>
      <c r="G147" t="b">
        <v>1</v>
      </c>
      <c r="H147">
        <f>IF(Inputs!$B$11&gt;=100,Sensitivity!H17,Sensitivity!H16)</f>
        <v/>
      </c>
    </row>
    <row r="148">
      <c r="A148" t="inlineStr">
        <is>
          <t>ALL</t>
        </is>
      </c>
      <c r="B148" t="inlineStr">
        <is>
          <t>epic</t>
        </is>
      </c>
      <c r="C148" t="n">
        <v>2</v>
      </c>
      <c r="D148" t="inlineStr">
        <is>
          <t>Attack Speed %</t>
        </is>
      </c>
      <c r="E148" t="n">
        <v>3.5</v>
      </c>
      <c r="F148" t="n">
        <v>1.9</v>
      </c>
      <c r="G148" t="b">
        <v>0</v>
      </c>
      <c r="H148">
        <f>Sensitivity!H18</f>
        <v/>
      </c>
    </row>
    <row r="149">
      <c r="A149" t="inlineStr">
        <is>
          <t>ALL</t>
        </is>
      </c>
      <c r="B149" t="inlineStr">
        <is>
          <t>epic</t>
        </is>
      </c>
      <c r="C149" t="n">
        <v>2</v>
      </c>
      <c r="D149" t="inlineStr">
        <is>
          <t>Attack Speed %</t>
        </is>
      </c>
      <c r="E149" t="n">
        <v>4</v>
      </c>
      <c r="F149" t="n">
        <v>0.6</v>
      </c>
      <c r="G149" t="b">
        <v>1</v>
      </c>
      <c r="H149">
        <f>Sensitivity!H18</f>
        <v/>
      </c>
    </row>
    <row r="150">
      <c r="A150" t="inlineStr">
        <is>
          <t>ALL</t>
        </is>
      </c>
      <c r="B150" t="inlineStr">
        <is>
          <t>epic</t>
        </is>
      </c>
      <c r="C150" t="n">
        <v>2</v>
      </c>
      <c r="D150" t="inlineStr">
        <is>
          <t>Damage %</t>
        </is>
      </c>
      <c r="E150" t="n">
        <v>8</v>
      </c>
      <c r="F150" t="n">
        <v>3.04</v>
      </c>
      <c r="G150" t="b">
        <v>0</v>
      </c>
      <c r="H150">
        <f>Sensitivity!H9</f>
        <v/>
      </c>
    </row>
    <row r="151">
      <c r="A151" t="inlineStr">
        <is>
          <t>ALL</t>
        </is>
      </c>
      <c r="B151" t="inlineStr">
        <is>
          <t>epic</t>
        </is>
      </c>
      <c r="C151" t="n">
        <v>2</v>
      </c>
      <c r="D151" t="inlineStr">
        <is>
          <t>Damage %</t>
        </is>
      </c>
      <c r="E151" t="n">
        <v>12</v>
      </c>
      <c r="F151" t="n">
        <v>0.96</v>
      </c>
      <c r="G151" t="b">
        <v>1</v>
      </c>
      <c r="H151">
        <f>Sensitivity!H9</f>
        <v/>
      </c>
    </row>
    <row r="152">
      <c r="A152" t="inlineStr">
        <is>
          <t>ALL</t>
        </is>
      </c>
      <c r="B152" t="inlineStr">
        <is>
          <t>epic</t>
        </is>
      </c>
      <c r="C152" t="n">
        <v>2</v>
      </c>
      <c r="D152" t="inlineStr">
        <is>
          <t>Min Damage Multiplier %</t>
        </is>
      </c>
      <c r="E152" t="n">
        <v>6</v>
      </c>
      <c r="F152" t="n">
        <v>3.04</v>
      </c>
      <c r="G152" t="b">
        <v>0</v>
      </c>
      <c r="H152">
        <f>Sensitivity!H14</f>
        <v/>
      </c>
    </row>
    <row r="153">
      <c r="A153" t="inlineStr">
        <is>
          <t>ALL</t>
        </is>
      </c>
      <c r="B153" t="inlineStr">
        <is>
          <t>epic</t>
        </is>
      </c>
      <c r="C153" t="n">
        <v>2</v>
      </c>
      <c r="D153" t="inlineStr">
        <is>
          <t>Min Damage Multiplier %</t>
        </is>
      </c>
      <c r="E153" t="n">
        <v>8</v>
      </c>
      <c r="F153" t="n">
        <v>0.96</v>
      </c>
      <c r="G153" t="b">
        <v>1</v>
      </c>
      <c r="H153">
        <f>Sensitivity!H14</f>
        <v/>
      </c>
    </row>
    <row r="154">
      <c r="A154" t="inlineStr">
        <is>
          <t>ALL</t>
        </is>
      </c>
      <c r="B154" t="inlineStr">
        <is>
          <t>epic</t>
        </is>
      </c>
      <c r="C154" t="n">
        <v>2</v>
      </c>
      <c r="D154" t="inlineStr">
        <is>
          <t>Max Damage Multiplier %</t>
        </is>
      </c>
      <c r="E154" t="n">
        <v>6</v>
      </c>
      <c r="F154" t="n">
        <v>3.04</v>
      </c>
      <c r="G154" t="b">
        <v>0</v>
      </c>
      <c r="H154">
        <f>Sensitivity!H15</f>
        <v/>
      </c>
    </row>
    <row r="155">
      <c r="A155" t="inlineStr">
        <is>
          <t>ALL</t>
        </is>
      </c>
      <c r="B155" t="inlineStr">
        <is>
          <t>epic</t>
        </is>
      </c>
      <c r="C155" t="n">
        <v>2</v>
      </c>
      <c r="D155" t="inlineStr">
        <is>
          <t>Max Damage Multiplier %</t>
        </is>
      </c>
      <c r="E155" t="n">
        <v>8</v>
      </c>
      <c r="F155" t="n">
        <v>0.96</v>
      </c>
      <c r="G155" t="b">
        <v>1</v>
      </c>
      <c r="H155">
        <f>Sensitivity!H15</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f>Sensitivity!H8</f>
        <v/>
      </c>
    </row>
    <row r="165">
      <c r="A165" t="inlineStr">
        <is>
          <t>ALL</t>
        </is>
      </c>
      <c r="B165" t="inlineStr">
        <is>
          <t>epic</t>
        </is>
      </c>
      <c r="C165" t="n">
        <v>2</v>
      </c>
      <c r="D165" t="inlineStr">
        <is>
          <t>Defense %</t>
        </is>
      </c>
      <c r="E165" t="n">
        <v>6</v>
      </c>
      <c r="F165" t="n">
        <v>2.16</v>
      </c>
      <c r="G165" t="b">
        <v>1</v>
      </c>
      <c r="H165">
        <f>Sensitivity!H8</f>
        <v/>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IF(Inputs!$B$11&gt;=100,Sensitivity!H17,Sensitivity!H16)</f>
        <v/>
      </c>
    </row>
    <row r="179">
      <c r="A179" t="inlineStr">
        <is>
          <t>ALL</t>
        </is>
      </c>
      <c r="B179" t="inlineStr">
        <is>
          <t>epic</t>
        </is>
      </c>
      <c r="C179" t="n">
        <v>3</v>
      </c>
      <c r="D179" t="inlineStr">
        <is>
          <t>Critical Rate %</t>
        </is>
      </c>
      <c r="E179" t="n">
        <v>6</v>
      </c>
      <c r="F179" t="n">
        <v>0.2</v>
      </c>
      <c r="G179" t="b">
        <v>1</v>
      </c>
      <c r="H179">
        <f>IF(Inputs!$B$11&gt;=100,Sensitivity!H17,Sensitivity!H16)</f>
        <v/>
      </c>
    </row>
    <row r="180">
      <c r="A180" t="inlineStr">
        <is>
          <t>ALL</t>
        </is>
      </c>
      <c r="B180" t="inlineStr">
        <is>
          <t>epic</t>
        </is>
      </c>
      <c r="C180" t="n">
        <v>3</v>
      </c>
      <c r="D180" t="inlineStr">
        <is>
          <t>Attack Speed %</t>
        </is>
      </c>
      <c r="E180" t="n">
        <v>3.5</v>
      </c>
      <c r="F180" t="n">
        <v>2.3</v>
      </c>
      <c r="G180" t="b">
        <v>0</v>
      </c>
      <c r="H180">
        <f>Sensitivity!H18</f>
        <v/>
      </c>
    </row>
    <row r="181">
      <c r="A181" t="inlineStr">
        <is>
          <t>ALL</t>
        </is>
      </c>
      <c r="B181" t="inlineStr">
        <is>
          <t>epic</t>
        </is>
      </c>
      <c r="C181" t="n">
        <v>3</v>
      </c>
      <c r="D181" t="inlineStr">
        <is>
          <t>Attack Speed %</t>
        </is>
      </c>
      <c r="E181" t="n">
        <v>4</v>
      </c>
      <c r="F181" t="n">
        <v>0.2</v>
      </c>
      <c r="G181" t="b">
        <v>1</v>
      </c>
      <c r="H181">
        <f>Sensitivity!H18</f>
        <v/>
      </c>
    </row>
    <row r="182">
      <c r="A182" t="inlineStr">
        <is>
          <t>ALL</t>
        </is>
      </c>
      <c r="B182" t="inlineStr">
        <is>
          <t>epic</t>
        </is>
      </c>
      <c r="C182" t="n">
        <v>3</v>
      </c>
      <c r="D182" t="inlineStr">
        <is>
          <t>Damage %</t>
        </is>
      </c>
      <c r="E182" t="n">
        <v>8</v>
      </c>
      <c r="F182" t="n">
        <v>3.68</v>
      </c>
      <c r="G182" t="b">
        <v>0</v>
      </c>
      <c r="H182">
        <f>Sensitivity!H9</f>
        <v/>
      </c>
    </row>
    <row r="183">
      <c r="A183" t="inlineStr">
        <is>
          <t>ALL</t>
        </is>
      </c>
      <c r="B183" t="inlineStr">
        <is>
          <t>epic</t>
        </is>
      </c>
      <c r="C183" t="n">
        <v>3</v>
      </c>
      <c r="D183" t="inlineStr">
        <is>
          <t>Damage %</t>
        </is>
      </c>
      <c r="E183" t="n">
        <v>12</v>
      </c>
      <c r="F183" t="n">
        <v>0.32</v>
      </c>
      <c r="G183" t="b">
        <v>1</v>
      </c>
      <c r="H183">
        <f>Sensitivity!H9</f>
        <v/>
      </c>
    </row>
    <row r="184">
      <c r="A184" t="inlineStr">
        <is>
          <t>ALL</t>
        </is>
      </c>
      <c r="B184" t="inlineStr">
        <is>
          <t>epic</t>
        </is>
      </c>
      <c r="C184" t="n">
        <v>3</v>
      </c>
      <c r="D184" t="inlineStr">
        <is>
          <t>Min Damage Multiplier %</t>
        </is>
      </c>
      <c r="E184" t="n">
        <v>6</v>
      </c>
      <c r="F184" t="n">
        <v>3.68</v>
      </c>
      <c r="G184" t="b">
        <v>0</v>
      </c>
      <c r="H184">
        <f>Sensitivity!H14</f>
        <v/>
      </c>
    </row>
    <row r="185">
      <c r="A185" t="inlineStr">
        <is>
          <t>ALL</t>
        </is>
      </c>
      <c r="B185" t="inlineStr">
        <is>
          <t>epic</t>
        </is>
      </c>
      <c r="C185" t="n">
        <v>3</v>
      </c>
      <c r="D185" t="inlineStr">
        <is>
          <t>Min Damage Multiplier %</t>
        </is>
      </c>
      <c r="E185" t="n">
        <v>8</v>
      </c>
      <c r="F185" t="n">
        <v>0.32</v>
      </c>
      <c r="G185" t="b">
        <v>1</v>
      </c>
      <c r="H185">
        <f>Sensitivity!H14</f>
        <v/>
      </c>
    </row>
    <row r="186">
      <c r="A186" t="inlineStr">
        <is>
          <t>ALL</t>
        </is>
      </c>
      <c r="B186" t="inlineStr">
        <is>
          <t>epic</t>
        </is>
      </c>
      <c r="C186" t="n">
        <v>3</v>
      </c>
      <c r="D186" t="inlineStr">
        <is>
          <t>Max Damage Multiplier %</t>
        </is>
      </c>
      <c r="E186" t="n">
        <v>6</v>
      </c>
      <c r="F186" t="n">
        <v>3.68</v>
      </c>
      <c r="G186" t="b">
        <v>0</v>
      </c>
      <c r="H186">
        <f>Sensitivity!H15</f>
        <v/>
      </c>
    </row>
    <row r="187">
      <c r="A187" t="inlineStr">
        <is>
          <t>ALL</t>
        </is>
      </c>
      <c r="B187" t="inlineStr">
        <is>
          <t>epic</t>
        </is>
      </c>
      <c r="C187" t="n">
        <v>3</v>
      </c>
      <c r="D187" t="inlineStr">
        <is>
          <t>Max Damage Multiplier %</t>
        </is>
      </c>
      <c r="E187" t="n">
        <v>8</v>
      </c>
      <c r="F187" t="n">
        <v>0.32</v>
      </c>
      <c r="G187" t="b">
        <v>1</v>
      </c>
      <c r="H187">
        <f>Sensitivity!H15</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f>Sensitivity!H8</f>
        <v/>
      </c>
    </row>
    <row r="197">
      <c r="A197" t="inlineStr">
        <is>
          <t>ALL</t>
        </is>
      </c>
      <c r="B197" t="inlineStr">
        <is>
          <t>epic</t>
        </is>
      </c>
      <c r="C197" t="n">
        <v>3</v>
      </c>
      <c r="D197" t="inlineStr">
        <is>
          <t>Defense %</t>
        </is>
      </c>
      <c r="E197" t="n">
        <v>6</v>
      </c>
      <c r="F197" t="n">
        <v>0.72</v>
      </c>
      <c r="G197" t="b">
        <v>1</v>
      </c>
      <c r="H197">
        <f>Sensitivity!H8</f>
        <v/>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IF(Inputs!$B$11&gt;=100,Sensitivity!H17,Sensitivity!H16)</f>
        <v/>
      </c>
    </row>
    <row r="211">
      <c r="A211" t="inlineStr">
        <is>
          <t>ALL</t>
        </is>
      </c>
      <c r="B211" t="inlineStr">
        <is>
          <t>unique</t>
        </is>
      </c>
      <c r="C211" t="n">
        <v>1</v>
      </c>
      <c r="D211" t="inlineStr">
        <is>
          <t>Attack Speed %</t>
        </is>
      </c>
      <c r="E211" t="n">
        <v>5</v>
      </c>
      <c r="F211" t="n">
        <v>2.5</v>
      </c>
      <c r="G211" t="b">
        <v>1</v>
      </c>
      <c r="H211">
        <f>Sensitivity!H18</f>
        <v/>
      </c>
    </row>
    <row r="212">
      <c r="A212" t="inlineStr">
        <is>
          <t>ALL</t>
        </is>
      </c>
      <c r="B212" t="inlineStr">
        <is>
          <t>unique</t>
        </is>
      </c>
      <c r="C212" t="n">
        <v>1</v>
      </c>
      <c r="D212" t="inlineStr">
        <is>
          <t>Damage %</t>
        </is>
      </c>
      <c r="E212" t="n">
        <v>18</v>
      </c>
      <c r="F212" t="n">
        <v>4</v>
      </c>
      <c r="G212" t="b">
        <v>1</v>
      </c>
      <c r="H212">
        <f>Sensitivity!H9</f>
        <v/>
      </c>
    </row>
    <row r="213">
      <c r="A213" t="inlineStr">
        <is>
          <t>ALL</t>
        </is>
      </c>
      <c r="B213" t="inlineStr">
        <is>
          <t>unique</t>
        </is>
      </c>
      <c r="C213" t="n">
        <v>1</v>
      </c>
      <c r="D213" t="inlineStr">
        <is>
          <t>Min Damage Multiplier %</t>
        </is>
      </c>
      <c r="E213" t="n">
        <v>10</v>
      </c>
      <c r="F213" t="n">
        <v>4</v>
      </c>
      <c r="G213" t="b">
        <v>1</v>
      </c>
      <c r="H213">
        <f>Sensitivity!H14</f>
        <v/>
      </c>
    </row>
    <row r="214">
      <c r="A214" t="inlineStr">
        <is>
          <t>ALL</t>
        </is>
      </c>
      <c r="B214" t="inlineStr">
        <is>
          <t>unique</t>
        </is>
      </c>
      <c r="C214" t="n">
        <v>1</v>
      </c>
      <c r="D214" t="inlineStr">
        <is>
          <t>Max Damage Multiplier %</t>
        </is>
      </c>
      <c r="E214" t="n">
        <v>10</v>
      </c>
      <c r="F214" t="n">
        <v>4</v>
      </c>
      <c r="G214" t="b">
        <v>1</v>
      </c>
      <c r="H214">
        <f>Sensitivity!H15</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f>Sensitivity!H8</f>
        <v/>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IF(Inputs!$B$11&gt;=100,Sensitivity!H17,Sensitivity!H16)</f>
        <v/>
      </c>
    </row>
    <row r="227">
      <c r="A227" t="inlineStr">
        <is>
          <t>ALL</t>
        </is>
      </c>
      <c r="B227" t="inlineStr">
        <is>
          <t>unique</t>
        </is>
      </c>
      <c r="C227" t="n">
        <v>2</v>
      </c>
      <c r="D227" t="inlineStr">
        <is>
          <t>Critical Rate %</t>
        </is>
      </c>
      <c r="E227" t="n">
        <v>9</v>
      </c>
      <c r="F227" t="n">
        <v>0.6</v>
      </c>
      <c r="G227" t="b">
        <v>1</v>
      </c>
      <c r="H227">
        <f>IF(Inputs!$B$11&gt;=100,Sensitivity!H17,Sensitivity!H16)</f>
        <v/>
      </c>
    </row>
    <row r="228">
      <c r="A228" t="inlineStr">
        <is>
          <t>ALL</t>
        </is>
      </c>
      <c r="B228" t="inlineStr">
        <is>
          <t>unique</t>
        </is>
      </c>
      <c r="C228" t="n">
        <v>2</v>
      </c>
      <c r="D228" t="inlineStr">
        <is>
          <t>Attack Speed %</t>
        </is>
      </c>
      <c r="E228" t="n">
        <v>4</v>
      </c>
      <c r="F228" t="n">
        <v>1.9</v>
      </c>
      <c r="G228" t="b">
        <v>0</v>
      </c>
      <c r="H228">
        <f>Sensitivity!H18</f>
        <v/>
      </c>
    </row>
    <row r="229">
      <c r="A229" t="inlineStr">
        <is>
          <t>ALL</t>
        </is>
      </c>
      <c r="B229" t="inlineStr">
        <is>
          <t>unique</t>
        </is>
      </c>
      <c r="C229" t="n">
        <v>2</v>
      </c>
      <c r="D229" t="inlineStr">
        <is>
          <t>Attack Speed %</t>
        </is>
      </c>
      <c r="E229" t="n">
        <v>5</v>
      </c>
      <c r="F229" t="n">
        <v>0.6</v>
      </c>
      <c r="G229" t="b">
        <v>1</v>
      </c>
      <c r="H229">
        <f>Sensitivity!H18</f>
        <v/>
      </c>
    </row>
    <row r="230">
      <c r="A230" t="inlineStr">
        <is>
          <t>ALL</t>
        </is>
      </c>
      <c r="B230" t="inlineStr">
        <is>
          <t>unique</t>
        </is>
      </c>
      <c r="C230" t="n">
        <v>2</v>
      </c>
      <c r="D230" t="inlineStr">
        <is>
          <t>Damage %</t>
        </is>
      </c>
      <c r="E230" t="n">
        <v>12</v>
      </c>
      <c r="F230" t="n">
        <v>3.04</v>
      </c>
      <c r="G230" t="b">
        <v>0</v>
      </c>
      <c r="H230">
        <f>Sensitivity!H9</f>
        <v/>
      </c>
    </row>
    <row r="231">
      <c r="A231" t="inlineStr">
        <is>
          <t>ALL</t>
        </is>
      </c>
      <c r="B231" t="inlineStr">
        <is>
          <t>unique</t>
        </is>
      </c>
      <c r="C231" t="n">
        <v>2</v>
      </c>
      <c r="D231" t="inlineStr">
        <is>
          <t>Damage %</t>
        </is>
      </c>
      <c r="E231" t="n">
        <v>18</v>
      </c>
      <c r="F231" t="n">
        <v>0.96</v>
      </c>
      <c r="G231" t="b">
        <v>1</v>
      </c>
      <c r="H231">
        <f>Sensitivity!H9</f>
        <v/>
      </c>
    </row>
    <row r="232">
      <c r="A232" t="inlineStr">
        <is>
          <t>ALL</t>
        </is>
      </c>
      <c r="B232" t="inlineStr">
        <is>
          <t>unique</t>
        </is>
      </c>
      <c r="C232" t="n">
        <v>2</v>
      </c>
      <c r="D232" t="inlineStr">
        <is>
          <t>Min Damage Multiplier %</t>
        </is>
      </c>
      <c r="E232" t="n">
        <v>8</v>
      </c>
      <c r="F232" t="n">
        <v>3.04</v>
      </c>
      <c r="G232" t="b">
        <v>0</v>
      </c>
      <c r="H232">
        <f>Sensitivity!H14</f>
        <v/>
      </c>
    </row>
    <row r="233">
      <c r="A233" t="inlineStr">
        <is>
          <t>ALL</t>
        </is>
      </c>
      <c r="B233" t="inlineStr">
        <is>
          <t>unique</t>
        </is>
      </c>
      <c r="C233" t="n">
        <v>2</v>
      </c>
      <c r="D233" t="inlineStr">
        <is>
          <t>Min Damage Multiplier %</t>
        </is>
      </c>
      <c r="E233" t="n">
        <v>10</v>
      </c>
      <c r="F233" t="n">
        <v>0.96</v>
      </c>
      <c r="G233" t="b">
        <v>1</v>
      </c>
      <c r="H233">
        <f>Sensitivity!H14</f>
        <v/>
      </c>
    </row>
    <row r="234">
      <c r="A234" t="inlineStr">
        <is>
          <t>ALL</t>
        </is>
      </c>
      <c r="B234" t="inlineStr">
        <is>
          <t>unique</t>
        </is>
      </c>
      <c r="C234" t="n">
        <v>2</v>
      </c>
      <c r="D234" t="inlineStr">
        <is>
          <t>Max Damage Multiplier %</t>
        </is>
      </c>
      <c r="E234" t="n">
        <v>8</v>
      </c>
      <c r="F234" t="n">
        <v>3.04</v>
      </c>
      <c r="G234" t="b">
        <v>0</v>
      </c>
      <c r="H234">
        <f>Sensitivity!H15</f>
        <v/>
      </c>
    </row>
    <row r="235">
      <c r="A235" t="inlineStr">
        <is>
          <t>ALL</t>
        </is>
      </c>
      <c r="B235" t="inlineStr">
        <is>
          <t>unique</t>
        </is>
      </c>
      <c r="C235" t="n">
        <v>2</v>
      </c>
      <c r="D235" t="inlineStr">
        <is>
          <t>Max Damage Multiplier %</t>
        </is>
      </c>
      <c r="E235" t="n">
        <v>10</v>
      </c>
      <c r="F235" t="n">
        <v>0.96</v>
      </c>
      <c r="G235" t="b">
        <v>1</v>
      </c>
      <c r="H235">
        <f>Sensitivity!H15</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f>Sensitivity!H8</f>
        <v/>
      </c>
    </row>
    <row r="245">
      <c r="A245" t="inlineStr">
        <is>
          <t>ALL</t>
        </is>
      </c>
      <c r="B245" t="inlineStr">
        <is>
          <t>unique</t>
        </is>
      </c>
      <c r="C245" t="n">
        <v>2</v>
      </c>
      <c r="D245" t="inlineStr">
        <is>
          <t>Defense %</t>
        </is>
      </c>
      <c r="E245" t="n">
        <v>9</v>
      </c>
      <c r="F245" t="n">
        <v>2.16</v>
      </c>
      <c r="G245" t="b">
        <v>1</v>
      </c>
      <c r="H245">
        <f>Sensitivity!H8</f>
        <v/>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IF(Inputs!$B$11&gt;=100,Sensitivity!H17,Sensitivity!H16)</f>
        <v/>
      </c>
    </row>
    <row r="259">
      <c r="A259" t="inlineStr">
        <is>
          <t>ALL</t>
        </is>
      </c>
      <c r="B259" t="inlineStr">
        <is>
          <t>unique</t>
        </is>
      </c>
      <c r="C259" t="n">
        <v>3</v>
      </c>
      <c r="D259" t="inlineStr">
        <is>
          <t>Critical Rate %</t>
        </is>
      </c>
      <c r="E259" t="n">
        <v>9</v>
      </c>
      <c r="F259" t="n">
        <v>0.2</v>
      </c>
      <c r="G259" t="b">
        <v>1</v>
      </c>
      <c r="H259">
        <f>IF(Inputs!$B$11&gt;=100,Sensitivity!H17,Sensitivity!H16)</f>
        <v/>
      </c>
    </row>
    <row r="260">
      <c r="A260" t="inlineStr">
        <is>
          <t>ALL</t>
        </is>
      </c>
      <c r="B260" t="inlineStr">
        <is>
          <t>unique</t>
        </is>
      </c>
      <c r="C260" t="n">
        <v>3</v>
      </c>
      <c r="D260" t="inlineStr">
        <is>
          <t>Attack Speed %</t>
        </is>
      </c>
      <c r="E260" t="n">
        <v>4</v>
      </c>
      <c r="F260" t="n">
        <v>2.3</v>
      </c>
      <c r="G260" t="b">
        <v>0</v>
      </c>
      <c r="H260">
        <f>Sensitivity!H18</f>
        <v/>
      </c>
    </row>
    <row r="261">
      <c r="A261" t="inlineStr">
        <is>
          <t>ALL</t>
        </is>
      </c>
      <c r="B261" t="inlineStr">
        <is>
          <t>unique</t>
        </is>
      </c>
      <c r="C261" t="n">
        <v>3</v>
      </c>
      <c r="D261" t="inlineStr">
        <is>
          <t>Attack Speed %</t>
        </is>
      </c>
      <c r="E261" t="n">
        <v>5</v>
      </c>
      <c r="F261" t="n">
        <v>0.2</v>
      </c>
      <c r="G261" t="b">
        <v>1</v>
      </c>
      <c r="H261">
        <f>Sensitivity!H18</f>
        <v/>
      </c>
    </row>
    <row r="262">
      <c r="A262" t="inlineStr">
        <is>
          <t>ALL</t>
        </is>
      </c>
      <c r="B262" t="inlineStr">
        <is>
          <t>unique</t>
        </is>
      </c>
      <c r="C262" t="n">
        <v>3</v>
      </c>
      <c r="D262" t="inlineStr">
        <is>
          <t>Damage %</t>
        </is>
      </c>
      <c r="E262" t="n">
        <v>12</v>
      </c>
      <c r="F262" t="n">
        <v>3.68</v>
      </c>
      <c r="G262" t="b">
        <v>0</v>
      </c>
      <c r="H262">
        <f>Sensitivity!H9</f>
        <v/>
      </c>
    </row>
    <row r="263">
      <c r="A263" t="inlineStr">
        <is>
          <t>ALL</t>
        </is>
      </c>
      <c r="B263" t="inlineStr">
        <is>
          <t>unique</t>
        </is>
      </c>
      <c r="C263" t="n">
        <v>3</v>
      </c>
      <c r="D263" t="inlineStr">
        <is>
          <t>Damage %</t>
        </is>
      </c>
      <c r="E263" t="n">
        <v>18</v>
      </c>
      <c r="F263" t="n">
        <v>0.32</v>
      </c>
      <c r="G263" t="b">
        <v>1</v>
      </c>
      <c r="H263">
        <f>Sensitivity!H9</f>
        <v/>
      </c>
    </row>
    <row r="264">
      <c r="A264" t="inlineStr">
        <is>
          <t>ALL</t>
        </is>
      </c>
      <c r="B264" t="inlineStr">
        <is>
          <t>unique</t>
        </is>
      </c>
      <c r="C264" t="n">
        <v>3</v>
      </c>
      <c r="D264" t="inlineStr">
        <is>
          <t>Min Damage Multiplier %</t>
        </is>
      </c>
      <c r="E264" t="n">
        <v>8</v>
      </c>
      <c r="F264" t="n">
        <v>3.68</v>
      </c>
      <c r="G264" t="b">
        <v>0</v>
      </c>
      <c r="H264">
        <f>Sensitivity!H14</f>
        <v/>
      </c>
    </row>
    <row r="265">
      <c r="A265" t="inlineStr">
        <is>
          <t>ALL</t>
        </is>
      </c>
      <c r="B265" t="inlineStr">
        <is>
          <t>unique</t>
        </is>
      </c>
      <c r="C265" t="n">
        <v>3</v>
      </c>
      <c r="D265" t="inlineStr">
        <is>
          <t>Min Damage Multiplier %</t>
        </is>
      </c>
      <c r="E265" t="n">
        <v>10</v>
      </c>
      <c r="F265" t="n">
        <v>0.32</v>
      </c>
      <c r="G265" t="b">
        <v>1</v>
      </c>
      <c r="H265">
        <f>Sensitivity!H14</f>
        <v/>
      </c>
    </row>
    <row r="266">
      <c r="A266" t="inlineStr">
        <is>
          <t>ALL</t>
        </is>
      </c>
      <c r="B266" t="inlineStr">
        <is>
          <t>unique</t>
        </is>
      </c>
      <c r="C266" t="n">
        <v>3</v>
      </c>
      <c r="D266" t="inlineStr">
        <is>
          <t>Max Damage Multiplier %</t>
        </is>
      </c>
      <c r="E266" t="n">
        <v>8</v>
      </c>
      <c r="F266" t="n">
        <v>3.68</v>
      </c>
      <c r="G266" t="b">
        <v>0</v>
      </c>
      <c r="H266">
        <f>Sensitivity!H15</f>
        <v/>
      </c>
    </row>
    <row r="267">
      <c r="A267" t="inlineStr">
        <is>
          <t>ALL</t>
        </is>
      </c>
      <c r="B267" t="inlineStr">
        <is>
          <t>unique</t>
        </is>
      </c>
      <c r="C267" t="n">
        <v>3</v>
      </c>
      <c r="D267" t="inlineStr">
        <is>
          <t>Max Damage Multiplier %</t>
        </is>
      </c>
      <c r="E267" t="n">
        <v>10</v>
      </c>
      <c r="F267" t="n">
        <v>0.32</v>
      </c>
      <c r="G267" t="b">
        <v>1</v>
      </c>
      <c r="H267">
        <f>Sensitivity!H15</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f>Sensitivity!H8</f>
        <v/>
      </c>
    </row>
    <row r="277">
      <c r="A277" t="inlineStr">
        <is>
          <t>ALL</t>
        </is>
      </c>
      <c r="B277" t="inlineStr">
        <is>
          <t>unique</t>
        </is>
      </c>
      <c r="C277" t="n">
        <v>3</v>
      </c>
      <c r="D277" t="inlineStr">
        <is>
          <t>Defense %</t>
        </is>
      </c>
      <c r="E277" t="n">
        <v>9</v>
      </c>
      <c r="F277" t="n">
        <v>0.72</v>
      </c>
      <c r="G277" t="b">
        <v>1</v>
      </c>
      <c r="H277">
        <f>Sensitivity!H8</f>
        <v/>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IF(Inputs!$B$11&gt;=100,Sensitivity!H17,Sensitivity!H16)</f>
        <v/>
      </c>
    </row>
    <row r="291">
      <c r="A291" t="inlineStr">
        <is>
          <t>ALL</t>
        </is>
      </c>
      <c r="B291" t="inlineStr">
        <is>
          <t>legendary</t>
        </is>
      </c>
      <c r="C291" t="n">
        <v>1</v>
      </c>
      <c r="D291" t="inlineStr">
        <is>
          <t>Attack Speed %</t>
        </is>
      </c>
      <c r="E291" t="n">
        <v>7</v>
      </c>
      <c r="F291" t="n">
        <v>2.5</v>
      </c>
      <c r="G291" t="b">
        <v>0</v>
      </c>
      <c r="H291">
        <f>Sensitivity!H18</f>
        <v/>
      </c>
    </row>
    <row r="292">
      <c r="A292" t="inlineStr">
        <is>
          <t>ALL</t>
        </is>
      </c>
      <c r="B292" t="inlineStr">
        <is>
          <t>legendary</t>
        </is>
      </c>
      <c r="C292" t="n">
        <v>1</v>
      </c>
      <c r="D292" t="inlineStr">
        <is>
          <t>Damage %</t>
        </is>
      </c>
      <c r="E292" t="n">
        <v>25</v>
      </c>
      <c r="F292" t="n">
        <v>4</v>
      </c>
      <c r="G292" t="b">
        <v>0</v>
      </c>
      <c r="H292">
        <f>Sensitivity!H9</f>
        <v/>
      </c>
    </row>
    <row r="293">
      <c r="A293" t="inlineStr">
        <is>
          <t>ALL</t>
        </is>
      </c>
      <c r="B293" t="inlineStr">
        <is>
          <t>legendary</t>
        </is>
      </c>
      <c r="C293" t="n">
        <v>1</v>
      </c>
      <c r="D293" t="inlineStr">
        <is>
          <t>Min Damage Multiplier %</t>
        </is>
      </c>
      <c r="E293" t="n">
        <v>15</v>
      </c>
      <c r="F293" t="n">
        <v>4</v>
      </c>
      <c r="G293" t="b">
        <v>0</v>
      </c>
      <c r="H293">
        <f>Sensitivity!H14</f>
        <v/>
      </c>
    </row>
    <row r="294">
      <c r="A294" t="inlineStr">
        <is>
          <t>ALL</t>
        </is>
      </c>
      <c r="B294" t="inlineStr">
        <is>
          <t>legendary</t>
        </is>
      </c>
      <c r="C294" t="n">
        <v>1</v>
      </c>
      <c r="D294" t="inlineStr">
        <is>
          <t>Max Damage Multiplier %</t>
        </is>
      </c>
      <c r="E294" t="n">
        <v>15</v>
      </c>
      <c r="F294" t="n">
        <v>4</v>
      </c>
      <c r="G294" t="b">
        <v>0</v>
      </c>
      <c r="H294">
        <f>Sensitivity!H15</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f>Sensitivity!H8</f>
        <v/>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IF(Inputs!$B$11&gt;=100,Sensitivity!H17,Sensitivity!H16)</f>
        <v/>
      </c>
    </row>
    <row r="307">
      <c r="A307" t="inlineStr">
        <is>
          <t>ALL</t>
        </is>
      </c>
      <c r="B307" t="inlineStr">
        <is>
          <t>legendary</t>
        </is>
      </c>
      <c r="C307" t="n">
        <v>2</v>
      </c>
      <c r="D307" t="inlineStr">
        <is>
          <t>Critical Rate %</t>
        </is>
      </c>
      <c r="E307" t="n">
        <v>12</v>
      </c>
      <c r="F307" t="n">
        <v>0.6</v>
      </c>
      <c r="G307" t="b">
        <v>1</v>
      </c>
      <c r="H307">
        <f>IF(Inputs!$B$11&gt;=100,Sensitivity!H17,Sensitivity!H16)</f>
        <v/>
      </c>
    </row>
    <row r="308">
      <c r="A308" t="inlineStr">
        <is>
          <t>ALL</t>
        </is>
      </c>
      <c r="B308" t="inlineStr">
        <is>
          <t>legendary</t>
        </is>
      </c>
      <c r="C308" t="n">
        <v>2</v>
      </c>
      <c r="D308" t="inlineStr">
        <is>
          <t>Attack Speed %</t>
        </is>
      </c>
      <c r="E308" t="n">
        <v>5</v>
      </c>
      <c r="F308" t="n">
        <v>1.9</v>
      </c>
      <c r="G308" t="b">
        <v>0</v>
      </c>
      <c r="H308">
        <f>Sensitivity!H18</f>
        <v/>
      </c>
    </row>
    <row r="309">
      <c r="A309" t="inlineStr">
        <is>
          <t>ALL</t>
        </is>
      </c>
      <c r="B309" t="inlineStr">
        <is>
          <t>legendary</t>
        </is>
      </c>
      <c r="C309" t="n">
        <v>2</v>
      </c>
      <c r="D309" t="inlineStr">
        <is>
          <t>Attack Speed %</t>
        </is>
      </c>
      <c r="E309" t="n">
        <v>7</v>
      </c>
      <c r="F309" t="n">
        <v>0.6</v>
      </c>
      <c r="G309" t="b">
        <v>1</v>
      </c>
      <c r="H309">
        <f>Sensitivity!H18</f>
        <v/>
      </c>
    </row>
    <row r="310">
      <c r="A310" t="inlineStr">
        <is>
          <t>ALL</t>
        </is>
      </c>
      <c r="B310" t="inlineStr">
        <is>
          <t>legendary</t>
        </is>
      </c>
      <c r="C310" t="n">
        <v>2</v>
      </c>
      <c r="D310" t="inlineStr">
        <is>
          <t>Damage %</t>
        </is>
      </c>
      <c r="E310" t="n">
        <v>18</v>
      </c>
      <c r="F310" t="n">
        <v>3.04</v>
      </c>
      <c r="G310" t="b">
        <v>0</v>
      </c>
      <c r="H310">
        <f>Sensitivity!H9</f>
        <v/>
      </c>
    </row>
    <row r="311">
      <c r="A311" t="inlineStr">
        <is>
          <t>ALL</t>
        </is>
      </c>
      <c r="B311" t="inlineStr">
        <is>
          <t>legendary</t>
        </is>
      </c>
      <c r="C311" t="n">
        <v>2</v>
      </c>
      <c r="D311" t="inlineStr">
        <is>
          <t>Damage %</t>
        </is>
      </c>
      <c r="E311" t="n">
        <v>25</v>
      </c>
      <c r="F311" t="n">
        <v>0.96</v>
      </c>
      <c r="G311" t="b">
        <v>1</v>
      </c>
      <c r="H311">
        <f>Sensitivity!H9</f>
        <v/>
      </c>
    </row>
    <row r="312">
      <c r="A312" t="inlineStr">
        <is>
          <t>ALL</t>
        </is>
      </c>
      <c r="B312" t="inlineStr">
        <is>
          <t>legendary</t>
        </is>
      </c>
      <c r="C312" t="n">
        <v>2</v>
      </c>
      <c r="D312" t="inlineStr">
        <is>
          <t>Min Damage Multiplier %</t>
        </is>
      </c>
      <c r="E312" t="n">
        <v>10</v>
      </c>
      <c r="F312" t="n">
        <v>3.04</v>
      </c>
      <c r="G312" t="b">
        <v>0</v>
      </c>
      <c r="H312">
        <f>Sensitivity!H14</f>
        <v/>
      </c>
    </row>
    <row r="313">
      <c r="A313" t="inlineStr">
        <is>
          <t>ALL</t>
        </is>
      </c>
      <c r="B313" t="inlineStr">
        <is>
          <t>legendary</t>
        </is>
      </c>
      <c r="C313" t="n">
        <v>2</v>
      </c>
      <c r="D313" t="inlineStr">
        <is>
          <t>Min Damage Multiplier %</t>
        </is>
      </c>
      <c r="E313" t="n">
        <v>15</v>
      </c>
      <c r="F313" t="n">
        <v>0.96</v>
      </c>
      <c r="G313" t="b">
        <v>1</v>
      </c>
      <c r="H313">
        <f>Sensitivity!H14</f>
        <v/>
      </c>
    </row>
    <row r="314">
      <c r="A314" t="inlineStr">
        <is>
          <t>ALL</t>
        </is>
      </c>
      <c r="B314" t="inlineStr">
        <is>
          <t>legendary</t>
        </is>
      </c>
      <c r="C314" t="n">
        <v>2</v>
      </c>
      <c r="D314" t="inlineStr">
        <is>
          <t>Max Damage Multiplier %</t>
        </is>
      </c>
      <c r="E314" t="n">
        <v>10</v>
      </c>
      <c r="F314" t="n">
        <v>3.04</v>
      </c>
      <c r="G314" t="b">
        <v>0</v>
      </c>
      <c r="H314">
        <f>Sensitivity!H15</f>
        <v/>
      </c>
    </row>
    <row r="315">
      <c r="A315" t="inlineStr">
        <is>
          <t>ALL</t>
        </is>
      </c>
      <c r="B315" t="inlineStr">
        <is>
          <t>legendary</t>
        </is>
      </c>
      <c r="C315" t="n">
        <v>2</v>
      </c>
      <c r="D315" t="inlineStr">
        <is>
          <t>Max Damage Multiplier %</t>
        </is>
      </c>
      <c r="E315" t="n">
        <v>15</v>
      </c>
      <c r="F315" t="n">
        <v>0.96</v>
      </c>
      <c r="G315" t="b">
        <v>1</v>
      </c>
      <c r="H315">
        <f>Sensitivity!H15</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f>Sensitivity!H8</f>
        <v/>
      </c>
    </row>
    <row r="325">
      <c r="A325" t="inlineStr">
        <is>
          <t>ALL</t>
        </is>
      </c>
      <c r="B325" t="inlineStr">
        <is>
          <t>legendary</t>
        </is>
      </c>
      <c r="C325" t="n">
        <v>2</v>
      </c>
      <c r="D325" t="inlineStr">
        <is>
          <t>Defense %</t>
        </is>
      </c>
      <c r="E325" t="n">
        <v>12</v>
      </c>
      <c r="F325" t="n">
        <v>2.16</v>
      </c>
      <c r="G325" t="b">
        <v>1</v>
      </c>
      <c r="H325">
        <f>Sensitivity!H8</f>
        <v/>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IF(Inputs!$B$11&gt;=100,Sensitivity!H17,Sensitivity!H16)</f>
        <v/>
      </c>
    </row>
    <row r="339">
      <c r="A339" t="inlineStr">
        <is>
          <t>ALL</t>
        </is>
      </c>
      <c r="B339" t="inlineStr">
        <is>
          <t>legendary</t>
        </is>
      </c>
      <c r="C339" t="n">
        <v>3</v>
      </c>
      <c r="D339" t="inlineStr">
        <is>
          <t>Critical Rate %</t>
        </is>
      </c>
      <c r="E339" t="n">
        <v>12</v>
      </c>
      <c r="F339" t="n">
        <v>0.2</v>
      </c>
      <c r="G339" t="b">
        <v>1</v>
      </c>
      <c r="H339">
        <f>IF(Inputs!$B$11&gt;=100,Sensitivity!H17,Sensitivity!H16)</f>
        <v/>
      </c>
    </row>
    <row r="340">
      <c r="A340" t="inlineStr">
        <is>
          <t>ALL</t>
        </is>
      </c>
      <c r="B340" t="inlineStr">
        <is>
          <t>legendary</t>
        </is>
      </c>
      <c r="C340" t="n">
        <v>3</v>
      </c>
      <c r="D340" t="inlineStr">
        <is>
          <t>Attack Speed %</t>
        </is>
      </c>
      <c r="E340" t="n">
        <v>5</v>
      </c>
      <c r="F340" t="n">
        <v>2.3</v>
      </c>
      <c r="G340" t="b">
        <v>0</v>
      </c>
      <c r="H340">
        <f>Sensitivity!H18</f>
        <v/>
      </c>
    </row>
    <row r="341">
      <c r="A341" t="inlineStr">
        <is>
          <t>ALL</t>
        </is>
      </c>
      <c r="B341" t="inlineStr">
        <is>
          <t>legendary</t>
        </is>
      </c>
      <c r="C341" t="n">
        <v>3</v>
      </c>
      <c r="D341" t="inlineStr">
        <is>
          <t>Attack Speed %</t>
        </is>
      </c>
      <c r="E341" t="n">
        <v>7</v>
      </c>
      <c r="F341" t="n">
        <v>0.2</v>
      </c>
      <c r="G341" t="b">
        <v>1</v>
      </c>
      <c r="H341">
        <f>Sensitivity!H18</f>
        <v/>
      </c>
    </row>
    <row r="342">
      <c r="A342" t="inlineStr">
        <is>
          <t>ALL</t>
        </is>
      </c>
      <c r="B342" t="inlineStr">
        <is>
          <t>legendary</t>
        </is>
      </c>
      <c r="C342" t="n">
        <v>3</v>
      </c>
      <c r="D342" t="inlineStr">
        <is>
          <t>Damage %</t>
        </is>
      </c>
      <c r="E342" t="n">
        <v>18</v>
      </c>
      <c r="F342" t="n">
        <v>3.68</v>
      </c>
      <c r="G342" t="b">
        <v>0</v>
      </c>
      <c r="H342">
        <f>Sensitivity!H9</f>
        <v/>
      </c>
    </row>
    <row r="343">
      <c r="A343" t="inlineStr">
        <is>
          <t>ALL</t>
        </is>
      </c>
      <c r="B343" t="inlineStr">
        <is>
          <t>legendary</t>
        </is>
      </c>
      <c r="C343" t="n">
        <v>3</v>
      </c>
      <c r="D343" t="inlineStr">
        <is>
          <t>Damage %</t>
        </is>
      </c>
      <c r="E343" t="n">
        <v>25</v>
      </c>
      <c r="F343" t="n">
        <v>0.32</v>
      </c>
      <c r="G343" t="b">
        <v>1</v>
      </c>
      <c r="H343">
        <f>Sensitivity!H9</f>
        <v/>
      </c>
    </row>
    <row r="344">
      <c r="A344" t="inlineStr">
        <is>
          <t>ALL</t>
        </is>
      </c>
      <c r="B344" t="inlineStr">
        <is>
          <t>legendary</t>
        </is>
      </c>
      <c r="C344" t="n">
        <v>3</v>
      </c>
      <c r="D344" t="inlineStr">
        <is>
          <t>Min Damage Multiplier %</t>
        </is>
      </c>
      <c r="E344" t="n">
        <v>10</v>
      </c>
      <c r="F344" t="n">
        <v>3.68</v>
      </c>
      <c r="G344" t="b">
        <v>0</v>
      </c>
      <c r="H344">
        <f>Sensitivity!H14</f>
        <v/>
      </c>
    </row>
    <row r="345">
      <c r="A345" t="inlineStr">
        <is>
          <t>ALL</t>
        </is>
      </c>
      <c r="B345" t="inlineStr">
        <is>
          <t>legendary</t>
        </is>
      </c>
      <c r="C345" t="n">
        <v>3</v>
      </c>
      <c r="D345" t="inlineStr">
        <is>
          <t>Min Damage Multiplier %</t>
        </is>
      </c>
      <c r="E345" t="n">
        <v>15</v>
      </c>
      <c r="F345" t="n">
        <v>0.32</v>
      </c>
      <c r="G345" t="b">
        <v>1</v>
      </c>
      <c r="H345">
        <f>Sensitivity!H14</f>
        <v/>
      </c>
    </row>
    <row r="346">
      <c r="A346" t="inlineStr">
        <is>
          <t>ALL</t>
        </is>
      </c>
      <c r="B346" t="inlineStr">
        <is>
          <t>legendary</t>
        </is>
      </c>
      <c r="C346" t="n">
        <v>3</v>
      </c>
      <c r="D346" t="inlineStr">
        <is>
          <t>Max Damage Multiplier %</t>
        </is>
      </c>
      <c r="E346" t="n">
        <v>10</v>
      </c>
      <c r="F346" t="n">
        <v>3.68</v>
      </c>
      <c r="G346" t="b">
        <v>0</v>
      </c>
      <c r="H346">
        <f>Sensitivity!H15</f>
        <v/>
      </c>
    </row>
    <row r="347">
      <c r="A347" t="inlineStr">
        <is>
          <t>ALL</t>
        </is>
      </c>
      <c r="B347" t="inlineStr">
        <is>
          <t>legendary</t>
        </is>
      </c>
      <c r="C347" t="n">
        <v>3</v>
      </c>
      <c r="D347" t="inlineStr">
        <is>
          <t>Max Damage Multiplier %</t>
        </is>
      </c>
      <c r="E347" t="n">
        <v>15</v>
      </c>
      <c r="F347" t="n">
        <v>0.32</v>
      </c>
      <c r="G347" t="b">
        <v>1</v>
      </c>
      <c r="H347">
        <f>Sensitivity!H15</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f>Sensitivity!H8</f>
        <v/>
      </c>
    </row>
    <row r="357">
      <c r="A357" t="inlineStr">
        <is>
          <t>ALL</t>
        </is>
      </c>
      <c r="B357" t="inlineStr">
        <is>
          <t>legendary</t>
        </is>
      </c>
      <c r="C357" t="n">
        <v>3</v>
      </c>
      <c r="D357" t="inlineStr">
        <is>
          <t>Defense %</t>
        </is>
      </c>
      <c r="E357" t="n">
        <v>12</v>
      </c>
      <c r="F357" t="n">
        <v>0.72</v>
      </c>
      <c r="G357" t="b">
        <v>1</v>
      </c>
      <c r="H357">
        <f>Sensitivity!H8</f>
        <v/>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IF(Inputs!$B$11&gt;=100,Sensitivity!H17,Sensitivity!H16)</f>
        <v/>
      </c>
    </row>
    <row r="371">
      <c r="A371" t="inlineStr">
        <is>
          <t>ALL</t>
        </is>
      </c>
      <c r="B371" t="inlineStr">
        <is>
          <t>mystic</t>
        </is>
      </c>
      <c r="C371" t="n">
        <v>1</v>
      </c>
      <c r="D371" t="inlineStr">
        <is>
          <t>Attack Speed %</t>
        </is>
      </c>
      <c r="E371" t="n">
        <v>10</v>
      </c>
      <c r="F371" t="n">
        <v>2.5</v>
      </c>
      <c r="G371" t="b">
        <v>0</v>
      </c>
      <c r="H371">
        <f>Sensitivity!H18</f>
        <v/>
      </c>
    </row>
    <row r="372">
      <c r="A372" t="inlineStr">
        <is>
          <t>ALL</t>
        </is>
      </c>
      <c r="B372" t="inlineStr">
        <is>
          <t>mystic</t>
        </is>
      </c>
      <c r="C372" t="n">
        <v>1</v>
      </c>
      <c r="D372" t="inlineStr">
        <is>
          <t>Damage %</t>
        </is>
      </c>
      <c r="E372" t="n">
        <v>35</v>
      </c>
      <c r="F372" t="n">
        <v>4</v>
      </c>
      <c r="G372" t="b">
        <v>0</v>
      </c>
      <c r="H372">
        <f>Sensitivity!H9</f>
        <v/>
      </c>
    </row>
    <row r="373">
      <c r="A373" t="inlineStr">
        <is>
          <t>ALL</t>
        </is>
      </c>
      <c r="B373" t="inlineStr">
        <is>
          <t>mystic</t>
        </is>
      </c>
      <c r="C373" t="n">
        <v>1</v>
      </c>
      <c r="D373" t="inlineStr">
        <is>
          <t>Min Damage Multiplier %</t>
        </is>
      </c>
      <c r="E373" t="n">
        <v>25</v>
      </c>
      <c r="F373" t="n">
        <v>4</v>
      </c>
      <c r="G373" t="b">
        <v>0</v>
      </c>
      <c r="H373">
        <f>Sensitivity!H14</f>
        <v/>
      </c>
    </row>
    <row r="374">
      <c r="A374" t="inlineStr">
        <is>
          <t>ALL</t>
        </is>
      </c>
      <c r="B374" t="inlineStr">
        <is>
          <t>mystic</t>
        </is>
      </c>
      <c r="C374" t="n">
        <v>1</v>
      </c>
      <c r="D374" t="inlineStr">
        <is>
          <t>Max Damage Multiplier %</t>
        </is>
      </c>
      <c r="E374" t="n">
        <v>25</v>
      </c>
      <c r="F374" t="n">
        <v>4</v>
      </c>
      <c r="G374" t="b">
        <v>0</v>
      </c>
      <c r="H374">
        <f>Sensitivity!H15</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f>Sensitivity!H8</f>
        <v/>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IF(Inputs!$B$11&gt;=100,Sensitivity!H17,Sensitivity!H16)</f>
        <v/>
      </c>
    </row>
    <row r="387">
      <c r="A387" t="inlineStr">
        <is>
          <t>ALL</t>
        </is>
      </c>
      <c r="B387" t="inlineStr">
        <is>
          <t>mystic</t>
        </is>
      </c>
      <c r="C387" t="n">
        <v>2</v>
      </c>
      <c r="D387" t="inlineStr">
        <is>
          <t>Critical Rate %</t>
        </is>
      </c>
      <c r="E387" t="n">
        <v>15</v>
      </c>
      <c r="F387" t="n">
        <v>0.6</v>
      </c>
      <c r="G387" t="b">
        <v>1</v>
      </c>
      <c r="H387">
        <f>IF(Inputs!$B$11&gt;=100,Sensitivity!H17,Sensitivity!H16)</f>
        <v/>
      </c>
    </row>
    <row r="388">
      <c r="A388" t="inlineStr">
        <is>
          <t>ALL</t>
        </is>
      </c>
      <c r="B388" t="inlineStr">
        <is>
          <t>mystic</t>
        </is>
      </c>
      <c r="C388" t="n">
        <v>2</v>
      </c>
      <c r="D388" t="inlineStr">
        <is>
          <t>Attack Speed %</t>
        </is>
      </c>
      <c r="E388" t="n">
        <v>7</v>
      </c>
      <c r="F388" t="n">
        <v>1.9</v>
      </c>
      <c r="G388" t="b">
        <v>0</v>
      </c>
      <c r="H388">
        <f>Sensitivity!H18</f>
        <v/>
      </c>
    </row>
    <row r="389">
      <c r="A389" t="inlineStr">
        <is>
          <t>ALL</t>
        </is>
      </c>
      <c r="B389" t="inlineStr">
        <is>
          <t>mystic</t>
        </is>
      </c>
      <c r="C389" t="n">
        <v>2</v>
      </c>
      <c r="D389" t="inlineStr">
        <is>
          <t>Attack Speed %</t>
        </is>
      </c>
      <c r="E389" t="n">
        <v>10</v>
      </c>
      <c r="F389" t="n">
        <v>0.6</v>
      </c>
      <c r="G389" t="b">
        <v>1</v>
      </c>
      <c r="H389">
        <f>Sensitivity!H18</f>
        <v/>
      </c>
    </row>
    <row r="390">
      <c r="A390" t="inlineStr">
        <is>
          <t>ALL</t>
        </is>
      </c>
      <c r="B390" t="inlineStr">
        <is>
          <t>mystic</t>
        </is>
      </c>
      <c r="C390" t="n">
        <v>2</v>
      </c>
      <c r="D390" t="inlineStr">
        <is>
          <t>Damage %</t>
        </is>
      </c>
      <c r="E390" t="n">
        <v>25</v>
      </c>
      <c r="F390" t="n">
        <v>3.04</v>
      </c>
      <c r="G390" t="b">
        <v>0</v>
      </c>
      <c r="H390">
        <f>Sensitivity!H9</f>
        <v/>
      </c>
    </row>
    <row r="391">
      <c r="A391" t="inlineStr">
        <is>
          <t>ALL</t>
        </is>
      </c>
      <c r="B391" t="inlineStr">
        <is>
          <t>mystic</t>
        </is>
      </c>
      <c r="C391" t="n">
        <v>2</v>
      </c>
      <c r="D391" t="inlineStr">
        <is>
          <t>Damage %</t>
        </is>
      </c>
      <c r="E391" t="n">
        <v>35</v>
      </c>
      <c r="F391" t="n">
        <v>0.96</v>
      </c>
      <c r="G391" t="b">
        <v>1</v>
      </c>
      <c r="H391">
        <f>Sensitivity!H9</f>
        <v/>
      </c>
    </row>
    <row r="392">
      <c r="A392" t="inlineStr">
        <is>
          <t>ALL</t>
        </is>
      </c>
      <c r="B392" t="inlineStr">
        <is>
          <t>mystic</t>
        </is>
      </c>
      <c r="C392" t="n">
        <v>2</v>
      </c>
      <c r="D392" t="inlineStr">
        <is>
          <t>Min Damage Multiplier %</t>
        </is>
      </c>
      <c r="E392" t="n">
        <v>15</v>
      </c>
      <c r="F392" t="n">
        <v>3.04</v>
      </c>
      <c r="G392" t="b">
        <v>0</v>
      </c>
      <c r="H392">
        <f>Sensitivity!H14</f>
        <v/>
      </c>
    </row>
    <row r="393">
      <c r="A393" t="inlineStr">
        <is>
          <t>ALL</t>
        </is>
      </c>
      <c r="B393" t="inlineStr">
        <is>
          <t>mystic</t>
        </is>
      </c>
      <c r="C393" t="n">
        <v>2</v>
      </c>
      <c r="D393" t="inlineStr">
        <is>
          <t>Min Damage Multiplier %</t>
        </is>
      </c>
      <c r="E393" t="n">
        <v>25</v>
      </c>
      <c r="F393" t="n">
        <v>0.96</v>
      </c>
      <c r="G393" t="b">
        <v>1</v>
      </c>
      <c r="H393">
        <f>Sensitivity!H14</f>
        <v/>
      </c>
    </row>
    <row r="394">
      <c r="A394" t="inlineStr">
        <is>
          <t>ALL</t>
        </is>
      </c>
      <c r="B394" t="inlineStr">
        <is>
          <t>mystic</t>
        </is>
      </c>
      <c r="C394" t="n">
        <v>2</v>
      </c>
      <c r="D394" t="inlineStr">
        <is>
          <t>Max Damage Multiplier %</t>
        </is>
      </c>
      <c r="E394" t="n">
        <v>15</v>
      </c>
      <c r="F394" t="n">
        <v>3.04</v>
      </c>
      <c r="G394" t="b">
        <v>0</v>
      </c>
      <c r="H394">
        <f>Sensitivity!H15</f>
        <v/>
      </c>
    </row>
    <row r="395">
      <c r="A395" t="inlineStr">
        <is>
          <t>ALL</t>
        </is>
      </c>
      <c r="B395" t="inlineStr">
        <is>
          <t>mystic</t>
        </is>
      </c>
      <c r="C395" t="n">
        <v>2</v>
      </c>
      <c r="D395" t="inlineStr">
        <is>
          <t>Max Damage Multiplier %</t>
        </is>
      </c>
      <c r="E395" t="n">
        <v>25</v>
      </c>
      <c r="F395" t="n">
        <v>0.96</v>
      </c>
      <c r="G395" t="b">
        <v>1</v>
      </c>
      <c r="H395">
        <f>Sensitivity!H15</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f>Sensitivity!H8</f>
        <v/>
      </c>
    </row>
    <row r="405">
      <c r="A405" t="inlineStr">
        <is>
          <t>ALL</t>
        </is>
      </c>
      <c r="B405" t="inlineStr">
        <is>
          <t>mystic</t>
        </is>
      </c>
      <c r="C405" t="n">
        <v>2</v>
      </c>
      <c r="D405" t="inlineStr">
        <is>
          <t>Defense %</t>
        </is>
      </c>
      <c r="E405" t="n">
        <v>15</v>
      </c>
      <c r="F405" t="n">
        <v>2.16</v>
      </c>
      <c r="G405" t="b">
        <v>1</v>
      </c>
      <c r="H405">
        <f>Sensitivity!H8</f>
        <v/>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IF(Inputs!$B$11&gt;=100,Sensitivity!H17,Sensitivity!H16)</f>
        <v/>
      </c>
    </row>
    <row r="419">
      <c r="A419" t="inlineStr">
        <is>
          <t>ALL</t>
        </is>
      </c>
      <c r="B419" t="inlineStr">
        <is>
          <t>mystic</t>
        </is>
      </c>
      <c r="C419" t="n">
        <v>3</v>
      </c>
      <c r="D419" t="inlineStr">
        <is>
          <t>Critical Rate %</t>
        </is>
      </c>
      <c r="E419" t="n">
        <v>15</v>
      </c>
      <c r="F419" t="n">
        <v>0.2</v>
      </c>
      <c r="G419" t="b">
        <v>1</v>
      </c>
      <c r="H419">
        <f>IF(Inputs!$B$11&gt;=100,Sensitivity!H17,Sensitivity!H16)</f>
        <v/>
      </c>
    </row>
    <row r="420">
      <c r="A420" t="inlineStr">
        <is>
          <t>ALL</t>
        </is>
      </c>
      <c r="B420" t="inlineStr">
        <is>
          <t>mystic</t>
        </is>
      </c>
      <c r="C420" t="n">
        <v>3</v>
      </c>
      <c r="D420" t="inlineStr">
        <is>
          <t>Attack Speed %</t>
        </is>
      </c>
      <c r="E420" t="n">
        <v>7</v>
      </c>
      <c r="F420" t="n">
        <v>2.3</v>
      </c>
      <c r="G420" t="b">
        <v>0</v>
      </c>
      <c r="H420">
        <f>Sensitivity!H18</f>
        <v/>
      </c>
    </row>
    <row r="421">
      <c r="A421" t="inlineStr">
        <is>
          <t>ALL</t>
        </is>
      </c>
      <c r="B421" t="inlineStr">
        <is>
          <t>mystic</t>
        </is>
      </c>
      <c r="C421" t="n">
        <v>3</v>
      </c>
      <c r="D421" t="inlineStr">
        <is>
          <t>Attack Speed %</t>
        </is>
      </c>
      <c r="E421" t="n">
        <v>10</v>
      </c>
      <c r="F421" t="n">
        <v>0.2</v>
      </c>
      <c r="G421" t="b">
        <v>1</v>
      </c>
      <c r="H421">
        <f>Sensitivity!H18</f>
        <v/>
      </c>
    </row>
    <row r="422">
      <c r="A422" t="inlineStr">
        <is>
          <t>ALL</t>
        </is>
      </c>
      <c r="B422" t="inlineStr">
        <is>
          <t>mystic</t>
        </is>
      </c>
      <c r="C422" t="n">
        <v>3</v>
      </c>
      <c r="D422" t="inlineStr">
        <is>
          <t>Damage %</t>
        </is>
      </c>
      <c r="E422" t="n">
        <v>25</v>
      </c>
      <c r="F422" t="n">
        <v>3.68</v>
      </c>
      <c r="G422" t="b">
        <v>0</v>
      </c>
      <c r="H422">
        <f>Sensitivity!H9</f>
        <v/>
      </c>
    </row>
    <row r="423">
      <c r="A423" t="inlineStr">
        <is>
          <t>ALL</t>
        </is>
      </c>
      <c r="B423" t="inlineStr">
        <is>
          <t>mystic</t>
        </is>
      </c>
      <c r="C423" t="n">
        <v>3</v>
      </c>
      <c r="D423" t="inlineStr">
        <is>
          <t>Damage %</t>
        </is>
      </c>
      <c r="E423" t="n">
        <v>35</v>
      </c>
      <c r="F423" t="n">
        <v>0.32</v>
      </c>
      <c r="G423" t="b">
        <v>1</v>
      </c>
      <c r="H423">
        <f>Sensitivity!H9</f>
        <v/>
      </c>
    </row>
    <row r="424">
      <c r="A424" t="inlineStr">
        <is>
          <t>ALL</t>
        </is>
      </c>
      <c r="B424" t="inlineStr">
        <is>
          <t>mystic</t>
        </is>
      </c>
      <c r="C424" t="n">
        <v>3</v>
      </c>
      <c r="D424" t="inlineStr">
        <is>
          <t>Min Damage Multiplier %</t>
        </is>
      </c>
      <c r="E424" t="n">
        <v>15</v>
      </c>
      <c r="F424" t="n">
        <v>3.68</v>
      </c>
      <c r="G424" t="b">
        <v>0</v>
      </c>
      <c r="H424">
        <f>Sensitivity!H14</f>
        <v/>
      </c>
    </row>
    <row r="425">
      <c r="A425" t="inlineStr">
        <is>
          <t>ALL</t>
        </is>
      </c>
      <c r="B425" t="inlineStr">
        <is>
          <t>mystic</t>
        </is>
      </c>
      <c r="C425" t="n">
        <v>3</v>
      </c>
      <c r="D425" t="inlineStr">
        <is>
          <t>Min Damage Multiplier %</t>
        </is>
      </c>
      <c r="E425" t="n">
        <v>25</v>
      </c>
      <c r="F425" t="n">
        <v>0.32</v>
      </c>
      <c r="G425" t="b">
        <v>1</v>
      </c>
      <c r="H425">
        <f>Sensitivity!H14</f>
        <v/>
      </c>
    </row>
    <row r="426">
      <c r="A426" t="inlineStr">
        <is>
          <t>ALL</t>
        </is>
      </c>
      <c r="B426" t="inlineStr">
        <is>
          <t>mystic</t>
        </is>
      </c>
      <c r="C426" t="n">
        <v>3</v>
      </c>
      <c r="D426" t="inlineStr">
        <is>
          <t>Max Damage Multiplier %</t>
        </is>
      </c>
      <c r="E426" t="n">
        <v>15</v>
      </c>
      <c r="F426" t="n">
        <v>3.68</v>
      </c>
      <c r="G426" t="b">
        <v>0</v>
      </c>
      <c r="H426">
        <f>Sensitivity!H15</f>
        <v/>
      </c>
    </row>
    <row r="427">
      <c r="A427" t="inlineStr">
        <is>
          <t>ALL</t>
        </is>
      </c>
      <c r="B427" t="inlineStr">
        <is>
          <t>mystic</t>
        </is>
      </c>
      <c r="C427" t="n">
        <v>3</v>
      </c>
      <c r="D427" t="inlineStr">
        <is>
          <t>Max Damage Multiplier %</t>
        </is>
      </c>
      <c r="E427" t="n">
        <v>25</v>
      </c>
      <c r="F427" t="n">
        <v>0.32</v>
      </c>
      <c r="G427" t="b">
        <v>1</v>
      </c>
      <c r="H427">
        <f>Sensitivity!H15</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f>Sensitivity!H8</f>
        <v/>
      </c>
    </row>
    <row r="437">
      <c r="A437" t="inlineStr">
        <is>
          <t>ALL</t>
        </is>
      </c>
      <c r="B437" t="inlineStr">
        <is>
          <t>mystic</t>
        </is>
      </c>
      <c r="C437" t="n">
        <v>3</v>
      </c>
      <c r="D437" t="inlineStr">
        <is>
          <t>Defense %</t>
        </is>
      </c>
      <c r="E437" t="n">
        <v>15</v>
      </c>
      <c r="F437" t="n">
        <v>0.72</v>
      </c>
      <c r="G437" t="b">
        <v>1</v>
      </c>
      <c r="H437">
        <f>Sensitivity!H8</f>
        <v/>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Sensitivity!H29</f>
        <v/>
      </c>
    </row>
    <row r="451">
      <c r="A451" t="inlineStr">
        <is>
          <t>head</t>
        </is>
      </c>
      <c r="B451" t="inlineStr">
        <is>
          <t>epic</t>
        </is>
      </c>
      <c r="C451" t="n">
        <v>2</v>
      </c>
      <c r="D451" t="inlineStr">
        <is>
          <t>Skill Cooldown Decrease (seconds)</t>
        </is>
      </c>
      <c r="E451" t="n">
        <v>0.5</v>
      </c>
      <c r="F451" t="n">
        <v>0.24</v>
      </c>
      <c r="G451" t="b">
        <v>1</v>
      </c>
      <c r="H451">
        <f>Sensitivity!H29</f>
        <v/>
      </c>
    </row>
    <row r="452">
      <c r="A452" t="inlineStr">
        <is>
          <t>head</t>
        </is>
      </c>
      <c r="B452" t="inlineStr">
        <is>
          <t>epic</t>
        </is>
      </c>
      <c r="C452" t="n">
        <v>3</v>
      </c>
      <c r="D452" t="inlineStr">
        <is>
          <t>Skill Cooldown Decrease (seconds)</t>
        </is>
      </c>
      <c r="E452" t="n">
        <v>0.5</v>
      </c>
      <c r="F452" t="n">
        <v>0.08</v>
      </c>
      <c r="G452" t="b">
        <v>1</v>
      </c>
      <c r="H452">
        <f>Sensitivity!H29</f>
        <v/>
      </c>
    </row>
    <row r="453">
      <c r="A453" t="inlineStr">
        <is>
          <t>head</t>
        </is>
      </c>
      <c r="B453" t="inlineStr">
        <is>
          <t>unique</t>
        </is>
      </c>
      <c r="C453" t="n">
        <v>1</v>
      </c>
      <c r="D453" t="inlineStr">
        <is>
          <t>Skill Cooldown Decrease (seconds)</t>
        </is>
      </c>
      <c r="E453" t="n">
        <v>1</v>
      </c>
      <c r="F453" t="n">
        <v>1</v>
      </c>
      <c r="G453" t="b">
        <v>1</v>
      </c>
      <c r="H453">
        <f>Sensitivity!H29</f>
        <v/>
      </c>
    </row>
    <row r="454">
      <c r="A454" t="inlineStr">
        <is>
          <t>head</t>
        </is>
      </c>
      <c r="B454" t="inlineStr">
        <is>
          <t>unique</t>
        </is>
      </c>
      <c r="C454" t="n">
        <v>2</v>
      </c>
      <c r="D454" t="inlineStr">
        <is>
          <t>Skill Cooldown Decrease (seconds)</t>
        </is>
      </c>
      <c r="E454" t="n">
        <v>1</v>
      </c>
      <c r="F454" t="n">
        <v>0.24</v>
      </c>
      <c r="G454" t="b">
        <v>1</v>
      </c>
      <c r="H454">
        <f>Sensitivity!H29</f>
        <v/>
      </c>
    </row>
    <row r="455">
      <c r="A455" t="inlineStr">
        <is>
          <t>head</t>
        </is>
      </c>
      <c r="B455" t="inlineStr">
        <is>
          <t>unique</t>
        </is>
      </c>
      <c r="C455" t="n">
        <v>2</v>
      </c>
      <c r="D455" t="inlineStr">
        <is>
          <t>Skill Cooldown Decrease (seconds)</t>
        </is>
      </c>
      <c r="E455" t="n">
        <v>0.5</v>
      </c>
      <c r="F455" t="n">
        <v>0.76</v>
      </c>
      <c r="G455" t="b">
        <v>0</v>
      </c>
      <c r="H455">
        <f>Sensitivity!H29</f>
        <v/>
      </c>
    </row>
    <row r="456">
      <c r="A456" t="inlineStr">
        <is>
          <t>head</t>
        </is>
      </c>
      <c r="B456" t="inlineStr">
        <is>
          <t>unique</t>
        </is>
      </c>
      <c r="C456" t="n">
        <v>3</v>
      </c>
      <c r="D456" t="inlineStr">
        <is>
          <t>Skill Cooldown Decrease (seconds)</t>
        </is>
      </c>
      <c r="E456" t="n">
        <v>1</v>
      </c>
      <c r="F456" t="n">
        <v>0.08</v>
      </c>
      <c r="G456" t="b">
        <v>1</v>
      </c>
      <c r="H456">
        <f>Sensitivity!H29</f>
        <v/>
      </c>
    </row>
    <row r="457">
      <c r="A457" t="inlineStr">
        <is>
          <t>head</t>
        </is>
      </c>
      <c r="B457" t="inlineStr">
        <is>
          <t>unique</t>
        </is>
      </c>
      <c r="C457" t="n">
        <v>3</v>
      </c>
      <c r="D457" t="inlineStr">
        <is>
          <t>Skill Cooldown Decrease (seconds)</t>
        </is>
      </c>
      <c r="E457" t="n">
        <v>0.5</v>
      </c>
      <c r="F457" t="n">
        <v>0.92</v>
      </c>
      <c r="G457" t="b">
        <v>0</v>
      </c>
      <c r="H457">
        <f>Sensitivity!H29</f>
        <v/>
      </c>
    </row>
    <row r="458">
      <c r="A458" t="inlineStr">
        <is>
          <t>head</t>
        </is>
      </c>
      <c r="B458" t="inlineStr">
        <is>
          <t>legendary</t>
        </is>
      </c>
      <c r="C458" t="n">
        <v>1</v>
      </c>
      <c r="D458" t="inlineStr">
        <is>
          <t>Skill Cooldown Decrease (seconds)</t>
        </is>
      </c>
      <c r="E458" t="n">
        <v>1.5</v>
      </c>
      <c r="F458" t="n">
        <v>1</v>
      </c>
      <c r="G458" t="b">
        <v>1</v>
      </c>
      <c r="H458">
        <f>Sensitivity!H29</f>
        <v/>
      </c>
    </row>
    <row r="459">
      <c r="A459" t="inlineStr">
        <is>
          <t>head</t>
        </is>
      </c>
      <c r="B459" t="inlineStr">
        <is>
          <t>legendary</t>
        </is>
      </c>
      <c r="C459" t="n">
        <v>2</v>
      </c>
      <c r="D459" t="inlineStr">
        <is>
          <t>Skill Cooldown Decrease (seconds)</t>
        </is>
      </c>
      <c r="E459" t="n">
        <v>1.5</v>
      </c>
      <c r="F459" t="n">
        <v>0.24</v>
      </c>
      <c r="G459" t="b">
        <v>1</v>
      </c>
      <c r="H459">
        <f>Sensitivity!H29</f>
        <v/>
      </c>
    </row>
    <row r="460">
      <c r="A460" t="inlineStr">
        <is>
          <t>head</t>
        </is>
      </c>
      <c r="B460" t="inlineStr">
        <is>
          <t>legendary</t>
        </is>
      </c>
      <c r="C460" t="n">
        <v>2</v>
      </c>
      <c r="D460" t="inlineStr">
        <is>
          <t>Skill Cooldown Decrease (seconds)</t>
        </is>
      </c>
      <c r="E460" t="n">
        <v>1</v>
      </c>
      <c r="F460" t="n">
        <v>0.76</v>
      </c>
      <c r="G460" t="b">
        <v>0</v>
      </c>
      <c r="H460">
        <f>Sensitivity!H29</f>
        <v/>
      </c>
    </row>
    <row r="461">
      <c r="A461" t="inlineStr">
        <is>
          <t>head</t>
        </is>
      </c>
      <c r="B461" t="inlineStr">
        <is>
          <t>legendary</t>
        </is>
      </c>
      <c r="C461" t="n">
        <v>3</v>
      </c>
      <c r="D461" t="inlineStr">
        <is>
          <t>Skill Cooldown Decrease (seconds)</t>
        </is>
      </c>
      <c r="E461" t="n">
        <v>1.5</v>
      </c>
      <c r="F461" t="n">
        <v>0.08</v>
      </c>
      <c r="G461" t="b">
        <v>1</v>
      </c>
      <c r="H461">
        <f>Sensitivity!H29</f>
        <v/>
      </c>
    </row>
    <row r="462">
      <c r="A462" t="inlineStr">
        <is>
          <t>head</t>
        </is>
      </c>
      <c r="B462" t="inlineStr">
        <is>
          <t>legendary</t>
        </is>
      </c>
      <c r="C462" t="n">
        <v>3</v>
      </c>
      <c r="D462" t="inlineStr">
        <is>
          <t>Skill Cooldown Decrease (seconds)</t>
        </is>
      </c>
      <c r="E462" t="n">
        <v>1</v>
      </c>
      <c r="F462" t="n">
        <v>0.92</v>
      </c>
      <c r="G462" t="b">
        <v>0</v>
      </c>
      <c r="H462">
        <f>Sensitivity!H29</f>
        <v/>
      </c>
    </row>
    <row r="463">
      <c r="A463" t="inlineStr">
        <is>
          <t>head</t>
        </is>
      </c>
      <c r="B463" t="inlineStr">
        <is>
          <t>mystic</t>
        </is>
      </c>
      <c r="C463" t="n">
        <v>1</v>
      </c>
      <c r="D463" t="inlineStr">
        <is>
          <t>Skill Cooldown Decrease (seconds)</t>
        </is>
      </c>
      <c r="E463" t="n">
        <v>2</v>
      </c>
      <c r="F463" t="n">
        <v>1</v>
      </c>
      <c r="G463" t="b">
        <v>1</v>
      </c>
      <c r="H463">
        <f>Sensitivity!H29</f>
        <v/>
      </c>
    </row>
    <row r="464">
      <c r="A464" t="inlineStr">
        <is>
          <t>head</t>
        </is>
      </c>
      <c r="B464" t="inlineStr">
        <is>
          <t>mystic</t>
        </is>
      </c>
      <c r="C464" t="n">
        <v>2</v>
      </c>
      <c r="D464" t="inlineStr">
        <is>
          <t>Skill Cooldown Decrease (seconds)</t>
        </is>
      </c>
      <c r="E464" t="n">
        <v>2</v>
      </c>
      <c r="F464" t="n">
        <v>0.24</v>
      </c>
      <c r="G464" t="b">
        <v>1</v>
      </c>
      <c r="H464">
        <f>Sensitivity!H29</f>
        <v/>
      </c>
    </row>
    <row r="465">
      <c r="A465" t="inlineStr">
        <is>
          <t>head</t>
        </is>
      </c>
      <c r="B465" t="inlineStr">
        <is>
          <t>mystic</t>
        </is>
      </c>
      <c r="C465" t="n">
        <v>2</v>
      </c>
      <c r="D465" t="inlineStr">
        <is>
          <t>Skill Cooldown Decrease (seconds)</t>
        </is>
      </c>
      <c r="E465" t="n">
        <v>1.5</v>
      </c>
      <c r="F465" t="n">
        <v>0.76</v>
      </c>
      <c r="G465" t="b">
        <v>0</v>
      </c>
      <c r="H465">
        <f>Sensitivity!H29</f>
        <v/>
      </c>
    </row>
    <row r="466">
      <c r="A466" t="inlineStr">
        <is>
          <t>head</t>
        </is>
      </c>
      <c r="B466" t="inlineStr">
        <is>
          <t>mystic</t>
        </is>
      </c>
      <c r="C466" t="n">
        <v>3</v>
      </c>
      <c r="D466" t="inlineStr">
        <is>
          <t>Skill Cooldown Decrease (seconds)</t>
        </is>
      </c>
      <c r="E466" t="n">
        <v>2</v>
      </c>
      <c r="F466" t="n">
        <v>0.08</v>
      </c>
      <c r="G466" t="b">
        <v>1</v>
      </c>
      <c r="H466">
        <f>Sensitivity!H29</f>
        <v/>
      </c>
    </row>
    <row r="467">
      <c r="A467" t="inlineStr">
        <is>
          <t>head</t>
        </is>
      </c>
      <c r="B467" t="inlineStr">
        <is>
          <t>mystic</t>
        </is>
      </c>
      <c r="C467" t="n">
        <v>3</v>
      </c>
      <c r="D467" t="inlineStr">
        <is>
          <t>Skill Cooldown Decrease (seconds)</t>
        </is>
      </c>
      <c r="E467" t="n">
        <v>1.5</v>
      </c>
      <c r="F467" t="n">
        <v>0.92</v>
      </c>
      <c r="G467" t="b">
        <v>0</v>
      </c>
      <c r="H467">
        <f>Sensitivity!H29</f>
        <v/>
      </c>
    </row>
    <row r="468">
      <c r="A468" t="inlineStr">
        <is>
          <t>cape</t>
        </is>
      </c>
      <c r="B468" t="inlineStr">
        <is>
          <t>epic</t>
        </is>
      </c>
      <c r="C468" t="n">
        <v>1</v>
      </c>
      <c r="D468" t="inlineStr">
        <is>
          <t>Final Damage %</t>
        </is>
      </c>
      <c r="E468" t="n">
        <v>3</v>
      </c>
      <c r="F468" t="n">
        <v>1</v>
      </c>
      <c r="G468" t="b">
        <v>1</v>
      </c>
      <c r="H468">
        <f>Sensitivity!H13</f>
        <v/>
      </c>
    </row>
    <row r="469">
      <c r="A469" t="inlineStr">
        <is>
          <t>cape</t>
        </is>
      </c>
      <c r="B469" t="inlineStr">
        <is>
          <t>epic</t>
        </is>
      </c>
      <c r="C469" t="n">
        <v>2</v>
      </c>
      <c r="D469" t="inlineStr">
        <is>
          <t>Final Damage %</t>
        </is>
      </c>
      <c r="E469" t="n">
        <v>3</v>
      </c>
      <c r="F469" t="n">
        <v>0.24</v>
      </c>
      <c r="G469" t="b">
        <v>1</v>
      </c>
      <c r="H469">
        <f>Sensitivity!H13</f>
        <v/>
      </c>
    </row>
    <row r="470">
      <c r="A470" t="inlineStr">
        <is>
          <t>cape</t>
        </is>
      </c>
      <c r="B470" t="inlineStr">
        <is>
          <t>epic</t>
        </is>
      </c>
      <c r="C470" t="n">
        <v>3</v>
      </c>
      <c r="D470" t="inlineStr">
        <is>
          <t>Final Damage %</t>
        </is>
      </c>
      <c r="E470" t="n">
        <v>3</v>
      </c>
      <c r="F470" t="n">
        <v>0.08</v>
      </c>
      <c r="G470" t="b">
        <v>1</v>
      </c>
      <c r="H470">
        <f>Sensitivity!H13</f>
        <v/>
      </c>
    </row>
    <row r="471">
      <c r="A471" t="inlineStr">
        <is>
          <t>cape</t>
        </is>
      </c>
      <c r="B471" t="inlineStr">
        <is>
          <t>unique</t>
        </is>
      </c>
      <c r="C471" t="n">
        <v>1</v>
      </c>
      <c r="D471" t="inlineStr">
        <is>
          <t>Final Damage %</t>
        </is>
      </c>
      <c r="E471" t="n">
        <v>5</v>
      </c>
      <c r="F471" t="n">
        <v>1</v>
      </c>
      <c r="G471" t="b">
        <v>1</v>
      </c>
      <c r="H471">
        <f>Sensitivity!H13</f>
        <v/>
      </c>
    </row>
    <row r="472">
      <c r="A472" t="inlineStr">
        <is>
          <t>cape</t>
        </is>
      </c>
      <c r="B472" t="inlineStr">
        <is>
          <t>unique</t>
        </is>
      </c>
      <c r="C472" t="n">
        <v>2</v>
      </c>
      <c r="D472" t="inlineStr">
        <is>
          <t>Final Damage %</t>
        </is>
      </c>
      <c r="E472" t="n">
        <v>5</v>
      </c>
      <c r="F472" t="n">
        <v>0.24</v>
      </c>
      <c r="G472" t="b">
        <v>1</v>
      </c>
      <c r="H472">
        <f>Sensitivity!H13</f>
        <v/>
      </c>
    </row>
    <row r="473">
      <c r="A473" t="inlineStr">
        <is>
          <t>cape</t>
        </is>
      </c>
      <c r="B473" t="inlineStr">
        <is>
          <t>unique</t>
        </is>
      </c>
      <c r="C473" t="n">
        <v>2</v>
      </c>
      <c r="D473" t="inlineStr">
        <is>
          <t>Final Damage %</t>
        </is>
      </c>
      <c r="E473" t="n">
        <v>3</v>
      </c>
      <c r="F473" t="n">
        <v>0.76</v>
      </c>
      <c r="G473" t="b">
        <v>0</v>
      </c>
      <c r="H473">
        <f>Sensitivity!H13</f>
        <v/>
      </c>
    </row>
    <row r="474">
      <c r="A474" t="inlineStr">
        <is>
          <t>cape</t>
        </is>
      </c>
      <c r="B474" t="inlineStr">
        <is>
          <t>unique</t>
        </is>
      </c>
      <c r="C474" t="n">
        <v>3</v>
      </c>
      <c r="D474" t="inlineStr">
        <is>
          <t>Final Damage %</t>
        </is>
      </c>
      <c r="E474" t="n">
        <v>5</v>
      </c>
      <c r="F474" t="n">
        <v>0.08</v>
      </c>
      <c r="G474" t="b">
        <v>1</v>
      </c>
      <c r="H474">
        <f>Sensitivity!H13</f>
        <v/>
      </c>
    </row>
    <row r="475">
      <c r="A475" t="inlineStr">
        <is>
          <t>cape</t>
        </is>
      </c>
      <c r="B475" t="inlineStr">
        <is>
          <t>unique</t>
        </is>
      </c>
      <c r="C475" t="n">
        <v>3</v>
      </c>
      <c r="D475" t="inlineStr">
        <is>
          <t>Final Damage %</t>
        </is>
      </c>
      <c r="E475" t="n">
        <v>3</v>
      </c>
      <c r="F475" t="n">
        <v>0.92</v>
      </c>
      <c r="G475" t="b">
        <v>0</v>
      </c>
      <c r="H475">
        <f>Sensitivity!H13</f>
        <v/>
      </c>
    </row>
    <row r="476">
      <c r="A476" t="inlineStr">
        <is>
          <t>cape</t>
        </is>
      </c>
      <c r="B476" t="inlineStr">
        <is>
          <t>legendary</t>
        </is>
      </c>
      <c r="C476" t="n">
        <v>1</v>
      </c>
      <c r="D476" t="inlineStr">
        <is>
          <t>Final Damage %</t>
        </is>
      </c>
      <c r="E476" t="n">
        <v>8</v>
      </c>
      <c r="F476" t="n">
        <v>1</v>
      </c>
      <c r="G476" t="b">
        <v>1</v>
      </c>
      <c r="H476">
        <f>Sensitivity!H13</f>
        <v/>
      </c>
    </row>
    <row r="477">
      <c r="A477" t="inlineStr">
        <is>
          <t>cape</t>
        </is>
      </c>
      <c r="B477" t="inlineStr">
        <is>
          <t>legendary</t>
        </is>
      </c>
      <c r="C477" t="n">
        <v>2</v>
      </c>
      <c r="D477" t="inlineStr">
        <is>
          <t>Final Damage %</t>
        </is>
      </c>
      <c r="E477" t="n">
        <v>8</v>
      </c>
      <c r="F477" t="n">
        <v>0.24</v>
      </c>
      <c r="G477" t="b">
        <v>1</v>
      </c>
      <c r="H477">
        <f>Sensitivity!H13</f>
        <v/>
      </c>
    </row>
    <row r="478">
      <c r="A478" t="inlineStr">
        <is>
          <t>cape</t>
        </is>
      </c>
      <c r="B478" t="inlineStr">
        <is>
          <t>legendary</t>
        </is>
      </c>
      <c r="C478" t="n">
        <v>2</v>
      </c>
      <c r="D478" t="inlineStr">
        <is>
          <t>Final Damage %</t>
        </is>
      </c>
      <c r="E478" t="n">
        <v>5</v>
      </c>
      <c r="F478" t="n">
        <v>0.76</v>
      </c>
      <c r="G478" t="b">
        <v>0</v>
      </c>
      <c r="H478">
        <f>Sensitivity!H13</f>
        <v/>
      </c>
    </row>
    <row r="479">
      <c r="A479" t="inlineStr">
        <is>
          <t>cape</t>
        </is>
      </c>
      <c r="B479" t="inlineStr">
        <is>
          <t>legendary</t>
        </is>
      </c>
      <c r="C479" t="n">
        <v>3</v>
      </c>
      <c r="D479" t="inlineStr">
        <is>
          <t>Final Damage %</t>
        </is>
      </c>
      <c r="E479" t="n">
        <v>8</v>
      </c>
      <c r="F479" t="n">
        <v>0.08</v>
      </c>
      <c r="G479" t="b">
        <v>1</v>
      </c>
      <c r="H479">
        <f>Sensitivity!H13</f>
        <v/>
      </c>
    </row>
    <row r="480">
      <c r="A480" t="inlineStr">
        <is>
          <t>cape</t>
        </is>
      </c>
      <c r="B480" t="inlineStr">
        <is>
          <t>legendary</t>
        </is>
      </c>
      <c r="C480" t="n">
        <v>3</v>
      </c>
      <c r="D480" t="inlineStr">
        <is>
          <t>Final Damage %</t>
        </is>
      </c>
      <c r="E480" t="n">
        <v>5</v>
      </c>
      <c r="F480" t="n">
        <v>0.92</v>
      </c>
      <c r="G480" t="b">
        <v>0</v>
      </c>
      <c r="H480">
        <f>Sensitivity!H13</f>
        <v/>
      </c>
    </row>
    <row r="481">
      <c r="A481" t="inlineStr">
        <is>
          <t>cape</t>
        </is>
      </c>
      <c r="B481" t="inlineStr">
        <is>
          <t>mystic</t>
        </is>
      </c>
      <c r="C481" t="n">
        <v>1</v>
      </c>
      <c r="D481" t="inlineStr">
        <is>
          <t>Final Damage %</t>
        </is>
      </c>
      <c r="E481" t="n">
        <v>12</v>
      </c>
      <c r="F481" t="n">
        <v>1</v>
      </c>
      <c r="G481" t="b">
        <v>1</v>
      </c>
      <c r="H481">
        <f>Sensitivity!H13</f>
        <v/>
      </c>
    </row>
    <row r="482">
      <c r="A482" t="inlineStr">
        <is>
          <t>cape</t>
        </is>
      </c>
      <c r="B482" t="inlineStr">
        <is>
          <t>mystic</t>
        </is>
      </c>
      <c r="C482" t="n">
        <v>2</v>
      </c>
      <c r="D482" t="inlineStr">
        <is>
          <t>Final Damage %</t>
        </is>
      </c>
      <c r="E482" t="n">
        <v>12</v>
      </c>
      <c r="F482" t="n">
        <v>0.24</v>
      </c>
      <c r="G482" t="b">
        <v>1</v>
      </c>
      <c r="H482">
        <f>Sensitivity!H13</f>
        <v/>
      </c>
    </row>
    <row r="483">
      <c r="A483" t="inlineStr">
        <is>
          <t>cape</t>
        </is>
      </c>
      <c r="B483" t="inlineStr">
        <is>
          <t>mystic</t>
        </is>
      </c>
      <c r="C483" t="n">
        <v>2</v>
      </c>
      <c r="D483" t="inlineStr">
        <is>
          <t>Final Damage %</t>
        </is>
      </c>
      <c r="E483" t="n">
        <v>8</v>
      </c>
      <c r="F483" t="n">
        <v>0.76</v>
      </c>
      <c r="G483" t="b">
        <v>0</v>
      </c>
      <c r="H483">
        <f>Sensitivity!H13</f>
        <v/>
      </c>
    </row>
    <row r="484">
      <c r="A484" t="inlineStr">
        <is>
          <t>cape</t>
        </is>
      </c>
      <c r="B484" t="inlineStr">
        <is>
          <t>mystic</t>
        </is>
      </c>
      <c r="C484" t="n">
        <v>3</v>
      </c>
      <c r="D484" t="inlineStr">
        <is>
          <t>Final Damage %</t>
        </is>
      </c>
      <c r="E484" t="n">
        <v>12</v>
      </c>
      <c r="F484" t="n">
        <v>0.08</v>
      </c>
      <c r="G484" t="b">
        <v>1</v>
      </c>
      <c r="H484">
        <f>Sensitivity!H13</f>
        <v/>
      </c>
    </row>
    <row r="485">
      <c r="A485" t="inlineStr">
        <is>
          <t>cape</t>
        </is>
      </c>
      <c r="B485" t="inlineStr">
        <is>
          <t>mystic</t>
        </is>
      </c>
      <c r="C485" t="n">
        <v>3</v>
      </c>
      <c r="D485" t="inlineStr">
        <is>
          <t>Final Damage %</t>
        </is>
      </c>
      <c r="E485" t="n">
        <v>8</v>
      </c>
      <c r="F485" t="n">
        <v>0.92</v>
      </c>
      <c r="G485" t="b">
        <v>0</v>
      </c>
      <c r="H485">
        <f>Sensitivity!H13</f>
        <v/>
      </c>
    </row>
    <row r="486">
      <c r="A486" t="inlineStr">
        <is>
          <t>chest</t>
        </is>
      </c>
      <c r="B486" t="inlineStr">
        <is>
          <t>unique</t>
        </is>
      </c>
      <c r="C486" t="n">
        <v>1</v>
      </c>
      <c r="D486" t="inlineStr">
        <is>
          <t>Basic Attack Target Increase</t>
        </is>
      </c>
      <c r="E486" t="n">
        <v>1</v>
      </c>
      <c r="F486" t="n">
        <v>1</v>
      </c>
      <c r="G486" t="b">
        <v>1</v>
      </c>
      <c r="H486">
        <f>Sensitivity!H30</f>
        <v/>
      </c>
    </row>
    <row r="487">
      <c r="A487" t="inlineStr">
        <is>
          <t>chest</t>
        </is>
      </c>
      <c r="B487" t="inlineStr">
        <is>
          <t>unique</t>
        </is>
      </c>
      <c r="C487" t="n">
        <v>2</v>
      </c>
      <c r="D487" t="inlineStr">
        <is>
          <t>Basic Attack Target Increase</t>
        </is>
      </c>
      <c r="E487" t="n">
        <v>1</v>
      </c>
      <c r="F487" t="n">
        <v>0.24</v>
      </c>
      <c r="G487" t="b">
        <v>1</v>
      </c>
      <c r="H487">
        <f>Sensitivity!H30</f>
        <v/>
      </c>
    </row>
    <row r="488">
      <c r="A488" t="inlineStr">
        <is>
          <t>chest</t>
        </is>
      </c>
      <c r="B488" t="inlineStr">
        <is>
          <t>unique</t>
        </is>
      </c>
      <c r="C488" t="n">
        <v>3</v>
      </c>
      <c r="D488" t="inlineStr">
        <is>
          <t>Basic Attack Target Increase</t>
        </is>
      </c>
      <c r="E488" t="n">
        <v>1</v>
      </c>
      <c r="F488" t="n">
        <v>0.08</v>
      </c>
      <c r="G488" t="b">
        <v>1</v>
      </c>
      <c r="H488">
        <f>Sensitivity!H30</f>
        <v/>
      </c>
    </row>
    <row r="489">
      <c r="A489" t="inlineStr">
        <is>
          <t>chest</t>
        </is>
      </c>
      <c r="B489" t="inlineStr">
        <is>
          <t>legendary</t>
        </is>
      </c>
      <c r="C489" t="n">
        <v>1</v>
      </c>
      <c r="D489" t="inlineStr">
        <is>
          <t>Basic Attack Target Increase</t>
        </is>
      </c>
      <c r="E489" t="n">
        <v>2</v>
      </c>
      <c r="F489" t="n">
        <v>1</v>
      </c>
      <c r="G489" t="b">
        <v>1</v>
      </c>
      <c r="H489">
        <f>Sensitivity!H30</f>
        <v/>
      </c>
    </row>
    <row r="490">
      <c r="A490" t="inlineStr">
        <is>
          <t>chest</t>
        </is>
      </c>
      <c r="B490" t="inlineStr">
        <is>
          <t>legendary</t>
        </is>
      </c>
      <c r="C490" t="n">
        <v>2</v>
      </c>
      <c r="D490" t="inlineStr">
        <is>
          <t>Basic Attack Target Increase</t>
        </is>
      </c>
      <c r="E490" t="n">
        <v>2</v>
      </c>
      <c r="F490" t="n">
        <v>0.24</v>
      </c>
      <c r="G490" t="b">
        <v>1</v>
      </c>
      <c r="H490">
        <f>Sensitivity!H30</f>
        <v/>
      </c>
    </row>
    <row r="491">
      <c r="A491" t="inlineStr">
        <is>
          <t>chest</t>
        </is>
      </c>
      <c r="B491" t="inlineStr">
        <is>
          <t>legendary</t>
        </is>
      </c>
      <c r="C491" t="n">
        <v>2</v>
      </c>
      <c r="D491" t="inlineStr">
        <is>
          <t>Basic Attack Target Increase</t>
        </is>
      </c>
      <c r="E491" t="n">
        <v>1</v>
      </c>
      <c r="F491" t="n">
        <v>0.76</v>
      </c>
      <c r="G491" t="b">
        <v>0</v>
      </c>
      <c r="H491">
        <f>Sensitivity!H30</f>
        <v/>
      </c>
    </row>
    <row r="492">
      <c r="A492" t="inlineStr">
        <is>
          <t>chest</t>
        </is>
      </c>
      <c r="B492" t="inlineStr">
        <is>
          <t>legendary</t>
        </is>
      </c>
      <c r="C492" t="n">
        <v>3</v>
      </c>
      <c r="D492" t="inlineStr">
        <is>
          <t>Basic Attack Target Increase</t>
        </is>
      </c>
      <c r="E492" t="n">
        <v>2</v>
      </c>
      <c r="F492" t="n">
        <v>0.08</v>
      </c>
      <c r="G492" t="b">
        <v>1</v>
      </c>
      <c r="H492">
        <f>Sensitivity!H30</f>
        <v/>
      </c>
    </row>
    <row r="493">
      <c r="A493" t="inlineStr">
        <is>
          <t>chest</t>
        </is>
      </c>
      <c r="B493" t="inlineStr">
        <is>
          <t>legendary</t>
        </is>
      </c>
      <c r="C493" t="n">
        <v>3</v>
      </c>
      <c r="D493" t="inlineStr">
        <is>
          <t>Basic Attack Target Increase</t>
        </is>
      </c>
      <c r="E493" t="n">
        <v>1</v>
      </c>
      <c r="F493" t="n">
        <v>0.92</v>
      </c>
      <c r="G493" t="b">
        <v>0</v>
      </c>
      <c r="H493">
        <f>Sensitivity!H30</f>
        <v/>
      </c>
    </row>
    <row r="494">
      <c r="A494" t="inlineStr">
        <is>
          <t>chest</t>
        </is>
      </c>
      <c r="B494" t="inlineStr">
        <is>
          <t>mystic</t>
        </is>
      </c>
      <c r="C494" t="n">
        <v>1</v>
      </c>
      <c r="D494" t="inlineStr">
        <is>
          <t>Basic Attack Target Increase</t>
        </is>
      </c>
      <c r="E494" t="n">
        <v>3</v>
      </c>
      <c r="F494" t="n">
        <v>1</v>
      </c>
      <c r="G494" t="b">
        <v>1</v>
      </c>
      <c r="H494">
        <f>Sensitivity!H30</f>
        <v/>
      </c>
    </row>
    <row r="495">
      <c r="A495" t="inlineStr">
        <is>
          <t>chest</t>
        </is>
      </c>
      <c r="B495" t="inlineStr">
        <is>
          <t>mystic</t>
        </is>
      </c>
      <c r="C495" t="n">
        <v>2</v>
      </c>
      <c r="D495" t="inlineStr">
        <is>
          <t>Basic Attack Target Increase</t>
        </is>
      </c>
      <c r="E495" t="n">
        <v>3</v>
      </c>
      <c r="F495" t="n">
        <v>0.24</v>
      </c>
      <c r="G495" t="b">
        <v>1</v>
      </c>
      <c r="H495">
        <f>Sensitivity!H30</f>
        <v/>
      </c>
    </row>
    <row r="496">
      <c r="A496" t="inlineStr">
        <is>
          <t>chest</t>
        </is>
      </c>
      <c r="B496" t="inlineStr">
        <is>
          <t>mystic</t>
        </is>
      </c>
      <c r="C496" t="n">
        <v>2</v>
      </c>
      <c r="D496" t="inlineStr">
        <is>
          <t>Basic Attack Target Increase</t>
        </is>
      </c>
      <c r="E496" t="n">
        <v>2</v>
      </c>
      <c r="F496" t="n">
        <v>0.76</v>
      </c>
      <c r="G496" t="b">
        <v>0</v>
      </c>
      <c r="H496">
        <f>Sensitivity!H30</f>
        <v/>
      </c>
    </row>
    <row r="497">
      <c r="A497" t="inlineStr">
        <is>
          <t>chest</t>
        </is>
      </c>
      <c r="B497" t="inlineStr">
        <is>
          <t>mystic</t>
        </is>
      </c>
      <c r="C497" t="n">
        <v>3</v>
      </c>
      <c r="D497" t="inlineStr">
        <is>
          <t>Basic Attack Target Increase</t>
        </is>
      </c>
      <c r="E497" t="n">
        <v>3</v>
      </c>
      <c r="F497" t="n">
        <v>0.08</v>
      </c>
      <c r="G497" t="b">
        <v>1</v>
      </c>
      <c r="H497">
        <f>Sensitivity!H30</f>
        <v/>
      </c>
    </row>
    <row r="498">
      <c r="A498" t="inlineStr">
        <is>
          <t>chest</t>
        </is>
      </c>
      <c r="B498" t="inlineStr">
        <is>
          <t>mystic</t>
        </is>
      </c>
      <c r="C498" t="n">
        <v>3</v>
      </c>
      <c r="D498" t="inlineStr">
        <is>
          <t>Basic Attack Target Increase</t>
        </is>
      </c>
      <c r="E498" t="n">
        <v>2</v>
      </c>
      <c r="F498" t="n">
        <v>0.92</v>
      </c>
      <c r="G498" t="b">
        <v>0</v>
      </c>
      <c r="H498">
        <f>Sensitivity!H30</f>
        <v/>
      </c>
    </row>
    <row r="499">
      <c r="A499" t="inlineStr">
        <is>
          <t>shoulders</t>
        </is>
      </c>
      <c r="B499" t="inlineStr">
        <is>
          <t>unique</t>
        </is>
      </c>
      <c r="C499" t="n">
        <v>1</v>
      </c>
      <c r="D499" t="inlineStr">
        <is>
          <t>Defense Penetration</t>
        </is>
      </c>
      <c r="E499" t="n">
        <v>8</v>
      </c>
      <c r="F499" t="n">
        <v>1</v>
      </c>
      <c r="G499" t="b">
        <v>1</v>
      </c>
      <c r="H499">
        <f>Sensitivity!H19</f>
        <v/>
      </c>
    </row>
    <row r="500">
      <c r="A500" t="inlineStr">
        <is>
          <t>shoulders</t>
        </is>
      </c>
      <c r="B500" t="inlineStr">
        <is>
          <t>unique</t>
        </is>
      </c>
      <c r="C500" t="n">
        <v>2</v>
      </c>
      <c r="D500" t="inlineStr">
        <is>
          <t>Defense Penetration</t>
        </is>
      </c>
      <c r="E500" t="n">
        <v>8</v>
      </c>
      <c r="F500" t="n">
        <v>0.24</v>
      </c>
      <c r="G500" t="b">
        <v>1</v>
      </c>
      <c r="H500">
        <f>Sensitivity!H19</f>
        <v/>
      </c>
    </row>
    <row r="501">
      <c r="A501" t="inlineStr">
        <is>
          <t>shoulders</t>
        </is>
      </c>
      <c r="B501" t="inlineStr">
        <is>
          <t>unique</t>
        </is>
      </c>
      <c r="C501" t="n">
        <v>3</v>
      </c>
      <c r="D501" t="inlineStr">
        <is>
          <t>Defense Penetration</t>
        </is>
      </c>
      <c r="E501" t="n">
        <v>8</v>
      </c>
      <c r="F501" t="n">
        <v>0.08</v>
      </c>
      <c r="G501" t="b">
        <v>1</v>
      </c>
      <c r="H501">
        <f>Sensitivity!H19</f>
        <v/>
      </c>
    </row>
    <row r="502">
      <c r="A502" t="inlineStr">
        <is>
          <t>shoulders</t>
        </is>
      </c>
      <c r="B502" t="inlineStr">
        <is>
          <t>legendary</t>
        </is>
      </c>
      <c r="C502" t="n">
        <v>1</v>
      </c>
      <c r="D502" t="inlineStr">
        <is>
          <t>Defense Penetration</t>
        </is>
      </c>
      <c r="E502" t="n">
        <v>12</v>
      </c>
      <c r="F502" t="n">
        <v>1</v>
      </c>
      <c r="G502" t="b">
        <v>1</v>
      </c>
      <c r="H502">
        <f>Sensitivity!H19</f>
        <v/>
      </c>
    </row>
    <row r="503">
      <c r="A503" t="inlineStr">
        <is>
          <t>shoulders</t>
        </is>
      </c>
      <c r="B503" t="inlineStr">
        <is>
          <t>legendary</t>
        </is>
      </c>
      <c r="C503" t="n">
        <v>2</v>
      </c>
      <c r="D503" t="inlineStr">
        <is>
          <t>Defense Penetration</t>
        </is>
      </c>
      <c r="E503" t="n">
        <v>12</v>
      </c>
      <c r="F503" t="n">
        <v>0.24</v>
      </c>
      <c r="G503" t="b">
        <v>1</v>
      </c>
      <c r="H503">
        <f>Sensitivity!H19</f>
        <v/>
      </c>
    </row>
    <row r="504">
      <c r="A504" t="inlineStr">
        <is>
          <t>shoulders</t>
        </is>
      </c>
      <c r="B504" t="inlineStr">
        <is>
          <t>legendary</t>
        </is>
      </c>
      <c r="C504" t="n">
        <v>2</v>
      </c>
      <c r="D504" t="inlineStr">
        <is>
          <t>Defense Penetration</t>
        </is>
      </c>
      <c r="E504" t="n">
        <v>8</v>
      </c>
      <c r="F504" t="n">
        <v>0.76</v>
      </c>
      <c r="G504" t="b">
        <v>0</v>
      </c>
      <c r="H504">
        <f>Sensitivity!H19</f>
        <v/>
      </c>
    </row>
    <row r="505">
      <c r="A505" t="inlineStr">
        <is>
          <t>shoulders</t>
        </is>
      </c>
      <c r="B505" t="inlineStr">
        <is>
          <t>legendary</t>
        </is>
      </c>
      <c r="C505" t="n">
        <v>3</v>
      </c>
      <c r="D505" t="inlineStr">
        <is>
          <t>Defense Penetration</t>
        </is>
      </c>
      <c r="E505" t="n">
        <v>12</v>
      </c>
      <c r="F505" t="n">
        <v>0.08</v>
      </c>
      <c r="G505" t="b">
        <v>1</v>
      </c>
      <c r="H505">
        <f>Sensitivity!H19</f>
        <v/>
      </c>
    </row>
    <row r="506">
      <c r="A506" t="inlineStr">
        <is>
          <t>shoulders</t>
        </is>
      </c>
      <c r="B506" t="inlineStr">
        <is>
          <t>legendary</t>
        </is>
      </c>
      <c r="C506" t="n">
        <v>3</v>
      </c>
      <c r="D506" t="inlineStr">
        <is>
          <t>Defense Penetration</t>
        </is>
      </c>
      <c r="E506" t="n">
        <v>8</v>
      </c>
      <c r="F506" t="n">
        <v>0.92</v>
      </c>
      <c r="G506" t="b">
        <v>0</v>
      </c>
      <c r="H506">
        <f>Sensitivity!H19</f>
        <v/>
      </c>
    </row>
    <row r="507">
      <c r="A507" t="inlineStr">
        <is>
          <t>shoulders</t>
        </is>
      </c>
      <c r="B507" t="inlineStr">
        <is>
          <t>mystic</t>
        </is>
      </c>
      <c r="C507" t="n">
        <v>1</v>
      </c>
      <c r="D507" t="inlineStr">
        <is>
          <t>Defense Penetration</t>
        </is>
      </c>
      <c r="E507" t="n">
        <v>20</v>
      </c>
      <c r="F507" t="n">
        <v>1</v>
      </c>
      <c r="G507" t="b">
        <v>1</v>
      </c>
      <c r="H507">
        <f>Sensitivity!H19</f>
        <v/>
      </c>
    </row>
    <row r="508">
      <c r="A508" t="inlineStr">
        <is>
          <t>shoulders</t>
        </is>
      </c>
      <c r="B508" t="inlineStr">
        <is>
          <t>mystic</t>
        </is>
      </c>
      <c r="C508" t="n">
        <v>2</v>
      </c>
      <c r="D508" t="inlineStr">
        <is>
          <t>Defense Penetration</t>
        </is>
      </c>
      <c r="E508" t="n">
        <v>20</v>
      </c>
      <c r="F508" t="n">
        <v>0.24</v>
      </c>
      <c r="G508" t="b">
        <v>1</v>
      </c>
      <c r="H508">
        <f>Sensitivity!H19</f>
        <v/>
      </c>
    </row>
    <row r="509">
      <c r="A509" t="inlineStr">
        <is>
          <t>shoulders</t>
        </is>
      </c>
      <c r="B509" t="inlineStr">
        <is>
          <t>mystic</t>
        </is>
      </c>
      <c r="C509" t="n">
        <v>2</v>
      </c>
      <c r="D509" t="inlineStr">
        <is>
          <t>Defense Penetration</t>
        </is>
      </c>
      <c r="E509" t="n">
        <v>12</v>
      </c>
      <c r="F509" t="n">
        <v>0.76</v>
      </c>
      <c r="G509" t="b">
        <v>0</v>
      </c>
      <c r="H509">
        <f>Sensitivity!H19</f>
        <v/>
      </c>
    </row>
    <row r="510">
      <c r="A510" t="inlineStr">
        <is>
          <t>shoulders</t>
        </is>
      </c>
      <c r="B510" t="inlineStr">
        <is>
          <t>mystic</t>
        </is>
      </c>
      <c r="C510" t="n">
        <v>3</v>
      </c>
      <c r="D510" t="inlineStr">
        <is>
          <t>Defense Penetration</t>
        </is>
      </c>
      <c r="E510" t="n">
        <v>20</v>
      </c>
      <c r="F510" t="n">
        <v>0.08</v>
      </c>
      <c r="G510" t="b">
        <v>1</v>
      </c>
      <c r="H510">
        <f>Sensitivity!H19</f>
        <v/>
      </c>
    </row>
    <row r="511">
      <c r="A511" t="inlineStr">
        <is>
          <t>shoulders</t>
        </is>
      </c>
      <c r="B511" t="inlineStr">
        <is>
          <t>mystic</t>
        </is>
      </c>
      <c r="C511" t="n">
        <v>3</v>
      </c>
      <c r="D511" t="inlineStr">
        <is>
          <t>Defense Penetration</t>
        </is>
      </c>
      <c r="E511" t="n">
        <v>12</v>
      </c>
      <c r="F511" t="n">
        <v>0.92</v>
      </c>
      <c r="G511" t="b">
        <v>0</v>
      </c>
      <c r="H511">
        <f>Sensitivity!H19</f>
        <v/>
      </c>
    </row>
    <row r="512">
      <c r="A512" t="inlineStr">
        <is>
          <t>legs</t>
        </is>
      </c>
      <c r="B512" t="inlineStr">
        <is>
          <t>epic</t>
        </is>
      </c>
      <c r="C512" t="n">
        <v>1</v>
      </c>
      <c r="D512" t="inlineStr">
        <is>
          <t>Final Damage %</t>
        </is>
      </c>
      <c r="E512" t="n">
        <v>3</v>
      </c>
      <c r="F512" t="n">
        <v>1</v>
      </c>
      <c r="G512" t="b">
        <v>1</v>
      </c>
      <c r="H512">
        <f>Sensitivity!H13</f>
        <v/>
      </c>
    </row>
    <row r="513">
      <c r="A513" t="inlineStr">
        <is>
          <t>legs</t>
        </is>
      </c>
      <c r="B513" t="inlineStr">
        <is>
          <t>epic</t>
        </is>
      </c>
      <c r="C513" t="n">
        <v>2</v>
      </c>
      <c r="D513" t="inlineStr">
        <is>
          <t>Final Damage %</t>
        </is>
      </c>
      <c r="E513" t="n">
        <v>3</v>
      </c>
      <c r="F513" t="n">
        <v>0.24</v>
      </c>
      <c r="G513" t="b">
        <v>1</v>
      </c>
      <c r="H513">
        <f>Sensitivity!H13</f>
        <v/>
      </c>
    </row>
    <row r="514">
      <c r="A514" t="inlineStr">
        <is>
          <t>legs</t>
        </is>
      </c>
      <c r="B514" t="inlineStr">
        <is>
          <t>epic</t>
        </is>
      </c>
      <c r="C514" t="n">
        <v>3</v>
      </c>
      <c r="D514" t="inlineStr">
        <is>
          <t>Final Damage %</t>
        </is>
      </c>
      <c r="E514" t="n">
        <v>3</v>
      </c>
      <c r="F514" t="n">
        <v>0.08</v>
      </c>
      <c r="G514" t="b">
        <v>1</v>
      </c>
      <c r="H514">
        <f>Sensitivity!H13</f>
        <v/>
      </c>
    </row>
    <row r="515">
      <c r="A515" t="inlineStr">
        <is>
          <t>legs</t>
        </is>
      </c>
      <c r="B515" t="inlineStr">
        <is>
          <t>unique</t>
        </is>
      </c>
      <c r="C515" t="n">
        <v>1</v>
      </c>
      <c r="D515" t="inlineStr">
        <is>
          <t>Final Damage %</t>
        </is>
      </c>
      <c r="E515" t="n">
        <v>5</v>
      </c>
      <c r="F515" t="n">
        <v>1</v>
      </c>
      <c r="G515" t="b">
        <v>1</v>
      </c>
      <c r="H515">
        <f>Sensitivity!H13</f>
        <v/>
      </c>
    </row>
    <row r="516">
      <c r="A516" t="inlineStr">
        <is>
          <t>legs</t>
        </is>
      </c>
      <c r="B516" t="inlineStr">
        <is>
          <t>unique</t>
        </is>
      </c>
      <c r="C516" t="n">
        <v>2</v>
      </c>
      <c r="D516" t="inlineStr">
        <is>
          <t>Final Damage %</t>
        </is>
      </c>
      <c r="E516" t="n">
        <v>5</v>
      </c>
      <c r="F516" t="n">
        <v>0.24</v>
      </c>
      <c r="G516" t="b">
        <v>1</v>
      </c>
      <c r="H516">
        <f>Sensitivity!H13</f>
        <v/>
      </c>
    </row>
    <row r="517">
      <c r="A517" t="inlineStr">
        <is>
          <t>legs</t>
        </is>
      </c>
      <c r="B517" t="inlineStr">
        <is>
          <t>unique</t>
        </is>
      </c>
      <c r="C517" t="n">
        <v>2</v>
      </c>
      <c r="D517" t="inlineStr">
        <is>
          <t>Final Damage %</t>
        </is>
      </c>
      <c r="E517" t="n">
        <v>3</v>
      </c>
      <c r="F517" t="n">
        <v>0.76</v>
      </c>
      <c r="G517" t="b">
        <v>0</v>
      </c>
      <c r="H517">
        <f>Sensitivity!H13</f>
        <v/>
      </c>
    </row>
    <row r="518">
      <c r="A518" t="inlineStr">
        <is>
          <t>legs</t>
        </is>
      </c>
      <c r="B518" t="inlineStr">
        <is>
          <t>unique</t>
        </is>
      </c>
      <c r="C518" t="n">
        <v>3</v>
      </c>
      <c r="D518" t="inlineStr">
        <is>
          <t>Final Damage %</t>
        </is>
      </c>
      <c r="E518" t="n">
        <v>5</v>
      </c>
      <c r="F518" t="n">
        <v>0.08</v>
      </c>
      <c r="G518" t="b">
        <v>1</v>
      </c>
      <c r="H518">
        <f>Sensitivity!H13</f>
        <v/>
      </c>
    </row>
    <row r="519">
      <c r="A519" t="inlineStr">
        <is>
          <t>legs</t>
        </is>
      </c>
      <c r="B519" t="inlineStr">
        <is>
          <t>unique</t>
        </is>
      </c>
      <c r="C519" t="n">
        <v>3</v>
      </c>
      <c r="D519" t="inlineStr">
        <is>
          <t>Final Damage %</t>
        </is>
      </c>
      <c r="E519" t="n">
        <v>3</v>
      </c>
      <c r="F519" t="n">
        <v>0.92</v>
      </c>
      <c r="G519" t="b">
        <v>0</v>
      </c>
      <c r="H519">
        <f>Sensitivity!H13</f>
        <v/>
      </c>
    </row>
    <row r="520">
      <c r="A520" t="inlineStr">
        <is>
          <t>legs</t>
        </is>
      </c>
      <c r="B520" t="inlineStr">
        <is>
          <t>legendary</t>
        </is>
      </c>
      <c r="C520" t="n">
        <v>1</v>
      </c>
      <c r="D520" t="inlineStr">
        <is>
          <t>Final Damage %</t>
        </is>
      </c>
      <c r="E520" t="n">
        <v>8</v>
      </c>
      <c r="F520" t="n">
        <v>1</v>
      </c>
      <c r="G520" t="b">
        <v>1</v>
      </c>
      <c r="H520">
        <f>Sensitivity!H13</f>
        <v/>
      </c>
    </row>
    <row r="521">
      <c r="A521" t="inlineStr">
        <is>
          <t>legs</t>
        </is>
      </c>
      <c r="B521" t="inlineStr">
        <is>
          <t>legendary</t>
        </is>
      </c>
      <c r="C521" t="n">
        <v>2</v>
      </c>
      <c r="D521" t="inlineStr">
        <is>
          <t>Final Damage %</t>
        </is>
      </c>
      <c r="E521" t="n">
        <v>8</v>
      </c>
      <c r="F521" t="n">
        <v>0.24</v>
      </c>
      <c r="G521" t="b">
        <v>1</v>
      </c>
      <c r="H521">
        <f>Sensitivity!H13</f>
        <v/>
      </c>
    </row>
    <row r="522">
      <c r="A522" t="inlineStr">
        <is>
          <t>legs</t>
        </is>
      </c>
      <c r="B522" t="inlineStr">
        <is>
          <t>legendary</t>
        </is>
      </c>
      <c r="C522" t="n">
        <v>2</v>
      </c>
      <c r="D522" t="inlineStr">
        <is>
          <t>Final Damage %</t>
        </is>
      </c>
      <c r="E522" t="n">
        <v>5</v>
      </c>
      <c r="F522" t="n">
        <v>0.76</v>
      </c>
      <c r="G522" t="b">
        <v>0</v>
      </c>
      <c r="H522">
        <f>Sensitivity!H13</f>
        <v/>
      </c>
    </row>
    <row r="523">
      <c r="A523" t="inlineStr">
        <is>
          <t>legs</t>
        </is>
      </c>
      <c r="B523" t="inlineStr">
        <is>
          <t>legendary</t>
        </is>
      </c>
      <c r="C523" t="n">
        <v>3</v>
      </c>
      <c r="D523" t="inlineStr">
        <is>
          <t>Final Damage %</t>
        </is>
      </c>
      <c r="E523" t="n">
        <v>8</v>
      </c>
      <c r="F523" t="n">
        <v>0.08</v>
      </c>
      <c r="G523" t="b">
        <v>1</v>
      </c>
      <c r="H523">
        <f>Sensitivity!H13</f>
        <v/>
      </c>
    </row>
    <row r="524">
      <c r="A524" t="inlineStr">
        <is>
          <t>legs</t>
        </is>
      </c>
      <c r="B524" t="inlineStr">
        <is>
          <t>legendary</t>
        </is>
      </c>
      <c r="C524" t="n">
        <v>3</v>
      </c>
      <c r="D524" t="inlineStr">
        <is>
          <t>Final Damage %</t>
        </is>
      </c>
      <c r="E524" t="n">
        <v>5</v>
      </c>
      <c r="F524" t="n">
        <v>0.92</v>
      </c>
      <c r="G524" t="b">
        <v>0</v>
      </c>
      <c r="H524">
        <f>Sensitivity!H13</f>
        <v/>
      </c>
    </row>
    <row r="525">
      <c r="A525" t="inlineStr">
        <is>
          <t>legs</t>
        </is>
      </c>
      <c r="B525" t="inlineStr">
        <is>
          <t>mystic</t>
        </is>
      </c>
      <c r="C525" t="n">
        <v>1</v>
      </c>
      <c r="D525" t="inlineStr">
        <is>
          <t>Final Damage %</t>
        </is>
      </c>
      <c r="E525" t="n">
        <v>12</v>
      </c>
      <c r="F525" t="n">
        <v>1</v>
      </c>
      <c r="G525" t="b">
        <v>1</v>
      </c>
      <c r="H525">
        <f>Sensitivity!H13</f>
        <v/>
      </c>
    </row>
    <row r="526">
      <c r="A526" t="inlineStr">
        <is>
          <t>legs</t>
        </is>
      </c>
      <c r="B526" t="inlineStr">
        <is>
          <t>mystic</t>
        </is>
      </c>
      <c r="C526" t="n">
        <v>2</v>
      </c>
      <c r="D526" t="inlineStr">
        <is>
          <t>Final Damage %</t>
        </is>
      </c>
      <c r="E526" t="n">
        <v>12</v>
      </c>
      <c r="F526" t="n">
        <v>0.24</v>
      </c>
      <c r="G526" t="b">
        <v>1</v>
      </c>
      <c r="H526">
        <f>Sensitivity!H13</f>
        <v/>
      </c>
    </row>
    <row r="527">
      <c r="A527" t="inlineStr">
        <is>
          <t>legs</t>
        </is>
      </c>
      <c r="B527" t="inlineStr">
        <is>
          <t>mystic</t>
        </is>
      </c>
      <c r="C527" t="n">
        <v>2</v>
      </c>
      <c r="D527" t="inlineStr">
        <is>
          <t>Final Damage %</t>
        </is>
      </c>
      <c r="E527" t="n">
        <v>8</v>
      </c>
      <c r="F527" t="n">
        <v>0.76</v>
      </c>
      <c r="G527" t="b">
        <v>0</v>
      </c>
      <c r="H527">
        <f>Sensitivity!H13</f>
        <v/>
      </c>
    </row>
    <row r="528">
      <c r="A528" t="inlineStr">
        <is>
          <t>legs</t>
        </is>
      </c>
      <c r="B528" t="inlineStr">
        <is>
          <t>mystic</t>
        </is>
      </c>
      <c r="C528" t="n">
        <v>3</v>
      </c>
      <c r="D528" t="inlineStr">
        <is>
          <t>Final Damage %</t>
        </is>
      </c>
      <c r="E528" t="n">
        <v>12</v>
      </c>
      <c r="F528" t="n">
        <v>0.08</v>
      </c>
      <c r="G528" t="b">
        <v>1</v>
      </c>
      <c r="H528">
        <f>Sensitivity!H13</f>
        <v/>
      </c>
    </row>
    <row r="529">
      <c r="A529" t="inlineStr">
        <is>
          <t>legs</t>
        </is>
      </c>
      <c r="B529" t="inlineStr">
        <is>
          <t>mystic</t>
        </is>
      </c>
      <c r="C529" t="n">
        <v>3</v>
      </c>
      <c r="D529" t="inlineStr">
        <is>
          <t>Final Damage %</t>
        </is>
      </c>
      <c r="E529" t="n">
        <v>8</v>
      </c>
      <c r="F529" t="n">
        <v>0.92</v>
      </c>
      <c r="G529" t="b">
        <v>0</v>
      </c>
      <c r="H529">
        <f>Sensitivity!H13</f>
        <v/>
      </c>
    </row>
    <row r="530">
      <c r="A530" t="inlineStr">
        <is>
          <t>belt</t>
        </is>
      </c>
      <c r="B530" t="inlineStr">
        <is>
          <t>epic</t>
        </is>
      </c>
      <c r="C530" t="n">
        <v>1</v>
      </c>
      <c r="D530" t="inlineStr">
        <is>
          <t>Buff Duration Increase %</t>
        </is>
      </c>
      <c r="E530" t="n">
        <v>5</v>
      </c>
      <c r="F530" t="n">
        <v>1</v>
      </c>
      <c r="G530" t="b">
        <v>1</v>
      </c>
      <c r="H530">
        <f>Sensitivity!H31</f>
        <v/>
      </c>
    </row>
    <row r="531">
      <c r="A531" t="inlineStr">
        <is>
          <t>belt</t>
        </is>
      </c>
      <c r="B531" t="inlineStr">
        <is>
          <t>epic</t>
        </is>
      </c>
      <c r="C531" t="n">
        <v>2</v>
      </c>
      <c r="D531" t="inlineStr">
        <is>
          <t>Buff Duration Increase %</t>
        </is>
      </c>
      <c r="E531" t="n">
        <v>5</v>
      </c>
      <c r="F531" t="n">
        <v>0.24</v>
      </c>
      <c r="G531" t="b">
        <v>1</v>
      </c>
      <c r="H531">
        <f>Sensitivity!H31</f>
        <v/>
      </c>
    </row>
    <row r="532">
      <c r="A532" t="inlineStr">
        <is>
          <t>belt</t>
        </is>
      </c>
      <c r="B532" t="inlineStr">
        <is>
          <t>epic</t>
        </is>
      </c>
      <c r="C532" t="n">
        <v>3</v>
      </c>
      <c r="D532" t="inlineStr">
        <is>
          <t>Buff Duration Increase %</t>
        </is>
      </c>
      <c r="E532" t="n">
        <v>5</v>
      </c>
      <c r="F532" t="n">
        <v>0.08</v>
      </c>
      <c r="G532" t="b">
        <v>1</v>
      </c>
      <c r="H532">
        <f>Sensitivity!H31</f>
        <v/>
      </c>
    </row>
    <row r="533">
      <c r="A533" t="inlineStr">
        <is>
          <t>belt</t>
        </is>
      </c>
      <c r="B533" t="inlineStr">
        <is>
          <t>unique</t>
        </is>
      </c>
      <c r="C533" t="n">
        <v>1</v>
      </c>
      <c r="D533" t="inlineStr">
        <is>
          <t>Buff Duration Increase %</t>
        </is>
      </c>
      <c r="E533" t="n">
        <v>8</v>
      </c>
      <c r="F533" t="n">
        <v>1</v>
      </c>
      <c r="G533" t="b">
        <v>1</v>
      </c>
      <c r="H533">
        <f>Sensitivity!H31</f>
        <v/>
      </c>
    </row>
    <row r="534">
      <c r="A534" t="inlineStr">
        <is>
          <t>belt</t>
        </is>
      </c>
      <c r="B534" t="inlineStr">
        <is>
          <t>unique</t>
        </is>
      </c>
      <c r="C534" t="n">
        <v>2</v>
      </c>
      <c r="D534" t="inlineStr">
        <is>
          <t>Buff Duration Increase %</t>
        </is>
      </c>
      <c r="E534" t="n">
        <v>8</v>
      </c>
      <c r="F534" t="n">
        <v>0.24</v>
      </c>
      <c r="G534" t="b">
        <v>1</v>
      </c>
      <c r="H534">
        <f>Sensitivity!H31</f>
        <v/>
      </c>
    </row>
    <row r="535">
      <c r="A535" t="inlineStr">
        <is>
          <t>belt</t>
        </is>
      </c>
      <c r="B535" t="inlineStr">
        <is>
          <t>unique</t>
        </is>
      </c>
      <c r="C535" t="n">
        <v>2</v>
      </c>
      <c r="D535" t="inlineStr">
        <is>
          <t>Buff Duration Increase %</t>
        </is>
      </c>
      <c r="E535" t="n">
        <v>5</v>
      </c>
      <c r="F535" t="n">
        <v>0.76</v>
      </c>
      <c r="G535" t="b">
        <v>0</v>
      </c>
      <c r="H535">
        <f>Sensitivity!H31</f>
        <v/>
      </c>
    </row>
    <row r="536">
      <c r="A536" t="inlineStr">
        <is>
          <t>belt</t>
        </is>
      </c>
      <c r="B536" t="inlineStr">
        <is>
          <t>unique</t>
        </is>
      </c>
      <c r="C536" t="n">
        <v>3</v>
      </c>
      <c r="D536" t="inlineStr">
        <is>
          <t>Buff Duration Increase %</t>
        </is>
      </c>
      <c r="E536" t="n">
        <v>8</v>
      </c>
      <c r="F536" t="n">
        <v>0.08</v>
      </c>
      <c r="G536" t="b">
        <v>1</v>
      </c>
      <c r="H536">
        <f>Sensitivity!H31</f>
        <v/>
      </c>
    </row>
    <row r="537">
      <c r="A537" t="inlineStr">
        <is>
          <t>belt</t>
        </is>
      </c>
      <c r="B537" t="inlineStr">
        <is>
          <t>unique</t>
        </is>
      </c>
      <c r="C537" t="n">
        <v>3</v>
      </c>
      <c r="D537" t="inlineStr">
        <is>
          <t>Buff Duration Increase %</t>
        </is>
      </c>
      <c r="E537" t="n">
        <v>5</v>
      </c>
      <c r="F537" t="n">
        <v>0.92</v>
      </c>
      <c r="G537" t="b">
        <v>0</v>
      </c>
      <c r="H537">
        <f>Sensitivity!H31</f>
        <v/>
      </c>
    </row>
    <row r="538">
      <c r="A538" t="inlineStr">
        <is>
          <t>belt</t>
        </is>
      </c>
      <c r="B538" t="inlineStr">
        <is>
          <t>legendary</t>
        </is>
      </c>
      <c r="C538" t="n">
        <v>1</v>
      </c>
      <c r="D538" t="inlineStr">
        <is>
          <t>Buff Duration Increase %</t>
        </is>
      </c>
      <c r="E538" t="n">
        <v>12</v>
      </c>
      <c r="F538" t="n">
        <v>1</v>
      </c>
      <c r="G538" t="b">
        <v>1</v>
      </c>
      <c r="H538">
        <f>Sensitivity!H31</f>
        <v/>
      </c>
    </row>
    <row r="539">
      <c r="A539" t="inlineStr">
        <is>
          <t>belt</t>
        </is>
      </c>
      <c r="B539" t="inlineStr">
        <is>
          <t>legendary</t>
        </is>
      </c>
      <c r="C539" t="n">
        <v>2</v>
      </c>
      <c r="D539" t="inlineStr">
        <is>
          <t>Buff Duration Increase %</t>
        </is>
      </c>
      <c r="E539" t="n">
        <v>12</v>
      </c>
      <c r="F539" t="n">
        <v>0.24</v>
      </c>
      <c r="G539" t="b">
        <v>1</v>
      </c>
      <c r="H539">
        <f>Sensitivity!H31</f>
        <v/>
      </c>
    </row>
    <row r="540">
      <c r="A540" t="inlineStr">
        <is>
          <t>belt</t>
        </is>
      </c>
      <c r="B540" t="inlineStr">
        <is>
          <t>legendary</t>
        </is>
      </c>
      <c r="C540" t="n">
        <v>2</v>
      </c>
      <c r="D540" t="inlineStr">
        <is>
          <t>Buff Duration Increase %</t>
        </is>
      </c>
      <c r="E540" t="n">
        <v>8</v>
      </c>
      <c r="F540" t="n">
        <v>0.76</v>
      </c>
      <c r="G540" t="b">
        <v>0</v>
      </c>
      <c r="H540">
        <f>Sensitivity!H31</f>
        <v/>
      </c>
    </row>
    <row r="541">
      <c r="A541" t="inlineStr">
        <is>
          <t>belt</t>
        </is>
      </c>
      <c r="B541" t="inlineStr">
        <is>
          <t>legendary</t>
        </is>
      </c>
      <c r="C541" t="n">
        <v>3</v>
      </c>
      <c r="D541" t="inlineStr">
        <is>
          <t>Buff Duration Increase %</t>
        </is>
      </c>
      <c r="E541" t="n">
        <v>12</v>
      </c>
      <c r="F541" t="n">
        <v>0.08</v>
      </c>
      <c r="G541" t="b">
        <v>1</v>
      </c>
      <c r="H541">
        <f>Sensitivity!H31</f>
        <v/>
      </c>
    </row>
    <row r="542">
      <c r="A542" t="inlineStr">
        <is>
          <t>belt</t>
        </is>
      </c>
      <c r="B542" t="inlineStr">
        <is>
          <t>legendary</t>
        </is>
      </c>
      <c r="C542" t="n">
        <v>3</v>
      </c>
      <c r="D542" t="inlineStr">
        <is>
          <t>Buff Duration Increase %</t>
        </is>
      </c>
      <c r="E542" t="n">
        <v>8</v>
      </c>
      <c r="F542" t="n">
        <v>0.92</v>
      </c>
      <c r="G542" t="b">
        <v>0</v>
      </c>
      <c r="H542">
        <f>Sensitivity!H31</f>
        <v/>
      </c>
    </row>
    <row r="543">
      <c r="A543" t="inlineStr">
        <is>
          <t>belt</t>
        </is>
      </c>
      <c r="B543" t="inlineStr">
        <is>
          <t>mystic</t>
        </is>
      </c>
      <c r="C543" t="n">
        <v>1</v>
      </c>
      <c r="D543" t="inlineStr">
        <is>
          <t>Buff Duration Increase %</t>
        </is>
      </c>
      <c r="E543" t="n">
        <v>20</v>
      </c>
      <c r="F543" t="n">
        <v>1</v>
      </c>
      <c r="G543" t="b">
        <v>1</v>
      </c>
      <c r="H543">
        <f>Sensitivity!H31</f>
        <v/>
      </c>
    </row>
    <row r="544">
      <c r="A544" t="inlineStr">
        <is>
          <t>belt</t>
        </is>
      </c>
      <c r="B544" t="inlineStr">
        <is>
          <t>mystic</t>
        </is>
      </c>
      <c r="C544" t="n">
        <v>2</v>
      </c>
      <c r="D544" t="inlineStr">
        <is>
          <t>Buff Duration Increase %</t>
        </is>
      </c>
      <c r="E544" t="n">
        <v>20</v>
      </c>
      <c r="F544" t="n">
        <v>0.24</v>
      </c>
      <c r="G544" t="b">
        <v>1</v>
      </c>
      <c r="H544">
        <f>Sensitivity!H31</f>
        <v/>
      </c>
    </row>
    <row r="545">
      <c r="A545" t="inlineStr">
        <is>
          <t>belt</t>
        </is>
      </c>
      <c r="B545" t="inlineStr">
        <is>
          <t>mystic</t>
        </is>
      </c>
      <c r="C545" t="n">
        <v>2</v>
      </c>
      <c r="D545" t="inlineStr">
        <is>
          <t>Buff Duration Increase %</t>
        </is>
      </c>
      <c r="E545" t="n">
        <v>12</v>
      </c>
      <c r="F545" t="n">
        <v>0.76</v>
      </c>
      <c r="G545" t="b">
        <v>0</v>
      </c>
      <c r="H545">
        <f>Sensitivity!H31</f>
        <v/>
      </c>
    </row>
    <row r="546">
      <c r="A546" t="inlineStr">
        <is>
          <t>belt</t>
        </is>
      </c>
      <c r="B546" t="inlineStr">
        <is>
          <t>mystic</t>
        </is>
      </c>
      <c r="C546" t="n">
        <v>3</v>
      </c>
      <c r="D546" t="inlineStr">
        <is>
          <t>Buff Duration Increase %</t>
        </is>
      </c>
      <c r="E546" t="n">
        <v>20</v>
      </c>
      <c r="F546" t="n">
        <v>0.08</v>
      </c>
      <c r="G546" t="b">
        <v>1</v>
      </c>
      <c r="H546">
        <f>Sensitivity!H31</f>
        <v/>
      </c>
    </row>
    <row r="547">
      <c r="A547" t="inlineStr">
        <is>
          <t>belt</t>
        </is>
      </c>
      <c r="B547" t="inlineStr">
        <is>
          <t>mystic</t>
        </is>
      </c>
      <c r="C547" t="n">
        <v>3</v>
      </c>
      <c r="D547" t="inlineStr">
        <is>
          <t>Buff Duration Increase %</t>
        </is>
      </c>
      <c r="E547" t="n">
        <v>12</v>
      </c>
      <c r="F547" t="n">
        <v>0.92</v>
      </c>
      <c r="G547" t="b">
        <v>0</v>
      </c>
      <c r="H547">
        <f>Sensitivity!H31</f>
        <v/>
      </c>
    </row>
    <row r="548">
      <c r="A548" t="inlineStr">
        <is>
          <t>gloves</t>
        </is>
      </c>
      <c r="B548" t="inlineStr">
        <is>
          <t>epic</t>
        </is>
      </c>
      <c r="C548" t="n">
        <v>1</v>
      </c>
      <c r="D548" t="inlineStr">
        <is>
          <t>Critical Damage %</t>
        </is>
      </c>
      <c r="E548" t="n">
        <v>10</v>
      </c>
      <c r="F548" t="n">
        <v>1</v>
      </c>
      <c r="G548" t="b">
        <v>1</v>
      </c>
      <c r="H548">
        <f>Sensitivity!H17</f>
        <v/>
      </c>
    </row>
    <row r="549">
      <c r="A549" t="inlineStr">
        <is>
          <t>gloves</t>
        </is>
      </c>
      <c r="B549" t="inlineStr">
        <is>
          <t>epic</t>
        </is>
      </c>
      <c r="C549" t="n">
        <v>2</v>
      </c>
      <c r="D549" t="inlineStr">
        <is>
          <t>Critical Damage %</t>
        </is>
      </c>
      <c r="E549" t="n">
        <v>10</v>
      </c>
      <c r="F549" t="n">
        <v>0.24</v>
      </c>
      <c r="G549" t="b">
        <v>1</v>
      </c>
      <c r="H549">
        <f>Sensitivity!H17</f>
        <v/>
      </c>
    </row>
    <row r="550">
      <c r="A550" t="inlineStr">
        <is>
          <t>gloves</t>
        </is>
      </c>
      <c r="B550" t="inlineStr">
        <is>
          <t>epic</t>
        </is>
      </c>
      <c r="C550" t="n">
        <v>3</v>
      </c>
      <c r="D550" t="inlineStr">
        <is>
          <t>Critical Damage %</t>
        </is>
      </c>
      <c r="E550" t="n">
        <v>10</v>
      </c>
      <c r="F550" t="n">
        <v>0.08</v>
      </c>
      <c r="G550" t="b">
        <v>1</v>
      </c>
      <c r="H550">
        <f>Sensitivity!H17</f>
        <v/>
      </c>
    </row>
    <row r="551">
      <c r="A551" t="inlineStr">
        <is>
          <t>gloves</t>
        </is>
      </c>
      <c r="B551" t="inlineStr">
        <is>
          <t>unique</t>
        </is>
      </c>
      <c r="C551" t="n">
        <v>1</v>
      </c>
      <c r="D551" t="inlineStr">
        <is>
          <t>Critical Damage %</t>
        </is>
      </c>
      <c r="E551" t="n">
        <v>20</v>
      </c>
      <c r="F551" t="n">
        <v>1</v>
      </c>
      <c r="G551" t="b">
        <v>1</v>
      </c>
      <c r="H551">
        <f>Sensitivity!H17</f>
        <v/>
      </c>
    </row>
    <row r="552">
      <c r="A552" t="inlineStr">
        <is>
          <t>gloves</t>
        </is>
      </c>
      <c r="B552" t="inlineStr">
        <is>
          <t>unique</t>
        </is>
      </c>
      <c r="C552" t="n">
        <v>2</v>
      </c>
      <c r="D552" t="inlineStr">
        <is>
          <t>Critical Damage %</t>
        </is>
      </c>
      <c r="E552" t="n">
        <v>20</v>
      </c>
      <c r="F552" t="n">
        <v>0.24</v>
      </c>
      <c r="G552" t="b">
        <v>1</v>
      </c>
      <c r="H552">
        <f>Sensitivity!H17</f>
        <v/>
      </c>
    </row>
    <row r="553">
      <c r="A553" t="inlineStr">
        <is>
          <t>gloves</t>
        </is>
      </c>
      <c r="B553" t="inlineStr">
        <is>
          <t>unique</t>
        </is>
      </c>
      <c r="C553" t="n">
        <v>2</v>
      </c>
      <c r="D553" t="inlineStr">
        <is>
          <t>Critical Damage %</t>
        </is>
      </c>
      <c r="E553" t="n">
        <v>10</v>
      </c>
      <c r="F553" t="n">
        <v>0.76</v>
      </c>
      <c r="G553" t="b">
        <v>0</v>
      </c>
      <c r="H553">
        <f>Sensitivity!H17</f>
        <v/>
      </c>
    </row>
    <row r="554">
      <c r="A554" t="inlineStr">
        <is>
          <t>gloves</t>
        </is>
      </c>
      <c r="B554" t="inlineStr">
        <is>
          <t>unique</t>
        </is>
      </c>
      <c r="C554" t="n">
        <v>3</v>
      </c>
      <c r="D554" t="inlineStr">
        <is>
          <t>Critical Damage %</t>
        </is>
      </c>
      <c r="E554" t="n">
        <v>20</v>
      </c>
      <c r="F554" t="n">
        <v>0.08</v>
      </c>
      <c r="G554" t="b">
        <v>1</v>
      </c>
      <c r="H554">
        <f>Sensitivity!H17</f>
        <v/>
      </c>
    </row>
    <row r="555">
      <c r="A555" t="inlineStr">
        <is>
          <t>gloves</t>
        </is>
      </c>
      <c r="B555" t="inlineStr">
        <is>
          <t>unique</t>
        </is>
      </c>
      <c r="C555" t="n">
        <v>3</v>
      </c>
      <c r="D555" t="inlineStr">
        <is>
          <t>Critical Damage %</t>
        </is>
      </c>
      <c r="E555" t="n">
        <v>10</v>
      </c>
      <c r="F555" t="n">
        <v>0.92</v>
      </c>
      <c r="G555" t="b">
        <v>0</v>
      </c>
      <c r="H555">
        <f>Sensitivity!H17</f>
        <v/>
      </c>
    </row>
    <row r="556">
      <c r="A556" t="inlineStr">
        <is>
          <t>gloves</t>
        </is>
      </c>
      <c r="B556" t="inlineStr">
        <is>
          <t>legendary</t>
        </is>
      </c>
      <c r="C556" t="n">
        <v>1</v>
      </c>
      <c r="D556" t="inlineStr">
        <is>
          <t>Critical Damage %</t>
        </is>
      </c>
      <c r="E556" t="n">
        <v>30</v>
      </c>
      <c r="F556" t="n">
        <v>1</v>
      </c>
      <c r="G556" t="b">
        <v>1</v>
      </c>
      <c r="H556">
        <f>Sensitivity!H17</f>
        <v/>
      </c>
    </row>
    <row r="557">
      <c r="A557" t="inlineStr">
        <is>
          <t>gloves</t>
        </is>
      </c>
      <c r="B557" t="inlineStr">
        <is>
          <t>legendary</t>
        </is>
      </c>
      <c r="C557" t="n">
        <v>2</v>
      </c>
      <c r="D557" t="inlineStr">
        <is>
          <t>Critical Damage %</t>
        </is>
      </c>
      <c r="E557" t="n">
        <v>30</v>
      </c>
      <c r="F557" t="n">
        <v>0.24</v>
      </c>
      <c r="G557" t="b">
        <v>1</v>
      </c>
      <c r="H557">
        <f>Sensitivity!H17</f>
        <v/>
      </c>
    </row>
    <row r="558">
      <c r="A558" t="inlineStr">
        <is>
          <t>gloves</t>
        </is>
      </c>
      <c r="B558" t="inlineStr">
        <is>
          <t>legendary</t>
        </is>
      </c>
      <c r="C558" t="n">
        <v>2</v>
      </c>
      <c r="D558" t="inlineStr">
        <is>
          <t>Critical Damage %</t>
        </is>
      </c>
      <c r="E558" t="n">
        <v>20</v>
      </c>
      <c r="F558" t="n">
        <v>0.76</v>
      </c>
      <c r="G558" t="b">
        <v>0</v>
      </c>
      <c r="H558">
        <f>Sensitivity!H17</f>
        <v/>
      </c>
    </row>
    <row r="559">
      <c r="A559" t="inlineStr">
        <is>
          <t>gloves</t>
        </is>
      </c>
      <c r="B559" t="inlineStr">
        <is>
          <t>legendary</t>
        </is>
      </c>
      <c r="C559" t="n">
        <v>3</v>
      </c>
      <c r="D559" t="inlineStr">
        <is>
          <t>Critical Damage %</t>
        </is>
      </c>
      <c r="E559" t="n">
        <v>30</v>
      </c>
      <c r="F559" t="n">
        <v>0.08</v>
      </c>
      <c r="G559" t="b">
        <v>1</v>
      </c>
      <c r="H559">
        <f>Sensitivity!H17</f>
        <v/>
      </c>
    </row>
    <row r="560">
      <c r="A560" t="inlineStr">
        <is>
          <t>gloves</t>
        </is>
      </c>
      <c r="B560" t="inlineStr">
        <is>
          <t>legendary</t>
        </is>
      </c>
      <c r="C560" t="n">
        <v>3</v>
      </c>
      <c r="D560" t="inlineStr">
        <is>
          <t>Critical Damage %</t>
        </is>
      </c>
      <c r="E560" t="n">
        <v>20</v>
      </c>
      <c r="F560" t="n">
        <v>0.92</v>
      </c>
      <c r="G560" t="b">
        <v>0</v>
      </c>
      <c r="H560">
        <f>Sensitivity!H17</f>
        <v/>
      </c>
    </row>
    <row r="561">
      <c r="A561" t="inlineStr">
        <is>
          <t>gloves</t>
        </is>
      </c>
      <c r="B561" t="inlineStr">
        <is>
          <t>mystic</t>
        </is>
      </c>
      <c r="C561" t="n">
        <v>1</v>
      </c>
      <c r="D561" t="inlineStr">
        <is>
          <t>Critical Damage %</t>
        </is>
      </c>
      <c r="E561" t="n">
        <v>50</v>
      </c>
      <c r="F561" t="n">
        <v>1</v>
      </c>
      <c r="G561" t="b">
        <v>1</v>
      </c>
      <c r="H561">
        <f>Sensitivity!H17</f>
        <v/>
      </c>
    </row>
    <row r="562">
      <c r="A562" t="inlineStr">
        <is>
          <t>gloves</t>
        </is>
      </c>
      <c r="B562" t="inlineStr">
        <is>
          <t>mystic</t>
        </is>
      </c>
      <c r="C562" t="n">
        <v>2</v>
      </c>
      <c r="D562" t="inlineStr">
        <is>
          <t>Critical Damage %</t>
        </is>
      </c>
      <c r="E562" t="n">
        <v>50</v>
      </c>
      <c r="F562" t="n">
        <v>0.24</v>
      </c>
      <c r="G562" t="b">
        <v>1</v>
      </c>
      <c r="H562">
        <f>Sensitivity!H17</f>
        <v/>
      </c>
    </row>
    <row r="563">
      <c r="A563" t="inlineStr">
        <is>
          <t>gloves</t>
        </is>
      </c>
      <c r="B563" t="inlineStr">
        <is>
          <t>mystic</t>
        </is>
      </c>
      <c r="C563" t="n">
        <v>2</v>
      </c>
      <c r="D563" t="inlineStr">
        <is>
          <t>Critical Damage %</t>
        </is>
      </c>
      <c r="E563" t="n">
        <v>30</v>
      </c>
      <c r="F563" t="n">
        <v>0.76</v>
      </c>
      <c r="G563" t="b">
        <v>0</v>
      </c>
      <c r="H563">
        <f>Sensitivity!H17</f>
        <v/>
      </c>
    </row>
    <row r="564">
      <c r="A564" t="inlineStr">
        <is>
          <t>gloves</t>
        </is>
      </c>
      <c r="B564" t="inlineStr">
        <is>
          <t>mystic</t>
        </is>
      </c>
      <c r="C564" t="n">
        <v>3</v>
      </c>
      <c r="D564" t="inlineStr">
        <is>
          <t>Critical Damage %</t>
        </is>
      </c>
      <c r="E564" t="n">
        <v>50</v>
      </c>
      <c r="F564" t="n">
        <v>0.08</v>
      </c>
      <c r="G564" t="b">
        <v>1</v>
      </c>
      <c r="H564">
        <f>Sensitivity!H17</f>
        <v/>
      </c>
    </row>
    <row r="565">
      <c r="A565" t="inlineStr">
        <is>
          <t>gloves</t>
        </is>
      </c>
      <c r="B565" t="inlineStr">
        <is>
          <t>mystic</t>
        </is>
      </c>
      <c r="C565" t="n">
        <v>3</v>
      </c>
      <c r="D565" t="inlineStr">
        <is>
          <t>Critical Damage %</t>
        </is>
      </c>
      <c r="E565" t="n">
        <v>30</v>
      </c>
      <c r="F565" t="n">
        <v>0.92</v>
      </c>
      <c r="G565" t="b">
        <v>0</v>
      </c>
      <c r="H565">
        <f>Sensitivity!H17</f>
        <v/>
      </c>
    </row>
    <row r="566">
      <c r="A566" t="inlineStr">
        <is>
          <t>boots</t>
        </is>
      </c>
      <c r="B566" t="inlineStr">
        <is>
          <t>epic</t>
        </is>
      </c>
      <c r="C566" t="n">
        <v>1</v>
      </c>
      <c r="D566" t="inlineStr">
        <is>
          <t>Companion Summoning Time Increase %</t>
        </is>
      </c>
      <c r="E566" t="n">
        <v>5</v>
      </c>
      <c r="F566" t="n">
        <v>1</v>
      </c>
      <c r="G566" t="b">
        <v>1</v>
      </c>
      <c r="H566">
        <f>Sensitivity!H17</f>
        <v/>
      </c>
    </row>
    <row r="567">
      <c r="A567" t="inlineStr">
        <is>
          <t>boots</t>
        </is>
      </c>
      <c r="B567" t="inlineStr">
        <is>
          <t>epic</t>
        </is>
      </c>
      <c r="C567" t="n">
        <v>2</v>
      </c>
      <c r="D567" t="inlineStr">
        <is>
          <t>Companion Summoning Time Increase %</t>
        </is>
      </c>
      <c r="E567" t="n">
        <v>5</v>
      </c>
      <c r="F567" t="n">
        <v>0.24</v>
      </c>
      <c r="G567" t="b">
        <v>1</v>
      </c>
      <c r="H567">
        <f>Sensitivity!H17</f>
        <v/>
      </c>
    </row>
    <row r="568">
      <c r="A568" t="inlineStr">
        <is>
          <t>boots</t>
        </is>
      </c>
      <c r="B568" t="inlineStr">
        <is>
          <t>epic</t>
        </is>
      </c>
      <c r="C568" t="n">
        <v>3</v>
      </c>
      <c r="D568" t="inlineStr">
        <is>
          <t>Companion Summoning Time Increase %</t>
        </is>
      </c>
      <c r="E568" t="n">
        <v>5</v>
      </c>
      <c r="F568" t="n">
        <v>0.08</v>
      </c>
      <c r="G568" t="b">
        <v>1</v>
      </c>
      <c r="H568">
        <f>Sensitivity!H17</f>
        <v/>
      </c>
    </row>
    <row r="569">
      <c r="A569" t="inlineStr">
        <is>
          <t>boots</t>
        </is>
      </c>
      <c r="B569" t="inlineStr">
        <is>
          <t>unique</t>
        </is>
      </c>
      <c r="C569" t="n">
        <v>1</v>
      </c>
      <c r="D569" t="inlineStr">
        <is>
          <t>Companion Summoning Time Increase %</t>
        </is>
      </c>
      <c r="E569" t="n">
        <v>8</v>
      </c>
      <c r="F569" t="n">
        <v>1</v>
      </c>
      <c r="G569" t="b">
        <v>1</v>
      </c>
      <c r="H569">
        <f>Sensitivity!H17</f>
        <v/>
      </c>
    </row>
    <row r="570">
      <c r="A570" t="inlineStr">
        <is>
          <t>boots</t>
        </is>
      </c>
      <c r="B570" t="inlineStr">
        <is>
          <t>unique</t>
        </is>
      </c>
      <c r="C570" t="n">
        <v>2</v>
      </c>
      <c r="D570" t="inlineStr">
        <is>
          <t>Companion Summoning Time Increase %</t>
        </is>
      </c>
      <c r="E570" t="n">
        <v>8</v>
      </c>
      <c r="F570" t="n">
        <v>0.24</v>
      </c>
      <c r="G570" t="b">
        <v>1</v>
      </c>
      <c r="H570">
        <f>Sensitivity!H17</f>
        <v/>
      </c>
    </row>
    <row r="571">
      <c r="A571" t="inlineStr">
        <is>
          <t>boots</t>
        </is>
      </c>
      <c r="B571" t="inlineStr">
        <is>
          <t>unique</t>
        </is>
      </c>
      <c r="C571" t="n">
        <v>2</v>
      </c>
      <c r="D571" t="inlineStr">
        <is>
          <t>Companion Summoning Time Increase %</t>
        </is>
      </c>
      <c r="E571" t="n">
        <v>5</v>
      </c>
      <c r="F571" t="n">
        <v>0.76</v>
      </c>
      <c r="G571" t="b">
        <v>0</v>
      </c>
      <c r="H571">
        <f>Sensitivity!H17</f>
        <v/>
      </c>
    </row>
    <row r="572">
      <c r="A572" t="inlineStr">
        <is>
          <t>boots</t>
        </is>
      </c>
      <c r="B572" t="inlineStr">
        <is>
          <t>unique</t>
        </is>
      </c>
      <c r="C572" t="n">
        <v>3</v>
      </c>
      <c r="D572" t="inlineStr">
        <is>
          <t>Companion Summoning Time Increase %</t>
        </is>
      </c>
      <c r="E572" t="n">
        <v>8</v>
      </c>
      <c r="F572" t="n">
        <v>0.08</v>
      </c>
      <c r="G572" t="b">
        <v>1</v>
      </c>
      <c r="H572">
        <f>Sensitivity!H17</f>
        <v/>
      </c>
    </row>
    <row r="573">
      <c r="A573" t="inlineStr">
        <is>
          <t>boots</t>
        </is>
      </c>
      <c r="B573" t="inlineStr">
        <is>
          <t>unique</t>
        </is>
      </c>
      <c r="C573" t="n">
        <v>3</v>
      </c>
      <c r="D573" t="inlineStr">
        <is>
          <t>Companion Summoning Time Increase %</t>
        </is>
      </c>
      <c r="E573" t="n">
        <v>5</v>
      </c>
      <c r="F573" t="n">
        <v>0.92</v>
      </c>
      <c r="G573" t="b">
        <v>0</v>
      </c>
      <c r="H573">
        <f>Sensitivity!H17</f>
        <v/>
      </c>
    </row>
    <row r="574">
      <c r="A574" t="inlineStr">
        <is>
          <t>boots</t>
        </is>
      </c>
      <c r="B574" t="inlineStr">
        <is>
          <t>legendary</t>
        </is>
      </c>
      <c r="C574" t="n">
        <v>1</v>
      </c>
      <c r="D574" t="inlineStr">
        <is>
          <t>Companion Summoning Time Increase %</t>
        </is>
      </c>
      <c r="E574" t="n">
        <v>12</v>
      </c>
      <c r="F574" t="n">
        <v>1</v>
      </c>
      <c r="G574" t="b">
        <v>1</v>
      </c>
      <c r="H574">
        <f>Sensitivity!H17</f>
        <v/>
      </c>
    </row>
    <row r="575">
      <c r="A575" t="inlineStr">
        <is>
          <t>boots</t>
        </is>
      </c>
      <c r="B575" t="inlineStr">
        <is>
          <t>legendary</t>
        </is>
      </c>
      <c r="C575" t="n">
        <v>2</v>
      </c>
      <c r="D575" t="inlineStr">
        <is>
          <t>Companion Summoning Time Increase %</t>
        </is>
      </c>
      <c r="E575" t="n">
        <v>12</v>
      </c>
      <c r="F575" t="n">
        <v>0.24</v>
      </c>
      <c r="G575" t="b">
        <v>1</v>
      </c>
      <c r="H575">
        <f>Sensitivity!H17</f>
        <v/>
      </c>
    </row>
    <row r="576">
      <c r="A576" t="inlineStr">
        <is>
          <t>boots</t>
        </is>
      </c>
      <c r="B576" t="inlineStr">
        <is>
          <t>legendary</t>
        </is>
      </c>
      <c r="C576" t="n">
        <v>2</v>
      </c>
      <c r="D576" t="inlineStr">
        <is>
          <t>Companion Summoning Time Increase %</t>
        </is>
      </c>
      <c r="E576" t="n">
        <v>8</v>
      </c>
      <c r="F576" t="n">
        <v>0.76</v>
      </c>
      <c r="G576" t="b">
        <v>0</v>
      </c>
      <c r="H576">
        <f>Sensitivity!H17</f>
        <v/>
      </c>
    </row>
    <row r="577">
      <c r="A577" t="inlineStr">
        <is>
          <t>boots</t>
        </is>
      </c>
      <c r="B577" t="inlineStr">
        <is>
          <t>legendary</t>
        </is>
      </c>
      <c r="C577" t="n">
        <v>3</v>
      </c>
      <c r="D577" t="inlineStr">
        <is>
          <t>Companion Summoning Time Increase %</t>
        </is>
      </c>
      <c r="E577" t="n">
        <v>12</v>
      </c>
      <c r="F577" t="n">
        <v>0.08</v>
      </c>
      <c r="G577" t="b">
        <v>1</v>
      </c>
      <c r="H577">
        <f>Sensitivity!H17</f>
        <v/>
      </c>
    </row>
    <row r="578">
      <c r="A578" t="inlineStr">
        <is>
          <t>boots</t>
        </is>
      </c>
      <c r="B578" t="inlineStr">
        <is>
          <t>legendary</t>
        </is>
      </c>
      <c r="C578" t="n">
        <v>3</v>
      </c>
      <c r="D578" t="inlineStr">
        <is>
          <t>Companion Summoning Time Increase %</t>
        </is>
      </c>
      <c r="E578" t="n">
        <v>8</v>
      </c>
      <c r="F578" t="n">
        <v>0.92</v>
      </c>
      <c r="G578" t="b">
        <v>0</v>
      </c>
      <c r="H578">
        <f>Sensitivity!H17</f>
        <v/>
      </c>
    </row>
    <row r="579">
      <c r="A579" t="inlineStr">
        <is>
          <t>boots</t>
        </is>
      </c>
      <c r="B579" t="inlineStr">
        <is>
          <t>mystic</t>
        </is>
      </c>
      <c r="C579" t="n">
        <v>1</v>
      </c>
      <c r="D579" t="inlineStr">
        <is>
          <t>Companion Summoning Time Increase %</t>
        </is>
      </c>
      <c r="E579" t="n">
        <v>20</v>
      </c>
      <c r="F579" t="n">
        <v>1</v>
      </c>
      <c r="G579" t="b">
        <v>1</v>
      </c>
      <c r="H579">
        <f>Sensitivity!H17</f>
        <v/>
      </c>
    </row>
    <row r="580">
      <c r="A580" t="inlineStr">
        <is>
          <t>boots</t>
        </is>
      </c>
      <c r="B580" t="inlineStr">
        <is>
          <t>mystic</t>
        </is>
      </c>
      <c r="C580" t="n">
        <v>2</v>
      </c>
      <c r="D580" t="inlineStr">
        <is>
          <t>Companion Summoning Time Increase %</t>
        </is>
      </c>
      <c r="E580" t="n">
        <v>20</v>
      </c>
      <c r="F580" t="n">
        <v>0.24</v>
      </c>
      <c r="G580" t="b">
        <v>1</v>
      </c>
      <c r="H580">
        <f>Sensitivity!H17</f>
        <v/>
      </c>
    </row>
    <row r="581">
      <c r="A581" t="inlineStr">
        <is>
          <t>boots</t>
        </is>
      </c>
      <c r="B581" t="inlineStr">
        <is>
          <t>mystic</t>
        </is>
      </c>
      <c r="C581" t="n">
        <v>2</v>
      </c>
      <c r="D581" t="inlineStr">
        <is>
          <t>Companion Summoning Time Increase %</t>
        </is>
      </c>
      <c r="E581" t="n">
        <v>12</v>
      </c>
      <c r="F581" t="n">
        <v>0.76</v>
      </c>
      <c r="G581" t="b">
        <v>0</v>
      </c>
      <c r="H581">
        <f>Sensitivity!H17</f>
        <v/>
      </c>
    </row>
    <row r="582">
      <c r="A582" t="inlineStr">
        <is>
          <t>boots</t>
        </is>
      </c>
      <c r="B582" t="inlineStr">
        <is>
          <t>mystic</t>
        </is>
      </c>
      <c r="C582" t="n">
        <v>3</v>
      </c>
      <c r="D582" t="inlineStr">
        <is>
          <t>Companion Summoning Time Increase %</t>
        </is>
      </c>
      <c r="E582" t="n">
        <v>20</v>
      </c>
      <c r="F582" t="n">
        <v>0.08</v>
      </c>
      <c r="G582" t="b">
        <v>1</v>
      </c>
      <c r="H582">
        <f>Sensitivity!H17</f>
        <v/>
      </c>
    </row>
    <row r="583">
      <c r="A583" t="inlineStr">
        <is>
          <t>boots</t>
        </is>
      </c>
      <c r="B583" t="inlineStr">
        <is>
          <t>mystic</t>
        </is>
      </c>
      <c r="C583" t="n">
        <v>3</v>
      </c>
      <c r="D583" t="inlineStr">
        <is>
          <t>Companion Summoning Time Increase %</t>
        </is>
      </c>
      <c r="E583" t="n">
        <v>12</v>
      </c>
      <c r="F583" t="n">
        <v>0.92</v>
      </c>
      <c r="G583" t="b">
        <v>0</v>
      </c>
      <c r="H583">
        <f>Sensitivity!H17</f>
        <v/>
      </c>
    </row>
    <row r="584">
      <c r="A584" t="inlineStr">
        <is>
          <t>ring</t>
        </is>
      </c>
      <c r="B584" t="inlineStr">
        <is>
          <t>epic</t>
        </is>
      </c>
      <c r="C584" t="n">
        <v>1</v>
      </c>
      <c r="D584" t="inlineStr">
        <is>
          <t>All Skill Level</t>
        </is>
      </c>
      <c r="E584" t="n">
        <v>5</v>
      </c>
      <c r="F584" t="n">
        <v>1</v>
      </c>
      <c r="G584" t="b">
        <v>1</v>
      </c>
      <c r="H584">
        <f>Sensitivity!H26</f>
        <v/>
      </c>
    </row>
    <row r="585">
      <c r="A585" t="inlineStr">
        <is>
          <t>ring</t>
        </is>
      </c>
      <c r="B585" t="inlineStr">
        <is>
          <t>epic</t>
        </is>
      </c>
      <c r="C585" t="n">
        <v>2</v>
      </c>
      <c r="D585" t="inlineStr">
        <is>
          <t>All Skill Level</t>
        </is>
      </c>
      <c r="E585" t="n">
        <v>5</v>
      </c>
      <c r="F585" t="n">
        <v>0.24</v>
      </c>
      <c r="G585" t="b">
        <v>1</v>
      </c>
      <c r="H585">
        <f>Sensitivity!H26</f>
        <v/>
      </c>
    </row>
    <row r="586">
      <c r="A586" t="inlineStr">
        <is>
          <t>ring</t>
        </is>
      </c>
      <c r="B586" t="inlineStr">
        <is>
          <t>epic</t>
        </is>
      </c>
      <c r="C586" t="n">
        <v>3</v>
      </c>
      <c r="D586" t="inlineStr">
        <is>
          <t>All Skill Level</t>
        </is>
      </c>
      <c r="E586" t="n">
        <v>5</v>
      </c>
      <c r="F586" t="n">
        <v>0.08</v>
      </c>
      <c r="G586" t="b">
        <v>1</v>
      </c>
      <c r="H586">
        <f>Sensitivity!H26</f>
        <v/>
      </c>
    </row>
    <row r="587">
      <c r="A587" t="inlineStr">
        <is>
          <t>ring</t>
        </is>
      </c>
      <c r="B587" t="inlineStr">
        <is>
          <t>unique</t>
        </is>
      </c>
      <c r="C587" t="n">
        <v>1</v>
      </c>
      <c r="D587" t="inlineStr">
        <is>
          <t>All Skill Level</t>
        </is>
      </c>
      <c r="E587" t="n">
        <v>8</v>
      </c>
      <c r="F587" t="n">
        <v>1</v>
      </c>
      <c r="G587" t="b">
        <v>1</v>
      </c>
      <c r="H587">
        <f>Sensitivity!H26</f>
        <v/>
      </c>
    </row>
    <row r="588">
      <c r="A588" t="inlineStr">
        <is>
          <t>ring</t>
        </is>
      </c>
      <c r="B588" t="inlineStr">
        <is>
          <t>unique</t>
        </is>
      </c>
      <c r="C588" t="n">
        <v>2</v>
      </c>
      <c r="D588" t="inlineStr">
        <is>
          <t>All Skill Level</t>
        </is>
      </c>
      <c r="E588" t="n">
        <v>8</v>
      </c>
      <c r="F588" t="n">
        <v>0.24</v>
      </c>
      <c r="G588" t="b">
        <v>1</v>
      </c>
      <c r="H588">
        <f>Sensitivity!H26</f>
        <v/>
      </c>
    </row>
    <row r="589">
      <c r="A589" t="inlineStr">
        <is>
          <t>ring</t>
        </is>
      </c>
      <c r="B589" t="inlineStr">
        <is>
          <t>unique</t>
        </is>
      </c>
      <c r="C589" t="n">
        <v>2</v>
      </c>
      <c r="D589" t="inlineStr">
        <is>
          <t>All Skill Level</t>
        </is>
      </c>
      <c r="E589" t="n">
        <v>5</v>
      </c>
      <c r="F589" t="n">
        <v>0.76</v>
      </c>
      <c r="G589" t="b">
        <v>0</v>
      </c>
      <c r="H589">
        <f>Sensitivity!H26</f>
        <v/>
      </c>
    </row>
    <row r="590">
      <c r="A590" t="inlineStr">
        <is>
          <t>ring</t>
        </is>
      </c>
      <c r="B590" t="inlineStr">
        <is>
          <t>unique</t>
        </is>
      </c>
      <c r="C590" t="n">
        <v>3</v>
      </c>
      <c r="D590" t="inlineStr">
        <is>
          <t>All Skill Level</t>
        </is>
      </c>
      <c r="E590" t="n">
        <v>8</v>
      </c>
      <c r="F590" t="n">
        <v>0.08</v>
      </c>
      <c r="G590" t="b">
        <v>1</v>
      </c>
      <c r="H590">
        <f>Sensitivity!H26</f>
        <v/>
      </c>
    </row>
    <row r="591">
      <c r="A591" t="inlineStr">
        <is>
          <t>ring</t>
        </is>
      </c>
      <c r="B591" t="inlineStr">
        <is>
          <t>unique</t>
        </is>
      </c>
      <c r="C591" t="n">
        <v>3</v>
      </c>
      <c r="D591" t="inlineStr">
        <is>
          <t>All Skill Level</t>
        </is>
      </c>
      <c r="E591" t="n">
        <v>5</v>
      </c>
      <c r="F591" t="n">
        <v>0.92</v>
      </c>
      <c r="G591" t="b">
        <v>0</v>
      </c>
      <c r="H591">
        <f>Sensitivity!H26</f>
        <v/>
      </c>
    </row>
    <row r="592">
      <c r="A592" t="inlineStr">
        <is>
          <t>ring</t>
        </is>
      </c>
      <c r="B592" t="inlineStr">
        <is>
          <t>legendary</t>
        </is>
      </c>
      <c r="C592" t="n">
        <v>1</v>
      </c>
      <c r="D592" t="inlineStr">
        <is>
          <t>All Skill Level</t>
        </is>
      </c>
      <c r="E592" t="n">
        <v>12</v>
      </c>
      <c r="F592" t="n">
        <v>1</v>
      </c>
      <c r="G592" t="b">
        <v>1</v>
      </c>
      <c r="H592">
        <f>Sensitivity!H26</f>
        <v/>
      </c>
    </row>
    <row r="593">
      <c r="A593" t="inlineStr">
        <is>
          <t>ring</t>
        </is>
      </c>
      <c r="B593" t="inlineStr">
        <is>
          <t>legendary</t>
        </is>
      </c>
      <c r="C593" t="n">
        <v>2</v>
      </c>
      <c r="D593" t="inlineStr">
        <is>
          <t>All Skill Level</t>
        </is>
      </c>
      <c r="E593" t="n">
        <v>12</v>
      </c>
      <c r="F593" t="n">
        <v>0.24</v>
      </c>
      <c r="G593" t="b">
        <v>1</v>
      </c>
      <c r="H593">
        <f>Sensitivity!H26</f>
        <v/>
      </c>
    </row>
    <row r="594">
      <c r="A594" t="inlineStr">
        <is>
          <t>ring</t>
        </is>
      </c>
      <c r="B594" t="inlineStr">
        <is>
          <t>legendary</t>
        </is>
      </c>
      <c r="C594" t="n">
        <v>2</v>
      </c>
      <c r="D594" t="inlineStr">
        <is>
          <t>All Skill Level</t>
        </is>
      </c>
      <c r="E594" t="n">
        <v>8</v>
      </c>
      <c r="F594" t="n">
        <v>0.76</v>
      </c>
      <c r="G594" t="b">
        <v>0</v>
      </c>
      <c r="H594">
        <f>Sensitivity!H26</f>
        <v/>
      </c>
    </row>
    <row r="595">
      <c r="A595" t="inlineStr">
        <is>
          <t>ring</t>
        </is>
      </c>
      <c r="B595" t="inlineStr">
        <is>
          <t>legendary</t>
        </is>
      </c>
      <c r="C595" t="n">
        <v>3</v>
      </c>
      <c r="D595" t="inlineStr">
        <is>
          <t>All Skill Level</t>
        </is>
      </c>
      <c r="E595" t="n">
        <v>12</v>
      </c>
      <c r="F595" t="n">
        <v>0.08</v>
      </c>
      <c r="G595" t="b">
        <v>1</v>
      </c>
      <c r="H595">
        <f>Sensitivity!H26</f>
        <v/>
      </c>
    </row>
    <row r="596">
      <c r="A596" t="inlineStr">
        <is>
          <t>ring</t>
        </is>
      </c>
      <c r="B596" t="inlineStr">
        <is>
          <t>legendary</t>
        </is>
      </c>
      <c r="C596" t="n">
        <v>3</v>
      </c>
      <c r="D596" t="inlineStr">
        <is>
          <t>All Skill Level</t>
        </is>
      </c>
      <c r="E596" t="n">
        <v>8</v>
      </c>
      <c r="F596" t="n">
        <v>0.92</v>
      </c>
      <c r="G596" t="b">
        <v>0</v>
      </c>
      <c r="H596">
        <f>Sensitivity!H26</f>
        <v/>
      </c>
    </row>
    <row r="597">
      <c r="A597" t="inlineStr">
        <is>
          <t>ring</t>
        </is>
      </c>
      <c r="B597" t="inlineStr">
        <is>
          <t>mystic</t>
        </is>
      </c>
      <c r="C597" t="n">
        <v>1</v>
      </c>
      <c r="D597" t="inlineStr">
        <is>
          <t>All Skill Level</t>
        </is>
      </c>
      <c r="E597" t="n">
        <v>16</v>
      </c>
      <c r="F597" t="n">
        <v>1</v>
      </c>
      <c r="G597" t="b">
        <v>1</v>
      </c>
      <c r="H597">
        <f>Sensitivity!H26</f>
        <v/>
      </c>
    </row>
    <row r="598">
      <c r="A598" t="inlineStr">
        <is>
          <t>ring</t>
        </is>
      </c>
      <c r="B598" t="inlineStr">
        <is>
          <t>mystic</t>
        </is>
      </c>
      <c r="C598" t="n">
        <v>2</v>
      </c>
      <c r="D598" t="inlineStr">
        <is>
          <t>All Skill Level</t>
        </is>
      </c>
      <c r="E598" t="n">
        <v>16</v>
      </c>
      <c r="F598" t="n">
        <v>0.24</v>
      </c>
      <c r="G598" t="b">
        <v>1</v>
      </c>
      <c r="H598">
        <f>Sensitivity!H26</f>
        <v/>
      </c>
    </row>
    <row r="599">
      <c r="A599" t="inlineStr">
        <is>
          <t>ring</t>
        </is>
      </c>
      <c r="B599" t="inlineStr">
        <is>
          <t>mystic</t>
        </is>
      </c>
      <c r="C599" t="n">
        <v>2</v>
      </c>
      <c r="D599" t="inlineStr">
        <is>
          <t>All Skill Level</t>
        </is>
      </c>
      <c r="E599" t="n">
        <v>12</v>
      </c>
      <c r="F599" t="n">
        <v>0.76</v>
      </c>
      <c r="G599" t="b">
        <v>0</v>
      </c>
      <c r="H599">
        <f>Sensitivity!H26</f>
        <v/>
      </c>
    </row>
    <row r="600">
      <c r="A600" t="inlineStr">
        <is>
          <t>ring</t>
        </is>
      </c>
      <c r="B600" t="inlineStr">
        <is>
          <t>mystic</t>
        </is>
      </c>
      <c r="C600" t="n">
        <v>3</v>
      </c>
      <c r="D600" t="inlineStr">
        <is>
          <t>All Skill Level</t>
        </is>
      </c>
      <c r="E600" t="n">
        <v>16</v>
      </c>
      <c r="F600" t="n">
        <v>0.08</v>
      </c>
      <c r="G600" t="b">
        <v>1</v>
      </c>
      <c r="H600">
        <f>Sensitivity!H26</f>
        <v/>
      </c>
    </row>
    <row r="601">
      <c r="A601" t="inlineStr">
        <is>
          <t>ring</t>
        </is>
      </c>
      <c r="B601" t="inlineStr">
        <is>
          <t>mystic</t>
        </is>
      </c>
      <c r="C601" t="n">
        <v>3</v>
      </c>
      <c r="D601" t="inlineStr">
        <is>
          <t>All Skill Level</t>
        </is>
      </c>
      <c r="E601" t="n">
        <v>12</v>
      </c>
      <c r="F601" t="n">
        <v>0.92</v>
      </c>
      <c r="G601" t="b">
        <v>0</v>
      </c>
      <c r="H601">
        <f>Sensitivity!H26</f>
        <v/>
      </c>
    </row>
    <row r="602">
      <c r="A602" t="inlineStr">
        <is>
          <t>neck</t>
        </is>
      </c>
      <c r="B602" t="inlineStr">
        <is>
          <t>epic</t>
        </is>
      </c>
      <c r="C602" t="n">
        <v>1</v>
      </c>
      <c r="D602" t="inlineStr">
        <is>
          <t>All Skill Level</t>
        </is>
      </c>
      <c r="E602" t="n">
        <v>5</v>
      </c>
      <c r="F602" t="n">
        <v>1</v>
      </c>
      <c r="G602" t="b">
        <v>1</v>
      </c>
      <c r="H602">
        <f>Sensitivity!H26</f>
        <v/>
      </c>
    </row>
    <row r="603">
      <c r="A603" t="inlineStr">
        <is>
          <t>neck</t>
        </is>
      </c>
      <c r="B603" t="inlineStr">
        <is>
          <t>epic</t>
        </is>
      </c>
      <c r="C603" t="n">
        <v>2</v>
      </c>
      <c r="D603" t="inlineStr">
        <is>
          <t>All Skill Level</t>
        </is>
      </c>
      <c r="E603" t="n">
        <v>5</v>
      </c>
      <c r="F603" t="n">
        <v>0.24</v>
      </c>
      <c r="G603" t="b">
        <v>1</v>
      </c>
      <c r="H603">
        <f>Sensitivity!H26</f>
        <v/>
      </c>
    </row>
    <row r="604">
      <c r="A604" t="inlineStr">
        <is>
          <t>neck</t>
        </is>
      </c>
      <c r="B604" t="inlineStr">
        <is>
          <t>epic</t>
        </is>
      </c>
      <c r="C604" t="n">
        <v>3</v>
      </c>
      <c r="D604" t="inlineStr">
        <is>
          <t>All Skill Level</t>
        </is>
      </c>
      <c r="E604" t="n">
        <v>5</v>
      </c>
      <c r="F604" t="n">
        <v>0.08</v>
      </c>
      <c r="G604" t="b">
        <v>1</v>
      </c>
      <c r="H604">
        <f>Sensitivity!H26</f>
        <v/>
      </c>
    </row>
    <row r="605">
      <c r="A605" t="inlineStr">
        <is>
          <t>neck</t>
        </is>
      </c>
      <c r="B605" t="inlineStr">
        <is>
          <t>unique</t>
        </is>
      </c>
      <c r="C605" t="n">
        <v>1</v>
      </c>
      <c r="D605" t="inlineStr">
        <is>
          <t>All Skill Level</t>
        </is>
      </c>
      <c r="E605" t="n">
        <v>8</v>
      </c>
      <c r="F605" t="n">
        <v>1</v>
      </c>
      <c r="G605" t="b">
        <v>1</v>
      </c>
      <c r="H605">
        <f>Sensitivity!H26</f>
        <v/>
      </c>
    </row>
    <row r="606">
      <c r="A606" t="inlineStr">
        <is>
          <t>neck</t>
        </is>
      </c>
      <c r="B606" t="inlineStr">
        <is>
          <t>unique</t>
        </is>
      </c>
      <c r="C606" t="n">
        <v>2</v>
      </c>
      <c r="D606" t="inlineStr">
        <is>
          <t>All Skill Level</t>
        </is>
      </c>
      <c r="E606" t="n">
        <v>8</v>
      </c>
      <c r="F606" t="n">
        <v>0.24</v>
      </c>
      <c r="G606" t="b">
        <v>1</v>
      </c>
      <c r="H606">
        <f>Sensitivity!H26</f>
        <v/>
      </c>
    </row>
    <row r="607">
      <c r="A607" t="inlineStr">
        <is>
          <t>neck</t>
        </is>
      </c>
      <c r="B607" t="inlineStr">
        <is>
          <t>unique</t>
        </is>
      </c>
      <c r="C607" t="n">
        <v>2</v>
      </c>
      <c r="D607" t="inlineStr">
        <is>
          <t>All Skill Level</t>
        </is>
      </c>
      <c r="E607" t="n">
        <v>5</v>
      </c>
      <c r="F607" t="n">
        <v>0.76</v>
      </c>
      <c r="G607" t="b">
        <v>0</v>
      </c>
      <c r="H607">
        <f>Sensitivity!H26</f>
        <v/>
      </c>
    </row>
    <row r="608">
      <c r="A608" t="inlineStr">
        <is>
          <t>neck</t>
        </is>
      </c>
      <c r="B608" t="inlineStr">
        <is>
          <t>unique</t>
        </is>
      </c>
      <c r="C608" t="n">
        <v>3</v>
      </c>
      <c r="D608" t="inlineStr">
        <is>
          <t>All Skill Level</t>
        </is>
      </c>
      <c r="E608" t="n">
        <v>8</v>
      </c>
      <c r="F608" t="n">
        <v>0.08</v>
      </c>
      <c r="G608" t="b">
        <v>1</v>
      </c>
      <c r="H608">
        <f>Sensitivity!H26</f>
        <v/>
      </c>
    </row>
    <row r="609">
      <c r="A609" t="inlineStr">
        <is>
          <t>neck</t>
        </is>
      </c>
      <c r="B609" t="inlineStr">
        <is>
          <t>unique</t>
        </is>
      </c>
      <c r="C609" t="n">
        <v>3</v>
      </c>
      <c r="D609" t="inlineStr">
        <is>
          <t>All Skill Level</t>
        </is>
      </c>
      <c r="E609" t="n">
        <v>5</v>
      </c>
      <c r="F609" t="n">
        <v>0.92</v>
      </c>
      <c r="G609" t="b">
        <v>0</v>
      </c>
      <c r="H609">
        <f>Sensitivity!H26</f>
        <v/>
      </c>
    </row>
    <row r="610">
      <c r="A610" t="inlineStr">
        <is>
          <t>neck</t>
        </is>
      </c>
      <c r="B610" t="inlineStr">
        <is>
          <t>legendary</t>
        </is>
      </c>
      <c r="C610" t="n">
        <v>1</v>
      </c>
      <c r="D610" t="inlineStr">
        <is>
          <t>All Skill Level</t>
        </is>
      </c>
      <c r="E610" t="n">
        <v>12</v>
      </c>
      <c r="F610" t="n">
        <v>1</v>
      </c>
      <c r="G610" t="b">
        <v>1</v>
      </c>
      <c r="H610">
        <f>Sensitivity!H26</f>
        <v/>
      </c>
    </row>
    <row r="611">
      <c r="A611" t="inlineStr">
        <is>
          <t>neck</t>
        </is>
      </c>
      <c r="B611" t="inlineStr">
        <is>
          <t>legendary</t>
        </is>
      </c>
      <c r="C611" t="n">
        <v>2</v>
      </c>
      <c r="D611" t="inlineStr">
        <is>
          <t>All Skill Level</t>
        </is>
      </c>
      <c r="E611" t="n">
        <v>12</v>
      </c>
      <c r="F611" t="n">
        <v>0.24</v>
      </c>
      <c r="G611" t="b">
        <v>1</v>
      </c>
      <c r="H611">
        <f>Sensitivity!H26</f>
        <v/>
      </c>
    </row>
    <row r="612">
      <c r="A612" t="inlineStr">
        <is>
          <t>neck</t>
        </is>
      </c>
      <c r="B612" t="inlineStr">
        <is>
          <t>legendary</t>
        </is>
      </c>
      <c r="C612" t="n">
        <v>2</v>
      </c>
      <c r="D612" t="inlineStr">
        <is>
          <t>All Skill Level</t>
        </is>
      </c>
      <c r="E612" t="n">
        <v>8</v>
      </c>
      <c r="F612" t="n">
        <v>0.76</v>
      </c>
      <c r="G612" t="b">
        <v>0</v>
      </c>
      <c r="H612">
        <f>Sensitivity!H26</f>
        <v/>
      </c>
    </row>
    <row r="613">
      <c r="A613" t="inlineStr">
        <is>
          <t>neck</t>
        </is>
      </c>
      <c r="B613" t="inlineStr">
        <is>
          <t>legendary</t>
        </is>
      </c>
      <c r="C613" t="n">
        <v>3</v>
      </c>
      <c r="D613" t="inlineStr">
        <is>
          <t>All Skill Level</t>
        </is>
      </c>
      <c r="E613" t="n">
        <v>12</v>
      </c>
      <c r="F613" t="n">
        <v>0.08</v>
      </c>
      <c r="G613" t="b">
        <v>1</v>
      </c>
      <c r="H613">
        <f>Sensitivity!H26</f>
        <v/>
      </c>
    </row>
    <row r="614">
      <c r="A614" t="inlineStr">
        <is>
          <t>neck</t>
        </is>
      </c>
      <c r="B614" t="inlineStr">
        <is>
          <t>legendary</t>
        </is>
      </c>
      <c r="C614" t="n">
        <v>3</v>
      </c>
      <c r="D614" t="inlineStr">
        <is>
          <t>All Skill Level</t>
        </is>
      </c>
      <c r="E614" t="n">
        <v>8</v>
      </c>
      <c r="F614" t="n">
        <v>0.92</v>
      </c>
      <c r="G614" t="b">
        <v>0</v>
      </c>
      <c r="H614">
        <f>Sensitivity!H26</f>
        <v/>
      </c>
    </row>
    <row r="615">
      <c r="A615" t="inlineStr">
        <is>
          <t>neck</t>
        </is>
      </c>
      <c r="B615" t="inlineStr">
        <is>
          <t>mystic</t>
        </is>
      </c>
      <c r="C615" t="n">
        <v>1</v>
      </c>
      <c r="D615" t="inlineStr">
        <is>
          <t>All Skill Level</t>
        </is>
      </c>
      <c r="E615" t="n">
        <v>16</v>
      </c>
      <c r="F615" t="n">
        <v>1</v>
      </c>
      <c r="G615" t="b">
        <v>1</v>
      </c>
      <c r="H615">
        <f>Sensitivity!H26</f>
        <v/>
      </c>
    </row>
    <row r="616">
      <c r="A616" t="inlineStr">
        <is>
          <t>neck</t>
        </is>
      </c>
      <c r="B616" t="inlineStr">
        <is>
          <t>mystic</t>
        </is>
      </c>
      <c r="C616" t="n">
        <v>2</v>
      </c>
      <c r="D616" t="inlineStr">
        <is>
          <t>All Skill Level</t>
        </is>
      </c>
      <c r="E616" t="n">
        <v>16</v>
      </c>
      <c r="F616" t="n">
        <v>0.24</v>
      </c>
      <c r="G616" t="b">
        <v>1</v>
      </c>
      <c r="H616">
        <f>Sensitivity!H26</f>
        <v/>
      </c>
    </row>
    <row r="617">
      <c r="A617" t="inlineStr">
        <is>
          <t>neck</t>
        </is>
      </c>
      <c r="B617" t="inlineStr">
        <is>
          <t>mystic</t>
        </is>
      </c>
      <c r="C617" t="n">
        <v>2</v>
      </c>
      <c r="D617" t="inlineStr">
        <is>
          <t>All Skill Level</t>
        </is>
      </c>
      <c r="E617" t="n">
        <v>12</v>
      </c>
      <c r="F617" t="n">
        <v>0.76</v>
      </c>
      <c r="G617" t="b">
        <v>0</v>
      </c>
      <c r="H617">
        <f>Sensitivity!H26</f>
        <v/>
      </c>
    </row>
    <row r="618">
      <c r="A618" t="inlineStr">
        <is>
          <t>neck</t>
        </is>
      </c>
      <c r="B618" t="inlineStr">
        <is>
          <t>mystic</t>
        </is>
      </c>
      <c r="C618" t="n">
        <v>3</v>
      </c>
      <c r="D618" t="inlineStr">
        <is>
          <t>All Skill Level</t>
        </is>
      </c>
      <c r="E618" t="n">
        <v>16</v>
      </c>
      <c r="F618" t="n">
        <v>0.08</v>
      </c>
      <c r="G618" t="b">
        <v>1</v>
      </c>
      <c r="H618">
        <f>Sensitivity!H26</f>
        <v/>
      </c>
    </row>
    <row r="619">
      <c r="A619" t="inlineStr">
        <is>
          <t>neck</t>
        </is>
      </c>
      <c r="B619" t="inlineStr">
        <is>
          <t>mystic</t>
        </is>
      </c>
      <c r="C619" t="n">
        <v>3</v>
      </c>
      <c r="D619" t="inlineStr">
        <is>
          <t>All Skill Level</t>
        </is>
      </c>
      <c r="E619" t="n">
        <v>12</v>
      </c>
      <c r="F619" t="n">
        <v>0.92</v>
      </c>
      <c r="G619" t="b">
        <v>0</v>
      </c>
      <c r="H619">
        <f>Sensitivity!H26</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Sensitivity!H20</f>
        <v/>
      </c>
    </row>
    <row r="639">
      <c r="A639" t="inlineStr">
        <is>
          <t>ring2</t>
        </is>
      </c>
      <c r="B639" t="inlineStr">
        <is>
          <t>epic</t>
        </is>
      </c>
      <c r="C639" t="n">
        <v>2</v>
      </c>
      <c r="D639" t="inlineStr">
        <is>
          <t>Basic Attack Damage %</t>
        </is>
      </c>
      <c r="E639" t="n">
        <v>8</v>
      </c>
      <c r="F639" t="n">
        <v>0.24</v>
      </c>
      <c r="G639" t="b">
        <v>1</v>
      </c>
      <c r="H639">
        <f>Sensitivity!H20</f>
        <v/>
      </c>
    </row>
    <row r="640">
      <c r="A640" t="inlineStr">
        <is>
          <t>ring2</t>
        </is>
      </c>
      <c r="B640" t="inlineStr">
        <is>
          <t>epic</t>
        </is>
      </c>
      <c r="C640" t="n">
        <v>3</v>
      </c>
      <c r="D640" t="inlineStr">
        <is>
          <t>Basic Attack Damage %</t>
        </is>
      </c>
      <c r="E640" t="n">
        <v>8</v>
      </c>
      <c r="F640" t="n">
        <v>0.08</v>
      </c>
      <c r="G640" t="b">
        <v>1</v>
      </c>
      <c r="H640">
        <f>Sensitivity!H20</f>
        <v/>
      </c>
    </row>
    <row r="641">
      <c r="A641" t="inlineStr">
        <is>
          <t>ring2</t>
        </is>
      </c>
      <c r="B641" t="inlineStr">
        <is>
          <t>unique</t>
        </is>
      </c>
      <c r="C641" t="n">
        <v>1</v>
      </c>
      <c r="D641" t="inlineStr">
        <is>
          <t>Basic Attack Damage %</t>
        </is>
      </c>
      <c r="E641" t="n">
        <v>14</v>
      </c>
      <c r="F641" t="n">
        <v>1</v>
      </c>
      <c r="G641" t="b">
        <v>1</v>
      </c>
      <c r="H641">
        <f>Sensitivity!H20</f>
        <v/>
      </c>
    </row>
    <row r="642">
      <c r="A642" t="inlineStr">
        <is>
          <t>ring2</t>
        </is>
      </c>
      <c r="B642" t="inlineStr">
        <is>
          <t>unique</t>
        </is>
      </c>
      <c r="C642" t="n">
        <v>2</v>
      </c>
      <c r="D642" t="inlineStr">
        <is>
          <t>Basic Attack Damage %</t>
        </is>
      </c>
      <c r="E642" t="n">
        <v>14</v>
      </c>
      <c r="F642" t="n">
        <v>0.24</v>
      </c>
      <c r="G642" t="b">
        <v>1</v>
      </c>
      <c r="H642">
        <f>Sensitivity!H20</f>
        <v/>
      </c>
    </row>
    <row r="643">
      <c r="A643" t="inlineStr">
        <is>
          <t>ring2</t>
        </is>
      </c>
      <c r="B643" t="inlineStr">
        <is>
          <t>unique</t>
        </is>
      </c>
      <c r="C643" t="n">
        <v>2</v>
      </c>
      <c r="D643" t="inlineStr">
        <is>
          <t>Basic Attack Damage %</t>
        </is>
      </c>
      <c r="E643" t="n">
        <v>8</v>
      </c>
      <c r="F643" t="n">
        <v>0.76</v>
      </c>
      <c r="G643" t="b">
        <v>0</v>
      </c>
      <c r="H643">
        <f>Sensitivity!H20</f>
        <v/>
      </c>
    </row>
    <row r="644">
      <c r="A644" t="inlineStr">
        <is>
          <t>ring2</t>
        </is>
      </c>
      <c r="B644" t="inlineStr">
        <is>
          <t>unique</t>
        </is>
      </c>
      <c r="C644" t="n">
        <v>3</v>
      </c>
      <c r="D644" t="inlineStr">
        <is>
          <t>Basic Attack Damage %</t>
        </is>
      </c>
      <c r="E644" t="n">
        <v>14</v>
      </c>
      <c r="F644" t="n">
        <v>0.08</v>
      </c>
      <c r="G644" t="b">
        <v>1</v>
      </c>
      <c r="H644">
        <f>Sensitivity!H20</f>
        <v/>
      </c>
    </row>
    <row r="645">
      <c r="A645" t="inlineStr">
        <is>
          <t>ring2</t>
        </is>
      </c>
      <c r="B645" t="inlineStr">
        <is>
          <t>unique</t>
        </is>
      </c>
      <c r="C645" t="n">
        <v>3</v>
      </c>
      <c r="D645" t="inlineStr">
        <is>
          <t>Basic Attack Damage %</t>
        </is>
      </c>
      <c r="E645" t="n">
        <v>8</v>
      </c>
      <c r="F645" t="n">
        <v>0.92</v>
      </c>
      <c r="G645" t="b">
        <v>0</v>
      </c>
      <c r="H645">
        <f>Sensitivity!H20</f>
        <v/>
      </c>
    </row>
    <row r="646">
      <c r="A646" t="inlineStr">
        <is>
          <t>ring2</t>
        </is>
      </c>
      <c r="B646" t="inlineStr">
        <is>
          <t>legendary</t>
        </is>
      </c>
      <c r="C646" t="n">
        <v>1</v>
      </c>
      <c r="D646" t="inlineStr">
        <is>
          <t>Basic Attack Damage %</t>
        </is>
      </c>
      <c r="E646" t="n">
        <v>21</v>
      </c>
      <c r="F646" t="n">
        <v>1</v>
      </c>
      <c r="G646" t="b">
        <v>1</v>
      </c>
      <c r="H646">
        <f>Sensitivity!H20</f>
        <v/>
      </c>
    </row>
    <row r="647">
      <c r="A647" t="inlineStr">
        <is>
          <t>ring2</t>
        </is>
      </c>
      <c r="B647" t="inlineStr">
        <is>
          <t>legendary</t>
        </is>
      </c>
      <c r="C647" t="n">
        <v>2</v>
      </c>
      <c r="D647" t="inlineStr">
        <is>
          <t>Basic Attack Damage %</t>
        </is>
      </c>
      <c r="E647" t="n">
        <v>21</v>
      </c>
      <c r="F647" t="n">
        <v>0.24</v>
      </c>
      <c r="G647" t="b">
        <v>1</v>
      </c>
      <c r="H647">
        <f>Sensitivity!H20</f>
        <v/>
      </c>
    </row>
    <row r="648">
      <c r="A648" t="inlineStr">
        <is>
          <t>ring2</t>
        </is>
      </c>
      <c r="B648" t="inlineStr">
        <is>
          <t>legendary</t>
        </is>
      </c>
      <c r="C648" t="n">
        <v>2</v>
      </c>
      <c r="D648" t="inlineStr">
        <is>
          <t>Basic Attack Damage %</t>
        </is>
      </c>
      <c r="E648" t="n">
        <v>14</v>
      </c>
      <c r="F648" t="n">
        <v>0.76</v>
      </c>
      <c r="G648" t="b">
        <v>0</v>
      </c>
      <c r="H648">
        <f>Sensitivity!H20</f>
        <v/>
      </c>
    </row>
    <row r="649">
      <c r="A649" t="inlineStr">
        <is>
          <t>ring2</t>
        </is>
      </c>
      <c r="B649" t="inlineStr">
        <is>
          <t>legendary</t>
        </is>
      </c>
      <c r="C649" t="n">
        <v>3</v>
      </c>
      <c r="D649" t="inlineStr">
        <is>
          <t>Basic Attack Damage %</t>
        </is>
      </c>
      <c r="E649" t="n">
        <v>21</v>
      </c>
      <c r="F649" t="n">
        <v>0.08</v>
      </c>
      <c r="G649" t="b">
        <v>1</v>
      </c>
      <c r="H649">
        <f>Sensitivity!H20</f>
        <v/>
      </c>
    </row>
    <row r="650">
      <c r="A650" t="inlineStr">
        <is>
          <t>ring2</t>
        </is>
      </c>
      <c r="B650" t="inlineStr">
        <is>
          <t>legendary</t>
        </is>
      </c>
      <c r="C650" t="n">
        <v>3</v>
      </c>
      <c r="D650" t="inlineStr">
        <is>
          <t>Basic Attack Damage %</t>
        </is>
      </c>
      <c r="E650" t="n">
        <v>14</v>
      </c>
      <c r="F650" t="n">
        <v>0.92</v>
      </c>
      <c r="G650" t="b">
        <v>0</v>
      </c>
      <c r="H650">
        <f>Sensitivity!H20</f>
        <v/>
      </c>
    </row>
    <row r="651">
      <c r="A651" t="inlineStr">
        <is>
          <t>ring2</t>
        </is>
      </c>
      <c r="B651" t="inlineStr">
        <is>
          <t>mystic</t>
        </is>
      </c>
      <c r="C651" t="n">
        <v>1</v>
      </c>
      <c r="D651" t="inlineStr">
        <is>
          <t>Basic Attack Damage %</t>
        </is>
      </c>
      <c r="E651" t="n">
        <v>30</v>
      </c>
      <c r="F651" t="n">
        <v>1</v>
      </c>
      <c r="G651" t="b">
        <v>1</v>
      </c>
      <c r="H651">
        <f>Sensitivity!H20</f>
        <v/>
      </c>
    </row>
    <row r="652">
      <c r="A652" t="inlineStr">
        <is>
          <t>ring2</t>
        </is>
      </c>
      <c r="B652" t="inlineStr">
        <is>
          <t>mystic</t>
        </is>
      </c>
      <c r="C652" t="n">
        <v>2</v>
      </c>
      <c r="D652" t="inlineStr">
        <is>
          <t>Basic Attack Damage %</t>
        </is>
      </c>
      <c r="E652" t="n">
        <v>30</v>
      </c>
      <c r="F652" t="n">
        <v>0.24</v>
      </c>
      <c r="G652" t="b">
        <v>1</v>
      </c>
      <c r="H652">
        <f>Sensitivity!H20</f>
        <v/>
      </c>
    </row>
    <row r="653">
      <c r="A653" t="inlineStr">
        <is>
          <t>ring2</t>
        </is>
      </c>
      <c r="B653" t="inlineStr">
        <is>
          <t>mystic</t>
        </is>
      </c>
      <c r="C653" t="n">
        <v>2</v>
      </c>
      <c r="D653" t="inlineStr">
        <is>
          <t>Basic Attack Damage %</t>
        </is>
      </c>
      <c r="E653" t="n">
        <v>21</v>
      </c>
      <c r="F653" t="n">
        <v>0.76</v>
      </c>
      <c r="G653" t="b">
        <v>0</v>
      </c>
      <c r="H653">
        <f>Sensitivity!H20</f>
        <v/>
      </c>
    </row>
    <row r="654">
      <c r="A654" t="inlineStr">
        <is>
          <t>ring2</t>
        </is>
      </c>
      <c r="B654" t="inlineStr">
        <is>
          <t>mystic</t>
        </is>
      </c>
      <c r="C654" t="n">
        <v>3</v>
      </c>
      <c r="D654" t="inlineStr">
        <is>
          <t>Basic Attack Damage %</t>
        </is>
      </c>
      <c r="E654" t="n">
        <v>30</v>
      </c>
      <c r="F654" t="n">
        <v>0.08</v>
      </c>
      <c r="G654" t="b">
        <v>1</v>
      </c>
      <c r="H654">
        <f>Sensitivity!H20</f>
        <v/>
      </c>
    </row>
    <row r="655">
      <c r="A655" t="inlineStr">
        <is>
          <t>ring2</t>
        </is>
      </c>
      <c r="B655" t="inlineStr">
        <is>
          <t>mystic</t>
        </is>
      </c>
      <c r="C655" t="n">
        <v>3</v>
      </c>
      <c r="D655" t="inlineStr">
        <is>
          <t>Basic Attack Damage %</t>
        </is>
      </c>
      <c r="E655" t="n">
        <v>21</v>
      </c>
      <c r="F655" t="n">
        <v>0.92</v>
      </c>
      <c r="G655" t="b">
        <v>0</v>
      </c>
      <c r="H655">
        <f>Sensitivity!H20</f>
        <v/>
      </c>
    </row>
    <row r="656">
      <c r="A656" t="inlineStr">
        <is>
          <t>face</t>
        </is>
      </c>
      <c r="B656" t="inlineStr">
        <is>
          <t>epic</t>
        </is>
      </c>
      <c r="C656" t="n">
        <v>1</v>
      </c>
      <c r="D656" t="inlineStr">
        <is>
          <t>Final Damage %</t>
        </is>
      </c>
      <c r="E656" t="n">
        <v>3</v>
      </c>
      <c r="F656" t="n">
        <v>1</v>
      </c>
      <c r="G656" t="b">
        <v>1</v>
      </c>
      <c r="H656">
        <f>Sensitivity!H13</f>
        <v/>
      </c>
    </row>
    <row r="657">
      <c r="A657" t="inlineStr">
        <is>
          <t>face</t>
        </is>
      </c>
      <c r="B657" t="inlineStr">
        <is>
          <t>epic</t>
        </is>
      </c>
      <c r="C657" t="n">
        <v>2</v>
      </c>
      <c r="D657" t="inlineStr">
        <is>
          <t>Final Damage %</t>
        </is>
      </c>
      <c r="E657" t="n">
        <v>3</v>
      </c>
      <c r="F657" t="n">
        <v>0.24</v>
      </c>
      <c r="G657" t="b">
        <v>1</v>
      </c>
      <c r="H657">
        <f>Sensitivity!H13</f>
        <v/>
      </c>
    </row>
    <row r="658">
      <c r="A658" t="inlineStr">
        <is>
          <t>face</t>
        </is>
      </c>
      <c r="B658" t="inlineStr">
        <is>
          <t>epic</t>
        </is>
      </c>
      <c r="C658" t="n">
        <v>3</v>
      </c>
      <c r="D658" t="inlineStr">
        <is>
          <t>Final Damage %</t>
        </is>
      </c>
      <c r="E658" t="n">
        <v>3</v>
      </c>
      <c r="F658" t="n">
        <v>0.08</v>
      </c>
      <c r="G658" t="b">
        <v>1</v>
      </c>
      <c r="H658">
        <f>Sensitivity!H13</f>
        <v/>
      </c>
    </row>
    <row r="659">
      <c r="A659" t="inlineStr">
        <is>
          <t>face</t>
        </is>
      </c>
      <c r="B659" t="inlineStr">
        <is>
          <t>unique</t>
        </is>
      </c>
      <c r="C659" t="n">
        <v>1</v>
      </c>
      <c r="D659" t="inlineStr">
        <is>
          <t>Final Damage %</t>
        </is>
      </c>
      <c r="E659" t="n">
        <v>5</v>
      </c>
      <c r="F659" t="n">
        <v>1</v>
      </c>
      <c r="G659" t="b">
        <v>1</v>
      </c>
      <c r="H659">
        <f>Sensitivity!H13</f>
        <v/>
      </c>
    </row>
    <row r="660">
      <c r="A660" t="inlineStr">
        <is>
          <t>face</t>
        </is>
      </c>
      <c r="B660" t="inlineStr">
        <is>
          <t>unique</t>
        </is>
      </c>
      <c r="C660" t="n">
        <v>2</v>
      </c>
      <c r="D660" t="inlineStr">
        <is>
          <t>Final Damage %</t>
        </is>
      </c>
      <c r="E660" t="n">
        <v>5</v>
      </c>
      <c r="F660" t="n">
        <v>0.24</v>
      </c>
      <c r="G660" t="b">
        <v>1</v>
      </c>
      <c r="H660">
        <f>Sensitivity!H13</f>
        <v/>
      </c>
    </row>
    <row r="661">
      <c r="A661" t="inlineStr">
        <is>
          <t>face</t>
        </is>
      </c>
      <c r="B661" t="inlineStr">
        <is>
          <t>unique</t>
        </is>
      </c>
      <c r="C661" t="n">
        <v>2</v>
      </c>
      <c r="D661" t="inlineStr">
        <is>
          <t>Final Damage %</t>
        </is>
      </c>
      <c r="E661" t="n">
        <v>3</v>
      </c>
      <c r="F661" t="n">
        <v>0.76</v>
      </c>
      <c r="G661" t="b">
        <v>0</v>
      </c>
      <c r="H661">
        <f>Sensitivity!H13</f>
        <v/>
      </c>
    </row>
    <row r="662">
      <c r="A662" t="inlineStr">
        <is>
          <t>face</t>
        </is>
      </c>
      <c r="B662" t="inlineStr">
        <is>
          <t>unique</t>
        </is>
      </c>
      <c r="C662" t="n">
        <v>3</v>
      </c>
      <c r="D662" t="inlineStr">
        <is>
          <t>Final Damage %</t>
        </is>
      </c>
      <c r="E662" t="n">
        <v>5</v>
      </c>
      <c r="F662" t="n">
        <v>0.08</v>
      </c>
      <c r="G662" t="b">
        <v>1</v>
      </c>
      <c r="H662">
        <f>Sensitivity!H13</f>
        <v/>
      </c>
    </row>
    <row r="663">
      <c r="A663" t="inlineStr">
        <is>
          <t>face</t>
        </is>
      </c>
      <c r="B663" t="inlineStr">
        <is>
          <t>unique</t>
        </is>
      </c>
      <c r="C663" t="n">
        <v>3</v>
      </c>
      <c r="D663" t="inlineStr">
        <is>
          <t>Final Damage %</t>
        </is>
      </c>
      <c r="E663" t="n">
        <v>3</v>
      </c>
      <c r="F663" t="n">
        <v>0.92</v>
      </c>
      <c r="G663" t="b">
        <v>0</v>
      </c>
      <c r="H663">
        <f>Sensitivity!H13</f>
        <v/>
      </c>
    </row>
    <row r="664">
      <c r="A664" t="inlineStr">
        <is>
          <t>face</t>
        </is>
      </c>
      <c r="B664" t="inlineStr">
        <is>
          <t>legendary</t>
        </is>
      </c>
      <c r="C664" t="n">
        <v>1</v>
      </c>
      <c r="D664" t="inlineStr">
        <is>
          <t>Final Damage %</t>
        </is>
      </c>
      <c r="E664" t="n">
        <v>8</v>
      </c>
      <c r="F664" t="n">
        <v>1</v>
      </c>
      <c r="G664" t="b">
        <v>1</v>
      </c>
      <c r="H664">
        <f>Sensitivity!H13</f>
        <v/>
      </c>
    </row>
    <row r="665">
      <c r="A665" t="inlineStr">
        <is>
          <t>face</t>
        </is>
      </c>
      <c r="B665" t="inlineStr">
        <is>
          <t>legendary</t>
        </is>
      </c>
      <c r="C665" t="n">
        <v>2</v>
      </c>
      <c r="D665" t="inlineStr">
        <is>
          <t>Final Damage %</t>
        </is>
      </c>
      <c r="E665" t="n">
        <v>8</v>
      </c>
      <c r="F665" t="n">
        <v>0.24</v>
      </c>
      <c r="G665" t="b">
        <v>1</v>
      </c>
      <c r="H665">
        <f>Sensitivity!H13</f>
        <v/>
      </c>
    </row>
    <row r="666">
      <c r="A666" t="inlineStr">
        <is>
          <t>face</t>
        </is>
      </c>
      <c r="B666" t="inlineStr">
        <is>
          <t>legendary</t>
        </is>
      </c>
      <c r="C666" t="n">
        <v>2</v>
      </c>
      <c r="D666" t="inlineStr">
        <is>
          <t>Final Damage %</t>
        </is>
      </c>
      <c r="E666" t="n">
        <v>5</v>
      </c>
      <c r="F666" t="n">
        <v>0.76</v>
      </c>
      <c r="G666" t="b">
        <v>0</v>
      </c>
      <c r="H666">
        <f>Sensitivity!H13</f>
        <v/>
      </c>
    </row>
    <row r="667">
      <c r="A667" t="inlineStr">
        <is>
          <t>face</t>
        </is>
      </c>
      <c r="B667" t="inlineStr">
        <is>
          <t>legendary</t>
        </is>
      </c>
      <c r="C667" t="n">
        <v>3</v>
      </c>
      <c r="D667" t="inlineStr">
        <is>
          <t>Final Damage %</t>
        </is>
      </c>
      <c r="E667" t="n">
        <v>8</v>
      </c>
      <c r="F667" t="n">
        <v>0.08</v>
      </c>
      <c r="G667" t="b">
        <v>1</v>
      </c>
      <c r="H667">
        <f>Sensitivity!H13</f>
        <v/>
      </c>
    </row>
    <row r="668">
      <c r="A668" t="inlineStr">
        <is>
          <t>face</t>
        </is>
      </c>
      <c r="B668" t="inlineStr">
        <is>
          <t>legendary</t>
        </is>
      </c>
      <c r="C668" t="n">
        <v>3</v>
      </c>
      <c r="D668" t="inlineStr">
        <is>
          <t>Final Damage %</t>
        </is>
      </c>
      <c r="E668" t="n">
        <v>5</v>
      </c>
      <c r="F668" t="n">
        <v>0.92</v>
      </c>
      <c r="G668" t="b">
        <v>0</v>
      </c>
      <c r="H668">
        <f>Sensitivity!H13</f>
        <v/>
      </c>
    </row>
    <row r="669">
      <c r="A669" t="inlineStr">
        <is>
          <t>face</t>
        </is>
      </c>
      <c r="B669" t="inlineStr">
        <is>
          <t>mystic</t>
        </is>
      </c>
      <c r="C669" t="n">
        <v>1</v>
      </c>
      <c r="D669" t="inlineStr">
        <is>
          <t>Final Damage %</t>
        </is>
      </c>
      <c r="E669" t="n">
        <v>12</v>
      </c>
      <c r="F669" t="n">
        <v>1</v>
      </c>
      <c r="G669" t="b">
        <v>1</v>
      </c>
      <c r="H669">
        <f>Sensitivity!H13</f>
        <v/>
      </c>
    </row>
    <row r="670">
      <c r="A670" t="inlineStr">
        <is>
          <t>face</t>
        </is>
      </c>
      <c r="B670" t="inlineStr">
        <is>
          <t>mystic</t>
        </is>
      </c>
      <c r="C670" t="n">
        <v>2</v>
      </c>
      <c r="D670" t="inlineStr">
        <is>
          <t>Final Damage %</t>
        </is>
      </c>
      <c r="E670" t="n">
        <v>12</v>
      </c>
      <c r="F670" t="n">
        <v>0.24</v>
      </c>
      <c r="G670" t="b">
        <v>1</v>
      </c>
      <c r="H670">
        <f>Sensitivity!H13</f>
        <v/>
      </c>
    </row>
    <row r="671">
      <c r="A671" t="inlineStr">
        <is>
          <t>face</t>
        </is>
      </c>
      <c r="B671" t="inlineStr">
        <is>
          <t>mystic</t>
        </is>
      </c>
      <c r="C671" t="n">
        <v>2</v>
      </c>
      <c r="D671" t="inlineStr">
        <is>
          <t>Final Damage %</t>
        </is>
      </c>
      <c r="E671" t="n">
        <v>8</v>
      </c>
      <c r="F671" t="n">
        <v>0.76</v>
      </c>
      <c r="G671" t="b">
        <v>0</v>
      </c>
      <c r="H671">
        <f>Sensitivity!H13</f>
        <v/>
      </c>
    </row>
    <row r="672">
      <c r="A672" t="inlineStr">
        <is>
          <t>face</t>
        </is>
      </c>
      <c r="B672" t="inlineStr">
        <is>
          <t>mystic</t>
        </is>
      </c>
      <c r="C672" t="n">
        <v>3</v>
      </c>
      <c r="D672" t="inlineStr">
        <is>
          <t>Final Damage %</t>
        </is>
      </c>
      <c r="E672" t="n">
        <v>12</v>
      </c>
      <c r="F672" t="n">
        <v>0.08</v>
      </c>
      <c r="G672" t="b">
        <v>1</v>
      </c>
      <c r="H672">
        <f>Sensitivity!H13</f>
        <v/>
      </c>
    </row>
    <row r="673">
      <c r="A673" t="inlineStr">
        <is>
          <t>face</t>
        </is>
      </c>
      <c r="B673" t="inlineStr">
        <is>
          <t>mystic</t>
        </is>
      </c>
      <c r="C673" t="n">
        <v>3</v>
      </c>
      <c r="D673" t="inlineStr">
        <is>
          <t>Final Damage %</t>
        </is>
      </c>
      <c r="E673" t="n">
        <v>8</v>
      </c>
      <c r="F673" t="n">
        <v>0.92</v>
      </c>
      <c r="G673" t="b">
        <v>0</v>
      </c>
      <c r="H673">
        <f>Sensitivity!H13</f>
        <v/>
      </c>
    </row>
    <row r="674">
      <c r="A674" t="inlineStr">
        <is>
          <t>earrings</t>
        </is>
      </c>
      <c r="B674" t="inlineStr">
        <is>
          <t>epic</t>
        </is>
      </c>
      <c r="C674" t="n">
        <v>1</v>
      </c>
      <c r="D674" t="inlineStr">
        <is>
          <t>Skill Damage %</t>
        </is>
      </c>
      <c r="E674" t="n">
        <v>8</v>
      </c>
      <c r="F674" t="n">
        <v>1</v>
      </c>
      <c r="G674" t="b">
        <v>1</v>
      </c>
      <c r="H674">
        <f>Sensitivity!H21</f>
        <v/>
      </c>
    </row>
    <row r="675">
      <c r="A675" t="inlineStr">
        <is>
          <t>earrings</t>
        </is>
      </c>
      <c r="B675" t="inlineStr">
        <is>
          <t>epic</t>
        </is>
      </c>
      <c r="C675" t="n">
        <v>2</v>
      </c>
      <c r="D675" t="inlineStr">
        <is>
          <t>Skill Damage %</t>
        </is>
      </c>
      <c r="E675" t="n">
        <v>8</v>
      </c>
      <c r="F675" t="n">
        <v>0.24</v>
      </c>
      <c r="G675" t="b">
        <v>1</v>
      </c>
      <c r="H675">
        <f>Sensitivity!H21</f>
        <v/>
      </c>
    </row>
    <row r="676">
      <c r="A676" t="inlineStr">
        <is>
          <t>earrings</t>
        </is>
      </c>
      <c r="B676" t="inlineStr">
        <is>
          <t>epic</t>
        </is>
      </c>
      <c r="C676" t="n">
        <v>3</v>
      </c>
      <c r="D676" t="inlineStr">
        <is>
          <t>Skill Damage %</t>
        </is>
      </c>
      <c r="E676" t="n">
        <v>8</v>
      </c>
      <c r="F676" t="n">
        <v>0.08</v>
      </c>
      <c r="G676" t="b">
        <v>1</v>
      </c>
      <c r="H676">
        <f>Sensitivity!H21</f>
        <v/>
      </c>
    </row>
    <row r="677">
      <c r="A677" t="inlineStr">
        <is>
          <t>earrings</t>
        </is>
      </c>
      <c r="B677" t="inlineStr">
        <is>
          <t>unique</t>
        </is>
      </c>
      <c r="C677" t="n">
        <v>1</v>
      </c>
      <c r="D677" t="inlineStr">
        <is>
          <t>Skill Damage %</t>
        </is>
      </c>
      <c r="E677" t="n">
        <v>14</v>
      </c>
      <c r="F677" t="n">
        <v>1</v>
      </c>
      <c r="G677" t="b">
        <v>1</v>
      </c>
      <c r="H677">
        <f>Sensitivity!H21</f>
        <v/>
      </c>
    </row>
    <row r="678">
      <c r="A678" t="inlineStr">
        <is>
          <t>earrings</t>
        </is>
      </c>
      <c r="B678" t="inlineStr">
        <is>
          <t>unique</t>
        </is>
      </c>
      <c r="C678" t="n">
        <v>2</v>
      </c>
      <c r="D678" t="inlineStr">
        <is>
          <t>Skill Damage %</t>
        </is>
      </c>
      <c r="E678" t="n">
        <v>14</v>
      </c>
      <c r="F678" t="n">
        <v>0.24</v>
      </c>
      <c r="G678" t="b">
        <v>1</v>
      </c>
      <c r="H678">
        <f>Sensitivity!H21</f>
        <v/>
      </c>
    </row>
    <row r="679">
      <c r="A679" t="inlineStr">
        <is>
          <t>earrings</t>
        </is>
      </c>
      <c r="B679" t="inlineStr">
        <is>
          <t>unique</t>
        </is>
      </c>
      <c r="C679" t="n">
        <v>2</v>
      </c>
      <c r="D679" t="inlineStr">
        <is>
          <t>Skill Damage %</t>
        </is>
      </c>
      <c r="E679" t="n">
        <v>8</v>
      </c>
      <c r="F679" t="n">
        <v>0.76</v>
      </c>
      <c r="G679" t="b">
        <v>0</v>
      </c>
      <c r="H679">
        <f>Sensitivity!H21</f>
        <v/>
      </c>
    </row>
    <row r="680">
      <c r="A680" t="inlineStr">
        <is>
          <t>earrings</t>
        </is>
      </c>
      <c r="B680" t="inlineStr">
        <is>
          <t>unique</t>
        </is>
      </c>
      <c r="C680" t="n">
        <v>3</v>
      </c>
      <c r="D680" t="inlineStr">
        <is>
          <t>Skill Damage %</t>
        </is>
      </c>
      <c r="E680" t="n">
        <v>14</v>
      </c>
      <c r="F680" t="n">
        <v>0.08</v>
      </c>
      <c r="G680" t="b">
        <v>1</v>
      </c>
      <c r="H680">
        <f>Sensitivity!H21</f>
        <v/>
      </c>
    </row>
    <row r="681">
      <c r="A681" t="inlineStr">
        <is>
          <t>earrings</t>
        </is>
      </c>
      <c r="B681" t="inlineStr">
        <is>
          <t>unique</t>
        </is>
      </c>
      <c r="C681" t="n">
        <v>3</v>
      </c>
      <c r="D681" t="inlineStr">
        <is>
          <t>Skill Damage %</t>
        </is>
      </c>
      <c r="E681" t="n">
        <v>8</v>
      </c>
      <c r="F681" t="n">
        <v>0.92</v>
      </c>
      <c r="G681" t="b">
        <v>0</v>
      </c>
      <c r="H681">
        <f>Sensitivity!H21</f>
        <v/>
      </c>
    </row>
    <row r="682">
      <c r="A682" t="inlineStr">
        <is>
          <t>earrings</t>
        </is>
      </c>
      <c r="B682" t="inlineStr">
        <is>
          <t>legendary</t>
        </is>
      </c>
      <c r="C682" t="n">
        <v>1</v>
      </c>
      <c r="D682" t="inlineStr">
        <is>
          <t>Skill Damage %</t>
        </is>
      </c>
      <c r="E682" t="n">
        <v>21</v>
      </c>
      <c r="F682" t="n">
        <v>1</v>
      </c>
      <c r="G682" t="b">
        <v>1</v>
      </c>
      <c r="H682">
        <f>Sensitivity!H21</f>
        <v/>
      </c>
    </row>
    <row r="683">
      <c r="A683" t="inlineStr">
        <is>
          <t>earrings</t>
        </is>
      </c>
      <c r="B683" t="inlineStr">
        <is>
          <t>legendary</t>
        </is>
      </c>
      <c r="C683" t="n">
        <v>2</v>
      </c>
      <c r="D683" t="inlineStr">
        <is>
          <t>Skill Damage %</t>
        </is>
      </c>
      <c r="E683" t="n">
        <v>21</v>
      </c>
      <c r="F683" t="n">
        <v>0.24</v>
      </c>
      <c r="G683" t="b">
        <v>1</v>
      </c>
      <c r="H683">
        <f>Sensitivity!H21</f>
        <v/>
      </c>
    </row>
    <row r="684">
      <c r="A684" t="inlineStr">
        <is>
          <t>earrings</t>
        </is>
      </c>
      <c r="B684" t="inlineStr">
        <is>
          <t>legendary</t>
        </is>
      </c>
      <c r="C684" t="n">
        <v>2</v>
      </c>
      <c r="D684" t="inlineStr">
        <is>
          <t>Skill Damage %</t>
        </is>
      </c>
      <c r="E684" t="n">
        <v>14</v>
      </c>
      <c r="F684" t="n">
        <v>0.76</v>
      </c>
      <c r="G684" t="b">
        <v>0</v>
      </c>
      <c r="H684">
        <f>Sensitivity!H21</f>
        <v/>
      </c>
    </row>
    <row r="685">
      <c r="A685" t="inlineStr">
        <is>
          <t>earrings</t>
        </is>
      </c>
      <c r="B685" t="inlineStr">
        <is>
          <t>legendary</t>
        </is>
      </c>
      <c r="C685" t="n">
        <v>3</v>
      </c>
      <c r="D685" t="inlineStr">
        <is>
          <t>Skill Damage %</t>
        </is>
      </c>
      <c r="E685" t="n">
        <v>21</v>
      </c>
      <c r="F685" t="n">
        <v>0.08</v>
      </c>
      <c r="G685" t="b">
        <v>1</v>
      </c>
      <c r="H685">
        <f>Sensitivity!H21</f>
        <v/>
      </c>
    </row>
    <row r="686">
      <c r="A686" t="inlineStr">
        <is>
          <t>earrings</t>
        </is>
      </c>
      <c r="B686" t="inlineStr">
        <is>
          <t>legendary</t>
        </is>
      </c>
      <c r="C686" t="n">
        <v>3</v>
      </c>
      <c r="D686" t="inlineStr">
        <is>
          <t>Skill Damage %</t>
        </is>
      </c>
      <c r="E686" t="n">
        <v>14</v>
      </c>
      <c r="F686" t="n">
        <v>0.92</v>
      </c>
      <c r="G686" t="b">
        <v>0</v>
      </c>
      <c r="H686">
        <f>Sensitivity!H21</f>
        <v/>
      </c>
    </row>
    <row r="687">
      <c r="A687" t="inlineStr">
        <is>
          <t>earrings</t>
        </is>
      </c>
      <c r="B687" t="inlineStr">
        <is>
          <t>mystic</t>
        </is>
      </c>
      <c r="C687" t="n">
        <v>1</v>
      </c>
      <c r="D687" t="inlineStr">
        <is>
          <t>Skill Damage %</t>
        </is>
      </c>
      <c r="E687" t="n">
        <v>30</v>
      </c>
      <c r="F687" t="n">
        <v>1</v>
      </c>
      <c r="G687" t="b">
        <v>1</v>
      </c>
      <c r="H687">
        <f>Sensitivity!H21</f>
        <v/>
      </c>
    </row>
    <row r="688">
      <c r="A688" t="inlineStr">
        <is>
          <t>earrings</t>
        </is>
      </c>
      <c r="B688" t="inlineStr">
        <is>
          <t>mystic</t>
        </is>
      </c>
      <c r="C688" t="n">
        <v>2</v>
      </c>
      <c r="D688" t="inlineStr">
        <is>
          <t>Skill Damage %</t>
        </is>
      </c>
      <c r="E688" t="n">
        <v>30</v>
      </c>
      <c r="F688" t="n">
        <v>0.24</v>
      </c>
      <c r="G688" t="b">
        <v>1</v>
      </c>
      <c r="H688">
        <f>Sensitivity!H21</f>
        <v/>
      </c>
    </row>
    <row r="689">
      <c r="A689" t="inlineStr">
        <is>
          <t>earrings</t>
        </is>
      </c>
      <c r="B689" t="inlineStr">
        <is>
          <t>mystic</t>
        </is>
      </c>
      <c r="C689" t="n">
        <v>2</v>
      </c>
      <c r="D689" t="inlineStr">
        <is>
          <t>Skill Damage %</t>
        </is>
      </c>
      <c r="E689" t="n">
        <v>21</v>
      </c>
      <c r="F689" t="n">
        <v>0.76</v>
      </c>
      <c r="G689" t="b">
        <v>0</v>
      </c>
      <c r="H689">
        <f>Sensitivity!H21</f>
        <v/>
      </c>
    </row>
    <row r="690">
      <c r="A690" t="inlineStr">
        <is>
          <t>earrings</t>
        </is>
      </c>
      <c r="B690" t="inlineStr">
        <is>
          <t>mystic</t>
        </is>
      </c>
      <c r="C690" t="n">
        <v>3</v>
      </c>
      <c r="D690" t="inlineStr">
        <is>
          <t>Skill Damage %</t>
        </is>
      </c>
      <c r="E690" t="n">
        <v>30</v>
      </c>
      <c r="F690" t="n">
        <v>0.08</v>
      </c>
      <c r="G690" t="b">
        <v>1</v>
      </c>
      <c r="H690">
        <f>Sensitivity!H21</f>
        <v/>
      </c>
    </row>
    <row r="691">
      <c r="A691" t="inlineStr">
        <is>
          <t>earrings</t>
        </is>
      </c>
      <c r="B691" t="inlineStr">
        <is>
          <t>mystic</t>
        </is>
      </c>
      <c r="C691" t="n">
        <v>3</v>
      </c>
      <c r="D691" t="inlineStr">
        <is>
          <t>Skill Damage %</t>
        </is>
      </c>
      <c r="E691" t="n">
        <v>21</v>
      </c>
      <c r="F691" t="n">
        <v>0.92</v>
      </c>
      <c r="G691" t="b">
        <v>0</v>
      </c>
      <c r="H691">
        <f>Sensitivity!H21</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2026-09-17T06:30:30Z</dcterms:created>
  <dcterms:modified xsi:type="dcterms:W3CDTF">2026-09-17T06:30:30Z</dcterms:modified>
</cp:coreProperties>
</file>